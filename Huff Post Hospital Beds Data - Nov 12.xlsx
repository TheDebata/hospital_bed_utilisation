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C:\Users\ajhil\Documents\002 - Masters\Research and Stories\011-Newsday Stories\"/>
    </mc:Choice>
  </mc:AlternateContent>
  <xr:revisionPtr revIDLastSave="0" documentId="13_ncr:1_{14F43A21-1485-4C75-B67D-B79FD8685D0B}" xr6:coauthVersionLast="45" xr6:coauthVersionMax="45" xr10:uidLastSave="{00000000-0000-0000-0000-000000000000}"/>
  <bookViews>
    <workbookView xWindow="-110" yWindow="-110" windowWidth="19420" windowHeight="10560" firstSheet="5" activeTab="8" xr2:uid="{5166CCED-7D09-4602-A18F-AF280674FA68}"/>
  </bookViews>
  <sheets>
    <sheet name="Metadata" sheetId="9" r:id="rId1"/>
    <sheet name="March to Aug Data" sheetId="1" r:id="rId2"/>
    <sheet name="Sep to Nov Data" sheetId="2" r:id="rId3"/>
    <sheet name="New Adm Data (Mar to July)" sheetId="5" r:id="rId4"/>
    <sheet name="New Adm Data (Aug to Nov)" sheetId="4" r:id="rId5"/>
    <sheet name="Hospital Lookup" sheetId="3" r:id="rId6"/>
    <sheet name="Estimated Hospital Beds" sheetId="8" r:id="rId7"/>
    <sheet name="Analysis" sheetId="7" r:id="rId8"/>
    <sheet name="Analysis - Vaues Edit For Salfo" sheetId="10" r:id="rId9"/>
  </sheets>
  <definedNames>
    <definedName name="_xlnm._FilterDatabase" localSheetId="7" hidden="1">Analysis!$A$3:$A$82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0" l="1"/>
  <c r="H6" i="10" s="1"/>
  <c r="E84" i="10"/>
  <c r="C84" i="10"/>
  <c r="H84" i="10" s="1"/>
  <c r="B84" i="10"/>
  <c r="G84" i="10" s="1"/>
  <c r="E83" i="10"/>
  <c r="C83" i="10"/>
  <c r="B83" i="10"/>
  <c r="G83" i="10" s="1"/>
  <c r="E82" i="10"/>
  <c r="C82" i="10"/>
  <c r="H82" i="10" s="1"/>
  <c r="B82" i="10"/>
  <c r="G82" i="10" s="1"/>
  <c r="E81" i="10"/>
  <c r="C81" i="10"/>
  <c r="B81" i="10"/>
  <c r="G81" i="10" s="1"/>
  <c r="E80" i="10"/>
  <c r="D80" i="10"/>
  <c r="C80" i="10"/>
  <c r="H80" i="10" s="1"/>
  <c r="B80" i="10"/>
  <c r="G80" i="10" s="1"/>
  <c r="E79" i="10"/>
  <c r="C79" i="10"/>
  <c r="B79" i="10"/>
  <c r="G79" i="10" s="1"/>
  <c r="E78" i="10"/>
  <c r="C78" i="10"/>
  <c r="H78" i="10" s="1"/>
  <c r="B78" i="10"/>
  <c r="G78" i="10" s="1"/>
  <c r="E77" i="10"/>
  <c r="C77" i="10"/>
  <c r="B77" i="10"/>
  <c r="G77" i="10" s="1"/>
  <c r="E76" i="10"/>
  <c r="C76" i="10"/>
  <c r="H76" i="10" s="1"/>
  <c r="B76" i="10"/>
  <c r="G76" i="10" s="1"/>
  <c r="E75" i="10"/>
  <c r="C75" i="10"/>
  <c r="B75" i="10"/>
  <c r="G75" i="10" s="1"/>
  <c r="E74" i="10"/>
  <c r="C74" i="10"/>
  <c r="H74" i="10" s="1"/>
  <c r="B74" i="10"/>
  <c r="G74" i="10" s="1"/>
  <c r="E73" i="10"/>
  <c r="C73" i="10"/>
  <c r="B73" i="10"/>
  <c r="G73" i="10" s="1"/>
  <c r="E72" i="10"/>
  <c r="D72" i="10"/>
  <c r="C72" i="10"/>
  <c r="H72" i="10" s="1"/>
  <c r="B72" i="10"/>
  <c r="G72" i="10" s="1"/>
  <c r="E71" i="10"/>
  <c r="C71" i="10"/>
  <c r="B71" i="10"/>
  <c r="G71" i="10" s="1"/>
  <c r="E70" i="10"/>
  <c r="C70" i="10"/>
  <c r="H70" i="10" s="1"/>
  <c r="B70" i="10"/>
  <c r="G70" i="10" s="1"/>
  <c r="E69" i="10"/>
  <c r="C69" i="10"/>
  <c r="B69" i="10"/>
  <c r="G69" i="10" s="1"/>
  <c r="E68" i="10"/>
  <c r="C68" i="10"/>
  <c r="H68" i="10" s="1"/>
  <c r="B68" i="10"/>
  <c r="G68" i="10" s="1"/>
  <c r="E67" i="10"/>
  <c r="C67" i="10"/>
  <c r="B67" i="10"/>
  <c r="G67" i="10" s="1"/>
  <c r="E66" i="10"/>
  <c r="C66" i="10"/>
  <c r="H66" i="10" s="1"/>
  <c r="B66" i="10"/>
  <c r="G66" i="10" s="1"/>
  <c r="E65" i="10"/>
  <c r="C65" i="10"/>
  <c r="B65" i="10"/>
  <c r="G65" i="10" s="1"/>
  <c r="E64" i="10"/>
  <c r="D64" i="10"/>
  <c r="C64" i="10"/>
  <c r="H64" i="10" s="1"/>
  <c r="B64" i="10"/>
  <c r="G64" i="10" s="1"/>
  <c r="E63" i="10"/>
  <c r="C63" i="10"/>
  <c r="B63" i="10"/>
  <c r="G63" i="10" s="1"/>
  <c r="E62" i="10"/>
  <c r="C62" i="10"/>
  <c r="H62" i="10" s="1"/>
  <c r="B62" i="10"/>
  <c r="G62" i="10" s="1"/>
  <c r="E61" i="10"/>
  <c r="C61" i="10"/>
  <c r="B61" i="10"/>
  <c r="G61" i="10" s="1"/>
  <c r="E60" i="10"/>
  <c r="C60" i="10"/>
  <c r="H60" i="10" s="1"/>
  <c r="B60" i="10"/>
  <c r="G60" i="10" s="1"/>
  <c r="E59" i="10"/>
  <c r="C59" i="10"/>
  <c r="B59" i="10"/>
  <c r="G59" i="10" s="1"/>
  <c r="E58" i="10"/>
  <c r="C58" i="10"/>
  <c r="H58" i="10" s="1"/>
  <c r="B58" i="10"/>
  <c r="G58" i="10" s="1"/>
  <c r="E57" i="10"/>
  <c r="C57" i="10"/>
  <c r="D57" i="10" s="1"/>
  <c r="B57" i="10"/>
  <c r="G57" i="10" s="1"/>
  <c r="E56" i="10"/>
  <c r="C56" i="10"/>
  <c r="H56" i="10" s="1"/>
  <c r="B56" i="10"/>
  <c r="G56" i="10" s="1"/>
  <c r="G55" i="10"/>
  <c r="E55" i="10"/>
  <c r="C55" i="10"/>
  <c r="D55" i="10" s="1"/>
  <c r="B55" i="10"/>
  <c r="H54" i="10"/>
  <c r="E54" i="10"/>
  <c r="D54" i="10"/>
  <c r="C54" i="10"/>
  <c r="B54" i="10"/>
  <c r="G54" i="10" s="1"/>
  <c r="G53" i="10"/>
  <c r="E53" i="10"/>
  <c r="C53" i="10"/>
  <c r="B53" i="10"/>
  <c r="H52" i="10"/>
  <c r="E52" i="10"/>
  <c r="C52" i="10"/>
  <c r="B52" i="10"/>
  <c r="G52" i="10" s="1"/>
  <c r="E51" i="10"/>
  <c r="C51" i="10"/>
  <c r="B51" i="10"/>
  <c r="G51" i="10" s="1"/>
  <c r="E50" i="10"/>
  <c r="C50" i="10"/>
  <c r="H50" i="10" s="1"/>
  <c r="B50" i="10"/>
  <c r="G50" i="10" s="1"/>
  <c r="E49" i="10"/>
  <c r="C49" i="10"/>
  <c r="B49" i="10"/>
  <c r="G49" i="10" s="1"/>
  <c r="E48" i="10"/>
  <c r="C48" i="10"/>
  <c r="H48" i="10" s="1"/>
  <c r="B48" i="10"/>
  <c r="G48" i="10" s="1"/>
  <c r="G47" i="10"/>
  <c r="E47" i="10"/>
  <c r="C47" i="10"/>
  <c r="B47" i="10"/>
  <c r="H46" i="10"/>
  <c r="E46" i="10"/>
  <c r="C46" i="10"/>
  <c r="B46" i="10"/>
  <c r="G46" i="10" s="1"/>
  <c r="G45" i="10"/>
  <c r="E45" i="10"/>
  <c r="C45" i="10"/>
  <c r="B45" i="10"/>
  <c r="H44" i="10"/>
  <c r="E44" i="10"/>
  <c r="C44" i="10"/>
  <c r="B44" i="10"/>
  <c r="G44" i="10" s="1"/>
  <c r="E43" i="10"/>
  <c r="C43" i="10"/>
  <c r="B43" i="10"/>
  <c r="G43" i="10" s="1"/>
  <c r="E42" i="10"/>
  <c r="C42" i="10"/>
  <c r="H42" i="10" s="1"/>
  <c r="B42" i="10"/>
  <c r="G42" i="10" s="1"/>
  <c r="G41" i="10"/>
  <c r="E41" i="10"/>
  <c r="C41" i="10"/>
  <c r="D41" i="10" s="1"/>
  <c r="B41" i="10"/>
  <c r="H40" i="10"/>
  <c r="E40" i="10"/>
  <c r="D40" i="10"/>
  <c r="C40" i="10"/>
  <c r="B40" i="10"/>
  <c r="G40" i="10" s="1"/>
  <c r="G39" i="10"/>
  <c r="E39" i="10"/>
  <c r="C39" i="10"/>
  <c r="B39" i="10"/>
  <c r="H38" i="10"/>
  <c r="E38" i="10"/>
  <c r="C38" i="10"/>
  <c r="B38" i="10"/>
  <c r="G38" i="10" s="1"/>
  <c r="G37" i="10"/>
  <c r="E37" i="10"/>
  <c r="C37" i="10"/>
  <c r="B37" i="10"/>
  <c r="H36" i="10"/>
  <c r="E36" i="10"/>
  <c r="C36" i="10"/>
  <c r="B36" i="10"/>
  <c r="G36" i="10" s="1"/>
  <c r="E35" i="10"/>
  <c r="C35" i="10"/>
  <c r="B35" i="10"/>
  <c r="G35" i="10" s="1"/>
  <c r="E34" i="10"/>
  <c r="C34" i="10"/>
  <c r="H34" i="10" s="1"/>
  <c r="B34" i="10"/>
  <c r="G34" i="10" s="1"/>
  <c r="E33" i="10"/>
  <c r="C33" i="10"/>
  <c r="B33" i="10"/>
  <c r="G33" i="10" s="1"/>
  <c r="E32" i="10"/>
  <c r="C32" i="10"/>
  <c r="H32" i="10" s="1"/>
  <c r="B32" i="10"/>
  <c r="G32" i="10" s="1"/>
  <c r="G31" i="10"/>
  <c r="E31" i="10"/>
  <c r="C31" i="10"/>
  <c r="B31" i="10"/>
  <c r="E30" i="10"/>
  <c r="C30" i="10"/>
  <c r="D30" i="10" s="1"/>
  <c r="B30" i="10"/>
  <c r="G30" i="10" s="1"/>
  <c r="G29" i="10"/>
  <c r="E29" i="10"/>
  <c r="C29" i="10"/>
  <c r="B29" i="10"/>
  <c r="E28" i="10"/>
  <c r="C28" i="10"/>
  <c r="D28" i="10" s="1"/>
  <c r="B28" i="10"/>
  <c r="G28" i="10" s="1"/>
  <c r="E27" i="10"/>
  <c r="C27" i="10"/>
  <c r="B27" i="10"/>
  <c r="G27" i="10" s="1"/>
  <c r="E26" i="10"/>
  <c r="C26" i="10"/>
  <c r="H26" i="10" s="1"/>
  <c r="B26" i="10"/>
  <c r="G26" i="10" s="1"/>
  <c r="G25" i="10"/>
  <c r="E25" i="10"/>
  <c r="C25" i="10"/>
  <c r="B25" i="10"/>
  <c r="H24" i="10"/>
  <c r="E24" i="10"/>
  <c r="C24" i="10"/>
  <c r="D24" i="10" s="1"/>
  <c r="B24" i="10"/>
  <c r="G24" i="10" s="1"/>
  <c r="E23" i="10"/>
  <c r="C23" i="10"/>
  <c r="B23" i="10"/>
  <c r="G23" i="10" s="1"/>
  <c r="E22" i="10"/>
  <c r="C22" i="10"/>
  <c r="B22" i="10"/>
  <c r="G22" i="10" s="1"/>
  <c r="E21" i="10"/>
  <c r="B21" i="10"/>
  <c r="G21" i="10" s="1"/>
  <c r="E20" i="10"/>
  <c r="C20" i="10"/>
  <c r="B20" i="10"/>
  <c r="G20" i="10" s="1"/>
  <c r="E19" i="10"/>
  <c r="C19" i="10"/>
  <c r="B19" i="10"/>
  <c r="G19" i="10" s="1"/>
  <c r="E18" i="10"/>
  <c r="C18" i="10"/>
  <c r="H18" i="10" s="1"/>
  <c r="B18" i="10"/>
  <c r="G18" i="10" s="1"/>
  <c r="H17" i="10"/>
  <c r="G17" i="10"/>
  <c r="E17" i="10"/>
  <c r="C17" i="10"/>
  <c r="B17" i="10"/>
  <c r="H16" i="10"/>
  <c r="E16" i="10"/>
  <c r="C16" i="10"/>
  <c r="B16" i="10"/>
  <c r="G16" i="10" s="1"/>
  <c r="H15" i="10"/>
  <c r="E15" i="10"/>
  <c r="C15" i="10"/>
  <c r="B15" i="10"/>
  <c r="G15" i="10" s="1"/>
  <c r="E14" i="10"/>
  <c r="C14" i="10"/>
  <c r="H14" i="10" s="1"/>
  <c r="B14" i="10"/>
  <c r="G14" i="10" s="1"/>
  <c r="H13" i="10"/>
  <c r="G13" i="10"/>
  <c r="E13" i="10"/>
  <c r="C13" i="10"/>
  <c r="B13" i="10"/>
  <c r="H12" i="10"/>
  <c r="E12" i="10"/>
  <c r="C12" i="10"/>
  <c r="B12" i="10"/>
  <c r="G12" i="10" s="1"/>
  <c r="H11" i="10"/>
  <c r="E11" i="10"/>
  <c r="C11" i="10"/>
  <c r="B11" i="10"/>
  <c r="G11" i="10" s="1"/>
  <c r="E10" i="10"/>
  <c r="C10" i="10"/>
  <c r="H10" i="10" s="1"/>
  <c r="B10" i="10"/>
  <c r="G10" i="10" s="1"/>
  <c r="H9" i="10"/>
  <c r="G9" i="10"/>
  <c r="E9" i="10"/>
  <c r="C9" i="10"/>
  <c r="B9" i="10"/>
  <c r="H8" i="10"/>
  <c r="E8" i="10"/>
  <c r="C8" i="10"/>
  <c r="B8" i="10"/>
  <c r="G8" i="10" s="1"/>
  <c r="H7" i="10"/>
  <c r="E7" i="10"/>
  <c r="C7" i="10"/>
  <c r="B7" i="10"/>
  <c r="G7" i="10" s="1"/>
  <c r="E6" i="10"/>
  <c r="B6" i="10"/>
  <c r="G6" i="10" s="1"/>
  <c r="C19" i="7"/>
  <c r="C20" i="7"/>
  <c r="C21" i="7"/>
  <c r="C22" i="7"/>
  <c r="C23" i="7"/>
  <c r="C24" i="7"/>
  <c r="C25" i="7"/>
  <c r="C26" i="7"/>
  <c r="C27" i="7"/>
  <c r="C28" i="7"/>
  <c r="C29" i="7"/>
  <c r="C30" i="7"/>
  <c r="C31" i="7"/>
  <c r="C32" i="7"/>
  <c r="C33" i="7"/>
  <c r="C34" i="7"/>
  <c r="C35" i="7"/>
  <c r="C36" i="7"/>
  <c r="C37" i="7"/>
  <c r="C38" i="7"/>
  <c r="C39" i="7"/>
  <c r="C40" i="7"/>
  <c r="C41" i="7"/>
  <c r="C42" i="7"/>
  <c r="C43" i="7"/>
  <c r="C44" i="7"/>
  <c r="C45" i="7"/>
  <c r="C46" i="7"/>
  <c r="C47" i="7"/>
  <c r="C48" i="7"/>
  <c r="C49" i="7"/>
  <c r="C50" i="7"/>
  <c r="C51" i="7"/>
  <c r="C52" i="7"/>
  <c r="C53" i="7"/>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4" i="7"/>
  <c r="E5" i="7"/>
  <c r="C4" i="7"/>
  <c r="D20" i="10" l="1"/>
  <c r="D22" i="10"/>
  <c r="D32" i="10"/>
  <c r="D33" i="10"/>
  <c r="D56" i="10"/>
  <c r="D62" i="10"/>
  <c r="D70" i="10"/>
  <c r="D78" i="10"/>
  <c r="D8" i="10"/>
  <c r="H30" i="10"/>
  <c r="D44" i="10"/>
  <c r="D46" i="10"/>
  <c r="D47" i="10"/>
  <c r="D49" i="10"/>
  <c r="D60" i="10"/>
  <c r="D68" i="10"/>
  <c r="D76" i="10"/>
  <c r="D84" i="10"/>
  <c r="D12" i="10"/>
  <c r="D16" i="10"/>
  <c r="D25" i="10"/>
  <c r="H28" i="10"/>
  <c r="H20" i="10"/>
  <c r="H22" i="10"/>
  <c r="D36" i="10"/>
  <c r="D38" i="10"/>
  <c r="D48" i="10"/>
  <c r="D52" i="10"/>
  <c r="D66" i="10"/>
  <c r="D74" i="10"/>
  <c r="D82" i="10"/>
  <c r="D50" i="10"/>
  <c r="D51" i="10"/>
  <c r="D58" i="10"/>
  <c r="D59" i="10"/>
  <c r="D61" i="10"/>
  <c r="D63" i="10"/>
  <c r="D65" i="10"/>
  <c r="D67" i="10"/>
  <c r="D69" i="10"/>
  <c r="D71" i="10"/>
  <c r="D73" i="10"/>
  <c r="D75" i="10"/>
  <c r="D77" i="10"/>
  <c r="D79" i="10"/>
  <c r="D81" i="10"/>
  <c r="D83" i="10"/>
  <c r="D6" i="10"/>
  <c r="D11" i="10"/>
  <c r="D14" i="10"/>
  <c r="D19" i="10"/>
  <c r="H19" i="10"/>
  <c r="D26" i="10"/>
  <c r="D27" i="10"/>
  <c r="D29" i="10"/>
  <c r="D37" i="10"/>
  <c r="D45" i="10"/>
  <c r="D53" i="10"/>
  <c r="D7" i="10"/>
  <c r="D10" i="10"/>
  <c r="D15" i="10"/>
  <c r="D18" i="10"/>
  <c r="D34" i="10"/>
  <c r="D35" i="10"/>
  <c r="D42" i="10"/>
  <c r="D43" i="10"/>
  <c r="D21" i="10"/>
  <c r="D9" i="10"/>
  <c r="D13" i="10"/>
  <c r="D17" i="10"/>
  <c r="D23" i="10"/>
  <c r="D31" i="10"/>
  <c r="D39" i="10"/>
  <c r="H23" i="10"/>
  <c r="H25" i="10"/>
  <c r="H29" i="10"/>
  <c r="H33" i="10"/>
  <c r="H35" i="10"/>
  <c r="H37" i="10"/>
  <c r="H43" i="10"/>
  <c r="H45" i="10"/>
  <c r="H47" i="10"/>
  <c r="H49" i="10"/>
  <c r="H51" i="10"/>
  <c r="H53" i="10"/>
  <c r="H55" i="10"/>
  <c r="H57" i="10"/>
  <c r="H59" i="10"/>
  <c r="H61" i="10"/>
  <c r="H63" i="10"/>
  <c r="H65" i="10"/>
  <c r="H67" i="10"/>
  <c r="H69" i="10"/>
  <c r="H71" i="10"/>
  <c r="H73" i="10"/>
  <c r="H75" i="10"/>
  <c r="H77" i="10"/>
  <c r="H79" i="10"/>
  <c r="H81" i="10"/>
  <c r="H83" i="10"/>
  <c r="H21" i="10"/>
  <c r="H27" i="10"/>
  <c r="H31" i="10"/>
  <c r="H39" i="10"/>
  <c r="H41" i="10"/>
  <c r="F553" i="3" l="1"/>
  <c r="BQ4" i="2"/>
  <c r="D4" i="2" s="1"/>
  <c r="BR4"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5" i="2"/>
  <c r="B7" i="7" l="1"/>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3" i="8"/>
  <c r="D2" i="8"/>
  <c r="E2" i="8"/>
  <c r="C6" i="7"/>
  <c r="C7" i="7"/>
  <c r="C8" i="7"/>
  <c r="C9" i="7"/>
  <c r="C10" i="7"/>
  <c r="C11" i="7"/>
  <c r="C12" i="7"/>
  <c r="C13" i="7"/>
  <c r="C14" i="7"/>
  <c r="C15" i="7"/>
  <c r="C16" i="7"/>
  <c r="C17" i="7"/>
  <c r="C18" i="7"/>
  <c r="C5" i="7"/>
  <c r="B5" i="7"/>
  <c r="B4" i="7"/>
  <c r="B59" i="7"/>
  <c r="B50" i="7"/>
  <c r="B58" i="7"/>
  <c r="B76" i="7"/>
  <c r="B61" i="7"/>
  <c r="B71" i="7"/>
  <c r="B75" i="7"/>
  <c r="B80" i="7"/>
  <c r="B74" i="7"/>
  <c r="B26" i="7"/>
  <c r="B36" i="7"/>
  <c r="B81" i="7"/>
  <c r="B77" i="7"/>
  <c r="B79" i="7"/>
  <c r="B67" i="7"/>
  <c r="B78" i="7"/>
  <c r="B45" i="7"/>
  <c r="B39" i="7"/>
  <c r="B10" i="7"/>
  <c r="B65" i="7"/>
  <c r="B73" i="7"/>
  <c r="B56" i="7"/>
  <c r="B57" i="7"/>
  <c r="B55" i="7"/>
  <c r="B34" i="7"/>
  <c r="B35" i="7"/>
  <c r="B51" i="7"/>
  <c r="B40" i="7"/>
  <c r="B38" i="7"/>
  <c r="B47" i="7"/>
  <c r="B29" i="7"/>
  <c r="B52" i="7"/>
  <c r="B37" i="7"/>
  <c r="B20" i="7"/>
  <c r="B72" i="7"/>
  <c r="B6" i="7"/>
  <c r="B23" i="7"/>
  <c r="B12" i="7"/>
  <c r="D12" i="7" s="1"/>
  <c r="B32" i="7"/>
  <c r="B43" i="7"/>
  <c r="B42" i="7"/>
  <c r="B9" i="7"/>
  <c r="B27" i="7"/>
  <c r="B25" i="7"/>
  <c r="B17" i="7"/>
  <c r="B28" i="7"/>
  <c r="B46" i="7"/>
  <c r="D46" i="7" s="1"/>
  <c r="B53" i="7"/>
  <c r="B31" i="7"/>
  <c r="B15" i="7"/>
  <c r="B19" i="7"/>
  <c r="B48" i="7"/>
  <c r="B18" i="7"/>
  <c r="B8" i="7"/>
  <c r="B22" i="7"/>
  <c r="B30" i="7"/>
  <c r="B11" i="7"/>
  <c r="B24" i="7"/>
  <c r="B13" i="7"/>
  <c r="B14" i="7"/>
  <c r="B21" i="7"/>
  <c r="B16" i="7"/>
  <c r="D16" i="7" s="1"/>
  <c r="B66" i="7"/>
  <c r="B69" i="7"/>
  <c r="B54" i="7"/>
  <c r="B62" i="7"/>
  <c r="B68" i="7"/>
  <c r="B64" i="7"/>
  <c r="B82" i="7"/>
  <c r="B60" i="7"/>
  <c r="B49" i="7"/>
  <c r="B44" i="7"/>
  <c r="B41" i="7"/>
  <c r="B70" i="7"/>
  <c r="B33" i="7"/>
  <c r="B63" i="7"/>
  <c r="H3" i="3"/>
  <c r="I3" i="3"/>
  <c r="H4" i="3"/>
  <c r="I4" i="3"/>
  <c r="J4" i="3" s="1"/>
  <c r="H5" i="3"/>
  <c r="I5" i="3"/>
  <c r="H6" i="3"/>
  <c r="I6" i="3"/>
  <c r="H7" i="3"/>
  <c r="I7" i="3"/>
  <c r="H8" i="3"/>
  <c r="I8" i="3"/>
  <c r="J8" i="3" s="1"/>
  <c r="H9" i="3"/>
  <c r="I9" i="3"/>
  <c r="H10" i="3"/>
  <c r="I10" i="3"/>
  <c r="H11" i="3"/>
  <c r="I11" i="3"/>
  <c r="H12" i="3"/>
  <c r="I12" i="3"/>
  <c r="H13" i="3"/>
  <c r="I13" i="3"/>
  <c r="H14" i="3"/>
  <c r="I14" i="3"/>
  <c r="H15" i="3"/>
  <c r="I15" i="3"/>
  <c r="H16" i="3"/>
  <c r="I16" i="3"/>
  <c r="H17" i="3"/>
  <c r="I17" i="3"/>
  <c r="H18" i="3"/>
  <c r="I18" i="3"/>
  <c r="H19" i="3"/>
  <c r="I19" i="3"/>
  <c r="H20" i="3"/>
  <c r="I20" i="3"/>
  <c r="H21" i="3"/>
  <c r="I21" i="3"/>
  <c r="H22" i="3"/>
  <c r="I22" i="3"/>
  <c r="H23" i="3"/>
  <c r="I23" i="3"/>
  <c r="H24" i="3"/>
  <c r="I24" i="3"/>
  <c r="J24" i="3" s="1"/>
  <c r="H25" i="3"/>
  <c r="I25" i="3"/>
  <c r="H26" i="3"/>
  <c r="I26" i="3"/>
  <c r="H27" i="3"/>
  <c r="I27" i="3"/>
  <c r="H28" i="3"/>
  <c r="I28" i="3"/>
  <c r="H29" i="3"/>
  <c r="I29" i="3"/>
  <c r="H30" i="3"/>
  <c r="I30" i="3"/>
  <c r="H31" i="3"/>
  <c r="I31" i="3"/>
  <c r="H32" i="3"/>
  <c r="I32" i="3"/>
  <c r="H33" i="3"/>
  <c r="I33" i="3"/>
  <c r="H34" i="3"/>
  <c r="I34" i="3"/>
  <c r="H35" i="3"/>
  <c r="I35" i="3"/>
  <c r="H36" i="3"/>
  <c r="I36" i="3"/>
  <c r="J36" i="3" s="1"/>
  <c r="H37" i="3"/>
  <c r="I37" i="3"/>
  <c r="H38" i="3"/>
  <c r="I38" i="3"/>
  <c r="H39" i="3"/>
  <c r="I39" i="3"/>
  <c r="H40" i="3"/>
  <c r="I40" i="3"/>
  <c r="H41" i="3"/>
  <c r="I41" i="3"/>
  <c r="H42" i="3"/>
  <c r="I42" i="3"/>
  <c r="H43" i="3"/>
  <c r="I43" i="3"/>
  <c r="H44" i="3"/>
  <c r="I44" i="3"/>
  <c r="H45" i="3"/>
  <c r="I45" i="3"/>
  <c r="H46" i="3"/>
  <c r="I46" i="3"/>
  <c r="H47" i="3"/>
  <c r="I47" i="3"/>
  <c r="H48" i="3"/>
  <c r="I48" i="3"/>
  <c r="H49" i="3"/>
  <c r="I49" i="3"/>
  <c r="H50" i="3"/>
  <c r="I50" i="3"/>
  <c r="H51" i="3"/>
  <c r="I51" i="3"/>
  <c r="H52" i="3"/>
  <c r="I52" i="3"/>
  <c r="H53" i="3"/>
  <c r="I53" i="3"/>
  <c r="H54" i="3"/>
  <c r="I54" i="3"/>
  <c r="H55" i="3"/>
  <c r="I55" i="3"/>
  <c r="H56" i="3"/>
  <c r="I56" i="3"/>
  <c r="H57" i="3"/>
  <c r="I57" i="3"/>
  <c r="H58" i="3"/>
  <c r="I58" i="3"/>
  <c r="H59" i="3"/>
  <c r="I59" i="3"/>
  <c r="H60" i="3"/>
  <c r="I60" i="3"/>
  <c r="H61" i="3"/>
  <c r="I61" i="3"/>
  <c r="H62" i="3"/>
  <c r="I62" i="3"/>
  <c r="H63" i="3"/>
  <c r="I63" i="3"/>
  <c r="H64" i="3"/>
  <c r="I64" i="3"/>
  <c r="H65" i="3"/>
  <c r="I65" i="3"/>
  <c r="H66" i="3"/>
  <c r="I66" i="3"/>
  <c r="H67" i="3"/>
  <c r="I67" i="3"/>
  <c r="H68" i="3"/>
  <c r="I68" i="3"/>
  <c r="J68" i="3" s="1"/>
  <c r="H69" i="3"/>
  <c r="I69" i="3"/>
  <c r="H70" i="3"/>
  <c r="I70" i="3"/>
  <c r="H71" i="3"/>
  <c r="I71" i="3"/>
  <c r="H72" i="3"/>
  <c r="I72" i="3"/>
  <c r="J72" i="3" s="1"/>
  <c r="H73" i="3"/>
  <c r="I73" i="3"/>
  <c r="H74" i="3"/>
  <c r="I74" i="3"/>
  <c r="H75" i="3"/>
  <c r="I75" i="3"/>
  <c r="H76" i="3"/>
  <c r="I76" i="3"/>
  <c r="H77" i="3"/>
  <c r="I77" i="3"/>
  <c r="H78" i="3"/>
  <c r="I78" i="3"/>
  <c r="H79" i="3"/>
  <c r="I79" i="3"/>
  <c r="H80" i="3"/>
  <c r="I80" i="3"/>
  <c r="H81" i="3"/>
  <c r="I81" i="3"/>
  <c r="H82" i="3"/>
  <c r="I82" i="3"/>
  <c r="H83" i="3"/>
  <c r="I83" i="3"/>
  <c r="H84" i="3"/>
  <c r="I84" i="3"/>
  <c r="J84" i="3" s="1"/>
  <c r="H85" i="3"/>
  <c r="I85" i="3"/>
  <c r="H86" i="3"/>
  <c r="I86" i="3"/>
  <c r="H87" i="3"/>
  <c r="I87" i="3"/>
  <c r="H88" i="3"/>
  <c r="I88" i="3"/>
  <c r="J88" i="3" s="1"/>
  <c r="H89" i="3"/>
  <c r="I89" i="3"/>
  <c r="H90" i="3"/>
  <c r="I90" i="3"/>
  <c r="H91" i="3"/>
  <c r="I91" i="3"/>
  <c r="H92" i="3"/>
  <c r="I92" i="3"/>
  <c r="H93" i="3"/>
  <c r="I93" i="3"/>
  <c r="H94" i="3"/>
  <c r="I94" i="3"/>
  <c r="H95" i="3"/>
  <c r="I95" i="3"/>
  <c r="H96" i="3"/>
  <c r="I96" i="3"/>
  <c r="H97" i="3"/>
  <c r="I97" i="3"/>
  <c r="H98" i="3"/>
  <c r="I98" i="3"/>
  <c r="H99" i="3"/>
  <c r="I99" i="3"/>
  <c r="H100" i="3"/>
  <c r="I100" i="3"/>
  <c r="J100" i="3" s="1"/>
  <c r="H101" i="3"/>
  <c r="I101" i="3"/>
  <c r="H102" i="3"/>
  <c r="I102" i="3"/>
  <c r="H103" i="3"/>
  <c r="I103" i="3"/>
  <c r="H104" i="3"/>
  <c r="I104" i="3"/>
  <c r="J104" i="3" s="1"/>
  <c r="H105" i="3"/>
  <c r="I105" i="3"/>
  <c r="H106" i="3"/>
  <c r="I106" i="3"/>
  <c r="H107" i="3"/>
  <c r="I107" i="3"/>
  <c r="H108" i="3"/>
  <c r="I108" i="3"/>
  <c r="H109" i="3"/>
  <c r="I109" i="3"/>
  <c r="H110" i="3"/>
  <c r="I110" i="3"/>
  <c r="H111" i="3"/>
  <c r="I111" i="3"/>
  <c r="H112" i="3"/>
  <c r="I112" i="3"/>
  <c r="H113" i="3"/>
  <c r="I113" i="3"/>
  <c r="H114" i="3"/>
  <c r="I114" i="3"/>
  <c r="H115" i="3"/>
  <c r="I115" i="3"/>
  <c r="H116" i="3"/>
  <c r="I116" i="3"/>
  <c r="J116" i="3" s="1"/>
  <c r="H117" i="3"/>
  <c r="I117" i="3"/>
  <c r="H118" i="3"/>
  <c r="I118" i="3"/>
  <c r="H119" i="3"/>
  <c r="I119" i="3"/>
  <c r="H120" i="3"/>
  <c r="I120" i="3"/>
  <c r="J120" i="3" s="1"/>
  <c r="H121" i="3"/>
  <c r="I121" i="3"/>
  <c r="H122" i="3"/>
  <c r="I122" i="3"/>
  <c r="H123" i="3"/>
  <c r="I123" i="3"/>
  <c r="H124" i="3"/>
  <c r="I124" i="3"/>
  <c r="H125" i="3"/>
  <c r="I125" i="3"/>
  <c r="H126" i="3"/>
  <c r="I126" i="3"/>
  <c r="H127" i="3"/>
  <c r="I127" i="3"/>
  <c r="H128" i="3"/>
  <c r="I128" i="3"/>
  <c r="H129" i="3"/>
  <c r="I129" i="3"/>
  <c r="H130" i="3"/>
  <c r="I130" i="3"/>
  <c r="H131" i="3"/>
  <c r="I131" i="3"/>
  <c r="H132" i="3"/>
  <c r="I132" i="3"/>
  <c r="H133" i="3"/>
  <c r="I133" i="3"/>
  <c r="H134" i="3"/>
  <c r="I134" i="3"/>
  <c r="H135" i="3"/>
  <c r="I135" i="3"/>
  <c r="H136" i="3"/>
  <c r="I136" i="3"/>
  <c r="J136" i="3" s="1"/>
  <c r="H137" i="3"/>
  <c r="I137" i="3"/>
  <c r="H138" i="3"/>
  <c r="I138" i="3"/>
  <c r="H139" i="3"/>
  <c r="I139" i="3"/>
  <c r="H140" i="3"/>
  <c r="I140" i="3"/>
  <c r="H141" i="3"/>
  <c r="I141" i="3"/>
  <c r="H142" i="3"/>
  <c r="I142" i="3"/>
  <c r="H143" i="3"/>
  <c r="I143" i="3"/>
  <c r="H144" i="3"/>
  <c r="I144" i="3"/>
  <c r="H145" i="3"/>
  <c r="I145" i="3"/>
  <c r="H146" i="3"/>
  <c r="I146" i="3"/>
  <c r="H147" i="3"/>
  <c r="I147" i="3"/>
  <c r="H148" i="3"/>
  <c r="I148" i="3"/>
  <c r="J148" i="3" s="1"/>
  <c r="H149" i="3"/>
  <c r="I149" i="3"/>
  <c r="H150" i="3"/>
  <c r="I150" i="3"/>
  <c r="H151" i="3"/>
  <c r="I151" i="3"/>
  <c r="H152" i="3"/>
  <c r="I152" i="3"/>
  <c r="H153" i="3"/>
  <c r="I153" i="3"/>
  <c r="H154" i="3"/>
  <c r="I154" i="3"/>
  <c r="H155" i="3"/>
  <c r="I155" i="3"/>
  <c r="H156" i="3"/>
  <c r="I156" i="3"/>
  <c r="H157" i="3"/>
  <c r="I157" i="3"/>
  <c r="H158" i="3"/>
  <c r="I158" i="3"/>
  <c r="H159" i="3"/>
  <c r="I159" i="3"/>
  <c r="H160" i="3"/>
  <c r="I160" i="3"/>
  <c r="H161" i="3"/>
  <c r="I161" i="3"/>
  <c r="H162" i="3"/>
  <c r="I162" i="3"/>
  <c r="H163" i="3"/>
  <c r="I163" i="3"/>
  <c r="H164" i="3"/>
  <c r="I164" i="3"/>
  <c r="J164" i="3" s="1"/>
  <c r="H165" i="3"/>
  <c r="I165" i="3"/>
  <c r="H166" i="3"/>
  <c r="I166" i="3"/>
  <c r="H167" i="3"/>
  <c r="I167" i="3"/>
  <c r="H168" i="3"/>
  <c r="I168" i="3"/>
  <c r="J168" i="3" s="1"/>
  <c r="H169" i="3"/>
  <c r="I169" i="3"/>
  <c r="H170" i="3"/>
  <c r="I170" i="3"/>
  <c r="H171" i="3"/>
  <c r="I171" i="3"/>
  <c r="H172" i="3"/>
  <c r="I172" i="3"/>
  <c r="H173" i="3"/>
  <c r="I173" i="3"/>
  <c r="H174" i="3"/>
  <c r="I174" i="3"/>
  <c r="H175" i="3"/>
  <c r="I175" i="3"/>
  <c r="H176" i="3"/>
  <c r="I176" i="3"/>
  <c r="H177" i="3"/>
  <c r="I177" i="3"/>
  <c r="H178" i="3"/>
  <c r="I178" i="3"/>
  <c r="H179" i="3"/>
  <c r="I179" i="3"/>
  <c r="H180" i="3"/>
  <c r="I180" i="3"/>
  <c r="J180" i="3" s="1"/>
  <c r="H181" i="3"/>
  <c r="I181" i="3"/>
  <c r="H182" i="3"/>
  <c r="I182" i="3"/>
  <c r="H183" i="3"/>
  <c r="I183" i="3"/>
  <c r="H184" i="3"/>
  <c r="I184" i="3"/>
  <c r="J184" i="3" s="1"/>
  <c r="H185" i="3"/>
  <c r="I185" i="3"/>
  <c r="H186" i="3"/>
  <c r="I186" i="3"/>
  <c r="H187" i="3"/>
  <c r="I187" i="3"/>
  <c r="H188" i="3"/>
  <c r="I188" i="3"/>
  <c r="H189" i="3"/>
  <c r="I189" i="3"/>
  <c r="H190" i="3"/>
  <c r="I190" i="3"/>
  <c r="H191" i="3"/>
  <c r="I191" i="3"/>
  <c r="H192" i="3"/>
  <c r="I192" i="3"/>
  <c r="H193" i="3"/>
  <c r="I193" i="3"/>
  <c r="H194" i="3"/>
  <c r="I194" i="3"/>
  <c r="H195" i="3"/>
  <c r="I195" i="3"/>
  <c r="H196" i="3"/>
  <c r="I196" i="3"/>
  <c r="H197" i="3"/>
  <c r="I197" i="3"/>
  <c r="H198" i="3"/>
  <c r="I198" i="3"/>
  <c r="H199" i="3"/>
  <c r="I199" i="3"/>
  <c r="H200" i="3"/>
  <c r="I200" i="3"/>
  <c r="J200" i="3" s="1"/>
  <c r="H201" i="3"/>
  <c r="I201" i="3"/>
  <c r="H202" i="3"/>
  <c r="I202" i="3"/>
  <c r="H203" i="3"/>
  <c r="I203" i="3"/>
  <c r="H204" i="3"/>
  <c r="I204" i="3"/>
  <c r="H205" i="3"/>
  <c r="I205" i="3"/>
  <c r="H206" i="3"/>
  <c r="I206" i="3"/>
  <c r="H207" i="3"/>
  <c r="I207" i="3"/>
  <c r="H208" i="3"/>
  <c r="I208" i="3"/>
  <c r="H209" i="3"/>
  <c r="I209" i="3"/>
  <c r="H210" i="3"/>
  <c r="I210" i="3"/>
  <c r="H211" i="3"/>
  <c r="I211" i="3"/>
  <c r="H212" i="3"/>
  <c r="I212" i="3"/>
  <c r="H213" i="3"/>
  <c r="I213" i="3"/>
  <c r="H214" i="3"/>
  <c r="I214" i="3"/>
  <c r="H215" i="3"/>
  <c r="I215" i="3"/>
  <c r="H216" i="3"/>
  <c r="I216" i="3"/>
  <c r="J216" i="3" s="1"/>
  <c r="H217" i="3"/>
  <c r="I217" i="3"/>
  <c r="H218" i="3"/>
  <c r="I218" i="3"/>
  <c r="H219" i="3"/>
  <c r="I219" i="3"/>
  <c r="H220" i="3"/>
  <c r="I220" i="3"/>
  <c r="H221" i="3"/>
  <c r="I221" i="3"/>
  <c r="H222" i="3"/>
  <c r="I222" i="3"/>
  <c r="H223" i="3"/>
  <c r="I223" i="3"/>
  <c r="H224" i="3"/>
  <c r="I224" i="3"/>
  <c r="H225" i="3"/>
  <c r="I225" i="3"/>
  <c r="H226" i="3"/>
  <c r="I226" i="3"/>
  <c r="H227" i="3"/>
  <c r="I227" i="3"/>
  <c r="H228" i="3"/>
  <c r="I228" i="3"/>
  <c r="J228" i="3" s="1"/>
  <c r="H229" i="3"/>
  <c r="I229" i="3"/>
  <c r="H230" i="3"/>
  <c r="I230" i="3"/>
  <c r="H231" i="3"/>
  <c r="I231" i="3"/>
  <c r="H232" i="3"/>
  <c r="I232" i="3"/>
  <c r="H233" i="3"/>
  <c r="I233" i="3"/>
  <c r="H234" i="3"/>
  <c r="I234" i="3"/>
  <c r="H235" i="3"/>
  <c r="I235" i="3"/>
  <c r="H236" i="3"/>
  <c r="I236" i="3"/>
  <c r="H237" i="3"/>
  <c r="I237" i="3"/>
  <c r="H238" i="3"/>
  <c r="I238" i="3"/>
  <c r="H239" i="3"/>
  <c r="I239" i="3"/>
  <c r="H240" i="3"/>
  <c r="I240" i="3"/>
  <c r="H241" i="3"/>
  <c r="I241" i="3"/>
  <c r="H242" i="3"/>
  <c r="I242" i="3"/>
  <c r="H243" i="3"/>
  <c r="I243" i="3"/>
  <c r="H244" i="3"/>
  <c r="I244" i="3"/>
  <c r="J244" i="3" s="1"/>
  <c r="H245" i="3"/>
  <c r="I245" i="3"/>
  <c r="H246" i="3"/>
  <c r="I246" i="3"/>
  <c r="H247" i="3"/>
  <c r="I247" i="3"/>
  <c r="H248" i="3"/>
  <c r="I248" i="3"/>
  <c r="J248" i="3" s="1"/>
  <c r="H249" i="3"/>
  <c r="I249" i="3"/>
  <c r="H250" i="3"/>
  <c r="I250" i="3"/>
  <c r="H251" i="3"/>
  <c r="I251" i="3"/>
  <c r="H252" i="3"/>
  <c r="I252" i="3"/>
  <c r="H253" i="3"/>
  <c r="I253" i="3"/>
  <c r="H254" i="3"/>
  <c r="I254" i="3"/>
  <c r="H255" i="3"/>
  <c r="I255" i="3"/>
  <c r="H256" i="3"/>
  <c r="I256" i="3"/>
  <c r="H257" i="3"/>
  <c r="I257" i="3"/>
  <c r="H258" i="3"/>
  <c r="I258" i="3"/>
  <c r="H259" i="3"/>
  <c r="I259" i="3"/>
  <c r="H260" i="3"/>
  <c r="I260" i="3"/>
  <c r="J260" i="3" s="1"/>
  <c r="H261" i="3"/>
  <c r="I261" i="3"/>
  <c r="H262" i="3"/>
  <c r="I262" i="3"/>
  <c r="H263" i="3"/>
  <c r="I263" i="3"/>
  <c r="H264" i="3"/>
  <c r="I264" i="3"/>
  <c r="H265" i="3"/>
  <c r="I265" i="3"/>
  <c r="H266" i="3"/>
  <c r="I266" i="3"/>
  <c r="H267" i="3"/>
  <c r="I267" i="3"/>
  <c r="H268" i="3"/>
  <c r="I268" i="3"/>
  <c r="H269" i="3"/>
  <c r="I269" i="3"/>
  <c r="H270" i="3"/>
  <c r="I270" i="3"/>
  <c r="H271" i="3"/>
  <c r="I271" i="3"/>
  <c r="H272" i="3"/>
  <c r="I272" i="3"/>
  <c r="H273" i="3"/>
  <c r="I273" i="3"/>
  <c r="H274" i="3"/>
  <c r="I274" i="3"/>
  <c r="H275" i="3"/>
  <c r="I275" i="3"/>
  <c r="H276" i="3"/>
  <c r="I276" i="3"/>
  <c r="H277" i="3"/>
  <c r="I277" i="3"/>
  <c r="H278" i="3"/>
  <c r="I278" i="3"/>
  <c r="H279" i="3"/>
  <c r="I279" i="3"/>
  <c r="H280" i="3"/>
  <c r="I280" i="3"/>
  <c r="H281" i="3"/>
  <c r="I281" i="3"/>
  <c r="H282" i="3"/>
  <c r="I282" i="3"/>
  <c r="H283" i="3"/>
  <c r="I283" i="3"/>
  <c r="H284" i="3"/>
  <c r="I284" i="3"/>
  <c r="H285" i="3"/>
  <c r="I285" i="3"/>
  <c r="H286" i="3"/>
  <c r="I286" i="3"/>
  <c r="H287" i="3"/>
  <c r="I287" i="3"/>
  <c r="H288" i="3"/>
  <c r="I288" i="3"/>
  <c r="H289" i="3"/>
  <c r="I289" i="3"/>
  <c r="H290" i="3"/>
  <c r="I290" i="3"/>
  <c r="H291" i="3"/>
  <c r="I291" i="3"/>
  <c r="H292" i="3"/>
  <c r="I292" i="3"/>
  <c r="J292" i="3" s="1"/>
  <c r="H293" i="3"/>
  <c r="I293" i="3"/>
  <c r="H294" i="3"/>
  <c r="I294" i="3"/>
  <c r="H295" i="3"/>
  <c r="I295" i="3"/>
  <c r="H296" i="3"/>
  <c r="I296" i="3"/>
  <c r="J296" i="3" s="1"/>
  <c r="H297" i="3"/>
  <c r="I297" i="3"/>
  <c r="H298" i="3"/>
  <c r="I298" i="3"/>
  <c r="H299" i="3"/>
  <c r="I299" i="3"/>
  <c r="H300" i="3"/>
  <c r="I300" i="3"/>
  <c r="H301" i="3"/>
  <c r="I301" i="3"/>
  <c r="H302" i="3"/>
  <c r="I302" i="3"/>
  <c r="H303" i="3"/>
  <c r="I303" i="3"/>
  <c r="H304" i="3"/>
  <c r="I304" i="3"/>
  <c r="H305" i="3"/>
  <c r="I305" i="3"/>
  <c r="H306" i="3"/>
  <c r="I306" i="3"/>
  <c r="H307" i="3"/>
  <c r="I307" i="3"/>
  <c r="H308" i="3"/>
  <c r="I308" i="3"/>
  <c r="H309" i="3"/>
  <c r="I309" i="3"/>
  <c r="H310" i="3"/>
  <c r="I310" i="3"/>
  <c r="H311" i="3"/>
  <c r="I311" i="3"/>
  <c r="H312" i="3"/>
  <c r="I312" i="3"/>
  <c r="H313" i="3"/>
  <c r="I313" i="3"/>
  <c r="H314" i="3"/>
  <c r="I314" i="3"/>
  <c r="H315" i="3"/>
  <c r="I315" i="3"/>
  <c r="H316" i="3"/>
  <c r="I316" i="3"/>
  <c r="H317" i="3"/>
  <c r="I317" i="3"/>
  <c r="H318" i="3"/>
  <c r="I318" i="3"/>
  <c r="H319" i="3"/>
  <c r="I319" i="3"/>
  <c r="H320" i="3"/>
  <c r="I320" i="3"/>
  <c r="H321" i="3"/>
  <c r="I321" i="3"/>
  <c r="H322" i="3"/>
  <c r="I322" i="3"/>
  <c r="H323" i="3"/>
  <c r="I323" i="3"/>
  <c r="H324" i="3"/>
  <c r="I324" i="3"/>
  <c r="J324" i="3" s="1"/>
  <c r="H325" i="3"/>
  <c r="I325" i="3"/>
  <c r="H326" i="3"/>
  <c r="I326" i="3"/>
  <c r="H327" i="3"/>
  <c r="I327" i="3"/>
  <c r="H328" i="3"/>
  <c r="I328" i="3"/>
  <c r="J328" i="3" s="1"/>
  <c r="H329" i="3"/>
  <c r="I329" i="3"/>
  <c r="H330" i="3"/>
  <c r="I330" i="3"/>
  <c r="H331" i="3"/>
  <c r="I331" i="3"/>
  <c r="H332" i="3"/>
  <c r="I332" i="3"/>
  <c r="H333" i="3"/>
  <c r="I333" i="3"/>
  <c r="H334" i="3"/>
  <c r="I334" i="3"/>
  <c r="H335" i="3"/>
  <c r="I335" i="3"/>
  <c r="H336" i="3"/>
  <c r="I336" i="3"/>
  <c r="H337" i="3"/>
  <c r="I337" i="3"/>
  <c r="H338" i="3"/>
  <c r="I338" i="3"/>
  <c r="H339" i="3"/>
  <c r="I339" i="3"/>
  <c r="H340" i="3"/>
  <c r="I340" i="3"/>
  <c r="J340" i="3" s="1"/>
  <c r="H341" i="3"/>
  <c r="I341" i="3"/>
  <c r="H342" i="3"/>
  <c r="I342" i="3"/>
  <c r="H343" i="3"/>
  <c r="I343" i="3"/>
  <c r="H344" i="3"/>
  <c r="I344" i="3"/>
  <c r="H345" i="3"/>
  <c r="I345" i="3"/>
  <c r="H346" i="3"/>
  <c r="I346" i="3"/>
  <c r="H347" i="3"/>
  <c r="I347" i="3"/>
  <c r="H348" i="3"/>
  <c r="I348" i="3"/>
  <c r="J348" i="3" s="1"/>
  <c r="H349" i="3"/>
  <c r="I349" i="3"/>
  <c r="H350" i="3"/>
  <c r="I350" i="3"/>
  <c r="H351" i="3"/>
  <c r="I351" i="3"/>
  <c r="H352" i="3"/>
  <c r="I352" i="3"/>
  <c r="J352" i="3" s="1"/>
  <c r="H353" i="3"/>
  <c r="I353" i="3"/>
  <c r="H354" i="3"/>
  <c r="I354" i="3"/>
  <c r="H355" i="3"/>
  <c r="I355" i="3"/>
  <c r="H356" i="3"/>
  <c r="I356" i="3"/>
  <c r="J356" i="3" s="1"/>
  <c r="H357" i="3"/>
  <c r="I357" i="3"/>
  <c r="H358" i="3"/>
  <c r="I358" i="3"/>
  <c r="H359" i="3"/>
  <c r="I359" i="3"/>
  <c r="H360" i="3"/>
  <c r="I360" i="3"/>
  <c r="J360" i="3" s="1"/>
  <c r="H361" i="3"/>
  <c r="I361" i="3"/>
  <c r="H362" i="3"/>
  <c r="I362" i="3"/>
  <c r="H363" i="3"/>
  <c r="I363" i="3"/>
  <c r="H364" i="3"/>
  <c r="I364" i="3"/>
  <c r="J364" i="3" s="1"/>
  <c r="H365" i="3"/>
  <c r="I365" i="3"/>
  <c r="H366" i="3"/>
  <c r="I366" i="3"/>
  <c r="H367" i="3"/>
  <c r="I367" i="3"/>
  <c r="H368" i="3"/>
  <c r="I368" i="3"/>
  <c r="H369" i="3"/>
  <c r="I369" i="3"/>
  <c r="H370" i="3"/>
  <c r="I370" i="3"/>
  <c r="H371" i="3"/>
  <c r="I371" i="3"/>
  <c r="H372" i="3"/>
  <c r="I372" i="3"/>
  <c r="J372" i="3" s="1"/>
  <c r="H373" i="3"/>
  <c r="I373" i="3"/>
  <c r="H374" i="3"/>
  <c r="I374" i="3"/>
  <c r="H375" i="3"/>
  <c r="I375" i="3"/>
  <c r="H376" i="3"/>
  <c r="I376" i="3"/>
  <c r="H377" i="3"/>
  <c r="I377" i="3"/>
  <c r="H378" i="3"/>
  <c r="I378" i="3"/>
  <c r="H379" i="3"/>
  <c r="I379" i="3"/>
  <c r="H380" i="3"/>
  <c r="I380" i="3"/>
  <c r="J380" i="3" s="1"/>
  <c r="H381" i="3"/>
  <c r="I381" i="3"/>
  <c r="H382" i="3"/>
  <c r="I382" i="3"/>
  <c r="H383" i="3"/>
  <c r="I383" i="3"/>
  <c r="H384" i="3"/>
  <c r="I384" i="3"/>
  <c r="J384" i="3" s="1"/>
  <c r="H385" i="3"/>
  <c r="I385" i="3"/>
  <c r="H386" i="3"/>
  <c r="I386" i="3"/>
  <c r="H387" i="3"/>
  <c r="I387" i="3"/>
  <c r="H388" i="3"/>
  <c r="I388" i="3"/>
  <c r="J388" i="3" s="1"/>
  <c r="H389" i="3"/>
  <c r="I389" i="3"/>
  <c r="H390" i="3"/>
  <c r="I390" i="3"/>
  <c r="H391" i="3"/>
  <c r="I391" i="3"/>
  <c r="H392" i="3"/>
  <c r="I392" i="3"/>
  <c r="H393" i="3"/>
  <c r="I393" i="3"/>
  <c r="H394" i="3"/>
  <c r="I394" i="3"/>
  <c r="H395" i="3"/>
  <c r="I395" i="3"/>
  <c r="H396" i="3"/>
  <c r="I396" i="3"/>
  <c r="J396" i="3" s="1"/>
  <c r="H397" i="3"/>
  <c r="I397" i="3"/>
  <c r="H398" i="3"/>
  <c r="I398" i="3"/>
  <c r="H399" i="3"/>
  <c r="I399" i="3"/>
  <c r="H400" i="3"/>
  <c r="I400" i="3"/>
  <c r="J400" i="3" s="1"/>
  <c r="H401" i="3"/>
  <c r="I401" i="3"/>
  <c r="H402" i="3"/>
  <c r="I402" i="3"/>
  <c r="H403" i="3"/>
  <c r="I403" i="3"/>
  <c r="H404" i="3"/>
  <c r="I404" i="3"/>
  <c r="J404" i="3" s="1"/>
  <c r="H405" i="3"/>
  <c r="I405" i="3"/>
  <c r="H406" i="3"/>
  <c r="I406" i="3"/>
  <c r="H407" i="3"/>
  <c r="I407" i="3"/>
  <c r="H408" i="3"/>
  <c r="I408" i="3"/>
  <c r="H409" i="3"/>
  <c r="I409" i="3"/>
  <c r="H410" i="3"/>
  <c r="I410" i="3"/>
  <c r="H411" i="3"/>
  <c r="I411" i="3"/>
  <c r="H412" i="3"/>
  <c r="I412" i="3"/>
  <c r="J412" i="3" s="1"/>
  <c r="H413" i="3"/>
  <c r="I413" i="3"/>
  <c r="H414" i="3"/>
  <c r="I414" i="3"/>
  <c r="H415" i="3"/>
  <c r="I415" i="3"/>
  <c r="H416" i="3"/>
  <c r="I416" i="3"/>
  <c r="H417" i="3"/>
  <c r="I417" i="3"/>
  <c r="H418" i="3"/>
  <c r="I418" i="3"/>
  <c r="H419" i="3"/>
  <c r="I419" i="3"/>
  <c r="H420" i="3"/>
  <c r="I420" i="3"/>
  <c r="H421" i="3"/>
  <c r="I421" i="3"/>
  <c r="H422" i="3"/>
  <c r="I422" i="3"/>
  <c r="H423" i="3"/>
  <c r="I423" i="3"/>
  <c r="H424" i="3"/>
  <c r="I424" i="3"/>
  <c r="J424" i="3" s="1"/>
  <c r="H425" i="3"/>
  <c r="I425" i="3"/>
  <c r="H426" i="3"/>
  <c r="I426" i="3"/>
  <c r="H427" i="3"/>
  <c r="I427" i="3"/>
  <c r="H428" i="3"/>
  <c r="I428" i="3"/>
  <c r="J428" i="3" s="1"/>
  <c r="H429" i="3"/>
  <c r="I429" i="3"/>
  <c r="H430" i="3"/>
  <c r="I430" i="3"/>
  <c r="H431" i="3"/>
  <c r="I431" i="3"/>
  <c r="H432" i="3"/>
  <c r="I432" i="3"/>
  <c r="H433" i="3"/>
  <c r="I433" i="3"/>
  <c r="H434" i="3"/>
  <c r="I434" i="3"/>
  <c r="H435" i="3"/>
  <c r="I435" i="3"/>
  <c r="H436" i="3"/>
  <c r="I436" i="3"/>
  <c r="J436" i="3" s="1"/>
  <c r="H437" i="3"/>
  <c r="I437" i="3"/>
  <c r="H438" i="3"/>
  <c r="I438" i="3"/>
  <c r="H439" i="3"/>
  <c r="I439" i="3"/>
  <c r="H440" i="3"/>
  <c r="I440" i="3"/>
  <c r="H441" i="3"/>
  <c r="I441" i="3"/>
  <c r="H442" i="3"/>
  <c r="I442" i="3"/>
  <c r="H443" i="3"/>
  <c r="I443" i="3"/>
  <c r="H444" i="3"/>
  <c r="I444" i="3"/>
  <c r="J444" i="3" s="1"/>
  <c r="H445" i="3"/>
  <c r="I445" i="3"/>
  <c r="H446" i="3"/>
  <c r="I446" i="3"/>
  <c r="H447" i="3"/>
  <c r="I447" i="3"/>
  <c r="H448" i="3"/>
  <c r="I448" i="3"/>
  <c r="J448" i="3" s="1"/>
  <c r="H449" i="3"/>
  <c r="I449" i="3"/>
  <c r="H450" i="3"/>
  <c r="I450" i="3"/>
  <c r="H451" i="3"/>
  <c r="I451" i="3"/>
  <c r="H452" i="3"/>
  <c r="I452" i="3"/>
  <c r="J452" i="3" s="1"/>
  <c r="H453" i="3"/>
  <c r="I453" i="3"/>
  <c r="H454" i="3"/>
  <c r="I454" i="3"/>
  <c r="H455" i="3"/>
  <c r="I455" i="3"/>
  <c r="H456" i="3"/>
  <c r="I456" i="3"/>
  <c r="J456" i="3" s="1"/>
  <c r="H457" i="3"/>
  <c r="I457" i="3"/>
  <c r="H458" i="3"/>
  <c r="I458" i="3"/>
  <c r="H459" i="3"/>
  <c r="I459" i="3"/>
  <c r="H460" i="3"/>
  <c r="I460" i="3"/>
  <c r="H461" i="3"/>
  <c r="I461" i="3"/>
  <c r="H462" i="3"/>
  <c r="I462" i="3"/>
  <c r="H463" i="3"/>
  <c r="I463" i="3"/>
  <c r="H464" i="3"/>
  <c r="I464" i="3"/>
  <c r="H465" i="3"/>
  <c r="I465" i="3"/>
  <c r="H466" i="3"/>
  <c r="I466" i="3"/>
  <c r="H467" i="3"/>
  <c r="I467" i="3"/>
  <c r="H468" i="3"/>
  <c r="I468" i="3"/>
  <c r="J468" i="3" s="1"/>
  <c r="H469" i="3"/>
  <c r="I469" i="3"/>
  <c r="H470" i="3"/>
  <c r="I470" i="3"/>
  <c r="H471" i="3"/>
  <c r="I471" i="3"/>
  <c r="H472" i="3"/>
  <c r="I472" i="3"/>
  <c r="H473" i="3"/>
  <c r="I473" i="3"/>
  <c r="H474" i="3"/>
  <c r="I474" i="3"/>
  <c r="H475" i="3"/>
  <c r="I475" i="3"/>
  <c r="H476" i="3"/>
  <c r="I476" i="3"/>
  <c r="H477" i="3"/>
  <c r="I477" i="3"/>
  <c r="H478" i="3"/>
  <c r="I478" i="3"/>
  <c r="H479" i="3"/>
  <c r="I479" i="3"/>
  <c r="H480" i="3"/>
  <c r="I480" i="3"/>
  <c r="J480" i="3" s="1"/>
  <c r="H481" i="3"/>
  <c r="I481" i="3"/>
  <c r="H482" i="3"/>
  <c r="I482" i="3"/>
  <c r="H483" i="3"/>
  <c r="I483" i="3"/>
  <c r="H484" i="3"/>
  <c r="I484" i="3"/>
  <c r="H485" i="3"/>
  <c r="I485" i="3"/>
  <c r="H486" i="3"/>
  <c r="I486" i="3"/>
  <c r="H487" i="3"/>
  <c r="I487" i="3"/>
  <c r="H488" i="3"/>
  <c r="I488" i="3"/>
  <c r="J488" i="3" s="1"/>
  <c r="H489" i="3"/>
  <c r="I489" i="3"/>
  <c r="H490" i="3"/>
  <c r="I490" i="3"/>
  <c r="H491" i="3"/>
  <c r="I491" i="3"/>
  <c r="H492" i="3"/>
  <c r="I492" i="3"/>
  <c r="J492" i="3" s="1"/>
  <c r="H493" i="3"/>
  <c r="I493" i="3"/>
  <c r="H494" i="3"/>
  <c r="I494" i="3"/>
  <c r="H495" i="3"/>
  <c r="I495" i="3"/>
  <c r="H496" i="3"/>
  <c r="I496" i="3"/>
  <c r="J496" i="3" s="1"/>
  <c r="H497" i="3"/>
  <c r="I497" i="3"/>
  <c r="H498" i="3"/>
  <c r="I498" i="3"/>
  <c r="H499" i="3"/>
  <c r="I499" i="3"/>
  <c r="H500" i="3"/>
  <c r="I500" i="3"/>
  <c r="H501" i="3"/>
  <c r="I501" i="3"/>
  <c r="H502" i="3"/>
  <c r="I502" i="3"/>
  <c r="H503" i="3"/>
  <c r="I503" i="3"/>
  <c r="H504" i="3"/>
  <c r="I504" i="3"/>
  <c r="H505" i="3"/>
  <c r="I505" i="3"/>
  <c r="H506" i="3"/>
  <c r="I506" i="3"/>
  <c r="H507" i="3"/>
  <c r="I507" i="3"/>
  <c r="H508" i="3"/>
  <c r="I508" i="3"/>
  <c r="J508" i="3" s="1"/>
  <c r="H509" i="3"/>
  <c r="I509" i="3"/>
  <c r="H510" i="3"/>
  <c r="I510" i="3"/>
  <c r="H511" i="3"/>
  <c r="I511" i="3"/>
  <c r="H512" i="3"/>
  <c r="I512" i="3"/>
  <c r="J512" i="3" s="1"/>
  <c r="H513" i="3"/>
  <c r="I513" i="3"/>
  <c r="H514" i="3"/>
  <c r="I514" i="3"/>
  <c r="H515" i="3"/>
  <c r="I515" i="3"/>
  <c r="H516" i="3"/>
  <c r="I516" i="3"/>
  <c r="J516" i="3" s="1"/>
  <c r="H517" i="3"/>
  <c r="I517" i="3"/>
  <c r="H518" i="3"/>
  <c r="I518" i="3"/>
  <c r="H519" i="3"/>
  <c r="I519" i="3"/>
  <c r="H520" i="3"/>
  <c r="I520" i="3"/>
  <c r="H521" i="3"/>
  <c r="I521" i="3"/>
  <c r="H522" i="3"/>
  <c r="I522" i="3"/>
  <c r="H523" i="3"/>
  <c r="I523" i="3"/>
  <c r="H524" i="3"/>
  <c r="I524" i="3"/>
  <c r="J524" i="3" s="1"/>
  <c r="H525" i="3"/>
  <c r="I525" i="3"/>
  <c r="H526" i="3"/>
  <c r="I526" i="3"/>
  <c r="H527" i="3"/>
  <c r="I527" i="3"/>
  <c r="H528" i="3"/>
  <c r="I528" i="3"/>
  <c r="J528" i="3" s="1"/>
  <c r="H529" i="3"/>
  <c r="I529" i="3"/>
  <c r="H530" i="3"/>
  <c r="I530" i="3"/>
  <c r="H531" i="3"/>
  <c r="I531" i="3"/>
  <c r="H532" i="3"/>
  <c r="I532" i="3"/>
  <c r="H533" i="3"/>
  <c r="I533" i="3"/>
  <c r="H534" i="3"/>
  <c r="I534" i="3"/>
  <c r="H535" i="3"/>
  <c r="I535" i="3"/>
  <c r="H536" i="3"/>
  <c r="I536" i="3"/>
  <c r="J536" i="3" s="1"/>
  <c r="H537" i="3"/>
  <c r="I537" i="3"/>
  <c r="H538" i="3"/>
  <c r="I538" i="3"/>
  <c r="H539" i="3"/>
  <c r="I539" i="3"/>
  <c r="H540" i="3"/>
  <c r="I540" i="3"/>
  <c r="J540" i="3" s="1"/>
  <c r="H541" i="3"/>
  <c r="I541" i="3"/>
  <c r="H542" i="3"/>
  <c r="I542" i="3"/>
  <c r="H543" i="3"/>
  <c r="I543" i="3"/>
  <c r="H544" i="3"/>
  <c r="I544" i="3"/>
  <c r="H545" i="3"/>
  <c r="I545" i="3"/>
  <c r="H546" i="3"/>
  <c r="I546" i="3"/>
  <c r="H547" i="3"/>
  <c r="I547" i="3"/>
  <c r="H548" i="3"/>
  <c r="I548" i="3"/>
  <c r="J548" i="3" s="1"/>
  <c r="H549" i="3"/>
  <c r="I549" i="3"/>
  <c r="H550" i="3"/>
  <c r="I550" i="3"/>
  <c r="H551" i="3"/>
  <c r="I551" i="3"/>
  <c r="H552" i="3"/>
  <c r="I552" i="3"/>
  <c r="H553" i="3"/>
  <c r="J553" i="3" s="1"/>
  <c r="I553" i="3"/>
  <c r="H554" i="3"/>
  <c r="I554" i="3"/>
  <c r="H555" i="3"/>
  <c r="I555" i="3"/>
  <c r="H556" i="3"/>
  <c r="I556" i="3"/>
  <c r="H557" i="3"/>
  <c r="I557" i="3"/>
  <c r="H558" i="3"/>
  <c r="I558" i="3"/>
  <c r="H559" i="3"/>
  <c r="I559" i="3"/>
  <c r="H560" i="3"/>
  <c r="I560" i="3"/>
  <c r="J560" i="3" s="1"/>
  <c r="H561" i="3"/>
  <c r="I561" i="3"/>
  <c r="H562" i="3"/>
  <c r="I562" i="3"/>
  <c r="H563" i="3"/>
  <c r="I563" i="3"/>
  <c r="H564" i="3"/>
  <c r="I564" i="3"/>
  <c r="H565" i="3"/>
  <c r="I565" i="3"/>
  <c r="H566" i="3"/>
  <c r="I566" i="3"/>
  <c r="H567" i="3"/>
  <c r="I567" i="3"/>
  <c r="H568" i="3"/>
  <c r="I568" i="3"/>
  <c r="J568" i="3" s="1"/>
  <c r="H569" i="3"/>
  <c r="I569" i="3"/>
  <c r="H570" i="3"/>
  <c r="I570" i="3"/>
  <c r="H571" i="3"/>
  <c r="I571" i="3"/>
  <c r="H572" i="3"/>
  <c r="J572" i="3" s="1"/>
  <c r="I572" i="3"/>
  <c r="I2" i="3"/>
  <c r="H2" i="3"/>
  <c r="J5" i="3"/>
  <c r="J13" i="3"/>
  <c r="J25" i="3"/>
  <c r="J35" i="3"/>
  <c r="J47" i="3"/>
  <c r="J55" i="3"/>
  <c r="J63" i="3"/>
  <c r="J71" i="3"/>
  <c r="J73" i="3"/>
  <c r="J77" i="3"/>
  <c r="J83" i="3"/>
  <c r="J85" i="3"/>
  <c r="J87" i="3"/>
  <c r="J95" i="3"/>
  <c r="J97" i="3"/>
  <c r="J103" i="3"/>
  <c r="J107" i="3"/>
  <c r="J111" i="3"/>
  <c r="J119" i="3"/>
  <c r="J125" i="3"/>
  <c r="J127" i="3"/>
  <c r="J135" i="3"/>
  <c r="J137" i="3"/>
  <c r="J145" i="3"/>
  <c r="J149" i="3"/>
  <c r="J151" i="3"/>
  <c r="J152" i="3"/>
  <c r="J155" i="3"/>
  <c r="J157" i="3"/>
  <c r="J167" i="3"/>
  <c r="J169" i="3"/>
  <c r="J175" i="3"/>
  <c r="J179" i="3"/>
  <c r="J185" i="3"/>
  <c r="J191" i="3"/>
  <c r="J193" i="3"/>
  <c r="J203" i="3"/>
  <c r="J205" i="3"/>
  <c r="J211" i="3"/>
  <c r="J213" i="3"/>
  <c r="J217" i="3"/>
  <c r="J221" i="3"/>
  <c r="J227" i="3"/>
  <c r="J231" i="3"/>
  <c r="J239" i="3"/>
  <c r="J241" i="3"/>
  <c r="J249" i="3"/>
  <c r="J253" i="3"/>
  <c r="J257" i="3"/>
  <c r="J265" i="3"/>
  <c r="J267" i="3"/>
  <c r="J275" i="3"/>
  <c r="J277" i="3"/>
  <c r="J279" i="3"/>
  <c r="J280" i="3"/>
  <c r="J285" i="3"/>
  <c r="J289" i="3"/>
  <c r="J295" i="3"/>
  <c r="J301" i="3"/>
  <c r="J303" i="3"/>
  <c r="J308" i="3"/>
  <c r="J313" i="3"/>
  <c r="J315" i="3"/>
  <c r="J321" i="3"/>
  <c r="J327" i="3"/>
  <c r="J331" i="3"/>
  <c r="J337" i="3"/>
  <c r="J339" i="3"/>
  <c r="J345" i="3"/>
  <c r="J349" i="3"/>
  <c r="J351" i="3"/>
  <c r="J357" i="3"/>
  <c r="J361" i="3"/>
  <c r="J367" i="3"/>
  <c r="J373" i="3"/>
  <c r="J375" i="3"/>
  <c r="J383" i="3"/>
  <c r="J385" i="3"/>
  <c r="J393" i="3"/>
  <c r="J397" i="3"/>
  <c r="J401" i="3"/>
  <c r="J407" i="3"/>
  <c r="J408" i="3"/>
  <c r="J411" i="3"/>
  <c r="J419" i="3"/>
  <c r="J421" i="3"/>
  <c r="J427" i="3"/>
  <c r="J429" i="3"/>
  <c r="J433" i="3"/>
  <c r="J437" i="3"/>
  <c r="J443" i="3"/>
  <c r="J445" i="3"/>
  <c r="J455" i="3"/>
  <c r="J457" i="3"/>
  <c r="J463" i="3"/>
  <c r="J464" i="3"/>
  <c r="J467" i="3"/>
  <c r="J471" i="3"/>
  <c r="J472" i="3"/>
  <c r="J479" i="3"/>
  <c r="J481" i="3"/>
  <c r="J489" i="3"/>
  <c r="J491" i="3"/>
  <c r="J499" i="3"/>
  <c r="J503" i="3"/>
  <c r="J507" i="3"/>
  <c r="J513" i="3"/>
  <c r="J515" i="3"/>
  <c r="J517" i="3"/>
  <c r="J520" i="3"/>
  <c r="J525" i="3"/>
  <c r="J529" i="3"/>
  <c r="J539" i="3"/>
  <c r="J541" i="3"/>
  <c r="J547" i="3"/>
  <c r="J556" i="3"/>
  <c r="J563" i="3"/>
  <c r="J565" i="3"/>
  <c r="J569" i="3"/>
  <c r="J571" i="3"/>
  <c r="J559" i="3"/>
  <c r="J555" i="3"/>
  <c r="J549" i="3"/>
  <c r="J543" i="3"/>
  <c r="J535" i="3"/>
  <c r="J533" i="3"/>
  <c r="J523" i="3"/>
  <c r="J521" i="3"/>
  <c r="J519" i="3"/>
  <c r="J511" i="3"/>
  <c r="J509" i="3"/>
  <c r="J505" i="3"/>
  <c r="J501" i="3"/>
  <c r="J497" i="3"/>
  <c r="J495" i="3"/>
  <c r="J487" i="3"/>
  <c r="J485" i="3"/>
  <c r="J483" i="3"/>
  <c r="J477" i="3"/>
  <c r="J475" i="3"/>
  <c r="J469" i="3"/>
  <c r="J465" i="3"/>
  <c r="J461" i="3"/>
  <c r="J459" i="3"/>
  <c r="J453" i="3"/>
  <c r="J449" i="3"/>
  <c r="J447" i="3"/>
  <c r="J441" i="3"/>
  <c r="J439" i="3"/>
  <c r="J435" i="3"/>
  <c r="J431" i="3"/>
  <c r="J425" i="3"/>
  <c r="J423" i="3"/>
  <c r="J417" i="3"/>
  <c r="J415" i="3"/>
  <c r="J413" i="3"/>
  <c r="J405" i="3"/>
  <c r="J403" i="3"/>
  <c r="J399" i="3"/>
  <c r="J395" i="3"/>
  <c r="J391" i="3"/>
  <c r="J389" i="3"/>
  <c r="J381" i="3"/>
  <c r="J379" i="3"/>
  <c r="J377" i="3"/>
  <c r="J371" i="3"/>
  <c r="J369" i="3"/>
  <c r="J363" i="3"/>
  <c r="J359" i="3"/>
  <c r="J355" i="3"/>
  <c r="J353" i="3"/>
  <c r="J347" i="3"/>
  <c r="J343" i="3"/>
  <c r="J341" i="3"/>
  <c r="J335" i="3"/>
  <c r="J333" i="3"/>
  <c r="J329" i="3"/>
  <c r="J323" i="3"/>
  <c r="J319" i="3"/>
  <c r="J317" i="3"/>
  <c r="J311" i="3"/>
  <c r="J307" i="3"/>
  <c r="J305" i="3"/>
  <c r="J299" i="3"/>
  <c r="J297" i="3"/>
  <c r="J291" i="3"/>
  <c r="J287" i="3"/>
  <c r="J283" i="3"/>
  <c r="J281" i="3"/>
  <c r="J273" i="3"/>
  <c r="J271" i="3"/>
  <c r="J269" i="3"/>
  <c r="J263" i="3"/>
  <c r="J259" i="3"/>
  <c r="J255" i="3"/>
  <c r="J251" i="3"/>
  <c r="J247" i="3"/>
  <c r="J243" i="3"/>
  <c r="J237" i="3"/>
  <c r="J235" i="3"/>
  <c r="J233" i="3"/>
  <c r="J225" i="3"/>
  <c r="J223" i="3"/>
  <c r="J219" i="3"/>
  <c r="J215" i="3"/>
  <c r="J209" i="3"/>
  <c r="J207" i="3"/>
  <c r="J201" i="3"/>
  <c r="J199" i="3"/>
  <c r="J195" i="3"/>
  <c r="J189" i="3"/>
  <c r="J187" i="3"/>
  <c r="J183" i="3"/>
  <c r="J177" i="3"/>
  <c r="J173" i="3"/>
  <c r="J171" i="3"/>
  <c r="J163" i="3"/>
  <c r="J161" i="3"/>
  <c r="J159" i="3"/>
  <c r="J153" i="3"/>
  <c r="J147" i="3"/>
  <c r="J143" i="3"/>
  <c r="J141" i="3"/>
  <c r="J139" i="3"/>
  <c r="J131" i="3"/>
  <c r="J129" i="3"/>
  <c r="J123" i="3"/>
  <c r="J121" i="3"/>
  <c r="J115" i="3"/>
  <c r="J113" i="3"/>
  <c r="J109" i="3"/>
  <c r="J105" i="3"/>
  <c r="J99" i="3"/>
  <c r="J93" i="3"/>
  <c r="J91" i="3"/>
  <c r="J89" i="3"/>
  <c r="J81" i="3"/>
  <c r="J79" i="3"/>
  <c r="J75" i="3"/>
  <c r="J69" i="3"/>
  <c r="J67" i="3"/>
  <c r="J65" i="3"/>
  <c r="J61" i="3"/>
  <c r="J59" i="3"/>
  <c r="J56" i="3"/>
  <c r="J53" i="3"/>
  <c r="J51" i="3"/>
  <c r="J49" i="3"/>
  <c r="J45" i="3"/>
  <c r="J43" i="3"/>
  <c r="J41" i="3"/>
  <c r="J39" i="3"/>
  <c r="J37" i="3"/>
  <c r="J33" i="3"/>
  <c r="J31" i="3"/>
  <c r="J29" i="3"/>
  <c r="J23" i="3"/>
  <c r="J21" i="3"/>
  <c r="J19" i="3"/>
  <c r="J17" i="3"/>
  <c r="J15" i="3"/>
  <c r="J11" i="3"/>
  <c r="J9" i="3"/>
  <c r="J7" i="3"/>
  <c r="J3" i="3"/>
  <c r="J264" i="3"/>
  <c r="J420" i="3"/>
  <c r="J544" i="3"/>
  <c r="J561" i="3"/>
  <c r="J476" i="3"/>
  <c r="J27" i="3"/>
  <c r="J57" i="3"/>
  <c r="J101" i="3"/>
  <c r="J117" i="3"/>
  <c r="J133" i="3"/>
  <c r="J165" i="3"/>
  <c r="J181" i="3"/>
  <c r="J197" i="3"/>
  <c r="J229" i="3"/>
  <c r="J245" i="3"/>
  <c r="J261" i="3"/>
  <c r="J293" i="3"/>
  <c r="J309" i="3"/>
  <c r="J325" i="3"/>
  <c r="J365" i="3"/>
  <c r="J387" i="3"/>
  <c r="J409" i="3"/>
  <c r="J451" i="3"/>
  <c r="J473" i="3"/>
  <c r="J493" i="3"/>
  <c r="J527" i="3"/>
  <c r="J531" i="3"/>
  <c r="J537" i="3"/>
  <c r="J545" i="3"/>
  <c r="J551" i="3"/>
  <c r="J557" i="3"/>
  <c r="J567"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4" i="3"/>
  <c r="F555" i="3"/>
  <c r="F556" i="3"/>
  <c r="F557" i="3"/>
  <c r="F558" i="3"/>
  <c r="F559" i="3"/>
  <c r="F560" i="3"/>
  <c r="F561" i="3"/>
  <c r="F562" i="3"/>
  <c r="F563" i="3"/>
  <c r="F564" i="3"/>
  <c r="F565" i="3"/>
  <c r="F566" i="3"/>
  <c r="F567" i="3"/>
  <c r="F568" i="3"/>
  <c r="F569" i="3"/>
  <c r="F570" i="3"/>
  <c r="F571" i="3"/>
  <c r="F572"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2" i="3"/>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2" i="5"/>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73" i="4"/>
  <c r="D174" i="4"/>
  <c r="D175" i="4"/>
  <c r="D176" i="4"/>
  <c r="D177" i="4"/>
  <c r="D178" i="4"/>
  <c r="D179" i="4"/>
  <c r="D180" i="4"/>
  <c r="D181" i="4"/>
  <c r="D182" i="4"/>
  <c r="D183" i="4"/>
  <c r="D184" i="4"/>
  <c r="D185" i="4"/>
  <c r="D186" i="4"/>
  <c r="D187" i="4"/>
  <c r="D188" i="4"/>
  <c r="D189" i="4"/>
  <c r="D190" i="4"/>
  <c r="D191" i="4"/>
  <c r="D192" i="4"/>
  <c r="D193" i="4"/>
  <c r="D194" i="4"/>
  <c r="D195" i="4"/>
  <c r="D196" i="4"/>
  <c r="D197" i="4"/>
  <c r="D198" i="4"/>
  <c r="D199" i="4"/>
  <c r="D200" i="4"/>
  <c r="D201" i="4"/>
  <c r="D202" i="4"/>
  <c r="D203" i="4"/>
  <c r="D204" i="4"/>
  <c r="D205" i="4"/>
  <c r="D206" i="4"/>
  <c r="D207" i="4"/>
  <c r="D208" i="4"/>
  <c r="D209" i="4"/>
  <c r="D210" i="4"/>
  <c r="D211" i="4"/>
  <c r="D212" i="4"/>
  <c r="D213" i="4"/>
  <c r="D214" i="4"/>
  <c r="D215" i="4"/>
  <c r="D216" i="4"/>
  <c r="D217" i="4"/>
  <c r="D218" i="4"/>
  <c r="D219" i="4"/>
  <c r="D220" i="4"/>
  <c r="D221" i="4"/>
  <c r="D222" i="4"/>
  <c r="D223" i="4"/>
  <c r="D224" i="4"/>
  <c r="D225" i="4"/>
  <c r="D226" i="4"/>
  <c r="D227" i="4"/>
  <c r="D228" i="4"/>
  <c r="D229" i="4"/>
  <c r="D230" i="4"/>
  <c r="D231" i="4"/>
  <c r="D232" i="4"/>
  <c r="D233" i="4"/>
  <c r="D234" i="4"/>
  <c r="D235" i="4"/>
  <c r="D236" i="4"/>
  <c r="D237" i="4"/>
  <c r="D238" i="4"/>
  <c r="D239" i="4"/>
  <c r="D240" i="4"/>
  <c r="D241" i="4"/>
  <c r="D242" i="4"/>
  <c r="D243" i="4"/>
  <c r="D244" i="4"/>
  <c r="D245" i="4"/>
  <c r="D246" i="4"/>
  <c r="D247" i="4"/>
  <c r="D248" i="4"/>
  <c r="D249" i="4"/>
  <c r="D250" i="4"/>
  <c r="D251" i="4"/>
  <c r="D252" i="4"/>
  <c r="D253" i="4"/>
  <c r="D254" i="4"/>
  <c r="D255" i="4"/>
  <c r="D256" i="4"/>
  <c r="D257" i="4"/>
  <c r="D258" i="4"/>
  <c r="D259" i="4"/>
  <c r="D260" i="4"/>
  <c r="D261" i="4"/>
  <c r="D262" i="4"/>
  <c r="D263" i="4"/>
  <c r="D264" i="4"/>
  <c r="D265" i="4"/>
  <c r="D266" i="4"/>
  <c r="D267" i="4"/>
  <c r="D268" i="4"/>
  <c r="D269" i="4"/>
  <c r="D270" i="4"/>
  <c r="D271" i="4"/>
  <c r="D272" i="4"/>
  <c r="D273" i="4"/>
  <c r="D274" i="4"/>
  <c r="D275" i="4"/>
  <c r="D276" i="4"/>
  <c r="D277" i="4"/>
  <c r="D278" i="4"/>
  <c r="D279" i="4"/>
  <c r="D280" i="4"/>
  <c r="D281" i="4"/>
  <c r="D282" i="4"/>
  <c r="D283" i="4"/>
  <c r="D284" i="4"/>
  <c r="D285" i="4"/>
  <c r="D286" i="4"/>
  <c r="D287" i="4"/>
  <c r="D288" i="4"/>
  <c r="D289" i="4"/>
  <c r="D290" i="4"/>
  <c r="D291" i="4"/>
  <c r="D292" i="4"/>
  <c r="D293" i="4"/>
  <c r="D294" i="4"/>
  <c r="D295" i="4"/>
  <c r="D296" i="4"/>
  <c r="D297" i="4"/>
  <c r="D298" i="4"/>
  <c r="D299" i="4"/>
  <c r="D300" i="4"/>
  <c r="D301" i="4"/>
  <c r="D302" i="4"/>
  <c r="D303" i="4"/>
  <c r="D304" i="4"/>
  <c r="D305" i="4"/>
  <c r="D306" i="4"/>
  <c r="D307" i="4"/>
  <c r="D308" i="4"/>
  <c r="D309" i="4"/>
  <c r="D310" i="4"/>
  <c r="D311" i="4"/>
  <c r="D312" i="4"/>
  <c r="D313" i="4"/>
  <c r="D314" i="4"/>
  <c r="D315" i="4"/>
  <c r="D316" i="4"/>
  <c r="D317" i="4"/>
  <c r="D318" i="4"/>
  <c r="D319" i="4"/>
  <c r="D320" i="4"/>
  <c r="D321" i="4"/>
  <c r="D322" i="4"/>
  <c r="D323" i="4"/>
  <c r="D324" i="4"/>
  <c r="D325" i="4"/>
  <c r="D326" i="4"/>
  <c r="D327" i="4"/>
  <c r="D328" i="4"/>
  <c r="D329" i="4"/>
  <c r="D330" i="4"/>
  <c r="D331" i="4"/>
  <c r="D332" i="4"/>
  <c r="D333" i="4"/>
  <c r="D334" i="4"/>
  <c r="D335" i="4"/>
  <c r="D336" i="4"/>
  <c r="D337" i="4"/>
  <c r="D338" i="4"/>
  <c r="D339" i="4"/>
  <c r="D340" i="4"/>
  <c r="D341" i="4"/>
  <c r="D342" i="4"/>
  <c r="D343" i="4"/>
  <c r="D344" i="4"/>
  <c r="D345" i="4"/>
  <c r="D346" i="4"/>
  <c r="D347" i="4"/>
  <c r="D348" i="4"/>
  <c r="D349" i="4"/>
  <c r="D350" i="4"/>
  <c r="D351" i="4"/>
  <c r="D352" i="4"/>
  <c r="D353" i="4"/>
  <c r="D354" i="4"/>
  <c r="D355" i="4"/>
  <c r="D356" i="4"/>
  <c r="D357" i="4"/>
  <c r="D358" i="4"/>
  <c r="D359" i="4"/>
  <c r="D360" i="4"/>
  <c r="D361" i="4"/>
  <c r="D362" i="4"/>
  <c r="D363" i="4"/>
  <c r="D364" i="4"/>
  <c r="D365" i="4"/>
  <c r="D366" i="4"/>
  <c r="D367" i="4"/>
  <c r="D368" i="4"/>
  <c r="D369" i="4"/>
  <c r="D370" i="4"/>
  <c r="D371" i="4"/>
  <c r="D372" i="4"/>
  <c r="D373" i="4"/>
  <c r="D374" i="4"/>
  <c r="D375" i="4"/>
  <c r="D376" i="4"/>
  <c r="D377" i="4"/>
  <c r="D378" i="4"/>
  <c r="D379" i="4"/>
  <c r="D380" i="4"/>
  <c r="D381" i="4"/>
  <c r="D382" i="4"/>
  <c r="D383" i="4"/>
  <c r="D384" i="4"/>
  <c r="D385" i="4"/>
  <c r="D386" i="4"/>
  <c r="D387" i="4"/>
  <c r="D388" i="4"/>
  <c r="D389" i="4"/>
  <c r="D390" i="4"/>
  <c r="D391" i="4"/>
  <c r="D392" i="4"/>
  <c r="D393" i="4"/>
  <c r="D394" i="4"/>
  <c r="D395" i="4"/>
  <c r="D396" i="4"/>
  <c r="D397" i="4"/>
  <c r="D398" i="4"/>
  <c r="D399" i="4"/>
  <c r="D400" i="4"/>
  <c r="D401" i="4"/>
  <c r="D402" i="4"/>
  <c r="D403" i="4"/>
  <c r="D404" i="4"/>
  <c r="D405" i="4"/>
  <c r="D406" i="4"/>
  <c r="D407" i="4"/>
  <c r="D408" i="4"/>
  <c r="D409" i="4"/>
  <c r="D410" i="4"/>
  <c r="D411" i="4"/>
  <c r="D412" i="4"/>
  <c r="D413" i="4"/>
  <c r="D414" i="4"/>
  <c r="D415" i="4"/>
  <c r="D416" i="4"/>
  <c r="D417" i="4"/>
  <c r="D418" i="4"/>
  <c r="D419" i="4"/>
  <c r="D420" i="4"/>
  <c r="D421" i="4"/>
  <c r="D422" i="4"/>
  <c r="D423" i="4"/>
  <c r="D424" i="4"/>
  <c r="D425" i="4"/>
  <c r="D426" i="4"/>
  <c r="D427" i="4"/>
  <c r="D428" i="4"/>
  <c r="D429" i="4"/>
  <c r="D430" i="4"/>
  <c r="D431" i="4"/>
  <c r="D432" i="4"/>
  <c r="D433" i="4"/>
  <c r="D434" i="4"/>
  <c r="D435" i="4"/>
  <c r="D436" i="4"/>
  <c r="D437" i="4"/>
  <c r="D438" i="4"/>
  <c r="D439" i="4"/>
  <c r="D440" i="4"/>
  <c r="D441" i="4"/>
  <c r="D442" i="4"/>
  <c r="D443" i="4"/>
  <c r="D444" i="4"/>
  <c r="D445" i="4"/>
  <c r="D446" i="4"/>
  <c r="D447" i="4"/>
  <c r="D448" i="4"/>
  <c r="D449" i="4"/>
  <c r="D450" i="4"/>
  <c r="D451" i="4"/>
  <c r="D452" i="4"/>
  <c r="D453" i="4"/>
  <c r="D454" i="4"/>
  <c r="D455" i="4"/>
  <c r="D456" i="4"/>
  <c r="D457" i="4"/>
  <c r="D458" i="4"/>
  <c r="D459" i="4"/>
  <c r="D460" i="4"/>
  <c r="D461" i="4"/>
  <c r="D462" i="4"/>
  <c r="D463" i="4"/>
  <c r="D464" i="4"/>
  <c r="D465" i="4"/>
  <c r="D466" i="4"/>
  <c r="D467" i="4"/>
  <c r="D468" i="4"/>
  <c r="D469" i="4"/>
  <c r="D470" i="4"/>
  <c r="D471" i="4"/>
  <c r="D472" i="4"/>
  <c r="D473" i="4"/>
  <c r="D474" i="4"/>
  <c r="D475" i="4"/>
  <c r="D476" i="4"/>
  <c r="D477" i="4"/>
  <c r="D478" i="4"/>
  <c r="D479" i="4"/>
  <c r="D480" i="4"/>
  <c r="D481" i="4"/>
  <c r="D482" i="4"/>
  <c r="D483" i="4"/>
  <c r="D484" i="4"/>
  <c r="D485" i="4"/>
  <c r="D486" i="4"/>
  <c r="D487" i="4"/>
  <c r="D488" i="4"/>
  <c r="D489" i="4"/>
  <c r="D490" i="4"/>
  <c r="D491" i="4"/>
  <c r="D492" i="4"/>
  <c r="D493" i="4"/>
  <c r="D494" i="4"/>
  <c r="D495" i="4"/>
  <c r="D496" i="4"/>
  <c r="D497" i="4"/>
  <c r="D2" i="4"/>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4" i="1"/>
  <c r="E4" i="2"/>
  <c r="F4" i="2"/>
  <c r="G4" i="2"/>
  <c r="H4" i="2"/>
  <c r="I4" i="2"/>
  <c r="J4" i="2"/>
  <c r="K4" i="2"/>
  <c r="L4" i="2"/>
  <c r="M4" i="2"/>
  <c r="N4" i="2"/>
  <c r="O4" i="2"/>
  <c r="P4" i="2"/>
  <c r="Q4" i="2"/>
  <c r="R4" i="2"/>
  <c r="S4" i="2"/>
  <c r="T4" i="2"/>
  <c r="U4" i="2"/>
  <c r="V4" i="2"/>
  <c r="W4" i="2"/>
  <c r="X4" i="2"/>
  <c r="Y4" i="2"/>
  <c r="Z4" i="2"/>
  <c r="AA4" i="2"/>
  <c r="AB4" i="2"/>
  <c r="AC4" i="2"/>
  <c r="AD4" i="2"/>
  <c r="AE4" i="2"/>
  <c r="AF4" i="2"/>
  <c r="AG4" i="2"/>
  <c r="AH4" i="2"/>
  <c r="AI4" i="2"/>
  <c r="AJ4" i="2"/>
  <c r="AK4" i="2"/>
  <c r="AL4" i="2"/>
  <c r="AM4" i="2"/>
  <c r="AN4" i="2"/>
  <c r="AO4" i="2"/>
  <c r="AP4" i="2"/>
  <c r="AQ4" i="2"/>
  <c r="AR4" i="2"/>
  <c r="AS4" i="2"/>
  <c r="AT4" i="2"/>
  <c r="AU4" i="2"/>
  <c r="AV4" i="2"/>
  <c r="AW4" i="2"/>
  <c r="AX4" i="2"/>
  <c r="AY4" i="2"/>
  <c r="AZ4" i="2"/>
  <c r="BA4" i="2"/>
  <c r="BB4" i="2"/>
  <c r="BC4" i="2"/>
  <c r="BD4" i="2"/>
  <c r="BE4" i="2"/>
  <c r="BF4" i="2"/>
  <c r="BG4" i="2"/>
  <c r="BH4" i="2"/>
  <c r="BI4" i="2"/>
  <c r="BJ4" i="2"/>
  <c r="BK4" i="2"/>
  <c r="BL4" i="2"/>
  <c r="BM4" i="2"/>
  <c r="BN4" i="2"/>
  <c r="BO4" i="2"/>
  <c r="BP4" i="2"/>
  <c r="BU4" i="1"/>
  <c r="BV4" i="1"/>
  <c r="BW4" i="1"/>
  <c r="BX4" i="1"/>
  <c r="BY4" i="1"/>
  <c r="BZ4" i="1"/>
  <c r="CA4" i="1"/>
  <c r="CB4" i="1"/>
  <c r="CC4" i="1"/>
  <c r="CD4" i="1"/>
  <c r="CE4" i="1"/>
  <c r="CF4" i="1"/>
  <c r="CG4" i="1"/>
  <c r="CH4" i="1"/>
  <c r="CI4" i="1"/>
  <c r="CJ4" i="1"/>
  <c r="CK4" i="1"/>
  <c r="CL4" i="1"/>
  <c r="CM4" i="1"/>
  <c r="CN4" i="1"/>
  <c r="CO4" i="1"/>
  <c r="CP4" i="1"/>
  <c r="CQ4" i="1"/>
  <c r="CR4" i="1"/>
  <c r="CS4" i="1"/>
  <c r="CT4" i="1"/>
  <c r="CU4" i="1"/>
  <c r="CV4" i="1"/>
  <c r="CW4" i="1"/>
  <c r="CX4" i="1"/>
  <c r="CY4" i="1"/>
  <c r="CZ4" i="1"/>
  <c r="DA4" i="1"/>
  <c r="DB4" i="1"/>
  <c r="DC4" i="1"/>
  <c r="DD4" i="1"/>
  <c r="DE4" i="1"/>
  <c r="DF4" i="1"/>
  <c r="DG4" i="1"/>
  <c r="DH4" i="1"/>
  <c r="DI4" i="1"/>
  <c r="DJ4" i="1"/>
  <c r="DK4" i="1"/>
  <c r="DL4" i="1"/>
  <c r="DM4" i="1"/>
  <c r="DN4" i="1"/>
  <c r="DO4" i="1"/>
  <c r="DP4" i="1"/>
  <c r="DQ4" i="1"/>
  <c r="DR4" i="1"/>
  <c r="DS4" i="1"/>
  <c r="DT4" i="1"/>
  <c r="DU4" i="1"/>
  <c r="DV4" i="1"/>
  <c r="DW4" i="1"/>
  <c r="DX4" i="1"/>
  <c r="DY4" i="1"/>
  <c r="DZ4" i="1"/>
  <c r="EA4" i="1"/>
  <c r="EB4" i="1"/>
  <c r="EC4" i="1"/>
  <c r="ED4" i="1"/>
  <c r="EE4" i="1"/>
  <c r="EF4" i="1"/>
  <c r="EG4" i="1"/>
  <c r="EH4" i="1"/>
  <c r="EI4" i="1"/>
  <c r="EJ4" i="1"/>
  <c r="EK4" i="1"/>
  <c r="EL4" i="1"/>
  <c r="EM4" i="1"/>
  <c r="EN4" i="1"/>
  <c r="EO4" i="1"/>
  <c r="EP4" i="1"/>
  <c r="EQ4" i="1"/>
  <c r="ER4" i="1"/>
  <c r="ES4" i="1"/>
  <c r="ET4" i="1"/>
  <c r="EU4" i="1"/>
  <c r="EV4" i="1"/>
  <c r="EW4" i="1"/>
  <c r="EX4" i="1"/>
  <c r="EY4" i="1"/>
  <c r="EZ4" i="1"/>
  <c r="FA4" i="1"/>
  <c r="FB4" i="1"/>
  <c r="FC4" i="1"/>
  <c r="FD4" i="1"/>
  <c r="FE4" i="1"/>
  <c r="FF4" i="1"/>
  <c r="FG4" i="1"/>
  <c r="FH4" i="1"/>
  <c r="FI4" i="1"/>
  <c r="FJ4" i="1"/>
  <c r="FK4" i="1"/>
  <c r="FL4" i="1"/>
  <c r="FM4" i="1"/>
  <c r="F4" i="1"/>
  <c r="G4" i="1"/>
  <c r="H4" i="1"/>
  <c r="I4" i="1"/>
  <c r="J4" i="1"/>
  <c r="K4" i="1"/>
  <c r="L4" i="1"/>
  <c r="M4" i="1"/>
  <c r="N4" i="1"/>
  <c r="O4" i="1"/>
  <c r="P4" i="1"/>
  <c r="Q4" i="1"/>
  <c r="R4" i="1"/>
  <c r="S4" i="1"/>
  <c r="T4" i="1"/>
  <c r="U4" i="1"/>
  <c r="V4" i="1"/>
  <c r="W4" i="1"/>
  <c r="X4" i="1"/>
  <c r="Y4" i="1"/>
  <c r="Z4" i="1"/>
  <c r="AA4" i="1"/>
  <c r="AB4" i="1"/>
  <c r="AC4" i="1"/>
  <c r="AD4" i="1"/>
  <c r="AE4" i="1"/>
  <c r="AF4" i="1"/>
  <c r="AG4" i="1"/>
  <c r="AH4" i="1"/>
  <c r="AI4" i="1"/>
  <c r="AJ4" i="1"/>
  <c r="AK4" i="1"/>
  <c r="AL4" i="1"/>
  <c r="AM4" i="1"/>
  <c r="AN4" i="1"/>
  <c r="AO4" i="1"/>
  <c r="AP4" i="1"/>
  <c r="AQ4" i="1"/>
  <c r="AR4" i="1"/>
  <c r="AS4" i="1"/>
  <c r="AT4" i="1"/>
  <c r="AU4" i="1"/>
  <c r="AV4" i="1"/>
  <c r="AW4" i="1"/>
  <c r="AX4" i="1"/>
  <c r="AY4" i="1"/>
  <c r="AZ4" i="1"/>
  <c r="BA4" i="1"/>
  <c r="BB4" i="1"/>
  <c r="BC4" i="1"/>
  <c r="BD4" i="1"/>
  <c r="BE4" i="1"/>
  <c r="BF4" i="1"/>
  <c r="BG4" i="1"/>
  <c r="BH4" i="1"/>
  <c r="BI4" i="1"/>
  <c r="BJ4" i="1"/>
  <c r="BK4" i="1"/>
  <c r="BL4" i="1"/>
  <c r="BM4" i="1"/>
  <c r="BN4" i="1"/>
  <c r="BO4" i="1"/>
  <c r="BP4" i="1"/>
  <c r="BQ4" i="1"/>
  <c r="BR4" i="1"/>
  <c r="BS4" i="1"/>
  <c r="BT4" i="1"/>
  <c r="E4" i="1"/>
  <c r="D68" i="7" l="1"/>
  <c r="D66" i="7"/>
  <c r="D22" i="7"/>
  <c r="D13" i="7"/>
  <c r="D49" i="7"/>
  <c r="D33" i="7"/>
  <c r="D8" i="7"/>
  <c r="D41" i="7"/>
  <c r="D21" i="7"/>
  <c r="D17" i="7"/>
  <c r="D37" i="7"/>
  <c r="D19" i="7"/>
  <c r="D4" i="7"/>
  <c r="D11" i="7"/>
  <c r="D31" i="7"/>
  <c r="D23" i="7"/>
  <c r="D82" i="7"/>
  <c r="D54" i="7"/>
  <c r="D18" i="7"/>
  <c r="D42" i="7"/>
  <c r="D55" i="7"/>
  <c r="D51" i="7"/>
  <c r="D10" i="7"/>
  <c r="D67" i="7"/>
  <c r="D75" i="7"/>
  <c r="D58" i="7"/>
  <c r="D70" i="7"/>
  <c r="D62" i="7"/>
  <c r="D15" i="7"/>
  <c r="D47" i="7"/>
  <c r="D36" i="7"/>
  <c r="D60" i="7"/>
  <c r="D24" i="7"/>
  <c r="D28" i="7"/>
  <c r="D20" i="7"/>
  <c r="H4" i="7"/>
  <c r="D7" i="7"/>
  <c r="G4" i="7"/>
  <c r="G5" i="7"/>
  <c r="H82" i="7"/>
  <c r="H80" i="7"/>
  <c r="H78" i="7"/>
  <c r="H76" i="7"/>
  <c r="H74" i="7"/>
  <c r="H72" i="7"/>
  <c r="H70" i="7"/>
  <c r="H68" i="7"/>
  <c r="H66" i="7"/>
  <c r="H64" i="7"/>
  <c r="H62" i="7"/>
  <c r="H60" i="7"/>
  <c r="H58" i="7"/>
  <c r="H56" i="7"/>
  <c r="H54" i="7"/>
  <c r="H52" i="7"/>
  <c r="H50" i="7"/>
  <c r="H48" i="7"/>
  <c r="H46" i="7"/>
  <c r="H44" i="7"/>
  <c r="H42" i="7"/>
  <c r="H40" i="7"/>
  <c r="H38" i="7"/>
  <c r="H36" i="7"/>
  <c r="H34" i="7"/>
  <c r="H32" i="7"/>
  <c r="H30" i="7"/>
  <c r="H28" i="7"/>
  <c r="H26" i="7"/>
  <c r="H24" i="7"/>
  <c r="H22" i="7"/>
  <c r="H20" i="7"/>
  <c r="H18" i="7"/>
  <c r="H16" i="7"/>
  <c r="H14" i="7"/>
  <c r="H12" i="7"/>
  <c r="H10" i="7"/>
  <c r="H8" i="7"/>
  <c r="H6" i="7"/>
  <c r="G82" i="7"/>
  <c r="G80" i="7"/>
  <c r="G78" i="7"/>
  <c r="G76" i="7"/>
  <c r="G74" i="7"/>
  <c r="G72" i="7"/>
  <c r="G70" i="7"/>
  <c r="G68" i="7"/>
  <c r="G66" i="7"/>
  <c r="G64" i="7"/>
  <c r="G62" i="7"/>
  <c r="G60" i="7"/>
  <c r="G58" i="7"/>
  <c r="G56" i="7"/>
  <c r="G54" i="7"/>
  <c r="G52" i="7"/>
  <c r="G50" i="7"/>
  <c r="G48" i="7"/>
  <c r="G46" i="7"/>
  <c r="G44" i="7"/>
  <c r="G42" i="7"/>
  <c r="G40" i="7"/>
  <c r="G38" i="7"/>
  <c r="G36" i="7"/>
  <c r="G34" i="7"/>
  <c r="G32" i="7"/>
  <c r="G30" i="7"/>
  <c r="G28" i="7"/>
  <c r="G26" i="7"/>
  <c r="G24" i="7"/>
  <c r="G22" i="7"/>
  <c r="G20" i="7"/>
  <c r="G18" i="7"/>
  <c r="G16" i="7"/>
  <c r="G14" i="7"/>
  <c r="G12" i="7"/>
  <c r="G10" i="7"/>
  <c r="G8" i="7"/>
  <c r="G6" i="7"/>
  <c r="H81" i="7"/>
  <c r="H79" i="7"/>
  <c r="H77" i="7"/>
  <c r="H75" i="7"/>
  <c r="H73" i="7"/>
  <c r="H71" i="7"/>
  <c r="H69" i="7"/>
  <c r="H67" i="7"/>
  <c r="H65" i="7"/>
  <c r="H63" i="7"/>
  <c r="H61" i="7"/>
  <c r="H59" i="7"/>
  <c r="H57" i="7"/>
  <c r="H55" i="7"/>
  <c r="H53" i="7"/>
  <c r="H51" i="7"/>
  <c r="H49" i="7"/>
  <c r="H47" i="7"/>
  <c r="H45" i="7"/>
  <c r="H43" i="7"/>
  <c r="H41" i="7"/>
  <c r="H39" i="7"/>
  <c r="H37" i="7"/>
  <c r="H35" i="7"/>
  <c r="H33" i="7"/>
  <c r="H31" i="7"/>
  <c r="H29" i="7"/>
  <c r="H27" i="7"/>
  <c r="H25" i="7"/>
  <c r="H23" i="7"/>
  <c r="H21" i="7"/>
  <c r="H19" i="7"/>
  <c r="H17" i="7"/>
  <c r="H15" i="7"/>
  <c r="H13" i="7"/>
  <c r="H11" i="7"/>
  <c r="H9" i="7"/>
  <c r="H7" i="7"/>
  <c r="H5" i="7"/>
  <c r="G81" i="7"/>
  <c r="G79" i="7"/>
  <c r="G77" i="7"/>
  <c r="G75" i="7"/>
  <c r="G73" i="7"/>
  <c r="G71" i="7"/>
  <c r="G69" i="7"/>
  <c r="G67" i="7"/>
  <c r="G65" i="7"/>
  <c r="G63" i="7"/>
  <c r="G61" i="7"/>
  <c r="G59" i="7"/>
  <c r="G57" i="7"/>
  <c r="G55" i="7"/>
  <c r="G53" i="7"/>
  <c r="G51" i="7"/>
  <c r="G49" i="7"/>
  <c r="G47" i="7"/>
  <c r="G45" i="7"/>
  <c r="G43" i="7"/>
  <c r="G41" i="7"/>
  <c r="G39" i="7"/>
  <c r="G37" i="7"/>
  <c r="G35" i="7"/>
  <c r="G33" i="7"/>
  <c r="G31" i="7"/>
  <c r="G29" i="7"/>
  <c r="G27" i="7"/>
  <c r="G25" i="7"/>
  <c r="G23" i="7"/>
  <c r="G21" i="7"/>
  <c r="G19" i="7"/>
  <c r="G17" i="7"/>
  <c r="G15" i="7"/>
  <c r="G13" i="7"/>
  <c r="G11" i="7"/>
  <c r="G9" i="7"/>
  <c r="G7" i="7"/>
  <c r="D29" i="7"/>
  <c r="D65" i="7"/>
  <c r="D78" i="7"/>
  <c r="D81" i="7"/>
  <c r="D80" i="7"/>
  <c r="D76" i="7"/>
  <c r="D9" i="7"/>
  <c r="D57" i="7"/>
  <c r="D27" i="7"/>
  <c r="D32" i="7"/>
  <c r="D72" i="7"/>
  <c r="D5" i="7"/>
  <c r="D40" i="7"/>
  <c r="D34" i="7"/>
  <c r="D73" i="7"/>
  <c r="D45" i="7"/>
  <c r="D77" i="7"/>
  <c r="D74" i="7"/>
  <c r="D61" i="7"/>
  <c r="D59" i="7"/>
  <c r="D63" i="7"/>
  <c r="D44" i="7"/>
  <c r="D64" i="7"/>
  <c r="D69" i="7"/>
  <c r="D14" i="7"/>
  <c r="D30" i="7"/>
  <c r="D48" i="7"/>
  <c r="D53" i="7"/>
  <c r="D25" i="7"/>
  <c r="D43" i="7"/>
  <c r="D6" i="7"/>
  <c r="D52" i="7"/>
  <c r="D38" i="7"/>
  <c r="D35" i="7"/>
  <c r="D56" i="7"/>
  <c r="D39" i="7"/>
  <c r="D79" i="7"/>
  <c r="D26" i="7"/>
  <c r="D71" i="7"/>
  <c r="D50" i="7"/>
  <c r="J552" i="3"/>
  <c r="J484" i="3"/>
  <c r="J440" i="3"/>
  <c r="J416" i="3"/>
  <c r="J376" i="3"/>
  <c r="J312" i="3"/>
  <c r="J232" i="3"/>
  <c r="J212" i="3"/>
  <c r="J196" i="3"/>
  <c r="J52" i="3"/>
  <c r="J20" i="3"/>
  <c r="J564" i="3"/>
  <c r="J532" i="3"/>
  <c r="J504" i="3"/>
  <c r="J500" i="3"/>
  <c r="J460" i="3"/>
  <c r="J432" i="3"/>
  <c r="J392" i="3"/>
  <c r="J368" i="3"/>
  <c r="J344" i="3"/>
  <c r="J276" i="3"/>
  <c r="J132" i="3"/>
  <c r="J40" i="3"/>
  <c r="M3" i="3"/>
  <c r="J2" i="3"/>
  <c r="J570" i="3"/>
  <c r="J562" i="3"/>
  <c r="J558" i="3"/>
  <c r="J550" i="3"/>
  <c r="J534" i="3"/>
  <c r="J526" i="3"/>
  <c r="J518" i="3"/>
  <c r="J510" i="3"/>
  <c r="J502" i="3"/>
  <c r="J490" i="3"/>
  <c r="J482" i="3"/>
  <c r="J474" i="3"/>
  <c r="J470" i="3"/>
  <c r="J466" i="3"/>
  <c r="J462" i="3"/>
  <c r="J454" i="3"/>
  <c r="J450" i="3"/>
  <c r="J446" i="3"/>
  <c r="J442" i="3"/>
  <c r="J438" i="3"/>
  <c r="J434" i="3"/>
  <c r="J430" i="3"/>
  <c r="J426" i="3"/>
  <c r="J422" i="3"/>
  <c r="J418" i="3"/>
  <c r="J414" i="3"/>
  <c r="J410" i="3"/>
  <c r="J406" i="3"/>
  <c r="J402" i="3"/>
  <c r="J398" i="3"/>
  <c r="J394" i="3"/>
  <c r="J390" i="3"/>
  <c r="J386" i="3"/>
  <c r="J382" i="3"/>
  <c r="J378" i="3"/>
  <c r="J374" i="3"/>
  <c r="J370" i="3"/>
  <c r="J366" i="3"/>
  <c r="J358" i="3"/>
  <c r="J346" i="3"/>
  <c r="J336" i="3"/>
  <c r="J332" i="3"/>
  <c r="J326" i="3"/>
  <c r="J322" i="3"/>
  <c r="J318" i="3"/>
  <c r="J314" i="3"/>
  <c r="J310" i="3"/>
  <c r="J302" i="3"/>
  <c r="J300" i="3"/>
  <c r="J288" i="3"/>
  <c r="J286" i="3"/>
  <c r="J282" i="3"/>
  <c r="J278" i="3"/>
  <c r="J274" i="3"/>
  <c r="J272" i="3"/>
  <c r="J270" i="3"/>
  <c r="J268" i="3"/>
  <c r="J266" i="3"/>
  <c r="J262" i="3"/>
  <c r="J258" i="3"/>
  <c r="J256" i="3"/>
  <c r="J254" i="3"/>
  <c r="J252" i="3"/>
  <c r="J250" i="3"/>
  <c r="J246" i="3"/>
  <c r="J242" i="3"/>
  <c r="J240" i="3"/>
  <c r="J238" i="3"/>
  <c r="J236" i="3"/>
  <c r="J234" i="3"/>
  <c r="J230" i="3"/>
  <c r="J226" i="3"/>
  <c r="J224" i="3"/>
  <c r="J222" i="3"/>
  <c r="J220" i="3"/>
  <c r="J218" i="3"/>
  <c r="J214" i="3"/>
  <c r="J210" i="3"/>
  <c r="J208" i="3"/>
  <c r="J206" i="3"/>
  <c r="J204" i="3"/>
  <c r="J202" i="3"/>
  <c r="J198" i="3"/>
  <c r="J194" i="3"/>
  <c r="J192" i="3"/>
  <c r="J190" i="3"/>
  <c r="J188" i="3"/>
  <c r="J186" i="3"/>
  <c r="J182" i="3"/>
  <c r="J178" i="3"/>
  <c r="J176" i="3"/>
  <c r="J174" i="3"/>
  <c r="J172" i="3"/>
  <c r="J170" i="3"/>
  <c r="J166" i="3"/>
  <c r="J162" i="3"/>
  <c r="J160" i="3"/>
  <c r="J158" i="3"/>
  <c r="J156" i="3"/>
  <c r="J154" i="3"/>
  <c r="J150" i="3"/>
  <c r="J146" i="3"/>
  <c r="J144" i="3"/>
  <c r="J142" i="3"/>
  <c r="J140" i="3"/>
  <c r="J128" i="3"/>
  <c r="J124" i="3"/>
  <c r="J112" i="3"/>
  <c r="J108" i="3"/>
  <c r="J96" i="3"/>
  <c r="J92" i="3"/>
  <c r="J80" i="3"/>
  <c r="J76" i="3"/>
  <c r="J64" i="3"/>
  <c r="J60" i="3"/>
  <c r="J48" i="3"/>
  <c r="J44" i="3"/>
  <c r="J32" i="3"/>
  <c r="J28" i="3"/>
  <c r="J16" i="3"/>
  <c r="J12" i="3"/>
  <c r="J566" i="3"/>
  <c r="J554" i="3"/>
  <c r="J546" i="3"/>
  <c r="J542" i="3"/>
  <c r="J538" i="3"/>
  <c r="J530" i="3"/>
  <c r="J522" i="3"/>
  <c r="J514" i="3"/>
  <c r="J506" i="3"/>
  <c r="J498" i="3"/>
  <c r="J494" i="3"/>
  <c r="J486" i="3"/>
  <c r="J478" i="3"/>
  <c r="J458" i="3"/>
  <c r="J362" i="3"/>
  <c r="J354" i="3"/>
  <c r="J350" i="3"/>
  <c r="J342" i="3"/>
  <c r="J338" i="3"/>
  <c r="J334" i="3"/>
  <c r="J330" i="3"/>
  <c r="J320" i="3"/>
  <c r="J316" i="3"/>
  <c r="J306" i="3"/>
  <c r="J304" i="3"/>
  <c r="J298" i="3"/>
  <c r="J294" i="3"/>
  <c r="J290" i="3"/>
  <c r="J284" i="3"/>
  <c r="J130" i="3"/>
  <c r="J118" i="3"/>
  <c r="J114" i="3"/>
  <c r="J110" i="3"/>
  <c r="J106" i="3"/>
  <c r="J102" i="3"/>
  <c r="J98" i="3"/>
  <c r="J90" i="3"/>
  <c r="J86" i="3"/>
  <c r="J82" i="3"/>
  <c r="J78" i="3"/>
  <c r="J74" i="3"/>
  <c r="J70" i="3"/>
  <c r="J66" i="3"/>
  <c r="J62" i="3"/>
  <c r="J58" i="3"/>
  <c r="J54" i="3"/>
  <c r="J50" i="3"/>
  <c r="J46" i="3"/>
  <c r="J42" i="3"/>
  <c r="J38" i="3"/>
  <c r="J34" i="3"/>
  <c r="J30" i="3"/>
  <c r="J26" i="3"/>
  <c r="J22" i="3"/>
  <c r="J18" i="3"/>
  <c r="J14" i="3"/>
  <c r="J10" i="3"/>
  <c r="J6" i="3"/>
  <c r="J138" i="3"/>
  <c r="J134" i="3"/>
  <c r="J126" i="3"/>
  <c r="J122" i="3"/>
  <c r="J94" i="3"/>
  <c r="M2" i="3"/>
  <c r="M4" i="3" l="1"/>
</calcChain>
</file>

<file path=xl/sharedStrings.xml><?xml version="1.0" encoding="utf-8"?>
<sst xmlns="http://schemas.openxmlformats.org/spreadsheetml/2006/main" count="8251" uniqueCount="1757">
  <si>
    <t>East of England</t>
  </si>
  <si>
    <t>AND</t>
  </si>
  <si>
    <t>Baddow Hospital Ltd</t>
  </si>
  <si>
    <t>AVQ</t>
  </si>
  <si>
    <t>One Healthcare</t>
  </si>
  <si>
    <t>AWR</t>
  </si>
  <si>
    <t>One Stop Doctors Limited</t>
  </si>
  <si>
    <t>DE8</t>
  </si>
  <si>
    <t>Elysium Healthcare</t>
  </si>
  <si>
    <t>NAX</t>
  </si>
  <si>
    <t>East Coast Community Healthcare C.I.C</t>
  </si>
  <si>
    <t>NLN</t>
  </si>
  <si>
    <t>Jeesal Akman Care Corporation Ltd</t>
  </si>
  <si>
    <t>NMJ</t>
  </si>
  <si>
    <t>Cygnet Health Care Limited</t>
  </si>
  <si>
    <t>NQ1</t>
  </si>
  <si>
    <t>Anglian Community Enterprise Community Interest Company (Ace Cic)</t>
  </si>
  <si>
    <t>NQA</t>
  </si>
  <si>
    <t>Provide</t>
  </si>
  <si>
    <t>NT2</t>
  </si>
  <si>
    <t>Nuffield Health</t>
  </si>
  <si>
    <t>NT3</t>
  </si>
  <si>
    <t>Spire Healthcare</t>
  </si>
  <si>
    <t>NT4</t>
  </si>
  <si>
    <t>Bmi Healthcare</t>
  </si>
  <si>
    <t>NVC</t>
  </si>
  <si>
    <t>Ramsay Healthcare UK Operations Limited</t>
  </si>
  <si>
    <t>NYA</t>
  </si>
  <si>
    <t>St Andrew's Healthcare</t>
  </si>
  <si>
    <t>NYW</t>
  </si>
  <si>
    <t>Aspen Healthcare Limited</t>
  </si>
  <si>
    <t>R1L</t>
  </si>
  <si>
    <t>Essex Partnership University NHS Foundation Trust</t>
  </si>
  <si>
    <t>RAJ</t>
  </si>
  <si>
    <t>Mid and South Essex NHS Foundation Trust</t>
  </si>
  <si>
    <t>RC9</t>
  </si>
  <si>
    <t>Bedfordshire Hospitals NHS Foundation Trust</t>
  </si>
  <si>
    <t>RCX</t>
  </si>
  <si>
    <t>The Queen Elizabeth Hospital, King's Lynn, NHS Foundation Trust</t>
  </si>
  <si>
    <t>RD8</t>
  </si>
  <si>
    <t>Milton Keynes University Hospital NHS Foundation Trust</t>
  </si>
  <si>
    <t>RDE</t>
  </si>
  <si>
    <t>East Suffolk and North Essex NHS Foundation Trust</t>
  </si>
  <si>
    <t>RGM</t>
  </si>
  <si>
    <t>Royal Papworth Hospital NHS Foundation Trust</t>
  </si>
  <si>
    <t>RGN</t>
  </si>
  <si>
    <t>North West Anglia NHS Foundation Trust</t>
  </si>
  <si>
    <t>RGP</t>
  </si>
  <si>
    <t>James Paget University Hospitals NHS Foundation Trust</t>
  </si>
  <si>
    <t>RGR</t>
  </si>
  <si>
    <t>West Suffolk NHS Foundation Trust</t>
  </si>
  <si>
    <t>RGT</t>
  </si>
  <si>
    <t>Cambridge University Hospitals NHS Foundation Trust</t>
  </si>
  <si>
    <t>RM1</t>
  </si>
  <si>
    <t>Norfolk and Norwich University Hospitals NHS Foundation Trust</t>
  </si>
  <si>
    <t>RMY</t>
  </si>
  <si>
    <t>Norfolk and Suffolk NHS Foundation Trust</t>
  </si>
  <si>
    <t>RQW</t>
  </si>
  <si>
    <t>The Princess Alexandra Hospital NHS Trust</t>
  </si>
  <si>
    <t>RT1</t>
  </si>
  <si>
    <t>Cambridgeshire and Peterborough NHS Foundation Trust</t>
  </si>
  <si>
    <t>RWG</t>
  </si>
  <si>
    <t>West Hertfordshire Hospitals NHS Trust</t>
  </si>
  <si>
    <t>RWH</t>
  </si>
  <si>
    <t>East and North Hertfordshire NHS Trust</t>
  </si>
  <si>
    <t>RWR</t>
  </si>
  <si>
    <t>Hertfordshire Partnership University NHS Foundation Trust</t>
  </si>
  <si>
    <t>RY3</t>
  </si>
  <si>
    <t>Norfolk Community Health and Care NHS Trust</t>
  </si>
  <si>
    <t>RY4</t>
  </si>
  <si>
    <t>Hertfordshire Community NHS Trust</t>
  </si>
  <si>
    <t>RYV</t>
  </si>
  <si>
    <t>Cambridgeshire Community Services NHS Trust</t>
  </si>
  <si>
    <t>London</t>
  </si>
  <si>
    <t>8A580</t>
  </si>
  <si>
    <t>Ellern Mede Centre for Eating Disorders</t>
  </si>
  <si>
    <t>8A718</t>
  </si>
  <si>
    <t>The London Clinic</t>
  </si>
  <si>
    <t>8JC73</t>
  </si>
  <si>
    <t>Ellern Mede Ridgeway</t>
  </si>
  <si>
    <t>ACP</t>
  </si>
  <si>
    <t>Fortius Clinic</t>
  </si>
  <si>
    <t>AHR</t>
  </si>
  <si>
    <t>King Edward Vii's Hospital Sister Agnes Hq</t>
  </si>
  <si>
    <t>AX0</t>
  </si>
  <si>
    <t>The New Victoria Hospital Limited</t>
  </si>
  <si>
    <t>DLY</t>
  </si>
  <si>
    <t>Schoen Clinic London Ltd</t>
  </si>
  <si>
    <t>DM8</t>
  </si>
  <si>
    <t>Phoenix Hospital Group</t>
  </si>
  <si>
    <t>DYF</t>
  </si>
  <si>
    <t>Asi London C Limited T/A One Welbeck Heart Health</t>
  </si>
  <si>
    <t>NMM</t>
  </si>
  <si>
    <t>Hospital of St John and St Elizabeth</t>
  </si>
  <si>
    <t>NNV</t>
  </si>
  <si>
    <t>Your Healthcare</t>
  </si>
  <si>
    <t>NQV</t>
  </si>
  <si>
    <t>Bromley Healthcare</t>
  </si>
  <si>
    <t>NTP</t>
  </si>
  <si>
    <t>Care UK</t>
  </si>
  <si>
    <t>NV7</t>
  </si>
  <si>
    <t>Bupa Group</t>
  </si>
  <si>
    <t>NW6</t>
  </si>
  <si>
    <t>Hca International</t>
  </si>
  <si>
    <t>R1H</t>
  </si>
  <si>
    <t>Barts Health NHS Trust</t>
  </si>
  <si>
    <t>R1K</t>
  </si>
  <si>
    <t>London North West University Healthcare NHS Trust</t>
  </si>
  <si>
    <t>RAL</t>
  </si>
  <si>
    <t>Royal Free London NHS Foundation Trust</t>
  </si>
  <si>
    <t>RAN</t>
  </si>
  <si>
    <t>Royal National Orthopaedic Hospital NHS Trust</t>
  </si>
  <si>
    <t>RAP</t>
  </si>
  <si>
    <t>North Middlesex University Hospital NHS Trust</t>
  </si>
  <si>
    <t>RAS</t>
  </si>
  <si>
    <t>The Hillingdon Hospitals NHS Foundation Trust</t>
  </si>
  <si>
    <t>RAT</t>
  </si>
  <si>
    <t>North East London NHS Foundation Trust</t>
  </si>
  <si>
    <t>RAX</t>
  </si>
  <si>
    <t>Kingston Hospital NHS Foundation Trust</t>
  </si>
  <si>
    <t>RF4</t>
  </si>
  <si>
    <t>Barking, Havering and Redbridge University Hospitals NHS Trust</t>
  </si>
  <si>
    <t>RJ1</t>
  </si>
  <si>
    <t>Guy's and St Thomas' NHS Foundation Trust</t>
  </si>
  <si>
    <t>RJ2</t>
  </si>
  <si>
    <t>Lewisham and Greenwich NHS Trust</t>
  </si>
  <si>
    <t>RJ6</t>
  </si>
  <si>
    <t>Croydon Health Services NHS Trust</t>
  </si>
  <si>
    <t>RJ7</t>
  </si>
  <si>
    <t>St George's University Hospitals NHS Foundation Trust</t>
  </si>
  <si>
    <t>RJZ</t>
  </si>
  <si>
    <t>King's College Hospital NHS Foundation Trust</t>
  </si>
  <si>
    <t>RKE</t>
  </si>
  <si>
    <t>Whittington Health NHS Trust</t>
  </si>
  <si>
    <t>RKL</t>
  </si>
  <si>
    <t>West London NHS Trust</t>
  </si>
  <si>
    <t>RNK</t>
  </si>
  <si>
    <t>Tavistock and Portman NHS Foundation Trust</t>
  </si>
  <si>
    <t>RP4</t>
  </si>
  <si>
    <t>Great Ormond Street Hospital For Children NHS Foundation Trust</t>
  </si>
  <si>
    <t>RP6</t>
  </si>
  <si>
    <t>Moorfields Eye Hospital NHS Foundation Trust</t>
  </si>
  <si>
    <t>RPG</t>
  </si>
  <si>
    <t>Oxleas NHS Foundation Trust</t>
  </si>
  <si>
    <t>RPY</t>
  </si>
  <si>
    <t>The Royal Marsden NHS Foundation Trust</t>
  </si>
  <si>
    <t>RQM</t>
  </si>
  <si>
    <t>Chelsea and Westminster Hospital NHS Foundation Trust</t>
  </si>
  <si>
    <t>RQX</t>
  </si>
  <si>
    <t>Homerton University Hospital NHS Foundation Trust</t>
  </si>
  <si>
    <t>RQY</t>
  </si>
  <si>
    <t>South West London and St George's Mental Health NHS Trust</t>
  </si>
  <si>
    <t>RRP</t>
  </si>
  <si>
    <t>Barnet, Enfield and Haringey Mental Health NHS Trust</t>
  </si>
  <si>
    <t>RRV</t>
  </si>
  <si>
    <t>University College London Hospitals NHS Foundation Trust</t>
  </si>
  <si>
    <t>RT3</t>
  </si>
  <si>
    <t>Royal Brompton &amp; Harefield NHS Foundation Trust</t>
  </si>
  <si>
    <t>RV3</t>
  </si>
  <si>
    <t>Central and North West London NHS Foundation Trust</t>
  </si>
  <si>
    <t>RV5</t>
  </si>
  <si>
    <t>South London and Maudsley NHS Foundation Trust</t>
  </si>
  <si>
    <t>RVR</t>
  </si>
  <si>
    <t>Epsom and St Helier University Hospitals NHS Trust</t>
  </si>
  <si>
    <t>RWK</t>
  </si>
  <si>
    <t>East London NHS Foundation Trust</t>
  </si>
  <si>
    <t>RY9</t>
  </si>
  <si>
    <t>Hounslow and Richmond Community Healthcare NHS Trust</t>
  </si>
  <si>
    <t>RYJ</t>
  </si>
  <si>
    <t>Imperial College Healthcare NHS Trust</t>
  </si>
  <si>
    <t>RYX</t>
  </si>
  <si>
    <t>Central London Community Healthcare NHS Trust</t>
  </si>
  <si>
    <t>TAF</t>
  </si>
  <si>
    <t>Camden and Islington NHS Foundation Trust</t>
  </si>
  <si>
    <t>Midlands</t>
  </si>
  <si>
    <t>ATM</t>
  </si>
  <si>
    <t>Newbridge Care Systems Ltd</t>
  </si>
  <si>
    <t>AX4</t>
  </si>
  <si>
    <t>Combine Opco Limited</t>
  </si>
  <si>
    <t>NFJ</t>
  </si>
  <si>
    <t>St Matthews Healthcare</t>
  </si>
  <si>
    <t>NR3</t>
  </si>
  <si>
    <t>Nottingham Citycare Partnership</t>
  </si>
  <si>
    <t>NV2</t>
  </si>
  <si>
    <t>The Huntercombe Group</t>
  </si>
  <si>
    <t>R1A</t>
  </si>
  <si>
    <t>Worcestershire Health and Care NHS Trust</t>
  </si>
  <si>
    <t>R1D</t>
  </si>
  <si>
    <t>Shropshire Community Health NHS Trust</t>
  </si>
  <si>
    <t>RBK</t>
  </si>
  <si>
    <t>Walsall Healthcare NHS Trust</t>
  </si>
  <si>
    <t>RFS</t>
  </si>
  <si>
    <t>Chesterfield Royal Hospital NHS Foundation Trust</t>
  </si>
  <si>
    <t>RHA</t>
  </si>
  <si>
    <t>Nottinghamshire Healthcare NHS Foundation Trust</t>
  </si>
  <si>
    <t>RJC</t>
  </si>
  <si>
    <t>South Warwickshire NHS Foundation Trust</t>
  </si>
  <si>
    <t>RJE</t>
  </si>
  <si>
    <t>University Hospitals of North Midlands NHS Trust</t>
  </si>
  <si>
    <t>RK5</t>
  </si>
  <si>
    <t>Sherwood Forest Hospitals NHS Foundation Trust</t>
  </si>
  <si>
    <t>RKB</t>
  </si>
  <si>
    <t>University Hospitals Coventry and Warwickshire NHS Trust</t>
  </si>
  <si>
    <t>RL1</t>
  </si>
  <si>
    <t>The Robert Jones and Agnes Hunt Orthopaedic Hospital NHS Foundation Trust</t>
  </si>
  <si>
    <t>RL4</t>
  </si>
  <si>
    <t>The Royal Wolverhampton NHS Trust</t>
  </si>
  <si>
    <t>RLQ</t>
  </si>
  <si>
    <t>Wye Valley NHS Trust</t>
  </si>
  <si>
    <t>RLT</t>
  </si>
  <si>
    <t>George Eliot Hospital NHS Trust</t>
  </si>
  <si>
    <t>RLY</t>
  </si>
  <si>
    <t>North Staffordshire Combined Healthcare NHS Trust</t>
  </si>
  <si>
    <t>RNA</t>
  </si>
  <si>
    <t>The Dudley Group NHS Foundation Trust</t>
  </si>
  <si>
    <t>RNQ</t>
  </si>
  <si>
    <t>Kettering General Hospital NHS Foundation Trust</t>
  </si>
  <si>
    <t>RNS</t>
  </si>
  <si>
    <t>Northampton General Hospital NHS Trust</t>
  </si>
  <si>
    <t>RP1</t>
  </si>
  <si>
    <t>Northamptonshire Healthcare NHS Foundation Trust</t>
  </si>
  <si>
    <t>RP7</t>
  </si>
  <si>
    <t>Lincolnshire Partnership NHS Foundation Trust</t>
  </si>
  <si>
    <t>RQ3</t>
  </si>
  <si>
    <t>Birmingham Women's and Children's NHS Foundation Trust</t>
  </si>
  <si>
    <t>RRE</t>
  </si>
  <si>
    <t>Midlands Partnership NHS Foundation Trust</t>
  </si>
  <si>
    <t>RRJ</t>
  </si>
  <si>
    <t>The Royal Orthopaedic Hospital NHS Foundation Trust</t>
  </si>
  <si>
    <t>RRK</t>
  </si>
  <si>
    <t>University Hospitals Birmingham NHS Foundation Trust</t>
  </si>
  <si>
    <t>RT5</t>
  </si>
  <si>
    <t>Leicestershire Partnership NHS Trust</t>
  </si>
  <si>
    <t>RTG</t>
  </si>
  <si>
    <t>University Hospitals of Derby and Burton NHS Foundation Trust</t>
  </si>
  <si>
    <t>RWD</t>
  </si>
  <si>
    <t>United Lincolnshire Hospitals NHS Trust</t>
  </si>
  <si>
    <t>RWE</t>
  </si>
  <si>
    <t>University Hospitals of Leicester NHS Trust</t>
  </si>
  <si>
    <t>RWP</t>
  </si>
  <si>
    <t>Worcestershire Acute Hospitals NHS Trust</t>
  </si>
  <si>
    <t>RX1</t>
  </si>
  <si>
    <t>Nottingham University Hospitals NHS Trust</t>
  </si>
  <si>
    <t>RXK</t>
  </si>
  <si>
    <t>Sandwell and West Birmingham Hospitals NHS Trust</t>
  </si>
  <si>
    <t>RXM</t>
  </si>
  <si>
    <t>Derbyshire Healthcare NHS Foundation Trust</t>
  </si>
  <si>
    <t>RXT</t>
  </si>
  <si>
    <t>Birmingham and Solihull Mental Health NHS Foundation Trust</t>
  </si>
  <si>
    <t>RXW</t>
  </si>
  <si>
    <t>Shrewsbury and Telford Hospital NHS Trust</t>
  </si>
  <si>
    <t>RY5</t>
  </si>
  <si>
    <t>Lincolnshire Community Health Services NHS Trust</t>
  </si>
  <si>
    <t>RY8</t>
  </si>
  <si>
    <t>Derbyshire Community Health Services NHS Foundation Trust</t>
  </si>
  <si>
    <t>RYG</t>
  </si>
  <si>
    <t>Coventry and Warwickshire Partnership NHS Trust</t>
  </si>
  <si>
    <t>RYW</t>
  </si>
  <si>
    <t>Birmingham Community Healthcare NHS Foundation Trust</t>
  </si>
  <si>
    <t>TAJ</t>
  </si>
  <si>
    <t>Black Country Healthcare NHS Foundation Trust</t>
  </si>
  <si>
    <t>North East and Yorkshire</t>
  </si>
  <si>
    <t>DRH</t>
  </si>
  <si>
    <t>Kinvara Private Hospital Ltd</t>
  </si>
  <si>
    <t>NL1</t>
  </si>
  <si>
    <t>Spectrum Community Health - Cic</t>
  </si>
  <si>
    <t>NL3</t>
  </si>
  <si>
    <t>Care Plus Group</t>
  </si>
  <si>
    <t>NL8</t>
  </si>
  <si>
    <t>Locala Community Partnerships Cic</t>
  </si>
  <si>
    <t>NNF</t>
  </si>
  <si>
    <t>City Health Care Partnership Cic</t>
  </si>
  <si>
    <t>NNH</t>
  </si>
  <si>
    <t>Optegra UK</t>
  </si>
  <si>
    <t>NQL</t>
  </si>
  <si>
    <t>Navigo Health and Social Care Cic</t>
  </si>
  <si>
    <t>NRN</t>
  </si>
  <si>
    <t>Cheswold Park Hospital</t>
  </si>
  <si>
    <t>NTE</t>
  </si>
  <si>
    <t>Hmt Hospitals</t>
  </si>
  <si>
    <t>R0B</t>
  </si>
  <si>
    <t>South Tyneside and Sunderland NHS Foundation Trust</t>
  </si>
  <si>
    <t>RAE</t>
  </si>
  <si>
    <t>Bradford Teaching Hospitals NHS Foundation Trust</t>
  </si>
  <si>
    <t>RCB</t>
  </si>
  <si>
    <t>York Teaching Hospital NHS Foundation Trust</t>
  </si>
  <si>
    <t>RCD</t>
  </si>
  <si>
    <t>Harrogate and District NHS Foundation Trust</t>
  </si>
  <si>
    <t>RCF</t>
  </si>
  <si>
    <t>Airedale NHS Foundation Trust</t>
  </si>
  <si>
    <t>RCU</t>
  </si>
  <si>
    <t>Sheffield Children's NHS Foundation Trust</t>
  </si>
  <si>
    <t>RFF</t>
  </si>
  <si>
    <t>Barnsley Hospital NHS Foundation Trust</t>
  </si>
  <si>
    <t>RFR</t>
  </si>
  <si>
    <t>The Rotherham NHS Foundation Trust</t>
  </si>
  <si>
    <t>RGD</t>
  </si>
  <si>
    <t>Leeds and York Partnership NHS Foundation Trust</t>
  </si>
  <si>
    <t>RHQ</t>
  </si>
  <si>
    <t>Sheffield Teaching Hospitals NHS Foundation Trust</t>
  </si>
  <si>
    <t>RJL</t>
  </si>
  <si>
    <t>Northern Lincolnshire and Goole NHS Foundation Trust</t>
  </si>
  <si>
    <t>RNN</t>
  </si>
  <si>
    <t>North Cumbria Integrated Care NHS Foundation Trust</t>
  </si>
  <si>
    <t>RP5</t>
  </si>
  <si>
    <t>Doncaster and Bassetlaw Teaching Hospitals NHS Foundation Trust</t>
  </si>
  <si>
    <t>RR7</t>
  </si>
  <si>
    <t>Gateshead Health NHS Foundation Trust</t>
  </si>
  <si>
    <t>RR8</t>
  </si>
  <si>
    <t>Leeds Teaching Hospitals NHS Trust</t>
  </si>
  <si>
    <t>RTD</t>
  </si>
  <si>
    <t>The Newcastle Upon Tyne Hospitals NHS Foundation Trust</t>
  </si>
  <si>
    <t>RTF</t>
  </si>
  <si>
    <t>Northumbria Healthcare NHS Foundation Trust</t>
  </si>
  <si>
    <t>RTR</t>
  </si>
  <si>
    <t>South Tees Hospitals NHS Foundation Trust</t>
  </si>
  <si>
    <t>RV9</t>
  </si>
  <si>
    <t>Humber Teaching NHS Foundation Trust</t>
  </si>
  <si>
    <t>RVW</t>
  </si>
  <si>
    <t>North Tees and Hartlepool NHS Foundation Trust</t>
  </si>
  <si>
    <t>RWA</t>
  </si>
  <si>
    <t>Hull University Teaching Hospitals NHS Trust</t>
  </si>
  <si>
    <t>RWY</t>
  </si>
  <si>
    <t>Calderdale and Huddersfield NHS Foundation Trust</t>
  </si>
  <si>
    <t>RX3</t>
  </si>
  <si>
    <t>Tees, Esk and Wear Valleys NHS Foundation Trust</t>
  </si>
  <si>
    <t>RX4</t>
  </si>
  <si>
    <t>Cumbria, Northumberland, Tyne and Wear NHS Foundation Trust</t>
  </si>
  <si>
    <t>RXE</t>
  </si>
  <si>
    <t>Rotherham Doncaster and South Humber NHS Foundation Trust</t>
  </si>
  <si>
    <t>RXF</t>
  </si>
  <si>
    <t>Mid Yorkshire Hospitals NHS Trust</t>
  </si>
  <si>
    <t>RXG</t>
  </si>
  <si>
    <t>South West Yorkshire Partnership NHS Foundation Trust</t>
  </si>
  <si>
    <t>RXP</t>
  </si>
  <si>
    <t>County Durham and Darlington NHS Foundation Trust</t>
  </si>
  <si>
    <t>RY6</t>
  </si>
  <si>
    <t>Leeds Community Healthcare NHS Trust</t>
  </si>
  <si>
    <t>TAD</t>
  </si>
  <si>
    <t>Bradford District Care NHS Foundation Trust</t>
  </si>
  <si>
    <t>TAH</t>
  </si>
  <si>
    <t>Sheffield Health &amp; Social Care NHS Foundation Trust</t>
  </si>
  <si>
    <t>North West</t>
  </si>
  <si>
    <t>AY0</t>
  </si>
  <si>
    <t>Tfhc Limited</t>
  </si>
  <si>
    <t>DC8</t>
  </si>
  <si>
    <t>Medical Imaging Partnership Ltd</t>
  </si>
  <si>
    <t>R0A</t>
  </si>
  <si>
    <t>Manchester University NHS Foundation Trust</t>
  </si>
  <si>
    <t>RBL</t>
  </si>
  <si>
    <t>Wirral University Teaching Hospital NHS Foundation Trust</t>
  </si>
  <si>
    <t>RBN</t>
  </si>
  <si>
    <t>St Helens and Knowsley Teaching Hospitals NHS Trust</t>
  </si>
  <si>
    <t>RBQ</t>
  </si>
  <si>
    <t>Liverpool Heart and Chest Hospital NHS Foundation Trust</t>
  </si>
  <si>
    <t>RBS</t>
  </si>
  <si>
    <t>Alder Hey Children's NHS Foundation Trust</t>
  </si>
  <si>
    <t>RBT</t>
  </si>
  <si>
    <t>Mid Cheshire Hospitals NHS Foundation Trust</t>
  </si>
  <si>
    <t>RBV</t>
  </si>
  <si>
    <t>The Christie NHS Foundation Trust</t>
  </si>
  <si>
    <t>REM</t>
  </si>
  <si>
    <t>Liverpool University Hospitals NHS Foundation Trust</t>
  </si>
  <si>
    <t>REN</t>
  </si>
  <si>
    <t>The Clatterbridge Cancer Centre NHS Foundation Trust</t>
  </si>
  <si>
    <t>REP</t>
  </si>
  <si>
    <t>Liverpool Women's NHS Foundation Trust</t>
  </si>
  <si>
    <t>RET</t>
  </si>
  <si>
    <t>The Walton Centre NHS Foundation Trust</t>
  </si>
  <si>
    <t>RJN</t>
  </si>
  <si>
    <t>East Cheshire NHS Trust</t>
  </si>
  <si>
    <t>RJR</t>
  </si>
  <si>
    <t>Countess of Chester Hospital NHS Foundation Trust</t>
  </si>
  <si>
    <t>RM3</t>
  </si>
  <si>
    <t>Salford Royal NHS Foundation Trust</t>
  </si>
  <si>
    <t>RMC</t>
  </si>
  <si>
    <t>Bolton NHS Foundation Trust</t>
  </si>
  <si>
    <t>RMP</t>
  </si>
  <si>
    <t>Tameside and Glossop Integrated Care NHS Foundation Trust</t>
  </si>
  <si>
    <t>RRF</t>
  </si>
  <si>
    <t>Wrightington, Wigan and Leigh NHS Foundation Trust</t>
  </si>
  <si>
    <t>RT2</t>
  </si>
  <si>
    <t>Pennine Care NHS Foundation Trust</t>
  </si>
  <si>
    <t>RTV</t>
  </si>
  <si>
    <t>North West Boroughs Healthcare NHS Foundation Trust</t>
  </si>
  <si>
    <t>RTX</t>
  </si>
  <si>
    <t>University Hospitals of Morecambe Bay NHS Foundation Trust</t>
  </si>
  <si>
    <t>RVY</t>
  </si>
  <si>
    <t>Southport and Ormskirk Hospital NHS Trust</t>
  </si>
  <si>
    <t>RW4</t>
  </si>
  <si>
    <t>Mersey Care NHS Foundation Trust</t>
  </si>
  <si>
    <t>RW5</t>
  </si>
  <si>
    <t>Lancashire &amp; South Cumbria NHS Foundation Trust</t>
  </si>
  <si>
    <t>RW6</t>
  </si>
  <si>
    <t>Pennine Acute Hospitals NHS Trust</t>
  </si>
  <si>
    <t>RWJ</t>
  </si>
  <si>
    <t>Stockport NHS Foundation Trust</t>
  </si>
  <si>
    <t>RWW</t>
  </si>
  <si>
    <t>Warrington and Halton Teaching Hospitals NHS Foundation Trust</t>
  </si>
  <si>
    <t>RXA</t>
  </si>
  <si>
    <t>Cheshire and Wirral Partnership NHS Foundation Trust</t>
  </si>
  <si>
    <t>RXL</t>
  </si>
  <si>
    <t>Blackpool Teaching Hospitals NHS Foundation Trust</t>
  </si>
  <si>
    <t>RXN</t>
  </si>
  <si>
    <t>Lancashire Teaching Hospitals NHS Foundation Trust</t>
  </si>
  <si>
    <t>RXR</t>
  </si>
  <si>
    <t>East Lancashire Hospitals NHS Trust</t>
  </si>
  <si>
    <t>RXV</t>
  </si>
  <si>
    <t>Greater Manchester Mental Health NHS Foundation Trust</t>
  </si>
  <si>
    <t>RY2</t>
  </si>
  <si>
    <t>Bridgewater Community Healthcare NHS Foundation Trust</t>
  </si>
  <si>
    <t>RY7</t>
  </si>
  <si>
    <t>Wirral Community Health and Care NHS Foundation Trust</t>
  </si>
  <si>
    <t>South East</t>
  </si>
  <si>
    <t>8CM63</t>
  </si>
  <si>
    <t>St Magnus Hospital</t>
  </si>
  <si>
    <t>ADP</t>
  </si>
  <si>
    <t>Kims Hospital</t>
  </si>
  <si>
    <t>DX1</t>
  </si>
  <si>
    <t>The New Foscote Hospital Ltd</t>
  </si>
  <si>
    <t>NDJ</t>
  </si>
  <si>
    <t>First Community Health and Care Cic</t>
  </si>
  <si>
    <t>NN8</t>
  </si>
  <si>
    <t>Spencer Private Hospitals Ltd</t>
  </si>
  <si>
    <t>NQ7</t>
  </si>
  <si>
    <t>Medway Community Healthcare</t>
  </si>
  <si>
    <t>NTH</t>
  </si>
  <si>
    <t>Classic Hospitals Ltd</t>
  </si>
  <si>
    <t>NTV</t>
  </si>
  <si>
    <t>Csh Surrey</t>
  </si>
  <si>
    <t>NV3</t>
  </si>
  <si>
    <t>Circle</t>
  </si>
  <si>
    <t>NVM</t>
  </si>
  <si>
    <t>Epsomedical Group</t>
  </si>
  <si>
    <t>NWF</t>
  </si>
  <si>
    <t>Benenden Hospital</t>
  </si>
  <si>
    <t>NXM</t>
  </si>
  <si>
    <t>Horder Healthcare</t>
  </si>
  <si>
    <t>R1C</t>
  </si>
  <si>
    <t>Solent NHS Trust</t>
  </si>
  <si>
    <t>R1F</t>
  </si>
  <si>
    <t>Isle of Wight NHS Trust</t>
  </si>
  <si>
    <t>RA2</t>
  </si>
  <si>
    <t>Royal Surrey County Hospital NHS Foundation Trust</t>
  </si>
  <si>
    <t>RDR</t>
  </si>
  <si>
    <t>Sussex Community NHS Foundation Trust</t>
  </si>
  <si>
    <t>RDU</t>
  </si>
  <si>
    <t>Frimley Health NHS Foundation Trust</t>
  </si>
  <si>
    <t>RHM</t>
  </si>
  <si>
    <t>University Hospital Southampton NHS Foundation Trust</t>
  </si>
  <si>
    <t>RHU</t>
  </si>
  <si>
    <t>Portsmouth Hospitals NHS Trust</t>
  </si>
  <si>
    <t>RHW</t>
  </si>
  <si>
    <t>Royal Berkshire NHS Foundation Trust</t>
  </si>
  <si>
    <t>RN5</t>
  </si>
  <si>
    <t>Hampshire Hospitals NHS Foundation Trust</t>
  </si>
  <si>
    <t>RN7</t>
  </si>
  <si>
    <t>Dartford and Gravesham NHS Trust</t>
  </si>
  <si>
    <t>RNU</t>
  </si>
  <si>
    <t>Oxford Health NHS Foundation Trust</t>
  </si>
  <si>
    <t>RPA</t>
  </si>
  <si>
    <t>Medway NHS Foundation Trust</t>
  </si>
  <si>
    <t>RPC</t>
  </si>
  <si>
    <t>Queen Victoria Hospital NHS Foundation Trust</t>
  </si>
  <si>
    <t>RTH</t>
  </si>
  <si>
    <t>Oxford University Hospitals NHS Foundation Trust</t>
  </si>
  <si>
    <t>RTK</t>
  </si>
  <si>
    <t>Ashford and St Peter's Hospitals NHS Foundation Trust</t>
  </si>
  <si>
    <t>RTP</t>
  </si>
  <si>
    <t>Surrey and Sussex Healthcare NHS Trust</t>
  </si>
  <si>
    <t>RVV</t>
  </si>
  <si>
    <t>East Kent Hospitals University NHS Foundation Trust</t>
  </si>
  <si>
    <t>RW1</t>
  </si>
  <si>
    <t>Southern Health NHS Foundation Trust</t>
  </si>
  <si>
    <t>RWF</t>
  </si>
  <si>
    <t>Maidstone and Tunbridge Wells NHS Trust</t>
  </si>
  <si>
    <t>RWX</t>
  </si>
  <si>
    <t>Berkshire Healthcare NHS Foundation Trust</t>
  </si>
  <si>
    <t>RX2</t>
  </si>
  <si>
    <t>Sussex Partnership NHS Foundation Trust</t>
  </si>
  <si>
    <t>RXC</t>
  </si>
  <si>
    <t>East Sussex Healthcare NHS Trust</t>
  </si>
  <si>
    <t>RXH</t>
  </si>
  <si>
    <t>Brighton and Sussex University Hospitals NHS Trust</t>
  </si>
  <si>
    <t>RXQ</t>
  </si>
  <si>
    <t>Buckinghamshire Healthcare NHS Trust</t>
  </si>
  <si>
    <t>RXX</t>
  </si>
  <si>
    <t>Surrey and Borders Partnership NHS Foundation Trust</t>
  </si>
  <si>
    <t>RXY</t>
  </si>
  <si>
    <t>Kent and Medway NHS and Social Care Partnership Trust</t>
  </si>
  <si>
    <t>RYR</t>
  </si>
  <si>
    <t>Western Sussex Hospitals NHS Foundation Trust</t>
  </si>
  <si>
    <t>RYY</t>
  </si>
  <si>
    <t>Kent Community Health NHS Foundation Trust</t>
  </si>
  <si>
    <t>South West</t>
  </si>
  <si>
    <t>AXG</t>
  </si>
  <si>
    <t>Wiltshire Health &amp; Care</t>
  </si>
  <si>
    <t>NLT</t>
  </si>
  <si>
    <t>North Somerset Community Partnership Community Interest Company</t>
  </si>
  <si>
    <t>NLX</t>
  </si>
  <si>
    <t>Sirona Care &amp; Health</t>
  </si>
  <si>
    <t>NR5</t>
  </si>
  <si>
    <t>Livewell Southwest</t>
  </si>
  <si>
    <t>RA4</t>
  </si>
  <si>
    <t>Yeovil District Hospital NHS Foundation Trust</t>
  </si>
  <si>
    <t>RA7</t>
  </si>
  <si>
    <t>University Hospitals Bristol and Weston NHS Foundation Trust</t>
  </si>
  <si>
    <t>RA9</t>
  </si>
  <si>
    <t>Torbay and South Devon NHS Foundation Trust</t>
  </si>
  <si>
    <t>RBD</t>
  </si>
  <si>
    <t>Dorset County Hospital NHS Foundation Trust</t>
  </si>
  <si>
    <t>RBZ</t>
  </si>
  <si>
    <t>Northern Devon Healthcare NHS Trust</t>
  </si>
  <si>
    <t>RD1</t>
  </si>
  <si>
    <t>Royal United Hospitals Bath NHS Foundation Trust</t>
  </si>
  <si>
    <t>RDY</t>
  </si>
  <si>
    <t>Dorset Healthcare University NHS Foundation Trust</t>
  </si>
  <si>
    <t>REF</t>
  </si>
  <si>
    <t>Royal Cornwall Hospitals NHS Trust</t>
  </si>
  <si>
    <t>RH5</t>
  </si>
  <si>
    <t>Somerset NHS Foundation Trust</t>
  </si>
  <si>
    <t>RH8</t>
  </si>
  <si>
    <t>Royal Devon and Exeter NHS Foundation Trust</t>
  </si>
  <si>
    <t>RJ8</t>
  </si>
  <si>
    <t>Cornwall Partnership NHS Foundation Trust</t>
  </si>
  <si>
    <t>RK9</t>
  </si>
  <si>
    <t>University Hospitals Plymouth NHS Trust</t>
  </si>
  <si>
    <t>RN3</t>
  </si>
  <si>
    <t>Great Western Hospitals NHS Foundation Trust</t>
  </si>
  <si>
    <t>RNZ</t>
  </si>
  <si>
    <t>Salisbury NHS Foundation Trust</t>
  </si>
  <si>
    <t>R0D</t>
  </si>
  <si>
    <t>University Hospitals Dorset NHS Foundation Trust</t>
  </si>
  <si>
    <t>RTE</t>
  </si>
  <si>
    <t>Gloucestershire Hospitals NHS Foundation Trust</t>
  </si>
  <si>
    <t>RTQ</t>
  </si>
  <si>
    <t>Gloucestershire Health and Care NHS Foundation Trust</t>
  </si>
  <si>
    <t>RVJ</t>
  </si>
  <si>
    <t>North Bristol NHS Trust</t>
  </si>
  <si>
    <t>RVN</t>
  </si>
  <si>
    <t>Avon and Wiltshire Mental Health Partnership NHS Trust</t>
  </si>
  <si>
    <t>RWV</t>
  </si>
  <si>
    <t>Devon Partnership NHS Trust</t>
  </si>
  <si>
    <t>NHS England Region</t>
  </si>
  <si>
    <t>Code</t>
  </si>
  <si>
    <t>Name</t>
  </si>
  <si>
    <t>Overall</t>
  </si>
  <si>
    <t>Daily count of beds occupied by confirmed covid-19 patients</t>
  </si>
  <si>
    <t>Region</t>
  </si>
  <si>
    <t>AND01</t>
  </si>
  <si>
    <t>BADDOW HOSPITAL</t>
  </si>
  <si>
    <t>AVQ03</t>
  </si>
  <si>
    <t>ONE HATFIELD HOSPITAL</t>
  </si>
  <si>
    <t>AWR01</t>
  </si>
  <si>
    <t>ONE STOP DOCTORS LTD (ONE MEDICAL HOUSE)</t>
  </si>
  <si>
    <t>ELYSIUM HEALTHCARE</t>
  </si>
  <si>
    <t>DE810</t>
  </si>
  <si>
    <t>CHADWICK LODGE</t>
  </si>
  <si>
    <t>DE816</t>
  </si>
  <si>
    <t>POTTERS BAR</t>
  </si>
  <si>
    <t>EAST COAST COMMUNITY HEALTHCARE C.I.C</t>
  </si>
  <si>
    <t>JEESAL AKMAN CARE CORPORATION LTD</t>
  </si>
  <si>
    <t>NMJ0N</t>
  </si>
  <si>
    <t>YEW TREES</t>
  </si>
  <si>
    <t>NMJ0U</t>
  </si>
  <si>
    <t>THORS PARK</t>
  </si>
  <si>
    <t>NMJ11</t>
  </si>
  <si>
    <t>CYGNET HOSPITAL STEVENAGE</t>
  </si>
  <si>
    <t>NMJ44</t>
  </si>
  <si>
    <t>CYGNET HOSPITAL COLCHESTER</t>
  </si>
  <si>
    <t>ANGLIAN COMMUNITY ENTERPRISE COMMUNITY INTEREST COMPANY (ACE CIC)</t>
  </si>
  <si>
    <t>PROVIDE</t>
  </si>
  <si>
    <t>NT204</t>
  </si>
  <si>
    <t>NUFFIELD HEALTH, BRENTWOOD HOSPITAL</t>
  </si>
  <si>
    <t>NT209</t>
  </si>
  <si>
    <t>NUFFIELD HEALTH, CAMBRIDGE HOSPITAL</t>
  </si>
  <si>
    <t>NT222</t>
  </si>
  <si>
    <t>NUFFIELD HEALTH, IPSWICH HOSPITAL</t>
  </si>
  <si>
    <t>NT313</t>
  </si>
  <si>
    <t>SPIRE WELLESLEY HOSPITAL</t>
  </si>
  <si>
    <t>NT315</t>
  </si>
  <si>
    <t>SPIRE BUSHEY HOSPITAL</t>
  </si>
  <si>
    <t>NT316</t>
  </si>
  <si>
    <t>SPIRE HARPENDEN HOSPITAL</t>
  </si>
  <si>
    <t>NT317</t>
  </si>
  <si>
    <t>SPIRE CAMBRIDGE LEA HOSPITAL</t>
  </si>
  <si>
    <t>NT318</t>
  </si>
  <si>
    <t>SPIRE NORWICH HOSPITAL</t>
  </si>
  <si>
    <t>NT319</t>
  </si>
  <si>
    <t>SPIRE HARTSWOOD HOSPITAL</t>
  </si>
  <si>
    <t>NT423</t>
  </si>
  <si>
    <t>BMI - THE MANOR HOSPITAL</t>
  </si>
  <si>
    <t>NT432</t>
  </si>
  <si>
    <t>BMI - THE SANDRINGHAM HOSPITAL</t>
  </si>
  <si>
    <t>NT434</t>
  </si>
  <si>
    <t>BMI - THE SAXON CLINIC</t>
  </si>
  <si>
    <t>NT446</t>
  </si>
  <si>
    <t>BMI ST EDMUNDS HOSPITAL</t>
  </si>
  <si>
    <t>NT490</t>
  </si>
  <si>
    <t>BMI SOUTHEND PRIVATE HOSPITAL</t>
  </si>
  <si>
    <t>NVC06</t>
  </si>
  <si>
    <t>FITZWILLIAM HOSPITAL</t>
  </si>
  <si>
    <t>NVC13</t>
  </si>
  <si>
    <t>OAKS HOSPITAL</t>
  </si>
  <si>
    <t>NVC15</t>
  </si>
  <si>
    <t>PINEHILL HOSPITAL</t>
  </si>
  <si>
    <t>NVC18</t>
  </si>
  <si>
    <t>SPRINGFIELD HOSPITAL</t>
  </si>
  <si>
    <t>NVC19</t>
  </si>
  <si>
    <t>RIVERS HOSPITAL</t>
  </si>
  <si>
    <t>NVC31</t>
  </si>
  <si>
    <t>BLAKELANDS HOSPITAL</t>
  </si>
  <si>
    <t>NYA02</t>
  </si>
  <si>
    <t>ST ANDREW'S HEALTHCARE - ESSEX</t>
  </si>
  <si>
    <t>NYW01</t>
  </si>
  <si>
    <t>ASPEN - THE HOLLY</t>
  </si>
  <si>
    <t>ESSEX PARTNERSHIP UNIVERSITY NHS FOUNDATION TRUST</t>
  </si>
  <si>
    <t>MID AND SOUTH ESSEX NHS FOUNDATION TRUST</t>
  </si>
  <si>
    <t>BEDFORDSHIRE HOSPITALS NHS FOUNDATION TRUST</t>
  </si>
  <si>
    <t>THE QUEEN ELIZABETH HOSPITAL, KING'S LYNN, NHS FOUNDATION TRUST</t>
  </si>
  <si>
    <t>MILTON KEYNES UNIVERSITY HOSPITAL NHS FOUNDATION TRUST</t>
  </si>
  <si>
    <t>EAST SUFFOLK AND NORTH ESSEX NHS FOUNDATION TRUST</t>
  </si>
  <si>
    <t>ROYAL PAPWORTH HOSPITAL NHS FOUNDATION TRUST</t>
  </si>
  <si>
    <t>NORTH WEST ANGLIA NHS FOUNDATION TRUST</t>
  </si>
  <si>
    <t>JAMES PAGET UNIVERSITY HOSPITALS NHS FOUNDATION TRUST</t>
  </si>
  <si>
    <t>WEST SUFFOLK NHS FOUNDATION TRUST</t>
  </si>
  <si>
    <t>CAMBRIDGE UNIVERSITY HOSPITALS NHS FOUNDATION TRUST</t>
  </si>
  <si>
    <t>NORFOLK AND NORWICH UNIVERSITY HOSPITALS NHS FOUNDATION TRUST</t>
  </si>
  <si>
    <t>NORFOLK AND SUFFOLK NHS FOUNDATION TRUST</t>
  </si>
  <si>
    <t>THE PRINCESS ALEXANDRA HOSPITAL NHS TRUST</t>
  </si>
  <si>
    <t>CAMBRIDGESHIRE AND PETERBOROUGH NHS FOUNDATION TRUST</t>
  </si>
  <si>
    <t>WEST HERTFORDSHIRE HOSPITALS NHS TRUST</t>
  </si>
  <si>
    <t>EAST AND NORTH HERTFORDSHIRE NHS TRUST</t>
  </si>
  <si>
    <t>HERTFORDSHIRE PARTNERSHIP UNIVERSITY NHS FOUNDATION TRUST</t>
  </si>
  <si>
    <t>NORFOLK COMMUNITY HEALTH AND CARE NHS TRUST</t>
  </si>
  <si>
    <t>HERTFORDSHIRE COMMUNITY NHS TRUST</t>
  </si>
  <si>
    <t>CAMBRIDGESHIRE COMMUNITY SERVICES NHS TRUST</t>
  </si>
  <si>
    <t>ELLERN MEDE CENTRE FOR EATING DISORDERS</t>
  </si>
  <si>
    <t>LONDON CLINIC</t>
  </si>
  <si>
    <t>8HE28</t>
  </si>
  <si>
    <t>HARLEY STREET ON 15</t>
  </si>
  <si>
    <t>ELLERN MEDE RIDGEWAY</t>
  </si>
  <si>
    <t>ACP01</t>
  </si>
  <si>
    <t>FORTIUS CLINIC</t>
  </si>
  <si>
    <t>AHR01</t>
  </si>
  <si>
    <t>KING EDWARD VII'S HOSPITAL SISTER AGNES</t>
  </si>
  <si>
    <t>AX001</t>
  </si>
  <si>
    <t>THE NEW VICTORIA HOSPITAL</t>
  </si>
  <si>
    <t>DE804</t>
  </si>
  <si>
    <t>BROMLEY ROAD</t>
  </si>
  <si>
    <t>DLY01</t>
  </si>
  <si>
    <t>SCHOEN CLINIC LONDON (WIGMORE STREET)</t>
  </si>
  <si>
    <t>DM801</t>
  </si>
  <si>
    <t>WEYMOUTH STREET HOSPITAL</t>
  </si>
  <si>
    <t>DYF02</t>
  </si>
  <si>
    <t>ONE WELBECK HEART HEALTH - WELBECK STREET</t>
  </si>
  <si>
    <t>NMJ04</t>
  </si>
  <si>
    <t>CYGNET HOSPITAL BECKTON</t>
  </si>
  <si>
    <t>NMJ05</t>
  </si>
  <si>
    <t>CYGNET WING BLACKHEATH</t>
  </si>
  <si>
    <t>NMJ08</t>
  </si>
  <si>
    <t>CYGNET HOSPITAL EALING</t>
  </si>
  <si>
    <t>NMJ0D</t>
  </si>
  <si>
    <t>BOSTALL HOUSE</t>
  </si>
  <si>
    <t>NMJ10</t>
  </si>
  <si>
    <t>CYGNET HOSPITAL HARROW</t>
  </si>
  <si>
    <t>NMJ13</t>
  </si>
  <si>
    <t>CYGNET LODGE LEWISHAM</t>
  </si>
  <si>
    <t>NMJ14</t>
  </si>
  <si>
    <t>CYGNET LODGE KENTON</t>
  </si>
  <si>
    <t>NMJ91</t>
  </si>
  <si>
    <t>CYGNET CHURCHILL</t>
  </si>
  <si>
    <t>NMM01</t>
  </si>
  <si>
    <t>HOSPITAL OF ST JOHN AND ST ELIZABETH (GROVE END ROAD)</t>
  </si>
  <si>
    <t>YOUR HEALTHCARE</t>
  </si>
  <si>
    <t>BROMLEY HEALTHCARE</t>
  </si>
  <si>
    <t>NR1H</t>
  </si>
  <si>
    <t>NHS NIGHTINGALE HOSPITAL LONDON TRUST</t>
  </si>
  <si>
    <t>NT314</t>
  </si>
  <si>
    <t>SPIRE LONDON EAST</t>
  </si>
  <si>
    <t>NT3X3</t>
  </si>
  <si>
    <t>SPIRE ST ANTHONY'S HOSPITAL</t>
  </si>
  <si>
    <t>NT405</t>
  </si>
  <si>
    <t>BMI - BISHOPS WOOD</t>
  </si>
  <si>
    <t>NT406</t>
  </si>
  <si>
    <t>BMI - THE BLACKHEATH HOSPITAL</t>
  </si>
  <si>
    <t>NT409</t>
  </si>
  <si>
    <t>BMI - CHELSFIELD PARK HOSPITAL</t>
  </si>
  <si>
    <t>NT411</t>
  </si>
  <si>
    <t>BMI - THE CLEMENTINE CHURCHILL HOSPITAL</t>
  </si>
  <si>
    <t>NT416</t>
  </si>
  <si>
    <t>BMI - HENDON HOSPITAL</t>
  </si>
  <si>
    <t>NT421</t>
  </si>
  <si>
    <t>BMI - THE KINGS OAK HOSPITAL</t>
  </si>
  <si>
    <t>NT422</t>
  </si>
  <si>
    <t>BMI - THE LONDON INDEPENDENT HOSPITAL</t>
  </si>
  <si>
    <t>NT436</t>
  </si>
  <si>
    <t>BMI - SHIRLEY OAKS HOSPITAL</t>
  </si>
  <si>
    <t>NT437</t>
  </si>
  <si>
    <t>BMI - THE SLOANE HOSPITAL</t>
  </si>
  <si>
    <t>NT451</t>
  </si>
  <si>
    <t>BMI THE CAVELL HOSPITAL</t>
  </si>
  <si>
    <t>NTP15</t>
  </si>
  <si>
    <t>NORTH EAST LONDON TREATMENT CENTRE CARE UK</t>
  </si>
  <si>
    <t>NV7R1</t>
  </si>
  <si>
    <t>BUPA CROMWELL HOSPITAL</t>
  </si>
  <si>
    <t>NVC0M</t>
  </si>
  <si>
    <t>WEST VALLEY HOSPITAL</t>
  </si>
  <si>
    <t>NW601</t>
  </si>
  <si>
    <t>THE PRINCESS GRACE HOSPITAL</t>
  </si>
  <si>
    <t>NW602</t>
  </si>
  <si>
    <t>THE WELLINGTON HOSPITAL</t>
  </si>
  <si>
    <t>NW603</t>
  </si>
  <si>
    <t>LISTER HOSPITAL</t>
  </si>
  <si>
    <t>NW604</t>
  </si>
  <si>
    <t>THE PORTLAND HOSPITAL FOR WOMEN &amp; CHILDREN</t>
  </si>
  <si>
    <t>NW605</t>
  </si>
  <si>
    <t>LONDON BRIDGE HOSPITAL</t>
  </si>
  <si>
    <t>NW608</t>
  </si>
  <si>
    <t>THE HARLEY STREET CLINIC (WEYMOUTH ST)</t>
  </si>
  <si>
    <t>NW614</t>
  </si>
  <si>
    <t>LEADERS ON ONCOLOGY (LOC)</t>
  </si>
  <si>
    <t>NYW02</t>
  </si>
  <si>
    <t>ASPEN - PARKSIDE HOSPITAL</t>
  </si>
  <si>
    <t>NYW03</t>
  </si>
  <si>
    <t>ASPEN - HIGHGATE HOSPITAL</t>
  </si>
  <si>
    <t>NYW0C</t>
  </si>
  <si>
    <t>THE CANCER CENTRE LONDON</t>
  </si>
  <si>
    <t>BARTS HEALTH NHS TRUST</t>
  </si>
  <si>
    <t>LONDON NORTH WEST UNIVERSITY HEALTHCARE NHS TRUST</t>
  </si>
  <si>
    <t>ROYAL FREE LONDON NHS FOUNDATION TRUST</t>
  </si>
  <si>
    <t>ROYAL NATIONAL ORTHOPAEDIC HOSPITAL NHS TRUST</t>
  </si>
  <si>
    <t>NORTH MIDDLESEX UNIVERSITY HOSPITAL NHS TRUST</t>
  </si>
  <si>
    <t>THE HILLINGDON HOSPITALS NHS FOUNDATION TRUST</t>
  </si>
  <si>
    <t>NORTH EAST LONDON NHS FOUNDATION TRUST</t>
  </si>
  <si>
    <t>KINGSTON HOSPITAL NHS FOUNDATION TRUST</t>
  </si>
  <si>
    <t>BARKING, HAVERING AND REDBRIDGE UNIVERSITY HOSPITALS NHS TRUST</t>
  </si>
  <si>
    <t>GUY'S AND ST THOMAS' NHS FOUNDATION TRUST</t>
  </si>
  <si>
    <t>LEWISHAM AND GREENWICH NHS TRUST</t>
  </si>
  <si>
    <t>CROYDON HEALTH SERVICES NHS TRUST</t>
  </si>
  <si>
    <t>ST GEORGE'S UNIVERSITY HOSPITALS NHS FOUNDATION TRUST</t>
  </si>
  <si>
    <t>KING'S COLLEGE HOSPITAL NHS FOUNDATION TRUST</t>
  </si>
  <si>
    <t>WHITTINGTON HEALTH NHS TRUST</t>
  </si>
  <si>
    <t>WEST LONDON NHS TRUST</t>
  </si>
  <si>
    <t>TAVISTOCK AND PORTMAN NHS FOUNDATION TRUST</t>
  </si>
  <si>
    <t>GREAT ORMOND STREET HOSPITAL FOR CHILDREN NHS FOUNDATION TRUST</t>
  </si>
  <si>
    <t>MOORFIELDS EYE HOSPITAL NHS FOUNDATION TRUST</t>
  </si>
  <si>
    <t>OXLEAS NHS FOUNDATION TRUST</t>
  </si>
  <si>
    <t>THE ROYAL MARSDEN NHS FOUNDATION TRUST</t>
  </si>
  <si>
    <t>CHELSEA AND WESTMINSTER HOSPITAL NHS FOUNDATION TRUST</t>
  </si>
  <si>
    <t>HOMERTON UNIVERSITY HOSPITAL NHS FOUNDATION TRUST</t>
  </si>
  <si>
    <t>SOUTH WEST LONDON AND ST GEORGE'S MENTAL HEALTH NHS TRUST</t>
  </si>
  <si>
    <t>BARNET, ENFIELD AND HARINGEY MENTAL HEALTH NHS TRUST</t>
  </si>
  <si>
    <t>UNIVERSITY COLLEGE LONDON HOSPITALS NHS FOUNDATION TRUST</t>
  </si>
  <si>
    <t>ROYAL BROMPTON &amp; HAREFIELD NHS FOUNDATION TRUST</t>
  </si>
  <si>
    <t>CENTRAL AND NORTH WEST LONDON NHS FOUNDATION TRUST</t>
  </si>
  <si>
    <t>SOUTH LONDON AND MAUDSLEY NHS FOUNDATION TRUST</t>
  </si>
  <si>
    <t>EPSOM AND ST HELIER UNIVERSITY HOSPITALS NHS TRUST</t>
  </si>
  <si>
    <t>EAST LONDON NHS FOUNDATION TRUST</t>
  </si>
  <si>
    <t>HOUNSLOW AND RICHMOND COMMUNITY HEALTHCARE NHS TRUST</t>
  </si>
  <si>
    <t>IMPERIAL COLLEGE HEALTHCARE NHS TRUST</t>
  </si>
  <si>
    <t>CENTRAL LONDON COMMUNITY HEALTHCARE NHS TRUST</t>
  </si>
  <si>
    <t>CAMDEN AND ISLINGTON NHS FOUNDATION TRUST</t>
  </si>
  <si>
    <t>ATM01</t>
  </si>
  <si>
    <t>NEWBRIDGE CARE SYSTEMS</t>
  </si>
  <si>
    <t>AX401</t>
  </si>
  <si>
    <t>THE HOSPITAL GROUP - DOLAN PARK HOSPITAL</t>
  </si>
  <si>
    <t>DE826</t>
  </si>
  <si>
    <t>FARNDON UNIT</t>
  </si>
  <si>
    <t>DE875</t>
  </si>
  <si>
    <t>COTSWOLD SPA</t>
  </si>
  <si>
    <t>NFJ06</t>
  </si>
  <si>
    <t>BROOMHILL</t>
  </si>
  <si>
    <t>NFJ09</t>
  </si>
  <si>
    <t>THE DALLINGTONS</t>
  </si>
  <si>
    <t>NMJ07</t>
  </si>
  <si>
    <t>CYGNET HOSPITAL DERBY</t>
  </si>
  <si>
    <t>NMJ0F</t>
  </si>
  <si>
    <t>CEDAR VALE HOSPITAL</t>
  </si>
  <si>
    <t>NMJ0Y</t>
  </si>
  <si>
    <t>WAST HILLS HOSPITAL</t>
  </si>
  <si>
    <t>NMJ25</t>
  </si>
  <si>
    <t>CYGNET HOSPITAL COVENTRY</t>
  </si>
  <si>
    <t>NMJ28</t>
  </si>
  <si>
    <t>CYGNET ELMS</t>
  </si>
  <si>
    <t>NMJ29</t>
  </si>
  <si>
    <t>CYGNET RAGLAN HOUSE</t>
  </si>
  <si>
    <t>NMJ30</t>
  </si>
  <si>
    <t>CYGNET HEATHERS</t>
  </si>
  <si>
    <t>NMJ31</t>
  </si>
  <si>
    <t>CYGNET CEDARS</t>
  </si>
  <si>
    <t>NMJ46</t>
  </si>
  <si>
    <t>CYGNET VIEWS</t>
  </si>
  <si>
    <t>NMJ47</t>
  </si>
  <si>
    <t>CYGNET STORTHFIELD HOUSE</t>
  </si>
  <si>
    <t>NMJ71</t>
  </si>
  <si>
    <t>CYGNET HOSPITAL CLIFTON</t>
  </si>
  <si>
    <t>NMJ75</t>
  </si>
  <si>
    <t>CYGNET MANOR</t>
  </si>
  <si>
    <t>NMJ77</t>
  </si>
  <si>
    <t>CYGNET SHERWOOD HOUSE</t>
  </si>
  <si>
    <t>NMJ86</t>
  </si>
  <si>
    <t>CYGNET ACER CLINIC</t>
  </si>
  <si>
    <t>NMJ98</t>
  </si>
  <si>
    <t>CYGNET ST. AUGUSTINE'S</t>
  </si>
  <si>
    <t>NOTTINGHAM CITYCARE PARTNERSHIP</t>
  </si>
  <si>
    <t>NRRK</t>
  </si>
  <si>
    <t>NHS NIGHTINGALE HOSPITAL BIRMINGHAM TRUST</t>
  </si>
  <si>
    <t>NT213</t>
  </si>
  <si>
    <t>NUFFIELD HEALTH, DERBY HOSPITAL</t>
  </si>
  <si>
    <t>NT219</t>
  </si>
  <si>
    <t>NUFFIELD HEALTH, HEREFORD HOSPITAL</t>
  </si>
  <si>
    <t>NT224</t>
  </si>
  <si>
    <t>NUFFIELD HEALTH, WARWICKSHIRE HOSPITAL</t>
  </si>
  <si>
    <t>NT226</t>
  </si>
  <si>
    <t>NUFFIELD HEALTH, LEICESTER HOSPITAL</t>
  </si>
  <si>
    <t>NT230</t>
  </si>
  <si>
    <t>NUFFIELD HEALTH, NORTH STAFFORDSHIRE HOSPITAL</t>
  </si>
  <si>
    <t>NT235</t>
  </si>
  <si>
    <t>NUFFIELD HEALTH, SHREWSBURY HOSPITAL</t>
  </si>
  <si>
    <t>NT242</t>
  </si>
  <si>
    <t>NUFFIELD HEALTH, WOLVERHAMPTON HOSPITAL</t>
  </si>
  <si>
    <t>NT301</t>
  </si>
  <si>
    <t>SPIRE SOUTH BANK HOSPITAL</t>
  </si>
  <si>
    <t>NT30A</t>
  </si>
  <si>
    <t>SPIRE NOTTINGHAM HOSPITAL</t>
  </si>
  <si>
    <t>NT320</t>
  </si>
  <si>
    <t>SPIRE PARKWAY HOSPITAL</t>
  </si>
  <si>
    <t>NT321</t>
  </si>
  <si>
    <t>SPIRE LITTLE ASTON HOSPITAL</t>
  </si>
  <si>
    <t>NT322</t>
  </si>
  <si>
    <t>SPIRE LEICESTER HOSPITAL</t>
  </si>
  <si>
    <t>NT412</t>
  </si>
  <si>
    <t>BMI - THE DROITWICH SPA HOSPITAL</t>
  </si>
  <si>
    <t>NT424</t>
  </si>
  <si>
    <t>BMI - THE MERIDEN HOSPITAL</t>
  </si>
  <si>
    <t>NT427</t>
  </si>
  <si>
    <t>BMI - THE PARK HOSPITAL</t>
  </si>
  <si>
    <t>NT429</t>
  </si>
  <si>
    <t>BMI - THE PRIORY HOSPITAL</t>
  </si>
  <si>
    <t>NT441</t>
  </si>
  <si>
    <t>BMI - THREE SHIRES HOSPITAL</t>
  </si>
  <si>
    <t>NT445</t>
  </si>
  <si>
    <t>BMI THE EDGBASTON HOSPITAL</t>
  </si>
  <si>
    <t>NT450</t>
  </si>
  <si>
    <t>BMI THE LINCOLN HOSPITAL</t>
  </si>
  <si>
    <t>NTP13</t>
  </si>
  <si>
    <t>BARLBOROUGH NHS TREATMENT CENTRE</t>
  </si>
  <si>
    <t>NV203</t>
  </si>
  <si>
    <t>THE HUNTERCOMBE HOSPITAL - STAFFORD</t>
  </si>
  <si>
    <t>NV213</t>
  </si>
  <si>
    <t>ASHLEY HOUSE HOSPITAL</t>
  </si>
  <si>
    <t>NV241</t>
  </si>
  <si>
    <t>THE HUNTERCOMBE CENTRE BIRMINGHAM</t>
  </si>
  <si>
    <t>NV246</t>
  </si>
  <si>
    <t>THE HUNTERCOMBE HOSPITAL - COTSWOLD SPA</t>
  </si>
  <si>
    <t>NVC17</t>
  </si>
  <si>
    <t>ROWLEY HALL HOSPITAL</t>
  </si>
  <si>
    <t>NVC21</t>
  </si>
  <si>
    <t>WEST MIDLANDS HOSPITAL</t>
  </si>
  <si>
    <t>NVC23</t>
  </si>
  <si>
    <t>WOODLAND HOSPITAL</t>
  </si>
  <si>
    <t>NVC27</t>
  </si>
  <si>
    <t>BOSTON WEST HOSPITAL</t>
  </si>
  <si>
    <t>NVC40</t>
  </si>
  <si>
    <t>WOODTHORPE HOSPITAL</t>
  </si>
  <si>
    <t>NVC44</t>
  </si>
  <si>
    <t>THE WESTBOURNE CENTRE</t>
  </si>
  <si>
    <t>NYA01</t>
  </si>
  <si>
    <t>ST ANDREW'S HEALTHCARE - NORTHAMPTON</t>
  </si>
  <si>
    <t>NYA03</t>
  </si>
  <si>
    <t>ST ANDREW'S HEALTHCARE - BIRMINGHAM</t>
  </si>
  <si>
    <t>NYA04</t>
  </si>
  <si>
    <t>ST ANDREW'S HEALTHCARE NOTTINGHAMSHIRE</t>
  </si>
  <si>
    <t>WORCESTERSHIRE HEALTH AND CARE NHS TRUST</t>
  </si>
  <si>
    <t>SHROPSHIRE COMMUNITY HEALTH NHS TRUST</t>
  </si>
  <si>
    <t>WALSALL HEALTHCARE NHS TRUST</t>
  </si>
  <si>
    <t>CHESTERFIELD ROYAL HOSPITAL NHS FOUNDATION TRUST</t>
  </si>
  <si>
    <t>NOTTINGHAMSHIRE HEALTHCARE NHS FOUNDATION TRUST</t>
  </si>
  <si>
    <t>SOUTH WARWICKSHIRE NHS FOUNDATION TRUST</t>
  </si>
  <si>
    <t>UNIVERSITY HOSPITALS OF NORTH MIDLANDS NHS TRUST</t>
  </si>
  <si>
    <t>SHERWOOD FOREST HOSPITALS NHS FOUNDATION TRUST</t>
  </si>
  <si>
    <t>UNIVERSITY HOSPITALS COVENTRY AND WARWICKSHIRE NHS TRUST</t>
  </si>
  <si>
    <t>THE ROBERT JONES AND AGNES HUNT ORTHOPAEDIC HOSPITAL NHS FOUNDATION TRUST</t>
  </si>
  <si>
    <t>THE ROYAL WOLVERHAMPTON NHS TRUST</t>
  </si>
  <si>
    <t>WYE VALLEY NHS TRUST</t>
  </si>
  <si>
    <t>GEORGE ELIOT HOSPITAL NHS TRUST</t>
  </si>
  <si>
    <t>NORTH STAFFORDSHIRE COMBINED HEALTHCARE NHS TRUST</t>
  </si>
  <si>
    <t>THE DUDLEY GROUP NHS FOUNDATION TRUST</t>
  </si>
  <si>
    <t>KETTERING GENERAL HOSPITAL NHS FOUNDATION TRUST</t>
  </si>
  <si>
    <t>NORTHAMPTON GENERAL HOSPITAL NHS TRUST</t>
  </si>
  <si>
    <t>NORTHAMPTONSHIRE HEALTHCARE NHS FOUNDATION TRUST</t>
  </si>
  <si>
    <t>LINCOLNSHIRE PARTNERSHIP NHS FOUNDATION TRUST</t>
  </si>
  <si>
    <t>BIRMINGHAM WOMEN'S AND CHILDREN'S NHS FOUNDATION TRUST</t>
  </si>
  <si>
    <t>MIDLANDS PARTNERSHIP NHS FOUNDATION TRUST</t>
  </si>
  <si>
    <t>THE ROYAL ORTHOPAEDIC HOSPITAL NHS FOUNDATION TRUST</t>
  </si>
  <si>
    <t>UNIVERSITY HOSPITALS BIRMINGHAM NHS FOUNDATION TRUST</t>
  </si>
  <si>
    <t>LEICESTERSHIRE PARTNERSHIP NHS TRUST</t>
  </si>
  <si>
    <t>UNIVERSITY HOSPITALS OF DERBY AND BURTON NHS FOUNDATION TRUST</t>
  </si>
  <si>
    <t>UNITED LINCOLNSHIRE HOSPITALS NHS TRUST</t>
  </si>
  <si>
    <t>UNIVERSITY HOSPITALS OF LEICESTER NHS TRUST</t>
  </si>
  <si>
    <t>WORCESTERSHIRE ACUTE HOSPITALS NHS TRUST</t>
  </si>
  <si>
    <t>NOTTINGHAM UNIVERSITY HOSPITALS NHS TRUST</t>
  </si>
  <si>
    <t>SANDWELL AND WEST BIRMINGHAM HOSPITALS NHS TRUST</t>
  </si>
  <si>
    <t>DERBYSHIRE HEALTHCARE NHS FOUNDATION TRUST</t>
  </si>
  <si>
    <t>BIRMINGHAM AND SOLIHULL MENTAL HEALTH NHS FOUNDATION TRUST</t>
  </si>
  <si>
    <t>SHREWSBURY AND TELFORD HOSPITAL NHS TRUST</t>
  </si>
  <si>
    <t>LINCOLNSHIRE COMMUNITY HEALTH SERVICES NHS TRUST</t>
  </si>
  <si>
    <t>DERBYSHIRE COMMUNITY HEALTH SERVICES NHS FOUNDATION TRUST</t>
  </si>
  <si>
    <t>COVENTRY AND WARWICKSHIRE PARTNERSHIP NHS TRUST</t>
  </si>
  <si>
    <t>BIRMINGHAM COMMUNITY HEALTHCARE NHS FOUNDATION TRUST</t>
  </si>
  <si>
    <t>BLACK COUNTRY HEALTHCARE NHS FOUNDATION TRUST</t>
  </si>
  <si>
    <t>ATM02</t>
  </si>
  <si>
    <t>SCHOEN CLINIC YORK</t>
  </si>
  <si>
    <t>DE824</t>
  </si>
  <si>
    <t>SPRING WOOD LODGE</t>
  </si>
  <si>
    <t>DRH01</t>
  </si>
  <si>
    <t>KINVARA PRIVATE HOSPITAL</t>
  </si>
  <si>
    <t>SPECTRUM COMMUNITY HEALTH - CIC</t>
  </si>
  <si>
    <t>CARE PLUS GROUP</t>
  </si>
  <si>
    <t>LOCALA COMMUNITY PARTNERSHIPS CIC</t>
  </si>
  <si>
    <t>NMJ02</t>
  </si>
  <si>
    <t>CYGNET HOSPITAL BIERLEY</t>
  </si>
  <si>
    <t>NMJ06</t>
  </si>
  <si>
    <t>CYGNET LODGE BRIGHOUSE</t>
  </si>
  <si>
    <t>NMJ09</t>
  </si>
  <si>
    <t>CYGNET HOSPITAL HARROGATE</t>
  </si>
  <si>
    <t>NMJ12</t>
  </si>
  <si>
    <t>CYGNET HOSPITAL WYKE</t>
  </si>
  <si>
    <t>NMJ23</t>
  </si>
  <si>
    <t>CYGNET HOSPITAL SHEFFIELD</t>
  </si>
  <si>
    <t>NMJ50</t>
  </si>
  <si>
    <t>CYGNET APPLETREE</t>
  </si>
  <si>
    <t>NMJ90</t>
  </si>
  <si>
    <t>CYGNET OAKS</t>
  </si>
  <si>
    <t>CITY HEALTH CARE PARTNERSHIP CIC</t>
  </si>
  <si>
    <t>NNH02</t>
  </si>
  <si>
    <t>OPTEGRA YORKSHIRE EYE HOSPITAL</t>
  </si>
  <si>
    <t>NAVIGO HEALTH AND SOCIAL CARE CIC</t>
  </si>
  <si>
    <t>CHESWOLD PARK HOSPITAL</t>
  </si>
  <si>
    <t>NRN01</t>
  </si>
  <si>
    <t>CHESWOLD PARK HOSPITAL (DONCASTER)</t>
  </si>
  <si>
    <t>NRR8</t>
  </si>
  <si>
    <t>NHS NIGHTINGALE HOSPITAL YORKSHIRE AND THE HUMBER TRUST</t>
  </si>
  <si>
    <t>NT225</t>
  </si>
  <si>
    <t>NUFFIELD HEALTH, LEEDS HOSPITAL</t>
  </si>
  <si>
    <t>NT229</t>
  </si>
  <si>
    <t>NUFFIELD HEALTH, NEWCASTLE UPON TYNE HOSPITAL</t>
  </si>
  <si>
    <t>NT237</t>
  </si>
  <si>
    <t>NUFFIELD HEALTH, TEES HOSPITAL</t>
  </si>
  <si>
    <t>NT245</t>
  </si>
  <si>
    <t>NUFFIELD HEALTH, YORK HOSPITAL</t>
  </si>
  <si>
    <t>NT332</t>
  </si>
  <si>
    <t>SPIRE LEEDS HOSPITAL</t>
  </si>
  <si>
    <t>NT333</t>
  </si>
  <si>
    <t>SPIRE WASHINGTON HOSPITAL</t>
  </si>
  <si>
    <t>NT348</t>
  </si>
  <si>
    <t>SPIRE ELLAND HOSPITAL</t>
  </si>
  <si>
    <t>NT350</t>
  </si>
  <si>
    <t>SPIRE METHLEY PARK HOSPITAL</t>
  </si>
  <si>
    <t>NT351</t>
  </si>
  <si>
    <t>SPIRE HULL AND EAST RIDING HOSPITAL</t>
  </si>
  <si>
    <t>NT440</t>
  </si>
  <si>
    <t>BMI - THORNBURY HOSPITAL</t>
  </si>
  <si>
    <t>NT447</t>
  </si>
  <si>
    <t>BMI THE DUCHY HOSPITAL</t>
  </si>
  <si>
    <t>NT448</t>
  </si>
  <si>
    <t>BMI THE HUDDERSFIELD HOSPITAL</t>
  </si>
  <si>
    <t>NT457</t>
  </si>
  <si>
    <t>BMI WOODLANDS HOSPITAL</t>
  </si>
  <si>
    <t>NTE02</t>
  </si>
  <si>
    <t>ST HUGH'S HOSPITAL</t>
  </si>
  <si>
    <t>NVC0R</t>
  </si>
  <si>
    <t>TEES VALLEY HOSPITAL</t>
  </si>
  <si>
    <t>NVC14</t>
  </si>
  <si>
    <t>PARK HILL HOSPITAL</t>
  </si>
  <si>
    <t>NVC20</t>
  </si>
  <si>
    <t>THE YORKSHIRE CLINIC</t>
  </si>
  <si>
    <t>NVC28</t>
  </si>
  <si>
    <t>CLIFTON PARK HOSPITAL</t>
  </si>
  <si>
    <t>NVC29</t>
  </si>
  <si>
    <t>COBALT HOSPITAL</t>
  </si>
  <si>
    <t>NYW04</t>
  </si>
  <si>
    <t>ASPEN - CLAREMONT HOSPITAL</t>
  </si>
  <si>
    <t>NYW25</t>
  </si>
  <si>
    <t>ASPEN - NOVA HEALTHCARE</t>
  </si>
  <si>
    <t>SOUTH TYNESIDE AND SUNDERLAND NHS FOUNDATION TRUST</t>
  </si>
  <si>
    <t>BRADFORD TEACHING HOSPITALS NHS FOUNDATION TRUST</t>
  </si>
  <si>
    <t>YORK TEACHING HOSPITAL NHS FOUNDATION TRUST</t>
  </si>
  <si>
    <t>HARROGATE AND DISTRICT NHS FOUNDATION TRUST</t>
  </si>
  <si>
    <t>AIREDALE NHS FOUNDATION TRUST</t>
  </si>
  <si>
    <t>SHEFFIELD CHILDREN'S NHS FOUNDATION TRUST</t>
  </si>
  <si>
    <t>BARNSLEY HOSPITAL NHS FOUNDATION TRUST</t>
  </si>
  <si>
    <t>THE ROTHERHAM NHS FOUNDATION TRUST</t>
  </si>
  <si>
    <t>LEEDS AND YORK PARTNERSHIP NHS FOUNDATION TRUST</t>
  </si>
  <si>
    <t>SHEFFIELD TEACHING HOSPITALS NHS FOUNDATION TRUST</t>
  </si>
  <si>
    <t>NORTHERN LINCOLNSHIRE AND GOOLE NHS FOUNDATION TRUST</t>
  </si>
  <si>
    <t>NORTH CUMBRIA INTEGRATED CARE NHS FOUNDATION TRUST</t>
  </si>
  <si>
    <t>DONCASTER AND BASSETLAW TEACHING HOSPITALS NHS FOUNDATION TRUST</t>
  </si>
  <si>
    <t>GATESHEAD HEALTH NHS FOUNDATION TRUST</t>
  </si>
  <si>
    <t>LEEDS TEACHING HOSPITALS NHS TRUST</t>
  </si>
  <si>
    <t>THE NEWCASTLE UPON TYNE HOSPITALS NHS FOUNDATION TRUST</t>
  </si>
  <si>
    <t>NORTHUMBRIA HEALTHCARE NHS FOUNDATION TRUST</t>
  </si>
  <si>
    <t>SOUTH TEES HOSPITALS NHS FOUNDATION TRUST</t>
  </si>
  <si>
    <t>HUMBER TEACHING NHS FOUNDATION TRUST</t>
  </si>
  <si>
    <t>NORTH TEES AND HARTLEPOOL NHS FOUNDATION TRUST</t>
  </si>
  <si>
    <t>HULL UNIVERSITY TEACHING HOSPITALS NHS TRUST</t>
  </si>
  <si>
    <t>CALDERDALE AND HUDDERSFIELD NHS FOUNDATION TRUST</t>
  </si>
  <si>
    <t>TEES, ESK AND WEAR VALLEYS NHS FOUNDATION TRUST</t>
  </si>
  <si>
    <t>CUMBRIA, NORTHUMBERLAND, TYNE AND WEAR NHS FOUNDATION TRUST</t>
  </si>
  <si>
    <t>ROTHERHAM DONCASTER AND SOUTH HUMBER NHS FOUNDATION TRUST</t>
  </si>
  <si>
    <t>MID YORKSHIRE HOSPITALS NHS TRUST</t>
  </si>
  <si>
    <t>SOUTH WEST YORKSHIRE PARTNERSHIP NHS FOUNDATION TRUST</t>
  </si>
  <si>
    <t>COUNTY DURHAM AND DARLINGTON NHS FOUNDATION TRUST</t>
  </si>
  <si>
    <t>LEEDS COMMUNITY HEALTHCARE NHS TRUST</t>
  </si>
  <si>
    <t>BRADFORD DISTRICT CARE NHS FOUNDATION TRUST</t>
  </si>
  <si>
    <t>SHEFFIELD HEALTH &amp; SOCIAL CARE NHS FOUNDATION TRUST</t>
  </si>
  <si>
    <t>AY001</t>
  </si>
  <si>
    <t>TFHC LTD</t>
  </si>
  <si>
    <t>DC807</t>
  </si>
  <si>
    <t>FAIRFIELD INDEPENDENT HOSPITAL</t>
  </si>
  <si>
    <t>DE802</t>
  </si>
  <si>
    <t>ARBURY COURT</t>
  </si>
  <si>
    <t>NMJ22</t>
  </si>
  <si>
    <t>CYGNET HOSPITAL BURY</t>
  </si>
  <si>
    <t>NR0A</t>
  </si>
  <si>
    <t>NHS NIGHTINGALE HOSPITAL NORTH WEST TRUST</t>
  </si>
  <si>
    <t>NT210</t>
  </si>
  <si>
    <t>NUFFIELD HEALTH, THE GROSVENOR HOSPITAL, CHESTER</t>
  </si>
  <si>
    <t>NT324</t>
  </si>
  <si>
    <t>SPIRE CHESHIRE HOSPITAL</t>
  </si>
  <si>
    <t>NT325</t>
  </si>
  <si>
    <t>SPIRE MURRAYFIELD HOSPITAL</t>
  </si>
  <si>
    <t>NT327</t>
  </si>
  <si>
    <t>SPIRE MANCHESTER HOSPITAL</t>
  </si>
  <si>
    <t>NT337</t>
  </si>
  <si>
    <t>SPIRE LIVERPOOL HOSPITAL</t>
  </si>
  <si>
    <t>NT339</t>
  </si>
  <si>
    <t>SPIRE REGENCY HOSPITAL</t>
  </si>
  <si>
    <t>NT347</t>
  </si>
  <si>
    <t>SPIRE FYLDE COAST HOSPITAL</t>
  </si>
  <si>
    <t>NT401</t>
  </si>
  <si>
    <t>BMI - THE ALEXANDRA HOSPITAL</t>
  </si>
  <si>
    <t>NT403</t>
  </si>
  <si>
    <t>BMI - THE BEARDWOOD HOSPITAL</t>
  </si>
  <si>
    <t>NT404</t>
  </si>
  <si>
    <t>BMI - THE BEAUMONT HOSPITAL</t>
  </si>
  <si>
    <t>NT420</t>
  </si>
  <si>
    <t>BMI - THE HIGHFIELD HOSPITAL</t>
  </si>
  <si>
    <t>NT449</t>
  </si>
  <si>
    <t>BMI THE LANCASTER HOSPITAL</t>
  </si>
  <si>
    <t>NT497</t>
  </si>
  <si>
    <t>BMI GISBURNE PARK HOSPITAL</t>
  </si>
  <si>
    <t>NV201</t>
  </si>
  <si>
    <t>THE HUNTERCOMBE HOSPITAL - MAIDENHEAD</t>
  </si>
  <si>
    <t>NVC05</t>
  </si>
  <si>
    <t>EUXTON HALL HOSPITAL</t>
  </si>
  <si>
    <t>NVC07</t>
  </si>
  <si>
    <t>FULWOOD HALL HOSPITAL</t>
  </si>
  <si>
    <t>NVC12</t>
  </si>
  <si>
    <t>OAKLANDS HOSPITAL</t>
  </si>
  <si>
    <t>NVC16</t>
  </si>
  <si>
    <t>RENACRES HOSPITAL</t>
  </si>
  <si>
    <t>NW612</t>
  </si>
  <si>
    <t>HCA - 52 ALDERLEY ROAD</t>
  </si>
  <si>
    <t>NW616</t>
  </si>
  <si>
    <t>THE CHRISTIE CLINIC</t>
  </si>
  <si>
    <t>MANCHESTER UNIVERSITY NHS FOUNDATION TRUST</t>
  </si>
  <si>
    <t>WIRRAL UNIVERSITY TEACHING HOSPITAL NHS FOUNDATION TRUST</t>
  </si>
  <si>
    <t>ST HELENS AND KNOWSLEY TEACHING HOSPITALS NHS TRUST</t>
  </si>
  <si>
    <t>LIVERPOOL HEART AND CHEST HOSPITAL NHS FOUNDATION TRUST</t>
  </si>
  <si>
    <t>ALDER HEY CHILDREN'S NHS FOUNDATION TRUST</t>
  </si>
  <si>
    <t>MID CHESHIRE HOSPITALS NHS FOUNDATION TRUST</t>
  </si>
  <si>
    <t>THE CHRISTIE NHS FOUNDATION TRUST</t>
  </si>
  <si>
    <t>LIVERPOOL UNIVERSITY HOSPITALS NHS FOUNDATION TRUST</t>
  </si>
  <si>
    <t>THE CLATTERBRIDGE CANCER CENTRE NHS FOUNDATION TRUST</t>
  </si>
  <si>
    <t>LIVERPOOL WOMEN'S NHS FOUNDATION TRUST</t>
  </si>
  <si>
    <t>THE WALTON CENTRE NHS FOUNDATION TRUST</t>
  </si>
  <si>
    <t>EAST CHESHIRE NHS TRUST</t>
  </si>
  <si>
    <t>COUNTESS OF CHESTER HOSPITAL NHS FOUNDATION TRUST</t>
  </si>
  <si>
    <t>SALFORD ROYAL NHS FOUNDATION TRUST</t>
  </si>
  <si>
    <t>BOLTON NHS FOUNDATION TRUST</t>
  </si>
  <si>
    <t>TAMESIDE AND GLOSSOP INTEGRATED CARE NHS FOUNDATION TRUST</t>
  </si>
  <si>
    <t>WRIGHTINGTON, WIGAN AND LEIGH NHS FOUNDATION TRUST</t>
  </si>
  <si>
    <t>PENNINE CARE NHS FOUNDATION TRUST</t>
  </si>
  <si>
    <t>NORTH WEST BOROUGHS HEALTHCARE NHS FOUNDATION TRUST</t>
  </si>
  <si>
    <t>UNIVERSITY HOSPITALS OF MORECAMBE BAY NHS FOUNDATION TRUST</t>
  </si>
  <si>
    <t>SOUTHPORT AND ORMSKIRK HOSPITAL NHS TRUST</t>
  </si>
  <si>
    <t>MERSEY CARE NHS FOUNDATION TRUST</t>
  </si>
  <si>
    <t>LANCASHIRE &amp; SOUTH CUMBRIA NHS FOUNDATION TRUST</t>
  </si>
  <si>
    <t>PENNINE ACUTE HOSPITALS NHS TRUST</t>
  </si>
  <si>
    <t>STOCKPORT NHS FOUNDATION TRUST</t>
  </si>
  <si>
    <t>WARRINGTON AND HALTON TEACHING HOSPITALS NHS FOUNDATION TRUST</t>
  </si>
  <si>
    <t>CHESHIRE AND WIRRAL PARTNERSHIP NHS FOUNDATION TRUST</t>
  </si>
  <si>
    <t>BLACKPOOL TEACHING HOSPITALS NHS FOUNDATION TRUST</t>
  </si>
  <si>
    <t>LANCASHIRE TEACHING HOSPITALS NHS FOUNDATION TRUST</t>
  </si>
  <si>
    <t>EAST LANCASHIRE HOSPITALS NHS TRUST</t>
  </si>
  <si>
    <t>GREATER MANCHESTER MENTAL HEALTH NHS FOUNDATION TRUST</t>
  </si>
  <si>
    <t>BRIDGEWATER COMMUNITY HEALTHCARE NHS FOUNDATION TRUST</t>
  </si>
  <si>
    <t>WIRRAL COMMUNITY HEALTH AND CARE NHS FOUNDATION TRUST</t>
  </si>
  <si>
    <t>ST MAGNUS HOSPITAL</t>
  </si>
  <si>
    <t>ADP02</t>
  </si>
  <si>
    <t>KIMS HOSPITAL (NEWNHAM COURT)</t>
  </si>
  <si>
    <t>AVQ01</t>
  </si>
  <si>
    <t>ONE ASHFORD HOSPITAL</t>
  </si>
  <si>
    <t>DX101</t>
  </si>
  <si>
    <t>THE NEW FOSCOTE HOSPITAL (FOSCOTE HOSPITAL)</t>
  </si>
  <si>
    <t>FIRST COMMUNITY HEALTH AND CARE CIC</t>
  </si>
  <si>
    <t>NMJ01</t>
  </si>
  <si>
    <t>CYGNET HOSPITAL GODDEN GREEN</t>
  </si>
  <si>
    <t>NMJ24</t>
  </si>
  <si>
    <t>CYGNET HOSPITAL WOKING</t>
  </si>
  <si>
    <t>NMJ26</t>
  </si>
  <si>
    <t>CYGNET HOSPITAL MAIDSTONE</t>
  </si>
  <si>
    <t>NN801</t>
  </si>
  <si>
    <t>SPENCER PRIVATE HOSPITALS - MARGATE</t>
  </si>
  <si>
    <t>NN802</t>
  </si>
  <si>
    <t>SPENCER PRIVATE HOSPITALS - ASHFORD</t>
  </si>
  <si>
    <t>MEDWAY COMMUNITY HEALTHCARE</t>
  </si>
  <si>
    <t>NT205</t>
  </si>
  <si>
    <t>NUFFIELD HEALTH, BRIGHTON HOSPITAL</t>
  </si>
  <si>
    <t>NT212</t>
  </si>
  <si>
    <t>NUFFIELD HEALTH, CHICHESTER HOSPITAL</t>
  </si>
  <si>
    <t>NT214</t>
  </si>
  <si>
    <t>NUFFIELD HEALTH, WESSEX HOSPITAL</t>
  </si>
  <si>
    <t>NT216</t>
  </si>
  <si>
    <t>NUFFIELD HEALTH, GUILDFORD HOSPITAL</t>
  </si>
  <si>
    <t>NT218</t>
  </si>
  <si>
    <t>NUFFIELD HEALTH, HAYWARDS HEATH HOSPITAL</t>
  </si>
  <si>
    <t>NT239</t>
  </si>
  <si>
    <t>NUFFIELD HEALTH, TUNBRIDGE WELLS HOSPITAL</t>
  </si>
  <si>
    <t>NT241</t>
  </si>
  <si>
    <t>NUFFIELD HEALTH, WOKING HOSPITAL</t>
  </si>
  <si>
    <t>NT244</t>
  </si>
  <si>
    <t>NUFFIELD HOSPITAL OXFORD (THE MANOR)</t>
  </si>
  <si>
    <t>NT304</t>
  </si>
  <si>
    <t>SPIRE SOUTHAMPTON HOSPITAL</t>
  </si>
  <si>
    <t>NT305</t>
  </si>
  <si>
    <t>SPIRE PORTSMOUTH HOSPITAL</t>
  </si>
  <si>
    <t>NT308</t>
  </si>
  <si>
    <t>SPIRE GATWICK PARK HOSPITAL</t>
  </si>
  <si>
    <t>NT309</t>
  </si>
  <si>
    <t>SPIRE SUSSEX HOSPITAL</t>
  </si>
  <si>
    <t>NT310</t>
  </si>
  <si>
    <t>SPIRE TUNBRIDGE WELLS HOSPITAL</t>
  </si>
  <si>
    <t>NT312</t>
  </si>
  <si>
    <t>SPIRE ALEXANDRA HOSPITAL</t>
  </si>
  <si>
    <t>NT343</t>
  </si>
  <si>
    <t>SPIRE THAMES VALLEY HOSPITAL</t>
  </si>
  <si>
    <t>NT344</t>
  </si>
  <si>
    <t>SPIRE DUNEDIN HOSPITAL</t>
  </si>
  <si>
    <t>NT345</t>
  </si>
  <si>
    <t>SPIRE CLARE PARK HOSPITAL</t>
  </si>
  <si>
    <t>NT364</t>
  </si>
  <si>
    <t>SPIRE MONTEFIORE HOSPITAL</t>
  </si>
  <si>
    <t>NT408</t>
  </si>
  <si>
    <t>BMI - THE CHAUCER HOSPITAL</t>
  </si>
  <si>
    <t>NT410</t>
  </si>
  <si>
    <t>BMI - THE CHILTERN HOSPITAL</t>
  </si>
  <si>
    <t>NT417</t>
  </si>
  <si>
    <t>BMI - GORING HALL HOSPITAL</t>
  </si>
  <si>
    <t>NT418</t>
  </si>
  <si>
    <t>BMI - THE HAMPSHIRE CLINIC</t>
  </si>
  <si>
    <t>NT428</t>
  </si>
  <si>
    <t>BMI - THE PRINCESS MARGARET HOSPITAL</t>
  </si>
  <si>
    <t>NT431</t>
  </si>
  <si>
    <t>BMI - THE RUNNYMEDE HOSPITAL</t>
  </si>
  <si>
    <t>NT433</t>
  </si>
  <si>
    <t>BMI - SARUM ROAD HOSPITAL</t>
  </si>
  <si>
    <t>NT435</t>
  </si>
  <si>
    <t>BMI - THE SHELBURNE HOSPITAL</t>
  </si>
  <si>
    <t>NT455</t>
  </si>
  <si>
    <t>BMI MOUNT ALVERNIA HOSPITAL</t>
  </si>
  <si>
    <t>NTH02</t>
  </si>
  <si>
    <t>CLARE PARK HOSPITAL</t>
  </si>
  <si>
    <t>NTP11</t>
  </si>
  <si>
    <t>SOUTHAMPTON NHS TREATMENT CENTRE</t>
  </si>
  <si>
    <t>NTP16</t>
  </si>
  <si>
    <t>WILL ADAMS NHS TREATMENT CENTRE</t>
  </si>
  <si>
    <t>NTPAD</t>
  </si>
  <si>
    <t>ST MARY'S NHS TREATMENT CENTRE</t>
  </si>
  <si>
    <t>CSH SURREY</t>
  </si>
  <si>
    <t>NV217</t>
  </si>
  <si>
    <t>CEDAR HOUSE HOSPITAL</t>
  </si>
  <si>
    <t>NV323</t>
  </si>
  <si>
    <t>CIRCLE READING HOSPITAL</t>
  </si>
  <si>
    <t>NVC01</t>
  </si>
  <si>
    <t>ASHTEAD HOSPITAL</t>
  </si>
  <si>
    <t>NVC02</t>
  </si>
  <si>
    <t>THE BERKSHIRE INDEPENDENT HOSPITAL</t>
  </si>
  <si>
    <t>NVC11</t>
  </si>
  <si>
    <t>NORTH DOWNS HOSPITAL</t>
  </si>
  <si>
    <t>NVC25</t>
  </si>
  <si>
    <t>HORTON NHS TREATMENT CENTRE</t>
  </si>
  <si>
    <t>NVM01</t>
  </si>
  <si>
    <t>COBHAM DAY SURGERY HOSPITAL</t>
  </si>
  <si>
    <t>NVM02</t>
  </si>
  <si>
    <t>EPSOM DAY SURGERY LIMITED</t>
  </si>
  <si>
    <t>NWF01</t>
  </si>
  <si>
    <t>BENENDEN HOSPITAL</t>
  </si>
  <si>
    <t>NXM01</t>
  </si>
  <si>
    <t>THE HORDER CENTRE - ST JOHNS ROAD</t>
  </si>
  <si>
    <t>NXM04</t>
  </si>
  <si>
    <t>THE MCINDOE CENTRE</t>
  </si>
  <si>
    <t>SOLENT NHS TRUST</t>
  </si>
  <si>
    <t>ISLE OF WIGHT NHS TRUST</t>
  </si>
  <si>
    <t>ROYAL SURREY COUNTY HOSPITAL NHS FOUNDATION TRUST</t>
  </si>
  <si>
    <t>SUSSEX COMMUNITY NHS FOUNDATION TRUST</t>
  </si>
  <si>
    <t>FRIMLEY HEALTH NHS FOUNDATION TRUST</t>
  </si>
  <si>
    <t>UNIVERSITY HOSPITAL SOUTHAMPTON NHS FOUNDATION TRUST</t>
  </si>
  <si>
    <t>PORTSMOUTH HOSPITALS NHS TRUST</t>
  </si>
  <si>
    <t>ROYAL BERKSHIRE NHS FOUNDATION TRUST</t>
  </si>
  <si>
    <t>HAMPSHIRE HOSPITALS NHS FOUNDATION TRUST</t>
  </si>
  <si>
    <t>DARTFORD AND GRAVESHAM NHS TRUST</t>
  </si>
  <si>
    <t>OXFORD HEALTH NHS FOUNDATION TRUST</t>
  </si>
  <si>
    <t>MEDWAY NHS FOUNDATION TRUST</t>
  </si>
  <si>
    <t>QUEEN VICTORIA HOSPITAL NHS FOUNDATION TRUST</t>
  </si>
  <si>
    <t>OXFORD UNIVERSITY HOSPITALS NHS FOUNDATION TRUST</t>
  </si>
  <si>
    <t>ASHFORD AND ST PETER'S HOSPITALS NHS FOUNDATION TRUST</t>
  </si>
  <si>
    <t>SURREY AND SUSSEX HEALTHCARE NHS TRUST</t>
  </si>
  <si>
    <t>EAST KENT HOSPITALS UNIVERSITY NHS FOUNDATION TRUST</t>
  </si>
  <si>
    <t>SOUTHERN HEALTH NHS FOUNDATION TRUST</t>
  </si>
  <si>
    <t>MAIDSTONE AND TUNBRIDGE WELLS NHS TRUST</t>
  </si>
  <si>
    <t>BERKSHIRE HEALTHCARE NHS FOUNDATION TRUST</t>
  </si>
  <si>
    <t>SUSSEX PARTNERSHIP NHS FOUNDATION TRUST</t>
  </si>
  <si>
    <t>EAST SUSSEX HEALTHCARE NHS TRUST</t>
  </si>
  <si>
    <t>BRIGHTON AND SUSSEX UNIVERSITY HOSPITALS NHS TRUST</t>
  </si>
  <si>
    <t>BUCKINGHAMSHIRE HEALTHCARE NHS TRUST</t>
  </si>
  <si>
    <t>SURREY AND BORDERS PARTNERSHIP NHS FOUNDATION TRUST</t>
  </si>
  <si>
    <t>KENT AND MEDWAY NHS AND SOCIAL CARE PARTNERSHIP TRUST</t>
  </si>
  <si>
    <t>WESTERN SUSSEX HOSPITALS NHS FOUNDATION TRUST</t>
  </si>
  <si>
    <t>KENT COMMUNITY HEALTH NHS FOUNDATION TRUST</t>
  </si>
  <si>
    <t>WILTSHIRE HEALTH &amp; CARE</t>
  </si>
  <si>
    <t>DE809</t>
  </si>
  <si>
    <t>WELLESLEY</t>
  </si>
  <si>
    <t>NORTH SOMERSET COMMUNITY PARTNERSHIP COMMUNITY INTEREST COMPANY</t>
  </si>
  <si>
    <t>SIRONA CARE &amp; HEALTH</t>
  </si>
  <si>
    <t>NMJ03</t>
  </si>
  <si>
    <t>CYGNET HOSPITAL KEWSTOKE</t>
  </si>
  <si>
    <t>NMJ20</t>
  </si>
  <si>
    <t>CYGNET HOSPITAL TAUNTON</t>
  </si>
  <si>
    <t>NMJ56</t>
  </si>
  <si>
    <t>CYGNET ALDERS CLINIC</t>
  </si>
  <si>
    <t>LIVEWELL SOUTHWEST</t>
  </si>
  <si>
    <t>NT202</t>
  </si>
  <si>
    <t>NUFFIELD HEALTH, BOURNEMOUTH HOSPITAL</t>
  </si>
  <si>
    <t>NT206</t>
  </si>
  <si>
    <t>NUFFIELD HEALTH, BRISTOL HOSPITAL (CHESTERFIELD)</t>
  </si>
  <si>
    <t>NT211</t>
  </si>
  <si>
    <t>NUFFIELD HEALTH, CHELTENHAM HOSPITAL</t>
  </si>
  <si>
    <t>NT215</t>
  </si>
  <si>
    <t>NUFFIELD HEALTH, EXETER HOSPITAL</t>
  </si>
  <si>
    <t>NT233</t>
  </si>
  <si>
    <t>NUFFIELD HEALTH, PLYMOUTH HOSPITAL</t>
  </si>
  <si>
    <t>NT238</t>
  </si>
  <si>
    <t>NUFFIELD HEALTH, TAUNTON HOSPITAL</t>
  </si>
  <si>
    <t>NT302</t>
  </si>
  <si>
    <t>SPIRE BRISTOL HOSPITAL</t>
  </si>
  <si>
    <t>NT402</t>
  </si>
  <si>
    <t>BMI - BATH CLINIC</t>
  </si>
  <si>
    <t>NT419</t>
  </si>
  <si>
    <t>BMI - THE HARBOUR HOSPITAL</t>
  </si>
  <si>
    <t>NT430</t>
  </si>
  <si>
    <t>BMI - THE RIDGEWAY HOSPITAL</t>
  </si>
  <si>
    <t>NT443</t>
  </si>
  <si>
    <t>BMI - THE WINTERBOURNE HOSPITAL</t>
  </si>
  <si>
    <t>NTPH1</t>
  </si>
  <si>
    <t>SHEPTON MALLET NHS TREATMENT CENTRE</t>
  </si>
  <si>
    <t>NTPH2</t>
  </si>
  <si>
    <t>EMERSONS GREEN NHS TREATMENT CENTRE</t>
  </si>
  <si>
    <t>NTPH3</t>
  </si>
  <si>
    <t>DEVIZES NHS TREATMENT CENTRE</t>
  </si>
  <si>
    <t>NTPH5</t>
  </si>
  <si>
    <t>PENINSULA NHS TREATMENT CENTRE</t>
  </si>
  <si>
    <t>NV302</t>
  </si>
  <si>
    <t>CIRCLE BATH HOSPITAL</t>
  </si>
  <si>
    <t>NVC04</t>
  </si>
  <si>
    <t>DUCHY HOSPITAL</t>
  </si>
  <si>
    <t>NVC08</t>
  </si>
  <si>
    <t>MOUNT STUART HOSPITAL</t>
  </si>
  <si>
    <t>NVC09</t>
  </si>
  <si>
    <t>NEW HALL HOSPITAL</t>
  </si>
  <si>
    <t>NVC0Y</t>
  </si>
  <si>
    <t>EXETER MEDICAL</t>
  </si>
  <si>
    <t>NVC22</t>
  </si>
  <si>
    <t>WINFIELD HOSPITAL</t>
  </si>
  <si>
    <t>UNIVERSITY HOSPITALS DORSET NHS FOUNDATION TRUST</t>
  </si>
  <si>
    <t>YEOVIL DISTRICT HOSPITAL NHS FOUNDATION TRUST</t>
  </si>
  <si>
    <t>UNIVERSITY HOSPITALS BRISTOL AND WESTON NHS FOUNDATION TRUST</t>
  </si>
  <si>
    <t>TORBAY AND SOUTH DEVON NHS FOUNDATION TRUST</t>
  </si>
  <si>
    <t>DORSET COUNTY HOSPITAL NHS FOUNDATION TRUST</t>
  </si>
  <si>
    <t>NORTHERN DEVON HEALTHCARE NHS TRUST</t>
  </si>
  <si>
    <t>ROYAL UNITED HOSPITALS BATH NHS FOUNDATION TRUST</t>
  </si>
  <si>
    <t>RD3</t>
  </si>
  <si>
    <t>POOLE HOSPITAL NHS FOUNDATION TRUST</t>
  </si>
  <si>
    <t>DORSET HEALTHCARE UNIVERSITY NHS FOUNDATION TRUST</t>
  </si>
  <si>
    <t>RDZ</t>
  </si>
  <si>
    <t>THE ROYAL BOURNEMOUTH AND CHRISTCHURCH HOSPITALS NHS FOUNDATION TRUST</t>
  </si>
  <si>
    <t>ROYAL CORNWALL HOSPITALS NHS TRUST</t>
  </si>
  <si>
    <t>SOMERSET NHS FOUNDATION TRUST</t>
  </si>
  <si>
    <t>ROYAL DEVON AND EXETER NHS FOUNDATION TRUST</t>
  </si>
  <si>
    <t>CORNWALL PARTNERSHIP NHS FOUNDATION TRUST</t>
  </si>
  <si>
    <t>UNIVERSITY HOSPITALS PLYMOUTH NHS TRUST</t>
  </si>
  <si>
    <t>GREAT WESTERN HOSPITALS NHS FOUNDATION TRUST</t>
  </si>
  <si>
    <t>SALISBURY NHS FOUNDATION TRUST</t>
  </si>
  <si>
    <t>GLOUCESTERSHIRE HOSPITALS NHS FOUNDATION TRUST</t>
  </si>
  <si>
    <t>GLOUCESTERSHIRE HEALTH AND CARE NHS FOUNDATION TRUST</t>
  </si>
  <si>
    <t>NORTH BRISTOL NHS TRUST</t>
  </si>
  <si>
    <t>AVON AND WILTSHIRE MENTAL HEALTH PARTNERSHIP NHS TRUST</t>
  </si>
  <si>
    <t>DEVON PARTNERSHIP NHS TRUST</t>
  </si>
  <si>
    <t>-</t>
  </si>
  <si>
    <t>Peak beds in use - Sep to Nov)</t>
  </si>
  <si>
    <t>Peak beds in use - March to Aug</t>
  </si>
  <si>
    <t>Hosp/trust name (Sep to Nov)</t>
  </si>
  <si>
    <t>Is Acute?</t>
  </si>
  <si>
    <t>Hosp/trust name (Mar to Aug)</t>
  </si>
  <si>
    <t>No</t>
  </si>
  <si>
    <t>Yes</t>
  </si>
  <si>
    <t>Total new covid admissions (1st Aug to 1st Nov)</t>
  </si>
  <si>
    <t>Combined admissions with covid (Aug to Nov)</t>
  </si>
  <si>
    <t>Combined admissions with covid (Mar to July)</t>
  </si>
  <si>
    <t>Total new covid admissions (19 March to 31st July)</t>
  </si>
  <si>
    <t>Not Acute but high admission numbers</t>
  </si>
  <si>
    <t>Actue with high admission numbers</t>
  </si>
  <si>
    <t>Unk.</t>
  </si>
  <si>
    <t>Category</t>
  </si>
  <si>
    <t>Included Hosp/Trusts</t>
  </si>
  <si>
    <t>Include</t>
  </si>
  <si>
    <t>Peak beds occupied by covid patients (wave 1)</t>
  </si>
  <si>
    <t>Current beds occupied by covid patients</t>
  </si>
  <si>
    <t>Current Date</t>
  </si>
  <si>
    <t>Ratio of current to wave 1 peak</t>
  </si>
  <si>
    <t>Y56</t>
  </si>
  <si>
    <t xml:space="preserve"> R1H </t>
  </si>
  <si>
    <t xml:space="preserve"> BARTS HEALTH NHS TRUST </t>
  </si>
  <si>
    <t xml:space="preserve"> R1K </t>
  </si>
  <si>
    <t xml:space="preserve"> LONDON NORTH WEST UNIVERSITY HEALTHCARE NHS TRUST </t>
  </si>
  <si>
    <t xml:space="preserve"> RAL </t>
  </si>
  <si>
    <t xml:space="preserve"> ROYAL FREE LONDON NHS FOUNDATION TRUST </t>
  </si>
  <si>
    <t xml:space="preserve"> RAN </t>
  </si>
  <si>
    <t xml:space="preserve"> ROYAL NATIONAL ORTHOPAEDIC HOSPITAL NHS TRUST </t>
  </si>
  <si>
    <t xml:space="preserve"> RAP </t>
  </si>
  <si>
    <t xml:space="preserve"> NORTH MIDDLESEX UNIVERSITY HOSPITAL NHS TRUST </t>
  </si>
  <si>
    <t xml:space="preserve"> RAS </t>
  </si>
  <si>
    <t xml:space="preserve"> THE HILLINGDON HOSPITALS NHS FOUNDATION TRUST </t>
  </si>
  <si>
    <t xml:space="preserve"> RAT </t>
  </si>
  <si>
    <t xml:space="preserve"> NORTH EAST LONDON NHS FOUNDATION TRUST </t>
  </si>
  <si>
    <t xml:space="preserve"> RAX </t>
  </si>
  <si>
    <t xml:space="preserve"> KINGSTON HOSPITAL NHS FOUNDATION TRUST </t>
  </si>
  <si>
    <t xml:space="preserve"> RF4 </t>
  </si>
  <si>
    <t xml:space="preserve"> BARKING, HAVERING AND REDBRIDGE UNIVERSITY HOSPITALS NHS TRUST </t>
  </si>
  <si>
    <t xml:space="preserve"> RJ1 </t>
  </si>
  <si>
    <t xml:space="preserve"> GUY'S AND ST THOMAS' NHS FOUNDATION TRUST </t>
  </si>
  <si>
    <t xml:space="preserve"> RJ2 </t>
  </si>
  <si>
    <t xml:space="preserve"> LEWISHAM AND GREENWICH NHS TRUST </t>
  </si>
  <si>
    <t xml:space="preserve"> RJ6 </t>
  </si>
  <si>
    <t xml:space="preserve"> CROYDON HEALTH SERVICES NHS TRUST </t>
  </si>
  <si>
    <t xml:space="preserve"> RJ7 </t>
  </si>
  <si>
    <t xml:space="preserve"> ST GEORGE'S UNIVERSITY HOSPITALS NHS FOUNDATION TRUST </t>
  </si>
  <si>
    <t xml:space="preserve"> RJZ </t>
  </si>
  <si>
    <t xml:space="preserve"> KING'S COLLEGE HOSPITAL NHS FOUNDATION TRUST </t>
  </si>
  <si>
    <t xml:space="preserve"> RKE </t>
  </si>
  <si>
    <t xml:space="preserve"> WHITTINGTON HEALTH NHS TRUST </t>
  </si>
  <si>
    <t xml:space="preserve"> RKL </t>
  </si>
  <si>
    <t xml:space="preserve"> WEST LONDON NHS TRUST </t>
  </si>
  <si>
    <t xml:space="preserve"> RP4 </t>
  </si>
  <si>
    <t xml:space="preserve"> GREAT ORMOND STREET HOSPITAL FOR CHILDREN NHS FOUNDATION TRUST </t>
  </si>
  <si>
    <t xml:space="preserve"> RP6 </t>
  </si>
  <si>
    <t xml:space="preserve"> MOORFIELDS EYE HOSPITAL NHS FOUNDATION TRUST </t>
  </si>
  <si>
    <t xml:space="preserve"> RPY </t>
  </si>
  <si>
    <t xml:space="preserve"> THE ROYAL MARSDEN NHS FOUNDATION TRUST </t>
  </si>
  <si>
    <t xml:space="preserve"> RQM </t>
  </si>
  <si>
    <t xml:space="preserve"> CHELSEA AND WESTMINSTER HOSPITAL NHS FOUNDATION TRUST </t>
  </si>
  <si>
    <t xml:space="preserve"> RQX </t>
  </si>
  <si>
    <t xml:space="preserve"> HOMERTON UNIVERSITY HOSPITAL NHS FOUNDATION TRUST </t>
  </si>
  <si>
    <t xml:space="preserve"> RQY </t>
  </si>
  <si>
    <t xml:space="preserve"> SOUTH WEST LONDON AND ST GEORGE'S MENTAL HEALTH NHS TRUST </t>
  </si>
  <si>
    <t xml:space="preserve"> RRP </t>
  </si>
  <si>
    <t xml:space="preserve"> BARNET, ENFIELD AND HARINGEY MENTAL HEALTH NHS TRUST </t>
  </si>
  <si>
    <t xml:space="preserve"> RRV </t>
  </si>
  <si>
    <t xml:space="preserve"> UNIVERSITY COLLEGE LONDON HOSPITALS NHS FOUNDATION TRUST </t>
  </si>
  <si>
    <t xml:space="preserve"> RT3 </t>
  </si>
  <si>
    <t xml:space="preserve"> ROYAL BROMPTON &amp; HAREFIELD NHS FOUNDATION TRUST </t>
  </si>
  <si>
    <t xml:space="preserve"> RV3 </t>
  </si>
  <si>
    <t xml:space="preserve"> CENTRAL AND NORTH WEST LONDON NHS FOUNDATION TRUST </t>
  </si>
  <si>
    <t xml:space="preserve"> RVR </t>
  </si>
  <si>
    <t xml:space="preserve"> EPSOM AND ST HELIER UNIVERSITY HOSPITALS NHS TRUST </t>
  </si>
  <si>
    <t xml:space="preserve"> RWK </t>
  </si>
  <si>
    <t xml:space="preserve"> EAST LONDON NHS FOUNDATION TRUST </t>
  </si>
  <si>
    <t xml:space="preserve"> RYJ </t>
  </si>
  <si>
    <t xml:space="preserve"> IMPERIAL COLLEGE HEALTHCARE NHS TRUST </t>
  </si>
  <si>
    <t xml:space="preserve"> RYX </t>
  </si>
  <si>
    <t xml:space="preserve"> CENTRAL LONDON COMMUNITY HEALTHCARE NHS TRUST </t>
  </si>
  <si>
    <t xml:space="preserve">               -  </t>
  </si>
  <si>
    <t xml:space="preserve"> TAF </t>
  </si>
  <si>
    <t xml:space="preserve"> CAMDEN AND ISLINGTON NHS FOUNDATION TRUST </t>
  </si>
  <si>
    <t>Y58</t>
  </si>
  <si>
    <t xml:space="preserve"> RA4 </t>
  </si>
  <si>
    <t xml:space="preserve"> YEOVIL DISTRICT HOSPITAL NHS FOUNDATION TRUST </t>
  </si>
  <si>
    <t xml:space="preserve"> RA7 </t>
  </si>
  <si>
    <t xml:space="preserve"> UNIVERSITY HOSPITALS BRISTOL AND WESTON NHS FOUNDATION TRUST </t>
  </si>
  <si>
    <t xml:space="preserve"> RA9 </t>
  </si>
  <si>
    <t xml:space="preserve"> TORBAY AND SOUTH DEVON NHS FOUNDATION TRUST </t>
  </si>
  <si>
    <t xml:space="preserve"> RBD </t>
  </si>
  <si>
    <t xml:space="preserve"> DORSET COUNTY HOSPITAL NHS FOUNDATION TRUST </t>
  </si>
  <si>
    <t xml:space="preserve"> RBZ </t>
  </si>
  <si>
    <t xml:space="preserve"> NORTHERN DEVON HEALTHCARE NHS TRUST </t>
  </si>
  <si>
    <t xml:space="preserve"> RD1 </t>
  </si>
  <si>
    <t xml:space="preserve"> ROYAL UNITED HOSPITALS BATH NHS FOUNDATION TRUST </t>
  </si>
  <si>
    <t xml:space="preserve"> RD3 </t>
  </si>
  <si>
    <t xml:space="preserve"> POOLE HOSPITAL NHS FOUNDATION TRUST </t>
  </si>
  <si>
    <t xml:space="preserve"> RDY </t>
  </si>
  <si>
    <t xml:space="preserve"> DORSET HEALTHCARE UNIVERSITY NHS FOUNDATION TRUST </t>
  </si>
  <si>
    <t xml:space="preserve"> RDZ </t>
  </si>
  <si>
    <t xml:space="preserve"> THE ROYAL BOURNEMOUTH AND CHRISTCHURCH HOSPITALS NHS FOUNDATION TRUST </t>
  </si>
  <si>
    <t xml:space="preserve"> REF </t>
  </si>
  <si>
    <t xml:space="preserve"> ROYAL CORNWALL HOSPITALS NHS TRUST </t>
  </si>
  <si>
    <t xml:space="preserve"> RH5 </t>
  </si>
  <si>
    <t xml:space="preserve"> SOMERSET NHS FOUNDATION TRUST </t>
  </si>
  <si>
    <t xml:space="preserve"> RH8 </t>
  </si>
  <si>
    <t xml:space="preserve"> ROYAL DEVON AND EXETER NHS FOUNDATION TRUST </t>
  </si>
  <si>
    <t xml:space="preserve"> RJ8 </t>
  </si>
  <si>
    <t xml:space="preserve"> CORNWALL PARTNERSHIP NHS FOUNDATION TRUST </t>
  </si>
  <si>
    <t xml:space="preserve"> RK9 </t>
  </si>
  <si>
    <t xml:space="preserve"> UNIVERSITY HOSPITALS PLYMOUTH NHS TRUST </t>
  </si>
  <si>
    <t xml:space="preserve"> RN3 </t>
  </si>
  <si>
    <t xml:space="preserve"> GREAT WESTERN HOSPITALS NHS FOUNDATION TRUST </t>
  </si>
  <si>
    <t xml:space="preserve"> RNZ </t>
  </si>
  <si>
    <t xml:space="preserve"> SALISBURY NHS FOUNDATION TRUST </t>
  </si>
  <si>
    <t xml:space="preserve"> RTE </t>
  </si>
  <si>
    <t xml:space="preserve"> GLOUCESTERSHIRE HOSPITALS NHS FOUNDATION TRUST </t>
  </si>
  <si>
    <t xml:space="preserve"> RTQ </t>
  </si>
  <si>
    <t xml:space="preserve"> GLOUCESTERSHIRE HEALTH AND CARE NHS FOUNDATION TRUST </t>
  </si>
  <si>
    <t xml:space="preserve"> RVJ </t>
  </si>
  <si>
    <t xml:space="preserve"> NORTH BRISTOL NHS TRUST </t>
  </si>
  <si>
    <t xml:space="preserve"> RVN </t>
  </si>
  <si>
    <t xml:space="preserve"> AVON AND WILTSHIRE MENTAL HEALTH PARTNERSHIP NHS TRUST </t>
  </si>
  <si>
    <t xml:space="preserve"> RWV </t>
  </si>
  <si>
    <t xml:space="preserve"> DEVON PARTNERSHIP NHS TRUST </t>
  </si>
  <si>
    <t>Y59</t>
  </si>
  <si>
    <t xml:space="preserve"> R1C </t>
  </si>
  <si>
    <t xml:space="preserve"> SOLENT NHS TRUST </t>
  </si>
  <si>
    <t xml:space="preserve"> R1F </t>
  </si>
  <si>
    <t xml:space="preserve"> ISLE OF WIGHT NHS TRUST </t>
  </si>
  <si>
    <t xml:space="preserve"> RA2 </t>
  </si>
  <si>
    <t xml:space="preserve"> ROYAL SURREY COUNTY HOSPITAL NHS FOUNDATION TRUST </t>
  </si>
  <si>
    <t xml:space="preserve"> RDU </t>
  </si>
  <si>
    <t xml:space="preserve"> FRIMLEY HEALTH NHS FOUNDATION TRUST </t>
  </si>
  <si>
    <t xml:space="preserve"> RHM </t>
  </si>
  <si>
    <t xml:space="preserve"> UNIVERSITY HOSPITAL SOUTHAMPTON NHS FOUNDATION TRUST </t>
  </si>
  <si>
    <t xml:space="preserve"> RHU </t>
  </si>
  <si>
    <t xml:space="preserve"> PORTSMOUTH HOSPITALS NHS TRUST </t>
  </si>
  <si>
    <t xml:space="preserve"> RHW </t>
  </si>
  <si>
    <t xml:space="preserve"> ROYAL BERKSHIRE NHS FOUNDATION TRUST </t>
  </si>
  <si>
    <t xml:space="preserve"> RN5 </t>
  </si>
  <si>
    <t xml:space="preserve"> HAMPSHIRE HOSPITALS NHS FOUNDATION TRUST </t>
  </si>
  <si>
    <t xml:space="preserve"> RN7 </t>
  </si>
  <si>
    <t xml:space="preserve"> DARTFORD AND GRAVESHAM NHS TRUST </t>
  </si>
  <si>
    <t xml:space="preserve"> RNU </t>
  </si>
  <si>
    <t xml:space="preserve"> OXFORD HEALTH NHS FOUNDATION TRUST </t>
  </si>
  <si>
    <t xml:space="preserve"> RPA </t>
  </si>
  <si>
    <t xml:space="preserve"> MEDWAY NHS FOUNDATION TRUST </t>
  </si>
  <si>
    <t xml:space="preserve"> RPC </t>
  </si>
  <si>
    <t xml:space="preserve"> QUEEN VICTORIA HOSPITAL NHS FOUNDATION TRUST </t>
  </si>
  <si>
    <t xml:space="preserve"> RPG </t>
  </si>
  <si>
    <t xml:space="preserve"> OXLEAS NHS FOUNDATION TRUST </t>
  </si>
  <si>
    <t xml:space="preserve"> RTH </t>
  </si>
  <si>
    <t xml:space="preserve"> OXFORD UNIVERSITY HOSPITALS NHS FOUNDATION TRUST </t>
  </si>
  <si>
    <t xml:space="preserve"> RTK </t>
  </si>
  <si>
    <t xml:space="preserve"> ASHFORD AND ST PETER'S HOSPITALS NHS FOUNDATION TRUST </t>
  </si>
  <si>
    <t xml:space="preserve"> RTP </t>
  </si>
  <si>
    <t xml:space="preserve"> SURREY AND SUSSEX HEALTHCARE NHS TRUST </t>
  </si>
  <si>
    <t xml:space="preserve"> RVV </t>
  </si>
  <si>
    <t xml:space="preserve"> EAST KENT HOSPITALS UNIVERSITY NHS FOUNDATION TRUST </t>
  </si>
  <si>
    <t xml:space="preserve"> RW1 </t>
  </si>
  <si>
    <t xml:space="preserve"> SOUTHERN HEALTH NHS FOUNDATION TRUST </t>
  </si>
  <si>
    <t xml:space="preserve"> RWF </t>
  </si>
  <si>
    <t xml:space="preserve"> MAIDSTONE AND TUNBRIDGE WELLS NHS TRUST </t>
  </si>
  <si>
    <t xml:space="preserve"> RWX </t>
  </si>
  <si>
    <t xml:space="preserve"> BERKSHIRE HEALTHCARE NHS FOUNDATION TRUST </t>
  </si>
  <si>
    <t xml:space="preserve"> RX2 </t>
  </si>
  <si>
    <t xml:space="preserve"> SUSSEX PARTNERSHIP NHS FOUNDATION TRUST </t>
  </si>
  <si>
    <t xml:space="preserve"> RXC </t>
  </si>
  <si>
    <t xml:space="preserve"> EAST SUSSEX HEALTHCARE NHS TRUST </t>
  </si>
  <si>
    <t xml:space="preserve"> RXH </t>
  </si>
  <si>
    <t xml:space="preserve"> BRIGHTON AND SUSSEX UNIVERSITY HOSPITALS NHS TRUST </t>
  </si>
  <si>
    <t xml:space="preserve"> RXQ </t>
  </si>
  <si>
    <t xml:space="preserve"> BUCKINGHAMSHIRE HEALTHCARE NHS TRUST </t>
  </si>
  <si>
    <t xml:space="preserve"> RXX </t>
  </si>
  <si>
    <t xml:space="preserve"> SURREY AND BORDERS PARTNERSHIP NHS FOUNDATION TRUST </t>
  </si>
  <si>
    <t xml:space="preserve"> RXY </t>
  </si>
  <si>
    <t xml:space="preserve"> KENT AND MEDWAY NHS AND SOCIAL CARE PARTNERSHIP TRUST </t>
  </si>
  <si>
    <t xml:space="preserve"> RYR </t>
  </si>
  <si>
    <t xml:space="preserve"> WESTERN SUSSEX HOSPITALS NHS FOUNDATION TRUST </t>
  </si>
  <si>
    <t>Y60</t>
  </si>
  <si>
    <t xml:space="preserve"> R1A </t>
  </si>
  <si>
    <t xml:space="preserve"> WORCESTERSHIRE HEALTH AND CARE NHS TRUST </t>
  </si>
  <si>
    <t xml:space="preserve"> RBK </t>
  </si>
  <si>
    <t xml:space="preserve"> WALSALL HEALTHCARE NHS TRUST </t>
  </si>
  <si>
    <t xml:space="preserve"> RFS </t>
  </si>
  <si>
    <t xml:space="preserve"> CHESTERFIELD ROYAL HOSPITAL NHS FOUNDATION TRUST </t>
  </si>
  <si>
    <t xml:space="preserve"> RHA </t>
  </si>
  <si>
    <t xml:space="preserve"> NOTTINGHAMSHIRE HEALTHCARE NHS FOUNDATION TRUST </t>
  </si>
  <si>
    <t xml:space="preserve"> RJC </t>
  </si>
  <si>
    <t xml:space="preserve"> SOUTH WARWICKSHIRE NHS FOUNDATION TRUST </t>
  </si>
  <si>
    <t xml:space="preserve"> RJE </t>
  </si>
  <si>
    <t xml:space="preserve"> UNIVERSITY HOSPITALS OF NORTH MIDLANDS NHS TRUST </t>
  </si>
  <si>
    <t xml:space="preserve"> RK5 </t>
  </si>
  <si>
    <t xml:space="preserve"> SHERWOOD FOREST HOSPITALS NHS FOUNDATION TRUST </t>
  </si>
  <si>
    <t xml:space="preserve"> RKB </t>
  </si>
  <si>
    <t xml:space="preserve"> UNIVERSITY HOSPITALS COVENTRY AND WARWICKSHIRE NHS TRUST </t>
  </si>
  <si>
    <t xml:space="preserve"> RL1 </t>
  </si>
  <si>
    <t xml:space="preserve"> THE ROBERT JONES AND AGNES HUNT ORTHOPAEDIC HOSPITAL NHS FOUNDATION TRUST </t>
  </si>
  <si>
    <t xml:space="preserve"> RL4 </t>
  </si>
  <si>
    <t xml:space="preserve"> THE ROYAL WOLVERHAMPTON NHS TRUST </t>
  </si>
  <si>
    <t xml:space="preserve"> RLQ </t>
  </si>
  <si>
    <t xml:space="preserve"> WYE VALLEY NHS TRUST </t>
  </si>
  <si>
    <t xml:space="preserve"> RLT </t>
  </si>
  <si>
    <t xml:space="preserve"> GEORGE ELIOT HOSPITAL NHS TRUST </t>
  </si>
  <si>
    <t xml:space="preserve"> RLY </t>
  </si>
  <si>
    <t xml:space="preserve"> NORTH STAFFORDSHIRE COMBINED HEALTHCARE NHS TRUST </t>
  </si>
  <si>
    <t xml:space="preserve"> RNA </t>
  </si>
  <si>
    <t xml:space="preserve"> THE DUDLEY GROUP NHS FOUNDATION TRUST </t>
  </si>
  <si>
    <t xml:space="preserve"> RNQ </t>
  </si>
  <si>
    <t xml:space="preserve"> KETTERING GENERAL HOSPITAL NHS FOUNDATION TRUST </t>
  </si>
  <si>
    <t xml:space="preserve"> RNS </t>
  </si>
  <si>
    <t xml:space="preserve"> NORTHAMPTON GENERAL HOSPITAL NHS TRUST </t>
  </si>
  <si>
    <t xml:space="preserve"> RP1 </t>
  </si>
  <si>
    <t xml:space="preserve"> NORTHAMPTONSHIRE HEALTHCARE NHS FOUNDATION TRUST </t>
  </si>
  <si>
    <t xml:space="preserve"> RP7 </t>
  </si>
  <si>
    <t xml:space="preserve"> LINCOLNSHIRE PARTNERSHIP NHS FOUNDATION TRUST </t>
  </si>
  <si>
    <t xml:space="preserve"> RQ3 </t>
  </si>
  <si>
    <t xml:space="preserve"> BIRMINGHAM WOMEN'S AND CHILDREN'S NHS FOUNDATION TRUST </t>
  </si>
  <si>
    <t xml:space="preserve"> RRE </t>
  </si>
  <si>
    <t xml:space="preserve"> MIDLANDS PARTNERSHIP NHS FOUNDATION TRUST </t>
  </si>
  <si>
    <t xml:space="preserve"> RRJ </t>
  </si>
  <si>
    <t xml:space="preserve"> THE ROYAL ORTHOPAEDIC HOSPITAL NHS FOUNDATION TRUST </t>
  </si>
  <si>
    <t xml:space="preserve"> RRK </t>
  </si>
  <si>
    <t xml:space="preserve"> UNIVERSITY HOSPITALS BIRMINGHAM NHS FOUNDATION TRUST </t>
  </si>
  <si>
    <t xml:space="preserve"> RTG </t>
  </si>
  <si>
    <t xml:space="preserve"> UNIVERSITY HOSPITALS OF DERBY AND BURTON NHS FOUNDATION TRUST </t>
  </si>
  <si>
    <t xml:space="preserve"> RWD </t>
  </si>
  <si>
    <t xml:space="preserve"> UNITED LINCOLNSHIRE HOSPITALS NHS TRUST </t>
  </si>
  <si>
    <t xml:space="preserve"> RWE </t>
  </si>
  <si>
    <t xml:space="preserve"> UNIVERSITY HOSPITALS OF LEICESTER NHS TRUST </t>
  </si>
  <si>
    <t xml:space="preserve"> RWP </t>
  </si>
  <si>
    <t xml:space="preserve"> WORCESTERSHIRE ACUTE HOSPITALS NHS TRUST </t>
  </si>
  <si>
    <t xml:space="preserve"> RX1 </t>
  </si>
  <si>
    <t xml:space="preserve"> NOTTINGHAM UNIVERSITY HOSPITALS NHS TRUST </t>
  </si>
  <si>
    <t xml:space="preserve"> RXK </t>
  </si>
  <si>
    <t xml:space="preserve"> SANDWELL AND WEST BIRMINGHAM HOSPITALS NHS TRUST </t>
  </si>
  <si>
    <t xml:space="preserve"> RXM </t>
  </si>
  <si>
    <t xml:space="preserve"> DERBYSHIRE HEALTHCARE NHS FOUNDATION TRUST </t>
  </si>
  <si>
    <t xml:space="preserve"> RXT </t>
  </si>
  <si>
    <t xml:space="preserve"> BIRMINGHAM AND SOLIHULL MENTAL HEALTH NHS FOUNDATION TRUST </t>
  </si>
  <si>
    <t xml:space="preserve"> RXW </t>
  </si>
  <si>
    <t xml:space="preserve"> SHREWSBURY AND TELFORD HOSPITAL NHS TRUST </t>
  </si>
  <si>
    <t xml:space="preserve"> RY5 </t>
  </si>
  <si>
    <t xml:space="preserve"> LINCOLNSHIRE COMMUNITY HEALTH SERVICES NHS TRUST </t>
  </si>
  <si>
    <t xml:space="preserve"> RY8 </t>
  </si>
  <si>
    <t xml:space="preserve"> DERBYSHIRE COMMUNITY HEALTH SERVICES NHS FOUNDATION TRUST </t>
  </si>
  <si>
    <t xml:space="preserve"> RYG </t>
  </si>
  <si>
    <t xml:space="preserve"> COVENTRY AND WARWICKSHIRE PARTNERSHIP NHS TRUST </t>
  </si>
  <si>
    <t xml:space="preserve"> RYW </t>
  </si>
  <si>
    <t xml:space="preserve"> BIRMINGHAM COMMUNITY HEALTHCARE NHS FOUNDATION TRUST </t>
  </si>
  <si>
    <t xml:space="preserve"> TAJ </t>
  </si>
  <si>
    <t xml:space="preserve"> BLACK COUNTRY HEALTHCARE NHS FOUNDATION TRUST </t>
  </si>
  <si>
    <t>Y61</t>
  </si>
  <si>
    <t xml:space="preserve"> R1L </t>
  </si>
  <si>
    <t xml:space="preserve"> ESSEX PARTNERSHIP UNIVERSITY NHS FOUNDATION TRUST </t>
  </si>
  <si>
    <t xml:space="preserve"> RAJ </t>
  </si>
  <si>
    <t xml:space="preserve"> MID AND SOUTH ESSEX NHS FOUNDATION TRUST </t>
  </si>
  <si>
    <t xml:space="preserve"> RC9 </t>
  </si>
  <si>
    <t xml:space="preserve"> BEDFORDSHIRE HOSPITALS NHS FOUNDATION TRUST </t>
  </si>
  <si>
    <t xml:space="preserve"> RCX </t>
  </si>
  <si>
    <t xml:space="preserve"> THE QUEEN ELIZABETH HOSPITAL, KING'S LYNN, NHS FOUNDATION TRUST </t>
  </si>
  <si>
    <t xml:space="preserve"> RD8 </t>
  </si>
  <si>
    <t xml:space="preserve"> MILTON KEYNES UNIVERSITY HOSPITAL NHS FOUNDATION TRUST </t>
  </si>
  <si>
    <t xml:space="preserve"> RDE </t>
  </si>
  <si>
    <t xml:space="preserve"> EAST SUFFOLK AND NORTH ESSEX NHS FOUNDATION TRUST </t>
  </si>
  <si>
    <t xml:space="preserve"> RGM </t>
  </si>
  <si>
    <t xml:space="preserve"> ROYAL PAPWORTH HOSPITAL NHS FOUNDATION TRUST </t>
  </si>
  <si>
    <t xml:space="preserve"> RGN </t>
  </si>
  <si>
    <t xml:space="preserve"> NORTH WEST ANGLIA NHS FOUNDATION TRUST </t>
  </si>
  <si>
    <t xml:space="preserve"> RGP </t>
  </si>
  <si>
    <t xml:space="preserve"> JAMES PAGET UNIVERSITY HOSPITALS NHS FOUNDATION TRUST </t>
  </si>
  <si>
    <t xml:space="preserve"> RGR </t>
  </si>
  <si>
    <t xml:space="preserve"> WEST SUFFOLK NHS FOUNDATION TRUST </t>
  </si>
  <si>
    <t xml:space="preserve"> RGT </t>
  </si>
  <si>
    <t xml:space="preserve"> CAMBRIDGE UNIVERSITY HOSPITALS NHS FOUNDATION TRUST </t>
  </si>
  <si>
    <t xml:space="preserve"> RM1 </t>
  </si>
  <si>
    <t xml:space="preserve"> NORFOLK AND NORWICH UNIVERSITY HOSPITALS NHS FOUNDATION TRUST </t>
  </si>
  <si>
    <t xml:space="preserve"> RMY </t>
  </si>
  <si>
    <t xml:space="preserve"> NORFOLK AND SUFFOLK NHS FOUNDATION TRUST </t>
  </si>
  <si>
    <t xml:space="preserve"> RQW </t>
  </si>
  <si>
    <t xml:space="preserve"> THE PRINCESS ALEXANDRA HOSPITAL NHS TRUST </t>
  </si>
  <si>
    <t xml:space="preserve"> RT1 </t>
  </si>
  <si>
    <t xml:space="preserve"> CAMBRIDGESHIRE AND PETERBOROUGH NHS FOUNDATION TRUST </t>
  </si>
  <si>
    <t xml:space="preserve"> RWG </t>
  </si>
  <si>
    <t xml:space="preserve"> WEST HERTFORDSHIRE HOSPITALS NHS TRUST </t>
  </si>
  <si>
    <t xml:space="preserve"> RWH </t>
  </si>
  <si>
    <t xml:space="preserve"> EAST AND NORTH HERTFORDSHIRE NHS TRUST </t>
  </si>
  <si>
    <t xml:space="preserve"> RWR </t>
  </si>
  <si>
    <t xml:space="preserve"> HERTFORDSHIRE PARTNERSHIP UNIVERSITY NHS FOUNDATION TRUST </t>
  </si>
  <si>
    <t xml:space="preserve"> RY3 </t>
  </si>
  <si>
    <t xml:space="preserve"> NORFOLK COMMUNITY HEALTH AND CARE NHS TRUST </t>
  </si>
  <si>
    <t>Y62</t>
  </si>
  <si>
    <t xml:space="preserve"> R0A </t>
  </si>
  <si>
    <t xml:space="preserve"> MANCHESTER UNIVERSITY NHS FOUNDATION TRUST </t>
  </si>
  <si>
    <t xml:space="preserve"> RBL </t>
  </si>
  <si>
    <t xml:space="preserve"> WIRRAL UNIVERSITY TEACHING HOSPITAL NHS FOUNDATION TRUST </t>
  </si>
  <si>
    <t xml:space="preserve"> RBN </t>
  </si>
  <si>
    <t xml:space="preserve"> ST HELENS AND KNOWSLEY TEACHING HOSPITALS NHS TRUST </t>
  </si>
  <si>
    <t xml:space="preserve"> RBQ </t>
  </si>
  <si>
    <t xml:space="preserve"> LIVERPOOL HEART AND CHEST HOSPITAL NHS FOUNDATION TRUST </t>
  </si>
  <si>
    <t xml:space="preserve"> RBS </t>
  </si>
  <si>
    <t xml:space="preserve"> ALDER HEY CHILDREN'S NHS FOUNDATION TRUST </t>
  </si>
  <si>
    <t xml:space="preserve"> RBT </t>
  </si>
  <si>
    <t xml:space="preserve"> MID CHESHIRE HOSPITALS NHS FOUNDATION TRUST </t>
  </si>
  <si>
    <t xml:space="preserve"> RBV </t>
  </si>
  <si>
    <t xml:space="preserve"> THE CHRISTIE NHS FOUNDATION TRUST </t>
  </si>
  <si>
    <t xml:space="preserve"> REM </t>
  </si>
  <si>
    <t xml:space="preserve"> LIVERPOOL UNIVERSITY HOSPITALS NHS FOUNDATION TRUST </t>
  </si>
  <si>
    <t xml:space="preserve"> REN </t>
  </si>
  <si>
    <t xml:space="preserve"> THE CLATTERBRIDGE CANCER CENTRE NHS FOUNDATION TRUST </t>
  </si>
  <si>
    <t xml:space="preserve"> REP </t>
  </si>
  <si>
    <t xml:space="preserve"> LIVERPOOL WOMEN'S NHS FOUNDATION TRUST </t>
  </si>
  <si>
    <t xml:space="preserve"> RET </t>
  </si>
  <si>
    <t xml:space="preserve"> THE WALTON CENTRE NHS FOUNDATION TRUST </t>
  </si>
  <si>
    <t xml:space="preserve"> RJN </t>
  </si>
  <si>
    <t xml:space="preserve"> EAST CHESHIRE NHS TRUST </t>
  </si>
  <si>
    <t xml:space="preserve"> RJR </t>
  </si>
  <si>
    <t xml:space="preserve"> COUNTESS OF CHESTER HOSPITAL NHS FOUNDATION TRUST </t>
  </si>
  <si>
    <t xml:space="preserve"> RM3 </t>
  </si>
  <si>
    <t xml:space="preserve"> SALFORD ROYAL NHS FOUNDATION TRUST </t>
  </si>
  <si>
    <t xml:space="preserve"> RMC </t>
  </si>
  <si>
    <t xml:space="preserve"> BOLTON NHS FOUNDATION TRUST </t>
  </si>
  <si>
    <t xml:space="preserve"> RMP </t>
  </si>
  <si>
    <t xml:space="preserve"> TAMESIDE AND GLOSSOP INTEGRATED CARE NHS FOUNDATION TRUST </t>
  </si>
  <si>
    <t xml:space="preserve"> RRF </t>
  </si>
  <si>
    <t xml:space="preserve"> WRIGHTINGTON, WIGAN AND LEIGH NHS FOUNDATION TRUST </t>
  </si>
  <si>
    <t xml:space="preserve"> RT2 </t>
  </si>
  <si>
    <t xml:space="preserve"> PENNINE CARE NHS FOUNDATION TRUST </t>
  </si>
  <si>
    <t xml:space="preserve"> RTV </t>
  </si>
  <si>
    <t xml:space="preserve"> NORTH WEST BOROUGHS HEALTHCARE NHS FOUNDATION TRUST </t>
  </si>
  <si>
    <t xml:space="preserve"> RTX </t>
  </si>
  <si>
    <t xml:space="preserve"> UNIVERSITY HOSPITALS OF MORECAMBE BAY NHS FOUNDATION TRUST </t>
  </si>
  <si>
    <t xml:space="preserve"> RVY </t>
  </si>
  <si>
    <t xml:space="preserve"> SOUTHPORT AND ORMSKIRK HOSPITAL NHS TRUST </t>
  </si>
  <si>
    <t xml:space="preserve"> RW4 </t>
  </si>
  <si>
    <t xml:space="preserve"> MERSEY CARE NHS FOUNDATION TRUST </t>
  </si>
  <si>
    <t xml:space="preserve"> RW5 </t>
  </si>
  <si>
    <t xml:space="preserve"> LANCASHIRE &amp; SOUTH CUMBRIA NHS FOUNDATION TRUST </t>
  </si>
  <si>
    <t xml:space="preserve"> RW6 </t>
  </si>
  <si>
    <t xml:space="preserve"> PENNINE ACUTE HOSPITALS NHS TRUST </t>
  </si>
  <si>
    <t xml:space="preserve"> RWJ </t>
  </si>
  <si>
    <t xml:space="preserve"> STOCKPORT NHS FOUNDATION TRUST </t>
  </si>
  <si>
    <t xml:space="preserve"> RWW </t>
  </si>
  <si>
    <t xml:space="preserve"> WARRINGTON AND HALTON TEACHING HOSPITALS NHS FOUNDATION TRUST </t>
  </si>
  <si>
    <t xml:space="preserve"> RXA </t>
  </si>
  <si>
    <t xml:space="preserve"> CHESHIRE AND WIRRAL PARTNERSHIP NHS FOUNDATION TRUST </t>
  </si>
  <si>
    <t xml:space="preserve"> RXL </t>
  </si>
  <si>
    <t xml:space="preserve"> BLACKPOOL TEACHING HOSPITALS NHS FOUNDATION TRUST </t>
  </si>
  <si>
    <t xml:space="preserve"> RXN </t>
  </si>
  <si>
    <t xml:space="preserve"> LANCASHIRE TEACHING HOSPITALS NHS FOUNDATION TRUST </t>
  </si>
  <si>
    <t xml:space="preserve"> RXR </t>
  </si>
  <si>
    <t xml:space="preserve"> EAST LANCASHIRE HOSPITALS NHS TRUST </t>
  </si>
  <si>
    <t>Y63</t>
  </si>
  <si>
    <t xml:space="preserve"> R0B </t>
  </si>
  <si>
    <t xml:space="preserve"> SOUTH TYNESIDE AND SUNDERLAND NHS FOUNDATION TRUST </t>
  </si>
  <si>
    <t xml:space="preserve"> RAE </t>
  </si>
  <si>
    <t xml:space="preserve"> BRADFORD TEACHING HOSPITALS NHS FOUNDATION TRUST </t>
  </si>
  <si>
    <t xml:space="preserve"> RCB </t>
  </si>
  <si>
    <t xml:space="preserve"> YORK TEACHING HOSPITAL NHS FOUNDATION TRUST </t>
  </si>
  <si>
    <t xml:space="preserve"> RCD </t>
  </si>
  <si>
    <t xml:space="preserve"> HARROGATE AND DISTRICT NHS FOUNDATION TRUST </t>
  </si>
  <si>
    <t xml:space="preserve"> RCF </t>
  </si>
  <si>
    <t xml:space="preserve"> AIREDALE NHS FOUNDATION TRUST </t>
  </si>
  <si>
    <t xml:space="preserve"> RCU </t>
  </si>
  <si>
    <t xml:space="preserve"> SHEFFIELD CHILDREN'S NHS FOUNDATION TRUST </t>
  </si>
  <si>
    <t xml:space="preserve"> RFF </t>
  </si>
  <si>
    <t xml:space="preserve"> BARNSLEY HOSPITAL NHS FOUNDATION TRUST </t>
  </si>
  <si>
    <t xml:space="preserve"> RFR </t>
  </si>
  <si>
    <t xml:space="preserve"> THE ROTHERHAM NHS FOUNDATION TRUST </t>
  </si>
  <si>
    <t xml:space="preserve"> RGD </t>
  </si>
  <si>
    <t xml:space="preserve"> LEEDS AND YORK PARTNERSHIP NHS FOUNDATION TRUST </t>
  </si>
  <si>
    <t xml:space="preserve"> RHQ </t>
  </si>
  <si>
    <t xml:space="preserve"> SHEFFIELD TEACHING HOSPITALS NHS FOUNDATION TRUST </t>
  </si>
  <si>
    <t xml:space="preserve"> RJL </t>
  </si>
  <si>
    <t xml:space="preserve"> NORTHERN LINCOLNSHIRE AND GOOLE NHS FOUNDATION TRUST </t>
  </si>
  <si>
    <t xml:space="preserve"> RNN </t>
  </si>
  <si>
    <t xml:space="preserve"> NORTH CUMBRIA INTEGRATED CARE NHS FOUNDATION TRUST </t>
  </si>
  <si>
    <t xml:space="preserve"> RP5 </t>
  </si>
  <si>
    <t xml:space="preserve"> DONCASTER AND BASSETLAW TEACHING HOSPITALS NHS FOUNDATION TRUST </t>
  </si>
  <si>
    <t xml:space="preserve"> RR7 </t>
  </si>
  <si>
    <t xml:space="preserve"> GATESHEAD HEALTH NHS FOUNDATION TRUST </t>
  </si>
  <si>
    <t xml:space="preserve"> RR8 </t>
  </si>
  <si>
    <t xml:space="preserve"> LEEDS TEACHING HOSPITALS NHS TRUST </t>
  </si>
  <si>
    <t xml:space="preserve"> RTD </t>
  </si>
  <si>
    <t xml:space="preserve"> THE NEWCASTLE UPON TYNE HOSPITALS NHS FOUNDATION TRUST </t>
  </si>
  <si>
    <t xml:space="preserve"> RTF </t>
  </si>
  <si>
    <t xml:space="preserve"> NORTHUMBRIA HEALTHCARE NHS FOUNDATION TRUST </t>
  </si>
  <si>
    <t xml:space="preserve"> RTR </t>
  </si>
  <si>
    <t xml:space="preserve"> SOUTH TEES HOSPITALS NHS FOUNDATION TRUST </t>
  </si>
  <si>
    <t xml:space="preserve"> RV9 </t>
  </si>
  <si>
    <t xml:space="preserve"> HUMBER TEACHING NHS FOUNDATION TRUST </t>
  </si>
  <si>
    <t xml:space="preserve"> RVW </t>
  </si>
  <si>
    <t xml:space="preserve"> NORTH TEES AND HARTLEPOOL NHS FOUNDATION TRUST </t>
  </si>
  <si>
    <t xml:space="preserve"> RWA </t>
  </si>
  <si>
    <t xml:space="preserve"> HULL UNIVERSITY TEACHING HOSPITALS NHS TRUST </t>
  </si>
  <si>
    <t xml:space="preserve"> RWY </t>
  </si>
  <si>
    <t xml:space="preserve"> CALDERDALE AND HUDDERSFIELD NHS FOUNDATION TRUST </t>
  </si>
  <si>
    <t xml:space="preserve"> RX3 </t>
  </si>
  <si>
    <t xml:space="preserve"> TEES, ESK AND WEAR VALLEYS NHS FOUNDATION TRUST </t>
  </si>
  <si>
    <t xml:space="preserve"> RX4 </t>
  </si>
  <si>
    <t xml:space="preserve"> CUMBRIA, NORTHUMBERLAND, TYNE AND WEAR NHS FOUNDATION TRUST </t>
  </si>
  <si>
    <t xml:space="preserve"> RXE </t>
  </si>
  <si>
    <t xml:space="preserve"> ROTHERHAM DONCASTER AND SOUTH HUMBER NHS FOUNDATION TRUST </t>
  </si>
  <si>
    <t xml:space="preserve"> RXF </t>
  </si>
  <si>
    <t xml:space="preserve"> MID YORKSHIRE HOSPITALS NHS TRUST </t>
  </si>
  <si>
    <t xml:space="preserve"> RXG </t>
  </si>
  <si>
    <t xml:space="preserve"> SOUTH WEST YORKSHIRE PARTNERSHIP NHS FOUNDATION TRUST </t>
  </si>
  <si>
    <t xml:space="preserve"> RXP </t>
  </si>
  <si>
    <t xml:space="preserve"> COUNTY DURHAM AND DARLINGTON NHS FOUNDATION TRUST </t>
  </si>
  <si>
    <t xml:space="preserve"> RY6 </t>
  </si>
  <si>
    <t xml:space="preserve"> LEEDS COMMUNITY HEALTHCARE NHS TRUST </t>
  </si>
  <si>
    <t xml:space="preserve"> TAD </t>
  </si>
  <si>
    <t xml:space="preserve"> BRADFORD DISTRICT CARE NHS FOUNDATION TRUST </t>
  </si>
  <si>
    <t xml:space="preserve"> TAH </t>
  </si>
  <si>
    <t xml:space="preserve"> SHEFFIELD HEALTH &amp; SOCIAL CARE NHS FOUNDATION TRUST </t>
  </si>
  <si>
    <t>Region Code</t>
  </si>
  <si>
    <t>Org Code</t>
  </si>
  <si>
    <t>Org Name</t>
  </si>
  <si>
    <t>Hospital Beds</t>
  </si>
  <si>
    <t>Peak bed est. occupancy rate (wave 1)</t>
  </si>
  <si>
    <t>Current bed est. occupancy rate</t>
  </si>
  <si>
    <t>Clean Organisation Name</t>
  </si>
  <si>
    <t>Sheet</t>
  </si>
  <si>
    <t>March to Aug Data</t>
  </si>
  <si>
    <t>Description</t>
  </si>
  <si>
    <t>Sep to Nov Data</t>
  </si>
  <si>
    <t>New Adm Data (Aug to Nov)</t>
  </si>
  <si>
    <t>New Adm Data (Mar to July)</t>
  </si>
  <si>
    <t>Hospital Lookup</t>
  </si>
  <si>
    <t>Estimated Hospital Beds</t>
  </si>
  <si>
    <t>Analysis</t>
  </si>
  <si>
    <t>Data Source</t>
  </si>
  <si>
    <t>Colour</t>
  </si>
  <si>
    <r>
      <rPr>
        <b/>
        <sz val="11"/>
        <color theme="1"/>
        <rFont val="Calibri"/>
        <family val="2"/>
        <scheme val="minor"/>
      </rPr>
      <t>"Total Beds Occupied Covid"</t>
    </r>
    <r>
      <rPr>
        <sz val="11"/>
        <color theme="1"/>
        <rFont val="Calibri"/>
        <family val="2"/>
        <scheme val="minor"/>
      </rPr>
      <t xml:space="preserve"> sheet from </t>
    </r>
    <r>
      <rPr>
        <b/>
        <sz val="11"/>
        <color theme="1"/>
        <rFont val="Calibri"/>
        <family val="2"/>
        <scheme val="minor"/>
      </rPr>
      <t>Covid-Publication-08-10-2020v3</t>
    </r>
  </si>
  <si>
    <r>
      <rPr>
        <b/>
        <sz val="11"/>
        <color theme="1"/>
        <rFont val="Calibri"/>
        <family val="2"/>
        <scheme val="minor"/>
      </rPr>
      <t>"All beds COVID"</t>
    </r>
    <r>
      <rPr>
        <sz val="11"/>
        <color theme="1"/>
        <rFont val="Calibri"/>
        <family val="2"/>
        <scheme val="minor"/>
      </rPr>
      <t xml:space="preserve"> sheet from </t>
    </r>
    <r>
      <rPr>
        <b/>
        <sz val="11"/>
        <color theme="1"/>
        <rFont val="Calibri"/>
        <family val="2"/>
        <scheme val="minor"/>
      </rPr>
      <t>Weekly-covid-admissions-and-beds-publication-201105</t>
    </r>
  </si>
  <si>
    <r>
      <rPr>
        <b/>
        <sz val="11"/>
        <color theme="1"/>
        <rFont val="Calibri"/>
        <family val="2"/>
        <scheme val="minor"/>
      </rPr>
      <t>"Admissions Total"</t>
    </r>
    <r>
      <rPr>
        <sz val="11"/>
        <color theme="1"/>
        <rFont val="Calibri"/>
        <family val="2"/>
        <scheme val="minor"/>
      </rPr>
      <t xml:space="preserve"> sheet from </t>
    </r>
    <r>
      <rPr>
        <b/>
        <sz val="11"/>
        <color theme="1"/>
        <rFont val="Calibri"/>
        <family val="2"/>
        <scheme val="minor"/>
      </rPr>
      <t>Covid-Publication-08-10-2020v3</t>
    </r>
  </si>
  <si>
    <r>
      <rPr>
        <b/>
        <sz val="11"/>
        <color theme="1"/>
        <rFont val="Calibri"/>
        <family val="2"/>
        <scheme val="minor"/>
      </rPr>
      <t>"New hosp cases"</t>
    </r>
    <r>
      <rPr>
        <sz val="11"/>
        <color theme="1"/>
        <rFont val="Calibri"/>
        <family val="2"/>
        <scheme val="minor"/>
      </rPr>
      <t xml:space="preserve"> sheet from </t>
    </r>
    <r>
      <rPr>
        <b/>
        <sz val="11"/>
        <color theme="1"/>
        <rFont val="Calibri"/>
        <family val="2"/>
        <scheme val="minor"/>
      </rPr>
      <t>Weekly-covid-admissions-and-beds-publication-201105</t>
    </r>
  </si>
  <si>
    <r>
      <t xml:space="preserve">Taken from </t>
    </r>
    <r>
      <rPr>
        <b/>
        <sz val="11"/>
        <color theme="1"/>
        <rFont val="Calibri"/>
        <family val="2"/>
        <scheme val="minor"/>
      </rPr>
      <t xml:space="preserve">Beds-Open-Overnight-Web_File-Final-QWEDC </t>
    </r>
    <r>
      <rPr>
        <sz val="11"/>
        <color theme="1"/>
        <rFont val="Calibri"/>
        <family val="2"/>
        <scheme val="minor"/>
      </rPr>
      <t>which was downloaded from:
https://www.england.nhs.uk/statistics/statistical-work-areas/bed-availability-and-occupancy/bed-data-overnight/</t>
    </r>
  </si>
  <si>
    <t>This is the average number of total beds across Q1 (April to June) 2020. Note that this number of beds is a fair bit lower (~8%) than the number of beds in previous quarters.</t>
  </si>
  <si>
    <t>Pulls all the data together.</t>
  </si>
  <si>
    <t>Used to check that all organisations with a high number of covid admissions are included in the data for both sample periods. 
Note that one heavy processing index match formula has been copied as values beyond the first row (should not need updating).</t>
  </si>
  <si>
    <t>Important Note: since Salford Royal does not have reported data for Nov 5th I have used its figure for Nov 4th. I have also added that figure to the Overall count of current beds occupied by covid patients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</si>
</sst>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sz val="10"/>
      <name val="Arial"/>
      <family val="2"/>
    </font>
    <font>
      <sz val="10"/>
      <color theme="0"/>
      <name val="Verdana"/>
      <family val="2"/>
    </font>
    <font>
      <sz val="10"/>
      <color theme="1"/>
      <name val="Calibri"/>
      <family val="2"/>
      <scheme val="minor"/>
    </font>
  </fonts>
  <fills count="9">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s>
  <cellStyleXfs count="5">
    <xf numFmtId="0" fontId="0" fillId="0" borderId="0"/>
    <xf numFmtId="9" fontId="1" fillId="0" borderId="0" applyFont="0" applyFill="0" applyBorder="0" applyAlignment="0" applyProtection="0"/>
    <xf numFmtId="0" fontId="6" fillId="0" borderId="0"/>
    <xf numFmtId="43" fontId="6" fillId="0" borderId="0" applyFont="0" applyFill="0" applyBorder="0" applyAlignment="0" applyProtection="0"/>
    <xf numFmtId="9" fontId="6" fillId="0" borderId="0" applyFont="0" applyFill="0" applyBorder="0" applyAlignment="0" applyProtection="0"/>
  </cellStyleXfs>
  <cellXfs count="82">
    <xf numFmtId="0" fontId="0" fillId="0" borderId="0" xfId="0"/>
    <xf numFmtId="14" fontId="0" fillId="0" borderId="0" xfId="0" applyNumberFormat="1"/>
    <xf numFmtId="14" fontId="3" fillId="0" borderId="0" xfId="0" applyNumberFormat="1" applyFont="1"/>
    <xf numFmtId="0" fontId="3" fillId="0" borderId="0" xfId="0" applyFont="1"/>
    <xf numFmtId="14" fontId="3" fillId="0" borderId="2" xfId="0" applyNumberFormat="1" applyFont="1" applyBorder="1"/>
    <xf numFmtId="14" fontId="3" fillId="0" borderId="0" xfId="0" applyNumberFormat="1" applyFont="1" applyBorder="1"/>
    <xf numFmtId="0" fontId="3" fillId="0" borderId="0" xfId="0" applyNumberFormat="1" applyFont="1" applyBorder="1"/>
    <xf numFmtId="0" fontId="3" fillId="0" borderId="3" xfId="0" applyNumberFormat="1" applyFont="1" applyBorder="1"/>
    <xf numFmtId="0" fontId="0" fillId="0" borderId="2" xfId="0" applyBorder="1"/>
    <xf numFmtId="0" fontId="0" fillId="0" borderId="0" xfId="0" applyBorder="1"/>
    <xf numFmtId="0" fontId="0" fillId="0" borderId="3" xfId="0" applyBorder="1"/>
    <xf numFmtId="0" fontId="0" fillId="0" borderId="4" xfId="0" applyBorder="1"/>
    <xf numFmtId="0" fontId="0" fillId="0" borderId="5" xfId="0" applyBorder="1"/>
    <xf numFmtId="0" fontId="0" fillId="0" borderId="6" xfId="0" applyBorder="1"/>
    <xf numFmtId="14" fontId="4" fillId="2" borderId="7" xfId="0" applyNumberFormat="1" applyFont="1" applyFill="1" applyBorder="1"/>
    <xf numFmtId="14" fontId="4" fillId="2" borderId="8" xfId="0" applyNumberFormat="1" applyFont="1" applyFill="1" applyBorder="1"/>
    <xf numFmtId="14" fontId="4" fillId="2" borderId="9" xfId="0" applyNumberFormat="1" applyFont="1" applyFill="1" applyBorder="1"/>
    <xf numFmtId="14" fontId="3" fillId="0" borderId="3" xfId="0" applyNumberFormat="1" applyFont="1" applyBorder="1"/>
    <xf numFmtId="0" fontId="4" fillId="2" borderId="7" xfId="0" applyFont="1" applyFill="1" applyBorder="1"/>
    <xf numFmtId="0" fontId="0" fillId="0" borderId="0" xfId="0" applyAlignment="1">
      <alignment wrapText="1"/>
    </xf>
    <xf numFmtId="0" fontId="4" fillId="2" borderId="0" xfId="0" applyFont="1" applyFill="1" applyAlignment="1">
      <alignment wrapText="1"/>
    </xf>
    <xf numFmtId="0" fontId="2" fillId="2" borderId="7" xfId="0" applyFont="1" applyFill="1" applyBorder="1" applyAlignment="1">
      <alignment wrapText="1"/>
    </xf>
    <xf numFmtId="0" fontId="2" fillId="2" borderId="9" xfId="0" applyFont="1" applyFill="1" applyBorder="1" applyAlignment="1">
      <alignment wrapText="1"/>
    </xf>
    <xf numFmtId="0" fontId="0" fillId="0" borderId="7" xfId="0" applyBorder="1"/>
    <xf numFmtId="0" fontId="0" fillId="0" borderId="9" xfId="0" applyBorder="1"/>
    <xf numFmtId="0" fontId="3" fillId="0" borderId="2" xfId="0" applyFont="1" applyBorder="1"/>
    <xf numFmtId="0" fontId="3" fillId="0" borderId="0" xfId="0" applyFont="1" applyBorder="1"/>
    <xf numFmtId="164" fontId="0" fillId="0" borderId="3" xfId="1" applyNumberFormat="1" applyFont="1" applyBorder="1"/>
    <xf numFmtId="164" fontId="0" fillId="0" borderId="6" xfId="1" applyNumberFormat="1" applyFont="1" applyBorder="1"/>
    <xf numFmtId="0" fontId="2" fillId="2" borderId="7" xfId="0" applyFont="1" applyFill="1" applyBorder="1"/>
    <xf numFmtId="0" fontId="2" fillId="2" borderId="8" xfId="0" applyFont="1" applyFill="1" applyBorder="1"/>
    <xf numFmtId="0" fontId="2" fillId="2" borderId="9" xfId="0" applyFont="1" applyFill="1" applyBorder="1"/>
    <xf numFmtId="0" fontId="2" fillId="2" borderId="1" xfId="0" applyFont="1" applyFill="1" applyBorder="1"/>
    <xf numFmtId="0" fontId="3" fillId="0" borderId="10" xfId="0" applyFont="1" applyBorder="1"/>
    <xf numFmtId="0" fontId="0" fillId="0" borderId="10" xfId="0" applyBorder="1"/>
    <xf numFmtId="0" fontId="0" fillId="0" borderId="11" xfId="0" applyBorder="1"/>
    <xf numFmtId="0" fontId="3" fillId="0" borderId="1" xfId="0" applyFont="1" applyBorder="1"/>
    <xf numFmtId="0" fontId="3" fillId="0" borderId="8" xfId="0" applyFont="1" applyBorder="1"/>
    <xf numFmtId="164" fontId="3" fillId="0" borderId="9" xfId="1" applyNumberFormat="1" applyFont="1" applyBorder="1"/>
    <xf numFmtId="14" fontId="5" fillId="0" borderId="0" xfId="0" applyNumberFormat="1" applyFont="1"/>
    <xf numFmtId="0" fontId="8" fillId="0" borderId="0" xfId="0" applyFont="1"/>
    <xf numFmtId="0" fontId="8" fillId="0" borderId="2" xfId="0" applyFont="1" applyBorder="1"/>
    <xf numFmtId="0" fontId="8" fillId="0" borderId="10" xfId="0" applyFont="1" applyBorder="1"/>
    <xf numFmtId="0" fontId="8" fillId="0" borderId="3" xfId="0" applyFont="1" applyBorder="1"/>
    <xf numFmtId="3" fontId="8" fillId="0" borderId="3" xfId="0" applyNumberFormat="1" applyFont="1" applyBorder="1"/>
    <xf numFmtId="0" fontId="8" fillId="0" borderId="4" xfId="0" applyFont="1" applyBorder="1"/>
    <xf numFmtId="0" fontId="8" fillId="0" borderId="11" xfId="0" applyFont="1" applyBorder="1"/>
    <xf numFmtId="0" fontId="8" fillId="0" borderId="6" xfId="0" applyFont="1" applyBorder="1"/>
    <xf numFmtId="0" fontId="7" fillId="2" borderId="7" xfId="2" applyFont="1" applyFill="1" applyBorder="1" applyAlignment="1">
      <alignment vertical="center" wrapText="1"/>
    </xf>
    <xf numFmtId="0" fontId="7" fillId="2" borderId="1" xfId="2" applyFont="1" applyFill="1" applyBorder="1" applyAlignment="1">
      <alignment vertical="center" wrapText="1"/>
    </xf>
    <xf numFmtId="0" fontId="7" fillId="2" borderId="9" xfId="2" applyFont="1" applyFill="1" applyBorder="1" applyAlignment="1">
      <alignment vertical="center" wrapText="1"/>
    </xf>
    <xf numFmtId="0" fontId="8" fillId="0" borderId="7" xfId="0" applyFont="1" applyBorder="1"/>
    <xf numFmtId="0" fontId="8" fillId="0" borderId="1" xfId="0" applyFont="1" applyBorder="1"/>
    <xf numFmtId="0" fontId="8" fillId="0" borderId="9" xfId="0" applyFont="1" applyBorder="1"/>
    <xf numFmtId="3" fontId="8" fillId="0" borderId="9" xfId="0" applyNumberFormat="1" applyFont="1" applyBorder="1"/>
    <xf numFmtId="164" fontId="1" fillId="0" borderId="2" xfId="1" applyNumberFormat="1" applyFont="1" applyBorder="1"/>
    <xf numFmtId="164" fontId="1" fillId="0" borderId="3" xfId="1" applyNumberFormat="1" applyFont="1" applyBorder="1"/>
    <xf numFmtId="164" fontId="1" fillId="0" borderId="4" xfId="1" applyNumberFormat="1" applyFont="1" applyBorder="1"/>
    <xf numFmtId="164" fontId="1" fillId="0" borderId="6" xfId="1" applyNumberFormat="1" applyFont="1" applyBorder="1"/>
    <xf numFmtId="164" fontId="3" fillId="0" borderId="7" xfId="1" applyNumberFormat="1" applyFont="1" applyBorder="1"/>
    <xf numFmtId="14" fontId="2" fillId="2" borderId="1" xfId="0" applyNumberFormat="1" applyFont="1" applyFill="1" applyBorder="1"/>
    <xf numFmtId="0" fontId="3" fillId="0" borderId="10" xfId="0" applyNumberFormat="1" applyFont="1" applyBorder="1"/>
    <xf numFmtId="0" fontId="0" fillId="0" borderId="10" xfId="0" applyNumberFormat="1" applyFont="1" applyBorder="1"/>
    <xf numFmtId="0" fontId="0" fillId="0" borderId="11" xfId="0" applyNumberFormat="1" applyFont="1" applyBorder="1"/>
    <xf numFmtId="14" fontId="4" fillId="2" borderId="1" xfId="0" applyNumberFormat="1" applyFont="1" applyFill="1" applyBorder="1"/>
    <xf numFmtId="0" fontId="3" fillId="0" borderId="3" xfId="0" applyFont="1" applyBorder="1"/>
    <xf numFmtId="0" fontId="0" fillId="3" borderId="10" xfId="0" applyFill="1" applyBorder="1"/>
    <xf numFmtId="0" fontId="0" fillId="4" borderId="10" xfId="0" applyFill="1" applyBorder="1"/>
    <xf numFmtId="0" fontId="0" fillId="5" borderId="10" xfId="0" applyFill="1" applyBorder="1"/>
    <xf numFmtId="0" fontId="0" fillId="6" borderId="10" xfId="0" applyFill="1" applyBorder="1"/>
    <xf numFmtId="0" fontId="0" fillId="7" borderId="11" xfId="0" applyFill="1" applyBorder="1"/>
    <xf numFmtId="0" fontId="0" fillId="0" borderId="0" xfId="0" applyFill="1" applyBorder="1"/>
    <xf numFmtId="0" fontId="0" fillId="0" borderId="0" xfId="0" applyBorder="1" applyAlignment="1">
      <alignment wrapText="1"/>
    </xf>
    <xf numFmtId="0" fontId="0" fillId="0" borderId="3" xfId="0" applyBorder="1" applyAlignment="1">
      <alignment wrapText="1"/>
    </xf>
    <xf numFmtId="0" fontId="2" fillId="2" borderId="12" xfId="0" applyFont="1" applyFill="1" applyBorder="1"/>
    <xf numFmtId="164" fontId="3" fillId="0" borderId="1" xfId="1" applyNumberFormat="1" applyFont="1" applyBorder="1"/>
    <xf numFmtId="164" fontId="0" fillId="0" borderId="10" xfId="1" applyNumberFormat="1" applyFont="1" applyBorder="1"/>
    <xf numFmtId="164" fontId="0" fillId="0" borderId="11" xfId="1" applyNumberFormat="1" applyFont="1" applyBorder="1"/>
    <xf numFmtId="0" fontId="3" fillId="8" borderId="0" xfId="0" applyFont="1" applyFill="1" applyBorder="1"/>
    <xf numFmtId="0" fontId="0" fillId="8" borderId="0" xfId="0" applyFill="1"/>
    <xf numFmtId="0" fontId="3" fillId="8" borderId="8" xfId="0" applyFont="1" applyFill="1" applyBorder="1"/>
    <xf numFmtId="14" fontId="5" fillId="8" borderId="0" xfId="0" applyNumberFormat="1" applyFont="1" applyFill="1"/>
  </cellXfs>
  <cellStyles count="5">
    <cellStyle name="Comma 2" xfId="3" xr:uid="{14C654B3-E931-4E71-956C-89E63DF90893}"/>
    <cellStyle name="Normal" xfId="0" builtinId="0"/>
    <cellStyle name="Normal 2" xfId="2" xr:uid="{224A275B-3241-46BC-A2A5-8FFEB99129DA}"/>
    <cellStyle name="Percent" xfId="1" builtinId="5"/>
    <cellStyle name="Percent 2" xfId="4" xr:uid="{DF556C5C-B833-40E8-8D1B-57B006177B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E2C8E-2562-4C86-BA36-5C8DE62DBE51}">
  <sheetPr>
    <tabColor theme="0" tint="-4.9989318521683403E-2"/>
  </sheetPr>
  <dimension ref="A1:D8"/>
  <sheetViews>
    <sheetView workbookViewId="0">
      <selection activeCell="C3" sqref="C3"/>
    </sheetView>
  </sheetViews>
  <sheetFormatPr defaultRowHeight="14.5" x14ac:dyDescent="0.35"/>
  <cols>
    <col min="2" max="2" width="29.36328125" customWidth="1"/>
    <col min="3" max="3" width="72.6328125" bestFit="1" customWidth="1"/>
    <col min="4" max="4" width="114.26953125" customWidth="1"/>
  </cols>
  <sheetData>
    <row r="1" spans="1:4" x14ac:dyDescent="0.35">
      <c r="A1" s="32" t="s">
        <v>1747</v>
      </c>
      <c r="B1" s="30" t="s">
        <v>1737</v>
      </c>
      <c r="C1" s="30" t="s">
        <v>1746</v>
      </c>
      <c r="D1" s="31" t="s">
        <v>1739</v>
      </c>
    </row>
    <row r="2" spans="1:4" x14ac:dyDescent="0.35">
      <c r="A2" s="66"/>
      <c r="B2" s="9" t="s">
        <v>1738</v>
      </c>
      <c r="C2" s="9" t="s">
        <v>1748</v>
      </c>
      <c r="D2" s="10"/>
    </row>
    <row r="3" spans="1:4" x14ac:dyDescent="0.35">
      <c r="A3" s="66"/>
      <c r="B3" s="9" t="s">
        <v>1740</v>
      </c>
      <c r="C3" s="9" t="s">
        <v>1749</v>
      </c>
      <c r="D3" s="10"/>
    </row>
    <row r="4" spans="1:4" x14ac:dyDescent="0.35">
      <c r="A4" s="67"/>
      <c r="B4" s="9" t="s">
        <v>1742</v>
      </c>
      <c r="C4" s="9" t="s">
        <v>1750</v>
      </c>
      <c r="D4" s="10"/>
    </row>
    <row r="5" spans="1:4" x14ac:dyDescent="0.35">
      <c r="A5" s="67"/>
      <c r="B5" s="9" t="s">
        <v>1741</v>
      </c>
      <c r="C5" s="71" t="s">
        <v>1751</v>
      </c>
      <c r="D5" s="10"/>
    </row>
    <row r="6" spans="1:4" ht="43.5" x14ac:dyDescent="0.35">
      <c r="A6" s="68"/>
      <c r="B6" s="9" t="s">
        <v>1743</v>
      </c>
      <c r="C6" s="9"/>
      <c r="D6" s="73" t="s">
        <v>1755</v>
      </c>
    </row>
    <row r="7" spans="1:4" ht="72.5" x14ac:dyDescent="0.35">
      <c r="A7" s="69"/>
      <c r="B7" s="9" t="s">
        <v>1744</v>
      </c>
      <c r="C7" s="72" t="s">
        <v>1752</v>
      </c>
      <c r="D7" s="73" t="s">
        <v>1753</v>
      </c>
    </row>
    <row r="8" spans="1:4" x14ac:dyDescent="0.35">
      <c r="A8" s="70"/>
      <c r="B8" s="12" t="s">
        <v>1745</v>
      </c>
      <c r="C8" s="12"/>
      <c r="D8" s="13" t="s">
        <v>1754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D28D5-9715-464B-B46B-DD0288DE7E76}">
  <sheetPr>
    <tabColor theme="8" tint="0.79998168889431442"/>
  </sheetPr>
  <dimension ref="A1:FM318"/>
  <sheetViews>
    <sheetView topLeftCell="A161" workbookViewId="0">
      <selection activeCell="C170" sqref="C170"/>
    </sheetView>
  </sheetViews>
  <sheetFormatPr defaultRowHeight="14.5" x14ac:dyDescent="0.35"/>
  <cols>
    <col min="3" max="3" width="61" customWidth="1"/>
    <col min="4" max="4" width="30" customWidth="1"/>
    <col min="5" max="16" width="13.1796875" bestFit="1" customWidth="1"/>
    <col min="17" max="46" width="11.6328125" bestFit="1" customWidth="1"/>
    <col min="47" max="77" width="11.36328125" bestFit="1" customWidth="1"/>
    <col min="78" max="107" width="11.54296875" bestFit="1" customWidth="1"/>
    <col min="108" max="138" width="10.81640625" bestFit="1" customWidth="1"/>
    <col min="139" max="169" width="13.54296875" bestFit="1" customWidth="1"/>
  </cols>
  <sheetData>
    <row r="1" spans="1:169" x14ac:dyDescent="0.35">
      <c r="A1" s="3" t="s">
        <v>547</v>
      </c>
    </row>
    <row r="3" spans="1:169" s="1" customFormat="1" x14ac:dyDescent="0.35">
      <c r="A3" s="14" t="s">
        <v>548</v>
      </c>
      <c r="B3" s="15" t="s">
        <v>544</v>
      </c>
      <c r="C3" s="16" t="s">
        <v>545</v>
      </c>
      <c r="D3" s="60" t="s">
        <v>1312</v>
      </c>
      <c r="E3" s="15">
        <v>43910</v>
      </c>
      <c r="F3" s="15">
        <v>43911</v>
      </c>
      <c r="G3" s="15">
        <v>43912</v>
      </c>
      <c r="H3" s="15">
        <v>43913</v>
      </c>
      <c r="I3" s="15">
        <v>43914</v>
      </c>
      <c r="J3" s="15">
        <v>43915</v>
      </c>
      <c r="K3" s="15">
        <v>43916</v>
      </c>
      <c r="L3" s="15">
        <v>43917</v>
      </c>
      <c r="M3" s="15">
        <v>43918</v>
      </c>
      <c r="N3" s="15">
        <v>43919</v>
      </c>
      <c r="O3" s="15">
        <v>43920</v>
      </c>
      <c r="P3" s="15">
        <v>43921</v>
      </c>
      <c r="Q3" s="15">
        <v>43922</v>
      </c>
      <c r="R3" s="15">
        <v>43923</v>
      </c>
      <c r="S3" s="15">
        <v>43924</v>
      </c>
      <c r="T3" s="15">
        <v>43925</v>
      </c>
      <c r="U3" s="15">
        <v>43926</v>
      </c>
      <c r="V3" s="15">
        <v>43927</v>
      </c>
      <c r="W3" s="15">
        <v>43928</v>
      </c>
      <c r="X3" s="15">
        <v>43929</v>
      </c>
      <c r="Y3" s="15">
        <v>43930</v>
      </c>
      <c r="Z3" s="15">
        <v>43931</v>
      </c>
      <c r="AA3" s="15">
        <v>43932</v>
      </c>
      <c r="AB3" s="15">
        <v>43933</v>
      </c>
      <c r="AC3" s="15">
        <v>43934</v>
      </c>
      <c r="AD3" s="15">
        <v>43935</v>
      </c>
      <c r="AE3" s="15">
        <v>43936</v>
      </c>
      <c r="AF3" s="15">
        <v>43937</v>
      </c>
      <c r="AG3" s="15">
        <v>43938</v>
      </c>
      <c r="AH3" s="15">
        <v>43939</v>
      </c>
      <c r="AI3" s="15">
        <v>43940</v>
      </c>
      <c r="AJ3" s="15">
        <v>43941</v>
      </c>
      <c r="AK3" s="15">
        <v>43942</v>
      </c>
      <c r="AL3" s="15">
        <v>43943</v>
      </c>
      <c r="AM3" s="15">
        <v>43944</v>
      </c>
      <c r="AN3" s="15">
        <v>43945</v>
      </c>
      <c r="AO3" s="15">
        <v>43946</v>
      </c>
      <c r="AP3" s="15">
        <v>43947</v>
      </c>
      <c r="AQ3" s="15">
        <v>43948</v>
      </c>
      <c r="AR3" s="15">
        <v>43949</v>
      </c>
      <c r="AS3" s="15">
        <v>43950</v>
      </c>
      <c r="AT3" s="15">
        <v>43951</v>
      </c>
      <c r="AU3" s="15">
        <v>43952</v>
      </c>
      <c r="AV3" s="15">
        <v>43953</v>
      </c>
      <c r="AW3" s="15">
        <v>43954</v>
      </c>
      <c r="AX3" s="15">
        <v>43955</v>
      </c>
      <c r="AY3" s="15">
        <v>43956</v>
      </c>
      <c r="AZ3" s="15">
        <v>43957</v>
      </c>
      <c r="BA3" s="15">
        <v>43958</v>
      </c>
      <c r="BB3" s="15">
        <v>43959</v>
      </c>
      <c r="BC3" s="15">
        <v>43960</v>
      </c>
      <c r="BD3" s="15">
        <v>43961</v>
      </c>
      <c r="BE3" s="15">
        <v>43962</v>
      </c>
      <c r="BF3" s="15">
        <v>43963</v>
      </c>
      <c r="BG3" s="15">
        <v>43964</v>
      </c>
      <c r="BH3" s="15">
        <v>43965</v>
      </c>
      <c r="BI3" s="15">
        <v>43966</v>
      </c>
      <c r="BJ3" s="15">
        <v>43967</v>
      </c>
      <c r="BK3" s="15">
        <v>43968</v>
      </c>
      <c r="BL3" s="15">
        <v>43969</v>
      </c>
      <c r="BM3" s="15">
        <v>43970</v>
      </c>
      <c r="BN3" s="15">
        <v>43971</v>
      </c>
      <c r="BO3" s="15">
        <v>43972</v>
      </c>
      <c r="BP3" s="15">
        <v>43973</v>
      </c>
      <c r="BQ3" s="15">
        <v>43974</v>
      </c>
      <c r="BR3" s="15">
        <v>43975</v>
      </c>
      <c r="BS3" s="15">
        <v>43976</v>
      </c>
      <c r="BT3" s="15">
        <v>43977</v>
      </c>
      <c r="BU3" s="15">
        <v>43978</v>
      </c>
      <c r="BV3" s="15">
        <v>43979</v>
      </c>
      <c r="BW3" s="15">
        <v>43980</v>
      </c>
      <c r="BX3" s="15">
        <v>43981</v>
      </c>
      <c r="BY3" s="15">
        <v>43982</v>
      </c>
      <c r="BZ3" s="15">
        <v>43983</v>
      </c>
      <c r="CA3" s="15">
        <v>43984</v>
      </c>
      <c r="CB3" s="15">
        <v>43985</v>
      </c>
      <c r="CC3" s="15">
        <v>43986</v>
      </c>
      <c r="CD3" s="15">
        <v>43987</v>
      </c>
      <c r="CE3" s="15">
        <v>43988</v>
      </c>
      <c r="CF3" s="15">
        <v>43989</v>
      </c>
      <c r="CG3" s="15">
        <v>43990</v>
      </c>
      <c r="CH3" s="15">
        <v>43991</v>
      </c>
      <c r="CI3" s="15">
        <v>43992</v>
      </c>
      <c r="CJ3" s="15">
        <v>43993</v>
      </c>
      <c r="CK3" s="15">
        <v>43994</v>
      </c>
      <c r="CL3" s="15">
        <v>43995</v>
      </c>
      <c r="CM3" s="15">
        <v>43996</v>
      </c>
      <c r="CN3" s="15">
        <v>43997</v>
      </c>
      <c r="CO3" s="15">
        <v>43998</v>
      </c>
      <c r="CP3" s="15">
        <v>43999</v>
      </c>
      <c r="CQ3" s="15">
        <v>44000</v>
      </c>
      <c r="CR3" s="15">
        <v>44001</v>
      </c>
      <c r="CS3" s="15">
        <v>44002</v>
      </c>
      <c r="CT3" s="15">
        <v>44003</v>
      </c>
      <c r="CU3" s="15">
        <v>44004</v>
      </c>
      <c r="CV3" s="15">
        <v>44005</v>
      </c>
      <c r="CW3" s="15">
        <v>44006</v>
      </c>
      <c r="CX3" s="15">
        <v>44007</v>
      </c>
      <c r="CY3" s="15">
        <v>44008</v>
      </c>
      <c r="CZ3" s="15">
        <v>44009</v>
      </c>
      <c r="DA3" s="15">
        <v>44010</v>
      </c>
      <c r="DB3" s="15">
        <v>44011</v>
      </c>
      <c r="DC3" s="15">
        <v>44012</v>
      </c>
      <c r="DD3" s="15">
        <v>44013</v>
      </c>
      <c r="DE3" s="15">
        <v>44014</v>
      </c>
      <c r="DF3" s="15">
        <v>44015</v>
      </c>
      <c r="DG3" s="15">
        <v>44016</v>
      </c>
      <c r="DH3" s="15">
        <v>44017</v>
      </c>
      <c r="DI3" s="15">
        <v>44018</v>
      </c>
      <c r="DJ3" s="15">
        <v>44019</v>
      </c>
      <c r="DK3" s="15">
        <v>44020</v>
      </c>
      <c r="DL3" s="15">
        <v>44021</v>
      </c>
      <c r="DM3" s="15">
        <v>44022</v>
      </c>
      <c r="DN3" s="15">
        <v>44023</v>
      </c>
      <c r="DO3" s="15">
        <v>44024</v>
      </c>
      <c r="DP3" s="15">
        <v>44025</v>
      </c>
      <c r="DQ3" s="15">
        <v>44026</v>
      </c>
      <c r="DR3" s="15">
        <v>44027</v>
      </c>
      <c r="DS3" s="15">
        <v>44028</v>
      </c>
      <c r="DT3" s="15">
        <v>44029</v>
      </c>
      <c r="DU3" s="15">
        <v>44030</v>
      </c>
      <c r="DV3" s="15">
        <v>44031</v>
      </c>
      <c r="DW3" s="15">
        <v>44032</v>
      </c>
      <c r="DX3" s="15">
        <v>44033</v>
      </c>
      <c r="DY3" s="15">
        <v>44034</v>
      </c>
      <c r="DZ3" s="15">
        <v>44035</v>
      </c>
      <c r="EA3" s="15">
        <v>44036</v>
      </c>
      <c r="EB3" s="15">
        <v>44037</v>
      </c>
      <c r="EC3" s="15">
        <v>44038</v>
      </c>
      <c r="ED3" s="15">
        <v>44039</v>
      </c>
      <c r="EE3" s="15">
        <v>44040</v>
      </c>
      <c r="EF3" s="15">
        <v>44041</v>
      </c>
      <c r="EG3" s="15">
        <v>44042</v>
      </c>
      <c r="EH3" s="15">
        <v>44043</v>
      </c>
      <c r="EI3" s="15">
        <v>44044</v>
      </c>
      <c r="EJ3" s="15">
        <v>44045</v>
      </c>
      <c r="EK3" s="15">
        <v>44046</v>
      </c>
      <c r="EL3" s="15">
        <v>44047</v>
      </c>
      <c r="EM3" s="15">
        <v>44048</v>
      </c>
      <c r="EN3" s="15">
        <v>44049</v>
      </c>
      <c r="EO3" s="15">
        <v>44050</v>
      </c>
      <c r="EP3" s="15">
        <v>44051</v>
      </c>
      <c r="EQ3" s="15">
        <v>44052</v>
      </c>
      <c r="ER3" s="15">
        <v>44053</v>
      </c>
      <c r="ES3" s="15">
        <v>44054</v>
      </c>
      <c r="ET3" s="15">
        <v>44055</v>
      </c>
      <c r="EU3" s="15">
        <v>44056</v>
      </c>
      <c r="EV3" s="15">
        <v>44057</v>
      </c>
      <c r="EW3" s="15">
        <v>44058</v>
      </c>
      <c r="EX3" s="15">
        <v>44059</v>
      </c>
      <c r="EY3" s="15">
        <v>44060</v>
      </c>
      <c r="EZ3" s="15">
        <v>44061</v>
      </c>
      <c r="FA3" s="15">
        <v>44062</v>
      </c>
      <c r="FB3" s="15">
        <v>44063</v>
      </c>
      <c r="FC3" s="15">
        <v>44064</v>
      </c>
      <c r="FD3" s="15">
        <v>44065</v>
      </c>
      <c r="FE3" s="15">
        <v>44066</v>
      </c>
      <c r="FF3" s="15">
        <v>44067</v>
      </c>
      <c r="FG3" s="15">
        <v>44068</v>
      </c>
      <c r="FH3" s="15">
        <v>44069</v>
      </c>
      <c r="FI3" s="15">
        <v>44070</v>
      </c>
      <c r="FJ3" s="15">
        <v>44071</v>
      </c>
      <c r="FK3" s="15">
        <v>44072</v>
      </c>
      <c r="FL3" s="15">
        <v>44073</v>
      </c>
      <c r="FM3" s="16">
        <v>44074</v>
      </c>
    </row>
    <row r="4" spans="1:169" s="2" customFormat="1" x14ac:dyDescent="0.35">
      <c r="A4" s="4" t="s">
        <v>1310</v>
      </c>
      <c r="B4" s="5" t="s">
        <v>1310</v>
      </c>
      <c r="C4" s="17" t="s">
        <v>546</v>
      </c>
      <c r="D4" s="61">
        <f>MAX(E4:FM4)</f>
        <v>18970</v>
      </c>
      <c r="E4" s="6">
        <f>SUM(E5:E318)</f>
        <v>1580</v>
      </c>
      <c r="F4" s="6">
        <f t="shared" ref="F4:BQ4" si="0">SUM(F5:F318)</f>
        <v>2152</v>
      </c>
      <c r="G4" s="6">
        <f t="shared" si="0"/>
        <v>2670</v>
      </c>
      <c r="H4" s="6">
        <f t="shared" si="0"/>
        <v>3183</v>
      </c>
      <c r="I4" s="6">
        <f t="shared" si="0"/>
        <v>3598</v>
      </c>
      <c r="J4" s="6">
        <f t="shared" si="0"/>
        <v>4402</v>
      </c>
      <c r="K4" s="6">
        <f t="shared" si="0"/>
        <v>5226</v>
      </c>
      <c r="L4" s="6">
        <f t="shared" si="0"/>
        <v>6462</v>
      </c>
      <c r="M4" s="6">
        <f t="shared" si="0"/>
        <v>7269</v>
      </c>
      <c r="N4" s="6">
        <f t="shared" si="0"/>
        <v>8424</v>
      </c>
      <c r="O4" s="6">
        <f t="shared" si="0"/>
        <v>9852</v>
      </c>
      <c r="P4" s="6">
        <f t="shared" si="0"/>
        <v>11154</v>
      </c>
      <c r="Q4" s="6">
        <f t="shared" si="0"/>
        <v>12059</v>
      </c>
      <c r="R4" s="6">
        <f t="shared" si="0"/>
        <v>12135</v>
      </c>
      <c r="S4" s="6">
        <f t="shared" si="0"/>
        <v>13635</v>
      </c>
      <c r="T4" s="6">
        <f t="shared" si="0"/>
        <v>15469</v>
      </c>
      <c r="U4" s="6">
        <f t="shared" si="0"/>
        <v>16657</v>
      </c>
      <c r="V4" s="6">
        <f t="shared" si="0"/>
        <v>17154</v>
      </c>
      <c r="W4" s="6">
        <f t="shared" si="0"/>
        <v>17814</v>
      </c>
      <c r="X4" s="6">
        <f t="shared" si="0"/>
        <v>18152</v>
      </c>
      <c r="Y4" s="6">
        <f t="shared" si="0"/>
        <v>17826</v>
      </c>
      <c r="Z4" s="6">
        <f t="shared" si="0"/>
        <v>18665</v>
      </c>
      <c r="AA4" s="6">
        <f t="shared" si="0"/>
        <v>18600</v>
      </c>
      <c r="AB4" s="6">
        <f t="shared" si="0"/>
        <v>18970</v>
      </c>
      <c r="AC4" s="6">
        <f t="shared" si="0"/>
        <v>18618</v>
      </c>
      <c r="AD4" s="6">
        <f t="shared" si="0"/>
        <v>18549</v>
      </c>
      <c r="AE4" s="6">
        <f t="shared" si="0"/>
        <v>17931</v>
      </c>
      <c r="AF4" s="6">
        <f t="shared" si="0"/>
        <v>17780</v>
      </c>
      <c r="AG4" s="6">
        <f t="shared" si="0"/>
        <v>16726</v>
      </c>
      <c r="AH4" s="6">
        <f t="shared" si="0"/>
        <v>16848</v>
      </c>
      <c r="AI4" s="6">
        <f t="shared" si="0"/>
        <v>16926</v>
      </c>
      <c r="AJ4" s="6">
        <f t="shared" si="0"/>
        <v>16651</v>
      </c>
      <c r="AK4" s="6">
        <f t="shared" si="0"/>
        <v>16514</v>
      </c>
      <c r="AL4" s="6">
        <f t="shared" si="0"/>
        <v>16015</v>
      </c>
      <c r="AM4" s="6">
        <f t="shared" si="0"/>
        <v>15399</v>
      </c>
      <c r="AN4" s="6">
        <f t="shared" si="0"/>
        <v>14639</v>
      </c>
      <c r="AO4" s="6">
        <f t="shared" si="0"/>
        <v>14199</v>
      </c>
      <c r="AP4" s="6">
        <f t="shared" si="0"/>
        <v>14171</v>
      </c>
      <c r="AQ4" s="6">
        <f t="shared" si="0"/>
        <v>14255</v>
      </c>
      <c r="AR4" s="6">
        <f t="shared" si="0"/>
        <v>13565</v>
      </c>
      <c r="AS4" s="6">
        <f t="shared" si="0"/>
        <v>13224</v>
      </c>
      <c r="AT4" s="6">
        <f t="shared" si="0"/>
        <v>12922</v>
      </c>
      <c r="AU4" s="6">
        <f t="shared" si="0"/>
        <v>12623</v>
      </c>
      <c r="AV4" s="6">
        <f t="shared" si="0"/>
        <v>12314</v>
      </c>
      <c r="AW4" s="6">
        <f t="shared" si="0"/>
        <v>12119</v>
      </c>
      <c r="AX4" s="6">
        <f t="shared" si="0"/>
        <v>12020</v>
      </c>
      <c r="AY4" s="6">
        <f t="shared" si="0"/>
        <v>11754</v>
      </c>
      <c r="AZ4" s="6">
        <f t="shared" si="0"/>
        <v>11227</v>
      </c>
      <c r="BA4" s="6">
        <f t="shared" si="0"/>
        <v>10726</v>
      </c>
      <c r="BB4" s="6">
        <f t="shared" si="0"/>
        <v>10249</v>
      </c>
      <c r="BC4" s="6">
        <f t="shared" si="0"/>
        <v>10176</v>
      </c>
      <c r="BD4" s="6">
        <f t="shared" si="0"/>
        <v>9893</v>
      </c>
      <c r="BE4" s="6">
        <f t="shared" si="0"/>
        <v>10109</v>
      </c>
      <c r="BF4" s="6">
        <f t="shared" si="0"/>
        <v>9791</v>
      </c>
      <c r="BG4" s="6">
        <f t="shared" si="0"/>
        <v>9602</v>
      </c>
      <c r="BH4" s="6">
        <f t="shared" si="0"/>
        <v>9231</v>
      </c>
      <c r="BI4" s="6">
        <f t="shared" si="0"/>
        <v>9079</v>
      </c>
      <c r="BJ4" s="6">
        <f t="shared" si="0"/>
        <v>8643</v>
      </c>
      <c r="BK4" s="6">
        <f t="shared" si="0"/>
        <v>8611</v>
      </c>
      <c r="BL4" s="6">
        <f t="shared" si="0"/>
        <v>8668</v>
      </c>
      <c r="BM4" s="6">
        <f t="shared" si="0"/>
        <v>8518</v>
      </c>
      <c r="BN4" s="6">
        <f t="shared" si="0"/>
        <v>8115</v>
      </c>
      <c r="BO4" s="6">
        <f t="shared" si="0"/>
        <v>7903</v>
      </c>
      <c r="BP4" s="6">
        <f t="shared" si="0"/>
        <v>7761</v>
      </c>
      <c r="BQ4" s="6">
        <f t="shared" si="0"/>
        <v>7428</v>
      </c>
      <c r="BR4" s="6">
        <f t="shared" ref="BR4:BU4" si="1">SUM(BR5:BR318)</f>
        <v>7415</v>
      </c>
      <c r="BS4" s="6">
        <f t="shared" si="1"/>
        <v>7448</v>
      </c>
      <c r="BT4" s="6">
        <f t="shared" si="1"/>
        <v>7305</v>
      </c>
      <c r="BU4" s="6">
        <f t="shared" si="1"/>
        <v>6836</v>
      </c>
      <c r="BV4" s="6">
        <f t="shared" ref="BV4" si="2">SUM(BV5:BV318)</f>
        <v>6528</v>
      </c>
      <c r="BW4" s="6">
        <f t="shared" ref="BW4" si="3">SUM(BW5:BW318)</f>
        <v>6250</v>
      </c>
      <c r="BX4" s="6">
        <f t="shared" ref="BX4" si="4">SUM(BX5:BX318)</f>
        <v>5972</v>
      </c>
      <c r="BY4" s="6">
        <f t="shared" ref="BY4" si="5">SUM(BY5:BY318)</f>
        <v>5933</v>
      </c>
      <c r="BZ4" s="6">
        <f t="shared" ref="BZ4" si="6">SUM(BZ5:BZ318)</f>
        <v>5954</v>
      </c>
      <c r="CA4" s="6">
        <f t="shared" ref="CA4" si="7">SUM(CA5:CA318)</f>
        <v>5827</v>
      </c>
      <c r="CB4" s="6">
        <f t="shared" ref="CB4" si="8">SUM(CB5:CB318)</f>
        <v>5600</v>
      </c>
      <c r="CC4" s="6">
        <f t="shared" ref="CC4" si="9">SUM(CC5:CC318)</f>
        <v>5398</v>
      </c>
      <c r="CD4" s="6">
        <f t="shared" ref="CD4" si="10">SUM(CD5:CD318)</f>
        <v>5213</v>
      </c>
      <c r="CE4" s="6">
        <f t="shared" ref="CE4" si="11">SUM(CE5:CE318)</f>
        <v>5004</v>
      </c>
      <c r="CF4" s="6">
        <f t="shared" ref="CF4" si="12">SUM(CF5:CF318)</f>
        <v>4820</v>
      </c>
      <c r="CG4" s="6">
        <f t="shared" ref="CG4" si="13">SUM(CG5:CG318)</f>
        <v>4830</v>
      </c>
      <c r="CH4" s="6">
        <f t="shared" ref="CH4" si="14">SUM(CH5:CH318)</f>
        <v>4665</v>
      </c>
      <c r="CI4" s="6">
        <f t="shared" ref="CI4" si="15">SUM(CI5:CI318)</f>
        <v>4447</v>
      </c>
      <c r="CJ4" s="6">
        <f t="shared" ref="CJ4" si="16">SUM(CJ5:CJ318)</f>
        <v>4179</v>
      </c>
      <c r="CK4" s="6">
        <f t="shared" ref="CK4" si="17">SUM(CK5:CK318)</f>
        <v>4136</v>
      </c>
      <c r="CL4" s="6">
        <f t="shared" ref="CL4" si="18">SUM(CL5:CL318)</f>
        <v>4000</v>
      </c>
      <c r="CM4" s="6">
        <f t="shared" ref="CM4" si="19">SUM(CM5:CM318)</f>
        <v>3973</v>
      </c>
      <c r="CN4" s="6">
        <f t="shared" ref="CN4" si="20">SUM(CN5:CN318)</f>
        <v>3920</v>
      </c>
      <c r="CO4" s="6">
        <f t="shared" ref="CO4" si="21">SUM(CO5:CO318)</f>
        <v>3934</v>
      </c>
      <c r="CP4" s="6">
        <f t="shared" ref="CP4" si="22">SUM(CP5:CP318)</f>
        <v>3826</v>
      </c>
      <c r="CQ4" s="6">
        <f t="shared" ref="CQ4" si="23">SUM(CQ5:CQ318)</f>
        <v>3681</v>
      </c>
      <c r="CR4" s="6">
        <f t="shared" ref="CR4" si="24">SUM(CR5:CR318)</f>
        <v>3575</v>
      </c>
      <c r="CS4" s="6">
        <f t="shared" ref="CS4" si="25">SUM(CS5:CS318)</f>
        <v>3423</v>
      </c>
      <c r="CT4" s="6">
        <f t="shared" ref="CT4" si="26">SUM(CT5:CT318)</f>
        <v>3373</v>
      </c>
      <c r="CU4" s="6">
        <f t="shared" ref="CU4" si="27">SUM(CU5:CU318)</f>
        <v>3417</v>
      </c>
      <c r="CV4" s="6">
        <f t="shared" ref="CV4" si="28">SUM(CV5:CV318)</f>
        <v>3288</v>
      </c>
      <c r="CW4" s="6">
        <f t="shared" ref="CW4" si="29">SUM(CW5:CW318)</f>
        <v>3223</v>
      </c>
      <c r="CX4" s="6">
        <f t="shared" ref="CX4" si="30">SUM(CX5:CX318)</f>
        <v>3066</v>
      </c>
      <c r="CY4" s="6">
        <f t="shared" ref="CY4" si="31">SUM(CY5:CY318)</f>
        <v>2859</v>
      </c>
      <c r="CZ4" s="6">
        <f t="shared" ref="CZ4" si="32">SUM(CZ5:CZ318)</f>
        <v>2819</v>
      </c>
      <c r="DA4" s="6">
        <f t="shared" ref="DA4" si="33">SUM(DA5:DA318)</f>
        <v>2818</v>
      </c>
      <c r="DB4" s="6">
        <f t="shared" ref="DB4" si="34">SUM(DB5:DB318)</f>
        <v>3024</v>
      </c>
      <c r="DC4" s="6">
        <f t="shared" ref="DC4" si="35">SUM(DC5:DC318)</f>
        <v>2665</v>
      </c>
      <c r="DD4" s="6">
        <f t="shared" ref="DD4" si="36">SUM(DD5:DD318)</f>
        <v>2509</v>
      </c>
      <c r="DE4" s="6">
        <f t="shared" ref="DE4" si="37">SUM(DE5:DE318)</f>
        <v>2410</v>
      </c>
      <c r="DF4" s="6">
        <f t="shared" ref="DF4" si="38">SUM(DF5:DF318)</f>
        <v>2294</v>
      </c>
      <c r="DG4" s="6">
        <f t="shared" ref="DG4" si="39">SUM(DG5:DG318)</f>
        <v>2152</v>
      </c>
      <c r="DH4" s="6">
        <f t="shared" ref="DH4" si="40">SUM(DH5:DH318)</f>
        <v>2100</v>
      </c>
      <c r="DI4" s="6">
        <f t="shared" ref="DI4" si="41">SUM(DI5:DI318)</f>
        <v>2099</v>
      </c>
      <c r="DJ4" s="6">
        <f t="shared" ref="DJ4" si="42">SUM(DJ5:DJ318)</f>
        <v>2010</v>
      </c>
      <c r="DK4" s="6">
        <f t="shared" ref="DK4" si="43">SUM(DK5:DK318)</f>
        <v>1888</v>
      </c>
      <c r="DL4" s="6">
        <f t="shared" ref="DL4" si="44">SUM(DL5:DL318)</f>
        <v>1801</v>
      </c>
      <c r="DM4" s="6">
        <f t="shared" ref="DM4" si="45">SUM(DM5:DM318)</f>
        <v>1746</v>
      </c>
      <c r="DN4" s="6">
        <f t="shared" ref="DN4" si="46">SUM(DN5:DN318)</f>
        <v>1640</v>
      </c>
      <c r="DO4" s="6">
        <f t="shared" ref="DO4" si="47">SUM(DO5:DO318)</f>
        <v>1611</v>
      </c>
      <c r="DP4" s="6">
        <f t="shared" ref="DP4" si="48">SUM(DP5:DP318)</f>
        <v>1612</v>
      </c>
      <c r="DQ4" s="6">
        <f t="shared" ref="DQ4" si="49">SUM(DQ5:DQ318)</f>
        <v>1506</v>
      </c>
      <c r="DR4" s="6">
        <f t="shared" ref="DR4" si="50">SUM(DR5:DR318)</f>
        <v>1489</v>
      </c>
      <c r="DS4" s="6">
        <f t="shared" ref="DS4" si="51">SUM(DS5:DS318)</f>
        <v>1348</v>
      </c>
      <c r="DT4" s="6">
        <f t="shared" ref="DT4" si="52">SUM(DT5:DT318)</f>
        <v>1346</v>
      </c>
      <c r="DU4" s="6">
        <f t="shared" ref="DU4" si="53">SUM(DU5:DU318)</f>
        <v>1321</v>
      </c>
      <c r="DV4" s="6">
        <f t="shared" ref="DV4" si="54">SUM(DV5:DV318)</f>
        <v>1301</v>
      </c>
      <c r="DW4" s="6">
        <f t="shared" ref="DW4" si="55">SUM(DW5:DW318)</f>
        <v>1278</v>
      </c>
      <c r="DX4" s="6">
        <f t="shared" ref="DX4" si="56">SUM(DX5:DX318)</f>
        <v>1188</v>
      </c>
      <c r="DY4" s="6">
        <f t="shared" ref="DY4" si="57">SUM(DY5:DY318)</f>
        <v>1305</v>
      </c>
      <c r="DZ4" s="6">
        <f t="shared" ref="DZ4" si="58">SUM(DZ5:DZ318)</f>
        <v>1095</v>
      </c>
      <c r="EA4" s="6">
        <f t="shared" ref="EA4" si="59">SUM(EA5:EA318)</f>
        <v>1018</v>
      </c>
      <c r="EB4" s="6">
        <f t="shared" ref="EB4" si="60">SUM(EB5:EB318)</f>
        <v>977</v>
      </c>
      <c r="EC4" s="6">
        <f t="shared" ref="EC4" si="61">SUM(EC5:EC318)</f>
        <v>965</v>
      </c>
      <c r="ED4" s="6">
        <f t="shared" ref="ED4" si="62">SUM(ED5:ED318)</f>
        <v>945</v>
      </c>
      <c r="EE4" s="6">
        <f t="shared" ref="EE4" si="63">SUM(EE5:EE318)</f>
        <v>944</v>
      </c>
      <c r="EF4" s="6">
        <f t="shared" ref="EF4" si="64">SUM(EF5:EF318)</f>
        <v>927</v>
      </c>
      <c r="EG4" s="6">
        <f t="shared" ref="EG4" si="65">SUM(EG5:EG318)</f>
        <v>898</v>
      </c>
      <c r="EH4" s="6">
        <f t="shared" ref="EH4" si="66">SUM(EH5:EH318)</f>
        <v>870</v>
      </c>
      <c r="EI4" s="6">
        <f t="shared" ref="EI4" si="67">SUM(EI5:EI318)</f>
        <v>879</v>
      </c>
      <c r="EJ4" s="6">
        <f t="shared" ref="EJ4:EK4" si="68">SUM(EJ5:EJ318)</f>
        <v>847</v>
      </c>
      <c r="EK4" s="6">
        <f t="shared" si="68"/>
        <v>842</v>
      </c>
      <c r="EL4" s="6">
        <f t="shared" ref="EL4" si="69">SUM(EL5:EL318)</f>
        <v>807</v>
      </c>
      <c r="EM4" s="6">
        <f t="shared" ref="EM4" si="70">SUM(EM5:EM318)</f>
        <v>805</v>
      </c>
      <c r="EN4" s="6">
        <f t="shared" ref="EN4" si="71">SUM(EN5:EN318)</f>
        <v>756</v>
      </c>
      <c r="EO4" s="6">
        <f t="shared" ref="EO4" si="72">SUM(EO5:EO318)</f>
        <v>711</v>
      </c>
      <c r="EP4" s="6">
        <f t="shared" ref="EP4" si="73">SUM(EP5:EP318)</f>
        <v>650</v>
      </c>
      <c r="EQ4" s="6">
        <f t="shared" ref="EQ4" si="74">SUM(EQ5:EQ318)</f>
        <v>611</v>
      </c>
      <c r="ER4" s="6">
        <f t="shared" ref="ER4" si="75">SUM(ER5:ER318)</f>
        <v>714</v>
      </c>
      <c r="ES4" s="6">
        <f t="shared" ref="ES4" si="76">SUM(ES5:ES318)</f>
        <v>672</v>
      </c>
      <c r="ET4" s="6">
        <f t="shared" ref="ET4" si="77">SUM(ET5:ET318)</f>
        <v>642</v>
      </c>
      <c r="EU4" s="6">
        <f t="shared" ref="EU4" si="78">SUM(EU5:EU318)</f>
        <v>652</v>
      </c>
      <c r="EV4" s="6">
        <f t="shared" ref="EV4" si="79">SUM(EV5:EV318)</f>
        <v>642</v>
      </c>
      <c r="EW4" s="6">
        <f t="shared" ref="EW4" si="80">SUM(EW5:EW318)</f>
        <v>630</v>
      </c>
      <c r="EX4" s="6">
        <f t="shared" ref="EX4" si="81">SUM(EX5:EX318)</f>
        <v>634</v>
      </c>
      <c r="EY4" s="6">
        <f t="shared" ref="EY4" si="82">SUM(EY5:EY318)</f>
        <v>626</v>
      </c>
      <c r="EZ4" s="6">
        <f t="shared" ref="EZ4" si="83">SUM(EZ5:EZ318)</f>
        <v>597</v>
      </c>
      <c r="FA4" s="6">
        <f t="shared" ref="FA4" si="84">SUM(FA5:FA318)</f>
        <v>571</v>
      </c>
      <c r="FB4" s="6">
        <f t="shared" ref="FB4" si="85">SUM(FB5:FB318)</f>
        <v>551</v>
      </c>
      <c r="FC4" s="6">
        <f t="shared" ref="FC4" si="86">SUM(FC5:FC318)</f>
        <v>528</v>
      </c>
      <c r="FD4" s="6">
        <f t="shared" ref="FD4" si="87">SUM(FD5:FD318)</f>
        <v>594</v>
      </c>
      <c r="FE4" s="6">
        <f t="shared" ref="FE4" si="88">SUM(FE5:FE318)</f>
        <v>522</v>
      </c>
      <c r="FF4" s="6">
        <f t="shared" ref="FF4" si="89">SUM(FF5:FF318)</f>
        <v>522</v>
      </c>
      <c r="FG4" s="6">
        <f t="shared" ref="FG4" si="90">SUM(FG5:FG318)</f>
        <v>500</v>
      </c>
      <c r="FH4" s="6">
        <f t="shared" ref="FH4" si="91">SUM(FH5:FH318)</f>
        <v>485</v>
      </c>
      <c r="FI4" s="6">
        <f t="shared" ref="FI4" si="92">SUM(FI5:FI318)</f>
        <v>492</v>
      </c>
      <c r="FJ4" s="6">
        <f t="shared" ref="FJ4" si="93">SUM(FJ5:FJ318)</f>
        <v>469</v>
      </c>
      <c r="FK4" s="6">
        <f t="shared" ref="FK4" si="94">SUM(FK5:FK318)</f>
        <v>478</v>
      </c>
      <c r="FL4" s="6">
        <f t="shared" ref="FL4" si="95">SUM(FL5:FL318)</f>
        <v>479</v>
      </c>
      <c r="FM4" s="7">
        <f t="shared" ref="FM4" si="96">SUM(FM5:FM318)</f>
        <v>495</v>
      </c>
    </row>
    <row r="5" spans="1:169" x14ac:dyDescent="0.35">
      <c r="A5" s="8" t="s">
        <v>0</v>
      </c>
      <c r="B5" s="9" t="s">
        <v>1</v>
      </c>
      <c r="C5" s="10" t="s">
        <v>2</v>
      </c>
      <c r="D5" s="62">
        <f t="shared" ref="D5:D68" si="97">MAX(E5:FM5)</f>
        <v>0</v>
      </c>
      <c r="E5" s="9">
        <v>0</v>
      </c>
      <c r="F5" s="9">
        <v>0</v>
      </c>
      <c r="G5" s="9">
        <v>0</v>
      </c>
      <c r="H5" s="9">
        <v>0</v>
      </c>
      <c r="I5" s="9">
        <v>0</v>
      </c>
      <c r="J5" s="9">
        <v>0</v>
      </c>
      <c r="K5" s="9">
        <v>0</v>
      </c>
      <c r="L5" s="9">
        <v>0</v>
      </c>
      <c r="M5" s="9">
        <v>0</v>
      </c>
      <c r="N5" s="9">
        <v>0</v>
      </c>
      <c r="O5" s="9">
        <v>0</v>
      </c>
      <c r="P5" s="9">
        <v>0</v>
      </c>
      <c r="Q5" s="9">
        <v>0</v>
      </c>
      <c r="R5" s="9">
        <v>0</v>
      </c>
      <c r="S5" s="9">
        <v>0</v>
      </c>
      <c r="T5" s="9">
        <v>0</v>
      </c>
      <c r="U5" s="9">
        <v>0</v>
      </c>
      <c r="V5" s="9">
        <v>0</v>
      </c>
      <c r="W5" s="9">
        <v>0</v>
      </c>
      <c r="X5" s="9">
        <v>0</v>
      </c>
      <c r="Y5" s="9">
        <v>0</v>
      </c>
      <c r="Z5" s="9">
        <v>0</v>
      </c>
      <c r="AA5" s="9">
        <v>0</v>
      </c>
      <c r="AB5" s="9">
        <v>0</v>
      </c>
      <c r="AC5" s="9">
        <v>0</v>
      </c>
      <c r="AD5" s="9">
        <v>0</v>
      </c>
      <c r="AE5" s="9">
        <v>0</v>
      </c>
      <c r="AF5" s="9">
        <v>0</v>
      </c>
      <c r="AG5" s="9">
        <v>0</v>
      </c>
      <c r="AH5" s="9">
        <v>0</v>
      </c>
      <c r="AI5" s="9">
        <v>0</v>
      </c>
      <c r="AJ5" s="9">
        <v>0</v>
      </c>
      <c r="AK5" s="9">
        <v>0</v>
      </c>
      <c r="AL5" s="9">
        <v>0</v>
      </c>
      <c r="AM5" s="9">
        <v>0</v>
      </c>
      <c r="AN5" s="9">
        <v>0</v>
      </c>
      <c r="AO5" s="9">
        <v>0</v>
      </c>
      <c r="AP5" s="9">
        <v>0</v>
      </c>
      <c r="AQ5" s="9">
        <v>0</v>
      </c>
      <c r="AR5" s="9">
        <v>0</v>
      </c>
      <c r="AS5" s="9">
        <v>0</v>
      </c>
      <c r="AT5" s="9">
        <v>0</v>
      </c>
      <c r="AU5" s="9">
        <v>0</v>
      </c>
      <c r="AV5" s="9">
        <v>0</v>
      </c>
      <c r="AW5" s="9">
        <v>0</v>
      </c>
      <c r="AX5" s="9">
        <v>0</v>
      </c>
      <c r="AY5" s="9">
        <v>0</v>
      </c>
      <c r="AZ5" s="9">
        <v>0</v>
      </c>
      <c r="BA5" s="9">
        <v>0</v>
      </c>
      <c r="BB5" s="9">
        <v>0</v>
      </c>
      <c r="BC5" s="9">
        <v>0</v>
      </c>
      <c r="BD5" s="9">
        <v>0</v>
      </c>
      <c r="BE5" s="9">
        <v>0</v>
      </c>
      <c r="BF5" s="9">
        <v>0</v>
      </c>
      <c r="BG5" s="9">
        <v>0</v>
      </c>
      <c r="BH5" s="9">
        <v>0</v>
      </c>
      <c r="BI5" s="9">
        <v>0</v>
      </c>
      <c r="BJ5" s="9">
        <v>0</v>
      </c>
      <c r="BK5" s="9">
        <v>0</v>
      </c>
      <c r="BL5" s="9">
        <v>0</v>
      </c>
      <c r="BM5" s="9">
        <v>0</v>
      </c>
      <c r="BN5" s="9">
        <v>0</v>
      </c>
      <c r="BO5" s="9">
        <v>0</v>
      </c>
      <c r="BP5" s="9">
        <v>0</v>
      </c>
      <c r="BQ5" s="9">
        <v>0</v>
      </c>
      <c r="BR5" s="9">
        <v>0</v>
      </c>
      <c r="BS5" s="9">
        <v>0</v>
      </c>
      <c r="BT5" s="9">
        <v>0</v>
      </c>
      <c r="BU5" s="9">
        <v>0</v>
      </c>
      <c r="BV5" s="9">
        <v>0</v>
      </c>
      <c r="BW5" s="9">
        <v>0</v>
      </c>
      <c r="BX5" s="9">
        <v>0</v>
      </c>
      <c r="BY5" s="9">
        <v>0</v>
      </c>
      <c r="BZ5" s="9">
        <v>0</v>
      </c>
      <c r="CA5" s="9">
        <v>0</v>
      </c>
      <c r="CB5" s="9">
        <v>0</v>
      </c>
      <c r="CC5" s="9">
        <v>0</v>
      </c>
      <c r="CD5" s="9">
        <v>0</v>
      </c>
      <c r="CE5" s="9">
        <v>0</v>
      </c>
      <c r="CF5" s="9">
        <v>0</v>
      </c>
      <c r="CG5" s="9">
        <v>0</v>
      </c>
      <c r="CH5" s="9">
        <v>0</v>
      </c>
      <c r="CI5" s="9">
        <v>0</v>
      </c>
      <c r="CJ5" s="9">
        <v>0</v>
      </c>
      <c r="CK5" s="9">
        <v>0</v>
      </c>
      <c r="CL5" s="9">
        <v>0</v>
      </c>
      <c r="CM5" s="9">
        <v>0</v>
      </c>
      <c r="CN5" s="9">
        <v>0</v>
      </c>
      <c r="CO5" s="9">
        <v>0</v>
      </c>
      <c r="CP5" s="9">
        <v>0</v>
      </c>
      <c r="CQ5" s="9">
        <v>0</v>
      </c>
      <c r="CR5" s="9">
        <v>0</v>
      </c>
      <c r="CS5" s="9">
        <v>0</v>
      </c>
      <c r="CT5" s="9">
        <v>0</v>
      </c>
      <c r="CU5" s="9">
        <v>0</v>
      </c>
      <c r="CV5" s="9">
        <v>0</v>
      </c>
      <c r="CW5" s="9">
        <v>0</v>
      </c>
      <c r="CX5" s="9">
        <v>0</v>
      </c>
      <c r="CY5" s="9">
        <v>0</v>
      </c>
      <c r="CZ5" s="9">
        <v>0</v>
      </c>
      <c r="DA5" s="9">
        <v>0</v>
      </c>
      <c r="DB5" s="9">
        <v>0</v>
      </c>
      <c r="DC5" s="9">
        <v>0</v>
      </c>
      <c r="DD5" s="9">
        <v>0</v>
      </c>
      <c r="DE5" s="9">
        <v>0</v>
      </c>
      <c r="DF5" s="9">
        <v>0</v>
      </c>
      <c r="DG5" s="9">
        <v>0</v>
      </c>
      <c r="DH5" s="9">
        <v>0</v>
      </c>
      <c r="DI5" s="9">
        <v>0</v>
      </c>
      <c r="DJ5" s="9">
        <v>0</v>
      </c>
      <c r="DK5" s="9">
        <v>0</v>
      </c>
      <c r="DL5" s="9">
        <v>0</v>
      </c>
      <c r="DM5" s="9">
        <v>0</v>
      </c>
      <c r="DN5" s="9">
        <v>0</v>
      </c>
      <c r="DO5" s="9">
        <v>0</v>
      </c>
      <c r="DP5" s="9">
        <v>0</v>
      </c>
      <c r="DQ5" s="9">
        <v>0</v>
      </c>
      <c r="DR5" s="9">
        <v>0</v>
      </c>
      <c r="DS5" s="9">
        <v>0</v>
      </c>
      <c r="DT5" s="9">
        <v>0</v>
      </c>
      <c r="DU5" s="9">
        <v>0</v>
      </c>
      <c r="DV5" s="9">
        <v>0</v>
      </c>
      <c r="DW5" s="9">
        <v>0</v>
      </c>
      <c r="DX5" s="9">
        <v>0</v>
      </c>
      <c r="DY5" s="9">
        <v>0</v>
      </c>
      <c r="DZ5" s="9">
        <v>0</v>
      </c>
      <c r="EA5" s="9">
        <v>0</v>
      </c>
      <c r="EB5" s="9">
        <v>0</v>
      </c>
      <c r="EC5" s="9">
        <v>0</v>
      </c>
      <c r="ED5" s="9">
        <v>0</v>
      </c>
      <c r="EE5" s="9">
        <v>0</v>
      </c>
      <c r="EF5" s="9">
        <v>0</v>
      </c>
      <c r="EG5" s="9">
        <v>0</v>
      </c>
      <c r="EH5" s="9">
        <v>0</v>
      </c>
      <c r="EI5" s="9">
        <v>0</v>
      </c>
      <c r="EJ5" s="9">
        <v>0</v>
      </c>
      <c r="EK5" s="9">
        <v>0</v>
      </c>
      <c r="EL5" s="9">
        <v>0</v>
      </c>
      <c r="EM5" s="9">
        <v>0</v>
      </c>
      <c r="EN5" s="9">
        <v>0</v>
      </c>
      <c r="EO5" s="9">
        <v>0</v>
      </c>
      <c r="EP5" s="9">
        <v>0</v>
      </c>
      <c r="EQ5" s="9">
        <v>0</v>
      </c>
      <c r="ER5" s="9">
        <v>0</v>
      </c>
      <c r="ES5" s="9">
        <v>0</v>
      </c>
      <c r="ET5" s="9">
        <v>0</v>
      </c>
      <c r="EU5" s="9">
        <v>0</v>
      </c>
      <c r="EV5" s="9">
        <v>0</v>
      </c>
      <c r="EW5" s="9">
        <v>0</v>
      </c>
      <c r="EX5" s="9">
        <v>0</v>
      </c>
      <c r="EY5" s="9">
        <v>0</v>
      </c>
      <c r="EZ5" s="9">
        <v>0</v>
      </c>
      <c r="FA5" s="9">
        <v>0</v>
      </c>
      <c r="FB5" s="9">
        <v>0</v>
      </c>
      <c r="FC5" s="9">
        <v>0</v>
      </c>
      <c r="FD5" s="9">
        <v>0</v>
      </c>
      <c r="FE5" s="9">
        <v>0</v>
      </c>
      <c r="FF5" s="9">
        <v>0</v>
      </c>
      <c r="FG5" s="9">
        <v>0</v>
      </c>
      <c r="FH5" s="9">
        <v>0</v>
      </c>
      <c r="FI5" s="9">
        <v>0</v>
      </c>
      <c r="FJ5" s="9">
        <v>0</v>
      </c>
      <c r="FK5" s="9">
        <v>0</v>
      </c>
      <c r="FL5" s="9">
        <v>0</v>
      </c>
      <c r="FM5" s="10">
        <v>0</v>
      </c>
    </row>
    <row r="6" spans="1:169" x14ac:dyDescent="0.35">
      <c r="A6" s="8" t="s">
        <v>0</v>
      </c>
      <c r="B6" s="9" t="s">
        <v>3</v>
      </c>
      <c r="C6" s="10" t="s">
        <v>4</v>
      </c>
      <c r="D6" s="62">
        <f t="shared" si="97"/>
        <v>0</v>
      </c>
      <c r="E6" s="9">
        <v>0</v>
      </c>
      <c r="F6" s="9">
        <v>0</v>
      </c>
      <c r="G6" s="9">
        <v>0</v>
      </c>
      <c r="H6" s="9">
        <v>0</v>
      </c>
      <c r="I6" s="9">
        <v>0</v>
      </c>
      <c r="J6" s="9">
        <v>0</v>
      </c>
      <c r="K6" s="9">
        <v>0</v>
      </c>
      <c r="L6" s="9">
        <v>0</v>
      </c>
      <c r="M6" s="9">
        <v>0</v>
      </c>
      <c r="N6" s="9">
        <v>0</v>
      </c>
      <c r="O6" s="9">
        <v>0</v>
      </c>
      <c r="P6" s="9">
        <v>0</v>
      </c>
      <c r="Q6" s="9">
        <v>0</v>
      </c>
      <c r="R6" s="9">
        <v>0</v>
      </c>
      <c r="S6" s="9">
        <v>0</v>
      </c>
      <c r="T6" s="9">
        <v>0</v>
      </c>
      <c r="U6" s="9">
        <v>0</v>
      </c>
      <c r="V6" s="9">
        <v>0</v>
      </c>
      <c r="W6" s="9">
        <v>0</v>
      </c>
      <c r="X6" s="9">
        <v>0</v>
      </c>
      <c r="Y6" s="9">
        <v>0</v>
      </c>
      <c r="Z6" s="9">
        <v>0</v>
      </c>
      <c r="AA6" s="9">
        <v>0</v>
      </c>
      <c r="AB6" s="9">
        <v>0</v>
      </c>
      <c r="AC6" s="9">
        <v>0</v>
      </c>
      <c r="AD6" s="9">
        <v>0</v>
      </c>
      <c r="AE6" s="9">
        <v>0</v>
      </c>
      <c r="AF6" s="9">
        <v>0</v>
      </c>
      <c r="AG6" s="9">
        <v>0</v>
      </c>
      <c r="AH6" s="9">
        <v>0</v>
      </c>
      <c r="AI6" s="9">
        <v>0</v>
      </c>
      <c r="AJ6" s="9">
        <v>0</v>
      </c>
      <c r="AK6" s="9">
        <v>0</v>
      </c>
      <c r="AL6" s="9">
        <v>0</v>
      </c>
      <c r="AM6" s="9">
        <v>0</v>
      </c>
      <c r="AN6" s="9">
        <v>0</v>
      </c>
      <c r="AO6" s="9">
        <v>0</v>
      </c>
      <c r="AP6" s="9">
        <v>0</v>
      </c>
      <c r="AQ6" s="9">
        <v>0</v>
      </c>
      <c r="AR6" s="9">
        <v>0</v>
      </c>
      <c r="AS6" s="9">
        <v>0</v>
      </c>
      <c r="AT6" s="9">
        <v>0</v>
      </c>
      <c r="AU6" s="9">
        <v>0</v>
      </c>
      <c r="AV6" s="9">
        <v>0</v>
      </c>
      <c r="AW6" s="9">
        <v>0</v>
      </c>
      <c r="AX6" s="9">
        <v>0</v>
      </c>
      <c r="AY6" s="9">
        <v>0</v>
      </c>
      <c r="AZ6" s="9">
        <v>0</v>
      </c>
      <c r="BA6" s="9">
        <v>0</v>
      </c>
      <c r="BB6" s="9">
        <v>0</v>
      </c>
      <c r="BC6" s="9">
        <v>0</v>
      </c>
      <c r="BD6" s="9">
        <v>0</v>
      </c>
      <c r="BE6" s="9">
        <v>0</v>
      </c>
      <c r="BF6" s="9">
        <v>0</v>
      </c>
      <c r="BG6" s="9">
        <v>0</v>
      </c>
      <c r="BH6" s="9">
        <v>0</v>
      </c>
      <c r="BI6" s="9">
        <v>0</v>
      </c>
      <c r="BJ6" s="9">
        <v>0</v>
      </c>
      <c r="BK6" s="9">
        <v>0</v>
      </c>
      <c r="BL6" s="9">
        <v>0</v>
      </c>
      <c r="BM6" s="9">
        <v>0</v>
      </c>
      <c r="BN6" s="9">
        <v>0</v>
      </c>
      <c r="BO6" s="9">
        <v>0</v>
      </c>
      <c r="BP6" s="9">
        <v>0</v>
      </c>
      <c r="BQ6" s="9">
        <v>0</v>
      </c>
      <c r="BR6" s="9">
        <v>0</v>
      </c>
      <c r="BS6" s="9">
        <v>0</v>
      </c>
      <c r="BT6" s="9">
        <v>0</v>
      </c>
      <c r="BU6" s="9">
        <v>0</v>
      </c>
      <c r="BV6" s="9">
        <v>0</v>
      </c>
      <c r="BW6" s="9">
        <v>0</v>
      </c>
      <c r="BX6" s="9">
        <v>0</v>
      </c>
      <c r="BY6" s="9">
        <v>0</v>
      </c>
      <c r="BZ6" s="9">
        <v>0</v>
      </c>
      <c r="CA6" s="9">
        <v>0</v>
      </c>
      <c r="CB6" s="9">
        <v>0</v>
      </c>
      <c r="CC6" s="9">
        <v>0</v>
      </c>
      <c r="CD6" s="9">
        <v>0</v>
      </c>
      <c r="CE6" s="9">
        <v>0</v>
      </c>
      <c r="CF6" s="9">
        <v>0</v>
      </c>
      <c r="CG6" s="9">
        <v>0</v>
      </c>
      <c r="CH6" s="9">
        <v>0</v>
      </c>
      <c r="CI6" s="9">
        <v>0</v>
      </c>
      <c r="CJ6" s="9">
        <v>0</v>
      </c>
      <c r="CK6" s="9">
        <v>0</v>
      </c>
      <c r="CL6" s="9">
        <v>0</v>
      </c>
      <c r="CM6" s="9">
        <v>0</v>
      </c>
      <c r="CN6" s="9">
        <v>0</v>
      </c>
      <c r="CO6" s="9">
        <v>0</v>
      </c>
      <c r="CP6" s="9">
        <v>0</v>
      </c>
      <c r="CQ6" s="9">
        <v>0</v>
      </c>
      <c r="CR6" s="9">
        <v>0</v>
      </c>
      <c r="CS6" s="9">
        <v>0</v>
      </c>
      <c r="CT6" s="9">
        <v>0</v>
      </c>
      <c r="CU6" s="9">
        <v>0</v>
      </c>
      <c r="CV6" s="9">
        <v>0</v>
      </c>
      <c r="CW6" s="9">
        <v>0</v>
      </c>
      <c r="CX6" s="9">
        <v>0</v>
      </c>
      <c r="CY6" s="9">
        <v>0</v>
      </c>
      <c r="CZ6" s="9">
        <v>0</v>
      </c>
      <c r="DA6" s="9">
        <v>0</v>
      </c>
      <c r="DB6" s="9">
        <v>0</v>
      </c>
      <c r="DC6" s="9">
        <v>0</v>
      </c>
      <c r="DD6" s="9">
        <v>0</v>
      </c>
      <c r="DE6" s="9">
        <v>0</v>
      </c>
      <c r="DF6" s="9">
        <v>0</v>
      </c>
      <c r="DG6" s="9">
        <v>0</v>
      </c>
      <c r="DH6" s="9">
        <v>0</v>
      </c>
      <c r="DI6" s="9">
        <v>0</v>
      </c>
      <c r="DJ6" s="9">
        <v>0</v>
      </c>
      <c r="DK6" s="9">
        <v>0</v>
      </c>
      <c r="DL6" s="9">
        <v>0</v>
      </c>
      <c r="DM6" s="9">
        <v>0</v>
      </c>
      <c r="DN6" s="9">
        <v>0</v>
      </c>
      <c r="DO6" s="9">
        <v>0</v>
      </c>
      <c r="DP6" s="9">
        <v>0</v>
      </c>
      <c r="DQ6" s="9">
        <v>0</v>
      </c>
      <c r="DR6" s="9">
        <v>0</v>
      </c>
      <c r="DS6" s="9">
        <v>0</v>
      </c>
      <c r="DT6" s="9">
        <v>0</v>
      </c>
      <c r="DU6" s="9">
        <v>0</v>
      </c>
      <c r="DV6" s="9">
        <v>0</v>
      </c>
      <c r="DW6" s="9">
        <v>0</v>
      </c>
      <c r="DX6" s="9">
        <v>0</v>
      </c>
      <c r="DY6" s="9">
        <v>0</v>
      </c>
      <c r="DZ6" s="9">
        <v>0</v>
      </c>
      <c r="EA6" s="9">
        <v>0</v>
      </c>
      <c r="EB6" s="9">
        <v>0</v>
      </c>
      <c r="EC6" s="9">
        <v>0</v>
      </c>
      <c r="ED6" s="9">
        <v>0</v>
      </c>
      <c r="EE6" s="9">
        <v>0</v>
      </c>
      <c r="EF6" s="9">
        <v>0</v>
      </c>
      <c r="EG6" s="9">
        <v>0</v>
      </c>
      <c r="EH6" s="9">
        <v>0</v>
      </c>
      <c r="EI6" s="9">
        <v>0</v>
      </c>
      <c r="EJ6" s="9">
        <v>0</v>
      </c>
      <c r="EK6" s="9">
        <v>0</v>
      </c>
      <c r="EL6" s="9">
        <v>0</v>
      </c>
      <c r="EM6" s="9">
        <v>0</v>
      </c>
      <c r="EN6" s="9">
        <v>0</v>
      </c>
      <c r="EO6" s="9">
        <v>0</v>
      </c>
      <c r="EP6" s="9">
        <v>0</v>
      </c>
      <c r="EQ6" s="9">
        <v>0</v>
      </c>
      <c r="ER6" s="9">
        <v>0</v>
      </c>
      <c r="ES6" s="9">
        <v>0</v>
      </c>
      <c r="ET6" s="9">
        <v>0</v>
      </c>
      <c r="EU6" s="9">
        <v>0</v>
      </c>
      <c r="EV6" s="9">
        <v>0</v>
      </c>
      <c r="EW6" s="9">
        <v>0</v>
      </c>
      <c r="EX6" s="9">
        <v>0</v>
      </c>
      <c r="EY6" s="9">
        <v>0</v>
      </c>
      <c r="EZ6" s="9">
        <v>0</v>
      </c>
      <c r="FA6" s="9">
        <v>0</v>
      </c>
      <c r="FB6" s="9">
        <v>0</v>
      </c>
      <c r="FC6" s="9">
        <v>0</v>
      </c>
      <c r="FD6" s="9">
        <v>0</v>
      </c>
      <c r="FE6" s="9">
        <v>0</v>
      </c>
      <c r="FF6" s="9">
        <v>0</v>
      </c>
      <c r="FG6" s="9">
        <v>0</v>
      </c>
      <c r="FH6" s="9">
        <v>0</v>
      </c>
      <c r="FI6" s="9">
        <v>0</v>
      </c>
      <c r="FJ6" s="9">
        <v>0</v>
      </c>
      <c r="FK6" s="9">
        <v>0</v>
      </c>
      <c r="FL6" s="9">
        <v>0</v>
      </c>
      <c r="FM6" s="10">
        <v>0</v>
      </c>
    </row>
    <row r="7" spans="1:169" x14ac:dyDescent="0.35">
      <c r="A7" s="8" t="s">
        <v>0</v>
      </c>
      <c r="B7" s="9" t="s">
        <v>5</v>
      </c>
      <c r="C7" s="10" t="s">
        <v>6</v>
      </c>
      <c r="D7" s="62">
        <f t="shared" si="97"/>
        <v>0</v>
      </c>
      <c r="E7" s="9">
        <v>0</v>
      </c>
      <c r="F7" s="9">
        <v>0</v>
      </c>
      <c r="G7" s="9">
        <v>0</v>
      </c>
      <c r="H7" s="9">
        <v>0</v>
      </c>
      <c r="I7" s="9">
        <v>0</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c r="AH7" s="9">
        <v>0</v>
      </c>
      <c r="AI7" s="9">
        <v>0</v>
      </c>
      <c r="AJ7" s="9">
        <v>0</v>
      </c>
      <c r="AK7" s="9">
        <v>0</v>
      </c>
      <c r="AL7" s="9">
        <v>0</v>
      </c>
      <c r="AM7" s="9">
        <v>0</v>
      </c>
      <c r="AN7" s="9">
        <v>0</v>
      </c>
      <c r="AO7" s="9">
        <v>0</v>
      </c>
      <c r="AP7" s="9">
        <v>0</v>
      </c>
      <c r="AQ7" s="9">
        <v>0</v>
      </c>
      <c r="AR7" s="9">
        <v>0</v>
      </c>
      <c r="AS7" s="9">
        <v>0</v>
      </c>
      <c r="AT7" s="9">
        <v>0</v>
      </c>
      <c r="AU7" s="9">
        <v>0</v>
      </c>
      <c r="AV7" s="9">
        <v>0</v>
      </c>
      <c r="AW7" s="9">
        <v>0</v>
      </c>
      <c r="AX7" s="9">
        <v>0</v>
      </c>
      <c r="AY7" s="9">
        <v>0</v>
      </c>
      <c r="AZ7" s="9">
        <v>0</v>
      </c>
      <c r="BA7" s="9">
        <v>0</v>
      </c>
      <c r="BB7" s="9">
        <v>0</v>
      </c>
      <c r="BC7" s="9">
        <v>0</v>
      </c>
      <c r="BD7" s="9">
        <v>0</v>
      </c>
      <c r="BE7" s="9">
        <v>0</v>
      </c>
      <c r="BF7" s="9">
        <v>0</v>
      </c>
      <c r="BG7" s="9">
        <v>0</v>
      </c>
      <c r="BH7" s="9">
        <v>0</v>
      </c>
      <c r="BI7" s="9">
        <v>0</v>
      </c>
      <c r="BJ7" s="9">
        <v>0</v>
      </c>
      <c r="BK7" s="9">
        <v>0</v>
      </c>
      <c r="BL7" s="9">
        <v>0</v>
      </c>
      <c r="BM7" s="9">
        <v>0</v>
      </c>
      <c r="BN7" s="9">
        <v>0</v>
      </c>
      <c r="BO7" s="9">
        <v>0</v>
      </c>
      <c r="BP7" s="9">
        <v>0</v>
      </c>
      <c r="BQ7" s="9">
        <v>0</v>
      </c>
      <c r="BR7" s="9">
        <v>0</v>
      </c>
      <c r="BS7" s="9">
        <v>0</v>
      </c>
      <c r="BT7" s="9">
        <v>0</v>
      </c>
      <c r="BU7" s="9">
        <v>0</v>
      </c>
      <c r="BV7" s="9">
        <v>0</v>
      </c>
      <c r="BW7" s="9">
        <v>0</v>
      </c>
      <c r="BX7" s="9">
        <v>0</v>
      </c>
      <c r="BY7" s="9">
        <v>0</v>
      </c>
      <c r="BZ7" s="9">
        <v>0</v>
      </c>
      <c r="CA7" s="9">
        <v>0</v>
      </c>
      <c r="CB7" s="9">
        <v>0</v>
      </c>
      <c r="CC7" s="9">
        <v>0</v>
      </c>
      <c r="CD7" s="9">
        <v>0</v>
      </c>
      <c r="CE7" s="9">
        <v>0</v>
      </c>
      <c r="CF7" s="9">
        <v>0</v>
      </c>
      <c r="CG7" s="9">
        <v>0</v>
      </c>
      <c r="CH7" s="9">
        <v>0</v>
      </c>
      <c r="CI7" s="9">
        <v>0</v>
      </c>
      <c r="CJ7" s="9">
        <v>0</v>
      </c>
      <c r="CK7" s="9">
        <v>0</v>
      </c>
      <c r="CL7" s="9">
        <v>0</v>
      </c>
      <c r="CM7" s="9">
        <v>0</v>
      </c>
      <c r="CN7" s="9">
        <v>0</v>
      </c>
      <c r="CO7" s="9">
        <v>0</v>
      </c>
      <c r="CP7" s="9">
        <v>0</v>
      </c>
      <c r="CQ7" s="9">
        <v>0</v>
      </c>
      <c r="CR7" s="9">
        <v>0</v>
      </c>
      <c r="CS7" s="9">
        <v>0</v>
      </c>
      <c r="CT7" s="9">
        <v>0</v>
      </c>
      <c r="CU7" s="9">
        <v>0</v>
      </c>
      <c r="CV7" s="9">
        <v>0</v>
      </c>
      <c r="CW7" s="9">
        <v>0</v>
      </c>
      <c r="CX7" s="9">
        <v>0</v>
      </c>
      <c r="CY7" s="9">
        <v>0</v>
      </c>
      <c r="CZ7" s="9">
        <v>0</v>
      </c>
      <c r="DA7" s="9">
        <v>0</v>
      </c>
      <c r="DB7" s="9">
        <v>0</v>
      </c>
      <c r="DC7" s="9">
        <v>0</v>
      </c>
      <c r="DD7" s="9">
        <v>0</v>
      </c>
      <c r="DE7" s="9">
        <v>0</v>
      </c>
      <c r="DF7" s="9">
        <v>0</v>
      </c>
      <c r="DG7" s="9">
        <v>0</v>
      </c>
      <c r="DH7" s="9">
        <v>0</v>
      </c>
      <c r="DI7" s="9">
        <v>0</v>
      </c>
      <c r="DJ7" s="9">
        <v>0</v>
      </c>
      <c r="DK7" s="9">
        <v>0</v>
      </c>
      <c r="DL7" s="9">
        <v>0</v>
      </c>
      <c r="DM7" s="9">
        <v>0</v>
      </c>
      <c r="DN7" s="9">
        <v>0</v>
      </c>
      <c r="DO7" s="9">
        <v>0</v>
      </c>
      <c r="DP7" s="9">
        <v>0</v>
      </c>
      <c r="DQ7" s="9">
        <v>0</v>
      </c>
      <c r="DR7" s="9">
        <v>0</v>
      </c>
      <c r="DS7" s="9">
        <v>0</v>
      </c>
      <c r="DT7" s="9">
        <v>0</v>
      </c>
      <c r="DU7" s="9">
        <v>0</v>
      </c>
      <c r="DV7" s="9">
        <v>0</v>
      </c>
      <c r="DW7" s="9">
        <v>0</v>
      </c>
      <c r="DX7" s="9">
        <v>0</v>
      </c>
      <c r="DY7" s="9">
        <v>0</v>
      </c>
      <c r="DZ7" s="9">
        <v>0</v>
      </c>
      <c r="EA7" s="9">
        <v>0</v>
      </c>
      <c r="EB7" s="9">
        <v>0</v>
      </c>
      <c r="EC7" s="9">
        <v>0</v>
      </c>
      <c r="ED7" s="9">
        <v>0</v>
      </c>
      <c r="EE7" s="9">
        <v>0</v>
      </c>
      <c r="EF7" s="9">
        <v>0</v>
      </c>
      <c r="EG7" s="9">
        <v>0</v>
      </c>
      <c r="EH7" s="9">
        <v>0</v>
      </c>
      <c r="EI7" s="9">
        <v>0</v>
      </c>
      <c r="EJ7" s="9">
        <v>0</v>
      </c>
      <c r="EK7" s="9">
        <v>0</v>
      </c>
      <c r="EL7" s="9">
        <v>0</v>
      </c>
      <c r="EM7" s="9">
        <v>0</v>
      </c>
      <c r="EN7" s="9">
        <v>0</v>
      </c>
      <c r="EO7" s="9">
        <v>0</v>
      </c>
      <c r="EP7" s="9">
        <v>0</v>
      </c>
      <c r="EQ7" s="9">
        <v>0</v>
      </c>
      <c r="ER7" s="9">
        <v>0</v>
      </c>
      <c r="ES7" s="9">
        <v>0</v>
      </c>
      <c r="ET7" s="9">
        <v>0</v>
      </c>
      <c r="EU7" s="9">
        <v>0</v>
      </c>
      <c r="EV7" s="9">
        <v>0</v>
      </c>
      <c r="EW7" s="9">
        <v>0</v>
      </c>
      <c r="EX7" s="9">
        <v>0</v>
      </c>
      <c r="EY7" s="9">
        <v>0</v>
      </c>
      <c r="EZ7" s="9">
        <v>0</v>
      </c>
      <c r="FA7" s="9">
        <v>0</v>
      </c>
      <c r="FB7" s="9">
        <v>0</v>
      </c>
      <c r="FC7" s="9">
        <v>0</v>
      </c>
      <c r="FD7" s="9">
        <v>0</v>
      </c>
      <c r="FE7" s="9">
        <v>0</v>
      </c>
      <c r="FF7" s="9">
        <v>0</v>
      </c>
      <c r="FG7" s="9">
        <v>0</v>
      </c>
      <c r="FH7" s="9">
        <v>0</v>
      </c>
      <c r="FI7" s="9">
        <v>0</v>
      </c>
      <c r="FJ7" s="9">
        <v>0</v>
      </c>
      <c r="FK7" s="9">
        <v>0</v>
      </c>
      <c r="FL7" s="9">
        <v>0</v>
      </c>
      <c r="FM7" s="10">
        <v>0</v>
      </c>
    </row>
    <row r="8" spans="1:169" x14ac:dyDescent="0.35">
      <c r="A8" s="8" t="s">
        <v>0</v>
      </c>
      <c r="B8" s="9" t="s">
        <v>7</v>
      </c>
      <c r="C8" s="10" t="s">
        <v>8</v>
      </c>
      <c r="D8" s="62">
        <f t="shared" si="97"/>
        <v>20</v>
      </c>
      <c r="E8" s="9">
        <v>0</v>
      </c>
      <c r="F8" s="9">
        <v>0</v>
      </c>
      <c r="G8" s="9">
        <v>0</v>
      </c>
      <c r="H8" s="9">
        <v>0</v>
      </c>
      <c r="I8" s="9">
        <v>0</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c r="AH8" s="9">
        <v>0</v>
      </c>
      <c r="AI8" s="9">
        <v>0</v>
      </c>
      <c r="AJ8" s="9">
        <v>0</v>
      </c>
      <c r="AK8" s="9">
        <v>0</v>
      </c>
      <c r="AL8" s="9">
        <v>0</v>
      </c>
      <c r="AM8" s="9">
        <v>0</v>
      </c>
      <c r="AN8" s="9">
        <v>0</v>
      </c>
      <c r="AO8" s="9">
        <v>0</v>
      </c>
      <c r="AP8" s="9">
        <v>0</v>
      </c>
      <c r="AQ8" s="9">
        <v>0</v>
      </c>
      <c r="AR8" s="9">
        <v>0</v>
      </c>
      <c r="AS8" s="9">
        <v>0</v>
      </c>
      <c r="AT8" s="9">
        <v>0</v>
      </c>
      <c r="AU8" s="9">
        <v>0</v>
      </c>
      <c r="AV8" s="9">
        <v>0</v>
      </c>
      <c r="AW8" s="9">
        <v>0</v>
      </c>
      <c r="AX8" s="9">
        <v>0</v>
      </c>
      <c r="AY8" s="9">
        <v>0</v>
      </c>
      <c r="AZ8" s="9">
        <v>0</v>
      </c>
      <c r="BA8" s="9">
        <v>19</v>
      </c>
      <c r="BB8" s="9">
        <v>17</v>
      </c>
      <c r="BC8" s="9">
        <v>20</v>
      </c>
      <c r="BD8" s="9">
        <v>20</v>
      </c>
      <c r="BE8" s="9">
        <v>15</v>
      </c>
      <c r="BF8" s="9">
        <v>15</v>
      </c>
      <c r="BG8" s="9">
        <v>19</v>
      </c>
      <c r="BH8" s="9">
        <v>18</v>
      </c>
      <c r="BI8" s="9">
        <v>9</v>
      </c>
      <c r="BJ8" s="9">
        <v>9</v>
      </c>
      <c r="BK8" s="9">
        <v>9</v>
      </c>
      <c r="BL8" s="9">
        <v>9</v>
      </c>
      <c r="BM8" s="9">
        <v>9</v>
      </c>
      <c r="BN8" s="9">
        <v>8</v>
      </c>
      <c r="BO8" s="9">
        <v>8</v>
      </c>
      <c r="BP8" s="9">
        <v>8</v>
      </c>
      <c r="BQ8" s="9">
        <v>8</v>
      </c>
      <c r="BR8" s="9">
        <v>9</v>
      </c>
      <c r="BS8" s="9">
        <v>9</v>
      </c>
      <c r="BT8" s="9">
        <v>9</v>
      </c>
      <c r="BU8" s="9">
        <v>9</v>
      </c>
      <c r="BV8" s="9">
        <v>9</v>
      </c>
      <c r="BW8" s="9">
        <v>9</v>
      </c>
      <c r="BX8" s="9">
        <v>9</v>
      </c>
      <c r="BY8" s="9">
        <v>9</v>
      </c>
      <c r="BZ8" s="9">
        <v>9</v>
      </c>
      <c r="CA8" s="9">
        <v>9</v>
      </c>
      <c r="CB8" s="9">
        <v>9</v>
      </c>
      <c r="CC8" s="9">
        <v>9</v>
      </c>
      <c r="CD8" s="9">
        <v>13</v>
      </c>
      <c r="CE8" s="9">
        <v>1</v>
      </c>
      <c r="CF8" s="9">
        <v>1</v>
      </c>
      <c r="CG8" s="9">
        <v>1</v>
      </c>
      <c r="CH8" s="9">
        <v>1</v>
      </c>
      <c r="CI8" s="9">
        <v>0</v>
      </c>
      <c r="CJ8" s="9">
        <v>0</v>
      </c>
      <c r="CK8" s="9">
        <v>0</v>
      </c>
      <c r="CL8" s="9">
        <v>0</v>
      </c>
      <c r="CM8" s="9">
        <v>0</v>
      </c>
      <c r="CN8" s="9">
        <v>0</v>
      </c>
      <c r="CO8" s="9">
        <v>0</v>
      </c>
      <c r="CP8" s="9">
        <v>0</v>
      </c>
      <c r="CQ8" s="9">
        <v>0</v>
      </c>
      <c r="CR8" s="9">
        <v>0</v>
      </c>
      <c r="CS8" s="9">
        <v>0</v>
      </c>
      <c r="CT8" s="9">
        <v>0</v>
      </c>
      <c r="CU8" s="9">
        <v>0</v>
      </c>
      <c r="CV8" s="9">
        <v>0</v>
      </c>
      <c r="CW8" s="9">
        <v>0</v>
      </c>
      <c r="CX8" s="9">
        <v>0</v>
      </c>
      <c r="CY8" s="9">
        <v>0</v>
      </c>
      <c r="CZ8" s="9">
        <v>0</v>
      </c>
      <c r="DA8" s="9">
        <v>0</v>
      </c>
      <c r="DB8" s="9">
        <v>0</v>
      </c>
      <c r="DC8" s="9">
        <v>0</v>
      </c>
      <c r="DD8" s="9">
        <v>0</v>
      </c>
      <c r="DE8" s="9">
        <v>0</v>
      </c>
      <c r="DF8" s="9">
        <v>0</v>
      </c>
      <c r="DG8" s="9">
        <v>0</v>
      </c>
      <c r="DH8" s="9">
        <v>0</v>
      </c>
      <c r="DI8" s="9">
        <v>0</v>
      </c>
      <c r="DJ8" s="9">
        <v>0</v>
      </c>
      <c r="DK8" s="9">
        <v>0</v>
      </c>
      <c r="DL8" s="9">
        <v>0</v>
      </c>
      <c r="DM8" s="9">
        <v>0</v>
      </c>
      <c r="DN8" s="9">
        <v>0</v>
      </c>
      <c r="DO8" s="9">
        <v>0</v>
      </c>
      <c r="DP8" s="9">
        <v>0</v>
      </c>
      <c r="DQ8" s="9">
        <v>0</v>
      </c>
      <c r="DR8" s="9">
        <v>0</v>
      </c>
      <c r="DS8" s="9">
        <v>0</v>
      </c>
      <c r="DT8" s="9">
        <v>0</v>
      </c>
      <c r="DU8" s="9">
        <v>0</v>
      </c>
      <c r="DV8" s="9">
        <v>0</v>
      </c>
      <c r="DW8" s="9">
        <v>0</v>
      </c>
      <c r="DX8" s="9">
        <v>0</v>
      </c>
      <c r="DY8" s="9">
        <v>0</v>
      </c>
      <c r="DZ8" s="9">
        <v>0</v>
      </c>
      <c r="EA8" s="9">
        <v>0</v>
      </c>
      <c r="EB8" s="9">
        <v>0</v>
      </c>
      <c r="EC8" s="9">
        <v>0</v>
      </c>
      <c r="ED8" s="9">
        <v>0</v>
      </c>
      <c r="EE8" s="9">
        <v>0</v>
      </c>
      <c r="EF8" s="9">
        <v>0</v>
      </c>
      <c r="EG8" s="9">
        <v>0</v>
      </c>
      <c r="EH8" s="9">
        <v>0</v>
      </c>
      <c r="EI8" s="9">
        <v>0</v>
      </c>
      <c r="EJ8" s="9">
        <v>0</v>
      </c>
      <c r="EK8" s="9">
        <v>0</v>
      </c>
      <c r="EL8" s="9">
        <v>0</v>
      </c>
      <c r="EM8" s="9">
        <v>0</v>
      </c>
      <c r="EN8" s="9">
        <v>0</v>
      </c>
      <c r="EO8" s="9">
        <v>0</v>
      </c>
      <c r="EP8" s="9">
        <v>0</v>
      </c>
      <c r="EQ8" s="9">
        <v>0</v>
      </c>
      <c r="ER8" s="9">
        <v>0</v>
      </c>
      <c r="ES8" s="9">
        <v>0</v>
      </c>
      <c r="ET8" s="9">
        <v>0</v>
      </c>
      <c r="EU8" s="9">
        <v>0</v>
      </c>
      <c r="EV8" s="9">
        <v>0</v>
      </c>
      <c r="EW8" s="9">
        <v>0</v>
      </c>
      <c r="EX8" s="9">
        <v>0</v>
      </c>
      <c r="EY8" s="9">
        <v>0</v>
      </c>
      <c r="EZ8" s="9">
        <v>0</v>
      </c>
      <c r="FA8" s="9">
        <v>0</v>
      </c>
      <c r="FB8" s="9">
        <v>0</v>
      </c>
      <c r="FC8" s="9">
        <v>0</v>
      </c>
      <c r="FD8" s="9">
        <v>0</v>
      </c>
      <c r="FE8" s="9">
        <v>0</v>
      </c>
      <c r="FF8" s="9">
        <v>0</v>
      </c>
      <c r="FG8" s="9">
        <v>0</v>
      </c>
      <c r="FH8" s="9">
        <v>0</v>
      </c>
      <c r="FI8" s="9">
        <v>0</v>
      </c>
      <c r="FJ8" s="9">
        <v>0</v>
      </c>
      <c r="FK8" s="9">
        <v>0</v>
      </c>
      <c r="FL8" s="9">
        <v>0</v>
      </c>
      <c r="FM8" s="10">
        <v>0</v>
      </c>
    </row>
    <row r="9" spans="1:169" x14ac:dyDescent="0.35">
      <c r="A9" s="8" t="s">
        <v>0</v>
      </c>
      <c r="B9" s="9" t="s">
        <v>9</v>
      </c>
      <c r="C9" s="10" t="s">
        <v>10</v>
      </c>
      <c r="D9" s="62">
        <f t="shared" si="97"/>
        <v>8</v>
      </c>
      <c r="E9" s="9">
        <v>0</v>
      </c>
      <c r="F9" s="9">
        <v>0</v>
      </c>
      <c r="G9" s="9">
        <v>0</v>
      </c>
      <c r="H9" s="9">
        <v>0</v>
      </c>
      <c r="I9" s="9">
        <v>0</v>
      </c>
      <c r="J9" s="9">
        <v>0</v>
      </c>
      <c r="K9" s="9">
        <v>0</v>
      </c>
      <c r="L9" s="9">
        <v>0</v>
      </c>
      <c r="M9" s="9">
        <v>0</v>
      </c>
      <c r="N9" s="9">
        <v>0</v>
      </c>
      <c r="O9" s="9">
        <v>0</v>
      </c>
      <c r="P9" s="9">
        <v>0</v>
      </c>
      <c r="Q9" s="9">
        <v>0</v>
      </c>
      <c r="R9" s="9">
        <v>1</v>
      </c>
      <c r="S9" s="9">
        <v>1</v>
      </c>
      <c r="T9" s="9">
        <v>0</v>
      </c>
      <c r="U9" s="9">
        <v>0</v>
      </c>
      <c r="V9" s="9">
        <v>1</v>
      </c>
      <c r="W9" s="9">
        <v>3</v>
      </c>
      <c r="X9" s="9">
        <v>3</v>
      </c>
      <c r="Y9" s="9">
        <v>6</v>
      </c>
      <c r="Z9" s="9">
        <v>5</v>
      </c>
      <c r="AA9" s="9">
        <v>5</v>
      </c>
      <c r="AB9" s="9">
        <v>5</v>
      </c>
      <c r="AC9" s="9">
        <v>6</v>
      </c>
      <c r="AD9" s="9">
        <v>7</v>
      </c>
      <c r="AE9" s="9">
        <v>7</v>
      </c>
      <c r="AF9" s="9">
        <v>8</v>
      </c>
      <c r="AG9" s="9">
        <v>8</v>
      </c>
      <c r="AH9" s="9">
        <v>8</v>
      </c>
      <c r="AI9" s="9">
        <v>8</v>
      </c>
      <c r="AJ9" s="9">
        <v>8</v>
      </c>
      <c r="AK9" s="9">
        <v>7</v>
      </c>
      <c r="AL9" s="9">
        <v>7</v>
      </c>
      <c r="AM9" s="9">
        <v>7</v>
      </c>
      <c r="AN9" s="9">
        <v>6</v>
      </c>
      <c r="AO9" s="9">
        <v>5</v>
      </c>
      <c r="AP9" s="9">
        <v>6</v>
      </c>
      <c r="AQ9" s="9">
        <v>6</v>
      </c>
      <c r="AR9" s="9">
        <v>6</v>
      </c>
      <c r="AS9" s="9">
        <v>8</v>
      </c>
      <c r="AT9" s="9">
        <v>7</v>
      </c>
      <c r="AU9" s="9">
        <v>6</v>
      </c>
      <c r="AV9" s="9">
        <v>5</v>
      </c>
      <c r="AW9" s="9">
        <v>5</v>
      </c>
      <c r="AX9" s="9">
        <v>6</v>
      </c>
      <c r="AY9" s="9">
        <v>4</v>
      </c>
      <c r="AZ9" s="9">
        <v>4</v>
      </c>
      <c r="BA9" s="9">
        <v>4</v>
      </c>
      <c r="BB9" s="9">
        <v>4</v>
      </c>
      <c r="BC9" s="9">
        <v>4</v>
      </c>
      <c r="BD9" s="9">
        <v>3</v>
      </c>
      <c r="BE9" s="9">
        <v>3</v>
      </c>
      <c r="BF9" s="9">
        <v>4</v>
      </c>
      <c r="BG9" s="9">
        <v>5</v>
      </c>
      <c r="BH9" s="9">
        <v>7</v>
      </c>
      <c r="BI9" s="9">
        <v>7</v>
      </c>
      <c r="BJ9" s="9">
        <v>7</v>
      </c>
      <c r="BK9" s="9">
        <v>7</v>
      </c>
      <c r="BL9" s="9">
        <v>7</v>
      </c>
      <c r="BM9" s="9">
        <v>8</v>
      </c>
      <c r="BN9" s="9">
        <v>7</v>
      </c>
      <c r="BO9" s="9">
        <v>7</v>
      </c>
      <c r="BP9" s="9">
        <v>6</v>
      </c>
      <c r="BQ9" s="9">
        <v>5</v>
      </c>
      <c r="BR9" s="9">
        <v>5</v>
      </c>
      <c r="BS9" s="9">
        <v>5</v>
      </c>
      <c r="BT9" s="9">
        <v>5</v>
      </c>
      <c r="BU9" s="9">
        <v>1</v>
      </c>
      <c r="BV9" s="9">
        <v>0</v>
      </c>
      <c r="BW9" s="9">
        <v>1</v>
      </c>
      <c r="BX9" s="9">
        <v>1</v>
      </c>
      <c r="BY9" s="9">
        <v>1</v>
      </c>
      <c r="BZ9" s="9">
        <v>1</v>
      </c>
      <c r="CA9" s="9">
        <v>1</v>
      </c>
      <c r="CB9" s="9">
        <v>1</v>
      </c>
      <c r="CC9" s="9">
        <v>1</v>
      </c>
      <c r="CD9" s="9">
        <v>1</v>
      </c>
      <c r="CE9" s="9">
        <v>2</v>
      </c>
      <c r="CF9" s="9">
        <v>2</v>
      </c>
      <c r="CG9" s="9">
        <v>2</v>
      </c>
      <c r="CH9" s="9">
        <v>2</v>
      </c>
      <c r="CI9" s="9">
        <v>2</v>
      </c>
      <c r="CJ9" s="9">
        <v>2</v>
      </c>
      <c r="CK9" s="9">
        <v>2</v>
      </c>
      <c r="CL9" s="9">
        <v>2</v>
      </c>
      <c r="CM9" s="9">
        <v>2</v>
      </c>
      <c r="CN9" s="9">
        <v>2</v>
      </c>
      <c r="CO9" s="9">
        <v>2</v>
      </c>
      <c r="CP9" s="9">
        <v>2</v>
      </c>
      <c r="CQ9" s="9">
        <v>2</v>
      </c>
      <c r="CR9" s="9">
        <v>0</v>
      </c>
      <c r="CS9" s="9">
        <v>0</v>
      </c>
      <c r="CT9" s="9">
        <v>0</v>
      </c>
      <c r="CU9" s="9">
        <v>0</v>
      </c>
      <c r="CV9" s="9">
        <v>0</v>
      </c>
      <c r="CW9" s="9">
        <v>0</v>
      </c>
      <c r="CX9" s="9">
        <v>0</v>
      </c>
      <c r="CY9" s="9">
        <v>0</v>
      </c>
      <c r="CZ9" s="9">
        <v>0</v>
      </c>
      <c r="DA9" s="9">
        <v>0</v>
      </c>
      <c r="DB9" s="9">
        <v>0</v>
      </c>
      <c r="DC9" s="9">
        <v>0</v>
      </c>
      <c r="DD9" s="9">
        <v>0</v>
      </c>
      <c r="DE9" s="9">
        <v>0</v>
      </c>
      <c r="DF9" s="9">
        <v>0</v>
      </c>
      <c r="DG9" s="9">
        <v>0</v>
      </c>
      <c r="DH9" s="9">
        <v>0</v>
      </c>
      <c r="DI9" s="9">
        <v>0</v>
      </c>
      <c r="DJ9" s="9">
        <v>0</v>
      </c>
      <c r="DK9" s="9">
        <v>0</v>
      </c>
      <c r="DL9" s="9">
        <v>0</v>
      </c>
      <c r="DM9" s="9">
        <v>0</v>
      </c>
      <c r="DN9" s="9">
        <v>0</v>
      </c>
      <c r="DO9" s="9">
        <v>0</v>
      </c>
      <c r="DP9" s="9">
        <v>0</v>
      </c>
      <c r="DQ9" s="9">
        <v>0</v>
      </c>
      <c r="DR9" s="9">
        <v>0</v>
      </c>
      <c r="DS9" s="9">
        <v>0</v>
      </c>
      <c r="DT9" s="9">
        <v>0</v>
      </c>
      <c r="DU9" s="9">
        <v>0</v>
      </c>
      <c r="DV9" s="9">
        <v>0</v>
      </c>
      <c r="DW9" s="9">
        <v>0</v>
      </c>
      <c r="DX9" s="9">
        <v>0</v>
      </c>
      <c r="DY9" s="9">
        <v>0</v>
      </c>
      <c r="DZ9" s="9">
        <v>0</v>
      </c>
      <c r="EA9" s="9">
        <v>0</v>
      </c>
      <c r="EB9" s="9">
        <v>0</v>
      </c>
      <c r="EC9" s="9">
        <v>0</v>
      </c>
      <c r="ED9" s="9">
        <v>0</v>
      </c>
      <c r="EE9" s="9">
        <v>0</v>
      </c>
      <c r="EF9" s="9">
        <v>0</v>
      </c>
      <c r="EG9" s="9">
        <v>0</v>
      </c>
      <c r="EH9" s="9">
        <v>0</v>
      </c>
      <c r="EI9" s="9">
        <v>0</v>
      </c>
      <c r="EJ9" s="9">
        <v>0</v>
      </c>
      <c r="EK9" s="9">
        <v>0</v>
      </c>
      <c r="EL9" s="9">
        <v>0</v>
      </c>
      <c r="EM9" s="9">
        <v>0</v>
      </c>
      <c r="EN9" s="9">
        <v>0</v>
      </c>
      <c r="EO9" s="9">
        <v>0</v>
      </c>
      <c r="EP9" s="9">
        <v>0</v>
      </c>
      <c r="EQ9" s="9">
        <v>0</v>
      </c>
      <c r="ER9" s="9">
        <v>0</v>
      </c>
      <c r="ES9" s="9">
        <v>0</v>
      </c>
      <c r="ET9" s="9">
        <v>0</v>
      </c>
      <c r="EU9" s="9">
        <v>0</v>
      </c>
      <c r="EV9" s="9">
        <v>0</v>
      </c>
      <c r="EW9" s="9">
        <v>0</v>
      </c>
      <c r="EX9" s="9">
        <v>0</v>
      </c>
      <c r="EY9" s="9">
        <v>0</v>
      </c>
      <c r="EZ9" s="9">
        <v>0</v>
      </c>
      <c r="FA9" s="9">
        <v>0</v>
      </c>
      <c r="FB9" s="9">
        <v>0</v>
      </c>
      <c r="FC9" s="9">
        <v>0</v>
      </c>
      <c r="FD9" s="9">
        <v>0</v>
      </c>
      <c r="FE9" s="9">
        <v>0</v>
      </c>
      <c r="FF9" s="9">
        <v>0</v>
      </c>
      <c r="FG9" s="9">
        <v>0</v>
      </c>
      <c r="FH9" s="9">
        <v>0</v>
      </c>
      <c r="FI9" s="9">
        <v>0</v>
      </c>
      <c r="FJ9" s="9">
        <v>0</v>
      </c>
      <c r="FK9" s="9">
        <v>0</v>
      </c>
      <c r="FL9" s="9">
        <v>0</v>
      </c>
      <c r="FM9" s="10">
        <v>0</v>
      </c>
    </row>
    <row r="10" spans="1:169" x14ac:dyDescent="0.35">
      <c r="A10" s="8" t="s">
        <v>0</v>
      </c>
      <c r="B10" s="9" t="s">
        <v>11</v>
      </c>
      <c r="C10" s="10" t="s">
        <v>12</v>
      </c>
      <c r="D10" s="62">
        <f t="shared" si="97"/>
        <v>3</v>
      </c>
      <c r="E10" s="9">
        <v>0</v>
      </c>
      <c r="F10" s="9">
        <v>0</v>
      </c>
      <c r="G10" s="9">
        <v>0</v>
      </c>
      <c r="H10" s="9">
        <v>0</v>
      </c>
      <c r="I10" s="9">
        <v>0</v>
      </c>
      <c r="J10" s="9">
        <v>0</v>
      </c>
      <c r="K10" s="9">
        <v>0</v>
      </c>
      <c r="L10" s="9">
        <v>0</v>
      </c>
      <c r="M10" s="9">
        <v>0</v>
      </c>
      <c r="N10" s="9">
        <v>0</v>
      </c>
      <c r="O10" s="9">
        <v>0</v>
      </c>
      <c r="P10" s="9">
        <v>0</v>
      </c>
      <c r="Q10" s="9">
        <v>0</v>
      </c>
      <c r="R10" s="9">
        <v>0</v>
      </c>
      <c r="S10" s="9">
        <v>0</v>
      </c>
      <c r="T10" s="9">
        <v>0</v>
      </c>
      <c r="U10" s="9">
        <v>0</v>
      </c>
      <c r="V10" s="9">
        <v>0</v>
      </c>
      <c r="W10" s="9">
        <v>0</v>
      </c>
      <c r="X10" s="9">
        <v>0</v>
      </c>
      <c r="Y10" s="9">
        <v>0</v>
      </c>
      <c r="Z10" s="9">
        <v>0</v>
      </c>
      <c r="AA10" s="9">
        <v>0</v>
      </c>
      <c r="AB10" s="9">
        <v>0</v>
      </c>
      <c r="AC10" s="9">
        <v>0</v>
      </c>
      <c r="AD10" s="9">
        <v>0</v>
      </c>
      <c r="AE10" s="9">
        <v>0</v>
      </c>
      <c r="AF10" s="9">
        <v>0</v>
      </c>
      <c r="AG10" s="9">
        <v>0</v>
      </c>
      <c r="AH10" s="9">
        <v>0</v>
      </c>
      <c r="AI10" s="9">
        <v>0</v>
      </c>
      <c r="AJ10" s="9">
        <v>0</v>
      </c>
      <c r="AK10" s="9">
        <v>0</v>
      </c>
      <c r="AL10" s="9">
        <v>0</v>
      </c>
      <c r="AM10" s="9">
        <v>0</v>
      </c>
      <c r="AN10" s="9">
        <v>0</v>
      </c>
      <c r="AO10" s="9">
        <v>0</v>
      </c>
      <c r="AP10" s="9">
        <v>0</v>
      </c>
      <c r="AQ10" s="9">
        <v>0</v>
      </c>
      <c r="AR10" s="9">
        <v>0</v>
      </c>
      <c r="AS10" s="9">
        <v>0</v>
      </c>
      <c r="AT10" s="9">
        <v>0</v>
      </c>
      <c r="AU10" s="9">
        <v>0</v>
      </c>
      <c r="AV10" s="9">
        <v>0</v>
      </c>
      <c r="AW10" s="9">
        <v>0</v>
      </c>
      <c r="AX10" s="9">
        <v>0</v>
      </c>
      <c r="AY10" s="9">
        <v>0</v>
      </c>
      <c r="AZ10" s="9">
        <v>0</v>
      </c>
      <c r="BA10" s="9">
        <v>0</v>
      </c>
      <c r="BB10" s="9">
        <v>0</v>
      </c>
      <c r="BC10" s="9">
        <v>0</v>
      </c>
      <c r="BD10" s="9">
        <v>0</v>
      </c>
      <c r="BE10" s="9">
        <v>0</v>
      </c>
      <c r="BF10" s="9">
        <v>0</v>
      </c>
      <c r="BG10" s="9">
        <v>0</v>
      </c>
      <c r="BH10" s="9">
        <v>0</v>
      </c>
      <c r="BI10" s="9">
        <v>0</v>
      </c>
      <c r="BJ10" s="9">
        <v>0</v>
      </c>
      <c r="BK10" s="9">
        <v>0</v>
      </c>
      <c r="BL10" s="9">
        <v>0</v>
      </c>
      <c r="BM10" s="9">
        <v>0</v>
      </c>
      <c r="BN10" s="9">
        <v>0</v>
      </c>
      <c r="BO10" s="9">
        <v>0</v>
      </c>
      <c r="BP10" s="9">
        <v>0</v>
      </c>
      <c r="BQ10" s="9">
        <v>0</v>
      </c>
      <c r="BR10" s="9">
        <v>0</v>
      </c>
      <c r="BS10" s="9">
        <v>0</v>
      </c>
      <c r="BT10" s="9">
        <v>0</v>
      </c>
      <c r="BU10" s="9">
        <v>0</v>
      </c>
      <c r="BV10" s="9">
        <v>3</v>
      </c>
      <c r="BW10" s="9">
        <v>3</v>
      </c>
      <c r="BX10" s="9">
        <v>0</v>
      </c>
      <c r="BY10" s="9">
        <v>0</v>
      </c>
      <c r="BZ10" s="9">
        <v>3</v>
      </c>
      <c r="CA10" s="9">
        <v>1</v>
      </c>
      <c r="CB10" s="9">
        <v>0</v>
      </c>
      <c r="CC10" s="9">
        <v>0</v>
      </c>
      <c r="CD10" s="9">
        <v>0</v>
      </c>
      <c r="CE10" s="9">
        <v>0</v>
      </c>
      <c r="CF10" s="9">
        <v>0</v>
      </c>
      <c r="CG10" s="9">
        <v>0</v>
      </c>
      <c r="CH10" s="9">
        <v>0</v>
      </c>
      <c r="CI10" s="9">
        <v>0</v>
      </c>
      <c r="CJ10" s="9">
        <v>0</v>
      </c>
      <c r="CK10" s="9">
        <v>0</v>
      </c>
      <c r="CL10" s="9">
        <v>0</v>
      </c>
      <c r="CM10" s="9">
        <v>0</v>
      </c>
      <c r="CN10" s="9">
        <v>0</v>
      </c>
      <c r="CO10" s="9">
        <v>0</v>
      </c>
      <c r="CP10" s="9">
        <v>0</v>
      </c>
      <c r="CQ10" s="9">
        <v>0</v>
      </c>
      <c r="CR10" s="9">
        <v>0</v>
      </c>
      <c r="CS10" s="9">
        <v>0</v>
      </c>
      <c r="CT10" s="9">
        <v>0</v>
      </c>
      <c r="CU10" s="9">
        <v>0</v>
      </c>
      <c r="CV10" s="9">
        <v>0</v>
      </c>
      <c r="CW10" s="9">
        <v>0</v>
      </c>
      <c r="CX10" s="9">
        <v>0</v>
      </c>
      <c r="CY10" s="9">
        <v>0</v>
      </c>
      <c r="CZ10" s="9">
        <v>0</v>
      </c>
      <c r="DA10" s="9">
        <v>0</v>
      </c>
      <c r="DB10" s="9">
        <v>0</v>
      </c>
      <c r="DC10" s="9">
        <v>0</v>
      </c>
      <c r="DD10" s="9">
        <v>0</v>
      </c>
      <c r="DE10" s="9">
        <v>0</v>
      </c>
      <c r="DF10" s="9">
        <v>0</v>
      </c>
      <c r="DG10" s="9">
        <v>0</v>
      </c>
      <c r="DH10" s="9">
        <v>0</v>
      </c>
      <c r="DI10" s="9">
        <v>0</v>
      </c>
      <c r="DJ10" s="9">
        <v>0</v>
      </c>
      <c r="DK10" s="9">
        <v>0</v>
      </c>
      <c r="DL10" s="9">
        <v>0</v>
      </c>
      <c r="DM10" s="9">
        <v>0</v>
      </c>
      <c r="DN10" s="9">
        <v>0</v>
      </c>
      <c r="DO10" s="9">
        <v>0</v>
      </c>
      <c r="DP10" s="9">
        <v>0</v>
      </c>
      <c r="DQ10" s="9">
        <v>0</v>
      </c>
      <c r="DR10" s="9">
        <v>0</v>
      </c>
      <c r="DS10" s="9">
        <v>0</v>
      </c>
      <c r="DT10" s="9">
        <v>0</v>
      </c>
      <c r="DU10" s="9">
        <v>0</v>
      </c>
      <c r="DV10" s="9">
        <v>0</v>
      </c>
      <c r="DW10" s="9">
        <v>0</v>
      </c>
      <c r="DX10" s="9">
        <v>0</v>
      </c>
      <c r="DY10" s="9">
        <v>0</v>
      </c>
      <c r="DZ10" s="9">
        <v>0</v>
      </c>
      <c r="EA10" s="9">
        <v>0</v>
      </c>
      <c r="EB10" s="9">
        <v>0</v>
      </c>
      <c r="EC10" s="9">
        <v>0</v>
      </c>
      <c r="ED10" s="9">
        <v>0</v>
      </c>
      <c r="EE10" s="9">
        <v>0</v>
      </c>
      <c r="EF10" s="9">
        <v>0</v>
      </c>
      <c r="EG10" s="9">
        <v>0</v>
      </c>
      <c r="EH10" s="9">
        <v>0</v>
      </c>
      <c r="EI10" s="9">
        <v>0</v>
      </c>
      <c r="EJ10" s="9">
        <v>0</v>
      </c>
      <c r="EK10" s="9">
        <v>0</v>
      </c>
      <c r="EL10" s="9">
        <v>0</v>
      </c>
      <c r="EM10" s="9">
        <v>0</v>
      </c>
      <c r="EN10" s="9">
        <v>0</v>
      </c>
      <c r="EO10" s="9">
        <v>0</v>
      </c>
      <c r="EP10" s="9">
        <v>0</v>
      </c>
      <c r="EQ10" s="9">
        <v>0</v>
      </c>
      <c r="ER10" s="9">
        <v>0</v>
      </c>
      <c r="ES10" s="9">
        <v>0</v>
      </c>
      <c r="ET10" s="9">
        <v>0</v>
      </c>
      <c r="EU10" s="9">
        <v>0</v>
      </c>
      <c r="EV10" s="9">
        <v>0</v>
      </c>
      <c r="EW10" s="9">
        <v>0</v>
      </c>
      <c r="EX10" s="9">
        <v>0</v>
      </c>
      <c r="EY10" s="9">
        <v>0</v>
      </c>
      <c r="EZ10" s="9">
        <v>0</v>
      </c>
      <c r="FA10" s="9">
        <v>0</v>
      </c>
      <c r="FB10" s="9">
        <v>0</v>
      </c>
      <c r="FC10" s="9">
        <v>0</v>
      </c>
      <c r="FD10" s="9">
        <v>0</v>
      </c>
      <c r="FE10" s="9">
        <v>0</v>
      </c>
      <c r="FF10" s="9">
        <v>0</v>
      </c>
      <c r="FG10" s="9">
        <v>0</v>
      </c>
      <c r="FH10" s="9">
        <v>0</v>
      </c>
      <c r="FI10" s="9">
        <v>0</v>
      </c>
      <c r="FJ10" s="9">
        <v>0</v>
      </c>
      <c r="FK10" s="9">
        <v>0</v>
      </c>
      <c r="FL10" s="9">
        <v>0</v>
      </c>
      <c r="FM10" s="10">
        <v>0</v>
      </c>
    </row>
    <row r="11" spans="1:169" x14ac:dyDescent="0.35">
      <c r="A11" s="8" t="s">
        <v>0</v>
      </c>
      <c r="B11" s="9" t="s">
        <v>13</v>
      </c>
      <c r="C11" s="10" t="s">
        <v>14</v>
      </c>
      <c r="D11" s="62">
        <f t="shared" si="97"/>
        <v>0</v>
      </c>
      <c r="E11" s="9">
        <v>0</v>
      </c>
      <c r="F11" s="9">
        <v>0</v>
      </c>
      <c r="G11" s="9">
        <v>0</v>
      </c>
      <c r="H11" s="9">
        <v>0</v>
      </c>
      <c r="I11" s="9">
        <v>0</v>
      </c>
      <c r="J11" s="9">
        <v>0</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c r="AH11" s="9">
        <v>0</v>
      </c>
      <c r="AI11" s="9">
        <v>0</v>
      </c>
      <c r="AJ11" s="9">
        <v>0</v>
      </c>
      <c r="AK11" s="9">
        <v>0</v>
      </c>
      <c r="AL11" s="9">
        <v>0</v>
      </c>
      <c r="AM11" s="9">
        <v>0</v>
      </c>
      <c r="AN11" s="9">
        <v>0</v>
      </c>
      <c r="AO11" s="9">
        <v>0</v>
      </c>
      <c r="AP11" s="9">
        <v>0</v>
      </c>
      <c r="AQ11" s="9">
        <v>0</v>
      </c>
      <c r="AR11" s="9">
        <v>0</v>
      </c>
      <c r="AS11" s="9">
        <v>0</v>
      </c>
      <c r="AT11" s="9">
        <v>0</v>
      </c>
      <c r="AU11" s="9">
        <v>0</v>
      </c>
      <c r="AV11" s="9">
        <v>0</v>
      </c>
      <c r="AW11" s="9">
        <v>0</v>
      </c>
      <c r="AX11" s="9">
        <v>0</v>
      </c>
      <c r="AY11" s="9">
        <v>0</v>
      </c>
      <c r="AZ11" s="9">
        <v>0</v>
      </c>
      <c r="BA11" s="9">
        <v>0</v>
      </c>
      <c r="BB11" s="9">
        <v>0</v>
      </c>
      <c r="BC11" s="9">
        <v>0</v>
      </c>
      <c r="BD11" s="9">
        <v>0</v>
      </c>
      <c r="BE11" s="9">
        <v>0</v>
      </c>
      <c r="BF11" s="9">
        <v>0</v>
      </c>
      <c r="BG11" s="9">
        <v>0</v>
      </c>
      <c r="BH11" s="9">
        <v>0</v>
      </c>
      <c r="BI11" s="9">
        <v>0</v>
      </c>
      <c r="BJ11" s="9">
        <v>0</v>
      </c>
      <c r="BK11" s="9">
        <v>0</v>
      </c>
      <c r="BL11" s="9">
        <v>0</v>
      </c>
      <c r="BM11" s="9">
        <v>0</v>
      </c>
      <c r="BN11" s="9">
        <v>0</v>
      </c>
      <c r="BO11" s="9">
        <v>0</v>
      </c>
      <c r="BP11" s="9">
        <v>0</v>
      </c>
      <c r="BQ11" s="9">
        <v>0</v>
      </c>
      <c r="BR11" s="9">
        <v>0</v>
      </c>
      <c r="BS11" s="9">
        <v>0</v>
      </c>
      <c r="BT11" s="9">
        <v>0</v>
      </c>
      <c r="BU11" s="9">
        <v>0</v>
      </c>
      <c r="BV11" s="9">
        <v>0</v>
      </c>
      <c r="BW11" s="9">
        <v>0</v>
      </c>
      <c r="BX11" s="9">
        <v>0</v>
      </c>
      <c r="BY11" s="9">
        <v>0</v>
      </c>
      <c r="BZ11" s="9">
        <v>0</v>
      </c>
      <c r="CA11" s="9">
        <v>0</v>
      </c>
      <c r="CB11" s="9">
        <v>0</v>
      </c>
      <c r="CC11" s="9">
        <v>0</v>
      </c>
      <c r="CD11" s="9">
        <v>0</v>
      </c>
      <c r="CE11" s="9">
        <v>0</v>
      </c>
      <c r="CF11" s="9">
        <v>0</v>
      </c>
      <c r="CG11" s="9">
        <v>0</v>
      </c>
      <c r="CH11" s="9">
        <v>0</v>
      </c>
      <c r="CI11" s="9">
        <v>0</v>
      </c>
      <c r="CJ11" s="9">
        <v>0</v>
      </c>
      <c r="CK11" s="9">
        <v>0</v>
      </c>
      <c r="CL11" s="9">
        <v>0</v>
      </c>
      <c r="CM11" s="9">
        <v>0</v>
      </c>
      <c r="CN11" s="9">
        <v>0</v>
      </c>
      <c r="CO11" s="9">
        <v>0</v>
      </c>
      <c r="CP11" s="9">
        <v>0</v>
      </c>
      <c r="CQ11" s="9">
        <v>0</v>
      </c>
      <c r="CR11" s="9">
        <v>0</v>
      </c>
      <c r="CS11" s="9">
        <v>0</v>
      </c>
      <c r="CT11" s="9">
        <v>0</v>
      </c>
      <c r="CU11" s="9">
        <v>0</v>
      </c>
      <c r="CV11" s="9">
        <v>0</v>
      </c>
      <c r="CW11" s="9">
        <v>0</v>
      </c>
      <c r="CX11" s="9">
        <v>0</v>
      </c>
      <c r="CY11" s="9">
        <v>0</v>
      </c>
      <c r="CZ11" s="9">
        <v>0</v>
      </c>
      <c r="DA11" s="9">
        <v>0</v>
      </c>
      <c r="DB11" s="9">
        <v>0</v>
      </c>
      <c r="DC11" s="9">
        <v>0</v>
      </c>
      <c r="DD11" s="9">
        <v>0</v>
      </c>
      <c r="DE11" s="9">
        <v>0</v>
      </c>
      <c r="DF11" s="9">
        <v>0</v>
      </c>
      <c r="DG11" s="9">
        <v>0</v>
      </c>
      <c r="DH11" s="9">
        <v>0</v>
      </c>
      <c r="DI11" s="9">
        <v>0</v>
      </c>
      <c r="DJ11" s="9">
        <v>0</v>
      </c>
      <c r="DK11" s="9">
        <v>0</v>
      </c>
      <c r="DL11" s="9">
        <v>0</v>
      </c>
      <c r="DM11" s="9">
        <v>0</v>
      </c>
      <c r="DN11" s="9">
        <v>0</v>
      </c>
      <c r="DO11" s="9">
        <v>0</v>
      </c>
      <c r="DP11" s="9">
        <v>0</v>
      </c>
      <c r="DQ11" s="9">
        <v>0</v>
      </c>
      <c r="DR11" s="9">
        <v>0</v>
      </c>
      <c r="DS11" s="9">
        <v>0</v>
      </c>
      <c r="DT11" s="9">
        <v>0</v>
      </c>
      <c r="DU11" s="9">
        <v>0</v>
      </c>
      <c r="DV11" s="9">
        <v>0</v>
      </c>
      <c r="DW11" s="9">
        <v>0</v>
      </c>
      <c r="DX11" s="9">
        <v>0</v>
      </c>
      <c r="DY11" s="9">
        <v>0</v>
      </c>
      <c r="DZ11" s="9">
        <v>0</v>
      </c>
      <c r="EA11" s="9">
        <v>0</v>
      </c>
      <c r="EB11" s="9">
        <v>0</v>
      </c>
      <c r="EC11" s="9">
        <v>0</v>
      </c>
      <c r="ED11" s="9">
        <v>0</v>
      </c>
      <c r="EE11" s="9">
        <v>0</v>
      </c>
      <c r="EF11" s="9">
        <v>0</v>
      </c>
      <c r="EG11" s="9">
        <v>0</v>
      </c>
      <c r="EH11" s="9">
        <v>0</v>
      </c>
      <c r="EI11" s="9">
        <v>0</v>
      </c>
      <c r="EJ11" s="9">
        <v>0</v>
      </c>
      <c r="EK11" s="9">
        <v>0</v>
      </c>
      <c r="EL11" s="9">
        <v>0</v>
      </c>
      <c r="EM11" s="9">
        <v>0</v>
      </c>
      <c r="EN11" s="9">
        <v>0</v>
      </c>
      <c r="EO11" s="9">
        <v>0</v>
      </c>
      <c r="EP11" s="9">
        <v>0</v>
      </c>
      <c r="EQ11" s="9">
        <v>0</v>
      </c>
      <c r="ER11" s="9">
        <v>0</v>
      </c>
      <c r="ES11" s="9">
        <v>0</v>
      </c>
      <c r="ET11" s="9">
        <v>0</v>
      </c>
      <c r="EU11" s="9">
        <v>0</v>
      </c>
      <c r="EV11" s="9">
        <v>0</v>
      </c>
      <c r="EW11" s="9">
        <v>0</v>
      </c>
      <c r="EX11" s="9">
        <v>0</v>
      </c>
      <c r="EY11" s="9">
        <v>0</v>
      </c>
      <c r="EZ11" s="9">
        <v>0</v>
      </c>
      <c r="FA11" s="9">
        <v>0</v>
      </c>
      <c r="FB11" s="9">
        <v>0</v>
      </c>
      <c r="FC11" s="9">
        <v>0</v>
      </c>
      <c r="FD11" s="9">
        <v>0</v>
      </c>
      <c r="FE11" s="9">
        <v>0</v>
      </c>
      <c r="FF11" s="9">
        <v>0</v>
      </c>
      <c r="FG11" s="9">
        <v>0</v>
      </c>
      <c r="FH11" s="9">
        <v>0</v>
      </c>
      <c r="FI11" s="9">
        <v>0</v>
      </c>
      <c r="FJ11" s="9">
        <v>0</v>
      </c>
      <c r="FK11" s="9">
        <v>0</v>
      </c>
      <c r="FL11" s="9">
        <v>0</v>
      </c>
      <c r="FM11" s="10">
        <v>0</v>
      </c>
    </row>
    <row r="12" spans="1:169" x14ac:dyDescent="0.35">
      <c r="A12" s="8" t="s">
        <v>0</v>
      </c>
      <c r="B12" s="9" t="s">
        <v>15</v>
      </c>
      <c r="C12" s="10" t="s">
        <v>16</v>
      </c>
      <c r="D12" s="62">
        <f t="shared" si="97"/>
        <v>28</v>
      </c>
      <c r="E12" s="9">
        <v>0</v>
      </c>
      <c r="F12" s="9">
        <v>0</v>
      </c>
      <c r="G12" s="9">
        <v>0</v>
      </c>
      <c r="H12" s="9">
        <v>0</v>
      </c>
      <c r="I12" s="9">
        <v>0</v>
      </c>
      <c r="J12" s="9">
        <v>0</v>
      </c>
      <c r="K12" s="9">
        <v>0</v>
      </c>
      <c r="L12" s="9">
        <v>0</v>
      </c>
      <c r="M12" s="9">
        <v>0</v>
      </c>
      <c r="N12" s="9">
        <v>0</v>
      </c>
      <c r="O12" s="9">
        <v>0</v>
      </c>
      <c r="P12" s="9">
        <v>0</v>
      </c>
      <c r="Q12" s="9">
        <v>0</v>
      </c>
      <c r="R12" s="9">
        <v>4</v>
      </c>
      <c r="S12" s="9">
        <v>0</v>
      </c>
      <c r="T12" s="9">
        <v>6</v>
      </c>
      <c r="U12" s="9">
        <v>6</v>
      </c>
      <c r="V12" s="9">
        <v>8</v>
      </c>
      <c r="W12" s="9">
        <v>7</v>
      </c>
      <c r="X12" s="9">
        <v>6</v>
      </c>
      <c r="Y12" s="9">
        <v>12</v>
      </c>
      <c r="Z12" s="9">
        <v>15</v>
      </c>
      <c r="AA12" s="9">
        <v>18</v>
      </c>
      <c r="AB12" s="9">
        <v>17</v>
      </c>
      <c r="AC12" s="9">
        <v>15</v>
      </c>
      <c r="AD12" s="9">
        <v>14</v>
      </c>
      <c r="AE12" s="9">
        <v>13</v>
      </c>
      <c r="AF12" s="9">
        <v>13</v>
      </c>
      <c r="AG12" s="9">
        <v>12</v>
      </c>
      <c r="AH12" s="9">
        <v>11</v>
      </c>
      <c r="AI12" s="9">
        <v>11</v>
      </c>
      <c r="AJ12" s="9">
        <v>11</v>
      </c>
      <c r="AK12" s="9">
        <v>13</v>
      </c>
      <c r="AL12" s="9">
        <v>9</v>
      </c>
      <c r="AM12" s="9">
        <v>9</v>
      </c>
      <c r="AN12" s="9">
        <v>11</v>
      </c>
      <c r="AO12" s="9">
        <v>8</v>
      </c>
      <c r="AP12" s="9">
        <v>9</v>
      </c>
      <c r="AQ12" s="9">
        <v>14</v>
      </c>
      <c r="AR12" s="9">
        <v>17</v>
      </c>
      <c r="AS12" s="9">
        <v>14</v>
      </c>
      <c r="AT12" s="9">
        <v>13</v>
      </c>
      <c r="AU12" s="9">
        <v>18</v>
      </c>
      <c r="AV12" s="9">
        <v>19</v>
      </c>
      <c r="AW12" s="9">
        <v>17</v>
      </c>
      <c r="AX12" s="9">
        <v>16</v>
      </c>
      <c r="AY12" s="9">
        <v>19</v>
      </c>
      <c r="AZ12" s="9">
        <v>28</v>
      </c>
      <c r="BA12" s="9">
        <v>20</v>
      </c>
      <c r="BB12" s="9">
        <v>19</v>
      </c>
      <c r="BC12" s="9">
        <v>18</v>
      </c>
      <c r="BD12" s="9">
        <v>18</v>
      </c>
      <c r="BE12" s="9">
        <v>18</v>
      </c>
      <c r="BF12" s="9">
        <v>21</v>
      </c>
      <c r="BG12" s="9">
        <v>18</v>
      </c>
      <c r="BH12" s="9">
        <v>16</v>
      </c>
      <c r="BI12" s="9">
        <v>17</v>
      </c>
      <c r="BJ12" s="9">
        <v>16</v>
      </c>
      <c r="BK12" s="9">
        <v>16</v>
      </c>
      <c r="BL12" s="9">
        <v>19</v>
      </c>
      <c r="BM12" s="9">
        <v>14</v>
      </c>
      <c r="BN12" s="9">
        <v>20</v>
      </c>
      <c r="BO12" s="9">
        <v>20</v>
      </c>
      <c r="BP12" s="9">
        <v>18</v>
      </c>
      <c r="BQ12" s="9">
        <v>18</v>
      </c>
      <c r="BR12" s="9">
        <v>16</v>
      </c>
      <c r="BS12" s="9">
        <v>16</v>
      </c>
      <c r="BT12" s="9">
        <v>16</v>
      </c>
      <c r="BU12" s="9">
        <v>16</v>
      </c>
      <c r="BV12" s="9">
        <v>15</v>
      </c>
      <c r="BW12" s="9">
        <v>15</v>
      </c>
      <c r="BX12" s="9">
        <v>12</v>
      </c>
      <c r="BY12" s="9">
        <v>12</v>
      </c>
      <c r="BZ12" s="9">
        <v>14</v>
      </c>
      <c r="CA12" s="9">
        <v>14</v>
      </c>
      <c r="CB12" s="9">
        <v>13</v>
      </c>
      <c r="CC12" s="9">
        <v>11</v>
      </c>
      <c r="CD12" s="9">
        <v>11</v>
      </c>
      <c r="CE12" s="9">
        <v>8</v>
      </c>
      <c r="CF12" s="9">
        <v>8</v>
      </c>
      <c r="CG12" s="9">
        <v>8</v>
      </c>
      <c r="CH12" s="9">
        <v>6</v>
      </c>
      <c r="CI12" s="9">
        <v>7</v>
      </c>
      <c r="CJ12" s="9">
        <v>6</v>
      </c>
      <c r="CK12" s="9">
        <v>7</v>
      </c>
      <c r="CL12" s="9">
        <v>9</v>
      </c>
      <c r="CM12" s="9">
        <v>9</v>
      </c>
      <c r="CN12" s="9">
        <v>9</v>
      </c>
      <c r="CO12" s="9">
        <v>6</v>
      </c>
      <c r="CP12" s="9">
        <v>6</v>
      </c>
      <c r="CQ12" s="9">
        <v>6</v>
      </c>
      <c r="CR12" s="9">
        <v>6</v>
      </c>
      <c r="CS12" s="9">
        <v>5</v>
      </c>
      <c r="CT12" s="9">
        <v>5</v>
      </c>
      <c r="CU12" s="9">
        <v>5</v>
      </c>
      <c r="CV12" s="9">
        <v>3</v>
      </c>
      <c r="CW12" s="9">
        <v>3</v>
      </c>
      <c r="CX12" s="9">
        <v>3</v>
      </c>
      <c r="CY12" s="9">
        <v>4</v>
      </c>
      <c r="CZ12" s="9">
        <v>4</v>
      </c>
      <c r="DA12" s="9">
        <v>4</v>
      </c>
      <c r="DB12" s="9">
        <v>2</v>
      </c>
      <c r="DC12" s="9">
        <v>1</v>
      </c>
      <c r="DD12" s="9">
        <v>1</v>
      </c>
      <c r="DE12" s="9">
        <v>1</v>
      </c>
      <c r="DF12" s="9">
        <v>1</v>
      </c>
      <c r="DG12" s="9">
        <v>1</v>
      </c>
      <c r="DH12" s="9">
        <v>1</v>
      </c>
      <c r="DI12" s="9">
        <v>1</v>
      </c>
      <c r="DJ12" s="9">
        <v>3</v>
      </c>
      <c r="DK12" s="9">
        <v>3</v>
      </c>
      <c r="DL12" s="9">
        <v>3</v>
      </c>
      <c r="DM12" s="9">
        <v>3</v>
      </c>
      <c r="DN12" s="9">
        <v>3</v>
      </c>
      <c r="DO12" s="9">
        <v>3</v>
      </c>
      <c r="DP12" s="9">
        <v>3</v>
      </c>
      <c r="DQ12" s="9">
        <v>3</v>
      </c>
      <c r="DR12" s="9">
        <v>4</v>
      </c>
      <c r="DS12" s="9">
        <v>3</v>
      </c>
      <c r="DT12" s="9">
        <v>3</v>
      </c>
      <c r="DU12" s="9">
        <v>1</v>
      </c>
      <c r="DV12" s="9">
        <v>2</v>
      </c>
      <c r="DW12" s="9">
        <v>1</v>
      </c>
      <c r="DX12" s="9">
        <v>1</v>
      </c>
      <c r="DY12" s="9">
        <v>1</v>
      </c>
      <c r="DZ12" s="9">
        <v>2</v>
      </c>
      <c r="EA12" s="9">
        <v>2</v>
      </c>
      <c r="EB12" s="9">
        <v>2</v>
      </c>
      <c r="EC12" s="9">
        <v>2</v>
      </c>
      <c r="ED12" s="9">
        <v>2</v>
      </c>
      <c r="EE12" s="9">
        <v>1</v>
      </c>
      <c r="EF12" s="9">
        <v>0</v>
      </c>
      <c r="EG12" s="9">
        <v>0</v>
      </c>
      <c r="EH12" s="9">
        <v>0</v>
      </c>
      <c r="EI12" s="9">
        <v>0</v>
      </c>
      <c r="EJ12" s="9">
        <v>0</v>
      </c>
      <c r="EK12" s="9">
        <v>0</v>
      </c>
      <c r="EL12" s="9">
        <v>0</v>
      </c>
      <c r="EM12" s="9">
        <v>1</v>
      </c>
      <c r="EN12" s="9">
        <v>1</v>
      </c>
      <c r="EO12" s="9">
        <v>1</v>
      </c>
      <c r="EP12" s="9">
        <v>1</v>
      </c>
      <c r="EQ12" s="9">
        <v>1</v>
      </c>
      <c r="ER12" s="9">
        <v>1</v>
      </c>
      <c r="ES12" s="9">
        <v>1</v>
      </c>
      <c r="ET12" s="9">
        <v>0</v>
      </c>
      <c r="EU12" s="9">
        <v>0</v>
      </c>
      <c r="EV12" s="9">
        <v>0</v>
      </c>
      <c r="EW12" s="9">
        <v>0</v>
      </c>
      <c r="EX12" s="9">
        <v>0</v>
      </c>
      <c r="EY12" s="9">
        <v>0</v>
      </c>
      <c r="EZ12" s="9">
        <v>0</v>
      </c>
      <c r="FA12" s="9">
        <v>0</v>
      </c>
      <c r="FB12" s="9">
        <v>0</v>
      </c>
      <c r="FC12" s="9">
        <v>0</v>
      </c>
      <c r="FD12" s="9">
        <v>0</v>
      </c>
      <c r="FE12" s="9">
        <v>0</v>
      </c>
      <c r="FF12" s="9">
        <v>0</v>
      </c>
      <c r="FG12" s="9">
        <v>0</v>
      </c>
      <c r="FH12" s="9">
        <v>0</v>
      </c>
      <c r="FI12" s="9">
        <v>0</v>
      </c>
      <c r="FJ12" s="9">
        <v>0</v>
      </c>
      <c r="FK12" s="9">
        <v>1</v>
      </c>
      <c r="FL12" s="9">
        <v>1</v>
      </c>
      <c r="FM12" s="10">
        <v>1</v>
      </c>
    </row>
    <row r="13" spans="1:169" x14ac:dyDescent="0.35">
      <c r="A13" s="8" t="s">
        <v>0</v>
      </c>
      <c r="B13" s="9" t="s">
        <v>17</v>
      </c>
      <c r="C13" s="10" t="s">
        <v>18</v>
      </c>
      <c r="D13" s="62">
        <f t="shared" si="97"/>
        <v>24</v>
      </c>
      <c r="E13" s="9">
        <v>0</v>
      </c>
      <c r="F13" s="9">
        <v>0</v>
      </c>
      <c r="G13" s="9">
        <v>0</v>
      </c>
      <c r="H13" s="9">
        <v>0</v>
      </c>
      <c r="I13" s="9">
        <v>0</v>
      </c>
      <c r="J13" s="9">
        <v>0</v>
      </c>
      <c r="K13" s="9">
        <v>0</v>
      </c>
      <c r="L13" s="9">
        <v>0</v>
      </c>
      <c r="M13" s="9">
        <v>0</v>
      </c>
      <c r="N13" s="9">
        <v>0</v>
      </c>
      <c r="O13" s="9">
        <v>0</v>
      </c>
      <c r="P13" s="9">
        <v>0</v>
      </c>
      <c r="Q13" s="9">
        <v>0</v>
      </c>
      <c r="R13" s="9">
        <v>0</v>
      </c>
      <c r="S13" s="9">
        <v>0</v>
      </c>
      <c r="T13" s="9">
        <v>0</v>
      </c>
      <c r="U13" s="9">
        <v>0</v>
      </c>
      <c r="V13" s="9">
        <v>0</v>
      </c>
      <c r="W13" s="9">
        <v>9</v>
      </c>
      <c r="X13" s="9">
        <v>10</v>
      </c>
      <c r="Y13" s="9">
        <v>12</v>
      </c>
      <c r="Z13" s="9">
        <v>15</v>
      </c>
      <c r="AA13" s="9">
        <v>17</v>
      </c>
      <c r="AB13" s="9">
        <v>19</v>
      </c>
      <c r="AC13" s="9">
        <v>19</v>
      </c>
      <c r="AD13" s="9">
        <v>19</v>
      </c>
      <c r="AE13" s="9">
        <v>15</v>
      </c>
      <c r="AF13" s="9">
        <v>16</v>
      </c>
      <c r="AG13" s="9">
        <v>17</v>
      </c>
      <c r="AH13" s="9">
        <v>15</v>
      </c>
      <c r="AI13" s="9">
        <v>15</v>
      </c>
      <c r="AJ13" s="9">
        <v>24</v>
      </c>
      <c r="AK13" s="9">
        <v>16</v>
      </c>
      <c r="AL13" s="9">
        <v>15</v>
      </c>
      <c r="AM13" s="9">
        <v>16</v>
      </c>
      <c r="AN13" s="9">
        <v>17</v>
      </c>
      <c r="AO13" s="9">
        <v>14</v>
      </c>
      <c r="AP13" s="9">
        <v>14</v>
      </c>
      <c r="AQ13" s="9">
        <v>18</v>
      </c>
      <c r="AR13" s="9">
        <v>0</v>
      </c>
      <c r="AS13" s="9">
        <v>19</v>
      </c>
      <c r="AT13" s="9">
        <v>19</v>
      </c>
      <c r="AU13" s="9">
        <v>14</v>
      </c>
      <c r="AV13" s="9">
        <v>14</v>
      </c>
      <c r="AW13" s="9">
        <v>10</v>
      </c>
      <c r="AX13" s="9">
        <v>9</v>
      </c>
      <c r="AY13" s="9">
        <v>7</v>
      </c>
      <c r="AZ13" s="9">
        <v>6</v>
      </c>
      <c r="BA13" s="9">
        <v>7</v>
      </c>
      <c r="BB13" s="9">
        <v>7</v>
      </c>
      <c r="BC13" s="9">
        <v>0</v>
      </c>
      <c r="BD13" s="9">
        <v>0</v>
      </c>
      <c r="BE13" s="9">
        <v>0</v>
      </c>
      <c r="BF13" s="9">
        <v>0</v>
      </c>
      <c r="BG13" s="9">
        <v>0</v>
      </c>
      <c r="BH13" s="9">
        <v>0</v>
      </c>
      <c r="BI13" s="9">
        <v>0</v>
      </c>
      <c r="BJ13" s="9">
        <v>0</v>
      </c>
      <c r="BK13" s="9">
        <v>0</v>
      </c>
      <c r="BL13" s="9">
        <v>0</v>
      </c>
      <c r="BM13" s="9">
        <v>0</v>
      </c>
      <c r="BN13" s="9">
        <v>0</v>
      </c>
      <c r="BO13" s="9">
        <v>0</v>
      </c>
      <c r="BP13" s="9">
        <v>0</v>
      </c>
      <c r="BQ13" s="9">
        <v>0</v>
      </c>
      <c r="BR13" s="9">
        <v>0</v>
      </c>
      <c r="BS13" s="9">
        <v>0</v>
      </c>
      <c r="BT13" s="9">
        <v>0</v>
      </c>
      <c r="BU13" s="9">
        <v>0</v>
      </c>
      <c r="BV13" s="9">
        <v>0</v>
      </c>
      <c r="BW13" s="9">
        <v>0</v>
      </c>
      <c r="BX13" s="9">
        <v>0</v>
      </c>
      <c r="BY13" s="9">
        <v>0</v>
      </c>
      <c r="BZ13" s="9">
        <v>0</v>
      </c>
      <c r="CA13" s="9">
        <v>0</v>
      </c>
      <c r="CB13" s="9">
        <v>0</v>
      </c>
      <c r="CC13" s="9">
        <v>0</v>
      </c>
      <c r="CD13" s="9">
        <v>0</v>
      </c>
      <c r="CE13" s="9">
        <v>0</v>
      </c>
      <c r="CF13" s="9">
        <v>0</v>
      </c>
      <c r="CG13" s="9">
        <v>0</v>
      </c>
      <c r="CH13" s="9">
        <v>0</v>
      </c>
      <c r="CI13" s="9">
        <v>0</v>
      </c>
      <c r="CJ13" s="9">
        <v>0</v>
      </c>
      <c r="CK13" s="9">
        <v>0</v>
      </c>
      <c r="CL13" s="9">
        <v>0</v>
      </c>
      <c r="CM13" s="9">
        <v>0</v>
      </c>
      <c r="CN13" s="9">
        <v>0</v>
      </c>
      <c r="CO13" s="9">
        <v>0</v>
      </c>
      <c r="CP13" s="9">
        <v>0</v>
      </c>
      <c r="CQ13" s="9">
        <v>0</v>
      </c>
      <c r="CR13" s="9">
        <v>0</v>
      </c>
      <c r="CS13" s="9">
        <v>0</v>
      </c>
      <c r="CT13" s="9">
        <v>0</v>
      </c>
      <c r="CU13" s="9">
        <v>0</v>
      </c>
      <c r="CV13" s="9">
        <v>0</v>
      </c>
      <c r="CW13" s="9">
        <v>0</v>
      </c>
      <c r="CX13" s="9">
        <v>0</v>
      </c>
      <c r="CY13" s="9">
        <v>0</v>
      </c>
      <c r="CZ13" s="9">
        <v>0</v>
      </c>
      <c r="DA13" s="9">
        <v>0</v>
      </c>
      <c r="DB13" s="9">
        <v>0</v>
      </c>
      <c r="DC13" s="9">
        <v>0</v>
      </c>
      <c r="DD13" s="9">
        <v>0</v>
      </c>
      <c r="DE13" s="9">
        <v>0</v>
      </c>
      <c r="DF13" s="9">
        <v>0</v>
      </c>
      <c r="DG13" s="9">
        <v>0</v>
      </c>
      <c r="DH13" s="9">
        <v>0</v>
      </c>
      <c r="DI13" s="9">
        <v>0</v>
      </c>
      <c r="DJ13" s="9">
        <v>0</v>
      </c>
      <c r="DK13" s="9">
        <v>0</v>
      </c>
      <c r="DL13" s="9">
        <v>0</v>
      </c>
      <c r="DM13" s="9">
        <v>0</v>
      </c>
      <c r="DN13" s="9">
        <v>0</v>
      </c>
      <c r="DO13" s="9">
        <v>0</v>
      </c>
      <c r="DP13" s="9">
        <v>0</v>
      </c>
      <c r="DQ13" s="9">
        <v>0</v>
      </c>
      <c r="DR13" s="9">
        <v>0</v>
      </c>
      <c r="DS13" s="9">
        <v>0</v>
      </c>
      <c r="DT13" s="9">
        <v>0</v>
      </c>
      <c r="DU13" s="9">
        <v>0</v>
      </c>
      <c r="DV13" s="9">
        <v>0</v>
      </c>
      <c r="DW13" s="9">
        <v>0</v>
      </c>
      <c r="DX13" s="9">
        <v>0</v>
      </c>
      <c r="DY13" s="9">
        <v>0</v>
      </c>
      <c r="DZ13" s="9">
        <v>0</v>
      </c>
      <c r="EA13" s="9">
        <v>0</v>
      </c>
      <c r="EB13" s="9">
        <v>0</v>
      </c>
      <c r="EC13" s="9">
        <v>0</v>
      </c>
      <c r="ED13" s="9">
        <v>0</v>
      </c>
      <c r="EE13" s="9">
        <v>0</v>
      </c>
      <c r="EF13" s="9">
        <v>0</v>
      </c>
      <c r="EG13" s="9">
        <v>0</v>
      </c>
      <c r="EH13" s="9">
        <v>0</v>
      </c>
      <c r="EI13" s="9">
        <v>0</v>
      </c>
      <c r="EJ13" s="9">
        <v>0</v>
      </c>
      <c r="EK13" s="9">
        <v>0</v>
      </c>
      <c r="EL13" s="9">
        <v>0</v>
      </c>
      <c r="EM13" s="9">
        <v>0</v>
      </c>
      <c r="EN13" s="9">
        <v>0</v>
      </c>
      <c r="EO13" s="9">
        <v>0</v>
      </c>
      <c r="EP13" s="9">
        <v>0</v>
      </c>
      <c r="EQ13" s="9">
        <v>0</v>
      </c>
      <c r="ER13" s="9">
        <v>0</v>
      </c>
      <c r="ES13" s="9">
        <v>0</v>
      </c>
      <c r="ET13" s="9">
        <v>0</v>
      </c>
      <c r="EU13" s="9">
        <v>0</v>
      </c>
      <c r="EV13" s="9">
        <v>0</v>
      </c>
      <c r="EW13" s="9">
        <v>0</v>
      </c>
      <c r="EX13" s="9">
        <v>0</v>
      </c>
      <c r="EY13" s="9">
        <v>0</v>
      </c>
      <c r="EZ13" s="9">
        <v>0</v>
      </c>
      <c r="FA13" s="9">
        <v>0</v>
      </c>
      <c r="FB13" s="9">
        <v>0</v>
      </c>
      <c r="FC13" s="9">
        <v>0</v>
      </c>
      <c r="FD13" s="9">
        <v>0</v>
      </c>
      <c r="FE13" s="9">
        <v>0</v>
      </c>
      <c r="FF13" s="9">
        <v>0</v>
      </c>
      <c r="FG13" s="9">
        <v>0</v>
      </c>
      <c r="FH13" s="9">
        <v>0</v>
      </c>
      <c r="FI13" s="9">
        <v>0</v>
      </c>
      <c r="FJ13" s="9">
        <v>0</v>
      </c>
      <c r="FK13" s="9">
        <v>0</v>
      </c>
      <c r="FL13" s="9">
        <v>0</v>
      </c>
      <c r="FM13" s="10">
        <v>0</v>
      </c>
    </row>
    <row r="14" spans="1:169" x14ac:dyDescent="0.35">
      <c r="A14" s="8" t="s">
        <v>0</v>
      </c>
      <c r="B14" s="9" t="s">
        <v>19</v>
      </c>
      <c r="C14" s="10" t="s">
        <v>20</v>
      </c>
      <c r="D14" s="62">
        <f t="shared" si="97"/>
        <v>0</v>
      </c>
      <c r="E14" s="9">
        <v>0</v>
      </c>
      <c r="F14" s="9">
        <v>0</v>
      </c>
      <c r="G14" s="9">
        <v>0</v>
      </c>
      <c r="H14" s="9">
        <v>0</v>
      </c>
      <c r="I14" s="9">
        <v>0</v>
      </c>
      <c r="J14" s="9">
        <v>0</v>
      </c>
      <c r="K14" s="9">
        <v>0</v>
      </c>
      <c r="L14" s="9">
        <v>0</v>
      </c>
      <c r="M14" s="9">
        <v>0</v>
      </c>
      <c r="N14" s="9">
        <v>0</v>
      </c>
      <c r="O14" s="9">
        <v>0</v>
      </c>
      <c r="P14" s="9">
        <v>0</v>
      </c>
      <c r="Q14" s="9">
        <v>0</v>
      </c>
      <c r="R14" s="9">
        <v>0</v>
      </c>
      <c r="S14" s="9">
        <v>0</v>
      </c>
      <c r="T14" s="9">
        <v>0</v>
      </c>
      <c r="U14" s="9">
        <v>0</v>
      </c>
      <c r="V14" s="9">
        <v>0</v>
      </c>
      <c r="W14" s="9">
        <v>0</v>
      </c>
      <c r="X14" s="9">
        <v>0</v>
      </c>
      <c r="Y14" s="9">
        <v>0</v>
      </c>
      <c r="Z14" s="9">
        <v>0</v>
      </c>
      <c r="AA14" s="9">
        <v>0</v>
      </c>
      <c r="AB14" s="9">
        <v>0</v>
      </c>
      <c r="AC14" s="9">
        <v>0</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c r="AU14" s="9">
        <v>0</v>
      </c>
      <c r="AV14" s="9">
        <v>0</v>
      </c>
      <c r="AW14" s="9">
        <v>0</v>
      </c>
      <c r="AX14" s="9">
        <v>0</v>
      </c>
      <c r="AY14" s="9">
        <v>0</v>
      </c>
      <c r="AZ14" s="9">
        <v>0</v>
      </c>
      <c r="BA14" s="9">
        <v>0</v>
      </c>
      <c r="BB14" s="9">
        <v>0</v>
      </c>
      <c r="BC14" s="9">
        <v>0</v>
      </c>
      <c r="BD14" s="9">
        <v>0</v>
      </c>
      <c r="BE14" s="9">
        <v>0</v>
      </c>
      <c r="BF14" s="9">
        <v>0</v>
      </c>
      <c r="BG14" s="9">
        <v>0</v>
      </c>
      <c r="BH14" s="9">
        <v>0</v>
      </c>
      <c r="BI14" s="9">
        <v>0</v>
      </c>
      <c r="BJ14" s="9">
        <v>0</v>
      </c>
      <c r="BK14" s="9">
        <v>0</v>
      </c>
      <c r="BL14" s="9">
        <v>0</v>
      </c>
      <c r="BM14" s="9">
        <v>0</v>
      </c>
      <c r="BN14" s="9">
        <v>0</v>
      </c>
      <c r="BO14" s="9">
        <v>0</v>
      </c>
      <c r="BP14" s="9">
        <v>0</v>
      </c>
      <c r="BQ14" s="9">
        <v>0</v>
      </c>
      <c r="BR14" s="9">
        <v>0</v>
      </c>
      <c r="BS14" s="9">
        <v>0</v>
      </c>
      <c r="BT14" s="9">
        <v>0</v>
      </c>
      <c r="BU14" s="9">
        <v>0</v>
      </c>
      <c r="BV14" s="9">
        <v>0</v>
      </c>
      <c r="BW14" s="9">
        <v>0</v>
      </c>
      <c r="BX14" s="9">
        <v>0</v>
      </c>
      <c r="BY14" s="9">
        <v>0</v>
      </c>
      <c r="BZ14" s="9">
        <v>0</v>
      </c>
      <c r="CA14" s="9">
        <v>0</v>
      </c>
      <c r="CB14" s="9">
        <v>0</v>
      </c>
      <c r="CC14" s="9">
        <v>0</v>
      </c>
      <c r="CD14" s="9">
        <v>0</v>
      </c>
      <c r="CE14" s="9">
        <v>0</v>
      </c>
      <c r="CF14" s="9">
        <v>0</v>
      </c>
      <c r="CG14" s="9">
        <v>0</v>
      </c>
      <c r="CH14" s="9">
        <v>0</v>
      </c>
      <c r="CI14" s="9">
        <v>0</v>
      </c>
      <c r="CJ14" s="9">
        <v>0</v>
      </c>
      <c r="CK14" s="9">
        <v>0</v>
      </c>
      <c r="CL14" s="9">
        <v>0</v>
      </c>
      <c r="CM14" s="9">
        <v>0</v>
      </c>
      <c r="CN14" s="9">
        <v>0</v>
      </c>
      <c r="CO14" s="9">
        <v>0</v>
      </c>
      <c r="CP14" s="9">
        <v>0</v>
      </c>
      <c r="CQ14" s="9">
        <v>0</v>
      </c>
      <c r="CR14" s="9">
        <v>0</v>
      </c>
      <c r="CS14" s="9">
        <v>0</v>
      </c>
      <c r="CT14" s="9">
        <v>0</v>
      </c>
      <c r="CU14" s="9">
        <v>0</v>
      </c>
      <c r="CV14" s="9">
        <v>0</v>
      </c>
      <c r="CW14" s="9">
        <v>0</v>
      </c>
      <c r="CX14" s="9">
        <v>0</v>
      </c>
      <c r="CY14" s="9">
        <v>0</v>
      </c>
      <c r="CZ14" s="9">
        <v>0</v>
      </c>
      <c r="DA14" s="9">
        <v>0</v>
      </c>
      <c r="DB14" s="9">
        <v>0</v>
      </c>
      <c r="DC14" s="9">
        <v>0</v>
      </c>
      <c r="DD14" s="9">
        <v>0</v>
      </c>
      <c r="DE14" s="9">
        <v>0</v>
      </c>
      <c r="DF14" s="9">
        <v>0</v>
      </c>
      <c r="DG14" s="9">
        <v>0</v>
      </c>
      <c r="DH14" s="9">
        <v>0</v>
      </c>
      <c r="DI14" s="9">
        <v>0</v>
      </c>
      <c r="DJ14" s="9">
        <v>0</v>
      </c>
      <c r="DK14" s="9">
        <v>0</v>
      </c>
      <c r="DL14" s="9">
        <v>0</v>
      </c>
      <c r="DM14" s="9">
        <v>0</v>
      </c>
      <c r="DN14" s="9">
        <v>0</v>
      </c>
      <c r="DO14" s="9">
        <v>0</v>
      </c>
      <c r="DP14" s="9">
        <v>0</v>
      </c>
      <c r="DQ14" s="9">
        <v>0</v>
      </c>
      <c r="DR14" s="9">
        <v>0</v>
      </c>
      <c r="DS14" s="9">
        <v>0</v>
      </c>
      <c r="DT14" s="9">
        <v>0</v>
      </c>
      <c r="DU14" s="9">
        <v>0</v>
      </c>
      <c r="DV14" s="9">
        <v>0</v>
      </c>
      <c r="DW14" s="9">
        <v>0</v>
      </c>
      <c r="DX14" s="9">
        <v>0</v>
      </c>
      <c r="DY14" s="9">
        <v>0</v>
      </c>
      <c r="DZ14" s="9">
        <v>0</v>
      </c>
      <c r="EA14" s="9">
        <v>0</v>
      </c>
      <c r="EB14" s="9">
        <v>0</v>
      </c>
      <c r="EC14" s="9">
        <v>0</v>
      </c>
      <c r="ED14" s="9">
        <v>0</v>
      </c>
      <c r="EE14" s="9">
        <v>0</v>
      </c>
      <c r="EF14" s="9">
        <v>0</v>
      </c>
      <c r="EG14" s="9">
        <v>0</v>
      </c>
      <c r="EH14" s="9">
        <v>0</v>
      </c>
      <c r="EI14" s="9">
        <v>0</v>
      </c>
      <c r="EJ14" s="9">
        <v>0</v>
      </c>
      <c r="EK14" s="9">
        <v>0</v>
      </c>
      <c r="EL14" s="9">
        <v>0</v>
      </c>
      <c r="EM14" s="9">
        <v>0</v>
      </c>
      <c r="EN14" s="9">
        <v>0</v>
      </c>
      <c r="EO14" s="9">
        <v>0</v>
      </c>
      <c r="EP14" s="9">
        <v>0</v>
      </c>
      <c r="EQ14" s="9">
        <v>0</v>
      </c>
      <c r="ER14" s="9">
        <v>0</v>
      </c>
      <c r="ES14" s="9">
        <v>0</v>
      </c>
      <c r="ET14" s="9">
        <v>0</v>
      </c>
      <c r="EU14" s="9">
        <v>0</v>
      </c>
      <c r="EV14" s="9">
        <v>0</v>
      </c>
      <c r="EW14" s="9">
        <v>0</v>
      </c>
      <c r="EX14" s="9">
        <v>0</v>
      </c>
      <c r="EY14" s="9">
        <v>0</v>
      </c>
      <c r="EZ14" s="9">
        <v>0</v>
      </c>
      <c r="FA14" s="9">
        <v>0</v>
      </c>
      <c r="FB14" s="9">
        <v>0</v>
      </c>
      <c r="FC14" s="9">
        <v>0</v>
      </c>
      <c r="FD14" s="9">
        <v>0</v>
      </c>
      <c r="FE14" s="9">
        <v>0</v>
      </c>
      <c r="FF14" s="9">
        <v>0</v>
      </c>
      <c r="FG14" s="9">
        <v>0</v>
      </c>
      <c r="FH14" s="9">
        <v>0</v>
      </c>
      <c r="FI14" s="9">
        <v>0</v>
      </c>
      <c r="FJ14" s="9">
        <v>0</v>
      </c>
      <c r="FK14" s="9">
        <v>0</v>
      </c>
      <c r="FL14" s="9">
        <v>0</v>
      </c>
      <c r="FM14" s="10">
        <v>0</v>
      </c>
    </row>
    <row r="15" spans="1:169" x14ac:dyDescent="0.35">
      <c r="A15" s="8" t="s">
        <v>0</v>
      </c>
      <c r="B15" s="9" t="s">
        <v>21</v>
      </c>
      <c r="C15" s="10" t="s">
        <v>22</v>
      </c>
      <c r="D15" s="62">
        <f t="shared" si="97"/>
        <v>2</v>
      </c>
      <c r="E15" s="9">
        <v>0</v>
      </c>
      <c r="F15" s="9">
        <v>0</v>
      </c>
      <c r="G15" s="9">
        <v>0</v>
      </c>
      <c r="H15" s="9">
        <v>0</v>
      </c>
      <c r="I15" s="9">
        <v>0</v>
      </c>
      <c r="J15" s="9">
        <v>0</v>
      </c>
      <c r="K15" s="9">
        <v>0</v>
      </c>
      <c r="L15" s="9">
        <v>0</v>
      </c>
      <c r="M15" s="9">
        <v>0</v>
      </c>
      <c r="N15" s="9">
        <v>0</v>
      </c>
      <c r="O15" s="9">
        <v>0</v>
      </c>
      <c r="P15" s="9">
        <v>0</v>
      </c>
      <c r="Q15" s="9">
        <v>0</v>
      </c>
      <c r="R15" s="9">
        <v>0</v>
      </c>
      <c r="S15" s="9">
        <v>0</v>
      </c>
      <c r="T15" s="9">
        <v>0</v>
      </c>
      <c r="U15" s="9">
        <v>0</v>
      </c>
      <c r="V15" s="9">
        <v>0</v>
      </c>
      <c r="W15" s="9">
        <v>0</v>
      </c>
      <c r="X15" s="9">
        <v>2</v>
      </c>
      <c r="Y15" s="9">
        <v>2</v>
      </c>
      <c r="Z15" s="9">
        <v>2</v>
      </c>
      <c r="AA15" s="9">
        <v>2</v>
      </c>
      <c r="AB15" s="9">
        <v>2</v>
      </c>
      <c r="AC15" s="9">
        <v>2</v>
      </c>
      <c r="AD15" s="9">
        <v>2</v>
      </c>
      <c r="AE15" s="9">
        <v>2</v>
      </c>
      <c r="AF15" s="9">
        <v>1</v>
      </c>
      <c r="AG15" s="9">
        <v>0</v>
      </c>
      <c r="AH15" s="9">
        <v>0</v>
      </c>
      <c r="AI15" s="9">
        <v>0</v>
      </c>
      <c r="AJ15" s="9">
        <v>0</v>
      </c>
      <c r="AK15" s="9">
        <v>0</v>
      </c>
      <c r="AL15" s="9">
        <v>0</v>
      </c>
      <c r="AM15" s="9">
        <v>0</v>
      </c>
      <c r="AN15" s="9">
        <v>0</v>
      </c>
      <c r="AO15" s="9">
        <v>0</v>
      </c>
      <c r="AP15" s="9">
        <v>0</v>
      </c>
      <c r="AQ15" s="9">
        <v>0</v>
      </c>
      <c r="AR15" s="9">
        <v>0</v>
      </c>
      <c r="AS15" s="9">
        <v>0</v>
      </c>
      <c r="AT15" s="9">
        <v>0</v>
      </c>
      <c r="AU15" s="9">
        <v>0</v>
      </c>
      <c r="AV15" s="9">
        <v>0</v>
      </c>
      <c r="AW15" s="9">
        <v>0</v>
      </c>
      <c r="AX15" s="9">
        <v>0</v>
      </c>
      <c r="AY15" s="9">
        <v>0</v>
      </c>
      <c r="AZ15" s="9">
        <v>0</v>
      </c>
      <c r="BA15" s="9">
        <v>0</v>
      </c>
      <c r="BB15" s="9">
        <v>0</v>
      </c>
      <c r="BC15" s="9">
        <v>0</v>
      </c>
      <c r="BD15" s="9">
        <v>0</v>
      </c>
      <c r="BE15" s="9">
        <v>0</v>
      </c>
      <c r="BF15" s="9">
        <v>0</v>
      </c>
      <c r="BG15" s="9">
        <v>0</v>
      </c>
      <c r="BH15" s="9">
        <v>0</v>
      </c>
      <c r="BI15" s="9">
        <v>0</v>
      </c>
      <c r="BJ15" s="9">
        <v>0</v>
      </c>
      <c r="BK15" s="9">
        <v>0</v>
      </c>
      <c r="BL15" s="9">
        <v>0</v>
      </c>
      <c r="BM15" s="9">
        <v>0</v>
      </c>
      <c r="BN15" s="9">
        <v>0</v>
      </c>
      <c r="BO15" s="9">
        <v>0</v>
      </c>
      <c r="BP15" s="9">
        <v>0</v>
      </c>
      <c r="BQ15" s="9">
        <v>0</v>
      </c>
      <c r="BR15" s="9">
        <v>0</v>
      </c>
      <c r="BS15" s="9">
        <v>0</v>
      </c>
      <c r="BT15" s="9">
        <v>0</v>
      </c>
      <c r="BU15" s="9">
        <v>0</v>
      </c>
      <c r="BV15" s="9">
        <v>0</v>
      </c>
      <c r="BW15" s="9">
        <v>0</v>
      </c>
      <c r="BX15" s="9">
        <v>0</v>
      </c>
      <c r="BY15" s="9">
        <v>0</v>
      </c>
      <c r="BZ15" s="9">
        <v>0</v>
      </c>
      <c r="CA15" s="9">
        <v>0</v>
      </c>
      <c r="CB15" s="9">
        <v>0</v>
      </c>
      <c r="CC15" s="9">
        <v>0</v>
      </c>
      <c r="CD15" s="9">
        <v>0</v>
      </c>
      <c r="CE15" s="9">
        <v>0</v>
      </c>
      <c r="CF15" s="9">
        <v>0</v>
      </c>
      <c r="CG15" s="9">
        <v>0</v>
      </c>
      <c r="CH15" s="9">
        <v>0</v>
      </c>
      <c r="CI15" s="9">
        <v>0</v>
      </c>
      <c r="CJ15" s="9">
        <v>0</v>
      </c>
      <c r="CK15" s="9">
        <v>0</v>
      </c>
      <c r="CL15" s="9">
        <v>0</v>
      </c>
      <c r="CM15" s="9">
        <v>0</v>
      </c>
      <c r="CN15" s="9">
        <v>0</v>
      </c>
      <c r="CO15" s="9">
        <v>0</v>
      </c>
      <c r="CP15" s="9">
        <v>0</v>
      </c>
      <c r="CQ15" s="9">
        <v>0</v>
      </c>
      <c r="CR15" s="9">
        <v>0</v>
      </c>
      <c r="CS15" s="9">
        <v>0</v>
      </c>
      <c r="CT15" s="9">
        <v>0</v>
      </c>
      <c r="CU15" s="9">
        <v>0</v>
      </c>
      <c r="CV15" s="9">
        <v>0</v>
      </c>
      <c r="CW15" s="9">
        <v>0</v>
      </c>
      <c r="CX15" s="9">
        <v>0</v>
      </c>
      <c r="CY15" s="9">
        <v>0</v>
      </c>
      <c r="CZ15" s="9">
        <v>0</v>
      </c>
      <c r="DA15" s="9">
        <v>0</v>
      </c>
      <c r="DB15" s="9">
        <v>0</v>
      </c>
      <c r="DC15" s="9">
        <v>0</v>
      </c>
      <c r="DD15" s="9">
        <v>0</v>
      </c>
      <c r="DE15" s="9">
        <v>0</v>
      </c>
      <c r="DF15" s="9">
        <v>0</v>
      </c>
      <c r="DG15" s="9">
        <v>0</v>
      </c>
      <c r="DH15" s="9">
        <v>0</v>
      </c>
      <c r="DI15" s="9">
        <v>0</v>
      </c>
      <c r="DJ15" s="9">
        <v>0</v>
      </c>
      <c r="DK15" s="9">
        <v>0</v>
      </c>
      <c r="DL15" s="9">
        <v>0</v>
      </c>
      <c r="DM15" s="9">
        <v>0</v>
      </c>
      <c r="DN15" s="9">
        <v>0</v>
      </c>
      <c r="DO15" s="9">
        <v>0</v>
      </c>
      <c r="DP15" s="9">
        <v>0</v>
      </c>
      <c r="DQ15" s="9">
        <v>0</v>
      </c>
      <c r="DR15" s="9">
        <v>0</v>
      </c>
      <c r="DS15" s="9">
        <v>0</v>
      </c>
      <c r="DT15" s="9">
        <v>0</v>
      </c>
      <c r="DU15" s="9">
        <v>0</v>
      </c>
      <c r="DV15" s="9">
        <v>0</v>
      </c>
      <c r="DW15" s="9">
        <v>0</v>
      </c>
      <c r="DX15" s="9">
        <v>0</v>
      </c>
      <c r="DY15" s="9">
        <v>0</v>
      </c>
      <c r="DZ15" s="9">
        <v>0</v>
      </c>
      <c r="EA15" s="9">
        <v>0</v>
      </c>
      <c r="EB15" s="9">
        <v>0</v>
      </c>
      <c r="EC15" s="9">
        <v>0</v>
      </c>
      <c r="ED15" s="9">
        <v>0</v>
      </c>
      <c r="EE15" s="9">
        <v>0</v>
      </c>
      <c r="EF15" s="9">
        <v>0</v>
      </c>
      <c r="EG15" s="9">
        <v>0</v>
      </c>
      <c r="EH15" s="9">
        <v>0</v>
      </c>
      <c r="EI15" s="9">
        <v>0</v>
      </c>
      <c r="EJ15" s="9">
        <v>0</v>
      </c>
      <c r="EK15" s="9">
        <v>0</v>
      </c>
      <c r="EL15" s="9">
        <v>0</v>
      </c>
      <c r="EM15" s="9">
        <v>0</v>
      </c>
      <c r="EN15" s="9">
        <v>0</v>
      </c>
      <c r="EO15" s="9">
        <v>0</v>
      </c>
      <c r="EP15" s="9">
        <v>0</v>
      </c>
      <c r="EQ15" s="9">
        <v>0</v>
      </c>
      <c r="ER15" s="9">
        <v>0</v>
      </c>
      <c r="ES15" s="9">
        <v>0</v>
      </c>
      <c r="ET15" s="9">
        <v>0</v>
      </c>
      <c r="EU15" s="9">
        <v>0</v>
      </c>
      <c r="EV15" s="9">
        <v>0</v>
      </c>
      <c r="EW15" s="9">
        <v>0</v>
      </c>
      <c r="EX15" s="9">
        <v>0</v>
      </c>
      <c r="EY15" s="9">
        <v>0</v>
      </c>
      <c r="EZ15" s="9">
        <v>0</v>
      </c>
      <c r="FA15" s="9">
        <v>0</v>
      </c>
      <c r="FB15" s="9">
        <v>0</v>
      </c>
      <c r="FC15" s="9">
        <v>0</v>
      </c>
      <c r="FD15" s="9">
        <v>0</v>
      </c>
      <c r="FE15" s="9">
        <v>0</v>
      </c>
      <c r="FF15" s="9">
        <v>0</v>
      </c>
      <c r="FG15" s="9">
        <v>0</v>
      </c>
      <c r="FH15" s="9">
        <v>0</v>
      </c>
      <c r="FI15" s="9">
        <v>0</v>
      </c>
      <c r="FJ15" s="9">
        <v>0</v>
      </c>
      <c r="FK15" s="9">
        <v>0</v>
      </c>
      <c r="FL15" s="9">
        <v>0</v>
      </c>
      <c r="FM15" s="10">
        <v>0</v>
      </c>
    </row>
    <row r="16" spans="1:169" x14ac:dyDescent="0.35">
      <c r="A16" s="8" t="s">
        <v>0</v>
      </c>
      <c r="B16" s="9" t="s">
        <v>23</v>
      </c>
      <c r="C16" s="10" t="s">
        <v>24</v>
      </c>
      <c r="D16" s="62">
        <f t="shared" si="97"/>
        <v>0</v>
      </c>
      <c r="E16" s="9">
        <v>0</v>
      </c>
      <c r="F16" s="9">
        <v>0</v>
      </c>
      <c r="G16" s="9">
        <v>0</v>
      </c>
      <c r="H16" s="9">
        <v>0</v>
      </c>
      <c r="I16" s="9">
        <v>0</v>
      </c>
      <c r="J16" s="9">
        <v>0</v>
      </c>
      <c r="K16" s="9">
        <v>0</v>
      </c>
      <c r="L16" s="9">
        <v>0</v>
      </c>
      <c r="M16" s="9">
        <v>0</v>
      </c>
      <c r="N16" s="9">
        <v>0</v>
      </c>
      <c r="O16" s="9">
        <v>0</v>
      </c>
      <c r="P16" s="9">
        <v>0</v>
      </c>
      <c r="Q16" s="9">
        <v>0</v>
      </c>
      <c r="R16" s="9">
        <v>0</v>
      </c>
      <c r="S16" s="9">
        <v>0</v>
      </c>
      <c r="T16" s="9">
        <v>0</v>
      </c>
      <c r="U16" s="9">
        <v>0</v>
      </c>
      <c r="V16" s="9">
        <v>0</v>
      </c>
      <c r="W16" s="9">
        <v>0</v>
      </c>
      <c r="X16" s="9">
        <v>0</v>
      </c>
      <c r="Y16" s="9">
        <v>0</v>
      </c>
      <c r="Z16" s="9">
        <v>0</v>
      </c>
      <c r="AA16" s="9">
        <v>0</v>
      </c>
      <c r="AB16" s="9">
        <v>0</v>
      </c>
      <c r="AC16" s="9">
        <v>0</v>
      </c>
      <c r="AD16" s="9">
        <v>0</v>
      </c>
      <c r="AE16" s="9">
        <v>0</v>
      </c>
      <c r="AF16" s="9">
        <v>0</v>
      </c>
      <c r="AG16" s="9">
        <v>0</v>
      </c>
      <c r="AH16" s="9">
        <v>0</v>
      </c>
      <c r="AI16" s="9">
        <v>0</v>
      </c>
      <c r="AJ16" s="9">
        <v>0</v>
      </c>
      <c r="AK16" s="9">
        <v>0</v>
      </c>
      <c r="AL16" s="9">
        <v>0</v>
      </c>
      <c r="AM16" s="9">
        <v>0</v>
      </c>
      <c r="AN16" s="9">
        <v>0</v>
      </c>
      <c r="AO16" s="9">
        <v>0</v>
      </c>
      <c r="AP16" s="9">
        <v>0</v>
      </c>
      <c r="AQ16" s="9">
        <v>0</v>
      </c>
      <c r="AR16" s="9">
        <v>0</v>
      </c>
      <c r="AS16" s="9">
        <v>0</v>
      </c>
      <c r="AT16" s="9">
        <v>0</v>
      </c>
      <c r="AU16" s="9">
        <v>0</v>
      </c>
      <c r="AV16" s="9">
        <v>0</v>
      </c>
      <c r="AW16" s="9">
        <v>0</v>
      </c>
      <c r="AX16" s="9">
        <v>0</v>
      </c>
      <c r="AY16" s="9">
        <v>0</v>
      </c>
      <c r="AZ16" s="9">
        <v>0</v>
      </c>
      <c r="BA16" s="9">
        <v>0</v>
      </c>
      <c r="BB16" s="9">
        <v>0</v>
      </c>
      <c r="BC16" s="9">
        <v>0</v>
      </c>
      <c r="BD16" s="9">
        <v>0</v>
      </c>
      <c r="BE16" s="9">
        <v>0</v>
      </c>
      <c r="BF16" s="9">
        <v>0</v>
      </c>
      <c r="BG16" s="9">
        <v>0</v>
      </c>
      <c r="BH16" s="9">
        <v>0</v>
      </c>
      <c r="BI16" s="9">
        <v>0</v>
      </c>
      <c r="BJ16" s="9">
        <v>0</v>
      </c>
      <c r="BK16" s="9">
        <v>0</v>
      </c>
      <c r="BL16" s="9">
        <v>0</v>
      </c>
      <c r="BM16" s="9">
        <v>0</v>
      </c>
      <c r="BN16" s="9">
        <v>0</v>
      </c>
      <c r="BO16" s="9">
        <v>0</v>
      </c>
      <c r="BP16" s="9">
        <v>0</v>
      </c>
      <c r="BQ16" s="9">
        <v>0</v>
      </c>
      <c r="BR16" s="9">
        <v>0</v>
      </c>
      <c r="BS16" s="9">
        <v>0</v>
      </c>
      <c r="BT16" s="9">
        <v>0</v>
      </c>
      <c r="BU16" s="9">
        <v>0</v>
      </c>
      <c r="BV16" s="9">
        <v>0</v>
      </c>
      <c r="BW16" s="9">
        <v>0</v>
      </c>
      <c r="BX16" s="9">
        <v>0</v>
      </c>
      <c r="BY16" s="9">
        <v>0</v>
      </c>
      <c r="BZ16" s="9">
        <v>0</v>
      </c>
      <c r="CA16" s="9">
        <v>0</v>
      </c>
      <c r="CB16" s="9">
        <v>0</v>
      </c>
      <c r="CC16" s="9">
        <v>0</v>
      </c>
      <c r="CD16" s="9">
        <v>0</v>
      </c>
      <c r="CE16" s="9">
        <v>0</v>
      </c>
      <c r="CF16" s="9">
        <v>0</v>
      </c>
      <c r="CG16" s="9">
        <v>0</v>
      </c>
      <c r="CH16" s="9">
        <v>0</v>
      </c>
      <c r="CI16" s="9">
        <v>0</v>
      </c>
      <c r="CJ16" s="9">
        <v>0</v>
      </c>
      <c r="CK16" s="9">
        <v>0</v>
      </c>
      <c r="CL16" s="9">
        <v>0</v>
      </c>
      <c r="CM16" s="9">
        <v>0</v>
      </c>
      <c r="CN16" s="9">
        <v>0</v>
      </c>
      <c r="CO16" s="9">
        <v>0</v>
      </c>
      <c r="CP16" s="9">
        <v>0</v>
      </c>
      <c r="CQ16" s="9">
        <v>0</v>
      </c>
      <c r="CR16" s="9">
        <v>0</v>
      </c>
      <c r="CS16" s="9">
        <v>0</v>
      </c>
      <c r="CT16" s="9">
        <v>0</v>
      </c>
      <c r="CU16" s="9">
        <v>0</v>
      </c>
      <c r="CV16" s="9">
        <v>0</v>
      </c>
      <c r="CW16" s="9">
        <v>0</v>
      </c>
      <c r="CX16" s="9">
        <v>0</v>
      </c>
      <c r="CY16" s="9">
        <v>0</v>
      </c>
      <c r="CZ16" s="9">
        <v>0</v>
      </c>
      <c r="DA16" s="9">
        <v>0</v>
      </c>
      <c r="DB16" s="9">
        <v>0</v>
      </c>
      <c r="DC16" s="9">
        <v>0</v>
      </c>
      <c r="DD16" s="9">
        <v>0</v>
      </c>
      <c r="DE16" s="9">
        <v>0</v>
      </c>
      <c r="DF16" s="9">
        <v>0</v>
      </c>
      <c r="DG16" s="9">
        <v>0</v>
      </c>
      <c r="DH16" s="9">
        <v>0</v>
      </c>
      <c r="DI16" s="9">
        <v>0</v>
      </c>
      <c r="DJ16" s="9">
        <v>0</v>
      </c>
      <c r="DK16" s="9">
        <v>0</v>
      </c>
      <c r="DL16" s="9">
        <v>0</v>
      </c>
      <c r="DM16" s="9">
        <v>0</v>
      </c>
      <c r="DN16" s="9">
        <v>0</v>
      </c>
      <c r="DO16" s="9">
        <v>0</v>
      </c>
      <c r="DP16" s="9">
        <v>0</v>
      </c>
      <c r="DQ16" s="9">
        <v>0</v>
      </c>
      <c r="DR16" s="9">
        <v>0</v>
      </c>
      <c r="DS16" s="9">
        <v>0</v>
      </c>
      <c r="DT16" s="9">
        <v>0</v>
      </c>
      <c r="DU16" s="9">
        <v>0</v>
      </c>
      <c r="DV16" s="9">
        <v>0</v>
      </c>
      <c r="DW16" s="9">
        <v>0</v>
      </c>
      <c r="DX16" s="9">
        <v>0</v>
      </c>
      <c r="DY16" s="9">
        <v>0</v>
      </c>
      <c r="DZ16" s="9">
        <v>0</v>
      </c>
      <c r="EA16" s="9">
        <v>0</v>
      </c>
      <c r="EB16" s="9">
        <v>0</v>
      </c>
      <c r="EC16" s="9">
        <v>0</v>
      </c>
      <c r="ED16" s="9">
        <v>0</v>
      </c>
      <c r="EE16" s="9">
        <v>0</v>
      </c>
      <c r="EF16" s="9">
        <v>0</v>
      </c>
      <c r="EG16" s="9">
        <v>0</v>
      </c>
      <c r="EH16" s="9">
        <v>0</v>
      </c>
      <c r="EI16" s="9">
        <v>0</v>
      </c>
      <c r="EJ16" s="9">
        <v>0</v>
      </c>
      <c r="EK16" s="9">
        <v>0</v>
      </c>
      <c r="EL16" s="9">
        <v>0</v>
      </c>
      <c r="EM16" s="9">
        <v>0</v>
      </c>
      <c r="EN16" s="9">
        <v>0</v>
      </c>
      <c r="EO16" s="9">
        <v>0</v>
      </c>
      <c r="EP16" s="9">
        <v>0</v>
      </c>
      <c r="EQ16" s="9">
        <v>0</v>
      </c>
      <c r="ER16" s="9">
        <v>0</v>
      </c>
      <c r="ES16" s="9">
        <v>0</v>
      </c>
      <c r="ET16" s="9">
        <v>0</v>
      </c>
      <c r="EU16" s="9">
        <v>0</v>
      </c>
      <c r="EV16" s="9">
        <v>0</v>
      </c>
      <c r="EW16" s="9">
        <v>0</v>
      </c>
      <c r="EX16" s="9">
        <v>0</v>
      </c>
      <c r="EY16" s="9">
        <v>0</v>
      </c>
      <c r="EZ16" s="9">
        <v>0</v>
      </c>
      <c r="FA16" s="9">
        <v>0</v>
      </c>
      <c r="FB16" s="9">
        <v>0</v>
      </c>
      <c r="FC16" s="9">
        <v>0</v>
      </c>
      <c r="FD16" s="9">
        <v>0</v>
      </c>
      <c r="FE16" s="9">
        <v>0</v>
      </c>
      <c r="FF16" s="9">
        <v>0</v>
      </c>
      <c r="FG16" s="9">
        <v>0</v>
      </c>
      <c r="FH16" s="9">
        <v>0</v>
      </c>
      <c r="FI16" s="9">
        <v>0</v>
      </c>
      <c r="FJ16" s="9">
        <v>0</v>
      </c>
      <c r="FK16" s="9">
        <v>0</v>
      </c>
      <c r="FL16" s="9">
        <v>0</v>
      </c>
      <c r="FM16" s="10">
        <v>0</v>
      </c>
    </row>
    <row r="17" spans="1:169" x14ac:dyDescent="0.35">
      <c r="A17" s="8" t="s">
        <v>0</v>
      </c>
      <c r="B17" s="9" t="s">
        <v>25</v>
      </c>
      <c r="C17" s="10" t="s">
        <v>26</v>
      </c>
      <c r="D17" s="62">
        <f t="shared" si="97"/>
        <v>0</v>
      </c>
      <c r="E17" s="9">
        <v>0</v>
      </c>
      <c r="F17" s="9">
        <v>0</v>
      </c>
      <c r="G17" s="9">
        <v>0</v>
      </c>
      <c r="H17" s="9">
        <v>0</v>
      </c>
      <c r="I17" s="9">
        <v>0</v>
      </c>
      <c r="J17" s="9">
        <v>0</v>
      </c>
      <c r="K17" s="9">
        <v>0</v>
      </c>
      <c r="L17" s="9">
        <v>0</v>
      </c>
      <c r="M17" s="9">
        <v>0</v>
      </c>
      <c r="N17" s="9">
        <v>0</v>
      </c>
      <c r="O17" s="9">
        <v>0</v>
      </c>
      <c r="P17" s="9">
        <v>0</v>
      </c>
      <c r="Q17" s="9">
        <v>0</v>
      </c>
      <c r="R17" s="9">
        <v>0</v>
      </c>
      <c r="S17" s="9">
        <v>0</v>
      </c>
      <c r="T17" s="9">
        <v>0</v>
      </c>
      <c r="U17" s="9">
        <v>0</v>
      </c>
      <c r="V17" s="9">
        <v>0</v>
      </c>
      <c r="W17" s="9">
        <v>0</v>
      </c>
      <c r="X17" s="9">
        <v>0</v>
      </c>
      <c r="Y17" s="9">
        <v>0</v>
      </c>
      <c r="Z17" s="9">
        <v>0</v>
      </c>
      <c r="AA17" s="9">
        <v>0</v>
      </c>
      <c r="AB17" s="9">
        <v>0</v>
      </c>
      <c r="AC17" s="9">
        <v>0</v>
      </c>
      <c r="AD17" s="9">
        <v>0</v>
      </c>
      <c r="AE17" s="9">
        <v>0</v>
      </c>
      <c r="AF17" s="9">
        <v>0</v>
      </c>
      <c r="AG17" s="9">
        <v>0</v>
      </c>
      <c r="AH17" s="9">
        <v>0</v>
      </c>
      <c r="AI17" s="9">
        <v>0</v>
      </c>
      <c r="AJ17" s="9">
        <v>0</v>
      </c>
      <c r="AK17" s="9">
        <v>0</v>
      </c>
      <c r="AL17" s="9">
        <v>0</v>
      </c>
      <c r="AM17" s="9">
        <v>0</v>
      </c>
      <c r="AN17" s="9">
        <v>0</v>
      </c>
      <c r="AO17" s="9">
        <v>0</v>
      </c>
      <c r="AP17" s="9">
        <v>0</v>
      </c>
      <c r="AQ17" s="9">
        <v>0</v>
      </c>
      <c r="AR17" s="9">
        <v>0</v>
      </c>
      <c r="AS17" s="9">
        <v>0</v>
      </c>
      <c r="AT17" s="9">
        <v>0</v>
      </c>
      <c r="AU17" s="9">
        <v>0</v>
      </c>
      <c r="AV17" s="9">
        <v>0</v>
      </c>
      <c r="AW17" s="9">
        <v>0</v>
      </c>
      <c r="AX17" s="9">
        <v>0</v>
      </c>
      <c r="AY17" s="9">
        <v>0</v>
      </c>
      <c r="AZ17" s="9">
        <v>0</v>
      </c>
      <c r="BA17" s="9">
        <v>0</v>
      </c>
      <c r="BB17" s="9">
        <v>0</v>
      </c>
      <c r="BC17" s="9">
        <v>0</v>
      </c>
      <c r="BD17" s="9">
        <v>0</v>
      </c>
      <c r="BE17" s="9">
        <v>0</v>
      </c>
      <c r="BF17" s="9">
        <v>0</v>
      </c>
      <c r="BG17" s="9">
        <v>0</v>
      </c>
      <c r="BH17" s="9">
        <v>0</v>
      </c>
      <c r="BI17" s="9">
        <v>0</v>
      </c>
      <c r="BJ17" s="9">
        <v>0</v>
      </c>
      <c r="BK17" s="9">
        <v>0</v>
      </c>
      <c r="BL17" s="9">
        <v>0</v>
      </c>
      <c r="BM17" s="9">
        <v>0</v>
      </c>
      <c r="BN17" s="9">
        <v>0</v>
      </c>
      <c r="BO17" s="9">
        <v>0</v>
      </c>
      <c r="BP17" s="9">
        <v>0</v>
      </c>
      <c r="BQ17" s="9">
        <v>0</v>
      </c>
      <c r="BR17" s="9">
        <v>0</v>
      </c>
      <c r="BS17" s="9">
        <v>0</v>
      </c>
      <c r="BT17" s="9">
        <v>0</v>
      </c>
      <c r="BU17" s="9">
        <v>0</v>
      </c>
      <c r="BV17" s="9">
        <v>0</v>
      </c>
      <c r="BW17" s="9">
        <v>0</v>
      </c>
      <c r="BX17" s="9">
        <v>0</v>
      </c>
      <c r="BY17" s="9">
        <v>0</v>
      </c>
      <c r="BZ17" s="9">
        <v>0</v>
      </c>
      <c r="CA17" s="9">
        <v>0</v>
      </c>
      <c r="CB17" s="9">
        <v>0</v>
      </c>
      <c r="CC17" s="9">
        <v>0</v>
      </c>
      <c r="CD17" s="9">
        <v>0</v>
      </c>
      <c r="CE17" s="9">
        <v>0</v>
      </c>
      <c r="CF17" s="9">
        <v>0</v>
      </c>
      <c r="CG17" s="9">
        <v>0</v>
      </c>
      <c r="CH17" s="9">
        <v>0</v>
      </c>
      <c r="CI17" s="9">
        <v>0</v>
      </c>
      <c r="CJ17" s="9">
        <v>0</v>
      </c>
      <c r="CK17" s="9">
        <v>0</v>
      </c>
      <c r="CL17" s="9">
        <v>0</v>
      </c>
      <c r="CM17" s="9">
        <v>0</v>
      </c>
      <c r="CN17" s="9">
        <v>0</v>
      </c>
      <c r="CO17" s="9">
        <v>0</v>
      </c>
      <c r="CP17" s="9">
        <v>0</v>
      </c>
      <c r="CQ17" s="9">
        <v>0</v>
      </c>
      <c r="CR17" s="9">
        <v>0</v>
      </c>
      <c r="CS17" s="9">
        <v>0</v>
      </c>
      <c r="CT17" s="9">
        <v>0</v>
      </c>
      <c r="CU17" s="9">
        <v>0</v>
      </c>
      <c r="CV17" s="9">
        <v>0</v>
      </c>
      <c r="CW17" s="9">
        <v>0</v>
      </c>
      <c r="CX17" s="9">
        <v>0</v>
      </c>
      <c r="CY17" s="9">
        <v>0</v>
      </c>
      <c r="CZ17" s="9">
        <v>0</v>
      </c>
      <c r="DA17" s="9">
        <v>0</v>
      </c>
      <c r="DB17" s="9">
        <v>0</v>
      </c>
      <c r="DC17" s="9">
        <v>0</v>
      </c>
      <c r="DD17" s="9">
        <v>0</v>
      </c>
      <c r="DE17" s="9">
        <v>0</v>
      </c>
      <c r="DF17" s="9">
        <v>0</v>
      </c>
      <c r="DG17" s="9">
        <v>0</v>
      </c>
      <c r="DH17" s="9">
        <v>0</v>
      </c>
      <c r="DI17" s="9">
        <v>0</v>
      </c>
      <c r="DJ17" s="9">
        <v>0</v>
      </c>
      <c r="DK17" s="9">
        <v>0</v>
      </c>
      <c r="DL17" s="9">
        <v>0</v>
      </c>
      <c r="DM17" s="9">
        <v>0</v>
      </c>
      <c r="DN17" s="9">
        <v>0</v>
      </c>
      <c r="DO17" s="9">
        <v>0</v>
      </c>
      <c r="DP17" s="9">
        <v>0</v>
      </c>
      <c r="DQ17" s="9">
        <v>0</v>
      </c>
      <c r="DR17" s="9">
        <v>0</v>
      </c>
      <c r="DS17" s="9">
        <v>0</v>
      </c>
      <c r="DT17" s="9">
        <v>0</v>
      </c>
      <c r="DU17" s="9">
        <v>0</v>
      </c>
      <c r="DV17" s="9">
        <v>0</v>
      </c>
      <c r="DW17" s="9">
        <v>0</v>
      </c>
      <c r="DX17" s="9">
        <v>0</v>
      </c>
      <c r="DY17" s="9">
        <v>0</v>
      </c>
      <c r="DZ17" s="9">
        <v>0</v>
      </c>
      <c r="EA17" s="9">
        <v>0</v>
      </c>
      <c r="EB17" s="9">
        <v>0</v>
      </c>
      <c r="EC17" s="9">
        <v>0</v>
      </c>
      <c r="ED17" s="9">
        <v>0</v>
      </c>
      <c r="EE17" s="9">
        <v>0</v>
      </c>
      <c r="EF17" s="9">
        <v>0</v>
      </c>
      <c r="EG17" s="9">
        <v>0</v>
      </c>
      <c r="EH17" s="9">
        <v>0</v>
      </c>
      <c r="EI17" s="9">
        <v>0</v>
      </c>
      <c r="EJ17" s="9">
        <v>0</v>
      </c>
      <c r="EK17" s="9">
        <v>0</v>
      </c>
      <c r="EL17" s="9">
        <v>0</v>
      </c>
      <c r="EM17" s="9">
        <v>0</v>
      </c>
      <c r="EN17" s="9">
        <v>0</v>
      </c>
      <c r="EO17" s="9">
        <v>0</v>
      </c>
      <c r="EP17" s="9">
        <v>0</v>
      </c>
      <c r="EQ17" s="9">
        <v>0</v>
      </c>
      <c r="ER17" s="9">
        <v>0</v>
      </c>
      <c r="ES17" s="9">
        <v>0</v>
      </c>
      <c r="ET17" s="9">
        <v>0</v>
      </c>
      <c r="EU17" s="9">
        <v>0</v>
      </c>
      <c r="EV17" s="9">
        <v>0</v>
      </c>
      <c r="EW17" s="9">
        <v>0</v>
      </c>
      <c r="EX17" s="9">
        <v>0</v>
      </c>
      <c r="EY17" s="9">
        <v>0</v>
      </c>
      <c r="EZ17" s="9">
        <v>0</v>
      </c>
      <c r="FA17" s="9">
        <v>0</v>
      </c>
      <c r="FB17" s="9">
        <v>0</v>
      </c>
      <c r="FC17" s="9">
        <v>0</v>
      </c>
      <c r="FD17" s="9">
        <v>0</v>
      </c>
      <c r="FE17" s="9">
        <v>0</v>
      </c>
      <c r="FF17" s="9">
        <v>0</v>
      </c>
      <c r="FG17" s="9">
        <v>0</v>
      </c>
      <c r="FH17" s="9">
        <v>0</v>
      </c>
      <c r="FI17" s="9">
        <v>0</v>
      </c>
      <c r="FJ17" s="9">
        <v>0</v>
      </c>
      <c r="FK17" s="9">
        <v>0</v>
      </c>
      <c r="FL17" s="9">
        <v>0</v>
      </c>
      <c r="FM17" s="10">
        <v>0</v>
      </c>
    </row>
    <row r="18" spans="1:169" x14ac:dyDescent="0.35">
      <c r="A18" s="8" t="s">
        <v>0</v>
      </c>
      <c r="B18" s="9" t="s">
        <v>27</v>
      </c>
      <c r="C18" s="10" t="s">
        <v>28</v>
      </c>
      <c r="D18" s="62">
        <f t="shared" si="97"/>
        <v>0</v>
      </c>
      <c r="E18" s="9">
        <v>0</v>
      </c>
      <c r="F18" s="9">
        <v>0</v>
      </c>
      <c r="G18" s="9">
        <v>0</v>
      </c>
      <c r="H18" s="9">
        <v>0</v>
      </c>
      <c r="I18" s="9">
        <v>0</v>
      </c>
      <c r="J18" s="9">
        <v>0</v>
      </c>
      <c r="K18" s="9">
        <v>0</v>
      </c>
      <c r="L18" s="9">
        <v>0</v>
      </c>
      <c r="M18" s="9">
        <v>0</v>
      </c>
      <c r="N18" s="9">
        <v>0</v>
      </c>
      <c r="O18" s="9">
        <v>0</v>
      </c>
      <c r="P18" s="9">
        <v>0</v>
      </c>
      <c r="Q18" s="9">
        <v>0</v>
      </c>
      <c r="R18" s="9">
        <v>0</v>
      </c>
      <c r="S18" s="9">
        <v>0</v>
      </c>
      <c r="T18" s="9">
        <v>0</v>
      </c>
      <c r="U18" s="9">
        <v>0</v>
      </c>
      <c r="V18" s="9">
        <v>0</v>
      </c>
      <c r="W18" s="9">
        <v>0</v>
      </c>
      <c r="X18" s="9">
        <v>0</v>
      </c>
      <c r="Y18" s="9">
        <v>0</v>
      </c>
      <c r="Z18" s="9">
        <v>0</v>
      </c>
      <c r="AA18" s="9">
        <v>0</v>
      </c>
      <c r="AB18" s="9">
        <v>0</v>
      </c>
      <c r="AC18" s="9">
        <v>0</v>
      </c>
      <c r="AD18" s="9">
        <v>0</v>
      </c>
      <c r="AE18" s="9">
        <v>0</v>
      </c>
      <c r="AF18" s="9">
        <v>0</v>
      </c>
      <c r="AG18" s="9">
        <v>0</v>
      </c>
      <c r="AH18" s="9">
        <v>0</v>
      </c>
      <c r="AI18" s="9">
        <v>0</v>
      </c>
      <c r="AJ18" s="9">
        <v>0</v>
      </c>
      <c r="AK18" s="9">
        <v>0</v>
      </c>
      <c r="AL18" s="9">
        <v>0</v>
      </c>
      <c r="AM18" s="9">
        <v>0</v>
      </c>
      <c r="AN18" s="9">
        <v>0</v>
      </c>
      <c r="AO18" s="9">
        <v>0</v>
      </c>
      <c r="AP18" s="9">
        <v>0</v>
      </c>
      <c r="AQ18" s="9">
        <v>0</v>
      </c>
      <c r="AR18" s="9">
        <v>0</v>
      </c>
      <c r="AS18" s="9">
        <v>0</v>
      </c>
      <c r="AT18" s="9">
        <v>0</v>
      </c>
      <c r="AU18" s="9">
        <v>0</v>
      </c>
      <c r="AV18" s="9">
        <v>0</v>
      </c>
      <c r="AW18" s="9">
        <v>0</v>
      </c>
      <c r="AX18" s="9">
        <v>0</v>
      </c>
      <c r="AY18" s="9">
        <v>0</v>
      </c>
      <c r="AZ18" s="9">
        <v>0</v>
      </c>
      <c r="BA18" s="9">
        <v>0</v>
      </c>
      <c r="BB18" s="9">
        <v>0</v>
      </c>
      <c r="BC18" s="9">
        <v>0</v>
      </c>
      <c r="BD18" s="9">
        <v>0</v>
      </c>
      <c r="BE18" s="9">
        <v>0</v>
      </c>
      <c r="BF18" s="9">
        <v>0</v>
      </c>
      <c r="BG18" s="9">
        <v>0</v>
      </c>
      <c r="BH18" s="9">
        <v>0</v>
      </c>
      <c r="BI18" s="9">
        <v>0</v>
      </c>
      <c r="BJ18" s="9">
        <v>0</v>
      </c>
      <c r="BK18" s="9">
        <v>0</v>
      </c>
      <c r="BL18" s="9">
        <v>0</v>
      </c>
      <c r="BM18" s="9">
        <v>0</v>
      </c>
      <c r="BN18" s="9">
        <v>0</v>
      </c>
      <c r="BO18" s="9">
        <v>0</v>
      </c>
      <c r="BP18" s="9">
        <v>0</v>
      </c>
      <c r="BQ18" s="9">
        <v>0</v>
      </c>
      <c r="BR18" s="9">
        <v>0</v>
      </c>
      <c r="BS18" s="9">
        <v>0</v>
      </c>
      <c r="BT18" s="9">
        <v>0</v>
      </c>
      <c r="BU18" s="9">
        <v>0</v>
      </c>
      <c r="BV18" s="9">
        <v>0</v>
      </c>
      <c r="BW18" s="9">
        <v>0</v>
      </c>
      <c r="BX18" s="9">
        <v>0</v>
      </c>
      <c r="BY18" s="9">
        <v>0</v>
      </c>
      <c r="BZ18" s="9">
        <v>0</v>
      </c>
      <c r="CA18" s="9">
        <v>0</v>
      </c>
      <c r="CB18" s="9">
        <v>0</v>
      </c>
      <c r="CC18" s="9">
        <v>0</v>
      </c>
      <c r="CD18" s="9">
        <v>0</v>
      </c>
      <c r="CE18" s="9">
        <v>0</v>
      </c>
      <c r="CF18" s="9">
        <v>0</v>
      </c>
      <c r="CG18" s="9">
        <v>0</v>
      </c>
      <c r="CH18" s="9">
        <v>0</v>
      </c>
      <c r="CI18" s="9">
        <v>0</v>
      </c>
      <c r="CJ18" s="9">
        <v>0</v>
      </c>
      <c r="CK18" s="9">
        <v>0</v>
      </c>
      <c r="CL18" s="9">
        <v>0</v>
      </c>
      <c r="CM18" s="9">
        <v>0</v>
      </c>
      <c r="CN18" s="9">
        <v>0</v>
      </c>
      <c r="CO18" s="9">
        <v>0</v>
      </c>
      <c r="CP18" s="9">
        <v>0</v>
      </c>
      <c r="CQ18" s="9">
        <v>0</v>
      </c>
      <c r="CR18" s="9">
        <v>0</v>
      </c>
      <c r="CS18" s="9">
        <v>0</v>
      </c>
      <c r="CT18" s="9">
        <v>0</v>
      </c>
      <c r="CU18" s="9">
        <v>0</v>
      </c>
      <c r="CV18" s="9">
        <v>0</v>
      </c>
      <c r="CW18" s="9">
        <v>0</v>
      </c>
      <c r="CX18" s="9">
        <v>0</v>
      </c>
      <c r="CY18" s="9">
        <v>0</v>
      </c>
      <c r="CZ18" s="9">
        <v>0</v>
      </c>
      <c r="DA18" s="9">
        <v>0</v>
      </c>
      <c r="DB18" s="9">
        <v>0</v>
      </c>
      <c r="DC18" s="9">
        <v>0</v>
      </c>
      <c r="DD18" s="9">
        <v>0</v>
      </c>
      <c r="DE18" s="9">
        <v>0</v>
      </c>
      <c r="DF18" s="9">
        <v>0</v>
      </c>
      <c r="DG18" s="9">
        <v>0</v>
      </c>
      <c r="DH18" s="9">
        <v>0</v>
      </c>
      <c r="DI18" s="9">
        <v>0</v>
      </c>
      <c r="DJ18" s="9">
        <v>0</v>
      </c>
      <c r="DK18" s="9">
        <v>0</v>
      </c>
      <c r="DL18" s="9">
        <v>0</v>
      </c>
      <c r="DM18" s="9">
        <v>0</v>
      </c>
      <c r="DN18" s="9">
        <v>0</v>
      </c>
      <c r="DO18" s="9">
        <v>0</v>
      </c>
      <c r="DP18" s="9">
        <v>0</v>
      </c>
      <c r="DQ18" s="9">
        <v>0</v>
      </c>
      <c r="DR18" s="9">
        <v>0</v>
      </c>
      <c r="DS18" s="9">
        <v>0</v>
      </c>
      <c r="DT18" s="9">
        <v>0</v>
      </c>
      <c r="DU18" s="9">
        <v>0</v>
      </c>
      <c r="DV18" s="9">
        <v>0</v>
      </c>
      <c r="DW18" s="9">
        <v>0</v>
      </c>
      <c r="DX18" s="9">
        <v>0</v>
      </c>
      <c r="DY18" s="9">
        <v>0</v>
      </c>
      <c r="DZ18" s="9">
        <v>0</v>
      </c>
      <c r="EA18" s="9">
        <v>0</v>
      </c>
      <c r="EB18" s="9">
        <v>0</v>
      </c>
      <c r="EC18" s="9">
        <v>0</v>
      </c>
      <c r="ED18" s="9">
        <v>0</v>
      </c>
      <c r="EE18" s="9">
        <v>0</v>
      </c>
      <c r="EF18" s="9">
        <v>0</v>
      </c>
      <c r="EG18" s="9">
        <v>0</v>
      </c>
      <c r="EH18" s="9">
        <v>0</v>
      </c>
      <c r="EI18" s="9">
        <v>0</v>
      </c>
      <c r="EJ18" s="9">
        <v>0</v>
      </c>
      <c r="EK18" s="9">
        <v>0</v>
      </c>
      <c r="EL18" s="9">
        <v>0</v>
      </c>
      <c r="EM18" s="9">
        <v>0</v>
      </c>
      <c r="EN18" s="9">
        <v>0</v>
      </c>
      <c r="EO18" s="9">
        <v>0</v>
      </c>
      <c r="EP18" s="9">
        <v>0</v>
      </c>
      <c r="EQ18" s="9">
        <v>0</v>
      </c>
      <c r="ER18" s="9">
        <v>0</v>
      </c>
      <c r="ES18" s="9">
        <v>0</v>
      </c>
      <c r="ET18" s="9">
        <v>0</v>
      </c>
      <c r="EU18" s="9">
        <v>0</v>
      </c>
      <c r="EV18" s="9">
        <v>0</v>
      </c>
      <c r="EW18" s="9">
        <v>0</v>
      </c>
      <c r="EX18" s="9">
        <v>0</v>
      </c>
      <c r="EY18" s="9">
        <v>0</v>
      </c>
      <c r="EZ18" s="9">
        <v>0</v>
      </c>
      <c r="FA18" s="9">
        <v>0</v>
      </c>
      <c r="FB18" s="9">
        <v>0</v>
      </c>
      <c r="FC18" s="9">
        <v>0</v>
      </c>
      <c r="FD18" s="9">
        <v>0</v>
      </c>
      <c r="FE18" s="9">
        <v>0</v>
      </c>
      <c r="FF18" s="9">
        <v>0</v>
      </c>
      <c r="FG18" s="9">
        <v>0</v>
      </c>
      <c r="FH18" s="9">
        <v>0</v>
      </c>
      <c r="FI18" s="9">
        <v>0</v>
      </c>
      <c r="FJ18" s="9">
        <v>0</v>
      </c>
      <c r="FK18" s="9">
        <v>0</v>
      </c>
      <c r="FL18" s="9">
        <v>0</v>
      </c>
      <c r="FM18" s="10">
        <v>0</v>
      </c>
    </row>
    <row r="19" spans="1:169" x14ac:dyDescent="0.35">
      <c r="A19" s="8" t="s">
        <v>0</v>
      </c>
      <c r="B19" s="9" t="s">
        <v>29</v>
      </c>
      <c r="C19" s="10" t="s">
        <v>30</v>
      </c>
      <c r="D19" s="62">
        <f t="shared" si="97"/>
        <v>0</v>
      </c>
      <c r="E19" s="9">
        <v>0</v>
      </c>
      <c r="F19" s="9">
        <v>0</v>
      </c>
      <c r="G19" s="9">
        <v>0</v>
      </c>
      <c r="H19" s="9">
        <v>0</v>
      </c>
      <c r="I19" s="9">
        <v>0</v>
      </c>
      <c r="J19" s="9">
        <v>0</v>
      </c>
      <c r="K19" s="9">
        <v>0</v>
      </c>
      <c r="L19" s="9">
        <v>0</v>
      </c>
      <c r="M19" s="9">
        <v>0</v>
      </c>
      <c r="N19" s="9">
        <v>0</v>
      </c>
      <c r="O19" s="9">
        <v>0</v>
      </c>
      <c r="P19" s="9">
        <v>0</v>
      </c>
      <c r="Q19" s="9">
        <v>0</v>
      </c>
      <c r="R19" s="9">
        <v>0</v>
      </c>
      <c r="S19" s="9">
        <v>0</v>
      </c>
      <c r="T19" s="9">
        <v>0</v>
      </c>
      <c r="U19" s="9">
        <v>0</v>
      </c>
      <c r="V19" s="9">
        <v>0</v>
      </c>
      <c r="W19" s="9">
        <v>0</v>
      </c>
      <c r="X19" s="9">
        <v>0</v>
      </c>
      <c r="Y19" s="9">
        <v>0</v>
      </c>
      <c r="Z19" s="9">
        <v>0</v>
      </c>
      <c r="AA19" s="9">
        <v>0</v>
      </c>
      <c r="AB19" s="9">
        <v>0</v>
      </c>
      <c r="AC19" s="9">
        <v>0</v>
      </c>
      <c r="AD19" s="9">
        <v>0</v>
      </c>
      <c r="AE19" s="9">
        <v>0</v>
      </c>
      <c r="AF19" s="9">
        <v>0</v>
      </c>
      <c r="AG19" s="9">
        <v>0</v>
      </c>
      <c r="AH19" s="9">
        <v>0</v>
      </c>
      <c r="AI19" s="9">
        <v>0</v>
      </c>
      <c r="AJ19" s="9">
        <v>0</v>
      </c>
      <c r="AK19" s="9">
        <v>0</v>
      </c>
      <c r="AL19" s="9">
        <v>0</v>
      </c>
      <c r="AM19" s="9">
        <v>0</v>
      </c>
      <c r="AN19" s="9">
        <v>0</v>
      </c>
      <c r="AO19" s="9">
        <v>0</v>
      </c>
      <c r="AP19" s="9">
        <v>0</v>
      </c>
      <c r="AQ19" s="9">
        <v>0</v>
      </c>
      <c r="AR19" s="9">
        <v>0</v>
      </c>
      <c r="AS19" s="9">
        <v>0</v>
      </c>
      <c r="AT19" s="9">
        <v>0</v>
      </c>
      <c r="AU19" s="9">
        <v>0</v>
      </c>
      <c r="AV19" s="9">
        <v>0</v>
      </c>
      <c r="AW19" s="9">
        <v>0</v>
      </c>
      <c r="AX19" s="9">
        <v>0</v>
      </c>
      <c r="AY19" s="9">
        <v>0</v>
      </c>
      <c r="AZ19" s="9">
        <v>0</v>
      </c>
      <c r="BA19" s="9">
        <v>0</v>
      </c>
      <c r="BB19" s="9">
        <v>0</v>
      </c>
      <c r="BC19" s="9">
        <v>0</v>
      </c>
      <c r="BD19" s="9">
        <v>0</v>
      </c>
      <c r="BE19" s="9">
        <v>0</v>
      </c>
      <c r="BF19" s="9">
        <v>0</v>
      </c>
      <c r="BG19" s="9">
        <v>0</v>
      </c>
      <c r="BH19" s="9">
        <v>0</v>
      </c>
      <c r="BI19" s="9">
        <v>0</v>
      </c>
      <c r="BJ19" s="9">
        <v>0</v>
      </c>
      <c r="BK19" s="9">
        <v>0</v>
      </c>
      <c r="BL19" s="9">
        <v>0</v>
      </c>
      <c r="BM19" s="9">
        <v>0</v>
      </c>
      <c r="BN19" s="9">
        <v>0</v>
      </c>
      <c r="BO19" s="9">
        <v>0</v>
      </c>
      <c r="BP19" s="9">
        <v>0</v>
      </c>
      <c r="BQ19" s="9">
        <v>0</v>
      </c>
      <c r="BR19" s="9">
        <v>0</v>
      </c>
      <c r="BS19" s="9">
        <v>0</v>
      </c>
      <c r="BT19" s="9">
        <v>0</v>
      </c>
      <c r="BU19" s="9">
        <v>0</v>
      </c>
      <c r="BV19" s="9">
        <v>0</v>
      </c>
      <c r="BW19" s="9">
        <v>0</v>
      </c>
      <c r="BX19" s="9">
        <v>0</v>
      </c>
      <c r="BY19" s="9">
        <v>0</v>
      </c>
      <c r="BZ19" s="9">
        <v>0</v>
      </c>
      <c r="CA19" s="9">
        <v>0</v>
      </c>
      <c r="CB19" s="9">
        <v>0</v>
      </c>
      <c r="CC19" s="9">
        <v>0</v>
      </c>
      <c r="CD19" s="9">
        <v>0</v>
      </c>
      <c r="CE19" s="9">
        <v>0</v>
      </c>
      <c r="CF19" s="9">
        <v>0</v>
      </c>
      <c r="CG19" s="9">
        <v>0</v>
      </c>
      <c r="CH19" s="9">
        <v>0</v>
      </c>
      <c r="CI19" s="9">
        <v>0</v>
      </c>
      <c r="CJ19" s="9">
        <v>0</v>
      </c>
      <c r="CK19" s="9">
        <v>0</v>
      </c>
      <c r="CL19" s="9">
        <v>0</v>
      </c>
      <c r="CM19" s="9">
        <v>0</v>
      </c>
      <c r="CN19" s="9">
        <v>0</v>
      </c>
      <c r="CO19" s="9">
        <v>0</v>
      </c>
      <c r="CP19" s="9">
        <v>0</v>
      </c>
      <c r="CQ19" s="9">
        <v>0</v>
      </c>
      <c r="CR19" s="9">
        <v>0</v>
      </c>
      <c r="CS19" s="9">
        <v>0</v>
      </c>
      <c r="CT19" s="9">
        <v>0</v>
      </c>
      <c r="CU19" s="9">
        <v>0</v>
      </c>
      <c r="CV19" s="9">
        <v>0</v>
      </c>
      <c r="CW19" s="9">
        <v>0</v>
      </c>
      <c r="CX19" s="9">
        <v>0</v>
      </c>
      <c r="CY19" s="9">
        <v>0</v>
      </c>
      <c r="CZ19" s="9">
        <v>0</v>
      </c>
      <c r="DA19" s="9">
        <v>0</v>
      </c>
      <c r="DB19" s="9">
        <v>0</v>
      </c>
      <c r="DC19" s="9">
        <v>0</v>
      </c>
      <c r="DD19" s="9">
        <v>0</v>
      </c>
      <c r="DE19" s="9">
        <v>0</v>
      </c>
      <c r="DF19" s="9">
        <v>0</v>
      </c>
      <c r="DG19" s="9">
        <v>0</v>
      </c>
      <c r="DH19" s="9">
        <v>0</v>
      </c>
      <c r="DI19" s="9">
        <v>0</v>
      </c>
      <c r="DJ19" s="9">
        <v>0</v>
      </c>
      <c r="DK19" s="9">
        <v>0</v>
      </c>
      <c r="DL19" s="9">
        <v>0</v>
      </c>
      <c r="DM19" s="9">
        <v>0</v>
      </c>
      <c r="DN19" s="9">
        <v>0</v>
      </c>
      <c r="DO19" s="9">
        <v>0</v>
      </c>
      <c r="DP19" s="9">
        <v>0</v>
      </c>
      <c r="DQ19" s="9">
        <v>0</v>
      </c>
      <c r="DR19" s="9">
        <v>0</v>
      </c>
      <c r="DS19" s="9">
        <v>0</v>
      </c>
      <c r="DT19" s="9">
        <v>0</v>
      </c>
      <c r="DU19" s="9">
        <v>0</v>
      </c>
      <c r="DV19" s="9">
        <v>0</v>
      </c>
      <c r="DW19" s="9">
        <v>0</v>
      </c>
      <c r="DX19" s="9">
        <v>0</v>
      </c>
      <c r="DY19" s="9">
        <v>0</v>
      </c>
      <c r="DZ19" s="9">
        <v>0</v>
      </c>
      <c r="EA19" s="9">
        <v>0</v>
      </c>
      <c r="EB19" s="9">
        <v>0</v>
      </c>
      <c r="EC19" s="9">
        <v>0</v>
      </c>
      <c r="ED19" s="9">
        <v>0</v>
      </c>
      <c r="EE19" s="9">
        <v>0</v>
      </c>
      <c r="EF19" s="9">
        <v>0</v>
      </c>
      <c r="EG19" s="9">
        <v>0</v>
      </c>
      <c r="EH19" s="9">
        <v>0</v>
      </c>
      <c r="EI19" s="9">
        <v>0</v>
      </c>
      <c r="EJ19" s="9">
        <v>0</v>
      </c>
      <c r="EK19" s="9">
        <v>0</v>
      </c>
      <c r="EL19" s="9">
        <v>0</v>
      </c>
      <c r="EM19" s="9">
        <v>0</v>
      </c>
      <c r="EN19" s="9">
        <v>0</v>
      </c>
      <c r="EO19" s="9">
        <v>0</v>
      </c>
      <c r="EP19" s="9">
        <v>0</v>
      </c>
      <c r="EQ19" s="9">
        <v>0</v>
      </c>
      <c r="ER19" s="9">
        <v>0</v>
      </c>
      <c r="ES19" s="9">
        <v>0</v>
      </c>
      <c r="ET19" s="9">
        <v>0</v>
      </c>
      <c r="EU19" s="9">
        <v>0</v>
      </c>
      <c r="EV19" s="9">
        <v>0</v>
      </c>
      <c r="EW19" s="9">
        <v>0</v>
      </c>
      <c r="EX19" s="9">
        <v>0</v>
      </c>
      <c r="EY19" s="9">
        <v>0</v>
      </c>
      <c r="EZ19" s="9">
        <v>0</v>
      </c>
      <c r="FA19" s="9">
        <v>0</v>
      </c>
      <c r="FB19" s="9">
        <v>0</v>
      </c>
      <c r="FC19" s="9">
        <v>0</v>
      </c>
      <c r="FD19" s="9">
        <v>0</v>
      </c>
      <c r="FE19" s="9">
        <v>0</v>
      </c>
      <c r="FF19" s="9">
        <v>0</v>
      </c>
      <c r="FG19" s="9">
        <v>0</v>
      </c>
      <c r="FH19" s="9">
        <v>0</v>
      </c>
      <c r="FI19" s="9">
        <v>0</v>
      </c>
      <c r="FJ19" s="9">
        <v>0</v>
      </c>
      <c r="FK19" s="9">
        <v>0</v>
      </c>
      <c r="FL19" s="9">
        <v>0</v>
      </c>
      <c r="FM19" s="10">
        <v>0</v>
      </c>
    </row>
    <row r="20" spans="1:169" x14ac:dyDescent="0.35">
      <c r="A20" s="8" t="s">
        <v>0</v>
      </c>
      <c r="B20" s="9" t="s">
        <v>31</v>
      </c>
      <c r="C20" s="10" t="s">
        <v>32</v>
      </c>
      <c r="D20" s="62">
        <f t="shared" si="97"/>
        <v>39</v>
      </c>
      <c r="E20" s="9">
        <v>0</v>
      </c>
      <c r="F20" s="9">
        <v>0</v>
      </c>
      <c r="G20" s="9">
        <v>0</v>
      </c>
      <c r="H20" s="9">
        <v>0</v>
      </c>
      <c r="I20" s="9">
        <v>0</v>
      </c>
      <c r="J20" s="9">
        <v>0</v>
      </c>
      <c r="K20" s="9">
        <v>0</v>
      </c>
      <c r="L20" s="9">
        <v>0</v>
      </c>
      <c r="M20" s="9">
        <v>0</v>
      </c>
      <c r="N20" s="9">
        <v>0</v>
      </c>
      <c r="O20" s="9">
        <v>0</v>
      </c>
      <c r="P20" s="9">
        <v>0</v>
      </c>
      <c r="Q20" s="9">
        <v>0</v>
      </c>
      <c r="R20" s="9">
        <v>16</v>
      </c>
      <c r="S20" s="9">
        <v>17</v>
      </c>
      <c r="T20" s="9">
        <v>18</v>
      </c>
      <c r="U20" s="9">
        <v>21</v>
      </c>
      <c r="V20" s="9">
        <v>24</v>
      </c>
      <c r="W20" s="9">
        <v>25</v>
      </c>
      <c r="X20" s="9">
        <v>26</v>
      </c>
      <c r="Y20" s="9">
        <v>30</v>
      </c>
      <c r="Z20" s="9">
        <v>30</v>
      </c>
      <c r="AA20" s="9">
        <v>31</v>
      </c>
      <c r="AB20" s="9">
        <v>34</v>
      </c>
      <c r="AC20" s="9">
        <v>33</v>
      </c>
      <c r="AD20" s="9">
        <v>30</v>
      </c>
      <c r="AE20" s="9">
        <v>35</v>
      </c>
      <c r="AF20" s="9">
        <v>36</v>
      </c>
      <c r="AG20" s="9">
        <v>37</v>
      </c>
      <c r="AH20" s="9">
        <v>39</v>
      </c>
      <c r="AI20" s="9">
        <v>36</v>
      </c>
      <c r="AJ20" s="9">
        <v>37</v>
      </c>
      <c r="AK20" s="9">
        <v>34</v>
      </c>
      <c r="AL20" s="9">
        <v>35</v>
      </c>
      <c r="AM20" s="9">
        <v>31</v>
      </c>
      <c r="AN20" s="9">
        <v>31</v>
      </c>
      <c r="AO20" s="9">
        <v>27</v>
      </c>
      <c r="AP20" s="9">
        <v>29</v>
      </c>
      <c r="AQ20" s="9">
        <v>32</v>
      </c>
      <c r="AR20" s="9">
        <v>29</v>
      </c>
      <c r="AS20" s="9">
        <v>29</v>
      </c>
      <c r="AT20" s="9">
        <v>29</v>
      </c>
      <c r="AU20" s="9">
        <v>28</v>
      </c>
      <c r="AV20" s="9">
        <v>28</v>
      </c>
      <c r="AW20" s="9">
        <v>28</v>
      </c>
      <c r="AX20" s="9">
        <v>29</v>
      </c>
      <c r="AY20" s="9">
        <v>28</v>
      </c>
      <c r="AZ20" s="9">
        <v>25</v>
      </c>
      <c r="BA20" s="9">
        <v>27</v>
      </c>
      <c r="BB20" s="9">
        <v>25</v>
      </c>
      <c r="BC20" s="9">
        <v>26</v>
      </c>
      <c r="BD20" s="9">
        <v>25</v>
      </c>
      <c r="BE20" s="9">
        <v>25</v>
      </c>
      <c r="BF20" s="9">
        <v>21</v>
      </c>
      <c r="BG20" s="9">
        <v>21</v>
      </c>
      <c r="BH20" s="9">
        <v>19</v>
      </c>
      <c r="BI20" s="9">
        <v>19</v>
      </c>
      <c r="BJ20" s="9">
        <v>18</v>
      </c>
      <c r="BK20" s="9">
        <v>18</v>
      </c>
      <c r="BL20" s="9">
        <v>18</v>
      </c>
      <c r="BM20" s="9">
        <v>15</v>
      </c>
      <c r="BN20" s="9">
        <v>15</v>
      </c>
      <c r="BO20" s="9">
        <v>16</v>
      </c>
      <c r="BP20" s="9">
        <v>13</v>
      </c>
      <c r="BQ20" s="9">
        <v>14</v>
      </c>
      <c r="BR20" s="9">
        <v>14</v>
      </c>
      <c r="BS20" s="9">
        <v>14</v>
      </c>
      <c r="BT20" s="9">
        <v>14</v>
      </c>
      <c r="BU20" s="9">
        <v>14</v>
      </c>
      <c r="BV20" s="9">
        <v>14</v>
      </c>
      <c r="BW20" s="9">
        <v>14</v>
      </c>
      <c r="BX20" s="9">
        <v>14</v>
      </c>
      <c r="BY20" s="9">
        <v>11</v>
      </c>
      <c r="BZ20" s="9">
        <v>11</v>
      </c>
      <c r="CA20" s="9">
        <v>11</v>
      </c>
      <c r="CB20" s="9">
        <v>10</v>
      </c>
      <c r="CC20" s="9">
        <v>9</v>
      </c>
      <c r="CD20" s="9">
        <v>9</v>
      </c>
      <c r="CE20" s="9">
        <v>9</v>
      </c>
      <c r="CF20" s="9">
        <v>9</v>
      </c>
      <c r="CG20" s="9">
        <v>9</v>
      </c>
      <c r="CH20" s="9">
        <v>9</v>
      </c>
      <c r="CI20" s="9">
        <v>10</v>
      </c>
      <c r="CJ20" s="9">
        <v>10</v>
      </c>
      <c r="CK20" s="9">
        <v>8</v>
      </c>
      <c r="CL20" s="9">
        <v>11</v>
      </c>
      <c r="CM20" s="9">
        <v>7</v>
      </c>
      <c r="CN20" s="9">
        <v>0</v>
      </c>
      <c r="CO20" s="9">
        <v>6</v>
      </c>
      <c r="CP20" s="9">
        <v>6</v>
      </c>
      <c r="CQ20" s="9">
        <v>6</v>
      </c>
      <c r="CR20" s="9">
        <v>6</v>
      </c>
      <c r="CS20" s="9">
        <v>6</v>
      </c>
      <c r="CT20" s="9">
        <v>6</v>
      </c>
      <c r="CU20" s="9">
        <v>6</v>
      </c>
      <c r="CV20" s="9">
        <v>6</v>
      </c>
      <c r="CW20" s="9">
        <v>6</v>
      </c>
      <c r="CX20" s="9">
        <v>6</v>
      </c>
      <c r="CY20" s="9">
        <v>6</v>
      </c>
      <c r="CZ20" s="9">
        <v>6</v>
      </c>
      <c r="DA20" s="9">
        <v>6</v>
      </c>
      <c r="DB20" s="9">
        <v>6</v>
      </c>
      <c r="DC20" s="9">
        <v>5</v>
      </c>
      <c r="DD20" s="9">
        <v>5</v>
      </c>
      <c r="DE20" s="9">
        <v>5</v>
      </c>
      <c r="DF20" s="9">
        <v>5</v>
      </c>
      <c r="DG20" s="9">
        <v>5</v>
      </c>
      <c r="DH20" s="9">
        <v>5</v>
      </c>
      <c r="DI20" s="9">
        <v>4</v>
      </c>
      <c r="DJ20" s="9">
        <v>4</v>
      </c>
      <c r="DK20" s="9">
        <v>3</v>
      </c>
      <c r="DL20" s="9">
        <v>3</v>
      </c>
      <c r="DM20" s="9">
        <v>3</v>
      </c>
      <c r="DN20" s="9">
        <v>3</v>
      </c>
      <c r="DO20" s="9">
        <v>3</v>
      </c>
      <c r="DP20" s="9">
        <v>3</v>
      </c>
      <c r="DQ20" s="9">
        <v>3</v>
      </c>
      <c r="DR20" s="9">
        <v>3</v>
      </c>
      <c r="DS20" s="9">
        <v>3</v>
      </c>
      <c r="DT20" s="9">
        <v>3</v>
      </c>
      <c r="DU20" s="9">
        <v>3</v>
      </c>
      <c r="DV20" s="9">
        <v>3</v>
      </c>
      <c r="DW20" s="9">
        <v>3</v>
      </c>
      <c r="DX20" s="9">
        <v>3</v>
      </c>
      <c r="DY20" s="9">
        <v>2</v>
      </c>
      <c r="DZ20" s="9">
        <v>0</v>
      </c>
      <c r="EA20" s="9">
        <v>0</v>
      </c>
      <c r="EB20" s="9">
        <v>0</v>
      </c>
      <c r="EC20" s="9">
        <v>0</v>
      </c>
      <c r="ED20" s="9">
        <v>0</v>
      </c>
      <c r="EE20" s="9">
        <v>0</v>
      </c>
      <c r="EF20" s="9">
        <v>0</v>
      </c>
      <c r="EG20" s="9">
        <v>0</v>
      </c>
      <c r="EH20" s="9">
        <v>0</v>
      </c>
      <c r="EI20" s="9">
        <v>0</v>
      </c>
      <c r="EJ20" s="9">
        <v>0</v>
      </c>
      <c r="EK20" s="9">
        <v>0</v>
      </c>
      <c r="EL20" s="9">
        <v>0</v>
      </c>
      <c r="EM20" s="9">
        <v>0</v>
      </c>
      <c r="EN20" s="9">
        <v>0</v>
      </c>
      <c r="EO20" s="9">
        <v>0</v>
      </c>
      <c r="EP20" s="9">
        <v>0</v>
      </c>
      <c r="EQ20" s="9">
        <v>0</v>
      </c>
      <c r="ER20" s="9">
        <v>0</v>
      </c>
      <c r="ES20" s="9">
        <v>0</v>
      </c>
      <c r="ET20" s="9">
        <v>0</v>
      </c>
      <c r="EU20" s="9">
        <v>0</v>
      </c>
      <c r="EV20" s="9">
        <v>0</v>
      </c>
      <c r="EW20" s="9">
        <v>0</v>
      </c>
      <c r="EX20" s="9">
        <v>0</v>
      </c>
      <c r="EY20" s="9">
        <v>0</v>
      </c>
      <c r="EZ20" s="9">
        <v>0</v>
      </c>
      <c r="FA20" s="9">
        <v>0</v>
      </c>
      <c r="FB20" s="9">
        <v>0</v>
      </c>
      <c r="FC20" s="9">
        <v>0</v>
      </c>
      <c r="FD20" s="9">
        <v>0</v>
      </c>
      <c r="FE20" s="9">
        <v>0</v>
      </c>
      <c r="FF20" s="9">
        <v>0</v>
      </c>
      <c r="FG20" s="9">
        <v>0</v>
      </c>
      <c r="FH20" s="9">
        <v>0</v>
      </c>
      <c r="FI20" s="9">
        <v>0</v>
      </c>
      <c r="FJ20" s="9">
        <v>0</v>
      </c>
      <c r="FK20" s="9">
        <v>0</v>
      </c>
      <c r="FL20" s="9">
        <v>0</v>
      </c>
      <c r="FM20" s="10">
        <v>0</v>
      </c>
    </row>
    <row r="21" spans="1:169" x14ac:dyDescent="0.35">
      <c r="A21" s="8" t="s">
        <v>0</v>
      </c>
      <c r="B21" s="9" t="s">
        <v>33</v>
      </c>
      <c r="C21" s="10" t="s">
        <v>34</v>
      </c>
      <c r="D21" s="62">
        <f t="shared" si="97"/>
        <v>374</v>
      </c>
      <c r="E21" s="9">
        <v>1</v>
      </c>
      <c r="F21" s="9">
        <v>3</v>
      </c>
      <c r="G21" s="9">
        <v>0</v>
      </c>
      <c r="H21" s="9">
        <v>0</v>
      </c>
      <c r="I21" s="9">
        <v>9</v>
      </c>
      <c r="J21" s="9">
        <v>1</v>
      </c>
      <c r="K21" s="9">
        <v>22</v>
      </c>
      <c r="L21" s="9">
        <v>14</v>
      </c>
      <c r="M21" s="9">
        <v>61</v>
      </c>
      <c r="N21" s="9">
        <v>86</v>
      </c>
      <c r="O21" s="9">
        <v>76</v>
      </c>
      <c r="P21" s="9">
        <v>135</v>
      </c>
      <c r="Q21" s="9">
        <v>150</v>
      </c>
      <c r="R21" s="9">
        <v>99</v>
      </c>
      <c r="S21" s="9">
        <v>170</v>
      </c>
      <c r="T21" s="9">
        <v>61</v>
      </c>
      <c r="U21" s="9">
        <v>234</v>
      </c>
      <c r="V21" s="9">
        <v>255</v>
      </c>
      <c r="W21" s="9">
        <v>262</v>
      </c>
      <c r="X21" s="9">
        <v>276</v>
      </c>
      <c r="Y21" s="9">
        <v>259</v>
      </c>
      <c r="Z21" s="9">
        <v>240</v>
      </c>
      <c r="AA21" s="9">
        <v>238</v>
      </c>
      <c r="AB21" s="9">
        <v>374</v>
      </c>
      <c r="AC21" s="9">
        <v>136</v>
      </c>
      <c r="AD21" s="9">
        <v>257</v>
      </c>
      <c r="AE21" s="9">
        <v>269</v>
      </c>
      <c r="AF21" s="9">
        <v>245</v>
      </c>
      <c r="AG21" s="9">
        <v>236</v>
      </c>
      <c r="AH21" s="9">
        <v>253</v>
      </c>
      <c r="AI21" s="9">
        <v>250</v>
      </c>
      <c r="AJ21" s="9">
        <v>241</v>
      </c>
      <c r="AK21" s="9">
        <v>233</v>
      </c>
      <c r="AL21" s="9">
        <v>228</v>
      </c>
      <c r="AM21" s="9">
        <v>209</v>
      </c>
      <c r="AN21" s="9">
        <v>205</v>
      </c>
      <c r="AO21" s="9">
        <v>193</v>
      </c>
      <c r="AP21" s="9">
        <v>198</v>
      </c>
      <c r="AQ21" s="9">
        <v>190</v>
      </c>
      <c r="AR21" s="9">
        <v>194</v>
      </c>
      <c r="AS21" s="9">
        <v>175</v>
      </c>
      <c r="AT21" s="9">
        <v>161</v>
      </c>
      <c r="AU21" s="9">
        <v>155</v>
      </c>
      <c r="AV21" s="9">
        <v>149</v>
      </c>
      <c r="AW21" s="9">
        <v>147</v>
      </c>
      <c r="AX21" s="9">
        <v>124</v>
      </c>
      <c r="AY21" s="9">
        <v>142</v>
      </c>
      <c r="AZ21" s="9">
        <v>127</v>
      </c>
      <c r="BA21" s="9">
        <v>98</v>
      </c>
      <c r="BB21" s="9">
        <v>80</v>
      </c>
      <c r="BC21" s="9">
        <v>130</v>
      </c>
      <c r="BD21" s="9">
        <v>158</v>
      </c>
      <c r="BE21" s="9">
        <v>131</v>
      </c>
      <c r="BF21" s="9">
        <v>133</v>
      </c>
      <c r="BG21" s="9">
        <v>120</v>
      </c>
      <c r="BH21" s="9">
        <v>112</v>
      </c>
      <c r="BI21" s="9">
        <v>103</v>
      </c>
      <c r="BJ21" s="9">
        <v>101</v>
      </c>
      <c r="BK21" s="9">
        <v>114</v>
      </c>
      <c r="BL21" s="9">
        <v>109</v>
      </c>
      <c r="BM21" s="9">
        <v>138</v>
      </c>
      <c r="BN21" s="9">
        <v>107</v>
      </c>
      <c r="BO21" s="9">
        <v>104</v>
      </c>
      <c r="BP21" s="9">
        <v>103</v>
      </c>
      <c r="BQ21" s="9">
        <v>104</v>
      </c>
      <c r="BR21" s="9">
        <v>96</v>
      </c>
      <c r="BS21" s="9">
        <v>90</v>
      </c>
      <c r="BT21" s="9">
        <v>88</v>
      </c>
      <c r="BU21" s="9">
        <v>86</v>
      </c>
      <c r="BV21" s="9">
        <v>75</v>
      </c>
      <c r="BW21" s="9">
        <v>77</v>
      </c>
      <c r="BX21" s="9">
        <v>73</v>
      </c>
      <c r="BY21" s="9">
        <v>78</v>
      </c>
      <c r="BZ21" s="9">
        <v>78</v>
      </c>
      <c r="CA21" s="9">
        <v>74</v>
      </c>
      <c r="CB21" s="9">
        <v>79</v>
      </c>
      <c r="CC21" s="9">
        <v>67</v>
      </c>
      <c r="CD21" s="9">
        <v>66</v>
      </c>
      <c r="CE21" s="9">
        <v>65</v>
      </c>
      <c r="CF21" s="9">
        <v>62</v>
      </c>
      <c r="CG21" s="9">
        <v>55</v>
      </c>
      <c r="CH21" s="9">
        <v>58</v>
      </c>
      <c r="CI21" s="9">
        <v>59</v>
      </c>
      <c r="CJ21" s="9">
        <v>68</v>
      </c>
      <c r="CK21" s="9">
        <v>64</v>
      </c>
      <c r="CL21" s="9">
        <v>61</v>
      </c>
      <c r="CM21" s="9">
        <v>61</v>
      </c>
      <c r="CN21" s="9">
        <v>69</v>
      </c>
      <c r="CO21" s="9">
        <v>88</v>
      </c>
      <c r="CP21" s="9">
        <v>104</v>
      </c>
      <c r="CQ21" s="9">
        <v>95</v>
      </c>
      <c r="CR21" s="9">
        <v>105</v>
      </c>
      <c r="CS21" s="9">
        <v>96</v>
      </c>
      <c r="CT21" s="9">
        <v>96</v>
      </c>
      <c r="CU21" s="9">
        <v>90</v>
      </c>
      <c r="CV21" s="9">
        <v>79</v>
      </c>
      <c r="CW21" s="9">
        <v>78</v>
      </c>
      <c r="CX21" s="9">
        <v>80</v>
      </c>
      <c r="CY21" s="9">
        <v>73</v>
      </c>
      <c r="CZ21" s="9">
        <v>69</v>
      </c>
      <c r="DA21" s="9">
        <v>68</v>
      </c>
      <c r="DB21" s="9">
        <v>64</v>
      </c>
      <c r="DC21" s="9">
        <v>52</v>
      </c>
      <c r="DD21" s="9">
        <v>43</v>
      </c>
      <c r="DE21" s="9">
        <v>19</v>
      </c>
      <c r="DF21" s="9">
        <v>37</v>
      </c>
      <c r="DG21" s="9">
        <v>40</v>
      </c>
      <c r="DH21" s="9">
        <v>40</v>
      </c>
      <c r="DI21" s="9">
        <v>41</v>
      </c>
      <c r="DJ21" s="9">
        <v>41</v>
      </c>
      <c r="DK21" s="9">
        <v>37</v>
      </c>
      <c r="DL21" s="9">
        <v>28</v>
      </c>
      <c r="DM21" s="9">
        <v>29</v>
      </c>
      <c r="DN21" s="9">
        <v>23</v>
      </c>
      <c r="DO21" s="9">
        <v>27</v>
      </c>
      <c r="DP21" s="9">
        <v>29</v>
      </c>
      <c r="DQ21" s="9">
        <v>27</v>
      </c>
      <c r="DR21" s="9">
        <v>20</v>
      </c>
      <c r="DS21" s="9">
        <v>12</v>
      </c>
      <c r="DT21" s="9">
        <v>20</v>
      </c>
      <c r="DU21" s="9">
        <v>24</v>
      </c>
      <c r="DV21" s="9">
        <v>28</v>
      </c>
      <c r="DW21" s="9">
        <v>26</v>
      </c>
      <c r="DX21" s="9">
        <v>21</v>
      </c>
      <c r="DY21" s="9">
        <v>22</v>
      </c>
      <c r="DZ21" s="9">
        <v>16</v>
      </c>
      <c r="EA21" s="9">
        <v>17</v>
      </c>
      <c r="EB21" s="9">
        <v>12</v>
      </c>
      <c r="EC21" s="9">
        <v>12</v>
      </c>
      <c r="ED21" s="9">
        <v>16</v>
      </c>
      <c r="EE21" s="9">
        <v>16</v>
      </c>
      <c r="EF21" s="9">
        <v>16</v>
      </c>
      <c r="EG21" s="9">
        <v>9</v>
      </c>
      <c r="EH21" s="9">
        <v>8</v>
      </c>
      <c r="EI21" s="9">
        <v>12</v>
      </c>
      <c r="EJ21" s="9">
        <v>8</v>
      </c>
      <c r="EK21" s="9">
        <v>8</v>
      </c>
      <c r="EL21" s="9">
        <v>7</v>
      </c>
      <c r="EM21" s="9">
        <v>5</v>
      </c>
      <c r="EN21" s="9">
        <v>5</v>
      </c>
      <c r="EO21" s="9">
        <v>5</v>
      </c>
      <c r="EP21" s="9">
        <v>5</v>
      </c>
      <c r="EQ21" s="9">
        <v>5</v>
      </c>
      <c r="ER21" s="9">
        <v>6</v>
      </c>
      <c r="ES21" s="9">
        <v>5</v>
      </c>
      <c r="ET21" s="9">
        <v>4</v>
      </c>
      <c r="EU21" s="9">
        <v>4</v>
      </c>
      <c r="EV21" s="9">
        <v>2</v>
      </c>
      <c r="EW21" s="9">
        <v>7</v>
      </c>
      <c r="EX21" s="9">
        <v>1</v>
      </c>
      <c r="EY21" s="9">
        <v>2</v>
      </c>
      <c r="EZ21" s="9">
        <v>1</v>
      </c>
      <c r="FA21" s="9">
        <v>1</v>
      </c>
      <c r="FB21" s="9">
        <v>1</v>
      </c>
      <c r="FC21" s="9">
        <v>1</v>
      </c>
      <c r="FD21" s="9">
        <v>2</v>
      </c>
      <c r="FE21" s="9">
        <v>2</v>
      </c>
      <c r="FF21" s="9">
        <v>1</v>
      </c>
      <c r="FG21" s="9">
        <v>1</v>
      </c>
      <c r="FH21" s="9">
        <v>1</v>
      </c>
      <c r="FI21" s="9">
        <v>2</v>
      </c>
      <c r="FJ21" s="9">
        <v>2</v>
      </c>
      <c r="FK21" s="9">
        <v>2</v>
      </c>
      <c r="FL21" s="9">
        <v>2</v>
      </c>
      <c r="FM21" s="10">
        <v>2</v>
      </c>
    </row>
    <row r="22" spans="1:169" x14ac:dyDescent="0.35">
      <c r="A22" s="8" t="s">
        <v>0</v>
      </c>
      <c r="B22" s="9" t="s">
        <v>35</v>
      </c>
      <c r="C22" s="10" t="s">
        <v>36</v>
      </c>
      <c r="D22" s="62">
        <f t="shared" si="97"/>
        <v>187</v>
      </c>
      <c r="E22" s="9">
        <v>4</v>
      </c>
      <c r="F22" s="9">
        <v>6</v>
      </c>
      <c r="G22" s="9">
        <v>9</v>
      </c>
      <c r="H22" s="9">
        <v>15</v>
      </c>
      <c r="I22" s="9">
        <v>16</v>
      </c>
      <c r="J22" s="9">
        <v>25</v>
      </c>
      <c r="K22" s="9">
        <v>53</v>
      </c>
      <c r="L22" s="9">
        <v>48</v>
      </c>
      <c r="M22" s="9">
        <v>53</v>
      </c>
      <c r="N22" s="9">
        <v>55</v>
      </c>
      <c r="O22" s="9">
        <v>85</v>
      </c>
      <c r="P22" s="9">
        <v>98</v>
      </c>
      <c r="Q22" s="9">
        <v>106</v>
      </c>
      <c r="R22" s="9">
        <v>110</v>
      </c>
      <c r="S22" s="9">
        <v>117</v>
      </c>
      <c r="T22" s="9">
        <v>130</v>
      </c>
      <c r="U22" s="9">
        <v>153</v>
      </c>
      <c r="V22" s="9">
        <v>167</v>
      </c>
      <c r="W22" s="9">
        <v>165</v>
      </c>
      <c r="X22" s="9">
        <v>172</v>
      </c>
      <c r="Y22" s="9">
        <v>174</v>
      </c>
      <c r="Z22" s="9">
        <v>180</v>
      </c>
      <c r="AA22" s="9">
        <v>180</v>
      </c>
      <c r="AB22" s="9">
        <v>180</v>
      </c>
      <c r="AC22" s="9">
        <v>171</v>
      </c>
      <c r="AD22" s="9">
        <v>183</v>
      </c>
      <c r="AE22" s="9">
        <v>186</v>
      </c>
      <c r="AF22" s="9">
        <v>173</v>
      </c>
      <c r="AG22" s="9">
        <v>178</v>
      </c>
      <c r="AH22" s="9">
        <v>160</v>
      </c>
      <c r="AI22" s="9">
        <v>167</v>
      </c>
      <c r="AJ22" s="9">
        <v>176</v>
      </c>
      <c r="AK22" s="9">
        <v>180</v>
      </c>
      <c r="AL22" s="9">
        <v>177</v>
      </c>
      <c r="AM22" s="9">
        <v>177</v>
      </c>
      <c r="AN22" s="9">
        <v>176</v>
      </c>
      <c r="AO22" s="9">
        <v>181</v>
      </c>
      <c r="AP22" s="9">
        <v>176</v>
      </c>
      <c r="AQ22" s="9">
        <v>167</v>
      </c>
      <c r="AR22" s="9">
        <v>187</v>
      </c>
      <c r="AS22" s="9">
        <v>174</v>
      </c>
      <c r="AT22" s="9">
        <v>155</v>
      </c>
      <c r="AU22" s="9">
        <v>134</v>
      </c>
      <c r="AV22" s="9">
        <v>130</v>
      </c>
      <c r="AW22" s="9">
        <v>124</v>
      </c>
      <c r="AX22" s="9">
        <v>124</v>
      </c>
      <c r="AY22" s="9">
        <v>123</v>
      </c>
      <c r="AZ22" s="9">
        <v>128</v>
      </c>
      <c r="BA22" s="9">
        <v>107</v>
      </c>
      <c r="BB22" s="9">
        <v>111</v>
      </c>
      <c r="BC22" s="9">
        <v>97</v>
      </c>
      <c r="BD22" s="9">
        <v>109</v>
      </c>
      <c r="BE22" s="9">
        <v>122</v>
      </c>
      <c r="BF22" s="9">
        <v>127</v>
      </c>
      <c r="BG22" s="9">
        <v>119</v>
      </c>
      <c r="BH22" s="9">
        <v>129</v>
      </c>
      <c r="BI22" s="9">
        <v>126</v>
      </c>
      <c r="BJ22" s="9">
        <v>120</v>
      </c>
      <c r="BK22" s="9">
        <v>129</v>
      </c>
      <c r="BL22" s="9">
        <v>130</v>
      </c>
      <c r="BM22" s="9">
        <v>125</v>
      </c>
      <c r="BN22" s="9">
        <v>128</v>
      </c>
      <c r="BO22" s="9">
        <v>133</v>
      </c>
      <c r="BP22" s="9">
        <v>134</v>
      </c>
      <c r="BQ22" s="9">
        <v>129</v>
      </c>
      <c r="BR22" s="9">
        <v>132</v>
      </c>
      <c r="BS22" s="9">
        <v>124</v>
      </c>
      <c r="BT22" s="9">
        <v>124</v>
      </c>
      <c r="BU22" s="9">
        <v>119</v>
      </c>
      <c r="BV22" s="9">
        <v>121</v>
      </c>
      <c r="BW22" s="9">
        <v>50</v>
      </c>
      <c r="BX22" s="9">
        <v>112</v>
      </c>
      <c r="BY22" s="9">
        <v>109</v>
      </c>
      <c r="BZ22" s="9">
        <v>116</v>
      </c>
      <c r="CA22" s="9">
        <v>114</v>
      </c>
      <c r="CB22" s="9">
        <v>107</v>
      </c>
      <c r="CC22" s="9">
        <v>102</v>
      </c>
      <c r="CD22" s="9">
        <v>92</v>
      </c>
      <c r="CE22" s="9">
        <v>125</v>
      </c>
      <c r="CF22" s="9">
        <v>89</v>
      </c>
      <c r="CG22" s="9">
        <v>82</v>
      </c>
      <c r="CH22" s="9">
        <v>79</v>
      </c>
      <c r="CI22" s="9">
        <v>75</v>
      </c>
      <c r="CJ22" s="9">
        <v>70</v>
      </c>
      <c r="CK22" s="9">
        <v>68</v>
      </c>
      <c r="CL22" s="9">
        <v>70</v>
      </c>
      <c r="CM22" s="9">
        <v>74</v>
      </c>
      <c r="CN22" s="9">
        <v>48</v>
      </c>
      <c r="CO22" s="9">
        <v>77</v>
      </c>
      <c r="CP22" s="9">
        <v>86</v>
      </c>
      <c r="CQ22" s="9">
        <v>90</v>
      </c>
      <c r="CR22" s="9">
        <v>94</v>
      </c>
      <c r="CS22" s="9">
        <v>97</v>
      </c>
      <c r="CT22" s="9">
        <v>95</v>
      </c>
      <c r="CU22" s="9">
        <v>120</v>
      </c>
      <c r="CV22" s="9">
        <v>95</v>
      </c>
      <c r="CW22" s="9">
        <v>99</v>
      </c>
      <c r="CX22" s="9">
        <v>100</v>
      </c>
      <c r="CY22" s="9">
        <v>93</v>
      </c>
      <c r="CZ22" s="9">
        <v>82</v>
      </c>
      <c r="DA22" s="9">
        <v>84</v>
      </c>
      <c r="DB22" s="9">
        <v>85</v>
      </c>
      <c r="DC22" s="9">
        <v>75</v>
      </c>
      <c r="DD22" s="9">
        <v>72</v>
      </c>
      <c r="DE22" s="9">
        <v>78</v>
      </c>
      <c r="DF22" s="9">
        <v>67</v>
      </c>
      <c r="DG22" s="9">
        <v>60</v>
      </c>
      <c r="DH22" s="9">
        <v>60</v>
      </c>
      <c r="DI22" s="9">
        <v>59</v>
      </c>
      <c r="DJ22" s="9">
        <v>54</v>
      </c>
      <c r="DK22" s="9">
        <v>56</v>
      </c>
      <c r="DL22" s="9">
        <v>57</v>
      </c>
      <c r="DM22" s="9">
        <v>52</v>
      </c>
      <c r="DN22" s="9">
        <v>49</v>
      </c>
      <c r="DO22" s="9">
        <v>50</v>
      </c>
      <c r="DP22" s="9">
        <v>42</v>
      </c>
      <c r="DQ22" s="9">
        <v>35</v>
      </c>
      <c r="DR22" s="9">
        <v>48</v>
      </c>
      <c r="DS22" s="9">
        <v>19</v>
      </c>
      <c r="DT22" s="9">
        <v>28</v>
      </c>
      <c r="DU22" s="9">
        <v>26</v>
      </c>
      <c r="DV22" s="9">
        <v>27</v>
      </c>
      <c r="DW22" s="9">
        <v>29</v>
      </c>
      <c r="DX22" s="9">
        <v>20</v>
      </c>
      <c r="DY22" s="9">
        <v>17</v>
      </c>
      <c r="DZ22" s="9">
        <v>15</v>
      </c>
      <c r="EA22" s="9">
        <v>16</v>
      </c>
      <c r="EB22" s="9">
        <v>17</v>
      </c>
      <c r="EC22" s="9">
        <v>12</v>
      </c>
      <c r="ED22" s="9">
        <v>15</v>
      </c>
      <c r="EE22" s="9">
        <v>12</v>
      </c>
      <c r="EF22" s="9">
        <v>13</v>
      </c>
      <c r="EG22" s="9">
        <v>13</v>
      </c>
      <c r="EH22" s="9">
        <v>11</v>
      </c>
      <c r="EI22" s="9">
        <v>11</v>
      </c>
      <c r="EJ22" s="9">
        <v>12</v>
      </c>
      <c r="EK22" s="9">
        <v>10</v>
      </c>
      <c r="EL22" s="9">
        <v>12</v>
      </c>
      <c r="EM22" s="9">
        <v>12</v>
      </c>
      <c r="EN22" s="9">
        <v>9</v>
      </c>
      <c r="EO22" s="9">
        <v>9</v>
      </c>
      <c r="EP22" s="9">
        <v>9</v>
      </c>
      <c r="EQ22" s="9">
        <v>9</v>
      </c>
      <c r="ER22" s="9">
        <v>9</v>
      </c>
      <c r="ES22" s="9">
        <v>8</v>
      </c>
      <c r="ET22" s="9">
        <v>7</v>
      </c>
      <c r="EU22" s="9">
        <v>7</v>
      </c>
      <c r="EV22" s="9">
        <v>7</v>
      </c>
      <c r="EW22" s="9">
        <v>7</v>
      </c>
      <c r="EX22" s="9">
        <v>6</v>
      </c>
      <c r="EY22" s="9">
        <v>8</v>
      </c>
      <c r="EZ22" s="9">
        <v>6</v>
      </c>
      <c r="FA22" s="9">
        <v>4</v>
      </c>
      <c r="FB22" s="9">
        <v>4</v>
      </c>
      <c r="FC22" s="9">
        <v>3</v>
      </c>
      <c r="FD22" s="9">
        <v>5</v>
      </c>
      <c r="FE22" s="9">
        <v>4</v>
      </c>
      <c r="FF22" s="9">
        <v>7</v>
      </c>
      <c r="FG22" s="9">
        <v>5</v>
      </c>
      <c r="FH22" s="9">
        <v>12</v>
      </c>
      <c r="FI22" s="9">
        <v>4</v>
      </c>
      <c r="FJ22" s="9">
        <v>2</v>
      </c>
      <c r="FK22" s="9">
        <v>2</v>
      </c>
      <c r="FL22" s="9">
        <v>2</v>
      </c>
      <c r="FM22" s="10">
        <v>2</v>
      </c>
    </row>
    <row r="23" spans="1:169" x14ac:dyDescent="0.35">
      <c r="A23" s="8" t="s">
        <v>0</v>
      </c>
      <c r="B23" s="9" t="s">
        <v>37</v>
      </c>
      <c r="C23" s="10" t="s">
        <v>38</v>
      </c>
      <c r="D23" s="62">
        <f t="shared" si="97"/>
        <v>121</v>
      </c>
      <c r="E23" s="9">
        <v>6</v>
      </c>
      <c r="F23" s="9">
        <v>8</v>
      </c>
      <c r="G23" s="9">
        <v>7</v>
      </c>
      <c r="H23" s="9">
        <v>1</v>
      </c>
      <c r="I23" s="9">
        <v>8</v>
      </c>
      <c r="J23" s="9">
        <v>9</v>
      </c>
      <c r="K23" s="9">
        <v>15</v>
      </c>
      <c r="L23" s="9">
        <v>28</v>
      </c>
      <c r="M23" s="9">
        <v>27</v>
      </c>
      <c r="N23" s="9">
        <v>28</v>
      </c>
      <c r="O23" s="9">
        <v>29</v>
      </c>
      <c r="P23" s="9">
        <v>41</v>
      </c>
      <c r="Q23" s="9">
        <v>30</v>
      </c>
      <c r="R23" s="9">
        <v>29</v>
      </c>
      <c r="S23" s="9">
        <v>39</v>
      </c>
      <c r="T23" s="9">
        <v>39</v>
      </c>
      <c r="U23" s="9">
        <v>45</v>
      </c>
      <c r="V23" s="9">
        <v>45</v>
      </c>
      <c r="W23" s="9">
        <v>60</v>
      </c>
      <c r="X23" s="9">
        <v>61</v>
      </c>
      <c r="Y23" s="9">
        <v>57</v>
      </c>
      <c r="Z23" s="9">
        <v>45</v>
      </c>
      <c r="AA23" s="9">
        <v>46</v>
      </c>
      <c r="AB23" s="9">
        <v>51</v>
      </c>
      <c r="AC23" s="9">
        <v>57</v>
      </c>
      <c r="AD23" s="9">
        <v>69</v>
      </c>
      <c r="AE23" s="9">
        <v>77</v>
      </c>
      <c r="AF23" s="9">
        <v>80</v>
      </c>
      <c r="AG23" s="9">
        <v>83</v>
      </c>
      <c r="AH23" s="9">
        <v>83</v>
      </c>
      <c r="AI23" s="9">
        <v>66</v>
      </c>
      <c r="AJ23" s="9">
        <v>73</v>
      </c>
      <c r="AK23" s="9">
        <v>80</v>
      </c>
      <c r="AL23" s="9">
        <v>73</v>
      </c>
      <c r="AM23" s="9">
        <v>80</v>
      </c>
      <c r="AN23" s="9">
        <v>70</v>
      </c>
      <c r="AO23" s="9">
        <v>77</v>
      </c>
      <c r="AP23" s="9">
        <v>76</v>
      </c>
      <c r="AQ23" s="9">
        <v>66</v>
      </c>
      <c r="AR23" s="9">
        <v>64</v>
      </c>
      <c r="AS23" s="9">
        <v>68</v>
      </c>
      <c r="AT23" s="9">
        <v>78</v>
      </c>
      <c r="AU23" s="9">
        <v>77</v>
      </c>
      <c r="AV23" s="9">
        <v>77</v>
      </c>
      <c r="AW23" s="9">
        <v>121</v>
      </c>
      <c r="AX23" s="9">
        <v>76</v>
      </c>
      <c r="AY23" s="9">
        <v>77</v>
      </c>
      <c r="AZ23" s="9">
        <v>74</v>
      </c>
      <c r="BA23" s="9">
        <v>73</v>
      </c>
      <c r="BB23" s="9">
        <v>48</v>
      </c>
      <c r="BC23" s="9">
        <v>48</v>
      </c>
      <c r="BD23" s="9">
        <v>48</v>
      </c>
      <c r="BE23" s="9">
        <v>48</v>
      </c>
      <c r="BF23" s="9">
        <v>49</v>
      </c>
      <c r="BG23" s="9">
        <v>49</v>
      </c>
      <c r="BH23" s="9">
        <v>49</v>
      </c>
      <c r="BI23" s="9">
        <v>49</v>
      </c>
      <c r="BJ23" s="9">
        <v>89</v>
      </c>
      <c r="BK23" s="9">
        <v>50</v>
      </c>
      <c r="BL23" s="9">
        <v>42</v>
      </c>
      <c r="BM23" s="9">
        <v>35</v>
      </c>
      <c r="BN23" s="9">
        <v>32</v>
      </c>
      <c r="BO23" s="9">
        <v>32</v>
      </c>
      <c r="BP23" s="9">
        <v>32</v>
      </c>
      <c r="BQ23" s="9">
        <v>25</v>
      </c>
      <c r="BR23" s="9">
        <v>31</v>
      </c>
      <c r="BS23" s="9">
        <v>31</v>
      </c>
      <c r="BT23" s="9">
        <v>15</v>
      </c>
      <c r="BU23" s="9">
        <v>19</v>
      </c>
      <c r="BV23" s="9">
        <v>15</v>
      </c>
      <c r="BW23" s="9">
        <v>14</v>
      </c>
      <c r="BX23" s="9">
        <v>14</v>
      </c>
      <c r="BY23" s="9">
        <v>13</v>
      </c>
      <c r="BZ23" s="9">
        <v>11</v>
      </c>
      <c r="CA23" s="9">
        <v>22</v>
      </c>
      <c r="CB23" s="9">
        <v>16</v>
      </c>
      <c r="CC23" s="9">
        <v>16</v>
      </c>
      <c r="CD23" s="9">
        <v>14</v>
      </c>
      <c r="CE23" s="9">
        <v>9</v>
      </c>
      <c r="CF23" s="9">
        <v>8</v>
      </c>
      <c r="CG23" s="9">
        <v>10</v>
      </c>
      <c r="CH23" s="9">
        <v>9</v>
      </c>
      <c r="CI23" s="9">
        <v>9</v>
      </c>
      <c r="CJ23" s="9">
        <v>10</v>
      </c>
      <c r="CK23" s="9">
        <v>10</v>
      </c>
      <c r="CL23" s="9">
        <v>8</v>
      </c>
      <c r="CM23" s="9">
        <v>6</v>
      </c>
      <c r="CN23" s="9">
        <v>6</v>
      </c>
      <c r="CO23" s="9">
        <v>5</v>
      </c>
      <c r="CP23" s="9">
        <v>5</v>
      </c>
      <c r="CQ23" s="9">
        <v>3</v>
      </c>
      <c r="CR23" s="9">
        <v>4</v>
      </c>
      <c r="CS23" s="9">
        <v>5</v>
      </c>
      <c r="CT23" s="9">
        <v>6</v>
      </c>
      <c r="CU23" s="9">
        <v>4</v>
      </c>
      <c r="CV23" s="9">
        <v>4</v>
      </c>
      <c r="CW23" s="9">
        <v>4</v>
      </c>
      <c r="CX23" s="9">
        <v>4</v>
      </c>
      <c r="CY23" s="9">
        <v>4</v>
      </c>
      <c r="CZ23" s="9">
        <v>6</v>
      </c>
      <c r="DA23" s="9">
        <v>5</v>
      </c>
      <c r="DB23" s="9">
        <v>7</v>
      </c>
      <c r="DC23" s="9">
        <v>9</v>
      </c>
      <c r="DD23" s="9">
        <v>6</v>
      </c>
      <c r="DE23" s="9">
        <v>5</v>
      </c>
      <c r="DF23" s="9">
        <v>1</v>
      </c>
      <c r="DG23" s="9">
        <v>1</v>
      </c>
      <c r="DH23" s="9">
        <v>1</v>
      </c>
      <c r="DI23" s="9">
        <v>1</v>
      </c>
      <c r="DJ23" s="9">
        <v>1</v>
      </c>
      <c r="DK23" s="9">
        <v>1</v>
      </c>
      <c r="DL23" s="9">
        <v>1</v>
      </c>
      <c r="DM23" s="9">
        <v>0</v>
      </c>
      <c r="DN23" s="9">
        <v>0</v>
      </c>
      <c r="DO23" s="9">
        <v>0</v>
      </c>
      <c r="DP23" s="9">
        <v>0</v>
      </c>
      <c r="DQ23" s="9">
        <v>0</v>
      </c>
      <c r="DR23" s="9">
        <v>1</v>
      </c>
      <c r="DS23" s="9">
        <v>1</v>
      </c>
      <c r="DT23" s="9">
        <v>1</v>
      </c>
      <c r="DU23" s="9">
        <v>2</v>
      </c>
      <c r="DV23" s="9">
        <v>1</v>
      </c>
      <c r="DW23" s="9">
        <v>0</v>
      </c>
      <c r="DX23" s="9">
        <v>0</v>
      </c>
      <c r="DY23" s="9">
        <v>0</v>
      </c>
      <c r="DZ23" s="9">
        <v>0</v>
      </c>
      <c r="EA23" s="9">
        <v>0</v>
      </c>
      <c r="EB23" s="9">
        <v>0</v>
      </c>
      <c r="EC23" s="9">
        <v>0</v>
      </c>
      <c r="ED23" s="9">
        <v>0</v>
      </c>
      <c r="EE23" s="9">
        <v>0</v>
      </c>
      <c r="EF23" s="9">
        <v>0</v>
      </c>
      <c r="EG23" s="9">
        <v>0</v>
      </c>
      <c r="EH23" s="9">
        <v>0</v>
      </c>
      <c r="EI23" s="9">
        <v>0</v>
      </c>
      <c r="EJ23" s="9">
        <v>0</v>
      </c>
      <c r="EK23" s="9">
        <v>0</v>
      </c>
      <c r="EL23" s="9">
        <v>0</v>
      </c>
      <c r="EM23" s="9">
        <v>0</v>
      </c>
      <c r="EN23" s="9">
        <v>0</v>
      </c>
      <c r="EO23" s="9">
        <v>0</v>
      </c>
      <c r="EP23" s="9">
        <v>0</v>
      </c>
      <c r="EQ23" s="9">
        <v>0</v>
      </c>
      <c r="ER23" s="9">
        <v>0</v>
      </c>
      <c r="ES23" s="9">
        <v>0</v>
      </c>
      <c r="ET23" s="9">
        <v>0</v>
      </c>
      <c r="EU23" s="9">
        <v>0</v>
      </c>
      <c r="EV23" s="9">
        <v>0</v>
      </c>
      <c r="EW23" s="9">
        <v>0</v>
      </c>
      <c r="EX23" s="9">
        <v>0</v>
      </c>
      <c r="EY23" s="9">
        <v>0</v>
      </c>
      <c r="EZ23" s="9">
        <v>0</v>
      </c>
      <c r="FA23" s="9">
        <v>0</v>
      </c>
      <c r="FB23" s="9">
        <v>0</v>
      </c>
      <c r="FC23" s="9">
        <v>0</v>
      </c>
      <c r="FD23" s="9">
        <v>0</v>
      </c>
      <c r="FE23" s="9">
        <v>0</v>
      </c>
      <c r="FF23" s="9">
        <v>0</v>
      </c>
      <c r="FG23" s="9">
        <v>0</v>
      </c>
      <c r="FH23" s="9">
        <v>0</v>
      </c>
      <c r="FI23" s="9">
        <v>0</v>
      </c>
      <c r="FJ23" s="9">
        <v>0</v>
      </c>
      <c r="FK23" s="9">
        <v>0</v>
      </c>
      <c r="FL23" s="9">
        <v>0</v>
      </c>
      <c r="FM23" s="10">
        <v>0</v>
      </c>
    </row>
    <row r="24" spans="1:169" x14ac:dyDescent="0.35">
      <c r="A24" s="8" t="s">
        <v>0</v>
      </c>
      <c r="B24" s="9" t="s">
        <v>39</v>
      </c>
      <c r="C24" s="10" t="s">
        <v>40</v>
      </c>
      <c r="D24" s="62">
        <f t="shared" si="97"/>
        <v>68</v>
      </c>
      <c r="E24" s="9">
        <v>0</v>
      </c>
      <c r="F24" s="9">
        <v>1</v>
      </c>
      <c r="G24" s="9">
        <v>3</v>
      </c>
      <c r="H24" s="9">
        <v>6</v>
      </c>
      <c r="I24" s="9">
        <v>8</v>
      </c>
      <c r="J24" s="9">
        <v>9</v>
      </c>
      <c r="K24" s="9">
        <v>9</v>
      </c>
      <c r="L24" s="9">
        <v>8</v>
      </c>
      <c r="M24" s="9">
        <v>12</v>
      </c>
      <c r="N24" s="9">
        <v>16</v>
      </c>
      <c r="O24" s="9">
        <v>20</v>
      </c>
      <c r="P24" s="9">
        <v>21</v>
      </c>
      <c r="Q24" s="9">
        <v>35</v>
      </c>
      <c r="R24" s="9">
        <v>30</v>
      </c>
      <c r="S24" s="9">
        <v>34</v>
      </c>
      <c r="T24" s="9">
        <v>33</v>
      </c>
      <c r="U24" s="9">
        <v>41</v>
      </c>
      <c r="V24" s="9">
        <v>50</v>
      </c>
      <c r="W24" s="9">
        <v>55</v>
      </c>
      <c r="X24" s="9">
        <v>62</v>
      </c>
      <c r="Y24" s="9">
        <v>65</v>
      </c>
      <c r="Z24" s="9">
        <v>68</v>
      </c>
      <c r="AA24" s="9">
        <v>63</v>
      </c>
      <c r="AB24" s="9">
        <v>66</v>
      </c>
      <c r="AC24" s="9">
        <v>63</v>
      </c>
      <c r="AD24" s="9">
        <v>64</v>
      </c>
      <c r="AE24" s="9">
        <v>64</v>
      </c>
      <c r="AF24" s="9">
        <v>61</v>
      </c>
      <c r="AG24" s="9">
        <v>60</v>
      </c>
      <c r="AH24" s="9">
        <v>57</v>
      </c>
      <c r="AI24" s="9">
        <v>58</v>
      </c>
      <c r="AJ24" s="9">
        <v>61</v>
      </c>
      <c r="AK24" s="9">
        <v>55</v>
      </c>
      <c r="AL24" s="9">
        <v>51</v>
      </c>
      <c r="AM24" s="9">
        <v>44</v>
      </c>
      <c r="AN24" s="9">
        <v>35</v>
      </c>
      <c r="AO24" s="9">
        <v>33</v>
      </c>
      <c r="AP24" s="9">
        <v>38</v>
      </c>
      <c r="AQ24" s="9">
        <v>43</v>
      </c>
      <c r="AR24" s="9">
        <v>38</v>
      </c>
      <c r="AS24" s="9">
        <v>35</v>
      </c>
      <c r="AT24" s="9">
        <v>38</v>
      </c>
      <c r="AU24" s="9">
        <v>38</v>
      </c>
      <c r="AV24" s="9">
        <v>33</v>
      </c>
      <c r="AW24" s="9">
        <v>32</v>
      </c>
      <c r="AX24" s="9">
        <v>27</v>
      </c>
      <c r="AY24" s="9">
        <v>30</v>
      </c>
      <c r="AZ24" s="9">
        <v>27</v>
      </c>
      <c r="BA24" s="9">
        <v>27</v>
      </c>
      <c r="BB24" s="9">
        <v>25</v>
      </c>
      <c r="BC24" s="9">
        <v>28</v>
      </c>
      <c r="BD24" s="9">
        <v>27</v>
      </c>
      <c r="BE24" s="9">
        <v>26</v>
      </c>
      <c r="BF24" s="9">
        <v>20</v>
      </c>
      <c r="BG24" s="9">
        <v>24</v>
      </c>
      <c r="BH24" s="9">
        <v>19</v>
      </c>
      <c r="BI24" s="9">
        <v>19</v>
      </c>
      <c r="BJ24" s="9">
        <v>18</v>
      </c>
      <c r="BK24" s="9">
        <v>18</v>
      </c>
      <c r="BL24" s="9">
        <v>21</v>
      </c>
      <c r="BM24" s="9">
        <v>22</v>
      </c>
      <c r="BN24" s="9">
        <v>23</v>
      </c>
      <c r="BO24" s="9">
        <v>22</v>
      </c>
      <c r="BP24" s="9">
        <v>22</v>
      </c>
      <c r="BQ24" s="9">
        <v>20</v>
      </c>
      <c r="BR24" s="9">
        <v>21</v>
      </c>
      <c r="BS24" s="9">
        <v>19</v>
      </c>
      <c r="BT24" s="9">
        <v>19</v>
      </c>
      <c r="BU24" s="9">
        <v>19</v>
      </c>
      <c r="BV24" s="9">
        <v>15</v>
      </c>
      <c r="BW24" s="9">
        <v>12</v>
      </c>
      <c r="BX24" s="9">
        <v>11</v>
      </c>
      <c r="BY24" s="9">
        <v>11</v>
      </c>
      <c r="BZ24" s="9">
        <v>11</v>
      </c>
      <c r="CA24" s="9">
        <v>11</v>
      </c>
      <c r="CB24" s="9">
        <v>11</v>
      </c>
      <c r="CC24" s="9">
        <v>11</v>
      </c>
      <c r="CD24" s="9">
        <v>12</v>
      </c>
      <c r="CE24" s="9">
        <v>11</v>
      </c>
      <c r="CF24" s="9">
        <v>11</v>
      </c>
      <c r="CG24" s="9">
        <v>11</v>
      </c>
      <c r="CH24" s="9">
        <v>10</v>
      </c>
      <c r="CI24" s="9">
        <v>11</v>
      </c>
      <c r="CJ24" s="9">
        <v>9</v>
      </c>
      <c r="CK24" s="9">
        <v>10</v>
      </c>
      <c r="CL24" s="9">
        <v>10</v>
      </c>
      <c r="CM24" s="9">
        <v>10</v>
      </c>
      <c r="CN24" s="9">
        <v>12</v>
      </c>
      <c r="CO24" s="9">
        <v>12</v>
      </c>
      <c r="CP24" s="9">
        <v>13</v>
      </c>
      <c r="CQ24" s="9">
        <v>13</v>
      </c>
      <c r="CR24" s="9">
        <v>11</v>
      </c>
      <c r="CS24" s="9">
        <v>9</v>
      </c>
      <c r="CT24" s="9">
        <v>9</v>
      </c>
      <c r="CU24" s="9">
        <v>11</v>
      </c>
      <c r="CV24" s="9">
        <v>11</v>
      </c>
      <c r="CW24" s="9">
        <v>12</v>
      </c>
      <c r="CX24" s="9">
        <v>11</v>
      </c>
      <c r="CY24" s="9">
        <v>11</v>
      </c>
      <c r="CZ24" s="9">
        <v>7</v>
      </c>
      <c r="DA24" s="9">
        <v>9</v>
      </c>
      <c r="DB24" s="9">
        <v>9</v>
      </c>
      <c r="DC24" s="9">
        <v>9</v>
      </c>
      <c r="DD24" s="9">
        <v>10</v>
      </c>
      <c r="DE24" s="9">
        <v>9</v>
      </c>
      <c r="DF24" s="9">
        <v>8</v>
      </c>
      <c r="DG24" s="9">
        <v>7</v>
      </c>
      <c r="DH24" s="9">
        <v>7</v>
      </c>
      <c r="DI24" s="9">
        <v>9</v>
      </c>
      <c r="DJ24" s="9">
        <v>8</v>
      </c>
      <c r="DK24" s="9">
        <v>8</v>
      </c>
      <c r="DL24" s="9">
        <v>8</v>
      </c>
      <c r="DM24" s="9">
        <v>6</v>
      </c>
      <c r="DN24" s="9">
        <v>6</v>
      </c>
      <c r="DO24" s="9">
        <v>6</v>
      </c>
      <c r="DP24" s="9">
        <v>7</v>
      </c>
      <c r="DQ24" s="9">
        <v>5</v>
      </c>
      <c r="DR24" s="9">
        <v>9</v>
      </c>
      <c r="DS24" s="9">
        <v>7</v>
      </c>
      <c r="DT24" s="9">
        <v>3</v>
      </c>
      <c r="DU24" s="9">
        <v>3</v>
      </c>
      <c r="DV24" s="9">
        <v>2</v>
      </c>
      <c r="DW24" s="9">
        <v>2</v>
      </c>
      <c r="DX24" s="9">
        <v>2</v>
      </c>
      <c r="DY24" s="9">
        <v>1</v>
      </c>
      <c r="DZ24" s="9">
        <v>0</v>
      </c>
      <c r="EA24" s="9">
        <v>0</v>
      </c>
      <c r="EB24" s="9">
        <v>0</v>
      </c>
      <c r="EC24" s="9">
        <v>0</v>
      </c>
      <c r="ED24" s="9">
        <v>0</v>
      </c>
      <c r="EE24" s="9">
        <v>0</v>
      </c>
      <c r="EF24" s="9">
        <v>0</v>
      </c>
      <c r="EG24" s="9">
        <v>0</v>
      </c>
      <c r="EH24" s="9">
        <v>0</v>
      </c>
      <c r="EI24" s="9">
        <v>0</v>
      </c>
      <c r="EJ24" s="9">
        <v>0</v>
      </c>
      <c r="EK24" s="9">
        <v>0</v>
      </c>
      <c r="EL24" s="9">
        <v>0</v>
      </c>
      <c r="EM24" s="9">
        <v>0</v>
      </c>
      <c r="EN24" s="9">
        <v>0</v>
      </c>
      <c r="EO24" s="9">
        <v>0</v>
      </c>
      <c r="EP24" s="9">
        <v>0</v>
      </c>
      <c r="EQ24" s="9">
        <v>0</v>
      </c>
      <c r="ER24" s="9">
        <v>0</v>
      </c>
      <c r="ES24" s="9">
        <v>0</v>
      </c>
      <c r="ET24" s="9">
        <v>0</v>
      </c>
      <c r="EU24" s="9">
        <v>0</v>
      </c>
      <c r="EV24" s="9">
        <v>0</v>
      </c>
      <c r="EW24" s="9">
        <v>0</v>
      </c>
      <c r="EX24" s="9">
        <v>0</v>
      </c>
      <c r="EY24" s="9">
        <v>0</v>
      </c>
      <c r="EZ24" s="9">
        <v>0</v>
      </c>
      <c r="FA24" s="9">
        <v>0</v>
      </c>
      <c r="FB24" s="9">
        <v>0</v>
      </c>
      <c r="FC24" s="9">
        <v>1</v>
      </c>
      <c r="FD24" s="9">
        <v>1</v>
      </c>
      <c r="FE24" s="9">
        <v>1</v>
      </c>
      <c r="FF24" s="9">
        <v>1</v>
      </c>
      <c r="FG24" s="9">
        <v>0</v>
      </c>
      <c r="FH24" s="9">
        <v>0</v>
      </c>
      <c r="FI24" s="9">
        <v>0</v>
      </c>
      <c r="FJ24" s="9">
        <v>0</v>
      </c>
      <c r="FK24" s="9">
        <v>0</v>
      </c>
      <c r="FL24" s="9">
        <v>0</v>
      </c>
      <c r="FM24" s="10">
        <v>0</v>
      </c>
    </row>
    <row r="25" spans="1:169" x14ac:dyDescent="0.35">
      <c r="A25" s="8" t="s">
        <v>0</v>
      </c>
      <c r="B25" s="9" t="s">
        <v>41</v>
      </c>
      <c r="C25" s="10" t="s">
        <v>42</v>
      </c>
      <c r="D25" s="62">
        <f t="shared" si="97"/>
        <v>143</v>
      </c>
      <c r="E25" s="9">
        <v>0</v>
      </c>
      <c r="F25" s="9">
        <v>0</v>
      </c>
      <c r="G25" s="9">
        <v>0</v>
      </c>
      <c r="H25" s="9">
        <v>2</v>
      </c>
      <c r="I25" s="9">
        <v>8</v>
      </c>
      <c r="J25" s="9">
        <v>18</v>
      </c>
      <c r="K25" s="9">
        <v>15</v>
      </c>
      <c r="L25" s="9">
        <v>25</v>
      </c>
      <c r="M25" s="9">
        <v>25</v>
      </c>
      <c r="N25" s="9">
        <v>41</v>
      </c>
      <c r="O25" s="9">
        <v>19</v>
      </c>
      <c r="P25" s="9">
        <v>45</v>
      </c>
      <c r="Q25" s="9">
        <v>42</v>
      </c>
      <c r="R25" s="9">
        <v>42</v>
      </c>
      <c r="S25" s="9">
        <v>53</v>
      </c>
      <c r="T25" s="9">
        <v>63</v>
      </c>
      <c r="U25" s="9">
        <v>86</v>
      </c>
      <c r="V25" s="9">
        <v>84</v>
      </c>
      <c r="W25" s="9">
        <v>99</v>
      </c>
      <c r="X25" s="9">
        <v>56</v>
      </c>
      <c r="Y25" s="9">
        <v>55</v>
      </c>
      <c r="Z25" s="9">
        <v>108</v>
      </c>
      <c r="AA25" s="9">
        <v>103</v>
      </c>
      <c r="AB25" s="9">
        <v>123</v>
      </c>
      <c r="AC25" s="9">
        <v>120</v>
      </c>
      <c r="AD25" s="9">
        <v>111</v>
      </c>
      <c r="AE25" s="9">
        <v>113</v>
      </c>
      <c r="AF25" s="9">
        <v>118</v>
      </c>
      <c r="AG25" s="9">
        <v>124</v>
      </c>
      <c r="AH25" s="9">
        <v>115</v>
      </c>
      <c r="AI25" s="9">
        <v>117</v>
      </c>
      <c r="AJ25" s="9">
        <v>117</v>
      </c>
      <c r="AK25" s="9">
        <v>115</v>
      </c>
      <c r="AL25" s="9">
        <v>120</v>
      </c>
      <c r="AM25" s="9">
        <v>128</v>
      </c>
      <c r="AN25" s="9">
        <v>132</v>
      </c>
      <c r="AO25" s="9">
        <v>134</v>
      </c>
      <c r="AP25" s="9">
        <v>135</v>
      </c>
      <c r="AQ25" s="9">
        <v>143</v>
      </c>
      <c r="AR25" s="9">
        <v>138</v>
      </c>
      <c r="AS25" s="9">
        <v>135</v>
      </c>
      <c r="AT25" s="9">
        <v>106</v>
      </c>
      <c r="AU25" s="9">
        <v>104</v>
      </c>
      <c r="AV25" s="9">
        <v>97</v>
      </c>
      <c r="AW25" s="9">
        <v>98</v>
      </c>
      <c r="AX25" s="9">
        <v>99</v>
      </c>
      <c r="AY25" s="9">
        <v>90</v>
      </c>
      <c r="AZ25" s="9">
        <v>87</v>
      </c>
      <c r="BA25" s="9">
        <v>89</v>
      </c>
      <c r="BB25" s="9">
        <v>97</v>
      </c>
      <c r="BC25" s="9">
        <v>103</v>
      </c>
      <c r="BD25" s="9">
        <v>101</v>
      </c>
      <c r="BE25" s="9">
        <v>93</v>
      </c>
      <c r="BF25" s="9">
        <v>85</v>
      </c>
      <c r="BG25" s="9">
        <v>80</v>
      </c>
      <c r="BH25" s="9">
        <v>79</v>
      </c>
      <c r="BI25" s="9">
        <v>95</v>
      </c>
      <c r="BJ25" s="9">
        <v>71</v>
      </c>
      <c r="BK25" s="9">
        <v>75</v>
      </c>
      <c r="BL25" s="9">
        <v>82</v>
      </c>
      <c r="BM25" s="9">
        <v>79</v>
      </c>
      <c r="BN25" s="9">
        <v>80</v>
      </c>
      <c r="BO25" s="9">
        <v>75</v>
      </c>
      <c r="BP25" s="9">
        <v>76</v>
      </c>
      <c r="BQ25" s="9">
        <v>76</v>
      </c>
      <c r="BR25" s="9">
        <v>75</v>
      </c>
      <c r="BS25" s="9">
        <v>71</v>
      </c>
      <c r="BT25" s="9">
        <v>69</v>
      </c>
      <c r="BU25" s="9">
        <v>71</v>
      </c>
      <c r="BV25" s="9">
        <v>64</v>
      </c>
      <c r="BW25" s="9">
        <v>63</v>
      </c>
      <c r="BX25" s="9">
        <v>58</v>
      </c>
      <c r="BY25" s="9">
        <v>57</v>
      </c>
      <c r="BZ25" s="9">
        <v>54</v>
      </c>
      <c r="CA25" s="9">
        <v>46</v>
      </c>
      <c r="CB25" s="9">
        <v>40</v>
      </c>
      <c r="CC25" s="9">
        <v>43</v>
      </c>
      <c r="CD25" s="9">
        <v>44</v>
      </c>
      <c r="CE25" s="9">
        <v>45</v>
      </c>
      <c r="CF25" s="9">
        <v>41</v>
      </c>
      <c r="CG25" s="9">
        <v>39</v>
      </c>
      <c r="CH25" s="9">
        <v>41</v>
      </c>
      <c r="CI25" s="9">
        <v>36</v>
      </c>
      <c r="CJ25" s="9">
        <v>30</v>
      </c>
      <c r="CK25" s="9">
        <v>31</v>
      </c>
      <c r="CL25" s="9">
        <v>28</v>
      </c>
      <c r="CM25" s="9">
        <v>24</v>
      </c>
      <c r="CN25" s="9">
        <v>22</v>
      </c>
      <c r="CO25" s="9">
        <v>25</v>
      </c>
      <c r="CP25" s="9">
        <v>23</v>
      </c>
      <c r="CQ25" s="9">
        <v>18</v>
      </c>
      <c r="CR25" s="9">
        <v>24</v>
      </c>
      <c r="CS25" s="9">
        <v>22</v>
      </c>
      <c r="CT25" s="9">
        <v>20</v>
      </c>
      <c r="CU25" s="9">
        <v>20</v>
      </c>
      <c r="CV25" s="9">
        <v>23</v>
      </c>
      <c r="CW25" s="9">
        <v>30</v>
      </c>
      <c r="CX25" s="9">
        <v>19</v>
      </c>
      <c r="CY25" s="9">
        <v>24</v>
      </c>
      <c r="CZ25" s="9">
        <v>24</v>
      </c>
      <c r="DA25" s="9">
        <v>23</v>
      </c>
      <c r="DB25" s="9">
        <v>27</v>
      </c>
      <c r="DC25" s="9">
        <v>26</v>
      </c>
      <c r="DD25" s="9">
        <v>23</v>
      </c>
      <c r="DE25" s="9">
        <v>23</v>
      </c>
      <c r="DF25" s="9">
        <v>22</v>
      </c>
      <c r="DG25" s="9">
        <v>19</v>
      </c>
      <c r="DH25" s="9">
        <v>21</v>
      </c>
      <c r="DI25" s="9">
        <v>21</v>
      </c>
      <c r="DJ25" s="9">
        <v>18</v>
      </c>
      <c r="DK25" s="9">
        <v>19</v>
      </c>
      <c r="DL25" s="9">
        <v>19</v>
      </c>
      <c r="DM25" s="9">
        <v>20</v>
      </c>
      <c r="DN25" s="9">
        <v>17</v>
      </c>
      <c r="DO25" s="9">
        <v>18</v>
      </c>
      <c r="DP25" s="9">
        <v>23</v>
      </c>
      <c r="DQ25" s="9">
        <v>21</v>
      </c>
      <c r="DR25" s="9">
        <v>24</v>
      </c>
      <c r="DS25" s="9">
        <v>23</v>
      </c>
      <c r="DT25" s="9">
        <v>22</v>
      </c>
      <c r="DU25" s="9">
        <v>26</v>
      </c>
      <c r="DV25" s="9">
        <v>23</v>
      </c>
      <c r="DW25" s="9">
        <v>22</v>
      </c>
      <c r="DX25" s="9">
        <v>22</v>
      </c>
      <c r="DY25" s="9">
        <v>20</v>
      </c>
      <c r="DZ25" s="9">
        <v>18</v>
      </c>
      <c r="EA25" s="9">
        <v>20</v>
      </c>
      <c r="EB25" s="9">
        <v>20</v>
      </c>
      <c r="EC25" s="9">
        <v>22</v>
      </c>
      <c r="ED25" s="9">
        <v>11</v>
      </c>
      <c r="EE25" s="9">
        <v>10</v>
      </c>
      <c r="EF25" s="9">
        <v>9</v>
      </c>
      <c r="EG25" s="9">
        <v>10</v>
      </c>
      <c r="EH25" s="9">
        <v>8</v>
      </c>
      <c r="EI25" s="9">
        <v>8</v>
      </c>
      <c r="EJ25" s="9">
        <v>7</v>
      </c>
      <c r="EK25" s="9">
        <v>5</v>
      </c>
      <c r="EL25" s="9">
        <v>3</v>
      </c>
      <c r="EM25" s="9">
        <v>5</v>
      </c>
      <c r="EN25" s="9">
        <v>5</v>
      </c>
      <c r="EO25" s="9">
        <v>4</v>
      </c>
      <c r="EP25" s="9">
        <v>5</v>
      </c>
      <c r="EQ25" s="9">
        <v>5</v>
      </c>
      <c r="ER25" s="9">
        <v>5</v>
      </c>
      <c r="ES25" s="9">
        <v>5</v>
      </c>
      <c r="ET25" s="9">
        <v>4</v>
      </c>
      <c r="EU25" s="9">
        <v>3</v>
      </c>
      <c r="EV25" s="9">
        <v>3</v>
      </c>
      <c r="EW25" s="9">
        <v>2</v>
      </c>
      <c r="EX25" s="9">
        <v>2</v>
      </c>
      <c r="EY25" s="9">
        <v>2</v>
      </c>
      <c r="EZ25" s="9">
        <v>1</v>
      </c>
      <c r="FA25" s="9">
        <v>0</v>
      </c>
      <c r="FB25" s="9">
        <v>1</v>
      </c>
      <c r="FC25" s="9">
        <v>0</v>
      </c>
      <c r="FD25" s="9">
        <v>0</v>
      </c>
      <c r="FE25" s="9">
        <v>0</v>
      </c>
      <c r="FF25" s="9">
        <v>0</v>
      </c>
      <c r="FG25" s="9">
        <v>0</v>
      </c>
      <c r="FH25" s="9">
        <v>0</v>
      </c>
      <c r="FI25" s="9">
        <v>0</v>
      </c>
      <c r="FJ25" s="9">
        <v>0</v>
      </c>
      <c r="FK25" s="9">
        <v>0</v>
      </c>
      <c r="FL25" s="9">
        <v>0</v>
      </c>
      <c r="FM25" s="10">
        <v>0</v>
      </c>
    </row>
    <row r="26" spans="1:169" x14ac:dyDescent="0.35">
      <c r="A26" s="8" t="s">
        <v>0</v>
      </c>
      <c r="B26" s="9" t="s">
        <v>43</v>
      </c>
      <c r="C26" s="10" t="s">
        <v>44</v>
      </c>
      <c r="D26" s="62">
        <f t="shared" si="97"/>
        <v>56</v>
      </c>
      <c r="E26" s="9">
        <v>0</v>
      </c>
      <c r="F26" s="9">
        <v>3</v>
      </c>
      <c r="G26" s="9">
        <v>4</v>
      </c>
      <c r="H26" s="9">
        <v>0</v>
      </c>
      <c r="I26" s="9">
        <v>4</v>
      </c>
      <c r="J26" s="9">
        <v>4</v>
      </c>
      <c r="K26" s="9">
        <v>5</v>
      </c>
      <c r="L26" s="9">
        <v>5</v>
      </c>
      <c r="M26" s="9">
        <v>6</v>
      </c>
      <c r="N26" s="9">
        <v>7</v>
      </c>
      <c r="O26" s="9">
        <v>11</v>
      </c>
      <c r="P26" s="9">
        <v>13</v>
      </c>
      <c r="Q26" s="9">
        <v>19</v>
      </c>
      <c r="R26" s="9">
        <v>22</v>
      </c>
      <c r="S26" s="9">
        <v>24</v>
      </c>
      <c r="T26" s="9">
        <v>28</v>
      </c>
      <c r="U26" s="9">
        <v>33</v>
      </c>
      <c r="V26" s="9">
        <v>36</v>
      </c>
      <c r="W26" s="9">
        <v>43</v>
      </c>
      <c r="X26" s="9">
        <v>48</v>
      </c>
      <c r="Y26" s="9">
        <v>48</v>
      </c>
      <c r="Z26" s="9">
        <v>50</v>
      </c>
      <c r="AA26" s="9">
        <v>52</v>
      </c>
      <c r="AB26" s="9">
        <v>49</v>
      </c>
      <c r="AC26" s="9">
        <v>54</v>
      </c>
      <c r="AD26" s="9">
        <v>56</v>
      </c>
      <c r="AE26" s="9">
        <v>49</v>
      </c>
      <c r="AF26" s="9">
        <v>51</v>
      </c>
      <c r="AG26" s="9">
        <v>49</v>
      </c>
      <c r="AH26" s="9">
        <v>48</v>
      </c>
      <c r="AI26" s="9">
        <v>50</v>
      </c>
      <c r="AJ26" s="9">
        <v>48</v>
      </c>
      <c r="AK26" s="9">
        <v>50</v>
      </c>
      <c r="AL26" s="9">
        <v>52</v>
      </c>
      <c r="AM26" s="9">
        <v>50</v>
      </c>
      <c r="AN26" s="9">
        <v>51</v>
      </c>
      <c r="AO26" s="9">
        <v>48</v>
      </c>
      <c r="AP26" s="9">
        <v>46</v>
      </c>
      <c r="AQ26" s="9">
        <v>45</v>
      </c>
      <c r="AR26" s="9">
        <v>45</v>
      </c>
      <c r="AS26" s="9">
        <v>39</v>
      </c>
      <c r="AT26" s="9">
        <v>37</v>
      </c>
      <c r="AU26" s="9">
        <v>35</v>
      </c>
      <c r="AV26" s="9">
        <v>35</v>
      </c>
      <c r="AW26" s="9">
        <v>35</v>
      </c>
      <c r="AX26" s="9">
        <v>34</v>
      </c>
      <c r="AY26" s="9">
        <v>35</v>
      </c>
      <c r="AZ26" s="9">
        <v>34</v>
      </c>
      <c r="BA26" s="9">
        <v>34</v>
      </c>
      <c r="BB26" s="9">
        <v>35</v>
      </c>
      <c r="BC26" s="9">
        <v>33</v>
      </c>
      <c r="BD26" s="9">
        <v>32</v>
      </c>
      <c r="BE26" s="9">
        <v>32</v>
      </c>
      <c r="BF26" s="9">
        <v>31</v>
      </c>
      <c r="BG26" s="9">
        <v>31</v>
      </c>
      <c r="BH26" s="9">
        <v>31</v>
      </c>
      <c r="BI26" s="9">
        <v>28</v>
      </c>
      <c r="BJ26" s="9">
        <v>27</v>
      </c>
      <c r="BK26" s="9">
        <v>28</v>
      </c>
      <c r="BL26" s="9">
        <v>27</v>
      </c>
      <c r="BM26" s="9">
        <v>27</v>
      </c>
      <c r="BN26" s="9">
        <v>27</v>
      </c>
      <c r="BO26" s="9">
        <v>26</v>
      </c>
      <c r="BP26" s="9">
        <v>25</v>
      </c>
      <c r="BQ26" s="9">
        <v>25</v>
      </c>
      <c r="BR26" s="9">
        <v>24</v>
      </c>
      <c r="BS26" s="9">
        <v>25</v>
      </c>
      <c r="BT26" s="9">
        <v>25</v>
      </c>
      <c r="BU26" s="9">
        <v>24</v>
      </c>
      <c r="BV26" s="9">
        <v>22</v>
      </c>
      <c r="BW26" s="9">
        <v>20</v>
      </c>
      <c r="BX26" s="9">
        <v>19</v>
      </c>
      <c r="BY26" s="9">
        <v>19</v>
      </c>
      <c r="BZ26" s="9">
        <v>20</v>
      </c>
      <c r="CA26" s="9">
        <v>20</v>
      </c>
      <c r="CB26" s="9">
        <v>20</v>
      </c>
      <c r="CC26" s="9">
        <v>19</v>
      </c>
      <c r="CD26" s="9">
        <v>18</v>
      </c>
      <c r="CE26" s="9">
        <v>14</v>
      </c>
      <c r="CF26" s="9">
        <v>14</v>
      </c>
      <c r="CG26" s="9">
        <v>14</v>
      </c>
      <c r="CH26" s="9">
        <v>15</v>
      </c>
      <c r="CI26" s="9">
        <v>15</v>
      </c>
      <c r="CJ26" s="9">
        <v>13</v>
      </c>
      <c r="CK26" s="9">
        <v>12</v>
      </c>
      <c r="CL26" s="9">
        <v>12</v>
      </c>
      <c r="CM26" s="9">
        <v>12</v>
      </c>
      <c r="CN26" s="9">
        <v>13</v>
      </c>
      <c r="CO26" s="9">
        <v>13</v>
      </c>
      <c r="CP26" s="9">
        <v>14</v>
      </c>
      <c r="CQ26" s="9">
        <v>13</v>
      </c>
      <c r="CR26" s="9">
        <v>13</v>
      </c>
      <c r="CS26" s="9">
        <v>13</v>
      </c>
      <c r="CT26" s="9">
        <v>13</v>
      </c>
      <c r="CU26" s="9">
        <v>13</v>
      </c>
      <c r="CV26" s="9">
        <v>12</v>
      </c>
      <c r="CW26" s="9">
        <v>13</v>
      </c>
      <c r="CX26" s="9">
        <v>12</v>
      </c>
      <c r="CY26" s="9">
        <v>12</v>
      </c>
      <c r="CZ26" s="9">
        <v>11</v>
      </c>
      <c r="DA26" s="9">
        <v>11</v>
      </c>
      <c r="DB26" s="9">
        <v>11</v>
      </c>
      <c r="DC26" s="9">
        <v>9</v>
      </c>
      <c r="DD26" s="9">
        <v>9</v>
      </c>
      <c r="DE26" s="9">
        <v>10</v>
      </c>
      <c r="DF26" s="9">
        <v>8</v>
      </c>
      <c r="DG26" s="9">
        <v>9</v>
      </c>
      <c r="DH26" s="9">
        <v>9</v>
      </c>
      <c r="DI26" s="9">
        <v>8</v>
      </c>
      <c r="DJ26" s="9">
        <v>7</v>
      </c>
      <c r="DK26" s="9">
        <v>6</v>
      </c>
      <c r="DL26" s="9">
        <v>6</v>
      </c>
      <c r="DM26" s="9">
        <v>5</v>
      </c>
      <c r="DN26" s="9">
        <v>5</v>
      </c>
      <c r="DO26" s="9">
        <v>5</v>
      </c>
      <c r="DP26" s="9">
        <v>6</v>
      </c>
      <c r="DQ26" s="9">
        <v>6</v>
      </c>
      <c r="DR26" s="9">
        <v>6</v>
      </c>
      <c r="DS26" s="9">
        <v>6</v>
      </c>
      <c r="DT26" s="9">
        <v>5</v>
      </c>
      <c r="DU26" s="9">
        <v>5</v>
      </c>
      <c r="DV26" s="9">
        <v>5</v>
      </c>
      <c r="DW26" s="9">
        <v>5</v>
      </c>
      <c r="DX26" s="9">
        <v>5</v>
      </c>
      <c r="DY26" s="9">
        <v>5</v>
      </c>
      <c r="DZ26" s="9">
        <v>5</v>
      </c>
      <c r="EA26" s="9">
        <v>4</v>
      </c>
      <c r="EB26" s="9">
        <v>4</v>
      </c>
      <c r="EC26" s="9">
        <v>4</v>
      </c>
      <c r="ED26" s="9">
        <v>4</v>
      </c>
      <c r="EE26" s="9">
        <v>4</v>
      </c>
      <c r="EF26" s="9">
        <v>4</v>
      </c>
      <c r="EG26" s="9">
        <v>4</v>
      </c>
      <c r="EH26" s="9">
        <v>4</v>
      </c>
      <c r="EI26" s="9">
        <v>4</v>
      </c>
      <c r="EJ26" s="9">
        <v>4</v>
      </c>
      <c r="EK26" s="9">
        <v>4</v>
      </c>
      <c r="EL26" s="9">
        <v>4</v>
      </c>
      <c r="EM26" s="9">
        <v>4</v>
      </c>
      <c r="EN26" s="9">
        <v>4</v>
      </c>
      <c r="EO26" s="9">
        <v>4</v>
      </c>
      <c r="EP26" s="9">
        <v>4</v>
      </c>
      <c r="EQ26" s="9">
        <v>4</v>
      </c>
      <c r="ER26" s="9">
        <v>4</v>
      </c>
      <c r="ES26" s="9">
        <v>4</v>
      </c>
      <c r="ET26" s="9">
        <v>4</v>
      </c>
      <c r="EU26" s="9">
        <v>4</v>
      </c>
      <c r="EV26" s="9">
        <v>4</v>
      </c>
      <c r="EW26" s="9">
        <v>4</v>
      </c>
      <c r="EX26" s="9">
        <v>4</v>
      </c>
      <c r="EY26" s="9">
        <v>4</v>
      </c>
      <c r="EZ26" s="9">
        <v>3</v>
      </c>
      <c r="FA26" s="9">
        <v>3</v>
      </c>
      <c r="FB26" s="9">
        <v>3</v>
      </c>
      <c r="FC26" s="9">
        <v>3</v>
      </c>
      <c r="FD26" s="9">
        <v>3</v>
      </c>
      <c r="FE26" s="9">
        <v>2</v>
      </c>
      <c r="FF26" s="9">
        <v>2</v>
      </c>
      <c r="FG26" s="9">
        <v>2</v>
      </c>
      <c r="FH26" s="9">
        <v>2</v>
      </c>
      <c r="FI26" s="9">
        <v>1</v>
      </c>
      <c r="FJ26" s="9">
        <v>1</v>
      </c>
      <c r="FK26" s="9">
        <v>1</v>
      </c>
      <c r="FL26" s="9">
        <v>0</v>
      </c>
      <c r="FM26" s="10">
        <v>0</v>
      </c>
    </row>
    <row r="27" spans="1:169" x14ac:dyDescent="0.35">
      <c r="A27" s="8" t="s">
        <v>0</v>
      </c>
      <c r="B27" s="9" t="s">
        <v>45</v>
      </c>
      <c r="C27" s="10" t="s">
        <v>46</v>
      </c>
      <c r="D27" s="62">
        <f t="shared" si="97"/>
        <v>117</v>
      </c>
      <c r="E27" s="9">
        <v>1</v>
      </c>
      <c r="F27" s="9">
        <v>3</v>
      </c>
      <c r="G27" s="9">
        <v>6</v>
      </c>
      <c r="H27" s="9">
        <v>14</v>
      </c>
      <c r="I27" s="9">
        <v>9</v>
      </c>
      <c r="J27" s="9">
        <v>14</v>
      </c>
      <c r="K27" s="9">
        <v>12</v>
      </c>
      <c r="L27" s="9">
        <v>18</v>
      </c>
      <c r="M27" s="9">
        <v>23</v>
      </c>
      <c r="N27" s="9">
        <v>26</v>
      </c>
      <c r="O27" s="9">
        <v>6</v>
      </c>
      <c r="P27" s="9">
        <v>46</v>
      </c>
      <c r="Q27" s="9">
        <v>37</v>
      </c>
      <c r="R27" s="9">
        <v>47</v>
      </c>
      <c r="S27" s="9">
        <v>54</v>
      </c>
      <c r="T27" s="9">
        <v>51</v>
      </c>
      <c r="U27" s="9">
        <v>52</v>
      </c>
      <c r="V27" s="9">
        <v>58</v>
      </c>
      <c r="W27" s="9">
        <v>71</v>
      </c>
      <c r="X27" s="9">
        <v>66</v>
      </c>
      <c r="Y27" s="9">
        <v>72</v>
      </c>
      <c r="Z27" s="9">
        <v>76</v>
      </c>
      <c r="AA27" s="9">
        <v>76</v>
      </c>
      <c r="AB27" s="9">
        <v>78</v>
      </c>
      <c r="AC27" s="9">
        <v>87</v>
      </c>
      <c r="AD27" s="9">
        <v>84</v>
      </c>
      <c r="AE27" s="9">
        <v>90</v>
      </c>
      <c r="AF27" s="9">
        <v>92</v>
      </c>
      <c r="AG27" s="9">
        <v>88</v>
      </c>
      <c r="AH27" s="9">
        <v>92</v>
      </c>
      <c r="AI27" s="9">
        <v>114</v>
      </c>
      <c r="AJ27" s="9">
        <v>114</v>
      </c>
      <c r="AK27" s="9">
        <v>98</v>
      </c>
      <c r="AL27" s="9">
        <v>99</v>
      </c>
      <c r="AM27" s="9">
        <v>102</v>
      </c>
      <c r="AN27" s="9">
        <v>95</v>
      </c>
      <c r="AO27" s="9">
        <v>94</v>
      </c>
      <c r="AP27" s="9">
        <v>102</v>
      </c>
      <c r="AQ27" s="9">
        <v>117</v>
      </c>
      <c r="AR27" s="9">
        <v>103</v>
      </c>
      <c r="AS27" s="9">
        <v>100</v>
      </c>
      <c r="AT27" s="9">
        <v>93</v>
      </c>
      <c r="AU27" s="9">
        <v>89</v>
      </c>
      <c r="AV27" s="9">
        <v>93</v>
      </c>
      <c r="AW27" s="9">
        <v>88</v>
      </c>
      <c r="AX27" s="9">
        <v>87</v>
      </c>
      <c r="AY27" s="9">
        <v>84</v>
      </c>
      <c r="AZ27" s="9">
        <v>87</v>
      </c>
      <c r="BA27" s="9">
        <v>98</v>
      </c>
      <c r="BB27" s="9">
        <v>90</v>
      </c>
      <c r="BC27" s="9">
        <v>88</v>
      </c>
      <c r="BD27" s="9">
        <v>88</v>
      </c>
      <c r="BE27" s="9">
        <v>87</v>
      </c>
      <c r="BF27" s="9">
        <v>80</v>
      </c>
      <c r="BG27" s="9">
        <v>90</v>
      </c>
      <c r="BH27" s="9">
        <v>91</v>
      </c>
      <c r="BI27" s="9">
        <v>89</v>
      </c>
      <c r="BJ27" s="9">
        <v>85</v>
      </c>
      <c r="BK27" s="9">
        <v>96</v>
      </c>
      <c r="BL27" s="9">
        <v>100</v>
      </c>
      <c r="BM27" s="9">
        <v>91</v>
      </c>
      <c r="BN27" s="9">
        <v>92</v>
      </c>
      <c r="BO27" s="9">
        <v>83</v>
      </c>
      <c r="BP27" s="9">
        <v>85</v>
      </c>
      <c r="BQ27" s="9">
        <v>89</v>
      </c>
      <c r="BR27" s="9">
        <v>93</v>
      </c>
      <c r="BS27" s="9">
        <v>91</v>
      </c>
      <c r="BT27" s="9">
        <v>92</v>
      </c>
      <c r="BU27" s="9">
        <v>90</v>
      </c>
      <c r="BV27" s="9">
        <v>85</v>
      </c>
      <c r="BW27" s="9">
        <v>72</v>
      </c>
      <c r="BX27" s="9">
        <v>71</v>
      </c>
      <c r="BY27" s="9">
        <v>64</v>
      </c>
      <c r="BZ27" s="9">
        <v>70</v>
      </c>
      <c r="CA27" s="9">
        <v>61</v>
      </c>
      <c r="CB27" s="9">
        <v>60</v>
      </c>
      <c r="CC27" s="9">
        <v>54</v>
      </c>
      <c r="CD27" s="9">
        <v>54</v>
      </c>
      <c r="CE27" s="9">
        <v>50</v>
      </c>
      <c r="CF27" s="9">
        <v>43</v>
      </c>
      <c r="CG27" s="9">
        <v>43</v>
      </c>
      <c r="CH27" s="9">
        <v>41</v>
      </c>
      <c r="CI27" s="9">
        <v>37</v>
      </c>
      <c r="CJ27" s="9">
        <v>28</v>
      </c>
      <c r="CK27" s="9">
        <v>32</v>
      </c>
      <c r="CL27" s="9">
        <v>35</v>
      </c>
      <c r="CM27" s="9">
        <v>34</v>
      </c>
      <c r="CN27" s="9">
        <v>32</v>
      </c>
      <c r="CO27" s="9">
        <v>31</v>
      </c>
      <c r="CP27" s="9">
        <v>32</v>
      </c>
      <c r="CQ27" s="9">
        <v>25</v>
      </c>
      <c r="CR27" s="9">
        <v>22</v>
      </c>
      <c r="CS27" s="9">
        <v>21</v>
      </c>
      <c r="CT27" s="9">
        <v>20</v>
      </c>
      <c r="CU27" s="9">
        <v>22</v>
      </c>
      <c r="CV27" s="9">
        <v>23</v>
      </c>
      <c r="CW27" s="9">
        <v>22</v>
      </c>
      <c r="CX27" s="9">
        <v>22</v>
      </c>
      <c r="CY27" s="9">
        <v>17</v>
      </c>
      <c r="CZ27" s="9">
        <v>16</v>
      </c>
      <c r="DA27" s="9">
        <v>16</v>
      </c>
      <c r="DB27" s="9">
        <v>18</v>
      </c>
      <c r="DC27" s="9">
        <v>18</v>
      </c>
      <c r="DD27" s="9">
        <v>22</v>
      </c>
      <c r="DE27" s="9">
        <v>21</v>
      </c>
      <c r="DF27" s="9">
        <v>17</v>
      </c>
      <c r="DG27" s="9">
        <v>17</v>
      </c>
      <c r="DH27" s="9">
        <v>17</v>
      </c>
      <c r="DI27" s="9">
        <v>17</v>
      </c>
      <c r="DJ27" s="9">
        <v>19</v>
      </c>
      <c r="DK27" s="9">
        <v>19</v>
      </c>
      <c r="DL27" s="9">
        <v>19</v>
      </c>
      <c r="DM27" s="9">
        <v>17</v>
      </c>
      <c r="DN27" s="9">
        <v>13</v>
      </c>
      <c r="DO27" s="9">
        <v>15</v>
      </c>
      <c r="DP27" s="9">
        <v>15</v>
      </c>
      <c r="DQ27" s="9">
        <v>15</v>
      </c>
      <c r="DR27" s="9">
        <v>12</v>
      </c>
      <c r="DS27" s="9">
        <v>12</v>
      </c>
      <c r="DT27" s="9">
        <v>14</v>
      </c>
      <c r="DU27" s="9">
        <v>13</v>
      </c>
      <c r="DV27" s="9">
        <v>12</v>
      </c>
      <c r="DW27" s="9">
        <v>12</v>
      </c>
      <c r="DX27" s="9">
        <v>10</v>
      </c>
      <c r="DY27" s="9">
        <v>11</v>
      </c>
      <c r="DZ27" s="9">
        <v>10</v>
      </c>
      <c r="EA27" s="9">
        <v>10</v>
      </c>
      <c r="EB27" s="9">
        <v>12</v>
      </c>
      <c r="EC27" s="9">
        <v>13</v>
      </c>
      <c r="ED27" s="9">
        <v>14</v>
      </c>
      <c r="EE27" s="9">
        <v>13</v>
      </c>
      <c r="EF27" s="9">
        <v>12</v>
      </c>
      <c r="EG27" s="9">
        <v>12</v>
      </c>
      <c r="EH27" s="9">
        <v>14</v>
      </c>
      <c r="EI27" s="9">
        <v>13</v>
      </c>
      <c r="EJ27" s="9">
        <v>14</v>
      </c>
      <c r="EK27" s="9">
        <v>13</v>
      </c>
      <c r="EL27" s="9">
        <v>12</v>
      </c>
      <c r="EM27" s="9">
        <v>9</v>
      </c>
      <c r="EN27" s="9">
        <v>9</v>
      </c>
      <c r="EO27" s="9">
        <v>6</v>
      </c>
      <c r="EP27" s="9">
        <v>5</v>
      </c>
      <c r="EQ27" s="9">
        <v>7</v>
      </c>
      <c r="ER27" s="9">
        <v>11</v>
      </c>
      <c r="ES27" s="9">
        <v>11</v>
      </c>
      <c r="ET27" s="9">
        <v>10</v>
      </c>
      <c r="EU27" s="9">
        <v>10</v>
      </c>
      <c r="EV27" s="9">
        <v>5</v>
      </c>
      <c r="EW27" s="9">
        <v>8</v>
      </c>
      <c r="EX27" s="9">
        <v>8</v>
      </c>
      <c r="EY27" s="9">
        <v>8</v>
      </c>
      <c r="EZ27" s="9">
        <v>9</v>
      </c>
      <c r="FA27" s="9">
        <v>8</v>
      </c>
      <c r="FB27" s="9">
        <v>8</v>
      </c>
      <c r="FC27" s="9">
        <v>7</v>
      </c>
      <c r="FD27" s="9">
        <v>3</v>
      </c>
      <c r="FE27" s="9">
        <v>3</v>
      </c>
      <c r="FF27" s="9">
        <v>3</v>
      </c>
      <c r="FG27" s="9">
        <v>3</v>
      </c>
      <c r="FH27" s="9">
        <v>4</v>
      </c>
      <c r="FI27" s="9">
        <v>4</v>
      </c>
      <c r="FJ27" s="9">
        <v>6</v>
      </c>
      <c r="FK27" s="9">
        <v>4</v>
      </c>
      <c r="FL27" s="9">
        <v>4</v>
      </c>
      <c r="FM27" s="10">
        <v>4</v>
      </c>
    </row>
    <row r="28" spans="1:169" x14ac:dyDescent="0.35">
      <c r="A28" s="8" t="s">
        <v>0</v>
      </c>
      <c r="B28" s="9" t="s">
        <v>47</v>
      </c>
      <c r="C28" s="10" t="s">
        <v>48</v>
      </c>
      <c r="D28" s="62">
        <f t="shared" si="97"/>
        <v>79</v>
      </c>
      <c r="E28" s="9">
        <v>2</v>
      </c>
      <c r="F28" s="9">
        <v>1</v>
      </c>
      <c r="G28" s="9">
        <v>3</v>
      </c>
      <c r="H28" s="9">
        <v>4</v>
      </c>
      <c r="I28" s="9">
        <v>6</v>
      </c>
      <c r="J28" s="9">
        <v>12</v>
      </c>
      <c r="K28" s="9">
        <v>15</v>
      </c>
      <c r="L28" s="9">
        <v>21</v>
      </c>
      <c r="M28" s="9">
        <v>28</v>
      </c>
      <c r="N28" s="9">
        <v>29</v>
      </c>
      <c r="O28" s="9">
        <v>31</v>
      </c>
      <c r="P28" s="9">
        <v>46</v>
      </c>
      <c r="Q28" s="9">
        <v>54</v>
      </c>
      <c r="R28" s="9">
        <v>60</v>
      </c>
      <c r="S28" s="9">
        <v>63</v>
      </c>
      <c r="T28" s="9">
        <v>70</v>
      </c>
      <c r="U28" s="9">
        <v>67</v>
      </c>
      <c r="V28" s="9">
        <v>68</v>
      </c>
      <c r="W28" s="9">
        <v>72</v>
      </c>
      <c r="X28" s="9">
        <v>74</v>
      </c>
      <c r="Y28" s="9">
        <v>74</v>
      </c>
      <c r="Z28" s="9">
        <v>76</v>
      </c>
      <c r="AA28" s="9">
        <v>79</v>
      </c>
      <c r="AB28" s="9">
        <v>74</v>
      </c>
      <c r="AC28" s="9">
        <v>72</v>
      </c>
      <c r="AD28" s="9">
        <v>69</v>
      </c>
      <c r="AE28" s="9">
        <v>68</v>
      </c>
      <c r="AF28" s="9">
        <v>66</v>
      </c>
      <c r="AG28" s="9">
        <v>62</v>
      </c>
      <c r="AH28" s="9">
        <v>58</v>
      </c>
      <c r="AI28" s="9">
        <v>60</v>
      </c>
      <c r="AJ28" s="9">
        <v>65</v>
      </c>
      <c r="AK28" s="9">
        <v>58</v>
      </c>
      <c r="AL28" s="9">
        <v>55</v>
      </c>
      <c r="AM28" s="9">
        <v>49</v>
      </c>
      <c r="AN28" s="9">
        <v>48</v>
      </c>
      <c r="AO28" s="9">
        <v>48</v>
      </c>
      <c r="AP28" s="9">
        <v>49</v>
      </c>
      <c r="AQ28" s="9">
        <v>47</v>
      </c>
      <c r="AR28" s="9">
        <v>40</v>
      </c>
      <c r="AS28" s="9">
        <v>40</v>
      </c>
      <c r="AT28" s="9">
        <v>38</v>
      </c>
      <c r="AU28" s="9">
        <v>37</v>
      </c>
      <c r="AV28" s="9">
        <v>38</v>
      </c>
      <c r="AW28" s="9">
        <v>40</v>
      </c>
      <c r="AX28" s="9">
        <v>41</v>
      </c>
      <c r="AY28" s="9">
        <v>43</v>
      </c>
      <c r="AZ28" s="9">
        <v>39</v>
      </c>
      <c r="BA28" s="9">
        <v>40</v>
      </c>
      <c r="BB28" s="9">
        <v>40</v>
      </c>
      <c r="BC28" s="9">
        <v>41</v>
      </c>
      <c r="BD28" s="9">
        <v>45</v>
      </c>
      <c r="BE28" s="9">
        <v>45</v>
      </c>
      <c r="BF28" s="9">
        <v>40</v>
      </c>
      <c r="BG28" s="9">
        <v>43</v>
      </c>
      <c r="BH28" s="9">
        <v>39</v>
      </c>
      <c r="BI28" s="9">
        <v>40</v>
      </c>
      <c r="BJ28" s="9">
        <v>19</v>
      </c>
      <c r="BK28" s="9">
        <v>37</v>
      </c>
      <c r="BL28" s="9">
        <v>26</v>
      </c>
      <c r="BM28" s="9">
        <v>24</v>
      </c>
      <c r="BN28" s="9">
        <v>32</v>
      </c>
      <c r="BO28" s="9">
        <v>34</v>
      </c>
      <c r="BP28" s="9">
        <v>32</v>
      </c>
      <c r="BQ28" s="9">
        <v>33</v>
      </c>
      <c r="BR28" s="9">
        <v>19</v>
      </c>
      <c r="BS28" s="9">
        <v>32</v>
      </c>
      <c r="BT28" s="9">
        <v>31</v>
      </c>
      <c r="BU28" s="9">
        <v>25</v>
      </c>
      <c r="BV28" s="9">
        <v>27</v>
      </c>
      <c r="BW28" s="9">
        <v>25</v>
      </c>
      <c r="BX28" s="9">
        <v>16</v>
      </c>
      <c r="BY28" s="9">
        <v>13</v>
      </c>
      <c r="BZ28" s="9">
        <v>15</v>
      </c>
      <c r="CA28" s="9">
        <v>13</v>
      </c>
      <c r="CB28" s="9">
        <v>11</v>
      </c>
      <c r="CC28" s="9">
        <v>11</v>
      </c>
      <c r="CD28" s="9">
        <v>13</v>
      </c>
      <c r="CE28" s="9">
        <v>11</v>
      </c>
      <c r="CF28" s="9">
        <v>10</v>
      </c>
      <c r="CG28" s="9">
        <v>13</v>
      </c>
      <c r="CH28" s="9">
        <v>10</v>
      </c>
      <c r="CI28" s="9">
        <v>12</v>
      </c>
      <c r="CJ28" s="9">
        <v>11</v>
      </c>
      <c r="CK28" s="9">
        <v>7</v>
      </c>
      <c r="CL28" s="9">
        <v>6</v>
      </c>
      <c r="CM28" s="9">
        <v>6</v>
      </c>
      <c r="CN28" s="9">
        <v>5</v>
      </c>
      <c r="CO28" s="9">
        <v>4</v>
      </c>
      <c r="CP28" s="9">
        <v>2</v>
      </c>
      <c r="CQ28" s="9">
        <v>2</v>
      </c>
      <c r="CR28" s="9">
        <v>2</v>
      </c>
      <c r="CS28" s="9">
        <v>2</v>
      </c>
      <c r="CT28" s="9">
        <v>3</v>
      </c>
      <c r="CU28" s="9">
        <v>3</v>
      </c>
      <c r="CV28" s="9">
        <v>3</v>
      </c>
      <c r="CW28" s="9">
        <v>3</v>
      </c>
      <c r="CX28" s="9">
        <v>2</v>
      </c>
      <c r="CY28" s="9">
        <v>2</v>
      </c>
      <c r="CZ28" s="9">
        <v>1</v>
      </c>
      <c r="DA28" s="9">
        <v>1</v>
      </c>
      <c r="DB28" s="9">
        <v>1</v>
      </c>
      <c r="DC28" s="9">
        <v>0</v>
      </c>
      <c r="DD28" s="9">
        <v>0</v>
      </c>
      <c r="DE28" s="9">
        <v>0</v>
      </c>
      <c r="DF28" s="9">
        <v>0</v>
      </c>
      <c r="DG28" s="9">
        <v>1</v>
      </c>
      <c r="DH28" s="9">
        <v>1</v>
      </c>
      <c r="DI28" s="9">
        <v>0</v>
      </c>
      <c r="DJ28" s="9">
        <v>0</v>
      </c>
      <c r="DK28" s="9">
        <v>0</v>
      </c>
      <c r="DL28" s="9">
        <v>0</v>
      </c>
      <c r="DM28" s="9">
        <v>1</v>
      </c>
      <c r="DN28" s="9">
        <v>0</v>
      </c>
      <c r="DO28" s="9">
        <v>0</v>
      </c>
      <c r="DP28" s="9">
        <v>0</v>
      </c>
      <c r="DQ28" s="9">
        <v>0</v>
      </c>
      <c r="DR28" s="9">
        <v>0</v>
      </c>
      <c r="DS28" s="9">
        <v>0</v>
      </c>
      <c r="DT28" s="9">
        <v>0</v>
      </c>
      <c r="DU28" s="9">
        <v>0</v>
      </c>
      <c r="DV28" s="9">
        <v>0</v>
      </c>
      <c r="DW28" s="9">
        <v>0</v>
      </c>
      <c r="DX28" s="9">
        <v>0</v>
      </c>
      <c r="DY28" s="9">
        <v>0</v>
      </c>
      <c r="DZ28" s="9">
        <v>0</v>
      </c>
      <c r="EA28" s="9">
        <v>1</v>
      </c>
      <c r="EB28" s="9">
        <v>1</v>
      </c>
      <c r="EC28" s="9">
        <v>1</v>
      </c>
      <c r="ED28" s="9">
        <v>1</v>
      </c>
      <c r="EE28" s="9">
        <v>1</v>
      </c>
      <c r="EF28" s="9">
        <v>1</v>
      </c>
      <c r="EG28" s="9">
        <v>1</v>
      </c>
      <c r="EH28" s="9">
        <v>1</v>
      </c>
      <c r="EI28" s="9">
        <v>0</v>
      </c>
      <c r="EJ28" s="9">
        <v>0</v>
      </c>
      <c r="EK28" s="9">
        <v>0</v>
      </c>
      <c r="EL28" s="9">
        <v>0</v>
      </c>
      <c r="EM28" s="9">
        <v>0</v>
      </c>
      <c r="EN28" s="9">
        <v>0</v>
      </c>
      <c r="EO28" s="9">
        <v>0</v>
      </c>
      <c r="EP28" s="9">
        <v>0</v>
      </c>
      <c r="EQ28" s="9">
        <v>0</v>
      </c>
      <c r="ER28" s="9">
        <v>0</v>
      </c>
      <c r="ES28" s="9">
        <v>0</v>
      </c>
      <c r="ET28" s="9">
        <v>0</v>
      </c>
      <c r="EU28" s="9">
        <v>0</v>
      </c>
      <c r="EV28" s="9">
        <v>0</v>
      </c>
      <c r="EW28" s="9">
        <v>0</v>
      </c>
      <c r="EX28" s="9">
        <v>0</v>
      </c>
      <c r="EY28" s="9">
        <v>0</v>
      </c>
      <c r="EZ28" s="9">
        <v>0</v>
      </c>
      <c r="FA28" s="9">
        <v>0</v>
      </c>
      <c r="FB28" s="9">
        <v>0</v>
      </c>
      <c r="FC28" s="9">
        <v>0</v>
      </c>
      <c r="FD28" s="9">
        <v>0</v>
      </c>
      <c r="FE28" s="9">
        <v>0</v>
      </c>
      <c r="FF28" s="9">
        <v>0</v>
      </c>
      <c r="FG28" s="9">
        <v>0</v>
      </c>
      <c r="FH28" s="9">
        <v>0</v>
      </c>
      <c r="FI28" s="9">
        <v>0</v>
      </c>
      <c r="FJ28" s="9">
        <v>0</v>
      </c>
      <c r="FK28" s="9">
        <v>0</v>
      </c>
      <c r="FL28" s="9">
        <v>1</v>
      </c>
      <c r="FM28" s="10">
        <v>2</v>
      </c>
    </row>
    <row r="29" spans="1:169" x14ac:dyDescent="0.35">
      <c r="A29" s="8" t="s">
        <v>0</v>
      </c>
      <c r="B29" s="9" t="s">
        <v>49</v>
      </c>
      <c r="C29" s="10" t="s">
        <v>50</v>
      </c>
      <c r="D29" s="62">
        <f t="shared" si="97"/>
        <v>42</v>
      </c>
      <c r="E29" s="9">
        <v>0</v>
      </c>
      <c r="F29" s="9">
        <v>0</v>
      </c>
      <c r="G29" s="9">
        <v>1</v>
      </c>
      <c r="H29" s="9">
        <v>2</v>
      </c>
      <c r="I29" s="9">
        <v>2</v>
      </c>
      <c r="J29" s="9">
        <v>1</v>
      </c>
      <c r="K29" s="9">
        <v>4</v>
      </c>
      <c r="L29" s="9">
        <v>3</v>
      </c>
      <c r="M29" s="9">
        <v>7</v>
      </c>
      <c r="N29" s="9">
        <v>9</v>
      </c>
      <c r="O29" s="9">
        <v>12</v>
      </c>
      <c r="P29" s="9">
        <v>13</v>
      </c>
      <c r="Q29" s="9">
        <v>0</v>
      </c>
      <c r="R29" s="9">
        <v>16</v>
      </c>
      <c r="S29" s="9">
        <v>21</v>
      </c>
      <c r="T29" s="9">
        <v>23</v>
      </c>
      <c r="U29" s="9">
        <v>27</v>
      </c>
      <c r="V29" s="9">
        <v>34</v>
      </c>
      <c r="W29" s="9">
        <v>34</v>
      </c>
      <c r="X29" s="9">
        <v>32</v>
      </c>
      <c r="Y29" s="9">
        <v>0</v>
      </c>
      <c r="Z29" s="9">
        <v>35</v>
      </c>
      <c r="AA29" s="9">
        <v>35</v>
      </c>
      <c r="AB29" s="9">
        <v>36</v>
      </c>
      <c r="AC29" s="9">
        <v>37</v>
      </c>
      <c r="AD29" s="9">
        <v>36</v>
      </c>
      <c r="AE29" s="9">
        <v>33</v>
      </c>
      <c r="AF29" s="9">
        <v>28</v>
      </c>
      <c r="AG29" s="9">
        <v>31</v>
      </c>
      <c r="AH29" s="9">
        <v>29</v>
      </c>
      <c r="AI29" s="9">
        <v>34</v>
      </c>
      <c r="AJ29" s="9">
        <v>35</v>
      </c>
      <c r="AK29" s="9">
        <v>37</v>
      </c>
      <c r="AL29" s="9">
        <v>38</v>
      </c>
      <c r="AM29" s="9">
        <v>35</v>
      </c>
      <c r="AN29" s="9">
        <v>40</v>
      </c>
      <c r="AO29" s="9">
        <v>39</v>
      </c>
      <c r="AP29" s="9">
        <v>42</v>
      </c>
      <c r="AQ29" s="9">
        <v>41</v>
      </c>
      <c r="AR29" s="9">
        <v>40</v>
      </c>
      <c r="AS29" s="9">
        <v>39</v>
      </c>
      <c r="AT29" s="9">
        <v>38</v>
      </c>
      <c r="AU29" s="9">
        <v>38</v>
      </c>
      <c r="AV29" s="9">
        <v>37</v>
      </c>
      <c r="AW29" s="9">
        <v>36</v>
      </c>
      <c r="AX29" s="9">
        <v>36</v>
      </c>
      <c r="AY29" s="9">
        <v>37</v>
      </c>
      <c r="AZ29" s="9">
        <v>39</v>
      </c>
      <c r="BA29" s="9">
        <v>34</v>
      </c>
      <c r="BB29" s="9">
        <v>38</v>
      </c>
      <c r="BC29" s="9">
        <v>37</v>
      </c>
      <c r="BD29" s="9">
        <v>39</v>
      </c>
      <c r="BE29" s="9">
        <v>42</v>
      </c>
      <c r="BF29" s="9">
        <v>39</v>
      </c>
      <c r="BG29" s="9">
        <v>37</v>
      </c>
      <c r="BH29" s="9">
        <v>36</v>
      </c>
      <c r="BI29" s="9">
        <v>29</v>
      </c>
      <c r="BJ29" s="9">
        <v>31</v>
      </c>
      <c r="BK29" s="9">
        <v>30</v>
      </c>
      <c r="BL29" s="9">
        <v>32</v>
      </c>
      <c r="BM29" s="9">
        <v>28</v>
      </c>
      <c r="BN29" s="9">
        <v>29</v>
      </c>
      <c r="BO29" s="9">
        <v>30</v>
      </c>
      <c r="BP29" s="9">
        <v>30</v>
      </c>
      <c r="BQ29" s="9">
        <v>29</v>
      </c>
      <c r="BR29" s="9">
        <v>29</v>
      </c>
      <c r="BS29" s="9">
        <v>29</v>
      </c>
      <c r="BT29" s="9">
        <v>27</v>
      </c>
      <c r="BU29" s="9">
        <v>25</v>
      </c>
      <c r="BV29" s="9">
        <v>27</v>
      </c>
      <c r="BW29" s="9">
        <v>25</v>
      </c>
      <c r="BX29" s="9">
        <v>24</v>
      </c>
      <c r="BY29" s="9">
        <v>25</v>
      </c>
      <c r="BZ29" s="9">
        <v>25</v>
      </c>
      <c r="CA29" s="9">
        <v>19</v>
      </c>
      <c r="CB29" s="9">
        <v>21</v>
      </c>
      <c r="CC29" s="9">
        <v>20</v>
      </c>
      <c r="CD29" s="9">
        <v>20</v>
      </c>
      <c r="CE29" s="9">
        <v>19</v>
      </c>
      <c r="CF29" s="9">
        <v>19</v>
      </c>
      <c r="CG29" s="9">
        <v>17</v>
      </c>
      <c r="CH29" s="9">
        <v>12</v>
      </c>
      <c r="CI29" s="9">
        <v>11</v>
      </c>
      <c r="CJ29" s="9">
        <v>16</v>
      </c>
      <c r="CK29" s="9">
        <v>16</v>
      </c>
      <c r="CL29" s="9">
        <v>17</v>
      </c>
      <c r="CM29" s="9">
        <v>19</v>
      </c>
      <c r="CN29" s="9">
        <v>15</v>
      </c>
      <c r="CO29" s="9">
        <v>10</v>
      </c>
      <c r="CP29" s="9">
        <v>8</v>
      </c>
      <c r="CQ29" s="9">
        <v>7</v>
      </c>
      <c r="CR29" s="9">
        <v>8</v>
      </c>
      <c r="CS29" s="9">
        <v>7</v>
      </c>
      <c r="CT29" s="9">
        <v>7</v>
      </c>
      <c r="CU29" s="9">
        <v>7</v>
      </c>
      <c r="CV29" s="9">
        <v>7</v>
      </c>
      <c r="CW29" s="9">
        <v>7</v>
      </c>
      <c r="CX29" s="9">
        <v>6</v>
      </c>
      <c r="CY29" s="9">
        <v>3</v>
      </c>
      <c r="CZ29" s="9">
        <v>3</v>
      </c>
      <c r="DA29" s="9">
        <v>3</v>
      </c>
      <c r="DB29" s="9">
        <v>3</v>
      </c>
      <c r="DC29" s="9">
        <v>4</v>
      </c>
      <c r="DD29" s="9">
        <v>4</v>
      </c>
      <c r="DE29" s="9">
        <v>4</v>
      </c>
      <c r="DF29" s="9">
        <v>6</v>
      </c>
      <c r="DG29" s="9">
        <v>5</v>
      </c>
      <c r="DH29" s="9">
        <v>5</v>
      </c>
      <c r="DI29" s="9">
        <v>4</v>
      </c>
      <c r="DJ29" s="9">
        <v>5</v>
      </c>
      <c r="DK29" s="9">
        <v>5</v>
      </c>
      <c r="DL29" s="9">
        <v>6</v>
      </c>
      <c r="DM29" s="9">
        <v>6</v>
      </c>
      <c r="DN29" s="9">
        <v>4</v>
      </c>
      <c r="DO29" s="9">
        <v>1</v>
      </c>
      <c r="DP29" s="9">
        <v>3</v>
      </c>
      <c r="DQ29" s="9">
        <v>3</v>
      </c>
      <c r="DR29" s="9">
        <v>3</v>
      </c>
      <c r="DS29" s="9">
        <v>4</v>
      </c>
      <c r="DT29" s="9">
        <v>6</v>
      </c>
      <c r="DU29" s="9">
        <v>6</v>
      </c>
      <c r="DV29" s="9">
        <v>7</v>
      </c>
      <c r="DW29" s="9">
        <v>7</v>
      </c>
      <c r="DX29" s="9">
        <v>7</v>
      </c>
      <c r="DY29" s="9">
        <v>6</v>
      </c>
      <c r="DZ29" s="9">
        <v>4</v>
      </c>
      <c r="EA29" s="9">
        <v>4</v>
      </c>
      <c r="EB29" s="9">
        <v>3</v>
      </c>
      <c r="EC29" s="9">
        <v>3</v>
      </c>
      <c r="ED29" s="9">
        <v>2</v>
      </c>
      <c r="EE29" s="9">
        <v>2</v>
      </c>
      <c r="EF29" s="9">
        <v>2</v>
      </c>
      <c r="EG29" s="9">
        <v>2</v>
      </c>
      <c r="EH29" s="9">
        <v>2</v>
      </c>
      <c r="EI29" s="9">
        <v>3</v>
      </c>
      <c r="EJ29" s="9">
        <v>3</v>
      </c>
      <c r="EK29" s="9">
        <v>3</v>
      </c>
      <c r="EL29" s="9">
        <v>4</v>
      </c>
      <c r="EM29" s="9">
        <v>3</v>
      </c>
      <c r="EN29" s="9">
        <v>2</v>
      </c>
      <c r="EO29" s="9">
        <v>2</v>
      </c>
      <c r="EP29" s="9">
        <v>1</v>
      </c>
      <c r="EQ29" s="9">
        <v>1</v>
      </c>
      <c r="ER29" s="9">
        <v>1</v>
      </c>
      <c r="ES29" s="9">
        <v>1</v>
      </c>
      <c r="ET29" s="9">
        <v>1</v>
      </c>
      <c r="EU29" s="9">
        <v>2</v>
      </c>
      <c r="EV29" s="9">
        <v>2</v>
      </c>
      <c r="EW29" s="9">
        <v>2</v>
      </c>
      <c r="EX29" s="9">
        <v>3</v>
      </c>
      <c r="EY29" s="9">
        <v>3</v>
      </c>
      <c r="EZ29" s="9">
        <v>4</v>
      </c>
      <c r="FA29" s="9">
        <v>5</v>
      </c>
      <c r="FB29" s="9">
        <v>3</v>
      </c>
      <c r="FC29" s="9">
        <v>3</v>
      </c>
      <c r="FD29" s="9">
        <v>2</v>
      </c>
      <c r="FE29" s="9">
        <v>3</v>
      </c>
      <c r="FF29" s="9">
        <v>3</v>
      </c>
      <c r="FG29" s="9">
        <v>2</v>
      </c>
      <c r="FH29" s="9">
        <v>2</v>
      </c>
      <c r="FI29" s="9">
        <v>2</v>
      </c>
      <c r="FJ29" s="9">
        <v>2</v>
      </c>
      <c r="FK29" s="9">
        <v>2</v>
      </c>
      <c r="FL29" s="9">
        <v>2</v>
      </c>
      <c r="FM29" s="10">
        <v>2</v>
      </c>
    </row>
    <row r="30" spans="1:169" x14ac:dyDescent="0.35">
      <c r="A30" s="8" t="s">
        <v>0</v>
      </c>
      <c r="B30" s="9" t="s">
        <v>51</v>
      </c>
      <c r="C30" s="10" t="s">
        <v>52</v>
      </c>
      <c r="D30" s="62">
        <f t="shared" si="97"/>
        <v>132</v>
      </c>
      <c r="E30" s="9">
        <v>3</v>
      </c>
      <c r="F30" s="9">
        <v>8</v>
      </c>
      <c r="G30" s="9">
        <v>12</v>
      </c>
      <c r="H30" s="9">
        <v>10</v>
      </c>
      <c r="I30" s="9">
        <v>13</v>
      </c>
      <c r="J30" s="9">
        <v>20</v>
      </c>
      <c r="K30" s="9">
        <v>30</v>
      </c>
      <c r="L30" s="9">
        <v>31</v>
      </c>
      <c r="M30" s="9">
        <v>37</v>
      </c>
      <c r="N30" s="9">
        <v>37</v>
      </c>
      <c r="O30" s="9">
        <v>62</v>
      </c>
      <c r="P30" s="9">
        <v>64</v>
      </c>
      <c r="Q30" s="9">
        <v>68</v>
      </c>
      <c r="R30" s="9">
        <v>74</v>
      </c>
      <c r="S30" s="9">
        <v>80</v>
      </c>
      <c r="T30" s="9">
        <v>82</v>
      </c>
      <c r="U30" s="9">
        <v>85</v>
      </c>
      <c r="V30" s="9">
        <v>0</v>
      </c>
      <c r="W30" s="9">
        <v>98</v>
      </c>
      <c r="X30" s="9">
        <v>104</v>
      </c>
      <c r="Y30" s="9">
        <v>106</v>
      </c>
      <c r="Z30" s="9">
        <v>120</v>
      </c>
      <c r="AA30" s="9">
        <v>120</v>
      </c>
      <c r="AB30" s="9">
        <v>122</v>
      </c>
      <c r="AC30" s="9">
        <v>132</v>
      </c>
      <c r="AD30" s="9">
        <v>131</v>
      </c>
      <c r="AE30" s="9">
        <v>132</v>
      </c>
      <c r="AF30" s="9">
        <v>131</v>
      </c>
      <c r="AG30" s="9">
        <v>123</v>
      </c>
      <c r="AH30" s="9">
        <v>123</v>
      </c>
      <c r="AI30" s="9">
        <v>125</v>
      </c>
      <c r="AJ30" s="9">
        <v>124</v>
      </c>
      <c r="AK30" s="9">
        <v>124</v>
      </c>
      <c r="AL30" s="9">
        <v>116</v>
      </c>
      <c r="AM30" s="9">
        <v>111</v>
      </c>
      <c r="AN30" s="9">
        <v>104</v>
      </c>
      <c r="AO30" s="9">
        <v>103</v>
      </c>
      <c r="AP30" s="9">
        <v>104</v>
      </c>
      <c r="AQ30" s="9">
        <v>101</v>
      </c>
      <c r="AR30" s="9">
        <v>98</v>
      </c>
      <c r="AS30" s="9">
        <v>97</v>
      </c>
      <c r="AT30" s="9">
        <v>90</v>
      </c>
      <c r="AU30" s="9">
        <v>85</v>
      </c>
      <c r="AV30" s="9">
        <v>83</v>
      </c>
      <c r="AW30" s="9">
        <v>87</v>
      </c>
      <c r="AX30" s="9">
        <v>82</v>
      </c>
      <c r="AY30" s="9">
        <v>94</v>
      </c>
      <c r="AZ30" s="9">
        <v>86</v>
      </c>
      <c r="BA30" s="9">
        <v>87</v>
      </c>
      <c r="BB30" s="9">
        <v>86</v>
      </c>
      <c r="BC30" s="9">
        <v>78</v>
      </c>
      <c r="BD30" s="9">
        <v>75</v>
      </c>
      <c r="BE30" s="9">
        <v>77</v>
      </c>
      <c r="BF30" s="9">
        <v>75</v>
      </c>
      <c r="BG30" s="9">
        <v>65</v>
      </c>
      <c r="BH30" s="9">
        <v>64</v>
      </c>
      <c r="BI30" s="9">
        <v>65</v>
      </c>
      <c r="BJ30" s="9">
        <v>60</v>
      </c>
      <c r="BK30" s="9">
        <v>63</v>
      </c>
      <c r="BL30" s="9">
        <v>65</v>
      </c>
      <c r="BM30" s="9">
        <v>64</v>
      </c>
      <c r="BN30" s="9">
        <v>59</v>
      </c>
      <c r="BO30" s="9">
        <v>57</v>
      </c>
      <c r="BP30" s="9">
        <v>50</v>
      </c>
      <c r="BQ30" s="9">
        <v>49</v>
      </c>
      <c r="BR30" s="9">
        <v>48</v>
      </c>
      <c r="BS30" s="9">
        <v>50</v>
      </c>
      <c r="BT30" s="9">
        <v>49</v>
      </c>
      <c r="BU30" s="9">
        <v>49</v>
      </c>
      <c r="BV30" s="9">
        <v>45</v>
      </c>
      <c r="BW30" s="9">
        <v>45</v>
      </c>
      <c r="BX30" s="9">
        <v>36</v>
      </c>
      <c r="BY30" s="9">
        <v>35</v>
      </c>
      <c r="BZ30" s="9">
        <v>35</v>
      </c>
      <c r="CA30" s="9">
        <v>35</v>
      </c>
      <c r="CB30" s="9">
        <v>29</v>
      </c>
      <c r="CC30" s="9">
        <v>28</v>
      </c>
      <c r="CD30" s="9">
        <v>25</v>
      </c>
      <c r="CE30" s="9">
        <v>28</v>
      </c>
      <c r="CF30" s="9">
        <v>27</v>
      </c>
      <c r="CG30" s="9">
        <v>32</v>
      </c>
      <c r="CH30" s="9">
        <v>26</v>
      </c>
      <c r="CI30" s="9">
        <v>25</v>
      </c>
      <c r="CJ30" s="9">
        <v>25</v>
      </c>
      <c r="CK30" s="9">
        <v>24</v>
      </c>
      <c r="CL30" s="9">
        <v>22</v>
      </c>
      <c r="CM30" s="9">
        <v>22</v>
      </c>
      <c r="CN30" s="9">
        <v>22</v>
      </c>
      <c r="CO30" s="9">
        <v>20</v>
      </c>
      <c r="CP30" s="9">
        <v>23</v>
      </c>
      <c r="CQ30" s="9">
        <v>23</v>
      </c>
      <c r="CR30" s="9">
        <v>26</v>
      </c>
      <c r="CS30" s="9">
        <v>20</v>
      </c>
      <c r="CT30" s="9">
        <v>20</v>
      </c>
      <c r="CU30" s="9">
        <v>20</v>
      </c>
      <c r="CV30" s="9">
        <v>20</v>
      </c>
      <c r="CW30" s="9">
        <v>23</v>
      </c>
      <c r="CX30" s="9">
        <v>19</v>
      </c>
      <c r="CY30" s="9">
        <v>20</v>
      </c>
      <c r="CZ30" s="9">
        <v>19</v>
      </c>
      <c r="DA30" s="9">
        <v>19</v>
      </c>
      <c r="DB30" s="9">
        <v>21</v>
      </c>
      <c r="DC30" s="9">
        <v>20</v>
      </c>
      <c r="DD30" s="9">
        <v>19</v>
      </c>
      <c r="DE30" s="9">
        <v>16</v>
      </c>
      <c r="DF30" s="9">
        <v>15</v>
      </c>
      <c r="DG30" s="9">
        <v>16</v>
      </c>
      <c r="DH30" s="9">
        <v>17</v>
      </c>
      <c r="DI30" s="9">
        <v>17</v>
      </c>
      <c r="DJ30" s="9">
        <v>17</v>
      </c>
      <c r="DK30" s="9">
        <v>17</v>
      </c>
      <c r="DL30" s="9">
        <v>17</v>
      </c>
      <c r="DM30" s="9">
        <v>14</v>
      </c>
      <c r="DN30" s="9">
        <v>15</v>
      </c>
      <c r="DO30" s="9">
        <v>13</v>
      </c>
      <c r="DP30" s="9">
        <v>13</v>
      </c>
      <c r="DQ30" s="9">
        <v>14</v>
      </c>
      <c r="DR30" s="9">
        <v>13</v>
      </c>
      <c r="DS30" s="9">
        <v>14</v>
      </c>
      <c r="DT30" s="9">
        <v>15</v>
      </c>
      <c r="DU30" s="9">
        <v>15</v>
      </c>
      <c r="DV30" s="9">
        <v>13</v>
      </c>
      <c r="DW30" s="9">
        <v>15</v>
      </c>
      <c r="DX30" s="9">
        <v>0</v>
      </c>
      <c r="DY30" s="9">
        <v>15</v>
      </c>
      <c r="DZ30" s="9">
        <v>11</v>
      </c>
      <c r="EA30" s="9">
        <v>11</v>
      </c>
      <c r="EB30" s="9">
        <v>0</v>
      </c>
      <c r="EC30" s="9">
        <v>14</v>
      </c>
      <c r="ED30" s="9">
        <v>13</v>
      </c>
      <c r="EE30" s="9">
        <v>12</v>
      </c>
      <c r="EF30" s="9">
        <v>13</v>
      </c>
      <c r="EG30" s="9">
        <v>11</v>
      </c>
      <c r="EH30" s="9">
        <v>11</v>
      </c>
      <c r="EI30" s="9">
        <v>11</v>
      </c>
      <c r="EJ30" s="9">
        <v>10</v>
      </c>
      <c r="EK30" s="9">
        <v>10</v>
      </c>
      <c r="EL30" s="9">
        <v>11</v>
      </c>
      <c r="EM30" s="9">
        <v>13</v>
      </c>
      <c r="EN30" s="9">
        <v>12</v>
      </c>
      <c r="EO30" s="9">
        <v>8</v>
      </c>
      <c r="EP30" s="9">
        <v>6</v>
      </c>
      <c r="EQ30" s="9">
        <v>6</v>
      </c>
      <c r="ER30" s="9">
        <v>7</v>
      </c>
      <c r="ES30" s="9">
        <v>7</v>
      </c>
      <c r="ET30" s="9">
        <v>5</v>
      </c>
      <c r="EU30" s="9">
        <v>5</v>
      </c>
      <c r="EV30" s="9">
        <v>5</v>
      </c>
      <c r="EW30" s="9">
        <v>6</v>
      </c>
      <c r="EX30" s="9">
        <v>5</v>
      </c>
      <c r="EY30" s="9">
        <v>5</v>
      </c>
      <c r="EZ30" s="9">
        <v>0</v>
      </c>
      <c r="FA30" s="9">
        <v>6</v>
      </c>
      <c r="FB30" s="9">
        <v>7</v>
      </c>
      <c r="FC30" s="9">
        <v>2</v>
      </c>
      <c r="FD30" s="9">
        <v>1</v>
      </c>
      <c r="FE30" s="9">
        <v>0</v>
      </c>
      <c r="FF30" s="9">
        <v>2</v>
      </c>
      <c r="FG30" s="9">
        <v>0</v>
      </c>
      <c r="FH30" s="9">
        <v>0</v>
      </c>
      <c r="FI30" s="9">
        <v>0</v>
      </c>
      <c r="FJ30" s="9">
        <v>0</v>
      </c>
      <c r="FK30" s="9">
        <v>0</v>
      </c>
      <c r="FL30" s="9">
        <v>1</v>
      </c>
      <c r="FM30" s="10">
        <v>1</v>
      </c>
    </row>
    <row r="31" spans="1:169" x14ac:dyDescent="0.35">
      <c r="A31" s="8" t="s">
        <v>0</v>
      </c>
      <c r="B31" s="9" t="s">
        <v>53</v>
      </c>
      <c r="C31" s="10" t="s">
        <v>54</v>
      </c>
      <c r="D31" s="62">
        <f t="shared" si="97"/>
        <v>84</v>
      </c>
      <c r="E31" s="9">
        <v>20</v>
      </c>
      <c r="F31" s="9">
        <v>28</v>
      </c>
      <c r="G31" s="9">
        <v>29</v>
      </c>
      <c r="H31" s="9">
        <v>37</v>
      </c>
      <c r="I31" s="9">
        <v>18</v>
      </c>
      <c r="J31" s="9">
        <v>20</v>
      </c>
      <c r="K31" s="9">
        <v>27</v>
      </c>
      <c r="L31" s="9">
        <v>29</v>
      </c>
      <c r="M31" s="9">
        <v>32</v>
      </c>
      <c r="N31" s="9">
        <v>37</v>
      </c>
      <c r="O31" s="9">
        <v>43</v>
      </c>
      <c r="P31" s="9">
        <v>56</v>
      </c>
      <c r="Q31" s="9">
        <v>58</v>
      </c>
      <c r="R31" s="9">
        <v>63</v>
      </c>
      <c r="S31" s="9">
        <v>70</v>
      </c>
      <c r="T31" s="9">
        <v>69</v>
      </c>
      <c r="U31" s="9">
        <v>71</v>
      </c>
      <c r="V31" s="9">
        <v>79</v>
      </c>
      <c r="W31" s="9">
        <v>84</v>
      </c>
      <c r="X31" s="9">
        <v>83</v>
      </c>
      <c r="Y31" s="9">
        <v>78</v>
      </c>
      <c r="Z31" s="9">
        <v>78</v>
      </c>
      <c r="AA31" s="9">
        <v>79</v>
      </c>
      <c r="AB31" s="9">
        <v>77</v>
      </c>
      <c r="AC31" s="9">
        <v>79</v>
      </c>
      <c r="AD31" s="9">
        <v>80</v>
      </c>
      <c r="AE31" s="9">
        <v>75</v>
      </c>
      <c r="AF31" s="9">
        <v>70</v>
      </c>
      <c r="AG31" s="9">
        <v>65</v>
      </c>
      <c r="AH31" s="9">
        <v>66</v>
      </c>
      <c r="AI31" s="9">
        <v>67</v>
      </c>
      <c r="AJ31" s="9">
        <v>67</v>
      </c>
      <c r="AK31" s="9">
        <v>69</v>
      </c>
      <c r="AL31" s="9">
        <v>64</v>
      </c>
      <c r="AM31" s="9">
        <v>65</v>
      </c>
      <c r="AN31" s="9">
        <v>70</v>
      </c>
      <c r="AO31" s="9">
        <v>69</v>
      </c>
      <c r="AP31" s="9">
        <v>66</v>
      </c>
      <c r="AQ31" s="9">
        <v>57</v>
      </c>
      <c r="AR31" s="9">
        <v>62</v>
      </c>
      <c r="AS31" s="9">
        <v>60</v>
      </c>
      <c r="AT31" s="9">
        <v>57</v>
      </c>
      <c r="AU31" s="9">
        <v>63</v>
      </c>
      <c r="AV31" s="9">
        <v>72</v>
      </c>
      <c r="AW31" s="9">
        <v>58</v>
      </c>
      <c r="AX31" s="9">
        <v>58</v>
      </c>
      <c r="AY31" s="9">
        <v>65</v>
      </c>
      <c r="AZ31" s="9">
        <v>67</v>
      </c>
      <c r="BA31" s="9">
        <v>53</v>
      </c>
      <c r="BB31" s="9">
        <v>55</v>
      </c>
      <c r="BC31" s="9">
        <v>52</v>
      </c>
      <c r="BD31" s="9">
        <v>52</v>
      </c>
      <c r="BE31" s="9">
        <v>54</v>
      </c>
      <c r="BF31" s="9">
        <v>56</v>
      </c>
      <c r="BG31" s="9">
        <v>53</v>
      </c>
      <c r="BH31" s="9">
        <v>48</v>
      </c>
      <c r="BI31" s="9">
        <v>44</v>
      </c>
      <c r="BJ31" s="9">
        <v>40</v>
      </c>
      <c r="BK31" s="9">
        <v>43</v>
      </c>
      <c r="BL31" s="9">
        <v>44</v>
      </c>
      <c r="BM31" s="9">
        <v>46</v>
      </c>
      <c r="BN31" s="9">
        <v>51</v>
      </c>
      <c r="BO31" s="9">
        <v>46</v>
      </c>
      <c r="BP31" s="9">
        <v>41</v>
      </c>
      <c r="BQ31" s="9">
        <v>40</v>
      </c>
      <c r="BR31" s="9">
        <v>35</v>
      </c>
      <c r="BS31" s="9">
        <v>32</v>
      </c>
      <c r="BT31" s="9">
        <v>29</v>
      </c>
      <c r="BU31" s="9">
        <v>31</v>
      </c>
      <c r="BV31" s="9">
        <v>25</v>
      </c>
      <c r="BW31" s="9">
        <v>23</v>
      </c>
      <c r="BX31" s="9">
        <v>23</v>
      </c>
      <c r="BY31" s="9">
        <v>25</v>
      </c>
      <c r="BZ31" s="9">
        <v>27</v>
      </c>
      <c r="CA31" s="9">
        <v>4</v>
      </c>
      <c r="CB31" s="9">
        <v>6</v>
      </c>
      <c r="CC31" s="9">
        <v>4</v>
      </c>
      <c r="CD31" s="9">
        <v>4</v>
      </c>
      <c r="CE31" s="9">
        <v>6</v>
      </c>
      <c r="CF31" s="9">
        <v>6</v>
      </c>
      <c r="CG31" s="9">
        <v>19</v>
      </c>
      <c r="CH31" s="9">
        <v>5</v>
      </c>
      <c r="CI31" s="9">
        <v>2</v>
      </c>
      <c r="CJ31" s="9">
        <v>2</v>
      </c>
      <c r="CK31" s="9">
        <v>1</v>
      </c>
      <c r="CL31" s="9">
        <v>3</v>
      </c>
      <c r="CM31" s="9">
        <v>2</v>
      </c>
      <c r="CN31" s="9">
        <v>1</v>
      </c>
      <c r="CO31" s="9">
        <v>2</v>
      </c>
      <c r="CP31" s="9">
        <v>3</v>
      </c>
      <c r="CQ31" s="9">
        <v>3</v>
      </c>
      <c r="CR31" s="9">
        <v>18</v>
      </c>
      <c r="CS31" s="9">
        <v>3</v>
      </c>
      <c r="CT31" s="9">
        <v>2</v>
      </c>
      <c r="CU31" s="9">
        <v>2</v>
      </c>
      <c r="CV31" s="9">
        <v>2</v>
      </c>
      <c r="CW31" s="9">
        <v>2</v>
      </c>
      <c r="CX31" s="9">
        <v>2</v>
      </c>
      <c r="CY31" s="9">
        <v>2</v>
      </c>
      <c r="CZ31" s="9">
        <v>2</v>
      </c>
      <c r="DA31" s="9">
        <v>3</v>
      </c>
      <c r="DB31" s="9">
        <v>3</v>
      </c>
      <c r="DC31" s="9">
        <v>3</v>
      </c>
      <c r="DD31" s="9">
        <v>0</v>
      </c>
      <c r="DE31" s="9">
        <v>0</v>
      </c>
      <c r="DF31" s="9">
        <v>0</v>
      </c>
      <c r="DG31" s="9">
        <v>0</v>
      </c>
      <c r="DH31" s="9">
        <v>0</v>
      </c>
      <c r="DI31" s="9">
        <v>0</v>
      </c>
      <c r="DJ31" s="9">
        <v>0</v>
      </c>
      <c r="DK31" s="9">
        <v>2</v>
      </c>
      <c r="DL31" s="9">
        <v>0</v>
      </c>
      <c r="DM31" s="9">
        <v>0</v>
      </c>
      <c r="DN31" s="9">
        <v>0</v>
      </c>
      <c r="DO31" s="9">
        <v>0</v>
      </c>
      <c r="DP31" s="9">
        <v>0</v>
      </c>
      <c r="DQ31" s="9">
        <v>0</v>
      </c>
      <c r="DR31" s="9">
        <v>0</v>
      </c>
      <c r="DS31" s="9">
        <v>0</v>
      </c>
      <c r="DT31" s="9">
        <v>0</v>
      </c>
      <c r="DU31" s="9">
        <v>0</v>
      </c>
      <c r="DV31" s="9">
        <v>0</v>
      </c>
      <c r="DW31" s="9">
        <v>0</v>
      </c>
      <c r="DX31" s="9">
        <v>0</v>
      </c>
      <c r="DY31" s="9">
        <v>0</v>
      </c>
      <c r="DZ31" s="9">
        <v>0</v>
      </c>
      <c r="EA31" s="9">
        <v>0</v>
      </c>
      <c r="EB31" s="9">
        <v>0</v>
      </c>
      <c r="EC31" s="9">
        <v>0</v>
      </c>
      <c r="ED31" s="9">
        <v>0</v>
      </c>
      <c r="EE31" s="9">
        <v>0</v>
      </c>
      <c r="EF31" s="9">
        <v>0</v>
      </c>
      <c r="EG31" s="9">
        <v>0</v>
      </c>
      <c r="EH31" s="9">
        <v>0</v>
      </c>
      <c r="EI31" s="9">
        <v>0</v>
      </c>
      <c r="EJ31" s="9">
        <v>0</v>
      </c>
      <c r="EK31" s="9">
        <v>0</v>
      </c>
      <c r="EL31" s="9">
        <v>0</v>
      </c>
      <c r="EM31" s="9">
        <v>0</v>
      </c>
      <c r="EN31" s="9">
        <v>1</v>
      </c>
      <c r="EO31" s="9">
        <v>0</v>
      </c>
      <c r="EP31" s="9">
        <v>0</v>
      </c>
      <c r="EQ31" s="9">
        <v>0</v>
      </c>
      <c r="ER31" s="9">
        <v>0</v>
      </c>
      <c r="ES31" s="9">
        <v>0</v>
      </c>
      <c r="ET31" s="9">
        <v>0</v>
      </c>
      <c r="EU31" s="9">
        <v>0</v>
      </c>
      <c r="EV31" s="9">
        <v>0</v>
      </c>
      <c r="EW31" s="9">
        <v>0</v>
      </c>
      <c r="EX31" s="9">
        <v>0</v>
      </c>
      <c r="EY31" s="9">
        <v>0</v>
      </c>
      <c r="EZ31" s="9">
        <v>0</v>
      </c>
      <c r="FA31" s="9">
        <v>0</v>
      </c>
      <c r="FB31" s="9">
        <v>0</v>
      </c>
      <c r="FC31" s="9">
        <v>0</v>
      </c>
      <c r="FD31" s="9">
        <v>0</v>
      </c>
      <c r="FE31" s="9">
        <v>0</v>
      </c>
      <c r="FF31" s="9">
        <v>0</v>
      </c>
      <c r="FG31" s="9">
        <v>0</v>
      </c>
      <c r="FH31" s="9">
        <v>0</v>
      </c>
      <c r="FI31" s="9">
        <v>0</v>
      </c>
      <c r="FJ31" s="9">
        <v>0</v>
      </c>
      <c r="FK31" s="9">
        <v>0</v>
      </c>
      <c r="FL31" s="9">
        <v>0</v>
      </c>
      <c r="FM31" s="10">
        <v>0</v>
      </c>
    </row>
    <row r="32" spans="1:169" x14ac:dyDescent="0.35">
      <c r="A32" s="8" t="s">
        <v>0</v>
      </c>
      <c r="B32" s="9" t="s">
        <v>55</v>
      </c>
      <c r="C32" s="10" t="s">
        <v>56</v>
      </c>
      <c r="D32" s="62">
        <f t="shared" si="97"/>
        <v>16</v>
      </c>
      <c r="E32" s="9">
        <v>0</v>
      </c>
      <c r="F32" s="9">
        <v>0</v>
      </c>
      <c r="G32" s="9">
        <v>0</v>
      </c>
      <c r="H32" s="9">
        <v>0</v>
      </c>
      <c r="I32" s="9">
        <v>0</v>
      </c>
      <c r="J32" s="9">
        <v>0</v>
      </c>
      <c r="K32" s="9">
        <v>0</v>
      </c>
      <c r="L32" s="9">
        <v>0</v>
      </c>
      <c r="M32" s="9">
        <v>0</v>
      </c>
      <c r="N32" s="9">
        <v>0</v>
      </c>
      <c r="O32" s="9">
        <v>0</v>
      </c>
      <c r="P32" s="9">
        <v>0</v>
      </c>
      <c r="Q32" s="9">
        <v>0</v>
      </c>
      <c r="R32" s="9">
        <v>1</v>
      </c>
      <c r="S32" s="9">
        <v>1</v>
      </c>
      <c r="T32" s="9">
        <v>1</v>
      </c>
      <c r="U32" s="9">
        <v>3</v>
      </c>
      <c r="V32" s="9">
        <v>1</v>
      </c>
      <c r="W32" s="9">
        <v>3</v>
      </c>
      <c r="X32" s="9">
        <v>3</v>
      </c>
      <c r="Y32" s="9">
        <v>3</v>
      </c>
      <c r="Z32" s="9">
        <v>7</v>
      </c>
      <c r="AA32" s="9">
        <v>7</v>
      </c>
      <c r="AB32" s="9">
        <v>16</v>
      </c>
      <c r="AC32" s="9">
        <v>15</v>
      </c>
      <c r="AD32" s="9">
        <v>13</v>
      </c>
      <c r="AE32" s="9">
        <v>13</v>
      </c>
      <c r="AF32" s="9">
        <v>14</v>
      </c>
      <c r="AG32" s="9">
        <v>14</v>
      </c>
      <c r="AH32" s="9">
        <v>13</v>
      </c>
      <c r="AI32" s="9">
        <v>13</v>
      </c>
      <c r="AJ32" s="9">
        <v>15</v>
      </c>
      <c r="AK32" s="9">
        <v>14</v>
      </c>
      <c r="AL32" s="9">
        <v>13</v>
      </c>
      <c r="AM32" s="9">
        <v>12</v>
      </c>
      <c r="AN32" s="9">
        <v>12</v>
      </c>
      <c r="AO32" s="9">
        <v>11</v>
      </c>
      <c r="AP32" s="9">
        <v>12</v>
      </c>
      <c r="AQ32" s="9">
        <v>14</v>
      </c>
      <c r="AR32" s="9">
        <v>14</v>
      </c>
      <c r="AS32" s="9">
        <v>14</v>
      </c>
      <c r="AT32" s="9">
        <v>14</v>
      </c>
      <c r="AU32" s="9">
        <v>10</v>
      </c>
      <c r="AV32" s="9">
        <v>8</v>
      </c>
      <c r="AW32" s="9">
        <v>7</v>
      </c>
      <c r="AX32" s="9">
        <v>7</v>
      </c>
      <c r="AY32" s="9">
        <v>11</v>
      </c>
      <c r="AZ32" s="9">
        <v>7</v>
      </c>
      <c r="BA32" s="9">
        <v>7</v>
      </c>
      <c r="BB32" s="9">
        <v>7</v>
      </c>
      <c r="BC32" s="9">
        <v>6</v>
      </c>
      <c r="BD32" s="9">
        <v>4</v>
      </c>
      <c r="BE32" s="9">
        <v>4</v>
      </c>
      <c r="BF32" s="9">
        <v>4</v>
      </c>
      <c r="BG32" s="9">
        <v>4</v>
      </c>
      <c r="BH32" s="9">
        <v>2</v>
      </c>
      <c r="BI32" s="9">
        <v>2</v>
      </c>
      <c r="BJ32" s="9">
        <v>2</v>
      </c>
      <c r="BK32" s="9">
        <v>1</v>
      </c>
      <c r="BL32" s="9">
        <v>1</v>
      </c>
      <c r="BM32" s="9">
        <v>1</v>
      </c>
      <c r="BN32" s="9">
        <v>1</v>
      </c>
      <c r="BO32" s="9">
        <v>1</v>
      </c>
      <c r="BP32" s="9">
        <v>0</v>
      </c>
      <c r="BQ32" s="9">
        <v>0</v>
      </c>
      <c r="BR32" s="9">
        <v>0</v>
      </c>
      <c r="BS32" s="9">
        <v>0</v>
      </c>
      <c r="BT32" s="9">
        <v>0</v>
      </c>
      <c r="BU32" s="9">
        <v>0</v>
      </c>
      <c r="BV32" s="9">
        <v>0</v>
      </c>
      <c r="BW32" s="9">
        <v>0</v>
      </c>
      <c r="BX32" s="9">
        <v>0</v>
      </c>
      <c r="BY32" s="9">
        <v>0</v>
      </c>
      <c r="BZ32" s="9">
        <v>0</v>
      </c>
      <c r="CA32" s="9">
        <v>0</v>
      </c>
      <c r="CB32" s="9">
        <v>0</v>
      </c>
      <c r="CC32" s="9">
        <v>0</v>
      </c>
      <c r="CD32" s="9">
        <v>0</v>
      </c>
      <c r="CE32" s="9">
        <v>0</v>
      </c>
      <c r="CF32" s="9">
        <v>0</v>
      </c>
      <c r="CG32" s="9">
        <v>0</v>
      </c>
      <c r="CH32" s="9">
        <v>0</v>
      </c>
      <c r="CI32" s="9">
        <v>0</v>
      </c>
      <c r="CJ32" s="9">
        <v>0</v>
      </c>
      <c r="CK32" s="9">
        <v>0</v>
      </c>
      <c r="CL32" s="9">
        <v>0</v>
      </c>
      <c r="CM32" s="9">
        <v>0</v>
      </c>
      <c r="CN32" s="9">
        <v>0</v>
      </c>
      <c r="CO32" s="9">
        <v>0</v>
      </c>
      <c r="CP32" s="9">
        <v>0</v>
      </c>
      <c r="CQ32" s="9">
        <v>0</v>
      </c>
      <c r="CR32" s="9">
        <v>0</v>
      </c>
      <c r="CS32" s="9">
        <v>0</v>
      </c>
      <c r="CT32" s="9">
        <v>0</v>
      </c>
      <c r="CU32" s="9">
        <v>0</v>
      </c>
      <c r="CV32" s="9">
        <v>0</v>
      </c>
      <c r="CW32" s="9">
        <v>0</v>
      </c>
      <c r="CX32" s="9">
        <v>0</v>
      </c>
      <c r="CY32" s="9">
        <v>0</v>
      </c>
      <c r="CZ32" s="9">
        <v>0</v>
      </c>
      <c r="DA32" s="9">
        <v>0</v>
      </c>
      <c r="DB32" s="9">
        <v>0</v>
      </c>
      <c r="DC32" s="9">
        <v>0</v>
      </c>
      <c r="DD32" s="9">
        <v>0</v>
      </c>
      <c r="DE32" s="9">
        <v>0</v>
      </c>
      <c r="DF32" s="9">
        <v>0</v>
      </c>
      <c r="DG32" s="9">
        <v>0</v>
      </c>
      <c r="DH32" s="9">
        <v>0</v>
      </c>
      <c r="DI32" s="9">
        <v>0</v>
      </c>
      <c r="DJ32" s="9">
        <v>0</v>
      </c>
      <c r="DK32" s="9">
        <v>0</v>
      </c>
      <c r="DL32" s="9">
        <v>0</v>
      </c>
      <c r="DM32" s="9">
        <v>0</v>
      </c>
      <c r="DN32" s="9">
        <v>0</v>
      </c>
      <c r="DO32" s="9">
        <v>0</v>
      </c>
      <c r="DP32" s="9">
        <v>0</v>
      </c>
      <c r="DQ32" s="9">
        <v>0</v>
      </c>
      <c r="DR32" s="9">
        <v>0</v>
      </c>
      <c r="DS32" s="9">
        <v>0</v>
      </c>
      <c r="DT32" s="9">
        <v>0</v>
      </c>
      <c r="DU32" s="9">
        <v>0</v>
      </c>
      <c r="DV32" s="9">
        <v>0</v>
      </c>
      <c r="DW32" s="9">
        <v>0</v>
      </c>
      <c r="DX32" s="9">
        <v>0</v>
      </c>
      <c r="DY32" s="9">
        <v>0</v>
      </c>
      <c r="DZ32" s="9">
        <v>0</v>
      </c>
      <c r="EA32" s="9">
        <v>0</v>
      </c>
      <c r="EB32" s="9">
        <v>0</v>
      </c>
      <c r="EC32" s="9">
        <v>0</v>
      </c>
      <c r="ED32" s="9">
        <v>0</v>
      </c>
      <c r="EE32" s="9">
        <v>0</v>
      </c>
      <c r="EF32" s="9">
        <v>0</v>
      </c>
      <c r="EG32" s="9">
        <v>0</v>
      </c>
      <c r="EH32" s="9">
        <v>0</v>
      </c>
      <c r="EI32" s="9">
        <v>0</v>
      </c>
      <c r="EJ32" s="9">
        <v>0</v>
      </c>
      <c r="EK32" s="9">
        <v>0</v>
      </c>
      <c r="EL32" s="9">
        <v>0</v>
      </c>
      <c r="EM32" s="9">
        <v>0</v>
      </c>
      <c r="EN32" s="9">
        <v>0</v>
      </c>
      <c r="EO32" s="9">
        <v>0</v>
      </c>
      <c r="EP32" s="9">
        <v>0</v>
      </c>
      <c r="EQ32" s="9">
        <v>0</v>
      </c>
      <c r="ER32" s="9">
        <v>0</v>
      </c>
      <c r="ES32" s="9">
        <v>0</v>
      </c>
      <c r="ET32" s="9">
        <v>0</v>
      </c>
      <c r="EU32" s="9">
        <v>0</v>
      </c>
      <c r="EV32" s="9">
        <v>0</v>
      </c>
      <c r="EW32" s="9">
        <v>0</v>
      </c>
      <c r="EX32" s="9">
        <v>0</v>
      </c>
      <c r="EY32" s="9">
        <v>0</v>
      </c>
      <c r="EZ32" s="9">
        <v>0</v>
      </c>
      <c r="FA32" s="9">
        <v>0</v>
      </c>
      <c r="FB32" s="9">
        <v>0</v>
      </c>
      <c r="FC32" s="9">
        <v>0</v>
      </c>
      <c r="FD32" s="9">
        <v>0</v>
      </c>
      <c r="FE32" s="9">
        <v>0</v>
      </c>
      <c r="FF32" s="9">
        <v>0</v>
      </c>
      <c r="FG32" s="9">
        <v>0</v>
      </c>
      <c r="FH32" s="9">
        <v>0</v>
      </c>
      <c r="FI32" s="9">
        <v>0</v>
      </c>
      <c r="FJ32" s="9">
        <v>0</v>
      </c>
      <c r="FK32" s="9">
        <v>0</v>
      </c>
      <c r="FL32" s="9">
        <v>0</v>
      </c>
      <c r="FM32" s="10">
        <v>0</v>
      </c>
    </row>
    <row r="33" spans="1:169" x14ac:dyDescent="0.35">
      <c r="A33" s="8" t="s">
        <v>0</v>
      </c>
      <c r="B33" s="9" t="s">
        <v>57</v>
      </c>
      <c r="C33" s="10" t="s">
        <v>58</v>
      </c>
      <c r="D33" s="62">
        <f t="shared" si="97"/>
        <v>141</v>
      </c>
      <c r="E33" s="9">
        <v>0</v>
      </c>
      <c r="F33" s="9">
        <v>2</v>
      </c>
      <c r="G33" s="9">
        <v>3</v>
      </c>
      <c r="H33" s="9">
        <v>7</v>
      </c>
      <c r="I33" s="9">
        <v>17</v>
      </c>
      <c r="J33" s="9">
        <v>22</v>
      </c>
      <c r="K33" s="9">
        <v>34</v>
      </c>
      <c r="L33" s="9">
        <v>46</v>
      </c>
      <c r="M33" s="9">
        <v>51</v>
      </c>
      <c r="N33" s="9">
        <v>53</v>
      </c>
      <c r="O33" s="9">
        <v>81</v>
      </c>
      <c r="P33" s="9">
        <v>87</v>
      </c>
      <c r="Q33" s="9">
        <v>92</v>
      </c>
      <c r="R33" s="9">
        <v>112</v>
      </c>
      <c r="S33" s="9">
        <v>0</v>
      </c>
      <c r="T33" s="9">
        <v>141</v>
      </c>
      <c r="U33" s="9">
        <v>125</v>
      </c>
      <c r="V33" s="9">
        <v>119</v>
      </c>
      <c r="W33" s="9">
        <v>133</v>
      </c>
      <c r="X33" s="9">
        <v>129</v>
      </c>
      <c r="Y33" s="9">
        <v>129</v>
      </c>
      <c r="Z33" s="9">
        <v>122</v>
      </c>
      <c r="AA33" s="9">
        <v>104</v>
      </c>
      <c r="AB33" s="9">
        <v>109</v>
      </c>
      <c r="AC33" s="9">
        <v>101</v>
      </c>
      <c r="AD33" s="9">
        <v>94</v>
      </c>
      <c r="AE33" s="9">
        <v>106</v>
      </c>
      <c r="AF33" s="9">
        <v>105</v>
      </c>
      <c r="AG33" s="9">
        <v>97</v>
      </c>
      <c r="AH33" s="9">
        <v>97</v>
      </c>
      <c r="AI33" s="9">
        <v>94</v>
      </c>
      <c r="AJ33" s="9">
        <v>89</v>
      </c>
      <c r="AK33" s="9">
        <v>84</v>
      </c>
      <c r="AL33" s="9">
        <v>79</v>
      </c>
      <c r="AM33" s="9">
        <v>72</v>
      </c>
      <c r="AN33" s="9">
        <v>66</v>
      </c>
      <c r="AO33" s="9">
        <v>53</v>
      </c>
      <c r="AP33" s="9">
        <v>54</v>
      </c>
      <c r="AQ33" s="9">
        <v>46</v>
      </c>
      <c r="AR33" s="9">
        <v>49</v>
      </c>
      <c r="AS33" s="9">
        <v>40</v>
      </c>
      <c r="AT33" s="9">
        <v>36</v>
      </c>
      <c r="AU33" s="9">
        <v>42</v>
      </c>
      <c r="AV33" s="9">
        <v>40</v>
      </c>
      <c r="AW33" s="9">
        <v>40</v>
      </c>
      <c r="AX33" s="9">
        <v>41</v>
      </c>
      <c r="AY33" s="9">
        <v>40</v>
      </c>
      <c r="AZ33" s="9">
        <v>35</v>
      </c>
      <c r="BA33" s="9">
        <v>33</v>
      </c>
      <c r="BB33" s="9">
        <v>31</v>
      </c>
      <c r="BC33" s="9">
        <v>28</v>
      </c>
      <c r="BD33" s="9">
        <v>25</v>
      </c>
      <c r="BE33" s="9">
        <v>24</v>
      </c>
      <c r="BF33" s="9">
        <v>17</v>
      </c>
      <c r="BG33" s="9">
        <v>17</v>
      </c>
      <c r="BH33" s="9">
        <v>12</v>
      </c>
      <c r="BI33" s="9">
        <v>12</v>
      </c>
      <c r="BJ33" s="9">
        <v>14</v>
      </c>
      <c r="BK33" s="9">
        <v>13</v>
      </c>
      <c r="BL33" s="9">
        <v>7</v>
      </c>
      <c r="BM33" s="9">
        <v>8</v>
      </c>
      <c r="BN33" s="9">
        <v>8</v>
      </c>
      <c r="BO33" s="9">
        <v>5</v>
      </c>
      <c r="BP33" s="9">
        <v>7</v>
      </c>
      <c r="BQ33" s="9">
        <v>9</v>
      </c>
      <c r="BR33" s="9">
        <v>7</v>
      </c>
      <c r="BS33" s="9">
        <v>7</v>
      </c>
      <c r="BT33" s="9">
        <v>7</v>
      </c>
      <c r="BU33" s="9">
        <v>3</v>
      </c>
      <c r="BV33" s="9">
        <v>5</v>
      </c>
      <c r="BW33" s="9">
        <v>6</v>
      </c>
      <c r="BX33" s="9">
        <v>6</v>
      </c>
      <c r="BY33" s="9">
        <v>4</v>
      </c>
      <c r="BZ33" s="9">
        <v>4</v>
      </c>
      <c r="CA33" s="9">
        <v>3</v>
      </c>
      <c r="CB33" s="9">
        <v>5</v>
      </c>
      <c r="CC33" s="9">
        <v>3</v>
      </c>
      <c r="CD33" s="9">
        <v>4</v>
      </c>
      <c r="CE33" s="9">
        <v>5</v>
      </c>
      <c r="CF33" s="9">
        <v>5</v>
      </c>
      <c r="CG33" s="9">
        <v>5</v>
      </c>
      <c r="CH33" s="9">
        <v>3</v>
      </c>
      <c r="CI33" s="9">
        <v>4</v>
      </c>
      <c r="CJ33" s="9">
        <v>2</v>
      </c>
      <c r="CK33" s="9">
        <v>2</v>
      </c>
      <c r="CL33" s="9">
        <v>4</v>
      </c>
      <c r="CM33" s="9">
        <v>4</v>
      </c>
      <c r="CN33" s="9">
        <v>2</v>
      </c>
      <c r="CO33" s="9">
        <v>4</v>
      </c>
      <c r="CP33" s="9">
        <v>4</v>
      </c>
      <c r="CQ33" s="9">
        <v>3</v>
      </c>
      <c r="CR33" s="9">
        <v>1</v>
      </c>
      <c r="CS33" s="9">
        <v>0</v>
      </c>
      <c r="CT33" s="9">
        <v>0</v>
      </c>
      <c r="CU33" s="9">
        <v>0</v>
      </c>
      <c r="CV33" s="9">
        <v>2</v>
      </c>
      <c r="CW33" s="9">
        <v>2</v>
      </c>
      <c r="CX33" s="9">
        <v>1</v>
      </c>
      <c r="CY33" s="9">
        <v>1</v>
      </c>
      <c r="CZ33" s="9">
        <v>1</v>
      </c>
      <c r="DA33" s="9">
        <v>1</v>
      </c>
      <c r="DB33" s="9">
        <v>1</v>
      </c>
      <c r="DC33" s="9">
        <v>0</v>
      </c>
      <c r="DD33" s="9">
        <v>0</v>
      </c>
      <c r="DE33" s="9">
        <v>1</v>
      </c>
      <c r="DF33" s="9">
        <v>2</v>
      </c>
      <c r="DG33" s="9">
        <v>2</v>
      </c>
      <c r="DH33" s="9">
        <v>2</v>
      </c>
      <c r="DI33" s="9">
        <v>2</v>
      </c>
      <c r="DJ33" s="9">
        <v>4</v>
      </c>
      <c r="DK33" s="9">
        <v>4</v>
      </c>
      <c r="DL33" s="9">
        <v>3</v>
      </c>
      <c r="DM33" s="9">
        <v>4</v>
      </c>
      <c r="DN33" s="9">
        <v>3</v>
      </c>
      <c r="DO33" s="9">
        <v>3</v>
      </c>
      <c r="DP33" s="9">
        <v>3</v>
      </c>
      <c r="DQ33" s="9">
        <v>3</v>
      </c>
      <c r="DR33" s="9">
        <v>1</v>
      </c>
      <c r="DS33" s="9">
        <v>0</v>
      </c>
      <c r="DT33" s="9">
        <v>0</v>
      </c>
      <c r="DU33" s="9">
        <v>0</v>
      </c>
      <c r="DV33" s="9">
        <v>0</v>
      </c>
      <c r="DW33" s="9">
        <v>0</v>
      </c>
      <c r="DX33" s="9">
        <v>0</v>
      </c>
      <c r="DY33" s="9">
        <v>0</v>
      </c>
      <c r="DZ33" s="9">
        <v>1</v>
      </c>
      <c r="EA33" s="9">
        <v>1</v>
      </c>
      <c r="EB33" s="9">
        <v>0</v>
      </c>
      <c r="EC33" s="9">
        <v>1</v>
      </c>
      <c r="ED33" s="9">
        <v>1</v>
      </c>
      <c r="EE33" s="9">
        <v>1</v>
      </c>
      <c r="EF33" s="9">
        <v>2</v>
      </c>
      <c r="EG33" s="9">
        <v>1</v>
      </c>
      <c r="EH33" s="9">
        <v>0</v>
      </c>
      <c r="EI33" s="9">
        <v>0</v>
      </c>
      <c r="EJ33" s="9">
        <v>0</v>
      </c>
      <c r="EK33" s="9">
        <v>0</v>
      </c>
      <c r="EL33" s="9">
        <v>0</v>
      </c>
      <c r="EM33" s="9">
        <v>0</v>
      </c>
      <c r="EN33" s="9">
        <v>0</v>
      </c>
      <c r="EO33" s="9">
        <v>0</v>
      </c>
      <c r="EP33" s="9">
        <v>0</v>
      </c>
      <c r="EQ33" s="9">
        <v>0</v>
      </c>
      <c r="ER33" s="9">
        <v>0</v>
      </c>
      <c r="ES33" s="9">
        <v>0</v>
      </c>
      <c r="ET33" s="9">
        <v>0</v>
      </c>
      <c r="EU33" s="9">
        <v>0</v>
      </c>
      <c r="EV33" s="9">
        <v>0</v>
      </c>
      <c r="EW33" s="9">
        <v>0</v>
      </c>
      <c r="EX33" s="9">
        <v>0</v>
      </c>
      <c r="EY33" s="9">
        <v>0</v>
      </c>
      <c r="EZ33" s="9">
        <v>0</v>
      </c>
      <c r="FA33" s="9">
        <v>0</v>
      </c>
      <c r="FB33" s="9">
        <v>0</v>
      </c>
      <c r="FC33" s="9">
        <v>0</v>
      </c>
      <c r="FD33" s="9">
        <v>0</v>
      </c>
      <c r="FE33" s="9">
        <v>0</v>
      </c>
      <c r="FF33" s="9">
        <v>0</v>
      </c>
      <c r="FG33" s="9">
        <v>0</v>
      </c>
      <c r="FH33" s="9">
        <v>0</v>
      </c>
      <c r="FI33" s="9">
        <v>0</v>
      </c>
      <c r="FJ33" s="9">
        <v>0</v>
      </c>
      <c r="FK33" s="9">
        <v>0</v>
      </c>
      <c r="FL33" s="9">
        <v>0</v>
      </c>
      <c r="FM33" s="10">
        <v>0</v>
      </c>
    </row>
    <row r="34" spans="1:169" x14ac:dyDescent="0.35">
      <c r="A34" s="8" t="s">
        <v>0</v>
      </c>
      <c r="B34" s="9" t="s">
        <v>59</v>
      </c>
      <c r="C34" s="10" t="s">
        <v>60</v>
      </c>
      <c r="D34" s="62">
        <f t="shared" si="97"/>
        <v>21</v>
      </c>
      <c r="E34" s="9">
        <v>0</v>
      </c>
      <c r="F34" s="9">
        <v>0</v>
      </c>
      <c r="G34" s="9">
        <v>0</v>
      </c>
      <c r="H34" s="9">
        <v>0</v>
      </c>
      <c r="I34" s="9">
        <v>0</v>
      </c>
      <c r="J34" s="9">
        <v>0</v>
      </c>
      <c r="K34" s="9">
        <v>0</v>
      </c>
      <c r="L34" s="9">
        <v>0</v>
      </c>
      <c r="M34" s="9">
        <v>0</v>
      </c>
      <c r="N34" s="9">
        <v>0</v>
      </c>
      <c r="O34" s="9">
        <v>0</v>
      </c>
      <c r="P34" s="9">
        <v>0</v>
      </c>
      <c r="Q34" s="9">
        <v>1</v>
      </c>
      <c r="R34" s="9">
        <v>0</v>
      </c>
      <c r="S34" s="9">
        <v>0</v>
      </c>
      <c r="T34" s="9">
        <v>1</v>
      </c>
      <c r="U34" s="9">
        <v>1</v>
      </c>
      <c r="V34" s="9">
        <v>1</v>
      </c>
      <c r="W34" s="9">
        <v>2</v>
      </c>
      <c r="X34" s="9">
        <v>2</v>
      </c>
      <c r="Y34" s="9">
        <v>3</v>
      </c>
      <c r="Z34" s="9">
        <v>0</v>
      </c>
      <c r="AA34" s="9">
        <v>0</v>
      </c>
      <c r="AB34" s="9">
        <v>7</v>
      </c>
      <c r="AC34" s="9">
        <v>9</v>
      </c>
      <c r="AD34" s="9">
        <v>10</v>
      </c>
      <c r="AE34" s="9">
        <v>9</v>
      </c>
      <c r="AF34" s="9">
        <v>9</v>
      </c>
      <c r="AG34" s="9">
        <v>10</v>
      </c>
      <c r="AH34" s="9">
        <v>0</v>
      </c>
      <c r="AI34" s="9">
        <v>10</v>
      </c>
      <c r="AJ34" s="9">
        <v>7</v>
      </c>
      <c r="AK34" s="9">
        <v>7</v>
      </c>
      <c r="AL34" s="9">
        <v>7</v>
      </c>
      <c r="AM34" s="9">
        <v>11</v>
      </c>
      <c r="AN34" s="9">
        <v>0</v>
      </c>
      <c r="AO34" s="9">
        <v>0</v>
      </c>
      <c r="AP34" s="9">
        <v>14</v>
      </c>
      <c r="AQ34" s="9">
        <v>15</v>
      </c>
      <c r="AR34" s="9">
        <v>16</v>
      </c>
      <c r="AS34" s="9">
        <v>0</v>
      </c>
      <c r="AT34" s="9">
        <v>20</v>
      </c>
      <c r="AU34" s="9">
        <v>16</v>
      </c>
      <c r="AV34" s="9">
        <v>16</v>
      </c>
      <c r="AW34" s="9">
        <v>21</v>
      </c>
      <c r="AX34" s="9">
        <v>21</v>
      </c>
      <c r="AY34" s="9">
        <v>21</v>
      </c>
      <c r="AZ34" s="9">
        <v>20</v>
      </c>
      <c r="BA34" s="9">
        <v>20</v>
      </c>
      <c r="BB34" s="9">
        <v>16</v>
      </c>
      <c r="BC34" s="9">
        <v>0</v>
      </c>
      <c r="BD34" s="9">
        <v>15</v>
      </c>
      <c r="BE34" s="9">
        <v>18</v>
      </c>
      <c r="BF34" s="9">
        <v>17</v>
      </c>
      <c r="BG34" s="9">
        <v>13</v>
      </c>
      <c r="BH34" s="9">
        <v>15</v>
      </c>
      <c r="BI34" s="9">
        <v>17</v>
      </c>
      <c r="BJ34" s="9">
        <v>17</v>
      </c>
      <c r="BK34" s="9">
        <v>15</v>
      </c>
      <c r="BL34" s="9">
        <v>15</v>
      </c>
      <c r="BM34" s="9">
        <v>13</v>
      </c>
      <c r="BN34" s="9">
        <v>14</v>
      </c>
      <c r="BO34" s="9">
        <v>16</v>
      </c>
      <c r="BP34" s="9">
        <v>15</v>
      </c>
      <c r="BQ34" s="9">
        <v>13</v>
      </c>
      <c r="BR34" s="9">
        <v>15</v>
      </c>
      <c r="BS34" s="9">
        <v>15</v>
      </c>
      <c r="BT34" s="9">
        <v>15</v>
      </c>
      <c r="BU34" s="9">
        <v>11</v>
      </c>
      <c r="BV34" s="9">
        <v>9</v>
      </c>
      <c r="BW34" s="9">
        <v>10</v>
      </c>
      <c r="BX34" s="9">
        <v>10</v>
      </c>
      <c r="BY34" s="9">
        <v>9</v>
      </c>
      <c r="BZ34" s="9">
        <v>11</v>
      </c>
      <c r="CA34" s="9">
        <v>12</v>
      </c>
      <c r="CB34" s="9">
        <v>10</v>
      </c>
      <c r="CC34" s="9">
        <v>9</v>
      </c>
      <c r="CD34" s="9">
        <v>7</v>
      </c>
      <c r="CE34" s="9">
        <v>7</v>
      </c>
      <c r="CF34" s="9">
        <v>9</v>
      </c>
      <c r="CG34" s="9">
        <v>9</v>
      </c>
      <c r="CH34" s="9">
        <v>0</v>
      </c>
      <c r="CI34" s="9">
        <v>4</v>
      </c>
      <c r="CJ34" s="9">
        <v>5</v>
      </c>
      <c r="CK34" s="9">
        <v>5</v>
      </c>
      <c r="CL34" s="9">
        <v>5</v>
      </c>
      <c r="CM34" s="9">
        <v>3</v>
      </c>
      <c r="CN34" s="9">
        <v>4</v>
      </c>
      <c r="CO34" s="9">
        <v>4</v>
      </c>
      <c r="CP34" s="9">
        <v>3</v>
      </c>
      <c r="CQ34" s="9">
        <v>3</v>
      </c>
      <c r="CR34" s="9">
        <v>3</v>
      </c>
      <c r="CS34" s="9">
        <v>0</v>
      </c>
      <c r="CT34" s="9">
        <v>0</v>
      </c>
      <c r="CU34" s="9">
        <v>0</v>
      </c>
      <c r="CV34" s="9">
        <v>0</v>
      </c>
      <c r="CW34" s="9">
        <v>0</v>
      </c>
      <c r="CX34" s="9">
        <v>0</v>
      </c>
      <c r="CY34" s="9">
        <v>0</v>
      </c>
      <c r="CZ34" s="9">
        <v>0</v>
      </c>
      <c r="DA34" s="9">
        <v>0</v>
      </c>
      <c r="DB34" s="9">
        <v>0</v>
      </c>
      <c r="DC34" s="9">
        <v>0</v>
      </c>
      <c r="DD34" s="9">
        <v>0</v>
      </c>
      <c r="DE34" s="9">
        <v>0</v>
      </c>
      <c r="DF34" s="9">
        <v>0</v>
      </c>
      <c r="DG34" s="9">
        <v>0</v>
      </c>
      <c r="DH34" s="9">
        <v>0</v>
      </c>
      <c r="DI34" s="9">
        <v>0</v>
      </c>
      <c r="DJ34" s="9">
        <v>0</v>
      </c>
      <c r="DK34" s="9">
        <v>1</v>
      </c>
      <c r="DL34" s="9">
        <v>2</v>
      </c>
      <c r="DM34" s="9">
        <v>3</v>
      </c>
      <c r="DN34" s="9">
        <v>3</v>
      </c>
      <c r="DO34" s="9">
        <v>2</v>
      </c>
      <c r="DP34" s="9">
        <v>2</v>
      </c>
      <c r="DQ34" s="9">
        <v>2</v>
      </c>
      <c r="DR34" s="9">
        <v>1</v>
      </c>
      <c r="DS34" s="9">
        <v>1</v>
      </c>
      <c r="DT34" s="9">
        <v>1</v>
      </c>
      <c r="DU34" s="9">
        <v>0</v>
      </c>
      <c r="DV34" s="9">
        <v>0</v>
      </c>
      <c r="DW34" s="9">
        <v>0</v>
      </c>
      <c r="DX34" s="9">
        <v>0</v>
      </c>
      <c r="DY34" s="9">
        <v>0</v>
      </c>
      <c r="DZ34" s="9">
        <v>0</v>
      </c>
      <c r="EA34" s="9">
        <v>0</v>
      </c>
      <c r="EB34" s="9">
        <v>0</v>
      </c>
      <c r="EC34" s="9">
        <v>0</v>
      </c>
      <c r="ED34" s="9">
        <v>0</v>
      </c>
      <c r="EE34" s="9">
        <v>0</v>
      </c>
      <c r="EF34" s="9">
        <v>0</v>
      </c>
      <c r="EG34" s="9">
        <v>0</v>
      </c>
      <c r="EH34" s="9">
        <v>0</v>
      </c>
      <c r="EI34" s="9">
        <v>0</v>
      </c>
      <c r="EJ34" s="9">
        <v>0</v>
      </c>
      <c r="EK34" s="9">
        <v>0</v>
      </c>
      <c r="EL34" s="9">
        <v>0</v>
      </c>
      <c r="EM34" s="9">
        <v>0</v>
      </c>
      <c r="EN34" s="9">
        <v>0</v>
      </c>
      <c r="EO34" s="9">
        <v>0</v>
      </c>
      <c r="EP34" s="9">
        <v>0</v>
      </c>
      <c r="EQ34" s="9">
        <v>0</v>
      </c>
      <c r="ER34" s="9">
        <v>0</v>
      </c>
      <c r="ES34" s="9">
        <v>0</v>
      </c>
      <c r="ET34" s="9">
        <v>0</v>
      </c>
      <c r="EU34" s="9">
        <v>0</v>
      </c>
      <c r="EV34" s="9">
        <v>0</v>
      </c>
      <c r="EW34" s="9">
        <v>0</v>
      </c>
      <c r="EX34" s="9">
        <v>0</v>
      </c>
      <c r="EY34" s="9">
        <v>0</v>
      </c>
      <c r="EZ34" s="9">
        <v>0</v>
      </c>
      <c r="FA34" s="9">
        <v>0</v>
      </c>
      <c r="FB34" s="9">
        <v>0</v>
      </c>
      <c r="FC34" s="9">
        <v>0</v>
      </c>
      <c r="FD34" s="9">
        <v>0</v>
      </c>
      <c r="FE34" s="9">
        <v>0</v>
      </c>
      <c r="FF34" s="9">
        <v>0</v>
      </c>
      <c r="FG34" s="9">
        <v>0</v>
      </c>
      <c r="FH34" s="9">
        <v>0</v>
      </c>
      <c r="FI34" s="9">
        <v>1</v>
      </c>
      <c r="FJ34" s="9">
        <v>1</v>
      </c>
      <c r="FK34" s="9">
        <v>1</v>
      </c>
      <c r="FL34" s="9">
        <v>1</v>
      </c>
      <c r="FM34" s="10">
        <v>1</v>
      </c>
    </row>
    <row r="35" spans="1:169" x14ac:dyDescent="0.35">
      <c r="A35" s="8" t="s">
        <v>0</v>
      </c>
      <c r="B35" s="9" t="s">
        <v>61</v>
      </c>
      <c r="C35" s="10" t="s">
        <v>62</v>
      </c>
      <c r="D35" s="62">
        <f t="shared" si="97"/>
        <v>146</v>
      </c>
      <c r="E35" s="9">
        <v>2</v>
      </c>
      <c r="F35" s="9">
        <v>2</v>
      </c>
      <c r="G35" s="9">
        <v>9</v>
      </c>
      <c r="H35" s="9">
        <v>19</v>
      </c>
      <c r="I35" s="9">
        <v>19</v>
      </c>
      <c r="J35" s="9">
        <v>22</v>
      </c>
      <c r="K35" s="9">
        <v>30</v>
      </c>
      <c r="L35" s="9">
        <v>37</v>
      </c>
      <c r="M35" s="9">
        <v>39</v>
      </c>
      <c r="N35" s="9">
        <v>58</v>
      </c>
      <c r="O35" s="9">
        <v>114</v>
      </c>
      <c r="P35" s="9">
        <v>80</v>
      </c>
      <c r="Q35" s="9">
        <v>97</v>
      </c>
      <c r="R35" s="9">
        <v>114</v>
      </c>
      <c r="S35" s="9">
        <v>114</v>
      </c>
      <c r="T35" s="9">
        <v>114</v>
      </c>
      <c r="U35" s="9">
        <v>124</v>
      </c>
      <c r="V35" s="9">
        <v>124</v>
      </c>
      <c r="W35" s="9">
        <v>137</v>
      </c>
      <c r="X35" s="9">
        <v>133</v>
      </c>
      <c r="Y35" s="9">
        <v>134</v>
      </c>
      <c r="Z35" s="9">
        <v>130</v>
      </c>
      <c r="AA35" s="9">
        <v>130</v>
      </c>
      <c r="AB35" s="9">
        <v>129</v>
      </c>
      <c r="AC35" s="9">
        <v>140</v>
      </c>
      <c r="AD35" s="9">
        <v>140</v>
      </c>
      <c r="AE35" s="9">
        <v>135</v>
      </c>
      <c r="AF35" s="9">
        <v>135</v>
      </c>
      <c r="AG35" s="9">
        <v>136</v>
      </c>
      <c r="AH35" s="9">
        <v>130</v>
      </c>
      <c r="AI35" s="9">
        <v>146</v>
      </c>
      <c r="AJ35" s="9">
        <v>135</v>
      </c>
      <c r="AK35" s="9">
        <v>122</v>
      </c>
      <c r="AL35" s="9">
        <v>131</v>
      </c>
      <c r="AM35" s="9">
        <v>130</v>
      </c>
      <c r="AN35" s="9">
        <v>121</v>
      </c>
      <c r="AO35" s="9">
        <v>121</v>
      </c>
      <c r="AP35" s="9">
        <v>122</v>
      </c>
      <c r="AQ35" s="9">
        <v>124</v>
      </c>
      <c r="AR35" s="9">
        <v>120</v>
      </c>
      <c r="AS35" s="9">
        <v>114</v>
      </c>
      <c r="AT35" s="9">
        <v>122</v>
      </c>
      <c r="AU35" s="9">
        <v>120</v>
      </c>
      <c r="AV35" s="9">
        <v>123</v>
      </c>
      <c r="AW35" s="9">
        <v>121</v>
      </c>
      <c r="AX35" s="9">
        <v>114</v>
      </c>
      <c r="AY35" s="9">
        <v>111</v>
      </c>
      <c r="AZ35" s="9">
        <v>95</v>
      </c>
      <c r="BA35" s="9">
        <v>111</v>
      </c>
      <c r="BB35" s="9">
        <v>89</v>
      </c>
      <c r="BC35" s="9">
        <v>90</v>
      </c>
      <c r="BD35" s="9">
        <v>89</v>
      </c>
      <c r="BE35" s="9">
        <v>101</v>
      </c>
      <c r="BF35" s="9">
        <v>110</v>
      </c>
      <c r="BG35" s="9">
        <v>113</v>
      </c>
      <c r="BH35" s="9">
        <v>102</v>
      </c>
      <c r="BI35" s="9">
        <v>101</v>
      </c>
      <c r="BJ35" s="9">
        <v>93</v>
      </c>
      <c r="BK35" s="9">
        <v>93</v>
      </c>
      <c r="BL35" s="9">
        <v>91</v>
      </c>
      <c r="BM35" s="9">
        <v>93</v>
      </c>
      <c r="BN35" s="9">
        <v>88</v>
      </c>
      <c r="BO35" s="9">
        <v>84</v>
      </c>
      <c r="BP35" s="9">
        <v>73</v>
      </c>
      <c r="BQ35" s="9">
        <v>71</v>
      </c>
      <c r="BR35" s="9">
        <v>66</v>
      </c>
      <c r="BS35" s="9">
        <v>74</v>
      </c>
      <c r="BT35" s="9">
        <v>59</v>
      </c>
      <c r="BU35" s="9">
        <v>61</v>
      </c>
      <c r="BV35" s="9">
        <v>65</v>
      </c>
      <c r="BW35" s="9">
        <v>62</v>
      </c>
      <c r="BX35" s="9">
        <v>59</v>
      </c>
      <c r="BY35" s="9">
        <v>57</v>
      </c>
      <c r="BZ35" s="9">
        <v>58</v>
      </c>
      <c r="CA35" s="9">
        <v>60</v>
      </c>
      <c r="CB35" s="9">
        <v>58</v>
      </c>
      <c r="CC35" s="9">
        <v>50</v>
      </c>
      <c r="CD35" s="9">
        <v>44</v>
      </c>
      <c r="CE35" s="9">
        <v>47</v>
      </c>
      <c r="CF35" s="9">
        <v>49</v>
      </c>
      <c r="CG35" s="9">
        <v>48</v>
      </c>
      <c r="CH35" s="9">
        <v>41</v>
      </c>
      <c r="CI35" s="9">
        <v>38</v>
      </c>
      <c r="CJ35" s="9">
        <v>38</v>
      </c>
      <c r="CK35" s="9">
        <v>36</v>
      </c>
      <c r="CL35" s="9">
        <v>34</v>
      </c>
      <c r="CM35" s="9">
        <v>29</v>
      </c>
      <c r="CN35" s="9">
        <v>32</v>
      </c>
      <c r="CO35" s="9">
        <v>35</v>
      </c>
      <c r="CP35" s="9">
        <v>33</v>
      </c>
      <c r="CQ35" s="9">
        <v>32</v>
      </c>
      <c r="CR35" s="9">
        <v>31</v>
      </c>
      <c r="CS35" s="9">
        <v>28</v>
      </c>
      <c r="CT35" s="9">
        <v>31</v>
      </c>
      <c r="CU35" s="9">
        <v>32</v>
      </c>
      <c r="CV35" s="9">
        <v>33</v>
      </c>
      <c r="CW35" s="9">
        <v>30</v>
      </c>
      <c r="CX35" s="9">
        <v>30</v>
      </c>
      <c r="CY35" s="9">
        <v>30</v>
      </c>
      <c r="CZ35" s="9">
        <v>26</v>
      </c>
      <c r="DA35" s="9">
        <v>24</v>
      </c>
      <c r="DB35" s="9">
        <v>24</v>
      </c>
      <c r="DC35" s="9">
        <v>24</v>
      </c>
      <c r="DD35" s="9">
        <v>25</v>
      </c>
      <c r="DE35" s="9">
        <v>27</v>
      </c>
      <c r="DF35" s="9">
        <v>40</v>
      </c>
      <c r="DG35" s="9">
        <v>28</v>
      </c>
      <c r="DH35" s="9">
        <v>30</v>
      </c>
      <c r="DI35" s="9">
        <v>33</v>
      </c>
      <c r="DJ35" s="9">
        <v>33</v>
      </c>
      <c r="DK35" s="9">
        <v>32</v>
      </c>
      <c r="DL35" s="9">
        <v>30</v>
      </c>
      <c r="DM35" s="9">
        <v>27</v>
      </c>
      <c r="DN35" s="9">
        <v>20</v>
      </c>
      <c r="DO35" s="9">
        <v>20</v>
      </c>
      <c r="DP35" s="9">
        <v>22</v>
      </c>
      <c r="DQ35" s="9">
        <v>22</v>
      </c>
      <c r="DR35" s="9">
        <v>21</v>
      </c>
      <c r="DS35" s="9">
        <v>18</v>
      </c>
      <c r="DT35" s="9">
        <v>20</v>
      </c>
      <c r="DU35" s="9">
        <v>20</v>
      </c>
      <c r="DV35" s="9">
        <v>20</v>
      </c>
      <c r="DW35" s="9">
        <v>21</v>
      </c>
      <c r="DX35" s="9">
        <v>22</v>
      </c>
      <c r="DY35" s="9">
        <v>16</v>
      </c>
      <c r="DZ35" s="9">
        <v>18</v>
      </c>
      <c r="EA35" s="9">
        <v>18</v>
      </c>
      <c r="EB35" s="9">
        <v>18</v>
      </c>
      <c r="EC35" s="9">
        <v>18</v>
      </c>
      <c r="ED35" s="9">
        <v>18</v>
      </c>
      <c r="EE35" s="9">
        <v>21</v>
      </c>
      <c r="EF35" s="9">
        <v>18</v>
      </c>
      <c r="EG35" s="9">
        <v>17</v>
      </c>
      <c r="EH35" s="9">
        <v>16</v>
      </c>
      <c r="EI35" s="9">
        <v>20</v>
      </c>
      <c r="EJ35" s="9">
        <v>21</v>
      </c>
      <c r="EK35" s="9">
        <v>20</v>
      </c>
      <c r="EL35" s="9">
        <v>15</v>
      </c>
      <c r="EM35" s="9">
        <v>16</v>
      </c>
      <c r="EN35" s="9">
        <v>21</v>
      </c>
      <c r="EO35" s="9">
        <v>19</v>
      </c>
      <c r="EP35" s="9">
        <v>22</v>
      </c>
      <c r="EQ35" s="9">
        <v>20</v>
      </c>
      <c r="ER35" s="9">
        <v>19</v>
      </c>
      <c r="ES35" s="9">
        <v>18</v>
      </c>
      <c r="ET35" s="9">
        <v>21</v>
      </c>
      <c r="EU35" s="9">
        <v>22</v>
      </c>
      <c r="EV35" s="9">
        <v>24</v>
      </c>
      <c r="EW35" s="9">
        <v>24</v>
      </c>
      <c r="EX35" s="9">
        <v>25</v>
      </c>
      <c r="EY35" s="9">
        <v>25</v>
      </c>
      <c r="EZ35" s="9">
        <v>23</v>
      </c>
      <c r="FA35" s="9">
        <v>22</v>
      </c>
      <c r="FB35" s="9">
        <v>20</v>
      </c>
      <c r="FC35" s="9">
        <v>20</v>
      </c>
      <c r="FD35" s="9">
        <v>17</v>
      </c>
      <c r="FE35" s="9">
        <v>16</v>
      </c>
      <c r="FF35" s="9">
        <v>16</v>
      </c>
      <c r="FG35" s="9">
        <v>15</v>
      </c>
      <c r="FH35" s="9">
        <v>16</v>
      </c>
      <c r="FI35" s="9">
        <v>15</v>
      </c>
      <c r="FJ35" s="9">
        <v>16</v>
      </c>
      <c r="FK35" s="9">
        <v>16</v>
      </c>
      <c r="FL35" s="9">
        <v>15</v>
      </c>
      <c r="FM35" s="10">
        <v>15</v>
      </c>
    </row>
    <row r="36" spans="1:169" x14ac:dyDescent="0.35">
      <c r="A36" s="8" t="s">
        <v>0</v>
      </c>
      <c r="B36" s="9" t="s">
        <v>63</v>
      </c>
      <c r="C36" s="10" t="s">
        <v>64</v>
      </c>
      <c r="D36" s="62">
        <f t="shared" si="97"/>
        <v>73</v>
      </c>
      <c r="E36" s="9">
        <v>20</v>
      </c>
      <c r="F36" s="9">
        <v>9</v>
      </c>
      <c r="G36" s="9">
        <v>9</v>
      </c>
      <c r="H36" s="9">
        <v>14</v>
      </c>
      <c r="I36" s="9">
        <v>17</v>
      </c>
      <c r="J36" s="9">
        <v>19</v>
      </c>
      <c r="K36" s="9">
        <v>24</v>
      </c>
      <c r="L36" s="9">
        <v>28</v>
      </c>
      <c r="M36" s="9">
        <v>28</v>
      </c>
      <c r="N36" s="9">
        <v>0</v>
      </c>
      <c r="O36" s="9">
        <v>39</v>
      </c>
      <c r="P36" s="9">
        <v>47</v>
      </c>
      <c r="Q36" s="9">
        <v>43</v>
      </c>
      <c r="R36" s="9">
        <v>0</v>
      </c>
      <c r="S36" s="9">
        <v>55</v>
      </c>
      <c r="T36" s="9">
        <v>55</v>
      </c>
      <c r="U36" s="9">
        <v>51</v>
      </c>
      <c r="V36" s="9">
        <v>61</v>
      </c>
      <c r="W36" s="9">
        <v>53</v>
      </c>
      <c r="X36" s="9">
        <v>68</v>
      </c>
      <c r="Y36" s="9">
        <v>69</v>
      </c>
      <c r="Z36" s="9">
        <v>67</v>
      </c>
      <c r="AA36" s="9">
        <v>69</v>
      </c>
      <c r="AB36" s="9">
        <v>65</v>
      </c>
      <c r="AC36" s="9">
        <v>73</v>
      </c>
      <c r="AD36" s="9">
        <v>69</v>
      </c>
      <c r="AE36" s="9">
        <v>70</v>
      </c>
      <c r="AF36" s="9">
        <v>60</v>
      </c>
      <c r="AG36" s="9">
        <v>57</v>
      </c>
      <c r="AH36" s="9">
        <v>60</v>
      </c>
      <c r="AI36" s="9">
        <v>64</v>
      </c>
      <c r="AJ36" s="9">
        <v>66</v>
      </c>
      <c r="AK36" s="9">
        <v>64</v>
      </c>
      <c r="AL36" s="9">
        <v>62</v>
      </c>
      <c r="AM36" s="9">
        <v>59</v>
      </c>
      <c r="AN36" s="9">
        <v>66</v>
      </c>
      <c r="AO36" s="9">
        <v>58</v>
      </c>
      <c r="AP36" s="9">
        <v>65</v>
      </c>
      <c r="AQ36" s="9">
        <v>63</v>
      </c>
      <c r="AR36" s="9">
        <v>62</v>
      </c>
      <c r="AS36" s="9">
        <v>61</v>
      </c>
      <c r="AT36" s="9">
        <v>55</v>
      </c>
      <c r="AU36" s="9">
        <v>51</v>
      </c>
      <c r="AV36" s="9">
        <v>49</v>
      </c>
      <c r="AW36" s="9">
        <v>53</v>
      </c>
      <c r="AX36" s="9">
        <v>52</v>
      </c>
      <c r="AY36" s="9">
        <v>45</v>
      </c>
      <c r="AZ36" s="9">
        <v>44</v>
      </c>
      <c r="BA36" s="9">
        <v>44</v>
      </c>
      <c r="BB36" s="9">
        <v>46</v>
      </c>
      <c r="BC36" s="9">
        <v>50</v>
      </c>
      <c r="BD36" s="9">
        <v>47</v>
      </c>
      <c r="BE36" s="9">
        <v>44</v>
      </c>
      <c r="BF36" s="9">
        <v>42</v>
      </c>
      <c r="BG36" s="9">
        <v>41</v>
      </c>
      <c r="BH36" s="9">
        <v>43</v>
      </c>
      <c r="BI36" s="9">
        <v>39</v>
      </c>
      <c r="BJ36" s="9">
        <v>36</v>
      </c>
      <c r="BK36" s="9">
        <v>36</v>
      </c>
      <c r="BL36" s="9">
        <v>34</v>
      </c>
      <c r="BM36" s="9">
        <v>34</v>
      </c>
      <c r="BN36" s="9">
        <v>35</v>
      </c>
      <c r="BO36" s="9">
        <v>35</v>
      </c>
      <c r="BP36" s="9">
        <v>33</v>
      </c>
      <c r="BQ36" s="9">
        <v>33</v>
      </c>
      <c r="BR36" s="9">
        <v>31</v>
      </c>
      <c r="BS36" s="9">
        <v>33</v>
      </c>
      <c r="BT36" s="9">
        <v>32</v>
      </c>
      <c r="BU36" s="9">
        <v>34</v>
      </c>
      <c r="BV36" s="9">
        <v>30</v>
      </c>
      <c r="BW36" s="9">
        <v>28</v>
      </c>
      <c r="BX36" s="9">
        <v>28</v>
      </c>
      <c r="BY36" s="9">
        <v>24</v>
      </c>
      <c r="BZ36" s="9">
        <v>22</v>
      </c>
      <c r="CA36" s="9">
        <v>20</v>
      </c>
      <c r="CB36" s="9">
        <v>20</v>
      </c>
      <c r="CC36" s="9">
        <v>16</v>
      </c>
      <c r="CD36" s="9">
        <v>16</v>
      </c>
      <c r="CE36" s="9">
        <v>18</v>
      </c>
      <c r="CF36" s="9">
        <v>19</v>
      </c>
      <c r="CG36" s="9">
        <v>20</v>
      </c>
      <c r="CH36" s="9">
        <v>20</v>
      </c>
      <c r="CI36" s="9">
        <v>19</v>
      </c>
      <c r="CJ36" s="9">
        <v>18</v>
      </c>
      <c r="CK36" s="9">
        <v>17</v>
      </c>
      <c r="CL36" s="9">
        <v>16</v>
      </c>
      <c r="CM36" s="9">
        <v>13</v>
      </c>
      <c r="CN36" s="9">
        <v>12</v>
      </c>
      <c r="CO36" s="9">
        <v>9</v>
      </c>
      <c r="CP36" s="9">
        <v>11</v>
      </c>
      <c r="CQ36" s="9">
        <v>11</v>
      </c>
      <c r="CR36" s="9">
        <v>11</v>
      </c>
      <c r="CS36" s="9">
        <v>10</v>
      </c>
      <c r="CT36" s="9">
        <v>8</v>
      </c>
      <c r="CU36" s="9">
        <v>7</v>
      </c>
      <c r="CV36" s="9">
        <v>7</v>
      </c>
      <c r="CW36" s="9">
        <v>7</v>
      </c>
      <c r="CX36" s="9">
        <v>5</v>
      </c>
      <c r="CY36" s="9">
        <v>6</v>
      </c>
      <c r="CZ36" s="9">
        <v>7</v>
      </c>
      <c r="DA36" s="9">
        <v>6</v>
      </c>
      <c r="DB36" s="9">
        <v>6</v>
      </c>
      <c r="DC36" s="9">
        <v>6</v>
      </c>
      <c r="DD36" s="9">
        <v>6</v>
      </c>
      <c r="DE36" s="9">
        <v>8</v>
      </c>
      <c r="DF36" s="9">
        <v>8</v>
      </c>
      <c r="DG36" s="9">
        <v>5</v>
      </c>
      <c r="DH36" s="9">
        <v>5</v>
      </c>
      <c r="DI36" s="9">
        <v>6</v>
      </c>
      <c r="DJ36" s="9">
        <v>6</v>
      </c>
      <c r="DK36" s="9">
        <v>5</v>
      </c>
      <c r="DL36" s="9">
        <v>5</v>
      </c>
      <c r="DM36" s="9">
        <v>4</v>
      </c>
      <c r="DN36" s="9">
        <v>4</v>
      </c>
      <c r="DO36" s="9">
        <v>3</v>
      </c>
      <c r="DP36" s="9">
        <v>3</v>
      </c>
      <c r="DQ36" s="9">
        <v>1</v>
      </c>
      <c r="DR36" s="9">
        <v>1</v>
      </c>
      <c r="DS36" s="9">
        <v>1</v>
      </c>
      <c r="DT36" s="9">
        <v>0</v>
      </c>
      <c r="DU36" s="9">
        <v>0</v>
      </c>
      <c r="DV36" s="9">
        <v>0</v>
      </c>
      <c r="DW36" s="9">
        <v>0</v>
      </c>
      <c r="DX36" s="9">
        <v>0</v>
      </c>
      <c r="DY36" s="9">
        <v>0</v>
      </c>
      <c r="DZ36" s="9">
        <v>0</v>
      </c>
      <c r="EA36" s="9">
        <v>1</v>
      </c>
      <c r="EB36" s="9">
        <v>2</v>
      </c>
      <c r="EC36" s="9">
        <v>2</v>
      </c>
      <c r="ED36" s="9">
        <v>2</v>
      </c>
      <c r="EE36" s="9">
        <v>1</v>
      </c>
      <c r="EF36" s="9">
        <v>2</v>
      </c>
      <c r="EG36" s="9">
        <v>2</v>
      </c>
      <c r="EH36" s="9">
        <v>2</v>
      </c>
      <c r="EI36" s="9">
        <v>3</v>
      </c>
      <c r="EJ36" s="9">
        <v>1</v>
      </c>
      <c r="EK36" s="9">
        <v>0</v>
      </c>
      <c r="EL36" s="9">
        <v>0</v>
      </c>
      <c r="EM36" s="9">
        <v>1</v>
      </c>
      <c r="EN36" s="9">
        <v>2</v>
      </c>
      <c r="EO36" s="9">
        <v>1</v>
      </c>
      <c r="EP36" s="9">
        <v>0</v>
      </c>
      <c r="EQ36" s="9">
        <v>0</v>
      </c>
      <c r="ER36" s="9">
        <v>0</v>
      </c>
      <c r="ES36" s="9">
        <v>0</v>
      </c>
      <c r="ET36" s="9">
        <v>0</v>
      </c>
      <c r="EU36" s="9">
        <v>0</v>
      </c>
      <c r="EV36" s="9">
        <v>0</v>
      </c>
      <c r="EW36" s="9">
        <v>0</v>
      </c>
      <c r="EX36" s="9">
        <v>0</v>
      </c>
      <c r="EY36" s="9">
        <v>0</v>
      </c>
      <c r="EZ36" s="9">
        <v>0</v>
      </c>
      <c r="FA36" s="9">
        <v>0</v>
      </c>
      <c r="FB36" s="9">
        <v>0</v>
      </c>
      <c r="FC36" s="9">
        <v>0</v>
      </c>
      <c r="FD36" s="9">
        <v>0</v>
      </c>
      <c r="FE36" s="9">
        <v>0</v>
      </c>
      <c r="FF36" s="9">
        <v>0</v>
      </c>
      <c r="FG36" s="9">
        <v>0</v>
      </c>
      <c r="FH36" s="9">
        <v>0</v>
      </c>
      <c r="FI36" s="9">
        <v>0</v>
      </c>
      <c r="FJ36" s="9">
        <v>0</v>
      </c>
      <c r="FK36" s="9">
        <v>0</v>
      </c>
      <c r="FL36" s="9">
        <v>0</v>
      </c>
      <c r="FM36" s="10">
        <v>0</v>
      </c>
    </row>
    <row r="37" spans="1:169" x14ac:dyDescent="0.35">
      <c r="A37" s="8" t="s">
        <v>0</v>
      </c>
      <c r="B37" s="9" t="s">
        <v>65</v>
      </c>
      <c r="C37" s="10" t="s">
        <v>66</v>
      </c>
      <c r="D37" s="62">
        <f t="shared" si="97"/>
        <v>28</v>
      </c>
      <c r="E37" s="9">
        <v>0</v>
      </c>
      <c r="F37" s="9">
        <v>0</v>
      </c>
      <c r="G37" s="9">
        <v>0</v>
      </c>
      <c r="H37" s="9">
        <v>0</v>
      </c>
      <c r="I37" s="9">
        <v>0</v>
      </c>
      <c r="J37" s="9">
        <v>0</v>
      </c>
      <c r="K37" s="9">
        <v>0</v>
      </c>
      <c r="L37" s="9">
        <v>0</v>
      </c>
      <c r="M37" s="9">
        <v>0</v>
      </c>
      <c r="N37" s="9">
        <v>0</v>
      </c>
      <c r="O37" s="9">
        <v>0</v>
      </c>
      <c r="P37" s="9">
        <v>0</v>
      </c>
      <c r="Q37" s="9">
        <v>0</v>
      </c>
      <c r="R37" s="9">
        <v>0</v>
      </c>
      <c r="S37" s="9">
        <v>0</v>
      </c>
      <c r="T37" s="9">
        <v>0</v>
      </c>
      <c r="U37" s="9">
        <v>0</v>
      </c>
      <c r="V37" s="9">
        <v>0</v>
      </c>
      <c r="W37" s="9">
        <v>10</v>
      </c>
      <c r="X37" s="9">
        <v>10</v>
      </c>
      <c r="Y37" s="9">
        <v>11</v>
      </c>
      <c r="Z37" s="9">
        <v>14</v>
      </c>
      <c r="AA37" s="9">
        <v>13</v>
      </c>
      <c r="AB37" s="9">
        <v>14</v>
      </c>
      <c r="AC37" s="9">
        <v>17</v>
      </c>
      <c r="AD37" s="9">
        <v>17</v>
      </c>
      <c r="AE37" s="9">
        <v>22</v>
      </c>
      <c r="AF37" s="9">
        <v>25</v>
      </c>
      <c r="AG37" s="9">
        <v>24</v>
      </c>
      <c r="AH37" s="9">
        <v>26</v>
      </c>
      <c r="AI37" s="9">
        <v>27</v>
      </c>
      <c r="AJ37" s="9">
        <v>28</v>
      </c>
      <c r="AK37" s="9">
        <v>27</v>
      </c>
      <c r="AL37" s="9">
        <v>25</v>
      </c>
      <c r="AM37" s="9">
        <v>25</v>
      </c>
      <c r="AN37" s="9">
        <v>0</v>
      </c>
      <c r="AO37" s="9">
        <v>23</v>
      </c>
      <c r="AP37" s="9">
        <v>19</v>
      </c>
      <c r="AQ37" s="9">
        <v>13</v>
      </c>
      <c r="AR37" s="9">
        <v>14</v>
      </c>
      <c r="AS37" s="9">
        <v>14</v>
      </c>
      <c r="AT37" s="9">
        <v>12</v>
      </c>
      <c r="AU37" s="9">
        <v>10</v>
      </c>
      <c r="AV37" s="9">
        <v>10</v>
      </c>
      <c r="AW37" s="9">
        <v>13</v>
      </c>
      <c r="AX37" s="9">
        <v>13</v>
      </c>
      <c r="AY37" s="9">
        <v>11</v>
      </c>
      <c r="AZ37" s="9">
        <v>8</v>
      </c>
      <c r="BA37" s="9">
        <v>8</v>
      </c>
      <c r="BB37" s="9">
        <v>10</v>
      </c>
      <c r="BC37" s="9">
        <v>10</v>
      </c>
      <c r="BD37" s="9">
        <v>10</v>
      </c>
      <c r="BE37" s="9">
        <v>10</v>
      </c>
      <c r="BF37" s="9">
        <v>10</v>
      </c>
      <c r="BG37" s="9">
        <v>8</v>
      </c>
      <c r="BH37" s="9">
        <v>7</v>
      </c>
      <c r="BI37" s="9">
        <v>8</v>
      </c>
      <c r="BJ37" s="9">
        <v>11</v>
      </c>
      <c r="BK37" s="9">
        <v>11</v>
      </c>
      <c r="BL37" s="9">
        <v>10</v>
      </c>
      <c r="BM37" s="9">
        <v>10</v>
      </c>
      <c r="BN37" s="9">
        <v>10</v>
      </c>
      <c r="BO37" s="9">
        <v>10</v>
      </c>
      <c r="BP37" s="9">
        <v>8</v>
      </c>
      <c r="BQ37" s="9">
        <v>7</v>
      </c>
      <c r="BR37" s="9">
        <v>7</v>
      </c>
      <c r="BS37" s="9">
        <v>7</v>
      </c>
      <c r="BT37" s="9">
        <v>7</v>
      </c>
      <c r="BU37" s="9">
        <v>6</v>
      </c>
      <c r="BV37" s="9">
        <v>6</v>
      </c>
      <c r="BW37" s="9">
        <v>7</v>
      </c>
      <c r="BX37" s="9">
        <v>7</v>
      </c>
      <c r="BY37" s="9">
        <v>7</v>
      </c>
      <c r="BZ37" s="9">
        <v>6</v>
      </c>
      <c r="CA37" s="9">
        <v>7</v>
      </c>
      <c r="CB37" s="9">
        <v>6</v>
      </c>
      <c r="CC37" s="9">
        <v>6</v>
      </c>
      <c r="CD37" s="9">
        <v>5</v>
      </c>
      <c r="CE37" s="9">
        <v>6</v>
      </c>
      <c r="CF37" s="9">
        <v>6</v>
      </c>
      <c r="CG37" s="9">
        <v>7</v>
      </c>
      <c r="CH37" s="9">
        <v>5</v>
      </c>
      <c r="CI37" s="9">
        <v>4</v>
      </c>
      <c r="CJ37" s="9">
        <v>2</v>
      </c>
      <c r="CK37" s="9">
        <v>2</v>
      </c>
      <c r="CL37" s="9">
        <v>2</v>
      </c>
      <c r="CM37" s="9">
        <v>2</v>
      </c>
      <c r="CN37" s="9">
        <v>2</v>
      </c>
      <c r="CO37" s="9">
        <v>3</v>
      </c>
      <c r="CP37" s="9">
        <v>3</v>
      </c>
      <c r="CQ37" s="9">
        <v>3</v>
      </c>
      <c r="CR37" s="9">
        <v>4</v>
      </c>
      <c r="CS37" s="9">
        <v>4</v>
      </c>
      <c r="CT37" s="9">
        <v>4</v>
      </c>
      <c r="CU37" s="9">
        <v>4</v>
      </c>
      <c r="CV37" s="9">
        <v>2</v>
      </c>
      <c r="CW37" s="9">
        <v>2</v>
      </c>
      <c r="CX37" s="9">
        <v>2</v>
      </c>
      <c r="CY37" s="9">
        <v>2</v>
      </c>
      <c r="CZ37" s="9">
        <v>3</v>
      </c>
      <c r="DA37" s="9">
        <v>3</v>
      </c>
      <c r="DB37" s="9">
        <v>1</v>
      </c>
      <c r="DC37" s="9">
        <v>1</v>
      </c>
      <c r="DD37" s="9">
        <v>1</v>
      </c>
      <c r="DE37" s="9">
        <v>1</v>
      </c>
      <c r="DF37" s="9">
        <v>1</v>
      </c>
      <c r="DG37" s="9">
        <v>1</v>
      </c>
      <c r="DH37" s="9">
        <v>0</v>
      </c>
      <c r="DI37" s="9">
        <v>0</v>
      </c>
      <c r="DJ37" s="9">
        <v>0</v>
      </c>
      <c r="DK37" s="9">
        <v>0</v>
      </c>
      <c r="DL37" s="9">
        <v>1</v>
      </c>
      <c r="DM37" s="9">
        <v>1</v>
      </c>
      <c r="DN37" s="9">
        <v>1</v>
      </c>
      <c r="DO37" s="9">
        <v>1</v>
      </c>
      <c r="DP37" s="9">
        <v>1</v>
      </c>
      <c r="DQ37" s="9">
        <v>1</v>
      </c>
      <c r="DR37" s="9">
        <v>1</v>
      </c>
      <c r="DS37" s="9">
        <v>1</v>
      </c>
      <c r="DT37" s="9">
        <v>1</v>
      </c>
      <c r="DU37" s="9">
        <v>0</v>
      </c>
      <c r="DV37" s="9">
        <v>0</v>
      </c>
      <c r="DW37" s="9">
        <v>0</v>
      </c>
      <c r="DX37" s="9">
        <v>0</v>
      </c>
      <c r="DY37" s="9">
        <v>0</v>
      </c>
      <c r="DZ37" s="9">
        <v>0</v>
      </c>
      <c r="EA37" s="9">
        <v>0</v>
      </c>
      <c r="EB37" s="9">
        <v>0</v>
      </c>
      <c r="EC37" s="9">
        <v>1</v>
      </c>
      <c r="ED37" s="9">
        <v>1</v>
      </c>
      <c r="EE37" s="9">
        <v>0</v>
      </c>
      <c r="EF37" s="9">
        <v>0</v>
      </c>
      <c r="EG37" s="9">
        <v>0</v>
      </c>
      <c r="EH37" s="9">
        <v>0</v>
      </c>
      <c r="EI37" s="9">
        <v>0</v>
      </c>
      <c r="EJ37" s="9">
        <v>0</v>
      </c>
      <c r="EK37" s="9">
        <v>0</v>
      </c>
      <c r="EL37" s="9">
        <v>0</v>
      </c>
      <c r="EM37" s="9">
        <v>0</v>
      </c>
      <c r="EN37" s="9">
        <v>0</v>
      </c>
      <c r="EO37" s="9">
        <v>0</v>
      </c>
      <c r="EP37" s="9">
        <v>0</v>
      </c>
      <c r="EQ37" s="9">
        <v>0</v>
      </c>
      <c r="ER37" s="9">
        <v>0</v>
      </c>
      <c r="ES37" s="9">
        <v>0</v>
      </c>
      <c r="ET37" s="9">
        <v>0</v>
      </c>
      <c r="EU37" s="9">
        <v>0</v>
      </c>
      <c r="EV37" s="9">
        <v>0</v>
      </c>
      <c r="EW37" s="9">
        <v>0</v>
      </c>
      <c r="EX37" s="9">
        <v>0</v>
      </c>
      <c r="EY37" s="9">
        <v>0</v>
      </c>
      <c r="EZ37" s="9">
        <v>0</v>
      </c>
      <c r="FA37" s="9">
        <v>0</v>
      </c>
      <c r="FB37" s="9">
        <v>0</v>
      </c>
      <c r="FC37" s="9">
        <v>0</v>
      </c>
      <c r="FD37" s="9">
        <v>0</v>
      </c>
      <c r="FE37" s="9">
        <v>0</v>
      </c>
      <c r="FF37" s="9">
        <v>0</v>
      </c>
      <c r="FG37" s="9">
        <v>0</v>
      </c>
      <c r="FH37" s="9">
        <v>0</v>
      </c>
      <c r="FI37" s="9">
        <v>0</v>
      </c>
      <c r="FJ37" s="9">
        <v>0</v>
      </c>
      <c r="FK37" s="9">
        <v>0</v>
      </c>
      <c r="FL37" s="9">
        <v>0</v>
      </c>
      <c r="FM37" s="10">
        <v>0</v>
      </c>
    </row>
    <row r="38" spans="1:169" x14ac:dyDescent="0.35">
      <c r="A38" s="8" t="s">
        <v>0</v>
      </c>
      <c r="B38" s="9" t="s">
        <v>67</v>
      </c>
      <c r="C38" s="10" t="s">
        <v>68</v>
      </c>
      <c r="D38" s="62">
        <f t="shared" si="97"/>
        <v>37</v>
      </c>
      <c r="E38" s="9">
        <v>0</v>
      </c>
      <c r="F38" s="9">
        <v>0</v>
      </c>
      <c r="G38" s="9">
        <v>0</v>
      </c>
      <c r="H38" s="9">
        <v>2</v>
      </c>
      <c r="I38" s="9">
        <v>0</v>
      </c>
      <c r="J38" s="9">
        <v>0</v>
      </c>
      <c r="K38" s="9">
        <v>0</v>
      </c>
      <c r="L38" s="9">
        <v>0</v>
      </c>
      <c r="M38" s="9">
        <v>0</v>
      </c>
      <c r="N38" s="9">
        <v>0</v>
      </c>
      <c r="O38" s="9">
        <v>0</v>
      </c>
      <c r="P38" s="9">
        <v>0</v>
      </c>
      <c r="Q38" s="9">
        <v>0</v>
      </c>
      <c r="R38" s="9">
        <v>0</v>
      </c>
      <c r="S38" s="9">
        <v>0</v>
      </c>
      <c r="T38" s="9">
        <v>2</v>
      </c>
      <c r="U38" s="9">
        <v>4</v>
      </c>
      <c r="V38" s="9">
        <v>2</v>
      </c>
      <c r="W38" s="9">
        <v>3</v>
      </c>
      <c r="X38" s="9">
        <v>5</v>
      </c>
      <c r="Y38" s="9">
        <v>8</v>
      </c>
      <c r="Z38" s="9">
        <v>9</v>
      </c>
      <c r="AA38" s="9">
        <v>14</v>
      </c>
      <c r="AB38" s="9">
        <v>16</v>
      </c>
      <c r="AC38" s="9">
        <v>15</v>
      </c>
      <c r="AD38" s="9">
        <v>19</v>
      </c>
      <c r="AE38" s="9">
        <v>21</v>
      </c>
      <c r="AF38" s="9">
        <v>21</v>
      </c>
      <c r="AG38" s="9">
        <v>23</v>
      </c>
      <c r="AH38" s="9">
        <v>28</v>
      </c>
      <c r="AI38" s="9">
        <v>29</v>
      </c>
      <c r="AJ38" s="9">
        <v>28</v>
      </c>
      <c r="AK38" s="9">
        <v>35</v>
      </c>
      <c r="AL38" s="9">
        <v>33</v>
      </c>
      <c r="AM38" s="9">
        <v>29</v>
      </c>
      <c r="AN38" s="9">
        <v>27</v>
      </c>
      <c r="AO38" s="9">
        <v>30</v>
      </c>
      <c r="AP38" s="9">
        <v>30</v>
      </c>
      <c r="AQ38" s="9">
        <v>35</v>
      </c>
      <c r="AR38" s="9">
        <v>37</v>
      </c>
      <c r="AS38" s="9">
        <v>29</v>
      </c>
      <c r="AT38" s="9">
        <v>23</v>
      </c>
      <c r="AU38" s="9">
        <v>26</v>
      </c>
      <c r="AV38" s="9">
        <v>21</v>
      </c>
      <c r="AW38" s="9">
        <v>30</v>
      </c>
      <c r="AX38" s="9">
        <v>31</v>
      </c>
      <c r="AY38" s="9">
        <v>31</v>
      </c>
      <c r="AZ38" s="9">
        <v>24</v>
      </c>
      <c r="BA38" s="9">
        <v>27</v>
      </c>
      <c r="BB38" s="9">
        <v>28</v>
      </c>
      <c r="BC38" s="9">
        <v>27</v>
      </c>
      <c r="BD38" s="9">
        <v>27</v>
      </c>
      <c r="BE38" s="9">
        <v>30</v>
      </c>
      <c r="BF38" s="9">
        <v>33</v>
      </c>
      <c r="BG38" s="9">
        <v>25</v>
      </c>
      <c r="BH38" s="9">
        <v>22</v>
      </c>
      <c r="BI38" s="9">
        <v>19</v>
      </c>
      <c r="BJ38" s="9">
        <v>16</v>
      </c>
      <c r="BK38" s="9">
        <v>16</v>
      </c>
      <c r="BL38" s="9">
        <v>18</v>
      </c>
      <c r="BM38" s="9">
        <v>18</v>
      </c>
      <c r="BN38" s="9">
        <v>12</v>
      </c>
      <c r="BO38" s="9">
        <v>12</v>
      </c>
      <c r="BP38" s="9">
        <v>12</v>
      </c>
      <c r="BQ38" s="9">
        <v>11</v>
      </c>
      <c r="BR38" s="9">
        <v>12</v>
      </c>
      <c r="BS38" s="9">
        <v>13</v>
      </c>
      <c r="BT38" s="9">
        <v>12</v>
      </c>
      <c r="BU38" s="9">
        <v>11</v>
      </c>
      <c r="BV38" s="9">
        <v>10</v>
      </c>
      <c r="BW38" s="9">
        <v>10</v>
      </c>
      <c r="BX38" s="9">
        <v>9</v>
      </c>
      <c r="BY38" s="9">
        <v>9</v>
      </c>
      <c r="BZ38" s="9">
        <v>9</v>
      </c>
      <c r="CA38" s="9">
        <v>12</v>
      </c>
      <c r="CB38" s="9">
        <v>11</v>
      </c>
      <c r="CC38" s="9">
        <v>11</v>
      </c>
      <c r="CD38" s="9">
        <v>11</v>
      </c>
      <c r="CE38" s="9">
        <v>11</v>
      </c>
      <c r="CF38" s="9">
        <v>9</v>
      </c>
      <c r="CG38" s="9">
        <v>9</v>
      </c>
      <c r="CH38" s="9">
        <v>9</v>
      </c>
      <c r="CI38" s="9">
        <v>8</v>
      </c>
      <c r="CJ38" s="9">
        <v>8</v>
      </c>
      <c r="CK38" s="9">
        <v>7</v>
      </c>
      <c r="CL38" s="9">
        <v>7</v>
      </c>
      <c r="CM38" s="9">
        <v>7</v>
      </c>
      <c r="CN38" s="9">
        <v>7</v>
      </c>
      <c r="CO38" s="9">
        <v>4</v>
      </c>
      <c r="CP38" s="9">
        <v>3</v>
      </c>
      <c r="CQ38" s="9">
        <v>3</v>
      </c>
      <c r="CR38" s="9">
        <v>3</v>
      </c>
      <c r="CS38" s="9">
        <v>3</v>
      </c>
      <c r="CT38" s="9">
        <v>2</v>
      </c>
      <c r="CU38" s="9">
        <v>2</v>
      </c>
      <c r="CV38" s="9">
        <v>2</v>
      </c>
      <c r="CW38" s="9">
        <v>2</v>
      </c>
      <c r="CX38" s="9">
        <v>2</v>
      </c>
      <c r="CY38" s="9">
        <v>2</v>
      </c>
      <c r="CZ38" s="9">
        <v>1</v>
      </c>
      <c r="DA38" s="9">
        <v>1</v>
      </c>
      <c r="DB38" s="9">
        <v>1</v>
      </c>
      <c r="DC38" s="9">
        <v>1</v>
      </c>
      <c r="DD38" s="9">
        <v>1</v>
      </c>
      <c r="DE38" s="9">
        <v>1</v>
      </c>
      <c r="DF38" s="9">
        <v>1</v>
      </c>
      <c r="DG38" s="9">
        <v>1</v>
      </c>
      <c r="DH38" s="9">
        <v>1</v>
      </c>
      <c r="DI38" s="9">
        <v>2</v>
      </c>
      <c r="DJ38" s="9">
        <v>2</v>
      </c>
      <c r="DK38" s="9">
        <v>2</v>
      </c>
      <c r="DL38" s="9">
        <v>2</v>
      </c>
      <c r="DM38" s="9">
        <v>2</v>
      </c>
      <c r="DN38" s="9">
        <v>1</v>
      </c>
      <c r="DO38" s="9">
        <v>0</v>
      </c>
      <c r="DP38" s="9">
        <v>0</v>
      </c>
      <c r="DQ38" s="9">
        <v>0</v>
      </c>
      <c r="DR38" s="9">
        <v>0</v>
      </c>
      <c r="DS38" s="9">
        <v>0</v>
      </c>
      <c r="DT38" s="9">
        <v>0</v>
      </c>
      <c r="DU38" s="9">
        <v>0</v>
      </c>
      <c r="DV38" s="9">
        <v>0</v>
      </c>
      <c r="DW38" s="9">
        <v>0</v>
      </c>
      <c r="DX38" s="9">
        <v>0</v>
      </c>
      <c r="DY38" s="9">
        <v>0</v>
      </c>
      <c r="DZ38" s="9">
        <v>0</v>
      </c>
      <c r="EA38" s="9">
        <v>0</v>
      </c>
      <c r="EB38" s="9">
        <v>0</v>
      </c>
      <c r="EC38" s="9">
        <v>0</v>
      </c>
      <c r="ED38" s="9">
        <v>0</v>
      </c>
      <c r="EE38" s="9">
        <v>0</v>
      </c>
      <c r="EF38" s="9">
        <v>0</v>
      </c>
      <c r="EG38" s="9">
        <v>0</v>
      </c>
      <c r="EH38" s="9">
        <v>0</v>
      </c>
      <c r="EI38" s="9">
        <v>0</v>
      </c>
      <c r="EJ38" s="9">
        <v>0</v>
      </c>
      <c r="EK38" s="9">
        <v>0</v>
      </c>
      <c r="EL38" s="9">
        <v>0</v>
      </c>
      <c r="EM38" s="9">
        <v>0</v>
      </c>
      <c r="EN38" s="9">
        <v>0</v>
      </c>
      <c r="EO38" s="9">
        <v>0</v>
      </c>
      <c r="EP38" s="9">
        <v>0</v>
      </c>
      <c r="EQ38" s="9">
        <v>0</v>
      </c>
      <c r="ER38" s="9">
        <v>0</v>
      </c>
      <c r="ES38" s="9">
        <v>0</v>
      </c>
      <c r="ET38" s="9">
        <v>0</v>
      </c>
      <c r="EU38" s="9">
        <v>0</v>
      </c>
      <c r="EV38" s="9">
        <v>0</v>
      </c>
      <c r="EW38" s="9">
        <v>0</v>
      </c>
      <c r="EX38" s="9">
        <v>0</v>
      </c>
      <c r="EY38" s="9">
        <v>0</v>
      </c>
      <c r="EZ38" s="9">
        <v>0</v>
      </c>
      <c r="FA38" s="9">
        <v>0</v>
      </c>
      <c r="FB38" s="9">
        <v>0</v>
      </c>
      <c r="FC38" s="9">
        <v>0</v>
      </c>
      <c r="FD38" s="9">
        <v>0</v>
      </c>
      <c r="FE38" s="9">
        <v>0</v>
      </c>
      <c r="FF38" s="9">
        <v>0</v>
      </c>
      <c r="FG38" s="9">
        <v>0</v>
      </c>
      <c r="FH38" s="9">
        <v>0</v>
      </c>
      <c r="FI38" s="9">
        <v>0</v>
      </c>
      <c r="FJ38" s="9">
        <v>0</v>
      </c>
      <c r="FK38" s="9">
        <v>0</v>
      </c>
      <c r="FL38" s="9">
        <v>0</v>
      </c>
      <c r="FM38" s="10">
        <v>0</v>
      </c>
    </row>
    <row r="39" spans="1:169" x14ac:dyDescent="0.35">
      <c r="A39" s="8" t="s">
        <v>0</v>
      </c>
      <c r="B39" s="9" t="s">
        <v>69</v>
      </c>
      <c r="C39" s="10" t="s">
        <v>70</v>
      </c>
      <c r="D39" s="62">
        <f t="shared" si="97"/>
        <v>22</v>
      </c>
      <c r="E39" s="9">
        <v>0</v>
      </c>
      <c r="F39" s="9">
        <v>0</v>
      </c>
      <c r="G39" s="9">
        <v>0</v>
      </c>
      <c r="H39" s="9">
        <v>0</v>
      </c>
      <c r="I39" s="9">
        <v>0</v>
      </c>
      <c r="J39" s="9">
        <v>0</v>
      </c>
      <c r="K39" s="9">
        <v>0</v>
      </c>
      <c r="L39" s="9">
        <v>0</v>
      </c>
      <c r="M39" s="9">
        <v>0</v>
      </c>
      <c r="N39" s="9">
        <v>0</v>
      </c>
      <c r="O39" s="9">
        <v>0</v>
      </c>
      <c r="P39" s="9">
        <v>1</v>
      </c>
      <c r="Q39" s="9">
        <v>1</v>
      </c>
      <c r="R39" s="9">
        <v>1</v>
      </c>
      <c r="S39" s="9">
        <v>1</v>
      </c>
      <c r="T39" s="9">
        <v>1</v>
      </c>
      <c r="U39" s="9">
        <v>1</v>
      </c>
      <c r="V39" s="9">
        <v>3</v>
      </c>
      <c r="W39" s="9">
        <v>3</v>
      </c>
      <c r="X39" s="9">
        <v>4</v>
      </c>
      <c r="Y39" s="9">
        <v>4</v>
      </c>
      <c r="Z39" s="9">
        <v>8</v>
      </c>
      <c r="AA39" s="9">
        <v>16</v>
      </c>
      <c r="AB39" s="9">
        <v>16</v>
      </c>
      <c r="AC39" s="9">
        <v>18</v>
      </c>
      <c r="AD39" s="9">
        <v>18</v>
      </c>
      <c r="AE39" s="9">
        <v>17</v>
      </c>
      <c r="AF39" s="9">
        <v>19</v>
      </c>
      <c r="AG39" s="9">
        <v>0</v>
      </c>
      <c r="AH39" s="9">
        <v>18</v>
      </c>
      <c r="AI39" s="9">
        <v>18</v>
      </c>
      <c r="AJ39" s="9">
        <v>18</v>
      </c>
      <c r="AK39" s="9">
        <v>22</v>
      </c>
      <c r="AL39" s="9">
        <v>22</v>
      </c>
      <c r="AM39" s="9">
        <v>21</v>
      </c>
      <c r="AN39" s="9">
        <v>21</v>
      </c>
      <c r="AO39" s="9">
        <v>15</v>
      </c>
      <c r="AP39" s="9">
        <v>16</v>
      </c>
      <c r="AQ39" s="9">
        <v>16</v>
      </c>
      <c r="AR39" s="9">
        <v>16</v>
      </c>
      <c r="AS39" s="9">
        <v>15</v>
      </c>
      <c r="AT39" s="9">
        <v>12</v>
      </c>
      <c r="AU39" s="9">
        <v>15</v>
      </c>
      <c r="AV39" s="9">
        <v>13</v>
      </c>
      <c r="AW39" s="9">
        <v>12</v>
      </c>
      <c r="AX39" s="9">
        <v>11</v>
      </c>
      <c r="AY39" s="9">
        <v>12</v>
      </c>
      <c r="AZ39" s="9">
        <v>15</v>
      </c>
      <c r="BA39" s="9">
        <v>17</v>
      </c>
      <c r="BB39" s="9">
        <v>18</v>
      </c>
      <c r="BC39" s="9">
        <v>18</v>
      </c>
      <c r="BD39" s="9">
        <v>19</v>
      </c>
      <c r="BE39" s="9">
        <v>20</v>
      </c>
      <c r="BF39" s="9">
        <v>20</v>
      </c>
      <c r="BG39" s="9">
        <v>19</v>
      </c>
      <c r="BH39" s="9">
        <v>19</v>
      </c>
      <c r="BI39" s="9">
        <v>15</v>
      </c>
      <c r="BJ39" s="9">
        <v>16</v>
      </c>
      <c r="BK39" s="9">
        <v>16</v>
      </c>
      <c r="BL39" s="9">
        <v>17</v>
      </c>
      <c r="BM39" s="9">
        <v>11</v>
      </c>
      <c r="BN39" s="9">
        <v>10</v>
      </c>
      <c r="BO39" s="9">
        <v>10</v>
      </c>
      <c r="BP39" s="9">
        <v>8</v>
      </c>
      <c r="BQ39" s="9">
        <v>8</v>
      </c>
      <c r="BR39" s="9">
        <v>10</v>
      </c>
      <c r="BS39" s="9">
        <v>11</v>
      </c>
      <c r="BT39" s="9">
        <v>11</v>
      </c>
      <c r="BU39" s="9">
        <v>13</v>
      </c>
      <c r="BV39" s="9">
        <v>14</v>
      </c>
      <c r="BW39" s="9">
        <v>12</v>
      </c>
      <c r="BX39" s="9">
        <v>10</v>
      </c>
      <c r="BY39" s="9">
        <v>5</v>
      </c>
      <c r="BZ39" s="9">
        <v>4</v>
      </c>
      <c r="CA39" s="9">
        <v>5</v>
      </c>
      <c r="CB39" s="9">
        <v>4</v>
      </c>
      <c r="CC39" s="9">
        <v>3</v>
      </c>
      <c r="CD39" s="9">
        <v>7</v>
      </c>
      <c r="CE39" s="9">
        <v>6</v>
      </c>
      <c r="CF39" s="9">
        <v>6</v>
      </c>
      <c r="CG39" s="9">
        <v>4</v>
      </c>
      <c r="CH39" s="9">
        <v>3</v>
      </c>
      <c r="CI39" s="9">
        <v>2</v>
      </c>
      <c r="CJ39" s="9">
        <v>3</v>
      </c>
      <c r="CK39" s="9">
        <v>3</v>
      </c>
      <c r="CL39" s="9">
        <v>2</v>
      </c>
      <c r="CM39" s="9">
        <v>2</v>
      </c>
      <c r="CN39" s="9">
        <v>3</v>
      </c>
      <c r="CO39" s="9">
        <v>3</v>
      </c>
      <c r="CP39" s="9">
        <v>3</v>
      </c>
      <c r="CQ39" s="9">
        <v>2</v>
      </c>
      <c r="CR39" s="9">
        <v>1</v>
      </c>
      <c r="CS39" s="9">
        <v>1</v>
      </c>
      <c r="CT39" s="9">
        <v>1</v>
      </c>
      <c r="CU39" s="9">
        <v>1</v>
      </c>
      <c r="CV39" s="9">
        <v>1</v>
      </c>
      <c r="CW39" s="9">
        <v>1</v>
      </c>
      <c r="CX39" s="9">
        <v>1</v>
      </c>
      <c r="CY39" s="9">
        <v>1</v>
      </c>
      <c r="CZ39" s="9">
        <v>1</v>
      </c>
      <c r="DA39" s="9">
        <v>1</v>
      </c>
      <c r="DB39" s="9">
        <v>1</v>
      </c>
      <c r="DC39" s="9">
        <v>1</v>
      </c>
      <c r="DD39" s="9">
        <v>1</v>
      </c>
      <c r="DE39" s="9">
        <v>2</v>
      </c>
      <c r="DF39" s="9">
        <v>3</v>
      </c>
      <c r="DG39" s="9">
        <v>2</v>
      </c>
      <c r="DH39" s="9">
        <v>2</v>
      </c>
      <c r="DI39" s="9">
        <v>2</v>
      </c>
      <c r="DJ39" s="9">
        <v>2</v>
      </c>
      <c r="DK39" s="9">
        <v>2</v>
      </c>
      <c r="DL39" s="9">
        <v>2</v>
      </c>
      <c r="DM39" s="9">
        <v>2</v>
      </c>
      <c r="DN39" s="9">
        <v>1</v>
      </c>
      <c r="DO39" s="9">
        <v>1</v>
      </c>
      <c r="DP39" s="9">
        <v>1</v>
      </c>
      <c r="DQ39" s="9">
        <v>1</v>
      </c>
      <c r="DR39" s="9">
        <v>1</v>
      </c>
      <c r="DS39" s="9">
        <v>1</v>
      </c>
      <c r="DT39" s="9">
        <v>0</v>
      </c>
      <c r="DU39" s="9">
        <v>0</v>
      </c>
      <c r="DV39" s="9">
        <v>0</v>
      </c>
      <c r="DW39" s="9">
        <v>0</v>
      </c>
      <c r="DX39" s="9">
        <v>0</v>
      </c>
      <c r="DY39" s="9">
        <v>0</v>
      </c>
      <c r="DZ39" s="9">
        <v>0</v>
      </c>
      <c r="EA39" s="9">
        <v>0</v>
      </c>
      <c r="EB39" s="9">
        <v>0</v>
      </c>
      <c r="EC39" s="9">
        <v>0</v>
      </c>
      <c r="ED39" s="9">
        <v>0</v>
      </c>
      <c r="EE39" s="9">
        <v>0</v>
      </c>
      <c r="EF39" s="9">
        <v>0</v>
      </c>
      <c r="EG39" s="9">
        <v>0</v>
      </c>
      <c r="EH39" s="9">
        <v>0</v>
      </c>
      <c r="EI39" s="9">
        <v>0</v>
      </c>
      <c r="EJ39" s="9">
        <v>0</v>
      </c>
      <c r="EK39" s="9">
        <v>0</v>
      </c>
      <c r="EL39" s="9">
        <v>1</v>
      </c>
      <c r="EM39" s="9">
        <v>1</v>
      </c>
      <c r="EN39" s="9">
        <v>1</v>
      </c>
      <c r="EO39" s="9">
        <v>1</v>
      </c>
      <c r="EP39" s="9">
        <v>1</v>
      </c>
      <c r="EQ39" s="9">
        <v>1</v>
      </c>
      <c r="ER39" s="9">
        <v>0</v>
      </c>
      <c r="ES39" s="9">
        <v>1</v>
      </c>
      <c r="ET39" s="9">
        <v>0</v>
      </c>
      <c r="EU39" s="9">
        <v>0</v>
      </c>
      <c r="EV39" s="9">
        <v>0</v>
      </c>
      <c r="EW39" s="9">
        <v>0</v>
      </c>
      <c r="EX39" s="9">
        <v>0</v>
      </c>
      <c r="EY39" s="9">
        <v>0</v>
      </c>
      <c r="EZ39" s="9">
        <v>0</v>
      </c>
      <c r="FA39" s="9">
        <v>0</v>
      </c>
      <c r="FB39" s="9">
        <v>0</v>
      </c>
      <c r="FC39" s="9">
        <v>0</v>
      </c>
      <c r="FD39" s="9">
        <v>0</v>
      </c>
      <c r="FE39" s="9">
        <v>0</v>
      </c>
      <c r="FF39" s="9">
        <v>0</v>
      </c>
      <c r="FG39" s="9">
        <v>0</v>
      </c>
      <c r="FH39" s="9">
        <v>0</v>
      </c>
      <c r="FI39" s="9">
        <v>0</v>
      </c>
      <c r="FJ39" s="9">
        <v>0</v>
      </c>
      <c r="FK39" s="9">
        <v>1</v>
      </c>
      <c r="FL39" s="9">
        <v>1</v>
      </c>
      <c r="FM39" s="10">
        <v>1</v>
      </c>
    </row>
    <row r="40" spans="1:169" x14ac:dyDescent="0.35">
      <c r="A40" s="8" t="s">
        <v>0</v>
      </c>
      <c r="B40" s="9" t="s">
        <v>71</v>
      </c>
      <c r="C40" s="10" t="s">
        <v>72</v>
      </c>
      <c r="D40" s="62">
        <f t="shared" si="97"/>
        <v>0</v>
      </c>
      <c r="E40" s="9">
        <v>0</v>
      </c>
      <c r="F40" s="9">
        <v>0</v>
      </c>
      <c r="G40" s="9">
        <v>0</v>
      </c>
      <c r="H40" s="9">
        <v>0</v>
      </c>
      <c r="I40" s="9">
        <v>0</v>
      </c>
      <c r="J40" s="9">
        <v>0</v>
      </c>
      <c r="K40" s="9">
        <v>0</v>
      </c>
      <c r="L40" s="9">
        <v>0</v>
      </c>
      <c r="M40" s="9">
        <v>0</v>
      </c>
      <c r="N40" s="9">
        <v>0</v>
      </c>
      <c r="O40" s="9">
        <v>0</v>
      </c>
      <c r="P40" s="9">
        <v>0</v>
      </c>
      <c r="Q40" s="9">
        <v>0</v>
      </c>
      <c r="R40" s="9">
        <v>0</v>
      </c>
      <c r="S40" s="9">
        <v>0</v>
      </c>
      <c r="T40" s="9">
        <v>0</v>
      </c>
      <c r="U40" s="9">
        <v>0</v>
      </c>
      <c r="V40" s="9">
        <v>0</v>
      </c>
      <c r="W40" s="9">
        <v>0</v>
      </c>
      <c r="X40" s="9">
        <v>0</v>
      </c>
      <c r="Y40" s="9">
        <v>0</v>
      </c>
      <c r="Z40" s="9">
        <v>0</v>
      </c>
      <c r="AA40" s="9">
        <v>0</v>
      </c>
      <c r="AB40" s="9">
        <v>0</v>
      </c>
      <c r="AC40" s="9">
        <v>0</v>
      </c>
      <c r="AD40" s="9">
        <v>0</v>
      </c>
      <c r="AE40" s="9">
        <v>0</v>
      </c>
      <c r="AF40" s="9">
        <v>0</v>
      </c>
      <c r="AG40" s="9">
        <v>0</v>
      </c>
      <c r="AH40" s="9">
        <v>0</v>
      </c>
      <c r="AI40" s="9">
        <v>0</v>
      </c>
      <c r="AJ40" s="9">
        <v>0</v>
      </c>
      <c r="AK40" s="9">
        <v>0</v>
      </c>
      <c r="AL40" s="9">
        <v>0</v>
      </c>
      <c r="AM40" s="9">
        <v>0</v>
      </c>
      <c r="AN40" s="9">
        <v>0</v>
      </c>
      <c r="AO40" s="9">
        <v>0</v>
      </c>
      <c r="AP40" s="9">
        <v>0</v>
      </c>
      <c r="AQ40" s="9">
        <v>0</v>
      </c>
      <c r="AR40" s="9">
        <v>0</v>
      </c>
      <c r="AS40" s="9">
        <v>0</v>
      </c>
      <c r="AT40" s="9">
        <v>0</v>
      </c>
      <c r="AU40" s="9">
        <v>0</v>
      </c>
      <c r="AV40" s="9">
        <v>0</v>
      </c>
      <c r="AW40" s="9">
        <v>0</v>
      </c>
      <c r="AX40" s="9">
        <v>0</v>
      </c>
      <c r="AY40" s="9">
        <v>0</v>
      </c>
      <c r="AZ40" s="9">
        <v>0</v>
      </c>
      <c r="BA40" s="9">
        <v>0</v>
      </c>
      <c r="BB40" s="9">
        <v>0</v>
      </c>
      <c r="BC40" s="9">
        <v>0</v>
      </c>
      <c r="BD40" s="9">
        <v>0</v>
      </c>
      <c r="BE40" s="9">
        <v>0</v>
      </c>
      <c r="BF40" s="9">
        <v>0</v>
      </c>
      <c r="BG40" s="9">
        <v>0</v>
      </c>
      <c r="BH40" s="9">
        <v>0</v>
      </c>
      <c r="BI40" s="9">
        <v>0</v>
      </c>
      <c r="BJ40" s="9">
        <v>0</v>
      </c>
      <c r="BK40" s="9">
        <v>0</v>
      </c>
      <c r="BL40" s="9">
        <v>0</v>
      </c>
      <c r="BM40" s="9">
        <v>0</v>
      </c>
      <c r="BN40" s="9">
        <v>0</v>
      </c>
      <c r="BO40" s="9">
        <v>0</v>
      </c>
      <c r="BP40" s="9">
        <v>0</v>
      </c>
      <c r="BQ40" s="9">
        <v>0</v>
      </c>
      <c r="BR40" s="9">
        <v>0</v>
      </c>
      <c r="BS40" s="9">
        <v>0</v>
      </c>
      <c r="BT40" s="9">
        <v>0</v>
      </c>
      <c r="BU40" s="9">
        <v>0</v>
      </c>
      <c r="BV40" s="9">
        <v>0</v>
      </c>
      <c r="BW40" s="9">
        <v>0</v>
      </c>
      <c r="BX40" s="9">
        <v>0</v>
      </c>
      <c r="BY40" s="9">
        <v>0</v>
      </c>
      <c r="BZ40" s="9">
        <v>0</v>
      </c>
      <c r="CA40" s="9">
        <v>0</v>
      </c>
      <c r="CB40" s="9">
        <v>0</v>
      </c>
      <c r="CC40" s="9">
        <v>0</v>
      </c>
      <c r="CD40" s="9">
        <v>0</v>
      </c>
      <c r="CE40" s="9">
        <v>0</v>
      </c>
      <c r="CF40" s="9">
        <v>0</v>
      </c>
      <c r="CG40" s="9">
        <v>0</v>
      </c>
      <c r="CH40" s="9">
        <v>0</v>
      </c>
      <c r="CI40" s="9">
        <v>0</v>
      </c>
      <c r="CJ40" s="9">
        <v>0</v>
      </c>
      <c r="CK40" s="9">
        <v>0</v>
      </c>
      <c r="CL40" s="9">
        <v>0</v>
      </c>
      <c r="CM40" s="9">
        <v>0</v>
      </c>
      <c r="CN40" s="9">
        <v>0</v>
      </c>
      <c r="CO40" s="9">
        <v>0</v>
      </c>
      <c r="CP40" s="9">
        <v>0</v>
      </c>
      <c r="CQ40" s="9">
        <v>0</v>
      </c>
      <c r="CR40" s="9">
        <v>0</v>
      </c>
      <c r="CS40" s="9">
        <v>0</v>
      </c>
      <c r="CT40" s="9">
        <v>0</v>
      </c>
      <c r="CU40" s="9">
        <v>0</v>
      </c>
      <c r="CV40" s="9">
        <v>0</v>
      </c>
      <c r="CW40" s="9">
        <v>0</v>
      </c>
      <c r="CX40" s="9">
        <v>0</v>
      </c>
      <c r="CY40" s="9">
        <v>0</v>
      </c>
      <c r="CZ40" s="9">
        <v>0</v>
      </c>
      <c r="DA40" s="9">
        <v>0</v>
      </c>
      <c r="DB40" s="9">
        <v>0</v>
      </c>
      <c r="DC40" s="9">
        <v>0</v>
      </c>
      <c r="DD40" s="9">
        <v>0</v>
      </c>
      <c r="DE40" s="9">
        <v>0</v>
      </c>
      <c r="DF40" s="9">
        <v>0</v>
      </c>
      <c r="DG40" s="9">
        <v>0</v>
      </c>
      <c r="DH40" s="9">
        <v>0</v>
      </c>
      <c r="DI40" s="9">
        <v>0</v>
      </c>
      <c r="DJ40" s="9">
        <v>0</v>
      </c>
      <c r="DK40" s="9">
        <v>0</v>
      </c>
      <c r="DL40" s="9">
        <v>0</v>
      </c>
      <c r="DM40" s="9">
        <v>0</v>
      </c>
      <c r="DN40" s="9">
        <v>0</v>
      </c>
      <c r="DO40" s="9">
        <v>0</v>
      </c>
      <c r="DP40" s="9">
        <v>0</v>
      </c>
      <c r="DQ40" s="9">
        <v>0</v>
      </c>
      <c r="DR40" s="9">
        <v>0</v>
      </c>
      <c r="DS40" s="9">
        <v>0</v>
      </c>
      <c r="DT40" s="9">
        <v>0</v>
      </c>
      <c r="DU40" s="9">
        <v>0</v>
      </c>
      <c r="DV40" s="9">
        <v>0</v>
      </c>
      <c r="DW40" s="9">
        <v>0</v>
      </c>
      <c r="DX40" s="9">
        <v>0</v>
      </c>
      <c r="DY40" s="9">
        <v>0</v>
      </c>
      <c r="DZ40" s="9">
        <v>0</v>
      </c>
      <c r="EA40" s="9">
        <v>0</v>
      </c>
      <c r="EB40" s="9">
        <v>0</v>
      </c>
      <c r="EC40" s="9">
        <v>0</v>
      </c>
      <c r="ED40" s="9">
        <v>0</v>
      </c>
      <c r="EE40" s="9">
        <v>0</v>
      </c>
      <c r="EF40" s="9">
        <v>0</v>
      </c>
      <c r="EG40" s="9">
        <v>0</v>
      </c>
      <c r="EH40" s="9">
        <v>0</v>
      </c>
      <c r="EI40" s="9">
        <v>0</v>
      </c>
      <c r="EJ40" s="9">
        <v>0</v>
      </c>
      <c r="EK40" s="9">
        <v>0</v>
      </c>
      <c r="EL40" s="9">
        <v>0</v>
      </c>
      <c r="EM40" s="9">
        <v>0</v>
      </c>
      <c r="EN40" s="9">
        <v>0</v>
      </c>
      <c r="EO40" s="9">
        <v>0</v>
      </c>
      <c r="EP40" s="9">
        <v>0</v>
      </c>
      <c r="EQ40" s="9">
        <v>0</v>
      </c>
      <c r="ER40" s="9">
        <v>0</v>
      </c>
      <c r="ES40" s="9">
        <v>0</v>
      </c>
      <c r="ET40" s="9">
        <v>0</v>
      </c>
      <c r="EU40" s="9">
        <v>0</v>
      </c>
      <c r="EV40" s="9">
        <v>0</v>
      </c>
      <c r="EW40" s="9">
        <v>0</v>
      </c>
      <c r="EX40" s="9">
        <v>0</v>
      </c>
      <c r="EY40" s="9">
        <v>0</v>
      </c>
      <c r="EZ40" s="9">
        <v>0</v>
      </c>
      <c r="FA40" s="9">
        <v>0</v>
      </c>
      <c r="FB40" s="9">
        <v>0</v>
      </c>
      <c r="FC40" s="9">
        <v>0</v>
      </c>
      <c r="FD40" s="9">
        <v>0</v>
      </c>
      <c r="FE40" s="9">
        <v>0</v>
      </c>
      <c r="FF40" s="9">
        <v>0</v>
      </c>
      <c r="FG40" s="9">
        <v>0</v>
      </c>
      <c r="FH40" s="9">
        <v>0</v>
      </c>
      <c r="FI40" s="9">
        <v>0</v>
      </c>
      <c r="FJ40" s="9">
        <v>0</v>
      </c>
      <c r="FK40" s="9">
        <v>0</v>
      </c>
      <c r="FL40" s="9">
        <v>0</v>
      </c>
      <c r="FM40" s="10">
        <v>0</v>
      </c>
    </row>
    <row r="41" spans="1:169" x14ac:dyDescent="0.35">
      <c r="A41" s="8" t="s">
        <v>73</v>
      </c>
      <c r="B41" s="9" t="s">
        <v>74</v>
      </c>
      <c r="C41" s="10" t="s">
        <v>75</v>
      </c>
      <c r="D41" s="62">
        <f t="shared" si="97"/>
        <v>0</v>
      </c>
      <c r="E41" s="9">
        <v>0</v>
      </c>
      <c r="F41" s="9">
        <v>0</v>
      </c>
      <c r="G41" s="9">
        <v>0</v>
      </c>
      <c r="H41" s="9">
        <v>0</v>
      </c>
      <c r="I41" s="9">
        <v>0</v>
      </c>
      <c r="J41" s="9">
        <v>0</v>
      </c>
      <c r="K41" s="9">
        <v>0</v>
      </c>
      <c r="L41" s="9">
        <v>0</v>
      </c>
      <c r="M41" s="9">
        <v>0</v>
      </c>
      <c r="N41" s="9">
        <v>0</v>
      </c>
      <c r="O41" s="9">
        <v>0</v>
      </c>
      <c r="P41" s="9">
        <v>0</v>
      </c>
      <c r="Q41" s="9">
        <v>0</v>
      </c>
      <c r="R41" s="9">
        <v>0</v>
      </c>
      <c r="S41" s="9">
        <v>0</v>
      </c>
      <c r="T41" s="9">
        <v>0</v>
      </c>
      <c r="U41" s="9">
        <v>0</v>
      </c>
      <c r="V41" s="9">
        <v>0</v>
      </c>
      <c r="W41" s="9">
        <v>0</v>
      </c>
      <c r="X41" s="9">
        <v>0</v>
      </c>
      <c r="Y41" s="9">
        <v>0</v>
      </c>
      <c r="Z41" s="9">
        <v>0</v>
      </c>
      <c r="AA41" s="9">
        <v>0</v>
      </c>
      <c r="AB41" s="9">
        <v>0</v>
      </c>
      <c r="AC41" s="9">
        <v>0</v>
      </c>
      <c r="AD41" s="9">
        <v>0</v>
      </c>
      <c r="AE41" s="9">
        <v>0</v>
      </c>
      <c r="AF41" s="9">
        <v>0</v>
      </c>
      <c r="AG41" s="9">
        <v>0</v>
      </c>
      <c r="AH41" s="9">
        <v>0</v>
      </c>
      <c r="AI41" s="9">
        <v>0</v>
      </c>
      <c r="AJ41" s="9">
        <v>0</v>
      </c>
      <c r="AK41" s="9">
        <v>0</v>
      </c>
      <c r="AL41" s="9">
        <v>0</v>
      </c>
      <c r="AM41" s="9">
        <v>0</v>
      </c>
      <c r="AN41" s="9">
        <v>0</v>
      </c>
      <c r="AO41" s="9">
        <v>0</v>
      </c>
      <c r="AP41" s="9">
        <v>0</v>
      </c>
      <c r="AQ41" s="9">
        <v>0</v>
      </c>
      <c r="AR41" s="9">
        <v>0</v>
      </c>
      <c r="AS41" s="9">
        <v>0</v>
      </c>
      <c r="AT41" s="9">
        <v>0</v>
      </c>
      <c r="AU41" s="9">
        <v>0</v>
      </c>
      <c r="AV41" s="9">
        <v>0</v>
      </c>
      <c r="AW41" s="9">
        <v>0</v>
      </c>
      <c r="AX41" s="9">
        <v>0</v>
      </c>
      <c r="AY41" s="9">
        <v>0</v>
      </c>
      <c r="AZ41" s="9">
        <v>0</v>
      </c>
      <c r="BA41" s="9">
        <v>0</v>
      </c>
      <c r="BB41" s="9">
        <v>0</v>
      </c>
      <c r="BC41" s="9">
        <v>0</v>
      </c>
      <c r="BD41" s="9">
        <v>0</v>
      </c>
      <c r="BE41" s="9">
        <v>0</v>
      </c>
      <c r="BF41" s="9">
        <v>0</v>
      </c>
      <c r="BG41" s="9">
        <v>0</v>
      </c>
      <c r="BH41" s="9">
        <v>0</v>
      </c>
      <c r="BI41" s="9">
        <v>0</v>
      </c>
      <c r="BJ41" s="9">
        <v>0</v>
      </c>
      <c r="BK41" s="9">
        <v>0</v>
      </c>
      <c r="BL41" s="9">
        <v>0</v>
      </c>
      <c r="BM41" s="9">
        <v>0</v>
      </c>
      <c r="BN41" s="9">
        <v>0</v>
      </c>
      <c r="BO41" s="9">
        <v>0</v>
      </c>
      <c r="BP41" s="9">
        <v>0</v>
      </c>
      <c r="BQ41" s="9">
        <v>0</v>
      </c>
      <c r="BR41" s="9">
        <v>0</v>
      </c>
      <c r="BS41" s="9">
        <v>0</v>
      </c>
      <c r="BT41" s="9">
        <v>0</v>
      </c>
      <c r="BU41" s="9">
        <v>0</v>
      </c>
      <c r="BV41" s="9">
        <v>0</v>
      </c>
      <c r="BW41" s="9">
        <v>0</v>
      </c>
      <c r="BX41" s="9">
        <v>0</v>
      </c>
      <c r="BY41" s="9">
        <v>0</v>
      </c>
      <c r="BZ41" s="9">
        <v>0</v>
      </c>
      <c r="CA41" s="9">
        <v>0</v>
      </c>
      <c r="CB41" s="9">
        <v>0</v>
      </c>
      <c r="CC41" s="9">
        <v>0</v>
      </c>
      <c r="CD41" s="9">
        <v>0</v>
      </c>
      <c r="CE41" s="9">
        <v>0</v>
      </c>
      <c r="CF41" s="9">
        <v>0</v>
      </c>
      <c r="CG41" s="9">
        <v>0</v>
      </c>
      <c r="CH41" s="9">
        <v>0</v>
      </c>
      <c r="CI41" s="9">
        <v>0</v>
      </c>
      <c r="CJ41" s="9">
        <v>0</v>
      </c>
      <c r="CK41" s="9">
        <v>0</v>
      </c>
      <c r="CL41" s="9">
        <v>0</v>
      </c>
      <c r="CM41" s="9">
        <v>0</v>
      </c>
      <c r="CN41" s="9">
        <v>0</v>
      </c>
      <c r="CO41" s="9">
        <v>0</v>
      </c>
      <c r="CP41" s="9">
        <v>0</v>
      </c>
      <c r="CQ41" s="9">
        <v>0</v>
      </c>
      <c r="CR41" s="9">
        <v>0</v>
      </c>
      <c r="CS41" s="9">
        <v>0</v>
      </c>
      <c r="CT41" s="9">
        <v>0</v>
      </c>
      <c r="CU41" s="9">
        <v>0</v>
      </c>
      <c r="CV41" s="9">
        <v>0</v>
      </c>
      <c r="CW41" s="9">
        <v>0</v>
      </c>
      <c r="CX41" s="9">
        <v>0</v>
      </c>
      <c r="CY41" s="9">
        <v>0</v>
      </c>
      <c r="CZ41" s="9">
        <v>0</v>
      </c>
      <c r="DA41" s="9">
        <v>0</v>
      </c>
      <c r="DB41" s="9">
        <v>0</v>
      </c>
      <c r="DC41" s="9">
        <v>0</v>
      </c>
      <c r="DD41" s="9">
        <v>0</v>
      </c>
      <c r="DE41" s="9">
        <v>0</v>
      </c>
      <c r="DF41" s="9">
        <v>0</v>
      </c>
      <c r="DG41" s="9">
        <v>0</v>
      </c>
      <c r="DH41" s="9">
        <v>0</v>
      </c>
      <c r="DI41" s="9">
        <v>0</v>
      </c>
      <c r="DJ41" s="9">
        <v>0</v>
      </c>
      <c r="DK41" s="9">
        <v>0</v>
      </c>
      <c r="DL41" s="9">
        <v>0</v>
      </c>
      <c r="DM41" s="9">
        <v>0</v>
      </c>
      <c r="DN41" s="9">
        <v>0</v>
      </c>
      <c r="DO41" s="9">
        <v>0</v>
      </c>
      <c r="DP41" s="9">
        <v>0</v>
      </c>
      <c r="DQ41" s="9">
        <v>0</v>
      </c>
      <c r="DR41" s="9">
        <v>0</v>
      </c>
      <c r="DS41" s="9">
        <v>0</v>
      </c>
      <c r="DT41" s="9">
        <v>0</v>
      </c>
      <c r="DU41" s="9">
        <v>0</v>
      </c>
      <c r="DV41" s="9">
        <v>0</v>
      </c>
      <c r="DW41" s="9">
        <v>0</v>
      </c>
      <c r="DX41" s="9">
        <v>0</v>
      </c>
      <c r="DY41" s="9">
        <v>0</v>
      </c>
      <c r="DZ41" s="9">
        <v>0</v>
      </c>
      <c r="EA41" s="9">
        <v>0</v>
      </c>
      <c r="EB41" s="9">
        <v>0</v>
      </c>
      <c r="EC41" s="9">
        <v>0</v>
      </c>
      <c r="ED41" s="9">
        <v>0</v>
      </c>
      <c r="EE41" s="9">
        <v>0</v>
      </c>
      <c r="EF41" s="9">
        <v>0</v>
      </c>
      <c r="EG41" s="9">
        <v>0</v>
      </c>
      <c r="EH41" s="9">
        <v>0</v>
      </c>
      <c r="EI41" s="9">
        <v>0</v>
      </c>
      <c r="EJ41" s="9">
        <v>0</v>
      </c>
      <c r="EK41" s="9">
        <v>0</v>
      </c>
      <c r="EL41" s="9">
        <v>0</v>
      </c>
      <c r="EM41" s="9">
        <v>0</v>
      </c>
      <c r="EN41" s="9">
        <v>0</v>
      </c>
      <c r="EO41" s="9">
        <v>0</v>
      </c>
      <c r="EP41" s="9">
        <v>0</v>
      </c>
      <c r="EQ41" s="9">
        <v>0</v>
      </c>
      <c r="ER41" s="9">
        <v>0</v>
      </c>
      <c r="ES41" s="9">
        <v>0</v>
      </c>
      <c r="ET41" s="9">
        <v>0</v>
      </c>
      <c r="EU41" s="9">
        <v>0</v>
      </c>
      <c r="EV41" s="9">
        <v>0</v>
      </c>
      <c r="EW41" s="9">
        <v>0</v>
      </c>
      <c r="EX41" s="9">
        <v>0</v>
      </c>
      <c r="EY41" s="9">
        <v>0</v>
      </c>
      <c r="EZ41" s="9">
        <v>0</v>
      </c>
      <c r="FA41" s="9">
        <v>0</v>
      </c>
      <c r="FB41" s="9">
        <v>0</v>
      </c>
      <c r="FC41" s="9">
        <v>0</v>
      </c>
      <c r="FD41" s="9">
        <v>0</v>
      </c>
      <c r="FE41" s="9">
        <v>0</v>
      </c>
      <c r="FF41" s="9">
        <v>0</v>
      </c>
      <c r="FG41" s="9">
        <v>0</v>
      </c>
      <c r="FH41" s="9">
        <v>0</v>
      </c>
      <c r="FI41" s="9">
        <v>0</v>
      </c>
      <c r="FJ41" s="9">
        <v>0</v>
      </c>
      <c r="FK41" s="9">
        <v>0</v>
      </c>
      <c r="FL41" s="9">
        <v>0</v>
      </c>
      <c r="FM41" s="10">
        <v>0</v>
      </c>
    </row>
    <row r="42" spans="1:169" x14ac:dyDescent="0.35">
      <c r="A42" s="8" t="s">
        <v>73</v>
      </c>
      <c r="B42" s="9" t="s">
        <v>76</v>
      </c>
      <c r="C42" s="10" t="s">
        <v>77</v>
      </c>
      <c r="D42" s="62">
        <f t="shared" si="97"/>
        <v>2</v>
      </c>
      <c r="E42" s="9">
        <v>0</v>
      </c>
      <c r="F42" s="9">
        <v>0</v>
      </c>
      <c r="G42" s="9">
        <v>0</v>
      </c>
      <c r="H42" s="9">
        <v>0</v>
      </c>
      <c r="I42" s="9">
        <v>0</v>
      </c>
      <c r="J42" s="9">
        <v>0</v>
      </c>
      <c r="K42" s="9">
        <v>0</v>
      </c>
      <c r="L42" s="9">
        <v>0</v>
      </c>
      <c r="M42" s="9">
        <v>0</v>
      </c>
      <c r="N42" s="9">
        <v>0</v>
      </c>
      <c r="O42" s="9">
        <v>0</v>
      </c>
      <c r="P42" s="9">
        <v>0</v>
      </c>
      <c r="Q42" s="9">
        <v>0</v>
      </c>
      <c r="R42" s="9">
        <v>0</v>
      </c>
      <c r="S42" s="9">
        <v>0</v>
      </c>
      <c r="T42" s="9">
        <v>0</v>
      </c>
      <c r="U42" s="9">
        <v>0</v>
      </c>
      <c r="V42" s="9">
        <v>0</v>
      </c>
      <c r="W42" s="9">
        <v>0</v>
      </c>
      <c r="X42" s="9">
        <v>0</v>
      </c>
      <c r="Y42" s="9">
        <v>0</v>
      </c>
      <c r="Z42" s="9">
        <v>1</v>
      </c>
      <c r="AA42" s="9">
        <v>1</v>
      </c>
      <c r="AB42" s="9">
        <v>1</v>
      </c>
      <c r="AC42" s="9">
        <v>1</v>
      </c>
      <c r="AD42" s="9">
        <v>2</v>
      </c>
      <c r="AE42" s="9">
        <v>1</v>
      </c>
      <c r="AF42" s="9">
        <v>1</v>
      </c>
      <c r="AG42" s="9">
        <v>2</v>
      </c>
      <c r="AH42" s="9">
        <v>2</v>
      </c>
      <c r="AI42" s="9">
        <v>2</v>
      </c>
      <c r="AJ42" s="9">
        <v>1</v>
      </c>
      <c r="AK42" s="9">
        <v>1</v>
      </c>
      <c r="AL42" s="9">
        <v>1</v>
      </c>
      <c r="AM42" s="9">
        <v>1</v>
      </c>
      <c r="AN42" s="9">
        <v>1</v>
      </c>
      <c r="AO42" s="9">
        <v>1</v>
      </c>
      <c r="AP42" s="9">
        <v>1</v>
      </c>
      <c r="AQ42" s="9">
        <v>0</v>
      </c>
      <c r="AR42" s="9">
        <v>0</v>
      </c>
      <c r="AS42" s="9">
        <v>0</v>
      </c>
      <c r="AT42" s="9">
        <v>0</v>
      </c>
      <c r="AU42" s="9">
        <v>0</v>
      </c>
      <c r="AV42" s="9">
        <v>0</v>
      </c>
      <c r="AW42" s="9">
        <v>0</v>
      </c>
      <c r="AX42" s="9">
        <v>0</v>
      </c>
      <c r="AY42" s="9">
        <v>0</v>
      </c>
      <c r="AZ42" s="9">
        <v>0</v>
      </c>
      <c r="BA42" s="9">
        <v>0</v>
      </c>
      <c r="BB42" s="9">
        <v>0</v>
      </c>
      <c r="BC42" s="9">
        <v>0</v>
      </c>
      <c r="BD42" s="9">
        <v>0</v>
      </c>
      <c r="BE42" s="9">
        <v>0</v>
      </c>
      <c r="BF42" s="9">
        <v>0</v>
      </c>
      <c r="BG42" s="9">
        <v>0</v>
      </c>
      <c r="BH42" s="9">
        <v>0</v>
      </c>
      <c r="BI42" s="9">
        <v>0</v>
      </c>
      <c r="BJ42" s="9">
        <v>0</v>
      </c>
      <c r="BK42" s="9">
        <v>0</v>
      </c>
      <c r="BL42" s="9">
        <v>0</v>
      </c>
      <c r="BM42" s="9">
        <v>0</v>
      </c>
      <c r="BN42" s="9">
        <v>0</v>
      </c>
      <c r="BO42" s="9">
        <v>0</v>
      </c>
      <c r="BP42" s="9">
        <v>0</v>
      </c>
      <c r="BQ42" s="9">
        <v>0</v>
      </c>
      <c r="BR42" s="9">
        <v>0</v>
      </c>
      <c r="BS42" s="9">
        <v>0</v>
      </c>
      <c r="BT42" s="9">
        <v>0</v>
      </c>
      <c r="BU42" s="9">
        <v>0</v>
      </c>
      <c r="BV42" s="9">
        <v>0</v>
      </c>
      <c r="BW42" s="9">
        <v>0</v>
      </c>
      <c r="BX42" s="9">
        <v>0</v>
      </c>
      <c r="BY42" s="9">
        <v>0</v>
      </c>
      <c r="BZ42" s="9">
        <v>0</v>
      </c>
      <c r="CA42" s="9">
        <v>0</v>
      </c>
      <c r="CB42" s="9">
        <v>0</v>
      </c>
      <c r="CC42" s="9">
        <v>0</v>
      </c>
      <c r="CD42" s="9">
        <v>0</v>
      </c>
      <c r="CE42" s="9">
        <v>0</v>
      </c>
      <c r="CF42" s="9">
        <v>0</v>
      </c>
      <c r="CG42" s="9">
        <v>0</v>
      </c>
      <c r="CH42" s="9">
        <v>0</v>
      </c>
      <c r="CI42" s="9">
        <v>0</v>
      </c>
      <c r="CJ42" s="9">
        <v>0</v>
      </c>
      <c r="CK42" s="9">
        <v>0</v>
      </c>
      <c r="CL42" s="9">
        <v>0</v>
      </c>
      <c r="CM42" s="9">
        <v>0</v>
      </c>
      <c r="CN42" s="9">
        <v>0</v>
      </c>
      <c r="CO42" s="9">
        <v>0</v>
      </c>
      <c r="CP42" s="9">
        <v>0</v>
      </c>
      <c r="CQ42" s="9">
        <v>0</v>
      </c>
      <c r="CR42" s="9">
        <v>0</v>
      </c>
      <c r="CS42" s="9">
        <v>0</v>
      </c>
      <c r="CT42" s="9">
        <v>0</v>
      </c>
      <c r="CU42" s="9">
        <v>0</v>
      </c>
      <c r="CV42" s="9">
        <v>0</v>
      </c>
      <c r="CW42" s="9">
        <v>0</v>
      </c>
      <c r="CX42" s="9">
        <v>0</v>
      </c>
      <c r="CY42" s="9">
        <v>0</v>
      </c>
      <c r="CZ42" s="9">
        <v>0</v>
      </c>
      <c r="DA42" s="9">
        <v>0</v>
      </c>
      <c r="DB42" s="9">
        <v>0</v>
      </c>
      <c r="DC42" s="9">
        <v>0</v>
      </c>
      <c r="DD42" s="9">
        <v>0</v>
      </c>
      <c r="DE42" s="9">
        <v>0</v>
      </c>
      <c r="DF42" s="9">
        <v>0</v>
      </c>
      <c r="DG42" s="9">
        <v>0</v>
      </c>
      <c r="DH42" s="9">
        <v>0</v>
      </c>
      <c r="DI42" s="9">
        <v>0</v>
      </c>
      <c r="DJ42" s="9">
        <v>0</v>
      </c>
      <c r="DK42" s="9">
        <v>0</v>
      </c>
      <c r="DL42" s="9">
        <v>0</v>
      </c>
      <c r="DM42" s="9">
        <v>0</v>
      </c>
      <c r="DN42" s="9">
        <v>0</v>
      </c>
      <c r="DO42" s="9">
        <v>0</v>
      </c>
      <c r="DP42" s="9">
        <v>0</v>
      </c>
      <c r="DQ42" s="9">
        <v>0</v>
      </c>
      <c r="DR42" s="9">
        <v>0</v>
      </c>
      <c r="DS42" s="9">
        <v>0</v>
      </c>
      <c r="DT42" s="9">
        <v>0</v>
      </c>
      <c r="DU42" s="9">
        <v>0</v>
      </c>
      <c r="DV42" s="9">
        <v>0</v>
      </c>
      <c r="DW42" s="9">
        <v>0</v>
      </c>
      <c r="DX42" s="9">
        <v>0</v>
      </c>
      <c r="DY42" s="9">
        <v>0</v>
      </c>
      <c r="DZ42" s="9">
        <v>0</v>
      </c>
      <c r="EA42" s="9">
        <v>0</v>
      </c>
      <c r="EB42" s="9">
        <v>0</v>
      </c>
      <c r="EC42" s="9">
        <v>0</v>
      </c>
      <c r="ED42" s="9">
        <v>0</v>
      </c>
      <c r="EE42" s="9">
        <v>0</v>
      </c>
      <c r="EF42" s="9">
        <v>0</v>
      </c>
      <c r="EG42" s="9">
        <v>0</v>
      </c>
      <c r="EH42" s="9">
        <v>0</v>
      </c>
      <c r="EI42" s="9">
        <v>0</v>
      </c>
      <c r="EJ42" s="9">
        <v>0</v>
      </c>
      <c r="EK42" s="9">
        <v>0</v>
      </c>
      <c r="EL42" s="9">
        <v>0</v>
      </c>
      <c r="EM42" s="9">
        <v>0</v>
      </c>
      <c r="EN42" s="9">
        <v>0</v>
      </c>
      <c r="EO42" s="9">
        <v>0</v>
      </c>
      <c r="EP42" s="9">
        <v>0</v>
      </c>
      <c r="EQ42" s="9">
        <v>0</v>
      </c>
      <c r="ER42" s="9">
        <v>0</v>
      </c>
      <c r="ES42" s="9">
        <v>0</v>
      </c>
      <c r="ET42" s="9">
        <v>0</v>
      </c>
      <c r="EU42" s="9">
        <v>0</v>
      </c>
      <c r="EV42" s="9">
        <v>0</v>
      </c>
      <c r="EW42" s="9">
        <v>0</v>
      </c>
      <c r="EX42" s="9">
        <v>0</v>
      </c>
      <c r="EY42" s="9">
        <v>0</v>
      </c>
      <c r="EZ42" s="9">
        <v>0</v>
      </c>
      <c r="FA42" s="9">
        <v>0</v>
      </c>
      <c r="FB42" s="9">
        <v>0</v>
      </c>
      <c r="FC42" s="9">
        <v>0</v>
      </c>
      <c r="FD42" s="9">
        <v>0</v>
      </c>
      <c r="FE42" s="9">
        <v>0</v>
      </c>
      <c r="FF42" s="9">
        <v>0</v>
      </c>
      <c r="FG42" s="9">
        <v>0</v>
      </c>
      <c r="FH42" s="9">
        <v>0</v>
      </c>
      <c r="FI42" s="9">
        <v>0</v>
      </c>
      <c r="FJ42" s="9">
        <v>0</v>
      </c>
      <c r="FK42" s="9">
        <v>0</v>
      </c>
      <c r="FL42" s="9">
        <v>0</v>
      </c>
      <c r="FM42" s="10">
        <v>0</v>
      </c>
    </row>
    <row r="43" spans="1:169" x14ac:dyDescent="0.35">
      <c r="A43" s="8" t="s">
        <v>73</v>
      </c>
      <c r="B43" s="9" t="s">
        <v>78</v>
      </c>
      <c r="C43" s="10" t="s">
        <v>79</v>
      </c>
      <c r="D43" s="62">
        <f t="shared" si="97"/>
        <v>0</v>
      </c>
      <c r="E43" s="9">
        <v>0</v>
      </c>
      <c r="F43" s="9">
        <v>0</v>
      </c>
      <c r="G43" s="9">
        <v>0</v>
      </c>
      <c r="H43" s="9">
        <v>0</v>
      </c>
      <c r="I43" s="9">
        <v>0</v>
      </c>
      <c r="J43" s="9">
        <v>0</v>
      </c>
      <c r="K43" s="9">
        <v>0</v>
      </c>
      <c r="L43" s="9">
        <v>0</v>
      </c>
      <c r="M43" s="9">
        <v>0</v>
      </c>
      <c r="N43" s="9">
        <v>0</v>
      </c>
      <c r="O43" s="9">
        <v>0</v>
      </c>
      <c r="P43" s="9">
        <v>0</v>
      </c>
      <c r="Q43" s="9">
        <v>0</v>
      </c>
      <c r="R43" s="9">
        <v>0</v>
      </c>
      <c r="S43" s="9">
        <v>0</v>
      </c>
      <c r="T43" s="9">
        <v>0</v>
      </c>
      <c r="U43" s="9">
        <v>0</v>
      </c>
      <c r="V43" s="9">
        <v>0</v>
      </c>
      <c r="W43" s="9">
        <v>0</v>
      </c>
      <c r="X43" s="9">
        <v>0</v>
      </c>
      <c r="Y43" s="9">
        <v>0</v>
      </c>
      <c r="Z43" s="9">
        <v>0</v>
      </c>
      <c r="AA43" s="9">
        <v>0</v>
      </c>
      <c r="AB43" s="9">
        <v>0</v>
      </c>
      <c r="AC43" s="9">
        <v>0</v>
      </c>
      <c r="AD43" s="9">
        <v>0</v>
      </c>
      <c r="AE43" s="9">
        <v>0</v>
      </c>
      <c r="AF43" s="9">
        <v>0</v>
      </c>
      <c r="AG43" s="9">
        <v>0</v>
      </c>
      <c r="AH43" s="9">
        <v>0</v>
      </c>
      <c r="AI43" s="9">
        <v>0</v>
      </c>
      <c r="AJ43" s="9">
        <v>0</v>
      </c>
      <c r="AK43" s="9">
        <v>0</v>
      </c>
      <c r="AL43" s="9">
        <v>0</v>
      </c>
      <c r="AM43" s="9">
        <v>0</v>
      </c>
      <c r="AN43" s="9">
        <v>0</v>
      </c>
      <c r="AO43" s="9">
        <v>0</v>
      </c>
      <c r="AP43" s="9">
        <v>0</v>
      </c>
      <c r="AQ43" s="9">
        <v>0</v>
      </c>
      <c r="AR43" s="9">
        <v>0</v>
      </c>
      <c r="AS43" s="9">
        <v>0</v>
      </c>
      <c r="AT43" s="9">
        <v>0</v>
      </c>
      <c r="AU43" s="9">
        <v>0</v>
      </c>
      <c r="AV43" s="9">
        <v>0</v>
      </c>
      <c r="AW43" s="9">
        <v>0</v>
      </c>
      <c r="AX43" s="9">
        <v>0</v>
      </c>
      <c r="AY43" s="9">
        <v>0</v>
      </c>
      <c r="AZ43" s="9">
        <v>0</v>
      </c>
      <c r="BA43" s="9">
        <v>0</v>
      </c>
      <c r="BB43" s="9">
        <v>0</v>
      </c>
      <c r="BC43" s="9">
        <v>0</v>
      </c>
      <c r="BD43" s="9">
        <v>0</v>
      </c>
      <c r="BE43" s="9">
        <v>0</v>
      </c>
      <c r="BF43" s="9">
        <v>0</v>
      </c>
      <c r="BG43" s="9">
        <v>0</v>
      </c>
      <c r="BH43" s="9">
        <v>0</v>
      </c>
      <c r="BI43" s="9">
        <v>0</v>
      </c>
      <c r="BJ43" s="9">
        <v>0</v>
      </c>
      <c r="BK43" s="9">
        <v>0</v>
      </c>
      <c r="BL43" s="9">
        <v>0</v>
      </c>
      <c r="BM43" s="9">
        <v>0</v>
      </c>
      <c r="BN43" s="9">
        <v>0</v>
      </c>
      <c r="BO43" s="9">
        <v>0</v>
      </c>
      <c r="BP43" s="9">
        <v>0</v>
      </c>
      <c r="BQ43" s="9">
        <v>0</v>
      </c>
      <c r="BR43" s="9">
        <v>0</v>
      </c>
      <c r="BS43" s="9">
        <v>0</v>
      </c>
      <c r="BT43" s="9">
        <v>0</v>
      </c>
      <c r="BU43" s="9">
        <v>0</v>
      </c>
      <c r="BV43" s="9">
        <v>0</v>
      </c>
      <c r="BW43" s="9">
        <v>0</v>
      </c>
      <c r="BX43" s="9">
        <v>0</v>
      </c>
      <c r="BY43" s="9">
        <v>0</v>
      </c>
      <c r="BZ43" s="9">
        <v>0</v>
      </c>
      <c r="CA43" s="9">
        <v>0</v>
      </c>
      <c r="CB43" s="9">
        <v>0</v>
      </c>
      <c r="CC43" s="9">
        <v>0</v>
      </c>
      <c r="CD43" s="9">
        <v>0</v>
      </c>
      <c r="CE43" s="9">
        <v>0</v>
      </c>
      <c r="CF43" s="9">
        <v>0</v>
      </c>
      <c r="CG43" s="9">
        <v>0</v>
      </c>
      <c r="CH43" s="9">
        <v>0</v>
      </c>
      <c r="CI43" s="9">
        <v>0</v>
      </c>
      <c r="CJ43" s="9">
        <v>0</v>
      </c>
      <c r="CK43" s="9">
        <v>0</v>
      </c>
      <c r="CL43" s="9">
        <v>0</v>
      </c>
      <c r="CM43" s="9">
        <v>0</v>
      </c>
      <c r="CN43" s="9">
        <v>0</v>
      </c>
      <c r="CO43" s="9">
        <v>0</v>
      </c>
      <c r="CP43" s="9">
        <v>0</v>
      </c>
      <c r="CQ43" s="9">
        <v>0</v>
      </c>
      <c r="CR43" s="9">
        <v>0</v>
      </c>
      <c r="CS43" s="9">
        <v>0</v>
      </c>
      <c r="CT43" s="9">
        <v>0</v>
      </c>
      <c r="CU43" s="9">
        <v>0</v>
      </c>
      <c r="CV43" s="9">
        <v>0</v>
      </c>
      <c r="CW43" s="9">
        <v>0</v>
      </c>
      <c r="CX43" s="9">
        <v>0</v>
      </c>
      <c r="CY43" s="9">
        <v>0</v>
      </c>
      <c r="CZ43" s="9">
        <v>0</v>
      </c>
      <c r="DA43" s="9">
        <v>0</v>
      </c>
      <c r="DB43" s="9">
        <v>0</v>
      </c>
      <c r="DC43" s="9">
        <v>0</v>
      </c>
      <c r="DD43" s="9">
        <v>0</v>
      </c>
      <c r="DE43" s="9">
        <v>0</v>
      </c>
      <c r="DF43" s="9">
        <v>0</v>
      </c>
      <c r="DG43" s="9">
        <v>0</v>
      </c>
      <c r="DH43" s="9">
        <v>0</v>
      </c>
      <c r="DI43" s="9">
        <v>0</v>
      </c>
      <c r="DJ43" s="9">
        <v>0</v>
      </c>
      <c r="DK43" s="9">
        <v>0</v>
      </c>
      <c r="DL43" s="9">
        <v>0</v>
      </c>
      <c r="DM43" s="9">
        <v>0</v>
      </c>
      <c r="DN43" s="9">
        <v>0</v>
      </c>
      <c r="DO43" s="9">
        <v>0</v>
      </c>
      <c r="DP43" s="9">
        <v>0</v>
      </c>
      <c r="DQ43" s="9">
        <v>0</v>
      </c>
      <c r="DR43" s="9">
        <v>0</v>
      </c>
      <c r="DS43" s="9">
        <v>0</v>
      </c>
      <c r="DT43" s="9">
        <v>0</v>
      </c>
      <c r="DU43" s="9">
        <v>0</v>
      </c>
      <c r="DV43" s="9">
        <v>0</v>
      </c>
      <c r="DW43" s="9">
        <v>0</v>
      </c>
      <c r="DX43" s="9">
        <v>0</v>
      </c>
      <c r="DY43" s="9">
        <v>0</v>
      </c>
      <c r="DZ43" s="9">
        <v>0</v>
      </c>
      <c r="EA43" s="9">
        <v>0</v>
      </c>
      <c r="EB43" s="9">
        <v>0</v>
      </c>
      <c r="EC43" s="9">
        <v>0</v>
      </c>
      <c r="ED43" s="9">
        <v>0</v>
      </c>
      <c r="EE43" s="9">
        <v>0</v>
      </c>
      <c r="EF43" s="9">
        <v>0</v>
      </c>
      <c r="EG43" s="9">
        <v>0</v>
      </c>
      <c r="EH43" s="9">
        <v>0</v>
      </c>
      <c r="EI43" s="9">
        <v>0</v>
      </c>
      <c r="EJ43" s="9">
        <v>0</v>
      </c>
      <c r="EK43" s="9">
        <v>0</v>
      </c>
      <c r="EL43" s="9">
        <v>0</v>
      </c>
      <c r="EM43" s="9">
        <v>0</v>
      </c>
      <c r="EN43" s="9">
        <v>0</v>
      </c>
      <c r="EO43" s="9">
        <v>0</v>
      </c>
      <c r="EP43" s="9">
        <v>0</v>
      </c>
      <c r="EQ43" s="9">
        <v>0</v>
      </c>
      <c r="ER43" s="9">
        <v>0</v>
      </c>
      <c r="ES43" s="9">
        <v>0</v>
      </c>
      <c r="ET43" s="9">
        <v>0</v>
      </c>
      <c r="EU43" s="9">
        <v>0</v>
      </c>
      <c r="EV43" s="9">
        <v>0</v>
      </c>
      <c r="EW43" s="9">
        <v>0</v>
      </c>
      <c r="EX43" s="9">
        <v>0</v>
      </c>
      <c r="EY43" s="9">
        <v>0</v>
      </c>
      <c r="EZ43" s="9">
        <v>0</v>
      </c>
      <c r="FA43" s="9">
        <v>0</v>
      </c>
      <c r="FB43" s="9">
        <v>0</v>
      </c>
      <c r="FC43" s="9">
        <v>0</v>
      </c>
      <c r="FD43" s="9">
        <v>0</v>
      </c>
      <c r="FE43" s="9">
        <v>0</v>
      </c>
      <c r="FF43" s="9">
        <v>0</v>
      </c>
      <c r="FG43" s="9">
        <v>0</v>
      </c>
      <c r="FH43" s="9">
        <v>0</v>
      </c>
      <c r="FI43" s="9">
        <v>0</v>
      </c>
      <c r="FJ43" s="9">
        <v>0</v>
      </c>
      <c r="FK43" s="9">
        <v>0</v>
      </c>
      <c r="FL43" s="9">
        <v>0</v>
      </c>
      <c r="FM43" s="10">
        <v>0</v>
      </c>
    </row>
    <row r="44" spans="1:169" x14ac:dyDescent="0.35">
      <c r="A44" s="8" t="s">
        <v>73</v>
      </c>
      <c r="B44" s="9" t="s">
        <v>80</v>
      </c>
      <c r="C44" s="10" t="s">
        <v>81</v>
      </c>
      <c r="D44" s="62">
        <f t="shared" si="97"/>
        <v>0</v>
      </c>
      <c r="E44" s="9">
        <v>0</v>
      </c>
      <c r="F44" s="9">
        <v>0</v>
      </c>
      <c r="G44" s="9">
        <v>0</v>
      </c>
      <c r="H44" s="9">
        <v>0</v>
      </c>
      <c r="I44" s="9">
        <v>0</v>
      </c>
      <c r="J44" s="9">
        <v>0</v>
      </c>
      <c r="K44" s="9">
        <v>0</v>
      </c>
      <c r="L44" s="9">
        <v>0</v>
      </c>
      <c r="M44" s="9">
        <v>0</v>
      </c>
      <c r="N44" s="9">
        <v>0</v>
      </c>
      <c r="O44" s="9">
        <v>0</v>
      </c>
      <c r="P44" s="9">
        <v>0</v>
      </c>
      <c r="Q44" s="9">
        <v>0</v>
      </c>
      <c r="R44" s="9">
        <v>0</v>
      </c>
      <c r="S44" s="9">
        <v>0</v>
      </c>
      <c r="T44" s="9">
        <v>0</v>
      </c>
      <c r="U44" s="9">
        <v>0</v>
      </c>
      <c r="V44" s="9">
        <v>0</v>
      </c>
      <c r="W44" s="9">
        <v>0</v>
      </c>
      <c r="X44" s="9">
        <v>0</v>
      </c>
      <c r="Y44" s="9">
        <v>0</v>
      </c>
      <c r="Z44" s="9">
        <v>0</v>
      </c>
      <c r="AA44" s="9">
        <v>0</v>
      </c>
      <c r="AB44" s="9">
        <v>0</v>
      </c>
      <c r="AC44" s="9">
        <v>0</v>
      </c>
      <c r="AD44" s="9">
        <v>0</v>
      </c>
      <c r="AE44" s="9">
        <v>0</v>
      </c>
      <c r="AF44" s="9">
        <v>0</v>
      </c>
      <c r="AG44" s="9">
        <v>0</v>
      </c>
      <c r="AH44" s="9">
        <v>0</v>
      </c>
      <c r="AI44" s="9">
        <v>0</v>
      </c>
      <c r="AJ44" s="9">
        <v>0</v>
      </c>
      <c r="AK44" s="9">
        <v>0</v>
      </c>
      <c r="AL44" s="9">
        <v>0</v>
      </c>
      <c r="AM44" s="9">
        <v>0</v>
      </c>
      <c r="AN44" s="9">
        <v>0</v>
      </c>
      <c r="AO44" s="9">
        <v>0</v>
      </c>
      <c r="AP44" s="9">
        <v>0</v>
      </c>
      <c r="AQ44" s="9">
        <v>0</v>
      </c>
      <c r="AR44" s="9">
        <v>0</v>
      </c>
      <c r="AS44" s="9">
        <v>0</v>
      </c>
      <c r="AT44" s="9">
        <v>0</v>
      </c>
      <c r="AU44" s="9">
        <v>0</v>
      </c>
      <c r="AV44" s="9">
        <v>0</v>
      </c>
      <c r="AW44" s="9">
        <v>0</v>
      </c>
      <c r="AX44" s="9">
        <v>0</v>
      </c>
      <c r="AY44" s="9">
        <v>0</v>
      </c>
      <c r="AZ44" s="9">
        <v>0</v>
      </c>
      <c r="BA44" s="9">
        <v>0</v>
      </c>
      <c r="BB44" s="9">
        <v>0</v>
      </c>
      <c r="BC44" s="9">
        <v>0</v>
      </c>
      <c r="BD44" s="9">
        <v>0</v>
      </c>
      <c r="BE44" s="9">
        <v>0</v>
      </c>
      <c r="BF44" s="9">
        <v>0</v>
      </c>
      <c r="BG44" s="9">
        <v>0</v>
      </c>
      <c r="BH44" s="9">
        <v>0</v>
      </c>
      <c r="BI44" s="9">
        <v>0</v>
      </c>
      <c r="BJ44" s="9">
        <v>0</v>
      </c>
      <c r="BK44" s="9">
        <v>0</v>
      </c>
      <c r="BL44" s="9">
        <v>0</v>
      </c>
      <c r="BM44" s="9">
        <v>0</v>
      </c>
      <c r="BN44" s="9">
        <v>0</v>
      </c>
      <c r="BO44" s="9">
        <v>0</v>
      </c>
      <c r="BP44" s="9">
        <v>0</v>
      </c>
      <c r="BQ44" s="9">
        <v>0</v>
      </c>
      <c r="BR44" s="9">
        <v>0</v>
      </c>
      <c r="BS44" s="9">
        <v>0</v>
      </c>
      <c r="BT44" s="9">
        <v>0</v>
      </c>
      <c r="BU44" s="9">
        <v>0</v>
      </c>
      <c r="BV44" s="9">
        <v>0</v>
      </c>
      <c r="BW44" s="9">
        <v>0</v>
      </c>
      <c r="BX44" s="9">
        <v>0</v>
      </c>
      <c r="BY44" s="9">
        <v>0</v>
      </c>
      <c r="BZ44" s="9">
        <v>0</v>
      </c>
      <c r="CA44" s="9">
        <v>0</v>
      </c>
      <c r="CB44" s="9">
        <v>0</v>
      </c>
      <c r="CC44" s="9">
        <v>0</v>
      </c>
      <c r="CD44" s="9">
        <v>0</v>
      </c>
      <c r="CE44" s="9">
        <v>0</v>
      </c>
      <c r="CF44" s="9">
        <v>0</v>
      </c>
      <c r="CG44" s="9">
        <v>0</v>
      </c>
      <c r="CH44" s="9">
        <v>0</v>
      </c>
      <c r="CI44" s="9">
        <v>0</v>
      </c>
      <c r="CJ44" s="9">
        <v>0</v>
      </c>
      <c r="CK44" s="9">
        <v>0</v>
      </c>
      <c r="CL44" s="9">
        <v>0</v>
      </c>
      <c r="CM44" s="9">
        <v>0</v>
      </c>
      <c r="CN44" s="9">
        <v>0</v>
      </c>
      <c r="CO44" s="9">
        <v>0</v>
      </c>
      <c r="CP44" s="9">
        <v>0</v>
      </c>
      <c r="CQ44" s="9">
        <v>0</v>
      </c>
      <c r="CR44" s="9">
        <v>0</v>
      </c>
      <c r="CS44" s="9">
        <v>0</v>
      </c>
      <c r="CT44" s="9">
        <v>0</v>
      </c>
      <c r="CU44" s="9">
        <v>0</v>
      </c>
      <c r="CV44" s="9">
        <v>0</v>
      </c>
      <c r="CW44" s="9">
        <v>0</v>
      </c>
      <c r="CX44" s="9">
        <v>0</v>
      </c>
      <c r="CY44" s="9">
        <v>0</v>
      </c>
      <c r="CZ44" s="9">
        <v>0</v>
      </c>
      <c r="DA44" s="9">
        <v>0</v>
      </c>
      <c r="DB44" s="9">
        <v>0</v>
      </c>
      <c r="DC44" s="9">
        <v>0</v>
      </c>
      <c r="DD44" s="9">
        <v>0</v>
      </c>
      <c r="DE44" s="9">
        <v>0</v>
      </c>
      <c r="DF44" s="9">
        <v>0</v>
      </c>
      <c r="DG44" s="9">
        <v>0</v>
      </c>
      <c r="DH44" s="9">
        <v>0</v>
      </c>
      <c r="DI44" s="9">
        <v>0</v>
      </c>
      <c r="DJ44" s="9">
        <v>0</v>
      </c>
      <c r="DK44" s="9">
        <v>0</v>
      </c>
      <c r="DL44" s="9">
        <v>0</v>
      </c>
      <c r="DM44" s="9">
        <v>0</v>
      </c>
      <c r="DN44" s="9">
        <v>0</v>
      </c>
      <c r="DO44" s="9">
        <v>0</v>
      </c>
      <c r="DP44" s="9">
        <v>0</v>
      </c>
      <c r="DQ44" s="9">
        <v>0</v>
      </c>
      <c r="DR44" s="9">
        <v>0</v>
      </c>
      <c r="DS44" s="9">
        <v>0</v>
      </c>
      <c r="DT44" s="9">
        <v>0</v>
      </c>
      <c r="DU44" s="9">
        <v>0</v>
      </c>
      <c r="DV44" s="9">
        <v>0</v>
      </c>
      <c r="DW44" s="9">
        <v>0</v>
      </c>
      <c r="DX44" s="9">
        <v>0</v>
      </c>
      <c r="DY44" s="9">
        <v>0</v>
      </c>
      <c r="DZ44" s="9">
        <v>0</v>
      </c>
      <c r="EA44" s="9">
        <v>0</v>
      </c>
      <c r="EB44" s="9">
        <v>0</v>
      </c>
      <c r="EC44" s="9">
        <v>0</v>
      </c>
      <c r="ED44" s="9">
        <v>0</v>
      </c>
      <c r="EE44" s="9">
        <v>0</v>
      </c>
      <c r="EF44" s="9">
        <v>0</v>
      </c>
      <c r="EG44" s="9">
        <v>0</v>
      </c>
      <c r="EH44" s="9">
        <v>0</v>
      </c>
      <c r="EI44" s="9">
        <v>0</v>
      </c>
      <c r="EJ44" s="9">
        <v>0</v>
      </c>
      <c r="EK44" s="9">
        <v>0</v>
      </c>
      <c r="EL44" s="9">
        <v>0</v>
      </c>
      <c r="EM44" s="9">
        <v>0</v>
      </c>
      <c r="EN44" s="9">
        <v>0</v>
      </c>
      <c r="EO44" s="9">
        <v>0</v>
      </c>
      <c r="EP44" s="9">
        <v>0</v>
      </c>
      <c r="EQ44" s="9">
        <v>0</v>
      </c>
      <c r="ER44" s="9">
        <v>0</v>
      </c>
      <c r="ES44" s="9">
        <v>0</v>
      </c>
      <c r="ET44" s="9">
        <v>0</v>
      </c>
      <c r="EU44" s="9">
        <v>0</v>
      </c>
      <c r="EV44" s="9">
        <v>0</v>
      </c>
      <c r="EW44" s="9">
        <v>0</v>
      </c>
      <c r="EX44" s="9">
        <v>0</v>
      </c>
      <c r="EY44" s="9">
        <v>0</v>
      </c>
      <c r="EZ44" s="9">
        <v>0</v>
      </c>
      <c r="FA44" s="9">
        <v>0</v>
      </c>
      <c r="FB44" s="9">
        <v>0</v>
      </c>
      <c r="FC44" s="9">
        <v>0</v>
      </c>
      <c r="FD44" s="9">
        <v>0</v>
      </c>
      <c r="FE44" s="9">
        <v>0</v>
      </c>
      <c r="FF44" s="9">
        <v>0</v>
      </c>
      <c r="FG44" s="9">
        <v>0</v>
      </c>
      <c r="FH44" s="9">
        <v>0</v>
      </c>
      <c r="FI44" s="9">
        <v>0</v>
      </c>
      <c r="FJ44" s="9">
        <v>0</v>
      </c>
      <c r="FK44" s="9">
        <v>0</v>
      </c>
      <c r="FL44" s="9">
        <v>0</v>
      </c>
      <c r="FM44" s="10">
        <v>0</v>
      </c>
    </row>
    <row r="45" spans="1:169" x14ac:dyDescent="0.35">
      <c r="A45" s="8" t="s">
        <v>73</v>
      </c>
      <c r="B45" s="9" t="s">
        <v>82</v>
      </c>
      <c r="C45" s="10" t="s">
        <v>83</v>
      </c>
      <c r="D45" s="62">
        <f t="shared" si="97"/>
        <v>1</v>
      </c>
      <c r="E45" s="9">
        <v>0</v>
      </c>
      <c r="F45" s="9">
        <v>0</v>
      </c>
      <c r="G45" s="9">
        <v>0</v>
      </c>
      <c r="H45" s="9">
        <v>0</v>
      </c>
      <c r="I45" s="9">
        <v>0</v>
      </c>
      <c r="J45" s="9">
        <v>0</v>
      </c>
      <c r="K45" s="9">
        <v>0</v>
      </c>
      <c r="L45" s="9">
        <v>0</v>
      </c>
      <c r="M45" s="9">
        <v>0</v>
      </c>
      <c r="N45" s="9">
        <v>0</v>
      </c>
      <c r="O45" s="9">
        <v>0</v>
      </c>
      <c r="P45" s="9">
        <v>0</v>
      </c>
      <c r="Q45" s="9">
        <v>0</v>
      </c>
      <c r="R45" s="9">
        <v>0</v>
      </c>
      <c r="S45" s="9">
        <v>1</v>
      </c>
      <c r="T45" s="9">
        <v>0</v>
      </c>
      <c r="U45" s="9">
        <v>0</v>
      </c>
      <c r="V45" s="9">
        <v>0</v>
      </c>
      <c r="W45" s="9">
        <v>0</v>
      </c>
      <c r="X45" s="9">
        <v>0</v>
      </c>
      <c r="Y45" s="9">
        <v>0</v>
      </c>
      <c r="Z45" s="9">
        <v>0</v>
      </c>
      <c r="AA45" s="9">
        <v>0</v>
      </c>
      <c r="AB45" s="9">
        <v>0</v>
      </c>
      <c r="AC45" s="9">
        <v>0</v>
      </c>
      <c r="AD45" s="9">
        <v>0</v>
      </c>
      <c r="AE45" s="9">
        <v>0</v>
      </c>
      <c r="AF45" s="9">
        <v>0</v>
      </c>
      <c r="AG45" s="9">
        <v>0</v>
      </c>
      <c r="AH45" s="9">
        <v>0</v>
      </c>
      <c r="AI45" s="9">
        <v>0</v>
      </c>
      <c r="AJ45" s="9">
        <v>0</v>
      </c>
      <c r="AK45" s="9">
        <v>0</v>
      </c>
      <c r="AL45" s="9">
        <v>0</v>
      </c>
      <c r="AM45" s="9">
        <v>0</v>
      </c>
      <c r="AN45" s="9">
        <v>0</v>
      </c>
      <c r="AO45" s="9">
        <v>0</v>
      </c>
      <c r="AP45" s="9">
        <v>0</v>
      </c>
      <c r="AQ45" s="9">
        <v>0</v>
      </c>
      <c r="AR45" s="9">
        <v>0</v>
      </c>
      <c r="AS45" s="9">
        <v>0</v>
      </c>
      <c r="AT45" s="9">
        <v>0</v>
      </c>
      <c r="AU45" s="9">
        <v>0</v>
      </c>
      <c r="AV45" s="9">
        <v>0</v>
      </c>
      <c r="AW45" s="9">
        <v>0</v>
      </c>
      <c r="AX45" s="9">
        <v>0</v>
      </c>
      <c r="AY45" s="9">
        <v>0</v>
      </c>
      <c r="AZ45" s="9">
        <v>0</v>
      </c>
      <c r="BA45" s="9">
        <v>0</v>
      </c>
      <c r="BB45" s="9">
        <v>0</v>
      </c>
      <c r="BC45" s="9">
        <v>0</v>
      </c>
      <c r="BD45" s="9">
        <v>0</v>
      </c>
      <c r="BE45" s="9">
        <v>0</v>
      </c>
      <c r="BF45" s="9">
        <v>0</v>
      </c>
      <c r="BG45" s="9">
        <v>0</v>
      </c>
      <c r="BH45" s="9">
        <v>0</v>
      </c>
      <c r="BI45" s="9">
        <v>0</v>
      </c>
      <c r="BJ45" s="9">
        <v>0</v>
      </c>
      <c r="BK45" s="9">
        <v>0</v>
      </c>
      <c r="BL45" s="9">
        <v>0</v>
      </c>
      <c r="BM45" s="9">
        <v>0</v>
      </c>
      <c r="BN45" s="9">
        <v>0</v>
      </c>
      <c r="BO45" s="9">
        <v>0</v>
      </c>
      <c r="BP45" s="9">
        <v>0</v>
      </c>
      <c r="BQ45" s="9">
        <v>0</v>
      </c>
      <c r="BR45" s="9">
        <v>0</v>
      </c>
      <c r="BS45" s="9">
        <v>0</v>
      </c>
      <c r="BT45" s="9">
        <v>0</v>
      </c>
      <c r="BU45" s="9">
        <v>0</v>
      </c>
      <c r="BV45" s="9">
        <v>0</v>
      </c>
      <c r="BW45" s="9">
        <v>0</v>
      </c>
      <c r="BX45" s="9">
        <v>0</v>
      </c>
      <c r="BY45" s="9">
        <v>0</v>
      </c>
      <c r="BZ45" s="9">
        <v>0</v>
      </c>
      <c r="CA45" s="9">
        <v>0</v>
      </c>
      <c r="CB45" s="9">
        <v>0</v>
      </c>
      <c r="CC45" s="9">
        <v>0</v>
      </c>
      <c r="CD45" s="9">
        <v>0</v>
      </c>
      <c r="CE45" s="9">
        <v>0</v>
      </c>
      <c r="CF45" s="9">
        <v>0</v>
      </c>
      <c r="CG45" s="9">
        <v>0</v>
      </c>
      <c r="CH45" s="9">
        <v>0</v>
      </c>
      <c r="CI45" s="9">
        <v>0</v>
      </c>
      <c r="CJ45" s="9">
        <v>0</v>
      </c>
      <c r="CK45" s="9">
        <v>0</v>
      </c>
      <c r="CL45" s="9">
        <v>0</v>
      </c>
      <c r="CM45" s="9">
        <v>0</v>
      </c>
      <c r="CN45" s="9">
        <v>0</v>
      </c>
      <c r="CO45" s="9">
        <v>0</v>
      </c>
      <c r="CP45" s="9">
        <v>0</v>
      </c>
      <c r="CQ45" s="9">
        <v>0</v>
      </c>
      <c r="CR45" s="9">
        <v>0</v>
      </c>
      <c r="CS45" s="9">
        <v>0</v>
      </c>
      <c r="CT45" s="9">
        <v>0</v>
      </c>
      <c r="CU45" s="9">
        <v>0</v>
      </c>
      <c r="CV45" s="9">
        <v>0</v>
      </c>
      <c r="CW45" s="9">
        <v>0</v>
      </c>
      <c r="CX45" s="9">
        <v>0</v>
      </c>
      <c r="CY45" s="9">
        <v>0</v>
      </c>
      <c r="CZ45" s="9">
        <v>0</v>
      </c>
      <c r="DA45" s="9">
        <v>0</v>
      </c>
      <c r="DB45" s="9">
        <v>0</v>
      </c>
      <c r="DC45" s="9">
        <v>0</v>
      </c>
      <c r="DD45" s="9">
        <v>0</v>
      </c>
      <c r="DE45" s="9">
        <v>0</v>
      </c>
      <c r="DF45" s="9">
        <v>0</v>
      </c>
      <c r="DG45" s="9">
        <v>0</v>
      </c>
      <c r="DH45" s="9">
        <v>0</v>
      </c>
      <c r="DI45" s="9">
        <v>0</v>
      </c>
      <c r="DJ45" s="9">
        <v>0</v>
      </c>
      <c r="DK45" s="9">
        <v>0</v>
      </c>
      <c r="DL45" s="9">
        <v>0</v>
      </c>
      <c r="DM45" s="9">
        <v>0</v>
      </c>
      <c r="DN45" s="9">
        <v>0</v>
      </c>
      <c r="DO45" s="9">
        <v>0</v>
      </c>
      <c r="DP45" s="9">
        <v>0</v>
      </c>
      <c r="DQ45" s="9">
        <v>0</v>
      </c>
      <c r="DR45" s="9">
        <v>0</v>
      </c>
      <c r="DS45" s="9">
        <v>0</v>
      </c>
      <c r="DT45" s="9">
        <v>0</v>
      </c>
      <c r="DU45" s="9">
        <v>0</v>
      </c>
      <c r="DV45" s="9">
        <v>0</v>
      </c>
      <c r="DW45" s="9">
        <v>0</v>
      </c>
      <c r="DX45" s="9">
        <v>0</v>
      </c>
      <c r="DY45" s="9">
        <v>0</v>
      </c>
      <c r="DZ45" s="9">
        <v>0</v>
      </c>
      <c r="EA45" s="9">
        <v>0</v>
      </c>
      <c r="EB45" s="9">
        <v>0</v>
      </c>
      <c r="EC45" s="9">
        <v>0</v>
      </c>
      <c r="ED45" s="9">
        <v>0</v>
      </c>
      <c r="EE45" s="9">
        <v>0</v>
      </c>
      <c r="EF45" s="9">
        <v>0</v>
      </c>
      <c r="EG45" s="9">
        <v>0</v>
      </c>
      <c r="EH45" s="9">
        <v>0</v>
      </c>
      <c r="EI45" s="9">
        <v>0</v>
      </c>
      <c r="EJ45" s="9">
        <v>0</v>
      </c>
      <c r="EK45" s="9">
        <v>0</v>
      </c>
      <c r="EL45" s="9">
        <v>0</v>
      </c>
      <c r="EM45" s="9">
        <v>0</v>
      </c>
      <c r="EN45" s="9">
        <v>0</v>
      </c>
      <c r="EO45" s="9">
        <v>0</v>
      </c>
      <c r="EP45" s="9">
        <v>0</v>
      </c>
      <c r="EQ45" s="9">
        <v>0</v>
      </c>
      <c r="ER45" s="9">
        <v>0</v>
      </c>
      <c r="ES45" s="9">
        <v>0</v>
      </c>
      <c r="ET45" s="9">
        <v>0</v>
      </c>
      <c r="EU45" s="9">
        <v>0</v>
      </c>
      <c r="EV45" s="9">
        <v>0</v>
      </c>
      <c r="EW45" s="9">
        <v>0</v>
      </c>
      <c r="EX45" s="9">
        <v>0</v>
      </c>
      <c r="EY45" s="9">
        <v>0</v>
      </c>
      <c r="EZ45" s="9">
        <v>0</v>
      </c>
      <c r="FA45" s="9">
        <v>0</v>
      </c>
      <c r="FB45" s="9">
        <v>0</v>
      </c>
      <c r="FC45" s="9">
        <v>0</v>
      </c>
      <c r="FD45" s="9">
        <v>0</v>
      </c>
      <c r="FE45" s="9">
        <v>0</v>
      </c>
      <c r="FF45" s="9">
        <v>0</v>
      </c>
      <c r="FG45" s="9">
        <v>0</v>
      </c>
      <c r="FH45" s="9">
        <v>0</v>
      </c>
      <c r="FI45" s="9">
        <v>0</v>
      </c>
      <c r="FJ45" s="9">
        <v>0</v>
      </c>
      <c r="FK45" s="9">
        <v>0</v>
      </c>
      <c r="FL45" s="9">
        <v>0</v>
      </c>
      <c r="FM45" s="10">
        <v>0</v>
      </c>
    </row>
    <row r="46" spans="1:169" x14ac:dyDescent="0.35">
      <c r="A46" s="8" t="s">
        <v>73</v>
      </c>
      <c r="B46" s="9" t="s">
        <v>84</v>
      </c>
      <c r="C46" s="10" t="s">
        <v>85</v>
      </c>
      <c r="D46" s="62">
        <f t="shared" si="97"/>
        <v>2</v>
      </c>
      <c r="E46" s="9">
        <v>0</v>
      </c>
      <c r="F46" s="9">
        <v>0</v>
      </c>
      <c r="G46" s="9">
        <v>0</v>
      </c>
      <c r="H46" s="9">
        <v>0</v>
      </c>
      <c r="I46" s="9">
        <v>0</v>
      </c>
      <c r="J46" s="9">
        <v>0</v>
      </c>
      <c r="K46" s="9">
        <v>0</v>
      </c>
      <c r="L46" s="9">
        <v>0</v>
      </c>
      <c r="M46" s="9">
        <v>0</v>
      </c>
      <c r="N46" s="9">
        <v>0</v>
      </c>
      <c r="O46" s="9">
        <v>0</v>
      </c>
      <c r="P46" s="9">
        <v>0</v>
      </c>
      <c r="Q46" s="9">
        <v>0</v>
      </c>
      <c r="R46" s="9">
        <v>0</v>
      </c>
      <c r="S46" s="9">
        <v>0</v>
      </c>
      <c r="T46" s="9">
        <v>0</v>
      </c>
      <c r="U46" s="9">
        <v>0</v>
      </c>
      <c r="V46" s="9">
        <v>0</v>
      </c>
      <c r="W46" s="9">
        <v>0</v>
      </c>
      <c r="X46" s="9">
        <v>0</v>
      </c>
      <c r="Y46" s="9">
        <v>1</v>
      </c>
      <c r="Z46" s="9">
        <v>1</v>
      </c>
      <c r="AA46" s="9">
        <v>1</v>
      </c>
      <c r="AB46" s="9">
        <v>1</v>
      </c>
      <c r="AC46" s="9">
        <v>1</v>
      </c>
      <c r="AD46" s="9">
        <v>1</v>
      </c>
      <c r="AE46" s="9">
        <v>1</v>
      </c>
      <c r="AF46" s="9">
        <v>1</v>
      </c>
      <c r="AG46" s="9">
        <v>1</v>
      </c>
      <c r="AH46" s="9">
        <v>1</v>
      </c>
      <c r="AI46" s="9">
        <v>1</v>
      </c>
      <c r="AJ46" s="9">
        <v>2</v>
      </c>
      <c r="AK46" s="9">
        <v>2</v>
      </c>
      <c r="AL46" s="9">
        <v>2</v>
      </c>
      <c r="AM46" s="9">
        <v>2</v>
      </c>
      <c r="AN46" s="9">
        <v>1</v>
      </c>
      <c r="AO46" s="9">
        <v>1</v>
      </c>
      <c r="AP46" s="9">
        <v>2</v>
      </c>
      <c r="AQ46" s="9">
        <v>2</v>
      </c>
      <c r="AR46" s="9">
        <v>1</v>
      </c>
      <c r="AS46" s="9">
        <v>0</v>
      </c>
      <c r="AT46" s="9">
        <v>1</v>
      </c>
      <c r="AU46" s="9">
        <v>1</v>
      </c>
      <c r="AV46" s="9">
        <v>1</v>
      </c>
      <c r="AW46" s="9">
        <v>1</v>
      </c>
      <c r="AX46" s="9">
        <v>2</v>
      </c>
      <c r="AY46" s="9">
        <v>2</v>
      </c>
      <c r="AZ46" s="9">
        <v>1</v>
      </c>
      <c r="BA46" s="9">
        <v>1</v>
      </c>
      <c r="BB46" s="9">
        <v>1</v>
      </c>
      <c r="BC46" s="9">
        <v>1</v>
      </c>
      <c r="BD46" s="9">
        <v>1</v>
      </c>
      <c r="BE46" s="9">
        <v>1</v>
      </c>
      <c r="BF46" s="9">
        <v>1</v>
      </c>
      <c r="BG46" s="9">
        <v>1</v>
      </c>
      <c r="BH46" s="9">
        <v>0</v>
      </c>
      <c r="BI46" s="9">
        <v>0</v>
      </c>
      <c r="BJ46" s="9">
        <v>0</v>
      </c>
      <c r="BK46" s="9">
        <v>0</v>
      </c>
      <c r="BL46" s="9">
        <v>0</v>
      </c>
      <c r="BM46" s="9">
        <v>0</v>
      </c>
      <c r="BN46" s="9">
        <v>0</v>
      </c>
      <c r="BO46" s="9">
        <v>0</v>
      </c>
      <c r="BP46" s="9">
        <v>0</v>
      </c>
      <c r="BQ46" s="9">
        <v>0</v>
      </c>
      <c r="BR46" s="9">
        <v>0</v>
      </c>
      <c r="BS46" s="9">
        <v>0</v>
      </c>
      <c r="BT46" s="9">
        <v>0</v>
      </c>
      <c r="BU46" s="9">
        <v>0</v>
      </c>
      <c r="BV46" s="9">
        <v>0</v>
      </c>
      <c r="BW46" s="9">
        <v>0</v>
      </c>
      <c r="BX46" s="9">
        <v>0</v>
      </c>
      <c r="BY46" s="9">
        <v>0</v>
      </c>
      <c r="BZ46" s="9">
        <v>0</v>
      </c>
      <c r="CA46" s="9">
        <v>0</v>
      </c>
      <c r="CB46" s="9">
        <v>0</v>
      </c>
      <c r="CC46" s="9">
        <v>0</v>
      </c>
      <c r="CD46" s="9">
        <v>0</v>
      </c>
      <c r="CE46" s="9">
        <v>0</v>
      </c>
      <c r="CF46" s="9">
        <v>0</v>
      </c>
      <c r="CG46" s="9">
        <v>0</v>
      </c>
      <c r="CH46" s="9">
        <v>0</v>
      </c>
      <c r="CI46" s="9">
        <v>0</v>
      </c>
      <c r="CJ46" s="9">
        <v>0</v>
      </c>
      <c r="CK46" s="9">
        <v>0</v>
      </c>
      <c r="CL46" s="9">
        <v>0</v>
      </c>
      <c r="CM46" s="9">
        <v>0</v>
      </c>
      <c r="CN46" s="9">
        <v>0</v>
      </c>
      <c r="CO46" s="9">
        <v>0</v>
      </c>
      <c r="CP46" s="9">
        <v>0</v>
      </c>
      <c r="CQ46" s="9">
        <v>0</v>
      </c>
      <c r="CR46" s="9">
        <v>0</v>
      </c>
      <c r="CS46" s="9">
        <v>0</v>
      </c>
      <c r="CT46" s="9">
        <v>0</v>
      </c>
      <c r="CU46" s="9">
        <v>0</v>
      </c>
      <c r="CV46" s="9">
        <v>0</v>
      </c>
      <c r="CW46" s="9">
        <v>0</v>
      </c>
      <c r="CX46" s="9">
        <v>0</v>
      </c>
      <c r="CY46" s="9">
        <v>0</v>
      </c>
      <c r="CZ46" s="9">
        <v>0</v>
      </c>
      <c r="DA46" s="9">
        <v>0</v>
      </c>
      <c r="DB46" s="9">
        <v>0</v>
      </c>
      <c r="DC46" s="9">
        <v>0</v>
      </c>
      <c r="DD46" s="9">
        <v>0</v>
      </c>
      <c r="DE46" s="9">
        <v>0</v>
      </c>
      <c r="DF46" s="9">
        <v>0</v>
      </c>
      <c r="DG46" s="9">
        <v>0</v>
      </c>
      <c r="DH46" s="9">
        <v>0</v>
      </c>
      <c r="DI46" s="9">
        <v>0</v>
      </c>
      <c r="DJ46" s="9">
        <v>0</v>
      </c>
      <c r="DK46" s="9">
        <v>0</v>
      </c>
      <c r="DL46" s="9">
        <v>0</v>
      </c>
      <c r="DM46" s="9">
        <v>0</v>
      </c>
      <c r="DN46" s="9">
        <v>0</v>
      </c>
      <c r="DO46" s="9">
        <v>0</v>
      </c>
      <c r="DP46" s="9">
        <v>0</v>
      </c>
      <c r="DQ46" s="9">
        <v>0</v>
      </c>
      <c r="DR46" s="9">
        <v>0</v>
      </c>
      <c r="DS46" s="9">
        <v>0</v>
      </c>
      <c r="DT46" s="9">
        <v>0</v>
      </c>
      <c r="DU46" s="9">
        <v>0</v>
      </c>
      <c r="DV46" s="9">
        <v>0</v>
      </c>
      <c r="DW46" s="9">
        <v>0</v>
      </c>
      <c r="DX46" s="9">
        <v>0</v>
      </c>
      <c r="DY46" s="9">
        <v>0</v>
      </c>
      <c r="DZ46" s="9">
        <v>0</v>
      </c>
      <c r="EA46" s="9">
        <v>0</v>
      </c>
      <c r="EB46" s="9">
        <v>0</v>
      </c>
      <c r="EC46" s="9">
        <v>0</v>
      </c>
      <c r="ED46" s="9">
        <v>0</v>
      </c>
      <c r="EE46" s="9">
        <v>0</v>
      </c>
      <c r="EF46" s="9">
        <v>0</v>
      </c>
      <c r="EG46" s="9">
        <v>0</v>
      </c>
      <c r="EH46" s="9">
        <v>0</v>
      </c>
      <c r="EI46" s="9">
        <v>0</v>
      </c>
      <c r="EJ46" s="9">
        <v>0</v>
      </c>
      <c r="EK46" s="9">
        <v>0</v>
      </c>
      <c r="EL46" s="9">
        <v>0</v>
      </c>
      <c r="EM46" s="9">
        <v>0</v>
      </c>
      <c r="EN46" s="9">
        <v>0</v>
      </c>
      <c r="EO46" s="9">
        <v>0</v>
      </c>
      <c r="EP46" s="9">
        <v>0</v>
      </c>
      <c r="EQ46" s="9">
        <v>0</v>
      </c>
      <c r="ER46" s="9">
        <v>0</v>
      </c>
      <c r="ES46" s="9">
        <v>0</v>
      </c>
      <c r="ET46" s="9">
        <v>0</v>
      </c>
      <c r="EU46" s="9">
        <v>0</v>
      </c>
      <c r="EV46" s="9">
        <v>0</v>
      </c>
      <c r="EW46" s="9">
        <v>0</v>
      </c>
      <c r="EX46" s="9">
        <v>0</v>
      </c>
      <c r="EY46" s="9">
        <v>0</v>
      </c>
      <c r="EZ46" s="9">
        <v>0</v>
      </c>
      <c r="FA46" s="9">
        <v>0</v>
      </c>
      <c r="FB46" s="9">
        <v>0</v>
      </c>
      <c r="FC46" s="9">
        <v>0</v>
      </c>
      <c r="FD46" s="9">
        <v>0</v>
      </c>
      <c r="FE46" s="9">
        <v>0</v>
      </c>
      <c r="FF46" s="9">
        <v>0</v>
      </c>
      <c r="FG46" s="9">
        <v>0</v>
      </c>
      <c r="FH46" s="9">
        <v>0</v>
      </c>
      <c r="FI46" s="9">
        <v>0</v>
      </c>
      <c r="FJ46" s="9">
        <v>0</v>
      </c>
      <c r="FK46" s="9">
        <v>0</v>
      </c>
      <c r="FL46" s="9">
        <v>0</v>
      </c>
      <c r="FM46" s="10">
        <v>0</v>
      </c>
    </row>
    <row r="47" spans="1:169" x14ac:dyDescent="0.35">
      <c r="A47" s="8" t="s">
        <v>73</v>
      </c>
      <c r="B47" s="9" t="s">
        <v>7</v>
      </c>
      <c r="C47" s="10" t="s">
        <v>8</v>
      </c>
      <c r="D47" s="62">
        <f t="shared" si="97"/>
        <v>1</v>
      </c>
      <c r="E47" s="9">
        <v>0</v>
      </c>
      <c r="F47" s="9">
        <v>0</v>
      </c>
      <c r="G47" s="9">
        <v>0</v>
      </c>
      <c r="H47" s="9">
        <v>0</v>
      </c>
      <c r="I47" s="9">
        <v>0</v>
      </c>
      <c r="J47" s="9">
        <v>0</v>
      </c>
      <c r="K47" s="9">
        <v>0</v>
      </c>
      <c r="L47" s="9">
        <v>0</v>
      </c>
      <c r="M47" s="9">
        <v>0</v>
      </c>
      <c r="N47" s="9">
        <v>0</v>
      </c>
      <c r="O47" s="9">
        <v>0</v>
      </c>
      <c r="P47" s="9">
        <v>0</v>
      </c>
      <c r="Q47" s="9">
        <v>0</v>
      </c>
      <c r="R47" s="9">
        <v>0</v>
      </c>
      <c r="S47" s="9">
        <v>0</v>
      </c>
      <c r="T47" s="9">
        <v>0</v>
      </c>
      <c r="U47" s="9">
        <v>0</v>
      </c>
      <c r="V47" s="9">
        <v>0</v>
      </c>
      <c r="W47" s="9">
        <v>0</v>
      </c>
      <c r="X47" s="9">
        <v>0</v>
      </c>
      <c r="Y47" s="9">
        <v>0</v>
      </c>
      <c r="Z47" s="9">
        <v>0</v>
      </c>
      <c r="AA47" s="9">
        <v>0</v>
      </c>
      <c r="AB47" s="9">
        <v>0</v>
      </c>
      <c r="AC47" s="9">
        <v>0</v>
      </c>
      <c r="AD47" s="9">
        <v>0</v>
      </c>
      <c r="AE47" s="9">
        <v>0</v>
      </c>
      <c r="AF47" s="9">
        <v>0</v>
      </c>
      <c r="AG47" s="9">
        <v>0</v>
      </c>
      <c r="AH47" s="9">
        <v>0</v>
      </c>
      <c r="AI47" s="9">
        <v>0</v>
      </c>
      <c r="AJ47" s="9">
        <v>0</v>
      </c>
      <c r="AK47" s="9">
        <v>0</v>
      </c>
      <c r="AL47" s="9">
        <v>0</v>
      </c>
      <c r="AM47" s="9">
        <v>0</v>
      </c>
      <c r="AN47" s="9">
        <v>0</v>
      </c>
      <c r="AO47" s="9">
        <v>0</v>
      </c>
      <c r="AP47" s="9">
        <v>0</v>
      </c>
      <c r="AQ47" s="9">
        <v>0</v>
      </c>
      <c r="AR47" s="9">
        <v>0</v>
      </c>
      <c r="AS47" s="9">
        <v>0</v>
      </c>
      <c r="AT47" s="9">
        <v>0</v>
      </c>
      <c r="AU47" s="9">
        <v>0</v>
      </c>
      <c r="AV47" s="9">
        <v>0</v>
      </c>
      <c r="AW47" s="9">
        <v>0</v>
      </c>
      <c r="AX47" s="9">
        <v>0</v>
      </c>
      <c r="AY47" s="9">
        <v>0</v>
      </c>
      <c r="AZ47" s="9">
        <v>0</v>
      </c>
      <c r="BA47" s="9">
        <v>0</v>
      </c>
      <c r="BB47" s="9">
        <v>0</v>
      </c>
      <c r="BC47" s="9">
        <v>0</v>
      </c>
      <c r="BD47" s="9">
        <v>0</v>
      </c>
      <c r="BE47" s="9">
        <v>0</v>
      </c>
      <c r="BF47" s="9">
        <v>0</v>
      </c>
      <c r="BG47" s="9">
        <v>0</v>
      </c>
      <c r="BH47" s="9">
        <v>0</v>
      </c>
      <c r="BI47" s="9">
        <v>0</v>
      </c>
      <c r="BJ47" s="9">
        <v>0</v>
      </c>
      <c r="BK47" s="9">
        <v>0</v>
      </c>
      <c r="BL47" s="9">
        <v>0</v>
      </c>
      <c r="BM47" s="9">
        <v>0</v>
      </c>
      <c r="BN47" s="9">
        <v>0</v>
      </c>
      <c r="BO47" s="9">
        <v>0</v>
      </c>
      <c r="BP47" s="9">
        <v>0</v>
      </c>
      <c r="BQ47" s="9">
        <v>0</v>
      </c>
      <c r="BR47" s="9">
        <v>0</v>
      </c>
      <c r="BS47" s="9">
        <v>0</v>
      </c>
      <c r="BT47" s="9">
        <v>0</v>
      </c>
      <c r="BU47" s="9">
        <v>0</v>
      </c>
      <c r="BV47" s="9">
        <v>0</v>
      </c>
      <c r="BW47" s="9">
        <v>0</v>
      </c>
      <c r="BX47" s="9">
        <v>0</v>
      </c>
      <c r="BY47" s="9">
        <v>0</v>
      </c>
      <c r="BZ47" s="9">
        <v>0</v>
      </c>
      <c r="CA47" s="9">
        <v>0</v>
      </c>
      <c r="CB47" s="9">
        <v>0</v>
      </c>
      <c r="CC47" s="9">
        <v>0</v>
      </c>
      <c r="CD47" s="9">
        <v>0</v>
      </c>
      <c r="CE47" s="9">
        <v>0</v>
      </c>
      <c r="CF47" s="9">
        <v>0</v>
      </c>
      <c r="CG47" s="9">
        <v>0</v>
      </c>
      <c r="CH47" s="9">
        <v>1</v>
      </c>
      <c r="CI47" s="9">
        <v>0</v>
      </c>
      <c r="CJ47" s="9">
        <v>0</v>
      </c>
      <c r="CK47" s="9">
        <v>0</v>
      </c>
      <c r="CL47" s="9">
        <v>0</v>
      </c>
      <c r="CM47" s="9">
        <v>0</v>
      </c>
      <c r="CN47" s="9">
        <v>0</v>
      </c>
      <c r="CO47" s="9">
        <v>0</v>
      </c>
      <c r="CP47" s="9">
        <v>0</v>
      </c>
      <c r="CQ47" s="9">
        <v>0</v>
      </c>
      <c r="CR47" s="9">
        <v>0</v>
      </c>
      <c r="CS47" s="9">
        <v>0</v>
      </c>
      <c r="CT47" s="9">
        <v>0</v>
      </c>
      <c r="CU47" s="9">
        <v>0</v>
      </c>
      <c r="CV47" s="9">
        <v>0</v>
      </c>
      <c r="CW47" s="9">
        <v>0</v>
      </c>
      <c r="CX47" s="9">
        <v>0</v>
      </c>
      <c r="CY47" s="9">
        <v>0</v>
      </c>
      <c r="CZ47" s="9">
        <v>0</v>
      </c>
      <c r="DA47" s="9">
        <v>0</v>
      </c>
      <c r="DB47" s="9">
        <v>0</v>
      </c>
      <c r="DC47" s="9">
        <v>0</v>
      </c>
      <c r="DD47" s="9">
        <v>0</v>
      </c>
      <c r="DE47" s="9">
        <v>0</v>
      </c>
      <c r="DF47" s="9">
        <v>0</v>
      </c>
      <c r="DG47" s="9">
        <v>0</v>
      </c>
      <c r="DH47" s="9">
        <v>0</v>
      </c>
      <c r="DI47" s="9">
        <v>0</v>
      </c>
      <c r="DJ47" s="9">
        <v>0</v>
      </c>
      <c r="DK47" s="9">
        <v>0</v>
      </c>
      <c r="DL47" s="9">
        <v>0</v>
      </c>
      <c r="DM47" s="9">
        <v>0</v>
      </c>
      <c r="DN47" s="9">
        <v>0</v>
      </c>
      <c r="DO47" s="9">
        <v>0</v>
      </c>
      <c r="DP47" s="9">
        <v>0</v>
      </c>
      <c r="DQ47" s="9">
        <v>0</v>
      </c>
      <c r="DR47" s="9">
        <v>0</v>
      </c>
      <c r="DS47" s="9">
        <v>0</v>
      </c>
      <c r="DT47" s="9">
        <v>0</v>
      </c>
      <c r="DU47" s="9">
        <v>0</v>
      </c>
      <c r="DV47" s="9">
        <v>0</v>
      </c>
      <c r="DW47" s="9">
        <v>0</v>
      </c>
      <c r="DX47" s="9">
        <v>0</v>
      </c>
      <c r="DY47" s="9">
        <v>0</v>
      </c>
      <c r="DZ47" s="9">
        <v>0</v>
      </c>
      <c r="EA47" s="9">
        <v>0</v>
      </c>
      <c r="EB47" s="9">
        <v>0</v>
      </c>
      <c r="EC47" s="9">
        <v>0</v>
      </c>
      <c r="ED47" s="9">
        <v>0</v>
      </c>
      <c r="EE47" s="9">
        <v>0</v>
      </c>
      <c r="EF47" s="9">
        <v>0</v>
      </c>
      <c r="EG47" s="9">
        <v>0</v>
      </c>
      <c r="EH47" s="9">
        <v>0</v>
      </c>
      <c r="EI47" s="9">
        <v>0</v>
      </c>
      <c r="EJ47" s="9">
        <v>0</v>
      </c>
      <c r="EK47" s="9">
        <v>0</v>
      </c>
      <c r="EL47" s="9">
        <v>0</v>
      </c>
      <c r="EM47" s="9">
        <v>0</v>
      </c>
      <c r="EN47" s="9">
        <v>0</v>
      </c>
      <c r="EO47" s="9">
        <v>0</v>
      </c>
      <c r="EP47" s="9">
        <v>0</v>
      </c>
      <c r="EQ47" s="9">
        <v>0</v>
      </c>
      <c r="ER47" s="9">
        <v>0</v>
      </c>
      <c r="ES47" s="9">
        <v>0</v>
      </c>
      <c r="ET47" s="9">
        <v>0</v>
      </c>
      <c r="EU47" s="9">
        <v>0</v>
      </c>
      <c r="EV47" s="9">
        <v>0</v>
      </c>
      <c r="EW47" s="9">
        <v>0</v>
      </c>
      <c r="EX47" s="9">
        <v>0</v>
      </c>
      <c r="EY47" s="9">
        <v>0</v>
      </c>
      <c r="EZ47" s="9">
        <v>0</v>
      </c>
      <c r="FA47" s="9">
        <v>0</v>
      </c>
      <c r="FB47" s="9">
        <v>0</v>
      </c>
      <c r="FC47" s="9">
        <v>0</v>
      </c>
      <c r="FD47" s="9">
        <v>0</v>
      </c>
      <c r="FE47" s="9">
        <v>0</v>
      </c>
      <c r="FF47" s="9">
        <v>0</v>
      </c>
      <c r="FG47" s="9">
        <v>0</v>
      </c>
      <c r="FH47" s="9">
        <v>0</v>
      </c>
      <c r="FI47" s="9">
        <v>0</v>
      </c>
      <c r="FJ47" s="9">
        <v>0</v>
      </c>
      <c r="FK47" s="9">
        <v>0</v>
      </c>
      <c r="FL47" s="9">
        <v>0</v>
      </c>
      <c r="FM47" s="10">
        <v>0</v>
      </c>
    </row>
    <row r="48" spans="1:169" x14ac:dyDescent="0.35">
      <c r="A48" s="8" t="s">
        <v>73</v>
      </c>
      <c r="B48" s="9" t="s">
        <v>86</v>
      </c>
      <c r="C48" s="10" t="s">
        <v>87</v>
      </c>
      <c r="D48" s="62">
        <f t="shared" si="97"/>
        <v>0</v>
      </c>
      <c r="E48" s="9">
        <v>0</v>
      </c>
      <c r="F48" s="9">
        <v>0</v>
      </c>
      <c r="G48" s="9">
        <v>0</v>
      </c>
      <c r="H48" s="9">
        <v>0</v>
      </c>
      <c r="I48" s="9">
        <v>0</v>
      </c>
      <c r="J48" s="9">
        <v>0</v>
      </c>
      <c r="K48" s="9">
        <v>0</v>
      </c>
      <c r="L48" s="9">
        <v>0</v>
      </c>
      <c r="M48" s="9">
        <v>0</v>
      </c>
      <c r="N48" s="9">
        <v>0</v>
      </c>
      <c r="O48" s="9">
        <v>0</v>
      </c>
      <c r="P48" s="9">
        <v>0</v>
      </c>
      <c r="Q48" s="9">
        <v>0</v>
      </c>
      <c r="R48" s="9">
        <v>0</v>
      </c>
      <c r="S48" s="9">
        <v>0</v>
      </c>
      <c r="T48" s="9">
        <v>0</v>
      </c>
      <c r="U48" s="9">
        <v>0</v>
      </c>
      <c r="V48" s="9">
        <v>0</v>
      </c>
      <c r="W48" s="9">
        <v>0</v>
      </c>
      <c r="X48" s="9">
        <v>0</v>
      </c>
      <c r="Y48" s="9">
        <v>0</v>
      </c>
      <c r="Z48" s="9">
        <v>0</v>
      </c>
      <c r="AA48" s="9">
        <v>0</v>
      </c>
      <c r="AB48" s="9">
        <v>0</v>
      </c>
      <c r="AC48" s="9">
        <v>0</v>
      </c>
      <c r="AD48" s="9">
        <v>0</v>
      </c>
      <c r="AE48" s="9">
        <v>0</v>
      </c>
      <c r="AF48" s="9">
        <v>0</v>
      </c>
      <c r="AG48" s="9">
        <v>0</v>
      </c>
      <c r="AH48" s="9">
        <v>0</v>
      </c>
      <c r="AI48" s="9">
        <v>0</v>
      </c>
      <c r="AJ48" s="9">
        <v>0</v>
      </c>
      <c r="AK48" s="9">
        <v>0</v>
      </c>
      <c r="AL48" s="9">
        <v>0</v>
      </c>
      <c r="AM48" s="9">
        <v>0</v>
      </c>
      <c r="AN48" s="9">
        <v>0</v>
      </c>
      <c r="AO48" s="9">
        <v>0</v>
      </c>
      <c r="AP48" s="9">
        <v>0</v>
      </c>
      <c r="AQ48" s="9">
        <v>0</v>
      </c>
      <c r="AR48" s="9">
        <v>0</v>
      </c>
      <c r="AS48" s="9">
        <v>0</v>
      </c>
      <c r="AT48" s="9">
        <v>0</v>
      </c>
      <c r="AU48" s="9">
        <v>0</v>
      </c>
      <c r="AV48" s="9">
        <v>0</v>
      </c>
      <c r="AW48" s="9">
        <v>0</v>
      </c>
      <c r="AX48" s="9">
        <v>0</v>
      </c>
      <c r="AY48" s="9">
        <v>0</v>
      </c>
      <c r="AZ48" s="9">
        <v>0</v>
      </c>
      <c r="BA48" s="9">
        <v>0</v>
      </c>
      <c r="BB48" s="9">
        <v>0</v>
      </c>
      <c r="BC48" s="9">
        <v>0</v>
      </c>
      <c r="BD48" s="9">
        <v>0</v>
      </c>
      <c r="BE48" s="9">
        <v>0</v>
      </c>
      <c r="BF48" s="9">
        <v>0</v>
      </c>
      <c r="BG48" s="9">
        <v>0</v>
      </c>
      <c r="BH48" s="9">
        <v>0</v>
      </c>
      <c r="BI48" s="9">
        <v>0</v>
      </c>
      <c r="BJ48" s="9">
        <v>0</v>
      </c>
      <c r="BK48" s="9">
        <v>0</v>
      </c>
      <c r="BL48" s="9">
        <v>0</v>
      </c>
      <c r="BM48" s="9">
        <v>0</v>
      </c>
      <c r="BN48" s="9">
        <v>0</v>
      </c>
      <c r="BO48" s="9">
        <v>0</v>
      </c>
      <c r="BP48" s="9">
        <v>0</v>
      </c>
      <c r="BQ48" s="9">
        <v>0</v>
      </c>
      <c r="BR48" s="9">
        <v>0</v>
      </c>
      <c r="BS48" s="9">
        <v>0</v>
      </c>
      <c r="BT48" s="9">
        <v>0</v>
      </c>
      <c r="BU48" s="9">
        <v>0</v>
      </c>
      <c r="BV48" s="9">
        <v>0</v>
      </c>
      <c r="BW48" s="9">
        <v>0</v>
      </c>
      <c r="BX48" s="9">
        <v>0</v>
      </c>
      <c r="BY48" s="9">
        <v>0</v>
      </c>
      <c r="BZ48" s="9">
        <v>0</v>
      </c>
      <c r="CA48" s="9">
        <v>0</v>
      </c>
      <c r="CB48" s="9">
        <v>0</v>
      </c>
      <c r="CC48" s="9">
        <v>0</v>
      </c>
      <c r="CD48" s="9">
        <v>0</v>
      </c>
      <c r="CE48" s="9">
        <v>0</v>
      </c>
      <c r="CF48" s="9">
        <v>0</v>
      </c>
      <c r="CG48" s="9">
        <v>0</v>
      </c>
      <c r="CH48" s="9">
        <v>0</v>
      </c>
      <c r="CI48" s="9">
        <v>0</v>
      </c>
      <c r="CJ48" s="9">
        <v>0</v>
      </c>
      <c r="CK48" s="9">
        <v>0</v>
      </c>
      <c r="CL48" s="9">
        <v>0</v>
      </c>
      <c r="CM48" s="9">
        <v>0</v>
      </c>
      <c r="CN48" s="9">
        <v>0</v>
      </c>
      <c r="CO48" s="9">
        <v>0</v>
      </c>
      <c r="CP48" s="9">
        <v>0</v>
      </c>
      <c r="CQ48" s="9">
        <v>0</v>
      </c>
      <c r="CR48" s="9">
        <v>0</v>
      </c>
      <c r="CS48" s="9">
        <v>0</v>
      </c>
      <c r="CT48" s="9">
        <v>0</v>
      </c>
      <c r="CU48" s="9">
        <v>0</v>
      </c>
      <c r="CV48" s="9">
        <v>0</v>
      </c>
      <c r="CW48" s="9">
        <v>0</v>
      </c>
      <c r="CX48" s="9">
        <v>0</v>
      </c>
      <c r="CY48" s="9">
        <v>0</v>
      </c>
      <c r="CZ48" s="9">
        <v>0</v>
      </c>
      <c r="DA48" s="9">
        <v>0</v>
      </c>
      <c r="DB48" s="9">
        <v>0</v>
      </c>
      <c r="DC48" s="9">
        <v>0</v>
      </c>
      <c r="DD48" s="9">
        <v>0</v>
      </c>
      <c r="DE48" s="9">
        <v>0</v>
      </c>
      <c r="DF48" s="9">
        <v>0</v>
      </c>
      <c r="DG48" s="9">
        <v>0</v>
      </c>
      <c r="DH48" s="9">
        <v>0</v>
      </c>
      <c r="DI48" s="9">
        <v>0</v>
      </c>
      <c r="DJ48" s="9">
        <v>0</v>
      </c>
      <c r="DK48" s="9">
        <v>0</v>
      </c>
      <c r="DL48" s="9">
        <v>0</v>
      </c>
      <c r="DM48" s="9">
        <v>0</v>
      </c>
      <c r="DN48" s="9">
        <v>0</v>
      </c>
      <c r="DO48" s="9">
        <v>0</v>
      </c>
      <c r="DP48" s="9">
        <v>0</v>
      </c>
      <c r="DQ48" s="9">
        <v>0</v>
      </c>
      <c r="DR48" s="9">
        <v>0</v>
      </c>
      <c r="DS48" s="9">
        <v>0</v>
      </c>
      <c r="DT48" s="9">
        <v>0</v>
      </c>
      <c r="DU48" s="9">
        <v>0</v>
      </c>
      <c r="DV48" s="9">
        <v>0</v>
      </c>
      <c r="DW48" s="9">
        <v>0</v>
      </c>
      <c r="DX48" s="9">
        <v>0</v>
      </c>
      <c r="DY48" s="9">
        <v>0</v>
      </c>
      <c r="DZ48" s="9">
        <v>0</v>
      </c>
      <c r="EA48" s="9">
        <v>0</v>
      </c>
      <c r="EB48" s="9">
        <v>0</v>
      </c>
      <c r="EC48" s="9">
        <v>0</v>
      </c>
      <c r="ED48" s="9">
        <v>0</v>
      </c>
      <c r="EE48" s="9">
        <v>0</v>
      </c>
      <c r="EF48" s="9">
        <v>0</v>
      </c>
      <c r="EG48" s="9">
        <v>0</v>
      </c>
      <c r="EH48" s="9">
        <v>0</v>
      </c>
      <c r="EI48" s="9">
        <v>0</v>
      </c>
      <c r="EJ48" s="9">
        <v>0</v>
      </c>
      <c r="EK48" s="9">
        <v>0</v>
      </c>
      <c r="EL48" s="9">
        <v>0</v>
      </c>
      <c r="EM48" s="9">
        <v>0</v>
      </c>
      <c r="EN48" s="9">
        <v>0</v>
      </c>
      <c r="EO48" s="9">
        <v>0</v>
      </c>
      <c r="EP48" s="9">
        <v>0</v>
      </c>
      <c r="EQ48" s="9">
        <v>0</v>
      </c>
      <c r="ER48" s="9">
        <v>0</v>
      </c>
      <c r="ES48" s="9">
        <v>0</v>
      </c>
      <c r="ET48" s="9">
        <v>0</v>
      </c>
      <c r="EU48" s="9">
        <v>0</v>
      </c>
      <c r="EV48" s="9">
        <v>0</v>
      </c>
      <c r="EW48" s="9">
        <v>0</v>
      </c>
      <c r="EX48" s="9">
        <v>0</v>
      </c>
      <c r="EY48" s="9">
        <v>0</v>
      </c>
      <c r="EZ48" s="9">
        <v>0</v>
      </c>
      <c r="FA48" s="9">
        <v>0</v>
      </c>
      <c r="FB48" s="9">
        <v>0</v>
      </c>
      <c r="FC48" s="9">
        <v>0</v>
      </c>
      <c r="FD48" s="9">
        <v>0</v>
      </c>
      <c r="FE48" s="9">
        <v>0</v>
      </c>
      <c r="FF48" s="9">
        <v>0</v>
      </c>
      <c r="FG48" s="9">
        <v>0</v>
      </c>
      <c r="FH48" s="9">
        <v>0</v>
      </c>
      <c r="FI48" s="9">
        <v>0</v>
      </c>
      <c r="FJ48" s="9">
        <v>0</v>
      </c>
      <c r="FK48" s="9">
        <v>0</v>
      </c>
      <c r="FL48" s="9">
        <v>0</v>
      </c>
      <c r="FM48" s="10">
        <v>0</v>
      </c>
    </row>
    <row r="49" spans="1:169" x14ac:dyDescent="0.35">
      <c r="A49" s="8" t="s">
        <v>73</v>
      </c>
      <c r="B49" s="9" t="s">
        <v>88</v>
      </c>
      <c r="C49" s="10" t="s">
        <v>89</v>
      </c>
      <c r="D49" s="62">
        <f t="shared" si="97"/>
        <v>0</v>
      </c>
      <c r="E49" s="9">
        <v>0</v>
      </c>
      <c r="F49" s="9">
        <v>0</v>
      </c>
      <c r="G49" s="9">
        <v>0</v>
      </c>
      <c r="H49" s="9">
        <v>0</v>
      </c>
      <c r="I49" s="9">
        <v>0</v>
      </c>
      <c r="J49" s="9">
        <v>0</v>
      </c>
      <c r="K49" s="9">
        <v>0</v>
      </c>
      <c r="L49" s="9">
        <v>0</v>
      </c>
      <c r="M49" s="9">
        <v>0</v>
      </c>
      <c r="N49" s="9">
        <v>0</v>
      </c>
      <c r="O49" s="9">
        <v>0</v>
      </c>
      <c r="P49" s="9">
        <v>0</v>
      </c>
      <c r="Q49" s="9">
        <v>0</v>
      </c>
      <c r="R49" s="9">
        <v>0</v>
      </c>
      <c r="S49" s="9">
        <v>0</v>
      </c>
      <c r="T49" s="9">
        <v>0</v>
      </c>
      <c r="U49" s="9">
        <v>0</v>
      </c>
      <c r="V49" s="9">
        <v>0</v>
      </c>
      <c r="W49" s="9">
        <v>0</v>
      </c>
      <c r="X49" s="9">
        <v>0</v>
      </c>
      <c r="Y49" s="9">
        <v>0</v>
      </c>
      <c r="Z49" s="9">
        <v>0</v>
      </c>
      <c r="AA49" s="9">
        <v>0</v>
      </c>
      <c r="AB49" s="9">
        <v>0</v>
      </c>
      <c r="AC49" s="9">
        <v>0</v>
      </c>
      <c r="AD49" s="9">
        <v>0</v>
      </c>
      <c r="AE49" s="9">
        <v>0</v>
      </c>
      <c r="AF49" s="9">
        <v>0</v>
      </c>
      <c r="AG49" s="9">
        <v>0</v>
      </c>
      <c r="AH49" s="9">
        <v>0</v>
      </c>
      <c r="AI49" s="9">
        <v>0</v>
      </c>
      <c r="AJ49" s="9">
        <v>0</v>
      </c>
      <c r="AK49" s="9">
        <v>0</v>
      </c>
      <c r="AL49" s="9">
        <v>0</v>
      </c>
      <c r="AM49" s="9">
        <v>0</v>
      </c>
      <c r="AN49" s="9">
        <v>0</v>
      </c>
      <c r="AO49" s="9">
        <v>0</v>
      </c>
      <c r="AP49" s="9">
        <v>0</v>
      </c>
      <c r="AQ49" s="9">
        <v>0</v>
      </c>
      <c r="AR49" s="9">
        <v>0</v>
      </c>
      <c r="AS49" s="9">
        <v>0</v>
      </c>
      <c r="AT49" s="9">
        <v>0</v>
      </c>
      <c r="AU49" s="9">
        <v>0</v>
      </c>
      <c r="AV49" s="9">
        <v>0</v>
      </c>
      <c r="AW49" s="9">
        <v>0</v>
      </c>
      <c r="AX49" s="9">
        <v>0</v>
      </c>
      <c r="AY49" s="9">
        <v>0</v>
      </c>
      <c r="AZ49" s="9">
        <v>0</v>
      </c>
      <c r="BA49" s="9">
        <v>0</v>
      </c>
      <c r="BB49" s="9">
        <v>0</v>
      </c>
      <c r="BC49" s="9">
        <v>0</v>
      </c>
      <c r="BD49" s="9">
        <v>0</v>
      </c>
      <c r="BE49" s="9">
        <v>0</v>
      </c>
      <c r="BF49" s="9">
        <v>0</v>
      </c>
      <c r="BG49" s="9">
        <v>0</v>
      </c>
      <c r="BH49" s="9">
        <v>0</v>
      </c>
      <c r="BI49" s="9">
        <v>0</v>
      </c>
      <c r="BJ49" s="9">
        <v>0</v>
      </c>
      <c r="BK49" s="9">
        <v>0</v>
      </c>
      <c r="BL49" s="9">
        <v>0</v>
      </c>
      <c r="BM49" s="9">
        <v>0</v>
      </c>
      <c r="BN49" s="9">
        <v>0</v>
      </c>
      <c r="BO49" s="9">
        <v>0</v>
      </c>
      <c r="BP49" s="9">
        <v>0</v>
      </c>
      <c r="BQ49" s="9">
        <v>0</v>
      </c>
      <c r="BR49" s="9">
        <v>0</v>
      </c>
      <c r="BS49" s="9">
        <v>0</v>
      </c>
      <c r="BT49" s="9">
        <v>0</v>
      </c>
      <c r="BU49" s="9">
        <v>0</v>
      </c>
      <c r="BV49" s="9">
        <v>0</v>
      </c>
      <c r="BW49" s="9">
        <v>0</v>
      </c>
      <c r="BX49" s="9">
        <v>0</v>
      </c>
      <c r="BY49" s="9">
        <v>0</v>
      </c>
      <c r="BZ49" s="9">
        <v>0</v>
      </c>
      <c r="CA49" s="9">
        <v>0</v>
      </c>
      <c r="CB49" s="9">
        <v>0</v>
      </c>
      <c r="CC49" s="9">
        <v>0</v>
      </c>
      <c r="CD49" s="9">
        <v>0</v>
      </c>
      <c r="CE49" s="9">
        <v>0</v>
      </c>
      <c r="CF49" s="9">
        <v>0</v>
      </c>
      <c r="CG49" s="9">
        <v>0</v>
      </c>
      <c r="CH49" s="9">
        <v>0</v>
      </c>
      <c r="CI49" s="9">
        <v>0</v>
      </c>
      <c r="CJ49" s="9">
        <v>0</v>
      </c>
      <c r="CK49" s="9">
        <v>0</v>
      </c>
      <c r="CL49" s="9">
        <v>0</v>
      </c>
      <c r="CM49" s="9">
        <v>0</v>
      </c>
      <c r="CN49" s="9">
        <v>0</v>
      </c>
      <c r="CO49" s="9">
        <v>0</v>
      </c>
      <c r="CP49" s="9">
        <v>0</v>
      </c>
      <c r="CQ49" s="9">
        <v>0</v>
      </c>
      <c r="CR49" s="9">
        <v>0</v>
      </c>
      <c r="CS49" s="9">
        <v>0</v>
      </c>
      <c r="CT49" s="9">
        <v>0</v>
      </c>
      <c r="CU49" s="9">
        <v>0</v>
      </c>
      <c r="CV49" s="9">
        <v>0</v>
      </c>
      <c r="CW49" s="9">
        <v>0</v>
      </c>
      <c r="CX49" s="9">
        <v>0</v>
      </c>
      <c r="CY49" s="9">
        <v>0</v>
      </c>
      <c r="CZ49" s="9">
        <v>0</v>
      </c>
      <c r="DA49" s="9">
        <v>0</v>
      </c>
      <c r="DB49" s="9">
        <v>0</v>
      </c>
      <c r="DC49" s="9">
        <v>0</v>
      </c>
      <c r="DD49" s="9">
        <v>0</v>
      </c>
      <c r="DE49" s="9">
        <v>0</v>
      </c>
      <c r="DF49" s="9">
        <v>0</v>
      </c>
      <c r="DG49" s="9">
        <v>0</v>
      </c>
      <c r="DH49" s="9">
        <v>0</v>
      </c>
      <c r="DI49" s="9">
        <v>0</v>
      </c>
      <c r="DJ49" s="9">
        <v>0</v>
      </c>
      <c r="DK49" s="9">
        <v>0</v>
      </c>
      <c r="DL49" s="9">
        <v>0</v>
      </c>
      <c r="DM49" s="9">
        <v>0</v>
      </c>
      <c r="DN49" s="9">
        <v>0</v>
      </c>
      <c r="DO49" s="9">
        <v>0</v>
      </c>
      <c r="DP49" s="9">
        <v>0</v>
      </c>
      <c r="DQ49" s="9">
        <v>0</v>
      </c>
      <c r="DR49" s="9">
        <v>0</v>
      </c>
      <c r="DS49" s="9">
        <v>0</v>
      </c>
      <c r="DT49" s="9">
        <v>0</v>
      </c>
      <c r="DU49" s="9">
        <v>0</v>
      </c>
      <c r="DV49" s="9">
        <v>0</v>
      </c>
      <c r="DW49" s="9">
        <v>0</v>
      </c>
      <c r="DX49" s="9">
        <v>0</v>
      </c>
      <c r="DY49" s="9">
        <v>0</v>
      </c>
      <c r="DZ49" s="9">
        <v>0</v>
      </c>
      <c r="EA49" s="9">
        <v>0</v>
      </c>
      <c r="EB49" s="9">
        <v>0</v>
      </c>
      <c r="EC49" s="9">
        <v>0</v>
      </c>
      <c r="ED49" s="9">
        <v>0</v>
      </c>
      <c r="EE49" s="9">
        <v>0</v>
      </c>
      <c r="EF49" s="9">
        <v>0</v>
      </c>
      <c r="EG49" s="9">
        <v>0</v>
      </c>
      <c r="EH49" s="9">
        <v>0</v>
      </c>
      <c r="EI49" s="9">
        <v>0</v>
      </c>
      <c r="EJ49" s="9">
        <v>0</v>
      </c>
      <c r="EK49" s="9">
        <v>0</v>
      </c>
      <c r="EL49" s="9">
        <v>0</v>
      </c>
      <c r="EM49" s="9">
        <v>0</v>
      </c>
      <c r="EN49" s="9">
        <v>0</v>
      </c>
      <c r="EO49" s="9">
        <v>0</v>
      </c>
      <c r="EP49" s="9">
        <v>0</v>
      </c>
      <c r="EQ49" s="9">
        <v>0</v>
      </c>
      <c r="ER49" s="9">
        <v>0</v>
      </c>
      <c r="ES49" s="9">
        <v>0</v>
      </c>
      <c r="ET49" s="9">
        <v>0</v>
      </c>
      <c r="EU49" s="9">
        <v>0</v>
      </c>
      <c r="EV49" s="9">
        <v>0</v>
      </c>
      <c r="EW49" s="9">
        <v>0</v>
      </c>
      <c r="EX49" s="9">
        <v>0</v>
      </c>
      <c r="EY49" s="9">
        <v>0</v>
      </c>
      <c r="EZ49" s="9">
        <v>0</v>
      </c>
      <c r="FA49" s="9">
        <v>0</v>
      </c>
      <c r="FB49" s="9">
        <v>0</v>
      </c>
      <c r="FC49" s="9">
        <v>0</v>
      </c>
      <c r="FD49" s="9">
        <v>0</v>
      </c>
      <c r="FE49" s="9">
        <v>0</v>
      </c>
      <c r="FF49" s="9">
        <v>0</v>
      </c>
      <c r="FG49" s="9">
        <v>0</v>
      </c>
      <c r="FH49" s="9">
        <v>0</v>
      </c>
      <c r="FI49" s="9">
        <v>0</v>
      </c>
      <c r="FJ49" s="9">
        <v>0</v>
      </c>
      <c r="FK49" s="9">
        <v>0</v>
      </c>
      <c r="FL49" s="9">
        <v>0</v>
      </c>
      <c r="FM49" s="10">
        <v>0</v>
      </c>
    </row>
    <row r="50" spans="1:169" x14ac:dyDescent="0.35">
      <c r="A50" s="8" t="s">
        <v>73</v>
      </c>
      <c r="B50" s="9" t="s">
        <v>90</v>
      </c>
      <c r="C50" s="10" t="s">
        <v>91</v>
      </c>
      <c r="D50" s="62">
        <f t="shared" si="97"/>
        <v>0</v>
      </c>
      <c r="E50" s="9">
        <v>0</v>
      </c>
      <c r="F50" s="9">
        <v>0</v>
      </c>
      <c r="G50" s="9">
        <v>0</v>
      </c>
      <c r="H50" s="9">
        <v>0</v>
      </c>
      <c r="I50" s="9">
        <v>0</v>
      </c>
      <c r="J50" s="9">
        <v>0</v>
      </c>
      <c r="K50" s="9">
        <v>0</v>
      </c>
      <c r="L50" s="9">
        <v>0</v>
      </c>
      <c r="M50" s="9">
        <v>0</v>
      </c>
      <c r="N50" s="9">
        <v>0</v>
      </c>
      <c r="O50" s="9">
        <v>0</v>
      </c>
      <c r="P50" s="9">
        <v>0</v>
      </c>
      <c r="Q50" s="9">
        <v>0</v>
      </c>
      <c r="R50" s="9">
        <v>0</v>
      </c>
      <c r="S50" s="9">
        <v>0</v>
      </c>
      <c r="T50" s="9">
        <v>0</v>
      </c>
      <c r="U50" s="9">
        <v>0</v>
      </c>
      <c r="V50" s="9">
        <v>0</v>
      </c>
      <c r="W50" s="9">
        <v>0</v>
      </c>
      <c r="X50" s="9">
        <v>0</v>
      </c>
      <c r="Y50" s="9">
        <v>0</v>
      </c>
      <c r="Z50" s="9">
        <v>0</v>
      </c>
      <c r="AA50" s="9">
        <v>0</v>
      </c>
      <c r="AB50" s="9">
        <v>0</v>
      </c>
      <c r="AC50" s="9">
        <v>0</v>
      </c>
      <c r="AD50" s="9">
        <v>0</v>
      </c>
      <c r="AE50" s="9">
        <v>0</v>
      </c>
      <c r="AF50" s="9">
        <v>0</v>
      </c>
      <c r="AG50" s="9">
        <v>0</v>
      </c>
      <c r="AH50" s="9">
        <v>0</v>
      </c>
      <c r="AI50" s="9">
        <v>0</v>
      </c>
      <c r="AJ50" s="9">
        <v>0</v>
      </c>
      <c r="AK50" s="9">
        <v>0</v>
      </c>
      <c r="AL50" s="9">
        <v>0</v>
      </c>
      <c r="AM50" s="9">
        <v>0</v>
      </c>
      <c r="AN50" s="9">
        <v>0</v>
      </c>
      <c r="AO50" s="9">
        <v>0</v>
      </c>
      <c r="AP50" s="9">
        <v>0</v>
      </c>
      <c r="AQ50" s="9">
        <v>0</v>
      </c>
      <c r="AR50" s="9">
        <v>0</v>
      </c>
      <c r="AS50" s="9">
        <v>0</v>
      </c>
      <c r="AT50" s="9">
        <v>0</v>
      </c>
      <c r="AU50" s="9">
        <v>0</v>
      </c>
      <c r="AV50" s="9">
        <v>0</v>
      </c>
      <c r="AW50" s="9">
        <v>0</v>
      </c>
      <c r="AX50" s="9">
        <v>0</v>
      </c>
      <c r="AY50" s="9">
        <v>0</v>
      </c>
      <c r="AZ50" s="9">
        <v>0</v>
      </c>
      <c r="BA50" s="9">
        <v>0</v>
      </c>
      <c r="BB50" s="9">
        <v>0</v>
      </c>
      <c r="BC50" s="9">
        <v>0</v>
      </c>
      <c r="BD50" s="9">
        <v>0</v>
      </c>
      <c r="BE50" s="9">
        <v>0</v>
      </c>
      <c r="BF50" s="9">
        <v>0</v>
      </c>
      <c r="BG50" s="9">
        <v>0</v>
      </c>
      <c r="BH50" s="9">
        <v>0</v>
      </c>
      <c r="BI50" s="9">
        <v>0</v>
      </c>
      <c r="BJ50" s="9">
        <v>0</v>
      </c>
      <c r="BK50" s="9">
        <v>0</v>
      </c>
      <c r="BL50" s="9">
        <v>0</v>
      </c>
      <c r="BM50" s="9">
        <v>0</v>
      </c>
      <c r="BN50" s="9">
        <v>0</v>
      </c>
      <c r="BO50" s="9">
        <v>0</v>
      </c>
      <c r="BP50" s="9">
        <v>0</v>
      </c>
      <c r="BQ50" s="9">
        <v>0</v>
      </c>
      <c r="BR50" s="9">
        <v>0</v>
      </c>
      <c r="BS50" s="9">
        <v>0</v>
      </c>
      <c r="BT50" s="9">
        <v>0</v>
      </c>
      <c r="BU50" s="9">
        <v>0</v>
      </c>
      <c r="BV50" s="9">
        <v>0</v>
      </c>
      <c r="BW50" s="9">
        <v>0</v>
      </c>
      <c r="BX50" s="9">
        <v>0</v>
      </c>
      <c r="BY50" s="9">
        <v>0</v>
      </c>
      <c r="BZ50" s="9">
        <v>0</v>
      </c>
      <c r="CA50" s="9">
        <v>0</v>
      </c>
      <c r="CB50" s="9">
        <v>0</v>
      </c>
      <c r="CC50" s="9">
        <v>0</v>
      </c>
      <c r="CD50" s="9">
        <v>0</v>
      </c>
      <c r="CE50" s="9">
        <v>0</v>
      </c>
      <c r="CF50" s="9">
        <v>0</v>
      </c>
      <c r="CG50" s="9">
        <v>0</v>
      </c>
      <c r="CH50" s="9">
        <v>0</v>
      </c>
      <c r="CI50" s="9">
        <v>0</v>
      </c>
      <c r="CJ50" s="9">
        <v>0</v>
      </c>
      <c r="CK50" s="9">
        <v>0</v>
      </c>
      <c r="CL50" s="9">
        <v>0</v>
      </c>
      <c r="CM50" s="9">
        <v>0</v>
      </c>
      <c r="CN50" s="9">
        <v>0</v>
      </c>
      <c r="CO50" s="9">
        <v>0</v>
      </c>
      <c r="CP50" s="9">
        <v>0</v>
      </c>
      <c r="CQ50" s="9">
        <v>0</v>
      </c>
      <c r="CR50" s="9">
        <v>0</v>
      </c>
      <c r="CS50" s="9">
        <v>0</v>
      </c>
      <c r="CT50" s="9">
        <v>0</v>
      </c>
      <c r="CU50" s="9">
        <v>0</v>
      </c>
      <c r="CV50" s="9">
        <v>0</v>
      </c>
      <c r="CW50" s="9">
        <v>0</v>
      </c>
      <c r="CX50" s="9">
        <v>0</v>
      </c>
      <c r="CY50" s="9">
        <v>0</v>
      </c>
      <c r="CZ50" s="9">
        <v>0</v>
      </c>
      <c r="DA50" s="9">
        <v>0</v>
      </c>
      <c r="DB50" s="9">
        <v>0</v>
      </c>
      <c r="DC50" s="9">
        <v>0</v>
      </c>
      <c r="DD50" s="9">
        <v>0</v>
      </c>
      <c r="DE50" s="9">
        <v>0</v>
      </c>
      <c r="DF50" s="9">
        <v>0</v>
      </c>
      <c r="DG50" s="9">
        <v>0</v>
      </c>
      <c r="DH50" s="9">
        <v>0</v>
      </c>
      <c r="DI50" s="9">
        <v>0</v>
      </c>
      <c r="DJ50" s="9">
        <v>0</v>
      </c>
      <c r="DK50" s="9">
        <v>0</v>
      </c>
      <c r="DL50" s="9">
        <v>0</v>
      </c>
      <c r="DM50" s="9">
        <v>0</v>
      </c>
      <c r="DN50" s="9">
        <v>0</v>
      </c>
      <c r="DO50" s="9">
        <v>0</v>
      </c>
      <c r="DP50" s="9">
        <v>0</v>
      </c>
      <c r="DQ50" s="9">
        <v>0</v>
      </c>
      <c r="DR50" s="9">
        <v>0</v>
      </c>
      <c r="DS50" s="9">
        <v>0</v>
      </c>
      <c r="DT50" s="9">
        <v>0</v>
      </c>
      <c r="DU50" s="9">
        <v>0</v>
      </c>
      <c r="DV50" s="9">
        <v>0</v>
      </c>
      <c r="DW50" s="9">
        <v>0</v>
      </c>
      <c r="DX50" s="9">
        <v>0</v>
      </c>
      <c r="DY50" s="9">
        <v>0</v>
      </c>
      <c r="DZ50" s="9">
        <v>0</v>
      </c>
      <c r="EA50" s="9">
        <v>0</v>
      </c>
      <c r="EB50" s="9">
        <v>0</v>
      </c>
      <c r="EC50" s="9">
        <v>0</v>
      </c>
      <c r="ED50" s="9">
        <v>0</v>
      </c>
      <c r="EE50" s="9">
        <v>0</v>
      </c>
      <c r="EF50" s="9">
        <v>0</v>
      </c>
      <c r="EG50" s="9">
        <v>0</v>
      </c>
      <c r="EH50" s="9">
        <v>0</v>
      </c>
      <c r="EI50" s="9">
        <v>0</v>
      </c>
      <c r="EJ50" s="9">
        <v>0</v>
      </c>
      <c r="EK50" s="9">
        <v>0</v>
      </c>
      <c r="EL50" s="9">
        <v>0</v>
      </c>
      <c r="EM50" s="9">
        <v>0</v>
      </c>
      <c r="EN50" s="9">
        <v>0</v>
      </c>
      <c r="EO50" s="9">
        <v>0</v>
      </c>
      <c r="EP50" s="9">
        <v>0</v>
      </c>
      <c r="EQ50" s="9">
        <v>0</v>
      </c>
      <c r="ER50" s="9">
        <v>0</v>
      </c>
      <c r="ES50" s="9">
        <v>0</v>
      </c>
      <c r="ET50" s="9">
        <v>0</v>
      </c>
      <c r="EU50" s="9">
        <v>0</v>
      </c>
      <c r="EV50" s="9">
        <v>0</v>
      </c>
      <c r="EW50" s="9">
        <v>0</v>
      </c>
      <c r="EX50" s="9">
        <v>0</v>
      </c>
      <c r="EY50" s="9">
        <v>0</v>
      </c>
      <c r="EZ50" s="9">
        <v>0</v>
      </c>
      <c r="FA50" s="9">
        <v>0</v>
      </c>
      <c r="FB50" s="9">
        <v>0</v>
      </c>
      <c r="FC50" s="9">
        <v>0</v>
      </c>
      <c r="FD50" s="9">
        <v>0</v>
      </c>
      <c r="FE50" s="9">
        <v>0</v>
      </c>
      <c r="FF50" s="9">
        <v>0</v>
      </c>
      <c r="FG50" s="9">
        <v>0</v>
      </c>
      <c r="FH50" s="9">
        <v>0</v>
      </c>
      <c r="FI50" s="9">
        <v>0</v>
      </c>
      <c r="FJ50" s="9">
        <v>0</v>
      </c>
      <c r="FK50" s="9">
        <v>0</v>
      </c>
      <c r="FL50" s="9">
        <v>0</v>
      </c>
      <c r="FM50" s="10">
        <v>0</v>
      </c>
    </row>
    <row r="51" spans="1:169" x14ac:dyDescent="0.35">
      <c r="A51" s="8" t="s">
        <v>73</v>
      </c>
      <c r="B51" s="9" t="s">
        <v>13</v>
      </c>
      <c r="C51" s="10" t="s">
        <v>14</v>
      </c>
      <c r="D51" s="62">
        <f t="shared" si="97"/>
        <v>7</v>
      </c>
      <c r="E51" s="9">
        <v>0</v>
      </c>
      <c r="F51" s="9">
        <v>0</v>
      </c>
      <c r="G51" s="9">
        <v>0</v>
      </c>
      <c r="H51" s="9">
        <v>0</v>
      </c>
      <c r="I51" s="9">
        <v>0</v>
      </c>
      <c r="J51" s="9">
        <v>0</v>
      </c>
      <c r="K51" s="9">
        <v>0</v>
      </c>
      <c r="L51" s="9">
        <v>0</v>
      </c>
      <c r="M51" s="9">
        <v>0</v>
      </c>
      <c r="N51" s="9">
        <v>0</v>
      </c>
      <c r="O51" s="9">
        <v>0</v>
      </c>
      <c r="P51" s="9">
        <v>0</v>
      </c>
      <c r="Q51" s="9">
        <v>0</v>
      </c>
      <c r="R51" s="9">
        <v>0</v>
      </c>
      <c r="S51" s="9">
        <v>0</v>
      </c>
      <c r="T51" s="9">
        <v>0</v>
      </c>
      <c r="U51" s="9">
        <v>0</v>
      </c>
      <c r="V51" s="9">
        <v>0</v>
      </c>
      <c r="W51" s="9">
        <v>0</v>
      </c>
      <c r="X51" s="9">
        <v>0</v>
      </c>
      <c r="Y51" s="9">
        <v>0</v>
      </c>
      <c r="Z51" s="9">
        <v>0</v>
      </c>
      <c r="AA51" s="9">
        <v>0</v>
      </c>
      <c r="AB51" s="9">
        <v>0</v>
      </c>
      <c r="AC51" s="9">
        <v>0</v>
      </c>
      <c r="AD51" s="9">
        <v>0</v>
      </c>
      <c r="AE51" s="9">
        <v>0</v>
      </c>
      <c r="AF51" s="9">
        <v>0</v>
      </c>
      <c r="AG51" s="9">
        <v>0</v>
      </c>
      <c r="AH51" s="9">
        <v>0</v>
      </c>
      <c r="AI51" s="9">
        <v>0</v>
      </c>
      <c r="AJ51" s="9">
        <v>0</v>
      </c>
      <c r="AK51" s="9">
        <v>0</v>
      </c>
      <c r="AL51" s="9">
        <v>0</v>
      </c>
      <c r="AM51" s="9">
        <v>0</v>
      </c>
      <c r="AN51" s="9">
        <v>0</v>
      </c>
      <c r="AO51" s="9">
        <v>0</v>
      </c>
      <c r="AP51" s="9">
        <v>0</v>
      </c>
      <c r="AQ51" s="9">
        <v>0</v>
      </c>
      <c r="AR51" s="9">
        <v>0</v>
      </c>
      <c r="AS51" s="9">
        <v>0</v>
      </c>
      <c r="AT51" s="9">
        <v>0</v>
      </c>
      <c r="AU51" s="9">
        <v>0</v>
      </c>
      <c r="AV51" s="9">
        <v>0</v>
      </c>
      <c r="AW51" s="9">
        <v>0</v>
      </c>
      <c r="AX51" s="9">
        <v>0</v>
      </c>
      <c r="AY51" s="9">
        <v>0</v>
      </c>
      <c r="AZ51" s="9">
        <v>0</v>
      </c>
      <c r="BA51" s="9">
        <v>0</v>
      </c>
      <c r="BB51" s="9">
        <v>0</v>
      </c>
      <c r="BC51" s="9">
        <v>0</v>
      </c>
      <c r="BD51" s="9">
        <v>0</v>
      </c>
      <c r="BE51" s="9">
        <v>0</v>
      </c>
      <c r="BF51" s="9">
        <v>0</v>
      </c>
      <c r="BG51" s="9">
        <v>0</v>
      </c>
      <c r="BH51" s="9">
        <v>0</v>
      </c>
      <c r="BI51" s="9">
        <v>7</v>
      </c>
      <c r="BJ51" s="9">
        <v>1</v>
      </c>
      <c r="BK51" s="9">
        <v>1</v>
      </c>
      <c r="BL51" s="9">
        <v>0</v>
      </c>
      <c r="BM51" s="9">
        <v>0</v>
      </c>
      <c r="BN51" s="9">
        <v>0</v>
      </c>
      <c r="BO51" s="9">
        <v>0</v>
      </c>
      <c r="BP51" s="9">
        <v>0</v>
      </c>
      <c r="BQ51" s="9">
        <v>0</v>
      </c>
      <c r="BR51" s="9">
        <v>0</v>
      </c>
      <c r="BS51" s="9">
        <v>0</v>
      </c>
      <c r="BT51" s="9">
        <v>0</v>
      </c>
      <c r="BU51" s="9">
        <v>0</v>
      </c>
      <c r="BV51" s="9">
        <v>0</v>
      </c>
      <c r="BW51" s="9">
        <v>0</v>
      </c>
      <c r="BX51" s="9">
        <v>0</v>
      </c>
      <c r="BY51" s="9">
        <v>0</v>
      </c>
      <c r="BZ51" s="9">
        <v>0</v>
      </c>
      <c r="CA51" s="9">
        <v>0</v>
      </c>
      <c r="CB51" s="9">
        <v>0</v>
      </c>
      <c r="CC51" s="9">
        <v>0</v>
      </c>
      <c r="CD51" s="9">
        <v>0</v>
      </c>
      <c r="CE51" s="9">
        <v>0</v>
      </c>
      <c r="CF51" s="9">
        <v>0</v>
      </c>
      <c r="CG51" s="9">
        <v>0</v>
      </c>
      <c r="CH51" s="9">
        <v>0</v>
      </c>
      <c r="CI51" s="9">
        <v>0</v>
      </c>
      <c r="CJ51" s="9">
        <v>0</v>
      </c>
      <c r="CK51" s="9">
        <v>0</v>
      </c>
      <c r="CL51" s="9">
        <v>1</v>
      </c>
      <c r="CM51" s="9">
        <v>1</v>
      </c>
      <c r="CN51" s="9">
        <v>1</v>
      </c>
      <c r="CO51" s="9">
        <v>1</v>
      </c>
      <c r="CP51" s="9">
        <v>1</v>
      </c>
      <c r="CQ51" s="9">
        <v>1</v>
      </c>
      <c r="CR51" s="9">
        <v>1</v>
      </c>
      <c r="CS51" s="9">
        <v>1</v>
      </c>
      <c r="CT51" s="9">
        <v>1</v>
      </c>
      <c r="CU51" s="9">
        <v>1</v>
      </c>
      <c r="CV51" s="9">
        <v>1</v>
      </c>
      <c r="CW51" s="9">
        <v>1</v>
      </c>
      <c r="CX51" s="9">
        <v>0</v>
      </c>
      <c r="CY51" s="9">
        <v>0</v>
      </c>
      <c r="CZ51" s="9">
        <v>0</v>
      </c>
      <c r="DA51" s="9">
        <v>0</v>
      </c>
      <c r="DB51" s="9">
        <v>0</v>
      </c>
      <c r="DC51" s="9">
        <v>0</v>
      </c>
      <c r="DD51" s="9">
        <v>0</v>
      </c>
      <c r="DE51" s="9">
        <v>0</v>
      </c>
      <c r="DF51" s="9">
        <v>0</v>
      </c>
      <c r="DG51" s="9">
        <v>0</v>
      </c>
      <c r="DH51" s="9">
        <v>0</v>
      </c>
      <c r="DI51" s="9">
        <v>0</v>
      </c>
      <c r="DJ51" s="9">
        <v>0</v>
      </c>
      <c r="DK51" s="9">
        <v>0</v>
      </c>
      <c r="DL51" s="9">
        <v>0</v>
      </c>
      <c r="DM51" s="9">
        <v>0</v>
      </c>
      <c r="DN51" s="9">
        <v>0</v>
      </c>
      <c r="DO51" s="9">
        <v>0</v>
      </c>
      <c r="DP51" s="9">
        <v>0</v>
      </c>
      <c r="DQ51" s="9">
        <v>0</v>
      </c>
      <c r="DR51" s="9">
        <v>0</v>
      </c>
      <c r="DS51" s="9">
        <v>0</v>
      </c>
      <c r="DT51" s="9">
        <v>0</v>
      </c>
      <c r="DU51" s="9">
        <v>0</v>
      </c>
      <c r="DV51" s="9">
        <v>0</v>
      </c>
      <c r="DW51" s="9">
        <v>0</v>
      </c>
      <c r="DX51" s="9">
        <v>0</v>
      </c>
      <c r="DY51" s="9">
        <v>0</v>
      </c>
      <c r="DZ51" s="9">
        <v>0</v>
      </c>
      <c r="EA51" s="9">
        <v>0</v>
      </c>
      <c r="EB51" s="9">
        <v>0</v>
      </c>
      <c r="EC51" s="9">
        <v>0</v>
      </c>
      <c r="ED51" s="9">
        <v>0</v>
      </c>
      <c r="EE51" s="9">
        <v>0</v>
      </c>
      <c r="EF51" s="9">
        <v>0</v>
      </c>
      <c r="EG51" s="9">
        <v>0</v>
      </c>
      <c r="EH51" s="9">
        <v>0</v>
      </c>
      <c r="EI51" s="9">
        <v>0</v>
      </c>
      <c r="EJ51" s="9">
        <v>0</v>
      </c>
      <c r="EK51" s="9">
        <v>0</v>
      </c>
      <c r="EL51" s="9">
        <v>0</v>
      </c>
      <c r="EM51" s="9">
        <v>0</v>
      </c>
      <c r="EN51" s="9">
        <v>0</v>
      </c>
      <c r="EO51" s="9">
        <v>0</v>
      </c>
      <c r="EP51" s="9">
        <v>0</v>
      </c>
      <c r="EQ51" s="9">
        <v>0</v>
      </c>
      <c r="ER51" s="9">
        <v>0</v>
      </c>
      <c r="ES51" s="9">
        <v>0</v>
      </c>
      <c r="ET51" s="9">
        <v>0</v>
      </c>
      <c r="EU51" s="9">
        <v>0</v>
      </c>
      <c r="EV51" s="9">
        <v>0</v>
      </c>
      <c r="EW51" s="9">
        <v>0</v>
      </c>
      <c r="EX51" s="9">
        <v>0</v>
      </c>
      <c r="EY51" s="9">
        <v>0</v>
      </c>
      <c r="EZ51" s="9">
        <v>0</v>
      </c>
      <c r="FA51" s="9">
        <v>0</v>
      </c>
      <c r="FB51" s="9">
        <v>0</v>
      </c>
      <c r="FC51" s="9">
        <v>0</v>
      </c>
      <c r="FD51" s="9">
        <v>0</v>
      </c>
      <c r="FE51" s="9">
        <v>0</v>
      </c>
      <c r="FF51" s="9">
        <v>0</v>
      </c>
      <c r="FG51" s="9">
        <v>0</v>
      </c>
      <c r="FH51" s="9">
        <v>0</v>
      </c>
      <c r="FI51" s="9">
        <v>0</v>
      </c>
      <c r="FJ51" s="9">
        <v>0</v>
      </c>
      <c r="FK51" s="9">
        <v>0</v>
      </c>
      <c r="FL51" s="9">
        <v>0</v>
      </c>
      <c r="FM51" s="10">
        <v>0</v>
      </c>
    </row>
    <row r="52" spans="1:169" x14ac:dyDescent="0.35">
      <c r="A52" s="8" t="s">
        <v>73</v>
      </c>
      <c r="B52" s="9" t="s">
        <v>92</v>
      </c>
      <c r="C52" s="10" t="s">
        <v>93</v>
      </c>
      <c r="D52" s="62">
        <f t="shared" si="97"/>
        <v>5</v>
      </c>
      <c r="E52" s="9">
        <v>0</v>
      </c>
      <c r="F52" s="9">
        <v>0</v>
      </c>
      <c r="G52" s="9">
        <v>0</v>
      </c>
      <c r="H52" s="9">
        <v>0</v>
      </c>
      <c r="I52" s="9">
        <v>0</v>
      </c>
      <c r="J52" s="9">
        <v>0</v>
      </c>
      <c r="K52" s="9">
        <v>0</v>
      </c>
      <c r="L52" s="9">
        <v>0</v>
      </c>
      <c r="M52" s="9">
        <v>0</v>
      </c>
      <c r="N52" s="9">
        <v>0</v>
      </c>
      <c r="O52" s="9">
        <v>0</v>
      </c>
      <c r="P52" s="9">
        <v>0</v>
      </c>
      <c r="Q52" s="9">
        <v>0</v>
      </c>
      <c r="R52" s="9">
        <v>2</v>
      </c>
      <c r="S52" s="9">
        <v>0</v>
      </c>
      <c r="T52" s="9">
        <v>0</v>
      </c>
      <c r="U52" s="9">
        <v>0</v>
      </c>
      <c r="V52" s="9">
        <v>0</v>
      </c>
      <c r="W52" s="9">
        <v>1</v>
      </c>
      <c r="X52" s="9">
        <v>2</v>
      </c>
      <c r="Y52" s="9">
        <v>1</v>
      </c>
      <c r="Z52" s="9">
        <v>0</v>
      </c>
      <c r="AA52" s="9">
        <v>0</v>
      </c>
      <c r="AB52" s="9">
        <v>0</v>
      </c>
      <c r="AC52" s="9">
        <v>0</v>
      </c>
      <c r="AD52" s="9">
        <v>4</v>
      </c>
      <c r="AE52" s="9">
        <v>0</v>
      </c>
      <c r="AF52" s="9">
        <v>0</v>
      </c>
      <c r="AG52" s="9">
        <v>4</v>
      </c>
      <c r="AH52" s="9">
        <v>4</v>
      </c>
      <c r="AI52" s="9">
        <v>4</v>
      </c>
      <c r="AJ52" s="9">
        <v>5</v>
      </c>
      <c r="AK52" s="9">
        <v>5</v>
      </c>
      <c r="AL52" s="9">
        <v>5</v>
      </c>
      <c r="AM52" s="9">
        <v>0</v>
      </c>
      <c r="AN52" s="9">
        <v>0</v>
      </c>
      <c r="AO52" s="9">
        <v>0</v>
      </c>
      <c r="AP52" s="9">
        <v>0</v>
      </c>
      <c r="AQ52" s="9">
        <v>0</v>
      </c>
      <c r="AR52" s="9">
        <v>0</v>
      </c>
      <c r="AS52" s="9">
        <v>0</v>
      </c>
      <c r="AT52" s="9">
        <v>0</v>
      </c>
      <c r="AU52" s="9">
        <v>0</v>
      </c>
      <c r="AV52" s="9">
        <v>0</v>
      </c>
      <c r="AW52" s="9">
        <v>0</v>
      </c>
      <c r="AX52" s="9">
        <v>0</v>
      </c>
      <c r="AY52" s="9">
        <v>3</v>
      </c>
      <c r="AZ52" s="9">
        <v>3</v>
      </c>
      <c r="BA52" s="9">
        <v>3</v>
      </c>
      <c r="BB52" s="9">
        <v>3</v>
      </c>
      <c r="BC52" s="9">
        <v>3</v>
      </c>
      <c r="BD52" s="9">
        <v>3</v>
      </c>
      <c r="BE52" s="9">
        <v>2</v>
      </c>
      <c r="BF52" s="9">
        <v>2</v>
      </c>
      <c r="BG52" s="9">
        <v>2</v>
      </c>
      <c r="BH52" s="9">
        <v>1</v>
      </c>
      <c r="BI52" s="9">
        <v>1</v>
      </c>
      <c r="BJ52" s="9">
        <v>1</v>
      </c>
      <c r="BK52" s="9">
        <v>1</v>
      </c>
      <c r="BL52" s="9">
        <v>1</v>
      </c>
      <c r="BM52" s="9">
        <v>1</v>
      </c>
      <c r="BN52" s="9">
        <v>1</v>
      </c>
      <c r="BO52" s="9">
        <v>1</v>
      </c>
      <c r="BP52" s="9">
        <v>1</v>
      </c>
      <c r="BQ52" s="9">
        <v>1</v>
      </c>
      <c r="BR52" s="9">
        <v>1</v>
      </c>
      <c r="BS52" s="9">
        <v>1</v>
      </c>
      <c r="BT52" s="9">
        <v>0</v>
      </c>
      <c r="BU52" s="9">
        <v>1</v>
      </c>
      <c r="BV52" s="9">
        <v>1</v>
      </c>
      <c r="BW52" s="9">
        <v>1</v>
      </c>
      <c r="BX52" s="9">
        <v>1</v>
      </c>
      <c r="BY52" s="9">
        <v>1</v>
      </c>
      <c r="BZ52" s="9">
        <v>0</v>
      </c>
      <c r="CA52" s="9">
        <v>0</v>
      </c>
      <c r="CB52" s="9">
        <v>0</v>
      </c>
      <c r="CC52" s="9">
        <v>0</v>
      </c>
      <c r="CD52" s="9">
        <v>0</v>
      </c>
      <c r="CE52" s="9">
        <v>0</v>
      </c>
      <c r="CF52" s="9">
        <v>0</v>
      </c>
      <c r="CG52" s="9">
        <v>0</v>
      </c>
      <c r="CH52" s="9">
        <v>0</v>
      </c>
      <c r="CI52" s="9">
        <v>0</v>
      </c>
      <c r="CJ52" s="9">
        <v>0</v>
      </c>
      <c r="CK52" s="9">
        <v>0</v>
      </c>
      <c r="CL52" s="9">
        <v>0</v>
      </c>
      <c r="CM52" s="9">
        <v>0</v>
      </c>
      <c r="CN52" s="9">
        <v>0</v>
      </c>
      <c r="CO52" s="9">
        <v>0</v>
      </c>
      <c r="CP52" s="9">
        <v>0</v>
      </c>
      <c r="CQ52" s="9">
        <v>0</v>
      </c>
      <c r="CR52" s="9">
        <v>0</v>
      </c>
      <c r="CS52" s="9">
        <v>0</v>
      </c>
      <c r="CT52" s="9">
        <v>0</v>
      </c>
      <c r="CU52" s="9">
        <v>0</v>
      </c>
      <c r="CV52" s="9">
        <v>0</v>
      </c>
      <c r="CW52" s="9">
        <v>0</v>
      </c>
      <c r="CX52" s="9">
        <v>0</v>
      </c>
      <c r="CY52" s="9">
        <v>0</v>
      </c>
      <c r="CZ52" s="9">
        <v>0</v>
      </c>
      <c r="DA52" s="9">
        <v>0</v>
      </c>
      <c r="DB52" s="9">
        <v>0</v>
      </c>
      <c r="DC52" s="9">
        <v>0</v>
      </c>
      <c r="DD52" s="9">
        <v>0</v>
      </c>
      <c r="DE52" s="9">
        <v>0</v>
      </c>
      <c r="DF52" s="9">
        <v>0</v>
      </c>
      <c r="DG52" s="9">
        <v>0</v>
      </c>
      <c r="DH52" s="9">
        <v>0</v>
      </c>
      <c r="DI52" s="9">
        <v>0</v>
      </c>
      <c r="DJ52" s="9">
        <v>0</v>
      </c>
      <c r="DK52" s="9">
        <v>0</v>
      </c>
      <c r="DL52" s="9">
        <v>0</v>
      </c>
      <c r="DM52" s="9">
        <v>0</v>
      </c>
      <c r="DN52" s="9">
        <v>0</v>
      </c>
      <c r="DO52" s="9">
        <v>0</v>
      </c>
      <c r="DP52" s="9">
        <v>0</v>
      </c>
      <c r="DQ52" s="9">
        <v>0</v>
      </c>
      <c r="DR52" s="9">
        <v>0</v>
      </c>
      <c r="DS52" s="9">
        <v>0</v>
      </c>
      <c r="DT52" s="9">
        <v>0</v>
      </c>
      <c r="DU52" s="9">
        <v>0</v>
      </c>
      <c r="DV52" s="9">
        <v>0</v>
      </c>
      <c r="DW52" s="9">
        <v>0</v>
      </c>
      <c r="DX52" s="9">
        <v>0</v>
      </c>
      <c r="DY52" s="9">
        <v>0</v>
      </c>
      <c r="DZ52" s="9">
        <v>0</v>
      </c>
      <c r="EA52" s="9">
        <v>0</v>
      </c>
      <c r="EB52" s="9">
        <v>0</v>
      </c>
      <c r="EC52" s="9">
        <v>0</v>
      </c>
      <c r="ED52" s="9">
        <v>0</v>
      </c>
      <c r="EE52" s="9">
        <v>0</v>
      </c>
      <c r="EF52" s="9">
        <v>0</v>
      </c>
      <c r="EG52" s="9">
        <v>0</v>
      </c>
      <c r="EH52" s="9">
        <v>0</v>
      </c>
      <c r="EI52" s="9">
        <v>0</v>
      </c>
      <c r="EJ52" s="9">
        <v>0</v>
      </c>
      <c r="EK52" s="9">
        <v>0</v>
      </c>
      <c r="EL52" s="9">
        <v>0</v>
      </c>
      <c r="EM52" s="9">
        <v>0</v>
      </c>
      <c r="EN52" s="9">
        <v>0</v>
      </c>
      <c r="EO52" s="9">
        <v>0</v>
      </c>
      <c r="EP52" s="9">
        <v>0</v>
      </c>
      <c r="EQ52" s="9">
        <v>0</v>
      </c>
      <c r="ER52" s="9">
        <v>0</v>
      </c>
      <c r="ES52" s="9">
        <v>0</v>
      </c>
      <c r="ET52" s="9">
        <v>0</v>
      </c>
      <c r="EU52" s="9">
        <v>0</v>
      </c>
      <c r="EV52" s="9">
        <v>0</v>
      </c>
      <c r="EW52" s="9">
        <v>0</v>
      </c>
      <c r="EX52" s="9">
        <v>0</v>
      </c>
      <c r="EY52" s="9">
        <v>0</v>
      </c>
      <c r="EZ52" s="9">
        <v>0</v>
      </c>
      <c r="FA52" s="9">
        <v>0</v>
      </c>
      <c r="FB52" s="9">
        <v>0</v>
      </c>
      <c r="FC52" s="9">
        <v>0</v>
      </c>
      <c r="FD52" s="9">
        <v>0</v>
      </c>
      <c r="FE52" s="9">
        <v>0</v>
      </c>
      <c r="FF52" s="9">
        <v>0</v>
      </c>
      <c r="FG52" s="9">
        <v>0</v>
      </c>
      <c r="FH52" s="9">
        <v>0</v>
      </c>
      <c r="FI52" s="9">
        <v>0</v>
      </c>
      <c r="FJ52" s="9">
        <v>0</v>
      </c>
      <c r="FK52" s="9">
        <v>0</v>
      </c>
      <c r="FL52" s="9">
        <v>0</v>
      </c>
      <c r="FM52" s="10">
        <v>0</v>
      </c>
    </row>
    <row r="53" spans="1:169" x14ac:dyDescent="0.35">
      <c r="A53" s="8" t="s">
        <v>73</v>
      </c>
      <c r="B53" s="9" t="s">
        <v>94</v>
      </c>
      <c r="C53" s="10" t="s">
        <v>95</v>
      </c>
      <c r="D53" s="62">
        <f t="shared" si="97"/>
        <v>25</v>
      </c>
      <c r="E53" s="9">
        <v>0</v>
      </c>
      <c r="F53" s="9">
        <v>0</v>
      </c>
      <c r="G53" s="9">
        <v>0</v>
      </c>
      <c r="H53" s="9">
        <v>0</v>
      </c>
      <c r="I53" s="9">
        <v>0</v>
      </c>
      <c r="J53" s="9">
        <v>0</v>
      </c>
      <c r="K53" s="9">
        <v>0</v>
      </c>
      <c r="L53" s="9">
        <v>0</v>
      </c>
      <c r="M53" s="9">
        <v>0</v>
      </c>
      <c r="N53" s="9">
        <v>0</v>
      </c>
      <c r="O53" s="9">
        <v>0</v>
      </c>
      <c r="P53" s="9">
        <v>0</v>
      </c>
      <c r="Q53" s="9">
        <v>0</v>
      </c>
      <c r="R53" s="9">
        <v>0</v>
      </c>
      <c r="S53" s="9">
        <v>0</v>
      </c>
      <c r="T53" s="9">
        <v>0</v>
      </c>
      <c r="U53" s="9">
        <v>0</v>
      </c>
      <c r="V53" s="9">
        <v>0</v>
      </c>
      <c r="W53" s="9">
        <v>0</v>
      </c>
      <c r="X53" s="9">
        <v>0</v>
      </c>
      <c r="Y53" s="9">
        <v>0</v>
      </c>
      <c r="Z53" s="9">
        <v>0</v>
      </c>
      <c r="AA53" s="9">
        <v>0</v>
      </c>
      <c r="AB53" s="9">
        <v>0</v>
      </c>
      <c r="AC53" s="9">
        <v>0</v>
      </c>
      <c r="AD53" s="9">
        <v>0</v>
      </c>
      <c r="AE53" s="9">
        <v>0</v>
      </c>
      <c r="AF53" s="9">
        <v>0</v>
      </c>
      <c r="AG53" s="9">
        <v>0</v>
      </c>
      <c r="AH53" s="9">
        <v>0</v>
      </c>
      <c r="AI53" s="9">
        <v>0</v>
      </c>
      <c r="AJ53" s="9">
        <v>0</v>
      </c>
      <c r="AK53" s="9">
        <v>1</v>
      </c>
      <c r="AL53" s="9">
        <v>1</v>
      </c>
      <c r="AM53" s="9">
        <v>2</v>
      </c>
      <c r="AN53" s="9">
        <v>2</v>
      </c>
      <c r="AO53" s="9">
        <v>3</v>
      </c>
      <c r="AP53" s="9">
        <v>3</v>
      </c>
      <c r="AQ53" s="9">
        <v>1</v>
      </c>
      <c r="AR53" s="9">
        <v>2</v>
      </c>
      <c r="AS53" s="9">
        <v>1</v>
      </c>
      <c r="AT53" s="9">
        <v>0</v>
      </c>
      <c r="AU53" s="9">
        <v>0</v>
      </c>
      <c r="AV53" s="9">
        <v>0</v>
      </c>
      <c r="AW53" s="9">
        <v>0</v>
      </c>
      <c r="AX53" s="9">
        <v>0</v>
      </c>
      <c r="AY53" s="9">
        <v>0</v>
      </c>
      <c r="AZ53" s="9">
        <v>0</v>
      </c>
      <c r="BA53" s="9">
        <v>0</v>
      </c>
      <c r="BB53" s="9">
        <v>0</v>
      </c>
      <c r="BC53" s="9">
        <v>0</v>
      </c>
      <c r="BD53" s="9">
        <v>0</v>
      </c>
      <c r="BE53" s="9">
        <v>0</v>
      </c>
      <c r="BF53" s="9">
        <v>0</v>
      </c>
      <c r="BG53" s="9">
        <v>0</v>
      </c>
      <c r="BH53" s="9">
        <v>0</v>
      </c>
      <c r="BI53" s="9">
        <v>0</v>
      </c>
      <c r="BJ53" s="9">
        <v>0</v>
      </c>
      <c r="BK53" s="9">
        <v>0</v>
      </c>
      <c r="BL53" s="9">
        <v>0</v>
      </c>
      <c r="BM53" s="9">
        <v>0</v>
      </c>
      <c r="BN53" s="9">
        <v>0</v>
      </c>
      <c r="BO53" s="9">
        <v>0</v>
      </c>
      <c r="BP53" s="9">
        <v>0</v>
      </c>
      <c r="BQ53" s="9">
        <v>0</v>
      </c>
      <c r="BR53" s="9">
        <v>0</v>
      </c>
      <c r="BS53" s="9">
        <v>0</v>
      </c>
      <c r="BT53" s="9">
        <v>0</v>
      </c>
      <c r="BU53" s="9">
        <v>0</v>
      </c>
      <c r="BV53" s="9">
        <v>0</v>
      </c>
      <c r="BW53" s="9">
        <v>0</v>
      </c>
      <c r="BX53" s="9">
        <v>0</v>
      </c>
      <c r="BY53" s="9">
        <v>0</v>
      </c>
      <c r="BZ53" s="9">
        <v>1</v>
      </c>
      <c r="CA53" s="9">
        <v>0</v>
      </c>
      <c r="CB53" s="9">
        <v>0</v>
      </c>
      <c r="CC53" s="9">
        <v>0</v>
      </c>
      <c r="CD53" s="9">
        <v>0</v>
      </c>
      <c r="CE53" s="9">
        <v>1</v>
      </c>
      <c r="CF53" s="9">
        <v>1</v>
      </c>
      <c r="CG53" s="9">
        <v>1</v>
      </c>
      <c r="CH53" s="9">
        <v>1</v>
      </c>
      <c r="CI53" s="9">
        <v>1</v>
      </c>
      <c r="CJ53" s="9">
        <v>1</v>
      </c>
      <c r="CK53" s="9">
        <v>0</v>
      </c>
      <c r="CL53" s="9">
        <v>1</v>
      </c>
      <c r="CM53" s="9">
        <v>0</v>
      </c>
      <c r="CN53" s="9">
        <v>0</v>
      </c>
      <c r="CO53" s="9">
        <v>0</v>
      </c>
      <c r="CP53" s="9">
        <v>0</v>
      </c>
      <c r="CQ53" s="9">
        <v>0</v>
      </c>
      <c r="CR53" s="9">
        <v>0</v>
      </c>
      <c r="CS53" s="9">
        <v>0</v>
      </c>
      <c r="CT53" s="9">
        <v>0</v>
      </c>
      <c r="CU53" s="9">
        <v>0</v>
      </c>
      <c r="CV53" s="9">
        <v>0</v>
      </c>
      <c r="CW53" s="9">
        <v>25</v>
      </c>
      <c r="CX53" s="9">
        <v>0</v>
      </c>
      <c r="CY53" s="9">
        <v>0</v>
      </c>
      <c r="CZ53" s="9">
        <v>0</v>
      </c>
      <c r="DA53" s="9">
        <v>0</v>
      </c>
      <c r="DB53" s="9">
        <v>0</v>
      </c>
      <c r="DC53" s="9">
        <v>0</v>
      </c>
      <c r="DD53" s="9">
        <v>0</v>
      </c>
      <c r="DE53" s="9">
        <v>0</v>
      </c>
      <c r="DF53" s="9">
        <v>0</v>
      </c>
      <c r="DG53" s="9">
        <v>0</v>
      </c>
      <c r="DH53" s="9">
        <v>0</v>
      </c>
      <c r="DI53" s="9">
        <v>0</v>
      </c>
      <c r="DJ53" s="9">
        <v>0</v>
      </c>
      <c r="DK53" s="9">
        <v>0</v>
      </c>
      <c r="DL53" s="9">
        <v>1</v>
      </c>
      <c r="DM53" s="9">
        <v>0</v>
      </c>
      <c r="DN53" s="9">
        <v>0</v>
      </c>
      <c r="DO53" s="9">
        <v>0</v>
      </c>
      <c r="DP53" s="9">
        <v>0</v>
      </c>
      <c r="DQ53" s="9">
        <v>0</v>
      </c>
      <c r="DR53" s="9">
        <v>0</v>
      </c>
      <c r="DS53" s="9">
        <v>0</v>
      </c>
      <c r="DT53" s="9">
        <v>0</v>
      </c>
      <c r="DU53" s="9">
        <v>0</v>
      </c>
      <c r="DV53" s="9">
        <v>0</v>
      </c>
      <c r="DW53" s="9">
        <v>0</v>
      </c>
      <c r="DX53" s="9">
        <v>0</v>
      </c>
      <c r="DY53" s="9">
        <v>0</v>
      </c>
      <c r="DZ53" s="9">
        <v>0</v>
      </c>
      <c r="EA53" s="9">
        <v>0</v>
      </c>
      <c r="EB53" s="9">
        <v>0</v>
      </c>
      <c r="EC53" s="9">
        <v>0</v>
      </c>
      <c r="ED53" s="9">
        <v>0</v>
      </c>
      <c r="EE53" s="9">
        <v>0</v>
      </c>
      <c r="EF53" s="9">
        <v>0</v>
      </c>
      <c r="EG53" s="9">
        <v>0</v>
      </c>
      <c r="EH53" s="9">
        <v>0</v>
      </c>
      <c r="EI53" s="9">
        <v>0</v>
      </c>
      <c r="EJ53" s="9">
        <v>0</v>
      </c>
      <c r="EK53" s="9">
        <v>0</v>
      </c>
      <c r="EL53" s="9">
        <v>0</v>
      </c>
      <c r="EM53" s="9">
        <v>0</v>
      </c>
      <c r="EN53" s="9">
        <v>0</v>
      </c>
      <c r="EO53" s="9">
        <v>0</v>
      </c>
      <c r="EP53" s="9">
        <v>0</v>
      </c>
      <c r="EQ53" s="9">
        <v>0</v>
      </c>
      <c r="ER53" s="9">
        <v>0</v>
      </c>
      <c r="ES53" s="9">
        <v>0</v>
      </c>
      <c r="ET53" s="9">
        <v>0</v>
      </c>
      <c r="EU53" s="9">
        <v>0</v>
      </c>
      <c r="EV53" s="9">
        <v>0</v>
      </c>
      <c r="EW53" s="9">
        <v>0</v>
      </c>
      <c r="EX53" s="9">
        <v>0</v>
      </c>
      <c r="EY53" s="9">
        <v>0</v>
      </c>
      <c r="EZ53" s="9">
        <v>0</v>
      </c>
      <c r="FA53" s="9">
        <v>0</v>
      </c>
      <c r="FB53" s="9">
        <v>0</v>
      </c>
      <c r="FC53" s="9">
        <v>0</v>
      </c>
      <c r="FD53" s="9">
        <v>0</v>
      </c>
      <c r="FE53" s="9">
        <v>0</v>
      </c>
      <c r="FF53" s="9">
        <v>0</v>
      </c>
      <c r="FG53" s="9">
        <v>0</v>
      </c>
      <c r="FH53" s="9">
        <v>0</v>
      </c>
      <c r="FI53" s="9">
        <v>0</v>
      </c>
      <c r="FJ53" s="9">
        <v>0</v>
      </c>
      <c r="FK53" s="9">
        <v>0</v>
      </c>
      <c r="FL53" s="9">
        <v>0</v>
      </c>
      <c r="FM53" s="10">
        <v>0</v>
      </c>
    </row>
    <row r="54" spans="1:169" x14ac:dyDescent="0.35">
      <c r="A54" s="8" t="s">
        <v>73</v>
      </c>
      <c r="B54" s="9" t="s">
        <v>96</v>
      </c>
      <c r="C54" s="10" t="s">
        <v>97</v>
      </c>
      <c r="D54" s="62">
        <f t="shared" si="97"/>
        <v>7</v>
      </c>
      <c r="E54" s="9">
        <v>0</v>
      </c>
      <c r="F54" s="9">
        <v>0</v>
      </c>
      <c r="G54" s="9">
        <v>0</v>
      </c>
      <c r="H54" s="9">
        <v>0</v>
      </c>
      <c r="I54" s="9">
        <v>0</v>
      </c>
      <c r="J54" s="9">
        <v>0</v>
      </c>
      <c r="K54" s="9">
        <v>0</v>
      </c>
      <c r="L54" s="9">
        <v>0</v>
      </c>
      <c r="M54" s="9">
        <v>0</v>
      </c>
      <c r="N54" s="9">
        <v>0</v>
      </c>
      <c r="O54" s="9">
        <v>0</v>
      </c>
      <c r="P54" s="9">
        <v>0</v>
      </c>
      <c r="Q54" s="9">
        <v>0</v>
      </c>
      <c r="R54" s="9">
        <v>2</v>
      </c>
      <c r="S54" s="9">
        <v>2</v>
      </c>
      <c r="T54" s="9">
        <v>2</v>
      </c>
      <c r="U54" s="9">
        <v>2</v>
      </c>
      <c r="V54" s="9">
        <v>5</v>
      </c>
      <c r="W54" s="9">
        <v>5</v>
      </c>
      <c r="X54" s="9">
        <v>7</v>
      </c>
      <c r="Y54" s="9">
        <v>7</v>
      </c>
      <c r="Z54" s="9">
        <v>5</v>
      </c>
      <c r="AA54" s="9">
        <v>0</v>
      </c>
      <c r="AB54" s="9">
        <v>0</v>
      </c>
      <c r="AC54" s="9">
        <v>1</v>
      </c>
      <c r="AD54" s="9">
        <v>1</v>
      </c>
      <c r="AE54" s="9">
        <v>1</v>
      </c>
      <c r="AF54" s="9">
        <v>0</v>
      </c>
      <c r="AG54" s="9">
        <v>0</v>
      </c>
      <c r="AH54" s="9">
        <v>0</v>
      </c>
      <c r="AI54" s="9">
        <v>0</v>
      </c>
      <c r="AJ54" s="9">
        <v>1</v>
      </c>
      <c r="AK54" s="9">
        <v>0</v>
      </c>
      <c r="AL54" s="9">
        <v>0</v>
      </c>
      <c r="AM54" s="9">
        <v>0</v>
      </c>
      <c r="AN54" s="9">
        <v>0</v>
      </c>
      <c r="AO54" s="9">
        <v>0</v>
      </c>
      <c r="AP54" s="9">
        <v>0</v>
      </c>
      <c r="AQ54" s="9">
        <v>0</v>
      </c>
      <c r="AR54" s="9">
        <v>1</v>
      </c>
      <c r="AS54" s="9">
        <v>1</v>
      </c>
      <c r="AT54" s="9">
        <v>1</v>
      </c>
      <c r="AU54" s="9">
        <v>1</v>
      </c>
      <c r="AV54" s="9">
        <v>2</v>
      </c>
      <c r="AW54" s="9">
        <v>2</v>
      </c>
      <c r="AX54" s="9">
        <v>2</v>
      </c>
      <c r="AY54" s="9">
        <v>2</v>
      </c>
      <c r="AZ54" s="9">
        <v>2</v>
      </c>
      <c r="BA54" s="9">
        <v>2</v>
      </c>
      <c r="BB54" s="9">
        <v>1</v>
      </c>
      <c r="BC54" s="9">
        <v>1</v>
      </c>
      <c r="BD54" s="9">
        <v>1</v>
      </c>
      <c r="BE54" s="9">
        <v>2</v>
      </c>
      <c r="BF54" s="9">
        <v>2</v>
      </c>
      <c r="BG54" s="9">
        <v>2</v>
      </c>
      <c r="BH54" s="9">
        <v>2</v>
      </c>
      <c r="BI54" s="9">
        <v>2</v>
      </c>
      <c r="BJ54" s="9">
        <v>2</v>
      </c>
      <c r="BK54" s="9">
        <v>2</v>
      </c>
      <c r="BL54" s="9">
        <v>2</v>
      </c>
      <c r="BM54" s="9">
        <v>0</v>
      </c>
      <c r="BN54" s="9">
        <v>0</v>
      </c>
      <c r="BO54" s="9">
        <v>0</v>
      </c>
      <c r="BP54" s="9">
        <v>0</v>
      </c>
      <c r="BQ54" s="9">
        <v>0</v>
      </c>
      <c r="BR54" s="9">
        <v>0</v>
      </c>
      <c r="BS54" s="9">
        <v>0</v>
      </c>
      <c r="BT54" s="9">
        <v>1</v>
      </c>
      <c r="BU54" s="9">
        <v>1</v>
      </c>
      <c r="BV54" s="9">
        <v>1</v>
      </c>
      <c r="BW54" s="9">
        <v>1</v>
      </c>
      <c r="BX54" s="9">
        <v>1</v>
      </c>
      <c r="BY54" s="9">
        <v>1</v>
      </c>
      <c r="BZ54" s="9">
        <v>1</v>
      </c>
      <c r="CA54" s="9">
        <v>0</v>
      </c>
      <c r="CB54" s="9">
        <v>0</v>
      </c>
      <c r="CC54" s="9">
        <v>0</v>
      </c>
      <c r="CD54" s="9">
        <v>0</v>
      </c>
      <c r="CE54" s="9">
        <v>0</v>
      </c>
      <c r="CF54" s="9">
        <v>0</v>
      </c>
      <c r="CG54" s="9">
        <v>0</v>
      </c>
      <c r="CH54" s="9">
        <v>0</v>
      </c>
      <c r="CI54" s="9">
        <v>0</v>
      </c>
      <c r="CJ54" s="9">
        <v>0</v>
      </c>
      <c r="CK54" s="9">
        <v>0</v>
      </c>
      <c r="CL54" s="9">
        <v>0</v>
      </c>
      <c r="CM54" s="9">
        <v>0</v>
      </c>
      <c r="CN54" s="9">
        <v>0</v>
      </c>
      <c r="CO54" s="9">
        <v>0</v>
      </c>
      <c r="CP54" s="9">
        <v>0</v>
      </c>
      <c r="CQ54" s="9">
        <v>0</v>
      </c>
      <c r="CR54" s="9">
        <v>0</v>
      </c>
      <c r="CS54" s="9">
        <v>0</v>
      </c>
      <c r="CT54" s="9">
        <v>0</v>
      </c>
      <c r="CU54" s="9">
        <v>0</v>
      </c>
      <c r="CV54" s="9">
        <v>0</v>
      </c>
      <c r="CW54" s="9">
        <v>0</v>
      </c>
      <c r="CX54" s="9">
        <v>0</v>
      </c>
      <c r="CY54" s="9">
        <v>0</v>
      </c>
      <c r="CZ54" s="9">
        <v>0</v>
      </c>
      <c r="DA54" s="9">
        <v>0</v>
      </c>
      <c r="DB54" s="9">
        <v>0</v>
      </c>
      <c r="DC54" s="9">
        <v>0</v>
      </c>
      <c r="DD54" s="9">
        <v>0</v>
      </c>
      <c r="DE54" s="9">
        <v>0</v>
      </c>
      <c r="DF54" s="9">
        <v>0</v>
      </c>
      <c r="DG54" s="9">
        <v>0</v>
      </c>
      <c r="DH54" s="9">
        <v>0</v>
      </c>
      <c r="DI54" s="9">
        <v>0</v>
      </c>
      <c r="DJ54" s="9">
        <v>0</v>
      </c>
      <c r="DK54" s="9">
        <v>0</v>
      </c>
      <c r="DL54" s="9">
        <v>0</v>
      </c>
      <c r="DM54" s="9">
        <v>0</v>
      </c>
      <c r="DN54" s="9">
        <v>0</v>
      </c>
      <c r="DO54" s="9">
        <v>0</v>
      </c>
      <c r="DP54" s="9">
        <v>0</v>
      </c>
      <c r="DQ54" s="9">
        <v>0</v>
      </c>
      <c r="DR54" s="9">
        <v>0</v>
      </c>
      <c r="DS54" s="9">
        <v>0</v>
      </c>
      <c r="DT54" s="9">
        <v>0</v>
      </c>
      <c r="DU54" s="9">
        <v>0</v>
      </c>
      <c r="DV54" s="9">
        <v>0</v>
      </c>
      <c r="DW54" s="9">
        <v>0</v>
      </c>
      <c r="DX54" s="9">
        <v>0</v>
      </c>
      <c r="DY54" s="9">
        <v>0</v>
      </c>
      <c r="DZ54" s="9">
        <v>0</v>
      </c>
      <c r="EA54" s="9">
        <v>0</v>
      </c>
      <c r="EB54" s="9">
        <v>0</v>
      </c>
      <c r="EC54" s="9">
        <v>0</v>
      </c>
      <c r="ED54" s="9">
        <v>0</v>
      </c>
      <c r="EE54" s="9">
        <v>0</v>
      </c>
      <c r="EF54" s="9">
        <v>0</v>
      </c>
      <c r="EG54" s="9">
        <v>0</v>
      </c>
      <c r="EH54" s="9">
        <v>0</v>
      </c>
      <c r="EI54" s="9">
        <v>0</v>
      </c>
      <c r="EJ54" s="9">
        <v>0</v>
      </c>
      <c r="EK54" s="9">
        <v>0</v>
      </c>
      <c r="EL54" s="9">
        <v>0</v>
      </c>
      <c r="EM54" s="9">
        <v>0</v>
      </c>
      <c r="EN54" s="9">
        <v>0</v>
      </c>
      <c r="EO54" s="9">
        <v>0</v>
      </c>
      <c r="EP54" s="9">
        <v>0</v>
      </c>
      <c r="EQ54" s="9">
        <v>0</v>
      </c>
      <c r="ER54" s="9">
        <v>0</v>
      </c>
      <c r="ES54" s="9">
        <v>0</v>
      </c>
      <c r="ET54" s="9">
        <v>0</v>
      </c>
      <c r="EU54" s="9">
        <v>0</v>
      </c>
      <c r="EV54" s="9">
        <v>0</v>
      </c>
      <c r="EW54" s="9">
        <v>0</v>
      </c>
      <c r="EX54" s="9">
        <v>0</v>
      </c>
      <c r="EY54" s="9">
        <v>0</v>
      </c>
      <c r="EZ54" s="9">
        <v>0</v>
      </c>
      <c r="FA54" s="9">
        <v>0</v>
      </c>
      <c r="FB54" s="9">
        <v>0</v>
      </c>
      <c r="FC54" s="9">
        <v>0</v>
      </c>
      <c r="FD54" s="9">
        <v>0</v>
      </c>
      <c r="FE54" s="9">
        <v>0</v>
      </c>
      <c r="FF54" s="9">
        <v>0</v>
      </c>
      <c r="FG54" s="9">
        <v>0</v>
      </c>
      <c r="FH54" s="9">
        <v>0</v>
      </c>
      <c r="FI54" s="9">
        <v>0</v>
      </c>
      <c r="FJ54" s="9">
        <v>0</v>
      </c>
      <c r="FK54" s="9">
        <v>0</v>
      </c>
      <c r="FL54" s="9">
        <v>0</v>
      </c>
      <c r="FM54" s="10">
        <v>0</v>
      </c>
    </row>
    <row r="55" spans="1:169" x14ac:dyDescent="0.35">
      <c r="A55" s="8" t="s">
        <v>73</v>
      </c>
      <c r="B55" s="9" t="s">
        <v>21</v>
      </c>
      <c r="C55" s="10" t="s">
        <v>22</v>
      </c>
      <c r="D55" s="62">
        <f t="shared" si="97"/>
        <v>5</v>
      </c>
      <c r="E55" s="9">
        <v>0</v>
      </c>
      <c r="F55" s="9">
        <v>0</v>
      </c>
      <c r="G55" s="9">
        <v>0</v>
      </c>
      <c r="H55" s="9">
        <v>0</v>
      </c>
      <c r="I55" s="9">
        <v>0</v>
      </c>
      <c r="J55" s="9">
        <v>0</v>
      </c>
      <c r="K55" s="9">
        <v>0</v>
      </c>
      <c r="L55" s="9">
        <v>0</v>
      </c>
      <c r="M55" s="9">
        <v>0</v>
      </c>
      <c r="N55" s="9">
        <v>0</v>
      </c>
      <c r="O55" s="9">
        <v>0</v>
      </c>
      <c r="P55" s="9">
        <v>0</v>
      </c>
      <c r="Q55" s="9">
        <v>0</v>
      </c>
      <c r="R55" s="9">
        <v>0</v>
      </c>
      <c r="S55" s="9">
        <v>0</v>
      </c>
      <c r="T55" s="9">
        <v>0</v>
      </c>
      <c r="U55" s="9">
        <v>0</v>
      </c>
      <c r="V55" s="9">
        <v>0</v>
      </c>
      <c r="W55" s="9">
        <v>0</v>
      </c>
      <c r="X55" s="9">
        <v>0</v>
      </c>
      <c r="Y55" s="9">
        <v>0</v>
      </c>
      <c r="Z55" s="9">
        <v>0</v>
      </c>
      <c r="AA55" s="9">
        <v>0</v>
      </c>
      <c r="AB55" s="9">
        <v>0</v>
      </c>
      <c r="AC55" s="9">
        <v>0</v>
      </c>
      <c r="AD55" s="9">
        <v>0</v>
      </c>
      <c r="AE55" s="9">
        <v>2</v>
      </c>
      <c r="AF55" s="9">
        <v>3</v>
      </c>
      <c r="AG55" s="9">
        <v>0</v>
      </c>
      <c r="AH55" s="9">
        <v>3</v>
      </c>
      <c r="AI55" s="9">
        <v>3</v>
      </c>
      <c r="AJ55" s="9">
        <v>5</v>
      </c>
      <c r="AK55" s="9">
        <v>5</v>
      </c>
      <c r="AL55" s="9">
        <v>5</v>
      </c>
      <c r="AM55" s="9">
        <v>5</v>
      </c>
      <c r="AN55" s="9">
        <v>2</v>
      </c>
      <c r="AO55" s="9">
        <v>2</v>
      </c>
      <c r="AP55" s="9">
        <v>3</v>
      </c>
      <c r="AQ55" s="9">
        <v>3</v>
      </c>
      <c r="AR55" s="9">
        <v>4</v>
      </c>
      <c r="AS55" s="9">
        <v>0</v>
      </c>
      <c r="AT55" s="9">
        <v>3</v>
      </c>
      <c r="AU55" s="9">
        <v>3</v>
      </c>
      <c r="AV55" s="9">
        <v>3</v>
      </c>
      <c r="AW55" s="9">
        <v>3</v>
      </c>
      <c r="AX55" s="9">
        <v>2</v>
      </c>
      <c r="AY55" s="9">
        <v>2</v>
      </c>
      <c r="AZ55" s="9">
        <v>2</v>
      </c>
      <c r="BA55" s="9">
        <v>2</v>
      </c>
      <c r="BB55" s="9">
        <v>0</v>
      </c>
      <c r="BC55" s="9">
        <v>0</v>
      </c>
      <c r="BD55" s="9">
        <v>0</v>
      </c>
      <c r="BE55" s="9">
        <v>0</v>
      </c>
      <c r="BF55" s="9">
        <v>0</v>
      </c>
      <c r="BG55" s="9">
        <v>0</v>
      </c>
      <c r="BH55" s="9">
        <v>0</v>
      </c>
      <c r="BI55" s="9">
        <v>0</v>
      </c>
      <c r="BJ55" s="9">
        <v>0</v>
      </c>
      <c r="BK55" s="9">
        <v>0</v>
      </c>
      <c r="BL55" s="9">
        <v>0</v>
      </c>
      <c r="BM55" s="9">
        <v>0</v>
      </c>
      <c r="BN55" s="9">
        <v>0</v>
      </c>
      <c r="BO55" s="9">
        <v>0</v>
      </c>
      <c r="BP55" s="9">
        <v>0</v>
      </c>
      <c r="BQ55" s="9">
        <v>0</v>
      </c>
      <c r="BR55" s="9">
        <v>0</v>
      </c>
      <c r="BS55" s="9">
        <v>0</v>
      </c>
      <c r="BT55" s="9">
        <v>0</v>
      </c>
      <c r="BU55" s="9">
        <v>0</v>
      </c>
      <c r="BV55" s="9">
        <v>0</v>
      </c>
      <c r="BW55" s="9">
        <v>0</v>
      </c>
      <c r="BX55" s="9">
        <v>0</v>
      </c>
      <c r="BY55" s="9">
        <v>0</v>
      </c>
      <c r="BZ55" s="9">
        <v>0</v>
      </c>
      <c r="CA55" s="9">
        <v>0</v>
      </c>
      <c r="CB55" s="9">
        <v>0</v>
      </c>
      <c r="CC55" s="9">
        <v>0</v>
      </c>
      <c r="CD55" s="9">
        <v>0</v>
      </c>
      <c r="CE55" s="9">
        <v>0</v>
      </c>
      <c r="CF55" s="9">
        <v>0</v>
      </c>
      <c r="CG55" s="9">
        <v>0</v>
      </c>
      <c r="CH55" s="9">
        <v>0</v>
      </c>
      <c r="CI55" s="9">
        <v>0</v>
      </c>
      <c r="CJ55" s="9">
        <v>0</v>
      </c>
      <c r="CK55" s="9">
        <v>0</v>
      </c>
      <c r="CL55" s="9">
        <v>0</v>
      </c>
      <c r="CM55" s="9">
        <v>0</v>
      </c>
      <c r="CN55" s="9">
        <v>0</v>
      </c>
      <c r="CO55" s="9">
        <v>0</v>
      </c>
      <c r="CP55" s="9">
        <v>0</v>
      </c>
      <c r="CQ55" s="9">
        <v>0</v>
      </c>
      <c r="CR55" s="9">
        <v>0</v>
      </c>
      <c r="CS55" s="9">
        <v>0</v>
      </c>
      <c r="CT55" s="9">
        <v>0</v>
      </c>
      <c r="CU55" s="9">
        <v>0</v>
      </c>
      <c r="CV55" s="9">
        <v>0</v>
      </c>
      <c r="CW55" s="9">
        <v>0</v>
      </c>
      <c r="CX55" s="9">
        <v>0</v>
      </c>
      <c r="CY55" s="9">
        <v>0</v>
      </c>
      <c r="CZ55" s="9">
        <v>0</v>
      </c>
      <c r="DA55" s="9">
        <v>0</v>
      </c>
      <c r="DB55" s="9">
        <v>0</v>
      </c>
      <c r="DC55" s="9">
        <v>0</v>
      </c>
      <c r="DD55" s="9">
        <v>0</v>
      </c>
      <c r="DE55" s="9">
        <v>0</v>
      </c>
      <c r="DF55" s="9">
        <v>0</v>
      </c>
      <c r="DG55" s="9">
        <v>0</v>
      </c>
      <c r="DH55" s="9">
        <v>0</v>
      </c>
      <c r="DI55" s="9">
        <v>0</v>
      </c>
      <c r="DJ55" s="9">
        <v>0</v>
      </c>
      <c r="DK55" s="9">
        <v>0</v>
      </c>
      <c r="DL55" s="9">
        <v>0</v>
      </c>
      <c r="DM55" s="9">
        <v>0</v>
      </c>
      <c r="DN55" s="9">
        <v>0</v>
      </c>
      <c r="DO55" s="9">
        <v>0</v>
      </c>
      <c r="DP55" s="9">
        <v>0</v>
      </c>
      <c r="DQ55" s="9">
        <v>0</v>
      </c>
      <c r="DR55" s="9">
        <v>0</v>
      </c>
      <c r="DS55" s="9">
        <v>0</v>
      </c>
      <c r="DT55" s="9">
        <v>0</v>
      </c>
      <c r="DU55" s="9">
        <v>0</v>
      </c>
      <c r="DV55" s="9">
        <v>0</v>
      </c>
      <c r="DW55" s="9">
        <v>0</v>
      </c>
      <c r="DX55" s="9">
        <v>0</v>
      </c>
      <c r="DY55" s="9">
        <v>0</v>
      </c>
      <c r="DZ55" s="9">
        <v>0</v>
      </c>
      <c r="EA55" s="9">
        <v>0</v>
      </c>
      <c r="EB55" s="9">
        <v>0</v>
      </c>
      <c r="EC55" s="9">
        <v>0</v>
      </c>
      <c r="ED55" s="9">
        <v>0</v>
      </c>
      <c r="EE55" s="9">
        <v>0</v>
      </c>
      <c r="EF55" s="9">
        <v>0</v>
      </c>
      <c r="EG55" s="9">
        <v>0</v>
      </c>
      <c r="EH55" s="9">
        <v>0</v>
      </c>
      <c r="EI55" s="9">
        <v>0</v>
      </c>
      <c r="EJ55" s="9">
        <v>0</v>
      </c>
      <c r="EK55" s="9">
        <v>0</v>
      </c>
      <c r="EL55" s="9">
        <v>0</v>
      </c>
      <c r="EM55" s="9">
        <v>0</v>
      </c>
      <c r="EN55" s="9">
        <v>0</v>
      </c>
      <c r="EO55" s="9">
        <v>0</v>
      </c>
      <c r="EP55" s="9">
        <v>0</v>
      </c>
      <c r="EQ55" s="9">
        <v>0</v>
      </c>
      <c r="ER55" s="9">
        <v>0</v>
      </c>
      <c r="ES55" s="9">
        <v>0</v>
      </c>
      <c r="ET55" s="9">
        <v>0</v>
      </c>
      <c r="EU55" s="9">
        <v>0</v>
      </c>
      <c r="EV55" s="9">
        <v>0</v>
      </c>
      <c r="EW55" s="9">
        <v>0</v>
      </c>
      <c r="EX55" s="9">
        <v>0</v>
      </c>
      <c r="EY55" s="9">
        <v>0</v>
      </c>
      <c r="EZ55" s="9">
        <v>0</v>
      </c>
      <c r="FA55" s="9">
        <v>0</v>
      </c>
      <c r="FB55" s="9">
        <v>0</v>
      </c>
      <c r="FC55" s="9">
        <v>0</v>
      </c>
      <c r="FD55" s="9">
        <v>0</v>
      </c>
      <c r="FE55" s="9">
        <v>0</v>
      </c>
      <c r="FF55" s="9">
        <v>0</v>
      </c>
      <c r="FG55" s="9">
        <v>0</v>
      </c>
      <c r="FH55" s="9">
        <v>0</v>
      </c>
      <c r="FI55" s="9">
        <v>0</v>
      </c>
      <c r="FJ55" s="9">
        <v>0</v>
      </c>
      <c r="FK55" s="9">
        <v>0</v>
      </c>
      <c r="FL55" s="9">
        <v>0</v>
      </c>
      <c r="FM55" s="10">
        <v>0</v>
      </c>
    </row>
    <row r="56" spans="1:169" x14ac:dyDescent="0.35">
      <c r="A56" s="8" t="s">
        <v>73</v>
      </c>
      <c r="B56" s="9" t="s">
        <v>23</v>
      </c>
      <c r="C56" s="10" t="s">
        <v>24</v>
      </c>
      <c r="D56" s="62">
        <f t="shared" si="97"/>
        <v>9</v>
      </c>
      <c r="E56" s="9">
        <v>0</v>
      </c>
      <c r="F56" s="9">
        <v>0</v>
      </c>
      <c r="G56" s="9">
        <v>0</v>
      </c>
      <c r="H56" s="9">
        <v>0</v>
      </c>
      <c r="I56" s="9">
        <v>0</v>
      </c>
      <c r="J56" s="9">
        <v>0</v>
      </c>
      <c r="K56" s="9">
        <v>0</v>
      </c>
      <c r="L56" s="9">
        <v>0</v>
      </c>
      <c r="M56" s="9">
        <v>0</v>
      </c>
      <c r="N56" s="9">
        <v>0</v>
      </c>
      <c r="O56" s="9">
        <v>0</v>
      </c>
      <c r="P56" s="9">
        <v>0</v>
      </c>
      <c r="Q56" s="9">
        <v>0</v>
      </c>
      <c r="R56" s="9">
        <v>0</v>
      </c>
      <c r="S56" s="9">
        <v>0</v>
      </c>
      <c r="T56" s="9">
        <v>0</v>
      </c>
      <c r="U56" s="9">
        <v>0</v>
      </c>
      <c r="V56" s="9">
        <v>0</v>
      </c>
      <c r="W56" s="9">
        <v>0</v>
      </c>
      <c r="X56" s="9">
        <v>0</v>
      </c>
      <c r="Y56" s="9">
        <v>0</v>
      </c>
      <c r="Z56" s="9">
        <v>0</v>
      </c>
      <c r="AA56" s="9">
        <v>0</v>
      </c>
      <c r="AB56" s="9">
        <v>0</v>
      </c>
      <c r="AC56" s="9">
        <v>0</v>
      </c>
      <c r="AD56" s="9">
        <v>0</v>
      </c>
      <c r="AE56" s="9">
        <v>0</v>
      </c>
      <c r="AF56" s="9">
        <v>0</v>
      </c>
      <c r="AG56" s="9">
        <v>0</v>
      </c>
      <c r="AH56" s="9">
        <v>0</v>
      </c>
      <c r="AI56" s="9">
        <v>0</v>
      </c>
      <c r="AJ56" s="9">
        <v>0</v>
      </c>
      <c r="AK56" s="9">
        <v>0</v>
      </c>
      <c r="AL56" s="9">
        <v>0</v>
      </c>
      <c r="AM56" s="9">
        <v>0</v>
      </c>
      <c r="AN56" s="9">
        <v>0</v>
      </c>
      <c r="AO56" s="9">
        <v>0</v>
      </c>
      <c r="AP56" s="9">
        <v>0</v>
      </c>
      <c r="AQ56" s="9">
        <v>0</v>
      </c>
      <c r="AR56" s="9">
        <v>0</v>
      </c>
      <c r="AS56" s="9">
        <v>0</v>
      </c>
      <c r="AT56" s="9">
        <v>0</v>
      </c>
      <c r="AU56" s="9">
        <v>0</v>
      </c>
      <c r="AV56" s="9">
        <v>0</v>
      </c>
      <c r="AW56" s="9">
        <v>0</v>
      </c>
      <c r="AX56" s="9">
        <v>0</v>
      </c>
      <c r="AY56" s="9">
        <v>0</v>
      </c>
      <c r="AZ56" s="9">
        <v>0</v>
      </c>
      <c r="BA56" s="9">
        <v>0</v>
      </c>
      <c r="BB56" s="9">
        <v>0</v>
      </c>
      <c r="BC56" s="9">
        <v>0</v>
      </c>
      <c r="BD56" s="9">
        <v>0</v>
      </c>
      <c r="BE56" s="9">
        <v>0</v>
      </c>
      <c r="BF56" s="9">
        <v>0</v>
      </c>
      <c r="BG56" s="9">
        <v>0</v>
      </c>
      <c r="BH56" s="9">
        <v>0</v>
      </c>
      <c r="BI56" s="9">
        <v>0</v>
      </c>
      <c r="BJ56" s="9">
        <v>0</v>
      </c>
      <c r="BK56" s="9">
        <v>0</v>
      </c>
      <c r="BL56" s="9">
        <v>0</v>
      </c>
      <c r="BM56" s="9">
        <v>0</v>
      </c>
      <c r="BN56" s="9">
        <v>0</v>
      </c>
      <c r="BO56" s="9">
        <v>0</v>
      </c>
      <c r="BP56" s="9">
        <v>0</v>
      </c>
      <c r="BQ56" s="9">
        <v>0</v>
      </c>
      <c r="BR56" s="9">
        <v>0</v>
      </c>
      <c r="BS56" s="9">
        <v>0</v>
      </c>
      <c r="BT56" s="9">
        <v>0</v>
      </c>
      <c r="BU56" s="9">
        <v>0</v>
      </c>
      <c r="BV56" s="9">
        <v>0</v>
      </c>
      <c r="BW56" s="9">
        <v>0</v>
      </c>
      <c r="BX56" s="9">
        <v>0</v>
      </c>
      <c r="BY56" s="9">
        <v>0</v>
      </c>
      <c r="BZ56" s="9">
        <v>0</v>
      </c>
      <c r="CA56" s="9">
        <v>0</v>
      </c>
      <c r="CB56" s="9">
        <v>0</v>
      </c>
      <c r="CC56" s="9">
        <v>0</v>
      </c>
      <c r="CD56" s="9">
        <v>0</v>
      </c>
      <c r="CE56" s="9">
        <v>0</v>
      </c>
      <c r="CF56" s="9">
        <v>0</v>
      </c>
      <c r="CG56" s="9">
        <v>0</v>
      </c>
      <c r="CH56" s="9">
        <v>0</v>
      </c>
      <c r="CI56" s="9">
        <v>0</v>
      </c>
      <c r="CJ56" s="9">
        <v>9</v>
      </c>
      <c r="CK56" s="9">
        <v>0</v>
      </c>
      <c r="CL56" s="9">
        <v>0</v>
      </c>
      <c r="CM56" s="9">
        <v>0</v>
      </c>
      <c r="CN56" s="9">
        <v>0</v>
      </c>
      <c r="CO56" s="9">
        <v>0</v>
      </c>
      <c r="CP56" s="9">
        <v>0</v>
      </c>
      <c r="CQ56" s="9">
        <v>0</v>
      </c>
      <c r="CR56" s="9">
        <v>0</v>
      </c>
      <c r="CS56" s="9">
        <v>0</v>
      </c>
      <c r="CT56" s="9">
        <v>0</v>
      </c>
      <c r="CU56" s="9">
        <v>0</v>
      </c>
      <c r="CV56" s="9">
        <v>0</v>
      </c>
      <c r="CW56" s="9">
        <v>0</v>
      </c>
      <c r="CX56" s="9">
        <v>0</v>
      </c>
      <c r="CY56" s="9">
        <v>0</v>
      </c>
      <c r="CZ56" s="9">
        <v>0</v>
      </c>
      <c r="DA56" s="9">
        <v>0</v>
      </c>
      <c r="DB56" s="9">
        <v>0</v>
      </c>
      <c r="DC56" s="9">
        <v>0</v>
      </c>
      <c r="DD56" s="9">
        <v>0</v>
      </c>
      <c r="DE56" s="9">
        <v>0</v>
      </c>
      <c r="DF56" s="9">
        <v>0</v>
      </c>
      <c r="DG56" s="9">
        <v>0</v>
      </c>
      <c r="DH56" s="9">
        <v>0</v>
      </c>
      <c r="DI56" s="9">
        <v>0</v>
      </c>
      <c r="DJ56" s="9">
        <v>0</v>
      </c>
      <c r="DK56" s="9">
        <v>0</v>
      </c>
      <c r="DL56" s="9">
        <v>0</v>
      </c>
      <c r="DM56" s="9">
        <v>0</v>
      </c>
      <c r="DN56" s="9">
        <v>0</v>
      </c>
      <c r="DO56" s="9">
        <v>0</v>
      </c>
      <c r="DP56" s="9">
        <v>0</v>
      </c>
      <c r="DQ56" s="9">
        <v>0</v>
      </c>
      <c r="DR56" s="9">
        <v>0</v>
      </c>
      <c r="DS56" s="9">
        <v>0</v>
      </c>
      <c r="DT56" s="9">
        <v>0</v>
      </c>
      <c r="DU56" s="9">
        <v>0</v>
      </c>
      <c r="DV56" s="9">
        <v>0</v>
      </c>
      <c r="DW56" s="9">
        <v>0</v>
      </c>
      <c r="DX56" s="9">
        <v>0</v>
      </c>
      <c r="DY56" s="9">
        <v>0</v>
      </c>
      <c r="DZ56" s="9">
        <v>0</v>
      </c>
      <c r="EA56" s="9">
        <v>0</v>
      </c>
      <c r="EB56" s="9">
        <v>0</v>
      </c>
      <c r="EC56" s="9">
        <v>0</v>
      </c>
      <c r="ED56" s="9">
        <v>0</v>
      </c>
      <c r="EE56" s="9">
        <v>0</v>
      </c>
      <c r="EF56" s="9">
        <v>0</v>
      </c>
      <c r="EG56" s="9">
        <v>0</v>
      </c>
      <c r="EH56" s="9">
        <v>0</v>
      </c>
      <c r="EI56" s="9">
        <v>0</v>
      </c>
      <c r="EJ56" s="9">
        <v>0</v>
      </c>
      <c r="EK56" s="9">
        <v>0</v>
      </c>
      <c r="EL56" s="9">
        <v>0</v>
      </c>
      <c r="EM56" s="9">
        <v>0</v>
      </c>
      <c r="EN56" s="9">
        <v>0</v>
      </c>
      <c r="EO56" s="9">
        <v>0</v>
      </c>
      <c r="EP56" s="9">
        <v>0</v>
      </c>
      <c r="EQ56" s="9">
        <v>0</v>
      </c>
      <c r="ER56" s="9">
        <v>0</v>
      </c>
      <c r="ES56" s="9">
        <v>0</v>
      </c>
      <c r="ET56" s="9">
        <v>0</v>
      </c>
      <c r="EU56" s="9">
        <v>0</v>
      </c>
      <c r="EV56" s="9">
        <v>0</v>
      </c>
      <c r="EW56" s="9">
        <v>0</v>
      </c>
      <c r="EX56" s="9">
        <v>0</v>
      </c>
      <c r="EY56" s="9">
        <v>0</v>
      </c>
      <c r="EZ56" s="9">
        <v>0</v>
      </c>
      <c r="FA56" s="9">
        <v>0</v>
      </c>
      <c r="FB56" s="9">
        <v>0</v>
      </c>
      <c r="FC56" s="9">
        <v>0</v>
      </c>
      <c r="FD56" s="9">
        <v>0</v>
      </c>
      <c r="FE56" s="9">
        <v>0</v>
      </c>
      <c r="FF56" s="9">
        <v>0</v>
      </c>
      <c r="FG56" s="9">
        <v>0</v>
      </c>
      <c r="FH56" s="9">
        <v>0</v>
      </c>
      <c r="FI56" s="9">
        <v>0</v>
      </c>
      <c r="FJ56" s="9">
        <v>0</v>
      </c>
      <c r="FK56" s="9">
        <v>0</v>
      </c>
      <c r="FL56" s="9">
        <v>0</v>
      </c>
      <c r="FM56" s="10">
        <v>0</v>
      </c>
    </row>
    <row r="57" spans="1:169" x14ac:dyDescent="0.35">
      <c r="A57" s="8" t="s">
        <v>73</v>
      </c>
      <c r="B57" s="9" t="s">
        <v>98</v>
      </c>
      <c r="C57" s="10" t="s">
        <v>99</v>
      </c>
      <c r="D57" s="62">
        <f t="shared" si="97"/>
        <v>1</v>
      </c>
      <c r="E57" s="9">
        <v>0</v>
      </c>
      <c r="F57" s="9">
        <v>0</v>
      </c>
      <c r="G57" s="9">
        <v>0</v>
      </c>
      <c r="H57" s="9">
        <v>0</v>
      </c>
      <c r="I57" s="9">
        <v>0</v>
      </c>
      <c r="J57" s="9">
        <v>0</v>
      </c>
      <c r="K57" s="9">
        <v>0</v>
      </c>
      <c r="L57" s="9">
        <v>0</v>
      </c>
      <c r="M57" s="9">
        <v>0</v>
      </c>
      <c r="N57" s="9">
        <v>0</v>
      </c>
      <c r="O57" s="9">
        <v>0</v>
      </c>
      <c r="P57" s="9">
        <v>0</v>
      </c>
      <c r="Q57" s="9">
        <v>0</v>
      </c>
      <c r="R57" s="9">
        <v>0</v>
      </c>
      <c r="S57" s="9">
        <v>0</v>
      </c>
      <c r="T57" s="9">
        <v>0</v>
      </c>
      <c r="U57" s="9">
        <v>0</v>
      </c>
      <c r="V57" s="9">
        <v>0</v>
      </c>
      <c r="W57" s="9">
        <v>0</v>
      </c>
      <c r="X57" s="9">
        <v>0</v>
      </c>
      <c r="Y57" s="9">
        <v>1</v>
      </c>
      <c r="Z57" s="9">
        <v>1</v>
      </c>
      <c r="AA57" s="9">
        <v>0</v>
      </c>
      <c r="AB57" s="9">
        <v>0</v>
      </c>
      <c r="AC57" s="9">
        <v>0</v>
      </c>
      <c r="AD57" s="9">
        <v>0</v>
      </c>
      <c r="AE57" s="9">
        <v>0</v>
      </c>
      <c r="AF57" s="9">
        <v>0</v>
      </c>
      <c r="AG57" s="9">
        <v>0</v>
      </c>
      <c r="AH57" s="9">
        <v>0</v>
      </c>
      <c r="AI57" s="9">
        <v>0</v>
      </c>
      <c r="AJ57" s="9">
        <v>0</v>
      </c>
      <c r="AK57" s="9">
        <v>0</v>
      </c>
      <c r="AL57" s="9">
        <v>0</v>
      </c>
      <c r="AM57" s="9">
        <v>0</v>
      </c>
      <c r="AN57" s="9">
        <v>0</v>
      </c>
      <c r="AO57" s="9">
        <v>0</v>
      </c>
      <c r="AP57" s="9">
        <v>0</v>
      </c>
      <c r="AQ57" s="9">
        <v>0</v>
      </c>
      <c r="AR57" s="9">
        <v>0</v>
      </c>
      <c r="AS57" s="9">
        <v>0</v>
      </c>
      <c r="AT57" s="9">
        <v>0</v>
      </c>
      <c r="AU57" s="9">
        <v>0</v>
      </c>
      <c r="AV57" s="9">
        <v>0</v>
      </c>
      <c r="AW57" s="9">
        <v>0</v>
      </c>
      <c r="AX57" s="9">
        <v>0</v>
      </c>
      <c r="AY57" s="9">
        <v>0</v>
      </c>
      <c r="AZ57" s="9">
        <v>0</v>
      </c>
      <c r="BA57" s="9">
        <v>0</v>
      </c>
      <c r="BB57" s="9">
        <v>0</v>
      </c>
      <c r="BC57" s="9">
        <v>0</v>
      </c>
      <c r="BD57" s="9">
        <v>0</v>
      </c>
      <c r="BE57" s="9">
        <v>0</v>
      </c>
      <c r="BF57" s="9">
        <v>0</v>
      </c>
      <c r="BG57" s="9">
        <v>0</v>
      </c>
      <c r="BH57" s="9">
        <v>0</v>
      </c>
      <c r="BI57" s="9">
        <v>0</v>
      </c>
      <c r="BJ57" s="9">
        <v>0</v>
      </c>
      <c r="BK57" s="9">
        <v>0</v>
      </c>
      <c r="BL57" s="9">
        <v>0</v>
      </c>
      <c r="BM57" s="9">
        <v>0</v>
      </c>
      <c r="BN57" s="9">
        <v>0</v>
      </c>
      <c r="BO57" s="9">
        <v>0</v>
      </c>
      <c r="BP57" s="9">
        <v>0</v>
      </c>
      <c r="BQ57" s="9">
        <v>0</v>
      </c>
      <c r="BR57" s="9">
        <v>0</v>
      </c>
      <c r="BS57" s="9">
        <v>0</v>
      </c>
      <c r="BT57" s="9">
        <v>0</v>
      </c>
      <c r="BU57" s="9">
        <v>0</v>
      </c>
      <c r="BV57" s="9">
        <v>0</v>
      </c>
      <c r="BW57" s="9">
        <v>0</v>
      </c>
      <c r="BX57" s="9">
        <v>0</v>
      </c>
      <c r="BY57" s="9">
        <v>0</v>
      </c>
      <c r="BZ57" s="9">
        <v>0</v>
      </c>
      <c r="CA57" s="9">
        <v>0</v>
      </c>
      <c r="CB57" s="9">
        <v>0</v>
      </c>
      <c r="CC57" s="9">
        <v>0</v>
      </c>
      <c r="CD57" s="9">
        <v>0</v>
      </c>
      <c r="CE57" s="9">
        <v>0</v>
      </c>
      <c r="CF57" s="9">
        <v>0</v>
      </c>
      <c r="CG57" s="9">
        <v>0</v>
      </c>
      <c r="CH57" s="9">
        <v>0</v>
      </c>
      <c r="CI57" s="9">
        <v>0</v>
      </c>
      <c r="CJ57" s="9">
        <v>0</v>
      </c>
      <c r="CK57" s="9">
        <v>0</v>
      </c>
      <c r="CL57" s="9">
        <v>0</v>
      </c>
      <c r="CM57" s="9">
        <v>0</v>
      </c>
      <c r="CN57" s="9">
        <v>0</v>
      </c>
      <c r="CO57" s="9">
        <v>0</v>
      </c>
      <c r="CP57" s="9">
        <v>0</v>
      </c>
      <c r="CQ57" s="9">
        <v>0</v>
      </c>
      <c r="CR57" s="9">
        <v>0</v>
      </c>
      <c r="CS57" s="9">
        <v>0</v>
      </c>
      <c r="CT57" s="9">
        <v>0</v>
      </c>
      <c r="CU57" s="9">
        <v>0</v>
      </c>
      <c r="CV57" s="9">
        <v>0</v>
      </c>
      <c r="CW57" s="9">
        <v>0</v>
      </c>
      <c r="CX57" s="9">
        <v>0</v>
      </c>
      <c r="CY57" s="9">
        <v>0</v>
      </c>
      <c r="CZ57" s="9">
        <v>0</v>
      </c>
      <c r="DA57" s="9">
        <v>0</v>
      </c>
      <c r="DB57" s="9">
        <v>0</v>
      </c>
      <c r="DC57" s="9">
        <v>0</v>
      </c>
      <c r="DD57" s="9">
        <v>0</v>
      </c>
      <c r="DE57" s="9">
        <v>0</v>
      </c>
      <c r="DF57" s="9">
        <v>0</v>
      </c>
      <c r="DG57" s="9">
        <v>0</v>
      </c>
      <c r="DH57" s="9">
        <v>0</v>
      </c>
      <c r="DI57" s="9">
        <v>0</v>
      </c>
      <c r="DJ57" s="9">
        <v>0</v>
      </c>
      <c r="DK57" s="9">
        <v>0</v>
      </c>
      <c r="DL57" s="9">
        <v>0</v>
      </c>
      <c r="DM57" s="9">
        <v>0</v>
      </c>
      <c r="DN57" s="9">
        <v>0</v>
      </c>
      <c r="DO57" s="9">
        <v>0</v>
      </c>
      <c r="DP57" s="9">
        <v>0</v>
      </c>
      <c r="DQ57" s="9">
        <v>0</v>
      </c>
      <c r="DR57" s="9">
        <v>0</v>
      </c>
      <c r="DS57" s="9">
        <v>0</v>
      </c>
      <c r="DT57" s="9">
        <v>0</v>
      </c>
      <c r="DU57" s="9">
        <v>0</v>
      </c>
      <c r="DV57" s="9">
        <v>0</v>
      </c>
      <c r="DW57" s="9">
        <v>0</v>
      </c>
      <c r="DX57" s="9">
        <v>0</v>
      </c>
      <c r="DY57" s="9">
        <v>0</v>
      </c>
      <c r="DZ57" s="9">
        <v>0</v>
      </c>
      <c r="EA57" s="9">
        <v>0</v>
      </c>
      <c r="EB57" s="9">
        <v>0</v>
      </c>
      <c r="EC57" s="9">
        <v>0</v>
      </c>
      <c r="ED57" s="9">
        <v>0</v>
      </c>
      <c r="EE57" s="9">
        <v>0</v>
      </c>
      <c r="EF57" s="9">
        <v>0</v>
      </c>
      <c r="EG57" s="9">
        <v>0</v>
      </c>
      <c r="EH57" s="9">
        <v>0</v>
      </c>
      <c r="EI57" s="9">
        <v>0</v>
      </c>
      <c r="EJ57" s="9">
        <v>0</v>
      </c>
      <c r="EK57" s="9">
        <v>0</v>
      </c>
      <c r="EL57" s="9">
        <v>0</v>
      </c>
      <c r="EM57" s="9">
        <v>0</v>
      </c>
      <c r="EN57" s="9">
        <v>0</v>
      </c>
      <c r="EO57" s="9">
        <v>0</v>
      </c>
      <c r="EP57" s="9">
        <v>0</v>
      </c>
      <c r="EQ57" s="9">
        <v>0</v>
      </c>
      <c r="ER57" s="9">
        <v>0</v>
      </c>
      <c r="ES57" s="9">
        <v>0</v>
      </c>
      <c r="ET57" s="9">
        <v>0</v>
      </c>
      <c r="EU57" s="9">
        <v>0</v>
      </c>
      <c r="EV57" s="9">
        <v>0</v>
      </c>
      <c r="EW57" s="9">
        <v>0</v>
      </c>
      <c r="EX57" s="9">
        <v>0</v>
      </c>
      <c r="EY57" s="9">
        <v>0</v>
      </c>
      <c r="EZ57" s="9">
        <v>0</v>
      </c>
      <c r="FA57" s="9">
        <v>0</v>
      </c>
      <c r="FB57" s="9">
        <v>0</v>
      </c>
      <c r="FC57" s="9">
        <v>0</v>
      </c>
      <c r="FD57" s="9">
        <v>0</v>
      </c>
      <c r="FE57" s="9">
        <v>0</v>
      </c>
      <c r="FF57" s="9">
        <v>0</v>
      </c>
      <c r="FG57" s="9">
        <v>0</v>
      </c>
      <c r="FH57" s="9">
        <v>0</v>
      </c>
      <c r="FI57" s="9">
        <v>0</v>
      </c>
      <c r="FJ57" s="9">
        <v>0</v>
      </c>
      <c r="FK57" s="9">
        <v>0</v>
      </c>
      <c r="FL57" s="9">
        <v>0</v>
      </c>
      <c r="FM57" s="10">
        <v>0</v>
      </c>
    </row>
    <row r="58" spans="1:169" x14ac:dyDescent="0.35">
      <c r="A58" s="8" t="s">
        <v>73</v>
      </c>
      <c r="B58" s="9" t="s">
        <v>100</v>
      </c>
      <c r="C58" s="10" t="s">
        <v>101</v>
      </c>
      <c r="D58" s="62">
        <f t="shared" si="97"/>
        <v>4</v>
      </c>
      <c r="E58" s="9">
        <v>0</v>
      </c>
      <c r="F58" s="9">
        <v>0</v>
      </c>
      <c r="G58" s="9">
        <v>0</v>
      </c>
      <c r="H58" s="9">
        <v>0</v>
      </c>
      <c r="I58" s="9">
        <v>0</v>
      </c>
      <c r="J58" s="9">
        <v>0</v>
      </c>
      <c r="K58" s="9">
        <v>0</v>
      </c>
      <c r="L58" s="9">
        <v>0</v>
      </c>
      <c r="M58" s="9">
        <v>0</v>
      </c>
      <c r="N58" s="9">
        <v>0</v>
      </c>
      <c r="O58" s="9">
        <v>0</v>
      </c>
      <c r="P58" s="9">
        <v>0</v>
      </c>
      <c r="Q58" s="9">
        <v>0</v>
      </c>
      <c r="R58" s="9">
        <v>0</v>
      </c>
      <c r="S58" s="9">
        <v>0</v>
      </c>
      <c r="T58" s="9">
        <v>0</v>
      </c>
      <c r="U58" s="9">
        <v>0</v>
      </c>
      <c r="V58" s="9">
        <v>0</v>
      </c>
      <c r="W58" s="9">
        <v>0</v>
      </c>
      <c r="X58" s="9">
        <v>0</v>
      </c>
      <c r="Y58" s="9">
        <v>0</v>
      </c>
      <c r="Z58" s="9">
        <v>0</v>
      </c>
      <c r="AA58" s="9">
        <v>0</v>
      </c>
      <c r="AB58" s="9">
        <v>0</v>
      </c>
      <c r="AC58" s="9">
        <v>0</v>
      </c>
      <c r="AD58" s="9">
        <v>0</v>
      </c>
      <c r="AE58" s="9">
        <v>4</v>
      </c>
      <c r="AF58" s="9">
        <v>4</v>
      </c>
      <c r="AG58" s="9">
        <v>2</v>
      </c>
      <c r="AH58" s="9">
        <v>2</v>
      </c>
      <c r="AI58" s="9">
        <v>0</v>
      </c>
      <c r="AJ58" s="9">
        <v>2</v>
      </c>
      <c r="AK58" s="9">
        <v>0</v>
      </c>
      <c r="AL58" s="9">
        <v>0</v>
      </c>
      <c r="AM58" s="9">
        <v>0</v>
      </c>
      <c r="AN58" s="9">
        <v>0</v>
      </c>
      <c r="AO58" s="9">
        <v>0</v>
      </c>
      <c r="AP58" s="9">
        <v>0</v>
      </c>
      <c r="AQ58" s="9">
        <v>0</v>
      </c>
      <c r="AR58" s="9">
        <v>0</v>
      </c>
      <c r="AS58" s="9">
        <v>0</v>
      </c>
      <c r="AT58" s="9">
        <v>0</v>
      </c>
      <c r="AU58" s="9">
        <v>0</v>
      </c>
      <c r="AV58" s="9">
        <v>0</v>
      </c>
      <c r="AW58" s="9">
        <v>0</v>
      </c>
      <c r="AX58" s="9">
        <v>0</v>
      </c>
      <c r="AY58" s="9">
        <v>0</v>
      </c>
      <c r="AZ58" s="9">
        <v>0</v>
      </c>
      <c r="BA58" s="9">
        <v>0</v>
      </c>
      <c r="BB58" s="9">
        <v>0</v>
      </c>
      <c r="BC58" s="9">
        <v>0</v>
      </c>
      <c r="BD58" s="9">
        <v>0</v>
      </c>
      <c r="BE58" s="9">
        <v>0</v>
      </c>
      <c r="BF58" s="9">
        <v>0</v>
      </c>
      <c r="BG58" s="9">
        <v>0</v>
      </c>
      <c r="BH58" s="9">
        <v>0</v>
      </c>
      <c r="BI58" s="9">
        <v>0</v>
      </c>
      <c r="BJ58" s="9">
        <v>0</v>
      </c>
      <c r="BK58" s="9">
        <v>0</v>
      </c>
      <c r="BL58" s="9">
        <v>0</v>
      </c>
      <c r="BM58" s="9">
        <v>0</v>
      </c>
      <c r="BN58" s="9">
        <v>0</v>
      </c>
      <c r="BO58" s="9">
        <v>0</v>
      </c>
      <c r="BP58" s="9">
        <v>0</v>
      </c>
      <c r="BQ58" s="9">
        <v>0</v>
      </c>
      <c r="BR58" s="9">
        <v>0</v>
      </c>
      <c r="BS58" s="9">
        <v>0</v>
      </c>
      <c r="BT58" s="9">
        <v>0</v>
      </c>
      <c r="BU58" s="9">
        <v>0</v>
      </c>
      <c r="BV58" s="9">
        <v>0</v>
      </c>
      <c r="BW58" s="9">
        <v>0</v>
      </c>
      <c r="BX58" s="9">
        <v>0</v>
      </c>
      <c r="BY58" s="9">
        <v>0</v>
      </c>
      <c r="BZ58" s="9">
        <v>0</v>
      </c>
      <c r="CA58" s="9">
        <v>0</v>
      </c>
      <c r="CB58" s="9">
        <v>0</v>
      </c>
      <c r="CC58" s="9">
        <v>0</v>
      </c>
      <c r="CD58" s="9">
        <v>0</v>
      </c>
      <c r="CE58" s="9">
        <v>0</v>
      </c>
      <c r="CF58" s="9">
        <v>0</v>
      </c>
      <c r="CG58" s="9">
        <v>0</v>
      </c>
      <c r="CH58" s="9">
        <v>0</v>
      </c>
      <c r="CI58" s="9">
        <v>0</v>
      </c>
      <c r="CJ58" s="9">
        <v>0</v>
      </c>
      <c r="CK58" s="9">
        <v>0</v>
      </c>
      <c r="CL58" s="9">
        <v>0</v>
      </c>
      <c r="CM58" s="9">
        <v>0</v>
      </c>
      <c r="CN58" s="9">
        <v>0</v>
      </c>
      <c r="CO58" s="9">
        <v>0</v>
      </c>
      <c r="CP58" s="9">
        <v>0</v>
      </c>
      <c r="CQ58" s="9">
        <v>0</v>
      </c>
      <c r="CR58" s="9">
        <v>0</v>
      </c>
      <c r="CS58" s="9">
        <v>0</v>
      </c>
      <c r="CT58" s="9">
        <v>0</v>
      </c>
      <c r="CU58" s="9">
        <v>0</v>
      </c>
      <c r="CV58" s="9">
        <v>0</v>
      </c>
      <c r="CW58" s="9">
        <v>0</v>
      </c>
      <c r="CX58" s="9">
        <v>0</v>
      </c>
      <c r="CY58" s="9">
        <v>0</v>
      </c>
      <c r="CZ58" s="9">
        <v>0</v>
      </c>
      <c r="DA58" s="9">
        <v>0</v>
      </c>
      <c r="DB58" s="9">
        <v>0</v>
      </c>
      <c r="DC58" s="9">
        <v>0</v>
      </c>
      <c r="DD58" s="9">
        <v>0</v>
      </c>
      <c r="DE58" s="9">
        <v>0</v>
      </c>
      <c r="DF58" s="9">
        <v>0</v>
      </c>
      <c r="DG58" s="9">
        <v>0</v>
      </c>
      <c r="DH58" s="9">
        <v>0</v>
      </c>
      <c r="DI58" s="9">
        <v>0</v>
      </c>
      <c r="DJ58" s="9">
        <v>0</v>
      </c>
      <c r="DK58" s="9">
        <v>0</v>
      </c>
      <c r="DL58" s="9">
        <v>0</v>
      </c>
      <c r="DM58" s="9">
        <v>0</v>
      </c>
      <c r="DN58" s="9">
        <v>0</v>
      </c>
      <c r="DO58" s="9">
        <v>0</v>
      </c>
      <c r="DP58" s="9">
        <v>0</v>
      </c>
      <c r="DQ58" s="9">
        <v>0</v>
      </c>
      <c r="DR58" s="9">
        <v>0</v>
      </c>
      <c r="DS58" s="9">
        <v>0</v>
      </c>
      <c r="DT58" s="9">
        <v>0</v>
      </c>
      <c r="DU58" s="9">
        <v>0</v>
      </c>
      <c r="DV58" s="9">
        <v>0</v>
      </c>
      <c r="DW58" s="9">
        <v>0</v>
      </c>
      <c r="DX58" s="9">
        <v>0</v>
      </c>
      <c r="DY58" s="9">
        <v>0</v>
      </c>
      <c r="DZ58" s="9">
        <v>0</v>
      </c>
      <c r="EA58" s="9">
        <v>0</v>
      </c>
      <c r="EB58" s="9">
        <v>0</v>
      </c>
      <c r="EC58" s="9">
        <v>0</v>
      </c>
      <c r="ED58" s="9">
        <v>0</v>
      </c>
      <c r="EE58" s="9">
        <v>0</v>
      </c>
      <c r="EF58" s="9">
        <v>0</v>
      </c>
      <c r="EG58" s="9">
        <v>0</v>
      </c>
      <c r="EH58" s="9">
        <v>0</v>
      </c>
      <c r="EI58" s="9">
        <v>0</v>
      </c>
      <c r="EJ58" s="9">
        <v>0</v>
      </c>
      <c r="EK58" s="9">
        <v>0</v>
      </c>
      <c r="EL58" s="9">
        <v>0</v>
      </c>
      <c r="EM58" s="9">
        <v>0</v>
      </c>
      <c r="EN58" s="9">
        <v>0</v>
      </c>
      <c r="EO58" s="9">
        <v>0</v>
      </c>
      <c r="EP58" s="9">
        <v>0</v>
      </c>
      <c r="EQ58" s="9">
        <v>0</v>
      </c>
      <c r="ER58" s="9">
        <v>0</v>
      </c>
      <c r="ES58" s="9">
        <v>0</v>
      </c>
      <c r="ET58" s="9">
        <v>0</v>
      </c>
      <c r="EU58" s="9">
        <v>0</v>
      </c>
      <c r="EV58" s="9">
        <v>0</v>
      </c>
      <c r="EW58" s="9">
        <v>0</v>
      </c>
      <c r="EX58" s="9">
        <v>0</v>
      </c>
      <c r="EY58" s="9">
        <v>0</v>
      </c>
      <c r="EZ58" s="9">
        <v>0</v>
      </c>
      <c r="FA58" s="9">
        <v>0</v>
      </c>
      <c r="FB58" s="9">
        <v>0</v>
      </c>
      <c r="FC58" s="9">
        <v>0</v>
      </c>
      <c r="FD58" s="9">
        <v>0</v>
      </c>
      <c r="FE58" s="9">
        <v>0</v>
      </c>
      <c r="FF58" s="9">
        <v>0</v>
      </c>
      <c r="FG58" s="9">
        <v>0</v>
      </c>
      <c r="FH58" s="9">
        <v>0</v>
      </c>
      <c r="FI58" s="9">
        <v>0</v>
      </c>
      <c r="FJ58" s="9">
        <v>0</v>
      </c>
      <c r="FK58" s="9">
        <v>0</v>
      </c>
      <c r="FL58" s="9">
        <v>0</v>
      </c>
      <c r="FM58" s="10">
        <v>0</v>
      </c>
    </row>
    <row r="59" spans="1:169" x14ac:dyDescent="0.35">
      <c r="A59" s="8" t="s">
        <v>73</v>
      </c>
      <c r="B59" s="9" t="s">
        <v>25</v>
      </c>
      <c r="C59" s="10" t="s">
        <v>26</v>
      </c>
      <c r="D59" s="62">
        <f t="shared" si="97"/>
        <v>0</v>
      </c>
      <c r="E59" s="9">
        <v>0</v>
      </c>
      <c r="F59" s="9">
        <v>0</v>
      </c>
      <c r="G59" s="9">
        <v>0</v>
      </c>
      <c r="H59" s="9">
        <v>0</v>
      </c>
      <c r="I59" s="9">
        <v>0</v>
      </c>
      <c r="J59" s="9">
        <v>0</v>
      </c>
      <c r="K59" s="9">
        <v>0</v>
      </c>
      <c r="L59" s="9">
        <v>0</v>
      </c>
      <c r="M59" s="9">
        <v>0</v>
      </c>
      <c r="N59" s="9">
        <v>0</v>
      </c>
      <c r="O59" s="9">
        <v>0</v>
      </c>
      <c r="P59" s="9">
        <v>0</v>
      </c>
      <c r="Q59" s="9">
        <v>0</v>
      </c>
      <c r="R59" s="9">
        <v>0</v>
      </c>
      <c r="S59" s="9">
        <v>0</v>
      </c>
      <c r="T59" s="9">
        <v>0</v>
      </c>
      <c r="U59" s="9">
        <v>0</v>
      </c>
      <c r="V59" s="9">
        <v>0</v>
      </c>
      <c r="W59" s="9">
        <v>0</v>
      </c>
      <c r="X59" s="9">
        <v>0</v>
      </c>
      <c r="Y59" s="9">
        <v>0</v>
      </c>
      <c r="Z59" s="9">
        <v>0</v>
      </c>
      <c r="AA59" s="9">
        <v>0</v>
      </c>
      <c r="AB59" s="9">
        <v>0</v>
      </c>
      <c r="AC59" s="9">
        <v>0</v>
      </c>
      <c r="AD59" s="9">
        <v>0</v>
      </c>
      <c r="AE59" s="9">
        <v>0</v>
      </c>
      <c r="AF59" s="9">
        <v>0</v>
      </c>
      <c r="AG59" s="9">
        <v>0</v>
      </c>
      <c r="AH59" s="9">
        <v>0</v>
      </c>
      <c r="AI59" s="9">
        <v>0</v>
      </c>
      <c r="AJ59" s="9">
        <v>0</v>
      </c>
      <c r="AK59" s="9">
        <v>0</v>
      </c>
      <c r="AL59" s="9">
        <v>0</v>
      </c>
      <c r="AM59" s="9">
        <v>0</v>
      </c>
      <c r="AN59" s="9">
        <v>0</v>
      </c>
      <c r="AO59" s="9">
        <v>0</v>
      </c>
      <c r="AP59" s="9">
        <v>0</v>
      </c>
      <c r="AQ59" s="9">
        <v>0</v>
      </c>
      <c r="AR59" s="9">
        <v>0</v>
      </c>
      <c r="AS59" s="9">
        <v>0</v>
      </c>
      <c r="AT59" s="9">
        <v>0</v>
      </c>
      <c r="AU59" s="9">
        <v>0</v>
      </c>
      <c r="AV59" s="9">
        <v>0</v>
      </c>
      <c r="AW59" s="9">
        <v>0</v>
      </c>
      <c r="AX59" s="9">
        <v>0</v>
      </c>
      <c r="AY59" s="9">
        <v>0</v>
      </c>
      <c r="AZ59" s="9">
        <v>0</v>
      </c>
      <c r="BA59" s="9">
        <v>0</v>
      </c>
      <c r="BB59" s="9">
        <v>0</v>
      </c>
      <c r="BC59" s="9">
        <v>0</v>
      </c>
      <c r="BD59" s="9">
        <v>0</v>
      </c>
      <c r="BE59" s="9">
        <v>0</v>
      </c>
      <c r="BF59" s="9">
        <v>0</v>
      </c>
      <c r="BG59" s="9">
        <v>0</v>
      </c>
      <c r="BH59" s="9">
        <v>0</v>
      </c>
      <c r="BI59" s="9">
        <v>0</v>
      </c>
      <c r="BJ59" s="9">
        <v>0</v>
      </c>
      <c r="BK59" s="9">
        <v>0</v>
      </c>
      <c r="BL59" s="9">
        <v>0</v>
      </c>
      <c r="BM59" s="9">
        <v>0</v>
      </c>
      <c r="BN59" s="9">
        <v>0</v>
      </c>
      <c r="BO59" s="9">
        <v>0</v>
      </c>
      <c r="BP59" s="9">
        <v>0</v>
      </c>
      <c r="BQ59" s="9">
        <v>0</v>
      </c>
      <c r="BR59" s="9">
        <v>0</v>
      </c>
      <c r="BS59" s="9">
        <v>0</v>
      </c>
      <c r="BT59" s="9">
        <v>0</v>
      </c>
      <c r="BU59" s="9">
        <v>0</v>
      </c>
      <c r="BV59" s="9">
        <v>0</v>
      </c>
      <c r="BW59" s="9">
        <v>0</v>
      </c>
      <c r="BX59" s="9">
        <v>0</v>
      </c>
      <c r="BY59" s="9">
        <v>0</v>
      </c>
      <c r="BZ59" s="9">
        <v>0</v>
      </c>
      <c r="CA59" s="9">
        <v>0</v>
      </c>
      <c r="CB59" s="9">
        <v>0</v>
      </c>
      <c r="CC59" s="9">
        <v>0</v>
      </c>
      <c r="CD59" s="9">
        <v>0</v>
      </c>
      <c r="CE59" s="9">
        <v>0</v>
      </c>
      <c r="CF59" s="9">
        <v>0</v>
      </c>
      <c r="CG59" s="9">
        <v>0</v>
      </c>
      <c r="CH59" s="9">
        <v>0</v>
      </c>
      <c r="CI59" s="9">
        <v>0</v>
      </c>
      <c r="CJ59" s="9">
        <v>0</v>
      </c>
      <c r="CK59" s="9">
        <v>0</v>
      </c>
      <c r="CL59" s="9">
        <v>0</v>
      </c>
      <c r="CM59" s="9">
        <v>0</v>
      </c>
      <c r="CN59" s="9">
        <v>0</v>
      </c>
      <c r="CO59" s="9">
        <v>0</v>
      </c>
      <c r="CP59" s="9">
        <v>0</v>
      </c>
      <c r="CQ59" s="9">
        <v>0</v>
      </c>
      <c r="CR59" s="9">
        <v>0</v>
      </c>
      <c r="CS59" s="9">
        <v>0</v>
      </c>
      <c r="CT59" s="9">
        <v>0</v>
      </c>
      <c r="CU59" s="9">
        <v>0</v>
      </c>
      <c r="CV59" s="9">
        <v>0</v>
      </c>
      <c r="CW59" s="9">
        <v>0</v>
      </c>
      <c r="CX59" s="9">
        <v>0</v>
      </c>
      <c r="CY59" s="9">
        <v>0</v>
      </c>
      <c r="CZ59" s="9">
        <v>0</v>
      </c>
      <c r="DA59" s="9">
        <v>0</v>
      </c>
      <c r="DB59" s="9">
        <v>0</v>
      </c>
      <c r="DC59" s="9">
        <v>0</v>
      </c>
      <c r="DD59" s="9">
        <v>0</v>
      </c>
      <c r="DE59" s="9">
        <v>0</v>
      </c>
      <c r="DF59" s="9">
        <v>0</v>
      </c>
      <c r="DG59" s="9">
        <v>0</v>
      </c>
      <c r="DH59" s="9">
        <v>0</v>
      </c>
      <c r="DI59" s="9">
        <v>0</v>
      </c>
      <c r="DJ59" s="9">
        <v>0</v>
      </c>
      <c r="DK59" s="9">
        <v>0</v>
      </c>
      <c r="DL59" s="9">
        <v>0</v>
      </c>
      <c r="DM59" s="9">
        <v>0</v>
      </c>
      <c r="DN59" s="9">
        <v>0</v>
      </c>
      <c r="DO59" s="9">
        <v>0</v>
      </c>
      <c r="DP59" s="9">
        <v>0</v>
      </c>
      <c r="DQ59" s="9">
        <v>0</v>
      </c>
      <c r="DR59" s="9">
        <v>0</v>
      </c>
      <c r="DS59" s="9">
        <v>0</v>
      </c>
      <c r="DT59" s="9">
        <v>0</v>
      </c>
      <c r="DU59" s="9">
        <v>0</v>
      </c>
      <c r="DV59" s="9">
        <v>0</v>
      </c>
      <c r="DW59" s="9">
        <v>0</v>
      </c>
      <c r="DX59" s="9">
        <v>0</v>
      </c>
      <c r="DY59" s="9">
        <v>0</v>
      </c>
      <c r="DZ59" s="9">
        <v>0</v>
      </c>
      <c r="EA59" s="9">
        <v>0</v>
      </c>
      <c r="EB59" s="9">
        <v>0</v>
      </c>
      <c r="EC59" s="9">
        <v>0</v>
      </c>
      <c r="ED59" s="9">
        <v>0</v>
      </c>
      <c r="EE59" s="9">
        <v>0</v>
      </c>
      <c r="EF59" s="9">
        <v>0</v>
      </c>
      <c r="EG59" s="9">
        <v>0</v>
      </c>
      <c r="EH59" s="9">
        <v>0</v>
      </c>
      <c r="EI59" s="9">
        <v>0</v>
      </c>
      <c r="EJ59" s="9">
        <v>0</v>
      </c>
      <c r="EK59" s="9">
        <v>0</v>
      </c>
      <c r="EL59" s="9">
        <v>0</v>
      </c>
      <c r="EM59" s="9">
        <v>0</v>
      </c>
      <c r="EN59" s="9">
        <v>0</v>
      </c>
      <c r="EO59" s="9">
        <v>0</v>
      </c>
      <c r="EP59" s="9">
        <v>0</v>
      </c>
      <c r="EQ59" s="9">
        <v>0</v>
      </c>
      <c r="ER59" s="9">
        <v>0</v>
      </c>
      <c r="ES59" s="9">
        <v>0</v>
      </c>
      <c r="ET59" s="9">
        <v>0</v>
      </c>
      <c r="EU59" s="9">
        <v>0</v>
      </c>
      <c r="EV59" s="9">
        <v>0</v>
      </c>
      <c r="EW59" s="9">
        <v>0</v>
      </c>
      <c r="EX59" s="9">
        <v>0</v>
      </c>
      <c r="EY59" s="9">
        <v>0</v>
      </c>
      <c r="EZ59" s="9">
        <v>0</v>
      </c>
      <c r="FA59" s="9">
        <v>0</v>
      </c>
      <c r="FB59" s="9">
        <v>0</v>
      </c>
      <c r="FC59" s="9">
        <v>0</v>
      </c>
      <c r="FD59" s="9">
        <v>0</v>
      </c>
      <c r="FE59" s="9">
        <v>0</v>
      </c>
      <c r="FF59" s="9">
        <v>0</v>
      </c>
      <c r="FG59" s="9">
        <v>0</v>
      </c>
      <c r="FH59" s="9">
        <v>0</v>
      </c>
      <c r="FI59" s="9">
        <v>0</v>
      </c>
      <c r="FJ59" s="9">
        <v>0</v>
      </c>
      <c r="FK59" s="9">
        <v>0</v>
      </c>
      <c r="FL59" s="9">
        <v>0</v>
      </c>
      <c r="FM59" s="10">
        <v>0</v>
      </c>
    </row>
    <row r="60" spans="1:169" x14ac:dyDescent="0.35">
      <c r="A60" s="8" t="s">
        <v>73</v>
      </c>
      <c r="B60" s="9" t="s">
        <v>102</v>
      </c>
      <c r="C60" s="10" t="s">
        <v>103</v>
      </c>
      <c r="D60" s="62">
        <f t="shared" si="97"/>
        <v>27</v>
      </c>
      <c r="E60" s="9">
        <v>0</v>
      </c>
      <c r="F60" s="9">
        <v>0</v>
      </c>
      <c r="G60" s="9">
        <v>0</v>
      </c>
      <c r="H60" s="9">
        <v>0</v>
      </c>
      <c r="I60" s="9">
        <v>0</v>
      </c>
      <c r="J60" s="9">
        <v>0</v>
      </c>
      <c r="K60" s="9">
        <v>0</v>
      </c>
      <c r="L60" s="9">
        <v>0</v>
      </c>
      <c r="M60" s="9">
        <v>0</v>
      </c>
      <c r="N60" s="9">
        <v>0</v>
      </c>
      <c r="O60" s="9">
        <v>0</v>
      </c>
      <c r="P60" s="9">
        <v>0</v>
      </c>
      <c r="Q60" s="9">
        <v>0</v>
      </c>
      <c r="R60" s="9">
        <v>0</v>
      </c>
      <c r="S60" s="9">
        <v>19</v>
      </c>
      <c r="T60" s="9">
        <v>24</v>
      </c>
      <c r="U60" s="9">
        <v>19</v>
      </c>
      <c r="V60" s="9">
        <v>21</v>
      </c>
      <c r="W60" s="9">
        <v>21</v>
      </c>
      <c r="X60" s="9">
        <v>20</v>
      </c>
      <c r="Y60" s="9">
        <v>19</v>
      </c>
      <c r="Z60" s="9">
        <v>19</v>
      </c>
      <c r="AA60" s="9">
        <v>19</v>
      </c>
      <c r="AB60" s="9">
        <v>18</v>
      </c>
      <c r="AC60" s="9">
        <v>20</v>
      </c>
      <c r="AD60" s="9">
        <v>24</v>
      </c>
      <c r="AE60" s="9">
        <v>24</v>
      </c>
      <c r="AF60" s="9">
        <v>25</v>
      </c>
      <c r="AG60" s="9">
        <v>24</v>
      </c>
      <c r="AH60" s="9">
        <v>24</v>
      </c>
      <c r="AI60" s="9">
        <v>24</v>
      </c>
      <c r="AJ60" s="9">
        <v>25</v>
      </c>
      <c r="AK60" s="9">
        <v>25</v>
      </c>
      <c r="AL60" s="9">
        <v>26</v>
      </c>
      <c r="AM60" s="9">
        <v>8</v>
      </c>
      <c r="AN60" s="9">
        <v>27</v>
      </c>
      <c r="AO60" s="9">
        <v>27</v>
      </c>
      <c r="AP60" s="9">
        <v>25</v>
      </c>
      <c r="AQ60" s="9">
        <v>2</v>
      </c>
      <c r="AR60" s="9">
        <v>5</v>
      </c>
      <c r="AS60" s="9">
        <v>14</v>
      </c>
      <c r="AT60" s="9">
        <v>13</v>
      </c>
      <c r="AU60" s="9">
        <v>13</v>
      </c>
      <c r="AV60" s="9">
        <v>5</v>
      </c>
      <c r="AW60" s="9">
        <v>4</v>
      </c>
      <c r="AX60" s="9">
        <v>5</v>
      </c>
      <c r="AY60" s="9">
        <v>11</v>
      </c>
      <c r="AZ60" s="9">
        <v>5</v>
      </c>
      <c r="BA60" s="9">
        <v>5</v>
      </c>
      <c r="BB60" s="9">
        <v>5</v>
      </c>
      <c r="BC60" s="9">
        <v>5</v>
      </c>
      <c r="BD60" s="9">
        <v>2</v>
      </c>
      <c r="BE60" s="9">
        <v>5</v>
      </c>
      <c r="BF60" s="9">
        <v>7</v>
      </c>
      <c r="BG60" s="9">
        <v>15</v>
      </c>
      <c r="BH60" s="9">
        <v>10</v>
      </c>
      <c r="BI60" s="9">
        <v>11</v>
      </c>
      <c r="BJ60" s="9">
        <v>5</v>
      </c>
      <c r="BK60" s="9">
        <v>2</v>
      </c>
      <c r="BL60" s="9">
        <v>8</v>
      </c>
      <c r="BM60" s="9">
        <v>15</v>
      </c>
      <c r="BN60" s="9">
        <v>15</v>
      </c>
      <c r="BO60" s="9">
        <v>25</v>
      </c>
      <c r="BP60" s="9">
        <v>13</v>
      </c>
      <c r="BQ60" s="9">
        <v>9</v>
      </c>
      <c r="BR60" s="9">
        <v>8</v>
      </c>
      <c r="BS60" s="9">
        <v>10</v>
      </c>
      <c r="BT60" s="9">
        <v>9</v>
      </c>
      <c r="BU60" s="9">
        <v>18</v>
      </c>
      <c r="BV60" s="9">
        <v>13</v>
      </c>
      <c r="BW60" s="9">
        <v>13</v>
      </c>
      <c r="BX60" s="9">
        <v>9</v>
      </c>
      <c r="BY60" s="9">
        <v>5</v>
      </c>
      <c r="BZ60" s="9">
        <v>9</v>
      </c>
      <c r="CA60" s="9">
        <v>17</v>
      </c>
      <c r="CB60" s="9">
        <v>11</v>
      </c>
      <c r="CC60" s="9">
        <v>13</v>
      </c>
      <c r="CD60" s="9">
        <v>10</v>
      </c>
      <c r="CE60" s="9">
        <v>12</v>
      </c>
      <c r="CF60" s="9">
        <v>8</v>
      </c>
      <c r="CG60" s="9">
        <v>11</v>
      </c>
      <c r="CH60" s="9">
        <v>18</v>
      </c>
      <c r="CI60" s="9">
        <v>23</v>
      </c>
      <c r="CJ60" s="9">
        <v>1</v>
      </c>
      <c r="CK60" s="9">
        <v>1</v>
      </c>
      <c r="CL60" s="9">
        <v>1</v>
      </c>
      <c r="CM60" s="9">
        <v>1</v>
      </c>
      <c r="CN60" s="9">
        <v>2</v>
      </c>
      <c r="CO60" s="9">
        <v>1</v>
      </c>
      <c r="CP60" s="9">
        <v>1</v>
      </c>
      <c r="CQ60" s="9">
        <v>1</v>
      </c>
      <c r="CR60" s="9">
        <v>1</v>
      </c>
      <c r="CS60" s="9">
        <v>1</v>
      </c>
      <c r="CT60" s="9">
        <v>1</v>
      </c>
      <c r="CU60" s="9">
        <v>1</v>
      </c>
      <c r="CV60" s="9">
        <v>1</v>
      </c>
      <c r="CW60" s="9">
        <v>1</v>
      </c>
      <c r="CX60" s="9">
        <v>1</v>
      </c>
      <c r="CY60" s="9">
        <v>1</v>
      </c>
      <c r="CZ60" s="9">
        <v>1</v>
      </c>
      <c r="DA60" s="9">
        <v>1</v>
      </c>
      <c r="DB60" s="9">
        <v>1</v>
      </c>
      <c r="DC60" s="9">
        <v>1</v>
      </c>
      <c r="DD60" s="9">
        <v>1</v>
      </c>
      <c r="DE60" s="9">
        <v>1</v>
      </c>
      <c r="DF60" s="9">
        <v>1</v>
      </c>
      <c r="DG60" s="9">
        <v>1</v>
      </c>
      <c r="DH60" s="9">
        <v>1</v>
      </c>
      <c r="DI60" s="9">
        <v>1</v>
      </c>
      <c r="DJ60" s="9">
        <v>1</v>
      </c>
      <c r="DK60" s="9">
        <v>1</v>
      </c>
      <c r="DL60" s="9">
        <v>1</v>
      </c>
      <c r="DM60" s="9">
        <v>1</v>
      </c>
      <c r="DN60" s="9">
        <v>1</v>
      </c>
      <c r="DO60" s="9">
        <v>1</v>
      </c>
      <c r="DP60" s="9">
        <v>1</v>
      </c>
      <c r="DQ60" s="9">
        <v>1</v>
      </c>
      <c r="DR60" s="9">
        <v>1</v>
      </c>
      <c r="DS60" s="9">
        <v>1</v>
      </c>
      <c r="DT60" s="9">
        <v>1</v>
      </c>
      <c r="DU60" s="9">
        <v>1</v>
      </c>
      <c r="DV60" s="9">
        <v>1</v>
      </c>
      <c r="DW60" s="9">
        <v>1</v>
      </c>
      <c r="DX60" s="9">
        <v>1</v>
      </c>
      <c r="DY60" s="9">
        <v>1</v>
      </c>
      <c r="DZ60" s="9">
        <v>1</v>
      </c>
      <c r="EA60" s="9">
        <v>1</v>
      </c>
      <c r="EB60" s="9">
        <v>1</v>
      </c>
      <c r="EC60" s="9">
        <v>0</v>
      </c>
      <c r="ED60" s="9">
        <v>1</v>
      </c>
      <c r="EE60" s="9">
        <v>1</v>
      </c>
      <c r="EF60" s="9">
        <v>1</v>
      </c>
      <c r="EG60" s="9">
        <v>1</v>
      </c>
      <c r="EH60" s="9">
        <v>1</v>
      </c>
      <c r="EI60" s="9">
        <v>1</v>
      </c>
      <c r="EJ60" s="9">
        <v>1</v>
      </c>
      <c r="EK60" s="9">
        <v>1</v>
      </c>
      <c r="EL60" s="9">
        <v>1</v>
      </c>
      <c r="EM60" s="9">
        <v>0</v>
      </c>
      <c r="EN60" s="9">
        <v>1</v>
      </c>
      <c r="EO60" s="9">
        <v>1</v>
      </c>
      <c r="EP60" s="9">
        <v>1</v>
      </c>
      <c r="EQ60" s="9">
        <v>1</v>
      </c>
      <c r="ER60" s="9">
        <v>1</v>
      </c>
      <c r="ES60" s="9">
        <v>1</v>
      </c>
      <c r="ET60" s="9">
        <v>1</v>
      </c>
      <c r="EU60" s="9">
        <v>1</v>
      </c>
      <c r="EV60" s="9">
        <v>1</v>
      </c>
      <c r="EW60" s="9">
        <v>1</v>
      </c>
      <c r="EX60" s="9">
        <v>1</v>
      </c>
      <c r="EY60" s="9">
        <v>1</v>
      </c>
      <c r="EZ60" s="9">
        <v>1</v>
      </c>
      <c r="FA60" s="9">
        <v>1</v>
      </c>
      <c r="FB60" s="9">
        <v>1</v>
      </c>
      <c r="FC60" s="9">
        <v>0</v>
      </c>
      <c r="FD60" s="9">
        <v>0</v>
      </c>
      <c r="FE60" s="9">
        <v>0</v>
      </c>
      <c r="FF60" s="9">
        <v>0</v>
      </c>
      <c r="FG60" s="9">
        <v>0</v>
      </c>
      <c r="FH60" s="9">
        <v>0</v>
      </c>
      <c r="FI60" s="9">
        <v>0</v>
      </c>
      <c r="FJ60" s="9">
        <v>0</v>
      </c>
      <c r="FK60" s="9">
        <v>0</v>
      </c>
      <c r="FL60" s="9">
        <v>0</v>
      </c>
      <c r="FM60" s="10">
        <v>0</v>
      </c>
    </row>
    <row r="61" spans="1:169" x14ac:dyDescent="0.35">
      <c r="A61" s="8" t="s">
        <v>73</v>
      </c>
      <c r="B61" s="9" t="s">
        <v>29</v>
      </c>
      <c r="C61" s="10" t="s">
        <v>30</v>
      </c>
      <c r="D61" s="62">
        <f t="shared" si="97"/>
        <v>2</v>
      </c>
      <c r="E61" s="9">
        <v>0</v>
      </c>
      <c r="F61" s="9">
        <v>0</v>
      </c>
      <c r="G61" s="9">
        <v>0</v>
      </c>
      <c r="H61" s="9">
        <v>0</v>
      </c>
      <c r="I61" s="9">
        <v>0</v>
      </c>
      <c r="J61" s="9">
        <v>0</v>
      </c>
      <c r="K61" s="9">
        <v>0</v>
      </c>
      <c r="L61" s="9">
        <v>0</v>
      </c>
      <c r="M61" s="9">
        <v>0</v>
      </c>
      <c r="N61" s="9">
        <v>0</v>
      </c>
      <c r="O61" s="9">
        <v>0</v>
      </c>
      <c r="P61" s="9">
        <v>0</v>
      </c>
      <c r="Q61" s="9">
        <v>0</v>
      </c>
      <c r="R61" s="9">
        <v>0</v>
      </c>
      <c r="S61" s="9">
        <v>0</v>
      </c>
      <c r="T61" s="9">
        <v>0</v>
      </c>
      <c r="U61" s="9">
        <v>0</v>
      </c>
      <c r="V61" s="9">
        <v>1</v>
      </c>
      <c r="W61" s="9">
        <v>1</v>
      </c>
      <c r="X61" s="9">
        <v>1</v>
      </c>
      <c r="Y61" s="9">
        <v>2</v>
      </c>
      <c r="Z61" s="9">
        <v>2</v>
      </c>
      <c r="AA61" s="9">
        <v>2</v>
      </c>
      <c r="AB61" s="9">
        <v>2</v>
      </c>
      <c r="AC61" s="9">
        <v>2</v>
      </c>
      <c r="AD61" s="9">
        <v>1</v>
      </c>
      <c r="AE61" s="9">
        <v>2</v>
      </c>
      <c r="AF61" s="9">
        <v>2</v>
      </c>
      <c r="AG61" s="9">
        <v>2</v>
      </c>
      <c r="AH61" s="9">
        <v>1</v>
      </c>
      <c r="AI61" s="9">
        <v>0</v>
      </c>
      <c r="AJ61" s="9">
        <v>0</v>
      </c>
      <c r="AK61" s="9">
        <v>0</v>
      </c>
      <c r="AL61" s="9">
        <v>0</v>
      </c>
      <c r="AM61" s="9">
        <v>0</v>
      </c>
      <c r="AN61" s="9">
        <v>0</v>
      </c>
      <c r="AO61" s="9">
        <v>0</v>
      </c>
      <c r="AP61" s="9">
        <v>0</v>
      </c>
      <c r="AQ61" s="9">
        <v>0</v>
      </c>
      <c r="AR61" s="9">
        <v>0</v>
      </c>
      <c r="AS61" s="9">
        <v>0</v>
      </c>
      <c r="AT61" s="9">
        <v>0</v>
      </c>
      <c r="AU61" s="9">
        <v>0</v>
      </c>
      <c r="AV61" s="9">
        <v>0</v>
      </c>
      <c r="AW61" s="9">
        <v>0</v>
      </c>
      <c r="AX61" s="9">
        <v>0</v>
      </c>
      <c r="AY61" s="9">
        <v>0</v>
      </c>
      <c r="AZ61" s="9">
        <v>0</v>
      </c>
      <c r="BA61" s="9">
        <v>0</v>
      </c>
      <c r="BB61" s="9">
        <v>0</v>
      </c>
      <c r="BC61" s="9">
        <v>0</v>
      </c>
      <c r="BD61" s="9">
        <v>0</v>
      </c>
      <c r="BE61" s="9">
        <v>0</v>
      </c>
      <c r="BF61" s="9">
        <v>0</v>
      </c>
      <c r="BG61" s="9">
        <v>0</v>
      </c>
      <c r="BH61" s="9">
        <v>0</v>
      </c>
      <c r="BI61" s="9">
        <v>0</v>
      </c>
      <c r="BJ61" s="9">
        <v>0</v>
      </c>
      <c r="BK61" s="9">
        <v>0</v>
      </c>
      <c r="BL61" s="9">
        <v>0</v>
      </c>
      <c r="BM61" s="9">
        <v>0</v>
      </c>
      <c r="BN61" s="9">
        <v>0</v>
      </c>
      <c r="BO61" s="9">
        <v>0</v>
      </c>
      <c r="BP61" s="9">
        <v>0</v>
      </c>
      <c r="BQ61" s="9">
        <v>0</v>
      </c>
      <c r="BR61" s="9">
        <v>0</v>
      </c>
      <c r="BS61" s="9">
        <v>0</v>
      </c>
      <c r="BT61" s="9">
        <v>0</v>
      </c>
      <c r="BU61" s="9">
        <v>0</v>
      </c>
      <c r="BV61" s="9">
        <v>0</v>
      </c>
      <c r="BW61" s="9">
        <v>0</v>
      </c>
      <c r="BX61" s="9">
        <v>0</v>
      </c>
      <c r="BY61" s="9">
        <v>0</v>
      </c>
      <c r="BZ61" s="9">
        <v>0</v>
      </c>
      <c r="CA61" s="9">
        <v>0</v>
      </c>
      <c r="CB61" s="9">
        <v>0</v>
      </c>
      <c r="CC61" s="9">
        <v>0</v>
      </c>
      <c r="CD61" s="9">
        <v>0</v>
      </c>
      <c r="CE61" s="9">
        <v>0</v>
      </c>
      <c r="CF61" s="9">
        <v>0</v>
      </c>
      <c r="CG61" s="9">
        <v>0</v>
      </c>
      <c r="CH61" s="9">
        <v>0</v>
      </c>
      <c r="CI61" s="9">
        <v>0</v>
      </c>
      <c r="CJ61" s="9">
        <v>0</v>
      </c>
      <c r="CK61" s="9">
        <v>0</v>
      </c>
      <c r="CL61" s="9">
        <v>0</v>
      </c>
      <c r="CM61" s="9">
        <v>0</v>
      </c>
      <c r="CN61" s="9">
        <v>0</v>
      </c>
      <c r="CO61" s="9">
        <v>0</v>
      </c>
      <c r="CP61" s="9">
        <v>0</v>
      </c>
      <c r="CQ61" s="9">
        <v>0</v>
      </c>
      <c r="CR61" s="9">
        <v>0</v>
      </c>
      <c r="CS61" s="9">
        <v>0</v>
      </c>
      <c r="CT61" s="9">
        <v>0</v>
      </c>
      <c r="CU61" s="9">
        <v>0</v>
      </c>
      <c r="CV61" s="9">
        <v>0</v>
      </c>
      <c r="CW61" s="9">
        <v>0</v>
      </c>
      <c r="CX61" s="9">
        <v>0</v>
      </c>
      <c r="CY61" s="9">
        <v>0</v>
      </c>
      <c r="CZ61" s="9">
        <v>0</v>
      </c>
      <c r="DA61" s="9">
        <v>0</v>
      </c>
      <c r="DB61" s="9">
        <v>0</v>
      </c>
      <c r="DC61" s="9">
        <v>0</v>
      </c>
      <c r="DD61" s="9">
        <v>0</v>
      </c>
      <c r="DE61" s="9">
        <v>0</v>
      </c>
      <c r="DF61" s="9">
        <v>0</v>
      </c>
      <c r="DG61" s="9">
        <v>0</v>
      </c>
      <c r="DH61" s="9">
        <v>0</v>
      </c>
      <c r="DI61" s="9">
        <v>0</v>
      </c>
      <c r="DJ61" s="9">
        <v>0</v>
      </c>
      <c r="DK61" s="9">
        <v>0</v>
      </c>
      <c r="DL61" s="9">
        <v>0</v>
      </c>
      <c r="DM61" s="9">
        <v>0</v>
      </c>
      <c r="DN61" s="9">
        <v>0</v>
      </c>
      <c r="DO61" s="9">
        <v>0</v>
      </c>
      <c r="DP61" s="9">
        <v>0</v>
      </c>
      <c r="DQ61" s="9">
        <v>0</v>
      </c>
      <c r="DR61" s="9">
        <v>0</v>
      </c>
      <c r="DS61" s="9">
        <v>0</v>
      </c>
      <c r="DT61" s="9">
        <v>0</v>
      </c>
      <c r="DU61" s="9">
        <v>0</v>
      </c>
      <c r="DV61" s="9">
        <v>0</v>
      </c>
      <c r="DW61" s="9">
        <v>0</v>
      </c>
      <c r="DX61" s="9">
        <v>0</v>
      </c>
      <c r="DY61" s="9">
        <v>0</v>
      </c>
      <c r="DZ61" s="9">
        <v>0</v>
      </c>
      <c r="EA61" s="9">
        <v>0</v>
      </c>
      <c r="EB61" s="9">
        <v>0</v>
      </c>
      <c r="EC61" s="9">
        <v>0</v>
      </c>
      <c r="ED61" s="9">
        <v>0</v>
      </c>
      <c r="EE61" s="9">
        <v>0</v>
      </c>
      <c r="EF61" s="9">
        <v>0</v>
      </c>
      <c r="EG61" s="9">
        <v>0</v>
      </c>
      <c r="EH61" s="9">
        <v>0</v>
      </c>
      <c r="EI61" s="9">
        <v>0</v>
      </c>
      <c r="EJ61" s="9">
        <v>0</v>
      </c>
      <c r="EK61" s="9">
        <v>0</v>
      </c>
      <c r="EL61" s="9">
        <v>0</v>
      </c>
      <c r="EM61" s="9">
        <v>0</v>
      </c>
      <c r="EN61" s="9">
        <v>0</v>
      </c>
      <c r="EO61" s="9">
        <v>0</v>
      </c>
      <c r="EP61" s="9">
        <v>0</v>
      </c>
      <c r="EQ61" s="9">
        <v>0</v>
      </c>
      <c r="ER61" s="9">
        <v>0</v>
      </c>
      <c r="ES61" s="9">
        <v>0</v>
      </c>
      <c r="ET61" s="9">
        <v>0</v>
      </c>
      <c r="EU61" s="9">
        <v>0</v>
      </c>
      <c r="EV61" s="9">
        <v>0</v>
      </c>
      <c r="EW61" s="9">
        <v>0</v>
      </c>
      <c r="EX61" s="9">
        <v>0</v>
      </c>
      <c r="EY61" s="9">
        <v>0</v>
      </c>
      <c r="EZ61" s="9">
        <v>0</v>
      </c>
      <c r="FA61" s="9">
        <v>0</v>
      </c>
      <c r="FB61" s="9">
        <v>0</v>
      </c>
      <c r="FC61" s="9">
        <v>0</v>
      </c>
      <c r="FD61" s="9">
        <v>0</v>
      </c>
      <c r="FE61" s="9">
        <v>0</v>
      </c>
      <c r="FF61" s="9">
        <v>0</v>
      </c>
      <c r="FG61" s="9">
        <v>0</v>
      </c>
      <c r="FH61" s="9">
        <v>0</v>
      </c>
      <c r="FI61" s="9">
        <v>0</v>
      </c>
      <c r="FJ61" s="9">
        <v>0</v>
      </c>
      <c r="FK61" s="9">
        <v>0</v>
      </c>
      <c r="FL61" s="9">
        <v>0</v>
      </c>
      <c r="FM61" s="10">
        <v>0</v>
      </c>
    </row>
    <row r="62" spans="1:169" x14ac:dyDescent="0.35">
      <c r="A62" s="8" t="s">
        <v>73</v>
      </c>
      <c r="B62" s="9" t="s">
        <v>104</v>
      </c>
      <c r="C62" s="10" t="s">
        <v>105</v>
      </c>
      <c r="D62" s="62">
        <f t="shared" si="97"/>
        <v>607</v>
      </c>
      <c r="E62" s="9">
        <v>85</v>
      </c>
      <c r="F62" s="9">
        <v>78</v>
      </c>
      <c r="G62" s="9">
        <v>99</v>
      </c>
      <c r="H62" s="9">
        <v>123</v>
      </c>
      <c r="I62" s="9">
        <v>151</v>
      </c>
      <c r="J62" s="9">
        <v>164</v>
      </c>
      <c r="K62" s="9">
        <v>191</v>
      </c>
      <c r="L62" s="9">
        <v>280</v>
      </c>
      <c r="M62" s="9">
        <v>342</v>
      </c>
      <c r="N62" s="9">
        <v>380</v>
      </c>
      <c r="O62" s="9">
        <v>397</v>
      </c>
      <c r="P62" s="9">
        <v>453</v>
      </c>
      <c r="Q62" s="9">
        <v>494</v>
      </c>
      <c r="R62" s="9">
        <v>494</v>
      </c>
      <c r="S62" s="9">
        <v>125</v>
      </c>
      <c r="T62" s="9">
        <v>566</v>
      </c>
      <c r="U62" s="9">
        <v>596</v>
      </c>
      <c r="V62" s="9">
        <v>574</v>
      </c>
      <c r="W62" s="9">
        <v>606</v>
      </c>
      <c r="X62" s="9">
        <v>607</v>
      </c>
      <c r="Y62" s="9">
        <v>0</v>
      </c>
      <c r="Z62" s="9">
        <v>599</v>
      </c>
      <c r="AA62" s="9">
        <v>567</v>
      </c>
      <c r="AB62" s="9">
        <v>559</v>
      </c>
      <c r="AC62" s="9">
        <v>534</v>
      </c>
      <c r="AD62" s="9">
        <v>516</v>
      </c>
      <c r="AE62" s="9">
        <v>494</v>
      </c>
      <c r="AF62" s="9">
        <v>464</v>
      </c>
      <c r="AG62" s="9">
        <v>465</v>
      </c>
      <c r="AH62" s="9">
        <v>426</v>
      </c>
      <c r="AI62" s="9">
        <v>411</v>
      </c>
      <c r="AJ62" s="9">
        <v>390</v>
      </c>
      <c r="AK62" s="9">
        <v>365</v>
      </c>
      <c r="AL62" s="9">
        <v>344</v>
      </c>
      <c r="AM62" s="9">
        <v>326</v>
      </c>
      <c r="AN62" s="9">
        <v>283</v>
      </c>
      <c r="AO62" s="9">
        <v>317</v>
      </c>
      <c r="AP62" s="9">
        <v>315</v>
      </c>
      <c r="AQ62" s="9">
        <v>312</v>
      </c>
      <c r="AR62" s="9">
        <v>291</v>
      </c>
      <c r="AS62" s="9">
        <v>277</v>
      </c>
      <c r="AT62" s="9">
        <v>259</v>
      </c>
      <c r="AU62" s="9">
        <v>242</v>
      </c>
      <c r="AV62" s="9">
        <v>237</v>
      </c>
      <c r="AW62" s="9">
        <v>219</v>
      </c>
      <c r="AX62" s="9">
        <v>209</v>
      </c>
      <c r="AY62" s="9">
        <v>203</v>
      </c>
      <c r="AZ62" s="9">
        <v>192</v>
      </c>
      <c r="BA62" s="9">
        <v>176</v>
      </c>
      <c r="BB62" s="9">
        <v>176</v>
      </c>
      <c r="BC62" s="9">
        <v>173</v>
      </c>
      <c r="BD62" s="9">
        <v>175</v>
      </c>
      <c r="BE62" s="9">
        <v>168</v>
      </c>
      <c r="BF62" s="9">
        <v>171</v>
      </c>
      <c r="BG62" s="9">
        <v>162</v>
      </c>
      <c r="BH62" s="9">
        <v>152</v>
      </c>
      <c r="BI62" s="9">
        <v>161</v>
      </c>
      <c r="BJ62" s="9">
        <v>160</v>
      </c>
      <c r="BK62" s="9">
        <v>149</v>
      </c>
      <c r="BL62" s="9">
        <v>147</v>
      </c>
      <c r="BM62" s="9">
        <v>141</v>
      </c>
      <c r="BN62" s="9">
        <v>133</v>
      </c>
      <c r="BO62" s="9">
        <v>129</v>
      </c>
      <c r="BP62" s="9">
        <v>128</v>
      </c>
      <c r="BQ62" s="9">
        <v>127</v>
      </c>
      <c r="BR62" s="9">
        <v>123</v>
      </c>
      <c r="BS62" s="9">
        <v>117</v>
      </c>
      <c r="BT62" s="9">
        <v>120</v>
      </c>
      <c r="BU62" s="9">
        <v>120</v>
      </c>
      <c r="BV62" s="9">
        <v>111</v>
      </c>
      <c r="BW62" s="9">
        <v>107</v>
      </c>
      <c r="BX62" s="9">
        <v>101</v>
      </c>
      <c r="BY62" s="9">
        <v>99</v>
      </c>
      <c r="BZ62" s="9">
        <v>96</v>
      </c>
      <c r="CA62" s="9">
        <v>93</v>
      </c>
      <c r="CB62" s="9">
        <v>89</v>
      </c>
      <c r="CC62" s="9">
        <v>89</v>
      </c>
      <c r="CD62" s="9">
        <v>89</v>
      </c>
      <c r="CE62" s="9">
        <v>84</v>
      </c>
      <c r="CF62" s="9">
        <v>85</v>
      </c>
      <c r="CG62" s="9">
        <v>86</v>
      </c>
      <c r="CH62" s="9">
        <v>88</v>
      </c>
      <c r="CI62" s="9">
        <v>92</v>
      </c>
      <c r="CJ62" s="9">
        <v>78</v>
      </c>
      <c r="CK62" s="9">
        <v>74</v>
      </c>
      <c r="CL62" s="9">
        <v>73</v>
      </c>
      <c r="CM62" s="9">
        <v>73</v>
      </c>
      <c r="CN62" s="9">
        <v>74</v>
      </c>
      <c r="CO62" s="9">
        <v>75</v>
      </c>
      <c r="CP62" s="9">
        <v>76</v>
      </c>
      <c r="CQ62" s="9">
        <v>70</v>
      </c>
      <c r="CR62" s="9">
        <v>70</v>
      </c>
      <c r="CS62" s="9">
        <v>70</v>
      </c>
      <c r="CT62" s="9">
        <v>63</v>
      </c>
      <c r="CU62" s="9">
        <v>65</v>
      </c>
      <c r="CV62" s="9">
        <v>60</v>
      </c>
      <c r="CW62" s="9">
        <v>64</v>
      </c>
      <c r="CX62" s="9">
        <v>63</v>
      </c>
      <c r="CY62" s="9">
        <v>62</v>
      </c>
      <c r="CZ62" s="9">
        <v>59</v>
      </c>
      <c r="DA62" s="9">
        <v>56</v>
      </c>
      <c r="DB62" s="9">
        <v>57</v>
      </c>
      <c r="DC62" s="9">
        <v>63</v>
      </c>
      <c r="DD62" s="9">
        <v>30</v>
      </c>
      <c r="DE62" s="9">
        <v>28</v>
      </c>
      <c r="DF62" s="9">
        <v>28</v>
      </c>
      <c r="DG62" s="9">
        <v>27</v>
      </c>
      <c r="DH62" s="9">
        <v>27</v>
      </c>
      <c r="DI62" s="9">
        <v>27</v>
      </c>
      <c r="DJ62" s="9">
        <v>27</v>
      </c>
      <c r="DK62" s="9">
        <v>28</v>
      </c>
      <c r="DL62" s="9">
        <v>26</v>
      </c>
      <c r="DM62" s="9">
        <v>25</v>
      </c>
      <c r="DN62" s="9">
        <v>23</v>
      </c>
      <c r="DO62" s="9">
        <v>23</v>
      </c>
      <c r="DP62" s="9">
        <v>22</v>
      </c>
      <c r="DQ62" s="9">
        <v>17</v>
      </c>
      <c r="DR62" s="9">
        <v>16</v>
      </c>
      <c r="DS62" s="9">
        <v>15</v>
      </c>
      <c r="DT62" s="9">
        <v>12</v>
      </c>
      <c r="DU62" s="9">
        <v>12</v>
      </c>
      <c r="DV62" s="9">
        <v>9</v>
      </c>
      <c r="DW62" s="9">
        <v>15</v>
      </c>
      <c r="DX62" s="9">
        <v>14</v>
      </c>
      <c r="DY62" s="9">
        <v>15</v>
      </c>
      <c r="DZ62" s="9">
        <v>13</v>
      </c>
      <c r="EA62" s="9">
        <v>13</v>
      </c>
      <c r="EB62" s="9">
        <v>12</v>
      </c>
      <c r="EC62" s="9">
        <v>12</v>
      </c>
      <c r="ED62" s="9">
        <v>11</v>
      </c>
      <c r="EE62" s="9">
        <v>11</v>
      </c>
      <c r="EF62" s="9">
        <v>12</v>
      </c>
      <c r="EG62" s="9">
        <v>11</v>
      </c>
      <c r="EH62" s="9">
        <v>9</v>
      </c>
      <c r="EI62" s="9">
        <v>10</v>
      </c>
      <c r="EJ62" s="9">
        <v>9</v>
      </c>
      <c r="EK62" s="9">
        <v>10</v>
      </c>
      <c r="EL62" s="9">
        <v>9</v>
      </c>
      <c r="EM62" s="9">
        <v>9</v>
      </c>
      <c r="EN62" s="9">
        <v>13</v>
      </c>
      <c r="EO62" s="9">
        <v>10</v>
      </c>
      <c r="EP62" s="9">
        <v>9</v>
      </c>
      <c r="EQ62" s="9">
        <v>9</v>
      </c>
      <c r="ER62" s="9">
        <v>8</v>
      </c>
      <c r="ES62" s="9">
        <v>8</v>
      </c>
      <c r="ET62" s="9">
        <v>7</v>
      </c>
      <c r="EU62" s="9">
        <v>7</v>
      </c>
      <c r="EV62" s="9">
        <v>7</v>
      </c>
      <c r="EW62" s="9">
        <v>7</v>
      </c>
      <c r="EX62" s="9">
        <v>8</v>
      </c>
      <c r="EY62" s="9">
        <v>7</v>
      </c>
      <c r="EZ62" s="9">
        <v>6</v>
      </c>
      <c r="FA62" s="9">
        <v>5</v>
      </c>
      <c r="FB62" s="9">
        <v>6</v>
      </c>
      <c r="FC62" s="9">
        <v>6</v>
      </c>
      <c r="FD62" s="9">
        <v>7</v>
      </c>
      <c r="FE62" s="9">
        <v>7</v>
      </c>
      <c r="FF62" s="9">
        <v>8</v>
      </c>
      <c r="FG62" s="9">
        <v>9</v>
      </c>
      <c r="FH62" s="9">
        <v>9</v>
      </c>
      <c r="FI62" s="9">
        <v>8</v>
      </c>
      <c r="FJ62" s="9">
        <v>8</v>
      </c>
      <c r="FK62" s="9">
        <v>7</v>
      </c>
      <c r="FL62" s="9">
        <v>9</v>
      </c>
      <c r="FM62" s="10">
        <v>8</v>
      </c>
    </row>
    <row r="63" spans="1:169" x14ac:dyDescent="0.35">
      <c r="A63" s="8" t="s">
        <v>73</v>
      </c>
      <c r="B63" s="9" t="s">
        <v>106</v>
      </c>
      <c r="C63" s="10" t="s">
        <v>107</v>
      </c>
      <c r="D63" s="62">
        <f t="shared" si="97"/>
        <v>456</v>
      </c>
      <c r="E63" s="9">
        <v>0</v>
      </c>
      <c r="F63" s="9">
        <v>126</v>
      </c>
      <c r="G63" s="9">
        <v>153</v>
      </c>
      <c r="H63" s="9">
        <v>202</v>
      </c>
      <c r="I63" s="9">
        <v>236</v>
      </c>
      <c r="J63" s="9">
        <v>259</v>
      </c>
      <c r="K63" s="9">
        <v>300</v>
      </c>
      <c r="L63" s="9">
        <v>367</v>
      </c>
      <c r="M63" s="9">
        <v>344</v>
      </c>
      <c r="N63" s="9">
        <v>304</v>
      </c>
      <c r="O63" s="9">
        <v>382</v>
      </c>
      <c r="P63" s="9">
        <v>406</v>
      </c>
      <c r="Q63" s="9">
        <v>456</v>
      </c>
      <c r="R63" s="9">
        <v>412</v>
      </c>
      <c r="S63" s="9">
        <v>438</v>
      </c>
      <c r="T63" s="9">
        <v>408</v>
      </c>
      <c r="U63" s="9">
        <v>403</v>
      </c>
      <c r="V63" s="9">
        <v>431</v>
      </c>
      <c r="W63" s="9">
        <v>430</v>
      </c>
      <c r="X63" s="9">
        <v>405</v>
      </c>
      <c r="Y63" s="9">
        <v>367</v>
      </c>
      <c r="Z63" s="9">
        <v>388</v>
      </c>
      <c r="AA63" s="9">
        <v>373</v>
      </c>
      <c r="AB63" s="9">
        <v>357</v>
      </c>
      <c r="AC63" s="9">
        <v>335</v>
      </c>
      <c r="AD63" s="9">
        <v>324</v>
      </c>
      <c r="AE63" s="9">
        <v>306</v>
      </c>
      <c r="AF63" s="9">
        <v>323</v>
      </c>
      <c r="AG63" s="9">
        <v>286</v>
      </c>
      <c r="AH63" s="9">
        <v>278</v>
      </c>
      <c r="AI63" s="9">
        <v>270</v>
      </c>
      <c r="AJ63" s="9">
        <v>286</v>
      </c>
      <c r="AK63" s="9">
        <v>276</v>
      </c>
      <c r="AL63" s="9">
        <v>244</v>
      </c>
      <c r="AM63" s="9">
        <v>224</v>
      </c>
      <c r="AN63" s="9">
        <v>218</v>
      </c>
      <c r="AO63" s="9">
        <v>214</v>
      </c>
      <c r="AP63" s="9">
        <v>211</v>
      </c>
      <c r="AQ63" s="9">
        <v>203</v>
      </c>
      <c r="AR63" s="9">
        <v>186</v>
      </c>
      <c r="AS63" s="9">
        <v>175</v>
      </c>
      <c r="AT63" s="9">
        <v>170</v>
      </c>
      <c r="AU63" s="9">
        <v>172</v>
      </c>
      <c r="AV63" s="9">
        <v>157</v>
      </c>
      <c r="AW63" s="9">
        <v>173</v>
      </c>
      <c r="AX63" s="9">
        <v>149</v>
      </c>
      <c r="AY63" s="9">
        <v>134</v>
      </c>
      <c r="AZ63" s="9">
        <v>130</v>
      </c>
      <c r="BA63" s="9">
        <v>123</v>
      </c>
      <c r="BB63" s="9">
        <v>123</v>
      </c>
      <c r="BC63" s="9">
        <v>121</v>
      </c>
      <c r="BD63" s="9">
        <v>124</v>
      </c>
      <c r="BE63" s="9">
        <v>127</v>
      </c>
      <c r="BF63" s="9">
        <v>121</v>
      </c>
      <c r="BG63" s="9">
        <v>112</v>
      </c>
      <c r="BH63" s="9">
        <v>106</v>
      </c>
      <c r="BI63" s="9">
        <v>99</v>
      </c>
      <c r="BJ63" s="9">
        <v>106</v>
      </c>
      <c r="BK63" s="9">
        <v>95</v>
      </c>
      <c r="BL63" s="9">
        <v>86</v>
      </c>
      <c r="BM63" s="9">
        <v>82</v>
      </c>
      <c r="BN63" s="9">
        <v>77</v>
      </c>
      <c r="BO63" s="9">
        <v>72</v>
      </c>
      <c r="BP63" s="9">
        <v>69</v>
      </c>
      <c r="BQ63" s="9">
        <v>57</v>
      </c>
      <c r="BR63" s="9">
        <v>58</v>
      </c>
      <c r="BS63" s="9">
        <v>55</v>
      </c>
      <c r="BT63" s="9">
        <v>52</v>
      </c>
      <c r="BU63" s="9">
        <v>49</v>
      </c>
      <c r="BV63" s="9">
        <v>52</v>
      </c>
      <c r="BW63" s="9">
        <v>87</v>
      </c>
      <c r="BX63" s="9">
        <v>54</v>
      </c>
      <c r="BY63" s="9">
        <v>38</v>
      </c>
      <c r="BZ63" s="9">
        <v>37</v>
      </c>
      <c r="CA63" s="9">
        <v>36</v>
      </c>
      <c r="CB63" s="9">
        <v>34</v>
      </c>
      <c r="CC63" s="9">
        <v>36</v>
      </c>
      <c r="CD63" s="9">
        <v>40</v>
      </c>
      <c r="CE63" s="9">
        <v>39</v>
      </c>
      <c r="CF63" s="9">
        <v>41</v>
      </c>
      <c r="CG63" s="9">
        <v>43</v>
      </c>
      <c r="CH63" s="9">
        <v>42</v>
      </c>
      <c r="CI63" s="9">
        <v>40</v>
      </c>
      <c r="CJ63" s="9">
        <v>38</v>
      </c>
      <c r="CK63" s="9">
        <v>32</v>
      </c>
      <c r="CL63" s="9">
        <v>29</v>
      </c>
      <c r="CM63" s="9">
        <v>27</v>
      </c>
      <c r="CN63" s="9">
        <v>25</v>
      </c>
      <c r="CO63" s="9">
        <v>25</v>
      </c>
      <c r="CP63" s="9">
        <v>24</v>
      </c>
      <c r="CQ63" s="9">
        <v>25</v>
      </c>
      <c r="CR63" s="9">
        <v>9</v>
      </c>
      <c r="CS63" s="9">
        <v>10</v>
      </c>
      <c r="CT63" s="9">
        <v>6</v>
      </c>
      <c r="CU63" s="9">
        <v>19</v>
      </c>
      <c r="CV63" s="9">
        <v>18</v>
      </c>
      <c r="CW63" s="9">
        <v>20</v>
      </c>
      <c r="CX63" s="9">
        <v>17</v>
      </c>
      <c r="CY63" s="9">
        <v>16</v>
      </c>
      <c r="CZ63" s="9">
        <v>15</v>
      </c>
      <c r="DA63" s="9">
        <v>15</v>
      </c>
      <c r="DB63" s="9">
        <v>15</v>
      </c>
      <c r="DC63" s="9">
        <v>16</v>
      </c>
      <c r="DD63" s="9">
        <v>14</v>
      </c>
      <c r="DE63" s="9">
        <v>14</v>
      </c>
      <c r="DF63" s="9">
        <v>13</v>
      </c>
      <c r="DG63" s="9">
        <v>12</v>
      </c>
      <c r="DH63" s="9">
        <v>12</v>
      </c>
      <c r="DI63" s="9">
        <v>12</v>
      </c>
      <c r="DJ63" s="9">
        <v>13</v>
      </c>
      <c r="DK63" s="9">
        <v>14</v>
      </c>
      <c r="DL63" s="9">
        <v>14</v>
      </c>
      <c r="DM63" s="9">
        <v>15</v>
      </c>
      <c r="DN63" s="9">
        <v>13</v>
      </c>
      <c r="DO63" s="9">
        <v>14</v>
      </c>
      <c r="DP63" s="9">
        <v>15</v>
      </c>
      <c r="DQ63" s="9">
        <v>10</v>
      </c>
      <c r="DR63" s="9">
        <v>12</v>
      </c>
      <c r="DS63" s="9">
        <v>11</v>
      </c>
      <c r="DT63" s="9">
        <v>13</v>
      </c>
      <c r="DU63" s="9">
        <v>12</v>
      </c>
      <c r="DV63" s="9">
        <v>11</v>
      </c>
      <c r="DW63" s="9">
        <v>10</v>
      </c>
      <c r="DX63" s="9">
        <v>9</v>
      </c>
      <c r="DY63" s="9">
        <v>9</v>
      </c>
      <c r="DZ63" s="9">
        <v>6</v>
      </c>
      <c r="EA63" s="9">
        <v>4</v>
      </c>
      <c r="EB63" s="9">
        <v>6</v>
      </c>
      <c r="EC63" s="9">
        <v>5</v>
      </c>
      <c r="ED63" s="9">
        <v>7</v>
      </c>
      <c r="EE63" s="9">
        <v>6</v>
      </c>
      <c r="EF63" s="9">
        <v>6</v>
      </c>
      <c r="EG63" s="9">
        <v>5</v>
      </c>
      <c r="EH63" s="9">
        <v>5</v>
      </c>
      <c r="EI63" s="9">
        <v>5</v>
      </c>
      <c r="EJ63" s="9">
        <v>5</v>
      </c>
      <c r="EK63" s="9">
        <v>6</v>
      </c>
      <c r="EL63" s="9">
        <v>6</v>
      </c>
      <c r="EM63" s="9">
        <v>6</v>
      </c>
      <c r="EN63" s="9">
        <v>7</v>
      </c>
      <c r="EO63" s="9">
        <v>7</v>
      </c>
      <c r="EP63" s="9">
        <v>7</v>
      </c>
      <c r="EQ63" s="9">
        <v>7</v>
      </c>
      <c r="ER63" s="9">
        <v>6</v>
      </c>
      <c r="ES63" s="9">
        <v>5</v>
      </c>
      <c r="ET63" s="9">
        <v>5</v>
      </c>
      <c r="EU63" s="9">
        <v>6</v>
      </c>
      <c r="EV63" s="9">
        <v>6</v>
      </c>
      <c r="EW63" s="9">
        <v>7</v>
      </c>
      <c r="EX63" s="9">
        <v>7</v>
      </c>
      <c r="EY63" s="9">
        <v>7</v>
      </c>
      <c r="EZ63" s="9">
        <v>7</v>
      </c>
      <c r="FA63" s="9">
        <v>5</v>
      </c>
      <c r="FB63" s="9">
        <v>5</v>
      </c>
      <c r="FC63" s="9">
        <v>5</v>
      </c>
      <c r="FD63" s="9">
        <v>6</v>
      </c>
      <c r="FE63" s="9">
        <v>6</v>
      </c>
      <c r="FF63" s="9">
        <v>6</v>
      </c>
      <c r="FG63" s="9">
        <v>5</v>
      </c>
      <c r="FH63" s="9">
        <v>5</v>
      </c>
      <c r="FI63" s="9">
        <v>5</v>
      </c>
      <c r="FJ63" s="9">
        <v>4</v>
      </c>
      <c r="FK63" s="9">
        <v>4</v>
      </c>
      <c r="FL63" s="9">
        <v>6</v>
      </c>
      <c r="FM63" s="10">
        <v>6</v>
      </c>
    </row>
    <row r="64" spans="1:169" x14ac:dyDescent="0.35">
      <c r="A64" s="8" t="s">
        <v>73</v>
      </c>
      <c r="B64" s="9" t="s">
        <v>108</v>
      </c>
      <c r="C64" s="10" t="s">
        <v>109</v>
      </c>
      <c r="D64" s="62">
        <f t="shared" si="97"/>
        <v>548</v>
      </c>
      <c r="E64" s="9">
        <v>84</v>
      </c>
      <c r="F64" s="9">
        <v>95</v>
      </c>
      <c r="G64" s="9">
        <v>114</v>
      </c>
      <c r="H64" s="9">
        <v>103</v>
      </c>
      <c r="I64" s="9">
        <v>123</v>
      </c>
      <c r="J64" s="9">
        <v>182</v>
      </c>
      <c r="K64" s="9">
        <v>236</v>
      </c>
      <c r="L64" s="9">
        <v>273</v>
      </c>
      <c r="M64" s="9">
        <v>315</v>
      </c>
      <c r="N64" s="9">
        <v>349</v>
      </c>
      <c r="O64" s="9">
        <v>353</v>
      </c>
      <c r="P64" s="9">
        <v>390</v>
      </c>
      <c r="Q64" s="9">
        <v>392</v>
      </c>
      <c r="R64" s="9">
        <v>403</v>
      </c>
      <c r="S64" s="9">
        <v>445</v>
      </c>
      <c r="T64" s="9">
        <v>455</v>
      </c>
      <c r="U64" s="9">
        <v>454</v>
      </c>
      <c r="V64" s="9">
        <v>484</v>
      </c>
      <c r="W64" s="9">
        <v>548</v>
      </c>
      <c r="X64" s="9">
        <v>499</v>
      </c>
      <c r="Y64" s="9">
        <v>453</v>
      </c>
      <c r="Z64" s="9">
        <v>440</v>
      </c>
      <c r="AA64" s="9">
        <v>411</v>
      </c>
      <c r="AB64" s="9">
        <v>410</v>
      </c>
      <c r="AC64" s="9">
        <v>353</v>
      </c>
      <c r="AD64" s="9">
        <v>336</v>
      </c>
      <c r="AE64" s="9">
        <v>302</v>
      </c>
      <c r="AF64" s="9">
        <v>318</v>
      </c>
      <c r="AG64" s="9">
        <v>276</v>
      </c>
      <c r="AH64" s="9">
        <v>263</v>
      </c>
      <c r="AI64" s="9">
        <v>270</v>
      </c>
      <c r="AJ64" s="9">
        <v>328</v>
      </c>
      <c r="AK64" s="9">
        <v>265</v>
      </c>
      <c r="AL64" s="9">
        <v>239</v>
      </c>
      <c r="AM64" s="9">
        <v>239</v>
      </c>
      <c r="AN64" s="9">
        <v>218</v>
      </c>
      <c r="AO64" s="9">
        <v>199</v>
      </c>
      <c r="AP64" s="9">
        <v>193</v>
      </c>
      <c r="AQ64" s="9">
        <v>200</v>
      </c>
      <c r="AR64" s="9">
        <v>180</v>
      </c>
      <c r="AS64" s="9">
        <v>176</v>
      </c>
      <c r="AT64" s="9">
        <v>166</v>
      </c>
      <c r="AU64" s="9">
        <v>160</v>
      </c>
      <c r="AV64" s="9">
        <v>147</v>
      </c>
      <c r="AW64" s="9">
        <v>146</v>
      </c>
      <c r="AX64" s="9">
        <v>162</v>
      </c>
      <c r="AY64" s="9">
        <v>160</v>
      </c>
      <c r="AZ64" s="9">
        <v>163</v>
      </c>
      <c r="BA64" s="9">
        <v>133</v>
      </c>
      <c r="BB64" s="9">
        <v>131</v>
      </c>
      <c r="BC64" s="9">
        <v>135</v>
      </c>
      <c r="BD64" s="9">
        <v>131</v>
      </c>
      <c r="BE64" s="9">
        <v>124</v>
      </c>
      <c r="BF64" s="9">
        <v>123</v>
      </c>
      <c r="BG64" s="9">
        <v>118</v>
      </c>
      <c r="BH64" s="9">
        <v>111</v>
      </c>
      <c r="BI64" s="9">
        <v>101</v>
      </c>
      <c r="BJ64" s="9">
        <v>99</v>
      </c>
      <c r="BK64" s="9">
        <v>97</v>
      </c>
      <c r="BL64" s="9">
        <v>95</v>
      </c>
      <c r="BM64" s="9">
        <v>91</v>
      </c>
      <c r="BN64" s="9">
        <v>24</v>
      </c>
      <c r="BO64" s="9">
        <v>76</v>
      </c>
      <c r="BP64" s="9">
        <v>74</v>
      </c>
      <c r="BQ64" s="9">
        <v>68</v>
      </c>
      <c r="BR64" s="9">
        <v>67</v>
      </c>
      <c r="BS64" s="9">
        <v>66</v>
      </c>
      <c r="BT64" s="9">
        <v>66</v>
      </c>
      <c r="BU64" s="9">
        <v>62</v>
      </c>
      <c r="BV64" s="9">
        <v>55</v>
      </c>
      <c r="BW64" s="9">
        <v>51</v>
      </c>
      <c r="BX64" s="9">
        <v>48</v>
      </c>
      <c r="BY64" s="9">
        <v>49</v>
      </c>
      <c r="BZ64" s="9">
        <v>46</v>
      </c>
      <c r="CA64" s="9">
        <v>43</v>
      </c>
      <c r="CB64" s="9">
        <v>43</v>
      </c>
      <c r="CC64" s="9">
        <v>42</v>
      </c>
      <c r="CD64" s="9">
        <v>36</v>
      </c>
      <c r="CE64" s="9">
        <v>37</v>
      </c>
      <c r="CF64" s="9">
        <v>36</v>
      </c>
      <c r="CG64" s="9">
        <v>37</v>
      </c>
      <c r="CH64" s="9">
        <v>33</v>
      </c>
      <c r="CI64" s="9">
        <v>31</v>
      </c>
      <c r="CJ64" s="9">
        <v>29</v>
      </c>
      <c r="CK64" s="9">
        <v>30</v>
      </c>
      <c r="CL64" s="9">
        <v>29</v>
      </c>
      <c r="CM64" s="9">
        <v>28</v>
      </c>
      <c r="CN64" s="9">
        <v>28</v>
      </c>
      <c r="CO64" s="9">
        <v>29</v>
      </c>
      <c r="CP64" s="9">
        <v>29</v>
      </c>
      <c r="CQ64" s="9">
        <v>27</v>
      </c>
      <c r="CR64" s="9">
        <v>27</v>
      </c>
      <c r="CS64" s="9">
        <v>23</v>
      </c>
      <c r="CT64" s="9">
        <v>20</v>
      </c>
      <c r="CU64" s="9">
        <v>20</v>
      </c>
      <c r="CV64" s="9">
        <v>20</v>
      </c>
      <c r="CW64" s="9">
        <v>24</v>
      </c>
      <c r="CX64" s="9">
        <v>24</v>
      </c>
      <c r="CY64" s="9">
        <v>25</v>
      </c>
      <c r="CZ64" s="9">
        <v>23</v>
      </c>
      <c r="DA64" s="9">
        <v>23</v>
      </c>
      <c r="DB64" s="9">
        <v>22</v>
      </c>
      <c r="DC64" s="9">
        <v>21</v>
      </c>
      <c r="DD64" s="9">
        <v>20</v>
      </c>
      <c r="DE64" s="9">
        <v>20</v>
      </c>
      <c r="DF64" s="9">
        <v>18</v>
      </c>
      <c r="DG64" s="9">
        <v>17</v>
      </c>
      <c r="DH64" s="9">
        <v>17</v>
      </c>
      <c r="DI64" s="9">
        <v>18</v>
      </c>
      <c r="DJ64" s="9">
        <v>17</v>
      </c>
      <c r="DK64" s="9">
        <v>17</v>
      </c>
      <c r="DL64" s="9">
        <v>15</v>
      </c>
      <c r="DM64" s="9">
        <v>12</v>
      </c>
      <c r="DN64" s="9">
        <v>12</v>
      </c>
      <c r="DO64" s="9">
        <v>12</v>
      </c>
      <c r="DP64" s="9">
        <v>13</v>
      </c>
      <c r="DQ64" s="9">
        <v>12</v>
      </c>
      <c r="DR64" s="9">
        <v>12</v>
      </c>
      <c r="DS64" s="9">
        <v>12</v>
      </c>
      <c r="DT64" s="9">
        <v>12</v>
      </c>
      <c r="DU64" s="9">
        <v>10</v>
      </c>
      <c r="DV64" s="9">
        <v>10</v>
      </c>
      <c r="DW64" s="9">
        <v>10</v>
      </c>
      <c r="DX64" s="9">
        <v>11</v>
      </c>
      <c r="DY64" s="9">
        <v>12</v>
      </c>
      <c r="DZ64" s="9">
        <v>12</v>
      </c>
      <c r="EA64" s="9">
        <v>10</v>
      </c>
      <c r="EB64" s="9">
        <v>8</v>
      </c>
      <c r="EC64" s="9">
        <v>7</v>
      </c>
      <c r="ED64" s="9">
        <v>6</v>
      </c>
      <c r="EE64" s="9">
        <v>6</v>
      </c>
      <c r="EF64" s="9">
        <v>8</v>
      </c>
      <c r="EG64" s="9">
        <v>9</v>
      </c>
      <c r="EH64" s="9">
        <v>9</v>
      </c>
      <c r="EI64" s="9">
        <v>9</v>
      </c>
      <c r="EJ64" s="9">
        <v>9</v>
      </c>
      <c r="EK64" s="9">
        <v>9</v>
      </c>
      <c r="EL64" s="9">
        <v>8</v>
      </c>
      <c r="EM64" s="9">
        <v>7</v>
      </c>
      <c r="EN64" s="9">
        <v>8</v>
      </c>
      <c r="EO64" s="9">
        <v>8</v>
      </c>
      <c r="EP64" s="9">
        <v>9</v>
      </c>
      <c r="EQ64" s="9">
        <v>7</v>
      </c>
      <c r="ER64" s="9">
        <v>8</v>
      </c>
      <c r="ES64" s="9">
        <v>7</v>
      </c>
      <c r="ET64" s="9">
        <v>7</v>
      </c>
      <c r="EU64" s="9">
        <v>8</v>
      </c>
      <c r="EV64" s="9">
        <v>8</v>
      </c>
      <c r="EW64" s="9">
        <v>9</v>
      </c>
      <c r="EX64" s="9">
        <v>9</v>
      </c>
      <c r="EY64" s="9">
        <v>9</v>
      </c>
      <c r="EZ64" s="9">
        <v>9</v>
      </c>
      <c r="FA64" s="9">
        <v>8</v>
      </c>
      <c r="FB64" s="9">
        <v>9</v>
      </c>
      <c r="FC64" s="9">
        <v>8</v>
      </c>
      <c r="FD64" s="9">
        <v>6</v>
      </c>
      <c r="FE64" s="9">
        <v>6</v>
      </c>
      <c r="FF64" s="9">
        <v>6</v>
      </c>
      <c r="FG64" s="9">
        <v>6</v>
      </c>
      <c r="FH64" s="9">
        <v>7</v>
      </c>
      <c r="FI64" s="9">
        <v>7</v>
      </c>
      <c r="FJ64" s="9">
        <v>7</v>
      </c>
      <c r="FK64" s="9">
        <v>6</v>
      </c>
      <c r="FL64" s="9">
        <v>6</v>
      </c>
      <c r="FM64" s="10">
        <v>6</v>
      </c>
    </row>
    <row r="65" spans="1:169" x14ac:dyDescent="0.35">
      <c r="A65" s="8" t="s">
        <v>73</v>
      </c>
      <c r="B65" s="9" t="s">
        <v>110</v>
      </c>
      <c r="C65" s="10" t="s">
        <v>111</v>
      </c>
      <c r="D65" s="62">
        <f t="shared" si="97"/>
        <v>15</v>
      </c>
      <c r="E65" s="9">
        <v>0</v>
      </c>
      <c r="F65" s="9">
        <v>0</v>
      </c>
      <c r="G65" s="9">
        <v>0</v>
      </c>
      <c r="H65" s="9">
        <v>0</v>
      </c>
      <c r="I65" s="9">
        <v>0</v>
      </c>
      <c r="J65" s="9">
        <v>1</v>
      </c>
      <c r="K65" s="9">
        <v>1</v>
      </c>
      <c r="L65" s="9">
        <v>1</v>
      </c>
      <c r="M65" s="9">
        <v>1</v>
      </c>
      <c r="N65" s="9">
        <v>2</v>
      </c>
      <c r="O65" s="9">
        <v>2</v>
      </c>
      <c r="P65" s="9">
        <v>2</v>
      </c>
      <c r="Q65" s="9">
        <v>3</v>
      </c>
      <c r="R65" s="9">
        <v>4</v>
      </c>
      <c r="S65" s="9">
        <v>4</v>
      </c>
      <c r="T65" s="9">
        <v>4</v>
      </c>
      <c r="U65" s="9">
        <v>5</v>
      </c>
      <c r="V65" s="9">
        <v>6</v>
      </c>
      <c r="W65" s="9">
        <v>8</v>
      </c>
      <c r="X65" s="9">
        <v>9</v>
      </c>
      <c r="Y65" s="9">
        <v>10</v>
      </c>
      <c r="Z65" s="9">
        <v>10</v>
      </c>
      <c r="AA65" s="9">
        <v>9</v>
      </c>
      <c r="AB65" s="9">
        <v>10</v>
      </c>
      <c r="AC65" s="9">
        <v>9</v>
      </c>
      <c r="AD65" s="9">
        <v>10</v>
      </c>
      <c r="AE65" s="9">
        <v>10</v>
      </c>
      <c r="AF65" s="9">
        <v>11</v>
      </c>
      <c r="AG65" s="9">
        <v>8</v>
      </c>
      <c r="AH65" s="9">
        <v>8</v>
      </c>
      <c r="AI65" s="9">
        <v>9</v>
      </c>
      <c r="AJ65" s="9">
        <v>7</v>
      </c>
      <c r="AK65" s="9">
        <v>5</v>
      </c>
      <c r="AL65" s="9">
        <v>5</v>
      </c>
      <c r="AM65" s="9">
        <v>9</v>
      </c>
      <c r="AN65" s="9">
        <v>10</v>
      </c>
      <c r="AO65" s="9">
        <v>11</v>
      </c>
      <c r="AP65" s="9">
        <v>11</v>
      </c>
      <c r="AQ65" s="9">
        <v>11</v>
      </c>
      <c r="AR65" s="9">
        <v>8</v>
      </c>
      <c r="AS65" s="9">
        <v>8</v>
      </c>
      <c r="AT65" s="9">
        <v>9</v>
      </c>
      <c r="AU65" s="9">
        <v>11</v>
      </c>
      <c r="AV65" s="9">
        <v>11</v>
      </c>
      <c r="AW65" s="9">
        <v>12</v>
      </c>
      <c r="AX65" s="9">
        <v>14</v>
      </c>
      <c r="AY65" s="9">
        <v>14</v>
      </c>
      <c r="AZ65" s="9">
        <v>15</v>
      </c>
      <c r="BA65" s="9">
        <v>14</v>
      </c>
      <c r="BB65" s="9">
        <v>12</v>
      </c>
      <c r="BC65" s="9">
        <v>13</v>
      </c>
      <c r="BD65" s="9">
        <v>13</v>
      </c>
      <c r="BE65" s="9">
        <v>7</v>
      </c>
      <c r="BF65" s="9">
        <v>7</v>
      </c>
      <c r="BG65" s="9">
        <v>6</v>
      </c>
      <c r="BH65" s="9">
        <v>6</v>
      </c>
      <c r="BI65" s="9">
        <v>6</v>
      </c>
      <c r="BJ65" s="9">
        <v>5</v>
      </c>
      <c r="BK65" s="9">
        <v>6</v>
      </c>
      <c r="BL65" s="9">
        <v>7</v>
      </c>
      <c r="BM65" s="9">
        <v>6</v>
      </c>
      <c r="BN65" s="9">
        <v>6</v>
      </c>
      <c r="BO65" s="9">
        <v>7</v>
      </c>
      <c r="BP65" s="9">
        <v>7</v>
      </c>
      <c r="BQ65" s="9">
        <v>5</v>
      </c>
      <c r="BR65" s="9">
        <v>6</v>
      </c>
      <c r="BS65" s="9">
        <v>5</v>
      </c>
      <c r="BT65" s="9">
        <v>7</v>
      </c>
      <c r="BU65" s="9">
        <v>7</v>
      </c>
      <c r="BV65" s="9">
        <v>7</v>
      </c>
      <c r="BW65" s="9">
        <v>6</v>
      </c>
      <c r="BX65" s="9">
        <v>6</v>
      </c>
      <c r="BY65" s="9">
        <v>4</v>
      </c>
      <c r="BZ65" s="9">
        <v>4</v>
      </c>
      <c r="CA65" s="9">
        <v>4</v>
      </c>
      <c r="CB65" s="9">
        <v>4</v>
      </c>
      <c r="CC65" s="9">
        <v>4</v>
      </c>
      <c r="CD65" s="9">
        <v>5</v>
      </c>
      <c r="CE65" s="9">
        <v>5</v>
      </c>
      <c r="CF65" s="9">
        <v>5</v>
      </c>
      <c r="CG65" s="9">
        <v>4</v>
      </c>
      <c r="CH65" s="9">
        <v>3</v>
      </c>
      <c r="CI65" s="9">
        <v>4</v>
      </c>
      <c r="CJ65" s="9">
        <v>4</v>
      </c>
      <c r="CK65" s="9">
        <v>4</v>
      </c>
      <c r="CL65" s="9">
        <v>4</v>
      </c>
      <c r="CM65" s="9">
        <v>4</v>
      </c>
      <c r="CN65" s="9">
        <v>5</v>
      </c>
      <c r="CO65" s="9">
        <v>4</v>
      </c>
      <c r="CP65" s="9">
        <v>4</v>
      </c>
      <c r="CQ65" s="9">
        <v>3</v>
      </c>
      <c r="CR65" s="9">
        <v>3</v>
      </c>
      <c r="CS65" s="9">
        <v>3</v>
      </c>
      <c r="CT65" s="9">
        <v>3</v>
      </c>
      <c r="CU65" s="9">
        <v>3</v>
      </c>
      <c r="CV65" s="9">
        <v>3</v>
      </c>
      <c r="CW65" s="9">
        <v>3</v>
      </c>
      <c r="CX65" s="9">
        <v>1</v>
      </c>
      <c r="CY65" s="9">
        <v>1</v>
      </c>
      <c r="CZ65" s="9">
        <v>1</v>
      </c>
      <c r="DA65" s="9">
        <v>0</v>
      </c>
      <c r="DB65" s="9">
        <v>1</v>
      </c>
      <c r="DC65" s="9">
        <v>1</v>
      </c>
      <c r="DD65" s="9">
        <v>1</v>
      </c>
      <c r="DE65" s="9">
        <v>1</v>
      </c>
      <c r="DF65" s="9">
        <v>1</v>
      </c>
      <c r="DG65" s="9">
        <v>1</v>
      </c>
      <c r="DH65" s="9">
        <v>1</v>
      </c>
      <c r="DI65" s="9">
        <v>1</v>
      </c>
      <c r="DJ65" s="9">
        <v>1</v>
      </c>
      <c r="DK65" s="9">
        <v>1</v>
      </c>
      <c r="DL65" s="9">
        <v>1</v>
      </c>
      <c r="DM65" s="9">
        <v>1</v>
      </c>
      <c r="DN65" s="9">
        <v>1</v>
      </c>
      <c r="DO65" s="9">
        <v>1</v>
      </c>
      <c r="DP65" s="9">
        <v>1</v>
      </c>
      <c r="DQ65" s="9">
        <v>1</v>
      </c>
      <c r="DR65" s="9">
        <v>1</v>
      </c>
      <c r="DS65" s="9">
        <v>2</v>
      </c>
      <c r="DT65" s="9">
        <v>1</v>
      </c>
      <c r="DU65" s="9">
        <v>0</v>
      </c>
      <c r="DV65" s="9">
        <v>0</v>
      </c>
      <c r="DW65" s="9">
        <v>0</v>
      </c>
      <c r="DX65" s="9">
        <v>0</v>
      </c>
      <c r="DY65" s="9">
        <v>0</v>
      </c>
      <c r="DZ65" s="9">
        <v>0</v>
      </c>
      <c r="EA65" s="9">
        <v>0</v>
      </c>
      <c r="EB65" s="9">
        <v>0</v>
      </c>
      <c r="EC65" s="9">
        <v>0</v>
      </c>
      <c r="ED65" s="9">
        <v>0</v>
      </c>
      <c r="EE65" s="9">
        <v>0</v>
      </c>
      <c r="EF65" s="9">
        <v>0</v>
      </c>
      <c r="EG65" s="9">
        <v>0</v>
      </c>
      <c r="EH65" s="9">
        <v>0</v>
      </c>
      <c r="EI65" s="9">
        <v>0</v>
      </c>
      <c r="EJ65" s="9">
        <v>0</v>
      </c>
      <c r="EK65" s="9">
        <v>0</v>
      </c>
      <c r="EL65" s="9">
        <v>0</v>
      </c>
      <c r="EM65" s="9">
        <v>0</v>
      </c>
      <c r="EN65" s="9">
        <v>0</v>
      </c>
      <c r="EO65" s="9">
        <v>0</v>
      </c>
      <c r="EP65" s="9">
        <v>0</v>
      </c>
      <c r="EQ65" s="9">
        <v>0</v>
      </c>
      <c r="ER65" s="9">
        <v>0</v>
      </c>
      <c r="ES65" s="9">
        <v>0</v>
      </c>
      <c r="ET65" s="9">
        <v>0</v>
      </c>
      <c r="EU65" s="9">
        <v>0</v>
      </c>
      <c r="EV65" s="9">
        <v>0</v>
      </c>
      <c r="EW65" s="9">
        <v>0</v>
      </c>
      <c r="EX65" s="9">
        <v>0</v>
      </c>
      <c r="EY65" s="9">
        <v>0</v>
      </c>
      <c r="EZ65" s="9">
        <v>1</v>
      </c>
      <c r="FA65" s="9">
        <v>1</v>
      </c>
      <c r="FB65" s="9">
        <v>1</v>
      </c>
      <c r="FC65" s="9">
        <v>1</v>
      </c>
      <c r="FD65" s="9">
        <v>0</v>
      </c>
      <c r="FE65" s="9">
        <v>0</v>
      </c>
      <c r="FF65" s="9">
        <v>0</v>
      </c>
      <c r="FG65" s="9">
        <v>0</v>
      </c>
      <c r="FH65" s="9">
        <v>0</v>
      </c>
      <c r="FI65" s="9">
        <v>0</v>
      </c>
      <c r="FJ65" s="9">
        <v>0</v>
      </c>
      <c r="FK65" s="9">
        <v>0</v>
      </c>
      <c r="FL65" s="9">
        <v>0</v>
      </c>
      <c r="FM65" s="10">
        <v>0</v>
      </c>
    </row>
    <row r="66" spans="1:169" x14ac:dyDescent="0.35">
      <c r="A66" s="8" t="s">
        <v>73</v>
      </c>
      <c r="B66" s="9" t="s">
        <v>112</v>
      </c>
      <c r="C66" s="10" t="s">
        <v>113</v>
      </c>
      <c r="D66" s="62">
        <f t="shared" si="97"/>
        <v>267</v>
      </c>
      <c r="E66" s="9">
        <v>39</v>
      </c>
      <c r="F66" s="9">
        <v>59</v>
      </c>
      <c r="G66" s="9">
        <v>41</v>
      </c>
      <c r="H66" s="9">
        <v>66</v>
      </c>
      <c r="I66" s="9">
        <v>75</v>
      </c>
      <c r="J66" s="9">
        <v>106</v>
      </c>
      <c r="K66" s="9">
        <v>123</v>
      </c>
      <c r="L66" s="9">
        <v>153</v>
      </c>
      <c r="M66" s="9">
        <v>152</v>
      </c>
      <c r="N66" s="9">
        <v>184</v>
      </c>
      <c r="O66" s="9">
        <v>169</v>
      </c>
      <c r="P66" s="9">
        <v>208</v>
      </c>
      <c r="Q66" s="9">
        <v>203</v>
      </c>
      <c r="R66" s="9">
        <v>243</v>
      </c>
      <c r="S66" s="9">
        <v>223</v>
      </c>
      <c r="T66" s="9">
        <v>222</v>
      </c>
      <c r="U66" s="9">
        <v>267</v>
      </c>
      <c r="V66" s="9">
        <v>206</v>
      </c>
      <c r="W66" s="9">
        <v>0</v>
      </c>
      <c r="X66" s="9">
        <v>244</v>
      </c>
      <c r="Y66" s="9">
        <v>214</v>
      </c>
      <c r="Z66" s="9">
        <v>181</v>
      </c>
      <c r="AA66" s="9">
        <v>194</v>
      </c>
      <c r="AB66" s="9">
        <v>226</v>
      </c>
      <c r="AC66" s="9">
        <v>188</v>
      </c>
      <c r="AD66" s="9">
        <v>165</v>
      </c>
      <c r="AE66" s="9">
        <v>144</v>
      </c>
      <c r="AF66" s="9">
        <v>158</v>
      </c>
      <c r="AG66" s="9">
        <v>147</v>
      </c>
      <c r="AH66" s="9">
        <v>108</v>
      </c>
      <c r="AI66" s="9">
        <v>107</v>
      </c>
      <c r="AJ66" s="9">
        <v>114</v>
      </c>
      <c r="AK66" s="9">
        <v>90</v>
      </c>
      <c r="AL66" s="9">
        <v>85</v>
      </c>
      <c r="AM66" s="9">
        <v>97</v>
      </c>
      <c r="AN66" s="9">
        <v>91</v>
      </c>
      <c r="AO66" s="9">
        <v>82</v>
      </c>
      <c r="AP66" s="9">
        <v>86</v>
      </c>
      <c r="AQ66" s="9">
        <v>96</v>
      </c>
      <c r="AR66" s="9">
        <v>0</v>
      </c>
      <c r="AS66" s="9">
        <v>81</v>
      </c>
      <c r="AT66" s="9">
        <v>76</v>
      </c>
      <c r="AU66" s="9">
        <v>59</v>
      </c>
      <c r="AV66" s="9">
        <v>55</v>
      </c>
      <c r="AW66" s="9">
        <v>71</v>
      </c>
      <c r="AX66" s="9">
        <v>61</v>
      </c>
      <c r="AY66" s="9">
        <v>55</v>
      </c>
      <c r="AZ66" s="9">
        <v>51</v>
      </c>
      <c r="BA66" s="9">
        <v>44</v>
      </c>
      <c r="BB66" s="9">
        <v>42</v>
      </c>
      <c r="BC66" s="9">
        <v>38</v>
      </c>
      <c r="BD66" s="9">
        <v>36</v>
      </c>
      <c r="BE66" s="9">
        <v>35</v>
      </c>
      <c r="BF66" s="9">
        <v>38</v>
      </c>
      <c r="BG66" s="9">
        <v>29</v>
      </c>
      <c r="BH66" s="9">
        <v>31</v>
      </c>
      <c r="BI66" s="9">
        <v>32</v>
      </c>
      <c r="BJ66" s="9">
        <v>30</v>
      </c>
      <c r="BK66" s="9">
        <v>29</v>
      </c>
      <c r="BL66" s="9">
        <v>31</v>
      </c>
      <c r="BM66" s="9">
        <v>31</v>
      </c>
      <c r="BN66" s="9">
        <v>27</v>
      </c>
      <c r="BO66" s="9">
        <v>24</v>
      </c>
      <c r="BP66" s="9">
        <v>23</v>
      </c>
      <c r="BQ66" s="9">
        <v>24</v>
      </c>
      <c r="BR66" s="9">
        <v>25</v>
      </c>
      <c r="BS66" s="9">
        <v>23</v>
      </c>
      <c r="BT66" s="9">
        <v>21</v>
      </c>
      <c r="BU66" s="9">
        <v>17</v>
      </c>
      <c r="BV66" s="9">
        <v>15</v>
      </c>
      <c r="BW66" s="9">
        <v>15</v>
      </c>
      <c r="BX66" s="9">
        <v>16</v>
      </c>
      <c r="BY66" s="9">
        <v>15</v>
      </c>
      <c r="BZ66" s="9">
        <v>9</v>
      </c>
      <c r="CA66" s="9">
        <v>9</v>
      </c>
      <c r="CB66" s="9">
        <v>8</v>
      </c>
      <c r="CC66" s="9">
        <v>12</v>
      </c>
      <c r="CD66" s="9">
        <v>14</v>
      </c>
      <c r="CE66" s="9">
        <v>10</v>
      </c>
      <c r="CF66" s="9">
        <v>9</v>
      </c>
      <c r="CG66" s="9">
        <v>8</v>
      </c>
      <c r="CH66" s="9">
        <v>11</v>
      </c>
      <c r="CI66" s="9">
        <v>10</v>
      </c>
      <c r="CJ66" s="9">
        <v>13</v>
      </c>
      <c r="CK66" s="9">
        <v>13</v>
      </c>
      <c r="CL66" s="9">
        <v>12</v>
      </c>
      <c r="CM66" s="9">
        <v>11</v>
      </c>
      <c r="CN66" s="9">
        <v>8</v>
      </c>
      <c r="CO66" s="9">
        <v>10</v>
      </c>
      <c r="CP66" s="9">
        <v>8</v>
      </c>
      <c r="CQ66" s="9">
        <v>6</v>
      </c>
      <c r="CR66" s="9">
        <v>5</v>
      </c>
      <c r="CS66" s="9">
        <v>6</v>
      </c>
      <c r="CT66" s="9">
        <v>4</v>
      </c>
      <c r="CU66" s="9">
        <v>3</v>
      </c>
      <c r="CV66" s="9">
        <v>1</v>
      </c>
      <c r="CW66" s="9">
        <v>1</v>
      </c>
      <c r="CX66" s="9">
        <v>1</v>
      </c>
      <c r="CY66" s="9">
        <v>2</v>
      </c>
      <c r="CZ66" s="9">
        <v>3</v>
      </c>
      <c r="DA66" s="9">
        <v>2</v>
      </c>
      <c r="DB66" s="9">
        <v>3</v>
      </c>
      <c r="DC66" s="9">
        <v>2</v>
      </c>
      <c r="DD66" s="9">
        <v>2</v>
      </c>
      <c r="DE66" s="9">
        <v>1</v>
      </c>
      <c r="DF66" s="9">
        <v>2</v>
      </c>
      <c r="DG66" s="9">
        <v>2</v>
      </c>
      <c r="DH66" s="9">
        <v>1</v>
      </c>
      <c r="DI66" s="9">
        <v>1</v>
      </c>
      <c r="DJ66" s="9">
        <v>1</v>
      </c>
      <c r="DK66" s="9">
        <v>0</v>
      </c>
      <c r="DL66" s="9">
        <v>1</v>
      </c>
      <c r="DM66" s="9">
        <v>1</v>
      </c>
      <c r="DN66" s="9">
        <v>0</v>
      </c>
      <c r="DO66" s="9">
        <v>0</v>
      </c>
      <c r="DP66" s="9">
        <v>0</v>
      </c>
      <c r="DQ66" s="9">
        <v>0</v>
      </c>
      <c r="DR66" s="9">
        <v>0</v>
      </c>
      <c r="DS66" s="9">
        <v>1</v>
      </c>
      <c r="DT66" s="9">
        <v>1</v>
      </c>
      <c r="DU66" s="9">
        <v>3</v>
      </c>
      <c r="DV66" s="9">
        <v>2</v>
      </c>
      <c r="DW66" s="9">
        <v>2</v>
      </c>
      <c r="DX66" s="9">
        <v>1</v>
      </c>
      <c r="DY66" s="9">
        <v>1</v>
      </c>
      <c r="DZ66" s="9">
        <v>1</v>
      </c>
      <c r="EA66" s="9">
        <v>1</v>
      </c>
      <c r="EB66" s="9">
        <v>1</v>
      </c>
      <c r="EC66" s="9">
        <v>3</v>
      </c>
      <c r="ED66" s="9">
        <v>2</v>
      </c>
      <c r="EE66" s="9">
        <v>3</v>
      </c>
      <c r="EF66" s="9">
        <v>3</v>
      </c>
      <c r="EG66" s="9">
        <v>2</v>
      </c>
      <c r="EH66" s="9">
        <v>2</v>
      </c>
      <c r="EI66" s="9">
        <v>2</v>
      </c>
      <c r="EJ66" s="9">
        <v>1</v>
      </c>
      <c r="EK66" s="9">
        <v>1</v>
      </c>
      <c r="EL66" s="9">
        <v>1</v>
      </c>
      <c r="EM66" s="9">
        <v>1</v>
      </c>
      <c r="EN66" s="9">
        <v>1</v>
      </c>
      <c r="EO66" s="9">
        <v>1</v>
      </c>
      <c r="EP66" s="9">
        <v>1</v>
      </c>
      <c r="EQ66" s="9">
        <v>1</v>
      </c>
      <c r="ER66" s="9">
        <v>1</v>
      </c>
      <c r="ES66" s="9">
        <v>2</v>
      </c>
      <c r="ET66" s="9">
        <v>2</v>
      </c>
      <c r="EU66" s="9">
        <v>1</v>
      </c>
      <c r="EV66" s="9">
        <v>1</v>
      </c>
      <c r="EW66" s="9">
        <v>1</v>
      </c>
      <c r="EX66" s="9">
        <v>1</v>
      </c>
      <c r="EY66" s="9">
        <v>2</v>
      </c>
      <c r="EZ66" s="9">
        <v>2</v>
      </c>
      <c r="FA66" s="9">
        <v>2</v>
      </c>
      <c r="FB66" s="9">
        <v>1</v>
      </c>
      <c r="FC66" s="9">
        <v>1</v>
      </c>
      <c r="FD66" s="9">
        <v>1</v>
      </c>
      <c r="FE66" s="9">
        <v>1</v>
      </c>
      <c r="FF66" s="9">
        <v>1</v>
      </c>
      <c r="FG66" s="9">
        <v>1</v>
      </c>
      <c r="FH66" s="9">
        <v>1</v>
      </c>
      <c r="FI66" s="9">
        <v>2</v>
      </c>
      <c r="FJ66" s="9">
        <v>3</v>
      </c>
      <c r="FK66" s="9">
        <v>2</v>
      </c>
      <c r="FL66" s="9">
        <v>2</v>
      </c>
      <c r="FM66" s="10">
        <v>2</v>
      </c>
    </row>
    <row r="67" spans="1:169" x14ac:dyDescent="0.35">
      <c r="A67" s="8" t="s">
        <v>73</v>
      </c>
      <c r="B67" s="9" t="s">
        <v>114</v>
      </c>
      <c r="C67" s="10" t="s">
        <v>115</v>
      </c>
      <c r="D67" s="62">
        <f t="shared" si="97"/>
        <v>106</v>
      </c>
      <c r="E67" s="9">
        <v>0</v>
      </c>
      <c r="F67" s="9">
        <v>26</v>
      </c>
      <c r="G67" s="9">
        <v>30</v>
      </c>
      <c r="H67" s="9">
        <v>44</v>
      </c>
      <c r="I67" s="9">
        <v>37</v>
      </c>
      <c r="J67" s="9">
        <v>34</v>
      </c>
      <c r="K67" s="9">
        <v>50</v>
      </c>
      <c r="L67" s="9">
        <v>50</v>
      </c>
      <c r="M67" s="9">
        <v>59</v>
      </c>
      <c r="N67" s="9">
        <v>84</v>
      </c>
      <c r="O67" s="9">
        <v>5</v>
      </c>
      <c r="P67" s="9">
        <v>79</v>
      </c>
      <c r="Q67" s="9">
        <v>79</v>
      </c>
      <c r="R67" s="9">
        <v>64</v>
      </c>
      <c r="S67" s="9">
        <v>75</v>
      </c>
      <c r="T67" s="9">
        <v>72</v>
      </c>
      <c r="U67" s="9">
        <v>63</v>
      </c>
      <c r="V67" s="9">
        <v>67</v>
      </c>
      <c r="W67" s="9">
        <v>89</v>
      </c>
      <c r="X67" s="9">
        <v>104</v>
      </c>
      <c r="Y67" s="9">
        <v>101</v>
      </c>
      <c r="Z67" s="9">
        <v>106</v>
      </c>
      <c r="AA67" s="9">
        <v>103</v>
      </c>
      <c r="AB67" s="9">
        <v>102</v>
      </c>
      <c r="AC67" s="9">
        <v>101</v>
      </c>
      <c r="AD67" s="9">
        <v>95</v>
      </c>
      <c r="AE67" s="9">
        <v>97</v>
      </c>
      <c r="AF67" s="9">
        <v>87</v>
      </c>
      <c r="AG67" s="9">
        <v>78</v>
      </c>
      <c r="AH67" s="9">
        <v>74</v>
      </c>
      <c r="AI67" s="9">
        <v>77</v>
      </c>
      <c r="AJ67" s="9">
        <v>77</v>
      </c>
      <c r="AK67" s="9">
        <v>71</v>
      </c>
      <c r="AL67" s="9">
        <v>69</v>
      </c>
      <c r="AM67" s="9">
        <v>61</v>
      </c>
      <c r="AN67" s="9">
        <v>61</v>
      </c>
      <c r="AO67" s="9">
        <v>54</v>
      </c>
      <c r="AP67" s="9">
        <v>56</v>
      </c>
      <c r="AQ67" s="9">
        <v>54</v>
      </c>
      <c r="AR67" s="9">
        <v>54</v>
      </c>
      <c r="AS67" s="9">
        <v>54</v>
      </c>
      <c r="AT67" s="9">
        <v>49</v>
      </c>
      <c r="AU67" s="9">
        <v>46</v>
      </c>
      <c r="AV67" s="9">
        <v>41</v>
      </c>
      <c r="AW67" s="9">
        <v>41</v>
      </c>
      <c r="AX67" s="9">
        <v>40</v>
      </c>
      <c r="AY67" s="9">
        <v>41</v>
      </c>
      <c r="AZ67" s="9">
        <v>43</v>
      </c>
      <c r="BA67" s="9">
        <v>41</v>
      </c>
      <c r="BB67" s="9">
        <v>0</v>
      </c>
      <c r="BC67" s="9">
        <v>35</v>
      </c>
      <c r="BD67" s="9">
        <v>35</v>
      </c>
      <c r="BE67" s="9">
        <v>35</v>
      </c>
      <c r="BF67" s="9">
        <v>32</v>
      </c>
      <c r="BG67" s="9">
        <v>32</v>
      </c>
      <c r="BH67" s="9">
        <v>30</v>
      </c>
      <c r="BI67" s="9">
        <v>29</v>
      </c>
      <c r="BJ67" s="9">
        <v>25</v>
      </c>
      <c r="BK67" s="9">
        <v>23</v>
      </c>
      <c r="BL67" s="9">
        <v>23</v>
      </c>
      <c r="BM67" s="9">
        <v>20</v>
      </c>
      <c r="BN67" s="9">
        <v>19</v>
      </c>
      <c r="BO67" s="9">
        <v>17</v>
      </c>
      <c r="BP67" s="9">
        <v>15</v>
      </c>
      <c r="BQ67" s="9">
        <v>14</v>
      </c>
      <c r="BR67" s="9">
        <v>14</v>
      </c>
      <c r="BS67" s="9">
        <v>15</v>
      </c>
      <c r="BT67" s="9">
        <v>21</v>
      </c>
      <c r="BU67" s="9">
        <v>19</v>
      </c>
      <c r="BV67" s="9">
        <v>17</v>
      </c>
      <c r="BW67" s="9">
        <v>15</v>
      </c>
      <c r="BX67" s="9">
        <v>14</v>
      </c>
      <c r="BY67" s="9">
        <v>14</v>
      </c>
      <c r="BZ67" s="9">
        <v>16</v>
      </c>
      <c r="CA67" s="9">
        <v>16</v>
      </c>
      <c r="CB67" s="9">
        <v>20</v>
      </c>
      <c r="CC67" s="9">
        <v>18</v>
      </c>
      <c r="CD67" s="9">
        <v>16</v>
      </c>
      <c r="CE67" s="9">
        <v>17</v>
      </c>
      <c r="CF67" s="9">
        <v>16</v>
      </c>
      <c r="CG67" s="9">
        <v>15</v>
      </c>
      <c r="CH67" s="9">
        <v>14</v>
      </c>
      <c r="CI67" s="9">
        <v>14</v>
      </c>
      <c r="CJ67" s="9">
        <v>13</v>
      </c>
      <c r="CK67" s="9">
        <v>11</v>
      </c>
      <c r="CL67" s="9">
        <v>11</v>
      </c>
      <c r="CM67" s="9">
        <v>12</v>
      </c>
      <c r="CN67" s="9">
        <v>13</v>
      </c>
      <c r="CO67" s="9">
        <v>13</v>
      </c>
      <c r="CP67" s="9">
        <v>14</v>
      </c>
      <c r="CQ67" s="9">
        <v>13</v>
      </c>
      <c r="CR67" s="9">
        <v>10</v>
      </c>
      <c r="CS67" s="9">
        <v>8</v>
      </c>
      <c r="CT67" s="9">
        <v>8</v>
      </c>
      <c r="CU67" s="9">
        <v>10</v>
      </c>
      <c r="CV67" s="9">
        <v>10</v>
      </c>
      <c r="CW67" s="9">
        <v>14</v>
      </c>
      <c r="CX67" s="9">
        <v>12</v>
      </c>
      <c r="CY67" s="9">
        <v>9</v>
      </c>
      <c r="CZ67" s="9">
        <v>9</v>
      </c>
      <c r="DA67" s="9">
        <v>12</v>
      </c>
      <c r="DB67" s="9">
        <v>8</v>
      </c>
      <c r="DC67" s="9">
        <v>7</v>
      </c>
      <c r="DD67" s="9">
        <v>7</v>
      </c>
      <c r="DE67" s="9">
        <v>9</v>
      </c>
      <c r="DF67" s="9">
        <v>9</v>
      </c>
      <c r="DG67" s="9">
        <v>11</v>
      </c>
      <c r="DH67" s="9">
        <v>12</v>
      </c>
      <c r="DI67" s="9">
        <v>14</v>
      </c>
      <c r="DJ67" s="9">
        <v>13</v>
      </c>
      <c r="DK67" s="9">
        <v>14</v>
      </c>
      <c r="DL67" s="9">
        <v>14</v>
      </c>
      <c r="DM67" s="9">
        <v>12</v>
      </c>
      <c r="DN67" s="9">
        <v>14</v>
      </c>
      <c r="DO67" s="9">
        <v>10</v>
      </c>
      <c r="DP67" s="9">
        <v>10</v>
      </c>
      <c r="DQ67" s="9">
        <v>9</v>
      </c>
      <c r="DR67" s="9">
        <v>8</v>
      </c>
      <c r="DS67" s="9">
        <v>7</v>
      </c>
      <c r="DT67" s="9">
        <v>7</v>
      </c>
      <c r="DU67" s="9">
        <v>6</v>
      </c>
      <c r="DV67" s="9">
        <v>6</v>
      </c>
      <c r="DW67" s="9">
        <v>5</v>
      </c>
      <c r="DX67" s="9">
        <v>6</v>
      </c>
      <c r="DY67" s="9">
        <v>6</v>
      </c>
      <c r="DZ67" s="9">
        <v>9</v>
      </c>
      <c r="EA67" s="9">
        <v>8</v>
      </c>
      <c r="EB67" s="9">
        <v>6</v>
      </c>
      <c r="EC67" s="9">
        <v>8</v>
      </c>
      <c r="ED67" s="9">
        <v>7</v>
      </c>
      <c r="EE67" s="9">
        <v>6</v>
      </c>
      <c r="EF67" s="9">
        <v>7</v>
      </c>
      <c r="EG67" s="9">
        <v>9</v>
      </c>
      <c r="EH67" s="9">
        <v>10</v>
      </c>
      <c r="EI67" s="9">
        <v>10</v>
      </c>
      <c r="EJ67" s="9">
        <v>8</v>
      </c>
      <c r="EK67" s="9">
        <v>9</v>
      </c>
      <c r="EL67" s="9">
        <v>10</v>
      </c>
      <c r="EM67" s="9">
        <v>10</v>
      </c>
      <c r="EN67" s="9">
        <v>9</v>
      </c>
      <c r="EO67" s="9">
        <v>9</v>
      </c>
      <c r="EP67" s="9">
        <v>10</v>
      </c>
      <c r="EQ67" s="9">
        <v>11</v>
      </c>
      <c r="ER67" s="9">
        <v>11</v>
      </c>
      <c r="ES67" s="9">
        <v>12</v>
      </c>
      <c r="ET67" s="9">
        <v>9</v>
      </c>
      <c r="EU67" s="9">
        <v>10</v>
      </c>
      <c r="EV67" s="9">
        <v>9</v>
      </c>
      <c r="EW67" s="9">
        <v>8</v>
      </c>
      <c r="EX67" s="9">
        <v>8</v>
      </c>
      <c r="EY67" s="9">
        <v>8</v>
      </c>
      <c r="EZ67" s="9">
        <v>8</v>
      </c>
      <c r="FA67" s="9">
        <v>8</v>
      </c>
      <c r="FB67" s="9">
        <v>7</v>
      </c>
      <c r="FC67" s="9">
        <v>7</v>
      </c>
      <c r="FD67" s="9">
        <v>6</v>
      </c>
      <c r="FE67" s="9">
        <v>6</v>
      </c>
      <c r="FF67" s="9">
        <v>6</v>
      </c>
      <c r="FG67" s="9">
        <v>2</v>
      </c>
      <c r="FH67" s="9">
        <v>2</v>
      </c>
      <c r="FI67" s="9">
        <v>2</v>
      </c>
      <c r="FJ67" s="9">
        <v>2</v>
      </c>
      <c r="FK67" s="9">
        <v>2</v>
      </c>
      <c r="FL67" s="9">
        <v>3</v>
      </c>
      <c r="FM67" s="10">
        <v>4</v>
      </c>
    </row>
    <row r="68" spans="1:169" x14ac:dyDescent="0.35">
      <c r="A68" s="8" t="s">
        <v>73</v>
      </c>
      <c r="B68" s="9" t="s">
        <v>116</v>
      </c>
      <c r="C68" s="10" t="s">
        <v>117</v>
      </c>
      <c r="D68" s="62">
        <f t="shared" si="97"/>
        <v>49</v>
      </c>
      <c r="E68" s="9">
        <v>3</v>
      </c>
      <c r="F68" s="9">
        <v>3</v>
      </c>
      <c r="G68" s="9">
        <v>15</v>
      </c>
      <c r="H68" s="9">
        <v>15</v>
      </c>
      <c r="I68" s="9">
        <v>15</v>
      </c>
      <c r="J68" s="9">
        <v>15</v>
      </c>
      <c r="K68" s="9">
        <v>15</v>
      </c>
      <c r="L68" s="9">
        <v>18</v>
      </c>
      <c r="M68" s="9">
        <v>19</v>
      </c>
      <c r="N68" s="9">
        <v>20</v>
      </c>
      <c r="O68" s="9">
        <v>24</v>
      </c>
      <c r="P68" s="9">
        <v>25</v>
      </c>
      <c r="Q68" s="9">
        <v>25</v>
      </c>
      <c r="R68" s="9">
        <v>30</v>
      </c>
      <c r="S68" s="9">
        <v>26</v>
      </c>
      <c r="T68" s="9">
        <v>30</v>
      </c>
      <c r="U68" s="9">
        <v>23</v>
      </c>
      <c r="V68" s="9">
        <v>28</v>
      </c>
      <c r="W68" s="9">
        <v>30</v>
      </c>
      <c r="X68" s="9">
        <v>41</v>
      </c>
      <c r="Y68" s="9">
        <v>24</v>
      </c>
      <c r="Z68" s="9">
        <v>32</v>
      </c>
      <c r="AA68" s="9">
        <v>44</v>
      </c>
      <c r="AB68" s="9">
        <v>49</v>
      </c>
      <c r="AC68" s="9">
        <v>35</v>
      </c>
      <c r="AD68" s="9">
        <v>36</v>
      </c>
      <c r="AE68" s="9">
        <v>40</v>
      </c>
      <c r="AF68" s="9">
        <v>39</v>
      </c>
      <c r="AG68" s="9">
        <v>36</v>
      </c>
      <c r="AH68" s="9">
        <v>39</v>
      </c>
      <c r="AI68" s="9">
        <v>38</v>
      </c>
      <c r="AJ68" s="9">
        <v>39</v>
      </c>
      <c r="AK68" s="9">
        <v>34</v>
      </c>
      <c r="AL68" s="9">
        <v>39</v>
      </c>
      <c r="AM68" s="9">
        <v>41</v>
      </c>
      <c r="AN68" s="9">
        <v>38</v>
      </c>
      <c r="AO68" s="9">
        <v>31</v>
      </c>
      <c r="AP68" s="9">
        <v>28</v>
      </c>
      <c r="AQ68" s="9">
        <v>30</v>
      </c>
      <c r="AR68" s="9">
        <v>33</v>
      </c>
      <c r="AS68" s="9">
        <v>25</v>
      </c>
      <c r="AT68" s="9">
        <v>26</v>
      </c>
      <c r="AU68" s="9">
        <v>19</v>
      </c>
      <c r="AV68" s="9">
        <v>24</v>
      </c>
      <c r="AW68" s="9">
        <v>29</v>
      </c>
      <c r="AX68" s="9">
        <v>37</v>
      </c>
      <c r="AY68" s="9">
        <v>34</v>
      </c>
      <c r="AZ68" s="9">
        <v>37</v>
      </c>
      <c r="BA68" s="9">
        <v>42</v>
      </c>
      <c r="BB68" s="9">
        <v>32</v>
      </c>
      <c r="BC68" s="9">
        <v>31</v>
      </c>
      <c r="BD68" s="9">
        <v>30</v>
      </c>
      <c r="BE68" s="9">
        <v>29</v>
      </c>
      <c r="BF68" s="9">
        <v>27</v>
      </c>
      <c r="BG68" s="9">
        <v>27</v>
      </c>
      <c r="BH68" s="9">
        <v>25</v>
      </c>
      <c r="BI68" s="9">
        <v>25</v>
      </c>
      <c r="BJ68" s="9">
        <v>23</v>
      </c>
      <c r="BK68" s="9">
        <v>26</v>
      </c>
      <c r="BL68" s="9">
        <v>24</v>
      </c>
      <c r="BM68" s="9">
        <v>21</v>
      </c>
      <c r="BN68" s="9">
        <v>18</v>
      </c>
      <c r="BO68" s="9">
        <v>19</v>
      </c>
      <c r="BP68" s="9">
        <v>19</v>
      </c>
      <c r="BQ68" s="9">
        <v>20</v>
      </c>
      <c r="BR68" s="9">
        <v>18</v>
      </c>
      <c r="BS68" s="9">
        <v>20</v>
      </c>
      <c r="BT68" s="9">
        <v>20</v>
      </c>
      <c r="BU68" s="9">
        <v>16</v>
      </c>
      <c r="BV68" s="9">
        <v>16</v>
      </c>
      <c r="BW68" s="9">
        <v>16</v>
      </c>
      <c r="BX68" s="9">
        <v>18</v>
      </c>
      <c r="BY68" s="9">
        <v>18</v>
      </c>
      <c r="BZ68" s="9">
        <v>19</v>
      </c>
      <c r="CA68" s="9">
        <v>23</v>
      </c>
      <c r="CB68" s="9">
        <v>12</v>
      </c>
      <c r="CC68" s="9">
        <v>21</v>
      </c>
      <c r="CD68" s="9">
        <v>20</v>
      </c>
      <c r="CE68" s="9">
        <v>19</v>
      </c>
      <c r="CF68" s="9">
        <v>22</v>
      </c>
      <c r="CG68" s="9">
        <v>21</v>
      </c>
      <c r="CH68" s="9">
        <v>20</v>
      </c>
      <c r="CI68" s="9">
        <v>20</v>
      </c>
      <c r="CJ68" s="9">
        <v>16</v>
      </c>
      <c r="CK68" s="9">
        <v>16</v>
      </c>
      <c r="CL68" s="9">
        <v>15</v>
      </c>
      <c r="CM68" s="9">
        <v>16</v>
      </c>
      <c r="CN68" s="9">
        <v>17</v>
      </c>
      <c r="CO68" s="9">
        <v>21</v>
      </c>
      <c r="CP68" s="9">
        <v>22</v>
      </c>
      <c r="CQ68" s="9">
        <v>20</v>
      </c>
      <c r="CR68" s="9">
        <v>19</v>
      </c>
      <c r="CS68" s="9">
        <v>21</v>
      </c>
      <c r="CT68" s="9">
        <v>27</v>
      </c>
      <c r="CU68" s="9">
        <v>27</v>
      </c>
      <c r="CV68" s="9">
        <v>24</v>
      </c>
      <c r="CW68" s="9">
        <v>21</v>
      </c>
      <c r="CX68" s="9">
        <v>18</v>
      </c>
      <c r="CY68" s="9">
        <v>16</v>
      </c>
      <c r="CZ68" s="9">
        <v>15</v>
      </c>
      <c r="DA68" s="9">
        <v>15</v>
      </c>
      <c r="DB68" s="9">
        <v>16</v>
      </c>
      <c r="DC68" s="9">
        <v>14</v>
      </c>
      <c r="DD68" s="9">
        <v>14</v>
      </c>
      <c r="DE68" s="9">
        <v>15</v>
      </c>
      <c r="DF68" s="9">
        <v>15</v>
      </c>
      <c r="DG68" s="9">
        <v>14</v>
      </c>
      <c r="DH68" s="9">
        <v>13</v>
      </c>
      <c r="DI68" s="9">
        <v>12</v>
      </c>
      <c r="DJ68" s="9">
        <v>13</v>
      </c>
      <c r="DK68" s="9">
        <v>15</v>
      </c>
      <c r="DL68" s="9">
        <v>15</v>
      </c>
      <c r="DM68" s="9">
        <v>14</v>
      </c>
      <c r="DN68" s="9">
        <v>14</v>
      </c>
      <c r="DO68" s="9">
        <v>16</v>
      </c>
      <c r="DP68" s="9">
        <v>14</v>
      </c>
      <c r="DQ68" s="9">
        <v>13</v>
      </c>
      <c r="DR68" s="9">
        <v>12</v>
      </c>
      <c r="DS68" s="9">
        <v>11</v>
      </c>
      <c r="DT68" s="9">
        <v>11</v>
      </c>
      <c r="DU68" s="9">
        <v>10</v>
      </c>
      <c r="DV68" s="9">
        <v>9</v>
      </c>
      <c r="DW68" s="9">
        <v>10</v>
      </c>
      <c r="DX68" s="9">
        <v>10</v>
      </c>
      <c r="DY68" s="9">
        <v>9</v>
      </c>
      <c r="DZ68" s="9">
        <v>7</v>
      </c>
      <c r="EA68" s="9">
        <v>5</v>
      </c>
      <c r="EB68" s="9">
        <v>4</v>
      </c>
      <c r="EC68" s="9">
        <v>3</v>
      </c>
      <c r="ED68" s="9">
        <v>2</v>
      </c>
      <c r="EE68" s="9">
        <v>2</v>
      </c>
      <c r="EF68" s="9">
        <v>4</v>
      </c>
      <c r="EG68" s="9">
        <v>4</v>
      </c>
      <c r="EH68" s="9">
        <v>4</v>
      </c>
      <c r="EI68" s="9">
        <v>4</v>
      </c>
      <c r="EJ68" s="9">
        <v>5</v>
      </c>
      <c r="EK68" s="9">
        <v>3</v>
      </c>
      <c r="EL68" s="9">
        <v>4</v>
      </c>
      <c r="EM68" s="9">
        <v>4</v>
      </c>
      <c r="EN68" s="9">
        <v>2</v>
      </c>
      <c r="EO68" s="9">
        <v>2</v>
      </c>
      <c r="EP68" s="9">
        <v>2</v>
      </c>
      <c r="EQ68" s="9">
        <v>2</v>
      </c>
      <c r="ER68" s="9">
        <v>2</v>
      </c>
      <c r="ES68" s="9">
        <v>2</v>
      </c>
      <c r="ET68" s="9">
        <v>1</v>
      </c>
      <c r="EU68" s="9">
        <v>0</v>
      </c>
      <c r="EV68" s="9">
        <v>0</v>
      </c>
      <c r="EW68" s="9">
        <v>0</v>
      </c>
      <c r="EX68" s="9">
        <v>0</v>
      </c>
      <c r="EY68" s="9">
        <v>0</v>
      </c>
      <c r="EZ68" s="9">
        <v>0</v>
      </c>
      <c r="FA68" s="9">
        <v>0</v>
      </c>
      <c r="FB68" s="9">
        <v>0</v>
      </c>
      <c r="FC68" s="9">
        <v>0</v>
      </c>
      <c r="FD68" s="9">
        <v>0</v>
      </c>
      <c r="FE68" s="9">
        <v>0</v>
      </c>
      <c r="FF68" s="9">
        <v>0</v>
      </c>
      <c r="FG68" s="9">
        <v>1</v>
      </c>
      <c r="FH68" s="9">
        <v>1</v>
      </c>
      <c r="FI68" s="9">
        <v>1</v>
      </c>
      <c r="FJ68" s="9">
        <v>1</v>
      </c>
      <c r="FK68" s="9">
        <v>1</v>
      </c>
      <c r="FL68" s="9">
        <v>0</v>
      </c>
      <c r="FM68" s="10">
        <v>0</v>
      </c>
    </row>
    <row r="69" spans="1:169" x14ac:dyDescent="0.35">
      <c r="A69" s="8" t="s">
        <v>73</v>
      </c>
      <c r="B69" s="9" t="s">
        <v>118</v>
      </c>
      <c r="C69" s="10" t="s">
        <v>119</v>
      </c>
      <c r="D69" s="62">
        <f t="shared" ref="D69:D132" si="98">MAX(E69:FM69)</f>
        <v>212</v>
      </c>
      <c r="E69" s="9">
        <v>18</v>
      </c>
      <c r="F69" s="9">
        <v>25</v>
      </c>
      <c r="G69" s="9">
        <v>25</v>
      </c>
      <c r="H69" s="9">
        <v>24</v>
      </c>
      <c r="I69" s="9">
        <v>24</v>
      </c>
      <c r="J69" s="9">
        <v>36</v>
      </c>
      <c r="K69" s="9">
        <v>39</v>
      </c>
      <c r="L69" s="9">
        <v>46</v>
      </c>
      <c r="M69" s="9">
        <v>53</v>
      </c>
      <c r="N69" s="9">
        <v>56</v>
      </c>
      <c r="O69" s="9">
        <v>62</v>
      </c>
      <c r="P69" s="9">
        <v>79</v>
      </c>
      <c r="Q69" s="9">
        <v>80</v>
      </c>
      <c r="R69" s="9">
        <v>90</v>
      </c>
      <c r="S69" s="9">
        <v>0</v>
      </c>
      <c r="T69" s="9">
        <v>79</v>
      </c>
      <c r="U69" s="9">
        <v>98</v>
      </c>
      <c r="V69" s="9">
        <v>99</v>
      </c>
      <c r="W69" s="9">
        <v>107</v>
      </c>
      <c r="X69" s="9">
        <v>110</v>
      </c>
      <c r="Y69" s="9">
        <v>108</v>
      </c>
      <c r="Z69" s="9">
        <v>212</v>
      </c>
      <c r="AA69" s="9">
        <v>101</v>
      </c>
      <c r="AB69" s="9">
        <v>101</v>
      </c>
      <c r="AC69" s="9">
        <v>104</v>
      </c>
      <c r="AD69" s="9">
        <v>97</v>
      </c>
      <c r="AE69" s="9">
        <v>99</v>
      </c>
      <c r="AF69" s="9">
        <v>89</v>
      </c>
      <c r="AG69" s="9">
        <v>80</v>
      </c>
      <c r="AH69" s="9">
        <v>85</v>
      </c>
      <c r="AI69" s="9">
        <v>77</v>
      </c>
      <c r="AJ69" s="9">
        <v>79</v>
      </c>
      <c r="AK69" s="9">
        <v>74</v>
      </c>
      <c r="AL69" s="9">
        <v>71</v>
      </c>
      <c r="AM69" s="9">
        <v>61</v>
      </c>
      <c r="AN69" s="9">
        <v>58</v>
      </c>
      <c r="AO69" s="9">
        <v>52</v>
      </c>
      <c r="AP69" s="9">
        <v>52</v>
      </c>
      <c r="AQ69" s="9">
        <v>44</v>
      </c>
      <c r="AR69" s="9">
        <v>45</v>
      </c>
      <c r="AS69" s="9">
        <v>49</v>
      </c>
      <c r="AT69" s="9">
        <v>50</v>
      </c>
      <c r="AU69" s="9">
        <v>47</v>
      </c>
      <c r="AV69" s="9">
        <v>45</v>
      </c>
      <c r="AW69" s="9">
        <v>45</v>
      </c>
      <c r="AX69" s="9">
        <v>36</v>
      </c>
      <c r="AY69" s="9">
        <v>35</v>
      </c>
      <c r="AZ69" s="9">
        <v>31</v>
      </c>
      <c r="BA69" s="9">
        <v>34</v>
      </c>
      <c r="BB69" s="9">
        <v>34</v>
      </c>
      <c r="BC69" s="9">
        <v>36</v>
      </c>
      <c r="BD69" s="9">
        <v>32</v>
      </c>
      <c r="BE69" s="9">
        <v>24</v>
      </c>
      <c r="BF69" s="9">
        <v>29</v>
      </c>
      <c r="BG69" s="9">
        <v>32</v>
      </c>
      <c r="BH69" s="9">
        <v>27</v>
      </c>
      <c r="BI69" s="9">
        <v>25</v>
      </c>
      <c r="BJ69" s="9">
        <v>27</v>
      </c>
      <c r="BK69" s="9">
        <v>22</v>
      </c>
      <c r="BL69" s="9">
        <v>21</v>
      </c>
      <c r="BM69" s="9">
        <v>20</v>
      </c>
      <c r="BN69" s="9">
        <v>17</v>
      </c>
      <c r="BO69" s="9">
        <v>20</v>
      </c>
      <c r="BP69" s="9">
        <v>20</v>
      </c>
      <c r="BQ69" s="9">
        <v>20</v>
      </c>
      <c r="BR69" s="9">
        <v>20</v>
      </c>
      <c r="BS69" s="9">
        <v>16</v>
      </c>
      <c r="BT69" s="9">
        <v>16</v>
      </c>
      <c r="BU69" s="9">
        <v>16</v>
      </c>
      <c r="BV69" s="9">
        <v>12</v>
      </c>
      <c r="BW69" s="9">
        <v>12</v>
      </c>
      <c r="BX69" s="9">
        <v>15</v>
      </c>
      <c r="BY69" s="9">
        <v>16</v>
      </c>
      <c r="BZ69" s="9">
        <v>21</v>
      </c>
      <c r="CA69" s="9">
        <v>23</v>
      </c>
      <c r="CB69" s="9">
        <v>23</v>
      </c>
      <c r="CC69" s="9">
        <v>23</v>
      </c>
      <c r="CD69" s="9">
        <v>23</v>
      </c>
      <c r="CE69" s="9">
        <v>21</v>
      </c>
      <c r="CF69" s="9">
        <v>24</v>
      </c>
      <c r="CG69" s="9">
        <v>26</v>
      </c>
      <c r="CH69" s="9">
        <v>26</v>
      </c>
      <c r="CI69" s="9">
        <v>26</v>
      </c>
      <c r="CJ69" s="9">
        <v>23</v>
      </c>
      <c r="CK69" s="9">
        <v>20</v>
      </c>
      <c r="CL69" s="9">
        <v>17</v>
      </c>
      <c r="CM69" s="9">
        <v>18</v>
      </c>
      <c r="CN69" s="9">
        <v>18</v>
      </c>
      <c r="CO69" s="9">
        <v>25</v>
      </c>
      <c r="CP69" s="9">
        <v>23</v>
      </c>
      <c r="CQ69" s="9">
        <v>23</v>
      </c>
      <c r="CR69" s="9">
        <v>21</v>
      </c>
      <c r="CS69" s="9">
        <v>22</v>
      </c>
      <c r="CT69" s="9">
        <v>22</v>
      </c>
      <c r="CU69" s="9">
        <v>22</v>
      </c>
      <c r="CV69" s="9">
        <v>24</v>
      </c>
      <c r="CW69" s="9">
        <v>21</v>
      </c>
      <c r="CX69" s="9">
        <v>20</v>
      </c>
      <c r="CY69" s="9">
        <v>18</v>
      </c>
      <c r="CZ69" s="9">
        <v>18</v>
      </c>
      <c r="DA69" s="9">
        <v>18</v>
      </c>
      <c r="DB69" s="9">
        <v>18</v>
      </c>
      <c r="DC69" s="9">
        <v>16</v>
      </c>
      <c r="DD69" s="9">
        <v>13</v>
      </c>
      <c r="DE69" s="9">
        <v>14</v>
      </c>
      <c r="DF69" s="9">
        <v>10</v>
      </c>
      <c r="DG69" s="9">
        <v>7</v>
      </c>
      <c r="DH69" s="9">
        <v>7</v>
      </c>
      <c r="DI69" s="9">
        <v>9</v>
      </c>
      <c r="DJ69" s="9">
        <v>9</v>
      </c>
      <c r="DK69" s="9">
        <v>7</v>
      </c>
      <c r="DL69" s="9">
        <v>7</v>
      </c>
      <c r="DM69" s="9">
        <v>7</v>
      </c>
      <c r="DN69" s="9">
        <v>7</v>
      </c>
      <c r="DO69" s="9">
        <v>7</v>
      </c>
      <c r="DP69" s="9">
        <v>8</v>
      </c>
      <c r="DQ69" s="9">
        <v>7</v>
      </c>
      <c r="DR69" s="9">
        <v>7</v>
      </c>
      <c r="DS69" s="9">
        <v>7</v>
      </c>
      <c r="DT69" s="9">
        <v>6</v>
      </c>
      <c r="DU69" s="9">
        <v>6</v>
      </c>
      <c r="DV69" s="9">
        <v>6</v>
      </c>
      <c r="DW69" s="9">
        <v>6</v>
      </c>
      <c r="DX69" s="9">
        <v>6</v>
      </c>
      <c r="DY69" s="9">
        <v>6</v>
      </c>
      <c r="DZ69" s="9">
        <v>4</v>
      </c>
      <c r="EA69" s="9">
        <v>4</v>
      </c>
      <c r="EB69" s="9">
        <v>3</v>
      </c>
      <c r="EC69" s="9">
        <v>3</v>
      </c>
      <c r="ED69" s="9">
        <v>4</v>
      </c>
      <c r="EE69" s="9">
        <v>3</v>
      </c>
      <c r="EF69" s="9">
        <v>3</v>
      </c>
      <c r="EG69" s="9">
        <v>3</v>
      </c>
      <c r="EH69" s="9">
        <v>3</v>
      </c>
      <c r="EI69" s="9">
        <v>3</v>
      </c>
      <c r="EJ69" s="9">
        <v>3</v>
      </c>
      <c r="EK69" s="9">
        <v>3</v>
      </c>
      <c r="EL69" s="9">
        <v>4</v>
      </c>
      <c r="EM69" s="9">
        <v>4</v>
      </c>
      <c r="EN69" s="9">
        <v>4</v>
      </c>
      <c r="EO69" s="9">
        <v>5</v>
      </c>
      <c r="EP69" s="9">
        <v>5</v>
      </c>
      <c r="EQ69" s="9">
        <v>5</v>
      </c>
      <c r="ER69" s="9">
        <v>5</v>
      </c>
      <c r="ES69" s="9">
        <v>5</v>
      </c>
      <c r="ET69" s="9">
        <v>4</v>
      </c>
      <c r="EU69" s="9">
        <v>4</v>
      </c>
      <c r="EV69" s="9">
        <v>4</v>
      </c>
      <c r="EW69" s="9">
        <v>3</v>
      </c>
      <c r="EX69" s="9">
        <v>4</v>
      </c>
      <c r="EY69" s="9">
        <v>4</v>
      </c>
      <c r="EZ69" s="9">
        <v>3</v>
      </c>
      <c r="FA69" s="9">
        <v>3</v>
      </c>
      <c r="FB69" s="9">
        <v>3</v>
      </c>
      <c r="FC69" s="9">
        <v>3</v>
      </c>
      <c r="FD69" s="9">
        <v>4</v>
      </c>
      <c r="FE69" s="9">
        <v>4</v>
      </c>
      <c r="FF69" s="9">
        <v>4</v>
      </c>
      <c r="FG69" s="9">
        <v>4</v>
      </c>
      <c r="FH69" s="9">
        <v>4</v>
      </c>
      <c r="FI69" s="9">
        <v>4</v>
      </c>
      <c r="FJ69" s="9">
        <v>4</v>
      </c>
      <c r="FK69" s="9">
        <v>4</v>
      </c>
      <c r="FL69" s="9">
        <v>4</v>
      </c>
      <c r="FM69" s="10">
        <v>4</v>
      </c>
    </row>
    <row r="70" spans="1:169" x14ac:dyDescent="0.35">
      <c r="A70" s="8" t="s">
        <v>73</v>
      </c>
      <c r="B70" s="9" t="s">
        <v>120</v>
      </c>
      <c r="C70" s="10" t="s">
        <v>121</v>
      </c>
      <c r="D70" s="62">
        <f t="shared" si="98"/>
        <v>245</v>
      </c>
      <c r="E70" s="9">
        <v>0</v>
      </c>
      <c r="F70" s="9">
        <v>22</v>
      </c>
      <c r="G70" s="9">
        <v>28</v>
      </c>
      <c r="H70" s="9">
        <v>0</v>
      </c>
      <c r="I70" s="9">
        <v>0</v>
      </c>
      <c r="J70" s="9">
        <v>62</v>
      </c>
      <c r="K70" s="9">
        <v>70</v>
      </c>
      <c r="L70" s="9">
        <v>75</v>
      </c>
      <c r="M70" s="9">
        <v>85</v>
      </c>
      <c r="N70" s="9">
        <v>91</v>
      </c>
      <c r="O70" s="9">
        <v>87</v>
      </c>
      <c r="P70" s="9">
        <v>115</v>
      </c>
      <c r="Q70" s="9">
        <v>126</v>
      </c>
      <c r="R70" s="9">
        <v>119</v>
      </c>
      <c r="S70" s="9">
        <v>143</v>
      </c>
      <c r="T70" s="9">
        <v>149</v>
      </c>
      <c r="U70" s="9">
        <v>154</v>
      </c>
      <c r="V70" s="9">
        <v>149</v>
      </c>
      <c r="W70" s="9">
        <v>179</v>
      </c>
      <c r="X70" s="9">
        <v>180</v>
      </c>
      <c r="Y70" s="9">
        <v>191</v>
      </c>
      <c r="Z70" s="9">
        <v>186</v>
      </c>
      <c r="AA70" s="9">
        <v>184</v>
      </c>
      <c r="AB70" s="9">
        <v>171</v>
      </c>
      <c r="AC70" s="9">
        <v>164</v>
      </c>
      <c r="AD70" s="9">
        <v>174</v>
      </c>
      <c r="AE70" s="9">
        <v>173</v>
      </c>
      <c r="AF70" s="9">
        <v>179</v>
      </c>
      <c r="AG70" s="9">
        <v>171</v>
      </c>
      <c r="AH70" s="9">
        <v>173</v>
      </c>
      <c r="AI70" s="9">
        <v>149</v>
      </c>
      <c r="AJ70" s="9">
        <v>152</v>
      </c>
      <c r="AK70" s="9">
        <v>186</v>
      </c>
      <c r="AL70" s="9">
        <v>245</v>
      </c>
      <c r="AM70" s="9">
        <v>132</v>
      </c>
      <c r="AN70" s="9">
        <v>129</v>
      </c>
      <c r="AO70" s="9">
        <v>127</v>
      </c>
      <c r="AP70" s="9">
        <v>128</v>
      </c>
      <c r="AQ70" s="9">
        <v>172</v>
      </c>
      <c r="AR70" s="9">
        <v>89</v>
      </c>
      <c r="AS70" s="9">
        <v>133</v>
      </c>
      <c r="AT70" s="9">
        <v>144</v>
      </c>
      <c r="AU70" s="9">
        <v>138</v>
      </c>
      <c r="AV70" s="9">
        <v>132</v>
      </c>
      <c r="AW70" s="9">
        <v>124</v>
      </c>
      <c r="AX70" s="9">
        <v>123</v>
      </c>
      <c r="AY70" s="9">
        <v>120</v>
      </c>
      <c r="AZ70" s="9">
        <v>104</v>
      </c>
      <c r="BA70" s="9">
        <v>92</v>
      </c>
      <c r="BB70" s="9">
        <v>82</v>
      </c>
      <c r="BC70" s="9">
        <v>75</v>
      </c>
      <c r="BD70" s="9">
        <v>72</v>
      </c>
      <c r="BE70" s="9">
        <v>71</v>
      </c>
      <c r="BF70" s="9">
        <v>74</v>
      </c>
      <c r="BG70" s="9">
        <v>72</v>
      </c>
      <c r="BH70" s="9">
        <v>69</v>
      </c>
      <c r="BI70" s="9">
        <v>67</v>
      </c>
      <c r="BJ70" s="9">
        <v>70</v>
      </c>
      <c r="BK70" s="9">
        <v>67</v>
      </c>
      <c r="BL70" s="9">
        <v>63</v>
      </c>
      <c r="BM70" s="9">
        <v>59</v>
      </c>
      <c r="BN70" s="9">
        <v>50</v>
      </c>
      <c r="BO70" s="9">
        <v>49</v>
      </c>
      <c r="BP70" s="9">
        <v>45</v>
      </c>
      <c r="BQ70" s="9">
        <v>45</v>
      </c>
      <c r="BR70" s="9">
        <v>46</v>
      </c>
      <c r="BS70" s="9">
        <v>48</v>
      </c>
      <c r="BT70" s="9">
        <v>51</v>
      </c>
      <c r="BU70" s="9">
        <v>51</v>
      </c>
      <c r="BV70" s="9">
        <v>48</v>
      </c>
      <c r="BW70" s="9">
        <v>40</v>
      </c>
      <c r="BX70" s="9">
        <v>39</v>
      </c>
      <c r="BY70" s="9">
        <v>38</v>
      </c>
      <c r="BZ70" s="9">
        <v>37</v>
      </c>
      <c r="CA70" s="9">
        <v>35</v>
      </c>
      <c r="CB70" s="9">
        <v>32</v>
      </c>
      <c r="CC70" s="9">
        <v>30</v>
      </c>
      <c r="CD70" s="9">
        <v>26</v>
      </c>
      <c r="CE70" s="9">
        <v>22</v>
      </c>
      <c r="CF70" s="9">
        <v>20</v>
      </c>
      <c r="CG70" s="9">
        <v>20</v>
      </c>
      <c r="CH70" s="9">
        <v>22</v>
      </c>
      <c r="CI70" s="9">
        <v>22</v>
      </c>
      <c r="CJ70" s="9">
        <v>20</v>
      </c>
      <c r="CK70" s="9">
        <v>19</v>
      </c>
      <c r="CL70" s="9">
        <v>17</v>
      </c>
      <c r="CM70" s="9">
        <v>17</v>
      </c>
      <c r="CN70" s="9">
        <v>17</v>
      </c>
      <c r="CO70" s="9">
        <v>17</v>
      </c>
      <c r="CP70" s="9">
        <v>17</v>
      </c>
      <c r="CQ70" s="9">
        <v>16</v>
      </c>
      <c r="CR70" s="9">
        <v>17</v>
      </c>
      <c r="CS70" s="9">
        <v>15</v>
      </c>
      <c r="CT70" s="9">
        <v>13</v>
      </c>
      <c r="CU70" s="9">
        <v>13</v>
      </c>
      <c r="CV70" s="9">
        <v>12</v>
      </c>
      <c r="CW70" s="9">
        <v>13</v>
      </c>
      <c r="CX70" s="9">
        <v>14</v>
      </c>
      <c r="CY70" s="9">
        <v>14</v>
      </c>
      <c r="CZ70" s="9">
        <v>14</v>
      </c>
      <c r="DA70" s="9">
        <v>15</v>
      </c>
      <c r="DB70" s="9">
        <v>14</v>
      </c>
      <c r="DC70" s="9">
        <v>19</v>
      </c>
      <c r="DD70" s="9">
        <v>15</v>
      </c>
      <c r="DE70" s="9">
        <v>12</v>
      </c>
      <c r="DF70" s="9">
        <v>10</v>
      </c>
      <c r="DG70" s="9">
        <v>10</v>
      </c>
      <c r="DH70" s="9">
        <v>10</v>
      </c>
      <c r="DI70" s="9">
        <v>8</v>
      </c>
      <c r="DJ70" s="9">
        <v>8</v>
      </c>
      <c r="DK70" s="9">
        <v>6</v>
      </c>
      <c r="DL70" s="9">
        <v>6</v>
      </c>
      <c r="DM70" s="9">
        <v>6</v>
      </c>
      <c r="DN70" s="9">
        <v>5</v>
      </c>
      <c r="DO70" s="9">
        <v>6</v>
      </c>
      <c r="DP70" s="9">
        <v>6</v>
      </c>
      <c r="DQ70" s="9">
        <v>9</v>
      </c>
      <c r="DR70" s="9">
        <v>6</v>
      </c>
      <c r="DS70" s="9">
        <v>10</v>
      </c>
      <c r="DT70" s="9">
        <v>10</v>
      </c>
      <c r="DU70" s="9">
        <v>10</v>
      </c>
      <c r="DV70" s="9">
        <v>11</v>
      </c>
      <c r="DW70" s="9">
        <v>11</v>
      </c>
      <c r="DX70" s="9">
        <v>9</v>
      </c>
      <c r="DY70" s="9">
        <v>8</v>
      </c>
      <c r="DZ70" s="9">
        <v>4</v>
      </c>
      <c r="EA70" s="9">
        <v>2</v>
      </c>
      <c r="EB70" s="9">
        <v>2</v>
      </c>
      <c r="EC70" s="9">
        <v>1</v>
      </c>
      <c r="ED70" s="9">
        <v>1</v>
      </c>
      <c r="EE70" s="9">
        <v>4</v>
      </c>
      <c r="EF70" s="9">
        <v>4</v>
      </c>
      <c r="EG70" s="9">
        <v>5</v>
      </c>
      <c r="EH70" s="9">
        <v>6</v>
      </c>
      <c r="EI70" s="9">
        <v>5</v>
      </c>
      <c r="EJ70" s="9">
        <v>5</v>
      </c>
      <c r="EK70" s="9">
        <v>6</v>
      </c>
      <c r="EL70" s="9">
        <v>3</v>
      </c>
      <c r="EM70" s="9">
        <v>4</v>
      </c>
      <c r="EN70" s="9">
        <v>4</v>
      </c>
      <c r="EO70" s="9">
        <v>4</v>
      </c>
      <c r="EP70" s="9">
        <v>4</v>
      </c>
      <c r="EQ70" s="9">
        <v>4</v>
      </c>
      <c r="ER70" s="9">
        <v>4</v>
      </c>
      <c r="ES70" s="9">
        <v>6</v>
      </c>
      <c r="ET70" s="9">
        <v>3</v>
      </c>
      <c r="EU70" s="9">
        <v>6</v>
      </c>
      <c r="EV70" s="9">
        <v>6</v>
      </c>
      <c r="EW70" s="9">
        <v>6</v>
      </c>
      <c r="EX70" s="9">
        <v>6</v>
      </c>
      <c r="EY70" s="9">
        <v>7</v>
      </c>
      <c r="EZ70" s="9">
        <v>4</v>
      </c>
      <c r="FA70" s="9">
        <v>4</v>
      </c>
      <c r="FB70" s="9">
        <v>6</v>
      </c>
      <c r="FC70" s="9">
        <v>5</v>
      </c>
      <c r="FD70" s="9">
        <v>5</v>
      </c>
      <c r="FE70" s="9">
        <v>5</v>
      </c>
      <c r="FF70" s="9">
        <v>5</v>
      </c>
      <c r="FG70" s="9">
        <v>5</v>
      </c>
      <c r="FH70" s="9">
        <v>5</v>
      </c>
      <c r="FI70" s="9">
        <v>6</v>
      </c>
      <c r="FJ70" s="9">
        <v>6</v>
      </c>
      <c r="FK70" s="9">
        <v>5</v>
      </c>
      <c r="FL70" s="9">
        <v>9</v>
      </c>
      <c r="FM70" s="10">
        <v>11</v>
      </c>
    </row>
    <row r="71" spans="1:169" x14ac:dyDescent="0.35">
      <c r="A71" s="8" t="s">
        <v>73</v>
      </c>
      <c r="B71" s="9" t="s">
        <v>122</v>
      </c>
      <c r="C71" s="10" t="s">
        <v>123</v>
      </c>
      <c r="D71" s="62">
        <f t="shared" si="98"/>
        <v>303</v>
      </c>
      <c r="E71" s="9">
        <v>83</v>
      </c>
      <c r="F71" s="9">
        <v>88</v>
      </c>
      <c r="G71" s="9">
        <v>94</v>
      </c>
      <c r="H71" s="9">
        <v>111</v>
      </c>
      <c r="I71" s="9">
        <v>101</v>
      </c>
      <c r="J71" s="9">
        <v>146</v>
      </c>
      <c r="K71" s="9">
        <v>161</v>
      </c>
      <c r="L71" s="9">
        <v>200</v>
      </c>
      <c r="M71" s="9">
        <v>223</v>
      </c>
      <c r="N71" s="9">
        <v>223</v>
      </c>
      <c r="O71" s="9">
        <v>230</v>
      </c>
      <c r="P71" s="9">
        <v>285</v>
      </c>
      <c r="Q71" s="9">
        <v>235</v>
      </c>
      <c r="R71" s="9">
        <v>259</v>
      </c>
      <c r="S71" s="9">
        <v>282</v>
      </c>
      <c r="T71" s="9">
        <v>284</v>
      </c>
      <c r="U71" s="9">
        <v>292</v>
      </c>
      <c r="V71" s="9">
        <v>284</v>
      </c>
      <c r="W71" s="9">
        <v>303</v>
      </c>
      <c r="X71" s="9">
        <v>283</v>
      </c>
      <c r="Y71" s="9">
        <v>290</v>
      </c>
      <c r="Z71" s="9">
        <v>281</v>
      </c>
      <c r="AA71" s="9">
        <v>264</v>
      </c>
      <c r="AB71" s="9">
        <v>303</v>
      </c>
      <c r="AC71" s="9">
        <v>283</v>
      </c>
      <c r="AD71" s="9">
        <v>245</v>
      </c>
      <c r="AE71" s="9">
        <v>236</v>
      </c>
      <c r="AF71" s="9">
        <v>225</v>
      </c>
      <c r="AG71" s="9">
        <v>213</v>
      </c>
      <c r="AH71" s="9">
        <v>269</v>
      </c>
      <c r="AI71" s="9">
        <v>244</v>
      </c>
      <c r="AJ71" s="9">
        <v>214</v>
      </c>
      <c r="AK71" s="9">
        <v>233</v>
      </c>
      <c r="AL71" s="9">
        <v>212</v>
      </c>
      <c r="AM71" s="9">
        <v>227</v>
      </c>
      <c r="AN71" s="9">
        <v>234</v>
      </c>
      <c r="AO71" s="9">
        <v>232</v>
      </c>
      <c r="AP71" s="9">
        <v>185</v>
      </c>
      <c r="AQ71" s="9">
        <v>186</v>
      </c>
      <c r="AR71" s="9">
        <v>180</v>
      </c>
      <c r="AS71" s="9">
        <v>160</v>
      </c>
      <c r="AT71" s="9">
        <v>155</v>
      </c>
      <c r="AU71" s="9">
        <v>183</v>
      </c>
      <c r="AV71" s="9">
        <v>155</v>
      </c>
      <c r="AW71" s="9">
        <v>149</v>
      </c>
      <c r="AX71" s="9">
        <v>149</v>
      </c>
      <c r="AY71" s="9">
        <v>160</v>
      </c>
      <c r="AZ71" s="9">
        <v>128</v>
      </c>
      <c r="BA71" s="9">
        <v>156</v>
      </c>
      <c r="BB71" s="9">
        <v>129</v>
      </c>
      <c r="BC71" s="9">
        <v>114</v>
      </c>
      <c r="BD71" s="9">
        <v>97</v>
      </c>
      <c r="BE71" s="9">
        <v>116</v>
      </c>
      <c r="BF71" s="9">
        <v>103</v>
      </c>
      <c r="BG71" s="9">
        <v>100</v>
      </c>
      <c r="BH71" s="9">
        <v>94</v>
      </c>
      <c r="BI71" s="9">
        <v>101</v>
      </c>
      <c r="BJ71" s="9">
        <v>77</v>
      </c>
      <c r="BK71" s="9">
        <v>86</v>
      </c>
      <c r="BL71" s="9">
        <v>82</v>
      </c>
      <c r="BM71" s="9">
        <v>89</v>
      </c>
      <c r="BN71" s="9">
        <v>77</v>
      </c>
      <c r="BO71" s="9">
        <v>74</v>
      </c>
      <c r="BP71" s="9">
        <v>88</v>
      </c>
      <c r="BQ71" s="9">
        <v>86</v>
      </c>
      <c r="BR71" s="9">
        <v>56</v>
      </c>
      <c r="BS71" s="9">
        <v>60</v>
      </c>
      <c r="BT71" s="9">
        <v>59</v>
      </c>
      <c r="BU71" s="9">
        <v>62</v>
      </c>
      <c r="BV71" s="9">
        <v>52</v>
      </c>
      <c r="BW71" s="9">
        <v>50</v>
      </c>
      <c r="BX71" s="9">
        <v>53</v>
      </c>
      <c r="BY71" s="9">
        <v>40</v>
      </c>
      <c r="BZ71" s="9">
        <v>44</v>
      </c>
      <c r="CA71" s="9">
        <v>31</v>
      </c>
      <c r="CB71" s="9">
        <v>37</v>
      </c>
      <c r="CC71" s="9">
        <v>37</v>
      </c>
      <c r="CD71" s="9">
        <v>49</v>
      </c>
      <c r="CE71" s="9">
        <v>47</v>
      </c>
      <c r="CF71" s="9">
        <v>48</v>
      </c>
      <c r="CG71" s="9">
        <v>42</v>
      </c>
      <c r="CH71" s="9">
        <v>35</v>
      </c>
      <c r="CI71" s="9">
        <v>13</v>
      </c>
      <c r="CJ71" s="9">
        <v>16</v>
      </c>
      <c r="CK71" s="9">
        <v>18</v>
      </c>
      <c r="CL71" s="9">
        <v>17</v>
      </c>
      <c r="CM71" s="9">
        <v>15</v>
      </c>
      <c r="CN71" s="9">
        <v>18</v>
      </c>
      <c r="CO71" s="9">
        <v>40</v>
      </c>
      <c r="CP71" s="9">
        <v>17</v>
      </c>
      <c r="CQ71" s="9">
        <v>12</v>
      </c>
      <c r="CR71" s="9">
        <v>17</v>
      </c>
      <c r="CS71" s="9">
        <v>20</v>
      </c>
      <c r="CT71" s="9">
        <v>15</v>
      </c>
      <c r="CU71" s="9">
        <v>17</v>
      </c>
      <c r="CV71" s="9">
        <v>14</v>
      </c>
      <c r="CW71" s="9">
        <v>12</v>
      </c>
      <c r="CX71" s="9">
        <v>10</v>
      </c>
      <c r="CY71" s="9">
        <v>9</v>
      </c>
      <c r="CZ71" s="9">
        <v>9</v>
      </c>
      <c r="DA71" s="9">
        <v>10</v>
      </c>
      <c r="DB71" s="9">
        <v>9</v>
      </c>
      <c r="DC71" s="9">
        <v>10</v>
      </c>
      <c r="DD71" s="9">
        <v>11</v>
      </c>
      <c r="DE71" s="9">
        <v>12</v>
      </c>
      <c r="DF71" s="9">
        <v>12</v>
      </c>
      <c r="DG71" s="9">
        <v>9</v>
      </c>
      <c r="DH71" s="9">
        <v>9</v>
      </c>
      <c r="DI71" s="9">
        <v>11</v>
      </c>
      <c r="DJ71" s="9">
        <v>11</v>
      </c>
      <c r="DK71" s="9">
        <v>12</v>
      </c>
      <c r="DL71" s="9">
        <v>11</v>
      </c>
      <c r="DM71" s="9">
        <v>10</v>
      </c>
      <c r="DN71" s="9">
        <v>10</v>
      </c>
      <c r="DO71" s="9">
        <v>8</v>
      </c>
      <c r="DP71" s="9">
        <v>5</v>
      </c>
      <c r="DQ71" s="9">
        <v>8</v>
      </c>
      <c r="DR71" s="9">
        <v>3</v>
      </c>
      <c r="DS71" s="9">
        <v>2</v>
      </c>
      <c r="DT71" s="9">
        <v>4</v>
      </c>
      <c r="DU71" s="9">
        <v>2</v>
      </c>
      <c r="DV71" s="9">
        <v>5</v>
      </c>
      <c r="DW71" s="9">
        <v>5</v>
      </c>
      <c r="DX71" s="9">
        <v>5</v>
      </c>
      <c r="DY71" s="9">
        <v>5</v>
      </c>
      <c r="DZ71" s="9">
        <v>5</v>
      </c>
      <c r="EA71" s="9">
        <v>5</v>
      </c>
      <c r="EB71" s="9">
        <v>4</v>
      </c>
      <c r="EC71" s="9">
        <v>6</v>
      </c>
      <c r="ED71" s="9">
        <v>5</v>
      </c>
      <c r="EE71" s="9">
        <v>4</v>
      </c>
      <c r="EF71" s="9">
        <v>6</v>
      </c>
      <c r="EG71" s="9">
        <v>2</v>
      </c>
      <c r="EH71" s="9">
        <v>3</v>
      </c>
      <c r="EI71" s="9">
        <v>2</v>
      </c>
      <c r="EJ71" s="9">
        <v>2</v>
      </c>
      <c r="EK71" s="9">
        <v>4</v>
      </c>
      <c r="EL71" s="9">
        <v>3</v>
      </c>
      <c r="EM71" s="9">
        <v>3</v>
      </c>
      <c r="EN71" s="9">
        <v>2</v>
      </c>
      <c r="EO71" s="9">
        <v>1</v>
      </c>
      <c r="EP71" s="9">
        <v>2</v>
      </c>
      <c r="EQ71" s="9">
        <v>3</v>
      </c>
      <c r="ER71" s="9">
        <v>2</v>
      </c>
      <c r="ES71" s="9">
        <v>3</v>
      </c>
      <c r="ET71" s="9">
        <v>2</v>
      </c>
      <c r="EU71" s="9">
        <v>3</v>
      </c>
      <c r="EV71" s="9">
        <v>2</v>
      </c>
      <c r="EW71" s="9">
        <v>4</v>
      </c>
      <c r="EX71" s="9">
        <v>2</v>
      </c>
      <c r="EY71" s="9">
        <v>4</v>
      </c>
      <c r="EZ71" s="9">
        <v>2</v>
      </c>
      <c r="FA71" s="9">
        <v>2</v>
      </c>
      <c r="FB71" s="9">
        <v>3</v>
      </c>
      <c r="FC71" s="9">
        <v>4</v>
      </c>
      <c r="FD71" s="9">
        <v>3</v>
      </c>
      <c r="FE71" s="9">
        <v>4</v>
      </c>
      <c r="FF71" s="9">
        <v>4</v>
      </c>
      <c r="FG71" s="9">
        <v>5</v>
      </c>
      <c r="FH71" s="9">
        <v>3</v>
      </c>
      <c r="FI71" s="9">
        <v>5</v>
      </c>
      <c r="FJ71" s="9">
        <v>4</v>
      </c>
      <c r="FK71" s="9">
        <v>7</v>
      </c>
      <c r="FL71" s="9">
        <v>5</v>
      </c>
      <c r="FM71" s="10">
        <v>5</v>
      </c>
    </row>
    <row r="72" spans="1:169" x14ac:dyDescent="0.35">
      <c r="A72" s="8" t="s">
        <v>73</v>
      </c>
      <c r="B72" s="9" t="s">
        <v>124</v>
      </c>
      <c r="C72" s="10" t="s">
        <v>125</v>
      </c>
      <c r="D72" s="62">
        <f t="shared" si="98"/>
        <v>299</v>
      </c>
      <c r="E72" s="9">
        <v>42</v>
      </c>
      <c r="F72" s="9">
        <v>51</v>
      </c>
      <c r="G72" s="9">
        <v>55</v>
      </c>
      <c r="H72" s="9">
        <v>122</v>
      </c>
      <c r="I72" s="9">
        <v>65</v>
      </c>
      <c r="J72" s="9">
        <v>84</v>
      </c>
      <c r="K72" s="9">
        <v>164</v>
      </c>
      <c r="L72" s="9">
        <v>106</v>
      </c>
      <c r="M72" s="9">
        <v>123</v>
      </c>
      <c r="N72" s="9">
        <v>147</v>
      </c>
      <c r="O72" s="9">
        <v>189</v>
      </c>
      <c r="P72" s="9">
        <v>192</v>
      </c>
      <c r="Q72" s="9">
        <v>164</v>
      </c>
      <c r="R72" s="9">
        <v>196</v>
      </c>
      <c r="S72" s="9">
        <v>228</v>
      </c>
      <c r="T72" s="9">
        <v>247</v>
      </c>
      <c r="U72" s="9">
        <v>269</v>
      </c>
      <c r="V72" s="9">
        <v>252</v>
      </c>
      <c r="W72" s="9">
        <v>296</v>
      </c>
      <c r="X72" s="9">
        <v>299</v>
      </c>
      <c r="Y72" s="9">
        <v>281</v>
      </c>
      <c r="Z72" s="9">
        <v>275</v>
      </c>
      <c r="AA72" s="9">
        <v>278</v>
      </c>
      <c r="AB72" s="9">
        <v>286</v>
      </c>
      <c r="AC72" s="9">
        <v>278</v>
      </c>
      <c r="AD72" s="9">
        <v>262</v>
      </c>
      <c r="AE72" s="9">
        <v>237</v>
      </c>
      <c r="AF72" s="9">
        <v>235</v>
      </c>
      <c r="AG72" s="9">
        <v>218</v>
      </c>
      <c r="AH72" s="9">
        <v>202</v>
      </c>
      <c r="AI72" s="9">
        <v>196</v>
      </c>
      <c r="AJ72" s="9">
        <v>204</v>
      </c>
      <c r="AK72" s="9">
        <v>199</v>
      </c>
      <c r="AL72" s="9">
        <v>170</v>
      </c>
      <c r="AM72" s="9">
        <v>170</v>
      </c>
      <c r="AN72" s="9">
        <v>147</v>
      </c>
      <c r="AO72" s="9">
        <v>150</v>
      </c>
      <c r="AP72" s="9">
        <v>141</v>
      </c>
      <c r="AQ72" s="9">
        <v>138</v>
      </c>
      <c r="AR72" s="9">
        <v>123</v>
      </c>
      <c r="AS72" s="9">
        <v>121</v>
      </c>
      <c r="AT72" s="9">
        <v>116</v>
      </c>
      <c r="AU72" s="9">
        <v>110</v>
      </c>
      <c r="AV72" s="9">
        <v>101</v>
      </c>
      <c r="AW72" s="9">
        <v>89</v>
      </c>
      <c r="AX72" s="9">
        <v>87</v>
      </c>
      <c r="AY72" s="9">
        <v>102</v>
      </c>
      <c r="AZ72" s="9">
        <v>87</v>
      </c>
      <c r="BA72" s="9">
        <v>84</v>
      </c>
      <c r="BB72" s="9">
        <v>76</v>
      </c>
      <c r="BC72" s="9">
        <v>73</v>
      </c>
      <c r="BD72" s="9">
        <v>58</v>
      </c>
      <c r="BE72" s="9">
        <v>76</v>
      </c>
      <c r="BF72" s="9">
        <v>68</v>
      </c>
      <c r="BG72" s="9">
        <v>68</v>
      </c>
      <c r="BH72" s="9">
        <v>60</v>
      </c>
      <c r="BI72" s="9">
        <v>53</v>
      </c>
      <c r="BJ72" s="9">
        <v>54</v>
      </c>
      <c r="BK72" s="9">
        <v>41</v>
      </c>
      <c r="BL72" s="9">
        <v>42</v>
      </c>
      <c r="BM72" s="9">
        <v>37</v>
      </c>
      <c r="BN72" s="9">
        <v>33</v>
      </c>
      <c r="BO72" s="9">
        <v>28</v>
      </c>
      <c r="BP72" s="9">
        <v>24</v>
      </c>
      <c r="BQ72" s="9">
        <v>19</v>
      </c>
      <c r="BR72" s="9">
        <v>24</v>
      </c>
      <c r="BS72" s="9">
        <v>21</v>
      </c>
      <c r="BT72" s="9">
        <v>21</v>
      </c>
      <c r="BU72" s="9">
        <v>17</v>
      </c>
      <c r="BV72" s="9">
        <v>14</v>
      </c>
      <c r="BW72" s="9">
        <v>14</v>
      </c>
      <c r="BX72" s="9">
        <v>13</v>
      </c>
      <c r="BY72" s="9">
        <v>13</v>
      </c>
      <c r="BZ72" s="9">
        <v>14</v>
      </c>
      <c r="CA72" s="9">
        <v>14</v>
      </c>
      <c r="CB72" s="9">
        <v>13</v>
      </c>
      <c r="CC72" s="9">
        <v>12</v>
      </c>
      <c r="CD72" s="9">
        <v>8</v>
      </c>
      <c r="CE72" s="9">
        <v>6</v>
      </c>
      <c r="CF72" s="9">
        <v>7</v>
      </c>
      <c r="CG72" s="9">
        <v>4</v>
      </c>
      <c r="CH72" s="9">
        <v>3</v>
      </c>
      <c r="CI72" s="9">
        <v>3</v>
      </c>
      <c r="CJ72" s="9">
        <v>3</v>
      </c>
      <c r="CK72" s="9">
        <v>4</v>
      </c>
      <c r="CL72" s="9">
        <v>3</v>
      </c>
      <c r="CM72" s="9">
        <v>3</v>
      </c>
      <c r="CN72" s="9">
        <v>3</v>
      </c>
      <c r="CO72" s="9">
        <v>3</v>
      </c>
      <c r="CP72" s="9">
        <v>2</v>
      </c>
      <c r="CQ72" s="9">
        <v>2</v>
      </c>
      <c r="CR72" s="9">
        <v>3</v>
      </c>
      <c r="CS72" s="9">
        <v>3</v>
      </c>
      <c r="CT72" s="9">
        <v>3</v>
      </c>
      <c r="CU72" s="9">
        <v>4</v>
      </c>
      <c r="CV72" s="9">
        <v>4</v>
      </c>
      <c r="CW72" s="9">
        <v>3</v>
      </c>
      <c r="CX72" s="9">
        <v>3</v>
      </c>
      <c r="CY72" s="9">
        <v>2</v>
      </c>
      <c r="CZ72" s="9">
        <v>2</v>
      </c>
      <c r="DA72" s="9">
        <v>1</v>
      </c>
      <c r="DB72" s="9">
        <v>1</v>
      </c>
      <c r="DC72" s="9">
        <v>1</v>
      </c>
      <c r="DD72" s="9">
        <v>1</v>
      </c>
      <c r="DE72" s="9">
        <v>1</v>
      </c>
      <c r="DF72" s="9">
        <v>1</v>
      </c>
      <c r="DG72" s="9">
        <v>1</v>
      </c>
      <c r="DH72" s="9">
        <v>1</v>
      </c>
      <c r="DI72" s="9">
        <v>1</v>
      </c>
      <c r="DJ72" s="9">
        <v>3</v>
      </c>
      <c r="DK72" s="9">
        <v>0</v>
      </c>
      <c r="DL72" s="9">
        <v>2</v>
      </c>
      <c r="DM72" s="9">
        <v>2</v>
      </c>
      <c r="DN72" s="9">
        <v>2</v>
      </c>
      <c r="DO72" s="9">
        <v>2</v>
      </c>
      <c r="DP72" s="9">
        <v>2</v>
      </c>
      <c r="DQ72" s="9">
        <v>1</v>
      </c>
      <c r="DR72" s="9">
        <v>1</v>
      </c>
      <c r="DS72" s="9">
        <v>1</v>
      </c>
      <c r="DT72" s="9">
        <v>2</v>
      </c>
      <c r="DU72" s="9">
        <v>2</v>
      </c>
      <c r="DV72" s="9">
        <v>3</v>
      </c>
      <c r="DW72" s="9">
        <v>4</v>
      </c>
      <c r="DX72" s="9">
        <v>4</v>
      </c>
      <c r="DY72" s="9">
        <v>4</v>
      </c>
      <c r="DZ72" s="9">
        <v>4</v>
      </c>
      <c r="EA72" s="9">
        <v>4</v>
      </c>
      <c r="EB72" s="9">
        <v>3</v>
      </c>
      <c r="EC72" s="9">
        <v>2</v>
      </c>
      <c r="ED72" s="9">
        <v>2</v>
      </c>
      <c r="EE72" s="9">
        <v>2</v>
      </c>
      <c r="EF72" s="9">
        <v>2</v>
      </c>
      <c r="EG72" s="9">
        <v>2</v>
      </c>
      <c r="EH72" s="9">
        <v>2</v>
      </c>
      <c r="EI72" s="9">
        <v>2</v>
      </c>
      <c r="EJ72" s="9">
        <v>3</v>
      </c>
      <c r="EK72" s="9">
        <v>3</v>
      </c>
      <c r="EL72" s="9">
        <v>3</v>
      </c>
      <c r="EM72" s="9">
        <v>3</v>
      </c>
      <c r="EN72" s="9">
        <v>3</v>
      </c>
      <c r="EO72" s="9">
        <v>2</v>
      </c>
      <c r="EP72" s="9">
        <v>1</v>
      </c>
      <c r="EQ72" s="9">
        <v>1</v>
      </c>
      <c r="ER72" s="9">
        <v>1</v>
      </c>
      <c r="ES72" s="9">
        <v>1</v>
      </c>
      <c r="ET72" s="9">
        <v>2</v>
      </c>
      <c r="EU72" s="9">
        <v>2</v>
      </c>
      <c r="EV72" s="9">
        <v>1</v>
      </c>
      <c r="EW72" s="9">
        <v>1</v>
      </c>
      <c r="EX72" s="9">
        <v>1</v>
      </c>
      <c r="EY72" s="9">
        <v>1</v>
      </c>
      <c r="EZ72" s="9">
        <v>2</v>
      </c>
      <c r="FA72" s="9">
        <v>1</v>
      </c>
      <c r="FB72" s="9">
        <v>1</v>
      </c>
      <c r="FC72" s="9">
        <v>1</v>
      </c>
      <c r="FD72" s="9">
        <v>0</v>
      </c>
      <c r="FE72" s="9">
        <v>2</v>
      </c>
      <c r="FF72" s="9">
        <v>0</v>
      </c>
      <c r="FG72" s="9">
        <v>1</v>
      </c>
      <c r="FH72" s="9">
        <v>1</v>
      </c>
      <c r="FI72" s="9">
        <v>0</v>
      </c>
      <c r="FJ72" s="9">
        <v>2</v>
      </c>
      <c r="FK72" s="9">
        <v>2</v>
      </c>
      <c r="FL72" s="9">
        <v>2</v>
      </c>
      <c r="FM72" s="10">
        <v>2</v>
      </c>
    </row>
    <row r="73" spans="1:169" x14ac:dyDescent="0.35">
      <c r="A73" s="8" t="s">
        <v>73</v>
      </c>
      <c r="B73" s="9" t="s">
        <v>126</v>
      </c>
      <c r="C73" s="10" t="s">
        <v>127</v>
      </c>
      <c r="D73" s="62">
        <f t="shared" si="98"/>
        <v>281</v>
      </c>
      <c r="E73" s="9">
        <v>36</v>
      </c>
      <c r="F73" s="9">
        <v>0</v>
      </c>
      <c r="G73" s="9">
        <v>38</v>
      </c>
      <c r="H73" s="9">
        <v>46</v>
      </c>
      <c r="I73" s="9">
        <v>80</v>
      </c>
      <c r="J73" s="9">
        <v>97</v>
      </c>
      <c r="K73" s="9">
        <v>129</v>
      </c>
      <c r="L73" s="9">
        <v>136</v>
      </c>
      <c r="M73" s="9">
        <v>200</v>
      </c>
      <c r="N73" s="9">
        <v>222</v>
      </c>
      <c r="O73" s="9">
        <v>255</v>
      </c>
      <c r="P73" s="9">
        <v>275</v>
      </c>
      <c r="Q73" s="9">
        <v>281</v>
      </c>
      <c r="R73" s="9">
        <v>154</v>
      </c>
      <c r="S73" s="9">
        <v>138</v>
      </c>
      <c r="T73" s="9">
        <v>132</v>
      </c>
      <c r="U73" s="9">
        <v>149</v>
      </c>
      <c r="V73" s="9">
        <v>171</v>
      </c>
      <c r="W73" s="9">
        <v>181</v>
      </c>
      <c r="X73" s="9">
        <v>170</v>
      </c>
      <c r="Y73" s="9">
        <v>165</v>
      </c>
      <c r="Z73" s="9">
        <v>149</v>
      </c>
      <c r="AA73" s="9">
        <v>151</v>
      </c>
      <c r="AB73" s="9">
        <v>153</v>
      </c>
      <c r="AC73" s="9">
        <v>155</v>
      </c>
      <c r="AD73" s="9">
        <v>157</v>
      </c>
      <c r="AE73" s="9">
        <v>154</v>
      </c>
      <c r="AF73" s="9">
        <v>138</v>
      </c>
      <c r="AG73" s="9">
        <v>130</v>
      </c>
      <c r="AH73" s="9">
        <v>129</v>
      </c>
      <c r="AI73" s="9">
        <v>127</v>
      </c>
      <c r="AJ73" s="9">
        <v>128</v>
      </c>
      <c r="AK73" s="9">
        <v>130</v>
      </c>
      <c r="AL73" s="9">
        <v>122</v>
      </c>
      <c r="AM73" s="9">
        <v>129</v>
      </c>
      <c r="AN73" s="9">
        <v>113</v>
      </c>
      <c r="AO73" s="9">
        <v>111</v>
      </c>
      <c r="AP73" s="9">
        <v>108</v>
      </c>
      <c r="AQ73" s="9">
        <v>104</v>
      </c>
      <c r="AR73" s="9">
        <v>102</v>
      </c>
      <c r="AS73" s="9">
        <v>93</v>
      </c>
      <c r="AT73" s="9">
        <v>85</v>
      </c>
      <c r="AU73" s="9">
        <v>87</v>
      </c>
      <c r="AV73" s="9">
        <v>70</v>
      </c>
      <c r="AW73" s="9">
        <v>71</v>
      </c>
      <c r="AX73" s="9">
        <v>70</v>
      </c>
      <c r="AY73" s="9">
        <v>69</v>
      </c>
      <c r="AZ73" s="9">
        <v>70</v>
      </c>
      <c r="BA73" s="9">
        <v>66</v>
      </c>
      <c r="BB73" s="9">
        <v>60</v>
      </c>
      <c r="BC73" s="9">
        <v>61</v>
      </c>
      <c r="BD73" s="9">
        <v>58</v>
      </c>
      <c r="BE73" s="9">
        <v>56</v>
      </c>
      <c r="BF73" s="9">
        <v>54</v>
      </c>
      <c r="BG73" s="9">
        <v>58</v>
      </c>
      <c r="BH73" s="9">
        <v>54</v>
      </c>
      <c r="BI73" s="9">
        <v>52</v>
      </c>
      <c r="BJ73" s="9">
        <v>43</v>
      </c>
      <c r="BK73" s="9">
        <v>39</v>
      </c>
      <c r="BL73" s="9">
        <v>39</v>
      </c>
      <c r="BM73" s="9">
        <v>34</v>
      </c>
      <c r="BN73" s="9">
        <v>33</v>
      </c>
      <c r="BO73" s="9">
        <v>28</v>
      </c>
      <c r="BP73" s="9">
        <v>27</v>
      </c>
      <c r="BQ73" s="9">
        <v>29</v>
      </c>
      <c r="BR73" s="9">
        <v>31</v>
      </c>
      <c r="BS73" s="9">
        <v>30</v>
      </c>
      <c r="BT73" s="9">
        <v>31</v>
      </c>
      <c r="BU73" s="9">
        <v>26</v>
      </c>
      <c r="BV73" s="9">
        <v>27</v>
      </c>
      <c r="BW73" s="9">
        <v>29</v>
      </c>
      <c r="BX73" s="9">
        <v>25</v>
      </c>
      <c r="BY73" s="9">
        <v>26</v>
      </c>
      <c r="BZ73" s="9">
        <v>25</v>
      </c>
      <c r="CA73" s="9">
        <v>26</v>
      </c>
      <c r="CB73" s="9">
        <v>26</v>
      </c>
      <c r="CC73" s="9">
        <v>23</v>
      </c>
      <c r="CD73" s="9">
        <v>22</v>
      </c>
      <c r="CE73" s="9">
        <v>23</v>
      </c>
      <c r="CF73" s="9">
        <v>23</v>
      </c>
      <c r="CG73" s="9">
        <v>22</v>
      </c>
      <c r="CH73" s="9">
        <v>22</v>
      </c>
      <c r="CI73" s="9">
        <v>19</v>
      </c>
      <c r="CJ73" s="9">
        <v>17</v>
      </c>
      <c r="CK73" s="9">
        <v>16</v>
      </c>
      <c r="CL73" s="9">
        <v>15</v>
      </c>
      <c r="CM73" s="9">
        <v>15</v>
      </c>
      <c r="CN73" s="9">
        <v>14</v>
      </c>
      <c r="CO73" s="9">
        <v>14</v>
      </c>
      <c r="CP73" s="9">
        <v>14</v>
      </c>
      <c r="CQ73" s="9">
        <v>13</v>
      </c>
      <c r="CR73" s="9">
        <v>13</v>
      </c>
      <c r="CS73" s="9">
        <v>12</v>
      </c>
      <c r="CT73" s="9">
        <v>12</v>
      </c>
      <c r="CU73" s="9">
        <v>11</v>
      </c>
      <c r="CV73" s="9">
        <v>11</v>
      </c>
      <c r="CW73" s="9">
        <v>9</v>
      </c>
      <c r="CX73" s="9">
        <v>8</v>
      </c>
      <c r="CY73" s="9">
        <v>5</v>
      </c>
      <c r="CZ73" s="9">
        <v>6</v>
      </c>
      <c r="DA73" s="9">
        <v>7</v>
      </c>
      <c r="DB73" s="9">
        <v>7</v>
      </c>
      <c r="DC73" s="9">
        <v>7</v>
      </c>
      <c r="DD73" s="9">
        <v>7</v>
      </c>
      <c r="DE73" s="9">
        <v>6</v>
      </c>
      <c r="DF73" s="9">
        <v>6</v>
      </c>
      <c r="DG73" s="9">
        <v>6</v>
      </c>
      <c r="DH73" s="9">
        <v>7</v>
      </c>
      <c r="DI73" s="9">
        <v>7</v>
      </c>
      <c r="DJ73" s="9">
        <v>5</v>
      </c>
      <c r="DK73" s="9">
        <v>5</v>
      </c>
      <c r="DL73" s="9">
        <v>3</v>
      </c>
      <c r="DM73" s="9">
        <v>3</v>
      </c>
      <c r="DN73" s="9">
        <v>3</v>
      </c>
      <c r="DO73" s="9">
        <v>3</v>
      </c>
      <c r="DP73" s="9">
        <v>4</v>
      </c>
      <c r="DQ73" s="9">
        <v>3</v>
      </c>
      <c r="DR73" s="9">
        <v>2</v>
      </c>
      <c r="DS73" s="9">
        <v>1</v>
      </c>
      <c r="DT73" s="9">
        <v>1</v>
      </c>
      <c r="DU73" s="9">
        <v>2</v>
      </c>
      <c r="DV73" s="9">
        <v>1</v>
      </c>
      <c r="DW73" s="9">
        <v>1</v>
      </c>
      <c r="DX73" s="9">
        <v>1</v>
      </c>
      <c r="DY73" s="9">
        <v>1</v>
      </c>
      <c r="DZ73" s="9">
        <v>1</v>
      </c>
      <c r="EA73" s="9">
        <v>1</v>
      </c>
      <c r="EB73" s="9">
        <v>0</v>
      </c>
      <c r="EC73" s="9">
        <v>0</v>
      </c>
      <c r="ED73" s="9">
        <v>0</v>
      </c>
      <c r="EE73" s="9">
        <v>0</v>
      </c>
      <c r="EF73" s="9">
        <v>0</v>
      </c>
      <c r="EG73" s="9">
        <v>0</v>
      </c>
      <c r="EH73" s="9">
        <v>0</v>
      </c>
      <c r="EI73" s="9">
        <v>0</v>
      </c>
      <c r="EJ73" s="9">
        <v>0</v>
      </c>
      <c r="EK73" s="9">
        <v>0</v>
      </c>
      <c r="EL73" s="9">
        <v>0</v>
      </c>
      <c r="EM73" s="9">
        <v>0</v>
      </c>
      <c r="EN73" s="9">
        <v>0</v>
      </c>
      <c r="EO73" s="9">
        <v>0</v>
      </c>
      <c r="EP73" s="9">
        <v>0</v>
      </c>
      <c r="EQ73" s="9">
        <v>0</v>
      </c>
      <c r="ER73" s="9">
        <v>0</v>
      </c>
      <c r="ES73" s="9">
        <v>0</v>
      </c>
      <c r="ET73" s="9">
        <v>0</v>
      </c>
      <c r="EU73" s="9">
        <v>0</v>
      </c>
      <c r="EV73" s="9">
        <v>0</v>
      </c>
      <c r="EW73" s="9">
        <v>0</v>
      </c>
      <c r="EX73" s="9">
        <v>1</v>
      </c>
      <c r="EY73" s="9">
        <v>0</v>
      </c>
      <c r="EZ73" s="9">
        <v>2</v>
      </c>
      <c r="FA73" s="9">
        <v>1</v>
      </c>
      <c r="FB73" s="9">
        <v>0</v>
      </c>
      <c r="FC73" s="9">
        <v>0</v>
      </c>
      <c r="FD73" s="9">
        <v>0</v>
      </c>
      <c r="FE73" s="9">
        <v>0</v>
      </c>
      <c r="FF73" s="9">
        <v>0</v>
      </c>
      <c r="FG73" s="9">
        <v>0</v>
      </c>
      <c r="FH73" s="9">
        <v>0</v>
      </c>
      <c r="FI73" s="9">
        <v>0</v>
      </c>
      <c r="FJ73" s="9">
        <v>0</v>
      </c>
      <c r="FK73" s="9">
        <v>0</v>
      </c>
      <c r="FL73" s="9">
        <v>0</v>
      </c>
      <c r="FM73" s="10">
        <v>0</v>
      </c>
    </row>
    <row r="74" spans="1:169" x14ac:dyDescent="0.35">
      <c r="A74" s="8" t="s">
        <v>73</v>
      </c>
      <c r="B74" s="9" t="s">
        <v>128</v>
      </c>
      <c r="C74" s="10" t="s">
        <v>129</v>
      </c>
      <c r="D74" s="62">
        <f t="shared" si="98"/>
        <v>254</v>
      </c>
      <c r="E74" s="9">
        <v>84</v>
      </c>
      <c r="F74" s="9">
        <v>99</v>
      </c>
      <c r="G74" s="9">
        <v>104</v>
      </c>
      <c r="H74" s="9">
        <v>112</v>
      </c>
      <c r="I74" s="9">
        <v>142</v>
      </c>
      <c r="J74" s="9">
        <v>150</v>
      </c>
      <c r="K74" s="9">
        <v>156</v>
      </c>
      <c r="L74" s="9">
        <v>156</v>
      </c>
      <c r="M74" s="9">
        <v>150</v>
      </c>
      <c r="N74" s="9">
        <v>157</v>
      </c>
      <c r="O74" s="9">
        <v>173</v>
      </c>
      <c r="P74" s="9">
        <v>194</v>
      </c>
      <c r="Q74" s="9">
        <v>206</v>
      </c>
      <c r="R74" s="9">
        <v>222</v>
      </c>
      <c r="S74" s="9">
        <v>218</v>
      </c>
      <c r="T74" s="9">
        <v>202</v>
      </c>
      <c r="U74" s="9">
        <v>214</v>
      </c>
      <c r="V74" s="9">
        <v>232</v>
      </c>
      <c r="W74" s="9">
        <v>241</v>
      </c>
      <c r="X74" s="9">
        <v>239</v>
      </c>
      <c r="Y74" s="9">
        <v>254</v>
      </c>
      <c r="Z74" s="9">
        <v>243</v>
      </c>
      <c r="AA74" s="9">
        <v>228</v>
      </c>
      <c r="AB74" s="9">
        <v>219</v>
      </c>
      <c r="AC74" s="9">
        <v>212</v>
      </c>
      <c r="AD74" s="9">
        <v>206</v>
      </c>
      <c r="AE74" s="9">
        <v>197</v>
      </c>
      <c r="AF74" s="9">
        <v>191</v>
      </c>
      <c r="AG74" s="9">
        <v>189</v>
      </c>
      <c r="AH74" s="9">
        <v>174</v>
      </c>
      <c r="AI74" s="9">
        <v>167</v>
      </c>
      <c r="AJ74" s="9">
        <v>169</v>
      </c>
      <c r="AK74" s="9">
        <v>173</v>
      </c>
      <c r="AL74" s="9">
        <v>166</v>
      </c>
      <c r="AM74" s="9">
        <v>166</v>
      </c>
      <c r="AN74" s="9">
        <v>152</v>
      </c>
      <c r="AO74" s="9">
        <v>142</v>
      </c>
      <c r="AP74" s="9">
        <v>142</v>
      </c>
      <c r="AQ74" s="9">
        <v>130</v>
      </c>
      <c r="AR74" s="9">
        <v>128</v>
      </c>
      <c r="AS74" s="9">
        <v>122</v>
      </c>
      <c r="AT74" s="9">
        <v>118</v>
      </c>
      <c r="AU74" s="9">
        <v>111</v>
      </c>
      <c r="AV74" s="9">
        <v>114</v>
      </c>
      <c r="AW74" s="9">
        <v>104</v>
      </c>
      <c r="AX74" s="9">
        <v>107</v>
      </c>
      <c r="AY74" s="9">
        <v>100</v>
      </c>
      <c r="AZ74" s="9">
        <v>94</v>
      </c>
      <c r="BA74" s="9">
        <v>91</v>
      </c>
      <c r="BB74" s="9">
        <v>83</v>
      </c>
      <c r="BC74" s="9">
        <v>79</v>
      </c>
      <c r="BD74" s="9">
        <v>80</v>
      </c>
      <c r="BE74" s="9">
        <v>83</v>
      </c>
      <c r="BF74" s="9">
        <v>80</v>
      </c>
      <c r="BG74" s="9">
        <v>81</v>
      </c>
      <c r="BH74" s="9">
        <v>77</v>
      </c>
      <c r="BI74" s="9">
        <v>75</v>
      </c>
      <c r="BJ74" s="9">
        <v>70</v>
      </c>
      <c r="BK74" s="9">
        <v>70</v>
      </c>
      <c r="BL74" s="9">
        <v>70</v>
      </c>
      <c r="BM74" s="9">
        <v>69</v>
      </c>
      <c r="BN74" s="9">
        <v>66</v>
      </c>
      <c r="BO74" s="9">
        <v>71</v>
      </c>
      <c r="BP74" s="9">
        <v>70</v>
      </c>
      <c r="BQ74" s="9">
        <v>60</v>
      </c>
      <c r="BR74" s="9">
        <v>59</v>
      </c>
      <c r="BS74" s="9">
        <v>59</v>
      </c>
      <c r="BT74" s="9">
        <v>60</v>
      </c>
      <c r="BU74" s="9">
        <v>55</v>
      </c>
      <c r="BV74" s="9">
        <v>55</v>
      </c>
      <c r="BW74" s="9">
        <v>49</v>
      </c>
      <c r="BX74" s="9">
        <v>47</v>
      </c>
      <c r="BY74" s="9">
        <v>43</v>
      </c>
      <c r="BZ74" s="9">
        <v>42</v>
      </c>
      <c r="CA74" s="9">
        <v>39</v>
      </c>
      <c r="CB74" s="9">
        <v>32</v>
      </c>
      <c r="CC74" s="9">
        <v>34</v>
      </c>
      <c r="CD74" s="9">
        <v>33</v>
      </c>
      <c r="CE74" s="9">
        <v>36</v>
      </c>
      <c r="CF74" s="9">
        <v>33</v>
      </c>
      <c r="CG74" s="9">
        <v>33</v>
      </c>
      <c r="CH74" s="9">
        <v>34</v>
      </c>
      <c r="CI74" s="9">
        <v>36</v>
      </c>
      <c r="CJ74" s="9">
        <v>35</v>
      </c>
      <c r="CK74" s="9">
        <v>31</v>
      </c>
      <c r="CL74" s="9">
        <v>25</v>
      </c>
      <c r="CM74" s="9">
        <v>23</v>
      </c>
      <c r="CN74" s="9">
        <v>23</v>
      </c>
      <c r="CO74" s="9">
        <v>23</v>
      </c>
      <c r="CP74" s="9">
        <v>22</v>
      </c>
      <c r="CQ74" s="9">
        <v>24</v>
      </c>
      <c r="CR74" s="9">
        <v>26</v>
      </c>
      <c r="CS74" s="9">
        <v>28</v>
      </c>
      <c r="CT74" s="9">
        <v>28</v>
      </c>
      <c r="CU74" s="9">
        <v>30</v>
      </c>
      <c r="CV74" s="9">
        <v>30</v>
      </c>
      <c r="CW74" s="9">
        <v>29</v>
      </c>
      <c r="CX74" s="9">
        <v>28</v>
      </c>
      <c r="CY74" s="9">
        <v>28</v>
      </c>
      <c r="CZ74" s="9">
        <v>26</v>
      </c>
      <c r="DA74" s="9">
        <v>26</v>
      </c>
      <c r="DB74" s="9">
        <v>27</v>
      </c>
      <c r="DC74" s="9">
        <v>25</v>
      </c>
      <c r="DD74" s="9">
        <v>22</v>
      </c>
      <c r="DE74" s="9">
        <v>22</v>
      </c>
      <c r="DF74" s="9">
        <v>23</v>
      </c>
      <c r="DG74" s="9">
        <v>22</v>
      </c>
      <c r="DH74" s="9">
        <v>24</v>
      </c>
      <c r="DI74" s="9">
        <v>24</v>
      </c>
      <c r="DJ74" s="9">
        <v>22</v>
      </c>
      <c r="DK74" s="9">
        <v>20</v>
      </c>
      <c r="DL74" s="9">
        <v>20</v>
      </c>
      <c r="DM74" s="9">
        <v>20</v>
      </c>
      <c r="DN74" s="9">
        <v>20</v>
      </c>
      <c r="DO74" s="9">
        <v>21</v>
      </c>
      <c r="DP74" s="9">
        <v>20</v>
      </c>
      <c r="DQ74" s="9">
        <v>19</v>
      </c>
      <c r="DR74" s="9">
        <v>17</v>
      </c>
      <c r="DS74" s="9">
        <v>1</v>
      </c>
      <c r="DT74" s="9">
        <v>1</v>
      </c>
      <c r="DU74" s="9">
        <v>2</v>
      </c>
      <c r="DV74" s="9">
        <v>2</v>
      </c>
      <c r="DW74" s="9">
        <v>2</v>
      </c>
      <c r="DX74" s="9">
        <v>1</v>
      </c>
      <c r="DY74" s="9">
        <v>1</v>
      </c>
      <c r="DZ74" s="9">
        <v>1</v>
      </c>
      <c r="EA74" s="9">
        <v>1</v>
      </c>
      <c r="EB74" s="9">
        <v>0</v>
      </c>
      <c r="EC74" s="9">
        <v>0</v>
      </c>
      <c r="ED74" s="9">
        <v>0</v>
      </c>
      <c r="EE74" s="9">
        <v>0</v>
      </c>
      <c r="EF74" s="9">
        <v>0</v>
      </c>
      <c r="EG74" s="9">
        <v>0</v>
      </c>
      <c r="EH74" s="9">
        <v>0</v>
      </c>
      <c r="EI74" s="9">
        <v>0</v>
      </c>
      <c r="EJ74" s="9">
        <v>0</v>
      </c>
      <c r="EK74" s="9">
        <v>0</v>
      </c>
      <c r="EL74" s="9">
        <v>1</v>
      </c>
      <c r="EM74" s="9">
        <v>2</v>
      </c>
      <c r="EN74" s="9">
        <v>2</v>
      </c>
      <c r="EO74" s="9">
        <v>2</v>
      </c>
      <c r="EP74" s="9">
        <v>2</v>
      </c>
      <c r="EQ74" s="9">
        <v>2</v>
      </c>
      <c r="ER74" s="9">
        <v>2</v>
      </c>
      <c r="ES74" s="9">
        <v>2</v>
      </c>
      <c r="ET74" s="9">
        <v>2</v>
      </c>
      <c r="EU74" s="9">
        <v>2</v>
      </c>
      <c r="EV74" s="9">
        <v>2</v>
      </c>
      <c r="EW74" s="9">
        <v>2</v>
      </c>
      <c r="EX74" s="9">
        <v>3</v>
      </c>
      <c r="EY74" s="9">
        <v>3</v>
      </c>
      <c r="EZ74" s="9">
        <v>2</v>
      </c>
      <c r="FA74" s="9">
        <v>2</v>
      </c>
      <c r="FB74" s="9">
        <v>3</v>
      </c>
      <c r="FC74" s="9">
        <v>1</v>
      </c>
      <c r="FD74" s="9">
        <v>1</v>
      </c>
      <c r="FE74" s="9">
        <v>2</v>
      </c>
      <c r="FF74" s="9">
        <v>2</v>
      </c>
      <c r="FG74" s="9">
        <v>2</v>
      </c>
      <c r="FH74" s="9">
        <v>2</v>
      </c>
      <c r="FI74" s="9">
        <v>2</v>
      </c>
      <c r="FJ74" s="9">
        <v>1</v>
      </c>
      <c r="FK74" s="9">
        <v>1</v>
      </c>
      <c r="FL74" s="9">
        <v>1</v>
      </c>
      <c r="FM74" s="10">
        <v>1</v>
      </c>
    </row>
    <row r="75" spans="1:169" x14ac:dyDescent="0.35">
      <c r="A75" s="8" t="s">
        <v>73</v>
      </c>
      <c r="B75" s="9" t="s">
        <v>130</v>
      </c>
      <c r="C75" s="10" t="s">
        <v>131</v>
      </c>
      <c r="D75" s="62">
        <f t="shared" si="98"/>
        <v>561</v>
      </c>
      <c r="E75" s="9">
        <v>112</v>
      </c>
      <c r="F75" s="9">
        <v>133</v>
      </c>
      <c r="G75" s="9">
        <v>133</v>
      </c>
      <c r="H75" s="9">
        <v>174</v>
      </c>
      <c r="I75" s="9">
        <v>218</v>
      </c>
      <c r="J75" s="9">
        <v>237</v>
      </c>
      <c r="K75" s="9">
        <v>0</v>
      </c>
      <c r="L75" s="9">
        <v>299</v>
      </c>
      <c r="M75" s="9">
        <v>335</v>
      </c>
      <c r="N75" s="9">
        <v>395</v>
      </c>
      <c r="O75" s="9">
        <v>424</v>
      </c>
      <c r="P75" s="9">
        <v>441</v>
      </c>
      <c r="Q75" s="9">
        <v>469</v>
      </c>
      <c r="R75" s="9">
        <v>478</v>
      </c>
      <c r="S75" s="9">
        <v>484</v>
      </c>
      <c r="T75" s="9">
        <v>501</v>
      </c>
      <c r="U75" s="9">
        <v>550</v>
      </c>
      <c r="V75" s="9">
        <v>561</v>
      </c>
      <c r="W75" s="9">
        <v>554</v>
      </c>
      <c r="X75" s="9">
        <v>524</v>
      </c>
      <c r="Y75" s="9">
        <v>549</v>
      </c>
      <c r="Z75" s="9">
        <v>524</v>
      </c>
      <c r="AA75" s="9">
        <v>512</v>
      </c>
      <c r="AB75" s="9">
        <v>509</v>
      </c>
      <c r="AC75" s="9">
        <v>501</v>
      </c>
      <c r="AD75" s="9">
        <v>487</v>
      </c>
      <c r="AE75" s="9">
        <v>470</v>
      </c>
      <c r="AF75" s="9">
        <v>458</v>
      </c>
      <c r="AG75" s="9">
        <v>441</v>
      </c>
      <c r="AH75" s="9">
        <v>421</v>
      </c>
      <c r="AI75" s="9">
        <v>409</v>
      </c>
      <c r="AJ75" s="9">
        <v>410</v>
      </c>
      <c r="AK75" s="9">
        <v>393</v>
      </c>
      <c r="AL75" s="9">
        <v>377</v>
      </c>
      <c r="AM75" s="9">
        <v>349</v>
      </c>
      <c r="AN75" s="9">
        <v>333</v>
      </c>
      <c r="AO75" s="9">
        <v>346</v>
      </c>
      <c r="AP75" s="9">
        <v>350</v>
      </c>
      <c r="AQ75" s="9">
        <v>348</v>
      </c>
      <c r="AR75" s="9">
        <v>330</v>
      </c>
      <c r="AS75" s="9">
        <v>312</v>
      </c>
      <c r="AT75" s="9">
        <v>302</v>
      </c>
      <c r="AU75" s="9">
        <v>304</v>
      </c>
      <c r="AV75" s="9">
        <v>303</v>
      </c>
      <c r="AW75" s="9">
        <v>306</v>
      </c>
      <c r="AX75" s="9">
        <v>307</v>
      </c>
      <c r="AY75" s="9">
        <v>312</v>
      </c>
      <c r="AZ75" s="9">
        <v>299</v>
      </c>
      <c r="BA75" s="9">
        <v>299</v>
      </c>
      <c r="BB75" s="9">
        <v>286</v>
      </c>
      <c r="BC75" s="9">
        <v>276</v>
      </c>
      <c r="BD75" s="9">
        <v>272</v>
      </c>
      <c r="BE75" s="9">
        <v>266</v>
      </c>
      <c r="BF75" s="9">
        <v>261</v>
      </c>
      <c r="BG75" s="9">
        <v>262</v>
      </c>
      <c r="BH75" s="9">
        <v>251</v>
      </c>
      <c r="BI75" s="9">
        <v>239</v>
      </c>
      <c r="BJ75" s="9">
        <v>258</v>
      </c>
      <c r="BK75" s="9">
        <v>252</v>
      </c>
      <c r="BL75" s="9">
        <v>249</v>
      </c>
      <c r="BM75" s="9">
        <v>213</v>
      </c>
      <c r="BN75" s="9">
        <v>198</v>
      </c>
      <c r="BO75" s="9">
        <v>191</v>
      </c>
      <c r="BP75" s="9">
        <v>189</v>
      </c>
      <c r="BQ75" s="9">
        <v>177</v>
      </c>
      <c r="BR75" s="9">
        <v>181</v>
      </c>
      <c r="BS75" s="9">
        <v>222</v>
      </c>
      <c r="BT75" s="9">
        <v>174</v>
      </c>
      <c r="BU75" s="9">
        <v>173</v>
      </c>
      <c r="BV75" s="9">
        <v>171</v>
      </c>
      <c r="BW75" s="9">
        <v>159</v>
      </c>
      <c r="BX75" s="9">
        <v>162</v>
      </c>
      <c r="BY75" s="9">
        <v>159</v>
      </c>
      <c r="BZ75" s="9">
        <v>159</v>
      </c>
      <c r="CA75" s="9">
        <v>150</v>
      </c>
      <c r="CB75" s="9">
        <v>150</v>
      </c>
      <c r="CC75" s="9">
        <v>138</v>
      </c>
      <c r="CD75" s="9">
        <v>133</v>
      </c>
      <c r="CE75" s="9">
        <v>86</v>
      </c>
      <c r="CF75" s="9">
        <v>92</v>
      </c>
      <c r="CG75" s="9">
        <v>90</v>
      </c>
      <c r="CH75" s="9">
        <v>84</v>
      </c>
      <c r="CI75" s="9">
        <v>82</v>
      </c>
      <c r="CJ75" s="9">
        <v>76</v>
      </c>
      <c r="CK75" s="9">
        <v>76</v>
      </c>
      <c r="CL75" s="9">
        <v>75</v>
      </c>
      <c r="CM75" s="9">
        <v>75</v>
      </c>
      <c r="CN75" s="9">
        <v>73</v>
      </c>
      <c r="CO75" s="9">
        <v>73</v>
      </c>
      <c r="CP75" s="9">
        <v>71</v>
      </c>
      <c r="CQ75" s="9">
        <v>66</v>
      </c>
      <c r="CR75" s="9">
        <v>62</v>
      </c>
      <c r="CS75" s="9">
        <v>60</v>
      </c>
      <c r="CT75" s="9">
        <v>58</v>
      </c>
      <c r="CU75" s="9">
        <v>58</v>
      </c>
      <c r="CV75" s="9">
        <v>57</v>
      </c>
      <c r="CW75" s="9">
        <v>55</v>
      </c>
      <c r="CX75" s="9">
        <v>53</v>
      </c>
      <c r="CY75" s="9">
        <v>52</v>
      </c>
      <c r="CZ75" s="9">
        <v>49</v>
      </c>
      <c r="DA75" s="9">
        <v>48</v>
      </c>
      <c r="DB75" s="9">
        <v>50</v>
      </c>
      <c r="DC75" s="9">
        <v>48</v>
      </c>
      <c r="DD75" s="9">
        <v>47</v>
      </c>
      <c r="DE75" s="9">
        <v>43</v>
      </c>
      <c r="DF75" s="9">
        <v>42</v>
      </c>
      <c r="DG75" s="9">
        <v>39</v>
      </c>
      <c r="DH75" s="9">
        <v>40</v>
      </c>
      <c r="DI75" s="9">
        <v>38</v>
      </c>
      <c r="DJ75" s="9">
        <v>33</v>
      </c>
      <c r="DK75" s="9">
        <v>35</v>
      </c>
      <c r="DL75" s="9">
        <v>33</v>
      </c>
      <c r="DM75" s="9">
        <v>34</v>
      </c>
      <c r="DN75" s="9">
        <v>33</v>
      </c>
      <c r="DO75" s="9">
        <v>35</v>
      </c>
      <c r="DP75" s="9">
        <v>35</v>
      </c>
      <c r="DQ75" s="9">
        <v>33</v>
      </c>
      <c r="DR75" s="9">
        <v>34</v>
      </c>
      <c r="DS75" s="9">
        <v>32</v>
      </c>
      <c r="DT75" s="9">
        <v>31</v>
      </c>
      <c r="DU75" s="9">
        <v>31</v>
      </c>
      <c r="DV75" s="9">
        <v>34</v>
      </c>
      <c r="DW75" s="9">
        <v>30</v>
      </c>
      <c r="DX75" s="9">
        <v>28</v>
      </c>
      <c r="DY75" s="9">
        <v>29</v>
      </c>
      <c r="DZ75" s="9">
        <v>28</v>
      </c>
      <c r="EA75" s="9">
        <v>25</v>
      </c>
      <c r="EB75" s="9">
        <v>25</v>
      </c>
      <c r="EC75" s="9">
        <v>26</v>
      </c>
      <c r="ED75" s="9">
        <v>26</v>
      </c>
      <c r="EE75" s="9">
        <v>26</v>
      </c>
      <c r="EF75" s="9">
        <v>27</v>
      </c>
      <c r="EG75" s="9">
        <v>26</v>
      </c>
      <c r="EH75" s="9">
        <v>27</v>
      </c>
      <c r="EI75" s="9">
        <v>30</v>
      </c>
      <c r="EJ75" s="9">
        <v>26</v>
      </c>
      <c r="EK75" s="9">
        <v>26</v>
      </c>
      <c r="EL75" s="9">
        <v>26</v>
      </c>
      <c r="EM75" s="9">
        <v>24</v>
      </c>
      <c r="EN75" s="9">
        <v>21</v>
      </c>
      <c r="EO75" s="9">
        <v>20</v>
      </c>
      <c r="EP75" s="9">
        <v>20</v>
      </c>
      <c r="EQ75" s="9">
        <v>19</v>
      </c>
      <c r="ER75" s="9">
        <v>19</v>
      </c>
      <c r="ES75" s="9">
        <v>13</v>
      </c>
      <c r="ET75" s="9">
        <v>15</v>
      </c>
      <c r="EU75" s="9">
        <v>14</v>
      </c>
      <c r="EV75" s="9">
        <v>14</v>
      </c>
      <c r="EW75" s="9">
        <v>14</v>
      </c>
      <c r="EX75" s="9">
        <v>14</v>
      </c>
      <c r="EY75" s="9">
        <v>14</v>
      </c>
      <c r="EZ75" s="9">
        <v>13</v>
      </c>
      <c r="FA75" s="9">
        <v>12</v>
      </c>
      <c r="FB75" s="9">
        <v>11</v>
      </c>
      <c r="FC75" s="9">
        <v>11</v>
      </c>
      <c r="FD75" s="9">
        <v>10</v>
      </c>
      <c r="FE75" s="9">
        <v>10</v>
      </c>
      <c r="FF75" s="9">
        <v>11</v>
      </c>
      <c r="FG75" s="9">
        <v>10</v>
      </c>
      <c r="FH75" s="9">
        <v>12</v>
      </c>
      <c r="FI75" s="9">
        <v>12</v>
      </c>
      <c r="FJ75" s="9">
        <v>12</v>
      </c>
      <c r="FK75" s="9">
        <v>12</v>
      </c>
      <c r="FL75" s="9">
        <v>13</v>
      </c>
      <c r="FM75" s="10">
        <v>13</v>
      </c>
    </row>
    <row r="76" spans="1:169" x14ac:dyDescent="0.35">
      <c r="A76" s="8" t="s">
        <v>73</v>
      </c>
      <c r="B76" s="9" t="s">
        <v>132</v>
      </c>
      <c r="C76" s="10" t="s">
        <v>133</v>
      </c>
      <c r="D76" s="62">
        <f t="shared" si="98"/>
        <v>120</v>
      </c>
      <c r="E76" s="9">
        <v>9</v>
      </c>
      <c r="F76" s="9">
        <v>0</v>
      </c>
      <c r="G76" s="9">
        <v>30</v>
      </c>
      <c r="H76" s="9">
        <v>0</v>
      </c>
      <c r="I76" s="9">
        <v>56</v>
      </c>
      <c r="J76" s="9">
        <v>0</v>
      </c>
      <c r="K76" s="9">
        <v>50</v>
      </c>
      <c r="L76" s="9">
        <v>60</v>
      </c>
      <c r="M76" s="9">
        <v>77</v>
      </c>
      <c r="N76" s="9">
        <v>83</v>
      </c>
      <c r="O76" s="9">
        <v>104</v>
      </c>
      <c r="P76" s="9">
        <v>94</v>
      </c>
      <c r="Q76" s="9">
        <v>93</v>
      </c>
      <c r="R76" s="9">
        <v>99</v>
      </c>
      <c r="S76" s="9">
        <v>119</v>
      </c>
      <c r="T76" s="9">
        <v>120</v>
      </c>
      <c r="U76" s="9">
        <v>117</v>
      </c>
      <c r="V76" s="9">
        <v>111</v>
      </c>
      <c r="W76" s="9">
        <v>110</v>
      </c>
      <c r="X76" s="9">
        <v>106</v>
      </c>
      <c r="Y76" s="9">
        <v>90</v>
      </c>
      <c r="Z76" s="9">
        <v>82</v>
      </c>
      <c r="AA76" s="9">
        <v>80</v>
      </c>
      <c r="AB76" s="9">
        <v>83</v>
      </c>
      <c r="AC76" s="9">
        <v>83</v>
      </c>
      <c r="AD76" s="9">
        <v>72</v>
      </c>
      <c r="AE76" s="9">
        <v>75</v>
      </c>
      <c r="AF76" s="9">
        <v>70</v>
      </c>
      <c r="AG76" s="9">
        <v>69</v>
      </c>
      <c r="AH76" s="9">
        <v>0</v>
      </c>
      <c r="AI76" s="9">
        <v>71</v>
      </c>
      <c r="AJ76" s="9">
        <v>71</v>
      </c>
      <c r="AK76" s="9">
        <v>68</v>
      </c>
      <c r="AL76" s="9">
        <v>66</v>
      </c>
      <c r="AM76" s="9">
        <v>66</v>
      </c>
      <c r="AN76" s="9">
        <v>59</v>
      </c>
      <c r="AO76" s="9">
        <v>59</v>
      </c>
      <c r="AP76" s="9">
        <v>57</v>
      </c>
      <c r="AQ76" s="9">
        <v>59</v>
      </c>
      <c r="AR76" s="9">
        <v>60</v>
      </c>
      <c r="AS76" s="9">
        <v>68</v>
      </c>
      <c r="AT76" s="9">
        <v>50</v>
      </c>
      <c r="AU76" s="9">
        <v>46</v>
      </c>
      <c r="AV76" s="9">
        <v>45</v>
      </c>
      <c r="AW76" s="9">
        <v>47</v>
      </c>
      <c r="AX76" s="9">
        <v>42</v>
      </c>
      <c r="AY76" s="9">
        <v>43</v>
      </c>
      <c r="AZ76" s="9">
        <v>39</v>
      </c>
      <c r="BA76" s="9">
        <v>42</v>
      </c>
      <c r="BB76" s="9">
        <v>25</v>
      </c>
      <c r="BC76" s="9">
        <v>32</v>
      </c>
      <c r="BD76" s="9">
        <v>34</v>
      </c>
      <c r="BE76" s="9">
        <v>33</v>
      </c>
      <c r="BF76" s="9">
        <v>32</v>
      </c>
      <c r="BG76" s="9">
        <v>27</v>
      </c>
      <c r="BH76" s="9">
        <v>26</v>
      </c>
      <c r="BI76" s="9">
        <v>26</v>
      </c>
      <c r="BJ76" s="9">
        <v>12</v>
      </c>
      <c r="BK76" s="9">
        <v>31</v>
      </c>
      <c r="BL76" s="9">
        <v>31</v>
      </c>
      <c r="BM76" s="9">
        <v>23</v>
      </c>
      <c r="BN76" s="9">
        <v>22</v>
      </c>
      <c r="BO76" s="9">
        <v>6</v>
      </c>
      <c r="BP76" s="9">
        <v>23</v>
      </c>
      <c r="BQ76" s="9">
        <v>26</v>
      </c>
      <c r="BR76" s="9">
        <v>23</v>
      </c>
      <c r="BS76" s="9">
        <v>14</v>
      </c>
      <c r="BT76" s="9">
        <v>14</v>
      </c>
      <c r="BU76" s="9">
        <v>13</v>
      </c>
      <c r="BV76" s="9">
        <v>12</v>
      </c>
      <c r="BW76" s="9">
        <v>11</v>
      </c>
      <c r="BX76" s="9">
        <v>7</v>
      </c>
      <c r="BY76" s="9">
        <v>6</v>
      </c>
      <c r="BZ76" s="9">
        <v>6</v>
      </c>
      <c r="CA76" s="9">
        <v>6</v>
      </c>
      <c r="CB76" s="9">
        <v>6</v>
      </c>
      <c r="CC76" s="9">
        <v>6</v>
      </c>
      <c r="CD76" s="9">
        <v>4</v>
      </c>
      <c r="CE76" s="9">
        <v>2</v>
      </c>
      <c r="CF76" s="9">
        <v>0</v>
      </c>
      <c r="CG76" s="9">
        <v>1</v>
      </c>
      <c r="CH76" s="9">
        <v>1</v>
      </c>
      <c r="CI76" s="9">
        <v>0</v>
      </c>
      <c r="CJ76" s="9">
        <v>0</v>
      </c>
      <c r="CK76" s="9">
        <v>0</v>
      </c>
      <c r="CL76" s="9">
        <v>0</v>
      </c>
      <c r="CM76" s="9">
        <v>0</v>
      </c>
      <c r="CN76" s="9">
        <v>0</v>
      </c>
      <c r="CO76" s="9">
        <v>0</v>
      </c>
      <c r="CP76" s="9">
        <v>1</v>
      </c>
      <c r="CQ76" s="9">
        <v>1</v>
      </c>
      <c r="CR76" s="9">
        <v>0</v>
      </c>
      <c r="CS76" s="9">
        <v>0</v>
      </c>
      <c r="CT76" s="9">
        <v>0</v>
      </c>
      <c r="CU76" s="9">
        <v>0</v>
      </c>
      <c r="CV76" s="9">
        <v>0</v>
      </c>
      <c r="CW76" s="9">
        <v>0</v>
      </c>
      <c r="CX76" s="9">
        <v>0</v>
      </c>
      <c r="CY76" s="9">
        <v>0</v>
      </c>
      <c r="CZ76" s="9">
        <v>0</v>
      </c>
      <c r="DA76" s="9">
        <v>0</v>
      </c>
      <c r="DB76" s="9">
        <v>0</v>
      </c>
      <c r="DC76" s="9">
        <v>1</v>
      </c>
      <c r="DD76" s="9">
        <v>1</v>
      </c>
      <c r="DE76" s="9">
        <v>2</v>
      </c>
      <c r="DF76" s="9">
        <v>2</v>
      </c>
      <c r="DG76" s="9">
        <v>2</v>
      </c>
      <c r="DH76" s="9">
        <v>2</v>
      </c>
      <c r="DI76" s="9">
        <v>3</v>
      </c>
      <c r="DJ76" s="9">
        <v>8</v>
      </c>
      <c r="DK76" s="9">
        <v>4</v>
      </c>
      <c r="DL76" s="9">
        <v>3</v>
      </c>
      <c r="DM76" s="9">
        <v>3</v>
      </c>
      <c r="DN76" s="9">
        <v>3</v>
      </c>
      <c r="DO76" s="9">
        <v>3</v>
      </c>
      <c r="DP76" s="9">
        <v>5</v>
      </c>
      <c r="DQ76" s="9">
        <v>3</v>
      </c>
      <c r="DR76" s="9">
        <v>3</v>
      </c>
      <c r="DS76" s="9">
        <v>1</v>
      </c>
      <c r="DT76" s="9">
        <v>4</v>
      </c>
      <c r="DU76" s="9">
        <v>2</v>
      </c>
      <c r="DV76" s="9">
        <v>2</v>
      </c>
      <c r="DW76" s="9">
        <v>2</v>
      </c>
      <c r="DX76" s="9">
        <v>1</v>
      </c>
      <c r="DY76" s="9">
        <v>2</v>
      </c>
      <c r="DZ76" s="9">
        <v>2</v>
      </c>
      <c r="EA76" s="9">
        <v>1</v>
      </c>
      <c r="EB76" s="9">
        <v>3</v>
      </c>
      <c r="EC76" s="9">
        <v>2</v>
      </c>
      <c r="ED76" s="9">
        <v>2</v>
      </c>
      <c r="EE76" s="9">
        <v>1</v>
      </c>
      <c r="EF76" s="9">
        <v>1</v>
      </c>
      <c r="EG76" s="9">
        <v>1</v>
      </c>
      <c r="EH76" s="9">
        <v>2</v>
      </c>
      <c r="EI76" s="9">
        <v>2</v>
      </c>
      <c r="EJ76" s="9">
        <v>2</v>
      </c>
      <c r="EK76" s="9">
        <v>1</v>
      </c>
      <c r="EL76" s="9">
        <v>1</v>
      </c>
      <c r="EM76" s="9">
        <v>0</v>
      </c>
      <c r="EN76" s="9">
        <v>1</v>
      </c>
      <c r="EO76" s="9">
        <v>0</v>
      </c>
      <c r="EP76" s="9">
        <v>0</v>
      </c>
      <c r="EQ76" s="9">
        <v>0</v>
      </c>
      <c r="ER76" s="9">
        <v>0</v>
      </c>
      <c r="ES76" s="9">
        <v>0</v>
      </c>
      <c r="ET76" s="9">
        <v>1</v>
      </c>
      <c r="EU76" s="9">
        <v>1</v>
      </c>
      <c r="EV76" s="9">
        <v>1</v>
      </c>
      <c r="EW76" s="9">
        <v>0</v>
      </c>
      <c r="EX76" s="9">
        <v>1</v>
      </c>
      <c r="EY76" s="9">
        <v>1</v>
      </c>
      <c r="EZ76" s="9">
        <v>1</v>
      </c>
      <c r="FA76" s="9">
        <v>0</v>
      </c>
      <c r="FB76" s="9">
        <v>0</v>
      </c>
      <c r="FC76" s="9">
        <v>0</v>
      </c>
      <c r="FD76" s="9">
        <v>0</v>
      </c>
      <c r="FE76" s="9">
        <v>0</v>
      </c>
      <c r="FF76" s="9">
        <v>0</v>
      </c>
      <c r="FG76" s="9">
        <v>0</v>
      </c>
      <c r="FH76" s="9">
        <v>0</v>
      </c>
      <c r="FI76" s="9">
        <v>0</v>
      </c>
      <c r="FJ76" s="9">
        <v>0</v>
      </c>
      <c r="FK76" s="9">
        <v>0</v>
      </c>
      <c r="FL76" s="9">
        <v>0</v>
      </c>
      <c r="FM76" s="10">
        <v>0</v>
      </c>
    </row>
    <row r="77" spans="1:169" x14ac:dyDescent="0.35">
      <c r="A77" s="8" t="s">
        <v>73</v>
      </c>
      <c r="B77" s="9" t="s">
        <v>134</v>
      </c>
      <c r="C77" s="10" t="s">
        <v>135</v>
      </c>
      <c r="D77" s="62">
        <f t="shared" si="98"/>
        <v>42</v>
      </c>
      <c r="E77" s="9">
        <v>0</v>
      </c>
      <c r="F77" s="9">
        <v>0</v>
      </c>
      <c r="G77" s="9">
        <v>0</v>
      </c>
      <c r="H77" s="9">
        <v>0</v>
      </c>
      <c r="I77" s="9">
        <v>0</v>
      </c>
      <c r="J77" s="9">
        <v>6</v>
      </c>
      <c r="K77" s="9">
        <v>7</v>
      </c>
      <c r="L77" s="9">
        <v>9</v>
      </c>
      <c r="M77" s="9">
        <v>10</v>
      </c>
      <c r="N77" s="9">
        <v>9</v>
      </c>
      <c r="O77" s="9">
        <v>9</v>
      </c>
      <c r="P77" s="9">
        <v>8</v>
      </c>
      <c r="Q77" s="9">
        <v>6</v>
      </c>
      <c r="R77" s="9">
        <v>8</v>
      </c>
      <c r="S77" s="9">
        <v>9</v>
      </c>
      <c r="T77" s="9">
        <v>9</v>
      </c>
      <c r="U77" s="9">
        <v>18</v>
      </c>
      <c r="V77" s="9">
        <v>19</v>
      </c>
      <c r="W77" s="9">
        <v>18</v>
      </c>
      <c r="X77" s="9">
        <v>15</v>
      </c>
      <c r="Y77" s="9">
        <v>18</v>
      </c>
      <c r="Z77" s="9">
        <v>21</v>
      </c>
      <c r="AA77" s="9">
        <v>24</v>
      </c>
      <c r="AB77" s="9">
        <v>32</v>
      </c>
      <c r="AC77" s="9">
        <v>34</v>
      </c>
      <c r="AD77" s="9">
        <v>35</v>
      </c>
      <c r="AE77" s="9">
        <v>32</v>
      </c>
      <c r="AF77" s="9">
        <v>37</v>
      </c>
      <c r="AG77" s="9">
        <v>36</v>
      </c>
      <c r="AH77" s="9">
        <v>41</v>
      </c>
      <c r="AI77" s="9">
        <v>42</v>
      </c>
      <c r="AJ77" s="9">
        <v>40</v>
      </c>
      <c r="AK77" s="9">
        <v>34</v>
      </c>
      <c r="AL77" s="9">
        <v>34</v>
      </c>
      <c r="AM77" s="9">
        <v>39</v>
      </c>
      <c r="AN77" s="9">
        <v>39</v>
      </c>
      <c r="AO77" s="9">
        <v>32</v>
      </c>
      <c r="AP77" s="9">
        <v>28</v>
      </c>
      <c r="AQ77" s="9">
        <v>28</v>
      </c>
      <c r="AR77" s="9">
        <v>25</v>
      </c>
      <c r="AS77" s="9">
        <v>21</v>
      </c>
      <c r="AT77" s="9">
        <v>20</v>
      </c>
      <c r="AU77" s="9">
        <v>17</v>
      </c>
      <c r="AV77" s="9">
        <v>12</v>
      </c>
      <c r="AW77" s="9">
        <v>12</v>
      </c>
      <c r="AX77" s="9">
        <v>13</v>
      </c>
      <c r="AY77" s="9">
        <v>13</v>
      </c>
      <c r="AZ77" s="9">
        <v>11</v>
      </c>
      <c r="BA77" s="9">
        <v>13</v>
      </c>
      <c r="BB77" s="9">
        <v>9</v>
      </c>
      <c r="BC77" s="9">
        <v>10</v>
      </c>
      <c r="BD77" s="9">
        <v>10</v>
      </c>
      <c r="BE77" s="9">
        <v>10</v>
      </c>
      <c r="BF77" s="9">
        <v>11</v>
      </c>
      <c r="BG77" s="9">
        <v>10</v>
      </c>
      <c r="BH77" s="9">
        <v>10</v>
      </c>
      <c r="BI77" s="9">
        <v>7</v>
      </c>
      <c r="BJ77" s="9">
        <v>6</v>
      </c>
      <c r="BK77" s="9">
        <v>7</v>
      </c>
      <c r="BL77" s="9">
        <v>12</v>
      </c>
      <c r="BM77" s="9">
        <v>12</v>
      </c>
      <c r="BN77" s="9">
        <v>12</v>
      </c>
      <c r="BO77" s="9">
        <v>13</v>
      </c>
      <c r="BP77" s="9">
        <v>10</v>
      </c>
      <c r="BQ77" s="9">
        <v>14</v>
      </c>
      <c r="BR77" s="9">
        <v>12</v>
      </c>
      <c r="BS77" s="9">
        <v>11</v>
      </c>
      <c r="BT77" s="9">
        <v>11</v>
      </c>
      <c r="BU77" s="9">
        <v>11</v>
      </c>
      <c r="BV77" s="9">
        <v>12</v>
      </c>
      <c r="BW77" s="9">
        <v>12</v>
      </c>
      <c r="BX77" s="9">
        <v>12</v>
      </c>
      <c r="BY77" s="9">
        <v>8</v>
      </c>
      <c r="BZ77" s="9">
        <v>8</v>
      </c>
      <c r="CA77" s="9">
        <v>6</v>
      </c>
      <c r="CB77" s="9">
        <v>4</v>
      </c>
      <c r="CC77" s="9">
        <v>4</v>
      </c>
      <c r="CD77" s="9">
        <v>4</v>
      </c>
      <c r="CE77" s="9">
        <v>3</v>
      </c>
      <c r="CF77" s="9">
        <v>3</v>
      </c>
      <c r="CG77" s="9">
        <v>3</v>
      </c>
      <c r="CH77" s="9">
        <v>2</v>
      </c>
      <c r="CI77" s="9">
        <v>3</v>
      </c>
      <c r="CJ77" s="9">
        <v>4</v>
      </c>
      <c r="CK77" s="9">
        <v>4</v>
      </c>
      <c r="CL77" s="9">
        <v>3</v>
      </c>
      <c r="CM77" s="9">
        <v>5</v>
      </c>
      <c r="CN77" s="9">
        <v>4</v>
      </c>
      <c r="CO77" s="9">
        <v>4</v>
      </c>
      <c r="CP77" s="9">
        <v>5</v>
      </c>
      <c r="CQ77" s="9">
        <v>5</v>
      </c>
      <c r="CR77" s="9">
        <v>5</v>
      </c>
      <c r="CS77" s="9">
        <v>4</v>
      </c>
      <c r="CT77" s="9">
        <v>5</v>
      </c>
      <c r="CU77" s="9">
        <v>5</v>
      </c>
      <c r="CV77" s="9">
        <v>4</v>
      </c>
      <c r="CW77" s="9">
        <v>3</v>
      </c>
      <c r="CX77" s="9">
        <v>3</v>
      </c>
      <c r="CY77" s="9">
        <v>2</v>
      </c>
      <c r="CZ77" s="9">
        <v>3</v>
      </c>
      <c r="DA77" s="9">
        <v>4</v>
      </c>
      <c r="DB77" s="9">
        <v>6</v>
      </c>
      <c r="DC77" s="9">
        <v>6</v>
      </c>
      <c r="DD77" s="9">
        <v>6</v>
      </c>
      <c r="DE77" s="9">
        <v>6</v>
      </c>
      <c r="DF77" s="9">
        <v>5</v>
      </c>
      <c r="DG77" s="9">
        <v>4</v>
      </c>
      <c r="DH77" s="9">
        <v>3</v>
      </c>
      <c r="DI77" s="9">
        <v>3</v>
      </c>
      <c r="DJ77" s="9">
        <v>3</v>
      </c>
      <c r="DK77" s="9">
        <v>2</v>
      </c>
      <c r="DL77" s="9">
        <v>2</v>
      </c>
      <c r="DM77" s="9">
        <v>2</v>
      </c>
      <c r="DN77" s="9">
        <v>3</v>
      </c>
      <c r="DO77" s="9">
        <v>3</v>
      </c>
      <c r="DP77" s="9">
        <v>3</v>
      </c>
      <c r="DQ77" s="9">
        <v>3</v>
      </c>
      <c r="DR77" s="9">
        <v>2</v>
      </c>
      <c r="DS77" s="9">
        <v>2</v>
      </c>
      <c r="DT77" s="9">
        <v>2</v>
      </c>
      <c r="DU77" s="9">
        <v>3</v>
      </c>
      <c r="DV77" s="9">
        <v>2</v>
      </c>
      <c r="DW77" s="9">
        <v>2</v>
      </c>
      <c r="DX77" s="9">
        <v>1</v>
      </c>
      <c r="DY77" s="9">
        <v>1</v>
      </c>
      <c r="DZ77" s="9">
        <v>1</v>
      </c>
      <c r="EA77" s="9">
        <v>0</v>
      </c>
      <c r="EB77" s="9">
        <v>0</v>
      </c>
      <c r="EC77" s="9">
        <v>0</v>
      </c>
      <c r="ED77" s="9">
        <v>0</v>
      </c>
      <c r="EE77" s="9">
        <v>0</v>
      </c>
      <c r="EF77" s="9">
        <v>0</v>
      </c>
      <c r="EG77" s="9">
        <v>0</v>
      </c>
      <c r="EH77" s="9">
        <v>0</v>
      </c>
      <c r="EI77" s="9">
        <v>0</v>
      </c>
      <c r="EJ77" s="9">
        <v>1</v>
      </c>
      <c r="EK77" s="9">
        <v>1</v>
      </c>
      <c r="EL77" s="9">
        <v>1</v>
      </c>
      <c r="EM77" s="9">
        <v>1</v>
      </c>
      <c r="EN77" s="9">
        <v>1</v>
      </c>
      <c r="EO77" s="9">
        <v>1</v>
      </c>
      <c r="EP77" s="9">
        <v>2</v>
      </c>
      <c r="EQ77" s="9">
        <v>2</v>
      </c>
      <c r="ER77" s="9">
        <v>2</v>
      </c>
      <c r="ES77" s="9">
        <v>2</v>
      </c>
      <c r="ET77" s="9">
        <v>2</v>
      </c>
      <c r="EU77" s="9">
        <v>2</v>
      </c>
      <c r="EV77" s="9">
        <v>1</v>
      </c>
      <c r="EW77" s="9">
        <v>1</v>
      </c>
      <c r="EX77" s="9">
        <v>1</v>
      </c>
      <c r="EY77" s="9">
        <v>1</v>
      </c>
      <c r="EZ77" s="9">
        <v>1</v>
      </c>
      <c r="FA77" s="9">
        <v>1</v>
      </c>
      <c r="FB77" s="9">
        <v>2</v>
      </c>
      <c r="FC77" s="9">
        <v>1</v>
      </c>
      <c r="FD77" s="9">
        <v>1</v>
      </c>
      <c r="FE77" s="9">
        <v>1</v>
      </c>
      <c r="FF77" s="9">
        <v>1</v>
      </c>
      <c r="FG77" s="9">
        <v>1</v>
      </c>
      <c r="FH77" s="9">
        <v>1</v>
      </c>
      <c r="FI77" s="9">
        <v>1</v>
      </c>
      <c r="FJ77" s="9">
        <v>0</v>
      </c>
      <c r="FK77" s="9">
        <v>0</v>
      </c>
      <c r="FL77" s="9">
        <v>0</v>
      </c>
      <c r="FM77" s="10">
        <v>0</v>
      </c>
    </row>
    <row r="78" spans="1:169" x14ac:dyDescent="0.35">
      <c r="A78" s="8" t="s">
        <v>73</v>
      </c>
      <c r="B78" s="9" t="s">
        <v>136</v>
      </c>
      <c r="C78" s="10" t="s">
        <v>137</v>
      </c>
      <c r="D78" s="62">
        <f t="shared" si="98"/>
        <v>0</v>
      </c>
      <c r="E78" s="9">
        <v>0</v>
      </c>
      <c r="F78" s="9">
        <v>0</v>
      </c>
      <c r="G78" s="9">
        <v>0</v>
      </c>
      <c r="H78" s="9">
        <v>0</v>
      </c>
      <c r="I78" s="9">
        <v>0</v>
      </c>
      <c r="J78" s="9">
        <v>0</v>
      </c>
      <c r="K78" s="9">
        <v>0</v>
      </c>
      <c r="L78" s="9">
        <v>0</v>
      </c>
      <c r="M78" s="9">
        <v>0</v>
      </c>
      <c r="N78" s="9">
        <v>0</v>
      </c>
      <c r="O78" s="9">
        <v>0</v>
      </c>
      <c r="P78" s="9">
        <v>0</v>
      </c>
      <c r="Q78" s="9">
        <v>0</v>
      </c>
      <c r="R78" s="9">
        <v>0</v>
      </c>
      <c r="S78" s="9">
        <v>0</v>
      </c>
      <c r="T78" s="9">
        <v>0</v>
      </c>
      <c r="U78" s="9">
        <v>0</v>
      </c>
      <c r="V78" s="9">
        <v>0</v>
      </c>
      <c r="W78" s="9">
        <v>0</v>
      </c>
      <c r="X78" s="9">
        <v>0</v>
      </c>
      <c r="Y78" s="9">
        <v>0</v>
      </c>
      <c r="Z78" s="9">
        <v>0</v>
      </c>
      <c r="AA78" s="9">
        <v>0</v>
      </c>
      <c r="AB78" s="9">
        <v>0</v>
      </c>
      <c r="AC78" s="9">
        <v>0</v>
      </c>
      <c r="AD78" s="9">
        <v>0</v>
      </c>
      <c r="AE78" s="9">
        <v>0</v>
      </c>
      <c r="AF78" s="9">
        <v>0</v>
      </c>
      <c r="AG78" s="9">
        <v>0</v>
      </c>
      <c r="AH78" s="9">
        <v>0</v>
      </c>
      <c r="AI78" s="9">
        <v>0</v>
      </c>
      <c r="AJ78" s="9">
        <v>0</v>
      </c>
      <c r="AK78" s="9">
        <v>0</v>
      </c>
      <c r="AL78" s="9">
        <v>0</v>
      </c>
      <c r="AM78" s="9">
        <v>0</v>
      </c>
      <c r="AN78" s="9">
        <v>0</v>
      </c>
      <c r="AO78" s="9">
        <v>0</v>
      </c>
      <c r="AP78" s="9">
        <v>0</v>
      </c>
      <c r="AQ78" s="9">
        <v>0</v>
      </c>
      <c r="AR78" s="9">
        <v>0</v>
      </c>
      <c r="AS78" s="9">
        <v>0</v>
      </c>
      <c r="AT78" s="9">
        <v>0</v>
      </c>
      <c r="AU78" s="9">
        <v>0</v>
      </c>
      <c r="AV78" s="9">
        <v>0</v>
      </c>
      <c r="AW78" s="9">
        <v>0</v>
      </c>
      <c r="AX78" s="9">
        <v>0</v>
      </c>
      <c r="AY78" s="9">
        <v>0</v>
      </c>
      <c r="AZ78" s="9">
        <v>0</v>
      </c>
      <c r="BA78" s="9">
        <v>0</v>
      </c>
      <c r="BB78" s="9">
        <v>0</v>
      </c>
      <c r="BC78" s="9">
        <v>0</v>
      </c>
      <c r="BD78" s="9">
        <v>0</v>
      </c>
      <c r="BE78" s="9">
        <v>0</v>
      </c>
      <c r="BF78" s="9">
        <v>0</v>
      </c>
      <c r="BG78" s="9">
        <v>0</v>
      </c>
      <c r="BH78" s="9">
        <v>0</v>
      </c>
      <c r="BI78" s="9">
        <v>0</v>
      </c>
      <c r="BJ78" s="9">
        <v>0</v>
      </c>
      <c r="BK78" s="9">
        <v>0</v>
      </c>
      <c r="BL78" s="9">
        <v>0</v>
      </c>
      <c r="BM78" s="9">
        <v>0</v>
      </c>
      <c r="BN78" s="9">
        <v>0</v>
      </c>
      <c r="BO78" s="9">
        <v>0</v>
      </c>
      <c r="BP78" s="9">
        <v>0</v>
      </c>
      <c r="BQ78" s="9">
        <v>0</v>
      </c>
      <c r="BR78" s="9">
        <v>0</v>
      </c>
      <c r="BS78" s="9">
        <v>0</v>
      </c>
      <c r="BT78" s="9">
        <v>0</v>
      </c>
      <c r="BU78" s="9">
        <v>0</v>
      </c>
      <c r="BV78" s="9">
        <v>0</v>
      </c>
      <c r="BW78" s="9">
        <v>0</v>
      </c>
      <c r="BX78" s="9">
        <v>0</v>
      </c>
      <c r="BY78" s="9">
        <v>0</v>
      </c>
      <c r="BZ78" s="9">
        <v>0</v>
      </c>
      <c r="CA78" s="9">
        <v>0</v>
      </c>
      <c r="CB78" s="9">
        <v>0</v>
      </c>
      <c r="CC78" s="9">
        <v>0</v>
      </c>
      <c r="CD78" s="9">
        <v>0</v>
      </c>
      <c r="CE78" s="9">
        <v>0</v>
      </c>
      <c r="CF78" s="9">
        <v>0</v>
      </c>
      <c r="CG78" s="9">
        <v>0</v>
      </c>
      <c r="CH78" s="9">
        <v>0</v>
      </c>
      <c r="CI78" s="9">
        <v>0</v>
      </c>
      <c r="CJ78" s="9">
        <v>0</v>
      </c>
      <c r="CK78" s="9">
        <v>0</v>
      </c>
      <c r="CL78" s="9">
        <v>0</v>
      </c>
      <c r="CM78" s="9">
        <v>0</v>
      </c>
      <c r="CN78" s="9">
        <v>0</v>
      </c>
      <c r="CO78" s="9">
        <v>0</v>
      </c>
      <c r="CP78" s="9">
        <v>0</v>
      </c>
      <c r="CQ78" s="9">
        <v>0</v>
      </c>
      <c r="CR78" s="9">
        <v>0</v>
      </c>
      <c r="CS78" s="9">
        <v>0</v>
      </c>
      <c r="CT78" s="9">
        <v>0</v>
      </c>
      <c r="CU78" s="9">
        <v>0</v>
      </c>
      <c r="CV78" s="9">
        <v>0</v>
      </c>
      <c r="CW78" s="9">
        <v>0</v>
      </c>
      <c r="CX78" s="9">
        <v>0</v>
      </c>
      <c r="CY78" s="9">
        <v>0</v>
      </c>
      <c r="CZ78" s="9">
        <v>0</v>
      </c>
      <c r="DA78" s="9">
        <v>0</v>
      </c>
      <c r="DB78" s="9">
        <v>0</v>
      </c>
      <c r="DC78" s="9">
        <v>0</v>
      </c>
      <c r="DD78" s="9">
        <v>0</v>
      </c>
      <c r="DE78" s="9">
        <v>0</v>
      </c>
      <c r="DF78" s="9">
        <v>0</v>
      </c>
      <c r="DG78" s="9">
        <v>0</v>
      </c>
      <c r="DH78" s="9">
        <v>0</v>
      </c>
      <c r="DI78" s="9">
        <v>0</v>
      </c>
      <c r="DJ78" s="9">
        <v>0</v>
      </c>
      <c r="DK78" s="9">
        <v>0</v>
      </c>
      <c r="DL78" s="9">
        <v>0</v>
      </c>
      <c r="DM78" s="9">
        <v>0</v>
      </c>
      <c r="DN78" s="9">
        <v>0</v>
      </c>
      <c r="DO78" s="9">
        <v>0</v>
      </c>
      <c r="DP78" s="9">
        <v>0</v>
      </c>
      <c r="DQ78" s="9">
        <v>0</v>
      </c>
      <c r="DR78" s="9">
        <v>0</v>
      </c>
      <c r="DS78" s="9">
        <v>0</v>
      </c>
      <c r="DT78" s="9">
        <v>0</v>
      </c>
      <c r="DU78" s="9">
        <v>0</v>
      </c>
      <c r="DV78" s="9">
        <v>0</v>
      </c>
      <c r="DW78" s="9">
        <v>0</v>
      </c>
      <c r="DX78" s="9">
        <v>0</v>
      </c>
      <c r="DY78" s="9">
        <v>0</v>
      </c>
      <c r="DZ78" s="9">
        <v>0</v>
      </c>
      <c r="EA78" s="9">
        <v>0</v>
      </c>
      <c r="EB78" s="9">
        <v>0</v>
      </c>
      <c r="EC78" s="9">
        <v>0</v>
      </c>
      <c r="ED78" s="9">
        <v>0</v>
      </c>
      <c r="EE78" s="9">
        <v>0</v>
      </c>
      <c r="EF78" s="9">
        <v>0</v>
      </c>
      <c r="EG78" s="9">
        <v>0</v>
      </c>
      <c r="EH78" s="9">
        <v>0</v>
      </c>
      <c r="EI78" s="9">
        <v>0</v>
      </c>
      <c r="EJ78" s="9">
        <v>0</v>
      </c>
      <c r="EK78" s="9">
        <v>0</v>
      </c>
      <c r="EL78" s="9">
        <v>0</v>
      </c>
      <c r="EM78" s="9">
        <v>0</v>
      </c>
      <c r="EN78" s="9">
        <v>0</v>
      </c>
      <c r="EO78" s="9">
        <v>0</v>
      </c>
      <c r="EP78" s="9">
        <v>0</v>
      </c>
      <c r="EQ78" s="9">
        <v>0</v>
      </c>
      <c r="ER78" s="9">
        <v>0</v>
      </c>
      <c r="ES78" s="9">
        <v>0</v>
      </c>
      <c r="ET78" s="9">
        <v>0</v>
      </c>
      <c r="EU78" s="9">
        <v>0</v>
      </c>
      <c r="EV78" s="9">
        <v>0</v>
      </c>
      <c r="EW78" s="9">
        <v>0</v>
      </c>
      <c r="EX78" s="9">
        <v>0</v>
      </c>
      <c r="EY78" s="9">
        <v>0</v>
      </c>
      <c r="EZ78" s="9">
        <v>0</v>
      </c>
      <c r="FA78" s="9">
        <v>0</v>
      </c>
      <c r="FB78" s="9">
        <v>0</v>
      </c>
      <c r="FC78" s="9">
        <v>0</v>
      </c>
      <c r="FD78" s="9">
        <v>0</v>
      </c>
      <c r="FE78" s="9">
        <v>0</v>
      </c>
      <c r="FF78" s="9">
        <v>0</v>
      </c>
      <c r="FG78" s="9">
        <v>0</v>
      </c>
      <c r="FH78" s="9">
        <v>0</v>
      </c>
      <c r="FI78" s="9">
        <v>0</v>
      </c>
      <c r="FJ78" s="9">
        <v>0</v>
      </c>
      <c r="FK78" s="9">
        <v>0</v>
      </c>
      <c r="FL78" s="9">
        <v>0</v>
      </c>
      <c r="FM78" s="10">
        <v>0</v>
      </c>
    </row>
    <row r="79" spans="1:169" x14ac:dyDescent="0.35">
      <c r="A79" s="8" t="s">
        <v>73</v>
      </c>
      <c r="B79" s="9" t="s">
        <v>138</v>
      </c>
      <c r="C79" s="10" t="s">
        <v>139</v>
      </c>
      <c r="D79" s="62">
        <f t="shared" si="98"/>
        <v>26</v>
      </c>
      <c r="E79" s="9">
        <v>0</v>
      </c>
      <c r="F79" s="9">
        <v>0</v>
      </c>
      <c r="G79" s="9">
        <v>0</v>
      </c>
      <c r="H79" s="9">
        <v>0</v>
      </c>
      <c r="I79" s="9">
        <v>0</v>
      </c>
      <c r="J79" s="9">
        <v>0</v>
      </c>
      <c r="K79" s="9">
        <v>3</v>
      </c>
      <c r="L79" s="9">
        <v>5</v>
      </c>
      <c r="M79" s="9">
        <v>5</v>
      </c>
      <c r="N79" s="9">
        <v>3</v>
      </c>
      <c r="O79" s="9">
        <v>4</v>
      </c>
      <c r="P79" s="9">
        <v>5</v>
      </c>
      <c r="Q79" s="9">
        <v>7</v>
      </c>
      <c r="R79" s="9">
        <v>8</v>
      </c>
      <c r="S79" s="9">
        <v>8</v>
      </c>
      <c r="T79" s="9">
        <v>8</v>
      </c>
      <c r="U79" s="9">
        <v>7</v>
      </c>
      <c r="V79" s="9">
        <v>9</v>
      </c>
      <c r="W79" s="9">
        <v>10</v>
      </c>
      <c r="X79" s="9">
        <v>9</v>
      </c>
      <c r="Y79" s="9">
        <v>7</v>
      </c>
      <c r="Z79" s="9">
        <v>8</v>
      </c>
      <c r="AA79" s="9">
        <v>9</v>
      </c>
      <c r="AB79" s="9">
        <v>10</v>
      </c>
      <c r="AC79" s="9">
        <v>9</v>
      </c>
      <c r="AD79" s="9">
        <v>12</v>
      </c>
      <c r="AE79" s="9">
        <v>11</v>
      </c>
      <c r="AF79" s="9">
        <v>10</v>
      </c>
      <c r="AG79" s="9">
        <v>6</v>
      </c>
      <c r="AH79" s="9">
        <v>7</v>
      </c>
      <c r="AI79" s="9">
        <v>6</v>
      </c>
      <c r="AJ79" s="9">
        <v>6</v>
      </c>
      <c r="AK79" s="9">
        <v>4</v>
      </c>
      <c r="AL79" s="9">
        <v>7</v>
      </c>
      <c r="AM79" s="9">
        <v>8</v>
      </c>
      <c r="AN79" s="9">
        <v>8</v>
      </c>
      <c r="AO79" s="9">
        <v>9</v>
      </c>
      <c r="AP79" s="9">
        <v>12</v>
      </c>
      <c r="AQ79" s="9">
        <v>26</v>
      </c>
      <c r="AR79" s="9">
        <v>24</v>
      </c>
      <c r="AS79" s="9">
        <v>10</v>
      </c>
      <c r="AT79" s="9">
        <v>10</v>
      </c>
      <c r="AU79" s="9">
        <v>11</v>
      </c>
      <c r="AV79" s="9">
        <v>10</v>
      </c>
      <c r="AW79" s="9">
        <v>9</v>
      </c>
      <c r="AX79" s="9">
        <v>9</v>
      </c>
      <c r="AY79" s="9">
        <v>10</v>
      </c>
      <c r="AZ79" s="9">
        <v>11</v>
      </c>
      <c r="BA79" s="9">
        <v>11</v>
      </c>
      <c r="BB79" s="9">
        <v>11</v>
      </c>
      <c r="BC79" s="9">
        <v>10</v>
      </c>
      <c r="BD79" s="9">
        <v>9</v>
      </c>
      <c r="BE79" s="9">
        <v>9</v>
      </c>
      <c r="BF79" s="9">
        <v>8</v>
      </c>
      <c r="BG79" s="9">
        <v>8</v>
      </c>
      <c r="BH79" s="9">
        <v>7</v>
      </c>
      <c r="BI79" s="9">
        <v>8</v>
      </c>
      <c r="BJ79" s="9">
        <v>8</v>
      </c>
      <c r="BK79" s="9">
        <v>7</v>
      </c>
      <c r="BL79" s="9">
        <v>9</v>
      </c>
      <c r="BM79" s="9">
        <v>10</v>
      </c>
      <c r="BN79" s="9">
        <v>11</v>
      </c>
      <c r="BO79" s="9">
        <v>10</v>
      </c>
      <c r="BP79" s="9">
        <v>9</v>
      </c>
      <c r="BQ79" s="9">
        <v>8</v>
      </c>
      <c r="BR79" s="9">
        <v>8</v>
      </c>
      <c r="BS79" s="9">
        <v>8</v>
      </c>
      <c r="BT79" s="9">
        <v>8</v>
      </c>
      <c r="BU79" s="9">
        <v>7</v>
      </c>
      <c r="BV79" s="9">
        <v>6</v>
      </c>
      <c r="BW79" s="9">
        <v>6</v>
      </c>
      <c r="BX79" s="9">
        <v>5</v>
      </c>
      <c r="BY79" s="9">
        <v>5</v>
      </c>
      <c r="BZ79" s="9">
        <v>4</v>
      </c>
      <c r="CA79" s="9">
        <v>5</v>
      </c>
      <c r="CB79" s="9">
        <v>5</v>
      </c>
      <c r="CC79" s="9">
        <v>4</v>
      </c>
      <c r="CD79" s="9">
        <v>4</v>
      </c>
      <c r="CE79" s="9">
        <v>3</v>
      </c>
      <c r="CF79" s="9">
        <v>2</v>
      </c>
      <c r="CG79" s="9">
        <v>2</v>
      </c>
      <c r="CH79" s="9">
        <v>3</v>
      </c>
      <c r="CI79" s="9">
        <v>3</v>
      </c>
      <c r="CJ79" s="9">
        <v>3</v>
      </c>
      <c r="CK79" s="9">
        <v>3</v>
      </c>
      <c r="CL79" s="9">
        <v>3</v>
      </c>
      <c r="CM79" s="9">
        <v>3</v>
      </c>
      <c r="CN79" s="9">
        <v>3</v>
      </c>
      <c r="CO79" s="9">
        <v>4</v>
      </c>
      <c r="CP79" s="9">
        <v>4</v>
      </c>
      <c r="CQ79" s="9">
        <v>3</v>
      </c>
      <c r="CR79" s="9">
        <v>3</v>
      </c>
      <c r="CS79" s="9">
        <v>3</v>
      </c>
      <c r="CT79" s="9">
        <v>3</v>
      </c>
      <c r="CU79" s="9">
        <v>3</v>
      </c>
      <c r="CV79" s="9">
        <v>4</v>
      </c>
      <c r="CW79" s="9">
        <v>5</v>
      </c>
      <c r="CX79" s="9">
        <v>5</v>
      </c>
      <c r="CY79" s="9">
        <v>4</v>
      </c>
      <c r="CZ79" s="9">
        <v>4</v>
      </c>
      <c r="DA79" s="9">
        <v>4</v>
      </c>
      <c r="DB79" s="9">
        <v>3</v>
      </c>
      <c r="DC79" s="9">
        <v>3</v>
      </c>
      <c r="DD79" s="9">
        <v>4</v>
      </c>
      <c r="DE79" s="9">
        <v>5</v>
      </c>
      <c r="DF79" s="9">
        <v>4</v>
      </c>
      <c r="DG79" s="9">
        <v>3</v>
      </c>
      <c r="DH79" s="9">
        <v>4</v>
      </c>
      <c r="DI79" s="9">
        <v>4</v>
      </c>
      <c r="DJ79" s="9">
        <v>4</v>
      </c>
      <c r="DK79" s="9">
        <v>4</v>
      </c>
      <c r="DL79" s="9">
        <v>4</v>
      </c>
      <c r="DM79" s="9">
        <v>4</v>
      </c>
      <c r="DN79" s="9">
        <v>3</v>
      </c>
      <c r="DO79" s="9">
        <v>3</v>
      </c>
      <c r="DP79" s="9">
        <v>3</v>
      </c>
      <c r="DQ79" s="9">
        <v>4</v>
      </c>
      <c r="DR79" s="9">
        <v>3</v>
      </c>
      <c r="DS79" s="9">
        <v>5</v>
      </c>
      <c r="DT79" s="9">
        <v>3</v>
      </c>
      <c r="DU79" s="9">
        <v>3</v>
      </c>
      <c r="DV79" s="9">
        <v>3</v>
      </c>
      <c r="DW79" s="9">
        <v>3</v>
      </c>
      <c r="DX79" s="9">
        <v>4</v>
      </c>
      <c r="DY79" s="9">
        <v>3</v>
      </c>
      <c r="DZ79" s="9">
        <v>3</v>
      </c>
      <c r="EA79" s="9">
        <v>3</v>
      </c>
      <c r="EB79" s="9">
        <v>3</v>
      </c>
      <c r="EC79" s="9">
        <v>3</v>
      </c>
      <c r="ED79" s="9">
        <v>2</v>
      </c>
      <c r="EE79" s="9">
        <v>2</v>
      </c>
      <c r="EF79" s="9">
        <v>1</v>
      </c>
      <c r="EG79" s="9">
        <v>1</v>
      </c>
      <c r="EH79" s="9">
        <v>1</v>
      </c>
      <c r="EI79" s="9">
        <v>1</v>
      </c>
      <c r="EJ79" s="9">
        <v>1</v>
      </c>
      <c r="EK79" s="9">
        <v>1</v>
      </c>
      <c r="EL79" s="9">
        <v>1</v>
      </c>
      <c r="EM79" s="9">
        <v>1</v>
      </c>
      <c r="EN79" s="9">
        <v>1</v>
      </c>
      <c r="EO79" s="9">
        <v>1</v>
      </c>
      <c r="EP79" s="9">
        <v>1</v>
      </c>
      <c r="EQ79" s="9">
        <v>1</v>
      </c>
      <c r="ER79" s="9">
        <v>1</v>
      </c>
      <c r="ES79" s="9">
        <v>2</v>
      </c>
      <c r="ET79" s="9">
        <v>3</v>
      </c>
      <c r="EU79" s="9">
        <v>2</v>
      </c>
      <c r="EV79" s="9">
        <v>2</v>
      </c>
      <c r="EW79" s="9">
        <v>2</v>
      </c>
      <c r="EX79" s="9">
        <v>2</v>
      </c>
      <c r="EY79" s="9">
        <v>2</v>
      </c>
      <c r="EZ79" s="9">
        <v>1</v>
      </c>
      <c r="FA79" s="9">
        <v>1</v>
      </c>
      <c r="FB79" s="9">
        <v>0</v>
      </c>
      <c r="FC79" s="9">
        <v>2</v>
      </c>
      <c r="FD79" s="9">
        <v>1</v>
      </c>
      <c r="FE79" s="9">
        <v>1</v>
      </c>
      <c r="FF79" s="9">
        <v>1</v>
      </c>
      <c r="FG79" s="9">
        <v>1</v>
      </c>
      <c r="FH79" s="9">
        <v>1</v>
      </c>
      <c r="FI79" s="9">
        <v>1</v>
      </c>
      <c r="FJ79" s="9">
        <v>0</v>
      </c>
      <c r="FK79" s="9">
        <v>0</v>
      </c>
      <c r="FL79" s="9">
        <v>0</v>
      </c>
      <c r="FM79" s="10">
        <v>0</v>
      </c>
    </row>
    <row r="80" spans="1:169" x14ac:dyDescent="0.35">
      <c r="A80" s="8" t="s">
        <v>73</v>
      </c>
      <c r="B80" s="9" t="s">
        <v>140</v>
      </c>
      <c r="C80" s="10" t="s">
        <v>141</v>
      </c>
      <c r="D80" s="62">
        <f t="shared" si="98"/>
        <v>0</v>
      </c>
      <c r="E80" s="9">
        <v>0</v>
      </c>
      <c r="F80" s="9">
        <v>0</v>
      </c>
      <c r="G80" s="9">
        <v>0</v>
      </c>
      <c r="H80" s="9">
        <v>0</v>
      </c>
      <c r="I80" s="9">
        <v>0</v>
      </c>
      <c r="J80" s="9">
        <v>0</v>
      </c>
      <c r="K80" s="9">
        <v>0</v>
      </c>
      <c r="L80" s="9">
        <v>0</v>
      </c>
      <c r="M80" s="9">
        <v>0</v>
      </c>
      <c r="N80" s="9">
        <v>0</v>
      </c>
      <c r="O80" s="9">
        <v>0</v>
      </c>
      <c r="P80" s="9">
        <v>0</v>
      </c>
      <c r="Q80" s="9">
        <v>0</v>
      </c>
      <c r="R80" s="9">
        <v>0</v>
      </c>
      <c r="S80" s="9">
        <v>0</v>
      </c>
      <c r="T80" s="9">
        <v>0</v>
      </c>
      <c r="U80" s="9">
        <v>0</v>
      </c>
      <c r="V80" s="9">
        <v>0</v>
      </c>
      <c r="W80" s="9">
        <v>0</v>
      </c>
      <c r="X80" s="9">
        <v>0</v>
      </c>
      <c r="Y80" s="9">
        <v>0</v>
      </c>
      <c r="Z80" s="9">
        <v>0</v>
      </c>
      <c r="AA80" s="9">
        <v>0</v>
      </c>
      <c r="AB80" s="9">
        <v>0</v>
      </c>
      <c r="AC80" s="9">
        <v>0</v>
      </c>
      <c r="AD80" s="9">
        <v>0</v>
      </c>
      <c r="AE80" s="9">
        <v>0</v>
      </c>
      <c r="AF80" s="9">
        <v>0</v>
      </c>
      <c r="AG80" s="9">
        <v>0</v>
      </c>
      <c r="AH80" s="9">
        <v>0</v>
      </c>
      <c r="AI80" s="9">
        <v>0</v>
      </c>
      <c r="AJ80" s="9">
        <v>0</v>
      </c>
      <c r="AK80" s="9">
        <v>0</v>
      </c>
      <c r="AL80" s="9">
        <v>0</v>
      </c>
      <c r="AM80" s="9">
        <v>0</v>
      </c>
      <c r="AN80" s="9">
        <v>0</v>
      </c>
      <c r="AO80" s="9">
        <v>0</v>
      </c>
      <c r="AP80" s="9">
        <v>0</v>
      </c>
      <c r="AQ80" s="9">
        <v>0</v>
      </c>
      <c r="AR80" s="9">
        <v>0</v>
      </c>
      <c r="AS80" s="9">
        <v>0</v>
      </c>
      <c r="AT80" s="9">
        <v>0</v>
      </c>
      <c r="AU80" s="9">
        <v>0</v>
      </c>
      <c r="AV80" s="9">
        <v>0</v>
      </c>
      <c r="AW80" s="9">
        <v>0</v>
      </c>
      <c r="AX80" s="9">
        <v>0</v>
      </c>
      <c r="AY80" s="9">
        <v>0</v>
      </c>
      <c r="AZ80" s="9">
        <v>0</v>
      </c>
      <c r="BA80" s="9">
        <v>0</v>
      </c>
      <c r="BB80" s="9">
        <v>0</v>
      </c>
      <c r="BC80" s="9">
        <v>0</v>
      </c>
      <c r="BD80" s="9">
        <v>0</v>
      </c>
      <c r="BE80" s="9">
        <v>0</v>
      </c>
      <c r="BF80" s="9">
        <v>0</v>
      </c>
      <c r="BG80" s="9">
        <v>0</v>
      </c>
      <c r="BH80" s="9">
        <v>0</v>
      </c>
      <c r="BI80" s="9">
        <v>0</v>
      </c>
      <c r="BJ80" s="9">
        <v>0</v>
      </c>
      <c r="BK80" s="9">
        <v>0</v>
      </c>
      <c r="BL80" s="9">
        <v>0</v>
      </c>
      <c r="BM80" s="9">
        <v>0</v>
      </c>
      <c r="BN80" s="9">
        <v>0</v>
      </c>
      <c r="BO80" s="9">
        <v>0</v>
      </c>
      <c r="BP80" s="9">
        <v>0</v>
      </c>
      <c r="BQ80" s="9">
        <v>0</v>
      </c>
      <c r="BR80" s="9">
        <v>0</v>
      </c>
      <c r="BS80" s="9">
        <v>0</v>
      </c>
      <c r="BT80" s="9">
        <v>0</v>
      </c>
      <c r="BU80" s="9">
        <v>0</v>
      </c>
      <c r="BV80" s="9">
        <v>0</v>
      </c>
      <c r="BW80" s="9">
        <v>0</v>
      </c>
      <c r="BX80" s="9">
        <v>0</v>
      </c>
      <c r="BY80" s="9">
        <v>0</v>
      </c>
      <c r="BZ80" s="9">
        <v>0</v>
      </c>
      <c r="CA80" s="9">
        <v>0</v>
      </c>
      <c r="CB80" s="9">
        <v>0</v>
      </c>
      <c r="CC80" s="9">
        <v>0</v>
      </c>
      <c r="CD80" s="9">
        <v>0</v>
      </c>
      <c r="CE80" s="9">
        <v>0</v>
      </c>
      <c r="CF80" s="9">
        <v>0</v>
      </c>
      <c r="CG80" s="9">
        <v>0</v>
      </c>
      <c r="CH80" s="9">
        <v>0</v>
      </c>
      <c r="CI80" s="9">
        <v>0</v>
      </c>
      <c r="CJ80" s="9">
        <v>0</v>
      </c>
      <c r="CK80" s="9">
        <v>0</v>
      </c>
      <c r="CL80" s="9">
        <v>0</v>
      </c>
      <c r="CM80" s="9">
        <v>0</v>
      </c>
      <c r="CN80" s="9">
        <v>0</v>
      </c>
      <c r="CO80" s="9">
        <v>0</v>
      </c>
      <c r="CP80" s="9">
        <v>0</v>
      </c>
      <c r="CQ80" s="9">
        <v>0</v>
      </c>
      <c r="CR80" s="9">
        <v>0</v>
      </c>
      <c r="CS80" s="9">
        <v>0</v>
      </c>
      <c r="CT80" s="9">
        <v>0</v>
      </c>
      <c r="CU80" s="9">
        <v>0</v>
      </c>
      <c r="CV80" s="9">
        <v>0</v>
      </c>
      <c r="CW80" s="9">
        <v>0</v>
      </c>
      <c r="CX80" s="9">
        <v>0</v>
      </c>
      <c r="CY80" s="9">
        <v>0</v>
      </c>
      <c r="CZ80" s="9">
        <v>0</v>
      </c>
      <c r="DA80" s="9">
        <v>0</v>
      </c>
      <c r="DB80" s="9">
        <v>0</v>
      </c>
      <c r="DC80" s="9">
        <v>0</v>
      </c>
      <c r="DD80" s="9">
        <v>0</v>
      </c>
      <c r="DE80" s="9">
        <v>0</v>
      </c>
      <c r="DF80" s="9">
        <v>0</v>
      </c>
      <c r="DG80" s="9">
        <v>0</v>
      </c>
      <c r="DH80" s="9">
        <v>0</v>
      </c>
      <c r="DI80" s="9">
        <v>0</v>
      </c>
      <c r="DJ80" s="9">
        <v>0</v>
      </c>
      <c r="DK80" s="9">
        <v>0</v>
      </c>
      <c r="DL80" s="9">
        <v>0</v>
      </c>
      <c r="DM80" s="9">
        <v>0</v>
      </c>
      <c r="DN80" s="9">
        <v>0</v>
      </c>
      <c r="DO80" s="9">
        <v>0</v>
      </c>
      <c r="DP80" s="9">
        <v>0</v>
      </c>
      <c r="DQ80" s="9">
        <v>0</v>
      </c>
      <c r="DR80" s="9">
        <v>0</v>
      </c>
      <c r="DS80" s="9">
        <v>0</v>
      </c>
      <c r="DT80" s="9">
        <v>0</v>
      </c>
      <c r="DU80" s="9">
        <v>0</v>
      </c>
      <c r="DV80" s="9">
        <v>0</v>
      </c>
      <c r="DW80" s="9">
        <v>0</v>
      </c>
      <c r="DX80" s="9">
        <v>0</v>
      </c>
      <c r="DY80" s="9">
        <v>0</v>
      </c>
      <c r="DZ80" s="9">
        <v>0</v>
      </c>
      <c r="EA80" s="9">
        <v>0</v>
      </c>
      <c r="EB80" s="9">
        <v>0</v>
      </c>
      <c r="EC80" s="9">
        <v>0</v>
      </c>
      <c r="ED80" s="9">
        <v>0</v>
      </c>
      <c r="EE80" s="9">
        <v>0</v>
      </c>
      <c r="EF80" s="9">
        <v>0</v>
      </c>
      <c r="EG80" s="9">
        <v>0</v>
      </c>
      <c r="EH80" s="9">
        <v>0</v>
      </c>
      <c r="EI80" s="9">
        <v>0</v>
      </c>
      <c r="EJ80" s="9">
        <v>0</v>
      </c>
      <c r="EK80" s="9">
        <v>0</v>
      </c>
      <c r="EL80" s="9">
        <v>0</v>
      </c>
      <c r="EM80" s="9">
        <v>0</v>
      </c>
      <c r="EN80" s="9">
        <v>0</v>
      </c>
      <c r="EO80" s="9">
        <v>0</v>
      </c>
      <c r="EP80" s="9">
        <v>0</v>
      </c>
      <c r="EQ80" s="9">
        <v>0</v>
      </c>
      <c r="ER80" s="9">
        <v>0</v>
      </c>
      <c r="ES80" s="9">
        <v>0</v>
      </c>
      <c r="ET80" s="9">
        <v>0</v>
      </c>
      <c r="EU80" s="9">
        <v>0</v>
      </c>
      <c r="EV80" s="9">
        <v>0</v>
      </c>
      <c r="EW80" s="9">
        <v>0</v>
      </c>
      <c r="EX80" s="9">
        <v>0</v>
      </c>
      <c r="EY80" s="9">
        <v>0</v>
      </c>
      <c r="EZ80" s="9">
        <v>0</v>
      </c>
      <c r="FA80" s="9">
        <v>0</v>
      </c>
      <c r="FB80" s="9">
        <v>0</v>
      </c>
      <c r="FC80" s="9">
        <v>0</v>
      </c>
      <c r="FD80" s="9">
        <v>0</v>
      </c>
      <c r="FE80" s="9">
        <v>0</v>
      </c>
      <c r="FF80" s="9">
        <v>0</v>
      </c>
      <c r="FG80" s="9">
        <v>0</v>
      </c>
      <c r="FH80" s="9">
        <v>0</v>
      </c>
      <c r="FI80" s="9">
        <v>0</v>
      </c>
      <c r="FJ80" s="9">
        <v>0</v>
      </c>
      <c r="FK80" s="9">
        <v>0</v>
      </c>
      <c r="FL80" s="9">
        <v>0</v>
      </c>
      <c r="FM80" s="10">
        <v>0</v>
      </c>
    </row>
    <row r="81" spans="1:169" x14ac:dyDescent="0.35">
      <c r="A81" s="8" t="s">
        <v>73</v>
      </c>
      <c r="B81" s="9" t="s">
        <v>142</v>
      </c>
      <c r="C81" s="10" t="s">
        <v>143</v>
      </c>
      <c r="D81" s="62">
        <f t="shared" si="98"/>
        <v>33</v>
      </c>
      <c r="E81" s="9">
        <v>0</v>
      </c>
      <c r="F81" s="9">
        <v>0</v>
      </c>
      <c r="G81" s="9">
        <v>0</v>
      </c>
      <c r="H81" s="9">
        <v>0</v>
      </c>
      <c r="I81" s="9">
        <v>0</v>
      </c>
      <c r="J81" s="9">
        <v>0</v>
      </c>
      <c r="K81" s="9">
        <v>0</v>
      </c>
      <c r="L81" s="9">
        <v>0</v>
      </c>
      <c r="M81" s="9">
        <v>0</v>
      </c>
      <c r="N81" s="9">
        <v>0</v>
      </c>
      <c r="O81" s="9">
        <v>0</v>
      </c>
      <c r="P81" s="9">
        <v>0</v>
      </c>
      <c r="Q81" s="9">
        <v>0</v>
      </c>
      <c r="R81" s="9">
        <v>0</v>
      </c>
      <c r="S81" s="9">
        <v>0</v>
      </c>
      <c r="T81" s="9">
        <v>0</v>
      </c>
      <c r="U81" s="9">
        <v>0</v>
      </c>
      <c r="V81" s="9">
        <v>0</v>
      </c>
      <c r="W81" s="9">
        <v>0</v>
      </c>
      <c r="X81" s="9">
        <v>0</v>
      </c>
      <c r="Y81" s="9">
        <v>22</v>
      </c>
      <c r="Z81" s="9">
        <v>18</v>
      </c>
      <c r="AA81" s="9">
        <v>20</v>
      </c>
      <c r="AB81" s="9">
        <v>22</v>
      </c>
      <c r="AC81" s="9">
        <v>25</v>
      </c>
      <c r="AD81" s="9">
        <v>19</v>
      </c>
      <c r="AE81" s="9">
        <v>18</v>
      </c>
      <c r="AF81" s="9">
        <v>27</v>
      </c>
      <c r="AG81" s="9">
        <v>28</v>
      </c>
      <c r="AH81" s="9">
        <v>24</v>
      </c>
      <c r="AI81" s="9">
        <v>21</v>
      </c>
      <c r="AJ81" s="9">
        <v>28</v>
      </c>
      <c r="AK81" s="9">
        <v>33</v>
      </c>
      <c r="AL81" s="9">
        <v>27</v>
      </c>
      <c r="AM81" s="9">
        <v>30</v>
      </c>
      <c r="AN81" s="9">
        <v>21</v>
      </c>
      <c r="AO81" s="9">
        <v>23</v>
      </c>
      <c r="AP81" s="9">
        <v>23</v>
      </c>
      <c r="AQ81" s="9">
        <v>22</v>
      </c>
      <c r="AR81" s="9">
        <v>21</v>
      </c>
      <c r="AS81" s="9">
        <v>14</v>
      </c>
      <c r="AT81" s="9">
        <v>15</v>
      </c>
      <c r="AU81" s="9">
        <v>13</v>
      </c>
      <c r="AV81" s="9">
        <v>9</v>
      </c>
      <c r="AW81" s="9">
        <v>9</v>
      </c>
      <c r="AX81" s="9">
        <v>8</v>
      </c>
      <c r="AY81" s="9">
        <v>7</v>
      </c>
      <c r="AZ81" s="9">
        <v>0</v>
      </c>
      <c r="BA81" s="9">
        <v>7</v>
      </c>
      <c r="BB81" s="9">
        <v>6</v>
      </c>
      <c r="BC81" s="9">
        <v>9</v>
      </c>
      <c r="BD81" s="9">
        <v>7</v>
      </c>
      <c r="BE81" s="9">
        <v>7</v>
      </c>
      <c r="BF81" s="9">
        <v>6</v>
      </c>
      <c r="BG81" s="9">
        <v>8</v>
      </c>
      <c r="BH81" s="9">
        <v>5</v>
      </c>
      <c r="BI81" s="9">
        <v>3</v>
      </c>
      <c r="BJ81" s="9">
        <v>4</v>
      </c>
      <c r="BK81" s="9">
        <v>8</v>
      </c>
      <c r="BL81" s="9">
        <v>1</v>
      </c>
      <c r="BM81" s="9">
        <v>1</v>
      </c>
      <c r="BN81" s="9">
        <v>1</v>
      </c>
      <c r="BO81" s="9">
        <v>2</v>
      </c>
      <c r="BP81" s="9">
        <v>1</v>
      </c>
      <c r="BQ81" s="9">
        <v>0</v>
      </c>
      <c r="BR81" s="9">
        <v>0</v>
      </c>
      <c r="BS81" s="9">
        <v>0</v>
      </c>
      <c r="BT81" s="9">
        <v>0</v>
      </c>
      <c r="BU81" s="9">
        <v>0</v>
      </c>
      <c r="BV81" s="9">
        <v>0</v>
      </c>
      <c r="BW81" s="9">
        <v>1</v>
      </c>
      <c r="BX81" s="9">
        <v>2</v>
      </c>
      <c r="BY81" s="9">
        <v>2</v>
      </c>
      <c r="BZ81" s="9">
        <v>2</v>
      </c>
      <c r="CA81" s="9">
        <v>2</v>
      </c>
      <c r="CB81" s="9">
        <v>2</v>
      </c>
      <c r="CC81" s="9">
        <v>2</v>
      </c>
      <c r="CD81" s="9">
        <v>2</v>
      </c>
      <c r="CE81" s="9">
        <v>2</v>
      </c>
      <c r="CF81" s="9">
        <v>2</v>
      </c>
      <c r="CG81" s="9">
        <v>2</v>
      </c>
      <c r="CH81" s="9">
        <v>2</v>
      </c>
      <c r="CI81" s="9">
        <v>2</v>
      </c>
      <c r="CJ81" s="9">
        <v>2</v>
      </c>
      <c r="CK81" s="9">
        <v>0</v>
      </c>
      <c r="CL81" s="9">
        <v>2</v>
      </c>
      <c r="CM81" s="9">
        <v>1</v>
      </c>
      <c r="CN81" s="9">
        <v>1</v>
      </c>
      <c r="CO81" s="9">
        <v>1</v>
      </c>
      <c r="CP81" s="9">
        <v>1</v>
      </c>
      <c r="CQ81" s="9">
        <v>1</v>
      </c>
      <c r="CR81" s="9">
        <v>1</v>
      </c>
      <c r="CS81" s="9">
        <v>1</v>
      </c>
      <c r="CT81" s="9">
        <v>1</v>
      </c>
      <c r="CU81" s="9">
        <v>1</v>
      </c>
      <c r="CV81" s="9">
        <v>1</v>
      </c>
      <c r="CW81" s="9">
        <v>1</v>
      </c>
      <c r="CX81" s="9">
        <v>1</v>
      </c>
      <c r="CY81" s="9">
        <v>1</v>
      </c>
      <c r="CZ81" s="9">
        <v>0</v>
      </c>
      <c r="DA81" s="9">
        <v>0</v>
      </c>
      <c r="DB81" s="9">
        <v>0</v>
      </c>
      <c r="DC81" s="9">
        <v>0</v>
      </c>
      <c r="DD81" s="9">
        <v>0</v>
      </c>
      <c r="DE81" s="9">
        <v>0</v>
      </c>
      <c r="DF81" s="9">
        <v>0</v>
      </c>
      <c r="DG81" s="9">
        <v>0</v>
      </c>
      <c r="DH81" s="9">
        <v>0</v>
      </c>
      <c r="DI81" s="9">
        <v>0</v>
      </c>
      <c r="DJ81" s="9">
        <v>0</v>
      </c>
      <c r="DK81" s="9">
        <v>0</v>
      </c>
      <c r="DL81" s="9">
        <v>0</v>
      </c>
      <c r="DM81" s="9">
        <v>0</v>
      </c>
      <c r="DN81" s="9">
        <v>0</v>
      </c>
      <c r="DO81" s="9">
        <v>0</v>
      </c>
      <c r="DP81" s="9">
        <v>0</v>
      </c>
      <c r="DQ81" s="9">
        <v>0</v>
      </c>
      <c r="DR81" s="9">
        <v>1</v>
      </c>
      <c r="DS81" s="9">
        <v>1</v>
      </c>
      <c r="DT81" s="9">
        <v>0</v>
      </c>
      <c r="DU81" s="9">
        <v>0</v>
      </c>
      <c r="DV81" s="9">
        <v>0</v>
      </c>
      <c r="DW81" s="9">
        <v>0</v>
      </c>
      <c r="DX81" s="9">
        <v>0</v>
      </c>
      <c r="DY81" s="9">
        <v>0</v>
      </c>
      <c r="DZ81" s="9">
        <v>0</v>
      </c>
      <c r="EA81" s="9">
        <v>0</v>
      </c>
      <c r="EB81" s="9">
        <v>0</v>
      </c>
      <c r="EC81" s="9">
        <v>0</v>
      </c>
      <c r="ED81" s="9">
        <v>0</v>
      </c>
      <c r="EE81" s="9">
        <v>0</v>
      </c>
      <c r="EF81" s="9">
        <v>0</v>
      </c>
      <c r="EG81" s="9">
        <v>0</v>
      </c>
      <c r="EH81" s="9">
        <v>0</v>
      </c>
      <c r="EI81" s="9">
        <v>0</v>
      </c>
      <c r="EJ81" s="9">
        <v>0</v>
      </c>
      <c r="EK81" s="9">
        <v>0</v>
      </c>
      <c r="EL81" s="9">
        <v>0</v>
      </c>
      <c r="EM81" s="9">
        <v>0</v>
      </c>
      <c r="EN81" s="9">
        <v>0</v>
      </c>
      <c r="EO81" s="9">
        <v>0</v>
      </c>
      <c r="EP81" s="9">
        <v>0</v>
      </c>
      <c r="EQ81" s="9">
        <v>0</v>
      </c>
      <c r="ER81" s="9">
        <v>0</v>
      </c>
      <c r="ES81" s="9">
        <v>0</v>
      </c>
      <c r="ET81" s="9">
        <v>0</v>
      </c>
      <c r="EU81" s="9">
        <v>0</v>
      </c>
      <c r="EV81" s="9">
        <v>0</v>
      </c>
      <c r="EW81" s="9">
        <v>0</v>
      </c>
      <c r="EX81" s="9">
        <v>0</v>
      </c>
      <c r="EY81" s="9">
        <v>0</v>
      </c>
      <c r="EZ81" s="9">
        <v>0</v>
      </c>
      <c r="FA81" s="9">
        <v>1</v>
      </c>
      <c r="FB81" s="9">
        <v>1</v>
      </c>
      <c r="FC81" s="9">
        <v>1</v>
      </c>
      <c r="FD81" s="9">
        <v>1</v>
      </c>
      <c r="FE81" s="9">
        <v>1</v>
      </c>
      <c r="FF81" s="9">
        <v>1</v>
      </c>
      <c r="FG81" s="9">
        <v>1</v>
      </c>
      <c r="FH81" s="9">
        <v>1</v>
      </c>
      <c r="FI81" s="9">
        <v>0</v>
      </c>
      <c r="FJ81" s="9">
        <v>0</v>
      </c>
      <c r="FK81" s="9">
        <v>0</v>
      </c>
      <c r="FL81" s="9">
        <v>0</v>
      </c>
      <c r="FM81" s="10">
        <v>0</v>
      </c>
    </row>
    <row r="82" spans="1:169" x14ac:dyDescent="0.35">
      <c r="A82" s="8" t="s">
        <v>73</v>
      </c>
      <c r="B82" s="9" t="s">
        <v>144</v>
      </c>
      <c r="C82" s="10" t="s">
        <v>145</v>
      </c>
      <c r="D82" s="62">
        <f t="shared" si="98"/>
        <v>20</v>
      </c>
      <c r="E82" s="9">
        <v>5</v>
      </c>
      <c r="F82" s="9">
        <v>4</v>
      </c>
      <c r="G82" s="9">
        <v>4</v>
      </c>
      <c r="H82" s="9">
        <v>4</v>
      </c>
      <c r="I82" s="9">
        <v>4</v>
      </c>
      <c r="J82" s="9">
        <v>6</v>
      </c>
      <c r="K82" s="9">
        <v>7</v>
      </c>
      <c r="L82" s="9">
        <v>10</v>
      </c>
      <c r="M82" s="9">
        <v>10</v>
      </c>
      <c r="N82" s="9">
        <v>12</v>
      </c>
      <c r="O82" s="9">
        <v>14</v>
      </c>
      <c r="P82" s="9">
        <v>13</v>
      </c>
      <c r="Q82" s="9">
        <v>14</v>
      </c>
      <c r="R82" s="9">
        <v>11</v>
      </c>
      <c r="S82" s="9">
        <v>13</v>
      </c>
      <c r="T82" s="9">
        <v>11</v>
      </c>
      <c r="U82" s="9">
        <v>11</v>
      </c>
      <c r="V82" s="9">
        <v>13</v>
      </c>
      <c r="W82" s="9">
        <v>16</v>
      </c>
      <c r="X82" s="9">
        <v>14</v>
      </c>
      <c r="Y82" s="9">
        <v>16</v>
      </c>
      <c r="Z82" s="9">
        <v>11</v>
      </c>
      <c r="AA82" s="9">
        <v>9</v>
      </c>
      <c r="AB82" s="9">
        <v>10</v>
      </c>
      <c r="AC82" s="9">
        <v>11</v>
      </c>
      <c r="AD82" s="9">
        <v>15</v>
      </c>
      <c r="AE82" s="9">
        <v>16</v>
      </c>
      <c r="AF82" s="9">
        <v>20</v>
      </c>
      <c r="AG82" s="9">
        <v>17</v>
      </c>
      <c r="AH82" s="9">
        <v>16</v>
      </c>
      <c r="AI82" s="9">
        <v>14</v>
      </c>
      <c r="AJ82" s="9">
        <v>12</v>
      </c>
      <c r="AK82" s="9">
        <v>11</v>
      </c>
      <c r="AL82" s="9">
        <v>9</v>
      </c>
      <c r="AM82" s="9">
        <v>6</v>
      </c>
      <c r="AN82" s="9">
        <v>7</v>
      </c>
      <c r="AO82" s="9">
        <v>10</v>
      </c>
      <c r="AP82" s="9">
        <v>11</v>
      </c>
      <c r="AQ82" s="9">
        <v>8</v>
      </c>
      <c r="AR82" s="9">
        <v>9</v>
      </c>
      <c r="AS82" s="9">
        <v>8</v>
      </c>
      <c r="AT82" s="9">
        <v>11</v>
      </c>
      <c r="AU82" s="9">
        <v>7</v>
      </c>
      <c r="AV82" s="9">
        <v>6</v>
      </c>
      <c r="AW82" s="9">
        <v>7</v>
      </c>
      <c r="AX82" s="9">
        <v>7</v>
      </c>
      <c r="AY82" s="9">
        <v>9</v>
      </c>
      <c r="AZ82" s="9">
        <v>8</v>
      </c>
      <c r="BA82" s="9">
        <v>5</v>
      </c>
      <c r="BB82" s="9">
        <v>4</v>
      </c>
      <c r="BC82" s="9">
        <v>4</v>
      </c>
      <c r="BD82" s="9">
        <v>4</v>
      </c>
      <c r="BE82" s="9">
        <v>4</v>
      </c>
      <c r="BF82" s="9">
        <v>4</v>
      </c>
      <c r="BG82" s="9">
        <v>7</v>
      </c>
      <c r="BH82" s="9">
        <v>6</v>
      </c>
      <c r="BI82" s="9">
        <v>6</v>
      </c>
      <c r="BJ82" s="9">
        <v>5</v>
      </c>
      <c r="BK82" s="9">
        <v>5</v>
      </c>
      <c r="BL82" s="9">
        <v>5</v>
      </c>
      <c r="BM82" s="9">
        <v>4</v>
      </c>
      <c r="BN82" s="9">
        <v>5</v>
      </c>
      <c r="BO82" s="9">
        <v>4</v>
      </c>
      <c r="BP82" s="9">
        <v>5</v>
      </c>
      <c r="BQ82" s="9">
        <v>6</v>
      </c>
      <c r="BR82" s="9">
        <v>5</v>
      </c>
      <c r="BS82" s="9">
        <v>5</v>
      </c>
      <c r="BT82" s="9">
        <v>4</v>
      </c>
      <c r="BU82" s="9">
        <v>3</v>
      </c>
      <c r="BV82" s="9">
        <v>2</v>
      </c>
      <c r="BW82" s="9">
        <v>3</v>
      </c>
      <c r="BX82" s="9">
        <v>3</v>
      </c>
      <c r="BY82" s="9">
        <v>4</v>
      </c>
      <c r="BZ82" s="9">
        <v>5</v>
      </c>
      <c r="CA82" s="9">
        <v>3</v>
      </c>
      <c r="CB82" s="9">
        <v>2</v>
      </c>
      <c r="CC82" s="9">
        <v>2</v>
      </c>
      <c r="CD82" s="9">
        <v>3</v>
      </c>
      <c r="CE82" s="9">
        <v>2</v>
      </c>
      <c r="CF82" s="9">
        <v>2</v>
      </c>
      <c r="CG82" s="9">
        <v>3</v>
      </c>
      <c r="CH82" s="9">
        <v>4</v>
      </c>
      <c r="CI82" s="9">
        <v>3</v>
      </c>
      <c r="CJ82" s="9">
        <v>3</v>
      </c>
      <c r="CK82" s="9">
        <v>2</v>
      </c>
      <c r="CL82" s="9">
        <v>3</v>
      </c>
      <c r="CM82" s="9">
        <v>3</v>
      </c>
      <c r="CN82" s="9">
        <v>3</v>
      </c>
      <c r="CO82" s="9">
        <v>2</v>
      </c>
      <c r="CP82" s="9">
        <v>3</v>
      </c>
      <c r="CQ82" s="9">
        <v>4</v>
      </c>
      <c r="CR82" s="9">
        <v>4</v>
      </c>
      <c r="CS82" s="9">
        <v>7</v>
      </c>
      <c r="CT82" s="9">
        <v>6</v>
      </c>
      <c r="CU82" s="9">
        <v>5</v>
      </c>
      <c r="CV82" s="9">
        <v>6</v>
      </c>
      <c r="CW82" s="9">
        <v>1</v>
      </c>
      <c r="CX82" s="9">
        <v>3</v>
      </c>
      <c r="CY82" s="9">
        <v>2</v>
      </c>
      <c r="CZ82" s="9">
        <v>2</v>
      </c>
      <c r="DA82" s="9">
        <v>0</v>
      </c>
      <c r="DB82" s="9">
        <v>0</v>
      </c>
      <c r="DC82" s="9">
        <v>0</v>
      </c>
      <c r="DD82" s="9">
        <v>0</v>
      </c>
      <c r="DE82" s="9">
        <v>0</v>
      </c>
      <c r="DF82" s="9">
        <v>0</v>
      </c>
      <c r="DG82" s="9">
        <v>0</v>
      </c>
      <c r="DH82" s="9">
        <v>0</v>
      </c>
      <c r="DI82" s="9">
        <v>0</v>
      </c>
      <c r="DJ82" s="9">
        <v>0</v>
      </c>
      <c r="DK82" s="9">
        <v>0</v>
      </c>
      <c r="DL82" s="9">
        <v>0</v>
      </c>
      <c r="DM82" s="9">
        <v>0</v>
      </c>
      <c r="DN82" s="9">
        <v>0</v>
      </c>
      <c r="DO82" s="9">
        <v>1</v>
      </c>
      <c r="DP82" s="9">
        <v>1</v>
      </c>
      <c r="DQ82" s="9">
        <v>0</v>
      </c>
      <c r="DR82" s="9">
        <v>0</v>
      </c>
      <c r="DS82" s="9">
        <v>0</v>
      </c>
      <c r="DT82" s="9">
        <v>0</v>
      </c>
      <c r="DU82" s="9">
        <v>0</v>
      </c>
      <c r="DV82" s="9">
        <v>0</v>
      </c>
      <c r="DW82" s="9">
        <v>0</v>
      </c>
      <c r="DX82" s="9">
        <v>0</v>
      </c>
      <c r="DY82" s="9">
        <v>0</v>
      </c>
      <c r="DZ82" s="9">
        <v>0</v>
      </c>
      <c r="EA82" s="9">
        <v>0</v>
      </c>
      <c r="EB82" s="9">
        <v>0</v>
      </c>
      <c r="EC82" s="9">
        <v>0</v>
      </c>
      <c r="ED82" s="9">
        <v>0</v>
      </c>
      <c r="EE82" s="9">
        <v>0</v>
      </c>
      <c r="EF82" s="9">
        <v>0</v>
      </c>
      <c r="EG82" s="9">
        <v>0</v>
      </c>
      <c r="EH82" s="9">
        <v>0</v>
      </c>
      <c r="EI82" s="9">
        <v>0</v>
      </c>
      <c r="EJ82" s="9">
        <v>0</v>
      </c>
      <c r="EK82" s="9">
        <v>0</v>
      </c>
      <c r="EL82" s="9">
        <v>0</v>
      </c>
      <c r="EM82" s="9">
        <v>0</v>
      </c>
      <c r="EN82" s="9">
        <v>0</v>
      </c>
      <c r="EO82" s="9">
        <v>0</v>
      </c>
      <c r="EP82" s="9">
        <v>0</v>
      </c>
      <c r="EQ82" s="9">
        <v>0</v>
      </c>
      <c r="ER82" s="9">
        <v>0</v>
      </c>
      <c r="ES82" s="9">
        <v>0</v>
      </c>
      <c r="ET82" s="9">
        <v>0</v>
      </c>
      <c r="EU82" s="9">
        <v>0</v>
      </c>
      <c r="EV82" s="9">
        <v>0</v>
      </c>
      <c r="EW82" s="9">
        <v>0</v>
      </c>
      <c r="EX82" s="9">
        <v>0</v>
      </c>
      <c r="EY82" s="9">
        <v>0</v>
      </c>
      <c r="EZ82" s="9">
        <v>0</v>
      </c>
      <c r="FA82" s="9">
        <v>0</v>
      </c>
      <c r="FB82" s="9">
        <v>0</v>
      </c>
      <c r="FC82" s="9">
        <v>0</v>
      </c>
      <c r="FD82" s="9">
        <v>0</v>
      </c>
      <c r="FE82" s="9">
        <v>0</v>
      </c>
      <c r="FF82" s="9">
        <v>0</v>
      </c>
      <c r="FG82" s="9">
        <v>0</v>
      </c>
      <c r="FH82" s="9">
        <v>0</v>
      </c>
      <c r="FI82" s="9">
        <v>0</v>
      </c>
      <c r="FJ82" s="9">
        <v>0</v>
      </c>
      <c r="FK82" s="9">
        <v>0</v>
      </c>
      <c r="FL82" s="9">
        <v>0</v>
      </c>
      <c r="FM82" s="10">
        <v>0</v>
      </c>
    </row>
    <row r="83" spans="1:169" x14ac:dyDescent="0.35">
      <c r="A83" s="8" t="s">
        <v>73</v>
      </c>
      <c r="B83" s="9" t="s">
        <v>146</v>
      </c>
      <c r="C83" s="10" t="s">
        <v>147</v>
      </c>
      <c r="D83" s="62">
        <f t="shared" si="98"/>
        <v>312</v>
      </c>
      <c r="E83" s="9">
        <v>54</v>
      </c>
      <c r="F83" s="9">
        <v>79</v>
      </c>
      <c r="G83" s="9">
        <v>81</v>
      </c>
      <c r="H83" s="9">
        <v>84</v>
      </c>
      <c r="I83" s="9">
        <v>90</v>
      </c>
      <c r="J83" s="9">
        <v>105</v>
      </c>
      <c r="K83" s="9">
        <v>119</v>
      </c>
      <c r="L83" s="9">
        <v>125</v>
      </c>
      <c r="M83" s="9">
        <v>129</v>
      </c>
      <c r="N83" s="9">
        <v>160</v>
      </c>
      <c r="O83" s="9">
        <v>177</v>
      </c>
      <c r="P83" s="9">
        <v>190</v>
      </c>
      <c r="Q83" s="9">
        <v>187</v>
      </c>
      <c r="R83" s="9">
        <v>214</v>
      </c>
      <c r="S83" s="9">
        <v>199</v>
      </c>
      <c r="T83" s="9">
        <v>231</v>
      </c>
      <c r="U83" s="9">
        <v>228</v>
      </c>
      <c r="V83" s="9">
        <v>248</v>
      </c>
      <c r="W83" s="9">
        <v>253</v>
      </c>
      <c r="X83" s="9">
        <v>264</v>
      </c>
      <c r="Y83" s="9">
        <v>262</v>
      </c>
      <c r="Z83" s="9">
        <v>312</v>
      </c>
      <c r="AA83" s="9">
        <v>245</v>
      </c>
      <c r="AB83" s="9">
        <v>243</v>
      </c>
      <c r="AC83" s="9">
        <v>248</v>
      </c>
      <c r="AD83" s="9">
        <v>220</v>
      </c>
      <c r="AE83" s="9">
        <v>226</v>
      </c>
      <c r="AF83" s="9">
        <v>228</v>
      </c>
      <c r="AG83" s="9">
        <v>210</v>
      </c>
      <c r="AH83" s="9">
        <v>207</v>
      </c>
      <c r="AI83" s="9">
        <v>198</v>
      </c>
      <c r="AJ83" s="9">
        <v>136</v>
      </c>
      <c r="AK83" s="9">
        <v>179</v>
      </c>
      <c r="AL83" s="9">
        <v>177</v>
      </c>
      <c r="AM83" s="9">
        <v>175</v>
      </c>
      <c r="AN83" s="9">
        <v>159</v>
      </c>
      <c r="AO83" s="9">
        <v>148</v>
      </c>
      <c r="AP83" s="9">
        <v>146</v>
      </c>
      <c r="AQ83" s="9">
        <v>135</v>
      </c>
      <c r="AR83" s="9">
        <v>137</v>
      </c>
      <c r="AS83" s="9">
        <v>113</v>
      </c>
      <c r="AT83" s="9">
        <v>109</v>
      </c>
      <c r="AU83" s="9">
        <v>103</v>
      </c>
      <c r="AV83" s="9">
        <v>99</v>
      </c>
      <c r="AW83" s="9">
        <v>96</v>
      </c>
      <c r="AX83" s="9">
        <v>99</v>
      </c>
      <c r="AY83" s="9">
        <v>89</v>
      </c>
      <c r="AZ83" s="9">
        <v>82</v>
      </c>
      <c r="BA83" s="9">
        <v>74</v>
      </c>
      <c r="BB83" s="9">
        <v>67</v>
      </c>
      <c r="BC83" s="9">
        <v>60</v>
      </c>
      <c r="BD83" s="9">
        <v>55</v>
      </c>
      <c r="BE83" s="9">
        <v>54</v>
      </c>
      <c r="BF83" s="9">
        <v>50</v>
      </c>
      <c r="BG83" s="9">
        <v>41</v>
      </c>
      <c r="BH83" s="9">
        <v>37</v>
      </c>
      <c r="BI83" s="9">
        <v>36</v>
      </c>
      <c r="BJ83" s="9">
        <v>32</v>
      </c>
      <c r="BK83" s="9">
        <v>30</v>
      </c>
      <c r="BL83" s="9">
        <v>30</v>
      </c>
      <c r="BM83" s="9">
        <v>25</v>
      </c>
      <c r="BN83" s="9">
        <v>27</v>
      </c>
      <c r="BO83" s="9">
        <v>24</v>
      </c>
      <c r="BP83" s="9">
        <v>22</v>
      </c>
      <c r="BQ83" s="9">
        <v>23</v>
      </c>
      <c r="BR83" s="9">
        <v>21</v>
      </c>
      <c r="BS83" s="9">
        <v>15</v>
      </c>
      <c r="BT83" s="9">
        <v>16</v>
      </c>
      <c r="BU83" s="9">
        <v>16</v>
      </c>
      <c r="BV83" s="9">
        <v>17</v>
      </c>
      <c r="BW83" s="9">
        <v>16</v>
      </c>
      <c r="BX83" s="9">
        <v>9</v>
      </c>
      <c r="BY83" s="9">
        <v>7</v>
      </c>
      <c r="BZ83" s="9">
        <v>9</v>
      </c>
      <c r="CA83" s="9">
        <v>17</v>
      </c>
      <c r="CB83" s="9">
        <v>19</v>
      </c>
      <c r="CC83" s="9">
        <v>13</v>
      </c>
      <c r="CD83" s="9">
        <v>13</v>
      </c>
      <c r="CE83" s="9">
        <v>19</v>
      </c>
      <c r="CF83" s="9">
        <v>12</v>
      </c>
      <c r="CG83" s="9">
        <v>15</v>
      </c>
      <c r="CH83" s="9">
        <v>21</v>
      </c>
      <c r="CI83" s="9">
        <v>15</v>
      </c>
      <c r="CJ83" s="9">
        <v>12</v>
      </c>
      <c r="CK83" s="9">
        <v>18</v>
      </c>
      <c r="CL83" s="9">
        <v>19</v>
      </c>
      <c r="CM83" s="9">
        <v>19</v>
      </c>
      <c r="CN83" s="9">
        <v>5</v>
      </c>
      <c r="CO83" s="9">
        <v>4</v>
      </c>
      <c r="CP83" s="9">
        <v>3</v>
      </c>
      <c r="CQ83" s="9">
        <v>20</v>
      </c>
      <c r="CR83" s="9">
        <v>10</v>
      </c>
      <c r="CS83" s="9">
        <v>13</v>
      </c>
      <c r="CT83" s="9">
        <v>8</v>
      </c>
      <c r="CU83" s="9">
        <v>8</v>
      </c>
      <c r="CV83" s="9">
        <v>15</v>
      </c>
      <c r="CW83" s="9">
        <v>18</v>
      </c>
      <c r="CX83" s="9">
        <v>19</v>
      </c>
      <c r="CY83" s="9">
        <v>20</v>
      </c>
      <c r="CZ83" s="9">
        <v>22</v>
      </c>
      <c r="DA83" s="9">
        <v>17</v>
      </c>
      <c r="DB83" s="9">
        <v>17</v>
      </c>
      <c r="DC83" s="9">
        <v>16</v>
      </c>
      <c r="DD83" s="9">
        <v>19</v>
      </c>
      <c r="DE83" s="9">
        <v>13</v>
      </c>
      <c r="DF83" s="9">
        <v>23</v>
      </c>
      <c r="DG83" s="9">
        <v>20</v>
      </c>
      <c r="DH83" s="9">
        <v>16</v>
      </c>
      <c r="DI83" s="9">
        <v>15</v>
      </c>
      <c r="DJ83" s="9">
        <v>12</v>
      </c>
      <c r="DK83" s="9">
        <v>5</v>
      </c>
      <c r="DL83" s="9">
        <v>5</v>
      </c>
      <c r="DM83" s="9">
        <v>7</v>
      </c>
      <c r="DN83" s="9">
        <v>7</v>
      </c>
      <c r="DO83" s="9">
        <v>5</v>
      </c>
      <c r="DP83" s="9">
        <v>5</v>
      </c>
      <c r="DQ83" s="9">
        <v>6</v>
      </c>
      <c r="DR83" s="9">
        <v>3</v>
      </c>
      <c r="DS83" s="9">
        <v>4</v>
      </c>
      <c r="DT83" s="9">
        <v>3</v>
      </c>
      <c r="DU83" s="9">
        <v>3</v>
      </c>
      <c r="DV83" s="9">
        <v>3</v>
      </c>
      <c r="DW83" s="9">
        <v>2</v>
      </c>
      <c r="DX83" s="9">
        <v>3</v>
      </c>
      <c r="DY83" s="9">
        <v>3</v>
      </c>
      <c r="DZ83" s="9">
        <v>3</v>
      </c>
      <c r="EA83" s="9">
        <v>2</v>
      </c>
      <c r="EB83" s="9">
        <v>3</v>
      </c>
      <c r="EC83" s="9">
        <v>3</v>
      </c>
      <c r="ED83" s="9">
        <v>0</v>
      </c>
      <c r="EE83" s="9">
        <v>0</v>
      </c>
      <c r="EF83" s="9">
        <v>0</v>
      </c>
      <c r="EG83" s="9">
        <v>0</v>
      </c>
      <c r="EH83" s="9">
        <v>0</v>
      </c>
      <c r="EI83" s="9">
        <v>0</v>
      </c>
      <c r="EJ83" s="9">
        <v>0</v>
      </c>
      <c r="EK83" s="9">
        <v>0</v>
      </c>
      <c r="EL83" s="9">
        <v>0</v>
      </c>
      <c r="EM83" s="9">
        <v>0</v>
      </c>
      <c r="EN83" s="9">
        <v>0</v>
      </c>
      <c r="EO83" s="9">
        <v>0</v>
      </c>
      <c r="EP83" s="9">
        <v>0</v>
      </c>
      <c r="EQ83" s="9">
        <v>0</v>
      </c>
      <c r="ER83" s="9">
        <v>0</v>
      </c>
      <c r="ES83" s="9">
        <v>0</v>
      </c>
      <c r="ET83" s="9">
        <v>2</v>
      </c>
      <c r="EU83" s="9">
        <v>2</v>
      </c>
      <c r="EV83" s="9">
        <v>2</v>
      </c>
      <c r="EW83" s="9">
        <v>2</v>
      </c>
      <c r="EX83" s="9">
        <v>2</v>
      </c>
      <c r="EY83" s="9">
        <v>2</v>
      </c>
      <c r="EZ83" s="9">
        <v>3</v>
      </c>
      <c r="FA83" s="9">
        <v>1</v>
      </c>
      <c r="FB83" s="9">
        <v>1</v>
      </c>
      <c r="FC83" s="9">
        <v>1</v>
      </c>
      <c r="FD83" s="9">
        <v>1</v>
      </c>
      <c r="FE83" s="9">
        <v>1</v>
      </c>
      <c r="FF83" s="9">
        <v>1</v>
      </c>
      <c r="FG83" s="9">
        <v>1</v>
      </c>
      <c r="FH83" s="9">
        <v>3</v>
      </c>
      <c r="FI83" s="9">
        <v>3</v>
      </c>
      <c r="FJ83" s="9">
        <v>3</v>
      </c>
      <c r="FK83" s="9">
        <v>3</v>
      </c>
      <c r="FL83" s="9">
        <v>3</v>
      </c>
      <c r="FM83" s="10">
        <v>3</v>
      </c>
    </row>
    <row r="84" spans="1:169" x14ac:dyDescent="0.35">
      <c r="A84" s="8" t="s">
        <v>73</v>
      </c>
      <c r="B84" s="9" t="s">
        <v>148</v>
      </c>
      <c r="C84" s="10" t="s">
        <v>149</v>
      </c>
      <c r="D84" s="62">
        <f t="shared" si="98"/>
        <v>116</v>
      </c>
      <c r="E84" s="9">
        <v>20</v>
      </c>
      <c r="F84" s="9">
        <v>23</v>
      </c>
      <c r="G84" s="9">
        <v>26</v>
      </c>
      <c r="H84" s="9">
        <v>30</v>
      </c>
      <c r="I84" s="9">
        <v>30</v>
      </c>
      <c r="J84" s="9">
        <v>36</v>
      </c>
      <c r="K84" s="9">
        <v>39</v>
      </c>
      <c r="L84" s="9">
        <v>43</v>
      </c>
      <c r="M84" s="9">
        <v>43</v>
      </c>
      <c r="N84" s="9">
        <v>57</v>
      </c>
      <c r="O84" s="9">
        <v>56</v>
      </c>
      <c r="P84" s="9">
        <v>64</v>
      </c>
      <c r="Q84" s="9">
        <v>0</v>
      </c>
      <c r="R84" s="9">
        <v>0</v>
      </c>
      <c r="S84" s="9">
        <v>104</v>
      </c>
      <c r="T84" s="9">
        <v>116</v>
      </c>
      <c r="U84" s="9">
        <v>107</v>
      </c>
      <c r="V84" s="9">
        <v>106</v>
      </c>
      <c r="W84" s="9">
        <v>116</v>
      </c>
      <c r="X84" s="9">
        <v>104</v>
      </c>
      <c r="Y84" s="9">
        <v>98</v>
      </c>
      <c r="Z84" s="9">
        <v>101</v>
      </c>
      <c r="AA84" s="9">
        <v>99</v>
      </c>
      <c r="AB84" s="9">
        <v>90</v>
      </c>
      <c r="AC84" s="9">
        <v>95</v>
      </c>
      <c r="AD84" s="9">
        <v>88</v>
      </c>
      <c r="AE84" s="9">
        <v>95</v>
      </c>
      <c r="AF84" s="9">
        <v>87</v>
      </c>
      <c r="AG84" s="9">
        <v>82</v>
      </c>
      <c r="AH84" s="9">
        <v>73</v>
      </c>
      <c r="AI84" s="9">
        <v>63</v>
      </c>
      <c r="AJ84" s="9">
        <v>67</v>
      </c>
      <c r="AK84" s="9">
        <v>59</v>
      </c>
      <c r="AL84" s="9">
        <v>58</v>
      </c>
      <c r="AM84" s="9">
        <v>55</v>
      </c>
      <c r="AN84" s="9">
        <v>51</v>
      </c>
      <c r="AO84" s="9">
        <v>47</v>
      </c>
      <c r="AP84" s="9">
        <v>49</v>
      </c>
      <c r="AQ84" s="9">
        <v>48</v>
      </c>
      <c r="AR84" s="9">
        <v>44</v>
      </c>
      <c r="AS84" s="9">
        <v>43</v>
      </c>
      <c r="AT84" s="9">
        <v>36</v>
      </c>
      <c r="AU84" s="9">
        <v>32</v>
      </c>
      <c r="AV84" s="9">
        <v>30</v>
      </c>
      <c r="AW84" s="9">
        <v>31</v>
      </c>
      <c r="AX84" s="9">
        <v>32</v>
      </c>
      <c r="AY84" s="9">
        <v>25</v>
      </c>
      <c r="AZ84" s="9">
        <v>23</v>
      </c>
      <c r="BA84" s="9">
        <v>24</v>
      </c>
      <c r="BB84" s="9">
        <v>24</v>
      </c>
      <c r="BC84" s="9">
        <v>25</v>
      </c>
      <c r="BD84" s="9">
        <v>23</v>
      </c>
      <c r="BE84" s="9">
        <v>21</v>
      </c>
      <c r="BF84" s="9">
        <v>21</v>
      </c>
      <c r="BG84" s="9">
        <v>21</v>
      </c>
      <c r="BH84" s="9">
        <v>19</v>
      </c>
      <c r="BI84" s="9">
        <v>21</v>
      </c>
      <c r="BJ84" s="9">
        <v>20</v>
      </c>
      <c r="BK84" s="9">
        <v>21</v>
      </c>
      <c r="BL84" s="9">
        <v>20</v>
      </c>
      <c r="BM84" s="9">
        <v>17</v>
      </c>
      <c r="BN84" s="9">
        <v>20</v>
      </c>
      <c r="BO84" s="9">
        <v>18</v>
      </c>
      <c r="BP84" s="9">
        <v>15</v>
      </c>
      <c r="BQ84" s="9">
        <v>15</v>
      </c>
      <c r="BR84" s="9">
        <v>12</v>
      </c>
      <c r="BS84" s="9">
        <v>14</v>
      </c>
      <c r="BT84" s="9">
        <v>15</v>
      </c>
      <c r="BU84" s="9">
        <v>13</v>
      </c>
      <c r="BV84" s="9">
        <v>13</v>
      </c>
      <c r="BW84" s="9">
        <v>7</v>
      </c>
      <c r="BX84" s="9">
        <v>8</v>
      </c>
      <c r="BY84" s="9">
        <v>12</v>
      </c>
      <c r="BZ84" s="9">
        <v>6</v>
      </c>
      <c r="CA84" s="9">
        <v>8</v>
      </c>
      <c r="CB84" s="9">
        <v>7</v>
      </c>
      <c r="CC84" s="9">
        <v>9</v>
      </c>
      <c r="CD84" s="9">
        <v>10</v>
      </c>
      <c r="CE84" s="9">
        <v>10</v>
      </c>
      <c r="CF84" s="9">
        <v>10</v>
      </c>
      <c r="CG84" s="9">
        <v>10</v>
      </c>
      <c r="CH84" s="9">
        <v>9</v>
      </c>
      <c r="CI84" s="9">
        <v>11</v>
      </c>
      <c r="CJ84" s="9">
        <v>10</v>
      </c>
      <c r="CK84" s="9">
        <v>9</v>
      </c>
      <c r="CL84" s="9">
        <v>7</v>
      </c>
      <c r="CM84" s="9">
        <v>8</v>
      </c>
      <c r="CN84" s="9">
        <v>9</v>
      </c>
      <c r="CO84" s="9">
        <v>7</v>
      </c>
      <c r="CP84" s="9">
        <v>10</v>
      </c>
      <c r="CQ84" s="9">
        <v>7</v>
      </c>
      <c r="CR84" s="9">
        <v>6</v>
      </c>
      <c r="CS84" s="9">
        <v>7</v>
      </c>
      <c r="CT84" s="9">
        <v>6</v>
      </c>
      <c r="CU84" s="9">
        <v>6</v>
      </c>
      <c r="CV84" s="9">
        <v>5</v>
      </c>
      <c r="CW84" s="9">
        <v>3</v>
      </c>
      <c r="CX84" s="9">
        <v>3</v>
      </c>
      <c r="CY84" s="9">
        <v>3</v>
      </c>
      <c r="CZ84" s="9">
        <v>2</v>
      </c>
      <c r="DA84" s="9">
        <v>2</v>
      </c>
      <c r="DB84" s="9">
        <v>3</v>
      </c>
      <c r="DC84" s="9">
        <v>4</v>
      </c>
      <c r="DD84" s="9">
        <v>1</v>
      </c>
      <c r="DE84" s="9">
        <v>1</v>
      </c>
      <c r="DF84" s="9">
        <v>1</v>
      </c>
      <c r="DG84" s="9">
        <v>1</v>
      </c>
      <c r="DH84" s="9">
        <v>1</v>
      </c>
      <c r="DI84" s="9">
        <v>1</v>
      </c>
      <c r="DJ84" s="9">
        <v>1</v>
      </c>
      <c r="DK84" s="9">
        <v>2</v>
      </c>
      <c r="DL84" s="9">
        <v>1</v>
      </c>
      <c r="DM84" s="9">
        <v>1</v>
      </c>
      <c r="DN84" s="9">
        <v>1</v>
      </c>
      <c r="DO84" s="9">
        <v>1</v>
      </c>
      <c r="DP84" s="9">
        <v>1</v>
      </c>
      <c r="DQ84" s="9">
        <v>1</v>
      </c>
      <c r="DR84" s="9">
        <v>2</v>
      </c>
      <c r="DS84" s="9">
        <v>2</v>
      </c>
      <c r="DT84" s="9">
        <v>1</v>
      </c>
      <c r="DU84" s="9">
        <v>1</v>
      </c>
      <c r="DV84" s="9">
        <v>1</v>
      </c>
      <c r="DW84" s="9">
        <v>1</v>
      </c>
      <c r="DX84" s="9">
        <v>1</v>
      </c>
      <c r="DY84" s="9">
        <v>1</v>
      </c>
      <c r="DZ84" s="9">
        <v>1</v>
      </c>
      <c r="EA84" s="9">
        <v>0</v>
      </c>
      <c r="EB84" s="9">
        <v>0</v>
      </c>
      <c r="EC84" s="9">
        <v>0</v>
      </c>
      <c r="ED84" s="9">
        <v>0</v>
      </c>
      <c r="EE84" s="9">
        <v>0</v>
      </c>
      <c r="EF84" s="9">
        <v>1</v>
      </c>
      <c r="EG84" s="9">
        <v>1</v>
      </c>
      <c r="EH84" s="9">
        <v>1</v>
      </c>
      <c r="EI84" s="9">
        <v>1</v>
      </c>
      <c r="EJ84" s="9">
        <v>1</v>
      </c>
      <c r="EK84" s="9">
        <v>1</v>
      </c>
      <c r="EL84" s="9">
        <v>2</v>
      </c>
      <c r="EM84" s="9">
        <v>1</v>
      </c>
      <c r="EN84" s="9">
        <v>1</v>
      </c>
      <c r="EO84" s="9">
        <v>2</v>
      </c>
      <c r="EP84" s="9">
        <v>2</v>
      </c>
      <c r="EQ84" s="9">
        <v>2</v>
      </c>
      <c r="ER84" s="9">
        <v>2</v>
      </c>
      <c r="ES84" s="9">
        <v>2</v>
      </c>
      <c r="ET84" s="9">
        <v>4</v>
      </c>
      <c r="EU84" s="9">
        <v>4</v>
      </c>
      <c r="EV84" s="9">
        <v>2</v>
      </c>
      <c r="EW84" s="9">
        <v>2</v>
      </c>
      <c r="EX84" s="9">
        <v>3</v>
      </c>
      <c r="EY84" s="9">
        <v>3</v>
      </c>
      <c r="EZ84" s="9">
        <v>3</v>
      </c>
      <c r="FA84" s="9">
        <v>3</v>
      </c>
      <c r="FB84" s="9">
        <v>3</v>
      </c>
      <c r="FC84" s="9">
        <v>2</v>
      </c>
      <c r="FD84" s="9">
        <v>1</v>
      </c>
      <c r="FE84" s="9">
        <v>1</v>
      </c>
      <c r="FF84" s="9">
        <v>2</v>
      </c>
      <c r="FG84" s="9">
        <v>1</v>
      </c>
      <c r="FH84" s="9">
        <v>1</v>
      </c>
      <c r="FI84" s="9">
        <v>1</v>
      </c>
      <c r="FJ84" s="9">
        <v>1</v>
      </c>
      <c r="FK84" s="9">
        <v>2</v>
      </c>
      <c r="FL84" s="9">
        <v>1</v>
      </c>
      <c r="FM84" s="10">
        <v>2</v>
      </c>
    </row>
    <row r="85" spans="1:169" x14ac:dyDescent="0.35">
      <c r="A85" s="8" t="s">
        <v>73</v>
      </c>
      <c r="B85" s="9" t="s">
        <v>150</v>
      </c>
      <c r="C85" s="10" t="s">
        <v>151</v>
      </c>
      <c r="D85" s="62">
        <f t="shared" si="98"/>
        <v>11</v>
      </c>
      <c r="E85" s="9">
        <v>0</v>
      </c>
      <c r="F85" s="9">
        <v>11</v>
      </c>
      <c r="G85" s="9">
        <v>0</v>
      </c>
      <c r="H85" s="9">
        <v>0</v>
      </c>
      <c r="I85" s="9">
        <v>3</v>
      </c>
      <c r="J85" s="9">
        <v>5</v>
      </c>
      <c r="K85" s="9">
        <v>6</v>
      </c>
      <c r="L85" s="9">
        <v>6</v>
      </c>
      <c r="M85" s="9">
        <v>5</v>
      </c>
      <c r="N85" s="9">
        <v>6</v>
      </c>
      <c r="O85" s="9">
        <v>6</v>
      </c>
      <c r="P85" s="9">
        <v>9</v>
      </c>
      <c r="Q85" s="9">
        <v>9</v>
      </c>
      <c r="R85" s="9">
        <v>11</v>
      </c>
      <c r="S85" s="9">
        <v>10</v>
      </c>
      <c r="T85" s="9">
        <v>10</v>
      </c>
      <c r="U85" s="9">
        <v>10</v>
      </c>
      <c r="V85" s="9">
        <v>10</v>
      </c>
      <c r="W85" s="9">
        <v>10</v>
      </c>
      <c r="X85" s="9">
        <v>11</v>
      </c>
      <c r="Y85" s="9">
        <v>11</v>
      </c>
      <c r="Z85" s="9">
        <v>11</v>
      </c>
      <c r="AA85" s="9">
        <v>10</v>
      </c>
      <c r="AB85" s="9">
        <v>9</v>
      </c>
      <c r="AC85" s="9">
        <v>10</v>
      </c>
      <c r="AD85" s="9">
        <v>10</v>
      </c>
      <c r="AE85" s="9">
        <v>8</v>
      </c>
      <c r="AF85" s="9">
        <v>9</v>
      </c>
      <c r="AG85" s="9">
        <v>8</v>
      </c>
      <c r="AH85" s="9">
        <v>7</v>
      </c>
      <c r="AI85" s="9">
        <v>7</v>
      </c>
      <c r="AJ85" s="9">
        <v>9</v>
      </c>
      <c r="AK85" s="9">
        <v>9</v>
      </c>
      <c r="AL85" s="9">
        <v>11</v>
      </c>
      <c r="AM85" s="9">
        <v>9</v>
      </c>
      <c r="AN85" s="9">
        <v>9</v>
      </c>
      <c r="AO85" s="9">
        <v>8</v>
      </c>
      <c r="AP85" s="9">
        <v>6</v>
      </c>
      <c r="AQ85" s="9">
        <v>6</v>
      </c>
      <c r="AR85" s="9">
        <v>6</v>
      </c>
      <c r="AS85" s="9">
        <v>5</v>
      </c>
      <c r="AT85" s="9">
        <v>4</v>
      </c>
      <c r="AU85" s="9">
        <v>3</v>
      </c>
      <c r="AV85" s="9">
        <v>4</v>
      </c>
      <c r="AW85" s="9">
        <v>4</v>
      </c>
      <c r="AX85" s="9">
        <v>4</v>
      </c>
      <c r="AY85" s="9">
        <v>1</v>
      </c>
      <c r="AZ85" s="9">
        <v>2</v>
      </c>
      <c r="BA85" s="9">
        <v>2</v>
      </c>
      <c r="BB85" s="9">
        <v>1</v>
      </c>
      <c r="BC85" s="9">
        <v>1</v>
      </c>
      <c r="BD85" s="9">
        <v>1</v>
      </c>
      <c r="BE85" s="9">
        <v>1</v>
      </c>
      <c r="BF85" s="9">
        <v>1</v>
      </c>
      <c r="BG85" s="9">
        <v>1</v>
      </c>
      <c r="BH85" s="9">
        <v>0</v>
      </c>
      <c r="BI85" s="9">
        <v>0</v>
      </c>
      <c r="BJ85" s="9">
        <v>1</v>
      </c>
      <c r="BK85" s="9">
        <v>0</v>
      </c>
      <c r="BL85" s="9">
        <v>0</v>
      </c>
      <c r="BM85" s="9">
        <v>0</v>
      </c>
      <c r="BN85" s="9">
        <v>0</v>
      </c>
      <c r="BO85" s="9">
        <v>0</v>
      </c>
      <c r="BP85" s="9">
        <v>0</v>
      </c>
      <c r="BQ85" s="9">
        <v>0</v>
      </c>
      <c r="BR85" s="9">
        <v>0</v>
      </c>
      <c r="BS85" s="9">
        <v>0</v>
      </c>
      <c r="BT85" s="9">
        <v>0</v>
      </c>
      <c r="BU85" s="9">
        <v>0</v>
      </c>
      <c r="BV85" s="9">
        <v>0</v>
      </c>
      <c r="BW85" s="9">
        <v>0</v>
      </c>
      <c r="BX85" s="9">
        <v>0</v>
      </c>
      <c r="BY85" s="9">
        <v>0</v>
      </c>
      <c r="BZ85" s="9">
        <v>0</v>
      </c>
      <c r="CA85" s="9">
        <v>0</v>
      </c>
      <c r="CB85" s="9">
        <v>0</v>
      </c>
      <c r="CC85" s="9">
        <v>0</v>
      </c>
      <c r="CD85" s="9">
        <v>0</v>
      </c>
      <c r="CE85" s="9">
        <v>0</v>
      </c>
      <c r="CF85" s="9">
        <v>0</v>
      </c>
      <c r="CG85" s="9">
        <v>0</v>
      </c>
      <c r="CH85" s="9">
        <v>0</v>
      </c>
      <c r="CI85" s="9">
        <v>0</v>
      </c>
      <c r="CJ85" s="9">
        <v>0</v>
      </c>
      <c r="CK85" s="9">
        <v>0</v>
      </c>
      <c r="CL85" s="9">
        <v>0</v>
      </c>
      <c r="CM85" s="9">
        <v>0</v>
      </c>
      <c r="CN85" s="9">
        <v>0</v>
      </c>
      <c r="CO85" s="9">
        <v>0</v>
      </c>
      <c r="CP85" s="9">
        <v>0</v>
      </c>
      <c r="CQ85" s="9">
        <v>0</v>
      </c>
      <c r="CR85" s="9">
        <v>0</v>
      </c>
      <c r="CS85" s="9">
        <v>0</v>
      </c>
      <c r="CT85" s="9">
        <v>0</v>
      </c>
      <c r="CU85" s="9">
        <v>0</v>
      </c>
      <c r="CV85" s="9">
        <v>0</v>
      </c>
      <c r="CW85" s="9">
        <v>0</v>
      </c>
      <c r="CX85" s="9">
        <v>0</v>
      </c>
      <c r="CY85" s="9">
        <v>0</v>
      </c>
      <c r="CZ85" s="9">
        <v>0</v>
      </c>
      <c r="DA85" s="9">
        <v>0</v>
      </c>
      <c r="DB85" s="9">
        <v>0</v>
      </c>
      <c r="DC85" s="9">
        <v>0</v>
      </c>
      <c r="DD85" s="9">
        <v>0</v>
      </c>
      <c r="DE85" s="9">
        <v>0</v>
      </c>
      <c r="DF85" s="9">
        <v>0</v>
      </c>
      <c r="DG85" s="9">
        <v>0</v>
      </c>
      <c r="DH85" s="9">
        <v>0</v>
      </c>
      <c r="DI85" s="9">
        <v>0</v>
      </c>
      <c r="DJ85" s="9">
        <v>0</v>
      </c>
      <c r="DK85" s="9">
        <v>0</v>
      </c>
      <c r="DL85" s="9">
        <v>0</v>
      </c>
      <c r="DM85" s="9">
        <v>0</v>
      </c>
      <c r="DN85" s="9">
        <v>0</v>
      </c>
      <c r="DO85" s="9">
        <v>0</v>
      </c>
      <c r="DP85" s="9">
        <v>0</v>
      </c>
      <c r="DQ85" s="9">
        <v>0</v>
      </c>
      <c r="DR85" s="9">
        <v>0</v>
      </c>
      <c r="DS85" s="9">
        <v>0</v>
      </c>
      <c r="DT85" s="9">
        <v>0</v>
      </c>
      <c r="DU85" s="9">
        <v>0</v>
      </c>
      <c r="DV85" s="9">
        <v>0</v>
      </c>
      <c r="DW85" s="9">
        <v>0</v>
      </c>
      <c r="DX85" s="9">
        <v>0</v>
      </c>
      <c r="DY85" s="9">
        <v>0</v>
      </c>
      <c r="DZ85" s="9">
        <v>0</v>
      </c>
      <c r="EA85" s="9">
        <v>0</v>
      </c>
      <c r="EB85" s="9">
        <v>0</v>
      </c>
      <c r="EC85" s="9">
        <v>0</v>
      </c>
      <c r="ED85" s="9">
        <v>0</v>
      </c>
      <c r="EE85" s="9">
        <v>0</v>
      </c>
      <c r="EF85" s="9">
        <v>0</v>
      </c>
      <c r="EG85" s="9">
        <v>0</v>
      </c>
      <c r="EH85" s="9">
        <v>0</v>
      </c>
      <c r="EI85" s="9">
        <v>0</v>
      </c>
      <c r="EJ85" s="9">
        <v>0</v>
      </c>
      <c r="EK85" s="9">
        <v>0</v>
      </c>
      <c r="EL85" s="9">
        <v>0</v>
      </c>
      <c r="EM85" s="9">
        <v>0</v>
      </c>
      <c r="EN85" s="9">
        <v>0</v>
      </c>
      <c r="EO85" s="9">
        <v>0</v>
      </c>
      <c r="EP85" s="9">
        <v>0</v>
      </c>
      <c r="EQ85" s="9">
        <v>0</v>
      </c>
      <c r="ER85" s="9">
        <v>0</v>
      </c>
      <c r="ES85" s="9">
        <v>0</v>
      </c>
      <c r="ET85" s="9">
        <v>0</v>
      </c>
      <c r="EU85" s="9">
        <v>0</v>
      </c>
      <c r="EV85" s="9">
        <v>0</v>
      </c>
      <c r="EW85" s="9">
        <v>0</v>
      </c>
      <c r="EX85" s="9">
        <v>0</v>
      </c>
      <c r="EY85" s="9">
        <v>0</v>
      </c>
      <c r="EZ85" s="9">
        <v>0</v>
      </c>
      <c r="FA85" s="9">
        <v>0</v>
      </c>
      <c r="FB85" s="9">
        <v>0</v>
      </c>
      <c r="FC85" s="9">
        <v>0</v>
      </c>
      <c r="FD85" s="9">
        <v>0</v>
      </c>
      <c r="FE85" s="9">
        <v>0</v>
      </c>
      <c r="FF85" s="9">
        <v>0</v>
      </c>
      <c r="FG85" s="9">
        <v>0</v>
      </c>
      <c r="FH85" s="9">
        <v>0</v>
      </c>
      <c r="FI85" s="9">
        <v>0</v>
      </c>
      <c r="FJ85" s="9">
        <v>0</v>
      </c>
      <c r="FK85" s="9">
        <v>1</v>
      </c>
      <c r="FL85" s="9">
        <v>0</v>
      </c>
      <c r="FM85" s="10">
        <v>0</v>
      </c>
    </row>
    <row r="86" spans="1:169" x14ac:dyDescent="0.35">
      <c r="A86" s="8" t="s">
        <v>73</v>
      </c>
      <c r="B86" s="9" t="s">
        <v>152</v>
      </c>
      <c r="C86" s="10" t="s">
        <v>153</v>
      </c>
      <c r="D86" s="62">
        <f t="shared" si="98"/>
        <v>36</v>
      </c>
      <c r="E86" s="9">
        <v>0</v>
      </c>
      <c r="F86" s="9">
        <v>0</v>
      </c>
      <c r="G86" s="9">
        <v>0</v>
      </c>
      <c r="H86" s="9">
        <v>0</v>
      </c>
      <c r="I86" s="9">
        <v>0</v>
      </c>
      <c r="J86" s="9">
        <v>0</v>
      </c>
      <c r="K86" s="9">
        <v>0</v>
      </c>
      <c r="L86" s="9">
        <v>0</v>
      </c>
      <c r="M86" s="9">
        <v>0</v>
      </c>
      <c r="N86" s="9">
        <v>0</v>
      </c>
      <c r="O86" s="9">
        <v>0</v>
      </c>
      <c r="P86" s="9">
        <v>0</v>
      </c>
      <c r="Q86" s="9">
        <v>0</v>
      </c>
      <c r="R86" s="9">
        <v>0</v>
      </c>
      <c r="S86" s="9">
        <v>6</v>
      </c>
      <c r="T86" s="9">
        <v>4</v>
      </c>
      <c r="U86" s="9">
        <v>9</v>
      </c>
      <c r="V86" s="9">
        <v>11</v>
      </c>
      <c r="W86" s="9">
        <v>9</v>
      </c>
      <c r="X86" s="9">
        <v>9</v>
      </c>
      <c r="Y86" s="9">
        <v>13</v>
      </c>
      <c r="Z86" s="9">
        <v>15</v>
      </c>
      <c r="AA86" s="9">
        <v>17</v>
      </c>
      <c r="AB86" s="9">
        <v>19</v>
      </c>
      <c r="AC86" s="9">
        <v>20</v>
      </c>
      <c r="AD86" s="9">
        <v>19</v>
      </c>
      <c r="AE86" s="9">
        <v>28</v>
      </c>
      <c r="AF86" s="9">
        <v>35</v>
      </c>
      <c r="AG86" s="9">
        <v>35</v>
      </c>
      <c r="AH86" s="9">
        <v>30</v>
      </c>
      <c r="AI86" s="9">
        <v>33</v>
      </c>
      <c r="AJ86" s="9">
        <v>28</v>
      </c>
      <c r="AK86" s="9">
        <v>36</v>
      </c>
      <c r="AL86" s="9">
        <v>34</v>
      </c>
      <c r="AM86" s="9">
        <v>32</v>
      </c>
      <c r="AN86" s="9">
        <v>28</v>
      </c>
      <c r="AO86" s="9">
        <v>30</v>
      </c>
      <c r="AP86" s="9">
        <v>34</v>
      </c>
      <c r="AQ86" s="9">
        <v>33</v>
      </c>
      <c r="AR86" s="9">
        <v>33</v>
      </c>
      <c r="AS86" s="9">
        <v>27</v>
      </c>
      <c r="AT86" s="9">
        <v>27</v>
      </c>
      <c r="AU86" s="9">
        <v>27</v>
      </c>
      <c r="AV86" s="9">
        <v>13</v>
      </c>
      <c r="AW86" s="9">
        <v>11</v>
      </c>
      <c r="AX86" s="9">
        <v>11</v>
      </c>
      <c r="AY86" s="9">
        <v>11</v>
      </c>
      <c r="AZ86" s="9">
        <v>9</v>
      </c>
      <c r="BA86" s="9">
        <v>5</v>
      </c>
      <c r="BB86" s="9">
        <v>8</v>
      </c>
      <c r="BC86" s="9">
        <v>6</v>
      </c>
      <c r="BD86" s="9">
        <v>5</v>
      </c>
      <c r="BE86" s="9">
        <v>7</v>
      </c>
      <c r="BF86" s="9">
        <v>7</v>
      </c>
      <c r="BG86" s="9">
        <v>4</v>
      </c>
      <c r="BH86" s="9">
        <v>6</v>
      </c>
      <c r="BI86" s="9">
        <v>4</v>
      </c>
      <c r="BJ86" s="9">
        <v>4</v>
      </c>
      <c r="BK86" s="9">
        <v>4</v>
      </c>
      <c r="BL86" s="9">
        <v>4</v>
      </c>
      <c r="BM86" s="9">
        <v>4</v>
      </c>
      <c r="BN86" s="9">
        <v>1</v>
      </c>
      <c r="BO86" s="9">
        <v>1</v>
      </c>
      <c r="BP86" s="9">
        <v>1</v>
      </c>
      <c r="BQ86" s="9">
        <v>1</v>
      </c>
      <c r="BR86" s="9">
        <v>1</v>
      </c>
      <c r="BS86" s="9">
        <v>2</v>
      </c>
      <c r="BT86" s="9">
        <v>2</v>
      </c>
      <c r="BU86" s="9">
        <v>2</v>
      </c>
      <c r="BV86" s="9">
        <v>1</v>
      </c>
      <c r="BW86" s="9">
        <v>1</v>
      </c>
      <c r="BX86" s="9">
        <v>1</v>
      </c>
      <c r="BY86" s="9">
        <v>0</v>
      </c>
      <c r="BZ86" s="9">
        <v>0</v>
      </c>
      <c r="CA86" s="9">
        <v>0</v>
      </c>
      <c r="CB86" s="9">
        <v>0</v>
      </c>
      <c r="CC86" s="9">
        <v>1</v>
      </c>
      <c r="CD86" s="9">
        <v>0</v>
      </c>
      <c r="CE86" s="9">
        <v>1</v>
      </c>
      <c r="CF86" s="9">
        <v>1</v>
      </c>
      <c r="CG86" s="9">
        <v>1</v>
      </c>
      <c r="CH86" s="9">
        <v>0</v>
      </c>
      <c r="CI86" s="9">
        <v>0</v>
      </c>
      <c r="CJ86" s="9">
        <v>2</v>
      </c>
      <c r="CK86" s="9">
        <v>1</v>
      </c>
      <c r="CL86" s="9">
        <v>1</v>
      </c>
      <c r="CM86" s="9">
        <v>1</v>
      </c>
      <c r="CN86" s="9">
        <v>1</v>
      </c>
      <c r="CO86" s="9">
        <v>1</v>
      </c>
      <c r="CP86" s="9">
        <v>0</v>
      </c>
      <c r="CQ86" s="9">
        <v>0</v>
      </c>
      <c r="CR86" s="9">
        <v>0</v>
      </c>
      <c r="CS86" s="9">
        <v>0</v>
      </c>
      <c r="CT86" s="9">
        <v>0</v>
      </c>
      <c r="CU86" s="9">
        <v>0</v>
      </c>
      <c r="CV86" s="9">
        <v>0</v>
      </c>
      <c r="CW86" s="9">
        <v>0</v>
      </c>
      <c r="CX86" s="9">
        <v>0</v>
      </c>
      <c r="CY86" s="9">
        <v>0</v>
      </c>
      <c r="CZ86" s="9">
        <v>0</v>
      </c>
      <c r="DA86" s="9">
        <v>0</v>
      </c>
      <c r="DB86" s="9">
        <v>0</v>
      </c>
      <c r="DC86" s="9">
        <v>0</v>
      </c>
      <c r="DD86" s="9">
        <v>0</v>
      </c>
      <c r="DE86" s="9">
        <v>0</v>
      </c>
      <c r="DF86" s="9">
        <v>0</v>
      </c>
      <c r="DG86" s="9">
        <v>0</v>
      </c>
      <c r="DH86" s="9">
        <v>0</v>
      </c>
      <c r="DI86" s="9">
        <v>0</v>
      </c>
      <c r="DJ86" s="9">
        <v>0</v>
      </c>
      <c r="DK86" s="9">
        <v>0</v>
      </c>
      <c r="DL86" s="9">
        <v>0</v>
      </c>
      <c r="DM86" s="9">
        <v>0</v>
      </c>
      <c r="DN86" s="9">
        <v>0</v>
      </c>
      <c r="DO86" s="9">
        <v>0</v>
      </c>
      <c r="DP86" s="9">
        <v>0</v>
      </c>
      <c r="DQ86" s="9">
        <v>0</v>
      </c>
      <c r="DR86" s="9">
        <v>0</v>
      </c>
      <c r="DS86" s="9">
        <v>0</v>
      </c>
      <c r="DT86" s="9">
        <v>0</v>
      </c>
      <c r="DU86" s="9">
        <v>0</v>
      </c>
      <c r="DV86" s="9">
        <v>0</v>
      </c>
      <c r="DW86" s="9">
        <v>0</v>
      </c>
      <c r="DX86" s="9">
        <v>0</v>
      </c>
      <c r="DY86" s="9">
        <v>0</v>
      </c>
      <c r="DZ86" s="9">
        <v>0</v>
      </c>
      <c r="EA86" s="9">
        <v>0</v>
      </c>
      <c r="EB86" s="9">
        <v>0</v>
      </c>
      <c r="EC86" s="9">
        <v>0</v>
      </c>
      <c r="ED86" s="9">
        <v>0</v>
      </c>
      <c r="EE86" s="9">
        <v>0</v>
      </c>
      <c r="EF86" s="9">
        <v>0</v>
      </c>
      <c r="EG86" s="9">
        <v>0</v>
      </c>
      <c r="EH86" s="9">
        <v>0</v>
      </c>
      <c r="EI86" s="9">
        <v>0</v>
      </c>
      <c r="EJ86" s="9">
        <v>0</v>
      </c>
      <c r="EK86" s="9">
        <v>0</v>
      </c>
      <c r="EL86" s="9">
        <v>0</v>
      </c>
      <c r="EM86" s="9">
        <v>0</v>
      </c>
      <c r="EN86" s="9">
        <v>0</v>
      </c>
      <c r="EO86" s="9">
        <v>0</v>
      </c>
      <c r="EP86" s="9">
        <v>0</v>
      </c>
      <c r="EQ86" s="9">
        <v>0</v>
      </c>
      <c r="ER86" s="9">
        <v>0</v>
      </c>
      <c r="ES86" s="9">
        <v>0</v>
      </c>
      <c r="ET86" s="9">
        <v>0</v>
      </c>
      <c r="EU86" s="9">
        <v>0</v>
      </c>
      <c r="EV86" s="9">
        <v>0</v>
      </c>
      <c r="EW86" s="9">
        <v>0</v>
      </c>
      <c r="EX86" s="9">
        <v>0</v>
      </c>
      <c r="EY86" s="9">
        <v>0</v>
      </c>
      <c r="EZ86" s="9">
        <v>0</v>
      </c>
      <c r="FA86" s="9">
        <v>0</v>
      </c>
      <c r="FB86" s="9">
        <v>0</v>
      </c>
      <c r="FC86" s="9">
        <v>0</v>
      </c>
      <c r="FD86" s="9">
        <v>0</v>
      </c>
      <c r="FE86" s="9">
        <v>0</v>
      </c>
      <c r="FF86" s="9">
        <v>0</v>
      </c>
      <c r="FG86" s="9">
        <v>0</v>
      </c>
      <c r="FH86" s="9">
        <v>0</v>
      </c>
      <c r="FI86" s="9">
        <v>0</v>
      </c>
      <c r="FJ86" s="9">
        <v>0</v>
      </c>
      <c r="FK86" s="9">
        <v>0</v>
      </c>
      <c r="FL86" s="9">
        <v>0</v>
      </c>
      <c r="FM86" s="10">
        <v>0</v>
      </c>
    </row>
    <row r="87" spans="1:169" x14ac:dyDescent="0.35">
      <c r="A87" s="8" t="s">
        <v>73</v>
      </c>
      <c r="B87" s="9" t="s">
        <v>154</v>
      </c>
      <c r="C87" s="10" t="s">
        <v>155</v>
      </c>
      <c r="D87" s="62">
        <f t="shared" si="98"/>
        <v>186</v>
      </c>
      <c r="E87" s="9">
        <v>70</v>
      </c>
      <c r="F87" s="9">
        <v>47</v>
      </c>
      <c r="G87" s="9">
        <v>58</v>
      </c>
      <c r="H87" s="9">
        <v>132</v>
      </c>
      <c r="I87" s="9">
        <v>72</v>
      </c>
      <c r="J87" s="9">
        <v>97</v>
      </c>
      <c r="K87" s="9">
        <v>109</v>
      </c>
      <c r="L87" s="9">
        <v>114</v>
      </c>
      <c r="M87" s="9">
        <v>105</v>
      </c>
      <c r="N87" s="9">
        <v>124</v>
      </c>
      <c r="O87" s="9">
        <v>104</v>
      </c>
      <c r="P87" s="9">
        <v>106</v>
      </c>
      <c r="Q87" s="9">
        <v>142</v>
      </c>
      <c r="R87" s="9">
        <v>147</v>
      </c>
      <c r="S87" s="9">
        <v>164</v>
      </c>
      <c r="T87" s="9">
        <v>177</v>
      </c>
      <c r="U87" s="9">
        <v>174</v>
      </c>
      <c r="V87" s="9">
        <v>186</v>
      </c>
      <c r="W87" s="9">
        <v>174</v>
      </c>
      <c r="X87" s="9">
        <v>179</v>
      </c>
      <c r="Y87" s="9">
        <v>179</v>
      </c>
      <c r="Z87" s="9">
        <v>179</v>
      </c>
      <c r="AA87" s="9">
        <v>170</v>
      </c>
      <c r="AB87" s="9">
        <v>160</v>
      </c>
      <c r="AC87" s="9">
        <v>155</v>
      </c>
      <c r="AD87" s="9">
        <v>139</v>
      </c>
      <c r="AE87" s="9">
        <v>152</v>
      </c>
      <c r="AF87" s="9">
        <v>139</v>
      </c>
      <c r="AG87" s="9">
        <v>134</v>
      </c>
      <c r="AH87" s="9">
        <v>138</v>
      </c>
      <c r="AI87" s="9">
        <v>129</v>
      </c>
      <c r="AJ87" s="9">
        <v>124</v>
      </c>
      <c r="AK87" s="9">
        <v>118</v>
      </c>
      <c r="AL87" s="9">
        <v>113</v>
      </c>
      <c r="AM87" s="9">
        <v>104</v>
      </c>
      <c r="AN87" s="9">
        <v>107</v>
      </c>
      <c r="AO87" s="9">
        <v>104</v>
      </c>
      <c r="AP87" s="9">
        <v>102</v>
      </c>
      <c r="AQ87" s="9">
        <v>95</v>
      </c>
      <c r="AR87" s="9">
        <v>94</v>
      </c>
      <c r="AS87" s="9">
        <v>93</v>
      </c>
      <c r="AT87" s="9">
        <v>93</v>
      </c>
      <c r="AU87" s="9">
        <v>92</v>
      </c>
      <c r="AV87" s="9">
        <v>83</v>
      </c>
      <c r="AW87" s="9">
        <v>78</v>
      </c>
      <c r="AX87" s="9">
        <v>77</v>
      </c>
      <c r="AY87" s="9">
        <v>79</v>
      </c>
      <c r="AZ87" s="9">
        <v>76</v>
      </c>
      <c r="BA87" s="9">
        <v>76</v>
      </c>
      <c r="BB87" s="9">
        <v>77</v>
      </c>
      <c r="BC87" s="9">
        <v>75</v>
      </c>
      <c r="BD87" s="9">
        <v>76</v>
      </c>
      <c r="BE87" s="9">
        <v>71</v>
      </c>
      <c r="BF87" s="9">
        <v>70</v>
      </c>
      <c r="BG87" s="9">
        <v>66</v>
      </c>
      <c r="BH87" s="9">
        <v>64</v>
      </c>
      <c r="BI87" s="9">
        <v>58</v>
      </c>
      <c r="BJ87" s="9">
        <v>52</v>
      </c>
      <c r="BK87" s="9">
        <v>49</v>
      </c>
      <c r="BL87" s="9">
        <v>49</v>
      </c>
      <c r="BM87" s="9">
        <v>50</v>
      </c>
      <c r="BN87" s="9">
        <v>52</v>
      </c>
      <c r="BO87" s="9">
        <v>22</v>
      </c>
      <c r="BP87" s="9">
        <v>46</v>
      </c>
      <c r="BQ87" s="9">
        <v>41</v>
      </c>
      <c r="BR87" s="9">
        <v>40</v>
      </c>
      <c r="BS87" s="9">
        <v>39</v>
      </c>
      <c r="BT87" s="9">
        <v>42</v>
      </c>
      <c r="BU87" s="9">
        <v>43</v>
      </c>
      <c r="BV87" s="9">
        <v>39</v>
      </c>
      <c r="BW87" s="9">
        <v>36</v>
      </c>
      <c r="BX87" s="9">
        <v>35</v>
      </c>
      <c r="BY87" s="9">
        <v>35</v>
      </c>
      <c r="BZ87" s="9">
        <v>32</v>
      </c>
      <c r="CA87" s="9">
        <v>33</v>
      </c>
      <c r="CB87" s="9">
        <v>33</v>
      </c>
      <c r="CC87" s="9">
        <v>31</v>
      </c>
      <c r="CD87" s="9">
        <v>29</v>
      </c>
      <c r="CE87" s="9">
        <v>24</v>
      </c>
      <c r="CF87" s="9">
        <v>26</v>
      </c>
      <c r="CG87" s="9">
        <v>25</v>
      </c>
      <c r="CH87" s="9">
        <v>23</v>
      </c>
      <c r="CI87" s="9">
        <v>23</v>
      </c>
      <c r="CJ87" s="9">
        <v>19</v>
      </c>
      <c r="CK87" s="9">
        <v>17</v>
      </c>
      <c r="CL87" s="9">
        <v>17</v>
      </c>
      <c r="CM87" s="9">
        <v>17</v>
      </c>
      <c r="CN87" s="9">
        <v>17</v>
      </c>
      <c r="CO87" s="9">
        <v>19</v>
      </c>
      <c r="CP87" s="9">
        <v>18</v>
      </c>
      <c r="CQ87" s="9">
        <v>20</v>
      </c>
      <c r="CR87" s="9">
        <v>20</v>
      </c>
      <c r="CS87" s="9">
        <v>15</v>
      </c>
      <c r="CT87" s="9">
        <v>20</v>
      </c>
      <c r="CU87" s="9">
        <v>18</v>
      </c>
      <c r="CV87" s="9">
        <v>25</v>
      </c>
      <c r="CW87" s="9">
        <v>26</v>
      </c>
      <c r="CX87" s="9">
        <v>21</v>
      </c>
      <c r="CY87" s="9">
        <v>19</v>
      </c>
      <c r="CZ87" s="9">
        <v>19</v>
      </c>
      <c r="DA87" s="9">
        <v>16</v>
      </c>
      <c r="DB87" s="9">
        <v>18</v>
      </c>
      <c r="DC87" s="9">
        <v>16</v>
      </c>
      <c r="DD87" s="9">
        <v>16</v>
      </c>
      <c r="DE87" s="9">
        <v>16</v>
      </c>
      <c r="DF87" s="9">
        <v>18</v>
      </c>
      <c r="DG87" s="9">
        <v>17</v>
      </c>
      <c r="DH87" s="9">
        <v>15</v>
      </c>
      <c r="DI87" s="9">
        <v>15</v>
      </c>
      <c r="DJ87" s="9">
        <v>16</v>
      </c>
      <c r="DK87" s="9">
        <v>15</v>
      </c>
      <c r="DL87" s="9">
        <v>15</v>
      </c>
      <c r="DM87" s="9">
        <v>13</v>
      </c>
      <c r="DN87" s="9">
        <v>12</v>
      </c>
      <c r="DO87" s="9">
        <v>12</v>
      </c>
      <c r="DP87" s="9">
        <v>12</v>
      </c>
      <c r="DQ87" s="9">
        <v>12</v>
      </c>
      <c r="DR87" s="9">
        <v>11</v>
      </c>
      <c r="DS87" s="9">
        <v>10</v>
      </c>
      <c r="DT87" s="9">
        <v>9</v>
      </c>
      <c r="DU87" s="9">
        <v>8</v>
      </c>
      <c r="DV87" s="9">
        <v>8</v>
      </c>
      <c r="DW87" s="9">
        <v>9</v>
      </c>
      <c r="DX87" s="9">
        <v>11</v>
      </c>
      <c r="DY87" s="9">
        <v>11</v>
      </c>
      <c r="DZ87" s="9">
        <v>11</v>
      </c>
      <c r="EA87" s="9">
        <v>9</v>
      </c>
      <c r="EB87" s="9">
        <v>9</v>
      </c>
      <c r="EC87" s="9">
        <v>9</v>
      </c>
      <c r="ED87" s="9">
        <v>10</v>
      </c>
      <c r="EE87" s="9">
        <v>10</v>
      </c>
      <c r="EF87" s="9">
        <v>8</v>
      </c>
      <c r="EG87" s="9">
        <v>15</v>
      </c>
      <c r="EH87" s="9">
        <v>6</v>
      </c>
      <c r="EI87" s="9">
        <v>6</v>
      </c>
      <c r="EJ87" s="9">
        <v>5</v>
      </c>
      <c r="EK87" s="9">
        <v>5</v>
      </c>
      <c r="EL87" s="9">
        <v>7</v>
      </c>
      <c r="EM87" s="9">
        <v>5</v>
      </c>
      <c r="EN87" s="9">
        <v>6</v>
      </c>
      <c r="EO87" s="9">
        <v>6</v>
      </c>
      <c r="EP87" s="9">
        <v>8</v>
      </c>
      <c r="EQ87" s="9">
        <v>8</v>
      </c>
      <c r="ER87" s="9">
        <v>8</v>
      </c>
      <c r="ES87" s="9">
        <v>8</v>
      </c>
      <c r="ET87" s="9">
        <v>15</v>
      </c>
      <c r="EU87" s="9">
        <v>6</v>
      </c>
      <c r="EV87" s="9">
        <v>6</v>
      </c>
      <c r="EW87" s="9">
        <v>5</v>
      </c>
      <c r="EX87" s="9">
        <v>7</v>
      </c>
      <c r="EY87" s="9">
        <v>8</v>
      </c>
      <c r="EZ87" s="9">
        <v>6</v>
      </c>
      <c r="FA87" s="9">
        <v>7</v>
      </c>
      <c r="FB87" s="9">
        <v>6</v>
      </c>
      <c r="FC87" s="9">
        <v>6</v>
      </c>
      <c r="FD87" s="9">
        <v>6</v>
      </c>
      <c r="FE87" s="9">
        <v>6</v>
      </c>
      <c r="FF87" s="9">
        <v>5</v>
      </c>
      <c r="FG87" s="9">
        <v>5</v>
      </c>
      <c r="FH87" s="9">
        <v>5</v>
      </c>
      <c r="FI87" s="9">
        <v>5</v>
      </c>
      <c r="FJ87" s="9">
        <v>4</v>
      </c>
      <c r="FK87" s="9">
        <v>4</v>
      </c>
      <c r="FL87" s="9">
        <v>4</v>
      </c>
      <c r="FM87" s="10">
        <v>4</v>
      </c>
    </row>
    <row r="88" spans="1:169" x14ac:dyDescent="0.35">
      <c r="A88" s="8" t="s">
        <v>73</v>
      </c>
      <c r="B88" s="9" t="s">
        <v>156</v>
      </c>
      <c r="C88" s="10" t="s">
        <v>157</v>
      </c>
      <c r="D88" s="62">
        <f t="shared" si="98"/>
        <v>117</v>
      </c>
      <c r="E88" s="9">
        <v>13</v>
      </c>
      <c r="F88" s="9">
        <v>5</v>
      </c>
      <c r="G88" s="9">
        <v>16</v>
      </c>
      <c r="H88" s="9">
        <v>20</v>
      </c>
      <c r="I88" s="9">
        <v>27</v>
      </c>
      <c r="J88" s="9">
        <v>30</v>
      </c>
      <c r="K88" s="9">
        <v>36</v>
      </c>
      <c r="L88" s="9">
        <v>42</v>
      </c>
      <c r="M88" s="9">
        <v>45</v>
      </c>
      <c r="N88" s="9">
        <v>54</v>
      </c>
      <c r="O88" s="9">
        <v>57</v>
      </c>
      <c r="P88" s="9">
        <v>60</v>
      </c>
      <c r="Q88" s="9">
        <v>68</v>
      </c>
      <c r="R88" s="9">
        <v>0</v>
      </c>
      <c r="S88" s="9">
        <v>72</v>
      </c>
      <c r="T88" s="9">
        <v>77</v>
      </c>
      <c r="U88" s="9">
        <v>82</v>
      </c>
      <c r="V88" s="9">
        <v>87</v>
      </c>
      <c r="W88" s="9">
        <v>88</v>
      </c>
      <c r="X88" s="9">
        <v>91</v>
      </c>
      <c r="Y88" s="9">
        <v>97</v>
      </c>
      <c r="Z88" s="9">
        <v>93</v>
      </c>
      <c r="AA88" s="9">
        <v>92</v>
      </c>
      <c r="AB88" s="9">
        <v>96</v>
      </c>
      <c r="AC88" s="9">
        <v>103</v>
      </c>
      <c r="AD88" s="9">
        <v>108</v>
      </c>
      <c r="AE88" s="9">
        <v>110</v>
      </c>
      <c r="AF88" s="9">
        <v>110</v>
      </c>
      <c r="AG88" s="9">
        <v>111</v>
      </c>
      <c r="AH88" s="9">
        <v>117</v>
      </c>
      <c r="AI88" s="9">
        <v>116</v>
      </c>
      <c r="AJ88" s="9">
        <v>112</v>
      </c>
      <c r="AK88" s="9">
        <v>112</v>
      </c>
      <c r="AL88" s="9">
        <v>107</v>
      </c>
      <c r="AM88" s="9">
        <v>102</v>
      </c>
      <c r="AN88" s="9">
        <v>99</v>
      </c>
      <c r="AO88" s="9">
        <v>95</v>
      </c>
      <c r="AP88" s="9">
        <v>93</v>
      </c>
      <c r="AQ88" s="9">
        <v>93</v>
      </c>
      <c r="AR88" s="9">
        <v>90</v>
      </c>
      <c r="AS88" s="9">
        <v>90</v>
      </c>
      <c r="AT88" s="9">
        <v>85</v>
      </c>
      <c r="AU88" s="9">
        <v>81</v>
      </c>
      <c r="AV88" s="9">
        <v>80</v>
      </c>
      <c r="AW88" s="9">
        <v>75</v>
      </c>
      <c r="AX88" s="9">
        <v>70</v>
      </c>
      <c r="AY88" s="9">
        <v>67</v>
      </c>
      <c r="AZ88" s="9">
        <v>63</v>
      </c>
      <c r="BA88" s="9">
        <v>58</v>
      </c>
      <c r="BB88" s="9">
        <v>53</v>
      </c>
      <c r="BC88" s="9">
        <v>51</v>
      </c>
      <c r="BD88" s="9">
        <v>51</v>
      </c>
      <c r="BE88" s="9">
        <v>50</v>
      </c>
      <c r="BF88" s="9">
        <v>50</v>
      </c>
      <c r="BG88" s="9">
        <v>49</v>
      </c>
      <c r="BH88" s="9">
        <v>43</v>
      </c>
      <c r="BI88" s="9">
        <v>42</v>
      </c>
      <c r="BJ88" s="9">
        <v>42</v>
      </c>
      <c r="BK88" s="9">
        <v>40</v>
      </c>
      <c r="BL88" s="9">
        <v>40</v>
      </c>
      <c r="BM88" s="9">
        <v>40</v>
      </c>
      <c r="BN88" s="9">
        <v>40</v>
      </c>
      <c r="BO88" s="9">
        <v>37</v>
      </c>
      <c r="BP88" s="9">
        <v>36</v>
      </c>
      <c r="BQ88" s="9">
        <v>32</v>
      </c>
      <c r="BR88" s="9">
        <v>33</v>
      </c>
      <c r="BS88" s="9">
        <v>31</v>
      </c>
      <c r="BT88" s="9">
        <v>31</v>
      </c>
      <c r="BU88" s="9">
        <v>31</v>
      </c>
      <c r="BV88" s="9">
        <v>31</v>
      </c>
      <c r="BW88" s="9">
        <v>30</v>
      </c>
      <c r="BX88" s="9">
        <v>29</v>
      </c>
      <c r="BY88" s="9">
        <v>28</v>
      </c>
      <c r="BZ88" s="9">
        <v>27</v>
      </c>
      <c r="CA88" s="9">
        <v>27</v>
      </c>
      <c r="CB88" s="9">
        <v>26</v>
      </c>
      <c r="CC88" s="9">
        <v>26</v>
      </c>
      <c r="CD88" s="9">
        <v>25</v>
      </c>
      <c r="CE88" s="9">
        <v>24</v>
      </c>
      <c r="CF88" s="9">
        <v>24</v>
      </c>
      <c r="CG88" s="9">
        <v>25</v>
      </c>
      <c r="CH88" s="9">
        <v>24</v>
      </c>
      <c r="CI88" s="9">
        <v>25</v>
      </c>
      <c r="CJ88" s="9">
        <v>20</v>
      </c>
      <c r="CK88" s="9">
        <v>20</v>
      </c>
      <c r="CL88" s="9">
        <v>20</v>
      </c>
      <c r="CM88" s="9">
        <v>18</v>
      </c>
      <c r="CN88" s="9">
        <v>18</v>
      </c>
      <c r="CO88" s="9">
        <v>18</v>
      </c>
      <c r="CP88" s="9">
        <v>17</v>
      </c>
      <c r="CQ88" s="9">
        <v>15</v>
      </c>
      <c r="CR88" s="9">
        <v>15</v>
      </c>
      <c r="CS88" s="9">
        <v>15</v>
      </c>
      <c r="CT88" s="9">
        <v>16</v>
      </c>
      <c r="CU88" s="9">
        <v>13</v>
      </c>
      <c r="CV88" s="9">
        <v>13</v>
      </c>
      <c r="CW88" s="9">
        <v>12</v>
      </c>
      <c r="CX88" s="9">
        <v>12</v>
      </c>
      <c r="CY88" s="9">
        <v>11</v>
      </c>
      <c r="CZ88" s="9">
        <v>11</v>
      </c>
      <c r="DA88" s="9">
        <v>11</v>
      </c>
      <c r="DB88" s="9">
        <v>11</v>
      </c>
      <c r="DC88" s="9">
        <v>11</v>
      </c>
      <c r="DD88" s="9">
        <v>11</v>
      </c>
      <c r="DE88" s="9">
        <v>10</v>
      </c>
      <c r="DF88" s="9">
        <v>11</v>
      </c>
      <c r="DG88" s="9">
        <v>9</v>
      </c>
      <c r="DH88" s="9">
        <v>9</v>
      </c>
      <c r="DI88" s="9">
        <v>9</v>
      </c>
      <c r="DJ88" s="9">
        <v>8</v>
      </c>
      <c r="DK88" s="9">
        <v>8</v>
      </c>
      <c r="DL88" s="9">
        <v>9</v>
      </c>
      <c r="DM88" s="9">
        <v>8</v>
      </c>
      <c r="DN88" s="9">
        <v>8</v>
      </c>
      <c r="DO88" s="9">
        <v>8</v>
      </c>
      <c r="DP88" s="9">
        <v>8</v>
      </c>
      <c r="DQ88" s="9">
        <v>8</v>
      </c>
      <c r="DR88" s="9">
        <v>8</v>
      </c>
      <c r="DS88" s="9">
        <v>8</v>
      </c>
      <c r="DT88" s="9">
        <v>8</v>
      </c>
      <c r="DU88" s="9">
        <v>8</v>
      </c>
      <c r="DV88" s="9">
        <v>8</v>
      </c>
      <c r="DW88" s="9">
        <v>8</v>
      </c>
      <c r="DX88" s="9">
        <v>7</v>
      </c>
      <c r="DY88" s="9">
        <v>7</v>
      </c>
      <c r="DZ88" s="9">
        <v>7</v>
      </c>
      <c r="EA88" s="9">
        <v>7</v>
      </c>
      <c r="EB88" s="9">
        <v>7</v>
      </c>
      <c r="EC88" s="9">
        <v>7</v>
      </c>
      <c r="ED88" s="9">
        <v>7</v>
      </c>
      <c r="EE88" s="9">
        <v>7</v>
      </c>
      <c r="EF88" s="9">
        <v>7</v>
      </c>
      <c r="EG88" s="9">
        <v>7</v>
      </c>
      <c r="EH88" s="9">
        <v>7</v>
      </c>
      <c r="EI88" s="9">
        <v>7</v>
      </c>
      <c r="EJ88" s="9">
        <v>7</v>
      </c>
      <c r="EK88" s="9">
        <v>7</v>
      </c>
      <c r="EL88" s="9">
        <v>7</v>
      </c>
      <c r="EM88" s="9">
        <v>7</v>
      </c>
      <c r="EN88" s="9">
        <v>6</v>
      </c>
      <c r="EO88" s="9">
        <v>5</v>
      </c>
      <c r="EP88" s="9">
        <v>5</v>
      </c>
      <c r="EQ88" s="9">
        <v>5</v>
      </c>
      <c r="ER88" s="9">
        <v>5</v>
      </c>
      <c r="ES88" s="9">
        <v>5</v>
      </c>
      <c r="ET88" s="9">
        <v>5</v>
      </c>
      <c r="EU88" s="9">
        <v>5</v>
      </c>
      <c r="EV88" s="9">
        <v>5</v>
      </c>
      <c r="EW88" s="9">
        <v>5</v>
      </c>
      <c r="EX88" s="9">
        <v>5</v>
      </c>
      <c r="EY88" s="9">
        <v>4</v>
      </c>
      <c r="EZ88" s="9">
        <v>4</v>
      </c>
      <c r="FA88" s="9">
        <v>4</v>
      </c>
      <c r="FB88" s="9">
        <v>4</v>
      </c>
      <c r="FC88" s="9">
        <v>4</v>
      </c>
      <c r="FD88" s="9">
        <v>4</v>
      </c>
      <c r="FE88" s="9">
        <v>4</v>
      </c>
      <c r="FF88" s="9">
        <v>4</v>
      </c>
      <c r="FG88" s="9">
        <v>4</v>
      </c>
      <c r="FH88" s="9">
        <v>4</v>
      </c>
      <c r="FI88" s="9">
        <v>5</v>
      </c>
      <c r="FJ88" s="9">
        <v>5</v>
      </c>
      <c r="FK88" s="9">
        <v>5</v>
      </c>
      <c r="FL88" s="9">
        <v>5</v>
      </c>
      <c r="FM88" s="10">
        <v>5</v>
      </c>
    </row>
    <row r="89" spans="1:169" x14ac:dyDescent="0.35">
      <c r="A89" s="8" t="s">
        <v>73</v>
      </c>
      <c r="B89" s="9" t="s">
        <v>158</v>
      </c>
      <c r="C89" s="10" t="s">
        <v>159</v>
      </c>
      <c r="D89" s="62">
        <f t="shared" si="98"/>
        <v>76</v>
      </c>
      <c r="E89" s="9">
        <v>0</v>
      </c>
      <c r="F89" s="9">
        <v>0</v>
      </c>
      <c r="G89" s="9">
        <v>0</v>
      </c>
      <c r="H89" s="9">
        <v>0</v>
      </c>
      <c r="I89" s="9">
        <v>0</v>
      </c>
      <c r="J89" s="9">
        <v>0</v>
      </c>
      <c r="K89" s="9">
        <v>0</v>
      </c>
      <c r="L89" s="9">
        <v>0</v>
      </c>
      <c r="M89" s="9">
        <v>0</v>
      </c>
      <c r="N89" s="9">
        <v>0</v>
      </c>
      <c r="O89" s="9">
        <v>0</v>
      </c>
      <c r="P89" s="9">
        <v>1</v>
      </c>
      <c r="Q89" s="9">
        <v>1</v>
      </c>
      <c r="R89" s="9">
        <v>19</v>
      </c>
      <c r="S89" s="9">
        <v>20</v>
      </c>
      <c r="T89" s="9">
        <v>26</v>
      </c>
      <c r="U89" s="9">
        <v>29</v>
      </c>
      <c r="V89" s="9">
        <v>36</v>
      </c>
      <c r="W89" s="9">
        <v>35</v>
      </c>
      <c r="X89" s="9">
        <v>43</v>
      </c>
      <c r="Y89" s="9">
        <v>34</v>
      </c>
      <c r="Z89" s="9">
        <v>36</v>
      </c>
      <c r="AA89" s="9">
        <v>38</v>
      </c>
      <c r="AB89" s="9">
        <v>37</v>
      </c>
      <c r="AC89" s="9">
        <v>38</v>
      </c>
      <c r="AD89" s="9">
        <v>44</v>
      </c>
      <c r="AE89" s="9">
        <v>50</v>
      </c>
      <c r="AF89" s="9">
        <v>40</v>
      </c>
      <c r="AG89" s="9">
        <v>36</v>
      </c>
      <c r="AH89" s="9">
        <v>47</v>
      </c>
      <c r="AI89" s="9">
        <v>47</v>
      </c>
      <c r="AJ89" s="9">
        <v>49</v>
      </c>
      <c r="AK89" s="9">
        <v>76</v>
      </c>
      <c r="AL89" s="9">
        <v>44</v>
      </c>
      <c r="AM89" s="9">
        <v>59</v>
      </c>
      <c r="AN89" s="9">
        <v>25</v>
      </c>
      <c r="AO89" s="9">
        <v>0</v>
      </c>
      <c r="AP89" s="9">
        <v>0</v>
      </c>
      <c r="AQ89" s="9">
        <v>0</v>
      </c>
      <c r="AR89" s="9">
        <v>0</v>
      </c>
      <c r="AS89" s="9">
        <v>23</v>
      </c>
      <c r="AT89" s="9">
        <v>23</v>
      </c>
      <c r="AU89" s="9">
        <v>25</v>
      </c>
      <c r="AV89" s="9">
        <v>26</v>
      </c>
      <c r="AW89" s="9">
        <v>26</v>
      </c>
      <c r="AX89" s="9">
        <v>27</v>
      </c>
      <c r="AY89" s="9">
        <v>24</v>
      </c>
      <c r="AZ89" s="9">
        <v>22</v>
      </c>
      <c r="BA89" s="9">
        <v>21</v>
      </c>
      <c r="BB89" s="9">
        <v>21</v>
      </c>
      <c r="BC89" s="9">
        <v>21</v>
      </c>
      <c r="BD89" s="9">
        <v>22</v>
      </c>
      <c r="BE89" s="9">
        <v>22</v>
      </c>
      <c r="BF89" s="9">
        <v>23</v>
      </c>
      <c r="BG89" s="9">
        <v>23</v>
      </c>
      <c r="BH89" s="9">
        <v>23</v>
      </c>
      <c r="BI89" s="9">
        <v>19</v>
      </c>
      <c r="BJ89" s="9">
        <v>19</v>
      </c>
      <c r="BK89" s="9">
        <v>17</v>
      </c>
      <c r="BL89" s="9">
        <v>17</v>
      </c>
      <c r="BM89" s="9">
        <v>14</v>
      </c>
      <c r="BN89" s="9">
        <v>14</v>
      </c>
      <c r="BO89" s="9">
        <v>13</v>
      </c>
      <c r="BP89" s="9">
        <v>13</v>
      </c>
      <c r="BQ89" s="9">
        <v>13</v>
      </c>
      <c r="BR89" s="9">
        <v>13</v>
      </c>
      <c r="BS89" s="9">
        <v>13</v>
      </c>
      <c r="BT89" s="9">
        <v>13</v>
      </c>
      <c r="BU89" s="9">
        <v>13</v>
      </c>
      <c r="BV89" s="9">
        <v>12</v>
      </c>
      <c r="BW89" s="9">
        <v>13</v>
      </c>
      <c r="BX89" s="9">
        <v>12</v>
      </c>
      <c r="BY89" s="9">
        <v>12</v>
      </c>
      <c r="BZ89" s="9">
        <v>12</v>
      </c>
      <c r="CA89" s="9">
        <v>12</v>
      </c>
      <c r="CB89" s="9">
        <v>10</v>
      </c>
      <c r="CC89" s="9">
        <v>10</v>
      </c>
      <c r="CD89" s="9">
        <v>10</v>
      </c>
      <c r="CE89" s="9">
        <v>10</v>
      </c>
      <c r="CF89" s="9">
        <v>10</v>
      </c>
      <c r="CG89" s="9">
        <v>10</v>
      </c>
      <c r="CH89" s="9">
        <v>10</v>
      </c>
      <c r="CI89" s="9">
        <v>0</v>
      </c>
      <c r="CJ89" s="9">
        <v>10</v>
      </c>
      <c r="CK89" s="9">
        <v>10</v>
      </c>
      <c r="CL89" s="9">
        <v>10</v>
      </c>
      <c r="CM89" s="9">
        <v>8</v>
      </c>
      <c r="CN89" s="9">
        <v>8</v>
      </c>
      <c r="CO89" s="9">
        <v>8</v>
      </c>
      <c r="CP89" s="9">
        <v>7</v>
      </c>
      <c r="CQ89" s="9">
        <v>7</v>
      </c>
      <c r="CR89" s="9">
        <v>8</v>
      </c>
      <c r="CS89" s="9">
        <v>8</v>
      </c>
      <c r="CT89" s="9">
        <v>5</v>
      </c>
      <c r="CU89" s="9">
        <v>5</v>
      </c>
      <c r="CV89" s="9">
        <v>5</v>
      </c>
      <c r="CW89" s="9">
        <v>4</v>
      </c>
      <c r="CX89" s="9">
        <v>4</v>
      </c>
      <c r="CY89" s="9">
        <v>4</v>
      </c>
      <c r="CZ89" s="9">
        <v>4</v>
      </c>
      <c r="DA89" s="9">
        <v>3</v>
      </c>
      <c r="DB89" s="9">
        <v>3</v>
      </c>
      <c r="DC89" s="9">
        <v>3</v>
      </c>
      <c r="DD89" s="9">
        <v>2</v>
      </c>
      <c r="DE89" s="9">
        <v>2</v>
      </c>
      <c r="DF89" s="9">
        <v>1</v>
      </c>
      <c r="DG89" s="9">
        <v>1</v>
      </c>
      <c r="DH89" s="9">
        <v>1</v>
      </c>
      <c r="DI89" s="9">
        <v>1</v>
      </c>
      <c r="DJ89" s="9">
        <v>2</v>
      </c>
      <c r="DK89" s="9">
        <v>3</v>
      </c>
      <c r="DL89" s="9">
        <v>3</v>
      </c>
      <c r="DM89" s="9">
        <v>3</v>
      </c>
      <c r="DN89" s="9">
        <v>3</v>
      </c>
      <c r="DO89" s="9">
        <v>3</v>
      </c>
      <c r="DP89" s="9">
        <v>3</v>
      </c>
      <c r="DQ89" s="9">
        <v>3</v>
      </c>
      <c r="DR89" s="9">
        <v>3</v>
      </c>
      <c r="DS89" s="9">
        <v>4</v>
      </c>
      <c r="DT89" s="9">
        <v>4</v>
      </c>
      <c r="DU89" s="9">
        <v>4</v>
      </c>
      <c r="DV89" s="9">
        <v>4</v>
      </c>
      <c r="DW89" s="9">
        <v>4</v>
      </c>
      <c r="DX89" s="9">
        <v>4</v>
      </c>
      <c r="DY89" s="9">
        <v>3</v>
      </c>
      <c r="DZ89" s="9">
        <v>3</v>
      </c>
      <c r="EA89" s="9">
        <v>3</v>
      </c>
      <c r="EB89" s="9">
        <v>2</v>
      </c>
      <c r="EC89" s="9">
        <v>2</v>
      </c>
      <c r="ED89" s="9">
        <v>3</v>
      </c>
      <c r="EE89" s="9">
        <v>3</v>
      </c>
      <c r="EF89" s="9">
        <v>3</v>
      </c>
      <c r="EG89" s="9">
        <v>3</v>
      </c>
      <c r="EH89" s="9">
        <v>3</v>
      </c>
      <c r="EI89" s="9">
        <v>3</v>
      </c>
      <c r="EJ89" s="9">
        <v>3</v>
      </c>
      <c r="EK89" s="9">
        <v>2</v>
      </c>
      <c r="EL89" s="9">
        <v>2</v>
      </c>
      <c r="EM89" s="9">
        <v>2</v>
      </c>
      <c r="EN89" s="9">
        <v>2</v>
      </c>
      <c r="EO89" s="9">
        <v>2</v>
      </c>
      <c r="EP89" s="9">
        <v>2</v>
      </c>
      <c r="EQ89" s="9">
        <v>2</v>
      </c>
      <c r="ER89" s="9">
        <v>2</v>
      </c>
      <c r="ES89" s="9">
        <v>2</v>
      </c>
      <c r="ET89" s="9">
        <v>2</v>
      </c>
      <c r="EU89" s="9">
        <v>2</v>
      </c>
      <c r="EV89" s="9">
        <v>1</v>
      </c>
      <c r="EW89" s="9">
        <v>1</v>
      </c>
      <c r="EX89" s="9">
        <v>1</v>
      </c>
      <c r="EY89" s="9">
        <v>1</v>
      </c>
      <c r="EZ89" s="9">
        <v>1</v>
      </c>
      <c r="FA89" s="9">
        <v>1</v>
      </c>
      <c r="FB89" s="9">
        <v>0</v>
      </c>
      <c r="FC89" s="9">
        <v>0</v>
      </c>
      <c r="FD89" s="9">
        <v>0</v>
      </c>
      <c r="FE89" s="9">
        <v>0</v>
      </c>
      <c r="FF89" s="9">
        <v>0</v>
      </c>
      <c r="FG89" s="9">
        <v>0</v>
      </c>
      <c r="FH89" s="9">
        <v>0</v>
      </c>
      <c r="FI89" s="9">
        <v>0</v>
      </c>
      <c r="FJ89" s="9">
        <v>0</v>
      </c>
      <c r="FK89" s="9">
        <v>0</v>
      </c>
      <c r="FL89" s="9">
        <v>0</v>
      </c>
      <c r="FM89" s="10">
        <v>0</v>
      </c>
    </row>
    <row r="90" spans="1:169" x14ac:dyDescent="0.35">
      <c r="A90" s="8" t="s">
        <v>73</v>
      </c>
      <c r="B90" s="9" t="s">
        <v>160</v>
      </c>
      <c r="C90" s="10" t="s">
        <v>161</v>
      </c>
      <c r="D90" s="62">
        <f t="shared" si="98"/>
        <v>70</v>
      </c>
      <c r="E90" s="9">
        <v>0</v>
      </c>
      <c r="F90" s="9">
        <v>0</v>
      </c>
      <c r="G90" s="9">
        <v>0</v>
      </c>
      <c r="H90" s="9">
        <v>0</v>
      </c>
      <c r="I90" s="9">
        <v>0</v>
      </c>
      <c r="J90" s="9">
        <v>0</v>
      </c>
      <c r="K90" s="9">
        <v>0</v>
      </c>
      <c r="L90" s="9">
        <v>0</v>
      </c>
      <c r="M90" s="9">
        <v>0</v>
      </c>
      <c r="N90" s="9">
        <v>0</v>
      </c>
      <c r="O90" s="9">
        <v>0</v>
      </c>
      <c r="P90" s="9">
        <v>0</v>
      </c>
      <c r="Q90" s="9">
        <v>0</v>
      </c>
      <c r="R90" s="9">
        <v>0</v>
      </c>
      <c r="S90" s="9">
        <v>6</v>
      </c>
      <c r="T90" s="9">
        <v>2</v>
      </c>
      <c r="U90" s="9">
        <v>1</v>
      </c>
      <c r="V90" s="9">
        <v>70</v>
      </c>
      <c r="W90" s="9">
        <v>2</v>
      </c>
      <c r="X90" s="9">
        <v>1</v>
      </c>
      <c r="Y90" s="9">
        <v>1</v>
      </c>
      <c r="Z90" s="9">
        <v>4</v>
      </c>
      <c r="AA90" s="9">
        <v>63</v>
      </c>
      <c r="AB90" s="9">
        <v>2</v>
      </c>
      <c r="AC90" s="9">
        <v>30</v>
      </c>
      <c r="AD90" s="9">
        <v>37</v>
      </c>
      <c r="AE90" s="9">
        <v>36</v>
      </c>
      <c r="AF90" s="9">
        <v>1</v>
      </c>
      <c r="AG90" s="9">
        <v>23</v>
      </c>
      <c r="AH90" s="9">
        <v>28</v>
      </c>
      <c r="AI90" s="9">
        <v>20</v>
      </c>
      <c r="AJ90" s="9">
        <v>20</v>
      </c>
      <c r="AK90" s="9">
        <v>13</v>
      </c>
      <c r="AL90" s="9">
        <v>20</v>
      </c>
      <c r="AM90" s="9">
        <v>12</v>
      </c>
      <c r="AN90" s="9">
        <v>10</v>
      </c>
      <c r="AO90" s="9">
        <v>12</v>
      </c>
      <c r="AP90" s="9">
        <v>12</v>
      </c>
      <c r="AQ90" s="9">
        <v>12</v>
      </c>
      <c r="AR90" s="9">
        <v>12</v>
      </c>
      <c r="AS90" s="9">
        <v>10</v>
      </c>
      <c r="AT90" s="9">
        <v>15</v>
      </c>
      <c r="AU90" s="9">
        <v>16</v>
      </c>
      <c r="AV90" s="9">
        <v>7</v>
      </c>
      <c r="AW90" s="9">
        <v>6</v>
      </c>
      <c r="AX90" s="9">
        <v>6</v>
      </c>
      <c r="AY90" s="9">
        <v>6</v>
      </c>
      <c r="AZ90" s="9">
        <v>5</v>
      </c>
      <c r="BA90" s="9">
        <v>7</v>
      </c>
      <c r="BB90" s="9">
        <v>7</v>
      </c>
      <c r="BC90" s="9">
        <v>5</v>
      </c>
      <c r="BD90" s="9">
        <v>5</v>
      </c>
      <c r="BE90" s="9">
        <v>5</v>
      </c>
      <c r="BF90" s="9">
        <v>3</v>
      </c>
      <c r="BG90" s="9">
        <v>0</v>
      </c>
      <c r="BH90" s="9">
        <v>0</v>
      </c>
      <c r="BI90" s="9">
        <v>0</v>
      </c>
      <c r="BJ90" s="9">
        <v>0</v>
      </c>
      <c r="BK90" s="9">
        <v>0</v>
      </c>
      <c r="BL90" s="9">
        <v>0</v>
      </c>
      <c r="BM90" s="9">
        <v>0</v>
      </c>
      <c r="BN90" s="9">
        <v>0</v>
      </c>
      <c r="BO90" s="9">
        <v>0</v>
      </c>
      <c r="BP90" s="9">
        <v>0</v>
      </c>
      <c r="BQ90" s="9">
        <v>0</v>
      </c>
      <c r="BR90" s="9">
        <v>0</v>
      </c>
      <c r="BS90" s="9">
        <v>0</v>
      </c>
      <c r="BT90" s="9">
        <v>0</v>
      </c>
      <c r="BU90" s="9">
        <v>0</v>
      </c>
      <c r="BV90" s="9">
        <v>0</v>
      </c>
      <c r="BW90" s="9">
        <v>0</v>
      </c>
      <c r="BX90" s="9">
        <v>0</v>
      </c>
      <c r="BY90" s="9">
        <v>0</v>
      </c>
      <c r="BZ90" s="9">
        <v>0</v>
      </c>
      <c r="CA90" s="9">
        <v>0</v>
      </c>
      <c r="CB90" s="9">
        <v>0</v>
      </c>
      <c r="CC90" s="9">
        <v>0</v>
      </c>
      <c r="CD90" s="9">
        <v>0</v>
      </c>
      <c r="CE90" s="9">
        <v>0</v>
      </c>
      <c r="CF90" s="9">
        <v>0</v>
      </c>
      <c r="CG90" s="9">
        <v>0</v>
      </c>
      <c r="CH90" s="9">
        <v>0</v>
      </c>
      <c r="CI90" s="9">
        <v>0</v>
      </c>
      <c r="CJ90" s="9">
        <v>0</v>
      </c>
      <c r="CK90" s="9">
        <v>0</v>
      </c>
      <c r="CL90" s="9">
        <v>0</v>
      </c>
      <c r="CM90" s="9">
        <v>0</v>
      </c>
      <c r="CN90" s="9">
        <v>0</v>
      </c>
      <c r="CO90" s="9">
        <v>0</v>
      </c>
      <c r="CP90" s="9">
        <v>0</v>
      </c>
      <c r="CQ90" s="9">
        <v>0</v>
      </c>
      <c r="CR90" s="9">
        <v>0</v>
      </c>
      <c r="CS90" s="9">
        <v>0</v>
      </c>
      <c r="CT90" s="9">
        <v>0</v>
      </c>
      <c r="CU90" s="9">
        <v>0</v>
      </c>
      <c r="CV90" s="9">
        <v>0</v>
      </c>
      <c r="CW90" s="9">
        <v>0</v>
      </c>
      <c r="CX90" s="9">
        <v>0</v>
      </c>
      <c r="CY90" s="9">
        <v>0</v>
      </c>
      <c r="CZ90" s="9">
        <v>0</v>
      </c>
      <c r="DA90" s="9">
        <v>0</v>
      </c>
      <c r="DB90" s="9">
        <v>0</v>
      </c>
      <c r="DC90" s="9">
        <v>0</v>
      </c>
      <c r="DD90" s="9">
        <v>0</v>
      </c>
      <c r="DE90" s="9">
        <v>0</v>
      </c>
      <c r="DF90" s="9">
        <v>0</v>
      </c>
      <c r="DG90" s="9">
        <v>0</v>
      </c>
      <c r="DH90" s="9">
        <v>0</v>
      </c>
      <c r="DI90" s="9">
        <v>0</v>
      </c>
      <c r="DJ90" s="9">
        <v>0</v>
      </c>
      <c r="DK90" s="9">
        <v>0</v>
      </c>
      <c r="DL90" s="9">
        <v>0</v>
      </c>
      <c r="DM90" s="9">
        <v>0</v>
      </c>
      <c r="DN90" s="9">
        <v>0</v>
      </c>
      <c r="DO90" s="9">
        <v>0</v>
      </c>
      <c r="DP90" s="9">
        <v>0</v>
      </c>
      <c r="DQ90" s="9">
        <v>0</v>
      </c>
      <c r="DR90" s="9">
        <v>0</v>
      </c>
      <c r="DS90" s="9">
        <v>0</v>
      </c>
      <c r="DT90" s="9">
        <v>0</v>
      </c>
      <c r="DU90" s="9">
        <v>0</v>
      </c>
      <c r="DV90" s="9">
        <v>0</v>
      </c>
      <c r="DW90" s="9">
        <v>0</v>
      </c>
      <c r="DX90" s="9">
        <v>0</v>
      </c>
      <c r="DY90" s="9">
        <v>0</v>
      </c>
      <c r="DZ90" s="9">
        <v>0</v>
      </c>
      <c r="EA90" s="9">
        <v>0</v>
      </c>
      <c r="EB90" s="9">
        <v>0</v>
      </c>
      <c r="EC90" s="9">
        <v>0</v>
      </c>
      <c r="ED90" s="9">
        <v>0</v>
      </c>
      <c r="EE90" s="9">
        <v>0</v>
      </c>
      <c r="EF90" s="9">
        <v>0</v>
      </c>
      <c r="EG90" s="9">
        <v>0</v>
      </c>
      <c r="EH90" s="9">
        <v>0</v>
      </c>
      <c r="EI90" s="9">
        <v>0</v>
      </c>
      <c r="EJ90" s="9">
        <v>0</v>
      </c>
      <c r="EK90" s="9">
        <v>0</v>
      </c>
      <c r="EL90" s="9">
        <v>0</v>
      </c>
      <c r="EM90" s="9">
        <v>0</v>
      </c>
      <c r="EN90" s="9">
        <v>0</v>
      </c>
      <c r="EO90" s="9">
        <v>0</v>
      </c>
      <c r="EP90" s="9">
        <v>16</v>
      </c>
      <c r="EQ90" s="9">
        <v>0</v>
      </c>
      <c r="ER90" s="9">
        <v>0</v>
      </c>
      <c r="ES90" s="9">
        <v>0</v>
      </c>
      <c r="ET90" s="9">
        <v>0</v>
      </c>
      <c r="EU90" s="9">
        <v>0</v>
      </c>
      <c r="EV90" s="9">
        <v>0</v>
      </c>
      <c r="EW90" s="9">
        <v>0</v>
      </c>
      <c r="EX90" s="9">
        <v>0</v>
      </c>
      <c r="EY90" s="9">
        <v>0</v>
      </c>
      <c r="EZ90" s="9">
        <v>0</v>
      </c>
      <c r="FA90" s="9">
        <v>0</v>
      </c>
      <c r="FB90" s="9">
        <v>0</v>
      </c>
      <c r="FC90" s="9">
        <v>0</v>
      </c>
      <c r="FD90" s="9">
        <v>0</v>
      </c>
      <c r="FE90" s="9">
        <v>0</v>
      </c>
      <c r="FF90" s="9">
        <v>0</v>
      </c>
      <c r="FG90" s="9">
        <v>0</v>
      </c>
      <c r="FH90" s="9">
        <v>0</v>
      </c>
      <c r="FI90" s="9">
        <v>0</v>
      </c>
      <c r="FJ90" s="9">
        <v>0</v>
      </c>
      <c r="FK90" s="9">
        <v>0</v>
      </c>
      <c r="FL90" s="9">
        <v>0</v>
      </c>
      <c r="FM90" s="10">
        <v>0</v>
      </c>
    </row>
    <row r="91" spans="1:169" x14ac:dyDescent="0.35">
      <c r="A91" s="8" t="s">
        <v>73</v>
      </c>
      <c r="B91" s="9" t="s">
        <v>162</v>
      </c>
      <c r="C91" s="10" t="s">
        <v>163</v>
      </c>
      <c r="D91" s="62">
        <f t="shared" si="98"/>
        <v>160</v>
      </c>
      <c r="E91" s="9">
        <v>9</v>
      </c>
      <c r="F91" s="9">
        <v>21</v>
      </c>
      <c r="G91" s="9">
        <v>20</v>
      </c>
      <c r="H91" s="9">
        <v>29</v>
      </c>
      <c r="I91" s="9">
        <v>30</v>
      </c>
      <c r="J91" s="9">
        <v>39</v>
      </c>
      <c r="K91" s="9">
        <v>55</v>
      </c>
      <c r="L91" s="9">
        <v>61</v>
      </c>
      <c r="M91" s="9">
        <v>62</v>
      </c>
      <c r="N91" s="9">
        <v>75</v>
      </c>
      <c r="O91" s="9">
        <v>73</v>
      </c>
      <c r="P91" s="9">
        <v>90</v>
      </c>
      <c r="Q91" s="9">
        <v>130</v>
      </c>
      <c r="R91" s="9">
        <v>134</v>
      </c>
      <c r="S91" s="9">
        <v>123</v>
      </c>
      <c r="T91" s="9">
        <v>120</v>
      </c>
      <c r="U91" s="9">
        <v>103</v>
      </c>
      <c r="V91" s="9">
        <v>143</v>
      </c>
      <c r="W91" s="9">
        <v>142</v>
      </c>
      <c r="X91" s="9">
        <v>155</v>
      </c>
      <c r="Y91" s="9">
        <v>160</v>
      </c>
      <c r="Z91" s="9">
        <v>155</v>
      </c>
      <c r="AA91" s="9">
        <v>148</v>
      </c>
      <c r="AB91" s="9">
        <v>148</v>
      </c>
      <c r="AC91" s="9">
        <v>144</v>
      </c>
      <c r="AD91" s="9">
        <v>135</v>
      </c>
      <c r="AE91" s="9">
        <v>140</v>
      </c>
      <c r="AF91" s="9">
        <v>130</v>
      </c>
      <c r="AG91" s="9">
        <v>134</v>
      </c>
      <c r="AH91" s="9">
        <v>139</v>
      </c>
      <c r="AI91" s="9">
        <v>141</v>
      </c>
      <c r="AJ91" s="9">
        <v>145</v>
      </c>
      <c r="AK91" s="9">
        <v>131</v>
      </c>
      <c r="AL91" s="9">
        <v>123</v>
      </c>
      <c r="AM91" s="9">
        <v>118</v>
      </c>
      <c r="AN91" s="9">
        <v>115</v>
      </c>
      <c r="AO91" s="9">
        <v>106</v>
      </c>
      <c r="AP91" s="9">
        <v>106</v>
      </c>
      <c r="AQ91" s="9">
        <v>102</v>
      </c>
      <c r="AR91" s="9">
        <v>97</v>
      </c>
      <c r="AS91" s="9">
        <v>97</v>
      </c>
      <c r="AT91" s="9">
        <v>90</v>
      </c>
      <c r="AU91" s="9">
        <v>83</v>
      </c>
      <c r="AV91" s="9">
        <v>75</v>
      </c>
      <c r="AW91" s="9">
        <v>74</v>
      </c>
      <c r="AX91" s="9">
        <v>72</v>
      </c>
      <c r="AY91" s="9">
        <v>69</v>
      </c>
      <c r="AZ91" s="9">
        <v>66</v>
      </c>
      <c r="BA91" s="9">
        <v>58</v>
      </c>
      <c r="BB91" s="9">
        <v>59</v>
      </c>
      <c r="BC91" s="9">
        <v>62</v>
      </c>
      <c r="BD91" s="9">
        <v>61</v>
      </c>
      <c r="BE91" s="9">
        <v>61</v>
      </c>
      <c r="BF91" s="9">
        <v>59</v>
      </c>
      <c r="BG91" s="9">
        <v>58</v>
      </c>
      <c r="BH91" s="9">
        <v>55</v>
      </c>
      <c r="BI91" s="9">
        <v>52</v>
      </c>
      <c r="BJ91" s="9">
        <v>50</v>
      </c>
      <c r="BK91" s="9">
        <v>47</v>
      </c>
      <c r="BL91" s="9">
        <v>53</v>
      </c>
      <c r="BM91" s="9">
        <v>49</v>
      </c>
      <c r="BN91" s="9">
        <v>45</v>
      </c>
      <c r="BO91" s="9">
        <v>44</v>
      </c>
      <c r="BP91" s="9">
        <v>46</v>
      </c>
      <c r="BQ91" s="9">
        <v>0</v>
      </c>
      <c r="BR91" s="9">
        <v>45</v>
      </c>
      <c r="BS91" s="9">
        <v>47</v>
      </c>
      <c r="BT91" s="9">
        <v>46</v>
      </c>
      <c r="BU91" s="9">
        <v>43</v>
      </c>
      <c r="BV91" s="9">
        <v>40</v>
      </c>
      <c r="BW91" s="9">
        <v>41</v>
      </c>
      <c r="BX91" s="9">
        <v>40</v>
      </c>
      <c r="BY91" s="9">
        <v>42</v>
      </c>
      <c r="BZ91" s="9">
        <v>43</v>
      </c>
      <c r="CA91" s="9">
        <v>39</v>
      </c>
      <c r="CB91" s="9">
        <v>34</v>
      </c>
      <c r="CC91" s="9">
        <v>30</v>
      </c>
      <c r="CD91" s="9">
        <v>31</v>
      </c>
      <c r="CE91" s="9">
        <v>28</v>
      </c>
      <c r="CF91" s="9">
        <v>28</v>
      </c>
      <c r="CG91" s="9">
        <v>30</v>
      </c>
      <c r="CH91" s="9">
        <v>28</v>
      </c>
      <c r="CI91" s="9">
        <v>30</v>
      </c>
      <c r="CJ91" s="9">
        <v>25</v>
      </c>
      <c r="CK91" s="9">
        <v>23</v>
      </c>
      <c r="CL91" s="9">
        <v>23</v>
      </c>
      <c r="CM91" s="9">
        <v>22</v>
      </c>
      <c r="CN91" s="9">
        <v>22</v>
      </c>
      <c r="CO91" s="9">
        <v>23</v>
      </c>
      <c r="CP91" s="9">
        <v>23</v>
      </c>
      <c r="CQ91" s="9">
        <v>21</v>
      </c>
      <c r="CR91" s="9">
        <v>23</v>
      </c>
      <c r="CS91" s="9">
        <v>20</v>
      </c>
      <c r="CT91" s="9">
        <v>20</v>
      </c>
      <c r="CU91" s="9">
        <v>20</v>
      </c>
      <c r="CV91" s="9">
        <v>19</v>
      </c>
      <c r="CW91" s="9">
        <v>19</v>
      </c>
      <c r="CX91" s="9">
        <v>18</v>
      </c>
      <c r="CY91" s="9">
        <v>17</v>
      </c>
      <c r="CZ91" s="9">
        <v>15</v>
      </c>
      <c r="DA91" s="9">
        <v>13</v>
      </c>
      <c r="DB91" s="9">
        <v>13</v>
      </c>
      <c r="DC91" s="9">
        <v>11</v>
      </c>
      <c r="DD91" s="9">
        <v>9</v>
      </c>
      <c r="DE91" s="9">
        <v>8</v>
      </c>
      <c r="DF91" s="9">
        <v>8</v>
      </c>
      <c r="DG91" s="9">
        <v>6</v>
      </c>
      <c r="DH91" s="9">
        <v>6</v>
      </c>
      <c r="DI91" s="9">
        <v>6</v>
      </c>
      <c r="DJ91" s="9">
        <v>6</v>
      </c>
      <c r="DK91" s="9">
        <v>4</v>
      </c>
      <c r="DL91" s="9">
        <v>4</v>
      </c>
      <c r="DM91" s="9">
        <v>3</v>
      </c>
      <c r="DN91" s="9">
        <v>3</v>
      </c>
      <c r="DO91" s="9">
        <v>3</v>
      </c>
      <c r="DP91" s="9">
        <v>3</v>
      </c>
      <c r="DQ91" s="9">
        <v>4</v>
      </c>
      <c r="DR91" s="9">
        <v>4</v>
      </c>
      <c r="DS91" s="9">
        <v>5</v>
      </c>
      <c r="DT91" s="9">
        <v>4</v>
      </c>
      <c r="DU91" s="9">
        <v>4</v>
      </c>
      <c r="DV91" s="9">
        <v>4</v>
      </c>
      <c r="DW91" s="9">
        <v>4</v>
      </c>
      <c r="DX91" s="9">
        <v>3</v>
      </c>
      <c r="DY91" s="9">
        <v>3</v>
      </c>
      <c r="DZ91" s="9">
        <v>4</v>
      </c>
      <c r="EA91" s="9">
        <v>3</v>
      </c>
      <c r="EB91" s="9">
        <v>2</v>
      </c>
      <c r="EC91" s="9">
        <v>2</v>
      </c>
      <c r="ED91" s="9">
        <v>2</v>
      </c>
      <c r="EE91" s="9">
        <v>2</v>
      </c>
      <c r="EF91" s="9">
        <v>2</v>
      </c>
      <c r="EG91" s="9">
        <v>2</v>
      </c>
      <c r="EH91" s="9">
        <v>3</v>
      </c>
      <c r="EI91" s="9">
        <v>3</v>
      </c>
      <c r="EJ91" s="9">
        <v>3</v>
      </c>
      <c r="EK91" s="9">
        <v>2</v>
      </c>
      <c r="EL91" s="9">
        <v>2</v>
      </c>
      <c r="EM91" s="9">
        <v>2</v>
      </c>
      <c r="EN91" s="9">
        <v>2</v>
      </c>
      <c r="EO91" s="9">
        <v>2</v>
      </c>
      <c r="EP91" s="9">
        <v>2</v>
      </c>
      <c r="EQ91" s="9">
        <v>2</v>
      </c>
      <c r="ER91" s="9">
        <v>2</v>
      </c>
      <c r="ES91" s="9">
        <v>2</v>
      </c>
      <c r="ET91" s="9">
        <v>2</v>
      </c>
      <c r="EU91" s="9">
        <v>2</v>
      </c>
      <c r="EV91" s="9">
        <v>3</v>
      </c>
      <c r="EW91" s="9">
        <v>3</v>
      </c>
      <c r="EX91" s="9">
        <v>3</v>
      </c>
      <c r="EY91" s="9">
        <v>3</v>
      </c>
      <c r="EZ91" s="9">
        <v>3</v>
      </c>
      <c r="FA91" s="9">
        <v>3</v>
      </c>
      <c r="FB91" s="9">
        <v>3</v>
      </c>
      <c r="FC91" s="9">
        <v>3</v>
      </c>
      <c r="FD91" s="9">
        <v>2</v>
      </c>
      <c r="FE91" s="9">
        <v>3</v>
      </c>
      <c r="FF91" s="9">
        <v>3</v>
      </c>
      <c r="FG91" s="9">
        <v>3</v>
      </c>
      <c r="FH91" s="9">
        <v>3</v>
      </c>
      <c r="FI91" s="9">
        <v>4</v>
      </c>
      <c r="FJ91" s="9">
        <v>4</v>
      </c>
      <c r="FK91" s="9">
        <v>4</v>
      </c>
      <c r="FL91" s="9">
        <v>4</v>
      </c>
      <c r="FM91" s="10">
        <v>4</v>
      </c>
    </row>
    <row r="92" spans="1:169" x14ac:dyDescent="0.35">
      <c r="A92" s="8" t="s">
        <v>73</v>
      </c>
      <c r="B92" s="9" t="s">
        <v>164</v>
      </c>
      <c r="C92" s="10" t="s">
        <v>165</v>
      </c>
      <c r="D92" s="62">
        <f t="shared" si="98"/>
        <v>90</v>
      </c>
      <c r="E92" s="9">
        <v>0</v>
      </c>
      <c r="F92" s="9">
        <v>3</v>
      </c>
      <c r="G92" s="9">
        <v>3</v>
      </c>
      <c r="H92" s="9">
        <v>4</v>
      </c>
      <c r="I92" s="9">
        <v>3</v>
      </c>
      <c r="J92" s="9">
        <v>7</v>
      </c>
      <c r="K92" s="9">
        <v>9</v>
      </c>
      <c r="L92" s="9">
        <v>10</v>
      </c>
      <c r="M92" s="9">
        <v>13</v>
      </c>
      <c r="N92" s="9">
        <v>17</v>
      </c>
      <c r="O92" s="9">
        <v>23</v>
      </c>
      <c r="P92" s="9">
        <v>30</v>
      </c>
      <c r="Q92" s="9">
        <v>39</v>
      </c>
      <c r="R92" s="9">
        <v>52</v>
      </c>
      <c r="S92" s="9">
        <v>53</v>
      </c>
      <c r="T92" s="9">
        <v>59</v>
      </c>
      <c r="U92" s="9">
        <v>61</v>
      </c>
      <c r="V92" s="9">
        <v>75</v>
      </c>
      <c r="W92" s="9">
        <v>54</v>
      </c>
      <c r="X92" s="9">
        <v>65</v>
      </c>
      <c r="Y92" s="9">
        <v>65</v>
      </c>
      <c r="Z92" s="9">
        <v>64</v>
      </c>
      <c r="AA92" s="9">
        <v>64</v>
      </c>
      <c r="AB92" s="9">
        <v>73</v>
      </c>
      <c r="AC92" s="9">
        <v>80</v>
      </c>
      <c r="AD92" s="9">
        <v>82</v>
      </c>
      <c r="AE92" s="9">
        <v>84</v>
      </c>
      <c r="AF92" s="9">
        <v>84</v>
      </c>
      <c r="AG92" s="9">
        <v>86</v>
      </c>
      <c r="AH92" s="9">
        <v>87</v>
      </c>
      <c r="AI92" s="9">
        <v>90</v>
      </c>
      <c r="AJ92" s="9">
        <v>0</v>
      </c>
      <c r="AK92" s="9">
        <v>86</v>
      </c>
      <c r="AL92" s="9">
        <v>86</v>
      </c>
      <c r="AM92" s="9">
        <v>84</v>
      </c>
      <c r="AN92" s="9">
        <v>83</v>
      </c>
      <c r="AO92" s="9">
        <v>85</v>
      </c>
      <c r="AP92" s="9">
        <v>74</v>
      </c>
      <c r="AQ92" s="9">
        <v>85</v>
      </c>
      <c r="AR92" s="9">
        <v>74</v>
      </c>
      <c r="AS92" s="9">
        <v>81</v>
      </c>
      <c r="AT92" s="9">
        <v>75</v>
      </c>
      <c r="AU92" s="9">
        <v>78</v>
      </c>
      <c r="AV92" s="9">
        <v>75</v>
      </c>
      <c r="AW92" s="9">
        <v>76</v>
      </c>
      <c r="AX92" s="9">
        <v>76</v>
      </c>
      <c r="AY92" s="9">
        <v>77</v>
      </c>
      <c r="AZ92" s="9">
        <v>78</v>
      </c>
      <c r="BA92" s="9">
        <v>83</v>
      </c>
      <c r="BB92" s="9">
        <v>78</v>
      </c>
      <c r="BC92" s="9">
        <v>85</v>
      </c>
      <c r="BD92" s="9">
        <v>84</v>
      </c>
      <c r="BE92" s="9">
        <v>82</v>
      </c>
      <c r="BF92" s="9">
        <v>72</v>
      </c>
      <c r="BG92" s="9">
        <v>73</v>
      </c>
      <c r="BH92" s="9">
        <v>73</v>
      </c>
      <c r="BI92" s="9">
        <v>72</v>
      </c>
      <c r="BJ92" s="9">
        <v>65</v>
      </c>
      <c r="BK92" s="9">
        <v>0</v>
      </c>
      <c r="BL92" s="9">
        <v>61</v>
      </c>
      <c r="BM92" s="9">
        <v>33</v>
      </c>
      <c r="BN92" s="9">
        <v>26</v>
      </c>
      <c r="BO92" s="9">
        <v>26</v>
      </c>
      <c r="BP92" s="9">
        <v>29</v>
      </c>
      <c r="BQ92" s="9">
        <v>30</v>
      </c>
      <c r="BR92" s="9">
        <v>29</v>
      </c>
      <c r="BS92" s="9">
        <v>29</v>
      </c>
      <c r="BT92" s="9">
        <v>29</v>
      </c>
      <c r="BU92" s="9">
        <v>24</v>
      </c>
      <c r="BV92" s="9">
        <v>24</v>
      </c>
      <c r="BW92" s="9">
        <v>25</v>
      </c>
      <c r="BX92" s="9">
        <v>24</v>
      </c>
      <c r="BY92" s="9">
        <v>20</v>
      </c>
      <c r="BZ92" s="9">
        <v>20</v>
      </c>
      <c r="CA92" s="9">
        <v>13</v>
      </c>
      <c r="CB92" s="9">
        <v>8</v>
      </c>
      <c r="CC92" s="9">
        <v>10</v>
      </c>
      <c r="CD92" s="9">
        <v>10</v>
      </c>
      <c r="CE92" s="9">
        <v>8</v>
      </c>
      <c r="CF92" s="9">
        <v>8</v>
      </c>
      <c r="CG92" s="9">
        <v>8</v>
      </c>
      <c r="CH92" s="9">
        <v>8</v>
      </c>
      <c r="CI92" s="9">
        <v>9</v>
      </c>
      <c r="CJ92" s="9">
        <v>13</v>
      </c>
      <c r="CK92" s="9">
        <v>12</v>
      </c>
      <c r="CL92" s="9">
        <v>9</v>
      </c>
      <c r="CM92" s="9">
        <v>9</v>
      </c>
      <c r="CN92" s="9">
        <v>9</v>
      </c>
      <c r="CO92" s="9">
        <v>10</v>
      </c>
      <c r="CP92" s="9">
        <v>11</v>
      </c>
      <c r="CQ92" s="9">
        <v>10</v>
      </c>
      <c r="CR92" s="9">
        <v>10</v>
      </c>
      <c r="CS92" s="9">
        <v>13</v>
      </c>
      <c r="CT92" s="9">
        <v>13</v>
      </c>
      <c r="CU92" s="9">
        <v>8</v>
      </c>
      <c r="CV92" s="9">
        <v>8</v>
      </c>
      <c r="CW92" s="9">
        <v>8</v>
      </c>
      <c r="CX92" s="9">
        <v>5</v>
      </c>
      <c r="CY92" s="9">
        <v>5</v>
      </c>
      <c r="CZ92" s="9">
        <v>6</v>
      </c>
      <c r="DA92" s="9">
        <v>6</v>
      </c>
      <c r="DB92" s="9">
        <v>6</v>
      </c>
      <c r="DC92" s="9">
        <v>6</v>
      </c>
      <c r="DD92" s="9">
        <v>6</v>
      </c>
      <c r="DE92" s="9">
        <v>4</v>
      </c>
      <c r="DF92" s="9">
        <v>4</v>
      </c>
      <c r="DG92" s="9">
        <v>4</v>
      </c>
      <c r="DH92" s="9">
        <v>4</v>
      </c>
      <c r="DI92" s="9">
        <v>4</v>
      </c>
      <c r="DJ92" s="9">
        <v>5</v>
      </c>
      <c r="DK92" s="9">
        <v>5</v>
      </c>
      <c r="DL92" s="9">
        <v>5</v>
      </c>
      <c r="DM92" s="9">
        <v>5</v>
      </c>
      <c r="DN92" s="9">
        <v>4</v>
      </c>
      <c r="DO92" s="9">
        <v>4</v>
      </c>
      <c r="DP92" s="9">
        <v>3</v>
      </c>
      <c r="DQ92" s="9">
        <v>1</v>
      </c>
      <c r="DR92" s="9">
        <v>1</v>
      </c>
      <c r="DS92" s="9">
        <v>1</v>
      </c>
      <c r="DT92" s="9">
        <v>1</v>
      </c>
      <c r="DU92" s="9">
        <v>2</v>
      </c>
      <c r="DV92" s="9">
        <v>2</v>
      </c>
      <c r="DW92" s="9">
        <v>3</v>
      </c>
      <c r="DX92" s="9">
        <v>3</v>
      </c>
      <c r="DY92" s="9">
        <v>3</v>
      </c>
      <c r="DZ92" s="9">
        <v>3</v>
      </c>
      <c r="EA92" s="9">
        <v>3</v>
      </c>
      <c r="EB92" s="9">
        <v>3</v>
      </c>
      <c r="EC92" s="9">
        <v>3</v>
      </c>
      <c r="ED92" s="9">
        <v>3</v>
      </c>
      <c r="EE92" s="9">
        <v>3</v>
      </c>
      <c r="EF92" s="9">
        <v>3</v>
      </c>
      <c r="EG92" s="9">
        <v>3</v>
      </c>
      <c r="EH92" s="9">
        <v>3</v>
      </c>
      <c r="EI92" s="9">
        <v>3</v>
      </c>
      <c r="EJ92" s="9">
        <v>3</v>
      </c>
      <c r="EK92" s="9">
        <v>3</v>
      </c>
      <c r="EL92" s="9">
        <v>0</v>
      </c>
      <c r="EM92" s="9">
        <v>0</v>
      </c>
      <c r="EN92" s="9">
        <v>1</v>
      </c>
      <c r="EO92" s="9">
        <v>1</v>
      </c>
      <c r="EP92" s="9">
        <v>1</v>
      </c>
      <c r="EQ92" s="9">
        <v>0</v>
      </c>
      <c r="ER92" s="9">
        <v>1</v>
      </c>
      <c r="ES92" s="9">
        <v>1</v>
      </c>
      <c r="ET92" s="9">
        <v>1</v>
      </c>
      <c r="EU92" s="9">
        <v>1</v>
      </c>
      <c r="EV92" s="9">
        <v>1</v>
      </c>
      <c r="EW92" s="9">
        <v>1</v>
      </c>
      <c r="EX92" s="9">
        <v>1</v>
      </c>
      <c r="EY92" s="9">
        <v>1</v>
      </c>
      <c r="EZ92" s="9">
        <v>0</v>
      </c>
      <c r="FA92" s="9">
        <v>0</v>
      </c>
      <c r="FB92" s="9">
        <v>0</v>
      </c>
      <c r="FC92" s="9">
        <v>0</v>
      </c>
      <c r="FD92" s="9">
        <v>0</v>
      </c>
      <c r="FE92" s="9">
        <v>1</v>
      </c>
      <c r="FF92" s="9">
        <v>2</v>
      </c>
      <c r="FG92" s="9">
        <v>1</v>
      </c>
      <c r="FH92" s="9">
        <v>1</v>
      </c>
      <c r="FI92" s="9">
        <v>1</v>
      </c>
      <c r="FJ92" s="9">
        <v>1</v>
      </c>
      <c r="FK92" s="9">
        <v>1</v>
      </c>
      <c r="FL92" s="9">
        <v>1</v>
      </c>
      <c r="FM92" s="10">
        <v>1</v>
      </c>
    </row>
    <row r="93" spans="1:169" x14ac:dyDescent="0.35">
      <c r="A93" s="8" t="s">
        <v>73</v>
      </c>
      <c r="B93" s="9" t="s">
        <v>166</v>
      </c>
      <c r="C93" s="10" t="s">
        <v>167</v>
      </c>
      <c r="D93" s="62">
        <f t="shared" si="98"/>
        <v>29</v>
      </c>
      <c r="E93" s="9">
        <v>0</v>
      </c>
      <c r="F93" s="9">
        <v>0</v>
      </c>
      <c r="G93" s="9">
        <v>0</v>
      </c>
      <c r="H93" s="9">
        <v>0</v>
      </c>
      <c r="I93" s="9">
        <v>0</v>
      </c>
      <c r="J93" s="9">
        <v>0</v>
      </c>
      <c r="K93" s="9">
        <v>0</v>
      </c>
      <c r="L93" s="9">
        <v>0</v>
      </c>
      <c r="M93" s="9">
        <v>0</v>
      </c>
      <c r="N93" s="9">
        <v>0</v>
      </c>
      <c r="O93" s="9">
        <v>0</v>
      </c>
      <c r="P93" s="9">
        <v>0</v>
      </c>
      <c r="Q93" s="9">
        <v>0</v>
      </c>
      <c r="R93" s="9">
        <v>0</v>
      </c>
      <c r="S93" s="9">
        <v>0</v>
      </c>
      <c r="T93" s="9">
        <v>0</v>
      </c>
      <c r="U93" s="9">
        <v>0</v>
      </c>
      <c r="V93" s="9">
        <v>0</v>
      </c>
      <c r="W93" s="9">
        <v>0</v>
      </c>
      <c r="X93" s="9">
        <v>6</v>
      </c>
      <c r="Y93" s="9">
        <v>11</v>
      </c>
      <c r="Z93" s="9">
        <v>13</v>
      </c>
      <c r="AA93" s="9">
        <v>15</v>
      </c>
      <c r="AB93" s="9">
        <v>18</v>
      </c>
      <c r="AC93" s="9">
        <v>18</v>
      </c>
      <c r="AD93" s="9">
        <v>21</v>
      </c>
      <c r="AE93" s="9">
        <v>24</v>
      </c>
      <c r="AF93" s="9">
        <v>26</v>
      </c>
      <c r="AG93" s="9">
        <v>24</v>
      </c>
      <c r="AH93" s="9">
        <v>22</v>
      </c>
      <c r="AI93" s="9">
        <v>22</v>
      </c>
      <c r="AJ93" s="9">
        <v>20</v>
      </c>
      <c r="AK93" s="9">
        <v>22</v>
      </c>
      <c r="AL93" s="9">
        <v>24</v>
      </c>
      <c r="AM93" s="9">
        <v>24</v>
      </c>
      <c r="AN93" s="9">
        <v>25</v>
      </c>
      <c r="AO93" s="9">
        <v>25</v>
      </c>
      <c r="AP93" s="9">
        <v>25</v>
      </c>
      <c r="AQ93" s="9">
        <v>25</v>
      </c>
      <c r="AR93" s="9">
        <v>25</v>
      </c>
      <c r="AS93" s="9">
        <v>24</v>
      </c>
      <c r="AT93" s="9">
        <v>24</v>
      </c>
      <c r="AU93" s="9">
        <v>23</v>
      </c>
      <c r="AV93" s="9">
        <v>22</v>
      </c>
      <c r="AW93" s="9">
        <v>21</v>
      </c>
      <c r="AX93" s="9">
        <v>20</v>
      </c>
      <c r="AY93" s="9">
        <v>21</v>
      </c>
      <c r="AZ93" s="9">
        <v>20</v>
      </c>
      <c r="BA93" s="9">
        <v>19</v>
      </c>
      <c r="BB93" s="9">
        <v>17</v>
      </c>
      <c r="BC93" s="9">
        <v>15</v>
      </c>
      <c r="BD93" s="9">
        <v>15</v>
      </c>
      <c r="BE93" s="9">
        <v>14</v>
      </c>
      <c r="BF93" s="9">
        <v>15</v>
      </c>
      <c r="BG93" s="9">
        <v>16</v>
      </c>
      <c r="BH93" s="9">
        <v>17</v>
      </c>
      <c r="BI93" s="9">
        <v>17</v>
      </c>
      <c r="BJ93" s="9">
        <v>15</v>
      </c>
      <c r="BK93" s="9">
        <v>15</v>
      </c>
      <c r="BL93" s="9">
        <v>16</v>
      </c>
      <c r="BM93" s="9">
        <v>16</v>
      </c>
      <c r="BN93" s="9">
        <v>16</v>
      </c>
      <c r="BO93" s="9">
        <v>16</v>
      </c>
      <c r="BP93" s="9">
        <v>16</v>
      </c>
      <c r="BQ93" s="9">
        <v>29</v>
      </c>
      <c r="BR93" s="9">
        <v>16</v>
      </c>
      <c r="BS93" s="9">
        <v>16</v>
      </c>
      <c r="BT93" s="9">
        <v>16</v>
      </c>
      <c r="BU93" s="9">
        <v>16</v>
      </c>
      <c r="BV93" s="9">
        <v>14</v>
      </c>
      <c r="BW93" s="9">
        <v>14</v>
      </c>
      <c r="BX93" s="9">
        <v>12</v>
      </c>
      <c r="BY93" s="9">
        <v>12</v>
      </c>
      <c r="BZ93" s="9">
        <v>13</v>
      </c>
      <c r="CA93" s="9">
        <v>12</v>
      </c>
      <c r="CB93" s="9">
        <v>12</v>
      </c>
      <c r="CC93" s="9">
        <v>12</v>
      </c>
      <c r="CD93" s="9">
        <v>12</v>
      </c>
      <c r="CE93" s="9">
        <v>10</v>
      </c>
      <c r="CF93" s="9">
        <v>1</v>
      </c>
      <c r="CG93" s="9">
        <v>9</v>
      </c>
      <c r="CH93" s="9">
        <v>9</v>
      </c>
      <c r="CI93" s="9">
        <v>7</v>
      </c>
      <c r="CJ93" s="9">
        <v>7</v>
      </c>
      <c r="CK93" s="9">
        <v>11</v>
      </c>
      <c r="CL93" s="9">
        <v>13</v>
      </c>
      <c r="CM93" s="9">
        <v>13</v>
      </c>
      <c r="CN93" s="9">
        <v>1</v>
      </c>
      <c r="CO93" s="9">
        <v>1</v>
      </c>
      <c r="CP93" s="9">
        <v>1</v>
      </c>
      <c r="CQ93" s="9">
        <v>1</v>
      </c>
      <c r="CR93" s="9">
        <v>1</v>
      </c>
      <c r="CS93" s="9">
        <v>1</v>
      </c>
      <c r="CT93" s="9">
        <v>1</v>
      </c>
      <c r="CU93" s="9">
        <v>1</v>
      </c>
      <c r="CV93" s="9">
        <v>1</v>
      </c>
      <c r="CW93" s="9">
        <v>1</v>
      </c>
      <c r="CX93" s="9">
        <v>1</v>
      </c>
      <c r="CY93" s="9">
        <v>1</v>
      </c>
      <c r="CZ93" s="9">
        <v>1</v>
      </c>
      <c r="DA93" s="9">
        <v>1</v>
      </c>
      <c r="DB93" s="9">
        <v>1</v>
      </c>
      <c r="DC93" s="9">
        <v>1</v>
      </c>
      <c r="DD93" s="9">
        <v>1</v>
      </c>
      <c r="DE93" s="9">
        <v>1</v>
      </c>
      <c r="DF93" s="9">
        <v>1</v>
      </c>
      <c r="DG93" s="9">
        <v>1</v>
      </c>
      <c r="DH93" s="9">
        <v>1</v>
      </c>
      <c r="DI93" s="9">
        <v>1</v>
      </c>
      <c r="DJ93" s="9">
        <v>1</v>
      </c>
      <c r="DK93" s="9">
        <v>1</v>
      </c>
      <c r="DL93" s="9">
        <v>1</v>
      </c>
      <c r="DM93" s="9">
        <v>1</v>
      </c>
      <c r="DN93" s="9">
        <v>1</v>
      </c>
      <c r="DO93" s="9">
        <v>1</v>
      </c>
      <c r="DP93" s="9">
        <v>1</v>
      </c>
      <c r="DQ93" s="9">
        <v>1</v>
      </c>
      <c r="DR93" s="9">
        <v>1</v>
      </c>
      <c r="DS93" s="9">
        <v>1</v>
      </c>
      <c r="DT93" s="9">
        <v>1</v>
      </c>
      <c r="DU93" s="9">
        <v>1</v>
      </c>
      <c r="DV93" s="9">
        <v>1</v>
      </c>
      <c r="DW93" s="9">
        <v>1</v>
      </c>
      <c r="DX93" s="9">
        <v>0</v>
      </c>
      <c r="DY93" s="9">
        <v>0</v>
      </c>
      <c r="DZ93" s="9">
        <v>0</v>
      </c>
      <c r="EA93" s="9">
        <v>0</v>
      </c>
      <c r="EB93" s="9">
        <v>0</v>
      </c>
      <c r="EC93" s="9">
        <v>0</v>
      </c>
      <c r="ED93" s="9">
        <v>0</v>
      </c>
      <c r="EE93" s="9">
        <v>0</v>
      </c>
      <c r="EF93" s="9">
        <v>0</v>
      </c>
      <c r="EG93" s="9">
        <v>0</v>
      </c>
      <c r="EH93" s="9">
        <v>0</v>
      </c>
      <c r="EI93" s="9">
        <v>0</v>
      </c>
      <c r="EJ93" s="9">
        <v>0</v>
      </c>
      <c r="EK93" s="9">
        <v>0</v>
      </c>
      <c r="EL93" s="9">
        <v>0</v>
      </c>
      <c r="EM93" s="9">
        <v>0</v>
      </c>
      <c r="EN93" s="9">
        <v>0</v>
      </c>
      <c r="EO93" s="9">
        <v>0</v>
      </c>
      <c r="EP93" s="9">
        <v>0</v>
      </c>
      <c r="EQ93" s="9">
        <v>0</v>
      </c>
      <c r="ER93" s="9">
        <v>0</v>
      </c>
      <c r="ES93" s="9">
        <v>0</v>
      </c>
      <c r="ET93" s="9">
        <v>0</v>
      </c>
      <c r="EU93" s="9">
        <v>0</v>
      </c>
      <c r="EV93" s="9">
        <v>0</v>
      </c>
      <c r="EW93" s="9">
        <v>0</v>
      </c>
      <c r="EX93" s="9">
        <v>0</v>
      </c>
      <c r="EY93" s="9">
        <v>0</v>
      </c>
      <c r="EZ93" s="9">
        <v>0</v>
      </c>
      <c r="FA93" s="9">
        <v>0</v>
      </c>
      <c r="FB93" s="9">
        <v>0</v>
      </c>
      <c r="FC93" s="9">
        <v>0</v>
      </c>
      <c r="FD93" s="9">
        <v>0</v>
      </c>
      <c r="FE93" s="9">
        <v>0</v>
      </c>
      <c r="FF93" s="9">
        <v>0</v>
      </c>
      <c r="FG93" s="9">
        <v>0</v>
      </c>
      <c r="FH93" s="9">
        <v>0</v>
      </c>
      <c r="FI93" s="9">
        <v>0</v>
      </c>
      <c r="FJ93" s="9">
        <v>0</v>
      </c>
      <c r="FK93" s="9">
        <v>0</v>
      </c>
      <c r="FL93" s="9">
        <v>0</v>
      </c>
      <c r="FM93" s="10">
        <v>0</v>
      </c>
    </row>
    <row r="94" spans="1:169" x14ac:dyDescent="0.35">
      <c r="A94" s="8" t="s">
        <v>73</v>
      </c>
      <c r="B94" s="9" t="s">
        <v>168</v>
      </c>
      <c r="C94" s="10" t="s">
        <v>169</v>
      </c>
      <c r="D94" s="62">
        <f t="shared" si="98"/>
        <v>432</v>
      </c>
      <c r="E94" s="9">
        <v>74</v>
      </c>
      <c r="F94" s="9">
        <v>83</v>
      </c>
      <c r="G94" s="9">
        <v>99</v>
      </c>
      <c r="H94" s="9">
        <v>113</v>
      </c>
      <c r="I94" s="9">
        <v>121</v>
      </c>
      <c r="J94" s="9">
        <v>140</v>
      </c>
      <c r="K94" s="9">
        <v>167</v>
      </c>
      <c r="L94" s="9">
        <v>183</v>
      </c>
      <c r="M94" s="9">
        <v>205</v>
      </c>
      <c r="N94" s="9">
        <v>243</v>
      </c>
      <c r="O94" s="9">
        <v>252</v>
      </c>
      <c r="P94" s="9">
        <v>254</v>
      </c>
      <c r="Q94" s="9">
        <v>275</v>
      </c>
      <c r="R94" s="9">
        <v>281</v>
      </c>
      <c r="S94" s="9">
        <v>328</v>
      </c>
      <c r="T94" s="9">
        <v>325</v>
      </c>
      <c r="U94" s="9">
        <v>333</v>
      </c>
      <c r="V94" s="9">
        <v>352</v>
      </c>
      <c r="W94" s="9">
        <v>360</v>
      </c>
      <c r="X94" s="9">
        <v>342</v>
      </c>
      <c r="Y94" s="9">
        <v>432</v>
      </c>
      <c r="Z94" s="9">
        <v>334</v>
      </c>
      <c r="AA94" s="9">
        <v>341</v>
      </c>
      <c r="AB94" s="9">
        <v>334</v>
      </c>
      <c r="AC94" s="9">
        <v>334</v>
      </c>
      <c r="AD94" s="9">
        <v>332</v>
      </c>
      <c r="AE94" s="9">
        <v>318</v>
      </c>
      <c r="AF94" s="9">
        <v>309</v>
      </c>
      <c r="AG94" s="9">
        <v>323</v>
      </c>
      <c r="AH94" s="9">
        <v>317</v>
      </c>
      <c r="AI94" s="9">
        <v>311</v>
      </c>
      <c r="AJ94" s="9">
        <v>314</v>
      </c>
      <c r="AK94" s="9">
        <v>291</v>
      </c>
      <c r="AL94" s="9">
        <v>281</v>
      </c>
      <c r="AM94" s="9">
        <v>257</v>
      </c>
      <c r="AN94" s="9">
        <v>237</v>
      </c>
      <c r="AO94" s="9">
        <v>225</v>
      </c>
      <c r="AP94" s="9">
        <v>215</v>
      </c>
      <c r="AQ94" s="9">
        <v>212</v>
      </c>
      <c r="AR94" s="9">
        <v>190</v>
      </c>
      <c r="AS94" s="9">
        <v>194</v>
      </c>
      <c r="AT94" s="9">
        <v>190</v>
      </c>
      <c r="AU94" s="9">
        <v>158</v>
      </c>
      <c r="AV94" s="9">
        <v>160</v>
      </c>
      <c r="AW94" s="9">
        <v>151</v>
      </c>
      <c r="AX94" s="9">
        <v>125</v>
      </c>
      <c r="AY94" s="9">
        <v>106</v>
      </c>
      <c r="AZ94" s="9">
        <v>130</v>
      </c>
      <c r="BA94" s="9">
        <v>123</v>
      </c>
      <c r="BB94" s="9">
        <v>165</v>
      </c>
      <c r="BC94" s="9">
        <v>183</v>
      </c>
      <c r="BD94" s="9">
        <v>160</v>
      </c>
      <c r="BE94" s="9">
        <v>159</v>
      </c>
      <c r="BF94" s="9">
        <v>161</v>
      </c>
      <c r="BG94" s="9">
        <v>151</v>
      </c>
      <c r="BH94" s="9">
        <v>141</v>
      </c>
      <c r="BI94" s="9">
        <v>139</v>
      </c>
      <c r="BJ94" s="9">
        <v>130</v>
      </c>
      <c r="BK94" s="9">
        <v>134</v>
      </c>
      <c r="BL94" s="9">
        <v>127</v>
      </c>
      <c r="BM94" s="9">
        <v>132</v>
      </c>
      <c r="BN94" s="9">
        <v>130</v>
      </c>
      <c r="BO94" s="9">
        <v>125</v>
      </c>
      <c r="BP94" s="9">
        <v>123</v>
      </c>
      <c r="BQ94" s="9">
        <v>130</v>
      </c>
      <c r="BR94" s="9">
        <v>129</v>
      </c>
      <c r="BS94" s="9">
        <v>126</v>
      </c>
      <c r="BT94" s="9">
        <v>132</v>
      </c>
      <c r="BU94" s="9">
        <v>118</v>
      </c>
      <c r="BV94" s="9">
        <v>111</v>
      </c>
      <c r="BW94" s="9">
        <v>100</v>
      </c>
      <c r="BX94" s="9">
        <v>94</v>
      </c>
      <c r="BY94" s="9">
        <v>96</v>
      </c>
      <c r="BZ94" s="9">
        <v>95</v>
      </c>
      <c r="CA94" s="9">
        <v>92</v>
      </c>
      <c r="CB94" s="9">
        <v>90</v>
      </c>
      <c r="CC94" s="9">
        <v>86</v>
      </c>
      <c r="CD94" s="9">
        <v>86</v>
      </c>
      <c r="CE94" s="9">
        <v>80</v>
      </c>
      <c r="CF94" s="9">
        <v>76</v>
      </c>
      <c r="CG94" s="9">
        <v>78</v>
      </c>
      <c r="CH94" s="9">
        <v>87</v>
      </c>
      <c r="CI94" s="9">
        <v>89</v>
      </c>
      <c r="CJ94" s="9">
        <v>82</v>
      </c>
      <c r="CK94" s="9">
        <v>59</v>
      </c>
      <c r="CL94" s="9">
        <v>54</v>
      </c>
      <c r="CM94" s="9">
        <v>54</v>
      </c>
      <c r="CN94" s="9">
        <v>52</v>
      </c>
      <c r="CO94" s="9">
        <v>53</v>
      </c>
      <c r="CP94" s="9">
        <v>49</v>
      </c>
      <c r="CQ94" s="9">
        <v>51</v>
      </c>
      <c r="CR94" s="9">
        <v>50</v>
      </c>
      <c r="CS94" s="9">
        <v>50</v>
      </c>
      <c r="CT94" s="9">
        <v>52</v>
      </c>
      <c r="CU94" s="9">
        <v>49</v>
      </c>
      <c r="CV94" s="9">
        <v>50</v>
      </c>
      <c r="CW94" s="9">
        <v>55</v>
      </c>
      <c r="CX94" s="9">
        <v>66</v>
      </c>
      <c r="CY94" s="9">
        <v>69</v>
      </c>
      <c r="CZ94" s="9">
        <v>63</v>
      </c>
      <c r="DA94" s="9">
        <v>60</v>
      </c>
      <c r="DB94" s="9">
        <v>62</v>
      </c>
      <c r="DC94" s="9">
        <v>54</v>
      </c>
      <c r="DD94" s="9">
        <v>50</v>
      </c>
      <c r="DE94" s="9">
        <v>52</v>
      </c>
      <c r="DF94" s="9">
        <v>46</v>
      </c>
      <c r="DG94" s="9">
        <v>45</v>
      </c>
      <c r="DH94" s="9">
        <v>43</v>
      </c>
      <c r="DI94" s="9">
        <v>44</v>
      </c>
      <c r="DJ94" s="9">
        <v>41</v>
      </c>
      <c r="DK94" s="9">
        <v>41</v>
      </c>
      <c r="DL94" s="9">
        <v>43</v>
      </c>
      <c r="DM94" s="9">
        <v>42</v>
      </c>
      <c r="DN94" s="9">
        <v>0</v>
      </c>
      <c r="DO94" s="9">
        <v>41</v>
      </c>
      <c r="DP94" s="9">
        <v>43</v>
      </c>
      <c r="DQ94" s="9">
        <v>40</v>
      </c>
      <c r="DR94" s="9">
        <v>38</v>
      </c>
      <c r="DS94" s="9">
        <v>33</v>
      </c>
      <c r="DT94" s="9">
        <v>34</v>
      </c>
      <c r="DU94" s="9">
        <v>31</v>
      </c>
      <c r="DV94" s="9">
        <v>30</v>
      </c>
      <c r="DW94" s="9">
        <v>28</v>
      </c>
      <c r="DX94" s="9">
        <v>29</v>
      </c>
      <c r="DY94" s="9">
        <v>27</v>
      </c>
      <c r="DZ94" s="9">
        <v>30</v>
      </c>
      <c r="EA94" s="9">
        <v>31</v>
      </c>
      <c r="EB94" s="9">
        <v>0</v>
      </c>
      <c r="EC94" s="9">
        <v>31</v>
      </c>
      <c r="ED94" s="9">
        <v>29</v>
      </c>
      <c r="EE94" s="9">
        <v>24</v>
      </c>
      <c r="EF94" s="9">
        <v>21</v>
      </c>
      <c r="EG94" s="9">
        <v>22</v>
      </c>
      <c r="EH94" s="9">
        <v>21</v>
      </c>
      <c r="EI94" s="9">
        <v>17</v>
      </c>
      <c r="EJ94" s="9">
        <v>17</v>
      </c>
      <c r="EK94" s="9">
        <v>18</v>
      </c>
      <c r="EL94" s="9">
        <v>16</v>
      </c>
      <c r="EM94" s="9">
        <v>15</v>
      </c>
      <c r="EN94" s="9">
        <v>15</v>
      </c>
      <c r="EO94" s="9">
        <v>13</v>
      </c>
      <c r="EP94" s="9">
        <v>14</v>
      </c>
      <c r="EQ94" s="9">
        <v>13</v>
      </c>
      <c r="ER94" s="9">
        <v>14</v>
      </c>
      <c r="ES94" s="9">
        <v>14</v>
      </c>
      <c r="ET94" s="9">
        <v>14</v>
      </c>
      <c r="EU94" s="9">
        <v>13</v>
      </c>
      <c r="EV94" s="9">
        <v>18</v>
      </c>
      <c r="EW94" s="9">
        <v>15</v>
      </c>
      <c r="EX94" s="9">
        <v>9</v>
      </c>
      <c r="EY94" s="9">
        <v>14</v>
      </c>
      <c r="EZ94" s="9">
        <v>13</v>
      </c>
      <c r="FA94" s="9">
        <v>13</v>
      </c>
      <c r="FB94" s="9">
        <v>12</v>
      </c>
      <c r="FC94" s="9">
        <v>11</v>
      </c>
      <c r="FD94" s="9">
        <v>13</v>
      </c>
      <c r="FE94" s="9">
        <v>12</v>
      </c>
      <c r="FF94" s="9">
        <v>12</v>
      </c>
      <c r="FG94" s="9">
        <v>12</v>
      </c>
      <c r="FH94" s="9">
        <v>11</v>
      </c>
      <c r="FI94" s="9">
        <v>11</v>
      </c>
      <c r="FJ94" s="9">
        <v>10</v>
      </c>
      <c r="FK94" s="9">
        <v>0</v>
      </c>
      <c r="FL94" s="9">
        <v>0</v>
      </c>
      <c r="FM94" s="10">
        <v>0</v>
      </c>
    </row>
    <row r="95" spans="1:169" x14ac:dyDescent="0.35">
      <c r="A95" s="8" t="s">
        <v>73</v>
      </c>
      <c r="B95" s="9" t="s">
        <v>170</v>
      </c>
      <c r="C95" s="10" t="s">
        <v>171</v>
      </c>
      <c r="D95" s="62">
        <f t="shared" si="98"/>
        <v>113</v>
      </c>
      <c r="E95" s="9">
        <v>0</v>
      </c>
      <c r="F95" s="9">
        <v>0</v>
      </c>
      <c r="G95" s="9">
        <v>0</v>
      </c>
      <c r="H95" s="9">
        <v>0</v>
      </c>
      <c r="I95" s="9">
        <v>1</v>
      </c>
      <c r="J95" s="9">
        <v>6</v>
      </c>
      <c r="K95" s="9">
        <v>1</v>
      </c>
      <c r="L95" s="9">
        <v>0</v>
      </c>
      <c r="M95" s="9">
        <v>0</v>
      </c>
      <c r="N95" s="9">
        <v>3</v>
      </c>
      <c r="O95" s="9">
        <v>3</v>
      </c>
      <c r="P95" s="9">
        <v>0</v>
      </c>
      <c r="Q95" s="9">
        <v>28</v>
      </c>
      <c r="R95" s="9">
        <v>4</v>
      </c>
      <c r="S95" s="9">
        <v>0</v>
      </c>
      <c r="T95" s="9">
        <v>10</v>
      </c>
      <c r="U95" s="9">
        <v>11</v>
      </c>
      <c r="V95" s="9">
        <v>0</v>
      </c>
      <c r="W95" s="9">
        <v>15</v>
      </c>
      <c r="X95" s="9">
        <v>25</v>
      </c>
      <c r="Y95" s="9">
        <v>33</v>
      </c>
      <c r="Z95" s="9">
        <v>33</v>
      </c>
      <c r="AA95" s="9">
        <v>0</v>
      </c>
      <c r="AB95" s="9">
        <v>44</v>
      </c>
      <c r="AC95" s="9">
        <v>61</v>
      </c>
      <c r="AD95" s="9">
        <v>65</v>
      </c>
      <c r="AE95" s="9">
        <v>76</v>
      </c>
      <c r="AF95" s="9">
        <v>70</v>
      </c>
      <c r="AG95" s="9">
        <v>73</v>
      </c>
      <c r="AH95" s="9">
        <v>0</v>
      </c>
      <c r="AI95" s="9">
        <v>97</v>
      </c>
      <c r="AJ95" s="9">
        <v>113</v>
      </c>
      <c r="AK95" s="9">
        <v>100</v>
      </c>
      <c r="AL95" s="9">
        <v>113</v>
      </c>
      <c r="AM95" s="9">
        <v>74</v>
      </c>
      <c r="AN95" s="9">
        <v>74</v>
      </c>
      <c r="AO95" s="9">
        <v>71</v>
      </c>
      <c r="AP95" s="9">
        <v>71</v>
      </c>
      <c r="AQ95" s="9">
        <v>84</v>
      </c>
      <c r="AR95" s="9">
        <v>83</v>
      </c>
      <c r="AS95" s="9">
        <v>83</v>
      </c>
      <c r="AT95" s="9">
        <v>78</v>
      </c>
      <c r="AU95" s="9">
        <v>70</v>
      </c>
      <c r="AV95" s="9">
        <v>70</v>
      </c>
      <c r="AW95" s="9">
        <v>65</v>
      </c>
      <c r="AX95" s="9">
        <v>66</v>
      </c>
      <c r="AY95" s="9">
        <v>52</v>
      </c>
      <c r="AZ95" s="9">
        <v>51</v>
      </c>
      <c r="BA95" s="9">
        <v>50</v>
      </c>
      <c r="BB95" s="9">
        <v>47</v>
      </c>
      <c r="BC95" s="9">
        <v>46</v>
      </c>
      <c r="BD95" s="9">
        <v>46</v>
      </c>
      <c r="BE95" s="9">
        <v>42</v>
      </c>
      <c r="BF95" s="9">
        <v>34</v>
      </c>
      <c r="BG95" s="9">
        <v>35</v>
      </c>
      <c r="BH95" s="9">
        <v>29</v>
      </c>
      <c r="BI95" s="9">
        <v>29</v>
      </c>
      <c r="BJ95" s="9">
        <v>31</v>
      </c>
      <c r="BK95" s="9">
        <v>31</v>
      </c>
      <c r="BL95" s="9">
        <v>31</v>
      </c>
      <c r="BM95" s="9">
        <v>31</v>
      </c>
      <c r="BN95" s="9">
        <v>31</v>
      </c>
      <c r="BO95" s="9">
        <v>32</v>
      </c>
      <c r="BP95" s="9">
        <v>33</v>
      </c>
      <c r="BQ95" s="9">
        <v>36</v>
      </c>
      <c r="BR95" s="9">
        <v>36</v>
      </c>
      <c r="BS95" s="9">
        <v>36</v>
      </c>
      <c r="BT95" s="9">
        <v>36</v>
      </c>
      <c r="BU95" s="9">
        <v>28</v>
      </c>
      <c r="BV95" s="9">
        <v>28</v>
      </c>
      <c r="BW95" s="9">
        <v>21</v>
      </c>
      <c r="BX95" s="9">
        <v>0</v>
      </c>
      <c r="BY95" s="9">
        <v>23</v>
      </c>
      <c r="BZ95" s="9">
        <v>0</v>
      </c>
      <c r="CA95" s="9">
        <v>21</v>
      </c>
      <c r="CB95" s="9">
        <v>21</v>
      </c>
      <c r="CC95" s="9">
        <v>17</v>
      </c>
      <c r="CD95" s="9">
        <v>16</v>
      </c>
      <c r="CE95" s="9">
        <v>16</v>
      </c>
      <c r="CF95" s="9">
        <v>16</v>
      </c>
      <c r="CG95" s="9">
        <v>16</v>
      </c>
      <c r="CH95" s="9">
        <v>19</v>
      </c>
      <c r="CI95" s="9">
        <v>19</v>
      </c>
      <c r="CJ95" s="9">
        <v>16</v>
      </c>
      <c r="CK95" s="9">
        <v>14</v>
      </c>
      <c r="CL95" s="9">
        <v>11</v>
      </c>
      <c r="CM95" s="9">
        <v>11</v>
      </c>
      <c r="CN95" s="9">
        <v>11</v>
      </c>
      <c r="CO95" s="9">
        <v>10</v>
      </c>
      <c r="CP95" s="9">
        <v>10</v>
      </c>
      <c r="CQ95" s="9">
        <v>6</v>
      </c>
      <c r="CR95" s="9">
        <v>6</v>
      </c>
      <c r="CS95" s="9">
        <v>6</v>
      </c>
      <c r="CT95" s="9">
        <v>6</v>
      </c>
      <c r="CU95" s="9">
        <v>7</v>
      </c>
      <c r="CV95" s="9">
        <v>6</v>
      </c>
      <c r="CW95" s="9">
        <v>5</v>
      </c>
      <c r="CX95" s="9">
        <v>5</v>
      </c>
      <c r="CY95" s="9">
        <v>5</v>
      </c>
      <c r="CZ95" s="9">
        <v>6</v>
      </c>
      <c r="DA95" s="9">
        <v>6</v>
      </c>
      <c r="DB95" s="9">
        <v>6</v>
      </c>
      <c r="DC95" s="9">
        <v>3</v>
      </c>
      <c r="DD95" s="9">
        <v>3</v>
      </c>
      <c r="DE95" s="9">
        <v>1</v>
      </c>
      <c r="DF95" s="9">
        <v>1</v>
      </c>
      <c r="DG95" s="9">
        <v>1</v>
      </c>
      <c r="DH95" s="9">
        <v>1</v>
      </c>
      <c r="DI95" s="9">
        <v>1</v>
      </c>
      <c r="DJ95" s="9">
        <v>0</v>
      </c>
      <c r="DK95" s="9">
        <v>0</v>
      </c>
      <c r="DL95" s="9">
        <v>0</v>
      </c>
      <c r="DM95" s="9">
        <v>0</v>
      </c>
      <c r="DN95" s="9">
        <v>0</v>
      </c>
      <c r="DO95" s="9">
        <v>0</v>
      </c>
      <c r="DP95" s="9">
        <v>0</v>
      </c>
      <c r="DQ95" s="9">
        <v>0</v>
      </c>
      <c r="DR95" s="9">
        <v>0</v>
      </c>
      <c r="DS95" s="9">
        <v>0</v>
      </c>
      <c r="DT95" s="9">
        <v>0</v>
      </c>
      <c r="DU95" s="9">
        <v>0</v>
      </c>
      <c r="DV95" s="9">
        <v>1</v>
      </c>
      <c r="DW95" s="9">
        <v>1</v>
      </c>
      <c r="DX95" s="9">
        <v>2</v>
      </c>
      <c r="DY95" s="9">
        <v>2</v>
      </c>
      <c r="DZ95" s="9">
        <v>1</v>
      </c>
      <c r="EA95" s="9">
        <v>1</v>
      </c>
      <c r="EB95" s="9">
        <v>1</v>
      </c>
      <c r="EC95" s="9">
        <v>1</v>
      </c>
      <c r="ED95" s="9">
        <v>1</v>
      </c>
      <c r="EE95" s="9">
        <v>1</v>
      </c>
      <c r="EF95" s="9">
        <v>1</v>
      </c>
      <c r="EG95" s="9">
        <v>0</v>
      </c>
      <c r="EH95" s="9">
        <v>0</v>
      </c>
      <c r="EI95" s="9">
        <v>0</v>
      </c>
      <c r="EJ95" s="9">
        <v>0</v>
      </c>
      <c r="EK95" s="9">
        <v>0</v>
      </c>
      <c r="EL95" s="9">
        <v>0</v>
      </c>
      <c r="EM95" s="9">
        <v>0</v>
      </c>
      <c r="EN95" s="9">
        <v>0</v>
      </c>
      <c r="EO95" s="9">
        <v>0</v>
      </c>
      <c r="EP95" s="9">
        <v>0</v>
      </c>
      <c r="EQ95" s="9">
        <v>0</v>
      </c>
      <c r="ER95" s="9">
        <v>0</v>
      </c>
      <c r="ES95" s="9">
        <v>0</v>
      </c>
      <c r="ET95" s="9">
        <v>0</v>
      </c>
      <c r="EU95" s="9">
        <v>0</v>
      </c>
      <c r="EV95" s="9">
        <v>0</v>
      </c>
      <c r="EW95" s="9">
        <v>0</v>
      </c>
      <c r="EX95" s="9">
        <v>0</v>
      </c>
      <c r="EY95" s="9">
        <v>0</v>
      </c>
      <c r="EZ95" s="9">
        <v>0</v>
      </c>
      <c r="FA95" s="9">
        <v>0</v>
      </c>
      <c r="FB95" s="9">
        <v>0</v>
      </c>
      <c r="FC95" s="9">
        <v>0</v>
      </c>
      <c r="FD95" s="9">
        <v>0</v>
      </c>
      <c r="FE95" s="9">
        <v>0</v>
      </c>
      <c r="FF95" s="9">
        <v>0</v>
      </c>
      <c r="FG95" s="9">
        <v>0</v>
      </c>
      <c r="FH95" s="9">
        <v>0</v>
      </c>
      <c r="FI95" s="9">
        <v>0</v>
      </c>
      <c r="FJ95" s="9">
        <v>0</v>
      </c>
      <c r="FK95" s="9">
        <v>0</v>
      </c>
      <c r="FL95" s="9">
        <v>0</v>
      </c>
      <c r="FM95" s="10">
        <v>0</v>
      </c>
    </row>
    <row r="96" spans="1:169" x14ac:dyDescent="0.35">
      <c r="A96" s="8" t="s">
        <v>73</v>
      </c>
      <c r="B96" s="9" t="s">
        <v>172</v>
      </c>
      <c r="C96" s="10" t="s">
        <v>173</v>
      </c>
      <c r="D96" s="62">
        <f t="shared" si="98"/>
        <v>22</v>
      </c>
      <c r="E96" s="9">
        <v>1</v>
      </c>
      <c r="F96" s="9">
        <v>0</v>
      </c>
      <c r="G96" s="9">
        <v>0</v>
      </c>
      <c r="H96" s="9">
        <v>1</v>
      </c>
      <c r="I96" s="9">
        <v>1</v>
      </c>
      <c r="J96" s="9">
        <v>1</v>
      </c>
      <c r="K96" s="9">
        <v>1</v>
      </c>
      <c r="L96" s="9">
        <v>1</v>
      </c>
      <c r="M96" s="9">
        <v>4</v>
      </c>
      <c r="N96" s="9">
        <v>4</v>
      </c>
      <c r="O96" s="9">
        <v>4</v>
      </c>
      <c r="P96" s="9">
        <v>5</v>
      </c>
      <c r="Q96" s="9">
        <v>7</v>
      </c>
      <c r="R96" s="9">
        <v>8</v>
      </c>
      <c r="S96" s="9">
        <v>7</v>
      </c>
      <c r="T96" s="9">
        <v>9</v>
      </c>
      <c r="U96" s="9">
        <v>10</v>
      </c>
      <c r="V96" s="9">
        <v>11</v>
      </c>
      <c r="W96" s="9">
        <v>13</v>
      </c>
      <c r="X96" s="9">
        <v>15</v>
      </c>
      <c r="Y96" s="9">
        <v>17</v>
      </c>
      <c r="Z96" s="9">
        <v>19</v>
      </c>
      <c r="AA96" s="9">
        <v>20</v>
      </c>
      <c r="AB96" s="9">
        <v>20</v>
      </c>
      <c r="AC96" s="9">
        <v>21</v>
      </c>
      <c r="AD96" s="9">
        <v>22</v>
      </c>
      <c r="AE96" s="9">
        <v>13</v>
      </c>
      <c r="AF96" s="9">
        <v>9</v>
      </c>
      <c r="AG96" s="9">
        <v>9</v>
      </c>
      <c r="AH96" s="9">
        <v>5</v>
      </c>
      <c r="AI96" s="9">
        <v>6</v>
      </c>
      <c r="AJ96" s="9">
        <v>5</v>
      </c>
      <c r="AK96" s="9">
        <v>4</v>
      </c>
      <c r="AL96" s="9">
        <v>3</v>
      </c>
      <c r="AM96" s="9">
        <v>4</v>
      </c>
      <c r="AN96" s="9">
        <v>4</v>
      </c>
      <c r="AO96" s="9">
        <v>4</v>
      </c>
      <c r="AP96" s="9">
        <v>8</v>
      </c>
      <c r="AQ96" s="9">
        <v>8</v>
      </c>
      <c r="AR96" s="9">
        <v>8</v>
      </c>
      <c r="AS96" s="9">
        <v>5</v>
      </c>
      <c r="AT96" s="9">
        <v>5</v>
      </c>
      <c r="AU96" s="9">
        <v>4</v>
      </c>
      <c r="AV96" s="9">
        <v>3</v>
      </c>
      <c r="AW96" s="9">
        <v>3</v>
      </c>
      <c r="AX96" s="9">
        <v>2</v>
      </c>
      <c r="AY96" s="9">
        <v>2</v>
      </c>
      <c r="AZ96" s="9">
        <v>1</v>
      </c>
      <c r="BA96" s="9">
        <v>0</v>
      </c>
      <c r="BB96" s="9">
        <v>0</v>
      </c>
      <c r="BC96" s="9">
        <v>1</v>
      </c>
      <c r="BD96" s="9">
        <v>1</v>
      </c>
      <c r="BE96" s="9">
        <v>1</v>
      </c>
      <c r="BF96" s="9">
        <v>0</v>
      </c>
      <c r="BG96" s="9">
        <v>0</v>
      </c>
      <c r="BH96" s="9">
        <v>0</v>
      </c>
      <c r="BI96" s="9">
        <v>0</v>
      </c>
      <c r="BJ96" s="9">
        <v>0</v>
      </c>
      <c r="BK96" s="9">
        <v>0</v>
      </c>
      <c r="BL96" s="9">
        <v>0</v>
      </c>
      <c r="BM96" s="9">
        <v>0</v>
      </c>
      <c r="BN96" s="9">
        <v>0</v>
      </c>
      <c r="BO96" s="9">
        <v>0</v>
      </c>
      <c r="BP96" s="9">
        <v>0</v>
      </c>
      <c r="BQ96" s="9">
        <v>0</v>
      </c>
      <c r="BR96" s="9">
        <v>0</v>
      </c>
      <c r="BS96" s="9">
        <v>0</v>
      </c>
      <c r="BT96" s="9">
        <v>0</v>
      </c>
      <c r="BU96" s="9">
        <v>0</v>
      </c>
      <c r="BV96" s="9">
        <v>0</v>
      </c>
      <c r="BW96" s="9">
        <v>0</v>
      </c>
      <c r="BX96" s="9">
        <v>0</v>
      </c>
      <c r="BY96" s="9">
        <v>0</v>
      </c>
      <c r="BZ96" s="9">
        <v>0</v>
      </c>
      <c r="CA96" s="9">
        <v>0</v>
      </c>
      <c r="CB96" s="9">
        <v>0</v>
      </c>
      <c r="CC96" s="9">
        <v>0</v>
      </c>
      <c r="CD96" s="9">
        <v>0</v>
      </c>
      <c r="CE96" s="9">
        <v>0</v>
      </c>
      <c r="CF96" s="9">
        <v>0</v>
      </c>
      <c r="CG96" s="9">
        <v>0</v>
      </c>
      <c r="CH96" s="9">
        <v>0</v>
      </c>
      <c r="CI96" s="9">
        <v>0</v>
      </c>
      <c r="CJ96" s="9">
        <v>0</v>
      </c>
      <c r="CK96" s="9">
        <v>0</v>
      </c>
      <c r="CL96" s="9">
        <v>0</v>
      </c>
      <c r="CM96" s="9">
        <v>0</v>
      </c>
      <c r="CN96" s="9">
        <v>0</v>
      </c>
      <c r="CO96" s="9">
        <v>0</v>
      </c>
      <c r="CP96" s="9">
        <v>0</v>
      </c>
      <c r="CQ96" s="9">
        <v>0</v>
      </c>
      <c r="CR96" s="9">
        <v>0</v>
      </c>
      <c r="CS96" s="9">
        <v>0</v>
      </c>
      <c r="CT96" s="9">
        <v>0</v>
      </c>
      <c r="CU96" s="9">
        <v>0</v>
      </c>
      <c r="CV96" s="9">
        <v>0</v>
      </c>
      <c r="CW96" s="9">
        <v>0</v>
      </c>
      <c r="CX96" s="9">
        <v>0</v>
      </c>
      <c r="CY96" s="9">
        <v>0</v>
      </c>
      <c r="CZ96" s="9">
        <v>0</v>
      </c>
      <c r="DA96" s="9">
        <v>0</v>
      </c>
      <c r="DB96" s="9">
        <v>0</v>
      </c>
      <c r="DC96" s="9">
        <v>0</v>
      </c>
      <c r="DD96" s="9">
        <v>0</v>
      </c>
      <c r="DE96" s="9">
        <v>0</v>
      </c>
      <c r="DF96" s="9">
        <v>0</v>
      </c>
      <c r="DG96" s="9">
        <v>0</v>
      </c>
      <c r="DH96" s="9">
        <v>0</v>
      </c>
      <c r="DI96" s="9">
        <v>0</v>
      </c>
      <c r="DJ96" s="9">
        <v>0</v>
      </c>
      <c r="DK96" s="9">
        <v>0</v>
      </c>
      <c r="DL96" s="9">
        <v>0</v>
      </c>
      <c r="DM96" s="9">
        <v>0</v>
      </c>
      <c r="DN96" s="9">
        <v>0</v>
      </c>
      <c r="DO96" s="9">
        <v>0</v>
      </c>
      <c r="DP96" s="9">
        <v>0</v>
      </c>
      <c r="DQ96" s="9">
        <v>0</v>
      </c>
      <c r="DR96" s="9">
        <v>0</v>
      </c>
      <c r="DS96" s="9">
        <v>0</v>
      </c>
      <c r="DT96" s="9">
        <v>0</v>
      </c>
      <c r="DU96" s="9">
        <v>0</v>
      </c>
      <c r="DV96" s="9">
        <v>0</v>
      </c>
      <c r="DW96" s="9">
        <v>0</v>
      </c>
      <c r="DX96" s="9">
        <v>0</v>
      </c>
      <c r="DY96" s="9">
        <v>0</v>
      </c>
      <c r="DZ96" s="9">
        <v>0</v>
      </c>
      <c r="EA96" s="9">
        <v>0</v>
      </c>
      <c r="EB96" s="9">
        <v>0</v>
      </c>
      <c r="EC96" s="9">
        <v>0</v>
      </c>
      <c r="ED96" s="9">
        <v>0</v>
      </c>
      <c r="EE96" s="9">
        <v>0</v>
      </c>
      <c r="EF96" s="9">
        <v>0</v>
      </c>
      <c r="EG96" s="9">
        <v>0</v>
      </c>
      <c r="EH96" s="9">
        <v>0</v>
      </c>
      <c r="EI96" s="9">
        <v>0</v>
      </c>
      <c r="EJ96" s="9">
        <v>0</v>
      </c>
      <c r="EK96" s="9">
        <v>0</v>
      </c>
      <c r="EL96" s="9">
        <v>0</v>
      </c>
      <c r="EM96" s="9">
        <v>0</v>
      </c>
      <c r="EN96" s="9">
        <v>0</v>
      </c>
      <c r="EO96" s="9">
        <v>0</v>
      </c>
      <c r="EP96" s="9">
        <v>0</v>
      </c>
      <c r="EQ96" s="9">
        <v>0</v>
      </c>
      <c r="ER96" s="9">
        <v>0</v>
      </c>
      <c r="ES96" s="9">
        <v>0</v>
      </c>
      <c r="ET96" s="9">
        <v>0</v>
      </c>
      <c r="EU96" s="9">
        <v>0</v>
      </c>
      <c r="EV96" s="9">
        <v>0</v>
      </c>
      <c r="EW96" s="9">
        <v>0</v>
      </c>
      <c r="EX96" s="9">
        <v>0</v>
      </c>
      <c r="EY96" s="9">
        <v>0</v>
      </c>
      <c r="EZ96" s="9">
        <v>0</v>
      </c>
      <c r="FA96" s="9">
        <v>0</v>
      </c>
      <c r="FB96" s="9">
        <v>0</v>
      </c>
      <c r="FC96" s="9">
        <v>0</v>
      </c>
      <c r="FD96" s="9">
        <v>0</v>
      </c>
      <c r="FE96" s="9">
        <v>0</v>
      </c>
      <c r="FF96" s="9">
        <v>0</v>
      </c>
      <c r="FG96" s="9">
        <v>0</v>
      </c>
      <c r="FH96" s="9">
        <v>0</v>
      </c>
      <c r="FI96" s="9">
        <v>0</v>
      </c>
      <c r="FJ96" s="9">
        <v>0</v>
      </c>
      <c r="FK96" s="9">
        <v>0</v>
      </c>
      <c r="FL96" s="9">
        <v>0</v>
      </c>
      <c r="FM96" s="10">
        <v>0</v>
      </c>
    </row>
    <row r="97" spans="1:169" x14ac:dyDescent="0.35">
      <c r="A97" s="8" t="s">
        <v>174</v>
      </c>
      <c r="B97" s="9" t="s">
        <v>175</v>
      </c>
      <c r="C97" s="10" t="s">
        <v>176</v>
      </c>
      <c r="D97" s="62">
        <f t="shared" si="98"/>
        <v>0</v>
      </c>
      <c r="E97" s="9">
        <v>0</v>
      </c>
      <c r="F97" s="9">
        <v>0</v>
      </c>
      <c r="G97" s="9">
        <v>0</v>
      </c>
      <c r="H97" s="9">
        <v>0</v>
      </c>
      <c r="I97" s="9">
        <v>0</v>
      </c>
      <c r="J97" s="9">
        <v>0</v>
      </c>
      <c r="K97" s="9">
        <v>0</v>
      </c>
      <c r="L97" s="9">
        <v>0</v>
      </c>
      <c r="M97" s="9">
        <v>0</v>
      </c>
      <c r="N97" s="9">
        <v>0</v>
      </c>
      <c r="O97" s="9">
        <v>0</v>
      </c>
      <c r="P97" s="9">
        <v>0</v>
      </c>
      <c r="Q97" s="9">
        <v>0</v>
      </c>
      <c r="R97" s="9">
        <v>0</v>
      </c>
      <c r="S97" s="9">
        <v>0</v>
      </c>
      <c r="T97" s="9">
        <v>0</v>
      </c>
      <c r="U97" s="9">
        <v>0</v>
      </c>
      <c r="V97" s="9">
        <v>0</v>
      </c>
      <c r="W97" s="9">
        <v>0</v>
      </c>
      <c r="X97" s="9">
        <v>0</v>
      </c>
      <c r="Y97" s="9">
        <v>0</v>
      </c>
      <c r="Z97" s="9">
        <v>0</v>
      </c>
      <c r="AA97" s="9">
        <v>0</v>
      </c>
      <c r="AB97" s="9">
        <v>0</v>
      </c>
      <c r="AC97" s="9">
        <v>0</v>
      </c>
      <c r="AD97" s="9">
        <v>0</v>
      </c>
      <c r="AE97" s="9">
        <v>0</v>
      </c>
      <c r="AF97" s="9">
        <v>0</v>
      </c>
      <c r="AG97" s="9">
        <v>0</v>
      </c>
      <c r="AH97" s="9">
        <v>0</v>
      </c>
      <c r="AI97" s="9">
        <v>0</v>
      </c>
      <c r="AJ97" s="9">
        <v>0</v>
      </c>
      <c r="AK97" s="9">
        <v>0</v>
      </c>
      <c r="AL97" s="9">
        <v>0</v>
      </c>
      <c r="AM97" s="9">
        <v>0</v>
      </c>
      <c r="AN97" s="9">
        <v>0</v>
      </c>
      <c r="AO97" s="9">
        <v>0</v>
      </c>
      <c r="AP97" s="9">
        <v>0</v>
      </c>
      <c r="AQ97" s="9">
        <v>0</v>
      </c>
      <c r="AR97" s="9">
        <v>0</v>
      </c>
      <c r="AS97" s="9">
        <v>0</v>
      </c>
      <c r="AT97" s="9">
        <v>0</v>
      </c>
      <c r="AU97" s="9">
        <v>0</v>
      </c>
      <c r="AV97" s="9">
        <v>0</v>
      </c>
      <c r="AW97" s="9">
        <v>0</v>
      </c>
      <c r="AX97" s="9">
        <v>0</v>
      </c>
      <c r="AY97" s="9">
        <v>0</v>
      </c>
      <c r="AZ97" s="9">
        <v>0</v>
      </c>
      <c r="BA97" s="9">
        <v>0</v>
      </c>
      <c r="BB97" s="9">
        <v>0</v>
      </c>
      <c r="BC97" s="9">
        <v>0</v>
      </c>
      <c r="BD97" s="9">
        <v>0</v>
      </c>
      <c r="BE97" s="9">
        <v>0</v>
      </c>
      <c r="BF97" s="9">
        <v>0</v>
      </c>
      <c r="BG97" s="9">
        <v>0</v>
      </c>
      <c r="BH97" s="9">
        <v>0</v>
      </c>
      <c r="BI97" s="9">
        <v>0</v>
      </c>
      <c r="BJ97" s="9">
        <v>0</v>
      </c>
      <c r="BK97" s="9">
        <v>0</v>
      </c>
      <c r="BL97" s="9">
        <v>0</v>
      </c>
      <c r="BM97" s="9">
        <v>0</v>
      </c>
      <c r="BN97" s="9">
        <v>0</v>
      </c>
      <c r="BO97" s="9">
        <v>0</v>
      </c>
      <c r="BP97" s="9">
        <v>0</v>
      </c>
      <c r="BQ97" s="9">
        <v>0</v>
      </c>
      <c r="BR97" s="9">
        <v>0</v>
      </c>
      <c r="BS97" s="9">
        <v>0</v>
      </c>
      <c r="BT97" s="9">
        <v>0</v>
      </c>
      <c r="BU97" s="9">
        <v>0</v>
      </c>
      <c r="BV97" s="9">
        <v>0</v>
      </c>
      <c r="BW97" s="9">
        <v>0</v>
      </c>
      <c r="BX97" s="9">
        <v>0</v>
      </c>
      <c r="BY97" s="9">
        <v>0</v>
      </c>
      <c r="BZ97" s="9">
        <v>0</v>
      </c>
      <c r="CA97" s="9">
        <v>0</v>
      </c>
      <c r="CB97" s="9">
        <v>0</v>
      </c>
      <c r="CC97" s="9">
        <v>0</v>
      </c>
      <c r="CD97" s="9">
        <v>0</v>
      </c>
      <c r="CE97" s="9">
        <v>0</v>
      </c>
      <c r="CF97" s="9">
        <v>0</v>
      </c>
      <c r="CG97" s="9">
        <v>0</v>
      </c>
      <c r="CH97" s="9">
        <v>0</v>
      </c>
      <c r="CI97" s="9">
        <v>0</v>
      </c>
      <c r="CJ97" s="9">
        <v>0</v>
      </c>
      <c r="CK97" s="9">
        <v>0</v>
      </c>
      <c r="CL97" s="9">
        <v>0</v>
      </c>
      <c r="CM97" s="9">
        <v>0</v>
      </c>
      <c r="CN97" s="9">
        <v>0</v>
      </c>
      <c r="CO97" s="9">
        <v>0</v>
      </c>
      <c r="CP97" s="9">
        <v>0</v>
      </c>
      <c r="CQ97" s="9">
        <v>0</v>
      </c>
      <c r="CR97" s="9">
        <v>0</v>
      </c>
      <c r="CS97" s="9">
        <v>0</v>
      </c>
      <c r="CT97" s="9">
        <v>0</v>
      </c>
      <c r="CU97" s="9">
        <v>0</v>
      </c>
      <c r="CV97" s="9">
        <v>0</v>
      </c>
      <c r="CW97" s="9">
        <v>0</v>
      </c>
      <c r="CX97" s="9">
        <v>0</v>
      </c>
      <c r="CY97" s="9">
        <v>0</v>
      </c>
      <c r="CZ97" s="9">
        <v>0</v>
      </c>
      <c r="DA97" s="9">
        <v>0</v>
      </c>
      <c r="DB97" s="9">
        <v>0</v>
      </c>
      <c r="DC97" s="9">
        <v>0</v>
      </c>
      <c r="DD97" s="9">
        <v>0</v>
      </c>
      <c r="DE97" s="9">
        <v>0</v>
      </c>
      <c r="DF97" s="9">
        <v>0</v>
      </c>
      <c r="DG97" s="9">
        <v>0</v>
      </c>
      <c r="DH97" s="9">
        <v>0</v>
      </c>
      <c r="DI97" s="9">
        <v>0</v>
      </c>
      <c r="DJ97" s="9">
        <v>0</v>
      </c>
      <c r="DK97" s="9">
        <v>0</v>
      </c>
      <c r="DL97" s="9">
        <v>0</v>
      </c>
      <c r="DM97" s="9">
        <v>0</v>
      </c>
      <c r="DN97" s="9">
        <v>0</v>
      </c>
      <c r="DO97" s="9">
        <v>0</v>
      </c>
      <c r="DP97" s="9">
        <v>0</v>
      </c>
      <c r="DQ97" s="9">
        <v>0</v>
      </c>
      <c r="DR97" s="9">
        <v>0</v>
      </c>
      <c r="DS97" s="9">
        <v>0</v>
      </c>
      <c r="DT97" s="9">
        <v>0</v>
      </c>
      <c r="DU97" s="9">
        <v>0</v>
      </c>
      <c r="DV97" s="9">
        <v>0</v>
      </c>
      <c r="DW97" s="9">
        <v>0</v>
      </c>
      <c r="DX97" s="9">
        <v>0</v>
      </c>
      <c r="DY97" s="9">
        <v>0</v>
      </c>
      <c r="DZ97" s="9">
        <v>0</v>
      </c>
      <c r="EA97" s="9">
        <v>0</v>
      </c>
      <c r="EB97" s="9">
        <v>0</v>
      </c>
      <c r="EC97" s="9">
        <v>0</v>
      </c>
      <c r="ED97" s="9">
        <v>0</v>
      </c>
      <c r="EE97" s="9">
        <v>0</v>
      </c>
      <c r="EF97" s="9">
        <v>0</v>
      </c>
      <c r="EG97" s="9">
        <v>0</v>
      </c>
      <c r="EH97" s="9">
        <v>0</v>
      </c>
      <c r="EI97" s="9">
        <v>0</v>
      </c>
      <c r="EJ97" s="9">
        <v>0</v>
      </c>
      <c r="EK97" s="9">
        <v>0</v>
      </c>
      <c r="EL97" s="9">
        <v>0</v>
      </c>
      <c r="EM97" s="9">
        <v>0</v>
      </c>
      <c r="EN97" s="9">
        <v>0</v>
      </c>
      <c r="EO97" s="9">
        <v>0</v>
      </c>
      <c r="EP97" s="9">
        <v>0</v>
      </c>
      <c r="EQ97" s="9">
        <v>0</v>
      </c>
      <c r="ER97" s="9">
        <v>0</v>
      </c>
      <c r="ES97" s="9">
        <v>0</v>
      </c>
      <c r="ET97" s="9">
        <v>0</v>
      </c>
      <c r="EU97" s="9">
        <v>0</v>
      </c>
      <c r="EV97" s="9">
        <v>0</v>
      </c>
      <c r="EW97" s="9">
        <v>0</v>
      </c>
      <c r="EX97" s="9">
        <v>0</v>
      </c>
      <c r="EY97" s="9">
        <v>0</v>
      </c>
      <c r="EZ97" s="9">
        <v>0</v>
      </c>
      <c r="FA97" s="9">
        <v>0</v>
      </c>
      <c r="FB97" s="9">
        <v>0</v>
      </c>
      <c r="FC97" s="9">
        <v>0</v>
      </c>
      <c r="FD97" s="9">
        <v>0</v>
      </c>
      <c r="FE97" s="9">
        <v>0</v>
      </c>
      <c r="FF97" s="9">
        <v>0</v>
      </c>
      <c r="FG97" s="9">
        <v>0</v>
      </c>
      <c r="FH97" s="9">
        <v>0</v>
      </c>
      <c r="FI97" s="9">
        <v>0</v>
      </c>
      <c r="FJ97" s="9">
        <v>0</v>
      </c>
      <c r="FK97" s="9">
        <v>0</v>
      </c>
      <c r="FL97" s="9">
        <v>0</v>
      </c>
      <c r="FM97" s="10">
        <v>0</v>
      </c>
    </row>
    <row r="98" spans="1:169" x14ac:dyDescent="0.35">
      <c r="A98" s="8" t="s">
        <v>174</v>
      </c>
      <c r="B98" s="9" t="s">
        <v>177</v>
      </c>
      <c r="C98" s="10" t="s">
        <v>178</v>
      </c>
      <c r="D98" s="62">
        <f t="shared" si="98"/>
        <v>0</v>
      </c>
      <c r="E98" s="9">
        <v>0</v>
      </c>
      <c r="F98" s="9">
        <v>0</v>
      </c>
      <c r="G98" s="9">
        <v>0</v>
      </c>
      <c r="H98" s="9">
        <v>0</v>
      </c>
      <c r="I98" s="9">
        <v>0</v>
      </c>
      <c r="J98" s="9">
        <v>0</v>
      </c>
      <c r="K98" s="9">
        <v>0</v>
      </c>
      <c r="L98" s="9">
        <v>0</v>
      </c>
      <c r="M98" s="9">
        <v>0</v>
      </c>
      <c r="N98" s="9">
        <v>0</v>
      </c>
      <c r="O98" s="9">
        <v>0</v>
      </c>
      <c r="P98" s="9">
        <v>0</v>
      </c>
      <c r="Q98" s="9">
        <v>0</v>
      </c>
      <c r="R98" s="9">
        <v>0</v>
      </c>
      <c r="S98" s="9">
        <v>0</v>
      </c>
      <c r="T98" s="9">
        <v>0</v>
      </c>
      <c r="U98" s="9">
        <v>0</v>
      </c>
      <c r="V98" s="9">
        <v>0</v>
      </c>
      <c r="W98" s="9">
        <v>0</v>
      </c>
      <c r="X98" s="9">
        <v>0</v>
      </c>
      <c r="Y98" s="9">
        <v>0</v>
      </c>
      <c r="Z98" s="9">
        <v>0</v>
      </c>
      <c r="AA98" s="9">
        <v>0</v>
      </c>
      <c r="AB98" s="9">
        <v>0</v>
      </c>
      <c r="AC98" s="9">
        <v>0</v>
      </c>
      <c r="AD98" s="9">
        <v>0</v>
      </c>
      <c r="AE98" s="9">
        <v>0</v>
      </c>
      <c r="AF98" s="9">
        <v>0</v>
      </c>
      <c r="AG98" s="9">
        <v>0</v>
      </c>
      <c r="AH98" s="9">
        <v>0</v>
      </c>
      <c r="AI98" s="9">
        <v>0</v>
      </c>
      <c r="AJ98" s="9">
        <v>0</v>
      </c>
      <c r="AK98" s="9">
        <v>0</v>
      </c>
      <c r="AL98" s="9">
        <v>0</v>
      </c>
      <c r="AM98" s="9">
        <v>0</v>
      </c>
      <c r="AN98" s="9">
        <v>0</v>
      </c>
      <c r="AO98" s="9">
        <v>0</v>
      </c>
      <c r="AP98" s="9">
        <v>0</v>
      </c>
      <c r="AQ98" s="9">
        <v>0</v>
      </c>
      <c r="AR98" s="9">
        <v>0</v>
      </c>
      <c r="AS98" s="9">
        <v>0</v>
      </c>
      <c r="AT98" s="9">
        <v>0</v>
      </c>
      <c r="AU98" s="9">
        <v>0</v>
      </c>
      <c r="AV98" s="9">
        <v>0</v>
      </c>
      <c r="AW98" s="9">
        <v>0</v>
      </c>
      <c r="AX98" s="9">
        <v>0</v>
      </c>
      <c r="AY98" s="9">
        <v>0</v>
      </c>
      <c r="AZ98" s="9">
        <v>0</v>
      </c>
      <c r="BA98" s="9">
        <v>0</v>
      </c>
      <c r="BB98" s="9">
        <v>0</v>
      </c>
      <c r="BC98" s="9">
        <v>0</v>
      </c>
      <c r="BD98" s="9">
        <v>0</v>
      </c>
      <c r="BE98" s="9">
        <v>0</v>
      </c>
      <c r="BF98" s="9">
        <v>0</v>
      </c>
      <c r="BG98" s="9">
        <v>0</v>
      </c>
      <c r="BH98" s="9">
        <v>0</v>
      </c>
      <c r="BI98" s="9">
        <v>0</v>
      </c>
      <c r="BJ98" s="9">
        <v>0</v>
      </c>
      <c r="BK98" s="9">
        <v>0</v>
      </c>
      <c r="BL98" s="9">
        <v>0</v>
      </c>
      <c r="BM98" s="9">
        <v>0</v>
      </c>
      <c r="BN98" s="9">
        <v>0</v>
      </c>
      <c r="BO98" s="9">
        <v>0</v>
      </c>
      <c r="BP98" s="9">
        <v>0</v>
      </c>
      <c r="BQ98" s="9">
        <v>0</v>
      </c>
      <c r="BR98" s="9">
        <v>0</v>
      </c>
      <c r="BS98" s="9">
        <v>0</v>
      </c>
      <c r="BT98" s="9">
        <v>0</v>
      </c>
      <c r="BU98" s="9">
        <v>0</v>
      </c>
      <c r="BV98" s="9">
        <v>0</v>
      </c>
      <c r="BW98" s="9">
        <v>0</v>
      </c>
      <c r="BX98" s="9">
        <v>0</v>
      </c>
      <c r="BY98" s="9">
        <v>0</v>
      </c>
      <c r="BZ98" s="9">
        <v>0</v>
      </c>
      <c r="CA98" s="9">
        <v>0</v>
      </c>
      <c r="CB98" s="9">
        <v>0</v>
      </c>
      <c r="CC98" s="9">
        <v>0</v>
      </c>
      <c r="CD98" s="9">
        <v>0</v>
      </c>
      <c r="CE98" s="9">
        <v>0</v>
      </c>
      <c r="CF98" s="9">
        <v>0</v>
      </c>
      <c r="CG98" s="9">
        <v>0</v>
      </c>
      <c r="CH98" s="9">
        <v>0</v>
      </c>
      <c r="CI98" s="9">
        <v>0</v>
      </c>
      <c r="CJ98" s="9">
        <v>0</v>
      </c>
      <c r="CK98" s="9">
        <v>0</v>
      </c>
      <c r="CL98" s="9">
        <v>0</v>
      </c>
      <c r="CM98" s="9">
        <v>0</v>
      </c>
      <c r="CN98" s="9">
        <v>0</v>
      </c>
      <c r="CO98" s="9">
        <v>0</v>
      </c>
      <c r="CP98" s="9">
        <v>0</v>
      </c>
      <c r="CQ98" s="9">
        <v>0</v>
      </c>
      <c r="CR98" s="9">
        <v>0</v>
      </c>
      <c r="CS98" s="9">
        <v>0</v>
      </c>
      <c r="CT98" s="9">
        <v>0</v>
      </c>
      <c r="CU98" s="9">
        <v>0</v>
      </c>
      <c r="CV98" s="9">
        <v>0</v>
      </c>
      <c r="CW98" s="9">
        <v>0</v>
      </c>
      <c r="CX98" s="9">
        <v>0</v>
      </c>
      <c r="CY98" s="9">
        <v>0</v>
      </c>
      <c r="CZ98" s="9">
        <v>0</v>
      </c>
      <c r="DA98" s="9">
        <v>0</v>
      </c>
      <c r="DB98" s="9">
        <v>0</v>
      </c>
      <c r="DC98" s="9">
        <v>0</v>
      </c>
      <c r="DD98" s="9">
        <v>0</v>
      </c>
      <c r="DE98" s="9">
        <v>0</v>
      </c>
      <c r="DF98" s="9">
        <v>0</v>
      </c>
      <c r="DG98" s="9">
        <v>0</v>
      </c>
      <c r="DH98" s="9">
        <v>0</v>
      </c>
      <c r="DI98" s="9">
        <v>0</v>
      </c>
      <c r="DJ98" s="9">
        <v>0</v>
      </c>
      <c r="DK98" s="9">
        <v>0</v>
      </c>
      <c r="DL98" s="9">
        <v>0</v>
      </c>
      <c r="DM98" s="9">
        <v>0</v>
      </c>
      <c r="DN98" s="9">
        <v>0</v>
      </c>
      <c r="DO98" s="9">
        <v>0</v>
      </c>
      <c r="DP98" s="9">
        <v>0</v>
      </c>
      <c r="DQ98" s="9">
        <v>0</v>
      </c>
      <c r="DR98" s="9">
        <v>0</v>
      </c>
      <c r="DS98" s="9">
        <v>0</v>
      </c>
      <c r="DT98" s="9">
        <v>0</v>
      </c>
      <c r="DU98" s="9">
        <v>0</v>
      </c>
      <c r="DV98" s="9">
        <v>0</v>
      </c>
      <c r="DW98" s="9">
        <v>0</v>
      </c>
      <c r="DX98" s="9">
        <v>0</v>
      </c>
      <c r="DY98" s="9">
        <v>0</v>
      </c>
      <c r="DZ98" s="9">
        <v>0</v>
      </c>
      <c r="EA98" s="9">
        <v>0</v>
      </c>
      <c r="EB98" s="9">
        <v>0</v>
      </c>
      <c r="EC98" s="9">
        <v>0</v>
      </c>
      <c r="ED98" s="9">
        <v>0</v>
      </c>
      <c r="EE98" s="9">
        <v>0</v>
      </c>
      <c r="EF98" s="9">
        <v>0</v>
      </c>
      <c r="EG98" s="9">
        <v>0</v>
      </c>
      <c r="EH98" s="9">
        <v>0</v>
      </c>
      <c r="EI98" s="9">
        <v>0</v>
      </c>
      <c r="EJ98" s="9">
        <v>0</v>
      </c>
      <c r="EK98" s="9">
        <v>0</v>
      </c>
      <c r="EL98" s="9">
        <v>0</v>
      </c>
      <c r="EM98" s="9">
        <v>0</v>
      </c>
      <c r="EN98" s="9">
        <v>0</v>
      </c>
      <c r="EO98" s="9">
        <v>0</v>
      </c>
      <c r="EP98" s="9">
        <v>0</v>
      </c>
      <c r="EQ98" s="9">
        <v>0</v>
      </c>
      <c r="ER98" s="9">
        <v>0</v>
      </c>
      <c r="ES98" s="9">
        <v>0</v>
      </c>
      <c r="ET98" s="9">
        <v>0</v>
      </c>
      <c r="EU98" s="9">
        <v>0</v>
      </c>
      <c r="EV98" s="9">
        <v>0</v>
      </c>
      <c r="EW98" s="9">
        <v>0</v>
      </c>
      <c r="EX98" s="9">
        <v>0</v>
      </c>
      <c r="EY98" s="9">
        <v>0</v>
      </c>
      <c r="EZ98" s="9">
        <v>0</v>
      </c>
      <c r="FA98" s="9">
        <v>0</v>
      </c>
      <c r="FB98" s="9">
        <v>0</v>
      </c>
      <c r="FC98" s="9">
        <v>0</v>
      </c>
      <c r="FD98" s="9">
        <v>0</v>
      </c>
      <c r="FE98" s="9">
        <v>0</v>
      </c>
      <c r="FF98" s="9">
        <v>0</v>
      </c>
      <c r="FG98" s="9">
        <v>0</v>
      </c>
      <c r="FH98" s="9">
        <v>0</v>
      </c>
      <c r="FI98" s="9">
        <v>0</v>
      </c>
      <c r="FJ98" s="9">
        <v>0</v>
      </c>
      <c r="FK98" s="9">
        <v>0</v>
      </c>
      <c r="FL98" s="9">
        <v>0</v>
      </c>
      <c r="FM98" s="10">
        <v>0</v>
      </c>
    </row>
    <row r="99" spans="1:169" x14ac:dyDescent="0.35">
      <c r="A99" s="8" t="s">
        <v>174</v>
      </c>
      <c r="B99" s="9" t="s">
        <v>7</v>
      </c>
      <c r="C99" s="10" t="s">
        <v>8</v>
      </c>
      <c r="D99" s="62">
        <f t="shared" si="98"/>
        <v>1</v>
      </c>
      <c r="E99" s="9">
        <v>0</v>
      </c>
      <c r="F99" s="9">
        <v>0</v>
      </c>
      <c r="G99" s="9">
        <v>0</v>
      </c>
      <c r="H99" s="9">
        <v>0</v>
      </c>
      <c r="I99" s="9">
        <v>0</v>
      </c>
      <c r="J99" s="9">
        <v>0</v>
      </c>
      <c r="K99" s="9">
        <v>0</v>
      </c>
      <c r="L99" s="9">
        <v>0</v>
      </c>
      <c r="M99" s="9">
        <v>0</v>
      </c>
      <c r="N99" s="9">
        <v>0</v>
      </c>
      <c r="O99" s="9">
        <v>0</v>
      </c>
      <c r="P99" s="9">
        <v>0</v>
      </c>
      <c r="Q99" s="9">
        <v>0</v>
      </c>
      <c r="R99" s="9">
        <v>0</v>
      </c>
      <c r="S99" s="9">
        <v>0</v>
      </c>
      <c r="T99" s="9">
        <v>0</v>
      </c>
      <c r="U99" s="9">
        <v>0</v>
      </c>
      <c r="V99" s="9">
        <v>0</v>
      </c>
      <c r="W99" s="9">
        <v>0</v>
      </c>
      <c r="X99" s="9">
        <v>0</v>
      </c>
      <c r="Y99" s="9">
        <v>0</v>
      </c>
      <c r="Z99" s="9">
        <v>0</v>
      </c>
      <c r="AA99" s="9">
        <v>0</v>
      </c>
      <c r="AB99" s="9">
        <v>0</v>
      </c>
      <c r="AC99" s="9">
        <v>0</v>
      </c>
      <c r="AD99" s="9">
        <v>0</v>
      </c>
      <c r="AE99" s="9">
        <v>0</v>
      </c>
      <c r="AF99" s="9">
        <v>0</v>
      </c>
      <c r="AG99" s="9">
        <v>0</v>
      </c>
      <c r="AH99" s="9">
        <v>0</v>
      </c>
      <c r="AI99" s="9">
        <v>0</v>
      </c>
      <c r="AJ99" s="9">
        <v>0</v>
      </c>
      <c r="AK99" s="9">
        <v>0</v>
      </c>
      <c r="AL99" s="9">
        <v>0</v>
      </c>
      <c r="AM99" s="9">
        <v>0</v>
      </c>
      <c r="AN99" s="9">
        <v>0</v>
      </c>
      <c r="AO99" s="9">
        <v>0</v>
      </c>
      <c r="AP99" s="9">
        <v>0</v>
      </c>
      <c r="AQ99" s="9">
        <v>0</v>
      </c>
      <c r="AR99" s="9">
        <v>0</v>
      </c>
      <c r="AS99" s="9">
        <v>0</v>
      </c>
      <c r="AT99" s="9">
        <v>0</v>
      </c>
      <c r="AU99" s="9">
        <v>0</v>
      </c>
      <c r="AV99" s="9">
        <v>0</v>
      </c>
      <c r="AW99" s="9">
        <v>0</v>
      </c>
      <c r="AX99" s="9">
        <v>0</v>
      </c>
      <c r="AY99" s="9">
        <v>0</v>
      </c>
      <c r="AZ99" s="9">
        <v>0</v>
      </c>
      <c r="BA99" s="9">
        <v>0</v>
      </c>
      <c r="BB99" s="9">
        <v>0</v>
      </c>
      <c r="BC99" s="9">
        <v>0</v>
      </c>
      <c r="BD99" s="9">
        <v>0</v>
      </c>
      <c r="BE99" s="9">
        <v>0</v>
      </c>
      <c r="BF99" s="9">
        <v>0</v>
      </c>
      <c r="BG99" s="9">
        <v>0</v>
      </c>
      <c r="BH99" s="9">
        <v>0</v>
      </c>
      <c r="BI99" s="9">
        <v>1</v>
      </c>
      <c r="BJ99" s="9">
        <v>0</v>
      </c>
      <c r="BK99" s="9">
        <v>0</v>
      </c>
      <c r="BL99" s="9">
        <v>0</v>
      </c>
      <c r="BM99" s="9">
        <v>0</v>
      </c>
      <c r="BN99" s="9">
        <v>0</v>
      </c>
      <c r="BO99" s="9">
        <v>0</v>
      </c>
      <c r="BP99" s="9">
        <v>0</v>
      </c>
      <c r="BQ99" s="9">
        <v>0</v>
      </c>
      <c r="BR99" s="9">
        <v>0</v>
      </c>
      <c r="BS99" s="9">
        <v>0</v>
      </c>
      <c r="BT99" s="9">
        <v>0</v>
      </c>
      <c r="BU99" s="9">
        <v>0</v>
      </c>
      <c r="BV99" s="9">
        <v>0</v>
      </c>
      <c r="BW99" s="9">
        <v>0</v>
      </c>
      <c r="BX99" s="9">
        <v>0</v>
      </c>
      <c r="BY99" s="9">
        <v>0</v>
      </c>
      <c r="BZ99" s="9">
        <v>0</v>
      </c>
      <c r="CA99" s="9">
        <v>0</v>
      </c>
      <c r="CB99" s="9">
        <v>0</v>
      </c>
      <c r="CC99" s="9">
        <v>0</v>
      </c>
      <c r="CD99" s="9">
        <v>0</v>
      </c>
      <c r="CE99" s="9">
        <v>0</v>
      </c>
      <c r="CF99" s="9">
        <v>0</v>
      </c>
      <c r="CG99" s="9">
        <v>0</v>
      </c>
      <c r="CH99" s="9">
        <v>0</v>
      </c>
      <c r="CI99" s="9">
        <v>0</v>
      </c>
      <c r="CJ99" s="9">
        <v>0</v>
      </c>
      <c r="CK99" s="9">
        <v>0</v>
      </c>
      <c r="CL99" s="9">
        <v>0</v>
      </c>
      <c r="CM99" s="9">
        <v>0</v>
      </c>
      <c r="CN99" s="9">
        <v>0</v>
      </c>
      <c r="CO99" s="9">
        <v>0</v>
      </c>
      <c r="CP99" s="9">
        <v>0</v>
      </c>
      <c r="CQ99" s="9">
        <v>0</v>
      </c>
      <c r="CR99" s="9">
        <v>0</v>
      </c>
      <c r="CS99" s="9">
        <v>0</v>
      </c>
      <c r="CT99" s="9">
        <v>0</v>
      </c>
      <c r="CU99" s="9">
        <v>0</v>
      </c>
      <c r="CV99" s="9">
        <v>0</v>
      </c>
      <c r="CW99" s="9">
        <v>0</v>
      </c>
      <c r="CX99" s="9">
        <v>0</v>
      </c>
      <c r="CY99" s="9">
        <v>0</v>
      </c>
      <c r="CZ99" s="9">
        <v>0</v>
      </c>
      <c r="DA99" s="9">
        <v>0</v>
      </c>
      <c r="DB99" s="9">
        <v>0</v>
      </c>
      <c r="DC99" s="9">
        <v>0</v>
      </c>
      <c r="DD99" s="9">
        <v>0</v>
      </c>
      <c r="DE99" s="9">
        <v>0</v>
      </c>
      <c r="DF99" s="9">
        <v>0</v>
      </c>
      <c r="DG99" s="9">
        <v>0</v>
      </c>
      <c r="DH99" s="9">
        <v>0</v>
      </c>
      <c r="DI99" s="9">
        <v>0</v>
      </c>
      <c r="DJ99" s="9">
        <v>0</v>
      </c>
      <c r="DK99" s="9">
        <v>0</v>
      </c>
      <c r="DL99" s="9">
        <v>0</v>
      </c>
      <c r="DM99" s="9">
        <v>0</v>
      </c>
      <c r="DN99" s="9">
        <v>0</v>
      </c>
      <c r="DO99" s="9">
        <v>0</v>
      </c>
      <c r="DP99" s="9">
        <v>0</v>
      </c>
      <c r="DQ99" s="9">
        <v>0</v>
      </c>
      <c r="DR99" s="9">
        <v>0</v>
      </c>
      <c r="DS99" s="9">
        <v>0</v>
      </c>
      <c r="DT99" s="9">
        <v>0</v>
      </c>
      <c r="DU99" s="9">
        <v>0</v>
      </c>
      <c r="DV99" s="9">
        <v>0</v>
      </c>
      <c r="DW99" s="9">
        <v>0</v>
      </c>
      <c r="DX99" s="9">
        <v>0</v>
      </c>
      <c r="DY99" s="9">
        <v>0</v>
      </c>
      <c r="DZ99" s="9">
        <v>0</v>
      </c>
      <c r="EA99" s="9">
        <v>0</v>
      </c>
      <c r="EB99" s="9">
        <v>0</v>
      </c>
      <c r="EC99" s="9">
        <v>0</v>
      </c>
      <c r="ED99" s="9">
        <v>0</v>
      </c>
      <c r="EE99" s="9">
        <v>0</v>
      </c>
      <c r="EF99" s="9">
        <v>0</v>
      </c>
      <c r="EG99" s="9">
        <v>1</v>
      </c>
      <c r="EH99" s="9">
        <v>1</v>
      </c>
      <c r="EI99" s="9">
        <v>0</v>
      </c>
      <c r="EJ99" s="9">
        <v>0</v>
      </c>
      <c r="EK99" s="9">
        <v>1</v>
      </c>
      <c r="EL99" s="9">
        <v>1</v>
      </c>
      <c r="EM99" s="9">
        <v>1</v>
      </c>
      <c r="EN99" s="9">
        <v>1</v>
      </c>
      <c r="EO99" s="9">
        <v>1</v>
      </c>
      <c r="EP99" s="9">
        <v>0</v>
      </c>
      <c r="EQ99" s="9">
        <v>0</v>
      </c>
      <c r="ER99" s="9">
        <v>0</v>
      </c>
      <c r="ES99" s="9">
        <v>0</v>
      </c>
      <c r="ET99" s="9">
        <v>0</v>
      </c>
      <c r="EU99" s="9">
        <v>0</v>
      </c>
      <c r="EV99" s="9">
        <v>0</v>
      </c>
      <c r="EW99" s="9">
        <v>0</v>
      </c>
      <c r="EX99" s="9">
        <v>0</v>
      </c>
      <c r="EY99" s="9">
        <v>0</v>
      </c>
      <c r="EZ99" s="9">
        <v>0</v>
      </c>
      <c r="FA99" s="9">
        <v>0</v>
      </c>
      <c r="FB99" s="9">
        <v>0</v>
      </c>
      <c r="FC99" s="9">
        <v>0</v>
      </c>
      <c r="FD99" s="9">
        <v>0</v>
      </c>
      <c r="FE99" s="9">
        <v>0</v>
      </c>
      <c r="FF99" s="9">
        <v>0</v>
      </c>
      <c r="FG99" s="9">
        <v>0</v>
      </c>
      <c r="FH99" s="9">
        <v>0</v>
      </c>
      <c r="FI99" s="9">
        <v>0</v>
      </c>
      <c r="FJ99" s="9">
        <v>0</v>
      </c>
      <c r="FK99" s="9">
        <v>0</v>
      </c>
      <c r="FL99" s="9">
        <v>0</v>
      </c>
      <c r="FM99" s="10">
        <v>0</v>
      </c>
    </row>
    <row r="100" spans="1:169" x14ac:dyDescent="0.35">
      <c r="A100" s="8" t="s">
        <v>174</v>
      </c>
      <c r="B100" s="9" t="s">
        <v>179</v>
      </c>
      <c r="C100" s="10" t="s">
        <v>180</v>
      </c>
      <c r="D100" s="62">
        <f t="shared" si="98"/>
        <v>32</v>
      </c>
      <c r="E100" s="9">
        <v>0</v>
      </c>
      <c r="F100" s="9">
        <v>0</v>
      </c>
      <c r="G100" s="9">
        <v>0</v>
      </c>
      <c r="H100" s="9">
        <v>0</v>
      </c>
      <c r="I100" s="9">
        <v>0</v>
      </c>
      <c r="J100" s="9">
        <v>0</v>
      </c>
      <c r="K100" s="9">
        <v>0</v>
      </c>
      <c r="L100" s="9">
        <v>0</v>
      </c>
      <c r="M100" s="9">
        <v>0</v>
      </c>
      <c r="N100" s="9">
        <v>0</v>
      </c>
      <c r="O100" s="9">
        <v>0</v>
      </c>
      <c r="P100" s="9">
        <v>0</v>
      </c>
      <c r="Q100" s="9">
        <v>0</v>
      </c>
      <c r="R100" s="9">
        <v>0</v>
      </c>
      <c r="S100" s="9">
        <v>0</v>
      </c>
      <c r="T100" s="9">
        <v>0</v>
      </c>
      <c r="U100" s="9">
        <v>0</v>
      </c>
      <c r="V100" s="9">
        <v>0</v>
      </c>
      <c r="W100" s="9">
        <v>0</v>
      </c>
      <c r="X100" s="9">
        <v>0</v>
      </c>
      <c r="Y100" s="9">
        <v>0</v>
      </c>
      <c r="Z100" s="9">
        <v>0</v>
      </c>
      <c r="AA100" s="9">
        <v>0</v>
      </c>
      <c r="AB100" s="9">
        <v>0</v>
      </c>
      <c r="AC100" s="9">
        <v>0</v>
      </c>
      <c r="AD100" s="9">
        <v>0</v>
      </c>
      <c r="AE100" s="9">
        <v>0</v>
      </c>
      <c r="AF100" s="9">
        <v>0</v>
      </c>
      <c r="AG100" s="9">
        <v>0</v>
      </c>
      <c r="AH100" s="9">
        <v>0</v>
      </c>
      <c r="AI100" s="9">
        <v>0</v>
      </c>
      <c r="AJ100" s="9">
        <v>0</v>
      </c>
      <c r="AK100" s="9">
        <v>0</v>
      </c>
      <c r="AL100" s="9">
        <v>0</v>
      </c>
      <c r="AM100" s="9">
        <v>0</v>
      </c>
      <c r="AN100" s="9">
        <v>0</v>
      </c>
      <c r="AO100" s="9">
        <v>0</v>
      </c>
      <c r="AP100" s="9">
        <v>0</v>
      </c>
      <c r="AQ100" s="9">
        <v>0</v>
      </c>
      <c r="AR100" s="9">
        <v>0</v>
      </c>
      <c r="AS100" s="9">
        <v>0</v>
      </c>
      <c r="AT100" s="9">
        <v>0</v>
      </c>
      <c r="AU100" s="9">
        <v>0</v>
      </c>
      <c r="AV100" s="9">
        <v>0</v>
      </c>
      <c r="AW100" s="9">
        <v>0</v>
      </c>
      <c r="AX100" s="9">
        <v>0</v>
      </c>
      <c r="AY100" s="9">
        <v>0</v>
      </c>
      <c r="AZ100" s="9">
        <v>0</v>
      </c>
      <c r="BA100" s="9">
        <v>16</v>
      </c>
      <c r="BB100" s="9">
        <v>16</v>
      </c>
      <c r="BC100" s="9">
        <v>16</v>
      </c>
      <c r="BD100" s="9">
        <v>16</v>
      </c>
      <c r="BE100" s="9">
        <v>16</v>
      </c>
      <c r="BF100" s="9">
        <v>0</v>
      </c>
      <c r="BG100" s="9">
        <v>16</v>
      </c>
      <c r="BH100" s="9">
        <v>16</v>
      </c>
      <c r="BI100" s="9">
        <v>16</v>
      </c>
      <c r="BJ100" s="9">
        <v>16</v>
      </c>
      <c r="BK100" s="9">
        <v>16</v>
      </c>
      <c r="BL100" s="9">
        <v>16</v>
      </c>
      <c r="BM100" s="9">
        <v>32</v>
      </c>
      <c r="BN100" s="9">
        <v>16</v>
      </c>
      <c r="BO100" s="9">
        <v>16</v>
      </c>
      <c r="BP100" s="9">
        <v>16</v>
      </c>
      <c r="BQ100" s="9">
        <v>16</v>
      </c>
      <c r="BR100" s="9">
        <v>16</v>
      </c>
      <c r="BS100" s="9">
        <v>0</v>
      </c>
      <c r="BT100" s="9">
        <v>16</v>
      </c>
      <c r="BU100" s="9">
        <v>16</v>
      </c>
      <c r="BV100" s="9">
        <v>16</v>
      </c>
      <c r="BW100" s="9">
        <v>16</v>
      </c>
      <c r="BX100" s="9">
        <v>16</v>
      </c>
      <c r="BY100" s="9">
        <v>15</v>
      </c>
      <c r="BZ100" s="9">
        <v>0</v>
      </c>
      <c r="CA100" s="9">
        <v>15</v>
      </c>
      <c r="CB100" s="9">
        <v>0</v>
      </c>
      <c r="CC100" s="9">
        <v>15</v>
      </c>
      <c r="CD100" s="9">
        <v>15</v>
      </c>
      <c r="CE100" s="9">
        <v>15</v>
      </c>
      <c r="CF100" s="9">
        <v>14</v>
      </c>
      <c r="CG100" s="9">
        <v>14</v>
      </c>
      <c r="CH100" s="9">
        <v>14</v>
      </c>
      <c r="CI100" s="9">
        <v>13</v>
      </c>
      <c r="CJ100" s="9">
        <v>12</v>
      </c>
      <c r="CK100" s="9">
        <v>12</v>
      </c>
      <c r="CL100" s="9">
        <v>12</v>
      </c>
      <c r="CM100" s="9">
        <v>12</v>
      </c>
      <c r="CN100" s="9">
        <v>12</v>
      </c>
      <c r="CO100" s="9">
        <v>12</v>
      </c>
      <c r="CP100" s="9">
        <v>12</v>
      </c>
      <c r="CQ100" s="9">
        <v>12</v>
      </c>
      <c r="CR100" s="9">
        <v>12</v>
      </c>
      <c r="CS100" s="9">
        <v>12</v>
      </c>
      <c r="CT100" s="9">
        <v>12</v>
      </c>
      <c r="CU100" s="9">
        <v>12</v>
      </c>
      <c r="CV100" s="9">
        <v>12</v>
      </c>
      <c r="CW100" s="9">
        <v>12</v>
      </c>
      <c r="CX100" s="9">
        <v>12</v>
      </c>
      <c r="CY100" s="9">
        <v>12</v>
      </c>
      <c r="CZ100" s="9">
        <v>12</v>
      </c>
      <c r="DA100" s="9">
        <v>12</v>
      </c>
      <c r="DB100" s="9">
        <v>12</v>
      </c>
      <c r="DC100" s="9">
        <v>12</v>
      </c>
      <c r="DD100" s="9">
        <v>12</v>
      </c>
      <c r="DE100" s="9">
        <v>12</v>
      </c>
      <c r="DF100" s="9">
        <v>12</v>
      </c>
      <c r="DG100" s="9">
        <v>12</v>
      </c>
      <c r="DH100" s="9">
        <v>12</v>
      </c>
      <c r="DI100" s="9">
        <v>12</v>
      </c>
      <c r="DJ100" s="9">
        <v>12</v>
      </c>
      <c r="DK100" s="9">
        <v>12</v>
      </c>
      <c r="DL100" s="9">
        <v>12</v>
      </c>
      <c r="DM100" s="9">
        <v>12</v>
      </c>
      <c r="DN100" s="9">
        <v>12</v>
      </c>
      <c r="DO100" s="9">
        <v>12</v>
      </c>
      <c r="DP100" s="9">
        <v>12</v>
      </c>
      <c r="DQ100" s="9">
        <v>0</v>
      </c>
      <c r="DR100" s="9">
        <v>12</v>
      </c>
      <c r="DS100" s="9">
        <v>12</v>
      </c>
      <c r="DT100" s="9">
        <v>12</v>
      </c>
      <c r="DU100" s="9">
        <v>12</v>
      </c>
      <c r="DV100" s="9">
        <v>12</v>
      </c>
      <c r="DW100" s="9">
        <v>12</v>
      </c>
      <c r="DX100" s="9">
        <v>12</v>
      </c>
      <c r="DY100" s="9">
        <v>12</v>
      </c>
      <c r="DZ100" s="9">
        <v>0</v>
      </c>
      <c r="EA100" s="9">
        <v>12</v>
      </c>
      <c r="EB100" s="9">
        <v>12</v>
      </c>
      <c r="EC100" s="9">
        <v>12</v>
      </c>
      <c r="ED100" s="9">
        <v>12</v>
      </c>
      <c r="EE100" s="9">
        <v>12</v>
      </c>
      <c r="EF100" s="9">
        <v>12</v>
      </c>
      <c r="EG100" s="9">
        <v>0</v>
      </c>
      <c r="EH100" s="9">
        <v>0</v>
      </c>
      <c r="EI100" s="9">
        <v>12</v>
      </c>
      <c r="EJ100" s="9">
        <v>12</v>
      </c>
      <c r="EK100" s="9">
        <v>12</v>
      </c>
      <c r="EL100" s="9">
        <v>12</v>
      </c>
      <c r="EM100" s="9">
        <v>12</v>
      </c>
      <c r="EN100" s="9">
        <v>12</v>
      </c>
      <c r="EO100" s="9">
        <v>12</v>
      </c>
      <c r="EP100" s="9">
        <v>12</v>
      </c>
      <c r="EQ100" s="9">
        <v>12</v>
      </c>
      <c r="ER100" s="9">
        <v>12</v>
      </c>
      <c r="ES100" s="9">
        <v>12</v>
      </c>
      <c r="ET100" s="9">
        <v>12</v>
      </c>
      <c r="EU100" s="9">
        <v>12</v>
      </c>
      <c r="EV100" s="9">
        <v>12</v>
      </c>
      <c r="EW100" s="9">
        <v>12</v>
      </c>
      <c r="EX100" s="9">
        <v>12</v>
      </c>
      <c r="EY100" s="9">
        <v>12</v>
      </c>
      <c r="EZ100" s="9">
        <v>12</v>
      </c>
      <c r="FA100" s="9">
        <v>12</v>
      </c>
      <c r="FB100" s="9">
        <v>0</v>
      </c>
      <c r="FC100" s="9">
        <v>12</v>
      </c>
      <c r="FD100" s="9">
        <v>12</v>
      </c>
      <c r="FE100" s="9">
        <v>12</v>
      </c>
      <c r="FF100" s="9">
        <v>12</v>
      </c>
      <c r="FG100" s="9">
        <v>12</v>
      </c>
      <c r="FH100" s="9">
        <v>12</v>
      </c>
      <c r="FI100" s="9">
        <v>12</v>
      </c>
      <c r="FJ100" s="9">
        <v>12</v>
      </c>
      <c r="FK100" s="9">
        <v>0</v>
      </c>
      <c r="FL100" s="9">
        <v>0</v>
      </c>
      <c r="FM100" s="10">
        <v>0</v>
      </c>
    </row>
    <row r="101" spans="1:169" x14ac:dyDescent="0.35">
      <c r="A101" s="8" t="s">
        <v>174</v>
      </c>
      <c r="B101" s="9" t="s">
        <v>13</v>
      </c>
      <c r="C101" s="10" t="s">
        <v>14</v>
      </c>
      <c r="D101" s="62">
        <f t="shared" si="98"/>
        <v>1</v>
      </c>
      <c r="E101" s="9">
        <v>0</v>
      </c>
      <c r="F101" s="9">
        <v>0</v>
      </c>
      <c r="G101" s="9">
        <v>0</v>
      </c>
      <c r="H101" s="9">
        <v>0</v>
      </c>
      <c r="I101" s="9">
        <v>0</v>
      </c>
      <c r="J101" s="9">
        <v>0</v>
      </c>
      <c r="K101" s="9">
        <v>0</v>
      </c>
      <c r="L101" s="9">
        <v>0</v>
      </c>
      <c r="M101" s="9">
        <v>0</v>
      </c>
      <c r="N101" s="9">
        <v>0</v>
      </c>
      <c r="O101" s="9">
        <v>0</v>
      </c>
      <c r="P101" s="9">
        <v>0</v>
      </c>
      <c r="Q101" s="9">
        <v>0</v>
      </c>
      <c r="R101" s="9">
        <v>0</v>
      </c>
      <c r="S101" s="9">
        <v>0</v>
      </c>
      <c r="T101" s="9">
        <v>0</v>
      </c>
      <c r="U101" s="9">
        <v>0</v>
      </c>
      <c r="V101" s="9">
        <v>0</v>
      </c>
      <c r="W101" s="9">
        <v>0</v>
      </c>
      <c r="X101" s="9">
        <v>0</v>
      </c>
      <c r="Y101" s="9">
        <v>0</v>
      </c>
      <c r="Z101" s="9">
        <v>0</v>
      </c>
      <c r="AA101" s="9">
        <v>0</v>
      </c>
      <c r="AB101" s="9">
        <v>0</v>
      </c>
      <c r="AC101" s="9">
        <v>0</v>
      </c>
      <c r="AD101" s="9">
        <v>0</v>
      </c>
      <c r="AE101" s="9">
        <v>0</v>
      </c>
      <c r="AF101" s="9">
        <v>0</v>
      </c>
      <c r="AG101" s="9">
        <v>0</v>
      </c>
      <c r="AH101" s="9">
        <v>0</v>
      </c>
      <c r="AI101" s="9">
        <v>0</v>
      </c>
      <c r="AJ101" s="9">
        <v>0</v>
      </c>
      <c r="AK101" s="9">
        <v>0</v>
      </c>
      <c r="AL101" s="9">
        <v>0</v>
      </c>
      <c r="AM101" s="9">
        <v>0</v>
      </c>
      <c r="AN101" s="9">
        <v>0</v>
      </c>
      <c r="AO101" s="9">
        <v>0</v>
      </c>
      <c r="AP101" s="9">
        <v>0</v>
      </c>
      <c r="AQ101" s="9">
        <v>0</v>
      </c>
      <c r="AR101" s="9">
        <v>0</v>
      </c>
      <c r="AS101" s="9">
        <v>0</v>
      </c>
      <c r="AT101" s="9">
        <v>0</v>
      </c>
      <c r="AU101" s="9">
        <v>0</v>
      </c>
      <c r="AV101" s="9">
        <v>0</v>
      </c>
      <c r="AW101" s="9">
        <v>0</v>
      </c>
      <c r="AX101" s="9">
        <v>0</v>
      </c>
      <c r="AY101" s="9">
        <v>0</v>
      </c>
      <c r="AZ101" s="9">
        <v>0</v>
      </c>
      <c r="BA101" s="9">
        <v>0</v>
      </c>
      <c r="BB101" s="9">
        <v>0</v>
      </c>
      <c r="BC101" s="9">
        <v>0</v>
      </c>
      <c r="BD101" s="9">
        <v>0</v>
      </c>
      <c r="BE101" s="9">
        <v>0</v>
      </c>
      <c r="BF101" s="9">
        <v>0</v>
      </c>
      <c r="BG101" s="9">
        <v>0</v>
      </c>
      <c r="BH101" s="9">
        <v>0</v>
      </c>
      <c r="BI101" s="9">
        <v>1</v>
      </c>
      <c r="BJ101" s="9">
        <v>1</v>
      </c>
      <c r="BK101" s="9">
        <v>1</v>
      </c>
      <c r="BL101" s="9">
        <v>1</v>
      </c>
      <c r="BM101" s="9">
        <v>0</v>
      </c>
      <c r="BN101" s="9">
        <v>0</v>
      </c>
      <c r="BO101" s="9">
        <v>0</v>
      </c>
      <c r="BP101" s="9">
        <v>0</v>
      </c>
      <c r="BQ101" s="9">
        <v>0</v>
      </c>
      <c r="BR101" s="9">
        <v>0</v>
      </c>
      <c r="BS101" s="9">
        <v>0</v>
      </c>
      <c r="BT101" s="9">
        <v>0</v>
      </c>
      <c r="BU101" s="9">
        <v>0</v>
      </c>
      <c r="BV101" s="9">
        <v>0</v>
      </c>
      <c r="BW101" s="9">
        <v>0</v>
      </c>
      <c r="BX101" s="9">
        <v>0</v>
      </c>
      <c r="BY101" s="9">
        <v>0</v>
      </c>
      <c r="BZ101" s="9">
        <v>0</v>
      </c>
      <c r="CA101" s="9">
        <v>0</v>
      </c>
      <c r="CB101" s="9">
        <v>0</v>
      </c>
      <c r="CC101" s="9">
        <v>0</v>
      </c>
      <c r="CD101" s="9">
        <v>0</v>
      </c>
      <c r="CE101" s="9">
        <v>0</v>
      </c>
      <c r="CF101" s="9">
        <v>0</v>
      </c>
      <c r="CG101" s="9">
        <v>0</v>
      </c>
      <c r="CH101" s="9">
        <v>0</v>
      </c>
      <c r="CI101" s="9">
        <v>0</v>
      </c>
      <c r="CJ101" s="9">
        <v>0</v>
      </c>
      <c r="CK101" s="9">
        <v>0</v>
      </c>
      <c r="CL101" s="9">
        <v>0</v>
      </c>
      <c r="CM101" s="9">
        <v>0</v>
      </c>
      <c r="CN101" s="9">
        <v>0</v>
      </c>
      <c r="CO101" s="9">
        <v>0</v>
      </c>
      <c r="CP101" s="9">
        <v>0</v>
      </c>
      <c r="CQ101" s="9">
        <v>0</v>
      </c>
      <c r="CR101" s="9">
        <v>0</v>
      </c>
      <c r="CS101" s="9">
        <v>0</v>
      </c>
      <c r="CT101" s="9">
        <v>0</v>
      </c>
      <c r="CU101" s="9">
        <v>0</v>
      </c>
      <c r="CV101" s="9">
        <v>0</v>
      </c>
      <c r="CW101" s="9">
        <v>0</v>
      </c>
      <c r="CX101" s="9">
        <v>0</v>
      </c>
      <c r="CY101" s="9">
        <v>0</v>
      </c>
      <c r="CZ101" s="9">
        <v>0</v>
      </c>
      <c r="DA101" s="9">
        <v>0</v>
      </c>
      <c r="DB101" s="9">
        <v>0</v>
      </c>
      <c r="DC101" s="9">
        <v>0</v>
      </c>
      <c r="DD101" s="9">
        <v>0</v>
      </c>
      <c r="DE101" s="9">
        <v>0</v>
      </c>
      <c r="DF101" s="9">
        <v>0</v>
      </c>
      <c r="DG101" s="9">
        <v>0</v>
      </c>
      <c r="DH101" s="9">
        <v>0</v>
      </c>
      <c r="DI101" s="9">
        <v>0</v>
      </c>
      <c r="DJ101" s="9">
        <v>0</v>
      </c>
      <c r="DK101" s="9">
        <v>0</v>
      </c>
      <c r="DL101" s="9">
        <v>0</v>
      </c>
      <c r="DM101" s="9">
        <v>0</v>
      </c>
      <c r="DN101" s="9">
        <v>0</v>
      </c>
      <c r="DO101" s="9">
        <v>0</v>
      </c>
      <c r="DP101" s="9">
        <v>0</v>
      </c>
      <c r="DQ101" s="9">
        <v>0</v>
      </c>
      <c r="DR101" s="9">
        <v>0</v>
      </c>
      <c r="DS101" s="9">
        <v>0</v>
      </c>
      <c r="DT101" s="9">
        <v>0</v>
      </c>
      <c r="DU101" s="9">
        <v>0</v>
      </c>
      <c r="DV101" s="9">
        <v>0</v>
      </c>
      <c r="DW101" s="9">
        <v>0</v>
      </c>
      <c r="DX101" s="9">
        <v>0</v>
      </c>
      <c r="DY101" s="9">
        <v>0</v>
      </c>
      <c r="DZ101" s="9">
        <v>0</v>
      </c>
      <c r="EA101" s="9">
        <v>0</v>
      </c>
      <c r="EB101" s="9">
        <v>0</v>
      </c>
      <c r="EC101" s="9">
        <v>0</v>
      </c>
      <c r="ED101" s="9">
        <v>0</v>
      </c>
      <c r="EE101" s="9">
        <v>0</v>
      </c>
      <c r="EF101" s="9">
        <v>0</v>
      </c>
      <c r="EG101" s="9">
        <v>0</v>
      </c>
      <c r="EH101" s="9">
        <v>0</v>
      </c>
      <c r="EI101" s="9">
        <v>0</v>
      </c>
      <c r="EJ101" s="9">
        <v>0</v>
      </c>
      <c r="EK101" s="9">
        <v>0</v>
      </c>
      <c r="EL101" s="9">
        <v>0</v>
      </c>
      <c r="EM101" s="9">
        <v>0</v>
      </c>
      <c r="EN101" s="9">
        <v>0</v>
      </c>
      <c r="EO101" s="9">
        <v>0</v>
      </c>
      <c r="EP101" s="9">
        <v>0</v>
      </c>
      <c r="EQ101" s="9">
        <v>0</v>
      </c>
      <c r="ER101" s="9">
        <v>0</v>
      </c>
      <c r="ES101" s="9">
        <v>0</v>
      </c>
      <c r="ET101" s="9">
        <v>0</v>
      </c>
      <c r="EU101" s="9">
        <v>0</v>
      </c>
      <c r="EV101" s="9">
        <v>0</v>
      </c>
      <c r="EW101" s="9">
        <v>0</v>
      </c>
      <c r="EX101" s="9">
        <v>0</v>
      </c>
      <c r="EY101" s="9">
        <v>0</v>
      </c>
      <c r="EZ101" s="9">
        <v>0</v>
      </c>
      <c r="FA101" s="9">
        <v>0</v>
      </c>
      <c r="FB101" s="9">
        <v>0</v>
      </c>
      <c r="FC101" s="9">
        <v>0</v>
      </c>
      <c r="FD101" s="9">
        <v>0</v>
      </c>
      <c r="FE101" s="9">
        <v>0</v>
      </c>
      <c r="FF101" s="9">
        <v>0</v>
      </c>
      <c r="FG101" s="9">
        <v>0</v>
      </c>
      <c r="FH101" s="9">
        <v>0</v>
      </c>
      <c r="FI101" s="9">
        <v>0</v>
      </c>
      <c r="FJ101" s="9">
        <v>0</v>
      </c>
      <c r="FK101" s="9">
        <v>0</v>
      </c>
      <c r="FL101" s="9">
        <v>0</v>
      </c>
      <c r="FM101" s="10">
        <v>0</v>
      </c>
    </row>
    <row r="102" spans="1:169" x14ac:dyDescent="0.35">
      <c r="A102" s="8" t="s">
        <v>174</v>
      </c>
      <c r="B102" s="9" t="s">
        <v>181</v>
      </c>
      <c r="C102" s="10" t="s">
        <v>182</v>
      </c>
      <c r="D102" s="62">
        <f t="shared" si="98"/>
        <v>169</v>
      </c>
      <c r="E102" s="9">
        <v>0</v>
      </c>
      <c r="F102" s="9">
        <v>0</v>
      </c>
      <c r="G102" s="9">
        <v>0</v>
      </c>
      <c r="H102" s="9">
        <v>0</v>
      </c>
      <c r="I102" s="9">
        <v>0</v>
      </c>
      <c r="J102" s="9">
        <v>0</v>
      </c>
      <c r="K102" s="9">
        <v>0</v>
      </c>
      <c r="L102" s="9">
        <v>0</v>
      </c>
      <c r="M102" s="9">
        <v>0</v>
      </c>
      <c r="N102" s="9">
        <v>0</v>
      </c>
      <c r="O102" s="9">
        <v>0</v>
      </c>
      <c r="P102" s="9">
        <v>0</v>
      </c>
      <c r="Q102" s="9">
        <v>0</v>
      </c>
      <c r="R102" s="9">
        <v>13</v>
      </c>
      <c r="S102" s="9">
        <v>16</v>
      </c>
      <c r="T102" s="9">
        <v>16</v>
      </c>
      <c r="U102" s="9">
        <v>16</v>
      </c>
      <c r="V102" s="9">
        <v>16</v>
      </c>
      <c r="W102" s="9">
        <v>16</v>
      </c>
      <c r="X102" s="9">
        <v>23</v>
      </c>
      <c r="Y102" s="9">
        <v>23</v>
      </c>
      <c r="Z102" s="9">
        <v>29</v>
      </c>
      <c r="AA102" s="9">
        <v>33</v>
      </c>
      <c r="AB102" s="9">
        <v>33</v>
      </c>
      <c r="AC102" s="9">
        <v>33</v>
      </c>
      <c r="AD102" s="9">
        <v>38</v>
      </c>
      <c r="AE102" s="9">
        <v>38</v>
      </c>
      <c r="AF102" s="9">
        <v>44</v>
      </c>
      <c r="AG102" s="9">
        <v>45</v>
      </c>
      <c r="AH102" s="9">
        <v>48</v>
      </c>
      <c r="AI102" s="9">
        <v>48</v>
      </c>
      <c r="AJ102" s="9">
        <v>61</v>
      </c>
      <c r="AK102" s="9">
        <v>61</v>
      </c>
      <c r="AL102" s="9">
        <v>70</v>
      </c>
      <c r="AM102" s="9">
        <v>89</v>
      </c>
      <c r="AN102" s="9">
        <v>89</v>
      </c>
      <c r="AO102" s="9">
        <v>101</v>
      </c>
      <c r="AP102" s="9">
        <v>115</v>
      </c>
      <c r="AQ102" s="9">
        <v>118</v>
      </c>
      <c r="AR102" s="9">
        <v>111</v>
      </c>
      <c r="AS102" s="9">
        <v>125</v>
      </c>
      <c r="AT102" s="9">
        <v>131</v>
      </c>
      <c r="AU102" s="9">
        <v>136</v>
      </c>
      <c r="AV102" s="9">
        <v>145</v>
      </c>
      <c r="AW102" s="9">
        <v>153</v>
      </c>
      <c r="AX102" s="9">
        <v>153</v>
      </c>
      <c r="AY102" s="9">
        <v>153</v>
      </c>
      <c r="AZ102" s="9">
        <v>161</v>
      </c>
      <c r="BA102" s="9">
        <v>164</v>
      </c>
      <c r="BB102" s="9">
        <v>164</v>
      </c>
      <c r="BC102" s="9">
        <v>165</v>
      </c>
      <c r="BD102" s="9">
        <v>165</v>
      </c>
      <c r="BE102" s="9">
        <v>165</v>
      </c>
      <c r="BF102" s="9">
        <v>165</v>
      </c>
      <c r="BG102" s="9">
        <v>166</v>
      </c>
      <c r="BH102" s="9">
        <v>167</v>
      </c>
      <c r="BI102" s="9">
        <v>167</v>
      </c>
      <c r="BJ102" s="9">
        <v>167</v>
      </c>
      <c r="BK102" s="9">
        <v>167</v>
      </c>
      <c r="BL102" s="9">
        <v>167</v>
      </c>
      <c r="BM102" s="9">
        <v>167</v>
      </c>
      <c r="BN102" s="9">
        <v>168</v>
      </c>
      <c r="BO102" s="9">
        <v>169</v>
      </c>
      <c r="BP102" s="9">
        <v>169</v>
      </c>
      <c r="BQ102" s="9">
        <v>169</v>
      </c>
      <c r="BR102" s="9">
        <v>169</v>
      </c>
      <c r="BS102" s="9">
        <v>169</v>
      </c>
      <c r="BT102" s="9">
        <v>169</v>
      </c>
      <c r="BU102" s="9">
        <v>0</v>
      </c>
      <c r="BV102" s="9">
        <v>0</v>
      </c>
      <c r="BW102" s="9">
        <v>0</v>
      </c>
      <c r="BX102" s="9">
        <v>0</v>
      </c>
      <c r="BY102" s="9">
        <v>0</v>
      </c>
      <c r="BZ102" s="9">
        <v>0</v>
      </c>
      <c r="CA102" s="9">
        <v>0</v>
      </c>
      <c r="CB102" s="9">
        <v>0</v>
      </c>
      <c r="CC102" s="9">
        <v>0</v>
      </c>
      <c r="CD102" s="9">
        <v>0</v>
      </c>
      <c r="CE102" s="9">
        <v>0</v>
      </c>
      <c r="CF102" s="9">
        <v>0</v>
      </c>
      <c r="CG102" s="9">
        <v>0</v>
      </c>
      <c r="CH102" s="9">
        <v>0</v>
      </c>
      <c r="CI102" s="9">
        <v>0</v>
      </c>
      <c r="CJ102" s="9">
        <v>0</v>
      </c>
      <c r="CK102" s="9">
        <v>0</v>
      </c>
      <c r="CL102" s="9">
        <v>0</v>
      </c>
      <c r="CM102" s="9">
        <v>0</v>
      </c>
      <c r="CN102" s="9">
        <v>0</v>
      </c>
      <c r="CO102" s="9">
        <v>0</v>
      </c>
      <c r="CP102" s="9">
        <v>0</v>
      </c>
      <c r="CQ102" s="9">
        <v>0</v>
      </c>
      <c r="CR102" s="9">
        <v>0</v>
      </c>
      <c r="CS102" s="9">
        <v>0</v>
      </c>
      <c r="CT102" s="9">
        <v>0</v>
      </c>
      <c r="CU102" s="9">
        <v>0</v>
      </c>
      <c r="CV102" s="9">
        <v>0</v>
      </c>
      <c r="CW102" s="9">
        <v>0</v>
      </c>
      <c r="CX102" s="9">
        <v>0</v>
      </c>
      <c r="CY102" s="9">
        <v>0</v>
      </c>
      <c r="CZ102" s="9">
        <v>0</v>
      </c>
      <c r="DA102" s="9">
        <v>0</v>
      </c>
      <c r="DB102" s="9">
        <v>0</v>
      </c>
      <c r="DC102" s="9">
        <v>0</v>
      </c>
      <c r="DD102" s="9">
        <v>0</v>
      </c>
      <c r="DE102" s="9">
        <v>0</v>
      </c>
      <c r="DF102" s="9">
        <v>0</v>
      </c>
      <c r="DG102" s="9">
        <v>0</v>
      </c>
      <c r="DH102" s="9">
        <v>0</v>
      </c>
      <c r="DI102" s="9">
        <v>0</v>
      </c>
      <c r="DJ102" s="9">
        <v>0</v>
      </c>
      <c r="DK102" s="9">
        <v>0</v>
      </c>
      <c r="DL102" s="9">
        <v>0</v>
      </c>
      <c r="DM102" s="9">
        <v>0</v>
      </c>
      <c r="DN102" s="9">
        <v>0</v>
      </c>
      <c r="DO102" s="9">
        <v>0</v>
      </c>
      <c r="DP102" s="9">
        <v>0</v>
      </c>
      <c r="DQ102" s="9">
        <v>0</v>
      </c>
      <c r="DR102" s="9">
        <v>0</v>
      </c>
      <c r="DS102" s="9">
        <v>0</v>
      </c>
      <c r="DT102" s="9">
        <v>0</v>
      </c>
      <c r="DU102" s="9">
        <v>0</v>
      </c>
      <c r="DV102" s="9">
        <v>0</v>
      </c>
      <c r="DW102" s="9">
        <v>0</v>
      </c>
      <c r="DX102" s="9">
        <v>0</v>
      </c>
      <c r="DY102" s="9">
        <v>0</v>
      </c>
      <c r="DZ102" s="9">
        <v>0</v>
      </c>
      <c r="EA102" s="9">
        <v>0</v>
      </c>
      <c r="EB102" s="9">
        <v>0</v>
      </c>
      <c r="EC102" s="9">
        <v>0</v>
      </c>
      <c r="ED102" s="9">
        <v>0</v>
      </c>
      <c r="EE102" s="9">
        <v>0</v>
      </c>
      <c r="EF102" s="9">
        <v>0</v>
      </c>
      <c r="EG102" s="9">
        <v>0</v>
      </c>
      <c r="EH102" s="9">
        <v>0</v>
      </c>
      <c r="EI102" s="9">
        <v>0</v>
      </c>
      <c r="EJ102" s="9">
        <v>0</v>
      </c>
      <c r="EK102" s="9">
        <v>0</v>
      </c>
      <c r="EL102" s="9">
        <v>0</v>
      </c>
      <c r="EM102" s="9">
        <v>0</v>
      </c>
      <c r="EN102" s="9">
        <v>0</v>
      </c>
      <c r="EO102" s="9">
        <v>0</v>
      </c>
      <c r="EP102" s="9">
        <v>0</v>
      </c>
      <c r="EQ102" s="9">
        <v>0</v>
      </c>
      <c r="ER102" s="9">
        <v>0</v>
      </c>
      <c r="ES102" s="9">
        <v>0</v>
      </c>
      <c r="ET102" s="9">
        <v>0</v>
      </c>
      <c r="EU102" s="9">
        <v>0</v>
      </c>
      <c r="EV102" s="9">
        <v>0</v>
      </c>
      <c r="EW102" s="9">
        <v>0</v>
      </c>
      <c r="EX102" s="9">
        <v>0</v>
      </c>
      <c r="EY102" s="9">
        <v>0</v>
      </c>
      <c r="EZ102" s="9">
        <v>0</v>
      </c>
      <c r="FA102" s="9">
        <v>0</v>
      </c>
      <c r="FB102" s="9">
        <v>0</v>
      </c>
      <c r="FC102" s="9">
        <v>0</v>
      </c>
      <c r="FD102" s="9">
        <v>0</v>
      </c>
      <c r="FE102" s="9">
        <v>0</v>
      </c>
      <c r="FF102" s="9">
        <v>0</v>
      </c>
      <c r="FG102" s="9">
        <v>0</v>
      </c>
      <c r="FH102" s="9">
        <v>0</v>
      </c>
      <c r="FI102" s="9">
        <v>0</v>
      </c>
      <c r="FJ102" s="9">
        <v>0</v>
      </c>
      <c r="FK102" s="9">
        <v>0</v>
      </c>
      <c r="FL102" s="9">
        <v>0</v>
      </c>
      <c r="FM102" s="10">
        <v>0</v>
      </c>
    </row>
    <row r="103" spans="1:169" x14ac:dyDescent="0.35">
      <c r="A103" s="8" t="s">
        <v>174</v>
      </c>
      <c r="B103" s="9" t="s">
        <v>19</v>
      </c>
      <c r="C103" s="10" t="s">
        <v>20</v>
      </c>
      <c r="D103" s="62">
        <f t="shared" si="98"/>
        <v>0</v>
      </c>
      <c r="E103" s="9">
        <v>0</v>
      </c>
      <c r="F103" s="9">
        <v>0</v>
      </c>
      <c r="G103" s="9">
        <v>0</v>
      </c>
      <c r="H103" s="9">
        <v>0</v>
      </c>
      <c r="I103" s="9">
        <v>0</v>
      </c>
      <c r="J103" s="9">
        <v>0</v>
      </c>
      <c r="K103" s="9">
        <v>0</v>
      </c>
      <c r="L103" s="9">
        <v>0</v>
      </c>
      <c r="M103" s="9">
        <v>0</v>
      </c>
      <c r="N103" s="9">
        <v>0</v>
      </c>
      <c r="O103" s="9">
        <v>0</v>
      </c>
      <c r="P103" s="9">
        <v>0</v>
      </c>
      <c r="Q103" s="9">
        <v>0</v>
      </c>
      <c r="R103" s="9">
        <v>0</v>
      </c>
      <c r="S103" s="9">
        <v>0</v>
      </c>
      <c r="T103" s="9">
        <v>0</v>
      </c>
      <c r="U103" s="9">
        <v>0</v>
      </c>
      <c r="V103" s="9">
        <v>0</v>
      </c>
      <c r="W103" s="9">
        <v>0</v>
      </c>
      <c r="X103" s="9">
        <v>0</v>
      </c>
      <c r="Y103" s="9">
        <v>0</v>
      </c>
      <c r="Z103" s="9">
        <v>0</v>
      </c>
      <c r="AA103" s="9">
        <v>0</v>
      </c>
      <c r="AB103" s="9">
        <v>0</v>
      </c>
      <c r="AC103" s="9">
        <v>0</v>
      </c>
      <c r="AD103" s="9">
        <v>0</v>
      </c>
      <c r="AE103" s="9">
        <v>0</v>
      </c>
      <c r="AF103" s="9">
        <v>0</v>
      </c>
      <c r="AG103" s="9">
        <v>0</v>
      </c>
      <c r="AH103" s="9">
        <v>0</v>
      </c>
      <c r="AI103" s="9">
        <v>0</v>
      </c>
      <c r="AJ103" s="9">
        <v>0</v>
      </c>
      <c r="AK103" s="9">
        <v>0</v>
      </c>
      <c r="AL103" s="9">
        <v>0</v>
      </c>
      <c r="AM103" s="9">
        <v>0</v>
      </c>
      <c r="AN103" s="9">
        <v>0</v>
      </c>
      <c r="AO103" s="9">
        <v>0</v>
      </c>
      <c r="AP103" s="9">
        <v>0</v>
      </c>
      <c r="AQ103" s="9">
        <v>0</v>
      </c>
      <c r="AR103" s="9">
        <v>0</v>
      </c>
      <c r="AS103" s="9">
        <v>0</v>
      </c>
      <c r="AT103" s="9">
        <v>0</v>
      </c>
      <c r="AU103" s="9">
        <v>0</v>
      </c>
      <c r="AV103" s="9">
        <v>0</v>
      </c>
      <c r="AW103" s="9">
        <v>0</v>
      </c>
      <c r="AX103" s="9">
        <v>0</v>
      </c>
      <c r="AY103" s="9">
        <v>0</v>
      </c>
      <c r="AZ103" s="9">
        <v>0</v>
      </c>
      <c r="BA103" s="9">
        <v>0</v>
      </c>
      <c r="BB103" s="9">
        <v>0</v>
      </c>
      <c r="BC103" s="9">
        <v>0</v>
      </c>
      <c r="BD103" s="9">
        <v>0</v>
      </c>
      <c r="BE103" s="9">
        <v>0</v>
      </c>
      <c r="BF103" s="9">
        <v>0</v>
      </c>
      <c r="BG103" s="9">
        <v>0</v>
      </c>
      <c r="BH103" s="9">
        <v>0</v>
      </c>
      <c r="BI103" s="9">
        <v>0</v>
      </c>
      <c r="BJ103" s="9">
        <v>0</v>
      </c>
      <c r="BK103" s="9">
        <v>0</v>
      </c>
      <c r="BL103" s="9">
        <v>0</v>
      </c>
      <c r="BM103" s="9">
        <v>0</v>
      </c>
      <c r="BN103" s="9">
        <v>0</v>
      </c>
      <c r="BO103" s="9">
        <v>0</v>
      </c>
      <c r="BP103" s="9">
        <v>0</v>
      </c>
      <c r="BQ103" s="9">
        <v>0</v>
      </c>
      <c r="BR103" s="9">
        <v>0</v>
      </c>
      <c r="BS103" s="9">
        <v>0</v>
      </c>
      <c r="BT103" s="9">
        <v>0</v>
      </c>
      <c r="BU103" s="9">
        <v>0</v>
      </c>
      <c r="BV103" s="9">
        <v>0</v>
      </c>
      <c r="BW103" s="9">
        <v>0</v>
      </c>
      <c r="BX103" s="9">
        <v>0</v>
      </c>
      <c r="BY103" s="9">
        <v>0</v>
      </c>
      <c r="BZ103" s="9">
        <v>0</v>
      </c>
      <c r="CA103" s="9">
        <v>0</v>
      </c>
      <c r="CB103" s="9">
        <v>0</v>
      </c>
      <c r="CC103" s="9">
        <v>0</v>
      </c>
      <c r="CD103" s="9">
        <v>0</v>
      </c>
      <c r="CE103" s="9">
        <v>0</v>
      </c>
      <c r="CF103" s="9">
        <v>0</v>
      </c>
      <c r="CG103" s="9">
        <v>0</v>
      </c>
      <c r="CH103" s="9">
        <v>0</v>
      </c>
      <c r="CI103" s="9">
        <v>0</v>
      </c>
      <c r="CJ103" s="9">
        <v>0</v>
      </c>
      <c r="CK103" s="9">
        <v>0</v>
      </c>
      <c r="CL103" s="9">
        <v>0</v>
      </c>
      <c r="CM103" s="9">
        <v>0</v>
      </c>
      <c r="CN103" s="9">
        <v>0</v>
      </c>
      <c r="CO103" s="9">
        <v>0</v>
      </c>
      <c r="CP103" s="9">
        <v>0</v>
      </c>
      <c r="CQ103" s="9">
        <v>0</v>
      </c>
      <c r="CR103" s="9">
        <v>0</v>
      </c>
      <c r="CS103" s="9">
        <v>0</v>
      </c>
      <c r="CT103" s="9">
        <v>0</v>
      </c>
      <c r="CU103" s="9">
        <v>0</v>
      </c>
      <c r="CV103" s="9">
        <v>0</v>
      </c>
      <c r="CW103" s="9">
        <v>0</v>
      </c>
      <c r="CX103" s="9">
        <v>0</v>
      </c>
      <c r="CY103" s="9">
        <v>0</v>
      </c>
      <c r="CZ103" s="9">
        <v>0</v>
      </c>
      <c r="DA103" s="9">
        <v>0</v>
      </c>
      <c r="DB103" s="9">
        <v>0</v>
      </c>
      <c r="DC103" s="9">
        <v>0</v>
      </c>
      <c r="DD103" s="9">
        <v>0</v>
      </c>
      <c r="DE103" s="9">
        <v>0</v>
      </c>
      <c r="DF103" s="9">
        <v>0</v>
      </c>
      <c r="DG103" s="9">
        <v>0</v>
      </c>
      <c r="DH103" s="9">
        <v>0</v>
      </c>
      <c r="DI103" s="9">
        <v>0</v>
      </c>
      <c r="DJ103" s="9">
        <v>0</v>
      </c>
      <c r="DK103" s="9">
        <v>0</v>
      </c>
      <c r="DL103" s="9">
        <v>0</v>
      </c>
      <c r="DM103" s="9">
        <v>0</v>
      </c>
      <c r="DN103" s="9">
        <v>0</v>
      </c>
      <c r="DO103" s="9">
        <v>0</v>
      </c>
      <c r="DP103" s="9">
        <v>0</v>
      </c>
      <c r="DQ103" s="9">
        <v>0</v>
      </c>
      <c r="DR103" s="9">
        <v>0</v>
      </c>
      <c r="DS103" s="9">
        <v>0</v>
      </c>
      <c r="DT103" s="9">
        <v>0</v>
      </c>
      <c r="DU103" s="9">
        <v>0</v>
      </c>
      <c r="DV103" s="9">
        <v>0</v>
      </c>
      <c r="DW103" s="9">
        <v>0</v>
      </c>
      <c r="DX103" s="9">
        <v>0</v>
      </c>
      <c r="DY103" s="9">
        <v>0</v>
      </c>
      <c r="DZ103" s="9">
        <v>0</v>
      </c>
      <c r="EA103" s="9">
        <v>0</v>
      </c>
      <c r="EB103" s="9">
        <v>0</v>
      </c>
      <c r="EC103" s="9">
        <v>0</v>
      </c>
      <c r="ED103" s="9">
        <v>0</v>
      </c>
      <c r="EE103" s="9">
        <v>0</v>
      </c>
      <c r="EF103" s="9">
        <v>0</v>
      </c>
      <c r="EG103" s="9">
        <v>0</v>
      </c>
      <c r="EH103" s="9">
        <v>0</v>
      </c>
      <c r="EI103" s="9">
        <v>0</v>
      </c>
      <c r="EJ103" s="9">
        <v>0</v>
      </c>
      <c r="EK103" s="9">
        <v>0</v>
      </c>
      <c r="EL103" s="9">
        <v>0</v>
      </c>
      <c r="EM103" s="9">
        <v>0</v>
      </c>
      <c r="EN103" s="9">
        <v>0</v>
      </c>
      <c r="EO103" s="9">
        <v>0</v>
      </c>
      <c r="EP103" s="9">
        <v>0</v>
      </c>
      <c r="EQ103" s="9">
        <v>0</v>
      </c>
      <c r="ER103" s="9">
        <v>0</v>
      </c>
      <c r="ES103" s="9">
        <v>0</v>
      </c>
      <c r="ET103" s="9">
        <v>0</v>
      </c>
      <c r="EU103" s="9">
        <v>0</v>
      </c>
      <c r="EV103" s="9">
        <v>0</v>
      </c>
      <c r="EW103" s="9">
        <v>0</v>
      </c>
      <c r="EX103" s="9">
        <v>0</v>
      </c>
      <c r="EY103" s="9">
        <v>0</v>
      </c>
      <c r="EZ103" s="9">
        <v>0</v>
      </c>
      <c r="FA103" s="9">
        <v>0</v>
      </c>
      <c r="FB103" s="9">
        <v>0</v>
      </c>
      <c r="FC103" s="9">
        <v>0</v>
      </c>
      <c r="FD103" s="9">
        <v>0</v>
      </c>
      <c r="FE103" s="9">
        <v>0</v>
      </c>
      <c r="FF103" s="9">
        <v>0</v>
      </c>
      <c r="FG103" s="9">
        <v>0</v>
      </c>
      <c r="FH103" s="9">
        <v>0</v>
      </c>
      <c r="FI103" s="9">
        <v>0</v>
      </c>
      <c r="FJ103" s="9">
        <v>0</v>
      </c>
      <c r="FK103" s="9">
        <v>0</v>
      </c>
      <c r="FL103" s="9">
        <v>0</v>
      </c>
      <c r="FM103" s="10">
        <v>0</v>
      </c>
    </row>
    <row r="104" spans="1:169" x14ac:dyDescent="0.35">
      <c r="A104" s="8" t="s">
        <v>174</v>
      </c>
      <c r="B104" s="9" t="s">
        <v>21</v>
      </c>
      <c r="C104" s="10" t="s">
        <v>22</v>
      </c>
      <c r="D104" s="62">
        <f t="shared" si="98"/>
        <v>5</v>
      </c>
      <c r="E104" s="9">
        <v>0</v>
      </c>
      <c r="F104" s="9">
        <v>0</v>
      </c>
      <c r="G104" s="9">
        <v>0</v>
      </c>
      <c r="H104" s="9">
        <v>0</v>
      </c>
      <c r="I104" s="9">
        <v>0</v>
      </c>
      <c r="J104" s="9">
        <v>0</v>
      </c>
      <c r="K104" s="9">
        <v>0</v>
      </c>
      <c r="L104" s="9">
        <v>0</v>
      </c>
      <c r="M104" s="9">
        <v>0</v>
      </c>
      <c r="N104" s="9">
        <v>0</v>
      </c>
      <c r="O104" s="9">
        <v>0</v>
      </c>
      <c r="P104" s="9">
        <v>0</v>
      </c>
      <c r="Q104" s="9">
        <v>0</v>
      </c>
      <c r="R104" s="9">
        <v>0</v>
      </c>
      <c r="S104" s="9">
        <v>0</v>
      </c>
      <c r="T104" s="9">
        <v>0</v>
      </c>
      <c r="U104" s="9">
        <v>0</v>
      </c>
      <c r="V104" s="9">
        <v>0</v>
      </c>
      <c r="W104" s="9">
        <v>0</v>
      </c>
      <c r="X104" s="9">
        <v>0</v>
      </c>
      <c r="Y104" s="9">
        <v>0</v>
      </c>
      <c r="Z104" s="9">
        <v>0</v>
      </c>
      <c r="AA104" s="9">
        <v>0</v>
      </c>
      <c r="AB104" s="9">
        <v>0</v>
      </c>
      <c r="AC104" s="9">
        <v>0</v>
      </c>
      <c r="AD104" s="9">
        <v>0</v>
      </c>
      <c r="AE104" s="9">
        <v>0</v>
      </c>
      <c r="AF104" s="9">
        <v>0</v>
      </c>
      <c r="AG104" s="9">
        <v>0</v>
      </c>
      <c r="AH104" s="9">
        <v>0</v>
      </c>
      <c r="AI104" s="9">
        <v>0</v>
      </c>
      <c r="AJ104" s="9">
        <v>0</v>
      </c>
      <c r="AK104" s="9">
        <v>0</v>
      </c>
      <c r="AL104" s="9">
        <v>0</v>
      </c>
      <c r="AM104" s="9">
        <v>0</v>
      </c>
      <c r="AN104" s="9">
        <v>0</v>
      </c>
      <c r="AO104" s="9">
        <v>0</v>
      </c>
      <c r="AP104" s="9">
        <v>0</v>
      </c>
      <c r="AQ104" s="9">
        <v>0</v>
      </c>
      <c r="AR104" s="9">
        <v>0</v>
      </c>
      <c r="AS104" s="9">
        <v>0</v>
      </c>
      <c r="AT104" s="9">
        <v>0</v>
      </c>
      <c r="AU104" s="9">
        <v>0</v>
      </c>
      <c r="AV104" s="9">
        <v>0</v>
      </c>
      <c r="AW104" s="9">
        <v>0</v>
      </c>
      <c r="AX104" s="9">
        <v>0</v>
      </c>
      <c r="AY104" s="9">
        <v>0</v>
      </c>
      <c r="AZ104" s="9">
        <v>0</v>
      </c>
      <c r="BA104" s="9">
        <v>0</v>
      </c>
      <c r="BB104" s="9">
        <v>0</v>
      </c>
      <c r="BC104" s="9">
        <v>0</v>
      </c>
      <c r="BD104" s="9">
        <v>0</v>
      </c>
      <c r="BE104" s="9">
        <v>0</v>
      </c>
      <c r="BF104" s="9">
        <v>0</v>
      </c>
      <c r="BG104" s="9">
        <v>0</v>
      </c>
      <c r="BH104" s="9">
        <v>0</v>
      </c>
      <c r="BI104" s="9">
        <v>0</v>
      </c>
      <c r="BJ104" s="9">
        <v>0</v>
      </c>
      <c r="BK104" s="9">
        <v>0</v>
      </c>
      <c r="BL104" s="9">
        <v>0</v>
      </c>
      <c r="BM104" s="9">
        <v>0</v>
      </c>
      <c r="BN104" s="9">
        <v>0</v>
      </c>
      <c r="BO104" s="9">
        <v>0</v>
      </c>
      <c r="BP104" s="9">
        <v>0</v>
      </c>
      <c r="BQ104" s="9">
        <v>0</v>
      </c>
      <c r="BR104" s="9">
        <v>0</v>
      </c>
      <c r="BS104" s="9">
        <v>0</v>
      </c>
      <c r="BT104" s="9">
        <v>0</v>
      </c>
      <c r="BU104" s="9">
        <v>0</v>
      </c>
      <c r="BV104" s="9">
        <v>0</v>
      </c>
      <c r="BW104" s="9">
        <v>0</v>
      </c>
      <c r="BX104" s="9">
        <v>0</v>
      </c>
      <c r="BY104" s="9">
        <v>0</v>
      </c>
      <c r="BZ104" s="9">
        <v>0</v>
      </c>
      <c r="CA104" s="9">
        <v>0</v>
      </c>
      <c r="CB104" s="9">
        <v>0</v>
      </c>
      <c r="CC104" s="9">
        <v>0</v>
      </c>
      <c r="CD104" s="9">
        <v>0</v>
      </c>
      <c r="CE104" s="9">
        <v>0</v>
      </c>
      <c r="CF104" s="9">
        <v>0</v>
      </c>
      <c r="CG104" s="9">
        <v>0</v>
      </c>
      <c r="CH104" s="9">
        <v>0</v>
      </c>
      <c r="CI104" s="9">
        <v>0</v>
      </c>
      <c r="CJ104" s="9">
        <v>0</v>
      </c>
      <c r="CK104" s="9">
        <v>0</v>
      </c>
      <c r="CL104" s="9">
        <v>0</v>
      </c>
      <c r="CM104" s="9">
        <v>0</v>
      </c>
      <c r="CN104" s="9">
        <v>0</v>
      </c>
      <c r="CO104" s="9">
        <v>0</v>
      </c>
      <c r="CP104" s="9">
        <v>0</v>
      </c>
      <c r="CQ104" s="9">
        <v>0</v>
      </c>
      <c r="CR104" s="9">
        <v>0</v>
      </c>
      <c r="CS104" s="9">
        <v>0</v>
      </c>
      <c r="CT104" s="9">
        <v>0</v>
      </c>
      <c r="CU104" s="9">
        <v>0</v>
      </c>
      <c r="CV104" s="9">
        <v>0</v>
      </c>
      <c r="CW104" s="9">
        <v>0</v>
      </c>
      <c r="CX104" s="9">
        <v>0</v>
      </c>
      <c r="CY104" s="9">
        <v>0</v>
      </c>
      <c r="CZ104" s="9">
        <v>0</v>
      </c>
      <c r="DA104" s="9">
        <v>0</v>
      </c>
      <c r="DB104" s="9">
        <v>0</v>
      </c>
      <c r="DC104" s="9">
        <v>0</v>
      </c>
      <c r="DD104" s="9">
        <v>0</v>
      </c>
      <c r="DE104" s="9">
        <v>0</v>
      </c>
      <c r="DF104" s="9">
        <v>0</v>
      </c>
      <c r="DG104" s="9">
        <v>0</v>
      </c>
      <c r="DH104" s="9">
        <v>0</v>
      </c>
      <c r="DI104" s="9">
        <v>0</v>
      </c>
      <c r="DJ104" s="9">
        <v>5</v>
      </c>
      <c r="DK104" s="9">
        <v>5</v>
      </c>
      <c r="DL104" s="9">
        <v>5</v>
      </c>
      <c r="DM104" s="9">
        <v>0</v>
      </c>
      <c r="DN104" s="9">
        <v>0</v>
      </c>
      <c r="DO104" s="9">
        <v>0</v>
      </c>
      <c r="DP104" s="9">
        <v>0</v>
      </c>
      <c r="DQ104" s="9">
        <v>0</v>
      </c>
      <c r="DR104" s="9">
        <v>0</v>
      </c>
      <c r="DS104" s="9">
        <v>0</v>
      </c>
      <c r="DT104" s="9">
        <v>0</v>
      </c>
      <c r="DU104" s="9">
        <v>0</v>
      </c>
      <c r="DV104" s="9">
        <v>0</v>
      </c>
      <c r="DW104" s="9">
        <v>0</v>
      </c>
      <c r="DX104" s="9">
        <v>0</v>
      </c>
      <c r="DY104" s="9">
        <v>0</v>
      </c>
      <c r="DZ104" s="9">
        <v>0</v>
      </c>
      <c r="EA104" s="9">
        <v>0</v>
      </c>
      <c r="EB104" s="9">
        <v>0</v>
      </c>
      <c r="EC104" s="9">
        <v>0</v>
      </c>
      <c r="ED104" s="9">
        <v>0</v>
      </c>
      <c r="EE104" s="9">
        <v>0</v>
      </c>
      <c r="EF104" s="9">
        <v>0</v>
      </c>
      <c r="EG104" s="9">
        <v>0</v>
      </c>
      <c r="EH104" s="9">
        <v>0</v>
      </c>
      <c r="EI104" s="9">
        <v>0</v>
      </c>
      <c r="EJ104" s="9">
        <v>0</v>
      </c>
      <c r="EK104" s="9">
        <v>0</v>
      </c>
      <c r="EL104" s="9">
        <v>0</v>
      </c>
      <c r="EM104" s="9">
        <v>0</v>
      </c>
      <c r="EN104" s="9">
        <v>0</v>
      </c>
      <c r="EO104" s="9">
        <v>0</v>
      </c>
      <c r="EP104" s="9">
        <v>0</v>
      </c>
      <c r="EQ104" s="9">
        <v>0</v>
      </c>
      <c r="ER104" s="9">
        <v>0</v>
      </c>
      <c r="ES104" s="9">
        <v>0</v>
      </c>
      <c r="ET104" s="9">
        <v>0</v>
      </c>
      <c r="EU104" s="9">
        <v>0</v>
      </c>
      <c r="EV104" s="9">
        <v>0</v>
      </c>
      <c r="EW104" s="9">
        <v>0</v>
      </c>
      <c r="EX104" s="9">
        <v>0</v>
      </c>
      <c r="EY104" s="9">
        <v>0</v>
      </c>
      <c r="EZ104" s="9">
        <v>0</v>
      </c>
      <c r="FA104" s="9">
        <v>0</v>
      </c>
      <c r="FB104" s="9">
        <v>0</v>
      </c>
      <c r="FC104" s="9">
        <v>0</v>
      </c>
      <c r="FD104" s="9">
        <v>0</v>
      </c>
      <c r="FE104" s="9">
        <v>0</v>
      </c>
      <c r="FF104" s="9">
        <v>0</v>
      </c>
      <c r="FG104" s="9">
        <v>0</v>
      </c>
      <c r="FH104" s="9">
        <v>0</v>
      </c>
      <c r="FI104" s="9">
        <v>0</v>
      </c>
      <c r="FJ104" s="9">
        <v>0</v>
      </c>
      <c r="FK104" s="9">
        <v>0</v>
      </c>
      <c r="FL104" s="9">
        <v>0</v>
      </c>
      <c r="FM104" s="10">
        <v>0</v>
      </c>
    </row>
    <row r="105" spans="1:169" x14ac:dyDescent="0.35">
      <c r="A105" s="8" t="s">
        <v>174</v>
      </c>
      <c r="B105" s="9" t="s">
        <v>23</v>
      </c>
      <c r="C105" s="10" t="s">
        <v>24</v>
      </c>
      <c r="D105" s="62">
        <f t="shared" si="98"/>
        <v>0</v>
      </c>
      <c r="E105" s="9">
        <v>0</v>
      </c>
      <c r="F105" s="9">
        <v>0</v>
      </c>
      <c r="G105" s="9">
        <v>0</v>
      </c>
      <c r="H105" s="9">
        <v>0</v>
      </c>
      <c r="I105" s="9">
        <v>0</v>
      </c>
      <c r="J105" s="9">
        <v>0</v>
      </c>
      <c r="K105" s="9">
        <v>0</v>
      </c>
      <c r="L105" s="9">
        <v>0</v>
      </c>
      <c r="M105" s="9">
        <v>0</v>
      </c>
      <c r="N105" s="9">
        <v>0</v>
      </c>
      <c r="O105" s="9">
        <v>0</v>
      </c>
      <c r="P105" s="9">
        <v>0</v>
      </c>
      <c r="Q105" s="9">
        <v>0</v>
      </c>
      <c r="R105" s="9">
        <v>0</v>
      </c>
      <c r="S105" s="9">
        <v>0</v>
      </c>
      <c r="T105" s="9">
        <v>0</v>
      </c>
      <c r="U105" s="9">
        <v>0</v>
      </c>
      <c r="V105" s="9">
        <v>0</v>
      </c>
      <c r="W105" s="9">
        <v>0</v>
      </c>
      <c r="X105" s="9">
        <v>0</v>
      </c>
      <c r="Y105" s="9">
        <v>0</v>
      </c>
      <c r="Z105" s="9">
        <v>0</v>
      </c>
      <c r="AA105" s="9">
        <v>0</v>
      </c>
      <c r="AB105" s="9">
        <v>0</v>
      </c>
      <c r="AC105" s="9">
        <v>0</v>
      </c>
      <c r="AD105" s="9">
        <v>0</v>
      </c>
      <c r="AE105" s="9">
        <v>0</v>
      </c>
      <c r="AF105" s="9">
        <v>0</v>
      </c>
      <c r="AG105" s="9">
        <v>0</v>
      </c>
      <c r="AH105" s="9">
        <v>0</v>
      </c>
      <c r="AI105" s="9">
        <v>0</v>
      </c>
      <c r="AJ105" s="9">
        <v>0</v>
      </c>
      <c r="AK105" s="9">
        <v>0</v>
      </c>
      <c r="AL105" s="9">
        <v>0</v>
      </c>
      <c r="AM105" s="9">
        <v>0</v>
      </c>
      <c r="AN105" s="9">
        <v>0</v>
      </c>
      <c r="AO105" s="9">
        <v>0</v>
      </c>
      <c r="AP105" s="9">
        <v>0</v>
      </c>
      <c r="AQ105" s="9">
        <v>0</v>
      </c>
      <c r="AR105" s="9">
        <v>0</v>
      </c>
      <c r="AS105" s="9">
        <v>0</v>
      </c>
      <c r="AT105" s="9">
        <v>0</v>
      </c>
      <c r="AU105" s="9">
        <v>0</v>
      </c>
      <c r="AV105" s="9">
        <v>0</v>
      </c>
      <c r="AW105" s="9">
        <v>0</v>
      </c>
      <c r="AX105" s="9">
        <v>0</v>
      </c>
      <c r="AY105" s="9">
        <v>0</v>
      </c>
      <c r="AZ105" s="9">
        <v>0</v>
      </c>
      <c r="BA105" s="9">
        <v>0</v>
      </c>
      <c r="BB105" s="9">
        <v>0</v>
      </c>
      <c r="BC105" s="9">
        <v>0</v>
      </c>
      <c r="BD105" s="9">
        <v>0</v>
      </c>
      <c r="BE105" s="9">
        <v>0</v>
      </c>
      <c r="BF105" s="9">
        <v>0</v>
      </c>
      <c r="BG105" s="9">
        <v>0</v>
      </c>
      <c r="BH105" s="9">
        <v>0</v>
      </c>
      <c r="BI105" s="9">
        <v>0</v>
      </c>
      <c r="BJ105" s="9">
        <v>0</v>
      </c>
      <c r="BK105" s="9">
        <v>0</v>
      </c>
      <c r="BL105" s="9">
        <v>0</v>
      </c>
      <c r="BM105" s="9">
        <v>0</v>
      </c>
      <c r="BN105" s="9">
        <v>0</v>
      </c>
      <c r="BO105" s="9">
        <v>0</v>
      </c>
      <c r="BP105" s="9">
        <v>0</v>
      </c>
      <c r="BQ105" s="9">
        <v>0</v>
      </c>
      <c r="BR105" s="9">
        <v>0</v>
      </c>
      <c r="BS105" s="9">
        <v>0</v>
      </c>
      <c r="BT105" s="9">
        <v>0</v>
      </c>
      <c r="BU105" s="9">
        <v>0</v>
      </c>
      <c r="BV105" s="9">
        <v>0</v>
      </c>
      <c r="BW105" s="9">
        <v>0</v>
      </c>
      <c r="BX105" s="9">
        <v>0</v>
      </c>
      <c r="BY105" s="9">
        <v>0</v>
      </c>
      <c r="BZ105" s="9">
        <v>0</v>
      </c>
      <c r="CA105" s="9">
        <v>0</v>
      </c>
      <c r="CB105" s="9">
        <v>0</v>
      </c>
      <c r="CC105" s="9">
        <v>0</v>
      </c>
      <c r="CD105" s="9">
        <v>0</v>
      </c>
      <c r="CE105" s="9">
        <v>0</v>
      </c>
      <c r="CF105" s="9">
        <v>0</v>
      </c>
      <c r="CG105" s="9">
        <v>0</v>
      </c>
      <c r="CH105" s="9">
        <v>0</v>
      </c>
      <c r="CI105" s="9">
        <v>0</v>
      </c>
      <c r="CJ105" s="9">
        <v>0</v>
      </c>
      <c r="CK105" s="9">
        <v>0</v>
      </c>
      <c r="CL105" s="9">
        <v>0</v>
      </c>
      <c r="CM105" s="9">
        <v>0</v>
      </c>
      <c r="CN105" s="9">
        <v>0</v>
      </c>
      <c r="CO105" s="9">
        <v>0</v>
      </c>
      <c r="CP105" s="9">
        <v>0</v>
      </c>
      <c r="CQ105" s="9">
        <v>0</v>
      </c>
      <c r="CR105" s="9">
        <v>0</v>
      </c>
      <c r="CS105" s="9">
        <v>0</v>
      </c>
      <c r="CT105" s="9">
        <v>0</v>
      </c>
      <c r="CU105" s="9">
        <v>0</v>
      </c>
      <c r="CV105" s="9">
        <v>0</v>
      </c>
      <c r="CW105" s="9">
        <v>0</v>
      </c>
      <c r="CX105" s="9">
        <v>0</v>
      </c>
      <c r="CY105" s="9">
        <v>0</v>
      </c>
      <c r="CZ105" s="9">
        <v>0</v>
      </c>
      <c r="DA105" s="9">
        <v>0</v>
      </c>
      <c r="DB105" s="9">
        <v>0</v>
      </c>
      <c r="DC105" s="9">
        <v>0</v>
      </c>
      <c r="DD105" s="9">
        <v>0</v>
      </c>
      <c r="DE105" s="9">
        <v>0</v>
      </c>
      <c r="DF105" s="9">
        <v>0</v>
      </c>
      <c r="DG105" s="9">
        <v>0</v>
      </c>
      <c r="DH105" s="9">
        <v>0</v>
      </c>
      <c r="DI105" s="9">
        <v>0</v>
      </c>
      <c r="DJ105" s="9">
        <v>0</v>
      </c>
      <c r="DK105" s="9">
        <v>0</v>
      </c>
      <c r="DL105" s="9">
        <v>0</v>
      </c>
      <c r="DM105" s="9">
        <v>0</v>
      </c>
      <c r="DN105" s="9">
        <v>0</v>
      </c>
      <c r="DO105" s="9">
        <v>0</v>
      </c>
      <c r="DP105" s="9">
        <v>0</v>
      </c>
      <c r="DQ105" s="9">
        <v>0</v>
      </c>
      <c r="DR105" s="9">
        <v>0</v>
      </c>
      <c r="DS105" s="9">
        <v>0</v>
      </c>
      <c r="DT105" s="9">
        <v>0</v>
      </c>
      <c r="DU105" s="9">
        <v>0</v>
      </c>
      <c r="DV105" s="9">
        <v>0</v>
      </c>
      <c r="DW105" s="9">
        <v>0</v>
      </c>
      <c r="DX105" s="9">
        <v>0</v>
      </c>
      <c r="DY105" s="9">
        <v>0</v>
      </c>
      <c r="DZ105" s="9">
        <v>0</v>
      </c>
      <c r="EA105" s="9">
        <v>0</v>
      </c>
      <c r="EB105" s="9">
        <v>0</v>
      </c>
      <c r="EC105" s="9">
        <v>0</v>
      </c>
      <c r="ED105" s="9">
        <v>0</v>
      </c>
      <c r="EE105" s="9">
        <v>0</v>
      </c>
      <c r="EF105" s="9">
        <v>0</v>
      </c>
      <c r="EG105" s="9">
        <v>0</v>
      </c>
      <c r="EH105" s="9">
        <v>0</v>
      </c>
      <c r="EI105" s="9">
        <v>0</v>
      </c>
      <c r="EJ105" s="9">
        <v>0</v>
      </c>
      <c r="EK105" s="9">
        <v>0</v>
      </c>
      <c r="EL105" s="9">
        <v>0</v>
      </c>
      <c r="EM105" s="9">
        <v>0</v>
      </c>
      <c r="EN105" s="9">
        <v>0</v>
      </c>
      <c r="EO105" s="9">
        <v>0</v>
      </c>
      <c r="EP105" s="9">
        <v>0</v>
      </c>
      <c r="EQ105" s="9">
        <v>0</v>
      </c>
      <c r="ER105" s="9">
        <v>0</v>
      </c>
      <c r="ES105" s="9">
        <v>0</v>
      </c>
      <c r="ET105" s="9">
        <v>0</v>
      </c>
      <c r="EU105" s="9">
        <v>0</v>
      </c>
      <c r="EV105" s="9">
        <v>0</v>
      </c>
      <c r="EW105" s="9">
        <v>0</v>
      </c>
      <c r="EX105" s="9">
        <v>0</v>
      </c>
      <c r="EY105" s="9">
        <v>0</v>
      </c>
      <c r="EZ105" s="9">
        <v>0</v>
      </c>
      <c r="FA105" s="9">
        <v>0</v>
      </c>
      <c r="FB105" s="9">
        <v>0</v>
      </c>
      <c r="FC105" s="9">
        <v>0</v>
      </c>
      <c r="FD105" s="9">
        <v>0</v>
      </c>
      <c r="FE105" s="9">
        <v>0</v>
      </c>
      <c r="FF105" s="9">
        <v>0</v>
      </c>
      <c r="FG105" s="9">
        <v>0</v>
      </c>
      <c r="FH105" s="9">
        <v>0</v>
      </c>
      <c r="FI105" s="9">
        <v>0</v>
      </c>
      <c r="FJ105" s="9">
        <v>0</v>
      </c>
      <c r="FK105" s="9">
        <v>0</v>
      </c>
      <c r="FL105" s="9">
        <v>0</v>
      </c>
      <c r="FM105" s="10">
        <v>0</v>
      </c>
    </row>
    <row r="106" spans="1:169" x14ac:dyDescent="0.35">
      <c r="A106" s="8" t="s">
        <v>174</v>
      </c>
      <c r="B106" s="9" t="s">
        <v>98</v>
      </c>
      <c r="C106" s="10" t="s">
        <v>99</v>
      </c>
      <c r="D106" s="62">
        <f t="shared" si="98"/>
        <v>0</v>
      </c>
      <c r="E106" s="9">
        <v>0</v>
      </c>
      <c r="F106" s="9">
        <v>0</v>
      </c>
      <c r="G106" s="9">
        <v>0</v>
      </c>
      <c r="H106" s="9">
        <v>0</v>
      </c>
      <c r="I106" s="9">
        <v>0</v>
      </c>
      <c r="J106" s="9">
        <v>0</v>
      </c>
      <c r="K106" s="9">
        <v>0</v>
      </c>
      <c r="L106" s="9">
        <v>0</v>
      </c>
      <c r="M106" s="9">
        <v>0</v>
      </c>
      <c r="N106" s="9">
        <v>0</v>
      </c>
      <c r="O106" s="9">
        <v>0</v>
      </c>
      <c r="P106" s="9">
        <v>0</v>
      </c>
      <c r="Q106" s="9">
        <v>0</v>
      </c>
      <c r="R106" s="9">
        <v>0</v>
      </c>
      <c r="S106" s="9">
        <v>0</v>
      </c>
      <c r="T106" s="9">
        <v>0</v>
      </c>
      <c r="U106" s="9">
        <v>0</v>
      </c>
      <c r="V106" s="9">
        <v>0</v>
      </c>
      <c r="W106" s="9">
        <v>0</v>
      </c>
      <c r="X106" s="9">
        <v>0</v>
      </c>
      <c r="Y106" s="9">
        <v>0</v>
      </c>
      <c r="Z106" s="9">
        <v>0</v>
      </c>
      <c r="AA106" s="9">
        <v>0</v>
      </c>
      <c r="AB106" s="9">
        <v>0</v>
      </c>
      <c r="AC106" s="9">
        <v>0</v>
      </c>
      <c r="AD106" s="9">
        <v>0</v>
      </c>
      <c r="AE106" s="9">
        <v>0</v>
      </c>
      <c r="AF106" s="9">
        <v>0</v>
      </c>
      <c r="AG106" s="9">
        <v>0</v>
      </c>
      <c r="AH106" s="9">
        <v>0</v>
      </c>
      <c r="AI106" s="9">
        <v>0</v>
      </c>
      <c r="AJ106" s="9">
        <v>0</v>
      </c>
      <c r="AK106" s="9">
        <v>0</v>
      </c>
      <c r="AL106" s="9">
        <v>0</v>
      </c>
      <c r="AM106" s="9">
        <v>0</v>
      </c>
      <c r="AN106" s="9">
        <v>0</v>
      </c>
      <c r="AO106" s="9">
        <v>0</v>
      </c>
      <c r="AP106" s="9">
        <v>0</v>
      </c>
      <c r="AQ106" s="9">
        <v>0</v>
      </c>
      <c r="AR106" s="9">
        <v>0</v>
      </c>
      <c r="AS106" s="9">
        <v>0</v>
      </c>
      <c r="AT106" s="9">
        <v>0</v>
      </c>
      <c r="AU106" s="9">
        <v>0</v>
      </c>
      <c r="AV106" s="9">
        <v>0</v>
      </c>
      <c r="AW106" s="9">
        <v>0</v>
      </c>
      <c r="AX106" s="9">
        <v>0</v>
      </c>
      <c r="AY106" s="9">
        <v>0</v>
      </c>
      <c r="AZ106" s="9">
        <v>0</v>
      </c>
      <c r="BA106" s="9">
        <v>0</v>
      </c>
      <c r="BB106" s="9">
        <v>0</v>
      </c>
      <c r="BC106" s="9">
        <v>0</v>
      </c>
      <c r="BD106" s="9">
        <v>0</v>
      </c>
      <c r="BE106" s="9">
        <v>0</v>
      </c>
      <c r="BF106" s="9">
        <v>0</v>
      </c>
      <c r="BG106" s="9">
        <v>0</v>
      </c>
      <c r="BH106" s="9">
        <v>0</v>
      </c>
      <c r="BI106" s="9">
        <v>0</v>
      </c>
      <c r="BJ106" s="9">
        <v>0</v>
      </c>
      <c r="BK106" s="9">
        <v>0</v>
      </c>
      <c r="BL106" s="9">
        <v>0</v>
      </c>
      <c r="BM106" s="9">
        <v>0</v>
      </c>
      <c r="BN106" s="9">
        <v>0</v>
      </c>
      <c r="BO106" s="9">
        <v>0</v>
      </c>
      <c r="BP106" s="9">
        <v>0</v>
      </c>
      <c r="BQ106" s="9">
        <v>0</v>
      </c>
      <c r="BR106" s="9">
        <v>0</v>
      </c>
      <c r="BS106" s="9">
        <v>0</v>
      </c>
      <c r="BT106" s="9">
        <v>0</v>
      </c>
      <c r="BU106" s="9">
        <v>0</v>
      </c>
      <c r="BV106" s="9">
        <v>0</v>
      </c>
      <c r="BW106" s="9">
        <v>0</v>
      </c>
      <c r="BX106" s="9">
        <v>0</v>
      </c>
      <c r="BY106" s="9">
        <v>0</v>
      </c>
      <c r="BZ106" s="9">
        <v>0</v>
      </c>
      <c r="CA106" s="9">
        <v>0</v>
      </c>
      <c r="CB106" s="9">
        <v>0</v>
      </c>
      <c r="CC106" s="9">
        <v>0</v>
      </c>
      <c r="CD106" s="9">
        <v>0</v>
      </c>
      <c r="CE106" s="9">
        <v>0</v>
      </c>
      <c r="CF106" s="9">
        <v>0</v>
      </c>
      <c r="CG106" s="9">
        <v>0</v>
      </c>
      <c r="CH106" s="9">
        <v>0</v>
      </c>
      <c r="CI106" s="9">
        <v>0</v>
      </c>
      <c r="CJ106" s="9">
        <v>0</v>
      </c>
      <c r="CK106" s="9">
        <v>0</v>
      </c>
      <c r="CL106" s="9">
        <v>0</v>
      </c>
      <c r="CM106" s="9">
        <v>0</v>
      </c>
      <c r="CN106" s="9">
        <v>0</v>
      </c>
      <c r="CO106" s="9">
        <v>0</v>
      </c>
      <c r="CP106" s="9">
        <v>0</v>
      </c>
      <c r="CQ106" s="9">
        <v>0</v>
      </c>
      <c r="CR106" s="9">
        <v>0</v>
      </c>
      <c r="CS106" s="9">
        <v>0</v>
      </c>
      <c r="CT106" s="9">
        <v>0</v>
      </c>
      <c r="CU106" s="9">
        <v>0</v>
      </c>
      <c r="CV106" s="9">
        <v>0</v>
      </c>
      <c r="CW106" s="9">
        <v>0</v>
      </c>
      <c r="CX106" s="9">
        <v>0</v>
      </c>
      <c r="CY106" s="9">
        <v>0</v>
      </c>
      <c r="CZ106" s="9">
        <v>0</v>
      </c>
      <c r="DA106" s="9">
        <v>0</v>
      </c>
      <c r="DB106" s="9">
        <v>0</v>
      </c>
      <c r="DC106" s="9">
        <v>0</v>
      </c>
      <c r="DD106" s="9">
        <v>0</v>
      </c>
      <c r="DE106" s="9">
        <v>0</v>
      </c>
      <c r="DF106" s="9">
        <v>0</v>
      </c>
      <c r="DG106" s="9">
        <v>0</v>
      </c>
      <c r="DH106" s="9">
        <v>0</v>
      </c>
      <c r="DI106" s="9">
        <v>0</v>
      </c>
      <c r="DJ106" s="9">
        <v>0</v>
      </c>
      <c r="DK106" s="9">
        <v>0</v>
      </c>
      <c r="DL106" s="9">
        <v>0</v>
      </c>
      <c r="DM106" s="9">
        <v>0</v>
      </c>
      <c r="DN106" s="9">
        <v>0</v>
      </c>
      <c r="DO106" s="9">
        <v>0</v>
      </c>
      <c r="DP106" s="9">
        <v>0</v>
      </c>
      <c r="DQ106" s="9">
        <v>0</v>
      </c>
      <c r="DR106" s="9">
        <v>0</v>
      </c>
      <c r="DS106" s="9">
        <v>0</v>
      </c>
      <c r="DT106" s="9">
        <v>0</v>
      </c>
      <c r="DU106" s="9">
        <v>0</v>
      </c>
      <c r="DV106" s="9">
        <v>0</v>
      </c>
      <c r="DW106" s="9">
        <v>0</v>
      </c>
      <c r="DX106" s="9">
        <v>0</v>
      </c>
      <c r="DY106" s="9">
        <v>0</v>
      </c>
      <c r="DZ106" s="9">
        <v>0</v>
      </c>
      <c r="EA106" s="9">
        <v>0</v>
      </c>
      <c r="EB106" s="9">
        <v>0</v>
      </c>
      <c r="EC106" s="9">
        <v>0</v>
      </c>
      <c r="ED106" s="9">
        <v>0</v>
      </c>
      <c r="EE106" s="9">
        <v>0</v>
      </c>
      <c r="EF106" s="9">
        <v>0</v>
      </c>
      <c r="EG106" s="9">
        <v>0</v>
      </c>
      <c r="EH106" s="9">
        <v>0</v>
      </c>
      <c r="EI106" s="9">
        <v>0</v>
      </c>
      <c r="EJ106" s="9">
        <v>0</v>
      </c>
      <c r="EK106" s="9">
        <v>0</v>
      </c>
      <c r="EL106" s="9">
        <v>0</v>
      </c>
      <c r="EM106" s="9">
        <v>0</v>
      </c>
      <c r="EN106" s="9">
        <v>0</v>
      </c>
      <c r="EO106" s="9">
        <v>0</v>
      </c>
      <c r="EP106" s="9">
        <v>0</v>
      </c>
      <c r="EQ106" s="9">
        <v>0</v>
      </c>
      <c r="ER106" s="9">
        <v>0</v>
      </c>
      <c r="ES106" s="9">
        <v>0</v>
      </c>
      <c r="ET106" s="9">
        <v>0</v>
      </c>
      <c r="EU106" s="9">
        <v>0</v>
      </c>
      <c r="EV106" s="9">
        <v>0</v>
      </c>
      <c r="EW106" s="9">
        <v>0</v>
      </c>
      <c r="EX106" s="9">
        <v>0</v>
      </c>
      <c r="EY106" s="9">
        <v>0</v>
      </c>
      <c r="EZ106" s="9">
        <v>0</v>
      </c>
      <c r="FA106" s="9">
        <v>0</v>
      </c>
      <c r="FB106" s="9">
        <v>0</v>
      </c>
      <c r="FC106" s="9">
        <v>0</v>
      </c>
      <c r="FD106" s="9">
        <v>0</v>
      </c>
      <c r="FE106" s="9">
        <v>0</v>
      </c>
      <c r="FF106" s="9">
        <v>0</v>
      </c>
      <c r="FG106" s="9">
        <v>0</v>
      </c>
      <c r="FH106" s="9">
        <v>0</v>
      </c>
      <c r="FI106" s="9">
        <v>0</v>
      </c>
      <c r="FJ106" s="9">
        <v>0</v>
      </c>
      <c r="FK106" s="9">
        <v>0</v>
      </c>
      <c r="FL106" s="9">
        <v>0</v>
      </c>
      <c r="FM106" s="10">
        <v>0</v>
      </c>
    </row>
    <row r="107" spans="1:169" x14ac:dyDescent="0.35">
      <c r="A107" s="8" t="s">
        <v>174</v>
      </c>
      <c r="B107" s="9" t="s">
        <v>183</v>
      </c>
      <c r="C107" s="10" t="s">
        <v>184</v>
      </c>
      <c r="D107" s="62">
        <f t="shared" si="98"/>
        <v>2</v>
      </c>
      <c r="E107" s="9">
        <v>0</v>
      </c>
      <c r="F107" s="9">
        <v>0</v>
      </c>
      <c r="G107" s="9">
        <v>0</v>
      </c>
      <c r="H107" s="9">
        <v>0</v>
      </c>
      <c r="I107" s="9">
        <v>0</v>
      </c>
      <c r="J107" s="9">
        <v>0</v>
      </c>
      <c r="K107" s="9">
        <v>0</v>
      </c>
      <c r="L107" s="9">
        <v>0</v>
      </c>
      <c r="M107" s="9">
        <v>0</v>
      </c>
      <c r="N107" s="9">
        <v>0</v>
      </c>
      <c r="O107" s="9">
        <v>0</v>
      </c>
      <c r="P107" s="9">
        <v>0</v>
      </c>
      <c r="Q107" s="9">
        <v>0</v>
      </c>
      <c r="R107" s="9">
        <v>0</v>
      </c>
      <c r="S107" s="9">
        <v>0</v>
      </c>
      <c r="T107" s="9">
        <v>0</v>
      </c>
      <c r="U107" s="9">
        <v>0</v>
      </c>
      <c r="V107" s="9">
        <v>0</v>
      </c>
      <c r="W107" s="9">
        <v>0</v>
      </c>
      <c r="X107" s="9">
        <v>0</v>
      </c>
      <c r="Y107" s="9">
        <v>0</v>
      </c>
      <c r="Z107" s="9">
        <v>0</v>
      </c>
      <c r="AA107" s="9">
        <v>0</v>
      </c>
      <c r="AB107" s="9">
        <v>0</v>
      </c>
      <c r="AC107" s="9">
        <v>0</v>
      </c>
      <c r="AD107" s="9">
        <v>0</v>
      </c>
      <c r="AE107" s="9">
        <v>0</v>
      </c>
      <c r="AF107" s="9">
        <v>0</v>
      </c>
      <c r="AG107" s="9">
        <v>0</v>
      </c>
      <c r="AH107" s="9">
        <v>0</v>
      </c>
      <c r="AI107" s="9">
        <v>0</v>
      </c>
      <c r="AJ107" s="9">
        <v>0</v>
      </c>
      <c r="AK107" s="9">
        <v>0</v>
      </c>
      <c r="AL107" s="9">
        <v>0</v>
      </c>
      <c r="AM107" s="9">
        <v>0</v>
      </c>
      <c r="AN107" s="9">
        <v>0</v>
      </c>
      <c r="AO107" s="9">
        <v>0</v>
      </c>
      <c r="AP107" s="9">
        <v>0</v>
      </c>
      <c r="AQ107" s="9">
        <v>0</v>
      </c>
      <c r="AR107" s="9">
        <v>0</v>
      </c>
      <c r="AS107" s="9">
        <v>0</v>
      </c>
      <c r="AT107" s="9">
        <v>0</v>
      </c>
      <c r="AU107" s="9">
        <v>0</v>
      </c>
      <c r="AV107" s="9">
        <v>0</v>
      </c>
      <c r="AW107" s="9">
        <v>0</v>
      </c>
      <c r="AX107" s="9">
        <v>0</v>
      </c>
      <c r="AY107" s="9">
        <v>0</v>
      </c>
      <c r="AZ107" s="9">
        <v>0</v>
      </c>
      <c r="BA107" s="9">
        <v>2</v>
      </c>
      <c r="BB107" s="9">
        <v>1</v>
      </c>
      <c r="BC107" s="9">
        <v>1</v>
      </c>
      <c r="BD107" s="9">
        <v>1</v>
      </c>
      <c r="BE107" s="9">
        <v>1</v>
      </c>
      <c r="BF107" s="9">
        <v>1</v>
      </c>
      <c r="BG107" s="9">
        <v>1</v>
      </c>
      <c r="BH107" s="9">
        <v>1</v>
      </c>
      <c r="BI107" s="9">
        <v>1</v>
      </c>
      <c r="BJ107" s="9">
        <v>1</v>
      </c>
      <c r="BK107" s="9">
        <v>1</v>
      </c>
      <c r="BL107" s="9">
        <v>1</v>
      </c>
      <c r="BM107" s="9">
        <v>1</v>
      </c>
      <c r="BN107" s="9">
        <v>1</v>
      </c>
      <c r="BO107" s="9">
        <v>1</v>
      </c>
      <c r="BP107" s="9">
        <v>1</v>
      </c>
      <c r="BQ107" s="9">
        <v>1</v>
      </c>
      <c r="BR107" s="9">
        <v>1</v>
      </c>
      <c r="BS107" s="9">
        <v>1</v>
      </c>
      <c r="BT107" s="9">
        <v>1</v>
      </c>
      <c r="BU107" s="9">
        <v>1</v>
      </c>
      <c r="BV107" s="9">
        <v>1</v>
      </c>
      <c r="BW107" s="9">
        <v>1</v>
      </c>
      <c r="BX107" s="9">
        <v>1</v>
      </c>
      <c r="BY107" s="9">
        <v>1</v>
      </c>
      <c r="BZ107" s="9">
        <v>1</v>
      </c>
      <c r="CA107" s="9">
        <v>0</v>
      </c>
      <c r="CB107" s="9">
        <v>0</v>
      </c>
      <c r="CC107" s="9">
        <v>0</v>
      </c>
      <c r="CD107" s="9">
        <v>0</v>
      </c>
      <c r="CE107" s="9">
        <v>0</v>
      </c>
      <c r="CF107" s="9">
        <v>0</v>
      </c>
      <c r="CG107" s="9">
        <v>0</v>
      </c>
      <c r="CH107" s="9">
        <v>0</v>
      </c>
      <c r="CI107" s="9">
        <v>0</v>
      </c>
      <c r="CJ107" s="9">
        <v>0</v>
      </c>
      <c r="CK107" s="9">
        <v>0</v>
      </c>
      <c r="CL107" s="9">
        <v>0</v>
      </c>
      <c r="CM107" s="9">
        <v>0</v>
      </c>
      <c r="CN107" s="9">
        <v>0</v>
      </c>
      <c r="CO107" s="9">
        <v>0</v>
      </c>
      <c r="CP107" s="9">
        <v>0</v>
      </c>
      <c r="CQ107" s="9">
        <v>0</v>
      </c>
      <c r="CR107" s="9">
        <v>0</v>
      </c>
      <c r="CS107" s="9">
        <v>0</v>
      </c>
      <c r="CT107" s="9">
        <v>0</v>
      </c>
      <c r="CU107" s="9">
        <v>0</v>
      </c>
      <c r="CV107" s="9">
        <v>0</v>
      </c>
      <c r="CW107" s="9">
        <v>0</v>
      </c>
      <c r="CX107" s="9">
        <v>0</v>
      </c>
      <c r="CY107" s="9">
        <v>0</v>
      </c>
      <c r="CZ107" s="9">
        <v>0</v>
      </c>
      <c r="DA107" s="9">
        <v>0</v>
      </c>
      <c r="DB107" s="9">
        <v>0</v>
      </c>
      <c r="DC107" s="9">
        <v>0</v>
      </c>
      <c r="DD107" s="9">
        <v>0</v>
      </c>
      <c r="DE107" s="9">
        <v>0</v>
      </c>
      <c r="DF107" s="9">
        <v>0</v>
      </c>
      <c r="DG107" s="9">
        <v>0</v>
      </c>
      <c r="DH107" s="9">
        <v>0</v>
      </c>
      <c r="DI107" s="9">
        <v>0</v>
      </c>
      <c r="DJ107" s="9">
        <v>0</v>
      </c>
      <c r="DK107" s="9">
        <v>0</v>
      </c>
      <c r="DL107" s="9">
        <v>0</v>
      </c>
      <c r="DM107" s="9">
        <v>0</v>
      </c>
      <c r="DN107" s="9">
        <v>0</v>
      </c>
      <c r="DO107" s="9">
        <v>0</v>
      </c>
      <c r="DP107" s="9">
        <v>0</v>
      </c>
      <c r="DQ107" s="9">
        <v>0</v>
      </c>
      <c r="DR107" s="9">
        <v>0</v>
      </c>
      <c r="DS107" s="9">
        <v>0</v>
      </c>
      <c r="DT107" s="9">
        <v>0</v>
      </c>
      <c r="DU107" s="9">
        <v>0</v>
      </c>
      <c r="DV107" s="9">
        <v>0</v>
      </c>
      <c r="DW107" s="9">
        <v>0</v>
      </c>
      <c r="DX107" s="9">
        <v>0</v>
      </c>
      <c r="DY107" s="9">
        <v>0</v>
      </c>
      <c r="DZ107" s="9">
        <v>0</v>
      </c>
      <c r="EA107" s="9">
        <v>0</v>
      </c>
      <c r="EB107" s="9">
        <v>0</v>
      </c>
      <c r="EC107" s="9">
        <v>0</v>
      </c>
      <c r="ED107" s="9">
        <v>0</v>
      </c>
      <c r="EE107" s="9">
        <v>0</v>
      </c>
      <c r="EF107" s="9">
        <v>0</v>
      </c>
      <c r="EG107" s="9">
        <v>0</v>
      </c>
      <c r="EH107" s="9">
        <v>0</v>
      </c>
      <c r="EI107" s="9">
        <v>0</v>
      </c>
      <c r="EJ107" s="9">
        <v>0</v>
      </c>
      <c r="EK107" s="9">
        <v>0</v>
      </c>
      <c r="EL107" s="9">
        <v>0</v>
      </c>
      <c r="EM107" s="9">
        <v>0</v>
      </c>
      <c r="EN107" s="9">
        <v>0</v>
      </c>
      <c r="EO107" s="9">
        <v>0</v>
      </c>
      <c r="EP107" s="9">
        <v>0</v>
      </c>
      <c r="EQ107" s="9">
        <v>0</v>
      </c>
      <c r="ER107" s="9">
        <v>0</v>
      </c>
      <c r="ES107" s="9">
        <v>0</v>
      </c>
      <c r="ET107" s="9">
        <v>0</v>
      </c>
      <c r="EU107" s="9">
        <v>0</v>
      </c>
      <c r="EV107" s="9">
        <v>0</v>
      </c>
      <c r="EW107" s="9">
        <v>0</v>
      </c>
      <c r="EX107" s="9">
        <v>0</v>
      </c>
      <c r="EY107" s="9">
        <v>0</v>
      </c>
      <c r="EZ107" s="9">
        <v>0</v>
      </c>
      <c r="FA107" s="9">
        <v>0</v>
      </c>
      <c r="FB107" s="9">
        <v>0</v>
      </c>
      <c r="FC107" s="9">
        <v>0</v>
      </c>
      <c r="FD107" s="9">
        <v>0</v>
      </c>
      <c r="FE107" s="9">
        <v>0</v>
      </c>
      <c r="FF107" s="9">
        <v>0</v>
      </c>
      <c r="FG107" s="9">
        <v>0</v>
      </c>
      <c r="FH107" s="9">
        <v>0</v>
      </c>
      <c r="FI107" s="9">
        <v>0</v>
      </c>
      <c r="FJ107" s="9">
        <v>0</v>
      </c>
      <c r="FK107" s="9">
        <v>0</v>
      </c>
      <c r="FL107" s="9">
        <v>0</v>
      </c>
      <c r="FM107" s="10">
        <v>0</v>
      </c>
    </row>
    <row r="108" spans="1:169" x14ac:dyDescent="0.35">
      <c r="A108" s="8" t="s">
        <v>174</v>
      </c>
      <c r="B108" s="9" t="s">
        <v>25</v>
      </c>
      <c r="C108" s="10" t="s">
        <v>26</v>
      </c>
      <c r="D108" s="62">
        <f t="shared" si="98"/>
        <v>6</v>
      </c>
      <c r="E108" s="9">
        <v>0</v>
      </c>
      <c r="F108" s="9">
        <v>0</v>
      </c>
      <c r="G108" s="9">
        <v>0</v>
      </c>
      <c r="H108" s="9">
        <v>0</v>
      </c>
      <c r="I108" s="9">
        <v>0</v>
      </c>
      <c r="J108" s="9">
        <v>0</v>
      </c>
      <c r="K108" s="9">
        <v>0</v>
      </c>
      <c r="L108" s="9">
        <v>0</v>
      </c>
      <c r="M108" s="9">
        <v>0</v>
      </c>
      <c r="N108" s="9">
        <v>0</v>
      </c>
      <c r="O108" s="9">
        <v>0</v>
      </c>
      <c r="P108" s="9">
        <v>0</v>
      </c>
      <c r="Q108" s="9">
        <v>0</v>
      </c>
      <c r="R108" s="9">
        <v>0</v>
      </c>
      <c r="S108" s="9">
        <v>0</v>
      </c>
      <c r="T108" s="9">
        <v>0</v>
      </c>
      <c r="U108" s="9">
        <v>0</v>
      </c>
      <c r="V108" s="9">
        <v>0</v>
      </c>
      <c r="W108" s="9">
        <v>0</v>
      </c>
      <c r="X108" s="9">
        <v>1</v>
      </c>
      <c r="Y108" s="9">
        <v>1</v>
      </c>
      <c r="Z108" s="9">
        <v>1</v>
      </c>
      <c r="AA108" s="9">
        <v>1</v>
      </c>
      <c r="AB108" s="9">
        <v>1</v>
      </c>
      <c r="AC108" s="9">
        <v>1</v>
      </c>
      <c r="AD108" s="9">
        <v>1</v>
      </c>
      <c r="AE108" s="9">
        <v>1</v>
      </c>
      <c r="AF108" s="9">
        <v>1</v>
      </c>
      <c r="AG108" s="9">
        <v>2</v>
      </c>
      <c r="AH108" s="9">
        <v>2</v>
      </c>
      <c r="AI108" s="9">
        <v>2</v>
      </c>
      <c r="AJ108" s="9">
        <v>3</v>
      </c>
      <c r="AK108" s="9">
        <v>3</v>
      </c>
      <c r="AL108" s="9">
        <v>3</v>
      </c>
      <c r="AM108" s="9">
        <v>6</v>
      </c>
      <c r="AN108" s="9">
        <v>4</v>
      </c>
      <c r="AO108" s="9">
        <v>0</v>
      </c>
      <c r="AP108" s="9">
        <v>3</v>
      </c>
      <c r="AQ108" s="9">
        <v>3</v>
      </c>
      <c r="AR108" s="9">
        <v>3</v>
      </c>
      <c r="AS108" s="9">
        <v>3</v>
      </c>
      <c r="AT108" s="9">
        <v>2</v>
      </c>
      <c r="AU108" s="9">
        <v>3</v>
      </c>
      <c r="AV108" s="9">
        <v>3</v>
      </c>
      <c r="AW108" s="9">
        <v>3</v>
      </c>
      <c r="AX108" s="9">
        <v>3</v>
      </c>
      <c r="AY108" s="9">
        <v>2</v>
      </c>
      <c r="AZ108" s="9">
        <v>0</v>
      </c>
      <c r="BA108" s="9">
        <v>0</v>
      </c>
      <c r="BB108" s="9">
        <v>0</v>
      </c>
      <c r="BC108" s="9">
        <v>0</v>
      </c>
      <c r="BD108" s="9">
        <v>0</v>
      </c>
      <c r="BE108" s="9">
        <v>0</v>
      </c>
      <c r="BF108" s="9">
        <v>0</v>
      </c>
      <c r="BG108" s="9">
        <v>0</v>
      </c>
      <c r="BH108" s="9">
        <v>0</v>
      </c>
      <c r="BI108" s="9">
        <v>0</v>
      </c>
      <c r="BJ108" s="9">
        <v>0</v>
      </c>
      <c r="BK108" s="9">
        <v>0</v>
      </c>
      <c r="BL108" s="9">
        <v>0</v>
      </c>
      <c r="BM108" s="9">
        <v>0</v>
      </c>
      <c r="BN108" s="9">
        <v>0</v>
      </c>
      <c r="BO108" s="9">
        <v>0</v>
      </c>
      <c r="BP108" s="9">
        <v>0</v>
      </c>
      <c r="BQ108" s="9">
        <v>0</v>
      </c>
      <c r="BR108" s="9">
        <v>0</v>
      </c>
      <c r="BS108" s="9">
        <v>0</v>
      </c>
      <c r="BT108" s="9">
        <v>0</v>
      </c>
      <c r="BU108" s="9">
        <v>0</v>
      </c>
      <c r="BV108" s="9">
        <v>0</v>
      </c>
      <c r="BW108" s="9">
        <v>0</v>
      </c>
      <c r="BX108" s="9">
        <v>0</v>
      </c>
      <c r="BY108" s="9">
        <v>0</v>
      </c>
      <c r="BZ108" s="9">
        <v>0</v>
      </c>
      <c r="CA108" s="9">
        <v>0</v>
      </c>
      <c r="CB108" s="9">
        <v>0</v>
      </c>
      <c r="CC108" s="9">
        <v>0</v>
      </c>
      <c r="CD108" s="9">
        <v>0</v>
      </c>
      <c r="CE108" s="9">
        <v>0</v>
      </c>
      <c r="CF108" s="9">
        <v>0</v>
      </c>
      <c r="CG108" s="9">
        <v>0</v>
      </c>
      <c r="CH108" s="9">
        <v>0</v>
      </c>
      <c r="CI108" s="9">
        <v>0</v>
      </c>
      <c r="CJ108" s="9">
        <v>0</v>
      </c>
      <c r="CK108" s="9">
        <v>0</v>
      </c>
      <c r="CL108" s="9">
        <v>0</v>
      </c>
      <c r="CM108" s="9">
        <v>0</v>
      </c>
      <c r="CN108" s="9">
        <v>0</v>
      </c>
      <c r="CO108" s="9">
        <v>0</v>
      </c>
      <c r="CP108" s="9">
        <v>0</v>
      </c>
      <c r="CQ108" s="9">
        <v>0</v>
      </c>
      <c r="CR108" s="9">
        <v>0</v>
      </c>
      <c r="CS108" s="9">
        <v>0</v>
      </c>
      <c r="CT108" s="9">
        <v>0</v>
      </c>
      <c r="CU108" s="9">
        <v>0</v>
      </c>
      <c r="CV108" s="9">
        <v>0</v>
      </c>
      <c r="CW108" s="9">
        <v>0</v>
      </c>
      <c r="CX108" s="9">
        <v>0</v>
      </c>
      <c r="CY108" s="9">
        <v>0</v>
      </c>
      <c r="CZ108" s="9">
        <v>0</v>
      </c>
      <c r="DA108" s="9">
        <v>0</v>
      </c>
      <c r="DB108" s="9">
        <v>0</v>
      </c>
      <c r="DC108" s="9">
        <v>0</v>
      </c>
      <c r="DD108" s="9">
        <v>0</v>
      </c>
      <c r="DE108" s="9">
        <v>0</v>
      </c>
      <c r="DF108" s="9">
        <v>0</v>
      </c>
      <c r="DG108" s="9">
        <v>0</v>
      </c>
      <c r="DH108" s="9">
        <v>0</v>
      </c>
      <c r="DI108" s="9">
        <v>0</v>
      </c>
      <c r="DJ108" s="9">
        <v>0</v>
      </c>
      <c r="DK108" s="9">
        <v>0</v>
      </c>
      <c r="DL108" s="9">
        <v>0</v>
      </c>
      <c r="DM108" s="9">
        <v>0</v>
      </c>
      <c r="DN108" s="9">
        <v>0</v>
      </c>
      <c r="DO108" s="9">
        <v>0</v>
      </c>
      <c r="DP108" s="9">
        <v>0</v>
      </c>
      <c r="DQ108" s="9">
        <v>0</v>
      </c>
      <c r="DR108" s="9">
        <v>0</v>
      </c>
      <c r="DS108" s="9">
        <v>0</v>
      </c>
      <c r="DT108" s="9">
        <v>0</v>
      </c>
      <c r="DU108" s="9">
        <v>0</v>
      </c>
      <c r="DV108" s="9">
        <v>0</v>
      </c>
      <c r="DW108" s="9">
        <v>0</v>
      </c>
      <c r="DX108" s="9">
        <v>0</v>
      </c>
      <c r="DY108" s="9">
        <v>0</v>
      </c>
      <c r="DZ108" s="9">
        <v>0</v>
      </c>
      <c r="EA108" s="9">
        <v>0</v>
      </c>
      <c r="EB108" s="9">
        <v>0</v>
      </c>
      <c r="EC108" s="9">
        <v>0</v>
      </c>
      <c r="ED108" s="9">
        <v>0</v>
      </c>
      <c r="EE108" s="9">
        <v>0</v>
      </c>
      <c r="EF108" s="9">
        <v>0</v>
      </c>
      <c r="EG108" s="9">
        <v>0</v>
      </c>
      <c r="EH108" s="9">
        <v>0</v>
      </c>
      <c r="EI108" s="9">
        <v>0</v>
      </c>
      <c r="EJ108" s="9">
        <v>0</v>
      </c>
      <c r="EK108" s="9">
        <v>0</v>
      </c>
      <c r="EL108" s="9">
        <v>0</v>
      </c>
      <c r="EM108" s="9">
        <v>0</v>
      </c>
      <c r="EN108" s="9">
        <v>0</v>
      </c>
      <c r="EO108" s="9">
        <v>0</v>
      </c>
      <c r="EP108" s="9">
        <v>0</v>
      </c>
      <c r="EQ108" s="9">
        <v>0</v>
      </c>
      <c r="ER108" s="9">
        <v>0</v>
      </c>
      <c r="ES108" s="9">
        <v>0</v>
      </c>
      <c r="ET108" s="9">
        <v>0</v>
      </c>
      <c r="EU108" s="9">
        <v>0</v>
      </c>
      <c r="EV108" s="9">
        <v>0</v>
      </c>
      <c r="EW108" s="9">
        <v>0</v>
      </c>
      <c r="EX108" s="9">
        <v>0</v>
      </c>
      <c r="EY108" s="9">
        <v>0</v>
      </c>
      <c r="EZ108" s="9">
        <v>0</v>
      </c>
      <c r="FA108" s="9">
        <v>0</v>
      </c>
      <c r="FB108" s="9">
        <v>0</v>
      </c>
      <c r="FC108" s="9">
        <v>0</v>
      </c>
      <c r="FD108" s="9">
        <v>0</v>
      </c>
      <c r="FE108" s="9">
        <v>0</v>
      </c>
      <c r="FF108" s="9">
        <v>0</v>
      </c>
      <c r="FG108" s="9">
        <v>0</v>
      </c>
      <c r="FH108" s="9">
        <v>0</v>
      </c>
      <c r="FI108" s="9">
        <v>0</v>
      </c>
      <c r="FJ108" s="9">
        <v>0</v>
      </c>
      <c r="FK108" s="9">
        <v>0</v>
      </c>
      <c r="FL108" s="9">
        <v>0</v>
      </c>
      <c r="FM108" s="10">
        <v>0</v>
      </c>
    </row>
    <row r="109" spans="1:169" x14ac:dyDescent="0.35">
      <c r="A109" s="8" t="s">
        <v>174</v>
      </c>
      <c r="B109" s="9" t="s">
        <v>27</v>
      </c>
      <c r="C109" s="10" t="s">
        <v>28</v>
      </c>
      <c r="D109" s="62">
        <f t="shared" si="98"/>
        <v>0</v>
      </c>
      <c r="E109" s="9">
        <v>0</v>
      </c>
      <c r="F109" s="9">
        <v>0</v>
      </c>
      <c r="G109" s="9">
        <v>0</v>
      </c>
      <c r="H109" s="9">
        <v>0</v>
      </c>
      <c r="I109" s="9">
        <v>0</v>
      </c>
      <c r="J109" s="9">
        <v>0</v>
      </c>
      <c r="K109" s="9">
        <v>0</v>
      </c>
      <c r="L109" s="9">
        <v>0</v>
      </c>
      <c r="M109" s="9">
        <v>0</v>
      </c>
      <c r="N109" s="9">
        <v>0</v>
      </c>
      <c r="O109" s="9">
        <v>0</v>
      </c>
      <c r="P109" s="9">
        <v>0</v>
      </c>
      <c r="Q109" s="9">
        <v>0</v>
      </c>
      <c r="R109" s="9">
        <v>0</v>
      </c>
      <c r="S109" s="9">
        <v>0</v>
      </c>
      <c r="T109" s="9">
        <v>0</v>
      </c>
      <c r="U109" s="9">
        <v>0</v>
      </c>
      <c r="V109" s="9">
        <v>0</v>
      </c>
      <c r="W109" s="9">
        <v>0</v>
      </c>
      <c r="X109" s="9">
        <v>0</v>
      </c>
      <c r="Y109" s="9">
        <v>0</v>
      </c>
      <c r="Z109" s="9">
        <v>0</v>
      </c>
      <c r="AA109" s="9">
        <v>0</v>
      </c>
      <c r="AB109" s="9">
        <v>0</v>
      </c>
      <c r="AC109" s="9">
        <v>0</v>
      </c>
      <c r="AD109" s="9">
        <v>0</v>
      </c>
      <c r="AE109" s="9">
        <v>0</v>
      </c>
      <c r="AF109" s="9">
        <v>0</v>
      </c>
      <c r="AG109" s="9">
        <v>0</v>
      </c>
      <c r="AH109" s="9">
        <v>0</v>
      </c>
      <c r="AI109" s="9">
        <v>0</v>
      </c>
      <c r="AJ109" s="9">
        <v>0</v>
      </c>
      <c r="AK109" s="9">
        <v>0</v>
      </c>
      <c r="AL109" s="9">
        <v>0</v>
      </c>
      <c r="AM109" s="9">
        <v>0</v>
      </c>
      <c r="AN109" s="9">
        <v>0</v>
      </c>
      <c r="AO109" s="9">
        <v>0</v>
      </c>
      <c r="AP109" s="9">
        <v>0</v>
      </c>
      <c r="AQ109" s="9">
        <v>0</v>
      </c>
      <c r="AR109" s="9">
        <v>0</v>
      </c>
      <c r="AS109" s="9">
        <v>0</v>
      </c>
      <c r="AT109" s="9">
        <v>0</v>
      </c>
      <c r="AU109" s="9">
        <v>0</v>
      </c>
      <c r="AV109" s="9">
        <v>0</v>
      </c>
      <c r="AW109" s="9">
        <v>0</v>
      </c>
      <c r="AX109" s="9">
        <v>0</v>
      </c>
      <c r="AY109" s="9">
        <v>0</v>
      </c>
      <c r="AZ109" s="9">
        <v>0</v>
      </c>
      <c r="BA109" s="9">
        <v>0</v>
      </c>
      <c r="BB109" s="9">
        <v>0</v>
      </c>
      <c r="BC109" s="9">
        <v>0</v>
      </c>
      <c r="BD109" s="9">
        <v>0</v>
      </c>
      <c r="BE109" s="9">
        <v>0</v>
      </c>
      <c r="BF109" s="9">
        <v>0</v>
      </c>
      <c r="BG109" s="9">
        <v>0</v>
      </c>
      <c r="BH109" s="9">
        <v>0</v>
      </c>
      <c r="BI109" s="9">
        <v>0</v>
      </c>
      <c r="BJ109" s="9">
        <v>0</v>
      </c>
      <c r="BK109" s="9">
        <v>0</v>
      </c>
      <c r="BL109" s="9">
        <v>0</v>
      </c>
      <c r="BM109" s="9">
        <v>0</v>
      </c>
      <c r="BN109" s="9">
        <v>0</v>
      </c>
      <c r="BO109" s="9">
        <v>0</v>
      </c>
      <c r="BP109" s="9">
        <v>0</v>
      </c>
      <c r="BQ109" s="9">
        <v>0</v>
      </c>
      <c r="BR109" s="9">
        <v>0</v>
      </c>
      <c r="BS109" s="9">
        <v>0</v>
      </c>
      <c r="BT109" s="9">
        <v>0</v>
      </c>
      <c r="BU109" s="9">
        <v>0</v>
      </c>
      <c r="BV109" s="9">
        <v>0</v>
      </c>
      <c r="BW109" s="9">
        <v>0</v>
      </c>
      <c r="BX109" s="9">
        <v>0</v>
      </c>
      <c r="BY109" s="9">
        <v>0</v>
      </c>
      <c r="BZ109" s="9">
        <v>0</v>
      </c>
      <c r="CA109" s="9">
        <v>0</v>
      </c>
      <c r="CB109" s="9">
        <v>0</v>
      </c>
      <c r="CC109" s="9">
        <v>0</v>
      </c>
      <c r="CD109" s="9">
        <v>0</v>
      </c>
      <c r="CE109" s="9">
        <v>0</v>
      </c>
      <c r="CF109" s="9">
        <v>0</v>
      </c>
      <c r="CG109" s="9">
        <v>0</v>
      </c>
      <c r="CH109" s="9">
        <v>0</v>
      </c>
      <c r="CI109" s="9">
        <v>0</v>
      </c>
      <c r="CJ109" s="9">
        <v>0</v>
      </c>
      <c r="CK109" s="9">
        <v>0</v>
      </c>
      <c r="CL109" s="9">
        <v>0</v>
      </c>
      <c r="CM109" s="9">
        <v>0</v>
      </c>
      <c r="CN109" s="9">
        <v>0</v>
      </c>
      <c r="CO109" s="9">
        <v>0</v>
      </c>
      <c r="CP109" s="9">
        <v>0</v>
      </c>
      <c r="CQ109" s="9">
        <v>0</v>
      </c>
      <c r="CR109" s="9">
        <v>0</v>
      </c>
      <c r="CS109" s="9">
        <v>0</v>
      </c>
      <c r="CT109" s="9">
        <v>0</v>
      </c>
      <c r="CU109" s="9">
        <v>0</v>
      </c>
      <c r="CV109" s="9">
        <v>0</v>
      </c>
      <c r="CW109" s="9">
        <v>0</v>
      </c>
      <c r="CX109" s="9">
        <v>0</v>
      </c>
      <c r="CY109" s="9">
        <v>0</v>
      </c>
      <c r="CZ109" s="9">
        <v>0</v>
      </c>
      <c r="DA109" s="9">
        <v>0</v>
      </c>
      <c r="DB109" s="9">
        <v>0</v>
      </c>
      <c r="DC109" s="9">
        <v>0</v>
      </c>
      <c r="DD109" s="9">
        <v>0</v>
      </c>
      <c r="DE109" s="9">
        <v>0</v>
      </c>
      <c r="DF109" s="9">
        <v>0</v>
      </c>
      <c r="DG109" s="9">
        <v>0</v>
      </c>
      <c r="DH109" s="9">
        <v>0</v>
      </c>
      <c r="DI109" s="9">
        <v>0</v>
      </c>
      <c r="DJ109" s="9">
        <v>0</v>
      </c>
      <c r="DK109" s="9">
        <v>0</v>
      </c>
      <c r="DL109" s="9">
        <v>0</v>
      </c>
      <c r="DM109" s="9">
        <v>0</v>
      </c>
      <c r="DN109" s="9">
        <v>0</v>
      </c>
      <c r="DO109" s="9">
        <v>0</v>
      </c>
      <c r="DP109" s="9">
        <v>0</v>
      </c>
      <c r="DQ109" s="9">
        <v>0</v>
      </c>
      <c r="DR109" s="9">
        <v>0</v>
      </c>
      <c r="DS109" s="9">
        <v>0</v>
      </c>
      <c r="DT109" s="9">
        <v>0</v>
      </c>
      <c r="DU109" s="9">
        <v>0</v>
      </c>
      <c r="DV109" s="9">
        <v>0</v>
      </c>
      <c r="DW109" s="9">
        <v>0</v>
      </c>
      <c r="DX109" s="9">
        <v>0</v>
      </c>
      <c r="DY109" s="9">
        <v>0</v>
      </c>
      <c r="DZ109" s="9">
        <v>0</v>
      </c>
      <c r="EA109" s="9">
        <v>0</v>
      </c>
      <c r="EB109" s="9">
        <v>0</v>
      </c>
      <c r="EC109" s="9">
        <v>0</v>
      </c>
      <c r="ED109" s="9">
        <v>0</v>
      </c>
      <c r="EE109" s="9">
        <v>0</v>
      </c>
      <c r="EF109" s="9">
        <v>0</v>
      </c>
      <c r="EG109" s="9">
        <v>0</v>
      </c>
      <c r="EH109" s="9">
        <v>0</v>
      </c>
      <c r="EI109" s="9">
        <v>0</v>
      </c>
      <c r="EJ109" s="9">
        <v>0</v>
      </c>
      <c r="EK109" s="9">
        <v>0</v>
      </c>
      <c r="EL109" s="9">
        <v>0</v>
      </c>
      <c r="EM109" s="9">
        <v>0</v>
      </c>
      <c r="EN109" s="9">
        <v>0</v>
      </c>
      <c r="EO109" s="9">
        <v>0</v>
      </c>
      <c r="EP109" s="9">
        <v>0</v>
      </c>
      <c r="EQ109" s="9">
        <v>0</v>
      </c>
      <c r="ER109" s="9">
        <v>0</v>
      </c>
      <c r="ES109" s="9">
        <v>0</v>
      </c>
      <c r="ET109" s="9">
        <v>0</v>
      </c>
      <c r="EU109" s="9">
        <v>0</v>
      </c>
      <c r="EV109" s="9">
        <v>0</v>
      </c>
      <c r="EW109" s="9">
        <v>0</v>
      </c>
      <c r="EX109" s="9">
        <v>0</v>
      </c>
      <c r="EY109" s="9">
        <v>0</v>
      </c>
      <c r="EZ109" s="9">
        <v>0</v>
      </c>
      <c r="FA109" s="9">
        <v>0</v>
      </c>
      <c r="FB109" s="9">
        <v>0</v>
      </c>
      <c r="FC109" s="9">
        <v>0</v>
      </c>
      <c r="FD109" s="9">
        <v>0</v>
      </c>
      <c r="FE109" s="9">
        <v>0</v>
      </c>
      <c r="FF109" s="9">
        <v>0</v>
      </c>
      <c r="FG109" s="9">
        <v>0</v>
      </c>
      <c r="FH109" s="9">
        <v>0</v>
      </c>
      <c r="FI109" s="9">
        <v>0</v>
      </c>
      <c r="FJ109" s="9">
        <v>0</v>
      </c>
      <c r="FK109" s="9">
        <v>0</v>
      </c>
      <c r="FL109" s="9">
        <v>0</v>
      </c>
      <c r="FM109" s="10">
        <v>0</v>
      </c>
    </row>
    <row r="110" spans="1:169" x14ac:dyDescent="0.35">
      <c r="A110" s="8" t="s">
        <v>174</v>
      </c>
      <c r="B110" s="9" t="s">
        <v>185</v>
      </c>
      <c r="C110" s="10" t="s">
        <v>186</v>
      </c>
      <c r="D110" s="62">
        <f t="shared" si="98"/>
        <v>37</v>
      </c>
      <c r="E110" s="9">
        <v>0</v>
      </c>
      <c r="F110" s="9">
        <v>0</v>
      </c>
      <c r="G110" s="9">
        <v>0</v>
      </c>
      <c r="H110" s="9">
        <v>0</v>
      </c>
      <c r="I110" s="9">
        <v>0</v>
      </c>
      <c r="J110" s="9">
        <v>0</v>
      </c>
      <c r="K110" s="9">
        <v>1</v>
      </c>
      <c r="L110" s="9">
        <v>1</v>
      </c>
      <c r="M110" s="9">
        <v>1</v>
      </c>
      <c r="N110" s="9">
        <v>1</v>
      </c>
      <c r="O110" s="9">
        <v>0</v>
      </c>
      <c r="P110" s="9">
        <v>2</v>
      </c>
      <c r="Q110" s="9">
        <v>4</v>
      </c>
      <c r="R110" s="9">
        <v>10</v>
      </c>
      <c r="S110" s="9">
        <v>15</v>
      </c>
      <c r="T110" s="9">
        <v>0</v>
      </c>
      <c r="U110" s="9">
        <v>23</v>
      </c>
      <c r="V110" s="9">
        <v>20</v>
      </c>
      <c r="W110" s="9">
        <v>18</v>
      </c>
      <c r="X110" s="9">
        <v>26</v>
      </c>
      <c r="Y110" s="9">
        <v>26</v>
      </c>
      <c r="Z110" s="9">
        <v>31</v>
      </c>
      <c r="AA110" s="9">
        <v>37</v>
      </c>
      <c r="AB110" s="9">
        <v>37</v>
      </c>
      <c r="AC110" s="9">
        <v>37</v>
      </c>
      <c r="AD110" s="9">
        <v>34</v>
      </c>
      <c r="AE110" s="9">
        <v>34</v>
      </c>
      <c r="AF110" s="9">
        <v>36</v>
      </c>
      <c r="AG110" s="9">
        <v>33</v>
      </c>
      <c r="AH110" s="9">
        <v>33</v>
      </c>
      <c r="AI110" s="9">
        <v>30</v>
      </c>
      <c r="AJ110" s="9">
        <v>29</v>
      </c>
      <c r="AK110" s="9">
        <v>28</v>
      </c>
      <c r="AL110" s="9">
        <v>30</v>
      </c>
      <c r="AM110" s="9">
        <v>30</v>
      </c>
      <c r="AN110" s="9">
        <v>30</v>
      </c>
      <c r="AO110" s="9">
        <v>23</v>
      </c>
      <c r="AP110" s="9">
        <v>37</v>
      </c>
      <c r="AQ110" s="9">
        <v>36</v>
      </c>
      <c r="AR110" s="9">
        <v>33</v>
      </c>
      <c r="AS110" s="9">
        <v>33</v>
      </c>
      <c r="AT110" s="9">
        <v>35</v>
      </c>
      <c r="AU110" s="9">
        <v>34</v>
      </c>
      <c r="AV110" s="9">
        <v>28</v>
      </c>
      <c r="AW110" s="9">
        <v>28</v>
      </c>
      <c r="AX110" s="9">
        <v>27</v>
      </c>
      <c r="AY110" s="9">
        <v>21</v>
      </c>
      <c r="AZ110" s="9">
        <v>11</v>
      </c>
      <c r="BA110" s="9">
        <v>12</v>
      </c>
      <c r="BB110" s="9">
        <v>11</v>
      </c>
      <c r="BC110" s="9">
        <v>13</v>
      </c>
      <c r="BD110" s="9">
        <v>15</v>
      </c>
      <c r="BE110" s="9">
        <v>16</v>
      </c>
      <c r="BF110" s="9">
        <v>18</v>
      </c>
      <c r="BG110" s="9">
        <v>16</v>
      </c>
      <c r="BH110" s="9">
        <v>17</v>
      </c>
      <c r="BI110" s="9">
        <v>16</v>
      </c>
      <c r="BJ110" s="9">
        <v>15</v>
      </c>
      <c r="BK110" s="9">
        <v>15</v>
      </c>
      <c r="BL110" s="9">
        <v>16</v>
      </c>
      <c r="BM110" s="9">
        <v>16</v>
      </c>
      <c r="BN110" s="9">
        <v>14</v>
      </c>
      <c r="BO110" s="9">
        <v>15</v>
      </c>
      <c r="BP110" s="9">
        <v>16</v>
      </c>
      <c r="BQ110" s="9">
        <v>15</v>
      </c>
      <c r="BR110" s="9">
        <v>16</v>
      </c>
      <c r="BS110" s="9">
        <v>23</v>
      </c>
      <c r="BT110" s="9">
        <v>17</v>
      </c>
      <c r="BU110" s="9">
        <v>14</v>
      </c>
      <c r="BV110" s="9">
        <v>12</v>
      </c>
      <c r="BW110" s="9">
        <v>11</v>
      </c>
      <c r="BX110" s="9">
        <v>11</v>
      </c>
      <c r="BY110" s="9">
        <v>12</v>
      </c>
      <c r="BZ110" s="9">
        <v>12</v>
      </c>
      <c r="CA110" s="9">
        <v>10</v>
      </c>
      <c r="CB110" s="9">
        <v>10</v>
      </c>
      <c r="CC110" s="9">
        <v>9</v>
      </c>
      <c r="CD110" s="9">
        <v>10</v>
      </c>
      <c r="CE110" s="9">
        <v>10</v>
      </c>
      <c r="CF110" s="9">
        <v>10</v>
      </c>
      <c r="CG110" s="9">
        <v>10</v>
      </c>
      <c r="CH110" s="9">
        <v>9</v>
      </c>
      <c r="CI110" s="9">
        <v>9</v>
      </c>
      <c r="CJ110" s="9">
        <v>9</v>
      </c>
      <c r="CK110" s="9">
        <v>9</v>
      </c>
      <c r="CL110" s="9">
        <v>10</v>
      </c>
      <c r="CM110" s="9">
        <v>11</v>
      </c>
      <c r="CN110" s="9">
        <v>11</v>
      </c>
      <c r="CO110" s="9">
        <v>11</v>
      </c>
      <c r="CP110" s="9">
        <v>8</v>
      </c>
      <c r="CQ110" s="9">
        <v>8</v>
      </c>
      <c r="CR110" s="9">
        <v>8</v>
      </c>
      <c r="CS110" s="9">
        <v>6</v>
      </c>
      <c r="CT110" s="9">
        <v>6</v>
      </c>
      <c r="CU110" s="9">
        <v>6</v>
      </c>
      <c r="CV110" s="9">
        <v>7</v>
      </c>
      <c r="CW110" s="9">
        <v>7</v>
      </c>
      <c r="CX110" s="9">
        <v>7</v>
      </c>
      <c r="CY110" s="9">
        <v>6</v>
      </c>
      <c r="CZ110" s="9">
        <v>6</v>
      </c>
      <c r="DA110" s="9">
        <v>5</v>
      </c>
      <c r="DB110" s="9">
        <v>6</v>
      </c>
      <c r="DC110" s="9">
        <v>6</v>
      </c>
      <c r="DD110" s="9">
        <v>6</v>
      </c>
      <c r="DE110" s="9">
        <v>5</v>
      </c>
      <c r="DF110" s="9">
        <v>5</v>
      </c>
      <c r="DG110" s="9">
        <v>4</v>
      </c>
      <c r="DH110" s="9">
        <v>3</v>
      </c>
      <c r="DI110" s="9">
        <v>3</v>
      </c>
      <c r="DJ110" s="9">
        <v>3</v>
      </c>
      <c r="DK110" s="9">
        <v>3</v>
      </c>
      <c r="DL110" s="9">
        <v>3</v>
      </c>
      <c r="DM110" s="9">
        <v>4</v>
      </c>
      <c r="DN110" s="9">
        <v>4</v>
      </c>
      <c r="DO110" s="9">
        <v>4</v>
      </c>
      <c r="DP110" s="9">
        <v>4</v>
      </c>
      <c r="DQ110" s="9">
        <v>4</v>
      </c>
      <c r="DR110" s="9">
        <v>4</v>
      </c>
      <c r="DS110" s="9">
        <v>0</v>
      </c>
      <c r="DT110" s="9">
        <v>4</v>
      </c>
      <c r="DU110" s="9">
        <v>4</v>
      </c>
      <c r="DV110" s="9">
        <v>4</v>
      </c>
      <c r="DW110" s="9">
        <v>4</v>
      </c>
      <c r="DX110" s="9">
        <v>4</v>
      </c>
      <c r="DY110" s="9">
        <v>1</v>
      </c>
      <c r="DZ110" s="9">
        <v>0</v>
      </c>
      <c r="EA110" s="9">
        <v>0</v>
      </c>
      <c r="EB110" s="9">
        <v>0</v>
      </c>
      <c r="EC110" s="9">
        <v>0</v>
      </c>
      <c r="ED110" s="9">
        <v>0</v>
      </c>
      <c r="EE110" s="9">
        <v>0</v>
      </c>
      <c r="EF110" s="9">
        <v>0</v>
      </c>
      <c r="EG110" s="9">
        <v>0</v>
      </c>
      <c r="EH110" s="9">
        <v>1</v>
      </c>
      <c r="EI110" s="9">
        <v>1</v>
      </c>
      <c r="EJ110" s="9">
        <v>1</v>
      </c>
      <c r="EK110" s="9">
        <v>1</v>
      </c>
      <c r="EL110" s="9">
        <v>1</v>
      </c>
      <c r="EM110" s="9">
        <v>1</v>
      </c>
      <c r="EN110" s="9">
        <v>1</v>
      </c>
      <c r="EO110" s="9">
        <v>1</v>
      </c>
      <c r="EP110" s="9">
        <v>1</v>
      </c>
      <c r="EQ110" s="9">
        <v>0</v>
      </c>
      <c r="ER110" s="9">
        <v>0</v>
      </c>
      <c r="ES110" s="9">
        <v>0</v>
      </c>
      <c r="ET110" s="9">
        <v>0</v>
      </c>
      <c r="EU110" s="9">
        <v>0</v>
      </c>
      <c r="EV110" s="9">
        <v>0</v>
      </c>
      <c r="EW110" s="9">
        <v>0</v>
      </c>
      <c r="EX110" s="9">
        <v>0</v>
      </c>
      <c r="EY110" s="9">
        <v>0</v>
      </c>
      <c r="EZ110" s="9">
        <v>0</v>
      </c>
      <c r="FA110" s="9">
        <v>0</v>
      </c>
      <c r="FB110" s="9">
        <v>0</v>
      </c>
      <c r="FC110" s="9">
        <v>0</v>
      </c>
      <c r="FD110" s="9">
        <v>0</v>
      </c>
      <c r="FE110" s="9">
        <v>1</v>
      </c>
      <c r="FF110" s="9">
        <v>1</v>
      </c>
      <c r="FG110" s="9">
        <v>0</v>
      </c>
      <c r="FH110" s="9">
        <v>0</v>
      </c>
      <c r="FI110" s="9">
        <v>0</v>
      </c>
      <c r="FJ110" s="9">
        <v>0</v>
      </c>
      <c r="FK110" s="9">
        <v>0</v>
      </c>
      <c r="FL110" s="9">
        <v>0</v>
      </c>
      <c r="FM110" s="10">
        <v>0</v>
      </c>
    </row>
    <row r="111" spans="1:169" x14ac:dyDescent="0.35">
      <c r="A111" s="8" t="s">
        <v>174</v>
      </c>
      <c r="B111" s="9" t="s">
        <v>187</v>
      </c>
      <c r="C111" s="10" t="s">
        <v>188</v>
      </c>
      <c r="D111" s="62">
        <f t="shared" si="98"/>
        <v>24</v>
      </c>
      <c r="E111" s="9">
        <v>0</v>
      </c>
      <c r="F111" s="9">
        <v>0</v>
      </c>
      <c r="G111" s="9">
        <v>0</v>
      </c>
      <c r="H111" s="9">
        <v>0</v>
      </c>
      <c r="I111" s="9">
        <v>0</v>
      </c>
      <c r="J111" s="9">
        <v>0</v>
      </c>
      <c r="K111" s="9">
        <v>0</v>
      </c>
      <c r="L111" s="9">
        <v>0</v>
      </c>
      <c r="M111" s="9">
        <v>0</v>
      </c>
      <c r="N111" s="9">
        <v>0</v>
      </c>
      <c r="O111" s="9">
        <v>0</v>
      </c>
      <c r="P111" s="9">
        <v>0</v>
      </c>
      <c r="Q111" s="9">
        <v>0</v>
      </c>
      <c r="R111" s="9">
        <v>2</v>
      </c>
      <c r="S111" s="9">
        <v>3</v>
      </c>
      <c r="T111" s="9">
        <v>4</v>
      </c>
      <c r="U111" s="9">
        <v>5</v>
      </c>
      <c r="V111" s="9">
        <v>5</v>
      </c>
      <c r="W111" s="9">
        <v>7</v>
      </c>
      <c r="X111" s="9">
        <v>7</v>
      </c>
      <c r="Y111" s="9">
        <v>8</v>
      </c>
      <c r="Z111" s="9">
        <v>14</v>
      </c>
      <c r="AA111" s="9">
        <v>16</v>
      </c>
      <c r="AB111" s="9">
        <v>16</v>
      </c>
      <c r="AC111" s="9">
        <v>15</v>
      </c>
      <c r="AD111" s="9">
        <v>14</v>
      </c>
      <c r="AE111" s="9">
        <v>18</v>
      </c>
      <c r="AF111" s="9">
        <v>15</v>
      </c>
      <c r="AG111" s="9">
        <v>11</v>
      </c>
      <c r="AH111" s="9">
        <v>12</v>
      </c>
      <c r="AI111" s="9">
        <v>12</v>
      </c>
      <c r="AJ111" s="9">
        <v>12</v>
      </c>
      <c r="AK111" s="9">
        <v>16</v>
      </c>
      <c r="AL111" s="9">
        <v>17</v>
      </c>
      <c r="AM111" s="9">
        <v>19</v>
      </c>
      <c r="AN111" s="9">
        <v>18</v>
      </c>
      <c r="AO111" s="9">
        <v>18</v>
      </c>
      <c r="AP111" s="9">
        <v>21</v>
      </c>
      <c r="AQ111" s="9">
        <v>24</v>
      </c>
      <c r="AR111" s="9">
        <v>21</v>
      </c>
      <c r="AS111" s="9">
        <v>22</v>
      </c>
      <c r="AT111" s="9">
        <v>21</v>
      </c>
      <c r="AU111" s="9">
        <v>20</v>
      </c>
      <c r="AV111" s="9">
        <v>20</v>
      </c>
      <c r="AW111" s="9">
        <v>16</v>
      </c>
      <c r="AX111" s="9">
        <v>14</v>
      </c>
      <c r="AY111" s="9">
        <v>16</v>
      </c>
      <c r="AZ111" s="9">
        <v>17</v>
      </c>
      <c r="BA111" s="9">
        <v>20</v>
      </c>
      <c r="BB111" s="9">
        <v>18</v>
      </c>
      <c r="BC111" s="9">
        <v>19</v>
      </c>
      <c r="BD111" s="9">
        <v>22</v>
      </c>
      <c r="BE111" s="9">
        <v>19</v>
      </c>
      <c r="BF111" s="9">
        <v>18</v>
      </c>
      <c r="BG111" s="9">
        <v>20</v>
      </c>
      <c r="BH111" s="9">
        <v>19</v>
      </c>
      <c r="BI111" s="9">
        <v>17</v>
      </c>
      <c r="BJ111" s="9">
        <v>21</v>
      </c>
      <c r="BK111" s="9">
        <v>22</v>
      </c>
      <c r="BL111" s="9">
        <v>21</v>
      </c>
      <c r="BM111" s="9">
        <v>19</v>
      </c>
      <c r="BN111" s="9">
        <v>17</v>
      </c>
      <c r="BO111" s="9">
        <v>15</v>
      </c>
      <c r="BP111" s="9">
        <v>13</v>
      </c>
      <c r="BQ111" s="9">
        <v>10</v>
      </c>
      <c r="BR111" s="9">
        <v>11</v>
      </c>
      <c r="BS111" s="9">
        <v>13</v>
      </c>
      <c r="BT111" s="9">
        <v>12</v>
      </c>
      <c r="BU111" s="9">
        <v>11</v>
      </c>
      <c r="BV111" s="9">
        <v>8</v>
      </c>
      <c r="BW111" s="9">
        <v>9</v>
      </c>
      <c r="BX111" s="9">
        <v>10</v>
      </c>
      <c r="BY111" s="9">
        <v>9</v>
      </c>
      <c r="BZ111" s="9">
        <v>8</v>
      </c>
      <c r="CA111" s="9">
        <v>8</v>
      </c>
      <c r="CB111" s="9">
        <v>8</v>
      </c>
      <c r="CC111" s="9">
        <v>7</v>
      </c>
      <c r="CD111" s="9">
        <v>7</v>
      </c>
      <c r="CE111" s="9">
        <v>6</v>
      </c>
      <c r="CF111" s="9">
        <v>9</v>
      </c>
      <c r="CG111" s="9">
        <v>9</v>
      </c>
      <c r="CH111" s="9">
        <v>9</v>
      </c>
      <c r="CI111" s="9">
        <v>7</v>
      </c>
      <c r="CJ111" s="9">
        <v>7</v>
      </c>
      <c r="CK111" s="9">
        <v>8</v>
      </c>
      <c r="CL111" s="9">
        <v>9</v>
      </c>
      <c r="CM111" s="9">
        <v>8</v>
      </c>
      <c r="CN111" s="9">
        <v>8</v>
      </c>
      <c r="CO111" s="9">
        <v>9</v>
      </c>
      <c r="CP111" s="9">
        <v>7</v>
      </c>
      <c r="CQ111" s="9">
        <v>6</v>
      </c>
      <c r="CR111" s="9">
        <v>7</v>
      </c>
      <c r="CS111" s="9">
        <v>4</v>
      </c>
      <c r="CT111" s="9">
        <v>5</v>
      </c>
      <c r="CU111" s="9">
        <v>5</v>
      </c>
      <c r="CV111" s="9">
        <v>4</v>
      </c>
      <c r="CW111" s="9">
        <v>4</v>
      </c>
      <c r="CX111" s="9">
        <v>4</v>
      </c>
      <c r="CY111" s="9">
        <v>3</v>
      </c>
      <c r="CZ111" s="9">
        <v>2</v>
      </c>
      <c r="DA111" s="9">
        <v>2</v>
      </c>
      <c r="DB111" s="9">
        <v>2</v>
      </c>
      <c r="DC111" s="9">
        <v>2</v>
      </c>
      <c r="DD111" s="9">
        <v>4</v>
      </c>
      <c r="DE111" s="9">
        <v>4</v>
      </c>
      <c r="DF111" s="9">
        <v>4</v>
      </c>
      <c r="DG111" s="9">
        <v>4</v>
      </c>
      <c r="DH111" s="9">
        <v>4</v>
      </c>
      <c r="DI111" s="9">
        <v>4</v>
      </c>
      <c r="DJ111" s="9">
        <v>2</v>
      </c>
      <c r="DK111" s="9">
        <v>2</v>
      </c>
      <c r="DL111" s="9">
        <v>1</v>
      </c>
      <c r="DM111" s="9">
        <v>1</v>
      </c>
      <c r="DN111" s="9">
        <v>1</v>
      </c>
      <c r="DO111" s="9">
        <v>1</v>
      </c>
      <c r="DP111" s="9">
        <v>1</v>
      </c>
      <c r="DQ111" s="9">
        <v>1</v>
      </c>
      <c r="DR111" s="9">
        <v>1</v>
      </c>
      <c r="DS111" s="9">
        <v>1</v>
      </c>
      <c r="DT111" s="9">
        <v>1</v>
      </c>
      <c r="DU111" s="9">
        <v>0</v>
      </c>
      <c r="DV111" s="9">
        <v>0</v>
      </c>
      <c r="DW111" s="9">
        <v>0</v>
      </c>
      <c r="DX111" s="9">
        <v>0</v>
      </c>
      <c r="DY111" s="9">
        <v>0</v>
      </c>
      <c r="DZ111" s="9">
        <v>0</v>
      </c>
      <c r="EA111" s="9">
        <v>0</v>
      </c>
      <c r="EB111" s="9">
        <v>0</v>
      </c>
      <c r="EC111" s="9">
        <v>0</v>
      </c>
      <c r="ED111" s="9">
        <v>0</v>
      </c>
      <c r="EE111" s="9">
        <v>0</v>
      </c>
      <c r="EF111" s="9">
        <v>0</v>
      </c>
      <c r="EG111" s="9">
        <v>0</v>
      </c>
      <c r="EH111" s="9">
        <v>0</v>
      </c>
      <c r="EI111" s="9">
        <v>0</v>
      </c>
      <c r="EJ111" s="9">
        <v>0</v>
      </c>
      <c r="EK111" s="9">
        <v>0</v>
      </c>
      <c r="EL111" s="9">
        <v>0</v>
      </c>
      <c r="EM111" s="9">
        <v>0</v>
      </c>
      <c r="EN111" s="9">
        <v>0</v>
      </c>
      <c r="EO111" s="9">
        <v>0</v>
      </c>
      <c r="EP111" s="9">
        <v>0</v>
      </c>
      <c r="EQ111" s="9">
        <v>0</v>
      </c>
      <c r="ER111" s="9">
        <v>0</v>
      </c>
      <c r="ES111" s="9">
        <v>0</v>
      </c>
      <c r="ET111" s="9">
        <v>0</v>
      </c>
      <c r="EU111" s="9">
        <v>0</v>
      </c>
      <c r="EV111" s="9">
        <v>0</v>
      </c>
      <c r="EW111" s="9">
        <v>0</v>
      </c>
      <c r="EX111" s="9">
        <v>0</v>
      </c>
      <c r="EY111" s="9">
        <v>0</v>
      </c>
      <c r="EZ111" s="9">
        <v>0</v>
      </c>
      <c r="FA111" s="9">
        <v>0</v>
      </c>
      <c r="FB111" s="9">
        <v>0</v>
      </c>
      <c r="FC111" s="9">
        <v>0</v>
      </c>
      <c r="FD111" s="9">
        <v>0</v>
      </c>
      <c r="FE111" s="9">
        <v>0</v>
      </c>
      <c r="FF111" s="9">
        <v>0</v>
      </c>
      <c r="FG111" s="9">
        <v>0</v>
      </c>
      <c r="FH111" s="9">
        <v>0</v>
      </c>
      <c r="FI111" s="9">
        <v>0</v>
      </c>
      <c r="FJ111" s="9">
        <v>0</v>
      </c>
      <c r="FK111" s="9">
        <v>0</v>
      </c>
      <c r="FL111" s="9">
        <v>0</v>
      </c>
      <c r="FM111" s="10">
        <v>0</v>
      </c>
    </row>
    <row r="112" spans="1:169" x14ac:dyDescent="0.35">
      <c r="A112" s="8" t="s">
        <v>174</v>
      </c>
      <c r="B112" s="9" t="s">
        <v>189</v>
      </c>
      <c r="C112" s="10" t="s">
        <v>190</v>
      </c>
      <c r="D112" s="62">
        <f t="shared" si="98"/>
        <v>188</v>
      </c>
      <c r="E112" s="9">
        <v>11</v>
      </c>
      <c r="F112" s="9">
        <v>14</v>
      </c>
      <c r="G112" s="9">
        <v>17</v>
      </c>
      <c r="H112" s="9">
        <v>18</v>
      </c>
      <c r="I112" s="9">
        <v>26</v>
      </c>
      <c r="J112" s="9">
        <v>41</v>
      </c>
      <c r="K112" s="9">
        <v>50</v>
      </c>
      <c r="L112" s="9">
        <v>56</v>
      </c>
      <c r="M112" s="9">
        <v>57</v>
      </c>
      <c r="N112" s="9">
        <v>73</v>
      </c>
      <c r="O112" s="9">
        <v>80</v>
      </c>
      <c r="P112" s="9">
        <v>81</v>
      </c>
      <c r="Q112" s="9">
        <v>95</v>
      </c>
      <c r="R112" s="9">
        <v>106</v>
      </c>
      <c r="S112" s="9">
        <v>122</v>
      </c>
      <c r="T112" s="9">
        <v>144</v>
      </c>
      <c r="U112" s="9">
        <v>143</v>
      </c>
      <c r="V112" s="9">
        <v>143</v>
      </c>
      <c r="W112" s="9">
        <v>172</v>
      </c>
      <c r="X112" s="9">
        <v>187</v>
      </c>
      <c r="Y112" s="9">
        <v>182</v>
      </c>
      <c r="Z112" s="9">
        <v>188</v>
      </c>
      <c r="AA112" s="9">
        <v>160</v>
      </c>
      <c r="AB112" s="9">
        <v>180</v>
      </c>
      <c r="AC112" s="9">
        <v>172</v>
      </c>
      <c r="AD112" s="9">
        <v>161</v>
      </c>
      <c r="AE112" s="9">
        <v>152</v>
      </c>
      <c r="AF112" s="9">
        <v>148</v>
      </c>
      <c r="AG112" s="9">
        <v>157</v>
      </c>
      <c r="AH112" s="9">
        <v>145</v>
      </c>
      <c r="AI112" s="9">
        <v>135</v>
      </c>
      <c r="AJ112" s="9">
        <v>136</v>
      </c>
      <c r="AK112" s="9">
        <v>130</v>
      </c>
      <c r="AL112" s="9">
        <v>139</v>
      </c>
      <c r="AM112" s="9">
        <v>130</v>
      </c>
      <c r="AN112" s="9">
        <v>130</v>
      </c>
      <c r="AO112" s="9">
        <v>110</v>
      </c>
      <c r="AP112" s="9">
        <v>103</v>
      </c>
      <c r="AQ112" s="9">
        <v>122</v>
      </c>
      <c r="AR112" s="9">
        <v>101</v>
      </c>
      <c r="AS112" s="9">
        <v>93</v>
      </c>
      <c r="AT112" s="9">
        <v>96</v>
      </c>
      <c r="AU112" s="9">
        <v>82</v>
      </c>
      <c r="AV112" s="9">
        <v>89</v>
      </c>
      <c r="AW112" s="9">
        <v>97</v>
      </c>
      <c r="AX112" s="9">
        <v>80</v>
      </c>
      <c r="AY112" s="9">
        <v>74</v>
      </c>
      <c r="AZ112" s="9">
        <v>68</v>
      </c>
      <c r="BA112" s="9">
        <v>66</v>
      </c>
      <c r="BB112" s="9">
        <v>66</v>
      </c>
      <c r="BC112" s="9">
        <v>66</v>
      </c>
      <c r="BD112" s="9">
        <v>58</v>
      </c>
      <c r="BE112" s="9">
        <v>61</v>
      </c>
      <c r="BF112" s="9">
        <v>61</v>
      </c>
      <c r="BG112" s="9">
        <v>51</v>
      </c>
      <c r="BH112" s="9">
        <v>51</v>
      </c>
      <c r="BI112" s="9">
        <v>48</v>
      </c>
      <c r="BJ112" s="9">
        <v>45</v>
      </c>
      <c r="BK112" s="9">
        <v>66</v>
      </c>
      <c r="BL112" s="9">
        <v>41</v>
      </c>
      <c r="BM112" s="9">
        <v>44</v>
      </c>
      <c r="BN112" s="9">
        <v>38</v>
      </c>
      <c r="BO112" s="9">
        <v>38</v>
      </c>
      <c r="BP112" s="9">
        <v>38</v>
      </c>
      <c r="BQ112" s="9">
        <v>38</v>
      </c>
      <c r="BR112" s="9">
        <v>41</v>
      </c>
      <c r="BS112" s="9">
        <v>82</v>
      </c>
      <c r="BT112" s="9">
        <v>37</v>
      </c>
      <c r="BU112" s="9">
        <v>35</v>
      </c>
      <c r="BV112" s="9">
        <v>36</v>
      </c>
      <c r="BW112" s="9">
        <v>36</v>
      </c>
      <c r="BX112" s="9">
        <v>33</v>
      </c>
      <c r="BY112" s="9">
        <v>33</v>
      </c>
      <c r="BZ112" s="9">
        <v>34</v>
      </c>
      <c r="CA112" s="9">
        <v>31</v>
      </c>
      <c r="CB112" s="9">
        <v>32</v>
      </c>
      <c r="CC112" s="9">
        <v>30</v>
      </c>
      <c r="CD112" s="9">
        <v>27</v>
      </c>
      <c r="CE112" s="9">
        <v>26</v>
      </c>
      <c r="CF112" s="9">
        <v>26</v>
      </c>
      <c r="CG112" s="9">
        <v>28</v>
      </c>
      <c r="CH112" s="9">
        <v>25</v>
      </c>
      <c r="CI112" s="9">
        <v>24</v>
      </c>
      <c r="CJ112" s="9">
        <v>3</v>
      </c>
      <c r="CK112" s="9">
        <v>26</v>
      </c>
      <c r="CL112" s="9">
        <v>24</v>
      </c>
      <c r="CM112" s="9">
        <v>25</v>
      </c>
      <c r="CN112" s="9">
        <v>21</v>
      </c>
      <c r="CO112" s="9">
        <v>21</v>
      </c>
      <c r="CP112" s="9">
        <v>21</v>
      </c>
      <c r="CQ112" s="9">
        <v>20</v>
      </c>
      <c r="CR112" s="9">
        <v>18</v>
      </c>
      <c r="CS112" s="9">
        <v>22</v>
      </c>
      <c r="CT112" s="9">
        <v>22</v>
      </c>
      <c r="CU112" s="9">
        <v>16</v>
      </c>
      <c r="CV112" s="9">
        <v>15</v>
      </c>
      <c r="CW112" s="9">
        <v>15</v>
      </c>
      <c r="CX112" s="9">
        <v>15</v>
      </c>
      <c r="CY112" s="9">
        <v>13</v>
      </c>
      <c r="CZ112" s="9">
        <v>15</v>
      </c>
      <c r="DA112" s="9">
        <v>13</v>
      </c>
      <c r="DB112" s="9">
        <v>13</v>
      </c>
      <c r="DC112" s="9">
        <v>11</v>
      </c>
      <c r="DD112" s="9">
        <v>11</v>
      </c>
      <c r="DE112" s="9">
        <v>11</v>
      </c>
      <c r="DF112" s="9">
        <v>10</v>
      </c>
      <c r="DG112" s="9">
        <v>13</v>
      </c>
      <c r="DH112" s="9">
        <v>13</v>
      </c>
      <c r="DI112" s="9">
        <v>10</v>
      </c>
      <c r="DJ112" s="9">
        <v>10</v>
      </c>
      <c r="DK112" s="9">
        <v>9</v>
      </c>
      <c r="DL112" s="9">
        <v>9</v>
      </c>
      <c r="DM112" s="9">
        <v>10</v>
      </c>
      <c r="DN112" s="9">
        <v>10</v>
      </c>
      <c r="DO112" s="9">
        <v>11</v>
      </c>
      <c r="DP112" s="9">
        <v>9</v>
      </c>
      <c r="DQ112" s="9">
        <v>9</v>
      </c>
      <c r="DR112" s="9">
        <v>6</v>
      </c>
      <c r="DS112" s="9">
        <v>4</v>
      </c>
      <c r="DT112" s="9">
        <v>4</v>
      </c>
      <c r="DU112" s="9">
        <v>5</v>
      </c>
      <c r="DV112" s="9">
        <v>4</v>
      </c>
      <c r="DW112" s="9">
        <v>3</v>
      </c>
      <c r="DX112" s="9">
        <v>3</v>
      </c>
      <c r="DY112" s="9">
        <v>4</v>
      </c>
      <c r="DZ112" s="9">
        <v>5</v>
      </c>
      <c r="EA112" s="9">
        <v>3</v>
      </c>
      <c r="EB112" s="9">
        <v>3</v>
      </c>
      <c r="EC112" s="9">
        <v>0</v>
      </c>
      <c r="ED112" s="9">
        <v>5</v>
      </c>
      <c r="EE112" s="9">
        <v>4</v>
      </c>
      <c r="EF112" s="9">
        <v>4</v>
      </c>
      <c r="EG112" s="9">
        <v>2</v>
      </c>
      <c r="EH112" s="9">
        <v>3</v>
      </c>
      <c r="EI112" s="9">
        <v>7</v>
      </c>
      <c r="EJ112" s="9">
        <v>3</v>
      </c>
      <c r="EK112" s="9">
        <v>3</v>
      </c>
      <c r="EL112" s="9">
        <v>3</v>
      </c>
      <c r="EM112" s="9">
        <v>3</v>
      </c>
      <c r="EN112" s="9">
        <v>3</v>
      </c>
      <c r="EO112" s="9">
        <v>3</v>
      </c>
      <c r="EP112" s="9">
        <v>2</v>
      </c>
      <c r="EQ112" s="9">
        <v>2</v>
      </c>
      <c r="ER112" s="9">
        <v>2</v>
      </c>
      <c r="ES112" s="9">
        <v>2</v>
      </c>
      <c r="ET112" s="9">
        <v>2</v>
      </c>
      <c r="EU112" s="9">
        <v>3</v>
      </c>
      <c r="EV112" s="9">
        <v>3</v>
      </c>
      <c r="EW112" s="9">
        <v>2</v>
      </c>
      <c r="EX112" s="9">
        <v>2</v>
      </c>
      <c r="EY112" s="9">
        <v>2</v>
      </c>
      <c r="EZ112" s="9">
        <v>2</v>
      </c>
      <c r="FA112" s="9">
        <v>3</v>
      </c>
      <c r="FB112" s="9">
        <v>4</v>
      </c>
      <c r="FC112" s="9">
        <v>5</v>
      </c>
      <c r="FD112" s="9">
        <v>4</v>
      </c>
      <c r="FE112" s="9">
        <v>4</v>
      </c>
      <c r="FF112" s="9">
        <v>3</v>
      </c>
      <c r="FG112" s="9">
        <v>2</v>
      </c>
      <c r="FH112" s="9">
        <v>1</v>
      </c>
      <c r="FI112" s="9">
        <v>1</v>
      </c>
      <c r="FJ112" s="9">
        <v>1</v>
      </c>
      <c r="FK112" s="9">
        <v>1</v>
      </c>
      <c r="FL112" s="9">
        <v>1</v>
      </c>
      <c r="FM112" s="10">
        <v>1</v>
      </c>
    </row>
    <row r="113" spans="1:169" x14ac:dyDescent="0.35">
      <c r="A113" s="8" t="s">
        <v>174</v>
      </c>
      <c r="B113" s="9" t="s">
        <v>191</v>
      </c>
      <c r="C113" s="10" t="s">
        <v>192</v>
      </c>
      <c r="D113" s="62">
        <f t="shared" si="98"/>
        <v>75</v>
      </c>
      <c r="E113" s="9">
        <v>8</v>
      </c>
      <c r="F113" s="9">
        <v>9</v>
      </c>
      <c r="G113" s="9">
        <v>8</v>
      </c>
      <c r="H113" s="9">
        <v>8</v>
      </c>
      <c r="I113" s="9">
        <v>14</v>
      </c>
      <c r="J113" s="9">
        <v>13</v>
      </c>
      <c r="K113" s="9">
        <v>17</v>
      </c>
      <c r="L113" s="9">
        <v>22</v>
      </c>
      <c r="M113" s="9">
        <v>27</v>
      </c>
      <c r="N113" s="9">
        <v>32</v>
      </c>
      <c r="O113" s="9">
        <v>31</v>
      </c>
      <c r="P113" s="9">
        <v>32</v>
      </c>
      <c r="Q113" s="9">
        <v>50</v>
      </c>
      <c r="R113" s="9">
        <v>55</v>
      </c>
      <c r="S113" s="9">
        <v>60</v>
      </c>
      <c r="T113" s="9">
        <v>66</v>
      </c>
      <c r="U113" s="9">
        <v>65</v>
      </c>
      <c r="V113" s="9">
        <v>75</v>
      </c>
      <c r="W113" s="9">
        <v>67</v>
      </c>
      <c r="X113" s="9">
        <v>60</v>
      </c>
      <c r="Y113" s="9">
        <v>58</v>
      </c>
      <c r="Z113" s="9">
        <v>57</v>
      </c>
      <c r="AA113" s="9">
        <v>60</v>
      </c>
      <c r="AB113" s="9">
        <v>65</v>
      </c>
      <c r="AC113" s="9">
        <v>68</v>
      </c>
      <c r="AD113" s="9">
        <v>68</v>
      </c>
      <c r="AE113" s="9">
        <v>57</v>
      </c>
      <c r="AF113" s="9">
        <v>47</v>
      </c>
      <c r="AG113" s="9">
        <v>57</v>
      </c>
      <c r="AH113" s="9">
        <v>54</v>
      </c>
      <c r="AI113" s="9">
        <v>56</v>
      </c>
      <c r="AJ113" s="9">
        <v>58</v>
      </c>
      <c r="AK113" s="9">
        <v>53</v>
      </c>
      <c r="AL113" s="9">
        <v>53</v>
      </c>
      <c r="AM113" s="9">
        <v>53</v>
      </c>
      <c r="AN113" s="9">
        <v>45</v>
      </c>
      <c r="AO113" s="9">
        <v>41</v>
      </c>
      <c r="AP113" s="9">
        <v>40</v>
      </c>
      <c r="AQ113" s="9">
        <v>42</v>
      </c>
      <c r="AR113" s="9">
        <v>41</v>
      </c>
      <c r="AS113" s="9">
        <v>46</v>
      </c>
      <c r="AT113" s="9">
        <v>47</v>
      </c>
      <c r="AU113" s="9">
        <v>41</v>
      </c>
      <c r="AV113" s="9">
        <v>42</v>
      </c>
      <c r="AW113" s="9">
        <v>48</v>
      </c>
      <c r="AX113" s="9">
        <v>52</v>
      </c>
      <c r="AY113" s="9">
        <v>46</v>
      </c>
      <c r="AZ113" s="9">
        <v>50</v>
      </c>
      <c r="BA113" s="9">
        <v>51</v>
      </c>
      <c r="BB113" s="9">
        <v>41</v>
      </c>
      <c r="BC113" s="9">
        <v>40</v>
      </c>
      <c r="BD113" s="9">
        <v>41</v>
      </c>
      <c r="BE113" s="9">
        <v>42</v>
      </c>
      <c r="BF113" s="9">
        <v>39</v>
      </c>
      <c r="BG113" s="9">
        <v>35</v>
      </c>
      <c r="BH113" s="9">
        <v>32</v>
      </c>
      <c r="BI113" s="9">
        <v>25</v>
      </c>
      <c r="BJ113" s="9">
        <v>27</v>
      </c>
      <c r="BK113" s="9">
        <v>30</v>
      </c>
      <c r="BL113" s="9">
        <v>34</v>
      </c>
      <c r="BM113" s="9">
        <v>34</v>
      </c>
      <c r="BN113" s="9">
        <v>34</v>
      </c>
      <c r="BO113" s="9">
        <v>36</v>
      </c>
      <c r="BP113" s="9">
        <v>35</v>
      </c>
      <c r="BQ113" s="9">
        <v>38</v>
      </c>
      <c r="BR113" s="9">
        <v>36</v>
      </c>
      <c r="BS113" s="9">
        <v>33</v>
      </c>
      <c r="BT113" s="9">
        <v>32</v>
      </c>
      <c r="BU113" s="9">
        <v>27</v>
      </c>
      <c r="BV113" s="9">
        <v>25</v>
      </c>
      <c r="BW113" s="9">
        <v>25</v>
      </c>
      <c r="BX113" s="9">
        <v>25</v>
      </c>
      <c r="BY113" s="9">
        <v>26</v>
      </c>
      <c r="BZ113" s="9">
        <v>27</v>
      </c>
      <c r="CA113" s="9">
        <v>24</v>
      </c>
      <c r="CB113" s="9">
        <v>19</v>
      </c>
      <c r="CC113" s="9">
        <v>21</v>
      </c>
      <c r="CD113" s="9">
        <v>17</v>
      </c>
      <c r="CE113" s="9">
        <v>11</v>
      </c>
      <c r="CF113" s="9">
        <v>9</v>
      </c>
      <c r="CG113" s="9">
        <v>13</v>
      </c>
      <c r="CH113" s="9">
        <v>11</v>
      </c>
      <c r="CI113" s="9">
        <v>10</v>
      </c>
      <c r="CJ113" s="9">
        <v>10</v>
      </c>
      <c r="CK113" s="9">
        <v>11</v>
      </c>
      <c r="CL113" s="9">
        <v>10</v>
      </c>
      <c r="CM113" s="9">
        <v>11</v>
      </c>
      <c r="CN113" s="9">
        <v>11</v>
      </c>
      <c r="CO113" s="9">
        <v>11</v>
      </c>
      <c r="CP113" s="9">
        <v>7</v>
      </c>
      <c r="CQ113" s="9">
        <v>8</v>
      </c>
      <c r="CR113" s="9">
        <v>6</v>
      </c>
      <c r="CS113" s="9">
        <v>6</v>
      </c>
      <c r="CT113" s="9">
        <v>8</v>
      </c>
      <c r="CU113" s="9">
        <v>7</v>
      </c>
      <c r="CV113" s="9">
        <v>9</v>
      </c>
      <c r="CW113" s="9">
        <v>10</v>
      </c>
      <c r="CX113" s="9">
        <v>9</v>
      </c>
      <c r="CY113" s="9">
        <v>10</v>
      </c>
      <c r="CZ113" s="9">
        <v>11</v>
      </c>
      <c r="DA113" s="9">
        <v>11</v>
      </c>
      <c r="DB113" s="9">
        <v>12</v>
      </c>
      <c r="DC113" s="9">
        <v>12</v>
      </c>
      <c r="DD113" s="9">
        <v>12</v>
      </c>
      <c r="DE113" s="9">
        <v>12</v>
      </c>
      <c r="DF113" s="9">
        <v>10</v>
      </c>
      <c r="DG113" s="9">
        <v>9</v>
      </c>
      <c r="DH113" s="9">
        <v>9</v>
      </c>
      <c r="DI113" s="9">
        <v>9</v>
      </c>
      <c r="DJ113" s="9">
        <v>6</v>
      </c>
      <c r="DK113" s="9">
        <v>5</v>
      </c>
      <c r="DL113" s="9">
        <v>6</v>
      </c>
      <c r="DM113" s="9">
        <v>2</v>
      </c>
      <c r="DN113" s="9">
        <v>3</v>
      </c>
      <c r="DO113" s="9">
        <v>1</v>
      </c>
      <c r="DP113" s="9">
        <v>1</v>
      </c>
      <c r="DQ113" s="9">
        <v>1</v>
      </c>
      <c r="DR113" s="9">
        <v>1</v>
      </c>
      <c r="DS113" s="9">
        <v>1</v>
      </c>
      <c r="DT113" s="9">
        <v>0</v>
      </c>
      <c r="DU113" s="9">
        <v>0</v>
      </c>
      <c r="DV113" s="9">
        <v>0</v>
      </c>
      <c r="DW113" s="9">
        <v>0</v>
      </c>
      <c r="DX113" s="9">
        <v>0</v>
      </c>
      <c r="DY113" s="9">
        <v>0</v>
      </c>
      <c r="DZ113" s="9">
        <v>0</v>
      </c>
      <c r="EA113" s="9">
        <v>1</v>
      </c>
      <c r="EB113" s="9">
        <v>0</v>
      </c>
      <c r="EC113" s="9">
        <v>1</v>
      </c>
      <c r="ED113" s="9">
        <v>2</v>
      </c>
      <c r="EE113" s="9">
        <v>3</v>
      </c>
      <c r="EF113" s="9">
        <v>2</v>
      </c>
      <c r="EG113" s="9">
        <v>3</v>
      </c>
      <c r="EH113" s="9">
        <v>2</v>
      </c>
      <c r="EI113" s="9">
        <v>1</v>
      </c>
      <c r="EJ113" s="9">
        <v>1</v>
      </c>
      <c r="EK113" s="9">
        <v>1</v>
      </c>
      <c r="EL113" s="9">
        <v>1</v>
      </c>
      <c r="EM113" s="9">
        <v>2</v>
      </c>
      <c r="EN113" s="9">
        <v>2</v>
      </c>
      <c r="EO113" s="9">
        <v>2</v>
      </c>
      <c r="EP113" s="9">
        <v>2</v>
      </c>
      <c r="EQ113" s="9">
        <v>3</v>
      </c>
      <c r="ER113" s="9">
        <v>3</v>
      </c>
      <c r="ES113" s="9">
        <v>3</v>
      </c>
      <c r="ET113" s="9">
        <v>2</v>
      </c>
      <c r="EU113" s="9">
        <v>1</v>
      </c>
      <c r="EV113" s="9">
        <v>1</v>
      </c>
      <c r="EW113" s="9">
        <v>0</v>
      </c>
      <c r="EX113" s="9">
        <v>0</v>
      </c>
      <c r="EY113" s="9">
        <v>0</v>
      </c>
      <c r="EZ113" s="9">
        <v>1</v>
      </c>
      <c r="FA113" s="9">
        <v>1</v>
      </c>
      <c r="FB113" s="9">
        <v>1</v>
      </c>
      <c r="FC113" s="9">
        <v>1</v>
      </c>
      <c r="FD113" s="9">
        <v>0</v>
      </c>
      <c r="FE113" s="9">
        <v>2</v>
      </c>
      <c r="FF113" s="9">
        <v>2</v>
      </c>
      <c r="FG113" s="9">
        <v>2</v>
      </c>
      <c r="FH113" s="9">
        <v>1</v>
      </c>
      <c r="FI113" s="9">
        <v>1</v>
      </c>
      <c r="FJ113" s="9">
        <v>1</v>
      </c>
      <c r="FK113" s="9">
        <v>1</v>
      </c>
      <c r="FL113" s="9">
        <v>1</v>
      </c>
      <c r="FM113" s="10">
        <v>1</v>
      </c>
    </row>
    <row r="114" spans="1:169" x14ac:dyDescent="0.35">
      <c r="A114" s="8" t="s">
        <v>174</v>
      </c>
      <c r="B114" s="9" t="s">
        <v>193</v>
      </c>
      <c r="C114" s="10" t="s">
        <v>194</v>
      </c>
      <c r="D114" s="62">
        <f t="shared" si="98"/>
        <v>28</v>
      </c>
      <c r="E114" s="9">
        <v>0</v>
      </c>
      <c r="F114" s="9">
        <v>0</v>
      </c>
      <c r="G114" s="9">
        <v>0</v>
      </c>
      <c r="H114" s="9">
        <v>0</v>
      </c>
      <c r="I114" s="9">
        <v>0</v>
      </c>
      <c r="J114" s="9">
        <v>0</v>
      </c>
      <c r="K114" s="9">
        <v>0</v>
      </c>
      <c r="L114" s="9">
        <v>0</v>
      </c>
      <c r="M114" s="9">
        <v>0</v>
      </c>
      <c r="N114" s="9">
        <v>0</v>
      </c>
      <c r="O114" s="9">
        <v>0</v>
      </c>
      <c r="P114" s="9">
        <v>0</v>
      </c>
      <c r="Q114" s="9">
        <v>0</v>
      </c>
      <c r="R114" s="9">
        <v>7</v>
      </c>
      <c r="S114" s="9">
        <v>12</v>
      </c>
      <c r="T114" s="9">
        <v>17</v>
      </c>
      <c r="U114" s="9">
        <v>17</v>
      </c>
      <c r="V114" s="9">
        <v>26</v>
      </c>
      <c r="W114" s="9">
        <v>26</v>
      </c>
      <c r="X114" s="9">
        <v>28</v>
      </c>
      <c r="Y114" s="9">
        <v>20</v>
      </c>
      <c r="Z114" s="9">
        <v>26</v>
      </c>
      <c r="AA114" s="9">
        <v>17</v>
      </c>
      <c r="AB114" s="9">
        <v>18</v>
      </c>
      <c r="AC114" s="9">
        <v>24</v>
      </c>
      <c r="AD114" s="9">
        <v>22</v>
      </c>
      <c r="AE114" s="9">
        <v>20</v>
      </c>
      <c r="AF114" s="9">
        <v>20</v>
      </c>
      <c r="AG114" s="9">
        <v>27</v>
      </c>
      <c r="AH114" s="9">
        <v>28</v>
      </c>
      <c r="AI114" s="9">
        <v>28</v>
      </c>
      <c r="AJ114" s="9">
        <v>26</v>
      </c>
      <c r="AK114" s="9">
        <v>27</v>
      </c>
      <c r="AL114" s="9">
        <v>21</v>
      </c>
      <c r="AM114" s="9">
        <v>21</v>
      </c>
      <c r="AN114" s="9">
        <v>18</v>
      </c>
      <c r="AO114" s="9">
        <v>24</v>
      </c>
      <c r="AP114" s="9">
        <v>24</v>
      </c>
      <c r="AQ114" s="9">
        <v>25</v>
      </c>
      <c r="AR114" s="9">
        <v>22</v>
      </c>
      <c r="AS114" s="9">
        <v>15</v>
      </c>
      <c r="AT114" s="9">
        <v>15</v>
      </c>
      <c r="AU114" s="9">
        <v>15</v>
      </c>
      <c r="AV114" s="9">
        <v>9</v>
      </c>
      <c r="AW114" s="9">
        <v>9</v>
      </c>
      <c r="AX114" s="9">
        <v>9</v>
      </c>
      <c r="AY114" s="9">
        <v>9</v>
      </c>
      <c r="AZ114" s="9">
        <v>9</v>
      </c>
      <c r="BA114" s="9">
        <v>7</v>
      </c>
      <c r="BB114" s="9">
        <v>6</v>
      </c>
      <c r="BC114" s="9">
        <v>6</v>
      </c>
      <c r="BD114" s="9">
        <v>8</v>
      </c>
      <c r="BE114" s="9">
        <v>7</v>
      </c>
      <c r="BF114" s="9">
        <v>13</v>
      </c>
      <c r="BG114" s="9">
        <v>22</v>
      </c>
      <c r="BH114" s="9">
        <v>18</v>
      </c>
      <c r="BI114" s="9">
        <v>16</v>
      </c>
      <c r="BJ114" s="9">
        <v>17</v>
      </c>
      <c r="BK114" s="9">
        <v>17</v>
      </c>
      <c r="BL114" s="9">
        <v>21</v>
      </c>
      <c r="BM114" s="9">
        <v>16</v>
      </c>
      <c r="BN114" s="9">
        <v>17</v>
      </c>
      <c r="BO114" s="9">
        <v>1</v>
      </c>
      <c r="BP114" s="9">
        <v>1</v>
      </c>
      <c r="BQ114" s="9">
        <v>1</v>
      </c>
      <c r="BR114" s="9">
        <v>1</v>
      </c>
      <c r="BS114" s="9">
        <v>2</v>
      </c>
      <c r="BT114" s="9">
        <v>2</v>
      </c>
      <c r="BU114" s="9">
        <v>3</v>
      </c>
      <c r="BV114" s="9">
        <v>3</v>
      </c>
      <c r="BW114" s="9">
        <v>3</v>
      </c>
      <c r="BX114" s="9">
        <v>2</v>
      </c>
      <c r="BY114" s="9">
        <v>2</v>
      </c>
      <c r="BZ114" s="9">
        <v>2</v>
      </c>
      <c r="CA114" s="9">
        <v>1</v>
      </c>
      <c r="CB114" s="9">
        <v>0</v>
      </c>
      <c r="CC114" s="9">
        <v>0</v>
      </c>
      <c r="CD114" s="9">
        <v>0</v>
      </c>
      <c r="CE114" s="9">
        <v>0</v>
      </c>
      <c r="CF114" s="9">
        <v>0</v>
      </c>
      <c r="CG114" s="9">
        <v>0</v>
      </c>
      <c r="CH114" s="9">
        <v>0</v>
      </c>
      <c r="CI114" s="9">
        <v>0</v>
      </c>
      <c r="CJ114" s="9">
        <v>0</v>
      </c>
      <c r="CK114" s="9">
        <v>0</v>
      </c>
      <c r="CL114" s="9">
        <v>0</v>
      </c>
      <c r="CM114" s="9">
        <v>0</v>
      </c>
      <c r="CN114" s="9">
        <v>0</v>
      </c>
      <c r="CO114" s="9">
        <v>0</v>
      </c>
      <c r="CP114" s="9">
        <v>0</v>
      </c>
      <c r="CQ114" s="9">
        <v>0</v>
      </c>
      <c r="CR114" s="9">
        <v>0</v>
      </c>
      <c r="CS114" s="9">
        <v>0</v>
      </c>
      <c r="CT114" s="9">
        <v>0</v>
      </c>
      <c r="CU114" s="9">
        <v>0</v>
      </c>
      <c r="CV114" s="9">
        <v>0</v>
      </c>
      <c r="CW114" s="9">
        <v>0</v>
      </c>
      <c r="CX114" s="9">
        <v>0</v>
      </c>
      <c r="CY114" s="9">
        <v>0</v>
      </c>
      <c r="CZ114" s="9">
        <v>0</v>
      </c>
      <c r="DA114" s="9">
        <v>0</v>
      </c>
      <c r="DB114" s="9">
        <v>0</v>
      </c>
      <c r="DC114" s="9">
        <v>0</v>
      </c>
      <c r="DD114" s="9">
        <v>0</v>
      </c>
      <c r="DE114" s="9">
        <v>1</v>
      </c>
      <c r="DF114" s="9">
        <v>1</v>
      </c>
      <c r="DG114" s="9">
        <v>1</v>
      </c>
      <c r="DH114" s="9">
        <v>1</v>
      </c>
      <c r="DI114" s="9">
        <v>1</v>
      </c>
      <c r="DJ114" s="9">
        <v>1</v>
      </c>
      <c r="DK114" s="9">
        <v>1</v>
      </c>
      <c r="DL114" s="9">
        <v>1</v>
      </c>
      <c r="DM114" s="9">
        <v>1</v>
      </c>
      <c r="DN114" s="9">
        <v>1</v>
      </c>
      <c r="DO114" s="9">
        <v>1</v>
      </c>
      <c r="DP114" s="9">
        <v>1</v>
      </c>
      <c r="DQ114" s="9">
        <v>1</v>
      </c>
      <c r="DR114" s="9">
        <v>1</v>
      </c>
      <c r="DS114" s="9">
        <v>1</v>
      </c>
      <c r="DT114" s="9">
        <v>1</v>
      </c>
      <c r="DU114" s="9">
        <v>1</v>
      </c>
      <c r="DV114" s="9">
        <v>1</v>
      </c>
      <c r="DW114" s="9">
        <v>0</v>
      </c>
      <c r="DX114" s="9">
        <v>0</v>
      </c>
      <c r="DY114" s="9">
        <v>0</v>
      </c>
      <c r="DZ114" s="9">
        <v>0</v>
      </c>
      <c r="EA114" s="9">
        <v>0</v>
      </c>
      <c r="EB114" s="9">
        <v>0</v>
      </c>
      <c r="EC114" s="9">
        <v>0</v>
      </c>
      <c r="ED114" s="9">
        <v>0</v>
      </c>
      <c r="EE114" s="9">
        <v>0</v>
      </c>
      <c r="EF114" s="9">
        <v>0</v>
      </c>
      <c r="EG114" s="9">
        <v>0</v>
      </c>
      <c r="EH114" s="9">
        <v>0</v>
      </c>
      <c r="EI114" s="9">
        <v>0</v>
      </c>
      <c r="EJ114" s="9">
        <v>0</v>
      </c>
      <c r="EK114" s="9">
        <v>0</v>
      </c>
      <c r="EL114" s="9">
        <v>0</v>
      </c>
      <c r="EM114" s="9">
        <v>0</v>
      </c>
      <c r="EN114" s="9">
        <v>0</v>
      </c>
      <c r="EO114" s="9">
        <v>0</v>
      </c>
      <c r="EP114" s="9">
        <v>0</v>
      </c>
      <c r="EQ114" s="9">
        <v>0</v>
      </c>
      <c r="ER114" s="9">
        <v>0</v>
      </c>
      <c r="ES114" s="9">
        <v>0</v>
      </c>
      <c r="ET114" s="9">
        <v>0</v>
      </c>
      <c r="EU114" s="9">
        <v>0</v>
      </c>
      <c r="EV114" s="9">
        <v>0</v>
      </c>
      <c r="EW114" s="9">
        <v>0</v>
      </c>
      <c r="EX114" s="9">
        <v>0</v>
      </c>
      <c r="EY114" s="9">
        <v>0</v>
      </c>
      <c r="EZ114" s="9">
        <v>0</v>
      </c>
      <c r="FA114" s="9">
        <v>0</v>
      </c>
      <c r="FB114" s="9">
        <v>0</v>
      </c>
      <c r="FC114" s="9">
        <v>0</v>
      </c>
      <c r="FD114" s="9">
        <v>0</v>
      </c>
      <c r="FE114" s="9">
        <v>0</v>
      </c>
      <c r="FF114" s="9">
        <v>0</v>
      </c>
      <c r="FG114" s="9">
        <v>0</v>
      </c>
      <c r="FH114" s="9">
        <v>0</v>
      </c>
      <c r="FI114" s="9">
        <v>0</v>
      </c>
      <c r="FJ114" s="9">
        <v>0</v>
      </c>
      <c r="FK114" s="9">
        <v>0</v>
      </c>
      <c r="FL114" s="9">
        <v>0</v>
      </c>
      <c r="FM114" s="10">
        <v>0</v>
      </c>
    </row>
    <row r="115" spans="1:169" x14ac:dyDescent="0.35">
      <c r="A115" s="8" t="s">
        <v>174</v>
      </c>
      <c r="B115" s="9" t="s">
        <v>195</v>
      </c>
      <c r="C115" s="10" t="s">
        <v>196</v>
      </c>
      <c r="D115" s="62">
        <f t="shared" si="98"/>
        <v>76</v>
      </c>
      <c r="E115" s="9">
        <v>1</v>
      </c>
      <c r="F115" s="9">
        <v>2</v>
      </c>
      <c r="G115" s="9">
        <v>2</v>
      </c>
      <c r="H115" s="9">
        <v>7</v>
      </c>
      <c r="I115" s="9">
        <v>6</v>
      </c>
      <c r="J115" s="9">
        <v>5</v>
      </c>
      <c r="K115" s="9">
        <v>9</v>
      </c>
      <c r="L115" s="9">
        <v>13</v>
      </c>
      <c r="M115" s="9">
        <v>14</v>
      </c>
      <c r="N115" s="9">
        <v>14</v>
      </c>
      <c r="O115" s="9">
        <v>22</v>
      </c>
      <c r="P115" s="9">
        <v>33</v>
      </c>
      <c r="Q115" s="9">
        <v>52</v>
      </c>
      <c r="R115" s="9">
        <v>58</v>
      </c>
      <c r="S115" s="9">
        <v>51</v>
      </c>
      <c r="T115" s="9">
        <v>57</v>
      </c>
      <c r="U115" s="9">
        <v>61</v>
      </c>
      <c r="V115" s="9">
        <v>68</v>
      </c>
      <c r="W115" s="9">
        <v>74</v>
      </c>
      <c r="X115" s="9">
        <v>71</v>
      </c>
      <c r="Y115" s="9">
        <v>73</v>
      </c>
      <c r="Z115" s="9">
        <v>76</v>
      </c>
      <c r="AA115" s="9">
        <v>72</v>
      </c>
      <c r="AB115" s="9">
        <v>75</v>
      </c>
      <c r="AC115" s="9">
        <v>74</v>
      </c>
      <c r="AD115" s="9">
        <v>75</v>
      </c>
      <c r="AE115" s="9">
        <v>67</v>
      </c>
      <c r="AF115" s="9">
        <v>54</v>
      </c>
      <c r="AG115" s="9">
        <v>54</v>
      </c>
      <c r="AH115" s="9">
        <v>46</v>
      </c>
      <c r="AI115" s="9">
        <v>51</v>
      </c>
      <c r="AJ115" s="9">
        <v>44</v>
      </c>
      <c r="AK115" s="9">
        <v>44</v>
      </c>
      <c r="AL115" s="9">
        <v>41</v>
      </c>
      <c r="AM115" s="9">
        <v>39</v>
      </c>
      <c r="AN115" s="9">
        <v>43</v>
      </c>
      <c r="AO115" s="9">
        <v>36</v>
      </c>
      <c r="AP115" s="9">
        <v>38</v>
      </c>
      <c r="AQ115" s="9">
        <v>43</v>
      </c>
      <c r="AR115" s="9">
        <v>36</v>
      </c>
      <c r="AS115" s="9">
        <v>45</v>
      </c>
      <c r="AT115" s="9">
        <v>55</v>
      </c>
      <c r="AU115" s="9">
        <v>41</v>
      </c>
      <c r="AV115" s="9">
        <v>34</v>
      </c>
      <c r="AW115" s="9">
        <v>39</v>
      </c>
      <c r="AX115" s="9">
        <v>30</v>
      </c>
      <c r="AY115" s="9">
        <v>35</v>
      </c>
      <c r="AZ115" s="9">
        <v>34</v>
      </c>
      <c r="BA115" s="9">
        <v>32</v>
      </c>
      <c r="BB115" s="9">
        <v>30</v>
      </c>
      <c r="BC115" s="9">
        <v>41</v>
      </c>
      <c r="BD115" s="9">
        <v>32</v>
      </c>
      <c r="BE115" s="9">
        <v>31</v>
      </c>
      <c r="BF115" s="9">
        <v>32</v>
      </c>
      <c r="BG115" s="9">
        <v>34</v>
      </c>
      <c r="BH115" s="9">
        <v>34</v>
      </c>
      <c r="BI115" s="9">
        <v>37</v>
      </c>
      <c r="BJ115" s="9">
        <v>26</v>
      </c>
      <c r="BK115" s="9">
        <v>32</v>
      </c>
      <c r="BL115" s="9">
        <v>30</v>
      </c>
      <c r="BM115" s="9">
        <v>31</v>
      </c>
      <c r="BN115" s="9">
        <v>29</v>
      </c>
      <c r="BO115" s="9">
        <v>27</v>
      </c>
      <c r="BP115" s="9">
        <v>26</v>
      </c>
      <c r="BQ115" s="9">
        <v>22</v>
      </c>
      <c r="BR115" s="9">
        <v>25</v>
      </c>
      <c r="BS115" s="9">
        <v>21</v>
      </c>
      <c r="BT115" s="9">
        <v>25</v>
      </c>
      <c r="BU115" s="9">
        <v>23</v>
      </c>
      <c r="BV115" s="9">
        <v>20</v>
      </c>
      <c r="BW115" s="9">
        <v>19</v>
      </c>
      <c r="BX115" s="9">
        <v>14</v>
      </c>
      <c r="BY115" s="9">
        <v>16</v>
      </c>
      <c r="BZ115" s="9">
        <v>13</v>
      </c>
      <c r="CA115" s="9">
        <v>11</v>
      </c>
      <c r="CB115" s="9">
        <v>11</v>
      </c>
      <c r="CC115" s="9">
        <v>6</v>
      </c>
      <c r="CD115" s="9">
        <v>5</v>
      </c>
      <c r="CE115" s="9">
        <v>5</v>
      </c>
      <c r="CF115" s="9">
        <v>6</v>
      </c>
      <c r="CG115" s="9">
        <v>1</v>
      </c>
      <c r="CH115" s="9">
        <v>7</v>
      </c>
      <c r="CI115" s="9">
        <v>5</v>
      </c>
      <c r="CJ115" s="9">
        <v>5</v>
      </c>
      <c r="CK115" s="9">
        <v>12</v>
      </c>
      <c r="CL115" s="9">
        <v>6</v>
      </c>
      <c r="CM115" s="9">
        <v>7</v>
      </c>
      <c r="CN115" s="9">
        <v>8</v>
      </c>
      <c r="CO115" s="9">
        <v>6</v>
      </c>
      <c r="CP115" s="9">
        <v>4</v>
      </c>
      <c r="CQ115" s="9">
        <v>8</v>
      </c>
      <c r="CR115" s="9">
        <v>3</v>
      </c>
      <c r="CS115" s="9">
        <v>2</v>
      </c>
      <c r="CT115" s="9">
        <v>3</v>
      </c>
      <c r="CU115" s="9">
        <v>1</v>
      </c>
      <c r="CV115" s="9">
        <v>1</v>
      </c>
      <c r="CW115" s="9">
        <v>0</v>
      </c>
      <c r="CX115" s="9">
        <v>0</v>
      </c>
      <c r="CY115" s="9">
        <v>0</v>
      </c>
      <c r="CZ115" s="9">
        <v>1</v>
      </c>
      <c r="DA115" s="9">
        <v>1</v>
      </c>
      <c r="DB115" s="9">
        <v>1</v>
      </c>
      <c r="DC115" s="9">
        <v>1</v>
      </c>
      <c r="DD115" s="9">
        <v>1</v>
      </c>
      <c r="DE115" s="9">
        <v>0</v>
      </c>
      <c r="DF115" s="9">
        <v>0</v>
      </c>
      <c r="DG115" s="9">
        <v>0</v>
      </c>
      <c r="DH115" s="9">
        <v>1</v>
      </c>
      <c r="DI115" s="9">
        <v>0</v>
      </c>
      <c r="DJ115" s="9">
        <v>0</v>
      </c>
      <c r="DK115" s="9">
        <v>1</v>
      </c>
      <c r="DL115" s="9">
        <v>2</v>
      </c>
      <c r="DM115" s="9">
        <v>2</v>
      </c>
      <c r="DN115" s="9">
        <v>2</v>
      </c>
      <c r="DO115" s="9">
        <v>2</v>
      </c>
      <c r="DP115" s="9">
        <v>1</v>
      </c>
      <c r="DQ115" s="9">
        <v>1</v>
      </c>
      <c r="DR115" s="9">
        <v>0</v>
      </c>
      <c r="DS115" s="9">
        <v>0</v>
      </c>
      <c r="DT115" s="9">
        <v>0</v>
      </c>
      <c r="DU115" s="9">
        <v>0</v>
      </c>
      <c r="DV115" s="9">
        <v>1</v>
      </c>
      <c r="DW115" s="9">
        <v>1</v>
      </c>
      <c r="DX115" s="9">
        <v>1</v>
      </c>
      <c r="DY115" s="9">
        <v>1</v>
      </c>
      <c r="DZ115" s="9">
        <v>1</v>
      </c>
      <c r="EA115" s="9">
        <v>1</v>
      </c>
      <c r="EB115" s="9">
        <v>1</v>
      </c>
      <c r="EC115" s="9">
        <v>1</v>
      </c>
      <c r="ED115" s="9">
        <v>1</v>
      </c>
      <c r="EE115" s="9">
        <v>0</v>
      </c>
      <c r="EF115" s="9">
        <v>0</v>
      </c>
      <c r="EG115" s="9">
        <v>0</v>
      </c>
      <c r="EH115" s="9">
        <v>0</v>
      </c>
      <c r="EI115" s="9">
        <v>0</v>
      </c>
      <c r="EJ115" s="9">
        <v>0</v>
      </c>
      <c r="EK115" s="9">
        <v>0</v>
      </c>
      <c r="EL115" s="9">
        <v>0</v>
      </c>
      <c r="EM115" s="9">
        <v>0</v>
      </c>
      <c r="EN115" s="9">
        <v>0</v>
      </c>
      <c r="EO115" s="9">
        <v>1</v>
      </c>
      <c r="EP115" s="9">
        <v>1</v>
      </c>
      <c r="EQ115" s="9">
        <v>1</v>
      </c>
      <c r="ER115" s="9">
        <v>2</v>
      </c>
      <c r="ES115" s="9">
        <v>2</v>
      </c>
      <c r="ET115" s="9">
        <v>2</v>
      </c>
      <c r="EU115" s="9">
        <v>3</v>
      </c>
      <c r="EV115" s="9">
        <v>0</v>
      </c>
      <c r="EW115" s="9">
        <v>1</v>
      </c>
      <c r="EX115" s="9">
        <v>1</v>
      </c>
      <c r="EY115" s="9">
        <v>1</v>
      </c>
      <c r="EZ115" s="9">
        <v>1</v>
      </c>
      <c r="FA115" s="9">
        <v>1</v>
      </c>
      <c r="FB115" s="9">
        <v>1</v>
      </c>
      <c r="FC115" s="9">
        <v>1</v>
      </c>
      <c r="FD115" s="9">
        <v>1</v>
      </c>
      <c r="FE115" s="9">
        <v>1</v>
      </c>
      <c r="FF115" s="9">
        <v>1</v>
      </c>
      <c r="FG115" s="9">
        <v>0</v>
      </c>
      <c r="FH115" s="9">
        <v>1</v>
      </c>
      <c r="FI115" s="9">
        <v>1</v>
      </c>
      <c r="FJ115" s="9">
        <v>1</v>
      </c>
      <c r="FK115" s="9">
        <v>1</v>
      </c>
      <c r="FL115" s="9">
        <v>1</v>
      </c>
      <c r="FM115" s="10">
        <v>1</v>
      </c>
    </row>
    <row r="116" spans="1:169" x14ac:dyDescent="0.35">
      <c r="A116" s="8" t="s">
        <v>174</v>
      </c>
      <c r="B116" s="9" t="s">
        <v>197</v>
      </c>
      <c r="C116" s="10" t="s">
        <v>198</v>
      </c>
      <c r="D116" s="62">
        <f t="shared" si="98"/>
        <v>165</v>
      </c>
      <c r="E116" s="9">
        <v>12</v>
      </c>
      <c r="F116" s="9">
        <v>14</v>
      </c>
      <c r="G116" s="9">
        <v>19</v>
      </c>
      <c r="H116" s="9">
        <v>18</v>
      </c>
      <c r="I116" s="9">
        <v>28</v>
      </c>
      <c r="J116" s="9">
        <v>34</v>
      </c>
      <c r="K116" s="9">
        <v>36</v>
      </c>
      <c r="L116" s="9">
        <v>50</v>
      </c>
      <c r="M116" s="9">
        <v>48</v>
      </c>
      <c r="N116" s="9">
        <v>62</v>
      </c>
      <c r="O116" s="9">
        <v>66</v>
      </c>
      <c r="P116" s="9">
        <v>63</v>
      </c>
      <c r="Q116" s="9">
        <v>80</v>
      </c>
      <c r="R116" s="9">
        <v>101</v>
      </c>
      <c r="S116" s="9">
        <v>110</v>
      </c>
      <c r="T116" s="9">
        <v>107</v>
      </c>
      <c r="U116" s="9">
        <v>122</v>
      </c>
      <c r="V116" s="9">
        <v>127</v>
      </c>
      <c r="W116" s="9">
        <v>125</v>
      </c>
      <c r="X116" s="9">
        <v>134</v>
      </c>
      <c r="Y116" s="9">
        <v>118</v>
      </c>
      <c r="Z116" s="9">
        <v>126</v>
      </c>
      <c r="AA116" s="9">
        <v>134</v>
      </c>
      <c r="AB116" s="9">
        <v>134</v>
      </c>
      <c r="AC116" s="9">
        <v>142</v>
      </c>
      <c r="AD116" s="9">
        <v>148</v>
      </c>
      <c r="AE116" s="9">
        <v>154</v>
      </c>
      <c r="AF116" s="9">
        <v>142</v>
      </c>
      <c r="AG116" s="9">
        <v>145</v>
      </c>
      <c r="AH116" s="9">
        <v>139</v>
      </c>
      <c r="AI116" s="9">
        <v>144</v>
      </c>
      <c r="AJ116" s="9">
        <v>159</v>
      </c>
      <c r="AK116" s="9">
        <v>162</v>
      </c>
      <c r="AL116" s="9">
        <v>161</v>
      </c>
      <c r="AM116" s="9">
        <v>163</v>
      </c>
      <c r="AN116" s="9">
        <v>160</v>
      </c>
      <c r="AO116" s="9">
        <v>25</v>
      </c>
      <c r="AP116" s="9">
        <v>156</v>
      </c>
      <c r="AQ116" s="9">
        <v>157</v>
      </c>
      <c r="AR116" s="9">
        <v>165</v>
      </c>
      <c r="AS116" s="9">
        <v>152</v>
      </c>
      <c r="AT116" s="9">
        <v>149</v>
      </c>
      <c r="AU116" s="9">
        <v>144</v>
      </c>
      <c r="AV116" s="9">
        <v>133</v>
      </c>
      <c r="AW116" s="9">
        <v>137</v>
      </c>
      <c r="AX116" s="9">
        <v>128</v>
      </c>
      <c r="AY116" s="9">
        <v>121</v>
      </c>
      <c r="AZ116" s="9">
        <v>123</v>
      </c>
      <c r="BA116" s="9">
        <v>119</v>
      </c>
      <c r="BB116" s="9">
        <v>121</v>
      </c>
      <c r="BC116" s="9">
        <v>120</v>
      </c>
      <c r="BD116" s="9">
        <v>111</v>
      </c>
      <c r="BE116" s="9">
        <v>112</v>
      </c>
      <c r="BF116" s="9">
        <v>99</v>
      </c>
      <c r="BG116" s="9">
        <v>106</v>
      </c>
      <c r="BH116" s="9">
        <v>102</v>
      </c>
      <c r="BI116" s="9">
        <v>101</v>
      </c>
      <c r="BJ116" s="9">
        <v>102</v>
      </c>
      <c r="BK116" s="9">
        <v>105</v>
      </c>
      <c r="BL116" s="9">
        <v>102</v>
      </c>
      <c r="BM116" s="9">
        <v>91</v>
      </c>
      <c r="BN116" s="9">
        <v>91</v>
      </c>
      <c r="BO116" s="9">
        <v>90</v>
      </c>
      <c r="BP116" s="9">
        <v>87</v>
      </c>
      <c r="BQ116" s="9">
        <v>80</v>
      </c>
      <c r="BR116" s="9">
        <v>98</v>
      </c>
      <c r="BS116" s="9">
        <v>76</v>
      </c>
      <c r="BT116" s="9">
        <v>70</v>
      </c>
      <c r="BU116" s="9">
        <v>67</v>
      </c>
      <c r="BV116" s="9">
        <v>67</v>
      </c>
      <c r="BW116" s="9">
        <v>64</v>
      </c>
      <c r="BX116" s="9">
        <v>63</v>
      </c>
      <c r="BY116" s="9">
        <v>67</v>
      </c>
      <c r="BZ116" s="9">
        <v>72</v>
      </c>
      <c r="CA116" s="9">
        <v>71</v>
      </c>
      <c r="CB116" s="9">
        <v>66</v>
      </c>
      <c r="CC116" s="9">
        <v>68</v>
      </c>
      <c r="CD116" s="9">
        <v>67</v>
      </c>
      <c r="CE116" s="9">
        <v>66</v>
      </c>
      <c r="CF116" s="9">
        <v>61</v>
      </c>
      <c r="CG116" s="9">
        <v>59</v>
      </c>
      <c r="CH116" s="9">
        <v>51</v>
      </c>
      <c r="CI116" s="9">
        <v>55</v>
      </c>
      <c r="CJ116" s="9">
        <v>51</v>
      </c>
      <c r="CK116" s="9">
        <v>52</v>
      </c>
      <c r="CL116" s="9">
        <v>48</v>
      </c>
      <c r="CM116" s="9">
        <v>50</v>
      </c>
      <c r="CN116" s="9">
        <v>47</v>
      </c>
      <c r="CO116" s="9">
        <v>47</v>
      </c>
      <c r="CP116" s="9">
        <v>47</v>
      </c>
      <c r="CQ116" s="9">
        <v>42</v>
      </c>
      <c r="CR116" s="9">
        <v>40</v>
      </c>
      <c r="CS116" s="9">
        <v>41</v>
      </c>
      <c r="CT116" s="9">
        <v>47</v>
      </c>
      <c r="CU116" s="9">
        <v>46</v>
      </c>
      <c r="CV116" s="9">
        <v>47</v>
      </c>
      <c r="CW116" s="9">
        <v>45</v>
      </c>
      <c r="CX116" s="9">
        <v>50</v>
      </c>
      <c r="CY116" s="9">
        <v>49</v>
      </c>
      <c r="CZ116" s="9">
        <v>41</v>
      </c>
      <c r="DA116" s="9">
        <v>47</v>
      </c>
      <c r="DB116" s="9">
        <v>44</v>
      </c>
      <c r="DC116" s="9">
        <v>42</v>
      </c>
      <c r="DD116" s="9">
        <v>41</v>
      </c>
      <c r="DE116" s="9">
        <v>37</v>
      </c>
      <c r="DF116" s="9">
        <v>31</v>
      </c>
      <c r="DG116" s="9">
        <v>33</v>
      </c>
      <c r="DH116" s="9">
        <v>32</v>
      </c>
      <c r="DI116" s="9">
        <v>28</v>
      </c>
      <c r="DJ116" s="9">
        <v>24</v>
      </c>
      <c r="DK116" s="9">
        <v>24</v>
      </c>
      <c r="DL116" s="9">
        <v>23</v>
      </c>
      <c r="DM116" s="9">
        <v>26</v>
      </c>
      <c r="DN116" s="9">
        <v>25</v>
      </c>
      <c r="DO116" s="9">
        <v>26</v>
      </c>
      <c r="DP116" s="9">
        <v>27</v>
      </c>
      <c r="DQ116" s="9">
        <v>29</v>
      </c>
      <c r="DR116" s="9">
        <v>28</v>
      </c>
      <c r="DS116" s="9">
        <v>26</v>
      </c>
      <c r="DT116" s="9">
        <v>24</v>
      </c>
      <c r="DU116" s="9">
        <v>21</v>
      </c>
      <c r="DV116" s="9">
        <v>21</v>
      </c>
      <c r="DW116" s="9">
        <v>19</v>
      </c>
      <c r="DX116" s="9">
        <v>20</v>
      </c>
      <c r="DY116" s="9">
        <v>20</v>
      </c>
      <c r="DZ116" s="9">
        <v>22</v>
      </c>
      <c r="EA116" s="9">
        <v>11</v>
      </c>
      <c r="EB116" s="9">
        <v>12</v>
      </c>
      <c r="EC116" s="9">
        <v>13</v>
      </c>
      <c r="ED116" s="9">
        <v>10</v>
      </c>
      <c r="EE116" s="9">
        <v>9</v>
      </c>
      <c r="EF116" s="9">
        <v>9</v>
      </c>
      <c r="EG116" s="9">
        <v>9</v>
      </c>
      <c r="EH116" s="9">
        <v>7</v>
      </c>
      <c r="EI116" s="9">
        <v>5</v>
      </c>
      <c r="EJ116" s="9">
        <v>6</v>
      </c>
      <c r="EK116" s="9">
        <v>5</v>
      </c>
      <c r="EL116" s="9">
        <v>4</v>
      </c>
      <c r="EM116" s="9">
        <v>5</v>
      </c>
      <c r="EN116" s="9">
        <v>5</v>
      </c>
      <c r="EO116" s="9">
        <v>3</v>
      </c>
      <c r="EP116" s="9">
        <v>4</v>
      </c>
      <c r="EQ116" s="9">
        <v>3</v>
      </c>
      <c r="ER116" s="9">
        <v>4</v>
      </c>
      <c r="ES116" s="9">
        <v>2</v>
      </c>
      <c r="ET116" s="9">
        <v>2</v>
      </c>
      <c r="EU116" s="9">
        <v>3</v>
      </c>
      <c r="EV116" s="9">
        <v>3</v>
      </c>
      <c r="EW116" s="9">
        <v>3</v>
      </c>
      <c r="EX116" s="9">
        <v>4</v>
      </c>
      <c r="EY116" s="9">
        <v>5</v>
      </c>
      <c r="EZ116" s="9">
        <v>3</v>
      </c>
      <c r="FA116" s="9">
        <v>3</v>
      </c>
      <c r="FB116" s="9">
        <v>4</v>
      </c>
      <c r="FC116" s="9">
        <v>4</v>
      </c>
      <c r="FD116" s="9">
        <v>4</v>
      </c>
      <c r="FE116" s="9">
        <v>4</v>
      </c>
      <c r="FF116" s="9">
        <v>2</v>
      </c>
      <c r="FG116" s="9">
        <v>4</v>
      </c>
      <c r="FH116" s="9">
        <v>3</v>
      </c>
      <c r="FI116" s="9">
        <v>4</v>
      </c>
      <c r="FJ116" s="9">
        <v>2</v>
      </c>
      <c r="FK116" s="9">
        <v>2</v>
      </c>
      <c r="FL116" s="9">
        <v>2</v>
      </c>
      <c r="FM116" s="10">
        <v>2</v>
      </c>
    </row>
    <row r="117" spans="1:169" x14ac:dyDescent="0.35">
      <c r="A117" s="8" t="s">
        <v>174</v>
      </c>
      <c r="B117" s="9" t="s">
        <v>199</v>
      </c>
      <c r="C117" s="10" t="s">
        <v>200</v>
      </c>
      <c r="D117" s="62">
        <f t="shared" si="98"/>
        <v>70</v>
      </c>
      <c r="E117" s="9">
        <v>6</v>
      </c>
      <c r="F117" s="9">
        <v>7</v>
      </c>
      <c r="G117" s="9">
        <v>8</v>
      </c>
      <c r="H117" s="9">
        <v>5</v>
      </c>
      <c r="I117" s="9">
        <v>8</v>
      </c>
      <c r="J117" s="9">
        <v>9</v>
      </c>
      <c r="K117" s="9">
        <v>14</v>
      </c>
      <c r="L117" s="9">
        <v>21</v>
      </c>
      <c r="M117" s="9">
        <v>33</v>
      </c>
      <c r="N117" s="9">
        <v>35</v>
      </c>
      <c r="O117" s="9">
        <v>41</v>
      </c>
      <c r="P117" s="9">
        <v>41</v>
      </c>
      <c r="Q117" s="9">
        <v>41</v>
      </c>
      <c r="R117" s="9">
        <v>45</v>
      </c>
      <c r="S117" s="9">
        <v>53</v>
      </c>
      <c r="T117" s="9">
        <v>65</v>
      </c>
      <c r="U117" s="9">
        <v>62</v>
      </c>
      <c r="V117" s="9">
        <v>70</v>
      </c>
      <c r="W117" s="9">
        <v>63</v>
      </c>
      <c r="X117" s="9">
        <v>56</v>
      </c>
      <c r="Y117" s="9">
        <v>55</v>
      </c>
      <c r="Z117" s="9">
        <v>49</v>
      </c>
      <c r="AA117" s="9">
        <v>49</v>
      </c>
      <c r="AB117" s="9">
        <v>53</v>
      </c>
      <c r="AC117" s="9">
        <v>49</v>
      </c>
      <c r="AD117" s="9">
        <v>53</v>
      </c>
      <c r="AE117" s="9">
        <v>56</v>
      </c>
      <c r="AF117" s="9">
        <v>53</v>
      </c>
      <c r="AG117" s="9">
        <v>50</v>
      </c>
      <c r="AH117" s="9">
        <v>51</v>
      </c>
      <c r="AI117" s="9">
        <v>52</v>
      </c>
      <c r="AJ117" s="9">
        <v>47</v>
      </c>
      <c r="AK117" s="9">
        <v>47</v>
      </c>
      <c r="AL117" s="9">
        <v>47</v>
      </c>
      <c r="AM117" s="9">
        <v>44</v>
      </c>
      <c r="AN117" s="9">
        <v>44</v>
      </c>
      <c r="AO117" s="9">
        <v>36</v>
      </c>
      <c r="AP117" s="9">
        <v>32</v>
      </c>
      <c r="AQ117" s="9">
        <v>31</v>
      </c>
      <c r="AR117" s="9">
        <v>33</v>
      </c>
      <c r="AS117" s="9">
        <v>31</v>
      </c>
      <c r="AT117" s="9">
        <v>28</v>
      </c>
      <c r="AU117" s="9">
        <v>26</v>
      </c>
      <c r="AV117" s="9">
        <v>23</v>
      </c>
      <c r="AW117" s="9">
        <v>23</v>
      </c>
      <c r="AX117" s="9">
        <v>21</v>
      </c>
      <c r="AY117" s="9">
        <v>20</v>
      </c>
      <c r="AZ117" s="9">
        <v>19</v>
      </c>
      <c r="BA117" s="9">
        <v>17</v>
      </c>
      <c r="BB117" s="9">
        <v>16</v>
      </c>
      <c r="BC117" s="9">
        <v>13</v>
      </c>
      <c r="BD117" s="9">
        <v>14</v>
      </c>
      <c r="BE117" s="9">
        <v>13</v>
      </c>
      <c r="BF117" s="9">
        <v>12</v>
      </c>
      <c r="BG117" s="9">
        <v>13</v>
      </c>
      <c r="BH117" s="9">
        <v>15</v>
      </c>
      <c r="BI117" s="9">
        <v>12</v>
      </c>
      <c r="BJ117" s="9">
        <v>12</v>
      </c>
      <c r="BK117" s="9">
        <v>13</v>
      </c>
      <c r="BL117" s="9">
        <v>19</v>
      </c>
      <c r="BM117" s="9">
        <v>14</v>
      </c>
      <c r="BN117" s="9">
        <v>14</v>
      </c>
      <c r="BO117" s="9">
        <v>19</v>
      </c>
      <c r="BP117" s="9">
        <v>16</v>
      </c>
      <c r="BQ117" s="9">
        <v>18</v>
      </c>
      <c r="BR117" s="9">
        <v>19</v>
      </c>
      <c r="BS117" s="9">
        <v>19</v>
      </c>
      <c r="BT117" s="9">
        <v>17</v>
      </c>
      <c r="BU117" s="9">
        <v>17</v>
      </c>
      <c r="BV117" s="9">
        <v>14</v>
      </c>
      <c r="BW117" s="9">
        <v>13</v>
      </c>
      <c r="BX117" s="9">
        <v>12</v>
      </c>
      <c r="BY117" s="9">
        <v>16</v>
      </c>
      <c r="BZ117" s="9">
        <v>16</v>
      </c>
      <c r="CA117" s="9">
        <v>15</v>
      </c>
      <c r="CB117" s="9">
        <v>15</v>
      </c>
      <c r="CC117" s="9">
        <v>12</v>
      </c>
      <c r="CD117" s="9">
        <v>13</v>
      </c>
      <c r="CE117" s="9">
        <v>10</v>
      </c>
      <c r="CF117" s="9">
        <v>10</v>
      </c>
      <c r="CG117" s="9">
        <v>10</v>
      </c>
      <c r="CH117" s="9">
        <v>9</v>
      </c>
      <c r="CI117" s="9">
        <v>10</v>
      </c>
      <c r="CJ117" s="9">
        <v>10</v>
      </c>
      <c r="CK117" s="9">
        <v>10</v>
      </c>
      <c r="CL117" s="9">
        <v>10</v>
      </c>
      <c r="CM117" s="9">
        <v>11</v>
      </c>
      <c r="CN117" s="9">
        <v>12</v>
      </c>
      <c r="CO117" s="9">
        <v>11</v>
      </c>
      <c r="CP117" s="9">
        <v>10</v>
      </c>
      <c r="CQ117" s="9">
        <v>12</v>
      </c>
      <c r="CR117" s="9">
        <v>10</v>
      </c>
      <c r="CS117" s="9">
        <v>10</v>
      </c>
      <c r="CT117" s="9">
        <v>9</v>
      </c>
      <c r="CU117" s="9">
        <v>10</v>
      </c>
      <c r="CV117" s="9">
        <v>10</v>
      </c>
      <c r="CW117" s="9">
        <v>9</v>
      </c>
      <c r="CX117" s="9">
        <v>7</v>
      </c>
      <c r="CY117" s="9">
        <v>6</v>
      </c>
      <c r="CZ117" s="9">
        <v>4</v>
      </c>
      <c r="DA117" s="9">
        <v>5</v>
      </c>
      <c r="DB117" s="9">
        <v>5</v>
      </c>
      <c r="DC117" s="9">
        <v>5</v>
      </c>
      <c r="DD117" s="9">
        <v>7</v>
      </c>
      <c r="DE117" s="9">
        <v>7</v>
      </c>
      <c r="DF117" s="9">
        <v>5</v>
      </c>
      <c r="DG117" s="9">
        <v>4</v>
      </c>
      <c r="DH117" s="9">
        <v>4</v>
      </c>
      <c r="DI117" s="9">
        <v>4</v>
      </c>
      <c r="DJ117" s="9">
        <v>3</v>
      </c>
      <c r="DK117" s="9">
        <v>4</v>
      </c>
      <c r="DL117" s="9">
        <v>4</v>
      </c>
      <c r="DM117" s="9">
        <v>4</v>
      </c>
      <c r="DN117" s="9">
        <v>4</v>
      </c>
      <c r="DO117" s="9">
        <v>4</v>
      </c>
      <c r="DP117" s="9">
        <v>5</v>
      </c>
      <c r="DQ117" s="9">
        <v>4</v>
      </c>
      <c r="DR117" s="9">
        <v>5</v>
      </c>
      <c r="DS117" s="9">
        <v>3</v>
      </c>
      <c r="DT117" s="9">
        <v>3</v>
      </c>
      <c r="DU117" s="9">
        <v>3</v>
      </c>
      <c r="DV117" s="9">
        <v>3</v>
      </c>
      <c r="DW117" s="9">
        <v>3</v>
      </c>
      <c r="DX117" s="9">
        <v>3</v>
      </c>
      <c r="DY117" s="9">
        <v>2</v>
      </c>
      <c r="DZ117" s="9">
        <v>3</v>
      </c>
      <c r="EA117" s="9">
        <v>3</v>
      </c>
      <c r="EB117" s="9">
        <v>2</v>
      </c>
      <c r="EC117" s="9">
        <v>2</v>
      </c>
      <c r="ED117" s="9">
        <v>2</v>
      </c>
      <c r="EE117" s="9">
        <v>1</v>
      </c>
      <c r="EF117" s="9">
        <v>3</v>
      </c>
      <c r="EG117" s="9">
        <v>3</v>
      </c>
      <c r="EH117" s="9">
        <v>3</v>
      </c>
      <c r="EI117" s="9">
        <v>3</v>
      </c>
      <c r="EJ117" s="9">
        <v>3</v>
      </c>
      <c r="EK117" s="9">
        <v>3</v>
      </c>
      <c r="EL117" s="9">
        <v>2</v>
      </c>
      <c r="EM117" s="9">
        <v>2</v>
      </c>
      <c r="EN117" s="9">
        <v>2</v>
      </c>
      <c r="EO117" s="9">
        <v>2</v>
      </c>
      <c r="EP117" s="9">
        <v>1</v>
      </c>
      <c r="EQ117" s="9">
        <v>1</v>
      </c>
      <c r="ER117" s="9">
        <v>0</v>
      </c>
      <c r="ES117" s="9">
        <v>0</v>
      </c>
      <c r="ET117" s="9">
        <v>0</v>
      </c>
      <c r="EU117" s="9">
        <v>0</v>
      </c>
      <c r="EV117" s="9">
        <v>0</v>
      </c>
      <c r="EW117" s="9">
        <v>0</v>
      </c>
      <c r="EX117" s="9">
        <v>0</v>
      </c>
      <c r="EY117" s="9">
        <v>1</v>
      </c>
      <c r="EZ117" s="9">
        <v>1</v>
      </c>
      <c r="FA117" s="9">
        <v>1</v>
      </c>
      <c r="FB117" s="9">
        <v>1</v>
      </c>
      <c r="FC117" s="9">
        <v>1</v>
      </c>
      <c r="FD117" s="9">
        <v>2</v>
      </c>
      <c r="FE117" s="9">
        <v>2</v>
      </c>
      <c r="FF117" s="9">
        <v>1</v>
      </c>
      <c r="FG117" s="9">
        <v>1</v>
      </c>
      <c r="FH117" s="9">
        <v>1</v>
      </c>
      <c r="FI117" s="9">
        <v>1</v>
      </c>
      <c r="FJ117" s="9">
        <v>1</v>
      </c>
      <c r="FK117" s="9">
        <v>1</v>
      </c>
      <c r="FL117" s="9">
        <v>1</v>
      </c>
      <c r="FM117" s="10">
        <v>1</v>
      </c>
    </row>
    <row r="118" spans="1:169" x14ac:dyDescent="0.35">
      <c r="A118" s="8" t="s">
        <v>174</v>
      </c>
      <c r="B118" s="9" t="s">
        <v>201</v>
      </c>
      <c r="C118" s="10" t="s">
        <v>202</v>
      </c>
      <c r="D118" s="62">
        <f t="shared" si="98"/>
        <v>161</v>
      </c>
      <c r="E118" s="9">
        <v>4</v>
      </c>
      <c r="F118" s="9">
        <v>6</v>
      </c>
      <c r="G118" s="9">
        <v>11</v>
      </c>
      <c r="H118" s="9">
        <v>16</v>
      </c>
      <c r="I118" s="9">
        <v>14</v>
      </c>
      <c r="J118" s="9">
        <v>20</v>
      </c>
      <c r="K118" s="9">
        <v>26</v>
      </c>
      <c r="L118" s="9">
        <v>36</v>
      </c>
      <c r="M118" s="9">
        <v>47</v>
      </c>
      <c r="N118" s="9">
        <v>67</v>
      </c>
      <c r="O118" s="9">
        <v>69</v>
      </c>
      <c r="P118" s="9">
        <v>73</v>
      </c>
      <c r="Q118" s="9">
        <v>86</v>
      </c>
      <c r="R118" s="9">
        <v>120</v>
      </c>
      <c r="S118" s="9">
        <v>129</v>
      </c>
      <c r="T118" s="9">
        <v>138</v>
      </c>
      <c r="U118" s="9">
        <v>151</v>
      </c>
      <c r="V118" s="9">
        <v>161</v>
      </c>
      <c r="W118" s="9">
        <v>155</v>
      </c>
      <c r="X118" s="9">
        <v>140</v>
      </c>
      <c r="Y118" s="9">
        <v>151</v>
      </c>
      <c r="Z118" s="9">
        <v>155</v>
      </c>
      <c r="AA118" s="9">
        <v>138</v>
      </c>
      <c r="AB118" s="9">
        <v>142</v>
      </c>
      <c r="AC118" s="9">
        <v>138</v>
      </c>
      <c r="AD118" s="9">
        <v>128</v>
      </c>
      <c r="AE118" s="9">
        <v>131</v>
      </c>
      <c r="AF118" s="9">
        <v>122</v>
      </c>
      <c r="AG118" s="9">
        <v>122</v>
      </c>
      <c r="AH118" s="9">
        <v>110</v>
      </c>
      <c r="AI118" s="9">
        <v>106</v>
      </c>
      <c r="AJ118" s="9">
        <v>102</v>
      </c>
      <c r="AK118" s="9">
        <v>100</v>
      </c>
      <c r="AL118" s="9">
        <v>98</v>
      </c>
      <c r="AM118" s="9">
        <v>93</v>
      </c>
      <c r="AN118" s="9">
        <v>92</v>
      </c>
      <c r="AO118" s="9">
        <v>82</v>
      </c>
      <c r="AP118" s="9">
        <v>79</v>
      </c>
      <c r="AQ118" s="9">
        <v>76</v>
      </c>
      <c r="AR118" s="9">
        <v>74</v>
      </c>
      <c r="AS118" s="9">
        <v>70</v>
      </c>
      <c r="AT118" s="9">
        <v>66</v>
      </c>
      <c r="AU118" s="9">
        <v>68</v>
      </c>
      <c r="AV118" s="9">
        <v>61</v>
      </c>
      <c r="AW118" s="9">
        <v>62</v>
      </c>
      <c r="AX118" s="9">
        <v>70</v>
      </c>
      <c r="AY118" s="9">
        <v>63</v>
      </c>
      <c r="AZ118" s="9">
        <v>61</v>
      </c>
      <c r="BA118" s="9">
        <v>52</v>
      </c>
      <c r="BB118" s="9">
        <v>47</v>
      </c>
      <c r="BC118" s="9">
        <v>44</v>
      </c>
      <c r="BD118" s="9">
        <v>45</v>
      </c>
      <c r="BE118" s="9">
        <v>48</v>
      </c>
      <c r="BF118" s="9">
        <v>46</v>
      </c>
      <c r="BG118" s="9">
        <v>47</v>
      </c>
      <c r="BH118" s="9">
        <v>47</v>
      </c>
      <c r="BI118" s="9">
        <v>44</v>
      </c>
      <c r="BJ118" s="9">
        <v>45</v>
      </c>
      <c r="BK118" s="9">
        <v>43</v>
      </c>
      <c r="BL118" s="9">
        <v>40</v>
      </c>
      <c r="BM118" s="9">
        <v>42</v>
      </c>
      <c r="BN118" s="9">
        <v>43</v>
      </c>
      <c r="BO118" s="9">
        <v>42</v>
      </c>
      <c r="BP118" s="9">
        <v>36</v>
      </c>
      <c r="BQ118" s="9">
        <v>30</v>
      </c>
      <c r="BR118" s="9">
        <v>29</v>
      </c>
      <c r="BS118" s="9">
        <v>29</v>
      </c>
      <c r="BT118" s="9">
        <v>32</v>
      </c>
      <c r="BU118" s="9">
        <v>32</v>
      </c>
      <c r="BV118" s="9">
        <v>25</v>
      </c>
      <c r="BW118" s="9">
        <v>23</v>
      </c>
      <c r="BX118" s="9">
        <v>22</v>
      </c>
      <c r="BY118" s="9">
        <v>23</v>
      </c>
      <c r="BZ118" s="9">
        <v>21</v>
      </c>
      <c r="CA118" s="9">
        <v>20</v>
      </c>
      <c r="CB118" s="9">
        <v>19</v>
      </c>
      <c r="CC118" s="9">
        <v>19</v>
      </c>
      <c r="CD118" s="9">
        <v>16</v>
      </c>
      <c r="CE118" s="9">
        <v>15</v>
      </c>
      <c r="CF118" s="9">
        <v>14</v>
      </c>
      <c r="CG118" s="9">
        <v>14</v>
      </c>
      <c r="CH118" s="9">
        <v>13</v>
      </c>
      <c r="CI118" s="9">
        <v>12</v>
      </c>
      <c r="CJ118" s="9">
        <v>11</v>
      </c>
      <c r="CK118" s="9">
        <v>9</v>
      </c>
      <c r="CL118" s="9">
        <v>10</v>
      </c>
      <c r="CM118" s="9">
        <v>9</v>
      </c>
      <c r="CN118" s="9">
        <v>9</v>
      </c>
      <c r="CO118" s="9">
        <v>9</v>
      </c>
      <c r="CP118" s="9">
        <v>9</v>
      </c>
      <c r="CQ118" s="9">
        <v>10</v>
      </c>
      <c r="CR118" s="9">
        <v>6</v>
      </c>
      <c r="CS118" s="9">
        <v>7</v>
      </c>
      <c r="CT118" s="9">
        <v>7</v>
      </c>
      <c r="CU118" s="9">
        <v>7</v>
      </c>
      <c r="CV118" s="9">
        <v>8</v>
      </c>
      <c r="CW118" s="9">
        <v>6</v>
      </c>
      <c r="CX118" s="9">
        <v>6</v>
      </c>
      <c r="CY118" s="9">
        <v>5</v>
      </c>
      <c r="CZ118" s="9">
        <v>4</v>
      </c>
      <c r="DA118" s="9">
        <v>4</v>
      </c>
      <c r="DB118" s="9">
        <v>4</v>
      </c>
      <c r="DC118" s="9">
        <v>5</v>
      </c>
      <c r="DD118" s="9">
        <v>8</v>
      </c>
      <c r="DE118" s="9">
        <v>4</v>
      </c>
      <c r="DF118" s="9">
        <v>4</v>
      </c>
      <c r="DG118" s="9">
        <v>5</v>
      </c>
      <c r="DH118" s="9">
        <v>4</v>
      </c>
      <c r="DI118" s="9">
        <v>4</v>
      </c>
      <c r="DJ118" s="9">
        <v>3</v>
      </c>
      <c r="DK118" s="9">
        <v>2</v>
      </c>
      <c r="DL118" s="9">
        <v>1</v>
      </c>
      <c r="DM118" s="9">
        <v>1</v>
      </c>
      <c r="DN118" s="9">
        <v>3</v>
      </c>
      <c r="DO118" s="9">
        <v>4</v>
      </c>
      <c r="DP118" s="9">
        <v>3</v>
      </c>
      <c r="DQ118" s="9">
        <v>2</v>
      </c>
      <c r="DR118" s="9">
        <v>2</v>
      </c>
      <c r="DS118" s="9">
        <v>0</v>
      </c>
      <c r="DT118" s="9">
        <v>0</v>
      </c>
      <c r="DU118" s="9">
        <v>0</v>
      </c>
      <c r="DV118" s="9">
        <v>0</v>
      </c>
      <c r="DW118" s="9">
        <v>0</v>
      </c>
      <c r="DX118" s="9">
        <v>0</v>
      </c>
      <c r="DY118" s="9">
        <v>0</v>
      </c>
      <c r="DZ118" s="9">
        <v>0</v>
      </c>
      <c r="EA118" s="9">
        <v>0</v>
      </c>
      <c r="EB118" s="9">
        <v>1</v>
      </c>
      <c r="EC118" s="9">
        <v>1</v>
      </c>
      <c r="ED118" s="9">
        <v>2</v>
      </c>
      <c r="EE118" s="9">
        <v>3</v>
      </c>
      <c r="EF118" s="9">
        <v>2</v>
      </c>
      <c r="EG118" s="9">
        <v>3</v>
      </c>
      <c r="EH118" s="9">
        <v>4</v>
      </c>
      <c r="EI118" s="9">
        <v>5</v>
      </c>
      <c r="EJ118" s="9">
        <v>4</v>
      </c>
      <c r="EK118" s="9">
        <v>4</v>
      </c>
      <c r="EL118" s="9">
        <v>3</v>
      </c>
      <c r="EM118" s="9">
        <v>3</v>
      </c>
      <c r="EN118" s="9">
        <v>3</v>
      </c>
      <c r="EO118" s="9">
        <v>3</v>
      </c>
      <c r="EP118" s="9">
        <v>5</v>
      </c>
      <c r="EQ118" s="9">
        <v>6</v>
      </c>
      <c r="ER118" s="9">
        <v>4</v>
      </c>
      <c r="ES118" s="9">
        <v>4</v>
      </c>
      <c r="ET118" s="9">
        <v>2</v>
      </c>
      <c r="EU118" s="9">
        <v>2</v>
      </c>
      <c r="EV118" s="9">
        <v>3</v>
      </c>
      <c r="EW118" s="9">
        <v>2</v>
      </c>
      <c r="EX118" s="9">
        <v>3</v>
      </c>
      <c r="EY118" s="9">
        <v>3</v>
      </c>
      <c r="EZ118" s="9">
        <v>3</v>
      </c>
      <c r="FA118" s="9">
        <v>2</v>
      </c>
      <c r="FB118" s="9">
        <v>2</v>
      </c>
      <c r="FC118" s="9">
        <v>1</v>
      </c>
      <c r="FD118" s="9">
        <v>1</v>
      </c>
      <c r="FE118" s="9">
        <v>1</v>
      </c>
      <c r="FF118" s="9">
        <v>1</v>
      </c>
      <c r="FG118" s="9">
        <v>1</v>
      </c>
      <c r="FH118" s="9">
        <v>2</v>
      </c>
      <c r="FI118" s="9">
        <v>3</v>
      </c>
      <c r="FJ118" s="9">
        <v>3</v>
      </c>
      <c r="FK118" s="9">
        <v>3</v>
      </c>
      <c r="FL118" s="9">
        <v>4</v>
      </c>
      <c r="FM118" s="10">
        <v>4</v>
      </c>
    </row>
    <row r="119" spans="1:169" x14ac:dyDescent="0.35">
      <c r="A119" s="8" t="s">
        <v>174</v>
      </c>
      <c r="B119" s="9" t="s">
        <v>203</v>
      </c>
      <c r="C119" s="10" t="s">
        <v>204</v>
      </c>
      <c r="D119" s="62">
        <f t="shared" si="98"/>
        <v>5</v>
      </c>
      <c r="E119" s="9">
        <v>0</v>
      </c>
      <c r="F119" s="9">
        <v>0</v>
      </c>
      <c r="G119" s="9">
        <v>0</v>
      </c>
      <c r="H119" s="9">
        <v>0</v>
      </c>
      <c r="I119" s="9">
        <v>0</v>
      </c>
      <c r="J119" s="9">
        <v>0</v>
      </c>
      <c r="K119" s="9">
        <v>0</v>
      </c>
      <c r="L119" s="9">
        <v>0</v>
      </c>
      <c r="M119" s="9">
        <v>1</v>
      </c>
      <c r="N119" s="9">
        <v>1</v>
      </c>
      <c r="O119" s="9">
        <v>1</v>
      </c>
      <c r="P119" s="9">
        <v>1</v>
      </c>
      <c r="Q119" s="9">
        <v>2</v>
      </c>
      <c r="R119" s="9">
        <v>1</v>
      </c>
      <c r="S119" s="9">
        <v>2</v>
      </c>
      <c r="T119" s="9">
        <v>2</v>
      </c>
      <c r="U119" s="9">
        <v>1</v>
      </c>
      <c r="V119" s="9">
        <v>1</v>
      </c>
      <c r="W119" s="9">
        <v>1</v>
      </c>
      <c r="X119" s="9">
        <v>2</v>
      </c>
      <c r="Y119" s="9">
        <v>1</v>
      </c>
      <c r="Z119" s="9">
        <v>1</v>
      </c>
      <c r="AA119" s="9">
        <v>1</v>
      </c>
      <c r="AB119" s="9">
        <v>1</v>
      </c>
      <c r="AC119" s="9">
        <v>1</v>
      </c>
      <c r="AD119" s="9">
        <v>1</v>
      </c>
      <c r="AE119" s="9">
        <v>1</v>
      </c>
      <c r="AF119" s="9">
        <v>1</v>
      </c>
      <c r="AG119" s="9">
        <v>1</v>
      </c>
      <c r="AH119" s="9">
        <v>1</v>
      </c>
      <c r="AI119" s="9">
        <v>1</v>
      </c>
      <c r="AJ119" s="9">
        <v>3</v>
      </c>
      <c r="AK119" s="9">
        <v>2</v>
      </c>
      <c r="AL119" s="9">
        <v>3</v>
      </c>
      <c r="AM119" s="9">
        <v>5</v>
      </c>
      <c r="AN119" s="9">
        <v>0</v>
      </c>
      <c r="AO119" s="9">
        <v>4</v>
      </c>
      <c r="AP119" s="9">
        <v>5</v>
      </c>
      <c r="AQ119" s="9">
        <v>5</v>
      </c>
      <c r="AR119" s="9">
        <v>5</v>
      </c>
      <c r="AS119" s="9">
        <v>3</v>
      </c>
      <c r="AT119" s="9">
        <v>3</v>
      </c>
      <c r="AU119" s="9">
        <v>3</v>
      </c>
      <c r="AV119" s="9">
        <v>5</v>
      </c>
      <c r="AW119" s="9">
        <v>4</v>
      </c>
      <c r="AX119" s="9">
        <v>4</v>
      </c>
      <c r="AY119" s="9">
        <v>2</v>
      </c>
      <c r="AZ119" s="9">
        <v>2</v>
      </c>
      <c r="BA119" s="9">
        <v>2</v>
      </c>
      <c r="BB119" s="9">
        <v>3</v>
      </c>
      <c r="BC119" s="9">
        <v>3</v>
      </c>
      <c r="BD119" s="9">
        <v>3</v>
      </c>
      <c r="BE119" s="9">
        <v>3</v>
      </c>
      <c r="BF119" s="9">
        <v>3</v>
      </c>
      <c r="BG119" s="9">
        <v>3</v>
      </c>
      <c r="BH119" s="9">
        <v>2</v>
      </c>
      <c r="BI119" s="9">
        <v>2</v>
      </c>
      <c r="BJ119" s="9">
        <v>0</v>
      </c>
      <c r="BK119" s="9">
        <v>0</v>
      </c>
      <c r="BL119" s="9">
        <v>0</v>
      </c>
      <c r="BM119" s="9">
        <v>0</v>
      </c>
      <c r="BN119" s="9">
        <v>0</v>
      </c>
      <c r="BO119" s="9">
        <v>0</v>
      </c>
      <c r="BP119" s="9">
        <v>0</v>
      </c>
      <c r="BQ119" s="9">
        <v>0</v>
      </c>
      <c r="BR119" s="9">
        <v>0</v>
      </c>
      <c r="BS119" s="9">
        <v>0</v>
      </c>
      <c r="BT119" s="9">
        <v>0</v>
      </c>
      <c r="BU119" s="9">
        <v>0</v>
      </c>
      <c r="BV119" s="9">
        <v>0</v>
      </c>
      <c r="BW119" s="9">
        <v>0</v>
      </c>
      <c r="BX119" s="9">
        <v>0</v>
      </c>
      <c r="BY119" s="9">
        <v>0</v>
      </c>
      <c r="BZ119" s="9">
        <v>1</v>
      </c>
      <c r="CA119" s="9">
        <v>1</v>
      </c>
      <c r="CB119" s="9">
        <v>1</v>
      </c>
      <c r="CC119" s="9">
        <v>1</v>
      </c>
      <c r="CD119" s="9">
        <v>1</v>
      </c>
      <c r="CE119" s="9">
        <v>1</v>
      </c>
      <c r="CF119" s="9">
        <v>1</v>
      </c>
      <c r="CG119" s="9">
        <v>0</v>
      </c>
      <c r="CH119" s="9">
        <v>0</v>
      </c>
      <c r="CI119" s="9">
        <v>0</v>
      </c>
      <c r="CJ119" s="9">
        <v>0</v>
      </c>
      <c r="CK119" s="9">
        <v>0</v>
      </c>
      <c r="CL119" s="9">
        <v>0</v>
      </c>
      <c r="CM119" s="9">
        <v>0</v>
      </c>
      <c r="CN119" s="9">
        <v>0</v>
      </c>
      <c r="CO119" s="9">
        <v>0</v>
      </c>
      <c r="CP119" s="9">
        <v>0</v>
      </c>
      <c r="CQ119" s="9">
        <v>0</v>
      </c>
      <c r="CR119" s="9">
        <v>0</v>
      </c>
      <c r="CS119" s="9">
        <v>0</v>
      </c>
      <c r="CT119" s="9">
        <v>0</v>
      </c>
      <c r="CU119" s="9">
        <v>0</v>
      </c>
      <c r="CV119" s="9">
        <v>0</v>
      </c>
      <c r="CW119" s="9">
        <v>0</v>
      </c>
      <c r="CX119" s="9">
        <v>0</v>
      </c>
      <c r="CY119" s="9">
        <v>0</v>
      </c>
      <c r="CZ119" s="9">
        <v>0</v>
      </c>
      <c r="DA119" s="9">
        <v>0</v>
      </c>
      <c r="DB119" s="9">
        <v>0</v>
      </c>
      <c r="DC119" s="9">
        <v>0</v>
      </c>
      <c r="DD119" s="9">
        <v>0</v>
      </c>
      <c r="DE119" s="9">
        <v>0</v>
      </c>
      <c r="DF119" s="9">
        <v>0</v>
      </c>
      <c r="DG119" s="9">
        <v>0</v>
      </c>
      <c r="DH119" s="9">
        <v>0</v>
      </c>
      <c r="DI119" s="9">
        <v>0</v>
      </c>
      <c r="DJ119" s="9">
        <v>0</v>
      </c>
      <c r="DK119" s="9">
        <v>0</v>
      </c>
      <c r="DL119" s="9">
        <v>0</v>
      </c>
      <c r="DM119" s="9">
        <v>0</v>
      </c>
      <c r="DN119" s="9">
        <v>0</v>
      </c>
      <c r="DO119" s="9">
        <v>0</v>
      </c>
      <c r="DP119" s="9">
        <v>0</v>
      </c>
      <c r="DQ119" s="9">
        <v>0</v>
      </c>
      <c r="DR119" s="9">
        <v>0</v>
      </c>
      <c r="DS119" s="9">
        <v>0</v>
      </c>
      <c r="DT119" s="9">
        <v>0</v>
      </c>
      <c r="DU119" s="9">
        <v>0</v>
      </c>
      <c r="DV119" s="9">
        <v>0</v>
      </c>
      <c r="DW119" s="9">
        <v>0</v>
      </c>
      <c r="DX119" s="9">
        <v>0</v>
      </c>
      <c r="DY119" s="9">
        <v>0</v>
      </c>
      <c r="DZ119" s="9">
        <v>0</v>
      </c>
      <c r="EA119" s="9">
        <v>0</v>
      </c>
      <c r="EB119" s="9">
        <v>0</v>
      </c>
      <c r="EC119" s="9">
        <v>0</v>
      </c>
      <c r="ED119" s="9">
        <v>0</v>
      </c>
      <c r="EE119" s="9">
        <v>0</v>
      </c>
      <c r="EF119" s="9">
        <v>0</v>
      </c>
      <c r="EG119" s="9">
        <v>0</v>
      </c>
      <c r="EH119" s="9">
        <v>0</v>
      </c>
      <c r="EI119" s="9">
        <v>0</v>
      </c>
      <c r="EJ119" s="9">
        <v>0</v>
      </c>
      <c r="EK119" s="9">
        <v>0</v>
      </c>
      <c r="EL119" s="9">
        <v>0</v>
      </c>
      <c r="EM119" s="9">
        <v>0</v>
      </c>
      <c r="EN119" s="9">
        <v>0</v>
      </c>
      <c r="EO119" s="9">
        <v>0</v>
      </c>
      <c r="EP119" s="9">
        <v>0</v>
      </c>
      <c r="EQ119" s="9">
        <v>0</v>
      </c>
      <c r="ER119" s="9">
        <v>0</v>
      </c>
      <c r="ES119" s="9">
        <v>0</v>
      </c>
      <c r="ET119" s="9">
        <v>0</v>
      </c>
      <c r="EU119" s="9">
        <v>0</v>
      </c>
      <c r="EV119" s="9">
        <v>0</v>
      </c>
      <c r="EW119" s="9">
        <v>0</v>
      </c>
      <c r="EX119" s="9">
        <v>0</v>
      </c>
      <c r="EY119" s="9">
        <v>0</v>
      </c>
      <c r="EZ119" s="9">
        <v>0</v>
      </c>
      <c r="FA119" s="9">
        <v>0</v>
      </c>
      <c r="FB119" s="9">
        <v>0</v>
      </c>
      <c r="FC119" s="9">
        <v>0</v>
      </c>
      <c r="FD119" s="9">
        <v>0</v>
      </c>
      <c r="FE119" s="9">
        <v>0</v>
      </c>
      <c r="FF119" s="9">
        <v>0</v>
      </c>
      <c r="FG119" s="9">
        <v>0</v>
      </c>
      <c r="FH119" s="9">
        <v>0</v>
      </c>
      <c r="FI119" s="9">
        <v>0</v>
      </c>
      <c r="FJ119" s="9">
        <v>0</v>
      </c>
      <c r="FK119" s="9">
        <v>0</v>
      </c>
      <c r="FL119" s="9">
        <v>0</v>
      </c>
      <c r="FM119" s="10">
        <v>0</v>
      </c>
    </row>
    <row r="120" spans="1:169" x14ac:dyDescent="0.35">
      <c r="A120" s="8" t="s">
        <v>174</v>
      </c>
      <c r="B120" s="9" t="s">
        <v>205</v>
      </c>
      <c r="C120" s="10" t="s">
        <v>206</v>
      </c>
      <c r="D120" s="62">
        <f t="shared" si="98"/>
        <v>265</v>
      </c>
      <c r="E120" s="9">
        <v>37</v>
      </c>
      <c r="F120" s="9">
        <v>43</v>
      </c>
      <c r="G120" s="9">
        <v>56</v>
      </c>
      <c r="H120" s="9">
        <v>65</v>
      </c>
      <c r="I120" s="9">
        <v>86</v>
      </c>
      <c r="J120" s="9">
        <v>90</v>
      </c>
      <c r="K120" s="9">
        <v>120</v>
      </c>
      <c r="L120" s="9">
        <v>127</v>
      </c>
      <c r="M120" s="9">
        <v>127</v>
      </c>
      <c r="N120" s="9">
        <v>150</v>
      </c>
      <c r="O120" s="9">
        <v>149</v>
      </c>
      <c r="P120" s="9">
        <v>180</v>
      </c>
      <c r="Q120" s="9">
        <v>196</v>
      </c>
      <c r="R120" s="9">
        <v>206</v>
      </c>
      <c r="S120" s="9">
        <v>218</v>
      </c>
      <c r="T120" s="9">
        <v>237</v>
      </c>
      <c r="U120" s="9">
        <v>248</v>
      </c>
      <c r="V120" s="9">
        <v>265</v>
      </c>
      <c r="W120" s="9">
        <v>253</v>
      </c>
      <c r="X120" s="9">
        <v>217</v>
      </c>
      <c r="Y120" s="9">
        <v>227</v>
      </c>
      <c r="Z120" s="9">
        <v>222</v>
      </c>
      <c r="AA120" s="9">
        <v>225</v>
      </c>
      <c r="AB120" s="9">
        <v>228</v>
      </c>
      <c r="AC120" s="9">
        <v>214</v>
      </c>
      <c r="AD120" s="9">
        <v>206</v>
      </c>
      <c r="AE120" s="9">
        <v>207</v>
      </c>
      <c r="AF120" s="9">
        <v>182</v>
      </c>
      <c r="AG120" s="9">
        <v>171</v>
      </c>
      <c r="AH120" s="9">
        <v>160</v>
      </c>
      <c r="AI120" s="9">
        <v>162</v>
      </c>
      <c r="AJ120" s="9">
        <v>159</v>
      </c>
      <c r="AK120" s="9">
        <v>148</v>
      </c>
      <c r="AL120" s="9">
        <v>137</v>
      </c>
      <c r="AM120" s="9">
        <v>129</v>
      </c>
      <c r="AN120" s="9">
        <v>124</v>
      </c>
      <c r="AO120" s="9">
        <v>117</v>
      </c>
      <c r="AP120" s="9">
        <v>116</v>
      </c>
      <c r="AQ120" s="9">
        <v>120</v>
      </c>
      <c r="AR120" s="9">
        <v>122</v>
      </c>
      <c r="AS120" s="9">
        <v>107</v>
      </c>
      <c r="AT120" s="9">
        <v>110</v>
      </c>
      <c r="AU120" s="9">
        <v>110</v>
      </c>
      <c r="AV120" s="9">
        <v>101</v>
      </c>
      <c r="AW120" s="9">
        <v>103</v>
      </c>
      <c r="AX120" s="9">
        <v>100</v>
      </c>
      <c r="AY120" s="9">
        <v>103</v>
      </c>
      <c r="AZ120" s="9">
        <v>99</v>
      </c>
      <c r="BA120" s="9">
        <v>92</v>
      </c>
      <c r="BB120" s="9">
        <v>87</v>
      </c>
      <c r="BC120" s="9">
        <v>86</v>
      </c>
      <c r="BD120" s="9">
        <v>86</v>
      </c>
      <c r="BE120" s="9">
        <v>88</v>
      </c>
      <c r="BF120" s="9">
        <v>90</v>
      </c>
      <c r="BG120" s="9">
        <v>87</v>
      </c>
      <c r="BH120" s="9">
        <v>82</v>
      </c>
      <c r="BI120" s="9">
        <v>74</v>
      </c>
      <c r="BJ120" s="9">
        <v>73</v>
      </c>
      <c r="BK120" s="9">
        <v>75</v>
      </c>
      <c r="BL120" s="9">
        <v>78</v>
      </c>
      <c r="BM120" s="9">
        <v>74</v>
      </c>
      <c r="BN120" s="9">
        <v>71</v>
      </c>
      <c r="BO120" s="9">
        <v>72</v>
      </c>
      <c r="BP120" s="9">
        <v>81</v>
      </c>
      <c r="BQ120" s="9">
        <v>78</v>
      </c>
      <c r="BR120" s="9">
        <v>83</v>
      </c>
      <c r="BS120" s="9">
        <v>87</v>
      </c>
      <c r="BT120" s="9">
        <v>87</v>
      </c>
      <c r="BU120" s="9">
        <v>83</v>
      </c>
      <c r="BV120" s="9">
        <v>82</v>
      </c>
      <c r="BW120" s="9">
        <v>75</v>
      </c>
      <c r="BX120" s="9">
        <v>76</v>
      </c>
      <c r="BY120" s="9">
        <v>71</v>
      </c>
      <c r="BZ120" s="9">
        <v>67</v>
      </c>
      <c r="CA120" s="9">
        <v>65</v>
      </c>
      <c r="CB120" s="9">
        <v>70</v>
      </c>
      <c r="CC120" s="9">
        <v>63</v>
      </c>
      <c r="CD120" s="9">
        <v>63</v>
      </c>
      <c r="CE120" s="9">
        <v>58</v>
      </c>
      <c r="CF120" s="9">
        <v>59</v>
      </c>
      <c r="CG120" s="9">
        <v>59</v>
      </c>
      <c r="CH120" s="9">
        <v>58</v>
      </c>
      <c r="CI120" s="9">
        <v>54</v>
      </c>
      <c r="CJ120" s="9">
        <v>53</v>
      </c>
      <c r="CK120" s="9">
        <v>45</v>
      </c>
      <c r="CL120" s="9">
        <v>45</v>
      </c>
      <c r="CM120" s="9">
        <v>47</v>
      </c>
      <c r="CN120" s="9">
        <v>35</v>
      </c>
      <c r="CO120" s="9">
        <v>34</v>
      </c>
      <c r="CP120" s="9">
        <v>31</v>
      </c>
      <c r="CQ120" s="9">
        <v>31</v>
      </c>
      <c r="CR120" s="9">
        <v>30</v>
      </c>
      <c r="CS120" s="9">
        <v>29</v>
      </c>
      <c r="CT120" s="9">
        <v>27</v>
      </c>
      <c r="CU120" s="9">
        <v>25</v>
      </c>
      <c r="CV120" s="9">
        <v>27</v>
      </c>
      <c r="CW120" s="9">
        <v>28</v>
      </c>
      <c r="CX120" s="9">
        <v>26</v>
      </c>
      <c r="CY120" s="9">
        <v>25</v>
      </c>
      <c r="CZ120" s="9">
        <v>26</v>
      </c>
      <c r="DA120" s="9">
        <v>28</v>
      </c>
      <c r="DB120" s="9">
        <v>27</v>
      </c>
      <c r="DC120" s="9">
        <v>25</v>
      </c>
      <c r="DD120" s="9">
        <v>24</v>
      </c>
      <c r="DE120" s="9">
        <v>23</v>
      </c>
      <c r="DF120" s="9">
        <v>21</v>
      </c>
      <c r="DG120" s="9">
        <v>20</v>
      </c>
      <c r="DH120" s="9">
        <v>21</v>
      </c>
      <c r="DI120" s="9">
        <v>21</v>
      </c>
      <c r="DJ120" s="9">
        <v>20</v>
      </c>
      <c r="DK120" s="9">
        <v>16</v>
      </c>
      <c r="DL120" s="9">
        <v>11</v>
      </c>
      <c r="DM120" s="9">
        <v>12</v>
      </c>
      <c r="DN120" s="9">
        <v>10</v>
      </c>
      <c r="DO120" s="9">
        <v>8</v>
      </c>
      <c r="DP120" s="9">
        <v>8</v>
      </c>
      <c r="DQ120" s="9">
        <v>8</v>
      </c>
      <c r="DR120" s="9">
        <v>8</v>
      </c>
      <c r="DS120" s="9">
        <v>7</v>
      </c>
      <c r="DT120" s="9">
        <v>7</v>
      </c>
      <c r="DU120" s="9">
        <v>8</v>
      </c>
      <c r="DV120" s="9">
        <v>8</v>
      </c>
      <c r="DW120" s="9">
        <v>8</v>
      </c>
      <c r="DX120" s="9">
        <v>9</v>
      </c>
      <c r="DY120" s="9">
        <v>8</v>
      </c>
      <c r="DZ120" s="9">
        <v>5</v>
      </c>
      <c r="EA120" s="9">
        <v>2</v>
      </c>
      <c r="EB120" s="9">
        <v>2</v>
      </c>
      <c r="EC120" s="9">
        <v>3</v>
      </c>
      <c r="ED120" s="9">
        <v>3</v>
      </c>
      <c r="EE120" s="9">
        <v>3</v>
      </c>
      <c r="EF120" s="9">
        <v>3</v>
      </c>
      <c r="EG120" s="9">
        <v>3</v>
      </c>
      <c r="EH120" s="9">
        <v>3</v>
      </c>
      <c r="EI120" s="9">
        <v>5</v>
      </c>
      <c r="EJ120" s="9">
        <v>6</v>
      </c>
      <c r="EK120" s="9">
        <v>4</v>
      </c>
      <c r="EL120" s="9">
        <v>2</v>
      </c>
      <c r="EM120" s="9">
        <v>2</v>
      </c>
      <c r="EN120" s="9">
        <v>1</v>
      </c>
      <c r="EO120" s="9">
        <v>1</v>
      </c>
      <c r="EP120" s="9">
        <v>1</v>
      </c>
      <c r="EQ120" s="9">
        <v>2</v>
      </c>
      <c r="ER120" s="9">
        <v>2</v>
      </c>
      <c r="ES120" s="9">
        <v>2</v>
      </c>
      <c r="ET120" s="9">
        <v>2</v>
      </c>
      <c r="EU120" s="9">
        <v>2</v>
      </c>
      <c r="EV120" s="9">
        <v>2</v>
      </c>
      <c r="EW120" s="9">
        <v>2</v>
      </c>
      <c r="EX120" s="9">
        <v>3</v>
      </c>
      <c r="EY120" s="9">
        <v>1</v>
      </c>
      <c r="EZ120" s="9">
        <v>2</v>
      </c>
      <c r="FA120" s="9">
        <v>2</v>
      </c>
      <c r="FB120" s="9">
        <v>1</v>
      </c>
      <c r="FC120" s="9">
        <v>2</v>
      </c>
      <c r="FD120" s="9">
        <v>3</v>
      </c>
      <c r="FE120" s="9">
        <v>3</v>
      </c>
      <c r="FF120" s="9">
        <v>4</v>
      </c>
      <c r="FG120" s="9">
        <v>4</v>
      </c>
      <c r="FH120" s="9">
        <v>5</v>
      </c>
      <c r="FI120" s="9">
        <v>5</v>
      </c>
      <c r="FJ120" s="9">
        <v>4</v>
      </c>
      <c r="FK120" s="9">
        <v>4</v>
      </c>
      <c r="FL120" s="9">
        <v>3</v>
      </c>
      <c r="FM120" s="10">
        <v>3</v>
      </c>
    </row>
    <row r="121" spans="1:169" x14ac:dyDescent="0.35">
      <c r="A121" s="8" t="s">
        <v>174</v>
      </c>
      <c r="B121" s="9" t="s">
        <v>207</v>
      </c>
      <c r="C121" s="10" t="s">
        <v>208</v>
      </c>
      <c r="D121" s="62">
        <f t="shared" si="98"/>
        <v>50</v>
      </c>
      <c r="E121" s="9">
        <v>2</v>
      </c>
      <c r="F121" s="9">
        <v>5</v>
      </c>
      <c r="G121" s="9">
        <v>7</v>
      </c>
      <c r="H121" s="9">
        <v>10</v>
      </c>
      <c r="I121" s="9">
        <v>13</v>
      </c>
      <c r="J121" s="9">
        <v>12</v>
      </c>
      <c r="K121" s="9">
        <v>13</v>
      </c>
      <c r="L121" s="9">
        <v>12</v>
      </c>
      <c r="M121" s="9">
        <v>12</v>
      </c>
      <c r="N121" s="9">
        <v>16</v>
      </c>
      <c r="O121" s="9">
        <v>19</v>
      </c>
      <c r="P121" s="9">
        <v>24</v>
      </c>
      <c r="Q121" s="9">
        <v>24</v>
      </c>
      <c r="R121" s="9">
        <v>25</v>
      </c>
      <c r="S121" s="9">
        <v>23</v>
      </c>
      <c r="T121" s="9">
        <v>22</v>
      </c>
      <c r="U121" s="9">
        <v>50</v>
      </c>
      <c r="V121" s="9">
        <v>30</v>
      </c>
      <c r="W121" s="9">
        <v>33</v>
      </c>
      <c r="X121" s="9">
        <v>32</v>
      </c>
      <c r="Y121" s="9">
        <v>35</v>
      </c>
      <c r="Z121" s="9">
        <v>34</v>
      </c>
      <c r="AA121" s="9">
        <v>33</v>
      </c>
      <c r="AB121" s="9">
        <v>31</v>
      </c>
      <c r="AC121" s="9">
        <v>33</v>
      </c>
      <c r="AD121" s="9">
        <v>30</v>
      </c>
      <c r="AE121" s="9">
        <v>27</v>
      </c>
      <c r="AF121" s="9">
        <v>31</v>
      </c>
      <c r="AG121" s="9">
        <v>27</v>
      </c>
      <c r="AH121" s="9">
        <v>26</v>
      </c>
      <c r="AI121" s="9">
        <v>29</v>
      </c>
      <c r="AJ121" s="9">
        <v>30</v>
      </c>
      <c r="AK121" s="9">
        <v>29</v>
      </c>
      <c r="AL121" s="9">
        <v>27</v>
      </c>
      <c r="AM121" s="9">
        <v>29</v>
      </c>
      <c r="AN121" s="9">
        <v>31</v>
      </c>
      <c r="AO121" s="9">
        <v>30</v>
      </c>
      <c r="AP121" s="9">
        <v>32</v>
      </c>
      <c r="AQ121" s="9">
        <v>27</v>
      </c>
      <c r="AR121" s="9">
        <v>29</v>
      </c>
      <c r="AS121" s="9">
        <v>29</v>
      </c>
      <c r="AT121" s="9">
        <v>31</v>
      </c>
      <c r="AU121" s="9">
        <v>30</v>
      </c>
      <c r="AV121" s="9">
        <v>31</v>
      </c>
      <c r="AW121" s="9">
        <v>30</v>
      </c>
      <c r="AX121" s="9">
        <v>36</v>
      </c>
      <c r="AY121" s="9">
        <v>35</v>
      </c>
      <c r="AZ121" s="9">
        <v>34</v>
      </c>
      <c r="BA121" s="9">
        <v>31</v>
      </c>
      <c r="BB121" s="9">
        <v>31</v>
      </c>
      <c r="BC121" s="9">
        <v>29</v>
      </c>
      <c r="BD121" s="9">
        <v>28</v>
      </c>
      <c r="BE121" s="9">
        <v>31</v>
      </c>
      <c r="BF121" s="9">
        <v>31</v>
      </c>
      <c r="BG121" s="9">
        <v>23</v>
      </c>
      <c r="BH121" s="9">
        <v>25</v>
      </c>
      <c r="BI121" s="9">
        <v>27</v>
      </c>
      <c r="BJ121" s="9">
        <v>30</v>
      </c>
      <c r="BK121" s="9">
        <v>27</v>
      </c>
      <c r="BL121" s="9">
        <v>29</v>
      </c>
      <c r="BM121" s="9">
        <v>29</v>
      </c>
      <c r="BN121" s="9">
        <v>28</v>
      </c>
      <c r="BO121" s="9">
        <v>29</v>
      </c>
      <c r="BP121" s="9">
        <v>28</v>
      </c>
      <c r="BQ121" s="9">
        <v>28</v>
      </c>
      <c r="BR121" s="9">
        <v>26</v>
      </c>
      <c r="BS121" s="9">
        <v>26</v>
      </c>
      <c r="BT121" s="9">
        <v>26</v>
      </c>
      <c r="BU121" s="9">
        <v>26</v>
      </c>
      <c r="BV121" s="9">
        <v>23</v>
      </c>
      <c r="BW121" s="9">
        <v>21</v>
      </c>
      <c r="BX121" s="9">
        <v>21</v>
      </c>
      <c r="BY121" s="9">
        <v>24</v>
      </c>
      <c r="BZ121" s="9">
        <v>23</v>
      </c>
      <c r="CA121" s="9">
        <v>23</v>
      </c>
      <c r="CB121" s="9">
        <v>20</v>
      </c>
      <c r="CC121" s="9">
        <v>23</v>
      </c>
      <c r="CD121" s="9">
        <v>21</v>
      </c>
      <c r="CE121" s="9">
        <v>19</v>
      </c>
      <c r="CF121" s="9">
        <v>18</v>
      </c>
      <c r="CG121" s="9">
        <v>20</v>
      </c>
      <c r="CH121" s="9">
        <v>21</v>
      </c>
      <c r="CI121" s="9">
        <v>17</v>
      </c>
      <c r="CJ121" s="9">
        <v>17</v>
      </c>
      <c r="CK121" s="9">
        <v>16</v>
      </c>
      <c r="CL121" s="9">
        <v>13</v>
      </c>
      <c r="CM121" s="9">
        <v>15</v>
      </c>
      <c r="CN121" s="9">
        <v>15</v>
      </c>
      <c r="CO121" s="9">
        <v>15</v>
      </c>
      <c r="CP121" s="9">
        <v>16</v>
      </c>
      <c r="CQ121" s="9">
        <v>14</v>
      </c>
      <c r="CR121" s="9">
        <v>11</v>
      </c>
      <c r="CS121" s="9">
        <v>10</v>
      </c>
      <c r="CT121" s="9">
        <v>10</v>
      </c>
      <c r="CU121" s="9">
        <v>8</v>
      </c>
      <c r="CV121" s="9">
        <v>8</v>
      </c>
      <c r="CW121" s="9">
        <v>8</v>
      </c>
      <c r="CX121" s="9">
        <v>6</v>
      </c>
      <c r="CY121" s="9">
        <v>7</v>
      </c>
      <c r="CZ121" s="9">
        <v>5</v>
      </c>
      <c r="DA121" s="9">
        <v>5</v>
      </c>
      <c r="DB121" s="9">
        <v>5</v>
      </c>
      <c r="DC121" s="9">
        <v>5</v>
      </c>
      <c r="DD121" s="9">
        <v>5</v>
      </c>
      <c r="DE121" s="9">
        <v>6</v>
      </c>
      <c r="DF121" s="9">
        <v>6</v>
      </c>
      <c r="DG121" s="9">
        <v>4</v>
      </c>
      <c r="DH121" s="9">
        <v>4</v>
      </c>
      <c r="DI121" s="9">
        <v>3</v>
      </c>
      <c r="DJ121" s="9">
        <v>4</v>
      </c>
      <c r="DK121" s="9">
        <v>2</v>
      </c>
      <c r="DL121" s="9">
        <v>2</v>
      </c>
      <c r="DM121" s="9">
        <v>2</v>
      </c>
      <c r="DN121" s="9">
        <v>1</v>
      </c>
      <c r="DO121" s="9">
        <v>2</v>
      </c>
      <c r="DP121" s="9">
        <v>1</v>
      </c>
      <c r="DQ121" s="9">
        <v>1</v>
      </c>
      <c r="DR121" s="9">
        <v>1</v>
      </c>
      <c r="DS121" s="9">
        <v>0</v>
      </c>
      <c r="DT121" s="9">
        <v>0</v>
      </c>
      <c r="DU121" s="9">
        <v>0</v>
      </c>
      <c r="DV121" s="9">
        <v>0</v>
      </c>
      <c r="DW121" s="9">
        <v>0</v>
      </c>
      <c r="DX121" s="9">
        <v>0</v>
      </c>
      <c r="DY121" s="9">
        <v>1</v>
      </c>
      <c r="DZ121" s="9">
        <v>1</v>
      </c>
      <c r="EA121" s="9">
        <v>1</v>
      </c>
      <c r="EB121" s="9">
        <v>2</v>
      </c>
      <c r="EC121" s="9">
        <v>1</v>
      </c>
      <c r="ED121" s="9">
        <v>1</v>
      </c>
      <c r="EE121" s="9">
        <v>1</v>
      </c>
      <c r="EF121" s="9">
        <v>0</v>
      </c>
      <c r="EG121" s="9">
        <v>0</v>
      </c>
      <c r="EH121" s="9">
        <v>0</v>
      </c>
      <c r="EI121" s="9">
        <v>0</v>
      </c>
      <c r="EJ121" s="9">
        <v>0</v>
      </c>
      <c r="EK121" s="9">
        <v>0</v>
      </c>
      <c r="EL121" s="9">
        <v>2</v>
      </c>
      <c r="EM121" s="9">
        <v>2</v>
      </c>
      <c r="EN121" s="9">
        <v>2</v>
      </c>
      <c r="EO121" s="9">
        <v>2</v>
      </c>
      <c r="EP121" s="9">
        <v>2</v>
      </c>
      <c r="EQ121" s="9">
        <v>2</v>
      </c>
      <c r="ER121" s="9">
        <v>2</v>
      </c>
      <c r="ES121" s="9">
        <v>2</v>
      </c>
      <c r="ET121" s="9">
        <v>2</v>
      </c>
      <c r="EU121" s="9">
        <v>2</v>
      </c>
      <c r="EV121" s="9">
        <v>0</v>
      </c>
      <c r="EW121" s="9">
        <v>0</v>
      </c>
      <c r="EX121" s="9">
        <v>0</v>
      </c>
      <c r="EY121" s="9">
        <v>0</v>
      </c>
      <c r="EZ121" s="9">
        <v>0</v>
      </c>
      <c r="FA121" s="9">
        <v>0</v>
      </c>
      <c r="FB121" s="9">
        <v>1</v>
      </c>
      <c r="FC121" s="9">
        <v>1</v>
      </c>
      <c r="FD121" s="9">
        <v>0</v>
      </c>
      <c r="FE121" s="9">
        <v>0</v>
      </c>
      <c r="FF121" s="9">
        <v>0</v>
      </c>
      <c r="FG121" s="9">
        <v>0</v>
      </c>
      <c r="FH121" s="9">
        <v>0</v>
      </c>
      <c r="FI121" s="9">
        <v>0</v>
      </c>
      <c r="FJ121" s="9">
        <v>0</v>
      </c>
      <c r="FK121" s="9">
        <v>0</v>
      </c>
      <c r="FL121" s="9">
        <v>0</v>
      </c>
      <c r="FM121" s="10">
        <v>1</v>
      </c>
    </row>
    <row r="122" spans="1:169" x14ac:dyDescent="0.35">
      <c r="A122" s="8" t="s">
        <v>174</v>
      </c>
      <c r="B122" s="9" t="s">
        <v>209</v>
      </c>
      <c r="C122" s="10" t="s">
        <v>210</v>
      </c>
      <c r="D122" s="62">
        <f t="shared" si="98"/>
        <v>71</v>
      </c>
      <c r="E122" s="9">
        <v>1</v>
      </c>
      <c r="F122" s="9">
        <v>1</v>
      </c>
      <c r="G122" s="9">
        <v>5</v>
      </c>
      <c r="H122" s="9">
        <v>10</v>
      </c>
      <c r="I122" s="9">
        <v>9</v>
      </c>
      <c r="J122" s="9">
        <v>12</v>
      </c>
      <c r="K122" s="9">
        <v>17</v>
      </c>
      <c r="L122" s="9">
        <v>22</v>
      </c>
      <c r="M122" s="9">
        <v>29</v>
      </c>
      <c r="N122" s="9">
        <v>33</v>
      </c>
      <c r="O122" s="9">
        <v>31</v>
      </c>
      <c r="P122" s="9">
        <v>35</v>
      </c>
      <c r="Q122" s="9">
        <v>49</v>
      </c>
      <c r="R122" s="9">
        <v>51</v>
      </c>
      <c r="S122" s="9">
        <v>53</v>
      </c>
      <c r="T122" s="9">
        <v>58</v>
      </c>
      <c r="U122" s="9">
        <v>59</v>
      </c>
      <c r="V122" s="9">
        <v>57</v>
      </c>
      <c r="W122" s="9">
        <v>60</v>
      </c>
      <c r="X122" s="9">
        <v>65</v>
      </c>
      <c r="Y122" s="9">
        <v>0</v>
      </c>
      <c r="Z122" s="9">
        <v>71</v>
      </c>
      <c r="AA122" s="9">
        <v>67</v>
      </c>
      <c r="AB122" s="9">
        <v>69</v>
      </c>
      <c r="AC122" s="9">
        <v>71</v>
      </c>
      <c r="AD122" s="9">
        <v>63</v>
      </c>
      <c r="AE122" s="9">
        <v>59</v>
      </c>
      <c r="AF122" s="9">
        <v>57</v>
      </c>
      <c r="AG122" s="9">
        <v>55</v>
      </c>
      <c r="AH122" s="9">
        <v>53</v>
      </c>
      <c r="AI122" s="9">
        <v>56</v>
      </c>
      <c r="AJ122" s="9">
        <v>56</v>
      </c>
      <c r="AK122" s="9">
        <v>62</v>
      </c>
      <c r="AL122" s="9">
        <v>59</v>
      </c>
      <c r="AM122" s="9">
        <v>55</v>
      </c>
      <c r="AN122" s="9">
        <v>45</v>
      </c>
      <c r="AO122" s="9">
        <v>54</v>
      </c>
      <c r="AP122" s="9">
        <v>56</v>
      </c>
      <c r="AQ122" s="9">
        <v>55</v>
      </c>
      <c r="AR122" s="9">
        <v>58</v>
      </c>
      <c r="AS122" s="9">
        <v>54</v>
      </c>
      <c r="AT122" s="9">
        <v>47</v>
      </c>
      <c r="AU122" s="9">
        <v>40</v>
      </c>
      <c r="AV122" s="9">
        <v>39</v>
      </c>
      <c r="AW122" s="9">
        <v>36</v>
      </c>
      <c r="AX122" s="9">
        <v>40</v>
      </c>
      <c r="AY122" s="9">
        <v>42</v>
      </c>
      <c r="AZ122" s="9">
        <v>41</v>
      </c>
      <c r="BA122" s="9">
        <v>43</v>
      </c>
      <c r="BB122" s="9">
        <v>43</v>
      </c>
      <c r="BC122" s="9">
        <v>43</v>
      </c>
      <c r="BD122" s="9">
        <v>45</v>
      </c>
      <c r="BE122" s="9">
        <v>41</v>
      </c>
      <c r="BF122" s="9">
        <v>35</v>
      </c>
      <c r="BG122" s="9">
        <v>59</v>
      </c>
      <c r="BH122" s="9">
        <v>32</v>
      </c>
      <c r="BI122" s="9">
        <v>33</v>
      </c>
      <c r="BJ122" s="9">
        <v>26</v>
      </c>
      <c r="BK122" s="9">
        <v>26</v>
      </c>
      <c r="BL122" s="9">
        <v>28</v>
      </c>
      <c r="BM122" s="9">
        <v>30</v>
      </c>
      <c r="BN122" s="9">
        <v>34</v>
      </c>
      <c r="BO122" s="9">
        <v>29</v>
      </c>
      <c r="BP122" s="9">
        <v>26</v>
      </c>
      <c r="BQ122" s="9">
        <v>36</v>
      </c>
      <c r="BR122" s="9">
        <v>34</v>
      </c>
      <c r="BS122" s="9">
        <v>30</v>
      </c>
      <c r="BT122" s="9">
        <v>31</v>
      </c>
      <c r="BU122" s="9">
        <v>30</v>
      </c>
      <c r="BV122" s="9">
        <v>31</v>
      </c>
      <c r="BW122" s="9">
        <v>35</v>
      </c>
      <c r="BX122" s="9">
        <v>33</v>
      </c>
      <c r="BY122" s="9">
        <v>33</v>
      </c>
      <c r="BZ122" s="9">
        <v>32</v>
      </c>
      <c r="CA122" s="9">
        <v>36</v>
      </c>
      <c r="CB122" s="9">
        <v>37</v>
      </c>
      <c r="CC122" s="9">
        <v>42</v>
      </c>
      <c r="CD122" s="9">
        <v>44</v>
      </c>
      <c r="CE122" s="9">
        <v>42</v>
      </c>
      <c r="CF122" s="9">
        <v>41</v>
      </c>
      <c r="CG122" s="9">
        <v>45</v>
      </c>
      <c r="CH122" s="9">
        <v>51</v>
      </c>
      <c r="CI122" s="9">
        <v>45</v>
      </c>
      <c r="CJ122" s="9">
        <v>40</v>
      </c>
      <c r="CK122" s="9">
        <v>45</v>
      </c>
      <c r="CL122" s="9">
        <v>45</v>
      </c>
      <c r="CM122" s="9">
        <v>50</v>
      </c>
      <c r="CN122" s="9">
        <v>51</v>
      </c>
      <c r="CO122" s="9">
        <v>54</v>
      </c>
      <c r="CP122" s="9">
        <v>55</v>
      </c>
      <c r="CQ122" s="9">
        <v>58</v>
      </c>
      <c r="CR122" s="9">
        <v>51</v>
      </c>
      <c r="CS122" s="9">
        <v>57</v>
      </c>
      <c r="CT122" s="9">
        <v>55</v>
      </c>
      <c r="CU122" s="9">
        <v>54</v>
      </c>
      <c r="CV122" s="9">
        <v>44</v>
      </c>
      <c r="CW122" s="9">
        <v>40</v>
      </c>
      <c r="CX122" s="9">
        <v>29</v>
      </c>
      <c r="CY122" s="9">
        <v>25</v>
      </c>
      <c r="CZ122" s="9">
        <v>19</v>
      </c>
      <c r="DA122" s="9">
        <v>22</v>
      </c>
      <c r="DB122" s="9">
        <v>9</v>
      </c>
      <c r="DC122" s="9">
        <v>25</v>
      </c>
      <c r="DD122" s="9">
        <v>25</v>
      </c>
      <c r="DE122" s="9">
        <v>21</v>
      </c>
      <c r="DF122" s="9">
        <v>0</v>
      </c>
      <c r="DG122" s="9">
        <v>19</v>
      </c>
      <c r="DH122" s="9">
        <v>18</v>
      </c>
      <c r="DI122" s="9">
        <v>15</v>
      </c>
      <c r="DJ122" s="9">
        <v>13</v>
      </c>
      <c r="DK122" s="9">
        <v>6</v>
      </c>
      <c r="DL122" s="9">
        <v>7</v>
      </c>
      <c r="DM122" s="9">
        <v>7</v>
      </c>
      <c r="DN122" s="9">
        <v>7</v>
      </c>
      <c r="DO122" s="9">
        <v>6</v>
      </c>
      <c r="DP122" s="9">
        <v>7</v>
      </c>
      <c r="DQ122" s="9">
        <v>7</v>
      </c>
      <c r="DR122" s="9">
        <v>7</v>
      </c>
      <c r="DS122" s="9">
        <v>9</v>
      </c>
      <c r="DT122" s="9">
        <v>9</v>
      </c>
      <c r="DU122" s="9">
        <v>9</v>
      </c>
      <c r="DV122" s="9">
        <v>9</v>
      </c>
      <c r="DW122" s="9">
        <v>8</v>
      </c>
      <c r="DX122" s="9">
        <v>7</v>
      </c>
      <c r="DY122" s="9">
        <v>7</v>
      </c>
      <c r="DZ122" s="9">
        <v>3</v>
      </c>
      <c r="EA122" s="9">
        <v>2</v>
      </c>
      <c r="EB122" s="9">
        <v>1</v>
      </c>
      <c r="EC122" s="9">
        <v>1</v>
      </c>
      <c r="ED122" s="9">
        <v>1</v>
      </c>
      <c r="EE122" s="9">
        <v>2</v>
      </c>
      <c r="EF122" s="9">
        <v>1</v>
      </c>
      <c r="EG122" s="9">
        <v>1</v>
      </c>
      <c r="EH122" s="9">
        <v>0</v>
      </c>
      <c r="EI122" s="9">
        <v>0</v>
      </c>
      <c r="EJ122" s="9">
        <v>0</v>
      </c>
      <c r="EK122" s="9">
        <v>0</v>
      </c>
      <c r="EL122" s="9">
        <v>1</v>
      </c>
      <c r="EM122" s="9">
        <v>0</v>
      </c>
      <c r="EN122" s="9">
        <v>0</v>
      </c>
      <c r="EO122" s="9">
        <v>0</v>
      </c>
      <c r="EP122" s="9">
        <v>0</v>
      </c>
      <c r="EQ122" s="9">
        <v>0</v>
      </c>
      <c r="ER122" s="9">
        <v>0</v>
      </c>
      <c r="ES122" s="9">
        <v>0</v>
      </c>
      <c r="ET122" s="9">
        <v>0</v>
      </c>
      <c r="EU122" s="9">
        <v>0</v>
      </c>
      <c r="EV122" s="9">
        <v>0</v>
      </c>
      <c r="EW122" s="9">
        <v>1</v>
      </c>
      <c r="EX122" s="9">
        <v>1</v>
      </c>
      <c r="EY122" s="9">
        <v>1</v>
      </c>
      <c r="EZ122" s="9">
        <v>1</v>
      </c>
      <c r="FA122" s="9">
        <v>2</v>
      </c>
      <c r="FB122" s="9">
        <v>2</v>
      </c>
      <c r="FC122" s="9">
        <v>0</v>
      </c>
      <c r="FD122" s="9">
        <v>1</v>
      </c>
      <c r="FE122" s="9">
        <v>1</v>
      </c>
      <c r="FF122" s="9">
        <v>0</v>
      </c>
      <c r="FG122" s="9">
        <v>0</v>
      </c>
      <c r="FH122" s="9">
        <v>0</v>
      </c>
      <c r="FI122" s="9">
        <v>0</v>
      </c>
      <c r="FJ122" s="9">
        <v>0</v>
      </c>
      <c r="FK122" s="9">
        <v>1</v>
      </c>
      <c r="FL122" s="9">
        <v>1</v>
      </c>
      <c r="FM122" s="10">
        <v>1</v>
      </c>
    </row>
    <row r="123" spans="1:169" x14ac:dyDescent="0.35">
      <c r="A123" s="8" t="s">
        <v>174</v>
      </c>
      <c r="B123" s="9" t="s">
        <v>211</v>
      </c>
      <c r="C123" s="10" t="s">
        <v>212</v>
      </c>
      <c r="D123" s="62">
        <f t="shared" si="98"/>
        <v>12</v>
      </c>
      <c r="E123" s="9">
        <v>0</v>
      </c>
      <c r="F123" s="9">
        <v>0</v>
      </c>
      <c r="G123" s="9">
        <v>0</v>
      </c>
      <c r="H123" s="9">
        <v>0</v>
      </c>
      <c r="I123" s="9">
        <v>0</v>
      </c>
      <c r="J123" s="9">
        <v>0</v>
      </c>
      <c r="K123" s="9">
        <v>0</v>
      </c>
      <c r="L123" s="9">
        <v>2</v>
      </c>
      <c r="M123" s="9">
        <v>3</v>
      </c>
      <c r="N123" s="9">
        <v>0</v>
      </c>
      <c r="O123" s="9">
        <v>6</v>
      </c>
      <c r="P123" s="9">
        <v>0</v>
      </c>
      <c r="Q123" s="9">
        <v>9</v>
      </c>
      <c r="R123" s="9">
        <v>10</v>
      </c>
      <c r="S123" s="9">
        <v>10</v>
      </c>
      <c r="T123" s="9">
        <v>9</v>
      </c>
      <c r="U123" s="9">
        <v>9</v>
      </c>
      <c r="V123" s="9">
        <v>9</v>
      </c>
      <c r="W123" s="9">
        <v>9</v>
      </c>
      <c r="X123" s="9">
        <v>9</v>
      </c>
      <c r="Y123" s="9">
        <v>10</v>
      </c>
      <c r="Z123" s="9">
        <v>11</v>
      </c>
      <c r="AA123" s="9">
        <v>11</v>
      </c>
      <c r="AB123" s="9">
        <v>11</v>
      </c>
      <c r="AC123" s="9">
        <v>10</v>
      </c>
      <c r="AD123" s="9">
        <v>11</v>
      </c>
      <c r="AE123" s="9">
        <v>12</v>
      </c>
      <c r="AF123" s="9">
        <v>12</v>
      </c>
      <c r="AG123" s="9">
        <v>12</v>
      </c>
      <c r="AH123" s="9">
        <v>2</v>
      </c>
      <c r="AI123" s="9">
        <v>3</v>
      </c>
      <c r="AJ123" s="9">
        <v>4</v>
      </c>
      <c r="AK123" s="9">
        <v>4</v>
      </c>
      <c r="AL123" s="9">
        <v>2</v>
      </c>
      <c r="AM123" s="9">
        <v>3</v>
      </c>
      <c r="AN123" s="9">
        <v>3</v>
      </c>
      <c r="AO123" s="9">
        <v>3</v>
      </c>
      <c r="AP123" s="9">
        <v>7</v>
      </c>
      <c r="AQ123" s="9">
        <v>5</v>
      </c>
      <c r="AR123" s="9">
        <v>5</v>
      </c>
      <c r="AS123" s="9">
        <v>5</v>
      </c>
      <c r="AT123" s="9">
        <v>5</v>
      </c>
      <c r="AU123" s="9">
        <v>0</v>
      </c>
      <c r="AV123" s="9">
        <v>0</v>
      </c>
      <c r="AW123" s="9">
        <v>1</v>
      </c>
      <c r="AX123" s="9">
        <v>1</v>
      </c>
      <c r="AY123" s="9">
        <v>6</v>
      </c>
      <c r="AZ123" s="9">
        <v>6</v>
      </c>
      <c r="BA123" s="9">
        <v>8</v>
      </c>
      <c r="BB123" s="9">
        <v>7</v>
      </c>
      <c r="BC123" s="9">
        <v>8</v>
      </c>
      <c r="BD123" s="9">
        <v>7</v>
      </c>
      <c r="BE123" s="9">
        <v>7</v>
      </c>
      <c r="BF123" s="9">
        <v>7</v>
      </c>
      <c r="BG123" s="9">
        <v>7</v>
      </c>
      <c r="BH123" s="9">
        <v>7</v>
      </c>
      <c r="BI123" s="9">
        <v>0</v>
      </c>
      <c r="BJ123" s="9">
        <v>0</v>
      </c>
      <c r="BK123" s="9">
        <v>0</v>
      </c>
      <c r="BL123" s="9">
        <v>0</v>
      </c>
      <c r="BM123" s="9">
        <v>2</v>
      </c>
      <c r="BN123" s="9">
        <v>2</v>
      </c>
      <c r="BO123" s="9">
        <v>2</v>
      </c>
      <c r="BP123" s="9">
        <v>2</v>
      </c>
      <c r="BQ123" s="9">
        <v>2</v>
      </c>
      <c r="BR123" s="9">
        <v>1</v>
      </c>
      <c r="BS123" s="9">
        <v>1</v>
      </c>
      <c r="BT123" s="9">
        <v>0</v>
      </c>
      <c r="BU123" s="9">
        <v>0</v>
      </c>
      <c r="BV123" s="9">
        <v>0</v>
      </c>
      <c r="BW123" s="9">
        <v>0</v>
      </c>
      <c r="BX123" s="9">
        <v>0</v>
      </c>
      <c r="BY123" s="9">
        <v>0</v>
      </c>
      <c r="BZ123" s="9">
        <v>2</v>
      </c>
      <c r="CA123" s="9">
        <v>2</v>
      </c>
      <c r="CB123" s="9">
        <v>1</v>
      </c>
      <c r="CC123" s="9">
        <v>1</v>
      </c>
      <c r="CD123" s="9">
        <v>3</v>
      </c>
      <c r="CE123" s="9">
        <v>4</v>
      </c>
      <c r="CF123" s="9">
        <v>4</v>
      </c>
      <c r="CG123" s="9">
        <v>4</v>
      </c>
      <c r="CH123" s="9">
        <v>4</v>
      </c>
      <c r="CI123" s="9">
        <v>5</v>
      </c>
      <c r="CJ123" s="9">
        <v>5</v>
      </c>
      <c r="CK123" s="9">
        <v>4</v>
      </c>
      <c r="CL123" s="9">
        <v>4</v>
      </c>
      <c r="CM123" s="9">
        <v>4</v>
      </c>
      <c r="CN123" s="9">
        <v>4</v>
      </c>
      <c r="CO123" s="9">
        <v>5</v>
      </c>
      <c r="CP123" s="9">
        <v>5</v>
      </c>
      <c r="CQ123" s="9">
        <v>5</v>
      </c>
      <c r="CR123" s="9">
        <v>3</v>
      </c>
      <c r="CS123" s="9">
        <v>3</v>
      </c>
      <c r="CT123" s="9">
        <v>3</v>
      </c>
      <c r="CU123" s="9">
        <v>2</v>
      </c>
      <c r="CV123" s="9">
        <v>2</v>
      </c>
      <c r="CW123" s="9">
        <v>1</v>
      </c>
      <c r="CX123" s="9">
        <v>1</v>
      </c>
      <c r="CY123" s="9">
        <v>1</v>
      </c>
      <c r="CZ123" s="9">
        <v>0</v>
      </c>
      <c r="DA123" s="9">
        <v>1</v>
      </c>
      <c r="DB123" s="9">
        <v>1</v>
      </c>
      <c r="DC123" s="9">
        <v>0</v>
      </c>
      <c r="DD123" s="9">
        <v>0</v>
      </c>
      <c r="DE123" s="9">
        <v>0</v>
      </c>
      <c r="DF123" s="9">
        <v>0</v>
      </c>
      <c r="DG123" s="9">
        <v>0</v>
      </c>
      <c r="DH123" s="9">
        <v>0</v>
      </c>
      <c r="DI123" s="9">
        <v>0</v>
      </c>
      <c r="DJ123" s="9">
        <v>0</v>
      </c>
      <c r="DK123" s="9">
        <v>0</v>
      </c>
      <c r="DL123" s="9">
        <v>0</v>
      </c>
      <c r="DM123" s="9">
        <v>0</v>
      </c>
      <c r="DN123" s="9">
        <v>0</v>
      </c>
      <c r="DO123" s="9">
        <v>0</v>
      </c>
      <c r="DP123" s="9">
        <v>0</v>
      </c>
      <c r="DQ123" s="9">
        <v>0</v>
      </c>
      <c r="DR123" s="9">
        <v>0</v>
      </c>
      <c r="DS123" s="9">
        <v>0</v>
      </c>
      <c r="DT123" s="9">
        <v>0</v>
      </c>
      <c r="DU123" s="9">
        <v>0</v>
      </c>
      <c r="DV123" s="9">
        <v>0</v>
      </c>
      <c r="DW123" s="9">
        <v>1</v>
      </c>
      <c r="DX123" s="9">
        <v>1</v>
      </c>
      <c r="DY123" s="9">
        <v>1</v>
      </c>
      <c r="DZ123" s="9">
        <v>1</v>
      </c>
      <c r="EA123" s="9">
        <v>1</v>
      </c>
      <c r="EB123" s="9">
        <v>0</v>
      </c>
      <c r="EC123" s="9">
        <v>0</v>
      </c>
      <c r="ED123" s="9">
        <v>0</v>
      </c>
      <c r="EE123" s="9">
        <v>0</v>
      </c>
      <c r="EF123" s="9">
        <v>0</v>
      </c>
      <c r="EG123" s="9">
        <v>0</v>
      </c>
      <c r="EH123" s="9">
        <v>0</v>
      </c>
      <c r="EI123" s="9">
        <v>0</v>
      </c>
      <c r="EJ123" s="9">
        <v>0</v>
      </c>
      <c r="EK123" s="9">
        <v>0</v>
      </c>
      <c r="EL123" s="9">
        <v>0</v>
      </c>
      <c r="EM123" s="9">
        <v>0</v>
      </c>
      <c r="EN123" s="9">
        <v>0</v>
      </c>
      <c r="EO123" s="9">
        <v>0</v>
      </c>
      <c r="EP123" s="9">
        <v>0</v>
      </c>
      <c r="EQ123" s="9">
        <v>0</v>
      </c>
      <c r="ER123" s="9">
        <v>0</v>
      </c>
      <c r="ES123" s="9">
        <v>0</v>
      </c>
      <c r="ET123" s="9">
        <v>0</v>
      </c>
      <c r="EU123" s="9">
        <v>0</v>
      </c>
      <c r="EV123" s="9">
        <v>0</v>
      </c>
      <c r="EW123" s="9">
        <v>0</v>
      </c>
      <c r="EX123" s="9">
        <v>0</v>
      </c>
      <c r="EY123" s="9">
        <v>0</v>
      </c>
      <c r="EZ123" s="9">
        <v>0</v>
      </c>
      <c r="FA123" s="9">
        <v>0</v>
      </c>
      <c r="FB123" s="9">
        <v>0</v>
      </c>
      <c r="FC123" s="9">
        <v>0</v>
      </c>
      <c r="FD123" s="9">
        <v>0</v>
      </c>
      <c r="FE123" s="9">
        <v>0</v>
      </c>
      <c r="FF123" s="9">
        <v>0</v>
      </c>
      <c r="FG123" s="9">
        <v>0</v>
      </c>
      <c r="FH123" s="9">
        <v>0</v>
      </c>
      <c r="FI123" s="9">
        <v>0</v>
      </c>
      <c r="FJ123" s="9">
        <v>0</v>
      </c>
      <c r="FK123" s="9">
        <v>0</v>
      </c>
      <c r="FL123" s="9">
        <v>0</v>
      </c>
      <c r="FM123" s="10">
        <v>0</v>
      </c>
    </row>
    <row r="124" spans="1:169" x14ac:dyDescent="0.35">
      <c r="A124" s="8" t="s">
        <v>174</v>
      </c>
      <c r="B124" s="9" t="s">
        <v>213</v>
      </c>
      <c r="C124" s="10" t="s">
        <v>214</v>
      </c>
      <c r="D124" s="62">
        <f t="shared" si="98"/>
        <v>172</v>
      </c>
      <c r="E124" s="9">
        <v>7</v>
      </c>
      <c r="F124" s="9">
        <v>11</v>
      </c>
      <c r="G124" s="9">
        <v>11</v>
      </c>
      <c r="H124" s="9">
        <v>22</v>
      </c>
      <c r="I124" s="9">
        <v>26</v>
      </c>
      <c r="J124" s="9">
        <v>25</v>
      </c>
      <c r="K124" s="9">
        <v>42</v>
      </c>
      <c r="L124" s="9">
        <v>56</v>
      </c>
      <c r="M124" s="9">
        <v>77</v>
      </c>
      <c r="N124" s="9">
        <v>85</v>
      </c>
      <c r="O124" s="9">
        <v>83</v>
      </c>
      <c r="P124" s="9">
        <v>94</v>
      </c>
      <c r="Q124" s="9">
        <v>118</v>
      </c>
      <c r="R124" s="9">
        <v>134</v>
      </c>
      <c r="S124" s="9">
        <v>138</v>
      </c>
      <c r="T124" s="9">
        <v>172</v>
      </c>
      <c r="U124" s="9">
        <v>147</v>
      </c>
      <c r="V124" s="9">
        <v>143</v>
      </c>
      <c r="W124" s="9">
        <v>153</v>
      </c>
      <c r="X124" s="9">
        <v>139</v>
      </c>
      <c r="Y124" s="9">
        <v>132</v>
      </c>
      <c r="Z124" s="9">
        <v>134</v>
      </c>
      <c r="AA124" s="9">
        <v>137</v>
      </c>
      <c r="AB124" s="9">
        <v>122</v>
      </c>
      <c r="AC124" s="9">
        <v>0</v>
      </c>
      <c r="AD124" s="9">
        <v>115</v>
      </c>
      <c r="AE124" s="9">
        <v>110</v>
      </c>
      <c r="AF124" s="9">
        <v>114</v>
      </c>
      <c r="AG124" s="9">
        <v>102</v>
      </c>
      <c r="AH124" s="9">
        <v>97</v>
      </c>
      <c r="AI124" s="9">
        <v>98</v>
      </c>
      <c r="AJ124" s="9">
        <v>97</v>
      </c>
      <c r="AK124" s="9">
        <v>95</v>
      </c>
      <c r="AL124" s="9">
        <v>87</v>
      </c>
      <c r="AM124" s="9">
        <v>77</v>
      </c>
      <c r="AN124" s="9">
        <v>66</v>
      </c>
      <c r="AO124" s="9">
        <v>68</v>
      </c>
      <c r="AP124" s="9">
        <v>68</v>
      </c>
      <c r="AQ124" s="9">
        <v>66</v>
      </c>
      <c r="AR124" s="9">
        <v>61</v>
      </c>
      <c r="AS124" s="9">
        <v>51</v>
      </c>
      <c r="AT124" s="9">
        <v>55</v>
      </c>
      <c r="AU124" s="9">
        <v>55</v>
      </c>
      <c r="AV124" s="9">
        <v>51</v>
      </c>
      <c r="AW124" s="9">
        <v>49</v>
      </c>
      <c r="AX124" s="9">
        <v>50</v>
      </c>
      <c r="AY124" s="9">
        <v>49</v>
      </c>
      <c r="AZ124" s="9">
        <v>52</v>
      </c>
      <c r="BA124" s="9">
        <v>49</v>
      </c>
      <c r="BB124" s="9">
        <v>46</v>
      </c>
      <c r="BC124" s="9">
        <v>41</v>
      </c>
      <c r="BD124" s="9">
        <v>39</v>
      </c>
      <c r="BE124" s="9">
        <v>39</v>
      </c>
      <c r="BF124" s="9">
        <v>40</v>
      </c>
      <c r="BG124" s="9">
        <v>40</v>
      </c>
      <c r="BH124" s="9">
        <v>36</v>
      </c>
      <c r="BI124" s="9">
        <v>37</v>
      </c>
      <c r="BJ124" s="9">
        <v>34</v>
      </c>
      <c r="BK124" s="9">
        <v>33</v>
      </c>
      <c r="BL124" s="9">
        <v>36</v>
      </c>
      <c r="BM124" s="9">
        <v>38</v>
      </c>
      <c r="BN124" s="9">
        <v>38</v>
      </c>
      <c r="BO124" s="9">
        <v>36</v>
      </c>
      <c r="BP124" s="9">
        <v>34</v>
      </c>
      <c r="BQ124" s="9">
        <v>30</v>
      </c>
      <c r="BR124" s="9">
        <v>29</v>
      </c>
      <c r="BS124" s="9">
        <v>31</v>
      </c>
      <c r="BT124" s="9">
        <v>29</v>
      </c>
      <c r="BU124" s="9">
        <v>28</v>
      </c>
      <c r="BV124" s="9">
        <v>27</v>
      </c>
      <c r="BW124" s="9">
        <v>24</v>
      </c>
      <c r="BX124" s="9">
        <v>24</v>
      </c>
      <c r="BY124" s="9">
        <v>23</v>
      </c>
      <c r="BZ124" s="9">
        <v>23</v>
      </c>
      <c r="CA124" s="9">
        <v>27</v>
      </c>
      <c r="CB124" s="9">
        <v>25</v>
      </c>
      <c r="CC124" s="9">
        <v>20</v>
      </c>
      <c r="CD124" s="9">
        <v>24</v>
      </c>
      <c r="CE124" s="9">
        <v>24</v>
      </c>
      <c r="CF124" s="9">
        <v>24</v>
      </c>
      <c r="CG124" s="9">
        <v>21</v>
      </c>
      <c r="CH124" s="9">
        <v>20</v>
      </c>
      <c r="CI124" s="9">
        <v>14</v>
      </c>
      <c r="CJ124" s="9">
        <v>15</v>
      </c>
      <c r="CK124" s="9">
        <v>14</v>
      </c>
      <c r="CL124" s="9">
        <v>13</v>
      </c>
      <c r="CM124" s="9">
        <v>13</v>
      </c>
      <c r="CN124" s="9">
        <v>12</v>
      </c>
      <c r="CO124" s="9">
        <v>13</v>
      </c>
      <c r="CP124" s="9">
        <v>15</v>
      </c>
      <c r="CQ124" s="9">
        <v>15</v>
      </c>
      <c r="CR124" s="9">
        <v>10</v>
      </c>
      <c r="CS124" s="9">
        <v>11</v>
      </c>
      <c r="CT124" s="9">
        <v>12</v>
      </c>
      <c r="CU124" s="9">
        <v>12</v>
      </c>
      <c r="CV124" s="9">
        <v>12</v>
      </c>
      <c r="CW124" s="9">
        <v>11</v>
      </c>
      <c r="CX124" s="9">
        <v>8</v>
      </c>
      <c r="CY124" s="9">
        <v>9</v>
      </c>
      <c r="CZ124" s="9">
        <v>11</v>
      </c>
      <c r="DA124" s="9">
        <v>11</v>
      </c>
      <c r="DB124" s="9">
        <v>11</v>
      </c>
      <c r="DC124" s="9">
        <v>10</v>
      </c>
      <c r="DD124" s="9">
        <v>8</v>
      </c>
      <c r="DE124" s="9">
        <v>10</v>
      </c>
      <c r="DF124" s="9">
        <v>8</v>
      </c>
      <c r="DG124" s="9">
        <v>9</v>
      </c>
      <c r="DH124" s="9">
        <v>8</v>
      </c>
      <c r="DI124" s="9">
        <v>9</v>
      </c>
      <c r="DJ124" s="9">
        <v>8</v>
      </c>
      <c r="DK124" s="9">
        <v>8</v>
      </c>
      <c r="DL124" s="9">
        <v>6</v>
      </c>
      <c r="DM124" s="9">
        <v>8</v>
      </c>
      <c r="DN124" s="9">
        <v>8</v>
      </c>
      <c r="DO124" s="9">
        <v>7</v>
      </c>
      <c r="DP124" s="9">
        <v>7</v>
      </c>
      <c r="DQ124" s="9">
        <v>6</v>
      </c>
      <c r="DR124" s="9">
        <v>7</v>
      </c>
      <c r="DS124" s="9">
        <v>6</v>
      </c>
      <c r="DT124" s="9">
        <v>5</v>
      </c>
      <c r="DU124" s="9">
        <v>8</v>
      </c>
      <c r="DV124" s="9">
        <v>8</v>
      </c>
      <c r="DW124" s="9">
        <v>8</v>
      </c>
      <c r="DX124" s="9">
        <v>10</v>
      </c>
      <c r="DY124" s="9">
        <v>9</v>
      </c>
      <c r="DZ124" s="9">
        <v>0</v>
      </c>
      <c r="EA124" s="9">
        <v>0</v>
      </c>
      <c r="EB124" s="9">
        <v>1</v>
      </c>
      <c r="EC124" s="9">
        <v>1</v>
      </c>
      <c r="ED124" s="9">
        <v>1</v>
      </c>
      <c r="EE124" s="9">
        <v>1</v>
      </c>
      <c r="EF124" s="9">
        <v>1</v>
      </c>
      <c r="EG124" s="9">
        <v>2</v>
      </c>
      <c r="EH124" s="9">
        <v>1</v>
      </c>
      <c r="EI124" s="9">
        <v>0</v>
      </c>
      <c r="EJ124" s="9">
        <v>0</v>
      </c>
      <c r="EK124" s="9">
        <v>0</v>
      </c>
      <c r="EL124" s="9">
        <v>0</v>
      </c>
      <c r="EM124" s="9">
        <v>0</v>
      </c>
      <c r="EN124" s="9">
        <v>0</v>
      </c>
      <c r="EO124" s="9">
        <v>1</v>
      </c>
      <c r="EP124" s="9">
        <v>0</v>
      </c>
      <c r="EQ124" s="9">
        <v>1</v>
      </c>
      <c r="ER124" s="9">
        <v>1</v>
      </c>
      <c r="ES124" s="9">
        <v>2</v>
      </c>
      <c r="ET124" s="9">
        <v>1</v>
      </c>
      <c r="EU124" s="9">
        <v>1</v>
      </c>
      <c r="EV124" s="9">
        <v>1</v>
      </c>
      <c r="EW124" s="9">
        <v>0</v>
      </c>
      <c r="EX124" s="9">
        <v>0</v>
      </c>
      <c r="EY124" s="9">
        <v>0</v>
      </c>
      <c r="EZ124" s="9">
        <v>0</v>
      </c>
      <c r="FA124" s="9">
        <v>0</v>
      </c>
      <c r="FB124" s="9">
        <v>0</v>
      </c>
      <c r="FC124" s="9">
        <v>0</v>
      </c>
      <c r="FD124" s="9">
        <v>0</v>
      </c>
      <c r="FE124" s="9">
        <v>0</v>
      </c>
      <c r="FF124" s="9">
        <v>1</v>
      </c>
      <c r="FG124" s="9">
        <v>1</v>
      </c>
      <c r="FH124" s="9">
        <v>0</v>
      </c>
      <c r="FI124" s="9">
        <v>0</v>
      </c>
      <c r="FJ124" s="9">
        <v>0</v>
      </c>
      <c r="FK124" s="9">
        <v>0</v>
      </c>
      <c r="FL124" s="9">
        <v>0</v>
      </c>
      <c r="FM124" s="10">
        <v>1</v>
      </c>
    </row>
    <row r="125" spans="1:169" x14ac:dyDescent="0.35">
      <c r="A125" s="8" t="s">
        <v>174</v>
      </c>
      <c r="B125" s="9" t="s">
        <v>215</v>
      </c>
      <c r="C125" s="10" t="s">
        <v>216</v>
      </c>
      <c r="D125" s="62">
        <f t="shared" si="98"/>
        <v>109</v>
      </c>
      <c r="E125" s="9">
        <v>1</v>
      </c>
      <c r="F125" s="9">
        <v>1</v>
      </c>
      <c r="G125" s="9">
        <v>1</v>
      </c>
      <c r="H125" s="9">
        <v>1</v>
      </c>
      <c r="I125" s="9">
        <v>5</v>
      </c>
      <c r="J125" s="9">
        <v>7</v>
      </c>
      <c r="K125" s="9">
        <v>16</v>
      </c>
      <c r="L125" s="9">
        <v>23</v>
      </c>
      <c r="M125" s="9">
        <v>26</v>
      </c>
      <c r="N125" s="9">
        <v>35</v>
      </c>
      <c r="O125" s="9">
        <v>44</v>
      </c>
      <c r="P125" s="9">
        <v>35</v>
      </c>
      <c r="Q125" s="9">
        <v>37</v>
      </c>
      <c r="R125" s="9">
        <v>43</v>
      </c>
      <c r="S125" s="9">
        <v>55</v>
      </c>
      <c r="T125" s="9">
        <v>61</v>
      </c>
      <c r="U125" s="9">
        <v>71</v>
      </c>
      <c r="V125" s="9">
        <v>74</v>
      </c>
      <c r="W125" s="9">
        <v>59</v>
      </c>
      <c r="X125" s="9">
        <v>65</v>
      </c>
      <c r="Y125" s="9">
        <v>69</v>
      </c>
      <c r="Z125" s="9">
        <v>70</v>
      </c>
      <c r="AA125" s="9">
        <v>71</v>
      </c>
      <c r="AB125" s="9">
        <v>69</v>
      </c>
      <c r="AC125" s="9">
        <v>73</v>
      </c>
      <c r="AD125" s="9">
        <v>71</v>
      </c>
      <c r="AE125" s="9">
        <v>0</v>
      </c>
      <c r="AF125" s="9">
        <v>76</v>
      </c>
      <c r="AG125" s="9">
        <v>60</v>
      </c>
      <c r="AH125" s="9">
        <v>64</v>
      </c>
      <c r="AI125" s="9">
        <v>68</v>
      </c>
      <c r="AJ125" s="9">
        <v>68</v>
      </c>
      <c r="AK125" s="9">
        <v>60</v>
      </c>
      <c r="AL125" s="9">
        <v>60</v>
      </c>
      <c r="AM125" s="9">
        <v>65</v>
      </c>
      <c r="AN125" s="9">
        <v>64</v>
      </c>
      <c r="AO125" s="9">
        <v>64</v>
      </c>
      <c r="AP125" s="9">
        <v>68</v>
      </c>
      <c r="AQ125" s="9">
        <v>75</v>
      </c>
      <c r="AR125" s="9">
        <v>72</v>
      </c>
      <c r="AS125" s="9">
        <v>69</v>
      </c>
      <c r="AT125" s="9">
        <v>69</v>
      </c>
      <c r="AU125" s="9">
        <v>75</v>
      </c>
      <c r="AV125" s="9">
        <v>79</v>
      </c>
      <c r="AW125" s="9">
        <v>74</v>
      </c>
      <c r="AX125" s="9">
        <v>71</v>
      </c>
      <c r="AY125" s="9">
        <v>67</v>
      </c>
      <c r="AZ125" s="9">
        <v>70</v>
      </c>
      <c r="BA125" s="9">
        <v>57</v>
      </c>
      <c r="BB125" s="9">
        <v>77</v>
      </c>
      <c r="BC125" s="9">
        <v>84</v>
      </c>
      <c r="BD125" s="9">
        <v>74</v>
      </c>
      <c r="BE125" s="9">
        <v>78</v>
      </c>
      <c r="BF125" s="9">
        <v>86</v>
      </c>
      <c r="BG125" s="9">
        <v>93</v>
      </c>
      <c r="BH125" s="9">
        <v>104</v>
      </c>
      <c r="BI125" s="9">
        <v>108</v>
      </c>
      <c r="BJ125" s="9">
        <v>103</v>
      </c>
      <c r="BK125" s="9">
        <v>108</v>
      </c>
      <c r="BL125" s="9">
        <v>108</v>
      </c>
      <c r="BM125" s="9">
        <v>109</v>
      </c>
      <c r="BN125" s="9">
        <v>109</v>
      </c>
      <c r="BO125" s="9">
        <v>105</v>
      </c>
      <c r="BP125" s="9">
        <v>98</v>
      </c>
      <c r="BQ125" s="9">
        <v>103</v>
      </c>
      <c r="BR125" s="9">
        <v>100</v>
      </c>
      <c r="BS125" s="9">
        <v>106</v>
      </c>
      <c r="BT125" s="9">
        <v>106</v>
      </c>
      <c r="BU125" s="9">
        <v>95</v>
      </c>
      <c r="BV125" s="9">
        <v>99</v>
      </c>
      <c r="BW125" s="9">
        <v>84</v>
      </c>
      <c r="BX125" s="9">
        <v>79</v>
      </c>
      <c r="BY125" s="9">
        <v>85</v>
      </c>
      <c r="BZ125" s="9">
        <v>88</v>
      </c>
      <c r="CA125" s="9">
        <v>83</v>
      </c>
      <c r="CB125" s="9">
        <v>77</v>
      </c>
      <c r="CC125" s="9">
        <v>72</v>
      </c>
      <c r="CD125" s="9">
        <v>65</v>
      </c>
      <c r="CE125" s="9">
        <v>66</v>
      </c>
      <c r="CF125" s="9">
        <v>62</v>
      </c>
      <c r="CG125" s="9">
        <v>67</v>
      </c>
      <c r="CH125" s="9">
        <v>53</v>
      </c>
      <c r="CI125" s="9">
        <v>51</v>
      </c>
      <c r="CJ125" s="9">
        <v>48</v>
      </c>
      <c r="CK125" s="9">
        <v>46</v>
      </c>
      <c r="CL125" s="9">
        <v>50</v>
      </c>
      <c r="CM125" s="9">
        <v>50</v>
      </c>
      <c r="CN125" s="9">
        <v>52</v>
      </c>
      <c r="CO125" s="9">
        <v>46</v>
      </c>
      <c r="CP125" s="9">
        <v>40</v>
      </c>
      <c r="CQ125" s="9">
        <v>40</v>
      </c>
      <c r="CR125" s="9">
        <v>37</v>
      </c>
      <c r="CS125" s="9">
        <v>35</v>
      </c>
      <c r="CT125" s="9">
        <v>33</v>
      </c>
      <c r="CU125" s="9">
        <v>29</v>
      </c>
      <c r="CV125" s="9">
        <v>26</v>
      </c>
      <c r="CW125" s="9">
        <v>24</v>
      </c>
      <c r="CX125" s="9">
        <v>21</v>
      </c>
      <c r="CY125" s="9">
        <v>15</v>
      </c>
      <c r="CZ125" s="9">
        <v>20</v>
      </c>
      <c r="DA125" s="9">
        <v>17</v>
      </c>
      <c r="DB125" s="9">
        <v>12</v>
      </c>
      <c r="DC125" s="9">
        <v>18</v>
      </c>
      <c r="DD125" s="9">
        <v>17</v>
      </c>
      <c r="DE125" s="9">
        <v>16</v>
      </c>
      <c r="DF125" s="9">
        <v>15</v>
      </c>
      <c r="DG125" s="9">
        <v>14</v>
      </c>
      <c r="DH125" s="9">
        <v>14</v>
      </c>
      <c r="DI125" s="9">
        <v>13</v>
      </c>
      <c r="DJ125" s="9">
        <v>14</v>
      </c>
      <c r="DK125" s="9">
        <v>12</v>
      </c>
      <c r="DL125" s="9">
        <v>10</v>
      </c>
      <c r="DM125" s="9">
        <v>12</v>
      </c>
      <c r="DN125" s="9">
        <v>14</v>
      </c>
      <c r="DO125" s="9">
        <v>12</v>
      </c>
      <c r="DP125" s="9">
        <v>12</v>
      </c>
      <c r="DQ125" s="9">
        <v>12</v>
      </c>
      <c r="DR125" s="9">
        <v>13</v>
      </c>
      <c r="DS125" s="9">
        <v>13</v>
      </c>
      <c r="DT125" s="9">
        <v>11</v>
      </c>
      <c r="DU125" s="9">
        <v>10</v>
      </c>
      <c r="DV125" s="9">
        <v>10</v>
      </c>
      <c r="DW125" s="9">
        <v>8</v>
      </c>
      <c r="DX125" s="9">
        <v>9</v>
      </c>
      <c r="DY125" s="9">
        <v>8</v>
      </c>
      <c r="DZ125" s="9">
        <v>8</v>
      </c>
      <c r="EA125" s="9">
        <v>7</v>
      </c>
      <c r="EB125" s="9">
        <v>7</v>
      </c>
      <c r="EC125" s="9">
        <v>7</v>
      </c>
      <c r="ED125" s="9">
        <v>6</v>
      </c>
      <c r="EE125" s="9">
        <v>6</v>
      </c>
      <c r="EF125" s="9">
        <v>5</v>
      </c>
      <c r="EG125" s="9">
        <v>3</v>
      </c>
      <c r="EH125" s="9">
        <v>4</v>
      </c>
      <c r="EI125" s="9">
        <v>5</v>
      </c>
      <c r="EJ125" s="9">
        <v>3</v>
      </c>
      <c r="EK125" s="9">
        <v>3</v>
      </c>
      <c r="EL125" s="9">
        <v>2</v>
      </c>
      <c r="EM125" s="9">
        <v>3</v>
      </c>
      <c r="EN125" s="9">
        <v>1</v>
      </c>
      <c r="EO125" s="9">
        <v>1</v>
      </c>
      <c r="EP125" s="9">
        <v>2</v>
      </c>
      <c r="EQ125" s="9">
        <v>3</v>
      </c>
      <c r="ER125" s="9">
        <v>3</v>
      </c>
      <c r="ES125" s="9">
        <v>3</v>
      </c>
      <c r="ET125" s="9">
        <v>5</v>
      </c>
      <c r="EU125" s="9">
        <v>5</v>
      </c>
      <c r="EV125" s="9">
        <v>5</v>
      </c>
      <c r="EW125" s="9">
        <v>5</v>
      </c>
      <c r="EX125" s="9">
        <v>4</v>
      </c>
      <c r="EY125" s="9">
        <v>4</v>
      </c>
      <c r="EZ125" s="9">
        <v>4</v>
      </c>
      <c r="FA125" s="9">
        <v>7</v>
      </c>
      <c r="FB125" s="9">
        <v>7</v>
      </c>
      <c r="FC125" s="9">
        <v>6</v>
      </c>
      <c r="FD125" s="9">
        <v>5</v>
      </c>
      <c r="FE125" s="9">
        <v>6</v>
      </c>
      <c r="FF125" s="9">
        <v>7</v>
      </c>
      <c r="FG125" s="9">
        <v>6</v>
      </c>
      <c r="FH125" s="9">
        <v>4</v>
      </c>
      <c r="FI125" s="9">
        <v>5</v>
      </c>
      <c r="FJ125" s="9">
        <v>5</v>
      </c>
      <c r="FK125" s="9">
        <v>5</v>
      </c>
      <c r="FL125" s="9">
        <v>5</v>
      </c>
      <c r="FM125" s="10">
        <v>5</v>
      </c>
    </row>
    <row r="126" spans="1:169" x14ac:dyDescent="0.35">
      <c r="A126" s="8" t="s">
        <v>174</v>
      </c>
      <c r="B126" s="9" t="s">
        <v>217</v>
      </c>
      <c r="C126" s="10" t="s">
        <v>218</v>
      </c>
      <c r="D126" s="62">
        <f t="shared" si="98"/>
        <v>119</v>
      </c>
      <c r="E126" s="9">
        <v>0</v>
      </c>
      <c r="F126" s="9">
        <v>0</v>
      </c>
      <c r="G126" s="9">
        <v>0</v>
      </c>
      <c r="H126" s="9">
        <v>7</v>
      </c>
      <c r="I126" s="9">
        <v>9</v>
      </c>
      <c r="J126" s="9">
        <v>9</v>
      </c>
      <c r="K126" s="9">
        <v>23</v>
      </c>
      <c r="L126" s="9">
        <v>25</v>
      </c>
      <c r="M126" s="9">
        <v>0</v>
      </c>
      <c r="N126" s="9">
        <v>4</v>
      </c>
      <c r="O126" s="9">
        <v>59</v>
      </c>
      <c r="P126" s="9">
        <v>53</v>
      </c>
      <c r="Q126" s="9">
        <v>51</v>
      </c>
      <c r="R126" s="9">
        <v>56</v>
      </c>
      <c r="S126" s="9">
        <v>61</v>
      </c>
      <c r="T126" s="9">
        <v>71</v>
      </c>
      <c r="U126" s="9">
        <v>88</v>
      </c>
      <c r="V126" s="9">
        <v>99</v>
      </c>
      <c r="W126" s="9">
        <v>0</v>
      </c>
      <c r="X126" s="9">
        <v>108</v>
      </c>
      <c r="Y126" s="9">
        <v>101</v>
      </c>
      <c r="Z126" s="9">
        <v>103</v>
      </c>
      <c r="AA126" s="9">
        <v>111</v>
      </c>
      <c r="AB126" s="9">
        <v>104</v>
      </c>
      <c r="AC126" s="9">
        <v>119</v>
      </c>
      <c r="AD126" s="9">
        <v>100</v>
      </c>
      <c r="AE126" s="9">
        <v>94</v>
      </c>
      <c r="AF126" s="9">
        <v>87</v>
      </c>
      <c r="AG126" s="9">
        <v>82</v>
      </c>
      <c r="AH126" s="9">
        <v>94</v>
      </c>
      <c r="AI126" s="9">
        <v>93</v>
      </c>
      <c r="AJ126" s="9">
        <v>94</v>
      </c>
      <c r="AK126" s="9">
        <v>96</v>
      </c>
      <c r="AL126" s="9">
        <v>87</v>
      </c>
      <c r="AM126" s="9">
        <v>94</v>
      </c>
      <c r="AN126" s="9">
        <v>97</v>
      </c>
      <c r="AO126" s="9">
        <v>96</v>
      </c>
      <c r="AP126" s="9">
        <v>99</v>
      </c>
      <c r="AQ126" s="9">
        <v>104</v>
      </c>
      <c r="AR126" s="9">
        <v>103</v>
      </c>
      <c r="AS126" s="9">
        <v>89</v>
      </c>
      <c r="AT126" s="9">
        <v>92</v>
      </c>
      <c r="AU126" s="9">
        <v>91</v>
      </c>
      <c r="AV126" s="9">
        <v>91</v>
      </c>
      <c r="AW126" s="9">
        <v>86</v>
      </c>
      <c r="AX126" s="9">
        <v>80</v>
      </c>
      <c r="AY126" s="9">
        <v>80</v>
      </c>
      <c r="AZ126" s="9">
        <v>91</v>
      </c>
      <c r="BA126" s="9">
        <v>87</v>
      </c>
      <c r="BB126" s="9">
        <v>87</v>
      </c>
      <c r="BC126" s="9">
        <v>88</v>
      </c>
      <c r="BD126" s="9">
        <v>89</v>
      </c>
      <c r="BE126" s="9">
        <v>94</v>
      </c>
      <c r="BF126" s="9">
        <v>89</v>
      </c>
      <c r="BG126" s="9">
        <v>90</v>
      </c>
      <c r="BH126" s="9">
        <v>85</v>
      </c>
      <c r="BI126" s="9">
        <v>77</v>
      </c>
      <c r="BJ126" s="9">
        <v>81</v>
      </c>
      <c r="BK126" s="9">
        <v>90</v>
      </c>
      <c r="BL126" s="9">
        <v>95</v>
      </c>
      <c r="BM126" s="9">
        <v>100</v>
      </c>
      <c r="BN126" s="9">
        <v>100</v>
      </c>
      <c r="BO126" s="9">
        <v>100</v>
      </c>
      <c r="BP126" s="9">
        <v>101</v>
      </c>
      <c r="BQ126" s="9">
        <v>96</v>
      </c>
      <c r="BR126" s="9">
        <v>98</v>
      </c>
      <c r="BS126" s="9">
        <v>102</v>
      </c>
      <c r="BT126" s="9">
        <v>95</v>
      </c>
      <c r="BU126" s="9">
        <v>97</v>
      </c>
      <c r="BV126" s="9">
        <v>93</v>
      </c>
      <c r="BW126" s="9">
        <v>89</v>
      </c>
      <c r="BX126" s="9">
        <v>90</v>
      </c>
      <c r="BY126" s="9">
        <v>88</v>
      </c>
      <c r="BZ126" s="9">
        <v>91</v>
      </c>
      <c r="CA126" s="9">
        <v>103</v>
      </c>
      <c r="CB126" s="9">
        <v>105</v>
      </c>
      <c r="CC126" s="9">
        <v>105</v>
      </c>
      <c r="CD126" s="9">
        <v>105</v>
      </c>
      <c r="CE126" s="9">
        <v>107</v>
      </c>
      <c r="CF126" s="9">
        <v>104</v>
      </c>
      <c r="CG126" s="9">
        <v>107</v>
      </c>
      <c r="CH126" s="9">
        <v>107</v>
      </c>
      <c r="CI126" s="9">
        <v>104</v>
      </c>
      <c r="CJ126" s="9">
        <v>103</v>
      </c>
      <c r="CK126" s="9">
        <v>99</v>
      </c>
      <c r="CL126" s="9">
        <v>96</v>
      </c>
      <c r="CM126" s="9">
        <v>98</v>
      </c>
      <c r="CN126" s="9">
        <v>98</v>
      </c>
      <c r="CO126" s="9">
        <v>75</v>
      </c>
      <c r="CP126" s="9">
        <v>69</v>
      </c>
      <c r="CQ126" s="9">
        <v>68</v>
      </c>
      <c r="CR126" s="9">
        <v>66</v>
      </c>
      <c r="CS126" s="9">
        <v>64</v>
      </c>
      <c r="CT126" s="9">
        <v>63</v>
      </c>
      <c r="CU126" s="9">
        <v>61</v>
      </c>
      <c r="CV126" s="9">
        <v>60</v>
      </c>
      <c r="CW126" s="9">
        <v>61</v>
      </c>
      <c r="CX126" s="9">
        <v>60</v>
      </c>
      <c r="CY126" s="9">
        <v>54</v>
      </c>
      <c r="CZ126" s="9">
        <v>43</v>
      </c>
      <c r="DA126" s="9">
        <v>41</v>
      </c>
      <c r="DB126" s="9">
        <v>42</v>
      </c>
      <c r="DC126" s="9">
        <v>35</v>
      </c>
      <c r="DD126" s="9">
        <v>31</v>
      </c>
      <c r="DE126" s="9">
        <v>36</v>
      </c>
      <c r="DF126" s="9">
        <v>34</v>
      </c>
      <c r="DG126" s="9">
        <v>36</v>
      </c>
      <c r="DH126" s="9">
        <v>38</v>
      </c>
      <c r="DI126" s="9">
        <v>32</v>
      </c>
      <c r="DJ126" s="9">
        <v>36</v>
      </c>
      <c r="DK126" s="9">
        <v>26</v>
      </c>
      <c r="DL126" s="9">
        <v>23</v>
      </c>
      <c r="DM126" s="9">
        <v>22</v>
      </c>
      <c r="DN126" s="9">
        <v>18</v>
      </c>
      <c r="DO126" s="9">
        <v>19</v>
      </c>
      <c r="DP126" s="9">
        <v>20</v>
      </c>
      <c r="DQ126" s="9">
        <v>14</v>
      </c>
      <c r="DR126" s="9">
        <v>19</v>
      </c>
      <c r="DS126" s="9">
        <v>0</v>
      </c>
      <c r="DT126" s="9">
        <v>20</v>
      </c>
      <c r="DU126" s="9">
        <v>18</v>
      </c>
      <c r="DV126" s="9">
        <v>16</v>
      </c>
      <c r="DW126" s="9">
        <v>19</v>
      </c>
      <c r="DX126" s="9">
        <v>12</v>
      </c>
      <c r="DY126" s="9">
        <v>11</v>
      </c>
      <c r="DZ126" s="9">
        <v>10</v>
      </c>
      <c r="EA126" s="9">
        <v>10</v>
      </c>
      <c r="EB126" s="9">
        <v>9</v>
      </c>
      <c r="EC126" s="9">
        <v>9</v>
      </c>
      <c r="ED126" s="9">
        <v>9</v>
      </c>
      <c r="EE126" s="9">
        <v>9</v>
      </c>
      <c r="EF126" s="9">
        <v>7</v>
      </c>
      <c r="EG126" s="9">
        <v>7</v>
      </c>
      <c r="EH126" s="9">
        <v>7</v>
      </c>
      <c r="EI126" s="9">
        <v>6</v>
      </c>
      <c r="EJ126" s="9">
        <v>6</v>
      </c>
      <c r="EK126" s="9">
        <v>5</v>
      </c>
      <c r="EL126" s="9">
        <v>1</v>
      </c>
      <c r="EM126" s="9">
        <v>1</v>
      </c>
      <c r="EN126" s="9">
        <v>1</v>
      </c>
      <c r="EO126" s="9">
        <v>0</v>
      </c>
      <c r="EP126" s="9">
        <v>0</v>
      </c>
      <c r="EQ126" s="9">
        <v>2</v>
      </c>
      <c r="ER126" s="9">
        <v>2</v>
      </c>
      <c r="ES126" s="9">
        <v>1</v>
      </c>
      <c r="ET126" s="9">
        <v>1</v>
      </c>
      <c r="EU126" s="9">
        <v>2</v>
      </c>
      <c r="EV126" s="9">
        <v>2</v>
      </c>
      <c r="EW126" s="9">
        <v>2</v>
      </c>
      <c r="EX126" s="9">
        <v>7</v>
      </c>
      <c r="EY126" s="9">
        <v>8</v>
      </c>
      <c r="EZ126" s="9">
        <v>3</v>
      </c>
      <c r="FA126" s="9">
        <v>3</v>
      </c>
      <c r="FB126" s="9">
        <v>4</v>
      </c>
      <c r="FC126" s="9">
        <v>6</v>
      </c>
      <c r="FD126" s="9">
        <v>4</v>
      </c>
      <c r="FE126" s="9">
        <v>3</v>
      </c>
      <c r="FF126" s="9">
        <v>4</v>
      </c>
      <c r="FG126" s="9">
        <v>1</v>
      </c>
      <c r="FH126" s="9">
        <v>1</v>
      </c>
      <c r="FI126" s="9">
        <v>1</v>
      </c>
      <c r="FJ126" s="9">
        <v>1</v>
      </c>
      <c r="FK126" s="9">
        <v>0</v>
      </c>
      <c r="FL126" s="9">
        <v>1</v>
      </c>
      <c r="FM126" s="10">
        <v>1</v>
      </c>
    </row>
    <row r="127" spans="1:169" x14ac:dyDescent="0.35">
      <c r="A127" s="8" t="s">
        <v>174</v>
      </c>
      <c r="B127" s="9" t="s">
        <v>219</v>
      </c>
      <c r="C127" s="10" t="s">
        <v>220</v>
      </c>
      <c r="D127" s="62">
        <f t="shared" si="98"/>
        <v>43</v>
      </c>
      <c r="E127" s="9">
        <v>0</v>
      </c>
      <c r="F127" s="9">
        <v>0</v>
      </c>
      <c r="G127" s="9">
        <v>0</v>
      </c>
      <c r="H127" s="9">
        <v>0</v>
      </c>
      <c r="I127" s="9">
        <v>0</v>
      </c>
      <c r="J127" s="9">
        <v>0</v>
      </c>
      <c r="K127" s="9">
        <v>0</v>
      </c>
      <c r="L127" s="9">
        <v>0</v>
      </c>
      <c r="M127" s="9">
        <v>0</v>
      </c>
      <c r="N127" s="9">
        <v>0</v>
      </c>
      <c r="O127" s="9">
        <v>2</v>
      </c>
      <c r="P127" s="9">
        <v>2</v>
      </c>
      <c r="Q127" s="9">
        <v>2</v>
      </c>
      <c r="R127" s="9">
        <v>7</v>
      </c>
      <c r="S127" s="9">
        <v>5</v>
      </c>
      <c r="T127" s="9">
        <v>7</v>
      </c>
      <c r="U127" s="9">
        <v>7</v>
      </c>
      <c r="V127" s="9">
        <v>7</v>
      </c>
      <c r="W127" s="9">
        <v>10</v>
      </c>
      <c r="X127" s="9">
        <v>10</v>
      </c>
      <c r="Y127" s="9">
        <v>9</v>
      </c>
      <c r="Z127" s="9">
        <v>6</v>
      </c>
      <c r="AA127" s="9">
        <v>14</v>
      </c>
      <c r="AB127" s="9">
        <v>14</v>
      </c>
      <c r="AC127" s="9">
        <v>10</v>
      </c>
      <c r="AD127" s="9">
        <v>15</v>
      </c>
      <c r="AE127" s="9">
        <v>17</v>
      </c>
      <c r="AF127" s="9">
        <v>22</v>
      </c>
      <c r="AG127" s="9">
        <v>23</v>
      </c>
      <c r="AH127" s="9">
        <v>19</v>
      </c>
      <c r="AI127" s="9">
        <v>16</v>
      </c>
      <c r="AJ127" s="9">
        <v>36</v>
      </c>
      <c r="AK127" s="9">
        <v>21</v>
      </c>
      <c r="AL127" s="9">
        <v>25</v>
      </c>
      <c r="AM127" s="9">
        <v>27</v>
      </c>
      <c r="AN127" s="9">
        <v>28</v>
      </c>
      <c r="AO127" s="9">
        <v>10</v>
      </c>
      <c r="AP127" s="9">
        <v>40</v>
      </c>
      <c r="AQ127" s="9">
        <v>31</v>
      </c>
      <c r="AR127" s="9">
        <v>29</v>
      </c>
      <c r="AS127" s="9">
        <v>25</v>
      </c>
      <c r="AT127" s="9">
        <v>27</v>
      </c>
      <c r="AU127" s="9">
        <v>21</v>
      </c>
      <c r="AV127" s="9">
        <v>28</v>
      </c>
      <c r="AW127" s="9">
        <v>29</v>
      </c>
      <c r="AX127" s="9">
        <v>32</v>
      </c>
      <c r="AY127" s="9">
        <v>24</v>
      </c>
      <c r="AZ127" s="9">
        <v>29</v>
      </c>
      <c r="BA127" s="9">
        <v>33</v>
      </c>
      <c r="BB127" s="9">
        <v>30</v>
      </c>
      <c r="BC127" s="9">
        <v>30</v>
      </c>
      <c r="BD127" s="9">
        <v>28</v>
      </c>
      <c r="BE127" s="9">
        <v>26</v>
      </c>
      <c r="BF127" s="9">
        <v>34</v>
      </c>
      <c r="BG127" s="9">
        <v>34</v>
      </c>
      <c r="BH127" s="9">
        <v>33</v>
      </c>
      <c r="BI127" s="9">
        <v>35</v>
      </c>
      <c r="BJ127" s="9">
        <v>35</v>
      </c>
      <c r="BK127" s="9">
        <v>38</v>
      </c>
      <c r="BL127" s="9">
        <v>37</v>
      </c>
      <c r="BM127" s="9">
        <v>30</v>
      </c>
      <c r="BN127" s="9">
        <v>32</v>
      </c>
      <c r="BO127" s="9">
        <v>31</v>
      </c>
      <c r="BP127" s="9">
        <v>31</v>
      </c>
      <c r="BQ127" s="9">
        <v>28</v>
      </c>
      <c r="BR127" s="9">
        <v>31</v>
      </c>
      <c r="BS127" s="9">
        <v>29</v>
      </c>
      <c r="BT127" s="9">
        <v>28</v>
      </c>
      <c r="BU127" s="9">
        <v>29</v>
      </c>
      <c r="BV127" s="9">
        <v>31</v>
      </c>
      <c r="BW127" s="9">
        <v>33</v>
      </c>
      <c r="BX127" s="9">
        <v>34</v>
      </c>
      <c r="BY127" s="9">
        <v>34</v>
      </c>
      <c r="BZ127" s="9">
        <v>30</v>
      </c>
      <c r="CA127" s="9">
        <v>32</v>
      </c>
      <c r="CB127" s="9">
        <v>31</v>
      </c>
      <c r="CC127" s="9">
        <v>38</v>
      </c>
      <c r="CD127" s="9">
        <v>38</v>
      </c>
      <c r="CE127" s="9">
        <v>38</v>
      </c>
      <c r="CF127" s="9">
        <v>41</v>
      </c>
      <c r="CG127" s="9">
        <v>41</v>
      </c>
      <c r="CH127" s="9">
        <v>43</v>
      </c>
      <c r="CI127" s="9">
        <v>43</v>
      </c>
      <c r="CJ127" s="9">
        <v>41</v>
      </c>
      <c r="CK127" s="9">
        <v>41</v>
      </c>
      <c r="CL127" s="9">
        <v>41</v>
      </c>
      <c r="CM127" s="9">
        <v>40</v>
      </c>
      <c r="CN127" s="9">
        <v>41</v>
      </c>
      <c r="CO127" s="9">
        <v>38</v>
      </c>
      <c r="CP127" s="9">
        <v>42</v>
      </c>
      <c r="CQ127" s="9">
        <v>43</v>
      </c>
      <c r="CR127" s="9">
        <v>42</v>
      </c>
      <c r="CS127" s="9">
        <v>41</v>
      </c>
      <c r="CT127" s="9">
        <v>39</v>
      </c>
      <c r="CU127" s="9">
        <v>39</v>
      </c>
      <c r="CV127" s="9">
        <v>36</v>
      </c>
      <c r="CW127" s="9">
        <v>36</v>
      </c>
      <c r="CX127" s="9">
        <v>37</v>
      </c>
      <c r="CY127" s="9">
        <v>35</v>
      </c>
      <c r="CZ127" s="9">
        <v>36</v>
      </c>
      <c r="DA127" s="9">
        <v>33</v>
      </c>
      <c r="DB127" s="9">
        <v>37</v>
      </c>
      <c r="DC127" s="9">
        <v>37</v>
      </c>
      <c r="DD127" s="9">
        <v>38</v>
      </c>
      <c r="DE127" s="9">
        <v>35</v>
      </c>
      <c r="DF127" s="9">
        <v>35</v>
      </c>
      <c r="DG127" s="9">
        <v>33</v>
      </c>
      <c r="DH127" s="9">
        <v>32</v>
      </c>
      <c r="DI127" s="9">
        <v>32</v>
      </c>
      <c r="DJ127" s="9">
        <v>32</v>
      </c>
      <c r="DK127" s="9">
        <v>31</v>
      </c>
      <c r="DL127" s="9">
        <v>3</v>
      </c>
      <c r="DM127" s="9">
        <v>2</v>
      </c>
      <c r="DN127" s="9">
        <v>29</v>
      </c>
      <c r="DO127" s="9">
        <v>4</v>
      </c>
      <c r="DP127" s="9">
        <v>4</v>
      </c>
      <c r="DQ127" s="9">
        <v>5</v>
      </c>
      <c r="DR127" s="9">
        <v>7</v>
      </c>
      <c r="DS127" s="9">
        <v>4</v>
      </c>
      <c r="DT127" s="9">
        <v>4</v>
      </c>
      <c r="DU127" s="9">
        <v>4</v>
      </c>
      <c r="DV127" s="9">
        <v>4</v>
      </c>
      <c r="DW127" s="9">
        <v>4</v>
      </c>
      <c r="DX127" s="9">
        <v>3</v>
      </c>
      <c r="DY127" s="9">
        <v>2</v>
      </c>
      <c r="DZ127" s="9">
        <v>2</v>
      </c>
      <c r="EA127" s="9">
        <v>2</v>
      </c>
      <c r="EB127" s="9">
        <v>2</v>
      </c>
      <c r="EC127" s="9">
        <v>2</v>
      </c>
      <c r="ED127" s="9">
        <v>2</v>
      </c>
      <c r="EE127" s="9">
        <v>2</v>
      </c>
      <c r="EF127" s="9">
        <v>2</v>
      </c>
      <c r="EG127" s="9">
        <v>2</v>
      </c>
      <c r="EH127" s="9">
        <v>2</v>
      </c>
      <c r="EI127" s="9">
        <v>2</v>
      </c>
      <c r="EJ127" s="9">
        <v>2</v>
      </c>
      <c r="EK127" s="9">
        <v>2</v>
      </c>
      <c r="EL127" s="9">
        <v>1</v>
      </c>
      <c r="EM127" s="9">
        <v>1</v>
      </c>
      <c r="EN127" s="9">
        <v>1</v>
      </c>
      <c r="EO127" s="9">
        <v>1</v>
      </c>
      <c r="EP127" s="9">
        <v>1</v>
      </c>
      <c r="EQ127" s="9">
        <v>1</v>
      </c>
      <c r="ER127" s="9">
        <v>1</v>
      </c>
      <c r="ES127" s="9">
        <v>1</v>
      </c>
      <c r="ET127" s="9">
        <v>1</v>
      </c>
      <c r="EU127" s="9">
        <v>1</v>
      </c>
      <c r="EV127" s="9">
        <v>1</v>
      </c>
      <c r="EW127" s="9">
        <v>0</v>
      </c>
      <c r="EX127" s="9">
        <v>0</v>
      </c>
      <c r="EY127" s="9">
        <v>0</v>
      </c>
      <c r="EZ127" s="9">
        <v>0</v>
      </c>
      <c r="FA127" s="9">
        <v>0</v>
      </c>
      <c r="FB127" s="9">
        <v>0</v>
      </c>
      <c r="FC127" s="9">
        <v>0</v>
      </c>
      <c r="FD127" s="9">
        <v>0</v>
      </c>
      <c r="FE127" s="9">
        <v>0</v>
      </c>
      <c r="FF127" s="9">
        <v>0</v>
      </c>
      <c r="FG127" s="9">
        <v>0</v>
      </c>
      <c r="FH127" s="9">
        <v>0</v>
      </c>
      <c r="FI127" s="9">
        <v>0</v>
      </c>
      <c r="FJ127" s="9">
        <v>0</v>
      </c>
      <c r="FK127" s="9">
        <v>0</v>
      </c>
      <c r="FL127" s="9">
        <v>0</v>
      </c>
      <c r="FM127" s="10">
        <v>0</v>
      </c>
    </row>
    <row r="128" spans="1:169" x14ac:dyDescent="0.35">
      <c r="A128" s="8" t="s">
        <v>174</v>
      </c>
      <c r="B128" s="9" t="s">
        <v>221</v>
      </c>
      <c r="C128" s="10" t="s">
        <v>222</v>
      </c>
      <c r="D128" s="62">
        <f t="shared" si="98"/>
        <v>4</v>
      </c>
      <c r="E128" s="9">
        <v>0</v>
      </c>
      <c r="F128" s="9">
        <v>0</v>
      </c>
      <c r="G128" s="9">
        <v>0</v>
      </c>
      <c r="H128" s="9">
        <v>0</v>
      </c>
      <c r="I128" s="9">
        <v>0</v>
      </c>
      <c r="J128" s="9">
        <v>0</v>
      </c>
      <c r="K128" s="9">
        <v>0</v>
      </c>
      <c r="L128" s="9">
        <v>0</v>
      </c>
      <c r="M128" s="9">
        <v>0</v>
      </c>
      <c r="N128" s="9">
        <v>0</v>
      </c>
      <c r="O128" s="9">
        <v>0</v>
      </c>
      <c r="P128" s="9">
        <v>0</v>
      </c>
      <c r="Q128" s="9">
        <v>0</v>
      </c>
      <c r="R128" s="9">
        <v>0</v>
      </c>
      <c r="S128" s="9">
        <v>0</v>
      </c>
      <c r="T128" s="9">
        <v>0</v>
      </c>
      <c r="U128" s="9">
        <v>0</v>
      </c>
      <c r="V128" s="9">
        <v>0</v>
      </c>
      <c r="W128" s="9">
        <v>0</v>
      </c>
      <c r="X128" s="9">
        <v>1</v>
      </c>
      <c r="Y128" s="9">
        <v>1</v>
      </c>
      <c r="Z128" s="9">
        <v>1</v>
      </c>
      <c r="AA128" s="9">
        <v>1</v>
      </c>
      <c r="AB128" s="9">
        <v>2</v>
      </c>
      <c r="AC128" s="9">
        <v>2</v>
      </c>
      <c r="AD128" s="9">
        <v>2</v>
      </c>
      <c r="AE128" s="9">
        <v>2</v>
      </c>
      <c r="AF128" s="9">
        <v>3</v>
      </c>
      <c r="AG128" s="9">
        <v>3</v>
      </c>
      <c r="AH128" s="9">
        <v>3</v>
      </c>
      <c r="AI128" s="9">
        <v>3</v>
      </c>
      <c r="AJ128" s="9">
        <v>3</v>
      </c>
      <c r="AK128" s="9">
        <v>3</v>
      </c>
      <c r="AL128" s="9">
        <v>3</v>
      </c>
      <c r="AM128" s="9">
        <v>3</v>
      </c>
      <c r="AN128" s="9">
        <v>4</v>
      </c>
      <c r="AO128" s="9">
        <v>4</v>
      </c>
      <c r="AP128" s="9">
        <v>4</v>
      </c>
      <c r="AQ128" s="9">
        <v>4</v>
      </c>
      <c r="AR128" s="9">
        <v>4</v>
      </c>
      <c r="AS128" s="9">
        <v>4</v>
      </c>
      <c r="AT128" s="9">
        <v>4</v>
      </c>
      <c r="AU128" s="9">
        <v>4</v>
      </c>
      <c r="AV128" s="9">
        <v>2</v>
      </c>
      <c r="AW128" s="9">
        <v>2</v>
      </c>
      <c r="AX128" s="9">
        <v>2</v>
      </c>
      <c r="AY128" s="9">
        <v>2</v>
      </c>
      <c r="AZ128" s="9">
        <v>3</v>
      </c>
      <c r="BA128" s="9">
        <v>2</v>
      </c>
      <c r="BB128" s="9">
        <v>3</v>
      </c>
      <c r="BC128" s="9">
        <v>3</v>
      </c>
      <c r="BD128" s="9">
        <v>3</v>
      </c>
      <c r="BE128" s="9">
        <v>3</v>
      </c>
      <c r="BF128" s="9">
        <v>3</v>
      </c>
      <c r="BG128" s="9">
        <v>3</v>
      </c>
      <c r="BH128" s="9">
        <v>3</v>
      </c>
      <c r="BI128" s="9">
        <v>3</v>
      </c>
      <c r="BJ128" s="9">
        <v>3</v>
      </c>
      <c r="BK128" s="9">
        <v>3</v>
      </c>
      <c r="BL128" s="9">
        <v>3</v>
      </c>
      <c r="BM128" s="9">
        <v>3</v>
      </c>
      <c r="BN128" s="9">
        <v>3</v>
      </c>
      <c r="BO128" s="9">
        <v>3</v>
      </c>
      <c r="BP128" s="9">
        <v>3</v>
      </c>
      <c r="BQ128" s="9">
        <v>2</v>
      </c>
      <c r="BR128" s="9">
        <v>2</v>
      </c>
      <c r="BS128" s="9">
        <v>2</v>
      </c>
      <c r="BT128" s="9">
        <v>2</v>
      </c>
      <c r="BU128" s="9">
        <v>0</v>
      </c>
      <c r="BV128" s="9">
        <v>0</v>
      </c>
      <c r="BW128" s="9">
        <v>1</v>
      </c>
      <c r="BX128" s="9">
        <v>1</v>
      </c>
      <c r="BY128" s="9">
        <v>1</v>
      </c>
      <c r="BZ128" s="9">
        <v>1</v>
      </c>
      <c r="CA128" s="9">
        <v>1</v>
      </c>
      <c r="CB128" s="9">
        <v>0</v>
      </c>
      <c r="CC128" s="9">
        <v>0</v>
      </c>
      <c r="CD128" s="9">
        <v>0</v>
      </c>
      <c r="CE128" s="9">
        <v>1</v>
      </c>
      <c r="CF128" s="9">
        <v>1</v>
      </c>
      <c r="CG128" s="9">
        <v>1</v>
      </c>
      <c r="CH128" s="9">
        <v>1</v>
      </c>
      <c r="CI128" s="9">
        <v>0</v>
      </c>
      <c r="CJ128" s="9">
        <v>0</v>
      </c>
      <c r="CK128" s="9">
        <v>1</v>
      </c>
      <c r="CL128" s="9">
        <v>1</v>
      </c>
      <c r="CM128" s="9">
        <v>1</v>
      </c>
      <c r="CN128" s="9">
        <v>1</v>
      </c>
      <c r="CO128" s="9">
        <v>1</v>
      </c>
      <c r="CP128" s="9">
        <v>1</v>
      </c>
      <c r="CQ128" s="9">
        <v>0</v>
      </c>
      <c r="CR128" s="9">
        <v>0</v>
      </c>
      <c r="CS128" s="9">
        <v>0</v>
      </c>
      <c r="CT128" s="9">
        <v>0</v>
      </c>
      <c r="CU128" s="9">
        <v>0</v>
      </c>
      <c r="CV128" s="9">
        <v>0</v>
      </c>
      <c r="CW128" s="9">
        <v>0</v>
      </c>
      <c r="CX128" s="9">
        <v>0</v>
      </c>
      <c r="CY128" s="9">
        <v>0</v>
      </c>
      <c r="CZ128" s="9">
        <v>0</v>
      </c>
      <c r="DA128" s="9">
        <v>0</v>
      </c>
      <c r="DB128" s="9">
        <v>0</v>
      </c>
      <c r="DC128" s="9">
        <v>0</v>
      </c>
      <c r="DD128" s="9">
        <v>0</v>
      </c>
      <c r="DE128" s="9">
        <v>0</v>
      </c>
      <c r="DF128" s="9">
        <v>0</v>
      </c>
      <c r="DG128" s="9">
        <v>0</v>
      </c>
      <c r="DH128" s="9">
        <v>0</v>
      </c>
      <c r="DI128" s="9">
        <v>0</v>
      </c>
      <c r="DJ128" s="9">
        <v>0</v>
      </c>
      <c r="DK128" s="9">
        <v>0</v>
      </c>
      <c r="DL128" s="9">
        <v>0</v>
      </c>
      <c r="DM128" s="9">
        <v>1</v>
      </c>
      <c r="DN128" s="9">
        <v>1</v>
      </c>
      <c r="DO128" s="9">
        <v>1</v>
      </c>
      <c r="DP128" s="9">
        <v>1</v>
      </c>
      <c r="DQ128" s="9">
        <v>1</v>
      </c>
      <c r="DR128" s="9">
        <v>1</v>
      </c>
      <c r="DS128" s="9">
        <v>1</v>
      </c>
      <c r="DT128" s="9">
        <v>0</v>
      </c>
      <c r="DU128" s="9">
        <v>0</v>
      </c>
      <c r="DV128" s="9">
        <v>0</v>
      </c>
      <c r="DW128" s="9">
        <v>0</v>
      </c>
      <c r="DX128" s="9">
        <v>0</v>
      </c>
      <c r="DY128" s="9">
        <v>0</v>
      </c>
      <c r="DZ128" s="9">
        <v>0</v>
      </c>
      <c r="EA128" s="9">
        <v>0</v>
      </c>
      <c r="EB128" s="9">
        <v>0</v>
      </c>
      <c r="EC128" s="9">
        <v>0</v>
      </c>
      <c r="ED128" s="9">
        <v>1</v>
      </c>
      <c r="EE128" s="9">
        <v>0</v>
      </c>
      <c r="EF128" s="9">
        <v>0</v>
      </c>
      <c r="EG128" s="9">
        <v>0</v>
      </c>
      <c r="EH128" s="9">
        <v>0</v>
      </c>
      <c r="EI128" s="9">
        <v>0</v>
      </c>
      <c r="EJ128" s="9">
        <v>0</v>
      </c>
      <c r="EK128" s="9">
        <v>0</v>
      </c>
      <c r="EL128" s="9">
        <v>0</v>
      </c>
      <c r="EM128" s="9">
        <v>0</v>
      </c>
      <c r="EN128" s="9">
        <v>0</v>
      </c>
      <c r="EO128" s="9">
        <v>0</v>
      </c>
      <c r="EP128" s="9">
        <v>0</v>
      </c>
      <c r="EQ128" s="9">
        <v>0</v>
      </c>
      <c r="ER128" s="9">
        <v>0</v>
      </c>
      <c r="ES128" s="9">
        <v>0</v>
      </c>
      <c r="ET128" s="9">
        <v>0</v>
      </c>
      <c r="EU128" s="9">
        <v>0</v>
      </c>
      <c r="EV128" s="9">
        <v>0</v>
      </c>
      <c r="EW128" s="9">
        <v>0</v>
      </c>
      <c r="EX128" s="9">
        <v>0</v>
      </c>
      <c r="EY128" s="9">
        <v>0</v>
      </c>
      <c r="EZ128" s="9">
        <v>0</v>
      </c>
      <c r="FA128" s="9">
        <v>0</v>
      </c>
      <c r="FB128" s="9">
        <v>0</v>
      </c>
      <c r="FC128" s="9">
        <v>0</v>
      </c>
      <c r="FD128" s="9">
        <v>0</v>
      </c>
      <c r="FE128" s="9">
        <v>0</v>
      </c>
      <c r="FF128" s="9">
        <v>0</v>
      </c>
      <c r="FG128" s="9">
        <v>0</v>
      </c>
      <c r="FH128" s="9">
        <v>0</v>
      </c>
      <c r="FI128" s="9">
        <v>0</v>
      </c>
      <c r="FJ128" s="9">
        <v>0</v>
      </c>
      <c r="FK128" s="9">
        <v>0</v>
      </c>
      <c r="FL128" s="9">
        <v>0</v>
      </c>
      <c r="FM128" s="10">
        <v>0</v>
      </c>
    </row>
    <row r="129" spans="1:169" x14ac:dyDescent="0.35">
      <c r="A129" s="8" t="s">
        <v>174</v>
      </c>
      <c r="B129" s="9" t="s">
        <v>223</v>
      </c>
      <c r="C129" s="10" t="s">
        <v>224</v>
      </c>
      <c r="D129" s="62">
        <f t="shared" si="98"/>
        <v>15</v>
      </c>
      <c r="E129" s="9">
        <v>0</v>
      </c>
      <c r="F129" s="9">
        <v>0</v>
      </c>
      <c r="G129" s="9">
        <v>2</v>
      </c>
      <c r="H129" s="9">
        <v>2</v>
      </c>
      <c r="I129" s="9">
        <v>1</v>
      </c>
      <c r="J129" s="9">
        <v>1</v>
      </c>
      <c r="K129" s="9">
        <v>4</v>
      </c>
      <c r="L129" s="9">
        <v>4</v>
      </c>
      <c r="M129" s="9">
        <v>7</v>
      </c>
      <c r="N129" s="9">
        <v>7</v>
      </c>
      <c r="O129" s="9">
        <v>5</v>
      </c>
      <c r="P129" s="9">
        <v>6</v>
      </c>
      <c r="Q129" s="9">
        <v>6</v>
      </c>
      <c r="R129" s="9">
        <v>8</v>
      </c>
      <c r="S129" s="9">
        <v>8</v>
      </c>
      <c r="T129" s="9">
        <v>9</v>
      </c>
      <c r="U129" s="9">
        <v>7</v>
      </c>
      <c r="V129" s="9">
        <v>11</v>
      </c>
      <c r="W129" s="9">
        <v>15</v>
      </c>
      <c r="X129" s="9">
        <v>11</v>
      </c>
      <c r="Y129" s="9">
        <v>9</v>
      </c>
      <c r="Z129" s="9">
        <v>7</v>
      </c>
      <c r="AA129" s="9">
        <v>7</v>
      </c>
      <c r="AB129" s="9">
        <v>5</v>
      </c>
      <c r="AC129" s="9">
        <v>2</v>
      </c>
      <c r="AD129" s="9">
        <v>1</v>
      </c>
      <c r="AE129" s="9">
        <v>1</v>
      </c>
      <c r="AF129" s="9">
        <v>1</v>
      </c>
      <c r="AG129" s="9">
        <v>1</v>
      </c>
      <c r="AH129" s="9">
        <v>1</v>
      </c>
      <c r="AI129" s="9">
        <v>0</v>
      </c>
      <c r="AJ129" s="9">
        <v>1</v>
      </c>
      <c r="AK129" s="9">
        <v>0</v>
      </c>
      <c r="AL129" s="9">
        <v>1</v>
      </c>
      <c r="AM129" s="9">
        <v>1</v>
      </c>
      <c r="AN129" s="9">
        <v>1</v>
      </c>
      <c r="AO129" s="9">
        <v>1</v>
      </c>
      <c r="AP129" s="9">
        <v>1</v>
      </c>
      <c r="AQ129" s="9">
        <v>1</v>
      </c>
      <c r="AR129" s="9">
        <v>1</v>
      </c>
      <c r="AS129" s="9">
        <v>0</v>
      </c>
      <c r="AT129" s="9">
        <v>0</v>
      </c>
      <c r="AU129" s="9">
        <v>0</v>
      </c>
      <c r="AV129" s="9">
        <v>0</v>
      </c>
      <c r="AW129" s="9">
        <v>0</v>
      </c>
      <c r="AX129" s="9">
        <v>1</v>
      </c>
      <c r="AY129" s="9">
        <v>1</v>
      </c>
      <c r="AZ129" s="9">
        <v>0</v>
      </c>
      <c r="BA129" s="9">
        <v>0</v>
      </c>
      <c r="BB129" s="9">
        <v>1</v>
      </c>
      <c r="BC129" s="9">
        <v>0</v>
      </c>
      <c r="BD129" s="9">
        <v>1</v>
      </c>
      <c r="BE129" s="9">
        <v>1</v>
      </c>
      <c r="BF129" s="9">
        <v>1</v>
      </c>
      <c r="BG129" s="9">
        <v>1</v>
      </c>
      <c r="BH129" s="9">
        <v>2</v>
      </c>
      <c r="BI129" s="9">
        <v>2</v>
      </c>
      <c r="BJ129" s="9">
        <v>1</v>
      </c>
      <c r="BK129" s="9">
        <v>1</v>
      </c>
      <c r="BL129" s="9">
        <v>1</v>
      </c>
      <c r="BM129" s="9">
        <v>1</v>
      </c>
      <c r="BN129" s="9">
        <v>1</v>
      </c>
      <c r="BO129" s="9">
        <v>2</v>
      </c>
      <c r="BP129" s="9">
        <v>1</v>
      </c>
      <c r="BQ129" s="9">
        <v>1</v>
      </c>
      <c r="BR129" s="9">
        <v>2</v>
      </c>
      <c r="BS129" s="9">
        <v>1</v>
      </c>
      <c r="BT129" s="9">
        <v>0</v>
      </c>
      <c r="BU129" s="9">
        <v>0</v>
      </c>
      <c r="BV129" s="9">
        <v>0</v>
      </c>
      <c r="BW129" s="9">
        <v>0</v>
      </c>
      <c r="BX129" s="9">
        <v>0</v>
      </c>
      <c r="BY129" s="9">
        <v>0</v>
      </c>
      <c r="BZ129" s="9">
        <v>0</v>
      </c>
      <c r="CA129" s="9">
        <v>0</v>
      </c>
      <c r="CB129" s="9">
        <v>0</v>
      </c>
      <c r="CC129" s="9">
        <v>0</v>
      </c>
      <c r="CD129" s="9">
        <v>0</v>
      </c>
      <c r="CE129" s="9">
        <v>0</v>
      </c>
      <c r="CF129" s="9">
        <v>0</v>
      </c>
      <c r="CG129" s="9">
        <v>0</v>
      </c>
      <c r="CH129" s="9">
        <v>0</v>
      </c>
      <c r="CI129" s="9">
        <v>0</v>
      </c>
      <c r="CJ129" s="9">
        <v>0</v>
      </c>
      <c r="CK129" s="9">
        <v>0</v>
      </c>
      <c r="CL129" s="9">
        <v>1</v>
      </c>
      <c r="CM129" s="9">
        <v>1</v>
      </c>
      <c r="CN129" s="9">
        <v>0</v>
      </c>
      <c r="CO129" s="9">
        <v>1</v>
      </c>
      <c r="CP129" s="9">
        <v>0</v>
      </c>
      <c r="CQ129" s="9">
        <v>0</v>
      </c>
      <c r="CR129" s="9">
        <v>0</v>
      </c>
      <c r="CS129" s="9">
        <v>0</v>
      </c>
      <c r="CT129" s="9">
        <v>0</v>
      </c>
      <c r="CU129" s="9">
        <v>0</v>
      </c>
      <c r="CV129" s="9">
        <v>0</v>
      </c>
      <c r="CW129" s="9">
        <v>0</v>
      </c>
      <c r="CX129" s="9">
        <v>0</v>
      </c>
      <c r="CY129" s="9">
        <v>0</v>
      </c>
      <c r="CZ129" s="9">
        <v>0</v>
      </c>
      <c r="DA129" s="9">
        <v>0</v>
      </c>
      <c r="DB129" s="9">
        <v>0</v>
      </c>
      <c r="DC129" s="9">
        <v>0</v>
      </c>
      <c r="DD129" s="9">
        <v>0</v>
      </c>
      <c r="DE129" s="9">
        <v>0</v>
      </c>
      <c r="DF129" s="9">
        <v>0</v>
      </c>
      <c r="DG129" s="9">
        <v>0</v>
      </c>
      <c r="DH129" s="9">
        <v>0</v>
      </c>
      <c r="DI129" s="9">
        <v>0</v>
      </c>
      <c r="DJ129" s="9">
        <v>0</v>
      </c>
      <c r="DK129" s="9">
        <v>0</v>
      </c>
      <c r="DL129" s="9">
        <v>0</v>
      </c>
      <c r="DM129" s="9">
        <v>0</v>
      </c>
      <c r="DN129" s="9">
        <v>0</v>
      </c>
      <c r="DO129" s="9">
        <v>0</v>
      </c>
      <c r="DP129" s="9">
        <v>0</v>
      </c>
      <c r="DQ129" s="9">
        <v>0</v>
      </c>
      <c r="DR129" s="9">
        <v>0</v>
      </c>
      <c r="DS129" s="9">
        <v>0</v>
      </c>
      <c r="DT129" s="9">
        <v>0</v>
      </c>
      <c r="DU129" s="9">
        <v>0</v>
      </c>
      <c r="DV129" s="9">
        <v>0</v>
      </c>
      <c r="DW129" s="9">
        <v>0</v>
      </c>
      <c r="DX129" s="9">
        <v>0</v>
      </c>
      <c r="DY129" s="9">
        <v>0</v>
      </c>
      <c r="DZ129" s="9">
        <v>0</v>
      </c>
      <c r="EA129" s="9">
        <v>0</v>
      </c>
      <c r="EB129" s="9">
        <v>0</v>
      </c>
      <c r="EC129" s="9">
        <v>0</v>
      </c>
      <c r="ED129" s="9">
        <v>0</v>
      </c>
      <c r="EE129" s="9">
        <v>0</v>
      </c>
      <c r="EF129" s="9">
        <v>0</v>
      </c>
      <c r="EG129" s="9">
        <v>0</v>
      </c>
      <c r="EH129" s="9">
        <v>0</v>
      </c>
      <c r="EI129" s="9">
        <v>0</v>
      </c>
      <c r="EJ129" s="9">
        <v>0</v>
      </c>
      <c r="EK129" s="9">
        <v>0</v>
      </c>
      <c r="EL129" s="9">
        <v>0</v>
      </c>
      <c r="EM129" s="9">
        <v>0</v>
      </c>
      <c r="EN129" s="9">
        <v>0</v>
      </c>
      <c r="EO129" s="9">
        <v>1</v>
      </c>
      <c r="EP129" s="9">
        <v>0</v>
      </c>
      <c r="EQ129" s="9">
        <v>0</v>
      </c>
      <c r="ER129" s="9">
        <v>0</v>
      </c>
      <c r="ES129" s="9">
        <v>0</v>
      </c>
      <c r="ET129" s="9">
        <v>0</v>
      </c>
      <c r="EU129" s="9">
        <v>0</v>
      </c>
      <c r="EV129" s="9">
        <v>0</v>
      </c>
      <c r="EW129" s="9">
        <v>0</v>
      </c>
      <c r="EX129" s="9">
        <v>0</v>
      </c>
      <c r="EY129" s="9">
        <v>0</v>
      </c>
      <c r="EZ129" s="9">
        <v>0</v>
      </c>
      <c r="FA129" s="9">
        <v>0</v>
      </c>
      <c r="FB129" s="9">
        <v>0</v>
      </c>
      <c r="FC129" s="9">
        <v>0</v>
      </c>
      <c r="FD129" s="9">
        <v>0</v>
      </c>
      <c r="FE129" s="9">
        <v>1</v>
      </c>
      <c r="FF129" s="9">
        <v>0</v>
      </c>
      <c r="FG129" s="9">
        <v>0</v>
      </c>
      <c r="FH129" s="9">
        <v>0</v>
      </c>
      <c r="FI129" s="9">
        <v>0</v>
      </c>
      <c r="FJ129" s="9">
        <v>0</v>
      </c>
      <c r="FK129" s="9">
        <v>0</v>
      </c>
      <c r="FL129" s="9">
        <v>0</v>
      </c>
      <c r="FM129" s="10">
        <v>0</v>
      </c>
    </row>
    <row r="130" spans="1:169" x14ac:dyDescent="0.35">
      <c r="A130" s="8" t="s">
        <v>174</v>
      </c>
      <c r="B130" s="9" t="s">
        <v>225</v>
      </c>
      <c r="C130" s="10" t="s">
        <v>226</v>
      </c>
      <c r="D130" s="62">
        <f t="shared" si="98"/>
        <v>35</v>
      </c>
      <c r="E130" s="9">
        <v>0</v>
      </c>
      <c r="F130" s="9">
        <v>0</v>
      </c>
      <c r="G130" s="9">
        <v>0</v>
      </c>
      <c r="H130" s="9">
        <v>0</v>
      </c>
      <c r="I130" s="9">
        <v>0</v>
      </c>
      <c r="J130" s="9">
        <v>0</v>
      </c>
      <c r="K130" s="9">
        <v>0</v>
      </c>
      <c r="L130" s="9">
        <v>0</v>
      </c>
      <c r="M130" s="9">
        <v>0</v>
      </c>
      <c r="N130" s="9">
        <v>0</v>
      </c>
      <c r="O130" s="9">
        <v>0</v>
      </c>
      <c r="P130" s="9">
        <v>0</v>
      </c>
      <c r="Q130" s="9">
        <v>0</v>
      </c>
      <c r="R130" s="9">
        <v>18</v>
      </c>
      <c r="S130" s="9">
        <v>4</v>
      </c>
      <c r="T130" s="9">
        <v>19</v>
      </c>
      <c r="U130" s="9">
        <v>21</v>
      </c>
      <c r="V130" s="9">
        <v>21</v>
      </c>
      <c r="W130" s="9">
        <v>22</v>
      </c>
      <c r="X130" s="9">
        <v>0</v>
      </c>
      <c r="Y130" s="9">
        <v>26</v>
      </c>
      <c r="Z130" s="9">
        <v>23</v>
      </c>
      <c r="AA130" s="9">
        <v>27</v>
      </c>
      <c r="AB130" s="9">
        <v>28</v>
      </c>
      <c r="AC130" s="9">
        <v>28</v>
      </c>
      <c r="AD130" s="9">
        <v>30</v>
      </c>
      <c r="AE130" s="9">
        <v>34</v>
      </c>
      <c r="AF130" s="9">
        <v>35</v>
      </c>
      <c r="AG130" s="9">
        <v>27</v>
      </c>
      <c r="AH130" s="9">
        <v>26</v>
      </c>
      <c r="AI130" s="9">
        <v>26</v>
      </c>
      <c r="AJ130" s="9">
        <v>24</v>
      </c>
      <c r="AK130" s="9">
        <v>22</v>
      </c>
      <c r="AL130" s="9">
        <v>20</v>
      </c>
      <c r="AM130" s="9">
        <v>21</v>
      </c>
      <c r="AN130" s="9">
        <v>20</v>
      </c>
      <c r="AO130" s="9">
        <v>20</v>
      </c>
      <c r="AP130" s="9">
        <v>22</v>
      </c>
      <c r="AQ130" s="9">
        <v>22</v>
      </c>
      <c r="AR130" s="9">
        <v>22</v>
      </c>
      <c r="AS130" s="9">
        <v>22</v>
      </c>
      <c r="AT130" s="9">
        <v>22</v>
      </c>
      <c r="AU130" s="9">
        <v>21</v>
      </c>
      <c r="AV130" s="9">
        <v>21</v>
      </c>
      <c r="AW130" s="9">
        <v>21</v>
      </c>
      <c r="AX130" s="9">
        <v>26</v>
      </c>
      <c r="AY130" s="9">
        <v>28</v>
      </c>
      <c r="AZ130" s="9">
        <v>27</v>
      </c>
      <c r="BA130" s="9">
        <v>24</v>
      </c>
      <c r="BB130" s="9">
        <v>23</v>
      </c>
      <c r="BC130" s="9">
        <v>20</v>
      </c>
      <c r="BD130" s="9">
        <v>22</v>
      </c>
      <c r="BE130" s="9">
        <v>22</v>
      </c>
      <c r="BF130" s="9">
        <v>22</v>
      </c>
      <c r="BG130" s="9">
        <v>23</v>
      </c>
      <c r="BH130" s="9">
        <v>23</v>
      </c>
      <c r="BI130" s="9">
        <v>17</v>
      </c>
      <c r="BJ130" s="9">
        <v>17</v>
      </c>
      <c r="BK130" s="9">
        <v>16</v>
      </c>
      <c r="BL130" s="9">
        <v>1</v>
      </c>
      <c r="BM130" s="9">
        <v>15</v>
      </c>
      <c r="BN130" s="9">
        <v>15</v>
      </c>
      <c r="BO130" s="9">
        <v>13</v>
      </c>
      <c r="BP130" s="9">
        <v>17</v>
      </c>
      <c r="BQ130" s="9">
        <v>16</v>
      </c>
      <c r="BR130" s="9">
        <v>15</v>
      </c>
      <c r="BS130" s="9">
        <v>14</v>
      </c>
      <c r="BT130" s="9">
        <v>12</v>
      </c>
      <c r="BU130" s="9">
        <v>11</v>
      </c>
      <c r="BV130" s="9">
        <v>11</v>
      </c>
      <c r="BW130" s="9">
        <v>10</v>
      </c>
      <c r="BX130" s="9">
        <v>0</v>
      </c>
      <c r="BY130" s="9">
        <v>10</v>
      </c>
      <c r="BZ130" s="9">
        <v>10</v>
      </c>
      <c r="CA130" s="9">
        <v>5</v>
      </c>
      <c r="CB130" s="9">
        <v>5</v>
      </c>
      <c r="CC130" s="9">
        <v>6</v>
      </c>
      <c r="CD130" s="9">
        <v>6</v>
      </c>
      <c r="CE130" s="9">
        <v>5</v>
      </c>
      <c r="CF130" s="9">
        <v>4</v>
      </c>
      <c r="CG130" s="9">
        <v>3</v>
      </c>
      <c r="CH130" s="9">
        <v>3</v>
      </c>
      <c r="CI130" s="9">
        <v>3</v>
      </c>
      <c r="CJ130" s="9">
        <v>2</v>
      </c>
      <c r="CK130" s="9">
        <v>4</v>
      </c>
      <c r="CL130" s="9">
        <v>4</v>
      </c>
      <c r="CM130" s="9">
        <v>5</v>
      </c>
      <c r="CN130" s="9">
        <v>5</v>
      </c>
      <c r="CO130" s="9">
        <v>4</v>
      </c>
      <c r="CP130" s="9">
        <v>4</v>
      </c>
      <c r="CQ130" s="9">
        <v>6</v>
      </c>
      <c r="CR130" s="9">
        <v>5</v>
      </c>
      <c r="CS130" s="9">
        <v>5</v>
      </c>
      <c r="CT130" s="9">
        <v>6</v>
      </c>
      <c r="CU130" s="9">
        <v>7</v>
      </c>
      <c r="CV130" s="9">
        <v>7</v>
      </c>
      <c r="CW130" s="9">
        <v>7</v>
      </c>
      <c r="CX130" s="9">
        <v>8</v>
      </c>
      <c r="CY130" s="9">
        <v>8</v>
      </c>
      <c r="CZ130" s="9">
        <v>8</v>
      </c>
      <c r="DA130" s="9">
        <v>4</v>
      </c>
      <c r="DB130" s="9">
        <v>4</v>
      </c>
      <c r="DC130" s="9">
        <v>3</v>
      </c>
      <c r="DD130" s="9">
        <v>2</v>
      </c>
      <c r="DE130" s="9">
        <v>2</v>
      </c>
      <c r="DF130" s="9">
        <v>2</v>
      </c>
      <c r="DG130" s="9">
        <v>1</v>
      </c>
      <c r="DH130" s="9">
        <v>1</v>
      </c>
      <c r="DI130" s="9">
        <v>1</v>
      </c>
      <c r="DJ130" s="9">
        <v>0</v>
      </c>
      <c r="DK130" s="9">
        <v>0</v>
      </c>
      <c r="DL130" s="9">
        <v>0</v>
      </c>
      <c r="DM130" s="9">
        <v>0</v>
      </c>
      <c r="DN130" s="9">
        <v>0</v>
      </c>
      <c r="DO130" s="9">
        <v>0</v>
      </c>
      <c r="DP130" s="9">
        <v>0</v>
      </c>
      <c r="DQ130" s="9">
        <v>0</v>
      </c>
      <c r="DR130" s="9">
        <v>0</v>
      </c>
      <c r="DS130" s="9">
        <v>0</v>
      </c>
      <c r="DT130" s="9">
        <v>0</v>
      </c>
      <c r="DU130" s="9">
        <v>0</v>
      </c>
      <c r="DV130" s="9">
        <v>0</v>
      </c>
      <c r="DW130" s="9">
        <v>0</v>
      </c>
      <c r="DX130" s="9">
        <v>0</v>
      </c>
      <c r="DY130" s="9">
        <v>0</v>
      </c>
      <c r="DZ130" s="9">
        <v>0</v>
      </c>
      <c r="EA130" s="9">
        <v>0</v>
      </c>
      <c r="EB130" s="9">
        <v>0</v>
      </c>
      <c r="EC130" s="9">
        <v>0</v>
      </c>
      <c r="ED130" s="9">
        <v>0</v>
      </c>
      <c r="EE130" s="9">
        <v>0</v>
      </c>
      <c r="EF130" s="9">
        <v>0</v>
      </c>
      <c r="EG130" s="9">
        <v>0</v>
      </c>
      <c r="EH130" s="9">
        <v>0</v>
      </c>
      <c r="EI130" s="9">
        <v>0</v>
      </c>
      <c r="EJ130" s="9">
        <v>0</v>
      </c>
      <c r="EK130" s="9">
        <v>0</v>
      </c>
      <c r="EL130" s="9">
        <v>0</v>
      </c>
      <c r="EM130" s="9">
        <v>0</v>
      </c>
      <c r="EN130" s="9">
        <v>0</v>
      </c>
      <c r="EO130" s="9">
        <v>0</v>
      </c>
      <c r="EP130" s="9">
        <v>0</v>
      </c>
      <c r="EQ130" s="9">
        <v>0</v>
      </c>
      <c r="ER130" s="9">
        <v>0</v>
      </c>
      <c r="ES130" s="9">
        <v>0</v>
      </c>
      <c r="ET130" s="9">
        <v>0</v>
      </c>
      <c r="EU130" s="9">
        <v>0</v>
      </c>
      <c r="EV130" s="9">
        <v>0</v>
      </c>
      <c r="EW130" s="9">
        <v>0</v>
      </c>
      <c r="EX130" s="9">
        <v>0</v>
      </c>
      <c r="EY130" s="9">
        <v>0</v>
      </c>
      <c r="EZ130" s="9">
        <v>0</v>
      </c>
      <c r="FA130" s="9">
        <v>0</v>
      </c>
      <c r="FB130" s="9">
        <v>0</v>
      </c>
      <c r="FC130" s="9">
        <v>0</v>
      </c>
      <c r="FD130" s="9">
        <v>0</v>
      </c>
      <c r="FE130" s="9">
        <v>0</v>
      </c>
      <c r="FF130" s="9">
        <v>0</v>
      </c>
      <c r="FG130" s="9">
        <v>0</v>
      </c>
      <c r="FH130" s="9">
        <v>0</v>
      </c>
      <c r="FI130" s="9">
        <v>0</v>
      </c>
      <c r="FJ130" s="9">
        <v>0</v>
      </c>
      <c r="FK130" s="9">
        <v>0</v>
      </c>
      <c r="FL130" s="9">
        <v>0</v>
      </c>
      <c r="FM130" s="10">
        <v>0</v>
      </c>
    </row>
    <row r="131" spans="1:169" x14ac:dyDescent="0.35">
      <c r="A131" s="8" t="s">
        <v>174</v>
      </c>
      <c r="B131" s="9" t="s">
        <v>227</v>
      </c>
      <c r="C131" s="10" t="s">
        <v>228</v>
      </c>
      <c r="D131" s="62">
        <f t="shared" si="98"/>
        <v>17</v>
      </c>
      <c r="E131" s="9">
        <v>0</v>
      </c>
      <c r="F131" s="9">
        <v>0</v>
      </c>
      <c r="G131" s="9">
        <v>0</v>
      </c>
      <c r="H131" s="9">
        <v>0</v>
      </c>
      <c r="I131" s="9">
        <v>0</v>
      </c>
      <c r="J131" s="9">
        <v>0</v>
      </c>
      <c r="K131" s="9">
        <v>0</v>
      </c>
      <c r="L131" s="9">
        <v>1</v>
      </c>
      <c r="M131" s="9">
        <v>1</v>
      </c>
      <c r="N131" s="9">
        <v>0</v>
      </c>
      <c r="O131" s="9">
        <v>3</v>
      </c>
      <c r="P131" s="9">
        <v>4</v>
      </c>
      <c r="Q131" s="9">
        <v>3</v>
      </c>
      <c r="R131" s="9">
        <v>4</v>
      </c>
      <c r="S131" s="9">
        <v>4</v>
      </c>
      <c r="T131" s="9">
        <v>4</v>
      </c>
      <c r="U131" s="9">
        <v>4</v>
      </c>
      <c r="V131" s="9">
        <v>4</v>
      </c>
      <c r="W131" s="9">
        <v>4</v>
      </c>
      <c r="X131" s="9">
        <v>4</v>
      </c>
      <c r="Y131" s="9">
        <v>4</v>
      </c>
      <c r="Z131" s="9">
        <v>5</v>
      </c>
      <c r="AA131" s="9">
        <v>3</v>
      </c>
      <c r="AB131" s="9">
        <v>4</v>
      </c>
      <c r="AC131" s="9">
        <v>4</v>
      </c>
      <c r="AD131" s="9">
        <v>4</v>
      </c>
      <c r="AE131" s="9">
        <v>0</v>
      </c>
      <c r="AF131" s="9">
        <v>7</v>
      </c>
      <c r="AG131" s="9">
        <v>10</v>
      </c>
      <c r="AH131" s="9">
        <v>10</v>
      </c>
      <c r="AI131" s="9">
        <v>12</v>
      </c>
      <c r="AJ131" s="9">
        <v>11</v>
      </c>
      <c r="AK131" s="9">
        <v>14</v>
      </c>
      <c r="AL131" s="9">
        <v>16</v>
      </c>
      <c r="AM131" s="9">
        <v>17</v>
      </c>
      <c r="AN131" s="9">
        <v>13</v>
      </c>
      <c r="AO131" s="9">
        <v>13</v>
      </c>
      <c r="AP131" s="9">
        <v>13</v>
      </c>
      <c r="AQ131" s="9">
        <v>12</v>
      </c>
      <c r="AR131" s="9">
        <v>12</v>
      </c>
      <c r="AS131" s="9">
        <v>15</v>
      </c>
      <c r="AT131" s="9">
        <v>12</v>
      </c>
      <c r="AU131" s="9">
        <v>12</v>
      </c>
      <c r="AV131" s="9">
        <v>12</v>
      </c>
      <c r="AW131" s="9">
        <v>11</v>
      </c>
      <c r="AX131" s="9">
        <v>13</v>
      </c>
      <c r="AY131" s="9">
        <v>12</v>
      </c>
      <c r="AZ131" s="9">
        <v>15</v>
      </c>
      <c r="BA131" s="9">
        <v>10</v>
      </c>
      <c r="BB131" s="9">
        <v>8</v>
      </c>
      <c r="BC131" s="9">
        <v>9</v>
      </c>
      <c r="BD131" s="9">
        <v>9</v>
      </c>
      <c r="BE131" s="9">
        <v>8</v>
      </c>
      <c r="BF131" s="9">
        <v>9</v>
      </c>
      <c r="BG131" s="9">
        <v>8</v>
      </c>
      <c r="BH131" s="9">
        <v>9</v>
      </c>
      <c r="BI131" s="9">
        <v>7</v>
      </c>
      <c r="BJ131" s="9">
        <v>4</v>
      </c>
      <c r="BK131" s="9">
        <v>5</v>
      </c>
      <c r="BL131" s="9">
        <v>5</v>
      </c>
      <c r="BM131" s="9">
        <v>5</v>
      </c>
      <c r="BN131" s="9">
        <v>4</v>
      </c>
      <c r="BO131" s="9">
        <v>4</v>
      </c>
      <c r="BP131" s="9">
        <v>4</v>
      </c>
      <c r="BQ131" s="9">
        <v>4</v>
      </c>
      <c r="BR131" s="9">
        <v>4</v>
      </c>
      <c r="BS131" s="9">
        <v>4</v>
      </c>
      <c r="BT131" s="9">
        <v>4</v>
      </c>
      <c r="BU131" s="9">
        <v>3</v>
      </c>
      <c r="BV131" s="9">
        <v>3</v>
      </c>
      <c r="BW131" s="9">
        <v>2</v>
      </c>
      <c r="BX131" s="9">
        <v>2</v>
      </c>
      <c r="BY131" s="9">
        <v>2</v>
      </c>
      <c r="BZ131" s="9">
        <v>1</v>
      </c>
      <c r="CA131" s="9">
        <v>1</v>
      </c>
      <c r="CB131" s="9">
        <v>0</v>
      </c>
      <c r="CC131" s="9">
        <v>0</v>
      </c>
      <c r="CD131" s="9">
        <v>0</v>
      </c>
      <c r="CE131" s="9">
        <v>0</v>
      </c>
      <c r="CF131" s="9">
        <v>0</v>
      </c>
      <c r="CG131" s="9">
        <v>0</v>
      </c>
      <c r="CH131" s="9">
        <v>0</v>
      </c>
      <c r="CI131" s="9">
        <v>0</v>
      </c>
      <c r="CJ131" s="9">
        <v>0</v>
      </c>
      <c r="CK131" s="9">
        <v>0</v>
      </c>
      <c r="CL131" s="9">
        <v>0</v>
      </c>
      <c r="CM131" s="9">
        <v>0</v>
      </c>
      <c r="CN131" s="9">
        <v>0</v>
      </c>
      <c r="CO131" s="9">
        <v>0</v>
      </c>
      <c r="CP131" s="9">
        <v>0</v>
      </c>
      <c r="CQ131" s="9">
        <v>0</v>
      </c>
      <c r="CR131" s="9">
        <v>0</v>
      </c>
      <c r="CS131" s="9">
        <v>0</v>
      </c>
      <c r="CT131" s="9">
        <v>0</v>
      </c>
      <c r="CU131" s="9">
        <v>0</v>
      </c>
      <c r="CV131" s="9">
        <v>0</v>
      </c>
      <c r="CW131" s="9">
        <v>0</v>
      </c>
      <c r="CX131" s="9">
        <v>0</v>
      </c>
      <c r="CY131" s="9">
        <v>0</v>
      </c>
      <c r="CZ131" s="9">
        <v>0</v>
      </c>
      <c r="DA131" s="9">
        <v>0</v>
      </c>
      <c r="DB131" s="9">
        <v>0</v>
      </c>
      <c r="DC131" s="9">
        <v>0</v>
      </c>
      <c r="DD131" s="9">
        <v>0</v>
      </c>
      <c r="DE131" s="9">
        <v>0</v>
      </c>
      <c r="DF131" s="9">
        <v>0</v>
      </c>
      <c r="DG131" s="9">
        <v>0</v>
      </c>
      <c r="DH131" s="9">
        <v>0</v>
      </c>
      <c r="DI131" s="9">
        <v>0</v>
      </c>
      <c r="DJ131" s="9">
        <v>0</v>
      </c>
      <c r="DK131" s="9">
        <v>0</v>
      </c>
      <c r="DL131" s="9">
        <v>0</v>
      </c>
      <c r="DM131" s="9">
        <v>0</v>
      </c>
      <c r="DN131" s="9">
        <v>0</v>
      </c>
      <c r="DO131" s="9">
        <v>0</v>
      </c>
      <c r="DP131" s="9">
        <v>0</v>
      </c>
      <c r="DQ131" s="9">
        <v>0</v>
      </c>
      <c r="DR131" s="9">
        <v>0</v>
      </c>
      <c r="DS131" s="9">
        <v>0</v>
      </c>
      <c r="DT131" s="9">
        <v>0</v>
      </c>
      <c r="DU131" s="9">
        <v>0</v>
      </c>
      <c r="DV131" s="9">
        <v>0</v>
      </c>
      <c r="DW131" s="9">
        <v>0</v>
      </c>
      <c r="DX131" s="9">
        <v>0</v>
      </c>
      <c r="DY131" s="9">
        <v>0</v>
      </c>
      <c r="DZ131" s="9">
        <v>0</v>
      </c>
      <c r="EA131" s="9">
        <v>0</v>
      </c>
      <c r="EB131" s="9">
        <v>0</v>
      </c>
      <c r="EC131" s="9">
        <v>0</v>
      </c>
      <c r="ED131" s="9">
        <v>0</v>
      </c>
      <c r="EE131" s="9">
        <v>0</v>
      </c>
      <c r="EF131" s="9">
        <v>0</v>
      </c>
      <c r="EG131" s="9">
        <v>0</v>
      </c>
      <c r="EH131" s="9">
        <v>0</v>
      </c>
      <c r="EI131" s="9">
        <v>0</v>
      </c>
      <c r="EJ131" s="9">
        <v>0</v>
      </c>
      <c r="EK131" s="9">
        <v>0</v>
      </c>
      <c r="EL131" s="9">
        <v>0</v>
      </c>
      <c r="EM131" s="9">
        <v>0</v>
      </c>
      <c r="EN131" s="9">
        <v>0</v>
      </c>
      <c r="EO131" s="9">
        <v>0</v>
      </c>
      <c r="EP131" s="9">
        <v>0</v>
      </c>
      <c r="EQ131" s="9">
        <v>0</v>
      </c>
      <c r="ER131" s="9">
        <v>0</v>
      </c>
      <c r="ES131" s="9">
        <v>0</v>
      </c>
      <c r="ET131" s="9">
        <v>0</v>
      </c>
      <c r="EU131" s="9">
        <v>0</v>
      </c>
      <c r="EV131" s="9">
        <v>0</v>
      </c>
      <c r="EW131" s="9">
        <v>0</v>
      </c>
      <c r="EX131" s="9">
        <v>0</v>
      </c>
      <c r="EY131" s="9">
        <v>0</v>
      </c>
      <c r="EZ131" s="9">
        <v>0</v>
      </c>
      <c r="FA131" s="9">
        <v>0</v>
      </c>
      <c r="FB131" s="9">
        <v>0</v>
      </c>
      <c r="FC131" s="9">
        <v>0</v>
      </c>
      <c r="FD131" s="9">
        <v>0</v>
      </c>
      <c r="FE131" s="9">
        <v>0</v>
      </c>
      <c r="FF131" s="9">
        <v>0</v>
      </c>
      <c r="FG131" s="9">
        <v>0</v>
      </c>
      <c r="FH131" s="9">
        <v>0</v>
      </c>
      <c r="FI131" s="9">
        <v>0</v>
      </c>
      <c r="FJ131" s="9">
        <v>0</v>
      </c>
      <c r="FK131" s="9">
        <v>0</v>
      </c>
      <c r="FL131" s="9">
        <v>0</v>
      </c>
      <c r="FM131" s="10">
        <v>0</v>
      </c>
    </row>
    <row r="132" spans="1:169" x14ac:dyDescent="0.35">
      <c r="A132" s="8" t="s">
        <v>174</v>
      </c>
      <c r="B132" s="9" t="s">
        <v>229</v>
      </c>
      <c r="C132" s="10" t="s">
        <v>230</v>
      </c>
      <c r="D132" s="62">
        <f t="shared" si="98"/>
        <v>791</v>
      </c>
      <c r="E132" s="9">
        <v>33</v>
      </c>
      <c r="F132" s="9">
        <v>50</v>
      </c>
      <c r="G132" s="9">
        <v>79</v>
      </c>
      <c r="H132" s="9">
        <v>83</v>
      </c>
      <c r="I132" s="9">
        <v>137</v>
      </c>
      <c r="J132" s="9">
        <v>162</v>
      </c>
      <c r="K132" s="9">
        <v>276</v>
      </c>
      <c r="L132" s="9">
        <v>159</v>
      </c>
      <c r="M132" s="9">
        <v>105</v>
      </c>
      <c r="N132" s="9">
        <v>89</v>
      </c>
      <c r="O132" s="9">
        <v>418</v>
      </c>
      <c r="P132" s="9">
        <v>480</v>
      </c>
      <c r="Q132" s="9">
        <v>531</v>
      </c>
      <c r="R132" s="9">
        <v>85</v>
      </c>
      <c r="S132" s="9">
        <v>578</v>
      </c>
      <c r="T132" s="9">
        <v>601</v>
      </c>
      <c r="U132" s="9">
        <v>629</v>
      </c>
      <c r="V132" s="9">
        <v>651</v>
      </c>
      <c r="W132" s="9">
        <v>791</v>
      </c>
      <c r="X132" s="9">
        <v>698</v>
      </c>
      <c r="Y132" s="9">
        <v>690</v>
      </c>
      <c r="Z132" s="9">
        <v>725</v>
      </c>
      <c r="AA132" s="9">
        <v>717</v>
      </c>
      <c r="AB132" s="9">
        <v>694</v>
      </c>
      <c r="AC132" s="9">
        <v>692</v>
      </c>
      <c r="AD132" s="9">
        <v>672</v>
      </c>
      <c r="AE132" s="9">
        <v>636</v>
      </c>
      <c r="AF132" s="9">
        <v>634</v>
      </c>
      <c r="AG132" s="9">
        <v>598</v>
      </c>
      <c r="AH132" s="9">
        <v>566</v>
      </c>
      <c r="AI132" s="9">
        <v>546</v>
      </c>
      <c r="AJ132" s="9">
        <v>554</v>
      </c>
      <c r="AK132" s="9">
        <v>525</v>
      </c>
      <c r="AL132" s="9">
        <v>515</v>
      </c>
      <c r="AM132" s="9">
        <v>485</v>
      </c>
      <c r="AN132" s="9">
        <v>456</v>
      </c>
      <c r="AO132" s="9">
        <v>437</v>
      </c>
      <c r="AP132" s="9">
        <v>418</v>
      </c>
      <c r="AQ132" s="9">
        <v>382</v>
      </c>
      <c r="AR132" s="9">
        <v>381</v>
      </c>
      <c r="AS132" s="9">
        <v>390</v>
      </c>
      <c r="AT132" s="9">
        <v>371</v>
      </c>
      <c r="AU132" s="9">
        <v>386</v>
      </c>
      <c r="AV132" s="9">
        <v>380</v>
      </c>
      <c r="AW132" s="9">
        <v>335</v>
      </c>
      <c r="AX132" s="9">
        <v>332</v>
      </c>
      <c r="AY132" s="9">
        <v>320</v>
      </c>
      <c r="AZ132" s="9">
        <v>313</v>
      </c>
      <c r="BA132" s="9">
        <v>285</v>
      </c>
      <c r="BB132" s="9">
        <v>273</v>
      </c>
      <c r="BC132" s="9">
        <v>295</v>
      </c>
      <c r="BD132" s="9">
        <v>267</v>
      </c>
      <c r="BE132" s="9">
        <v>270</v>
      </c>
      <c r="BF132" s="9">
        <v>256</v>
      </c>
      <c r="BG132" s="9">
        <v>242</v>
      </c>
      <c r="BH132" s="9">
        <v>238</v>
      </c>
      <c r="BI132" s="9">
        <v>225</v>
      </c>
      <c r="BJ132" s="9">
        <v>254</v>
      </c>
      <c r="BK132" s="9">
        <v>250</v>
      </c>
      <c r="BL132" s="9">
        <v>255</v>
      </c>
      <c r="BM132" s="9">
        <v>235</v>
      </c>
      <c r="BN132" s="9">
        <v>238</v>
      </c>
      <c r="BO132" s="9">
        <v>246</v>
      </c>
      <c r="BP132" s="9">
        <v>245</v>
      </c>
      <c r="BQ132" s="9">
        <v>214</v>
      </c>
      <c r="BR132" s="9">
        <v>213</v>
      </c>
      <c r="BS132" s="9">
        <v>215</v>
      </c>
      <c r="BT132" s="9">
        <v>212</v>
      </c>
      <c r="BU132" s="9">
        <v>213</v>
      </c>
      <c r="BV132" s="9">
        <v>208</v>
      </c>
      <c r="BW132" s="9">
        <v>205</v>
      </c>
      <c r="BX132" s="9">
        <v>193</v>
      </c>
      <c r="BY132" s="9">
        <v>189</v>
      </c>
      <c r="BZ132" s="9">
        <v>191</v>
      </c>
      <c r="CA132" s="9">
        <v>181</v>
      </c>
      <c r="CB132" s="9">
        <v>166</v>
      </c>
      <c r="CC132" s="9">
        <v>160</v>
      </c>
      <c r="CD132" s="9">
        <v>154</v>
      </c>
      <c r="CE132" s="9">
        <v>155</v>
      </c>
      <c r="CF132" s="9">
        <v>149</v>
      </c>
      <c r="CG132" s="9">
        <v>152</v>
      </c>
      <c r="CH132" s="9">
        <v>154</v>
      </c>
      <c r="CI132" s="9">
        <v>158</v>
      </c>
      <c r="CJ132" s="9">
        <v>153</v>
      </c>
      <c r="CK132" s="9">
        <v>146</v>
      </c>
      <c r="CL132" s="9">
        <v>148</v>
      </c>
      <c r="CM132" s="9">
        <v>148</v>
      </c>
      <c r="CN132" s="9">
        <v>150</v>
      </c>
      <c r="CO132" s="9">
        <v>148</v>
      </c>
      <c r="CP132" s="9">
        <v>145</v>
      </c>
      <c r="CQ132" s="9">
        <v>133</v>
      </c>
      <c r="CR132" s="9">
        <v>128</v>
      </c>
      <c r="CS132" s="9">
        <v>122</v>
      </c>
      <c r="CT132" s="9">
        <v>115</v>
      </c>
      <c r="CU132" s="9">
        <v>124</v>
      </c>
      <c r="CV132" s="9">
        <v>120</v>
      </c>
      <c r="CW132" s="9">
        <v>112</v>
      </c>
      <c r="CX132" s="9">
        <v>117</v>
      </c>
      <c r="CY132" s="9">
        <v>71</v>
      </c>
      <c r="CZ132" s="9">
        <v>108</v>
      </c>
      <c r="DA132" s="9">
        <v>109</v>
      </c>
      <c r="DB132" s="9">
        <v>103</v>
      </c>
      <c r="DC132" s="9">
        <v>108</v>
      </c>
      <c r="DD132" s="9">
        <v>107</v>
      </c>
      <c r="DE132" s="9">
        <v>100</v>
      </c>
      <c r="DF132" s="9">
        <v>92</v>
      </c>
      <c r="DG132" s="9">
        <v>83</v>
      </c>
      <c r="DH132" s="9">
        <v>81</v>
      </c>
      <c r="DI132" s="9">
        <v>105</v>
      </c>
      <c r="DJ132" s="9">
        <v>86</v>
      </c>
      <c r="DK132" s="9">
        <v>82</v>
      </c>
      <c r="DL132" s="9">
        <v>82</v>
      </c>
      <c r="DM132" s="9">
        <v>76</v>
      </c>
      <c r="DN132" s="9">
        <v>76</v>
      </c>
      <c r="DO132" s="9">
        <v>70</v>
      </c>
      <c r="DP132" s="9">
        <v>72</v>
      </c>
      <c r="DQ132" s="9">
        <v>75</v>
      </c>
      <c r="DR132" s="9">
        <v>78</v>
      </c>
      <c r="DS132" s="9">
        <v>78</v>
      </c>
      <c r="DT132" s="9">
        <v>69</v>
      </c>
      <c r="DU132" s="9">
        <v>64</v>
      </c>
      <c r="DV132" s="9">
        <v>66</v>
      </c>
      <c r="DW132" s="9">
        <v>66</v>
      </c>
      <c r="DX132" s="9">
        <v>82</v>
      </c>
      <c r="DY132" s="9">
        <v>83</v>
      </c>
      <c r="DZ132" s="9">
        <v>77</v>
      </c>
      <c r="EA132" s="9">
        <v>73</v>
      </c>
      <c r="EB132" s="9">
        <v>70</v>
      </c>
      <c r="EC132" s="9">
        <v>72</v>
      </c>
      <c r="ED132" s="9">
        <v>75</v>
      </c>
      <c r="EE132" s="9">
        <v>79</v>
      </c>
      <c r="EF132" s="9">
        <v>77</v>
      </c>
      <c r="EG132" s="9">
        <v>78</v>
      </c>
      <c r="EH132" s="9">
        <v>79</v>
      </c>
      <c r="EI132" s="9">
        <v>83</v>
      </c>
      <c r="EJ132" s="9">
        <v>85</v>
      </c>
      <c r="EK132" s="9">
        <v>79</v>
      </c>
      <c r="EL132" s="9">
        <v>69</v>
      </c>
      <c r="EM132" s="9">
        <v>70</v>
      </c>
      <c r="EN132" s="9">
        <v>70</v>
      </c>
      <c r="EO132" s="9">
        <v>69</v>
      </c>
      <c r="EP132" s="9">
        <v>0</v>
      </c>
      <c r="EQ132" s="9">
        <v>0</v>
      </c>
      <c r="ER132" s="9">
        <v>68</v>
      </c>
      <c r="ES132" s="9">
        <v>67</v>
      </c>
      <c r="ET132" s="9">
        <v>67</v>
      </c>
      <c r="EU132" s="9">
        <v>65</v>
      </c>
      <c r="EV132" s="9">
        <v>62</v>
      </c>
      <c r="EW132" s="9">
        <v>66</v>
      </c>
      <c r="EX132" s="9">
        <v>64</v>
      </c>
      <c r="EY132" s="9">
        <v>69</v>
      </c>
      <c r="EZ132" s="9">
        <v>75</v>
      </c>
      <c r="FA132" s="9">
        <v>72</v>
      </c>
      <c r="FB132" s="9">
        <v>70</v>
      </c>
      <c r="FC132" s="9">
        <v>64</v>
      </c>
      <c r="FD132" s="9">
        <v>63</v>
      </c>
      <c r="FE132" s="9">
        <v>62</v>
      </c>
      <c r="FF132" s="9">
        <v>59</v>
      </c>
      <c r="FG132" s="9">
        <v>60</v>
      </c>
      <c r="FH132" s="9">
        <v>58</v>
      </c>
      <c r="FI132" s="9">
        <v>54</v>
      </c>
      <c r="FJ132" s="9">
        <v>51</v>
      </c>
      <c r="FK132" s="9">
        <v>54</v>
      </c>
      <c r="FL132" s="9">
        <v>52</v>
      </c>
      <c r="FM132" s="10">
        <v>48</v>
      </c>
    </row>
    <row r="133" spans="1:169" x14ac:dyDescent="0.35">
      <c r="A133" s="8" t="s">
        <v>174</v>
      </c>
      <c r="B133" s="9" t="s">
        <v>231</v>
      </c>
      <c r="C133" s="10" t="s">
        <v>232</v>
      </c>
      <c r="D133" s="62">
        <f t="shared" ref="D133:D196" si="99">MAX(E133:FM133)</f>
        <v>40</v>
      </c>
      <c r="E133" s="9">
        <v>0</v>
      </c>
      <c r="F133" s="9">
        <v>1</v>
      </c>
      <c r="G133" s="9">
        <v>2</v>
      </c>
      <c r="H133" s="9">
        <v>1</v>
      </c>
      <c r="I133" s="9">
        <v>1</v>
      </c>
      <c r="J133" s="9">
        <v>1</v>
      </c>
      <c r="K133" s="9">
        <v>1</v>
      </c>
      <c r="L133" s="9">
        <v>1</v>
      </c>
      <c r="M133" s="9">
        <v>3</v>
      </c>
      <c r="N133" s="9">
        <v>3</v>
      </c>
      <c r="O133" s="9">
        <v>6</v>
      </c>
      <c r="P133" s="9">
        <v>11</v>
      </c>
      <c r="Q133" s="9">
        <v>11</v>
      </c>
      <c r="R133" s="9">
        <v>9</v>
      </c>
      <c r="S133" s="9">
        <v>11</v>
      </c>
      <c r="T133" s="9">
        <v>15</v>
      </c>
      <c r="U133" s="9">
        <v>18</v>
      </c>
      <c r="V133" s="9">
        <v>0</v>
      </c>
      <c r="W133" s="9">
        <v>16</v>
      </c>
      <c r="X133" s="9">
        <v>15</v>
      </c>
      <c r="Y133" s="9">
        <v>27</v>
      </c>
      <c r="Z133" s="9">
        <v>29</v>
      </c>
      <c r="AA133" s="9">
        <v>32</v>
      </c>
      <c r="AB133" s="9">
        <v>31</v>
      </c>
      <c r="AC133" s="9">
        <v>33</v>
      </c>
      <c r="AD133" s="9">
        <v>32</v>
      </c>
      <c r="AE133" s="9">
        <v>35</v>
      </c>
      <c r="AF133" s="9">
        <v>36</v>
      </c>
      <c r="AG133" s="9">
        <v>34</v>
      </c>
      <c r="AH133" s="9">
        <v>34</v>
      </c>
      <c r="AI133" s="9">
        <v>39</v>
      </c>
      <c r="AJ133" s="9">
        <v>40</v>
      </c>
      <c r="AK133" s="9">
        <v>40</v>
      </c>
      <c r="AL133" s="9">
        <v>29</v>
      </c>
      <c r="AM133" s="9">
        <v>32</v>
      </c>
      <c r="AN133" s="9">
        <v>33</v>
      </c>
      <c r="AO133" s="9">
        <v>30</v>
      </c>
      <c r="AP133" s="9">
        <v>32</v>
      </c>
      <c r="AQ133" s="9">
        <v>32</v>
      </c>
      <c r="AR133" s="9">
        <v>32</v>
      </c>
      <c r="AS133" s="9">
        <v>33</v>
      </c>
      <c r="AT133" s="9">
        <v>35</v>
      </c>
      <c r="AU133" s="9">
        <v>36</v>
      </c>
      <c r="AV133" s="9">
        <v>27</v>
      </c>
      <c r="AW133" s="9">
        <v>31</v>
      </c>
      <c r="AX133" s="9">
        <v>30</v>
      </c>
      <c r="AY133" s="9">
        <v>29</v>
      </c>
      <c r="AZ133" s="9">
        <v>26</v>
      </c>
      <c r="BA133" s="9">
        <v>25</v>
      </c>
      <c r="BB133" s="9">
        <v>21</v>
      </c>
      <c r="BC133" s="9">
        <v>21</v>
      </c>
      <c r="BD133" s="9">
        <v>22</v>
      </c>
      <c r="BE133" s="9">
        <v>19</v>
      </c>
      <c r="BF133" s="9">
        <v>13</v>
      </c>
      <c r="BG133" s="9">
        <v>14</v>
      </c>
      <c r="BH133" s="9">
        <v>18</v>
      </c>
      <c r="BI133" s="9">
        <v>18</v>
      </c>
      <c r="BJ133" s="9">
        <v>19</v>
      </c>
      <c r="BK133" s="9">
        <v>20</v>
      </c>
      <c r="BL133" s="9">
        <v>21</v>
      </c>
      <c r="BM133" s="9">
        <v>20</v>
      </c>
      <c r="BN133" s="9">
        <v>21</v>
      </c>
      <c r="BO133" s="9">
        <v>19</v>
      </c>
      <c r="BP133" s="9">
        <v>16</v>
      </c>
      <c r="BQ133" s="9">
        <v>18</v>
      </c>
      <c r="BR133" s="9">
        <v>20</v>
      </c>
      <c r="BS133" s="9">
        <v>21</v>
      </c>
      <c r="BT133" s="9">
        <v>19</v>
      </c>
      <c r="BU133" s="9">
        <v>21</v>
      </c>
      <c r="BV133" s="9">
        <v>22</v>
      </c>
      <c r="BW133" s="9">
        <v>28</v>
      </c>
      <c r="BX133" s="9">
        <v>24</v>
      </c>
      <c r="BY133" s="9">
        <v>26</v>
      </c>
      <c r="BZ133" s="9">
        <v>26</v>
      </c>
      <c r="CA133" s="9">
        <v>27</v>
      </c>
      <c r="CB133" s="9">
        <v>26</v>
      </c>
      <c r="CC133" s="9">
        <v>25</v>
      </c>
      <c r="CD133" s="9">
        <v>25</v>
      </c>
      <c r="CE133" s="9">
        <v>20</v>
      </c>
      <c r="CF133" s="9">
        <v>20</v>
      </c>
      <c r="CG133" s="9">
        <v>19</v>
      </c>
      <c r="CH133" s="9">
        <v>18</v>
      </c>
      <c r="CI133" s="9">
        <v>15</v>
      </c>
      <c r="CJ133" s="9">
        <v>12</v>
      </c>
      <c r="CK133" s="9">
        <v>12</v>
      </c>
      <c r="CL133" s="9">
        <v>11</v>
      </c>
      <c r="CM133" s="9">
        <v>10</v>
      </c>
      <c r="CN133" s="9">
        <v>9</v>
      </c>
      <c r="CO133" s="9">
        <v>8</v>
      </c>
      <c r="CP133" s="9">
        <v>5</v>
      </c>
      <c r="CQ133" s="9">
        <v>5</v>
      </c>
      <c r="CR133" s="9">
        <v>7</v>
      </c>
      <c r="CS133" s="9">
        <v>7</v>
      </c>
      <c r="CT133" s="9">
        <v>8</v>
      </c>
      <c r="CU133" s="9">
        <v>8</v>
      </c>
      <c r="CV133" s="9">
        <v>8</v>
      </c>
      <c r="CW133" s="9">
        <v>7</v>
      </c>
      <c r="CX133" s="9">
        <v>7</v>
      </c>
      <c r="CY133" s="9">
        <v>7</v>
      </c>
      <c r="CZ133" s="9">
        <v>8</v>
      </c>
      <c r="DA133" s="9">
        <v>7</v>
      </c>
      <c r="DB133" s="9">
        <v>7</v>
      </c>
      <c r="DC133" s="9">
        <v>6</v>
      </c>
      <c r="DD133" s="9">
        <v>6</v>
      </c>
      <c r="DE133" s="9">
        <v>8</v>
      </c>
      <c r="DF133" s="9">
        <v>6</v>
      </c>
      <c r="DG133" s="9">
        <v>5</v>
      </c>
      <c r="DH133" s="9">
        <v>5</v>
      </c>
      <c r="DI133" s="9">
        <v>5</v>
      </c>
      <c r="DJ133" s="9">
        <v>5</v>
      </c>
      <c r="DK133" s="9">
        <v>5</v>
      </c>
      <c r="DL133" s="9">
        <v>6</v>
      </c>
      <c r="DM133" s="9">
        <v>4</v>
      </c>
      <c r="DN133" s="9">
        <v>4</v>
      </c>
      <c r="DO133" s="9">
        <v>3</v>
      </c>
      <c r="DP133" s="9">
        <v>3</v>
      </c>
      <c r="DQ133" s="9">
        <v>3</v>
      </c>
      <c r="DR133" s="9">
        <v>3</v>
      </c>
      <c r="DS133" s="9">
        <v>2</v>
      </c>
      <c r="DT133" s="9">
        <v>2</v>
      </c>
      <c r="DU133" s="9">
        <v>3</v>
      </c>
      <c r="DV133" s="9">
        <v>3</v>
      </c>
      <c r="DW133" s="9">
        <v>3</v>
      </c>
      <c r="DX133" s="9">
        <v>3</v>
      </c>
      <c r="DY133" s="9">
        <v>3</v>
      </c>
      <c r="DZ133" s="9">
        <v>3</v>
      </c>
      <c r="EA133" s="9">
        <v>1</v>
      </c>
      <c r="EB133" s="9">
        <v>1</v>
      </c>
      <c r="EC133" s="9">
        <v>1</v>
      </c>
      <c r="ED133" s="9">
        <v>1</v>
      </c>
      <c r="EE133" s="9">
        <v>1</v>
      </c>
      <c r="EF133" s="9">
        <v>1</v>
      </c>
      <c r="EG133" s="9">
        <v>0</v>
      </c>
      <c r="EH133" s="9">
        <v>0</v>
      </c>
      <c r="EI133" s="9">
        <v>0</v>
      </c>
      <c r="EJ133" s="9">
        <v>0</v>
      </c>
      <c r="EK133" s="9">
        <v>0</v>
      </c>
      <c r="EL133" s="9">
        <v>0</v>
      </c>
      <c r="EM133" s="9">
        <v>1</v>
      </c>
      <c r="EN133" s="9">
        <v>1</v>
      </c>
      <c r="EO133" s="9">
        <v>1</v>
      </c>
      <c r="EP133" s="9">
        <v>2</v>
      </c>
      <c r="EQ133" s="9">
        <v>2</v>
      </c>
      <c r="ER133" s="9">
        <v>2</v>
      </c>
      <c r="ES133" s="9">
        <v>2</v>
      </c>
      <c r="ET133" s="9">
        <v>0</v>
      </c>
      <c r="EU133" s="9">
        <v>0</v>
      </c>
      <c r="EV133" s="9">
        <v>0</v>
      </c>
      <c r="EW133" s="9">
        <v>1</v>
      </c>
      <c r="EX133" s="9">
        <v>1</v>
      </c>
      <c r="EY133" s="9">
        <v>1</v>
      </c>
      <c r="EZ133" s="9">
        <v>1</v>
      </c>
      <c r="FA133" s="9">
        <v>1</v>
      </c>
      <c r="FB133" s="9">
        <v>1</v>
      </c>
      <c r="FC133" s="9">
        <v>1</v>
      </c>
      <c r="FD133" s="9">
        <v>1</v>
      </c>
      <c r="FE133" s="9">
        <v>1</v>
      </c>
      <c r="FF133" s="9">
        <v>1</v>
      </c>
      <c r="FG133" s="9">
        <v>0</v>
      </c>
      <c r="FH133" s="9">
        <v>0</v>
      </c>
      <c r="FI133" s="9">
        <v>0</v>
      </c>
      <c r="FJ133" s="9">
        <v>1</v>
      </c>
      <c r="FK133" s="9">
        <v>0</v>
      </c>
      <c r="FL133" s="9">
        <v>1</v>
      </c>
      <c r="FM133" s="10">
        <v>0</v>
      </c>
    </row>
    <row r="134" spans="1:169" x14ac:dyDescent="0.35">
      <c r="A134" s="8" t="s">
        <v>174</v>
      </c>
      <c r="B134" s="9" t="s">
        <v>233</v>
      </c>
      <c r="C134" s="10" t="s">
        <v>234</v>
      </c>
      <c r="D134" s="62">
        <f t="shared" si="99"/>
        <v>252</v>
      </c>
      <c r="E134" s="9">
        <v>39</v>
      </c>
      <c r="F134" s="9">
        <v>47</v>
      </c>
      <c r="G134" s="9">
        <v>54</v>
      </c>
      <c r="H134" s="9">
        <v>48</v>
      </c>
      <c r="I134" s="9">
        <v>57</v>
      </c>
      <c r="J134" s="9">
        <v>69</v>
      </c>
      <c r="K134" s="9">
        <v>89</v>
      </c>
      <c r="L134" s="9">
        <v>125</v>
      </c>
      <c r="M134" s="9">
        <v>142</v>
      </c>
      <c r="N134" s="9">
        <v>139</v>
      </c>
      <c r="O134" s="9">
        <v>159</v>
      </c>
      <c r="P134" s="9">
        <v>166</v>
      </c>
      <c r="Q134" s="9">
        <v>189</v>
      </c>
      <c r="R134" s="9">
        <v>44</v>
      </c>
      <c r="S134" s="9">
        <v>202</v>
      </c>
      <c r="T134" s="9">
        <v>211</v>
      </c>
      <c r="U134" s="9">
        <v>226</v>
      </c>
      <c r="V134" s="9">
        <v>236</v>
      </c>
      <c r="W134" s="9">
        <v>231</v>
      </c>
      <c r="X134" s="9">
        <v>243</v>
      </c>
      <c r="Y134" s="9">
        <v>221</v>
      </c>
      <c r="Z134" s="9">
        <v>208</v>
      </c>
      <c r="AA134" s="9">
        <v>219</v>
      </c>
      <c r="AB134" s="9">
        <v>225</v>
      </c>
      <c r="AC134" s="9">
        <v>252</v>
      </c>
      <c r="AD134" s="9">
        <v>222</v>
      </c>
      <c r="AE134" s="9">
        <v>208</v>
      </c>
      <c r="AF134" s="9">
        <v>206</v>
      </c>
      <c r="AG134" s="9">
        <v>201</v>
      </c>
      <c r="AH134" s="9">
        <v>189</v>
      </c>
      <c r="AI134" s="9">
        <v>187</v>
      </c>
      <c r="AJ134" s="9">
        <v>177</v>
      </c>
      <c r="AK134" s="9">
        <v>174</v>
      </c>
      <c r="AL134" s="9">
        <v>162</v>
      </c>
      <c r="AM134" s="9">
        <v>170</v>
      </c>
      <c r="AN134" s="9">
        <v>160</v>
      </c>
      <c r="AO134" s="9">
        <v>150</v>
      </c>
      <c r="AP134" s="9">
        <v>141</v>
      </c>
      <c r="AQ134" s="9">
        <v>138</v>
      </c>
      <c r="AR134" s="9">
        <v>130</v>
      </c>
      <c r="AS134" s="9">
        <v>129</v>
      </c>
      <c r="AT134" s="9">
        <v>130</v>
      </c>
      <c r="AU134" s="9">
        <v>114</v>
      </c>
      <c r="AV134" s="9">
        <v>122</v>
      </c>
      <c r="AW134" s="9">
        <v>123</v>
      </c>
      <c r="AX134" s="9">
        <v>127</v>
      </c>
      <c r="AY134" s="9">
        <v>121</v>
      </c>
      <c r="AZ134" s="9">
        <v>119</v>
      </c>
      <c r="BA134" s="9">
        <v>114</v>
      </c>
      <c r="BB134" s="9">
        <v>105</v>
      </c>
      <c r="BC134" s="9">
        <v>109</v>
      </c>
      <c r="BD134" s="9">
        <v>117</v>
      </c>
      <c r="BE134" s="9">
        <v>122</v>
      </c>
      <c r="BF134" s="9">
        <v>117</v>
      </c>
      <c r="BG134" s="9">
        <v>110</v>
      </c>
      <c r="BH134" s="9">
        <v>98</v>
      </c>
      <c r="BI134" s="9">
        <v>95</v>
      </c>
      <c r="BJ134" s="9">
        <v>94</v>
      </c>
      <c r="BK134" s="9">
        <v>96</v>
      </c>
      <c r="BL134" s="9">
        <v>98</v>
      </c>
      <c r="BM134" s="9">
        <v>96</v>
      </c>
      <c r="BN134" s="9">
        <v>91</v>
      </c>
      <c r="BO134" s="9">
        <v>82</v>
      </c>
      <c r="BP134" s="9">
        <v>80</v>
      </c>
      <c r="BQ134" s="9">
        <v>78</v>
      </c>
      <c r="BR134" s="9">
        <v>77</v>
      </c>
      <c r="BS134" s="9">
        <v>75</v>
      </c>
      <c r="BT134" s="9">
        <v>82</v>
      </c>
      <c r="BU134" s="9">
        <v>87</v>
      </c>
      <c r="BV134" s="9">
        <v>89</v>
      </c>
      <c r="BW134" s="9">
        <v>88</v>
      </c>
      <c r="BX134" s="9">
        <v>85</v>
      </c>
      <c r="BY134" s="9">
        <v>83</v>
      </c>
      <c r="BZ134" s="9">
        <v>85</v>
      </c>
      <c r="CA134" s="9">
        <v>81</v>
      </c>
      <c r="CB134" s="9">
        <v>78</v>
      </c>
      <c r="CC134" s="9">
        <v>76</v>
      </c>
      <c r="CD134" s="9">
        <v>76</v>
      </c>
      <c r="CE134" s="9">
        <v>62</v>
      </c>
      <c r="CF134" s="9">
        <v>67</v>
      </c>
      <c r="CG134" s="9">
        <v>65</v>
      </c>
      <c r="CH134" s="9">
        <v>66</v>
      </c>
      <c r="CI134" s="9">
        <v>70</v>
      </c>
      <c r="CJ134" s="9">
        <v>66</v>
      </c>
      <c r="CK134" s="9">
        <v>67</v>
      </c>
      <c r="CL134" s="9">
        <v>77</v>
      </c>
      <c r="CM134" s="9">
        <v>77</v>
      </c>
      <c r="CN134" s="9">
        <v>80</v>
      </c>
      <c r="CO134" s="9">
        <v>90</v>
      </c>
      <c r="CP134" s="9">
        <v>86</v>
      </c>
      <c r="CQ134" s="9">
        <v>80</v>
      </c>
      <c r="CR134" s="9">
        <v>79</v>
      </c>
      <c r="CS134" s="9">
        <v>77</v>
      </c>
      <c r="CT134" s="9">
        <v>72</v>
      </c>
      <c r="CU134" s="9">
        <v>77</v>
      </c>
      <c r="CV134" s="9">
        <v>73</v>
      </c>
      <c r="CW134" s="9">
        <v>74</v>
      </c>
      <c r="CX134" s="9">
        <v>71</v>
      </c>
      <c r="CY134" s="9">
        <v>71</v>
      </c>
      <c r="CZ134" s="9">
        <v>71</v>
      </c>
      <c r="DA134" s="9">
        <v>73</v>
      </c>
      <c r="DB134" s="9">
        <v>76</v>
      </c>
      <c r="DC134" s="9">
        <v>75</v>
      </c>
      <c r="DD134" s="9">
        <v>74</v>
      </c>
      <c r="DE134" s="9">
        <v>67</v>
      </c>
      <c r="DF134" s="9">
        <v>65</v>
      </c>
      <c r="DG134" s="9">
        <v>58</v>
      </c>
      <c r="DH134" s="9">
        <v>53</v>
      </c>
      <c r="DI134" s="9">
        <v>57</v>
      </c>
      <c r="DJ134" s="9">
        <v>52</v>
      </c>
      <c r="DK134" s="9">
        <v>54</v>
      </c>
      <c r="DL134" s="9">
        <v>49</v>
      </c>
      <c r="DM134" s="9">
        <v>45</v>
      </c>
      <c r="DN134" s="9">
        <v>42</v>
      </c>
      <c r="DO134" s="9">
        <v>41</v>
      </c>
      <c r="DP134" s="9">
        <v>39</v>
      </c>
      <c r="DQ134" s="9">
        <v>38</v>
      </c>
      <c r="DR134" s="9">
        <v>36</v>
      </c>
      <c r="DS134" s="9">
        <v>36</v>
      </c>
      <c r="DT134" s="9">
        <v>35</v>
      </c>
      <c r="DU134" s="9">
        <v>33</v>
      </c>
      <c r="DV134" s="9">
        <v>33</v>
      </c>
      <c r="DW134" s="9">
        <v>35</v>
      </c>
      <c r="DX134" s="9">
        <v>34</v>
      </c>
      <c r="DY134" s="9">
        <v>35</v>
      </c>
      <c r="DZ134" s="9">
        <v>34</v>
      </c>
      <c r="EA134" s="9">
        <v>30</v>
      </c>
      <c r="EB134" s="9">
        <v>31</v>
      </c>
      <c r="EC134" s="9">
        <v>28</v>
      </c>
      <c r="ED134" s="9">
        <v>29</v>
      </c>
      <c r="EE134" s="9">
        <v>28</v>
      </c>
      <c r="EF134" s="9">
        <v>24</v>
      </c>
      <c r="EG134" s="9">
        <v>24</v>
      </c>
      <c r="EH134" s="9">
        <v>29</v>
      </c>
      <c r="EI134" s="9">
        <v>28</v>
      </c>
      <c r="EJ134" s="9">
        <v>30</v>
      </c>
      <c r="EK134" s="9">
        <v>31</v>
      </c>
      <c r="EL134" s="9">
        <v>27</v>
      </c>
      <c r="EM134" s="9">
        <v>26</v>
      </c>
      <c r="EN134" s="9">
        <v>28</v>
      </c>
      <c r="EO134" s="9">
        <v>29</v>
      </c>
      <c r="EP134" s="9">
        <v>25</v>
      </c>
      <c r="EQ134" s="9">
        <v>25</v>
      </c>
      <c r="ER134" s="9">
        <v>7</v>
      </c>
      <c r="ES134" s="9">
        <v>7</v>
      </c>
      <c r="ET134" s="9">
        <v>7</v>
      </c>
      <c r="EU134" s="9">
        <v>6</v>
      </c>
      <c r="EV134" s="9">
        <v>5</v>
      </c>
      <c r="EW134" s="9">
        <v>4</v>
      </c>
      <c r="EX134" s="9">
        <v>4</v>
      </c>
      <c r="EY134" s="9">
        <v>5</v>
      </c>
      <c r="EZ134" s="9">
        <v>6</v>
      </c>
      <c r="FA134" s="9">
        <v>4</v>
      </c>
      <c r="FB134" s="9">
        <v>4</v>
      </c>
      <c r="FC134" s="9">
        <v>4</v>
      </c>
      <c r="FD134" s="9">
        <v>4</v>
      </c>
      <c r="FE134" s="9">
        <v>3</v>
      </c>
      <c r="FF134" s="9">
        <v>3</v>
      </c>
      <c r="FG134" s="9">
        <v>6</v>
      </c>
      <c r="FH134" s="9">
        <v>7</v>
      </c>
      <c r="FI134" s="9">
        <v>6</v>
      </c>
      <c r="FJ134" s="9">
        <v>9</v>
      </c>
      <c r="FK134" s="9">
        <v>9</v>
      </c>
      <c r="FL134" s="9">
        <v>11</v>
      </c>
      <c r="FM134" s="10">
        <v>10</v>
      </c>
    </row>
    <row r="135" spans="1:169" x14ac:dyDescent="0.35">
      <c r="A135" s="8" t="s">
        <v>174</v>
      </c>
      <c r="B135" s="9" t="s">
        <v>235</v>
      </c>
      <c r="C135" s="10" t="s">
        <v>236</v>
      </c>
      <c r="D135" s="62">
        <f t="shared" si="99"/>
        <v>100</v>
      </c>
      <c r="E135" s="9">
        <v>1</v>
      </c>
      <c r="F135" s="9">
        <v>1</v>
      </c>
      <c r="G135" s="9">
        <v>0</v>
      </c>
      <c r="H135" s="9">
        <v>2</v>
      </c>
      <c r="I135" s="9">
        <v>4</v>
      </c>
      <c r="J135" s="9">
        <v>8</v>
      </c>
      <c r="K135" s="9">
        <v>10</v>
      </c>
      <c r="L135" s="9">
        <v>16</v>
      </c>
      <c r="M135" s="9">
        <v>15</v>
      </c>
      <c r="N135" s="9">
        <v>17</v>
      </c>
      <c r="O135" s="9">
        <v>23</v>
      </c>
      <c r="P135" s="9">
        <v>37</v>
      </c>
      <c r="Q135" s="9">
        <v>45</v>
      </c>
      <c r="R135" s="9">
        <v>54</v>
      </c>
      <c r="S135" s="9">
        <v>63</v>
      </c>
      <c r="T135" s="9">
        <v>71</v>
      </c>
      <c r="U135" s="9">
        <v>84</v>
      </c>
      <c r="V135" s="9">
        <v>87</v>
      </c>
      <c r="W135" s="9">
        <v>89</v>
      </c>
      <c r="X135" s="9">
        <v>96</v>
      </c>
      <c r="Y135" s="9">
        <v>100</v>
      </c>
      <c r="Z135" s="9">
        <v>82</v>
      </c>
      <c r="AA135" s="9">
        <v>74</v>
      </c>
      <c r="AB135" s="9">
        <v>72</v>
      </c>
      <c r="AC135" s="9">
        <v>81</v>
      </c>
      <c r="AD135" s="9">
        <v>79</v>
      </c>
      <c r="AE135" s="9">
        <v>74</v>
      </c>
      <c r="AF135" s="9">
        <v>75</v>
      </c>
      <c r="AG135" s="9">
        <v>69</v>
      </c>
      <c r="AH135" s="9">
        <v>60</v>
      </c>
      <c r="AI135" s="9">
        <v>56</v>
      </c>
      <c r="AJ135" s="9">
        <v>55</v>
      </c>
      <c r="AK135" s="9">
        <v>58</v>
      </c>
      <c r="AL135" s="9">
        <v>58</v>
      </c>
      <c r="AM135" s="9">
        <v>51</v>
      </c>
      <c r="AN135" s="9">
        <v>51</v>
      </c>
      <c r="AO135" s="9">
        <v>48</v>
      </c>
      <c r="AP135" s="9">
        <v>50</v>
      </c>
      <c r="AQ135" s="9">
        <v>48</v>
      </c>
      <c r="AR135" s="9">
        <v>49</v>
      </c>
      <c r="AS135" s="9">
        <v>42</v>
      </c>
      <c r="AT135" s="9">
        <v>37</v>
      </c>
      <c r="AU135" s="9">
        <v>38</v>
      </c>
      <c r="AV135" s="9">
        <v>44</v>
      </c>
      <c r="AW135" s="9">
        <v>49</v>
      </c>
      <c r="AX135" s="9">
        <v>45</v>
      </c>
      <c r="AY135" s="9">
        <v>48</v>
      </c>
      <c r="AZ135" s="9">
        <v>45</v>
      </c>
      <c r="BA135" s="9">
        <v>42</v>
      </c>
      <c r="BB135" s="9">
        <v>41</v>
      </c>
      <c r="BC135" s="9">
        <v>33</v>
      </c>
      <c r="BD135" s="9">
        <v>34</v>
      </c>
      <c r="BE135" s="9">
        <v>35</v>
      </c>
      <c r="BF135" s="9">
        <v>39</v>
      </c>
      <c r="BG135" s="9">
        <v>37</v>
      </c>
      <c r="BH135" s="9">
        <v>34</v>
      </c>
      <c r="BI135" s="9">
        <v>32</v>
      </c>
      <c r="BJ135" s="9">
        <v>28</v>
      </c>
      <c r="BK135" s="9">
        <v>24</v>
      </c>
      <c r="BL135" s="9">
        <v>24</v>
      </c>
      <c r="BM135" s="9">
        <v>25</v>
      </c>
      <c r="BN135" s="9">
        <v>20</v>
      </c>
      <c r="BO135" s="9">
        <v>24</v>
      </c>
      <c r="BP135" s="9">
        <v>29</v>
      </c>
      <c r="BQ135" s="9">
        <v>26</v>
      </c>
      <c r="BR135" s="9">
        <v>18</v>
      </c>
      <c r="BS135" s="9">
        <v>25</v>
      </c>
      <c r="BT135" s="9">
        <v>19</v>
      </c>
      <c r="BU135" s="9">
        <v>18</v>
      </c>
      <c r="BV135" s="9">
        <v>18</v>
      </c>
      <c r="BW135" s="9">
        <v>19</v>
      </c>
      <c r="BX135" s="9">
        <v>16</v>
      </c>
      <c r="BY135" s="9">
        <v>15</v>
      </c>
      <c r="BZ135" s="9">
        <v>16</v>
      </c>
      <c r="CA135" s="9">
        <v>17</v>
      </c>
      <c r="CB135" s="9">
        <v>13</v>
      </c>
      <c r="CC135" s="9">
        <v>16</v>
      </c>
      <c r="CD135" s="9">
        <v>10</v>
      </c>
      <c r="CE135" s="9">
        <v>9</v>
      </c>
      <c r="CF135" s="9">
        <v>8</v>
      </c>
      <c r="CG135" s="9">
        <v>9</v>
      </c>
      <c r="CH135" s="9">
        <v>9</v>
      </c>
      <c r="CI135" s="9">
        <v>11</v>
      </c>
      <c r="CJ135" s="9">
        <v>9</v>
      </c>
      <c r="CK135" s="9">
        <v>9</v>
      </c>
      <c r="CL135" s="9">
        <v>10</v>
      </c>
      <c r="CM135" s="9">
        <v>10</v>
      </c>
      <c r="CN135" s="9">
        <v>10</v>
      </c>
      <c r="CO135" s="9">
        <v>10</v>
      </c>
      <c r="CP135" s="9">
        <v>10</v>
      </c>
      <c r="CQ135" s="9">
        <v>10</v>
      </c>
      <c r="CR135" s="9">
        <v>11</v>
      </c>
      <c r="CS135" s="9">
        <v>8</v>
      </c>
      <c r="CT135" s="9">
        <v>9</v>
      </c>
      <c r="CU135" s="9">
        <v>11</v>
      </c>
      <c r="CV135" s="9">
        <v>10</v>
      </c>
      <c r="CW135" s="9">
        <v>9</v>
      </c>
      <c r="CX135" s="9">
        <v>9</v>
      </c>
      <c r="CY135" s="9">
        <v>4</v>
      </c>
      <c r="CZ135" s="9">
        <v>4</v>
      </c>
      <c r="DA135" s="9">
        <v>4</v>
      </c>
      <c r="DB135" s="9">
        <v>6</v>
      </c>
      <c r="DC135" s="9">
        <v>5</v>
      </c>
      <c r="DD135" s="9">
        <v>4</v>
      </c>
      <c r="DE135" s="9">
        <v>4</v>
      </c>
      <c r="DF135" s="9">
        <v>5</v>
      </c>
      <c r="DG135" s="9">
        <v>3</v>
      </c>
      <c r="DH135" s="9">
        <v>4</v>
      </c>
      <c r="DI135" s="9">
        <v>3</v>
      </c>
      <c r="DJ135" s="9">
        <v>6</v>
      </c>
      <c r="DK135" s="9">
        <v>6</v>
      </c>
      <c r="DL135" s="9">
        <v>7</v>
      </c>
      <c r="DM135" s="9">
        <v>7</v>
      </c>
      <c r="DN135" s="9">
        <v>7</v>
      </c>
      <c r="DO135" s="9">
        <v>7</v>
      </c>
      <c r="DP135" s="9">
        <v>9</v>
      </c>
      <c r="DQ135" s="9">
        <v>8</v>
      </c>
      <c r="DR135" s="9">
        <v>9</v>
      </c>
      <c r="DS135" s="9">
        <v>11</v>
      </c>
      <c r="DT135" s="9">
        <v>10</v>
      </c>
      <c r="DU135" s="9">
        <v>8</v>
      </c>
      <c r="DV135" s="9">
        <v>5</v>
      </c>
      <c r="DW135" s="9">
        <v>6</v>
      </c>
      <c r="DX135" s="9">
        <v>5</v>
      </c>
      <c r="DY135" s="9">
        <v>3</v>
      </c>
      <c r="DZ135" s="9">
        <v>4</v>
      </c>
      <c r="EA135" s="9">
        <v>3</v>
      </c>
      <c r="EB135" s="9">
        <v>2</v>
      </c>
      <c r="EC135" s="9">
        <v>3</v>
      </c>
      <c r="ED135" s="9">
        <v>2</v>
      </c>
      <c r="EE135" s="9">
        <v>2</v>
      </c>
      <c r="EF135" s="9">
        <v>2</v>
      </c>
      <c r="EG135" s="9">
        <v>2</v>
      </c>
      <c r="EH135" s="9">
        <v>1</v>
      </c>
      <c r="EI135" s="9">
        <v>1</v>
      </c>
      <c r="EJ135" s="9">
        <v>1</v>
      </c>
      <c r="EK135" s="9">
        <v>2</v>
      </c>
      <c r="EL135" s="9">
        <v>2</v>
      </c>
      <c r="EM135" s="9">
        <v>2</v>
      </c>
      <c r="EN135" s="9">
        <v>3</v>
      </c>
      <c r="EO135" s="9">
        <v>3</v>
      </c>
      <c r="EP135" s="9">
        <v>2</v>
      </c>
      <c r="EQ135" s="9">
        <v>2</v>
      </c>
      <c r="ER135" s="9">
        <v>2</v>
      </c>
      <c r="ES135" s="9">
        <v>0</v>
      </c>
      <c r="ET135" s="9">
        <v>0</v>
      </c>
      <c r="EU135" s="9">
        <v>0</v>
      </c>
      <c r="EV135" s="9">
        <v>2</v>
      </c>
      <c r="EW135" s="9">
        <v>2</v>
      </c>
      <c r="EX135" s="9">
        <v>1</v>
      </c>
      <c r="EY135" s="9">
        <v>1</v>
      </c>
      <c r="EZ135" s="9">
        <v>1</v>
      </c>
      <c r="FA135" s="9">
        <v>1</v>
      </c>
      <c r="FB135" s="9">
        <v>1</v>
      </c>
      <c r="FC135" s="9">
        <v>0</v>
      </c>
      <c r="FD135" s="9">
        <v>1</v>
      </c>
      <c r="FE135" s="9">
        <v>1</v>
      </c>
      <c r="FF135" s="9">
        <v>1</v>
      </c>
      <c r="FG135" s="9">
        <v>1</v>
      </c>
      <c r="FH135" s="9">
        <v>0</v>
      </c>
      <c r="FI135" s="9">
        <v>1</v>
      </c>
      <c r="FJ135" s="9">
        <v>0</v>
      </c>
      <c r="FK135" s="9">
        <v>0</v>
      </c>
      <c r="FL135" s="9">
        <v>0</v>
      </c>
      <c r="FM135" s="10">
        <v>0</v>
      </c>
    </row>
    <row r="136" spans="1:169" x14ac:dyDescent="0.35">
      <c r="A136" s="8" t="s">
        <v>174</v>
      </c>
      <c r="B136" s="9" t="s">
        <v>237</v>
      </c>
      <c r="C136" s="10" t="s">
        <v>238</v>
      </c>
      <c r="D136" s="62">
        <f t="shared" si="99"/>
        <v>204</v>
      </c>
      <c r="E136" s="9">
        <v>13</v>
      </c>
      <c r="F136" s="9">
        <v>13</v>
      </c>
      <c r="G136" s="9">
        <v>20</v>
      </c>
      <c r="H136" s="9">
        <v>18</v>
      </c>
      <c r="I136" s="9">
        <v>26</v>
      </c>
      <c r="J136" s="9">
        <v>34</v>
      </c>
      <c r="K136" s="9">
        <v>40</v>
      </c>
      <c r="L136" s="9">
        <v>57</v>
      </c>
      <c r="M136" s="9">
        <v>70</v>
      </c>
      <c r="N136" s="9">
        <v>91</v>
      </c>
      <c r="O136" s="9">
        <v>97</v>
      </c>
      <c r="P136" s="9">
        <v>109</v>
      </c>
      <c r="Q136" s="9">
        <v>122</v>
      </c>
      <c r="R136" s="9">
        <v>129</v>
      </c>
      <c r="S136" s="9">
        <v>144</v>
      </c>
      <c r="T136" s="9">
        <v>132</v>
      </c>
      <c r="U136" s="9">
        <v>145</v>
      </c>
      <c r="V136" s="9">
        <v>156</v>
      </c>
      <c r="W136" s="9">
        <v>149</v>
      </c>
      <c r="X136" s="9">
        <v>149</v>
      </c>
      <c r="Y136" s="9">
        <v>185</v>
      </c>
      <c r="Z136" s="9">
        <v>184</v>
      </c>
      <c r="AA136" s="9">
        <v>186</v>
      </c>
      <c r="AB136" s="9">
        <v>195</v>
      </c>
      <c r="AC136" s="9">
        <v>199</v>
      </c>
      <c r="AD136" s="9">
        <v>201</v>
      </c>
      <c r="AE136" s="9">
        <v>195</v>
      </c>
      <c r="AF136" s="9">
        <v>194</v>
      </c>
      <c r="AG136" s="9">
        <v>182</v>
      </c>
      <c r="AH136" s="9">
        <v>174</v>
      </c>
      <c r="AI136" s="9">
        <v>178</v>
      </c>
      <c r="AJ136" s="9">
        <v>180</v>
      </c>
      <c r="AK136" s="9">
        <v>204</v>
      </c>
      <c r="AL136" s="9">
        <v>199</v>
      </c>
      <c r="AM136" s="9">
        <v>192</v>
      </c>
      <c r="AN136" s="9">
        <v>172</v>
      </c>
      <c r="AO136" s="9">
        <v>168</v>
      </c>
      <c r="AP136" s="9">
        <v>168</v>
      </c>
      <c r="AQ136" s="9">
        <v>185</v>
      </c>
      <c r="AR136" s="9">
        <v>162</v>
      </c>
      <c r="AS136" s="9">
        <v>137</v>
      </c>
      <c r="AT136" s="9">
        <v>147</v>
      </c>
      <c r="AU136" s="9">
        <v>153</v>
      </c>
      <c r="AV136" s="9">
        <v>153</v>
      </c>
      <c r="AW136" s="9">
        <v>146</v>
      </c>
      <c r="AX136" s="9">
        <v>142</v>
      </c>
      <c r="AY136" s="9">
        <v>146</v>
      </c>
      <c r="AZ136" s="9">
        <v>144</v>
      </c>
      <c r="BA136" s="9">
        <v>139</v>
      </c>
      <c r="BB136" s="9">
        <v>140</v>
      </c>
      <c r="BC136" s="9">
        <v>137</v>
      </c>
      <c r="BD136" s="9">
        <v>147</v>
      </c>
      <c r="BE136" s="9">
        <v>145</v>
      </c>
      <c r="BF136" s="9">
        <v>138</v>
      </c>
      <c r="BG136" s="9">
        <v>131</v>
      </c>
      <c r="BH136" s="9">
        <v>125</v>
      </c>
      <c r="BI136" s="9">
        <v>135</v>
      </c>
      <c r="BJ136" s="9">
        <v>136</v>
      </c>
      <c r="BK136" s="9">
        <v>150</v>
      </c>
      <c r="BL136" s="9">
        <v>155</v>
      </c>
      <c r="BM136" s="9">
        <v>165</v>
      </c>
      <c r="BN136" s="9">
        <v>156</v>
      </c>
      <c r="BO136" s="9">
        <v>159</v>
      </c>
      <c r="BP136" s="9">
        <v>141</v>
      </c>
      <c r="BQ136" s="9">
        <v>143</v>
      </c>
      <c r="BR136" s="9">
        <v>138</v>
      </c>
      <c r="BS136" s="9">
        <v>147</v>
      </c>
      <c r="BT136" s="9">
        <v>144</v>
      </c>
      <c r="BU136" s="9">
        <v>141</v>
      </c>
      <c r="BV136" s="9">
        <v>134</v>
      </c>
      <c r="BW136" s="9">
        <v>130</v>
      </c>
      <c r="BX136" s="9">
        <v>122</v>
      </c>
      <c r="BY136" s="9">
        <v>111</v>
      </c>
      <c r="BZ136" s="9">
        <v>122</v>
      </c>
      <c r="CA136" s="9">
        <v>117</v>
      </c>
      <c r="CB136" s="9">
        <v>109</v>
      </c>
      <c r="CC136" s="9">
        <v>108</v>
      </c>
      <c r="CD136" s="9">
        <v>97</v>
      </c>
      <c r="CE136" s="9">
        <v>87</v>
      </c>
      <c r="CF136" s="9">
        <v>83</v>
      </c>
      <c r="CG136" s="9">
        <v>83</v>
      </c>
      <c r="CH136" s="9">
        <v>84</v>
      </c>
      <c r="CI136" s="9">
        <v>75</v>
      </c>
      <c r="CJ136" s="9">
        <v>80</v>
      </c>
      <c r="CK136" s="9">
        <v>81</v>
      </c>
      <c r="CL136" s="9">
        <v>79</v>
      </c>
      <c r="CM136" s="9">
        <v>80</v>
      </c>
      <c r="CN136" s="9">
        <v>79</v>
      </c>
      <c r="CO136" s="9">
        <v>92</v>
      </c>
      <c r="CP136" s="9">
        <v>82</v>
      </c>
      <c r="CQ136" s="9">
        <v>84</v>
      </c>
      <c r="CR136" s="9">
        <v>80</v>
      </c>
      <c r="CS136" s="9">
        <v>84</v>
      </c>
      <c r="CT136" s="9">
        <v>77</v>
      </c>
      <c r="CU136" s="9">
        <v>73</v>
      </c>
      <c r="CV136" s="9">
        <v>68</v>
      </c>
      <c r="CW136" s="9">
        <v>71</v>
      </c>
      <c r="CX136" s="9">
        <v>67</v>
      </c>
      <c r="CY136" s="9">
        <v>75</v>
      </c>
      <c r="CZ136" s="9">
        <v>74</v>
      </c>
      <c r="DA136" s="9">
        <v>80</v>
      </c>
      <c r="DB136" s="9">
        <v>81</v>
      </c>
      <c r="DC136" s="9">
        <v>78</v>
      </c>
      <c r="DD136" s="9">
        <v>70</v>
      </c>
      <c r="DE136" s="9">
        <v>68</v>
      </c>
      <c r="DF136" s="9">
        <v>70</v>
      </c>
      <c r="DG136" s="9">
        <v>69</v>
      </c>
      <c r="DH136" s="9">
        <v>64</v>
      </c>
      <c r="DI136" s="9">
        <v>61</v>
      </c>
      <c r="DJ136" s="9">
        <v>59</v>
      </c>
      <c r="DK136" s="9">
        <v>55</v>
      </c>
      <c r="DL136" s="9">
        <v>54</v>
      </c>
      <c r="DM136" s="9">
        <v>50</v>
      </c>
      <c r="DN136" s="9">
        <v>49</v>
      </c>
      <c r="DO136" s="9">
        <v>49</v>
      </c>
      <c r="DP136" s="9">
        <v>47</v>
      </c>
      <c r="DQ136" s="9">
        <v>47</v>
      </c>
      <c r="DR136" s="9">
        <v>45</v>
      </c>
      <c r="DS136" s="9">
        <v>43</v>
      </c>
      <c r="DT136" s="9">
        <v>40</v>
      </c>
      <c r="DU136" s="9">
        <v>33</v>
      </c>
      <c r="DV136" s="9">
        <v>33</v>
      </c>
      <c r="DW136" s="9">
        <v>31</v>
      </c>
      <c r="DX136" s="9">
        <v>27</v>
      </c>
      <c r="DY136" s="9">
        <v>24</v>
      </c>
      <c r="DZ136" s="9">
        <v>26</v>
      </c>
      <c r="EA136" s="9">
        <v>29</v>
      </c>
      <c r="EB136" s="9">
        <v>26</v>
      </c>
      <c r="EC136" s="9">
        <v>23</v>
      </c>
      <c r="ED136" s="9">
        <v>23</v>
      </c>
      <c r="EE136" s="9">
        <v>21</v>
      </c>
      <c r="EF136" s="9">
        <v>21</v>
      </c>
      <c r="EG136" s="9">
        <v>19</v>
      </c>
      <c r="EH136" s="9">
        <v>19</v>
      </c>
      <c r="EI136" s="9">
        <v>18</v>
      </c>
      <c r="EJ136" s="9">
        <v>0</v>
      </c>
      <c r="EK136" s="9">
        <v>17</v>
      </c>
      <c r="EL136" s="9">
        <v>19</v>
      </c>
      <c r="EM136" s="9">
        <v>18</v>
      </c>
      <c r="EN136" s="9">
        <v>16</v>
      </c>
      <c r="EO136" s="9">
        <v>15</v>
      </c>
      <c r="EP136" s="9">
        <v>12</v>
      </c>
      <c r="EQ136" s="9">
        <v>12</v>
      </c>
      <c r="ER136" s="9">
        <v>12</v>
      </c>
      <c r="ES136" s="9">
        <v>13</v>
      </c>
      <c r="ET136" s="9">
        <v>11</v>
      </c>
      <c r="EU136" s="9">
        <v>12</v>
      </c>
      <c r="EV136" s="9">
        <v>10</v>
      </c>
      <c r="EW136" s="9">
        <v>10</v>
      </c>
      <c r="EX136" s="9">
        <v>10</v>
      </c>
      <c r="EY136" s="9">
        <v>7</v>
      </c>
      <c r="EZ136" s="9">
        <v>9</v>
      </c>
      <c r="FA136" s="9">
        <v>9</v>
      </c>
      <c r="FB136" s="9">
        <v>9</v>
      </c>
      <c r="FC136" s="9">
        <v>9</v>
      </c>
      <c r="FD136" s="9">
        <v>9</v>
      </c>
      <c r="FE136" s="9">
        <v>10</v>
      </c>
      <c r="FF136" s="9">
        <v>11</v>
      </c>
      <c r="FG136" s="9">
        <v>10</v>
      </c>
      <c r="FH136" s="9">
        <v>8</v>
      </c>
      <c r="FI136" s="9">
        <v>12</v>
      </c>
      <c r="FJ136" s="9">
        <v>11</v>
      </c>
      <c r="FK136" s="9">
        <v>16</v>
      </c>
      <c r="FL136" s="9">
        <v>13</v>
      </c>
      <c r="FM136" s="10">
        <v>13</v>
      </c>
    </row>
    <row r="137" spans="1:169" x14ac:dyDescent="0.35">
      <c r="A137" s="8" t="s">
        <v>174</v>
      </c>
      <c r="B137" s="9" t="s">
        <v>239</v>
      </c>
      <c r="C137" s="10" t="s">
        <v>240</v>
      </c>
      <c r="D137" s="62">
        <f t="shared" si="99"/>
        <v>141</v>
      </c>
      <c r="E137" s="9">
        <v>7</v>
      </c>
      <c r="F137" s="9">
        <v>8</v>
      </c>
      <c r="G137" s="9">
        <v>13</v>
      </c>
      <c r="H137" s="9">
        <v>18</v>
      </c>
      <c r="I137" s="9">
        <v>22</v>
      </c>
      <c r="J137" s="9">
        <v>30</v>
      </c>
      <c r="K137" s="9">
        <v>37</v>
      </c>
      <c r="L137" s="9">
        <v>50</v>
      </c>
      <c r="M137" s="9">
        <v>51</v>
      </c>
      <c r="N137" s="9">
        <v>59</v>
      </c>
      <c r="O137" s="9">
        <v>77</v>
      </c>
      <c r="P137" s="9">
        <v>92</v>
      </c>
      <c r="Q137" s="9">
        <v>87</v>
      </c>
      <c r="R137" s="9">
        <v>109</v>
      </c>
      <c r="S137" s="9">
        <v>122</v>
      </c>
      <c r="T137" s="9">
        <v>121</v>
      </c>
      <c r="U137" s="9">
        <v>115</v>
      </c>
      <c r="V137" s="9">
        <v>141</v>
      </c>
      <c r="W137" s="9">
        <v>135</v>
      </c>
      <c r="X137" s="9">
        <v>122</v>
      </c>
      <c r="Y137" s="9">
        <v>131</v>
      </c>
      <c r="Z137" s="9">
        <v>130</v>
      </c>
      <c r="AA137" s="9">
        <v>129</v>
      </c>
      <c r="AB137" s="9">
        <v>128</v>
      </c>
      <c r="AC137" s="9">
        <v>132</v>
      </c>
      <c r="AD137" s="9">
        <v>122</v>
      </c>
      <c r="AE137" s="9">
        <v>119</v>
      </c>
      <c r="AF137" s="9">
        <v>108</v>
      </c>
      <c r="AG137" s="9">
        <v>115</v>
      </c>
      <c r="AH137" s="9">
        <v>106</v>
      </c>
      <c r="AI137" s="9">
        <v>113</v>
      </c>
      <c r="AJ137" s="9">
        <v>107</v>
      </c>
      <c r="AK137" s="9">
        <v>117</v>
      </c>
      <c r="AL137" s="9">
        <v>117</v>
      </c>
      <c r="AM137" s="9">
        <v>111</v>
      </c>
      <c r="AN137" s="9">
        <v>105</v>
      </c>
      <c r="AO137" s="9">
        <v>95</v>
      </c>
      <c r="AP137" s="9">
        <v>92</v>
      </c>
      <c r="AQ137" s="9">
        <v>81</v>
      </c>
      <c r="AR137" s="9">
        <v>70</v>
      </c>
      <c r="AS137" s="9">
        <v>61</v>
      </c>
      <c r="AT137" s="9">
        <v>65</v>
      </c>
      <c r="AU137" s="9">
        <v>61</v>
      </c>
      <c r="AV137" s="9">
        <v>55</v>
      </c>
      <c r="AW137" s="9">
        <v>59</v>
      </c>
      <c r="AX137" s="9">
        <v>58</v>
      </c>
      <c r="AY137" s="9">
        <v>58</v>
      </c>
      <c r="AZ137" s="9">
        <v>62</v>
      </c>
      <c r="BA137" s="9">
        <v>60</v>
      </c>
      <c r="BB137" s="9">
        <v>57</v>
      </c>
      <c r="BC137" s="9">
        <v>58</v>
      </c>
      <c r="BD137" s="9">
        <v>56</v>
      </c>
      <c r="BE137" s="9">
        <v>59</v>
      </c>
      <c r="BF137" s="9">
        <v>60</v>
      </c>
      <c r="BG137" s="9">
        <v>60</v>
      </c>
      <c r="BH137" s="9">
        <v>62</v>
      </c>
      <c r="BI137" s="9">
        <v>65</v>
      </c>
      <c r="BJ137" s="9">
        <v>61</v>
      </c>
      <c r="BK137" s="9">
        <v>58</v>
      </c>
      <c r="BL137" s="9">
        <v>57</v>
      </c>
      <c r="BM137" s="9">
        <v>50</v>
      </c>
      <c r="BN137" s="9">
        <v>52</v>
      </c>
      <c r="BO137" s="9">
        <v>49</v>
      </c>
      <c r="BP137" s="9">
        <v>55</v>
      </c>
      <c r="BQ137" s="9">
        <v>53</v>
      </c>
      <c r="BR137" s="9">
        <v>56</v>
      </c>
      <c r="BS137" s="9">
        <v>61</v>
      </c>
      <c r="BT137" s="9">
        <v>62</v>
      </c>
      <c r="BU137" s="9">
        <v>44</v>
      </c>
      <c r="BV137" s="9">
        <v>38</v>
      </c>
      <c r="BW137" s="9">
        <v>35</v>
      </c>
      <c r="BX137" s="9">
        <v>31</v>
      </c>
      <c r="BY137" s="9">
        <v>26</v>
      </c>
      <c r="BZ137" s="9">
        <v>25</v>
      </c>
      <c r="CA137" s="9">
        <v>26</v>
      </c>
      <c r="CB137" s="9">
        <v>21</v>
      </c>
      <c r="CC137" s="9">
        <v>20</v>
      </c>
      <c r="CD137" s="9">
        <v>18</v>
      </c>
      <c r="CE137" s="9">
        <v>20</v>
      </c>
      <c r="CF137" s="9">
        <v>20</v>
      </c>
      <c r="CG137" s="9">
        <v>18</v>
      </c>
      <c r="CH137" s="9">
        <v>23</v>
      </c>
      <c r="CI137" s="9">
        <v>22</v>
      </c>
      <c r="CJ137" s="9">
        <v>24</v>
      </c>
      <c r="CK137" s="9">
        <v>24</v>
      </c>
      <c r="CL137" s="9">
        <v>25</v>
      </c>
      <c r="CM137" s="9">
        <v>25</v>
      </c>
      <c r="CN137" s="9">
        <v>26</v>
      </c>
      <c r="CO137" s="9">
        <v>27</v>
      </c>
      <c r="CP137" s="9">
        <v>27</v>
      </c>
      <c r="CQ137" s="9">
        <v>27</v>
      </c>
      <c r="CR137" s="9">
        <v>24</v>
      </c>
      <c r="CS137" s="9">
        <v>22</v>
      </c>
      <c r="CT137" s="9">
        <v>24</v>
      </c>
      <c r="CU137" s="9">
        <v>26</v>
      </c>
      <c r="CV137" s="9">
        <v>22</v>
      </c>
      <c r="CW137" s="9">
        <v>22</v>
      </c>
      <c r="CX137" s="9">
        <v>21</v>
      </c>
      <c r="CY137" s="9">
        <v>21</v>
      </c>
      <c r="CZ137" s="9">
        <v>20</v>
      </c>
      <c r="DA137" s="9">
        <v>17</v>
      </c>
      <c r="DB137" s="9">
        <v>16</v>
      </c>
      <c r="DC137" s="9">
        <v>15</v>
      </c>
      <c r="DD137" s="9">
        <v>15</v>
      </c>
      <c r="DE137" s="9">
        <v>13</v>
      </c>
      <c r="DF137" s="9">
        <v>11</v>
      </c>
      <c r="DG137" s="9">
        <v>11</v>
      </c>
      <c r="DH137" s="9">
        <v>9</v>
      </c>
      <c r="DI137" s="9">
        <v>8</v>
      </c>
      <c r="DJ137" s="9">
        <v>7</v>
      </c>
      <c r="DK137" s="9">
        <v>6</v>
      </c>
      <c r="DL137" s="9">
        <v>5</v>
      </c>
      <c r="DM137" s="9">
        <v>5</v>
      </c>
      <c r="DN137" s="9">
        <v>3</v>
      </c>
      <c r="DO137" s="9">
        <v>3</v>
      </c>
      <c r="DP137" s="9">
        <v>3</v>
      </c>
      <c r="DQ137" s="9">
        <v>3</v>
      </c>
      <c r="DR137" s="9">
        <v>3</v>
      </c>
      <c r="DS137" s="9">
        <v>3</v>
      </c>
      <c r="DT137" s="9">
        <v>2</v>
      </c>
      <c r="DU137" s="9">
        <v>2</v>
      </c>
      <c r="DV137" s="9">
        <v>3</v>
      </c>
      <c r="DW137" s="9">
        <v>3</v>
      </c>
      <c r="DX137" s="9">
        <v>3</v>
      </c>
      <c r="DY137" s="9">
        <v>4</v>
      </c>
      <c r="DZ137" s="9">
        <v>4</v>
      </c>
      <c r="EA137" s="9">
        <v>5</v>
      </c>
      <c r="EB137" s="9">
        <v>3</v>
      </c>
      <c r="EC137" s="9">
        <v>3</v>
      </c>
      <c r="ED137" s="9">
        <v>3</v>
      </c>
      <c r="EE137" s="9">
        <v>2</v>
      </c>
      <c r="EF137" s="9">
        <v>2</v>
      </c>
      <c r="EG137" s="9">
        <v>3</v>
      </c>
      <c r="EH137" s="9">
        <v>2</v>
      </c>
      <c r="EI137" s="9">
        <v>2</v>
      </c>
      <c r="EJ137" s="9">
        <v>2</v>
      </c>
      <c r="EK137" s="9">
        <v>2</v>
      </c>
      <c r="EL137" s="9">
        <v>2</v>
      </c>
      <c r="EM137" s="9">
        <v>1</v>
      </c>
      <c r="EN137" s="9">
        <v>1</v>
      </c>
      <c r="EO137" s="9">
        <v>2</v>
      </c>
      <c r="EP137" s="9">
        <v>2</v>
      </c>
      <c r="EQ137" s="9">
        <v>2</v>
      </c>
      <c r="ER137" s="9">
        <v>2</v>
      </c>
      <c r="ES137" s="9">
        <v>3</v>
      </c>
      <c r="ET137" s="9">
        <v>2</v>
      </c>
      <c r="EU137" s="9">
        <v>2</v>
      </c>
      <c r="EV137" s="9">
        <v>2</v>
      </c>
      <c r="EW137" s="9">
        <v>2</v>
      </c>
      <c r="EX137" s="9">
        <v>2</v>
      </c>
      <c r="EY137" s="9">
        <v>2</v>
      </c>
      <c r="EZ137" s="9">
        <v>2</v>
      </c>
      <c r="FA137" s="9">
        <v>2</v>
      </c>
      <c r="FB137" s="9">
        <v>2</v>
      </c>
      <c r="FC137" s="9">
        <v>2</v>
      </c>
      <c r="FD137" s="9">
        <v>2</v>
      </c>
      <c r="FE137" s="9">
        <v>2</v>
      </c>
      <c r="FF137" s="9">
        <v>2</v>
      </c>
      <c r="FG137" s="9">
        <v>2</v>
      </c>
      <c r="FH137" s="9">
        <v>2</v>
      </c>
      <c r="FI137" s="9">
        <v>2</v>
      </c>
      <c r="FJ137" s="9">
        <v>2</v>
      </c>
      <c r="FK137" s="9">
        <v>3</v>
      </c>
      <c r="FL137" s="9">
        <v>3</v>
      </c>
      <c r="FM137" s="10">
        <v>3</v>
      </c>
    </row>
    <row r="138" spans="1:169" x14ac:dyDescent="0.35">
      <c r="A138" s="8" t="s">
        <v>174</v>
      </c>
      <c r="B138" s="9" t="s">
        <v>241</v>
      </c>
      <c r="C138" s="10" t="s">
        <v>242</v>
      </c>
      <c r="D138" s="62">
        <f t="shared" si="99"/>
        <v>221</v>
      </c>
      <c r="E138" s="9">
        <v>26</v>
      </c>
      <c r="F138" s="9">
        <v>34</v>
      </c>
      <c r="G138" s="9">
        <v>42</v>
      </c>
      <c r="H138" s="9">
        <v>47</v>
      </c>
      <c r="I138" s="9">
        <v>56</v>
      </c>
      <c r="J138" s="9">
        <v>63</v>
      </c>
      <c r="K138" s="9">
        <v>68</v>
      </c>
      <c r="L138" s="9">
        <v>84</v>
      </c>
      <c r="M138" s="9">
        <v>76</v>
      </c>
      <c r="N138" s="9">
        <v>98</v>
      </c>
      <c r="O138" s="9">
        <v>110</v>
      </c>
      <c r="P138" s="9">
        <v>128</v>
      </c>
      <c r="Q138" s="9">
        <v>137</v>
      </c>
      <c r="R138" s="9">
        <v>140</v>
      </c>
      <c r="S138" s="9">
        <v>141</v>
      </c>
      <c r="T138" s="9">
        <v>179</v>
      </c>
      <c r="U138" s="9">
        <v>177</v>
      </c>
      <c r="V138" s="9">
        <v>189</v>
      </c>
      <c r="W138" s="9">
        <v>182</v>
      </c>
      <c r="X138" s="9">
        <v>188</v>
      </c>
      <c r="Y138" s="9">
        <v>191</v>
      </c>
      <c r="Z138" s="9">
        <v>210</v>
      </c>
      <c r="AA138" s="9">
        <v>199</v>
      </c>
      <c r="AB138" s="9">
        <v>210</v>
      </c>
      <c r="AC138" s="9">
        <v>211</v>
      </c>
      <c r="AD138" s="9">
        <v>221</v>
      </c>
      <c r="AE138" s="9">
        <v>173</v>
      </c>
      <c r="AF138" s="9">
        <v>165</v>
      </c>
      <c r="AG138" s="9">
        <v>97</v>
      </c>
      <c r="AH138" s="9">
        <v>172</v>
      </c>
      <c r="AI138" s="9">
        <v>186</v>
      </c>
      <c r="AJ138" s="9">
        <v>192</v>
      </c>
      <c r="AK138" s="9">
        <v>197</v>
      </c>
      <c r="AL138" s="9">
        <v>181</v>
      </c>
      <c r="AM138" s="9">
        <v>179</v>
      </c>
      <c r="AN138" s="9">
        <v>168</v>
      </c>
      <c r="AO138" s="9">
        <v>166</v>
      </c>
      <c r="AP138" s="9">
        <v>174</v>
      </c>
      <c r="AQ138" s="9">
        <v>173</v>
      </c>
      <c r="AR138" s="9">
        <v>174</v>
      </c>
      <c r="AS138" s="9">
        <v>169</v>
      </c>
      <c r="AT138" s="9">
        <v>151</v>
      </c>
      <c r="AU138" s="9">
        <v>149</v>
      </c>
      <c r="AV138" s="9">
        <v>138</v>
      </c>
      <c r="AW138" s="9">
        <v>142</v>
      </c>
      <c r="AX138" s="9">
        <v>144</v>
      </c>
      <c r="AY138" s="9">
        <v>138</v>
      </c>
      <c r="AZ138" s="9">
        <v>127</v>
      </c>
      <c r="BA138" s="9">
        <v>119</v>
      </c>
      <c r="BB138" s="9">
        <v>112</v>
      </c>
      <c r="BC138" s="9">
        <v>110</v>
      </c>
      <c r="BD138" s="9">
        <v>110</v>
      </c>
      <c r="BE138" s="9">
        <v>112</v>
      </c>
      <c r="BF138" s="9">
        <v>114</v>
      </c>
      <c r="BG138" s="9">
        <v>110</v>
      </c>
      <c r="BH138" s="9">
        <v>100</v>
      </c>
      <c r="BI138" s="9">
        <v>100</v>
      </c>
      <c r="BJ138" s="9">
        <v>92</v>
      </c>
      <c r="BK138" s="9">
        <v>95</v>
      </c>
      <c r="BL138" s="9">
        <v>104</v>
      </c>
      <c r="BM138" s="9">
        <v>96</v>
      </c>
      <c r="BN138" s="9">
        <v>96</v>
      </c>
      <c r="BO138" s="9">
        <v>83</v>
      </c>
      <c r="BP138" s="9">
        <v>82</v>
      </c>
      <c r="BQ138" s="9">
        <v>78</v>
      </c>
      <c r="BR138" s="9">
        <v>73</v>
      </c>
      <c r="BS138" s="9">
        <v>76</v>
      </c>
      <c r="BT138" s="9">
        <v>66</v>
      </c>
      <c r="BU138" s="9">
        <v>69</v>
      </c>
      <c r="BV138" s="9">
        <v>66</v>
      </c>
      <c r="BW138" s="9">
        <v>64</v>
      </c>
      <c r="BX138" s="9">
        <v>59</v>
      </c>
      <c r="BY138" s="9">
        <v>59</v>
      </c>
      <c r="BZ138" s="9">
        <v>59</v>
      </c>
      <c r="CA138" s="9">
        <v>55</v>
      </c>
      <c r="CB138" s="9">
        <v>50</v>
      </c>
      <c r="CC138" s="9">
        <v>54</v>
      </c>
      <c r="CD138" s="9">
        <v>54</v>
      </c>
      <c r="CE138" s="9">
        <v>56</v>
      </c>
      <c r="CF138" s="9">
        <v>55</v>
      </c>
      <c r="CG138" s="9">
        <v>54</v>
      </c>
      <c r="CH138" s="9">
        <v>55</v>
      </c>
      <c r="CI138" s="9">
        <v>56</v>
      </c>
      <c r="CJ138" s="9">
        <v>53</v>
      </c>
      <c r="CK138" s="9">
        <v>53</v>
      </c>
      <c r="CL138" s="9">
        <v>51</v>
      </c>
      <c r="CM138" s="9">
        <v>46</v>
      </c>
      <c r="CN138" s="9">
        <v>52</v>
      </c>
      <c r="CO138" s="9">
        <v>51</v>
      </c>
      <c r="CP138" s="9">
        <v>48</v>
      </c>
      <c r="CQ138" s="9">
        <v>42</v>
      </c>
      <c r="CR138" s="9">
        <v>38</v>
      </c>
      <c r="CS138" s="9">
        <v>40</v>
      </c>
      <c r="CT138" s="9">
        <v>40</v>
      </c>
      <c r="CU138" s="9">
        <v>40</v>
      </c>
      <c r="CV138" s="9">
        <v>42</v>
      </c>
      <c r="CW138" s="9">
        <v>43</v>
      </c>
      <c r="CX138" s="9">
        <v>42</v>
      </c>
      <c r="CY138" s="9">
        <v>40</v>
      </c>
      <c r="CZ138" s="9">
        <v>39</v>
      </c>
      <c r="DA138" s="9">
        <v>38</v>
      </c>
      <c r="DB138" s="9">
        <v>38</v>
      </c>
      <c r="DC138" s="9">
        <v>34</v>
      </c>
      <c r="DD138" s="9">
        <v>29</v>
      </c>
      <c r="DE138" s="9">
        <v>26</v>
      </c>
      <c r="DF138" s="9">
        <v>20</v>
      </c>
      <c r="DG138" s="9">
        <v>19</v>
      </c>
      <c r="DH138" s="9">
        <v>20</v>
      </c>
      <c r="DI138" s="9">
        <v>19</v>
      </c>
      <c r="DJ138" s="9">
        <v>24</v>
      </c>
      <c r="DK138" s="9">
        <v>24</v>
      </c>
      <c r="DL138" s="9">
        <v>21</v>
      </c>
      <c r="DM138" s="9">
        <v>22</v>
      </c>
      <c r="DN138" s="9">
        <v>20</v>
      </c>
      <c r="DO138" s="9">
        <v>14</v>
      </c>
      <c r="DP138" s="9">
        <v>15</v>
      </c>
      <c r="DQ138" s="9">
        <v>11</v>
      </c>
      <c r="DR138" s="9">
        <v>8</v>
      </c>
      <c r="DS138" s="9">
        <v>8</v>
      </c>
      <c r="DT138" s="9">
        <v>6</v>
      </c>
      <c r="DU138" s="9">
        <v>8</v>
      </c>
      <c r="DV138" s="9">
        <v>9</v>
      </c>
      <c r="DW138" s="9">
        <v>10</v>
      </c>
      <c r="DX138" s="9">
        <v>9</v>
      </c>
      <c r="DY138" s="9">
        <v>10</v>
      </c>
      <c r="DZ138" s="9">
        <v>8</v>
      </c>
      <c r="EA138" s="9">
        <v>9</v>
      </c>
      <c r="EB138" s="9">
        <v>6</v>
      </c>
      <c r="EC138" s="9">
        <v>6</v>
      </c>
      <c r="ED138" s="9">
        <v>10</v>
      </c>
      <c r="EE138" s="9">
        <v>11</v>
      </c>
      <c r="EF138" s="9">
        <v>9</v>
      </c>
      <c r="EG138" s="9">
        <v>12</v>
      </c>
      <c r="EH138" s="9">
        <v>12</v>
      </c>
      <c r="EI138" s="9">
        <v>12</v>
      </c>
      <c r="EJ138" s="9">
        <v>9</v>
      </c>
      <c r="EK138" s="9">
        <v>9</v>
      </c>
      <c r="EL138" s="9">
        <v>7</v>
      </c>
      <c r="EM138" s="9">
        <v>7</v>
      </c>
      <c r="EN138" s="9">
        <v>7</v>
      </c>
      <c r="EO138" s="9">
        <v>6</v>
      </c>
      <c r="EP138" s="9">
        <v>6</v>
      </c>
      <c r="EQ138" s="9">
        <v>6</v>
      </c>
      <c r="ER138" s="9">
        <v>8</v>
      </c>
      <c r="ES138" s="9">
        <v>9</v>
      </c>
      <c r="ET138" s="9">
        <v>9</v>
      </c>
      <c r="EU138" s="9">
        <v>10</v>
      </c>
      <c r="EV138" s="9">
        <v>11</v>
      </c>
      <c r="EW138" s="9">
        <v>13</v>
      </c>
      <c r="EX138" s="9">
        <v>13</v>
      </c>
      <c r="EY138" s="9">
        <v>18</v>
      </c>
      <c r="EZ138" s="9">
        <v>17</v>
      </c>
      <c r="FA138" s="9">
        <v>15</v>
      </c>
      <c r="FB138" s="9">
        <v>14</v>
      </c>
      <c r="FC138" s="9">
        <v>13</v>
      </c>
      <c r="FD138" s="9">
        <v>13</v>
      </c>
      <c r="FE138" s="9">
        <v>13</v>
      </c>
      <c r="FF138" s="9">
        <v>16</v>
      </c>
      <c r="FG138" s="9">
        <v>16</v>
      </c>
      <c r="FH138" s="9">
        <v>16</v>
      </c>
      <c r="FI138" s="9">
        <v>14</v>
      </c>
      <c r="FJ138" s="9">
        <v>13</v>
      </c>
      <c r="FK138" s="9">
        <v>11</v>
      </c>
      <c r="FL138" s="9">
        <v>11</v>
      </c>
      <c r="FM138" s="10">
        <v>12</v>
      </c>
    </row>
    <row r="139" spans="1:169" x14ac:dyDescent="0.35">
      <c r="A139" s="8" t="s">
        <v>174</v>
      </c>
      <c r="B139" s="9" t="s">
        <v>243</v>
      </c>
      <c r="C139" s="10" t="s">
        <v>244</v>
      </c>
      <c r="D139" s="62">
        <f t="shared" si="99"/>
        <v>214</v>
      </c>
      <c r="E139" s="9">
        <v>9</v>
      </c>
      <c r="F139" s="9">
        <v>12</v>
      </c>
      <c r="G139" s="9">
        <v>18</v>
      </c>
      <c r="H139" s="9">
        <v>28</v>
      </c>
      <c r="I139" s="9">
        <v>28</v>
      </c>
      <c r="J139" s="9">
        <v>30</v>
      </c>
      <c r="K139" s="9">
        <v>35</v>
      </c>
      <c r="L139" s="9">
        <v>66</v>
      </c>
      <c r="M139" s="9">
        <v>78</v>
      </c>
      <c r="N139" s="9">
        <v>90</v>
      </c>
      <c r="O139" s="9">
        <v>102</v>
      </c>
      <c r="P139" s="9">
        <v>115</v>
      </c>
      <c r="Q139" s="9">
        <v>90</v>
      </c>
      <c r="R139" s="9">
        <v>111</v>
      </c>
      <c r="S139" s="9">
        <v>150</v>
      </c>
      <c r="T139" s="9">
        <v>174</v>
      </c>
      <c r="U139" s="9">
        <v>178</v>
      </c>
      <c r="V139" s="9">
        <v>187</v>
      </c>
      <c r="W139" s="9">
        <v>201</v>
      </c>
      <c r="X139" s="9">
        <v>205</v>
      </c>
      <c r="Y139" s="9">
        <v>199</v>
      </c>
      <c r="Z139" s="9">
        <v>200</v>
      </c>
      <c r="AA139" s="9">
        <v>187</v>
      </c>
      <c r="AB139" s="9">
        <v>214</v>
      </c>
      <c r="AC139" s="9">
        <v>184</v>
      </c>
      <c r="AD139" s="9">
        <v>184</v>
      </c>
      <c r="AE139" s="9">
        <v>167</v>
      </c>
      <c r="AF139" s="9">
        <v>157</v>
      </c>
      <c r="AG139" s="9">
        <v>151</v>
      </c>
      <c r="AH139" s="9">
        <v>155</v>
      </c>
      <c r="AI139" s="9">
        <v>159</v>
      </c>
      <c r="AJ139" s="9">
        <v>158</v>
      </c>
      <c r="AK139" s="9">
        <v>143</v>
      </c>
      <c r="AL139" s="9">
        <v>137</v>
      </c>
      <c r="AM139" s="9">
        <v>134</v>
      </c>
      <c r="AN139" s="9">
        <v>133</v>
      </c>
      <c r="AO139" s="9">
        <v>130</v>
      </c>
      <c r="AP139" s="9">
        <v>129</v>
      </c>
      <c r="AQ139" s="9">
        <v>129</v>
      </c>
      <c r="AR139" s="9">
        <v>126</v>
      </c>
      <c r="AS139" s="9">
        <v>114</v>
      </c>
      <c r="AT139" s="9">
        <v>117</v>
      </c>
      <c r="AU139" s="9">
        <v>109</v>
      </c>
      <c r="AV139" s="9">
        <v>101</v>
      </c>
      <c r="AW139" s="9">
        <v>96</v>
      </c>
      <c r="AX139" s="9">
        <v>99</v>
      </c>
      <c r="AY139" s="9">
        <v>98</v>
      </c>
      <c r="AZ139" s="9">
        <v>100</v>
      </c>
      <c r="BA139" s="9">
        <v>93</v>
      </c>
      <c r="BB139" s="9">
        <v>86</v>
      </c>
      <c r="BC139" s="9">
        <v>78</v>
      </c>
      <c r="BD139" s="9">
        <v>76</v>
      </c>
      <c r="BE139" s="9">
        <v>73</v>
      </c>
      <c r="BF139" s="9">
        <v>72</v>
      </c>
      <c r="BG139" s="9">
        <v>64</v>
      </c>
      <c r="BH139" s="9">
        <v>76</v>
      </c>
      <c r="BI139" s="9">
        <v>68</v>
      </c>
      <c r="BJ139" s="9">
        <v>66</v>
      </c>
      <c r="BK139" s="9">
        <v>63</v>
      </c>
      <c r="BL139" s="9">
        <v>73</v>
      </c>
      <c r="BM139" s="9">
        <v>81</v>
      </c>
      <c r="BN139" s="9">
        <v>81</v>
      </c>
      <c r="BO139" s="9">
        <v>88</v>
      </c>
      <c r="BP139" s="9">
        <v>90</v>
      </c>
      <c r="BQ139" s="9">
        <v>81</v>
      </c>
      <c r="BR139" s="9">
        <v>78</v>
      </c>
      <c r="BS139" s="9">
        <v>82</v>
      </c>
      <c r="BT139" s="9">
        <v>86</v>
      </c>
      <c r="BU139" s="9">
        <v>85</v>
      </c>
      <c r="BV139" s="9">
        <v>79</v>
      </c>
      <c r="BW139" s="9">
        <v>82</v>
      </c>
      <c r="BX139" s="9">
        <v>82</v>
      </c>
      <c r="BY139" s="9">
        <v>85</v>
      </c>
      <c r="BZ139" s="9">
        <v>105</v>
      </c>
      <c r="CA139" s="9">
        <v>85</v>
      </c>
      <c r="CB139" s="9">
        <v>83</v>
      </c>
      <c r="CC139" s="9">
        <v>77</v>
      </c>
      <c r="CD139" s="9">
        <v>75</v>
      </c>
      <c r="CE139" s="9">
        <v>73</v>
      </c>
      <c r="CF139" s="9">
        <v>73</v>
      </c>
      <c r="CG139" s="9">
        <v>70</v>
      </c>
      <c r="CH139" s="9">
        <v>66</v>
      </c>
      <c r="CI139" s="9">
        <v>65</v>
      </c>
      <c r="CJ139" s="9">
        <v>60</v>
      </c>
      <c r="CK139" s="9">
        <v>59</v>
      </c>
      <c r="CL139" s="9">
        <v>54</v>
      </c>
      <c r="CM139" s="9">
        <v>55</v>
      </c>
      <c r="CN139" s="9">
        <v>62</v>
      </c>
      <c r="CO139" s="9">
        <v>64</v>
      </c>
      <c r="CP139" s="9">
        <v>63</v>
      </c>
      <c r="CQ139" s="9">
        <v>60</v>
      </c>
      <c r="CR139" s="9">
        <v>54</v>
      </c>
      <c r="CS139" s="9">
        <v>50</v>
      </c>
      <c r="CT139" s="9">
        <v>50</v>
      </c>
      <c r="CU139" s="9">
        <v>54</v>
      </c>
      <c r="CV139" s="9">
        <v>43</v>
      </c>
      <c r="CW139" s="9">
        <v>37</v>
      </c>
      <c r="CX139" s="9">
        <v>36</v>
      </c>
      <c r="CY139" s="9">
        <v>36</v>
      </c>
      <c r="CZ139" s="9">
        <v>34</v>
      </c>
      <c r="DA139" s="9">
        <v>33</v>
      </c>
      <c r="DB139" s="9">
        <v>32</v>
      </c>
      <c r="DC139" s="9">
        <v>34</v>
      </c>
      <c r="DD139" s="9">
        <v>32</v>
      </c>
      <c r="DE139" s="9">
        <v>32</v>
      </c>
      <c r="DF139" s="9">
        <v>29</v>
      </c>
      <c r="DG139" s="9">
        <v>28</v>
      </c>
      <c r="DH139" s="9">
        <v>26</v>
      </c>
      <c r="DI139" s="9">
        <v>26</v>
      </c>
      <c r="DJ139" s="9">
        <v>22</v>
      </c>
      <c r="DK139" s="9">
        <v>21</v>
      </c>
      <c r="DL139" s="9">
        <v>22</v>
      </c>
      <c r="DM139" s="9">
        <v>22</v>
      </c>
      <c r="DN139" s="9">
        <v>21</v>
      </c>
      <c r="DO139" s="9">
        <v>20</v>
      </c>
      <c r="DP139" s="9">
        <v>20</v>
      </c>
      <c r="DQ139" s="9">
        <v>17</v>
      </c>
      <c r="DR139" s="9">
        <v>15</v>
      </c>
      <c r="DS139" s="9">
        <v>14</v>
      </c>
      <c r="DT139" s="9">
        <v>14</v>
      </c>
      <c r="DU139" s="9">
        <v>15</v>
      </c>
      <c r="DV139" s="9">
        <v>15</v>
      </c>
      <c r="DW139" s="9">
        <v>17</v>
      </c>
      <c r="DX139" s="9">
        <v>15</v>
      </c>
      <c r="DY139" s="9">
        <v>16</v>
      </c>
      <c r="DZ139" s="9">
        <v>18</v>
      </c>
      <c r="EA139" s="9">
        <v>17</v>
      </c>
      <c r="EB139" s="9">
        <v>15</v>
      </c>
      <c r="EC139" s="9">
        <v>16</v>
      </c>
      <c r="ED139" s="9">
        <v>16</v>
      </c>
      <c r="EE139" s="9">
        <v>17</v>
      </c>
      <c r="EF139" s="9">
        <v>16</v>
      </c>
      <c r="EG139" s="9">
        <v>15</v>
      </c>
      <c r="EH139" s="9">
        <v>15</v>
      </c>
      <c r="EI139" s="9">
        <v>16</v>
      </c>
      <c r="EJ139" s="9">
        <v>16</v>
      </c>
      <c r="EK139" s="9">
        <v>17</v>
      </c>
      <c r="EL139" s="9">
        <v>16</v>
      </c>
      <c r="EM139" s="9">
        <v>14</v>
      </c>
      <c r="EN139" s="9">
        <v>13</v>
      </c>
      <c r="EO139" s="9">
        <v>13</v>
      </c>
      <c r="EP139" s="9">
        <v>9</v>
      </c>
      <c r="EQ139" s="9">
        <v>9</v>
      </c>
      <c r="ER139" s="9">
        <v>17</v>
      </c>
      <c r="ES139" s="9">
        <v>13</v>
      </c>
      <c r="ET139" s="9">
        <v>14</v>
      </c>
      <c r="EU139" s="9">
        <v>15</v>
      </c>
      <c r="EV139" s="9">
        <v>14</v>
      </c>
      <c r="EW139" s="9">
        <v>12</v>
      </c>
      <c r="EX139" s="9">
        <v>13</v>
      </c>
      <c r="EY139" s="9">
        <v>14</v>
      </c>
      <c r="EZ139" s="9">
        <v>14</v>
      </c>
      <c r="FA139" s="9">
        <v>12</v>
      </c>
      <c r="FB139" s="9">
        <v>12</v>
      </c>
      <c r="FC139" s="9">
        <v>0</v>
      </c>
      <c r="FD139" s="9">
        <v>8</v>
      </c>
      <c r="FE139" s="9">
        <v>8</v>
      </c>
      <c r="FF139" s="9">
        <v>8</v>
      </c>
      <c r="FG139" s="9">
        <v>11</v>
      </c>
      <c r="FH139" s="9">
        <v>11</v>
      </c>
      <c r="FI139" s="9">
        <v>12</v>
      </c>
      <c r="FJ139" s="9">
        <v>11</v>
      </c>
      <c r="FK139" s="9">
        <v>14</v>
      </c>
      <c r="FL139" s="9">
        <v>14</v>
      </c>
      <c r="FM139" s="10">
        <v>13</v>
      </c>
    </row>
    <row r="140" spans="1:169" x14ac:dyDescent="0.35">
      <c r="A140" s="8" t="s">
        <v>174</v>
      </c>
      <c r="B140" s="9" t="s">
        <v>245</v>
      </c>
      <c r="C140" s="10" t="s">
        <v>246</v>
      </c>
      <c r="D140" s="62">
        <f t="shared" si="99"/>
        <v>9</v>
      </c>
      <c r="E140" s="9">
        <v>0</v>
      </c>
      <c r="F140" s="9">
        <v>0</v>
      </c>
      <c r="G140" s="9">
        <v>0</v>
      </c>
      <c r="H140" s="9">
        <v>0</v>
      </c>
      <c r="I140" s="9">
        <v>0</v>
      </c>
      <c r="J140" s="9">
        <v>0</v>
      </c>
      <c r="K140" s="9">
        <v>0</v>
      </c>
      <c r="L140" s="9">
        <v>0</v>
      </c>
      <c r="M140" s="9">
        <v>3</v>
      </c>
      <c r="N140" s="9">
        <v>2</v>
      </c>
      <c r="O140" s="9">
        <v>3</v>
      </c>
      <c r="P140" s="9">
        <v>3</v>
      </c>
      <c r="Q140" s="9">
        <v>1</v>
      </c>
      <c r="R140" s="9">
        <v>2</v>
      </c>
      <c r="S140" s="9">
        <v>2</v>
      </c>
      <c r="T140" s="9">
        <v>3</v>
      </c>
      <c r="U140" s="9">
        <v>3</v>
      </c>
      <c r="V140" s="9">
        <v>2</v>
      </c>
      <c r="W140" s="9">
        <v>4</v>
      </c>
      <c r="X140" s="9">
        <v>5</v>
      </c>
      <c r="Y140" s="9">
        <v>7</v>
      </c>
      <c r="Z140" s="9">
        <v>7</v>
      </c>
      <c r="AA140" s="9">
        <v>6</v>
      </c>
      <c r="AB140" s="9">
        <v>9</v>
      </c>
      <c r="AC140" s="9">
        <v>9</v>
      </c>
      <c r="AD140" s="9">
        <v>9</v>
      </c>
      <c r="AE140" s="9">
        <v>7</v>
      </c>
      <c r="AF140" s="9">
        <v>6</v>
      </c>
      <c r="AG140" s="9">
        <v>7</v>
      </c>
      <c r="AH140" s="9">
        <v>7</v>
      </c>
      <c r="AI140" s="9">
        <v>8</v>
      </c>
      <c r="AJ140" s="9">
        <v>8</v>
      </c>
      <c r="AK140" s="9">
        <v>6</v>
      </c>
      <c r="AL140" s="9">
        <v>4</v>
      </c>
      <c r="AM140" s="9">
        <v>2</v>
      </c>
      <c r="AN140" s="9">
        <v>4</v>
      </c>
      <c r="AO140" s="9">
        <v>4</v>
      </c>
      <c r="AP140" s="9">
        <v>3</v>
      </c>
      <c r="AQ140" s="9">
        <v>4</v>
      </c>
      <c r="AR140" s="9">
        <v>4</v>
      </c>
      <c r="AS140" s="9">
        <v>5</v>
      </c>
      <c r="AT140" s="9">
        <v>5</v>
      </c>
      <c r="AU140" s="9">
        <v>4</v>
      </c>
      <c r="AV140" s="9">
        <v>4</v>
      </c>
      <c r="AW140" s="9">
        <v>4</v>
      </c>
      <c r="AX140" s="9">
        <v>4</v>
      </c>
      <c r="AY140" s="9">
        <v>3</v>
      </c>
      <c r="AZ140" s="9">
        <v>2</v>
      </c>
      <c r="BA140" s="9">
        <v>2</v>
      </c>
      <c r="BB140" s="9">
        <v>3</v>
      </c>
      <c r="BC140" s="9">
        <v>3</v>
      </c>
      <c r="BD140" s="9">
        <v>4</v>
      </c>
      <c r="BE140" s="9">
        <v>5</v>
      </c>
      <c r="BF140" s="9">
        <v>4</v>
      </c>
      <c r="BG140" s="9">
        <v>6</v>
      </c>
      <c r="BH140" s="9">
        <v>9</v>
      </c>
      <c r="BI140" s="9">
        <v>9</v>
      </c>
      <c r="BJ140" s="9">
        <v>8</v>
      </c>
      <c r="BK140" s="9">
        <v>9</v>
      </c>
      <c r="BL140" s="9">
        <v>8</v>
      </c>
      <c r="BM140" s="9">
        <v>8</v>
      </c>
      <c r="BN140" s="9">
        <v>7</v>
      </c>
      <c r="BO140" s="9">
        <v>7</v>
      </c>
      <c r="BP140" s="9">
        <v>8</v>
      </c>
      <c r="BQ140" s="9">
        <v>8</v>
      </c>
      <c r="BR140" s="9">
        <v>7</v>
      </c>
      <c r="BS140" s="9">
        <v>7</v>
      </c>
      <c r="BT140" s="9">
        <v>7</v>
      </c>
      <c r="BU140" s="9">
        <v>3</v>
      </c>
      <c r="BV140" s="9">
        <v>2</v>
      </c>
      <c r="BW140" s="9">
        <v>2</v>
      </c>
      <c r="BX140" s="9">
        <v>2</v>
      </c>
      <c r="BY140" s="9">
        <v>2</v>
      </c>
      <c r="BZ140" s="9">
        <v>2</v>
      </c>
      <c r="CA140" s="9">
        <v>2</v>
      </c>
      <c r="CB140" s="9">
        <v>1</v>
      </c>
      <c r="CC140" s="9">
        <v>1</v>
      </c>
      <c r="CD140" s="9">
        <v>1</v>
      </c>
      <c r="CE140" s="9">
        <v>0</v>
      </c>
      <c r="CF140" s="9">
        <v>1</v>
      </c>
      <c r="CG140" s="9">
        <v>1</v>
      </c>
      <c r="CH140" s="9">
        <v>1</v>
      </c>
      <c r="CI140" s="9">
        <v>0</v>
      </c>
      <c r="CJ140" s="9">
        <v>0</v>
      </c>
      <c r="CK140" s="9">
        <v>0</v>
      </c>
      <c r="CL140" s="9">
        <v>0</v>
      </c>
      <c r="CM140" s="9">
        <v>0</v>
      </c>
      <c r="CN140" s="9">
        <v>0</v>
      </c>
      <c r="CO140" s="9">
        <v>0</v>
      </c>
      <c r="CP140" s="9">
        <v>0</v>
      </c>
      <c r="CQ140" s="9">
        <v>0</v>
      </c>
      <c r="CR140" s="9">
        <v>0</v>
      </c>
      <c r="CS140" s="9">
        <v>0</v>
      </c>
      <c r="CT140" s="9">
        <v>0</v>
      </c>
      <c r="CU140" s="9">
        <v>0</v>
      </c>
      <c r="CV140" s="9">
        <v>0</v>
      </c>
      <c r="CW140" s="9">
        <v>0</v>
      </c>
      <c r="CX140" s="9">
        <v>0</v>
      </c>
      <c r="CY140" s="9">
        <v>0</v>
      </c>
      <c r="CZ140" s="9">
        <v>0</v>
      </c>
      <c r="DA140" s="9">
        <v>0</v>
      </c>
      <c r="DB140" s="9">
        <v>0</v>
      </c>
      <c r="DC140" s="9">
        <v>0</v>
      </c>
      <c r="DD140" s="9">
        <v>0</v>
      </c>
      <c r="DE140" s="9">
        <v>0</v>
      </c>
      <c r="DF140" s="9">
        <v>0</v>
      </c>
      <c r="DG140" s="9">
        <v>0</v>
      </c>
      <c r="DH140" s="9">
        <v>0</v>
      </c>
      <c r="DI140" s="9">
        <v>0</v>
      </c>
      <c r="DJ140" s="9">
        <v>0</v>
      </c>
      <c r="DK140" s="9">
        <v>0</v>
      </c>
      <c r="DL140" s="9">
        <v>0</v>
      </c>
      <c r="DM140" s="9">
        <v>1</v>
      </c>
      <c r="DN140" s="9">
        <v>1</v>
      </c>
      <c r="DO140" s="9">
        <v>1</v>
      </c>
      <c r="DP140" s="9">
        <v>1</v>
      </c>
      <c r="DQ140" s="9">
        <v>1</v>
      </c>
      <c r="DR140" s="9">
        <v>1</v>
      </c>
      <c r="DS140" s="9">
        <v>1</v>
      </c>
      <c r="DT140" s="9">
        <v>1</v>
      </c>
      <c r="DU140" s="9">
        <v>1</v>
      </c>
      <c r="DV140" s="9">
        <v>1</v>
      </c>
      <c r="DW140" s="9">
        <v>1</v>
      </c>
      <c r="DX140" s="9">
        <v>1</v>
      </c>
      <c r="DY140" s="9">
        <v>0</v>
      </c>
      <c r="DZ140" s="9">
        <v>0</v>
      </c>
      <c r="EA140" s="9">
        <v>0</v>
      </c>
      <c r="EB140" s="9">
        <v>0</v>
      </c>
      <c r="EC140" s="9">
        <v>0</v>
      </c>
      <c r="ED140" s="9">
        <v>0</v>
      </c>
      <c r="EE140" s="9">
        <v>0</v>
      </c>
      <c r="EF140" s="9">
        <v>0</v>
      </c>
      <c r="EG140" s="9">
        <v>0</v>
      </c>
      <c r="EH140" s="9">
        <v>0</v>
      </c>
      <c r="EI140" s="9">
        <v>0</v>
      </c>
      <c r="EJ140" s="9">
        <v>0</v>
      </c>
      <c r="EK140" s="9">
        <v>0</v>
      </c>
      <c r="EL140" s="9">
        <v>0</v>
      </c>
      <c r="EM140" s="9">
        <v>0</v>
      </c>
      <c r="EN140" s="9">
        <v>0</v>
      </c>
      <c r="EO140" s="9">
        <v>0</v>
      </c>
      <c r="EP140" s="9">
        <v>0</v>
      </c>
      <c r="EQ140" s="9">
        <v>0</v>
      </c>
      <c r="ER140" s="9">
        <v>0</v>
      </c>
      <c r="ES140" s="9">
        <v>0</v>
      </c>
      <c r="ET140" s="9">
        <v>0</v>
      </c>
      <c r="EU140" s="9">
        <v>0</v>
      </c>
      <c r="EV140" s="9">
        <v>0</v>
      </c>
      <c r="EW140" s="9">
        <v>0</v>
      </c>
      <c r="EX140" s="9">
        <v>0</v>
      </c>
      <c r="EY140" s="9">
        <v>1</v>
      </c>
      <c r="EZ140" s="9">
        <v>1</v>
      </c>
      <c r="FA140" s="9">
        <v>1</v>
      </c>
      <c r="FB140" s="9">
        <v>1</v>
      </c>
      <c r="FC140" s="9">
        <v>1</v>
      </c>
      <c r="FD140" s="9">
        <v>1</v>
      </c>
      <c r="FE140" s="9">
        <v>1</v>
      </c>
      <c r="FF140" s="9">
        <v>1</v>
      </c>
      <c r="FG140" s="9">
        <v>1</v>
      </c>
      <c r="FH140" s="9">
        <v>1</v>
      </c>
      <c r="FI140" s="9">
        <v>1</v>
      </c>
      <c r="FJ140" s="9">
        <v>1</v>
      </c>
      <c r="FK140" s="9">
        <v>1</v>
      </c>
      <c r="FL140" s="9">
        <v>1</v>
      </c>
      <c r="FM140" s="10">
        <v>1</v>
      </c>
    </row>
    <row r="141" spans="1:169" x14ac:dyDescent="0.35">
      <c r="A141" s="8" t="s">
        <v>174</v>
      </c>
      <c r="B141" s="9" t="s">
        <v>247</v>
      </c>
      <c r="C141" s="10" t="s">
        <v>248</v>
      </c>
      <c r="D141" s="62">
        <f t="shared" si="99"/>
        <v>32</v>
      </c>
      <c r="E141" s="9">
        <v>0</v>
      </c>
      <c r="F141" s="9">
        <v>0</v>
      </c>
      <c r="G141" s="9">
        <v>0</v>
      </c>
      <c r="H141" s="9">
        <v>0</v>
      </c>
      <c r="I141" s="9">
        <v>1</v>
      </c>
      <c r="J141" s="9">
        <v>1</v>
      </c>
      <c r="K141" s="9">
        <v>1</v>
      </c>
      <c r="L141" s="9">
        <v>1</v>
      </c>
      <c r="M141" s="9">
        <v>3</v>
      </c>
      <c r="N141" s="9">
        <v>3</v>
      </c>
      <c r="O141" s="9">
        <v>3</v>
      </c>
      <c r="P141" s="9">
        <v>2</v>
      </c>
      <c r="Q141" s="9">
        <v>2</v>
      </c>
      <c r="R141" s="9">
        <v>7</v>
      </c>
      <c r="S141" s="9">
        <v>9</v>
      </c>
      <c r="T141" s="9">
        <v>8</v>
      </c>
      <c r="U141" s="9">
        <v>8</v>
      </c>
      <c r="V141" s="9">
        <v>11</v>
      </c>
      <c r="W141" s="9">
        <v>11</v>
      </c>
      <c r="X141" s="9">
        <v>12</v>
      </c>
      <c r="Y141" s="9">
        <v>12</v>
      </c>
      <c r="Z141" s="9">
        <v>13</v>
      </c>
      <c r="AA141" s="9">
        <v>16</v>
      </c>
      <c r="AB141" s="9">
        <v>16</v>
      </c>
      <c r="AC141" s="9">
        <v>18</v>
      </c>
      <c r="AD141" s="9">
        <v>19</v>
      </c>
      <c r="AE141" s="9">
        <v>19</v>
      </c>
      <c r="AF141" s="9">
        <v>19</v>
      </c>
      <c r="AG141" s="9">
        <v>24</v>
      </c>
      <c r="AH141" s="9">
        <v>24</v>
      </c>
      <c r="AI141" s="9">
        <v>26</v>
      </c>
      <c r="AJ141" s="9">
        <v>26</v>
      </c>
      <c r="AK141" s="9">
        <v>27</v>
      </c>
      <c r="AL141" s="9">
        <v>27</v>
      </c>
      <c r="AM141" s="9">
        <v>28</v>
      </c>
      <c r="AN141" s="9">
        <v>28</v>
      </c>
      <c r="AO141" s="9">
        <v>29</v>
      </c>
      <c r="AP141" s="9">
        <v>32</v>
      </c>
      <c r="AQ141" s="9">
        <v>32</v>
      </c>
      <c r="AR141" s="9">
        <v>11</v>
      </c>
      <c r="AS141" s="9">
        <v>12</v>
      </c>
      <c r="AT141" s="9">
        <v>10</v>
      </c>
      <c r="AU141" s="9">
        <v>10</v>
      </c>
      <c r="AV141" s="9">
        <v>9</v>
      </c>
      <c r="AW141" s="9">
        <v>9</v>
      </c>
      <c r="AX141" s="9">
        <v>9</v>
      </c>
      <c r="AY141" s="9">
        <v>8</v>
      </c>
      <c r="AZ141" s="9">
        <v>6</v>
      </c>
      <c r="BA141" s="9">
        <v>6</v>
      </c>
      <c r="BB141" s="9">
        <v>6</v>
      </c>
      <c r="BC141" s="9">
        <v>4</v>
      </c>
      <c r="BD141" s="9">
        <v>4</v>
      </c>
      <c r="BE141" s="9">
        <v>4</v>
      </c>
      <c r="BF141" s="9">
        <v>1</v>
      </c>
      <c r="BG141" s="9">
        <v>1</v>
      </c>
      <c r="BH141" s="9">
        <v>2</v>
      </c>
      <c r="BI141" s="9">
        <v>2</v>
      </c>
      <c r="BJ141" s="9">
        <v>2</v>
      </c>
      <c r="BK141" s="9">
        <v>1</v>
      </c>
      <c r="BL141" s="9">
        <v>1</v>
      </c>
      <c r="BM141" s="9">
        <v>1</v>
      </c>
      <c r="BN141" s="9">
        <v>1</v>
      </c>
      <c r="BO141" s="9">
        <v>1</v>
      </c>
      <c r="BP141" s="9">
        <v>1</v>
      </c>
      <c r="BQ141" s="9">
        <v>1</v>
      </c>
      <c r="BR141" s="9">
        <v>1</v>
      </c>
      <c r="BS141" s="9">
        <v>2</v>
      </c>
      <c r="BT141" s="9">
        <v>2</v>
      </c>
      <c r="BU141" s="9">
        <v>3</v>
      </c>
      <c r="BV141" s="9">
        <v>3</v>
      </c>
      <c r="BW141" s="9">
        <v>3</v>
      </c>
      <c r="BX141" s="9">
        <v>4</v>
      </c>
      <c r="BY141" s="9">
        <v>4</v>
      </c>
      <c r="BZ141" s="9">
        <v>4</v>
      </c>
      <c r="CA141" s="9">
        <v>3</v>
      </c>
      <c r="CB141" s="9">
        <v>0</v>
      </c>
      <c r="CC141" s="9">
        <v>1</v>
      </c>
      <c r="CD141" s="9">
        <v>1</v>
      </c>
      <c r="CE141" s="9">
        <v>1</v>
      </c>
      <c r="CF141" s="9">
        <v>1</v>
      </c>
      <c r="CG141" s="9">
        <v>1</v>
      </c>
      <c r="CH141" s="9">
        <v>1</v>
      </c>
      <c r="CI141" s="9">
        <v>1</v>
      </c>
      <c r="CJ141" s="9">
        <v>1</v>
      </c>
      <c r="CK141" s="9">
        <v>1</v>
      </c>
      <c r="CL141" s="9">
        <v>1</v>
      </c>
      <c r="CM141" s="9">
        <v>1</v>
      </c>
      <c r="CN141" s="9">
        <v>1</v>
      </c>
      <c r="CO141" s="9">
        <v>1</v>
      </c>
      <c r="CP141" s="9">
        <v>1</v>
      </c>
      <c r="CQ141" s="9">
        <v>1</v>
      </c>
      <c r="CR141" s="9">
        <v>1</v>
      </c>
      <c r="CS141" s="9">
        <v>1</v>
      </c>
      <c r="CT141" s="9">
        <v>1</v>
      </c>
      <c r="CU141" s="9">
        <v>1</v>
      </c>
      <c r="CV141" s="9">
        <v>1</v>
      </c>
      <c r="CW141" s="9">
        <v>1</v>
      </c>
      <c r="CX141" s="9">
        <v>1</v>
      </c>
      <c r="CY141" s="9">
        <v>1</v>
      </c>
      <c r="CZ141" s="9">
        <v>1</v>
      </c>
      <c r="DA141" s="9">
        <v>1</v>
      </c>
      <c r="DB141" s="9">
        <v>1</v>
      </c>
      <c r="DC141" s="9">
        <v>0</v>
      </c>
      <c r="DD141" s="9">
        <v>0</v>
      </c>
      <c r="DE141" s="9">
        <v>0</v>
      </c>
      <c r="DF141" s="9">
        <v>0</v>
      </c>
      <c r="DG141" s="9">
        <v>0</v>
      </c>
      <c r="DH141" s="9">
        <v>0</v>
      </c>
      <c r="DI141" s="9">
        <v>0</v>
      </c>
      <c r="DJ141" s="9">
        <v>0</v>
      </c>
      <c r="DK141" s="9">
        <v>1</v>
      </c>
      <c r="DL141" s="9">
        <v>1</v>
      </c>
      <c r="DM141" s="9">
        <v>1</v>
      </c>
      <c r="DN141" s="9">
        <v>1</v>
      </c>
      <c r="DO141" s="9">
        <v>1</v>
      </c>
      <c r="DP141" s="9">
        <v>1</v>
      </c>
      <c r="DQ141" s="9">
        <v>1</v>
      </c>
      <c r="DR141" s="9">
        <v>1</v>
      </c>
      <c r="DS141" s="9">
        <v>1</v>
      </c>
      <c r="DT141" s="9">
        <v>1</v>
      </c>
      <c r="DU141" s="9">
        <v>2</v>
      </c>
      <c r="DV141" s="9">
        <v>2</v>
      </c>
      <c r="DW141" s="9">
        <v>2</v>
      </c>
      <c r="DX141" s="9">
        <v>2</v>
      </c>
      <c r="DY141" s="9">
        <v>2</v>
      </c>
      <c r="DZ141" s="9">
        <v>2</v>
      </c>
      <c r="EA141" s="9">
        <v>2</v>
      </c>
      <c r="EB141" s="9">
        <v>2</v>
      </c>
      <c r="EC141" s="9">
        <v>1</v>
      </c>
      <c r="ED141" s="9">
        <v>1</v>
      </c>
      <c r="EE141" s="9">
        <v>1</v>
      </c>
      <c r="EF141" s="9">
        <v>1</v>
      </c>
      <c r="EG141" s="9">
        <v>1</v>
      </c>
      <c r="EH141" s="9">
        <v>1</v>
      </c>
      <c r="EI141" s="9">
        <v>1</v>
      </c>
      <c r="EJ141" s="9">
        <v>1</v>
      </c>
      <c r="EK141" s="9">
        <v>1</v>
      </c>
      <c r="EL141" s="9">
        <v>1</v>
      </c>
      <c r="EM141" s="9">
        <v>1</v>
      </c>
      <c r="EN141" s="9">
        <v>1</v>
      </c>
      <c r="EO141" s="9">
        <v>1</v>
      </c>
      <c r="EP141" s="9">
        <v>0</v>
      </c>
      <c r="EQ141" s="9">
        <v>0</v>
      </c>
      <c r="ER141" s="9">
        <v>0</v>
      </c>
      <c r="ES141" s="9">
        <v>0</v>
      </c>
      <c r="ET141" s="9">
        <v>0</v>
      </c>
      <c r="EU141" s="9">
        <v>0</v>
      </c>
      <c r="EV141" s="9">
        <v>0</v>
      </c>
      <c r="EW141" s="9">
        <v>0</v>
      </c>
      <c r="EX141" s="9">
        <v>0</v>
      </c>
      <c r="EY141" s="9">
        <v>0</v>
      </c>
      <c r="EZ141" s="9">
        <v>0</v>
      </c>
      <c r="FA141" s="9">
        <v>0</v>
      </c>
      <c r="FB141" s="9">
        <v>0</v>
      </c>
      <c r="FC141" s="9">
        <v>0</v>
      </c>
      <c r="FD141" s="9">
        <v>0</v>
      </c>
      <c r="FE141" s="9">
        <v>0</v>
      </c>
      <c r="FF141" s="9">
        <v>0</v>
      </c>
      <c r="FG141" s="9">
        <v>0</v>
      </c>
      <c r="FH141" s="9">
        <v>0</v>
      </c>
      <c r="FI141" s="9">
        <v>1</v>
      </c>
      <c r="FJ141" s="9">
        <v>1</v>
      </c>
      <c r="FK141" s="9">
        <v>1</v>
      </c>
      <c r="FL141" s="9">
        <v>1</v>
      </c>
      <c r="FM141" s="10">
        <v>1</v>
      </c>
    </row>
    <row r="142" spans="1:169" x14ac:dyDescent="0.35">
      <c r="A142" s="8" t="s">
        <v>174</v>
      </c>
      <c r="B142" s="9" t="s">
        <v>249</v>
      </c>
      <c r="C142" s="10" t="s">
        <v>250</v>
      </c>
      <c r="D142" s="62">
        <f t="shared" si="99"/>
        <v>116</v>
      </c>
      <c r="E142" s="9">
        <v>0</v>
      </c>
      <c r="F142" s="9">
        <v>0</v>
      </c>
      <c r="G142" s="9">
        <v>6</v>
      </c>
      <c r="H142" s="9">
        <v>3</v>
      </c>
      <c r="I142" s="9">
        <v>6</v>
      </c>
      <c r="J142" s="9">
        <v>14</v>
      </c>
      <c r="K142" s="9">
        <v>22</v>
      </c>
      <c r="L142" s="9">
        <v>30</v>
      </c>
      <c r="M142" s="9">
        <v>76</v>
      </c>
      <c r="N142" s="9">
        <v>116</v>
      </c>
      <c r="O142" s="9">
        <v>114</v>
      </c>
      <c r="P142" s="9">
        <v>41</v>
      </c>
      <c r="Q142" s="9">
        <v>52</v>
      </c>
      <c r="R142" s="9">
        <v>49</v>
      </c>
      <c r="S142" s="9">
        <v>65</v>
      </c>
      <c r="T142" s="9">
        <v>72</v>
      </c>
      <c r="U142" s="9">
        <v>67</v>
      </c>
      <c r="V142" s="9">
        <v>72</v>
      </c>
      <c r="W142" s="9">
        <v>79</v>
      </c>
      <c r="X142" s="9">
        <v>84</v>
      </c>
      <c r="Y142" s="9">
        <v>72</v>
      </c>
      <c r="Z142" s="9">
        <v>70</v>
      </c>
      <c r="AA142" s="9">
        <v>87</v>
      </c>
      <c r="AB142" s="9">
        <v>77</v>
      </c>
      <c r="AC142" s="9">
        <v>69</v>
      </c>
      <c r="AD142" s="9">
        <v>69</v>
      </c>
      <c r="AE142" s="9">
        <v>69</v>
      </c>
      <c r="AF142" s="9">
        <v>55</v>
      </c>
      <c r="AG142" s="9">
        <v>0</v>
      </c>
      <c r="AH142" s="9">
        <v>48</v>
      </c>
      <c r="AI142" s="9">
        <v>48</v>
      </c>
      <c r="AJ142" s="9">
        <v>50</v>
      </c>
      <c r="AK142" s="9">
        <v>53</v>
      </c>
      <c r="AL142" s="9">
        <v>50</v>
      </c>
      <c r="AM142" s="9">
        <v>60</v>
      </c>
      <c r="AN142" s="9">
        <v>58</v>
      </c>
      <c r="AO142" s="9">
        <v>46</v>
      </c>
      <c r="AP142" s="9">
        <v>51</v>
      </c>
      <c r="AQ142" s="9">
        <v>54</v>
      </c>
      <c r="AR142" s="9">
        <v>59</v>
      </c>
      <c r="AS142" s="9">
        <v>57</v>
      </c>
      <c r="AT142" s="9">
        <v>58</v>
      </c>
      <c r="AU142" s="9">
        <v>60</v>
      </c>
      <c r="AV142" s="9">
        <v>68</v>
      </c>
      <c r="AW142" s="9">
        <v>68</v>
      </c>
      <c r="AX142" s="9">
        <v>71</v>
      </c>
      <c r="AY142" s="9">
        <v>70</v>
      </c>
      <c r="AZ142" s="9">
        <v>60</v>
      </c>
      <c r="BA142" s="9">
        <v>50</v>
      </c>
      <c r="BB142" s="9">
        <v>49</v>
      </c>
      <c r="BC142" s="9">
        <v>48</v>
      </c>
      <c r="BD142" s="9">
        <v>53</v>
      </c>
      <c r="BE142" s="9">
        <v>64</v>
      </c>
      <c r="BF142" s="9">
        <v>63</v>
      </c>
      <c r="BG142" s="9">
        <v>69</v>
      </c>
      <c r="BH142" s="9">
        <v>69</v>
      </c>
      <c r="BI142" s="9">
        <v>62</v>
      </c>
      <c r="BJ142" s="9">
        <v>49</v>
      </c>
      <c r="BK142" s="9">
        <v>54</v>
      </c>
      <c r="BL142" s="9">
        <v>59</v>
      </c>
      <c r="BM142" s="9">
        <v>55</v>
      </c>
      <c r="BN142" s="9">
        <v>51</v>
      </c>
      <c r="BO142" s="9">
        <v>53</v>
      </c>
      <c r="BP142" s="9">
        <v>52</v>
      </c>
      <c r="BQ142" s="9">
        <v>32</v>
      </c>
      <c r="BR142" s="9">
        <v>51</v>
      </c>
      <c r="BS142" s="9">
        <v>48</v>
      </c>
      <c r="BT142" s="9">
        <v>49</v>
      </c>
      <c r="BU142" s="9">
        <v>49</v>
      </c>
      <c r="BV142" s="9">
        <v>54</v>
      </c>
      <c r="BW142" s="9">
        <v>45</v>
      </c>
      <c r="BX142" s="9">
        <v>40</v>
      </c>
      <c r="BY142" s="9">
        <v>40</v>
      </c>
      <c r="BZ142" s="9">
        <v>38</v>
      </c>
      <c r="CA142" s="9">
        <v>33</v>
      </c>
      <c r="CB142" s="9">
        <v>38</v>
      </c>
      <c r="CC142" s="9">
        <v>44</v>
      </c>
      <c r="CD142" s="9">
        <v>36</v>
      </c>
      <c r="CE142" s="9">
        <v>44</v>
      </c>
      <c r="CF142" s="9">
        <v>43</v>
      </c>
      <c r="CG142" s="9">
        <v>41</v>
      </c>
      <c r="CH142" s="9">
        <v>42</v>
      </c>
      <c r="CI142" s="9">
        <v>43</v>
      </c>
      <c r="CJ142" s="9">
        <v>39</v>
      </c>
      <c r="CK142" s="9">
        <v>40</v>
      </c>
      <c r="CL142" s="9">
        <v>29</v>
      </c>
      <c r="CM142" s="9">
        <v>32</v>
      </c>
      <c r="CN142" s="9">
        <v>27</v>
      </c>
      <c r="CO142" s="9">
        <v>31</v>
      </c>
      <c r="CP142" s="9">
        <v>36</v>
      </c>
      <c r="CQ142" s="9">
        <v>43</v>
      </c>
      <c r="CR142" s="9">
        <v>39</v>
      </c>
      <c r="CS142" s="9">
        <v>37</v>
      </c>
      <c r="CT142" s="9">
        <v>37</v>
      </c>
      <c r="CU142" s="9">
        <v>38</v>
      </c>
      <c r="CV142" s="9">
        <v>37</v>
      </c>
      <c r="CW142" s="9">
        <v>33</v>
      </c>
      <c r="CX142" s="9">
        <v>29</v>
      </c>
      <c r="CY142" s="9">
        <v>32</v>
      </c>
      <c r="CZ142" s="9">
        <v>35</v>
      </c>
      <c r="DA142" s="9">
        <v>33</v>
      </c>
      <c r="DB142" s="9">
        <v>31</v>
      </c>
      <c r="DC142" s="9">
        <v>16</v>
      </c>
      <c r="DD142" s="9">
        <v>12</v>
      </c>
      <c r="DE142" s="9">
        <v>11</v>
      </c>
      <c r="DF142" s="9">
        <v>10</v>
      </c>
      <c r="DG142" s="9">
        <v>9</v>
      </c>
      <c r="DH142" s="9">
        <v>11</v>
      </c>
      <c r="DI142" s="9">
        <v>10</v>
      </c>
      <c r="DJ142" s="9">
        <v>9</v>
      </c>
      <c r="DK142" s="9">
        <v>11</v>
      </c>
      <c r="DL142" s="9">
        <v>9</v>
      </c>
      <c r="DM142" s="9">
        <v>9</v>
      </c>
      <c r="DN142" s="9">
        <v>6</v>
      </c>
      <c r="DO142" s="9">
        <v>3</v>
      </c>
      <c r="DP142" s="9">
        <v>2</v>
      </c>
      <c r="DQ142" s="9">
        <v>2</v>
      </c>
      <c r="DR142" s="9">
        <v>3</v>
      </c>
      <c r="DS142" s="9">
        <v>3</v>
      </c>
      <c r="DT142" s="9">
        <v>2</v>
      </c>
      <c r="DU142" s="9">
        <v>2</v>
      </c>
      <c r="DV142" s="9">
        <v>2</v>
      </c>
      <c r="DW142" s="9">
        <v>1</v>
      </c>
      <c r="DX142" s="9">
        <v>1</v>
      </c>
      <c r="DY142" s="9">
        <v>3</v>
      </c>
      <c r="DZ142" s="9">
        <v>0</v>
      </c>
      <c r="EA142" s="9">
        <v>0</v>
      </c>
      <c r="EB142" s="9">
        <v>0</v>
      </c>
      <c r="EC142" s="9">
        <v>0</v>
      </c>
      <c r="ED142" s="9">
        <v>0</v>
      </c>
      <c r="EE142" s="9">
        <v>0</v>
      </c>
      <c r="EF142" s="9">
        <v>0</v>
      </c>
      <c r="EG142" s="9">
        <v>0</v>
      </c>
      <c r="EH142" s="9">
        <v>0</v>
      </c>
      <c r="EI142" s="9">
        <v>0</v>
      </c>
      <c r="EJ142" s="9">
        <v>0</v>
      </c>
      <c r="EK142" s="9">
        <v>1</v>
      </c>
      <c r="EL142" s="9">
        <v>1</v>
      </c>
      <c r="EM142" s="9">
        <v>1</v>
      </c>
      <c r="EN142" s="9">
        <v>1</v>
      </c>
      <c r="EO142" s="9">
        <v>1</v>
      </c>
      <c r="EP142" s="9">
        <v>1</v>
      </c>
      <c r="EQ142" s="9">
        <v>1</v>
      </c>
      <c r="ER142" s="9">
        <v>1</v>
      </c>
      <c r="ES142" s="9">
        <v>1</v>
      </c>
      <c r="ET142" s="9">
        <v>1</v>
      </c>
      <c r="EU142" s="9">
        <v>1</v>
      </c>
      <c r="EV142" s="9">
        <v>1</v>
      </c>
      <c r="EW142" s="9">
        <v>0</v>
      </c>
      <c r="EX142" s="9">
        <v>0</v>
      </c>
      <c r="EY142" s="9">
        <v>0</v>
      </c>
      <c r="EZ142" s="9">
        <v>0</v>
      </c>
      <c r="FA142" s="9">
        <v>0</v>
      </c>
      <c r="FB142" s="9">
        <v>0</v>
      </c>
      <c r="FC142" s="9">
        <v>1</v>
      </c>
      <c r="FD142" s="9">
        <v>2</v>
      </c>
      <c r="FE142" s="9">
        <v>3</v>
      </c>
      <c r="FF142" s="9">
        <v>3</v>
      </c>
      <c r="FG142" s="9">
        <v>3</v>
      </c>
      <c r="FH142" s="9">
        <v>3</v>
      </c>
      <c r="FI142" s="9">
        <v>3</v>
      </c>
      <c r="FJ142" s="9">
        <v>1</v>
      </c>
      <c r="FK142" s="9">
        <v>2</v>
      </c>
      <c r="FL142" s="9">
        <v>3</v>
      </c>
      <c r="FM142" s="10">
        <v>3</v>
      </c>
    </row>
    <row r="143" spans="1:169" x14ac:dyDescent="0.35">
      <c r="A143" s="8" t="s">
        <v>174</v>
      </c>
      <c r="B143" s="9" t="s">
        <v>251</v>
      </c>
      <c r="C143" s="10" t="s">
        <v>252</v>
      </c>
      <c r="D143" s="62">
        <f t="shared" si="99"/>
        <v>17</v>
      </c>
      <c r="E143" s="9">
        <v>0</v>
      </c>
      <c r="F143" s="9">
        <v>0</v>
      </c>
      <c r="G143" s="9">
        <v>0</v>
      </c>
      <c r="H143" s="9">
        <v>0</v>
      </c>
      <c r="I143" s="9">
        <v>0</v>
      </c>
      <c r="J143" s="9">
        <v>0</v>
      </c>
      <c r="K143" s="9">
        <v>0</v>
      </c>
      <c r="L143" s="9">
        <v>0</v>
      </c>
      <c r="M143" s="9">
        <v>0</v>
      </c>
      <c r="N143" s="9">
        <v>0</v>
      </c>
      <c r="O143" s="9">
        <v>1</v>
      </c>
      <c r="P143" s="9">
        <v>0</v>
      </c>
      <c r="Q143" s="9">
        <v>1</v>
      </c>
      <c r="R143" s="9">
        <v>1</v>
      </c>
      <c r="S143" s="9">
        <v>2</v>
      </c>
      <c r="T143" s="9">
        <v>6</v>
      </c>
      <c r="U143" s="9">
        <v>10</v>
      </c>
      <c r="V143" s="9">
        <v>12</v>
      </c>
      <c r="W143" s="9">
        <v>12</v>
      </c>
      <c r="X143" s="9">
        <v>11</v>
      </c>
      <c r="Y143" s="9">
        <v>11</v>
      </c>
      <c r="Z143" s="9">
        <v>13</v>
      </c>
      <c r="AA143" s="9">
        <v>16</v>
      </c>
      <c r="AB143" s="9">
        <v>16</v>
      </c>
      <c r="AC143" s="9">
        <v>14</v>
      </c>
      <c r="AD143" s="9">
        <v>11</v>
      </c>
      <c r="AE143" s="9">
        <v>11</v>
      </c>
      <c r="AF143" s="9">
        <v>15</v>
      </c>
      <c r="AG143" s="9">
        <v>15</v>
      </c>
      <c r="AH143" s="9">
        <v>17</v>
      </c>
      <c r="AI143" s="9">
        <v>11</v>
      </c>
      <c r="AJ143" s="9">
        <v>10</v>
      </c>
      <c r="AK143" s="9">
        <v>5</v>
      </c>
      <c r="AL143" s="9">
        <v>8</v>
      </c>
      <c r="AM143" s="9">
        <v>5</v>
      </c>
      <c r="AN143" s="9">
        <v>5</v>
      </c>
      <c r="AO143" s="9">
        <v>6</v>
      </c>
      <c r="AP143" s="9">
        <v>5</v>
      </c>
      <c r="AQ143" s="9">
        <v>7</v>
      </c>
      <c r="AR143" s="9">
        <v>3</v>
      </c>
      <c r="AS143" s="9">
        <v>5</v>
      </c>
      <c r="AT143" s="9">
        <v>5</v>
      </c>
      <c r="AU143" s="9">
        <v>7</v>
      </c>
      <c r="AV143" s="9">
        <v>7</v>
      </c>
      <c r="AW143" s="9">
        <v>7</v>
      </c>
      <c r="AX143" s="9">
        <v>6</v>
      </c>
      <c r="AY143" s="9">
        <v>7</v>
      </c>
      <c r="AZ143" s="9">
        <v>6</v>
      </c>
      <c r="BA143" s="9">
        <v>5</v>
      </c>
      <c r="BB143" s="9">
        <v>5</v>
      </c>
      <c r="BC143" s="9">
        <v>6</v>
      </c>
      <c r="BD143" s="9">
        <v>7</v>
      </c>
      <c r="BE143" s="9">
        <v>6</v>
      </c>
      <c r="BF143" s="9">
        <v>7</v>
      </c>
      <c r="BG143" s="9">
        <v>7</v>
      </c>
      <c r="BH143" s="9">
        <v>8</v>
      </c>
      <c r="BI143" s="9">
        <v>8</v>
      </c>
      <c r="BJ143" s="9">
        <v>8</v>
      </c>
      <c r="BK143" s="9">
        <v>8</v>
      </c>
      <c r="BL143" s="9">
        <v>8</v>
      </c>
      <c r="BM143" s="9">
        <v>9</v>
      </c>
      <c r="BN143" s="9">
        <v>8</v>
      </c>
      <c r="BO143" s="9">
        <v>7</v>
      </c>
      <c r="BP143" s="9">
        <v>8</v>
      </c>
      <c r="BQ143" s="9">
        <v>7</v>
      </c>
      <c r="BR143" s="9">
        <v>7</v>
      </c>
      <c r="BS143" s="9">
        <v>6</v>
      </c>
      <c r="BT143" s="9">
        <v>6</v>
      </c>
      <c r="BU143" s="9">
        <v>4</v>
      </c>
      <c r="BV143" s="9">
        <v>3</v>
      </c>
      <c r="BW143" s="9">
        <v>1</v>
      </c>
      <c r="BX143" s="9">
        <v>1</v>
      </c>
      <c r="BY143" s="9">
        <v>1</v>
      </c>
      <c r="BZ143" s="9">
        <v>1</v>
      </c>
      <c r="CA143" s="9">
        <v>1</v>
      </c>
      <c r="CB143" s="9">
        <v>1</v>
      </c>
      <c r="CC143" s="9">
        <v>1</v>
      </c>
      <c r="CD143" s="9">
        <v>0</v>
      </c>
      <c r="CE143" s="9">
        <v>0</v>
      </c>
      <c r="CF143" s="9">
        <v>0</v>
      </c>
      <c r="CG143" s="9">
        <v>1</v>
      </c>
      <c r="CH143" s="9">
        <v>1</v>
      </c>
      <c r="CI143" s="9">
        <v>1</v>
      </c>
      <c r="CJ143" s="9">
        <v>2</v>
      </c>
      <c r="CK143" s="9">
        <v>2</v>
      </c>
      <c r="CL143" s="9">
        <v>2</v>
      </c>
      <c r="CM143" s="9">
        <v>3</v>
      </c>
      <c r="CN143" s="9">
        <v>3</v>
      </c>
      <c r="CO143" s="9">
        <v>3</v>
      </c>
      <c r="CP143" s="9">
        <v>3</v>
      </c>
      <c r="CQ143" s="9">
        <v>3</v>
      </c>
      <c r="CR143" s="9">
        <v>3</v>
      </c>
      <c r="CS143" s="9">
        <v>3</v>
      </c>
      <c r="CT143" s="9">
        <v>3</v>
      </c>
      <c r="CU143" s="9">
        <v>3</v>
      </c>
      <c r="CV143" s="9">
        <v>3</v>
      </c>
      <c r="CW143" s="9">
        <v>3</v>
      </c>
      <c r="CX143" s="9">
        <v>3</v>
      </c>
      <c r="CY143" s="9">
        <v>2</v>
      </c>
      <c r="CZ143" s="9">
        <v>2</v>
      </c>
      <c r="DA143" s="9">
        <v>3</v>
      </c>
      <c r="DB143" s="9">
        <v>3</v>
      </c>
      <c r="DC143" s="9">
        <v>2</v>
      </c>
      <c r="DD143" s="9">
        <v>2</v>
      </c>
      <c r="DE143" s="9">
        <v>2</v>
      </c>
      <c r="DF143" s="9">
        <v>2</v>
      </c>
      <c r="DG143" s="9">
        <v>2</v>
      </c>
      <c r="DH143" s="9">
        <v>1</v>
      </c>
      <c r="DI143" s="9">
        <v>1</v>
      </c>
      <c r="DJ143" s="9">
        <v>1</v>
      </c>
      <c r="DK143" s="9">
        <v>1</v>
      </c>
      <c r="DL143" s="9">
        <v>1</v>
      </c>
      <c r="DM143" s="9">
        <v>1</v>
      </c>
      <c r="DN143" s="9">
        <v>0</v>
      </c>
      <c r="DO143" s="9">
        <v>0</v>
      </c>
      <c r="DP143" s="9">
        <v>0</v>
      </c>
      <c r="DQ143" s="9">
        <v>0</v>
      </c>
      <c r="DR143" s="9">
        <v>0</v>
      </c>
      <c r="DS143" s="9">
        <v>0</v>
      </c>
      <c r="DT143" s="9">
        <v>0</v>
      </c>
      <c r="DU143" s="9">
        <v>0</v>
      </c>
      <c r="DV143" s="9">
        <v>0</v>
      </c>
      <c r="DW143" s="9">
        <v>0</v>
      </c>
      <c r="DX143" s="9">
        <v>0</v>
      </c>
      <c r="DY143" s="9">
        <v>0</v>
      </c>
      <c r="DZ143" s="9">
        <v>0</v>
      </c>
      <c r="EA143" s="9">
        <v>0</v>
      </c>
      <c r="EB143" s="9">
        <v>0</v>
      </c>
      <c r="EC143" s="9">
        <v>1</v>
      </c>
      <c r="ED143" s="9">
        <v>0</v>
      </c>
      <c r="EE143" s="9">
        <v>0</v>
      </c>
      <c r="EF143" s="9">
        <v>0</v>
      </c>
      <c r="EG143" s="9">
        <v>0</v>
      </c>
      <c r="EH143" s="9">
        <v>0</v>
      </c>
      <c r="EI143" s="9">
        <v>0</v>
      </c>
      <c r="EJ143" s="9">
        <v>0</v>
      </c>
      <c r="EK143" s="9">
        <v>0</v>
      </c>
      <c r="EL143" s="9">
        <v>0</v>
      </c>
      <c r="EM143" s="9">
        <v>0</v>
      </c>
      <c r="EN143" s="9">
        <v>0</v>
      </c>
      <c r="EO143" s="9">
        <v>0</v>
      </c>
      <c r="EP143" s="9">
        <v>0</v>
      </c>
      <c r="EQ143" s="9">
        <v>0</v>
      </c>
      <c r="ER143" s="9">
        <v>0</v>
      </c>
      <c r="ES143" s="9">
        <v>0</v>
      </c>
      <c r="ET143" s="9">
        <v>0</v>
      </c>
      <c r="EU143" s="9">
        <v>0</v>
      </c>
      <c r="EV143" s="9">
        <v>0</v>
      </c>
      <c r="EW143" s="9">
        <v>0</v>
      </c>
      <c r="EX143" s="9">
        <v>0</v>
      </c>
      <c r="EY143" s="9">
        <v>0</v>
      </c>
      <c r="EZ143" s="9">
        <v>0</v>
      </c>
      <c r="FA143" s="9">
        <v>0</v>
      </c>
      <c r="FB143" s="9">
        <v>0</v>
      </c>
      <c r="FC143" s="9">
        <v>1</v>
      </c>
      <c r="FD143" s="9">
        <v>1</v>
      </c>
      <c r="FE143" s="9">
        <v>1</v>
      </c>
      <c r="FF143" s="9">
        <v>1</v>
      </c>
      <c r="FG143" s="9">
        <v>0</v>
      </c>
      <c r="FH143" s="9">
        <v>0</v>
      </c>
      <c r="FI143" s="9">
        <v>0</v>
      </c>
      <c r="FJ143" s="9">
        <v>0</v>
      </c>
      <c r="FK143" s="9">
        <v>0</v>
      </c>
      <c r="FL143" s="9">
        <v>0</v>
      </c>
      <c r="FM143" s="10">
        <v>0</v>
      </c>
    </row>
    <row r="144" spans="1:169" x14ac:dyDescent="0.35">
      <c r="A144" s="8" t="s">
        <v>174</v>
      </c>
      <c r="B144" s="9" t="s">
        <v>253</v>
      </c>
      <c r="C144" s="10" t="s">
        <v>254</v>
      </c>
      <c r="D144" s="62">
        <f t="shared" si="99"/>
        <v>20</v>
      </c>
      <c r="E144" s="9">
        <v>0</v>
      </c>
      <c r="F144" s="9">
        <v>0</v>
      </c>
      <c r="G144" s="9">
        <v>1</v>
      </c>
      <c r="H144" s="9">
        <v>1</v>
      </c>
      <c r="I144" s="9">
        <v>1</v>
      </c>
      <c r="J144" s="9">
        <v>1</v>
      </c>
      <c r="K144" s="9">
        <v>2</v>
      </c>
      <c r="L144" s="9">
        <v>3</v>
      </c>
      <c r="M144" s="9">
        <v>3</v>
      </c>
      <c r="N144" s="9">
        <v>3</v>
      </c>
      <c r="O144" s="9">
        <v>3</v>
      </c>
      <c r="P144" s="9">
        <v>2</v>
      </c>
      <c r="Q144" s="9">
        <v>2</v>
      </c>
      <c r="R144" s="9">
        <v>2</v>
      </c>
      <c r="S144" s="9">
        <v>3</v>
      </c>
      <c r="T144" s="9">
        <v>4</v>
      </c>
      <c r="U144" s="9">
        <v>10</v>
      </c>
      <c r="V144" s="9">
        <v>16</v>
      </c>
      <c r="W144" s="9">
        <v>16</v>
      </c>
      <c r="X144" s="9">
        <v>15</v>
      </c>
      <c r="Y144" s="9">
        <v>14</v>
      </c>
      <c r="Z144" s="9">
        <v>12</v>
      </c>
      <c r="AA144" s="9">
        <v>12</v>
      </c>
      <c r="AB144" s="9">
        <v>13</v>
      </c>
      <c r="AC144" s="9">
        <v>10</v>
      </c>
      <c r="AD144" s="9">
        <v>20</v>
      </c>
      <c r="AE144" s="9">
        <v>2</v>
      </c>
      <c r="AF144" s="9">
        <v>2</v>
      </c>
      <c r="AG144" s="9">
        <v>3</v>
      </c>
      <c r="AH144" s="9">
        <v>4</v>
      </c>
      <c r="AI144" s="9">
        <v>4</v>
      </c>
      <c r="AJ144" s="9">
        <v>4</v>
      </c>
      <c r="AK144" s="9">
        <v>6</v>
      </c>
      <c r="AL144" s="9">
        <v>6</v>
      </c>
      <c r="AM144" s="9">
        <v>6</v>
      </c>
      <c r="AN144" s="9">
        <v>5</v>
      </c>
      <c r="AO144" s="9">
        <v>12</v>
      </c>
      <c r="AP144" s="9">
        <v>11</v>
      </c>
      <c r="AQ144" s="9">
        <v>10</v>
      </c>
      <c r="AR144" s="9">
        <v>10</v>
      </c>
      <c r="AS144" s="9">
        <v>7</v>
      </c>
      <c r="AT144" s="9">
        <v>5</v>
      </c>
      <c r="AU144" s="9">
        <v>8</v>
      </c>
      <c r="AV144" s="9">
        <v>8</v>
      </c>
      <c r="AW144" s="9">
        <v>10</v>
      </c>
      <c r="AX144" s="9">
        <v>7</v>
      </c>
      <c r="AY144" s="9">
        <v>9</v>
      </c>
      <c r="AZ144" s="9">
        <v>8</v>
      </c>
      <c r="BA144" s="9">
        <v>8</v>
      </c>
      <c r="BB144" s="9">
        <v>7</v>
      </c>
      <c r="BC144" s="9">
        <v>5</v>
      </c>
      <c r="BD144" s="9">
        <v>4</v>
      </c>
      <c r="BE144" s="9">
        <v>2</v>
      </c>
      <c r="BF144" s="9">
        <v>2</v>
      </c>
      <c r="BG144" s="9">
        <v>2</v>
      </c>
      <c r="BH144" s="9">
        <v>5</v>
      </c>
      <c r="BI144" s="9">
        <v>5</v>
      </c>
      <c r="BJ144" s="9">
        <v>6</v>
      </c>
      <c r="BK144" s="9">
        <v>9</v>
      </c>
      <c r="BL144" s="9">
        <v>6</v>
      </c>
      <c r="BM144" s="9">
        <v>7</v>
      </c>
      <c r="BN144" s="9">
        <v>6</v>
      </c>
      <c r="BO144" s="9">
        <v>4</v>
      </c>
      <c r="BP144" s="9">
        <v>5</v>
      </c>
      <c r="BQ144" s="9">
        <v>7</v>
      </c>
      <c r="BR144" s="9">
        <v>6</v>
      </c>
      <c r="BS144" s="9">
        <v>5</v>
      </c>
      <c r="BT144" s="9">
        <v>6</v>
      </c>
      <c r="BU144" s="9">
        <v>4</v>
      </c>
      <c r="BV144" s="9">
        <v>6</v>
      </c>
      <c r="BW144" s="9">
        <v>6</v>
      </c>
      <c r="BX144" s="9">
        <v>8</v>
      </c>
      <c r="BY144" s="9">
        <v>8</v>
      </c>
      <c r="BZ144" s="9">
        <v>10</v>
      </c>
      <c r="CA144" s="9">
        <v>8</v>
      </c>
      <c r="CB144" s="9">
        <v>3</v>
      </c>
      <c r="CC144" s="9">
        <v>3</v>
      </c>
      <c r="CD144" s="9">
        <v>7</v>
      </c>
      <c r="CE144" s="9">
        <v>9</v>
      </c>
      <c r="CF144" s="9">
        <v>9</v>
      </c>
      <c r="CG144" s="9">
        <v>9</v>
      </c>
      <c r="CH144" s="9">
        <v>7</v>
      </c>
      <c r="CI144" s="9">
        <v>7</v>
      </c>
      <c r="CJ144" s="9">
        <v>2</v>
      </c>
      <c r="CK144" s="9">
        <v>2</v>
      </c>
      <c r="CL144" s="9">
        <v>2</v>
      </c>
      <c r="CM144" s="9">
        <v>1</v>
      </c>
      <c r="CN144" s="9">
        <v>1</v>
      </c>
      <c r="CO144" s="9">
        <v>2</v>
      </c>
      <c r="CP144" s="9">
        <v>2</v>
      </c>
      <c r="CQ144" s="9">
        <v>1</v>
      </c>
      <c r="CR144" s="9">
        <v>2</v>
      </c>
      <c r="CS144" s="9">
        <v>4</v>
      </c>
      <c r="CT144" s="9">
        <v>4</v>
      </c>
      <c r="CU144" s="9">
        <v>2</v>
      </c>
      <c r="CV144" s="9">
        <v>2</v>
      </c>
      <c r="CW144" s="9">
        <v>2</v>
      </c>
      <c r="CX144" s="9">
        <v>5</v>
      </c>
      <c r="CY144" s="9">
        <v>3</v>
      </c>
      <c r="CZ144" s="9">
        <v>3</v>
      </c>
      <c r="DA144" s="9">
        <v>1</v>
      </c>
      <c r="DB144" s="9">
        <v>2</v>
      </c>
      <c r="DC144" s="9">
        <v>2</v>
      </c>
      <c r="DD144" s="9">
        <v>3</v>
      </c>
      <c r="DE144" s="9">
        <v>4</v>
      </c>
      <c r="DF144" s="9">
        <v>4</v>
      </c>
      <c r="DG144" s="9">
        <v>3</v>
      </c>
      <c r="DH144" s="9">
        <v>2</v>
      </c>
      <c r="DI144" s="9">
        <v>3</v>
      </c>
      <c r="DJ144" s="9">
        <v>3</v>
      </c>
      <c r="DK144" s="9">
        <v>4</v>
      </c>
      <c r="DL144" s="9">
        <v>2</v>
      </c>
      <c r="DM144" s="9">
        <v>2</v>
      </c>
      <c r="DN144" s="9">
        <v>2</v>
      </c>
      <c r="DO144" s="9">
        <v>1</v>
      </c>
      <c r="DP144" s="9">
        <v>1</v>
      </c>
      <c r="DQ144" s="9">
        <v>0</v>
      </c>
      <c r="DR144" s="9">
        <v>0</v>
      </c>
      <c r="DS144" s="9">
        <v>0</v>
      </c>
      <c r="DT144" s="9">
        <v>0</v>
      </c>
      <c r="DU144" s="9">
        <v>0</v>
      </c>
      <c r="DV144" s="9">
        <v>0</v>
      </c>
      <c r="DW144" s="9">
        <v>0</v>
      </c>
      <c r="DX144" s="9">
        <v>0</v>
      </c>
      <c r="DY144" s="9">
        <v>0</v>
      </c>
      <c r="DZ144" s="9">
        <v>0</v>
      </c>
      <c r="EA144" s="9">
        <v>1</v>
      </c>
      <c r="EB144" s="9">
        <v>1</v>
      </c>
      <c r="EC144" s="9">
        <v>1</v>
      </c>
      <c r="ED144" s="9">
        <v>1</v>
      </c>
      <c r="EE144" s="9">
        <v>1</v>
      </c>
      <c r="EF144" s="9">
        <v>2</v>
      </c>
      <c r="EG144" s="9">
        <v>2</v>
      </c>
      <c r="EH144" s="9">
        <v>2</v>
      </c>
      <c r="EI144" s="9">
        <v>2</v>
      </c>
      <c r="EJ144" s="9">
        <v>2</v>
      </c>
      <c r="EK144" s="9">
        <v>2</v>
      </c>
      <c r="EL144" s="9">
        <v>1</v>
      </c>
      <c r="EM144" s="9">
        <v>1</v>
      </c>
      <c r="EN144" s="9">
        <v>2</v>
      </c>
      <c r="EO144" s="9">
        <v>2</v>
      </c>
      <c r="EP144" s="9">
        <v>2</v>
      </c>
      <c r="EQ144" s="9">
        <v>2</v>
      </c>
      <c r="ER144" s="9">
        <v>2</v>
      </c>
      <c r="ES144" s="9">
        <v>2</v>
      </c>
      <c r="ET144" s="9">
        <v>2</v>
      </c>
      <c r="EU144" s="9">
        <v>1</v>
      </c>
      <c r="EV144" s="9">
        <v>1</v>
      </c>
      <c r="EW144" s="9">
        <v>1</v>
      </c>
      <c r="EX144" s="9">
        <v>1</v>
      </c>
      <c r="EY144" s="9">
        <v>1</v>
      </c>
      <c r="EZ144" s="9">
        <v>1</v>
      </c>
      <c r="FA144" s="9">
        <v>1</v>
      </c>
      <c r="FB144" s="9">
        <v>1</v>
      </c>
      <c r="FC144" s="9">
        <v>1</v>
      </c>
      <c r="FD144" s="9">
        <v>1</v>
      </c>
      <c r="FE144" s="9">
        <v>1</v>
      </c>
      <c r="FF144" s="9">
        <v>1</v>
      </c>
      <c r="FG144" s="9">
        <v>1</v>
      </c>
      <c r="FH144" s="9">
        <v>1</v>
      </c>
      <c r="FI144" s="9">
        <v>1</v>
      </c>
      <c r="FJ144" s="9">
        <v>1</v>
      </c>
      <c r="FK144" s="9">
        <v>1</v>
      </c>
      <c r="FL144" s="9">
        <v>0</v>
      </c>
      <c r="FM144" s="10">
        <v>0</v>
      </c>
    </row>
    <row r="145" spans="1:169" x14ac:dyDescent="0.35">
      <c r="A145" s="8" t="s">
        <v>174</v>
      </c>
      <c r="B145" s="9" t="s">
        <v>255</v>
      </c>
      <c r="C145" s="10" t="s">
        <v>256</v>
      </c>
      <c r="D145" s="62">
        <f t="shared" si="99"/>
        <v>41</v>
      </c>
      <c r="E145" s="9">
        <v>0</v>
      </c>
      <c r="F145" s="9">
        <v>0</v>
      </c>
      <c r="G145" s="9">
        <v>0</v>
      </c>
      <c r="H145" s="9">
        <v>0</v>
      </c>
      <c r="I145" s="9">
        <v>0</v>
      </c>
      <c r="J145" s="9">
        <v>0</v>
      </c>
      <c r="K145" s="9">
        <v>0</v>
      </c>
      <c r="L145" s="9">
        <v>0</v>
      </c>
      <c r="M145" s="9">
        <v>2</v>
      </c>
      <c r="N145" s="9">
        <v>2</v>
      </c>
      <c r="O145" s="9">
        <v>2</v>
      </c>
      <c r="P145" s="9">
        <v>3</v>
      </c>
      <c r="Q145" s="9">
        <v>6</v>
      </c>
      <c r="R145" s="9">
        <v>6</v>
      </c>
      <c r="S145" s="9">
        <v>14</v>
      </c>
      <c r="T145" s="9">
        <v>15</v>
      </c>
      <c r="U145" s="9">
        <v>16</v>
      </c>
      <c r="V145" s="9">
        <v>17</v>
      </c>
      <c r="W145" s="9">
        <v>17</v>
      </c>
      <c r="X145" s="9">
        <v>19</v>
      </c>
      <c r="Y145" s="9">
        <v>17</v>
      </c>
      <c r="Z145" s="9">
        <v>20</v>
      </c>
      <c r="AA145" s="9">
        <v>20</v>
      </c>
      <c r="AB145" s="9">
        <v>19</v>
      </c>
      <c r="AC145" s="9">
        <v>19</v>
      </c>
      <c r="AD145" s="9">
        <v>22</v>
      </c>
      <c r="AE145" s="9">
        <v>24</v>
      </c>
      <c r="AF145" s="9">
        <v>33</v>
      </c>
      <c r="AG145" s="9">
        <v>32</v>
      </c>
      <c r="AH145" s="9">
        <v>41</v>
      </c>
      <c r="AI145" s="9">
        <v>15</v>
      </c>
      <c r="AJ145" s="9">
        <v>15</v>
      </c>
      <c r="AK145" s="9">
        <v>15</v>
      </c>
      <c r="AL145" s="9">
        <v>7</v>
      </c>
      <c r="AM145" s="9">
        <v>6</v>
      </c>
      <c r="AN145" s="9">
        <v>6</v>
      </c>
      <c r="AO145" s="9">
        <v>5</v>
      </c>
      <c r="AP145" s="9">
        <v>3</v>
      </c>
      <c r="AQ145" s="9">
        <v>4</v>
      </c>
      <c r="AR145" s="9">
        <v>5</v>
      </c>
      <c r="AS145" s="9">
        <v>4</v>
      </c>
      <c r="AT145" s="9">
        <v>4</v>
      </c>
      <c r="AU145" s="9">
        <v>4</v>
      </c>
      <c r="AV145" s="9">
        <v>4</v>
      </c>
      <c r="AW145" s="9">
        <v>4</v>
      </c>
      <c r="AX145" s="9">
        <v>2</v>
      </c>
      <c r="AY145" s="9">
        <v>2</v>
      </c>
      <c r="AZ145" s="9">
        <v>2</v>
      </c>
      <c r="BA145" s="9">
        <v>2</v>
      </c>
      <c r="BB145" s="9">
        <v>2</v>
      </c>
      <c r="BC145" s="9">
        <v>2</v>
      </c>
      <c r="BD145" s="9">
        <v>2</v>
      </c>
      <c r="BE145" s="9">
        <v>2</v>
      </c>
      <c r="BF145" s="9">
        <v>2</v>
      </c>
      <c r="BG145" s="9">
        <v>2</v>
      </c>
      <c r="BH145" s="9">
        <v>2</v>
      </c>
      <c r="BI145" s="9">
        <v>2</v>
      </c>
      <c r="BJ145" s="9">
        <v>2</v>
      </c>
      <c r="BK145" s="9">
        <v>2</v>
      </c>
      <c r="BL145" s="9">
        <v>2</v>
      </c>
      <c r="BM145" s="9">
        <v>2</v>
      </c>
      <c r="BN145" s="9">
        <v>2</v>
      </c>
      <c r="BO145" s="9">
        <v>2</v>
      </c>
      <c r="BP145" s="9">
        <v>2</v>
      </c>
      <c r="BQ145" s="9">
        <v>1</v>
      </c>
      <c r="BR145" s="9">
        <v>1</v>
      </c>
      <c r="BS145" s="9">
        <v>2</v>
      </c>
      <c r="BT145" s="9">
        <v>2</v>
      </c>
      <c r="BU145" s="9">
        <v>1</v>
      </c>
      <c r="BV145" s="9">
        <v>1</v>
      </c>
      <c r="BW145" s="9">
        <v>1</v>
      </c>
      <c r="BX145" s="9">
        <v>1</v>
      </c>
      <c r="BY145" s="9">
        <v>1</v>
      </c>
      <c r="BZ145" s="9">
        <v>1</v>
      </c>
      <c r="CA145" s="9">
        <v>1</v>
      </c>
      <c r="CB145" s="9">
        <v>0</v>
      </c>
      <c r="CC145" s="9">
        <v>0</v>
      </c>
      <c r="CD145" s="9">
        <v>0</v>
      </c>
      <c r="CE145" s="9">
        <v>0</v>
      </c>
      <c r="CF145" s="9">
        <v>1</v>
      </c>
      <c r="CG145" s="9">
        <v>1</v>
      </c>
      <c r="CH145" s="9">
        <v>1</v>
      </c>
      <c r="CI145" s="9">
        <v>1</v>
      </c>
      <c r="CJ145" s="9">
        <v>1</v>
      </c>
      <c r="CK145" s="9">
        <v>1</v>
      </c>
      <c r="CL145" s="9">
        <v>0</v>
      </c>
      <c r="CM145" s="9">
        <v>0</v>
      </c>
      <c r="CN145" s="9">
        <v>0</v>
      </c>
      <c r="CO145" s="9">
        <v>0</v>
      </c>
      <c r="CP145" s="9">
        <v>0</v>
      </c>
      <c r="CQ145" s="9">
        <v>0</v>
      </c>
      <c r="CR145" s="9">
        <v>0</v>
      </c>
      <c r="CS145" s="9">
        <v>0</v>
      </c>
      <c r="CT145" s="9">
        <v>0</v>
      </c>
      <c r="CU145" s="9">
        <v>0</v>
      </c>
      <c r="CV145" s="9">
        <v>0</v>
      </c>
      <c r="CW145" s="9">
        <v>0</v>
      </c>
      <c r="CX145" s="9">
        <v>0</v>
      </c>
      <c r="CY145" s="9">
        <v>0</v>
      </c>
      <c r="CZ145" s="9">
        <v>0</v>
      </c>
      <c r="DA145" s="9">
        <v>0</v>
      </c>
      <c r="DB145" s="9">
        <v>0</v>
      </c>
      <c r="DC145" s="9">
        <v>0</v>
      </c>
      <c r="DD145" s="9">
        <v>0</v>
      </c>
      <c r="DE145" s="9">
        <v>0</v>
      </c>
      <c r="DF145" s="9">
        <v>0</v>
      </c>
      <c r="DG145" s="9">
        <v>0</v>
      </c>
      <c r="DH145" s="9">
        <v>0</v>
      </c>
      <c r="DI145" s="9">
        <v>0</v>
      </c>
      <c r="DJ145" s="9">
        <v>0</v>
      </c>
      <c r="DK145" s="9">
        <v>0</v>
      </c>
      <c r="DL145" s="9">
        <v>0</v>
      </c>
      <c r="DM145" s="9">
        <v>0</v>
      </c>
      <c r="DN145" s="9">
        <v>0</v>
      </c>
      <c r="DO145" s="9">
        <v>0</v>
      </c>
      <c r="DP145" s="9">
        <v>0</v>
      </c>
      <c r="DQ145" s="9">
        <v>0</v>
      </c>
      <c r="DR145" s="9">
        <v>0</v>
      </c>
      <c r="DS145" s="9">
        <v>0</v>
      </c>
      <c r="DT145" s="9">
        <v>0</v>
      </c>
      <c r="DU145" s="9">
        <v>0</v>
      </c>
      <c r="DV145" s="9">
        <v>0</v>
      </c>
      <c r="DW145" s="9">
        <v>0</v>
      </c>
      <c r="DX145" s="9">
        <v>0</v>
      </c>
      <c r="DY145" s="9">
        <v>0</v>
      </c>
      <c r="DZ145" s="9">
        <v>0</v>
      </c>
      <c r="EA145" s="9">
        <v>0</v>
      </c>
      <c r="EB145" s="9">
        <v>0</v>
      </c>
      <c r="EC145" s="9">
        <v>0</v>
      </c>
      <c r="ED145" s="9">
        <v>0</v>
      </c>
      <c r="EE145" s="9">
        <v>0</v>
      </c>
      <c r="EF145" s="9">
        <v>0</v>
      </c>
      <c r="EG145" s="9">
        <v>0</v>
      </c>
      <c r="EH145" s="9">
        <v>0</v>
      </c>
      <c r="EI145" s="9">
        <v>0</v>
      </c>
      <c r="EJ145" s="9">
        <v>0</v>
      </c>
      <c r="EK145" s="9">
        <v>0</v>
      </c>
      <c r="EL145" s="9">
        <v>0</v>
      </c>
      <c r="EM145" s="9">
        <v>0</v>
      </c>
      <c r="EN145" s="9">
        <v>0</v>
      </c>
      <c r="EO145" s="9">
        <v>0</v>
      </c>
      <c r="EP145" s="9">
        <v>0</v>
      </c>
      <c r="EQ145" s="9">
        <v>0</v>
      </c>
      <c r="ER145" s="9">
        <v>0</v>
      </c>
      <c r="ES145" s="9">
        <v>0</v>
      </c>
      <c r="ET145" s="9">
        <v>0</v>
      </c>
      <c r="EU145" s="9">
        <v>0</v>
      </c>
      <c r="EV145" s="9">
        <v>0</v>
      </c>
      <c r="EW145" s="9">
        <v>0</v>
      </c>
      <c r="EX145" s="9">
        <v>0</v>
      </c>
      <c r="EY145" s="9">
        <v>0</v>
      </c>
      <c r="EZ145" s="9">
        <v>0</v>
      </c>
      <c r="FA145" s="9">
        <v>0</v>
      </c>
      <c r="FB145" s="9">
        <v>1</v>
      </c>
      <c r="FC145" s="9">
        <v>1</v>
      </c>
      <c r="FD145" s="9">
        <v>1</v>
      </c>
      <c r="FE145" s="9">
        <v>1</v>
      </c>
      <c r="FF145" s="9">
        <v>1</v>
      </c>
      <c r="FG145" s="9">
        <v>1</v>
      </c>
      <c r="FH145" s="9">
        <v>1</v>
      </c>
      <c r="FI145" s="9">
        <v>1</v>
      </c>
      <c r="FJ145" s="9">
        <v>1</v>
      </c>
      <c r="FK145" s="9">
        <v>1</v>
      </c>
      <c r="FL145" s="9">
        <v>0</v>
      </c>
      <c r="FM145" s="10">
        <v>0</v>
      </c>
    </row>
    <row r="146" spans="1:169" x14ac:dyDescent="0.35">
      <c r="A146" s="8" t="s">
        <v>174</v>
      </c>
      <c r="B146" s="9" t="s">
        <v>257</v>
      </c>
      <c r="C146" s="10" t="s">
        <v>258</v>
      </c>
      <c r="D146" s="62">
        <f t="shared" si="99"/>
        <v>70</v>
      </c>
      <c r="E146" s="9">
        <v>0</v>
      </c>
      <c r="F146" s="9">
        <v>0</v>
      </c>
      <c r="G146" s="9">
        <v>0</v>
      </c>
      <c r="H146" s="9">
        <v>0</v>
      </c>
      <c r="I146" s="9">
        <v>0</v>
      </c>
      <c r="J146" s="9">
        <v>0</v>
      </c>
      <c r="K146" s="9">
        <v>0</v>
      </c>
      <c r="L146" s="9">
        <v>0</v>
      </c>
      <c r="M146" s="9">
        <v>0</v>
      </c>
      <c r="N146" s="9">
        <v>0</v>
      </c>
      <c r="O146" s="9">
        <v>0</v>
      </c>
      <c r="P146" s="9">
        <v>0</v>
      </c>
      <c r="Q146" s="9">
        <v>3</v>
      </c>
      <c r="R146" s="9">
        <v>11</v>
      </c>
      <c r="S146" s="9">
        <v>12</v>
      </c>
      <c r="T146" s="9">
        <v>12</v>
      </c>
      <c r="U146" s="9">
        <v>12</v>
      </c>
      <c r="V146" s="9">
        <v>24</v>
      </c>
      <c r="W146" s="9">
        <v>36</v>
      </c>
      <c r="X146" s="9">
        <v>40</v>
      </c>
      <c r="Y146" s="9">
        <v>40</v>
      </c>
      <c r="Z146" s="9">
        <v>55</v>
      </c>
      <c r="AA146" s="9">
        <v>55</v>
      </c>
      <c r="AB146" s="9">
        <v>53</v>
      </c>
      <c r="AC146" s="9">
        <v>59</v>
      </c>
      <c r="AD146" s="9">
        <v>62</v>
      </c>
      <c r="AE146" s="9">
        <v>62</v>
      </c>
      <c r="AF146" s="9">
        <v>70</v>
      </c>
      <c r="AG146" s="9">
        <v>0</v>
      </c>
      <c r="AH146" s="9">
        <v>65</v>
      </c>
      <c r="AI146" s="9">
        <v>67</v>
      </c>
      <c r="AJ146" s="9">
        <v>0</v>
      </c>
      <c r="AK146" s="9">
        <v>43</v>
      </c>
      <c r="AL146" s="9">
        <v>43</v>
      </c>
      <c r="AM146" s="9">
        <v>43</v>
      </c>
      <c r="AN146" s="9">
        <v>0</v>
      </c>
      <c r="AO146" s="9">
        <v>56</v>
      </c>
      <c r="AP146" s="9">
        <v>52</v>
      </c>
      <c r="AQ146" s="9">
        <v>50</v>
      </c>
      <c r="AR146" s="9">
        <v>48</v>
      </c>
      <c r="AS146" s="9">
        <v>36</v>
      </c>
      <c r="AT146" s="9">
        <v>37</v>
      </c>
      <c r="AU146" s="9">
        <v>0</v>
      </c>
      <c r="AV146" s="9">
        <v>25</v>
      </c>
      <c r="AW146" s="9">
        <v>11</v>
      </c>
      <c r="AX146" s="9">
        <v>28</v>
      </c>
      <c r="AY146" s="9">
        <v>25</v>
      </c>
      <c r="AZ146" s="9">
        <v>22</v>
      </c>
      <c r="BA146" s="9">
        <v>24</v>
      </c>
      <c r="BB146" s="9">
        <v>22</v>
      </c>
      <c r="BC146" s="9">
        <v>20</v>
      </c>
      <c r="BD146" s="9">
        <v>20</v>
      </c>
      <c r="BE146" s="9">
        <v>21</v>
      </c>
      <c r="BF146" s="9">
        <v>24</v>
      </c>
      <c r="BG146" s="9">
        <v>23</v>
      </c>
      <c r="BH146" s="9">
        <v>23</v>
      </c>
      <c r="BI146" s="9">
        <v>23</v>
      </c>
      <c r="BJ146" s="9">
        <v>18</v>
      </c>
      <c r="BK146" s="9">
        <v>19</v>
      </c>
      <c r="BL146" s="9">
        <v>18</v>
      </c>
      <c r="BM146" s="9">
        <v>17</v>
      </c>
      <c r="BN146" s="9">
        <v>13</v>
      </c>
      <c r="BO146" s="9">
        <v>13</v>
      </c>
      <c r="BP146" s="9">
        <v>11</v>
      </c>
      <c r="BQ146" s="9">
        <v>10</v>
      </c>
      <c r="BR146" s="9">
        <v>9</v>
      </c>
      <c r="BS146" s="9">
        <v>10</v>
      </c>
      <c r="BT146" s="9">
        <v>10</v>
      </c>
      <c r="BU146" s="9">
        <v>27</v>
      </c>
      <c r="BV146" s="9">
        <v>7</v>
      </c>
      <c r="BW146" s="9">
        <v>7</v>
      </c>
      <c r="BX146" s="9">
        <v>8</v>
      </c>
      <c r="BY146" s="9">
        <v>8</v>
      </c>
      <c r="BZ146" s="9">
        <v>10</v>
      </c>
      <c r="CA146" s="9">
        <v>9</v>
      </c>
      <c r="CB146" s="9">
        <v>9</v>
      </c>
      <c r="CC146" s="9">
        <v>7</v>
      </c>
      <c r="CD146" s="9">
        <v>4</v>
      </c>
      <c r="CE146" s="9">
        <v>4</v>
      </c>
      <c r="CF146" s="9">
        <v>5</v>
      </c>
      <c r="CG146" s="9">
        <v>5</v>
      </c>
      <c r="CH146" s="9">
        <v>4</v>
      </c>
      <c r="CI146" s="9">
        <v>4</v>
      </c>
      <c r="CJ146" s="9">
        <v>4</v>
      </c>
      <c r="CK146" s="9">
        <v>4</v>
      </c>
      <c r="CL146" s="9">
        <v>3</v>
      </c>
      <c r="CM146" s="9">
        <v>3</v>
      </c>
      <c r="CN146" s="9">
        <v>4</v>
      </c>
      <c r="CO146" s="9">
        <v>2</v>
      </c>
      <c r="CP146" s="9">
        <v>3</v>
      </c>
      <c r="CQ146" s="9">
        <v>3</v>
      </c>
      <c r="CR146" s="9">
        <v>5</v>
      </c>
      <c r="CS146" s="9">
        <v>4</v>
      </c>
      <c r="CT146" s="9">
        <v>4</v>
      </c>
      <c r="CU146" s="9">
        <v>5</v>
      </c>
      <c r="CV146" s="9">
        <v>4</v>
      </c>
      <c r="CW146" s="9">
        <v>3</v>
      </c>
      <c r="CX146" s="9">
        <v>2</v>
      </c>
      <c r="CY146" s="9">
        <v>2</v>
      </c>
      <c r="CZ146" s="9">
        <v>2</v>
      </c>
      <c r="DA146" s="9">
        <v>2</v>
      </c>
      <c r="DB146" s="9">
        <v>2</v>
      </c>
      <c r="DC146" s="9">
        <v>2</v>
      </c>
      <c r="DD146" s="9">
        <v>2</v>
      </c>
      <c r="DE146" s="9">
        <v>3</v>
      </c>
      <c r="DF146" s="9">
        <v>1</v>
      </c>
      <c r="DG146" s="9">
        <v>1</v>
      </c>
      <c r="DH146" s="9">
        <v>2</v>
      </c>
      <c r="DI146" s="9">
        <v>2</v>
      </c>
      <c r="DJ146" s="9">
        <v>2</v>
      </c>
      <c r="DK146" s="9">
        <v>1</v>
      </c>
      <c r="DL146" s="9">
        <v>1</v>
      </c>
      <c r="DM146" s="9">
        <v>1</v>
      </c>
      <c r="DN146" s="9">
        <v>1</v>
      </c>
      <c r="DO146" s="9">
        <v>1</v>
      </c>
      <c r="DP146" s="9">
        <v>1</v>
      </c>
      <c r="DQ146" s="9">
        <v>1</v>
      </c>
      <c r="DR146" s="9">
        <v>1</v>
      </c>
      <c r="DS146" s="9">
        <v>1</v>
      </c>
      <c r="DT146" s="9">
        <v>1</v>
      </c>
      <c r="DU146" s="9">
        <v>1</v>
      </c>
      <c r="DV146" s="9">
        <v>1</v>
      </c>
      <c r="DW146" s="9">
        <v>1</v>
      </c>
      <c r="DX146" s="9">
        <v>1</v>
      </c>
      <c r="DY146" s="9">
        <v>1</v>
      </c>
      <c r="DZ146" s="9">
        <v>1</v>
      </c>
      <c r="EA146" s="9">
        <v>2</v>
      </c>
      <c r="EB146" s="9">
        <v>2</v>
      </c>
      <c r="EC146" s="9">
        <v>1</v>
      </c>
      <c r="ED146" s="9">
        <v>1</v>
      </c>
      <c r="EE146" s="9">
        <v>1</v>
      </c>
      <c r="EF146" s="9">
        <v>1</v>
      </c>
      <c r="EG146" s="9">
        <v>1</v>
      </c>
      <c r="EH146" s="9">
        <v>1</v>
      </c>
      <c r="EI146" s="9">
        <v>1</v>
      </c>
      <c r="EJ146" s="9">
        <v>1</v>
      </c>
      <c r="EK146" s="9">
        <v>1</v>
      </c>
      <c r="EL146" s="9">
        <v>1</v>
      </c>
      <c r="EM146" s="9">
        <v>1</v>
      </c>
      <c r="EN146" s="9">
        <v>1</v>
      </c>
      <c r="EO146" s="9">
        <v>1</v>
      </c>
      <c r="EP146" s="9">
        <v>1</v>
      </c>
      <c r="EQ146" s="9">
        <v>1</v>
      </c>
      <c r="ER146" s="9">
        <v>1</v>
      </c>
      <c r="ES146" s="9">
        <v>1</v>
      </c>
      <c r="ET146" s="9">
        <v>1</v>
      </c>
      <c r="EU146" s="9">
        <v>1</v>
      </c>
      <c r="EV146" s="9">
        <v>0</v>
      </c>
      <c r="EW146" s="9">
        <v>0</v>
      </c>
      <c r="EX146" s="9">
        <v>0</v>
      </c>
      <c r="EY146" s="9">
        <v>0</v>
      </c>
      <c r="EZ146" s="9">
        <v>0</v>
      </c>
      <c r="FA146" s="9">
        <v>1</v>
      </c>
      <c r="FB146" s="9">
        <v>1</v>
      </c>
      <c r="FC146" s="9">
        <v>0</v>
      </c>
      <c r="FD146" s="9">
        <v>2</v>
      </c>
      <c r="FE146" s="9">
        <v>1</v>
      </c>
      <c r="FF146" s="9">
        <v>1</v>
      </c>
      <c r="FG146" s="9">
        <v>1</v>
      </c>
      <c r="FH146" s="9">
        <v>1</v>
      </c>
      <c r="FI146" s="9">
        <v>1</v>
      </c>
      <c r="FJ146" s="9">
        <v>1</v>
      </c>
      <c r="FK146" s="9">
        <v>1</v>
      </c>
      <c r="FL146" s="9">
        <v>1</v>
      </c>
      <c r="FM146" s="10">
        <v>1</v>
      </c>
    </row>
    <row r="147" spans="1:169" x14ac:dyDescent="0.35">
      <c r="A147" s="8" t="s">
        <v>174</v>
      </c>
      <c r="B147" s="9" t="s">
        <v>259</v>
      </c>
      <c r="C147" s="10" t="s">
        <v>260</v>
      </c>
      <c r="D147" s="62">
        <f t="shared" si="99"/>
        <v>17</v>
      </c>
      <c r="E147" s="9">
        <v>0</v>
      </c>
      <c r="F147" s="9">
        <v>0</v>
      </c>
      <c r="G147" s="9">
        <v>0</v>
      </c>
      <c r="H147" s="9">
        <v>0</v>
      </c>
      <c r="I147" s="9">
        <v>0</v>
      </c>
      <c r="J147" s="9">
        <v>0</v>
      </c>
      <c r="K147" s="9">
        <v>1</v>
      </c>
      <c r="L147" s="9">
        <v>1</v>
      </c>
      <c r="M147" s="9">
        <v>1</v>
      </c>
      <c r="N147" s="9">
        <v>3</v>
      </c>
      <c r="O147" s="9">
        <v>4</v>
      </c>
      <c r="P147" s="9">
        <v>4</v>
      </c>
      <c r="Q147" s="9">
        <v>8</v>
      </c>
      <c r="R147" s="9">
        <v>12</v>
      </c>
      <c r="S147" s="9">
        <v>12</v>
      </c>
      <c r="T147" s="9">
        <v>16</v>
      </c>
      <c r="U147" s="9">
        <v>16</v>
      </c>
      <c r="V147" s="9">
        <v>17</v>
      </c>
      <c r="W147" s="9">
        <v>17</v>
      </c>
      <c r="X147" s="9">
        <v>17</v>
      </c>
      <c r="Y147" s="9">
        <v>15</v>
      </c>
      <c r="Z147" s="9">
        <v>16</v>
      </c>
      <c r="AA147" s="9">
        <v>16</v>
      </c>
      <c r="AB147" s="9">
        <v>16</v>
      </c>
      <c r="AC147" s="9">
        <v>14</v>
      </c>
      <c r="AD147" s="9">
        <v>9</v>
      </c>
      <c r="AE147" s="9">
        <v>8</v>
      </c>
      <c r="AF147" s="9">
        <v>10</v>
      </c>
      <c r="AG147" s="9">
        <v>10</v>
      </c>
      <c r="AH147" s="9">
        <v>8</v>
      </c>
      <c r="AI147" s="9">
        <v>9</v>
      </c>
      <c r="AJ147" s="9">
        <v>4</v>
      </c>
      <c r="AK147" s="9">
        <v>5</v>
      </c>
      <c r="AL147" s="9">
        <v>5</v>
      </c>
      <c r="AM147" s="9">
        <v>5</v>
      </c>
      <c r="AN147" s="9">
        <v>5</v>
      </c>
      <c r="AO147" s="9">
        <v>6</v>
      </c>
      <c r="AP147" s="9">
        <v>9</v>
      </c>
      <c r="AQ147" s="9">
        <v>9</v>
      </c>
      <c r="AR147" s="9">
        <v>8</v>
      </c>
      <c r="AS147" s="9">
        <v>9</v>
      </c>
      <c r="AT147" s="9">
        <v>9</v>
      </c>
      <c r="AU147" s="9">
        <v>8</v>
      </c>
      <c r="AV147" s="9">
        <v>6</v>
      </c>
      <c r="AW147" s="9">
        <v>6</v>
      </c>
      <c r="AX147" s="9">
        <v>7</v>
      </c>
      <c r="AY147" s="9">
        <v>7</v>
      </c>
      <c r="AZ147" s="9">
        <v>6</v>
      </c>
      <c r="BA147" s="9">
        <v>6</v>
      </c>
      <c r="BB147" s="9">
        <v>5</v>
      </c>
      <c r="BC147" s="9">
        <v>4</v>
      </c>
      <c r="BD147" s="9">
        <v>4</v>
      </c>
      <c r="BE147" s="9">
        <v>4</v>
      </c>
      <c r="BF147" s="9">
        <v>3</v>
      </c>
      <c r="BG147" s="9">
        <v>3</v>
      </c>
      <c r="BH147" s="9">
        <v>2</v>
      </c>
      <c r="BI147" s="9">
        <v>3</v>
      </c>
      <c r="BJ147" s="9">
        <v>2</v>
      </c>
      <c r="BK147" s="9">
        <v>1</v>
      </c>
      <c r="BL147" s="9">
        <v>1</v>
      </c>
      <c r="BM147" s="9">
        <v>1</v>
      </c>
      <c r="BN147" s="9">
        <v>1</v>
      </c>
      <c r="BO147" s="9">
        <v>1</v>
      </c>
      <c r="BP147" s="9">
        <v>1</v>
      </c>
      <c r="BQ147" s="9">
        <v>1</v>
      </c>
      <c r="BR147" s="9">
        <v>2</v>
      </c>
      <c r="BS147" s="9">
        <v>2</v>
      </c>
      <c r="BT147" s="9">
        <v>2</v>
      </c>
      <c r="BU147" s="9">
        <v>1</v>
      </c>
      <c r="BV147" s="9">
        <v>2</v>
      </c>
      <c r="BW147" s="9">
        <v>2</v>
      </c>
      <c r="BX147" s="9">
        <v>2</v>
      </c>
      <c r="BY147" s="9">
        <v>3</v>
      </c>
      <c r="BZ147" s="9">
        <v>3</v>
      </c>
      <c r="CA147" s="9">
        <v>3</v>
      </c>
      <c r="CB147" s="9">
        <v>3</v>
      </c>
      <c r="CC147" s="9">
        <v>3</v>
      </c>
      <c r="CD147" s="9">
        <v>2</v>
      </c>
      <c r="CE147" s="9">
        <v>2</v>
      </c>
      <c r="CF147" s="9">
        <v>1</v>
      </c>
      <c r="CG147" s="9">
        <v>1</v>
      </c>
      <c r="CH147" s="9">
        <v>1</v>
      </c>
      <c r="CI147" s="9">
        <v>1</v>
      </c>
      <c r="CJ147" s="9">
        <v>1</v>
      </c>
      <c r="CK147" s="9">
        <v>1</v>
      </c>
      <c r="CL147" s="9">
        <v>1</v>
      </c>
      <c r="CM147" s="9">
        <v>1</v>
      </c>
      <c r="CN147" s="9">
        <v>1</v>
      </c>
      <c r="CO147" s="9">
        <v>1</v>
      </c>
      <c r="CP147" s="9">
        <v>1</v>
      </c>
      <c r="CQ147" s="9">
        <v>1</v>
      </c>
      <c r="CR147" s="9">
        <v>1</v>
      </c>
      <c r="CS147" s="9">
        <v>1</v>
      </c>
      <c r="CT147" s="9">
        <v>1</v>
      </c>
      <c r="CU147" s="9">
        <v>0</v>
      </c>
      <c r="CV147" s="9">
        <v>0</v>
      </c>
      <c r="CW147" s="9">
        <v>0</v>
      </c>
      <c r="CX147" s="9">
        <v>0</v>
      </c>
      <c r="CY147" s="9">
        <v>0</v>
      </c>
      <c r="CZ147" s="9">
        <v>0</v>
      </c>
      <c r="DA147" s="9">
        <v>0</v>
      </c>
      <c r="DB147" s="9">
        <v>0</v>
      </c>
      <c r="DC147" s="9">
        <v>0</v>
      </c>
      <c r="DD147" s="9">
        <v>0</v>
      </c>
      <c r="DE147" s="9">
        <v>0</v>
      </c>
      <c r="DF147" s="9">
        <v>0</v>
      </c>
      <c r="DG147" s="9">
        <v>0</v>
      </c>
      <c r="DH147" s="9">
        <v>0</v>
      </c>
      <c r="DI147" s="9">
        <v>0</v>
      </c>
      <c r="DJ147" s="9">
        <v>0</v>
      </c>
      <c r="DK147" s="9">
        <v>0</v>
      </c>
      <c r="DL147" s="9">
        <v>0</v>
      </c>
      <c r="DM147" s="9">
        <v>0</v>
      </c>
      <c r="DN147" s="9">
        <v>0</v>
      </c>
      <c r="DO147" s="9">
        <v>0</v>
      </c>
      <c r="DP147" s="9">
        <v>0</v>
      </c>
      <c r="DQ147" s="9">
        <v>0</v>
      </c>
      <c r="DR147" s="9">
        <v>0</v>
      </c>
      <c r="DS147" s="9">
        <v>0</v>
      </c>
      <c r="DT147" s="9">
        <v>0</v>
      </c>
      <c r="DU147" s="9">
        <v>0</v>
      </c>
      <c r="DV147" s="9">
        <v>0</v>
      </c>
      <c r="DW147" s="9">
        <v>0</v>
      </c>
      <c r="DX147" s="9">
        <v>0</v>
      </c>
      <c r="DY147" s="9">
        <v>0</v>
      </c>
      <c r="DZ147" s="9">
        <v>0</v>
      </c>
      <c r="EA147" s="9">
        <v>0</v>
      </c>
      <c r="EB147" s="9">
        <v>0</v>
      </c>
      <c r="EC147" s="9">
        <v>0</v>
      </c>
      <c r="ED147" s="9">
        <v>0</v>
      </c>
      <c r="EE147" s="9">
        <v>0</v>
      </c>
      <c r="EF147" s="9">
        <v>0</v>
      </c>
      <c r="EG147" s="9">
        <v>0</v>
      </c>
      <c r="EH147" s="9">
        <v>0</v>
      </c>
      <c r="EI147" s="9">
        <v>0</v>
      </c>
      <c r="EJ147" s="9">
        <v>0</v>
      </c>
      <c r="EK147" s="9">
        <v>0</v>
      </c>
      <c r="EL147" s="9">
        <v>0</v>
      </c>
      <c r="EM147" s="9">
        <v>0</v>
      </c>
      <c r="EN147" s="9">
        <v>0</v>
      </c>
      <c r="EO147" s="9">
        <v>0</v>
      </c>
      <c r="EP147" s="9">
        <v>0</v>
      </c>
      <c r="EQ147" s="9">
        <v>0</v>
      </c>
      <c r="ER147" s="9">
        <v>0</v>
      </c>
      <c r="ES147" s="9">
        <v>0</v>
      </c>
      <c r="ET147" s="9">
        <v>0</v>
      </c>
      <c r="EU147" s="9">
        <v>0</v>
      </c>
      <c r="EV147" s="9">
        <v>0</v>
      </c>
      <c r="EW147" s="9">
        <v>0</v>
      </c>
      <c r="EX147" s="9">
        <v>0</v>
      </c>
      <c r="EY147" s="9">
        <v>0</v>
      </c>
      <c r="EZ147" s="9">
        <v>0</v>
      </c>
      <c r="FA147" s="9">
        <v>0</v>
      </c>
      <c r="FB147" s="9">
        <v>0</v>
      </c>
      <c r="FC147" s="9">
        <v>0</v>
      </c>
      <c r="FD147" s="9">
        <v>0</v>
      </c>
      <c r="FE147" s="9">
        <v>0</v>
      </c>
      <c r="FF147" s="9">
        <v>0</v>
      </c>
      <c r="FG147" s="9">
        <v>0</v>
      </c>
      <c r="FH147" s="9">
        <v>0</v>
      </c>
      <c r="FI147" s="9">
        <v>0</v>
      </c>
      <c r="FJ147" s="9">
        <v>0</v>
      </c>
      <c r="FK147" s="9">
        <v>0</v>
      </c>
      <c r="FL147" s="9">
        <v>0</v>
      </c>
      <c r="FM147" s="10">
        <v>0</v>
      </c>
    </row>
    <row r="148" spans="1:169" x14ac:dyDescent="0.35">
      <c r="A148" s="8" t="s">
        <v>261</v>
      </c>
      <c r="B148" s="9" t="s">
        <v>175</v>
      </c>
      <c r="C148" s="10" t="s">
        <v>176</v>
      </c>
      <c r="D148" s="62">
        <f t="shared" si="99"/>
        <v>0</v>
      </c>
      <c r="E148" s="9">
        <v>0</v>
      </c>
      <c r="F148" s="9">
        <v>0</v>
      </c>
      <c r="G148" s="9">
        <v>0</v>
      </c>
      <c r="H148" s="9">
        <v>0</v>
      </c>
      <c r="I148" s="9">
        <v>0</v>
      </c>
      <c r="J148" s="9">
        <v>0</v>
      </c>
      <c r="K148" s="9">
        <v>0</v>
      </c>
      <c r="L148" s="9">
        <v>0</v>
      </c>
      <c r="M148" s="9">
        <v>0</v>
      </c>
      <c r="N148" s="9">
        <v>0</v>
      </c>
      <c r="O148" s="9">
        <v>0</v>
      </c>
      <c r="P148" s="9">
        <v>0</v>
      </c>
      <c r="Q148" s="9">
        <v>0</v>
      </c>
      <c r="R148" s="9">
        <v>0</v>
      </c>
      <c r="S148" s="9">
        <v>0</v>
      </c>
      <c r="T148" s="9">
        <v>0</v>
      </c>
      <c r="U148" s="9">
        <v>0</v>
      </c>
      <c r="V148" s="9">
        <v>0</v>
      </c>
      <c r="W148" s="9">
        <v>0</v>
      </c>
      <c r="X148" s="9">
        <v>0</v>
      </c>
      <c r="Y148" s="9">
        <v>0</v>
      </c>
      <c r="Z148" s="9">
        <v>0</v>
      </c>
      <c r="AA148" s="9">
        <v>0</v>
      </c>
      <c r="AB148" s="9">
        <v>0</v>
      </c>
      <c r="AC148" s="9">
        <v>0</v>
      </c>
      <c r="AD148" s="9">
        <v>0</v>
      </c>
      <c r="AE148" s="9">
        <v>0</v>
      </c>
      <c r="AF148" s="9">
        <v>0</v>
      </c>
      <c r="AG148" s="9">
        <v>0</v>
      </c>
      <c r="AH148" s="9">
        <v>0</v>
      </c>
      <c r="AI148" s="9">
        <v>0</v>
      </c>
      <c r="AJ148" s="9">
        <v>0</v>
      </c>
      <c r="AK148" s="9">
        <v>0</v>
      </c>
      <c r="AL148" s="9">
        <v>0</v>
      </c>
      <c r="AM148" s="9">
        <v>0</v>
      </c>
      <c r="AN148" s="9">
        <v>0</v>
      </c>
      <c r="AO148" s="9">
        <v>0</v>
      </c>
      <c r="AP148" s="9">
        <v>0</v>
      </c>
      <c r="AQ148" s="9">
        <v>0</v>
      </c>
      <c r="AR148" s="9">
        <v>0</v>
      </c>
      <c r="AS148" s="9">
        <v>0</v>
      </c>
      <c r="AT148" s="9">
        <v>0</v>
      </c>
      <c r="AU148" s="9">
        <v>0</v>
      </c>
      <c r="AV148" s="9">
        <v>0</v>
      </c>
      <c r="AW148" s="9">
        <v>0</v>
      </c>
      <c r="AX148" s="9">
        <v>0</v>
      </c>
      <c r="AY148" s="9">
        <v>0</v>
      </c>
      <c r="AZ148" s="9">
        <v>0</v>
      </c>
      <c r="BA148" s="9">
        <v>0</v>
      </c>
      <c r="BB148" s="9">
        <v>0</v>
      </c>
      <c r="BC148" s="9">
        <v>0</v>
      </c>
      <c r="BD148" s="9">
        <v>0</v>
      </c>
      <c r="BE148" s="9">
        <v>0</v>
      </c>
      <c r="BF148" s="9">
        <v>0</v>
      </c>
      <c r="BG148" s="9">
        <v>0</v>
      </c>
      <c r="BH148" s="9">
        <v>0</v>
      </c>
      <c r="BI148" s="9">
        <v>0</v>
      </c>
      <c r="BJ148" s="9">
        <v>0</v>
      </c>
      <c r="BK148" s="9">
        <v>0</v>
      </c>
      <c r="BL148" s="9">
        <v>0</v>
      </c>
      <c r="BM148" s="9">
        <v>0</v>
      </c>
      <c r="BN148" s="9">
        <v>0</v>
      </c>
      <c r="BO148" s="9">
        <v>0</v>
      </c>
      <c r="BP148" s="9">
        <v>0</v>
      </c>
      <c r="BQ148" s="9">
        <v>0</v>
      </c>
      <c r="BR148" s="9">
        <v>0</v>
      </c>
      <c r="BS148" s="9">
        <v>0</v>
      </c>
      <c r="BT148" s="9">
        <v>0</v>
      </c>
      <c r="BU148" s="9">
        <v>0</v>
      </c>
      <c r="BV148" s="9">
        <v>0</v>
      </c>
      <c r="BW148" s="9">
        <v>0</v>
      </c>
      <c r="BX148" s="9">
        <v>0</v>
      </c>
      <c r="BY148" s="9">
        <v>0</v>
      </c>
      <c r="BZ148" s="9">
        <v>0</v>
      </c>
      <c r="CA148" s="9">
        <v>0</v>
      </c>
      <c r="CB148" s="9">
        <v>0</v>
      </c>
      <c r="CC148" s="9">
        <v>0</v>
      </c>
      <c r="CD148" s="9">
        <v>0</v>
      </c>
      <c r="CE148" s="9">
        <v>0</v>
      </c>
      <c r="CF148" s="9">
        <v>0</v>
      </c>
      <c r="CG148" s="9">
        <v>0</v>
      </c>
      <c r="CH148" s="9">
        <v>0</v>
      </c>
      <c r="CI148" s="9">
        <v>0</v>
      </c>
      <c r="CJ148" s="9">
        <v>0</v>
      </c>
      <c r="CK148" s="9">
        <v>0</v>
      </c>
      <c r="CL148" s="9">
        <v>0</v>
      </c>
      <c r="CM148" s="9">
        <v>0</v>
      </c>
      <c r="CN148" s="9">
        <v>0</v>
      </c>
      <c r="CO148" s="9">
        <v>0</v>
      </c>
      <c r="CP148" s="9">
        <v>0</v>
      </c>
      <c r="CQ148" s="9">
        <v>0</v>
      </c>
      <c r="CR148" s="9">
        <v>0</v>
      </c>
      <c r="CS148" s="9">
        <v>0</v>
      </c>
      <c r="CT148" s="9">
        <v>0</v>
      </c>
      <c r="CU148" s="9">
        <v>0</v>
      </c>
      <c r="CV148" s="9">
        <v>0</v>
      </c>
      <c r="CW148" s="9">
        <v>0</v>
      </c>
      <c r="CX148" s="9">
        <v>0</v>
      </c>
      <c r="CY148" s="9">
        <v>0</v>
      </c>
      <c r="CZ148" s="9">
        <v>0</v>
      </c>
      <c r="DA148" s="9">
        <v>0</v>
      </c>
      <c r="DB148" s="9">
        <v>0</v>
      </c>
      <c r="DC148" s="9">
        <v>0</v>
      </c>
      <c r="DD148" s="9">
        <v>0</v>
      </c>
      <c r="DE148" s="9">
        <v>0</v>
      </c>
      <c r="DF148" s="9">
        <v>0</v>
      </c>
      <c r="DG148" s="9">
        <v>0</v>
      </c>
      <c r="DH148" s="9">
        <v>0</v>
      </c>
      <c r="DI148" s="9">
        <v>0</v>
      </c>
      <c r="DJ148" s="9">
        <v>0</v>
      </c>
      <c r="DK148" s="9">
        <v>0</v>
      </c>
      <c r="DL148" s="9">
        <v>0</v>
      </c>
      <c r="DM148" s="9">
        <v>0</v>
      </c>
      <c r="DN148" s="9">
        <v>0</v>
      </c>
      <c r="DO148" s="9">
        <v>0</v>
      </c>
      <c r="DP148" s="9">
        <v>0</v>
      </c>
      <c r="DQ148" s="9">
        <v>0</v>
      </c>
      <c r="DR148" s="9">
        <v>0</v>
      </c>
      <c r="DS148" s="9">
        <v>0</v>
      </c>
      <c r="DT148" s="9">
        <v>0</v>
      </c>
      <c r="DU148" s="9">
        <v>0</v>
      </c>
      <c r="DV148" s="9">
        <v>0</v>
      </c>
      <c r="DW148" s="9">
        <v>0</v>
      </c>
      <c r="DX148" s="9">
        <v>0</v>
      </c>
      <c r="DY148" s="9">
        <v>0</v>
      </c>
      <c r="DZ148" s="9">
        <v>0</v>
      </c>
      <c r="EA148" s="9">
        <v>0</v>
      </c>
      <c r="EB148" s="9">
        <v>0</v>
      </c>
      <c r="EC148" s="9">
        <v>0</v>
      </c>
      <c r="ED148" s="9">
        <v>0</v>
      </c>
      <c r="EE148" s="9">
        <v>0</v>
      </c>
      <c r="EF148" s="9">
        <v>0</v>
      </c>
      <c r="EG148" s="9">
        <v>0</v>
      </c>
      <c r="EH148" s="9">
        <v>0</v>
      </c>
      <c r="EI148" s="9">
        <v>0</v>
      </c>
      <c r="EJ148" s="9">
        <v>0</v>
      </c>
      <c r="EK148" s="9">
        <v>0</v>
      </c>
      <c r="EL148" s="9">
        <v>0</v>
      </c>
      <c r="EM148" s="9">
        <v>0</v>
      </c>
      <c r="EN148" s="9">
        <v>0</v>
      </c>
      <c r="EO148" s="9">
        <v>0</v>
      </c>
      <c r="EP148" s="9">
        <v>0</v>
      </c>
      <c r="EQ148" s="9">
        <v>0</v>
      </c>
      <c r="ER148" s="9">
        <v>0</v>
      </c>
      <c r="ES148" s="9">
        <v>0</v>
      </c>
      <c r="ET148" s="9">
        <v>0</v>
      </c>
      <c r="EU148" s="9">
        <v>0</v>
      </c>
      <c r="EV148" s="9">
        <v>0</v>
      </c>
      <c r="EW148" s="9">
        <v>0</v>
      </c>
      <c r="EX148" s="9">
        <v>0</v>
      </c>
      <c r="EY148" s="9">
        <v>0</v>
      </c>
      <c r="EZ148" s="9">
        <v>0</v>
      </c>
      <c r="FA148" s="9">
        <v>0</v>
      </c>
      <c r="FB148" s="9">
        <v>0</v>
      </c>
      <c r="FC148" s="9">
        <v>0</v>
      </c>
      <c r="FD148" s="9">
        <v>0</v>
      </c>
      <c r="FE148" s="9">
        <v>0</v>
      </c>
      <c r="FF148" s="9">
        <v>0</v>
      </c>
      <c r="FG148" s="9">
        <v>0</v>
      </c>
      <c r="FH148" s="9">
        <v>0</v>
      </c>
      <c r="FI148" s="9">
        <v>0</v>
      </c>
      <c r="FJ148" s="9">
        <v>0</v>
      </c>
      <c r="FK148" s="9">
        <v>0</v>
      </c>
      <c r="FL148" s="9">
        <v>0</v>
      </c>
      <c r="FM148" s="10">
        <v>0</v>
      </c>
    </row>
    <row r="149" spans="1:169" x14ac:dyDescent="0.35">
      <c r="A149" s="8" t="s">
        <v>261</v>
      </c>
      <c r="B149" s="9" t="s">
        <v>7</v>
      </c>
      <c r="C149" s="10" t="s">
        <v>8</v>
      </c>
      <c r="D149" s="62">
        <f t="shared" si="99"/>
        <v>0</v>
      </c>
      <c r="E149" s="9">
        <v>0</v>
      </c>
      <c r="F149" s="9">
        <v>0</v>
      </c>
      <c r="G149" s="9">
        <v>0</v>
      </c>
      <c r="H149" s="9">
        <v>0</v>
      </c>
      <c r="I149" s="9">
        <v>0</v>
      </c>
      <c r="J149" s="9">
        <v>0</v>
      </c>
      <c r="K149" s="9">
        <v>0</v>
      </c>
      <c r="L149" s="9">
        <v>0</v>
      </c>
      <c r="M149" s="9">
        <v>0</v>
      </c>
      <c r="N149" s="9">
        <v>0</v>
      </c>
      <c r="O149" s="9">
        <v>0</v>
      </c>
      <c r="P149" s="9">
        <v>0</v>
      </c>
      <c r="Q149" s="9">
        <v>0</v>
      </c>
      <c r="R149" s="9">
        <v>0</v>
      </c>
      <c r="S149" s="9">
        <v>0</v>
      </c>
      <c r="T149" s="9">
        <v>0</v>
      </c>
      <c r="U149" s="9">
        <v>0</v>
      </c>
      <c r="V149" s="9">
        <v>0</v>
      </c>
      <c r="W149" s="9">
        <v>0</v>
      </c>
      <c r="X149" s="9">
        <v>0</v>
      </c>
      <c r="Y149" s="9">
        <v>0</v>
      </c>
      <c r="Z149" s="9">
        <v>0</v>
      </c>
      <c r="AA149" s="9">
        <v>0</v>
      </c>
      <c r="AB149" s="9">
        <v>0</v>
      </c>
      <c r="AC149" s="9">
        <v>0</v>
      </c>
      <c r="AD149" s="9">
        <v>0</v>
      </c>
      <c r="AE149" s="9">
        <v>0</v>
      </c>
      <c r="AF149" s="9">
        <v>0</v>
      </c>
      <c r="AG149" s="9">
        <v>0</v>
      </c>
      <c r="AH149" s="9">
        <v>0</v>
      </c>
      <c r="AI149" s="9">
        <v>0</v>
      </c>
      <c r="AJ149" s="9">
        <v>0</v>
      </c>
      <c r="AK149" s="9">
        <v>0</v>
      </c>
      <c r="AL149" s="9">
        <v>0</v>
      </c>
      <c r="AM149" s="9">
        <v>0</v>
      </c>
      <c r="AN149" s="9">
        <v>0</v>
      </c>
      <c r="AO149" s="9">
        <v>0</v>
      </c>
      <c r="AP149" s="9">
        <v>0</v>
      </c>
      <c r="AQ149" s="9">
        <v>0</v>
      </c>
      <c r="AR149" s="9">
        <v>0</v>
      </c>
      <c r="AS149" s="9">
        <v>0</v>
      </c>
      <c r="AT149" s="9">
        <v>0</v>
      </c>
      <c r="AU149" s="9">
        <v>0</v>
      </c>
      <c r="AV149" s="9">
        <v>0</v>
      </c>
      <c r="AW149" s="9">
        <v>0</v>
      </c>
      <c r="AX149" s="9">
        <v>0</v>
      </c>
      <c r="AY149" s="9">
        <v>0</v>
      </c>
      <c r="AZ149" s="9">
        <v>0</v>
      </c>
      <c r="BA149" s="9">
        <v>0</v>
      </c>
      <c r="BB149" s="9">
        <v>0</v>
      </c>
      <c r="BC149" s="9">
        <v>0</v>
      </c>
      <c r="BD149" s="9">
        <v>0</v>
      </c>
      <c r="BE149" s="9">
        <v>0</v>
      </c>
      <c r="BF149" s="9">
        <v>0</v>
      </c>
      <c r="BG149" s="9">
        <v>0</v>
      </c>
      <c r="BH149" s="9">
        <v>0</v>
      </c>
      <c r="BI149" s="9">
        <v>0</v>
      </c>
      <c r="BJ149" s="9">
        <v>0</v>
      </c>
      <c r="BK149" s="9">
        <v>0</v>
      </c>
      <c r="BL149" s="9">
        <v>0</v>
      </c>
      <c r="BM149" s="9">
        <v>0</v>
      </c>
      <c r="BN149" s="9">
        <v>0</v>
      </c>
      <c r="BO149" s="9">
        <v>0</v>
      </c>
      <c r="BP149" s="9">
        <v>0</v>
      </c>
      <c r="BQ149" s="9">
        <v>0</v>
      </c>
      <c r="BR149" s="9">
        <v>0</v>
      </c>
      <c r="BS149" s="9">
        <v>0</v>
      </c>
      <c r="BT149" s="9">
        <v>0</v>
      </c>
      <c r="BU149" s="9">
        <v>0</v>
      </c>
      <c r="BV149" s="9">
        <v>0</v>
      </c>
      <c r="BW149" s="9">
        <v>0</v>
      </c>
      <c r="BX149" s="9">
        <v>0</v>
      </c>
      <c r="BY149" s="9">
        <v>0</v>
      </c>
      <c r="BZ149" s="9">
        <v>0</v>
      </c>
      <c r="CA149" s="9">
        <v>0</v>
      </c>
      <c r="CB149" s="9">
        <v>0</v>
      </c>
      <c r="CC149" s="9">
        <v>0</v>
      </c>
      <c r="CD149" s="9">
        <v>0</v>
      </c>
      <c r="CE149" s="9">
        <v>0</v>
      </c>
      <c r="CF149" s="9">
        <v>0</v>
      </c>
      <c r="CG149" s="9">
        <v>0</v>
      </c>
      <c r="CH149" s="9">
        <v>0</v>
      </c>
      <c r="CI149" s="9">
        <v>0</v>
      </c>
      <c r="CJ149" s="9">
        <v>0</v>
      </c>
      <c r="CK149" s="9">
        <v>0</v>
      </c>
      <c r="CL149" s="9">
        <v>0</v>
      </c>
      <c r="CM149" s="9">
        <v>0</v>
      </c>
      <c r="CN149" s="9">
        <v>0</v>
      </c>
      <c r="CO149" s="9">
        <v>0</v>
      </c>
      <c r="CP149" s="9">
        <v>0</v>
      </c>
      <c r="CQ149" s="9">
        <v>0</v>
      </c>
      <c r="CR149" s="9">
        <v>0</v>
      </c>
      <c r="CS149" s="9">
        <v>0</v>
      </c>
      <c r="CT149" s="9">
        <v>0</v>
      </c>
      <c r="CU149" s="9">
        <v>0</v>
      </c>
      <c r="CV149" s="9">
        <v>0</v>
      </c>
      <c r="CW149" s="9">
        <v>0</v>
      </c>
      <c r="CX149" s="9">
        <v>0</v>
      </c>
      <c r="CY149" s="9">
        <v>0</v>
      </c>
      <c r="CZ149" s="9">
        <v>0</v>
      </c>
      <c r="DA149" s="9">
        <v>0</v>
      </c>
      <c r="DB149" s="9">
        <v>0</v>
      </c>
      <c r="DC149" s="9">
        <v>0</v>
      </c>
      <c r="DD149" s="9">
        <v>0</v>
      </c>
      <c r="DE149" s="9">
        <v>0</v>
      </c>
      <c r="DF149" s="9">
        <v>0</v>
      </c>
      <c r="DG149" s="9">
        <v>0</v>
      </c>
      <c r="DH149" s="9">
        <v>0</v>
      </c>
      <c r="DI149" s="9">
        <v>0</v>
      </c>
      <c r="DJ149" s="9">
        <v>0</v>
      </c>
      <c r="DK149" s="9">
        <v>0</v>
      </c>
      <c r="DL149" s="9">
        <v>0</v>
      </c>
      <c r="DM149" s="9">
        <v>0</v>
      </c>
      <c r="DN149" s="9">
        <v>0</v>
      </c>
      <c r="DO149" s="9">
        <v>0</v>
      </c>
      <c r="DP149" s="9">
        <v>0</v>
      </c>
      <c r="DQ149" s="9">
        <v>0</v>
      </c>
      <c r="DR149" s="9">
        <v>0</v>
      </c>
      <c r="DS149" s="9">
        <v>0</v>
      </c>
      <c r="DT149" s="9">
        <v>0</v>
      </c>
      <c r="DU149" s="9">
        <v>0</v>
      </c>
      <c r="DV149" s="9">
        <v>0</v>
      </c>
      <c r="DW149" s="9">
        <v>0</v>
      </c>
      <c r="DX149" s="9">
        <v>0</v>
      </c>
      <c r="DY149" s="9">
        <v>0</v>
      </c>
      <c r="DZ149" s="9">
        <v>0</v>
      </c>
      <c r="EA149" s="9">
        <v>0</v>
      </c>
      <c r="EB149" s="9">
        <v>0</v>
      </c>
      <c r="EC149" s="9">
        <v>0</v>
      </c>
      <c r="ED149" s="9">
        <v>0</v>
      </c>
      <c r="EE149" s="9">
        <v>0</v>
      </c>
      <c r="EF149" s="9">
        <v>0</v>
      </c>
      <c r="EG149" s="9">
        <v>0</v>
      </c>
      <c r="EH149" s="9">
        <v>0</v>
      </c>
      <c r="EI149" s="9">
        <v>0</v>
      </c>
      <c r="EJ149" s="9">
        <v>0</v>
      </c>
      <c r="EK149" s="9">
        <v>0</v>
      </c>
      <c r="EL149" s="9">
        <v>0</v>
      </c>
      <c r="EM149" s="9">
        <v>0</v>
      </c>
      <c r="EN149" s="9">
        <v>0</v>
      </c>
      <c r="EO149" s="9">
        <v>0</v>
      </c>
      <c r="EP149" s="9">
        <v>0</v>
      </c>
      <c r="EQ149" s="9">
        <v>0</v>
      </c>
      <c r="ER149" s="9">
        <v>0</v>
      </c>
      <c r="ES149" s="9">
        <v>0</v>
      </c>
      <c r="ET149" s="9">
        <v>0</v>
      </c>
      <c r="EU149" s="9">
        <v>0</v>
      </c>
      <c r="EV149" s="9">
        <v>0</v>
      </c>
      <c r="EW149" s="9">
        <v>0</v>
      </c>
      <c r="EX149" s="9">
        <v>0</v>
      </c>
      <c r="EY149" s="9">
        <v>0</v>
      </c>
      <c r="EZ149" s="9">
        <v>0</v>
      </c>
      <c r="FA149" s="9">
        <v>0</v>
      </c>
      <c r="FB149" s="9">
        <v>0</v>
      </c>
      <c r="FC149" s="9">
        <v>0</v>
      </c>
      <c r="FD149" s="9">
        <v>0</v>
      </c>
      <c r="FE149" s="9">
        <v>0</v>
      </c>
      <c r="FF149" s="9">
        <v>0</v>
      </c>
      <c r="FG149" s="9">
        <v>0</v>
      </c>
      <c r="FH149" s="9">
        <v>0</v>
      </c>
      <c r="FI149" s="9">
        <v>0</v>
      </c>
      <c r="FJ149" s="9">
        <v>0</v>
      </c>
      <c r="FK149" s="9">
        <v>0</v>
      </c>
      <c r="FL149" s="9">
        <v>0</v>
      </c>
      <c r="FM149" s="10">
        <v>0</v>
      </c>
    </row>
    <row r="150" spans="1:169" x14ac:dyDescent="0.35">
      <c r="A150" s="8" t="s">
        <v>261</v>
      </c>
      <c r="B150" s="9" t="s">
        <v>262</v>
      </c>
      <c r="C150" s="10" t="s">
        <v>263</v>
      </c>
      <c r="D150" s="62">
        <f t="shared" si="99"/>
        <v>0</v>
      </c>
      <c r="E150" s="9">
        <v>0</v>
      </c>
      <c r="F150" s="9">
        <v>0</v>
      </c>
      <c r="G150" s="9">
        <v>0</v>
      </c>
      <c r="H150" s="9">
        <v>0</v>
      </c>
      <c r="I150" s="9">
        <v>0</v>
      </c>
      <c r="J150" s="9">
        <v>0</v>
      </c>
      <c r="K150" s="9">
        <v>0</v>
      </c>
      <c r="L150" s="9">
        <v>0</v>
      </c>
      <c r="M150" s="9">
        <v>0</v>
      </c>
      <c r="N150" s="9">
        <v>0</v>
      </c>
      <c r="O150" s="9">
        <v>0</v>
      </c>
      <c r="P150" s="9">
        <v>0</v>
      </c>
      <c r="Q150" s="9">
        <v>0</v>
      </c>
      <c r="R150" s="9">
        <v>0</v>
      </c>
      <c r="S150" s="9">
        <v>0</v>
      </c>
      <c r="T150" s="9">
        <v>0</v>
      </c>
      <c r="U150" s="9">
        <v>0</v>
      </c>
      <c r="V150" s="9">
        <v>0</v>
      </c>
      <c r="W150" s="9">
        <v>0</v>
      </c>
      <c r="X150" s="9">
        <v>0</v>
      </c>
      <c r="Y150" s="9">
        <v>0</v>
      </c>
      <c r="Z150" s="9">
        <v>0</v>
      </c>
      <c r="AA150" s="9">
        <v>0</v>
      </c>
      <c r="AB150" s="9">
        <v>0</v>
      </c>
      <c r="AC150" s="9">
        <v>0</v>
      </c>
      <c r="AD150" s="9">
        <v>0</v>
      </c>
      <c r="AE150" s="9">
        <v>0</v>
      </c>
      <c r="AF150" s="9">
        <v>0</v>
      </c>
      <c r="AG150" s="9">
        <v>0</v>
      </c>
      <c r="AH150" s="9">
        <v>0</v>
      </c>
      <c r="AI150" s="9">
        <v>0</v>
      </c>
      <c r="AJ150" s="9">
        <v>0</v>
      </c>
      <c r="AK150" s="9">
        <v>0</v>
      </c>
      <c r="AL150" s="9">
        <v>0</v>
      </c>
      <c r="AM150" s="9">
        <v>0</v>
      </c>
      <c r="AN150" s="9">
        <v>0</v>
      </c>
      <c r="AO150" s="9">
        <v>0</v>
      </c>
      <c r="AP150" s="9">
        <v>0</v>
      </c>
      <c r="AQ150" s="9">
        <v>0</v>
      </c>
      <c r="AR150" s="9">
        <v>0</v>
      </c>
      <c r="AS150" s="9">
        <v>0</v>
      </c>
      <c r="AT150" s="9">
        <v>0</v>
      </c>
      <c r="AU150" s="9">
        <v>0</v>
      </c>
      <c r="AV150" s="9">
        <v>0</v>
      </c>
      <c r="AW150" s="9">
        <v>0</v>
      </c>
      <c r="AX150" s="9">
        <v>0</v>
      </c>
      <c r="AY150" s="9">
        <v>0</v>
      </c>
      <c r="AZ150" s="9">
        <v>0</v>
      </c>
      <c r="BA150" s="9">
        <v>0</v>
      </c>
      <c r="BB150" s="9">
        <v>0</v>
      </c>
      <c r="BC150" s="9">
        <v>0</v>
      </c>
      <c r="BD150" s="9">
        <v>0</v>
      </c>
      <c r="BE150" s="9">
        <v>0</v>
      </c>
      <c r="BF150" s="9">
        <v>0</v>
      </c>
      <c r="BG150" s="9">
        <v>0</v>
      </c>
      <c r="BH150" s="9">
        <v>0</v>
      </c>
      <c r="BI150" s="9">
        <v>0</v>
      </c>
      <c r="BJ150" s="9">
        <v>0</v>
      </c>
      <c r="BK150" s="9">
        <v>0</v>
      </c>
      <c r="BL150" s="9">
        <v>0</v>
      </c>
      <c r="BM150" s="9">
        <v>0</v>
      </c>
      <c r="BN150" s="9">
        <v>0</v>
      </c>
      <c r="BO150" s="9">
        <v>0</v>
      </c>
      <c r="BP150" s="9">
        <v>0</v>
      </c>
      <c r="BQ150" s="9">
        <v>0</v>
      </c>
      <c r="BR150" s="9">
        <v>0</v>
      </c>
      <c r="BS150" s="9">
        <v>0</v>
      </c>
      <c r="BT150" s="9">
        <v>0</v>
      </c>
      <c r="BU150" s="9">
        <v>0</v>
      </c>
      <c r="BV150" s="9">
        <v>0</v>
      </c>
      <c r="BW150" s="9">
        <v>0</v>
      </c>
      <c r="BX150" s="9">
        <v>0</v>
      </c>
      <c r="BY150" s="9">
        <v>0</v>
      </c>
      <c r="BZ150" s="9">
        <v>0</v>
      </c>
      <c r="CA150" s="9">
        <v>0</v>
      </c>
      <c r="CB150" s="9">
        <v>0</v>
      </c>
      <c r="CC150" s="9">
        <v>0</v>
      </c>
      <c r="CD150" s="9">
        <v>0</v>
      </c>
      <c r="CE150" s="9">
        <v>0</v>
      </c>
      <c r="CF150" s="9">
        <v>0</v>
      </c>
      <c r="CG150" s="9">
        <v>0</v>
      </c>
      <c r="CH150" s="9">
        <v>0</v>
      </c>
      <c r="CI150" s="9">
        <v>0</v>
      </c>
      <c r="CJ150" s="9">
        <v>0</v>
      </c>
      <c r="CK150" s="9">
        <v>0</v>
      </c>
      <c r="CL150" s="9">
        <v>0</v>
      </c>
      <c r="CM150" s="9">
        <v>0</v>
      </c>
      <c r="CN150" s="9">
        <v>0</v>
      </c>
      <c r="CO150" s="9">
        <v>0</v>
      </c>
      <c r="CP150" s="9">
        <v>0</v>
      </c>
      <c r="CQ150" s="9">
        <v>0</v>
      </c>
      <c r="CR150" s="9">
        <v>0</v>
      </c>
      <c r="CS150" s="9">
        <v>0</v>
      </c>
      <c r="CT150" s="9">
        <v>0</v>
      </c>
      <c r="CU150" s="9">
        <v>0</v>
      </c>
      <c r="CV150" s="9">
        <v>0</v>
      </c>
      <c r="CW150" s="9">
        <v>0</v>
      </c>
      <c r="CX150" s="9">
        <v>0</v>
      </c>
      <c r="CY150" s="9">
        <v>0</v>
      </c>
      <c r="CZ150" s="9">
        <v>0</v>
      </c>
      <c r="DA150" s="9">
        <v>0</v>
      </c>
      <c r="DB150" s="9">
        <v>0</v>
      </c>
      <c r="DC150" s="9">
        <v>0</v>
      </c>
      <c r="DD150" s="9">
        <v>0</v>
      </c>
      <c r="DE150" s="9">
        <v>0</v>
      </c>
      <c r="DF150" s="9">
        <v>0</v>
      </c>
      <c r="DG150" s="9">
        <v>0</v>
      </c>
      <c r="DH150" s="9">
        <v>0</v>
      </c>
      <c r="DI150" s="9">
        <v>0</v>
      </c>
      <c r="DJ150" s="9">
        <v>0</v>
      </c>
      <c r="DK150" s="9">
        <v>0</v>
      </c>
      <c r="DL150" s="9">
        <v>0</v>
      </c>
      <c r="DM150" s="9">
        <v>0</v>
      </c>
      <c r="DN150" s="9">
        <v>0</v>
      </c>
      <c r="DO150" s="9">
        <v>0</v>
      </c>
      <c r="DP150" s="9">
        <v>0</v>
      </c>
      <c r="DQ150" s="9">
        <v>0</v>
      </c>
      <c r="DR150" s="9">
        <v>0</v>
      </c>
      <c r="DS150" s="9">
        <v>0</v>
      </c>
      <c r="DT150" s="9">
        <v>0</v>
      </c>
      <c r="DU150" s="9">
        <v>0</v>
      </c>
      <c r="DV150" s="9">
        <v>0</v>
      </c>
      <c r="DW150" s="9">
        <v>0</v>
      </c>
      <c r="DX150" s="9">
        <v>0</v>
      </c>
      <c r="DY150" s="9">
        <v>0</v>
      </c>
      <c r="DZ150" s="9">
        <v>0</v>
      </c>
      <c r="EA150" s="9">
        <v>0</v>
      </c>
      <c r="EB150" s="9">
        <v>0</v>
      </c>
      <c r="EC150" s="9">
        <v>0</v>
      </c>
      <c r="ED150" s="9">
        <v>0</v>
      </c>
      <c r="EE150" s="9">
        <v>0</v>
      </c>
      <c r="EF150" s="9">
        <v>0</v>
      </c>
      <c r="EG150" s="9">
        <v>0</v>
      </c>
      <c r="EH150" s="9">
        <v>0</v>
      </c>
      <c r="EI150" s="9">
        <v>0</v>
      </c>
      <c r="EJ150" s="9">
        <v>0</v>
      </c>
      <c r="EK150" s="9">
        <v>0</v>
      </c>
      <c r="EL150" s="9">
        <v>0</v>
      </c>
      <c r="EM150" s="9">
        <v>0</v>
      </c>
      <c r="EN150" s="9">
        <v>0</v>
      </c>
      <c r="EO150" s="9">
        <v>0</v>
      </c>
      <c r="EP150" s="9">
        <v>0</v>
      </c>
      <c r="EQ150" s="9">
        <v>0</v>
      </c>
      <c r="ER150" s="9">
        <v>0</v>
      </c>
      <c r="ES150" s="9">
        <v>0</v>
      </c>
      <c r="ET150" s="9">
        <v>0</v>
      </c>
      <c r="EU150" s="9">
        <v>0</v>
      </c>
      <c r="EV150" s="9">
        <v>0</v>
      </c>
      <c r="EW150" s="9">
        <v>0</v>
      </c>
      <c r="EX150" s="9">
        <v>0</v>
      </c>
      <c r="EY150" s="9">
        <v>0</v>
      </c>
      <c r="EZ150" s="9">
        <v>0</v>
      </c>
      <c r="FA150" s="9">
        <v>0</v>
      </c>
      <c r="FB150" s="9">
        <v>0</v>
      </c>
      <c r="FC150" s="9">
        <v>0</v>
      </c>
      <c r="FD150" s="9">
        <v>0</v>
      </c>
      <c r="FE150" s="9">
        <v>0</v>
      </c>
      <c r="FF150" s="9">
        <v>0</v>
      </c>
      <c r="FG150" s="9">
        <v>0</v>
      </c>
      <c r="FH150" s="9">
        <v>0</v>
      </c>
      <c r="FI150" s="9">
        <v>0</v>
      </c>
      <c r="FJ150" s="9">
        <v>0</v>
      </c>
      <c r="FK150" s="9">
        <v>0</v>
      </c>
      <c r="FL150" s="9">
        <v>0</v>
      </c>
      <c r="FM150" s="10">
        <v>0</v>
      </c>
    </row>
    <row r="151" spans="1:169" x14ac:dyDescent="0.35">
      <c r="A151" s="8" t="s">
        <v>261</v>
      </c>
      <c r="B151" s="9" t="s">
        <v>264</v>
      </c>
      <c r="C151" s="10" t="s">
        <v>265</v>
      </c>
      <c r="D151" s="62">
        <f t="shared" si="99"/>
        <v>0</v>
      </c>
      <c r="E151" s="9">
        <v>0</v>
      </c>
      <c r="F151" s="9">
        <v>0</v>
      </c>
      <c r="G151" s="9">
        <v>0</v>
      </c>
      <c r="H151" s="9">
        <v>0</v>
      </c>
      <c r="I151" s="9">
        <v>0</v>
      </c>
      <c r="J151" s="9">
        <v>0</v>
      </c>
      <c r="K151" s="9">
        <v>0</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s="9">
        <v>0</v>
      </c>
      <c r="AT151" s="9">
        <v>0</v>
      </c>
      <c r="AU151" s="9">
        <v>0</v>
      </c>
      <c r="AV151" s="9">
        <v>0</v>
      </c>
      <c r="AW151" s="9">
        <v>0</v>
      </c>
      <c r="AX151" s="9">
        <v>0</v>
      </c>
      <c r="AY151" s="9">
        <v>0</v>
      </c>
      <c r="AZ151" s="9">
        <v>0</v>
      </c>
      <c r="BA151" s="9">
        <v>0</v>
      </c>
      <c r="BB151" s="9">
        <v>0</v>
      </c>
      <c r="BC151" s="9">
        <v>0</v>
      </c>
      <c r="BD151" s="9">
        <v>0</v>
      </c>
      <c r="BE151" s="9">
        <v>0</v>
      </c>
      <c r="BF151" s="9">
        <v>0</v>
      </c>
      <c r="BG151" s="9">
        <v>0</v>
      </c>
      <c r="BH151" s="9">
        <v>0</v>
      </c>
      <c r="BI151" s="9">
        <v>0</v>
      </c>
      <c r="BJ151" s="9">
        <v>0</v>
      </c>
      <c r="BK151" s="9">
        <v>0</v>
      </c>
      <c r="BL151" s="9">
        <v>0</v>
      </c>
      <c r="BM151" s="9">
        <v>0</v>
      </c>
      <c r="BN151" s="9">
        <v>0</v>
      </c>
      <c r="BO151" s="9">
        <v>0</v>
      </c>
      <c r="BP151" s="9">
        <v>0</v>
      </c>
      <c r="BQ151" s="9">
        <v>0</v>
      </c>
      <c r="BR151" s="9">
        <v>0</v>
      </c>
      <c r="BS151" s="9">
        <v>0</v>
      </c>
      <c r="BT151" s="9">
        <v>0</v>
      </c>
      <c r="BU151" s="9">
        <v>0</v>
      </c>
      <c r="BV151" s="9">
        <v>0</v>
      </c>
      <c r="BW151" s="9">
        <v>0</v>
      </c>
      <c r="BX151" s="9">
        <v>0</v>
      </c>
      <c r="BY151" s="9">
        <v>0</v>
      </c>
      <c r="BZ151" s="9">
        <v>0</v>
      </c>
      <c r="CA151" s="9">
        <v>0</v>
      </c>
      <c r="CB151" s="9">
        <v>0</v>
      </c>
      <c r="CC151" s="9">
        <v>0</v>
      </c>
      <c r="CD151" s="9">
        <v>0</v>
      </c>
      <c r="CE151" s="9">
        <v>0</v>
      </c>
      <c r="CF151" s="9">
        <v>0</v>
      </c>
      <c r="CG151" s="9">
        <v>0</v>
      </c>
      <c r="CH151" s="9">
        <v>0</v>
      </c>
      <c r="CI151" s="9">
        <v>0</v>
      </c>
      <c r="CJ151" s="9">
        <v>0</v>
      </c>
      <c r="CK151" s="9">
        <v>0</v>
      </c>
      <c r="CL151" s="9">
        <v>0</v>
      </c>
      <c r="CM151" s="9">
        <v>0</v>
      </c>
      <c r="CN151" s="9">
        <v>0</v>
      </c>
      <c r="CO151" s="9">
        <v>0</v>
      </c>
      <c r="CP151" s="9">
        <v>0</v>
      </c>
      <c r="CQ151" s="9">
        <v>0</v>
      </c>
      <c r="CR151" s="9">
        <v>0</v>
      </c>
      <c r="CS151" s="9">
        <v>0</v>
      </c>
      <c r="CT151" s="9">
        <v>0</v>
      </c>
      <c r="CU151" s="9">
        <v>0</v>
      </c>
      <c r="CV151" s="9">
        <v>0</v>
      </c>
      <c r="CW151" s="9">
        <v>0</v>
      </c>
      <c r="CX151" s="9">
        <v>0</v>
      </c>
      <c r="CY151" s="9">
        <v>0</v>
      </c>
      <c r="CZ151" s="9">
        <v>0</v>
      </c>
      <c r="DA151" s="9">
        <v>0</v>
      </c>
      <c r="DB151" s="9">
        <v>0</v>
      </c>
      <c r="DC151" s="9">
        <v>0</v>
      </c>
      <c r="DD151" s="9">
        <v>0</v>
      </c>
      <c r="DE151" s="9">
        <v>0</v>
      </c>
      <c r="DF151" s="9">
        <v>0</v>
      </c>
      <c r="DG151" s="9">
        <v>0</v>
      </c>
      <c r="DH151" s="9">
        <v>0</v>
      </c>
      <c r="DI151" s="9">
        <v>0</v>
      </c>
      <c r="DJ151" s="9">
        <v>0</v>
      </c>
      <c r="DK151" s="9">
        <v>0</v>
      </c>
      <c r="DL151" s="9">
        <v>0</v>
      </c>
      <c r="DM151" s="9">
        <v>0</v>
      </c>
      <c r="DN151" s="9">
        <v>0</v>
      </c>
      <c r="DO151" s="9">
        <v>0</v>
      </c>
      <c r="DP151" s="9">
        <v>0</v>
      </c>
      <c r="DQ151" s="9">
        <v>0</v>
      </c>
      <c r="DR151" s="9">
        <v>0</v>
      </c>
      <c r="DS151" s="9">
        <v>0</v>
      </c>
      <c r="DT151" s="9">
        <v>0</v>
      </c>
      <c r="DU151" s="9">
        <v>0</v>
      </c>
      <c r="DV151" s="9">
        <v>0</v>
      </c>
      <c r="DW151" s="9">
        <v>0</v>
      </c>
      <c r="DX151" s="9">
        <v>0</v>
      </c>
      <c r="DY151" s="9">
        <v>0</v>
      </c>
      <c r="DZ151" s="9">
        <v>0</v>
      </c>
      <c r="EA151" s="9">
        <v>0</v>
      </c>
      <c r="EB151" s="9">
        <v>0</v>
      </c>
      <c r="EC151" s="9">
        <v>0</v>
      </c>
      <c r="ED151" s="9">
        <v>0</v>
      </c>
      <c r="EE151" s="9">
        <v>0</v>
      </c>
      <c r="EF151" s="9">
        <v>0</v>
      </c>
      <c r="EG151" s="9">
        <v>0</v>
      </c>
      <c r="EH151" s="9">
        <v>0</v>
      </c>
      <c r="EI151" s="9">
        <v>0</v>
      </c>
      <c r="EJ151" s="9">
        <v>0</v>
      </c>
      <c r="EK151" s="9">
        <v>0</v>
      </c>
      <c r="EL151" s="9">
        <v>0</v>
      </c>
      <c r="EM151" s="9">
        <v>0</v>
      </c>
      <c r="EN151" s="9">
        <v>0</v>
      </c>
      <c r="EO151" s="9">
        <v>0</v>
      </c>
      <c r="EP151" s="9">
        <v>0</v>
      </c>
      <c r="EQ151" s="9">
        <v>0</v>
      </c>
      <c r="ER151" s="9">
        <v>0</v>
      </c>
      <c r="ES151" s="9">
        <v>0</v>
      </c>
      <c r="ET151" s="9">
        <v>0</v>
      </c>
      <c r="EU151" s="9">
        <v>0</v>
      </c>
      <c r="EV151" s="9">
        <v>0</v>
      </c>
      <c r="EW151" s="9">
        <v>0</v>
      </c>
      <c r="EX151" s="9">
        <v>0</v>
      </c>
      <c r="EY151" s="9">
        <v>0</v>
      </c>
      <c r="EZ151" s="9">
        <v>0</v>
      </c>
      <c r="FA151" s="9">
        <v>0</v>
      </c>
      <c r="FB151" s="9">
        <v>0</v>
      </c>
      <c r="FC151" s="9">
        <v>0</v>
      </c>
      <c r="FD151" s="9">
        <v>0</v>
      </c>
      <c r="FE151" s="9">
        <v>0</v>
      </c>
      <c r="FF151" s="9">
        <v>0</v>
      </c>
      <c r="FG151" s="9">
        <v>0</v>
      </c>
      <c r="FH151" s="9">
        <v>0</v>
      </c>
      <c r="FI151" s="9">
        <v>0</v>
      </c>
      <c r="FJ151" s="9">
        <v>0</v>
      </c>
      <c r="FK151" s="9">
        <v>0</v>
      </c>
      <c r="FL151" s="9">
        <v>0</v>
      </c>
      <c r="FM151" s="10">
        <v>0</v>
      </c>
    </row>
    <row r="152" spans="1:169" x14ac:dyDescent="0.35">
      <c r="A152" s="8" t="s">
        <v>261</v>
      </c>
      <c r="B152" s="9" t="s">
        <v>266</v>
      </c>
      <c r="C152" s="10" t="s">
        <v>267</v>
      </c>
      <c r="D152" s="62">
        <f t="shared" si="99"/>
        <v>0</v>
      </c>
      <c r="E152" s="9">
        <v>0</v>
      </c>
      <c r="F152" s="9">
        <v>0</v>
      </c>
      <c r="G152" s="9">
        <v>0</v>
      </c>
      <c r="H152" s="9">
        <v>0</v>
      </c>
      <c r="I152" s="9">
        <v>0</v>
      </c>
      <c r="J152" s="9">
        <v>0</v>
      </c>
      <c r="K152" s="9">
        <v>0</v>
      </c>
      <c r="L152" s="9">
        <v>0</v>
      </c>
      <c r="M152" s="9">
        <v>0</v>
      </c>
      <c r="N152" s="9">
        <v>0</v>
      </c>
      <c r="O152" s="9">
        <v>0</v>
      </c>
      <c r="P152" s="9">
        <v>0</v>
      </c>
      <c r="Q152" s="9">
        <v>0</v>
      </c>
      <c r="R152" s="9">
        <v>0</v>
      </c>
      <c r="S152" s="9">
        <v>0</v>
      </c>
      <c r="T152" s="9">
        <v>0</v>
      </c>
      <c r="U152" s="9">
        <v>0</v>
      </c>
      <c r="V152" s="9">
        <v>0</v>
      </c>
      <c r="W152" s="9">
        <v>0</v>
      </c>
      <c r="X152" s="9">
        <v>0</v>
      </c>
      <c r="Y152" s="9">
        <v>0</v>
      </c>
      <c r="Z152" s="9">
        <v>0</v>
      </c>
      <c r="AA152" s="9">
        <v>0</v>
      </c>
      <c r="AB152" s="9">
        <v>0</v>
      </c>
      <c r="AC152" s="9">
        <v>0</v>
      </c>
      <c r="AD152" s="9">
        <v>0</v>
      </c>
      <c r="AE152" s="9">
        <v>0</v>
      </c>
      <c r="AF152" s="9">
        <v>0</v>
      </c>
      <c r="AG152" s="9">
        <v>0</v>
      </c>
      <c r="AH152" s="9">
        <v>0</v>
      </c>
      <c r="AI152" s="9">
        <v>0</v>
      </c>
      <c r="AJ152" s="9">
        <v>0</v>
      </c>
      <c r="AK152" s="9">
        <v>0</v>
      </c>
      <c r="AL152" s="9">
        <v>0</v>
      </c>
      <c r="AM152" s="9">
        <v>0</v>
      </c>
      <c r="AN152" s="9">
        <v>0</v>
      </c>
      <c r="AO152" s="9">
        <v>0</v>
      </c>
      <c r="AP152" s="9">
        <v>0</v>
      </c>
      <c r="AQ152" s="9">
        <v>0</v>
      </c>
      <c r="AR152" s="9">
        <v>0</v>
      </c>
      <c r="AS152" s="9">
        <v>0</v>
      </c>
      <c r="AT152" s="9">
        <v>0</v>
      </c>
      <c r="AU152" s="9">
        <v>0</v>
      </c>
      <c r="AV152" s="9">
        <v>0</v>
      </c>
      <c r="AW152" s="9">
        <v>0</v>
      </c>
      <c r="AX152" s="9">
        <v>0</v>
      </c>
      <c r="AY152" s="9">
        <v>0</v>
      </c>
      <c r="AZ152" s="9">
        <v>0</v>
      </c>
      <c r="BA152" s="9">
        <v>0</v>
      </c>
      <c r="BB152" s="9">
        <v>0</v>
      </c>
      <c r="BC152" s="9">
        <v>0</v>
      </c>
      <c r="BD152" s="9">
        <v>0</v>
      </c>
      <c r="BE152" s="9">
        <v>0</v>
      </c>
      <c r="BF152" s="9">
        <v>0</v>
      </c>
      <c r="BG152" s="9">
        <v>0</v>
      </c>
      <c r="BH152" s="9">
        <v>0</v>
      </c>
      <c r="BI152" s="9">
        <v>0</v>
      </c>
      <c r="BJ152" s="9">
        <v>0</v>
      </c>
      <c r="BK152" s="9">
        <v>0</v>
      </c>
      <c r="BL152" s="9">
        <v>0</v>
      </c>
      <c r="BM152" s="9">
        <v>0</v>
      </c>
      <c r="BN152" s="9">
        <v>0</v>
      </c>
      <c r="BO152" s="9">
        <v>0</v>
      </c>
      <c r="BP152" s="9">
        <v>0</v>
      </c>
      <c r="BQ152" s="9">
        <v>0</v>
      </c>
      <c r="BR152" s="9">
        <v>0</v>
      </c>
      <c r="BS152" s="9">
        <v>0</v>
      </c>
      <c r="BT152" s="9">
        <v>0</v>
      </c>
      <c r="BU152" s="9">
        <v>0</v>
      </c>
      <c r="BV152" s="9">
        <v>0</v>
      </c>
      <c r="BW152" s="9">
        <v>0</v>
      </c>
      <c r="BX152" s="9">
        <v>0</v>
      </c>
      <c r="BY152" s="9">
        <v>0</v>
      </c>
      <c r="BZ152" s="9">
        <v>0</v>
      </c>
      <c r="CA152" s="9">
        <v>0</v>
      </c>
      <c r="CB152" s="9">
        <v>0</v>
      </c>
      <c r="CC152" s="9">
        <v>0</v>
      </c>
      <c r="CD152" s="9">
        <v>0</v>
      </c>
      <c r="CE152" s="9">
        <v>0</v>
      </c>
      <c r="CF152" s="9">
        <v>0</v>
      </c>
      <c r="CG152" s="9">
        <v>0</v>
      </c>
      <c r="CH152" s="9">
        <v>0</v>
      </c>
      <c r="CI152" s="9">
        <v>0</v>
      </c>
      <c r="CJ152" s="9">
        <v>0</v>
      </c>
      <c r="CK152" s="9">
        <v>0</v>
      </c>
      <c r="CL152" s="9">
        <v>0</v>
      </c>
      <c r="CM152" s="9">
        <v>0</v>
      </c>
      <c r="CN152" s="9">
        <v>0</v>
      </c>
      <c r="CO152" s="9">
        <v>0</v>
      </c>
      <c r="CP152" s="9">
        <v>0</v>
      </c>
      <c r="CQ152" s="9">
        <v>0</v>
      </c>
      <c r="CR152" s="9">
        <v>0</v>
      </c>
      <c r="CS152" s="9">
        <v>0</v>
      </c>
      <c r="CT152" s="9">
        <v>0</v>
      </c>
      <c r="CU152" s="9">
        <v>0</v>
      </c>
      <c r="CV152" s="9">
        <v>0</v>
      </c>
      <c r="CW152" s="9">
        <v>0</v>
      </c>
      <c r="CX152" s="9">
        <v>0</v>
      </c>
      <c r="CY152" s="9">
        <v>0</v>
      </c>
      <c r="CZ152" s="9">
        <v>0</v>
      </c>
      <c r="DA152" s="9">
        <v>0</v>
      </c>
      <c r="DB152" s="9">
        <v>0</v>
      </c>
      <c r="DC152" s="9">
        <v>0</v>
      </c>
      <c r="DD152" s="9">
        <v>0</v>
      </c>
      <c r="DE152" s="9">
        <v>0</v>
      </c>
      <c r="DF152" s="9">
        <v>0</v>
      </c>
      <c r="DG152" s="9">
        <v>0</v>
      </c>
      <c r="DH152" s="9">
        <v>0</v>
      </c>
      <c r="DI152" s="9">
        <v>0</v>
      </c>
      <c r="DJ152" s="9">
        <v>0</v>
      </c>
      <c r="DK152" s="9">
        <v>0</v>
      </c>
      <c r="DL152" s="9">
        <v>0</v>
      </c>
      <c r="DM152" s="9">
        <v>0</v>
      </c>
      <c r="DN152" s="9">
        <v>0</v>
      </c>
      <c r="DO152" s="9">
        <v>0</v>
      </c>
      <c r="DP152" s="9">
        <v>0</v>
      </c>
      <c r="DQ152" s="9">
        <v>0</v>
      </c>
      <c r="DR152" s="9">
        <v>0</v>
      </c>
      <c r="DS152" s="9">
        <v>0</v>
      </c>
      <c r="DT152" s="9">
        <v>0</v>
      </c>
      <c r="DU152" s="9">
        <v>0</v>
      </c>
      <c r="DV152" s="9">
        <v>0</v>
      </c>
      <c r="DW152" s="9">
        <v>0</v>
      </c>
      <c r="DX152" s="9">
        <v>0</v>
      </c>
      <c r="DY152" s="9">
        <v>0</v>
      </c>
      <c r="DZ152" s="9">
        <v>0</v>
      </c>
      <c r="EA152" s="9">
        <v>0</v>
      </c>
      <c r="EB152" s="9">
        <v>0</v>
      </c>
      <c r="EC152" s="9">
        <v>0</v>
      </c>
      <c r="ED152" s="9">
        <v>0</v>
      </c>
      <c r="EE152" s="9">
        <v>0</v>
      </c>
      <c r="EF152" s="9">
        <v>0</v>
      </c>
      <c r="EG152" s="9">
        <v>0</v>
      </c>
      <c r="EH152" s="9">
        <v>0</v>
      </c>
      <c r="EI152" s="9">
        <v>0</v>
      </c>
      <c r="EJ152" s="9">
        <v>0</v>
      </c>
      <c r="EK152" s="9">
        <v>0</v>
      </c>
      <c r="EL152" s="9">
        <v>0</v>
      </c>
      <c r="EM152" s="9">
        <v>0</v>
      </c>
      <c r="EN152" s="9">
        <v>0</v>
      </c>
      <c r="EO152" s="9">
        <v>0</v>
      </c>
      <c r="EP152" s="9">
        <v>0</v>
      </c>
      <c r="EQ152" s="9">
        <v>0</v>
      </c>
      <c r="ER152" s="9">
        <v>0</v>
      </c>
      <c r="ES152" s="9">
        <v>0</v>
      </c>
      <c r="ET152" s="9">
        <v>0</v>
      </c>
      <c r="EU152" s="9">
        <v>0</v>
      </c>
      <c r="EV152" s="9">
        <v>0</v>
      </c>
      <c r="EW152" s="9">
        <v>0</v>
      </c>
      <c r="EX152" s="9">
        <v>0</v>
      </c>
      <c r="EY152" s="9">
        <v>0</v>
      </c>
      <c r="EZ152" s="9">
        <v>0</v>
      </c>
      <c r="FA152" s="9">
        <v>0</v>
      </c>
      <c r="FB152" s="9">
        <v>0</v>
      </c>
      <c r="FC152" s="9">
        <v>0</v>
      </c>
      <c r="FD152" s="9">
        <v>0</v>
      </c>
      <c r="FE152" s="9">
        <v>0</v>
      </c>
      <c r="FF152" s="9">
        <v>0</v>
      </c>
      <c r="FG152" s="9">
        <v>0</v>
      </c>
      <c r="FH152" s="9">
        <v>0</v>
      </c>
      <c r="FI152" s="9">
        <v>0</v>
      </c>
      <c r="FJ152" s="9">
        <v>0</v>
      </c>
      <c r="FK152" s="9">
        <v>0</v>
      </c>
      <c r="FL152" s="9">
        <v>0</v>
      </c>
      <c r="FM152" s="10">
        <v>0</v>
      </c>
    </row>
    <row r="153" spans="1:169" x14ac:dyDescent="0.35">
      <c r="A153" s="8" t="s">
        <v>261</v>
      </c>
      <c r="B153" s="9" t="s">
        <v>268</v>
      </c>
      <c r="C153" s="10" t="s">
        <v>269</v>
      </c>
      <c r="D153" s="62">
        <f t="shared" si="99"/>
        <v>9</v>
      </c>
      <c r="E153" s="9">
        <v>0</v>
      </c>
      <c r="F153" s="9">
        <v>0</v>
      </c>
      <c r="G153" s="9">
        <v>0</v>
      </c>
      <c r="H153" s="9">
        <v>0</v>
      </c>
      <c r="I153" s="9">
        <v>0</v>
      </c>
      <c r="J153" s="9">
        <v>0</v>
      </c>
      <c r="K153" s="9">
        <v>0</v>
      </c>
      <c r="L153" s="9">
        <v>0</v>
      </c>
      <c r="M153" s="9">
        <v>0</v>
      </c>
      <c r="N153" s="9">
        <v>0</v>
      </c>
      <c r="O153" s="9">
        <v>0</v>
      </c>
      <c r="P153" s="9">
        <v>0</v>
      </c>
      <c r="Q153" s="9">
        <v>0</v>
      </c>
      <c r="R153" s="9">
        <v>0</v>
      </c>
      <c r="S153" s="9">
        <v>0</v>
      </c>
      <c r="T153" s="9">
        <v>0</v>
      </c>
      <c r="U153" s="9">
        <v>0</v>
      </c>
      <c r="V153" s="9">
        <v>0</v>
      </c>
      <c r="W153" s="9">
        <v>0</v>
      </c>
      <c r="X153" s="9">
        <v>0</v>
      </c>
      <c r="Y153" s="9">
        <v>0</v>
      </c>
      <c r="Z153" s="9">
        <v>0</v>
      </c>
      <c r="AA153" s="9">
        <v>0</v>
      </c>
      <c r="AB153" s="9">
        <v>0</v>
      </c>
      <c r="AC153" s="9">
        <v>0</v>
      </c>
      <c r="AD153" s="9">
        <v>0</v>
      </c>
      <c r="AE153" s="9">
        <v>0</v>
      </c>
      <c r="AF153" s="9">
        <v>0</v>
      </c>
      <c r="AG153" s="9">
        <v>0</v>
      </c>
      <c r="AH153" s="9">
        <v>0</v>
      </c>
      <c r="AI153" s="9">
        <v>0</v>
      </c>
      <c r="AJ153" s="9">
        <v>0</v>
      </c>
      <c r="AK153" s="9">
        <v>0</v>
      </c>
      <c r="AL153" s="9">
        <v>0</v>
      </c>
      <c r="AM153" s="9">
        <v>0</v>
      </c>
      <c r="AN153" s="9">
        <v>0</v>
      </c>
      <c r="AO153" s="9">
        <v>7</v>
      </c>
      <c r="AP153" s="9">
        <v>7</v>
      </c>
      <c r="AQ153" s="9">
        <v>7</v>
      </c>
      <c r="AR153" s="9">
        <v>2</v>
      </c>
      <c r="AS153" s="9">
        <v>4</v>
      </c>
      <c r="AT153" s="9">
        <v>3</v>
      </c>
      <c r="AU153" s="9">
        <v>3</v>
      </c>
      <c r="AV153" s="9">
        <v>3</v>
      </c>
      <c r="AW153" s="9">
        <v>3</v>
      </c>
      <c r="AX153" s="9">
        <v>5</v>
      </c>
      <c r="AY153" s="9">
        <v>9</v>
      </c>
      <c r="AZ153" s="9">
        <v>9</v>
      </c>
      <c r="BA153" s="9">
        <v>7</v>
      </c>
      <c r="BB153" s="9">
        <v>4</v>
      </c>
      <c r="BC153" s="9">
        <v>4</v>
      </c>
      <c r="BD153" s="9">
        <v>6</v>
      </c>
      <c r="BE153" s="9">
        <v>4</v>
      </c>
      <c r="BF153" s="9">
        <v>4</v>
      </c>
      <c r="BG153" s="9">
        <v>1</v>
      </c>
      <c r="BH153" s="9">
        <v>2</v>
      </c>
      <c r="BI153" s="9">
        <v>3</v>
      </c>
      <c r="BJ153" s="9">
        <v>1</v>
      </c>
      <c r="BK153" s="9">
        <v>2</v>
      </c>
      <c r="BL153" s="9">
        <v>0</v>
      </c>
      <c r="BM153" s="9">
        <v>0</v>
      </c>
      <c r="BN153" s="9">
        <v>0</v>
      </c>
      <c r="BO153" s="9">
        <v>1</v>
      </c>
      <c r="BP153" s="9">
        <v>0</v>
      </c>
      <c r="BQ153" s="9">
        <v>0</v>
      </c>
      <c r="BR153" s="9">
        <v>0</v>
      </c>
      <c r="BS153" s="9">
        <v>0</v>
      </c>
      <c r="BT153" s="9">
        <v>1</v>
      </c>
      <c r="BU153" s="9">
        <v>2</v>
      </c>
      <c r="BV153" s="9">
        <v>2</v>
      </c>
      <c r="BW153" s="9">
        <v>1</v>
      </c>
      <c r="BX153" s="9">
        <v>1</v>
      </c>
      <c r="BY153" s="9">
        <v>1</v>
      </c>
      <c r="BZ153" s="9">
        <v>1</v>
      </c>
      <c r="CA153" s="9">
        <v>1</v>
      </c>
      <c r="CB153" s="9">
        <v>1</v>
      </c>
      <c r="CC153" s="9">
        <v>1</v>
      </c>
      <c r="CD153" s="9">
        <v>1</v>
      </c>
      <c r="CE153" s="9">
        <v>1</v>
      </c>
      <c r="CF153" s="9">
        <v>1</v>
      </c>
      <c r="CG153" s="9">
        <v>1</v>
      </c>
      <c r="CH153" s="9">
        <v>1</v>
      </c>
      <c r="CI153" s="9">
        <v>1</v>
      </c>
      <c r="CJ153" s="9">
        <v>1</v>
      </c>
      <c r="CK153" s="9">
        <v>1</v>
      </c>
      <c r="CL153" s="9">
        <v>1</v>
      </c>
      <c r="CM153" s="9">
        <v>1</v>
      </c>
      <c r="CN153" s="9">
        <v>2</v>
      </c>
      <c r="CO153" s="9">
        <v>2</v>
      </c>
      <c r="CP153" s="9">
        <v>2</v>
      </c>
      <c r="CQ153" s="9">
        <v>1</v>
      </c>
      <c r="CR153" s="9">
        <v>1</v>
      </c>
      <c r="CS153" s="9">
        <v>1</v>
      </c>
      <c r="CT153" s="9">
        <v>2</v>
      </c>
      <c r="CU153" s="9">
        <v>2</v>
      </c>
      <c r="CV153" s="9">
        <v>2</v>
      </c>
      <c r="CW153" s="9">
        <v>2</v>
      </c>
      <c r="CX153" s="9">
        <v>2</v>
      </c>
      <c r="CY153" s="9">
        <v>1</v>
      </c>
      <c r="CZ153" s="9">
        <v>1</v>
      </c>
      <c r="DA153" s="9">
        <v>1</v>
      </c>
      <c r="DB153" s="9">
        <v>1</v>
      </c>
      <c r="DC153" s="9">
        <v>1</v>
      </c>
      <c r="DD153" s="9">
        <v>1</v>
      </c>
      <c r="DE153" s="9">
        <v>1</v>
      </c>
      <c r="DF153" s="9">
        <v>1</v>
      </c>
      <c r="DG153" s="9">
        <v>1</v>
      </c>
      <c r="DH153" s="9">
        <v>0</v>
      </c>
      <c r="DI153" s="9">
        <v>0</v>
      </c>
      <c r="DJ153" s="9">
        <v>0</v>
      </c>
      <c r="DK153" s="9">
        <v>0</v>
      </c>
      <c r="DL153" s="9">
        <v>0</v>
      </c>
      <c r="DM153" s="9">
        <v>0</v>
      </c>
      <c r="DN153" s="9">
        <v>0</v>
      </c>
      <c r="DO153" s="9">
        <v>0</v>
      </c>
      <c r="DP153" s="9">
        <v>0</v>
      </c>
      <c r="DQ153" s="9">
        <v>0</v>
      </c>
      <c r="DR153" s="9">
        <v>0</v>
      </c>
      <c r="DS153" s="9">
        <v>0</v>
      </c>
      <c r="DT153" s="9">
        <v>0</v>
      </c>
      <c r="DU153" s="9">
        <v>0</v>
      </c>
      <c r="DV153" s="9">
        <v>0</v>
      </c>
      <c r="DW153" s="9">
        <v>0</v>
      </c>
      <c r="DX153" s="9">
        <v>0</v>
      </c>
      <c r="DY153" s="9">
        <v>0</v>
      </c>
      <c r="DZ153" s="9">
        <v>0</v>
      </c>
      <c r="EA153" s="9">
        <v>0</v>
      </c>
      <c r="EB153" s="9">
        <v>0</v>
      </c>
      <c r="EC153" s="9">
        <v>0</v>
      </c>
      <c r="ED153" s="9">
        <v>0</v>
      </c>
      <c r="EE153" s="9">
        <v>0</v>
      </c>
      <c r="EF153" s="9">
        <v>0</v>
      </c>
      <c r="EG153" s="9">
        <v>0</v>
      </c>
      <c r="EH153" s="9">
        <v>0</v>
      </c>
      <c r="EI153" s="9">
        <v>0</v>
      </c>
      <c r="EJ153" s="9">
        <v>0</v>
      </c>
      <c r="EK153" s="9">
        <v>0</v>
      </c>
      <c r="EL153" s="9">
        <v>0</v>
      </c>
      <c r="EM153" s="9">
        <v>0</v>
      </c>
      <c r="EN153" s="9">
        <v>0</v>
      </c>
      <c r="EO153" s="9">
        <v>0</v>
      </c>
      <c r="EP153" s="9">
        <v>0</v>
      </c>
      <c r="EQ153" s="9">
        <v>0</v>
      </c>
      <c r="ER153" s="9">
        <v>0</v>
      </c>
      <c r="ES153" s="9">
        <v>0</v>
      </c>
      <c r="ET153" s="9">
        <v>0</v>
      </c>
      <c r="EU153" s="9">
        <v>0</v>
      </c>
      <c r="EV153" s="9">
        <v>0</v>
      </c>
      <c r="EW153" s="9">
        <v>0</v>
      </c>
      <c r="EX153" s="9">
        <v>0</v>
      </c>
      <c r="EY153" s="9">
        <v>0</v>
      </c>
      <c r="EZ153" s="9">
        <v>0</v>
      </c>
      <c r="FA153" s="9">
        <v>0</v>
      </c>
      <c r="FB153" s="9">
        <v>0</v>
      </c>
      <c r="FC153" s="9">
        <v>0</v>
      </c>
      <c r="FD153" s="9">
        <v>0</v>
      </c>
      <c r="FE153" s="9">
        <v>0</v>
      </c>
      <c r="FF153" s="9">
        <v>0</v>
      </c>
      <c r="FG153" s="9">
        <v>0</v>
      </c>
      <c r="FH153" s="9">
        <v>0</v>
      </c>
      <c r="FI153" s="9">
        <v>0</v>
      </c>
      <c r="FJ153" s="9">
        <v>0</v>
      </c>
      <c r="FK153" s="9">
        <v>0</v>
      </c>
      <c r="FL153" s="9">
        <v>0</v>
      </c>
      <c r="FM153" s="10">
        <v>0</v>
      </c>
    </row>
    <row r="154" spans="1:169" x14ac:dyDescent="0.35">
      <c r="A154" s="8" t="s">
        <v>261</v>
      </c>
      <c r="B154" s="9" t="s">
        <v>13</v>
      </c>
      <c r="C154" s="10" t="s">
        <v>14</v>
      </c>
      <c r="D154" s="62">
        <f t="shared" si="99"/>
        <v>11</v>
      </c>
      <c r="E154" s="9">
        <v>0</v>
      </c>
      <c r="F154" s="9">
        <v>0</v>
      </c>
      <c r="G154" s="9">
        <v>0</v>
      </c>
      <c r="H154" s="9">
        <v>0</v>
      </c>
      <c r="I154" s="9">
        <v>0</v>
      </c>
      <c r="J154" s="9">
        <v>0</v>
      </c>
      <c r="K154" s="9">
        <v>0</v>
      </c>
      <c r="L154" s="9">
        <v>0</v>
      </c>
      <c r="M154" s="9">
        <v>0</v>
      </c>
      <c r="N154" s="9">
        <v>0</v>
      </c>
      <c r="O154" s="9">
        <v>0</v>
      </c>
      <c r="P154" s="9">
        <v>0</v>
      </c>
      <c r="Q154" s="9">
        <v>0</v>
      </c>
      <c r="R154" s="9">
        <v>0</v>
      </c>
      <c r="S154" s="9">
        <v>0</v>
      </c>
      <c r="T154" s="9">
        <v>0</v>
      </c>
      <c r="U154" s="9">
        <v>0</v>
      </c>
      <c r="V154" s="9">
        <v>0</v>
      </c>
      <c r="W154" s="9">
        <v>0</v>
      </c>
      <c r="X154" s="9">
        <v>0</v>
      </c>
      <c r="Y154" s="9">
        <v>0</v>
      </c>
      <c r="Z154" s="9">
        <v>0</v>
      </c>
      <c r="AA154" s="9">
        <v>0</v>
      </c>
      <c r="AB154" s="9">
        <v>0</v>
      </c>
      <c r="AC154" s="9">
        <v>0</v>
      </c>
      <c r="AD154" s="9">
        <v>0</v>
      </c>
      <c r="AE154" s="9">
        <v>0</v>
      </c>
      <c r="AF154" s="9">
        <v>0</v>
      </c>
      <c r="AG154" s="9">
        <v>0</v>
      </c>
      <c r="AH154" s="9">
        <v>0</v>
      </c>
      <c r="AI154" s="9">
        <v>0</v>
      </c>
      <c r="AJ154" s="9">
        <v>0</v>
      </c>
      <c r="AK154" s="9">
        <v>0</v>
      </c>
      <c r="AL154" s="9">
        <v>0</v>
      </c>
      <c r="AM154" s="9">
        <v>0</v>
      </c>
      <c r="AN154" s="9">
        <v>0</v>
      </c>
      <c r="AO154" s="9">
        <v>0</v>
      </c>
      <c r="AP154" s="9">
        <v>0</v>
      </c>
      <c r="AQ154" s="9">
        <v>0</v>
      </c>
      <c r="AR154" s="9">
        <v>0</v>
      </c>
      <c r="AS154" s="9">
        <v>0</v>
      </c>
      <c r="AT154" s="9">
        <v>0</v>
      </c>
      <c r="AU154" s="9">
        <v>0</v>
      </c>
      <c r="AV154" s="9">
        <v>0</v>
      </c>
      <c r="AW154" s="9">
        <v>0</v>
      </c>
      <c r="AX154" s="9">
        <v>0</v>
      </c>
      <c r="AY154" s="9">
        <v>0</v>
      </c>
      <c r="AZ154" s="9">
        <v>0</v>
      </c>
      <c r="BA154" s="9">
        <v>0</v>
      </c>
      <c r="BB154" s="9">
        <v>0</v>
      </c>
      <c r="BC154" s="9">
        <v>0</v>
      </c>
      <c r="BD154" s="9">
        <v>0</v>
      </c>
      <c r="BE154" s="9">
        <v>0</v>
      </c>
      <c r="BF154" s="9">
        <v>0</v>
      </c>
      <c r="BG154" s="9">
        <v>0</v>
      </c>
      <c r="BH154" s="9">
        <v>0</v>
      </c>
      <c r="BI154" s="9">
        <v>10</v>
      </c>
      <c r="BJ154" s="9">
        <v>10</v>
      </c>
      <c r="BK154" s="9">
        <v>10</v>
      </c>
      <c r="BL154" s="9">
        <v>10</v>
      </c>
      <c r="BM154" s="9">
        <v>11</v>
      </c>
      <c r="BN154" s="9">
        <v>11</v>
      </c>
      <c r="BO154" s="9">
        <v>0</v>
      </c>
      <c r="BP154" s="9">
        <v>11</v>
      </c>
      <c r="BQ154" s="9">
        <v>11</v>
      </c>
      <c r="BR154" s="9">
        <v>11</v>
      </c>
      <c r="BS154" s="9">
        <v>11</v>
      </c>
      <c r="BT154" s="9">
        <v>0</v>
      </c>
      <c r="BU154" s="9">
        <v>0</v>
      </c>
      <c r="BV154" s="9">
        <v>0</v>
      </c>
      <c r="BW154" s="9">
        <v>0</v>
      </c>
      <c r="BX154" s="9">
        <v>0</v>
      </c>
      <c r="BY154" s="9">
        <v>0</v>
      </c>
      <c r="BZ154" s="9">
        <v>0</v>
      </c>
      <c r="CA154" s="9">
        <v>0</v>
      </c>
      <c r="CB154" s="9">
        <v>0</v>
      </c>
      <c r="CC154" s="9">
        <v>0</v>
      </c>
      <c r="CD154" s="9">
        <v>0</v>
      </c>
      <c r="CE154" s="9">
        <v>1</v>
      </c>
      <c r="CF154" s="9">
        <v>1</v>
      </c>
      <c r="CG154" s="9">
        <v>1</v>
      </c>
      <c r="CH154" s="9">
        <v>0</v>
      </c>
      <c r="CI154" s="9">
        <v>0</v>
      </c>
      <c r="CJ154" s="9">
        <v>0</v>
      </c>
      <c r="CK154" s="9">
        <v>0</v>
      </c>
      <c r="CL154" s="9">
        <v>0</v>
      </c>
      <c r="CM154" s="9">
        <v>0</v>
      </c>
      <c r="CN154" s="9">
        <v>0</v>
      </c>
      <c r="CO154" s="9">
        <v>0</v>
      </c>
      <c r="CP154" s="9">
        <v>0</v>
      </c>
      <c r="CQ154" s="9">
        <v>0</v>
      </c>
      <c r="CR154" s="9">
        <v>0</v>
      </c>
      <c r="CS154" s="9">
        <v>0</v>
      </c>
      <c r="CT154" s="9">
        <v>0</v>
      </c>
      <c r="CU154" s="9">
        <v>0</v>
      </c>
      <c r="CV154" s="9">
        <v>0</v>
      </c>
      <c r="CW154" s="9">
        <v>0</v>
      </c>
      <c r="CX154" s="9">
        <v>0</v>
      </c>
      <c r="CY154" s="9">
        <v>0</v>
      </c>
      <c r="CZ154" s="9">
        <v>0</v>
      </c>
      <c r="DA154" s="9">
        <v>0</v>
      </c>
      <c r="DB154" s="9">
        <v>0</v>
      </c>
      <c r="DC154" s="9">
        <v>0</v>
      </c>
      <c r="DD154" s="9">
        <v>0</v>
      </c>
      <c r="DE154" s="9">
        <v>0</v>
      </c>
      <c r="DF154" s="9">
        <v>0</v>
      </c>
      <c r="DG154" s="9">
        <v>0</v>
      </c>
      <c r="DH154" s="9">
        <v>0</v>
      </c>
      <c r="DI154" s="9">
        <v>0</v>
      </c>
      <c r="DJ154" s="9">
        <v>0</v>
      </c>
      <c r="DK154" s="9">
        <v>0</v>
      </c>
      <c r="DL154" s="9">
        <v>0</v>
      </c>
      <c r="DM154" s="9">
        <v>0</v>
      </c>
      <c r="DN154" s="9">
        <v>0</v>
      </c>
      <c r="DO154" s="9">
        <v>0</v>
      </c>
      <c r="DP154" s="9">
        <v>0</v>
      </c>
      <c r="DQ154" s="9">
        <v>0</v>
      </c>
      <c r="DR154" s="9">
        <v>0</v>
      </c>
      <c r="DS154" s="9">
        <v>0</v>
      </c>
      <c r="DT154" s="9">
        <v>0</v>
      </c>
      <c r="DU154" s="9">
        <v>0</v>
      </c>
      <c r="DV154" s="9">
        <v>0</v>
      </c>
      <c r="DW154" s="9">
        <v>0</v>
      </c>
      <c r="DX154" s="9">
        <v>0</v>
      </c>
      <c r="DY154" s="9">
        <v>0</v>
      </c>
      <c r="DZ154" s="9">
        <v>0</v>
      </c>
      <c r="EA154" s="9">
        <v>0</v>
      </c>
      <c r="EB154" s="9">
        <v>0</v>
      </c>
      <c r="EC154" s="9">
        <v>0</v>
      </c>
      <c r="ED154" s="9">
        <v>0</v>
      </c>
      <c r="EE154" s="9">
        <v>0</v>
      </c>
      <c r="EF154" s="9">
        <v>0</v>
      </c>
      <c r="EG154" s="9">
        <v>0</v>
      </c>
      <c r="EH154" s="9">
        <v>0</v>
      </c>
      <c r="EI154" s="9">
        <v>0</v>
      </c>
      <c r="EJ154" s="9">
        <v>0</v>
      </c>
      <c r="EK154" s="9">
        <v>0</v>
      </c>
      <c r="EL154" s="9">
        <v>0</v>
      </c>
      <c r="EM154" s="9">
        <v>0</v>
      </c>
      <c r="EN154" s="9">
        <v>0</v>
      </c>
      <c r="EO154" s="9">
        <v>0</v>
      </c>
      <c r="EP154" s="9">
        <v>0</v>
      </c>
      <c r="EQ154" s="9">
        <v>0</v>
      </c>
      <c r="ER154" s="9">
        <v>0</v>
      </c>
      <c r="ES154" s="9">
        <v>0</v>
      </c>
      <c r="ET154" s="9">
        <v>0</v>
      </c>
      <c r="EU154" s="9">
        <v>0</v>
      </c>
      <c r="EV154" s="9">
        <v>0</v>
      </c>
      <c r="EW154" s="9">
        <v>0</v>
      </c>
      <c r="EX154" s="9">
        <v>0</v>
      </c>
      <c r="EY154" s="9">
        <v>0</v>
      </c>
      <c r="EZ154" s="9">
        <v>0</v>
      </c>
      <c r="FA154" s="9">
        <v>0</v>
      </c>
      <c r="FB154" s="9">
        <v>0</v>
      </c>
      <c r="FC154" s="9">
        <v>0</v>
      </c>
      <c r="FD154" s="9">
        <v>0</v>
      </c>
      <c r="FE154" s="9">
        <v>0</v>
      </c>
      <c r="FF154" s="9">
        <v>0</v>
      </c>
      <c r="FG154" s="9">
        <v>0</v>
      </c>
      <c r="FH154" s="9">
        <v>0</v>
      </c>
      <c r="FI154" s="9">
        <v>0</v>
      </c>
      <c r="FJ154" s="9">
        <v>0</v>
      </c>
      <c r="FK154" s="9">
        <v>0</v>
      </c>
      <c r="FL154" s="9">
        <v>0</v>
      </c>
      <c r="FM154" s="10">
        <v>0</v>
      </c>
    </row>
    <row r="155" spans="1:169" x14ac:dyDescent="0.35">
      <c r="A155" s="8" t="s">
        <v>261</v>
      </c>
      <c r="B155" s="9" t="s">
        <v>270</v>
      </c>
      <c r="C155" s="10" t="s">
        <v>271</v>
      </c>
      <c r="D155" s="62">
        <f t="shared" si="99"/>
        <v>40</v>
      </c>
      <c r="E155" s="9">
        <v>0</v>
      </c>
      <c r="F155" s="9">
        <v>0</v>
      </c>
      <c r="G155" s="9">
        <v>0</v>
      </c>
      <c r="H155" s="9">
        <v>0</v>
      </c>
      <c r="I155" s="9">
        <v>0</v>
      </c>
      <c r="J155" s="9">
        <v>0</v>
      </c>
      <c r="K155" s="9">
        <v>0</v>
      </c>
      <c r="L155" s="9">
        <v>0</v>
      </c>
      <c r="M155" s="9">
        <v>0</v>
      </c>
      <c r="N155" s="9">
        <v>0</v>
      </c>
      <c r="O155" s="9">
        <v>0</v>
      </c>
      <c r="P155" s="9">
        <v>0</v>
      </c>
      <c r="Q155" s="9">
        <v>0</v>
      </c>
      <c r="R155" s="9">
        <v>4</v>
      </c>
      <c r="S155" s="9">
        <v>5</v>
      </c>
      <c r="T155" s="9">
        <v>6</v>
      </c>
      <c r="U155" s="9">
        <v>6</v>
      </c>
      <c r="V155" s="9">
        <v>6</v>
      </c>
      <c r="W155" s="9">
        <v>7</v>
      </c>
      <c r="X155" s="9">
        <v>7</v>
      </c>
      <c r="Y155" s="9">
        <v>7</v>
      </c>
      <c r="Z155" s="9">
        <v>12</v>
      </c>
      <c r="AA155" s="9">
        <v>13</v>
      </c>
      <c r="AB155" s="9">
        <v>14</v>
      </c>
      <c r="AC155" s="9">
        <v>14</v>
      </c>
      <c r="AD155" s="9">
        <v>15</v>
      </c>
      <c r="AE155" s="9">
        <v>14</v>
      </c>
      <c r="AF155" s="9">
        <v>14</v>
      </c>
      <c r="AG155" s="9">
        <v>17</v>
      </c>
      <c r="AH155" s="9">
        <v>17</v>
      </c>
      <c r="AI155" s="9">
        <v>17</v>
      </c>
      <c r="AJ155" s="9">
        <v>17</v>
      </c>
      <c r="AK155" s="9">
        <v>18</v>
      </c>
      <c r="AL155" s="9">
        <v>17</v>
      </c>
      <c r="AM155" s="9">
        <v>19</v>
      </c>
      <c r="AN155" s="9">
        <v>0</v>
      </c>
      <c r="AO155" s="9">
        <v>21</v>
      </c>
      <c r="AP155" s="9">
        <v>19</v>
      </c>
      <c r="AQ155" s="9">
        <v>19</v>
      </c>
      <c r="AR155" s="9">
        <v>37</v>
      </c>
      <c r="AS155" s="9">
        <v>39</v>
      </c>
      <c r="AT155" s="9">
        <v>40</v>
      </c>
      <c r="AU155" s="9">
        <v>39</v>
      </c>
      <c r="AV155" s="9">
        <v>37</v>
      </c>
      <c r="AW155" s="9">
        <v>38</v>
      </c>
      <c r="AX155" s="9">
        <v>37</v>
      </c>
      <c r="AY155" s="9">
        <v>38</v>
      </c>
      <c r="AZ155" s="9">
        <v>37</v>
      </c>
      <c r="BA155" s="9">
        <v>37</v>
      </c>
      <c r="BB155" s="9">
        <v>37</v>
      </c>
      <c r="BC155" s="9">
        <v>37</v>
      </c>
      <c r="BD155" s="9">
        <v>37</v>
      </c>
      <c r="BE155" s="9">
        <v>37</v>
      </c>
      <c r="BF155" s="9">
        <v>37</v>
      </c>
      <c r="BG155" s="9">
        <v>37</v>
      </c>
      <c r="BH155" s="9">
        <v>37</v>
      </c>
      <c r="BI155" s="9">
        <v>37</v>
      </c>
      <c r="BJ155" s="9">
        <v>35</v>
      </c>
      <c r="BK155" s="9">
        <v>32</v>
      </c>
      <c r="BL155" s="9">
        <v>33</v>
      </c>
      <c r="BM155" s="9">
        <v>33</v>
      </c>
      <c r="BN155" s="9">
        <v>33</v>
      </c>
      <c r="BO155" s="9">
        <v>33</v>
      </c>
      <c r="BP155" s="9">
        <v>33</v>
      </c>
      <c r="BQ155" s="9">
        <v>33</v>
      </c>
      <c r="BR155" s="9">
        <v>24</v>
      </c>
      <c r="BS155" s="9">
        <v>27</v>
      </c>
      <c r="BT155" s="9">
        <v>26</v>
      </c>
      <c r="BU155" s="9">
        <v>28</v>
      </c>
      <c r="BV155" s="9">
        <v>28</v>
      </c>
      <c r="BW155" s="9">
        <v>28</v>
      </c>
      <c r="BX155" s="9">
        <v>28</v>
      </c>
      <c r="BY155" s="9">
        <v>28</v>
      </c>
      <c r="BZ155" s="9">
        <v>28</v>
      </c>
      <c r="CA155" s="9">
        <v>28</v>
      </c>
      <c r="CB155" s="9">
        <v>28</v>
      </c>
      <c r="CC155" s="9">
        <v>28</v>
      </c>
      <c r="CD155" s="9">
        <v>0</v>
      </c>
      <c r="CE155" s="9">
        <v>19</v>
      </c>
      <c r="CF155" s="9">
        <v>19</v>
      </c>
      <c r="CG155" s="9">
        <v>18</v>
      </c>
      <c r="CH155" s="9">
        <v>18</v>
      </c>
      <c r="CI155" s="9">
        <v>18</v>
      </c>
      <c r="CJ155" s="9">
        <v>18</v>
      </c>
      <c r="CK155" s="9">
        <v>23</v>
      </c>
      <c r="CL155" s="9">
        <v>21</v>
      </c>
      <c r="CM155" s="9">
        <v>19</v>
      </c>
      <c r="CN155" s="9">
        <v>17</v>
      </c>
      <c r="CO155" s="9">
        <v>16</v>
      </c>
      <c r="CP155" s="9">
        <v>21</v>
      </c>
      <c r="CQ155" s="9">
        <v>20</v>
      </c>
      <c r="CR155" s="9">
        <v>20</v>
      </c>
      <c r="CS155" s="9">
        <v>19</v>
      </c>
      <c r="CT155" s="9">
        <v>18</v>
      </c>
      <c r="CU155" s="9">
        <v>18</v>
      </c>
      <c r="CV155" s="9">
        <v>19</v>
      </c>
      <c r="CW155" s="9">
        <v>19</v>
      </c>
      <c r="CX155" s="9">
        <v>17</v>
      </c>
      <c r="CY155" s="9">
        <v>20</v>
      </c>
      <c r="CZ155" s="9">
        <v>18</v>
      </c>
      <c r="DA155" s="9">
        <v>17</v>
      </c>
      <c r="DB155" s="9">
        <v>16</v>
      </c>
      <c r="DC155" s="9">
        <v>15</v>
      </c>
      <c r="DD155" s="9">
        <v>13</v>
      </c>
      <c r="DE155" s="9">
        <v>13</v>
      </c>
      <c r="DF155" s="9">
        <v>12</v>
      </c>
      <c r="DG155" s="9">
        <v>12</v>
      </c>
      <c r="DH155" s="9">
        <v>0</v>
      </c>
      <c r="DI155" s="9">
        <v>11</v>
      </c>
      <c r="DJ155" s="9">
        <v>10</v>
      </c>
      <c r="DK155" s="9">
        <v>9</v>
      </c>
      <c r="DL155" s="9">
        <v>10</v>
      </c>
      <c r="DM155" s="9">
        <v>7</v>
      </c>
      <c r="DN155" s="9">
        <v>7</v>
      </c>
      <c r="DO155" s="9">
        <v>7</v>
      </c>
      <c r="DP155" s="9">
        <v>7</v>
      </c>
      <c r="DQ155" s="9">
        <v>6</v>
      </c>
      <c r="DR155" s="9">
        <v>6</v>
      </c>
      <c r="DS155" s="9">
        <v>6</v>
      </c>
      <c r="DT155" s="9">
        <v>0</v>
      </c>
      <c r="DU155" s="9">
        <v>0</v>
      </c>
      <c r="DV155" s="9">
        <v>0</v>
      </c>
      <c r="DW155" s="9">
        <v>0</v>
      </c>
      <c r="DX155" s="9">
        <v>0</v>
      </c>
      <c r="DY155" s="9">
        <v>0</v>
      </c>
      <c r="DZ155" s="9">
        <v>0</v>
      </c>
      <c r="EA155" s="9">
        <v>0</v>
      </c>
      <c r="EB155" s="9">
        <v>0</v>
      </c>
      <c r="EC155" s="9">
        <v>0</v>
      </c>
      <c r="ED155" s="9">
        <v>0</v>
      </c>
      <c r="EE155" s="9">
        <v>0</v>
      </c>
      <c r="EF155" s="9">
        <v>0</v>
      </c>
      <c r="EG155" s="9">
        <v>0</v>
      </c>
      <c r="EH155" s="9">
        <v>0</v>
      </c>
      <c r="EI155" s="9">
        <v>0</v>
      </c>
      <c r="EJ155" s="9">
        <v>0</v>
      </c>
      <c r="EK155" s="9">
        <v>0</v>
      </c>
      <c r="EL155" s="9">
        <v>0</v>
      </c>
      <c r="EM155" s="9">
        <v>3</v>
      </c>
      <c r="EN155" s="9">
        <v>0</v>
      </c>
      <c r="EO155" s="9">
        <v>0</v>
      </c>
      <c r="EP155" s="9">
        <v>0</v>
      </c>
      <c r="EQ155" s="9">
        <v>0</v>
      </c>
      <c r="ER155" s="9">
        <v>0</v>
      </c>
      <c r="ES155" s="9">
        <v>0</v>
      </c>
      <c r="ET155" s="9">
        <v>0</v>
      </c>
      <c r="EU155" s="9">
        <v>0</v>
      </c>
      <c r="EV155" s="9">
        <v>0</v>
      </c>
      <c r="EW155" s="9">
        <v>0</v>
      </c>
      <c r="EX155" s="9">
        <v>0</v>
      </c>
      <c r="EY155" s="9">
        <v>0</v>
      </c>
      <c r="EZ155" s="9">
        <v>0</v>
      </c>
      <c r="FA155" s="9">
        <v>0</v>
      </c>
      <c r="FB155" s="9">
        <v>0</v>
      </c>
      <c r="FC155" s="9">
        <v>0</v>
      </c>
      <c r="FD155" s="9">
        <v>0</v>
      </c>
      <c r="FE155" s="9">
        <v>0</v>
      </c>
      <c r="FF155" s="9">
        <v>0</v>
      </c>
      <c r="FG155" s="9">
        <v>0</v>
      </c>
      <c r="FH155" s="9">
        <v>0</v>
      </c>
      <c r="FI155" s="9">
        <v>0</v>
      </c>
      <c r="FJ155" s="9">
        <v>0</v>
      </c>
      <c r="FK155" s="9">
        <v>0</v>
      </c>
      <c r="FL155" s="9">
        <v>0</v>
      </c>
      <c r="FM155" s="10">
        <v>0</v>
      </c>
    </row>
    <row r="156" spans="1:169" x14ac:dyDescent="0.35">
      <c r="A156" s="8" t="s">
        <v>261</v>
      </c>
      <c r="B156" s="9" t="s">
        <v>272</v>
      </c>
      <c r="C156" s="10" t="s">
        <v>273</v>
      </c>
      <c r="D156" s="62">
        <f t="shared" si="99"/>
        <v>0</v>
      </c>
      <c r="E156" s="9">
        <v>0</v>
      </c>
      <c r="F156" s="9">
        <v>0</v>
      </c>
      <c r="G156" s="9">
        <v>0</v>
      </c>
      <c r="H156" s="9">
        <v>0</v>
      </c>
      <c r="I156" s="9">
        <v>0</v>
      </c>
      <c r="J156" s="9">
        <v>0</v>
      </c>
      <c r="K156" s="9">
        <v>0</v>
      </c>
      <c r="L156" s="9">
        <v>0</v>
      </c>
      <c r="M156" s="9">
        <v>0</v>
      </c>
      <c r="N156" s="9">
        <v>0</v>
      </c>
      <c r="O156" s="9">
        <v>0</v>
      </c>
      <c r="P156" s="9">
        <v>0</v>
      </c>
      <c r="Q156" s="9">
        <v>0</v>
      </c>
      <c r="R156" s="9">
        <v>0</v>
      </c>
      <c r="S156" s="9">
        <v>0</v>
      </c>
      <c r="T156" s="9">
        <v>0</v>
      </c>
      <c r="U156" s="9">
        <v>0</v>
      </c>
      <c r="V156" s="9">
        <v>0</v>
      </c>
      <c r="W156" s="9">
        <v>0</v>
      </c>
      <c r="X156" s="9">
        <v>0</v>
      </c>
      <c r="Y156" s="9">
        <v>0</v>
      </c>
      <c r="Z156" s="9">
        <v>0</v>
      </c>
      <c r="AA156" s="9">
        <v>0</v>
      </c>
      <c r="AB156" s="9">
        <v>0</v>
      </c>
      <c r="AC156" s="9">
        <v>0</v>
      </c>
      <c r="AD156" s="9">
        <v>0</v>
      </c>
      <c r="AE156" s="9">
        <v>0</v>
      </c>
      <c r="AF156" s="9">
        <v>0</v>
      </c>
      <c r="AG156" s="9">
        <v>0</v>
      </c>
      <c r="AH156" s="9">
        <v>0</v>
      </c>
      <c r="AI156" s="9">
        <v>0</v>
      </c>
      <c r="AJ156" s="9">
        <v>0</v>
      </c>
      <c r="AK156" s="9">
        <v>0</v>
      </c>
      <c r="AL156" s="9">
        <v>0</v>
      </c>
      <c r="AM156" s="9">
        <v>0</v>
      </c>
      <c r="AN156" s="9">
        <v>0</v>
      </c>
      <c r="AO156" s="9">
        <v>0</v>
      </c>
      <c r="AP156" s="9">
        <v>0</v>
      </c>
      <c r="AQ156" s="9">
        <v>0</v>
      </c>
      <c r="AR156" s="9">
        <v>0</v>
      </c>
      <c r="AS156" s="9">
        <v>0</v>
      </c>
      <c r="AT156" s="9">
        <v>0</v>
      </c>
      <c r="AU156" s="9">
        <v>0</v>
      </c>
      <c r="AV156" s="9">
        <v>0</v>
      </c>
      <c r="AW156" s="9">
        <v>0</v>
      </c>
      <c r="AX156" s="9">
        <v>0</v>
      </c>
      <c r="AY156" s="9">
        <v>0</v>
      </c>
      <c r="AZ156" s="9">
        <v>0</v>
      </c>
      <c r="BA156" s="9">
        <v>0</v>
      </c>
      <c r="BB156" s="9">
        <v>0</v>
      </c>
      <c r="BC156" s="9">
        <v>0</v>
      </c>
      <c r="BD156" s="9">
        <v>0</v>
      </c>
      <c r="BE156" s="9">
        <v>0</v>
      </c>
      <c r="BF156" s="9">
        <v>0</v>
      </c>
      <c r="BG156" s="9">
        <v>0</v>
      </c>
      <c r="BH156" s="9">
        <v>0</v>
      </c>
      <c r="BI156" s="9">
        <v>0</v>
      </c>
      <c r="BJ156" s="9">
        <v>0</v>
      </c>
      <c r="BK156" s="9">
        <v>0</v>
      </c>
      <c r="BL156" s="9">
        <v>0</v>
      </c>
      <c r="BM156" s="9">
        <v>0</v>
      </c>
      <c r="BN156" s="9">
        <v>0</v>
      </c>
      <c r="BO156" s="9">
        <v>0</v>
      </c>
      <c r="BP156" s="9">
        <v>0</v>
      </c>
      <c r="BQ156" s="9">
        <v>0</v>
      </c>
      <c r="BR156" s="9">
        <v>0</v>
      </c>
      <c r="BS156" s="9">
        <v>0</v>
      </c>
      <c r="BT156" s="9">
        <v>0</v>
      </c>
      <c r="BU156" s="9">
        <v>0</v>
      </c>
      <c r="BV156" s="9">
        <v>0</v>
      </c>
      <c r="BW156" s="9">
        <v>0</v>
      </c>
      <c r="BX156" s="9">
        <v>0</v>
      </c>
      <c r="BY156" s="9">
        <v>0</v>
      </c>
      <c r="BZ156" s="9">
        <v>0</v>
      </c>
      <c r="CA156" s="9">
        <v>0</v>
      </c>
      <c r="CB156" s="9">
        <v>0</v>
      </c>
      <c r="CC156" s="9">
        <v>0</v>
      </c>
      <c r="CD156" s="9">
        <v>0</v>
      </c>
      <c r="CE156" s="9">
        <v>0</v>
      </c>
      <c r="CF156" s="9">
        <v>0</v>
      </c>
      <c r="CG156" s="9">
        <v>0</v>
      </c>
      <c r="CH156" s="9">
        <v>0</v>
      </c>
      <c r="CI156" s="9">
        <v>0</v>
      </c>
      <c r="CJ156" s="9">
        <v>0</v>
      </c>
      <c r="CK156" s="9">
        <v>0</v>
      </c>
      <c r="CL156" s="9">
        <v>0</v>
      </c>
      <c r="CM156" s="9">
        <v>0</v>
      </c>
      <c r="CN156" s="9">
        <v>0</v>
      </c>
      <c r="CO156" s="9">
        <v>0</v>
      </c>
      <c r="CP156" s="9">
        <v>0</v>
      </c>
      <c r="CQ156" s="9">
        <v>0</v>
      </c>
      <c r="CR156" s="9">
        <v>0</v>
      </c>
      <c r="CS156" s="9">
        <v>0</v>
      </c>
      <c r="CT156" s="9">
        <v>0</v>
      </c>
      <c r="CU156" s="9">
        <v>0</v>
      </c>
      <c r="CV156" s="9">
        <v>0</v>
      </c>
      <c r="CW156" s="9">
        <v>0</v>
      </c>
      <c r="CX156" s="9">
        <v>0</v>
      </c>
      <c r="CY156" s="9">
        <v>0</v>
      </c>
      <c r="CZ156" s="9">
        <v>0</v>
      </c>
      <c r="DA156" s="9">
        <v>0</v>
      </c>
      <c r="DB156" s="9">
        <v>0</v>
      </c>
      <c r="DC156" s="9">
        <v>0</v>
      </c>
      <c r="DD156" s="9">
        <v>0</v>
      </c>
      <c r="DE156" s="9">
        <v>0</v>
      </c>
      <c r="DF156" s="9">
        <v>0</v>
      </c>
      <c r="DG156" s="9">
        <v>0</v>
      </c>
      <c r="DH156" s="9">
        <v>0</v>
      </c>
      <c r="DI156" s="9">
        <v>0</v>
      </c>
      <c r="DJ156" s="9">
        <v>0</v>
      </c>
      <c r="DK156" s="9">
        <v>0</v>
      </c>
      <c r="DL156" s="9">
        <v>0</v>
      </c>
      <c r="DM156" s="9">
        <v>0</v>
      </c>
      <c r="DN156" s="9">
        <v>0</v>
      </c>
      <c r="DO156" s="9">
        <v>0</v>
      </c>
      <c r="DP156" s="9">
        <v>0</v>
      </c>
      <c r="DQ156" s="9">
        <v>0</v>
      </c>
      <c r="DR156" s="9">
        <v>0</v>
      </c>
      <c r="DS156" s="9">
        <v>0</v>
      </c>
      <c r="DT156" s="9">
        <v>0</v>
      </c>
      <c r="DU156" s="9">
        <v>0</v>
      </c>
      <c r="DV156" s="9">
        <v>0</v>
      </c>
      <c r="DW156" s="9">
        <v>0</v>
      </c>
      <c r="DX156" s="9">
        <v>0</v>
      </c>
      <c r="DY156" s="9">
        <v>0</v>
      </c>
      <c r="DZ156" s="9">
        <v>0</v>
      </c>
      <c r="EA156" s="9">
        <v>0</v>
      </c>
      <c r="EB156" s="9">
        <v>0</v>
      </c>
      <c r="EC156" s="9">
        <v>0</v>
      </c>
      <c r="ED156" s="9">
        <v>0</v>
      </c>
      <c r="EE156" s="9">
        <v>0</v>
      </c>
      <c r="EF156" s="9">
        <v>0</v>
      </c>
      <c r="EG156" s="9">
        <v>0</v>
      </c>
      <c r="EH156" s="9">
        <v>0</v>
      </c>
      <c r="EI156" s="9">
        <v>0</v>
      </c>
      <c r="EJ156" s="9">
        <v>0</v>
      </c>
      <c r="EK156" s="9">
        <v>0</v>
      </c>
      <c r="EL156" s="9">
        <v>0</v>
      </c>
      <c r="EM156" s="9">
        <v>0</v>
      </c>
      <c r="EN156" s="9">
        <v>0</v>
      </c>
      <c r="EO156" s="9">
        <v>0</v>
      </c>
      <c r="EP156" s="9">
        <v>0</v>
      </c>
      <c r="EQ156" s="9">
        <v>0</v>
      </c>
      <c r="ER156" s="9">
        <v>0</v>
      </c>
      <c r="ES156" s="9">
        <v>0</v>
      </c>
      <c r="ET156" s="9">
        <v>0</v>
      </c>
      <c r="EU156" s="9">
        <v>0</v>
      </c>
      <c r="EV156" s="9">
        <v>0</v>
      </c>
      <c r="EW156" s="9">
        <v>0</v>
      </c>
      <c r="EX156" s="9">
        <v>0</v>
      </c>
      <c r="EY156" s="9">
        <v>0</v>
      </c>
      <c r="EZ156" s="9">
        <v>0</v>
      </c>
      <c r="FA156" s="9">
        <v>0</v>
      </c>
      <c r="FB156" s="9">
        <v>0</v>
      </c>
      <c r="FC156" s="9">
        <v>0</v>
      </c>
      <c r="FD156" s="9">
        <v>0</v>
      </c>
      <c r="FE156" s="9">
        <v>0</v>
      </c>
      <c r="FF156" s="9">
        <v>0</v>
      </c>
      <c r="FG156" s="9">
        <v>0</v>
      </c>
      <c r="FH156" s="9">
        <v>0</v>
      </c>
      <c r="FI156" s="9">
        <v>0</v>
      </c>
      <c r="FJ156" s="9">
        <v>0</v>
      </c>
      <c r="FK156" s="9">
        <v>0</v>
      </c>
      <c r="FL156" s="9">
        <v>0</v>
      </c>
      <c r="FM156" s="10">
        <v>0</v>
      </c>
    </row>
    <row r="157" spans="1:169" x14ac:dyDescent="0.35">
      <c r="A157" s="8" t="s">
        <v>261</v>
      </c>
      <c r="B157" s="9" t="s">
        <v>274</v>
      </c>
      <c r="C157" s="10" t="s">
        <v>275</v>
      </c>
      <c r="D157" s="62">
        <f t="shared" si="99"/>
        <v>1</v>
      </c>
      <c r="E157" s="9">
        <v>0</v>
      </c>
      <c r="F157" s="9">
        <v>0</v>
      </c>
      <c r="G157" s="9">
        <v>0</v>
      </c>
      <c r="H157" s="9">
        <v>0</v>
      </c>
      <c r="I157" s="9">
        <v>0</v>
      </c>
      <c r="J157" s="9">
        <v>0</v>
      </c>
      <c r="K157" s="9">
        <v>0</v>
      </c>
      <c r="L157" s="9">
        <v>0</v>
      </c>
      <c r="M157" s="9">
        <v>0</v>
      </c>
      <c r="N157" s="9">
        <v>0</v>
      </c>
      <c r="O157" s="9">
        <v>0</v>
      </c>
      <c r="P157" s="9">
        <v>0</v>
      </c>
      <c r="Q157" s="9">
        <v>0</v>
      </c>
      <c r="R157" s="9">
        <v>0</v>
      </c>
      <c r="S157" s="9">
        <v>0</v>
      </c>
      <c r="T157" s="9">
        <v>0</v>
      </c>
      <c r="U157" s="9">
        <v>0</v>
      </c>
      <c r="V157" s="9">
        <v>0</v>
      </c>
      <c r="W157" s="9">
        <v>0</v>
      </c>
      <c r="X157" s="9">
        <v>0</v>
      </c>
      <c r="Y157" s="9">
        <v>0</v>
      </c>
      <c r="Z157" s="9">
        <v>0</v>
      </c>
      <c r="AA157" s="9">
        <v>1</v>
      </c>
      <c r="AB157" s="9">
        <v>1</v>
      </c>
      <c r="AC157" s="9">
        <v>1</v>
      </c>
      <c r="AD157" s="9">
        <v>1</v>
      </c>
      <c r="AE157" s="9">
        <v>1</v>
      </c>
      <c r="AF157" s="9">
        <v>1</v>
      </c>
      <c r="AG157" s="9">
        <v>0</v>
      </c>
      <c r="AH157" s="9">
        <v>0</v>
      </c>
      <c r="AI157" s="9">
        <v>0</v>
      </c>
      <c r="AJ157" s="9">
        <v>0</v>
      </c>
      <c r="AK157" s="9">
        <v>0</v>
      </c>
      <c r="AL157" s="9">
        <v>0</v>
      </c>
      <c r="AM157" s="9">
        <v>0</v>
      </c>
      <c r="AN157" s="9">
        <v>0</v>
      </c>
      <c r="AO157" s="9">
        <v>0</v>
      </c>
      <c r="AP157" s="9">
        <v>0</v>
      </c>
      <c r="AQ157" s="9">
        <v>0</v>
      </c>
      <c r="AR157" s="9">
        <v>0</v>
      </c>
      <c r="AS157" s="9">
        <v>1</v>
      </c>
      <c r="AT157" s="9">
        <v>1</v>
      </c>
      <c r="AU157" s="9">
        <v>1</v>
      </c>
      <c r="AV157" s="9">
        <v>1</v>
      </c>
      <c r="AW157" s="9">
        <v>1</v>
      </c>
      <c r="AX157" s="9">
        <v>1</v>
      </c>
      <c r="AY157" s="9">
        <v>1</v>
      </c>
      <c r="AZ157" s="9">
        <v>1</v>
      </c>
      <c r="BA157" s="9">
        <v>1</v>
      </c>
      <c r="BB157" s="9">
        <v>0</v>
      </c>
      <c r="BC157" s="9">
        <v>1</v>
      </c>
      <c r="BD157" s="9">
        <v>1</v>
      </c>
      <c r="BE157" s="9">
        <v>1</v>
      </c>
      <c r="BF157" s="9">
        <v>1</v>
      </c>
      <c r="BG157" s="9">
        <v>1</v>
      </c>
      <c r="BH157" s="9">
        <v>1</v>
      </c>
      <c r="BI157" s="9">
        <v>1</v>
      </c>
      <c r="BJ157" s="9">
        <v>1</v>
      </c>
      <c r="BK157" s="9">
        <v>1</v>
      </c>
      <c r="BL157" s="9">
        <v>1</v>
      </c>
      <c r="BM157" s="9">
        <v>1</v>
      </c>
      <c r="BN157" s="9">
        <v>0</v>
      </c>
      <c r="BO157" s="9">
        <v>0</v>
      </c>
      <c r="BP157" s="9">
        <v>0</v>
      </c>
      <c r="BQ157" s="9">
        <v>0</v>
      </c>
      <c r="BR157" s="9">
        <v>0</v>
      </c>
      <c r="BS157" s="9">
        <v>0</v>
      </c>
      <c r="BT157" s="9">
        <v>0</v>
      </c>
      <c r="BU157" s="9">
        <v>0</v>
      </c>
      <c r="BV157" s="9">
        <v>0</v>
      </c>
      <c r="BW157" s="9">
        <v>0</v>
      </c>
      <c r="BX157" s="9">
        <v>0</v>
      </c>
      <c r="BY157" s="9">
        <v>0</v>
      </c>
      <c r="BZ157" s="9">
        <v>0</v>
      </c>
      <c r="CA157" s="9">
        <v>0</v>
      </c>
      <c r="CB157" s="9">
        <v>0</v>
      </c>
      <c r="CC157" s="9">
        <v>0</v>
      </c>
      <c r="CD157" s="9">
        <v>0</v>
      </c>
      <c r="CE157" s="9">
        <v>0</v>
      </c>
      <c r="CF157" s="9">
        <v>0</v>
      </c>
      <c r="CG157" s="9">
        <v>0</v>
      </c>
      <c r="CH157" s="9">
        <v>0</v>
      </c>
      <c r="CI157" s="9">
        <v>0</v>
      </c>
      <c r="CJ157" s="9">
        <v>0</v>
      </c>
      <c r="CK157" s="9">
        <v>0</v>
      </c>
      <c r="CL157" s="9">
        <v>0</v>
      </c>
      <c r="CM157" s="9">
        <v>0</v>
      </c>
      <c r="CN157" s="9">
        <v>0</v>
      </c>
      <c r="CO157" s="9">
        <v>0</v>
      </c>
      <c r="CP157" s="9">
        <v>0</v>
      </c>
      <c r="CQ157" s="9">
        <v>0</v>
      </c>
      <c r="CR157" s="9">
        <v>0</v>
      </c>
      <c r="CS157" s="9">
        <v>0</v>
      </c>
      <c r="CT157" s="9">
        <v>0</v>
      </c>
      <c r="CU157" s="9">
        <v>0</v>
      </c>
      <c r="CV157" s="9">
        <v>0</v>
      </c>
      <c r="CW157" s="9">
        <v>0</v>
      </c>
      <c r="CX157" s="9">
        <v>0</v>
      </c>
      <c r="CY157" s="9">
        <v>0</v>
      </c>
      <c r="CZ157" s="9">
        <v>0</v>
      </c>
      <c r="DA157" s="9">
        <v>0</v>
      </c>
      <c r="DB157" s="9">
        <v>0</v>
      </c>
      <c r="DC157" s="9">
        <v>0</v>
      </c>
      <c r="DD157" s="9">
        <v>0</v>
      </c>
      <c r="DE157" s="9">
        <v>0</v>
      </c>
      <c r="DF157" s="9">
        <v>0</v>
      </c>
      <c r="DG157" s="9">
        <v>0</v>
      </c>
      <c r="DH157" s="9">
        <v>0</v>
      </c>
      <c r="DI157" s="9">
        <v>0</v>
      </c>
      <c r="DJ157" s="9">
        <v>0</v>
      </c>
      <c r="DK157" s="9">
        <v>0</v>
      </c>
      <c r="DL157" s="9">
        <v>0</v>
      </c>
      <c r="DM157" s="9">
        <v>0</v>
      </c>
      <c r="DN157" s="9">
        <v>0</v>
      </c>
      <c r="DO157" s="9">
        <v>0</v>
      </c>
      <c r="DP157" s="9">
        <v>0</v>
      </c>
      <c r="DQ157" s="9">
        <v>0</v>
      </c>
      <c r="DR157" s="9">
        <v>0</v>
      </c>
      <c r="DS157" s="9">
        <v>0</v>
      </c>
      <c r="DT157" s="9">
        <v>0</v>
      </c>
      <c r="DU157" s="9">
        <v>0</v>
      </c>
      <c r="DV157" s="9">
        <v>0</v>
      </c>
      <c r="DW157" s="9">
        <v>0</v>
      </c>
      <c r="DX157" s="9">
        <v>0</v>
      </c>
      <c r="DY157" s="9">
        <v>0</v>
      </c>
      <c r="DZ157" s="9">
        <v>0</v>
      </c>
      <c r="EA157" s="9">
        <v>0</v>
      </c>
      <c r="EB157" s="9">
        <v>0</v>
      </c>
      <c r="EC157" s="9">
        <v>0</v>
      </c>
      <c r="ED157" s="9">
        <v>0</v>
      </c>
      <c r="EE157" s="9">
        <v>0</v>
      </c>
      <c r="EF157" s="9">
        <v>0</v>
      </c>
      <c r="EG157" s="9">
        <v>0</v>
      </c>
      <c r="EH157" s="9">
        <v>0</v>
      </c>
      <c r="EI157" s="9">
        <v>0</v>
      </c>
      <c r="EJ157" s="9">
        <v>0</v>
      </c>
      <c r="EK157" s="9">
        <v>0</v>
      </c>
      <c r="EL157" s="9">
        <v>0</v>
      </c>
      <c r="EM157" s="9">
        <v>0</v>
      </c>
      <c r="EN157" s="9">
        <v>0</v>
      </c>
      <c r="EO157" s="9">
        <v>0</v>
      </c>
      <c r="EP157" s="9">
        <v>0</v>
      </c>
      <c r="EQ157" s="9">
        <v>0</v>
      </c>
      <c r="ER157" s="9">
        <v>0</v>
      </c>
      <c r="ES157" s="9">
        <v>0</v>
      </c>
      <c r="ET157" s="9">
        <v>0</v>
      </c>
      <c r="EU157" s="9">
        <v>0</v>
      </c>
      <c r="EV157" s="9">
        <v>0</v>
      </c>
      <c r="EW157" s="9">
        <v>0</v>
      </c>
      <c r="EX157" s="9">
        <v>0</v>
      </c>
      <c r="EY157" s="9">
        <v>0</v>
      </c>
      <c r="EZ157" s="9">
        <v>0</v>
      </c>
      <c r="FA157" s="9">
        <v>0</v>
      </c>
      <c r="FB157" s="9">
        <v>0</v>
      </c>
      <c r="FC157" s="9">
        <v>0</v>
      </c>
      <c r="FD157" s="9">
        <v>0</v>
      </c>
      <c r="FE157" s="9">
        <v>0</v>
      </c>
      <c r="FF157" s="9">
        <v>0</v>
      </c>
      <c r="FG157" s="9">
        <v>0</v>
      </c>
      <c r="FH157" s="9">
        <v>0</v>
      </c>
      <c r="FI157" s="9">
        <v>0</v>
      </c>
      <c r="FJ157" s="9">
        <v>0</v>
      </c>
      <c r="FK157" s="9">
        <v>0</v>
      </c>
      <c r="FL157" s="9">
        <v>0</v>
      </c>
      <c r="FM157" s="10">
        <v>0</v>
      </c>
    </row>
    <row r="158" spans="1:169" x14ac:dyDescent="0.35">
      <c r="A158" s="8" t="s">
        <v>261</v>
      </c>
      <c r="B158" s="9" t="s">
        <v>276</v>
      </c>
      <c r="C158" s="10" t="s">
        <v>277</v>
      </c>
      <c r="D158" s="62">
        <f t="shared" si="99"/>
        <v>5</v>
      </c>
      <c r="E158" s="9">
        <v>0</v>
      </c>
      <c r="F158" s="9">
        <v>0</v>
      </c>
      <c r="G158" s="9">
        <v>0</v>
      </c>
      <c r="H158" s="9">
        <v>0</v>
      </c>
      <c r="I158" s="9">
        <v>0</v>
      </c>
      <c r="J158" s="9">
        <v>0</v>
      </c>
      <c r="K158" s="9">
        <v>0</v>
      </c>
      <c r="L158" s="9">
        <v>0</v>
      </c>
      <c r="M158" s="9">
        <v>0</v>
      </c>
      <c r="N158" s="9">
        <v>0</v>
      </c>
      <c r="O158" s="9">
        <v>0</v>
      </c>
      <c r="P158" s="9">
        <v>0</v>
      </c>
      <c r="Q158" s="9">
        <v>0</v>
      </c>
      <c r="R158" s="9">
        <v>0</v>
      </c>
      <c r="S158" s="9">
        <v>0</v>
      </c>
      <c r="T158" s="9">
        <v>0</v>
      </c>
      <c r="U158" s="9">
        <v>0</v>
      </c>
      <c r="V158" s="9">
        <v>0</v>
      </c>
      <c r="W158" s="9">
        <v>0</v>
      </c>
      <c r="X158" s="9">
        <v>0</v>
      </c>
      <c r="Y158" s="9">
        <v>0</v>
      </c>
      <c r="Z158" s="9">
        <v>0</v>
      </c>
      <c r="AA158" s="9">
        <v>0</v>
      </c>
      <c r="AB158" s="9">
        <v>0</v>
      </c>
      <c r="AC158" s="9">
        <v>0</v>
      </c>
      <c r="AD158" s="9">
        <v>0</v>
      </c>
      <c r="AE158" s="9">
        <v>0</v>
      </c>
      <c r="AF158" s="9">
        <v>0</v>
      </c>
      <c r="AG158" s="9">
        <v>0</v>
      </c>
      <c r="AH158" s="9">
        <v>0</v>
      </c>
      <c r="AI158" s="9">
        <v>0</v>
      </c>
      <c r="AJ158" s="9">
        <v>0</v>
      </c>
      <c r="AK158" s="9">
        <v>0</v>
      </c>
      <c r="AL158" s="9">
        <v>0</v>
      </c>
      <c r="AM158" s="9">
        <v>0</v>
      </c>
      <c r="AN158" s="9">
        <v>0</v>
      </c>
      <c r="AO158" s="9">
        <v>0</v>
      </c>
      <c r="AP158" s="9">
        <v>0</v>
      </c>
      <c r="AQ158" s="9">
        <v>0</v>
      </c>
      <c r="AR158" s="9">
        <v>0</v>
      </c>
      <c r="AS158" s="9">
        <v>0</v>
      </c>
      <c r="AT158" s="9">
        <v>0</v>
      </c>
      <c r="AU158" s="9">
        <v>0</v>
      </c>
      <c r="AV158" s="9">
        <v>0</v>
      </c>
      <c r="AW158" s="9">
        <v>0</v>
      </c>
      <c r="AX158" s="9">
        <v>0</v>
      </c>
      <c r="AY158" s="9">
        <v>0</v>
      </c>
      <c r="AZ158" s="9">
        <v>0</v>
      </c>
      <c r="BA158" s="9">
        <v>1</v>
      </c>
      <c r="BB158" s="9">
        <v>1</v>
      </c>
      <c r="BC158" s="9">
        <v>1</v>
      </c>
      <c r="BD158" s="9">
        <v>1</v>
      </c>
      <c r="BE158" s="9">
        <v>1</v>
      </c>
      <c r="BF158" s="9">
        <v>1</v>
      </c>
      <c r="BG158" s="9">
        <v>1</v>
      </c>
      <c r="BH158" s="9">
        <v>2</v>
      </c>
      <c r="BI158" s="9">
        <v>3</v>
      </c>
      <c r="BJ158" s="9">
        <v>3</v>
      </c>
      <c r="BK158" s="9">
        <v>4</v>
      </c>
      <c r="BL158" s="9">
        <v>4</v>
      </c>
      <c r="BM158" s="9">
        <v>4</v>
      </c>
      <c r="BN158" s="9">
        <v>4</v>
      </c>
      <c r="BO158" s="9">
        <v>4</v>
      </c>
      <c r="BP158" s="9">
        <v>5</v>
      </c>
      <c r="BQ158" s="9">
        <v>5</v>
      </c>
      <c r="BR158" s="9">
        <v>5</v>
      </c>
      <c r="BS158" s="9">
        <v>5</v>
      </c>
      <c r="BT158" s="9">
        <v>5</v>
      </c>
      <c r="BU158" s="9">
        <v>5</v>
      </c>
      <c r="BV158" s="9">
        <v>5</v>
      </c>
      <c r="BW158" s="9">
        <v>5</v>
      </c>
      <c r="BX158" s="9">
        <v>4</v>
      </c>
      <c r="BY158" s="9">
        <v>4</v>
      </c>
      <c r="BZ158" s="9">
        <v>4</v>
      </c>
      <c r="CA158" s="9">
        <v>3</v>
      </c>
      <c r="CB158" s="9">
        <v>3</v>
      </c>
      <c r="CC158" s="9">
        <v>2</v>
      </c>
      <c r="CD158" s="9">
        <v>1</v>
      </c>
      <c r="CE158" s="9">
        <v>1</v>
      </c>
      <c r="CF158" s="9">
        <v>1</v>
      </c>
      <c r="CG158" s="9">
        <v>1</v>
      </c>
      <c r="CH158" s="9">
        <v>1</v>
      </c>
      <c r="CI158" s="9">
        <v>1</v>
      </c>
      <c r="CJ158" s="9">
        <v>1</v>
      </c>
      <c r="CK158" s="9">
        <v>0</v>
      </c>
      <c r="CL158" s="9">
        <v>0</v>
      </c>
      <c r="CM158" s="9">
        <v>0</v>
      </c>
      <c r="CN158" s="9">
        <v>0</v>
      </c>
      <c r="CO158" s="9">
        <v>0</v>
      </c>
      <c r="CP158" s="9">
        <v>0</v>
      </c>
      <c r="CQ158" s="9">
        <v>0</v>
      </c>
      <c r="CR158" s="9">
        <v>0</v>
      </c>
      <c r="CS158" s="9">
        <v>0</v>
      </c>
      <c r="CT158" s="9">
        <v>0</v>
      </c>
      <c r="CU158" s="9">
        <v>0</v>
      </c>
      <c r="CV158" s="9">
        <v>0</v>
      </c>
      <c r="CW158" s="9">
        <v>0</v>
      </c>
      <c r="CX158" s="9">
        <v>0</v>
      </c>
      <c r="CY158" s="9">
        <v>0</v>
      </c>
      <c r="CZ158" s="9">
        <v>0</v>
      </c>
      <c r="DA158" s="9">
        <v>0</v>
      </c>
      <c r="DB158" s="9">
        <v>0</v>
      </c>
      <c r="DC158" s="9">
        <v>0</v>
      </c>
      <c r="DD158" s="9">
        <v>0</v>
      </c>
      <c r="DE158" s="9">
        <v>0</v>
      </c>
      <c r="DF158" s="9">
        <v>0</v>
      </c>
      <c r="DG158" s="9">
        <v>0</v>
      </c>
      <c r="DH158" s="9">
        <v>0</v>
      </c>
      <c r="DI158" s="9">
        <v>0</v>
      </c>
      <c r="DJ158" s="9">
        <v>0</v>
      </c>
      <c r="DK158" s="9">
        <v>0</v>
      </c>
      <c r="DL158" s="9">
        <v>0</v>
      </c>
      <c r="DM158" s="9">
        <v>0</v>
      </c>
      <c r="DN158" s="9">
        <v>0</v>
      </c>
      <c r="DO158" s="9">
        <v>0</v>
      </c>
      <c r="DP158" s="9">
        <v>0</v>
      </c>
      <c r="DQ158" s="9">
        <v>0</v>
      </c>
      <c r="DR158" s="9">
        <v>0</v>
      </c>
      <c r="DS158" s="9">
        <v>0</v>
      </c>
      <c r="DT158" s="9">
        <v>0</v>
      </c>
      <c r="DU158" s="9">
        <v>0</v>
      </c>
      <c r="DV158" s="9">
        <v>0</v>
      </c>
      <c r="DW158" s="9">
        <v>0</v>
      </c>
      <c r="DX158" s="9">
        <v>0</v>
      </c>
      <c r="DY158" s="9">
        <v>0</v>
      </c>
      <c r="DZ158" s="9">
        <v>0</v>
      </c>
      <c r="EA158" s="9">
        <v>0</v>
      </c>
      <c r="EB158" s="9">
        <v>0</v>
      </c>
      <c r="EC158" s="9">
        <v>0</v>
      </c>
      <c r="ED158" s="9">
        <v>0</v>
      </c>
      <c r="EE158" s="9">
        <v>0</v>
      </c>
      <c r="EF158" s="9">
        <v>0</v>
      </c>
      <c r="EG158" s="9">
        <v>0</v>
      </c>
      <c r="EH158" s="9">
        <v>0</v>
      </c>
      <c r="EI158" s="9">
        <v>0</v>
      </c>
      <c r="EJ158" s="9">
        <v>0</v>
      </c>
      <c r="EK158" s="9">
        <v>0</v>
      </c>
      <c r="EL158" s="9">
        <v>0</v>
      </c>
      <c r="EM158" s="9">
        <v>0</v>
      </c>
      <c r="EN158" s="9">
        <v>0</v>
      </c>
      <c r="EO158" s="9">
        <v>0</v>
      </c>
      <c r="EP158" s="9">
        <v>0</v>
      </c>
      <c r="EQ158" s="9">
        <v>0</v>
      </c>
      <c r="ER158" s="9">
        <v>0</v>
      </c>
      <c r="ES158" s="9">
        <v>0</v>
      </c>
      <c r="ET158" s="9">
        <v>0</v>
      </c>
      <c r="EU158" s="9">
        <v>0</v>
      </c>
      <c r="EV158" s="9">
        <v>0</v>
      </c>
      <c r="EW158" s="9">
        <v>0</v>
      </c>
      <c r="EX158" s="9">
        <v>0</v>
      </c>
      <c r="EY158" s="9">
        <v>0</v>
      </c>
      <c r="EZ158" s="9">
        <v>0</v>
      </c>
      <c r="FA158" s="9">
        <v>0</v>
      </c>
      <c r="FB158" s="9">
        <v>0</v>
      </c>
      <c r="FC158" s="9">
        <v>0</v>
      </c>
      <c r="FD158" s="9">
        <v>0</v>
      </c>
      <c r="FE158" s="9">
        <v>0</v>
      </c>
      <c r="FF158" s="9">
        <v>0</v>
      </c>
      <c r="FG158" s="9">
        <v>0</v>
      </c>
      <c r="FH158" s="9">
        <v>0</v>
      </c>
      <c r="FI158" s="9">
        <v>0</v>
      </c>
      <c r="FJ158" s="9">
        <v>0</v>
      </c>
      <c r="FK158" s="9">
        <v>0</v>
      </c>
      <c r="FL158" s="9">
        <v>0</v>
      </c>
      <c r="FM158" s="10">
        <v>0</v>
      </c>
    </row>
    <row r="159" spans="1:169" x14ac:dyDescent="0.35">
      <c r="A159" s="8" t="s">
        <v>261</v>
      </c>
      <c r="B159" s="9" t="s">
        <v>19</v>
      </c>
      <c r="C159" s="10" t="s">
        <v>20</v>
      </c>
      <c r="D159" s="62">
        <f t="shared" si="99"/>
        <v>0</v>
      </c>
      <c r="E159" s="9">
        <v>0</v>
      </c>
      <c r="F159" s="9">
        <v>0</v>
      </c>
      <c r="G159" s="9">
        <v>0</v>
      </c>
      <c r="H159" s="9">
        <v>0</v>
      </c>
      <c r="I159" s="9">
        <v>0</v>
      </c>
      <c r="J159" s="9">
        <v>0</v>
      </c>
      <c r="K159" s="9">
        <v>0</v>
      </c>
      <c r="L159" s="9">
        <v>0</v>
      </c>
      <c r="M159" s="9">
        <v>0</v>
      </c>
      <c r="N159" s="9">
        <v>0</v>
      </c>
      <c r="O159" s="9">
        <v>0</v>
      </c>
      <c r="P159" s="9">
        <v>0</v>
      </c>
      <c r="Q159" s="9">
        <v>0</v>
      </c>
      <c r="R159" s="9">
        <v>0</v>
      </c>
      <c r="S159" s="9">
        <v>0</v>
      </c>
      <c r="T159" s="9">
        <v>0</v>
      </c>
      <c r="U159" s="9">
        <v>0</v>
      </c>
      <c r="V159" s="9">
        <v>0</v>
      </c>
      <c r="W159" s="9">
        <v>0</v>
      </c>
      <c r="X159" s="9">
        <v>0</v>
      </c>
      <c r="Y159" s="9">
        <v>0</v>
      </c>
      <c r="Z159" s="9">
        <v>0</v>
      </c>
      <c r="AA159" s="9">
        <v>0</v>
      </c>
      <c r="AB159" s="9">
        <v>0</v>
      </c>
      <c r="AC159" s="9">
        <v>0</v>
      </c>
      <c r="AD159" s="9">
        <v>0</v>
      </c>
      <c r="AE159" s="9">
        <v>0</v>
      </c>
      <c r="AF159" s="9">
        <v>0</v>
      </c>
      <c r="AG159" s="9">
        <v>0</v>
      </c>
      <c r="AH159" s="9">
        <v>0</v>
      </c>
      <c r="AI159" s="9">
        <v>0</v>
      </c>
      <c r="AJ159" s="9">
        <v>0</v>
      </c>
      <c r="AK159" s="9">
        <v>0</v>
      </c>
      <c r="AL159" s="9">
        <v>0</v>
      </c>
      <c r="AM159" s="9">
        <v>0</v>
      </c>
      <c r="AN159" s="9">
        <v>0</v>
      </c>
      <c r="AO159" s="9">
        <v>0</v>
      </c>
      <c r="AP159" s="9">
        <v>0</v>
      </c>
      <c r="AQ159" s="9">
        <v>0</v>
      </c>
      <c r="AR159" s="9">
        <v>0</v>
      </c>
      <c r="AS159" s="9">
        <v>0</v>
      </c>
      <c r="AT159" s="9">
        <v>0</v>
      </c>
      <c r="AU159" s="9">
        <v>0</v>
      </c>
      <c r="AV159" s="9">
        <v>0</v>
      </c>
      <c r="AW159" s="9">
        <v>0</v>
      </c>
      <c r="AX159" s="9">
        <v>0</v>
      </c>
      <c r="AY159" s="9">
        <v>0</v>
      </c>
      <c r="AZ159" s="9">
        <v>0</v>
      </c>
      <c r="BA159" s="9">
        <v>0</v>
      </c>
      <c r="BB159" s="9">
        <v>0</v>
      </c>
      <c r="BC159" s="9">
        <v>0</v>
      </c>
      <c r="BD159" s="9">
        <v>0</v>
      </c>
      <c r="BE159" s="9">
        <v>0</v>
      </c>
      <c r="BF159" s="9">
        <v>0</v>
      </c>
      <c r="BG159" s="9">
        <v>0</v>
      </c>
      <c r="BH159" s="9">
        <v>0</v>
      </c>
      <c r="BI159" s="9">
        <v>0</v>
      </c>
      <c r="BJ159" s="9">
        <v>0</v>
      </c>
      <c r="BK159" s="9">
        <v>0</v>
      </c>
      <c r="BL159" s="9">
        <v>0</v>
      </c>
      <c r="BM159" s="9">
        <v>0</v>
      </c>
      <c r="BN159" s="9">
        <v>0</v>
      </c>
      <c r="BO159" s="9">
        <v>0</v>
      </c>
      <c r="BP159" s="9">
        <v>0</v>
      </c>
      <c r="BQ159" s="9">
        <v>0</v>
      </c>
      <c r="BR159" s="9">
        <v>0</v>
      </c>
      <c r="BS159" s="9">
        <v>0</v>
      </c>
      <c r="BT159" s="9">
        <v>0</v>
      </c>
      <c r="BU159" s="9">
        <v>0</v>
      </c>
      <c r="BV159" s="9">
        <v>0</v>
      </c>
      <c r="BW159" s="9">
        <v>0</v>
      </c>
      <c r="BX159" s="9">
        <v>0</v>
      </c>
      <c r="BY159" s="9">
        <v>0</v>
      </c>
      <c r="BZ159" s="9">
        <v>0</v>
      </c>
      <c r="CA159" s="9">
        <v>0</v>
      </c>
      <c r="CB159" s="9">
        <v>0</v>
      </c>
      <c r="CC159" s="9">
        <v>0</v>
      </c>
      <c r="CD159" s="9">
        <v>0</v>
      </c>
      <c r="CE159" s="9">
        <v>0</v>
      </c>
      <c r="CF159" s="9">
        <v>0</v>
      </c>
      <c r="CG159" s="9">
        <v>0</v>
      </c>
      <c r="CH159" s="9">
        <v>0</v>
      </c>
      <c r="CI159" s="9">
        <v>0</v>
      </c>
      <c r="CJ159" s="9">
        <v>0</v>
      </c>
      <c r="CK159" s="9">
        <v>0</v>
      </c>
      <c r="CL159" s="9">
        <v>0</v>
      </c>
      <c r="CM159" s="9">
        <v>0</v>
      </c>
      <c r="CN159" s="9">
        <v>0</v>
      </c>
      <c r="CO159" s="9">
        <v>0</v>
      </c>
      <c r="CP159" s="9">
        <v>0</v>
      </c>
      <c r="CQ159" s="9">
        <v>0</v>
      </c>
      <c r="CR159" s="9">
        <v>0</v>
      </c>
      <c r="CS159" s="9">
        <v>0</v>
      </c>
      <c r="CT159" s="9">
        <v>0</v>
      </c>
      <c r="CU159" s="9">
        <v>0</v>
      </c>
      <c r="CV159" s="9">
        <v>0</v>
      </c>
      <c r="CW159" s="9">
        <v>0</v>
      </c>
      <c r="CX159" s="9">
        <v>0</v>
      </c>
      <c r="CY159" s="9">
        <v>0</v>
      </c>
      <c r="CZ159" s="9">
        <v>0</v>
      </c>
      <c r="DA159" s="9">
        <v>0</v>
      </c>
      <c r="DB159" s="9">
        <v>0</v>
      </c>
      <c r="DC159" s="9">
        <v>0</v>
      </c>
      <c r="DD159" s="9">
        <v>0</v>
      </c>
      <c r="DE159" s="9">
        <v>0</v>
      </c>
      <c r="DF159" s="9">
        <v>0</v>
      </c>
      <c r="DG159" s="9">
        <v>0</v>
      </c>
      <c r="DH159" s="9">
        <v>0</v>
      </c>
      <c r="DI159" s="9">
        <v>0</v>
      </c>
      <c r="DJ159" s="9">
        <v>0</v>
      </c>
      <c r="DK159" s="9">
        <v>0</v>
      </c>
      <c r="DL159" s="9">
        <v>0</v>
      </c>
      <c r="DM159" s="9">
        <v>0</v>
      </c>
      <c r="DN159" s="9">
        <v>0</v>
      </c>
      <c r="DO159" s="9">
        <v>0</v>
      </c>
      <c r="DP159" s="9">
        <v>0</v>
      </c>
      <c r="DQ159" s="9">
        <v>0</v>
      </c>
      <c r="DR159" s="9">
        <v>0</v>
      </c>
      <c r="DS159" s="9">
        <v>0</v>
      </c>
      <c r="DT159" s="9">
        <v>0</v>
      </c>
      <c r="DU159" s="9">
        <v>0</v>
      </c>
      <c r="DV159" s="9">
        <v>0</v>
      </c>
      <c r="DW159" s="9">
        <v>0</v>
      </c>
      <c r="DX159" s="9">
        <v>0</v>
      </c>
      <c r="DY159" s="9">
        <v>0</v>
      </c>
      <c r="DZ159" s="9">
        <v>0</v>
      </c>
      <c r="EA159" s="9">
        <v>0</v>
      </c>
      <c r="EB159" s="9">
        <v>0</v>
      </c>
      <c r="EC159" s="9">
        <v>0</v>
      </c>
      <c r="ED159" s="9">
        <v>0</v>
      </c>
      <c r="EE159" s="9">
        <v>0</v>
      </c>
      <c r="EF159" s="9">
        <v>0</v>
      </c>
      <c r="EG159" s="9">
        <v>0</v>
      </c>
      <c r="EH159" s="9">
        <v>0</v>
      </c>
      <c r="EI159" s="9">
        <v>0</v>
      </c>
      <c r="EJ159" s="9">
        <v>0</v>
      </c>
      <c r="EK159" s="9">
        <v>0</v>
      </c>
      <c r="EL159" s="9">
        <v>0</v>
      </c>
      <c r="EM159" s="9">
        <v>0</v>
      </c>
      <c r="EN159" s="9">
        <v>0</v>
      </c>
      <c r="EO159" s="9">
        <v>0</v>
      </c>
      <c r="EP159" s="9">
        <v>0</v>
      </c>
      <c r="EQ159" s="9">
        <v>0</v>
      </c>
      <c r="ER159" s="9">
        <v>0</v>
      </c>
      <c r="ES159" s="9">
        <v>0</v>
      </c>
      <c r="ET159" s="9">
        <v>0</v>
      </c>
      <c r="EU159" s="9">
        <v>0</v>
      </c>
      <c r="EV159" s="9">
        <v>0</v>
      </c>
      <c r="EW159" s="9">
        <v>0</v>
      </c>
      <c r="EX159" s="9">
        <v>0</v>
      </c>
      <c r="EY159" s="9">
        <v>0</v>
      </c>
      <c r="EZ159" s="9">
        <v>0</v>
      </c>
      <c r="FA159" s="9">
        <v>0</v>
      </c>
      <c r="FB159" s="9">
        <v>0</v>
      </c>
      <c r="FC159" s="9">
        <v>0</v>
      </c>
      <c r="FD159" s="9">
        <v>0</v>
      </c>
      <c r="FE159" s="9">
        <v>0</v>
      </c>
      <c r="FF159" s="9">
        <v>0</v>
      </c>
      <c r="FG159" s="9">
        <v>0</v>
      </c>
      <c r="FH159" s="9">
        <v>0</v>
      </c>
      <c r="FI159" s="9">
        <v>0</v>
      </c>
      <c r="FJ159" s="9">
        <v>0</v>
      </c>
      <c r="FK159" s="9">
        <v>0</v>
      </c>
      <c r="FL159" s="9">
        <v>0</v>
      </c>
      <c r="FM159" s="10">
        <v>0</v>
      </c>
    </row>
    <row r="160" spans="1:169" x14ac:dyDescent="0.35">
      <c r="A160" s="8" t="s">
        <v>261</v>
      </c>
      <c r="B160" s="9" t="s">
        <v>21</v>
      </c>
      <c r="C160" s="10" t="s">
        <v>22</v>
      </c>
      <c r="D160" s="62">
        <f t="shared" si="99"/>
        <v>4</v>
      </c>
      <c r="E160" s="9">
        <v>0</v>
      </c>
      <c r="F160" s="9">
        <v>0</v>
      </c>
      <c r="G160" s="9">
        <v>0</v>
      </c>
      <c r="H160" s="9">
        <v>0</v>
      </c>
      <c r="I160" s="9">
        <v>0</v>
      </c>
      <c r="J160" s="9">
        <v>0</v>
      </c>
      <c r="K160" s="9">
        <v>0</v>
      </c>
      <c r="L160" s="9">
        <v>0</v>
      </c>
      <c r="M160" s="9">
        <v>0</v>
      </c>
      <c r="N160" s="9">
        <v>0</v>
      </c>
      <c r="O160" s="9">
        <v>0</v>
      </c>
      <c r="P160" s="9">
        <v>0</v>
      </c>
      <c r="Q160" s="9">
        <v>0</v>
      </c>
      <c r="R160" s="9">
        <v>0</v>
      </c>
      <c r="S160" s="9">
        <v>0</v>
      </c>
      <c r="T160" s="9">
        <v>0</v>
      </c>
      <c r="U160" s="9">
        <v>0</v>
      </c>
      <c r="V160" s="9">
        <v>0</v>
      </c>
      <c r="W160" s="9">
        <v>0</v>
      </c>
      <c r="X160" s="9">
        <v>0</v>
      </c>
      <c r="Y160" s="9">
        <v>0</v>
      </c>
      <c r="Z160" s="9">
        <v>1</v>
      </c>
      <c r="AA160" s="9">
        <v>2</v>
      </c>
      <c r="AB160" s="9">
        <v>3</v>
      </c>
      <c r="AC160" s="9">
        <v>4</v>
      </c>
      <c r="AD160" s="9">
        <v>3</v>
      </c>
      <c r="AE160" s="9">
        <v>4</v>
      </c>
      <c r="AF160" s="9">
        <v>3</v>
      </c>
      <c r="AG160" s="9">
        <v>2</v>
      </c>
      <c r="AH160" s="9">
        <v>1</v>
      </c>
      <c r="AI160" s="9">
        <v>1</v>
      </c>
      <c r="AJ160" s="9">
        <v>1</v>
      </c>
      <c r="AK160" s="9">
        <v>1</v>
      </c>
      <c r="AL160" s="9">
        <v>2</v>
      </c>
      <c r="AM160" s="9">
        <v>2</v>
      </c>
      <c r="AN160" s="9">
        <v>3</v>
      </c>
      <c r="AO160" s="9">
        <v>3</v>
      </c>
      <c r="AP160" s="9">
        <v>2</v>
      </c>
      <c r="AQ160" s="9">
        <v>2</v>
      </c>
      <c r="AR160" s="9">
        <v>2</v>
      </c>
      <c r="AS160" s="9">
        <v>3</v>
      </c>
      <c r="AT160" s="9">
        <v>3</v>
      </c>
      <c r="AU160" s="9">
        <v>2</v>
      </c>
      <c r="AV160" s="9">
        <v>2</v>
      </c>
      <c r="AW160" s="9">
        <v>2</v>
      </c>
      <c r="AX160" s="9">
        <v>2</v>
      </c>
      <c r="AY160" s="9">
        <v>0</v>
      </c>
      <c r="AZ160" s="9">
        <v>0</v>
      </c>
      <c r="BA160" s="9">
        <v>0</v>
      </c>
      <c r="BB160" s="9">
        <v>0</v>
      </c>
      <c r="BC160" s="9">
        <v>0</v>
      </c>
      <c r="BD160" s="9">
        <v>0</v>
      </c>
      <c r="BE160" s="9">
        <v>0</v>
      </c>
      <c r="BF160" s="9">
        <v>0</v>
      </c>
      <c r="BG160" s="9">
        <v>0</v>
      </c>
      <c r="BH160" s="9">
        <v>0</v>
      </c>
      <c r="BI160" s="9">
        <v>0</v>
      </c>
      <c r="BJ160" s="9">
        <v>0</v>
      </c>
      <c r="BK160" s="9">
        <v>0</v>
      </c>
      <c r="BL160" s="9">
        <v>0</v>
      </c>
      <c r="BM160" s="9">
        <v>0</v>
      </c>
      <c r="BN160" s="9">
        <v>0</v>
      </c>
      <c r="BO160" s="9">
        <v>0</v>
      </c>
      <c r="BP160" s="9">
        <v>0</v>
      </c>
      <c r="BQ160" s="9">
        <v>0</v>
      </c>
      <c r="BR160" s="9">
        <v>0</v>
      </c>
      <c r="BS160" s="9">
        <v>0</v>
      </c>
      <c r="BT160" s="9">
        <v>0</v>
      </c>
      <c r="BU160" s="9">
        <v>0</v>
      </c>
      <c r="BV160" s="9">
        <v>0</v>
      </c>
      <c r="BW160" s="9">
        <v>0</v>
      </c>
      <c r="BX160" s="9">
        <v>0</v>
      </c>
      <c r="BY160" s="9">
        <v>0</v>
      </c>
      <c r="BZ160" s="9">
        <v>0</v>
      </c>
      <c r="CA160" s="9">
        <v>0</v>
      </c>
      <c r="CB160" s="9">
        <v>0</v>
      </c>
      <c r="CC160" s="9">
        <v>0</v>
      </c>
      <c r="CD160" s="9">
        <v>0</v>
      </c>
      <c r="CE160" s="9">
        <v>0</v>
      </c>
      <c r="CF160" s="9">
        <v>0</v>
      </c>
      <c r="CG160" s="9">
        <v>0</v>
      </c>
      <c r="CH160" s="9">
        <v>0</v>
      </c>
      <c r="CI160" s="9">
        <v>0</v>
      </c>
      <c r="CJ160" s="9">
        <v>0</v>
      </c>
      <c r="CK160" s="9">
        <v>0</v>
      </c>
      <c r="CL160" s="9">
        <v>0</v>
      </c>
      <c r="CM160" s="9">
        <v>0</v>
      </c>
      <c r="CN160" s="9">
        <v>0</v>
      </c>
      <c r="CO160" s="9">
        <v>0</v>
      </c>
      <c r="CP160" s="9">
        <v>0</v>
      </c>
      <c r="CQ160" s="9">
        <v>0</v>
      </c>
      <c r="CR160" s="9">
        <v>0</v>
      </c>
      <c r="CS160" s="9">
        <v>0</v>
      </c>
      <c r="CT160" s="9">
        <v>0</v>
      </c>
      <c r="CU160" s="9">
        <v>0</v>
      </c>
      <c r="CV160" s="9">
        <v>0</v>
      </c>
      <c r="CW160" s="9">
        <v>0</v>
      </c>
      <c r="CX160" s="9">
        <v>0</v>
      </c>
      <c r="CY160" s="9">
        <v>0</v>
      </c>
      <c r="CZ160" s="9">
        <v>0</v>
      </c>
      <c r="DA160" s="9">
        <v>0</v>
      </c>
      <c r="DB160" s="9">
        <v>0</v>
      </c>
      <c r="DC160" s="9">
        <v>0</v>
      </c>
      <c r="DD160" s="9">
        <v>0</v>
      </c>
      <c r="DE160" s="9">
        <v>0</v>
      </c>
      <c r="DF160" s="9">
        <v>0</v>
      </c>
      <c r="DG160" s="9">
        <v>0</v>
      </c>
      <c r="DH160" s="9">
        <v>0</v>
      </c>
      <c r="DI160" s="9">
        <v>0</v>
      </c>
      <c r="DJ160" s="9">
        <v>0</v>
      </c>
      <c r="DK160" s="9">
        <v>0</v>
      </c>
      <c r="DL160" s="9">
        <v>0</v>
      </c>
      <c r="DM160" s="9">
        <v>0</v>
      </c>
      <c r="DN160" s="9">
        <v>0</v>
      </c>
      <c r="DO160" s="9">
        <v>0</v>
      </c>
      <c r="DP160" s="9">
        <v>0</v>
      </c>
      <c r="DQ160" s="9">
        <v>0</v>
      </c>
      <c r="DR160" s="9">
        <v>0</v>
      </c>
      <c r="DS160" s="9">
        <v>0</v>
      </c>
      <c r="DT160" s="9">
        <v>0</v>
      </c>
      <c r="DU160" s="9">
        <v>0</v>
      </c>
      <c r="DV160" s="9">
        <v>0</v>
      </c>
      <c r="DW160" s="9">
        <v>0</v>
      </c>
      <c r="DX160" s="9">
        <v>0</v>
      </c>
      <c r="DY160" s="9">
        <v>0</v>
      </c>
      <c r="DZ160" s="9">
        <v>0</v>
      </c>
      <c r="EA160" s="9">
        <v>0</v>
      </c>
      <c r="EB160" s="9">
        <v>0</v>
      </c>
      <c r="EC160" s="9">
        <v>0</v>
      </c>
      <c r="ED160" s="9">
        <v>0</v>
      </c>
      <c r="EE160" s="9">
        <v>0</v>
      </c>
      <c r="EF160" s="9">
        <v>0</v>
      </c>
      <c r="EG160" s="9">
        <v>0</v>
      </c>
      <c r="EH160" s="9">
        <v>0</v>
      </c>
      <c r="EI160" s="9">
        <v>0</v>
      </c>
      <c r="EJ160" s="9">
        <v>0</v>
      </c>
      <c r="EK160" s="9">
        <v>0</v>
      </c>
      <c r="EL160" s="9">
        <v>0</v>
      </c>
      <c r="EM160" s="9">
        <v>0</v>
      </c>
      <c r="EN160" s="9">
        <v>0</v>
      </c>
      <c r="EO160" s="9">
        <v>0</v>
      </c>
      <c r="EP160" s="9">
        <v>0</v>
      </c>
      <c r="EQ160" s="9">
        <v>0</v>
      </c>
      <c r="ER160" s="9">
        <v>0</v>
      </c>
      <c r="ES160" s="9">
        <v>0</v>
      </c>
      <c r="ET160" s="9">
        <v>0</v>
      </c>
      <c r="EU160" s="9">
        <v>0</v>
      </c>
      <c r="EV160" s="9">
        <v>0</v>
      </c>
      <c r="EW160" s="9">
        <v>0</v>
      </c>
      <c r="EX160" s="9">
        <v>0</v>
      </c>
      <c r="EY160" s="9">
        <v>0</v>
      </c>
      <c r="EZ160" s="9">
        <v>0</v>
      </c>
      <c r="FA160" s="9">
        <v>0</v>
      </c>
      <c r="FB160" s="9">
        <v>0</v>
      </c>
      <c r="FC160" s="9">
        <v>0</v>
      </c>
      <c r="FD160" s="9">
        <v>0</v>
      </c>
      <c r="FE160" s="9">
        <v>0</v>
      </c>
      <c r="FF160" s="9">
        <v>0</v>
      </c>
      <c r="FG160" s="9">
        <v>0</v>
      </c>
      <c r="FH160" s="9">
        <v>0</v>
      </c>
      <c r="FI160" s="9">
        <v>0</v>
      </c>
      <c r="FJ160" s="9">
        <v>0</v>
      </c>
      <c r="FK160" s="9">
        <v>0</v>
      </c>
      <c r="FL160" s="9">
        <v>0</v>
      </c>
      <c r="FM160" s="10">
        <v>0</v>
      </c>
    </row>
    <row r="161" spans="1:169" x14ac:dyDescent="0.35">
      <c r="A161" s="8" t="s">
        <v>261</v>
      </c>
      <c r="B161" s="9" t="s">
        <v>23</v>
      </c>
      <c r="C161" s="10" t="s">
        <v>24</v>
      </c>
      <c r="D161" s="62">
        <f t="shared" si="99"/>
        <v>7</v>
      </c>
      <c r="E161" s="9">
        <v>0</v>
      </c>
      <c r="F161" s="9">
        <v>0</v>
      </c>
      <c r="G161" s="9">
        <v>0</v>
      </c>
      <c r="H161" s="9">
        <v>0</v>
      </c>
      <c r="I161" s="9">
        <v>0</v>
      </c>
      <c r="J161" s="9">
        <v>0</v>
      </c>
      <c r="K161" s="9">
        <v>0</v>
      </c>
      <c r="L161" s="9">
        <v>0</v>
      </c>
      <c r="M161" s="9">
        <v>0</v>
      </c>
      <c r="N161" s="9">
        <v>0</v>
      </c>
      <c r="O161" s="9">
        <v>0</v>
      </c>
      <c r="P161" s="9">
        <v>0</v>
      </c>
      <c r="Q161" s="9">
        <v>0</v>
      </c>
      <c r="R161" s="9">
        <v>0</v>
      </c>
      <c r="S161" s="9">
        <v>0</v>
      </c>
      <c r="T161" s="9">
        <v>0</v>
      </c>
      <c r="U161" s="9">
        <v>0</v>
      </c>
      <c r="V161" s="9">
        <v>0</v>
      </c>
      <c r="W161" s="9">
        <v>0</v>
      </c>
      <c r="X161" s="9">
        <v>0</v>
      </c>
      <c r="Y161" s="9">
        <v>0</v>
      </c>
      <c r="Z161" s="9">
        <v>0</v>
      </c>
      <c r="AA161" s="9">
        <v>0</v>
      </c>
      <c r="AB161" s="9">
        <v>0</v>
      </c>
      <c r="AC161" s="9">
        <v>0</v>
      </c>
      <c r="AD161" s="9">
        <v>0</v>
      </c>
      <c r="AE161" s="9">
        <v>1</v>
      </c>
      <c r="AF161" s="9">
        <v>1</v>
      </c>
      <c r="AG161" s="9">
        <v>2</v>
      </c>
      <c r="AH161" s="9">
        <v>2</v>
      </c>
      <c r="AI161" s="9">
        <v>2</v>
      </c>
      <c r="AJ161" s="9">
        <v>2</v>
      </c>
      <c r="AK161" s="9">
        <v>3</v>
      </c>
      <c r="AL161" s="9">
        <v>4</v>
      </c>
      <c r="AM161" s="9">
        <v>4</v>
      </c>
      <c r="AN161" s="9">
        <v>6</v>
      </c>
      <c r="AO161" s="9">
        <v>6</v>
      </c>
      <c r="AP161" s="9">
        <v>6</v>
      </c>
      <c r="AQ161" s="9">
        <v>3</v>
      </c>
      <c r="AR161" s="9">
        <v>5</v>
      </c>
      <c r="AS161" s="9">
        <v>5</v>
      </c>
      <c r="AT161" s="9">
        <v>6</v>
      </c>
      <c r="AU161" s="9">
        <v>6</v>
      </c>
      <c r="AV161" s="9">
        <v>7</v>
      </c>
      <c r="AW161" s="9">
        <v>7</v>
      </c>
      <c r="AX161" s="9">
        <v>7</v>
      </c>
      <c r="AY161" s="9">
        <v>5</v>
      </c>
      <c r="AZ161" s="9">
        <v>5</v>
      </c>
      <c r="BA161" s="9">
        <v>4</v>
      </c>
      <c r="BB161" s="9">
        <v>3</v>
      </c>
      <c r="BC161" s="9">
        <v>3</v>
      </c>
      <c r="BD161" s="9">
        <v>2</v>
      </c>
      <c r="BE161" s="9">
        <v>3</v>
      </c>
      <c r="BF161" s="9">
        <v>3</v>
      </c>
      <c r="BG161" s="9">
        <v>3</v>
      </c>
      <c r="BH161" s="9">
        <v>5</v>
      </c>
      <c r="BI161" s="9">
        <v>5</v>
      </c>
      <c r="BJ161" s="9">
        <v>6</v>
      </c>
      <c r="BK161" s="9">
        <v>5</v>
      </c>
      <c r="BL161" s="9">
        <v>5</v>
      </c>
      <c r="BM161" s="9">
        <v>5</v>
      </c>
      <c r="BN161" s="9">
        <v>5</v>
      </c>
      <c r="BO161" s="9">
        <v>5</v>
      </c>
      <c r="BP161" s="9">
        <v>3</v>
      </c>
      <c r="BQ161" s="9">
        <v>0</v>
      </c>
      <c r="BR161" s="9">
        <v>0</v>
      </c>
      <c r="BS161" s="9">
        <v>0</v>
      </c>
      <c r="BT161" s="9">
        <v>0</v>
      </c>
      <c r="BU161" s="9">
        <v>0</v>
      </c>
      <c r="BV161" s="9">
        <v>0</v>
      </c>
      <c r="BW161" s="9">
        <v>0</v>
      </c>
      <c r="BX161" s="9">
        <v>0</v>
      </c>
      <c r="BY161" s="9">
        <v>0</v>
      </c>
      <c r="BZ161" s="9">
        <v>0</v>
      </c>
      <c r="CA161" s="9">
        <v>0</v>
      </c>
      <c r="CB161" s="9">
        <v>0</v>
      </c>
      <c r="CC161" s="9">
        <v>0</v>
      </c>
      <c r="CD161" s="9">
        <v>0</v>
      </c>
      <c r="CE161" s="9">
        <v>0</v>
      </c>
      <c r="CF161" s="9">
        <v>0</v>
      </c>
      <c r="CG161" s="9">
        <v>0</v>
      </c>
      <c r="CH161" s="9">
        <v>0</v>
      </c>
      <c r="CI161" s="9">
        <v>0</v>
      </c>
      <c r="CJ161" s="9">
        <v>0</v>
      </c>
      <c r="CK161" s="9">
        <v>0</v>
      </c>
      <c r="CL161" s="9">
        <v>0</v>
      </c>
      <c r="CM161" s="9">
        <v>0</v>
      </c>
      <c r="CN161" s="9">
        <v>0</v>
      </c>
      <c r="CO161" s="9">
        <v>0</v>
      </c>
      <c r="CP161" s="9">
        <v>0</v>
      </c>
      <c r="CQ161" s="9">
        <v>0</v>
      </c>
      <c r="CR161" s="9">
        <v>0</v>
      </c>
      <c r="CS161" s="9">
        <v>0</v>
      </c>
      <c r="CT161" s="9">
        <v>0</v>
      </c>
      <c r="CU161" s="9">
        <v>0</v>
      </c>
      <c r="CV161" s="9">
        <v>0</v>
      </c>
      <c r="CW161" s="9">
        <v>0</v>
      </c>
      <c r="CX161" s="9">
        <v>0</v>
      </c>
      <c r="CY161" s="9">
        <v>0</v>
      </c>
      <c r="CZ161" s="9">
        <v>0</v>
      </c>
      <c r="DA161" s="9">
        <v>0</v>
      </c>
      <c r="DB161" s="9">
        <v>0</v>
      </c>
      <c r="DC161" s="9">
        <v>0</v>
      </c>
      <c r="DD161" s="9">
        <v>0</v>
      </c>
      <c r="DE161" s="9">
        <v>0</v>
      </c>
      <c r="DF161" s="9">
        <v>0</v>
      </c>
      <c r="DG161" s="9">
        <v>0</v>
      </c>
      <c r="DH161" s="9">
        <v>0</v>
      </c>
      <c r="DI161" s="9">
        <v>0</v>
      </c>
      <c r="DJ161" s="9">
        <v>0</v>
      </c>
      <c r="DK161" s="9">
        <v>0</v>
      </c>
      <c r="DL161" s="9">
        <v>0</v>
      </c>
      <c r="DM161" s="9">
        <v>0</v>
      </c>
      <c r="DN161" s="9">
        <v>0</v>
      </c>
      <c r="DO161" s="9">
        <v>0</v>
      </c>
      <c r="DP161" s="9">
        <v>0</v>
      </c>
      <c r="DQ161" s="9">
        <v>0</v>
      </c>
      <c r="DR161" s="9">
        <v>0</v>
      </c>
      <c r="DS161" s="9">
        <v>0</v>
      </c>
      <c r="DT161" s="9">
        <v>0</v>
      </c>
      <c r="DU161" s="9">
        <v>0</v>
      </c>
      <c r="DV161" s="9">
        <v>0</v>
      </c>
      <c r="DW161" s="9">
        <v>0</v>
      </c>
      <c r="DX161" s="9">
        <v>0</v>
      </c>
      <c r="DY161" s="9">
        <v>0</v>
      </c>
      <c r="DZ161" s="9">
        <v>0</v>
      </c>
      <c r="EA161" s="9">
        <v>0</v>
      </c>
      <c r="EB161" s="9">
        <v>0</v>
      </c>
      <c r="EC161" s="9">
        <v>0</v>
      </c>
      <c r="ED161" s="9">
        <v>0</v>
      </c>
      <c r="EE161" s="9">
        <v>0</v>
      </c>
      <c r="EF161" s="9">
        <v>0</v>
      </c>
      <c r="EG161" s="9">
        <v>0</v>
      </c>
      <c r="EH161" s="9">
        <v>0</v>
      </c>
      <c r="EI161" s="9">
        <v>0</v>
      </c>
      <c r="EJ161" s="9">
        <v>0</v>
      </c>
      <c r="EK161" s="9">
        <v>0</v>
      </c>
      <c r="EL161" s="9">
        <v>0</v>
      </c>
      <c r="EM161" s="9">
        <v>0</v>
      </c>
      <c r="EN161" s="9">
        <v>0</v>
      </c>
      <c r="EO161" s="9">
        <v>0</v>
      </c>
      <c r="EP161" s="9">
        <v>0</v>
      </c>
      <c r="EQ161" s="9">
        <v>0</v>
      </c>
      <c r="ER161" s="9">
        <v>0</v>
      </c>
      <c r="ES161" s="9">
        <v>0</v>
      </c>
      <c r="ET161" s="9">
        <v>0</v>
      </c>
      <c r="EU161" s="9">
        <v>0</v>
      </c>
      <c r="EV161" s="9">
        <v>0</v>
      </c>
      <c r="EW161" s="9">
        <v>0</v>
      </c>
      <c r="EX161" s="9">
        <v>0</v>
      </c>
      <c r="EY161" s="9">
        <v>0</v>
      </c>
      <c r="EZ161" s="9">
        <v>0</v>
      </c>
      <c r="FA161" s="9">
        <v>0</v>
      </c>
      <c r="FB161" s="9">
        <v>0</v>
      </c>
      <c r="FC161" s="9">
        <v>0</v>
      </c>
      <c r="FD161" s="9">
        <v>0</v>
      </c>
      <c r="FE161" s="9">
        <v>0</v>
      </c>
      <c r="FF161" s="9">
        <v>0</v>
      </c>
      <c r="FG161" s="9">
        <v>0</v>
      </c>
      <c r="FH161" s="9">
        <v>0</v>
      </c>
      <c r="FI161" s="9">
        <v>0</v>
      </c>
      <c r="FJ161" s="9">
        <v>0</v>
      </c>
      <c r="FK161" s="9">
        <v>0</v>
      </c>
      <c r="FL161" s="9">
        <v>0</v>
      </c>
      <c r="FM161" s="10">
        <v>0</v>
      </c>
    </row>
    <row r="162" spans="1:169" x14ac:dyDescent="0.35">
      <c r="A162" s="8" t="s">
        <v>261</v>
      </c>
      <c r="B162" s="9" t="s">
        <v>278</v>
      </c>
      <c r="C162" s="10" t="s">
        <v>279</v>
      </c>
      <c r="D162" s="62">
        <f t="shared" si="99"/>
        <v>0</v>
      </c>
      <c r="E162" s="9">
        <v>0</v>
      </c>
      <c r="F162" s="9">
        <v>0</v>
      </c>
      <c r="G162" s="9">
        <v>0</v>
      </c>
      <c r="H162" s="9">
        <v>0</v>
      </c>
      <c r="I162" s="9">
        <v>0</v>
      </c>
      <c r="J162" s="9">
        <v>0</v>
      </c>
      <c r="K162" s="9">
        <v>0</v>
      </c>
      <c r="L162" s="9">
        <v>0</v>
      </c>
      <c r="M162" s="9">
        <v>0</v>
      </c>
      <c r="N162" s="9">
        <v>0</v>
      </c>
      <c r="O162" s="9">
        <v>0</v>
      </c>
      <c r="P162" s="9">
        <v>0</v>
      </c>
      <c r="Q162" s="9">
        <v>0</v>
      </c>
      <c r="R162" s="9">
        <v>0</v>
      </c>
      <c r="S162" s="9">
        <v>0</v>
      </c>
      <c r="T162" s="9">
        <v>0</v>
      </c>
      <c r="U162" s="9">
        <v>0</v>
      </c>
      <c r="V162" s="9">
        <v>0</v>
      </c>
      <c r="W162" s="9">
        <v>0</v>
      </c>
      <c r="X162" s="9">
        <v>0</v>
      </c>
      <c r="Y162" s="9">
        <v>0</v>
      </c>
      <c r="Z162" s="9">
        <v>0</v>
      </c>
      <c r="AA162" s="9">
        <v>0</v>
      </c>
      <c r="AB162" s="9">
        <v>0</v>
      </c>
      <c r="AC162" s="9">
        <v>0</v>
      </c>
      <c r="AD162" s="9">
        <v>0</v>
      </c>
      <c r="AE162" s="9">
        <v>0</v>
      </c>
      <c r="AF162" s="9">
        <v>0</v>
      </c>
      <c r="AG162" s="9">
        <v>0</v>
      </c>
      <c r="AH162" s="9">
        <v>0</v>
      </c>
      <c r="AI162" s="9">
        <v>0</v>
      </c>
      <c r="AJ162" s="9">
        <v>0</v>
      </c>
      <c r="AK162" s="9">
        <v>0</v>
      </c>
      <c r="AL162" s="9">
        <v>0</v>
      </c>
      <c r="AM162" s="9">
        <v>0</v>
      </c>
      <c r="AN162" s="9">
        <v>0</v>
      </c>
      <c r="AO162" s="9">
        <v>0</v>
      </c>
      <c r="AP162" s="9">
        <v>0</v>
      </c>
      <c r="AQ162" s="9">
        <v>0</v>
      </c>
      <c r="AR162" s="9">
        <v>0</v>
      </c>
      <c r="AS162" s="9">
        <v>0</v>
      </c>
      <c r="AT162" s="9">
        <v>0</v>
      </c>
      <c r="AU162" s="9">
        <v>0</v>
      </c>
      <c r="AV162" s="9">
        <v>0</v>
      </c>
      <c r="AW162" s="9">
        <v>0</v>
      </c>
      <c r="AX162" s="9">
        <v>0</v>
      </c>
      <c r="AY162" s="9">
        <v>0</v>
      </c>
      <c r="AZ162" s="9">
        <v>0</v>
      </c>
      <c r="BA162" s="9">
        <v>0</v>
      </c>
      <c r="BB162" s="9">
        <v>0</v>
      </c>
      <c r="BC162" s="9">
        <v>0</v>
      </c>
      <c r="BD162" s="9">
        <v>0</v>
      </c>
      <c r="BE162" s="9">
        <v>0</v>
      </c>
      <c r="BF162" s="9">
        <v>0</v>
      </c>
      <c r="BG162" s="9">
        <v>0</v>
      </c>
      <c r="BH162" s="9">
        <v>0</v>
      </c>
      <c r="BI162" s="9">
        <v>0</v>
      </c>
      <c r="BJ162" s="9">
        <v>0</v>
      </c>
      <c r="BK162" s="9">
        <v>0</v>
      </c>
      <c r="BL162" s="9">
        <v>0</v>
      </c>
      <c r="BM162" s="9">
        <v>0</v>
      </c>
      <c r="BN162" s="9">
        <v>0</v>
      </c>
      <c r="BO162" s="9">
        <v>0</v>
      </c>
      <c r="BP162" s="9">
        <v>0</v>
      </c>
      <c r="BQ162" s="9">
        <v>0</v>
      </c>
      <c r="BR162" s="9">
        <v>0</v>
      </c>
      <c r="BS162" s="9">
        <v>0</v>
      </c>
      <c r="BT162" s="9">
        <v>0</v>
      </c>
      <c r="BU162" s="9">
        <v>0</v>
      </c>
      <c r="BV162" s="9">
        <v>0</v>
      </c>
      <c r="BW162" s="9">
        <v>0</v>
      </c>
      <c r="BX162" s="9">
        <v>0</v>
      </c>
      <c r="BY162" s="9">
        <v>0</v>
      </c>
      <c r="BZ162" s="9">
        <v>0</v>
      </c>
      <c r="CA162" s="9">
        <v>0</v>
      </c>
      <c r="CB162" s="9">
        <v>0</v>
      </c>
      <c r="CC162" s="9">
        <v>0</v>
      </c>
      <c r="CD162" s="9">
        <v>0</v>
      </c>
      <c r="CE162" s="9">
        <v>0</v>
      </c>
      <c r="CF162" s="9">
        <v>0</v>
      </c>
      <c r="CG162" s="9">
        <v>0</v>
      </c>
      <c r="CH162" s="9">
        <v>0</v>
      </c>
      <c r="CI162" s="9">
        <v>0</v>
      </c>
      <c r="CJ162" s="9">
        <v>0</v>
      </c>
      <c r="CK162" s="9">
        <v>0</v>
      </c>
      <c r="CL162" s="9">
        <v>0</v>
      </c>
      <c r="CM162" s="9">
        <v>0</v>
      </c>
      <c r="CN162" s="9">
        <v>0</v>
      </c>
      <c r="CO162" s="9">
        <v>0</v>
      </c>
      <c r="CP162" s="9">
        <v>0</v>
      </c>
      <c r="CQ162" s="9">
        <v>0</v>
      </c>
      <c r="CR162" s="9">
        <v>0</v>
      </c>
      <c r="CS162" s="9">
        <v>0</v>
      </c>
      <c r="CT162" s="9">
        <v>0</v>
      </c>
      <c r="CU162" s="9">
        <v>0</v>
      </c>
      <c r="CV162" s="9">
        <v>0</v>
      </c>
      <c r="CW162" s="9">
        <v>0</v>
      </c>
      <c r="CX162" s="9">
        <v>0</v>
      </c>
      <c r="CY162" s="9">
        <v>0</v>
      </c>
      <c r="CZ162" s="9">
        <v>0</v>
      </c>
      <c r="DA162" s="9">
        <v>0</v>
      </c>
      <c r="DB162" s="9">
        <v>0</v>
      </c>
      <c r="DC162" s="9">
        <v>0</v>
      </c>
      <c r="DD162" s="9">
        <v>0</v>
      </c>
      <c r="DE162" s="9">
        <v>0</v>
      </c>
      <c r="DF162" s="9">
        <v>0</v>
      </c>
      <c r="DG162" s="9">
        <v>0</v>
      </c>
      <c r="DH162" s="9">
        <v>0</v>
      </c>
      <c r="DI162" s="9">
        <v>0</v>
      </c>
      <c r="DJ162" s="9">
        <v>0</v>
      </c>
      <c r="DK162" s="9">
        <v>0</v>
      </c>
      <c r="DL162" s="9">
        <v>0</v>
      </c>
      <c r="DM162" s="9">
        <v>0</v>
      </c>
      <c r="DN162" s="9">
        <v>0</v>
      </c>
      <c r="DO162" s="9">
        <v>0</v>
      </c>
      <c r="DP162" s="9">
        <v>0</v>
      </c>
      <c r="DQ162" s="9">
        <v>0</v>
      </c>
      <c r="DR162" s="9">
        <v>0</v>
      </c>
      <c r="DS162" s="9">
        <v>0</v>
      </c>
      <c r="DT162" s="9">
        <v>0</v>
      </c>
      <c r="DU162" s="9">
        <v>0</v>
      </c>
      <c r="DV162" s="9">
        <v>0</v>
      </c>
      <c r="DW162" s="9">
        <v>0</v>
      </c>
      <c r="DX162" s="9">
        <v>0</v>
      </c>
      <c r="DY162" s="9">
        <v>0</v>
      </c>
      <c r="DZ162" s="9">
        <v>0</v>
      </c>
      <c r="EA162" s="9">
        <v>0</v>
      </c>
      <c r="EB162" s="9">
        <v>0</v>
      </c>
      <c r="EC162" s="9">
        <v>0</v>
      </c>
      <c r="ED162" s="9">
        <v>0</v>
      </c>
      <c r="EE162" s="9">
        <v>0</v>
      </c>
      <c r="EF162" s="9">
        <v>0</v>
      </c>
      <c r="EG162" s="9">
        <v>0</v>
      </c>
      <c r="EH162" s="9">
        <v>0</v>
      </c>
      <c r="EI162" s="9">
        <v>0</v>
      </c>
      <c r="EJ162" s="9">
        <v>0</v>
      </c>
      <c r="EK162" s="9">
        <v>0</v>
      </c>
      <c r="EL162" s="9">
        <v>0</v>
      </c>
      <c r="EM162" s="9">
        <v>0</v>
      </c>
      <c r="EN162" s="9">
        <v>0</v>
      </c>
      <c r="EO162" s="9">
        <v>0</v>
      </c>
      <c r="EP162" s="9">
        <v>0</v>
      </c>
      <c r="EQ162" s="9">
        <v>0</v>
      </c>
      <c r="ER162" s="9">
        <v>0</v>
      </c>
      <c r="ES162" s="9">
        <v>0</v>
      </c>
      <c r="ET162" s="9">
        <v>0</v>
      </c>
      <c r="EU162" s="9">
        <v>0</v>
      </c>
      <c r="EV162" s="9">
        <v>0</v>
      </c>
      <c r="EW162" s="9">
        <v>0</v>
      </c>
      <c r="EX162" s="9">
        <v>0</v>
      </c>
      <c r="EY162" s="9">
        <v>0</v>
      </c>
      <c r="EZ162" s="9">
        <v>0</v>
      </c>
      <c r="FA162" s="9">
        <v>0</v>
      </c>
      <c r="FB162" s="9">
        <v>0</v>
      </c>
      <c r="FC162" s="9">
        <v>0</v>
      </c>
      <c r="FD162" s="9">
        <v>0</v>
      </c>
      <c r="FE162" s="9">
        <v>0</v>
      </c>
      <c r="FF162" s="9">
        <v>0</v>
      </c>
      <c r="FG162" s="9">
        <v>0</v>
      </c>
      <c r="FH162" s="9">
        <v>0</v>
      </c>
      <c r="FI162" s="9">
        <v>0</v>
      </c>
      <c r="FJ162" s="9">
        <v>0</v>
      </c>
      <c r="FK162" s="9">
        <v>0</v>
      </c>
      <c r="FL162" s="9">
        <v>0</v>
      </c>
      <c r="FM162" s="10">
        <v>0</v>
      </c>
    </row>
    <row r="163" spans="1:169" x14ac:dyDescent="0.35">
      <c r="A163" s="8" t="s">
        <v>261</v>
      </c>
      <c r="B163" s="9" t="s">
        <v>25</v>
      </c>
      <c r="C163" s="10" t="s">
        <v>26</v>
      </c>
      <c r="D163" s="62">
        <f t="shared" si="99"/>
        <v>0</v>
      </c>
      <c r="E163" s="9">
        <v>0</v>
      </c>
      <c r="F163" s="9">
        <v>0</v>
      </c>
      <c r="G163" s="9">
        <v>0</v>
      </c>
      <c r="H163" s="9">
        <v>0</v>
      </c>
      <c r="I163" s="9">
        <v>0</v>
      </c>
      <c r="J163" s="9">
        <v>0</v>
      </c>
      <c r="K163" s="9">
        <v>0</v>
      </c>
      <c r="L163" s="9">
        <v>0</v>
      </c>
      <c r="M163" s="9">
        <v>0</v>
      </c>
      <c r="N163" s="9">
        <v>0</v>
      </c>
      <c r="O163" s="9">
        <v>0</v>
      </c>
      <c r="P163" s="9">
        <v>0</v>
      </c>
      <c r="Q163" s="9">
        <v>0</v>
      </c>
      <c r="R163" s="9">
        <v>0</v>
      </c>
      <c r="S163" s="9">
        <v>0</v>
      </c>
      <c r="T163" s="9">
        <v>0</v>
      </c>
      <c r="U163" s="9">
        <v>0</v>
      </c>
      <c r="V163" s="9">
        <v>0</v>
      </c>
      <c r="W163" s="9">
        <v>0</v>
      </c>
      <c r="X163" s="9">
        <v>0</v>
      </c>
      <c r="Y163" s="9">
        <v>0</v>
      </c>
      <c r="Z163" s="9">
        <v>0</v>
      </c>
      <c r="AA163" s="9">
        <v>0</v>
      </c>
      <c r="AB163" s="9">
        <v>0</v>
      </c>
      <c r="AC163" s="9">
        <v>0</v>
      </c>
      <c r="AD163" s="9">
        <v>0</v>
      </c>
      <c r="AE163" s="9">
        <v>0</v>
      </c>
      <c r="AF163" s="9">
        <v>0</v>
      </c>
      <c r="AG163" s="9">
        <v>0</v>
      </c>
      <c r="AH163" s="9">
        <v>0</v>
      </c>
      <c r="AI163" s="9">
        <v>0</v>
      </c>
      <c r="AJ163" s="9">
        <v>0</v>
      </c>
      <c r="AK163" s="9">
        <v>0</v>
      </c>
      <c r="AL163" s="9">
        <v>0</v>
      </c>
      <c r="AM163" s="9">
        <v>0</v>
      </c>
      <c r="AN163" s="9">
        <v>0</v>
      </c>
      <c r="AO163" s="9">
        <v>0</v>
      </c>
      <c r="AP163" s="9">
        <v>0</v>
      </c>
      <c r="AQ163" s="9">
        <v>0</v>
      </c>
      <c r="AR163" s="9">
        <v>0</v>
      </c>
      <c r="AS163" s="9">
        <v>0</v>
      </c>
      <c r="AT163" s="9">
        <v>0</v>
      </c>
      <c r="AU163" s="9">
        <v>0</v>
      </c>
      <c r="AV163" s="9">
        <v>0</v>
      </c>
      <c r="AW163" s="9">
        <v>0</v>
      </c>
      <c r="AX163" s="9">
        <v>0</v>
      </c>
      <c r="AY163" s="9">
        <v>0</v>
      </c>
      <c r="AZ163" s="9">
        <v>0</v>
      </c>
      <c r="BA163" s="9">
        <v>0</v>
      </c>
      <c r="BB163" s="9">
        <v>0</v>
      </c>
      <c r="BC163" s="9">
        <v>0</v>
      </c>
      <c r="BD163" s="9">
        <v>0</v>
      </c>
      <c r="BE163" s="9">
        <v>0</v>
      </c>
      <c r="BF163" s="9">
        <v>0</v>
      </c>
      <c r="BG163" s="9">
        <v>0</v>
      </c>
      <c r="BH163" s="9">
        <v>0</v>
      </c>
      <c r="BI163" s="9">
        <v>0</v>
      </c>
      <c r="BJ163" s="9">
        <v>0</v>
      </c>
      <c r="BK163" s="9">
        <v>0</v>
      </c>
      <c r="BL163" s="9">
        <v>0</v>
      </c>
      <c r="BM163" s="9">
        <v>0</v>
      </c>
      <c r="BN163" s="9">
        <v>0</v>
      </c>
      <c r="BO163" s="9">
        <v>0</v>
      </c>
      <c r="BP163" s="9">
        <v>0</v>
      </c>
      <c r="BQ163" s="9">
        <v>0</v>
      </c>
      <c r="BR163" s="9">
        <v>0</v>
      </c>
      <c r="BS163" s="9">
        <v>0</v>
      </c>
      <c r="BT163" s="9">
        <v>0</v>
      </c>
      <c r="BU163" s="9">
        <v>0</v>
      </c>
      <c r="BV163" s="9">
        <v>0</v>
      </c>
      <c r="BW163" s="9">
        <v>0</v>
      </c>
      <c r="BX163" s="9">
        <v>0</v>
      </c>
      <c r="BY163" s="9">
        <v>0</v>
      </c>
      <c r="BZ163" s="9">
        <v>0</v>
      </c>
      <c r="CA163" s="9">
        <v>0</v>
      </c>
      <c r="CB163" s="9">
        <v>0</v>
      </c>
      <c r="CC163" s="9">
        <v>0</v>
      </c>
      <c r="CD163" s="9">
        <v>0</v>
      </c>
      <c r="CE163" s="9">
        <v>0</v>
      </c>
      <c r="CF163" s="9">
        <v>0</v>
      </c>
      <c r="CG163" s="9">
        <v>0</v>
      </c>
      <c r="CH163" s="9">
        <v>0</v>
      </c>
      <c r="CI163" s="9">
        <v>0</v>
      </c>
      <c r="CJ163" s="9">
        <v>0</v>
      </c>
      <c r="CK163" s="9">
        <v>0</v>
      </c>
      <c r="CL163" s="9">
        <v>0</v>
      </c>
      <c r="CM163" s="9">
        <v>0</v>
      </c>
      <c r="CN163" s="9">
        <v>0</v>
      </c>
      <c r="CO163" s="9">
        <v>0</v>
      </c>
      <c r="CP163" s="9">
        <v>0</v>
      </c>
      <c r="CQ163" s="9">
        <v>0</v>
      </c>
      <c r="CR163" s="9">
        <v>0</v>
      </c>
      <c r="CS163" s="9">
        <v>0</v>
      </c>
      <c r="CT163" s="9">
        <v>0</v>
      </c>
      <c r="CU163" s="9">
        <v>0</v>
      </c>
      <c r="CV163" s="9">
        <v>0</v>
      </c>
      <c r="CW163" s="9">
        <v>0</v>
      </c>
      <c r="CX163" s="9">
        <v>0</v>
      </c>
      <c r="CY163" s="9">
        <v>0</v>
      </c>
      <c r="CZ163" s="9">
        <v>0</v>
      </c>
      <c r="DA163" s="9">
        <v>0</v>
      </c>
      <c r="DB163" s="9">
        <v>0</v>
      </c>
      <c r="DC163" s="9">
        <v>0</v>
      </c>
      <c r="DD163" s="9">
        <v>0</v>
      </c>
      <c r="DE163" s="9">
        <v>0</v>
      </c>
      <c r="DF163" s="9">
        <v>0</v>
      </c>
      <c r="DG163" s="9">
        <v>0</v>
      </c>
      <c r="DH163" s="9">
        <v>0</v>
      </c>
      <c r="DI163" s="9">
        <v>0</v>
      </c>
      <c r="DJ163" s="9">
        <v>0</v>
      </c>
      <c r="DK163" s="9">
        <v>0</v>
      </c>
      <c r="DL163" s="9">
        <v>0</v>
      </c>
      <c r="DM163" s="9">
        <v>0</v>
      </c>
      <c r="DN163" s="9">
        <v>0</v>
      </c>
      <c r="DO163" s="9">
        <v>0</v>
      </c>
      <c r="DP163" s="9">
        <v>0</v>
      </c>
      <c r="DQ163" s="9">
        <v>0</v>
      </c>
      <c r="DR163" s="9">
        <v>0</v>
      </c>
      <c r="DS163" s="9">
        <v>0</v>
      </c>
      <c r="DT163" s="9">
        <v>0</v>
      </c>
      <c r="DU163" s="9">
        <v>0</v>
      </c>
      <c r="DV163" s="9">
        <v>0</v>
      </c>
      <c r="DW163" s="9">
        <v>0</v>
      </c>
      <c r="DX163" s="9">
        <v>0</v>
      </c>
      <c r="DY163" s="9">
        <v>0</v>
      </c>
      <c r="DZ163" s="9">
        <v>0</v>
      </c>
      <c r="EA163" s="9">
        <v>0</v>
      </c>
      <c r="EB163" s="9">
        <v>0</v>
      </c>
      <c r="EC163" s="9">
        <v>0</v>
      </c>
      <c r="ED163" s="9">
        <v>0</v>
      </c>
      <c r="EE163" s="9">
        <v>0</v>
      </c>
      <c r="EF163" s="9">
        <v>0</v>
      </c>
      <c r="EG163" s="9">
        <v>0</v>
      </c>
      <c r="EH163" s="9">
        <v>0</v>
      </c>
      <c r="EI163" s="9">
        <v>0</v>
      </c>
      <c r="EJ163" s="9">
        <v>0</v>
      </c>
      <c r="EK163" s="9">
        <v>0</v>
      </c>
      <c r="EL163" s="9">
        <v>0</v>
      </c>
      <c r="EM163" s="9">
        <v>0</v>
      </c>
      <c r="EN163" s="9">
        <v>0</v>
      </c>
      <c r="EO163" s="9">
        <v>0</v>
      </c>
      <c r="EP163" s="9">
        <v>0</v>
      </c>
      <c r="EQ163" s="9">
        <v>0</v>
      </c>
      <c r="ER163" s="9">
        <v>0</v>
      </c>
      <c r="ES163" s="9">
        <v>0</v>
      </c>
      <c r="ET163" s="9">
        <v>0</v>
      </c>
      <c r="EU163" s="9">
        <v>0</v>
      </c>
      <c r="EV163" s="9">
        <v>0</v>
      </c>
      <c r="EW163" s="9">
        <v>0</v>
      </c>
      <c r="EX163" s="9">
        <v>0</v>
      </c>
      <c r="EY163" s="9">
        <v>0</v>
      </c>
      <c r="EZ163" s="9">
        <v>0</v>
      </c>
      <c r="FA163" s="9">
        <v>0</v>
      </c>
      <c r="FB163" s="9">
        <v>0</v>
      </c>
      <c r="FC163" s="9">
        <v>0</v>
      </c>
      <c r="FD163" s="9">
        <v>0</v>
      </c>
      <c r="FE163" s="9">
        <v>0</v>
      </c>
      <c r="FF163" s="9">
        <v>0</v>
      </c>
      <c r="FG163" s="9">
        <v>0</v>
      </c>
      <c r="FH163" s="9">
        <v>0</v>
      </c>
      <c r="FI163" s="9">
        <v>0</v>
      </c>
      <c r="FJ163" s="9">
        <v>0</v>
      </c>
      <c r="FK163" s="9">
        <v>0</v>
      </c>
      <c r="FL163" s="9">
        <v>0</v>
      </c>
      <c r="FM163" s="10">
        <v>0</v>
      </c>
    </row>
    <row r="164" spans="1:169" x14ac:dyDescent="0.35">
      <c r="A164" s="8" t="s">
        <v>261</v>
      </c>
      <c r="B164" s="9" t="s">
        <v>29</v>
      </c>
      <c r="C164" s="10" t="s">
        <v>30</v>
      </c>
      <c r="D164" s="62">
        <f t="shared" si="99"/>
        <v>0</v>
      </c>
      <c r="E164" s="9">
        <v>0</v>
      </c>
      <c r="F164" s="9">
        <v>0</v>
      </c>
      <c r="G164" s="9">
        <v>0</v>
      </c>
      <c r="H164" s="9">
        <v>0</v>
      </c>
      <c r="I164" s="9">
        <v>0</v>
      </c>
      <c r="J164" s="9">
        <v>0</v>
      </c>
      <c r="K164" s="9">
        <v>0</v>
      </c>
      <c r="L164" s="9">
        <v>0</v>
      </c>
      <c r="M164" s="9">
        <v>0</v>
      </c>
      <c r="N164" s="9">
        <v>0</v>
      </c>
      <c r="O164" s="9">
        <v>0</v>
      </c>
      <c r="P164" s="9">
        <v>0</v>
      </c>
      <c r="Q164" s="9">
        <v>0</v>
      </c>
      <c r="R164" s="9">
        <v>0</v>
      </c>
      <c r="S164" s="9">
        <v>0</v>
      </c>
      <c r="T164" s="9">
        <v>0</v>
      </c>
      <c r="U164" s="9">
        <v>0</v>
      </c>
      <c r="V164" s="9">
        <v>0</v>
      </c>
      <c r="W164" s="9">
        <v>0</v>
      </c>
      <c r="X164" s="9">
        <v>0</v>
      </c>
      <c r="Y164" s="9">
        <v>0</v>
      </c>
      <c r="Z164" s="9">
        <v>0</v>
      </c>
      <c r="AA164" s="9">
        <v>0</v>
      </c>
      <c r="AB164" s="9">
        <v>0</v>
      </c>
      <c r="AC164" s="9">
        <v>0</v>
      </c>
      <c r="AD164" s="9">
        <v>0</v>
      </c>
      <c r="AE164" s="9">
        <v>0</v>
      </c>
      <c r="AF164" s="9">
        <v>0</v>
      </c>
      <c r="AG164" s="9">
        <v>0</v>
      </c>
      <c r="AH164" s="9">
        <v>0</v>
      </c>
      <c r="AI164" s="9">
        <v>0</v>
      </c>
      <c r="AJ164" s="9">
        <v>0</v>
      </c>
      <c r="AK164" s="9">
        <v>0</v>
      </c>
      <c r="AL164" s="9">
        <v>0</v>
      </c>
      <c r="AM164" s="9">
        <v>0</v>
      </c>
      <c r="AN164" s="9">
        <v>0</v>
      </c>
      <c r="AO164" s="9">
        <v>0</v>
      </c>
      <c r="AP164" s="9">
        <v>0</v>
      </c>
      <c r="AQ164" s="9">
        <v>0</v>
      </c>
      <c r="AR164" s="9">
        <v>0</v>
      </c>
      <c r="AS164" s="9">
        <v>0</v>
      </c>
      <c r="AT164" s="9">
        <v>0</v>
      </c>
      <c r="AU164" s="9">
        <v>0</v>
      </c>
      <c r="AV164" s="9">
        <v>0</v>
      </c>
      <c r="AW164" s="9">
        <v>0</v>
      </c>
      <c r="AX164" s="9">
        <v>0</v>
      </c>
      <c r="AY164" s="9">
        <v>0</v>
      </c>
      <c r="AZ164" s="9">
        <v>0</v>
      </c>
      <c r="BA164" s="9">
        <v>0</v>
      </c>
      <c r="BB164" s="9">
        <v>0</v>
      </c>
      <c r="BC164" s="9">
        <v>0</v>
      </c>
      <c r="BD164" s="9">
        <v>0</v>
      </c>
      <c r="BE164" s="9">
        <v>0</v>
      </c>
      <c r="BF164" s="9">
        <v>0</v>
      </c>
      <c r="BG164" s="9">
        <v>0</v>
      </c>
      <c r="BH164" s="9">
        <v>0</v>
      </c>
      <c r="BI164" s="9">
        <v>0</v>
      </c>
      <c r="BJ164" s="9">
        <v>0</v>
      </c>
      <c r="BK164" s="9">
        <v>0</v>
      </c>
      <c r="BL164" s="9">
        <v>0</v>
      </c>
      <c r="BM164" s="9">
        <v>0</v>
      </c>
      <c r="BN164" s="9">
        <v>0</v>
      </c>
      <c r="BO164" s="9">
        <v>0</v>
      </c>
      <c r="BP164" s="9">
        <v>0</v>
      </c>
      <c r="BQ164" s="9">
        <v>0</v>
      </c>
      <c r="BR164" s="9">
        <v>0</v>
      </c>
      <c r="BS164" s="9">
        <v>0</v>
      </c>
      <c r="BT164" s="9">
        <v>0</v>
      </c>
      <c r="BU164" s="9">
        <v>0</v>
      </c>
      <c r="BV164" s="9">
        <v>0</v>
      </c>
      <c r="BW164" s="9">
        <v>0</v>
      </c>
      <c r="BX164" s="9">
        <v>0</v>
      </c>
      <c r="BY164" s="9">
        <v>0</v>
      </c>
      <c r="BZ164" s="9">
        <v>0</v>
      </c>
      <c r="CA164" s="9">
        <v>0</v>
      </c>
      <c r="CB164" s="9">
        <v>0</v>
      </c>
      <c r="CC164" s="9">
        <v>0</v>
      </c>
      <c r="CD164" s="9">
        <v>0</v>
      </c>
      <c r="CE164" s="9">
        <v>0</v>
      </c>
      <c r="CF164" s="9">
        <v>0</v>
      </c>
      <c r="CG164" s="9">
        <v>0</v>
      </c>
      <c r="CH164" s="9">
        <v>0</v>
      </c>
      <c r="CI164" s="9">
        <v>0</v>
      </c>
      <c r="CJ164" s="9">
        <v>0</v>
      </c>
      <c r="CK164" s="9">
        <v>0</v>
      </c>
      <c r="CL164" s="9">
        <v>0</v>
      </c>
      <c r="CM164" s="9">
        <v>0</v>
      </c>
      <c r="CN164" s="9">
        <v>0</v>
      </c>
      <c r="CO164" s="9">
        <v>0</v>
      </c>
      <c r="CP164" s="9">
        <v>0</v>
      </c>
      <c r="CQ164" s="9">
        <v>0</v>
      </c>
      <c r="CR164" s="9">
        <v>0</v>
      </c>
      <c r="CS164" s="9">
        <v>0</v>
      </c>
      <c r="CT164" s="9">
        <v>0</v>
      </c>
      <c r="CU164" s="9">
        <v>0</v>
      </c>
      <c r="CV164" s="9">
        <v>0</v>
      </c>
      <c r="CW164" s="9">
        <v>0</v>
      </c>
      <c r="CX164" s="9">
        <v>0</v>
      </c>
      <c r="CY164" s="9">
        <v>0</v>
      </c>
      <c r="CZ164" s="9">
        <v>0</v>
      </c>
      <c r="DA164" s="9">
        <v>0</v>
      </c>
      <c r="DB164" s="9">
        <v>0</v>
      </c>
      <c r="DC164" s="9">
        <v>0</v>
      </c>
      <c r="DD164" s="9">
        <v>0</v>
      </c>
      <c r="DE164" s="9">
        <v>0</v>
      </c>
      <c r="DF164" s="9">
        <v>0</v>
      </c>
      <c r="DG164" s="9">
        <v>0</v>
      </c>
      <c r="DH164" s="9">
        <v>0</v>
      </c>
      <c r="DI164" s="9">
        <v>0</v>
      </c>
      <c r="DJ164" s="9">
        <v>0</v>
      </c>
      <c r="DK164" s="9">
        <v>0</v>
      </c>
      <c r="DL164" s="9">
        <v>0</v>
      </c>
      <c r="DM164" s="9">
        <v>0</v>
      </c>
      <c r="DN164" s="9">
        <v>0</v>
      </c>
      <c r="DO164" s="9">
        <v>0</v>
      </c>
      <c r="DP164" s="9">
        <v>0</v>
      </c>
      <c r="DQ164" s="9">
        <v>0</v>
      </c>
      <c r="DR164" s="9">
        <v>0</v>
      </c>
      <c r="DS164" s="9">
        <v>0</v>
      </c>
      <c r="DT164" s="9">
        <v>0</v>
      </c>
      <c r="DU164" s="9">
        <v>0</v>
      </c>
      <c r="DV164" s="9">
        <v>0</v>
      </c>
      <c r="DW164" s="9">
        <v>0</v>
      </c>
      <c r="DX164" s="9">
        <v>0</v>
      </c>
      <c r="DY164" s="9">
        <v>0</v>
      </c>
      <c r="DZ164" s="9">
        <v>0</v>
      </c>
      <c r="EA164" s="9">
        <v>0</v>
      </c>
      <c r="EB164" s="9">
        <v>0</v>
      </c>
      <c r="EC164" s="9">
        <v>0</v>
      </c>
      <c r="ED164" s="9">
        <v>0</v>
      </c>
      <c r="EE164" s="9">
        <v>0</v>
      </c>
      <c r="EF164" s="9">
        <v>0</v>
      </c>
      <c r="EG164" s="9">
        <v>0</v>
      </c>
      <c r="EH164" s="9">
        <v>0</v>
      </c>
      <c r="EI164" s="9">
        <v>0</v>
      </c>
      <c r="EJ164" s="9">
        <v>0</v>
      </c>
      <c r="EK164" s="9">
        <v>0</v>
      </c>
      <c r="EL164" s="9">
        <v>0</v>
      </c>
      <c r="EM164" s="9">
        <v>0</v>
      </c>
      <c r="EN164" s="9">
        <v>0</v>
      </c>
      <c r="EO164" s="9">
        <v>0</v>
      </c>
      <c r="EP164" s="9">
        <v>0</v>
      </c>
      <c r="EQ164" s="9">
        <v>0</v>
      </c>
      <c r="ER164" s="9">
        <v>0</v>
      </c>
      <c r="ES164" s="9">
        <v>0</v>
      </c>
      <c r="ET164" s="9">
        <v>0</v>
      </c>
      <c r="EU164" s="9">
        <v>0</v>
      </c>
      <c r="EV164" s="9">
        <v>0</v>
      </c>
      <c r="EW164" s="9">
        <v>0</v>
      </c>
      <c r="EX164" s="9">
        <v>0</v>
      </c>
      <c r="EY164" s="9">
        <v>0</v>
      </c>
      <c r="EZ164" s="9">
        <v>0</v>
      </c>
      <c r="FA164" s="9">
        <v>0</v>
      </c>
      <c r="FB164" s="9">
        <v>0</v>
      </c>
      <c r="FC164" s="9">
        <v>0</v>
      </c>
      <c r="FD164" s="9">
        <v>0</v>
      </c>
      <c r="FE164" s="9">
        <v>0</v>
      </c>
      <c r="FF164" s="9">
        <v>0</v>
      </c>
      <c r="FG164" s="9">
        <v>0</v>
      </c>
      <c r="FH164" s="9">
        <v>0</v>
      </c>
      <c r="FI164" s="9">
        <v>0</v>
      </c>
      <c r="FJ164" s="9">
        <v>0</v>
      </c>
      <c r="FK164" s="9">
        <v>0</v>
      </c>
      <c r="FL164" s="9">
        <v>0</v>
      </c>
      <c r="FM164" s="10">
        <v>0</v>
      </c>
    </row>
    <row r="165" spans="1:169" x14ac:dyDescent="0.35">
      <c r="A165" s="8" t="s">
        <v>261</v>
      </c>
      <c r="B165" s="9" t="s">
        <v>280</v>
      </c>
      <c r="C165" s="10" t="s">
        <v>281</v>
      </c>
      <c r="D165" s="62">
        <f t="shared" si="99"/>
        <v>211</v>
      </c>
      <c r="E165" s="9">
        <v>7</v>
      </c>
      <c r="F165" s="9">
        <v>10</v>
      </c>
      <c r="G165" s="9">
        <v>11</v>
      </c>
      <c r="H165" s="9">
        <v>16</v>
      </c>
      <c r="I165" s="9">
        <v>18</v>
      </c>
      <c r="J165" s="9">
        <v>17</v>
      </c>
      <c r="K165" s="9">
        <v>25</v>
      </c>
      <c r="L165" s="9">
        <v>42</v>
      </c>
      <c r="M165" s="9">
        <v>50</v>
      </c>
      <c r="N165" s="9">
        <v>49</v>
      </c>
      <c r="O165" s="9">
        <v>67</v>
      </c>
      <c r="P165" s="9">
        <v>74</v>
      </c>
      <c r="Q165" s="9">
        <v>73</v>
      </c>
      <c r="R165" s="9">
        <v>93</v>
      </c>
      <c r="S165" s="9">
        <v>150</v>
      </c>
      <c r="T165" s="9">
        <v>167</v>
      </c>
      <c r="U165" s="9">
        <v>169</v>
      </c>
      <c r="V165" s="9">
        <v>186</v>
      </c>
      <c r="W165" s="9">
        <v>190</v>
      </c>
      <c r="X165" s="9">
        <v>199</v>
      </c>
      <c r="Y165" s="9">
        <v>211</v>
      </c>
      <c r="Z165" s="9">
        <v>199</v>
      </c>
      <c r="AA165" s="9">
        <v>196</v>
      </c>
      <c r="AB165" s="9">
        <v>200</v>
      </c>
      <c r="AC165" s="9">
        <v>185</v>
      </c>
      <c r="AD165" s="9">
        <v>177</v>
      </c>
      <c r="AE165" s="9">
        <v>168</v>
      </c>
      <c r="AF165" s="9">
        <v>157</v>
      </c>
      <c r="AG165" s="9">
        <v>152</v>
      </c>
      <c r="AH165" s="9">
        <v>143</v>
      </c>
      <c r="AI165" s="9">
        <v>134</v>
      </c>
      <c r="AJ165" s="9">
        <v>144</v>
      </c>
      <c r="AK165" s="9">
        <v>133</v>
      </c>
      <c r="AL165" s="9">
        <v>119</v>
      </c>
      <c r="AM165" s="9">
        <v>106</v>
      </c>
      <c r="AN165" s="9">
        <v>100</v>
      </c>
      <c r="AO165" s="9">
        <v>104</v>
      </c>
      <c r="AP165" s="9">
        <v>102</v>
      </c>
      <c r="AQ165" s="9">
        <v>104</v>
      </c>
      <c r="AR165" s="9">
        <v>111</v>
      </c>
      <c r="AS165" s="9">
        <v>103</v>
      </c>
      <c r="AT165" s="9">
        <v>102</v>
      </c>
      <c r="AU165" s="9">
        <v>121</v>
      </c>
      <c r="AV165" s="9">
        <v>106</v>
      </c>
      <c r="AW165" s="9">
        <v>100</v>
      </c>
      <c r="AX165" s="9">
        <v>96</v>
      </c>
      <c r="AY165" s="9">
        <v>90</v>
      </c>
      <c r="AZ165" s="9">
        <v>83</v>
      </c>
      <c r="BA165" s="9">
        <v>75</v>
      </c>
      <c r="BB165" s="9">
        <v>66</v>
      </c>
      <c r="BC165" s="9">
        <v>65</v>
      </c>
      <c r="BD165" s="9">
        <v>64</v>
      </c>
      <c r="BE165" s="9">
        <v>63</v>
      </c>
      <c r="BF165" s="9">
        <v>59</v>
      </c>
      <c r="BG165" s="9">
        <v>58</v>
      </c>
      <c r="BH165" s="9">
        <v>57</v>
      </c>
      <c r="BI165" s="9">
        <v>48</v>
      </c>
      <c r="BJ165" s="9">
        <v>44</v>
      </c>
      <c r="BK165" s="9">
        <v>42</v>
      </c>
      <c r="BL165" s="9">
        <v>44</v>
      </c>
      <c r="BM165" s="9">
        <v>51</v>
      </c>
      <c r="BN165" s="9">
        <v>46</v>
      </c>
      <c r="BO165" s="9">
        <v>41</v>
      </c>
      <c r="BP165" s="9">
        <v>37</v>
      </c>
      <c r="BQ165" s="9">
        <v>34</v>
      </c>
      <c r="BR165" s="9">
        <v>30</v>
      </c>
      <c r="BS165" s="9">
        <v>28</v>
      </c>
      <c r="BT165" s="9">
        <v>37</v>
      </c>
      <c r="BU165" s="9">
        <v>26</v>
      </c>
      <c r="BV165" s="9">
        <v>25</v>
      </c>
      <c r="BW165" s="9">
        <v>25</v>
      </c>
      <c r="BX165" s="9">
        <v>24</v>
      </c>
      <c r="BY165" s="9">
        <v>23</v>
      </c>
      <c r="BZ165" s="9">
        <v>25</v>
      </c>
      <c r="CA165" s="9">
        <v>21</v>
      </c>
      <c r="CB165" s="9">
        <v>17</v>
      </c>
      <c r="CC165" s="9">
        <v>19</v>
      </c>
      <c r="CD165" s="9">
        <v>18</v>
      </c>
      <c r="CE165" s="9">
        <v>17</v>
      </c>
      <c r="CF165" s="9">
        <v>18</v>
      </c>
      <c r="CG165" s="9">
        <v>17</v>
      </c>
      <c r="CH165" s="9">
        <v>17</v>
      </c>
      <c r="CI165" s="9">
        <v>16</v>
      </c>
      <c r="CJ165" s="9">
        <v>17</v>
      </c>
      <c r="CK165" s="9">
        <v>17</v>
      </c>
      <c r="CL165" s="9">
        <v>13</v>
      </c>
      <c r="CM165" s="9">
        <v>13</v>
      </c>
      <c r="CN165" s="9">
        <v>13</v>
      </c>
      <c r="CO165" s="9">
        <v>11</v>
      </c>
      <c r="CP165" s="9">
        <v>11</v>
      </c>
      <c r="CQ165" s="9">
        <v>10</v>
      </c>
      <c r="CR165" s="9">
        <v>9</v>
      </c>
      <c r="CS165" s="9">
        <v>7</v>
      </c>
      <c r="CT165" s="9">
        <v>7</v>
      </c>
      <c r="CU165" s="9">
        <v>7</v>
      </c>
      <c r="CV165" s="9">
        <v>6</v>
      </c>
      <c r="CW165" s="9">
        <v>4</v>
      </c>
      <c r="CX165" s="9">
        <v>4</v>
      </c>
      <c r="CY165" s="9">
        <v>4</v>
      </c>
      <c r="CZ165" s="9">
        <v>4</v>
      </c>
      <c r="DA165" s="9">
        <v>4</v>
      </c>
      <c r="DB165" s="9">
        <v>5</v>
      </c>
      <c r="DC165" s="9">
        <v>5</v>
      </c>
      <c r="DD165" s="9">
        <v>6</v>
      </c>
      <c r="DE165" s="9">
        <v>6</v>
      </c>
      <c r="DF165" s="9">
        <v>4</v>
      </c>
      <c r="DG165" s="9">
        <v>3</v>
      </c>
      <c r="DH165" s="9">
        <v>3</v>
      </c>
      <c r="DI165" s="9">
        <v>4</v>
      </c>
      <c r="DJ165" s="9">
        <v>4</v>
      </c>
      <c r="DK165" s="9">
        <v>4</v>
      </c>
      <c r="DL165" s="9">
        <v>2</v>
      </c>
      <c r="DM165" s="9">
        <v>4</v>
      </c>
      <c r="DN165" s="9">
        <v>3</v>
      </c>
      <c r="DO165" s="9">
        <v>4</v>
      </c>
      <c r="DP165" s="9">
        <v>4</v>
      </c>
      <c r="DQ165" s="9">
        <v>4</v>
      </c>
      <c r="DR165" s="9">
        <v>2</v>
      </c>
      <c r="DS165" s="9">
        <v>2</v>
      </c>
      <c r="DT165" s="9">
        <v>1</v>
      </c>
      <c r="DU165" s="9">
        <v>1</v>
      </c>
      <c r="DV165" s="9">
        <v>1</v>
      </c>
      <c r="DW165" s="9">
        <v>1</v>
      </c>
      <c r="DX165" s="9">
        <v>1</v>
      </c>
      <c r="DY165" s="9">
        <v>1</v>
      </c>
      <c r="DZ165" s="9">
        <v>1</v>
      </c>
      <c r="EA165" s="9">
        <v>1</v>
      </c>
      <c r="EB165" s="9">
        <v>1</v>
      </c>
      <c r="EC165" s="9">
        <v>1</v>
      </c>
      <c r="ED165" s="9">
        <v>2</v>
      </c>
      <c r="EE165" s="9">
        <v>2</v>
      </c>
      <c r="EF165" s="9">
        <v>2</v>
      </c>
      <c r="EG165" s="9">
        <v>2</v>
      </c>
      <c r="EH165" s="9">
        <v>2</v>
      </c>
      <c r="EI165" s="9">
        <v>2</v>
      </c>
      <c r="EJ165" s="9">
        <v>2</v>
      </c>
      <c r="EK165" s="9">
        <v>3</v>
      </c>
      <c r="EL165" s="9">
        <v>3</v>
      </c>
      <c r="EM165" s="9">
        <v>3</v>
      </c>
      <c r="EN165" s="9">
        <v>3</v>
      </c>
      <c r="EO165" s="9">
        <v>3</v>
      </c>
      <c r="EP165" s="9">
        <v>2</v>
      </c>
      <c r="EQ165" s="9">
        <v>2</v>
      </c>
      <c r="ER165" s="9">
        <v>2</v>
      </c>
      <c r="ES165" s="9">
        <v>3</v>
      </c>
      <c r="ET165" s="9">
        <v>3</v>
      </c>
      <c r="EU165" s="9">
        <v>3</v>
      </c>
      <c r="EV165" s="9">
        <v>1</v>
      </c>
      <c r="EW165" s="9">
        <v>1</v>
      </c>
      <c r="EX165" s="9">
        <v>1</v>
      </c>
      <c r="EY165" s="9">
        <v>1</v>
      </c>
      <c r="EZ165" s="9">
        <v>1</v>
      </c>
      <c r="FA165" s="9">
        <v>0</v>
      </c>
      <c r="FB165" s="9">
        <v>0</v>
      </c>
      <c r="FC165" s="9">
        <v>0</v>
      </c>
      <c r="FD165" s="9">
        <v>0</v>
      </c>
      <c r="FE165" s="9">
        <v>0</v>
      </c>
      <c r="FF165" s="9">
        <v>0</v>
      </c>
      <c r="FG165" s="9">
        <v>0</v>
      </c>
      <c r="FH165" s="9">
        <v>0</v>
      </c>
      <c r="FI165" s="9">
        <v>1</v>
      </c>
      <c r="FJ165" s="9">
        <v>1</v>
      </c>
      <c r="FK165" s="9">
        <v>1</v>
      </c>
      <c r="FL165" s="9">
        <v>1</v>
      </c>
      <c r="FM165" s="10">
        <v>1</v>
      </c>
    </row>
    <row r="166" spans="1:169" x14ac:dyDescent="0.35">
      <c r="A166" s="8" t="s">
        <v>261</v>
      </c>
      <c r="B166" s="9" t="s">
        <v>282</v>
      </c>
      <c r="C166" s="10" t="s">
        <v>283</v>
      </c>
      <c r="D166" s="62">
        <f t="shared" si="99"/>
        <v>192</v>
      </c>
      <c r="E166" s="9">
        <v>1</v>
      </c>
      <c r="F166" s="9">
        <v>3</v>
      </c>
      <c r="G166" s="9">
        <v>4</v>
      </c>
      <c r="H166" s="9">
        <v>2</v>
      </c>
      <c r="I166" s="9">
        <v>5</v>
      </c>
      <c r="J166" s="9">
        <v>11</v>
      </c>
      <c r="K166" s="9">
        <v>11</v>
      </c>
      <c r="L166" s="9">
        <v>13</v>
      </c>
      <c r="M166" s="9">
        <v>14</v>
      </c>
      <c r="N166" s="9">
        <v>22</v>
      </c>
      <c r="O166" s="9">
        <v>28</v>
      </c>
      <c r="P166" s="9">
        <v>27</v>
      </c>
      <c r="Q166" s="9">
        <v>37</v>
      </c>
      <c r="R166" s="9">
        <v>42</v>
      </c>
      <c r="S166" s="9">
        <v>55</v>
      </c>
      <c r="T166" s="9">
        <v>60</v>
      </c>
      <c r="U166" s="9">
        <v>60</v>
      </c>
      <c r="V166" s="9">
        <v>72</v>
      </c>
      <c r="W166" s="9">
        <v>76</v>
      </c>
      <c r="X166" s="9">
        <v>90</v>
      </c>
      <c r="Y166" s="9">
        <v>192</v>
      </c>
      <c r="Z166" s="9">
        <v>106</v>
      </c>
      <c r="AA166" s="9">
        <v>99</v>
      </c>
      <c r="AB166" s="9">
        <v>88</v>
      </c>
      <c r="AC166" s="9">
        <v>81</v>
      </c>
      <c r="AD166" s="9">
        <v>83</v>
      </c>
      <c r="AE166" s="9">
        <v>82</v>
      </c>
      <c r="AF166" s="9">
        <v>89</v>
      </c>
      <c r="AG166" s="9">
        <v>78</v>
      </c>
      <c r="AH166" s="9">
        <v>80</v>
      </c>
      <c r="AI166" s="9">
        <v>76</v>
      </c>
      <c r="AJ166" s="9">
        <v>71</v>
      </c>
      <c r="AK166" s="9">
        <v>74</v>
      </c>
      <c r="AL166" s="9">
        <v>76</v>
      </c>
      <c r="AM166" s="9">
        <v>87</v>
      </c>
      <c r="AN166" s="9">
        <v>89</v>
      </c>
      <c r="AO166" s="9">
        <v>89</v>
      </c>
      <c r="AP166" s="9">
        <v>79</v>
      </c>
      <c r="AQ166" s="9">
        <v>80</v>
      </c>
      <c r="AR166" s="9">
        <v>91</v>
      </c>
      <c r="AS166" s="9">
        <v>97</v>
      </c>
      <c r="AT166" s="9">
        <v>98</v>
      </c>
      <c r="AU166" s="9">
        <v>97</v>
      </c>
      <c r="AV166" s="9">
        <v>94</v>
      </c>
      <c r="AW166" s="9">
        <v>84</v>
      </c>
      <c r="AX166" s="9">
        <v>94</v>
      </c>
      <c r="AY166" s="9">
        <v>103</v>
      </c>
      <c r="AZ166" s="9">
        <v>97</v>
      </c>
      <c r="BA166" s="9">
        <v>92</v>
      </c>
      <c r="BB166" s="9">
        <v>94</v>
      </c>
      <c r="BC166" s="9">
        <v>88</v>
      </c>
      <c r="BD166" s="9">
        <v>93</v>
      </c>
      <c r="BE166" s="9">
        <v>84</v>
      </c>
      <c r="BF166" s="9">
        <v>75</v>
      </c>
      <c r="BG166" s="9">
        <v>74</v>
      </c>
      <c r="BH166" s="9">
        <v>80</v>
      </c>
      <c r="BI166" s="9">
        <v>79</v>
      </c>
      <c r="BJ166" s="9">
        <v>74</v>
      </c>
      <c r="BK166" s="9">
        <v>77</v>
      </c>
      <c r="BL166" s="9">
        <v>75</v>
      </c>
      <c r="BM166" s="9">
        <v>85</v>
      </c>
      <c r="BN166" s="9">
        <v>85</v>
      </c>
      <c r="BO166" s="9">
        <v>88</v>
      </c>
      <c r="BP166" s="9">
        <v>88</v>
      </c>
      <c r="BQ166" s="9">
        <v>82</v>
      </c>
      <c r="BR166" s="9">
        <v>83</v>
      </c>
      <c r="BS166" s="9">
        <v>86</v>
      </c>
      <c r="BT166" s="9">
        <v>87</v>
      </c>
      <c r="BU166" s="9">
        <v>81</v>
      </c>
      <c r="BV166" s="9">
        <v>87</v>
      </c>
      <c r="BW166" s="9">
        <v>75</v>
      </c>
      <c r="BX166" s="9">
        <v>73</v>
      </c>
      <c r="BY166" s="9">
        <v>67</v>
      </c>
      <c r="BZ166" s="9">
        <v>70</v>
      </c>
      <c r="CA166" s="9">
        <v>65</v>
      </c>
      <c r="CB166" s="9">
        <v>66</v>
      </c>
      <c r="CC166" s="9">
        <v>59</v>
      </c>
      <c r="CD166" s="9">
        <v>61</v>
      </c>
      <c r="CE166" s="9">
        <v>56</v>
      </c>
      <c r="CF166" s="9">
        <v>51</v>
      </c>
      <c r="CG166" s="9">
        <v>55</v>
      </c>
      <c r="CH166" s="9">
        <v>52</v>
      </c>
      <c r="CI166" s="9">
        <v>51</v>
      </c>
      <c r="CJ166" s="9">
        <v>47</v>
      </c>
      <c r="CK166" s="9">
        <v>46</v>
      </c>
      <c r="CL166" s="9">
        <v>41</v>
      </c>
      <c r="CM166" s="9">
        <v>47</v>
      </c>
      <c r="CN166" s="9">
        <v>47</v>
      </c>
      <c r="CO166" s="9">
        <v>54</v>
      </c>
      <c r="CP166" s="9">
        <v>59</v>
      </c>
      <c r="CQ166" s="9">
        <v>61</v>
      </c>
      <c r="CR166" s="9">
        <v>54</v>
      </c>
      <c r="CS166" s="9">
        <v>50</v>
      </c>
      <c r="CT166" s="9">
        <v>48</v>
      </c>
      <c r="CU166" s="9">
        <v>52</v>
      </c>
      <c r="CV166" s="9">
        <v>49</v>
      </c>
      <c r="CW166" s="9">
        <v>54</v>
      </c>
      <c r="CX166" s="9">
        <v>46</v>
      </c>
      <c r="CY166" s="9">
        <v>53</v>
      </c>
      <c r="CZ166" s="9">
        <v>53</v>
      </c>
      <c r="DA166" s="9">
        <v>57</v>
      </c>
      <c r="DB166" s="9">
        <v>55</v>
      </c>
      <c r="DC166" s="9">
        <v>56</v>
      </c>
      <c r="DD166" s="9">
        <v>54</v>
      </c>
      <c r="DE166" s="9">
        <v>50</v>
      </c>
      <c r="DF166" s="9">
        <v>47</v>
      </c>
      <c r="DG166" s="9">
        <v>43</v>
      </c>
      <c r="DH166" s="9">
        <v>42</v>
      </c>
      <c r="DI166" s="9">
        <v>40</v>
      </c>
      <c r="DJ166" s="9">
        <v>38</v>
      </c>
      <c r="DK166" s="9">
        <v>35</v>
      </c>
      <c r="DL166" s="9">
        <v>31</v>
      </c>
      <c r="DM166" s="9">
        <v>28</v>
      </c>
      <c r="DN166" s="9">
        <v>29</v>
      </c>
      <c r="DO166" s="9">
        <v>30</v>
      </c>
      <c r="DP166" s="9">
        <v>29</v>
      </c>
      <c r="DQ166" s="9">
        <v>26</v>
      </c>
      <c r="DR166" s="9">
        <v>15</v>
      </c>
      <c r="DS166" s="9">
        <v>13</v>
      </c>
      <c r="DT166" s="9">
        <v>18</v>
      </c>
      <c r="DU166" s="9">
        <v>15</v>
      </c>
      <c r="DV166" s="9">
        <v>16</v>
      </c>
      <c r="DW166" s="9">
        <v>15</v>
      </c>
      <c r="DX166" s="9">
        <v>12</v>
      </c>
      <c r="DY166" s="9">
        <v>14</v>
      </c>
      <c r="DZ166" s="9">
        <v>12</v>
      </c>
      <c r="EA166" s="9">
        <v>11</v>
      </c>
      <c r="EB166" s="9">
        <v>13</v>
      </c>
      <c r="EC166" s="9">
        <v>11</v>
      </c>
      <c r="ED166" s="9">
        <v>11</v>
      </c>
      <c r="EE166" s="9">
        <v>11</v>
      </c>
      <c r="EF166" s="9">
        <v>11</v>
      </c>
      <c r="EG166" s="9">
        <v>10</v>
      </c>
      <c r="EH166" s="9">
        <v>11</v>
      </c>
      <c r="EI166" s="9">
        <v>12</v>
      </c>
      <c r="EJ166" s="9">
        <v>9</v>
      </c>
      <c r="EK166" s="9">
        <v>7</v>
      </c>
      <c r="EL166" s="9">
        <v>7</v>
      </c>
      <c r="EM166" s="9">
        <v>8</v>
      </c>
      <c r="EN166" s="9">
        <v>8</v>
      </c>
      <c r="EO166" s="9">
        <v>7</v>
      </c>
      <c r="EP166" s="9">
        <v>11</v>
      </c>
      <c r="EQ166" s="9">
        <v>10</v>
      </c>
      <c r="ER166" s="9">
        <v>10</v>
      </c>
      <c r="ES166" s="9">
        <v>10</v>
      </c>
      <c r="ET166" s="9">
        <v>8</v>
      </c>
      <c r="EU166" s="9">
        <v>12</v>
      </c>
      <c r="EV166" s="9">
        <v>9</v>
      </c>
      <c r="EW166" s="9">
        <v>10</v>
      </c>
      <c r="EX166" s="9">
        <v>9</v>
      </c>
      <c r="EY166" s="9">
        <v>8</v>
      </c>
      <c r="EZ166" s="9">
        <v>9</v>
      </c>
      <c r="FA166" s="9">
        <v>9</v>
      </c>
      <c r="FB166" s="9">
        <v>6</v>
      </c>
      <c r="FC166" s="9">
        <v>6</v>
      </c>
      <c r="FD166" s="9">
        <v>10</v>
      </c>
      <c r="FE166" s="9">
        <v>10</v>
      </c>
      <c r="FF166" s="9">
        <v>11</v>
      </c>
      <c r="FG166" s="9">
        <v>11</v>
      </c>
      <c r="FH166" s="9">
        <v>7</v>
      </c>
      <c r="FI166" s="9">
        <v>8</v>
      </c>
      <c r="FJ166" s="9">
        <v>7</v>
      </c>
      <c r="FK166" s="9">
        <v>10</v>
      </c>
      <c r="FL166" s="9">
        <v>9</v>
      </c>
      <c r="FM166" s="10">
        <v>7</v>
      </c>
    </row>
    <row r="167" spans="1:169" x14ac:dyDescent="0.35">
      <c r="A167" s="8" t="s">
        <v>261</v>
      </c>
      <c r="B167" s="9" t="s">
        <v>284</v>
      </c>
      <c r="C167" s="10" t="s">
        <v>285</v>
      </c>
      <c r="D167" s="62">
        <f t="shared" si="99"/>
        <v>131</v>
      </c>
      <c r="E167" s="9">
        <v>4</v>
      </c>
      <c r="F167" s="9">
        <v>5</v>
      </c>
      <c r="G167" s="9">
        <v>5</v>
      </c>
      <c r="H167" s="9">
        <v>9</v>
      </c>
      <c r="I167" s="9">
        <v>12</v>
      </c>
      <c r="J167" s="9">
        <v>13</v>
      </c>
      <c r="K167" s="9">
        <v>14</v>
      </c>
      <c r="L167" s="9">
        <v>17</v>
      </c>
      <c r="M167" s="9">
        <v>18</v>
      </c>
      <c r="N167" s="9">
        <v>19</v>
      </c>
      <c r="O167" s="9">
        <v>27</v>
      </c>
      <c r="P167" s="9">
        <v>28</v>
      </c>
      <c r="Q167" s="9">
        <v>33</v>
      </c>
      <c r="R167" s="9">
        <v>55</v>
      </c>
      <c r="S167" s="9">
        <v>62</v>
      </c>
      <c r="T167" s="9">
        <v>67</v>
      </c>
      <c r="U167" s="9">
        <v>77</v>
      </c>
      <c r="V167" s="9">
        <v>84</v>
      </c>
      <c r="W167" s="9">
        <v>94</v>
      </c>
      <c r="X167" s="9">
        <v>99</v>
      </c>
      <c r="Y167" s="9">
        <v>120</v>
      </c>
      <c r="Z167" s="9">
        <v>111</v>
      </c>
      <c r="AA167" s="9">
        <v>114</v>
      </c>
      <c r="AB167" s="9">
        <v>108</v>
      </c>
      <c r="AC167" s="9">
        <v>120</v>
      </c>
      <c r="AD167" s="9">
        <v>118</v>
      </c>
      <c r="AE167" s="9">
        <v>117</v>
      </c>
      <c r="AF167" s="9">
        <v>102</v>
      </c>
      <c r="AG167" s="9">
        <v>105</v>
      </c>
      <c r="AH167" s="9">
        <v>105</v>
      </c>
      <c r="AI167" s="9">
        <v>104</v>
      </c>
      <c r="AJ167" s="9">
        <v>100</v>
      </c>
      <c r="AK167" s="9">
        <v>109</v>
      </c>
      <c r="AL167" s="9">
        <v>105</v>
      </c>
      <c r="AM167" s="9">
        <v>109</v>
      </c>
      <c r="AN167" s="9">
        <v>106</v>
      </c>
      <c r="AO167" s="9">
        <v>107</v>
      </c>
      <c r="AP167" s="9">
        <v>112</v>
      </c>
      <c r="AQ167" s="9">
        <v>120</v>
      </c>
      <c r="AR167" s="9">
        <v>119</v>
      </c>
      <c r="AS167" s="9">
        <v>128</v>
      </c>
      <c r="AT167" s="9">
        <v>130</v>
      </c>
      <c r="AU167" s="9">
        <v>131</v>
      </c>
      <c r="AV167" s="9">
        <v>122</v>
      </c>
      <c r="AW167" s="9">
        <v>115</v>
      </c>
      <c r="AX167" s="9">
        <v>116</v>
      </c>
      <c r="AY167" s="9">
        <v>115</v>
      </c>
      <c r="AZ167" s="9">
        <v>110</v>
      </c>
      <c r="BA167" s="9">
        <v>106</v>
      </c>
      <c r="BB167" s="9">
        <v>107</v>
      </c>
      <c r="BC167" s="9">
        <v>93</v>
      </c>
      <c r="BD167" s="9">
        <v>91</v>
      </c>
      <c r="BE167" s="9">
        <v>87</v>
      </c>
      <c r="BF167" s="9">
        <v>79</v>
      </c>
      <c r="BG167" s="9">
        <v>86</v>
      </c>
      <c r="BH167" s="9">
        <v>82</v>
      </c>
      <c r="BI167" s="9">
        <v>81</v>
      </c>
      <c r="BJ167" s="9">
        <v>84</v>
      </c>
      <c r="BK167" s="9">
        <v>78</v>
      </c>
      <c r="BL167" s="9">
        <v>81</v>
      </c>
      <c r="BM167" s="9">
        <v>76</v>
      </c>
      <c r="BN167" s="9">
        <v>67</v>
      </c>
      <c r="BO167" s="9">
        <v>60</v>
      </c>
      <c r="BP167" s="9">
        <v>51</v>
      </c>
      <c r="BQ167" s="9">
        <v>47</v>
      </c>
      <c r="BR167" s="9">
        <v>44</v>
      </c>
      <c r="BS167" s="9">
        <v>46</v>
      </c>
      <c r="BT167" s="9">
        <v>48</v>
      </c>
      <c r="BU167" s="9">
        <v>44</v>
      </c>
      <c r="BV167" s="9">
        <v>42</v>
      </c>
      <c r="BW167" s="9">
        <v>41</v>
      </c>
      <c r="BX167" s="9">
        <v>40</v>
      </c>
      <c r="BY167" s="9">
        <v>69</v>
      </c>
      <c r="BZ167" s="9">
        <v>41</v>
      </c>
      <c r="CA167" s="9">
        <v>37</v>
      </c>
      <c r="CB167" s="9">
        <v>36</v>
      </c>
      <c r="CC167" s="9">
        <v>33</v>
      </c>
      <c r="CD167" s="9">
        <v>32</v>
      </c>
      <c r="CE167" s="9">
        <v>33</v>
      </c>
      <c r="CF167" s="9">
        <v>32</v>
      </c>
      <c r="CG167" s="9">
        <v>30</v>
      </c>
      <c r="CH167" s="9">
        <v>27</v>
      </c>
      <c r="CI167" s="9">
        <v>21</v>
      </c>
      <c r="CJ167" s="9">
        <v>18</v>
      </c>
      <c r="CK167" s="9">
        <v>19</v>
      </c>
      <c r="CL167" s="9">
        <v>19</v>
      </c>
      <c r="CM167" s="9">
        <v>20</v>
      </c>
      <c r="CN167" s="9">
        <v>20</v>
      </c>
      <c r="CO167" s="9">
        <v>19</v>
      </c>
      <c r="CP167" s="9">
        <v>19</v>
      </c>
      <c r="CQ167" s="9">
        <v>18</v>
      </c>
      <c r="CR167" s="9">
        <v>14</v>
      </c>
      <c r="CS167" s="9">
        <v>13</v>
      </c>
      <c r="CT167" s="9">
        <v>12</v>
      </c>
      <c r="CU167" s="9">
        <v>14</v>
      </c>
      <c r="CV167" s="9">
        <v>13</v>
      </c>
      <c r="CW167" s="9">
        <v>13</v>
      </c>
      <c r="CX167" s="9">
        <v>12</v>
      </c>
      <c r="CY167" s="9">
        <v>11</v>
      </c>
      <c r="CZ167" s="9">
        <v>10</v>
      </c>
      <c r="DA167" s="9">
        <v>10</v>
      </c>
      <c r="DB167" s="9">
        <v>9</v>
      </c>
      <c r="DC167" s="9">
        <v>9</v>
      </c>
      <c r="DD167" s="9">
        <v>9</v>
      </c>
      <c r="DE167" s="9">
        <v>9</v>
      </c>
      <c r="DF167" s="9">
        <v>8</v>
      </c>
      <c r="DG167" s="9">
        <v>7</v>
      </c>
      <c r="DH167" s="9">
        <v>6</v>
      </c>
      <c r="DI167" s="9">
        <v>6</v>
      </c>
      <c r="DJ167" s="9">
        <v>5</v>
      </c>
      <c r="DK167" s="9">
        <v>5</v>
      </c>
      <c r="DL167" s="9">
        <v>4</v>
      </c>
      <c r="DM167" s="9">
        <v>5</v>
      </c>
      <c r="DN167" s="9">
        <v>5</v>
      </c>
      <c r="DO167" s="9">
        <v>4</v>
      </c>
      <c r="DP167" s="9">
        <v>5</v>
      </c>
      <c r="DQ167" s="9">
        <v>3</v>
      </c>
      <c r="DR167" s="9">
        <v>3</v>
      </c>
      <c r="DS167" s="9">
        <v>3</v>
      </c>
      <c r="DT167" s="9">
        <v>3</v>
      </c>
      <c r="DU167" s="9">
        <v>3</v>
      </c>
      <c r="DV167" s="9">
        <v>3</v>
      </c>
      <c r="DW167" s="9">
        <v>3</v>
      </c>
      <c r="DX167" s="9">
        <v>2</v>
      </c>
      <c r="DY167" s="9">
        <v>2</v>
      </c>
      <c r="DZ167" s="9">
        <v>2</v>
      </c>
      <c r="EA167" s="9">
        <v>2</v>
      </c>
      <c r="EB167" s="9">
        <v>1</v>
      </c>
      <c r="EC167" s="9">
        <v>1</v>
      </c>
      <c r="ED167" s="9">
        <v>1</v>
      </c>
      <c r="EE167" s="9">
        <v>1</v>
      </c>
      <c r="EF167" s="9">
        <v>1</v>
      </c>
      <c r="EG167" s="9">
        <v>2</v>
      </c>
      <c r="EH167" s="9">
        <v>2</v>
      </c>
      <c r="EI167" s="9">
        <v>2</v>
      </c>
      <c r="EJ167" s="9">
        <v>3</v>
      </c>
      <c r="EK167" s="9">
        <v>3</v>
      </c>
      <c r="EL167" s="9">
        <v>3</v>
      </c>
      <c r="EM167" s="9">
        <v>4</v>
      </c>
      <c r="EN167" s="9">
        <v>4</v>
      </c>
      <c r="EO167" s="9">
        <v>3</v>
      </c>
      <c r="EP167" s="9">
        <v>2</v>
      </c>
      <c r="EQ167" s="9">
        <v>2</v>
      </c>
      <c r="ER167" s="9">
        <v>2</v>
      </c>
      <c r="ES167" s="9">
        <v>2</v>
      </c>
      <c r="ET167" s="9">
        <v>4</v>
      </c>
      <c r="EU167" s="9">
        <v>3</v>
      </c>
      <c r="EV167" s="9">
        <v>3</v>
      </c>
      <c r="EW167" s="9">
        <v>4</v>
      </c>
      <c r="EX167" s="9">
        <v>4</v>
      </c>
      <c r="EY167" s="9">
        <v>4</v>
      </c>
      <c r="EZ167" s="9">
        <v>4</v>
      </c>
      <c r="FA167" s="9">
        <v>4</v>
      </c>
      <c r="FB167" s="9">
        <v>3</v>
      </c>
      <c r="FC167" s="9">
        <v>4</v>
      </c>
      <c r="FD167" s="9">
        <v>4</v>
      </c>
      <c r="FE167" s="9">
        <v>3</v>
      </c>
      <c r="FF167" s="9">
        <v>3</v>
      </c>
      <c r="FG167" s="9">
        <v>2</v>
      </c>
      <c r="FH167" s="9">
        <v>2</v>
      </c>
      <c r="FI167" s="9">
        <v>2</v>
      </c>
      <c r="FJ167" s="9">
        <v>2</v>
      </c>
      <c r="FK167" s="9">
        <v>2</v>
      </c>
      <c r="FL167" s="9">
        <v>2</v>
      </c>
      <c r="FM167" s="10">
        <v>2</v>
      </c>
    </row>
    <row r="168" spans="1:169" x14ac:dyDescent="0.35">
      <c r="A168" s="8" t="s">
        <v>261</v>
      </c>
      <c r="B168" s="9" t="s">
        <v>286</v>
      </c>
      <c r="C168" s="10" t="s">
        <v>287</v>
      </c>
      <c r="D168" s="62">
        <f t="shared" si="99"/>
        <v>41</v>
      </c>
      <c r="E168" s="9">
        <v>0</v>
      </c>
      <c r="F168" s="9">
        <v>2</v>
      </c>
      <c r="G168" s="9">
        <v>1</v>
      </c>
      <c r="H168" s="9">
        <v>3</v>
      </c>
      <c r="I168" s="9">
        <v>4</v>
      </c>
      <c r="J168" s="9">
        <v>5</v>
      </c>
      <c r="K168" s="9">
        <v>6</v>
      </c>
      <c r="L168" s="9">
        <v>9</v>
      </c>
      <c r="M168" s="9">
        <v>12</v>
      </c>
      <c r="N168" s="9">
        <v>11</v>
      </c>
      <c r="O168" s="9">
        <v>13</v>
      </c>
      <c r="P168" s="9">
        <v>13</v>
      </c>
      <c r="Q168" s="9">
        <v>18</v>
      </c>
      <c r="R168" s="9">
        <v>18</v>
      </c>
      <c r="S168" s="9">
        <v>27</v>
      </c>
      <c r="T168" s="9">
        <v>25</v>
      </c>
      <c r="U168" s="9">
        <v>28</v>
      </c>
      <c r="V168" s="9">
        <v>30</v>
      </c>
      <c r="W168" s="9">
        <v>33</v>
      </c>
      <c r="X168" s="9">
        <v>27</v>
      </c>
      <c r="Y168" s="9">
        <v>28</v>
      </c>
      <c r="Z168" s="9">
        <v>29</v>
      </c>
      <c r="AA168" s="9">
        <v>34</v>
      </c>
      <c r="AB168" s="9">
        <v>34</v>
      </c>
      <c r="AC168" s="9">
        <v>31</v>
      </c>
      <c r="AD168" s="9">
        <v>29</v>
      </c>
      <c r="AE168" s="9">
        <v>28</v>
      </c>
      <c r="AF168" s="9">
        <v>28</v>
      </c>
      <c r="AG168" s="9">
        <v>28</v>
      </c>
      <c r="AH168" s="9">
        <v>33</v>
      </c>
      <c r="AI168" s="9">
        <v>35</v>
      </c>
      <c r="AJ168" s="9">
        <v>35</v>
      </c>
      <c r="AK168" s="9">
        <v>34</v>
      </c>
      <c r="AL168" s="9">
        <v>35</v>
      </c>
      <c r="AM168" s="9">
        <v>41</v>
      </c>
      <c r="AN168" s="9">
        <v>41</v>
      </c>
      <c r="AO168" s="9">
        <v>37</v>
      </c>
      <c r="AP168" s="9">
        <v>34</v>
      </c>
      <c r="AQ168" s="9">
        <v>39</v>
      </c>
      <c r="AR168" s="9">
        <v>37</v>
      </c>
      <c r="AS168" s="9">
        <v>36</v>
      </c>
      <c r="AT168" s="9">
        <v>35</v>
      </c>
      <c r="AU168" s="9">
        <v>33</v>
      </c>
      <c r="AV168" s="9">
        <v>30</v>
      </c>
      <c r="AW168" s="9">
        <v>28</v>
      </c>
      <c r="AX168" s="9">
        <v>27</v>
      </c>
      <c r="AY168" s="9">
        <v>26</v>
      </c>
      <c r="AZ168" s="9">
        <v>24</v>
      </c>
      <c r="BA168" s="9">
        <v>24</v>
      </c>
      <c r="BB168" s="9">
        <v>25</v>
      </c>
      <c r="BC168" s="9">
        <v>24</v>
      </c>
      <c r="BD168" s="9">
        <v>23</v>
      </c>
      <c r="BE168" s="9">
        <v>22</v>
      </c>
      <c r="BF168" s="9">
        <v>22</v>
      </c>
      <c r="BG168" s="9">
        <v>18</v>
      </c>
      <c r="BH168" s="9">
        <v>15</v>
      </c>
      <c r="BI168" s="9">
        <v>14</v>
      </c>
      <c r="BJ168" s="9">
        <v>14</v>
      </c>
      <c r="BK168" s="9">
        <v>14</v>
      </c>
      <c r="BL168" s="9">
        <v>16</v>
      </c>
      <c r="BM168" s="9">
        <v>16</v>
      </c>
      <c r="BN168" s="9">
        <v>15</v>
      </c>
      <c r="BO168" s="9">
        <v>12</v>
      </c>
      <c r="BP168" s="9">
        <v>13</v>
      </c>
      <c r="BQ168" s="9">
        <v>13</v>
      </c>
      <c r="BR168" s="9">
        <v>14</v>
      </c>
      <c r="BS168" s="9">
        <v>17</v>
      </c>
      <c r="BT168" s="9">
        <v>16</v>
      </c>
      <c r="BU168" s="9">
        <v>18</v>
      </c>
      <c r="BV168" s="9">
        <v>17</v>
      </c>
      <c r="BW168" s="9">
        <v>16</v>
      </c>
      <c r="BX168" s="9">
        <v>13</v>
      </c>
      <c r="BY168" s="9">
        <v>10</v>
      </c>
      <c r="BZ168" s="9">
        <v>13</v>
      </c>
      <c r="CA168" s="9">
        <v>16</v>
      </c>
      <c r="CB168" s="9">
        <v>17</v>
      </c>
      <c r="CC168" s="9">
        <v>19</v>
      </c>
      <c r="CD168" s="9">
        <v>18</v>
      </c>
      <c r="CE168" s="9">
        <v>17</v>
      </c>
      <c r="CF168" s="9">
        <v>20</v>
      </c>
      <c r="CG168" s="9">
        <v>23</v>
      </c>
      <c r="CH168" s="9">
        <v>20</v>
      </c>
      <c r="CI168" s="9">
        <v>18</v>
      </c>
      <c r="CJ168" s="9">
        <v>17</v>
      </c>
      <c r="CK168" s="9">
        <v>18</v>
      </c>
      <c r="CL168" s="9">
        <v>14</v>
      </c>
      <c r="CM168" s="9">
        <v>14</v>
      </c>
      <c r="CN168" s="9">
        <v>14</v>
      </c>
      <c r="CO168" s="9">
        <v>13</v>
      </c>
      <c r="CP168" s="9">
        <v>11</v>
      </c>
      <c r="CQ168" s="9">
        <v>9</v>
      </c>
      <c r="CR168" s="9">
        <v>8</v>
      </c>
      <c r="CS168" s="9">
        <v>8</v>
      </c>
      <c r="CT168" s="9">
        <v>8</v>
      </c>
      <c r="CU168" s="9">
        <v>8</v>
      </c>
      <c r="CV168" s="9">
        <v>7</v>
      </c>
      <c r="CW168" s="9">
        <v>7</v>
      </c>
      <c r="CX168" s="9">
        <v>7</v>
      </c>
      <c r="CY168" s="9">
        <v>7</v>
      </c>
      <c r="CZ168" s="9">
        <v>7</v>
      </c>
      <c r="DA168" s="9">
        <v>8</v>
      </c>
      <c r="DB168" s="9">
        <v>8</v>
      </c>
      <c r="DC168" s="9">
        <v>7</v>
      </c>
      <c r="DD168" s="9">
        <v>7</v>
      </c>
      <c r="DE168" s="9">
        <v>8</v>
      </c>
      <c r="DF168" s="9">
        <v>7</v>
      </c>
      <c r="DG168" s="9">
        <v>6</v>
      </c>
      <c r="DH168" s="9">
        <v>6</v>
      </c>
      <c r="DI168" s="9">
        <v>6</v>
      </c>
      <c r="DJ168" s="9">
        <v>6</v>
      </c>
      <c r="DK168" s="9">
        <v>5</v>
      </c>
      <c r="DL168" s="9">
        <v>4</v>
      </c>
      <c r="DM168" s="9">
        <v>3</v>
      </c>
      <c r="DN168" s="9">
        <v>2</v>
      </c>
      <c r="DO168" s="9">
        <v>2</v>
      </c>
      <c r="DP168" s="9">
        <v>3</v>
      </c>
      <c r="DQ168" s="9">
        <v>3</v>
      </c>
      <c r="DR168" s="9">
        <v>3</v>
      </c>
      <c r="DS168" s="9">
        <v>2</v>
      </c>
      <c r="DT168" s="9">
        <v>2</v>
      </c>
      <c r="DU168" s="9">
        <v>3</v>
      </c>
      <c r="DV168" s="9">
        <v>3</v>
      </c>
      <c r="DW168" s="9">
        <v>3</v>
      </c>
      <c r="DX168" s="9">
        <v>3</v>
      </c>
      <c r="DY168" s="9">
        <v>3</v>
      </c>
      <c r="DZ168" s="9">
        <v>1</v>
      </c>
      <c r="EA168" s="9">
        <v>1</v>
      </c>
      <c r="EB168" s="9">
        <v>2</v>
      </c>
      <c r="EC168" s="9">
        <v>2</v>
      </c>
      <c r="ED168" s="9">
        <v>2</v>
      </c>
      <c r="EE168" s="9">
        <v>2</v>
      </c>
      <c r="EF168" s="9">
        <v>1</v>
      </c>
      <c r="EG168" s="9">
        <v>1</v>
      </c>
      <c r="EH168" s="9">
        <v>0</v>
      </c>
      <c r="EI168" s="9">
        <v>1</v>
      </c>
      <c r="EJ168" s="9">
        <v>1</v>
      </c>
      <c r="EK168" s="9">
        <v>1</v>
      </c>
      <c r="EL168" s="9">
        <v>2</v>
      </c>
      <c r="EM168" s="9">
        <v>3</v>
      </c>
      <c r="EN168" s="9">
        <v>3</v>
      </c>
      <c r="EO168" s="9">
        <v>3</v>
      </c>
      <c r="EP168" s="9">
        <v>3</v>
      </c>
      <c r="EQ168" s="9">
        <v>2</v>
      </c>
      <c r="ER168" s="9">
        <v>2</v>
      </c>
      <c r="ES168" s="9">
        <v>2</v>
      </c>
      <c r="ET168" s="9">
        <v>1</v>
      </c>
      <c r="EU168" s="9">
        <v>1</v>
      </c>
      <c r="EV168" s="9">
        <v>1</v>
      </c>
      <c r="EW168" s="9">
        <v>1</v>
      </c>
      <c r="EX168" s="9">
        <v>1</v>
      </c>
      <c r="EY168" s="9">
        <v>1</v>
      </c>
      <c r="EZ168" s="9">
        <v>0</v>
      </c>
      <c r="FA168" s="9">
        <v>0</v>
      </c>
      <c r="FB168" s="9">
        <v>0</v>
      </c>
      <c r="FC168" s="9">
        <v>0</v>
      </c>
      <c r="FD168" s="9">
        <v>0</v>
      </c>
      <c r="FE168" s="9">
        <v>0</v>
      </c>
      <c r="FF168" s="9">
        <v>0</v>
      </c>
      <c r="FG168" s="9">
        <v>0</v>
      </c>
      <c r="FH168" s="9">
        <v>0</v>
      </c>
      <c r="FI168" s="9">
        <v>0</v>
      </c>
      <c r="FJ168" s="9">
        <v>0</v>
      </c>
      <c r="FK168" s="9">
        <v>1</v>
      </c>
      <c r="FL168" s="9">
        <v>1</v>
      </c>
      <c r="FM168" s="10">
        <v>1</v>
      </c>
    </row>
    <row r="169" spans="1:169" x14ac:dyDescent="0.35">
      <c r="A169" s="8" t="s">
        <v>261</v>
      </c>
      <c r="B169" s="9" t="s">
        <v>288</v>
      </c>
      <c r="C169" s="10" t="s">
        <v>289</v>
      </c>
      <c r="D169" s="62">
        <f t="shared" si="99"/>
        <v>73</v>
      </c>
      <c r="E169" s="9">
        <v>1</v>
      </c>
      <c r="F169" s="9">
        <v>1</v>
      </c>
      <c r="G169" s="9">
        <v>1</v>
      </c>
      <c r="H169" s="9">
        <v>1</v>
      </c>
      <c r="I169" s="9">
        <v>1</v>
      </c>
      <c r="J169" s="9">
        <v>3</v>
      </c>
      <c r="K169" s="9">
        <v>6</v>
      </c>
      <c r="L169" s="9">
        <v>11</v>
      </c>
      <c r="M169" s="9">
        <v>13</v>
      </c>
      <c r="N169" s="9">
        <v>14</v>
      </c>
      <c r="O169" s="9">
        <v>17</v>
      </c>
      <c r="P169" s="9">
        <v>20</v>
      </c>
      <c r="Q169" s="9">
        <v>20</v>
      </c>
      <c r="R169" s="9">
        <v>24</v>
      </c>
      <c r="S169" s="9">
        <v>36</v>
      </c>
      <c r="T169" s="9">
        <v>35</v>
      </c>
      <c r="U169" s="9">
        <v>33</v>
      </c>
      <c r="V169" s="9">
        <v>38</v>
      </c>
      <c r="W169" s="9">
        <v>40</v>
      </c>
      <c r="X169" s="9">
        <v>39</v>
      </c>
      <c r="Y169" s="9">
        <v>54</v>
      </c>
      <c r="Z169" s="9">
        <v>60</v>
      </c>
      <c r="AA169" s="9">
        <v>55</v>
      </c>
      <c r="AB169" s="9">
        <v>58</v>
      </c>
      <c r="AC169" s="9">
        <v>59</v>
      </c>
      <c r="AD169" s="9">
        <v>57</v>
      </c>
      <c r="AE169" s="9">
        <v>65</v>
      </c>
      <c r="AF169" s="9">
        <v>73</v>
      </c>
      <c r="AG169" s="9">
        <v>64</v>
      </c>
      <c r="AH169" s="9">
        <v>67</v>
      </c>
      <c r="AI169" s="9">
        <v>60</v>
      </c>
      <c r="AJ169" s="9">
        <v>65</v>
      </c>
      <c r="AK169" s="9">
        <v>68</v>
      </c>
      <c r="AL169" s="9">
        <v>72</v>
      </c>
      <c r="AM169" s="9">
        <v>70</v>
      </c>
      <c r="AN169" s="9">
        <v>67</v>
      </c>
      <c r="AO169" s="9">
        <v>66</v>
      </c>
      <c r="AP169" s="9">
        <v>63</v>
      </c>
      <c r="AQ169" s="9">
        <v>61</v>
      </c>
      <c r="AR169" s="9">
        <v>57</v>
      </c>
      <c r="AS169" s="9">
        <v>59</v>
      </c>
      <c r="AT169" s="9">
        <v>50</v>
      </c>
      <c r="AU169" s="9">
        <v>48</v>
      </c>
      <c r="AV169" s="9">
        <v>58</v>
      </c>
      <c r="AW169" s="9">
        <v>62</v>
      </c>
      <c r="AX169" s="9">
        <v>44</v>
      </c>
      <c r="AY169" s="9">
        <v>33</v>
      </c>
      <c r="AZ169" s="9">
        <v>30</v>
      </c>
      <c r="BA169" s="9">
        <v>22</v>
      </c>
      <c r="BB169" s="9">
        <v>35</v>
      </c>
      <c r="BC169" s="9">
        <v>32</v>
      </c>
      <c r="BD169" s="9">
        <v>32</v>
      </c>
      <c r="BE169" s="9">
        <v>27</v>
      </c>
      <c r="BF169" s="9">
        <v>30</v>
      </c>
      <c r="BG169" s="9">
        <v>26</v>
      </c>
      <c r="BH169" s="9">
        <v>27</v>
      </c>
      <c r="BI169" s="9">
        <v>23</v>
      </c>
      <c r="BJ169" s="9">
        <v>25</v>
      </c>
      <c r="BK169" s="9">
        <v>20</v>
      </c>
      <c r="BL169" s="9">
        <v>19</v>
      </c>
      <c r="BM169" s="9">
        <v>27</v>
      </c>
      <c r="BN169" s="9">
        <v>26</v>
      </c>
      <c r="BO169" s="9">
        <v>17</v>
      </c>
      <c r="BP169" s="9">
        <v>12</v>
      </c>
      <c r="BQ169" s="9">
        <v>13</v>
      </c>
      <c r="BR169" s="9">
        <v>13</v>
      </c>
      <c r="BS169" s="9">
        <v>14</v>
      </c>
      <c r="BT169" s="9">
        <v>14</v>
      </c>
      <c r="BU169" s="9">
        <v>13</v>
      </c>
      <c r="BV169" s="9">
        <v>9</v>
      </c>
      <c r="BW169" s="9">
        <v>8</v>
      </c>
      <c r="BX169" s="9">
        <v>7</v>
      </c>
      <c r="BY169" s="9">
        <v>7</v>
      </c>
      <c r="BZ169" s="9">
        <v>10</v>
      </c>
      <c r="CA169" s="9">
        <v>11</v>
      </c>
      <c r="CB169" s="9">
        <v>9</v>
      </c>
      <c r="CC169" s="9">
        <v>11</v>
      </c>
      <c r="CD169" s="9">
        <v>12</v>
      </c>
      <c r="CE169" s="9">
        <v>14</v>
      </c>
      <c r="CF169" s="9">
        <v>15</v>
      </c>
      <c r="CG169" s="9">
        <v>12</v>
      </c>
      <c r="CH169" s="9">
        <v>9</v>
      </c>
      <c r="CI169" s="9">
        <v>9</v>
      </c>
      <c r="CJ169" s="9">
        <v>8</v>
      </c>
      <c r="CK169" s="9">
        <v>8</v>
      </c>
      <c r="CL169" s="9">
        <v>8</v>
      </c>
      <c r="CM169" s="9">
        <v>5</v>
      </c>
      <c r="CN169" s="9">
        <v>6</v>
      </c>
      <c r="CO169" s="9">
        <v>5</v>
      </c>
      <c r="CP169" s="9">
        <v>4</v>
      </c>
      <c r="CQ169" s="9">
        <v>3</v>
      </c>
      <c r="CR169" s="9">
        <v>4</v>
      </c>
      <c r="CS169" s="9">
        <v>4</v>
      </c>
      <c r="CT169" s="9">
        <v>4</v>
      </c>
      <c r="CU169" s="9">
        <v>4</v>
      </c>
      <c r="CV169" s="9">
        <v>4</v>
      </c>
      <c r="CW169" s="9">
        <v>4</v>
      </c>
      <c r="CX169" s="9">
        <v>4</v>
      </c>
      <c r="CY169" s="9">
        <v>5</v>
      </c>
      <c r="CZ169" s="9">
        <v>4</v>
      </c>
      <c r="DA169" s="9">
        <v>6</v>
      </c>
      <c r="DB169" s="9">
        <v>6</v>
      </c>
      <c r="DC169" s="9">
        <v>6</v>
      </c>
      <c r="DD169" s="9">
        <v>5</v>
      </c>
      <c r="DE169" s="9">
        <v>5</v>
      </c>
      <c r="DF169" s="9">
        <v>5</v>
      </c>
      <c r="DG169" s="9">
        <v>5</v>
      </c>
      <c r="DH169" s="9">
        <v>3</v>
      </c>
      <c r="DI169" s="9">
        <v>3</v>
      </c>
      <c r="DJ169" s="9">
        <v>3</v>
      </c>
      <c r="DK169" s="9">
        <v>3</v>
      </c>
      <c r="DL169" s="9">
        <v>3</v>
      </c>
      <c r="DM169" s="9">
        <v>5</v>
      </c>
      <c r="DN169" s="9">
        <v>4</v>
      </c>
      <c r="DO169" s="9">
        <v>4</v>
      </c>
      <c r="DP169" s="9">
        <v>5</v>
      </c>
      <c r="DQ169" s="9">
        <v>5</v>
      </c>
      <c r="DR169" s="9">
        <v>5</v>
      </c>
      <c r="DS169" s="9">
        <v>6</v>
      </c>
      <c r="DT169" s="9">
        <v>7</v>
      </c>
      <c r="DU169" s="9">
        <v>4</v>
      </c>
      <c r="DV169" s="9">
        <v>4</v>
      </c>
      <c r="DW169" s="9">
        <v>3</v>
      </c>
      <c r="DX169" s="9">
        <v>4</v>
      </c>
      <c r="DY169" s="9">
        <v>5</v>
      </c>
      <c r="DZ169" s="9">
        <v>4</v>
      </c>
      <c r="EA169" s="9">
        <v>3</v>
      </c>
      <c r="EB169" s="9">
        <v>4</v>
      </c>
      <c r="EC169" s="9">
        <v>3</v>
      </c>
      <c r="ED169" s="9">
        <v>4</v>
      </c>
      <c r="EE169" s="9">
        <v>5</v>
      </c>
      <c r="EF169" s="9">
        <v>6</v>
      </c>
      <c r="EG169" s="9">
        <v>6</v>
      </c>
      <c r="EH169" s="9">
        <v>2</v>
      </c>
      <c r="EI169" s="9">
        <v>2</v>
      </c>
      <c r="EJ169" s="9">
        <v>2</v>
      </c>
      <c r="EK169" s="9">
        <v>3</v>
      </c>
      <c r="EL169" s="9">
        <v>3</v>
      </c>
      <c r="EM169" s="9">
        <v>3</v>
      </c>
      <c r="EN169" s="9">
        <v>5</v>
      </c>
      <c r="EO169" s="9">
        <v>2</v>
      </c>
      <c r="EP169" s="9">
        <v>2</v>
      </c>
      <c r="EQ169" s="9">
        <v>2</v>
      </c>
      <c r="ER169" s="9">
        <v>2</v>
      </c>
      <c r="ES169" s="9">
        <v>1</v>
      </c>
      <c r="ET169" s="9">
        <v>2</v>
      </c>
      <c r="EU169" s="9">
        <v>2</v>
      </c>
      <c r="EV169" s="9">
        <v>2</v>
      </c>
      <c r="EW169" s="9">
        <v>2</v>
      </c>
      <c r="EX169" s="9">
        <v>3</v>
      </c>
      <c r="EY169" s="9">
        <v>4</v>
      </c>
      <c r="EZ169" s="9">
        <v>4</v>
      </c>
      <c r="FA169" s="9">
        <v>4</v>
      </c>
      <c r="FB169" s="9">
        <v>3</v>
      </c>
      <c r="FC169" s="9">
        <v>3</v>
      </c>
      <c r="FD169" s="9">
        <v>3</v>
      </c>
      <c r="FE169" s="9">
        <v>4</v>
      </c>
      <c r="FF169" s="9">
        <v>5</v>
      </c>
      <c r="FG169" s="9">
        <v>5</v>
      </c>
      <c r="FH169" s="9">
        <v>4</v>
      </c>
      <c r="FI169" s="9">
        <v>5</v>
      </c>
      <c r="FJ169" s="9">
        <v>5</v>
      </c>
      <c r="FK169" s="9">
        <v>4</v>
      </c>
      <c r="FL169" s="9">
        <v>4</v>
      </c>
      <c r="FM169" s="10">
        <v>5</v>
      </c>
    </row>
    <row r="170" spans="1:169" x14ac:dyDescent="0.35">
      <c r="A170" s="8" t="s">
        <v>261</v>
      </c>
      <c r="B170" s="9" t="s">
        <v>290</v>
      </c>
      <c r="C170" s="10" t="s">
        <v>291</v>
      </c>
      <c r="D170" s="62">
        <f t="shared" si="99"/>
        <v>2</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1</v>
      </c>
      <c r="W170" s="9">
        <v>1</v>
      </c>
      <c r="X170" s="9">
        <v>1</v>
      </c>
      <c r="Y170" s="9">
        <v>1</v>
      </c>
      <c r="Z170" s="9">
        <v>1</v>
      </c>
      <c r="AA170" s="9">
        <v>1</v>
      </c>
      <c r="AB170" s="9">
        <v>1</v>
      </c>
      <c r="AC170" s="9">
        <v>1</v>
      </c>
      <c r="AD170" s="9">
        <v>1</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1</v>
      </c>
      <c r="BE170" s="9">
        <v>1</v>
      </c>
      <c r="BF170" s="9">
        <v>0</v>
      </c>
      <c r="BG170" s="9">
        <v>0</v>
      </c>
      <c r="BH170" s="9">
        <v>0</v>
      </c>
      <c r="BI170" s="9">
        <v>1</v>
      </c>
      <c r="BJ170" s="9">
        <v>1</v>
      </c>
      <c r="BK170" s="9">
        <v>1</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c r="CB170" s="9">
        <v>0</v>
      </c>
      <c r="CC170" s="9">
        <v>0</v>
      </c>
      <c r="CD170" s="9">
        <v>0</v>
      </c>
      <c r="CE170" s="9">
        <v>0</v>
      </c>
      <c r="CF170" s="9">
        <v>0</v>
      </c>
      <c r="CG170" s="9">
        <v>0</v>
      </c>
      <c r="CH170" s="9">
        <v>0</v>
      </c>
      <c r="CI170" s="9">
        <v>0</v>
      </c>
      <c r="CJ170" s="9">
        <v>0</v>
      </c>
      <c r="CK170" s="9">
        <v>0</v>
      </c>
      <c r="CL170" s="9">
        <v>0</v>
      </c>
      <c r="CM170" s="9">
        <v>0</v>
      </c>
      <c r="CN170" s="9">
        <v>0</v>
      </c>
      <c r="CO170" s="9">
        <v>0</v>
      </c>
      <c r="CP170" s="9">
        <v>1</v>
      </c>
      <c r="CQ170" s="9">
        <v>2</v>
      </c>
      <c r="CR170" s="9">
        <v>2</v>
      </c>
      <c r="CS170" s="9">
        <v>1</v>
      </c>
      <c r="CT170" s="9">
        <v>1</v>
      </c>
      <c r="CU170" s="9">
        <v>1</v>
      </c>
      <c r="CV170" s="9">
        <v>1</v>
      </c>
      <c r="CW170" s="9">
        <v>1</v>
      </c>
      <c r="CX170" s="9">
        <v>1</v>
      </c>
      <c r="CY170" s="9">
        <v>0</v>
      </c>
      <c r="CZ170" s="9">
        <v>0</v>
      </c>
      <c r="DA170" s="9">
        <v>0</v>
      </c>
      <c r="DB170" s="9">
        <v>0</v>
      </c>
      <c r="DC170" s="9">
        <v>0</v>
      </c>
      <c r="DD170" s="9">
        <v>0</v>
      </c>
      <c r="DE170" s="9">
        <v>0</v>
      </c>
      <c r="DF170" s="9">
        <v>0</v>
      </c>
      <c r="DG170" s="9">
        <v>0</v>
      </c>
      <c r="DH170" s="9">
        <v>0</v>
      </c>
      <c r="DI170" s="9">
        <v>0</v>
      </c>
      <c r="DJ170" s="9">
        <v>0</v>
      </c>
      <c r="DK170" s="9">
        <v>0</v>
      </c>
      <c r="DL170" s="9">
        <v>0</v>
      </c>
      <c r="DM170" s="9">
        <v>0</v>
      </c>
      <c r="DN170" s="9">
        <v>0</v>
      </c>
      <c r="DO170" s="9">
        <v>0</v>
      </c>
      <c r="DP170" s="9">
        <v>0</v>
      </c>
      <c r="DQ170" s="9">
        <v>0</v>
      </c>
      <c r="DR170" s="9">
        <v>0</v>
      </c>
      <c r="DS170" s="9">
        <v>0</v>
      </c>
      <c r="DT170" s="9">
        <v>0</v>
      </c>
      <c r="DU170" s="9">
        <v>0</v>
      </c>
      <c r="DV170" s="9">
        <v>0</v>
      </c>
      <c r="DW170" s="9">
        <v>0</v>
      </c>
      <c r="DX170" s="9">
        <v>0</v>
      </c>
      <c r="DY170" s="9">
        <v>0</v>
      </c>
      <c r="DZ170" s="9">
        <v>0</v>
      </c>
      <c r="EA170" s="9">
        <v>0</v>
      </c>
      <c r="EB170" s="9">
        <v>0</v>
      </c>
      <c r="EC170" s="9">
        <v>0</v>
      </c>
      <c r="ED170" s="9">
        <v>0</v>
      </c>
      <c r="EE170" s="9">
        <v>0</v>
      </c>
      <c r="EF170" s="9">
        <v>0</v>
      </c>
      <c r="EG170" s="9">
        <v>0</v>
      </c>
      <c r="EH170" s="9">
        <v>0</v>
      </c>
      <c r="EI170" s="9">
        <v>0</v>
      </c>
      <c r="EJ170" s="9">
        <v>1</v>
      </c>
      <c r="EK170" s="9">
        <v>1</v>
      </c>
      <c r="EL170" s="9">
        <v>0</v>
      </c>
      <c r="EM170" s="9">
        <v>0</v>
      </c>
      <c r="EN170" s="9">
        <v>0</v>
      </c>
      <c r="EO170" s="9">
        <v>1</v>
      </c>
      <c r="EP170" s="9">
        <v>1</v>
      </c>
      <c r="EQ170" s="9">
        <v>1</v>
      </c>
      <c r="ER170" s="9">
        <v>1</v>
      </c>
      <c r="ES170" s="9">
        <v>0</v>
      </c>
      <c r="ET170" s="9">
        <v>0</v>
      </c>
      <c r="EU170" s="9">
        <v>0</v>
      </c>
      <c r="EV170" s="9">
        <v>0</v>
      </c>
      <c r="EW170" s="9">
        <v>0</v>
      </c>
      <c r="EX170" s="9">
        <v>0</v>
      </c>
      <c r="EY170" s="9">
        <v>0</v>
      </c>
      <c r="EZ170" s="9">
        <v>0</v>
      </c>
      <c r="FA170" s="9">
        <v>0</v>
      </c>
      <c r="FB170" s="9">
        <v>0</v>
      </c>
      <c r="FC170" s="9">
        <v>0</v>
      </c>
      <c r="FD170" s="9">
        <v>0</v>
      </c>
      <c r="FE170" s="9">
        <v>0</v>
      </c>
      <c r="FF170" s="9">
        <v>0</v>
      </c>
      <c r="FG170" s="9">
        <v>0</v>
      </c>
      <c r="FH170" s="9">
        <v>0</v>
      </c>
      <c r="FI170" s="9">
        <v>0</v>
      </c>
      <c r="FJ170" s="9">
        <v>0</v>
      </c>
      <c r="FK170" s="9">
        <v>0</v>
      </c>
      <c r="FL170" s="9">
        <v>0</v>
      </c>
      <c r="FM170" s="10">
        <v>0</v>
      </c>
    </row>
    <row r="171" spans="1:169" x14ac:dyDescent="0.35">
      <c r="A171" s="8" t="s">
        <v>261</v>
      </c>
      <c r="B171" s="9" t="s">
        <v>292</v>
      </c>
      <c r="C171" s="10" t="s">
        <v>293</v>
      </c>
      <c r="D171" s="62">
        <f t="shared" si="99"/>
        <v>71</v>
      </c>
      <c r="E171" s="9">
        <v>3</v>
      </c>
      <c r="F171" s="9">
        <v>4</v>
      </c>
      <c r="G171" s="9">
        <v>4</v>
      </c>
      <c r="H171" s="9">
        <v>4</v>
      </c>
      <c r="I171" s="9">
        <v>7</v>
      </c>
      <c r="J171" s="9">
        <v>8</v>
      </c>
      <c r="K171" s="9">
        <v>11</v>
      </c>
      <c r="L171" s="9">
        <v>12</v>
      </c>
      <c r="M171" s="9">
        <v>13</v>
      </c>
      <c r="N171" s="9">
        <v>25</v>
      </c>
      <c r="O171" s="9">
        <v>31</v>
      </c>
      <c r="P171" s="9">
        <v>45</v>
      </c>
      <c r="Q171" s="9">
        <v>44</v>
      </c>
      <c r="R171" s="9">
        <v>41</v>
      </c>
      <c r="S171" s="9">
        <v>0</v>
      </c>
      <c r="T171" s="9">
        <v>47</v>
      </c>
      <c r="U171" s="9">
        <v>58</v>
      </c>
      <c r="V171" s="9">
        <v>62</v>
      </c>
      <c r="W171" s="9">
        <v>63</v>
      </c>
      <c r="X171" s="9">
        <v>63</v>
      </c>
      <c r="Y171" s="9">
        <v>63</v>
      </c>
      <c r="Z171" s="9">
        <v>55</v>
      </c>
      <c r="AA171" s="9">
        <v>67</v>
      </c>
      <c r="AB171" s="9">
        <v>63</v>
      </c>
      <c r="AC171" s="9">
        <v>71</v>
      </c>
      <c r="AD171" s="9">
        <v>71</v>
      </c>
      <c r="AE171" s="9">
        <v>62</v>
      </c>
      <c r="AF171" s="9">
        <v>64</v>
      </c>
      <c r="AG171" s="9">
        <v>64</v>
      </c>
      <c r="AH171" s="9">
        <v>63</v>
      </c>
      <c r="AI171" s="9">
        <v>61</v>
      </c>
      <c r="AJ171" s="9">
        <v>58</v>
      </c>
      <c r="AK171" s="9">
        <v>58</v>
      </c>
      <c r="AL171" s="9">
        <v>46</v>
      </c>
      <c r="AM171" s="9">
        <v>47</v>
      </c>
      <c r="AN171" s="9">
        <v>51</v>
      </c>
      <c r="AO171" s="9">
        <v>49</v>
      </c>
      <c r="AP171" s="9">
        <v>53</v>
      </c>
      <c r="AQ171" s="9">
        <v>49</v>
      </c>
      <c r="AR171" s="9">
        <v>58</v>
      </c>
      <c r="AS171" s="9">
        <v>53</v>
      </c>
      <c r="AT171" s="9">
        <v>53</v>
      </c>
      <c r="AU171" s="9">
        <v>52</v>
      </c>
      <c r="AV171" s="9">
        <v>52</v>
      </c>
      <c r="AW171" s="9">
        <v>47</v>
      </c>
      <c r="AX171" s="9">
        <v>44</v>
      </c>
      <c r="AY171" s="9">
        <v>51</v>
      </c>
      <c r="AZ171" s="9">
        <v>46</v>
      </c>
      <c r="BA171" s="9">
        <v>39</v>
      </c>
      <c r="BB171" s="9">
        <v>32</v>
      </c>
      <c r="BC171" s="9">
        <v>28</v>
      </c>
      <c r="BD171" s="9">
        <v>27</v>
      </c>
      <c r="BE171" s="9">
        <v>28</v>
      </c>
      <c r="BF171" s="9">
        <v>29</v>
      </c>
      <c r="BG171" s="9">
        <v>24</v>
      </c>
      <c r="BH171" s="9">
        <v>25</v>
      </c>
      <c r="BI171" s="9">
        <v>22</v>
      </c>
      <c r="BJ171" s="9">
        <v>22</v>
      </c>
      <c r="BK171" s="9">
        <v>21</v>
      </c>
      <c r="BL171" s="9">
        <v>22</v>
      </c>
      <c r="BM171" s="9">
        <v>22</v>
      </c>
      <c r="BN171" s="9">
        <v>25</v>
      </c>
      <c r="BO171" s="9">
        <v>24</v>
      </c>
      <c r="BP171" s="9">
        <v>24</v>
      </c>
      <c r="BQ171" s="9">
        <v>22</v>
      </c>
      <c r="BR171" s="9">
        <v>22</v>
      </c>
      <c r="BS171" s="9">
        <v>24</v>
      </c>
      <c r="BT171" s="9">
        <v>24</v>
      </c>
      <c r="BU171" s="9">
        <v>25</v>
      </c>
      <c r="BV171" s="9">
        <v>19</v>
      </c>
      <c r="BW171" s="9">
        <v>22</v>
      </c>
      <c r="BX171" s="9">
        <v>23</v>
      </c>
      <c r="BY171" s="9">
        <v>24</v>
      </c>
      <c r="BZ171" s="9">
        <v>25</v>
      </c>
      <c r="CA171" s="9">
        <v>27</v>
      </c>
      <c r="CB171" s="9">
        <v>28</v>
      </c>
      <c r="CC171" s="9">
        <v>26</v>
      </c>
      <c r="CD171" s="9">
        <v>31</v>
      </c>
      <c r="CE171" s="9">
        <v>35</v>
      </c>
      <c r="CF171" s="9">
        <v>28</v>
      </c>
      <c r="CG171" s="9">
        <v>28</v>
      </c>
      <c r="CH171" s="9">
        <v>31</v>
      </c>
      <c r="CI171" s="9">
        <v>27</v>
      </c>
      <c r="CJ171" s="9">
        <v>26</v>
      </c>
      <c r="CK171" s="9">
        <v>25</v>
      </c>
      <c r="CL171" s="9">
        <v>25</v>
      </c>
      <c r="CM171" s="9">
        <v>25</v>
      </c>
      <c r="CN171" s="9">
        <v>26</v>
      </c>
      <c r="CO171" s="9">
        <v>26</v>
      </c>
      <c r="CP171" s="9">
        <v>29</v>
      </c>
      <c r="CQ171" s="9">
        <v>27</v>
      </c>
      <c r="CR171" s="9">
        <v>29</v>
      </c>
      <c r="CS171" s="9">
        <v>28</v>
      </c>
      <c r="CT171" s="9">
        <v>28</v>
      </c>
      <c r="CU171" s="9">
        <v>27</v>
      </c>
      <c r="CV171" s="9">
        <v>28</v>
      </c>
      <c r="CW171" s="9">
        <v>26</v>
      </c>
      <c r="CX171" s="9">
        <v>17</v>
      </c>
      <c r="CY171" s="9">
        <v>15</v>
      </c>
      <c r="CZ171" s="9">
        <v>17</v>
      </c>
      <c r="DA171" s="9">
        <v>17</v>
      </c>
      <c r="DB171" s="9">
        <v>17</v>
      </c>
      <c r="DC171" s="9">
        <v>13</v>
      </c>
      <c r="DD171" s="9">
        <v>12</v>
      </c>
      <c r="DE171" s="9">
        <v>14</v>
      </c>
      <c r="DF171" s="9">
        <v>11</v>
      </c>
      <c r="DG171" s="9">
        <v>12</v>
      </c>
      <c r="DH171" s="9">
        <v>10</v>
      </c>
      <c r="DI171" s="9">
        <v>10</v>
      </c>
      <c r="DJ171" s="9">
        <v>11</v>
      </c>
      <c r="DK171" s="9">
        <v>9</v>
      </c>
      <c r="DL171" s="9">
        <v>9</v>
      </c>
      <c r="DM171" s="9">
        <v>9</v>
      </c>
      <c r="DN171" s="9">
        <v>7</v>
      </c>
      <c r="DO171" s="9">
        <v>7</v>
      </c>
      <c r="DP171" s="9">
        <v>8</v>
      </c>
      <c r="DQ171" s="9">
        <v>7</v>
      </c>
      <c r="DR171" s="9">
        <v>6</v>
      </c>
      <c r="DS171" s="9">
        <v>4</v>
      </c>
      <c r="DT171" s="9">
        <v>3</v>
      </c>
      <c r="DU171" s="9">
        <v>3</v>
      </c>
      <c r="DV171" s="9">
        <v>3</v>
      </c>
      <c r="DW171" s="9">
        <v>2</v>
      </c>
      <c r="DX171" s="9">
        <v>3</v>
      </c>
      <c r="DY171" s="9">
        <v>2</v>
      </c>
      <c r="DZ171" s="9">
        <v>2</v>
      </c>
      <c r="EA171" s="9">
        <v>1</v>
      </c>
      <c r="EB171" s="9">
        <v>1</v>
      </c>
      <c r="EC171" s="9">
        <v>1</v>
      </c>
      <c r="ED171" s="9">
        <v>2</v>
      </c>
      <c r="EE171" s="9">
        <v>2</v>
      </c>
      <c r="EF171" s="9">
        <v>2</v>
      </c>
      <c r="EG171" s="9">
        <v>1</v>
      </c>
      <c r="EH171" s="9">
        <v>1</v>
      </c>
      <c r="EI171" s="9">
        <v>1</v>
      </c>
      <c r="EJ171" s="9">
        <v>1</v>
      </c>
      <c r="EK171" s="9">
        <v>1</v>
      </c>
      <c r="EL171" s="9">
        <v>1</v>
      </c>
      <c r="EM171" s="9">
        <v>1</v>
      </c>
      <c r="EN171" s="9">
        <v>1</v>
      </c>
      <c r="EO171" s="9">
        <v>1</v>
      </c>
      <c r="EP171" s="9">
        <v>0</v>
      </c>
      <c r="EQ171" s="9">
        <v>0</v>
      </c>
      <c r="ER171" s="9">
        <v>0</v>
      </c>
      <c r="ES171" s="9">
        <v>0</v>
      </c>
      <c r="ET171" s="9">
        <v>0</v>
      </c>
      <c r="EU171" s="9">
        <v>0</v>
      </c>
      <c r="EV171" s="9">
        <v>0</v>
      </c>
      <c r="EW171" s="9">
        <v>0</v>
      </c>
      <c r="EX171" s="9">
        <v>0</v>
      </c>
      <c r="EY171" s="9">
        <v>0</v>
      </c>
      <c r="EZ171" s="9">
        <v>0</v>
      </c>
      <c r="FA171" s="9">
        <v>0</v>
      </c>
      <c r="FB171" s="9">
        <v>0</v>
      </c>
      <c r="FC171" s="9">
        <v>0</v>
      </c>
      <c r="FD171" s="9">
        <v>69</v>
      </c>
      <c r="FE171" s="9">
        <v>0</v>
      </c>
      <c r="FF171" s="9">
        <v>0</v>
      </c>
      <c r="FG171" s="9">
        <v>0</v>
      </c>
      <c r="FH171" s="9">
        <v>2</v>
      </c>
      <c r="FI171" s="9">
        <v>2</v>
      </c>
      <c r="FJ171" s="9">
        <v>2</v>
      </c>
      <c r="FK171" s="9">
        <v>2</v>
      </c>
      <c r="FL171" s="9">
        <v>2</v>
      </c>
      <c r="FM171" s="10">
        <v>2</v>
      </c>
    </row>
    <row r="172" spans="1:169" x14ac:dyDescent="0.35">
      <c r="A172" s="8" t="s">
        <v>261</v>
      </c>
      <c r="B172" s="9" t="s">
        <v>294</v>
      </c>
      <c r="C172" s="10" t="s">
        <v>295</v>
      </c>
      <c r="D172" s="62">
        <f t="shared" si="99"/>
        <v>263</v>
      </c>
      <c r="E172" s="9">
        <v>0</v>
      </c>
      <c r="F172" s="9">
        <v>0</v>
      </c>
      <c r="G172" s="9">
        <v>0</v>
      </c>
      <c r="H172" s="9">
        <v>0</v>
      </c>
      <c r="I172" s="9">
        <v>0</v>
      </c>
      <c r="J172" s="9">
        <v>2</v>
      </c>
      <c r="K172" s="9">
        <v>3</v>
      </c>
      <c r="L172" s="9">
        <v>7</v>
      </c>
      <c r="M172" s="9">
        <v>11</v>
      </c>
      <c r="N172" s="9">
        <v>12</v>
      </c>
      <c r="O172" s="9">
        <v>14</v>
      </c>
      <c r="P172" s="9">
        <v>17</v>
      </c>
      <c r="Q172" s="9">
        <v>26</v>
      </c>
      <c r="R172" s="9">
        <v>0</v>
      </c>
      <c r="S172" s="9">
        <v>31</v>
      </c>
      <c r="T172" s="9">
        <v>0</v>
      </c>
      <c r="U172" s="9">
        <v>58</v>
      </c>
      <c r="V172" s="9">
        <v>56</v>
      </c>
      <c r="W172" s="9">
        <v>63</v>
      </c>
      <c r="X172" s="9">
        <v>62</v>
      </c>
      <c r="Y172" s="9">
        <v>72</v>
      </c>
      <c r="Z172" s="9">
        <v>48</v>
      </c>
      <c r="AA172" s="9">
        <v>70</v>
      </c>
      <c r="AB172" s="9">
        <v>70</v>
      </c>
      <c r="AC172" s="9">
        <v>70</v>
      </c>
      <c r="AD172" s="9">
        <v>62</v>
      </c>
      <c r="AE172" s="9">
        <v>64</v>
      </c>
      <c r="AF172" s="9">
        <v>68</v>
      </c>
      <c r="AG172" s="9">
        <v>56</v>
      </c>
      <c r="AH172" s="9">
        <v>55</v>
      </c>
      <c r="AI172" s="9">
        <v>59</v>
      </c>
      <c r="AJ172" s="9">
        <v>56</v>
      </c>
      <c r="AK172" s="9">
        <v>71</v>
      </c>
      <c r="AL172" s="9">
        <v>71</v>
      </c>
      <c r="AM172" s="9">
        <v>69</v>
      </c>
      <c r="AN172" s="9">
        <v>69</v>
      </c>
      <c r="AO172" s="9">
        <v>63</v>
      </c>
      <c r="AP172" s="9">
        <v>62</v>
      </c>
      <c r="AQ172" s="9">
        <v>60</v>
      </c>
      <c r="AR172" s="9">
        <v>66</v>
      </c>
      <c r="AS172" s="9">
        <v>45</v>
      </c>
      <c r="AT172" s="9">
        <v>51</v>
      </c>
      <c r="AU172" s="9">
        <v>53</v>
      </c>
      <c r="AV172" s="9">
        <v>52</v>
      </c>
      <c r="AW172" s="9">
        <v>51</v>
      </c>
      <c r="AX172" s="9">
        <v>52</v>
      </c>
      <c r="AY172" s="9">
        <v>51</v>
      </c>
      <c r="AZ172" s="9">
        <v>50</v>
      </c>
      <c r="BA172" s="9">
        <v>49</v>
      </c>
      <c r="BB172" s="9">
        <v>47</v>
      </c>
      <c r="BC172" s="9">
        <v>44</v>
      </c>
      <c r="BD172" s="9">
        <v>42</v>
      </c>
      <c r="BE172" s="9">
        <v>45</v>
      </c>
      <c r="BF172" s="9">
        <v>48</v>
      </c>
      <c r="BG172" s="9">
        <v>47</v>
      </c>
      <c r="BH172" s="9">
        <v>42</v>
      </c>
      <c r="BI172" s="9">
        <v>44</v>
      </c>
      <c r="BJ172" s="9">
        <v>43</v>
      </c>
      <c r="BK172" s="9">
        <v>41</v>
      </c>
      <c r="BL172" s="9">
        <v>41</v>
      </c>
      <c r="BM172" s="9">
        <v>36</v>
      </c>
      <c r="BN172" s="9">
        <v>36</v>
      </c>
      <c r="BO172" s="9">
        <v>36</v>
      </c>
      <c r="BP172" s="9">
        <v>39</v>
      </c>
      <c r="BQ172" s="9">
        <v>42</v>
      </c>
      <c r="BR172" s="9">
        <v>43</v>
      </c>
      <c r="BS172" s="9">
        <v>50</v>
      </c>
      <c r="BT172" s="9">
        <v>50</v>
      </c>
      <c r="BU172" s="9">
        <v>47</v>
      </c>
      <c r="BV172" s="9">
        <v>44</v>
      </c>
      <c r="BW172" s="9">
        <v>39</v>
      </c>
      <c r="BX172" s="9">
        <v>36</v>
      </c>
      <c r="BY172" s="9">
        <v>37</v>
      </c>
      <c r="BZ172" s="9">
        <v>37</v>
      </c>
      <c r="CA172" s="9">
        <v>34</v>
      </c>
      <c r="CB172" s="9">
        <v>34</v>
      </c>
      <c r="CC172" s="9">
        <v>30</v>
      </c>
      <c r="CD172" s="9">
        <v>33</v>
      </c>
      <c r="CE172" s="9">
        <v>33</v>
      </c>
      <c r="CF172" s="9">
        <v>31</v>
      </c>
      <c r="CG172" s="9">
        <v>32</v>
      </c>
      <c r="CH172" s="9">
        <v>29</v>
      </c>
      <c r="CI172" s="9">
        <v>30</v>
      </c>
      <c r="CJ172" s="9">
        <v>27</v>
      </c>
      <c r="CK172" s="9">
        <v>27</v>
      </c>
      <c r="CL172" s="9">
        <v>26</v>
      </c>
      <c r="CM172" s="9">
        <v>25</v>
      </c>
      <c r="CN172" s="9">
        <v>23</v>
      </c>
      <c r="CO172" s="9">
        <v>23</v>
      </c>
      <c r="CP172" s="9">
        <v>25</v>
      </c>
      <c r="CQ172" s="9">
        <v>28</v>
      </c>
      <c r="CR172" s="9">
        <v>31</v>
      </c>
      <c r="CS172" s="9">
        <v>40</v>
      </c>
      <c r="CT172" s="9">
        <v>38</v>
      </c>
      <c r="CU172" s="9">
        <v>43</v>
      </c>
      <c r="CV172" s="9">
        <v>40</v>
      </c>
      <c r="CW172" s="9">
        <v>38</v>
      </c>
      <c r="CX172" s="9">
        <v>32</v>
      </c>
      <c r="CY172" s="9">
        <v>27</v>
      </c>
      <c r="CZ172" s="9">
        <v>25</v>
      </c>
      <c r="DA172" s="9">
        <v>25</v>
      </c>
      <c r="DB172" s="9">
        <v>263</v>
      </c>
      <c r="DC172" s="9">
        <v>26</v>
      </c>
      <c r="DD172" s="9">
        <v>23</v>
      </c>
      <c r="DE172" s="9">
        <v>21</v>
      </c>
      <c r="DF172" s="9">
        <v>23</v>
      </c>
      <c r="DG172" s="9">
        <v>21</v>
      </c>
      <c r="DH172" s="9">
        <v>21</v>
      </c>
      <c r="DI172" s="9">
        <v>22</v>
      </c>
      <c r="DJ172" s="9">
        <v>22</v>
      </c>
      <c r="DK172" s="9">
        <v>21</v>
      </c>
      <c r="DL172" s="9">
        <v>22</v>
      </c>
      <c r="DM172" s="9">
        <v>22</v>
      </c>
      <c r="DN172" s="9">
        <v>22</v>
      </c>
      <c r="DO172" s="9">
        <v>23</v>
      </c>
      <c r="DP172" s="9">
        <v>19</v>
      </c>
      <c r="DQ172" s="9">
        <v>17</v>
      </c>
      <c r="DR172" s="9">
        <v>16</v>
      </c>
      <c r="DS172" s="9">
        <v>19</v>
      </c>
      <c r="DT172" s="9">
        <v>14</v>
      </c>
      <c r="DU172" s="9">
        <v>14</v>
      </c>
      <c r="DV172" s="9">
        <v>13</v>
      </c>
      <c r="DW172" s="9">
        <v>13</v>
      </c>
      <c r="DX172" s="9">
        <v>12</v>
      </c>
      <c r="DY172" s="9">
        <v>12</v>
      </c>
      <c r="DZ172" s="9">
        <v>10</v>
      </c>
      <c r="EA172" s="9">
        <v>9</v>
      </c>
      <c r="EB172" s="9">
        <v>8</v>
      </c>
      <c r="EC172" s="9">
        <v>8</v>
      </c>
      <c r="ED172" s="9">
        <v>8</v>
      </c>
      <c r="EE172" s="9">
        <v>7</v>
      </c>
      <c r="EF172" s="9">
        <v>6</v>
      </c>
      <c r="EG172" s="9">
        <v>6</v>
      </c>
      <c r="EH172" s="9">
        <v>7</v>
      </c>
      <c r="EI172" s="9">
        <v>7</v>
      </c>
      <c r="EJ172" s="9">
        <v>5</v>
      </c>
      <c r="EK172" s="9">
        <v>4</v>
      </c>
      <c r="EL172" s="9">
        <v>6</v>
      </c>
      <c r="EM172" s="9">
        <v>6</v>
      </c>
      <c r="EN172" s="9">
        <v>4</v>
      </c>
      <c r="EO172" s="9">
        <v>2</v>
      </c>
      <c r="EP172" s="9">
        <v>1</v>
      </c>
      <c r="EQ172" s="9">
        <v>3</v>
      </c>
      <c r="ER172" s="9">
        <v>3</v>
      </c>
      <c r="ES172" s="9">
        <v>2</v>
      </c>
      <c r="ET172" s="9">
        <v>2</v>
      </c>
      <c r="EU172" s="9">
        <v>2</v>
      </c>
      <c r="EV172" s="9">
        <v>4</v>
      </c>
      <c r="EW172" s="9">
        <v>4</v>
      </c>
      <c r="EX172" s="9">
        <v>4</v>
      </c>
      <c r="EY172" s="9">
        <v>4</v>
      </c>
      <c r="EZ172" s="9">
        <v>2</v>
      </c>
      <c r="FA172" s="9">
        <v>2</v>
      </c>
      <c r="FB172" s="9">
        <v>2</v>
      </c>
      <c r="FC172" s="9">
        <v>1</v>
      </c>
      <c r="FD172" s="9">
        <v>1</v>
      </c>
      <c r="FE172" s="9">
        <v>1</v>
      </c>
      <c r="FF172" s="9">
        <v>1</v>
      </c>
      <c r="FG172" s="9">
        <v>0</v>
      </c>
      <c r="FH172" s="9">
        <v>1</v>
      </c>
      <c r="FI172" s="9">
        <v>2</v>
      </c>
      <c r="FJ172" s="9">
        <v>2</v>
      </c>
      <c r="FK172" s="9">
        <v>2</v>
      </c>
      <c r="FL172" s="9">
        <v>2</v>
      </c>
      <c r="FM172" s="10">
        <v>2</v>
      </c>
    </row>
    <row r="173" spans="1:169" x14ac:dyDescent="0.35">
      <c r="A173" s="8" t="s">
        <v>261</v>
      </c>
      <c r="B173" s="9" t="s">
        <v>296</v>
      </c>
      <c r="C173" s="10" t="s">
        <v>297</v>
      </c>
      <c r="D173" s="62">
        <f t="shared" si="99"/>
        <v>21</v>
      </c>
      <c r="E173" s="9">
        <v>0</v>
      </c>
      <c r="F173" s="9">
        <v>0</v>
      </c>
      <c r="G173" s="9">
        <v>0</v>
      </c>
      <c r="H173" s="9">
        <v>0</v>
      </c>
      <c r="I173" s="9">
        <v>0</v>
      </c>
      <c r="J173" s="9">
        <v>0</v>
      </c>
      <c r="K173" s="9">
        <v>0</v>
      </c>
      <c r="L173" s="9">
        <v>0</v>
      </c>
      <c r="M173" s="9">
        <v>0</v>
      </c>
      <c r="N173" s="9">
        <v>0</v>
      </c>
      <c r="O173" s="9">
        <v>0</v>
      </c>
      <c r="P173" s="9">
        <v>0</v>
      </c>
      <c r="Q173" s="9">
        <v>0</v>
      </c>
      <c r="R173" s="9">
        <v>0</v>
      </c>
      <c r="S173" s="9">
        <v>0</v>
      </c>
      <c r="T173" s="9">
        <v>0</v>
      </c>
      <c r="U173" s="9">
        <v>0</v>
      </c>
      <c r="V173" s="9">
        <v>0</v>
      </c>
      <c r="W173" s="9">
        <v>1</v>
      </c>
      <c r="X173" s="9">
        <v>1</v>
      </c>
      <c r="Y173" s="9">
        <v>4</v>
      </c>
      <c r="Z173" s="9">
        <v>3</v>
      </c>
      <c r="AA173" s="9">
        <v>3</v>
      </c>
      <c r="AB173" s="9">
        <v>8</v>
      </c>
      <c r="AC173" s="9">
        <v>8</v>
      </c>
      <c r="AD173" s="9">
        <v>9</v>
      </c>
      <c r="AE173" s="9">
        <v>11</v>
      </c>
      <c r="AF173" s="9">
        <v>11</v>
      </c>
      <c r="AG173" s="9">
        <v>12</v>
      </c>
      <c r="AH173" s="9">
        <v>13</v>
      </c>
      <c r="AI173" s="9">
        <v>14</v>
      </c>
      <c r="AJ173" s="9">
        <v>14</v>
      </c>
      <c r="AK173" s="9">
        <v>15</v>
      </c>
      <c r="AL173" s="9">
        <v>16</v>
      </c>
      <c r="AM173" s="9">
        <v>18</v>
      </c>
      <c r="AN173" s="9">
        <v>20</v>
      </c>
      <c r="AO173" s="9">
        <v>20</v>
      </c>
      <c r="AP173" s="9">
        <v>15</v>
      </c>
      <c r="AQ173" s="9">
        <v>13</v>
      </c>
      <c r="AR173" s="9">
        <v>16</v>
      </c>
      <c r="AS173" s="9">
        <v>14</v>
      </c>
      <c r="AT173" s="9">
        <v>13</v>
      </c>
      <c r="AU173" s="9">
        <v>14</v>
      </c>
      <c r="AV173" s="9">
        <v>15</v>
      </c>
      <c r="AW173" s="9">
        <v>15</v>
      </c>
      <c r="AX173" s="9">
        <v>10</v>
      </c>
      <c r="AY173" s="9">
        <v>12</v>
      </c>
      <c r="AZ173" s="9">
        <v>12</v>
      </c>
      <c r="BA173" s="9">
        <v>12</v>
      </c>
      <c r="BB173" s="9">
        <v>13</v>
      </c>
      <c r="BC173" s="9">
        <v>13</v>
      </c>
      <c r="BD173" s="9">
        <v>8</v>
      </c>
      <c r="BE173" s="9">
        <v>21</v>
      </c>
      <c r="BF173" s="9">
        <v>10</v>
      </c>
      <c r="BG173" s="9">
        <v>12</v>
      </c>
      <c r="BH173" s="9">
        <v>7</v>
      </c>
      <c r="BI173" s="9">
        <v>10</v>
      </c>
      <c r="BJ173" s="9">
        <v>9</v>
      </c>
      <c r="BK173" s="9">
        <v>11</v>
      </c>
      <c r="BL173" s="9">
        <v>10</v>
      </c>
      <c r="BM173" s="9">
        <v>9</v>
      </c>
      <c r="BN173" s="9">
        <v>9</v>
      </c>
      <c r="BO173" s="9">
        <v>10</v>
      </c>
      <c r="BP173" s="9">
        <v>7</v>
      </c>
      <c r="BQ173" s="9">
        <v>7</v>
      </c>
      <c r="BR173" s="9">
        <v>8</v>
      </c>
      <c r="BS173" s="9">
        <v>6</v>
      </c>
      <c r="BT173" s="9">
        <v>5</v>
      </c>
      <c r="BU173" s="9">
        <v>4</v>
      </c>
      <c r="BV173" s="9">
        <v>4</v>
      </c>
      <c r="BW173" s="9">
        <v>3</v>
      </c>
      <c r="BX173" s="9">
        <v>6</v>
      </c>
      <c r="BY173" s="9">
        <v>2</v>
      </c>
      <c r="BZ173" s="9">
        <v>1</v>
      </c>
      <c r="CA173" s="9">
        <v>1</v>
      </c>
      <c r="CB173" s="9">
        <v>0</v>
      </c>
      <c r="CC173" s="9">
        <v>0</v>
      </c>
      <c r="CD173" s="9">
        <v>0</v>
      </c>
      <c r="CE173" s="9">
        <v>0</v>
      </c>
      <c r="CF173" s="9">
        <v>0</v>
      </c>
      <c r="CG173" s="9">
        <v>0</v>
      </c>
      <c r="CH173" s="9">
        <v>0</v>
      </c>
      <c r="CI173" s="9">
        <v>0</v>
      </c>
      <c r="CJ173" s="9">
        <v>0</v>
      </c>
      <c r="CK173" s="9">
        <v>0</v>
      </c>
      <c r="CL173" s="9">
        <v>0</v>
      </c>
      <c r="CM173" s="9">
        <v>0</v>
      </c>
      <c r="CN173" s="9">
        <v>0</v>
      </c>
      <c r="CO173" s="9">
        <v>0</v>
      </c>
      <c r="CP173" s="9">
        <v>0</v>
      </c>
      <c r="CQ173" s="9">
        <v>0</v>
      </c>
      <c r="CR173" s="9">
        <v>0</v>
      </c>
      <c r="CS173" s="9">
        <v>0</v>
      </c>
      <c r="CT173" s="9">
        <v>0</v>
      </c>
      <c r="CU173" s="9">
        <v>0</v>
      </c>
      <c r="CV173" s="9">
        <v>0</v>
      </c>
      <c r="CW173" s="9">
        <v>0</v>
      </c>
      <c r="CX173" s="9">
        <v>0</v>
      </c>
      <c r="CY173" s="9">
        <v>0</v>
      </c>
      <c r="CZ173" s="9">
        <v>0</v>
      </c>
      <c r="DA173" s="9">
        <v>0</v>
      </c>
      <c r="DB173" s="9">
        <v>0</v>
      </c>
      <c r="DC173" s="9">
        <v>0</v>
      </c>
      <c r="DD173" s="9">
        <v>0</v>
      </c>
      <c r="DE173" s="9">
        <v>1</v>
      </c>
      <c r="DF173" s="9">
        <v>1</v>
      </c>
      <c r="DG173" s="9">
        <v>1</v>
      </c>
      <c r="DH173" s="9">
        <v>0</v>
      </c>
      <c r="DI173" s="9">
        <v>1</v>
      </c>
      <c r="DJ173" s="9">
        <v>1</v>
      </c>
      <c r="DK173" s="9">
        <v>1</v>
      </c>
      <c r="DL173" s="9">
        <v>0</v>
      </c>
      <c r="DM173" s="9">
        <v>0</v>
      </c>
      <c r="DN173" s="9">
        <v>0</v>
      </c>
      <c r="DO173" s="9">
        <v>0</v>
      </c>
      <c r="DP173" s="9">
        <v>0</v>
      </c>
      <c r="DQ173" s="9">
        <v>0</v>
      </c>
      <c r="DR173" s="9">
        <v>0</v>
      </c>
      <c r="DS173" s="9">
        <v>0</v>
      </c>
      <c r="DT173" s="9">
        <v>0</v>
      </c>
      <c r="DU173" s="9">
        <v>0</v>
      </c>
      <c r="DV173" s="9">
        <v>0</v>
      </c>
      <c r="DW173" s="9">
        <v>0</v>
      </c>
      <c r="DX173" s="9">
        <v>0</v>
      </c>
      <c r="DY173" s="9">
        <v>0</v>
      </c>
      <c r="DZ173" s="9">
        <v>0</v>
      </c>
      <c r="EA173" s="9">
        <v>0</v>
      </c>
      <c r="EB173" s="9">
        <v>0</v>
      </c>
      <c r="EC173" s="9">
        <v>0</v>
      </c>
      <c r="ED173" s="9">
        <v>0</v>
      </c>
      <c r="EE173" s="9">
        <v>0</v>
      </c>
      <c r="EF173" s="9">
        <v>0</v>
      </c>
      <c r="EG173" s="9">
        <v>0</v>
      </c>
      <c r="EH173" s="9">
        <v>0</v>
      </c>
      <c r="EI173" s="9">
        <v>0</v>
      </c>
      <c r="EJ173" s="9">
        <v>0</v>
      </c>
      <c r="EK173" s="9">
        <v>0</v>
      </c>
      <c r="EL173" s="9">
        <v>0</v>
      </c>
      <c r="EM173" s="9">
        <v>0</v>
      </c>
      <c r="EN173" s="9">
        <v>4</v>
      </c>
      <c r="EO173" s="9">
        <v>0</v>
      </c>
      <c r="EP173" s="9">
        <v>0</v>
      </c>
      <c r="EQ173" s="9">
        <v>0</v>
      </c>
      <c r="ER173" s="9">
        <v>0</v>
      </c>
      <c r="ES173" s="9">
        <v>0</v>
      </c>
      <c r="ET173" s="9">
        <v>0</v>
      </c>
      <c r="EU173" s="9">
        <v>0</v>
      </c>
      <c r="EV173" s="9">
        <v>2</v>
      </c>
      <c r="EW173" s="9">
        <v>1</v>
      </c>
      <c r="EX173" s="9">
        <v>1</v>
      </c>
      <c r="EY173" s="9">
        <v>1</v>
      </c>
      <c r="EZ173" s="9">
        <v>1</v>
      </c>
      <c r="FA173" s="9">
        <v>0</v>
      </c>
      <c r="FB173" s="9">
        <v>0</v>
      </c>
      <c r="FC173" s="9">
        <v>1</v>
      </c>
      <c r="FD173" s="9">
        <v>1</v>
      </c>
      <c r="FE173" s="9">
        <v>1</v>
      </c>
      <c r="FF173" s="9">
        <v>1</v>
      </c>
      <c r="FG173" s="9">
        <v>0</v>
      </c>
      <c r="FH173" s="9">
        <v>0</v>
      </c>
      <c r="FI173" s="9">
        <v>1</v>
      </c>
      <c r="FJ173" s="9">
        <v>2</v>
      </c>
      <c r="FK173" s="9">
        <v>2</v>
      </c>
      <c r="FL173" s="9">
        <v>2</v>
      </c>
      <c r="FM173" s="10">
        <v>2</v>
      </c>
    </row>
    <row r="174" spans="1:169" x14ac:dyDescent="0.35">
      <c r="A174" s="8" t="s">
        <v>261</v>
      </c>
      <c r="B174" s="9" t="s">
        <v>298</v>
      </c>
      <c r="C174" s="10" t="s">
        <v>299</v>
      </c>
      <c r="D174" s="62">
        <f t="shared" si="99"/>
        <v>407</v>
      </c>
      <c r="E174" s="9">
        <v>22</v>
      </c>
      <c r="F174" s="9">
        <v>38</v>
      </c>
      <c r="G174" s="9">
        <v>46</v>
      </c>
      <c r="H174" s="9">
        <v>50</v>
      </c>
      <c r="I174" s="9">
        <v>49</v>
      </c>
      <c r="J174" s="9">
        <v>65</v>
      </c>
      <c r="K174" s="9">
        <v>102</v>
      </c>
      <c r="L174" s="9">
        <v>112</v>
      </c>
      <c r="M174" s="9">
        <v>147</v>
      </c>
      <c r="N174" s="9">
        <v>160</v>
      </c>
      <c r="O174" s="9">
        <v>185</v>
      </c>
      <c r="P174" s="9">
        <v>187</v>
      </c>
      <c r="Q174" s="9">
        <v>238</v>
      </c>
      <c r="R174" s="9">
        <v>287</v>
      </c>
      <c r="S174" s="9">
        <v>347</v>
      </c>
      <c r="T174" s="9">
        <v>391</v>
      </c>
      <c r="U174" s="9">
        <v>407</v>
      </c>
      <c r="V174" s="9">
        <v>247</v>
      </c>
      <c r="W174" s="9">
        <v>251</v>
      </c>
      <c r="X174" s="9">
        <v>263</v>
      </c>
      <c r="Y174" s="9">
        <v>270</v>
      </c>
      <c r="Z174" s="9">
        <v>256</v>
      </c>
      <c r="AA174" s="9">
        <v>256</v>
      </c>
      <c r="AB174" s="9">
        <v>261</v>
      </c>
      <c r="AC174" s="9">
        <v>251</v>
      </c>
      <c r="AD174" s="9">
        <v>271</v>
      </c>
      <c r="AE174" s="9">
        <v>277</v>
      </c>
      <c r="AF174" s="9">
        <v>267</v>
      </c>
      <c r="AG174" s="9">
        <v>255</v>
      </c>
      <c r="AH174" s="9">
        <v>255</v>
      </c>
      <c r="AI174" s="9">
        <v>254</v>
      </c>
      <c r="AJ174" s="9">
        <v>256</v>
      </c>
      <c r="AK174" s="9">
        <v>256</v>
      </c>
      <c r="AL174" s="9">
        <v>239</v>
      </c>
      <c r="AM174" s="9">
        <v>216</v>
      </c>
      <c r="AN174" s="9">
        <v>204</v>
      </c>
      <c r="AO174" s="9">
        <v>190</v>
      </c>
      <c r="AP174" s="9">
        <v>177</v>
      </c>
      <c r="AQ174" s="9">
        <v>184</v>
      </c>
      <c r="AR174" s="9">
        <v>186</v>
      </c>
      <c r="AS174" s="9">
        <v>191</v>
      </c>
      <c r="AT174" s="9">
        <v>184</v>
      </c>
      <c r="AU174" s="9">
        <v>162</v>
      </c>
      <c r="AV174" s="9">
        <v>198</v>
      </c>
      <c r="AW174" s="9">
        <v>201</v>
      </c>
      <c r="AX174" s="9">
        <v>215</v>
      </c>
      <c r="AY174" s="9">
        <v>206</v>
      </c>
      <c r="AZ174" s="9">
        <v>214</v>
      </c>
      <c r="BA174" s="9">
        <v>211</v>
      </c>
      <c r="BB174" s="9">
        <v>206</v>
      </c>
      <c r="BC174" s="9">
        <v>202</v>
      </c>
      <c r="BD174" s="9">
        <v>134</v>
      </c>
      <c r="BE174" s="9">
        <v>223</v>
      </c>
      <c r="BF174" s="9">
        <v>234</v>
      </c>
      <c r="BG174" s="9">
        <v>239</v>
      </c>
      <c r="BH174" s="9">
        <v>219</v>
      </c>
      <c r="BI174" s="9">
        <v>195</v>
      </c>
      <c r="BJ174" s="9">
        <v>179</v>
      </c>
      <c r="BK174" s="9">
        <v>167</v>
      </c>
      <c r="BL174" s="9">
        <v>168</v>
      </c>
      <c r="BM174" s="9">
        <v>161</v>
      </c>
      <c r="BN174" s="9">
        <v>151</v>
      </c>
      <c r="BO174" s="9">
        <v>131</v>
      </c>
      <c r="BP174" s="9">
        <v>124</v>
      </c>
      <c r="BQ174" s="9">
        <v>116</v>
      </c>
      <c r="BR174" s="9">
        <v>104</v>
      </c>
      <c r="BS174" s="9">
        <v>106</v>
      </c>
      <c r="BT174" s="9">
        <v>101</v>
      </c>
      <c r="BU174" s="9">
        <v>99</v>
      </c>
      <c r="BV174" s="9">
        <v>96</v>
      </c>
      <c r="BW174" s="9">
        <v>97</v>
      </c>
      <c r="BX174" s="9">
        <v>87</v>
      </c>
      <c r="BY174" s="9">
        <v>82</v>
      </c>
      <c r="BZ174" s="9">
        <v>80</v>
      </c>
      <c r="CA174" s="9">
        <v>74</v>
      </c>
      <c r="CB174" s="9">
        <v>71</v>
      </c>
      <c r="CC174" s="9">
        <v>74</v>
      </c>
      <c r="CD174" s="9">
        <v>70</v>
      </c>
      <c r="CE174" s="9">
        <v>63</v>
      </c>
      <c r="CF174" s="9">
        <v>63</v>
      </c>
      <c r="CG174" s="9">
        <v>64</v>
      </c>
      <c r="CH174" s="9">
        <v>55</v>
      </c>
      <c r="CI174" s="9">
        <v>55</v>
      </c>
      <c r="CJ174" s="9">
        <v>54</v>
      </c>
      <c r="CK174" s="9">
        <v>55</v>
      </c>
      <c r="CL174" s="9">
        <v>50</v>
      </c>
      <c r="CM174" s="9">
        <v>53</v>
      </c>
      <c r="CN174" s="9">
        <v>53</v>
      </c>
      <c r="CO174" s="9">
        <v>53</v>
      </c>
      <c r="CP174" s="9">
        <v>51</v>
      </c>
      <c r="CQ174" s="9">
        <v>46</v>
      </c>
      <c r="CR174" s="9">
        <v>49</v>
      </c>
      <c r="CS174" s="9">
        <v>48</v>
      </c>
      <c r="CT174" s="9">
        <v>51</v>
      </c>
      <c r="CU174" s="9">
        <v>53</v>
      </c>
      <c r="CV174" s="9">
        <v>52</v>
      </c>
      <c r="CW174" s="9">
        <v>50</v>
      </c>
      <c r="CX174" s="9">
        <v>49</v>
      </c>
      <c r="CY174" s="9">
        <v>49</v>
      </c>
      <c r="CZ174" s="9">
        <v>47</v>
      </c>
      <c r="DA174" s="9">
        <v>47</v>
      </c>
      <c r="DB174" s="9">
        <v>50</v>
      </c>
      <c r="DC174" s="9">
        <v>48</v>
      </c>
      <c r="DD174" s="9">
        <v>43</v>
      </c>
      <c r="DE174" s="9">
        <v>43</v>
      </c>
      <c r="DF174" s="9">
        <v>40</v>
      </c>
      <c r="DG174" s="9">
        <v>38</v>
      </c>
      <c r="DH174" s="9">
        <v>35</v>
      </c>
      <c r="DI174" s="9">
        <v>36</v>
      </c>
      <c r="DJ174" s="9">
        <v>39</v>
      </c>
      <c r="DK174" s="9">
        <v>36</v>
      </c>
      <c r="DL174" s="9">
        <v>34</v>
      </c>
      <c r="DM174" s="9">
        <v>29</v>
      </c>
      <c r="DN174" s="9">
        <v>26</v>
      </c>
      <c r="DO174" s="9">
        <v>27</v>
      </c>
      <c r="DP174" s="9">
        <v>28</v>
      </c>
      <c r="DQ174" s="9">
        <v>29</v>
      </c>
      <c r="DR174" s="9">
        <v>30</v>
      </c>
      <c r="DS174" s="9">
        <v>32</v>
      </c>
      <c r="DT174" s="9">
        <v>26</v>
      </c>
      <c r="DU174" s="9">
        <v>24</v>
      </c>
      <c r="DV174" s="9">
        <v>25</v>
      </c>
      <c r="DW174" s="9">
        <v>26</v>
      </c>
      <c r="DX174" s="9">
        <v>25</v>
      </c>
      <c r="DY174" s="9">
        <v>24</v>
      </c>
      <c r="DZ174" s="9">
        <v>23</v>
      </c>
      <c r="EA174" s="9">
        <v>24</v>
      </c>
      <c r="EB174" s="9">
        <v>23</v>
      </c>
      <c r="EC174" s="9">
        <v>21</v>
      </c>
      <c r="ED174" s="9">
        <v>21</v>
      </c>
      <c r="EE174" s="9">
        <v>19</v>
      </c>
      <c r="EF174" s="9">
        <v>18</v>
      </c>
      <c r="EG174" s="9">
        <v>16</v>
      </c>
      <c r="EH174" s="9">
        <v>19</v>
      </c>
      <c r="EI174" s="9">
        <v>18</v>
      </c>
      <c r="EJ174" s="9">
        <v>17</v>
      </c>
      <c r="EK174" s="9">
        <v>17</v>
      </c>
      <c r="EL174" s="9">
        <v>18</v>
      </c>
      <c r="EM174" s="9">
        <v>18</v>
      </c>
      <c r="EN174" s="9">
        <v>19</v>
      </c>
      <c r="EO174" s="9">
        <v>17</v>
      </c>
      <c r="EP174" s="9">
        <v>16</v>
      </c>
      <c r="EQ174" s="9">
        <v>15</v>
      </c>
      <c r="ER174" s="9">
        <v>16</v>
      </c>
      <c r="ES174" s="9">
        <v>18</v>
      </c>
      <c r="ET174" s="9">
        <v>19</v>
      </c>
      <c r="EU174" s="9">
        <v>20</v>
      </c>
      <c r="EV174" s="9">
        <v>20</v>
      </c>
      <c r="EW174" s="9">
        <v>20</v>
      </c>
      <c r="EX174" s="9">
        <v>18</v>
      </c>
      <c r="EY174" s="9">
        <v>18</v>
      </c>
      <c r="EZ174" s="9">
        <v>17</v>
      </c>
      <c r="FA174" s="9">
        <v>19</v>
      </c>
      <c r="FB174" s="9">
        <v>19</v>
      </c>
      <c r="FC174" s="9">
        <v>19</v>
      </c>
      <c r="FD174" s="9">
        <v>18</v>
      </c>
      <c r="FE174" s="9">
        <v>16</v>
      </c>
      <c r="FF174" s="9">
        <v>16</v>
      </c>
      <c r="FG174" s="9">
        <v>15</v>
      </c>
      <c r="FH174" s="9">
        <v>16</v>
      </c>
      <c r="FI174" s="9">
        <v>16</v>
      </c>
      <c r="FJ174" s="9">
        <v>15</v>
      </c>
      <c r="FK174" s="9">
        <v>14</v>
      </c>
      <c r="FL174" s="9">
        <v>13</v>
      </c>
      <c r="FM174" s="10">
        <v>15</v>
      </c>
    </row>
    <row r="175" spans="1:169" x14ac:dyDescent="0.35">
      <c r="A175" s="8" t="s">
        <v>261</v>
      </c>
      <c r="B175" s="9" t="s">
        <v>300</v>
      </c>
      <c r="C175" s="10" t="s">
        <v>301</v>
      </c>
      <c r="D175" s="62">
        <f t="shared" si="99"/>
        <v>75</v>
      </c>
      <c r="E175" s="9">
        <v>0</v>
      </c>
      <c r="F175" s="9">
        <v>2</v>
      </c>
      <c r="G175" s="9">
        <v>0</v>
      </c>
      <c r="H175" s="9">
        <v>0</v>
      </c>
      <c r="I175" s="9">
        <v>0</v>
      </c>
      <c r="J175" s="9">
        <v>0</v>
      </c>
      <c r="K175" s="9">
        <v>0</v>
      </c>
      <c r="L175" s="9">
        <v>4</v>
      </c>
      <c r="M175" s="9">
        <v>8</v>
      </c>
      <c r="N175" s="9">
        <v>11</v>
      </c>
      <c r="O175" s="9">
        <v>17</v>
      </c>
      <c r="P175" s="9">
        <v>20</v>
      </c>
      <c r="Q175" s="9">
        <v>23</v>
      </c>
      <c r="R175" s="9">
        <v>29</v>
      </c>
      <c r="S175" s="9">
        <v>36</v>
      </c>
      <c r="T175" s="9">
        <v>46</v>
      </c>
      <c r="U175" s="9">
        <v>63</v>
      </c>
      <c r="V175" s="9">
        <v>64</v>
      </c>
      <c r="W175" s="9">
        <v>69</v>
      </c>
      <c r="X175" s="9">
        <v>74</v>
      </c>
      <c r="Y175" s="9">
        <v>71</v>
      </c>
      <c r="Z175" s="9">
        <v>74</v>
      </c>
      <c r="AA175" s="9">
        <v>70</v>
      </c>
      <c r="AB175" s="9">
        <v>70</v>
      </c>
      <c r="AC175" s="9">
        <v>72</v>
      </c>
      <c r="AD175" s="9">
        <v>72</v>
      </c>
      <c r="AE175" s="9">
        <v>70</v>
      </c>
      <c r="AF175" s="9">
        <v>63</v>
      </c>
      <c r="AG175" s="9">
        <v>67</v>
      </c>
      <c r="AH175" s="9">
        <v>65</v>
      </c>
      <c r="AI175" s="9">
        <v>75</v>
      </c>
      <c r="AJ175" s="9">
        <v>70</v>
      </c>
      <c r="AK175" s="9">
        <v>67</v>
      </c>
      <c r="AL175" s="9">
        <v>64</v>
      </c>
      <c r="AM175" s="9">
        <v>59</v>
      </c>
      <c r="AN175" s="9">
        <v>61</v>
      </c>
      <c r="AO175" s="9">
        <v>63</v>
      </c>
      <c r="AP175" s="9">
        <v>62</v>
      </c>
      <c r="AQ175" s="9">
        <v>48</v>
      </c>
      <c r="AR175" s="9">
        <v>47</v>
      </c>
      <c r="AS175" s="9">
        <v>43</v>
      </c>
      <c r="AT175" s="9">
        <v>14</v>
      </c>
      <c r="AU175" s="9">
        <v>40</v>
      </c>
      <c r="AV175" s="9">
        <v>40</v>
      </c>
      <c r="AW175" s="9">
        <v>44</v>
      </c>
      <c r="AX175" s="9">
        <v>32</v>
      </c>
      <c r="AY175" s="9">
        <v>29</v>
      </c>
      <c r="AZ175" s="9">
        <v>28</v>
      </c>
      <c r="BA175" s="9">
        <v>22</v>
      </c>
      <c r="BB175" s="9">
        <v>25</v>
      </c>
      <c r="BC175" s="9">
        <v>27</v>
      </c>
      <c r="BD175" s="9">
        <v>25</v>
      </c>
      <c r="BE175" s="9">
        <v>15</v>
      </c>
      <c r="BF175" s="9">
        <v>17</v>
      </c>
      <c r="BG175" s="9">
        <v>16</v>
      </c>
      <c r="BH175" s="9">
        <v>13</v>
      </c>
      <c r="BI175" s="9">
        <v>14</v>
      </c>
      <c r="BJ175" s="9">
        <v>13</v>
      </c>
      <c r="BK175" s="9">
        <v>16</v>
      </c>
      <c r="BL175" s="9">
        <v>12</v>
      </c>
      <c r="BM175" s="9">
        <v>11</v>
      </c>
      <c r="BN175" s="9">
        <v>9</v>
      </c>
      <c r="BO175" s="9">
        <v>10</v>
      </c>
      <c r="BP175" s="9">
        <v>10</v>
      </c>
      <c r="BQ175" s="9">
        <v>11</v>
      </c>
      <c r="BR175" s="9">
        <v>13</v>
      </c>
      <c r="BS175" s="9">
        <v>15</v>
      </c>
      <c r="BT175" s="9">
        <v>8</v>
      </c>
      <c r="BU175" s="9">
        <v>8</v>
      </c>
      <c r="BV175" s="9">
        <v>6</v>
      </c>
      <c r="BW175" s="9">
        <v>7</v>
      </c>
      <c r="BX175" s="9">
        <v>6</v>
      </c>
      <c r="BY175" s="9">
        <v>6</v>
      </c>
      <c r="BZ175" s="9">
        <v>5</v>
      </c>
      <c r="CA175" s="9">
        <v>7</v>
      </c>
      <c r="CB175" s="9">
        <v>5</v>
      </c>
      <c r="CC175" s="9">
        <v>4</v>
      </c>
      <c r="CD175" s="9">
        <v>4</v>
      </c>
      <c r="CE175" s="9">
        <v>4</v>
      </c>
      <c r="CF175" s="9">
        <v>4</v>
      </c>
      <c r="CG175" s="9">
        <v>3</v>
      </c>
      <c r="CH175" s="9">
        <v>6</v>
      </c>
      <c r="CI175" s="9">
        <v>6</v>
      </c>
      <c r="CJ175" s="9">
        <v>6</v>
      </c>
      <c r="CK175" s="9">
        <v>6</v>
      </c>
      <c r="CL175" s="9">
        <v>4</v>
      </c>
      <c r="CM175" s="9">
        <v>3</v>
      </c>
      <c r="CN175" s="9">
        <v>2</v>
      </c>
      <c r="CO175" s="9">
        <v>2</v>
      </c>
      <c r="CP175" s="9">
        <v>3</v>
      </c>
      <c r="CQ175" s="9">
        <v>5</v>
      </c>
      <c r="CR175" s="9">
        <v>4</v>
      </c>
      <c r="CS175" s="9">
        <v>4</v>
      </c>
      <c r="CT175" s="9">
        <v>4</v>
      </c>
      <c r="CU175" s="9">
        <v>4</v>
      </c>
      <c r="CV175" s="9">
        <v>2</v>
      </c>
      <c r="CW175" s="9">
        <v>2</v>
      </c>
      <c r="CX175" s="9">
        <v>4</v>
      </c>
      <c r="CY175" s="9">
        <v>3</v>
      </c>
      <c r="CZ175" s="9">
        <v>3</v>
      </c>
      <c r="DA175" s="9">
        <v>3</v>
      </c>
      <c r="DB175" s="9">
        <v>4</v>
      </c>
      <c r="DC175" s="9">
        <v>4</v>
      </c>
      <c r="DD175" s="9">
        <v>3</v>
      </c>
      <c r="DE175" s="9">
        <v>3</v>
      </c>
      <c r="DF175" s="9">
        <v>3</v>
      </c>
      <c r="DG175" s="9">
        <v>3</v>
      </c>
      <c r="DH175" s="9">
        <v>4</v>
      </c>
      <c r="DI175" s="9">
        <v>5</v>
      </c>
      <c r="DJ175" s="9">
        <v>5</v>
      </c>
      <c r="DK175" s="9">
        <v>4</v>
      </c>
      <c r="DL175" s="9">
        <v>8</v>
      </c>
      <c r="DM175" s="9">
        <v>9</v>
      </c>
      <c r="DN175" s="9">
        <v>7</v>
      </c>
      <c r="DO175" s="9">
        <v>6</v>
      </c>
      <c r="DP175" s="9">
        <v>2</v>
      </c>
      <c r="DQ175" s="9">
        <v>2</v>
      </c>
      <c r="DR175" s="9">
        <v>2</v>
      </c>
      <c r="DS175" s="9">
        <v>2</v>
      </c>
      <c r="DT175" s="9">
        <v>1</v>
      </c>
      <c r="DU175" s="9">
        <v>1</v>
      </c>
      <c r="DV175" s="9">
        <v>1</v>
      </c>
      <c r="DW175" s="9">
        <v>1</v>
      </c>
      <c r="DX175" s="9">
        <v>0</v>
      </c>
      <c r="DY175" s="9">
        <v>1</v>
      </c>
      <c r="DZ175" s="9">
        <v>0</v>
      </c>
      <c r="EA175" s="9">
        <v>0</v>
      </c>
      <c r="EB175" s="9">
        <v>0</v>
      </c>
      <c r="EC175" s="9">
        <v>2</v>
      </c>
      <c r="ED175" s="9">
        <v>1</v>
      </c>
      <c r="EE175" s="9">
        <v>1</v>
      </c>
      <c r="EF175" s="9">
        <v>1</v>
      </c>
      <c r="EG175" s="9">
        <v>2</v>
      </c>
      <c r="EH175" s="9">
        <v>0</v>
      </c>
      <c r="EI175" s="9">
        <v>0</v>
      </c>
      <c r="EJ175" s="9">
        <v>0</v>
      </c>
      <c r="EK175" s="9">
        <v>0</v>
      </c>
      <c r="EL175" s="9">
        <v>0</v>
      </c>
      <c r="EM175" s="9">
        <v>0</v>
      </c>
      <c r="EN175" s="9">
        <v>0</v>
      </c>
      <c r="EO175" s="9">
        <v>0</v>
      </c>
      <c r="EP175" s="9">
        <v>0</v>
      </c>
      <c r="EQ175" s="9">
        <v>0</v>
      </c>
      <c r="ER175" s="9">
        <v>0</v>
      </c>
      <c r="ES175" s="9">
        <v>0</v>
      </c>
      <c r="ET175" s="9">
        <v>0</v>
      </c>
      <c r="EU175" s="9">
        <v>0</v>
      </c>
      <c r="EV175" s="9">
        <v>0</v>
      </c>
      <c r="EW175" s="9">
        <v>0</v>
      </c>
      <c r="EX175" s="9">
        <v>0</v>
      </c>
      <c r="EY175" s="9">
        <v>0</v>
      </c>
      <c r="EZ175" s="9">
        <v>0</v>
      </c>
      <c r="FA175" s="9">
        <v>0</v>
      </c>
      <c r="FB175" s="9">
        <v>0</v>
      </c>
      <c r="FC175" s="9">
        <v>0</v>
      </c>
      <c r="FD175" s="9">
        <v>0</v>
      </c>
      <c r="FE175" s="9">
        <v>1</v>
      </c>
      <c r="FF175" s="9">
        <v>2</v>
      </c>
      <c r="FG175" s="9">
        <v>1</v>
      </c>
      <c r="FH175" s="9">
        <v>2</v>
      </c>
      <c r="FI175" s="9">
        <v>3</v>
      </c>
      <c r="FJ175" s="9">
        <v>3</v>
      </c>
      <c r="FK175" s="9">
        <v>3</v>
      </c>
      <c r="FL175" s="9">
        <v>3</v>
      </c>
      <c r="FM175" s="10">
        <v>3</v>
      </c>
    </row>
    <row r="176" spans="1:169" x14ac:dyDescent="0.35">
      <c r="A176" s="8" t="s">
        <v>261</v>
      </c>
      <c r="B176" s="9" t="s">
        <v>302</v>
      </c>
      <c r="C176" s="10" t="s">
        <v>303</v>
      </c>
      <c r="D176" s="62">
        <f t="shared" si="99"/>
        <v>222</v>
      </c>
      <c r="E176" s="9">
        <v>8</v>
      </c>
      <c r="F176" s="9">
        <v>16</v>
      </c>
      <c r="G176" s="9">
        <v>16</v>
      </c>
      <c r="H176" s="9">
        <v>19</v>
      </c>
      <c r="I176" s="9">
        <v>27</v>
      </c>
      <c r="J176" s="9">
        <v>34</v>
      </c>
      <c r="K176" s="9">
        <v>47</v>
      </c>
      <c r="L176" s="9">
        <v>53</v>
      </c>
      <c r="M176" s="9">
        <v>74</v>
      </c>
      <c r="N176" s="9">
        <v>79</v>
      </c>
      <c r="O176" s="9">
        <v>87</v>
      </c>
      <c r="P176" s="9">
        <v>104</v>
      </c>
      <c r="Q176" s="9">
        <v>98</v>
      </c>
      <c r="R176" s="9">
        <v>102</v>
      </c>
      <c r="S176" s="9">
        <v>109</v>
      </c>
      <c r="T176" s="9">
        <v>111</v>
      </c>
      <c r="U176" s="9">
        <v>222</v>
      </c>
      <c r="V176" s="9">
        <v>125</v>
      </c>
      <c r="W176" s="9">
        <v>123</v>
      </c>
      <c r="X176" s="9">
        <v>147</v>
      </c>
      <c r="Y176" s="9">
        <v>158</v>
      </c>
      <c r="Z176" s="9">
        <v>150</v>
      </c>
      <c r="AA176" s="9">
        <v>149</v>
      </c>
      <c r="AB176" s="9">
        <v>152</v>
      </c>
      <c r="AC176" s="9">
        <v>154</v>
      </c>
      <c r="AD176" s="9">
        <v>150</v>
      </c>
      <c r="AE176" s="9">
        <v>146</v>
      </c>
      <c r="AF176" s="9">
        <v>146</v>
      </c>
      <c r="AG176" s="9">
        <v>74</v>
      </c>
      <c r="AH176" s="9">
        <v>124</v>
      </c>
      <c r="AI176" s="9">
        <v>125</v>
      </c>
      <c r="AJ176" s="9">
        <v>14</v>
      </c>
      <c r="AK176" s="9">
        <v>120</v>
      </c>
      <c r="AL176" s="9">
        <v>117</v>
      </c>
      <c r="AM176" s="9">
        <v>123</v>
      </c>
      <c r="AN176" s="9">
        <v>127</v>
      </c>
      <c r="AO176" s="9">
        <v>132</v>
      </c>
      <c r="AP176" s="9">
        <v>122</v>
      </c>
      <c r="AQ176" s="9">
        <v>125</v>
      </c>
      <c r="AR176" s="9">
        <v>117</v>
      </c>
      <c r="AS176" s="9">
        <v>114</v>
      </c>
      <c r="AT176" s="9">
        <v>112</v>
      </c>
      <c r="AU176" s="9">
        <v>108</v>
      </c>
      <c r="AV176" s="9">
        <v>107</v>
      </c>
      <c r="AW176" s="9">
        <v>107</v>
      </c>
      <c r="AX176" s="9">
        <v>106</v>
      </c>
      <c r="AY176" s="9">
        <v>110</v>
      </c>
      <c r="AZ176" s="9">
        <v>106</v>
      </c>
      <c r="BA176" s="9">
        <v>105</v>
      </c>
      <c r="BB176" s="9">
        <v>102</v>
      </c>
      <c r="BC176" s="9">
        <v>101</v>
      </c>
      <c r="BD176" s="9">
        <v>105</v>
      </c>
      <c r="BE176" s="9">
        <v>103</v>
      </c>
      <c r="BF176" s="9">
        <v>97</v>
      </c>
      <c r="BG176" s="9">
        <v>94</v>
      </c>
      <c r="BH176" s="9">
        <v>91</v>
      </c>
      <c r="BI176" s="9">
        <v>88</v>
      </c>
      <c r="BJ176" s="9">
        <v>83</v>
      </c>
      <c r="BK176" s="9">
        <v>81</v>
      </c>
      <c r="BL176" s="9">
        <v>81</v>
      </c>
      <c r="BM176" s="9">
        <v>75</v>
      </c>
      <c r="BN176" s="9">
        <v>72</v>
      </c>
      <c r="BO176" s="9">
        <v>73</v>
      </c>
      <c r="BP176" s="9">
        <v>70</v>
      </c>
      <c r="BQ176" s="9">
        <v>63</v>
      </c>
      <c r="BR176" s="9">
        <v>70</v>
      </c>
      <c r="BS176" s="9">
        <v>71</v>
      </c>
      <c r="BT176" s="9">
        <v>70</v>
      </c>
      <c r="BU176" s="9">
        <v>70</v>
      </c>
      <c r="BV176" s="9">
        <v>70</v>
      </c>
      <c r="BW176" s="9">
        <v>66</v>
      </c>
      <c r="BX176" s="9">
        <v>68</v>
      </c>
      <c r="BY176" s="9">
        <v>67</v>
      </c>
      <c r="BZ176" s="9">
        <v>70</v>
      </c>
      <c r="CA176" s="9">
        <v>71</v>
      </c>
      <c r="CB176" s="9">
        <v>70</v>
      </c>
      <c r="CC176" s="9">
        <v>63</v>
      </c>
      <c r="CD176" s="9">
        <v>64</v>
      </c>
      <c r="CE176" s="9">
        <v>61</v>
      </c>
      <c r="CF176" s="9">
        <v>60</v>
      </c>
      <c r="CG176" s="9">
        <v>60</v>
      </c>
      <c r="CH176" s="9">
        <v>60</v>
      </c>
      <c r="CI176" s="9">
        <v>59</v>
      </c>
      <c r="CJ176" s="9">
        <v>57</v>
      </c>
      <c r="CK176" s="9">
        <v>51</v>
      </c>
      <c r="CL176" s="9">
        <v>52</v>
      </c>
      <c r="CM176" s="9">
        <v>53</v>
      </c>
      <c r="CN176" s="9">
        <v>55</v>
      </c>
      <c r="CO176" s="9">
        <v>52</v>
      </c>
      <c r="CP176" s="9">
        <v>18</v>
      </c>
      <c r="CQ176" s="9">
        <v>19</v>
      </c>
      <c r="CR176" s="9">
        <v>22</v>
      </c>
      <c r="CS176" s="9">
        <v>22</v>
      </c>
      <c r="CT176" s="9">
        <v>21</v>
      </c>
      <c r="CU176" s="9">
        <v>24</v>
      </c>
      <c r="CV176" s="9">
        <v>24</v>
      </c>
      <c r="CW176" s="9">
        <v>24</v>
      </c>
      <c r="CX176" s="9">
        <v>22</v>
      </c>
      <c r="CY176" s="9">
        <v>24</v>
      </c>
      <c r="CZ176" s="9">
        <v>46</v>
      </c>
      <c r="DA176" s="9">
        <v>47</v>
      </c>
      <c r="DB176" s="9">
        <v>25</v>
      </c>
      <c r="DC176" s="9">
        <v>25</v>
      </c>
      <c r="DD176" s="9">
        <v>21</v>
      </c>
      <c r="DE176" s="9">
        <v>25</v>
      </c>
      <c r="DF176" s="9">
        <v>26</v>
      </c>
      <c r="DG176" s="9">
        <v>54</v>
      </c>
      <c r="DH176" s="9">
        <v>56</v>
      </c>
      <c r="DI176" s="9">
        <v>29</v>
      </c>
      <c r="DJ176" s="9">
        <v>30</v>
      </c>
      <c r="DK176" s="9">
        <v>30</v>
      </c>
      <c r="DL176" s="9">
        <v>30</v>
      </c>
      <c r="DM176" s="9">
        <v>30</v>
      </c>
      <c r="DN176" s="9">
        <v>50</v>
      </c>
      <c r="DO176" s="9">
        <v>46</v>
      </c>
      <c r="DP176" s="9">
        <v>28</v>
      </c>
      <c r="DQ176" s="9">
        <v>26</v>
      </c>
      <c r="DR176" s="9">
        <v>29</v>
      </c>
      <c r="DS176" s="9">
        <v>29</v>
      </c>
      <c r="DT176" s="9">
        <v>26</v>
      </c>
      <c r="DU176" s="9">
        <v>57</v>
      </c>
      <c r="DV176" s="9">
        <v>57</v>
      </c>
      <c r="DW176" s="9">
        <v>31</v>
      </c>
      <c r="DX176" s="9">
        <v>30</v>
      </c>
      <c r="DY176" s="9">
        <v>31</v>
      </c>
      <c r="DZ176" s="9">
        <v>53</v>
      </c>
      <c r="EA176" s="9">
        <v>24</v>
      </c>
      <c r="EB176" s="9">
        <v>23</v>
      </c>
      <c r="EC176" s="9">
        <v>21</v>
      </c>
      <c r="ED176" s="9">
        <v>21</v>
      </c>
      <c r="EE176" s="9">
        <v>23</v>
      </c>
      <c r="EF176" s="9">
        <v>26</v>
      </c>
      <c r="EG176" s="9">
        <v>24</v>
      </c>
      <c r="EH176" s="9">
        <v>26</v>
      </c>
      <c r="EI176" s="9">
        <v>29</v>
      </c>
      <c r="EJ176" s="9">
        <v>32</v>
      </c>
      <c r="EK176" s="9">
        <v>30</v>
      </c>
      <c r="EL176" s="9">
        <v>29</v>
      </c>
      <c r="EM176" s="9">
        <v>33</v>
      </c>
      <c r="EN176" s="9">
        <v>34</v>
      </c>
      <c r="EO176" s="9">
        <v>32</v>
      </c>
      <c r="EP176" s="9">
        <v>33</v>
      </c>
      <c r="EQ176" s="9">
        <v>30</v>
      </c>
      <c r="ER176" s="9">
        <v>27</v>
      </c>
      <c r="ES176" s="9">
        <v>24</v>
      </c>
      <c r="ET176" s="9">
        <v>21</v>
      </c>
      <c r="EU176" s="9">
        <v>21</v>
      </c>
      <c r="EV176" s="9">
        <v>22</v>
      </c>
      <c r="EW176" s="9">
        <v>19</v>
      </c>
      <c r="EX176" s="9">
        <v>20</v>
      </c>
      <c r="EY176" s="9">
        <v>18</v>
      </c>
      <c r="EZ176" s="9">
        <v>16</v>
      </c>
      <c r="FA176" s="9">
        <v>15</v>
      </c>
      <c r="FB176" s="9">
        <v>15</v>
      </c>
      <c r="FC176" s="9">
        <v>12</v>
      </c>
      <c r="FD176" s="9">
        <v>10</v>
      </c>
      <c r="FE176" s="9">
        <v>10</v>
      </c>
      <c r="FF176" s="9">
        <v>8</v>
      </c>
      <c r="FG176" s="9">
        <v>9</v>
      </c>
      <c r="FH176" s="9">
        <v>8</v>
      </c>
      <c r="FI176" s="9">
        <v>7</v>
      </c>
      <c r="FJ176" s="9">
        <v>6</v>
      </c>
      <c r="FK176" s="9">
        <v>6</v>
      </c>
      <c r="FL176" s="9">
        <v>6</v>
      </c>
      <c r="FM176" s="10">
        <v>4</v>
      </c>
    </row>
    <row r="177" spans="1:169" x14ac:dyDescent="0.35">
      <c r="A177" s="8" t="s">
        <v>261</v>
      </c>
      <c r="B177" s="9" t="s">
        <v>304</v>
      </c>
      <c r="C177" s="10" t="s">
        <v>305</v>
      </c>
      <c r="D177" s="62">
        <f t="shared" si="99"/>
        <v>112</v>
      </c>
      <c r="E177" s="9">
        <v>0</v>
      </c>
      <c r="F177" s="9">
        <v>2</v>
      </c>
      <c r="G177" s="9">
        <v>4</v>
      </c>
      <c r="H177" s="9">
        <v>4</v>
      </c>
      <c r="I177" s="9">
        <v>3</v>
      </c>
      <c r="J177" s="9">
        <v>2</v>
      </c>
      <c r="K177" s="9">
        <v>4</v>
      </c>
      <c r="L177" s="9">
        <v>10</v>
      </c>
      <c r="M177" s="9">
        <v>14</v>
      </c>
      <c r="N177" s="9">
        <v>24</v>
      </c>
      <c r="O177" s="9">
        <v>26</v>
      </c>
      <c r="P177" s="9">
        <v>32</v>
      </c>
      <c r="Q177" s="9">
        <v>69</v>
      </c>
      <c r="R177" s="9">
        <v>76</v>
      </c>
      <c r="S177" s="9">
        <v>96</v>
      </c>
      <c r="T177" s="9">
        <v>112</v>
      </c>
      <c r="U177" s="9">
        <v>45</v>
      </c>
      <c r="V177" s="9">
        <v>41</v>
      </c>
      <c r="W177" s="9">
        <v>50</v>
      </c>
      <c r="X177" s="9">
        <v>63</v>
      </c>
      <c r="Y177" s="9">
        <v>56</v>
      </c>
      <c r="Z177" s="9">
        <v>53</v>
      </c>
      <c r="AA177" s="9">
        <v>55</v>
      </c>
      <c r="AB177" s="9">
        <v>67</v>
      </c>
      <c r="AC177" s="9">
        <v>64</v>
      </c>
      <c r="AD177" s="9">
        <v>58</v>
      </c>
      <c r="AE177" s="9">
        <v>59</v>
      </c>
      <c r="AF177" s="9">
        <v>70</v>
      </c>
      <c r="AG177" s="9">
        <v>60</v>
      </c>
      <c r="AH177" s="9">
        <v>64</v>
      </c>
      <c r="AI177" s="9">
        <v>61</v>
      </c>
      <c r="AJ177" s="9">
        <v>74</v>
      </c>
      <c r="AK177" s="9">
        <v>69</v>
      </c>
      <c r="AL177" s="9">
        <v>71</v>
      </c>
      <c r="AM177" s="9">
        <v>69</v>
      </c>
      <c r="AN177" s="9">
        <v>69</v>
      </c>
      <c r="AO177" s="9">
        <v>73</v>
      </c>
      <c r="AP177" s="9">
        <v>69</v>
      </c>
      <c r="AQ177" s="9">
        <v>75</v>
      </c>
      <c r="AR177" s="9">
        <v>64</v>
      </c>
      <c r="AS177" s="9">
        <v>65</v>
      </c>
      <c r="AT177" s="9">
        <v>68</v>
      </c>
      <c r="AU177" s="9">
        <v>72</v>
      </c>
      <c r="AV177" s="9">
        <v>78</v>
      </c>
      <c r="AW177" s="9">
        <v>89</v>
      </c>
      <c r="AX177" s="9">
        <v>87</v>
      </c>
      <c r="AY177" s="9">
        <v>89</v>
      </c>
      <c r="AZ177" s="9">
        <v>93</v>
      </c>
      <c r="BA177" s="9">
        <v>91</v>
      </c>
      <c r="BB177" s="9">
        <v>94</v>
      </c>
      <c r="BC177" s="9">
        <v>104</v>
      </c>
      <c r="BD177" s="9">
        <v>103</v>
      </c>
      <c r="BE177" s="9">
        <v>102</v>
      </c>
      <c r="BF177" s="9">
        <v>107</v>
      </c>
      <c r="BG177" s="9">
        <v>108</v>
      </c>
      <c r="BH177" s="9">
        <v>105</v>
      </c>
      <c r="BI177" s="9">
        <v>107</v>
      </c>
      <c r="BJ177" s="9">
        <v>102</v>
      </c>
      <c r="BK177" s="9">
        <v>109</v>
      </c>
      <c r="BL177" s="9">
        <v>111</v>
      </c>
      <c r="BM177" s="9">
        <v>105</v>
      </c>
      <c r="BN177" s="9">
        <v>103</v>
      </c>
      <c r="BO177" s="9">
        <v>96</v>
      </c>
      <c r="BP177" s="9">
        <v>99</v>
      </c>
      <c r="BQ177" s="9">
        <v>93</v>
      </c>
      <c r="BR177" s="9">
        <v>96</v>
      </c>
      <c r="BS177" s="9">
        <v>98</v>
      </c>
      <c r="BT177" s="9">
        <v>98</v>
      </c>
      <c r="BU177" s="9">
        <v>94</v>
      </c>
      <c r="BV177" s="9">
        <v>99</v>
      </c>
      <c r="BW177" s="9">
        <v>98</v>
      </c>
      <c r="BX177" s="9">
        <v>95</v>
      </c>
      <c r="BY177" s="9">
        <v>93</v>
      </c>
      <c r="BZ177" s="9">
        <v>97</v>
      </c>
      <c r="CA177" s="9">
        <v>102</v>
      </c>
      <c r="CB177" s="9">
        <v>100</v>
      </c>
      <c r="CC177" s="9">
        <v>96</v>
      </c>
      <c r="CD177" s="9">
        <v>91</v>
      </c>
      <c r="CE177" s="9">
        <v>90</v>
      </c>
      <c r="CF177" s="9">
        <v>90</v>
      </c>
      <c r="CG177" s="9">
        <v>87</v>
      </c>
      <c r="CH177" s="9">
        <v>88</v>
      </c>
      <c r="CI177" s="9">
        <v>84</v>
      </c>
      <c r="CJ177" s="9">
        <v>78</v>
      </c>
      <c r="CK177" s="9">
        <v>78</v>
      </c>
      <c r="CL177" s="9">
        <v>75</v>
      </c>
      <c r="CM177" s="9">
        <v>73</v>
      </c>
      <c r="CN177" s="9">
        <v>69</v>
      </c>
      <c r="CO177" s="9">
        <v>63</v>
      </c>
      <c r="CP177" s="9">
        <v>58</v>
      </c>
      <c r="CQ177" s="9">
        <v>58</v>
      </c>
      <c r="CR177" s="9">
        <v>55</v>
      </c>
      <c r="CS177" s="9">
        <v>51</v>
      </c>
      <c r="CT177" s="9">
        <v>53</v>
      </c>
      <c r="CU177" s="9">
        <v>51</v>
      </c>
      <c r="CV177" s="9">
        <v>50</v>
      </c>
      <c r="CW177" s="9">
        <v>45</v>
      </c>
      <c r="CX177" s="9">
        <v>41</v>
      </c>
      <c r="CY177" s="9">
        <v>40</v>
      </c>
      <c r="CZ177" s="9">
        <v>35</v>
      </c>
      <c r="DA177" s="9">
        <v>34</v>
      </c>
      <c r="DB177" s="9">
        <v>33</v>
      </c>
      <c r="DC177" s="9">
        <v>30</v>
      </c>
      <c r="DD177" s="9">
        <v>33</v>
      </c>
      <c r="DE177" s="9">
        <v>37</v>
      </c>
      <c r="DF177" s="9">
        <v>35</v>
      </c>
      <c r="DG177" s="9">
        <v>33</v>
      </c>
      <c r="DH177" s="9">
        <v>34</v>
      </c>
      <c r="DI177" s="9">
        <v>35</v>
      </c>
      <c r="DJ177" s="9">
        <v>33</v>
      </c>
      <c r="DK177" s="9">
        <v>30</v>
      </c>
      <c r="DL177" s="9">
        <v>31</v>
      </c>
      <c r="DM177" s="9">
        <v>29</v>
      </c>
      <c r="DN177" s="9">
        <v>27</v>
      </c>
      <c r="DO177" s="9">
        <v>28</v>
      </c>
      <c r="DP177" s="9">
        <v>27</v>
      </c>
      <c r="DQ177" s="9">
        <v>27</v>
      </c>
      <c r="DR177" s="9">
        <v>29</v>
      </c>
      <c r="DS177" s="9">
        <v>25</v>
      </c>
      <c r="DT177" s="9">
        <v>25</v>
      </c>
      <c r="DU177" s="9">
        <v>20</v>
      </c>
      <c r="DV177" s="9">
        <v>20</v>
      </c>
      <c r="DW177" s="9">
        <v>20</v>
      </c>
      <c r="DX177" s="9">
        <v>18</v>
      </c>
      <c r="DY177" s="9">
        <v>19</v>
      </c>
      <c r="DZ177" s="9">
        <v>19</v>
      </c>
      <c r="EA177" s="9">
        <v>17</v>
      </c>
      <c r="EB177" s="9">
        <v>15</v>
      </c>
      <c r="EC177" s="9">
        <v>14</v>
      </c>
      <c r="ED177" s="9">
        <v>14</v>
      </c>
      <c r="EE177" s="9">
        <v>14</v>
      </c>
      <c r="EF177" s="9">
        <v>14</v>
      </c>
      <c r="EG177" s="9">
        <v>11</v>
      </c>
      <c r="EH177" s="9">
        <v>10</v>
      </c>
      <c r="EI177" s="9">
        <v>9</v>
      </c>
      <c r="EJ177" s="9">
        <v>9</v>
      </c>
      <c r="EK177" s="9">
        <v>9</v>
      </c>
      <c r="EL177" s="9">
        <v>10</v>
      </c>
      <c r="EM177" s="9">
        <v>11</v>
      </c>
      <c r="EN177" s="9">
        <v>10</v>
      </c>
      <c r="EO177" s="9">
        <v>11</v>
      </c>
      <c r="EP177" s="9">
        <v>11</v>
      </c>
      <c r="EQ177" s="9">
        <v>12</v>
      </c>
      <c r="ER177" s="9">
        <v>12</v>
      </c>
      <c r="ES177" s="9">
        <v>14</v>
      </c>
      <c r="ET177" s="9">
        <v>11</v>
      </c>
      <c r="EU177" s="9">
        <v>10</v>
      </c>
      <c r="EV177" s="9">
        <v>9</v>
      </c>
      <c r="EW177" s="9">
        <v>8</v>
      </c>
      <c r="EX177" s="9">
        <v>8</v>
      </c>
      <c r="EY177" s="9">
        <v>8</v>
      </c>
      <c r="EZ177" s="9">
        <v>8</v>
      </c>
      <c r="FA177" s="9">
        <v>8</v>
      </c>
      <c r="FB177" s="9">
        <v>8</v>
      </c>
      <c r="FC177" s="9">
        <v>7</v>
      </c>
      <c r="FD177" s="9">
        <v>6</v>
      </c>
      <c r="FE177" s="9">
        <v>6</v>
      </c>
      <c r="FF177" s="9">
        <v>6</v>
      </c>
      <c r="FG177" s="9">
        <v>6</v>
      </c>
      <c r="FH177" s="9">
        <v>6</v>
      </c>
      <c r="FI177" s="9">
        <v>6</v>
      </c>
      <c r="FJ177" s="9">
        <v>6</v>
      </c>
      <c r="FK177" s="9">
        <v>6</v>
      </c>
      <c r="FL177" s="9">
        <v>6</v>
      </c>
      <c r="FM177" s="10">
        <v>6</v>
      </c>
    </row>
    <row r="178" spans="1:169" x14ac:dyDescent="0.35">
      <c r="A178" s="8" t="s">
        <v>261</v>
      </c>
      <c r="B178" s="9" t="s">
        <v>306</v>
      </c>
      <c r="C178" s="10" t="s">
        <v>307</v>
      </c>
      <c r="D178" s="62">
        <f t="shared" si="99"/>
        <v>124</v>
      </c>
      <c r="E178" s="9">
        <v>1</v>
      </c>
      <c r="F178" s="9">
        <v>1</v>
      </c>
      <c r="G178" s="9">
        <v>1</v>
      </c>
      <c r="H178" s="9">
        <v>2</v>
      </c>
      <c r="I178" s="9">
        <v>3</v>
      </c>
      <c r="J178" s="9">
        <v>3</v>
      </c>
      <c r="K178" s="9">
        <v>5</v>
      </c>
      <c r="L178" s="9">
        <v>7</v>
      </c>
      <c r="M178" s="9">
        <v>10</v>
      </c>
      <c r="N178" s="9">
        <v>10</v>
      </c>
      <c r="O178" s="9">
        <v>22</v>
      </c>
      <c r="P178" s="9">
        <v>24</v>
      </c>
      <c r="Q178" s="9">
        <v>28</v>
      </c>
      <c r="R178" s="9">
        <v>28</v>
      </c>
      <c r="S178" s="9">
        <v>60</v>
      </c>
      <c r="T178" s="9">
        <v>82</v>
      </c>
      <c r="U178" s="9">
        <v>88</v>
      </c>
      <c r="V178" s="9">
        <v>96</v>
      </c>
      <c r="W178" s="9">
        <v>114</v>
      </c>
      <c r="X178" s="9">
        <v>124</v>
      </c>
      <c r="Y178" s="9">
        <v>124</v>
      </c>
      <c r="Z178" s="9">
        <v>122</v>
      </c>
      <c r="AA178" s="9">
        <v>113</v>
      </c>
      <c r="AB178" s="9">
        <v>114</v>
      </c>
      <c r="AC178" s="9">
        <v>118</v>
      </c>
      <c r="AD178" s="9">
        <v>119</v>
      </c>
      <c r="AE178" s="9">
        <v>123</v>
      </c>
      <c r="AF178" s="9">
        <v>107</v>
      </c>
      <c r="AG178" s="9">
        <v>112</v>
      </c>
      <c r="AH178" s="9">
        <v>109</v>
      </c>
      <c r="AI178" s="9">
        <v>114</v>
      </c>
      <c r="AJ178" s="9">
        <v>123</v>
      </c>
      <c r="AK178" s="9">
        <v>117</v>
      </c>
      <c r="AL178" s="9">
        <v>111</v>
      </c>
      <c r="AM178" s="9">
        <v>106</v>
      </c>
      <c r="AN178" s="9">
        <v>102</v>
      </c>
      <c r="AO178" s="9">
        <v>92</v>
      </c>
      <c r="AP178" s="9">
        <v>89</v>
      </c>
      <c r="AQ178" s="9">
        <v>88</v>
      </c>
      <c r="AR178" s="9">
        <v>83</v>
      </c>
      <c r="AS178" s="9">
        <v>75</v>
      </c>
      <c r="AT178" s="9">
        <v>73</v>
      </c>
      <c r="AU178" s="9">
        <v>67</v>
      </c>
      <c r="AV178" s="9">
        <v>63</v>
      </c>
      <c r="AW178" s="9">
        <v>60</v>
      </c>
      <c r="AX178" s="9">
        <v>61</v>
      </c>
      <c r="AY178" s="9">
        <v>58</v>
      </c>
      <c r="AZ178" s="9">
        <v>44</v>
      </c>
      <c r="BA178" s="9">
        <v>42</v>
      </c>
      <c r="BB178" s="9">
        <v>42</v>
      </c>
      <c r="BC178" s="9">
        <v>40</v>
      </c>
      <c r="BD178" s="9">
        <v>40</v>
      </c>
      <c r="BE178" s="9">
        <v>38</v>
      </c>
      <c r="BF178" s="9">
        <v>35</v>
      </c>
      <c r="BG178" s="9">
        <v>32</v>
      </c>
      <c r="BH178" s="9">
        <v>28</v>
      </c>
      <c r="BI178" s="9">
        <v>26</v>
      </c>
      <c r="BJ178" s="9">
        <v>25</v>
      </c>
      <c r="BK178" s="9">
        <v>23</v>
      </c>
      <c r="BL178" s="9">
        <v>24</v>
      </c>
      <c r="BM178" s="9">
        <v>19</v>
      </c>
      <c r="BN178" s="9">
        <v>12</v>
      </c>
      <c r="BO178" s="9">
        <v>12</v>
      </c>
      <c r="BP178" s="9">
        <v>9</v>
      </c>
      <c r="BQ178" s="9">
        <v>11</v>
      </c>
      <c r="BR178" s="9">
        <v>8</v>
      </c>
      <c r="BS178" s="9">
        <v>9</v>
      </c>
      <c r="BT178" s="9">
        <v>8</v>
      </c>
      <c r="BU178" s="9">
        <v>10</v>
      </c>
      <c r="BV178" s="9">
        <v>6</v>
      </c>
      <c r="BW178" s="9">
        <v>7</v>
      </c>
      <c r="BX178" s="9">
        <v>7</v>
      </c>
      <c r="BY178" s="9">
        <v>4</v>
      </c>
      <c r="BZ178" s="9">
        <v>3</v>
      </c>
      <c r="CA178" s="9">
        <v>3</v>
      </c>
      <c r="CB178" s="9">
        <v>4</v>
      </c>
      <c r="CC178" s="9">
        <v>4</v>
      </c>
      <c r="CD178" s="9">
        <v>4</v>
      </c>
      <c r="CE178" s="9">
        <v>3</v>
      </c>
      <c r="CF178" s="9">
        <v>3</v>
      </c>
      <c r="CG178" s="9">
        <v>3</v>
      </c>
      <c r="CH178" s="9">
        <v>3</v>
      </c>
      <c r="CI178" s="9">
        <v>3</v>
      </c>
      <c r="CJ178" s="9">
        <v>4</v>
      </c>
      <c r="CK178" s="9">
        <v>3</v>
      </c>
      <c r="CL178" s="9">
        <v>2</v>
      </c>
      <c r="CM178" s="9">
        <v>2</v>
      </c>
      <c r="CN178" s="9">
        <v>2</v>
      </c>
      <c r="CO178" s="9">
        <v>2</v>
      </c>
      <c r="CP178" s="9">
        <v>2</v>
      </c>
      <c r="CQ178" s="9">
        <v>2</v>
      </c>
      <c r="CR178" s="9">
        <v>3</v>
      </c>
      <c r="CS178" s="9">
        <v>3</v>
      </c>
      <c r="CT178" s="9">
        <v>4</v>
      </c>
      <c r="CU178" s="9">
        <v>4</v>
      </c>
      <c r="CV178" s="9">
        <v>3</v>
      </c>
      <c r="CW178" s="9">
        <v>2</v>
      </c>
      <c r="CX178" s="9">
        <v>3</v>
      </c>
      <c r="CY178" s="9">
        <v>3</v>
      </c>
      <c r="CZ178" s="9">
        <v>3</v>
      </c>
      <c r="DA178" s="9">
        <v>2</v>
      </c>
      <c r="DB178" s="9">
        <v>2</v>
      </c>
      <c r="DC178" s="9">
        <v>1</v>
      </c>
      <c r="DD178" s="9">
        <v>1</v>
      </c>
      <c r="DE178" s="9">
        <v>1</v>
      </c>
      <c r="DF178" s="9">
        <v>0</v>
      </c>
      <c r="DG178" s="9">
        <v>0</v>
      </c>
      <c r="DH178" s="9">
        <v>0</v>
      </c>
      <c r="DI178" s="9">
        <v>1</v>
      </c>
      <c r="DJ178" s="9">
        <v>1</v>
      </c>
      <c r="DK178" s="9">
        <v>1</v>
      </c>
      <c r="DL178" s="9">
        <v>0</v>
      </c>
      <c r="DM178" s="9">
        <v>0</v>
      </c>
      <c r="DN178" s="9">
        <v>0</v>
      </c>
      <c r="DO178" s="9">
        <v>0</v>
      </c>
      <c r="DP178" s="9">
        <v>0</v>
      </c>
      <c r="DQ178" s="9">
        <v>0</v>
      </c>
      <c r="DR178" s="9">
        <v>0</v>
      </c>
      <c r="DS178" s="9">
        <v>1</v>
      </c>
      <c r="DT178" s="9">
        <v>1</v>
      </c>
      <c r="DU178" s="9">
        <v>1</v>
      </c>
      <c r="DV178" s="9">
        <v>1</v>
      </c>
      <c r="DW178" s="9">
        <v>1</v>
      </c>
      <c r="DX178" s="9">
        <v>1</v>
      </c>
      <c r="DY178" s="9">
        <v>0</v>
      </c>
      <c r="DZ178" s="9">
        <v>0</v>
      </c>
      <c r="EA178" s="9">
        <v>0</v>
      </c>
      <c r="EB178" s="9">
        <v>0</v>
      </c>
      <c r="EC178" s="9">
        <v>0</v>
      </c>
      <c r="ED178" s="9">
        <v>0</v>
      </c>
      <c r="EE178" s="9">
        <v>0</v>
      </c>
      <c r="EF178" s="9">
        <v>0</v>
      </c>
      <c r="EG178" s="9">
        <v>0</v>
      </c>
      <c r="EH178" s="9">
        <v>0</v>
      </c>
      <c r="EI178" s="9">
        <v>0</v>
      </c>
      <c r="EJ178" s="9">
        <v>0</v>
      </c>
      <c r="EK178" s="9">
        <v>0</v>
      </c>
      <c r="EL178" s="9">
        <v>0</v>
      </c>
      <c r="EM178" s="9">
        <v>0</v>
      </c>
      <c r="EN178" s="9">
        <v>1</v>
      </c>
      <c r="EO178" s="9">
        <v>1</v>
      </c>
      <c r="EP178" s="9">
        <v>0</v>
      </c>
      <c r="EQ178" s="9">
        <v>1</v>
      </c>
      <c r="ER178" s="9">
        <v>1</v>
      </c>
      <c r="ES178" s="9">
        <v>1</v>
      </c>
      <c r="ET178" s="9">
        <v>1</v>
      </c>
      <c r="EU178" s="9">
        <v>1</v>
      </c>
      <c r="EV178" s="9">
        <v>1</v>
      </c>
      <c r="EW178" s="9">
        <v>1</v>
      </c>
      <c r="EX178" s="9">
        <v>1</v>
      </c>
      <c r="EY178" s="9">
        <v>1</v>
      </c>
      <c r="EZ178" s="9">
        <v>0</v>
      </c>
      <c r="FA178" s="9">
        <v>0</v>
      </c>
      <c r="FB178" s="9">
        <v>0</v>
      </c>
      <c r="FC178" s="9">
        <v>0</v>
      </c>
      <c r="FD178" s="9">
        <v>0</v>
      </c>
      <c r="FE178" s="9">
        <v>0</v>
      </c>
      <c r="FF178" s="9">
        <v>0</v>
      </c>
      <c r="FG178" s="9">
        <v>0</v>
      </c>
      <c r="FH178" s="9">
        <v>0</v>
      </c>
      <c r="FI178" s="9">
        <v>0</v>
      </c>
      <c r="FJ178" s="9">
        <v>0</v>
      </c>
      <c r="FK178" s="9">
        <v>0</v>
      </c>
      <c r="FL178" s="9">
        <v>0</v>
      </c>
      <c r="FM178" s="10">
        <v>0</v>
      </c>
    </row>
    <row r="179" spans="1:169" x14ac:dyDescent="0.35">
      <c r="A179" s="8" t="s">
        <v>261</v>
      </c>
      <c r="B179" s="9" t="s">
        <v>308</v>
      </c>
      <c r="C179" s="10" t="s">
        <v>309</v>
      </c>
      <c r="D179" s="62">
        <f t="shared" si="99"/>
        <v>231</v>
      </c>
      <c r="E179" s="9">
        <v>5</v>
      </c>
      <c r="F179" s="9">
        <v>8</v>
      </c>
      <c r="G179" s="9">
        <v>12</v>
      </c>
      <c r="H179" s="9">
        <v>17</v>
      </c>
      <c r="I179" s="9">
        <v>22</v>
      </c>
      <c r="J179" s="9">
        <v>31</v>
      </c>
      <c r="K179" s="9">
        <v>34</v>
      </c>
      <c r="L179" s="9">
        <v>38</v>
      </c>
      <c r="M179" s="9">
        <v>45</v>
      </c>
      <c r="N179" s="9">
        <v>51</v>
      </c>
      <c r="O179" s="9">
        <v>59</v>
      </c>
      <c r="P179" s="9">
        <v>81</v>
      </c>
      <c r="Q179" s="9">
        <v>75</v>
      </c>
      <c r="R179" s="9">
        <v>89</v>
      </c>
      <c r="S179" s="9">
        <v>122</v>
      </c>
      <c r="T179" s="9">
        <v>125</v>
      </c>
      <c r="U179" s="9">
        <v>135</v>
      </c>
      <c r="V179" s="9">
        <v>134</v>
      </c>
      <c r="W179" s="9">
        <v>133</v>
      </c>
      <c r="X179" s="9">
        <v>175</v>
      </c>
      <c r="Y179" s="9">
        <v>203</v>
      </c>
      <c r="Z179" s="9">
        <v>213</v>
      </c>
      <c r="AA179" s="9">
        <v>218</v>
      </c>
      <c r="AB179" s="9">
        <v>230</v>
      </c>
      <c r="AC179" s="9">
        <v>231</v>
      </c>
      <c r="AD179" s="9">
        <v>228</v>
      </c>
      <c r="AE179" s="9">
        <v>231</v>
      </c>
      <c r="AF179" s="9">
        <v>228</v>
      </c>
      <c r="AG179" s="9">
        <v>219</v>
      </c>
      <c r="AH179" s="9">
        <v>228</v>
      </c>
      <c r="AI179" s="9">
        <v>226</v>
      </c>
      <c r="AJ179" s="9">
        <v>222</v>
      </c>
      <c r="AK179" s="9">
        <v>217</v>
      </c>
      <c r="AL179" s="9">
        <v>210</v>
      </c>
      <c r="AM179" s="9">
        <v>217</v>
      </c>
      <c r="AN179" s="9">
        <v>225</v>
      </c>
      <c r="AO179" s="9">
        <v>209</v>
      </c>
      <c r="AP179" s="9">
        <v>217</v>
      </c>
      <c r="AQ179" s="9">
        <v>228</v>
      </c>
      <c r="AR179" s="9">
        <v>223</v>
      </c>
      <c r="AS179" s="9">
        <v>210</v>
      </c>
      <c r="AT179" s="9">
        <v>211</v>
      </c>
      <c r="AU179" s="9">
        <v>198</v>
      </c>
      <c r="AV179" s="9">
        <v>196</v>
      </c>
      <c r="AW179" s="9">
        <v>192</v>
      </c>
      <c r="AX179" s="9">
        <v>195</v>
      </c>
      <c r="AY179" s="9">
        <v>185</v>
      </c>
      <c r="AZ179" s="9">
        <v>183</v>
      </c>
      <c r="BA179" s="9">
        <v>169</v>
      </c>
      <c r="BB179" s="9">
        <v>153</v>
      </c>
      <c r="BC179" s="9">
        <v>152</v>
      </c>
      <c r="BD179" s="9">
        <v>151</v>
      </c>
      <c r="BE179" s="9">
        <v>158</v>
      </c>
      <c r="BF179" s="9">
        <v>152</v>
      </c>
      <c r="BG179" s="9">
        <v>149</v>
      </c>
      <c r="BH179" s="9">
        <v>136</v>
      </c>
      <c r="BI179" s="9">
        <v>133</v>
      </c>
      <c r="BJ179" s="9">
        <v>133</v>
      </c>
      <c r="BK179" s="9">
        <v>133</v>
      </c>
      <c r="BL179" s="9">
        <v>133</v>
      </c>
      <c r="BM179" s="9">
        <v>126</v>
      </c>
      <c r="BN179" s="9">
        <v>117</v>
      </c>
      <c r="BO179" s="9">
        <v>109</v>
      </c>
      <c r="BP179" s="9">
        <v>104</v>
      </c>
      <c r="BQ179" s="9">
        <v>101</v>
      </c>
      <c r="BR179" s="9">
        <v>102</v>
      </c>
      <c r="BS179" s="9">
        <v>105</v>
      </c>
      <c r="BT179" s="9">
        <v>106</v>
      </c>
      <c r="BU179" s="9">
        <v>102</v>
      </c>
      <c r="BV179" s="9">
        <v>98</v>
      </c>
      <c r="BW179" s="9">
        <v>96</v>
      </c>
      <c r="BX179" s="9">
        <v>89</v>
      </c>
      <c r="BY179" s="9">
        <v>88</v>
      </c>
      <c r="BZ179" s="9">
        <v>88</v>
      </c>
      <c r="CA179" s="9">
        <v>88</v>
      </c>
      <c r="CB179" s="9">
        <v>81</v>
      </c>
      <c r="CC179" s="9">
        <v>77</v>
      </c>
      <c r="CD179" s="9">
        <v>72</v>
      </c>
      <c r="CE179" s="9">
        <v>66</v>
      </c>
      <c r="CF179" s="9">
        <v>70</v>
      </c>
      <c r="CG179" s="9">
        <v>76</v>
      </c>
      <c r="CH179" s="9">
        <v>75</v>
      </c>
      <c r="CI179" s="9">
        <v>73</v>
      </c>
      <c r="CJ179" s="9">
        <v>11</v>
      </c>
      <c r="CK179" s="9">
        <v>72</v>
      </c>
      <c r="CL179" s="9">
        <v>69</v>
      </c>
      <c r="CM179" s="9">
        <v>69</v>
      </c>
      <c r="CN179" s="9">
        <v>71</v>
      </c>
      <c r="CO179" s="9">
        <v>71</v>
      </c>
      <c r="CP179" s="9">
        <v>73</v>
      </c>
      <c r="CQ179" s="9">
        <v>72</v>
      </c>
      <c r="CR179" s="9">
        <v>68</v>
      </c>
      <c r="CS179" s="9">
        <v>66</v>
      </c>
      <c r="CT179" s="9">
        <v>69</v>
      </c>
      <c r="CU179" s="9">
        <v>72</v>
      </c>
      <c r="CV179" s="9">
        <v>75</v>
      </c>
      <c r="CW179" s="9">
        <v>71</v>
      </c>
      <c r="CX179" s="9">
        <v>71</v>
      </c>
      <c r="CY179" s="9">
        <v>59</v>
      </c>
      <c r="CZ179" s="9">
        <v>55</v>
      </c>
      <c r="DA179" s="9">
        <v>57</v>
      </c>
      <c r="DB179" s="9">
        <v>57</v>
      </c>
      <c r="DC179" s="9">
        <v>54</v>
      </c>
      <c r="DD179" s="9">
        <v>54</v>
      </c>
      <c r="DE179" s="9">
        <v>54</v>
      </c>
      <c r="DF179" s="9">
        <v>56</v>
      </c>
      <c r="DG179" s="9">
        <v>51</v>
      </c>
      <c r="DH179" s="9">
        <v>51</v>
      </c>
      <c r="DI179" s="9">
        <v>55</v>
      </c>
      <c r="DJ179" s="9">
        <v>54</v>
      </c>
      <c r="DK179" s="9">
        <v>53</v>
      </c>
      <c r="DL179" s="9">
        <v>52</v>
      </c>
      <c r="DM179" s="9">
        <v>53</v>
      </c>
      <c r="DN179" s="9">
        <v>52</v>
      </c>
      <c r="DO179" s="9">
        <v>54</v>
      </c>
      <c r="DP179" s="9">
        <v>59</v>
      </c>
      <c r="DQ179" s="9">
        <v>52</v>
      </c>
      <c r="DR179" s="9">
        <v>51</v>
      </c>
      <c r="DS179" s="9">
        <v>51</v>
      </c>
      <c r="DT179" s="9">
        <v>53</v>
      </c>
      <c r="DU179" s="9">
        <v>52</v>
      </c>
      <c r="DV179" s="9">
        <v>51</v>
      </c>
      <c r="DW179" s="9">
        <v>51</v>
      </c>
      <c r="DX179" s="9">
        <v>11</v>
      </c>
      <c r="DY179" s="9">
        <v>11</v>
      </c>
      <c r="DZ179" s="9">
        <v>7</v>
      </c>
      <c r="EA179" s="9">
        <v>6</v>
      </c>
      <c r="EB179" s="9">
        <v>7</v>
      </c>
      <c r="EC179" s="9">
        <v>6</v>
      </c>
      <c r="ED179" s="9">
        <v>6</v>
      </c>
      <c r="EE179" s="9">
        <v>8</v>
      </c>
      <c r="EF179" s="9">
        <v>6</v>
      </c>
      <c r="EG179" s="9">
        <v>6</v>
      </c>
      <c r="EH179" s="9">
        <v>3</v>
      </c>
      <c r="EI179" s="9">
        <v>3</v>
      </c>
      <c r="EJ179" s="9">
        <v>3</v>
      </c>
      <c r="EK179" s="9">
        <v>3</v>
      </c>
      <c r="EL179" s="9">
        <v>3</v>
      </c>
      <c r="EM179" s="9">
        <v>2</v>
      </c>
      <c r="EN179" s="9">
        <v>2</v>
      </c>
      <c r="EO179" s="9">
        <v>4</v>
      </c>
      <c r="EP179" s="9">
        <v>6</v>
      </c>
      <c r="EQ179" s="9">
        <v>7</v>
      </c>
      <c r="ER179" s="9">
        <v>7</v>
      </c>
      <c r="ES179" s="9">
        <v>4</v>
      </c>
      <c r="ET179" s="9">
        <v>4</v>
      </c>
      <c r="EU179" s="9">
        <v>4</v>
      </c>
      <c r="EV179" s="9">
        <v>5</v>
      </c>
      <c r="EW179" s="9">
        <v>4</v>
      </c>
      <c r="EX179" s="9">
        <v>3</v>
      </c>
      <c r="EY179" s="9">
        <v>2</v>
      </c>
      <c r="EZ179" s="9">
        <v>2</v>
      </c>
      <c r="FA179" s="9">
        <v>1</v>
      </c>
      <c r="FB179" s="9">
        <v>2</v>
      </c>
      <c r="FC179" s="9">
        <v>2</v>
      </c>
      <c r="FD179" s="9">
        <v>2</v>
      </c>
      <c r="FE179" s="9">
        <v>2</v>
      </c>
      <c r="FF179" s="9">
        <v>2</v>
      </c>
      <c r="FG179" s="9">
        <v>2</v>
      </c>
      <c r="FH179" s="9">
        <v>2</v>
      </c>
      <c r="FI179" s="9">
        <v>2</v>
      </c>
      <c r="FJ179" s="9">
        <v>3</v>
      </c>
      <c r="FK179" s="9">
        <v>3</v>
      </c>
      <c r="FL179" s="9">
        <v>3</v>
      </c>
      <c r="FM179" s="10">
        <v>2</v>
      </c>
    </row>
    <row r="180" spans="1:169" x14ac:dyDescent="0.35">
      <c r="A180" s="8" t="s">
        <v>261</v>
      </c>
      <c r="B180" s="9" t="s">
        <v>310</v>
      </c>
      <c r="C180" s="10" t="s">
        <v>311</v>
      </c>
      <c r="D180" s="62">
        <f t="shared" si="99"/>
        <v>144</v>
      </c>
      <c r="E180" s="9">
        <v>8</v>
      </c>
      <c r="F180" s="9">
        <v>10</v>
      </c>
      <c r="G180" s="9">
        <v>13</v>
      </c>
      <c r="H180" s="9">
        <v>13</v>
      </c>
      <c r="I180" s="9">
        <v>20</v>
      </c>
      <c r="J180" s="9">
        <v>29</v>
      </c>
      <c r="K180" s="9">
        <v>34</v>
      </c>
      <c r="L180" s="9">
        <v>38</v>
      </c>
      <c r="M180" s="9">
        <v>53</v>
      </c>
      <c r="N180" s="9">
        <v>59</v>
      </c>
      <c r="O180" s="9">
        <v>67</v>
      </c>
      <c r="P180" s="9">
        <v>64</v>
      </c>
      <c r="Q180" s="9">
        <v>71</v>
      </c>
      <c r="R180" s="9">
        <v>84</v>
      </c>
      <c r="S180" s="9">
        <v>99</v>
      </c>
      <c r="T180" s="9">
        <v>99</v>
      </c>
      <c r="U180" s="9">
        <v>104</v>
      </c>
      <c r="V180" s="9">
        <v>108</v>
      </c>
      <c r="W180" s="9">
        <v>123</v>
      </c>
      <c r="X180" s="9">
        <v>132</v>
      </c>
      <c r="Y180" s="9">
        <v>144</v>
      </c>
      <c r="Z180" s="9">
        <v>140</v>
      </c>
      <c r="AA180" s="9">
        <v>143</v>
      </c>
      <c r="AB180" s="9">
        <v>141</v>
      </c>
      <c r="AC180" s="9">
        <v>136</v>
      </c>
      <c r="AD180" s="9">
        <v>137</v>
      </c>
      <c r="AE180" s="9">
        <v>124</v>
      </c>
      <c r="AF180" s="9">
        <v>123</v>
      </c>
      <c r="AG180" s="9">
        <v>112</v>
      </c>
      <c r="AH180" s="9">
        <v>107</v>
      </c>
      <c r="AI180" s="9">
        <v>107</v>
      </c>
      <c r="AJ180" s="9">
        <v>108</v>
      </c>
      <c r="AK180" s="9">
        <v>110</v>
      </c>
      <c r="AL180" s="9">
        <v>109</v>
      </c>
      <c r="AM180" s="9">
        <v>109</v>
      </c>
      <c r="AN180" s="9">
        <v>97</v>
      </c>
      <c r="AO180" s="9">
        <v>104</v>
      </c>
      <c r="AP180" s="9">
        <v>103</v>
      </c>
      <c r="AQ180" s="9">
        <v>115</v>
      </c>
      <c r="AR180" s="9">
        <v>110</v>
      </c>
      <c r="AS180" s="9">
        <v>110</v>
      </c>
      <c r="AT180" s="9">
        <v>117</v>
      </c>
      <c r="AU180" s="9">
        <v>111</v>
      </c>
      <c r="AV180" s="9">
        <v>104</v>
      </c>
      <c r="AW180" s="9">
        <v>101</v>
      </c>
      <c r="AX180" s="9">
        <v>100</v>
      </c>
      <c r="AY180" s="9">
        <v>100</v>
      </c>
      <c r="AZ180" s="9">
        <v>91</v>
      </c>
      <c r="BA180" s="9">
        <v>85</v>
      </c>
      <c r="BB180" s="9">
        <v>80</v>
      </c>
      <c r="BC180" s="9">
        <v>74</v>
      </c>
      <c r="BD180" s="9">
        <v>76</v>
      </c>
      <c r="BE180" s="9">
        <v>76</v>
      </c>
      <c r="BF180" s="9">
        <v>70</v>
      </c>
      <c r="BG180" s="9">
        <v>65</v>
      </c>
      <c r="BH180" s="9">
        <v>61</v>
      </c>
      <c r="BI180" s="9">
        <v>57</v>
      </c>
      <c r="BJ180" s="9">
        <v>54</v>
      </c>
      <c r="BK180" s="9">
        <v>56</v>
      </c>
      <c r="BL180" s="9">
        <v>52</v>
      </c>
      <c r="BM180" s="9">
        <v>51</v>
      </c>
      <c r="BN180" s="9">
        <v>51</v>
      </c>
      <c r="BO180" s="9">
        <v>50</v>
      </c>
      <c r="BP180" s="9">
        <v>48</v>
      </c>
      <c r="BQ180" s="9">
        <v>40</v>
      </c>
      <c r="BR180" s="9">
        <v>41</v>
      </c>
      <c r="BS180" s="9">
        <v>41</v>
      </c>
      <c r="BT180" s="9">
        <v>39</v>
      </c>
      <c r="BU180" s="9">
        <v>38</v>
      </c>
      <c r="BV180" s="9">
        <v>38</v>
      </c>
      <c r="BW180" s="9">
        <v>36</v>
      </c>
      <c r="BX180" s="9">
        <v>37</v>
      </c>
      <c r="BY180" s="9">
        <v>36</v>
      </c>
      <c r="BZ180" s="9">
        <v>39</v>
      </c>
      <c r="CA180" s="9">
        <v>38</v>
      </c>
      <c r="CB180" s="9">
        <v>37</v>
      </c>
      <c r="CC180" s="9">
        <v>39</v>
      </c>
      <c r="CD180" s="9">
        <v>35</v>
      </c>
      <c r="CE180" s="9">
        <v>34</v>
      </c>
      <c r="CF180" s="9">
        <v>35</v>
      </c>
      <c r="CG180" s="9">
        <v>34</v>
      </c>
      <c r="CH180" s="9">
        <v>37</v>
      </c>
      <c r="CI180" s="9">
        <v>34</v>
      </c>
      <c r="CJ180" s="9">
        <v>34</v>
      </c>
      <c r="CK180" s="9">
        <v>34</v>
      </c>
      <c r="CL180" s="9">
        <v>32</v>
      </c>
      <c r="CM180" s="9">
        <v>19</v>
      </c>
      <c r="CN180" s="9">
        <v>22</v>
      </c>
      <c r="CO180" s="9">
        <v>22</v>
      </c>
      <c r="CP180" s="9">
        <v>22</v>
      </c>
      <c r="CQ180" s="9">
        <v>23</v>
      </c>
      <c r="CR180" s="9">
        <v>20</v>
      </c>
      <c r="CS180" s="9">
        <v>17</v>
      </c>
      <c r="CT180" s="9">
        <v>16</v>
      </c>
      <c r="CU180" s="9">
        <v>16</v>
      </c>
      <c r="CV180" s="9">
        <v>19</v>
      </c>
      <c r="CW180" s="9">
        <v>21</v>
      </c>
      <c r="CX180" s="9">
        <v>20</v>
      </c>
      <c r="CY180" s="9">
        <v>20</v>
      </c>
      <c r="CZ180" s="9">
        <v>14</v>
      </c>
      <c r="DA180" s="9">
        <v>18</v>
      </c>
      <c r="DB180" s="9">
        <v>19</v>
      </c>
      <c r="DC180" s="9">
        <v>18</v>
      </c>
      <c r="DD180" s="9">
        <v>18</v>
      </c>
      <c r="DE180" s="9">
        <v>18</v>
      </c>
      <c r="DF180" s="9">
        <v>22</v>
      </c>
      <c r="DG180" s="9">
        <v>21</v>
      </c>
      <c r="DH180" s="9">
        <v>9</v>
      </c>
      <c r="DI180" s="9">
        <v>9</v>
      </c>
      <c r="DJ180" s="9">
        <v>9</v>
      </c>
      <c r="DK180" s="9">
        <v>8</v>
      </c>
      <c r="DL180" s="9">
        <v>10</v>
      </c>
      <c r="DM180" s="9">
        <v>10</v>
      </c>
      <c r="DN180" s="9">
        <v>7</v>
      </c>
      <c r="DO180" s="9">
        <v>7</v>
      </c>
      <c r="DP180" s="9">
        <v>11</v>
      </c>
      <c r="DQ180" s="9">
        <v>10</v>
      </c>
      <c r="DR180" s="9">
        <v>6</v>
      </c>
      <c r="DS180" s="9">
        <v>6</v>
      </c>
      <c r="DT180" s="9">
        <v>5</v>
      </c>
      <c r="DU180" s="9">
        <v>3</v>
      </c>
      <c r="DV180" s="9">
        <v>3</v>
      </c>
      <c r="DW180" s="9">
        <v>5</v>
      </c>
      <c r="DX180" s="9">
        <v>1</v>
      </c>
      <c r="DY180" s="9">
        <v>1</v>
      </c>
      <c r="DZ180" s="9">
        <v>4</v>
      </c>
      <c r="EA180" s="9">
        <v>4</v>
      </c>
      <c r="EB180" s="9">
        <v>3</v>
      </c>
      <c r="EC180" s="9">
        <v>4</v>
      </c>
      <c r="ED180" s="9">
        <v>3</v>
      </c>
      <c r="EE180" s="9">
        <v>3</v>
      </c>
      <c r="EF180" s="9">
        <v>2</v>
      </c>
      <c r="EG180" s="9">
        <v>3</v>
      </c>
      <c r="EH180" s="9">
        <v>3</v>
      </c>
      <c r="EI180" s="9">
        <v>3</v>
      </c>
      <c r="EJ180" s="9">
        <v>3</v>
      </c>
      <c r="EK180" s="9">
        <v>2</v>
      </c>
      <c r="EL180" s="9">
        <v>4</v>
      </c>
      <c r="EM180" s="9">
        <v>1</v>
      </c>
      <c r="EN180" s="9">
        <v>1</v>
      </c>
      <c r="EO180" s="9">
        <v>1</v>
      </c>
      <c r="EP180" s="9">
        <v>2</v>
      </c>
      <c r="EQ180" s="9">
        <v>1</v>
      </c>
      <c r="ER180" s="9">
        <v>1</v>
      </c>
      <c r="ES180" s="9">
        <v>1</v>
      </c>
      <c r="ET180" s="9">
        <v>2</v>
      </c>
      <c r="EU180" s="9">
        <v>1</v>
      </c>
      <c r="EV180" s="9">
        <v>1</v>
      </c>
      <c r="EW180" s="9">
        <v>1</v>
      </c>
      <c r="EX180" s="9">
        <v>2</v>
      </c>
      <c r="EY180" s="9">
        <v>1</v>
      </c>
      <c r="EZ180" s="9">
        <v>0</v>
      </c>
      <c r="FA180" s="9">
        <v>0</v>
      </c>
      <c r="FB180" s="9">
        <v>0</v>
      </c>
      <c r="FC180" s="9">
        <v>0</v>
      </c>
      <c r="FD180" s="9">
        <v>0</v>
      </c>
      <c r="FE180" s="9">
        <v>0</v>
      </c>
      <c r="FF180" s="9">
        <v>0</v>
      </c>
      <c r="FG180" s="9">
        <v>0</v>
      </c>
      <c r="FH180" s="9">
        <v>0</v>
      </c>
      <c r="FI180" s="9">
        <v>0</v>
      </c>
      <c r="FJ180" s="9">
        <v>0</v>
      </c>
      <c r="FK180" s="9">
        <v>1</v>
      </c>
      <c r="FL180" s="9">
        <v>1</v>
      </c>
      <c r="FM180" s="10">
        <v>1</v>
      </c>
    </row>
    <row r="181" spans="1:169" x14ac:dyDescent="0.35">
      <c r="A181" s="8" t="s">
        <v>261</v>
      </c>
      <c r="B181" s="9" t="s">
        <v>312</v>
      </c>
      <c r="C181" s="10" t="s">
        <v>313</v>
      </c>
      <c r="D181" s="62">
        <f t="shared" si="99"/>
        <v>143</v>
      </c>
      <c r="E181" s="9">
        <v>4</v>
      </c>
      <c r="F181" s="9">
        <v>6</v>
      </c>
      <c r="G181" s="9">
        <v>6</v>
      </c>
      <c r="H181" s="9">
        <v>10</v>
      </c>
      <c r="I181" s="9">
        <v>13</v>
      </c>
      <c r="J181" s="9">
        <v>13</v>
      </c>
      <c r="K181" s="9">
        <v>14</v>
      </c>
      <c r="L181" s="9">
        <v>23</v>
      </c>
      <c r="M181" s="9">
        <v>31</v>
      </c>
      <c r="N181" s="9">
        <v>39</v>
      </c>
      <c r="O181" s="9">
        <v>46</v>
      </c>
      <c r="P181" s="9">
        <v>55</v>
      </c>
      <c r="Q181" s="9">
        <v>62</v>
      </c>
      <c r="R181" s="9">
        <v>92</v>
      </c>
      <c r="S181" s="9">
        <v>112</v>
      </c>
      <c r="T181" s="9">
        <v>115</v>
      </c>
      <c r="U181" s="9">
        <v>138</v>
      </c>
      <c r="V181" s="9">
        <v>143</v>
      </c>
      <c r="W181" s="9">
        <v>125</v>
      </c>
      <c r="X181" s="9">
        <v>125</v>
      </c>
      <c r="Y181" s="9">
        <v>125</v>
      </c>
      <c r="Z181" s="9">
        <v>121</v>
      </c>
      <c r="AA181" s="9">
        <v>122</v>
      </c>
      <c r="AB181" s="9">
        <v>134</v>
      </c>
      <c r="AC181" s="9">
        <v>132</v>
      </c>
      <c r="AD181" s="9">
        <v>132</v>
      </c>
      <c r="AE181" s="9">
        <v>118</v>
      </c>
      <c r="AF181" s="9">
        <v>110</v>
      </c>
      <c r="AG181" s="9">
        <v>109</v>
      </c>
      <c r="AH181" s="9">
        <v>110</v>
      </c>
      <c r="AI181" s="9">
        <v>110</v>
      </c>
      <c r="AJ181" s="9">
        <v>118</v>
      </c>
      <c r="AK181" s="9">
        <v>112</v>
      </c>
      <c r="AL181" s="9">
        <v>109</v>
      </c>
      <c r="AM181" s="9">
        <v>110</v>
      </c>
      <c r="AN181" s="9">
        <v>110</v>
      </c>
      <c r="AO181" s="9">
        <v>115</v>
      </c>
      <c r="AP181" s="9">
        <v>108</v>
      </c>
      <c r="AQ181" s="9">
        <v>109</v>
      </c>
      <c r="AR181" s="9">
        <v>110</v>
      </c>
      <c r="AS181" s="9">
        <v>101</v>
      </c>
      <c r="AT181" s="9">
        <v>94</v>
      </c>
      <c r="AU181" s="9">
        <v>96</v>
      </c>
      <c r="AV181" s="9">
        <v>91</v>
      </c>
      <c r="AW181" s="9">
        <v>90</v>
      </c>
      <c r="AX181" s="9">
        <v>87</v>
      </c>
      <c r="AY181" s="9">
        <v>75</v>
      </c>
      <c r="AZ181" s="9">
        <v>67</v>
      </c>
      <c r="BA181" s="9">
        <v>65</v>
      </c>
      <c r="BB181" s="9">
        <v>53</v>
      </c>
      <c r="BC181" s="9">
        <v>51</v>
      </c>
      <c r="BD181" s="9">
        <v>52</v>
      </c>
      <c r="BE181" s="9">
        <v>51</v>
      </c>
      <c r="BF181" s="9">
        <v>47</v>
      </c>
      <c r="BG181" s="9">
        <v>42</v>
      </c>
      <c r="BH181" s="9">
        <v>41</v>
      </c>
      <c r="BI181" s="9">
        <v>38</v>
      </c>
      <c r="BJ181" s="9">
        <v>36</v>
      </c>
      <c r="BK181" s="9">
        <v>35</v>
      </c>
      <c r="BL181" s="9">
        <v>34</v>
      </c>
      <c r="BM181" s="9">
        <v>30</v>
      </c>
      <c r="BN181" s="9">
        <v>25</v>
      </c>
      <c r="BO181" s="9">
        <v>24</v>
      </c>
      <c r="BP181" s="9">
        <v>23</v>
      </c>
      <c r="BQ181" s="9">
        <v>22</v>
      </c>
      <c r="BR181" s="9">
        <v>20</v>
      </c>
      <c r="BS181" s="9">
        <v>20</v>
      </c>
      <c r="BT181" s="9">
        <v>17</v>
      </c>
      <c r="BU181" s="9">
        <v>15</v>
      </c>
      <c r="BV181" s="9">
        <v>20</v>
      </c>
      <c r="BW181" s="9">
        <v>22</v>
      </c>
      <c r="BX181" s="9">
        <v>23</v>
      </c>
      <c r="BY181" s="9">
        <v>21</v>
      </c>
      <c r="BZ181" s="9">
        <v>26</v>
      </c>
      <c r="CA181" s="9">
        <v>25</v>
      </c>
      <c r="CB181" s="9">
        <v>24</v>
      </c>
      <c r="CC181" s="9">
        <v>23</v>
      </c>
      <c r="CD181" s="9">
        <v>19</v>
      </c>
      <c r="CE181" s="9">
        <v>21</v>
      </c>
      <c r="CF181" s="9">
        <v>24</v>
      </c>
      <c r="CG181" s="9">
        <v>25</v>
      </c>
      <c r="CH181" s="9">
        <v>26</v>
      </c>
      <c r="CI181" s="9">
        <v>25</v>
      </c>
      <c r="CJ181" s="9">
        <v>24</v>
      </c>
      <c r="CK181" s="9">
        <v>21</v>
      </c>
      <c r="CL181" s="9">
        <v>17</v>
      </c>
      <c r="CM181" s="9">
        <v>19</v>
      </c>
      <c r="CN181" s="9">
        <v>19</v>
      </c>
      <c r="CO181" s="9">
        <v>20</v>
      </c>
      <c r="CP181" s="9">
        <v>18</v>
      </c>
      <c r="CQ181" s="9">
        <v>16</v>
      </c>
      <c r="CR181" s="9">
        <v>15</v>
      </c>
      <c r="CS181" s="9">
        <v>12</v>
      </c>
      <c r="CT181" s="9">
        <v>14</v>
      </c>
      <c r="CU181" s="9">
        <v>12</v>
      </c>
      <c r="CV181" s="9">
        <v>9</v>
      </c>
      <c r="CW181" s="9">
        <v>12</v>
      </c>
      <c r="CX181" s="9">
        <v>13</v>
      </c>
      <c r="CY181" s="9">
        <v>10</v>
      </c>
      <c r="CZ181" s="9">
        <v>9</v>
      </c>
      <c r="DA181" s="9">
        <v>11</v>
      </c>
      <c r="DB181" s="9">
        <v>9</v>
      </c>
      <c r="DC181" s="9">
        <v>9</v>
      </c>
      <c r="DD181" s="9">
        <v>7</v>
      </c>
      <c r="DE181" s="9">
        <v>6</v>
      </c>
      <c r="DF181" s="9">
        <v>5</v>
      </c>
      <c r="DG181" s="9">
        <v>4</v>
      </c>
      <c r="DH181" s="9">
        <v>5</v>
      </c>
      <c r="DI181" s="9">
        <v>5</v>
      </c>
      <c r="DJ181" s="9">
        <v>6</v>
      </c>
      <c r="DK181" s="9">
        <v>4</v>
      </c>
      <c r="DL181" s="9">
        <v>5</v>
      </c>
      <c r="DM181" s="9">
        <v>5</v>
      </c>
      <c r="DN181" s="9">
        <v>5</v>
      </c>
      <c r="DO181" s="9">
        <v>5</v>
      </c>
      <c r="DP181" s="9">
        <v>4</v>
      </c>
      <c r="DQ181" s="9">
        <v>3</v>
      </c>
      <c r="DR181" s="9">
        <v>3</v>
      </c>
      <c r="DS181" s="9">
        <v>3</v>
      </c>
      <c r="DT181" s="9">
        <v>2</v>
      </c>
      <c r="DU181" s="9">
        <v>2</v>
      </c>
      <c r="DV181" s="9">
        <v>2</v>
      </c>
      <c r="DW181" s="9">
        <v>2</v>
      </c>
      <c r="DX181" s="9">
        <v>2</v>
      </c>
      <c r="DY181" s="9">
        <v>2</v>
      </c>
      <c r="DZ181" s="9">
        <v>2</v>
      </c>
      <c r="EA181" s="9">
        <v>2</v>
      </c>
      <c r="EB181" s="9">
        <v>2</v>
      </c>
      <c r="EC181" s="9">
        <v>1</v>
      </c>
      <c r="ED181" s="9">
        <v>2</v>
      </c>
      <c r="EE181" s="9">
        <v>2</v>
      </c>
      <c r="EF181" s="9">
        <v>2</v>
      </c>
      <c r="EG181" s="9">
        <v>2</v>
      </c>
      <c r="EH181" s="9">
        <v>3</v>
      </c>
      <c r="EI181" s="9">
        <v>3</v>
      </c>
      <c r="EJ181" s="9">
        <v>3</v>
      </c>
      <c r="EK181" s="9">
        <v>1</v>
      </c>
      <c r="EL181" s="9">
        <v>1</v>
      </c>
      <c r="EM181" s="9">
        <v>1</v>
      </c>
      <c r="EN181" s="9">
        <v>2</v>
      </c>
      <c r="EO181" s="9">
        <v>1</v>
      </c>
      <c r="EP181" s="9">
        <v>1</v>
      </c>
      <c r="EQ181" s="9">
        <v>2</v>
      </c>
      <c r="ER181" s="9">
        <v>2</v>
      </c>
      <c r="ES181" s="9">
        <v>2</v>
      </c>
      <c r="ET181" s="9">
        <v>1</v>
      </c>
      <c r="EU181" s="9">
        <v>1</v>
      </c>
      <c r="EV181" s="9">
        <v>1</v>
      </c>
      <c r="EW181" s="9">
        <v>1</v>
      </c>
      <c r="EX181" s="9">
        <v>2</v>
      </c>
      <c r="EY181" s="9">
        <v>2</v>
      </c>
      <c r="EZ181" s="9">
        <v>1</v>
      </c>
      <c r="FA181" s="9">
        <v>0</v>
      </c>
      <c r="FB181" s="9">
        <v>0</v>
      </c>
      <c r="FC181" s="9">
        <v>0</v>
      </c>
      <c r="FD181" s="9">
        <v>0</v>
      </c>
      <c r="FE181" s="9">
        <v>0</v>
      </c>
      <c r="FF181" s="9">
        <v>1</v>
      </c>
      <c r="FG181" s="9">
        <v>1</v>
      </c>
      <c r="FH181" s="9">
        <v>0</v>
      </c>
      <c r="FI181" s="9">
        <v>0</v>
      </c>
      <c r="FJ181" s="9">
        <v>0</v>
      </c>
      <c r="FK181" s="9">
        <v>0</v>
      </c>
      <c r="FL181" s="9">
        <v>0</v>
      </c>
      <c r="FM181" s="10">
        <v>0</v>
      </c>
    </row>
    <row r="182" spans="1:169" x14ac:dyDescent="0.35">
      <c r="A182" s="8" t="s">
        <v>261</v>
      </c>
      <c r="B182" s="9" t="s">
        <v>314</v>
      </c>
      <c r="C182" s="10" t="s">
        <v>315</v>
      </c>
      <c r="D182" s="62">
        <f t="shared" si="99"/>
        <v>151</v>
      </c>
      <c r="E182" s="9">
        <v>2</v>
      </c>
      <c r="F182" s="9">
        <v>0</v>
      </c>
      <c r="G182" s="9">
        <v>9</v>
      </c>
      <c r="H182" s="9">
        <v>12</v>
      </c>
      <c r="I182" s="9">
        <v>14</v>
      </c>
      <c r="J182" s="9">
        <v>22</v>
      </c>
      <c r="K182" s="9">
        <v>30</v>
      </c>
      <c r="L182" s="9">
        <v>39</v>
      </c>
      <c r="M182" s="9">
        <v>47</v>
      </c>
      <c r="N182" s="9">
        <v>56</v>
      </c>
      <c r="O182" s="9">
        <v>70</v>
      </c>
      <c r="P182" s="9">
        <v>92</v>
      </c>
      <c r="Q182" s="9">
        <v>96</v>
      </c>
      <c r="R182" s="9">
        <v>0</v>
      </c>
      <c r="S182" s="9">
        <v>110</v>
      </c>
      <c r="T182" s="9">
        <v>126</v>
      </c>
      <c r="U182" s="9">
        <v>136</v>
      </c>
      <c r="V182" s="9">
        <v>130</v>
      </c>
      <c r="W182" s="9">
        <v>129</v>
      </c>
      <c r="X182" s="9">
        <v>135</v>
      </c>
      <c r="Y182" s="9">
        <v>150</v>
      </c>
      <c r="Z182" s="9">
        <v>145</v>
      </c>
      <c r="AA182" s="9">
        <v>142</v>
      </c>
      <c r="AB182" s="9">
        <v>145</v>
      </c>
      <c r="AC182" s="9">
        <v>151</v>
      </c>
      <c r="AD182" s="9">
        <v>139</v>
      </c>
      <c r="AE182" s="9">
        <v>148</v>
      </c>
      <c r="AF182" s="9">
        <v>140</v>
      </c>
      <c r="AG182" s="9">
        <v>145</v>
      </c>
      <c r="AH182" s="9">
        <v>140</v>
      </c>
      <c r="AI182" s="9">
        <v>136</v>
      </c>
      <c r="AJ182" s="9">
        <v>135</v>
      </c>
      <c r="AK182" s="9">
        <v>141</v>
      </c>
      <c r="AL182" s="9">
        <v>134</v>
      </c>
      <c r="AM182" s="9">
        <v>129</v>
      </c>
      <c r="AN182" s="9">
        <v>117</v>
      </c>
      <c r="AO182" s="9">
        <v>105</v>
      </c>
      <c r="AP182" s="9">
        <v>97</v>
      </c>
      <c r="AQ182" s="9">
        <v>92</v>
      </c>
      <c r="AR182" s="9">
        <v>92</v>
      </c>
      <c r="AS182" s="9">
        <v>96</v>
      </c>
      <c r="AT182" s="9">
        <v>94</v>
      </c>
      <c r="AU182" s="9">
        <v>91</v>
      </c>
      <c r="AV182" s="9">
        <v>83</v>
      </c>
      <c r="AW182" s="9">
        <v>84</v>
      </c>
      <c r="AX182" s="9">
        <v>89</v>
      </c>
      <c r="AY182" s="9">
        <v>81</v>
      </c>
      <c r="AZ182" s="9">
        <v>82</v>
      </c>
      <c r="BA182" s="9">
        <v>101</v>
      </c>
      <c r="BB182" s="9">
        <v>79</v>
      </c>
      <c r="BC182" s="9">
        <v>77</v>
      </c>
      <c r="BD182" s="9">
        <v>72</v>
      </c>
      <c r="BE182" s="9">
        <v>72</v>
      </c>
      <c r="BF182" s="9">
        <v>71</v>
      </c>
      <c r="BG182" s="9">
        <v>68</v>
      </c>
      <c r="BH182" s="9">
        <v>66</v>
      </c>
      <c r="BI182" s="9">
        <v>126</v>
      </c>
      <c r="BJ182" s="9">
        <v>66</v>
      </c>
      <c r="BK182" s="9">
        <v>67</v>
      </c>
      <c r="BL182" s="9">
        <v>67</v>
      </c>
      <c r="BM182" s="9">
        <v>69</v>
      </c>
      <c r="BN182" s="9">
        <v>60</v>
      </c>
      <c r="BO182" s="9">
        <v>58</v>
      </c>
      <c r="BP182" s="9">
        <v>54</v>
      </c>
      <c r="BQ182" s="9">
        <v>48</v>
      </c>
      <c r="BR182" s="9">
        <v>48</v>
      </c>
      <c r="BS182" s="9">
        <v>51</v>
      </c>
      <c r="BT182" s="9">
        <v>53</v>
      </c>
      <c r="BU182" s="9">
        <v>51</v>
      </c>
      <c r="BV182" s="9">
        <v>52</v>
      </c>
      <c r="BW182" s="9">
        <v>47</v>
      </c>
      <c r="BX182" s="9">
        <v>42</v>
      </c>
      <c r="BY182" s="9">
        <v>45</v>
      </c>
      <c r="BZ182" s="9">
        <v>44</v>
      </c>
      <c r="CA182" s="9">
        <v>44</v>
      </c>
      <c r="CB182" s="9">
        <v>36</v>
      </c>
      <c r="CC182" s="9">
        <v>34</v>
      </c>
      <c r="CD182" s="9">
        <v>28</v>
      </c>
      <c r="CE182" s="9">
        <v>25</v>
      </c>
      <c r="CF182" s="9">
        <v>26</v>
      </c>
      <c r="CG182" s="9">
        <v>27</v>
      </c>
      <c r="CH182" s="9">
        <v>30</v>
      </c>
      <c r="CI182" s="9">
        <v>27</v>
      </c>
      <c r="CJ182" s="9">
        <v>28</v>
      </c>
      <c r="CK182" s="9">
        <v>30</v>
      </c>
      <c r="CL182" s="9">
        <v>28</v>
      </c>
      <c r="CM182" s="9">
        <v>26</v>
      </c>
      <c r="CN182" s="9">
        <v>25</v>
      </c>
      <c r="CO182" s="9">
        <v>25</v>
      </c>
      <c r="CP182" s="9">
        <v>21</v>
      </c>
      <c r="CQ182" s="9">
        <v>23</v>
      </c>
      <c r="CR182" s="9">
        <v>19</v>
      </c>
      <c r="CS182" s="9">
        <v>19</v>
      </c>
      <c r="CT182" s="9">
        <v>18</v>
      </c>
      <c r="CU182" s="9">
        <v>19</v>
      </c>
      <c r="CV182" s="9">
        <v>21</v>
      </c>
      <c r="CW182" s="9">
        <v>19</v>
      </c>
      <c r="CX182" s="9">
        <v>17</v>
      </c>
      <c r="CY182" s="9">
        <v>0</v>
      </c>
      <c r="CZ182" s="9">
        <v>17</v>
      </c>
      <c r="DA182" s="9">
        <v>19</v>
      </c>
      <c r="DB182" s="9">
        <v>18</v>
      </c>
      <c r="DC182" s="9">
        <v>15</v>
      </c>
      <c r="DD182" s="9">
        <v>13</v>
      </c>
      <c r="DE182" s="9">
        <v>14</v>
      </c>
      <c r="DF182" s="9">
        <v>13</v>
      </c>
      <c r="DG182" s="9">
        <v>12</v>
      </c>
      <c r="DH182" s="9">
        <v>11</v>
      </c>
      <c r="DI182" s="9">
        <v>12</v>
      </c>
      <c r="DJ182" s="9">
        <v>13</v>
      </c>
      <c r="DK182" s="9">
        <v>12</v>
      </c>
      <c r="DL182" s="9">
        <v>14</v>
      </c>
      <c r="DM182" s="9">
        <v>13</v>
      </c>
      <c r="DN182" s="9">
        <v>11</v>
      </c>
      <c r="DO182" s="9">
        <v>10</v>
      </c>
      <c r="DP182" s="9">
        <v>11</v>
      </c>
      <c r="DQ182" s="9">
        <v>12</v>
      </c>
      <c r="DR182" s="9">
        <v>12</v>
      </c>
      <c r="DS182" s="9">
        <v>11</v>
      </c>
      <c r="DT182" s="9">
        <v>11</v>
      </c>
      <c r="DU182" s="9">
        <v>13</v>
      </c>
      <c r="DV182" s="9">
        <v>11</v>
      </c>
      <c r="DW182" s="9">
        <v>11</v>
      </c>
      <c r="DX182" s="9">
        <v>10</v>
      </c>
      <c r="DY182" s="9">
        <v>9</v>
      </c>
      <c r="DZ182" s="9">
        <v>6</v>
      </c>
      <c r="EA182" s="9">
        <v>5</v>
      </c>
      <c r="EB182" s="9">
        <v>3</v>
      </c>
      <c r="EC182" s="9">
        <v>3</v>
      </c>
      <c r="ED182" s="9">
        <v>3</v>
      </c>
      <c r="EE182" s="9">
        <v>4</v>
      </c>
      <c r="EF182" s="9">
        <v>3</v>
      </c>
      <c r="EG182" s="9">
        <v>3</v>
      </c>
      <c r="EH182" s="9">
        <v>3</v>
      </c>
      <c r="EI182" s="9">
        <v>2</v>
      </c>
      <c r="EJ182" s="9">
        <v>2</v>
      </c>
      <c r="EK182" s="9">
        <v>4</v>
      </c>
      <c r="EL182" s="9">
        <v>5</v>
      </c>
      <c r="EM182" s="9">
        <v>7</v>
      </c>
      <c r="EN182" s="9">
        <v>5</v>
      </c>
      <c r="EO182" s="9">
        <v>5</v>
      </c>
      <c r="EP182" s="9">
        <v>6</v>
      </c>
      <c r="EQ182" s="9">
        <v>6</v>
      </c>
      <c r="ER182" s="9">
        <v>6</v>
      </c>
      <c r="ES182" s="9">
        <v>6</v>
      </c>
      <c r="ET182" s="9">
        <v>7</v>
      </c>
      <c r="EU182" s="9">
        <v>7</v>
      </c>
      <c r="EV182" s="9">
        <v>6</v>
      </c>
      <c r="EW182" s="9">
        <v>5</v>
      </c>
      <c r="EX182" s="9">
        <v>5</v>
      </c>
      <c r="EY182" s="9">
        <v>6</v>
      </c>
      <c r="EZ182" s="9">
        <v>6</v>
      </c>
      <c r="FA182" s="9">
        <v>6</v>
      </c>
      <c r="FB182" s="9">
        <v>6</v>
      </c>
      <c r="FC182" s="9">
        <v>7</v>
      </c>
      <c r="FD182" s="9">
        <v>6</v>
      </c>
      <c r="FE182" s="9">
        <v>5</v>
      </c>
      <c r="FF182" s="9">
        <v>5</v>
      </c>
      <c r="FG182" s="9">
        <v>6</v>
      </c>
      <c r="FH182" s="9">
        <v>6</v>
      </c>
      <c r="FI182" s="9">
        <v>6</v>
      </c>
      <c r="FJ182" s="9">
        <v>5</v>
      </c>
      <c r="FK182" s="9">
        <v>5</v>
      </c>
      <c r="FL182" s="9">
        <v>6</v>
      </c>
      <c r="FM182" s="10">
        <v>8</v>
      </c>
    </row>
    <row r="183" spans="1:169" x14ac:dyDescent="0.35">
      <c r="A183" s="8" t="s">
        <v>261</v>
      </c>
      <c r="B183" s="9" t="s">
        <v>316</v>
      </c>
      <c r="C183" s="10" t="s">
        <v>317</v>
      </c>
      <c r="D183" s="62">
        <f t="shared" si="99"/>
        <v>24</v>
      </c>
      <c r="E183" s="9">
        <v>0</v>
      </c>
      <c r="F183" s="9">
        <v>0</v>
      </c>
      <c r="G183" s="9">
        <v>0</v>
      </c>
      <c r="H183" s="9">
        <v>0</v>
      </c>
      <c r="I183" s="9">
        <v>0</v>
      </c>
      <c r="J183" s="9">
        <v>0</v>
      </c>
      <c r="K183" s="9">
        <v>0</v>
      </c>
      <c r="L183" s="9">
        <v>0</v>
      </c>
      <c r="M183" s="9">
        <v>0</v>
      </c>
      <c r="N183" s="9">
        <v>0</v>
      </c>
      <c r="O183" s="9">
        <v>0</v>
      </c>
      <c r="P183" s="9">
        <v>0</v>
      </c>
      <c r="Q183" s="9">
        <v>0</v>
      </c>
      <c r="R183" s="9">
        <v>0</v>
      </c>
      <c r="S183" s="9">
        <v>0</v>
      </c>
      <c r="T183" s="9">
        <v>0</v>
      </c>
      <c r="U183" s="9">
        <v>0</v>
      </c>
      <c r="V183" s="9">
        <v>0</v>
      </c>
      <c r="W183" s="9">
        <v>6</v>
      </c>
      <c r="X183" s="9">
        <v>6</v>
      </c>
      <c r="Y183" s="9">
        <v>7</v>
      </c>
      <c r="Z183" s="9">
        <v>7</v>
      </c>
      <c r="AA183" s="9">
        <v>6</v>
      </c>
      <c r="AB183" s="9">
        <v>6</v>
      </c>
      <c r="AC183" s="9">
        <v>6</v>
      </c>
      <c r="AD183" s="9">
        <v>9</v>
      </c>
      <c r="AE183" s="9">
        <v>10</v>
      </c>
      <c r="AF183" s="9">
        <v>11</v>
      </c>
      <c r="AG183" s="9">
        <v>10</v>
      </c>
      <c r="AH183" s="9">
        <v>11</v>
      </c>
      <c r="AI183" s="9">
        <v>10</v>
      </c>
      <c r="AJ183" s="9">
        <v>11</v>
      </c>
      <c r="AK183" s="9">
        <v>9</v>
      </c>
      <c r="AL183" s="9">
        <v>8</v>
      </c>
      <c r="AM183" s="9">
        <v>7</v>
      </c>
      <c r="AN183" s="9">
        <v>8</v>
      </c>
      <c r="AO183" s="9">
        <v>10</v>
      </c>
      <c r="AP183" s="9">
        <v>11</v>
      </c>
      <c r="AQ183" s="9">
        <v>12</v>
      </c>
      <c r="AR183" s="9">
        <v>0</v>
      </c>
      <c r="AS183" s="9">
        <v>13</v>
      </c>
      <c r="AT183" s="9">
        <v>17</v>
      </c>
      <c r="AU183" s="9">
        <v>24</v>
      </c>
      <c r="AV183" s="9">
        <v>24</v>
      </c>
      <c r="AW183" s="9">
        <v>23</v>
      </c>
      <c r="AX183" s="9">
        <v>15</v>
      </c>
      <c r="AY183" s="9">
        <v>14</v>
      </c>
      <c r="AZ183" s="9">
        <v>14</v>
      </c>
      <c r="BA183" s="9">
        <v>14</v>
      </c>
      <c r="BB183" s="9">
        <v>14</v>
      </c>
      <c r="BC183" s="9">
        <v>14</v>
      </c>
      <c r="BD183" s="9">
        <v>10</v>
      </c>
      <c r="BE183" s="9">
        <v>11</v>
      </c>
      <c r="BF183" s="9">
        <v>12</v>
      </c>
      <c r="BG183" s="9">
        <v>10</v>
      </c>
      <c r="BH183" s="9">
        <v>10</v>
      </c>
      <c r="BI183" s="9">
        <v>7</v>
      </c>
      <c r="BJ183" s="9">
        <v>6</v>
      </c>
      <c r="BK183" s="9">
        <v>5</v>
      </c>
      <c r="BL183" s="9">
        <v>5</v>
      </c>
      <c r="BM183" s="9">
        <v>5</v>
      </c>
      <c r="BN183" s="9">
        <v>4</v>
      </c>
      <c r="BO183" s="9">
        <v>3</v>
      </c>
      <c r="BP183" s="9">
        <v>2</v>
      </c>
      <c r="BQ183" s="9">
        <v>3</v>
      </c>
      <c r="BR183" s="9">
        <v>3</v>
      </c>
      <c r="BS183" s="9">
        <v>2</v>
      </c>
      <c r="BT183" s="9">
        <v>2</v>
      </c>
      <c r="BU183" s="9">
        <v>2</v>
      </c>
      <c r="BV183" s="9">
        <v>2</v>
      </c>
      <c r="BW183" s="9">
        <v>0</v>
      </c>
      <c r="BX183" s="9">
        <v>2</v>
      </c>
      <c r="BY183" s="9">
        <v>2</v>
      </c>
      <c r="BZ183" s="9">
        <v>2</v>
      </c>
      <c r="CA183" s="9">
        <v>2</v>
      </c>
      <c r="CB183" s="9">
        <v>1</v>
      </c>
      <c r="CC183" s="9">
        <v>1</v>
      </c>
      <c r="CD183" s="9">
        <v>0</v>
      </c>
      <c r="CE183" s="9">
        <v>0</v>
      </c>
      <c r="CF183" s="9">
        <v>0</v>
      </c>
      <c r="CG183" s="9">
        <v>0</v>
      </c>
      <c r="CH183" s="9">
        <v>0</v>
      </c>
      <c r="CI183" s="9">
        <v>0</v>
      </c>
      <c r="CJ183" s="9">
        <v>0</v>
      </c>
      <c r="CK183" s="9">
        <v>0</v>
      </c>
      <c r="CL183" s="9">
        <v>0</v>
      </c>
      <c r="CM183" s="9">
        <v>0</v>
      </c>
      <c r="CN183" s="9">
        <v>0</v>
      </c>
      <c r="CO183" s="9">
        <v>0</v>
      </c>
      <c r="CP183" s="9">
        <v>0</v>
      </c>
      <c r="CQ183" s="9">
        <v>0</v>
      </c>
      <c r="CR183" s="9">
        <v>0</v>
      </c>
      <c r="CS183" s="9">
        <v>0</v>
      </c>
      <c r="CT183" s="9">
        <v>0</v>
      </c>
      <c r="CU183" s="9">
        <v>0</v>
      </c>
      <c r="CV183" s="9">
        <v>0</v>
      </c>
      <c r="CW183" s="9">
        <v>0</v>
      </c>
      <c r="CX183" s="9">
        <v>0</v>
      </c>
      <c r="CY183" s="9">
        <v>0</v>
      </c>
      <c r="CZ183" s="9">
        <v>0</v>
      </c>
      <c r="DA183" s="9">
        <v>0</v>
      </c>
      <c r="DB183" s="9">
        <v>0</v>
      </c>
      <c r="DC183" s="9">
        <v>0</v>
      </c>
      <c r="DD183" s="9">
        <v>0</v>
      </c>
      <c r="DE183" s="9">
        <v>0</v>
      </c>
      <c r="DF183" s="9">
        <v>0</v>
      </c>
      <c r="DG183" s="9">
        <v>0</v>
      </c>
      <c r="DH183" s="9">
        <v>0</v>
      </c>
      <c r="DI183" s="9">
        <v>0</v>
      </c>
      <c r="DJ183" s="9">
        <v>0</v>
      </c>
      <c r="DK183" s="9">
        <v>0</v>
      </c>
      <c r="DL183" s="9">
        <v>0</v>
      </c>
      <c r="DM183" s="9">
        <v>0</v>
      </c>
      <c r="DN183" s="9">
        <v>0</v>
      </c>
      <c r="DO183" s="9">
        <v>0</v>
      </c>
      <c r="DP183" s="9">
        <v>0</v>
      </c>
      <c r="DQ183" s="9">
        <v>0</v>
      </c>
      <c r="DR183" s="9">
        <v>0</v>
      </c>
      <c r="DS183" s="9">
        <v>0</v>
      </c>
      <c r="DT183" s="9">
        <v>0</v>
      </c>
      <c r="DU183" s="9">
        <v>0</v>
      </c>
      <c r="DV183" s="9">
        <v>0</v>
      </c>
      <c r="DW183" s="9">
        <v>0</v>
      </c>
      <c r="DX183" s="9">
        <v>0</v>
      </c>
      <c r="DY183" s="9">
        <v>0</v>
      </c>
      <c r="DZ183" s="9">
        <v>0</v>
      </c>
      <c r="EA183" s="9">
        <v>0</v>
      </c>
      <c r="EB183" s="9">
        <v>0</v>
      </c>
      <c r="EC183" s="9">
        <v>0</v>
      </c>
      <c r="ED183" s="9">
        <v>0</v>
      </c>
      <c r="EE183" s="9">
        <v>0</v>
      </c>
      <c r="EF183" s="9">
        <v>0</v>
      </c>
      <c r="EG183" s="9">
        <v>0</v>
      </c>
      <c r="EH183" s="9">
        <v>0</v>
      </c>
      <c r="EI183" s="9">
        <v>0</v>
      </c>
      <c r="EJ183" s="9">
        <v>0</v>
      </c>
      <c r="EK183" s="9">
        <v>0</v>
      </c>
      <c r="EL183" s="9">
        <v>0</v>
      </c>
      <c r="EM183" s="9">
        <v>0</v>
      </c>
      <c r="EN183" s="9">
        <v>0</v>
      </c>
      <c r="EO183" s="9">
        <v>0</v>
      </c>
      <c r="EP183" s="9">
        <v>0</v>
      </c>
      <c r="EQ183" s="9">
        <v>0</v>
      </c>
      <c r="ER183" s="9">
        <v>0</v>
      </c>
      <c r="ES183" s="9">
        <v>0</v>
      </c>
      <c r="ET183" s="9">
        <v>0</v>
      </c>
      <c r="EU183" s="9">
        <v>0</v>
      </c>
      <c r="EV183" s="9">
        <v>0</v>
      </c>
      <c r="EW183" s="9">
        <v>0</v>
      </c>
      <c r="EX183" s="9">
        <v>0</v>
      </c>
      <c r="EY183" s="9">
        <v>0</v>
      </c>
      <c r="EZ183" s="9">
        <v>0</v>
      </c>
      <c r="FA183" s="9">
        <v>0</v>
      </c>
      <c r="FB183" s="9">
        <v>0</v>
      </c>
      <c r="FC183" s="9">
        <v>0</v>
      </c>
      <c r="FD183" s="9">
        <v>0</v>
      </c>
      <c r="FE183" s="9">
        <v>0</v>
      </c>
      <c r="FF183" s="9">
        <v>0</v>
      </c>
      <c r="FG183" s="9">
        <v>0</v>
      </c>
      <c r="FH183" s="9">
        <v>0</v>
      </c>
      <c r="FI183" s="9">
        <v>0</v>
      </c>
      <c r="FJ183" s="9">
        <v>0</v>
      </c>
      <c r="FK183" s="9">
        <v>0</v>
      </c>
      <c r="FL183" s="9">
        <v>0</v>
      </c>
      <c r="FM183" s="10">
        <v>0</v>
      </c>
    </row>
    <row r="184" spans="1:169" x14ac:dyDescent="0.35">
      <c r="A184" s="8" t="s">
        <v>261</v>
      </c>
      <c r="B184" s="9" t="s">
        <v>318</v>
      </c>
      <c r="C184" s="10" t="s">
        <v>319</v>
      </c>
      <c r="D184" s="62">
        <f t="shared" si="99"/>
        <v>73</v>
      </c>
      <c r="E184" s="9">
        <v>3</v>
      </c>
      <c r="F184" s="9">
        <v>1</v>
      </c>
      <c r="G184" s="9">
        <v>1</v>
      </c>
      <c r="H184" s="9">
        <v>1</v>
      </c>
      <c r="I184" s="9">
        <v>2</v>
      </c>
      <c r="J184" s="9">
        <v>4</v>
      </c>
      <c r="K184" s="9">
        <v>9</v>
      </c>
      <c r="L184" s="9">
        <v>11</v>
      </c>
      <c r="M184" s="9">
        <v>15</v>
      </c>
      <c r="N184" s="9">
        <v>18</v>
      </c>
      <c r="O184" s="9">
        <v>19</v>
      </c>
      <c r="P184" s="9">
        <v>17</v>
      </c>
      <c r="Q184" s="9">
        <v>20</v>
      </c>
      <c r="R184" s="9">
        <v>20</v>
      </c>
      <c r="S184" s="9">
        <v>38</v>
      </c>
      <c r="T184" s="9">
        <v>38</v>
      </c>
      <c r="U184" s="9">
        <v>51</v>
      </c>
      <c r="V184" s="9">
        <v>55</v>
      </c>
      <c r="W184" s="9">
        <v>54</v>
      </c>
      <c r="X184" s="9">
        <v>57</v>
      </c>
      <c r="Y184" s="9">
        <v>67</v>
      </c>
      <c r="Z184" s="9">
        <v>60</v>
      </c>
      <c r="AA184" s="9">
        <v>58</v>
      </c>
      <c r="AB184" s="9">
        <v>73</v>
      </c>
      <c r="AC184" s="9">
        <v>66</v>
      </c>
      <c r="AD184" s="9">
        <v>66</v>
      </c>
      <c r="AE184" s="9">
        <v>58</v>
      </c>
      <c r="AF184" s="9">
        <v>56</v>
      </c>
      <c r="AG184" s="9">
        <v>59</v>
      </c>
      <c r="AH184" s="9">
        <v>55</v>
      </c>
      <c r="AI184" s="9">
        <v>57</v>
      </c>
      <c r="AJ184" s="9">
        <v>59</v>
      </c>
      <c r="AK184" s="9">
        <v>59</v>
      </c>
      <c r="AL184" s="9">
        <v>61</v>
      </c>
      <c r="AM184" s="9">
        <v>57</v>
      </c>
      <c r="AN184" s="9">
        <v>48</v>
      </c>
      <c r="AO184" s="9">
        <v>49</v>
      </c>
      <c r="AP184" s="9">
        <v>46</v>
      </c>
      <c r="AQ184" s="9">
        <v>60</v>
      </c>
      <c r="AR184" s="9">
        <v>58</v>
      </c>
      <c r="AS184" s="9">
        <v>53</v>
      </c>
      <c r="AT184" s="9">
        <v>56</v>
      </c>
      <c r="AU184" s="9">
        <v>56</v>
      </c>
      <c r="AV184" s="9">
        <v>56</v>
      </c>
      <c r="AW184" s="9">
        <v>57</v>
      </c>
      <c r="AX184" s="9">
        <v>55</v>
      </c>
      <c r="AY184" s="9">
        <v>56</v>
      </c>
      <c r="AZ184" s="9">
        <v>54</v>
      </c>
      <c r="BA184" s="9">
        <v>42</v>
      </c>
      <c r="BB184" s="9">
        <v>44</v>
      </c>
      <c r="BC184" s="9">
        <v>41</v>
      </c>
      <c r="BD184" s="9">
        <v>41</v>
      </c>
      <c r="BE184" s="9">
        <v>41</v>
      </c>
      <c r="BF184" s="9">
        <v>39</v>
      </c>
      <c r="BG184" s="9">
        <v>43</v>
      </c>
      <c r="BH184" s="9">
        <v>37</v>
      </c>
      <c r="BI184" s="9">
        <v>38</v>
      </c>
      <c r="BJ184" s="9">
        <v>35</v>
      </c>
      <c r="BK184" s="9">
        <v>35</v>
      </c>
      <c r="BL184" s="9">
        <v>37</v>
      </c>
      <c r="BM184" s="9">
        <v>31</v>
      </c>
      <c r="BN184" s="9">
        <v>32</v>
      </c>
      <c r="BO184" s="9">
        <v>29</v>
      </c>
      <c r="BP184" s="9">
        <v>32</v>
      </c>
      <c r="BQ184" s="9">
        <v>35</v>
      </c>
      <c r="BR184" s="9">
        <v>37</v>
      </c>
      <c r="BS184" s="9">
        <v>43</v>
      </c>
      <c r="BT184" s="9">
        <v>43</v>
      </c>
      <c r="BU184" s="9">
        <v>46</v>
      </c>
      <c r="BV184" s="9">
        <v>47</v>
      </c>
      <c r="BW184" s="9">
        <v>45</v>
      </c>
      <c r="BX184" s="9">
        <v>47</v>
      </c>
      <c r="BY184" s="9">
        <v>42</v>
      </c>
      <c r="BZ184" s="9">
        <v>45</v>
      </c>
      <c r="CA184" s="9">
        <v>48</v>
      </c>
      <c r="CB184" s="9">
        <v>47</v>
      </c>
      <c r="CC184" s="9">
        <v>39</v>
      </c>
      <c r="CD184" s="9">
        <v>36</v>
      </c>
      <c r="CE184" s="9">
        <v>30</v>
      </c>
      <c r="CF184" s="9">
        <v>23</v>
      </c>
      <c r="CG184" s="9">
        <v>21</v>
      </c>
      <c r="CH184" s="9">
        <v>25</v>
      </c>
      <c r="CI184" s="9">
        <v>13</v>
      </c>
      <c r="CJ184" s="9">
        <v>29</v>
      </c>
      <c r="CK184" s="9">
        <v>29</v>
      </c>
      <c r="CL184" s="9">
        <v>27</v>
      </c>
      <c r="CM184" s="9">
        <v>24</v>
      </c>
      <c r="CN184" s="9">
        <v>25</v>
      </c>
      <c r="CO184" s="9">
        <v>25</v>
      </c>
      <c r="CP184" s="9">
        <v>19</v>
      </c>
      <c r="CQ184" s="9">
        <v>18</v>
      </c>
      <c r="CR184" s="9">
        <v>16</v>
      </c>
      <c r="CS184" s="9">
        <v>15</v>
      </c>
      <c r="CT184" s="9">
        <v>16</v>
      </c>
      <c r="CU184" s="9">
        <v>17</v>
      </c>
      <c r="CV184" s="9">
        <v>14</v>
      </c>
      <c r="CW184" s="9">
        <v>14</v>
      </c>
      <c r="CX184" s="9">
        <v>17</v>
      </c>
      <c r="CY184" s="9">
        <v>15</v>
      </c>
      <c r="CZ184" s="9">
        <v>15</v>
      </c>
      <c r="DA184" s="9">
        <v>15</v>
      </c>
      <c r="DB184" s="9">
        <v>17</v>
      </c>
      <c r="DC184" s="9">
        <v>17</v>
      </c>
      <c r="DD184" s="9">
        <v>15</v>
      </c>
      <c r="DE184" s="9">
        <v>15</v>
      </c>
      <c r="DF184" s="9">
        <v>12</v>
      </c>
      <c r="DG184" s="9">
        <v>11</v>
      </c>
      <c r="DH184" s="9">
        <v>12</v>
      </c>
      <c r="DI184" s="9">
        <v>9</v>
      </c>
      <c r="DJ184" s="9">
        <v>6</v>
      </c>
      <c r="DK184" s="9">
        <v>8</v>
      </c>
      <c r="DL184" s="9">
        <v>8</v>
      </c>
      <c r="DM184" s="9">
        <v>7</v>
      </c>
      <c r="DN184" s="9">
        <v>7</v>
      </c>
      <c r="DO184" s="9">
        <v>8</v>
      </c>
      <c r="DP184" s="9">
        <v>8</v>
      </c>
      <c r="DQ184" s="9">
        <v>8</v>
      </c>
      <c r="DR184" s="9">
        <v>8</v>
      </c>
      <c r="DS184" s="9">
        <v>7</v>
      </c>
      <c r="DT184" s="9">
        <v>6</v>
      </c>
      <c r="DU184" s="9">
        <v>4</v>
      </c>
      <c r="DV184" s="9">
        <v>5</v>
      </c>
      <c r="DW184" s="9">
        <v>6</v>
      </c>
      <c r="DX184" s="9">
        <v>6</v>
      </c>
      <c r="DY184" s="9">
        <v>7</v>
      </c>
      <c r="DZ184" s="9">
        <v>6</v>
      </c>
      <c r="EA184" s="9">
        <v>7</v>
      </c>
      <c r="EB184" s="9">
        <v>6</v>
      </c>
      <c r="EC184" s="9">
        <v>6</v>
      </c>
      <c r="ED184" s="9">
        <v>5</v>
      </c>
      <c r="EE184" s="9">
        <v>5</v>
      </c>
      <c r="EF184" s="9">
        <v>5</v>
      </c>
      <c r="EG184" s="9">
        <v>5</v>
      </c>
      <c r="EH184" s="9">
        <v>5</v>
      </c>
      <c r="EI184" s="9">
        <v>5</v>
      </c>
      <c r="EJ184" s="9">
        <v>5</v>
      </c>
      <c r="EK184" s="9">
        <v>6</v>
      </c>
      <c r="EL184" s="9">
        <v>7</v>
      </c>
      <c r="EM184" s="9">
        <v>3</v>
      </c>
      <c r="EN184" s="9">
        <v>4</v>
      </c>
      <c r="EO184" s="9">
        <v>3</v>
      </c>
      <c r="EP184" s="9">
        <v>3</v>
      </c>
      <c r="EQ184" s="9">
        <v>3</v>
      </c>
      <c r="ER184" s="9">
        <v>6</v>
      </c>
      <c r="ES184" s="9">
        <v>4</v>
      </c>
      <c r="ET184" s="9">
        <v>3</v>
      </c>
      <c r="EU184" s="9">
        <v>7</v>
      </c>
      <c r="EV184" s="9">
        <v>2</v>
      </c>
      <c r="EW184" s="9">
        <v>2</v>
      </c>
      <c r="EX184" s="9">
        <v>2</v>
      </c>
      <c r="EY184" s="9">
        <v>2</v>
      </c>
      <c r="EZ184" s="9">
        <v>2</v>
      </c>
      <c r="FA184" s="9">
        <v>2</v>
      </c>
      <c r="FB184" s="9">
        <v>2</v>
      </c>
      <c r="FC184" s="9">
        <v>1</v>
      </c>
      <c r="FD184" s="9">
        <v>0</v>
      </c>
      <c r="FE184" s="9">
        <v>0</v>
      </c>
      <c r="FF184" s="9">
        <v>0</v>
      </c>
      <c r="FG184" s="9">
        <v>0</v>
      </c>
      <c r="FH184" s="9">
        <v>0</v>
      </c>
      <c r="FI184" s="9">
        <v>0</v>
      </c>
      <c r="FJ184" s="9">
        <v>0</v>
      </c>
      <c r="FK184" s="9">
        <v>1</v>
      </c>
      <c r="FL184" s="9">
        <v>0</v>
      </c>
      <c r="FM184" s="10">
        <v>0</v>
      </c>
    </row>
    <row r="185" spans="1:169" x14ac:dyDescent="0.35">
      <c r="A185" s="8" t="s">
        <v>261</v>
      </c>
      <c r="B185" s="9" t="s">
        <v>320</v>
      </c>
      <c r="C185" s="10" t="s">
        <v>321</v>
      </c>
      <c r="D185" s="62">
        <f t="shared" si="99"/>
        <v>112</v>
      </c>
      <c r="E185" s="9">
        <v>2</v>
      </c>
      <c r="F185" s="9">
        <v>3</v>
      </c>
      <c r="G185" s="9">
        <v>6</v>
      </c>
      <c r="H185" s="9">
        <v>7</v>
      </c>
      <c r="I185" s="9">
        <v>7</v>
      </c>
      <c r="J185" s="9">
        <v>9</v>
      </c>
      <c r="K185" s="9">
        <v>7</v>
      </c>
      <c r="L185" s="9">
        <v>10</v>
      </c>
      <c r="M185" s="9">
        <v>14</v>
      </c>
      <c r="N185" s="9">
        <v>19</v>
      </c>
      <c r="O185" s="9">
        <v>17</v>
      </c>
      <c r="P185" s="9">
        <v>22</v>
      </c>
      <c r="Q185" s="9">
        <v>30</v>
      </c>
      <c r="R185" s="9">
        <v>22</v>
      </c>
      <c r="S185" s="9">
        <v>33</v>
      </c>
      <c r="T185" s="9">
        <v>36</v>
      </c>
      <c r="U185" s="9">
        <v>44</v>
      </c>
      <c r="V185" s="9">
        <v>51</v>
      </c>
      <c r="W185" s="9">
        <v>49</v>
      </c>
      <c r="X185" s="9">
        <v>61</v>
      </c>
      <c r="Y185" s="9">
        <v>69</v>
      </c>
      <c r="Z185" s="9">
        <v>68</v>
      </c>
      <c r="AA185" s="9">
        <v>72</v>
      </c>
      <c r="AB185" s="9">
        <v>44</v>
      </c>
      <c r="AC185" s="9">
        <v>85</v>
      </c>
      <c r="AD185" s="9">
        <v>89</v>
      </c>
      <c r="AE185" s="9">
        <v>94</v>
      </c>
      <c r="AF185" s="9">
        <v>93</v>
      </c>
      <c r="AG185" s="9">
        <v>95</v>
      </c>
      <c r="AH185" s="9">
        <v>99</v>
      </c>
      <c r="AI185" s="9">
        <v>102</v>
      </c>
      <c r="AJ185" s="9">
        <v>101</v>
      </c>
      <c r="AK185" s="9">
        <v>112</v>
      </c>
      <c r="AL185" s="9">
        <v>101</v>
      </c>
      <c r="AM185" s="9">
        <v>93</v>
      </c>
      <c r="AN185" s="9">
        <v>95</v>
      </c>
      <c r="AO185" s="9">
        <v>93</v>
      </c>
      <c r="AP185" s="9">
        <v>99</v>
      </c>
      <c r="AQ185" s="9">
        <v>91</v>
      </c>
      <c r="AR185" s="9">
        <v>84</v>
      </c>
      <c r="AS185" s="9">
        <v>80</v>
      </c>
      <c r="AT185" s="9">
        <v>72</v>
      </c>
      <c r="AU185" s="9">
        <v>90</v>
      </c>
      <c r="AV185" s="9">
        <v>63</v>
      </c>
      <c r="AW185" s="9">
        <v>64</v>
      </c>
      <c r="AX185" s="9">
        <v>60</v>
      </c>
      <c r="AY185" s="9">
        <v>59</v>
      </c>
      <c r="AZ185" s="9">
        <v>59</v>
      </c>
      <c r="BA185" s="9">
        <v>54</v>
      </c>
      <c r="BB185" s="9">
        <v>49</v>
      </c>
      <c r="BC185" s="9">
        <v>54</v>
      </c>
      <c r="BD185" s="9">
        <v>53</v>
      </c>
      <c r="BE185" s="9">
        <v>60</v>
      </c>
      <c r="BF185" s="9">
        <v>54</v>
      </c>
      <c r="BG185" s="9">
        <v>60</v>
      </c>
      <c r="BH185" s="9">
        <v>61</v>
      </c>
      <c r="BI185" s="9">
        <v>64</v>
      </c>
      <c r="BJ185" s="9">
        <v>61</v>
      </c>
      <c r="BK185" s="9">
        <v>60</v>
      </c>
      <c r="BL185" s="9">
        <v>56</v>
      </c>
      <c r="BM185" s="9">
        <v>53</v>
      </c>
      <c r="BN185" s="9">
        <v>46</v>
      </c>
      <c r="BO185" s="9">
        <v>42</v>
      </c>
      <c r="BP185" s="9">
        <v>44</v>
      </c>
      <c r="BQ185" s="9">
        <v>44</v>
      </c>
      <c r="BR185" s="9">
        <v>48</v>
      </c>
      <c r="BS185" s="9">
        <v>45</v>
      </c>
      <c r="BT185" s="9">
        <v>48</v>
      </c>
      <c r="BU185" s="9">
        <v>42</v>
      </c>
      <c r="BV185" s="9">
        <v>37</v>
      </c>
      <c r="BW185" s="9">
        <v>34</v>
      </c>
      <c r="BX185" s="9">
        <v>29</v>
      </c>
      <c r="BY185" s="9">
        <v>39</v>
      </c>
      <c r="BZ185" s="9">
        <v>40</v>
      </c>
      <c r="CA185" s="9">
        <v>42</v>
      </c>
      <c r="CB185" s="9">
        <v>38</v>
      </c>
      <c r="CC185" s="9">
        <v>28</v>
      </c>
      <c r="CD185" s="9">
        <v>30</v>
      </c>
      <c r="CE185" s="9">
        <v>26</v>
      </c>
      <c r="CF185" s="9">
        <v>31</v>
      </c>
      <c r="CG185" s="9">
        <v>32</v>
      </c>
      <c r="CH185" s="9">
        <v>30</v>
      </c>
      <c r="CI185" s="9">
        <v>36</v>
      </c>
      <c r="CJ185" s="9">
        <v>39</v>
      </c>
      <c r="CK185" s="9">
        <v>33</v>
      </c>
      <c r="CL185" s="9">
        <v>32</v>
      </c>
      <c r="CM185" s="9">
        <v>31</v>
      </c>
      <c r="CN185" s="9">
        <v>27</v>
      </c>
      <c r="CO185" s="9">
        <v>27</v>
      </c>
      <c r="CP185" s="9">
        <v>24</v>
      </c>
      <c r="CQ185" s="9">
        <v>23</v>
      </c>
      <c r="CR185" s="9">
        <v>21</v>
      </c>
      <c r="CS185" s="9">
        <v>18</v>
      </c>
      <c r="CT185" s="9">
        <v>19</v>
      </c>
      <c r="CU185" s="9">
        <v>17</v>
      </c>
      <c r="CV185" s="9">
        <v>14</v>
      </c>
      <c r="CW185" s="9">
        <v>17</v>
      </c>
      <c r="CX185" s="9">
        <v>15</v>
      </c>
      <c r="CY185" s="9">
        <v>13</v>
      </c>
      <c r="CZ185" s="9">
        <v>10</v>
      </c>
      <c r="DA185" s="9">
        <v>11</v>
      </c>
      <c r="DB185" s="9">
        <v>12</v>
      </c>
      <c r="DC185" s="9">
        <v>14</v>
      </c>
      <c r="DD185" s="9">
        <v>11</v>
      </c>
      <c r="DE185" s="9">
        <v>11</v>
      </c>
      <c r="DF185" s="9">
        <v>8</v>
      </c>
      <c r="DG185" s="9">
        <v>7</v>
      </c>
      <c r="DH185" s="9">
        <v>8</v>
      </c>
      <c r="DI185" s="9">
        <v>6</v>
      </c>
      <c r="DJ185" s="9">
        <v>3</v>
      </c>
      <c r="DK185" s="9">
        <v>6</v>
      </c>
      <c r="DL185" s="9">
        <v>6</v>
      </c>
      <c r="DM185" s="9">
        <v>6</v>
      </c>
      <c r="DN185" s="9">
        <v>6</v>
      </c>
      <c r="DO185" s="9">
        <v>6</v>
      </c>
      <c r="DP185" s="9">
        <v>6</v>
      </c>
      <c r="DQ185" s="9">
        <v>6</v>
      </c>
      <c r="DR185" s="9">
        <v>6</v>
      </c>
      <c r="DS185" s="9">
        <v>6</v>
      </c>
      <c r="DT185" s="9">
        <v>6</v>
      </c>
      <c r="DU185" s="9">
        <v>4</v>
      </c>
      <c r="DV185" s="9">
        <v>2</v>
      </c>
      <c r="DW185" s="9">
        <v>2</v>
      </c>
      <c r="DX185" s="9">
        <v>3</v>
      </c>
      <c r="DY185" s="9">
        <v>3</v>
      </c>
      <c r="DZ185" s="9">
        <v>3</v>
      </c>
      <c r="EA185" s="9">
        <v>1</v>
      </c>
      <c r="EB185" s="9">
        <v>1</v>
      </c>
      <c r="EC185" s="9">
        <v>1</v>
      </c>
      <c r="ED185" s="9">
        <v>1</v>
      </c>
      <c r="EE185" s="9">
        <v>1</v>
      </c>
      <c r="EF185" s="9">
        <v>3</v>
      </c>
      <c r="EG185" s="9">
        <v>3</v>
      </c>
      <c r="EH185" s="9">
        <v>3</v>
      </c>
      <c r="EI185" s="9">
        <v>1</v>
      </c>
      <c r="EJ185" s="9">
        <v>3</v>
      </c>
      <c r="EK185" s="9">
        <v>3</v>
      </c>
      <c r="EL185" s="9">
        <v>3</v>
      </c>
      <c r="EM185" s="9">
        <v>2</v>
      </c>
      <c r="EN185" s="9">
        <v>2</v>
      </c>
      <c r="EO185" s="9">
        <v>0</v>
      </c>
      <c r="EP185" s="9">
        <v>0</v>
      </c>
      <c r="EQ185" s="9">
        <v>0</v>
      </c>
      <c r="ER185" s="9">
        <v>1</v>
      </c>
      <c r="ES185" s="9">
        <v>1</v>
      </c>
      <c r="ET185" s="9">
        <v>1</v>
      </c>
      <c r="EU185" s="9">
        <v>2</v>
      </c>
      <c r="EV185" s="9">
        <v>2</v>
      </c>
      <c r="EW185" s="9">
        <v>3</v>
      </c>
      <c r="EX185" s="9">
        <v>2</v>
      </c>
      <c r="EY185" s="9">
        <v>1</v>
      </c>
      <c r="EZ185" s="9">
        <v>1</v>
      </c>
      <c r="FA185" s="9">
        <v>1</v>
      </c>
      <c r="FB185" s="9">
        <v>0</v>
      </c>
      <c r="FC185" s="9">
        <v>1</v>
      </c>
      <c r="FD185" s="9">
        <v>1</v>
      </c>
      <c r="FE185" s="9">
        <v>1</v>
      </c>
      <c r="FF185" s="9">
        <v>1</v>
      </c>
      <c r="FG185" s="9">
        <v>1</v>
      </c>
      <c r="FH185" s="9">
        <v>1</v>
      </c>
      <c r="FI185" s="9">
        <v>1</v>
      </c>
      <c r="FJ185" s="9">
        <v>1</v>
      </c>
      <c r="FK185" s="9">
        <v>1</v>
      </c>
      <c r="FL185" s="9">
        <v>1</v>
      </c>
      <c r="FM185" s="10">
        <v>1</v>
      </c>
    </row>
    <row r="186" spans="1:169" x14ac:dyDescent="0.35">
      <c r="A186" s="8" t="s">
        <v>261</v>
      </c>
      <c r="B186" s="9" t="s">
        <v>322</v>
      </c>
      <c r="C186" s="10" t="s">
        <v>323</v>
      </c>
      <c r="D186" s="62">
        <f t="shared" si="99"/>
        <v>125</v>
      </c>
      <c r="E186" s="9">
        <v>3</v>
      </c>
      <c r="F186" s="9">
        <v>4</v>
      </c>
      <c r="G186" s="9">
        <v>7</v>
      </c>
      <c r="H186" s="9">
        <v>7</v>
      </c>
      <c r="I186" s="9">
        <v>0</v>
      </c>
      <c r="J186" s="9">
        <v>11</v>
      </c>
      <c r="K186" s="9">
        <v>16</v>
      </c>
      <c r="L186" s="9">
        <v>16</v>
      </c>
      <c r="M186" s="9">
        <v>21</v>
      </c>
      <c r="N186" s="9">
        <v>46</v>
      </c>
      <c r="O186" s="9">
        <v>49</v>
      </c>
      <c r="P186" s="9">
        <v>55</v>
      </c>
      <c r="Q186" s="9">
        <v>73</v>
      </c>
      <c r="R186" s="9">
        <v>74</v>
      </c>
      <c r="S186" s="9">
        <v>78</v>
      </c>
      <c r="T186" s="9">
        <v>125</v>
      </c>
      <c r="U186" s="9">
        <v>92</v>
      </c>
      <c r="V186" s="9">
        <v>102</v>
      </c>
      <c r="W186" s="9">
        <v>96</v>
      </c>
      <c r="X186" s="9">
        <v>107</v>
      </c>
      <c r="Y186" s="9">
        <v>104</v>
      </c>
      <c r="Z186" s="9">
        <v>97</v>
      </c>
      <c r="AA186" s="9">
        <v>95</v>
      </c>
      <c r="AB186" s="9">
        <v>93</v>
      </c>
      <c r="AC186" s="9">
        <v>91</v>
      </c>
      <c r="AD186" s="9">
        <v>86</v>
      </c>
      <c r="AE186" s="9">
        <v>83</v>
      </c>
      <c r="AF186" s="9">
        <v>82</v>
      </c>
      <c r="AG186" s="9">
        <v>76</v>
      </c>
      <c r="AH186" s="9">
        <v>68</v>
      </c>
      <c r="AI186" s="9">
        <v>64</v>
      </c>
      <c r="AJ186" s="9">
        <v>67</v>
      </c>
      <c r="AK186" s="9">
        <v>62</v>
      </c>
      <c r="AL186" s="9">
        <v>63</v>
      </c>
      <c r="AM186" s="9">
        <v>54</v>
      </c>
      <c r="AN186" s="9">
        <v>58</v>
      </c>
      <c r="AO186" s="9">
        <v>57</v>
      </c>
      <c r="AP186" s="9">
        <v>53</v>
      </c>
      <c r="AQ186" s="9">
        <v>55</v>
      </c>
      <c r="AR186" s="9">
        <v>46</v>
      </c>
      <c r="AS186" s="9">
        <v>55</v>
      </c>
      <c r="AT186" s="9">
        <v>51</v>
      </c>
      <c r="AU186" s="9">
        <v>51</v>
      </c>
      <c r="AV186" s="9">
        <v>49</v>
      </c>
      <c r="AW186" s="9">
        <v>39</v>
      </c>
      <c r="AX186" s="9">
        <v>44</v>
      </c>
      <c r="AY186" s="9">
        <v>43</v>
      </c>
      <c r="AZ186" s="9">
        <v>37</v>
      </c>
      <c r="BA186" s="9">
        <v>37</v>
      </c>
      <c r="BB186" s="9">
        <v>34</v>
      </c>
      <c r="BC186" s="9">
        <v>35</v>
      </c>
      <c r="BD186" s="9">
        <v>31</v>
      </c>
      <c r="BE186" s="9">
        <v>33</v>
      </c>
      <c r="BF186" s="9">
        <v>33</v>
      </c>
      <c r="BG186" s="9">
        <v>30</v>
      </c>
      <c r="BH186" s="9">
        <v>22</v>
      </c>
      <c r="BI186" s="9">
        <v>18</v>
      </c>
      <c r="BJ186" s="9">
        <v>19</v>
      </c>
      <c r="BK186" s="9">
        <v>21</v>
      </c>
      <c r="BL186" s="9">
        <v>22</v>
      </c>
      <c r="BM186" s="9">
        <v>25</v>
      </c>
      <c r="BN186" s="9">
        <v>25</v>
      </c>
      <c r="BO186" s="9">
        <v>21</v>
      </c>
      <c r="BP186" s="9">
        <v>22</v>
      </c>
      <c r="BQ186" s="9">
        <v>20</v>
      </c>
      <c r="BR186" s="9">
        <v>20</v>
      </c>
      <c r="BS186" s="9">
        <v>19</v>
      </c>
      <c r="BT186" s="9">
        <v>19</v>
      </c>
      <c r="BU186" s="9">
        <v>19</v>
      </c>
      <c r="BV186" s="9">
        <v>14</v>
      </c>
      <c r="BW186" s="9">
        <v>15</v>
      </c>
      <c r="BX186" s="9">
        <v>14</v>
      </c>
      <c r="BY186" s="9">
        <v>14</v>
      </c>
      <c r="BZ186" s="9">
        <v>14</v>
      </c>
      <c r="CA186" s="9">
        <v>12</v>
      </c>
      <c r="CB186" s="9">
        <v>10</v>
      </c>
      <c r="CC186" s="9">
        <v>8</v>
      </c>
      <c r="CD186" s="9">
        <v>10</v>
      </c>
      <c r="CE186" s="9">
        <v>10</v>
      </c>
      <c r="CF186" s="9">
        <v>9</v>
      </c>
      <c r="CG186" s="9">
        <v>9</v>
      </c>
      <c r="CH186" s="9">
        <v>9</v>
      </c>
      <c r="CI186" s="9">
        <v>6</v>
      </c>
      <c r="CJ186" s="9">
        <v>5</v>
      </c>
      <c r="CK186" s="9">
        <v>3</v>
      </c>
      <c r="CL186" s="9">
        <v>3</v>
      </c>
      <c r="CM186" s="9">
        <v>4</v>
      </c>
      <c r="CN186" s="9">
        <v>5</v>
      </c>
      <c r="CO186" s="9">
        <v>5</v>
      </c>
      <c r="CP186" s="9">
        <v>5</v>
      </c>
      <c r="CQ186" s="9">
        <v>6</v>
      </c>
      <c r="CR186" s="9">
        <v>6</v>
      </c>
      <c r="CS186" s="9">
        <v>5</v>
      </c>
      <c r="CT186" s="9">
        <v>6</v>
      </c>
      <c r="CU186" s="9">
        <v>8</v>
      </c>
      <c r="CV186" s="9">
        <v>9</v>
      </c>
      <c r="CW186" s="9">
        <v>10</v>
      </c>
      <c r="CX186" s="9">
        <v>9</v>
      </c>
      <c r="CY186" s="9">
        <v>8</v>
      </c>
      <c r="CZ186" s="9">
        <v>10</v>
      </c>
      <c r="DA186" s="9">
        <v>10</v>
      </c>
      <c r="DB186" s="9">
        <v>9</v>
      </c>
      <c r="DC186" s="9">
        <v>9</v>
      </c>
      <c r="DD186" s="9">
        <v>6</v>
      </c>
      <c r="DE186" s="9">
        <v>5</v>
      </c>
      <c r="DF186" s="9">
        <v>6</v>
      </c>
      <c r="DG186" s="9">
        <v>5</v>
      </c>
      <c r="DH186" s="9">
        <v>6</v>
      </c>
      <c r="DI186" s="9">
        <v>9</v>
      </c>
      <c r="DJ186" s="9">
        <v>10</v>
      </c>
      <c r="DK186" s="9">
        <v>9</v>
      </c>
      <c r="DL186" s="9">
        <v>11</v>
      </c>
      <c r="DM186" s="9">
        <v>11</v>
      </c>
      <c r="DN186" s="9">
        <v>12</v>
      </c>
      <c r="DO186" s="9">
        <v>9</v>
      </c>
      <c r="DP186" s="9">
        <v>10</v>
      </c>
      <c r="DQ186" s="9">
        <v>9</v>
      </c>
      <c r="DR186" s="9">
        <v>10</v>
      </c>
      <c r="DS186" s="9">
        <v>11</v>
      </c>
      <c r="DT186" s="9">
        <v>12</v>
      </c>
      <c r="DU186" s="9">
        <v>10</v>
      </c>
      <c r="DV186" s="9">
        <v>8</v>
      </c>
      <c r="DW186" s="9">
        <v>7</v>
      </c>
      <c r="DX186" s="9">
        <v>8</v>
      </c>
      <c r="DY186" s="9">
        <v>8</v>
      </c>
      <c r="DZ186" s="9">
        <v>6</v>
      </c>
      <c r="EA186" s="9">
        <v>5</v>
      </c>
      <c r="EB186" s="9">
        <v>5</v>
      </c>
      <c r="EC186" s="9">
        <v>5</v>
      </c>
      <c r="ED186" s="9">
        <v>6</v>
      </c>
      <c r="EE186" s="9">
        <v>5</v>
      </c>
      <c r="EF186" s="9">
        <v>6</v>
      </c>
      <c r="EG186" s="9">
        <v>6</v>
      </c>
      <c r="EH186" s="9">
        <v>5</v>
      </c>
      <c r="EI186" s="9">
        <v>5</v>
      </c>
      <c r="EJ186" s="9">
        <v>5</v>
      </c>
      <c r="EK186" s="9">
        <v>4</v>
      </c>
      <c r="EL186" s="9">
        <v>3</v>
      </c>
      <c r="EM186" s="9">
        <v>3</v>
      </c>
      <c r="EN186" s="9">
        <v>4</v>
      </c>
      <c r="EO186" s="9">
        <v>3</v>
      </c>
      <c r="EP186" s="9">
        <v>3</v>
      </c>
      <c r="EQ186" s="9">
        <v>5</v>
      </c>
      <c r="ER186" s="9">
        <v>6</v>
      </c>
      <c r="ES186" s="9">
        <v>4</v>
      </c>
      <c r="ET186" s="9">
        <v>3</v>
      </c>
      <c r="EU186" s="9">
        <v>4</v>
      </c>
      <c r="EV186" s="9">
        <v>4</v>
      </c>
      <c r="EW186" s="9">
        <v>4</v>
      </c>
      <c r="EX186" s="9">
        <v>4</v>
      </c>
      <c r="EY186" s="9">
        <v>4</v>
      </c>
      <c r="EZ186" s="9">
        <v>4</v>
      </c>
      <c r="FA186" s="9">
        <v>3</v>
      </c>
      <c r="FB186" s="9">
        <v>5</v>
      </c>
      <c r="FC186" s="9">
        <v>6</v>
      </c>
      <c r="FD186" s="9">
        <v>9</v>
      </c>
      <c r="FE186" s="9">
        <v>8</v>
      </c>
      <c r="FF186" s="9">
        <v>9</v>
      </c>
      <c r="FG186" s="9">
        <v>8</v>
      </c>
      <c r="FH186" s="9">
        <v>10</v>
      </c>
      <c r="FI186" s="9">
        <v>8</v>
      </c>
      <c r="FJ186" s="9">
        <v>7</v>
      </c>
      <c r="FK186" s="9">
        <v>6</v>
      </c>
      <c r="FL186" s="9">
        <v>7</v>
      </c>
      <c r="FM186" s="10">
        <v>7</v>
      </c>
    </row>
    <row r="187" spans="1:169" x14ac:dyDescent="0.35">
      <c r="A187" s="8" t="s">
        <v>261</v>
      </c>
      <c r="B187" s="9" t="s">
        <v>324</v>
      </c>
      <c r="C187" s="10" t="s">
        <v>325</v>
      </c>
      <c r="D187" s="62">
        <f t="shared" si="99"/>
        <v>22</v>
      </c>
      <c r="E187" s="9">
        <v>0</v>
      </c>
      <c r="F187" s="9">
        <v>0</v>
      </c>
      <c r="G187" s="9">
        <v>0</v>
      </c>
      <c r="H187" s="9">
        <v>0</v>
      </c>
      <c r="I187" s="9">
        <v>0</v>
      </c>
      <c r="J187" s="9">
        <v>0</v>
      </c>
      <c r="K187" s="9">
        <v>0</v>
      </c>
      <c r="L187" s="9">
        <v>11</v>
      </c>
      <c r="M187" s="9">
        <v>11</v>
      </c>
      <c r="N187" s="9">
        <v>10</v>
      </c>
      <c r="O187" s="9">
        <v>16</v>
      </c>
      <c r="P187" s="9">
        <v>17</v>
      </c>
      <c r="Q187" s="9">
        <v>14</v>
      </c>
      <c r="R187" s="9">
        <v>15</v>
      </c>
      <c r="S187" s="9">
        <v>14</v>
      </c>
      <c r="T187" s="9">
        <v>13</v>
      </c>
      <c r="U187" s="9">
        <v>12</v>
      </c>
      <c r="V187" s="9">
        <v>13</v>
      </c>
      <c r="W187" s="9">
        <v>13</v>
      </c>
      <c r="X187" s="9">
        <v>14</v>
      </c>
      <c r="Y187" s="9">
        <v>15</v>
      </c>
      <c r="Z187" s="9">
        <v>16</v>
      </c>
      <c r="AA187" s="9">
        <v>6</v>
      </c>
      <c r="AB187" s="9">
        <v>3</v>
      </c>
      <c r="AC187" s="9">
        <v>4</v>
      </c>
      <c r="AD187" s="9">
        <v>4</v>
      </c>
      <c r="AE187" s="9">
        <v>3</v>
      </c>
      <c r="AF187" s="9">
        <v>3</v>
      </c>
      <c r="AG187" s="9">
        <v>1</v>
      </c>
      <c r="AH187" s="9">
        <v>1</v>
      </c>
      <c r="AI187" s="9">
        <v>1</v>
      </c>
      <c r="AJ187" s="9">
        <v>0</v>
      </c>
      <c r="AK187" s="9">
        <v>3</v>
      </c>
      <c r="AL187" s="9">
        <v>3</v>
      </c>
      <c r="AM187" s="9">
        <v>5</v>
      </c>
      <c r="AN187" s="9">
        <v>7</v>
      </c>
      <c r="AO187" s="9">
        <v>7</v>
      </c>
      <c r="AP187" s="9">
        <v>11</v>
      </c>
      <c r="AQ187" s="9">
        <v>16</v>
      </c>
      <c r="AR187" s="9">
        <v>14</v>
      </c>
      <c r="AS187" s="9">
        <v>22</v>
      </c>
      <c r="AT187" s="9">
        <v>20</v>
      </c>
      <c r="AU187" s="9">
        <v>21</v>
      </c>
      <c r="AV187" s="9">
        <v>19</v>
      </c>
      <c r="AW187" s="9">
        <v>19</v>
      </c>
      <c r="AX187" s="9">
        <v>15</v>
      </c>
      <c r="AY187" s="9">
        <v>14</v>
      </c>
      <c r="AZ187" s="9">
        <v>13</v>
      </c>
      <c r="BA187" s="9">
        <v>10</v>
      </c>
      <c r="BB187" s="9">
        <v>2</v>
      </c>
      <c r="BC187" s="9">
        <v>3</v>
      </c>
      <c r="BD187" s="9">
        <v>2</v>
      </c>
      <c r="BE187" s="9">
        <v>3</v>
      </c>
      <c r="BF187" s="9">
        <v>2</v>
      </c>
      <c r="BG187" s="9">
        <v>3</v>
      </c>
      <c r="BH187" s="9">
        <v>6</v>
      </c>
      <c r="BI187" s="9">
        <v>7</v>
      </c>
      <c r="BJ187" s="9">
        <v>7</v>
      </c>
      <c r="BK187" s="9">
        <v>6</v>
      </c>
      <c r="BL187" s="9">
        <v>6</v>
      </c>
      <c r="BM187" s="9">
        <v>6</v>
      </c>
      <c r="BN187" s="9">
        <v>6</v>
      </c>
      <c r="BO187" s="9">
        <v>4</v>
      </c>
      <c r="BP187" s="9">
        <v>4</v>
      </c>
      <c r="BQ187" s="9">
        <v>5</v>
      </c>
      <c r="BR187" s="9">
        <v>4</v>
      </c>
      <c r="BS187" s="9">
        <v>4</v>
      </c>
      <c r="BT187" s="9">
        <v>4</v>
      </c>
      <c r="BU187" s="9">
        <v>3</v>
      </c>
      <c r="BV187" s="9">
        <v>4</v>
      </c>
      <c r="BW187" s="9">
        <v>4</v>
      </c>
      <c r="BX187" s="9">
        <v>4</v>
      </c>
      <c r="BY187" s="9">
        <v>0</v>
      </c>
      <c r="BZ187" s="9">
        <v>3</v>
      </c>
      <c r="CA187" s="9">
        <v>3</v>
      </c>
      <c r="CB187" s="9">
        <v>3</v>
      </c>
      <c r="CC187" s="9">
        <v>5</v>
      </c>
      <c r="CD187" s="9">
        <v>5</v>
      </c>
      <c r="CE187" s="9">
        <v>5</v>
      </c>
      <c r="CF187" s="9">
        <v>4</v>
      </c>
      <c r="CG187" s="9">
        <v>4</v>
      </c>
      <c r="CH187" s="9">
        <v>4</v>
      </c>
      <c r="CI187" s="9">
        <v>4</v>
      </c>
      <c r="CJ187" s="9">
        <v>3</v>
      </c>
      <c r="CK187" s="9">
        <v>1</v>
      </c>
      <c r="CL187" s="9">
        <v>1</v>
      </c>
      <c r="CM187" s="9">
        <v>1</v>
      </c>
      <c r="CN187" s="9">
        <v>1</v>
      </c>
      <c r="CO187" s="9">
        <v>1</v>
      </c>
      <c r="CP187" s="9">
        <v>1</v>
      </c>
      <c r="CQ187" s="9">
        <v>1</v>
      </c>
      <c r="CR187" s="9">
        <v>1</v>
      </c>
      <c r="CS187" s="9">
        <v>0</v>
      </c>
      <c r="CT187" s="9">
        <v>0</v>
      </c>
      <c r="CU187" s="9">
        <v>0</v>
      </c>
      <c r="CV187" s="9">
        <v>0</v>
      </c>
      <c r="CW187" s="9">
        <v>0</v>
      </c>
      <c r="CX187" s="9">
        <v>0</v>
      </c>
      <c r="CY187" s="9">
        <v>0</v>
      </c>
      <c r="CZ187" s="9">
        <v>0</v>
      </c>
      <c r="DA187" s="9">
        <v>0</v>
      </c>
      <c r="DB187" s="9">
        <v>0</v>
      </c>
      <c r="DC187" s="9">
        <v>0</v>
      </c>
      <c r="DD187" s="9">
        <v>0</v>
      </c>
      <c r="DE187" s="9">
        <v>0</v>
      </c>
      <c r="DF187" s="9">
        <v>0</v>
      </c>
      <c r="DG187" s="9">
        <v>1</v>
      </c>
      <c r="DH187" s="9">
        <v>1</v>
      </c>
      <c r="DI187" s="9">
        <v>1</v>
      </c>
      <c r="DJ187" s="9">
        <v>1</v>
      </c>
      <c r="DK187" s="9">
        <v>1</v>
      </c>
      <c r="DL187" s="9">
        <v>1</v>
      </c>
      <c r="DM187" s="9">
        <v>1</v>
      </c>
      <c r="DN187" s="9">
        <v>1</v>
      </c>
      <c r="DO187" s="9">
        <v>1</v>
      </c>
      <c r="DP187" s="9">
        <v>1</v>
      </c>
      <c r="DQ187" s="9">
        <v>1</v>
      </c>
      <c r="DR187" s="9">
        <v>0</v>
      </c>
      <c r="DS187" s="9">
        <v>0</v>
      </c>
      <c r="DT187" s="9">
        <v>0</v>
      </c>
      <c r="DU187" s="9">
        <v>0</v>
      </c>
      <c r="DV187" s="9">
        <v>0</v>
      </c>
      <c r="DW187" s="9">
        <v>0</v>
      </c>
      <c r="DX187" s="9">
        <v>0</v>
      </c>
      <c r="DY187" s="9">
        <v>0</v>
      </c>
      <c r="DZ187" s="9">
        <v>1</v>
      </c>
      <c r="EA187" s="9">
        <v>1</v>
      </c>
      <c r="EB187" s="9">
        <v>1</v>
      </c>
      <c r="EC187" s="9">
        <v>1</v>
      </c>
      <c r="ED187" s="9">
        <v>1</v>
      </c>
      <c r="EE187" s="9">
        <v>1</v>
      </c>
      <c r="EF187" s="9">
        <v>1</v>
      </c>
      <c r="EG187" s="9">
        <v>0</v>
      </c>
      <c r="EH187" s="9">
        <v>0</v>
      </c>
      <c r="EI187" s="9">
        <v>0</v>
      </c>
      <c r="EJ187" s="9">
        <v>1</v>
      </c>
      <c r="EK187" s="9">
        <v>1</v>
      </c>
      <c r="EL187" s="9">
        <v>1</v>
      </c>
      <c r="EM187" s="9">
        <v>1</v>
      </c>
      <c r="EN187" s="9">
        <v>1</v>
      </c>
      <c r="EO187" s="9">
        <v>1</v>
      </c>
      <c r="EP187" s="9">
        <v>1</v>
      </c>
      <c r="EQ187" s="9">
        <v>0</v>
      </c>
      <c r="ER187" s="9">
        <v>0</v>
      </c>
      <c r="ES187" s="9">
        <v>0</v>
      </c>
      <c r="ET187" s="9">
        <v>0</v>
      </c>
      <c r="EU187" s="9">
        <v>0</v>
      </c>
      <c r="EV187" s="9">
        <v>0</v>
      </c>
      <c r="EW187" s="9">
        <v>0</v>
      </c>
      <c r="EX187" s="9">
        <v>0</v>
      </c>
      <c r="EY187" s="9">
        <v>0</v>
      </c>
      <c r="EZ187" s="9">
        <v>0</v>
      </c>
      <c r="FA187" s="9">
        <v>0</v>
      </c>
      <c r="FB187" s="9">
        <v>0</v>
      </c>
      <c r="FC187" s="9">
        <v>0</v>
      </c>
      <c r="FD187" s="9">
        <v>0</v>
      </c>
      <c r="FE187" s="9">
        <v>0</v>
      </c>
      <c r="FF187" s="9">
        <v>0</v>
      </c>
      <c r="FG187" s="9">
        <v>0</v>
      </c>
      <c r="FH187" s="9">
        <v>0</v>
      </c>
      <c r="FI187" s="9">
        <v>0</v>
      </c>
      <c r="FJ187" s="9">
        <v>0</v>
      </c>
      <c r="FK187" s="9">
        <v>0</v>
      </c>
      <c r="FL187" s="9">
        <v>0</v>
      </c>
      <c r="FM187" s="10">
        <v>0</v>
      </c>
    </row>
    <row r="188" spans="1:169" x14ac:dyDescent="0.35">
      <c r="A188" s="8" t="s">
        <v>261</v>
      </c>
      <c r="B188" s="9" t="s">
        <v>326</v>
      </c>
      <c r="C188" s="10" t="s">
        <v>327</v>
      </c>
      <c r="D188" s="62">
        <f t="shared" si="99"/>
        <v>46</v>
      </c>
      <c r="E188" s="9">
        <v>0</v>
      </c>
      <c r="F188" s="9">
        <v>0</v>
      </c>
      <c r="G188" s="9">
        <v>0</v>
      </c>
      <c r="H188" s="9">
        <v>0</v>
      </c>
      <c r="I188" s="9">
        <v>1</v>
      </c>
      <c r="J188" s="9">
        <v>3</v>
      </c>
      <c r="K188" s="9">
        <v>3</v>
      </c>
      <c r="L188" s="9">
        <v>2</v>
      </c>
      <c r="M188" s="9">
        <v>6</v>
      </c>
      <c r="N188" s="9">
        <v>4</v>
      </c>
      <c r="O188" s="9">
        <v>8</v>
      </c>
      <c r="P188" s="9">
        <v>9</v>
      </c>
      <c r="Q188" s="9">
        <v>13</v>
      </c>
      <c r="R188" s="9">
        <v>16</v>
      </c>
      <c r="S188" s="9">
        <v>25</v>
      </c>
      <c r="T188" s="9">
        <v>31</v>
      </c>
      <c r="U188" s="9">
        <v>34</v>
      </c>
      <c r="V188" s="9">
        <v>37</v>
      </c>
      <c r="W188" s="9">
        <v>45</v>
      </c>
      <c r="X188" s="9">
        <v>41</v>
      </c>
      <c r="Y188" s="9">
        <v>40</v>
      </c>
      <c r="Z188" s="9">
        <v>42</v>
      </c>
      <c r="AA188" s="9">
        <v>44</v>
      </c>
      <c r="AB188" s="9">
        <v>43</v>
      </c>
      <c r="AC188" s="9">
        <v>46</v>
      </c>
      <c r="AD188" s="9">
        <v>46</v>
      </c>
      <c r="AE188" s="9">
        <v>30</v>
      </c>
      <c r="AF188" s="9">
        <v>32</v>
      </c>
      <c r="AG188" s="9">
        <v>29</v>
      </c>
      <c r="AH188" s="9">
        <v>28</v>
      </c>
      <c r="AI188" s="9">
        <v>28</v>
      </c>
      <c r="AJ188" s="9">
        <v>31</v>
      </c>
      <c r="AK188" s="9">
        <v>30</v>
      </c>
      <c r="AL188" s="9">
        <v>21</v>
      </c>
      <c r="AM188" s="9">
        <v>20</v>
      </c>
      <c r="AN188" s="9">
        <v>18</v>
      </c>
      <c r="AO188" s="9">
        <v>15</v>
      </c>
      <c r="AP188" s="9">
        <v>14</v>
      </c>
      <c r="AQ188" s="9">
        <v>12</v>
      </c>
      <c r="AR188" s="9">
        <v>6</v>
      </c>
      <c r="AS188" s="9">
        <v>6</v>
      </c>
      <c r="AT188" s="9">
        <v>6</v>
      </c>
      <c r="AU188" s="9">
        <v>6</v>
      </c>
      <c r="AV188" s="9">
        <v>6</v>
      </c>
      <c r="AW188" s="9">
        <v>6</v>
      </c>
      <c r="AX188" s="9">
        <v>7</v>
      </c>
      <c r="AY188" s="9">
        <v>8</v>
      </c>
      <c r="AZ188" s="9">
        <v>8</v>
      </c>
      <c r="BA188" s="9">
        <v>7</v>
      </c>
      <c r="BB188" s="9">
        <v>6</v>
      </c>
      <c r="BC188" s="9">
        <v>6</v>
      </c>
      <c r="BD188" s="9">
        <v>6</v>
      </c>
      <c r="BE188" s="9">
        <v>6</v>
      </c>
      <c r="BF188" s="9">
        <v>2</v>
      </c>
      <c r="BG188" s="9">
        <v>2</v>
      </c>
      <c r="BH188" s="9">
        <v>2</v>
      </c>
      <c r="BI188" s="9">
        <v>2</v>
      </c>
      <c r="BJ188" s="9">
        <v>1</v>
      </c>
      <c r="BK188" s="9">
        <v>1</v>
      </c>
      <c r="BL188" s="9">
        <v>1</v>
      </c>
      <c r="BM188" s="9">
        <v>0</v>
      </c>
      <c r="BN188" s="9">
        <v>0</v>
      </c>
      <c r="BO188" s="9">
        <v>0</v>
      </c>
      <c r="BP188" s="9">
        <v>0</v>
      </c>
      <c r="BQ188" s="9">
        <v>0</v>
      </c>
      <c r="BR188" s="9">
        <v>0</v>
      </c>
      <c r="BS188" s="9">
        <v>0</v>
      </c>
      <c r="BT188" s="9">
        <v>0</v>
      </c>
      <c r="BU188" s="9">
        <v>0</v>
      </c>
      <c r="BV188" s="9">
        <v>0</v>
      </c>
      <c r="BW188" s="9">
        <v>0</v>
      </c>
      <c r="BX188" s="9">
        <v>0</v>
      </c>
      <c r="BY188" s="9">
        <v>0</v>
      </c>
      <c r="BZ188" s="9">
        <v>0</v>
      </c>
      <c r="CA188" s="9">
        <v>0</v>
      </c>
      <c r="CB188" s="9">
        <v>0</v>
      </c>
      <c r="CC188" s="9">
        <v>0</v>
      </c>
      <c r="CD188" s="9">
        <v>0</v>
      </c>
      <c r="CE188" s="9">
        <v>0</v>
      </c>
      <c r="CF188" s="9">
        <v>1</v>
      </c>
      <c r="CG188" s="9">
        <v>2</v>
      </c>
      <c r="CH188" s="9">
        <v>2</v>
      </c>
      <c r="CI188" s="9">
        <v>2</v>
      </c>
      <c r="CJ188" s="9">
        <v>2</v>
      </c>
      <c r="CK188" s="9">
        <v>3</v>
      </c>
      <c r="CL188" s="9">
        <v>3</v>
      </c>
      <c r="CM188" s="9">
        <v>3</v>
      </c>
      <c r="CN188" s="9">
        <v>3</v>
      </c>
      <c r="CO188" s="9">
        <v>4</v>
      </c>
      <c r="CP188" s="9">
        <v>4</v>
      </c>
      <c r="CQ188" s="9">
        <v>4</v>
      </c>
      <c r="CR188" s="9">
        <v>4</v>
      </c>
      <c r="CS188" s="9">
        <v>4</v>
      </c>
      <c r="CT188" s="9">
        <v>4</v>
      </c>
      <c r="CU188" s="9">
        <v>3</v>
      </c>
      <c r="CV188" s="9">
        <v>0</v>
      </c>
      <c r="CW188" s="9">
        <v>0</v>
      </c>
      <c r="CX188" s="9">
        <v>0</v>
      </c>
      <c r="CY188" s="9">
        <v>0</v>
      </c>
      <c r="CZ188" s="9">
        <v>0</v>
      </c>
      <c r="DA188" s="9">
        <v>0</v>
      </c>
      <c r="DB188" s="9">
        <v>0</v>
      </c>
      <c r="DC188" s="9">
        <v>0</v>
      </c>
      <c r="DD188" s="9">
        <v>0</v>
      </c>
      <c r="DE188" s="9">
        <v>0</v>
      </c>
      <c r="DF188" s="9">
        <v>0</v>
      </c>
      <c r="DG188" s="9">
        <v>0</v>
      </c>
      <c r="DH188" s="9">
        <v>0</v>
      </c>
      <c r="DI188" s="9">
        <v>0</v>
      </c>
      <c r="DJ188" s="9">
        <v>0</v>
      </c>
      <c r="DK188" s="9">
        <v>0</v>
      </c>
      <c r="DL188" s="9">
        <v>0</v>
      </c>
      <c r="DM188" s="9">
        <v>0</v>
      </c>
      <c r="DN188" s="9">
        <v>0</v>
      </c>
      <c r="DO188" s="9">
        <v>0</v>
      </c>
      <c r="DP188" s="9">
        <v>0</v>
      </c>
      <c r="DQ188" s="9">
        <v>1</v>
      </c>
      <c r="DR188" s="9">
        <v>1</v>
      </c>
      <c r="DS188" s="9">
        <v>1</v>
      </c>
      <c r="DT188" s="9">
        <v>1</v>
      </c>
      <c r="DU188" s="9">
        <v>1</v>
      </c>
      <c r="DV188" s="9">
        <v>1</v>
      </c>
      <c r="DW188" s="9">
        <v>1</v>
      </c>
      <c r="DX188" s="9">
        <v>1</v>
      </c>
      <c r="DY188" s="9">
        <v>1</v>
      </c>
      <c r="DZ188" s="9">
        <v>1</v>
      </c>
      <c r="EA188" s="9">
        <v>1</v>
      </c>
      <c r="EB188" s="9">
        <v>0</v>
      </c>
      <c r="EC188" s="9">
        <v>0</v>
      </c>
      <c r="ED188" s="9">
        <v>0</v>
      </c>
      <c r="EE188" s="9">
        <v>0</v>
      </c>
      <c r="EF188" s="9">
        <v>0</v>
      </c>
      <c r="EG188" s="9">
        <v>0</v>
      </c>
      <c r="EH188" s="9">
        <v>0</v>
      </c>
      <c r="EI188" s="9">
        <v>0</v>
      </c>
      <c r="EJ188" s="9">
        <v>0</v>
      </c>
      <c r="EK188" s="9">
        <v>0</v>
      </c>
      <c r="EL188" s="9">
        <v>0</v>
      </c>
      <c r="EM188" s="9">
        <v>0</v>
      </c>
      <c r="EN188" s="9">
        <v>0</v>
      </c>
      <c r="EO188" s="9">
        <v>0</v>
      </c>
      <c r="EP188" s="9">
        <v>0</v>
      </c>
      <c r="EQ188" s="9">
        <v>0</v>
      </c>
      <c r="ER188" s="9">
        <v>0</v>
      </c>
      <c r="ES188" s="9">
        <v>0</v>
      </c>
      <c r="ET188" s="9">
        <v>0</v>
      </c>
      <c r="EU188" s="9">
        <v>0</v>
      </c>
      <c r="EV188" s="9">
        <v>1</v>
      </c>
      <c r="EW188" s="9">
        <v>1</v>
      </c>
      <c r="EX188" s="9">
        <v>1</v>
      </c>
      <c r="EY188" s="9">
        <v>1</v>
      </c>
      <c r="EZ188" s="9">
        <v>1</v>
      </c>
      <c r="FA188" s="9">
        <v>1</v>
      </c>
      <c r="FB188" s="9">
        <v>1</v>
      </c>
      <c r="FC188" s="9">
        <v>1</v>
      </c>
      <c r="FD188" s="9">
        <v>1</v>
      </c>
      <c r="FE188" s="9">
        <v>1</v>
      </c>
      <c r="FF188" s="9">
        <v>0</v>
      </c>
      <c r="FG188" s="9">
        <v>0</v>
      </c>
      <c r="FH188" s="9">
        <v>0</v>
      </c>
      <c r="FI188" s="9">
        <v>0</v>
      </c>
      <c r="FJ188" s="9">
        <v>0</v>
      </c>
      <c r="FK188" s="9">
        <v>0</v>
      </c>
      <c r="FL188" s="9">
        <v>0</v>
      </c>
      <c r="FM188" s="10">
        <v>0</v>
      </c>
    </row>
    <row r="189" spans="1:169" x14ac:dyDescent="0.35">
      <c r="A189" s="8" t="s">
        <v>261</v>
      </c>
      <c r="B189" s="9" t="s">
        <v>328</v>
      </c>
      <c r="C189" s="10" t="s">
        <v>329</v>
      </c>
      <c r="D189" s="62">
        <f t="shared" si="99"/>
        <v>16</v>
      </c>
      <c r="E189" s="9">
        <v>0</v>
      </c>
      <c r="F189" s="9">
        <v>0</v>
      </c>
      <c r="G189" s="9">
        <v>0</v>
      </c>
      <c r="H189" s="9">
        <v>0</v>
      </c>
      <c r="I189" s="9">
        <v>0</v>
      </c>
      <c r="J189" s="9">
        <v>0</v>
      </c>
      <c r="K189" s="9">
        <v>0</v>
      </c>
      <c r="L189" s="9">
        <v>0</v>
      </c>
      <c r="M189" s="9">
        <v>0</v>
      </c>
      <c r="N189" s="9">
        <v>0</v>
      </c>
      <c r="O189" s="9">
        <v>0</v>
      </c>
      <c r="P189" s="9">
        <v>0</v>
      </c>
      <c r="Q189" s="9">
        <v>2</v>
      </c>
      <c r="R189" s="9">
        <v>2</v>
      </c>
      <c r="S189" s="9">
        <v>3</v>
      </c>
      <c r="T189" s="9">
        <v>4</v>
      </c>
      <c r="U189" s="9">
        <v>6</v>
      </c>
      <c r="V189" s="9">
        <v>8</v>
      </c>
      <c r="W189" s="9">
        <v>7</v>
      </c>
      <c r="X189" s="9">
        <v>7</v>
      </c>
      <c r="Y189" s="9">
        <v>3</v>
      </c>
      <c r="Z189" s="9">
        <v>1</v>
      </c>
      <c r="AA189" s="9">
        <v>5</v>
      </c>
      <c r="AB189" s="9">
        <v>6</v>
      </c>
      <c r="AC189" s="9">
        <v>7</v>
      </c>
      <c r="AD189" s="9">
        <v>10</v>
      </c>
      <c r="AE189" s="9">
        <v>7</v>
      </c>
      <c r="AF189" s="9">
        <v>8</v>
      </c>
      <c r="AG189" s="9">
        <v>9</v>
      </c>
      <c r="AH189" s="9">
        <v>9</v>
      </c>
      <c r="AI189" s="9">
        <v>7</v>
      </c>
      <c r="AJ189" s="9">
        <v>6</v>
      </c>
      <c r="AK189" s="9">
        <v>5</v>
      </c>
      <c r="AL189" s="9">
        <v>4</v>
      </c>
      <c r="AM189" s="9">
        <v>6</v>
      </c>
      <c r="AN189" s="9">
        <v>6</v>
      </c>
      <c r="AO189" s="9">
        <v>6</v>
      </c>
      <c r="AP189" s="9">
        <v>4</v>
      </c>
      <c r="AQ189" s="9">
        <v>4</v>
      </c>
      <c r="AR189" s="9">
        <v>4</v>
      </c>
      <c r="AS189" s="9">
        <v>7</v>
      </c>
      <c r="AT189" s="9">
        <v>7</v>
      </c>
      <c r="AU189" s="9">
        <v>12</v>
      </c>
      <c r="AV189" s="9">
        <v>10</v>
      </c>
      <c r="AW189" s="9">
        <v>12</v>
      </c>
      <c r="AX189" s="9">
        <v>16</v>
      </c>
      <c r="AY189" s="9">
        <v>11</v>
      </c>
      <c r="AZ189" s="9">
        <v>15</v>
      </c>
      <c r="BA189" s="9">
        <v>11</v>
      </c>
      <c r="BB189" s="9">
        <v>11</v>
      </c>
      <c r="BC189" s="9">
        <v>13</v>
      </c>
      <c r="BD189" s="9">
        <v>13</v>
      </c>
      <c r="BE189" s="9">
        <v>9</v>
      </c>
      <c r="BF189" s="9">
        <v>11</v>
      </c>
      <c r="BG189" s="9">
        <v>11</v>
      </c>
      <c r="BH189" s="9">
        <v>10</v>
      </c>
      <c r="BI189" s="9">
        <v>9</v>
      </c>
      <c r="BJ189" s="9">
        <v>11</v>
      </c>
      <c r="BK189" s="9">
        <v>9</v>
      </c>
      <c r="BL189" s="9">
        <v>10</v>
      </c>
      <c r="BM189" s="9">
        <v>9</v>
      </c>
      <c r="BN189" s="9">
        <v>5</v>
      </c>
      <c r="BO189" s="9">
        <v>7</v>
      </c>
      <c r="BP189" s="9">
        <v>6</v>
      </c>
      <c r="BQ189" s="9">
        <v>5</v>
      </c>
      <c r="BR189" s="9">
        <v>5</v>
      </c>
      <c r="BS189" s="9">
        <v>5</v>
      </c>
      <c r="BT189" s="9">
        <v>3</v>
      </c>
      <c r="BU189" s="9">
        <v>3</v>
      </c>
      <c r="BV189" s="9">
        <v>1</v>
      </c>
      <c r="BW189" s="9">
        <v>1</v>
      </c>
      <c r="BX189" s="9">
        <v>1</v>
      </c>
      <c r="BY189" s="9">
        <v>2</v>
      </c>
      <c r="BZ189" s="9">
        <v>2</v>
      </c>
      <c r="CA189" s="9">
        <v>2</v>
      </c>
      <c r="CB189" s="9">
        <v>3</v>
      </c>
      <c r="CC189" s="9">
        <v>2</v>
      </c>
      <c r="CD189" s="9">
        <v>0</v>
      </c>
      <c r="CE189" s="9">
        <v>0</v>
      </c>
      <c r="CF189" s="9">
        <v>1</v>
      </c>
      <c r="CG189" s="9">
        <v>1</v>
      </c>
      <c r="CH189" s="9">
        <v>1</v>
      </c>
      <c r="CI189" s="9">
        <v>1</v>
      </c>
      <c r="CJ189" s="9">
        <v>1</v>
      </c>
      <c r="CK189" s="9">
        <v>2</v>
      </c>
      <c r="CL189" s="9">
        <v>1</v>
      </c>
      <c r="CM189" s="9">
        <v>1</v>
      </c>
      <c r="CN189" s="9">
        <v>4</v>
      </c>
      <c r="CO189" s="9">
        <v>6</v>
      </c>
      <c r="CP189" s="9">
        <v>6</v>
      </c>
      <c r="CQ189" s="9">
        <v>5</v>
      </c>
      <c r="CR189" s="9">
        <v>4</v>
      </c>
      <c r="CS189" s="9">
        <v>4</v>
      </c>
      <c r="CT189" s="9">
        <v>4</v>
      </c>
      <c r="CU189" s="9">
        <v>5</v>
      </c>
      <c r="CV189" s="9">
        <v>1</v>
      </c>
      <c r="CW189" s="9">
        <v>2</v>
      </c>
      <c r="CX189" s="9">
        <v>2</v>
      </c>
      <c r="CY189" s="9">
        <v>3</v>
      </c>
      <c r="CZ189" s="9">
        <v>3</v>
      </c>
      <c r="DA189" s="9">
        <v>3</v>
      </c>
      <c r="DB189" s="9">
        <v>3</v>
      </c>
      <c r="DC189" s="9">
        <v>3</v>
      </c>
      <c r="DD189" s="9">
        <v>2</v>
      </c>
      <c r="DE189" s="9">
        <v>1</v>
      </c>
      <c r="DF189" s="9">
        <v>1</v>
      </c>
      <c r="DG189" s="9">
        <v>1</v>
      </c>
      <c r="DH189" s="9">
        <v>1</v>
      </c>
      <c r="DI189" s="9">
        <v>1</v>
      </c>
      <c r="DJ189" s="9">
        <v>1</v>
      </c>
      <c r="DK189" s="9">
        <v>1</v>
      </c>
      <c r="DL189" s="9">
        <v>0</v>
      </c>
      <c r="DM189" s="9">
        <v>0</v>
      </c>
      <c r="DN189" s="9">
        <v>0</v>
      </c>
      <c r="DO189" s="9">
        <v>0</v>
      </c>
      <c r="DP189" s="9">
        <v>0</v>
      </c>
      <c r="DQ189" s="9">
        <v>0</v>
      </c>
      <c r="DR189" s="9">
        <v>0</v>
      </c>
      <c r="DS189" s="9">
        <v>0</v>
      </c>
      <c r="DT189" s="9">
        <v>0</v>
      </c>
      <c r="DU189" s="9">
        <v>0</v>
      </c>
      <c r="DV189" s="9">
        <v>0</v>
      </c>
      <c r="DW189" s="9">
        <v>0</v>
      </c>
      <c r="DX189" s="9">
        <v>0</v>
      </c>
      <c r="DY189" s="9">
        <v>0</v>
      </c>
      <c r="DZ189" s="9">
        <v>0</v>
      </c>
      <c r="EA189" s="9">
        <v>0</v>
      </c>
      <c r="EB189" s="9">
        <v>0</v>
      </c>
      <c r="EC189" s="9">
        <v>0</v>
      </c>
      <c r="ED189" s="9">
        <v>0</v>
      </c>
      <c r="EE189" s="9">
        <v>0</v>
      </c>
      <c r="EF189" s="9">
        <v>0</v>
      </c>
      <c r="EG189" s="9">
        <v>0</v>
      </c>
      <c r="EH189" s="9">
        <v>0</v>
      </c>
      <c r="EI189" s="9">
        <v>0</v>
      </c>
      <c r="EJ189" s="9">
        <v>0</v>
      </c>
      <c r="EK189" s="9">
        <v>0</v>
      </c>
      <c r="EL189" s="9">
        <v>0</v>
      </c>
      <c r="EM189" s="9">
        <v>0</v>
      </c>
      <c r="EN189" s="9">
        <v>0</v>
      </c>
      <c r="EO189" s="9">
        <v>0</v>
      </c>
      <c r="EP189" s="9">
        <v>0</v>
      </c>
      <c r="EQ189" s="9">
        <v>0</v>
      </c>
      <c r="ER189" s="9">
        <v>0</v>
      </c>
      <c r="ES189" s="9">
        <v>0</v>
      </c>
      <c r="ET189" s="9">
        <v>0</v>
      </c>
      <c r="EU189" s="9">
        <v>0</v>
      </c>
      <c r="EV189" s="9">
        <v>0</v>
      </c>
      <c r="EW189" s="9">
        <v>0</v>
      </c>
      <c r="EX189" s="9">
        <v>0</v>
      </c>
      <c r="EY189" s="9">
        <v>0</v>
      </c>
      <c r="EZ189" s="9">
        <v>0</v>
      </c>
      <c r="FA189" s="9">
        <v>0</v>
      </c>
      <c r="FB189" s="9">
        <v>0</v>
      </c>
      <c r="FC189" s="9">
        <v>0</v>
      </c>
      <c r="FD189" s="9">
        <v>0</v>
      </c>
      <c r="FE189" s="9">
        <v>0</v>
      </c>
      <c r="FF189" s="9">
        <v>0</v>
      </c>
      <c r="FG189" s="9">
        <v>0</v>
      </c>
      <c r="FH189" s="9">
        <v>0</v>
      </c>
      <c r="FI189" s="9">
        <v>0</v>
      </c>
      <c r="FJ189" s="9">
        <v>0</v>
      </c>
      <c r="FK189" s="9">
        <v>0</v>
      </c>
      <c r="FL189" s="9">
        <v>0</v>
      </c>
      <c r="FM189" s="10">
        <v>0</v>
      </c>
    </row>
    <row r="190" spans="1:169" x14ac:dyDescent="0.35">
      <c r="A190" s="8" t="s">
        <v>261</v>
      </c>
      <c r="B190" s="9" t="s">
        <v>330</v>
      </c>
      <c r="C190" s="10" t="s">
        <v>331</v>
      </c>
      <c r="D190" s="62">
        <f t="shared" si="99"/>
        <v>170</v>
      </c>
      <c r="E190" s="9">
        <v>3</v>
      </c>
      <c r="F190" s="9">
        <v>4</v>
      </c>
      <c r="G190" s="9">
        <v>7</v>
      </c>
      <c r="H190" s="9">
        <v>9</v>
      </c>
      <c r="I190" s="9">
        <v>15</v>
      </c>
      <c r="J190" s="9">
        <v>18</v>
      </c>
      <c r="K190" s="9">
        <v>30</v>
      </c>
      <c r="L190" s="9">
        <v>34</v>
      </c>
      <c r="M190" s="9">
        <v>41</v>
      </c>
      <c r="N190" s="9">
        <v>44</v>
      </c>
      <c r="O190" s="9">
        <v>53</v>
      </c>
      <c r="P190" s="9">
        <v>57</v>
      </c>
      <c r="Q190" s="9">
        <v>73</v>
      </c>
      <c r="R190" s="9">
        <v>79</v>
      </c>
      <c r="S190" s="9">
        <v>97</v>
      </c>
      <c r="T190" s="9">
        <v>127</v>
      </c>
      <c r="U190" s="9">
        <v>113</v>
      </c>
      <c r="V190" s="9">
        <v>118</v>
      </c>
      <c r="W190" s="9">
        <v>128</v>
      </c>
      <c r="X190" s="9">
        <v>149</v>
      </c>
      <c r="Y190" s="9">
        <v>151</v>
      </c>
      <c r="Z190" s="9">
        <v>170</v>
      </c>
      <c r="AA190" s="9">
        <v>162</v>
      </c>
      <c r="AB190" s="9">
        <v>165</v>
      </c>
      <c r="AC190" s="9">
        <v>166</v>
      </c>
      <c r="AD190" s="9">
        <v>152</v>
      </c>
      <c r="AE190" s="9">
        <v>152</v>
      </c>
      <c r="AF190" s="9">
        <v>164</v>
      </c>
      <c r="AG190" s="9">
        <v>161</v>
      </c>
      <c r="AH190" s="9">
        <v>149</v>
      </c>
      <c r="AI190" s="9">
        <v>145</v>
      </c>
      <c r="AJ190" s="9">
        <v>136</v>
      </c>
      <c r="AK190" s="9">
        <v>128</v>
      </c>
      <c r="AL190" s="9">
        <v>119</v>
      </c>
      <c r="AM190" s="9">
        <v>109</v>
      </c>
      <c r="AN190" s="9">
        <v>99</v>
      </c>
      <c r="AO190" s="9">
        <v>103</v>
      </c>
      <c r="AP190" s="9">
        <v>104</v>
      </c>
      <c r="AQ190" s="9">
        <v>100</v>
      </c>
      <c r="AR190" s="9">
        <v>98</v>
      </c>
      <c r="AS190" s="9">
        <v>89</v>
      </c>
      <c r="AT190" s="9">
        <v>88</v>
      </c>
      <c r="AU190" s="9">
        <v>76</v>
      </c>
      <c r="AV190" s="9">
        <v>88</v>
      </c>
      <c r="AW190" s="9">
        <v>96</v>
      </c>
      <c r="AX190" s="9">
        <v>99</v>
      </c>
      <c r="AY190" s="9">
        <v>90</v>
      </c>
      <c r="AZ190" s="9">
        <v>82</v>
      </c>
      <c r="BA190" s="9">
        <v>79</v>
      </c>
      <c r="BB190" s="9">
        <v>83</v>
      </c>
      <c r="BC190" s="9">
        <v>85</v>
      </c>
      <c r="BD190" s="9">
        <v>87</v>
      </c>
      <c r="BE190" s="9">
        <v>100</v>
      </c>
      <c r="BF190" s="9">
        <v>91</v>
      </c>
      <c r="BG190" s="9">
        <v>87</v>
      </c>
      <c r="BH190" s="9">
        <v>83</v>
      </c>
      <c r="BI190" s="9">
        <v>81</v>
      </c>
      <c r="BJ190" s="9">
        <v>79</v>
      </c>
      <c r="BK190" s="9">
        <v>80</v>
      </c>
      <c r="BL190" s="9">
        <v>86</v>
      </c>
      <c r="BM190" s="9">
        <v>83</v>
      </c>
      <c r="BN190" s="9">
        <v>81</v>
      </c>
      <c r="BO190" s="9">
        <v>80</v>
      </c>
      <c r="BP190" s="9">
        <v>75</v>
      </c>
      <c r="BQ190" s="9">
        <v>70</v>
      </c>
      <c r="BR190" s="9">
        <v>72</v>
      </c>
      <c r="BS190" s="9">
        <v>73</v>
      </c>
      <c r="BT190" s="9">
        <v>76</v>
      </c>
      <c r="BU190" s="9">
        <v>73</v>
      </c>
      <c r="BV190" s="9">
        <v>71</v>
      </c>
      <c r="BW190" s="9">
        <v>66</v>
      </c>
      <c r="BX190" s="9">
        <v>60</v>
      </c>
      <c r="BY190" s="9">
        <v>61</v>
      </c>
      <c r="BZ190" s="9">
        <v>57</v>
      </c>
      <c r="CA190" s="9">
        <v>54</v>
      </c>
      <c r="CB190" s="9">
        <v>54</v>
      </c>
      <c r="CC190" s="9">
        <v>48</v>
      </c>
      <c r="CD190" s="9">
        <v>41</v>
      </c>
      <c r="CE190" s="9">
        <v>37</v>
      </c>
      <c r="CF190" s="9">
        <v>42</v>
      </c>
      <c r="CG190" s="9">
        <v>46</v>
      </c>
      <c r="CH190" s="9">
        <v>37</v>
      </c>
      <c r="CI190" s="9">
        <v>34</v>
      </c>
      <c r="CJ190" s="9">
        <v>35</v>
      </c>
      <c r="CK190" s="9">
        <v>32</v>
      </c>
      <c r="CL190" s="9">
        <v>30</v>
      </c>
      <c r="CM190" s="9">
        <v>30</v>
      </c>
      <c r="CN190" s="9">
        <v>29</v>
      </c>
      <c r="CO190" s="9">
        <v>27</v>
      </c>
      <c r="CP190" s="9">
        <v>28</v>
      </c>
      <c r="CQ190" s="9">
        <v>27</v>
      </c>
      <c r="CR190" s="9">
        <v>25</v>
      </c>
      <c r="CS190" s="9">
        <v>22</v>
      </c>
      <c r="CT190" s="9">
        <v>17</v>
      </c>
      <c r="CU190" s="9">
        <v>19</v>
      </c>
      <c r="CV190" s="9">
        <v>15</v>
      </c>
      <c r="CW190" s="9">
        <v>14</v>
      </c>
      <c r="CX190" s="9">
        <v>16</v>
      </c>
      <c r="CY190" s="9">
        <v>19</v>
      </c>
      <c r="CZ190" s="9">
        <v>18</v>
      </c>
      <c r="DA190" s="9">
        <v>17</v>
      </c>
      <c r="DB190" s="9">
        <v>16</v>
      </c>
      <c r="DC190" s="9">
        <v>14</v>
      </c>
      <c r="DD190" s="9">
        <v>11</v>
      </c>
      <c r="DE190" s="9">
        <v>9</v>
      </c>
      <c r="DF190" s="9">
        <v>10</v>
      </c>
      <c r="DG190" s="9">
        <v>9</v>
      </c>
      <c r="DH190" s="9">
        <v>8</v>
      </c>
      <c r="DI190" s="9">
        <v>8</v>
      </c>
      <c r="DJ190" s="9">
        <v>10</v>
      </c>
      <c r="DK190" s="9">
        <v>10</v>
      </c>
      <c r="DL190" s="9">
        <v>11</v>
      </c>
      <c r="DM190" s="9">
        <v>11</v>
      </c>
      <c r="DN190" s="9">
        <v>11</v>
      </c>
      <c r="DO190" s="9">
        <v>10</v>
      </c>
      <c r="DP190" s="9">
        <v>9</v>
      </c>
      <c r="DQ190" s="9">
        <v>10</v>
      </c>
      <c r="DR190" s="9">
        <v>9</v>
      </c>
      <c r="DS190" s="9">
        <v>10</v>
      </c>
      <c r="DT190" s="9">
        <v>9</v>
      </c>
      <c r="DU190" s="9">
        <v>10</v>
      </c>
      <c r="DV190" s="9">
        <v>10</v>
      </c>
      <c r="DW190" s="9">
        <v>0</v>
      </c>
      <c r="DX190" s="9">
        <v>9</v>
      </c>
      <c r="DY190" s="9">
        <v>7</v>
      </c>
      <c r="DZ190" s="9">
        <v>5</v>
      </c>
      <c r="EA190" s="9">
        <v>9</v>
      </c>
      <c r="EB190" s="9">
        <v>10</v>
      </c>
      <c r="EC190" s="9">
        <v>11</v>
      </c>
      <c r="ED190" s="9">
        <v>11</v>
      </c>
      <c r="EE190" s="9">
        <v>7</v>
      </c>
      <c r="EF190" s="9">
        <v>7</v>
      </c>
      <c r="EG190" s="9">
        <v>9</v>
      </c>
      <c r="EH190" s="9">
        <v>8</v>
      </c>
      <c r="EI190" s="9">
        <v>8</v>
      </c>
      <c r="EJ190" s="9">
        <v>10</v>
      </c>
      <c r="EK190" s="9">
        <v>10</v>
      </c>
      <c r="EL190" s="9">
        <v>12</v>
      </c>
      <c r="EM190" s="9">
        <v>13</v>
      </c>
      <c r="EN190" s="9">
        <v>13</v>
      </c>
      <c r="EO190" s="9">
        <v>8</v>
      </c>
      <c r="EP190" s="9">
        <v>11</v>
      </c>
      <c r="EQ190" s="9">
        <v>11</v>
      </c>
      <c r="ER190" s="9">
        <v>11</v>
      </c>
      <c r="ES190" s="9">
        <v>12</v>
      </c>
      <c r="ET190" s="9">
        <v>13</v>
      </c>
      <c r="EU190" s="9">
        <v>11</v>
      </c>
      <c r="EV190" s="9">
        <v>10</v>
      </c>
      <c r="EW190" s="9">
        <v>8</v>
      </c>
      <c r="EX190" s="9">
        <v>9</v>
      </c>
      <c r="EY190" s="9">
        <v>10</v>
      </c>
      <c r="EZ190" s="9">
        <v>10</v>
      </c>
      <c r="FA190" s="9">
        <v>10</v>
      </c>
      <c r="FB190" s="9">
        <v>8</v>
      </c>
      <c r="FC190" s="9">
        <v>8</v>
      </c>
      <c r="FD190" s="9">
        <v>9</v>
      </c>
      <c r="FE190" s="9">
        <v>9</v>
      </c>
      <c r="FF190" s="9">
        <v>8</v>
      </c>
      <c r="FG190" s="9">
        <v>8</v>
      </c>
      <c r="FH190" s="9">
        <v>8</v>
      </c>
      <c r="FI190" s="9">
        <v>10</v>
      </c>
      <c r="FJ190" s="9">
        <v>10</v>
      </c>
      <c r="FK190" s="9">
        <v>11</v>
      </c>
      <c r="FL190" s="9">
        <v>10</v>
      </c>
      <c r="FM190" s="10">
        <v>10</v>
      </c>
    </row>
    <row r="191" spans="1:169" x14ac:dyDescent="0.35">
      <c r="A191" s="8" t="s">
        <v>261</v>
      </c>
      <c r="B191" s="9" t="s">
        <v>332</v>
      </c>
      <c r="C191" s="10" t="s">
        <v>333</v>
      </c>
      <c r="D191" s="62">
        <f t="shared" si="99"/>
        <v>33</v>
      </c>
      <c r="E191" s="9">
        <v>0</v>
      </c>
      <c r="F191" s="9">
        <v>0</v>
      </c>
      <c r="G191" s="9">
        <v>0</v>
      </c>
      <c r="H191" s="9">
        <v>0</v>
      </c>
      <c r="I191" s="9">
        <v>0</v>
      </c>
      <c r="J191" s="9">
        <v>0</v>
      </c>
      <c r="K191" s="9">
        <v>0</v>
      </c>
      <c r="L191" s="9">
        <v>0</v>
      </c>
      <c r="M191" s="9">
        <v>0</v>
      </c>
      <c r="N191" s="9">
        <v>0</v>
      </c>
      <c r="O191" s="9">
        <v>0</v>
      </c>
      <c r="P191" s="9">
        <v>0</v>
      </c>
      <c r="Q191" s="9">
        <v>0</v>
      </c>
      <c r="R191" s="9">
        <v>6</v>
      </c>
      <c r="S191" s="9">
        <v>6</v>
      </c>
      <c r="T191" s="9">
        <v>6</v>
      </c>
      <c r="U191" s="9">
        <v>4</v>
      </c>
      <c r="V191" s="9">
        <v>6</v>
      </c>
      <c r="W191" s="9">
        <v>0</v>
      </c>
      <c r="X191" s="9">
        <v>0</v>
      </c>
      <c r="Y191" s="9">
        <v>0</v>
      </c>
      <c r="Z191" s="9">
        <v>1</v>
      </c>
      <c r="AA191" s="9">
        <v>1</v>
      </c>
      <c r="AB191" s="9">
        <v>0</v>
      </c>
      <c r="AC191" s="9">
        <v>0</v>
      </c>
      <c r="AD191" s="9">
        <v>0</v>
      </c>
      <c r="AE191" s="9">
        <v>0</v>
      </c>
      <c r="AF191" s="9">
        <v>0</v>
      </c>
      <c r="AG191" s="9">
        <v>0</v>
      </c>
      <c r="AH191" s="9">
        <v>0</v>
      </c>
      <c r="AI191" s="9">
        <v>0</v>
      </c>
      <c r="AJ191" s="9">
        <v>0</v>
      </c>
      <c r="AK191" s="9">
        <v>0</v>
      </c>
      <c r="AL191" s="9">
        <v>0</v>
      </c>
      <c r="AM191" s="9">
        <v>0</v>
      </c>
      <c r="AN191" s="9">
        <v>1</v>
      </c>
      <c r="AO191" s="9">
        <v>1</v>
      </c>
      <c r="AP191" s="9">
        <v>1</v>
      </c>
      <c r="AQ191" s="9">
        <v>1</v>
      </c>
      <c r="AR191" s="9">
        <v>2</v>
      </c>
      <c r="AS191" s="9">
        <v>2</v>
      </c>
      <c r="AT191" s="9">
        <v>2</v>
      </c>
      <c r="AU191" s="9">
        <v>2</v>
      </c>
      <c r="AV191" s="9">
        <v>1</v>
      </c>
      <c r="AW191" s="9">
        <v>0</v>
      </c>
      <c r="AX191" s="9">
        <v>0</v>
      </c>
      <c r="AY191" s="9">
        <v>0</v>
      </c>
      <c r="AZ191" s="9">
        <v>0</v>
      </c>
      <c r="BA191" s="9">
        <v>0</v>
      </c>
      <c r="BB191" s="9">
        <v>0</v>
      </c>
      <c r="BC191" s="9">
        <v>0</v>
      </c>
      <c r="BD191" s="9">
        <v>0</v>
      </c>
      <c r="BE191" s="9">
        <v>1</v>
      </c>
      <c r="BF191" s="9">
        <v>1</v>
      </c>
      <c r="BG191" s="9">
        <v>1</v>
      </c>
      <c r="BH191" s="9">
        <v>1</v>
      </c>
      <c r="BI191" s="9">
        <v>3</v>
      </c>
      <c r="BJ191" s="9">
        <v>0</v>
      </c>
      <c r="BK191" s="9">
        <v>0</v>
      </c>
      <c r="BL191" s="9">
        <v>7</v>
      </c>
      <c r="BM191" s="9">
        <v>8</v>
      </c>
      <c r="BN191" s="9">
        <v>9</v>
      </c>
      <c r="BO191" s="9">
        <v>10</v>
      </c>
      <c r="BP191" s="9">
        <v>9</v>
      </c>
      <c r="BQ191" s="9">
        <v>9</v>
      </c>
      <c r="BR191" s="9">
        <v>9</v>
      </c>
      <c r="BS191" s="9">
        <v>6</v>
      </c>
      <c r="BT191" s="9">
        <v>5</v>
      </c>
      <c r="BU191" s="9">
        <v>5</v>
      </c>
      <c r="BV191" s="9">
        <v>6</v>
      </c>
      <c r="BW191" s="9">
        <v>6</v>
      </c>
      <c r="BX191" s="9">
        <v>8</v>
      </c>
      <c r="BY191" s="9">
        <v>8</v>
      </c>
      <c r="BZ191" s="9">
        <v>8</v>
      </c>
      <c r="CA191" s="9">
        <v>6</v>
      </c>
      <c r="CB191" s="9">
        <v>5</v>
      </c>
      <c r="CC191" s="9">
        <v>5</v>
      </c>
      <c r="CD191" s="9">
        <v>5</v>
      </c>
      <c r="CE191" s="9">
        <v>6</v>
      </c>
      <c r="CF191" s="9">
        <v>6</v>
      </c>
      <c r="CG191" s="9">
        <v>5</v>
      </c>
      <c r="CH191" s="9">
        <v>5</v>
      </c>
      <c r="CI191" s="9">
        <v>33</v>
      </c>
      <c r="CJ191" s="9">
        <v>6</v>
      </c>
      <c r="CK191" s="9">
        <v>3</v>
      </c>
      <c r="CL191" s="9">
        <v>3</v>
      </c>
      <c r="CM191" s="9">
        <v>3</v>
      </c>
      <c r="CN191" s="9">
        <v>3</v>
      </c>
      <c r="CO191" s="9">
        <v>3</v>
      </c>
      <c r="CP191" s="9">
        <v>3</v>
      </c>
      <c r="CQ191" s="9">
        <v>0</v>
      </c>
      <c r="CR191" s="9">
        <v>0</v>
      </c>
      <c r="CS191" s="9">
        <v>0</v>
      </c>
      <c r="CT191" s="9">
        <v>0</v>
      </c>
      <c r="CU191" s="9">
        <v>0</v>
      </c>
      <c r="CV191" s="9">
        <v>0</v>
      </c>
      <c r="CW191" s="9">
        <v>0</v>
      </c>
      <c r="CX191" s="9">
        <v>0</v>
      </c>
      <c r="CY191" s="9">
        <v>0</v>
      </c>
      <c r="CZ191" s="9">
        <v>0</v>
      </c>
      <c r="DA191" s="9">
        <v>0</v>
      </c>
      <c r="DB191" s="9">
        <v>0</v>
      </c>
      <c r="DC191" s="9">
        <v>0</v>
      </c>
      <c r="DD191" s="9">
        <v>0</v>
      </c>
      <c r="DE191" s="9">
        <v>0</v>
      </c>
      <c r="DF191" s="9">
        <v>0</v>
      </c>
      <c r="DG191" s="9">
        <v>0</v>
      </c>
      <c r="DH191" s="9">
        <v>0</v>
      </c>
      <c r="DI191" s="9">
        <v>0</v>
      </c>
      <c r="DJ191" s="9">
        <v>0</v>
      </c>
      <c r="DK191" s="9">
        <v>0</v>
      </c>
      <c r="DL191" s="9">
        <v>0</v>
      </c>
      <c r="DM191" s="9">
        <v>0</v>
      </c>
      <c r="DN191" s="9">
        <v>0</v>
      </c>
      <c r="DO191" s="9">
        <v>0</v>
      </c>
      <c r="DP191" s="9">
        <v>0</v>
      </c>
      <c r="DQ191" s="9">
        <v>0</v>
      </c>
      <c r="DR191" s="9">
        <v>0</v>
      </c>
      <c r="DS191" s="9">
        <v>0</v>
      </c>
      <c r="DT191" s="9">
        <v>0</v>
      </c>
      <c r="DU191" s="9">
        <v>0</v>
      </c>
      <c r="DV191" s="9">
        <v>0</v>
      </c>
      <c r="DW191" s="9">
        <v>0</v>
      </c>
      <c r="DX191" s="9">
        <v>0</v>
      </c>
      <c r="DY191" s="9">
        <v>0</v>
      </c>
      <c r="DZ191" s="9">
        <v>0</v>
      </c>
      <c r="EA191" s="9">
        <v>0</v>
      </c>
      <c r="EB191" s="9">
        <v>0</v>
      </c>
      <c r="EC191" s="9">
        <v>0</v>
      </c>
      <c r="ED191" s="9">
        <v>0</v>
      </c>
      <c r="EE191" s="9">
        <v>0</v>
      </c>
      <c r="EF191" s="9">
        <v>0</v>
      </c>
      <c r="EG191" s="9">
        <v>0</v>
      </c>
      <c r="EH191" s="9">
        <v>0</v>
      </c>
      <c r="EI191" s="9">
        <v>0</v>
      </c>
      <c r="EJ191" s="9">
        <v>0</v>
      </c>
      <c r="EK191" s="9">
        <v>0</v>
      </c>
      <c r="EL191" s="9">
        <v>0</v>
      </c>
      <c r="EM191" s="9">
        <v>0</v>
      </c>
      <c r="EN191" s="9">
        <v>0</v>
      </c>
      <c r="EO191" s="9">
        <v>0</v>
      </c>
      <c r="EP191" s="9">
        <v>0</v>
      </c>
      <c r="EQ191" s="9">
        <v>0</v>
      </c>
      <c r="ER191" s="9">
        <v>0</v>
      </c>
      <c r="ES191" s="9">
        <v>0</v>
      </c>
      <c r="ET191" s="9">
        <v>0</v>
      </c>
      <c r="EU191" s="9">
        <v>0</v>
      </c>
      <c r="EV191" s="9">
        <v>0</v>
      </c>
      <c r="EW191" s="9">
        <v>0</v>
      </c>
      <c r="EX191" s="9">
        <v>0</v>
      </c>
      <c r="EY191" s="9">
        <v>0</v>
      </c>
      <c r="EZ191" s="9">
        <v>0</v>
      </c>
      <c r="FA191" s="9">
        <v>0</v>
      </c>
      <c r="FB191" s="9">
        <v>0</v>
      </c>
      <c r="FC191" s="9">
        <v>0</v>
      </c>
      <c r="FD191" s="9">
        <v>0</v>
      </c>
      <c r="FE191" s="9">
        <v>0</v>
      </c>
      <c r="FF191" s="9">
        <v>0</v>
      </c>
      <c r="FG191" s="9">
        <v>0</v>
      </c>
      <c r="FH191" s="9">
        <v>0</v>
      </c>
      <c r="FI191" s="9">
        <v>0</v>
      </c>
      <c r="FJ191" s="9">
        <v>0</v>
      </c>
      <c r="FK191" s="9">
        <v>0</v>
      </c>
      <c r="FL191" s="9">
        <v>0</v>
      </c>
      <c r="FM191" s="10">
        <v>0</v>
      </c>
    </row>
    <row r="192" spans="1:169" x14ac:dyDescent="0.35">
      <c r="A192" s="8" t="s">
        <v>261</v>
      </c>
      <c r="B192" s="9" t="s">
        <v>334</v>
      </c>
      <c r="C192" s="10" t="s">
        <v>335</v>
      </c>
      <c r="D192" s="62">
        <f t="shared" si="99"/>
        <v>135</v>
      </c>
      <c r="E192" s="9">
        <v>5</v>
      </c>
      <c r="F192" s="9">
        <v>4</v>
      </c>
      <c r="G192" s="9">
        <v>4</v>
      </c>
      <c r="H192" s="9">
        <v>4</v>
      </c>
      <c r="I192" s="9">
        <v>6</v>
      </c>
      <c r="J192" s="9">
        <v>9</v>
      </c>
      <c r="K192" s="9">
        <v>18</v>
      </c>
      <c r="L192" s="9">
        <v>26</v>
      </c>
      <c r="M192" s="9">
        <v>26</v>
      </c>
      <c r="N192" s="9">
        <v>36</v>
      </c>
      <c r="O192" s="9">
        <v>49</v>
      </c>
      <c r="P192" s="9">
        <v>51</v>
      </c>
      <c r="Q192" s="9">
        <v>47</v>
      </c>
      <c r="R192" s="9">
        <v>64</v>
      </c>
      <c r="S192" s="9">
        <v>73</v>
      </c>
      <c r="T192" s="9">
        <v>79</v>
      </c>
      <c r="U192" s="9">
        <v>97</v>
      </c>
      <c r="V192" s="9">
        <v>98</v>
      </c>
      <c r="W192" s="9">
        <v>109</v>
      </c>
      <c r="X192" s="9">
        <v>127</v>
      </c>
      <c r="Y192" s="9">
        <v>134</v>
      </c>
      <c r="Z192" s="9">
        <v>26</v>
      </c>
      <c r="AA192" s="9">
        <v>131</v>
      </c>
      <c r="AB192" s="9">
        <v>129</v>
      </c>
      <c r="AC192" s="9">
        <v>135</v>
      </c>
      <c r="AD192" s="9">
        <v>134</v>
      </c>
      <c r="AE192" s="9">
        <v>131</v>
      </c>
      <c r="AF192" s="9">
        <v>123</v>
      </c>
      <c r="AG192" s="9">
        <v>115</v>
      </c>
      <c r="AH192" s="9">
        <v>117</v>
      </c>
      <c r="AI192" s="9">
        <v>112</v>
      </c>
      <c r="AJ192" s="9">
        <v>109</v>
      </c>
      <c r="AK192" s="9">
        <v>109</v>
      </c>
      <c r="AL192" s="9">
        <v>116</v>
      </c>
      <c r="AM192" s="9">
        <v>115</v>
      </c>
      <c r="AN192" s="9">
        <v>119</v>
      </c>
      <c r="AO192" s="9">
        <v>118</v>
      </c>
      <c r="AP192" s="9">
        <v>112</v>
      </c>
      <c r="AQ192" s="9">
        <v>124</v>
      </c>
      <c r="AR192" s="9">
        <v>116</v>
      </c>
      <c r="AS192" s="9">
        <v>108</v>
      </c>
      <c r="AT192" s="9">
        <v>109</v>
      </c>
      <c r="AU192" s="9">
        <v>101</v>
      </c>
      <c r="AV192" s="9">
        <v>105</v>
      </c>
      <c r="AW192" s="9">
        <v>103</v>
      </c>
      <c r="AX192" s="9">
        <v>106</v>
      </c>
      <c r="AY192" s="9">
        <v>96</v>
      </c>
      <c r="AZ192" s="9">
        <v>91</v>
      </c>
      <c r="BA192" s="9">
        <v>87</v>
      </c>
      <c r="BB192" s="9">
        <v>81</v>
      </c>
      <c r="BC192" s="9">
        <v>80</v>
      </c>
      <c r="BD192" s="9">
        <v>81</v>
      </c>
      <c r="BE192" s="9">
        <v>79</v>
      </c>
      <c r="BF192" s="9">
        <v>76</v>
      </c>
      <c r="BG192" s="9">
        <v>71</v>
      </c>
      <c r="BH192" s="9">
        <v>69</v>
      </c>
      <c r="BI192" s="9">
        <v>69</v>
      </c>
      <c r="BJ192" s="9">
        <v>65</v>
      </c>
      <c r="BK192" s="9">
        <v>63</v>
      </c>
      <c r="BL192" s="9">
        <v>62</v>
      </c>
      <c r="BM192" s="9">
        <v>63</v>
      </c>
      <c r="BN192" s="9">
        <v>59</v>
      </c>
      <c r="BO192" s="9">
        <v>54</v>
      </c>
      <c r="BP192" s="9">
        <v>55</v>
      </c>
      <c r="BQ192" s="9">
        <v>52</v>
      </c>
      <c r="BR192" s="9">
        <v>54</v>
      </c>
      <c r="BS192" s="9">
        <v>53</v>
      </c>
      <c r="BT192" s="9">
        <v>51</v>
      </c>
      <c r="BU192" s="9">
        <v>44</v>
      </c>
      <c r="BV192" s="9">
        <v>42</v>
      </c>
      <c r="BW192" s="9">
        <v>41</v>
      </c>
      <c r="BX192" s="9">
        <v>36</v>
      </c>
      <c r="BY192" s="9">
        <v>35</v>
      </c>
      <c r="BZ192" s="9">
        <v>38</v>
      </c>
      <c r="CA192" s="9">
        <v>37</v>
      </c>
      <c r="CB192" s="9">
        <v>35</v>
      </c>
      <c r="CC192" s="9">
        <v>33</v>
      </c>
      <c r="CD192" s="9">
        <v>30</v>
      </c>
      <c r="CE192" s="9">
        <v>26</v>
      </c>
      <c r="CF192" s="9">
        <v>23</v>
      </c>
      <c r="CG192" s="9">
        <v>24</v>
      </c>
      <c r="CH192" s="9">
        <v>20</v>
      </c>
      <c r="CI192" s="9">
        <v>20</v>
      </c>
      <c r="CJ192" s="9">
        <v>21</v>
      </c>
      <c r="CK192" s="9">
        <v>21</v>
      </c>
      <c r="CL192" s="9">
        <v>21</v>
      </c>
      <c r="CM192" s="9">
        <v>21</v>
      </c>
      <c r="CN192" s="9">
        <v>26</v>
      </c>
      <c r="CO192" s="9">
        <v>24</v>
      </c>
      <c r="CP192" s="9">
        <v>23</v>
      </c>
      <c r="CQ192" s="9">
        <v>22</v>
      </c>
      <c r="CR192" s="9">
        <v>22</v>
      </c>
      <c r="CS192" s="9">
        <v>19</v>
      </c>
      <c r="CT192" s="9">
        <v>19</v>
      </c>
      <c r="CU192" s="9">
        <v>20</v>
      </c>
      <c r="CV192" s="9">
        <v>20</v>
      </c>
      <c r="CW192" s="9">
        <v>17</v>
      </c>
      <c r="CX192" s="9">
        <v>16</v>
      </c>
      <c r="CY192" s="9">
        <v>13</v>
      </c>
      <c r="CZ192" s="9">
        <v>11</v>
      </c>
      <c r="DA192" s="9">
        <v>11</v>
      </c>
      <c r="DB192" s="9">
        <v>12</v>
      </c>
      <c r="DC192" s="9">
        <v>12</v>
      </c>
      <c r="DD192" s="9">
        <v>12</v>
      </c>
      <c r="DE192" s="9">
        <v>11</v>
      </c>
      <c r="DF192" s="9">
        <v>11</v>
      </c>
      <c r="DG192" s="9">
        <v>3</v>
      </c>
      <c r="DH192" s="9">
        <v>3</v>
      </c>
      <c r="DI192" s="9">
        <v>8</v>
      </c>
      <c r="DJ192" s="9">
        <v>8</v>
      </c>
      <c r="DK192" s="9">
        <v>8</v>
      </c>
      <c r="DL192" s="9">
        <v>7</v>
      </c>
      <c r="DM192" s="9">
        <v>8</v>
      </c>
      <c r="DN192" s="9">
        <v>5</v>
      </c>
      <c r="DO192" s="9">
        <v>5</v>
      </c>
      <c r="DP192" s="9">
        <v>5</v>
      </c>
      <c r="DQ192" s="9">
        <v>5</v>
      </c>
      <c r="DR192" s="9">
        <v>5</v>
      </c>
      <c r="DS192" s="9">
        <v>5</v>
      </c>
      <c r="DT192" s="9">
        <v>5</v>
      </c>
      <c r="DU192" s="9">
        <v>5</v>
      </c>
      <c r="DV192" s="9">
        <v>5</v>
      </c>
      <c r="DW192" s="9">
        <v>5</v>
      </c>
      <c r="DX192" s="9">
        <v>4</v>
      </c>
      <c r="DY192" s="9">
        <v>4</v>
      </c>
      <c r="DZ192" s="9">
        <v>3</v>
      </c>
      <c r="EA192" s="9">
        <v>2</v>
      </c>
      <c r="EB192" s="9">
        <v>2</v>
      </c>
      <c r="EC192" s="9">
        <v>3</v>
      </c>
      <c r="ED192" s="9">
        <v>3</v>
      </c>
      <c r="EE192" s="9">
        <v>4</v>
      </c>
      <c r="EF192" s="9">
        <v>4</v>
      </c>
      <c r="EG192" s="9">
        <v>4</v>
      </c>
      <c r="EH192" s="9">
        <v>4</v>
      </c>
      <c r="EI192" s="9">
        <v>4</v>
      </c>
      <c r="EJ192" s="9">
        <v>3</v>
      </c>
      <c r="EK192" s="9">
        <v>2</v>
      </c>
      <c r="EL192" s="9">
        <v>2</v>
      </c>
      <c r="EM192" s="9">
        <v>2</v>
      </c>
      <c r="EN192" s="9">
        <v>2</v>
      </c>
      <c r="EO192" s="9">
        <v>2</v>
      </c>
      <c r="EP192" s="9">
        <v>2</v>
      </c>
      <c r="EQ192" s="9">
        <v>2</v>
      </c>
      <c r="ER192" s="9">
        <v>3</v>
      </c>
      <c r="ES192" s="9">
        <v>3</v>
      </c>
      <c r="ET192" s="9">
        <v>2</v>
      </c>
      <c r="EU192" s="9">
        <v>2</v>
      </c>
      <c r="EV192" s="9">
        <v>2</v>
      </c>
      <c r="EW192" s="9">
        <v>2</v>
      </c>
      <c r="EX192" s="9">
        <v>2</v>
      </c>
      <c r="EY192" s="9">
        <v>2</v>
      </c>
      <c r="EZ192" s="9">
        <v>1</v>
      </c>
      <c r="FA192" s="9">
        <v>3</v>
      </c>
      <c r="FB192" s="9">
        <v>2</v>
      </c>
      <c r="FC192" s="9">
        <v>3</v>
      </c>
      <c r="FD192" s="9">
        <v>4</v>
      </c>
      <c r="FE192" s="9">
        <v>4</v>
      </c>
      <c r="FF192" s="9">
        <v>4</v>
      </c>
      <c r="FG192" s="9">
        <v>4</v>
      </c>
      <c r="FH192" s="9">
        <v>4</v>
      </c>
      <c r="FI192" s="9">
        <v>3</v>
      </c>
      <c r="FJ192" s="9">
        <v>3</v>
      </c>
      <c r="FK192" s="9">
        <v>3</v>
      </c>
      <c r="FL192" s="9">
        <v>3</v>
      </c>
      <c r="FM192" s="10">
        <v>3</v>
      </c>
    </row>
    <row r="193" spans="1:169" x14ac:dyDescent="0.35">
      <c r="A193" s="8" t="s">
        <v>261</v>
      </c>
      <c r="B193" s="9" t="s">
        <v>336</v>
      </c>
      <c r="C193" s="10" t="s">
        <v>337</v>
      </c>
      <c r="D193" s="62">
        <f t="shared" si="99"/>
        <v>0</v>
      </c>
      <c r="E193" s="9">
        <v>0</v>
      </c>
      <c r="F193" s="9">
        <v>0</v>
      </c>
      <c r="G193" s="9">
        <v>0</v>
      </c>
      <c r="H193" s="9">
        <v>0</v>
      </c>
      <c r="I193" s="9">
        <v>0</v>
      </c>
      <c r="J193" s="9">
        <v>0</v>
      </c>
      <c r="K193" s="9">
        <v>0</v>
      </c>
      <c r="L193" s="9">
        <v>0</v>
      </c>
      <c r="M193" s="9">
        <v>0</v>
      </c>
      <c r="N193" s="9">
        <v>0</v>
      </c>
      <c r="O193" s="9">
        <v>0</v>
      </c>
      <c r="P193" s="9">
        <v>0</v>
      </c>
      <c r="Q193" s="9">
        <v>0</v>
      </c>
      <c r="R193" s="9">
        <v>0</v>
      </c>
      <c r="S193" s="9">
        <v>0</v>
      </c>
      <c r="T193" s="9">
        <v>0</v>
      </c>
      <c r="U193" s="9">
        <v>0</v>
      </c>
      <c r="V193" s="9">
        <v>0</v>
      </c>
      <c r="W193" s="9">
        <v>0</v>
      </c>
      <c r="X193" s="9">
        <v>0</v>
      </c>
      <c r="Y193" s="9">
        <v>0</v>
      </c>
      <c r="Z193" s="9">
        <v>0</v>
      </c>
      <c r="AA193" s="9">
        <v>0</v>
      </c>
      <c r="AB193" s="9">
        <v>0</v>
      </c>
      <c r="AC193" s="9">
        <v>0</v>
      </c>
      <c r="AD193" s="9">
        <v>0</v>
      </c>
      <c r="AE193" s="9">
        <v>0</v>
      </c>
      <c r="AF193" s="9">
        <v>0</v>
      </c>
      <c r="AG193" s="9">
        <v>0</v>
      </c>
      <c r="AH193" s="9">
        <v>0</v>
      </c>
      <c r="AI193" s="9">
        <v>0</v>
      </c>
      <c r="AJ193" s="9">
        <v>0</v>
      </c>
      <c r="AK193" s="9">
        <v>0</v>
      </c>
      <c r="AL193" s="9">
        <v>0</v>
      </c>
      <c r="AM193" s="9">
        <v>0</v>
      </c>
      <c r="AN193" s="9">
        <v>0</v>
      </c>
      <c r="AO193" s="9">
        <v>0</v>
      </c>
      <c r="AP193" s="9">
        <v>0</v>
      </c>
      <c r="AQ193" s="9">
        <v>0</v>
      </c>
      <c r="AR193" s="9">
        <v>0</v>
      </c>
      <c r="AS193" s="9">
        <v>0</v>
      </c>
      <c r="AT193" s="9">
        <v>0</v>
      </c>
      <c r="AU193" s="9">
        <v>0</v>
      </c>
      <c r="AV193" s="9">
        <v>0</v>
      </c>
      <c r="AW193" s="9">
        <v>0</v>
      </c>
      <c r="AX193" s="9">
        <v>0</v>
      </c>
      <c r="AY193" s="9">
        <v>0</v>
      </c>
      <c r="AZ193" s="9">
        <v>0</v>
      </c>
      <c r="BA193" s="9">
        <v>0</v>
      </c>
      <c r="BB193" s="9">
        <v>0</v>
      </c>
      <c r="BC193" s="9">
        <v>0</v>
      </c>
      <c r="BD193" s="9">
        <v>0</v>
      </c>
      <c r="BE193" s="9">
        <v>0</v>
      </c>
      <c r="BF193" s="9">
        <v>0</v>
      </c>
      <c r="BG193" s="9">
        <v>0</v>
      </c>
      <c r="BH193" s="9">
        <v>0</v>
      </c>
      <c r="BI193" s="9">
        <v>0</v>
      </c>
      <c r="BJ193" s="9">
        <v>0</v>
      </c>
      <c r="BK193" s="9">
        <v>0</v>
      </c>
      <c r="BL193" s="9">
        <v>0</v>
      </c>
      <c r="BM193" s="9">
        <v>0</v>
      </c>
      <c r="BN193" s="9">
        <v>0</v>
      </c>
      <c r="BO193" s="9">
        <v>0</v>
      </c>
      <c r="BP193" s="9">
        <v>0</v>
      </c>
      <c r="BQ193" s="9">
        <v>0</v>
      </c>
      <c r="BR193" s="9">
        <v>0</v>
      </c>
      <c r="BS193" s="9">
        <v>0</v>
      </c>
      <c r="BT193" s="9">
        <v>0</v>
      </c>
      <c r="BU193" s="9">
        <v>0</v>
      </c>
      <c r="BV193" s="9">
        <v>0</v>
      </c>
      <c r="BW193" s="9">
        <v>0</v>
      </c>
      <c r="BX193" s="9">
        <v>0</v>
      </c>
      <c r="BY193" s="9">
        <v>0</v>
      </c>
      <c r="BZ193" s="9">
        <v>0</v>
      </c>
      <c r="CA193" s="9">
        <v>0</v>
      </c>
      <c r="CB193" s="9">
        <v>0</v>
      </c>
      <c r="CC193" s="9">
        <v>0</v>
      </c>
      <c r="CD193" s="9">
        <v>0</v>
      </c>
      <c r="CE193" s="9">
        <v>0</v>
      </c>
      <c r="CF193" s="9">
        <v>0</v>
      </c>
      <c r="CG193" s="9">
        <v>0</v>
      </c>
      <c r="CH193" s="9">
        <v>0</v>
      </c>
      <c r="CI193" s="9">
        <v>0</v>
      </c>
      <c r="CJ193" s="9">
        <v>0</v>
      </c>
      <c r="CK193" s="9">
        <v>0</v>
      </c>
      <c r="CL193" s="9">
        <v>0</v>
      </c>
      <c r="CM193" s="9">
        <v>0</v>
      </c>
      <c r="CN193" s="9">
        <v>0</v>
      </c>
      <c r="CO193" s="9">
        <v>0</v>
      </c>
      <c r="CP193" s="9">
        <v>0</v>
      </c>
      <c r="CQ193" s="9">
        <v>0</v>
      </c>
      <c r="CR193" s="9">
        <v>0</v>
      </c>
      <c r="CS193" s="9">
        <v>0</v>
      </c>
      <c r="CT193" s="9">
        <v>0</v>
      </c>
      <c r="CU193" s="9">
        <v>0</v>
      </c>
      <c r="CV193" s="9">
        <v>0</v>
      </c>
      <c r="CW193" s="9">
        <v>0</v>
      </c>
      <c r="CX193" s="9">
        <v>0</v>
      </c>
      <c r="CY193" s="9">
        <v>0</v>
      </c>
      <c r="CZ193" s="9">
        <v>0</v>
      </c>
      <c r="DA193" s="9">
        <v>0</v>
      </c>
      <c r="DB193" s="9">
        <v>0</v>
      </c>
      <c r="DC193" s="9">
        <v>0</v>
      </c>
      <c r="DD193" s="9">
        <v>0</v>
      </c>
      <c r="DE193" s="9">
        <v>0</v>
      </c>
      <c r="DF193" s="9">
        <v>0</v>
      </c>
      <c r="DG193" s="9">
        <v>0</v>
      </c>
      <c r="DH193" s="9">
        <v>0</v>
      </c>
      <c r="DI193" s="9">
        <v>0</v>
      </c>
      <c r="DJ193" s="9">
        <v>0</v>
      </c>
      <c r="DK193" s="9">
        <v>0</v>
      </c>
      <c r="DL193" s="9">
        <v>0</v>
      </c>
      <c r="DM193" s="9">
        <v>0</v>
      </c>
      <c r="DN193" s="9">
        <v>0</v>
      </c>
      <c r="DO193" s="9">
        <v>0</v>
      </c>
      <c r="DP193" s="9">
        <v>0</v>
      </c>
      <c r="DQ193" s="9">
        <v>0</v>
      </c>
      <c r="DR193" s="9">
        <v>0</v>
      </c>
      <c r="DS193" s="9">
        <v>0</v>
      </c>
      <c r="DT193" s="9">
        <v>0</v>
      </c>
      <c r="DU193" s="9">
        <v>0</v>
      </c>
      <c r="DV193" s="9">
        <v>0</v>
      </c>
      <c r="DW193" s="9">
        <v>0</v>
      </c>
      <c r="DX193" s="9">
        <v>0</v>
      </c>
      <c r="DY193" s="9">
        <v>0</v>
      </c>
      <c r="DZ193" s="9">
        <v>0</v>
      </c>
      <c r="EA193" s="9">
        <v>0</v>
      </c>
      <c r="EB193" s="9">
        <v>0</v>
      </c>
      <c r="EC193" s="9">
        <v>0</v>
      </c>
      <c r="ED193" s="9">
        <v>0</v>
      </c>
      <c r="EE193" s="9">
        <v>0</v>
      </c>
      <c r="EF193" s="9">
        <v>0</v>
      </c>
      <c r="EG193" s="9">
        <v>0</v>
      </c>
      <c r="EH193" s="9">
        <v>0</v>
      </c>
      <c r="EI193" s="9">
        <v>0</v>
      </c>
      <c r="EJ193" s="9">
        <v>0</v>
      </c>
      <c r="EK193" s="9">
        <v>0</v>
      </c>
      <c r="EL193" s="9">
        <v>0</v>
      </c>
      <c r="EM193" s="9">
        <v>0</v>
      </c>
      <c r="EN193" s="9">
        <v>0</v>
      </c>
      <c r="EO193" s="9">
        <v>0</v>
      </c>
      <c r="EP193" s="9">
        <v>0</v>
      </c>
      <c r="EQ193" s="9">
        <v>0</v>
      </c>
      <c r="ER193" s="9">
        <v>0</v>
      </c>
      <c r="ES193" s="9">
        <v>0</v>
      </c>
      <c r="ET193" s="9">
        <v>0</v>
      </c>
      <c r="EU193" s="9">
        <v>0</v>
      </c>
      <c r="EV193" s="9">
        <v>0</v>
      </c>
      <c r="EW193" s="9">
        <v>0</v>
      </c>
      <c r="EX193" s="9">
        <v>0</v>
      </c>
      <c r="EY193" s="9">
        <v>0</v>
      </c>
      <c r="EZ193" s="9">
        <v>0</v>
      </c>
      <c r="FA193" s="9">
        <v>0</v>
      </c>
      <c r="FB193" s="9">
        <v>0</v>
      </c>
      <c r="FC193" s="9">
        <v>0</v>
      </c>
      <c r="FD193" s="9">
        <v>0</v>
      </c>
      <c r="FE193" s="9">
        <v>0</v>
      </c>
      <c r="FF193" s="9">
        <v>0</v>
      </c>
      <c r="FG193" s="9">
        <v>0</v>
      </c>
      <c r="FH193" s="9">
        <v>0</v>
      </c>
      <c r="FI193" s="9">
        <v>0</v>
      </c>
      <c r="FJ193" s="9">
        <v>0</v>
      </c>
      <c r="FK193" s="9">
        <v>0</v>
      </c>
      <c r="FL193" s="9">
        <v>0</v>
      </c>
      <c r="FM193" s="10">
        <v>0</v>
      </c>
    </row>
    <row r="194" spans="1:169" x14ac:dyDescent="0.35">
      <c r="A194" s="8" t="s">
        <v>261</v>
      </c>
      <c r="B194" s="9" t="s">
        <v>338</v>
      </c>
      <c r="C194" s="10" t="s">
        <v>339</v>
      </c>
      <c r="D194" s="62">
        <f t="shared" si="99"/>
        <v>14</v>
      </c>
      <c r="E194" s="9">
        <v>0</v>
      </c>
      <c r="F194" s="9">
        <v>0</v>
      </c>
      <c r="G194" s="9">
        <v>0</v>
      </c>
      <c r="H194" s="9">
        <v>0</v>
      </c>
      <c r="I194" s="9">
        <v>0</v>
      </c>
      <c r="J194" s="9">
        <v>0</v>
      </c>
      <c r="K194" s="9">
        <v>0</v>
      </c>
      <c r="L194" s="9">
        <v>0</v>
      </c>
      <c r="M194" s="9">
        <v>0</v>
      </c>
      <c r="N194" s="9">
        <v>0</v>
      </c>
      <c r="O194" s="9">
        <v>0</v>
      </c>
      <c r="P194" s="9">
        <v>0</v>
      </c>
      <c r="Q194" s="9">
        <v>0</v>
      </c>
      <c r="R194" s="9">
        <v>6</v>
      </c>
      <c r="S194" s="9">
        <v>6</v>
      </c>
      <c r="T194" s="9">
        <v>9</v>
      </c>
      <c r="U194" s="9">
        <v>9</v>
      </c>
      <c r="V194" s="9">
        <v>7</v>
      </c>
      <c r="W194" s="9">
        <v>8</v>
      </c>
      <c r="X194" s="9">
        <v>9</v>
      </c>
      <c r="Y194" s="9">
        <v>10</v>
      </c>
      <c r="Z194" s="9">
        <v>10</v>
      </c>
      <c r="AA194" s="9">
        <v>12</v>
      </c>
      <c r="AB194" s="9">
        <v>12</v>
      </c>
      <c r="AC194" s="9">
        <v>12</v>
      </c>
      <c r="AD194" s="9">
        <v>12</v>
      </c>
      <c r="AE194" s="9">
        <v>14</v>
      </c>
      <c r="AF194" s="9">
        <v>13</v>
      </c>
      <c r="AG194" s="9">
        <v>11</v>
      </c>
      <c r="AH194" s="9">
        <v>8</v>
      </c>
      <c r="AI194" s="9">
        <v>8</v>
      </c>
      <c r="AJ194" s="9">
        <v>8</v>
      </c>
      <c r="AK194" s="9">
        <v>7</v>
      </c>
      <c r="AL194" s="9">
        <v>7</v>
      </c>
      <c r="AM194" s="9">
        <v>5</v>
      </c>
      <c r="AN194" s="9">
        <v>6</v>
      </c>
      <c r="AO194" s="9">
        <v>6</v>
      </c>
      <c r="AP194" s="9">
        <v>6</v>
      </c>
      <c r="AQ194" s="9">
        <v>6</v>
      </c>
      <c r="AR194" s="9">
        <v>7</v>
      </c>
      <c r="AS194" s="9">
        <v>7</v>
      </c>
      <c r="AT194" s="9">
        <v>4</v>
      </c>
      <c r="AU194" s="9">
        <v>4</v>
      </c>
      <c r="AV194" s="9">
        <v>4</v>
      </c>
      <c r="AW194" s="9">
        <v>4</v>
      </c>
      <c r="AX194" s="9">
        <v>3</v>
      </c>
      <c r="AY194" s="9">
        <v>4</v>
      </c>
      <c r="AZ194" s="9">
        <v>2</v>
      </c>
      <c r="BA194" s="9">
        <v>2</v>
      </c>
      <c r="BB194" s="9">
        <v>1</v>
      </c>
      <c r="BC194" s="9">
        <v>1</v>
      </c>
      <c r="BD194" s="9">
        <v>2</v>
      </c>
      <c r="BE194" s="9">
        <v>2</v>
      </c>
      <c r="BF194" s="9">
        <v>2</v>
      </c>
      <c r="BG194" s="9">
        <v>1</v>
      </c>
      <c r="BH194" s="9">
        <v>1</v>
      </c>
      <c r="BI194" s="9">
        <v>1</v>
      </c>
      <c r="BJ194" s="9">
        <v>1</v>
      </c>
      <c r="BK194" s="9">
        <v>1</v>
      </c>
      <c r="BL194" s="9">
        <v>1</v>
      </c>
      <c r="BM194" s="9">
        <v>0</v>
      </c>
      <c r="BN194" s="9">
        <v>0</v>
      </c>
      <c r="BO194" s="9">
        <v>0</v>
      </c>
      <c r="BP194" s="9">
        <v>0</v>
      </c>
      <c r="BQ194" s="9">
        <v>0</v>
      </c>
      <c r="BR194" s="9">
        <v>0</v>
      </c>
      <c r="BS194" s="9">
        <v>0</v>
      </c>
      <c r="BT194" s="9">
        <v>0</v>
      </c>
      <c r="BU194" s="9">
        <v>0</v>
      </c>
      <c r="BV194" s="9">
        <v>0</v>
      </c>
      <c r="BW194" s="9">
        <v>0</v>
      </c>
      <c r="BX194" s="9">
        <v>0</v>
      </c>
      <c r="BY194" s="9">
        <v>0</v>
      </c>
      <c r="BZ194" s="9">
        <v>0</v>
      </c>
      <c r="CA194" s="9">
        <v>0</v>
      </c>
      <c r="CB194" s="9">
        <v>0</v>
      </c>
      <c r="CC194" s="9">
        <v>0</v>
      </c>
      <c r="CD194" s="9">
        <v>0</v>
      </c>
      <c r="CE194" s="9">
        <v>0</v>
      </c>
      <c r="CF194" s="9">
        <v>0</v>
      </c>
      <c r="CG194" s="9">
        <v>0</v>
      </c>
      <c r="CH194" s="9">
        <v>0</v>
      </c>
      <c r="CI194" s="9">
        <v>0</v>
      </c>
      <c r="CJ194" s="9">
        <v>0</v>
      </c>
      <c r="CK194" s="9">
        <v>0</v>
      </c>
      <c r="CL194" s="9">
        <v>0</v>
      </c>
      <c r="CM194" s="9">
        <v>0</v>
      </c>
      <c r="CN194" s="9">
        <v>0</v>
      </c>
      <c r="CO194" s="9">
        <v>0</v>
      </c>
      <c r="CP194" s="9">
        <v>0</v>
      </c>
      <c r="CQ194" s="9">
        <v>0</v>
      </c>
      <c r="CR194" s="9">
        <v>0</v>
      </c>
      <c r="CS194" s="9">
        <v>0</v>
      </c>
      <c r="CT194" s="9">
        <v>0</v>
      </c>
      <c r="CU194" s="9">
        <v>0</v>
      </c>
      <c r="CV194" s="9">
        <v>0</v>
      </c>
      <c r="CW194" s="9">
        <v>0</v>
      </c>
      <c r="CX194" s="9">
        <v>0</v>
      </c>
      <c r="CY194" s="9">
        <v>0</v>
      </c>
      <c r="CZ194" s="9">
        <v>0</v>
      </c>
      <c r="DA194" s="9">
        <v>0</v>
      </c>
      <c r="DB194" s="9">
        <v>0</v>
      </c>
      <c r="DC194" s="9">
        <v>0</v>
      </c>
      <c r="DD194" s="9">
        <v>0</v>
      </c>
      <c r="DE194" s="9">
        <v>0</v>
      </c>
      <c r="DF194" s="9">
        <v>0</v>
      </c>
      <c r="DG194" s="9">
        <v>0</v>
      </c>
      <c r="DH194" s="9">
        <v>0</v>
      </c>
      <c r="DI194" s="9">
        <v>0</v>
      </c>
      <c r="DJ194" s="9">
        <v>0</v>
      </c>
      <c r="DK194" s="9">
        <v>0</v>
      </c>
      <c r="DL194" s="9">
        <v>0</v>
      </c>
      <c r="DM194" s="9">
        <v>0</v>
      </c>
      <c r="DN194" s="9">
        <v>0</v>
      </c>
      <c r="DO194" s="9">
        <v>0</v>
      </c>
      <c r="DP194" s="9">
        <v>0</v>
      </c>
      <c r="DQ194" s="9">
        <v>0</v>
      </c>
      <c r="DR194" s="9">
        <v>0</v>
      </c>
      <c r="DS194" s="9">
        <v>0</v>
      </c>
      <c r="DT194" s="9">
        <v>0</v>
      </c>
      <c r="DU194" s="9">
        <v>0</v>
      </c>
      <c r="DV194" s="9">
        <v>0</v>
      </c>
      <c r="DW194" s="9">
        <v>0</v>
      </c>
      <c r="DX194" s="9">
        <v>0</v>
      </c>
      <c r="DY194" s="9">
        <v>0</v>
      </c>
      <c r="DZ194" s="9">
        <v>0</v>
      </c>
      <c r="EA194" s="9">
        <v>0</v>
      </c>
      <c r="EB194" s="9">
        <v>0</v>
      </c>
      <c r="EC194" s="9">
        <v>0</v>
      </c>
      <c r="ED194" s="9">
        <v>0</v>
      </c>
      <c r="EE194" s="9">
        <v>0</v>
      </c>
      <c r="EF194" s="9">
        <v>0</v>
      </c>
      <c r="EG194" s="9">
        <v>0</v>
      </c>
      <c r="EH194" s="9">
        <v>0</v>
      </c>
      <c r="EI194" s="9">
        <v>0</v>
      </c>
      <c r="EJ194" s="9">
        <v>0</v>
      </c>
      <c r="EK194" s="9">
        <v>0</v>
      </c>
      <c r="EL194" s="9">
        <v>0</v>
      </c>
      <c r="EM194" s="9">
        <v>0</v>
      </c>
      <c r="EN194" s="9">
        <v>0</v>
      </c>
      <c r="EO194" s="9">
        <v>0</v>
      </c>
      <c r="EP194" s="9">
        <v>0</v>
      </c>
      <c r="EQ194" s="9">
        <v>0</v>
      </c>
      <c r="ER194" s="9">
        <v>0</v>
      </c>
      <c r="ES194" s="9">
        <v>0</v>
      </c>
      <c r="ET194" s="9">
        <v>0</v>
      </c>
      <c r="EU194" s="9">
        <v>0</v>
      </c>
      <c r="EV194" s="9">
        <v>0</v>
      </c>
      <c r="EW194" s="9">
        <v>0</v>
      </c>
      <c r="EX194" s="9">
        <v>0</v>
      </c>
      <c r="EY194" s="9">
        <v>0</v>
      </c>
      <c r="EZ194" s="9">
        <v>0</v>
      </c>
      <c r="FA194" s="9">
        <v>0</v>
      </c>
      <c r="FB194" s="9">
        <v>0</v>
      </c>
      <c r="FC194" s="9">
        <v>0</v>
      </c>
      <c r="FD194" s="9">
        <v>0</v>
      </c>
      <c r="FE194" s="9">
        <v>0</v>
      </c>
      <c r="FF194" s="9">
        <v>0</v>
      </c>
      <c r="FG194" s="9">
        <v>0</v>
      </c>
      <c r="FH194" s="9">
        <v>0</v>
      </c>
      <c r="FI194" s="9">
        <v>0</v>
      </c>
      <c r="FJ194" s="9">
        <v>0</v>
      </c>
      <c r="FK194" s="9">
        <v>0</v>
      </c>
      <c r="FL194" s="9">
        <v>0</v>
      </c>
      <c r="FM194" s="10">
        <v>0</v>
      </c>
    </row>
    <row r="195" spans="1:169" x14ac:dyDescent="0.35">
      <c r="A195" s="8" t="s">
        <v>261</v>
      </c>
      <c r="B195" s="9" t="s">
        <v>340</v>
      </c>
      <c r="C195" s="10" t="s">
        <v>341</v>
      </c>
      <c r="D195" s="62">
        <f t="shared" si="99"/>
        <v>41</v>
      </c>
      <c r="E195" s="9">
        <v>0</v>
      </c>
      <c r="F195" s="9">
        <v>0</v>
      </c>
      <c r="G195" s="9">
        <v>0</v>
      </c>
      <c r="H195" s="9">
        <v>0</v>
      </c>
      <c r="I195" s="9">
        <v>0</v>
      </c>
      <c r="J195" s="9">
        <v>0</v>
      </c>
      <c r="K195" s="9">
        <v>5</v>
      </c>
      <c r="L195" s="9">
        <v>7</v>
      </c>
      <c r="M195" s="9">
        <v>7</v>
      </c>
      <c r="N195" s="9">
        <v>8</v>
      </c>
      <c r="O195" s="9">
        <v>8</v>
      </c>
      <c r="P195" s="9">
        <v>13</v>
      </c>
      <c r="Q195" s="9">
        <v>10</v>
      </c>
      <c r="R195" s="9">
        <v>10</v>
      </c>
      <c r="S195" s="9">
        <v>11</v>
      </c>
      <c r="T195" s="9">
        <v>13</v>
      </c>
      <c r="U195" s="9">
        <v>14</v>
      </c>
      <c r="V195" s="9">
        <v>11</v>
      </c>
      <c r="W195" s="9">
        <v>9</v>
      </c>
      <c r="X195" s="9">
        <v>9</v>
      </c>
      <c r="Y195" s="9">
        <v>8</v>
      </c>
      <c r="Z195" s="9">
        <v>6</v>
      </c>
      <c r="AA195" s="9">
        <v>5</v>
      </c>
      <c r="AB195" s="9">
        <v>5</v>
      </c>
      <c r="AC195" s="9">
        <v>5</v>
      </c>
      <c r="AD195" s="9">
        <v>5</v>
      </c>
      <c r="AE195" s="9">
        <v>5</v>
      </c>
      <c r="AF195" s="9">
        <v>4</v>
      </c>
      <c r="AG195" s="9">
        <v>4</v>
      </c>
      <c r="AH195" s="9">
        <v>1</v>
      </c>
      <c r="AI195" s="9">
        <v>4</v>
      </c>
      <c r="AJ195" s="9">
        <v>5</v>
      </c>
      <c r="AK195" s="9">
        <v>5</v>
      </c>
      <c r="AL195" s="9">
        <v>6</v>
      </c>
      <c r="AM195" s="9">
        <v>5</v>
      </c>
      <c r="AN195" s="9">
        <v>3</v>
      </c>
      <c r="AO195" s="9">
        <v>3</v>
      </c>
      <c r="AP195" s="9">
        <v>2</v>
      </c>
      <c r="AQ195" s="9">
        <v>2</v>
      </c>
      <c r="AR195" s="9">
        <v>2</v>
      </c>
      <c r="AS195" s="9">
        <v>2</v>
      </c>
      <c r="AT195" s="9">
        <v>1</v>
      </c>
      <c r="AU195" s="9">
        <v>1</v>
      </c>
      <c r="AV195" s="9">
        <v>1</v>
      </c>
      <c r="AW195" s="9">
        <v>1</v>
      </c>
      <c r="AX195" s="9">
        <v>1</v>
      </c>
      <c r="AY195" s="9">
        <v>1</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c r="CE195" s="9">
        <v>0</v>
      </c>
      <c r="CF195" s="9">
        <v>0</v>
      </c>
      <c r="CG195" s="9">
        <v>0</v>
      </c>
      <c r="CH195" s="9">
        <v>0</v>
      </c>
      <c r="CI195" s="9">
        <v>0</v>
      </c>
      <c r="CJ195" s="9">
        <v>0</v>
      </c>
      <c r="CK195" s="9">
        <v>0</v>
      </c>
      <c r="CL195" s="9">
        <v>0</v>
      </c>
      <c r="CM195" s="9">
        <v>0</v>
      </c>
      <c r="CN195" s="9">
        <v>0</v>
      </c>
      <c r="CO195" s="9">
        <v>0</v>
      </c>
      <c r="CP195" s="9">
        <v>0</v>
      </c>
      <c r="CQ195" s="9">
        <v>0</v>
      </c>
      <c r="CR195" s="9">
        <v>0</v>
      </c>
      <c r="CS195" s="9">
        <v>0</v>
      </c>
      <c r="CT195" s="9">
        <v>0</v>
      </c>
      <c r="CU195" s="9">
        <v>0</v>
      </c>
      <c r="CV195" s="9">
        <v>0</v>
      </c>
      <c r="CW195" s="9">
        <v>0</v>
      </c>
      <c r="CX195" s="9">
        <v>0</v>
      </c>
      <c r="CY195" s="9">
        <v>0</v>
      </c>
      <c r="CZ195" s="9">
        <v>1</v>
      </c>
      <c r="DA195" s="9">
        <v>1</v>
      </c>
      <c r="DB195" s="9">
        <v>1</v>
      </c>
      <c r="DC195" s="9">
        <v>1</v>
      </c>
      <c r="DD195" s="9">
        <v>1</v>
      </c>
      <c r="DE195" s="9">
        <v>1</v>
      </c>
      <c r="DF195" s="9">
        <v>1</v>
      </c>
      <c r="DG195" s="9">
        <v>1</v>
      </c>
      <c r="DH195" s="9">
        <v>1</v>
      </c>
      <c r="DI195" s="9">
        <v>0</v>
      </c>
      <c r="DJ195" s="9">
        <v>0</v>
      </c>
      <c r="DK195" s="9">
        <v>0</v>
      </c>
      <c r="DL195" s="9">
        <v>0</v>
      </c>
      <c r="DM195" s="9">
        <v>0</v>
      </c>
      <c r="DN195" s="9">
        <v>0</v>
      </c>
      <c r="DO195" s="9">
        <v>0</v>
      </c>
      <c r="DP195" s="9">
        <v>0</v>
      </c>
      <c r="DQ195" s="9">
        <v>0</v>
      </c>
      <c r="DR195" s="9">
        <v>0</v>
      </c>
      <c r="DS195" s="9">
        <v>0</v>
      </c>
      <c r="DT195" s="9">
        <v>0</v>
      </c>
      <c r="DU195" s="9">
        <v>0</v>
      </c>
      <c r="DV195" s="9">
        <v>0</v>
      </c>
      <c r="DW195" s="9">
        <v>0</v>
      </c>
      <c r="DX195" s="9">
        <v>0</v>
      </c>
      <c r="DY195" s="9">
        <v>0</v>
      </c>
      <c r="DZ195" s="9">
        <v>0</v>
      </c>
      <c r="EA195" s="9">
        <v>0</v>
      </c>
      <c r="EB195" s="9">
        <v>41</v>
      </c>
      <c r="EC195" s="9">
        <v>0</v>
      </c>
      <c r="ED195" s="9">
        <v>0</v>
      </c>
      <c r="EE195" s="9">
        <v>0</v>
      </c>
      <c r="EF195" s="9">
        <v>0</v>
      </c>
      <c r="EG195" s="9">
        <v>0</v>
      </c>
      <c r="EH195" s="9">
        <v>0</v>
      </c>
      <c r="EI195" s="9">
        <v>0</v>
      </c>
      <c r="EJ195" s="9">
        <v>0</v>
      </c>
      <c r="EK195" s="9">
        <v>0</v>
      </c>
      <c r="EL195" s="9">
        <v>0</v>
      </c>
      <c r="EM195" s="9">
        <v>0</v>
      </c>
      <c r="EN195" s="9">
        <v>0</v>
      </c>
      <c r="EO195" s="9">
        <v>0</v>
      </c>
      <c r="EP195" s="9">
        <v>0</v>
      </c>
      <c r="EQ195" s="9">
        <v>0</v>
      </c>
      <c r="ER195" s="9">
        <v>0</v>
      </c>
      <c r="ES195" s="9">
        <v>0</v>
      </c>
      <c r="ET195" s="9">
        <v>0</v>
      </c>
      <c r="EU195" s="9">
        <v>0</v>
      </c>
      <c r="EV195" s="9">
        <v>0</v>
      </c>
      <c r="EW195" s="9">
        <v>0</v>
      </c>
      <c r="EX195" s="9">
        <v>0</v>
      </c>
      <c r="EY195" s="9">
        <v>0</v>
      </c>
      <c r="EZ195" s="9">
        <v>0</v>
      </c>
      <c r="FA195" s="9">
        <v>0</v>
      </c>
      <c r="FB195" s="9">
        <v>0</v>
      </c>
      <c r="FC195" s="9">
        <v>0</v>
      </c>
      <c r="FD195" s="9">
        <v>0</v>
      </c>
      <c r="FE195" s="9">
        <v>0</v>
      </c>
      <c r="FF195" s="9">
        <v>0</v>
      </c>
      <c r="FG195" s="9">
        <v>0</v>
      </c>
      <c r="FH195" s="9">
        <v>0</v>
      </c>
      <c r="FI195" s="9">
        <v>0</v>
      </c>
      <c r="FJ195" s="9">
        <v>0</v>
      </c>
      <c r="FK195" s="9">
        <v>0</v>
      </c>
      <c r="FL195" s="9">
        <v>0</v>
      </c>
      <c r="FM195" s="10">
        <v>0</v>
      </c>
    </row>
    <row r="196" spans="1:169" x14ac:dyDescent="0.35">
      <c r="A196" s="8" t="s">
        <v>342</v>
      </c>
      <c r="B196" s="9" t="s">
        <v>343</v>
      </c>
      <c r="C196" s="10" t="s">
        <v>344</v>
      </c>
      <c r="D196" s="62">
        <f t="shared" si="99"/>
        <v>0</v>
      </c>
      <c r="E196" s="9">
        <v>0</v>
      </c>
      <c r="F196" s="9">
        <v>0</v>
      </c>
      <c r="G196" s="9">
        <v>0</v>
      </c>
      <c r="H196" s="9">
        <v>0</v>
      </c>
      <c r="I196" s="9">
        <v>0</v>
      </c>
      <c r="J196" s="9">
        <v>0</v>
      </c>
      <c r="K196" s="9">
        <v>0</v>
      </c>
      <c r="L196" s="9">
        <v>0</v>
      </c>
      <c r="M196" s="9">
        <v>0</v>
      </c>
      <c r="N196" s="9">
        <v>0</v>
      </c>
      <c r="O196" s="9">
        <v>0</v>
      </c>
      <c r="P196" s="9">
        <v>0</v>
      </c>
      <c r="Q196" s="9">
        <v>0</v>
      </c>
      <c r="R196" s="9">
        <v>0</v>
      </c>
      <c r="S196" s="9">
        <v>0</v>
      </c>
      <c r="T196" s="9">
        <v>0</v>
      </c>
      <c r="U196" s="9">
        <v>0</v>
      </c>
      <c r="V196" s="9">
        <v>0</v>
      </c>
      <c r="W196" s="9">
        <v>0</v>
      </c>
      <c r="X196" s="9">
        <v>0</v>
      </c>
      <c r="Y196" s="9">
        <v>0</v>
      </c>
      <c r="Z196" s="9">
        <v>0</v>
      </c>
      <c r="AA196" s="9">
        <v>0</v>
      </c>
      <c r="AB196" s="9">
        <v>0</v>
      </c>
      <c r="AC196" s="9">
        <v>0</v>
      </c>
      <c r="AD196" s="9">
        <v>0</v>
      </c>
      <c r="AE196" s="9">
        <v>0</v>
      </c>
      <c r="AF196" s="9">
        <v>0</v>
      </c>
      <c r="AG196" s="9">
        <v>0</v>
      </c>
      <c r="AH196" s="9">
        <v>0</v>
      </c>
      <c r="AI196" s="9">
        <v>0</v>
      </c>
      <c r="AJ196" s="9">
        <v>0</v>
      </c>
      <c r="AK196" s="9">
        <v>0</v>
      </c>
      <c r="AL196" s="9">
        <v>0</v>
      </c>
      <c r="AM196" s="9">
        <v>0</v>
      </c>
      <c r="AN196" s="9">
        <v>0</v>
      </c>
      <c r="AO196" s="9">
        <v>0</v>
      </c>
      <c r="AP196" s="9">
        <v>0</v>
      </c>
      <c r="AQ196" s="9">
        <v>0</v>
      </c>
      <c r="AR196" s="9">
        <v>0</v>
      </c>
      <c r="AS196" s="9">
        <v>0</v>
      </c>
      <c r="AT196" s="9">
        <v>0</v>
      </c>
      <c r="AU196" s="9">
        <v>0</v>
      </c>
      <c r="AV196" s="9">
        <v>0</v>
      </c>
      <c r="AW196" s="9">
        <v>0</v>
      </c>
      <c r="AX196" s="9">
        <v>0</v>
      </c>
      <c r="AY196" s="9">
        <v>0</v>
      </c>
      <c r="AZ196" s="9">
        <v>0</v>
      </c>
      <c r="BA196" s="9">
        <v>0</v>
      </c>
      <c r="BB196" s="9">
        <v>0</v>
      </c>
      <c r="BC196" s="9">
        <v>0</v>
      </c>
      <c r="BD196" s="9">
        <v>0</v>
      </c>
      <c r="BE196" s="9">
        <v>0</v>
      </c>
      <c r="BF196" s="9">
        <v>0</v>
      </c>
      <c r="BG196" s="9">
        <v>0</v>
      </c>
      <c r="BH196" s="9">
        <v>0</v>
      </c>
      <c r="BI196" s="9">
        <v>0</v>
      </c>
      <c r="BJ196" s="9">
        <v>0</v>
      </c>
      <c r="BK196" s="9">
        <v>0</v>
      </c>
      <c r="BL196" s="9">
        <v>0</v>
      </c>
      <c r="BM196" s="9">
        <v>0</v>
      </c>
      <c r="BN196" s="9">
        <v>0</v>
      </c>
      <c r="BO196" s="9">
        <v>0</v>
      </c>
      <c r="BP196" s="9">
        <v>0</v>
      </c>
      <c r="BQ196" s="9">
        <v>0</v>
      </c>
      <c r="BR196" s="9">
        <v>0</v>
      </c>
      <c r="BS196" s="9">
        <v>0</v>
      </c>
      <c r="BT196" s="9">
        <v>0</v>
      </c>
      <c r="BU196" s="9">
        <v>0</v>
      </c>
      <c r="BV196" s="9">
        <v>0</v>
      </c>
      <c r="BW196" s="9">
        <v>0</v>
      </c>
      <c r="BX196" s="9">
        <v>0</v>
      </c>
      <c r="BY196" s="9">
        <v>0</v>
      </c>
      <c r="BZ196" s="9">
        <v>0</v>
      </c>
      <c r="CA196" s="9">
        <v>0</v>
      </c>
      <c r="CB196" s="9">
        <v>0</v>
      </c>
      <c r="CC196" s="9">
        <v>0</v>
      </c>
      <c r="CD196" s="9">
        <v>0</v>
      </c>
      <c r="CE196" s="9">
        <v>0</v>
      </c>
      <c r="CF196" s="9">
        <v>0</v>
      </c>
      <c r="CG196" s="9">
        <v>0</v>
      </c>
      <c r="CH196" s="9">
        <v>0</v>
      </c>
      <c r="CI196" s="9">
        <v>0</v>
      </c>
      <c r="CJ196" s="9">
        <v>0</v>
      </c>
      <c r="CK196" s="9">
        <v>0</v>
      </c>
      <c r="CL196" s="9">
        <v>0</v>
      </c>
      <c r="CM196" s="9">
        <v>0</v>
      </c>
      <c r="CN196" s="9">
        <v>0</v>
      </c>
      <c r="CO196" s="9">
        <v>0</v>
      </c>
      <c r="CP196" s="9">
        <v>0</v>
      </c>
      <c r="CQ196" s="9">
        <v>0</v>
      </c>
      <c r="CR196" s="9">
        <v>0</v>
      </c>
      <c r="CS196" s="9">
        <v>0</v>
      </c>
      <c r="CT196" s="9">
        <v>0</v>
      </c>
      <c r="CU196" s="9">
        <v>0</v>
      </c>
      <c r="CV196" s="9">
        <v>0</v>
      </c>
      <c r="CW196" s="9">
        <v>0</v>
      </c>
      <c r="CX196" s="9">
        <v>0</v>
      </c>
      <c r="CY196" s="9">
        <v>0</v>
      </c>
      <c r="CZ196" s="9">
        <v>0</v>
      </c>
      <c r="DA196" s="9">
        <v>0</v>
      </c>
      <c r="DB196" s="9">
        <v>0</v>
      </c>
      <c r="DC196" s="9">
        <v>0</v>
      </c>
      <c r="DD196" s="9">
        <v>0</v>
      </c>
      <c r="DE196" s="9">
        <v>0</v>
      </c>
      <c r="DF196" s="9">
        <v>0</v>
      </c>
      <c r="DG196" s="9">
        <v>0</v>
      </c>
      <c r="DH196" s="9">
        <v>0</v>
      </c>
      <c r="DI196" s="9">
        <v>0</v>
      </c>
      <c r="DJ196" s="9">
        <v>0</v>
      </c>
      <c r="DK196" s="9">
        <v>0</v>
      </c>
      <c r="DL196" s="9">
        <v>0</v>
      </c>
      <c r="DM196" s="9">
        <v>0</v>
      </c>
      <c r="DN196" s="9">
        <v>0</v>
      </c>
      <c r="DO196" s="9">
        <v>0</v>
      </c>
      <c r="DP196" s="9">
        <v>0</v>
      </c>
      <c r="DQ196" s="9">
        <v>0</v>
      </c>
      <c r="DR196" s="9">
        <v>0</v>
      </c>
      <c r="DS196" s="9">
        <v>0</v>
      </c>
      <c r="DT196" s="9">
        <v>0</v>
      </c>
      <c r="DU196" s="9">
        <v>0</v>
      </c>
      <c r="DV196" s="9">
        <v>0</v>
      </c>
      <c r="DW196" s="9">
        <v>0</v>
      </c>
      <c r="DX196" s="9">
        <v>0</v>
      </c>
      <c r="DY196" s="9">
        <v>0</v>
      </c>
      <c r="DZ196" s="9">
        <v>0</v>
      </c>
      <c r="EA196" s="9">
        <v>0</v>
      </c>
      <c r="EB196" s="9">
        <v>0</v>
      </c>
      <c r="EC196" s="9">
        <v>0</v>
      </c>
      <c r="ED196" s="9">
        <v>0</v>
      </c>
      <c r="EE196" s="9">
        <v>0</v>
      </c>
      <c r="EF196" s="9">
        <v>0</v>
      </c>
      <c r="EG196" s="9">
        <v>0</v>
      </c>
      <c r="EH196" s="9">
        <v>0</v>
      </c>
      <c r="EI196" s="9">
        <v>0</v>
      </c>
      <c r="EJ196" s="9">
        <v>0</v>
      </c>
      <c r="EK196" s="9">
        <v>0</v>
      </c>
      <c r="EL196" s="9">
        <v>0</v>
      </c>
      <c r="EM196" s="9">
        <v>0</v>
      </c>
      <c r="EN196" s="9">
        <v>0</v>
      </c>
      <c r="EO196" s="9">
        <v>0</v>
      </c>
      <c r="EP196" s="9">
        <v>0</v>
      </c>
      <c r="EQ196" s="9">
        <v>0</v>
      </c>
      <c r="ER196" s="9">
        <v>0</v>
      </c>
      <c r="ES196" s="9">
        <v>0</v>
      </c>
      <c r="ET196" s="9">
        <v>0</v>
      </c>
      <c r="EU196" s="9">
        <v>0</v>
      </c>
      <c r="EV196" s="9">
        <v>0</v>
      </c>
      <c r="EW196" s="9">
        <v>0</v>
      </c>
      <c r="EX196" s="9">
        <v>0</v>
      </c>
      <c r="EY196" s="9">
        <v>0</v>
      </c>
      <c r="EZ196" s="9">
        <v>0</v>
      </c>
      <c r="FA196" s="9">
        <v>0</v>
      </c>
      <c r="FB196" s="9">
        <v>0</v>
      </c>
      <c r="FC196" s="9">
        <v>0</v>
      </c>
      <c r="FD196" s="9">
        <v>0</v>
      </c>
      <c r="FE196" s="9">
        <v>0</v>
      </c>
      <c r="FF196" s="9">
        <v>0</v>
      </c>
      <c r="FG196" s="9">
        <v>0</v>
      </c>
      <c r="FH196" s="9">
        <v>0</v>
      </c>
      <c r="FI196" s="9">
        <v>0</v>
      </c>
      <c r="FJ196" s="9">
        <v>0</v>
      </c>
      <c r="FK196" s="9">
        <v>0</v>
      </c>
      <c r="FL196" s="9">
        <v>0</v>
      </c>
      <c r="FM196" s="10">
        <v>0</v>
      </c>
    </row>
    <row r="197" spans="1:169" x14ac:dyDescent="0.35">
      <c r="A197" s="8" t="s">
        <v>342</v>
      </c>
      <c r="B197" s="9" t="s">
        <v>345</v>
      </c>
      <c r="C197" s="10" t="s">
        <v>346</v>
      </c>
      <c r="D197" s="62">
        <f t="shared" ref="D197:D260" si="100">MAX(E197:FM197)</f>
        <v>0</v>
      </c>
      <c r="E197" s="9">
        <v>0</v>
      </c>
      <c r="F197" s="9">
        <v>0</v>
      </c>
      <c r="G197" s="9">
        <v>0</v>
      </c>
      <c r="H197" s="9">
        <v>0</v>
      </c>
      <c r="I197" s="9">
        <v>0</v>
      </c>
      <c r="J197" s="9">
        <v>0</v>
      </c>
      <c r="K197" s="9">
        <v>0</v>
      </c>
      <c r="L197" s="9">
        <v>0</v>
      </c>
      <c r="M197" s="9">
        <v>0</v>
      </c>
      <c r="N197" s="9">
        <v>0</v>
      </c>
      <c r="O197" s="9">
        <v>0</v>
      </c>
      <c r="P197" s="9">
        <v>0</v>
      </c>
      <c r="Q197" s="9">
        <v>0</v>
      </c>
      <c r="R197" s="9">
        <v>0</v>
      </c>
      <c r="S197" s="9">
        <v>0</v>
      </c>
      <c r="T197" s="9">
        <v>0</v>
      </c>
      <c r="U197" s="9">
        <v>0</v>
      </c>
      <c r="V197" s="9">
        <v>0</v>
      </c>
      <c r="W197" s="9">
        <v>0</v>
      </c>
      <c r="X197" s="9">
        <v>0</v>
      </c>
      <c r="Y197" s="9">
        <v>0</v>
      </c>
      <c r="Z197" s="9">
        <v>0</v>
      </c>
      <c r="AA197" s="9">
        <v>0</v>
      </c>
      <c r="AB197" s="9">
        <v>0</v>
      </c>
      <c r="AC197" s="9">
        <v>0</v>
      </c>
      <c r="AD197" s="9">
        <v>0</v>
      </c>
      <c r="AE197" s="9">
        <v>0</v>
      </c>
      <c r="AF197" s="9">
        <v>0</v>
      </c>
      <c r="AG197" s="9">
        <v>0</v>
      </c>
      <c r="AH197" s="9">
        <v>0</v>
      </c>
      <c r="AI197" s="9">
        <v>0</v>
      </c>
      <c r="AJ197" s="9">
        <v>0</v>
      </c>
      <c r="AK197" s="9">
        <v>0</v>
      </c>
      <c r="AL197" s="9">
        <v>0</v>
      </c>
      <c r="AM197" s="9">
        <v>0</v>
      </c>
      <c r="AN197" s="9">
        <v>0</v>
      </c>
      <c r="AO197" s="9">
        <v>0</v>
      </c>
      <c r="AP197" s="9">
        <v>0</v>
      </c>
      <c r="AQ197" s="9">
        <v>0</v>
      </c>
      <c r="AR197" s="9">
        <v>0</v>
      </c>
      <c r="AS197" s="9">
        <v>0</v>
      </c>
      <c r="AT197" s="9">
        <v>0</v>
      </c>
      <c r="AU197" s="9">
        <v>0</v>
      </c>
      <c r="AV197" s="9">
        <v>0</v>
      </c>
      <c r="AW197" s="9">
        <v>0</v>
      </c>
      <c r="AX197" s="9">
        <v>0</v>
      </c>
      <c r="AY197" s="9">
        <v>0</v>
      </c>
      <c r="AZ197" s="9">
        <v>0</v>
      </c>
      <c r="BA197" s="9">
        <v>0</v>
      </c>
      <c r="BB197" s="9">
        <v>0</v>
      </c>
      <c r="BC197" s="9">
        <v>0</v>
      </c>
      <c r="BD197" s="9">
        <v>0</v>
      </c>
      <c r="BE197" s="9">
        <v>0</v>
      </c>
      <c r="BF197" s="9">
        <v>0</v>
      </c>
      <c r="BG197" s="9">
        <v>0</v>
      </c>
      <c r="BH197" s="9">
        <v>0</v>
      </c>
      <c r="BI197" s="9">
        <v>0</v>
      </c>
      <c r="BJ197" s="9">
        <v>0</v>
      </c>
      <c r="BK197" s="9">
        <v>0</v>
      </c>
      <c r="BL197" s="9">
        <v>0</v>
      </c>
      <c r="BM197" s="9">
        <v>0</v>
      </c>
      <c r="BN197" s="9">
        <v>0</v>
      </c>
      <c r="BO197" s="9">
        <v>0</v>
      </c>
      <c r="BP197" s="9">
        <v>0</v>
      </c>
      <c r="BQ197" s="9">
        <v>0</v>
      </c>
      <c r="BR197" s="9">
        <v>0</v>
      </c>
      <c r="BS197" s="9">
        <v>0</v>
      </c>
      <c r="BT197" s="9">
        <v>0</v>
      </c>
      <c r="BU197" s="9">
        <v>0</v>
      </c>
      <c r="BV197" s="9">
        <v>0</v>
      </c>
      <c r="BW197" s="9">
        <v>0</v>
      </c>
      <c r="BX197" s="9">
        <v>0</v>
      </c>
      <c r="BY197" s="9">
        <v>0</v>
      </c>
      <c r="BZ197" s="9">
        <v>0</v>
      </c>
      <c r="CA197" s="9">
        <v>0</v>
      </c>
      <c r="CB197" s="9">
        <v>0</v>
      </c>
      <c r="CC197" s="9">
        <v>0</v>
      </c>
      <c r="CD197" s="9">
        <v>0</v>
      </c>
      <c r="CE197" s="9">
        <v>0</v>
      </c>
      <c r="CF197" s="9">
        <v>0</v>
      </c>
      <c r="CG197" s="9">
        <v>0</v>
      </c>
      <c r="CH197" s="9">
        <v>0</v>
      </c>
      <c r="CI197" s="9">
        <v>0</v>
      </c>
      <c r="CJ197" s="9">
        <v>0</v>
      </c>
      <c r="CK197" s="9">
        <v>0</v>
      </c>
      <c r="CL197" s="9">
        <v>0</v>
      </c>
      <c r="CM197" s="9">
        <v>0</v>
      </c>
      <c r="CN197" s="9">
        <v>0</v>
      </c>
      <c r="CO197" s="9">
        <v>0</v>
      </c>
      <c r="CP197" s="9">
        <v>0</v>
      </c>
      <c r="CQ197" s="9">
        <v>0</v>
      </c>
      <c r="CR197" s="9">
        <v>0</v>
      </c>
      <c r="CS197" s="9">
        <v>0</v>
      </c>
      <c r="CT197" s="9">
        <v>0</v>
      </c>
      <c r="CU197" s="9">
        <v>0</v>
      </c>
      <c r="CV197" s="9">
        <v>0</v>
      </c>
      <c r="CW197" s="9">
        <v>0</v>
      </c>
      <c r="CX197" s="9">
        <v>0</v>
      </c>
      <c r="CY197" s="9">
        <v>0</v>
      </c>
      <c r="CZ197" s="9">
        <v>0</v>
      </c>
      <c r="DA197" s="9">
        <v>0</v>
      </c>
      <c r="DB197" s="9">
        <v>0</v>
      </c>
      <c r="DC197" s="9">
        <v>0</v>
      </c>
      <c r="DD197" s="9">
        <v>0</v>
      </c>
      <c r="DE197" s="9">
        <v>0</v>
      </c>
      <c r="DF197" s="9">
        <v>0</v>
      </c>
      <c r="DG197" s="9">
        <v>0</v>
      </c>
      <c r="DH197" s="9">
        <v>0</v>
      </c>
      <c r="DI197" s="9">
        <v>0</v>
      </c>
      <c r="DJ197" s="9">
        <v>0</v>
      </c>
      <c r="DK197" s="9">
        <v>0</v>
      </c>
      <c r="DL197" s="9">
        <v>0</v>
      </c>
      <c r="DM197" s="9">
        <v>0</v>
      </c>
      <c r="DN197" s="9">
        <v>0</v>
      </c>
      <c r="DO197" s="9">
        <v>0</v>
      </c>
      <c r="DP197" s="9">
        <v>0</v>
      </c>
      <c r="DQ197" s="9">
        <v>0</v>
      </c>
      <c r="DR197" s="9">
        <v>0</v>
      </c>
      <c r="DS197" s="9">
        <v>0</v>
      </c>
      <c r="DT197" s="9">
        <v>0</v>
      </c>
      <c r="DU197" s="9">
        <v>0</v>
      </c>
      <c r="DV197" s="9">
        <v>0</v>
      </c>
      <c r="DW197" s="9">
        <v>0</v>
      </c>
      <c r="DX197" s="9">
        <v>0</v>
      </c>
      <c r="DY197" s="9">
        <v>0</v>
      </c>
      <c r="DZ197" s="9">
        <v>0</v>
      </c>
      <c r="EA197" s="9">
        <v>0</v>
      </c>
      <c r="EB197" s="9">
        <v>0</v>
      </c>
      <c r="EC197" s="9">
        <v>0</v>
      </c>
      <c r="ED197" s="9">
        <v>0</v>
      </c>
      <c r="EE197" s="9">
        <v>0</v>
      </c>
      <c r="EF197" s="9">
        <v>0</v>
      </c>
      <c r="EG197" s="9">
        <v>0</v>
      </c>
      <c r="EH197" s="9">
        <v>0</v>
      </c>
      <c r="EI197" s="9">
        <v>0</v>
      </c>
      <c r="EJ197" s="9">
        <v>0</v>
      </c>
      <c r="EK197" s="9">
        <v>0</v>
      </c>
      <c r="EL197" s="9">
        <v>0</v>
      </c>
      <c r="EM197" s="9">
        <v>0</v>
      </c>
      <c r="EN197" s="9">
        <v>0</v>
      </c>
      <c r="EO197" s="9">
        <v>0</v>
      </c>
      <c r="EP197" s="9">
        <v>0</v>
      </c>
      <c r="EQ197" s="9">
        <v>0</v>
      </c>
      <c r="ER197" s="9">
        <v>0</v>
      </c>
      <c r="ES197" s="9">
        <v>0</v>
      </c>
      <c r="ET197" s="9">
        <v>0</v>
      </c>
      <c r="EU197" s="9">
        <v>0</v>
      </c>
      <c r="EV197" s="9">
        <v>0</v>
      </c>
      <c r="EW197" s="9">
        <v>0</v>
      </c>
      <c r="EX197" s="9">
        <v>0</v>
      </c>
      <c r="EY197" s="9">
        <v>0</v>
      </c>
      <c r="EZ197" s="9">
        <v>0</v>
      </c>
      <c r="FA197" s="9">
        <v>0</v>
      </c>
      <c r="FB197" s="9">
        <v>0</v>
      </c>
      <c r="FC197" s="9">
        <v>0</v>
      </c>
      <c r="FD197" s="9">
        <v>0</v>
      </c>
      <c r="FE197" s="9">
        <v>0</v>
      </c>
      <c r="FF197" s="9">
        <v>0</v>
      </c>
      <c r="FG197" s="9">
        <v>0</v>
      </c>
      <c r="FH197" s="9">
        <v>0</v>
      </c>
      <c r="FI197" s="9">
        <v>0</v>
      </c>
      <c r="FJ197" s="9">
        <v>0</v>
      </c>
      <c r="FK197" s="9">
        <v>0</v>
      </c>
      <c r="FL197" s="9">
        <v>0</v>
      </c>
      <c r="FM197" s="10">
        <v>0</v>
      </c>
    </row>
    <row r="198" spans="1:169" x14ac:dyDescent="0.35">
      <c r="A198" s="8" t="s">
        <v>342</v>
      </c>
      <c r="B198" s="9" t="s">
        <v>7</v>
      </c>
      <c r="C198" s="10" t="s">
        <v>8</v>
      </c>
      <c r="D198" s="62">
        <f t="shared" si="100"/>
        <v>11</v>
      </c>
      <c r="E198" s="9">
        <v>0</v>
      </c>
      <c r="F198" s="9">
        <v>0</v>
      </c>
      <c r="G198" s="9">
        <v>0</v>
      </c>
      <c r="H198" s="9">
        <v>0</v>
      </c>
      <c r="I198" s="9">
        <v>0</v>
      </c>
      <c r="J198" s="9">
        <v>0</v>
      </c>
      <c r="K198" s="9">
        <v>0</v>
      </c>
      <c r="L198" s="9">
        <v>0</v>
      </c>
      <c r="M198" s="9">
        <v>0</v>
      </c>
      <c r="N198" s="9">
        <v>0</v>
      </c>
      <c r="O198" s="9">
        <v>0</v>
      </c>
      <c r="P198" s="9">
        <v>0</v>
      </c>
      <c r="Q198" s="9">
        <v>0</v>
      </c>
      <c r="R198" s="9">
        <v>0</v>
      </c>
      <c r="S198" s="9">
        <v>0</v>
      </c>
      <c r="T198" s="9">
        <v>0</v>
      </c>
      <c r="U198" s="9">
        <v>0</v>
      </c>
      <c r="V198" s="9">
        <v>0</v>
      </c>
      <c r="W198" s="9">
        <v>0</v>
      </c>
      <c r="X198" s="9">
        <v>0</v>
      </c>
      <c r="Y198" s="9">
        <v>0</v>
      </c>
      <c r="Z198" s="9">
        <v>0</v>
      </c>
      <c r="AA198" s="9">
        <v>0</v>
      </c>
      <c r="AB198" s="9">
        <v>0</v>
      </c>
      <c r="AC198" s="9">
        <v>0</v>
      </c>
      <c r="AD198" s="9">
        <v>0</v>
      </c>
      <c r="AE198" s="9">
        <v>0</v>
      </c>
      <c r="AF198" s="9">
        <v>0</v>
      </c>
      <c r="AG198" s="9">
        <v>0</v>
      </c>
      <c r="AH198" s="9">
        <v>0</v>
      </c>
      <c r="AI198" s="9">
        <v>0</v>
      </c>
      <c r="AJ198" s="9">
        <v>0</v>
      </c>
      <c r="AK198" s="9">
        <v>0</v>
      </c>
      <c r="AL198" s="9">
        <v>0</v>
      </c>
      <c r="AM198" s="9">
        <v>0</v>
      </c>
      <c r="AN198" s="9">
        <v>0</v>
      </c>
      <c r="AO198" s="9">
        <v>0</v>
      </c>
      <c r="AP198" s="9">
        <v>0</v>
      </c>
      <c r="AQ198" s="9">
        <v>0</v>
      </c>
      <c r="AR198" s="9">
        <v>0</v>
      </c>
      <c r="AS198" s="9">
        <v>0</v>
      </c>
      <c r="AT198" s="9">
        <v>0</v>
      </c>
      <c r="AU198" s="9">
        <v>0</v>
      </c>
      <c r="AV198" s="9">
        <v>0</v>
      </c>
      <c r="AW198" s="9">
        <v>0</v>
      </c>
      <c r="AX198" s="9">
        <v>0</v>
      </c>
      <c r="AY198" s="9">
        <v>0</v>
      </c>
      <c r="AZ198" s="9">
        <v>0</v>
      </c>
      <c r="BA198" s="9">
        <v>0</v>
      </c>
      <c r="BB198" s="9">
        <v>0</v>
      </c>
      <c r="BC198" s="9">
        <v>0</v>
      </c>
      <c r="BD198" s="9">
        <v>0</v>
      </c>
      <c r="BE198" s="9">
        <v>0</v>
      </c>
      <c r="BF198" s="9">
        <v>0</v>
      </c>
      <c r="BG198" s="9">
        <v>0</v>
      </c>
      <c r="BH198" s="9">
        <v>0</v>
      </c>
      <c r="BI198" s="9">
        <v>5</v>
      </c>
      <c r="BJ198" s="9">
        <v>5</v>
      </c>
      <c r="BK198" s="9">
        <v>9</v>
      </c>
      <c r="BL198" s="9">
        <v>9</v>
      </c>
      <c r="BM198" s="9">
        <v>9</v>
      </c>
      <c r="BN198" s="9">
        <v>11</v>
      </c>
      <c r="BO198" s="9">
        <v>11</v>
      </c>
      <c r="BP198" s="9">
        <v>8</v>
      </c>
      <c r="BQ198" s="9">
        <v>7</v>
      </c>
      <c r="BR198" s="9">
        <v>8</v>
      </c>
      <c r="BS198" s="9">
        <v>8</v>
      </c>
      <c r="BT198" s="9">
        <v>8</v>
      </c>
      <c r="BU198" s="9">
        <v>7</v>
      </c>
      <c r="BV198" s="9">
        <v>7</v>
      </c>
      <c r="BW198" s="9">
        <v>7</v>
      </c>
      <c r="BX198" s="9">
        <v>7</v>
      </c>
      <c r="BY198" s="9">
        <v>7</v>
      </c>
      <c r="BZ198" s="9">
        <v>7</v>
      </c>
      <c r="CA198" s="9">
        <v>7</v>
      </c>
      <c r="CB198" s="9">
        <v>8</v>
      </c>
      <c r="CC198" s="9">
        <v>8</v>
      </c>
      <c r="CD198" s="9">
        <v>0</v>
      </c>
      <c r="CE198" s="9">
        <v>0</v>
      </c>
      <c r="CF198" s="9">
        <v>0</v>
      </c>
      <c r="CG198" s="9">
        <v>0</v>
      </c>
      <c r="CH198" s="9">
        <v>0</v>
      </c>
      <c r="CI198" s="9">
        <v>0</v>
      </c>
      <c r="CJ198" s="9">
        <v>0</v>
      </c>
      <c r="CK198" s="9">
        <v>0</v>
      </c>
      <c r="CL198" s="9">
        <v>0</v>
      </c>
      <c r="CM198" s="9">
        <v>0</v>
      </c>
      <c r="CN198" s="9">
        <v>0</v>
      </c>
      <c r="CO198" s="9">
        <v>0</v>
      </c>
      <c r="CP198" s="9">
        <v>0</v>
      </c>
      <c r="CQ198" s="9">
        <v>0</v>
      </c>
      <c r="CR198" s="9">
        <v>0</v>
      </c>
      <c r="CS198" s="9">
        <v>0</v>
      </c>
      <c r="CT198" s="9">
        <v>0</v>
      </c>
      <c r="CU198" s="9">
        <v>0</v>
      </c>
      <c r="CV198" s="9">
        <v>0</v>
      </c>
      <c r="CW198" s="9">
        <v>0</v>
      </c>
      <c r="CX198" s="9">
        <v>0</v>
      </c>
      <c r="CY198" s="9">
        <v>0</v>
      </c>
      <c r="CZ198" s="9">
        <v>0</v>
      </c>
      <c r="DA198" s="9">
        <v>0</v>
      </c>
      <c r="DB198" s="9">
        <v>0</v>
      </c>
      <c r="DC198" s="9">
        <v>0</v>
      </c>
      <c r="DD198" s="9">
        <v>0</v>
      </c>
      <c r="DE198" s="9">
        <v>0</v>
      </c>
      <c r="DF198" s="9">
        <v>0</v>
      </c>
      <c r="DG198" s="9">
        <v>0</v>
      </c>
      <c r="DH198" s="9">
        <v>0</v>
      </c>
      <c r="DI198" s="9">
        <v>0</v>
      </c>
      <c r="DJ198" s="9">
        <v>0</v>
      </c>
      <c r="DK198" s="9">
        <v>0</v>
      </c>
      <c r="DL198" s="9">
        <v>0</v>
      </c>
      <c r="DM198" s="9">
        <v>0</v>
      </c>
      <c r="DN198" s="9">
        <v>0</v>
      </c>
      <c r="DO198" s="9">
        <v>0</v>
      </c>
      <c r="DP198" s="9">
        <v>0</v>
      </c>
      <c r="DQ198" s="9">
        <v>0</v>
      </c>
      <c r="DR198" s="9">
        <v>0</v>
      </c>
      <c r="DS198" s="9">
        <v>0</v>
      </c>
      <c r="DT198" s="9">
        <v>0</v>
      </c>
      <c r="DU198" s="9">
        <v>0</v>
      </c>
      <c r="DV198" s="9">
        <v>0</v>
      </c>
      <c r="DW198" s="9">
        <v>0</v>
      </c>
      <c r="DX198" s="9">
        <v>0</v>
      </c>
      <c r="DY198" s="9">
        <v>0</v>
      </c>
      <c r="DZ198" s="9">
        <v>0</v>
      </c>
      <c r="EA198" s="9">
        <v>0</v>
      </c>
      <c r="EB198" s="9">
        <v>0</v>
      </c>
      <c r="EC198" s="9">
        <v>0</v>
      </c>
      <c r="ED198" s="9">
        <v>0</v>
      </c>
      <c r="EE198" s="9">
        <v>0</v>
      </c>
      <c r="EF198" s="9">
        <v>0</v>
      </c>
      <c r="EG198" s="9">
        <v>0</v>
      </c>
      <c r="EH198" s="9">
        <v>0</v>
      </c>
      <c r="EI198" s="9">
        <v>0</v>
      </c>
      <c r="EJ198" s="9">
        <v>0</v>
      </c>
      <c r="EK198" s="9">
        <v>0</v>
      </c>
      <c r="EL198" s="9">
        <v>0</v>
      </c>
      <c r="EM198" s="9">
        <v>0</v>
      </c>
      <c r="EN198" s="9">
        <v>0</v>
      </c>
      <c r="EO198" s="9">
        <v>0</v>
      </c>
      <c r="EP198" s="9">
        <v>0</v>
      </c>
      <c r="EQ198" s="9">
        <v>0</v>
      </c>
      <c r="ER198" s="9">
        <v>0</v>
      </c>
      <c r="ES198" s="9">
        <v>0</v>
      </c>
      <c r="ET198" s="9">
        <v>0</v>
      </c>
      <c r="EU198" s="9">
        <v>0</v>
      </c>
      <c r="EV198" s="9">
        <v>0</v>
      </c>
      <c r="EW198" s="9">
        <v>0</v>
      </c>
      <c r="EX198" s="9">
        <v>0</v>
      </c>
      <c r="EY198" s="9">
        <v>0</v>
      </c>
      <c r="EZ198" s="9">
        <v>0</v>
      </c>
      <c r="FA198" s="9">
        <v>0</v>
      </c>
      <c r="FB198" s="9">
        <v>0</v>
      </c>
      <c r="FC198" s="9">
        <v>0</v>
      </c>
      <c r="FD198" s="9">
        <v>0</v>
      </c>
      <c r="FE198" s="9">
        <v>0</v>
      </c>
      <c r="FF198" s="9">
        <v>0</v>
      </c>
      <c r="FG198" s="9">
        <v>0</v>
      </c>
      <c r="FH198" s="9">
        <v>0</v>
      </c>
      <c r="FI198" s="9">
        <v>0</v>
      </c>
      <c r="FJ198" s="9">
        <v>0</v>
      </c>
      <c r="FK198" s="9">
        <v>0</v>
      </c>
      <c r="FL198" s="9">
        <v>0</v>
      </c>
      <c r="FM198" s="10">
        <v>0</v>
      </c>
    </row>
    <row r="199" spans="1:169" x14ac:dyDescent="0.35">
      <c r="A199" s="8" t="s">
        <v>342</v>
      </c>
      <c r="B199" s="9" t="s">
        <v>13</v>
      </c>
      <c r="C199" s="10" t="s">
        <v>14</v>
      </c>
      <c r="D199" s="62">
        <f t="shared" si="100"/>
        <v>1</v>
      </c>
      <c r="E199" s="9">
        <v>0</v>
      </c>
      <c r="F199" s="9">
        <v>0</v>
      </c>
      <c r="G199" s="9">
        <v>0</v>
      </c>
      <c r="H199" s="9">
        <v>0</v>
      </c>
      <c r="I199" s="9">
        <v>0</v>
      </c>
      <c r="J199" s="9">
        <v>0</v>
      </c>
      <c r="K199" s="9">
        <v>0</v>
      </c>
      <c r="L199" s="9">
        <v>0</v>
      </c>
      <c r="M199" s="9">
        <v>0</v>
      </c>
      <c r="N199" s="9">
        <v>0</v>
      </c>
      <c r="O199" s="9">
        <v>0</v>
      </c>
      <c r="P199" s="9">
        <v>0</v>
      </c>
      <c r="Q199" s="9">
        <v>0</v>
      </c>
      <c r="R199" s="9">
        <v>0</v>
      </c>
      <c r="S199" s="9">
        <v>0</v>
      </c>
      <c r="T199" s="9">
        <v>0</v>
      </c>
      <c r="U199" s="9">
        <v>0</v>
      </c>
      <c r="V199" s="9">
        <v>0</v>
      </c>
      <c r="W199" s="9">
        <v>0</v>
      </c>
      <c r="X199" s="9">
        <v>0</v>
      </c>
      <c r="Y199" s="9">
        <v>0</v>
      </c>
      <c r="Z199" s="9">
        <v>0</v>
      </c>
      <c r="AA199" s="9">
        <v>0</v>
      </c>
      <c r="AB199" s="9">
        <v>0</v>
      </c>
      <c r="AC199" s="9">
        <v>0</v>
      </c>
      <c r="AD199" s="9">
        <v>0</v>
      </c>
      <c r="AE199" s="9">
        <v>0</v>
      </c>
      <c r="AF199" s="9">
        <v>0</v>
      </c>
      <c r="AG199" s="9">
        <v>0</v>
      </c>
      <c r="AH199" s="9">
        <v>0</v>
      </c>
      <c r="AI199" s="9">
        <v>0</v>
      </c>
      <c r="AJ199" s="9">
        <v>0</v>
      </c>
      <c r="AK199" s="9">
        <v>0</v>
      </c>
      <c r="AL199" s="9">
        <v>0</v>
      </c>
      <c r="AM199" s="9">
        <v>0</v>
      </c>
      <c r="AN199" s="9">
        <v>0</v>
      </c>
      <c r="AO199" s="9">
        <v>0</v>
      </c>
      <c r="AP199" s="9">
        <v>0</v>
      </c>
      <c r="AQ199" s="9">
        <v>0</v>
      </c>
      <c r="AR199" s="9">
        <v>0</v>
      </c>
      <c r="AS199" s="9">
        <v>0</v>
      </c>
      <c r="AT199" s="9">
        <v>0</v>
      </c>
      <c r="AU199" s="9">
        <v>0</v>
      </c>
      <c r="AV199" s="9">
        <v>0</v>
      </c>
      <c r="AW199" s="9">
        <v>0</v>
      </c>
      <c r="AX199" s="9">
        <v>0</v>
      </c>
      <c r="AY199" s="9">
        <v>0</v>
      </c>
      <c r="AZ199" s="9">
        <v>0</v>
      </c>
      <c r="BA199" s="9">
        <v>0</v>
      </c>
      <c r="BB199" s="9">
        <v>0</v>
      </c>
      <c r="BC199" s="9">
        <v>0</v>
      </c>
      <c r="BD199" s="9">
        <v>0</v>
      </c>
      <c r="BE199" s="9">
        <v>0</v>
      </c>
      <c r="BF199" s="9">
        <v>0</v>
      </c>
      <c r="BG199" s="9">
        <v>0</v>
      </c>
      <c r="BH199" s="9">
        <v>0</v>
      </c>
      <c r="BI199" s="9">
        <v>0</v>
      </c>
      <c r="BJ199" s="9">
        <v>0</v>
      </c>
      <c r="BK199" s="9">
        <v>0</v>
      </c>
      <c r="BL199" s="9">
        <v>0</v>
      </c>
      <c r="BM199" s="9">
        <v>0</v>
      </c>
      <c r="BN199" s="9">
        <v>0</v>
      </c>
      <c r="BO199" s="9">
        <v>0</v>
      </c>
      <c r="BP199" s="9">
        <v>0</v>
      </c>
      <c r="BQ199" s="9">
        <v>0</v>
      </c>
      <c r="BR199" s="9">
        <v>0</v>
      </c>
      <c r="BS199" s="9">
        <v>0</v>
      </c>
      <c r="BT199" s="9">
        <v>0</v>
      </c>
      <c r="BU199" s="9">
        <v>1</v>
      </c>
      <c r="BV199" s="9">
        <v>1</v>
      </c>
      <c r="BW199" s="9">
        <v>1</v>
      </c>
      <c r="BX199" s="9">
        <v>1</v>
      </c>
      <c r="BY199" s="9">
        <v>1</v>
      </c>
      <c r="BZ199" s="9">
        <v>1</v>
      </c>
      <c r="CA199" s="9">
        <v>1</v>
      </c>
      <c r="CB199" s="9">
        <v>1</v>
      </c>
      <c r="CC199" s="9">
        <v>1</v>
      </c>
      <c r="CD199" s="9">
        <v>1</v>
      </c>
      <c r="CE199" s="9">
        <v>1</v>
      </c>
      <c r="CF199" s="9">
        <v>1</v>
      </c>
      <c r="CG199" s="9">
        <v>1</v>
      </c>
      <c r="CH199" s="9">
        <v>1</v>
      </c>
      <c r="CI199" s="9">
        <v>1</v>
      </c>
      <c r="CJ199" s="9">
        <v>1</v>
      </c>
      <c r="CK199" s="9">
        <v>1</v>
      </c>
      <c r="CL199" s="9">
        <v>1</v>
      </c>
      <c r="CM199" s="9">
        <v>1</v>
      </c>
      <c r="CN199" s="9">
        <v>1</v>
      </c>
      <c r="CO199" s="9">
        <v>1</v>
      </c>
      <c r="CP199" s="9">
        <v>1</v>
      </c>
      <c r="CQ199" s="9">
        <v>0</v>
      </c>
      <c r="CR199" s="9">
        <v>0</v>
      </c>
      <c r="CS199" s="9">
        <v>0</v>
      </c>
      <c r="CT199" s="9">
        <v>0</v>
      </c>
      <c r="CU199" s="9">
        <v>0</v>
      </c>
      <c r="CV199" s="9">
        <v>0</v>
      </c>
      <c r="CW199" s="9">
        <v>0</v>
      </c>
      <c r="CX199" s="9">
        <v>0</v>
      </c>
      <c r="CY199" s="9">
        <v>0</v>
      </c>
      <c r="CZ199" s="9">
        <v>0</v>
      </c>
      <c r="DA199" s="9">
        <v>0</v>
      </c>
      <c r="DB199" s="9">
        <v>0</v>
      </c>
      <c r="DC199" s="9">
        <v>0</v>
      </c>
      <c r="DD199" s="9">
        <v>0</v>
      </c>
      <c r="DE199" s="9">
        <v>0</v>
      </c>
      <c r="DF199" s="9">
        <v>0</v>
      </c>
      <c r="DG199" s="9">
        <v>0</v>
      </c>
      <c r="DH199" s="9">
        <v>0</v>
      </c>
      <c r="DI199" s="9">
        <v>0</v>
      </c>
      <c r="DJ199" s="9">
        <v>0</v>
      </c>
      <c r="DK199" s="9">
        <v>0</v>
      </c>
      <c r="DL199" s="9">
        <v>0</v>
      </c>
      <c r="DM199" s="9">
        <v>0</v>
      </c>
      <c r="DN199" s="9">
        <v>0</v>
      </c>
      <c r="DO199" s="9">
        <v>0</v>
      </c>
      <c r="DP199" s="9">
        <v>0</v>
      </c>
      <c r="DQ199" s="9">
        <v>0</v>
      </c>
      <c r="DR199" s="9">
        <v>0</v>
      </c>
      <c r="DS199" s="9">
        <v>0</v>
      </c>
      <c r="DT199" s="9">
        <v>0</v>
      </c>
      <c r="DU199" s="9">
        <v>0</v>
      </c>
      <c r="DV199" s="9">
        <v>0</v>
      </c>
      <c r="DW199" s="9">
        <v>0</v>
      </c>
      <c r="DX199" s="9">
        <v>0</v>
      </c>
      <c r="DY199" s="9">
        <v>0</v>
      </c>
      <c r="DZ199" s="9">
        <v>0</v>
      </c>
      <c r="EA199" s="9">
        <v>0</v>
      </c>
      <c r="EB199" s="9">
        <v>0</v>
      </c>
      <c r="EC199" s="9">
        <v>0</v>
      </c>
      <c r="ED199" s="9">
        <v>0</v>
      </c>
      <c r="EE199" s="9">
        <v>0</v>
      </c>
      <c r="EF199" s="9">
        <v>0</v>
      </c>
      <c r="EG199" s="9">
        <v>0</v>
      </c>
      <c r="EH199" s="9">
        <v>0</v>
      </c>
      <c r="EI199" s="9">
        <v>0</v>
      </c>
      <c r="EJ199" s="9">
        <v>0</v>
      </c>
      <c r="EK199" s="9">
        <v>0</v>
      </c>
      <c r="EL199" s="9">
        <v>0</v>
      </c>
      <c r="EM199" s="9">
        <v>0</v>
      </c>
      <c r="EN199" s="9">
        <v>0</v>
      </c>
      <c r="EO199" s="9">
        <v>0</v>
      </c>
      <c r="EP199" s="9">
        <v>0</v>
      </c>
      <c r="EQ199" s="9">
        <v>0</v>
      </c>
      <c r="ER199" s="9">
        <v>0</v>
      </c>
      <c r="ES199" s="9">
        <v>0</v>
      </c>
      <c r="ET199" s="9">
        <v>0</v>
      </c>
      <c r="EU199" s="9">
        <v>0</v>
      </c>
      <c r="EV199" s="9">
        <v>0</v>
      </c>
      <c r="EW199" s="9">
        <v>0</v>
      </c>
      <c r="EX199" s="9">
        <v>0</v>
      </c>
      <c r="EY199" s="9">
        <v>0</v>
      </c>
      <c r="EZ199" s="9">
        <v>0</v>
      </c>
      <c r="FA199" s="9">
        <v>0</v>
      </c>
      <c r="FB199" s="9">
        <v>0</v>
      </c>
      <c r="FC199" s="9">
        <v>0</v>
      </c>
      <c r="FD199" s="9">
        <v>0</v>
      </c>
      <c r="FE199" s="9">
        <v>0</v>
      </c>
      <c r="FF199" s="9">
        <v>0</v>
      </c>
      <c r="FG199" s="9">
        <v>0</v>
      </c>
      <c r="FH199" s="9">
        <v>0</v>
      </c>
      <c r="FI199" s="9">
        <v>0</v>
      </c>
      <c r="FJ199" s="9">
        <v>0</v>
      </c>
      <c r="FK199" s="9">
        <v>0</v>
      </c>
      <c r="FL199" s="9">
        <v>0</v>
      </c>
      <c r="FM199" s="10">
        <v>0</v>
      </c>
    </row>
    <row r="200" spans="1:169" x14ac:dyDescent="0.35">
      <c r="A200" s="8" t="s">
        <v>342</v>
      </c>
      <c r="B200" s="9" t="s">
        <v>19</v>
      </c>
      <c r="C200" s="10" t="s">
        <v>20</v>
      </c>
      <c r="D200" s="62">
        <f t="shared" si="100"/>
        <v>0</v>
      </c>
      <c r="E200" s="9">
        <v>0</v>
      </c>
      <c r="F200" s="9">
        <v>0</v>
      </c>
      <c r="G200" s="9">
        <v>0</v>
      </c>
      <c r="H200" s="9">
        <v>0</v>
      </c>
      <c r="I200" s="9">
        <v>0</v>
      </c>
      <c r="J200" s="9">
        <v>0</v>
      </c>
      <c r="K200" s="9">
        <v>0</v>
      </c>
      <c r="L200" s="9">
        <v>0</v>
      </c>
      <c r="M200" s="9">
        <v>0</v>
      </c>
      <c r="N200" s="9">
        <v>0</v>
      </c>
      <c r="O200" s="9">
        <v>0</v>
      </c>
      <c r="P200" s="9">
        <v>0</v>
      </c>
      <c r="Q200" s="9">
        <v>0</v>
      </c>
      <c r="R200" s="9">
        <v>0</v>
      </c>
      <c r="S200" s="9">
        <v>0</v>
      </c>
      <c r="T200" s="9">
        <v>0</v>
      </c>
      <c r="U200" s="9">
        <v>0</v>
      </c>
      <c r="V200" s="9">
        <v>0</v>
      </c>
      <c r="W200" s="9">
        <v>0</v>
      </c>
      <c r="X200" s="9">
        <v>0</v>
      </c>
      <c r="Y200" s="9">
        <v>0</v>
      </c>
      <c r="Z200" s="9">
        <v>0</v>
      </c>
      <c r="AA200" s="9">
        <v>0</v>
      </c>
      <c r="AB200" s="9">
        <v>0</v>
      </c>
      <c r="AC200" s="9">
        <v>0</v>
      </c>
      <c r="AD200" s="9">
        <v>0</v>
      </c>
      <c r="AE200" s="9">
        <v>0</v>
      </c>
      <c r="AF200" s="9">
        <v>0</v>
      </c>
      <c r="AG200" s="9">
        <v>0</v>
      </c>
      <c r="AH200" s="9">
        <v>0</v>
      </c>
      <c r="AI200" s="9">
        <v>0</v>
      </c>
      <c r="AJ200" s="9">
        <v>0</v>
      </c>
      <c r="AK200" s="9">
        <v>0</v>
      </c>
      <c r="AL200" s="9">
        <v>0</v>
      </c>
      <c r="AM200" s="9">
        <v>0</v>
      </c>
      <c r="AN200" s="9">
        <v>0</v>
      </c>
      <c r="AO200" s="9">
        <v>0</v>
      </c>
      <c r="AP200" s="9">
        <v>0</v>
      </c>
      <c r="AQ200" s="9">
        <v>0</v>
      </c>
      <c r="AR200" s="9">
        <v>0</v>
      </c>
      <c r="AS200" s="9">
        <v>0</v>
      </c>
      <c r="AT200" s="9">
        <v>0</v>
      </c>
      <c r="AU200" s="9">
        <v>0</v>
      </c>
      <c r="AV200" s="9">
        <v>0</v>
      </c>
      <c r="AW200" s="9">
        <v>0</v>
      </c>
      <c r="AX200" s="9">
        <v>0</v>
      </c>
      <c r="AY200" s="9">
        <v>0</v>
      </c>
      <c r="AZ200" s="9">
        <v>0</v>
      </c>
      <c r="BA200" s="9">
        <v>0</v>
      </c>
      <c r="BB200" s="9">
        <v>0</v>
      </c>
      <c r="BC200" s="9">
        <v>0</v>
      </c>
      <c r="BD200" s="9">
        <v>0</v>
      </c>
      <c r="BE200" s="9">
        <v>0</v>
      </c>
      <c r="BF200" s="9">
        <v>0</v>
      </c>
      <c r="BG200" s="9">
        <v>0</v>
      </c>
      <c r="BH200" s="9">
        <v>0</v>
      </c>
      <c r="BI200" s="9">
        <v>0</v>
      </c>
      <c r="BJ200" s="9">
        <v>0</v>
      </c>
      <c r="BK200" s="9">
        <v>0</v>
      </c>
      <c r="BL200" s="9">
        <v>0</v>
      </c>
      <c r="BM200" s="9">
        <v>0</v>
      </c>
      <c r="BN200" s="9">
        <v>0</v>
      </c>
      <c r="BO200" s="9">
        <v>0</v>
      </c>
      <c r="BP200" s="9">
        <v>0</v>
      </c>
      <c r="BQ200" s="9">
        <v>0</v>
      </c>
      <c r="BR200" s="9">
        <v>0</v>
      </c>
      <c r="BS200" s="9">
        <v>0</v>
      </c>
      <c r="BT200" s="9">
        <v>0</v>
      </c>
      <c r="BU200" s="9">
        <v>0</v>
      </c>
      <c r="BV200" s="9">
        <v>0</v>
      </c>
      <c r="BW200" s="9">
        <v>0</v>
      </c>
      <c r="BX200" s="9">
        <v>0</v>
      </c>
      <c r="BY200" s="9">
        <v>0</v>
      </c>
      <c r="BZ200" s="9">
        <v>0</v>
      </c>
      <c r="CA200" s="9">
        <v>0</v>
      </c>
      <c r="CB200" s="9">
        <v>0</v>
      </c>
      <c r="CC200" s="9">
        <v>0</v>
      </c>
      <c r="CD200" s="9">
        <v>0</v>
      </c>
      <c r="CE200" s="9">
        <v>0</v>
      </c>
      <c r="CF200" s="9">
        <v>0</v>
      </c>
      <c r="CG200" s="9">
        <v>0</v>
      </c>
      <c r="CH200" s="9">
        <v>0</v>
      </c>
      <c r="CI200" s="9">
        <v>0</v>
      </c>
      <c r="CJ200" s="9">
        <v>0</v>
      </c>
      <c r="CK200" s="9">
        <v>0</v>
      </c>
      <c r="CL200" s="9">
        <v>0</v>
      </c>
      <c r="CM200" s="9">
        <v>0</v>
      </c>
      <c r="CN200" s="9">
        <v>0</v>
      </c>
      <c r="CO200" s="9">
        <v>0</v>
      </c>
      <c r="CP200" s="9">
        <v>0</v>
      </c>
      <c r="CQ200" s="9">
        <v>0</v>
      </c>
      <c r="CR200" s="9">
        <v>0</v>
      </c>
      <c r="CS200" s="9">
        <v>0</v>
      </c>
      <c r="CT200" s="9">
        <v>0</v>
      </c>
      <c r="CU200" s="9">
        <v>0</v>
      </c>
      <c r="CV200" s="9">
        <v>0</v>
      </c>
      <c r="CW200" s="9">
        <v>0</v>
      </c>
      <c r="CX200" s="9">
        <v>0</v>
      </c>
      <c r="CY200" s="9">
        <v>0</v>
      </c>
      <c r="CZ200" s="9">
        <v>0</v>
      </c>
      <c r="DA200" s="9">
        <v>0</v>
      </c>
      <c r="DB200" s="9">
        <v>0</v>
      </c>
      <c r="DC200" s="9">
        <v>0</v>
      </c>
      <c r="DD200" s="9">
        <v>0</v>
      </c>
      <c r="DE200" s="9">
        <v>0</v>
      </c>
      <c r="DF200" s="9">
        <v>0</v>
      </c>
      <c r="DG200" s="9">
        <v>0</v>
      </c>
      <c r="DH200" s="9">
        <v>0</v>
      </c>
      <c r="DI200" s="9">
        <v>0</v>
      </c>
      <c r="DJ200" s="9">
        <v>0</v>
      </c>
      <c r="DK200" s="9">
        <v>0</v>
      </c>
      <c r="DL200" s="9">
        <v>0</v>
      </c>
      <c r="DM200" s="9">
        <v>0</v>
      </c>
      <c r="DN200" s="9">
        <v>0</v>
      </c>
      <c r="DO200" s="9">
        <v>0</v>
      </c>
      <c r="DP200" s="9">
        <v>0</v>
      </c>
      <c r="DQ200" s="9">
        <v>0</v>
      </c>
      <c r="DR200" s="9">
        <v>0</v>
      </c>
      <c r="DS200" s="9">
        <v>0</v>
      </c>
      <c r="DT200" s="9">
        <v>0</v>
      </c>
      <c r="DU200" s="9">
        <v>0</v>
      </c>
      <c r="DV200" s="9">
        <v>0</v>
      </c>
      <c r="DW200" s="9">
        <v>0</v>
      </c>
      <c r="DX200" s="9">
        <v>0</v>
      </c>
      <c r="DY200" s="9">
        <v>0</v>
      </c>
      <c r="DZ200" s="9">
        <v>0</v>
      </c>
      <c r="EA200" s="9">
        <v>0</v>
      </c>
      <c r="EB200" s="9">
        <v>0</v>
      </c>
      <c r="EC200" s="9">
        <v>0</v>
      </c>
      <c r="ED200" s="9">
        <v>0</v>
      </c>
      <c r="EE200" s="9">
        <v>0</v>
      </c>
      <c r="EF200" s="9">
        <v>0</v>
      </c>
      <c r="EG200" s="9">
        <v>0</v>
      </c>
      <c r="EH200" s="9">
        <v>0</v>
      </c>
      <c r="EI200" s="9">
        <v>0</v>
      </c>
      <c r="EJ200" s="9">
        <v>0</v>
      </c>
      <c r="EK200" s="9">
        <v>0</v>
      </c>
      <c r="EL200" s="9">
        <v>0</v>
      </c>
      <c r="EM200" s="9">
        <v>0</v>
      </c>
      <c r="EN200" s="9">
        <v>0</v>
      </c>
      <c r="EO200" s="9">
        <v>0</v>
      </c>
      <c r="EP200" s="9">
        <v>0</v>
      </c>
      <c r="EQ200" s="9">
        <v>0</v>
      </c>
      <c r="ER200" s="9">
        <v>0</v>
      </c>
      <c r="ES200" s="9">
        <v>0</v>
      </c>
      <c r="ET200" s="9">
        <v>0</v>
      </c>
      <c r="EU200" s="9">
        <v>0</v>
      </c>
      <c r="EV200" s="9">
        <v>0</v>
      </c>
      <c r="EW200" s="9">
        <v>0</v>
      </c>
      <c r="EX200" s="9">
        <v>0</v>
      </c>
      <c r="EY200" s="9">
        <v>0</v>
      </c>
      <c r="EZ200" s="9">
        <v>0</v>
      </c>
      <c r="FA200" s="9">
        <v>0</v>
      </c>
      <c r="FB200" s="9">
        <v>0</v>
      </c>
      <c r="FC200" s="9">
        <v>0</v>
      </c>
      <c r="FD200" s="9">
        <v>0</v>
      </c>
      <c r="FE200" s="9">
        <v>0</v>
      </c>
      <c r="FF200" s="9">
        <v>0</v>
      </c>
      <c r="FG200" s="9">
        <v>0</v>
      </c>
      <c r="FH200" s="9">
        <v>0</v>
      </c>
      <c r="FI200" s="9">
        <v>0</v>
      </c>
      <c r="FJ200" s="9">
        <v>0</v>
      </c>
      <c r="FK200" s="9">
        <v>0</v>
      </c>
      <c r="FL200" s="9">
        <v>0</v>
      </c>
      <c r="FM200" s="10">
        <v>0</v>
      </c>
    </row>
    <row r="201" spans="1:169" x14ac:dyDescent="0.35">
      <c r="A201" s="8" t="s">
        <v>342</v>
      </c>
      <c r="B201" s="9" t="s">
        <v>21</v>
      </c>
      <c r="C201" s="10" t="s">
        <v>22</v>
      </c>
      <c r="D201" s="62">
        <f t="shared" si="100"/>
        <v>9</v>
      </c>
      <c r="E201" s="9">
        <v>0</v>
      </c>
      <c r="F201" s="9">
        <v>0</v>
      </c>
      <c r="G201" s="9">
        <v>0</v>
      </c>
      <c r="H201" s="9">
        <v>0</v>
      </c>
      <c r="I201" s="9">
        <v>0</v>
      </c>
      <c r="J201" s="9">
        <v>0</v>
      </c>
      <c r="K201" s="9">
        <v>0</v>
      </c>
      <c r="L201" s="9">
        <v>0</v>
      </c>
      <c r="M201" s="9">
        <v>0</v>
      </c>
      <c r="N201" s="9">
        <v>0</v>
      </c>
      <c r="O201" s="9">
        <v>0</v>
      </c>
      <c r="P201" s="9">
        <v>0</v>
      </c>
      <c r="Q201" s="9">
        <v>0</v>
      </c>
      <c r="R201" s="9">
        <v>0</v>
      </c>
      <c r="S201" s="9">
        <v>0</v>
      </c>
      <c r="T201" s="9">
        <v>0</v>
      </c>
      <c r="U201" s="9">
        <v>0</v>
      </c>
      <c r="V201" s="9">
        <v>0</v>
      </c>
      <c r="W201" s="9">
        <v>0</v>
      </c>
      <c r="X201" s="9">
        <v>0</v>
      </c>
      <c r="Y201" s="9">
        <v>0</v>
      </c>
      <c r="Z201" s="9">
        <v>0</v>
      </c>
      <c r="AA201" s="9">
        <v>0</v>
      </c>
      <c r="AB201" s="9">
        <v>0</v>
      </c>
      <c r="AC201" s="9">
        <v>0</v>
      </c>
      <c r="AD201" s="9">
        <v>0</v>
      </c>
      <c r="AE201" s="9">
        <v>0</v>
      </c>
      <c r="AF201" s="9">
        <v>0</v>
      </c>
      <c r="AG201" s="9">
        <v>0</v>
      </c>
      <c r="AH201" s="9">
        <v>0</v>
      </c>
      <c r="AI201" s="9">
        <v>0</v>
      </c>
      <c r="AJ201" s="9">
        <v>0</v>
      </c>
      <c r="AK201" s="9">
        <v>0</v>
      </c>
      <c r="AL201" s="9">
        <v>0</v>
      </c>
      <c r="AM201" s="9">
        <v>0</v>
      </c>
      <c r="AN201" s="9">
        <v>0</v>
      </c>
      <c r="AO201" s="9">
        <v>0</v>
      </c>
      <c r="AP201" s="9">
        <v>0</v>
      </c>
      <c r="AQ201" s="9">
        <v>0</v>
      </c>
      <c r="AR201" s="9">
        <v>0</v>
      </c>
      <c r="AS201" s="9">
        <v>0</v>
      </c>
      <c r="AT201" s="9">
        <v>0</v>
      </c>
      <c r="AU201" s="9">
        <v>0</v>
      </c>
      <c r="AV201" s="9">
        <v>0</v>
      </c>
      <c r="AW201" s="9">
        <v>0</v>
      </c>
      <c r="AX201" s="9">
        <v>0</v>
      </c>
      <c r="AY201" s="9">
        <v>0</v>
      </c>
      <c r="AZ201" s="9">
        <v>0</v>
      </c>
      <c r="BA201" s="9">
        <v>0</v>
      </c>
      <c r="BB201" s="9">
        <v>0</v>
      </c>
      <c r="BC201" s="9">
        <v>0</v>
      </c>
      <c r="BD201" s="9">
        <v>0</v>
      </c>
      <c r="BE201" s="9">
        <v>0</v>
      </c>
      <c r="BF201" s="9">
        <v>0</v>
      </c>
      <c r="BG201" s="9">
        <v>0</v>
      </c>
      <c r="BH201" s="9">
        <v>0</v>
      </c>
      <c r="BI201" s="9">
        <v>0</v>
      </c>
      <c r="BJ201" s="9">
        <v>0</v>
      </c>
      <c r="BK201" s="9">
        <v>0</v>
      </c>
      <c r="BL201" s="9">
        <v>0</v>
      </c>
      <c r="BM201" s="9">
        <v>0</v>
      </c>
      <c r="BN201" s="9">
        <v>0</v>
      </c>
      <c r="BO201" s="9">
        <v>0</v>
      </c>
      <c r="BP201" s="9">
        <v>0</v>
      </c>
      <c r="BQ201" s="9">
        <v>0</v>
      </c>
      <c r="BR201" s="9">
        <v>0</v>
      </c>
      <c r="BS201" s="9">
        <v>0</v>
      </c>
      <c r="BT201" s="9">
        <v>0</v>
      </c>
      <c r="BU201" s="9">
        <v>0</v>
      </c>
      <c r="BV201" s="9">
        <v>0</v>
      </c>
      <c r="BW201" s="9">
        <v>0</v>
      </c>
      <c r="BX201" s="9">
        <v>9</v>
      </c>
      <c r="BY201" s="9">
        <v>0</v>
      </c>
      <c r="BZ201" s="9">
        <v>0</v>
      </c>
      <c r="CA201" s="9">
        <v>0</v>
      </c>
      <c r="CB201" s="9">
        <v>0</v>
      </c>
      <c r="CC201" s="9">
        <v>0</v>
      </c>
      <c r="CD201" s="9">
        <v>0</v>
      </c>
      <c r="CE201" s="9">
        <v>0</v>
      </c>
      <c r="CF201" s="9">
        <v>0</v>
      </c>
      <c r="CG201" s="9">
        <v>0</v>
      </c>
      <c r="CH201" s="9">
        <v>0</v>
      </c>
      <c r="CI201" s="9">
        <v>0</v>
      </c>
      <c r="CJ201" s="9">
        <v>0</v>
      </c>
      <c r="CK201" s="9">
        <v>0</v>
      </c>
      <c r="CL201" s="9">
        <v>0</v>
      </c>
      <c r="CM201" s="9">
        <v>0</v>
      </c>
      <c r="CN201" s="9">
        <v>0</v>
      </c>
      <c r="CO201" s="9">
        <v>0</v>
      </c>
      <c r="CP201" s="9">
        <v>0</v>
      </c>
      <c r="CQ201" s="9">
        <v>0</v>
      </c>
      <c r="CR201" s="9">
        <v>0</v>
      </c>
      <c r="CS201" s="9">
        <v>0</v>
      </c>
      <c r="CT201" s="9">
        <v>0</v>
      </c>
      <c r="CU201" s="9">
        <v>0</v>
      </c>
      <c r="CV201" s="9">
        <v>0</v>
      </c>
      <c r="CW201" s="9">
        <v>0</v>
      </c>
      <c r="CX201" s="9">
        <v>0</v>
      </c>
      <c r="CY201" s="9">
        <v>0</v>
      </c>
      <c r="CZ201" s="9">
        <v>0</v>
      </c>
      <c r="DA201" s="9">
        <v>0</v>
      </c>
      <c r="DB201" s="9">
        <v>0</v>
      </c>
      <c r="DC201" s="9">
        <v>0</v>
      </c>
      <c r="DD201" s="9">
        <v>0</v>
      </c>
      <c r="DE201" s="9">
        <v>0</v>
      </c>
      <c r="DF201" s="9">
        <v>0</v>
      </c>
      <c r="DG201" s="9">
        <v>5</v>
      </c>
      <c r="DH201" s="9">
        <v>0</v>
      </c>
      <c r="DI201" s="9">
        <v>0</v>
      </c>
      <c r="DJ201" s="9">
        <v>0</v>
      </c>
      <c r="DK201" s="9">
        <v>0</v>
      </c>
      <c r="DL201" s="9">
        <v>0</v>
      </c>
      <c r="DM201" s="9">
        <v>0</v>
      </c>
      <c r="DN201" s="9">
        <v>0</v>
      </c>
      <c r="DO201" s="9">
        <v>0</v>
      </c>
      <c r="DP201" s="9">
        <v>0</v>
      </c>
      <c r="DQ201" s="9">
        <v>0</v>
      </c>
      <c r="DR201" s="9">
        <v>0</v>
      </c>
      <c r="DS201" s="9">
        <v>0</v>
      </c>
      <c r="DT201" s="9">
        <v>0</v>
      </c>
      <c r="DU201" s="9">
        <v>0</v>
      </c>
      <c r="DV201" s="9">
        <v>0</v>
      </c>
      <c r="DW201" s="9">
        <v>0</v>
      </c>
      <c r="DX201" s="9">
        <v>0</v>
      </c>
      <c r="DY201" s="9">
        <v>0</v>
      </c>
      <c r="DZ201" s="9">
        <v>0</v>
      </c>
      <c r="EA201" s="9">
        <v>0</v>
      </c>
      <c r="EB201" s="9">
        <v>0</v>
      </c>
      <c r="EC201" s="9">
        <v>0</v>
      </c>
      <c r="ED201" s="9">
        <v>0</v>
      </c>
      <c r="EE201" s="9">
        <v>0</v>
      </c>
      <c r="EF201" s="9">
        <v>0</v>
      </c>
      <c r="EG201" s="9">
        <v>0</v>
      </c>
      <c r="EH201" s="9">
        <v>0</v>
      </c>
      <c r="EI201" s="9">
        <v>0</v>
      </c>
      <c r="EJ201" s="9">
        <v>0</v>
      </c>
      <c r="EK201" s="9">
        <v>0</v>
      </c>
      <c r="EL201" s="9">
        <v>0</v>
      </c>
      <c r="EM201" s="9">
        <v>0</v>
      </c>
      <c r="EN201" s="9">
        <v>0</v>
      </c>
      <c r="EO201" s="9">
        <v>0</v>
      </c>
      <c r="EP201" s="9">
        <v>0</v>
      </c>
      <c r="EQ201" s="9">
        <v>0</v>
      </c>
      <c r="ER201" s="9">
        <v>0</v>
      </c>
      <c r="ES201" s="9">
        <v>0</v>
      </c>
      <c r="ET201" s="9">
        <v>0</v>
      </c>
      <c r="EU201" s="9">
        <v>0</v>
      </c>
      <c r="EV201" s="9">
        <v>0</v>
      </c>
      <c r="EW201" s="9">
        <v>0</v>
      </c>
      <c r="EX201" s="9">
        <v>0</v>
      </c>
      <c r="EY201" s="9">
        <v>0</v>
      </c>
      <c r="EZ201" s="9">
        <v>0</v>
      </c>
      <c r="FA201" s="9">
        <v>0</v>
      </c>
      <c r="FB201" s="9">
        <v>0</v>
      </c>
      <c r="FC201" s="9">
        <v>0</v>
      </c>
      <c r="FD201" s="9">
        <v>0</v>
      </c>
      <c r="FE201" s="9">
        <v>0</v>
      </c>
      <c r="FF201" s="9">
        <v>0</v>
      </c>
      <c r="FG201" s="9">
        <v>0</v>
      </c>
      <c r="FH201" s="9">
        <v>0</v>
      </c>
      <c r="FI201" s="9">
        <v>0</v>
      </c>
      <c r="FJ201" s="9">
        <v>0</v>
      </c>
      <c r="FK201" s="9">
        <v>0</v>
      </c>
      <c r="FL201" s="9">
        <v>0</v>
      </c>
      <c r="FM201" s="10">
        <v>0</v>
      </c>
    </row>
    <row r="202" spans="1:169" x14ac:dyDescent="0.35">
      <c r="A202" s="8" t="s">
        <v>342</v>
      </c>
      <c r="B202" s="9" t="s">
        <v>23</v>
      </c>
      <c r="C202" s="10" t="s">
        <v>24</v>
      </c>
      <c r="D202" s="62">
        <f t="shared" si="100"/>
        <v>1</v>
      </c>
      <c r="E202" s="9">
        <v>0</v>
      </c>
      <c r="F202" s="9">
        <v>0</v>
      </c>
      <c r="G202" s="9">
        <v>0</v>
      </c>
      <c r="H202" s="9">
        <v>0</v>
      </c>
      <c r="I202" s="9">
        <v>0</v>
      </c>
      <c r="J202" s="9">
        <v>0</v>
      </c>
      <c r="K202" s="9">
        <v>0</v>
      </c>
      <c r="L202" s="9">
        <v>0</v>
      </c>
      <c r="M202" s="9">
        <v>0</v>
      </c>
      <c r="N202" s="9">
        <v>0</v>
      </c>
      <c r="O202" s="9">
        <v>0</v>
      </c>
      <c r="P202" s="9">
        <v>0</v>
      </c>
      <c r="Q202" s="9">
        <v>0</v>
      </c>
      <c r="R202" s="9">
        <v>0</v>
      </c>
      <c r="S202" s="9">
        <v>0</v>
      </c>
      <c r="T202" s="9">
        <v>0</v>
      </c>
      <c r="U202" s="9">
        <v>0</v>
      </c>
      <c r="V202" s="9">
        <v>1</v>
      </c>
      <c r="W202" s="9">
        <v>0</v>
      </c>
      <c r="X202" s="9">
        <v>0</v>
      </c>
      <c r="Y202" s="9">
        <v>0</v>
      </c>
      <c r="Z202" s="9">
        <v>0</v>
      </c>
      <c r="AA202" s="9">
        <v>0</v>
      </c>
      <c r="AB202" s="9">
        <v>0</v>
      </c>
      <c r="AC202" s="9">
        <v>0</v>
      </c>
      <c r="AD202" s="9">
        <v>0</v>
      </c>
      <c r="AE202" s="9">
        <v>0</v>
      </c>
      <c r="AF202" s="9">
        <v>0</v>
      </c>
      <c r="AG202" s="9">
        <v>0</v>
      </c>
      <c r="AH202" s="9">
        <v>0</v>
      </c>
      <c r="AI202" s="9">
        <v>0</v>
      </c>
      <c r="AJ202" s="9">
        <v>0</v>
      </c>
      <c r="AK202" s="9">
        <v>0</v>
      </c>
      <c r="AL202" s="9">
        <v>0</v>
      </c>
      <c r="AM202" s="9">
        <v>0</v>
      </c>
      <c r="AN202" s="9">
        <v>0</v>
      </c>
      <c r="AO202" s="9">
        <v>0</v>
      </c>
      <c r="AP202" s="9">
        <v>0</v>
      </c>
      <c r="AQ202" s="9">
        <v>0</v>
      </c>
      <c r="AR202" s="9">
        <v>0</v>
      </c>
      <c r="AS202" s="9">
        <v>0</v>
      </c>
      <c r="AT202" s="9">
        <v>0</v>
      </c>
      <c r="AU202" s="9">
        <v>0</v>
      </c>
      <c r="AV202" s="9">
        <v>0</v>
      </c>
      <c r="AW202" s="9">
        <v>0</v>
      </c>
      <c r="AX202" s="9">
        <v>0</v>
      </c>
      <c r="AY202" s="9">
        <v>0</v>
      </c>
      <c r="AZ202" s="9">
        <v>0</v>
      </c>
      <c r="BA202" s="9">
        <v>0</v>
      </c>
      <c r="BB202" s="9">
        <v>0</v>
      </c>
      <c r="BC202" s="9">
        <v>0</v>
      </c>
      <c r="BD202" s="9">
        <v>0</v>
      </c>
      <c r="BE202" s="9">
        <v>0</v>
      </c>
      <c r="BF202" s="9">
        <v>0</v>
      </c>
      <c r="BG202" s="9">
        <v>0</v>
      </c>
      <c r="BH202" s="9">
        <v>0</v>
      </c>
      <c r="BI202" s="9">
        <v>0</v>
      </c>
      <c r="BJ202" s="9">
        <v>0</v>
      </c>
      <c r="BK202" s="9">
        <v>0</v>
      </c>
      <c r="BL202" s="9">
        <v>0</v>
      </c>
      <c r="BM202" s="9">
        <v>0</v>
      </c>
      <c r="BN202" s="9">
        <v>0</v>
      </c>
      <c r="BO202" s="9">
        <v>0</v>
      </c>
      <c r="BP202" s="9">
        <v>0</v>
      </c>
      <c r="BQ202" s="9">
        <v>0</v>
      </c>
      <c r="BR202" s="9">
        <v>0</v>
      </c>
      <c r="BS202" s="9">
        <v>0</v>
      </c>
      <c r="BT202" s="9">
        <v>0</v>
      </c>
      <c r="BU202" s="9">
        <v>0</v>
      </c>
      <c r="BV202" s="9">
        <v>0</v>
      </c>
      <c r="BW202" s="9">
        <v>0</v>
      </c>
      <c r="BX202" s="9">
        <v>0</v>
      </c>
      <c r="BY202" s="9">
        <v>0</v>
      </c>
      <c r="BZ202" s="9">
        <v>0</v>
      </c>
      <c r="CA202" s="9">
        <v>0</v>
      </c>
      <c r="CB202" s="9">
        <v>0</v>
      </c>
      <c r="CC202" s="9">
        <v>0</v>
      </c>
      <c r="CD202" s="9">
        <v>0</v>
      </c>
      <c r="CE202" s="9">
        <v>0</v>
      </c>
      <c r="CF202" s="9">
        <v>0</v>
      </c>
      <c r="CG202" s="9">
        <v>0</v>
      </c>
      <c r="CH202" s="9">
        <v>0</v>
      </c>
      <c r="CI202" s="9">
        <v>0</v>
      </c>
      <c r="CJ202" s="9">
        <v>0</v>
      </c>
      <c r="CK202" s="9">
        <v>0</v>
      </c>
      <c r="CL202" s="9">
        <v>0</v>
      </c>
      <c r="CM202" s="9">
        <v>0</v>
      </c>
      <c r="CN202" s="9">
        <v>0</v>
      </c>
      <c r="CO202" s="9">
        <v>0</v>
      </c>
      <c r="CP202" s="9">
        <v>0</v>
      </c>
      <c r="CQ202" s="9">
        <v>0</v>
      </c>
      <c r="CR202" s="9">
        <v>0</v>
      </c>
      <c r="CS202" s="9">
        <v>0</v>
      </c>
      <c r="CT202" s="9">
        <v>0</v>
      </c>
      <c r="CU202" s="9">
        <v>0</v>
      </c>
      <c r="CV202" s="9">
        <v>0</v>
      </c>
      <c r="CW202" s="9">
        <v>0</v>
      </c>
      <c r="CX202" s="9">
        <v>0</v>
      </c>
      <c r="CY202" s="9">
        <v>0</v>
      </c>
      <c r="CZ202" s="9">
        <v>0</v>
      </c>
      <c r="DA202" s="9">
        <v>0</v>
      </c>
      <c r="DB202" s="9">
        <v>0</v>
      </c>
      <c r="DC202" s="9">
        <v>0</v>
      </c>
      <c r="DD202" s="9">
        <v>0</v>
      </c>
      <c r="DE202" s="9">
        <v>0</v>
      </c>
      <c r="DF202" s="9">
        <v>0</v>
      </c>
      <c r="DG202" s="9">
        <v>0</v>
      </c>
      <c r="DH202" s="9">
        <v>0</v>
      </c>
      <c r="DI202" s="9">
        <v>0</v>
      </c>
      <c r="DJ202" s="9">
        <v>0</v>
      </c>
      <c r="DK202" s="9">
        <v>0</v>
      </c>
      <c r="DL202" s="9">
        <v>0</v>
      </c>
      <c r="DM202" s="9">
        <v>0</v>
      </c>
      <c r="DN202" s="9">
        <v>0</v>
      </c>
      <c r="DO202" s="9">
        <v>0</v>
      </c>
      <c r="DP202" s="9">
        <v>0</v>
      </c>
      <c r="DQ202" s="9">
        <v>0</v>
      </c>
      <c r="DR202" s="9">
        <v>0</v>
      </c>
      <c r="DS202" s="9">
        <v>0</v>
      </c>
      <c r="DT202" s="9">
        <v>0</v>
      </c>
      <c r="DU202" s="9">
        <v>0</v>
      </c>
      <c r="DV202" s="9">
        <v>0</v>
      </c>
      <c r="DW202" s="9">
        <v>0</v>
      </c>
      <c r="DX202" s="9">
        <v>0</v>
      </c>
      <c r="DY202" s="9">
        <v>0</v>
      </c>
      <c r="DZ202" s="9">
        <v>0</v>
      </c>
      <c r="EA202" s="9">
        <v>0</v>
      </c>
      <c r="EB202" s="9">
        <v>0</v>
      </c>
      <c r="EC202" s="9">
        <v>0</v>
      </c>
      <c r="ED202" s="9">
        <v>0</v>
      </c>
      <c r="EE202" s="9">
        <v>0</v>
      </c>
      <c r="EF202" s="9">
        <v>0</v>
      </c>
      <c r="EG202" s="9">
        <v>0</v>
      </c>
      <c r="EH202" s="9">
        <v>0</v>
      </c>
      <c r="EI202" s="9">
        <v>0</v>
      </c>
      <c r="EJ202" s="9">
        <v>0</v>
      </c>
      <c r="EK202" s="9">
        <v>0</v>
      </c>
      <c r="EL202" s="9">
        <v>0</v>
      </c>
      <c r="EM202" s="9">
        <v>0</v>
      </c>
      <c r="EN202" s="9">
        <v>0</v>
      </c>
      <c r="EO202" s="9">
        <v>0</v>
      </c>
      <c r="EP202" s="9">
        <v>0</v>
      </c>
      <c r="EQ202" s="9">
        <v>0</v>
      </c>
      <c r="ER202" s="9">
        <v>0</v>
      </c>
      <c r="ES202" s="9">
        <v>0</v>
      </c>
      <c r="ET202" s="9">
        <v>0</v>
      </c>
      <c r="EU202" s="9">
        <v>0</v>
      </c>
      <c r="EV202" s="9">
        <v>0</v>
      </c>
      <c r="EW202" s="9">
        <v>0</v>
      </c>
      <c r="EX202" s="9">
        <v>0</v>
      </c>
      <c r="EY202" s="9">
        <v>0</v>
      </c>
      <c r="EZ202" s="9">
        <v>0</v>
      </c>
      <c r="FA202" s="9">
        <v>0</v>
      </c>
      <c r="FB202" s="9">
        <v>0</v>
      </c>
      <c r="FC202" s="9">
        <v>0</v>
      </c>
      <c r="FD202" s="9">
        <v>0</v>
      </c>
      <c r="FE202" s="9">
        <v>0</v>
      </c>
      <c r="FF202" s="9">
        <v>0</v>
      </c>
      <c r="FG202" s="9">
        <v>0</v>
      </c>
      <c r="FH202" s="9">
        <v>0</v>
      </c>
      <c r="FI202" s="9">
        <v>0</v>
      </c>
      <c r="FJ202" s="9">
        <v>0</v>
      </c>
      <c r="FK202" s="9">
        <v>0</v>
      </c>
      <c r="FL202" s="9">
        <v>0</v>
      </c>
      <c r="FM202" s="10">
        <v>0</v>
      </c>
    </row>
    <row r="203" spans="1:169" x14ac:dyDescent="0.35">
      <c r="A203" s="8" t="s">
        <v>342</v>
      </c>
      <c r="B203" s="9" t="s">
        <v>183</v>
      </c>
      <c r="C203" s="10" t="s">
        <v>184</v>
      </c>
      <c r="D203" s="62">
        <f t="shared" si="100"/>
        <v>0</v>
      </c>
      <c r="E203" s="9">
        <v>0</v>
      </c>
      <c r="F203" s="9">
        <v>0</v>
      </c>
      <c r="G203" s="9">
        <v>0</v>
      </c>
      <c r="H203" s="9">
        <v>0</v>
      </c>
      <c r="I203" s="9">
        <v>0</v>
      </c>
      <c r="J203" s="9">
        <v>0</v>
      </c>
      <c r="K203" s="9">
        <v>0</v>
      </c>
      <c r="L203" s="9">
        <v>0</v>
      </c>
      <c r="M203" s="9">
        <v>0</v>
      </c>
      <c r="N203" s="9">
        <v>0</v>
      </c>
      <c r="O203" s="9">
        <v>0</v>
      </c>
      <c r="P203" s="9">
        <v>0</v>
      </c>
      <c r="Q203" s="9">
        <v>0</v>
      </c>
      <c r="R203" s="9">
        <v>0</v>
      </c>
      <c r="S203" s="9">
        <v>0</v>
      </c>
      <c r="T203" s="9">
        <v>0</v>
      </c>
      <c r="U203" s="9">
        <v>0</v>
      </c>
      <c r="V203" s="9">
        <v>0</v>
      </c>
      <c r="W203" s="9">
        <v>0</v>
      </c>
      <c r="X203" s="9">
        <v>0</v>
      </c>
      <c r="Y203" s="9">
        <v>0</v>
      </c>
      <c r="Z203" s="9">
        <v>0</v>
      </c>
      <c r="AA203" s="9">
        <v>0</v>
      </c>
      <c r="AB203" s="9">
        <v>0</v>
      </c>
      <c r="AC203" s="9">
        <v>0</v>
      </c>
      <c r="AD203" s="9">
        <v>0</v>
      </c>
      <c r="AE203" s="9">
        <v>0</v>
      </c>
      <c r="AF203" s="9">
        <v>0</v>
      </c>
      <c r="AG203" s="9">
        <v>0</v>
      </c>
      <c r="AH203" s="9">
        <v>0</v>
      </c>
      <c r="AI203" s="9">
        <v>0</v>
      </c>
      <c r="AJ203" s="9">
        <v>0</v>
      </c>
      <c r="AK203" s="9">
        <v>0</v>
      </c>
      <c r="AL203" s="9">
        <v>0</v>
      </c>
      <c r="AM203" s="9">
        <v>0</v>
      </c>
      <c r="AN203" s="9">
        <v>0</v>
      </c>
      <c r="AO203" s="9">
        <v>0</v>
      </c>
      <c r="AP203" s="9">
        <v>0</v>
      </c>
      <c r="AQ203" s="9">
        <v>0</v>
      </c>
      <c r="AR203" s="9">
        <v>0</v>
      </c>
      <c r="AS203" s="9">
        <v>0</v>
      </c>
      <c r="AT203" s="9">
        <v>0</v>
      </c>
      <c r="AU203" s="9">
        <v>0</v>
      </c>
      <c r="AV203" s="9">
        <v>0</v>
      </c>
      <c r="AW203" s="9">
        <v>0</v>
      </c>
      <c r="AX203" s="9">
        <v>0</v>
      </c>
      <c r="AY203" s="9">
        <v>0</v>
      </c>
      <c r="AZ203" s="9">
        <v>0</v>
      </c>
      <c r="BA203" s="9">
        <v>0</v>
      </c>
      <c r="BB203" s="9">
        <v>0</v>
      </c>
      <c r="BC203" s="9">
        <v>0</v>
      </c>
      <c r="BD203" s="9">
        <v>0</v>
      </c>
      <c r="BE203" s="9">
        <v>0</v>
      </c>
      <c r="BF203" s="9">
        <v>0</v>
      </c>
      <c r="BG203" s="9">
        <v>0</v>
      </c>
      <c r="BH203" s="9">
        <v>0</v>
      </c>
      <c r="BI203" s="9">
        <v>0</v>
      </c>
      <c r="BJ203" s="9">
        <v>0</v>
      </c>
      <c r="BK203" s="9">
        <v>0</v>
      </c>
      <c r="BL203" s="9">
        <v>0</v>
      </c>
      <c r="BM203" s="9">
        <v>0</v>
      </c>
      <c r="BN203" s="9">
        <v>0</v>
      </c>
      <c r="BO203" s="9">
        <v>0</v>
      </c>
      <c r="BP203" s="9">
        <v>0</v>
      </c>
      <c r="BQ203" s="9">
        <v>0</v>
      </c>
      <c r="BR203" s="9">
        <v>0</v>
      </c>
      <c r="BS203" s="9">
        <v>0</v>
      </c>
      <c r="BT203" s="9">
        <v>0</v>
      </c>
      <c r="BU203" s="9">
        <v>0</v>
      </c>
      <c r="BV203" s="9">
        <v>0</v>
      </c>
      <c r="BW203" s="9">
        <v>0</v>
      </c>
      <c r="BX203" s="9">
        <v>0</v>
      </c>
      <c r="BY203" s="9">
        <v>0</v>
      </c>
      <c r="BZ203" s="9">
        <v>0</v>
      </c>
      <c r="CA203" s="9">
        <v>0</v>
      </c>
      <c r="CB203" s="9">
        <v>0</v>
      </c>
      <c r="CC203" s="9">
        <v>0</v>
      </c>
      <c r="CD203" s="9">
        <v>0</v>
      </c>
      <c r="CE203" s="9">
        <v>0</v>
      </c>
      <c r="CF203" s="9">
        <v>0</v>
      </c>
      <c r="CG203" s="9">
        <v>0</v>
      </c>
      <c r="CH203" s="9">
        <v>0</v>
      </c>
      <c r="CI203" s="9">
        <v>0</v>
      </c>
      <c r="CJ203" s="9">
        <v>0</v>
      </c>
      <c r="CK203" s="9">
        <v>0</v>
      </c>
      <c r="CL203" s="9">
        <v>0</v>
      </c>
      <c r="CM203" s="9">
        <v>0</v>
      </c>
      <c r="CN203" s="9">
        <v>0</v>
      </c>
      <c r="CO203" s="9">
        <v>0</v>
      </c>
      <c r="CP203" s="9">
        <v>0</v>
      </c>
      <c r="CQ203" s="9">
        <v>0</v>
      </c>
      <c r="CR203" s="9">
        <v>0</v>
      </c>
      <c r="CS203" s="9">
        <v>0</v>
      </c>
      <c r="CT203" s="9">
        <v>0</v>
      </c>
      <c r="CU203" s="9">
        <v>0</v>
      </c>
      <c r="CV203" s="9">
        <v>0</v>
      </c>
      <c r="CW203" s="9">
        <v>0</v>
      </c>
      <c r="CX203" s="9">
        <v>0</v>
      </c>
      <c r="CY203" s="9">
        <v>0</v>
      </c>
      <c r="CZ203" s="9">
        <v>0</v>
      </c>
      <c r="DA203" s="9">
        <v>0</v>
      </c>
      <c r="DB203" s="9">
        <v>0</v>
      </c>
      <c r="DC203" s="9">
        <v>0</v>
      </c>
      <c r="DD203" s="9">
        <v>0</v>
      </c>
      <c r="DE203" s="9">
        <v>0</v>
      </c>
      <c r="DF203" s="9">
        <v>0</v>
      </c>
      <c r="DG203" s="9">
        <v>0</v>
      </c>
      <c r="DH203" s="9">
        <v>0</v>
      </c>
      <c r="DI203" s="9">
        <v>0</v>
      </c>
      <c r="DJ203" s="9">
        <v>0</v>
      </c>
      <c r="DK203" s="9">
        <v>0</v>
      </c>
      <c r="DL203" s="9">
        <v>0</v>
      </c>
      <c r="DM203" s="9">
        <v>0</v>
      </c>
      <c r="DN203" s="9">
        <v>0</v>
      </c>
      <c r="DO203" s="9">
        <v>0</v>
      </c>
      <c r="DP203" s="9">
        <v>0</v>
      </c>
      <c r="DQ203" s="9">
        <v>0</v>
      </c>
      <c r="DR203" s="9">
        <v>0</v>
      </c>
      <c r="DS203" s="9">
        <v>0</v>
      </c>
      <c r="DT203" s="9">
        <v>0</v>
      </c>
      <c r="DU203" s="9">
        <v>0</v>
      </c>
      <c r="DV203" s="9">
        <v>0</v>
      </c>
      <c r="DW203" s="9">
        <v>0</v>
      </c>
      <c r="DX203" s="9">
        <v>0</v>
      </c>
      <c r="DY203" s="9">
        <v>0</v>
      </c>
      <c r="DZ203" s="9">
        <v>0</v>
      </c>
      <c r="EA203" s="9">
        <v>0</v>
      </c>
      <c r="EB203" s="9">
        <v>0</v>
      </c>
      <c r="EC203" s="9">
        <v>0</v>
      </c>
      <c r="ED203" s="9">
        <v>0</v>
      </c>
      <c r="EE203" s="9">
        <v>0</v>
      </c>
      <c r="EF203" s="9">
        <v>0</v>
      </c>
      <c r="EG203" s="9">
        <v>0</v>
      </c>
      <c r="EH203" s="9">
        <v>0</v>
      </c>
      <c r="EI203" s="9">
        <v>0</v>
      </c>
      <c r="EJ203" s="9">
        <v>0</v>
      </c>
      <c r="EK203" s="9">
        <v>0</v>
      </c>
      <c r="EL203" s="9">
        <v>0</v>
      </c>
      <c r="EM203" s="9">
        <v>0</v>
      </c>
      <c r="EN203" s="9">
        <v>0</v>
      </c>
      <c r="EO203" s="9">
        <v>0</v>
      </c>
      <c r="EP203" s="9">
        <v>0</v>
      </c>
      <c r="EQ203" s="9">
        <v>0</v>
      </c>
      <c r="ER203" s="9">
        <v>0</v>
      </c>
      <c r="ES203" s="9">
        <v>0</v>
      </c>
      <c r="ET203" s="9">
        <v>0</v>
      </c>
      <c r="EU203" s="9">
        <v>0</v>
      </c>
      <c r="EV203" s="9">
        <v>0</v>
      </c>
      <c r="EW203" s="9">
        <v>0</v>
      </c>
      <c r="EX203" s="9">
        <v>0</v>
      </c>
      <c r="EY203" s="9">
        <v>0</v>
      </c>
      <c r="EZ203" s="9">
        <v>0</v>
      </c>
      <c r="FA203" s="9">
        <v>0</v>
      </c>
      <c r="FB203" s="9">
        <v>0</v>
      </c>
      <c r="FC203" s="9">
        <v>0</v>
      </c>
      <c r="FD203" s="9">
        <v>0</v>
      </c>
      <c r="FE203" s="9">
        <v>0</v>
      </c>
      <c r="FF203" s="9">
        <v>0</v>
      </c>
      <c r="FG203" s="9">
        <v>0</v>
      </c>
      <c r="FH203" s="9">
        <v>0</v>
      </c>
      <c r="FI203" s="9">
        <v>0</v>
      </c>
      <c r="FJ203" s="9">
        <v>0</v>
      </c>
      <c r="FK203" s="9">
        <v>0</v>
      </c>
      <c r="FL203" s="9">
        <v>0</v>
      </c>
      <c r="FM203" s="10">
        <v>0</v>
      </c>
    </row>
    <row r="204" spans="1:169" x14ac:dyDescent="0.35">
      <c r="A204" s="8" t="s">
        <v>342</v>
      </c>
      <c r="B204" s="9" t="s">
        <v>25</v>
      </c>
      <c r="C204" s="10" t="s">
        <v>26</v>
      </c>
      <c r="D204" s="62">
        <f t="shared" si="100"/>
        <v>1</v>
      </c>
      <c r="E204" s="9">
        <v>0</v>
      </c>
      <c r="F204" s="9">
        <v>0</v>
      </c>
      <c r="G204" s="9">
        <v>0</v>
      </c>
      <c r="H204" s="9">
        <v>0</v>
      </c>
      <c r="I204" s="9">
        <v>0</v>
      </c>
      <c r="J204" s="9">
        <v>0</v>
      </c>
      <c r="K204" s="9">
        <v>0</v>
      </c>
      <c r="L204" s="9">
        <v>0</v>
      </c>
      <c r="M204" s="9">
        <v>0</v>
      </c>
      <c r="N204" s="9">
        <v>0</v>
      </c>
      <c r="O204" s="9">
        <v>0</v>
      </c>
      <c r="P204" s="9">
        <v>0</v>
      </c>
      <c r="Q204" s="9">
        <v>0</v>
      </c>
      <c r="R204" s="9">
        <v>0</v>
      </c>
      <c r="S204" s="9">
        <v>0</v>
      </c>
      <c r="T204" s="9">
        <v>0</v>
      </c>
      <c r="U204" s="9">
        <v>0</v>
      </c>
      <c r="V204" s="9">
        <v>0</v>
      </c>
      <c r="W204" s="9">
        <v>0</v>
      </c>
      <c r="X204" s="9">
        <v>0</v>
      </c>
      <c r="Y204" s="9">
        <v>0</v>
      </c>
      <c r="Z204" s="9">
        <v>0</v>
      </c>
      <c r="AA204" s="9">
        <v>0</v>
      </c>
      <c r="AB204" s="9">
        <v>0</v>
      </c>
      <c r="AC204" s="9">
        <v>0</v>
      </c>
      <c r="AD204" s="9">
        <v>0</v>
      </c>
      <c r="AE204" s="9">
        <v>0</v>
      </c>
      <c r="AF204" s="9">
        <v>0</v>
      </c>
      <c r="AG204" s="9">
        <v>0</v>
      </c>
      <c r="AH204" s="9">
        <v>0</v>
      </c>
      <c r="AI204" s="9">
        <v>1</v>
      </c>
      <c r="AJ204" s="9">
        <v>0</v>
      </c>
      <c r="AK204" s="9">
        <v>1</v>
      </c>
      <c r="AL204" s="9">
        <v>1</v>
      </c>
      <c r="AM204" s="9">
        <v>1</v>
      </c>
      <c r="AN204" s="9">
        <v>0</v>
      </c>
      <c r="AO204" s="9">
        <v>0</v>
      </c>
      <c r="AP204" s="9">
        <v>0</v>
      </c>
      <c r="AQ204" s="9">
        <v>0</v>
      </c>
      <c r="AR204" s="9">
        <v>0</v>
      </c>
      <c r="AS204" s="9">
        <v>0</v>
      </c>
      <c r="AT204" s="9">
        <v>0</v>
      </c>
      <c r="AU204" s="9">
        <v>0</v>
      </c>
      <c r="AV204" s="9">
        <v>0</v>
      </c>
      <c r="AW204" s="9">
        <v>0</v>
      </c>
      <c r="AX204" s="9">
        <v>0</v>
      </c>
      <c r="AY204" s="9">
        <v>0</v>
      </c>
      <c r="AZ204" s="9">
        <v>0</v>
      </c>
      <c r="BA204" s="9">
        <v>0</v>
      </c>
      <c r="BB204" s="9">
        <v>0</v>
      </c>
      <c r="BC204" s="9">
        <v>0</v>
      </c>
      <c r="BD204" s="9">
        <v>0</v>
      </c>
      <c r="BE204" s="9">
        <v>0</v>
      </c>
      <c r="BF204" s="9">
        <v>0</v>
      </c>
      <c r="BG204" s="9">
        <v>0</v>
      </c>
      <c r="BH204" s="9">
        <v>0</v>
      </c>
      <c r="BI204" s="9">
        <v>0</v>
      </c>
      <c r="BJ204" s="9">
        <v>0</v>
      </c>
      <c r="BK204" s="9">
        <v>0</v>
      </c>
      <c r="BL204" s="9">
        <v>0</v>
      </c>
      <c r="BM204" s="9">
        <v>0</v>
      </c>
      <c r="BN204" s="9">
        <v>0</v>
      </c>
      <c r="BO204" s="9">
        <v>0</v>
      </c>
      <c r="BP204" s="9">
        <v>0</v>
      </c>
      <c r="BQ204" s="9">
        <v>0</v>
      </c>
      <c r="BR204" s="9">
        <v>0</v>
      </c>
      <c r="BS204" s="9">
        <v>0</v>
      </c>
      <c r="BT204" s="9">
        <v>0</v>
      </c>
      <c r="BU204" s="9">
        <v>0</v>
      </c>
      <c r="BV204" s="9">
        <v>0</v>
      </c>
      <c r="BW204" s="9">
        <v>0</v>
      </c>
      <c r="BX204" s="9">
        <v>0</v>
      </c>
      <c r="BY204" s="9">
        <v>0</v>
      </c>
      <c r="BZ204" s="9">
        <v>0</v>
      </c>
      <c r="CA204" s="9">
        <v>0</v>
      </c>
      <c r="CB204" s="9">
        <v>0</v>
      </c>
      <c r="CC204" s="9">
        <v>0</v>
      </c>
      <c r="CD204" s="9">
        <v>0</v>
      </c>
      <c r="CE204" s="9">
        <v>0</v>
      </c>
      <c r="CF204" s="9">
        <v>0</v>
      </c>
      <c r="CG204" s="9">
        <v>0</v>
      </c>
      <c r="CH204" s="9">
        <v>0</v>
      </c>
      <c r="CI204" s="9">
        <v>0</v>
      </c>
      <c r="CJ204" s="9">
        <v>0</v>
      </c>
      <c r="CK204" s="9">
        <v>0</v>
      </c>
      <c r="CL204" s="9">
        <v>0</v>
      </c>
      <c r="CM204" s="9">
        <v>0</v>
      </c>
      <c r="CN204" s="9">
        <v>0</v>
      </c>
      <c r="CO204" s="9">
        <v>0</v>
      </c>
      <c r="CP204" s="9">
        <v>0</v>
      </c>
      <c r="CQ204" s="9">
        <v>0</v>
      </c>
      <c r="CR204" s="9">
        <v>0</v>
      </c>
      <c r="CS204" s="9">
        <v>0</v>
      </c>
      <c r="CT204" s="9">
        <v>0</v>
      </c>
      <c r="CU204" s="9">
        <v>0</v>
      </c>
      <c r="CV204" s="9">
        <v>0</v>
      </c>
      <c r="CW204" s="9">
        <v>0</v>
      </c>
      <c r="CX204" s="9">
        <v>0</v>
      </c>
      <c r="CY204" s="9">
        <v>0</v>
      </c>
      <c r="CZ204" s="9">
        <v>0</v>
      </c>
      <c r="DA204" s="9">
        <v>0</v>
      </c>
      <c r="DB204" s="9">
        <v>0</v>
      </c>
      <c r="DC204" s="9">
        <v>0</v>
      </c>
      <c r="DD204" s="9">
        <v>0</v>
      </c>
      <c r="DE204" s="9">
        <v>0</v>
      </c>
      <c r="DF204" s="9">
        <v>0</v>
      </c>
      <c r="DG204" s="9">
        <v>0</v>
      </c>
      <c r="DH204" s="9">
        <v>0</v>
      </c>
      <c r="DI204" s="9">
        <v>0</v>
      </c>
      <c r="DJ204" s="9">
        <v>0</v>
      </c>
      <c r="DK204" s="9">
        <v>0</v>
      </c>
      <c r="DL204" s="9">
        <v>0</v>
      </c>
      <c r="DM204" s="9">
        <v>0</v>
      </c>
      <c r="DN204" s="9">
        <v>0</v>
      </c>
      <c r="DO204" s="9">
        <v>0</v>
      </c>
      <c r="DP204" s="9">
        <v>0</v>
      </c>
      <c r="DQ204" s="9">
        <v>0</v>
      </c>
      <c r="DR204" s="9">
        <v>0</v>
      </c>
      <c r="DS204" s="9">
        <v>0</v>
      </c>
      <c r="DT204" s="9">
        <v>0</v>
      </c>
      <c r="DU204" s="9">
        <v>0</v>
      </c>
      <c r="DV204" s="9">
        <v>0</v>
      </c>
      <c r="DW204" s="9">
        <v>0</v>
      </c>
      <c r="DX204" s="9">
        <v>0</v>
      </c>
      <c r="DY204" s="9">
        <v>0</v>
      </c>
      <c r="DZ204" s="9">
        <v>0</v>
      </c>
      <c r="EA204" s="9">
        <v>0</v>
      </c>
      <c r="EB204" s="9">
        <v>0</v>
      </c>
      <c r="EC204" s="9">
        <v>0</v>
      </c>
      <c r="ED204" s="9">
        <v>0</v>
      </c>
      <c r="EE204" s="9">
        <v>0</v>
      </c>
      <c r="EF204" s="9">
        <v>0</v>
      </c>
      <c r="EG204" s="9">
        <v>0</v>
      </c>
      <c r="EH204" s="9">
        <v>0</v>
      </c>
      <c r="EI204" s="9">
        <v>0</v>
      </c>
      <c r="EJ204" s="9">
        <v>0</v>
      </c>
      <c r="EK204" s="9">
        <v>0</v>
      </c>
      <c r="EL204" s="9">
        <v>0</v>
      </c>
      <c r="EM204" s="9">
        <v>0</v>
      </c>
      <c r="EN204" s="9">
        <v>0</v>
      </c>
      <c r="EO204" s="9">
        <v>0</v>
      </c>
      <c r="EP204" s="9">
        <v>0</v>
      </c>
      <c r="EQ204" s="9">
        <v>0</v>
      </c>
      <c r="ER204" s="9">
        <v>0</v>
      </c>
      <c r="ES204" s="9">
        <v>0</v>
      </c>
      <c r="ET204" s="9">
        <v>0</v>
      </c>
      <c r="EU204" s="9">
        <v>0</v>
      </c>
      <c r="EV204" s="9">
        <v>0</v>
      </c>
      <c r="EW204" s="9">
        <v>0</v>
      </c>
      <c r="EX204" s="9">
        <v>0</v>
      </c>
      <c r="EY204" s="9">
        <v>0</v>
      </c>
      <c r="EZ204" s="9">
        <v>0</v>
      </c>
      <c r="FA204" s="9">
        <v>0</v>
      </c>
      <c r="FB204" s="9">
        <v>0</v>
      </c>
      <c r="FC204" s="9">
        <v>0</v>
      </c>
      <c r="FD204" s="9">
        <v>0</v>
      </c>
      <c r="FE204" s="9">
        <v>0</v>
      </c>
      <c r="FF204" s="9">
        <v>0</v>
      </c>
      <c r="FG204" s="9">
        <v>0</v>
      </c>
      <c r="FH204" s="9">
        <v>0</v>
      </c>
      <c r="FI204" s="9">
        <v>0</v>
      </c>
      <c r="FJ204" s="9">
        <v>0</v>
      </c>
      <c r="FK204" s="9">
        <v>0</v>
      </c>
      <c r="FL204" s="9">
        <v>0</v>
      </c>
      <c r="FM204" s="10">
        <v>0</v>
      </c>
    </row>
    <row r="205" spans="1:169" x14ac:dyDescent="0.35">
      <c r="A205" s="8" t="s">
        <v>342</v>
      </c>
      <c r="B205" s="9" t="s">
        <v>102</v>
      </c>
      <c r="C205" s="10" t="s">
        <v>103</v>
      </c>
      <c r="D205" s="62">
        <f t="shared" si="100"/>
        <v>8</v>
      </c>
      <c r="E205" s="9">
        <v>0</v>
      </c>
      <c r="F205" s="9">
        <v>0</v>
      </c>
      <c r="G205" s="9">
        <v>0</v>
      </c>
      <c r="H205" s="9">
        <v>0</v>
      </c>
      <c r="I205" s="9">
        <v>0</v>
      </c>
      <c r="J205" s="9">
        <v>0</v>
      </c>
      <c r="K205" s="9">
        <v>0</v>
      </c>
      <c r="L205" s="9">
        <v>0</v>
      </c>
      <c r="M205" s="9">
        <v>0</v>
      </c>
      <c r="N205" s="9">
        <v>0</v>
      </c>
      <c r="O205" s="9">
        <v>0</v>
      </c>
      <c r="P205" s="9">
        <v>0</v>
      </c>
      <c r="Q205" s="9">
        <v>0</v>
      </c>
      <c r="R205" s="9">
        <v>0</v>
      </c>
      <c r="S205" s="9">
        <v>0</v>
      </c>
      <c r="T205" s="9">
        <v>0</v>
      </c>
      <c r="U205" s="9">
        <v>0</v>
      </c>
      <c r="V205" s="9">
        <v>0</v>
      </c>
      <c r="W205" s="9">
        <v>0</v>
      </c>
      <c r="X205" s="9">
        <v>6</v>
      </c>
      <c r="Y205" s="9">
        <v>7</v>
      </c>
      <c r="Z205" s="9">
        <v>8</v>
      </c>
      <c r="AA205" s="9">
        <v>5</v>
      </c>
      <c r="AB205" s="9">
        <v>4</v>
      </c>
      <c r="AC205" s="9">
        <v>3</v>
      </c>
      <c r="AD205" s="9">
        <v>3</v>
      </c>
      <c r="AE205" s="9">
        <v>3</v>
      </c>
      <c r="AF205" s="9">
        <v>3</v>
      </c>
      <c r="AG205" s="9">
        <v>6</v>
      </c>
      <c r="AH205" s="9">
        <v>0</v>
      </c>
      <c r="AI205" s="9">
        <v>0</v>
      </c>
      <c r="AJ205" s="9">
        <v>4</v>
      </c>
      <c r="AK205" s="9">
        <v>2</v>
      </c>
      <c r="AL205" s="9">
        <v>0</v>
      </c>
      <c r="AM205" s="9">
        <v>1</v>
      </c>
      <c r="AN205" s="9">
        <v>4</v>
      </c>
      <c r="AO205" s="9">
        <v>3</v>
      </c>
      <c r="AP205" s="9">
        <v>3</v>
      </c>
      <c r="AQ205" s="9">
        <v>0</v>
      </c>
      <c r="AR205" s="9">
        <v>0</v>
      </c>
      <c r="AS205" s="9">
        <v>0</v>
      </c>
      <c r="AT205" s="9">
        <v>0</v>
      </c>
      <c r="AU205" s="9">
        <v>0</v>
      </c>
      <c r="AV205" s="9">
        <v>0</v>
      </c>
      <c r="AW205" s="9">
        <v>0</v>
      </c>
      <c r="AX205" s="9">
        <v>0</v>
      </c>
      <c r="AY205" s="9">
        <v>0</v>
      </c>
      <c r="AZ205" s="9">
        <v>0</v>
      </c>
      <c r="BA205" s="9">
        <v>0</v>
      </c>
      <c r="BB205" s="9">
        <v>0</v>
      </c>
      <c r="BC205" s="9">
        <v>0</v>
      </c>
      <c r="BD205" s="9">
        <v>0</v>
      </c>
      <c r="BE205" s="9">
        <v>2</v>
      </c>
      <c r="BF205" s="9">
        <v>0</v>
      </c>
      <c r="BG205" s="9">
        <v>0</v>
      </c>
      <c r="BH205" s="9">
        <v>0</v>
      </c>
      <c r="BI205" s="9">
        <v>0</v>
      </c>
      <c r="BJ205" s="9">
        <v>0</v>
      </c>
      <c r="BK205" s="9">
        <v>0</v>
      </c>
      <c r="BL205" s="9">
        <v>0</v>
      </c>
      <c r="BM205" s="9">
        <v>0</v>
      </c>
      <c r="BN205" s="9">
        <v>0</v>
      </c>
      <c r="BO205" s="9">
        <v>0</v>
      </c>
      <c r="BP205" s="9">
        <v>0</v>
      </c>
      <c r="BQ205" s="9">
        <v>0</v>
      </c>
      <c r="BR205" s="9">
        <v>0</v>
      </c>
      <c r="BS205" s="9">
        <v>0</v>
      </c>
      <c r="BT205" s="9">
        <v>0</v>
      </c>
      <c r="BU205" s="9">
        <v>0</v>
      </c>
      <c r="BV205" s="9">
        <v>0</v>
      </c>
      <c r="BW205" s="9">
        <v>0</v>
      </c>
      <c r="BX205" s="9">
        <v>0</v>
      </c>
      <c r="BY205" s="9">
        <v>0</v>
      </c>
      <c r="BZ205" s="9">
        <v>0</v>
      </c>
      <c r="CA205" s="9">
        <v>0</v>
      </c>
      <c r="CB205" s="9">
        <v>0</v>
      </c>
      <c r="CC205" s="9">
        <v>0</v>
      </c>
      <c r="CD205" s="9">
        <v>0</v>
      </c>
      <c r="CE205" s="9">
        <v>0</v>
      </c>
      <c r="CF205" s="9">
        <v>0</v>
      </c>
      <c r="CG205" s="9">
        <v>0</v>
      </c>
      <c r="CH205" s="9">
        <v>0</v>
      </c>
      <c r="CI205" s="9">
        <v>0</v>
      </c>
      <c r="CJ205" s="9">
        <v>0</v>
      </c>
      <c r="CK205" s="9">
        <v>0</v>
      </c>
      <c r="CL205" s="9">
        <v>0</v>
      </c>
      <c r="CM205" s="9">
        <v>0</v>
      </c>
      <c r="CN205" s="9">
        <v>0</v>
      </c>
      <c r="CO205" s="9">
        <v>0</v>
      </c>
      <c r="CP205" s="9">
        <v>0</v>
      </c>
      <c r="CQ205" s="9">
        <v>0</v>
      </c>
      <c r="CR205" s="9">
        <v>0</v>
      </c>
      <c r="CS205" s="9">
        <v>0</v>
      </c>
      <c r="CT205" s="9">
        <v>0</v>
      </c>
      <c r="CU205" s="9">
        <v>0</v>
      </c>
      <c r="CV205" s="9">
        <v>0</v>
      </c>
      <c r="CW205" s="9">
        <v>0</v>
      </c>
      <c r="CX205" s="9">
        <v>0</v>
      </c>
      <c r="CY205" s="9">
        <v>0</v>
      </c>
      <c r="CZ205" s="9">
        <v>0</v>
      </c>
      <c r="DA205" s="9">
        <v>0</v>
      </c>
      <c r="DB205" s="9">
        <v>0</v>
      </c>
      <c r="DC205" s="9">
        <v>0</v>
      </c>
      <c r="DD205" s="9">
        <v>0</v>
      </c>
      <c r="DE205" s="9">
        <v>0</v>
      </c>
      <c r="DF205" s="9">
        <v>0</v>
      </c>
      <c r="DG205" s="9">
        <v>0</v>
      </c>
      <c r="DH205" s="9">
        <v>0</v>
      </c>
      <c r="DI205" s="9">
        <v>0</v>
      </c>
      <c r="DJ205" s="9">
        <v>0</v>
      </c>
      <c r="DK205" s="9">
        <v>0</v>
      </c>
      <c r="DL205" s="9">
        <v>0</v>
      </c>
      <c r="DM205" s="9">
        <v>0</v>
      </c>
      <c r="DN205" s="9">
        <v>0</v>
      </c>
      <c r="DO205" s="9">
        <v>0</v>
      </c>
      <c r="DP205" s="9">
        <v>0</v>
      </c>
      <c r="DQ205" s="9">
        <v>0</v>
      </c>
      <c r="DR205" s="9">
        <v>0</v>
      </c>
      <c r="DS205" s="9">
        <v>0</v>
      </c>
      <c r="DT205" s="9">
        <v>0</v>
      </c>
      <c r="DU205" s="9">
        <v>0</v>
      </c>
      <c r="DV205" s="9">
        <v>0</v>
      </c>
      <c r="DW205" s="9">
        <v>0</v>
      </c>
      <c r="DX205" s="9">
        <v>0</v>
      </c>
      <c r="DY205" s="9">
        <v>0</v>
      </c>
      <c r="DZ205" s="9">
        <v>0</v>
      </c>
      <c r="EA205" s="9">
        <v>0</v>
      </c>
      <c r="EB205" s="9">
        <v>0</v>
      </c>
      <c r="EC205" s="9">
        <v>0</v>
      </c>
      <c r="ED205" s="9">
        <v>0</v>
      </c>
      <c r="EE205" s="9">
        <v>0</v>
      </c>
      <c r="EF205" s="9">
        <v>0</v>
      </c>
      <c r="EG205" s="9">
        <v>0</v>
      </c>
      <c r="EH205" s="9">
        <v>0</v>
      </c>
      <c r="EI205" s="9">
        <v>0</v>
      </c>
      <c r="EJ205" s="9">
        <v>0</v>
      </c>
      <c r="EK205" s="9">
        <v>0</v>
      </c>
      <c r="EL205" s="9">
        <v>0</v>
      </c>
      <c r="EM205" s="9">
        <v>0</v>
      </c>
      <c r="EN205" s="9">
        <v>0</v>
      </c>
      <c r="EO205" s="9">
        <v>0</v>
      </c>
      <c r="EP205" s="9">
        <v>0</v>
      </c>
      <c r="EQ205" s="9">
        <v>0</v>
      </c>
      <c r="ER205" s="9">
        <v>0</v>
      </c>
      <c r="ES205" s="9">
        <v>0</v>
      </c>
      <c r="ET205" s="9">
        <v>0</v>
      </c>
      <c r="EU205" s="9">
        <v>0</v>
      </c>
      <c r="EV205" s="9">
        <v>0</v>
      </c>
      <c r="EW205" s="9">
        <v>0</v>
      </c>
      <c r="EX205" s="9">
        <v>0</v>
      </c>
      <c r="EY205" s="9">
        <v>0</v>
      </c>
      <c r="EZ205" s="9">
        <v>0</v>
      </c>
      <c r="FA205" s="9">
        <v>0</v>
      </c>
      <c r="FB205" s="9">
        <v>0</v>
      </c>
      <c r="FC205" s="9">
        <v>0</v>
      </c>
      <c r="FD205" s="9">
        <v>0</v>
      </c>
      <c r="FE205" s="9">
        <v>0</v>
      </c>
      <c r="FF205" s="9">
        <v>0</v>
      </c>
      <c r="FG205" s="9">
        <v>0</v>
      </c>
      <c r="FH205" s="9">
        <v>0</v>
      </c>
      <c r="FI205" s="9">
        <v>0</v>
      </c>
      <c r="FJ205" s="9">
        <v>0</v>
      </c>
      <c r="FK205" s="9">
        <v>0</v>
      </c>
      <c r="FL205" s="9">
        <v>0</v>
      </c>
      <c r="FM205" s="10">
        <v>0</v>
      </c>
    </row>
    <row r="206" spans="1:169" x14ac:dyDescent="0.35">
      <c r="A206" s="8" t="s">
        <v>342</v>
      </c>
      <c r="B206" s="9" t="s">
        <v>347</v>
      </c>
      <c r="C206" s="10" t="s">
        <v>348</v>
      </c>
      <c r="D206" s="62">
        <f t="shared" si="100"/>
        <v>428</v>
      </c>
      <c r="E206" s="9">
        <v>10</v>
      </c>
      <c r="F206" s="9">
        <v>9</v>
      </c>
      <c r="G206" s="9">
        <v>12</v>
      </c>
      <c r="H206" s="9">
        <v>15</v>
      </c>
      <c r="I206" s="9">
        <v>23</v>
      </c>
      <c r="J206" s="9">
        <v>27</v>
      </c>
      <c r="K206" s="9">
        <v>37</v>
      </c>
      <c r="L206" s="9">
        <v>44</v>
      </c>
      <c r="M206" s="9">
        <v>66</v>
      </c>
      <c r="N206" s="9">
        <v>78</v>
      </c>
      <c r="O206" s="9">
        <v>90</v>
      </c>
      <c r="P206" s="9">
        <v>128</v>
      </c>
      <c r="Q206" s="9">
        <v>152</v>
      </c>
      <c r="R206" s="9">
        <v>187</v>
      </c>
      <c r="S206" s="9">
        <v>217</v>
      </c>
      <c r="T206" s="9">
        <v>247</v>
      </c>
      <c r="U206" s="9">
        <v>268</v>
      </c>
      <c r="V206" s="9">
        <v>302</v>
      </c>
      <c r="W206" s="9">
        <v>310</v>
      </c>
      <c r="X206" s="9">
        <v>330</v>
      </c>
      <c r="Y206" s="9">
        <v>379</v>
      </c>
      <c r="Z206" s="9">
        <v>394</v>
      </c>
      <c r="AA206" s="9">
        <v>390</v>
      </c>
      <c r="AB206" s="9">
        <v>414</v>
      </c>
      <c r="AC206" s="9">
        <v>417</v>
      </c>
      <c r="AD206" s="9">
        <v>428</v>
      </c>
      <c r="AE206" s="9">
        <v>219</v>
      </c>
      <c r="AF206" s="9">
        <v>415</v>
      </c>
      <c r="AG206" s="9">
        <v>182</v>
      </c>
      <c r="AH206" s="9">
        <v>385</v>
      </c>
      <c r="AI206" s="9">
        <v>391</v>
      </c>
      <c r="AJ206" s="9">
        <v>390</v>
      </c>
      <c r="AK206" s="9">
        <v>385</v>
      </c>
      <c r="AL206" s="9">
        <v>375</v>
      </c>
      <c r="AM206" s="9">
        <v>380</v>
      </c>
      <c r="AN206" s="9">
        <v>362</v>
      </c>
      <c r="AO206" s="9">
        <v>343</v>
      </c>
      <c r="AP206" s="9">
        <v>342</v>
      </c>
      <c r="AQ206" s="9">
        <v>345</v>
      </c>
      <c r="AR206" s="9">
        <v>341</v>
      </c>
      <c r="AS206" s="9">
        <v>336</v>
      </c>
      <c r="AT206" s="9">
        <v>324</v>
      </c>
      <c r="AU206" s="9">
        <v>333</v>
      </c>
      <c r="AV206" s="9">
        <v>331</v>
      </c>
      <c r="AW206" s="9">
        <v>331</v>
      </c>
      <c r="AX206" s="9">
        <v>335</v>
      </c>
      <c r="AY206" s="9">
        <v>331</v>
      </c>
      <c r="AZ206" s="9">
        <v>336</v>
      </c>
      <c r="BA206" s="9">
        <v>329</v>
      </c>
      <c r="BB206" s="9">
        <v>324</v>
      </c>
      <c r="BC206" s="9">
        <v>322</v>
      </c>
      <c r="BD206" s="9">
        <v>323</v>
      </c>
      <c r="BE206" s="9">
        <v>329</v>
      </c>
      <c r="BF206" s="9">
        <v>327</v>
      </c>
      <c r="BG206" s="9">
        <v>330</v>
      </c>
      <c r="BH206" s="9">
        <v>328</v>
      </c>
      <c r="BI206" s="9">
        <v>323</v>
      </c>
      <c r="BJ206" s="9">
        <v>318</v>
      </c>
      <c r="BK206" s="9">
        <v>325</v>
      </c>
      <c r="BL206" s="9">
        <v>328</v>
      </c>
      <c r="BM206" s="9">
        <v>317</v>
      </c>
      <c r="BN206" s="9">
        <v>304</v>
      </c>
      <c r="BO206" s="9">
        <v>303</v>
      </c>
      <c r="BP206" s="9">
        <v>303</v>
      </c>
      <c r="BQ206" s="9">
        <v>310</v>
      </c>
      <c r="BR206" s="9">
        <v>318</v>
      </c>
      <c r="BS206" s="9">
        <v>314</v>
      </c>
      <c r="BT206" s="9">
        <v>316</v>
      </c>
      <c r="BU206" s="9">
        <v>303</v>
      </c>
      <c r="BV206" s="9">
        <v>296</v>
      </c>
      <c r="BW206" s="9">
        <v>291</v>
      </c>
      <c r="BX206" s="9">
        <v>288</v>
      </c>
      <c r="BY206" s="9">
        <v>286</v>
      </c>
      <c r="BZ206" s="9">
        <v>281</v>
      </c>
      <c r="CA206" s="9">
        <v>282</v>
      </c>
      <c r="CB206" s="9">
        <v>263</v>
      </c>
      <c r="CC206" s="9">
        <v>255</v>
      </c>
      <c r="CD206" s="9">
        <v>267</v>
      </c>
      <c r="CE206" s="9">
        <v>267</v>
      </c>
      <c r="CF206" s="9">
        <v>270</v>
      </c>
      <c r="CG206" s="9">
        <v>269</v>
      </c>
      <c r="CH206" s="9">
        <v>263</v>
      </c>
      <c r="CI206" s="9">
        <v>267</v>
      </c>
      <c r="CJ206" s="9">
        <v>271</v>
      </c>
      <c r="CK206" s="9">
        <v>275</v>
      </c>
      <c r="CL206" s="9">
        <v>281</v>
      </c>
      <c r="CM206" s="9">
        <v>291</v>
      </c>
      <c r="CN206" s="9">
        <v>294</v>
      </c>
      <c r="CO206" s="9">
        <v>275</v>
      </c>
      <c r="CP206" s="9">
        <v>268</v>
      </c>
      <c r="CQ206" s="9">
        <v>253</v>
      </c>
      <c r="CR206" s="9">
        <v>261</v>
      </c>
      <c r="CS206" s="9">
        <v>261</v>
      </c>
      <c r="CT206" s="9">
        <v>266</v>
      </c>
      <c r="CU206" s="9">
        <v>266</v>
      </c>
      <c r="CV206" s="9">
        <v>269</v>
      </c>
      <c r="CW206" s="9">
        <v>256</v>
      </c>
      <c r="CX206" s="9">
        <v>253</v>
      </c>
      <c r="CY206" s="9">
        <v>254</v>
      </c>
      <c r="CZ206" s="9">
        <v>227</v>
      </c>
      <c r="DA206" s="9">
        <v>231</v>
      </c>
      <c r="DB206" s="9">
        <v>227</v>
      </c>
      <c r="DC206" s="9">
        <v>225</v>
      </c>
      <c r="DD206" s="9">
        <v>210</v>
      </c>
      <c r="DE206" s="9">
        <v>179</v>
      </c>
      <c r="DF206" s="9">
        <v>153</v>
      </c>
      <c r="DG206" s="9">
        <v>127</v>
      </c>
      <c r="DH206" s="9">
        <v>124</v>
      </c>
      <c r="DI206" s="9">
        <v>122</v>
      </c>
      <c r="DJ206" s="9">
        <v>104</v>
      </c>
      <c r="DK206" s="9">
        <v>84</v>
      </c>
      <c r="DL206" s="9">
        <v>76</v>
      </c>
      <c r="DM206" s="9">
        <v>63</v>
      </c>
      <c r="DN206" s="9">
        <v>62</v>
      </c>
      <c r="DO206" s="9">
        <v>61</v>
      </c>
      <c r="DP206" s="9">
        <v>61</v>
      </c>
      <c r="DQ206" s="9">
        <v>57</v>
      </c>
      <c r="DR206" s="9">
        <v>54</v>
      </c>
      <c r="DS206" s="9">
        <v>48</v>
      </c>
      <c r="DT206" s="9">
        <v>49</v>
      </c>
      <c r="DU206" s="9">
        <v>48</v>
      </c>
      <c r="DV206" s="9">
        <v>46</v>
      </c>
      <c r="DW206" s="9">
        <v>48</v>
      </c>
      <c r="DX206" s="9">
        <v>46</v>
      </c>
      <c r="DY206" s="9">
        <v>42</v>
      </c>
      <c r="DZ206" s="9">
        <v>47</v>
      </c>
      <c r="EA206" s="9">
        <v>43</v>
      </c>
      <c r="EB206" s="9">
        <v>40</v>
      </c>
      <c r="EC206" s="9">
        <v>37</v>
      </c>
      <c r="ED206" s="9">
        <v>33</v>
      </c>
      <c r="EE206" s="9">
        <v>32</v>
      </c>
      <c r="EF206" s="9">
        <v>32</v>
      </c>
      <c r="EG206" s="9">
        <v>31</v>
      </c>
      <c r="EH206" s="9">
        <v>32</v>
      </c>
      <c r="EI206" s="9">
        <v>33</v>
      </c>
      <c r="EJ206" s="9">
        <v>32</v>
      </c>
      <c r="EK206" s="9">
        <v>30</v>
      </c>
      <c r="EL206" s="9">
        <v>30</v>
      </c>
      <c r="EM206" s="9">
        <v>32</v>
      </c>
      <c r="EN206" s="9">
        <v>36</v>
      </c>
      <c r="EO206" s="9">
        <v>37</v>
      </c>
      <c r="EP206" s="9">
        <v>35</v>
      </c>
      <c r="EQ206" s="9">
        <v>33</v>
      </c>
      <c r="ER206" s="9">
        <v>34</v>
      </c>
      <c r="ES206" s="9">
        <v>32</v>
      </c>
      <c r="ET206" s="9">
        <v>31</v>
      </c>
      <c r="EU206" s="9">
        <v>32</v>
      </c>
      <c r="EV206" s="9">
        <v>35</v>
      </c>
      <c r="EW206" s="9">
        <v>33</v>
      </c>
      <c r="EX206" s="9">
        <v>31</v>
      </c>
      <c r="EY206" s="9">
        <v>28</v>
      </c>
      <c r="EZ206" s="9">
        <v>25</v>
      </c>
      <c r="FA206" s="9">
        <v>29</v>
      </c>
      <c r="FB206" s="9">
        <v>29</v>
      </c>
      <c r="FC206" s="9">
        <v>27</v>
      </c>
      <c r="FD206" s="9">
        <v>26</v>
      </c>
      <c r="FE206" s="9">
        <v>28</v>
      </c>
      <c r="FF206" s="9">
        <v>28</v>
      </c>
      <c r="FG206" s="9">
        <v>25</v>
      </c>
      <c r="FH206" s="9">
        <v>22</v>
      </c>
      <c r="FI206" s="9">
        <v>22</v>
      </c>
      <c r="FJ206" s="9">
        <v>19</v>
      </c>
      <c r="FK206" s="9">
        <v>21</v>
      </c>
      <c r="FL206" s="9">
        <v>26</v>
      </c>
      <c r="FM206" s="10">
        <v>30</v>
      </c>
    </row>
    <row r="207" spans="1:169" x14ac:dyDescent="0.35">
      <c r="A207" s="8" t="s">
        <v>342</v>
      </c>
      <c r="B207" s="9" t="s">
        <v>349</v>
      </c>
      <c r="C207" s="10" t="s">
        <v>350</v>
      </c>
      <c r="D207" s="62">
        <f t="shared" si="100"/>
        <v>131</v>
      </c>
      <c r="E207" s="9">
        <v>2</v>
      </c>
      <c r="F207" s="9">
        <v>1</v>
      </c>
      <c r="G207" s="9">
        <v>2</v>
      </c>
      <c r="H207" s="9">
        <v>5</v>
      </c>
      <c r="I207" s="9">
        <v>5</v>
      </c>
      <c r="J207" s="9">
        <v>8</v>
      </c>
      <c r="K207" s="9">
        <v>14</v>
      </c>
      <c r="L207" s="9">
        <v>21</v>
      </c>
      <c r="M207" s="9">
        <v>16</v>
      </c>
      <c r="N207" s="9">
        <v>22</v>
      </c>
      <c r="O207" s="9">
        <v>30</v>
      </c>
      <c r="P207" s="9">
        <v>34</v>
      </c>
      <c r="Q207" s="9">
        <v>52</v>
      </c>
      <c r="R207" s="9">
        <v>50</v>
      </c>
      <c r="S207" s="9">
        <v>73</v>
      </c>
      <c r="T207" s="9">
        <v>83</v>
      </c>
      <c r="U207" s="9">
        <v>100</v>
      </c>
      <c r="V207" s="9">
        <v>114</v>
      </c>
      <c r="W207" s="9">
        <v>110</v>
      </c>
      <c r="X207" s="9">
        <v>129</v>
      </c>
      <c r="Y207" s="9">
        <v>118</v>
      </c>
      <c r="Z207" s="9">
        <v>119</v>
      </c>
      <c r="AA207" s="9">
        <v>131</v>
      </c>
      <c r="AB207" s="9">
        <v>128</v>
      </c>
      <c r="AC207" s="9">
        <v>130</v>
      </c>
      <c r="AD207" s="9">
        <v>124</v>
      </c>
      <c r="AE207" s="9">
        <v>112</v>
      </c>
      <c r="AF207" s="9">
        <v>105</v>
      </c>
      <c r="AG207" s="9">
        <v>92</v>
      </c>
      <c r="AH207" s="9">
        <v>93</v>
      </c>
      <c r="AI207" s="9">
        <v>96</v>
      </c>
      <c r="AJ207" s="9">
        <v>93</v>
      </c>
      <c r="AK207" s="9">
        <v>90</v>
      </c>
      <c r="AL207" s="9">
        <v>86</v>
      </c>
      <c r="AM207" s="9">
        <v>87</v>
      </c>
      <c r="AN207" s="9">
        <v>76</v>
      </c>
      <c r="AO207" s="9">
        <v>73</v>
      </c>
      <c r="AP207" s="9">
        <v>74</v>
      </c>
      <c r="AQ207" s="9">
        <v>74</v>
      </c>
      <c r="AR207" s="9">
        <v>78</v>
      </c>
      <c r="AS207" s="9">
        <v>67</v>
      </c>
      <c r="AT207" s="9">
        <v>59</v>
      </c>
      <c r="AU207" s="9">
        <v>47</v>
      </c>
      <c r="AV207" s="9">
        <v>56</v>
      </c>
      <c r="AW207" s="9">
        <v>56</v>
      </c>
      <c r="AX207" s="9">
        <v>58</v>
      </c>
      <c r="AY207" s="9">
        <v>67</v>
      </c>
      <c r="AZ207" s="9">
        <v>62</v>
      </c>
      <c r="BA207" s="9">
        <v>55</v>
      </c>
      <c r="BB207" s="9">
        <v>55</v>
      </c>
      <c r="BC207" s="9">
        <v>60</v>
      </c>
      <c r="BD207" s="9">
        <v>65</v>
      </c>
      <c r="BE207" s="9">
        <v>64</v>
      </c>
      <c r="BF207" s="9">
        <v>60</v>
      </c>
      <c r="BG207" s="9">
        <v>55</v>
      </c>
      <c r="BH207" s="9">
        <v>55</v>
      </c>
      <c r="BI207" s="9">
        <v>56</v>
      </c>
      <c r="BJ207" s="9">
        <v>57</v>
      </c>
      <c r="BK207" s="9">
        <v>60</v>
      </c>
      <c r="BL207" s="9">
        <v>57</v>
      </c>
      <c r="BM207" s="9">
        <v>56</v>
      </c>
      <c r="BN207" s="9">
        <v>56</v>
      </c>
      <c r="BO207" s="9">
        <v>61</v>
      </c>
      <c r="BP207" s="9">
        <v>58</v>
      </c>
      <c r="BQ207" s="9">
        <v>60</v>
      </c>
      <c r="BR207" s="9">
        <v>65</v>
      </c>
      <c r="BS207" s="9">
        <v>63</v>
      </c>
      <c r="BT207" s="9">
        <v>64</v>
      </c>
      <c r="BU207" s="9">
        <v>67</v>
      </c>
      <c r="BV207" s="9">
        <v>66</v>
      </c>
      <c r="BW207" s="9">
        <v>69</v>
      </c>
      <c r="BX207" s="9">
        <v>64</v>
      </c>
      <c r="BY207" s="9">
        <v>62</v>
      </c>
      <c r="BZ207" s="9">
        <v>57</v>
      </c>
      <c r="CA207" s="9">
        <v>58</v>
      </c>
      <c r="CB207" s="9">
        <v>64</v>
      </c>
      <c r="CC207" s="9">
        <v>63</v>
      </c>
      <c r="CD207" s="9">
        <v>62</v>
      </c>
      <c r="CE207" s="9">
        <v>57</v>
      </c>
      <c r="CF207" s="9">
        <v>55</v>
      </c>
      <c r="CG207" s="9">
        <v>55</v>
      </c>
      <c r="CH207" s="9">
        <v>51</v>
      </c>
      <c r="CI207" s="9">
        <v>49</v>
      </c>
      <c r="CJ207" s="9">
        <v>54</v>
      </c>
      <c r="CK207" s="9">
        <v>52</v>
      </c>
      <c r="CL207" s="9">
        <v>53</v>
      </c>
      <c r="CM207" s="9">
        <v>53</v>
      </c>
      <c r="CN207" s="9">
        <v>55</v>
      </c>
      <c r="CO207" s="9">
        <v>53</v>
      </c>
      <c r="CP207" s="9">
        <v>51</v>
      </c>
      <c r="CQ207" s="9">
        <v>46</v>
      </c>
      <c r="CR207" s="9">
        <v>39</v>
      </c>
      <c r="CS207" s="9">
        <v>39</v>
      </c>
      <c r="CT207" s="9">
        <v>38</v>
      </c>
      <c r="CU207" s="9">
        <v>36</v>
      </c>
      <c r="CV207" s="9">
        <v>39</v>
      </c>
      <c r="CW207" s="9">
        <v>39</v>
      </c>
      <c r="CX207" s="9">
        <v>37</v>
      </c>
      <c r="CY207" s="9">
        <v>32</v>
      </c>
      <c r="CZ207" s="9">
        <v>32</v>
      </c>
      <c r="DA207" s="9">
        <v>30</v>
      </c>
      <c r="DB207" s="9">
        <v>30</v>
      </c>
      <c r="DC207" s="9">
        <v>32</v>
      </c>
      <c r="DD207" s="9">
        <v>28</v>
      </c>
      <c r="DE207" s="9">
        <v>29</v>
      </c>
      <c r="DF207" s="9">
        <v>15</v>
      </c>
      <c r="DG207" s="9">
        <v>13</v>
      </c>
      <c r="DH207" s="9">
        <v>11</v>
      </c>
      <c r="DI207" s="9">
        <v>11</v>
      </c>
      <c r="DJ207" s="9">
        <v>9</v>
      </c>
      <c r="DK207" s="9">
        <v>9</v>
      </c>
      <c r="DL207" s="9">
        <v>11</v>
      </c>
      <c r="DM207" s="9">
        <v>11</v>
      </c>
      <c r="DN207" s="9">
        <v>8</v>
      </c>
      <c r="DO207" s="9">
        <v>8</v>
      </c>
      <c r="DP207" s="9">
        <v>7</v>
      </c>
      <c r="DQ207" s="9">
        <v>7</v>
      </c>
      <c r="DR207" s="9">
        <v>5</v>
      </c>
      <c r="DS207" s="9">
        <v>4</v>
      </c>
      <c r="DT207" s="9">
        <v>4</v>
      </c>
      <c r="DU207" s="9">
        <v>3</v>
      </c>
      <c r="DV207" s="9">
        <v>4</v>
      </c>
      <c r="DW207" s="9">
        <v>4</v>
      </c>
      <c r="DX207" s="9">
        <v>6</v>
      </c>
      <c r="DY207" s="9">
        <v>5</v>
      </c>
      <c r="DZ207" s="9">
        <v>6</v>
      </c>
      <c r="EA207" s="9">
        <v>7</v>
      </c>
      <c r="EB207" s="9">
        <v>8</v>
      </c>
      <c r="EC207" s="9">
        <v>7</v>
      </c>
      <c r="ED207" s="9">
        <v>7</v>
      </c>
      <c r="EE207" s="9">
        <v>5</v>
      </c>
      <c r="EF207" s="9">
        <v>3</v>
      </c>
      <c r="EG207" s="9">
        <v>5</v>
      </c>
      <c r="EH207" s="9">
        <v>6</v>
      </c>
      <c r="EI207" s="9">
        <v>7</v>
      </c>
      <c r="EJ207" s="9">
        <v>6</v>
      </c>
      <c r="EK207" s="9">
        <v>7</v>
      </c>
      <c r="EL207" s="9">
        <v>7</v>
      </c>
      <c r="EM207" s="9">
        <v>5</v>
      </c>
      <c r="EN207" s="9">
        <v>6</v>
      </c>
      <c r="EO207" s="9">
        <v>6</v>
      </c>
      <c r="EP207" s="9">
        <v>5</v>
      </c>
      <c r="EQ207" s="9">
        <v>5</v>
      </c>
      <c r="ER207" s="9">
        <v>6</v>
      </c>
      <c r="ES207" s="9">
        <v>6</v>
      </c>
      <c r="ET207" s="9">
        <v>7</v>
      </c>
      <c r="EU207" s="9">
        <v>8</v>
      </c>
      <c r="EV207" s="9">
        <v>7</v>
      </c>
      <c r="EW207" s="9">
        <v>5</v>
      </c>
      <c r="EX207" s="9">
        <v>5</v>
      </c>
      <c r="EY207" s="9">
        <v>5</v>
      </c>
      <c r="EZ207" s="9">
        <v>6</v>
      </c>
      <c r="FA207" s="9">
        <v>6</v>
      </c>
      <c r="FB207" s="9">
        <v>4</v>
      </c>
      <c r="FC207" s="9">
        <v>4</v>
      </c>
      <c r="FD207" s="9">
        <v>4</v>
      </c>
      <c r="FE207" s="9">
        <v>5</v>
      </c>
      <c r="FF207" s="9">
        <v>6</v>
      </c>
      <c r="FG207" s="9">
        <v>5</v>
      </c>
      <c r="FH207" s="9">
        <v>6</v>
      </c>
      <c r="FI207" s="9">
        <v>7</v>
      </c>
      <c r="FJ207" s="9">
        <v>6</v>
      </c>
      <c r="FK207" s="9">
        <v>6</v>
      </c>
      <c r="FL207" s="9">
        <v>4</v>
      </c>
      <c r="FM207" s="10">
        <v>4</v>
      </c>
    </row>
    <row r="208" spans="1:169" x14ac:dyDescent="0.35">
      <c r="A208" s="8" t="s">
        <v>342</v>
      </c>
      <c r="B208" s="9" t="s">
        <v>351</v>
      </c>
      <c r="C208" s="10" t="s">
        <v>352</v>
      </c>
      <c r="D208" s="62">
        <f t="shared" si="100"/>
        <v>153</v>
      </c>
      <c r="E208" s="9">
        <v>5</v>
      </c>
      <c r="F208" s="9">
        <v>4</v>
      </c>
      <c r="G208" s="9">
        <v>8</v>
      </c>
      <c r="H208" s="9">
        <v>12</v>
      </c>
      <c r="I208" s="9">
        <v>2</v>
      </c>
      <c r="J208" s="9">
        <v>10</v>
      </c>
      <c r="K208" s="9">
        <v>11</v>
      </c>
      <c r="L208" s="9">
        <v>17</v>
      </c>
      <c r="M208" s="9">
        <v>26</v>
      </c>
      <c r="N208" s="9">
        <v>29</v>
      </c>
      <c r="O208" s="9">
        <v>36</v>
      </c>
      <c r="P208" s="9">
        <v>41</v>
      </c>
      <c r="Q208" s="9">
        <v>60</v>
      </c>
      <c r="R208" s="9">
        <v>64</v>
      </c>
      <c r="S208" s="9">
        <v>81</v>
      </c>
      <c r="T208" s="9">
        <v>101</v>
      </c>
      <c r="U208" s="9">
        <v>101</v>
      </c>
      <c r="V208" s="9">
        <v>116</v>
      </c>
      <c r="W208" s="9">
        <v>124</v>
      </c>
      <c r="X208" s="9">
        <v>134</v>
      </c>
      <c r="Y208" s="9">
        <v>137</v>
      </c>
      <c r="Z208" s="9">
        <v>148</v>
      </c>
      <c r="AA208" s="9">
        <v>152</v>
      </c>
      <c r="AB208" s="9">
        <v>153</v>
      </c>
      <c r="AC208" s="9">
        <v>152</v>
      </c>
      <c r="AD208" s="9">
        <v>148</v>
      </c>
      <c r="AE208" s="9">
        <v>139</v>
      </c>
      <c r="AF208" s="9">
        <v>137</v>
      </c>
      <c r="AG208" s="9">
        <v>130</v>
      </c>
      <c r="AH208" s="9">
        <v>125</v>
      </c>
      <c r="AI208" s="9">
        <v>122</v>
      </c>
      <c r="AJ208" s="9">
        <v>124</v>
      </c>
      <c r="AK208" s="9">
        <v>120</v>
      </c>
      <c r="AL208" s="9">
        <v>116</v>
      </c>
      <c r="AM208" s="9">
        <v>112</v>
      </c>
      <c r="AN208" s="9">
        <v>105</v>
      </c>
      <c r="AO208" s="9">
        <v>104</v>
      </c>
      <c r="AP208" s="9">
        <v>100</v>
      </c>
      <c r="AQ208" s="9">
        <v>103</v>
      </c>
      <c r="AR208" s="9">
        <v>95</v>
      </c>
      <c r="AS208" s="9">
        <v>97</v>
      </c>
      <c r="AT208" s="9">
        <v>99</v>
      </c>
      <c r="AU208" s="9">
        <v>101</v>
      </c>
      <c r="AV208" s="9">
        <v>102</v>
      </c>
      <c r="AW208" s="9">
        <v>99</v>
      </c>
      <c r="AX208" s="9">
        <v>103</v>
      </c>
      <c r="AY208" s="9">
        <v>105</v>
      </c>
      <c r="AZ208" s="9">
        <v>93</v>
      </c>
      <c r="BA208" s="9">
        <v>89</v>
      </c>
      <c r="BB208" s="9">
        <v>82</v>
      </c>
      <c r="BC208" s="9">
        <v>79</v>
      </c>
      <c r="BD208" s="9">
        <v>79</v>
      </c>
      <c r="BE208" s="9">
        <v>82</v>
      </c>
      <c r="BF208" s="9">
        <v>78</v>
      </c>
      <c r="BG208" s="9">
        <v>82</v>
      </c>
      <c r="BH208" s="9">
        <v>80</v>
      </c>
      <c r="BI208" s="9">
        <v>77</v>
      </c>
      <c r="BJ208" s="9">
        <v>77</v>
      </c>
      <c r="BK208" s="9">
        <v>76</v>
      </c>
      <c r="BL208" s="9">
        <v>78</v>
      </c>
      <c r="BM208" s="9">
        <v>84</v>
      </c>
      <c r="BN208" s="9">
        <v>80</v>
      </c>
      <c r="BO208" s="9">
        <v>74</v>
      </c>
      <c r="BP208" s="9">
        <v>68</v>
      </c>
      <c r="BQ208" s="9">
        <v>67</v>
      </c>
      <c r="BR208" s="9">
        <v>61</v>
      </c>
      <c r="BS208" s="9">
        <v>56</v>
      </c>
      <c r="BT208" s="9">
        <v>52</v>
      </c>
      <c r="BU208" s="9">
        <v>28</v>
      </c>
      <c r="BV208" s="9">
        <v>26</v>
      </c>
      <c r="BW208" s="9">
        <v>22</v>
      </c>
      <c r="BX208" s="9">
        <v>23</v>
      </c>
      <c r="BY208" s="9">
        <v>24</v>
      </c>
      <c r="BZ208" s="9">
        <v>23</v>
      </c>
      <c r="CA208" s="9">
        <v>23</v>
      </c>
      <c r="CB208" s="9">
        <v>22</v>
      </c>
      <c r="CC208" s="9">
        <v>18</v>
      </c>
      <c r="CD208" s="9">
        <v>16</v>
      </c>
      <c r="CE208" s="9">
        <v>35</v>
      </c>
      <c r="CF208" s="9">
        <v>13</v>
      </c>
      <c r="CG208" s="9">
        <v>10</v>
      </c>
      <c r="CH208" s="9">
        <v>10</v>
      </c>
      <c r="CI208" s="9">
        <v>7</v>
      </c>
      <c r="CJ208" s="9">
        <v>7</v>
      </c>
      <c r="CK208" s="9">
        <v>10</v>
      </c>
      <c r="CL208" s="9">
        <v>12</v>
      </c>
      <c r="CM208" s="9">
        <v>10</v>
      </c>
      <c r="CN208" s="9">
        <v>7</v>
      </c>
      <c r="CO208" s="9">
        <v>8</v>
      </c>
      <c r="CP208" s="9">
        <v>8</v>
      </c>
      <c r="CQ208" s="9">
        <v>5</v>
      </c>
      <c r="CR208" s="9">
        <v>5</v>
      </c>
      <c r="CS208" s="9">
        <v>9</v>
      </c>
      <c r="CT208" s="9">
        <v>9</v>
      </c>
      <c r="CU208" s="9">
        <v>9</v>
      </c>
      <c r="CV208" s="9">
        <v>9</v>
      </c>
      <c r="CW208" s="9">
        <v>8</v>
      </c>
      <c r="CX208" s="9">
        <v>7</v>
      </c>
      <c r="CY208" s="9">
        <v>7</v>
      </c>
      <c r="CZ208" s="9">
        <v>4</v>
      </c>
      <c r="DA208" s="9">
        <v>4</v>
      </c>
      <c r="DB208" s="9">
        <v>3</v>
      </c>
      <c r="DC208" s="9">
        <v>3</v>
      </c>
      <c r="DD208" s="9">
        <v>5</v>
      </c>
      <c r="DE208" s="9">
        <v>4</v>
      </c>
      <c r="DF208" s="9">
        <v>4</v>
      </c>
      <c r="DG208" s="9">
        <v>4</v>
      </c>
      <c r="DH208" s="9">
        <v>4</v>
      </c>
      <c r="DI208" s="9">
        <v>4</v>
      </c>
      <c r="DJ208" s="9">
        <v>3</v>
      </c>
      <c r="DK208" s="9">
        <v>2</v>
      </c>
      <c r="DL208" s="9">
        <v>3</v>
      </c>
      <c r="DM208" s="9">
        <v>3</v>
      </c>
      <c r="DN208" s="9">
        <v>2</v>
      </c>
      <c r="DO208" s="9">
        <v>2</v>
      </c>
      <c r="DP208" s="9">
        <v>2</v>
      </c>
      <c r="DQ208" s="9">
        <v>2</v>
      </c>
      <c r="DR208" s="9">
        <v>3</v>
      </c>
      <c r="DS208" s="9">
        <v>2</v>
      </c>
      <c r="DT208" s="9">
        <v>2</v>
      </c>
      <c r="DU208" s="9">
        <v>1</v>
      </c>
      <c r="DV208" s="9">
        <v>1</v>
      </c>
      <c r="DW208" s="9">
        <v>1</v>
      </c>
      <c r="DX208" s="9">
        <v>1</v>
      </c>
      <c r="DY208" s="9">
        <v>1</v>
      </c>
      <c r="DZ208" s="9">
        <v>1</v>
      </c>
      <c r="EA208" s="9">
        <v>1</v>
      </c>
      <c r="EB208" s="9">
        <v>3</v>
      </c>
      <c r="EC208" s="9">
        <v>4</v>
      </c>
      <c r="ED208" s="9">
        <v>4</v>
      </c>
      <c r="EE208" s="9">
        <v>4</v>
      </c>
      <c r="EF208" s="9">
        <v>4</v>
      </c>
      <c r="EG208" s="9">
        <v>4</v>
      </c>
      <c r="EH208" s="9">
        <v>5</v>
      </c>
      <c r="EI208" s="9">
        <v>3</v>
      </c>
      <c r="EJ208" s="9">
        <v>3</v>
      </c>
      <c r="EK208" s="9">
        <v>1</v>
      </c>
      <c r="EL208" s="9">
        <v>0</v>
      </c>
      <c r="EM208" s="9">
        <v>1</v>
      </c>
      <c r="EN208" s="9">
        <v>2</v>
      </c>
      <c r="EO208" s="9">
        <v>2</v>
      </c>
      <c r="EP208" s="9">
        <v>2</v>
      </c>
      <c r="EQ208" s="9">
        <v>2</v>
      </c>
      <c r="ER208" s="9">
        <v>3</v>
      </c>
      <c r="ES208" s="9">
        <v>3</v>
      </c>
      <c r="ET208" s="9">
        <v>2</v>
      </c>
      <c r="EU208" s="9">
        <v>3</v>
      </c>
      <c r="EV208" s="9">
        <v>3</v>
      </c>
      <c r="EW208" s="9">
        <v>2</v>
      </c>
      <c r="EX208" s="9">
        <v>2</v>
      </c>
      <c r="EY208" s="9">
        <v>2</v>
      </c>
      <c r="EZ208" s="9">
        <v>2</v>
      </c>
      <c r="FA208" s="9">
        <v>2</v>
      </c>
      <c r="FB208" s="9">
        <v>1</v>
      </c>
      <c r="FC208" s="9">
        <v>2</v>
      </c>
      <c r="FD208" s="9">
        <v>1</v>
      </c>
      <c r="FE208" s="9">
        <v>1</v>
      </c>
      <c r="FF208" s="9">
        <v>2</v>
      </c>
      <c r="FG208" s="9">
        <v>2</v>
      </c>
      <c r="FH208" s="9">
        <v>1</v>
      </c>
      <c r="FI208" s="9">
        <v>1</v>
      </c>
      <c r="FJ208" s="9">
        <v>1</v>
      </c>
      <c r="FK208" s="9">
        <v>1</v>
      </c>
      <c r="FL208" s="9">
        <v>0</v>
      </c>
      <c r="FM208" s="10">
        <v>0</v>
      </c>
    </row>
    <row r="209" spans="1:169" x14ac:dyDescent="0.35">
      <c r="A209" s="8" t="s">
        <v>342</v>
      </c>
      <c r="B209" s="9" t="s">
        <v>353</v>
      </c>
      <c r="C209" s="10" t="s">
        <v>354</v>
      </c>
      <c r="D209" s="62">
        <f t="shared" si="100"/>
        <v>28</v>
      </c>
      <c r="E209" s="9">
        <v>0</v>
      </c>
      <c r="F209" s="9">
        <v>0</v>
      </c>
      <c r="G209" s="9">
        <v>0</v>
      </c>
      <c r="H209" s="9">
        <v>0</v>
      </c>
      <c r="I209" s="9">
        <v>0</v>
      </c>
      <c r="J209" s="9">
        <v>0</v>
      </c>
      <c r="K209" s="9">
        <v>0</v>
      </c>
      <c r="L209" s="9">
        <v>1</v>
      </c>
      <c r="M209" s="9">
        <v>1</v>
      </c>
      <c r="N209" s="9">
        <v>1</v>
      </c>
      <c r="O209" s="9">
        <v>1</v>
      </c>
      <c r="P209" s="9">
        <v>4</v>
      </c>
      <c r="Q209" s="9">
        <v>4</v>
      </c>
      <c r="R209" s="9">
        <v>3</v>
      </c>
      <c r="S209" s="9">
        <v>5</v>
      </c>
      <c r="T209" s="9">
        <v>8</v>
      </c>
      <c r="U209" s="9">
        <v>16</v>
      </c>
      <c r="V209" s="9">
        <v>20</v>
      </c>
      <c r="W209" s="9">
        <v>21</v>
      </c>
      <c r="X209" s="9">
        <v>17</v>
      </c>
      <c r="Y209" s="9">
        <v>20</v>
      </c>
      <c r="Z209" s="9">
        <v>21</v>
      </c>
      <c r="AA209" s="9">
        <v>24</v>
      </c>
      <c r="AB209" s="9">
        <v>22</v>
      </c>
      <c r="AC209" s="9">
        <v>25</v>
      </c>
      <c r="AD209" s="9">
        <v>26</v>
      </c>
      <c r="AE209" s="9">
        <v>26</v>
      </c>
      <c r="AF209" s="9">
        <v>28</v>
      </c>
      <c r="AG209" s="9">
        <v>26</v>
      </c>
      <c r="AH209" s="9">
        <v>25</v>
      </c>
      <c r="AI209" s="9">
        <v>22</v>
      </c>
      <c r="AJ209" s="9">
        <v>22</v>
      </c>
      <c r="AK209" s="9">
        <v>21</v>
      </c>
      <c r="AL209" s="9">
        <v>20</v>
      </c>
      <c r="AM209" s="9">
        <v>19</v>
      </c>
      <c r="AN209" s="9">
        <v>18</v>
      </c>
      <c r="AO209" s="9">
        <v>15</v>
      </c>
      <c r="AP209" s="9">
        <v>14</v>
      </c>
      <c r="AQ209" s="9">
        <v>14</v>
      </c>
      <c r="AR209" s="9">
        <v>13</v>
      </c>
      <c r="AS209" s="9">
        <v>13</v>
      </c>
      <c r="AT209" s="9">
        <v>14</v>
      </c>
      <c r="AU209" s="9">
        <v>13</v>
      </c>
      <c r="AV209" s="9">
        <v>13</v>
      </c>
      <c r="AW209" s="9">
        <v>13</v>
      </c>
      <c r="AX209" s="9">
        <v>13</v>
      </c>
      <c r="AY209" s="9">
        <v>13</v>
      </c>
      <c r="AZ209" s="9">
        <v>14</v>
      </c>
      <c r="BA209" s="9">
        <v>14</v>
      </c>
      <c r="BB209" s="9">
        <v>13</v>
      </c>
      <c r="BC209" s="9">
        <v>11</v>
      </c>
      <c r="BD209" s="9">
        <v>11</v>
      </c>
      <c r="BE209" s="9">
        <v>9</v>
      </c>
      <c r="BF209" s="9">
        <v>11</v>
      </c>
      <c r="BG209" s="9">
        <v>8</v>
      </c>
      <c r="BH209" s="9">
        <v>8</v>
      </c>
      <c r="BI209" s="9">
        <v>6</v>
      </c>
      <c r="BJ209" s="9">
        <v>6</v>
      </c>
      <c r="BK209" s="9">
        <v>6</v>
      </c>
      <c r="BL209" s="9">
        <v>6</v>
      </c>
      <c r="BM209" s="9">
        <v>7</v>
      </c>
      <c r="BN209" s="9">
        <v>7</v>
      </c>
      <c r="BO209" s="9">
        <v>6</v>
      </c>
      <c r="BP209" s="9">
        <v>5</v>
      </c>
      <c r="BQ209" s="9">
        <v>5</v>
      </c>
      <c r="BR209" s="9">
        <v>6</v>
      </c>
      <c r="BS209" s="9">
        <v>6</v>
      </c>
      <c r="BT209" s="9">
        <v>6</v>
      </c>
      <c r="BU209" s="9">
        <v>6</v>
      </c>
      <c r="BV209" s="9">
        <v>3</v>
      </c>
      <c r="BW209" s="9">
        <v>3</v>
      </c>
      <c r="BX209" s="9">
        <v>3</v>
      </c>
      <c r="BY209" s="9">
        <v>3</v>
      </c>
      <c r="BZ209" s="9">
        <v>3</v>
      </c>
      <c r="CA209" s="9">
        <v>2</v>
      </c>
      <c r="CB209" s="9">
        <v>2</v>
      </c>
      <c r="CC209" s="9">
        <v>2</v>
      </c>
      <c r="CD209" s="9">
        <v>3</v>
      </c>
      <c r="CE209" s="9">
        <v>3</v>
      </c>
      <c r="CF209" s="9">
        <v>3</v>
      </c>
      <c r="CG209" s="9">
        <v>1</v>
      </c>
      <c r="CH209" s="9">
        <v>2</v>
      </c>
      <c r="CI209" s="9">
        <v>0</v>
      </c>
      <c r="CJ209" s="9">
        <v>0</v>
      </c>
      <c r="CK209" s="9">
        <v>1</v>
      </c>
      <c r="CL209" s="9">
        <v>1</v>
      </c>
      <c r="CM209" s="9">
        <v>1</v>
      </c>
      <c r="CN209" s="9">
        <v>3</v>
      </c>
      <c r="CO209" s="9">
        <v>4</v>
      </c>
      <c r="CP209" s="9">
        <v>4</v>
      </c>
      <c r="CQ209" s="9">
        <v>4</v>
      </c>
      <c r="CR209" s="9">
        <v>3</v>
      </c>
      <c r="CS209" s="9">
        <v>2</v>
      </c>
      <c r="CT209" s="9">
        <v>3</v>
      </c>
      <c r="CU209" s="9">
        <v>3</v>
      </c>
      <c r="CV209" s="9">
        <v>2</v>
      </c>
      <c r="CW209" s="9">
        <v>2</v>
      </c>
      <c r="CX209" s="9">
        <v>2</v>
      </c>
      <c r="CY209" s="9">
        <v>1</v>
      </c>
      <c r="CZ209" s="9">
        <v>1</v>
      </c>
      <c r="DA209" s="9">
        <v>0</v>
      </c>
      <c r="DB209" s="9">
        <v>1</v>
      </c>
      <c r="DC209" s="9">
        <v>1</v>
      </c>
      <c r="DD209" s="9">
        <v>0</v>
      </c>
      <c r="DE209" s="9">
        <v>0</v>
      </c>
      <c r="DF209" s="9">
        <v>0</v>
      </c>
      <c r="DG209" s="9">
        <v>0</v>
      </c>
      <c r="DH209" s="9">
        <v>0</v>
      </c>
      <c r="DI209" s="9">
        <v>0</v>
      </c>
      <c r="DJ209" s="9">
        <v>0</v>
      </c>
      <c r="DK209" s="9">
        <v>0</v>
      </c>
      <c r="DL209" s="9">
        <v>0</v>
      </c>
      <c r="DM209" s="9">
        <v>0</v>
      </c>
      <c r="DN209" s="9">
        <v>0</v>
      </c>
      <c r="DO209" s="9">
        <v>0</v>
      </c>
      <c r="DP209" s="9">
        <v>0</v>
      </c>
      <c r="DQ209" s="9">
        <v>0</v>
      </c>
      <c r="DR209" s="9">
        <v>0</v>
      </c>
      <c r="DS209" s="9">
        <v>0</v>
      </c>
      <c r="DT209" s="9">
        <v>0</v>
      </c>
      <c r="DU209" s="9">
        <v>0</v>
      </c>
      <c r="DV209" s="9">
        <v>0</v>
      </c>
      <c r="DW209" s="9">
        <v>0</v>
      </c>
      <c r="DX209" s="9">
        <v>0</v>
      </c>
      <c r="DY209" s="9">
        <v>0</v>
      </c>
      <c r="DZ209" s="9">
        <v>0</v>
      </c>
      <c r="EA209" s="9">
        <v>0</v>
      </c>
      <c r="EB209" s="9">
        <v>0</v>
      </c>
      <c r="EC209" s="9">
        <v>0</v>
      </c>
      <c r="ED209" s="9">
        <v>0</v>
      </c>
      <c r="EE209" s="9">
        <v>0</v>
      </c>
      <c r="EF209" s="9">
        <v>0</v>
      </c>
      <c r="EG209" s="9">
        <v>0</v>
      </c>
      <c r="EH209" s="9">
        <v>0</v>
      </c>
      <c r="EI209" s="9">
        <v>0</v>
      </c>
      <c r="EJ209" s="9">
        <v>1</v>
      </c>
      <c r="EK209" s="9">
        <v>1</v>
      </c>
      <c r="EL209" s="9">
        <v>1</v>
      </c>
      <c r="EM209" s="9">
        <v>1</v>
      </c>
      <c r="EN209" s="9">
        <v>0</v>
      </c>
      <c r="EO209" s="9">
        <v>0</v>
      </c>
      <c r="EP209" s="9">
        <v>0</v>
      </c>
      <c r="EQ209" s="9">
        <v>0</v>
      </c>
      <c r="ER209" s="9">
        <v>0</v>
      </c>
      <c r="ES209" s="9">
        <v>0</v>
      </c>
      <c r="ET209" s="9">
        <v>0</v>
      </c>
      <c r="EU209" s="9">
        <v>0</v>
      </c>
      <c r="EV209" s="9">
        <v>0</v>
      </c>
      <c r="EW209" s="9">
        <v>0</v>
      </c>
      <c r="EX209" s="9">
        <v>0</v>
      </c>
      <c r="EY209" s="9">
        <v>0</v>
      </c>
      <c r="EZ209" s="9">
        <v>0</v>
      </c>
      <c r="FA209" s="9">
        <v>0</v>
      </c>
      <c r="FB209" s="9">
        <v>0</v>
      </c>
      <c r="FC209" s="9">
        <v>0</v>
      </c>
      <c r="FD209" s="9">
        <v>0</v>
      </c>
      <c r="FE209" s="9">
        <v>0</v>
      </c>
      <c r="FF209" s="9">
        <v>0</v>
      </c>
      <c r="FG209" s="9">
        <v>0</v>
      </c>
      <c r="FH209" s="9">
        <v>0</v>
      </c>
      <c r="FI209" s="9">
        <v>0</v>
      </c>
      <c r="FJ209" s="9">
        <v>0</v>
      </c>
      <c r="FK209" s="9">
        <v>0</v>
      </c>
      <c r="FL209" s="9">
        <v>0</v>
      </c>
      <c r="FM209" s="10">
        <v>0</v>
      </c>
    </row>
    <row r="210" spans="1:169" x14ac:dyDescent="0.35">
      <c r="A210" s="8" t="s">
        <v>342</v>
      </c>
      <c r="B210" s="9" t="s">
        <v>355</v>
      </c>
      <c r="C210" s="10" t="s">
        <v>356</v>
      </c>
      <c r="D210" s="62">
        <f t="shared" si="100"/>
        <v>12</v>
      </c>
      <c r="E210" s="9">
        <v>0</v>
      </c>
      <c r="F210" s="9">
        <v>0</v>
      </c>
      <c r="G210" s="9">
        <v>0</v>
      </c>
      <c r="H210" s="9">
        <v>0</v>
      </c>
      <c r="I210" s="9">
        <v>0</v>
      </c>
      <c r="J210" s="9">
        <v>0</v>
      </c>
      <c r="K210" s="9">
        <v>0</v>
      </c>
      <c r="L210" s="9">
        <v>0</v>
      </c>
      <c r="M210" s="9">
        <v>0</v>
      </c>
      <c r="N210" s="9">
        <v>0</v>
      </c>
      <c r="O210" s="9">
        <v>0</v>
      </c>
      <c r="P210" s="9">
        <v>0</v>
      </c>
      <c r="Q210" s="9">
        <v>0</v>
      </c>
      <c r="R210" s="9">
        <v>1</v>
      </c>
      <c r="S210" s="9">
        <v>1</v>
      </c>
      <c r="T210" s="9">
        <v>0</v>
      </c>
      <c r="U210" s="9">
        <v>0</v>
      </c>
      <c r="V210" s="9">
        <v>0</v>
      </c>
      <c r="W210" s="9">
        <v>0</v>
      </c>
      <c r="X210" s="9">
        <v>2</v>
      </c>
      <c r="Y210" s="9">
        <v>4</v>
      </c>
      <c r="Z210" s="9">
        <v>5</v>
      </c>
      <c r="AA210" s="9">
        <v>9</v>
      </c>
      <c r="AB210" s="9">
        <v>11</v>
      </c>
      <c r="AC210" s="9">
        <v>11</v>
      </c>
      <c r="AD210" s="9">
        <v>11</v>
      </c>
      <c r="AE210" s="9">
        <v>11</v>
      </c>
      <c r="AF210" s="9">
        <v>12</v>
      </c>
      <c r="AG210" s="9">
        <v>12</v>
      </c>
      <c r="AH210" s="9">
        <v>12</v>
      </c>
      <c r="AI210" s="9">
        <v>11</v>
      </c>
      <c r="AJ210" s="9">
        <v>11</v>
      </c>
      <c r="AK210" s="9">
        <v>10</v>
      </c>
      <c r="AL210" s="9">
        <v>9</v>
      </c>
      <c r="AM210" s="9">
        <v>9</v>
      </c>
      <c r="AN210" s="9">
        <v>9</v>
      </c>
      <c r="AO210" s="9">
        <v>8</v>
      </c>
      <c r="AP210" s="9">
        <v>6</v>
      </c>
      <c r="AQ210" s="9">
        <v>5</v>
      </c>
      <c r="AR210" s="9">
        <v>3</v>
      </c>
      <c r="AS210" s="9">
        <v>3</v>
      </c>
      <c r="AT210" s="9">
        <v>1</v>
      </c>
      <c r="AU210" s="9">
        <v>0</v>
      </c>
      <c r="AV210" s="9">
        <v>0</v>
      </c>
      <c r="AW210" s="9">
        <v>0</v>
      </c>
      <c r="AX210" s="9">
        <v>0</v>
      </c>
      <c r="AY210" s="9">
        <v>0</v>
      </c>
      <c r="AZ210" s="9">
        <v>0</v>
      </c>
      <c r="BA210" s="9">
        <v>0</v>
      </c>
      <c r="BB210" s="9">
        <v>0</v>
      </c>
      <c r="BC210" s="9">
        <v>0</v>
      </c>
      <c r="BD210" s="9">
        <v>0</v>
      </c>
      <c r="BE210" s="9">
        <v>0</v>
      </c>
      <c r="BF210" s="9">
        <v>1</v>
      </c>
      <c r="BG210" s="9">
        <v>1</v>
      </c>
      <c r="BH210" s="9">
        <v>1</v>
      </c>
      <c r="BI210" s="9">
        <v>1</v>
      </c>
      <c r="BJ210" s="9">
        <v>1</v>
      </c>
      <c r="BK210" s="9">
        <v>1</v>
      </c>
      <c r="BL210" s="9">
        <v>1</v>
      </c>
      <c r="BM210" s="9">
        <v>1</v>
      </c>
      <c r="BN210" s="9">
        <v>1</v>
      </c>
      <c r="BO210" s="9">
        <v>1</v>
      </c>
      <c r="BP210" s="9">
        <v>2</v>
      </c>
      <c r="BQ210" s="9">
        <v>1</v>
      </c>
      <c r="BR210" s="9">
        <v>0</v>
      </c>
      <c r="BS210" s="9">
        <v>0</v>
      </c>
      <c r="BT210" s="9">
        <v>0</v>
      </c>
      <c r="BU210" s="9">
        <v>0</v>
      </c>
      <c r="BV210" s="9">
        <v>0</v>
      </c>
      <c r="BW210" s="9">
        <v>0</v>
      </c>
      <c r="BX210" s="9">
        <v>0</v>
      </c>
      <c r="BY210" s="9">
        <v>0</v>
      </c>
      <c r="BZ210" s="9">
        <v>0</v>
      </c>
      <c r="CA210" s="9">
        <v>0</v>
      </c>
      <c r="CB210" s="9">
        <v>0</v>
      </c>
      <c r="CC210" s="9">
        <v>0</v>
      </c>
      <c r="CD210" s="9">
        <v>1</v>
      </c>
      <c r="CE210" s="9">
        <v>0</v>
      </c>
      <c r="CF210" s="9">
        <v>0</v>
      </c>
      <c r="CG210" s="9">
        <v>0</v>
      </c>
      <c r="CH210" s="9">
        <v>1</v>
      </c>
      <c r="CI210" s="9">
        <v>1</v>
      </c>
      <c r="CJ210" s="9">
        <v>1</v>
      </c>
      <c r="CK210" s="9">
        <v>1</v>
      </c>
      <c r="CL210" s="9">
        <v>1</v>
      </c>
      <c r="CM210" s="9">
        <v>0</v>
      </c>
      <c r="CN210" s="9">
        <v>0</v>
      </c>
      <c r="CO210" s="9">
        <v>0</v>
      </c>
      <c r="CP210" s="9">
        <v>0</v>
      </c>
      <c r="CQ210" s="9">
        <v>0</v>
      </c>
      <c r="CR210" s="9">
        <v>0</v>
      </c>
      <c r="CS210" s="9">
        <v>0</v>
      </c>
      <c r="CT210" s="9">
        <v>0</v>
      </c>
      <c r="CU210" s="9">
        <v>0</v>
      </c>
      <c r="CV210" s="9">
        <v>0</v>
      </c>
      <c r="CW210" s="9">
        <v>0</v>
      </c>
      <c r="CX210" s="9">
        <v>0</v>
      </c>
      <c r="CY210" s="9">
        <v>0</v>
      </c>
      <c r="CZ210" s="9">
        <v>0</v>
      </c>
      <c r="DA210" s="9">
        <v>1</v>
      </c>
      <c r="DB210" s="9">
        <v>1</v>
      </c>
      <c r="DC210" s="9">
        <v>0</v>
      </c>
      <c r="DD210" s="9">
        <v>1</v>
      </c>
      <c r="DE210" s="9">
        <v>1</v>
      </c>
      <c r="DF210" s="9">
        <v>0</v>
      </c>
      <c r="DG210" s="9">
        <v>0</v>
      </c>
      <c r="DH210" s="9">
        <v>0</v>
      </c>
      <c r="DI210" s="9">
        <v>1</v>
      </c>
      <c r="DJ210" s="9">
        <v>0</v>
      </c>
      <c r="DK210" s="9">
        <v>0</v>
      </c>
      <c r="DL210" s="9">
        <v>0</v>
      </c>
      <c r="DM210" s="9">
        <v>0</v>
      </c>
      <c r="DN210" s="9">
        <v>0</v>
      </c>
      <c r="DO210" s="9">
        <v>0</v>
      </c>
      <c r="DP210" s="9">
        <v>0</v>
      </c>
      <c r="DQ210" s="9">
        <v>0</v>
      </c>
      <c r="DR210" s="9">
        <v>0</v>
      </c>
      <c r="DS210" s="9">
        <v>0</v>
      </c>
      <c r="DT210" s="9">
        <v>0</v>
      </c>
      <c r="DU210" s="9">
        <v>2</v>
      </c>
      <c r="DV210" s="9">
        <v>2</v>
      </c>
      <c r="DW210" s="9">
        <v>0</v>
      </c>
      <c r="DX210" s="9">
        <v>0</v>
      </c>
      <c r="DY210" s="9">
        <v>0</v>
      </c>
      <c r="DZ210" s="9">
        <v>0</v>
      </c>
      <c r="EA210" s="9">
        <v>0</v>
      </c>
      <c r="EB210" s="9">
        <v>0</v>
      </c>
      <c r="EC210" s="9">
        <v>0</v>
      </c>
      <c r="ED210" s="9">
        <v>0</v>
      </c>
      <c r="EE210" s="9">
        <v>0</v>
      </c>
      <c r="EF210" s="9">
        <v>0</v>
      </c>
      <c r="EG210" s="9">
        <v>0</v>
      </c>
      <c r="EH210" s="9">
        <v>0</v>
      </c>
      <c r="EI210" s="9">
        <v>0</v>
      </c>
      <c r="EJ210" s="9">
        <v>0</v>
      </c>
      <c r="EK210" s="9">
        <v>0</v>
      </c>
      <c r="EL210" s="9">
        <v>0</v>
      </c>
      <c r="EM210" s="9">
        <v>0</v>
      </c>
      <c r="EN210" s="9">
        <v>0</v>
      </c>
      <c r="EO210" s="9">
        <v>0</v>
      </c>
      <c r="EP210" s="9">
        <v>0</v>
      </c>
      <c r="EQ210" s="9">
        <v>0</v>
      </c>
      <c r="ER210" s="9">
        <v>0</v>
      </c>
      <c r="ES210" s="9">
        <v>0</v>
      </c>
      <c r="ET210" s="9">
        <v>0</v>
      </c>
      <c r="EU210" s="9">
        <v>0</v>
      </c>
      <c r="EV210" s="9">
        <v>0</v>
      </c>
      <c r="EW210" s="9">
        <v>0</v>
      </c>
      <c r="EX210" s="9">
        <v>0</v>
      </c>
      <c r="EY210" s="9">
        <v>0</v>
      </c>
      <c r="EZ210" s="9">
        <v>0</v>
      </c>
      <c r="FA210" s="9">
        <v>0</v>
      </c>
      <c r="FB210" s="9">
        <v>0</v>
      </c>
      <c r="FC210" s="9">
        <v>0</v>
      </c>
      <c r="FD210" s="9">
        <v>0</v>
      </c>
      <c r="FE210" s="9">
        <v>0</v>
      </c>
      <c r="FF210" s="9">
        <v>0</v>
      </c>
      <c r="FG210" s="9">
        <v>0</v>
      </c>
      <c r="FH210" s="9">
        <v>0</v>
      </c>
      <c r="FI210" s="9">
        <v>0</v>
      </c>
      <c r="FJ210" s="9">
        <v>0</v>
      </c>
      <c r="FK210" s="9">
        <v>0</v>
      </c>
      <c r="FL210" s="9">
        <v>0</v>
      </c>
      <c r="FM210" s="10">
        <v>0</v>
      </c>
    </row>
    <row r="211" spans="1:169" x14ac:dyDescent="0.35">
      <c r="A211" s="8" t="s">
        <v>342</v>
      </c>
      <c r="B211" s="9" t="s">
        <v>357</v>
      </c>
      <c r="C211" s="10" t="s">
        <v>358</v>
      </c>
      <c r="D211" s="62">
        <f t="shared" si="100"/>
        <v>103</v>
      </c>
      <c r="E211" s="9">
        <v>6</v>
      </c>
      <c r="F211" s="9">
        <v>14</v>
      </c>
      <c r="G211" s="9">
        <v>8</v>
      </c>
      <c r="H211" s="9">
        <v>8</v>
      </c>
      <c r="I211" s="9">
        <v>10</v>
      </c>
      <c r="J211" s="9">
        <v>10</v>
      </c>
      <c r="K211" s="9">
        <v>0</v>
      </c>
      <c r="L211" s="9">
        <v>11</v>
      </c>
      <c r="M211" s="9">
        <v>14</v>
      </c>
      <c r="N211" s="9">
        <v>16</v>
      </c>
      <c r="O211" s="9">
        <v>14</v>
      </c>
      <c r="P211" s="9">
        <v>14</v>
      </c>
      <c r="Q211" s="9">
        <v>30</v>
      </c>
      <c r="R211" s="9">
        <v>0</v>
      </c>
      <c r="S211" s="9">
        <v>39</v>
      </c>
      <c r="T211" s="9">
        <v>48</v>
      </c>
      <c r="U211" s="9">
        <v>65</v>
      </c>
      <c r="V211" s="9">
        <v>62</v>
      </c>
      <c r="W211" s="9">
        <v>61</v>
      </c>
      <c r="X211" s="9">
        <v>83</v>
      </c>
      <c r="Y211" s="9">
        <v>63</v>
      </c>
      <c r="Z211" s="9">
        <v>78</v>
      </c>
      <c r="AA211" s="9">
        <v>89</v>
      </c>
      <c r="AB211" s="9">
        <v>85</v>
      </c>
      <c r="AC211" s="9">
        <v>83</v>
      </c>
      <c r="AD211" s="9">
        <v>78</v>
      </c>
      <c r="AE211" s="9">
        <v>76</v>
      </c>
      <c r="AF211" s="9">
        <v>76</v>
      </c>
      <c r="AG211" s="9">
        <v>0</v>
      </c>
      <c r="AH211" s="9">
        <v>73</v>
      </c>
      <c r="AI211" s="9">
        <v>74</v>
      </c>
      <c r="AJ211" s="9">
        <v>73</v>
      </c>
      <c r="AK211" s="9">
        <v>74</v>
      </c>
      <c r="AL211" s="9">
        <v>75</v>
      </c>
      <c r="AM211" s="9">
        <v>88</v>
      </c>
      <c r="AN211" s="9">
        <v>86</v>
      </c>
      <c r="AO211" s="9">
        <v>96</v>
      </c>
      <c r="AP211" s="9">
        <v>94</v>
      </c>
      <c r="AQ211" s="9">
        <v>99</v>
      </c>
      <c r="AR211" s="9">
        <v>90</v>
      </c>
      <c r="AS211" s="9">
        <v>88</v>
      </c>
      <c r="AT211" s="9">
        <v>85</v>
      </c>
      <c r="AU211" s="9">
        <v>100</v>
      </c>
      <c r="AV211" s="9">
        <v>99</v>
      </c>
      <c r="AW211" s="9">
        <v>103</v>
      </c>
      <c r="AX211" s="9">
        <v>91</v>
      </c>
      <c r="AY211" s="9">
        <v>87</v>
      </c>
      <c r="AZ211" s="9">
        <v>80</v>
      </c>
      <c r="BA211" s="9">
        <v>80</v>
      </c>
      <c r="BB211" s="9">
        <v>88</v>
      </c>
      <c r="BC211" s="9">
        <v>93</v>
      </c>
      <c r="BD211" s="9">
        <v>72</v>
      </c>
      <c r="BE211" s="9">
        <v>69</v>
      </c>
      <c r="BF211" s="9">
        <v>74</v>
      </c>
      <c r="BG211" s="9">
        <v>54</v>
      </c>
      <c r="BH211" s="9">
        <v>56</v>
      </c>
      <c r="BI211" s="9">
        <v>56</v>
      </c>
      <c r="BJ211" s="9">
        <v>61</v>
      </c>
      <c r="BK211" s="9">
        <v>59</v>
      </c>
      <c r="BL211" s="9">
        <v>59</v>
      </c>
      <c r="BM211" s="9">
        <v>72</v>
      </c>
      <c r="BN211" s="9">
        <v>55</v>
      </c>
      <c r="BO211" s="9">
        <v>66</v>
      </c>
      <c r="BP211" s="9">
        <v>62</v>
      </c>
      <c r="BQ211" s="9">
        <v>69</v>
      </c>
      <c r="BR211" s="9">
        <v>68</v>
      </c>
      <c r="BS211" s="9">
        <v>62</v>
      </c>
      <c r="BT211" s="9">
        <v>68</v>
      </c>
      <c r="BU211" s="9">
        <v>55</v>
      </c>
      <c r="BV211" s="9">
        <v>49</v>
      </c>
      <c r="BW211" s="9">
        <v>41</v>
      </c>
      <c r="BX211" s="9">
        <v>44</v>
      </c>
      <c r="BY211" s="9">
        <v>42</v>
      </c>
      <c r="BZ211" s="9">
        <v>40</v>
      </c>
      <c r="CA211" s="9">
        <v>43</v>
      </c>
      <c r="CB211" s="9">
        <v>42</v>
      </c>
      <c r="CC211" s="9">
        <v>44</v>
      </c>
      <c r="CD211" s="9">
        <v>43</v>
      </c>
      <c r="CE211" s="9">
        <v>43</v>
      </c>
      <c r="CF211" s="9">
        <v>36</v>
      </c>
      <c r="CG211" s="9">
        <v>38</v>
      </c>
      <c r="CH211" s="9">
        <v>34</v>
      </c>
      <c r="CI211" s="9">
        <v>33</v>
      </c>
      <c r="CJ211" s="9">
        <v>30</v>
      </c>
      <c r="CK211" s="9">
        <v>32</v>
      </c>
      <c r="CL211" s="9">
        <v>30</v>
      </c>
      <c r="CM211" s="9">
        <v>33</v>
      </c>
      <c r="CN211" s="9">
        <v>37</v>
      </c>
      <c r="CO211" s="9">
        <v>36</v>
      </c>
      <c r="CP211" s="9">
        <v>37</v>
      </c>
      <c r="CQ211" s="9">
        <v>42</v>
      </c>
      <c r="CR211" s="9">
        <v>38</v>
      </c>
      <c r="CS211" s="9">
        <v>38</v>
      </c>
      <c r="CT211" s="9">
        <v>17</v>
      </c>
      <c r="CU211" s="9">
        <v>41</v>
      </c>
      <c r="CV211" s="9">
        <v>36</v>
      </c>
      <c r="CW211" s="9">
        <v>32</v>
      </c>
      <c r="CX211" s="9">
        <v>28</v>
      </c>
      <c r="CY211" s="9">
        <v>24</v>
      </c>
      <c r="CZ211" s="9">
        <v>23</v>
      </c>
      <c r="DA211" s="9">
        <v>19</v>
      </c>
      <c r="DB211" s="9">
        <v>13</v>
      </c>
      <c r="DC211" s="9">
        <v>13</v>
      </c>
      <c r="DD211" s="9">
        <v>12</v>
      </c>
      <c r="DE211" s="9">
        <v>12</v>
      </c>
      <c r="DF211" s="9">
        <v>12</v>
      </c>
      <c r="DG211" s="9">
        <v>10</v>
      </c>
      <c r="DH211" s="9">
        <v>14</v>
      </c>
      <c r="DI211" s="9">
        <v>12</v>
      </c>
      <c r="DJ211" s="9">
        <v>9</v>
      </c>
      <c r="DK211" s="9">
        <v>8</v>
      </c>
      <c r="DL211" s="9">
        <v>7</v>
      </c>
      <c r="DM211" s="9">
        <v>8</v>
      </c>
      <c r="DN211" s="9">
        <v>7</v>
      </c>
      <c r="DO211" s="9">
        <v>8</v>
      </c>
      <c r="DP211" s="9">
        <v>12</v>
      </c>
      <c r="DQ211" s="9">
        <v>9</v>
      </c>
      <c r="DR211" s="9">
        <v>10</v>
      </c>
      <c r="DS211" s="9">
        <v>8</v>
      </c>
      <c r="DT211" s="9">
        <v>8</v>
      </c>
      <c r="DU211" s="9">
        <v>7</v>
      </c>
      <c r="DV211" s="9">
        <v>3</v>
      </c>
      <c r="DW211" s="9">
        <v>2</v>
      </c>
      <c r="DX211" s="9">
        <v>2</v>
      </c>
      <c r="DY211" s="9">
        <v>5</v>
      </c>
      <c r="DZ211" s="9">
        <v>4</v>
      </c>
      <c r="EA211" s="9">
        <v>5</v>
      </c>
      <c r="EB211" s="9">
        <v>5</v>
      </c>
      <c r="EC211" s="9">
        <v>4</v>
      </c>
      <c r="ED211" s="9">
        <v>5</v>
      </c>
      <c r="EE211" s="9">
        <v>4</v>
      </c>
      <c r="EF211" s="9">
        <v>2</v>
      </c>
      <c r="EG211" s="9">
        <v>2</v>
      </c>
      <c r="EH211" s="9">
        <v>2</v>
      </c>
      <c r="EI211" s="9">
        <v>2</v>
      </c>
      <c r="EJ211" s="9">
        <v>1</v>
      </c>
      <c r="EK211" s="9">
        <v>0</v>
      </c>
      <c r="EL211" s="9">
        <v>1</v>
      </c>
      <c r="EM211" s="9">
        <v>1</v>
      </c>
      <c r="EN211" s="9">
        <v>1</v>
      </c>
      <c r="EO211" s="9">
        <v>1</v>
      </c>
      <c r="EP211" s="9">
        <v>2</v>
      </c>
      <c r="EQ211" s="9">
        <v>2</v>
      </c>
      <c r="ER211" s="9">
        <v>1</v>
      </c>
      <c r="ES211" s="9">
        <v>1</v>
      </c>
      <c r="ET211" s="9">
        <v>1</v>
      </c>
      <c r="EU211" s="9">
        <v>1</v>
      </c>
      <c r="EV211" s="9">
        <v>2</v>
      </c>
      <c r="EW211" s="9">
        <v>1</v>
      </c>
      <c r="EX211" s="9">
        <v>1</v>
      </c>
      <c r="EY211" s="9">
        <v>1</v>
      </c>
      <c r="EZ211" s="9">
        <v>1</v>
      </c>
      <c r="FA211" s="9">
        <v>0</v>
      </c>
      <c r="FB211" s="9">
        <v>0</v>
      </c>
      <c r="FC211" s="9">
        <v>1</v>
      </c>
      <c r="FD211" s="9">
        <v>1</v>
      </c>
      <c r="FE211" s="9">
        <v>1</v>
      </c>
      <c r="FF211" s="9">
        <v>1</v>
      </c>
      <c r="FG211" s="9">
        <v>0</v>
      </c>
      <c r="FH211" s="9">
        <v>0</v>
      </c>
      <c r="FI211" s="9">
        <v>0</v>
      </c>
      <c r="FJ211" s="9">
        <v>0</v>
      </c>
      <c r="FK211" s="9">
        <v>0</v>
      </c>
      <c r="FL211" s="9">
        <v>0</v>
      </c>
      <c r="FM211" s="10">
        <v>0</v>
      </c>
    </row>
    <row r="212" spans="1:169" x14ac:dyDescent="0.35">
      <c r="A212" s="8" t="s">
        <v>342</v>
      </c>
      <c r="B212" s="9" t="s">
        <v>359</v>
      </c>
      <c r="C212" s="10" t="s">
        <v>360</v>
      </c>
      <c r="D212" s="62">
        <f t="shared" si="100"/>
        <v>13</v>
      </c>
      <c r="E212" s="9">
        <v>0</v>
      </c>
      <c r="F212" s="9">
        <v>0</v>
      </c>
      <c r="G212" s="9">
        <v>0</v>
      </c>
      <c r="H212" s="9">
        <v>1</v>
      </c>
      <c r="I212" s="9">
        <v>1</v>
      </c>
      <c r="J212" s="9">
        <v>0</v>
      </c>
      <c r="K212" s="9">
        <v>3</v>
      </c>
      <c r="L212" s="9">
        <v>3</v>
      </c>
      <c r="M212" s="9">
        <v>3</v>
      </c>
      <c r="N212" s="9">
        <v>2</v>
      </c>
      <c r="O212" s="9">
        <v>8</v>
      </c>
      <c r="P212" s="9">
        <v>5</v>
      </c>
      <c r="Q212" s="9">
        <v>6</v>
      </c>
      <c r="R212" s="9">
        <v>6</v>
      </c>
      <c r="S212" s="9">
        <v>11</v>
      </c>
      <c r="T212" s="9">
        <v>10</v>
      </c>
      <c r="U212" s="9">
        <v>13</v>
      </c>
      <c r="V212" s="9">
        <v>13</v>
      </c>
      <c r="W212" s="9">
        <v>13</v>
      </c>
      <c r="X212" s="9">
        <v>12</v>
      </c>
      <c r="Y212" s="9">
        <v>12</v>
      </c>
      <c r="Z212" s="9">
        <v>13</v>
      </c>
      <c r="AA212" s="9">
        <v>10</v>
      </c>
      <c r="AB212" s="9">
        <v>8</v>
      </c>
      <c r="AC212" s="9">
        <v>7</v>
      </c>
      <c r="AD212" s="9">
        <v>7</v>
      </c>
      <c r="AE212" s="9">
        <v>6</v>
      </c>
      <c r="AF212" s="9">
        <v>6</v>
      </c>
      <c r="AG212" s="9">
        <v>8</v>
      </c>
      <c r="AH212" s="9">
        <v>7</v>
      </c>
      <c r="AI212" s="9">
        <v>8</v>
      </c>
      <c r="AJ212" s="9">
        <v>9</v>
      </c>
      <c r="AK212" s="9">
        <v>6</v>
      </c>
      <c r="AL212" s="9">
        <v>6</v>
      </c>
      <c r="AM212" s="9">
        <v>6</v>
      </c>
      <c r="AN212" s="9">
        <v>8</v>
      </c>
      <c r="AO212" s="9">
        <v>7</v>
      </c>
      <c r="AP212" s="9">
        <v>8</v>
      </c>
      <c r="AQ212" s="9">
        <v>8</v>
      </c>
      <c r="AR212" s="9">
        <v>7</v>
      </c>
      <c r="AS212" s="9">
        <v>9</v>
      </c>
      <c r="AT212" s="9">
        <v>7</v>
      </c>
      <c r="AU212" s="9">
        <v>9</v>
      </c>
      <c r="AV212" s="9">
        <v>8</v>
      </c>
      <c r="AW212" s="9">
        <v>7</v>
      </c>
      <c r="AX212" s="9">
        <v>8</v>
      </c>
      <c r="AY212" s="9">
        <v>10</v>
      </c>
      <c r="AZ212" s="9">
        <v>10</v>
      </c>
      <c r="BA212" s="9">
        <v>10</v>
      </c>
      <c r="BB212" s="9">
        <v>9</v>
      </c>
      <c r="BC212" s="9">
        <v>8</v>
      </c>
      <c r="BD212" s="9">
        <v>7</v>
      </c>
      <c r="BE212" s="9">
        <v>7</v>
      </c>
      <c r="BF212" s="9">
        <v>8</v>
      </c>
      <c r="BG212" s="9">
        <v>9</v>
      </c>
      <c r="BH212" s="9">
        <v>9</v>
      </c>
      <c r="BI212" s="9">
        <v>10</v>
      </c>
      <c r="BJ212" s="9">
        <v>6</v>
      </c>
      <c r="BK212" s="9">
        <v>6</v>
      </c>
      <c r="BL212" s="9">
        <v>7</v>
      </c>
      <c r="BM212" s="9">
        <v>10</v>
      </c>
      <c r="BN212" s="9">
        <v>12</v>
      </c>
      <c r="BO212" s="9">
        <v>11</v>
      </c>
      <c r="BP212" s="9">
        <v>9</v>
      </c>
      <c r="BQ212" s="9">
        <v>8</v>
      </c>
      <c r="BR212" s="9">
        <v>8</v>
      </c>
      <c r="BS212" s="9">
        <v>8</v>
      </c>
      <c r="BT212" s="9">
        <v>8</v>
      </c>
      <c r="BU212" s="9">
        <v>8</v>
      </c>
      <c r="BV212" s="9">
        <v>5</v>
      </c>
      <c r="BW212" s="9">
        <v>5</v>
      </c>
      <c r="BX212" s="9">
        <v>4</v>
      </c>
      <c r="BY212" s="9">
        <v>5</v>
      </c>
      <c r="BZ212" s="9">
        <v>4</v>
      </c>
      <c r="CA212" s="9">
        <v>4</v>
      </c>
      <c r="CB212" s="9">
        <v>3</v>
      </c>
      <c r="CC212" s="9">
        <v>3</v>
      </c>
      <c r="CD212" s="9">
        <v>2</v>
      </c>
      <c r="CE212" s="9">
        <v>1</v>
      </c>
      <c r="CF212" s="9">
        <v>1</v>
      </c>
      <c r="CG212" s="9">
        <v>1</v>
      </c>
      <c r="CH212" s="9">
        <v>1</v>
      </c>
      <c r="CI212" s="9">
        <v>1</v>
      </c>
      <c r="CJ212" s="9">
        <v>2</v>
      </c>
      <c r="CK212" s="9">
        <v>3</v>
      </c>
      <c r="CL212" s="9">
        <v>6</v>
      </c>
      <c r="CM212" s="9">
        <v>6</v>
      </c>
      <c r="CN212" s="9">
        <v>7</v>
      </c>
      <c r="CO212" s="9">
        <v>7</v>
      </c>
      <c r="CP212" s="9">
        <v>5</v>
      </c>
      <c r="CQ212" s="9">
        <v>4</v>
      </c>
      <c r="CR212" s="9">
        <v>3</v>
      </c>
      <c r="CS212" s="9">
        <v>2</v>
      </c>
      <c r="CT212" s="9">
        <v>2</v>
      </c>
      <c r="CU212" s="9">
        <v>3</v>
      </c>
      <c r="CV212" s="9">
        <v>4</v>
      </c>
      <c r="CW212" s="9">
        <v>2</v>
      </c>
      <c r="CX212" s="9">
        <v>2</v>
      </c>
      <c r="CY212" s="9">
        <v>4</v>
      </c>
      <c r="CZ212" s="9">
        <v>4</v>
      </c>
      <c r="DA212" s="9">
        <v>3</v>
      </c>
      <c r="DB212" s="9">
        <v>3</v>
      </c>
      <c r="DC212" s="9">
        <v>3</v>
      </c>
      <c r="DD212" s="9">
        <v>3</v>
      </c>
      <c r="DE212" s="9">
        <v>3</v>
      </c>
      <c r="DF212" s="9">
        <v>2</v>
      </c>
      <c r="DG212" s="9">
        <v>2</v>
      </c>
      <c r="DH212" s="9">
        <v>2</v>
      </c>
      <c r="DI212" s="9">
        <v>2</v>
      </c>
      <c r="DJ212" s="9">
        <v>2</v>
      </c>
      <c r="DK212" s="9">
        <v>1</v>
      </c>
      <c r="DL212" s="9">
        <v>2</v>
      </c>
      <c r="DM212" s="9">
        <v>2</v>
      </c>
      <c r="DN212" s="9">
        <v>1</v>
      </c>
      <c r="DO212" s="9">
        <v>1</v>
      </c>
      <c r="DP212" s="9">
        <v>1</v>
      </c>
      <c r="DQ212" s="9">
        <v>2</v>
      </c>
      <c r="DR212" s="9">
        <v>1</v>
      </c>
      <c r="DS212" s="9">
        <v>2</v>
      </c>
      <c r="DT212" s="9">
        <v>2</v>
      </c>
      <c r="DU212" s="9">
        <v>2</v>
      </c>
      <c r="DV212" s="9">
        <v>2</v>
      </c>
      <c r="DW212" s="9">
        <v>2</v>
      </c>
      <c r="DX212" s="9">
        <v>1</v>
      </c>
      <c r="DY212" s="9">
        <v>1</v>
      </c>
      <c r="DZ212" s="9">
        <v>0</v>
      </c>
      <c r="EA212" s="9">
        <v>0</v>
      </c>
      <c r="EB212" s="9">
        <v>0</v>
      </c>
      <c r="EC212" s="9">
        <v>0</v>
      </c>
      <c r="ED212" s="9">
        <v>2</v>
      </c>
      <c r="EE212" s="9">
        <v>2</v>
      </c>
      <c r="EF212" s="9">
        <v>1</v>
      </c>
      <c r="EG212" s="9">
        <v>1</v>
      </c>
      <c r="EH212" s="9">
        <v>1</v>
      </c>
      <c r="EI212" s="9">
        <v>2</v>
      </c>
      <c r="EJ212" s="9">
        <v>2</v>
      </c>
      <c r="EK212" s="9">
        <v>2</v>
      </c>
      <c r="EL212" s="9">
        <v>2</v>
      </c>
      <c r="EM212" s="9">
        <v>1</v>
      </c>
      <c r="EN212" s="9">
        <v>1</v>
      </c>
      <c r="EO212" s="9">
        <v>1</v>
      </c>
      <c r="EP212" s="9">
        <v>2</v>
      </c>
      <c r="EQ212" s="9">
        <v>2</v>
      </c>
      <c r="ER212" s="9">
        <v>2</v>
      </c>
      <c r="ES212" s="9">
        <v>1</v>
      </c>
      <c r="ET212" s="9">
        <v>1</v>
      </c>
      <c r="EU212" s="9">
        <v>0</v>
      </c>
      <c r="EV212" s="9">
        <v>0</v>
      </c>
      <c r="EW212" s="9">
        <v>0</v>
      </c>
      <c r="EX212" s="9">
        <v>0</v>
      </c>
      <c r="EY212" s="9">
        <v>0</v>
      </c>
      <c r="EZ212" s="9">
        <v>0</v>
      </c>
      <c r="FA212" s="9">
        <v>0</v>
      </c>
      <c r="FB212" s="9">
        <v>0</v>
      </c>
      <c r="FC212" s="9">
        <v>0</v>
      </c>
      <c r="FD212" s="9">
        <v>0</v>
      </c>
      <c r="FE212" s="9">
        <v>0</v>
      </c>
      <c r="FF212" s="9">
        <v>0</v>
      </c>
      <c r="FG212" s="9">
        <v>0</v>
      </c>
      <c r="FH212" s="9">
        <v>0</v>
      </c>
      <c r="FI212" s="9">
        <v>0</v>
      </c>
      <c r="FJ212" s="9">
        <v>0</v>
      </c>
      <c r="FK212" s="9">
        <v>0</v>
      </c>
      <c r="FL212" s="9">
        <v>0</v>
      </c>
      <c r="FM212" s="10">
        <v>0</v>
      </c>
    </row>
    <row r="213" spans="1:169" x14ac:dyDescent="0.35">
      <c r="A213" s="8" t="s">
        <v>342</v>
      </c>
      <c r="B213" s="9" t="s">
        <v>361</v>
      </c>
      <c r="C213" s="10" t="s">
        <v>362</v>
      </c>
      <c r="D213" s="62">
        <f t="shared" si="100"/>
        <v>390</v>
      </c>
      <c r="E213" s="9">
        <v>6</v>
      </c>
      <c r="F213" s="9">
        <v>11</v>
      </c>
      <c r="G213" s="9">
        <v>0</v>
      </c>
      <c r="H213" s="9">
        <v>13</v>
      </c>
      <c r="I213" s="9">
        <v>0</v>
      </c>
      <c r="J213" s="9">
        <v>28</v>
      </c>
      <c r="K213" s="9">
        <v>46</v>
      </c>
      <c r="L213" s="9">
        <v>88</v>
      </c>
      <c r="M213" s="9">
        <v>107</v>
      </c>
      <c r="N213" s="9">
        <v>133</v>
      </c>
      <c r="O213" s="9">
        <v>136</v>
      </c>
      <c r="P213" s="9">
        <v>182</v>
      </c>
      <c r="Q213" s="9">
        <v>200</v>
      </c>
      <c r="R213" s="9">
        <v>241</v>
      </c>
      <c r="S213" s="9">
        <v>129</v>
      </c>
      <c r="T213" s="9">
        <v>269</v>
      </c>
      <c r="U213" s="9">
        <v>307</v>
      </c>
      <c r="V213" s="9">
        <v>345</v>
      </c>
      <c r="W213" s="9">
        <v>358</v>
      </c>
      <c r="X213" s="9">
        <v>320</v>
      </c>
      <c r="Y213" s="9">
        <v>337</v>
      </c>
      <c r="Z213" s="9">
        <v>341</v>
      </c>
      <c r="AA213" s="9">
        <v>356</v>
      </c>
      <c r="AB213" s="9">
        <v>346</v>
      </c>
      <c r="AC213" s="9">
        <v>390</v>
      </c>
      <c r="AD213" s="9">
        <v>387</v>
      </c>
      <c r="AE213" s="9">
        <v>383</v>
      </c>
      <c r="AF213" s="9">
        <v>364</v>
      </c>
      <c r="AG213" s="9">
        <v>347</v>
      </c>
      <c r="AH213" s="9">
        <v>350</v>
      </c>
      <c r="AI213" s="9">
        <v>347</v>
      </c>
      <c r="AJ213" s="9">
        <v>319</v>
      </c>
      <c r="AK213" s="9">
        <v>302</v>
      </c>
      <c r="AL213" s="9">
        <v>304</v>
      </c>
      <c r="AM213" s="9">
        <v>285</v>
      </c>
      <c r="AN213" s="9">
        <v>274</v>
      </c>
      <c r="AO213" s="9">
        <v>251</v>
      </c>
      <c r="AP213" s="9">
        <v>243</v>
      </c>
      <c r="AQ213" s="9">
        <v>235</v>
      </c>
      <c r="AR213" s="9">
        <v>238</v>
      </c>
      <c r="AS213" s="9">
        <v>229</v>
      </c>
      <c r="AT213" s="9">
        <v>221</v>
      </c>
      <c r="AU213" s="9">
        <v>204</v>
      </c>
      <c r="AV213" s="9">
        <v>285</v>
      </c>
      <c r="AW213" s="9">
        <v>196</v>
      </c>
      <c r="AX213" s="9">
        <v>215</v>
      </c>
      <c r="AY213" s="9">
        <v>207</v>
      </c>
      <c r="AZ213" s="9">
        <v>195</v>
      </c>
      <c r="BA213" s="9">
        <v>183</v>
      </c>
      <c r="BB213" s="9">
        <v>165</v>
      </c>
      <c r="BC213" s="9">
        <v>156</v>
      </c>
      <c r="BD213" s="9">
        <v>153</v>
      </c>
      <c r="BE213" s="9">
        <v>153</v>
      </c>
      <c r="BF213" s="9">
        <v>139</v>
      </c>
      <c r="BG213" s="9">
        <v>126</v>
      </c>
      <c r="BH213" s="9">
        <v>116</v>
      </c>
      <c r="BI213" s="9">
        <v>123</v>
      </c>
      <c r="BJ213" s="9">
        <v>111</v>
      </c>
      <c r="BK213" s="9">
        <v>114</v>
      </c>
      <c r="BL213" s="9">
        <v>113</v>
      </c>
      <c r="BM213" s="9">
        <v>107</v>
      </c>
      <c r="BN213" s="9">
        <v>105</v>
      </c>
      <c r="BO213" s="9">
        <v>95</v>
      </c>
      <c r="BP213" s="9">
        <v>85</v>
      </c>
      <c r="BQ213" s="9">
        <v>76</v>
      </c>
      <c r="BR213" s="9">
        <v>73</v>
      </c>
      <c r="BS213" s="9">
        <v>76</v>
      </c>
      <c r="BT213" s="9">
        <v>76</v>
      </c>
      <c r="BU213" s="9">
        <v>73</v>
      </c>
      <c r="BV213" s="9">
        <v>68</v>
      </c>
      <c r="BW213" s="9">
        <v>62</v>
      </c>
      <c r="BX213" s="9">
        <v>53</v>
      </c>
      <c r="BY213" s="9">
        <v>51</v>
      </c>
      <c r="BZ213" s="9">
        <v>52</v>
      </c>
      <c r="CA213" s="9">
        <v>53</v>
      </c>
      <c r="CB213" s="9">
        <v>51</v>
      </c>
      <c r="CC213" s="9">
        <v>51</v>
      </c>
      <c r="CD213" s="9">
        <v>48</v>
      </c>
      <c r="CE213" s="9">
        <v>46</v>
      </c>
      <c r="CF213" s="9">
        <v>46</v>
      </c>
      <c r="CG213" s="9">
        <v>46</v>
      </c>
      <c r="CH213" s="9">
        <v>37</v>
      </c>
      <c r="CI213" s="9">
        <v>36</v>
      </c>
      <c r="CJ213" s="9">
        <v>38</v>
      </c>
      <c r="CK213" s="9">
        <v>38</v>
      </c>
      <c r="CL213" s="9">
        <v>34</v>
      </c>
      <c r="CM213" s="9">
        <v>37</v>
      </c>
      <c r="CN213" s="9">
        <v>37</v>
      </c>
      <c r="CO213" s="9">
        <v>35</v>
      </c>
      <c r="CP213" s="9">
        <v>38</v>
      </c>
      <c r="CQ213" s="9">
        <v>33</v>
      </c>
      <c r="CR213" s="9">
        <v>31</v>
      </c>
      <c r="CS213" s="9">
        <v>31</v>
      </c>
      <c r="CT213" s="9">
        <v>40</v>
      </c>
      <c r="CU213" s="9">
        <v>26</v>
      </c>
      <c r="CV213" s="9">
        <v>31</v>
      </c>
      <c r="CW213" s="9">
        <v>33</v>
      </c>
      <c r="CX213" s="9">
        <v>33</v>
      </c>
      <c r="CY213" s="9">
        <v>30</v>
      </c>
      <c r="CZ213" s="9">
        <v>33</v>
      </c>
      <c r="DA213" s="9">
        <v>35</v>
      </c>
      <c r="DB213" s="9">
        <v>33</v>
      </c>
      <c r="DC213" s="9">
        <v>33</v>
      </c>
      <c r="DD213" s="9">
        <v>32</v>
      </c>
      <c r="DE213" s="9">
        <v>30</v>
      </c>
      <c r="DF213" s="9">
        <v>28</v>
      </c>
      <c r="DG213" s="9">
        <v>28</v>
      </c>
      <c r="DH213" s="9">
        <v>24</v>
      </c>
      <c r="DI213" s="9">
        <v>23</v>
      </c>
      <c r="DJ213" s="9">
        <v>21</v>
      </c>
      <c r="DK213" s="9">
        <v>19</v>
      </c>
      <c r="DL213" s="9">
        <v>20</v>
      </c>
      <c r="DM213" s="9">
        <v>19</v>
      </c>
      <c r="DN213" s="9">
        <v>20</v>
      </c>
      <c r="DO213" s="9">
        <v>22</v>
      </c>
      <c r="DP213" s="9">
        <v>19</v>
      </c>
      <c r="DQ213" s="9">
        <v>17</v>
      </c>
      <c r="DR213" s="9">
        <v>16</v>
      </c>
      <c r="DS213" s="9">
        <v>16</v>
      </c>
      <c r="DT213" s="9">
        <v>14</v>
      </c>
      <c r="DU213" s="9">
        <v>8</v>
      </c>
      <c r="DV213" s="9">
        <v>7</v>
      </c>
      <c r="DW213" s="9">
        <v>11</v>
      </c>
      <c r="DX213" s="9">
        <v>12</v>
      </c>
      <c r="DY213" s="9">
        <v>13</v>
      </c>
      <c r="DZ213" s="9">
        <v>15</v>
      </c>
      <c r="EA213" s="9">
        <v>14</v>
      </c>
      <c r="EB213" s="9">
        <v>11</v>
      </c>
      <c r="EC213" s="9">
        <v>12</v>
      </c>
      <c r="ED213" s="9">
        <v>10</v>
      </c>
      <c r="EE213" s="9">
        <v>13</v>
      </c>
      <c r="EF213" s="9">
        <v>11</v>
      </c>
      <c r="EG213" s="9">
        <v>10</v>
      </c>
      <c r="EH213" s="9">
        <v>8</v>
      </c>
      <c r="EI213" s="9">
        <v>7</v>
      </c>
      <c r="EJ213" s="9">
        <v>7</v>
      </c>
      <c r="EK213" s="9">
        <v>7</v>
      </c>
      <c r="EL213" s="9">
        <v>6</v>
      </c>
      <c r="EM213" s="9">
        <v>6</v>
      </c>
      <c r="EN213" s="9">
        <v>8</v>
      </c>
      <c r="EO213" s="9">
        <v>6</v>
      </c>
      <c r="EP213" s="9">
        <v>6</v>
      </c>
      <c r="EQ213" s="9">
        <v>5</v>
      </c>
      <c r="ER213" s="9">
        <v>7</v>
      </c>
      <c r="ES213" s="9">
        <v>7</v>
      </c>
      <c r="ET213" s="9">
        <v>8</v>
      </c>
      <c r="EU213" s="9">
        <v>9</v>
      </c>
      <c r="EV213" s="9">
        <v>8</v>
      </c>
      <c r="EW213" s="9">
        <v>7</v>
      </c>
      <c r="EX213" s="9">
        <v>5</v>
      </c>
      <c r="EY213" s="9">
        <v>5</v>
      </c>
      <c r="EZ213" s="9">
        <v>5</v>
      </c>
      <c r="FA213" s="9">
        <v>4</v>
      </c>
      <c r="FB213" s="9">
        <v>4</v>
      </c>
      <c r="FC213" s="9">
        <v>4</v>
      </c>
      <c r="FD213" s="9">
        <v>3</v>
      </c>
      <c r="FE213" s="9">
        <v>3</v>
      </c>
      <c r="FF213" s="9">
        <v>4</v>
      </c>
      <c r="FG213" s="9">
        <v>3</v>
      </c>
      <c r="FH213" s="9">
        <v>4</v>
      </c>
      <c r="FI213" s="9">
        <v>4</v>
      </c>
      <c r="FJ213" s="9">
        <v>5</v>
      </c>
      <c r="FK213" s="9">
        <v>5</v>
      </c>
      <c r="FL213" s="9">
        <v>4</v>
      </c>
      <c r="FM213" s="10">
        <v>6</v>
      </c>
    </row>
    <row r="214" spans="1:169" x14ac:dyDescent="0.35">
      <c r="A214" s="8" t="s">
        <v>342</v>
      </c>
      <c r="B214" s="9" t="s">
        <v>363</v>
      </c>
      <c r="C214" s="10" t="s">
        <v>364</v>
      </c>
      <c r="D214" s="62">
        <f t="shared" si="100"/>
        <v>2</v>
      </c>
      <c r="E214" s="9">
        <v>0</v>
      </c>
      <c r="F214" s="9">
        <v>0</v>
      </c>
      <c r="G214" s="9">
        <v>0</v>
      </c>
      <c r="H214" s="9">
        <v>0</v>
      </c>
      <c r="I214" s="9">
        <v>0</v>
      </c>
      <c r="J214" s="9">
        <v>0</v>
      </c>
      <c r="K214" s="9">
        <v>0</v>
      </c>
      <c r="L214" s="9">
        <v>0</v>
      </c>
      <c r="M214" s="9">
        <v>0</v>
      </c>
      <c r="N214" s="9">
        <v>0</v>
      </c>
      <c r="O214" s="9">
        <v>0</v>
      </c>
      <c r="P214" s="9">
        <v>0</v>
      </c>
      <c r="Q214" s="9">
        <v>1</v>
      </c>
      <c r="R214" s="9">
        <v>1</v>
      </c>
      <c r="S214" s="9">
        <v>1</v>
      </c>
      <c r="T214" s="9">
        <v>2</v>
      </c>
      <c r="U214" s="9">
        <v>1</v>
      </c>
      <c r="V214" s="9">
        <v>1</v>
      </c>
      <c r="W214" s="9">
        <v>1</v>
      </c>
      <c r="X214" s="9">
        <v>1</v>
      </c>
      <c r="Y214" s="9">
        <v>1</v>
      </c>
      <c r="Z214" s="9">
        <v>1</v>
      </c>
      <c r="AA214" s="9">
        <v>1</v>
      </c>
      <c r="AB214" s="9">
        <v>1</v>
      </c>
      <c r="AC214" s="9">
        <v>0</v>
      </c>
      <c r="AD214" s="9">
        <v>0</v>
      </c>
      <c r="AE214" s="9">
        <v>0</v>
      </c>
      <c r="AF214" s="9">
        <v>0</v>
      </c>
      <c r="AG214" s="9">
        <v>0</v>
      </c>
      <c r="AH214" s="9">
        <v>0</v>
      </c>
      <c r="AI214" s="9">
        <v>0</v>
      </c>
      <c r="AJ214" s="9">
        <v>0</v>
      </c>
      <c r="AK214" s="9">
        <v>0</v>
      </c>
      <c r="AL214" s="9">
        <v>0</v>
      </c>
      <c r="AM214" s="9">
        <v>0</v>
      </c>
      <c r="AN214" s="9">
        <v>0</v>
      </c>
      <c r="AO214" s="9">
        <v>0</v>
      </c>
      <c r="AP214" s="9">
        <v>0</v>
      </c>
      <c r="AQ214" s="9">
        <v>0</v>
      </c>
      <c r="AR214" s="9">
        <v>0</v>
      </c>
      <c r="AS214" s="9">
        <v>0</v>
      </c>
      <c r="AT214" s="9">
        <v>0</v>
      </c>
      <c r="AU214" s="9">
        <v>0</v>
      </c>
      <c r="AV214" s="9">
        <v>0</v>
      </c>
      <c r="AW214" s="9">
        <v>0</v>
      </c>
      <c r="AX214" s="9">
        <v>0</v>
      </c>
      <c r="AY214" s="9">
        <v>0</v>
      </c>
      <c r="AZ214" s="9">
        <v>0</v>
      </c>
      <c r="BA214" s="9">
        <v>0</v>
      </c>
      <c r="BB214" s="9">
        <v>0</v>
      </c>
      <c r="BC214" s="9">
        <v>0</v>
      </c>
      <c r="BD214" s="9">
        <v>0</v>
      </c>
      <c r="BE214" s="9">
        <v>0</v>
      </c>
      <c r="BF214" s="9">
        <v>0</v>
      </c>
      <c r="BG214" s="9">
        <v>0</v>
      </c>
      <c r="BH214" s="9">
        <v>0</v>
      </c>
      <c r="BI214" s="9">
        <v>1</v>
      </c>
      <c r="BJ214" s="9">
        <v>1</v>
      </c>
      <c r="BK214" s="9">
        <v>0</v>
      </c>
      <c r="BL214" s="9">
        <v>1</v>
      </c>
      <c r="BM214" s="9">
        <v>1</v>
      </c>
      <c r="BN214" s="9">
        <v>1</v>
      </c>
      <c r="BO214" s="9">
        <v>1</v>
      </c>
      <c r="BP214" s="9">
        <v>1</v>
      </c>
      <c r="BQ214" s="9">
        <v>1</v>
      </c>
      <c r="BR214" s="9">
        <v>0</v>
      </c>
      <c r="BS214" s="9">
        <v>0</v>
      </c>
      <c r="BT214" s="9">
        <v>0</v>
      </c>
      <c r="BU214" s="9">
        <v>0</v>
      </c>
      <c r="BV214" s="9">
        <v>0</v>
      </c>
      <c r="BW214" s="9">
        <v>0</v>
      </c>
      <c r="BX214" s="9">
        <v>0</v>
      </c>
      <c r="BY214" s="9">
        <v>0</v>
      </c>
      <c r="BZ214" s="9">
        <v>0</v>
      </c>
      <c r="CA214" s="9">
        <v>0</v>
      </c>
      <c r="CB214" s="9">
        <v>0</v>
      </c>
      <c r="CC214" s="9">
        <v>0</v>
      </c>
      <c r="CD214" s="9">
        <v>0</v>
      </c>
      <c r="CE214" s="9">
        <v>0</v>
      </c>
      <c r="CF214" s="9">
        <v>0</v>
      </c>
      <c r="CG214" s="9">
        <v>0</v>
      </c>
      <c r="CH214" s="9">
        <v>0</v>
      </c>
      <c r="CI214" s="9">
        <v>0</v>
      </c>
      <c r="CJ214" s="9">
        <v>0</v>
      </c>
      <c r="CK214" s="9">
        <v>0</v>
      </c>
      <c r="CL214" s="9">
        <v>0</v>
      </c>
      <c r="CM214" s="9">
        <v>0</v>
      </c>
      <c r="CN214" s="9">
        <v>0</v>
      </c>
      <c r="CO214" s="9">
        <v>0</v>
      </c>
      <c r="CP214" s="9">
        <v>0</v>
      </c>
      <c r="CQ214" s="9">
        <v>0</v>
      </c>
      <c r="CR214" s="9">
        <v>1</v>
      </c>
      <c r="CS214" s="9">
        <v>1</v>
      </c>
      <c r="CT214" s="9">
        <v>1</v>
      </c>
      <c r="CU214" s="9">
        <v>1</v>
      </c>
      <c r="CV214" s="9">
        <v>1</v>
      </c>
      <c r="CW214" s="9">
        <v>1</v>
      </c>
      <c r="CX214" s="9">
        <v>0</v>
      </c>
      <c r="CY214" s="9">
        <v>0</v>
      </c>
      <c r="CZ214" s="9">
        <v>1</v>
      </c>
      <c r="DA214" s="9">
        <v>1</v>
      </c>
      <c r="DB214" s="9">
        <v>1</v>
      </c>
      <c r="DC214" s="9">
        <v>1</v>
      </c>
      <c r="DD214" s="9">
        <v>1</v>
      </c>
      <c r="DE214" s="9">
        <v>1</v>
      </c>
      <c r="DF214" s="9">
        <v>1</v>
      </c>
      <c r="DG214" s="9">
        <v>0</v>
      </c>
      <c r="DH214" s="9">
        <v>0</v>
      </c>
      <c r="DI214" s="9">
        <v>0</v>
      </c>
      <c r="DJ214" s="9">
        <v>0</v>
      </c>
      <c r="DK214" s="9">
        <v>0</v>
      </c>
      <c r="DL214" s="9">
        <v>1</v>
      </c>
      <c r="DM214" s="9">
        <v>0</v>
      </c>
      <c r="DN214" s="9">
        <v>0</v>
      </c>
      <c r="DO214" s="9">
        <v>0</v>
      </c>
      <c r="DP214" s="9">
        <v>0</v>
      </c>
      <c r="DQ214" s="9">
        <v>0</v>
      </c>
      <c r="DR214" s="9">
        <v>0</v>
      </c>
      <c r="DS214" s="9">
        <v>0</v>
      </c>
      <c r="DT214" s="9">
        <v>0</v>
      </c>
      <c r="DU214" s="9">
        <v>0</v>
      </c>
      <c r="DV214" s="9">
        <v>0</v>
      </c>
      <c r="DW214" s="9">
        <v>0</v>
      </c>
      <c r="DX214" s="9">
        <v>0</v>
      </c>
      <c r="DY214" s="9">
        <v>0</v>
      </c>
      <c r="DZ214" s="9">
        <v>0</v>
      </c>
      <c r="EA214" s="9">
        <v>0</v>
      </c>
      <c r="EB214" s="9">
        <v>0</v>
      </c>
      <c r="EC214" s="9">
        <v>0</v>
      </c>
      <c r="ED214" s="9">
        <v>0</v>
      </c>
      <c r="EE214" s="9">
        <v>0</v>
      </c>
      <c r="EF214" s="9">
        <v>0</v>
      </c>
      <c r="EG214" s="9">
        <v>0</v>
      </c>
      <c r="EH214" s="9">
        <v>0</v>
      </c>
      <c r="EI214" s="9">
        <v>0</v>
      </c>
      <c r="EJ214" s="9">
        <v>0</v>
      </c>
      <c r="EK214" s="9">
        <v>0</v>
      </c>
      <c r="EL214" s="9">
        <v>0</v>
      </c>
      <c r="EM214" s="9">
        <v>0</v>
      </c>
      <c r="EN214" s="9">
        <v>0</v>
      </c>
      <c r="EO214" s="9">
        <v>0</v>
      </c>
      <c r="EP214" s="9">
        <v>0</v>
      </c>
      <c r="EQ214" s="9">
        <v>0</v>
      </c>
      <c r="ER214" s="9">
        <v>0</v>
      </c>
      <c r="ES214" s="9">
        <v>0</v>
      </c>
      <c r="ET214" s="9">
        <v>0</v>
      </c>
      <c r="EU214" s="9">
        <v>0</v>
      </c>
      <c r="EV214" s="9">
        <v>0</v>
      </c>
      <c r="EW214" s="9">
        <v>0</v>
      </c>
      <c r="EX214" s="9">
        <v>0</v>
      </c>
      <c r="EY214" s="9">
        <v>0</v>
      </c>
      <c r="EZ214" s="9">
        <v>0</v>
      </c>
      <c r="FA214" s="9">
        <v>0</v>
      </c>
      <c r="FB214" s="9">
        <v>0</v>
      </c>
      <c r="FC214" s="9">
        <v>0</v>
      </c>
      <c r="FD214" s="9">
        <v>0</v>
      </c>
      <c r="FE214" s="9">
        <v>0</v>
      </c>
      <c r="FF214" s="9">
        <v>0</v>
      </c>
      <c r="FG214" s="9">
        <v>0</v>
      </c>
      <c r="FH214" s="9">
        <v>0</v>
      </c>
      <c r="FI214" s="9">
        <v>0</v>
      </c>
      <c r="FJ214" s="9">
        <v>0</v>
      </c>
      <c r="FK214" s="9">
        <v>0</v>
      </c>
      <c r="FL214" s="9">
        <v>0</v>
      </c>
      <c r="FM214" s="10">
        <v>0</v>
      </c>
    </row>
    <row r="215" spans="1:169" x14ac:dyDescent="0.35">
      <c r="A215" s="8" t="s">
        <v>342</v>
      </c>
      <c r="B215" s="9" t="s">
        <v>365</v>
      </c>
      <c r="C215" s="10" t="s">
        <v>366</v>
      </c>
      <c r="D215" s="62">
        <f t="shared" si="100"/>
        <v>2</v>
      </c>
      <c r="E215" s="9">
        <v>0</v>
      </c>
      <c r="F215" s="9">
        <v>0</v>
      </c>
      <c r="G215" s="9">
        <v>0</v>
      </c>
      <c r="H215" s="9">
        <v>0</v>
      </c>
      <c r="I215" s="9">
        <v>0</v>
      </c>
      <c r="J215" s="9">
        <v>0</v>
      </c>
      <c r="K215" s="9">
        <v>0</v>
      </c>
      <c r="L215" s="9">
        <v>0</v>
      </c>
      <c r="M215" s="9">
        <v>0</v>
      </c>
      <c r="N215" s="9">
        <v>0</v>
      </c>
      <c r="O215" s="9">
        <v>0</v>
      </c>
      <c r="P215" s="9">
        <v>0</v>
      </c>
      <c r="Q215" s="9">
        <v>0</v>
      </c>
      <c r="R215" s="9">
        <v>0</v>
      </c>
      <c r="S215" s="9">
        <v>0</v>
      </c>
      <c r="T215" s="9">
        <v>0</v>
      </c>
      <c r="U215" s="9">
        <v>0</v>
      </c>
      <c r="V215" s="9">
        <v>0</v>
      </c>
      <c r="W215" s="9">
        <v>0</v>
      </c>
      <c r="X215" s="9">
        <v>0</v>
      </c>
      <c r="Y215" s="9">
        <v>0</v>
      </c>
      <c r="Z215" s="9">
        <v>0</v>
      </c>
      <c r="AA215" s="9">
        <v>0</v>
      </c>
      <c r="AB215" s="9">
        <v>0</v>
      </c>
      <c r="AC215" s="9">
        <v>0</v>
      </c>
      <c r="AD215" s="9">
        <v>0</v>
      </c>
      <c r="AE215" s="9">
        <v>0</v>
      </c>
      <c r="AF215" s="9">
        <v>0</v>
      </c>
      <c r="AG215" s="9">
        <v>1</v>
      </c>
      <c r="AH215" s="9">
        <v>1</v>
      </c>
      <c r="AI215" s="9">
        <v>2</v>
      </c>
      <c r="AJ215" s="9">
        <v>0</v>
      </c>
      <c r="AK215" s="9">
        <v>0</v>
      </c>
      <c r="AL215" s="9">
        <v>0</v>
      </c>
      <c r="AM215" s="9">
        <v>1</v>
      </c>
      <c r="AN215" s="9">
        <v>0</v>
      </c>
      <c r="AO215" s="9">
        <v>0</v>
      </c>
      <c r="AP215" s="9">
        <v>0</v>
      </c>
      <c r="AQ215" s="9">
        <v>0</v>
      </c>
      <c r="AR215" s="9">
        <v>0</v>
      </c>
      <c r="AS215" s="9">
        <v>0</v>
      </c>
      <c r="AT215" s="9">
        <v>0</v>
      </c>
      <c r="AU215" s="9">
        <v>0</v>
      </c>
      <c r="AV215" s="9">
        <v>0</v>
      </c>
      <c r="AW215" s="9">
        <v>0</v>
      </c>
      <c r="AX215" s="9">
        <v>0</v>
      </c>
      <c r="AY215" s="9">
        <v>0</v>
      </c>
      <c r="AZ215" s="9">
        <v>0</v>
      </c>
      <c r="BA215" s="9">
        <v>0</v>
      </c>
      <c r="BB215" s="9">
        <v>0</v>
      </c>
      <c r="BC215" s="9">
        <v>0</v>
      </c>
      <c r="BD215" s="9">
        <v>0</v>
      </c>
      <c r="BE215" s="9">
        <v>0</v>
      </c>
      <c r="BF215" s="9">
        <v>0</v>
      </c>
      <c r="BG215" s="9">
        <v>0</v>
      </c>
      <c r="BH215" s="9">
        <v>0</v>
      </c>
      <c r="BI215" s="9">
        <v>0</v>
      </c>
      <c r="BJ215" s="9">
        <v>0</v>
      </c>
      <c r="BK215" s="9">
        <v>0</v>
      </c>
      <c r="BL215" s="9">
        <v>0</v>
      </c>
      <c r="BM215" s="9">
        <v>0</v>
      </c>
      <c r="BN215" s="9">
        <v>0</v>
      </c>
      <c r="BO215" s="9">
        <v>0</v>
      </c>
      <c r="BP215" s="9">
        <v>0</v>
      </c>
      <c r="BQ215" s="9">
        <v>0</v>
      </c>
      <c r="BR215" s="9">
        <v>0</v>
      </c>
      <c r="BS215" s="9">
        <v>0</v>
      </c>
      <c r="BT215" s="9">
        <v>0</v>
      </c>
      <c r="BU215" s="9">
        <v>0</v>
      </c>
      <c r="BV215" s="9">
        <v>0</v>
      </c>
      <c r="BW215" s="9">
        <v>0</v>
      </c>
      <c r="BX215" s="9">
        <v>0</v>
      </c>
      <c r="BY215" s="9">
        <v>0</v>
      </c>
      <c r="BZ215" s="9">
        <v>0</v>
      </c>
      <c r="CA215" s="9">
        <v>0</v>
      </c>
      <c r="CB215" s="9">
        <v>0</v>
      </c>
      <c r="CC215" s="9">
        <v>0</v>
      </c>
      <c r="CD215" s="9">
        <v>0</v>
      </c>
      <c r="CE215" s="9">
        <v>0</v>
      </c>
      <c r="CF215" s="9">
        <v>0</v>
      </c>
      <c r="CG215" s="9">
        <v>0</v>
      </c>
      <c r="CH215" s="9">
        <v>0</v>
      </c>
      <c r="CI215" s="9">
        <v>0</v>
      </c>
      <c r="CJ215" s="9">
        <v>0</v>
      </c>
      <c r="CK215" s="9">
        <v>0</v>
      </c>
      <c r="CL215" s="9">
        <v>0</v>
      </c>
      <c r="CM215" s="9">
        <v>0</v>
      </c>
      <c r="CN215" s="9">
        <v>0</v>
      </c>
      <c r="CO215" s="9">
        <v>0</v>
      </c>
      <c r="CP215" s="9">
        <v>0</v>
      </c>
      <c r="CQ215" s="9">
        <v>0</v>
      </c>
      <c r="CR215" s="9">
        <v>0</v>
      </c>
      <c r="CS215" s="9">
        <v>0</v>
      </c>
      <c r="CT215" s="9">
        <v>0</v>
      </c>
      <c r="CU215" s="9">
        <v>0</v>
      </c>
      <c r="CV215" s="9">
        <v>0</v>
      </c>
      <c r="CW215" s="9">
        <v>0</v>
      </c>
      <c r="CX215" s="9">
        <v>0</v>
      </c>
      <c r="CY215" s="9">
        <v>0</v>
      </c>
      <c r="CZ215" s="9">
        <v>0</v>
      </c>
      <c r="DA215" s="9">
        <v>0</v>
      </c>
      <c r="DB215" s="9">
        <v>0</v>
      </c>
      <c r="DC215" s="9">
        <v>0</v>
      </c>
      <c r="DD215" s="9">
        <v>0</v>
      </c>
      <c r="DE215" s="9">
        <v>0</v>
      </c>
      <c r="DF215" s="9">
        <v>0</v>
      </c>
      <c r="DG215" s="9">
        <v>0</v>
      </c>
      <c r="DH215" s="9">
        <v>0</v>
      </c>
      <c r="DI215" s="9">
        <v>0</v>
      </c>
      <c r="DJ215" s="9">
        <v>0</v>
      </c>
      <c r="DK215" s="9">
        <v>0</v>
      </c>
      <c r="DL215" s="9">
        <v>0</v>
      </c>
      <c r="DM215" s="9">
        <v>0</v>
      </c>
      <c r="DN215" s="9">
        <v>0</v>
      </c>
      <c r="DO215" s="9">
        <v>0</v>
      </c>
      <c r="DP215" s="9">
        <v>0</v>
      </c>
      <c r="DQ215" s="9">
        <v>0</v>
      </c>
      <c r="DR215" s="9">
        <v>0</v>
      </c>
      <c r="DS215" s="9">
        <v>0</v>
      </c>
      <c r="DT215" s="9">
        <v>0</v>
      </c>
      <c r="DU215" s="9">
        <v>0</v>
      </c>
      <c r="DV215" s="9">
        <v>0</v>
      </c>
      <c r="DW215" s="9">
        <v>0</v>
      </c>
      <c r="DX215" s="9">
        <v>0</v>
      </c>
      <c r="DY215" s="9">
        <v>0</v>
      </c>
      <c r="DZ215" s="9">
        <v>0</v>
      </c>
      <c r="EA215" s="9">
        <v>0</v>
      </c>
      <c r="EB215" s="9">
        <v>0</v>
      </c>
      <c r="EC215" s="9">
        <v>0</v>
      </c>
      <c r="ED215" s="9">
        <v>0</v>
      </c>
      <c r="EE215" s="9">
        <v>0</v>
      </c>
      <c r="EF215" s="9">
        <v>0</v>
      </c>
      <c r="EG215" s="9">
        <v>0</v>
      </c>
      <c r="EH215" s="9">
        <v>0</v>
      </c>
      <c r="EI215" s="9">
        <v>0</v>
      </c>
      <c r="EJ215" s="9">
        <v>0</v>
      </c>
      <c r="EK215" s="9">
        <v>0</v>
      </c>
      <c r="EL215" s="9">
        <v>0</v>
      </c>
      <c r="EM215" s="9">
        <v>0</v>
      </c>
      <c r="EN215" s="9">
        <v>1</v>
      </c>
      <c r="EO215" s="9">
        <v>1</v>
      </c>
      <c r="EP215" s="9">
        <v>1</v>
      </c>
      <c r="EQ215" s="9">
        <v>1</v>
      </c>
      <c r="ER215" s="9">
        <v>1</v>
      </c>
      <c r="ES215" s="9">
        <v>1</v>
      </c>
      <c r="ET215" s="9">
        <v>1</v>
      </c>
      <c r="EU215" s="9">
        <v>1</v>
      </c>
      <c r="EV215" s="9">
        <v>1</v>
      </c>
      <c r="EW215" s="9">
        <v>1</v>
      </c>
      <c r="EX215" s="9">
        <v>1</v>
      </c>
      <c r="EY215" s="9">
        <v>1</v>
      </c>
      <c r="EZ215" s="9">
        <v>1</v>
      </c>
      <c r="FA215" s="9">
        <v>1</v>
      </c>
      <c r="FB215" s="9">
        <v>1</v>
      </c>
      <c r="FC215" s="9">
        <v>0</v>
      </c>
      <c r="FD215" s="9">
        <v>0</v>
      </c>
      <c r="FE215" s="9">
        <v>0</v>
      </c>
      <c r="FF215" s="9">
        <v>0</v>
      </c>
      <c r="FG215" s="9">
        <v>0</v>
      </c>
      <c r="FH215" s="9">
        <v>0</v>
      </c>
      <c r="FI215" s="9">
        <v>0</v>
      </c>
      <c r="FJ215" s="9">
        <v>0</v>
      </c>
      <c r="FK215" s="9">
        <v>0</v>
      </c>
      <c r="FL215" s="9">
        <v>0</v>
      </c>
      <c r="FM215" s="10">
        <v>0</v>
      </c>
    </row>
    <row r="216" spans="1:169" x14ac:dyDescent="0.35">
      <c r="A216" s="8" t="s">
        <v>342</v>
      </c>
      <c r="B216" s="9" t="s">
        <v>367</v>
      </c>
      <c r="C216" s="10" t="s">
        <v>368</v>
      </c>
      <c r="D216" s="62">
        <f t="shared" si="100"/>
        <v>32</v>
      </c>
      <c r="E216" s="9">
        <v>0</v>
      </c>
      <c r="F216" s="9">
        <v>0</v>
      </c>
      <c r="G216" s="9">
        <v>0</v>
      </c>
      <c r="H216" s="9">
        <v>0</v>
      </c>
      <c r="I216" s="9">
        <v>0</v>
      </c>
      <c r="J216" s="9">
        <v>0</v>
      </c>
      <c r="K216" s="9">
        <v>1</v>
      </c>
      <c r="L216" s="9">
        <v>1</v>
      </c>
      <c r="M216" s="9">
        <v>1</v>
      </c>
      <c r="N216" s="9">
        <v>1</v>
      </c>
      <c r="O216" s="9">
        <v>1</v>
      </c>
      <c r="P216" s="9">
        <v>9</v>
      </c>
      <c r="Q216" s="9">
        <v>16</v>
      </c>
      <c r="R216" s="9">
        <v>17</v>
      </c>
      <c r="S216" s="9">
        <v>22</v>
      </c>
      <c r="T216" s="9">
        <v>24</v>
      </c>
      <c r="U216" s="9">
        <v>26</v>
      </c>
      <c r="V216" s="9">
        <v>27</v>
      </c>
      <c r="W216" s="9">
        <v>29</v>
      </c>
      <c r="X216" s="9">
        <v>29</v>
      </c>
      <c r="Y216" s="9">
        <v>29</v>
      </c>
      <c r="Z216" s="9">
        <v>30</v>
      </c>
      <c r="AA216" s="9">
        <v>31</v>
      </c>
      <c r="AB216" s="9">
        <v>29</v>
      </c>
      <c r="AC216" s="9">
        <v>28</v>
      </c>
      <c r="AD216" s="9">
        <v>29</v>
      </c>
      <c r="AE216" s="9">
        <v>30</v>
      </c>
      <c r="AF216" s="9">
        <v>32</v>
      </c>
      <c r="AG216" s="9">
        <v>31</v>
      </c>
      <c r="AH216" s="9">
        <v>28</v>
      </c>
      <c r="AI216" s="9">
        <v>30</v>
      </c>
      <c r="AJ216" s="9">
        <v>29</v>
      </c>
      <c r="AK216" s="9">
        <v>29</v>
      </c>
      <c r="AL216" s="9">
        <v>28</v>
      </c>
      <c r="AM216" s="9">
        <v>28</v>
      </c>
      <c r="AN216" s="9">
        <v>26</v>
      </c>
      <c r="AO216" s="9">
        <v>26</v>
      </c>
      <c r="AP216" s="9">
        <v>26</v>
      </c>
      <c r="AQ216" s="9">
        <v>23</v>
      </c>
      <c r="AR216" s="9">
        <v>22</v>
      </c>
      <c r="AS216" s="9">
        <v>24</v>
      </c>
      <c r="AT216" s="9">
        <v>24</v>
      </c>
      <c r="AU216" s="9">
        <v>20</v>
      </c>
      <c r="AV216" s="9">
        <v>21</v>
      </c>
      <c r="AW216" s="9">
        <v>21</v>
      </c>
      <c r="AX216" s="9">
        <v>20</v>
      </c>
      <c r="AY216" s="9">
        <v>20</v>
      </c>
      <c r="AZ216" s="9">
        <v>18</v>
      </c>
      <c r="BA216" s="9">
        <v>16</v>
      </c>
      <c r="BB216" s="9">
        <v>14</v>
      </c>
      <c r="BC216" s="9">
        <v>13</v>
      </c>
      <c r="BD216" s="9">
        <v>14</v>
      </c>
      <c r="BE216" s="9">
        <v>15</v>
      </c>
      <c r="BF216" s="9">
        <v>15</v>
      </c>
      <c r="BG216" s="9">
        <v>15</v>
      </c>
      <c r="BH216" s="9">
        <v>12</v>
      </c>
      <c r="BI216" s="9">
        <v>12</v>
      </c>
      <c r="BJ216" s="9">
        <v>13</v>
      </c>
      <c r="BK216" s="9">
        <v>13</v>
      </c>
      <c r="BL216" s="9">
        <v>13</v>
      </c>
      <c r="BM216" s="9">
        <v>14</v>
      </c>
      <c r="BN216" s="9">
        <v>13</v>
      </c>
      <c r="BO216" s="9">
        <v>10</v>
      </c>
      <c r="BP216" s="9">
        <v>9</v>
      </c>
      <c r="BQ216" s="9">
        <v>10</v>
      </c>
      <c r="BR216" s="9">
        <v>10</v>
      </c>
      <c r="BS216" s="9">
        <v>10</v>
      </c>
      <c r="BT216" s="9">
        <v>9</v>
      </c>
      <c r="BU216" s="9">
        <v>9</v>
      </c>
      <c r="BV216" s="9">
        <v>7</v>
      </c>
      <c r="BW216" s="9">
        <v>7</v>
      </c>
      <c r="BX216" s="9">
        <v>7</v>
      </c>
      <c r="BY216" s="9">
        <v>6</v>
      </c>
      <c r="BZ216" s="9">
        <v>6</v>
      </c>
      <c r="CA216" s="9">
        <v>6</v>
      </c>
      <c r="CB216" s="9">
        <v>6</v>
      </c>
      <c r="CC216" s="9">
        <v>6</v>
      </c>
      <c r="CD216" s="9">
        <v>6</v>
      </c>
      <c r="CE216" s="9">
        <v>6</v>
      </c>
      <c r="CF216" s="9">
        <v>6</v>
      </c>
      <c r="CG216" s="9">
        <v>6</v>
      </c>
      <c r="CH216" s="9">
        <v>6</v>
      </c>
      <c r="CI216" s="9">
        <v>4</v>
      </c>
      <c r="CJ216" s="9">
        <v>4</v>
      </c>
      <c r="CK216" s="9">
        <v>4</v>
      </c>
      <c r="CL216" s="9">
        <v>4</v>
      </c>
      <c r="CM216" s="9">
        <v>3</v>
      </c>
      <c r="CN216" s="9">
        <v>3</v>
      </c>
      <c r="CO216" s="9">
        <v>3</v>
      </c>
      <c r="CP216" s="9">
        <v>3</v>
      </c>
      <c r="CQ216" s="9">
        <v>3</v>
      </c>
      <c r="CR216" s="9">
        <v>3</v>
      </c>
      <c r="CS216" s="9">
        <v>1</v>
      </c>
      <c r="CT216" s="9">
        <v>1</v>
      </c>
      <c r="CU216" s="9">
        <v>1</v>
      </c>
      <c r="CV216" s="9">
        <v>1</v>
      </c>
      <c r="CW216" s="9">
        <v>1</v>
      </c>
      <c r="CX216" s="9">
        <v>1</v>
      </c>
      <c r="CY216" s="9">
        <v>1</v>
      </c>
      <c r="CZ216" s="9">
        <v>1</v>
      </c>
      <c r="DA216" s="9">
        <v>1</v>
      </c>
      <c r="DB216" s="9">
        <v>1</v>
      </c>
      <c r="DC216" s="9">
        <v>1</v>
      </c>
      <c r="DD216" s="9">
        <v>1</v>
      </c>
      <c r="DE216" s="9">
        <v>2</v>
      </c>
      <c r="DF216" s="9">
        <v>2</v>
      </c>
      <c r="DG216" s="9">
        <v>2</v>
      </c>
      <c r="DH216" s="9">
        <v>2</v>
      </c>
      <c r="DI216" s="9">
        <v>3</v>
      </c>
      <c r="DJ216" s="9">
        <v>4</v>
      </c>
      <c r="DK216" s="9">
        <v>2</v>
      </c>
      <c r="DL216" s="9">
        <v>2</v>
      </c>
      <c r="DM216" s="9">
        <v>2</v>
      </c>
      <c r="DN216" s="9">
        <v>3</v>
      </c>
      <c r="DO216" s="9">
        <v>3</v>
      </c>
      <c r="DP216" s="9">
        <v>3</v>
      </c>
      <c r="DQ216" s="9">
        <v>3</v>
      </c>
      <c r="DR216" s="9">
        <v>3</v>
      </c>
      <c r="DS216" s="9">
        <v>3</v>
      </c>
      <c r="DT216" s="9">
        <v>3</v>
      </c>
      <c r="DU216" s="9">
        <v>4</v>
      </c>
      <c r="DV216" s="9">
        <v>4</v>
      </c>
      <c r="DW216" s="9">
        <v>4</v>
      </c>
      <c r="DX216" s="9">
        <v>3</v>
      </c>
      <c r="DY216" s="9">
        <v>1</v>
      </c>
      <c r="DZ216" s="9">
        <v>1</v>
      </c>
      <c r="EA216" s="9">
        <v>1</v>
      </c>
      <c r="EB216" s="9">
        <v>2</v>
      </c>
      <c r="EC216" s="9">
        <v>2</v>
      </c>
      <c r="ED216" s="9">
        <v>2</v>
      </c>
      <c r="EE216" s="9">
        <v>3</v>
      </c>
      <c r="EF216" s="9">
        <v>3</v>
      </c>
      <c r="EG216" s="9">
        <v>3</v>
      </c>
      <c r="EH216" s="9">
        <v>2</v>
      </c>
      <c r="EI216" s="9">
        <v>0</v>
      </c>
      <c r="EJ216" s="9">
        <v>2</v>
      </c>
      <c r="EK216" s="9">
        <v>2</v>
      </c>
      <c r="EL216" s="9">
        <v>2</v>
      </c>
      <c r="EM216" s="9">
        <v>2</v>
      </c>
      <c r="EN216" s="9">
        <v>2</v>
      </c>
      <c r="EO216" s="9">
        <v>2</v>
      </c>
      <c r="EP216" s="9">
        <v>2</v>
      </c>
      <c r="EQ216" s="9">
        <v>1</v>
      </c>
      <c r="ER216" s="9">
        <v>1</v>
      </c>
      <c r="ES216" s="9">
        <v>1</v>
      </c>
      <c r="ET216" s="9">
        <v>1</v>
      </c>
      <c r="EU216" s="9">
        <v>1</v>
      </c>
      <c r="EV216" s="9">
        <v>1</v>
      </c>
      <c r="EW216" s="9">
        <v>1</v>
      </c>
      <c r="EX216" s="9">
        <v>1</v>
      </c>
      <c r="EY216" s="9">
        <v>1</v>
      </c>
      <c r="EZ216" s="9">
        <v>1</v>
      </c>
      <c r="FA216" s="9">
        <v>1</v>
      </c>
      <c r="FB216" s="9">
        <v>1</v>
      </c>
      <c r="FC216" s="9">
        <v>2</v>
      </c>
      <c r="FD216" s="9">
        <v>2</v>
      </c>
      <c r="FE216" s="9">
        <v>2</v>
      </c>
      <c r="FF216" s="9">
        <v>2</v>
      </c>
      <c r="FG216" s="9">
        <v>0</v>
      </c>
      <c r="FH216" s="9">
        <v>0</v>
      </c>
      <c r="FI216" s="9">
        <v>0</v>
      </c>
      <c r="FJ216" s="9">
        <v>0</v>
      </c>
      <c r="FK216" s="9">
        <v>0</v>
      </c>
      <c r="FL216" s="9">
        <v>0</v>
      </c>
      <c r="FM216" s="10">
        <v>0</v>
      </c>
    </row>
    <row r="217" spans="1:169" x14ac:dyDescent="0.35">
      <c r="A217" s="8" t="s">
        <v>342</v>
      </c>
      <c r="B217" s="9" t="s">
        <v>369</v>
      </c>
      <c r="C217" s="10" t="s">
        <v>370</v>
      </c>
      <c r="D217" s="62">
        <f t="shared" si="100"/>
        <v>77</v>
      </c>
      <c r="E217" s="9">
        <v>1</v>
      </c>
      <c r="F217" s="9">
        <v>5</v>
      </c>
      <c r="G217" s="9">
        <v>3</v>
      </c>
      <c r="H217" s="9">
        <v>3</v>
      </c>
      <c r="I217" s="9">
        <v>6</v>
      </c>
      <c r="J217" s="9">
        <v>7</v>
      </c>
      <c r="K217" s="9">
        <v>0</v>
      </c>
      <c r="L217" s="9">
        <v>9</v>
      </c>
      <c r="M217" s="9">
        <v>18</v>
      </c>
      <c r="N217" s="9">
        <v>16</v>
      </c>
      <c r="O217" s="9">
        <v>17</v>
      </c>
      <c r="P217" s="9">
        <v>17</v>
      </c>
      <c r="Q217" s="9">
        <v>24</v>
      </c>
      <c r="R217" s="9">
        <v>27</v>
      </c>
      <c r="S217" s="9">
        <v>40</v>
      </c>
      <c r="T217" s="9">
        <v>43</v>
      </c>
      <c r="U217" s="9">
        <v>49</v>
      </c>
      <c r="V217" s="9">
        <v>46</v>
      </c>
      <c r="W217" s="9">
        <v>51</v>
      </c>
      <c r="X217" s="9">
        <v>50</v>
      </c>
      <c r="Y217" s="9">
        <v>52</v>
      </c>
      <c r="Z217" s="9">
        <v>49</v>
      </c>
      <c r="AA217" s="9">
        <v>56</v>
      </c>
      <c r="AB217" s="9">
        <v>57</v>
      </c>
      <c r="AC217" s="9">
        <v>62</v>
      </c>
      <c r="AD217" s="9">
        <v>59</v>
      </c>
      <c r="AE217" s="9">
        <v>66</v>
      </c>
      <c r="AF217" s="9">
        <v>51</v>
      </c>
      <c r="AG217" s="9">
        <v>58</v>
      </c>
      <c r="AH217" s="9">
        <v>59</v>
      </c>
      <c r="AI217" s="9">
        <v>59</v>
      </c>
      <c r="AJ217" s="9">
        <v>59</v>
      </c>
      <c r="AK217" s="9">
        <v>60</v>
      </c>
      <c r="AL217" s="9">
        <v>56</v>
      </c>
      <c r="AM217" s="9">
        <v>57</v>
      </c>
      <c r="AN217" s="9">
        <v>56</v>
      </c>
      <c r="AO217" s="9">
        <v>59</v>
      </c>
      <c r="AP217" s="9">
        <v>60</v>
      </c>
      <c r="AQ217" s="9">
        <v>57</v>
      </c>
      <c r="AR217" s="9">
        <v>54</v>
      </c>
      <c r="AS217" s="9">
        <v>48</v>
      </c>
      <c r="AT217" s="9">
        <v>59</v>
      </c>
      <c r="AU217" s="9">
        <v>57</v>
      </c>
      <c r="AV217" s="9">
        <v>54</v>
      </c>
      <c r="AW217" s="9">
        <v>49</v>
      </c>
      <c r="AX217" s="9">
        <v>56</v>
      </c>
      <c r="AY217" s="9">
        <v>53</v>
      </c>
      <c r="AZ217" s="9">
        <v>51</v>
      </c>
      <c r="BA217" s="9">
        <v>43</v>
      </c>
      <c r="BB217" s="9">
        <v>43</v>
      </c>
      <c r="BC217" s="9">
        <v>40</v>
      </c>
      <c r="BD217" s="9">
        <v>40</v>
      </c>
      <c r="BE217" s="9">
        <v>43</v>
      </c>
      <c r="BF217" s="9">
        <v>43</v>
      </c>
      <c r="BG217" s="9">
        <v>40</v>
      </c>
      <c r="BH217" s="9">
        <v>44</v>
      </c>
      <c r="BI217" s="9">
        <v>54</v>
      </c>
      <c r="BJ217" s="9">
        <v>77</v>
      </c>
      <c r="BK217" s="9">
        <v>52</v>
      </c>
      <c r="BL217" s="9">
        <v>41</v>
      </c>
      <c r="BM217" s="9">
        <v>54</v>
      </c>
      <c r="BN217" s="9">
        <v>51</v>
      </c>
      <c r="BO217" s="9">
        <v>45</v>
      </c>
      <c r="BP217" s="9">
        <v>48</v>
      </c>
      <c r="BQ217" s="9">
        <v>48</v>
      </c>
      <c r="BR217" s="9">
        <v>48</v>
      </c>
      <c r="BS217" s="9">
        <v>36</v>
      </c>
      <c r="BT217" s="9">
        <v>36</v>
      </c>
      <c r="BU217" s="9">
        <v>30</v>
      </c>
      <c r="BV217" s="9">
        <v>29</v>
      </c>
      <c r="BW217" s="9">
        <v>29</v>
      </c>
      <c r="BX217" s="9">
        <v>28</v>
      </c>
      <c r="BY217" s="9">
        <v>35</v>
      </c>
      <c r="BZ217" s="9">
        <v>34</v>
      </c>
      <c r="CA217" s="9">
        <v>33</v>
      </c>
      <c r="CB217" s="9">
        <v>33</v>
      </c>
      <c r="CC217" s="9">
        <v>32</v>
      </c>
      <c r="CD217" s="9">
        <v>23</v>
      </c>
      <c r="CE217" s="9">
        <v>23</v>
      </c>
      <c r="CF217" s="9">
        <v>21</v>
      </c>
      <c r="CG217" s="9">
        <v>20</v>
      </c>
      <c r="CH217" s="9">
        <v>23</v>
      </c>
      <c r="CI217" s="9">
        <v>16</v>
      </c>
      <c r="CJ217" s="9">
        <v>19</v>
      </c>
      <c r="CK217" s="9">
        <v>20</v>
      </c>
      <c r="CL217" s="9">
        <v>19</v>
      </c>
      <c r="CM217" s="9">
        <v>21</v>
      </c>
      <c r="CN217" s="9">
        <v>24</v>
      </c>
      <c r="CO217" s="9">
        <v>19</v>
      </c>
      <c r="CP217" s="9">
        <v>19</v>
      </c>
      <c r="CQ217" s="9">
        <v>22</v>
      </c>
      <c r="CR217" s="9">
        <v>20</v>
      </c>
      <c r="CS217" s="9">
        <v>21</v>
      </c>
      <c r="CT217" s="9">
        <v>20</v>
      </c>
      <c r="CU217" s="9">
        <v>20</v>
      </c>
      <c r="CV217" s="9">
        <v>22</v>
      </c>
      <c r="CW217" s="9">
        <v>23</v>
      </c>
      <c r="CX217" s="9">
        <v>23</v>
      </c>
      <c r="CY217" s="9">
        <v>25</v>
      </c>
      <c r="CZ217" s="9">
        <v>22</v>
      </c>
      <c r="DA217" s="9">
        <v>22</v>
      </c>
      <c r="DB217" s="9">
        <v>21</v>
      </c>
      <c r="DC217" s="9">
        <v>17</v>
      </c>
      <c r="DD217" s="9">
        <v>17</v>
      </c>
      <c r="DE217" s="9">
        <v>14</v>
      </c>
      <c r="DF217" s="9">
        <v>16</v>
      </c>
      <c r="DG217" s="9">
        <v>14</v>
      </c>
      <c r="DH217" s="9">
        <v>14</v>
      </c>
      <c r="DI217" s="9">
        <v>9</v>
      </c>
      <c r="DJ217" s="9">
        <v>11</v>
      </c>
      <c r="DK217" s="9">
        <v>9</v>
      </c>
      <c r="DL217" s="9">
        <v>9</v>
      </c>
      <c r="DM217" s="9">
        <v>10</v>
      </c>
      <c r="DN217" s="9">
        <v>10</v>
      </c>
      <c r="DO217" s="9">
        <v>6</v>
      </c>
      <c r="DP217" s="9">
        <v>9</v>
      </c>
      <c r="DQ217" s="9">
        <v>11</v>
      </c>
      <c r="DR217" s="9">
        <v>8</v>
      </c>
      <c r="DS217" s="9">
        <v>4</v>
      </c>
      <c r="DT217" s="9">
        <v>7</v>
      </c>
      <c r="DU217" s="9">
        <v>6</v>
      </c>
      <c r="DV217" s="9">
        <v>6</v>
      </c>
      <c r="DW217" s="9">
        <v>5</v>
      </c>
      <c r="DX217" s="9">
        <v>5</v>
      </c>
      <c r="DY217" s="9">
        <v>5</v>
      </c>
      <c r="DZ217" s="9">
        <v>2</v>
      </c>
      <c r="EA217" s="9">
        <v>2</v>
      </c>
      <c r="EB217" s="9">
        <v>4</v>
      </c>
      <c r="EC217" s="9">
        <v>4</v>
      </c>
      <c r="ED217" s="9">
        <v>4</v>
      </c>
      <c r="EE217" s="9">
        <v>3</v>
      </c>
      <c r="EF217" s="9">
        <v>3</v>
      </c>
      <c r="EG217" s="9">
        <v>3</v>
      </c>
      <c r="EH217" s="9">
        <v>2</v>
      </c>
      <c r="EI217" s="9">
        <v>1</v>
      </c>
      <c r="EJ217" s="9">
        <v>3</v>
      </c>
      <c r="EK217" s="9">
        <v>1</v>
      </c>
      <c r="EL217" s="9">
        <v>0</v>
      </c>
      <c r="EM217" s="9">
        <v>0</v>
      </c>
      <c r="EN217" s="9">
        <v>0</v>
      </c>
      <c r="EO217" s="9">
        <v>1</v>
      </c>
      <c r="EP217" s="9">
        <v>0</v>
      </c>
      <c r="EQ217" s="9">
        <v>0</v>
      </c>
      <c r="ER217" s="9">
        <v>0</v>
      </c>
      <c r="ES217" s="9">
        <v>0</v>
      </c>
      <c r="ET217" s="9">
        <v>0</v>
      </c>
      <c r="EU217" s="9">
        <v>1</v>
      </c>
      <c r="EV217" s="9">
        <v>1</v>
      </c>
      <c r="EW217" s="9">
        <v>0</v>
      </c>
      <c r="EX217" s="9">
        <v>0</v>
      </c>
      <c r="EY217" s="9">
        <v>0</v>
      </c>
      <c r="EZ217" s="9">
        <v>1</v>
      </c>
      <c r="FA217" s="9">
        <v>1</v>
      </c>
      <c r="FB217" s="9">
        <v>0</v>
      </c>
      <c r="FC217" s="9">
        <v>0</v>
      </c>
      <c r="FD217" s="9">
        <v>0</v>
      </c>
      <c r="FE217" s="9">
        <v>0</v>
      </c>
      <c r="FF217" s="9">
        <v>0</v>
      </c>
      <c r="FG217" s="9">
        <v>0</v>
      </c>
      <c r="FH217" s="9">
        <v>0</v>
      </c>
      <c r="FI217" s="9">
        <v>0</v>
      </c>
      <c r="FJ217" s="9">
        <v>0</v>
      </c>
      <c r="FK217" s="9">
        <v>0</v>
      </c>
      <c r="FL217" s="9">
        <v>0</v>
      </c>
      <c r="FM217" s="10">
        <v>0</v>
      </c>
    </row>
    <row r="218" spans="1:169" x14ac:dyDescent="0.35">
      <c r="A218" s="8" t="s">
        <v>342</v>
      </c>
      <c r="B218" s="9" t="s">
        <v>371</v>
      </c>
      <c r="C218" s="10" t="s">
        <v>372</v>
      </c>
      <c r="D218" s="62">
        <f t="shared" si="100"/>
        <v>142</v>
      </c>
      <c r="E218" s="9">
        <v>1</v>
      </c>
      <c r="F218" s="9">
        <v>2</v>
      </c>
      <c r="G218" s="9">
        <v>10</v>
      </c>
      <c r="H218" s="9">
        <v>10</v>
      </c>
      <c r="I218" s="9">
        <v>4</v>
      </c>
      <c r="J218" s="9">
        <v>7</v>
      </c>
      <c r="K218" s="9">
        <v>7</v>
      </c>
      <c r="L218" s="9">
        <v>13</v>
      </c>
      <c r="M218" s="9">
        <v>17</v>
      </c>
      <c r="N218" s="9">
        <v>19</v>
      </c>
      <c r="O218" s="9">
        <v>29</v>
      </c>
      <c r="P218" s="9">
        <v>39</v>
      </c>
      <c r="Q218" s="9">
        <v>54</v>
      </c>
      <c r="R218" s="9">
        <v>48</v>
      </c>
      <c r="S218" s="9">
        <v>74</v>
      </c>
      <c r="T218" s="9">
        <v>78</v>
      </c>
      <c r="U218" s="9">
        <v>88</v>
      </c>
      <c r="V218" s="9">
        <v>105</v>
      </c>
      <c r="W218" s="9">
        <v>110</v>
      </c>
      <c r="X218" s="9">
        <v>111</v>
      </c>
      <c r="Y218" s="9">
        <v>109</v>
      </c>
      <c r="Z218" s="9">
        <v>109</v>
      </c>
      <c r="AA218" s="9">
        <v>114</v>
      </c>
      <c r="AB218" s="9">
        <v>120</v>
      </c>
      <c r="AC218" s="9">
        <v>118</v>
      </c>
      <c r="AD218" s="9">
        <v>131</v>
      </c>
      <c r="AE218" s="9">
        <v>121</v>
      </c>
      <c r="AF218" s="9">
        <v>114</v>
      </c>
      <c r="AG218" s="9">
        <v>122</v>
      </c>
      <c r="AH218" s="9">
        <v>123</v>
      </c>
      <c r="AI218" s="9">
        <v>125</v>
      </c>
      <c r="AJ218" s="9">
        <v>122</v>
      </c>
      <c r="AK218" s="9">
        <v>121</v>
      </c>
      <c r="AL218" s="9">
        <v>125</v>
      </c>
      <c r="AM218" s="9">
        <v>127</v>
      </c>
      <c r="AN218" s="9">
        <v>123</v>
      </c>
      <c r="AO218" s="9">
        <v>118</v>
      </c>
      <c r="AP218" s="9">
        <v>117</v>
      </c>
      <c r="AQ218" s="9">
        <v>115</v>
      </c>
      <c r="AR218" s="9">
        <v>116</v>
      </c>
      <c r="AS218" s="9">
        <v>131</v>
      </c>
      <c r="AT218" s="9">
        <v>134</v>
      </c>
      <c r="AU218" s="9">
        <v>132</v>
      </c>
      <c r="AV218" s="9">
        <v>132</v>
      </c>
      <c r="AW218" s="9">
        <v>137</v>
      </c>
      <c r="AX218" s="9">
        <v>142</v>
      </c>
      <c r="AY218" s="9">
        <v>132</v>
      </c>
      <c r="AZ218" s="9">
        <v>130</v>
      </c>
      <c r="BA218" s="9">
        <v>123</v>
      </c>
      <c r="BB218" s="9">
        <v>121</v>
      </c>
      <c r="BC218" s="9">
        <v>123</v>
      </c>
      <c r="BD218" s="9">
        <v>121</v>
      </c>
      <c r="BE218" s="9">
        <v>123</v>
      </c>
      <c r="BF218" s="9">
        <v>125</v>
      </c>
      <c r="BG218" s="9">
        <v>129</v>
      </c>
      <c r="BH218" s="9">
        <v>124</v>
      </c>
      <c r="BI218" s="9">
        <v>111</v>
      </c>
      <c r="BJ218" s="9">
        <v>103</v>
      </c>
      <c r="BK218" s="9">
        <v>105</v>
      </c>
      <c r="BL218" s="9">
        <v>111</v>
      </c>
      <c r="BM218" s="9">
        <v>113</v>
      </c>
      <c r="BN218" s="9">
        <v>109</v>
      </c>
      <c r="BO218" s="9">
        <v>107</v>
      </c>
      <c r="BP218" s="9">
        <v>107</v>
      </c>
      <c r="BQ218" s="9">
        <v>102</v>
      </c>
      <c r="BR218" s="9">
        <v>101</v>
      </c>
      <c r="BS218" s="9">
        <v>108</v>
      </c>
      <c r="BT218" s="9">
        <v>110</v>
      </c>
      <c r="BU218" s="9">
        <v>112</v>
      </c>
      <c r="BV218" s="9">
        <v>109</v>
      </c>
      <c r="BW218" s="9">
        <v>120</v>
      </c>
      <c r="BX218" s="9">
        <v>115</v>
      </c>
      <c r="BY218" s="9">
        <v>118</v>
      </c>
      <c r="BZ218" s="9">
        <v>123</v>
      </c>
      <c r="CA218" s="9">
        <v>122</v>
      </c>
      <c r="CB218" s="9">
        <v>122</v>
      </c>
      <c r="CC218" s="9">
        <v>119</v>
      </c>
      <c r="CD218" s="9">
        <v>111</v>
      </c>
      <c r="CE218" s="9">
        <v>106</v>
      </c>
      <c r="CF218" s="9">
        <v>103</v>
      </c>
      <c r="CG218" s="9">
        <v>103</v>
      </c>
      <c r="CH218" s="9">
        <v>102</v>
      </c>
      <c r="CI218" s="9">
        <v>67</v>
      </c>
      <c r="CJ218" s="9">
        <v>65</v>
      </c>
      <c r="CK218" s="9">
        <v>64</v>
      </c>
      <c r="CL218" s="9">
        <v>59</v>
      </c>
      <c r="CM218" s="9">
        <v>60</v>
      </c>
      <c r="CN218" s="9">
        <v>57</v>
      </c>
      <c r="CO218" s="9">
        <v>50</v>
      </c>
      <c r="CP218" s="9">
        <v>56</v>
      </c>
      <c r="CQ218" s="9">
        <v>58</v>
      </c>
      <c r="CR218" s="9">
        <v>56</v>
      </c>
      <c r="CS218" s="9">
        <v>54</v>
      </c>
      <c r="CT218" s="9">
        <v>52</v>
      </c>
      <c r="CU218" s="9">
        <v>53</v>
      </c>
      <c r="CV218" s="9">
        <v>46</v>
      </c>
      <c r="CW218" s="9">
        <v>59</v>
      </c>
      <c r="CX218" s="9">
        <v>52</v>
      </c>
      <c r="CY218" s="9">
        <v>49</v>
      </c>
      <c r="CZ218" s="9">
        <v>45</v>
      </c>
      <c r="DA218" s="9">
        <v>47</v>
      </c>
      <c r="DB218" s="9">
        <v>45</v>
      </c>
      <c r="DC218" s="9">
        <v>42</v>
      </c>
      <c r="DD218" s="9">
        <v>44</v>
      </c>
      <c r="DE218" s="9">
        <v>41</v>
      </c>
      <c r="DF218" s="9">
        <v>47</v>
      </c>
      <c r="DG218" s="9">
        <v>30</v>
      </c>
      <c r="DH218" s="9">
        <v>31</v>
      </c>
      <c r="DI218" s="9">
        <v>31</v>
      </c>
      <c r="DJ218" s="9">
        <v>29</v>
      </c>
      <c r="DK218" s="9">
        <v>30</v>
      </c>
      <c r="DL218" s="9">
        <v>27</v>
      </c>
      <c r="DM218" s="9">
        <v>26</v>
      </c>
      <c r="DN218" s="9">
        <v>24</v>
      </c>
      <c r="DO218" s="9">
        <v>20</v>
      </c>
      <c r="DP218" s="9">
        <v>19</v>
      </c>
      <c r="DQ218" s="9">
        <v>18</v>
      </c>
      <c r="DR218" s="9">
        <v>17</v>
      </c>
      <c r="DS218" s="9">
        <v>14</v>
      </c>
      <c r="DT218" s="9">
        <v>14</v>
      </c>
      <c r="DU218" s="9">
        <v>15</v>
      </c>
      <c r="DV218" s="9">
        <v>15</v>
      </c>
      <c r="DW218" s="9">
        <v>16</v>
      </c>
      <c r="DX218" s="9">
        <v>14</v>
      </c>
      <c r="DY218" s="9">
        <v>11</v>
      </c>
      <c r="DZ218" s="9">
        <v>8</v>
      </c>
      <c r="EA218" s="9">
        <v>10</v>
      </c>
      <c r="EB218" s="9">
        <v>11</v>
      </c>
      <c r="EC218" s="9">
        <v>11</v>
      </c>
      <c r="ED218" s="9">
        <v>12</v>
      </c>
      <c r="EE218" s="9">
        <v>12</v>
      </c>
      <c r="EF218" s="9">
        <v>12</v>
      </c>
      <c r="EG218" s="9">
        <v>14</v>
      </c>
      <c r="EH218" s="9">
        <v>10</v>
      </c>
      <c r="EI218" s="9">
        <v>10</v>
      </c>
      <c r="EJ218" s="9">
        <v>8</v>
      </c>
      <c r="EK218" s="9">
        <v>8</v>
      </c>
      <c r="EL218" s="9">
        <v>9</v>
      </c>
      <c r="EM218" s="9">
        <v>7</v>
      </c>
      <c r="EN218" s="9">
        <v>7</v>
      </c>
      <c r="EO218" s="9">
        <v>7</v>
      </c>
      <c r="EP218" s="9">
        <v>7</v>
      </c>
      <c r="EQ218" s="9">
        <v>7</v>
      </c>
      <c r="ER218" s="9">
        <v>6</v>
      </c>
      <c r="ES218" s="9">
        <v>7</v>
      </c>
      <c r="ET218" s="9">
        <v>6</v>
      </c>
      <c r="EU218" s="9">
        <v>7</v>
      </c>
      <c r="EV218" s="9">
        <v>6</v>
      </c>
      <c r="EW218" s="9">
        <v>6</v>
      </c>
      <c r="EX218" s="9">
        <v>6</v>
      </c>
      <c r="EY218" s="9">
        <v>6</v>
      </c>
      <c r="EZ218" s="9">
        <v>7</v>
      </c>
      <c r="FA218" s="9">
        <v>5</v>
      </c>
      <c r="FB218" s="9">
        <v>5</v>
      </c>
      <c r="FC218" s="9">
        <v>5</v>
      </c>
      <c r="FD218" s="9">
        <v>4</v>
      </c>
      <c r="FE218" s="9">
        <v>3</v>
      </c>
      <c r="FF218" s="9">
        <v>3</v>
      </c>
      <c r="FG218" s="9">
        <v>8</v>
      </c>
      <c r="FH218" s="9">
        <v>4</v>
      </c>
      <c r="FI218" s="9">
        <v>4</v>
      </c>
      <c r="FJ218" s="9">
        <v>2</v>
      </c>
      <c r="FK218" s="9">
        <v>2</v>
      </c>
      <c r="FL218" s="9">
        <v>1</v>
      </c>
      <c r="FM218" s="10">
        <v>1</v>
      </c>
    </row>
    <row r="219" spans="1:169" x14ac:dyDescent="0.35">
      <c r="A219" s="8" t="s">
        <v>342</v>
      </c>
      <c r="B219" s="9" t="s">
        <v>373</v>
      </c>
      <c r="C219" s="10" t="s">
        <v>374</v>
      </c>
      <c r="D219" s="62">
        <f t="shared" si="100"/>
        <v>136</v>
      </c>
      <c r="E219" s="9">
        <v>9</v>
      </c>
      <c r="F219" s="9">
        <v>17</v>
      </c>
      <c r="G219" s="9">
        <v>20</v>
      </c>
      <c r="H219" s="9">
        <v>20</v>
      </c>
      <c r="I219" s="9">
        <v>33</v>
      </c>
      <c r="J219" s="9">
        <v>34</v>
      </c>
      <c r="K219" s="9">
        <v>38</v>
      </c>
      <c r="L219" s="9">
        <v>50</v>
      </c>
      <c r="M219" s="9">
        <v>52</v>
      </c>
      <c r="N219" s="9">
        <v>69</v>
      </c>
      <c r="O219" s="9">
        <v>91</v>
      </c>
      <c r="P219" s="9">
        <v>77</v>
      </c>
      <c r="Q219" s="9">
        <v>86</v>
      </c>
      <c r="R219" s="9">
        <v>108</v>
      </c>
      <c r="S219" s="9">
        <v>111</v>
      </c>
      <c r="T219" s="9">
        <v>113</v>
      </c>
      <c r="U219" s="9">
        <v>121</v>
      </c>
      <c r="V219" s="9">
        <v>124</v>
      </c>
      <c r="W219" s="9">
        <v>125</v>
      </c>
      <c r="X219" s="9">
        <v>131</v>
      </c>
      <c r="Y219" s="9">
        <v>129</v>
      </c>
      <c r="Z219" s="9">
        <v>134</v>
      </c>
      <c r="AA219" s="9">
        <v>128</v>
      </c>
      <c r="AB219" s="9">
        <v>136</v>
      </c>
      <c r="AC219" s="9">
        <v>136</v>
      </c>
      <c r="AD219" s="9">
        <v>136</v>
      </c>
      <c r="AE219" s="9">
        <v>134</v>
      </c>
      <c r="AF219" s="9">
        <v>127</v>
      </c>
      <c r="AG219" s="9">
        <v>129</v>
      </c>
      <c r="AH219" s="9">
        <v>124</v>
      </c>
      <c r="AI219" s="9">
        <v>122</v>
      </c>
      <c r="AJ219" s="9">
        <v>129</v>
      </c>
      <c r="AK219" s="9">
        <v>115</v>
      </c>
      <c r="AL219" s="9">
        <v>105</v>
      </c>
      <c r="AM219" s="9">
        <v>113</v>
      </c>
      <c r="AN219" s="9">
        <v>103</v>
      </c>
      <c r="AO219" s="9">
        <v>104</v>
      </c>
      <c r="AP219" s="9">
        <v>103</v>
      </c>
      <c r="AQ219" s="9">
        <v>109</v>
      </c>
      <c r="AR219" s="9">
        <v>99</v>
      </c>
      <c r="AS219" s="9">
        <v>93</v>
      </c>
      <c r="AT219" s="9">
        <v>89</v>
      </c>
      <c r="AU219" s="9">
        <v>79</v>
      </c>
      <c r="AV219" s="9">
        <v>77</v>
      </c>
      <c r="AW219" s="9">
        <v>76</v>
      </c>
      <c r="AX219" s="9">
        <v>81</v>
      </c>
      <c r="AY219" s="9">
        <v>78</v>
      </c>
      <c r="AZ219" s="9">
        <v>74</v>
      </c>
      <c r="BA219" s="9">
        <v>75</v>
      </c>
      <c r="BB219" s="9">
        <v>67</v>
      </c>
      <c r="BC219" s="9">
        <v>72</v>
      </c>
      <c r="BD219" s="9">
        <v>64</v>
      </c>
      <c r="BE219" s="9">
        <v>75</v>
      </c>
      <c r="BF219" s="9">
        <v>69</v>
      </c>
      <c r="BG219" s="9">
        <v>66</v>
      </c>
      <c r="BH219" s="9">
        <v>74</v>
      </c>
      <c r="BI219" s="9">
        <v>68</v>
      </c>
      <c r="BJ219" s="9">
        <v>58</v>
      </c>
      <c r="BK219" s="9">
        <v>59</v>
      </c>
      <c r="BL219" s="9">
        <v>69</v>
      </c>
      <c r="BM219" s="9">
        <v>68</v>
      </c>
      <c r="BN219" s="9">
        <v>67</v>
      </c>
      <c r="BO219" s="9">
        <v>63</v>
      </c>
      <c r="BP219" s="9">
        <v>58</v>
      </c>
      <c r="BQ219" s="9">
        <v>59</v>
      </c>
      <c r="BR219" s="9">
        <v>55</v>
      </c>
      <c r="BS219" s="9">
        <v>59</v>
      </c>
      <c r="BT219" s="9">
        <v>68</v>
      </c>
      <c r="BU219" s="9">
        <v>58</v>
      </c>
      <c r="BV219" s="9">
        <v>60</v>
      </c>
      <c r="BW219" s="9">
        <v>60</v>
      </c>
      <c r="BX219" s="9">
        <v>59</v>
      </c>
      <c r="BY219" s="9">
        <v>58</v>
      </c>
      <c r="BZ219" s="9">
        <v>65</v>
      </c>
      <c r="CA219" s="9">
        <v>69</v>
      </c>
      <c r="CB219" s="9">
        <v>67</v>
      </c>
      <c r="CC219" s="9">
        <v>64</v>
      </c>
      <c r="CD219" s="9">
        <v>64</v>
      </c>
      <c r="CE219" s="9">
        <v>57</v>
      </c>
      <c r="CF219" s="9">
        <v>57</v>
      </c>
      <c r="CG219" s="9">
        <v>65</v>
      </c>
      <c r="CH219" s="9">
        <v>70</v>
      </c>
      <c r="CI219" s="9">
        <v>60</v>
      </c>
      <c r="CJ219" s="9">
        <v>60</v>
      </c>
      <c r="CK219" s="9">
        <v>48</v>
      </c>
      <c r="CL219" s="9">
        <v>46</v>
      </c>
      <c r="CM219" s="9">
        <v>44</v>
      </c>
      <c r="CN219" s="9">
        <v>54</v>
      </c>
      <c r="CO219" s="9">
        <v>58</v>
      </c>
      <c r="CP219" s="9">
        <v>53</v>
      </c>
      <c r="CQ219" s="9">
        <v>52</v>
      </c>
      <c r="CR219" s="9">
        <v>44</v>
      </c>
      <c r="CS219" s="9">
        <v>35</v>
      </c>
      <c r="CT219" s="9">
        <v>30</v>
      </c>
      <c r="CU219" s="9">
        <v>42</v>
      </c>
      <c r="CV219" s="9">
        <v>42</v>
      </c>
      <c r="CW219" s="9">
        <v>32</v>
      </c>
      <c r="CX219" s="9">
        <v>42</v>
      </c>
      <c r="CY219" s="9">
        <v>36</v>
      </c>
      <c r="CZ219" s="9">
        <v>30</v>
      </c>
      <c r="DA219" s="9">
        <v>29</v>
      </c>
      <c r="DB219" s="9">
        <v>33</v>
      </c>
      <c r="DC219" s="9">
        <v>30</v>
      </c>
      <c r="DD219" s="9">
        <v>36</v>
      </c>
      <c r="DE219" s="9">
        <v>31</v>
      </c>
      <c r="DF219" s="9">
        <v>29</v>
      </c>
      <c r="DG219" s="9">
        <v>31</v>
      </c>
      <c r="DH219" s="9">
        <v>30</v>
      </c>
      <c r="DI219" s="9">
        <v>35</v>
      </c>
      <c r="DJ219" s="9">
        <v>32</v>
      </c>
      <c r="DK219" s="9">
        <v>34</v>
      </c>
      <c r="DL219" s="9">
        <v>31</v>
      </c>
      <c r="DM219" s="9">
        <v>34</v>
      </c>
      <c r="DN219" s="9">
        <v>29</v>
      </c>
      <c r="DO219" s="9">
        <v>31</v>
      </c>
      <c r="DP219" s="9">
        <v>33</v>
      </c>
      <c r="DQ219" s="9">
        <v>33</v>
      </c>
      <c r="DR219" s="9">
        <v>31</v>
      </c>
      <c r="DS219" s="9">
        <v>33</v>
      </c>
      <c r="DT219" s="9">
        <v>33</v>
      </c>
      <c r="DU219" s="9">
        <v>29</v>
      </c>
      <c r="DV219" s="9">
        <v>29</v>
      </c>
      <c r="DW219" s="9">
        <v>35</v>
      </c>
      <c r="DX219" s="9">
        <v>34</v>
      </c>
      <c r="DY219" s="9">
        <v>34</v>
      </c>
      <c r="DZ219" s="9">
        <v>38</v>
      </c>
      <c r="EA219" s="9">
        <v>38</v>
      </c>
      <c r="EB219" s="9">
        <v>35</v>
      </c>
      <c r="EC219" s="9">
        <v>35</v>
      </c>
      <c r="ED219" s="9">
        <v>39</v>
      </c>
      <c r="EE219" s="9">
        <v>38</v>
      </c>
      <c r="EF219" s="9">
        <v>37</v>
      </c>
      <c r="EG219" s="9">
        <v>39</v>
      </c>
      <c r="EH219" s="9">
        <v>37</v>
      </c>
      <c r="EI219" s="9">
        <v>36</v>
      </c>
      <c r="EJ219" s="9">
        <v>34</v>
      </c>
      <c r="EK219" s="9">
        <v>37</v>
      </c>
      <c r="EL219" s="9">
        <v>35</v>
      </c>
      <c r="EM219" s="9">
        <v>35</v>
      </c>
      <c r="EN219" s="9">
        <v>12</v>
      </c>
      <c r="EO219" s="9">
        <v>13</v>
      </c>
      <c r="EP219" s="9">
        <v>13</v>
      </c>
      <c r="EQ219" s="9">
        <v>1</v>
      </c>
      <c r="ER219" s="9">
        <v>11</v>
      </c>
      <c r="ES219" s="9">
        <v>11</v>
      </c>
      <c r="ET219" s="9">
        <v>10</v>
      </c>
      <c r="EU219" s="9">
        <v>10</v>
      </c>
      <c r="EV219" s="9">
        <v>12</v>
      </c>
      <c r="EW219" s="9">
        <v>10</v>
      </c>
      <c r="EX219" s="9">
        <v>10</v>
      </c>
      <c r="EY219" s="9">
        <v>8</v>
      </c>
      <c r="EZ219" s="9">
        <v>7</v>
      </c>
      <c r="FA219" s="9">
        <v>8</v>
      </c>
      <c r="FB219" s="9">
        <v>9</v>
      </c>
      <c r="FC219" s="9">
        <v>5</v>
      </c>
      <c r="FD219" s="9">
        <v>16</v>
      </c>
      <c r="FE219" s="9">
        <v>10</v>
      </c>
      <c r="FF219" s="9">
        <v>9</v>
      </c>
      <c r="FG219" s="9">
        <v>8</v>
      </c>
      <c r="FH219" s="9">
        <v>2</v>
      </c>
      <c r="FI219" s="9">
        <v>2</v>
      </c>
      <c r="FJ219" s="9">
        <v>2</v>
      </c>
      <c r="FK219" s="9">
        <v>9</v>
      </c>
      <c r="FL219" s="9">
        <v>9</v>
      </c>
      <c r="FM219" s="10">
        <v>11</v>
      </c>
    </row>
    <row r="220" spans="1:169" x14ac:dyDescent="0.35">
      <c r="A220" s="8" t="s">
        <v>342</v>
      </c>
      <c r="B220" s="9" t="s">
        <v>375</v>
      </c>
      <c r="C220" s="10" t="s">
        <v>376</v>
      </c>
      <c r="D220" s="62">
        <f t="shared" si="100"/>
        <v>148</v>
      </c>
      <c r="E220" s="9">
        <v>7</v>
      </c>
      <c r="F220" s="9">
        <v>7</v>
      </c>
      <c r="G220" s="9">
        <v>7</v>
      </c>
      <c r="H220" s="9">
        <v>9</v>
      </c>
      <c r="I220" s="9">
        <v>9</v>
      </c>
      <c r="J220" s="9">
        <v>13</v>
      </c>
      <c r="K220" s="9">
        <v>13</v>
      </c>
      <c r="L220" s="9">
        <v>17</v>
      </c>
      <c r="M220" s="9">
        <v>20</v>
      </c>
      <c r="N220" s="9">
        <v>21</v>
      </c>
      <c r="O220" s="9">
        <v>25</v>
      </c>
      <c r="P220" s="9">
        <v>31</v>
      </c>
      <c r="Q220" s="9">
        <v>48</v>
      </c>
      <c r="R220" s="9">
        <v>54</v>
      </c>
      <c r="S220" s="9">
        <v>73</v>
      </c>
      <c r="T220" s="9">
        <v>80</v>
      </c>
      <c r="U220" s="9">
        <v>100</v>
      </c>
      <c r="V220" s="9">
        <v>99</v>
      </c>
      <c r="W220" s="9">
        <v>106</v>
      </c>
      <c r="X220" s="9">
        <v>111</v>
      </c>
      <c r="Y220" s="9">
        <v>117</v>
      </c>
      <c r="Z220" s="9">
        <v>123</v>
      </c>
      <c r="AA220" s="9">
        <v>141</v>
      </c>
      <c r="AB220" s="9">
        <v>141</v>
      </c>
      <c r="AC220" s="9">
        <v>143</v>
      </c>
      <c r="AD220" s="9">
        <v>148</v>
      </c>
      <c r="AE220" s="9">
        <v>142</v>
      </c>
      <c r="AF220" s="9">
        <v>134</v>
      </c>
      <c r="AG220" s="9">
        <v>134</v>
      </c>
      <c r="AH220" s="9">
        <v>125</v>
      </c>
      <c r="AI220" s="9">
        <v>121</v>
      </c>
      <c r="AJ220" s="9">
        <v>120</v>
      </c>
      <c r="AK220" s="9">
        <v>116</v>
      </c>
      <c r="AL220" s="9">
        <v>114</v>
      </c>
      <c r="AM220" s="9">
        <v>115</v>
      </c>
      <c r="AN220" s="9">
        <v>99</v>
      </c>
      <c r="AO220" s="9">
        <v>97</v>
      </c>
      <c r="AP220" s="9">
        <v>100</v>
      </c>
      <c r="AQ220" s="9">
        <v>96</v>
      </c>
      <c r="AR220" s="9">
        <v>94</v>
      </c>
      <c r="AS220" s="9">
        <v>89</v>
      </c>
      <c r="AT220" s="9">
        <v>86</v>
      </c>
      <c r="AU220" s="9">
        <v>86</v>
      </c>
      <c r="AV220" s="9">
        <v>87</v>
      </c>
      <c r="AW220" s="9">
        <v>87</v>
      </c>
      <c r="AX220" s="9">
        <v>84</v>
      </c>
      <c r="AY220" s="9">
        <v>81</v>
      </c>
      <c r="AZ220" s="9">
        <v>77</v>
      </c>
      <c r="BA220" s="9">
        <v>67</v>
      </c>
      <c r="BB220" s="9">
        <v>62</v>
      </c>
      <c r="BC220" s="9">
        <v>60</v>
      </c>
      <c r="BD220" s="9">
        <v>58</v>
      </c>
      <c r="BE220" s="9">
        <v>57</v>
      </c>
      <c r="BF220" s="9">
        <v>59</v>
      </c>
      <c r="BG220" s="9">
        <v>62</v>
      </c>
      <c r="BH220" s="9">
        <v>65</v>
      </c>
      <c r="BI220" s="9">
        <v>67</v>
      </c>
      <c r="BJ220" s="9">
        <v>68</v>
      </c>
      <c r="BK220" s="9">
        <v>65</v>
      </c>
      <c r="BL220" s="9">
        <v>63</v>
      </c>
      <c r="BM220" s="9">
        <v>69</v>
      </c>
      <c r="BN220" s="9">
        <v>67</v>
      </c>
      <c r="BO220" s="9">
        <v>60</v>
      </c>
      <c r="BP220" s="9">
        <v>55</v>
      </c>
      <c r="BQ220" s="9">
        <v>29</v>
      </c>
      <c r="BR220" s="9">
        <v>29</v>
      </c>
      <c r="BS220" s="9">
        <v>26</v>
      </c>
      <c r="BT220" s="9">
        <v>27</v>
      </c>
      <c r="BU220" s="9">
        <v>26</v>
      </c>
      <c r="BV220" s="9">
        <v>25</v>
      </c>
      <c r="BW220" s="9">
        <v>22</v>
      </c>
      <c r="BX220" s="9">
        <v>15</v>
      </c>
      <c r="BY220" s="9">
        <v>13</v>
      </c>
      <c r="BZ220" s="9">
        <v>14</v>
      </c>
      <c r="CA220" s="9">
        <v>16</v>
      </c>
      <c r="CB220" s="9">
        <v>16</v>
      </c>
      <c r="CC220" s="9">
        <v>16</v>
      </c>
      <c r="CD220" s="9">
        <v>13</v>
      </c>
      <c r="CE220" s="9">
        <v>14</v>
      </c>
      <c r="CF220" s="9">
        <v>15</v>
      </c>
      <c r="CG220" s="9">
        <v>13</v>
      </c>
      <c r="CH220" s="9">
        <v>14</v>
      </c>
      <c r="CI220" s="9">
        <v>11</v>
      </c>
      <c r="CJ220" s="9">
        <v>12</v>
      </c>
      <c r="CK220" s="9">
        <v>14</v>
      </c>
      <c r="CL220" s="9">
        <v>14</v>
      </c>
      <c r="CM220" s="9">
        <v>14</v>
      </c>
      <c r="CN220" s="9">
        <v>14</v>
      </c>
      <c r="CO220" s="9">
        <v>13</v>
      </c>
      <c r="CP220" s="9">
        <v>12</v>
      </c>
      <c r="CQ220" s="9">
        <v>10</v>
      </c>
      <c r="CR220" s="9">
        <v>9</v>
      </c>
      <c r="CS220" s="9">
        <v>9</v>
      </c>
      <c r="CT220" s="9">
        <v>10</v>
      </c>
      <c r="CU220" s="9">
        <v>10</v>
      </c>
      <c r="CV220" s="9">
        <v>10</v>
      </c>
      <c r="CW220" s="9">
        <v>10</v>
      </c>
      <c r="CX220" s="9">
        <v>9</v>
      </c>
      <c r="CY220" s="9">
        <v>10</v>
      </c>
      <c r="CZ220" s="9">
        <v>9</v>
      </c>
      <c r="DA220" s="9">
        <v>9</v>
      </c>
      <c r="DB220" s="9">
        <v>10</v>
      </c>
      <c r="DC220" s="9">
        <v>11</v>
      </c>
      <c r="DD220" s="9">
        <v>9</v>
      </c>
      <c r="DE220" s="9">
        <v>8</v>
      </c>
      <c r="DF220" s="9">
        <v>8</v>
      </c>
      <c r="DG220" s="9">
        <v>8</v>
      </c>
      <c r="DH220" s="9">
        <v>9</v>
      </c>
      <c r="DI220" s="9">
        <v>9</v>
      </c>
      <c r="DJ220" s="9">
        <v>6</v>
      </c>
      <c r="DK220" s="9">
        <v>4</v>
      </c>
      <c r="DL220" s="9">
        <v>5</v>
      </c>
      <c r="DM220" s="9">
        <v>3</v>
      </c>
      <c r="DN220" s="9">
        <v>2</v>
      </c>
      <c r="DO220" s="9">
        <v>0</v>
      </c>
      <c r="DP220" s="9">
        <v>0</v>
      </c>
      <c r="DQ220" s="9">
        <v>1</v>
      </c>
      <c r="DR220" s="9">
        <v>1</v>
      </c>
      <c r="DS220" s="9">
        <v>1</v>
      </c>
      <c r="DT220" s="9">
        <v>1</v>
      </c>
      <c r="DU220" s="9">
        <v>0</v>
      </c>
      <c r="DV220" s="9">
        <v>0</v>
      </c>
      <c r="DW220" s="9">
        <v>4</v>
      </c>
      <c r="DX220" s="9">
        <v>4</v>
      </c>
      <c r="DY220" s="9">
        <v>3</v>
      </c>
      <c r="DZ220" s="9">
        <v>6</v>
      </c>
      <c r="EA220" s="9">
        <v>8</v>
      </c>
      <c r="EB220" s="9">
        <v>9</v>
      </c>
      <c r="EC220" s="9">
        <v>8</v>
      </c>
      <c r="ED220" s="9">
        <v>9</v>
      </c>
      <c r="EE220" s="9">
        <v>9</v>
      </c>
      <c r="EF220" s="9">
        <v>9</v>
      </c>
      <c r="EG220" s="9">
        <v>8</v>
      </c>
      <c r="EH220" s="9">
        <v>8</v>
      </c>
      <c r="EI220" s="9">
        <v>7</v>
      </c>
      <c r="EJ220" s="9">
        <v>7</v>
      </c>
      <c r="EK220" s="9">
        <v>6</v>
      </c>
      <c r="EL220" s="9">
        <v>6</v>
      </c>
      <c r="EM220" s="9">
        <v>4</v>
      </c>
      <c r="EN220" s="9">
        <v>2</v>
      </c>
      <c r="EO220" s="9">
        <v>4</v>
      </c>
      <c r="EP220" s="9">
        <v>5</v>
      </c>
      <c r="EQ220" s="9">
        <v>5</v>
      </c>
      <c r="ER220" s="9">
        <v>4</v>
      </c>
      <c r="ES220" s="9">
        <v>2</v>
      </c>
      <c r="ET220" s="9">
        <v>2</v>
      </c>
      <c r="EU220" s="9">
        <v>1</v>
      </c>
      <c r="EV220" s="9">
        <v>1</v>
      </c>
      <c r="EW220" s="9">
        <v>1</v>
      </c>
      <c r="EX220" s="9">
        <v>1</v>
      </c>
      <c r="EY220" s="9">
        <v>1</v>
      </c>
      <c r="EZ220" s="9">
        <v>1</v>
      </c>
      <c r="FA220" s="9">
        <v>2</v>
      </c>
      <c r="FB220" s="9">
        <v>2</v>
      </c>
      <c r="FC220" s="9">
        <v>1</v>
      </c>
      <c r="FD220" s="9">
        <v>1</v>
      </c>
      <c r="FE220" s="9">
        <v>0</v>
      </c>
      <c r="FF220" s="9">
        <v>0</v>
      </c>
      <c r="FG220" s="9">
        <v>0</v>
      </c>
      <c r="FH220" s="9">
        <v>0</v>
      </c>
      <c r="FI220" s="9">
        <v>1</v>
      </c>
      <c r="FJ220" s="9">
        <v>1</v>
      </c>
      <c r="FK220" s="9">
        <v>2</v>
      </c>
      <c r="FL220" s="9">
        <v>3</v>
      </c>
      <c r="FM220" s="10">
        <v>1</v>
      </c>
    </row>
    <row r="221" spans="1:169" x14ac:dyDescent="0.35">
      <c r="A221" s="8" t="s">
        <v>342</v>
      </c>
      <c r="B221" s="9" t="s">
        <v>377</v>
      </c>
      <c r="C221" s="10" t="s">
        <v>378</v>
      </c>
      <c r="D221" s="62">
        <f t="shared" si="100"/>
        <v>88</v>
      </c>
      <c r="E221" s="9">
        <v>7</v>
      </c>
      <c r="F221" s="9">
        <v>14</v>
      </c>
      <c r="G221" s="9">
        <v>18</v>
      </c>
      <c r="H221" s="9">
        <v>14</v>
      </c>
      <c r="I221" s="9">
        <v>12</v>
      </c>
      <c r="J221" s="9">
        <v>10</v>
      </c>
      <c r="K221" s="9">
        <v>11</v>
      </c>
      <c r="L221" s="9">
        <v>17</v>
      </c>
      <c r="M221" s="9">
        <v>22</v>
      </c>
      <c r="N221" s="9">
        <v>23</v>
      </c>
      <c r="O221" s="9">
        <v>31</v>
      </c>
      <c r="P221" s="9">
        <v>36</v>
      </c>
      <c r="Q221" s="9">
        <v>36</v>
      </c>
      <c r="R221" s="9">
        <v>39</v>
      </c>
      <c r="S221" s="9">
        <v>43</v>
      </c>
      <c r="T221" s="9">
        <v>64</v>
      </c>
      <c r="U221" s="9">
        <v>67</v>
      </c>
      <c r="V221" s="9">
        <v>85</v>
      </c>
      <c r="W221" s="9">
        <v>82</v>
      </c>
      <c r="X221" s="9">
        <v>87</v>
      </c>
      <c r="Y221" s="9">
        <v>87</v>
      </c>
      <c r="Z221" s="9">
        <v>88</v>
      </c>
      <c r="AA221" s="9">
        <v>85</v>
      </c>
      <c r="AB221" s="9">
        <v>74</v>
      </c>
      <c r="AC221" s="9">
        <v>74</v>
      </c>
      <c r="AD221" s="9">
        <v>77</v>
      </c>
      <c r="AE221" s="9">
        <v>79</v>
      </c>
      <c r="AF221" s="9">
        <v>80</v>
      </c>
      <c r="AG221" s="9">
        <v>68</v>
      </c>
      <c r="AH221" s="9">
        <v>63</v>
      </c>
      <c r="AI221" s="9">
        <v>59</v>
      </c>
      <c r="AJ221" s="9">
        <v>62</v>
      </c>
      <c r="AK221" s="9">
        <v>63</v>
      </c>
      <c r="AL221" s="9">
        <v>56</v>
      </c>
      <c r="AM221" s="9">
        <v>52</v>
      </c>
      <c r="AN221" s="9">
        <v>49</v>
      </c>
      <c r="AO221" s="9">
        <v>45</v>
      </c>
      <c r="AP221" s="9">
        <v>49</v>
      </c>
      <c r="AQ221" s="9">
        <v>57</v>
      </c>
      <c r="AR221" s="9">
        <v>38</v>
      </c>
      <c r="AS221" s="9">
        <v>48</v>
      </c>
      <c r="AT221" s="9">
        <v>48</v>
      </c>
      <c r="AU221" s="9">
        <v>44</v>
      </c>
      <c r="AV221" s="9">
        <v>40</v>
      </c>
      <c r="AW221" s="9">
        <v>40</v>
      </c>
      <c r="AX221" s="9">
        <v>36</v>
      </c>
      <c r="AY221" s="9">
        <v>45</v>
      </c>
      <c r="AZ221" s="9">
        <v>45</v>
      </c>
      <c r="BA221" s="9">
        <v>52</v>
      </c>
      <c r="BB221" s="9">
        <v>49</v>
      </c>
      <c r="BC221" s="9">
        <v>44</v>
      </c>
      <c r="BD221" s="9">
        <v>52</v>
      </c>
      <c r="BE221" s="9">
        <v>53</v>
      </c>
      <c r="BF221" s="9">
        <v>51</v>
      </c>
      <c r="BG221" s="9">
        <v>62</v>
      </c>
      <c r="BH221" s="9">
        <v>58</v>
      </c>
      <c r="BI221" s="9">
        <v>57</v>
      </c>
      <c r="BJ221" s="9">
        <v>56</v>
      </c>
      <c r="BK221" s="9">
        <v>53</v>
      </c>
      <c r="BL221" s="9">
        <v>60</v>
      </c>
      <c r="BM221" s="9">
        <v>58</v>
      </c>
      <c r="BN221" s="9">
        <v>54</v>
      </c>
      <c r="BO221" s="9">
        <v>45</v>
      </c>
      <c r="BP221" s="9">
        <v>48</v>
      </c>
      <c r="BQ221" s="9">
        <v>47</v>
      </c>
      <c r="BR221" s="9">
        <v>47</v>
      </c>
      <c r="BS221" s="9">
        <v>46</v>
      </c>
      <c r="BT221" s="9">
        <v>48</v>
      </c>
      <c r="BU221" s="9">
        <v>45</v>
      </c>
      <c r="BV221" s="9">
        <v>44</v>
      </c>
      <c r="BW221" s="9">
        <v>48</v>
      </c>
      <c r="BX221" s="9">
        <v>51</v>
      </c>
      <c r="BY221" s="9">
        <v>51</v>
      </c>
      <c r="BZ221" s="9">
        <v>59</v>
      </c>
      <c r="CA221" s="9">
        <v>60</v>
      </c>
      <c r="CB221" s="9">
        <v>68</v>
      </c>
      <c r="CC221" s="9">
        <v>65</v>
      </c>
      <c r="CD221" s="9">
        <v>63</v>
      </c>
      <c r="CE221" s="9">
        <v>72</v>
      </c>
      <c r="CF221" s="9">
        <v>71</v>
      </c>
      <c r="CG221" s="9">
        <v>74</v>
      </c>
      <c r="CH221" s="9">
        <v>71</v>
      </c>
      <c r="CI221" s="9">
        <v>62</v>
      </c>
      <c r="CJ221" s="9">
        <v>62</v>
      </c>
      <c r="CK221" s="9">
        <v>61</v>
      </c>
      <c r="CL221" s="9">
        <v>66</v>
      </c>
      <c r="CM221" s="9">
        <v>68</v>
      </c>
      <c r="CN221" s="9">
        <v>72</v>
      </c>
      <c r="CO221" s="9">
        <v>66</v>
      </c>
      <c r="CP221" s="9">
        <v>63</v>
      </c>
      <c r="CQ221" s="9">
        <v>58</v>
      </c>
      <c r="CR221" s="9">
        <v>55</v>
      </c>
      <c r="CS221" s="9">
        <v>53</v>
      </c>
      <c r="CT221" s="9">
        <v>50</v>
      </c>
      <c r="CU221" s="9">
        <v>49</v>
      </c>
      <c r="CV221" s="9">
        <v>46</v>
      </c>
      <c r="CW221" s="9">
        <v>40</v>
      </c>
      <c r="CX221" s="9">
        <v>21</v>
      </c>
      <c r="CY221" s="9">
        <v>20</v>
      </c>
      <c r="CZ221" s="9">
        <v>14</v>
      </c>
      <c r="DA221" s="9">
        <v>18</v>
      </c>
      <c r="DB221" s="9">
        <v>21</v>
      </c>
      <c r="DC221" s="9">
        <v>21</v>
      </c>
      <c r="DD221" s="9">
        <v>22</v>
      </c>
      <c r="DE221" s="9">
        <v>21</v>
      </c>
      <c r="DF221" s="9">
        <v>21</v>
      </c>
      <c r="DG221" s="9">
        <v>15</v>
      </c>
      <c r="DH221" s="9">
        <v>17</v>
      </c>
      <c r="DI221" s="9">
        <v>17</v>
      </c>
      <c r="DJ221" s="9">
        <v>15</v>
      </c>
      <c r="DK221" s="9">
        <v>16</v>
      </c>
      <c r="DL221" s="9">
        <v>10</v>
      </c>
      <c r="DM221" s="9">
        <v>12</v>
      </c>
      <c r="DN221" s="9">
        <v>10</v>
      </c>
      <c r="DO221" s="9">
        <v>10</v>
      </c>
      <c r="DP221" s="9">
        <v>13</v>
      </c>
      <c r="DQ221" s="9">
        <v>9</v>
      </c>
      <c r="DR221" s="9">
        <v>8</v>
      </c>
      <c r="DS221" s="9">
        <v>2</v>
      </c>
      <c r="DT221" s="9">
        <v>8</v>
      </c>
      <c r="DU221" s="9">
        <v>7</v>
      </c>
      <c r="DV221" s="9">
        <v>7</v>
      </c>
      <c r="DW221" s="9">
        <v>7</v>
      </c>
      <c r="DX221" s="9">
        <v>7</v>
      </c>
      <c r="DY221" s="9">
        <v>8</v>
      </c>
      <c r="DZ221" s="9">
        <v>9</v>
      </c>
      <c r="EA221" s="9">
        <v>7</v>
      </c>
      <c r="EB221" s="9">
        <v>8</v>
      </c>
      <c r="EC221" s="9">
        <v>8</v>
      </c>
      <c r="ED221" s="9">
        <v>7</v>
      </c>
      <c r="EE221" s="9">
        <v>5</v>
      </c>
      <c r="EF221" s="9">
        <v>4</v>
      </c>
      <c r="EG221" s="9">
        <v>3</v>
      </c>
      <c r="EH221" s="9">
        <v>6</v>
      </c>
      <c r="EI221" s="9">
        <v>5</v>
      </c>
      <c r="EJ221" s="9">
        <v>5</v>
      </c>
      <c r="EK221" s="9">
        <v>5</v>
      </c>
      <c r="EL221" s="9">
        <v>5</v>
      </c>
      <c r="EM221" s="9">
        <v>5</v>
      </c>
      <c r="EN221" s="9">
        <v>5</v>
      </c>
      <c r="EO221" s="9">
        <v>6</v>
      </c>
      <c r="EP221" s="9">
        <v>6</v>
      </c>
      <c r="EQ221" s="9">
        <v>6</v>
      </c>
      <c r="ER221" s="9">
        <v>6</v>
      </c>
      <c r="ES221" s="9">
        <v>8</v>
      </c>
      <c r="ET221" s="9">
        <v>7</v>
      </c>
      <c r="EU221" s="9">
        <v>6</v>
      </c>
      <c r="EV221" s="9">
        <v>5</v>
      </c>
      <c r="EW221" s="9">
        <v>5</v>
      </c>
      <c r="EX221" s="9">
        <v>6</v>
      </c>
      <c r="EY221" s="9">
        <v>6</v>
      </c>
      <c r="EZ221" s="9">
        <v>7</v>
      </c>
      <c r="FA221" s="9">
        <v>7</v>
      </c>
      <c r="FB221" s="9">
        <v>7</v>
      </c>
      <c r="FC221" s="9">
        <v>7</v>
      </c>
      <c r="FD221" s="9">
        <v>6</v>
      </c>
      <c r="FE221" s="9">
        <v>9</v>
      </c>
      <c r="FF221" s="9">
        <v>10</v>
      </c>
      <c r="FG221" s="9">
        <v>11</v>
      </c>
      <c r="FH221" s="9">
        <v>11</v>
      </c>
      <c r="FI221" s="9">
        <v>10</v>
      </c>
      <c r="FJ221" s="9">
        <v>9</v>
      </c>
      <c r="FK221" s="9">
        <v>17</v>
      </c>
      <c r="FL221" s="9">
        <v>17</v>
      </c>
      <c r="FM221" s="10">
        <v>22</v>
      </c>
    </row>
    <row r="222" spans="1:169" x14ac:dyDescent="0.35">
      <c r="A222" s="8" t="s">
        <v>342</v>
      </c>
      <c r="B222" s="9" t="s">
        <v>379</v>
      </c>
      <c r="C222" s="10" t="s">
        <v>380</v>
      </c>
      <c r="D222" s="62">
        <f t="shared" si="100"/>
        <v>98</v>
      </c>
      <c r="E222" s="9">
        <v>3</v>
      </c>
      <c r="F222" s="9">
        <v>0</v>
      </c>
      <c r="G222" s="9">
        <v>4</v>
      </c>
      <c r="H222" s="9">
        <v>3</v>
      </c>
      <c r="I222" s="9">
        <v>4</v>
      </c>
      <c r="J222" s="9">
        <v>4</v>
      </c>
      <c r="K222" s="9">
        <v>6</v>
      </c>
      <c r="L222" s="9">
        <v>12</v>
      </c>
      <c r="M222" s="9">
        <v>17</v>
      </c>
      <c r="N222" s="9">
        <v>33</v>
      </c>
      <c r="O222" s="9">
        <v>29</v>
      </c>
      <c r="P222" s="9">
        <v>27</v>
      </c>
      <c r="Q222" s="9">
        <v>29</v>
      </c>
      <c r="R222" s="9">
        <v>44</v>
      </c>
      <c r="S222" s="9">
        <v>47</v>
      </c>
      <c r="T222" s="9">
        <v>69</v>
      </c>
      <c r="U222" s="9">
        <v>80</v>
      </c>
      <c r="V222" s="9">
        <v>65</v>
      </c>
      <c r="W222" s="9">
        <v>82</v>
      </c>
      <c r="X222" s="9">
        <v>75</v>
      </c>
      <c r="Y222" s="9">
        <v>72</v>
      </c>
      <c r="Z222" s="9">
        <v>87</v>
      </c>
      <c r="AA222" s="9">
        <v>84</v>
      </c>
      <c r="AB222" s="9">
        <v>93</v>
      </c>
      <c r="AC222" s="9">
        <v>97</v>
      </c>
      <c r="AD222" s="9">
        <v>98</v>
      </c>
      <c r="AE222" s="9">
        <v>98</v>
      </c>
      <c r="AF222" s="9">
        <v>90</v>
      </c>
      <c r="AG222" s="9">
        <v>91</v>
      </c>
      <c r="AH222" s="9">
        <v>91</v>
      </c>
      <c r="AI222" s="9">
        <v>85</v>
      </c>
      <c r="AJ222" s="9">
        <v>85</v>
      </c>
      <c r="AK222" s="9">
        <v>85</v>
      </c>
      <c r="AL222" s="9">
        <v>84</v>
      </c>
      <c r="AM222" s="9">
        <v>85</v>
      </c>
      <c r="AN222" s="9">
        <v>84</v>
      </c>
      <c r="AO222" s="9">
        <v>86</v>
      </c>
      <c r="AP222" s="9">
        <v>95</v>
      </c>
      <c r="AQ222" s="9">
        <v>87</v>
      </c>
      <c r="AR222" s="9">
        <v>87</v>
      </c>
      <c r="AS222" s="9">
        <v>94</v>
      </c>
      <c r="AT222" s="9">
        <v>96</v>
      </c>
      <c r="AU222" s="9">
        <v>90</v>
      </c>
      <c r="AV222" s="9">
        <v>86</v>
      </c>
      <c r="AW222" s="9">
        <v>85</v>
      </c>
      <c r="AX222" s="9">
        <v>85</v>
      </c>
      <c r="AY222" s="9">
        <v>87</v>
      </c>
      <c r="AZ222" s="9">
        <v>84</v>
      </c>
      <c r="BA222" s="9">
        <v>83</v>
      </c>
      <c r="BB222" s="9">
        <v>82</v>
      </c>
      <c r="BC222" s="9">
        <v>82</v>
      </c>
      <c r="BD222" s="9">
        <v>83</v>
      </c>
      <c r="BE222" s="9">
        <v>88</v>
      </c>
      <c r="BF222" s="9">
        <v>71</v>
      </c>
      <c r="BG222" s="9">
        <v>73</v>
      </c>
      <c r="BH222" s="9">
        <v>71</v>
      </c>
      <c r="BI222" s="9">
        <v>64</v>
      </c>
      <c r="BJ222" s="9">
        <v>57</v>
      </c>
      <c r="BK222" s="9">
        <v>53</v>
      </c>
      <c r="BL222" s="9">
        <v>49</v>
      </c>
      <c r="BM222" s="9">
        <v>47</v>
      </c>
      <c r="BN222" s="9">
        <v>43</v>
      </c>
      <c r="BO222" s="9">
        <v>35</v>
      </c>
      <c r="BP222" s="9">
        <v>33</v>
      </c>
      <c r="BQ222" s="9">
        <v>31</v>
      </c>
      <c r="BR222" s="9">
        <v>32</v>
      </c>
      <c r="BS222" s="9">
        <v>27</v>
      </c>
      <c r="BT222" s="9">
        <v>27</v>
      </c>
      <c r="BU222" s="9">
        <v>26</v>
      </c>
      <c r="BV222" s="9">
        <v>29</v>
      </c>
      <c r="BW222" s="9">
        <v>26</v>
      </c>
      <c r="BX222" s="9">
        <v>24</v>
      </c>
      <c r="BY222" s="9">
        <v>21</v>
      </c>
      <c r="BZ222" s="9">
        <v>18</v>
      </c>
      <c r="CA222" s="9">
        <v>15</v>
      </c>
      <c r="CB222" s="9">
        <v>16</v>
      </c>
      <c r="CC222" s="9">
        <v>13</v>
      </c>
      <c r="CD222" s="9">
        <v>12</v>
      </c>
      <c r="CE222" s="9">
        <v>13</v>
      </c>
      <c r="CF222" s="9">
        <v>10</v>
      </c>
      <c r="CG222" s="9">
        <v>9</v>
      </c>
      <c r="CH222" s="9">
        <v>7</v>
      </c>
      <c r="CI222" s="9">
        <v>8</v>
      </c>
      <c r="CJ222" s="9">
        <v>7</v>
      </c>
      <c r="CK222" s="9">
        <v>11</v>
      </c>
      <c r="CL222" s="9">
        <v>10</v>
      </c>
      <c r="CM222" s="9">
        <v>9</v>
      </c>
      <c r="CN222" s="9">
        <v>11</v>
      </c>
      <c r="CO222" s="9">
        <v>7</v>
      </c>
      <c r="CP222" s="9">
        <v>7</v>
      </c>
      <c r="CQ222" s="9">
        <v>6</v>
      </c>
      <c r="CR222" s="9">
        <v>6</v>
      </c>
      <c r="CS222" s="9">
        <v>6</v>
      </c>
      <c r="CT222" s="9">
        <v>4</v>
      </c>
      <c r="CU222" s="9">
        <v>1</v>
      </c>
      <c r="CV222" s="9">
        <v>0</v>
      </c>
      <c r="CW222" s="9">
        <v>2</v>
      </c>
      <c r="CX222" s="9">
        <v>2</v>
      </c>
      <c r="CY222" s="9">
        <v>2</v>
      </c>
      <c r="CZ222" s="9">
        <v>2</v>
      </c>
      <c r="DA222" s="9">
        <v>2</v>
      </c>
      <c r="DB222" s="9">
        <v>2</v>
      </c>
      <c r="DC222" s="9">
        <v>1</v>
      </c>
      <c r="DD222" s="9">
        <v>1</v>
      </c>
      <c r="DE222" s="9">
        <v>1</v>
      </c>
      <c r="DF222" s="9">
        <v>1</v>
      </c>
      <c r="DG222" s="9">
        <v>0</v>
      </c>
      <c r="DH222" s="9">
        <v>0</v>
      </c>
      <c r="DI222" s="9">
        <v>0</v>
      </c>
      <c r="DJ222" s="9">
        <v>0</v>
      </c>
      <c r="DK222" s="9">
        <v>0</v>
      </c>
      <c r="DL222" s="9">
        <v>1</v>
      </c>
      <c r="DM222" s="9">
        <v>2</v>
      </c>
      <c r="DN222" s="9">
        <v>3</v>
      </c>
      <c r="DO222" s="9">
        <v>1</v>
      </c>
      <c r="DP222" s="9">
        <v>1</v>
      </c>
      <c r="DQ222" s="9">
        <v>1</v>
      </c>
      <c r="DR222" s="9">
        <v>0</v>
      </c>
      <c r="DS222" s="9">
        <v>0</v>
      </c>
      <c r="DT222" s="9">
        <v>0</v>
      </c>
      <c r="DU222" s="9">
        <v>0</v>
      </c>
      <c r="DV222" s="9">
        <v>0</v>
      </c>
      <c r="DW222" s="9">
        <v>0</v>
      </c>
      <c r="DX222" s="9">
        <v>1</v>
      </c>
      <c r="DY222" s="9">
        <v>1</v>
      </c>
      <c r="DZ222" s="9">
        <v>0</v>
      </c>
      <c r="EA222" s="9">
        <v>0</v>
      </c>
      <c r="EB222" s="9">
        <v>0</v>
      </c>
      <c r="EC222" s="9">
        <v>0</v>
      </c>
      <c r="ED222" s="9">
        <v>0</v>
      </c>
      <c r="EE222" s="9">
        <v>0</v>
      </c>
      <c r="EF222" s="9">
        <v>0</v>
      </c>
      <c r="EG222" s="9">
        <v>0</v>
      </c>
      <c r="EH222" s="9">
        <v>0</v>
      </c>
      <c r="EI222" s="9">
        <v>1</v>
      </c>
      <c r="EJ222" s="9">
        <v>1</v>
      </c>
      <c r="EK222" s="9">
        <v>2</v>
      </c>
      <c r="EL222" s="9">
        <v>2</v>
      </c>
      <c r="EM222" s="9">
        <v>2</v>
      </c>
      <c r="EN222" s="9">
        <v>2</v>
      </c>
      <c r="EO222" s="9">
        <v>1</v>
      </c>
      <c r="EP222" s="9">
        <v>1</v>
      </c>
      <c r="EQ222" s="9">
        <v>2</v>
      </c>
      <c r="ER222" s="9">
        <v>2</v>
      </c>
      <c r="ES222" s="9">
        <v>1</v>
      </c>
      <c r="ET222" s="9">
        <v>2</v>
      </c>
      <c r="EU222" s="9">
        <v>3</v>
      </c>
      <c r="EV222" s="9">
        <v>3</v>
      </c>
      <c r="EW222" s="9">
        <v>3</v>
      </c>
      <c r="EX222" s="9">
        <v>3</v>
      </c>
      <c r="EY222" s="9">
        <v>2</v>
      </c>
      <c r="EZ222" s="9">
        <v>3</v>
      </c>
      <c r="FA222" s="9">
        <v>2</v>
      </c>
      <c r="FB222" s="9">
        <v>2</v>
      </c>
      <c r="FC222" s="9">
        <v>1</v>
      </c>
      <c r="FD222" s="9">
        <v>2</v>
      </c>
      <c r="FE222" s="9">
        <v>2</v>
      </c>
      <c r="FF222" s="9">
        <v>2</v>
      </c>
      <c r="FG222" s="9">
        <v>2</v>
      </c>
      <c r="FH222" s="9">
        <v>2</v>
      </c>
      <c r="FI222" s="9">
        <v>1</v>
      </c>
      <c r="FJ222" s="9">
        <v>1</v>
      </c>
      <c r="FK222" s="9">
        <v>1</v>
      </c>
      <c r="FL222" s="9">
        <v>1</v>
      </c>
      <c r="FM222" s="10">
        <v>1</v>
      </c>
    </row>
    <row r="223" spans="1:169" x14ac:dyDescent="0.35">
      <c r="A223" s="8" t="s">
        <v>342</v>
      </c>
      <c r="B223" s="9" t="s">
        <v>381</v>
      </c>
      <c r="C223" s="10" t="s">
        <v>382</v>
      </c>
      <c r="D223" s="62">
        <f t="shared" si="100"/>
        <v>31</v>
      </c>
      <c r="E223" s="9">
        <v>0</v>
      </c>
      <c r="F223" s="9">
        <v>0</v>
      </c>
      <c r="G223" s="9">
        <v>0</v>
      </c>
      <c r="H223" s="9">
        <v>0</v>
      </c>
      <c r="I223" s="9">
        <v>0</v>
      </c>
      <c r="J223" s="9">
        <v>0</v>
      </c>
      <c r="K223" s="9">
        <v>5</v>
      </c>
      <c r="L223" s="9">
        <v>0</v>
      </c>
      <c r="M223" s="9">
        <v>6</v>
      </c>
      <c r="N223" s="9">
        <v>6</v>
      </c>
      <c r="O223" s="9">
        <v>8</v>
      </c>
      <c r="P223" s="9">
        <v>15</v>
      </c>
      <c r="Q223" s="9">
        <v>20</v>
      </c>
      <c r="R223" s="9">
        <v>18</v>
      </c>
      <c r="S223" s="9">
        <v>20</v>
      </c>
      <c r="T223" s="9">
        <v>20</v>
      </c>
      <c r="U223" s="9">
        <v>21</v>
      </c>
      <c r="V223" s="9">
        <v>19</v>
      </c>
      <c r="W223" s="9">
        <v>19</v>
      </c>
      <c r="X223" s="9">
        <v>24</v>
      </c>
      <c r="Y223" s="9">
        <v>30</v>
      </c>
      <c r="Z223" s="9">
        <v>27</v>
      </c>
      <c r="AA223" s="9">
        <v>27</v>
      </c>
      <c r="AB223" s="9">
        <v>31</v>
      </c>
      <c r="AC223" s="9">
        <v>31</v>
      </c>
      <c r="AD223" s="9">
        <v>25</v>
      </c>
      <c r="AE223" s="9">
        <v>24</v>
      </c>
      <c r="AF223" s="9">
        <v>22</v>
      </c>
      <c r="AG223" s="9">
        <v>19</v>
      </c>
      <c r="AH223" s="9">
        <v>19</v>
      </c>
      <c r="AI223" s="9">
        <v>19</v>
      </c>
      <c r="AJ223" s="9">
        <v>23</v>
      </c>
      <c r="AK223" s="9">
        <v>23</v>
      </c>
      <c r="AL223" s="9">
        <v>23</v>
      </c>
      <c r="AM223" s="9">
        <v>9</v>
      </c>
      <c r="AN223" s="9">
        <v>8</v>
      </c>
      <c r="AO223" s="9">
        <v>7</v>
      </c>
      <c r="AP223" s="9">
        <v>7</v>
      </c>
      <c r="AQ223" s="9">
        <v>7</v>
      </c>
      <c r="AR223" s="9">
        <v>7</v>
      </c>
      <c r="AS223" s="9">
        <v>6</v>
      </c>
      <c r="AT223" s="9">
        <v>5</v>
      </c>
      <c r="AU223" s="9">
        <v>8</v>
      </c>
      <c r="AV223" s="9">
        <v>8</v>
      </c>
      <c r="AW223" s="9">
        <v>8</v>
      </c>
      <c r="AX223" s="9">
        <v>22</v>
      </c>
      <c r="AY223" s="9">
        <v>23</v>
      </c>
      <c r="AZ223" s="9">
        <v>26</v>
      </c>
      <c r="BA223" s="9">
        <v>21</v>
      </c>
      <c r="BB223" s="9">
        <v>21</v>
      </c>
      <c r="BC223" s="9">
        <v>21</v>
      </c>
      <c r="BD223" s="9">
        <v>21</v>
      </c>
      <c r="BE223" s="9">
        <v>22</v>
      </c>
      <c r="BF223" s="9">
        <v>15</v>
      </c>
      <c r="BG223" s="9">
        <v>15</v>
      </c>
      <c r="BH223" s="9">
        <v>3</v>
      </c>
      <c r="BI223" s="9">
        <v>6</v>
      </c>
      <c r="BJ223" s="9">
        <v>6</v>
      </c>
      <c r="BK223" s="9">
        <v>6</v>
      </c>
      <c r="BL223" s="9">
        <v>8</v>
      </c>
      <c r="BM223" s="9">
        <v>1</v>
      </c>
      <c r="BN223" s="9">
        <v>2</v>
      </c>
      <c r="BO223" s="9">
        <v>4</v>
      </c>
      <c r="BP223" s="9">
        <v>5</v>
      </c>
      <c r="BQ223" s="9">
        <v>5</v>
      </c>
      <c r="BR223" s="9">
        <v>5</v>
      </c>
      <c r="BS223" s="9">
        <v>5</v>
      </c>
      <c r="BT223" s="9">
        <v>7</v>
      </c>
      <c r="BU223" s="9">
        <v>6</v>
      </c>
      <c r="BV223" s="9">
        <v>5</v>
      </c>
      <c r="BW223" s="9">
        <v>0</v>
      </c>
      <c r="BX223" s="9">
        <v>0</v>
      </c>
      <c r="BY223" s="9">
        <v>0</v>
      </c>
      <c r="BZ223" s="9">
        <v>1</v>
      </c>
      <c r="CA223" s="9">
        <v>1</v>
      </c>
      <c r="CB223" s="9">
        <v>1</v>
      </c>
      <c r="CC223" s="9">
        <v>1</v>
      </c>
      <c r="CD223" s="9">
        <v>1</v>
      </c>
      <c r="CE223" s="9">
        <v>1</v>
      </c>
      <c r="CF223" s="9">
        <v>0</v>
      </c>
      <c r="CG223" s="9">
        <v>0</v>
      </c>
      <c r="CH223" s="9">
        <v>0</v>
      </c>
      <c r="CI223" s="9">
        <v>0</v>
      </c>
      <c r="CJ223" s="9">
        <v>0</v>
      </c>
      <c r="CK223" s="9">
        <v>0</v>
      </c>
      <c r="CL223" s="9">
        <v>0</v>
      </c>
      <c r="CM223" s="9">
        <v>0</v>
      </c>
      <c r="CN223" s="9">
        <v>1</v>
      </c>
      <c r="CO223" s="9">
        <v>1</v>
      </c>
      <c r="CP223" s="9">
        <v>2</v>
      </c>
      <c r="CQ223" s="9">
        <v>2</v>
      </c>
      <c r="CR223" s="9">
        <v>2</v>
      </c>
      <c r="CS223" s="9">
        <v>2</v>
      </c>
      <c r="CT223" s="9">
        <v>2</v>
      </c>
      <c r="CU223" s="9">
        <v>2</v>
      </c>
      <c r="CV223" s="9">
        <v>0</v>
      </c>
      <c r="CW223" s="9">
        <v>0</v>
      </c>
      <c r="CX223" s="9">
        <v>0</v>
      </c>
      <c r="CY223" s="9">
        <v>0</v>
      </c>
      <c r="CZ223" s="9">
        <v>0</v>
      </c>
      <c r="DA223" s="9">
        <v>0</v>
      </c>
      <c r="DB223" s="9">
        <v>0</v>
      </c>
      <c r="DC223" s="9">
        <v>0</v>
      </c>
      <c r="DD223" s="9">
        <v>0</v>
      </c>
      <c r="DE223" s="9">
        <v>0</v>
      </c>
      <c r="DF223" s="9">
        <v>0</v>
      </c>
      <c r="DG223" s="9">
        <v>0</v>
      </c>
      <c r="DH223" s="9">
        <v>0</v>
      </c>
      <c r="DI223" s="9">
        <v>1</v>
      </c>
      <c r="DJ223" s="9">
        <v>1</v>
      </c>
      <c r="DK223" s="9">
        <v>1</v>
      </c>
      <c r="DL223" s="9">
        <v>0</v>
      </c>
      <c r="DM223" s="9">
        <v>0</v>
      </c>
      <c r="DN223" s="9">
        <v>0</v>
      </c>
      <c r="DO223" s="9">
        <v>0</v>
      </c>
      <c r="DP223" s="9">
        <v>0</v>
      </c>
      <c r="DQ223" s="9">
        <v>0</v>
      </c>
      <c r="DR223" s="9">
        <v>0</v>
      </c>
      <c r="DS223" s="9">
        <v>0</v>
      </c>
      <c r="DT223" s="9">
        <v>0</v>
      </c>
      <c r="DU223" s="9">
        <v>0</v>
      </c>
      <c r="DV223" s="9">
        <v>0</v>
      </c>
      <c r="DW223" s="9">
        <v>1</v>
      </c>
      <c r="DX223" s="9">
        <v>1</v>
      </c>
      <c r="DY223" s="9">
        <v>0</v>
      </c>
      <c r="DZ223" s="9">
        <v>0</v>
      </c>
      <c r="EA223" s="9">
        <v>0</v>
      </c>
      <c r="EB223" s="9">
        <v>0</v>
      </c>
      <c r="EC223" s="9">
        <v>0</v>
      </c>
      <c r="ED223" s="9">
        <v>0</v>
      </c>
      <c r="EE223" s="9">
        <v>0</v>
      </c>
      <c r="EF223" s="9">
        <v>0</v>
      </c>
      <c r="EG223" s="9">
        <v>0</v>
      </c>
      <c r="EH223" s="9">
        <v>0</v>
      </c>
      <c r="EI223" s="9">
        <v>1</v>
      </c>
      <c r="EJ223" s="9">
        <v>1</v>
      </c>
      <c r="EK223" s="9">
        <v>1</v>
      </c>
      <c r="EL223" s="9">
        <v>2</v>
      </c>
      <c r="EM223" s="9">
        <v>2</v>
      </c>
      <c r="EN223" s="9">
        <v>2</v>
      </c>
      <c r="EO223" s="9">
        <v>2</v>
      </c>
      <c r="EP223" s="9">
        <v>1</v>
      </c>
      <c r="EQ223" s="9">
        <v>1</v>
      </c>
      <c r="ER223" s="9">
        <v>1</v>
      </c>
      <c r="ES223" s="9">
        <v>1</v>
      </c>
      <c r="ET223" s="9">
        <v>0</v>
      </c>
      <c r="EU223" s="9">
        <v>0</v>
      </c>
      <c r="EV223" s="9">
        <v>0</v>
      </c>
      <c r="EW223" s="9">
        <v>0</v>
      </c>
      <c r="EX223" s="9">
        <v>0</v>
      </c>
      <c r="EY223" s="9">
        <v>0</v>
      </c>
      <c r="EZ223" s="9">
        <v>0</v>
      </c>
      <c r="FA223" s="9">
        <v>1</v>
      </c>
      <c r="FB223" s="9">
        <v>1</v>
      </c>
      <c r="FC223" s="9">
        <v>0</v>
      </c>
      <c r="FD223" s="9">
        <v>0</v>
      </c>
      <c r="FE223" s="9">
        <v>0</v>
      </c>
      <c r="FF223" s="9">
        <v>0</v>
      </c>
      <c r="FG223" s="9">
        <v>0</v>
      </c>
      <c r="FH223" s="9">
        <v>3</v>
      </c>
      <c r="FI223" s="9">
        <v>2</v>
      </c>
      <c r="FJ223" s="9">
        <v>2</v>
      </c>
      <c r="FK223" s="9">
        <v>0</v>
      </c>
      <c r="FL223" s="9">
        <v>0</v>
      </c>
      <c r="FM223" s="10">
        <v>0</v>
      </c>
    </row>
    <row r="224" spans="1:169" x14ac:dyDescent="0.35">
      <c r="A224" s="8" t="s">
        <v>342</v>
      </c>
      <c r="B224" s="9" t="s">
        <v>383</v>
      </c>
      <c r="C224" s="10" t="s">
        <v>384</v>
      </c>
      <c r="D224" s="62">
        <f t="shared" si="100"/>
        <v>32</v>
      </c>
      <c r="E224" s="9">
        <v>0</v>
      </c>
      <c r="F224" s="9">
        <v>0</v>
      </c>
      <c r="G224" s="9">
        <v>0</v>
      </c>
      <c r="H224" s="9">
        <v>0</v>
      </c>
      <c r="I224" s="9">
        <v>0</v>
      </c>
      <c r="J224" s="9">
        <v>0</v>
      </c>
      <c r="K224" s="9">
        <v>0</v>
      </c>
      <c r="L224" s="9">
        <v>0</v>
      </c>
      <c r="M224" s="9">
        <v>0</v>
      </c>
      <c r="N224" s="9">
        <v>0</v>
      </c>
      <c r="O224" s="9">
        <v>0</v>
      </c>
      <c r="P224" s="9">
        <v>0</v>
      </c>
      <c r="Q224" s="9">
        <v>0</v>
      </c>
      <c r="R224" s="9">
        <v>0</v>
      </c>
      <c r="S224" s="9">
        <v>10</v>
      </c>
      <c r="T224" s="9">
        <v>10</v>
      </c>
      <c r="U224" s="9">
        <v>14</v>
      </c>
      <c r="V224" s="9">
        <v>14</v>
      </c>
      <c r="W224" s="9">
        <v>15</v>
      </c>
      <c r="X224" s="9">
        <v>17</v>
      </c>
      <c r="Y224" s="9">
        <v>21</v>
      </c>
      <c r="Z224" s="9">
        <v>26</v>
      </c>
      <c r="AA224" s="9">
        <v>21</v>
      </c>
      <c r="AB224" s="9">
        <v>25</v>
      </c>
      <c r="AC224" s="9">
        <v>25</v>
      </c>
      <c r="AD224" s="9">
        <v>26</v>
      </c>
      <c r="AE224" s="9">
        <v>32</v>
      </c>
      <c r="AF224" s="9">
        <v>30</v>
      </c>
      <c r="AG224" s="9">
        <v>25</v>
      </c>
      <c r="AH224" s="9">
        <v>20</v>
      </c>
      <c r="AI224" s="9">
        <v>21</v>
      </c>
      <c r="AJ224" s="9">
        <v>7</v>
      </c>
      <c r="AK224" s="9">
        <v>9</v>
      </c>
      <c r="AL224" s="9">
        <v>7</v>
      </c>
      <c r="AM224" s="9">
        <v>8</v>
      </c>
      <c r="AN224" s="9">
        <v>8</v>
      </c>
      <c r="AO224" s="9">
        <v>7</v>
      </c>
      <c r="AP224" s="9">
        <v>6</v>
      </c>
      <c r="AQ224" s="9">
        <v>6</v>
      </c>
      <c r="AR224" s="9">
        <v>5</v>
      </c>
      <c r="AS224" s="9">
        <v>5</v>
      </c>
      <c r="AT224" s="9">
        <v>5</v>
      </c>
      <c r="AU224" s="9">
        <v>7</v>
      </c>
      <c r="AV224" s="9">
        <v>8</v>
      </c>
      <c r="AW224" s="9">
        <v>8</v>
      </c>
      <c r="AX224" s="9">
        <v>7</v>
      </c>
      <c r="AY224" s="9">
        <v>9</v>
      </c>
      <c r="AZ224" s="9">
        <v>8</v>
      </c>
      <c r="BA224" s="9">
        <v>7</v>
      </c>
      <c r="BB224" s="9">
        <v>7</v>
      </c>
      <c r="BC224" s="9">
        <v>7</v>
      </c>
      <c r="BD224" s="9">
        <v>7</v>
      </c>
      <c r="BE224" s="9">
        <v>6</v>
      </c>
      <c r="BF224" s="9">
        <v>5</v>
      </c>
      <c r="BG224" s="9">
        <v>4</v>
      </c>
      <c r="BH224" s="9">
        <v>6</v>
      </c>
      <c r="BI224" s="9">
        <v>6</v>
      </c>
      <c r="BJ224" s="9">
        <v>7</v>
      </c>
      <c r="BK224" s="9">
        <v>6</v>
      </c>
      <c r="BL224" s="9">
        <v>5</v>
      </c>
      <c r="BM224" s="9">
        <v>5</v>
      </c>
      <c r="BN224" s="9">
        <v>5</v>
      </c>
      <c r="BO224" s="9">
        <v>5</v>
      </c>
      <c r="BP224" s="9">
        <v>6</v>
      </c>
      <c r="BQ224" s="9">
        <v>6</v>
      </c>
      <c r="BR224" s="9">
        <v>4</v>
      </c>
      <c r="BS224" s="9">
        <v>4</v>
      </c>
      <c r="BT224" s="9">
        <v>1</v>
      </c>
      <c r="BU224" s="9">
        <v>2</v>
      </c>
      <c r="BV224" s="9">
        <v>2</v>
      </c>
      <c r="BW224" s="9">
        <v>1</v>
      </c>
      <c r="BX224" s="9">
        <v>1</v>
      </c>
      <c r="BY224" s="9">
        <v>1</v>
      </c>
      <c r="BZ224" s="9">
        <v>1</v>
      </c>
      <c r="CA224" s="9">
        <v>1</v>
      </c>
      <c r="CB224" s="9">
        <v>1</v>
      </c>
      <c r="CC224" s="9">
        <v>2</v>
      </c>
      <c r="CD224" s="9">
        <v>2</v>
      </c>
      <c r="CE224" s="9">
        <v>2</v>
      </c>
      <c r="CF224" s="9">
        <v>2</v>
      </c>
      <c r="CG224" s="9">
        <v>1</v>
      </c>
      <c r="CH224" s="9">
        <v>1</v>
      </c>
      <c r="CI224" s="9">
        <v>0</v>
      </c>
      <c r="CJ224" s="9">
        <v>0</v>
      </c>
      <c r="CK224" s="9">
        <v>0</v>
      </c>
      <c r="CL224" s="9">
        <v>0</v>
      </c>
      <c r="CM224" s="9">
        <v>0</v>
      </c>
      <c r="CN224" s="9">
        <v>0</v>
      </c>
      <c r="CO224" s="9">
        <v>0</v>
      </c>
      <c r="CP224" s="9">
        <v>0</v>
      </c>
      <c r="CQ224" s="9">
        <v>0</v>
      </c>
      <c r="CR224" s="9">
        <v>0</v>
      </c>
      <c r="CS224" s="9">
        <v>0</v>
      </c>
      <c r="CT224" s="9">
        <v>0</v>
      </c>
      <c r="CU224" s="9">
        <v>0</v>
      </c>
      <c r="CV224" s="9">
        <v>0</v>
      </c>
      <c r="CW224" s="9">
        <v>0</v>
      </c>
      <c r="CX224" s="9">
        <v>0</v>
      </c>
      <c r="CY224" s="9">
        <v>0</v>
      </c>
      <c r="CZ224" s="9">
        <v>0</v>
      </c>
      <c r="DA224" s="9">
        <v>0</v>
      </c>
      <c r="DB224" s="9">
        <v>0</v>
      </c>
      <c r="DC224" s="9">
        <v>1</v>
      </c>
      <c r="DD224" s="9">
        <v>1</v>
      </c>
      <c r="DE224" s="9">
        <v>1</v>
      </c>
      <c r="DF224" s="9">
        <v>0</v>
      </c>
      <c r="DG224" s="9">
        <v>0</v>
      </c>
      <c r="DH224" s="9">
        <v>0</v>
      </c>
      <c r="DI224" s="9">
        <v>0</v>
      </c>
      <c r="DJ224" s="9">
        <v>0</v>
      </c>
      <c r="DK224" s="9">
        <v>0</v>
      </c>
      <c r="DL224" s="9">
        <v>0</v>
      </c>
      <c r="DM224" s="9">
        <v>0</v>
      </c>
      <c r="DN224" s="9">
        <v>0</v>
      </c>
      <c r="DO224" s="9">
        <v>0</v>
      </c>
      <c r="DP224" s="9">
        <v>0</v>
      </c>
      <c r="DQ224" s="9">
        <v>0</v>
      </c>
      <c r="DR224" s="9">
        <v>0</v>
      </c>
      <c r="DS224" s="9">
        <v>0</v>
      </c>
      <c r="DT224" s="9">
        <v>0</v>
      </c>
      <c r="DU224" s="9">
        <v>0</v>
      </c>
      <c r="DV224" s="9">
        <v>1</v>
      </c>
      <c r="DW224" s="9">
        <v>1</v>
      </c>
      <c r="DX224" s="9">
        <v>0</v>
      </c>
      <c r="DY224" s="9">
        <v>0</v>
      </c>
      <c r="DZ224" s="9">
        <v>0</v>
      </c>
      <c r="EA224" s="9">
        <v>0</v>
      </c>
      <c r="EB224" s="9">
        <v>0</v>
      </c>
      <c r="EC224" s="9">
        <v>0</v>
      </c>
      <c r="ED224" s="9">
        <v>0</v>
      </c>
      <c r="EE224" s="9">
        <v>0</v>
      </c>
      <c r="EF224" s="9">
        <v>0</v>
      </c>
      <c r="EG224" s="9">
        <v>0</v>
      </c>
      <c r="EH224" s="9">
        <v>0</v>
      </c>
      <c r="EI224" s="9">
        <v>0</v>
      </c>
      <c r="EJ224" s="9">
        <v>0</v>
      </c>
      <c r="EK224" s="9">
        <v>0</v>
      </c>
      <c r="EL224" s="9">
        <v>0</v>
      </c>
      <c r="EM224" s="9">
        <v>0</v>
      </c>
      <c r="EN224" s="9">
        <v>0</v>
      </c>
      <c r="EO224" s="9">
        <v>0</v>
      </c>
      <c r="EP224" s="9">
        <v>0</v>
      </c>
      <c r="EQ224" s="9">
        <v>0</v>
      </c>
      <c r="ER224" s="9">
        <v>0</v>
      </c>
      <c r="ES224" s="9">
        <v>0</v>
      </c>
      <c r="ET224" s="9">
        <v>0</v>
      </c>
      <c r="EU224" s="9">
        <v>0</v>
      </c>
      <c r="EV224" s="9">
        <v>0</v>
      </c>
      <c r="EW224" s="9">
        <v>0</v>
      </c>
      <c r="EX224" s="9">
        <v>0</v>
      </c>
      <c r="EY224" s="9">
        <v>0</v>
      </c>
      <c r="EZ224" s="9">
        <v>0</v>
      </c>
      <c r="FA224" s="9">
        <v>0</v>
      </c>
      <c r="FB224" s="9">
        <v>0</v>
      </c>
      <c r="FC224" s="9">
        <v>0</v>
      </c>
      <c r="FD224" s="9">
        <v>0</v>
      </c>
      <c r="FE224" s="9">
        <v>0</v>
      </c>
      <c r="FF224" s="9">
        <v>0</v>
      </c>
      <c r="FG224" s="9">
        <v>0</v>
      </c>
      <c r="FH224" s="9">
        <v>0</v>
      </c>
      <c r="FI224" s="9">
        <v>0</v>
      </c>
      <c r="FJ224" s="9">
        <v>0</v>
      </c>
      <c r="FK224" s="9">
        <v>0</v>
      </c>
      <c r="FL224" s="9">
        <v>0</v>
      </c>
      <c r="FM224" s="10">
        <v>0</v>
      </c>
    </row>
    <row r="225" spans="1:169" x14ac:dyDescent="0.35">
      <c r="A225" s="8" t="s">
        <v>342</v>
      </c>
      <c r="B225" s="9" t="s">
        <v>385</v>
      </c>
      <c r="C225" s="10" t="s">
        <v>386</v>
      </c>
      <c r="D225" s="62">
        <f t="shared" si="100"/>
        <v>147</v>
      </c>
      <c r="E225" s="9">
        <v>22</v>
      </c>
      <c r="F225" s="9">
        <v>28</v>
      </c>
      <c r="G225" s="9">
        <v>34</v>
      </c>
      <c r="H225" s="9">
        <v>41</v>
      </c>
      <c r="I225" s="9">
        <v>53</v>
      </c>
      <c r="J225" s="9">
        <v>67</v>
      </c>
      <c r="K225" s="9">
        <v>65</v>
      </c>
      <c r="L225" s="9">
        <v>77</v>
      </c>
      <c r="M225" s="9">
        <v>66</v>
      </c>
      <c r="N225" s="9">
        <v>76</v>
      </c>
      <c r="O225" s="9">
        <v>102</v>
      </c>
      <c r="P225" s="9">
        <v>137</v>
      </c>
      <c r="Q225" s="9">
        <v>147</v>
      </c>
      <c r="R225" s="9">
        <v>86</v>
      </c>
      <c r="S225" s="9">
        <v>86</v>
      </c>
      <c r="T225" s="9">
        <v>94</v>
      </c>
      <c r="U225" s="9">
        <v>91</v>
      </c>
      <c r="V225" s="9">
        <v>116</v>
      </c>
      <c r="W225" s="9">
        <v>127</v>
      </c>
      <c r="X225" s="9">
        <v>0</v>
      </c>
      <c r="Y225" s="9">
        <v>119</v>
      </c>
      <c r="Z225" s="9">
        <v>115</v>
      </c>
      <c r="AA225" s="9">
        <v>123</v>
      </c>
      <c r="AB225" s="9">
        <v>130</v>
      </c>
      <c r="AC225" s="9">
        <v>124</v>
      </c>
      <c r="AD225" s="9">
        <v>59</v>
      </c>
      <c r="AE225" s="9">
        <v>115</v>
      </c>
      <c r="AF225" s="9">
        <v>104</v>
      </c>
      <c r="AG225" s="9">
        <v>110</v>
      </c>
      <c r="AH225" s="9">
        <v>104</v>
      </c>
      <c r="AI225" s="9">
        <v>108</v>
      </c>
      <c r="AJ225" s="9">
        <v>105</v>
      </c>
      <c r="AK225" s="9">
        <v>109</v>
      </c>
      <c r="AL225" s="9">
        <v>95</v>
      </c>
      <c r="AM225" s="9">
        <v>87</v>
      </c>
      <c r="AN225" s="9">
        <v>77</v>
      </c>
      <c r="AO225" s="9">
        <v>80</v>
      </c>
      <c r="AP225" s="9">
        <v>71</v>
      </c>
      <c r="AQ225" s="9">
        <v>79</v>
      </c>
      <c r="AR225" s="9">
        <v>87</v>
      </c>
      <c r="AS225" s="9">
        <v>86</v>
      </c>
      <c r="AT225" s="9">
        <v>88</v>
      </c>
      <c r="AU225" s="9">
        <v>88</v>
      </c>
      <c r="AV225" s="9">
        <v>81</v>
      </c>
      <c r="AW225" s="9">
        <v>89</v>
      </c>
      <c r="AX225" s="9">
        <v>78</v>
      </c>
      <c r="AY225" s="9">
        <v>72</v>
      </c>
      <c r="AZ225" s="9">
        <v>63</v>
      </c>
      <c r="BA225" s="9">
        <v>30</v>
      </c>
      <c r="BB225" s="9">
        <v>61</v>
      </c>
      <c r="BC225" s="9">
        <v>58</v>
      </c>
      <c r="BD225" s="9">
        <v>57</v>
      </c>
      <c r="BE225" s="9">
        <v>52</v>
      </c>
      <c r="BF225" s="9">
        <v>52</v>
      </c>
      <c r="BG225" s="9">
        <v>53</v>
      </c>
      <c r="BH225" s="9">
        <v>48</v>
      </c>
      <c r="BI225" s="9">
        <v>47</v>
      </c>
      <c r="BJ225" s="9">
        <v>41</v>
      </c>
      <c r="BK225" s="9">
        <v>44</v>
      </c>
      <c r="BL225" s="9">
        <v>45</v>
      </c>
      <c r="BM225" s="9">
        <v>42</v>
      </c>
      <c r="BN225" s="9">
        <v>40</v>
      </c>
      <c r="BO225" s="9">
        <v>37</v>
      </c>
      <c r="BP225" s="9">
        <v>38</v>
      </c>
      <c r="BQ225" s="9">
        <v>38</v>
      </c>
      <c r="BR225" s="9">
        <v>38</v>
      </c>
      <c r="BS225" s="9">
        <v>38</v>
      </c>
      <c r="BT225" s="9">
        <v>35</v>
      </c>
      <c r="BU225" s="9">
        <v>32</v>
      </c>
      <c r="BV225" s="9">
        <v>26</v>
      </c>
      <c r="BW225" s="9">
        <v>30</v>
      </c>
      <c r="BX225" s="9">
        <v>32</v>
      </c>
      <c r="BY225" s="9">
        <v>31</v>
      </c>
      <c r="BZ225" s="9">
        <v>34</v>
      </c>
      <c r="CA225" s="9">
        <v>29</v>
      </c>
      <c r="CB225" s="9">
        <v>29</v>
      </c>
      <c r="CC225" s="9">
        <v>33</v>
      </c>
      <c r="CD225" s="9">
        <v>32</v>
      </c>
      <c r="CE225" s="9">
        <v>31</v>
      </c>
      <c r="CF225" s="9">
        <v>33</v>
      </c>
      <c r="CG225" s="9">
        <v>38</v>
      </c>
      <c r="CH225" s="9">
        <v>34</v>
      </c>
      <c r="CI225" s="9">
        <v>29</v>
      </c>
      <c r="CJ225" s="9">
        <v>28</v>
      </c>
      <c r="CK225" s="9">
        <v>27</v>
      </c>
      <c r="CL225" s="9">
        <v>29</v>
      </c>
      <c r="CM225" s="9">
        <v>30</v>
      </c>
      <c r="CN225" s="9">
        <v>29</v>
      </c>
      <c r="CO225" s="9">
        <v>31</v>
      </c>
      <c r="CP225" s="9">
        <v>33</v>
      </c>
      <c r="CQ225" s="9">
        <v>33</v>
      </c>
      <c r="CR225" s="9">
        <v>29</v>
      </c>
      <c r="CS225" s="9">
        <v>31</v>
      </c>
      <c r="CT225" s="9">
        <v>30</v>
      </c>
      <c r="CU225" s="9">
        <v>30</v>
      </c>
      <c r="CV225" s="9">
        <v>28</v>
      </c>
      <c r="CW225" s="9">
        <v>27</v>
      </c>
      <c r="CX225" s="9">
        <v>28</v>
      </c>
      <c r="CY225" s="9">
        <v>27</v>
      </c>
      <c r="CZ225" s="9">
        <v>28</v>
      </c>
      <c r="DA225" s="9">
        <v>25</v>
      </c>
      <c r="DB225" s="9">
        <v>30</v>
      </c>
      <c r="DC225" s="9">
        <v>35</v>
      </c>
      <c r="DD225" s="9">
        <v>31</v>
      </c>
      <c r="DE225" s="9">
        <v>29</v>
      </c>
      <c r="DF225" s="9">
        <v>27</v>
      </c>
      <c r="DG225" s="9">
        <v>23</v>
      </c>
      <c r="DH225" s="9">
        <v>22</v>
      </c>
      <c r="DI225" s="9">
        <v>23</v>
      </c>
      <c r="DJ225" s="9">
        <v>24</v>
      </c>
      <c r="DK225" s="9">
        <v>22</v>
      </c>
      <c r="DL225" s="9">
        <v>17</v>
      </c>
      <c r="DM225" s="9">
        <v>17</v>
      </c>
      <c r="DN225" s="9">
        <v>7</v>
      </c>
      <c r="DO225" s="9">
        <v>8</v>
      </c>
      <c r="DP225" s="9">
        <v>8</v>
      </c>
      <c r="DQ225" s="9">
        <v>8</v>
      </c>
      <c r="DR225" s="9">
        <v>8</v>
      </c>
      <c r="DS225" s="9">
        <v>8</v>
      </c>
      <c r="DT225" s="9">
        <v>7</v>
      </c>
      <c r="DU225" s="9">
        <v>6</v>
      </c>
      <c r="DV225" s="9">
        <v>4</v>
      </c>
      <c r="DW225" s="9">
        <v>6</v>
      </c>
      <c r="DX225" s="9">
        <v>5</v>
      </c>
      <c r="DY225" s="9">
        <v>5</v>
      </c>
      <c r="DZ225" s="9">
        <v>5</v>
      </c>
      <c r="EA225" s="9">
        <v>5</v>
      </c>
      <c r="EB225" s="9">
        <v>5</v>
      </c>
      <c r="EC225" s="9">
        <v>5</v>
      </c>
      <c r="ED225" s="9">
        <v>3</v>
      </c>
      <c r="EE225" s="9">
        <v>5</v>
      </c>
      <c r="EF225" s="9">
        <v>5</v>
      </c>
      <c r="EG225" s="9">
        <v>5</v>
      </c>
      <c r="EH225" s="9">
        <v>5</v>
      </c>
      <c r="EI225" s="9">
        <v>5</v>
      </c>
      <c r="EJ225" s="9">
        <v>5</v>
      </c>
      <c r="EK225" s="9">
        <v>5</v>
      </c>
      <c r="EL225" s="9">
        <v>5</v>
      </c>
      <c r="EM225" s="9">
        <v>6</v>
      </c>
      <c r="EN225" s="9">
        <v>5</v>
      </c>
      <c r="EO225" s="9">
        <v>3</v>
      </c>
      <c r="EP225" s="9">
        <v>3</v>
      </c>
      <c r="EQ225" s="9">
        <v>3</v>
      </c>
      <c r="ER225" s="9">
        <v>3</v>
      </c>
      <c r="ES225" s="9">
        <v>2</v>
      </c>
      <c r="ET225" s="9">
        <v>3</v>
      </c>
      <c r="EU225" s="9">
        <v>2</v>
      </c>
      <c r="EV225" s="9">
        <v>1</v>
      </c>
      <c r="EW225" s="9">
        <v>1</v>
      </c>
      <c r="EX225" s="9">
        <v>1</v>
      </c>
      <c r="EY225" s="9">
        <v>0</v>
      </c>
      <c r="EZ225" s="9">
        <v>0</v>
      </c>
      <c r="FA225" s="9">
        <v>0</v>
      </c>
      <c r="FB225" s="9">
        <v>0</v>
      </c>
      <c r="FC225" s="9">
        <v>0</v>
      </c>
      <c r="FD225" s="9">
        <v>0</v>
      </c>
      <c r="FE225" s="9">
        <v>0</v>
      </c>
      <c r="FF225" s="9">
        <v>0</v>
      </c>
      <c r="FG225" s="9">
        <v>1</v>
      </c>
      <c r="FH225" s="9">
        <v>1</v>
      </c>
      <c r="FI225" s="9">
        <v>4</v>
      </c>
      <c r="FJ225" s="9">
        <v>0</v>
      </c>
      <c r="FK225" s="9">
        <v>0</v>
      </c>
      <c r="FL225" s="9">
        <v>1</v>
      </c>
      <c r="FM225" s="10">
        <v>1</v>
      </c>
    </row>
    <row r="226" spans="1:169" x14ac:dyDescent="0.35">
      <c r="A226" s="8" t="s">
        <v>342</v>
      </c>
      <c r="B226" s="9" t="s">
        <v>387</v>
      </c>
      <c r="C226" s="10" t="s">
        <v>388</v>
      </c>
      <c r="D226" s="62">
        <f t="shared" si="100"/>
        <v>114</v>
      </c>
      <c r="E226" s="9">
        <v>0</v>
      </c>
      <c r="F226" s="9">
        <v>0</v>
      </c>
      <c r="G226" s="9">
        <v>2</v>
      </c>
      <c r="H226" s="9">
        <v>3</v>
      </c>
      <c r="I226" s="9">
        <v>3</v>
      </c>
      <c r="J226" s="9">
        <v>5</v>
      </c>
      <c r="K226" s="9">
        <v>7</v>
      </c>
      <c r="L226" s="9">
        <v>11</v>
      </c>
      <c r="M226" s="9">
        <v>20</v>
      </c>
      <c r="N226" s="9">
        <v>23</v>
      </c>
      <c r="O226" s="9">
        <v>29</v>
      </c>
      <c r="P226" s="9">
        <v>32</v>
      </c>
      <c r="Q226" s="9">
        <v>43</v>
      </c>
      <c r="R226" s="9">
        <v>48</v>
      </c>
      <c r="S226" s="9">
        <v>54</v>
      </c>
      <c r="T226" s="9">
        <v>65</v>
      </c>
      <c r="U226" s="9">
        <v>81</v>
      </c>
      <c r="V226" s="9">
        <v>96</v>
      </c>
      <c r="W226" s="9">
        <v>95</v>
      </c>
      <c r="X226" s="9">
        <v>90</v>
      </c>
      <c r="Y226" s="9">
        <v>93</v>
      </c>
      <c r="Z226" s="9">
        <v>102</v>
      </c>
      <c r="AA226" s="9">
        <v>109</v>
      </c>
      <c r="AB226" s="9">
        <v>104</v>
      </c>
      <c r="AC226" s="9">
        <v>108</v>
      </c>
      <c r="AD226" s="9">
        <v>105</v>
      </c>
      <c r="AE226" s="9">
        <v>106</v>
      </c>
      <c r="AF226" s="9">
        <v>104</v>
      </c>
      <c r="AG226" s="9">
        <v>92</v>
      </c>
      <c r="AH226" s="9">
        <v>107</v>
      </c>
      <c r="AI226" s="9">
        <v>111</v>
      </c>
      <c r="AJ226" s="9">
        <v>114</v>
      </c>
      <c r="AK226" s="9">
        <v>100</v>
      </c>
      <c r="AL226" s="9">
        <v>93</v>
      </c>
      <c r="AM226" s="9">
        <v>83</v>
      </c>
      <c r="AN226" s="9">
        <v>82</v>
      </c>
      <c r="AO226" s="9">
        <v>86</v>
      </c>
      <c r="AP226" s="9">
        <v>77</v>
      </c>
      <c r="AQ226" s="9">
        <v>83</v>
      </c>
      <c r="AR226" s="9">
        <v>82</v>
      </c>
      <c r="AS226" s="9">
        <v>76</v>
      </c>
      <c r="AT226" s="9">
        <v>81</v>
      </c>
      <c r="AU226" s="9">
        <v>76</v>
      </c>
      <c r="AV226" s="9">
        <v>73</v>
      </c>
      <c r="AW226" s="9">
        <v>71</v>
      </c>
      <c r="AX226" s="9">
        <v>74</v>
      </c>
      <c r="AY226" s="9">
        <v>73</v>
      </c>
      <c r="AZ226" s="9">
        <v>65</v>
      </c>
      <c r="BA226" s="9">
        <v>63</v>
      </c>
      <c r="BB226" s="9">
        <v>62</v>
      </c>
      <c r="BC226" s="9">
        <v>61</v>
      </c>
      <c r="BD226" s="9">
        <v>0</v>
      </c>
      <c r="BE226" s="9">
        <v>59</v>
      </c>
      <c r="BF226" s="9">
        <v>59</v>
      </c>
      <c r="BG226" s="9">
        <v>60</v>
      </c>
      <c r="BH226" s="9">
        <v>62</v>
      </c>
      <c r="BI226" s="9">
        <v>49</v>
      </c>
      <c r="BJ226" s="9">
        <v>46</v>
      </c>
      <c r="BK226" s="9">
        <v>48</v>
      </c>
      <c r="BL226" s="9">
        <v>46</v>
      </c>
      <c r="BM226" s="9">
        <v>71</v>
      </c>
      <c r="BN226" s="9">
        <v>69</v>
      </c>
      <c r="BO226" s="9">
        <v>59</v>
      </c>
      <c r="BP226" s="9">
        <v>58</v>
      </c>
      <c r="BQ226" s="9">
        <v>54</v>
      </c>
      <c r="BR226" s="9">
        <v>57</v>
      </c>
      <c r="BS226" s="9">
        <v>55</v>
      </c>
      <c r="BT226" s="9">
        <v>51</v>
      </c>
      <c r="BU226" s="9">
        <v>50</v>
      </c>
      <c r="BV226" s="9">
        <v>46</v>
      </c>
      <c r="BW226" s="9">
        <v>41</v>
      </c>
      <c r="BX226" s="9">
        <v>39</v>
      </c>
      <c r="BY226" s="9">
        <v>42</v>
      </c>
      <c r="BZ226" s="9">
        <v>40</v>
      </c>
      <c r="CA226" s="9">
        <v>41</v>
      </c>
      <c r="CB226" s="9">
        <v>36</v>
      </c>
      <c r="CC226" s="9">
        <v>33</v>
      </c>
      <c r="CD226" s="9">
        <v>30</v>
      </c>
      <c r="CE226" s="9">
        <v>29</v>
      </c>
      <c r="CF226" s="9">
        <v>27</v>
      </c>
      <c r="CG226" s="9">
        <v>22</v>
      </c>
      <c r="CH226" s="9">
        <v>22</v>
      </c>
      <c r="CI226" s="9">
        <v>20</v>
      </c>
      <c r="CJ226" s="9">
        <v>19</v>
      </c>
      <c r="CK226" s="9">
        <v>21</v>
      </c>
      <c r="CL226" s="9">
        <v>23</v>
      </c>
      <c r="CM226" s="9">
        <v>22</v>
      </c>
      <c r="CN226" s="9">
        <v>23</v>
      </c>
      <c r="CO226" s="9">
        <v>16</v>
      </c>
      <c r="CP226" s="9">
        <v>18</v>
      </c>
      <c r="CQ226" s="9">
        <v>18</v>
      </c>
      <c r="CR226" s="9">
        <v>19</v>
      </c>
      <c r="CS226" s="9">
        <v>18</v>
      </c>
      <c r="CT226" s="9">
        <v>17</v>
      </c>
      <c r="CU226" s="9">
        <v>16</v>
      </c>
      <c r="CV226" s="9">
        <v>16</v>
      </c>
      <c r="CW226" s="9">
        <v>18</v>
      </c>
      <c r="CX226" s="9">
        <v>0</v>
      </c>
      <c r="CY226" s="9">
        <v>13</v>
      </c>
      <c r="CZ226" s="9">
        <v>13</v>
      </c>
      <c r="DA226" s="9">
        <v>14</v>
      </c>
      <c r="DB226" s="9">
        <v>13</v>
      </c>
      <c r="DC226" s="9">
        <v>0</v>
      </c>
      <c r="DD226" s="9">
        <v>11</v>
      </c>
      <c r="DE226" s="9">
        <v>12</v>
      </c>
      <c r="DF226" s="9">
        <v>13</v>
      </c>
      <c r="DG226" s="9">
        <v>13</v>
      </c>
      <c r="DH226" s="9">
        <v>13</v>
      </c>
      <c r="DI226" s="9">
        <v>13</v>
      </c>
      <c r="DJ226" s="9">
        <v>13</v>
      </c>
      <c r="DK226" s="9">
        <v>12</v>
      </c>
      <c r="DL226" s="9">
        <v>11</v>
      </c>
      <c r="DM226" s="9">
        <v>12</v>
      </c>
      <c r="DN226" s="9">
        <v>13</v>
      </c>
      <c r="DO226" s="9">
        <v>13</v>
      </c>
      <c r="DP226" s="9">
        <v>13</v>
      </c>
      <c r="DQ226" s="9">
        <v>10</v>
      </c>
      <c r="DR226" s="9">
        <v>10</v>
      </c>
      <c r="DS226" s="9">
        <v>9</v>
      </c>
      <c r="DT226" s="9">
        <v>8</v>
      </c>
      <c r="DU226" s="9">
        <v>8</v>
      </c>
      <c r="DV226" s="9">
        <v>7</v>
      </c>
      <c r="DW226" s="9">
        <v>7</v>
      </c>
      <c r="DX226" s="9">
        <v>7</v>
      </c>
      <c r="DY226" s="9">
        <v>7</v>
      </c>
      <c r="DZ226" s="9">
        <v>9</v>
      </c>
      <c r="EA226" s="9">
        <v>9</v>
      </c>
      <c r="EB226" s="9">
        <v>10</v>
      </c>
      <c r="EC226" s="9">
        <v>10</v>
      </c>
      <c r="ED226" s="9">
        <v>10</v>
      </c>
      <c r="EE226" s="9">
        <v>9</v>
      </c>
      <c r="EF226" s="9">
        <v>7</v>
      </c>
      <c r="EG226" s="9">
        <v>6</v>
      </c>
      <c r="EH226" s="9">
        <v>5</v>
      </c>
      <c r="EI226" s="9">
        <v>5</v>
      </c>
      <c r="EJ226" s="9">
        <v>5</v>
      </c>
      <c r="EK226" s="9">
        <v>4</v>
      </c>
      <c r="EL226" s="9">
        <v>4</v>
      </c>
      <c r="EM226" s="9">
        <v>4</v>
      </c>
      <c r="EN226" s="9">
        <v>4</v>
      </c>
      <c r="EO226" s="9">
        <v>4</v>
      </c>
      <c r="EP226" s="9">
        <v>4</v>
      </c>
      <c r="EQ226" s="9">
        <v>4</v>
      </c>
      <c r="ER226" s="9">
        <v>4</v>
      </c>
      <c r="ES226" s="9">
        <v>4</v>
      </c>
      <c r="ET226" s="9">
        <v>3</v>
      </c>
      <c r="EU226" s="9">
        <v>3</v>
      </c>
      <c r="EV226" s="9">
        <v>3</v>
      </c>
      <c r="EW226" s="9">
        <v>3</v>
      </c>
      <c r="EX226" s="9">
        <v>3</v>
      </c>
      <c r="EY226" s="9">
        <v>3</v>
      </c>
      <c r="EZ226" s="9">
        <v>3</v>
      </c>
      <c r="FA226" s="9">
        <v>4</v>
      </c>
      <c r="FB226" s="9">
        <v>4</v>
      </c>
      <c r="FC226" s="9">
        <v>2</v>
      </c>
      <c r="FD226" s="9">
        <v>2</v>
      </c>
      <c r="FE226" s="9">
        <v>2</v>
      </c>
      <c r="FF226" s="9">
        <v>2</v>
      </c>
      <c r="FG226" s="9">
        <v>2</v>
      </c>
      <c r="FH226" s="9">
        <v>2</v>
      </c>
      <c r="FI226" s="9">
        <v>2</v>
      </c>
      <c r="FJ226" s="9">
        <v>2</v>
      </c>
      <c r="FK226" s="9">
        <v>2</v>
      </c>
      <c r="FL226" s="9">
        <v>3</v>
      </c>
      <c r="FM226" s="10">
        <v>3</v>
      </c>
    </row>
    <row r="227" spans="1:169" x14ac:dyDescent="0.35">
      <c r="A227" s="8" t="s">
        <v>342</v>
      </c>
      <c r="B227" s="9" t="s">
        <v>389</v>
      </c>
      <c r="C227" s="10" t="s">
        <v>390</v>
      </c>
      <c r="D227" s="62">
        <f t="shared" si="100"/>
        <v>38</v>
      </c>
      <c r="E227" s="9">
        <v>0</v>
      </c>
      <c r="F227" s="9">
        <v>0</v>
      </c>
      <c r="G227" s="9">
        <v>0</v>
      </c>
      <c r="H227" s="9">
        <v>0</v>
      </c>
      <c r="I227" s="9">
        <v>0</v>
      </c>
      <c r="J227" s="9">
        <v>0</v>
      </c>
      <c r="K227" s="9">
        <v>0</v>
      </c>
      <c r="L227" s="9">
        <v>0</v>
      </c>
      <c r="M227" s="9">
        <v>0</v>
      </c>
      <c r="N227" s="9">
        <v>0</v>
      </c>
      <c r="O227" s="9">
        <v>0</v>
      </c>
      <c r="P227" s="9">
        <v>0</v>
      </c>
      <c r="Q227" s="9">
        <v>0</v>
      </c>
      <c r="R227" s="9">
        <v>4</v>
      </c>
      <c r="S227" s="9">
        <v>1</v>
      </c>
      <c r="T227" s="9">
        <v>4</v>
      </c>
      <c r="U227" s="9">
        <v>0</v>
      </c>
      <c r="V227" s="9">
        <v>5</v>
      </c>
      <c r="W227" s="9">
        <v>5</v>
      </c>
      <c r="X227" s="9">
        <v>7</v>
      </c>
      <c r="Y227" s="9">
        <v>7</v>
      </c>
      <c r="Z227" s="9">
        <v>8</v>
      </c>
      <c r="AA227" s="9">
        <v>13</v>
      </c>
      <c r="AB227" s="9">
        <v>9</v>
      </c>
      <c r="AC227" s="9">
        <v>10</v>
      </c>
      <c r="AD227" s="9">
        <v>12</v>
      </c>
      <c r="AE227" s="9">
        <v>16</v>
      </c>
      <c r="AF227" s="9">
        <v>17</v>
      </c>
      <c r="AG227" s="9">
        <v>20</v>
      </c>
      <c r="AH227" s="9">
        <v>20</v>
      </c>
      <c r="AI227" s="9">
        <v>26</v>
      </c>
      <c r="AJ227" s="9">
        <v>26</v>
      </c>
      <c r="AK227" s="9">
        <v>28</v>
      </c>
      <c r="AL227" s="9">
        <v>28</v>
      </c>
      <c r="AM227" s="9">
        <v>30</v>
      </c>
      <c r="AN227" s="9">
        <v>28</v>
      </c>
      <c r="AO227" s="9">
        <v>37</v>
      </c>
      <c r="AP227" s="9">
        <v>37</v>
      </c>
      <c r="AQ227" s="9">
        <v>38</v>
      </c>
      <c r="AR227" s="9">
        <v>30</v>
      </c>
      <c r="AS227" s="9">
        <v>30</v>
      </c>
      <c r="AT227" s="9">
        <v>33</v>
      </c>
      <c r="AU227" s="9">
        <v>34</v>
      </c>
      <c r="AV227" s="9">
        <v>34</v>
      </c>
      <c r="AW227" s="9">
        <v>34</v>
      </c>
      <c r="AX227" s="9">
        <v>34</v>
      </c>
      <c r="AY227" s="9">
        <v>36</v>
      </c>
      <c r="AZ227" s="9">
        <v>6</v>
      </c>
      <c r="BA227" s="9">
        <v>3</v>
      </c>
      <c r="BB227" s="9">
        <v>4</v>
      </c>
      <c r="BC227" s="9">
        <v>6</v>
      </c>
      <c r="BD227" s="9">
        <v>5</v>
      </c>
      <c r="BE227" s="9">
        <v>10</v>
      </c>
      <c r="BF227" s="9">
        <v>5</v>
      </c>
      <c r="BG227" s="9">
        <v>3</v>
      </c>
      <c r="BH227" s="9">
        <v>3</v>
      </c>
      <c r="BI227" s="9">
        <v>1</v>
      </c>
      <c r="BJ227" s="9">
        <v>1</v>
      </c>
      <c r="BK227" s="9">
        <v>1</v>
      </c>
      <c r="BL227" s="9">
        <v>1</v>
      </c>
      <c r="BM227" s="9">
        <v>1</v>
      </c>
      <c r="BN227" s="9">
        <v>2</v>
      </c>
      <c r="BO227" s="9">
        <v>2</v>
      </c>
      <c r="BP227" s="9">
        <v>3</v>
      </c>
      <c r="BQ227" s="9">
        <v>3</v>
      </c>
      <c r="BR227" s="9">
        <v>3</v>
      </c>
      <c r="BS227" s="9">
        <v>10</v>
      </c>
      <c r="BT227" s="9">
        <v>10</v>
      </c>
      <c r="BU227" s="9">
        <v>10</v>
      </c>
      <c r="BV227" s="9">
        <v>10</v>
      </c>
      <c r="BW227" s="9">
        <v>10</v>
      </c>
      <c r="BX227" s="9">
        <v>11</v>
      </c>
      <c r="BY227" s="9">
        <v>12</v>
      </c>
      <c r="BZ227" s="9">
        <v>12</v>
      </c>
      <c r="CA227" s="9">
        <v>12</v>
      </c>
      <c r="CB227" s="9">
        <v>11</v>
      </c>
      <c r="CC227" s="9">
        <v>11</v>
      </c>
      <c r="CD227" s="9">
        <v>11</v>
      </c>
      <c r="CE227" s="9">
        <v>11</v>
      </c>
      <c r="CF227" s="9">
        <v>11</v>
      </c>
      <c r="CG227" s="9">
        <v>11</v>
      </c>
      <c r="CH227" s="9">
        <v>11</v>
      </c>
      <c r="CI227" s="9">
        <v>11</v>
      </c>
      <c r="CJ227" s="9">
        <v>11</v>
      </c>
      <c r="CK227" s="9">
        <v>11</v>
      </c>
      <c r="CL227" s="9">
        <v>12</v>
      </c>
      <c r="CM227" s="9">
        <v>1</v>
      </c>
      <c r="CN227" s="9">
        <v>1</v>
      </c>
      <c r="CO227" s="9">
        <v>1</v>
      </c>
      <c r="CP227" s="9">
        <v>1</v>
      </c>
      <c r="CQ227" s="9">
        <v>1</v>
      </c>
      <c r="CR227" s="9">
        <v>2</v>
      </c>
      <c r="CS227" s="9">
        <v>2</v>
      </c>
      <c r="CT227" s="9">
        <v>2</v>
      </c>
      <c r="CU227" s="9">
        <v>2</v>
      </c>
      <c r="CV227" s="9">
        <v>2</v>
      </c>
      <c r="CW227" s="9">
        <v>2</v>
      </c>
      <c r="CX227" s="9">
        <v>2</v>
      </c>
      <c r="CY227" s="9">
        <v>3</v>
      </c>
      <c r="CZ227" s="9">
        <v>1</v>
      </c>
      <c r="DA227" s="9">
        <v>1</v>
      </c>
      <c r="DB227" s="9">
        <v>1</v>
      </c>
      <c r="DC227" s="9">
        <v>1</v>
      </c>
      <c r="DD227" s="9">
        <v>1</v>
      </c>
      <c r="DE227" s="9">
        <v>1</v>
      </c>
      <c r="DF227" s="9">
        <v>0</v>
      </c>
      <c r="DG227" s="9">
        <v>0</v>
      </c>
      <c r="DH227" s="9">
        <v>0</v>
      </c>
      <c r="DI227" s="9">
        <v>0</v>
      </c>
      <c r="DJ227" s="9">
        <v>0</v>
      </c>
      <c r="DK227" s="9">
        <v>0</v>
      </c>
      <c r="DL227" s="9">
        <v>0</v>
      </c>
      <c r="DM227" s="9">
        <v>0</v>
      </c>
      <c r="DN227" s="9">
        <v>0</v>
      </c>
      <c r="DO227" s="9">
        <v>0</v>
      </c>
      <c r="DP227" s="9">
        <v>0</v>
      </c>
      <c r="DQ227" s="9">
        <v>0</v>
      </c>
      <c r="DR227" s="9">
        <v>0</v>
      </c>
      <c r="DS227" s="9">
        <v>0</v>
      </c>
      <c r="DT227" s="9">
        <v>0</v>
      </c>
      <c r="DU227" s="9">
        <v>0</v>
      </c>
      <c r="DV227" s="9">
        <v>0</v>
      </c>
      <c r="DW227" s="9">
        <v>0</v>
      </c>
      <c r="DX227" s="9">
        <v>0</v>
      </c>
      <c r="DY227" s="9">
        <v>0</v>
      </c>
      <c r="DZ227" s="9">
        <v>0</v>
      </c>
      <c r="EA227" s="9">
        <v>0</v>
      </c>
      <c r="EB227" s="9">
        <v>0</v>
      </c>
      <c r="EC227" s="9">
        <v>0</v>
      </c>
      <c r="ED227" s="9">
        <v>0</v>
      </c>
      <c r="EE227" s="9">
        <v>0</v>
      </c>
      <c r="EF227" s="9">
        <v>0</v>
      </c>
      <c r="EG227" s="9">
        <v>0</v>
      </c>
      <c r="EH227" s="9">
        <v>0</v>
      </c>
      <c r="EI227" s="9">
        <v>0</v>
      </c>
      <c r="EJ227" s="9">
        <v>0</v>
      </c>
      <c r="EK227" s="9">
        <v>0</v>
      </c>
      <c r="EL227" s="9">
        <v>0</v>
      </c>
      <c r="EM227" s="9">
        <v>0</v>
      </c>
      <c r="EN227" s="9">
        <v>0</v>
      </c>
      <c r="EO227" s="9">
        <v>0</v>
      </c>
      <c r="EP227" s="9">
        <v>0</v>
      </c>
      <c r="EQ227" s="9">
        <v>0</v>
      </c>
      <c r="ER227" s="9">
        <v>0</v>
      </c>
      <c r="ES227" s="9">
        <v>0</v>
      </c>
      <c r="ET227" s="9">
        <v>0</v>
      </c>
      <c r="EU227" s="9">
        <v>0</v>
      </c>
      <c r="EV227" s="9">
        <v>0</v>
      </c>
      <c r="EW227" s="9">
        <v>0</v>
      </c>
      <c r="EX227" s="9">
        <v>0</v>
      </c>
      <c r="EY227" s="9">
        <v>0</v>
      </c>
      <c r="EZ227" s="9">
        <v>0</v>
      </c>
      <c r="FA227" s="9">
        <v>0</v>
      </c>
      <c r="FB227" s="9">
        <v>0</v>
      </c>
      <c r="FC227" s="9">
        <v>0</v>
      </c>
      <c r="FD227" s="9">
        <v>0</v>
      </c>
      <c r="FE227" s="9">
        <v>0</v>
      </c>
      <c r="FF227" s="9">
        <v>0</v>
      </c>
      <c r="FG227" s="9">
        <v>0</v>
      </c>
      <c r="FH227" s="9">
        <v>0</v>
      </c>
      <c r="FI227" s="9">
        <v>0</v>
      </c>
      <c r="FJ227" s="9">
        <v>0</v>
      </c>
      <c r="FK227" s="9">
        <v>0</v>
      </c>
      <c r="FL227" s="9">
        <v>0</v>
      </c>
      <c r="FM227" s="10">
        <v>0</v>
      </c>
    </row>
    <row r="228" spans="1:169" x14ac:dyDescent="0.35">
      <c r="A228" s="8" t="s">
        <v>342</v>
      </c>
      <c r="B228" s="9" t="s">
        <v>391</v>
      </c>
      <c r="C228" s="10" t="s">
        <v>392</v>
      </c>
      <c r="D228" s="62">
        <f t="shared" si="100"/>
        <v>21</v>
      </c>
      <c r="E228" s="9">
        <v>0</v>
      </c>
      <c r="F228" s="9">
        <v>0</v>
      </c>
      <c r="G228" s="9">
        <v>0</v>
      </c>
      <c r="H228" s="9">
        <v>0</v>
      </c>
      <c r="I228" s="9">
        <v>0</v>
      </c>
      <c r="J228" s="9">
        <v>0</v>
      </c>
      <c r="K228" s="9">
        <v>0</v>
      </c>
      <c r="L228" s="9">
        <v>0</v>
      </c>
      <c r="M228" s="9">
        <v>0</v>
      </c>
      <c r="N228" s="9">
        <v>0</v>
      </c>
      <c r="O228" s="9">
        <v>0</v>
      </c>
      <c r="P228" s="9">
        <v>0</v>
      </c>
      <c r="Q228" s="9">
        <v>0</v>
      </c>
      <c r="R228" s="9">
        <v>1</v>
      </c>
      <c r="S228" s="9">
        <v>1</v>
      </c>
      <c r="T228" s="9">
        <v>1</v>
      </c>
      <c r="U228" s="9">
        <v>7</v>
      </c>
      <c r="V228" s="9">
        <v>7</v>
      </c>
      <c r="W228" s="9">
        <v>6</v>
      </c>
      <c r="X228" s="9">
        <v>7</v>
      </c>
      <c r="Y228" s="9">
        <v>9</v>
      </c>
      <c r="Z228" s="9">
        <v>17</v>
      </c>
      <c r="AA228" s="9">
        <v>19</v>
      </c>
      <c r="AB228" s="9">
        <v>19</v>
      </c>
      <c r="AC228" s="9">
        <v>20</v>
      </c>
      <c r="AD228" s="9">
        <v>20</v>
      </c>
      <c r="AE228" s="9">
        <v>21</v>
      </c>
      <c r="AF228" s="9">
        <v>19</v>
      </c>
      <c r="AG228" s="9">
        <v>20</v>
      </c>
      <c r="AH228" s="9">
        <v>10</v>
      </c>
      <c r="AI228" s="9">
        <v>10</v>
      </c>
      <c r="AJ228" s="9">
        <v>15</v>
      </c>
      <c r="AK228" s="9">
        <v>11</v>
      </c>
      <c r="AL228" s="9">
        <v>11</v>
      </c>
      <c r="AM228" s="9">
        <v>9</v>
      </c>
      <c r="AN228" s="9">
        <v>8</v>
      </c>
      <c r="AO228" s="9">
        <v>7</v>
      </c>
      <c r="AP228" s="9">
        <v>6</v>
      </c>
      <c r="AQ228" s="9">
        <v>6</v>
      </c>
      <c r="AR228" s="9">
        <v>0</v>
      </c>
      <c r="AS228" s="9">
        <v>0</v>
      </c>
      <c r="AT228" s="9">
        <v>0</v>
      </c>
      <c r="AU228" s="9">
        <v>0</v>
      </c>
      <c r="AV228" s="9">
        <v>1</v>
      </c>
      <c r="AW228" s="9">
        <v>1</v>
      </c>
      <c r="AX228" s="9">
        <v>1</v>
      </c>
      <c r="AY228" s="9">
        <v>0</v>
      </c>
      <c r="AZ228" s="9">
        <v>0</v>
      </c>
      <c r="BA228" s="9">
        <v>0</v>
      </c>
      <c r="BB228" s="9">
        <v>1</v>
      </c>
      <c r="BC228" s="9">
        <v>1</v>
      </c>
      <c r="BD228" s="9">
        <v>1</v>
      </c>
      <c r="BE228" s="9">
        <v>1</v>
      </c>
      <c r="BF228" s="9">
        <v>1</v>
      </c>
      <c r="BG228" s="9">
        <v>1</v>
      </c>
      <c r="BH228" s="9">
        <v>1</v>
      </c>
      <c r="BI228" s="9">
        <v>1</v>
      </c>
      <c r="BJ228" s="9">
        <v>1</v>
      </c>
      <c r="BK228" s="9">
        <v>1</v>
      </c>
      <c r="BL228" s="9">
        <v>1</v>
      </c>
      <c r="BM228" s="9">
        <v>1</v>
      </c>
      <c r="BN228" s="9">
        <v>1</v>
      </c>
      <c r="BO228" s="9">
        <v>1</v>
      </c>
      <c r="BP228" s="9">
        <v>1</v>
      </c>
      <c r="BQ228" s="9">
        <v>1</v>
      </c>
      <c r="BR228" s="9">
        <v>1</v>
      </c>
      <c r="BS228" s="9">
        <v>1</v>
      </c>
      <c r="BT228" s="9">
        <v>1</v>
      </c>
      <c r="BU228" s="9">
        <v>2</v>
      </c>
      <c r="BV228" s="9">
        <v>2</v>
      </c>
      <c r="BW228" s="9">
        <v>1</v>
      </c>
      <c r="BX228" s="9">
        <v>5</v>
      </c>
      <c r="BY228" s="9">
        <v>5</v>
      </c>
      <c r="BZ228" s="9">
        <v>4</v>
      </c>
      <c r="CA228" s="9">
        <v>5</v>
      </c>
      <c r="CB228" s="9">
        <v>5</v>
      </c>
      <c r="CC228" s="9">
        <v>6</v>
      </c>
      <c r="CD228" s="9">
        <v>6</v>
      </c>
      <c r="CE228" s="9">
        <v>6</v>
      </c>
      <c r="CF228" s="9">
        <v>6</v>
      </c>
      <c r="CG228" s="9">
        <v>6</v>
      </c>
      <c r="CH228" s="9">
        <v>5</v>
      </c>
      <c r="CI228" s="9">
        <v>6</v>
      </c>
      <c r="CJ228" s="9">
        <v>6</v>
      </c>
      <c r="CK228" s="9">
        <v>6</v>
      </c>
      <c r="CL228" s="9">
        <v>4</v>
      </c>
      <c r="CM228" s="9">
        <v>4</v>
      </c>
      <c r="CN228" s="9">
        <v>3</v>
      </c>
      <c r="CO228" s="9">
        <v>4</v>
      </c>
      <c r="CP228" s="9">
        <v>4</v>
      </c>
      <c r="CQ228" s="9">
        <v>4</v>
      </c>
      <c r="CR228" s="9">
        <v>3</v>
      </c>
      <c r="CS228" s="9">
        <v>3</v>
      </c>
      <c r="CT228" s="9">
        <v>3</v>
      </c>
      <c r="CU228" s="9">
        <v>3</v>
      </c>
      <c r="CV228" s="9">
        <v>2</v>
      </c>
      <c r="CW228" s="9">
        <v>2</v>
      </c>
      <c r="CX228" s="9">
        <v>2</v>
      </c>
      <c r="CY228" s="9">
        <v>2</v>
      </c>
      <c r="CZ228" s="9">
        <v>2</v>
      </c>
      <c r="DA228" s="9">
        <v>2</v>
      </c>
      <c r="DB228" s="9">
        <v>2</v>
      </c>
      <c r="DC228" s="9">
        <v>1</v>
      </c>
      <c r="DD228" s="9">
        <v>1</v>
      </c>
      <c r="DE228" s="9">
        <v>2</v>
      </c>
      <c r="DF228" s="9">
        <v>2</v>
      </c>
      <c r="DG228" s="9">
        <v>1</v>
      </c>
      <c r="DH228" s="9">
        <v>2</v>
      </c>
      <c r="DI228" s="9">
        <v>2</v>
      </c>
      <c r="DJ228" s="9">
        <v>3</v>
      </c>
      <c r="DK228" s="9">
        <v>1</v>
      </c>
      <c r="DL228" s="9">
        <v>1</v>
      </c>
      <c r="DM228" s="9">
        <v>1</v>
      </c>
      <c r="DN228" s="9">
        <v>2</v>
      </c>
      <c r="DO228" s="9">
        <v>2</v>
      </c>
      <c r="DP228" s="9">
        <v>2</v>
      </c>
      <c r="DQ228" s="9">
        <v>1</v>
      </c>
      <c r="DR228" s="9">
        <v>3</v>
      </c>
      <c r="DS228" s="9">
        <v>4</v>
      </c>
      <c r="DT228" s="9">
        <v>4</v>
      </c>
      <c r="DU228" s="9">
        <v>4</v>
      </c>
      <c r="DV228" s="9">
        <v>4</v>
      </c>
      <c r="DW228" s="9">
        <v>4</v>
      </c>
      <c r="DX228" s="9">
        <v>4</v>
      </c>
      <c r="DY228" s="9">
        <v>3</v>
      </c>
      <c r="DZ228" s="9">
        <v>3</v>
      </c>
      <c r="EA228" s="9">
        <v>3</v>
      </c>
      <c r="EB228" s="9">
        <v>2</v>
      </c>
      <c r="EC228" s="9">
        <v>1</v>
      </c>
      <c r="ED228" s="9">
        <v>1</v>
      </c>
      <c r="EE228" s="9">
        <v>1</v>
      </c>
      <c r="EF228" s="9">
        <v>1</v>
      </c>
      <c r="EG228" s="9">
        <v>2</v>
      </c>
      <c r="EH228" s="9">
        <v>2</v>
      </c>
      <c r="EI228" s="9">
        <v>2</v>
      </c>
      <c r="EJ228" s="9">
        <v>2</v>
      </c>
      <c r="EK228" s="9">
        <v>2</v>
      </c>
      <c r="EL228" s="9">
        <v>4</v>
      </c>
      <c r="EM228" s="9">
        <v>8</v>
      </c>
      <c r="EN228" s="9">
        <v>8</v>
      </c>
      <c r="EO228" s="9">
        <v>8</v>
      </c>
      <c r="EP228" s="9">
        <v>7</v>
      </c>
      <c r="EQ228" s="9">
        <v>7</v>
      </c>
      <c r="ER228" s="9">
        <v>8</v>
      </c>
      <c r="ES228" s="9">
        <v>8</v>
      </c>
      <c r="ET228" s="9">
        <v>8</v>
      </c>
      <c r="EU228" s="9">
        <v>8</v>
      </c>
      <c r="EV228" s="9">
        <v>8</v>
      </c>
      <c r="EW228" s="9">
        <v>8</v>
      </c>
      <c r="EX228" s="9">
        <v>8</v>
      </c>
      <c r="EY228" s="9">
        <v>8</v>
      </c>
      <c r="EZ228" s="9">
        <v>8</v>
      </c>
      <c r="FA228" s="9">
        <v>1</v>
      </c>
      <c r="FB228" s="9">
        <v>1</v>
      </c>
      <c r="FC228" s="9">
        <v>1</v>
      </c>
      <c r="FD228" s="9">
        <v>1</v>
      </c>
      <c r="FE228" s="9">
        <v>1</v>
      </c>
      <c r="FF228" s="9">
        <v>1</v>
      </c>
      <c r="FG228" s="9">
        <v>1</v>
      </c>
      <c r="FH228" s="9">
        <v>1</v>
      </c>
      <c r="FI228" s="9">
        <v>1</v>
      </c>
      <c r="FJ228" s="9">
        <v>0</v>
      </c>
      <c r="FK228" s="9">
        <v>0</v>
      </c>
      <c r="FL228" s="9">
        <v>0</v>
      </c>
      <c r="FM228" s="10">
        <v>0</v>
      </c>
    </row>
    <row r="229" spans="1:169" x14ac:dyDescent="0.35">
      <c r="A229" s="8" t="s">
        <v>342</v>
      </c>
      <c r="B229" s="9" t="s">
        <v>393</v>
      </c>
      <c r="C229" s="10" t="s">
        <v>394</v>
      </c>
      <c r="D229" s="62">
        <f t="shared" si="100"/>
        <v>262</v>
      </c>
      <c r="E229" s="9">
        <v>35</v>
      </c>
      <c r="F229" s="9">
        <v>28</v>
      </c>
      <c r="G229" s="9">
        <v>36</v>
      </c>
      <c r="H229" s="9">
        <v>46</v>
      </c>
      <c r="I229" s="9">
        <v>51</v>
      </c>
      <c r="J229" s="9">
        <v>60</v>
      </c>
      <c r="K229" s="9">
        <v>65</v>
      </c>
      <c r="L229" s="9">
        <v>93</v>
      </c>
      <c r="M229" s="9">
        <v>113</v>
      </c>
      <c r="N229" s="9">
        <v>147</v>
      </c>
      <c r="O229" s="9">
        <v>169</v>
      </c>
      <c r="P229" s="9">
        <v>150</v>
      </c>
      <c r="Q229" s="9">
        <v>183</v>
      </c>
      <c r="R229" s="9">
        <v>205</v>
      </c>
      <c r="S229" s="9">
        <v>229</v>
      </c>
      <c r="T229" s="9">
        <v>225</v>
      </c>
      <c r="U229" s="9">
        <v>241</v>
      </c>
      <c r="V229" s="9">
        <v>262</v>
      </c>
      <c r="W229" s="9">
        <v>253</v>
      </c>
      <c r="X229" s="9">
        <v>260</v>
      </c>
      <c r="Y229" s="9">
        <v>244</v>
      </c>
      <c r="Z229" s="9">
        <v>257</v>
      </c>
      <c r="AA229" s="9">
        <v>260</v>
      </c>
      <c r="AB229" s="9">
        <v>259</v>
      </c>
      <c r="AC229" s="9">
        <v>252</v>
      </c>
      <c r="AD229" s="9">
        <v>260</v>
      </c>
      <c r="AE229" s="9">
        <v>245</v>
      </c>
      <c r="AF229" s="9">
        <v>243</v>
      </c>
      <c r="AG229" s="9">
        <v>234</v>
      </c>
      <c r="AH229" s="9">
        <v>228</v>
      </c>
      <c r="AI229" s="9">
        <v>224</v>
      </c>
      <c r="AJ229" s="9">
        <v>222</v>
      </c>
      <c r="AK229" s="9">
        <v>211</v>
      </c>
      <c r="AL229" s="9">
        <v>185</v>
      </c>
      <c r="AM229" s="9">
        <v>176</v>
      </c>
      <c r="AN229" s="9">
        <v>169</v>
      </c>
      <c r="AO229" s="9">
        <v>163</v>
      </c>
      <c r="AP229" s="9">
        <v>165</v>
      </c>
      <c r="AQ229" s="9">
        <v>165</v>
      </c>
      <c r="AR229" s="9">
        <v>163</v>
      </c>
      <c r="AS229" s="9">
        <v>140</v>
      </c>
      <c r="AT229" s="9">
        <v>136</v>
      </c>
      <c r="AU229" s="9">
        <v>152</v>
      </c>
      <c r="AV229" s="9">
        <v>157</v>
      </c>
      <c r="AW229" s="9">
        <v>127</v>
      </c>
      <c r="AX229" s="9">
        <v>124</v>
      </c>
      <c r="AY229" s="9">
        <v>110</v>
      </c>
      <c r="AZ229" s="9">
        <v>117</v>
      </c>
      <c r="BA229" s="9">
        <v>110</v>
      </c>
      <c r="BB229" s="9">
        <v>122</v>
      </c>
      <c r="BC229" s="9">
        <v>131</v>
      </c>
      <c r="BD229" s="9">
        <v>122</v>
      </c>
      <c r="BE229" s="9">
        <v>113</v>
      </c>
      <c r="BF229" s="9">
        <v>109</v>
      </c>
      <c r="BG229" s="9">
        <v>111</v>
      </c>
      <c r="BH229" s="9">
        <v>109</v>
      </c>
      <c r="BI229" s="9">
        <v>107</v>
      </c>
      <c r="BJ229" s="9">
        <v>79</v>
      </c>
      <c r="BK229" s="9">
        <v>106</v>
      </c>
      <c r="BL229" s="9">
        <v>107</v>
      </c>
      <c r="BM229" s="9">
        <v>122</v>
      </c>
      <c r="BN229" s="9">
        <v>129</v>
      </c>
      <c r="BO229" s="9">
        <v>120</v>
      </c>
      <c r="BP229" s="9">
        <v>128</v>
      </c>
      <c r="BQ229" s="9">
        <v>139</v>
      </c>
      <c r="BR229" s="9">
        <v>120</v>
      </c>
      <c r="BS229" s="9">
        <v>120</v>
      </c>
      <c r="BT229" s="9">
        <v>116</v>
      </c>
      <c r="BU229" s="9">
        <v>115</v>
      </c>
      <c r="BV229" s="9">
        <v>113</v>
      </c>
      <c r="BW229" s="9">
        <v>108</v>
      </c>
      <c r="BX229" s="9">
        <v>99</v>
      </c>
      <c r="BY229" s="9">
        <v>108</v>
      </c>
      <c r="BZ229" s="9">
        <v>106</v>
      </c>
      <c r="CA229" s="9">
        <v>103</v>
      </c>
      <c r="CB229" s="9">
        <v>104</v>
      </c>
      <c r="CC229" s="9">
        <v>75</v>
      </c>
      <c r="CD229" s="9">
        <v>90</v>
      </c>
      <c r="CE229" s="9">
        <v>86</v>
      </c>
      <c r="CF229" s="9">
        <v>91</v>
      </c>
      <c r="CG229" s="9">
        <v>91</v>
      </c>
      <c r="CH229" s="9">
        <v>81</v>
      </c>
      <c r="CI229" s="9">
        <v>69</v>
      </c>
      <c r="CJ229" s="9">
        <v>66</v>
      </c>
      <c r="CK229" s="9">
        <v>64</v>
      </c>
      <c r="CL229" s="9">
        <v>74</v>
      </c>
      <c r="CM229" s="9">
        <v>72</v>
      </c>
      <c r="CN229" s="9">
        <v>64</v>
      </c>
      <c r="CO229" s="9">
        <v>68</v>
      </c>
      <c r="CP229" s="9">
        <v>72</v>
      </c>
      <c r="CQ229" s="9">
        <v>57</v>
      </c>
      <c r="CR229" s="9">
        <v>51</v>
      </c>
      <c r="CS229" s="9">
        <v>52</v>
      </c>
      <c r="CT229" s="9">
        <v>47</v>
      </c>
      <c r="CU229" s="9">
        <v>54</v>
      </c>
      <c r="CV229" s="9">
        <v>54</v>
      </c>
      <c r="CW229" s="9">
        <v>51</v>
      </c>
      <c r="CX229" s="9">
        <v>52</v>
      </c>
      <c r="CY229" s="9">
        <v>46</v>
      </c>
      <c r="CZ229" s="9">
        <v>55</v>
      </c>
      <c r="DA229" s="9">
        <v>52</v>
      </c>
      <c r="DB229" s="9">
        <v>42</v>
      </c>
      <c r="DC229" s="9">
        <v>47</v>
      </c>
      <c r="DD229" s="9">
        <v>43</v>
      </c>
      <c r="DE229" s="9">
        <v>50</v>
      </c>
      <c r="DF229" s="9">
        <v>43</v>
      </c>
      <c r="DG229" s="9">
        <v>34</v>
      </c>
      <c r="DH229" s="9">
        <v>32</v>
      </c>
      <c r="DI229" s="9">
        <v>32</v>
      </c>
      <c r="DJ229" s="9">
        <v>29</v>
      </c>
      <c r="DK229" s="9">
        <v>27</v>
      </c>
      <c r="DL229" s="9">
        <v>19</v>
      </c>
      <c r="DM229" s="9">
        <v>33</v>
      </c>
      <c r="DN229" s="9">
        <v>31</v>
      </c>
      <c r="DO229" s="9">
        <v>28</v>
      </c>
      <c r="DP229" s="9">
        <v>29</v>
      </c>
      <c r="DQ229" s="9">
        <v>30</v>
      </c>
      <c r="DR229" s="9">
        <v>28</v>
      </c>
      <c r="DS229" s="9">
        <v>25</v>
      </c>
      <c r="DT229" s="9">
        <v>22</v>
      </c>
      <c r="DU229" s="9">
        <v>24</v>
      </c>
      <c r="DV229" s="9">
        <v>21</v>
      </c>
      <c r="DW229" s="9">
        <v>19</v>
      </c>
      <c r="DX229" s="9">
        <v>23</v>
      </c>
      <c r="DY229" s="9">
        <v>172</v>
      </c>
      <c r="DZ229" s="9">
        <v>21</v>
      </c>
      <c r="EA229" s="9">
        <v>18</v>
      </c>
      <c r="EB229" s="9">
        <v>19</v>
      </c>
      <c r="EC229" s="9">
        <v>16</v>
      </c>
      <c r="ED229" s="9">
        <v>17</v>
      </c>
      <c r="EE229" s="9">
        <v>17</v>
      </c>
      <c r="EF229" s="9">
        <v>15</v>
      </c>
      <c r="EG229" s="9">
        <v>15</v>
      </c>
      <c r="EH229" s="9">
        <v>14</v>
      </c>
      <c r="EI229" s="9">
        <v>12</v>
      </c>
      <c r="EJ229" s="9">
        <v>14</v>
      </c>
      <c r="EK229" s="9">
        <v>12</v>
      </c>
      <c r="EL229" s="9">
        <v>15</v>
      </c>
      <c r="EM229" s="9">
        <v>11</v>
      </c>
      <c r="EN229" s="9">
        <v>10</v>
      </c>
      <c r="EO229" s="9">
        <v>11</v>
      </c>
      <c r="EP229" s="9">
        <v>10</v>
      </c>
      <c r="EQ229" s="9">
        <v>8</v>
      </c>
      <c r="ER229" s="9">
        <v>17</v>
      </c>
      <c r="ES229" s="9">
        <v>15</v>
      </c>
      <c r="ET229" s="9">
        <v>16</v>
      </c>
      <c r="EU229" s="9">
        <v>18</v>
      </c>
      <c r="EV229" s="9">
        <v>20</v>
      </c>
      <c r="EW229" s="9">
        <v>21</v>
      </c>
      <c r="EX229" s="9">
        <v>26</v>
      </c>
      <c r="EY229" s="9">
        <v>17</v>
      </c>
      <c r="EZ229" s="9">
        <v>15</v>
      </c>
      <c r="FA229" s="9">
        <v>15</v>
      </c>
      <c r="FB229" s="9">
        <v>19</v>
      </c>
      <c r="FC229" s="9">
        <v>21</v>
      </c>
      <c r="FD229" s="9">
        <v>22</v>
      </c>
      <c r="FE229" s="9">
        <v>20</v>
      </c>
      <c r="FF229" s="9">
        <v>17</v>
      </c>
      <c r="FG229" s="9">
        <v>16</v>
      </c>
      <c r="FH229" s="9">
        <v>11</v>
      </c>
      <c r="FI229" s="9">
        <v>13</v>
      </c>
      <c r="FJ229" s="9">
        <v>15</v>
      </c>
      <c r="FK229" s="9">
        <v>16</v>
      </c>
      <c r="FL229" s="9">
        <v>18</v>
      </c>
      <c r="FM229" s="10">
        <v>17</v>
      </c>
    </row>
    <row r="230" spans="1:169" x14ac:dyDescent="0.35">
      <c r="A230" s="8" t="s">
        <v>342</v>
      </c>
      <c r="B230" s="9" t="s">
        <v>395</v>
      </c>
      <c r="C230" s="10" t="s">
        <v>396</v>
      </c>
      <c r="D230" s="62">
        <f t="shared" si="100"/>
        <v>137</v>
      </c>
      <c r="E230" s="9">
        <v>8</v>
      </c>
      <c r="F230" s="9">
        <v>7</v>
      </c>
      <c r="G230" s="9">
        <v>9</v>
      </c>
      <c r="H230" s="9">
        <v>10</v>
      </c>
      <c r="I230" s="9">
        <v>11</v>
      </c>
      <c r="J230" s="9">
        <v>14</v>
      </c>
      <c r="K230" s="9">
        <v>15</v>
      </c>
      <c r="L230" s="9">
        <v>17</v>
      </c>
      <c r="M230" s="9">
        <v>17</v>
      </c>
      <c r="N230" s="9">
        <v>25</v>
      </c>
      <c r="O230" s="9">
        <v>25</v>
      </c>
      <c r="P230" s="9">
        <v>26</v>
      </c>
      <c r="Q230" s="9">
        <v>43</v>
      </c>
      <c r="R230" s="9">
        <v>42</v>
      </c>
      <c r="S230" s="9">
        <v>62</v>
      </c>
      <c r="T230" s="9">
        <v>67</v>
      </c>
      <c r="U230" s="9">
        <v>75</v>
      </c>
      <c r="V230" s="9">
        <v>85</v>
      </c>
      <c r="W230" s="9">
        <v>103</v>
      </c>
      <c r="X230" s="9">
        <v>110</v>
      </c>
      <c r="Y230" s="9">
        <v>105</v>
      </c>
      <c r="Z230" s="9">
        <v>102</v>
      </c>
      <c r="AA230" s="9">
        <v>127</v>
      </c>
      <c r="AB230" s="9">
        <v>117</v>
      </c>
      <c r="AC230" s="9">
        <v>113</v>
      </c>
      <c r="AD230" s="9">
        <v>123</v>
      </c>
      <c r="AE230" s="9">
        <v>132</v>
      </c>
      <c r="AF230" s="9">
        <v>136</v>
      </c>
      <c r="AG230" s="9">
        <v>133</v>
      </c>
      <c r="AH230" s="9">
        <v>135</v>
      </c>
      <c r="AI230" s="9">
        <v>136</v>
      </c>
      <c r="AJ230" s="9">
        <v>137</v>
      </c>
      <c r="AK230" s="9">
        <v>132</v>
      </c>
      <c r="AL230" s="9">
        <v>127</v>
      </c>
      <c r="AM230" s="9">
        <v>132</v>
      </c>
      <c r="AN230" s="9">
        <v>134</v>
      </c>
      <c r="AO230" s="9">
        <v>131</v>
      </c>
      <c r="AP230" s="9">
        <v>137</v>
      </c>
      <c r="AQ230" s="9">
        <v>132</v>
      </c>
      <c r="AR230" s="9">
        <v>132</v>
      </c>
      <c r="AS230" s="9">
        <v>134</v>
      </c>
      <c r="AT230" s="9">
        <v>131</v>
      </c>
      <c r="AU230" s="9">
        <v>127</v>
      </c>
      <c r="AV230" s="9">
        <v>121</v>
      </c>
      <c r="AW230" s="9">
        <v>120</v>
      </c>
      <c r="AX230" s="9">
        <v>124</v>
      </c>
      <c r="AY230" s="9">
        <v>119</v>
      </c>
      <c r="AZ230" s="9">
        <v>107</v>
      </c>
      <c r="BA230" s="9">
        <v>101</v>
      </c>
      <c r="BB230" s="9">
        <v>97</v>
      </c>
      <c r="BC230" s="9">
        <v>97</v>
      </c>
      <c r="BD230" s="9">
        <v>97</v>
      </c>
      <c r="BE230" s="9">
        <v>99</v>
      </c>
      <c r="BF230" s="9">
        <v>100</v>
      </c>
      <c r="BG230" s="9">
        <v>94</v>
      </c>
      <c r="BH230" s="9">
        <v>85</v>
      </c>
      <c r="BI230" s="9">
        <v>77</v>
      </c>
      <c r="BJ230" s="9">
        <v>72</v>
      </c>
      <c r="BK230" s="9">
        <v>69</v>
      </c>
      <c r="BL230" s="9">
        <v>67</v>
      </c>
      <c r="BM230" s="9">
        <v>60</v>
      </c>
      <c r="BN230" s="9">
        <v>54</v>
      </c>
      <c r="BO230" s="9">
        <v>52</v>
      </c>
      <c r="BP230" s="9">
        <v>52</v>
      </c>
      <c r="BQ230" s="9">
        <v>46</v>
      </c>
      <c r="BR230" s="9">
        <v>44</v>
      </c>
      <c r="BS230" s="9">
        <v>45</v>
      </c>
      <c r="BT230" s="9">
        <v>47</v>
      </c>
      <c r="BU230" s="9">
        <v>47</v>
      </c>
      <c r="BV230" s="9">
        <v>46</v>
      </c>
      <c r="BW230" s="9">
        <v>44</v>
      </c>
      <c r="BX230" s="9">
        <v>45</v>
      </c>
      <c r="BY230" s="9">
        <v>44</v>
      </c>
      <c r="BZ230" s="9">
        <v>45</v>
      </c>
      <c r="CA230" s="9">
        <v>42</v>
      </c>
      <c r="CB230" s="9">
        <v>38</v>
      </c>
      <c r="CC230" s="9">
        <v>36</v>
      </c>
      <c r="CD230" s="9">
        <v>31</v>
      </c>
      <c r="CE230" s="9">
        <v>31</v>
      </c>
      <c r="CF230" s="9">
        <v>30</v>
      </c>
      <c r="CG230" s="9">
        <v>30</v>
      </c>
      <c r="CH230" s="9">
        <v>28</v>
      </c>
      <c r="CI230" s="9">
        <v>25</v>
      </c>
      <c r="CJ230" s="9">
        <v>22</v>
      </c>
      <c r="CK230" s="9">
        <v>18</v>
      </c>
      <c r="CL230" s="9">
        <v>20</v>
      </c>
      <c r="CM230" s="9">
        <v>21</v>
      </c>
      <c r="CN230" s="9">
        <v>19</v>
      </c>
      <c r="CO230" s="9">
        <v>24</v>
      </c>
      <c r="CP230" s="9">
        <v>25</v>
      </c>
      <c r="CQ230" s="9">
        <v>24</v>
      </c>
      <c r="CR230" s="9">
        <v>27</v>
      </c>
      <c r="CS230" s="9">
        <v>27</v>
      </c>
      <c r="CT230" s="9">
        <v>25</v>
      </c>
      <c r="CU230" s="9">
        <v>25</v>
      </c>
      <c r="CV230" s="9">
        <v>25</v>
      </c>
      <c r="CW230" s="9">
        <v>27</v>
      </c>
      <c r="CX230" s="9">
        <v>27</v>
      </c>
      <c r="CY230" s="9">
        <v>28</v>
      </c>
      <c r="CZ230" s="9">
        <v>28</v>
      </c>
      <c r="DA230" s="9">
        <v>30</v>
      </c>
      <c r="DB230" s="9">
        <v>30</v>
      </c>
      <c r="DC230" s="9">
        <v>29</v>
      </c>
      <c r="DD230" s="9">
        <v>28</v>
      </c>
      <c r="DE230" s="9">
        <v>25</v>
      </c>
      <c r="DF230" s="9">
        <v>26</v>
      </c>
      <c r="DG230" s="9">
        <v>24</v>
      </c>
      <c r="DH230" s="9">
        <v>25</v>
      </c>
      <c r="DI230" s="9">
        <v>24</v>
      </c>
      <c r="DJ230" s="9">
        <v>21</v>
      </c>
      <c r="DK230" s="9">
        <v>23</v>
      </c>
      <c r="DL230" s="9">
        <v>23</v>
      </c>
      <c r="DM230" s="9">
        <v>25</v>
      </c>
      <c r="DN230" s="9">
        <v>22</v>
      </c>
      <c r="DO230" s="9">
        <v>20</v>
      </c>
      <c r="DP230" s="9">
        <v>20</v>
      </c>
      <c r="DQ230" s="9">
        <v>20</v>
      </c>
      <c r="DR230" s="9">
        <v>22</v>
      </c>
      <c r="DS230" s="9">
        <v>24</v>
      </c>
      <c r="DT230" s="9">
        <v>24</v>
      </c>
      <c r="DU230" s="9">
        <v>23</v>
      </c>
      <c r="DV230" s="9">
        <v>25</v>
      </c>
      <c r="DW230" s="9">
        <v>24</v>
      </c>
      <c r="DX230" s="9">
        <v>24</v>
      </c>
      <c r="DY230" s="9">
        <v>24</v>
      </c>
      <c r="DZ230" s="9">
        <v>20</v>
      </c>
      <c r="EA230" s="9">
        <v>20</v>
      </c>
      <c r="EB230" s="9">
        <v>23</v>
      </c>
      <c r="EC230" s="9">
        <v>22</v>
      </c>
      <c r="ED230" s="9">
        <v>23</v>
      </c>
      <c r="EE230" s="9">
        <v>23</v>
      </c>
      <c r="EF230" s="9">
        <v>23</v>
      </c>
      <c r="EG230" s="9">
        <v>23</v>
      </c>
      <c r="EH230" s="9">
        <v>21</v>
      </c>
      <c r="EI230" s="9">
        <v>23</v>
      </c>
      <c r="EJ230" s="9">
        <v>23</v>
      </c>
      <c r="EK230" s="9">
        <v>22</v>
      </c>
      <c r="EL230" s="9">
        <v>22</v>
      </c>
      <c r="EM230" s="9">
        <v>20</v>
      </c>
      <c r="EN230" s="9">
        <v>18</v>
      </c>
      <c r="EO230" s="9">
        <v>18</v>
      </c>
      <c r="EP230" s="9">
        <v>18</v>
      </c>
      <c r="EQ230" s="9">
        <v>16</v>
      </c>
      <c r="ER230" s="9">
        <v>17</v>
      </c>
      <c r="ES230" s="9">
        <v>17</v>
      </c>
      <c r="ET230" s="9">
        <v>14</v>
      </c>
      <c r="EU230" s="9">
        <v>14</v>
      </c>
      <c r="EV230" s="9">
        <v>13</v>
      </c>
      <c r="EW230" s="9">
        <v>10</v>
      </c>
      <c r="EX230" s="9">
        <v>8</v>
      </c>
      <c r="EY230" s="9">
        <v>9</v>
      </c>
      <c r="EZ230" s="9">
        <v>7</v>
      </c>
      <c r="FA230" s="9">
        <v>6</v>
      </c>
      <c r="FB230" s="9">
        <v>7</v>
      </c>
      <c r="FC230" s="9">
        <v>7</v>
      </c>
      <c r="FD230" s="9">
        <v>7</v>
      </c>
      <c r="FE230" s="9">
        <v>7</v>
      </c>
      <c r="FF230" s="9">
        <v>6</v>
      </c>
      <c r="FG230" s="9">
        <v>6</v>
      </c>
      <c r="FH230" s="9">
        <v>6</v>
      </c>
      <c r="FI230" s="9">
        <v>7</v>
      </c>
      <c r="FJ230" s="9">
        <v>6</v>
      </c>
      <c r="FK230" s="9">
        <v>8</v>
      </c>
      <c r="FL230" s="9">
        <v>5</v>
      </c>
      <c r="FM230" s="10">
        <v>5</v>
      </c>
    </row>
    <row r="231" spans="1:169" x14ac:dyDescent="0.35">
      <c r="A231" s="8" t="s">
        <v>342</v>
      </c>
      <c r="B231" s="9" t="s">
        <v>397</v>
      </c>
      <c r="C231" s="10" t="s">
        <v>398</v>
      </c>
      <c r="D231" s="62">
        <f t="shared" si="100"/>
        <v>123</v>
      </c>
      <c r="E231" s="9">
        <v>2</v>
      </c>
      <c r="F231" s="9">
        <v>2</v>
      </c>
      <c r="G231" s="9">
        <v>1</v>
      </c>
      <c r="H231" s="9">
        <v>3</v>
      </c>
      <c r="I231" s="9">
        <v>4</v>
      </c>
      <c r="J231" s="9">
        <v>4</v>
      </c>
      <c r="K231" s="9">
        <v>4</v>
      </c>
      <c r="L231" s="9">
        <v>8</v>
      </c>
      <c r="M231" s="9">
        <v>7</v>
      </c>
      <c r="N231" s="9">
        <v>6</v>
      </c>
      <c r="O231" s="9">
        <v>9</v>
      </c>
      <c r="P231" s="9">
        <v>24</v>
      </c>
      <c r="Q231" s="9">
        <v>30</v>
      </c>
      <c r="R231" s="9">
        <v>41</v>
      </c>
      <c r="S231" s="9">
        <v>53</v>
      </c>
      <c r="T231" s="9">
        <v>53</v>
      </c>
      <c r="U231" s="9">
        <v>60</v>
      </c>
      <c r="V231" s="9">
        <v>65</v>
      </c>
      <c r="W231" s="9">
        <v>66</v>
      </c>
      <c r="X231" s="9">
        <v>79</v>
      </c>
      <c r="Y231" s="9">
        <v>83</v>
      </c>
      <c r="Z231" s="9">
        <v>101</v>
      </c>
      <c r="AA231" s="9">
        <v>109</v>
      </c>
      <c r="AB231" s="9">
        <v>98</v>
      </c>
      <c r="AC231" s="9">
        <v>123</v>
      </c>
      <c r="AD231" s="9">
        <v>115</v>
      </c>
      <c r="AE231" s="9">
        <v>113</v>
      </c>
      <c r="AF231" s="9">
        <v>111</v>
      </c>
      <c r="AG231" s="9">
        <v>109</v>
      </c>
      <c r="AH231" s="9">
        <v>109</v>
      </c>
      <c r="AI231" s="9">
        <v>107</v>
      </c>
      <c r="AJ231" s="9">
        <v>104</v>
      </c>
      <c r="AK231" s="9">
        <v>100</v>
      </c>
      <c r="AL231" s="9">
        <v>105</v>
      </c>
      <c r="AM231" s="9">
        <v>104</v>
      </c>
      <c r="AN231" s="9">
        <v>102</v>
      </c>
      <c r="AO231" s="9">
        <v>99</v>
      </c>
      <c r="AP231" s="9">
        <v>92</v>
      </c>
      <c r="AQ231" s="9">
        <v>92</v>
      </c>
      <c r="AR231" s="9">
        <v>0</v>
      </c>
      <c r="AS231" s="9">
        <v>93</v>
      </c>
      <c r="AT231" s="9">
        <v>89</v>
      </c>
      <c r="AU231" s="9">
        <v>95</v>
      </c>
      <c r="AV231" s="9">
        <v>88</v>
      </c>
      <c r="AW231" s="9">
        <v>84</v>
      </c>
      <c r="AX231" s="9">
        <v>85</v>
      </c>
      <c r="AY231" s="9">
        <v>80</v>
      </c>
      <c r="AZ231" s="9">
        <v>78</v>
      </c>
      <c r="BA231" s="9">
        <v>79</v>
      </c>
      <c r="BB231" s="9">
        <v>74</v>
      </c>
      <c r="BC231" s="9">
        <v>69</v>
      </c>
      <c r="BD231" s="9">
        <v>65</v>
      </c>
      <c r="BE231" s="9">
        <v>66</v>
      </c>
      <c r="BF231" s="9">
        <v>59</v>
      </c>
      <c r="BG231" s="9">
        <v>61</v>
      </c>
      <c r="BH231" s="9">
        <v>57</v>
      </c>
      <c r="BI231" s="9">
        <v>64</v>
      </c>
      <c r="BJ231" s="9">
        <v>55</v>
      </c>
      <c r="BK231" s="9">
        <v>54</v>
      </c>
      <c r="BL231" s="9">
        <v>55</v>
      </c>
      <c r="BM231" s="9">
        <v>55</v>
      </c>
      <c r="BN231" s="9">
        <v>56</v>
      </c>
      <c r="BO231" s="9">
        <v>58</v>
      </c>
      <c r="BP231" s="9">
        <v>53</v>
      </c>
      <c r="BQ231" s="9">
        <v>47</v>
      </c>
      <c r="BR231" s="9">
        <v>44</v>
      </c>
      <c r="BS231" s="9">
        <v>55</v>
      </c>
      <c r="BT231" s="9">
        <v>49</v>
      </c>
      <c r="BU231" s="9">
        <v>47</v>
      </c>
      <c r="BV231" s="9">
        <v>47</v>
      </c>
      <c r="BW231" s="9">
        <v>46</v>
      </c>
      <c r="BX231" s="9">
        <v>46</v>
      </c>
      <c r="BY231" s="9">
        <v>47</v>
      </c>
      <c r="BZ231" s="9">
        <v>47</v>
      </c>
      <c r="CA231" s="9">
        <v>47</v>
      </c>
      <c r="CB231" s="9">
        <v>46</v>
      </c>
      <c r="CC231" s="9">
        <v>45</v>
      </c>
      <c r="CD231" s="9">
        <v>45</v>
      </c>
      <c r="CE231" s="9">
        <v>39</v>
      </c>
      <c r="CF231" s="9">
        <v>37</v>
      </c>
      <c r="CG231" s="9">
        <v>36</v>
      </c>
      <c r="CH231" s="9">
        <v>36</v>
      </c>
      <c r="CI231" s="9">
        <v>35</v>
      </c>
      <c r="CJ231" s="9">
        <v>33</v>
      </c>
      <c r="CK231" s="9">
        <v>29</v>
      </c>
      <c r="CL231" s="9">
        <v>34</v>
      </c>
      <c r="CM231" s="9">
        <v>33</v>
      </c>
      <c r="CN231" s="9">
        <v>32</v>
      </c>
      <c r="CO231" s="9">
        <v>29</v>
      </c>
      <c r="CP231" s="9">
        <v>29</v>
      </c>
      <c r="CQ231" s="9">
        <v>31</v>
      </c>
      <c r="CR231" s="9">
        <v>53</v>
      </c>
      <c r="CS231" s="9">
        <v>54</v>
      </c>
      <c r="CT231" s="9">
        <v>50</v>
      </c>
      <c r="CU231" s="9">
        <v>48</v>
      </c>
      <c r="CV231" s="9">
        <v>42</v>
      </c>
      <c r="CW231" s="9">
        <v>42</v>
      </c>
      <c r="CX231" s="9">
        <v>40</v>
      </c>
      <c r="CY231" s="9">
        <v>36</v>
      </c>
      <c r="CZ231" s="9">
        <v>36</v>
      </c>
      <c r="DA231" s="9">
        <v>38</v>
      </c>
      <c r="DB231" s="9">
        <v>34</v>
      </c>
      <c r="DC231" s="9">
        <v>32</v>
      </c>
      <c r="DD231" s="9">
        <v>32</v>
      </c>
      <c r="DE231" s="9">
        <v>32</v>
      </c>
      <c r="DF231" s="9">
        <v>34</v>
      </c>
      <c r="DG231" s="9">
        <v>32</v>
      </c>
      <c r="DH231" s="9">
        <v>32</v>
      </c>
      <c r="DI231" s="9">
        <v>32</v>
      </c>
      <c r="DJ231" s="9">
        <v>32</v>
      </c>
      <c r="DK231" s="9">
        <v>28</v>
      </c>
      <c r="DL231" s="9">
        <v>24</v>
      </c>
      <c r="DM231" s="9">
        <v>26</v>
      </c>
      <c r="DN231" s="9">
        <v>28</v>
      </c>
      <c r="DO231" s="9">
        <v>28</v>
      </c>
      <c r="DP231" s="9">
        <v>28</v>
      </c>
      <c r="DQ231" s="9">
        <v>24</v>
      </c>
      <c r="DR231" s="9">
        <v>26</v>
      </c>
      <c r="DS231" s="9">
        <v>26</v>
      </c>
      <c r="DT231" s="9">
        <v>24</v>
      </c>
      <c r="DU231" s="9">
        <v>22</v>
      </c>
      <c r="DV231" s="9">
        <v>20</v>
      </c>
      <c r="DW231" s="9">
        <v>20</v>
      </c>
      <c r="DX231" s="9">
        <v>10</v>
      </c>
      <c r="DY231" s="9">
        <v>9</v>
      </c>
      <c r="DZ231" s="9">
        <v>8</v>
      </c>
      <c r="EA231" s="9">
        <v>8</v>
      </c>
      <c r="EB231" s="9">
        <v>8</v>
      </c>
      <c r="EC231" s="9">
        <v>8</v>
      </c>
      <c r="ED231" s="9">
        <v>0</v>
      </c>
      <c r="EE231" s="9">
        <v>7</v>
      </c>
      <c r="EF231" s="9">
        <v>7</v>
      </c>
      <c r="EG231" s="9">
        <v>9</v>
      </c>
      <c r="EH231" s="9">
        <v>7</v>
      </c>
      <c r="EI231" s="9">
        <v>7</v>
      </c>
      <c r="EJ231" s="9">
        <v>5</v>
      </c>
      <c r="EK231" s="9">
        <v>0</v>
      </c>
      <c r="EL231" s="9">
        <v>0</v>
      </c>
      <c r="EM231" s="9">
        <v>6</v>
      </c>
      <c r="EN231" s="9">
        <v>7</v>
      </c>
      <c r="EO231" s="9">
        <v>7</v>
      </c>
      <c r="EP231" s="9">
        <v>6</v>
      </c>
      <c r="EQ231" s="9">
        <v>6</v>
      </c>
      <c r="ER231" s="9">
        <v>9</v>
      </c>
      <c r="ES231" s="9">
        <v>9</v>
      </c>
      <c r="ET231" s="9">
        <v>9</v>
      </c>
      <c r="EU231" s="9">
        <v>8</v>
      </c>
      <c r="EV231" s="9">
        <v>9</v>
      </c>
      <c r="EW231" s="9">
        <v>8</v>
      </c>
      <c r="EX231" s="9">
        <v>8</v>
      </c>
      <c r="EY231" s="9">
        <v>7</v>
      </c>
      <c r="EZ231" s="9">
        <v>7</v>
      </c>
      <c r="FA231" s="9">
        <v>6</v>
      </c>
      <c r="FB231" s="9">
        <v>5</v>
      </c>
      <c r="FC231" s="9">
        <v>5</v>
      </c>
      <c r="FD231" s="9">
        <v>4</v>
      </c>
      <c r="FE231" s="9">
        <v>4</v>
      </c>
      <c r="FF231" s="9">
        <v>0</v>
      </c>
      <c r="FG231" s="9">
        <v>3</v>
      </c>
      <c r="FH231" s="9">
        <v>2</v>
      </c>
      <c r="FI231" s="9">
        <v>3</v>
      </c>
      <c r="FJ231" s="9">
        <v>12</v>
      </c>
      <c r="FK231" s="9">
        <v>1</v>
      </c>
      <c r="FL231" s="9">
        <v>1</v>
      </c>
      <c r="FM231" s="10">
        <v>1</v>
      </c>
    </row>
    <row r="232" spans="1:169" x14ac:dyDescent="0.35">
      <c r="A232" s="8" t="s">
        <v>342</v>
      </c>
      <c r="B232" s="9" t="s">
        <v>399</v>
      </c>
      <c r="C232" s="10" t="s">
        <v>400</v>
      </c>
      <c r="D232" s="62">
        <f t="shared" si="100"/>
        <v>25</v>
      </c>
      <c r="E232" s="9">
        <v>0</v>
      </c>
      <c r="F232" s="9">
        <v>0</v>
      </c>
      <c r="G232" s="9">
        <v>0</v>
      </c>
      <c r="H232" s="9">
        <v>0</v>
      </c>
      <c r="I232" s="9">
        <v>0</v>
      </c>
      <c r="J232" s="9">
        <v>0</v>
      </c>
      <c r="K232" s="9">
        <v>0</v>
      </c>
      <c r="L232" s="9">
        <v>0</v>
      </c>
      <c r="M232" s="9">
        <v>0</v>
      </c>
      <c r="N232" s="9">
        <v>0</v>
      </c>
      <c r="O232" s="9">
        <v>0</v>
      </c>
      <c r="P232" s="9">
        <v>0</v>
      </c>
      <c r="Q232" s="9">
        <v>1</v>
      </c>
      <c r="R232" s="9">
        <v>2</v>
      </c>
      <c r="S232" s="9">
        <v>2</v>
      </c>
      <c r="T232" s="9">
        <v>4</v>
      </c>
      <c r="U232" s="9">
        <v>6</v>
      </c>
      <c r="V232" s="9">
        <v>6</v>
      </c>
      <c r="W232" s="9">
        <v>6</v>
      </c>
      <c r="X232" s="9">
        <v>9</v>
      </c>
      <c r="Y232" s="9">
        <v>9</v>
      </c>
      <c r="Z232" s="9">
        <v>13</v>
      </c>
      <c r="AA232" s="9">
        <v>10</v>
      </c>
      <c r="AB232" s="9">
        <v>11</v>
      </c>
      <c r="AC232" s="9">
        <v>8</v>
      </c>
      <c r="AD232" s="9">
        <v>6</v>
      </c>
      <c r="AE232" s="9">
        <v>10</v>
      </c>
      <c r="AF232" s="9">
        <v>11</v>
      </c>
      <c r="AG232" s="9">
        <v>13</v>
      </c>
      <c r="AH232" s="9">
        <v>14</v>
      </c>
      <c r="AI232" s="9">
        <v>16</v>
      </c>
      <c r="AJ232" s="9">
        <v>13</v>
      </c>
      <c r="AK232" s="9">
        <v>13</v>
      </c>
      <c r="AL232" s="9">
        <v>10</v>
      </c>
      <c r="AM232" s="9">
        <v>11</v>
      </c>
      <c r="AN232" s="9">
        <v>15</v>
      </c>
      <c r="AO232" s="9">
        <v>17</v>
      </c>
      <c r="AP232" s="9">
        <v>18</v>
      </c>
      <c r="AQ232" s="9">
        <v>21</v>
      </c>
      <c r="AR232" s="9">
        <v>21</v>
      </c>
      <c r="AS232" s="9">
        <v>22</v>
      </c>
      <c r="AT232" s="9">
        <v>23</v>
      </c>
      <c r="AU232" s="9">
        <v>22</v>
      </c>
      <c r="AV232" s="9">
        <v>25</v>
      </c>
      <c r="AW232" s="9">
        <v>24</v>
      </c>
      <c r="AX232" s="9">
        <v>20</v>
      </c>
      <c r="AY232" s="9">
        <v>20</v>
      </c>
      <c r="AZ232" s="9">
        <v>15</v>
      </c>
      <c r="BA232" s="9">
        <v>14</v>
      </c>
      <c r="BB232" s="9">
        <v>14</v>
      </c>
      <c r="BC232" s="9">
        <v>14</v>
      </c>
      <c r="BD232" s="9">
        <v>11</v>
      </c>
      <c r="BE232" s="9">
        <v>12</v>
      </c>
      <c r="BF232" s="9">
        <v>11</v>
      </c>
      <c r="BG232" s="9">
        <v>10</v>
      </c>
      <c r="BH232" s="9">
        <v>11</v>
      </c>
      <c r="BI232" s="9">
        <v>10</v>
      </c>
      <c r="BJ232" s="9">
        <v>9</v>
      </c>
      <c r="BK232" s="9">
        <v>9</v>
      </c>
      <c r="BL232" s="9">
        <v>7</v>
      </c>
      <c r="BM232" s="9">
        <v>5</v>
      </c>
      <c r="BN232" s="9">
        <v>5</v>
      </c>
      <c r="BO232" s="9">
        <v>6</v>
      </c>
      <c r="BP232" s="9">
        <v>5</v>
      </c>
      <c r="BQ232" s="9">
        <v>4</v>
      </c>
      <c r="BR232" s="9">
        <v>5</v>
      </c>
      <c r="BS232" s="9">
        <v>5</v>
      </c>
      <c r="BT232" s="9">
        <v>5</v>
      </c>
      <c r="BU232" s="9">
        <v>1</v>
      </c>
      <c r="BV232" s="9">
        <v>1</v>
      </c>
      <c r="BW232" s="9">
        <v>1</v>
      </c>
      <c r="BX232" s="9">
        <v>1</v>
      </c>
      <c r="BY232" s="9">
        <v>1</v>
      </c>
      <c r="BZ232" s="9">
        <v>0</v>
      </c>
      <c r="CA232" s="9">
        <v>1</v>
      </c>
      <c r="CB232" s="9">
        <v>1</v>
      </c>
      <c r="CC232" s="9">
        <v>1</v>
      </c>
      <c r="CD232" s="9">
        <v>1</v>
      </c>
      <c r="CE232" s="9">
        <v>1</v>
      </c>
      <c r="CF232" s="9">
        <v>1</v>
      </c>
      <c r="CG232" s="9">
        <v>1</v>
      </c>
      <c r="CH232" s="9">
        <v>1</v>
      </c>
      <c r="CI232" s="9">
        <v>1</v>
      </c>
      <c r="CJ232" s="9">
        <v>1</v>
      </c>
      <c r="CK232" s="9">
        <v>1</v>
      </c>
      <c r="CL232" s="9">
        <v>1</v>
      </c>
      <c r="CM232" s="9">
        <v>0</v>
      </c>
      <c r="CN232" s="9">
        <v>1</v>
      </c>
      <c r="CO232" s="9">
        <v>1</v>
      </c>
      <c r="CP232" s="9">
        <v>1</v>
      </c>
      <c r="CQ232" s="9">
        <v>1</v>
      </c>
      <c r="CR232" s="9">
        <v>1</v>
      </c>
      <c r="CS232" s="9">
        <v>1</v>
      </c>
      <c r="CT232" s="9">
        <v>1</v>
      </c>
      <c r="CU232" s="9">
        <v>1</v>
      </c>
      <c r="CV232" s="9">
        <v>1</v>
      </c>
      <c r="CW232" s="9">
        <v>1</v>
      </c>
      <c r="CX232" s="9">
        <v>0</v>
      </c>
      <c r="CY232" s="9">
        <v>0</v>
      </c>
      <c r="CZ232" s="9">
        <v>1</v>
      </c>
      <c r="DA232" s="9">
        <v>1</v>
      </c>
      <c r="DB232" s="9">
        <v>1</v>
      </c>
      <c r="DC232" s="9">
        <v>1</v>
      </c>
      <c r="DD232" s="9">
        <v>1</v>
      </c>
      <c r="DE232" s="9">
        <v>1</v>
      </c>
      <c r="DF232" s="9">
        <v>1</v>
      </c>
      <c r="DG232" s="9">
        <v>2</v>
      </c>
      <c r="DH232" s="9">
        <v>2</v>
      </c>
      <c r="DI232" s="9">
        <v>2</v>
      </c>
      <c r="DJ232" s="9">
        <v>1</v>
      </c>
      <c r="DK232" s="9">
        <v>1</v>
      </c>
      <c r="DL232" s="9">
        <v>1</v>
      </c>
      <c r="DM232" s="9">
        <v>1</v>
      </c>
      <c r="DN232" s="9">
        <v>1</v>
      </c>
      <c r="DO232" s="9">
        <v>1</v>
      </c>
      <c r="DP232" s="9">
        <v>1</v>
      </c>
      <c r="DQ232" s="9">
        <v>1</v>
      </c>
      <c r="DR232" s="9">
        <v>1</v>
      </c>
      <c r="DS232" s="9">
        <v>0</v>
      </c>
      <c r="DT232" s="9">
        <v>0</v>
      </c>
      <c r="DU232" s="9">
        <v>0</v>
      </c>
      <c r="DV232" s="9">
        <v>0</v>
      </c>
      <c r="DW232" s="9">
        <v>0</v>
      </c>
      <c r="DX232" s="9">
        <v>0</v>
      </c>
      <c r="DY232" s="9">
        <v>0</v>
      </c>
      <c r="DZ232" s="9">
        <v>0</v>
      </c>
      <c r="EA232" s="9">
        <v>0</v>
      </c>
      <c r="EB232" s="9">
        <v>0</v>
      </c>
      <c r="EC232" s="9">
        <v>0</v>
      </c>
      <c r="ED232" s="9">
        <v>0</v>
      </c>
      <c r="EE232" s="9">
        <v>0</v>
      </c>
      <c r="EF232" s="9">
        <v>0</v>
      </c>
      <c r="EG232" s="9">
        <v>0</v>
      </c>
      <c r="EH232" s="9">
        <v>0</v>
      </c>
      <c r="EI232" s="9">
        <v>0</v>
      </c>
      <c r="EJ232" s="9">
        <v>0</v>
      </c>
      <c r="EK232" s="9">
        <v>1</v>
      </c>
      <c r="EL232" s="9">
        <v>1</v>
      </c>
      <c r="EM232" s="9">
        <v>1</v>
      </c>
      <c r="EN232" s="9">
        <v>1</v>
      </c>
      <c r="EO232" s="9">
        <v>1</v>
      </c>
      <c r="EP232" s="9">
        <v>1</v>
      </c>
      <c r="EQ232" s="9">
        <v>1</v>
      </c>
      <c r="ER232" s="9">
        <v>1</v>
      </c>
      <c r="ES232" s="9">
        <v>1</v>
      </c>
      <c r="ET232" s="9">
        <v>0</v>
      </c>
      <c r="EU232" s="9">
        <v>1</v>
      </c>
      <c r="EV232" s="9">
        <v>0</v>
      </c>
      <c r="EW232" s="9">
        <v>0</v>
      </c>
      <c r="EX232" s="9">
        <v>0</v>
      </c>
      <c r="EY232" s="9">
        <v>0</v>
      </c>
      <c r="EZ232" s="9">
        <v>0</v>
      </c>
      <c r="FA232" s="9">
        <v>0</v>
      </c>
      <c r="FB232" s="9">
        <v>0</v>
      </c>
      <c r="FC232" s="9">
        <v>0</v>
      </c>
      <c r="FD232" s="9">
        <v>0</v>
      </c>
      <c r="FE232" s="9">
        <v>0</v>
      </c>
      <c r="FF232" s="9">
        <v>0</v>
      </c>
      <c r="FG232" s="9">
        <v>0</v>
      </c>
      <c r="FH232" s="9">
        <v>0</v>
      </c>
      <c r="FI232" s="9">
        <v>0</v>
      </c>
      <c r="FJ232" s="9">
        <v>0</v>
      </c>
      <c r="FK232" s="9">
        <v>0</v>
      </c>
      <c r="FL232" s="9">
        <v>0</v>
      </c>
      <c r="FM232" s="10">
        <v>1</v>
      </c>
    </row>
    <row r="233" spans="1:169" x14ac:dyDescent="0.35">
      <c r="A233" s="8" t="s">
        <v>342</v>
      </c>
      <c r="B233" s="9" t="s">
        <v>401</v>
      </c>
      <c r="C233" s="10" t="s">
        <v>402</v>
      </c>
      <c r="D233" s="62">
        <f t="shared" si="100"/>
        <v>146</v>
      </c>
      <c r="E233" s="9">
        <v>1</v>
      </c>
      <c r="F233" s="9">
        <v>4</v>
      </c>
      <c r="G233" s="9">
        <v>6</v>
      </c>
      <c r="H233" s="9">
        <v>5</v>
      </c>
      <c r="I233" s="9">
        <v>5</v>
      </c>
      <c r="J233" s="9">
        <v>9</v>
      </c>
      <c r="K233" s="9">
        <v>12</v>
      </c>
      <c r="L233" s="9">
        <v>15</v>
      </c>
      <c r="M233" s="9">
        <v>15</v>
      </c>
      <c r="N233" s="9">
        <v>26</v>
      </c>
      <c r="O233" s="9">
        <v>31</v>
      </c>
      <c r="P233" s="9">
        <v>34</v>
      </c>
      <c r="Q233" s="9">
        <v>51</v>
      </c>
      <c r="R233" s="9">
        <v>53</v>
      </c>
      <c r="S233" s="9">
        <v>61</v>
      </c>
      <c r="T233" s="9">
        <v>73</v>
      </c>
      <c r="U233" s="9">
        <v>83</v>
      </c>
      <c r="V233" s="9">
        <v>101</v>
      </c>
      <c r="W233" s="9">
        <v>108</v>
      </c>
      <c r="X233" s="9">
        <v>107</v>
      </c>
      <c r="Y233" s="9">
        <v>110</v>
      </c>
      <c r="Z233" s="9">
        <v>115</v>
      </c>
      <c r="AA233" s="9">
        <v>115</v>
      </c>
      <c r="AB233" s="9">
        <v>117</v>
      </c>
      <c r="AC233" s="9">
        <v>114</v>
      </c>
      <c r="AD233" s="9">
        <v>111</v>
      </c>
      <c r="AE233" s="9">
        <v>110</v>
      </c>
      <c r="AF233" s="9">
        <v>108</v>
      </c>
      <c r="AG233" s="9">
        <v>105</v>
      </c>
      <c r="AH233" s="9">
        <v>105</v>
      </c>
      <c r="AI233" s="9">
        <v>114</v>
      </c>
      <c r="AJ233" s="9">
        <v>121</v>
      </c>
      <c r="AK233" s="9">
        <v>120</v>
      </c>
      <c r="AL233" s="9">
        <v>123</v>
      </c>
      <c r="AM233" s="9">
        <v>125</v>
      </c>
      <c r="AN233" s="9">
        <v>125</v>
      </c>
      <c r="AO233" s="9">
        <v>117</v>
      </c>
      <c r="AP233" s="9">
        <v>126</v>
      </c>
      <c r="AQ233" s="9">
        <v>137</v>
      </c>
      <c r="AR233" s="9">
        <v>140</v>
      </c>
      <c r="AS233" s="9">
        <v>145</v>
      </c>
      <c r="AT233" s="9">
        <v>143</v>
      </c>
      <c r="AU233" s="9">
        <v>143</v>
      </c>
      <c r="AV233" s="9">
        <v>131</v>
      </c>
      <c r="AW233" s="9">
        <v>122</v>
      </c>
      <c r="AX233" s="9">
        <v>135</v>
      </c>
      <c r="AY233" s="9">
        <v>138</v>
      </c>
      <c r="AZ233" s="9">
        <v>133</v>
      </c>
      <c r="BA233" s="9">
        <v>124</v>
      </c>
      <c r="BB233" s="9">
        <v>120</v>
      </c>
      <c r="BC233" s="9">
        <v>121</v>
      </c>
      <c r="BD233" s="9">
        <v>125</v>
      </c>
      <c r="BE233" s="9">
        <v>129</v>
      </c>
      <c r="BF233" s="9">
        <v>115</v>
      </c>
      <c r="BG233" s="9">
        <v>115</v>
      </c>
      <c r="BH233" s="9">
        <v>103</v>
      </c>
      <c r="BI233" s="9">
        <v>106</v>
      </c>
      <c r="BJ233" s="9">
        <v>107</v>
      </c>
      <c r="BK233" s="9">
        <v>114</v>
      </c>
      <c r="BL233" s="9">
        <v>113</v>
      </c>
      <c r="BM233" s="9">
        <v>114</v>
      </c>
      <c r="BN233" s="9">
        <v>113</v>
      </c>
      <c r="BO233" s="9">
        <v>112</v>
      </c>
      <c r="BP233" s="9">
        <v>115</v>
      </c>
      <c r="BQ233" s="9">
        <v>133</v>
      </c>
      <c r="BR233" s="9">
        <v>133</v>
      </c>
      <c r="BS233" s="9">
        <v>146</v>
      </c>
      <c r="BT233" s="9">
        <v>146</v>
      </c>
      <c r="BU233" s="9">
        <v>144</v>
      </c>
      <c r="BV233" s="9">
        <v>144</v>
      </c>
      <c r="BW233" s="9">
        <v>143</v>
      </c>
      <c r="BX233" s="9">
        <v>139</v>
      </c>
      <c r="BY233" s="9">
        <v>139</v>
      </c>
      <c r="BZ233" s="9">
        <v>138</v>
      </c>
      <c r="CA233" s="9">
        <v>131</v>
      </c>
      <c r="CB233" s="9">
        <v>131</v>
      </c>
      <c r="CC233" s="9">
        <v>128</v>
      </c>
      <c r="CD233" s="9">
        <v>128</v>
      </c>
      <c r="CE233" s="9">
        <v>59</v>
      </c>
      <c r="CF233" s="9">
        <v>53</v>
      </c>
      <c r="CG233" s="9">
        <v>54</v>
      </c>
      <c r="CH233" s="9">
        <v>51</v>
      </c>
      <c r="CI233" s="9">
        <v>52</v>
      </c>
      <c r="CJ233" s="9">
        <v>48</v>
      </c>
      <c r="CK233" s="9">
        <v>43</v>
      </c>
      <c r="CL233" s="9">
        <v>41</v>
      </c>
      <c r="CM233" s="9">
        <v>32</v>
      </c>
      <c r="CN233" s="9">
        <v>36</v>
      </c>
      <c r="CO233" s="9">
        <v>28</v>
      </c>
      <c r="CP233" s="9">
        <v>27</v>
      </c>
      <c r="CQ233" s="9">
        <v>21</v>
      </c>
      <c r="CR233" s="9">
        <v>19</v>
      </c>
      <c r="CS233" s="9">
        <v>16</v>
      </c>
      <c r="CT233" s="9">
        <v>13</v>
      </c>
      <c r="CU233" s="9">
        <v>10</v>
      </c>
      <c r="CV233" s="9">
        <v>8</v>
      </c>
      <c r="CW233" s="9">
        <v>7</v>
      </c>
      <c r="CX233" s="9">
        <v>7</v>
      </c>
      <c r="CY233" s="9">
        <v>5</v>
      </c>
      <c r="CZ233" s="9">
        <v>3</v>
      </c>
      <c r="DA233" s="9">
        <v>2</v>
      </c>
      <c r="DB233" s="9">
        <v>4</v>
      </c>
      <c r="DC233" s="9">
        <v>3</v>
      </c>
      <c r="DD233" s="9">
        <v>3</v>
      </c>
      <c r="DE233" s="9">
        <v>3</v>
      </c>
      <c r="DF233" s="9">
        <v>2</v>
      </c>
      <c r="DG233" s="9">
        <v>2</v>
      </c>
      <c r="DH233" s="9">
        <v>4</v>
      </c>
      <c r="DI233" s="9">
        <v>5</v>
      </c>
      <c r="DJ233" s="9">
        <v>7</v>
      </c>
      <c r="DK233" s="9">
        <v>7</v>
      </c>
      <c r="DL233" s="9">
        <v>6</v>
      </c>
      <c r="DM233" s="9">
        <v>6</v>
      </c>
      <c r="DN233" s="9">
        <v>6</v>
      </c>
      <c r="DO233" s="9">
        <v>6</v>
      </c>
      <c r="DP233" s="9">
        <v>6</v>
      </c>
      <c r="DQ233" s="9">
        <v>5</v>
      </c>
      <c r="DR233" s="9">
        <v>9</v>
      </c>
      <c r="DS233" s="9">
        <v>11</v>
      </c>
      <c r="DT233" s="9">
        <v>11</v>
      </c>
      <c r="DU233" s="9">
        <v>11</v>
      </c>
      <c r="DV233" s="9">
        <v>11</v>
      </c>
      <c r="DW233" s="9">
        <v>8</v>
      </c>
      <c r="DX233" s="9">
        <v>9</v>
      </c>
      <c r="DY233" s="9">
        <v>10</v>
      </c>
      <c r="DZ233" s="9">
        <v>11</v>
      </c>
      <c r="EA233" s="9">
        <v>9</v>
      </c>
      <c r="EB233" s="9">
        <v>10</v>
      </c>
      <c r="EC233" s="9">
        <v>9</v>
      </c>
      <c r="ED233" s="9">
        <v>10</v>
      </c>
      <c r="EE233" s="9">
        <v>7</v>
      </c>
      <c r="EF233" s="9">
        <v>8</v>
      </c>
      <c r="EG233" s="9">
        <v>8</v>
      </c>
      <c r="EH233" s="9">
        <v>8</v>
      </c>
      <c r="EI233" s="9">
        <v>9</v>
      </c>
      <c r="EJ233" s="9">
        <v>8</v>
      </c>
      <c r="EK233" s="9">
        <v>9</v>
      </c>
      <c r="EL233" s="9">
        <v>8</v>
      </c>
      <c r="EM233" s="9">
        <v>10</v>
      </c>
      <c r="EN233" s="9">
        <v>7</v>
      </c>
      <c r="EO233" s="9">
        <v>7</v>
      </c>
      <c r="EP233" s="9">
        <v>6</v>
      </c>
      <c r="EQ233" s="9">
        <v>6</v>
      </c>
      <c r="ER233" s="9">
        <v>4</v>
      </c>
      <c r="ES233" s="9">
        <v>4</v>
      </c>
      <c r="ET233" s="9">
        <v>3</v>
      </c>
      <c r="EU233" s="9">
        <v>3</v>
      </c>
      <c r="EV233" s="9">
        <v>1</v>
      </c>
      <c r="EW233" s="9">
        <v>1</v>
      </c>
      <c r="EX233" s="9">
        <v>1</v>
      </c>
      <c r="EY233" s="9">
        <v>1</v>
      </c>
      <c r="EZ233" s="9">
        <v>1</v>
      </c>
      <c r="FA233" s="9">
        <v>0</v>
      </c>
      <c r="FB233" s="9">
        <v>0</v>
      </c>
      <c r="FC233" s="9">
        <v>1</v>
      </c>
      <c r="FD233" s="9">
        <v>0</v>
      </c>
      <c r="FE233" s="9">
        <v>1</v>
      </c>
      <c r="FF233" s="9">
        <v>1</v>
      </c>
      <c r="FG233" s="9">
        <v>1</v>
      </c>
      <c r="FH233" s="9">
        <v>1</v>
      </c>
      <c r="FI233" s="9">
        <v>1</v>
      </c>
      <c r="FJ233" s="9">
        <v>1</v>
      </c>
      <c r="FK233" s="9">
        <v>2</v>
      </c>
      <c r="FL233" s="9">
        <v>2</v>
      </c>
      <c r="FM233" s="10">
        <v>3</v>
      </c>
    </row>
    <row r="234" spans="1:169" x14ac:dyDescent="0.35">
      <c r="A234" s="8" t="s">
        <v>342</v>
      </c>
      <c r="B234" s="9" t="s">
        <v>403</v>
      </c>
      <c r="C234" s="10" t="s">
        <v>404</v>
      </c>
      <c r="D234" s="62">
        <f t="shared" si="100"/>
        <v>142</v>
      </c>
      <c r="E234" s="9">
        <v>4</v>
      </c>
      <c r="F234" s="9">
        <v>7</v>
      </c>
      <c r="G234" s="9">
        <v>8</v>
      </c>
      <c r="H234" s="9">
        <v>10</v>
      </c>
      <c r="I234" s="9">
        <v>9</v>
      </c>
      <c r="J234" s="9">
        <v>11</v>
      </c>
      <c r="K234" s="9">
        <v>15</v>
      </c>
      <c r="L234" s="9">
        <v>18</v>
      </c>
      <c r="M234" s="9">
        <v>31</v>
      </c>
      <c r="N234" s="9">
        <v>37</v>
      </c>
      <c r="O234" s="9">
        <v>40</v>
      </c>
      <c r="P234" s="9">
        <v>45</v>
      </c>
      <c r="Q234" s="9">
        <v>63</v>
      </c>
      <c r="R234" s="9">
        <v>70</v>
      </c>
      <c r="S234" s="9">
        <v>84</v>
      </c>
      <c r="T234" s="9">
        <v>93</v>
      </c>
      <c r="U234" s="9">
        <v>103</v>
      </c>
      <c r="V234" s="9">
        <v>112</v>
      </c>
      <c r="W234" s="9">
        <v>110</v>
      </c>
      <c r="X234" s="9">
        <v>114</v>
      </c>
      <c r="Y234" s="9">
        <v>121</v>
      </c>
      <c r="Z234" s="9">
        <v>124</v>
      </c>
      <c r="AA234" s="9">
        <v>121</v>
      </c>
      <c r="AB234" s="9">
        <v>132</v>
      </c>
      <c r="AC234" s="9">
        <v>136</v>
      </c>
      <c r="AD234" s="9">
        <v>138</v>
      </c>
      <c r="AE234" s="9">
        <v>142</v>
      </c>
      <c r="AF234" s="9">
        <v>134</v>
      </c>
      <c r="AG234" s="9">
        <v>137</v>
      </c>
      <c r="AH234" s="9">
        <v>136</v>
      </c>
      <c r="AI234" s="9">
        <v>139</v>
      </c>
      <c r="AJ234" s="9">
        <v>133</v>
      </c>
      <c r="AK234" s="9">
        <v>125</v>
      </c>
      <c r="AL234" s="9">
        <v>125</v>
      </c>
      <c r="AM234" s="9">
        <v>120</v>
      </c>
      <c r="AN234" s="9">
        <v>112</v>
      </c>
      <c r="AO234" s="9">
        <v>106</v>
      </c>
      <c r="AP234" s="9">
        <v>110</v>
      </c>
      <c r="AQ234" s="9">
        <v>113</v>
      </c>
      <c r="AR234" s="9">
        <v>109</v>
      </c>
      <c r="AS234" s="9">
        <v>104</v>
      </c>
      <c r="AT234" s="9">
        <v>95</v>
      </c>
      <c r="AU234" s="9">
        <v>88</v>
      </c>
      <c r="AV234" s="9">
        <v>84</v>
      </c>
      <c r="AW234" s="9">
        <v>82</v>
      </c>
      <c r="AX234" s="9">
        <v>85</v>
      </c>
      <c r="AY234" s="9">
        <v>78</v>
      </c>
      <c r="AZ234" s="9">
        <v>71</v>
      </c>
      <c r="BA234" s="9">
        <v>68</v>
      </c>
      <c r="BB234" s="9">
        <v>63</v>
      </c>
      <c r="BC234" s="9">
        <v>61</v>
      </c>
      <c r="BD234" s="9">
        <v>61</v>
      </c>
      <c r="BE234" s="9">
        <v>56</v>
      </c>
      <c r="BF234" s="9">
        <v>51</v>
      </c>
      <c r="BG234" s="9">
        <v>53</v>
      </c>
      <c r="BH234" s="9">
        <v>46</v>
      </c>
      <c r="BI234" s="9">
        <v>47</v>
      </c>
      <c r="BJ234" s="9">
        <v>52</v>
      </c>
      <c r="BK234" s="9">
        <v>48</v>
      </c>
      <c r="BL234" s="9">
        <v>51</v>
      </c>
      <c r="BM234" s="9">
        <v>48</v>
      </c>
      <c r="BN234" s="9">
        <v>53</v>
      </c>
      <c r="BO234" s="9">
        <v>62</v>
      </c>
      <c r="BP234" s="9">
        <v>63</v>
      </c>
      <c r="BQ234" s="9">
        <v>61</v>
      </c>
      <c r="BR234" s="9">
        <v>62</v>
      </c>
      <c r="BS234" s="9">
        <v>63</v>
      </c>
      <c r="BT234" s="9">
        <v>60</v>
      </c>
      <c r="BU234" s="9">
        <v>63</v>
      </c>
      <c r="BV234" s="9">
        <v>54</v>
      </c>
      <c r="BW234" s="9">
        <v>50</v>
      </c>
      <c r="BX234" s="9">
        <v>53</v>
      </c>
      <c r="BY234" s="9">
        <v>50</v>
      </c>
      <c r="BZ234" s="9">
        <v>50</v>
      </c>
      <c r="CA234" s="9">
        <v>53</v>
      </c>
      <c r="CB234" s="9">
        <v>48</v>
      </c>
      <c r="CC234" s="9">
        <v>46</v>
      </c>
      <c r="CD234" s="9">
        <v>43</v>
      </c>
      <c r="CE234" s="9">
        <v>41</v>
      </c>
      <c r="CF234" s="9">
        <v>41</v>
      </c>
      <c r="CG234" s="9">
        <v>40</v>
      </c>
      <c r="CH234" s="9">
        <v>39</v>
      </c>
      <c r="CI234" s="9">
        <v>37</v>
      </c>
      <c r="CJ234" s="9">
        <v>35</v>
      </c>
      <c r="CK234" s="9">
        <v>32</v>
      </c>
      <c r="CL234" s="9">
        <v>34</v>
      </c>
      <c r="CM234" s="9">
        <v>36</v>
      </c>
      <c r="CN234" s="9">
        <v>30</v>
      </c>
      <c r="CO234" s="9">
        <v>31</v>
      </c>
      <c r="CP234" s="9">
        <v>30</v>
      </c>
      <c r="CQ234" s="9">
        <v>33</v>
      </c>
      <c r="CR234" s="9">
        <v>30</v>
      </c>
      <c r="CS234" s="9">
        <v>31</v>
      </c>
      <c r="CT234" s="9">
        <v>31</v>
      </c>
      <c r="CU234" s="9">
        <v>32</v>
      </c>
      <c r="CV234" s="9">
        <v>27</v>
      </c>
      <c r="CW234" s="9">
        <v>28</v>
      </c>
      <c r="CX234" s="9">
        <v>25</v>
      </c>
      <c r="CY234" s="9">
        <v>26</v>
      </c>
      <c r="CZ234" s="9">
        <v>25</v>
      </c>
      <c r="DA234" s="9">
        <v>29</v>
      </c>
      <c r="DB234" s="9">
        <v>27</v>
      </c>
      <c r="DC234" s="9">
        <v>25</v>
      </c>
      <c r="DD234" s="9">
        <v>20</v>
      </c>
      <c r="DE234" s="9">
        <v>22</v>
      </c>
      <c r="DF234" s="9">
        <v>21</v>
      </c>
      <c r="DG234" s="9">
        <v>19</v>
      </c>
      <c r="DH234" s="9">
        <v>15</v>
      </c>
      <c r="DI234" s="9">
        <v>14</v>
      </c>
      <c r="DJ234" s="9">
        <v>15</v>
      </c>
      <c r="DK234" s="9">
        <v>13</v>
      </c>
      <c r="DL234" s="9">
        <v>16</v>
      </c>
      <c r="DM234" s="9">
        <v>14</v>
      </c>
      <c r="DN234" s="9">
        <v>13</v>
      </c>
      <c r="DO234" s="9">
        <v>11</v>
      </c>
      <c r="DP234" s="9">
        <v>12</v>
      </c>
      <c r="DQ234" s="9">
        <v>10</v>
      </c>
      <c r="DR234" s="9">
        <v>10</v>
      </c>
      <c r="DS234" s="9">
        <v>8</v>
      </c>
      <c r="DT234" s="9">
        <v>10</v>
      </c>
      <c r="DU234" s="9">
        <v>8</v>
      </c>
      <c r="DV234" s="9">
        <v>9</v>
      </c>
      <c r="DW234" s="9">
        <v>8</v>
      </c>
      <c r="DX234" s="9">
        <v>7</v>
      </c>
      <c r="DY234" s="9">
        <v>7</v>
      </c>
      <c r="DZ234" s="9">
        <v>8</v>
      </c>
      <c r="EA234" s="9">
        <v>7</v>
      </c>
      <c r="EB234" s="9">
        <v>7</v>
      </c>
      <c r="EC234" s="9">
        <v>8</v>
      </c>
      <c r="ED234" s="9">
        <v>9</v>
      </c>
      <c r="EE234" s="9">
        <v>6</v>
      </c>
      <c r="EF234" s="9">
        <v>6</v>
      </c>
      <c r="EG234" s="9">
        <v>5</v>
      </c>
      <c r="EH234" s="9">
        <v>5</v>
      </c>
      <c r="EI234" s="9">
        <v>5</v>
      </c>
      <c r="EJ234" s="9">
        <v>5</v>
      </c>
      <c r="EK234" s="9">
        <v>5</v>
      </c>
      <c r="EL234" s="9">
        <v>3</v>
      </c>
      <c r="EM234" s="9">
        <v>3</v>
      </c>
      <c r="EN234" s="9">
        <v>3</v>
      </c>
      <c r="EO234" s="9">
        <v>3</v>
      </c>
      <c r="EP234" s="9">
        <v>3</v>
      </c>
      <c r="EQ234" s="9">
        <v>4</v>
      </c>
      <c r="ER234" s="9">
        <v>5</v>
      </c>
      <c r="ES234" s="9">
        <v>3</v>
      </c>
      <c r="ET234" s="9">
        <v>3</v>
      </c>
      <c r="EU234" s="9">
        <v>2</v>
      </c>
      <c r="EV234" s="9">
        <v>1</v>
      </c>
      <c r="EW234" s="9">
        <v>1</v>
      </c>
      <c r="EX234" s="9">
        <v>1</v>
      </c>
      <c r="EY234" s="9">
        <v>1</v>
      </c>
      <c r="EZ234" s="9">
        <v>0</v>
      </c>
      <c r="FA234" s="9">
        <v>0</v>
      </c>
      <c r="FB234" s="9">
        <v>0</v>
      </c>
      <c r="FC234" s="9">
        <v>1</v>
      </c>
      <c r="FD234" s="9">
        <v>1</v>
      </c>
      <c r="FE234" s="9">
        <v>1</v>
      </c>
      <c r="FF234" s="9">
        <v>2</v>
      </c>
      <c r="FG234" s="9">
        <v>1</v>
      </c>
      <c r="FH234" s="9">
        <v>0</v>
      </c>
      <c r="FI234" s="9">
        <v>1</v>
      </c>
      <c r="FJ234" s="9">
        <v>3</v>
      </c>
      <c r="FK234" s="9">
        <v>5</v>
      </c>
      <c r="FL234" s="9">
        <v>3</v>
      </c>
      <c r="FM234" s="10">
        <v>3</v>
      </c>
    </row>
    <row r="235" spans="1:169" x14ac:dyDescent="0.35">
      <c r="A235" s="8" t="s">
        <v>342</v>
      </c>
      <c r="B235" s="9" t="s">
        <v>405</v>
      </c>
      <c r="C235" s="10" t="s">
        <v>406</v>
      </c>
      <c r="D235" s="62">
        <f t="shared" si="100"/>
        <v>184</v>
      </c>
      <c r="E235" s="9">
        <v>1</v>
      </c>
      <c r="F235" s="9">
        <v>2</v>
      </c>
      <c r="G235" s="9">
        <v>2</v>
      </c>
      <c r="H235" s="9">
        <v>6</v>
      </c>
      <c r="I235" s="9">
        <v>6</v>
      </c>
      <c r="J235" s="9">
        <v>4</v>
      </c>
      <c r="K235" s="9">
        <v>6</v>
      </c>
      <c r="L235" s="9">
        <v>10</v>
      </c>
      <c r="M235" s="9">
        <v>10</v>
      </c>
      <c r="N235" s="9">
        <v>10</v>
      </c>
      <c r="O235" s="9">
        <v>31</v>
      </c>
      <c r="P235" s="9">
        <v>36</v>
      </c>
      <c r="Q235" s="9">
        <v>61</v>
      </c>
      <c r="R235" s="9">
        <v>68</v>
      </c>
      <c r="S235" s="9">
        <v>81</v>
      </c>
      <c r="T235" s="9">
        <v>184</v>
      </c>
      <c r="U235" s="9">
        <v>98</v>
      </c>
      <c r="V235" s="9">
        <v>109</v>
      </c>
      <c r="W235" s="9">
        <v>114</v>
      </c>
      <c r="X235" s="9">
        <v>113</v>
      </c>
      <c r="Y235" s="9">
        <v>117</v>
      </c>
      <c r="Z235" s="9">
        <v>130</v>
      </c>
      <c r="AA235" s="9">
        <v>131</v>
      </c>
      <c r="AB235" s="9">
        <v>122</v>
      </c>
      <c r="AC235" s="9">
        <v>107</v>
      </c>
      <c r="AD235" s="9">
        <v>107</v>
      </c>
      <c r="AE235" s="9">
        <v>116</v>
      </c>
      <c r="AF235" s="9">
        <v>114</v>
      </c>
      <c r="AG235" s="9">
        <v>104</v>
      </c>
      <c r="AH235" s="9">
        <v>108</v>
      </c>
      <c r="AI235" s="9">
        <v>105</v>
      </c>
      <c r="AJ235" s="9">
        <v>112</v>
      </c>
      <c r="AK235" s="9">
        <v>113</v>
      </c>
      <c r="AL235" s="9">
        <v>107</v>
      </c>
      <c r="AM235" s="9">
        <v>113</v>
      </c>
      <c r="AN235" s="9">
        <v>117</v>
      </c>
      <c r="AO235" s="9">
        <v>122</v>
      </c>
      <c r="AP235" s="9">
        <v>122</v>
      </c>
      <c r="AQ235" s="9">
        <v>129</v>
      </c>
      <c r="AR235" s="9">
        <v>128</v>
      </c>
      <c r="AS235" s="9">
        <v>123</v>
      </c>
      <c r="AT235" s="9">
        <v>119</v>
      </c>
      <c r="AU235" s="9">
        <v>113</v>
      </c>
      <c r="AV235" s="9">
        <v>112</v>
      </c>
      <c r="AW235" s="9">
        <v>116</v>
      </c>
      <c r="AX235" s="9">
        <v>109</v>
      </c>
      <c r="AY235" s="9">
        <v>108</v>
      </c>
      <c r="AZ235" s="9">
        <v>105</v>
      </c>
      <c r="BA235" s="9">
        <v>96</v>
      </c>
      <c r="BB235" s="9">
        <v>93</v>
      </c>
      <c r="BC235" s="9">
        <v>97</v>
      </c>
      <c r="BD235" s="9">
        <v>100</v>
      </c>
      <c r="BE235" s="9">
        <v>101</v>
      </c>
      <c r="BF235" s="9">
        <v>101</v>
      </c>
      <c r="BG235" s="9">
        <v>96</v>
      </c>
      <c r="BH235" s="9">
        <v>96</v>
      </c>
      <c r="BI235" s="9">
        <v>96</v>
      </c>
      <c r="BJ235" s="9">
        <v>97</v>
      </c>
      <c r="BK235" s="9">
        <v>97</v>
      </c>
      <c r="BL235" s="9">
        <v>91</v>
      </c>
      <c r="BM235" s="9">
        <v>88</v>
      </c>
      <c r="BN235" s="9">
        <v>79</v>
      </c>
      <c r="BO235" s="9">
        <v>76</v>
      </c>
      <c r="BP235" s="9">
        <v>78</v>
      </c>
      <c r="BQ235" s="9">
        <v>70</v>
      </c>
      <c r="BR235" s="9">
        <v>64</v>
      </c>
      <c r="BS235" s="9">
        <v>67</v>
      </c>
      <c r="BT235" s="9">
        <v>64</v>
      </c>
      <c r="BU235" s="9">
        <v>59</v>
      </c>
      <c r="BV235" s="9">
        <v>57</v>
      </c>
      <c r="BW235" s="9">
        <v>56</v>
      </c>
      <c r="BX235" s="9">
        <v>46</v>
      </c>
      <c r="BY235" s="9">
        <v>46</v>
      </c>
      <c r="BZ235" s="9">
        <v>44</v>
      </c>
      <c r="CA235" s="9">
        <v>41</v>
      </c>
      <c r="CB235" s="9">
        <v>41</v>
      </c>
      <c r="CC235" s="9">
        <v>39</v>
      </c>
      <c r="CD235" s="9">
        <v>38</v>
      </c>
      <c r="CE235" s="9">
        <v>37</v>
      </c>
      <c r="CF235" s="9">
        <v>34</v>
      </c>
      <c r="CG235" s="9">
        <v>32</v>
      </c>
      <c r="CH235" s="9">
        <v>34</v>
      </c>
      <c r="CI235" s="9">
        <v>31</v>
      </c>
      <c r="CJ235" s="9">
        <v>31</v>
      </c>
      <c r="CK235" s="9">
        <v>34</v>
      </c>
      <c r="CL235" s="9">
        <v>9</v>
      </c>
      <c r="CM235" s="9">
        <v>9</v>
      </c>
      <c r="CN235" s="9">
        <v>9</v>
      </c>
      <c r="CO235" s="9">
        <v>9</v>
      </c>
      <c r="CP235" s="9">
        <v>7</v>
      </c>
      <c r="CQ235" s="9">
        <v>17</v>
      </c>
      <c r="CR235" s="9">
        <v>15</v>
      </c>
      <c r="CS235" s="9">
        <v>14</v>
      </c>
      <c r="CT235" s="9">
        <v>17</v>
      </c>
      <c r="CU235" s="9">
        <v>16</v>
      </c>
      <c r="CV235" s="9">
        <v>15</v>
      </c>
      <c r="CW235" s="9">
        <v>13</v>
      </c>
      <c r="CX235" s="9">
        <v>12</v>
      </c>
      <c r="CY235" s="9">
        <v>11</v>
      </c>
      <c r="CZ235" s="9">
        <v>10</v>
      </c>
      <c r="DA235" s="9">
        <v>9</v>
      </c>
      <c r="DB235" s="9">
        <v>9</v>
      </c>
      <c r="DC235" s="9">
        <v>7</v>
      </c>
      <c r="DD235" s="9">
        <v>8</v>
      </c>
      <c r="DE235" s="9">
        <v>5</v>
      </c>
      <c r="DF235" s="9">
        <v>8</v>
      </c>
      <c r="DG235" s="9">
        <v>9</v>
      </c>
      <c r="DH235" s="9">
        <v>9</v>
      </c>
      <c r="DI235" s="9">
        <v>9</v>
      </c>
      <c r="DJ235" s="9">
        <v>8</v>
      </c>
      <c r="DK235" s="9">
        <v>8</v>
      </c>
      <c r="DL235" s="9">
        <v>9</v>
      </c>
      <c r="DM235" s="9">
        <v>9</v>
      </c>
      <c r="DN235" s="9">
        <v>8</v>
      </c>
      <c r="DO235" s="9">
        <v>7</v>
      </c>
      <c r="DP235" s="9">
        <v>8</v>
      </c>
      <c r="DQ235" s="9">
        <v>7</v>
      </c>
      <c r="DR235" s="9">
        <v>7</v>
      </c>
      <c r="DS235" s="9">
        <v>6</v>
      </c>
      <c r="DT235" s="9">
        <v>7</v>
      </c>
      <c r="DU235" s="9">
        <v>6</v>
      </c>
      <c r="DV235" s="9">
        <v>5</v>
      </c>
      <c r="DW235" s="9">
        <v>5</v>
      </c>
      <c r="DX235" s="9">
        <v>9</v>
      </c>
      <c r="DY235" s="9">
        <v>8</v>
      </c>
      <c r="DZ235" s="9">
        <v>9</v>
      </c>
      <c r="EA235" s="9">
        <v>9</v>
      </c>
      <c r="EB235" s="9">
        <v>8</v>
      </c>
      <c r="EC235" s="9">
        <v>10</v>
      </c>
      <c r="ED235" s="9">
        <v>12</v>
      </c>
      <c r="EE235" s="9">
        <v>11</v>
      </c>
      <c r="EF235" s="9">
        <v>11</v>
      </c>
      <c r="EG235" s="9">
        <v>9</v>
      </c>
      <c r="EH235" s="9">
        <v>9</v>
      </c>
      <c r="EI235" s="9">
        <v>8</v>
      </c>
      <c r="EJ235" s="9">
        <v>8</v>
      </c>
      <c r="EK235" s="9">
        <v>11</v>
      </c>
      <c r="EL235" s="9">
        <v>11</v>
      </c>
      <c r="EM235" s="9">
        <v>10</v>
      </c>
      <c r="EN235" s="9">
        <v>10</v>
      </c>
      <c r="EO235" s="9">
        <v>8</v>
      </c>
      <c r="EP235" s="9">
        <v>8</v>
      </c>
      <c r="EQ235" s="9">
        <v>8</v>
      </c>
      <c r="ER235" s="9">
        <v>8</v>
      </c>
      <c r="ES235" s="9">
        <v>9</v>
      </c>
      <c r="ET235" s="9">
        <v>7</v>
      </c>
      <c r="EU235" s="9">
        <v>7</v>
      </c>
      <c r="EV235" s="9">
        <v>7</v>
      </c>
      <c r="EW235" s="9">
        <v>10</v>
      </c>
      <c r="EX235" s="9">
        <v>9</v>
      </c>
      <c r="EY235" s="9">
        <v>6</v>
      </c>
      <c r="EZ235" s="9">
        <v>5</v>
      </c>
      <c r="FA235" s="9">
        <v>4</v>
      </c>
      <c r="FB235" s="9">
        <v>4</v>
      </c>
      <c r="FC235" s="9">
        <v>5</v>
      </c>
      <c r="FD235" s="9">
        <v>5</v>
      </c>
      <c r="FE235" s="9">
        <v>3</v>
      </c>
      <c r="FF235" s="9">
        <v>3</v>
      </c>
      <c r="FG235" s="9">
        <v>3</v>
      </c>
      <c r="FH235" s="9">
        <v>2</v>
      </c>
      <c r="FI235" s="9">
        <v>2</v>
      </c>
      <c r="FJ235" s="9">
        <v>2</v>
      </c>
      <c r="FK235" s="9">
        <v>5</v>
      </c>
      <c r="FL235" s="9">
        <v>4</v>
      </c>
      <c r="FM235" s="10">
        <v>4</v>
      </c>
    </row>
    <row r="236" spans="1:169" x14ac:dyDescent="0.35">
      <c r="A236" s="8" t="s">
        <v>342</v>
      </c>
      <c r="B236" s="9" t="s">
        <v>407</v>
      </c>
      <c r="C236" s="10" t="s">
        <v>408</v>
      </c>
      <c r="D236" s="62">
        <f t="shared" si="100"/>
        <v>41</v>
      </c>
      <c r="E236" s="9">
        <v>0</v>
      </c>
      <c r="F236" s="9">
        <v>0</v>
      </c>
      <c r="G236" s="9">
        <v>0</v>
      </c>
      <c r="H236" s="9">
        <v>0</v>
      </c>
      <c r="I236" s="9">
        <v>0</v>
      </c>
      <c r="J236" s="9">
        <v>0</v>
      </c>
      <c r="K236" s="9">
        <v>0</v>
      </c>
      <c r="L236" s="9">
        <v>0</v>
      </c>
      <c r="M236" s="9">
        <v>0</v>
      </c>
      <c r="N236" s="9">
        <v>0</v>
      </c>
      <c r="O236" s="9">
        <v>0</v>
      </c>
      <c r="P236" s="9">
        <v>0</v>
      </c>
      <c r="Q236" s="9">
        <v>11</v>
      </c>
      <c r="R236" s="9">
        <v>2</v>
      </c>
      <c r="S236" s="9">
        <v>3</v>
      </c>
      <c r="T236" s="9">
        <v>2</v>
      </c>
      <c r="U236" s="9">
        <v>6</v>
      </c>
      <c r="V236" s="9">
        <v>7</v>
      </c>
      <c r="W236" s="9">
        <v>10</v>
      </c>
      <c r="X236" s="9">
        <v>11</v>
      </c>
      <c r="Y236" s="9">
        <v>13</v>
      </c>
      <c r="Z236" s="9">
        <v>16</v>
      </c>
      <c r="AA236" s="9">
        <v>17</v>
      </c>
      <c r="AB236" s="9">
        <v>18</v>
      </c>
      <c r="AC236" s="9">
        <v>18</v>
      </c>
      <c r="AD236" s="9">
        <v>29</v>
      </c>
      <c r="AE236" s="9">
        <v>34</v>
      </c>
      <c r="AF236" s="9">
        <v>38</v>
      </c>
      <c r="AG236" s="9">
        <v>41</v>
      </c>
      <c r="AH236" s="9">
        <v>34</v>
      </c>
      <c r="AI236" s="9">
        <v>25</v>
      </c>
      <c r="AJ236" s="9">
        <v>24</v>
      </c>
      <c r="AK236" s="9">
        <v>21</v>
      </c>
      <c r="AL236" s="9">
        <v>22</v>
      </c>
      <c r="AM236" s="9">
        <v>0</v>
      </c>
      <c r="AN236" s="9">
        <v>23</v>
      </c>
      <c r="AO236" s="9">
        <v>23</v>
      </c>
      <c r="AP236" s="9">
        <v>21</v>
      </c>
      <c r="AQ236" s="9">
        <v>21</v>
      </c>
      <c r="AR236" s="9">
        <v>19</v>
      </c>
      <c r="AS236" s="9">
        <v>17</v>
      </c>
      <c r="AT236" s="9">
        <v>15</v>
      </c>
      <c r="AU236" s="9">
        <v>14</v>
      </c>
      <c r="AV236" s="9">
        <v>13</v>
      </c>
      <c r="AW236" s="9">
        <v>10</v>
      </c>
      <c r="AX236" s="9">
        <v>11</v>
      </c>
      <c r="AY236" s="9">
        <v>10</v>
      </c>
      <c r="AZ236" s="9">
        <v>12</v>
      </c>
      <c r="BA236" s="9">
        <v>12</v>
      </c>
      <c r="BB236" s="9">
        <v>12</v>
      </c>
      <c r="BC236" s="9">
        <v>11</v>
      </c>
      <c r="BD236" s="9">
        <v>12</v>
      </c>
      <c r="BE236" s="9">
        <v>12</v>
      </c>
      <c r="BF236" s="9">
        <v>12</v>
      </c>
      <c r="BG236" s="9">
        <v>12</v>
      </c>
      <c r="BH236" s="9">
        <v>8</v>
      </c>
      <c r="BI236" s="9">
        <v>8</v>
      </c>
      <c r="BJ236" s="9">
        <v>7</v>
      </c>
      <c r="BK236" s="9">
        <v>8</v>
      </c>
      <c r="BL236" s="9">
        <v>8</v>
      </c>
      <c r="BM236" s="9">
        <v>7</v>
      </c>
      <c r="BN236" s="9">
        <v>3</v>
      </c>
      <c r="BO236" s="9">
        <v>2</v>
      </c>
      <c r="BP236" s="9">
        <v>2</v>
      </c>
      <c r="BQ236" s="9">
        <v>0</v>
      </c>
      <c r="BR236" s="9">
        <v>0</v>
      </c>
      <c r="BS236" s="9">
        <v>0</v>
      </c>
      <c r="BT236" s="9">
        <v>0</v>
      </c>
      <c r="BU236" s="9">
        <v>0</v>
      </c>
      <c r="BV236" s="9">
        <v>0</v>
      </c>
      <c r="BW236" s="9">
        <v>0</v>
      </c>
      <c r="BX236" s="9">
        <v>1</v>
      </c>
      <c r="BY236" s="9">
        <v>0</v>
      </c>
      <c r="BZ236" s="9">
        <v>0</v>
      </c>
      <c r="CA236" s="9">
        <v>0</v>
      </c>
      <c r="CB236" s="9">
        <v>0</v>
      </c>
      <c r="CC236" s="9">
        <v>1</v>
      </c>
      <c r="CD236" s="9">
        <v>1</v>
      </c>
      <c r="CE236" s="9">
        <v>2</v>
      </c>
      <c r="CF236" s="9">
        <v>2</v>
      </c>
      <c r="CG236" s="9">
        <v>2</v>
      </c>
      <c r="CH236" s="9">
        <v>2</v>
      </c>
      <c r="CI236" s="9">
        <v>0</v>
      </c>
      <c r="CJ236" s="9">
        <v>3</v>
      </c>
      <c r="CK236" s="9">
        <v>1</v>
      </c>
      <c r="CL236" s="9">
        <v>1</v>
      </c>
      <c r="CM236" s="9">
        <v>1</v>
      </c>
      <c r="CN236" s="9">
        <v>2</v>
      </c>
      <c r="CO236" s="9">
        <v>2</v>
      </c>
      <c r="CP236" s="9">
        <v>2</v>
      </c>
      <c r="CQ236" s="9">
        <v>1</v>
      </c>
      <c r="CR236" s="9">
        <v>1</v>
      </c>
      <c r="CS236" s="9">
        <v>1</v>
      </c>
      <c r="CT236" s="9">
        <v>1</v>
      </c>
      <c r="CU236" s="9">
        <v>1</v>
      </c>
      <c r="CV236" s="9">
        <v>2</v>
      </c>
      <c r="CW236" s="9">
        <v>1</v>
      </c>
      <c r="CX236" s="9">
        <v>1</v>
      </c>
      <c r="CY236" s="9">
        <v>1</v>
      </c>
      <c r="CZ236" s="9">
        <v>3</v>
      </c>
      <c r="DA236" s="9">
        <v>3</v>
      </c>
      <c r="DB236" s="9">
        <v>3</v>
      </c>
      <c r="DC236" s="9">
        <v>3</v>
      </c>
      <c r="DD236" s="9">
        <v>1</v>
      </c>
      <c r="DE236" s="9">
        <v>2</v>
      </c>
      <c r="DF236" s="9">
        <v>1</v>
      </c>
      <c r="DG236" s="9">
        <v>1</v>
      </c>
      <c r="DH236" s="9">
        <v>2</v>
      </c>
      <c r="DI236" s="9">
        <v>2</v>
      </c>
      <c r="DJ236" s="9">
        <v>0</v>
      </c>
      <c r="DK236" s="9">
        <v>1</v>
      </c>
      <c r="DL236" s="9">
        <v>2</v>
      </c>
      <c r="DM236" s="9">
        <v>2</v>
      </c>
      <c r="DN236" s="9">
        <v>0</v>
      </c>
      <c r="DO236" s="9">
        <v>0</v>
      </c>
      <c r="DP236" s="9">
        <v>0</v>
      </c>
      <c r="DQ236" s="9">
        <v>0</v>
      </c>
      <c r="DR236" s="9">
        <v>1</v>
      </c>
      <c r="DS236" s="9">
        <v>1</v>
      </c>
      <c r="DT236" s="9">
        <v>1</v>
      </c>
      <c r="DU236" s="9">
        <v>1</v>
      </c>
      <c r="DV236" s="9">
        <v>0</v>
      </c>
      <c r="DW236" s="9">
        <v>0</v>
      </c>
      <c r="DX236" s="9">
        <v>0</v>
      </c>
      <c r="DY236" s="9">
        <v>0</v>
      </c>
      <c r="DZ236" s="9">
        <v>0</v>
      </c>
      <c r="EA236" s="9">
        <v>0</v>
      </c>
      <c r="EB236" s="9">
        <v>1</v>
      </c>
      <c r="EC236" s="9">
        <v>1</v>
      </c>
      <c r="ED236" s="9">
        <v>1</v>
      </c>
      <c r="EE236" s="9">
        <v>1</v>
      </c>
      <c r="EF236" s="9">
        <v>1</v>
      </c>
      <c r="EG236" s="9">
        <v>1</v>
      </c>
      <c r="EH236" s="9">
        <v>0</v>
      </c>
      <c r="EI236" s="9">
        <v>0</v>
      </c>
      <c r="EJ236" s="9">
        <v>0</v>
      </c>
      <c r="EK236" s="9">
        <v>0</v>
      </c>
      <c r="EL236" s="9">
        <v>0</v>
      </c>
      <c r="EM236" s="9">
        <v>0</v>
      </c>
      <c r="EN236" s="9">
        <v>0</v>
      </c>
      <c r="EO236" s="9">
        <v>0</v>
      </c>
      <c r="EP236" s="9">
        <v>0</v>
      </c>
      <c r="EQ236" s="9">
        <v>0</v>
      </c>
      <c r="ER236" s="9">
        <v>0</v>
      </c>
      <c r="ES236" s="9">
        <v>0</v>
      </c>
      <c r="ET236" s="9">
        <v>0</v>
      </c>
      <c r="EU236" s="9">
        <v>0</v>
      </c>
      <c r="EV236" s="9">
        <v>0</v>
      </c>
      <c r="EW236" s="9">
        <v>0</v>
      </c>
      <c r="EX236" s="9">
        <v>0</v>
      </c>
      <c r="EY236" s="9">
        <v>0</v>
      </c>
      <c r="EZ236" s="9">
        <v>0</v>
      </c>
      <c r="FA236" s="9">
        <v>0</v>
      </c>
      <c r="FB236" s="9">
        <v>0</v>
      </c>
      <c r="FC236" s="9">
        <v>0</v>
      </c>
      <c r="FD236" s="9">
        <v>0</v>
      </c>
      <c r="FE236" s="9">
        <v>0</v>
      </c>
      <c r="FF236" s="9">
        <v>0</v>
      </c>
      <c r="FG236" s="9">
        <v>0</v>
      </c>
      <c r="FH236" s="9">
        <v>0</v>
      </c>
      <c r="FI236" s="9">
        <v>1</v>
      </c>
      <c r="FJ236" s="9">
        <v>0</v>
      </c>
      <c r="FK236" s="9">
        <v>0</v>
      </c>
      <c r="FL236" s="9">
        <v>0</v>
      </c>
      <c r="FM236" s="10">
        <v>0</v>
      </c>
    </row>
    <row r="237" spans="1:169" x14ac:dyDescent="0.35">
      <c r="A237" s="8" t="s">
        <v>342</v>
      </c>
      <c r="B237" s="9" t="s">
        <v>409</v>
      </c>
      <c r="C237" s="10" t="s">
        <v>410</v>
      </c>
      <c r="D237" s="62">
        <f t="shared" si="100"/>
        <v>3</v>
      </c>
      <c r="E237" s="9">
        <v>0</v>
      </c>
      <c r="F237" s="9">
        <v>0</v>
      </c>
      <c r="G237" s="9">
        <v>0</v>
      </c>
      <c r="H237" s="9">
        <v>0</v>
      </c>
      <c r="I237" s="9">
        <v>0</v>
      </c>
      <c r="J237" s="9">
        <v>0</v>
      </c>
      <c r="K237" s="9">
        <v>0</v>
      </c>
      <c r="L237" s="9">
        <v>0</v>
      </c>
      <c r="M237" s="9">
        <v>0</v>
      </c>
      <c r="N237" s="9">
        <v>0</v>
      </c>
      <c r="O237" s="9">
        <v>0</v>
      </c>
      <c r="P237" s="9">
        <v>0</v>
      </c>
      <c r="Q237" s="9">
        <v>0</v>
      </c>
      <c r="R237" s="9">
        <v>0</v>
      </c>
      <c r="S237" s="9">
        <v>0</v>
      </c>
      <c r="T237" s="9">
        <v>0</v>
      </c>
      <c r="U237" s="9">
        <v>0</v>
      </c>
      <c r="V237" s="9">
        <v>0</v>
      </c>
      <c r="W237" s="9">
        <v>0</v>
      </c>
      <c r="X237" s="9">
        <v>0</v>
      </c>
      <c r="Y237" s="9">
        <v>0</v>
      </c>
      <c r="Z237" s="9">
        <v>0</v>
      </c>
      <c r="AA237" s="9">
        <v>0</v>
      </c>
      <c r="AB237" s="9">
        <v>0</v>
      </c>
      <c r="AC237" s="9">
        <v>0</v>
      </c>
      <c r="AD237" s="9">
        <v>0</v>
      </c>
      <c r="AE237" s="9">
        <v>0</v>
      </c>
      <c r="AF237" s="9">
        <v>0</v>
      </c>
      <c r="AG237" s="9">
        <v>0</v>
      </c>
      <c r="AH237" s="9">
        <v>0</v>
      </c>
      <c r="AI237" s="9">
        <v>0</v>
      </c>
      <c r="AJ237" s="9">
        <v>3</v>
      </c>
      <c r="AK237" s="9">
        <v>3</v>
      </c>
      <c r="AL237" s="9">
        <v>0</v>
      </c>
      <c r="AM237" s="9">
        <v>0</v>
      </c>
      <c r="AN237" s="9">
        <v>0</v>
      </c>
      <c r="AO237" s="9">
        <v>0</v>
      </c>
      <c r="AP237" s="9">
        <v>0</v>
      </c>
      <c r="AQ237" s="9">
        <v>0</v>
      </c>
      <c r="AR237" s="9">
        <v>0</v>
      </c>
      <c r="AS237" s="9">
        <v>0</v>
      </c>
      <c r="AT237" s="9">
        <v>0</v>
      </c>
      <c r="AU237" s="9">
        <v>0</v>
      </c>
      <c r="AV237" s="9">
        <v>0</v>
      </c>
      <c r="AW237" s="9">
        <v>0</v>
      </c>
      <c r="AX237" s="9">
        <v>0</v>
      </c>
      <c r="AY237" s="9">
        <v>0</v>
      </c>
      <c r="AZ237" s="9">
        <v>0</v>
      </c>
      <c r="BA237" s="9">
        <v>0</v>
      </c>
      <c r="BB237" s="9">
        <v>0</v>
      </c>
      <c r="BC237" s="9">
        <v>0</v>
      </c>
      <c r="BD237" s="9">
        <v>0</v>
      </c>
      <c r="BE237" s="9">
        <v>0</v>
      </c>
      <c r="BF237" s="9">
        <v>0</v>
      </c>
      <c r="BG237" s="9">
        <v>0</v>
      </c>
      <c r="BH237" s="9">
        <v>0</v>
      </c>
      <c r="BI237" s="9">
        <v>0</v>
      </c>
      <c r="BJ237" s="9">
        <v>0</v>
      </c>
      <c r="BK237" s="9">
        <v>0</v>
      </c>
      <c r="BL237" s="9">
        <v>0</v>
      </c>
      <c r="BM237" s="9">
        <v>0</v>
      </c>
      <c r="BN237" s="9">
        <v>0</v>
      </c>
      <c r="BO237" s="9">
        <v>0</v>
      </c>
      <c r="BP237" s="9">
        <v>0</v>
      </c>
      <c r="BQ237" s="9">
        <v>0</v>
      </c>
      <c r="BR237" s="9">
        <v>0</v>
      </c>
      <c r="BS237" s="9">
        <v>0</v>
      </c>
      <c r="BT237" s="9">
        <v>0</v>
      </c>
      <c r="BU237" s="9">
        <v>0</v>
      </c>
      <c r="BV237" s="9">
        <v>0</v>
      </c>
      <c r="BW237" s="9">
        <v>0</v>
      </c>
      <c r="BX237" s="9">
        <v>0</v>
      </c>
      <c r="BY237" s="9">
        <v>0</v>
      </c>
      <c r="BZ237" s="9">
        <v>0</v>
      </c>
      <c r="CA237" s="9">
        <v>0</v>
      </c>
      <c r="CB237" s="9">
        <v>0</v>
      </c>
      <c r="CC237" s="9">
        <v>0</v>
      </c>
      <c r="CD237" s="9">
        <v>0</v>
      </c>
      <c r="CE237" s="9">
        <v>0</v>
      </c>
      <c r="CF237" s="9">
        <v>0</v>
      </c>
      <c r="CG237" s="9">
        <v>0</v>
      </c>
      <c r="CH237" s="9">
        <v>0</v>
      </c>
      <c r="CI237" s="9">
        <v>0</v>
      </c>
      <c r="CJ237" s="9">
        <v>0</v>
      </c>
      <c r="CK237" s="9">
        <v>0</v>
      </c>
      <c r="CL237" s="9">
        <v>0</v>
      </c>
      <c r="CM237" s="9">
        <v>0</v>
      </c>
      <c r="CN237" s="9">
        <v>0</v>
      </c>
      <c r="CO237" s="9">
        <v>0</v>
      </c>
      <c r="CP237" s="9">
        <v>0</v>
      </c>
      <c r="CQ237" s="9">
        <v>0</v>
      </c>
      <c r="CR237" s="9">
        <v>0</v>
      </c>
      <c r="CS237" s="9">
        <v>0</v>
      </c>
      <c r="CT237" s="9">
        <v>0</v>
      </c>
      <c r="CU237" s="9">
        <v>0</v>
      </c>
      <c r="CV237" s="9">
        <v>0</v>
      </c>
      <c r="CW237" s="9">
        <v>0</v>
      </c>
      <c r="CX237" s="9">
        <v>0</v>
      </c>
      <c r="CY237" s="9">
        <v>0</v>
      </c>
      <c r="CZ237" s="9">
        <v>0</v>
      </c>
      <c r="DA237" s="9">
        <v>0</v>
      </c>
      <c r="DB237" s="9">
        <v>0</v>
      </c>
      <c r="DC237" s="9">
        <v>0</v>
      </c>
      <c r="DD237" s="9">
        <v>0</v>
      </c>
      <c r="DE237" s="9">
        <v>0</v>
      </c>
      <c r="DF237" s="9">
        <v>0</v>
      </c>
      <c r="DG237" s="9">
        <v>0</v>
      </c>
      <c r="DH237" s="9">
        <v>0</v>
      </c>
      <c r="DI237" s="9">
        <v>0</v>
      </c>
      <c r="DJ237" s="9">
        <v>0</v>
      </c>
      <c r="DK237" s="9">
        <v>0</v>
      </c>
      <c r="DL237" s="9">
        <v>0</v>
      </c>
      <c r="DM237" s="9">
        <v>0</v>
      </c>
      <c r="DN237" s="9">
        <v>0</v>
      </c>
      <c r="DO237" s="9">
        <v>0</v>
      </c>
      <c r="DP237" s="9">
        <v>0</v>
      </c>
      <c r="DQ237" s="9">
        <v>0</v>
      </c>
      <c r="DR237" s="9">
        <v>0</v>
      </c>
      <c r="DS237" s="9">
        <v>0</v>
      </c>
      <c r="DT237" s="9">
        <v>0</v>
      </c>
      <c r="DU237" s="9">
        <v>0</v>
      </c>
      <c r="DV237" s="9">
        <v>0</v>
      </c>
      <c r="DW237" s="9">
        <v>0</v>
      </c>
      <c r="DX237" s="9">
        <v>0</v>
      </c>
      <c r="DY237" s="9">
        <v>0</v>
      </c>
      <c r="DZ237" s="9">
        <v>0</v>
      </c>
      <c r="EA237" s="9">
        <v>0</v>
      </c>
      <c r="EB237" s="9">
        <v>0</v>
      </c>
      <c r="EC237" s="9">
        <v>0</v>
      </c>
      <c r="ED237" s="9">
        <v>0</v>
      </c>
      <c r="EE237" s="9">
        <v>0</v>
      </c>
      <c r="EF237" s="9">
        <v>0</v>
      </c>
      <c r="EG237" s="9">
        <v>0</v>
      </c>
      <c r="EH237" s="9">
        <v>0</v>
      </c>
      <c r="EI237" s="9">
        <v>0</v>
      </c>
      <c r="EJ237" s="9">
        <v>0</v>
      </c>
      <c r="EK237" s="9">
        <v>0</v>
      </c>
      <c r="EL237" s="9">
        <v>0</v>
      </c>
      <c r="EM237" s="9">
        <v>0</v>
      </c>
      <c r="EN237" s="9">
        <v>0</v>
      </c>
      <c r="EO237" s="9">
        <v>0</v>
      </c>
      <c r="EP237" s="9">
        <v>0</v>
      </c>
      <c r="EQ237" s="9">
        <v>0</v>
      </c>
      <c r="ER237" s="9">
        <v>0</v>
      </c>
      <c r="ES237" s="9">
        <v>0</v>
      </c>
      <c r="ET237" s="9">
        <v>0</v>
      </c>
      <c r="EU237" s="9">
        <v>0</v>
      </c>
      <c r="EV237" s="9">
        <v>0</v>
      </c>
      <c r="EW237" s="9">
        <v>0</v>
      </c>
      <c r="EX237" s="9">
        <v>0</v>
      </c>
      <c r="EY237" s="9">
        <v>0</v>
      </c>
      <c r="EZ237" s="9">
        <v>0</v>
      </c>
      <c r="FA237" s="9">
        <v>0</v>
      </c>
      <c r="FB237" s="9">
        <v>0</v>
      </c>
      <c r="FC237" s="9">
        <v>0</v>
      </c>
      <c r="FD237" s="9">
        <v>0</v>
      </c>
      <c r="FE237" s="9">
        <v>0</v>
      </c>
      <c r="FF237" s="9">
        <v>0</v>
      </c>
      <c r="FG237" s="9">
        <v>0</v>
      </c>
      <c r="FH237" s="9">
        <v>0</v>
      </c>
      <c r="FI237" s="9">
        <v>0</v>
      </c>
      <c r="FJ237" s="9">
        <v>0</v>
      </c>
      <c r="FK237" s="9">
        <v>0</v>
      </c>
      <c r="FL237" s="9">
        <v>0</v>
      </c>
      <c r="FM237" s="10">
        <v>0</v>
      </c>
    </row>
    <row r="238" spans="1:169" x14ac:dyDescent="0.35">
      <c r="A238" s="8" t="s">
        <v>342</v>
      </c>
      <c r="B238" s="9" t="s">
        <v>411</v>
      </c>
      <c r="C238" s="10" t="s">
        <v>412</v>
      </c>
      <c r="D238" s="62">
        <f t="shared" si="100"/>
        <v>0</v>
      </c>
      <c r="E238" s="9">
        <v>0</v>
      </c>
      <c r="F238" s="9">
        <v>0</v>
      </c>
      <c r="G238" s="9">
        <v>0</v>
      </c>
      <c r="H238" s="9">
        <v>0</v>
      </c>
      <c r="I238" s="9">
        <v>0</v>
      </c>
      <c r="J238" s="9">
        <v>0</v>
      </c>
      <c r="K238" s="9">
        <v>0</v>
      </c>
      <c r="L238" s="9">
        <v>0</v>
      </c>
      <c r="M238" s="9">
        <v>0</v>
      </c>
      <c r="N238" s="9">
        <v>0</v>
      </c>
      <c r="O238" s="9">
        <v>0</v>
      </c>
      <c r="P238" s="9">
        <v>0</v>
      </c>
      <c r="Q238" s="9">
        <v>0</v>
      </c>
      <c r="R238" s="9">
        <v>0</v>
      </c>
      <c r="S238" s="9">
        <v>0</v>
      </c>
      <c r="T238" s="9">
        <v>0</v>
      </c>
      <c r="U238" s="9">
        <v>0</v>
      </c>
      <c r="V238" s="9">
        <v>0</v>
      </c>
      <c r="W238" s="9">
        <v>0</v>
      </c>
      <c r="X238" s="9">
        <v>0</v>
      </c>
      <c r="Y238" s="9">
        <v>0</v>
      </c>
      <c r="Z238" s="9">
        <v>0</v>
      </c>
      <c r="AA238" s="9">
        <v>0</v>
      </c>
      <c r="AB238" s="9">
        <v>0</v>
      </c>
      <c r="AC238" s="9">
        <v>0</v>
      </c>
      <c r="AD238" s="9">
        <v>0</v>
      </c>
      <c r="AE238" s="9">
        <v>0</v>
      </c>
      <c r="AF238" s="9">
        <v>0</v>
      </c>
      <c r="AG238" s="9">
        <v>0</v>
      </c>
      <c r="AH238" s="9">
        <v>0</v>
      </c>
      <c r="AI238" s="9">
        <v>0</v>
      </c>
      <c r="AJ238" s="9">
        <v>0</v>
      </c>
      <c r="AK238" s="9">
        <v>0</v>
      </c>
      <c r="AL238" s="9">
        <v>0</v>
      </c>
      <c r="AM238" s="9">
        <v>0</v>
      </c>
      <c r="AN238" s="9">
        <v>0</v>
      </c>
      <c r="AO238" s="9">
        <v>0</v>
      </c>
      <c r="AP238" s="9">
        <v>0</v>
      </c>
      <c r="AQ238" s="9">
        <v>0</v>
      </c>
      <c r="AR238" s="9">
        <v>0</v>
      </c>
      <c r="AS238" s="9">
        <v>0</v>
      </c>
      <c r="AT238" s="9">
        <v>0</v>
      </c>
      <c r="AU238" s="9">
        <v>0</v>
      </c>
      <c r="AV238" s="9">
        <v>0</v>
      </c>
      <c r="AW238" s="9">
        <v>0</v>
      </c>
      <c r="AX238" s="9">
        <v>0</v>
      </c>
      <c r="AY238" s="9">
        <v>0</v>
      </c>
      <c r="AZ238" s="9">
        <v>0</v>
      </c>
      <c r="BA238" s="9">
        <v>0</v>
      </c>
      <c r="BB238" s="9">
        <v>0</v>
      </c>
      <c r="BC238" s="9">
        <v>0</v>
      </c>
      <c r="BD238" s="9">
        <v>0</v>
      </c>
      <c r="BE238" s="9">
        <v>0</v>
      </c>
      <c r="BF238" s="9">
        <v>0</v>
      </c>
      <c r="BG238" s="9">
        <v>0</v>
      </c>
      <c r="BH238" s="9">
        <v>0</v>
      </c>
      <c r="BI238" s="9">
        <v>0</v>
      </c>
      <c r="BJ238" s="9">
        <v>0</v>
      </c>
      <c r="BK238" s="9">
        <v>0</v>
      </c>
      <c r="BL238" s="9">
        <v>0</v>
      </c>
      <c r="BM238" s="9">
        <v>0</v>
      </c>
      <c r="BN238" s="9">
        <v>0</v>
      </c>
      <c r="BO238" s="9">
        <v>0</v>
      </c>
      <c r="BP238" s="9">
        <v>0</v>
      </c>
      <c r="BQ238" s="9">
        <v>0</v>
      </c>
      <c r="BR238" s="9">
        <v>0</v>
      </c>
      <c r="BS238" s="9">
        <v>0</v>
      </c>
      <c r="BT238" s="9">
        <v>0</v>
      </c>
      <c r="BU238" s="9">
        <v>0</v>
      </c>
      <c r="BV238" s="9">
        <v>0</v>
      </c>
      <c r="BW238" s="9">
        <v>0</v>
      </c>
      <c r="BX238" s="9">
        <v>0</v>
      </c>
      <c r="BY238" s="9">
        <v>0</v>
      </c>
      <c r="BZ238" s="9">
        <v>0</v>
      </c>
      <c r="CA238" s="9">
        <v>0</v>
      </c>
      <c r="CB238" s="9">
        <v>0</v>
      </c>
      <c r="CC238" s="9">
        <v>0</v>
      </c>
      <c r="CD238" s="9">
        <v>0</v>
      </c>
      <c r="CE238" s="9">
        <v>0</v>
      </c>
      <c r="CF238" s="9">
        <v>0</v>
      </c>
      <c r="CG238" s="9">
        <v>0</v>
      </c>
      <c r="CH238" s="9">
        <v>0</v>
      </c>
      <c r="CI238" s="9">
        <v>0</v>
      </c>
      <c r="CJ238" s="9">
        <v>0</v>
      </c>
      <c r="CK238" s="9">
        <v>0</v>
      </c>
      <c r="CL238" s="9">
        <v>0</v>
      </c>
      <c r="CM238" s="9">
        <v>0</v>
      </c>
      <c r="CN238" s="9">
        <v>0</v>
      </c>
      <c r="CO238" s="9">
        <v>0</v>
      </c>
      <c r="CP238" s="9">
        <v>0</v>
      </c>
      <c r="CQ238" s="9">
        <v>0</v>
      </c>
      <c r="CR238" s="9">
        <v>0</v>
      </c>
      <c r="CS238" s="9">
        <v>0</v>
      </c>
      <c r="CT238" s="9">
        <v>0</v>
      </c>
      <c r="CU238" s="9">
        <v>0</v>
      </c>
      <c r="CV238" s="9">
        <v>0</v>
      </c>
      <c r="CW238" s="9">
        <v>0</v>
      </c>
      <c r="CX238" s="9">
        <v>0</v>
      </c>
      <c r="CY238" s="9">
        <v>0</v>
      </c>
      <c r="CZ238" s="9">
        <v>0</v>
      </c>
      <c r="DA238" s="9">
        <v>0</v>
      </c>
      <c r="DB238" s="9">
        <v>0</v>
      </c>
      <c r="DC238" s="9">
        <v>0</v>
      </c>
      <c r="DD238" s="9">
        <v>0</v>
      </c>
      <c r="DE238" s="9">
        <v>0</v>
      </c>
      <c r="DF238" s="9">
        <v>0</v>
      </c>
      <c r="DG238" s="9">
        <v>0</v>
      </c>
      <c r="DH238" s="9">
        <v>0</v>
      </c>
      <c r="DI238" s="9">
        <v>0</v>
      </c>
      <c r="DJ238" s="9">
        <v>0</v>
      </c>
      <c r="DK238" s="9">
        <v>0</v>
      </c>
      <c r="DL238" s="9">
        <v>0</v>
      </c>
      <c r="DM238" s="9">
        <v>0</v>
      </c>
      <c r="DN238" s="9">
        <v>0</v>
      </c>
      <c r="DO238" s="9">
        <v>0</v>
      </c>
      <c r="DP238" s="9">
        <v>0</v>
      </c>
      <c r="DQ238" s="9">
        <v>0</v>
      </c>
      <c r="DR238" s="9">
        <v>0</v>
      </c>
      <c r="DS238" s="9">
        <v>0</v>
      </c>
      <c r="DT238" s="9">
        <v>0</v>
      </c>
      <c r="DU238" s="9">
        <v>0</v>
      </c>
      <c r="DV238" s="9">
        <v>0</v>
      </c>
      <c r="DW238" s="9">
        <v>0</v>
      </c>
      <c r="DX238" s="9">
        <v>0</v>
      </c>
      <c r="DY238" s="9">
        <v>0</v>
      </c>
      <c r="DZ238" s="9">
        <v>0</v>
      </c>
      <c r="EA238" s="9">
        <v>0</v>
      </c>
      <c r="EB238" s="9">
        <v>0</v>
      </c>
      <c r="EC238" s="9">
        <v>0</v>
      </c>
      <c r="ED238" s="9">
        <v>0</v>
      </c>
      <c r="EE238" s="9">
        <v>0</v>
      </c>
      <c r="EF238" s="9">
        <v>0</v>
      </c>
      <c r="EG238" s="9">
        <v>0</v>
      </c>
      <c r="EH238" s="9">
        <v>0</v>
      </c>
      <c r="EI238" s="9">
        <v>0</v>
      </c>
      <c r="EJ238" s="9">
        <v>0</v>
      </c>
      <c r="EK238" s="9">
        <v>0</v>
      </c>
      <c r="EL238" s="9">
        <v>0</v>
      </c>
      <c r="EM238" s="9">
        <v>0</v>
      </c>
      <c r="EN238" s="9">
        <v>0</v>
      </c>
      <c r="EO238" s="9">
        <v>0</v>
      </c>
      <c r="EP238" s="9">
        <v>0</v>
      </c>
      <c r="EQ238" s="9">
        <v>0</v>
      </c>
      <c r="ER238" s="9">
        <v>0</v>
      </c>
      <c r="ES238" s="9">
        <v>0</v>
      </c>
      <c r="ET238" s="9">
        <v>0</v>
      </c>
      <c r="EU238" s="9">
        <v>0</v>
      </c>
      <c r="EV238" s="9">
        <v>0</v>
      </c>
      <c r="EW238" s="9">
        <v>0</v>
      </c>
      <c r="EX238" s="9">
        <v>0</v>
      </c>
      <c r="EY238" s="9">
        <v>0</v>
      </c>
      <c r="EZ238" s="9">
        <v>0</v>
      </c>
      <c r="FA238" s="9">
        <v>0</v>
      </c>
      <c r="FB238" s="9">
        <v>0</v>
      </c>
      <c r="FC238" s="9">
        <v>0</v>
      </c>
      <c r="FD238" s="9">
        <v>0</v>
      </c>
      <c r="FE238" s="9">
        <v>0</v>
      </c>
      <c r="FF238" s="9">
        <v>0</v>
      </c>
      <c r="FG238" s="9">
        <v>0</v>
      </c>
      <c r="FH238" s="9">
        <v>0</v>
      </c>
      <c r="FI238" s="9">
        <v>0</v>
      </c>
      <c r="FJ238" s="9">
        <v>0</v>
      </c>
      <c r="FK238" s="9">
        <v>0</v>
      </c>
      <c r="FL238" s="9">
        <v>0</v>
      </c>
      <c r="FM238" s="10">
        <v>0</v>
      </c>
    </row>
    <row r="239" spans="1:169" x14ac:dyDescent="0.35">
      <c r="A239" s="8" t="s">
        <v>413</v>
      </c>
      <c r="B239" s="9" t="s">
        <v>414</v>
      </c>
      <c r="C239" s="10" t="s">
        <v>415</v>
      </c>
      <c r="D239" s="62">
        <f t="shared" si="100"/>
        <v>2</v>
      </c>
      <c r="E239" s="9">
        <v>0</v>
      </c>
      <c r="F239" s="9">
        <v>0</v>
      </c>
      <c r="G239" s="9">
        <v>0</v>
      </c>
      <c r="H239" s="9">
        <v>0</v>
      </c>
      <c r="I239" s="9">
        <v>0</v>
      </c>
      <c r="J239" s="9">
        <v>0</v>
      </c>
      <c r="K239" s="9">
        <v>0</v>
      </c>
      <c r="L239" s="9">
        <v>0</v>
      </c>
      <c r="M239" s="9">
        <v>0</v>
      </c>
      <c r="N239" s="9">
        <v>0</v>
      </c>
      <c r="O239" s="9">
        <v>0</v>
      </c>
      <c r="P239" s="9">
        <v>0</v>
      </c>
      <c r="Q239" s="9">
        <v>0</v>
      </c>
      <c r="R239" s="9">
        <v>0</v>
      </c>
      <c r="S239" s="9">
        <v>0</v>
      </c>
      <c r="T239" s="9">
        <v>0</v>
      </c>
      <c r="U239" s="9">
        <v>0</v>
      </c>
      <c r="V239" s="9">
        <v>0</v>
      </c>
      <c r="W239" s="9">
        <v>0</v>
      </c>
      <c r="X239" s="9">
        <v>0</v>
      </c>
      <c r="Y239" s="9">
        <v>0</v>
      </c>
      <c r="Z239" s="9">
        <v>0</v>
      </c>
      <c r="AA239" s="9">
        <v>0</v>
      </c>
      <c r="AB239" s="9">
        <v>0</v>
      </c>
      <c r="AC239" s="9">
        <v>0</v>
      </c>
      <c r="AD239" s="9">
        <v>0</v>
      </c>
      <c r="AE239" s="9">
        <v>0</v>
      </c>
      <c r="AF239" s="9">
        <v>0</v>
      </c>
      <c r="AG239" s="9">
        <v>0</v>
      </c>
      <c r="AH239" s="9">
        <v>0</v>
      </c>
      <c r="AI239" s="9">
        <v>0</v>
      </c>
      <c r="AJ239" s="9">
        <v>0</v>
      </c>
      <c r="AK239" s="9">
        <v>0</v>
      </c>
      <c r="AL239" s="9">
        <v>0</v>
      </c>
      <c r="AM239" s="9">
        <v>0</v>
      </c>
      <c r="AN239" s="9">
        <v>0</v>
      </c>
      <c r="AO239" s="9">
        <v>0</v>
      </c>
      <c r="AP239" s="9">
        <v>0</v>
      </c>
      <c r="AQ239" s="9">
        <v>0</v>
      </c>
      <c r="AR239" s="9">
        <v>0</v>
      </c>
      <c r="AS239" s="9">
        <v>0</v>
      </c>
      <c r="AT239" s="9">
        <v>0</v>
      </c>
      <c r="AU239" s="9">
        <v>0</v>
      </c>
      <c r="AV239" s="9">
        <v>0</v>
      </c>
      <c r="AW239" s="9">
        <v>0</v>
      </c>
      <c r="AX239" s="9">
        <v>0</v>
      </c>
      <c r="AY239" s="9">
        <v>0</v>
      </c>
      <c r="AZ239" s="9">
        <v>0</v>
      </c>
      <c r="BA239" s="9">
        <v>0</v>
      </c>
      <c r="BB239" s="9">
        <v>0</v>
      </c>
      <c r="BC239" s="9">
        <v>0</v>
      </c>
      <c r="BD239" s="9">
        <v>0</v>
      </c>
      <c r="BE239" s="9">
        <v>0</v>
      </c>
      <c r="BF239" s="9">
        <v>2</v>
      </c>
      <c r="BG239" s="9">
        <v>1</v>
      </c>
      <c r="BH239" s="9">
        <v>1</v>
      </c>
      <c r="BI239" s="9">
        <v>1</v>
      </c>
      <c r="BJ239" s="9">
        <v>0</v>
      </c>
      <c r="BK239" s="9">
        <v>0</v>
      </c>
      <c r="BL239" s="9">
        <v>1</v>
      </c>
      <c r="BM239" s="9">
        <v>0</v>
      </c>
      <c r="BN239" s="9">
        <v>0</v>
      </c>
      <c r="BO239" s="9">
        <v>0</v>
      </c>
      <c r="BP239" s="9">
        <v>0</v>
      </c>
      <c r="BQ239" s="9">
        <v>0</v>
      </c>
      <c r="BR239" s="9">
        <v>0</v>
      </c>
      <c r="BS239" s="9">
        <v>0</v>
      </c>
      <c r="BT239" s="9">
        <v>0</v>
      </c>
      <c r="BU239" s="9">
        <v>0</v>
      </c>
      <c r="BV239" s="9">
        <v>0</v>
      </c>
      <c r="BW239" s="9">
        <v>0</v>
      </c>
      <c r="BX239" s="9">
        <v>0</v>
      </c>
      <c r="BY239" s="9">
        <v>0</v>
      </c>
      <c r="BZ239" s="9">
        <v>0</v>
      </c>
      <c r="CA239" s="9">
        <v>0</v>
      </c>
      <c r="CB239" s="9">
        <v>0</v>
      </c>
      <c r="CC239" s="9">
        <v>0</v>
      </c>
      <c r="CD239" s="9">
        <v>0</v>
      </c>
      <c r="CE239" s="9">
        <v>0</v>
      </c>
      <c r="CF239" s="9">
        <v>0</v>
      </c>
      <c r="CG239" s="9">
        <v>0</v>
      </c>
      <c r="CH239" s="9">
        <v>0</v>
      </c>
      <c r="CI239" s="9">
        <v>0</v>
      </c>
      <c r="CJ239" s="9">
        <v>0</v>
      </c>
      <c r="CK239" s="9">
        <v>0</v>
      </c>
      <c r="CL239" s="9">
        <v>0</v>
      </c>
      <c r="CM239" s="9">
        <v>0</v>
      </c>
      <c r="CN239" s="9">
        <v>0</v>
      </c>
      <c r="CO239" s="9">
        <v>0</v>
      </c>
      <c r="CP239" s="9">
        <v>0</v>
      </c>
      <c r="CQ239" s="9">
        <v>0</v>
      </c>
      <c r="CR239" s="9">
        <v>0</v>
      </c>
      <c r="CS239" s="9">
        <v>0</v>
      </c>
      <c r="CT239" s="9">
        <v>0</v>
      </c>
      <c r="CU239" s="9">
        <v>0</v>
      </c>
      <c r="CV239" s="9">
        <v>0</v>
      </c>
      <c r="CW239" s="9">
        <v>0</v>
      </c>
      <c r="CX239" s="9">
        <v>0</v>
      </c>
      <c r="CY239" s="9">
        <v>0</v>
      </c>
      <c r="CZ239" s="9">
        <v>0</v>
      </c>
      <c r="DA239" s="9">
        <v>0</v>
      </c>
      <c r="DB239" s="9">
        <v>0</v>
      </c>
      <c r="DC239" s="9">
        <v>0</v>
      </c>
      <c r="DD239" s="9">
        <v>0</v>
      </c>
      <c r="DE239" s="9">
        <v>0</v>
      </c>
      <c r="DF239" s="9">
        <v>0</v>
      </c>
      <c r="DG239" s="9">
        <v>0</v>
      </c>
      <c r="DH239" s="9">
        <v>0</v>
      </c>
      <c r="DI239" s="9">
        <v>0</v>
      </c>
      <c r="DJ239" s="9">
        <v>0</v>
      </c>
      <c r="DK239" s="9">
        <v>0</v>
      </c>
      <c r="DL239" s="9">
        <v>0</v>
      </c>
      <c r="DM239" s="9">
        <v>0</v>
      </c>
      <c r="DN239" s="9">
        <v>0</v>
      </c>
      <c r="DO239" s="9">
        <v>0</v>
      </c>
      <c r="DP239" s="9">
        <v>0</v>
      </c>
      <c r="DQ239" s="9">
        <v>0</v>
      </c>
      <c r="DR239" s="9">
        <v>0</v>
      </c>
      <c r="DS239" s="9">
        <v>0</v>
      </c>
      <c r="DT239" s="9">
        <v>0</v>
      </c>
      <c r="DU239" s="9">
        <v>0</v>
      </c>
      <c r="DV239" s="9">
        <v>0</v>
      </c>
      <c r="DW239" s="9">
        <v>0</v>
      </c>
      <c r="DX239" s="9">
        <v>0</v>
      </c>
      <c r="DY239" s="9">
        <v>0</v>
      </c>
      <c r="DZ239" s="9">
        <v>0</v>
      </c>
      <c r="EA239" s="9">
        <v>0</v>
      </c>
      <c r="EB239" s="9">
        <v>0</v>
      </c>
      <c r="EC239" s="9">
        <v>0</v>
      </c>
      <c r="ED239" s="9">
        <v>0</v>
      </c>
      <c r="EE239" s="9">
        <v>0</v>
      </c>
      <c r="EF239" s="9">
        <v>0</v>
      </c>
      <c r="EG239" s="9">
        <v>0</v>
      </c>
      <c r="EH239" s="9">
        <v>0</v>
      </c>
      <c r="EI239" s="9">
        <v>0</v>
      </c>
      <c r="EJ239" s="9">
        <v>0</v>
      </c>
      <c r="EK239" s="9">
        <v>0</v>
      </c>
      <c r="EL239" s="9">
        <v>0</v>
      </c>
      <c r="EM239" s="9">
        <v>0</v>
      </c>
      <c r="EN239" s="9">
        <v>0</v>
      </c>
      <c r="EO239" s="9">
        <v>0</v>
      </c>
      <c r="EP239" s="9">
        <v>0</v>
      </c>
      <c r="EQ239" s="9">
        <v>0</v>
      </c>
      <c r="ER239" s="9">
        <v>0</v>
      </c>
      <c r="ES239" s="9">
        <v>0</v>
      </c>
      <c r="ET239" s="9">
        <v>0</v>
      </c>
      <c r="EU239" s="9">
        <v>0</v>
      </c>
      <c r="EV239" s="9">
        <v>0</v>
      </c>
      <c r="EW239" s="9">
        <v>0</v>
      </c>
      <c r="EX239" s="9">
        <v>0</v>
      </c>
      <c r="EY239" s="9">
        <v>0</v>
      </c>
      <c r="EZ239" s="9">
        <v>0</v>
      </c>
      <c r="FA239" s="9">
        <v>0</v>
      </c>
      <c r="FB239" s="9">
        <v>0</v>
      </c>
      <c r="FC239" s="9">
        <v>0</v>
      </c>
      <c r="FD239" s="9">
        <v>0</v>
      </c>
      <c r="FE239" s="9">
        <v>0</v>
      </c>
      <c r="FF239" s="9">
        <v>0</v>
      </c>
      <c r="FG239" s="9">
        <v>0</v>
      </c>
      <c r="FH239" s="9">
        <v>0</v>
      </c>
      <c r="FI239" s="9">
        <v>0</v>
      </c>
      <c r="FJ239" s="9">
        <v>0</v>
      </c>
      <c r="FK239" s="9">
        <v>0</v>
      </c>
      <c r="FL239" s="9">
        <v>0</v>
      </c>
      <c r="FM239" s="10">
        <v>0</v>
      </c>
    </row>
    <row r="240" spans="1:169" x14ac:dyDescent="0.35">
      <c r="A240" s="8" t="s">
        <v>413</v>
      </c>
      <c r="B240" s="9" t="s">
        <v>416</v>
      </c>
      <c r="C240" s="10" t="s">
        <v>417</v>
      </c>
      <c r="D240" s="62">
        <f t="shared" si="100"/>
        <v>2</v>
      </c>
      <c r="E240" s="9">
        <v>0</v>
      </c>
      <c r="F240" s="9">
        <v>0</v>
      </c>
      <c r="G240" s="9">
        <v>0</v>
      </c>
      <c r="H240" s="9">
        <v>0</v>
      </c>
      <c r="I240" s="9">
        <v>0</v>
      </c>
      <c r="J240" s="9">
        <v>0</v>
      </c>
      <c r="K240" s="9">
        <v>0</v>
      </c>
      <c r="L240" s="9">
        <v>0</v>
      </c>
      <c r="M240" s="9">
        <v>0</v>
      </c>
      <c r="N240" s="9">
        <v>0</v>
      </c>
      <c r="O240" s="9">
        <v>0</v>
      </c>
      <c r="P240" s="9">
        <v>0</v>
      </c>
      <c r="Q240" s="9">
        <v>0</v>
      </c>
      <c r="R240" s="9">
        <v>0</v>
      </c>
      <c r="S240" s="9">
        <v>0</v>
      </c>
      <c r="T240" s="9">
        <v>0</v>
      </c>
      <c r="U240" s="9">
        <v>0</v>
      </c>
      <c r="V240" s="9">
        <v>0</v>
      </c>
      <c r="W240" s="9">
        <v>0</v>
      </c>
      <c r="X240" s="9">
        <v>1</v>
      </c>
      <c r="Y240" s="9">
        <v>2</v>
      </c>
      <c r="Z240" s="9">
        <v>2</v>
      </c>
      <c r="AA240" s="9">
        <v>0</v>
      </c>
      <c r="AB240" s="9">
        <v>0</v>
      </c>
      <c r="AC240" s="9">
        <v>0</v>
      </c>
      <c r="AD240" s="9">
        <v>0</v>
      </c>
      <c r="AE240" s="9">
        <v>0</v>
      </c>
      <c r="AF240" s="9">
        <v>0</v>
      </c>
      <c r="AG240" s="9">
        <v>0</v>
      </c>
      <c r="AH240" s="9">
        <v>0</v>
      </c>
      <c r="AI240" s="9">
        <v>0</v>
      </c>
      <c r="AJ240" s="9">
        <v>0</v>
      </c>
      <c r="AK240" s="9">
        <v>0</v>
      </c>
      <c r="AL240" s="9">
        <v>0</v>
      </c>
      <c r="AM240" s="9">
        <v>0</v>
      </c>
      <c r="AN240" s="9">
        <v>0</v>
      </c>
      <c r="AO240" s="9">
        <v>0</v>
      </c>
      <c r="AP240" s="9">
        <v>0</v>
      </c>
      <c r="AQ240" s="9">
        <v>0</v>
      </c>
      <c r="AR240" s="9">
        <v>0</v>
      </c>
      <c r="AS240" s="9">
        <v>0</v>
      </c>
      <c r="AT240" s="9">
        <v>0</v>
      </c>
      <c r="AU240" s="9">
        <v>0</v>
      </c>
      <c r="AV240" s="9">
        <v>0</v>
      </c>
      <c r="AW240" s="9">
        <v>0</v>
      </c>
      <c r="AX240" s="9">
        <v>0</v>
      </c>
      <c r="AY240" s="9">
        <v>0</v>
      </c>
      <c r="AZ240" s="9">
        <v>0</v>
      </c>
      <c r="BA240" s="9">
        <v>0</v>
      </c>
      <c r="BB240" s="9">
        <v>0</v>
      </c>
      <c r="BC240" s="9">
        <v>0</v>
      </c>
      <c r="BD240" s="9">
        <v>0</v>
      </c>
      <c r="BE240" s="9">
        <v>0</v>
      </c>
      <c r="BF240" s="9">
        <v>0</v>
      </c>
      <c r="BG240" s="9">
        <v>0</v>
      </c>
      <c r="BH240" s="9">
        <v>0</v>
      </c>
      <c r="BI240" s="9">
        <v>0</v>
      </c>
      <c r="BJ240" s="9">
        <v>0</v>
      </c>
      <c r="BK240" s="9">
        <v>0</v>
      </c>
      <c r="BL240" s="9">
        <v>0</v>
      </c>
      <c r="BM240" s="9">
        <v>0</v>
      </c>
      <c r="BN240" s="9">
        <v>0</v>
      </c>
      <c r="BO240" s="9">
        <v>0</v>
      </c>
      <c r="BP240" s="9">
        <v>0</v>
      </c>
      <c r="BQ240" s="9">
        <v>0</v>
      </c>
      <c r="BR240" s="9">
        <v>0</v>
      </c>
      <c r="BS240" s="9">
        <v>0</v>
      </c>
      <c r="BT240" s="9">
        <v>0</v>
      </c>
      <c r="BU240" s="9">
        <v>0</v>
      </c>
      <c r="BV240" s="9">
        <v>0</v>
      </c>
      <c r="BW240" s="9">
        <v>0</v>
      </c>
      <c r="BX240" s="9">
        <v>0</v>
      </c>
      <c r="BY240" s="9">
        <v>0</v>
      </c>
      <c r="BZ240" s="9">
        <v>0</v>
      </c>
      <c r="CA240" s="9">
        <v>0</v>
      </c>
      <c r="CB240" s="9">
        <v>0</v>
      </c>
      <c r="CC240" s="9">
        <v>0</v>
      </c>
      <c r="CD240" s="9">
        <v>0</v>
      </c>
      <c r="CE240" s="9">
        <v>0</v>
      </c>
      <c r="CF240" s="9">
        <v>0</v>
      </c>
      <c r="CG240" s="9">
        <v>0</v>
      </c>
      <c r="CH240" s="9">
        <v>0</v>
      </c>
      <c r="CI240" s="9">
        <v>0</v>
      </c>
      <c r="CJ240" s="9">
        <v>0</v>
      </c>
      <c r="CK240" s="9">
        <v>0</v>
      </c>
      <c r="CL240" s="9">
        <v>0</v>
      </c>
      <c r="CM240" s="9">
        <v>0</v>
      </c>
      <c r="CN240" s="9">
        <v>0</v>
      </c>
      <c r="CO240" s="9">
        <v>0</v>
      </c>
      <c r="CP240" s="9">
        <v>0</v>
      </c>
      <c r="CQ240" s="9">
        <v>0</v>
      </c>
      <c r="CR240" s="9">
        <v>0</v>
      </c>
      <c r="CS240" s="9">
        <v>0</v>
      </c>
      <c r="CT240" s="9">
        <v>0</v>
      </c>
      <c r="CU240" s="9">
        <v>0</v>
      </c>
      <c r="CV240" s="9">
        <v>0</v>
      </c>
      <c r="CW240" s="9">
        <v>0</v>
      </c>
      <c r="CX240" s="9">
        <v>0</v>
      </c>
      <c r="CY240" s="9">
        <v>0</v>
      </c>
      <c r="CZ240" s="9">
        <v>0</v>
      </c>
      <c r="DA240" s="9">
        <v>0</v>
      </c>
      <c r="DB240" s="9">
        <v>0</v>
      </c>
      <c r="DC240" s="9">
        <v>0</v>
      </c>
      <c r="DD240" s="9">
        <v>0</v>
      </c>
      <c r="DE240" s="9">
        <v>0</v>
      </c>
      <c r="DF240" s="9">
        <v>0</v>
      </c>
      <c r="DG240" s="9">
        <v>0</v>
      </c>
      <c r="DH240" s="9">
        <v>0</v>
      </c>
      <c r="DI240" s="9">
        <v>0</v>
      </c>
      <c r="DJ240" s="9">
        <v>0</v>
      </c>
      <c r="DK240" s="9">
        <v>0</v>
      </c>
      <c r="DL240" s="9">
        <v>0</v>
      </c>
      <c r="DM240" s="9">
        <v>0</v>
      </c>
      <c r="DN240" s="9">
        <v>0</v>
      </c>
      <c r="DO240" s="9">
        <v>0</v>
      </c>
      <c r="DP240" s="9">
        <v>0</v>
      </c>
      <c r="DQ240" s="9">
        <v>0</v>
      </c>
      <c r="DR240" s="9">
        <v>0</v>
      </c>
      <c r="DS240" s="9">
        <v>0</v>
      </c>
      <c r="DT240" s="9">
        <v>0</v>
      </c>
      <c r="DU240" s="9">
        <v>0</v>
      </c>
      <c r="DV240" s="9">
        <v>0</v>
      </c>
      <c r="DW240" s="9">
        <v>0</v>
      </c>
      <c r="DX240" s="9">
        <v>0</v>
      </c>
      <c r="DY240" s="9">
        <v>0</v>
      </c>
      <c r="DZ240" s="9">
        <v>0</v>
      </c>
      <c r="EA240" s="9">
        <v>0</v>
      </c>
      <c r="EB240" s="9">
        <v>0</v>
      </c>
      <c r="EC240" s="9">
        <v>0</v>
      </c>
      <c r="ED240" s="9">
        <v>0</v>
      </c>
      <c r="EE240" s="9">
        <v>0</v>
      </c>
      <c r="EF240" s="9">
        <v>0</v>
      </c>
      <c r="EG240" s="9">
        <v>0</v>
      </c>
      <c r="EH240" s="9">
        <v>0</v>
      </c>
      <c r="EI240" s="9">
        <v>0</v>
      </c>
      <c r="EJ240" s="9">
        <v>0</v>
      </c>
      <c r="EK240" s="9">
        <v>0</v>
      </c>
      <c r="EL240" s="9">
        <v>0</v>
      </c>
      <c r="EM240" s="9">
        <v>0</v>
      </c>
      <c r="EN240" s="9">
        <v>0</v>
      </c>
      <c r="EO240" s="9">
        <v>0</v>
      </c>
      <c r="EP240" s="9">
        <v>0</v>
      </c>
      <c r="EQ240" s="9">
        <v>0</v>
      </c>
      <c r="ER240" s="9">
        <v>0</v>
      </c>
      <c r="ES240" s="9">
        <v>0</v>
      </c>
      <c r="ET240" s="9">
        <v>0</v>
      </c>
      <c r="EU240" s="9">
        <v>0</v>
      </c>
      <c r="EV240" s="9">
        <v>0</v>
      </c>
      <c r="EW240" s="9">
        <v>0</v>
      </c>
      <c r="EX240" s="9">
        <v>0</v>
      </c>
      <c r="EY240" s="9">
        <v>0</v>
      </c>
      <c r="EZ240" s="9">
        <v>0</v>
      </c>
      <c r="FA240" s="9">
        <v>0</v>
      </c>
      <c r="FB240" s="9">
        <v>0</v>
      </c>
      <c r="FC240" s="9">
        <v>0</v>
      </c>
      <c r="FD240" s="9">
        <v>0</v>
      </c>
      <c r="FE240" s="9">
        <v>0</v>
      </c>
      <c r="FF240" s="9">
        <v>0</v>
      </c>
      <c r="FG240" s="9">
        <v>0</v>
      </c>
      <c r="FH240" s="9">
        <v>0</v>
      </c>
      <c r="FI240" s="9">
        <v>0</v>
      </c>
      <c r="FJ240" s="9">
        <v>0</v>
      </c>
      <c r="FK240" s="9">
        <v>0</v>
      </c>
      <c r="FL240" s="9">
        <v>0</v>
      </c>
      <c r="FM240" s="10">
        <v>0</v>
      </c>
    </row>
    <row r="241" spans="1:169" x14ac:dyDescent="0.35">
      <c r="A241" s="8" t="s">
        <v>413</v>
      </c>
      <c r="B241" s="9" t="s">
        <v>3</v>
      </c>
      <c r="C241" s="10" t="s">
        <v>4</v>
      </c>
      <c r="D241" s="62">
        <f t="shared" si="100"/>
        <v>0</v>
      </c>
      <c r="E241" s="9">
        <v>0</v>
      </c>
      <c r="F241" s="9">
        <v>0</v>
      </c>
      <c r="G241" s="9">
        <v>0</v>
      </c>
      <c r="H241" s="9">
        <v>0</v>
      </c>
      <c r="I241" s="9">
        <v>0</v>
      </c>
      <c r="J241" s="9">
        <v>0</v>
      </c>
      <c r="K241" s="9">
        <v>0</v>
      </c>
      <c r="L241" s="9">
        <v>0</v>
      </c>
      <c r="M241" s="9">
        <v>0</v>
      </c>
      <c r="N241" s="9">
        <v>0</v>
      </c>
      <c r="O241" s="9">
        <v>0</v>
      </c>
      <c r="P241" s="9">
        <v>0</v>
      </c>
      <c r="Q241" s="9">
        <v>0</v>
      </c>
      <c r="R241" s="9">
        <v>0</v>
      </c>
      <c r="S241" s="9">
        <v>0</v>
      </c>
      <c r="T241" s="9">
        <v>0</v>
      </c>
      <c r="U241" s="9">
        <v>0</v>
      </c>
      <c r="V241" s="9">
        <v>0</v>
      </c>
      <c r="W241" s="9">
        <v>0</v>
      </c>
      <c r="X241" s="9">
        <v>0</v>
      </c>
      <c r="Y241" s="9">
        <v>0</v>
      </c>
      <c r="Z241" s="9">
        <v>0</v>
      </c>
      <c r="AA241" s="9">
        <v>0</v>
      </c>
      <c r="AB241" s="9">
        <v>0</v>
      </c>
      <c r="AC241" s="9">
        <v>0</v>
      </c>
      <c r="AD241" s="9">
        <v>0</v>
      </c>
      <c r="AE241" s="9">
        <v>0</v>
      </c>
      <c r="AF241" s="9">
        <v>0</v>
      </c>
      <c r="AG241" s="9">
        <v>0</v>
      </c>
      <c r="AH241" s="9">
        <v>0</v>
      </c>
      <c r="AI241" s="9">
        <v>0</v>
      </c>
      <c r="AJ241" s="9">
        <v>0</v>
      </c>
      <c r="AK241" s="9">
        <v>0</v>
      </c>
      <c r="AL241" s="9">
        <v>0</v>
      </c>
      <c r="AM241" s="9">
        <v>0</v>
      </c>
      <c r="AN241" s="9">
        <v>0</v>
      </c>
      <c r="AO241" s="9">
        <v>0</v>
      </c>
      <c r="AP241" s="9">
        <v>0</v>
      </c>
      <c r="AQ241" s="9">
        <v>0</v>
      </c>
      <c r="AR241" s="9">
        <v>0</v>
      </c>
      <c r="AS241" s="9">
        <v>0</v>
      </c>
      <c r="AT241" s="9">
        <v>0</v>
      </c>
      <c r="AU241" s="9">
        <v>0</v>
      </c>
      <c r="AV241" s="9">
        <v>0</v>
      </c>
      <c r="AW241" s="9">
        <v>0</v>
      </c>
      <c r="AX241" s="9">
        <v>0</v>
      </c>
      <c r="AY241" s="9">
        <v>0</v>
      </c>
      <c r="AZ241" s="9">
        <v>0</v>
      </c>
      <c r="BA241" s="9">
        <v>0</v>
      </c>
      <c r="BB241" s="9">
        <v>0</v>
      </c>
      <c r="BC241" s="9">
        <v>0</v>
      </c>
      <c r="BD241" s="9">
        <v>0</v>
      </c>
      <c r="BE241" s="9">
        <v>0</v>
      </c>
      <c r="BF241" s="9">
        <v>0</v>
      </c>
      <c r="BG241" s="9">
        <v>0</v>
      </c>
      <c r="BH241" s="9">
        <v>0</v>
      </c>
      <c r="BI241" s="9">
        <v>0</v>
      </c>
      <c r="BJ241" s="9">
        <v>0</v>
      </c>
      <c r="BK241" s="9">
        <v>0</v>
      </c>
      <c r="BL241" s="9">
        <v>0</v>
      </c>
      <c r="BM241" s="9">
        <v>0</v>
      </c>
      <c r="BN241" s="9">
        <v>0</v>
      </c>
      <c r="BO241" s="9">
        <v>0</v>
      </c>
      <c r="BP241" s="9">
        <v>0</v>
      </c>
      <c r="BQ241" s="9">
        <v>0</v>
      </c>
      <c r="BR241" s="9">
        <v>0</v>
      </c>
      <c r="BS241" s="9">
        <v>0</v>
      </c>
      <c r="BT241" s="9">
        <v>0</v>
      </c>
      <c r="BU241" s="9">
        <v>0</v>
      </c>
      <c r="BV241" s="9">
        <v>0</v>
      </c>
      <c r="BW241" s="9">
        <v>0</v>
      </c>
      <c r="BX241" s="9">
        <v>0</v>
      </c>
      <c r="BY241" s="9">
        <v>0</v>
      </c>
      <c r="BZ241" s="9">
        <v>0</v>
      </c>
      <c r="CA241" s="9">
        <v>0</v>
      </c>
      <c r="CB241" s="9">
        <v>0</v>
      </c>
      <c r="CC241" s="9">
        <v>0</v>
      </c>
      <c r="CD241" s="9">
        <v>0</v>
      </c>
      <c r="CE241" s="9">
        <v>0</v>
      </c>
      <c r="CF241" s="9">
        <v>0</v>
      </c>
      <c r="CG241" s="9">
        <v>0</v>
      </c>
      <c r="CH241" s="9">
        <v>0</v>
      </c>
      <c r="CI241" s="9">
        <v>0</v>
      </c>
      <c r="CJ241" s="9">
        <v>0</v>
      </c>
      <c r="CK241" s="9">
        <v>0</v>
      </c>
      <c r="CL241" s="9">
        <v>0</v>
      </c>
      <c r="CM241" s="9">
        <v>0</v>
      </c>
      <c r="CN241" s="9">
        <v>0</v>
      </c>
      <c r="CO241" s="9">
        <v>0</v>
      </c>
      <c r="CP241" s="9">
        <v>0</v>
      </c>
      <c r="CQ241" s="9">
        <v>0</v>
      </c>
      <c r="CR241" s="9">
        <v>0</v>
      </c>
      <c r="CS241" s="9">
        <v>0</v>
      </c>
      <c r="CT241" s="9">
        <v>0</v>
      </c>
      <c r="CU241" s="9">
        <v>0</v>
      </c>
      <c r="CV241" s="9">
        <v>0</v>
      </c>
      <c r="CW241" s="9">
        <v>0</v>
      </c>
      <c r="CX241" s="9">
        <v>0</v>
      </c>
      <c r="CY241" s="9">
        <v>0</v>
      </c>
      <c r="CZ241" s="9">
        <v>0</v>
      </c>
      <c r="DA241" s="9">
        <v>0</v>
      </c>
      <c r="DB241" s="9">
        <v>0</v>
      </c>
      <c r="DC241" s="9">
        <v>0</v>
      </c>
      <c r="DD241" s="9">
        <v>0</v>
      </c>
      <c r="DE241" s="9">
        <v>0</v>
      </c>
      <c r="DF241" s="9">
        <v>0</v>
      </c>
      <c r="DG241" s="9">
        <v>0</v>
      </c>
      <c r="DH241" s="9">
        <v>0</v>
      </c>
      <c r="DI241" s="9">
        <v>0</v>
      </c>
      <c r="DJ241" s="9">
        <v>0</v>
      </c>
      <c r="DK241" s="9">
        <v>0</v>
      </c>
      <c r="DL241" s="9">
        <v>0</v>
      </c>
      <c r="DM241" s="9">
        <v>0</v>
      </c>
      <c r="DN241" s="9">
        <v>0</v>
      </c>
      <c r="DO241" s="9">
        <v>0</v>
      </c>
      <c r="DP241" s="9">
        <v>0</v>
      </c>
      <c r="DQ241" s="9">
        <v>0</v>
      </c>
      <c r="DR241" s="9">
        <v>0</v>
      </c>
      <c r="DS241" s="9">
        <v>0</v>
      </c>
      <c r="DT241" s="9">
        <v>0</v>
      </c>
      <c r="DU241" s="9">
        <v>0</v>
      </c>
      <c r="DV241" s="9">
        <v>0</v>
      </c>
      <c r="DW241" s="9">
        <v>0</v>
      </c>
      <c r="DX241" s="9">
        <v>0</v>
      </c>
      <c r="DY241" s="9">
        <v>0</v>
      </c>
      <c r="DZ241" s="9">
        <v>0</v>
      </c>
      <c r="EA241" s="9">
        <v>0</v>
      </c>
      <c r="EB241" s="9">
        <v>0</v>
      </c>
      <c r="EC241" s="9">
        <v>0</v>
      </c>
      <c r="ED241" s="9">
        <v>0</v>
      </c>
      <c r="EE241" s="9">
        <v>0</v>
      </c>
      <c r="EF241" s="9">
        <v>0</v>
      </c>
      <c r="EG241" s="9">
        <v>0</v>
      </c>
      <c r="EH241" s="9">
        <v>0</v>
      </c>
      <c r="EI241" s="9">
        <v>0</v>
      </c>
      <c r="EJ241" s="9">
        <v>0</v>
      </c>
      <c r="EK241" s="9">
        <v>0</v>
      </c>
      <c r="EL241" s="9">
        <v>0</v>
      </c>
      <c r="EM241" s="9">
        <v>0</v>
      </c>
      <c r="EN241" s="9">
        <v>0</v>
      </c>
      <c r="EO241" s="9">
        <v>0</v>
      </c>
      <c r="EP241" s="9">
        <v>0</v>
      </c>
      <c r="EQ241" s="9">
        <v>0</v>
      </c>
      <c r="ER241" s="9">
        <v>0</v>
      </c>
      <c r="ES241" s="9">
        <v>0</v>
      </c>
      <c r="ET241" s="9">
        <v>0</v>
      </c>
      <c r="EU241" s="9">
        <v>0</v>
      </c>
      <c r="EV241" s="9">
        <v>0</v>
      </c>
      <c r="EW241" s="9">
        <v>0</v>
      </c>
      <c r="EX241" s="9">
        <v>0</v>
      </c>
      <c r="EY241" s="9">
        <v>0</v>
      </c>
      <c r="EZ241" s="9">
        <v>0</v>
      </c>
      <c r="FA241" s="9">
        <v>0</v>
      </c>
      <c r="FB241" s="9">
        <v>0</v>
      </c>
      <c r="FC241" s="9">
        <v>0</v>
      </c>
      <c r="FD241" s="9">
        <v>0</v>
      </c>
      <c r="FE241" s="9">
        <v>0</v>
      </c>
      <c r="FF241" s="9">
        <v>0</v>
      </c>
      <c r="FG241" s="9">
        <v>0</v>
      </c>
      <c r="FH241" s="9">
        <v>0</v>
      </c>
      <c r="FI241" s="9">
        <v>0</v>
      </c>
      <c r="FJ241" s="9">
        <v>0</v>
      </c>
      <c r="FK241" s="9">
        <v>0</v>
      </c>
      <c r="FL241" s="9">
        <v>0</v>
      </c>
      <c r="FM241" s="10">
        <v>0</v>
      </c>
    </row>
    <row r="242" spans="1:169" x14ac:dyDescent="0.35">
      <c r="A242" s="8" t="s">
        <v>413</v>
      </c>
      <c r="B242" s="9" t="s">
        <v>418</v>
      </c>
      <c r="C242" s="10" t="s">
        <v>419</v>
      </c>
      <c r="D242" s="62">
        <f t="shared" si="100"/>
        <v>0</v>
      </c>
      <c r="E242" s="9">
        <v>0</v>
      </c>
      <c r="F242" s="9">
        <v>0</v>
      </c>
      <c r="G242" s="9">
        <v>0</v>
      </c>
      <c r="H242" s="9">
        <v>0</v>
      </c>
      <c r="I242" s="9">
        <v>0</v>
      </c>
      <c r="J242" s="9">
        <v>0</v>
      </c>
      <c r="K242" s="9">
        <v>0</v>
      </c>
      <c r="L242" s="9">
        <v>0</v>
      </c>
      <c r="M242" s="9">
        <v>0</v>
      </c>
      <c r="N242" s="9">
        <v>0</v>
      </c>
      <c r="O242" s="9">
        <v>0</v>
      </c>
      <c r="P242" s="9">
        <v>0</v>
      </c>
      <c r="Q242" s="9">
        <v>0</v>
      </c>
      <c r="R242" s="9">
        <v>0</v>
      </c>
      <c r="S242" s="9">
        <v>0</v>
      </c>
      <c r="T242" s="9">
        <v>0</v>
      </c>
      <c r="U242" s="9">
        <v>0</v>
      </c>
      <c r="V242" s="9">
        <v>0</v>
      </c>
      <c r="W242" s="9">
        <v>0</v>
      </c>
      <c r="X242" s="9">
        <v>0</v>
      </c>
      <c r="Y242" s="9">
        <v>0</v>
      </c>
      <c r="Z242" s="9">
        <v>0</v>
      </c>
      <c r="AA242" s="9">
        <v>0</v>
      </c>
      <c r="AB242" s="9">
        <v>0</v>
      </c>
      <c r="AC242" s="9">
        <v>0</v>
      </c>
      <c r="AD242" s="9">
        <v>0</v>
      </c>
      <c r="AE242" s="9">
        <v>0</v>
      </c>
      <c r="AF242" s="9">
        <v>0</v>
      </c>
      <c r="AG242" s="9">
        <v>0</v>
      </c>
      <c r="AH242" s="9">
        <v>0</v>
      </c>
      <c r="AI242" s="9">
        <v>0</v>
      </c>
      <c r="AJ242" s="9">
        <v>0</v>
      </c>
      <c r="AK242" s="9">
        <v>0</v>
      </c>
      <c r="AL242" s="9">
        <v>0</v>
      </c>
      <c r="AM242" s="9">
        <v>0</v>
      </c>
      <c r="AN242" s="9">
        <v>0</v>
      </c>
      <c r="AO242" s="9">
        <v>0</v>
      </c>
      <c r="AP242" s="9">
        <v>0</v>
      </c>
      <c r="AQ242" s="9">
        <v>0</v>
      </c>
      <c r="AR242" s="9">
        <v>0</v>
      </c>
      <c r="AS242" s="9">
        <v>0</v>
      </c>
      <c r="AT242" s="9">
        <v>0</v>
      </c>
      <c r="AU242" s="9">
        <v>0</v>
      </c>
      <c r="AV242" s="9">
        <v>0</v>
      </c>
      <c r="AW242" s="9">
        <v>0</v>
      </c>
      <c r="AX242" s="9">
        <v>0</v>
      </c>
      <c r="AY242" s="9">
        <v>0</v>
      </c>
      <c r="AZ242" s="9">
        <v>0</v>
      </c>
      <c r="BA242" s="9">
        <v>0</v>
      </c>
      <c r="BB242" s="9">
        <v>0</v>
      </c>
      <c r="BC242" s="9">
        <v>0</v>
      </c>
      <c r="BD242" s="9">
        <v>0</v>
      </c>
      <c r="BE242" s="9">
        <v>0</v>
      </c>
      <c r="BF242" s="9">
        <v>0</v>
      </c>
      <c r="BG242" s="9">
        <v>0</v>
      </c>
      <c r="BH242" s="9">
        <v>0</v>
      </c>
      <c r="BI242" s="9">
        <v>0</v>
      </c>
      <c r="BJ242" s="9">
        <v>0</v>
      </c>
      <c r="BK242" s="9">
        <v>0</v>
      </c>
      <c r="BL242" s="9">
        <v>0</v>
      </c>
      <c r="BM242" s="9">
        <v>0</v>
      </c>
      <c r="BN242" s="9">
        <v>0</v>
      </c>
      <c r="BO242" s="9">
        <v>0</v>
      </c>
      <c r="BP242" s="9">
        <v>0</v>
      </c>
      <c r="BQ242" s="9">
        <v>0</v>
      </c>
      <c r="BR242" s="9">
        <v>0</v>
      </c>
      <c r="BS242" s="9">
        <v>0</v>
      </c>
      <c r="BT242" s="9">
        <v>0</v>
      </c>
      <c r="BU242" s="9">
        <v>0</v>
      </c>
      <c r="BV242" s="9">
        <v>0</v>
      </c>
      <c r="BW242" s="9">
        <v>0</v>
      </c>
      <c r="BX242" s="9">
        <v>0</v>
      </c>
      <c r="BY242" s="9">
        <v>0</v>
      </c>
      <c r="BZ242" s="9">
        <v>0</v>
      </c>
      <c r="CA242" s="9">
        <v>0</v>
      </c>
      <c r="CB242" s="9">
        <v>0</v>
      </c>
      <c r="CC242" s="9">
        <v>0</v>
      </c>
      <c r="CD242" s="9">
        <v>0</v>
      </c>
      <c r="CE242" s="9">
        <v>0</v>
      </c>
      <c r="CF242" s="9">
        <v>0</v>
      </c>
      <c r="CG242" s="9">
        <v>0</v>
      </c>
      <c r="CH242" s="9">
        <v>0</v>
      </c>
      <c r="CI242" s="9">
        <v>0</v>
      </c>
      <c r="CJ242" s="9">
        <v>0</v>
      </c>
      <c r="CK242" s="9">
        <v>0</v>
      </c>
      <c r="CL242" s="9">
        <v>0</v>
      </c>
      <c r="CM242" s="9">
        <v>0</v>
      </c>
      <c r="CN242" s="9">
        <v>0</v>
      </c>
      <c r="CO242" s="9">
        <v>0</v>
      </c>
      <c r="CP242" s="9">
        <v>0</v>
      </c>
      <c r="CQ242" s="9">
        <v>0</v>
      </c>
      <c r="CR242" s="9">
        <v>0</v>
      </c>
      <c r="CS242" s="9">
        <v>0</v>
      </c>
      <c r="CT242" s="9">
        <v>0</v>
      </c>
      <c r="CU242" s="9">
        <v>0</v>
      </c>
      <c r="CV242" s="9">
        <v>0</v>
      </c>
      <c r="CW242" s="9">
        <v>0</v>
      </c>
      <c r="CX242" s="9">
        <v>0</v>
      </c>
      <c r="CY242" s="9">
        <v>0</v>
      </c>
      <c r="CZ242" s="9">
        <v>0</v>
      </c>
      <c r="DA242" s="9">
        <v>0</v>
      </c>
      <c r="DB242" s="9">
        <v>0</v>
      </c>
      <c r="DC242" s="9">
        <v>0</v>
      </c>
      <c r="DD242" s="9">
        <v>0</v>
      </c>
      <c r="DE242" s="9">
        <v>0</v>
      </c>
      <c r="DF242" s="9">
        <v>0</v>
      </c>
      <c r="DG242" s="9">
        <v>0</v>
      </c>
      <c r="DH242" s="9">
        <v>0</v>
      </c>
      <c r="DI242" s="9">
        <v>0</v>
      </c>
      <c r="DJ242" s="9">
        <v>0</v>
      </c>
      <c r="DK242" s="9">
        <v>0</v>
      </c>
      <c r="DL242" s="9">
        <v>0</v>
      </c>
      <c r="DM242" s="9">
        <v>0</v>
      </c>
      <c r="DN242" s="9">
        <v>0</v>
      </c>
      <c r="DO242" s="9">
        <v>0</v>
      </c>
      <c r="DP242" s="9">
        <v>0</v>
      </c>
      <c r="DQ242" s="9">
        <v>0</v>
      </c>
      <c r="DR242" s="9">
        <v>0</v>
      </c>
      <c r="DS242" s="9">
        <v>0</v>
      </c>
      <c r="DT242" s="9">
        <v>0</v>
      </c>
      <c r="DU242" s="9">
        <v>0</v>
      </c>
      <c r="DV242" s="9">
        <v>0</v>
      </c>
      <c r="DW242" s="9">
        <v>0</v>
      </c>
      <c r="DX242" s="9">
        <v>0</v>
      </c>
      <c r="DY242" s="9">
        <v>0</v>
      </c>
      <c r="DZ242" s="9">
        <v>0</v>
      </c>
      <c r="EA242" s="9">
        <v>0</v>
      </c>
      <c r="EB242" s="9">
        <v>0</v>
      </c>
      <c r="EC242" s="9">
        <v>0</v>
      </c>
      <c r="ED242" s="9">
        <v>0</v>
      </c>
      <c r="EE242" s="9">
        <v>0</v>
      </c>
      <c r="EF242" s="9">
        <v>0</v>
      </c>
      <c r="EG242" s="9">
        <v>0</v>
      </c>
      <c r="EH242" s="9">
        <v>0</v>
      </c>
      <c r="EI242" s="9">
        <v>0</v>
      </c>
      <c r="EJ242" s="9">
        <v>0</v>
      </c>
      <c r="EK242" s="9">
        <v>0</v>
      </c>
      <c r="EL242" s="9">
        <v>0</v>
      </c>
      <c r="EM242" s="9">
        <v>0</v>
      </c>
      <c r="EN242" s="9">
        <v>0</v>
      </c>
      <c r="EO242" s="9">
        <v>0</v>
      </c>
      <c r="EP242" s="9">
        <v>0</v>
      </c>
      <c r="EQ242" s="9">
        <v>0</v>
      </c>
      <c r="ER242" s="9">
        <v>0</v>
      </c>
      <c r="ES242" s="9">
        <v>0</v>
      </c>
      <c r="ET242" s="9">
        <v>0</v>
      </c>
      <c r="EU242" s="9">
        <v>0</v>
      </c>
      <c r="EV242" s="9">
        <v>0</v>
      </c>
      <c r="EW242" s="9">
        <v>0</v>
      </c>
      <c r="EX242" s="9">
        <v>0</v>
      </c>
      <c r="EY242" s="9">
        <v>0</v>
      </c>
      <c r="EZ242" s="9">
        <v>0</v>
      </c>
      <c r="FA242" s="9">
        <v>0</v>
      </c>
      <c r="FB242" s="9">
        <v>0</v>
      </c>
      <c r="FC242" s="9">
        <v>0</v>
      </c>
      <c r="FD242" s="9">
        <v>0</v>
      </c>
      <c r="FE242" s="9">
        <v>0</v>
      </c>
      <c r="FF242" s="9">
        <v>0</v>
      </c>
      <c r="FG242" s="9">
        <v>0</v>
      </c>
      <c r="FH242" s="9">
        <v>0</v>
      </c>
      <c r="FI242" s="9">
        <v>0</v>
      </c>
      <c r="FJ242" s="9">
        <v>0</v>
      </c>
      <c r="FK242" s="9">
        <v>0</v>
      </c>
      <c r="FL242" s="9">
        <v>0</v>
      </c>
      <c r="FM242" s="10">
        <v>0</v>
      </c>
    </row>
    <row r="243" spans="1:169" x14ac:dyDescent="0.35">
      <c r="A243" s="8" t="s">
        <v>413</v>
      </c>
      <c r="B243" s="9" t="s">
        <v>420</v>
      </c>
      <c r="C243" s="10" t="s">
        <v>421</v>
      </c>
      <c r="D243" s="62">
        <f t="shared" si="100"/>
        <v>12</v>
      </c>
      <c r="E243" s="9">
        <v>0</v>
      </c>
      <c r="F243" s="9">
        <v>0</v>
      </c>
      <c r="G243" s="9">
        <v>0</v>
      </c>
      <c r="H243" s="9">
        <v>0</v>
      </c>
      <c r="I243" s="9">
        <v>0</v>
      </c>
      <c r="J243" s="9">
        <v>0</v>
      </c>
      <c r="K243" s="9">
        <v>0</v>
      </c>
      <c r="L243" s="9">
        <v>0</v>
      </c>
      <c r="M243" s="9">
        <v>0</v>
      </c>
      <c r="N243" s="9">
        <v>0</v>
      </c>
      <c r="O243" s="9">
        <v>0</v>
      </c>
      <c r="P243" s="9">
        <v>0</v>
      </c>
      <c r="Q243" s="9">
        <v>0</v>
      </c>
      <c r="R243" s="9">
        <v>0</v>
      </c>
      <c r="S243" s="9">
        <v>0</v>
      </c>
      <c r="T243" s="9">
        <v>0</v>
      </c>
      <c r="U243" s="9">
        <v>0</v>
      </c>
      <c r="V243" s="9">
        <v>0</v>
      </c>
      <c r="W243" s="9">
        <v>0</v>
      </c>
      <c r="X243" s="9">
        <v>0</v>
      </c>
      <c r="Y243" s="9">
        <v>0</v>
      </c>
      <c r="Z243" s="9">
        <v>1</v>
      </c>
      <c r="AA243" s="9">
        <v>6</v>
      </c>
      <c r="AB243" s="9">
        <v>6</v>
      </c>
      <c r="AC243" s="9">
        <v>8</v>
      </c>
      <c r="AD243" s="9">
        <v>9</v>
      </c>
      <c r="AE243" s="9">
        <v>8</v>
      </c>
      <c r="AF243" s="9">
        <v>8</v>
      </c>
      <c r="AG243" s="9">
        <v>8</v>
      </c>
      <c r="AH243" s="9">
        <v>8</v>
      </c>
      <c r="AI243" s="9">
        <v>10</v>
      </c>
      <c r="AJ243" s="9">
        <v>10</v>
      </c>
      <c r="AK243" s="9">
        <v>12</v>
      </c>
      <c r="AL243" s="9">
        <v>12</v>
      </c>
      <c r="AM243" s="9">
        <v>12</v>
      </c>
      <c r="AN243" s="9">
        <v>11</v>
      </c>
      <c r="AO243" s="9">
        <v>0</v>
      </c>
      <c r="AP243" s="9">
        <v>0</v>
      </c>
      <c r="AQ243" s="9">
        <v>0</v>
      </c>
      <c r="AR243" s="9">
        <v>0</v>
      </c>
      <c r="AS243" s="9">
        <v>0</v>
      </c>
      <c r="AT243" s="9">
        <v>0</v>
      </c>
      <c r="AU243" s="9">
        <v>0</v>
      </c>
      <c r="AV243" s="9">
        <v>0</v>
      </c>
      <c r="AW243" s="9">
        <v>0</v>
      </c>
      <c r="AX243" s="9">
        <v>0</v>
      </c>
      <c r="AY243" s="9">
        <v>0</v>
      </c>
      <c r="AZ243" s="9">
        <v>0</v>
      </c>
      <c r="BA243" s="9">
        <v>0</v>
      </c>
      <c r="BB243" s="9">
        <v>0</v>
      </c>
      <c r="BC243" s="9">
        <v>0</v>
      </c>
      <c r="BD243" s="9">
        <v>0</v>
      </c>
      <c r="BE243" s="9">
        <v>0</v>
      </c>
      <c r="BF243" s="9">
        <v>0</v>
      </c>
      <c r="BG243" s="9">
        <v>0</v>
      </c>
      <c r="BH243" s="9">
        <v>0</v>
      </c>
      <c r="BI243" s="9">
        <v>0</v>
      </c>
      <c r="BJ243" s="9">
        <v>0</v>
      </c>
      <c r="BK243" s="9">
        <v>0</v>
      </c>
      <c r="BL243" s="9">
        <v>0</v>
      </c>
      <c r="BM243" s="9">
        <v>0</v>
      </c>
      <c r="BN243" s="9">
        <v>0</v>
      </c>
      <c r="BO243" s="9">
        <v>0</v>
      </c>
      <c r="BP243" s="9">
        <v>0</v>
      </c>
      <c r="BQ243" s="9">
        <v>0</v>
      </c>
      <c r="BR243" s="9">
        <v>0</v>
      </c>
      <c r="BS243" s="9">
        <v>0</v>
      </c>
      <c r="BT243" s="9">
        <v>0</v>
      </c>
      <c r="BU243" s="9">
        <v>0</v>
      </c>
      <c r="BV243" s="9">
        <v>0</v>
      </c>
      <c r="BW243" s="9">
        <v>0</v>
      </c>
      <c r="BX243" s="9">
        <v>0</v>
      </c>
      <c r="BY243" s="9">
        <v>0</v>
      </c>
      <c r="BZ243" s="9">
        <v>0</v>
      </c>
      <c r="CA243" s="9">
        <v>0</v>
      </c>
      <c r="CB243" s="9">
        <v>0</v>
      </c>
      <c r="CC243" s="9">
        <v>0</v>
      </c>
      <c r="CD243" s="9">
        <v>0</v>
      </c>
      <c r="CE243" s="9">
        <v>0</v>
      </c>
      <c r="CF243" s="9">
        <v>0</v>
      </c>
      <c r="CG243" s="9">
        <v>0</v>
      </c>
      <c r="CH243" s="9">
        <v>0</v>
      </c>
      <c r="CI243" s="9">
        <v>0</v>
      </c>
      <c r="CJ243" s="9">
        <v>0</v>
      </c>
      <c r="CK243" s="9">
        <v>0</v>
      </c>
      <c r="CL243" s="9">
        <v>0</v>
      </c>
      <c r="CM243" s="9">
        <v>0</v>
      </c>
      <c r="CN243" s="9">
        <v>0</v>
      </c>
      <c r="CO243" s="9">
        <v>0</v>
      </c>
      <c r="CP243" s="9">
        <v>0</v>
      </c>
      <c r="CQ243" s="9">
        <v>0</v>
      </c>
      <c r="CR243" s="9">
        <v>0</v>
      </c>
      <c r="CS243" s="9">
        <v>0</v>
      </c>
      <c r="CT243" s="9">
        <v>0</v>
      </c>
      <c r="CU243" s="9">
        <v>0</v>
      </c>
      <c r="CV243" s="9">
        <v>0</v>
      </c>
      <c r="CW243" s="9">
        <v>0</v>
      </c>
      <c r="CX243" s="9">
        <v>0</v>
      </c>
      <c r="CY243" s="9">
        <v>0</v>
      </c>
      <c r="CZ243" s="9">
        <v>0</v>
      </c>
      <c r="DA243" s="9">
        <v>0</v>
      </c>
      <c r="DB243" s="9">
        <v>0</v>
      </c>
      <c r="DC243" s="9">
        <v>0</v>
      </c>
      <c r="DD243" s="9">
        <v>0</v>
      </c>
      <c r="DE243" s="9">
        <v>0</v>
      </c>
      <c r="DF243" s="9">
        <v>0</v>
      </c>
      <c r="DG243" s="9">
        <v>0</v>
      </c>
      <c r="DH243" s="9">
        <v>0</v>
      </c>
      <c r="DI243" s="9">
        <v>0</v>
      </c>
      <c r="DJ243" s="9">
        <v>0</v>
      </c>
      <c r="DK243" s="9">
        <v>0</v>
      </c>
      <c r="DL243" s="9">
        <v>0</v>
      </c>
      <c r="DM243" s="9">
        <v>0</v>
      </c>
      <c r="DN243" s="9">
        <v>0</v>
      </c>
      <c r="DO243" s="9">
        <v>0</v>
      </c>
      <c r="DP243" s="9">
        <v>0</v>
      </c>
      <c r="DQ243" s="9">
        <v>0</v>
      </c>
      <c r="DR243" s="9">
        <v>0</v>
      </c>
      <c r="DS243" s="9">
        <v>0</v>
      </c>
      <c r="DT243" s="9">
        <v>0</v>
      </c>
      <c r="DU243" s="9">
        <v>0</v>
      </c>
      <c r="DV243" s="9">
        <v>0</v>
      </c>
      <c r="DW243" s="9">
        <v>0</v>
      </c>
      <c r="DX243" s="9">
        <v>0</v>
      </c>
      <c r="DY243" s="9">
        <v>0</v>
      </c>
      <c r="DZ243" s="9">
        <v>0</v>
      </c>
      <c r="EA243" s="9">
        <v>0</v>
      </c>
      <c r="EB243" s="9">
        <v>0</v>
      </c>
      <c r="EC243" s="9">
        <v>0</v>
      </c>
      <c r="ED243" s="9">
        <v>0</v>
      </c>
      <c r="EE243" s="9">
        <v>0</v>
      </c>
      <c r="EF243" s="9">
        <v>0</v>
      </c>
      <c r="EG243" s="9">
        <v>0</v>
      </c>
      <c r="EH243" s="9">
        <v>0</v>
      </c>
      <c r="EI243" s="9">
        <v>0</v>
      </c>
      <c r="EJ243" s="9">
        <v>0</v>
      </c>
      <c r="EK243" s="9">
        <v>0</v>
      </c>
      <c r="EL243" s="9">
        <v>0</v>
      </c>
      <c r="EM243" s="9">
        <v>0</v>
      </c>
      <c r="EN243" s="9">
        <v>0</v>
      </c>
      <c r="EO243" s="9">
        <v>0</v>
      </c>
      <c r="EP243" s="9">
        <v>0</v>
      </c>
      <c r="EQ243" s="9">
        <v>0</v>
      </c>
      <c r="ER243" s="9">
        <v>0</v>
      </c>
      <c r="ES243" s="9">
        <v>0</v>
      </c>
      <c r="ET243" s="9">
        <v>0</v>
      </c>
      <c r="EU243" s="9">
        <v>0</v>
      </c>
      <c r="EV243" s="9">
        <v>0</v>
      </c>
      <c r="EW243" s="9">
        <v>0</v>
      </c>
      <c r="EX243" s="9">
        <v>0</v>
      </c>
      <c r="EY243" s="9">
        <v>0</v>
      </c>
      <c r="EZ243" s="9">
        <v>0</v>
      </c>
      <c r="FA243" s="9">
        <v>0</v>
      </c>
      <c r="FB243" s="9">
        <v>0</v>
      </c>
      <c r="FC243" s="9">
        <v>0</v>
      </c>
      <c r="FD243" s="9">
        <v>0</v>
      </c>
      <c r="FE243" s="9">
        <v>0</v>
      </c>
      <c r="FF243" s="9">
        <v>0</v>
      </c>
      <c r="FG243" s="9">
        <v>0</v>
      </c>
      <c r="FH243" s="9">
        <v>0</v>
      </c>
      <c r="FI243" s="9">
        <v>0</v>
      </c>
      <c r="FJ243" s="9">
        <v>0</v>
      </c>
      <c r="FK243" s="9">
        <v>0</v>
      </c>
      <c r="FL243" s="9">
        <v>0</v>
      </c>
      <c r="FM243" s="10">
        <v>0</v>
      </c>
    </row>
    <row r="244" spans="1:169" x14ac:dyDescent="0.35">
      <c r="A244" s="8" t="s">
        <v>413</v>
      </c>
      <c r="B244" s="9" t="s">
        <v>13</v>
      </c>
      <c r="C244" s="10" t="s">
        <v>14</v>
      </c>
      <c r="D244" s="62">
        <f t="shared" si="100"/>
        <v>0</v>
      </c>
      <c r="E244" s="9">
        <v>0</v>
      </c>
      <c r="F244" s="9">
        <v>0</v>
      </c>
      <c r="G244" s="9">
        <v>0</v>
      </c>
      <c r="H244" s="9">
        <v>0</v>
      </c>
      <c r="I244" s="9">
        <v>0</v>
      </c>
      <c r="J244" s="9">
        <v>0</v>
      </c>
      <c r="K244" s="9">
        <v>0</v>
      </c>
      <c r="L244" s="9">
        <v>0</v>
      </c>
      <c r="M244" s="9">
        <v>0</v>
      </c>
      <c r="N244" s="9">
        <v>0</v>
      </c>
      <c r="O244" s="9">
        <v>0</v>
      </c>
      <c r="P244" s="9">
        <v>0</v>
      </c>
      <c r="Q244" s="9">
        <v>0</v>
      </c>
      <c r="R244" s="9">
        <v>0</v>
      </c>
      <c r="S244" s="9">
        <v>0</v>
      </c>
      <c r="T244" s="9">
        <v>0</v>
      </c>
      <c r="U244" s="9">
        <v>0</v>
      </c>
      <c r="V244" s="9">
        <v>0</v>
      </c>
      <c r="W244" s="9">
        <v>0</v>
      </c>
      <c r="X244" s="9">
        <v>0</v>
      </c>
      <c r="Y244" s="9">
        <v>0</v>
      </c>
      <c r="Z244" s="9">
        <v>0</v>
      </c>
      <c r="AA244" s="9">
        <v>0</v>
      </c>
      <c r="AB244" s="9">
        <v>0</v>
      </c>
      <c r="AC244" s="9">
        <v>0</v>
      </c>
      <c r="AD244" s="9">
        <v>0</v>
      </c>
      <c r="AE244" s="9">
        <v>0</v>
      </c>
      <c r="AF244" s="9">
        <v>0</v>
      </c>
      <c r="AG244" s="9">
        <v>0</v>
      </c>
      <c r="AH244" s="9">
        <v>0</v>
      </c>
      <c r="AI244" s="9">
        <v>0</v>
      </c>
      <c r="AJ244" s="9">
        <v>0</v>
      </c>
      <c r="AK244" s="9">
        <v>0</v>
      </c>
      <c r="AL244" s="9">
        <v>0</v>
      </c>
      <c r="AM244" s="9">
        <v>0</v>
      </c>
      <c r="AN244" s="9">
        <v>0</v>
      </c>
      <c r="AO244" s="9">
        <v>0</v>
      </c>
      <c r="AP244" s="9">
        <v>0</v>
      </c>
      <c r="AQ244" s="9">
        <v>0</v>
      </c>
      <c r="AR244" s="9">
        <v>0</v>
      </c>
      <c r="AS244" s="9">
        <v>0</v>
      </c>
      <c r="AT244" s="9">
        <v>0</v>
      </c>
      <c r="AU244" s="9">
        <v>0</v>
      </c>
      <c r="AV244" s="9">
        <v>0</v>
      </c>
      <c r="AW244" s="9">
        <v>0</v>
      </c>
      <c r="AX244" s="9">
        <v>0</v>
      </c>
      <c r="AY244" s="9">
        <v>0</v>
      </c>
      <c r="AZ244" s="9">
        <v>0</v>
      </c>
      <c r="BA244" s="9">
        <v>0</v>
      </c>
      <c r="BB244" s="9">
        <v>0</v>
      </c>
      <c r="BC244" s="9">
        <v>0</v>
      </c>
      <c r="BD244" s="9">
        <v>0</v>
      </c>
      <c r="BE244" s="9">
        <v>0</v>
      </c>
      <c r="BF244" s="9">
        <v>0</v>
      </c>
      <c r="BG244" s="9">
        <v>0</v>
      </c>
      <c r="BH244" s="9">
        <v>0</v>
      </c>
      <c r="BI244" s="9">
        <v>0</v>
      </c>
      <c r="BJ244" s="9">
        <v>0</v>
      </c>
      <c r="BK244" s="9">
        <v>0</v>
      </c>
      <c r="BL244" s="9">
        <v>0</v>
      </c>
      <c r="BM244" s="9">
        <v>0</v>
      </c>
      <c r="BN244" s="9">
        <v>0</v>
      </c>
      <c r="BO244" s="9">
        <v>0</v>
      </c>
      <c r="BP244" s="9">
        <v>0</v>
      </c>
      <c r="BQ244" s="9">
        <v>0</v>
      </c>
      <c r="BR244" s="9">
        <v>0</v>
      </c>
      <c r="BS244" s="9">
        <v>0</v>
      </c>
      <c r="BT244" s="9">
        <v>0</v>
      </c>
      <c r="BU244" s="9">
        <v>0</v>
      </c>
      <c r="BV244" s="9">
        <v>0</v>
      </c>
      <c r="BW244" s="9">
        <v>0</v>
      </c>
      <c r="BX244" s="9">
        <v>0</v>
      </c>
      <c r="BY244" s="9">
        <v>0</v>
      </c>
      <c r="BZ244" s="9">
        <v>0</v>
      </c>
      <c r="CA244" s="9">
        <v>0</v>
      </c>
      <c r="CB244" s="9">
        <v>0</v>
      </c>
      <c r="CC244" s="9">
        <v>0</v>
      </c>
      <c r="CD244" s="9">
        <v>0</v>
      </c>
      <c r="CE244" s="9">
        <v>0</v>
      </c>
      <c r="CF244" s="9">
        <v>0</v>
      </c>
      <c r="CG244" s="9">
        <v>0</v>
      </c>
      <c r="CH244" s="9">
        <v>0</v>
      </c>
      <c r="CI244" s="9">
        <v>0</v>
      </c>
      <c r="CJ244" s="9">
        <v>0</v>
      </c>
      <c r="CK244" s="9">
        <v>0</v>
      </c>
      <c r="CL244" s="9">
        <v>0</v>
      </c>
      <c r="CM244" s="9">
        <v>0</v>
      </c>
      <c r="CN244" s="9">
        <v>0</v>
      </c>
      <c r="CO244" s="9">
        <v>0</v>
      </c>
      <c r="CP244" s="9">
        <v>0</v>
      </c>
      <c r="CQ244" s="9">
        <v>0</v>
      </c>
      <c r="CR244" s="9">
        <v>0</v>
      </c>
      <c r="CS244" s="9">
        <v>0</v>
      </c>
      <c r="CT244" s="9">
        <v>0</v>
      </c>
      <c r="CU244" s="9">
        <v>0</v>
      </c>
      <c r="CV244" s="9">
        <v>0</v>
      </c>
      <c r="CW244" s="9">
        <v>0</v>
      </c>
      <c r="CX244" s="9">
        <v>0</v>
      </c>
      <c r="CY244" s="9">
        <v>0</v>
      </c>
      <c r="CZ244" s="9">
        <v>0</v>
      </c>
      <c r="DA244" s="9">
        <v>0</v>
      </c>
      <c r="DB244" s="9">
        <v>0</v>
      </c>
      <c r="DC244" s="9">
        <v>0</v>
      </c>
      <c r="DD244" s="9">
        <v>0</v>
      </c>
      <c r="DE244" s="9">
        <v>0</v>
      </c>
      <c r="DF244" s="9">
        <v>0</v>
      </c>
      <c r="DG244" s="9">
        <v>0</v>
      </c>
      <c r="DH244" s="9">
        <v>0</v>
      </c>
      <c r="DI244" s="9">
        <v>0</v>
      </c>
      <c r="DJ244" s="9">
        <v>0</v>
      </c>
      <c r="DK244" s="9">
        <v>0</v>
      </c>
      <c r="DL244" s="9">
        <v>0</v>
      </c>
      <c r="DM244" s="9">
        <v>0</v>
      </c>
      <c r="DN244" s="9">
        <v>0</v>
      </c>
      <c r="DO244" s="9">
        <v>0</v>
      </c>
      <c r="DP244" s="9">
        <v>0</v>
      </c>
      <c r="DQ244" s="9">
        <v>0</v>
      </c>
      <c r="DR244" s="9">
        <v>0</v>
      </c>
      <c r="DS244" s="9">
        <v>0</v>
      </c>
      <c r="DT244" s="9">
        <v>0</v>
      </c>
      <c r="DU244" s="9">
        <v>0</v>
      </c>
      <c r="DV244" s="9">
        <v>0</v>
      </c>
      <c r="DW244" s="9">
        <v>0</v>
      </c>
      <c r="DX244" s="9">
        <v>0</v>
      </c>
      <c r="DY244" s="9">
        <v>0</v>
      </c>
      <c r="DZ244" s="9">
        <v>0</v>
      </c>
      <c r="EA244" s="9">
        <v>0</v>
      </c>
      <c r="EB244" s="9">
        <v>0</v>
      </c>
      <c r="EC244" s="9">
        <v>0</v>
      </c>
      <c r="ED244" s="9">
        <v>0</v>
      </c>
      <c r="EE244" s="9">
        <v>0</v>
      </c>
      <c r="EF244" s="9">
        <v>0</v>
      </c>
      <c r="EG244" s="9">
        <v>0</v>
      </c>
      <c r="EH244" s="9">
        <v>0</v>
      </c>
      <c r="EI244" s="9">
        <v>0</v>
      </c>
      <c r="EJ244" s="9">
        <v>0</v>
      </c>
      <c r="EK244" s="9">
        <v>0</v>
      </c>
      <c r="EL244" s="9">
        <v>0</v>
      </c>
      <c r="EM244" s="9">
        <v>0</v>
      </c>
      <c r="EN244" s="9">
        <v>0</v>
      </c>
      <c r="EO244" s="9">
        <v>0</v>
      </c>
      <c r="EP244" s="9">
        <v>0</v>
      </c>
      <c r="EQ244" s="9">
        <v>0</v>
      </c>
      <c r="ER244" s="9">
        <v>0</v>
      </c>
      <c r="ES244" s="9">
        <v>0</v>
      </c>
      <c r="ET244" s="9">
        <v>0</v>
      </c>
      <c r="EU244" s="9">
        <v>0</v>
      </c>
      <c r="EV244" s="9">
        <v>0</v>
      </c>
      <c r="EW244" s="9">
        <v>0</v>
      </c>
      <c r="EX244" s="9">
        <v>0</v>
      </c>
      <c r="EY244" s="9">
        <v>0</v>
      </c>
      <c r="EZ244" s="9">
        <v>0</v>
      </c>
      <c r="FA244" s="9">
        <v>0</v>
      </c>
      <c r="FB244" s="9">
        <v>0</v>
      </c>
      <c r="FC244" s="9">
        <v>0</v>
      </c>
      <c r="FD244" s="9">
        <v>0</v>
      </c>
      <c r="FE244" s="9">
        <v>0</v>
      </c>
      <c r="FF244" s="9">
        <v>0</v>
      </c>
      <c r="FG244" s="9">
        <v>0</v>
      </c>
      <c r="FH244" s="9">
        <v>0</v>
      </c>
      <c r="FI244" s="9">
        <v>0</v>
      </c>
      <c r="FJ244" s="9">
        <v>0</v>
      </c>
      <c r="FK244" s="9">
        <v>0</v>
      </c>
      <c r="FL244" s="9">
        <v>0</v>
      </c>
      <c r="FM244" s="10">
        <v>0</v>
      </c>
    </row>
    <row r="245" spans="1:169" x14ac:dyDescent="0.35">
      <c r="A245" s="8" t="s">
        <v>413</v>
      </c>
      <c r="B245" s="9" t="s">
        <v>422</v>
      </c>
      <c r="C245" s="10" t="s">
        <v>423</v>
      </c>
      <c r="D245" s="62">
        <f t="shared" si="100"/>
        <v>2</v>
      </c>
      <c r="E245" s="9">
        <v>0</v>
      </c>
      <c r="F245" s="9">
        <v>0</v>
      </c>
      <c r="G245" s="9">
        <v>0</v>
      </c>
      <c r="H245" s="9">
        <v>0</v>
      </c>
      <c r="I245" s="9">
        <v>0</v>
      </c>
      <c r="J245" s="9">
        <v>0</v>
      </c>
      <c r="K245" s="9">
        <v>0</v>
      </c>
      <c r="L245" s="9">
        <v>0</v>
      </c>
      <c r="M245" s="9">
        <v>0</v>
      </c>
      <c r="N245" s="9">
        <v>0</v>
      </c>
      <c r="O245" s="9">
        <v>0</v>
      </c>
      <c r="P245" s="9">
        <v>0</v>
      </c>
      <c r="Q245" s="9">
        <v>0</v>
      </c>
      <c r="R245" s="9">
        <v>0</v>
      </c>
      <c r="S245" s="9">
        <v>0</v>
      </c>
      <c r="T245" s="9">
        <v>0</v>
      </c>
      <c r="U245" s="9">
        <v>0</v>
      </c>
      <c r="V245" s="9">
        <v>0</v>
      </c>
      <c r="W245" s="9">
        <v>0</v>
      </c>
      <c r="X245" s="9">
        <v>0</v>
      </c>
      <c r="Y245" s="9">
        <v>0</v>
      </c>
      <c r="Z245" s="9">
        <v>0</v>
      </c>
      <c r="AA245" s="9">
        <v>0</v>
      </c>
      <c r="AB245" s="9">
        <v>0</v>
      </c>
      <c r="AC245" s="9">
        <v>0</v>
      </c>
      <c r="AD245" s="9">
        <v>0</v>
      </c>
      <c r="AE245" s="9">
        <v>0</v>
      </c>
      <c r="AF245" s="9">
        <v>0</v>
      </c>
      <c r="AG245" s="9">
        <v>0</v>
      </c>
      <c r="AH245" s="9">
        <v>0</v>
      </c>
      <c r="AI245" s="9">
        <v>0</v>
      </c>
      <c r="AJ245" s="9">
        <v>0</v>
      </c>
      <c r="AK245" s="9">
        <v>0</v>
      </c>
      <c r="AL245" s="9">
        <v>0</v>
      </c>
      <c r="AM245" s="9">
        <v>0</v>
      </c>
      <c r="AN245" s="9">
        <v>0</v>
      </c>
      <c r="AO245" s="9">
        <v>0</v>
      </c>
      <c r="AP245" s="9">
        <v>0</v>
      </c>
      <c r="AQ245" s="9">
        <v>0</v>
      </c>
      <c r="AR245" s="9">
        <v>0</v>
      </c>
      <c r="AS245" s="9">
        <v>0</v>
      </c>
      <c r="AT245" s="9">
        <v>0</v>
      </c>
      <c r="AU245" s="9">
        <v>0</v>
      </c>
      <c r="AV245" s="9">
        <v>0</v>
      </c>
      <c r="AW245" s="9">
        <v>0</v>
      </c>
      <c r="AX245" s="9">
        <v>0</v>
      </c>
      <c r="AY245" s="9">
        <v>0</v>
      </c>
      <c r="AZ245" s="9">
        <v>0</v>
      </c>
      <c r="BA245" s="9">
        <v>0</v>
      </c>
      <c r="BB245" s="9">
        <v>0</v>
      </c>
      <c r="BC245" s="9">
        <v>0</v>
      </c>
      <c r="BD245" s="9">
        <v>0</v>
      </c>
      <c r="BE245" s="9">
        <v>0</v>
      </c>
      <c r="BF245" s="9">
        <v>0</v>
      </c>
      <c r="BG245" s="9">
        <v>0</v>
      </c>
      <c r="BH245" s="9">
        <v>0</v>
      </c>
      <c r="BI245" s="9">
        <v>0</v>
      </c>
      <c r="BJ245" s="9">
        <v>0</v>
      </c>
      <c r="BK245" s="9">
        <v>0</v>
      </c>
      <c r="BL245" s="9">
        <v>0</v>
      </c>
      <c r="BM245" s="9">
        <v>0</v>
      </c>
      <c r="BN245" s="9">
        <v>0</v>
      </c>
      <c r="BO245" s="9">
        <v>0</v>
      </c>
      <c r="BP245" s="9">
        <v>0</v>
      </c>
      <c r="BQ245" s="9">
        <v>0</v>
      </c>
      <c r="BR245" s="9">
        <v>0</v>
      </c>
      <c r="BS245" s="9">
        <v>0</v>
      </c>
      <c r="BT245" s="9">
        <v>0</v>
      </c>
      <c r="BU245" s="9">
        <v>0</v>
      </c>
      <c r="BV245" s="9">
        <v>0</v>
      </c>
      <c r="BW245" s="9">
        <v>0</v>
      </c>
      <c r="BX245" s="9">
        <v>0</v>
      </c>
      <c r="BY245" s="9">
        <v>0</v>
      </c>
      <c r="BZ245" s="9">
        <v>0</v>
      </c>
      <c r="CA245" s="9">
        <v>0</v>
      </c>
      <c r="CB245" s="9">
        <v>0</v>
      </c>
      <c r="CC245" s="9">
        <v>0</v>
      </c>
      <c r="CD245" s="9">
        <v>0</v>
      </c>
      <c r="CE245" s="9">
        <v>0</v>
      </c>
      <c r="CF245" s="9">
        <v>0</v>
      </c>
      <c r="CG245" s="9">
        <v>0</v>
      </c>
      <c r="CH245" s="9">
        <v>0</v>
      </c>
      <c r="CI245" s="9">
        <v>0</v>
      </c>
      <c r="CJ245" s="9">
        <v>0</v>
      </c>
      <c r="CK245" s="9">
        <v>0</v>
      </c>
      <c r="CL245" s="9">
        <v>0</v>
      </c>
      <c r="CM245" s="9">
        <v>0</v>
      </c>
      <c r="CN245" s="9">
        <v>0</v>
      </c>
      <c r="CO245" s="9">
        <v>0</v>
      </c>
      <c r="CP245" s="9">
        <v>0</v>
      </c>
      <c r="CQ245" s="9">
        <v>0</v>
      </c>
      <c r="CR245" s="9">
        <v>0</v>
      </c>
      <c r="CS245" s="9">
        <v>0</v>
      </c>
      <c r="CT245" s="9">
        <v>0</v>
      </c>
      <c r="CU245" s="9">
        <v>1</v>
      </c>
      <c r="CV245" s="9">
        <v>2</v>
      </c>
      <c r="CW245" s="9">
        <v>0</v>
      </c>
      <c r="CX245" s="9">
        <v>0</v>
      </c>
      <c r="CY245" s="9">
        <v>0</v>
      </c>
      <c r="CZ245" s="9">
        <v>0</v>
      </c>
      <c r="DA245" s="9">
        <v>0</v>
      </c>
      <c r="DB245" s="9">
        <v>0</v>
      </c>
      <c r="DC245" s="9">
        <v>0</v>
      </c>
      <c r="DD245" s="9">
        <v>0</v>
      </c>
      <c r="DE245" s="9">
        <v>0</v>
      </c>
      <c r="DF245" s="9">
        <v>0</v>
      </c>
      <c r="DG245" s="9">
        <v>0</v>
      </c>
      <c r="DH245" s="9">
        <v>0</v>
      </c>
      <c r="DI245" s="9">
        <v>0</v>
      </c>
      <c r="DJ245" s="9">
        <v>0</v>
      </c>
      <c r="DK245" s="9">
        <v>0</v>
      </c>
      <c r="DL245" s="9">
        <v>0</v>
      </c>
      <c r="DM245" s="9">
        <v>0</v>
      </c>
      <c r="DN245" s="9">
        <v>0</v>
      </c>
      <c r="DO245" s="9">
        <v>0</v>
      </c>
      <c r="DP245" s="9">
        <v>0</v>
      </c>
      <c r="DQ245" s="9">
        <v>0</v>
      </c>
      <c r="DR245" s="9">
        <v>0</v>
      </c>
      <c r="DS245" s="9">
        <v>0</v>
      </c>
      <c r="DT245" s="9">
        <v>0</v>
      </c>
      <c r="DU245" s="9">
        <v>0</v>
      </c>
      <c r="DV245" s="9">
        <v>0</v>
      </c>
      <c r="DW245" s="9">
        <v>0</v>
      </c>
      <c r="DX245" s="9">
        <v>0</v>
      </c>
      <c r="DY245" s="9">
        <v>0</v>
      </c>
      <c r="DZ245" s="9">
        <v>0</v>
      </c>
      <c r="EA245" s="9">
        <v>0</v>
      </c>
      <c r="EB245" s="9">
        <v>0</v>
      </c>
      <c r="EC245" s="9">
        <v>0</v>
      </c>
      <c r="ED245" s="9">
        <v>0</v>
      </c>
      <c r="EE245" s="9">
        <v>0</v>
      </c>
      <c r="EF245" s="9">
        <v>0</v>
      </c>
      <c r="EG245" s="9">
        <v>0</v>
      </c>
      <c r="EH245" s="9">
        <v>0</v>
      </c>
      <c r="EI245" s="9">
        <v>0</v>
      </c>
      <c r="EJ245" s="9">
        <v>0</v>
      </c>
      <c r="EK245" s="9">
        <v>0</v>
      </c>
      <c r="EL245" s="9">
        <v>0</v>
      </c>
      <c r="EM245" s="9">
        <v>0</v>
      </c>
      <c r="EN245" s="9">
        <v>0</v>
      </c>
      <c r="EO245" s="9">
        <v>0</v>
      </c>
      <c r="EP245" s="9">
        <v>0</v>
      </c>
      <c r="EQ245" s="9">
        <v>0</v>
      </c>
      <c r="ER245" s="9">
        <v>0</v>
      </c>
      <c r="ES245" s="9">
        <v>0</v>
      </c>
      <c r="ET245" s="9">
        <v>0</v>
      </c>
      <c r="EU245" s="9">
        <v>0</v>
      </c>
      <c r="EV245" s="9">
        <v>0</v>
      </c>
      <c r="EW245" s="9">
        <v>0</v>
      </c>
      <c r="EX245" s="9">
        <v>0</v>
      </c>
      <c r="EY245" s="9">
        <v>0</v>
      </c>
      <c r="EZ245" s="9">
        <v>0</v>
      </c>
      <c r="FA245" s="9">
        <v>0</v>
      </c>
      <c r="FB245" s="9">
        <v>0</v>
      </c>
      <c r="FC245" s="9">
        <v>0</v>
      </c>
      <c r="FD245" s="9">
        <v>0</v>
      </c>
      <c r="FE245" s="9">
        <v>0</v>
      </c>
      <c r="FF245" s="9">
        <v>0</v>
      </c>
      <c r="FG245" s="9">
        <v>0</v>
      </c>
      <c r="FH245" s="9">
        <v>0</v>
      </c>
      <c r="FI245" s="9">
        <v>0</v>
      </c>
      <c r="FJ245" s="9">
        <v>0</v>
      </c>
      <c r="FK245" s="9">
        <v>0</v>
      </c>
      <c r="FL245" s="9">
        <v>0</v>
      </c>
      <c r="FM245" s="10">
        <v>0</v>
      </c>
    </row>
    <row r="246" spans="1:169" x14ac:dyDescent="0.35">
      <c r="A246" s="8" t="s">
        <v>413</v>
      </c>
      <c r="B246" s="9" t="s">
        <v>424</v>
      </c>
      <c r="C246" s="10" t="s">
        <v>425</v>
      </c>
      <c r="D246" s="62">
        <f t="shared" si="100"/>
        <v>37</v>
      </c>
      <c r="E246" s="9">
        <v>0</v>
      </c>
      <c r="F246" s="9">
        <v>0</v>
      </c>
      <c r="G246" s="9">
        <v>0</v>
      </c>
      <c r="H246" s="9">
        <v>0</v>
      </c>
      <c r="I246" s="9">
        <v>0</v>
      </c>
      <c r="J246" s="9">
        <v>0</v>
      </c>
      <c r="K246" s="9">
        <v>0</v>
      </c>
      <c r="L246" s="9">
        <v>0</v>
      </c>
      <c r="M246" s="9">
        <v>0</v>
      </c>
      <c r="N246" s="9">
        <v>0</v>
      </c>
      <c r="O246" s="9">
        <v>0</v>
      </c>
      <c r="P246" s="9">
        <v>0</v>
      </c>
      <c r="Q246" s="9">
        <v>0</v>
      </c>
      <c r="R246" s="9">
        <v>0</v>
      </c>
      <c r="S246" s="9">
        <v>0</v>
      </c>
      <c r="T246" s="9">
        <v>0</v>
      </c>
      <c r="U246" s="9">
        <v>0</v>
      </c>
      <c r="V246" s="9">
        <v>0</v>
      </c>
      <c r="W246" s="9">
        <v>0</v>
      </c>
      <c r="X246" s="9">
        <v>0</v>
      </c>
      <c r="Y246" s="9">
        <v>0</v>
      </c>
      <c r="Z246" s="9">
        <v>0</v>
      </c>
      <c r="AA246" s="9">
        <v>0</v>
      </c>
      <c r="AB246" s="9">
        <v>0</v>
      </c>
      <c r="AC246" s="9">
        <v>0</v>
      </c>
      <c r="AD246" s="9">
        <v>26</v>
      </c>
      <c r="AE246" s="9">
        <v>31</v>
      </c>
      <c r="AF246" s="9">
        <v>34</v>
      </c>
      <c r="AG246" s="9">
        <v>34</v>
      </c>
      <c r="AH246" s="9">
        <v>35</v>
      </c>
      <c r="AI246" s="9">
        <v>35</v>
      </c>
      <c r="AJ246" s="9">
        <v>36</v>
      </c>
      <c r="AK246" s="9">
        <v>37</v>
      </c>
      <c r="AL246" s="9">
        <v>34</v>
      </c>
      <c r="AM246" s="9">
        <v>22</v>
      </c>
      <c r="AN246" s="9">
        <v>10</v>
      </c>
      <c r="AO246" s="9">
        <v>10</v>
      </c>
      <c r="AP246" s="9">
        <v>9</v>
      </c>
      <c r="AQ246" s="9">
        <v>12</v>
      </c>
      <c r="AR246" s="9">
        <v>12</v>
      </c>
      <c r="AS246" s="9">
        <v>5</v>
      </c>
      <c r="AT246" s="9">
        <v>7</v>
      </c>
      <c r="AU246" s="9">
        <v>10</v>
      </c>
      <c r="AV246" s="9">
        <v>6</v>
      </c>
      <c r="AW246" s="9">
        <v>5</v>
      </c>
      <c r="AX246" s="9">
        <v>5</v>
      </c>
      <c r="AY246" s="9">
        <v>5</v>
      </c>
      <c r="AZ246" s="9">
        <v>3</v>
      </c>
      <c r="BA246" s="9">
        <v>2</v>
      </c>
      <c r="BB246" s="9">
        <v>2</v>
      </c>
      <c r="BC246" s="9">
        <v>2</v>
      </c>
      <c r="BD246" s="9">
        <v>1</v>
      </c>
      <c r="BE246" s="9">
        <v>1</v>
      </c>
      <c r="BF246" s="9">
        <v>1</v>
      </c>
      <c r="BG246" s="9">
        <v>1</v>
      </c>
      <c r="BH246" s="9">
        <v>1</v>
      </c>
      <c r="BI246" s="9">
        <v>2</v>
      </c>
      <c r="BJ246" s="9">
        <v>2</v>
      </c>
      <c r="BK246" s="9">
        <v>3</v>
      </c>
      <c r="BL246" s="9">
        <v>2</v>
      </c>
      <c r="BM246" s="9">
        <v>3</v>
      </c>
      <c r="BN246" s="9">
        <v>4</v>
      </c>
      <c r="BO246" s="9">
        <v>4</v>
      </c>
      <c r="BP246" s="9">
        <v>4</v>
      </c>
      <c r="BQ246" s="9">
        <v>4</v>
      </c>
      <c r="BR246" s="9">
        <v>3</v>
      </c>
      <c r="BS246" s="9">
        <v>3</v>
      </c>
      <c r="BT246" s="9">
        <v>4</v>
      </c>
      <c r="BU246" s="9">
        <v>4</v>
      </c>
      <c r="BV246" s="9">
        <v>4</v>
      </c>
      <c r="BW246" s="9">
        <v>4</v>
      </c>
      <c r="BX246" s="9">
        <v>4</v>
      </c>
      <c r="BY246" s="9">
        <v>4</v>
      </c>
      <c r="BZ246" s="9">
        <v>4</v>
      </c>
      <c r="CA246" s="9">
        <v>4</v>
      </c>
      <c r="CB246" s="9">
        <v>4</v>
      </c>
      <c r="CC246" s="9">
        <v>4</v>
      </c>
      <c r="CD246" s="9">
        <v>4</v>
      </c>
      <c r="CE246" s="9">
        <v>4</v>
      </c>
      <c r="CF246" s="9">
        <v>4</v>
      </c>
      <c r="CG246" s="9">
        <v>4</v>
      </c>
      <c r="CH246" s="9">
        <v>2</v>
      </c>
      <c r="CI246" s="9">
        <v>1</v>
      </c>
      <c r="CJ246" s="9">
        <v>0</v>
      </c>
      <c r="CK246" s="9">
        <v>0</v>
      </c>
      <c r="CL246" s="9">
        <v>0</v>
      </c>
      <c r="CM246" s="9">
        <v>0</v>
      </c>
      <c r="CN246" s="9">
        <v>0</v>
      </c>
      <c r="CO246" s="9">
        <v>0</v>
      </c>
      <c r="CP246" s="9">
        <v>0</v>
      </c>
      <c r="CQ246" s="9">
        <v>0</v>
      </c>
      <c r="CR246" s="9">
        <v>0</v>
      </c>
      <c r="CS246" s="9">
        <v>1</v>
      </c>
      <c r="CT246" s="9">
        <v>1</v>
      </c>
      <c r="CU246" s="9">
        <v>1</v>
      </c>
      <c r="CV246" s="9">
        <v>1</v>
      </c>
      <c r="CW246" s="9">
        <v>1</v>
      </c>
      <c r="CX246" s="9">
        <v>1</v>
      </c>
      <c r="CY246" s="9">
        <v>1</v>
      </c>
      <c r="CZ246" s="9">
        <v>1</v>
      </c>
      <c r="DA246" s="9">
        <v>1</v>
      </c>
      <c r="DB246" s="9">
        <v>0</v>
      </c>
      <c r="DC246" s="9">
        <v>0</v>
      </c>
      <c r="DD246" s="9">
        <v>0</v>
      </c>
      <c r="DE246" s="9">
        <v>0</v>
      </c>
      <c r="DF246" s="9">
        <v>0</v>
      </c>
      <c r="DG246" s="9">
        <v>0</v>
      </c>
      <c r="DH246" s="9">
        <v>0</v>
      </c>
      <c r="DI246" s="9">
        <v>0</v>
      </c>
      <c r="DJ246" s="9">
        <v>0</v>
      </c>
      <c r="DK246" s="9">
        <v>0</v>
      </c>
      <c r="DL246" s="9">
        <v>0</v>
      </c>
      <c r="DM246" s="9">
        <v>0</v>
      </c>
      <c r="DN246" s="9">
        <v>0</v>
      </c>
      <c r="DO246" s="9">
        <v>0</v>
      </c>
      <c r="DP246" s="9">
        <v>0</v>
      </c>
      <c r="DQ246" s="9">
        <v>0</v>
      </c>
      <c r="DR246" s="9">
        <v>0</v>
      </c>
      <c r="DS246" s="9">
        <v>0</v>
      </c>
      <c r="DT246" s="9">
        <v>1</v>
      </c>
      <c r="DU246" s="9">
        <v>1</v>
      </c>
      <c r="DV246" s="9">
        <v>1</v>
      </c>
      <c r="DW246" s="9">
        <v>1</v>
      </c>
      <c r="DX246" s="9">
        <v>1</v>
      </c>
      <c r="DY246" s="9">
        <v>1</v>
      </c>
      <c r="DZ246" s="9">
        <v>2</v>
      </c>
      <c r="EA246" s="9">
        <v>2</v>
      </c>
      <c r="EB246" s="9">
        <v>1</v>
      </c>
      <c r="EC246" s="9">
        <v>0</v>
      </c>
      <c r="ED246" s="9">
        <v>1</v>
      </c>
      <c r="EE246" s="9">
        <v>1</v>
      </c>
      <c r="EF246" s="9">
        <v>1</v>
      </c>
      <c r="EG246" s="9">
        <v>1</v>
      </c>
      <c r="EH246" s="9">
        <v>1</v>
      </c>
      <c r="EI246" s="9">
        <v>1</v>
      </c>
      <c r="EJ246" s="9">
        <v>1</v>
      </c>
      <c r="EK246" s="9">
        <v>0</v>
      </c>
      <c r="EL246" s="9">
        <v>0</v>
      </c>
      <c r="EM246" s="9">
        <v>0</v>
      </c>
      <c r="EN246" s="9">
        <v>0</v>
      </c>
      <c r="EO246" s="9">
        <v>0</v>
      </c>
      <c r="EP246" s="9">
        <v>1</v>
      </c>
      <c r="EQ246" s="9">
        <v>1</v>
      </c>
      <c r="ER246" s="9">
        <v>1</v>
      </c>
      <c r="ES246" s="9">
        <v>0</v>
      </c>
      <c r="ET246" s="9">
        <v>0</v>
      </c>
      <c r="EU246" s="9">
        <v>0</v>
      </c>
      <c r="EV246" s="9">
        <v>0</v>
      </c>
      <c r="EW246" s="9">
        <v>0</v>
      </c>
      <c r="EX246" s="9">
        <v>0</v>
      </c>
      <c r="EY246" s="9">
        <v>0</v>
      </c>
      <c r="EZ246" s="9">
        <v>0</v>
      </c>
      <c r="FA246" s="9">
        <v>0</v>
      </c>
      <c r="FB246" s="9">
        <v>0</v>
      </c>
      <c r="FC246" s="9">
        <v>0</v>
      </c>
      <c r="FD246" s="9">
        <v>0</v>
      </c>
      <c r="FE246" s="9">
        <v>0</v>
      </c>
      <c r="FF246" s="9">
        <v>0</v>
      </c>
      <c r="FG246" s="9">
        <v>0</v>
      </c>
      <c r="FH246" s="9">
        <v>0</v>
      </c>
      <c r="FI246" s="9">
        <v>0</v>
      </c>
      <c r="FJ246" s="9">
        <v>0</v>
      </c>
      <c r="FK246" s="9">
        <v>0</v>
      </c>
      <c r="FL246" s="9">
        <v>0</v>
      </c>
      <c r="FM246" s="10">
        <v>0</v>
      </c>
    </row>
    <row r="247" spans="1:169" x14ac:dyDescent="0.35">
      <c r="A247" s="8" t="s">
        <v>413</v>
      </c>
      <c r="B247" s="9" t="s">
        <v>19</v>
      </c>
      <c r="C247" s="10" t="s">
        <v>20</v>
      </c>
      <c r="D247" s="62">
        <f t="shared" si="100"/>
        <v>6</v>
      </c>
      <c r="E247" s="9">
        <v>0</v>
      </c>
      <c r="F247" s="9">
        <v>0</v>
      </c>
      <c r="G247" s="9">
        <v>0</v>
      </c>
      <c r="H247" s="9">
        <v>0</v>
      </c>
      <c r="I247" s="9">
        <v>0</v>
      </c>
      <c r="J247" s="9">
        <v>0</v>
      </c>
      <c r="K247" s="9">
        <v>0</v>
      </c>
      <c r="L247" s="9">
        <v>0</v>
      </c>
      <c r="M247" s="9">
        <v>0</v>
      </c>
      <c r="N247" s="9">
        <v>0</v>
      </c>
      <c r="O247" s="9">
        <v>0</v>
      </c>
      <c r="P247" s="9">
        <v>0</v>
      </c>
      <c r="Q247" s="9">
        <v>0</v>
      </c>
      <c r="R247" s="9">
        <v>0</v>
      </c>
      <c r="S247" s="9">
        <v>2</v>
      </c>
      <c r="T247" s="9">
        <v>2</v>
      </c>
      <c r="U247" s="9">
        <v>1</v>
      </c>
      <c r="V247" s="9">
        <v>2</v>
      </c>
      <c r="W247" s="9">
        <v>2</v>
      </c>
      <c r="X247" s="9">
        <v>4</v>
      </c>
      <c r="Y247" s="9">
        <v>5</v>
      </c>
      <c r="Z247" s="9">
        <v>4</v>
      </c>
      <c r="AA247" s="9">
        <v>4</v>
      </c>
      <c r="AB247" s="9">
        <v>4</v>
      </c>
      <c r="AC247" s="9">
        <v>4</v>
      </c>
      <c r="AD247" s="9">
        <v>4</v>
      </c>
      <c r="AE247" s="9">
        <v>4</v>
      </c>
      <c r="AF247" s="9">
        <v>3</v>
      </c>
      <c r="AG247" s="9">
        <v>4</v>
      </c>
      <c r="AH247" s="9">
        <v>3</v>
      </c>
      <c r="AI247" s="9">
        <v>3</v>
      </c>
      <c r="AJ247" s="9">
        <v>2</v>
      </c>
      <c r="AK247" s="9">
        <v>3</v>
      </c>
      <c r="AL247" s="9">
        <v>3</v>
      </c>
      <c r="AM247" s="9">
        <v>2</v>
      </c>
      <c r="AN247" s="9">
        <v>2</v>
      </c>
      <c r="AO247" s="9">
        <v>4</v>
      </c>
      <c r="AP247" s="9">
        <v>6</v>
      </c>
      <c r="AQ247" s="9">
        <v>3</v>
      </c>
      <c r="AR247" s="9">
        <v>3</v>
      </c>
      <c r="AS247" s="9">
        <v>0</v>
      </c>
      <c r="AT247" s="9">
        <v>2</v>
      </c>
      <c r="AU247" s="9">
        <v>4</v>
      </c>
      <c r="AV247" s="9">
        <v>3</v>
      </c>
      <c r="AW247" s="9">
        <v>3</v>
      </c>
      <c r="AX247" s="9">
        <v>3</v>
      </c>
      <c r="AY247" s="9">
        <v>4</v>
      </c>
      <c r="AZ247" s="9">
        <v>4</v>
      </c>
      <c r="BA247" s="9">
        <v>3</v>
      </c>
      <c r="BB247" s="9">
        <v>2</v>
      </c>
      <c r="BC247" s="9">
        <v>1</v>
      </c>
      <c r="BD247" s="9">
        <v>1</v>
      </c>
      <c r="BE247" s="9">
        <v>1</v>
      </c>
      <c r="BF247" s="9">
        <v>1</v>
      </c>
      <c r="BG247" s="9">
        <v>1</v>
      </c>
      <c r="BH247" s="9">
        <v>1</v>
      </c>
      <c r="BI247" s="9">
        <v>0</v>
      </c>
      <c r="BJ247" s="9">
        <v>0</v>
      </c>
      <c r="BK247" s="9">
        <v>0</v>
      </c>
      <c r="BL247" s="9">
        <v>0</v>
      </c>
      <c r="BM247" s="9">
        <v>0</v>
      </c>
      <c r="BN247" s="9">
        <v>0</v>
      </c>
      <c r="BO247" s="9">
        <v>0</v>
      </c>
      <c r="BP247" s="9">
        <v>0</v>
      </c>
      <c r="BQ247" s="9">
        <v>0</v>
      </c>
      <c r="BR247" s="9">
        <v>0</v>
      </c>
      <c r="BS247" s="9">
        <v>0</v>
      </c>
      <c r="BT247" s="9">
        <v>0</v>
      </c>
      <c r="BU247" s="9">
        <v>0</v>
      </c>
      <c r="BV247" s="9">
        <v>0</v>
      </c>
      <c r="BW247" s="9">
        <v>0</v>
      </c>
      <c r="BX247" s="9">
        <v>0</v>
      </c>
      <c r="BY247" s="9">
        <v>0</v>
      </c>
      <c r="BZ247" s="9">
        <v>0</v>
      </c>
      <c r="CA247" s="9">
        <v>0</v>
      </c>
      <c r="CB247" s="9">
        <v>0</v>
      </c>
      <c r="CC247" s="9">
        <v>0</v>
      </c>
      <c r="CD247" s="9">
        <v>0</v>
      </c>
      <c r="CE247" s="9">
        <v>0</v>
      </c>
      <c r="CF247" s="9">
        <v>0</v>
      </c>
      <c r="CG247" s="9">
        <v>0</v>
      </c>
      <c r="CH247" s="9">
        <v>0</v>
      </c>
      <c r="CI247" s="9">
        <v>0</v>
      </c>
      <c r="CJ247" s="9">
        <v>0</v>
      </c>
      <c r="CK247" s="9">
        <v>0</v>
      </c>
      <c r="CL247" s="9">
        <v>0</v>
      </c>
      <c r="CM247" s="9">
        <v>0</v>
      </c>
      <c r="CN247" s="9">
        <v>0</v>
      </c>
      <c r="CO247" s="9">
        <v>0</v>
      </c>
      <c r="CP247" s="9">
        <v>0</v>
      </c>
      <c r="CQ247" s="9">
        <v>0</v>
      </c>
      <c r="CR247" s="9">
        <v>0</v>
      </c>
      <c r="CS247" s="9">
        <v>0</v>
      </c>
      <c r="CT247" s="9">
        <v>0</v>
      </c>
      <c r="CU247" s="9">
        <v>0</v>
      </c>
      <c r="CV247" s="9">
        <v>0</v>
      </c>
      <c r="CW247" s="9">
        <v>0</v>
      </c>
      <c r="CX247" s="9">
        <v>0</v>
      </c>
      <c r="CY247" s="9">
        <v>0</v>
      </c>
      <c r="CZ247" s="9">
        <v>0</v>
      </c>
      <c r="DA247" s="9">
        <v>0</v>
      </c>
      <c r="DB247" s="9">
        <v>0</v>
      </c>
      <c r="DC247" s="9">
        <v>0</v>
      </c>
      <c r="DD247" s="9">
        <v>0</v>
      </c>
      <c r="DE247" s="9">
        <v>0</v>
      </c>
      <c r="DF247" s="9">
        <v>0</v>
      </c>
      <c r="DG247" s="9">
        <v>0</v>
      </c>
      <c r="DH247" s="9">
        <v>0</v>
      </c>
      <c r="DI247" s="9">
        <v>0</v>
      </c>
      <c r="DJ247" s="9">
        <v>0</v>
      </c>
      <c r="DK247" s="9">
        <v>0</v>
      </c>
      <c r="DL247" s="9">
        <v>0</v>
      </c>
      <c r="DM247" s="9">
        <v>0</v>
      </c>
      <c r="DN247" s="9">
        <v>0</v>
      </c>
      <c r="DO247" s="9">
        <v>0</v>
      </c>
      <c r="DP247" s="9">
        <v>0</v>
      </c>
      <c r="DQ247" s="9">
        <v>0</v>
      </c>
      <c r="DR247" s="9">
        <v>0</v>
      </c>
      <c r="DS247" s="9">
        <v>0</v>
      </c>
      <c r="DT247" s="9">
        <v>0</v>
      </c>
      <c r="DU247" s="9">
        <v>0</v>
      </c>
      <c r="DV247" s="9">
        <v>0</v>
      </c>
      <c r="DW247" s="9">
        <v>0</v>
      </c>
      <c r="DX247" s="9">
        <v>0</v>
      </c>
      <c r="DY247" s="9">
        <v>0</v>
      </c>
      <c r="DZ247" s="9">
        <v>0</v>
      </c>
      <c r="EA247" s="9">
        <v>0</v>
      </c>
      <c r="EB247" s="9">
        <v>0</v>
      </c>
      <c r="EC247" s="9">
        <v>0</v>
      </c>
      <c r="ED247" s="9">
        <v>0</v>
      </c>
      <c r="EE247" s="9">
        <v>0</v>
      </c>
      <c r="EF247" s="9">
        <v>0</v>
      </c>
      <c r="EG247" s="9">
        <v>0</v>
      </c>
      <c r="EH247" s="9">
        <v>0</v>
      </c>
      <c r="EI247" s="9">
        <v>0</v>
      </c>
      <c r="EJ247" s="9">
        <v>0</v>
      </c>
      <c r="EK247" s="9">
        <v>0</v>
      </c>
      <c r="EL247" s="9">
        <v>0</v>
      </c>
      <c r="EM247" s="9">
        <v>0</v>
      </c>
      <c r="EN247" s="9">
        <v>0</v>
      </c>
      <c r="EO247" s="9">
        <v>0</v>
      </c>
      <c r="EP247" s="9">
        <v>0</v>
      </c>
      <c r="EQ247" s="9">
        <v>0</v>
      </c>
      <c r="ER247" s="9">
        <v>0</v>
      </c>
      <c r="ES247" s="9">
        <v>0</v>
      </c>
      <c r="ET247" s="9">
        <v>0</v>
      </c>
      <c r="EU247" s="9">
        <v>0</v>
      </c>
      <c r="EV247" s="9">
        <v>0</v>
      </c>
      <c r="EW247" s="9">
        <v>0</v>
      </c>
      <c r="EX247" s="9">
        <v>0</v>
      </c>
      <c r="EY247" s="9">
        <v>0</v>
      </c>
      <c r="EZ247" s="9">
        <v>0</v>
      </c>
      <c r="FA247" s="9">
        <v>0</v>
      </c>
      <c r="FB247" s="9">
        <v>0</v>
      </c>
      <c r="FC247" s="9">
        <v>0</v>
      </c>
      <c r="FD247" s="9">
        <v>0</v>
      </c>
      <c r="FE247" s="9">
        <v>0</v>
      </c>
      <c r="FF247" s="9">
        <v>0</v>
      </c>
      <c r="FG247" s="9">
        <v>0</v>
      </c>
      <c r="FH247" s="9">
        <v>0</v>
      </c>
      <c r="FI247" s="9">
        <v>0</v>
      </c>
      <c r="FJ247" s="9">
        <v>0</v>
      </c>
      <c r="FK247" s="9">
        <v>0</v>
      </c>
      <c r="FL247" s="9">
        <v>0</v>
      </c>
      <c r="FM247" s="10">
        <v>0</v>
      </c>
    </row>
    <row r="248" spans="1:169" x14ac:dyDescent="0.35">
      <c r="A248" s="8" t="s">
        <v>413</v>
      </c>
      <c r="B248" s="9" t="s">
        <v>21</v>
      </c>
      <c r="C248" s="10" t="s">
        <v>22</v>
      </c>
      <c r="D248" s="62">
        <f t="shared" si="100"/>
        <v>0</v>
      </c>
      <c r="E248" s="9">
        <v>0</v>
      </c>
      <c r="F248" s="9">
        <v>0</v>
      </c>
      <c r="G248" s="9">
        <v>0</v>
      </c>
      <c r="H248" s="9">
        <v>0</v>
      </c>
      <c r="I248" s="9">
        <v>0</v>
      </c>
      <c r="J248" s="9">
        <v>0</v>
      </c>
      <c r="K248" s="9">
        <v>0</v>
      </c>
      <c r="L248" s="9">
        <v>0</v>
      </c>
      <c r="M248" s="9">
        <v>0</v>
      </c>
      <c r="N248" s="9">
        <v>0</v>
      </c>
      <c r="O248" s="9">
        <v>0</v>
      </c>
      <c r="P248" s="9">
        <v>0</v>
      </c>
      <c r="Q248" s="9">
        <v>0</v>
      </c>
      <c r="R248" s="9">
        <v>0</v>
      </c>
      <c r="S248" s="9">
        <v>0</v>
      </c>
      <c r="T248" s="9">
        <v>0</v>
      </c>
      <c r="U248" s="9">
        <v>0</v>
      </c>
      <c r="V248" s="9">
        <v>0</v>
      </c>
      <c r="W248" s="9">
        <v>0</v>
      </c>
      <c r="X248" s="9">
        <v>0</v>
      </c>
      <c r="Y248" s="9">
        <v>0</v>
      </c>
      <c r="Z248" s="9">
        <v>0</v>
      </c>
      <c r="AA248" s="9">
        <v>0</v>
      </c>
      <c r="AB248" s="9">
        <v>0</v>
      </c>
      <c r="AC248" s="9">
        <v>0</v>
      </c>
      <c r="AD248" s="9">
        <v>0</v>
      </c>
      <c r="AE248" s="9">
        <v>0</v>
      </c>
      <c r="AF248" s="9">
        <v>0</v>
      </c>
      <c r="AG248" s="9">
        <v>0</v>
      </c>
      <c r="AH248" s="9">
        <v>0</v>
      </c>
      <c r="AI248" s="9">
        <v>0</v>
      </c>
      <c r="AJ248" s="9">
        <v>0</v>
      </c>
      <c r="AK248" s="9">
        <v>0</v>
      </c>
      <c r="AL248" s="9">
        <v>0</v>
      </c>
      <c r="AM248" s="9">
        <v>0</v>
      </c>
      <c r="AN248" s="9">
        <v>0</v>
      </c>
      <c r="AO248" s="9">
        <v>0</v>
      </c>
      <c r="AP248" s="9">
        <v>0</v>
      </c>
      <c r="AQ248" s="9">
        <v>0</v>
      </c>
      <c r="AR248" s="9">
        <v>0</v>
      </c>
      <c r="AS248" s="9">
        <v>0</v>
      </c>
      <c r="AT248" s="9">
        <v>0</v>
      </c>
      <c r="AU248" s="9">
        <v>0</v>
      </c>
      <c r="AV248" s="9">
        <v>0</v>
      </c>
      <c r="AW248" s="9">
        <v>0</v>
      </c>
      <c r="AX248" s="9">
        <v>0</v>
      </c>
      <c r="AY248" s="9">
        <v>0</v>
      </c>
      <c r="AZ248" s="9">
        <v>0</v>
      </c>
      <c r="BA248" s="9">
        <v>0</v>
      </c>
      <c r="BB248" s="9">
        <v>0</v>
      </c>
      <c r="BC248" s="9">
        <v>0</v>
      </c>
      <c r="BD248" s="9">
        <v>0</v>
      </c>
      <c r="BE248" s="9">
        <v>0</v>
      </c>
      <c r="BF248" s="9">
        <v>0</v>
      </c>
      <c r="BG248" s="9">
        <v>0</v>
      </c>
      <c r="BH248" s="9">
        <v>0</v>
      </c>
      <c r="BI248" s="9">
        <v>0</v>
      </c>
      <c r="BJ248" s="9">
        <v>0</v>
      </c>
      <c r="BK248" s="9">
        <v>0</v>
      </c>
      <c r="BL248" s="9">
        <v>0</v>
      </c>
      <c r="BM248" s="9">
        <v>0</v>
      </c>
      <c r="BN248" s="9">
        <v>0</v>
      </c>
      <c r="BO248" s="9">
        <v>0</v>
      </c>
      <c r="BP248" s="9">
        <v>0</v>
      </c>
      <c r="BQ248" s="9">
        <v>0</v>
      </c>
      <c r="BR248" s="9">
        <v>0</v>
      </c>
      <c r="BS248" s="9">
        <v>0</v>
      </c>
      <c r="BT248" s="9">
        <v>0</v>
      </c>
      <c r="BU248" s="9">
        <v>0</v>
      </c>
      <c r="BV248" s="9">
        <v>0</v>
      </c>
      <c r="BW248" s="9">
        <v>0</v>
      </c>
      <c r="BX248" s="9">
        <v>0</v>
      </c>
      <c r="BY248" s="9">
        <v>0</v>
      </c>
      <c r="BZ248" s="9">
        <v>0</v>
      </c>
      <c r="CA248" s="9">
        <v>0</v>
      </c>
      <c r="CB248" s="9">
        <v>0</v>
      </c>
      <c r="CC248" s="9">
        <v>0</v>
      </c>
      <c r="CD248" s="9">
        <v>0</v>
      </c>
      <c r="CE248" s="9">
        <v>0</v>
      </c>
      <c r="CF248" s="9">
        <v>0</v>
      </c>
      <c r="CG248" s="9">
        <v>0</v>
      </c>
      <c r="CH248" s="9">
        <v>0</v>
      </c>
      <c r="CI248" s="9">
        <v>0</v>
      </c>
      <c r="CJ248" s="9">
        <v>0</v>
      </c>
      <c r="CK248" s="9">
        <v>0</v>
      </c>
      <c r="CL248" s="9">
        <v>0</v>
      </c>
      <c r="CM248" s="9">
        <v>0</v>
      </c>
      <c r="CN248" s="9">
        <v>0</v>
      </c>
      <c r="CO248" s="9">
        <v>0</v>
      </c>
      <c r="CP248" s="9">
        <v>0</v>
      </c>
      <c r="CQ248" s="9">
        <v>0</v>
      </c>
      <c r="CR248" s="9">
        <v>0</v>
      </c>
      <c r="CS248" s="9">
        <v>0</v>
      </c>
      <c r="CT248" s="9">
        <v>0</v>
      </c>
      <c r="CU248" s="9">
        <v>0</v>
      </c>
      <c r="CV248" s="9">
        <v>0</v>
      </c>
      <c r="CW248" s="9">
        <v>0</v>
      </c>
      <c r="CX248" s="9">
        <v>0</v>
      </c>
      <c r="CY248" s="9">
        <v>0</v>
      </c>
      <c r="CZ248" s="9">
        <v>0</v>
      </c>
      <c r="DA248" s="9">
        <v>0</v>
      </c>
      <c r="DB248" s="9">
        <v>0</v>
      </c>
      <c r="DC248" s="9">
        <v>0</v>
      </c>
      <c r="DD248" s="9">
        <v>0</v>
      </c>
      <c r="DE248" s="9">
        <v>0</v>
      </c>
      <c r="DF248" s="9">
        <v>0</v>
      </c>
      <c r="DG248" s="9">
        <v>0</v>
      </c>
      <c r="DH248" s="9">
        <v>0</v>
      </c>
      <c r="DI248" s="9">
        <v>0</v>
      </c>
      <c r="DJ248" s="9">
        <v>0</v>
      </c>
      <c r="DK248" s="9">
        <v>0</v>
      </c>
      <c r="DL248" s="9">
        <v>0</v>
      </c>
      <c r="DM248" s="9">
        <v>0</v>
      </c>
      <c r="DN248" s="9">
        <v>0</v>
      </c>
      <c r="DO248" s="9">
        <v>0</v>
      </c>
      <c r="DP248" s="9">
        <v>0</v>
      </c>
      <c r="DQ248" s="9">
        <v>0</v>
      </c>
      <c r="DR248" s="9">
        <v>0</v>
      </c>
      <c r="DS248" s="9">
        <v>0</v>
      </c>
      <c r="DT248" s="9">
        <v>0</v>
      </c>
      <c r="DU248" s="9">
        <v>0</v>
      </c>
      <c r="DV248" s="9">
        <v>0</v>
      </c>
      <c r="DW248" s="9">
        <v>0</v>
      </c>
      <c r="DX248" s="9">
        <v>0</v>
      </c>
      <c r="DY248" s="9">
        <v>0</v>
      </c>
      <c r="DZ248" s="9">
        <v>0</v>
      </c>
      <c r="EA248" s="9">
        <v>0</v>
      </c>
      <c r="EB248" s="9">
        <v>0</v>
      </c>
      <c r="EC248" s="9">
        <v>0</v>
      </c>
      <c r="ED248" s="9">
        <v>0</v>
      </c>
      <c r="EE248" s="9">
        <v>0</v>
      </c>
      <c r="EF248" s="9">
        <v>0</v>
      </c>
      <c r="EG248" s="9">
        <v>0</v>
      </c>
      <c r="EH248" s="9">
        <v>0</v>
      </c>
      <c r="EI248" s="9">
        <v>0</v>
      </c>
      <c r="EJ248" s="9">
        <v>0</v>
      </c>
      <c r="EK248" s="9">
        <v>0</v>
      </c>
      <c r="EL248" s="9">
        <v>0</v>
      </c>
      <c r="EM248" s="9">
        <v>0</v>
      </c>
      <c r="EN248" s="9">
        <v>0</v>
      </c>
      <c r="EO248" s="9">
        <v>0</v>
      </c>
      <c r="EP248" s="9">
        <v>0</v>
      </c>
      <c r="EQ248" s="9">
        <v>0</v>
      </c>
      <c r="ER248" s="9">
        <v>0</v>
      </c>
      <c r="ES248" s="9">
        <v>0</v>
      </c>
      <c r="ET248" s="9">
        <v>0</v>
      </c>
      <c r="EU248" s="9">
        <v>0</v>
      </c>
      <c r="EV248" s="9">
        <v>0</v>
      </c>
      <c r="EW248" s="9">
        <v>0</v>
      </c>
      <c r="EX248" s="9">
        <v>0</v>
      </c>
      <c r="EY248" s="9">
        <v>0</v>
      </c>
      <c r="EZ248" s="9">
        <v>0</v>
      </c>
      <c r="FA248" s="9">
        <v>0</v>
      </c>
      <c r="FB248" s="9">
        <v>0</v>
      </c>
      <c r="FC248" s="9">
        <v>0</v>
      </c>
      <c r="FD248" s="9">
        <v>0</v>
      </c>
      <c r="FE248" s="9">
        <v>0</v>
      </c>
      <c r="FF248" s="9">
        <v>0</v>
      </c>
      <c r="FG248" s="9">
        <v>0</v>
      </c>
      <c r="FH248" s="9">
        <v>0</v>
      </c>
      <c r="FI248" s="9">
        <v>0</v>
      </c>
      <c r="FJ248" s="9">
        <v>0</v>
      </c>
      <c r="FK248" s="9">
        <v>0</v>
      </c>
      <c r="FL248" s="9">
        <v>0</v>
      </c>
      <c r="FM248" s="10">
        <v>0</v>
      </c>
    </row>
    <row r="249" spans="1:169" x14ac:dyDescent="0.35">
      <c r="A249" s="8" t="s">
        <v>413</v>
      </c>
      <c r="B249" s="9" t="s">
        <v>23</v>
      </c>
      <c r="C249" s="10" t="s">
        <v>24</v>
      </c>
      <c r="D249" s="62">
        <f t="shared" si="100"/>
        <v>6</v>
      </c>
      <c r="E249" s="9">
        <v>0</v>
      </c>
      <c r="F249" s="9">
        <v>0</v>
      </c>
      <c r="G249" s="9">
        <v>0</v>
      </c>
      <c r="H249" s="9">
        <v>0</v>
      </c>
      <c r="I249" s="9">
        <v>0</v>
      </c>
      <c r="J249" s="9">
        <v>0</v>
      </c>
      <c r="K249" s="9">
        <v>0</v>
      </c>
      <c r="L249" s="9">
        <v>0</v>
      </c>
      <c r="M249" s="9">
        <v>0</v>
      </c>
      <c r="N249" s="9">
        <v>0</v>
      </c>
      <c r="O249" s="9">
        <v>0</v>
      </c>
      <c r="P249" s="9">
        <v>0</v>
      </c>
      <c r="Q249" s="9">
        <v>0</v>
      </c>
      <c r="R249" s="9">
        <v>0</v>
      </c>
      <c r="S249" s="9">
        <v>1</v>
      </c>
      <c r="T249" s="9">
        <v>2</v>
      </c>
      <c r="U249" s="9">
        <v>2</v>
      </c>
      <c r="V249" s="9">
        <v>1</v>
      </c>
      <c r="W249" s="9">
        <v>3</v>
      </c>
      <c r="X249" s="9">
        <v>3</v>
      </c>
      <c r="Y249" s="9">
        <v>4</v>
      </c>
      <c r="Z249" s="9">
        <v>3</v>
      </c>
      <c r="AA249" s="9">
        <v>3</v>
      </c>
      <c r="AB249" s="9">
        <v>3</v>
      </c>
      <c r="AC249" s="9">
        <v>2</v>
      </c>
      <c r="AD249" s="9">
        <v>2</v>
      </c>
      <c r="AE249" s="9">
        <v>2</v>
      </c>
      <c r="AF249" s="9">
        <v>3</v>
      </c>
      <c r="AG249" s="9">
        <v>3</v>
      </c>
      <c r="AH249" s="9">
        <v>4</v>
      </c>
      <c r="AI249" s="9">
        <v>4</v>
      </c>
      <c r="AJ249" s="9">
        <v>6</v>
      </c>
      <c r="AK249" s="9">
        <v>5</v>
      </c>
      <c r="AL249" s="9">
        <v>2</v>
      </c>
      <c r="AM249" s="9">
        <v>2</v>
      </c>
      <c r="AN249" s="9">
        <v>2</v>
      </c>
      <c r="AO249" s="9">
        <v>3</v>
      </c>
      <c r="AP249" s="9">
        <v>3</v>
      </c>
      <c r="AQ249" s="9">
        <v>3</v>
      </c>
      <c r="AR249" s="9">
        <v>3</v>
      </c>
      <c r="AS249" s="9">
        <v>4</v>
      </c>
      <c r="AT249" s="9">
        <v>3</v>
      </c>
      <c r="AU249" s="9">
        <v>3</v>
      </c>
      <c r="AV249" s="9">
        <v>3</v>
      </c>
      <c r="AW249" s="9">
        <v>3</v>
      </c>
      <c r="AX249" s="9">
        <v>3</v>
      </c>
      <c r="AY249" s="9">
        <v>2</v>
      </c>
      <c r="AZ249" s="9">
        <v>2</v>
      </c>
      <c r="BA249" s="9">
        <v>1</v>
      </c>
      <c r="BB249" s="9">
        <v>1</v>
      </c>
      <c r="BC249" s="9">
        <v>0</v>
      </c>
      <c r="BD249" s="9">
        <v>0</v>
      </c>
      <c r="BE249" s="9">
        <v>0</v>
      </c>
      <c r="BF249" s="9">
        <v>0</v>
      </c>
      <c r="BG249" s="9">
        <v>0</v>
      </c>
      <c r="BH249" s="9">
        <v>0</v>
      </c>
      <c r="BI249" s="9">
        <v>0</v>
      </c>
      <c r="BJ249" s="9">
        <v>0</v>
      </c>
      <c r="BK249" s="9">
        <v>0</v>
      </c>
      <c r="BL249" s="9">
        <v>0</v>
      </c>
      <c r="BM249" s="9">
        <v>0</v>
      </c>
      <c r="BN249" s="9">
        <v>0</v>
      </c>
      <c r="BO249" s="9">
        <v>0</v>
      </c>
      <c r="BP249" s="9">
        <v>0</v>
      </c>
      <c r="BQ249" s="9">
        <v>0</v>
      </c>
      <c r="BR249" s="9">
        <v>0</v>
      </c>
      <c r="BS249" s="9">
        <v>0</v>
      </c>
      <c r="BT249" s="9">
        <v>0</v>
      </c>
      <c r="BU249" s="9">
        <v>0</v>
      </c>
      <c r="BV249" s="9">
        <v>0</v>
      </c>
      <c r="BW249" s="9">
        <v>0</v>
      </c>
      <c r="BX249" s="9">
        <v>0</v>
      </c>
      <c r="BY249" s="9">
        <v>0</v>
      </c>
      <c r="BZ249" s="9">
        <v>0</v>
      </c>
      <c r="CA249" s="9">
        <v>0</v>
      </c>
      <c r="CB249" s="9">
        <v>0</v>
      </c>
      <c r="CC249" s="9">
        <v>0</v>
      </c>
      <c r="CD249" s="9">
        <v>0</v>
      </c>
      <c r="CE249" s="9">
        <v>0</v>
      </c>
      <c r="CF249" s="9">
        <v>0</v>
      </c>
      <c r="CG249" s="9">
        <v>0</v>
      </c>
      <c r="CH249" s="9">
        <v>0</v>
      </c>
      <c r="CI249" s="9">
        <v>0</v>
      </c>
      <c r="CJ249" s="9">
        <v>0</v>
      </c>
      <c r="CK249" s="9">
        <v>0</v>
      </c>
      <c r="CL249" s="9">
        <v>0</v>
      </c>
      <c r="CM249" s="9">
        <v>0</v>
      </c>
      <c r="CN249" s="9">
        <v>0</v>
      </c>
      <c r="CO249" s="9">
        <v>0</v>
      </c>
      <c r="CP249" s="9">
        <v>0</v>
      </c>
      <c r="CQ249" s="9">
        <v>0</v>
      </c>
      <c r="CR249" s="9">
        <v>0</v>
      </c>
      <c r="CS249" s="9">
        <v>0</v>
      </c>
      <c r="CT249" s="9">
        <v>0</v>
      </c>
      <c r="CU249" s="9">
        <v>0</v>
      </c>
      <c r="CV249" s="9">
        <v>0</v>
      </c>
      <c r="CW249" s="9">
        <v>0</v>
      </c>
      <c r="CX249" s="9">
        <v>0</v>
      </c>
      <c r="CY249" s="9">
        <v>0</v>
      </c>
      <c r="CZ249" s="9">
        <v>0</v>
      </c>
      <c r="DA249" s="9">
        <v>0</v>
      </c>
      <c r="DB249" s="9">
        <v>0</v>
      </c>
      <c r="DC249" s="9">
        <v>0</v>
      </c>
      <c r="DD249" s="9">
        <v>0</v>
      </c>
      <c r="DE249" s="9">
        <v>0</v>
      </c>
      <c r="DF249" s="9">
        <v>0</v>
      </c>
      <c r="DG249" s="9">
        <v>0</v>
      </c>
      <c r="DH249" s="9">
        <v>0</v>
      </c>
      <c r="DI249" s="9">
        <v>0</v>
      </c>
      <c r="DJ249" s="9">
        <v>0</v>
      </c>
      <c r="DK249" s="9">
        <v>0</v>
      </c>
      <c r="DL249" s="9">
        <v>0</v>
      </c>
      <c r="DM249" s="9">
        <v>0</v>
      </c>
      <c r="DN249" s="9">
        <v>0</v>
      </c>
      <c r="DO249" s="9">
        <v>0</v>
      </c>
      <c r="DP249" s="9">
        <v>0</v>
      </c>
      <c r="DQ249" s="9">
        <v>0</v>
      </c>
      <c r="DR249" s="9">
        <v>0</v>
      </c>
      <c r="DS249" s="9">
        <v>0</v>
      </c>
      <c r="DT249" s="9">
        <v>0</v>
      </c>
      <c r="DU249" s="9">
        <v>0</v>
      </c>
      <c r="DV249" s="9">
        <v>0</v>
      </c>
      <c r="DW249" s="9">
        <v>0</v>
      </c>
      <c r="DX249" s="9">
        <v>0</v>
      </c>
      <c r="DY249" s="9">
        <v>0</v>
      </c>
      <c r="DZ249" s="9">
        <v>0</v>
      </c>
      <c r="EA249" s="9">
        <v>0</v>
      </c>
      <c r="EB249" s="9">
        <v>0</v>
      </c>
      <c r="EC249" s="9">
        <v>0</v>
      </c>
      <c r="ED249" s="9">
        <v>0</v>
      </c>
      <c r="EE249" s="9">
        <v>0</v>
      </c>
      <c r="EF249" s="9">
        <v>0</v>
      </c>
      <c r="EG249" s="9">
        <v>0</v>
      </c>
      <c r="EH249" s="9">
        <v>0</v>
      </c>
      <c r="EI249" s="9">
        <v>0</v>
      </c>
      <c r="EJ249" s="9">
        <v>0</v>
      </c>
      <c r="EK249" s="9">
        <v>0</v>
      </c>
      <c r="EL249" s="9">
        <v>0</v>
      </c>
      <c r="EM249" s="9">
        <v>0</v>
      </c>
      <c r="EN249" s="9">
        <v>0</v>
      </c>
      <c r="EO249" s="9">
        <v>0</v>
      </c>
      <c r="EP249" s="9">
        <v>0</v>
      </c>
      <c r="EQ249" s="9">
        <v>0</v>
      </c>
      <c r="ER249" s="9">
        <v>0</v>
      </c>
      <c r="ES249" s="9">
        <v>0</v>
      </c>
      <c r="ET249" s="9">
        <v>0</v>
      </c>
      <c r="EU249" s="9">
        <v>0</v>
      </c>
      <c r="EV249" s="9">
        <v>0</v>
      </c>
      <c r="EW249" s="9">
        <v>0</v>
      </c>
      <c r="EX249" s="9">
        <v>0</v>
      </c>
      <c r="EY249" s="9">
        <v>0</v>
      </c>
      <c r="EZ249" s="9">
        <v>0</v>
      </c>
      <c r="FA249" s="9">
        <v>0</v>
      </c>
      <c r="FB249" s="9">
        <v>0</v>
      </c>
      <c r="FC249" s="9">
        <v>0</v>
      </c>
      <c r="FD249" s="9">
        <v>0</v>
      </c>
      <c r="FE249" s="9">
        <v>0</v>
      </c>
      <c r="FF249" s="9">
        <v>0</v>
      </c>
      <c r="FG249" s="9">
        <v>0</v>
      </c>
      <c r="FH249" s="9">
        <v>0</v>
      </c>
      <c r="FI249" s="9">
        <v>0</v>
      </c>
      <c r="FJ249" s="9">
        <v>0</v>
      </c>
      <c r="FK249" s="9">
        <v>0</v>
      </c>
      <c r="FL249" s="9">
        <v>0</v>
      </c>
      <c r="FM249" s="10">
        <v>0</v>
      </c>
    </row>
    <row r="250" spans="1:169" x14ac:dyDescent="0.35">
      <c r="A250" s="8" t="s">
        <v>413</v>
      </c>
      <c r="B250" s="9" t="s">
        <v>426</v>
      </c>
      <c r="C250" s="10" t="s">
        <v>427</v>
      </c>
      <c r="D250" s="62">
        <f t="shared" si="100"/>
        <v>0</v>
      </c>
      <c r="E250" s="9">
        <v>0</v>
      </c>
      <c r="F250" s="9">
        <v>0</v>
      </c>
      <c r="G250" s="9">
        <v>0</v>
      </c>
      <c r="H250" s="9">
        <v>0</v>
      </c>
      <c r="I250" s="9">
        <v>0</v>
      </c>
      <c r="J250" s="9">
        <v>0</v>
      </c>
      <c r="K250" s="9">
        <v>0</v>
      </c>
      <c r="L250" s="9">
        <v>0</v>
      </c>
      <c r="M250" s="9">
        <v>0</v>
      </c>
      <c r="N250" s="9">
        <v>0</v>
      </c>
      <c r="O250" s="9">
        <v>0</v>
      </c>
      <c r="P250" s="9">
        <v>0</v>
      </c>
      <c r="Q250" s="9">
        <v>0</v>
      </c>
      <c r="R250" s="9">
        <v>0</v>
      </c>
      <c r="S250" s="9">
        <v>0</v>
      </c>
      <c r="T250" s="9">
        <v>0</v>
      </c>
      <c r="U250" s="9">
        <v>0</v>
      </c>
      <c r="V250" s="9">
        <v>0</v>
      </c>
      <c r="W250" s="9">
        <v>0</v>
      </c>
      <c r="X250" s="9">
        <v>0</v>
      </c>
      <c r="Y250" s="9">
        <v>0</v>
      </c>
      <c r="Z250" s="9">
        <v>0</v>
      </c>
      <c r="AA250" s="9">
        <v>0</v>
      </c>
      <c r="AB250" s="9">
        <v>0</v>
      </c>
      <c r="AC250" s="9">
        <v>0</v>
      </c>
      <c r="AD250" s="9">
        <v>0</v>
      </c>
      <c r="AE250" s="9">
        <v>0</v>
      </c>
      <c r="AF250" s="9">
        <v>0</v>
      </c>
      <c r="AG250" s="9">
        <v>0</v>
      </c>
      <c r="AH250" s="9">
        <v>0</v>
      </c>
      <c r="AI250" s="9">
        <v>0</v>
      </c>
      <c r="AJ250" s="9">
        <v>0</v>
      </c>
      <c r="AK250" s="9">
        <v>0</v>
      </c>
      <c r="AL250" s="9">
        <v>0</v>
      </c>
      <c r="AM250" s="9">
        <v>0</v>
      </c>
      <c r="AN250" s="9">
        <v>0</v>
      </c>
      <c r="AO250" s="9">
        <v>0</v>
      </c>
      <c r="AP250" s="9">
        <v>0</v>
      </c>
      <c r="AQ250" s="9">
        <v>0</v>
      </c>
      <c r="AR250" s="9">
        <v>0</v>
      </c>
      <c r="AS250" s="9">
        <v>0</v>
      </c>
      <c r="AT250" s="9">
        <v>0</v>
      </c>
      <c r="AU250" s="9">
        <v>0</v>
      </c>
      <c r="AV250" s="9">
        <v>0</v>
      </c>
      <c r="AW250" s="9">
        <v>0</v>
      </c>
      <c r="AX250" s="9">
        <v>0</v>
      </c>
      <c r="AY250" s="9">
        <v>0</v>
      </c>
      <c r="AZ250" s="9">
        <v>0</v>
      </c>
      <c r="BA250" s="9">
        <v>0</v>
      </c>
      <c r="BB250" s="9">
        <v>0</v>
      </c>
      <c r="BC250" s="9">
        <v>0</v>
      </c>
      <c r="BD250" s="9">
        <v>0</v>
      </c>
      <c r="BE250" s="9">
        <v>0</v>
      </c>
      <c r="BF250" s="9">
        <v>0</v>
      </c>
      <c r="BG250" s="9">
        <v>0</v>
      </c>
      <c r="BH250" s="9">
        <v>0</v>
      </c>
      <c r="BI250" s="9">
        <v>0</v>
      </c>
      <c r="BJ250" s="9">
        <v>0</v>
      </c>
      <c r="BK250" s="9">
        <v>0</v>
      </c>
      <c r="BL250" s="9">
        <v>0</v>
      </c>
      <c r="BM250" s="9">
        <v>0</v>
      </c>
      <c r="BN250" s="9">
        <v>0</v>
      </c>
      <c r="BO250" s="9">
        <v>0</v>
      </c>
      <c r="BP250" s="9">
        <v>0</v>
      </c>
      <c r="BQ250" s="9">
        <v>0</v>
      </c>
      <c r="BR250" s="9">
        <v>0</v>
      </c>
      <c r="BS250" s="9">
        <v>0</v>
      </c>
      <c r="BT250" s="9">
        <v>0</v>
      </c>
      <c r="BU250" s="9">
        <v>0</v>
      </c>
      <c r="BV250" s="9">
        <v>0</v>
      </c>
      <c r="BW250" s="9">
        <v>0</v>
      </c>
      <c r="BX250" s="9">
        <v>0</v>
      </c>
      <c r="BY250" s="9">
        <v>0</v>
      </c>
      <c r="BZ250" s="9">
        <v>0</v>
      </c>
      <c r="CA250" s="9">
        <v>0</v>
      </c>
      <c r="CB250" s="9">
        <v>0</v>
      </c>
      <c r="CC250" s="9">
        <v>0</v>
      </c>
      <c r="CD250" s="9">
        <v>0</v>
      </c>
      <c r="CE250" s="9">
        <v>0</v>
      </c>
      <c r="CF250" s="9">
        <v>0</v>
      </c>
      <c r="CG250" s="9">
        <v>0</v>
      </c>
      <c r="CH250" s="9">
        <v>0</v>
      </c>
      <c r="CI250" s="9">
        <v>0</v>
      </c>
      <c r="CJ250" s="9">
        <v>0</v>
      </c>
      <c r="CK250" s="9">
        <v>0</v>
      </c>
      <c r="CL250" s="9">
        <v>0</v>
      </c>
      <c r="CM250" s="9">
        <v>0</v>
      </c>
      <c r="CN250" s="9">
        <v>0</v>
      </c>
      <c r="CO250" s="9">
        <v>0</v>
      </c>
      <c r="CP250" s="9">
        <v>0</v>
      </c>
      <c r="CQ250" s="9">
        <v>0</v>
      </c>
      <c r="CR250" s="9">
        <v>0</v>
      </c>
      <c r="CS250" s="9">
        <v>0</v>
      </c>
      <c r="CT250" s="9">
        <v>0</v>
      </c>
      <c r="CU250" s="9">
        <v>0</v>
      </c>
      <c r="CV250" s="9">
        <v>0</v>
      </c>
      <c r="CW250" s="9">
        <v>0</v>
      </c>
      <c r="CX250" s="9">
        <v>0</v>
      </c>
      <c r="CY250" s="9">
        <v>0</v>
      </c>
      <c r="CZ250" s="9">
        <v>0</v>
      </c>
      <c r="DA250" s="9">
        <v>0</v>
      </c>
      <c r="DB250" s="9">
        <v>0</v>
      </c>
      <c r="DC250" s="9">
        <v>0</v>
      </c>
      <c r="DD250" s="9">
        <v>0</v>
      </c>
      <c r="DE250" s="9">
        <v>0</v>
      </c>
      <c r="DF250" s="9">
        <v>0</v>
      </c>
      <c r="DG250" s="9">
        <v>0</v>
      </c>
      <c r="DH250" s="9">
        <v>0</v>
      </c>
      <c r="DI250" s="9">
        <v>0</v>
      </c>
      <c r="DJ250" s="9">
        <v>0</v>
      </c>
      <c r="DK250" s="9">
        <v>0</v>
      </c>
      <c r="DL250" s="9">
        <v>0</v>
      </c>
      <c r="DM250" s="9">
        <v>0</v>
      </c>
      <c r="DN250" s="9">
        <v>0</v>
      </c>
      <c r="DO250" s="9">
        <v>0</v>
      </c>
      <c r="DP250" s="9">
        <v>0</v>
      </c>
      <c r="DQ250" s="9">
        <v>0</v>
      </c>
      <c r="DR250" s="9">
        <v>0</v>
      </c>
      <c r="DS250" s="9">
        <v>0</v>
      </c>
      <c r="DT250" s="9">
        <v>0</v>
      </c>
      <c r="DU250" s="9">
        <v>0</v>
      </c>
      <c r="DV250" s="9">
        <v>0</v>
      </c>
      <c r="DW250" s="9">
        <v>0</v>
      </c>
      <c r="DX250" s="9">
        <v>0</v>
      </c>
      <c r="DY250" s="9">
        <v>0</v>
      </c>
      <c r="DZ250" s="9">
        <v>0</v>
      </c>
      <c r="EA250" s="9">
        <v>0</v>
      </c>
      <c r="EB250" s="9">
        <v>0</v>
      </c>
      <c r="EC250" s="9">
        <v>0</v>
      </c>
      <c r="ED250" s="9">
        <v>0</v>
      </c>
      <c r="EE250" s="9">
        <v>0</v>
      </c>
      <c r="EF250" s="9">
        <v>0</v>
      </c>
      <c r="EG250" s="9">
        <v>0</v>
      </c>
      <c r="EH250" s="9">
        <v>0</v>
      </c>
      <c r="EI250" s="9">
        <v>0</v>
      </c>
      <c r="EJ250" s="9">
        <v>0</v>
      </c>
      <c r="EK250" s="9">
        <v>0</v>
      </c>
      <c r="EL250" s="9">
        <v>0</v>
      </c>
      <c r="EM250" s="9">
        <v>0</v>
      </c>
      <c r="EN250" s="9">
        <v>0</v>
      </c>
      <c r="EO250" s="9">
        <v>0</v>
      </c>
      <c r="EP250" s="9">
        <v>0</v>
      </c>
      <c r="EQ250" s="9">
        <v>0</v>
      </c>
      <c r="ER250" s="9">
        <v>0</v>
      </c>
      <c r="ES250" s="9">
        <v>0</v>
      </c>
      <c r="ET250" s="9">
        <v>0</v>
      </c>
      <c r="EU250" s="9">
        <v>0</v>
      </c>
      <c r="EV250" s="9">
        <v>0</v>
      </c>
      <c r="EW250" s="9">
        <v>0</v>
      </c>
      <c r="EX250" s="9">
        <v>0</v>
      </c>
      <c r="EY250" s="9">
        <v>0</v>
      </c>
      <c r="EZ250" s="9">
        <v>0</v>
      </c>
      <c r="FA250" s="9">
        <v>0</v>
      </c>
      <c r="FB250" s="9">
        <v>0</v>
      </c>
      <c r="FC250" s="9">
        <v>0</v>
      </c>
      <c r="FD250" s="9">
        <v>0</v>
      </c>
      <c r="FE250" s="9">
        <v>0</v>
      </c>
      <c r="FF250" s="9">
        <v>0</v>
      </c>
      <c r="FG250" s="9">
        <v>0</v>
      </c>
      <c r="FH250" s="9">
        <v>0</v>
      </c>
      <c r="FI250" s="9">
        <v>0</v>
      </c>
      <c r="FJ250" s="9">
        <v>0</v>
      </c>
      <c r="FK250" s="9">
        <v>0</v>
      </c>
      <c r="FL250" s="9">
        <v>0</v>
      </c>
      <c r="FM250" s="10">
        <v>0</v>
      </c>
    </row>
    <row r="251" spans="1:169" x14ac:dyDescent="0.35">
      <c r="A251" s="8" t="s">
        <v>413</v>
      </c>
      <c r="B251" s="9" t="s">
        <v>98</v>
      </c>
      <c r="C251" s="10" t="s">
        <v>99</v>
      </c>
      <c r="D251" s="62">
        <f t="shared" si="100"/>
        <v>0</v>
      </c>
      <c r="E251" s="9">
        <v>0</v>
      </c>
      <c r="F251" s="9">
        <v>0</v>
      </c>
      <c r="G251" s="9">
        <v>0</v>
      </c>
      <c r="H251" s="9">
        <v>0</v>
      </c>
      <c r="I251" s="9">
        <v>0</v>
      </c>
      <c r="J251" s="9">
        <v>0</v>
      </c>
      <c r="K251" s="9">
        <v>0</v>
      </c>
      <c r="L251" s="9">
        <v>0</v>
      </c>
      <c r="M251" s="9">
        <v>0</v>
      </c>
      <c r="N251" s="9">
        <v>0</v>
      </c>
      <c r="O251" s="9">
        <v>0</v>
      </c>
      <c r="P251" s="9">
        <v>0</v>
      </c>
      <c r="Q251" s="9">
        <v>0</v>
      </c>
      <c r="R251" s="9">
        <v>0</v>
      </c>
      <c r="S251" s="9">
        <v>0</v>
      </c>
      <c r="T251" s="9">
        <v>0</v>
      </c>
      <c r="U251" s="9">
        <v>0</v>
      </c>
      <c r="V251" s="9">
        <v>0</v>
      </c>
      <c r="W251" s="9">
        <v>0</v>
      </c>
      <c r="X251" s="9">
        <v>0</v>
      </c>
      <c r="Y251" s="9">
        <v>0</v>
      </c>
      <c r="Z251" s="9">
        <v>0</v>
      </c>
      <c r="AA251" s="9">
        <v>0</v>
      </c>
      <c r="AB251" s="9">
        <v>0</v>
      </c>
      <c r="AC251" s="9">
        <v>0</v>
      </c>
      <c r="AD251" s="9">
        <v>0</v>
      </c>
      <c r="AE251" s="9">
        <v>0</v>
      </c>
      <c r="AF251" s="9">
        <v>0</v>
      </c>
      <c r="AG251" s="9">
        <v>0</v>
      </c>
      <c r="AH251" s="9">
        <v>0</v>
      </c>
      <c r="AI251" s="9">
        <v>0</v>
      </c>
      <c r="AJ251" s="9">
        <v>0</v>
      </c>
      <c r="AK251" s="9">
        <v>0</v>
      </c>
      <c r="AL251" s="9">
        <v>0</v>
      </c>
      <c r="AM251" s="9">
        <v>0</v>
      </c>
      <c r="AN251" s="9">
        <v>0</v>
      </c>
      <c r="AO251" s="9">
        <v>0</v>
      </c>
      <c r="AP251" s="9">
        <v>0</v>
      </c>
      <c r="AQ251" s="9">
        <v>0</v>
      </c>
      <c r="AR251" s="9">
        <v>0</v>
      </c>
      <c r="AS251" s="9">
        <v>0</v>
      </c>
      <c r="AT251" s="9">
        <v>0</v>
      </c>
      <c r="AU251" s="9">
        <v>0</v>
      </c>
      <c r="AV251" s="9">
        <v>0</v>
      </c>
      <c r="AW251" s="9">
        <v>0</v>
      </c>
      <c r="AX251" s="9">
        <v>0</v>
      </c>
      <c r="AY251" s="9">
        <v>0</v>
      </c>
      <c r="AZ251" s="9">
        <v>0</v>
      </c>
      <c r="BA251" s="9">
        <v>0</v>
      </c>
      <c r="BB251" s="9">
        <v>0</v>
      </c>
      <c r="BC251" s="9">
        <v>0</v>
      </c>
      <c r="BD251" s="9">
        <v>0</v>
      </c>
      <c r="BE251" s="9">
        <v>0</v>
      </c>
      <c r="BF251" s="9">
        <v>0</v>
      </c>
      <c r="BG251" s="9">
        <v>0</v>
      </c>
      <c r="BH251" s="9">
        <v>0</v>
      </c>
      <c r="BI251" s="9">
        <v>0</v>
      </c>
      <c r="BJ251" s="9">
        <v>0</v>
      </c>
      <c r="BK251" s="9">
        <v>0</v>
      </c>
      <c r="BL251" s="9">
        <v>0</v>
      </c>
      <c r="BM251" s="9">
        <v>0</v>
      </c>
      <c r="BN251" s="9">
        <v>0</v>
      </c>
      <c r="BO251" s="9">
        <v>0</v>
      </c>
      <c r="BP251" s="9">
        <v>0</v>
      </c>
      <c r="BQ251" s="9">
        <v>0</v>
      </c>
      <c r="BR251" s="9">
        <v>0</v>
      </c>
      <c r="BS251" s="9">
        <v>0</v>
      </c>
      <c r="BT251" s="9">
        <v>0</v>
      </c>
      <c r="BU251" s="9">
        <v>0</v>
      </c>
      <c r="BV251" s="9">
        <v>0</v>
      </c>
      <c r="BW251" s="9">
        <v>0</v>
      </c>
      <c r="BX251" s="9">
        <v>0</v>
      </c>
      <c r="BY251" s="9">
        <v>0</v>
      </c>
      <c r="BZ251" s="9">
        <v>0</v>
      </c>
      <c r="CA251" s="9">
        <v>0</v>
      </c>
      <c r="CB251" s="9">
        <v>0</v>
      </c>
      <c r="CC251" s="9">
        <v>0</v>
      </c>
      <c r="CD251" s="9">
        <v>0</v>
      </c>
      <c r="CE251" s="9">
        <v>0</v>
      </c>
      <c r="CF251" s="9">
        <v>0</v>
      </c>
      <c r="CG251" s="9">
        <v>0</v>
      </c>
      <c r="CH251" s="9">
        <v>0</v>
      </c>
      <c r="CI251" s="9">
        <v>0</v>
      </c>
      <c r="CJ251" s="9">
        <v>0</v>
      </c>
      <c r="CK251" s="9">
        <v>0</v>
      </c>
      <c r="CL251" s="9">
        <v>0</v>
      </c>
      <c r="CM251" s="9">
        <v>0</v>
      </c>
      <c r="CN251" s="9">
        <v>0</v>
      </c>
      <c r="CO251" s="9">
        <v>0</v>
      </c>
      <c r="CP251" s="9">
        <v>0</v>
      </c>
      <c r="CQ251" s="9">
        <v>0</v>
      </c>
      <c r="CR251" s="9">
        <v>0</v>
      </c>
      <c r="CS251" s="9">
        <v>0</v>
      </c>
      <c r="CT251" s="9">
        <v>0</v>
      </c>
      <c r="CU251" s="9">
        <v>0</v>
      </c>
      <c r="CV251" s="9">
        <v>0</v>
      </c>
      <c r="CW251" s="9">
        <v>0</v>
      </c>
      <c r="CX251" s="9">
        <v>0</v>
      </c>
      <c r="CY251" s="9">
        <v>0</v>
      </c>
      <c r="CZ251" s="9">
        <v>0</v>
      </c>
      <c r="DA251" s="9">
        <v>0</v>
      </c>
      <c r="DB251" s="9">
        <v>0</v>
      </c>
      <c r="DC251" s="9">
        <v>0</v>
      </c>
      <c r="DD251" s="9">
        <v>0</v>
      </c>
      <c r="DE251" s="9">
        <v>0</v>
      </c>
      <c r="DF251" s="9">
        <v>0</v>
      </c>
      <c r="DG251" s="9">
        <v>0</v>
      </c>
      <c r="DH251" s="9">
        <v>0</v>
      </c>
      <c r="DI251" s="9">
        <v>0</v>
      </c>
      <c r="DJ251" s="9">
        <v>0</v>
      </c>
      <c r="DK251" s="9">
        <v>0</v>
      </c>
      <c r="DL251" s="9">
        <v>0</v>
      </c>
      <c r="DM251" s="9">
        <v>0</v>
      </c>
      <c r="DN251" s="9">
        <v>0</v>
      </c>
      <c r="DO251" s="9">
        <v>0</v>
      </c>
      <c r="DP251" s="9">
        <v>0</v>
      </c>
      <c r="DQ251" s="9">
        <v>0</v>
      </c>
      <c r="DR251" s="9">
        <v>0</v>
      </c>
      <c r="DS251" s="9">
        <v>0</v>
      </c>
      <c r="DT251" s="9">
        <v>0</v>
      </c>
      <c r="DU251" s="9">
        <v>0</v>
      </c>
      <c r="DV251" s="9">
        <v>0</v>
      </c>
      <c r="DW251" s="9">
        <v>0</v>
      </c>
      <c r="DX251" s="9">
        <v>0</v>
      </c>
      <c r="DY251" s="9">
        <v>0</v>
      </c>
      <c r="DZ251" s="9">
        <v>0</v>
      </c>
      <c r="EA251" s="9">
        <v>0</v>
      </c>
      <c r="EB251" s="9">
        <v>0</v>
      </c>
      <c r="EC251" s="9">
        <v>0</v>
      </c>
      <c r="ED251" s="9">
        <v>0</v>
      </c>
      <c r="EE251" s="9">
        <v>0</v>
      </c>
      <c r="EF251" s="9">
        <v>0</v>
      </c>
      <c r="EG251" s="9">
        <v>0</v>
      </c>
      <c r="EH251" s="9">
        <v>0</v>
      </c>
      <c r="EI251" s="9">
        <v>0</v>
      </c>
      <c r="EJ251" s="9">
        <v>0</v>
      </c>
      <c r="EK251" s="9">
        <v>0</v>
      </c>
      <c r="EL251" s="9">
        <v>0</v>
      </c>
      <c r="EM251" s="9">
        <v>0</v>
      </c>
      <c r="EN251" s="9">
        <v>0</v>
      </c>
      <c r="EO251" s="9">
        <v>0</v>
      </c>
      <c r="EP251" s="9">
        <v>0</v>
      </c>
      <c r="EQ251" s="9">
        <v>0</v>
      </c>
      <c r="ER251" s="9">
        <v>0</v>
      </c>
      <c r="ES251" s="9">
        <v>0</v>
      </c>
      <c r="ET251" s="9">
        <v>0</v>
      </c>
      <c r="EU251" s="9">
        <v>0</v>
      </c>
      <c r="EV251" s="9">
        <v>0</v>
      </c>
      <c r="EW251" s="9">
        <v>0</v>
      </c>
      <c r="EX251" s="9">
        <v>0</v>
      </c>
      <c r="EY251" s="9">
        <v>0</v>
      </c>
      <c r="EZ251" s="9">
        <v>0</v>
      </c>
      <c r="FA251" s="9">
        <v>0</v>
      </c>
      <c r="FB251" s="9">
        <v>0</v>
      </c>
      <c r="FC251" s="9">
        <v>0</v>
      </c>
      <c r="FD251" s="9">
        <v>0</v>
      </c>
      <c r="FE251" s="9">
        <v>0</v>
      </c>
      <c r="FF251" s="9">
        <v>0</v>
      </c>
      <c r="FG251" s="9">
        <v>0</v>
      </c>
      <c r="FH251" s="9">
        <v>0</v>
      </c>
      <c r="FI251" s="9">
        <v>0</v>
      </c>
      <c r="FJ251" s="9">
        <v>0</v>
      </c>
      <c r="FK251" s="9">
        <v>0</v>
      </c>
      <c r="FL251" s="9">
        <v>0</v>
      </c>
      <c r="FM251" s="10">
        <v>0</v>
      </c>
    </row>
    <row r="252" spans="1:169" x14ac:dyDescent="0.35">
      <c r="A252" s="8" t="s">
        <v>413</v>
      </c>
      <c r="B252" s="9" t="s">
        <v>428</v>
      </c>
      <c r="C252" s="10" t="s">
        <v>429</v>
      </c>
      <c r="D252" s="62">
        <f t="shared" si="100"/>
        <v>16</v>
      </c>
      <c r="E252" s="9">
        <v>0</v>
      </c>
      <c r="F252" s="9">
        <v>0</v>
      </c>
      <c r="G252" s="9">
        <v>0</v>
      </c>
      <c r="H252" s="9">
        <v>0</v>
      </c>
      <c r="I252" s="9">
        <v>0</v>
      </c>
      <c r="J252" s="9">
        <v>0</v>
      </c>
      <c r="K252" s="9">
        <v>0</v>
      </c>
      <c r="L252" s="9">
        <v>0</v>
      </c>
      <c r="M252" s="9">
        <v>0</v>
      </c>
      <c r="N252" s="9">
        <v>0</v>
      </c>
      <c r="O252" s="9">
        <v>0</v>
      </c>
      <c r="P252" s="9">
        <v>0</v>
      </c>
      <c r="Q252" s="9">
        <v>0</v>
      </c>
      <c r="R252" s="9">
        <v>0</v>
      </c>
      <c r="S252" s="9">
        <v>1</v>
      </c>
      <c r="T252" s="9">
        <v>1</v>
      </c>
      <c r="U252" s="9">
        <v>9</v>
      </c>
      <c r="V252" s="9">
        <v>0</v>
      </c>
      <c r="W252" s="9">
        <v>11</v>
      </c>
      <c r="X252" s="9">
        <v>10</v>
      </c>
      <c r="Y252" s="9">
        <v>7</v>
      </c>
      <c r="Z252" s="9">
        <v>6</v>
      </c>
      <c r="AA252" s="9">
        <v>6</v>
      </c>
      <c r="AB252" s="9">
        <v>8</v>
      </c>
      <c r="AC252" s="9">
        <v>9</v>
      </c>
      <c r="AD252" s="9">
        <v>10</v>
      </c>
      <c r="AE252" s="9">
        <v>10</v>
      </c>
      <c r="AF252" s="9">
        <v>12</v>
      </c>
      <c r="AG252" s="9">
        <v>14</v>
      </c>
      <c r="AH252" s="9">
        <v>0</v>
      </c>
      <c r="AI252" s="9">
        <v>15</v>
      </c>
      <c r="AJ252" s="9">
        <v>15</v>
      </c>
      <c r="AK252" s="9">
        <v>16</v>
      </c>
      <c r="AL252" s="9">
        <v>15</v>
      </c>
      <c r="AM252" s="9">
        <v>10</v>
      </c>
      <c r="AN252" s="9">
        <v>0</v>
      </c>
      <c r="AO252" s="9">
        <v>0</v>
      </c>
      <c r="AP252" s="9">
        <v>0</v>
      </c>
      <c r="AQ252" s="9">
        <v>0</v>
      </c>
      <c r="AR252" s="9">
        <v>0</v>
      </c>
      <c r="AS252" s="9">
        <v>0</v>
      </c>
      <c r="AT252" s="9">
        <v>0</v>
      </c>
      <c r="AU252" s="9">
        <v>0</v>
      </c>
      <c r="AV252" s="9">
        <v>0</v>
      </c>
      <c r="AW252" s="9">
        <v>0</v>
      </c>
      <c r="AX252" s="9">
        <v>0</v>
      </c>
      <c r="AY252" s="9">
        <v>0</v>
      </c>
      <c r="AZ252" s="9">
        <v>0</v>
      </c>
      <c r="BA252" s="9">
        <v>0</v>
      </c>
      <c r="BB252" s="9">
        <v>0</v>
      </c>
      <c r="BC252" s="9">
        <v>0</v>
      </c>
      <c r="BD252" s="9">
        <v>0</v>
      </c>
      <c r="BE252" s="9">
        <v>0</v>
      </c>
      <c r="BF252" s="9">
        <v>0</v>
      </c>
      <c r="BG252" s="9">
        <v>0</v>
      </c>
      <c r="BH252" s="9">
        <v>0</v>
      </c>
      <c r="BI252" s="9">
        <v>0</v>
      </c>
      <c r="BJ252" s="9">
        <v>0</v>
      </c>
      <c r="BK252" s="9">
        <v>0</v>
      </c>
      <c r="BL252" s="9">
        <v>0</v>
      </c>
      <c r="BM252" s="9">
        <v>0</v>
      </c>
      <c r="BN252" s="9">
        <v>0</v>
      </c>
      <c r="BO252" s="9">
        <v>0</v>
      </c>
      <c r="BP252" s="9">
        <v>0</v>
      </c>
      <c r="BQ252" s="9">
        <v>0</v>
      </c>
      <c r="BR252" s="9">
        <v>0</v>
      </c>
      <c r="BS252" s="9">
        <v>0</v>
      </c>
      <c r="BT252" s="9">
        <v>0</v>
      </c>
      <c r="BU252" s="9">
        <v>0</v>
      </c>
      <c r="BV252" s="9">
        <v>0</v>
      </c>
      <c r="BW252" s="9">
        <v>0</v>
      </c>
      <c r="BX252" s="9">
        <v>0</v>
      </c>
      <c r="BY252" s="9">
        <v>0</v>
      </c>
      <c r="BZ252" s="9">
        <v>0</v>
      </c>
      <c r="CA252" s="9">
        <v>0</v>
      </c>
      <c r="CB252" s="9">
        <v>0</v>
      </c>
      <c r="CC252" s="9">
        <v>0</v>
      </c>
      <c r="CD252" s="9">
        <v>0</v>
      </c>
      <c r="CE252" s="9">
        <v>0</v>
      </c>
      <c r="CF252" s="9">
        <v>0</v>
      </c>
      <c r="CG252" s="9">
        <v>0</v>
      </c>
      <c r="CH252" s="9">
        <v>0</v>
      </c>
      <c r="CI252" s="9">
        <v>0</v>
      </c>
      <c r="CJ252" s="9">
        <v>0</v>
      </c>
      <c r="CK252" s="9">
        <v>0</v>
      </c>
      <c r="CL252" s="9">
        <v>0</v>
      </c>
      <c r="CM252" s="9">
        <v>0</v>
      </c>
      <c r="CN252" s="9">
        <v>0</v>
      </c>
      <c r="CO252" s="9">
        <v>0</v>
      </c>
      <c r="CP252" s="9">
        <v>0</v>
      </c>
      <c r="CQ252" s="9">
        <v>0</v>
      </c>
      <c r="CR252" s="9">
        <v>0</v>
      </c>
      <c r="CS252" s="9">
        <v>0</v>
      </c>
      <c r="CT252" s="9">
        <v>0</v>
      </c>
      <c r="CU252" s="9">
        <v>0</v>
      </c>
      <c r="CV252" s="9">
        <v>0</v>
      </c>
      <c r="CW252" s="9">
        <v>0</v>
      </c>
      <c r="CX252" s="9">
        <v>0</v>
      </c>
      <c r="CY252" s="9">
        <v>0</v>
      </c>
      <c r="CZ252" s="9">
        <v>0</v>
      </c>
      <c r="DA252" s="9">
        <v>0</v>
      </c>
      <c r="DB252" s="9">
        <v>0</v>
      </c>
      <c r="DC252" s="9">
        <v>0</v>
      </c>
      <c r="DD252" s="9">
        <v>0</v>
      </c>
      <c r="DE252" s="9">
        <v>0</v>
      </c>
      <c r="DF252" s="9">
        <v>0</v>
      </c>
      <c r="DG252" s="9">
        <v>0</v>
      </c>
      <c r="DH252" s="9">
        <v>0</v>
      </c>
      <c r="DI252" s="9">
        <v>0</v>
      </c>
      <c r="DJ252" s="9">
        <v>0</v>
      </c>
      <c r="DK252" s="9">
        <v>0</v>
      </c>
      <c r="DL252" s="9">
        <v>0</v>
      </c>
      <c r="DM252" s="9">
        <v>0</v>
      </c>
      <c r="DN252" s="9">
        <v>0</v>
      </c>
      <c r="DO252" s="9">
        <v>0</v>
      </c>
      <c r="DP252" s="9">
        <v>0</v>
      </c>
      <c r="DQ252" s="9">
        <v>0</v>
      </c>
      <c r="DR252" s="9">
        <v>0</v>
      </c>
      <c r="DS252" s="9">
        <v>0</v>
      </c>
      <c r="DT252" s="9">
        <v>0</v>
      </c>
      <c r="DU252" s="9">
        <v>0</v>
      </c>
      <c r="DV252" s="9">
        <v>0</v>
      </c>
      <c r="DW252" s="9">
        <v>0</v>
      </c>
      <c r="DX252" s="9">
        <v>0</v>
      </c>
      <c r="DY252" s="9">
        <v>0</v>
      </c>
      <c r="DZ252" s="9">
        <v>0</v>
      </c>
      <c r="EA252" s="9">
        <v>0</v>
      </c>
      <c r="EB252" s="9">
        <v>0</v>
      </c>
      <c r="EC252" s="9">
        <v>0</v>
      </c>
      <c r="ED252" s="9">
        <v>0</v>
      </c>
      <c r="EE252" s="9">
        <v>0</v>
      </c>
      <c r="EF252" s="9">
        <v>0</v>
      </c>
      <c r="EG252" s="9">
        <v>0</v>
      </c>
      <c r="EH252" s="9">
        <v>0</v>
      </c>
      <c r="EI252" s="9">
        <v>0</v>
      </c>
      <c r="EJ252" s="9">
        <v>0</v>
      </c>
      <c r="EK252" s="9">
        <v>0</v>
      </c>
      <c r="EL252" s="9">
        <v>0</v>
      </c>
      <c r="EM252" s="9">
        <v>0</v>
      </c>
      <c r="EN252" s="9">
        <v>0</v>
      </c>
      <c r="EO252" s="9">
        <v>0</v>
      </c>
      <c r="EP252" s="9">
        <v>0</v>
      </c>
      <c r="EQ252" s="9">
        <v>0</v>
      </c>
      <c r="ER252" s="9">
        <v>0</v>
      </c>
      <c r="ES252" s="9">
        <v>0</v>
      </c>
      <c r="ET252" s="9">
        <v>0</v>
      </c>
      <c r="EU252" s="9">
        <v>0</v>
      </c>
      <c r="EV252" s="9">
        <v>0</v>
      </c>
      <c r="EW252" s="9">
        <v>0</v>
      </c>
      <c r="EX252" s="9">
        <v>0</v>
      </c>
      <c r="EY252" s="9">
        <v>0</v>
      </c>
      <c r="EZ252" s="9">
        <v>0</v>
      </c>
      <c r="FA252" s="9">
        <v>0</v>
      </c>
      <c r="FB252" s="9">
        <v>0</v>
      </c>
      <c r="FC252" s="9">
        <v>0</v>
      </c>
      <c r="FD252" s="9">
        <v>0</v>
      </c>
      <c r="FE252" s="9">
        <v>0</v>
      </c>
      <c r="FF252" s="9">
        <v>0</v>
      </c>
      <c r="FG252" s="9">
        <v>0</v>
      </c>
      <c r="FH252" s="9">
        <v>0</v>
      </c>
      <c r="FI252" s="9">
        <v>0</v>
      </c>
      <c r="FJ252" s="9">
        <v>0</v>
      </c>
      <c r="FK252" s="9">
        <v>0</v>
      </c>
      <c r="FL252" s="9">
        <v>0</v>
      </c>
      <c r="FM252" s="10">
        <v>0</v>
      </c>
    </row>
    <row r="253" spans="1:169" x14ac:dyDescent="0.35">
      <c r="A253" s="8" t="s">
        <v>413</v>
      </c>
      <c r="B253" s="9" t="s">
        <v>183</v>
      </c>
      <c r="C253" s="10" t="s">
        <v>184</v>
      </c>
      <c r="D253" s="62">
        <f t="shared" si="100"/>
        <v>0</v>
      </c>
      <c r="E253" s="9">
        <v>0</v>
      </c>
      <c r="F253" s="9">
        <v>0</v>
      </c>
      <c r="G253" s="9">
        <v>0</v>
      </c>
      <c r="H253" s="9">
        <v>0</v>
      </c>
      <c r="I253" s="9">
        <v>0</v>
      </c>
      <c r="J253" s="9">
        <v>0</v>
      </c>
      <c r="K253" s="9">
        <v>0</v>
      </c>
      <c r="L253" s="9">
        <v>0</v>
      </c>
      <c r="M253" s="9">
        <v>0</v>
      </c>
      <c r="N253" s="9">
        <v>0</v>
      </c>
      <c r="O253" s="9">
        <v>0</v>
      </c>
      <c r="P253" s="9">
        <v>0</v>
      </c>
      <c r="Q253" s="9">
        <v>0</v>
      </c>
      <c r="R253" s="9">
        <v>0</v>
      </c>
      <c r="S253" s="9">
        <v>0</v>
      </c>
      <c r="T253" s="9">
        <v>0</v>
      </c>
      <c r="U253" s="9">
        <v>0</v>
      </c>
      <c r="V253" s="9">
        <v>0</v>
      </c>
      <c r="W253" s="9">
        <v>0</v>
      </c>
      <c r="X253" s="9">
        <v>0</v>
      </c>
      <c r="Y253" s="9">
        <v>0</v>
      </c>
      <c r="Z253" s="9">
        <v>0</v>
      </c>
      <c r="AA253" s="9">
        <v>0</v>
      </c>
      <c r="AB253" s="9">
        <v>0</v>
      </c>
      <c r="AC253" s="9">
        <v>0</v>
      </c>
      <c r="AD253" s="9">
        <v>0</v>
      </c>
      <c r="AE253" s="9">
        <v>0</v>
      </c>
      <c r="AF253" s="9">
        <v>0</v>
      </c>
      <c r="AG253" s="9">
        <v>0</v>
      </c>
      <c r="AH253" s="9">
        <v>0</v>
      </c>
      <c r="AI253" s="9">
        <v>0</v>
      </c>
      <c r="AJ253" s="9">
        <v>0</v>
      </c>
      <c r="AK253" s="9">
        <v>0</v>
      </c>
      <c r="AL253" s="9">
        <v>0</v>
      </c>
      <c r="AM253" s="9">
        <v>0</v>
      </c>
      <c r="AN253" s="9">
        <v>0</v>
      </c>
      <c r="AO253" s="9">
        <v>0</v>
      </c>
      <c r="AP253" s="9">
        <v>0</v>
      </c>
      <c r="AQ253" s="9">
        <v>0</v>
      </c>
      <c r="AR253" s="9">
        <v>0</v>
      </c>
      <c r="AS253" s="9">
        <v>0</v>
      </c>
      <c r="AT253" s="9">
        <v>0</v>
      </c>
      <c r="AU253" s="9">
        <v>0</v>
      </c>
      <c r="AV253" s="9">
        <v>0</v>
      </c>
      <c r="AW253" s="9">
        <v>0</v>
      </c>
      <c r="AX253" s="9">
        <v>0</v>
      </c>
      <c r="AY253" s="9">
        <v>0</v>
      </c>
      <c r="AZ253" s="9">
        <v>0</v>
      </c>
      <c r="BA253" s="9">
        <v>0</v>
      </c>
      <c r="BB253" s="9">
        <v>0</v>
      </c>
      <c r="BC253" s="9">
        <v>0</v>
      </c>
      <c r="BD253" s="9">
        <v>0</v>
      </c>
      <c r="BE253" s="9">
        <v>0</v>
      </c>
      <c r="BF253" s="9">
        <v>0</v>
      </c>
      <c r="BG253" s="9">
        <v>0</v>
      </c>
      <c r="BH253" s="9">
        <v>0</v>
      </c>
      <c r="BI253" s="9">
        <v>0</v>
      </c>
      <c r="BJ253" s="9">
        <v>0</v>
      </c>
      <c r="BK253" s="9">
        <v>0</v>
      </c>
      <c r="BL253" s="9">
        <v>0</v>
      </c>
      <c r="BM253" s="9">
        <v>0</v>
      </c>
      <c r="BN253" s="9">
        <v>0</v>
      </c>
      <c r="BO253" s="9">
        <v>0</v>
      </c>
      <c r="BP253" s="9">
        <v>0</v>
      </c>
      <c r="BQ253" s="9">
        <v>0</v>
      </c>
      <c r="BR253" s="9">
        <v>0</v>
      </c>
      <c r="BS253" s="9">
        <v>0</v>
      </c>
      <c r="BT253" s="9">
        <v>0</v>
      </c>
      <c r="BU253" s="9">
        <v>0</v>
      </c>
      <c r="BV253" s="9">
        <v>0</v>
      </c>
      <c r="BW253" s="9">
        <v>0</v>
      </c>
      <c r="BX253" s="9">
        <v>0</v>
      </c>
      <c r="BY253" s="9">
        <v>0</v>
      </c>
      <c r="BZ253" s="9">
        <v>0</v>
      </c>
      <c r="CA253" s="9">
        <v>0</v>
      </c>
      <c r="CB253" s="9">
        <v>0</v>
      </c>
      <c r="CC253" s="9">
        <v>0</v>
      </c>
      <c r="CD253" s="9">
        <v>0</v>
      </c>
      <c r="CE253" s="9">
        <v>0</v>
      </c>
      <c r="CF253" s="9">
        <v>0</v>
      </c>
      <c r="CG253" s="9">
        <v>0</v>
      </c>
      <c r="CH253" s="9">
        <v>0</v>
      </c>
      <c r="CI253" s="9">
        <v>0</v>
      </c>
      <c r="CJ253" s="9">
        <v>0</v>
      </c>
      <c r="CK253" s="9">
        <v>0</v>
      </c>
      <c r="CL253" s="9">
        <v>0</v>
      </c>
      <c r="CM253" s="9">
        <v>0</v>
      </c>
      <c r="CN253" s="9">
        <v>0</v>
      </c>
      <c r="CO253" s="9">
        <v>0</v>
      </c>
      <c r="CP253" s="9">
        <v>0</v>
      </c>
      <c r="CQ253" s="9">
        <v>0</v>
      </c>
      <c r="CR253" s="9">
        <v>0</v>
      </c>
      <c r="CS253" s="9">
        <v>0</v>
      </c>
      <c r="CT253" s="9">
        <v>0</v>
      </c>
      <c r="CU253" s="9">
        <v>0</v>
      </c>
      <c r="CV253" s="9">
        <v>0</v>
      </c>
      <c r="CW253" s="9">
        <v>0</v>
      </c>
      <c r="CX253" s="9">
        <v>0</v>
      </c>
      <c r="CY253" s="9">
        <v>0</v>
      </c>
      <c r="CZ253" s="9">
        <v>0</v>
      </c>
      <c r="DA253" s="9">
        <v>0</v>
      </c>
      <c r="DB253" s="9">
        <v>0</v>
      </c>
      <c r="DC253" s="9">
        <v>0</v>
      </c>
      <c r="DD253" s="9">
        <v>0</v>
      </c>
      <c r="DE253" s="9">
        <v>0</v>
      </c>
      <c r="DF253" s="9">
        <v>0</v>
      </c>
      <c r="DG253" s="9">
        <v>0</v>
      </c>
      <c r="DH253" s="9">
        <v>0</v>
      </c>
      <c r="DI253" s="9">
        <v>0</v>
      </c>
      <c r="DJ253" s="9">
        <v>0</v>
      </c>
      <c r="DK253" s="9">
        <v>0</v>
      </c>
      <c r="DL253" s="9">
        <v>0</v>
      </c>
      <c r="DM253" s="9">
        <v>0</v>
      </c>
      <c r="DN253" s="9">
        <v>0</v>
      </c>
      <c r="DO253" s="9">
        <v>0</v>
      </c>
      <c r="DP253" s="9">
        <v>0</v>
      </c>
      <c r="DQ253" s="9">
        <v>0</v>
      </c>
      <c r="DR253" s="9">
        <v>0</v>
      </c>
      <c r="DS253" s="9">
        <v>0</v>
      </c>
      <c r="DT253" s="9">
        <v>0</v>
      </c>
      <c r="DU253" s="9">
        <v>0</v>
      </c>
      <c r="DV253" s="9">
        <v>0</v>
      </c>
      <c r="DW253" s="9">
        <v>0</v>
      </c>
      <c r="DX253" s="9">
        <v>0</v>
      </c>
      <c r="DY253" s="9">
        <v>0</v>
      </c>
      <c r="DZ253" s="9">
        <v>0</v>
      </c>
      <c r="EA253" s="9">
        <v>0</v>
      </c>
      <c r="EB253" s="9">
        <v>0</v>
      </c>
      <c r="EC253" s="9">
        <v>0</v>
      </c>
      <c r="ED253" s="9">
        <v>0</v>
      </c>
      <c r="EE253" s="9">
        <v>0</v>
      </c>
      <c r="EF253" s="9">
        <v>0</v>
      </c>
      <c r="EG253" s="9">
        <v>0</v>
      </c>
      <c r="EH253" s="9">
        <v>0</v>
      </c>
      <c r="EI253" s="9">
        <v>0</v>
      </c>
      <c r="EJ253" s="9">
        <v>0</v>
      </c>
      <c r="EK253" s="9">
        <v>0</v>
      </c>
      <c r="EL253" s="9">
        <v>0</v>
      </c>
      <c r="EM253" s="9">
        <v>0</v>
      </c>
      <c r="EN253" s="9">
        <v>0</v>
      </c>
      <c r="EO253" s="9">
        <v>0</v>
      </c>
      <c r="EP253" s="9">
        <v>0</v>
      </c>
      <c r="EQ253" s="9">
        <v>0</v>
      </c>
      <c r="ER253" s="9">
        <v>0</v>
      </c>
      <c r="ES253" s="9">
        <v>0</v>
      </c>
      <c r="ET253" s="9">
        <v>0</v>
      </c>
      <c r="EU253" s="9">
        <v>0</v>
      </c>
      <c r="EV253" s="9">
        <v>0</v>
      </c>
      <c r="EW253" s="9">
        <v>0</v>
      </c>
      <c r="EX253" s="9">
        <v>0</v>
      </c>
      <c r="EY253" s="9">
        <v>0</v>
      </c>
      <c r="EZ253" s="9">
        <v>0</v>
      </c>
      <c r="FA253" s="9">
        <v>0</v>
      </c>
      <c r="FB253" s="9">
        <v>0</v>
      </c>
      <c r="FC253" s="9">
        <v>0</v>
      </c>
      <c r="FD253" s="9">
        <v>0</v>
      </c>
      <c r="FE253" s="9">
        <v>0</v>
      </c>
      <c r="FF253" s="9">
        <v>0</v>
      </c>
      <c r="FG253" s="9">
        <v>0</v>
      </c>
      <c r="FH253" s="9">
        <v>0</v>
      </c>
      <c r="FI253" s="9">
        <v>0</v>
      </c>
      <c r="FJ253" s="9">
        <v>0</v>
      </c>
      <c r="FK253" s="9">
        <v>0</v>
      </c>
      <c r="FL253" s="9">
        <v>0</v>
      </c>
      <c r="FM253" s="10">
        <v>0</v>
      </c>
    </row>
    <row r="254" spans="1:169" x14ac:dyDescent="0.35">
      <c r="A254" s="8" t="s">
        <v>413</v>
      </c>
      <c r="B254" s="9" t="s">
        <v>430</v>
      </c>
      <c r="C254" s="10" t="s">
        <v>431</v>
      </c>
      <c r="D254" s="62">
        <f t="shared" si="100"/>
        <v>0</v>
      </c>
      <c r="E254" s="9">
        <v>0</v>
      </c>
      <c r="F254" s="9">
        <v>0</v>
      </c>
      <c r="G254" s="9">
        <v>0</v>
      </c>
      <c r="H254" s="9">
        <v>0</v>
      </c>
      <c r="I254" s="9">
        <v>0</v>
      </c>
      <c r="J254" s="9">
        <v>0</v>
      </c>
      <c r="K254" s="9">
        <v>0</v>
      </c>
      <c r="L254" s="9">
        <v>0</v>
      </c>
      <c r="M254" s="9">
        <v>0</v>
      </c>
      <c r="N254" s="9">
        <v>0</v>
      </c>
      <c r="O254" s="9">
        <v>0</v>
      </c>
      <c r="P254" s="9">
        <v>0</v>
      </c>
      <c r="Q254" s="9">
        <v>0</v>
      </c>
      <c r="R254" s="9">
        <v>0</v>
      </c>
      <c r="S254" s="9">
        <v>0</v>
      </c>
      <c r="T254" s="9">
        <v>0</v>
      </c>
      <c r="U254" s="9">
        <v>0</v>
      </c>
      <c r="V254" s="9">
        <v>0</v>
      </c>
      <c r="W254" s="9">
        <v>0</v>
      </c>
      <c r="X254" s="9">
        <v>0</v>
      </c>
      <c r="Y254" s="9">
        <v>0</v>
      </c>
      <c r="Z254" s="9">
        <v>0</v>
      </c>
      <c r="AA254" s="9">
        <v>0</v>
      </c>
      <c r="AB254" s="9">
        <v>0</v>
      </c>
      <c r="AC254" s="9">
        <v>0</v>
      </c>
      <c r="AD254" s="9">
        <v>0</v>
      </c>
      <c r="AE254" s="9">
        <v>0</v>
      </c>
      <c r="AF254" s="9">
        <v>0</v>
      </c>
      <c r="AG254" s="9">
        <v>0</v>
      </c>
      <c r="AH254" s="9">
        <v>0</v>
      </c>
      <c r="AI254" s="9">
        <v>0</v>
      </c>
      <c r="AJ254" s="9">
        <v>0</v>
      </c>
      <c r="AK254" s="9">
        <v>0</v>
      </c>
      <c r="AL254" s="9">
        <v>0</v>
      </c>
      <c r="AM254" s="9">
        <v>0</v>
      </c>
      <c r="AN254" s="9">
        <v>0</v>
      </c>
      <c r="AO254" s="9">
        <v>0</v>
      </c>
      <c r="AP254" s="9">
        <v>0</v>
      </c>
      <c r="AQ254" s="9">
        <v>0</v>
      </c>
      <c r="AR254" s="9">
        <v>0</v>
      </c>
      <c r="AS254" s="9">
        <v>0</v>
      </c>
      <c r="AT254" s="9">
        <v>0</v>
      </c>
      <c r="AU254" s="9">
        <v>0</v>
      </c>
      <c r="AV254" s="9">
        <v>0</v>
      </c>
      <c r="AW254" s="9">
        <v>0</v>
      </c>
      <c r="AX254" s="9">
        <v>0</v>
      </c>
      <c r="AY254" s="9">
        <v>0</v>
      </c>
      <c r="AZ254" s="9">
        <v>0</v>
      </c>
      <c r="BA254" s="9">
        <v>0</v>
      </c>
      <c r="BB254" s="9">
        <v>0</v>
      </c>
      <c r="BC254" s="9">
        <v>0</v>
      </c>
      <c r="BD254" s="9">
        <v>0</v>
      </c>
      <c r="BE254" s="9">
        <v>0</v>
      </c>
      <c r="BF254" s="9">
        <v>0</v>
      </c>
      <c r="BG254" s="9">
        <v>0</v>
      </c>
      <c r="BH254" s="9">
        <v>0</v>
      </c>
      <c r="BI254" s="9">
        <v>0</v>
      </c>
      <c r="BJ254" s="9">
        <v>0</v>
      </c>
      <c r="BK254" s="9">
        <v>0</v>
      </c>
      <c r="BL254" s="9">
        <v>0</v>
      </c>
      <c r="BM254" s="9">
        <v>0</v>
      </c>
      <c r="BN254" s="9">
        <v>0</v>
      </c>
      <c r="BO254" s="9">
        <v>0</v>
      </c>
      <c r="BP254" s="9">
        <v>0</v>
      </c>
      <c r="BQ254" s="9">
        <v>0</v>
      </c>
      <c r="BR254" s="9">
        <v>0</v>
      </c>
      <c r="BS254" s="9">
        <v>0</v>
      </c>
      <c r="BT254" s="9">
        <v>0</v>
      </c>
      <c r="BU254" s="9">
        <v>0</v>
      </c>
      <c r="BV254" s="9">
        <v>0</v>
      </c>
      <c r="BW254" s="9">
        <v>0</v>
      </c>
      <c r="BX254" s="9">
        <v>0</v>
      </c>
      <c r="BY254" s="9">
        <v>0</v>
      </c>
      <c r="BZ254" s="9">
        <v>0</v>
      </c>
      <c r="CA254" s="9">
        <v>0</v>
      </c>
      <c r="CB254" s="9">
        <v>0</v>
      </c>
      <c r="CC254" s="9">
        <v>0</v>
      </c>
      <c r="CD254" s="9">
        <v>0</v>
      </c>
      <c r="CE254" s="9">
        <v>0</v>
      </c>
      <c r="CF254" s="9">
        <v>0</v>
      </c>
      <c r="CG254" s="9">
        <v>0</v>
      </c>
      <c r="CH254" s="9">
        <v>0</v>
      </c>
      <c r="CI254" s="9">
        <v>0</v>
      </c>
      <c r="CJ254" s="9">
        <v>0</v>
      </c>
      <c r="CK254" s="9">
        <v>0</v>
      </c>
      <c r="CL254" s="9">
        <v>0</v>
      </c>
      <c r="CM254" s="9">
        <v>0</v>
      </c>
      <c r="CN254" s="9">
        <v>0</v>
      </c>
      <c r="CO254" s="9">
        <v>0</v>
      </c>
      <c r="CP254" s="9">
        <v>0</v>
      </c>
      <c r="CQ254" s="9">
        <v>0</v>
      </c>
      <c r="CR254" s="9">
        <v>0</v>
      </c>
      <c r="CS254" s="9">
        <v>0</v>
      </c>
      <c r="CT254" s="9">
        <v>0</v>
      </c>
      <c r="CU254" s="9">
        <v>0</v>
      </c>
      <c r="CV254" s="9">
        <v>0</v>
      </c>
      <c r="CW254" s="9">
        <v>0</v>
      </c>
      <c r="CX254" s="9">
        <v>0</v>
      </c>
      <c r="CY254" s="9">
        <v>0</v>
      </c>
      <c r="CZ254" s="9">
        <v>0</v>
      </c>
      <c r="DA254" s="9">
        <v>0</v>
      </c>
      <c r="DB254" s="9">
        <v>0</v>
      </c>
      <c r="DC254" s="9">
        <v>0</v>
      </c>
      <c r="DD254" s="9">
        <v>0</v>
      </c>
      <c r="DE254" s="9">
        <v>0</v>
      </c>
      <c r="DF254" s="9">
        <v>0</v>
      </c>
      <c r="DG254" s="9">
        <v>0</v>
      </c>
      <c r="DH254" s="9">
        <v>0</v>
      </c>
      <c r="DI254" s="9">
        <v>0</v>
      </c>
      <c r="DJ254" s="9">
        <v>0</v>
      </c>
      <c r="DK254" s="9">
        <v>0</v>
      </c>
      <c r="DL254" s="9">
        <v>0</v>
      </c>
      <c r="DM254" s="9">
        <v>0</v>
      </c>
      <c r="DN254" s="9">
        <v>0</v>
      </c>
      <c r="DO254" s="9">
        <v>0</v>
      </c>
      <c r="DP254" s="9">
        <v>0</v>
      </c>
      <c r="DQ254" s="9">
        <v>0</v>
      </c>
      <c r="DR254" s="9">
        <v>0</v>
      </c>
      <c r="DS254" s="9">
        <v>0</v>
      </c>
      <c r="DT254" s="9">
        <v>0</v>
      </c>
      <c r="DU254" s="9">
        <v>0</v>
      </c>
      <c r="DV254" s="9">
        <v>0</v>
      </c>
      <c r="DW254" s="9">
        <v>0</v>
      </c>
      <c r="DX254" s="9">
        <v>0</v>
      </c>
      <c r="DY254" s="9">
        <v>0</v>
      </c>
      <c r="DZ254" s="9">
        <v>0</v>
      </c>
      <c r="EA254" s="9">
        <v>0</v>
      </c>
      <c r="EB254" s="9">
        <v>0</v>
      </c>
      <c r="EC254" s="9">
        <v>0</v>
      </c>
      <c r="ED254" s="9">
        <v>0</v>
      </c>
      <c r="EE254" s="9">
        <v>0</v>
      </c>
      <c r="EF254" s="9">
        <v>0</v>
      </c>
      <c r="EG254" s="9">
        <v>0</v>
      </c>
      <c r="EH254" s="9">
        <v>0</v>
      </c>
      <c r="EI254" s="9">
        <v>0</v>
      </c>
      <c r="EJ254" s="9">
        <v>0</v>
      </c>
      <c r="EK254" s="9">
        <v>0</v>
      </c>
      <c r="EL254" s="9">
        <v>0</v>
      </c>
      <c r="EM254" s="9">
        <v>0</v>
      </c>
      <c r="EN254" s="9">
        <v>0</v>
      </c>
      <c r="EO254" s="9">
        <v>0</v>
      </c>
      <c r="EP254" s="9">
        <v>0</v>
      </c>
      <c r="EQ254" s="9">
        <v>0</v>
      </c>
      <c r="ER254" s="9">
        <v>0</v>
      </c>
      <c r="ES254" s="9">
        <v>0</v>
      </c>
      <c r="ET254" s="9">
        <v>0</v>
      </c>
      <c r="EU254" s="9">
        <v>0</v>
      </c>
      <c r="EV254" s="9">
        <v>0</v>
      </c>
      <c r="EW254" s="9">
        <v>0</v>
      </c>
      <c r="EX254" s="9">
        <v>0</v>
      </c>
      <c r="EY254" s="9">
        <v>0</v>
      </c>
      <c r="EZ254" s="9">
        <v>0</v>
      </c>
      <c r="FA254" s="9">
        <v>0</v>
      </c>
      <c r="FB254" s="9">
        <v>0</v>
      </c>
      <c r="FC254" s="9">
        <v>0</v>
      </c>
      <c r="FD254" s="9">
        <v>0</v>
      </c>
      <c r="FE254" s="9">
        <v>0</v>
      </c>
      <c r="FF254" s="9">
        <v>0</v>
      </c>
      <c r="FG254" s="9">
        <v>0</v>
      </c>
      <c r="FH254" s="9">
        <v>0</v>
      </c>
      <c r="FI254" s="9">
        <v>0</v>
      </c>
      <c r="FJ254" s="9">
        <v>0</v>
      </c>
      <c r="FK254" s="9">
        <v>0</v>
      </c>
      <c r="FL254" s="9">
        <v>0</v>
      </c>
      <c r="FM254" s="10">
        <v>0</v>
      </c>
    </row>
    <row r="255" spans="1:169" x14ac:dyDescent="0.35">
      <c r="A255" s="8" t="s">
        <v>413</v>
      </c>
      <c r="B255" s="9" t="s">
        <v>25</v>
      </c>
      <c r="C255" s="10" t="s">
        <v>26</v>
      </c>
      <c r="D255" s="62">
        <f t="shared" si="100"/>
        <v>0</v>
      </c>
      <c r="E255" s="9">
        <v>0</v>
      </c>
      <c r="F255" s="9">
        <v>0</v>
      </c>
      <c r="G255" s="9">
        <v>0</v>
      </c>
      <c r="H255" s="9">
        <v>0</v>
      </c>
      <c r="I255" s="9">
        <v>0</v>
      </c>
      <c r="J255" s="9">
        <v>0</v>
      </c>
      <c r="K255" s="9">
        <v>0</v>
      </c>
      <c r="L255" s="9">
        <v>0</v>
      </c>
      <c r="M255" s="9">
        <v>0</v>
      </c>
      <c r="N255" s="9">
        <v>0</v>
      </c>
      <c r="O255" s="9">
        <v>0</v>
      </c>
      <c r="P255" s="9">
        <v>0</v>
      </c>
      <c r="Q255" s="9">
        <v>0</v>
      </c>
      <c r="R255" s="9">
        <v>0</v>
      </c>
      <c r="S255" s="9">
        <v>0</v>
      </c>
      <c r="T255" s="9">
        <v>0</v>
      </c>
      <c r="U255" s="9">
        <v>0</v>
      </c>
      <c r="V255" s="9">
        <v>0</v>
      </c>
      <c r="W255" s="9">
        <v>0</v>
      </c>
      <c r="X255" s="9">
        <v>0</v>
      </c>
      <c r="Y255" s="9">
        <v>0</v>
      </c>
      <c r="Z255" s="9">
        <v>0</v>
      </c>
      <c r="AA255" s="9">
        <v>0</v>
      </c>
      <c r="AB255" s="9">
        <v>0</v>
      </c>
      <c r="AC255" s="9">
        <v>0</v>
      </c>
      <c r="AD255" s="9">
        <v>0</v>
      </c>
      <c r="AE255" s="9">
        <v>0</v>
      </c>
      <c r="AF255" s="9">
        <v>0</v>
      </c>
      <c r="AG255" s="9">
        <v>0</v>
      </c>
      <c r="AH255" s="9">
        <v>0</v>
      </c>
      <c r="AI255" s="9">
        <v>0</v>
      </c>
      <c r="AJ255" s="9">
        <v>0</v>
      </c>
      <c r="AK255" s="9">
        <v>0</v>
      </c>
      <c r="AL255" s="9">
        <v>0</v>
      </c>
      <c r="AM255" s="9">
        <v>0</v>
      </c>
      <c r="AN255" s="9">
        <v>0</v>
      </c>
      <c r="AO255" s="9">
        <v>0</v>
      </c>
      <c r="AP255" s="9">
        <v>0</v>
      </c>
      <c r="AQ255" s="9">
        <v>0</v>
      </c>
      <c r="AR255" s="9">
        <v>0</v>
      </c>
      <c r="AS255" s="9">
        <v>0</v>
      </c>
      <c r="AT255" s="9">
        <v>0</v>
      </c>
      <c r="AU255" s="9">
        <v>0</v>
      </c>
      <c r="AV255" s="9">
        <v>0</v>
      </c>
      <c r="AW255" s="9">
        <v>0</v>
      </c>
      <c r="AX255" s="9">
        <v>0</v>
      </c>
      <c r="AY255" s="9">
        <v>0</v>
      </c>
      <c r="AZ255" s="9">
        <v>0</v>
      </c>
      <c r="BA255" s="9">
        <v>0</v>
      </c>
      <c r="BB255" s="9">
        <v>0</v>
      </c>
      <c r="BC255" s="9">
        <v>0</v>
      </c>
      <c r="BD255" s="9">
        <v>0</v>
      </c>
      <c r="BE255" s="9">
        <v>0</v>
      </c>
      <c r="BF255" s="9">
        <v>0</v>
      </c>
      <c r="BG255" s="9">
        <v>0</v>
      </c>
      <c r="BH255" s="9">
        <v>0</v>
      </c>
      <c r="BI255" s="9">
        <v>0</v>
      </c>
      <c r="BJ255" s="9">
        <v>0</v>
      </c>
      <c r="BK255" s="9">
        <v>0</v>
      </c>
      <c r="BL255" s="9">
        <v>0</v>
      </c>
      <c r="BM255" s="9">
        <v>0</v>
      </c>
      <c r="BN255" s="9">
        <v>0</v>
      </c>
      <c r="BO255" s="9">
        <v>0</v>
      </c>
      <c r="BP255" s="9">
        <v>0</v>
      </c>
      <c r="BQ255" s="9">
        <v>0</v>
      </c>
      <c r="BR255" s="9">
        <v>0</v>
      </c>
      <c r="BS255" s="9">
        <v>0</v>
      </c>
      <c r="BT255" s="9">
        <v>0</v>
      </c>
      <c r="BU255" s="9">
        <v>0</v>
      </c>
      <c r="BV255" s="9">
        <v>0</v>
      </c>
      <c r="BW255" s="9">
        <v>0</v>
      </c>
      <c r="BX255" s="9">
        <v>0</v>
      </c>
      <c r="BY255" s="9">
        <v>0</v>
      </c>
      <c r="BZ255" s="9">
        <v>0</v>
      </c>
      <c r="CA255" s="9">
        <v>0</v>
      </c>
      <c r="CB255" s="9">
        <v>0</v>
      </c>
      <c r="CC255" s="9">
        <v>0</v>
      </c>
      <c r="CD255" s="9">
        <v>0</v>
      </c>
      <c r="CE255" s="9">
        <v>0</v>
      </c>
      <c r="CF255" s="9">
        <v>0</v>
      </c>
      <c r="CG255" s="9">
        <v>0</v>
      </c>
      <c r="CH255" s="9">
        <v>0</v>
      </c>
      <c r="CI255" s="9">
        <v>0</v>
      </c>
      <c r="CJ255" s="9">
        <v>0</v>
      </c>
      <c r="CK255" s="9">
        <v>0</v>
      </c>
      <c r="CL255" s="9">
        <v>0</v>
      </c>
      <c r="CM255" s="9">
        <v>0</v>
      </c>
      <c r="CN255" s="9">
        <v>0</v>
      </c>
      <c r="CO255" s="9">
        <v>0</v>
      </c>
      <c r="CP255" s="9">
        <v>0</v>
      </c>
      <c r="CQ255" s="9">
        <v>0</v>
      </c>
      <c r="CR255" s="9">
        <v>0</v>
      </c>
      <c r="CS255" s="9">
        <v>0</v>
      </c>
      <c r="CT255" s="9">
        <v>0</v>
      </c>
      <c r="CU255" s="9">
        <v>0</v>
      </c>
      <c r="CV255" s="9">
        <v>0</v>
      </c>
      <c r="CW255" s="9">
        <v>0</v>
      </c>
      <c r="CX255" s="9">
        <v>0</v>
      </c>
      <c r="CY255" s="9">
        <v>0</v>
      </c>
      <c r="CZ255" s="9">
        <v>0</v>
      </c>
      <c r="DA255" s="9">
        <v>0</v>
      </c>
      <c r="DB255" s="9">
        <v>0</v>
      </c>
      <c r="DC255" s="9">
        <v>0</v>
      </c>
      <c r="DD255" s="9">
        <v>0</v>
      </c>
      <c r="DE255" s="9">
        <v>0</v>
      </c>
      <c r="DF255" s="9">
        <v>0</v>
      </c>
      <c r="DG255" s="9">
        <v>0</v>
      </c>
      <c r="DH255" s="9">
        <v>0</v>
      </c>
      <c r="DI255" s="9">
        <v>0</v>
      </c>
      <c r="DJ255" s="9">
        <v>0</v>
      </c>
      <c r="DK255" s="9">
        <v>0</v>
      </c>
      <c r="DL255" s="9">
        <v>0</v>
      </c>
      <c r="DM255" s="9">
        <v>0</v>
      </c>
      <c r="DN255" s="9">
        <v>0</v>
      </c>
      <c r="DO255" s="9">
        <v>0</v>
      </c>
      <c r="DP255" s="9">
        <v>0</v>
      </c>
      <c r="DQ255" s="9">
        <v>0</v>
      </c>
      <c r="DR255" s="9">
        <v>0</v>
      </c>
      <c r="DS255" s="9">
        <v>0</v>
      </c>
      <c r="DT255" s="9">
        <v>0</v>
      </c>
      <c r="DU255" s="9">
        <v>0</v>
      </c>
      <c r="DV255" s="9">
        <v>0</v>
      </c>
      <c r="DW255" s="9">
        <v>0</v>
      </c>
      <c r="DX255" s="9">
        <v>0</v>
      </c>
      <c r="DY255" s="9">
        <v>0</v>
      </c>
      <c r="DZ255" s="9">
        <v>0</v>
      </c>
      <c r="EA255" s="9">
        <v>0</v>
      </c>
      <c r="EB255" s="9">
        <v>0</v>
      </c>
      <c r="EC255" s="9">
        <v>0</v>
      </c>
      <c r="ED255" s="9">
        <v>0</v>
      </c>
      <c r="EE255" s="9">
        <v>0</v>
      </c>
      <c r="EF255" s="9">
        <v>0</v>
      </c>
      <c r="EG255" s="9">
        <v>0</v>
      </c>
      <c r="EH255" s="9">
        <v>0</v>
      </c>
      <c r="EI255" s="9">
        <v>0</v>
      </c>
      <c r="EJ255" s="9">
        <v>0</v>
      </c>
      <c r="EK255" s="9">
        <v>0</v>
      </c>
      <c r="EL255" s="9">
        <v>0</v>
      </c>
      <c r="EM255" s="9">
        <v>0</v>
      </c>
      <c r="EN255" s="9">
        <v>0</v>
      </c>
      <c r="EO255" s="9">
        <v>0</v>
      </c>
      <c r="EP255" s="9">
        <v>0</v>
      </c>
      <c r="EQ255" s="9">
        <v>0</v>
      </c>
      <c r="ER255" s="9">
        <v>0</v>
      </c>
      <c r="ES255" s="9">
        <v>0</v>
      </c>
      <c r="ET255" s="9">
        <v>0</v>
      </c>
      <c r="EU255" s="9">
        <v>0</v>
      </c>
      <c r="EV255" s="9">
        <v>0</v>
      </c>
      <c r="EW255" s="9">
        <v>0</v>
      </c>
      <c r="EX255" s="9">
        <v>0</v>
      </c>
      <c r="EY255" s="9">
        <v>0</v>
      </c>
      <c r="EZ255" s="9">
        <v>0</v>
      </c>
      <c r="FA255" s="9">
        <v>0</v>
      </c>
      <c r="FB255" s="9">
        <v>0</v>
      </c>
      <c r="FC255" s="9">
        <v>0</v>
      </c>
      <c r="FD255" s="9">
        <v>0</v>
      </c>
      <c r="FE255" s="9">
        <v>0</v>
      </c>
      <c r="FF255" s="9">
        <v>0</v>
      </c>
      <c r="FG255" s="9">
        <v>0</v>
      </c>
      <c r="FH255" s="9">
        <v>0</v>
      </c>
      <c r="FI255" s="9">
        <v>0</v>
      </c>
      <c r="FJ255" s="9">
        <v>0</v>
      </c>
      <c r="FK255" s="9">
        <v>0</v>
      </c>
      <c r="FL255" s="9">
        <v>0</v>
      </c>
      <c r="FM255" s="10">
        <v>0</v>
      </c>
    </row>
    <row r="256" spans="1:169" x14ac:dyDescent="0.35">
      <c r="A256" s="8" t="s">
        <v>413</v>
      </c>
      <c r="B256" s="9" t="s">
        <v>432</v>
      </c>
      <c r="C256" s="10" t="s">
        <v>433</v>
      </c>
      <c r="D256" s="62">
        <f t="shared" si="100"/>
        <v>0</v>
      </c>
      <c r="E256" s="9">
        <v>0</v>
      </c>
      <c r="F256" s="9">
        <v>0</v>
      </c>
      <c r="G256" s="9">
        <v>0</v>
      </c>
      <c r="H256" s="9">
        <v>0</v>
      </c>
      <c r="I256" s="9">
        <v>0</v>
      </c>
      <c r="J256" s="9">
        <v>0</v>
      </c>
      <c r="K256" s="9">
        <v>0</v>
      </c>
      <c r="L256" s="9">
        <v>0</v>
      </c>
      <c r="M256" s="9">
        <v>0</v>
      </c>
      <c r="N256" s="9">
        <v>0</v>
      </c>
      <c r="O256" s="9">
        <v>0</v>
      </c>
      <c r="P256" s="9">
        <v>0</v>
      </c>
      <c r="Q256" s="9">
        <v>0</v>
      </c>
      <c r="R256" s="9">
        <v>0</v>
      </c>
      <c r="S256" s="9">
        <v>0</v>
      </c>
      <c r="T256" s="9">
        <v>0</v>
      </c>
      <c r="U256" s="9">
        <v>0</v>
      </c>
      <c r="V256" s="9">
        <v>0</v>
      </c>
      <c r="W256" s="9">
        <v>0</v>
      </c>
      <c r="X256" s="9">
        <v>0</v>
      </c>
      <c r="Y256" s="9">
        <v>0</v>
      </c>
      <c r="Z256" s="9">
        <v>0</v>
      </c>
      <c r="AA256" s="9">
        <v>0</v>
      </c>
      <c r="AB256" s="9">
        <v>0</v>
      </c>
      <c r="AC256" s="9">
        <v>0</v>
      </c>
      <c r="AD256" s="9">
        <v>0</v>
      </c>
      <c r="AE256" s="9">
        <v>0</v>
      </c>
      <c r="AF256" s="9">
        <v>0</v>
      </c>
      <c r="AG256" s="9">
        <v>0</v>
      </c>
      <c r="AH256" s="9">
        <v>0</v>
      </c>
      <c r="AI256" s="9">
        <v>0</v>
      </c>
      <c r="AJ256" s="9">
        <v>0</v>
      </c>
      <c r="AK256" s="9">
        <v>0</v>
      </c>
      <c r="AL256" s="9">
        <v>0</v>
      </c>
      <c r="AM256" s="9">
        <v>0</v>
      </c>
      <c r="AN256" s="9">
        <v>0</v>
      </c>
      <c r="AO256" s="9">
        <v>0</v>
      </c>
      <c r="AP256" s="9">
        <v>0</v>
      </c>
      <c r="AQ256" s="9">
        <v>0</v>
      </c>
      <c r="AR256" s="9">
        <v>0</v>
      </c>
      <c r="AS256" s="9">
        <v>0</v>
      </c>
      <c r="AT256" s="9">
        <v>0</v>
      </c>
      <c r="AU256" s="9">
        <v>0</v>
      </c>
      <c r="AV256" s="9">
        <v>0</v>
      </c>
      <c r="AW256" s="9">
        <v>0</v>
      </c>
      <c r="AX256" s="9">
        <v>0</v>
      </c>
      <c r="AY256" s="9">
        <v>0</v>
      </c>
      <c r="AZ256" s="9">
        <v>0</v>
      </c>
      <c r="BA256" s="9">
        <v>0</v>
      </c>
      <c r="BB256" s="9">
        <v>0</v>
      </c>
      <c r="BC256" s="9">
        <v>0</v>
      </c>
      <c r="BD256" s="9">
        <v>0</v>
      </c>
      <c r="BE256" s="9">
        <v>0</v>
      </c>
      <c r="BF256" s="9">
        <v>0</v>
      </c>
      <c r="BG256" s="9">
        <v>0</v>
      </c>
      <c r="BH256" s="9">
        <v>0</v>
      </c>
      <c r="BI256" s="9">
        <v>0</v>
      </c>
      <c r="BJ256" s="9">
        <v>0</v>
      </c>
      <c r="BK256" s="9">
        <v>0</v>
      </c>
      <c r="BL256" s="9">
        <v>0</v>
      </c>
      <c r="BM256" s="9">
        <v>0</v>
      </c>
      <c r="BN256" s="9">
        <v>0</v>
      </c>
      <c r="BO256" s="9">
        <v>0</v>
      </c>
      <c r="BP256" s="9">
        <v>0</v>
      </c>
      <c r="BQ256" s="9">
        <v>0</v>
      </c>
      <c r="BR256" s="9">
        <v>0</v>
      </c>
      <c r="BS256" s="9">
        <v>0</v>
      </c>
      <c r="BT256" s="9">
        <v>0</v>
      </c>
      <c r="BU256" s="9">
        <v>0</v>
      </c>
      <c r="BV256" s="9">
        <v>0</v>
      </c>
      <c r="BW256" s="9">
        <v>0</v>
      </c>
      <c r="BX256" s="9">
        <v>0</v>
      </c>
      <c r="BY256" s="9">
        <v>0</v>
      </c>
      <c r="BZ256" s="9">
        <v>0</v>
      </c>
      <c r="CA256" s="9">
        <v>0</v>
      </c>
      <c r="CB256" s="9">
        <v>0</v>
      </c>
      <c r="CC256" s="9">
        <v>0</v>
      </c>
      <c r="CD256" s="9">
        <v>0</v>
      </c>
      <c r="CE256" s="9">
        <v>0</v>
      </c>
      <c r="CF256" s="9">
        <v>0</v>
      </c>
      <c r="CG256" s="9">
        <v>0</v>
      </c>
      <c r="CH256" s="9">
        <v>0</v>
      </c>
      <c r="CI256" s="9">
        <v>0</v>
      </c>
      <c r="CJ256" s="9">
        <v>0</v>
      </c>
      <c r="CK256" s="9">
        <v>0</v>
      </c>
      <c r="CL256" s="9">
        <v>0</v>
      </c>
      <c r="CM256" s="9">
        <v>0</v>
      </c>
      <c r="CN256" s="9">
        <v>0</v>
      </c>
      <c r="CO256" s="9">
        <v>0</v>
      </c>
      <c r="CP256" s="9">
        <v>0</v>
      </c>
      <c r="CQ256" s="9">
        <v>0</v>
      </c>
      <c r="CR256" s="9">
        <v>0</v>
      </c>
      <c r="CS256" s="9">
        <v>0</v>
      </c>
      <c r="CT256" s="9">
        <v>0</v>
      </c>
      <c r="CU256" s="9">
        <v>0</v>
      </c>
      <c r="CV256" s="9">
        <v>0</v>
      </c>
      <c r="CW256" s="9">
        <v>0</v>
      </c>
      <c r="CX256" s="9">
        <v>0</v>
      </c>
      <c r="CY256" s="9">
        <v>0</v>
      </c>
      <c r="CZ256" s="9">
        <v>0</v>
      </c>
      <c r="DA256" s="9">
        <v>0</v>
      </c>
      <c r="DB256" s="9">
        <v>0</v>
      </c>
      <c r="DC256" s="9">
        <v>0</v>
      </c>
      <c r="DD256" s="9">
        <v>0</v>
      </c>
      <c r="DE256" s="9">
        <v>0</v>
      </c>
      <c r="DF256" s="9">
        <v>0</v>
      </c>
      <c r="DG256" s="9">
        <v>0</v>
      </c>
      <c r="DH256" s="9">
        <v>0</v>
      </c>
      <c r="DI256" s="9">
        <v>0</v>
      </c>
      <c r="DJ256" s="9">
        <v>0</v>
      </c>
      <c r="DK256" s="9">
        <v>0</v>
      </c>
      <c r="DL256" s="9">
        <v>0</v>
      </c>
      <c r="DM256" s="9">
        <v>0</v>
      </c>
      <c r="DN256" s="9">
        <v>0</v>
      </c>
      <c r="DO256" s="9">
        <v>0</v>
      </c>
      <c r="DP256" s="9">
        <v>0</v>
      </c>
      <c r="DQ256" s="9">
        <v>0</v>
      </c>
      <c r="DR256" s="9">
        <v>0</v>
      </c>
      <c r="DS256" s="9">
        <v>0</v>
      </c>
      <c r="DT256" s="9">
        <v>0</v>
      </c>
      <c r="DU256" s="9">
        <v>0</v>
      </c>
      <c r="DV256" s="9">
        <v>0</v>
      </c>
      <c r="DW256" s="9">
        <v>0</v>
      </c>
      <c r="DX256" s="9">
        <v>0</v>
      </c>
      <c r="DY256" s="9">
        <v>0</v>
      </c>
      <c r="DZ256" s="9">
        <v>0</v>
      </c>
      <c r="EA256" s="9">
        <v>0</v>
      </c>
      <c r="EB256" s="9">
        <v>0</v>
      </c>
      <c r="EC256" s="9">
        <v>0</v>
      </c>
      <c r="ED256" s="9">
        <v>0</v>
      </c>
      <c r="EE256" s="9">
        <v>0</v>
      </c>
      <c r="EF256" s="9">
        <v>0</v>
      </c>
      <c r="EG256" s="9">
        <v>0</v>
      </c>
      <c r="EH256" s="9">
        <v>0</v>
      </c>
      <c r="EI256" s="9">
        <v>0</v>
      </c>
      <c r="EJ256" s="9">
        <v>0</v>
      </c>
      <c r="EK256" s="9">
        <v>0</v>
      </c>
      <c r="EL256" s="9">
        <v>0</v>
      </c>
      <c r="EM256" s="9">
        <v>0</v>
      </c>
      <c r="EN256" s="9">
        <v>0</v>
      </c>
      <c r="EO256" s="9">
        <v>0</v>
      </c>
      <c r="EP256" s="9">
        <v>0</v>
      </c>
      <c r="EQ256" s="9">
        <v>0</v>
      </c>
      <c r="ER256" s="9">
        <v>0</v>
      </c>
      <c r="ES256" s="9">
        <v>0</v>
      </c>
      <c r="ET256" s="9">
        <v>0</v>
      </c>
      <c r="EU256" s="9">
        <v>0</v>
      </c>
      <c r="EV256" s="9">
        <v>0</v>
      </c>
      <c r="EW256" s="9">
        <v>0</v>
      </c>
      <c r="EX256" s="9">
        <v>0</v>
      </c>
      <c r="EY256" s="9">
        <v>0</v>
      </c>
      <c r="EZ256" s="9">
        <v>0</v>
      </c>
      <c r="FA256" s="9">
        <v>0</v>
      </c>
      <c r="FB256" s="9">
        <v>0</v>
      </c>
      <c r="FC256" s="9">
        <v>0</v>
      </c>
      <c r="FD256" s="9">
        <v>0</v>
      </c>
      <c r="FE256" s="9">
        <v>0</v>
      </c>
      <c r="FF256" s="9">
        <v>0</v>
      </c>
      <c r="FG256" s="9">
        <v>0</v>
      </c>
      <c r="FH256" s="9">
        <v>0</v>
      </c>
      <c r="FI256" s="9">
        <v>0</v>
      </c>
      <c r="FJ256" s="9">
        <v>0</v>
      </c>
      <c r="FK256" s="9">
        <v>0</v>
      </c>
      <c r="FL256" s="9">
        <v>0</v>
      </c>
      <c r="FM256" s="10">
        <v>0</v>
      </c>
    </row>
    <row r="257" spans="1:169" x14ac:dyDescent="0.35">
      <c r="A257" s="8" t="s">
        <v>413</v>
      </c>
      <c r="B257" s="9" t="s">
        <v>434</v>
      </c>
      <c r="C257" s="10" t="s">
        <v>435</v>
      </c>
      <c r="D257" s="62">
        <f t="shared" si="100"/>
        <v>0</v>
      </c>
      <c r="E257" s="9">
        <v>0</v>
      </c>
      <c r="F257" s="9">
        <v>0</v>
      </c>
      <c r="G257" s="9">
        <v>0</v>
      </c>
      <c r="H257" s="9">
        <v>0</v>
      </c>
      <c r="I257" s="9">
        <v>0</v>
      </c>
      <c r="J257" s="9">
        <v>0</v>
      </c>
      <c r="K257" s="9">
        <v>0</v>
      </c>
      <c r="L257" s="9">
        <v>0</v>
      </c>
      <c r="M257" s="9">
        <v>0</v>
      </c>
      <c r="N257" s="9">
        <v>0</v>
      </c>
      <c r="O257" s="9">
        <v>0</v>
      </c>
      <c r="P257" s="9">
        <v>0</v>
      </c>
      <c r="Q257" s="9">
        <v>0</v>
      </c>
      <c r="R257" s="9">
        <v>0</v>
      </c>
      <c r="S257" s="9">
        <v>0</v>
      </c>
      <c r="T257" s="9">
        <v>0</v>
      </c>
      <c r="U257" s="9">
        <v>0</v>
      </c>
      <c r="V257" s="9">
        <v>0</v>
      </c>
      <c r="W257" s="9">
        <v>0</v>
      </c>
      <c r="X257" s="9">
        <v>0</v>
      </c>
      <c r="Y257" s="9">
        <v>0</v>
      </c>
      <c r="Z257" s="9">
        <v>0</v>
      </c>
      <c r="AA257" s="9">
        <v>0</v>
      </c>
      <c r="AB257" s="9">
        <v>0</v>
      </c>
      <c r="AC257" s="9">
        <v>0</v>
      </c>
      <c r="AD257" s="9">
        <v>0</v>
      </c>
      <c r="AE257" s="9">
        <v>0</v>
      </c>
      <c r="AF257" s="9">
        <v>0</v>
      </c>
      <c r="AG257" s="9">
        <v>0</v>
      </c>
      <c r="AH257" s="9">
        <v>0</v>
      </c>
      <c r="AI257" s="9">
        <v>0</v>
      </c>
      <c r="AJ257" s="9">
        <v>0</v>
      </c>
      <c r="AK257" s="9">
        <v>0</v>
      </c>
      <c r="AL257" s="9">
        <v>0</v>
      </c>
      <c r="AM257" s="9">
        <v>0</v>
      </c>
      <c r="AN257" s="9">
        <v>0</v>
      </c>
      <c r="AO257" s="9">
        <v>0</v>
      </c>
      <c r="AP257" s="9">
        <v>0</v>
      </c>
      <c r="AQ257" s="9">
        <v>0</v>
      </c>
      <c r="AR257" s="9">
        <v>0</v>
      </c>
      <c r="AS257" s="9">
        <v>0</v>
      </c>
      <c r="AT257" s="9">
        <v>0</v>
      </c>
      <c r="AU257" s="9">
        <v>0</v>
      </c>
      <c r="AV257" s="9">
        <v>0</v>
      </c>
      <c r="AW257" s="9">
        <v>0</v>
      </c>
      <c r="AX257" s="9">
        <v>0</v>
      </c>
      <c r="AY257" s="9">
        <v>0</v>
      </c>
      <c r="AZ257" s="9">
        <v>0</v>
      </c>
      <c r="BA257" s="9">
        <v>0</v>
      </c>
      <c r="BB257" s="9">
        <v>0</v>
      </c>
      <c r="BC257" s="9">
        <v>0</v>
      </c>
      <c r="BD257" s="9">
        <v>0</v>
      </c>
      <c r="BE257" s="9">
        <v>0</v>
      </c>
      <c r="BF257" s="9">
        <v>0</v>
      </c>
      <c r="BG257" s="9">
        <v>0</v>
      </c>
      <c r="BH257" s="9">
        <v>0</v>
      </c>
      <c r="BI257" s="9">
        <v>0</v>
      </c>
      <c r="BJ257" s="9">
        <v>0</v>
      </c>
      <c r="BK257" s="9">
        <v>0</v>
      </c>
      <c r="BL257" s="9">
        <v>0</v>
      </c>
      <c r="BM257" s="9">
        <v>0</v>
      </c>
      <c r="BN257" s="9">
        <v>0</v>
      </c>
      <c r="BO257" s="9">
        <v>0</v>
      </c>
      <c r="BP257" s="9">
        <v>0</v>
      </c>
      <c r="BQ257" s="9">
        <v>0</v>
      </c>
      <c r="BR257" s="9">
        <v>0</v>
      </c>
      <c r="BS257" s="9">
        <v>0</v>
      </c>
      <c r="BT257" s="9">
        <v>0</v>
      </c>
      <c r="BU257" s="9">
        <v>0</v>
      </c>
      <c r="BV257" s="9">
        <v>0</v>
      </c>
      <c r="BW257" s="9">
        <v>0</v>
      </c>
      <c r="BX257" s="9">
        <v>0</v>
      </c>
      <c r="BY257" s="9">
        <v>0</v>
      </c>
      <c r="BZ257" s="9">
        <v>0</v>
      </c>
      <c r="CA257" s="9">
        <v>0</v>
      </c>
      <c r="CB257" s="9">
        <v>0</v>
      </c>
      <c r="CC257" s="9">
        <v>0</v>
      </c>
      <c r="CD257" s="9">
        <v>0</v>
      </c>
      <c r="CE257" s="9">
        <v>0</v>
      </c>
      <c r="CF257" s="9">
        <v>0</v>
      </c>
      <c r="CG257" s="9">
        <v>0</v>
      </c>
      <c r="CH257" s="9">
        <v>0</v>
      </c>
      <c r="CI257" s="9">
        <v>0</v>
      </c>
      <c r="CJ257" s="9">
        <v>0</v>
      </c>
      <c r="CK257" s="9">
        <v>0</v>
      </c>
      <c r="CL257" s="9">
        <v>0</v>
      </c>
      <c r="CM257" s="9">
        <v>0</v>
      </c>
      <c r="CN257" s="9">
        <v>0</v>
      </c>
      <c r="CO257" s="9">
        <v>0</v>
      </c>
      <c r="CP257" s="9">
        <v>0</v>
      </c>
      <c r="CQ257" s="9">
        <v>0</v>
      </c>
      <c r="CR257" s="9">
        <v>0</v>
      </c>
      <c r="CS257" s="9">
        <v>0</v>
      </c>
      <c r="CT257" s="9">
        <v>0</v>
      </c>
      <c r="CU257" s="9">
        <v>0</v>
      </c>
      <c r="CV257" s="9">
        <v>0</v>
      </c>
      <c r="CW257" s="9">
        <v>0</v>
      </c>
      <c r="CX257" s="9">
        <v>0</v>
      </c>
      <c r="CY257" s="9">
        <v>0</v>
      </c>
      <c r="CZ257" s="9">
        <v>0</v>
      </c>
      <c r="DA257" s="9">
        <v>0</v>
      </c>
      <c r="DB257" s="9">
        <v>0</v>
      </c>
      <c r="DC257" s="9">
        <v>0</v>
      </c>
      <c r="DD257" s="9">
        <v>0</v>
      </c>
      <c r="DE257" s="9">
        <v>0</v>
      </c>
      <c r="DF257" s="9">
        <v>0</v>
      </c>
      <c r="DG257" s="9">
        <v>0</v>
      </c>
      <c r="DH257" s="9">
        <v>0</v>
      </c>
      <c r="DI257" s="9">
        <v>0</v>
      </c>
      <c r="DJ257" s="9">
        <v>0</v>
      </c>
      <c r="DK257" s="9">
        <v>0</v>
      </c>
      <c r="DL257" s="9">
        <v>0</v>
      </c>
      <c r="DM257" s="9">
        <v>0</v>
      </c>
      <c r="DN257" s="9">
        <v>0</v>
      </c>
      <c r="DO257" s="9">
        <v>0</v>
      </c>
      <c r="DP257" s="9">
        <v>0</v>
      </c>
      <c r="DQ257" s="9">
        <v>0</v>
      </c>
      <c r="DR257" s="9">
        <v>0</v>
      </c>
      <c r="DS257" s="9">
        <v>0</v>
      </c>
      <c r="DT257" s="9">
        <v>0</v>
      </c>
      <c r="DU257" s="9">
        <v>0</v>
      </c>
      <c r="DV257" s="9">
        <v>0</v>
      </c>
      <c r="DW257" s="9">
        <v>0</v>
      </c>
      <c r="DX257" s="9">
        <v>0</v>
      </c>
      <c r="DY257" s="9">
        <v>0</v>
      </c>
      <c r="DZ257" s="9">
        <v>0</v>
      </c>
      <c r="EA257" s="9">
        <v>0</v>
      </c>
      <c r="EB257" s="9">
        <v>0</v>
      </c>
      <c r="EC257" s="9">
        <v>0</v>
      </c>
      <c r="ED257" s="9">
        <v>0</v>
      </c>
      <c r="EE257" s="9">
        <v>0</v>
      </c>
      <c r="EF257" s="9">
        <v>0</v>
      </c>
      <c r="EG257" s="9">
        <v>0</v>
      </c>
      <c r="EH257" s="9">
        <v>0</v>
      </c>
      <c r="EI257" s="9">
        <v>0</v>
      </c>
      <c r="EJ257" s="9">
        <v>0</v>
      </c>
      <c r="EK257" s="9">
        <v>0</v>
      </c>
      <c r="EL257" s="9">
        <v>0</v>
      </c>
      <c r="EM257" s="9">
        <v>0</v>
      </c>
      <c r="EN257" s="9">
        <v>0</v>
      </c>
      <c r="EO257" s="9">
        <v>0</v>
      </c>
      <c r="EP257" s="9">
        <v>0</v>
      </c>
      <c r="EQ257" s="9">
        <v>0</v>
      </c>
      <c r="ER257" s="9">
        <v>0</v>
      </c>
      <c r="ES257" s="9">
        <v>0</v>
      </c>
      <c r="ET257" s="9">
        <v>0</v>
      </c>
      <c r="EU257" s="9">
        <v>0</v>
      </c>
      <c r="EV257" s="9">
        <v>0</v>
      </c>
      <c r="EW257" s="9">
        <v>0</v>
      </c>
      <c r="EX257" s="9">
        <v>0</v>
      </c>
      <c r="EY257" s="9">
        <v>0</v>
      </c>
      <c r="EZ257" s="9">
        <v>0</v>
      </c>
      <c r="FA257" s="9">
        <v>0</v>
      </c>
      <c r="FB257" s="9">
        <v>0</v>
      </c>
      <c r="FC257" s="9">
        <v>0</v>
      </c>
      <c r="FD257" s="9">
        <v>0</v>
      </c>
      <c r="FE257" s="9">
        <v>0</v>
      </c>
      <c r="FF257" s="9">
        <v>0</v>
      </c>
      <c r="FG257" s="9">
        <v>0</v>
      </c>
      <c r="FH257" s="9">
        <v>0</v>
      </c>
      <c r="FI257" s="9">
        <v>0</v>
      </c>
      <c r="FJ257" s="9">
        <v>0</v>
      </c>
      <c r="FK257" s="9">
        <v>0</v>
      </c>
      <c r="FL257" s="9">
        <v>0</v>
      </c>
      <c r="FM257" s="10">
        <v>0</v>
      </c>
    </row>
    <row r="258" spans="1:169" x14ac:dyDescent="0.35">
      <c r="A258" s="8" t="s">
        <v>413</v>
      </c>
      <c r="B258" s="9" t="s">
        <v>436</v>
      </c>
      <c r="C258" s="10" t="s">
        <v>437</v>
      </c>
      <c r="D258" s="62">
        <f t="shared" si="100"/>
        <v>0</v>
      </c>
      <c r="E258" s="9">
        <v>0</v>
      </c>
      <c r="F258" s="9">
        <v>0</v>
      </c>
      <c r="G258" s="9">
        <v>0</v>
      </c>
      <c r="H258" s="9">
        <v>0</v>
      </c>
      <c r="I258" s="9">
        <v>0</v>
      </c>
      <c r="J258" s="9">
        <v>0</v>
      </c>
      <c r="K258" s="9">
        <v>0</v>
      </c>
      <c r="L258" s="9">
        <v>0</v>
      </c>
      <c r="M258" s="9">
        <v>0</v>
      </c>
      <c r="N258" s="9">
        <v>0</v>
      </c>
      <c r="O258" s="9">
        <v>0</v>
      </c>
      <c r="P258" s="9">
        <v>0</v>
      </c>
      <c r="Q258" s="9">
        <v>0</v>
      </c>
      <c r="R258" s="9">
        <v>0</v>
      </c>
      <c r="S258" s="9">
        <v>0</v>
      </c>
      <c r="T258" s="9">
        <v>0</v>
      </c>
      <c r="U258" s="9">
        <v>0</v>
      </c>
      <c r="V258" s="9">
        <v>0</v>
      </c>
      <c r="W258" s="9">
        <v>0</v>
      </c>
      <c r="X258" s="9">
        <v>0</v>
      </c>
      <c r="Y258" s="9">
        <v>0</v>
      </c>
      <c r="Z258" s="9">
        <v>0</v>
      </c>
      <c r="AA258" s="9">
        <v>0</v>
      </c>
      <c r="AB258" s="9">
        <v>0</v>
      </c>
      <c r="AC258" s="9">
        <v>0</v>
      </c>
      <c r="AD258" s="9">
        <v>0</v>
      </c>
      <c r="AE258" s="9">
        <v>0</v>
      </c>
      <c r="AF258" s="9">
        <v>0</v>
      </c>
      <c r="AG258" s="9">
        <v>0</v>
      </c>
      <c r="AH258" s="9">
        <v>0</v>
      </c>
      <c r="AI258" s="9">
        <v>0</v>
      </c>
      <c r="AJ258" s="9">
        <v>0</v>
      </c>
      <c r="AK258" s="9">
        <v>0</v>
      </c>
      <c r="AL258" s="9">
        <v>0</v>
      </c>
      <c r="AM258" s="9">
        <v>0</v>
      </c>
      <c r="AN258" s="9">
        <v>0</v>
      </c>
      <c r="AO258" s="9">
        <v>0</v>
      </c>
      <c r="AP258" s="9">
        <v>0</v>
      </c>
      <c r="AQ258" s="9">
        <v>0</v>
      </c>
      <c r="AR258" s="9">
        <v>0</v>
      </c>
      <c r="AS258" s="9">
        <v>0</v>
      </c>
      <c r="AT258" s="9">
        <v>0</v>
      </c>
      <c r="AU258" s="9">
        <v>0</v>
      </c>
      <c r="AV258" s="9">
        <v>0</v>
      </c>
      <c r="AW258" s="9">
        <v>0</v>
      </c>
      <c r="AX258" s="9">
        <v>0</v>
      </c>
      <c r="AY258" s="9">
        <v>0</v>
      </c>
      <c r="AZ258" s="9">
        <v>0</v>
      </c>
      <c r="BA258" s="9">
        <v>0</v>
      </c>
      <c r="BB258" s="9">
        <v>0</v>
      </c>
      <c r="BC258" s="9">
        <v>0</v>
      </c>
      <c r="BD258" s="9">
        <v>0</v>
      </c>
      <c r="BE258" s="9">
        <v>0</v>
      </c>
      <c r="BF258" s="9">
        <v>0</v>
      </c>
      <c r="BG258" s="9">
        <v>0</v>
      </c>
      <c r="BH258" s="9">
        <v>0</v>
      </c>
      <c r="BI258" s="9">
        <v>0</v>
      </c>
      <c r="BJ258" s="9">
        <v>0</v>
      </c>
      <c r="BK258" s="9">
        <v>0</v>
      </c>
      <c r="BL258" s="9">
        <v>0</v>
      </c>
      <c r="BM258" s="9">
        <v>0</v>
      </c>
      <c r="BN258" s="9">
        <v>0</v>
      </c>
      <c r="BO258" s="9">
        <v>0</v>
      </c>
      <c r="BP258" s="9">
        <v>0</v>
      </c>
      <c r="BQ258" s="9">
        <v>0</v>
      </c>
      <c r="BR258" s="9">
        <v>0</v>
      </c>
      <c r="BS258" s="9">
        <v>0</v>
      </c>
      <c r="BT258" s="9">
        <v>0</v>
      </c>
      <c r="BU258" s="9">
        <v>0</v>
      </c>
      <c r="BV258" s="9">
        <v>0</v>
      </c>
      <c r="BW258" s="9">
        <v>0</v>
      </c>
      <c r="BX258" s="9">
        <v>0</v>
      </c>
      <c r="BY258" s="9">
        <v>0</v>
      </c>
      <c r="BZ258" s="9">
        <v>0</v>
      </c>
      <c r="CA258" s="9">
        <v>0</v>
      </c>
      <c r="CB258" s="9">
        <v>0</v>
      </c>
      <c r="CC258" s="9">
        <v>0</v>
      </c>
      <c r="CD258" s="9">
        <v>0</v>
      </c>
      <c r="CE258" s="9">
        <v>0</v>
      </c>
      <c r="CF258" s="9">
        <v>0</v>
      </c>
      <c r="CG258" s="9">
        <v>0</v>
      </c>
      <c r="CH258" s="9">
        <v>0</v>
      </c>
      <c r="CI258" s="9">
        <v>0</v>
      </c>
      <c r="CJ258" s="9">
        <v>0</v>
      </c>
      <c r="CK258" s="9">
        <v>0</v>
      </c>
      <c r="CL258" s="9">
        <v>0</v>
      </c>
      <c r="CM258" s="9">
        <v>0</v>
      </c>
      <c r="CN258" s="9">
        <v>0</v>
      </c>
      <c r="CO258" s="9">
        <v>0</v>
      </c>
      <c r="CP258" s="9">
        <v>0</v>
      </c>
      <c r="CQ258" s="9">
        <v>0</v>
      </c>
      <c r="CR258" s="9">
        <v>0</v>
      </c>
      <c r="CS258" s="9">
        <v>0</v>
      </c>
      <c r="CT258" s="9">
        <v>0</v>
      </c>
      <c r="CU258" s="9">
        <v>0</v>
      </c>
      <c r="CV258" s="9">
        <v>0</v>
      </c>
      <c r="CW258" s="9">
        <v>0</v>
      </c>
      <c r="CX258" s="9">
        <v>0</v>
      </c>
      <c r="CY258" s="9">
        <v>0</v>
      </c>
      <c r="CZ258" s="9">
        <v>0</v>
      </c>
      <c r="DA258" s="9">
        <v>0</v>
      </c>
      <c r="DB258" s="9">
        <v>0</v>
      </c>
      <c r="DC258" s="9">
        <v>0</v>
      </c>
      <c r="DD258" s="9">
        <v>0</v>
      </c>
      <c r="DE258" s="9">
        <v>0</v>
      </c>
      <c r="DF258" s="9">
        <v>0</v>
      </c>
      <c r="DG258" s="9">
        <v>0</v>
      </c>
      <c r="DH258" s="9">
        <v>0</v>
      </c>
      <c r="DI258" s="9">
        <v>0</v>
      </c>
      <c r="DJ258" s="9">
        <v>0</v>
      </c>
      <c r="DK258" s="9">
        <v>0</v>
      </c>
      <c r="DL258" s="9">
        <v>0</v>
      </c>
      <c r="DM258" s="9">
        <v>0</v>
      </c>
      <c r="DN258" s="9">
        <v>0</v>
      </c>
      <c r="DO258" s="9">
        <v>0</v>
      </c>
      <c r="DP258" s="9">
        <v>0</v>
      </c>
      <c r="DQ258" s="9">
        <v>0</v>
      </c>
      <c r="DR258" s="9">
        <v>0</v>
      </c>
      <c r="DS258" s="9">
        <v>0</v>
      </c>
      <c r="DT258" s="9">
        <v>0</v>
      </c>
      <c r="DU258" s="9">
        <v>0</v>
      </c>
      <c r="DV258" s="9">
        <v>0</v>
      </c>
      <c r="DW258" s="9">
        <v>0</v>
      </c>
      <c r="DX258" s="9">
        <v>0</v>
      </c>
      <c r="DY258" s="9">
        <v>0</v>
      </c>
      <c r="DZ258" s="9">
        <v>0</v>
      </c>
      <c r="EA258" s="9">
        <v>0</v>
      </c>
      <c r="EB258" s="9">
        <v>0</v>
      </c>
      <c r="EC258" s="9">
        <v>0</v>
      </c>
      <c r="ED258" s="9">
        <v>0</v>
      </c>
      <c r="EE258" s="9">
        <v>0</v>
      </c>
      <c r="EF258" s="9">
        <v>0</v>
      </c>
      <c r="EG258" s="9">
        <v>0</v>
      </c>
      <c r="EH258" s="9">
        <v>0</v>
      </c>
      <c r="EI258" s="9">
        <v>0</v>
      </c>
      <c r="EJ258" s="9">
        <v>0</v>
      </c>
      <c r="EK258" s="9">
        <v>0</v>
      </c>
      <c r="EL258" s="9">
        <v>0</v>
      </c>
      <c r="EM258" s="9">
        <v>0</v>
      </c>
      <c r="EN258" s="9">
        <v>0</v>
      </c>
      <c r="EO258" s="9">
        <v>0</v>
      </c>
      <c r="EP258" s="9">
        <v>0</v>
      </c>
      <c r="EQ258" s="9">
        <v>0</v>
      </c>
      <c r="ER258" s="9">
        <v>0</v>
      </c>
      <c r="ES258" s="9">
        <v>0</v>
      </c>
      <c r="ET258" s="9">
        <v>0</v>
      </c>
      <c r="EU258" s="9">
        <v>0</v>
      </c>
      <c r="EV258" s="9">
        <v>0</v>
      </c>
      <c r="EW258" s="9">
        <v>0</v>
      </c>
      <c r="EX258" s="9">
        <v>0</v>
      </c>
      <c r="EY258" s="9">
        <v>0</v>
      </c>
      <c r="EZ258" s="9">
        <v>0</v>
      </c>
      <c r="FA258" s="9">
        <v>0</v>
      </c>
      <c r="FB258" s="9">
        <v>0</v>
      </c>
      <c r="FC258" s="9">
        <v>0</v>
      </c>
      <c r="FD258" s="9">
        <v>0</v>
      </c>
      <c r="FE258" s="9">
        <v>0</v>
      </c>
      <c r="FF258" s="9">
        <v>0</v>
      </c>
      <c r="FG258" s="9">
        <v>0</v>
      </c>
      <c r="FH258" s="9">
        <v>0</v>
      </c>
      <c r="FI258" s="9">
        <v>0</v>
      </c>
      <c r="FJ258" s="9">
        <v>0</v>
      </c>
      <c r="FK258" s="9">
        <v>0</v>
      </c>
      <c r="FL258" s="9">
        <v>0</v>
      </c>
      <c r="FM258" s="10">
        <v>0</v>
      </c>
    </row>
    <row r="259" spans="1:169" x14ac:dyDescent="0.35">
      <c r="A259" s="8" t="s">
        <v>413</v>
      </c>
      <c r="B259" s="9" t="s">
        <v>438</v>
      </c>
      <c r="C259" s="10" t="s">
        <v>439</v>
      </c>
      <c r="D259" s="62">
        <f t="shared" si="100"/>
        <v>10</v>
      </c>
      <c r="E259" s="9">
        <v>0</v>
      </c>
      <c r="F259" s="9">
        <v>0</v>
      </c>
      <c r="G259" s="9">
        <v>0</v>
      </c>
      <c r="H259" s="9">
        <v>0</v>
      </c>
      <c r="I259" s="9">
        <v>0</v>
      </c>
      <c r="J259" s="9">
        <v>0</v>
      </c>
      <c r="K259" s="9">
        <v>0</v>
      </c>
      <c r="L259" s="9">
        <v>0</v>
      </c>
      <c r="M259" s="9">
        <v>0</v>
      </c>
      <c r="N259" s="9">
        <v>0</v>
      </c>
      <c r="O259" s="9">
        <v>0</v>
      </c>
      <c r="P259" s="9">
        <v>0</v>
      </c>
      <c r="Q259" s="9">
        <v>0</v>
      </c>
      <c r="R259" s="9">
        <v>5</v>
      </c>
      <c r="S259" s="9">
        <v>5</v>
      </c>
      <c r="T259" s="9">
        <v>6</v>
      </c>
      <c r="U259" s="9">
        <v>6</v>
      </c>
      <c r="V259" s="9">
        <v>2</v>
      </c>
      <c r="W259" s="9">
        <v>5</v>
      </c>
      <c r="X259" s="9">
        <v>5</v>
      </c>
      <c r="Y259" s="9">
        <v>4</v>
      </c>
      <c r="Z259" s="9">
        <v>4</v>
      </c>
      <c r="AA259" s="9">
        <v>4</v>
      </c>
      <c r="AB259" s="9">
        <v>4</v>
      </c>
      <c r="AC259" s="9">
        <v>4</v>
      </c>
      <c r="AD259" s="9">
        <v>4</v>
      </c>
      <c r="AE259" s="9">
        <v>4</v>
      </c>
      <c r="AF259" s="9">
        <v>4</v>
      </c>
      <c r="AG259" s="9">
        <v>2</v>
      </c>
      <c r="AH259" s="9">
        <v>3</v>
      </c>
      <c r="AI259" s="9">
        <v>3</v>
      </c>
      <c r="AJ259" s="9">
        <v>3</v>
      </c>
      <c r="AK259" s="9">
        <v>3</v>
      </c>
      <c r="AL259" s="9">
        <v>5</v>
      </c>
      <c r="AM259" s="9">
        <v>4</v>
      </c>
      <c r="AN259" s="9">
        <v>9</v>
      </c>
      <c r="AO259" s="9">
        <v>9</v>
      </c>
      <c r="AP259" s="9">
        <v>9</v>
      </c>
      <c r="AQ259" s="9">
        <v>10</v>
      </c>
      <c r="AR259" s="9">
        <v>10</v>
      </c>
      <c r="AS259" s="9">
        <v>10</v>
      </c>
      <c r="AT259" s="9">
        <v>10</v>
      </c>
      <c r="AU259" s="9">
        <v>9</v>
      </c>
      <c r="AV259" s="9">
        <v>8</v>
      </c>
      <c r="AW259" s="9">
        <v>4</v>
      </c>
      <c r="AX259" s="9">
        <v>8</v>
      </c>
      <c r="AY259" s="9">
        <v>6</v>
      </c>
      <c r="AZ259" s="9">
        <v>6</v>
      </c>
      <c r="BA259" s="9">
        <v>5</v>
      </c>
      <c r="BB259" s="9">
        <v>3</v>
      </c>
      <c r="BC259" s="9">
        <v>2</v>
      </c>
      <c r="BD259" s="9">
        <v>2</v>
      </c>
      <c r="BE259" s="9">
        <v>2</v>
      </c>
      <c r="BF259" s="9">
        <v>3</v>
      </c>
      <c r="BG259" s="9">
        <v>3</v>
      </c>
      <c r="BH259" s="9">
        <v>4</v>
      </c>
      <c r="BI259" s="9">
        <v>4</v>
      </c>
      <c r="BJ259" s="9">
        <v>5</v>
      </c>
      <c r="BK259" s="9">
        <v>6</v>
      </c>
      <c r="BL259" s="9">
        <v>6</v>
      </c>
      <c r="BM259" s="9">
        <v>5</v>
      </c>
      <c r="BN259" s="9">
        <v>4</v>
      </c>
      <c r="BO259" s="9">
        <v>5</v>
      </c>
      <c r="BP259" s="9">
        <v>5</v>
      </c>
      <c r="BQ259" s="9">
        <v>4</v>
      </c>
      <c r="BR259" s="9">
        <v>5</v>
      </c>
      <c r="BS259" s="9">
        <v>4</v>
      </c>
      <c r="BT259" s="9">
        <v>4</v>
      </c>
      <c r="BU259" s="9">
        <v>3</v>
      </c>
      <c r="BV259" s="9">
        <v>3</v>
      </c>
      <c r="BW259" s="9">
        <v>3</v>
      </c>
      <c r="BX259" s="9">
        <v>3</v>
      </c>
      <c r="BY259" s="9">
        <v>3</v>
      </c>
      <c r="BZ259" s="9">
        <v>3</v>
      </c>
      <c r="CA259" s="9">
        <v>3</v>
      </c>
      <c r="CB259" s="9">
        <v>3</v>
      </c>
      <c r="CC259" s="9">
        <v>3</v>
      </c>
      <c r="CD259" s="9">
        <v>3</v>
      </c>
      <c r="CE259" s="9">
        <v>3</v>
      </c>
      <c r="CF259" s="9">
        <v>3</v>
      </c>
      <c r="CG259" s="9">
        <v>3</v>
      </c>
      <c r="CH259" s="9">
        <v>3</v>
      </c>
      <c r="CI259" s="9">
        <v>3</v>
      </c>
      <c r="CJ259" s="9">
        <v>3</v>
      </c>
      <c r="CK259" s="9">
        <v>3</v>
      </c>
      <c r="CL259" s="9">
        <v>3</v>
      </c>
      <c r="CM259" s="9">
        <v>3</v>
      </c>
      <c r="CN259" s="9">
        <v>3</v>
      </c>
      <c r="CO259" s="9">
        <v>3</v>
      </c>
      <c r="CP259" s="9">
        <v>3</v>
      </c>
      <c r="CQ259" s="9">
        <v>3</v>
      </c>
      <c r="CR259" s="9">
        <v>3</v>
      </c>
      <c r="CS259" s="9">
        <v>0</v>
      </c>
      <c r="CT259" s="9">
        <v>0</v>
      </c>
      <c r="CU259" s="9">
        <v>0</v>
      </c>
      <c r="CV259" s="9">
        <v>0</v>
      </c>
      <c r="CW259" s="9">
        <v>0</v>
      </c>
      <c r="CX259" s="9">
        <v>0</v>
      </c>
      <c r="CY259" s="9">
        <v>0</v>
      </c>
      <c r="CZ259" s="9">
        <v>0</v>
      </c>
      <c r="DA259" s="9">
        <v>0</v>
      </c>
      <c r="DB259" s="9">
        <v>0</v>
      </c>
      <c r="DC259" s="9">
        <v>0</v>
      </c>
      <c r="DD259" s="9">
        <v>0</v>
      </c>
      <c r="DE259" s="9">
        <v>0</v>
      </c>
      <c r="DF259" s="9">
        <v>0</v>
      </c>
      <c r="DG259" s="9">
        <v>0</v>
      </c>
      <c r="DH259" s="9">
        <v>0</v>
      </c>
      <c r="DI259" s="9">
        <v>0</v>
      </c>
      <c r="DJ259" s="9">
        <v>0</v>
      </c>
      <c r="DK259" s="9">
        <v>0</v>
      </c>
      <c r="DL259" s="9">
        <v>0</v>
      </c>
      <c r="DM259" s="9">
        <v>0</v>
      </c>
      <c r="DN259" s="9">
        <v>0</v>
      </c>
      <c r="DO259" s="9">
        <v>0</v>
      </c>
      <c r="DP259" s="9">
        <v>0</v>
      </c>
      <c r="DQ259" s="9">
        <v>0</v>
      </c>
      <c r="DR259" s="9">
        <v>0</v>
      </c>
      <c r="DS259" s="9">
        <v>0</v>
      </c>
      <c r="DT259" s="9">
        <v>0</v>
      </c>
      <c r="DU259" s="9">
        <v>0</v>
      </c>
      <c r="DV259" s="9">
        <v>0</v>
      </c>
      <c r="DW259" s="9">
        <v>0</v>
      </c>
      <c r="DX259" s="9">
        <v>0</v>
      </c>
      <c r="DY259" s="9">
        <v>0</v>
      </c>
      <c r="DZ259" s="9">
        <v>0</v>
      </c>
      <c r="EA259" s="9">
        <v>0</v>
      </c>
      <c r="EB259" s="9">
        <v>0</v>
      </c>
      <c r="EC259" s="9">
        <v>0</v>
      </c>
      <c r="ED259" s="9">
        <v>0</v>
      </c>
      <c r="EE259" s="9">
        <v>0</v>
      </c>
      <c r="EF259" s="9">
        <v>0</v>
      </c>
      <c r="EG259" s="9">
        <v>0</v>
      </c>
      <c r="EH259" s="9">
        <v>0</v>
      </c>
      <c r="EI259" s="9">
        <v>0</v>
      </c>
      <c r="EJ259" s="9">
        <v>0</v>
      </c>
      <c r="EK259" s="9">
        <v>0</v>
      </c>
      <c r="EL259" s="9">
        <v>0</v>
      </c>
      <c r="EM259" s="9">
        <v>0</v>
      </c>
      <c r="EN259" s="9">
        <v>0</v>
      </c>
      <c r="EO259" s="9">
        <v>0</v>
      </c>
      <c r="EP259" s="9">
        <v>0</v>
      </c>
      <c r="EQ259" s="9">
        <v>0</v>
      </c>
      <c r="ER259" s="9">
        <v>1</v>
      </c>
      <c r="ES259" s="9">
        <v>0</v>
      </c>
      <c r="ET259" s="9">
        <v>0</v>
      </c>
      <c r="EU259" s="9">
        <v>0</v>
      </c>
      <c r="EV259" s="9">
        <v>0</v>
      </c>
      <c r="EW259" s="9">
        <v>0</v>
      </c>
      <c r="EX259" s="9">
        <v>0</v>
      </c>
      <c r="EY259" s="9">
        <v>0</v>
      </c>
      <c r="EZ259" s="9">
        <v>0</v>
      </c>
      <c r="FA259" s="9">
        <v>0</v>
      </c>
      <c r="FB259" s="9">
        <v>0</v>
      </c>
      <c r="FC259" s="9">
        <v>0</v>
      </c>
      <c r="FD259" s="9">
        <v>0</v>
      </c>
      <c r="FE259" s="9">
        <v>0</v>
      </c>
      <c r="FF259" s="9">
        <v>0</v>
      </c>
      <c r="FG259" s="9">
        <v>0</v>
      </c>
      <c r="FH259" s="9">
        <v>0</v>
      </c>
      <c r="FI259" s="9">
        <v>0</v>
      </c>
      <c r="FJ259" s="9">
        <v>0</v>
      </c>
      <c r="FK259" s="9">
        <v>0</v>
      </c>
      <c r="FL259" s="9">
        <v>0</v>
      </c>
      <c r="FM259" s="10">
        <v>0</v>
      </c>
    </row>
    <row r="260" spans="1:169" x14ac:dyDescent="0.35">
      <c r="A260" s="8" t="s">
        <v>413</v>
      </c>
      <c r="B260" s="9" t="s">
        <v>440</v>
      </c>
      <c r="C260" s="10" t="s">
        <v>441</v>
      </c>
      <c r="D260" s="62">
        <f t="shared" si="100"/>
        <v>22</v>
      </c>
      <c r="E260" s="9">
        <v>0</v>
      </c>
      <c r="F260" s="9">
        <v>0</v>
      </c>
      <c r="G260" s="9">
        <v>0</v>
      </c>
      <c r="H260" s="9">
        <v>2</v>
      </c>
      <c r="I260" s="9">
        <v>2</v>
      </c>
      <c r="J260" s="9">
        <v>12</v>
      </c>
      <c r="K260" s="9">
        <v>6</v>
      </c>
      <c r="L260" s="9">
        <v>5</v>
      </c>
      <c r="M260" s="9">
        <v>4</v>
      </c>
      <c r="N260" s="9">
        <v>3</v>
      </c>
      <c r="O260" s="9">
        <v>5</v>
      </c>
      <c r="P260" s="9">
        <v>5</v>
      </c>
      <c r="Q260" s="9">
        <v>9</v>
      </c>
      <c r="R260" s="9">
        <v>10</v>
      </c>
      <c r="S260" s="9">
        <v>10</v>
      </c>
      <c r="T260" s="9">
        <v>15</v>
      </c>
      <c r="U260" s="9">
        <v>15</v>
      </c>
      <c r="V260" s="9">
        <v>16</v>
      </c>
      <c r="W260" s="9">
        <v>17</v>
      </c>
      <c r="X260" s="9">
        <v>17</v>
      </c>
      <c r="Y260" s="9">
        <v>15</v>
      </c>
      <c r="Z260" s="9">
        <v>15</v>
      </c>
      <c r="AA260" s="9">
        <v>15</v>
      </c>
      <c r="AB260" s="9">
        <v>19</v>
      </c>
      <c r="AC260" s="9">
        <v>20</v>
      </c>
      <c r="AD260" s="9">
        <v>18</v>
      </c>
      <c r="AE260" s="9">
        <v>17</v>
      </c>
      <c r="AF260" s="9">
        <v>15</v>
      </c>
      <c r="AG260" s="9">
        <v>13</v>
      </c>
      <c r="AH260" s="9">
        <v>17</v>
      </c>
      <c r="AI260" s="9">
        <v>17</v>
      </c>
      <c r="AJ260" s="9">
        <v>17</v>
      </c>
      <c r="AK260" s="9">
        <v>18</v>
      </c>
      <c r="AL260" s="9">
        <v>19</v>
      </c>
      <c r="AM260" s="9">
        <v>17</v>
      </c>
      <c r="AN260" s="9">
        <v>18</v>
      </c>
      <c r="AO260" s="9">
        <v>18</v>
      </c>
      <c r="AP260" s="9">
        <v>20</v>
      </c>
      <c r="AQ260" s="9">
        <v>22</v>
      </c>
      <c r="AR260" s="9">
        <v>22</v>
      </c>
      <c r="AS260" s="9">
        <v>16</v>
      </c>
      <c r="AT260" s="9">
        <v>16</v>
      </c>
      <c r="AU260" s="9">
        <v>21</v>
      </c>
      <c r="AV260" s="9">
        <v>19</v>
      </c>
      <c r="AW260" s="9">
        <v>17</v>
      </c>
      <c r="AX260" s="9">
        <v>19</v>
      </c>
      <c r="AY260" s="9">
        <v>18</v>
      </c>
      <c r="AZ260" s="9">
        <v>18</v>
      </c>
      <c r="BA260" s="9">
        <v>17</v>
      </c>
      <c r="BB260" s="9">
        <v>16</v>
      </c>
      <c r="BC260" s="9">
        <v>14</v>
      </c>
      <c r="BD260" s="9">
        <v>16</v>
      </c>
      <c r="BE260" s="9">
        <v>16</v>
      </c>
      <c r="BF260" s="9">
        <v>14</v>
      </c>
      <c r="BG260" s="9">
        <v>15</v>
      </c>
      <c r="BH260" s="9">
        <v>15</v>
      </c>
      <c r="BI260" s="9">
        <v>14</v>
      </c>
      <c r="BJ260" s="9">
        <v>14</v>
      </c>
      <c r="BK260" s="9">
        <v>13</v>
      </c>
      <c r="BL260" s="9">
        <v>12</v>
      </c>
      <c r="BM260" s="9">
        <v>12</v>
      </c>
      <c r="BN260" s="9">
        <v>13</v>
      </c>
      <c r="BO260" s="9">
        <v>10</v>
      </c>
      <c r="BP260" s="9">
        <v>12</v>
      </c>
      <c r="BQ260" s="9">
        <v>12</v>
      </c>
      <c r="BR260" s="9">
        <v>10</v>
      </c>
      <c r="BS260" s="9">
        <v>11</v>
      </c>
      <c r="BT260" s="9">
        <v>10</v>
      </c>
      <c r="BU260" s="9">
        <v>10</v>
      </c>
      <c r="BV260" s="9">
        <v>10</v>
      </c>
      <c r="BW260" s="9">
        <v>9</v>
      </c>
      <c r="BX260" s="9">
        <v>7</v>
      </c>
      <c r="BY260" s="9">
        <v>7</v>
      </c>
      <c r="BZ260" s="9">
        <v>8</v>
      </c>
      <c r="CA260" s="9">
        <v>9</v>
      </c>
      <c r="CB260" s="9">
        <v>8</v>
      </c>
      <c r="CC260" s="9">
        <v>6</v>
      </c>
      <c r="CD260" s="9">
        <v>5</v>
      </c>
      <c r="CE260" s="9">
        <v>12</v>
      </c>
      <c r="CF260" s="9">
        <v>4</v>
      </c>
      <c r="CG260" s="9">
        <v>5</v>
      </c>
      <c r="CH260" s="9">
        <v>5</v>
      </c>
      <c r="CI260" s="9">
        <v>4</v>
      </c>
      <c r="CJ260" s="9">
        <v>4</v>
      </c>
      <c r="CK260" s="9">
        <v>2</v>
      </c>
      <c r="CL260" s="9">
        <v>3</v>
      </c>
      <c r="CM260" s="9">
        <v>3</v>
      </c>
      <c r="CN260" s="9">
        <v>3</v>
      </c>
      <c r="CO260" s="9">
        <v>3</v>
      </c>
      <c r="CP260" s="9">
        <v>3</v>
      </c>
      <c r="CQ260" s="9">
        <v>3</v>
      </c>
      <c r="CR260" s="9">
        <v>3</v>
      </c>
      <c r="CS260" s="9">
        <v>3</v>
      </c>
      <c r="CT260" s="9">
        <v>3</v>
      </c>
      <c r="CU260" s="9">
        <v>3</v>
      </c>
      <c r="CV260" s="9">
        <v>5</v>
      </c>
      <c r="CW260" s="9">
        <v>2</v>
      </c>
      <c r="CX260" s="9">
        <v>2</v>
      </c>
      <c r="CY260" s="9">
        <v>4</v>
      </c>
      <c r="CZ260" s="9">
        <v>4</v>
      </c>
      <c r="DA260" s="9">
        <v>4</v>
      </c>
      <c r="DB260" s="9">
        <v>4</v>
      </c>
      <c r="DC260" s="9">
        <v>4</v>
      </c>
      <c r="DD260" s="9">
        <v>4</v>
      </c>
      <c r="DE260" s="9">
        <v>4</v>
      </c>
      <c r="DF260" s="9">
        <v>4</v>
      </c>
      <c r="DG260" s="9">
        <v>4</v>
      </c>
      <c r="DH260" s="9">
        <v>2</v>
      </c>
      <c r="DI260" s="9">
        <v>2</v>
      </c>
      <c r="DJ260" s="9">
        <v>2</v>
      </c>
      <c r="DK260" s="9">
        <v>2</v>
      </c>
      <c r="DL260" s="9">
        <v>2</v>
      </c>
      <c r="DM260" s="9">
        <v>1</v>
      </c>
      <c r="DN260" s="9">
        <v>1</v>
      </c>
      <c r="DO260" s="9">
        <v>1</v>
      </c>
      <c r="DP260" s="9">
        <v>1</v>
      </c>
      <c r="DQ260" s="9">
        <v>1</v>
      </c>
      <c r="DR260" s="9">
        <v>1</v>
      </c>
      <c r="DS260" s="9">
        <v>0</v>
      </c>
      <c r="DT260" s="9">
        <v>0</v>
      </c>
      <c r="DU260" s="9">
        <v>1</v>
      </c>
      <c r="DV260" s="9">
        <v>0</v>
      </c>
      <c r="DW260" s="9">
        <v>0</v>
      </c>
      <c r="DX260" s="9">
        <v>1</v>
      </c>
      <c r="DY260" s="9">
        <v>1</v>
      </c>
      <c r="DZ260" s="9">
        <v>2</v>
      </c>
      <c r="EA260" s="9">
        <v>1</v>
      </c>
      <c r="EB260" s="9">
        <v>0</v>
      </c>
      <c r="EC260" s="9">
        <v>0</v>
      </c>
      <c r="ED260" s="9">
        <v>0</v>
      </c>
      <c r="EE260" s="9">
        <v>0</v>
      </c>
      <c r="EF260" s="9">
        <v>0</v>
      </c>
      <c r="EG260" s="9">
        <v>0</v>
      </c>
      <c r="EH260" s="9">
        <v>0</v>
      </c>
      <c r="EI260" s="9">
        <v>1</v>
      </c>
      <c r="EJ260" s="9">
        <v>1</v>
      </c>
      <c r="EK260" s="9">
        <v>1</v>
      </c>
      <c r="EL260" s="9">
        <v>1</v>
      </c>
      <c r="EM260" s="9">
        <v>1</v>
      </c>
      <c r="EN260" s="9">
        <v>1</v>
      </c>
      <c r="EO260" s="9">
        <v>1</v>
      </c>
      <c r="EP260" s="9">
        <v>1</v>
      </c>
      <c r="EQ260" s="9">
        <v>1</v>
      </c>
      <c r="ER260" s="9">
        <v>1</v>
      </c>
      <c r="ES260" s="9">
        <v>1</v>
      </c>
      <c r="ET260" s="9">
        <v>1</v>
      </c>
      <c r="EU260" s="9">
        <v>1</v>
      </c>
      <c r="EV260" s="9">
        <v>1</v>
      </c>
      <c r="EW260" s="9">
        <v>1</v>
      </c>
      <c r="EX260" s="9">
        <v>1</v>
      </c>
      <c r="EY260" s="9">
        <v>0</v>
      </c>
      <c r="EZ260" s="9">
        <v>0</v>
      </c>
      <c r="FA260" s="9">
        <v>0</v>
      </c>
      <c r="FB260" s="9">
        <v>0</v>
      </c>
      <c r="FC260" s="9">
        <v>0</v>
      </c>
      <c r="FD260" s="9">
        <v>0</v>
      </c>
      <c r="FE260" s="9">
        <v>0</v>
      </c>
      <c r="FF260" s="9">
        <v>0</v>
      </c>
      <c r="FG260" s="9">
        <v>0</v>
      </c>
      <c r="FH260" s="9">
        <v>0</v>
      </c>
      <c r="FI260" s="9">
        <v>0</v>
      </c>
      <c r="FJ260" s="9">
        <v>1</v>
      </c>
      <c r="FK260" s="9">
        <v>1</v>
      </c>
      <c r="FL260" s="9">
        <v>1</v>
      </c>
      <c r="FM260" s="10">
        <v>1</v>
      </c>
    </row>
    <row r="261" spans="1:169" x14ac:dyDescent="0.35">
      <c r="A261" s="8" t="s">
        <v>413</v>
      </c>
      <c r="B261" s="9" t="s">
        <v>442</v>
      </c>
      <c r="C261" s="10" t="s">
        <v>443</v>
      </c>
      <c r="D261" s="62">
        <f t="shared" ref="D261:D318" si="101">MAX(E261:FM261)</f>
        <v>70</v>
      </c>
      <c r="E261" s="9">
        <v>0</v>
      </c>
      <c r="F261" s="9">
        <v>27</v>
      </c>
      <c r="G261" s="9">
        <v>28</v>
      </c>
      <c r="H261" s="9">
        <v>35</v>
      </c>
      <c r="I261" s="9">
        <v>33</v>
      </c>
      <c r="J261" s="9">
        <v>34</v>
      </c>
      <c r="K261" s="9">
        <v>32</v>
      </c>
      <c r="L261" s="9">
        <v>32</v>
      </c>
      <c r="M261" s="9">
        <v>34</v>
      </c>
      <c r="N261" s="9">
        <v>35</v>
      </c>
      <c r="O261" s="9">
        <v>44</v>
      </c>
      <c r="P261" s="9">
        <v>45</v>
      </c>
      <c r="Q261" s="9">
        <v>49</v>
      </c>
      <c r="R261" s="9">
        <v>56</v>
      </c>
      <c r="S261" s="9">
        <v>55</v>
      </c>
      <c r="T261" s="9">
        <v>64</v>
      </c>
      <c r="U261" s="9">
        <v>60</v>
      </c>
      <c r="V261" s="9">
        <v>62</v>
      </c>
      <c r="W261" s="9">
        <v>64</v>
      </c>
      <c r="X261" s="9">
        <v>64</v>
      </c>
      <c r="Y261" s="9">
        <v>0</v>
      </c>
      <c r="Z261" s="9">
        <v>60</v>
      </c>
      <c r="AA261" s="9">
        <v>61</v>
      </c>
      <c r="AB261" s="9">
        <v>63</v>
      </c>
      <c r="AC261" s="9">
        <v>65</v>
      </c>
      <c r="AD261" s="9">
        <v>66</v>
      </c>
      <c r="AE261" s="9">
        <v>59</v>
      </c>
      <c r="AF261" s="9">
        <v>56</v>
      </c>
      <c r="AG261" s="9">
        <v>64</v>
      </c>
      <c r="AH261" s="9">
        <v>68</v>
      </c>
      <c r="AI261" s="9">
        <v>66</v>
      </c>
      <c r="AJ261" s="9">
        <v>70</v>
      </c>
      <c r="AK261" s="9">
        <v>66</v>
      </c>
      <c r="AL261" s="9">
        <v>62</v>
      </c>
      <c r="AM261" s="9">
        <v>58</v>
      </c>
      <c r="AN261" s="9">
        <v>54</v>
      </c>
      <c r="AO261" s="9">
        <v>56</v>
      </c>
      <c r="AP261" s="9">
        <v>57</v>
      </c>
      <c r="AQ261" s="9">
        <v>55</v>
      </c>
      <c r="AR261" s="9">
        <v>55</v>
      </c>
      <c r="AS261" s="9">
        <v>46</v>
      </c>
      <c r="AT261" s="9">
        <v>44</v>
      </c>
      <c r="AU261" s="9">
        <v>42</v>
      </c>
      <c r="AV261" s="9">
        <v>41</v>
      </c>
      <c r="AW261" s="9">
        <v>41</v>
      </c>
      <c r="AX261" s="9">
        <v>42</v>
      </c>
      <c r="AY261" s="9">
        <v>39</v>
      </c>
      <c r="AZ261" s="9">
        <v>40</v>
      </c>
      <c r="BA261" s="9">
        <v>39</v>
      </c>
      <c r="BB261" s="9">
        <v>40</v>
      </c>
      <c r="BC261" s="9">
        <v>28</v>
      </c>
      <c r="BD261" s="9">
        <v>33</v>
      </c>
      <c r="BE261" s="9">
        <v>34</v>
      </c>
      <c r="BF261" s="9">
        <v>29</v>
      </c>
      <c r="BG261" s="9">
        <v>27</v>
      </c>
      <c r="BH261" s="9">
        <v>24</v>
      </c>
      <c r="BI261" s="9">
        <v>22</v>
      </c>
      <c r="BJ261" s="9">
        <v>23</v>
      </c>
      <c r="BK261" s="9">
        <v>14</v>
      </c>
      <c r="BL261" s="9">
        <v>14</v>
      </c>
      <c r="BM261" s="9">
        <v>13</v>
      </c>
      <c r="BN261" s="9">
        <v>10</v>
      </c>
      <c r="BO261" s="9">
        <v>13</v>
      </c>
      <c r="BP261" s="9">
        <v>15</v>
      </c>
      <c r="BQ261" s="9">
        <v>17</v>
      </c>
      <c r="BR261" s="9">
        <v>18</v>
      </c>
      <c r="BS261" s="9">
        <v>18</v>
      </c>
      <c r="BT261" s="9">
        <v>18</v>
      </c>
      <c r="BU261" s="9">
        <v>19</v>
      </c>
      <c r="BV261" s="9">
        <v>17</v>
      </c>
      <c r="BW261" s="9">
        <v>15</v>
      </c>
      <c r="BX261" s="9">
        <v>14</v>
      </c>
      <c r="BY261" s="9">
        <v>12</v>
      </c>
      <c r="BZ261" s="9">
        <v>10</v>
      </c>
      <c r="CA261" s="9">
        <v>9</v>
      </c>
      <c r="CB261" s="9">
        <v>9</v>
      </c>
      <c r="CC261" s="9">
        <v>6</v>
      </c>
      <c r="CD261" s="9">
        <v>7</v>
      </c>
      <c r="CE261" s="9">
        <v>4</v>
      </c>
      <c r="CF261" s="9">
        <v>3</v>
      </c>
      <c r="CG261" s="9">
        <v>3</v>
      </c>
      <c r="CH261" s="9">
        <v>3</v>
      </c>
      <c r="CI261" s="9">
        <v>5</v>
      </c>
      <c r="CJ261" s="9">
        <v>3</v>
      </c>
      <c r="CK261" s="9">
        <v>3</v>
      </c>
      <c r="CL261" s="9">
        <v>3</v>
      </c>
      <c r="CM261" s="9">
        <v>2</v>
      </c>
      <c r="CN261" s="9">
        <v>2</v>
      </c>
      <c r="CO261" s="9">
        <v>1</v>
      </c>
      <c r="CP261" s="9">
        <v>1</v>
      </c>
      <c r="CQ261" s="9">
        <v>1</v>
      </c>
      <c r="CR261" s="9">
        <v>1</v>
      </c>
      <c r="CS261" s="9">
        <v>1</v>
      </c>
      <c r="CT261" s="9">
        <v>1</v>
      </c>
      <c r="CU261" s="9">
        <v>0</v>
      </c>
      <c r="CV261" s="9">
        <v>1</v>
      </c>
      <c r="CW261" s="9">
        <v>1</v>
      </c>
      <c r="CX261" s="9">
        <v>0</v>
      </c>
      <c r="CY261" s="9">
        <v>0</v>
      </c>
      <c r="CZ261" s="9">
        <v>0</v>
      </c>
      <c r="DA261" s="9">
        <v>0</v>
      </c>
      <c r="DB261" s="9">
        <v>0</v>
      </c>
      <c r="DC261" s="9">
        <v>0</v>
      </c>
      <c r="DD261" s="9">
        <v>0</v>
      </c>
      <c r="DE261" s="9">
        <v>0</v>
      </c>
      <c r="DF261" s="9">
        <v>0</v>
      </c>
      <c r="DG261" s="9">
        <v>0</v>
      </c>
      <c r="DH261" s="9">
        <v>0</v>
      </c>
      <c r="DI261" s="9">
        <v>0</v>
      </c>
      <c r="DJ261" s="9">
        <v>1</v>
      </c>
      <c r="DK261" s="9">
        <v>1</v>
      </c>
      <c r="DL261" s="9">
        <v>1</v>
      </c>
      <c r="DM261" s="9">
        <v>1</v>
      </c>
      <c r="DN261" s="9">
        <v>0</v>
      </c>
      <c r="DO261" s="9">
        <v>0</v>
      </c>
      <c r="DP261" s="9">
        <v>0</v>
      </c>
      <c r="DQ261" s="9">
        <v>0</v>
      </c>
      <c r="DR261" s="9">
        <v>0</v>
      </c>
      <c r="DS261" s="9">
        <v>0</v>
      </c>
      <c r="DT261" s="9">
        <v>1</v>
      </c>
      <c r="DU261" s="9">
        <v>1</v>
      </c>
      <c r="DV261" s="9">
        <v>1</v>
      </c>
      <c r="DW261" s="9">
        <v>1</v>
      </c>
      <c r="DX261" s="9">
        <v>1</v>
      </c>
      <c r="DY261" s="9">
        <v>0</v>
      </c>
      <c r="DZ261" s="9">
        <v>0</v>
      </c>
      <c r="EA261" s="9">
        <v>0</v>
      </c>
      <c r="EB261" s="9">
        <v>0</v>
      </c>
      <c r="EC261" s="9">
        <v>1</v>
      </c>
      <c r="ED261" s="9">
        <v>1</v>
      </c>
      <c r="EE261" s="9">
        <v>0</v>
      </c>
      <c r="EF261" s="9">
        <v>1</v>
      </c>
      <c r="EG261" s="9">
        <v>1</v>
      </c>
      <c r="EH261" s="9">
        <v>1</v>
      </c>
      <c r="EI261" s="9">
        <v>1</v>
      </c>
      <c r="EJ261" s="9">
        <v>1</v>
      </c>
      <c r="EK261" s="9">
        <v>1</v>
      </c>
      <c r="EL261" s="9">
        <v>1</v>
      </c>
      <c r="EM261" s="9">
        <v>2</v>
      </c>
      <c r="EN261" s="9">
        <v>2</v>
      </c>
      <c r="EO261" s="9">
        <v>2</v>
      </c>
      <c r="EP261" s="9">
        <v>1</v>
      </c>
      <c r="EQ261" s="9">
        <v>0</v>
      </c>
      <c r="ER261" s="9">
        <v>0</v>
      </c>
      <c r="ES261" s="9">
        <v>1</v>
      </c>
      <c r="ET261" s="9">
        <v>0</v>
      </c>
      <c r="EU261" s="9">
        <v>0</v>
      </c>
      <c r="EV261" s="9">
        <v>0</v>
      </c>
      <c r="EW261" s="9">
        <v>0</v>
      </c>
      <c r="EX261" s="9">
        <v>0</v>
      </c>
      <c r="EY261" s="9">
        <v>0</v>
      </c>
      <c r="EZ261" s="9">
        <v>1</v>
      </c>
      <c r="FA261" s="9">
        <v>1</v>
      </c>
      <c r="FB261" s="9">
        <v>1</v>
      </c>
      <c r="FC261" s="9">
        <v>1</v>
      </c>
      <c r="FD261" s="9">
        <v>1</v>
      </c>
      <c r="FE261" s="9">
        <v>1</v>
      </c>
      <c r="FF261" s="9">
        <v>1</v>
      </c>
      <c r="FG261" s="9">
        <v>0</v>
      </c>
      <c r="FH261" s="9">
        <v>0</v>
      </c>
      <c r="FI261" s="9">
        <v>1</v>
      </c>
      <c r="FJ261" s="9">
        <v>0</v>
      </c>
      <c r="FK261" s="9">
        <v>0</v>
      </c>
      <c r="FL261" s="9">
        <v>0</v>
      </c>
      <c r="FM261" s="10">
        <v>0</v>
      </c>
    </row>
    <row r="262" spans="1:169" x14ac:dyDescent="0.35">
      <c r="A262" s="8" t="s">
        <v>413</v>
      </c>
      <c r="B262" s="9" t="s">
        <v>444</v>
      </c>
      <c r="C262" s="10" t="s">
        <v>445</v>
      </c>
      <c r="D262" s="62">
        <f t="shared" si="101"/>
        <v>70</v>
      </c>
      <c r="E262" s="9">
        <v>0</v>
      </c>
      <c r="F262" s="9">
        <v>6</v>
      </c>
      <c r="G262" s="9">
        <v>6</v>
      </c>
      <c r="H262" s="9">
        <v>10</v>
      </c>
      <c r="I262" s="9">
        <v>9</v>
      </c>
      <c r="J262" s="9">
        <v>13</v>
      </c>
      <c r="K262" s="9">
        <v>15</v>
      </c>
      <c r="L262" s="9">
        <v>17</v>
      </c>
      <c r="M262" s="9">
        <v>14</v>
      </c>
      <c r="N262" s="9">
        <v>16</v>
      </c>
      <c r="O262" s="9">
        <v>18</v>
      </c>
      <c r="P262" s="9">
        <v>0</v>
      </c>
      <c r="Q262" s="9">
        <v>18</v>
      </c>
      <c r="R262" s="9">
        <v>19</v>
      </c>
      <c r="S262" s="9">
        <v>21</v>
      </c>
      <c r="T262" s="9">
        <v>4</v>
      </c>
      <c r="U262" s="9">
        <v>18</v>
      </c>
      <c r="V262" s="9">
        <v>27</v>
      </c>
      <c r="W262" s="9">
        <v>27</v>
      </c>
      <c r="X262" s="9">
        <v>26</v>
      </c>
      <c r="Y262" s="9">
        <v>32</v>
      </c>
      <c r="Z262" s="9">
        <v>42</v>
      </c>
      <c r="AA262" s="9">
        <v>44</v>
      </c>
      <c r="AB262" s="9">
        <v>47</v>
      </c>
      <c r="AC262" s="9">
        <v>48</v>
      </c>
      <c r="AD262" s="9">
        <v>54</v>
      </c>
      <c r="AE262" s="9">
        <v>70</v>
      </c>
      <c r="AF262" s="9">
        <v>54</v>
      </c>
      <c r="AG262" s="9">
        <v>56</v>
      </c>
      <c r="AH262" s="9">
        <v>55</v>
      </c>
      <c r="AI262" s="9">
        <v>60</v>
      </c>
      <c r="AJ262" s="9">
        <v>51</v>
      </c>
      <c r="AK262" s="9">
        <v>58</v>
      </c>
      <c r="AL262" s="9">
        <v>58</v>
      </c>
      <c r="AM262" s="9">
        <v>48</v>
      </c>
      <c r="AN262" s="9">
        <v>46</v>
      </c>
      <c r="AO262" s="9">
        <v>45</v>
      </c>
      <c r="AP262" s="9">
        <v>46</v>
      </c>
      <c r="AQ262" s="9">
        <v>53</v>
      </c>
      <c r="AR262" s="9">
        <v>49</v>
      </c>
      <c r="AS262" s="9">
        <v>50</v>
      </c>
      <c r="AT262" s="9">
        <v>7</v>
      </c>
      <c r="AU262" s="9">
        <v>48</v>
      </c>
      <c r="AV262" s="9">
        <v>46</v>
      </c>
      <c r="AW262" s="9">
        <v>41</v>
      </c>
      <c r="AX262" s="9">
        <v>40</v>
      </c>
      <c r="AY262" s="9">
        <v>35</v>
      </c>
      <c r="AZ262" s="9">
        <v>29</v>
      </c>
      <c r="BA262" s="9">
        <v>29</v>
      </c>
      <c r="BB262" s="9">
        <v>29</v>
      </c>
      <c r="BC262" s="9">
        <v>18</v>
      </c>
      <c r="BD262" s="9">
        <v>15</v>
      </c>
      <c r="BE262" s="9">
        <v>18</v>
      </c>
      <c r="BF262" s="9">
        <v>14</v>
      </c>
      <c r="BG262" s="9">
        <v>14</v>
      </c>
      <c r="BH262" s="9">
        <v>14</v>
      </c>
      <c r="BI262" s="9">
        <v>5</v>
      </c>
      <c r="BJ262" s="9">
        <v>5</v>
      </c>
      <c r="BK262" s="9">
        <v>8</v>
      </c>
      <c r="BL262" s="9">
        <v>4</v>
      </c>
      <c r="BM262" s="9">
        <v>6</v>
      </c>
      <c r="BN262" s="9">
        <v>6</v>
      </c>
      <c r="BO262" s="9">
        <v>6</v>
      </c>
      <c r="BP262" s="9">
        <v>5</v>
      </c>
      <c r="BQ262" s="9">
        <v>4</v>
      </c>
      <c r="BR262" s="9">
        <v>4</v>
      </c>
      <c r="BS262" s="9">
        <v>5</v>
      </c>
      <c r="BT262" s="9">
        <v>5</v>
      </c>
      <c r="BU262" s="9">
        <v>5</v>
      </c>
      <c r="BV262" s="9">
        <v>6</v>
      </c>
      <c r="BW262" s="9">
        <v>7</v>
      </c>
      <c r="BX262" s="9">
        <v>7</v>
      </c>
      <c r="BY262" s="9">
        <v>7</v>
      </c>
      <c r="BZ262" s="9">
        <v>8</v>
      </c>
      <c r="CA262" s="9">
        <v>7</v>
      </c>
      <c r="CB262" s="9">
        <v>6</v>
      </c>
      <c r="CC262" s="9">
        <v>6</v>
      </c>
      <c r="CD262" s="9">
        <v>7</v>
      </c>
      <c r="CE262" s="9">
        <v>7</v>
      </c>
      <c r="CF262" s="9">
        <v>8</v>
      </c>
      <c r="CG262" s="9">
        <v>9</v>
      </c>
      <c r="CH262" s="9">
        <v>9</v>
      </c>
      <c r="CI262" s="9">
        <v>10</v>
      </c>
      <c r="CJ262" s="9">
        <v>10</v>
      </c>
      <c r="CK262" s="9">
        <v>9</v>
      </c>
      <c r="CL262" s="9">
        <v>8</v>
      </c>
      <c r="CM262" s="9">
        <v>8</v>
      </c>
      <c r="CN262" s="9">
        <v>8</v>
      </c>
      <c r="CO262" s="9">
        <v>6</v>
      </c>
      <c r="CP262" s="9">
        <v>8</v>
      </c>
      <c r="CQ262" s="9">
        <v>7</v>
      </c>
      <c r="CR262" s="9">
        <v>6</v>
      </c>
      <c r="CS262" s="9">
        <v>8</v>
      </c>
      <c r="CT262" s="9">
        <v>5</v>
      </c>
      <c r="CU262" s="9">
        <v>7</v>
      </c>
      <c r="CV262" s="9">
        <v>2</v>
      </c>
      <c r="CW262" s="9">
        <v>3</v>
      </c>
      <c r="CX262" s="9">
        <v>3</v>
      </c>
      <c r="CY262" s="9">
        <v>3</v>
      </c>
      <c r="CZ262" s="9">
        <v>3</v>
      </c>
      <c r="DA262" s="9">
        <v>4</v>
      </c>
      <c r="DB262" s="9">
        <v>4</v>
      </c>
      <c r="DC262" s="9">
        <v>3</v>
      </c>
      <c r="DD262" s="9">
        <v>3</v>
      </c>
      <c r="DE262" s="9">
        <v>4</v>
      </c>
      <c r="DF262" s="9">
        <v>5</v>
      </c>
      <c r="DG262" s="9">
        <v>5</v>
      </c>
      <c r="DH262" s="9">
        <v>5</v>
      </c>
      <c r="DI262" s="9">
        <v>4</v>
      </c>
      <c r="DJ262" s="9">
        <v>5</v>
      </c>
      <c r="DK262" s="9">
        <v>5</v>
      </c>
      <c r="DL262" s="9">
        <v>3</v>
      </c>
      <c r="DM262" s="9">
        <v>3</v>
      </c>
      <c r="DN262" s="9">
        <v>2</v>
      </c>
      <c r="DO262" s="9">
        <v>2</v>
      </c>
      <c r="DP262" s="9">
        <v>2</v>
      </c>
      <c r="DQ262" s="9">
        <v>2</v>
      </c>
      <c r="DR262" s="9">
        <v>1</v>
      </c>
      <c r="DS262" s="9">
        <v>1</v>
      </c>
      <c r="DT262" s="9">
        <v>1</v>
      </c>
      <c r="DU262" s="9">
        <v>1</v>
      </c>
      <c r="DV262" s="9">
        <v>1</v>
      </c>
      <c r="DW262" s="9">
        <v>2</v>
      </c>
      <c r="DX262" s="9">
        <v>2</v>
      </c>
      <c r="DY262" s="9">
        <v>2</v>
      </c>
      <c r="DZ262" s="9">
        <v>2</v>
      </c>
      <c r="EA262" s="9">
        <v>2</v>
      </c>
      <c r="EB262" s="9">
        <v>2</v>
      </c>
      <c r="EC262" s="9">
        <v>1</v>
      </c>
      <c r="ED262" s="9">
        <v>1</v>
      </c>
      <c r="EE262" s="9">
        <v>1</v>
      </c>
      <c r="EF262" s="9">
        <v>1</v>
      </c>
      <c r="EG262" s="9">
        <v>1</v>
      </c>
      <c r="EH262" s="9">
        <v>1</v>
      </c>
      <c r="EI262" s="9">
        <v>1</v>
      </c>
      <c r="EJ262" s="9">
        <v>1</v>
      </c>
      <c r="EK262" s="9">
        <v>1</v>
      </c>
      <c r="EL262" s="9">
        <v>0</v>
      </c>
      <c r="EM262" s="9">
        <v>1</v>
      </c>
      <c r="EN262" s="9">
        <v>1</v>
      </c>
      <c r="EO262" s="9">
        <v>1</v>
      </c>
      <c r="EP262" s="9">
        <v>1</v>
      </c>
      <c r="EQ262" s="9">
        <v>2</v>
      </c>
      <c r="ER262" s="9">
        <v>0</v>
      </c>
      <c r="ES262" s="9">
        <v>0</v>
      </c>
      <c r="ET262" s="9">
        <v>0</v>
      </c>
      <c r="EU262" s="9">
        <v>0</v>
      </c>
      <c r="EV262" s="9">
        <v>0</v>
      </c>
      <c r="EW262" s="9">
        <v>0</v>
      </c>
      <c r="EX262" s="9">
        <v>0</v>
      </c>
      <c r="EY262" s="9">
        <v>0</v>
      </c>
      <c r="EZ262" s="9">
        <v>0</v>
      </c>
      <c r="FA262" s="9">
        <v>0</v>
      </c>
      <c r="FB262" s="9">
        <v>0</v>
      </c>
      <c r="FC262" s="9">
        <v>0</v>
      </c>
      <c r="FD262" s="9">
        <v>1</v>
      </c>
      <c r="FE262" s="9">
        <v>1</v>
      </c>
      <c r="FF262" s="9">
        <v>1</v>
      </c>
      <c r="FG262" s="9">
        <v>1</v>
      </c>
      <c r="FH262" s="9">
        <v>1</v>
      </c>
      <c r="FI262" s="9">
        <v>1</v>
      </c>
      <c r="FJ262" s="9">
        <v>1</v>
      </c>
      <c r="FK262" s="9">
        <v>1</v>
      </c>
      <c r="FL262" s="9">
        <v>1</v>
      </c>
      <c r="FM262" s="10">
        <v>1</v>
      </c>
    </row>
    <row r="263" spans="1:169" x14ac:dyDescent="0.35">
      <c r="A263" s="8" t="s">
        <v>413</v>
      </c>
      <c r="B263" s="9" t="s">
        <v>446</v>
      </c>
      <c r="C263" s="10" t="s">
        <v>447</v>
      </c>
      <c r="D263" s="62">
        <f t="shared" si="101"/>
        <v>302</v>
      </c>
      <c r="E263" s="9">
        <v>61</v>
      </c>
      <c r="F263" s="9">
        <v>67</v>
      </c>
      <c r="G263" s="9">
        <v>87</v>
      </c>
      <c r="H263" s="9">
        <v>84</v>
      </c>
      <c r="I263" s="9">
        <v>95</v>
      </c>
      <c r="J263" s="9">
        <v>93</v>
      </c>
      <c r="K263" s="9">
        <v>99</v>
      </c>
      <c r="L263" s="9">
        <v>119</v>
      </c>
      <c r="M263" s="9">
        <v>119</v>
      </c>
      <c r="N263" s="9">
        <v>153</v>
      </c>
      <c r="O263" s="9">
        <v>179</v>
      </c>
      <c r="P263" s="9">
        <v>191</v>
      </c>
      <c r="Q263" s="9">
        <v>200</v>
      </c>
      <c r="R263" s="9">
        <v>206</v>
      </c>
      <c r="S263" s="9">
        <v>0</v>
      </c>
      <c r="T263" s="9">
        <v>227</v>
      </c>
      <c r="U263" s="9">
        <v>243</v>
      </c>
      <c r="V263" s="9">
        <v>147</v>
      </c>
      <c r="W263" s="9">
        <v>278</v>
      </c>
      <c r="X263" s="9">
        <v>289</v>
      </c>
      <c r="Y263" s="9">
        <v>302</v>
      </c>
      <c r="Z263" s="9">
        <v>290</v>
      </c>
      <c r="AA263" s="9">
        <v>278</v>
      </c>
      <c r="AB263" s="9">
        <v>276</v>
      </c>
      <c r="AC263" s="9">
        <v>268</v>
      </c>
      <c r="AD263" s="9">
        <v>267</v>
      </c>
      <c r="AE263" s="9">
        <v>257</v>
      </c>
      <c r="AF263" s="9">
        <v>233</v>
      </c>
      <c r="AG263" s="9">
        <v>243</v>
      </c>
      <c r="AH263" s="9">
        <v>243</v>
      </c>
      <c r="AI263" s="9">
        <v>241</v>
      </c>
      <c r="AJ263" s="9">
        <v>236</v>
      </c>
      <c r="AK263" s="9">
        <v>234</v>
      </c>
      <c r="AL263" s="9">
        <v>220</v>
      </c>
      <c r="AM263" s="9">
        <v>197</v>
      </c>
      <c r="AN263" s="9">
        <v>193</v>
      </c>
      <c r="AO263" s="9">
        <v>176</v>
      </c>
      <c r="AP263" s="9">
        <v>177</v>
      </c>
      <c r="AQ263" s="9">
        <v>182</v>
      </c>
      <c r="AR263" s="9">
        <v>215</v>
      </c>
      <c r="AS263" s="9">
        <v>223</v>
      </c>
      <c r="AT263" s="9">
        <v>252</v>
      </c>
      <c r="AU263" s="9">
        <v>193</v>
      </c>
      <c r="AV263" s="9">
        <v>176</v>
      </c>
      <c r="AW263" s="9">
        <v>171</v>
      </c>
      <c r="AX263" s="9">
        <v>160</v>
      </c>
      <c r="AY263" s="9">
        <v>163</v>
      </c>
      <c r="AZ263" s="9">
        <v>164</v>
      </c>
      <c r="BA263" s="9">
        <v>157</v>
      </c>
      <c r="BB263" s="9">
        <v>153</v>
      </c>
      <c r="BC263" s="9">
        <v>143</v>
      </c>
      <c r="BD263" s="9">
        <v>141</v>
      </c>
      <c r="BE263" s="9">
        <v>143</v>
      </c>
      <c r="BF263" s="9">
        <v>132</v>
      </c>
      <c r="BG263" s="9">
        <v>127</v>
      </c>
      <c r="BH263" s="9">
        <v>122</v>
      </c>
      <c r="BI263" s="9">
        <v>116</v>
      </c>
      <c r="BJ263" s="9">
        <v>116</v>
      </c>
      <c r="BK263" s="9">
        <v>109</v>
      </c>
      <c r="BL263" s="9">
        <v>109</v>
      </c>
      <c r="BM263" s="9">
        <v>114</v>
      </c>
      <c r="BN263" s="9">
        <v>104</v>
      </c>
      <c r="BO263" s="9">
        <v>104</v>
      </c>
      <c r="BP263" s="9">
        <v>106</v>
      </c>
      <c r="BQ263" s="9">
        <v>101</v>
      </c>
      <c r="BR263" s="9">
        <v>96</v>
      </c>
      <c r="BS263" s="9">
        <v>90</v>
      </c>
      <c r="BT263" s="9">
        <v>84</v>
      </c>
      <c r="BU263" s="9">
        <v>86</v>
      </c>
      <c r="BV263" s="9">
        <v>82</v>
      </c>
      <c r="BW263" s="9">
        <v>82</v>
      </c>
      <c r="BX263" s="9">
        <v>77</v>
      </c>
      <c r="BY263" s="9">
        <v>72</v>
      </c>
      <c r="BZ263" s="9">
        <v>70</v>
      </c>
      <c r="CA263" s="9">
        <v>67</v>
      </c>
      <c r="CB263" s="9">
        <v>64</v>
      </c>
      <c r="CC263" s="9">
        <v>61</v>
      </c>
      <c r="CD263" s="9">
        <v>62</v>
      </c>
      <c r="CE263" s="9">
        <v>58</v>
      </c>
      <c r="CF263" s="9">
        <v>55</v>
      </c>
      <c r="CG263" s="9">
        <v>52</v>
      </c>
      <c r="CH263" s="9">
        <v>48</v>
      </c>
      <c r="CI263" s="9">
        <v>45</v>
      </c>
      <c r="CJ263" s="9">
        <v>45</v>
      </c>
      <c r="CK263" s="9">
        <v>39</v>
      </c>
      <c r="CL263" s="9">
        <v>36</v>
      </c>
      <c r="CM263" s="9">
        <v>32</v>
      </c>
      <c r="CN263" s="9">
        <v>29</v>
      </c>
      <c r="CO263" s="9">
        <v>27</v>
      </c>
      <c r="CP263" s="9">
        <v>28</v>
      </c>
      <c r="CQ263" s="9">
        <v>26</v>
      </c>
      <c r="CR263" s="9">
        <v>26</v>
      </c>
      <c r="CS263" s="9">
        <v>18</v>
      </c>
      <c r="CT263" s="9">
        <v>15</v>
      </c>
      <c r="CU263" s="9">
        <v>12</v>
      </c>
      <c r="CV263" s="9">
        <v>12</v>
      </c>
      <c r="CW263" s="9">
        <v>8</v>
      </c>
      <c r="CX263" s="9">
        <v>6</v>
      </c>
      <c r="CY263" s="9">
        <v>5</v>
      </c>
      <c r="CZ263" s="9">
        <v>5</v>
      </c>
      <c r="DA263" s="9">
        <v>6</v>
      </c>
      <c r="DB263" s="9">
        <v>9</v>
      </c>
      <c r="DC263" s="9">
        <v>9</v>
      </c>
      <c r="DD263" s="9">
        <v>12</v>
      </c>
      <c r="DE263" s="9">
        <v>9</v>
      </c>
      <c r="DF263" s="9">
        <v>8</v>
      </c>
      <c r="DG263" s="9">
        <v>8</v>
      </c>
      <c r="DH263" s="9">
        <v>7</v>
      </c>
      <c r="DI263" s="9">
        <v>6</v>
      </c>
      <c r="DJ263" s="9">
        <v>8</v>
      </c>
      <c r="DK263" s="9">
        <v>6</v>
      </c>
      <c r="DL263" s="9">
        <v>6</v>
      </c>
      <c r="DM263" s="9">
        <v>4</v>
      </c>
      <c r="DN263" s="9">
        <v>4</v>
      </c>
      <c r="DO263" s="9">
        <v>2</v>
      </c>
      <c r="DP263" s="9">
        <v>3</v>
      </c>
      <c r="DQ263" s="9">
        <v>2</v>
      </c>
      <c r="DR263" s="9">
        <v>1</v>
      </c>
      <c r="DS263" s="9">
        <v>1</v>
      </c>
      <c r="DT263" s="9">
        <v>0</v>
      </c>
      <c r="DU263" s="9">
        <v>2</v>
      </c>
      <c r="DV263" s="9">
        <v>4</v>
      </c>
      <c r="DW263" s="9">
        <v>4</v>
      </c>
      <c r="DX263" s="9">
        <v>5</v>
      </c>
      <c r="DY263" s="9">
        <v>4</v>
      </c>
      <c r="DZ263" s="9">
        <v>2</v>
      </c>
      <c r="EA263" s="9">
        <v>1</v>
      </c>
      <c r="EB263" s="9">
        <v>0</v>
      </c>
      <c r="EC263" s="9">
        <v>1</v>
      </c>
      <c r="ED263" s="9">
        <v>2</v>
      </c>
      <c r="EE263" s="9">
        <v>3</v>
      </c>
      <c r="EF263" s="9">
        <v>3</v>
      </c>
      <c r="EG263" s="9">
        <v>5</v>
      </c>
      <c r="EH263" s="9">
        <v>3</v>
      </c>
      <c r="EI263" s="9">
        <v>3</v>
      </c>
      <c r="EJ263" s="9">
        <v>3</v>
      </c>
      <c r="EK263" s="9">
        <v>3</v>
      </c>
      <c r="EL263" s="9">
        <v>3</v>
      </c>
      <c r="EM263" s="9">
        <v>1</v>
      </c>
      <c r="EN263" s="9">
        <v>4</v>
      </c>
      <c r="EO263" s="9">
        <v>5</v>
      </c>
      <c r="EP263" s="9">
        <v>4</v>
      </c>
      <c r="EQ263" s="9">
        <v>1</v>
      </c>
      <c r="ER263" s="9">
        <v>6</v>
      </c>
      <c r="ES263" s="9">
        <v>4</v>
      </c>
      <c r="ET263" s="9">
        <v>4</v>
      </c>
      <c r="EU263" s="9">
        <v>3</v>
      </c>
      <c r="EV263" s="9">
        <v>4</v>
      </c>
      <c r="EW263" s="9">
        <v>3</v>
      </c>
      <c r="EX263" s="9">
        <v>3</v>
      </c>
      <c r="EY263" s="9">
        <v>2</v>
      </c>
      <c r="EZ263" s="9">
        <v>2</v>
      </c>
      <c r="FA263" s="9">
        <v>1</v>
      </c>
      <c r="FB263" s="9">
        <v>1</v>
      </c>
      <c r="FC263" s="9">
        <v>2</v>
      </c>
      <c r="FD263" s="9">
        <v>1</v>
      </c>
      <c r="FE263" s="9">
        <v>1</v>
      </c>
      <c r="FF263" s="9">
        <v>2</v>
      </c>
      <c r="FG263" s="9">
        <v>2</v>
      </c>
      <c r="FH263" s="9">
        <v>4</v>
      </c>
      <c r="FI263" s="9">
        <v>4</v>
      </c>
      <c r="FJ263" s="9">
        <v>4</v>
      </c>
      <c r="FK263" s="9">
        <v>2</v>
      </c>
      <c r="FL263" s="9">
        <v>3</v>
      </c>
      <c r="FM263" s="10">
        <v>3</v>
      </c>
    </row>
    <row r="264" spans="1:169" x14ac:dyDescent="0.35">
      <c r="A264" s="8" t="s">
        <v>413</v>
      </c>
      <c r="B264" s="9" t="s">
        <v>448</v>
      </c>
      <c r="C264" s="10" t="s">
        <v>449</v>
      </c>
      <c r="D264" s="62">
        <f t="shared" si="101"/>
        <v>173</v>
      </c>
      <c r="E264" s="9">
        <v>0</v>
      </c>
      <c r="F264" s="9">
        <v>15</v>
      </c>
      <c r="G264" s="9">
        <v>21</v>
      </c>
      <c r="H264" s="9">
        <v>29</v>
      </c>
      <c r="I264" s="9">
        <v>31</v>
      </c>
      <c r="J264" s="9">
        <v>35</v>
      </c>
      <c r="K264" s="9">
        <v>44</v>
      </c>
      <c r="L264" s="9">
        <v>50</v>
      </c>
      <c r="M264" s="9">
        <v>51</v>
      </c>
      <c r="N264" s="9">
        <v>66</v>
      </c>
      <c r="O264" s="9">
        <v>80</v>
      </c>
      <c r="P264" s="9">
        <v>97</v>
      </c>
      <c r="Q264" s="9">
        <v>90</v>
      </c>
      <c r="R264" s="9">
        <v>104</v>
      </c>
      <c r="S264" s="9">
        <v>113</v>
      </c>
      <c r="T264" s="9">
        <v>106</v>
      </c>
      <c r="U264" s="9">
        <v>129</v>
      </c>
      <c r="V264" s="9">
        <v>142</v>
      </c>
      <c r="W264" s="9">
        <v>146</v>
      </c>
      <c r="X264" s="9">
        <v>145</v>
      </c>
      <c r="Y264" s="9">
        <v>144</v>
      </c>
      <c r="Z264" s="9">
        <v>141</v>
      </c>
      <c r="AA264" s="9">
        <v>166</v>
      </c>
      <c r="AB264" s="9">
        <v>166</v>
      </c>
      <c r="AC264" s="9">
        <v>166</v>
      </c>
      <c r="AD264" s="9">
        <v>166</v>
      </c>
      <c r="AE264" s="9">
        <v>173</v>
      </c>
      <c r="AF264" s="9">
        <v>172</v>
      </c>
      <c r="AG264" s="9">
        <v>160</v>
      </c>
      <c r="AH264" s="9">
        <v>159</v>
      </c>
      <c r="AI264" s="9">
        <v>167</v>
      </c>
      <c r="AJ264" s="9">
        <v>159</v>
      </c>
      <c r="AK264" s="9">
        <v>156</v>
      </c>
      <c r="AL264" s="9">
        <v>148</v>
      </c>
      <c r="AM264" s="9">
        <v>140</v>
      </c>
      <c r="AN264" s="9">
        <v>138</v>
      </c>
      <c r="AO264" s="9">
        <v>127</v>
      </c>
      <c r="AP264" s="9">
        <v>127</v>
      </c>
      <c r="AQ264" s="9">
        <v>133</v>
      </c>
      <c r="AR264" s="9">
        <v>115</v>
      </c>
      <c r="AS264" s="9">
        <v>113</v>
      </c>
      <c r="AT264" s="9">
        <v>111</v>
      </c>
      <c r="AU264" s="9">
        <v>109</v>
      </c>
      <c r="AV264" s="9">
        <v>97</v>
      </c>
      <c r="AW264" s="9">
        <v>102</v>
      </c>
      <c r="AX264" s="9">
        <v>105</v>
      </c>
      <c r="AY264" s="9">
        <v>106</v>
      </c>
      <c r="AZ264" s="9">
        <v>103</v>
      </c>
      <c r="BA264" s="9">
        <v>96</v>
      </c>
      <c r="BB264" s="9">
        <v>96</v>
      </c>
      <c r="BC264" s="9">
        <v>97</v>
      </c>
      <c r="BD264" s="9">
        <v>92</v>
      </c>
      <c r="BE264" s="9">
        <v>97</v>
      </c>
      <c r="BF264" s="9">
        <v>100</v>
      </c>
      <c r="BG264" s="9">
        <v>93</v>
      </c>
      <c r="BH264" s="9">
        <v>82</v>
      </c>
      <c r="BI264" s="9">
        <v>81</v>
      </c>
      <c r="BJ264" s="9">
        <v>70</v>
      </c>
      <c r="BK264" s="9">
        <v>68</v>
      </c>
      <c r="BL264" s="9">
        <v>71</v>
      </c>
      <c r="BM264" s="9">
        <v>75</v>
      </c>
      <c r="BN264" s="9">
        <v>74</v>
      </c>
      <c r="BO264" s="9">
        <v>68</v>
      </c>
      <c r="BP264" s="9">
        <v>71</v>
      </c>
      <c r="BQ264" s="9">
        <v>63</v>
      </c>
      <c r="BR264" s="9">
        <v>60</v>
      </c>
      <c r="BS264" s="9">
        <v>59</v>
      </c>
      <c r="BT264" s="9">
        <v>58</v>
      </c>
      <c r="BU264" s="9">
        <v>56</v>
      </c>
      <c r="BV264" s="9">
        <v>50</v>
      </c>
      <c r="BW264" s="9">
        <v>49</v>
      </c>
      <c r="BX264" s="9">
        <v>44</v>
      </c>
      <c r="BY264" s="9">
        <v>47</v>
      </c>
      <c r="BZ264" s="9">
        <v>44</v>
      </c>
      <c r="CA264" s="9">
        <v>41</v>
      </c>
      <c r="CB264" s="9">
        <v>44</v>
      </c>
      <c r="CC264" s="9">
        <v>47</v>
      </c>
      <c r="CD264" s="9">
        <v>45</v>
      </c>
      <c r="CE264" s="9">
        <v>43</v>
      </c>
      <c r="CF264" s="9">
        <v>44</v>
      </c>
      <c r="CG264" s="9">
        <v>44</v>
      </c>
      <c r="CH264" s="9">
        <v>31</v>
      </c>
      <c r="CI264" s="9">
        <v>29</v>
      </c>
      <c r="CJ264" s="9">
        <v>25</v>
      </c>
      <c r="CK264" s="9">
        <v>24</v>
      </c>
      <c r="CL264" s="9">
        <v>24</v>
      </c>
      <c r="CM264" s="9">
        <v>23</v>
      </c>
      <c r="CN264" s="9">
        <v>24</v>
      </c>
      <c r="CO264" s="9">
        <v>24</v>
      </c>
      <c r="CP264" s="9">
        <v>22</v>
      </c>
      <c r="CQ264" s="9">
        <v>21</v>
      </c>
      <c r="CR264" s="9">
        <v>23</v>
      </c>
      <c r="CS264" s="9">
        <v>17</v>
      </c>
      <c r="CT264" s="9">
        <v>17</v>
      </c>
      <c r="CU264" s="9">
        <v>17</v>
      </c>
      <c r="CV264" s="9">
        <v>17</v>
      </c>
      <c r="CW264" s="9">
        <v>14</v>
      </c>
      <c r="CX264" s="9">
        <v>15</v>
      </c>
      <c r="CY264" s="9">
        <v>15</v>
      </c>
      <c r="CZ264" s="9">
        <v>16</v>
      </c>
      <c r="DA264" s="9">
        <v>14</v>
      </c>
      <c r="DB264" s="9">
        <v>15</v>
      </c>
      <c r="DC264" s="9">
        <v>14</v>
      </c>
      <c r="DD264" s="9">
        <v>14</v>
      </c>
      <c r="DE264" s="9">
        <v>13</v>
      </c>
      <c r="DF264" s="9">
        <v>10</v>
      </c>
      <c r="DG264" s="9">
        <v>10</v>
      </c>
      <c r="DH264" s="9">
        <v>11</v>
      </c>
      <c r="DI264" s="9">
        <v>11</v>
      </c>
      <c r="DJ264" s="9">
        <v>11</v>
      </c>
      <c r="DK264" s="9">
        <v>9</v>
      </c>
      <c r="DL264" s="9">
        <v>9</v>
      </c>
      <c r="DM264" s="9">
        <v>9</v>
      </c>
      <c r="DN264" s="9">
        <v>9</v>
      </c>
      <c r="DO264" s="9">
        <v>9</v>
      </c>
      <c r="DP264" s="9">
        <v>9</v>
      </c>
      <c r="DQ264" s="9">
        <v>11</v>
      </c>
      <c r="DR264" s="9">
        <v>11</v>
      </c>
      <c r="DS264" s="9">
        <v>8</v>
      </c>
      <c r="DT264" s="9">
        <v>8</v>
      </c>
      <c r="DU264" s="9">
        <v>7</v>
      </c>
      <c r="DV264" s="9">
        <v>7</v>
      </c>
      <c r="DW264" s="9">
        <v>7</v>
      </c>
      <c r="DX264" s="9">
        <v>7</v>
      </c>
      <c r="DY264" s="9">
        <v>6</v>
      </c>
      <c r="DZ264" s="9">
        <v>6</v>
      </c>
      <c r="EA264" s="9">
        <v>6</v>
      </c>
      <c r="EB264" s="9">
        <v>6</v>
      </c>
      <c r="EC264" s="9">
        <v>5</v>
      </c>
      <c r="ED264" s="9">
        <v>5</v>
      </c>
      <c r="EE264" s="9">
        <v>5</v>
      </c>
      <c r="EF264" s="9">
        <v>5</v>
      </c>
      <c r="EG264" s="9">
        <v>5</v>
      </c>
      <c r="EH264" s="9">
        <v>5</v>
      </c>
      <c r="EI264" s="9">
        <v>4</v>
      </c>
      <c r="EJ264" s="9">
        <v>5</v>
      </c>
      <c r="EK264" s="9">
        <v>5</v>
      </c>
      <c r="EL264" s="9">
        <v>4</v>
      </c>
      <c r="EM264" s="9">
        <v>3</v>
      </c>
      <c r="EN264" s="9">
        <v>2</v>
      </c>
      <c r="EO264" s="9">
        <v>2</v>
      </c>
      <c r="EP264" s="9">
        <v>2</v>
      </c>
      <c r="EQ264" s="9">
        <v>2</v>
      </c>
      <c r="ER264" s="9">
        <v>2</v>
      </c>
      <c r="ES264" s="9">
        <v>2</v>
      </c>
      <c r="ET264" s="9">
        <v>2</v>
      </c>
      <c r="EU264" s="9">
        <v>2</v>
      </c>
      <c r="EV264" s="9">
        <v>2</v>
      </c>
      <c r="EW264" s="9">
        <v>2</v>
      </c>
      <c r="EX264" s="9">
        <v>2</v>
      </c>
      <c r="EY264" s="9">
        <v>2</v>
      </c>
      <c r="EZ264" s="9">
        <v>2</v>
      </c>
      <c r="FA264" s="9">
        <v>2</v>
      </c>
      <c r="FB264" s="9">
        <v>2</v>
      </c>
      <c r="FC264" s="9">
        <v>2</v>
      </c>
      <c r="FD264" s="9">
        <v>2</v>
      </c>
      <c r="FE264" s="9">
        <v>2</v>
      </c>
      <c r="FF264" s="9">
        <v>2</v>
      </c>
      <c r="FG264" s="9">
        <v>2</v>
      </c>
      <c r="FH264" s="9">
        <v>0</v>
      </c>
      <c r="FI264" s="9">
        <v>2</v>
      </c>
      <c r="FJ264" s="9">
        <v>2</v>
      </c>
      <c r="FK264" s="9">
        <v>2</v>
      </c>
      <c r="FL264" s="9">
        <v>1</v>
      </c>
      <c r="FM264" s="10">
        <v>1</v>
      </c>
    </row>
    <row r="265" spans="1:169" x14ac:dyDescent="0.35">
      <c r="A265" s="8" t="s">
        <v>413</v>
      </c>
      <c r="B265" s="9" t="s">
        <v>450</v>
      </c>
      <c r="C265" s="10" t="s">
        <v>451</v>
      </c>
      <c r="D265" s="62">
        <f t="shared" si="101"/>
        <v>244</v>
      </c>
      <c r="E265" s="9">
        <v>35</v>
      </c>
      <c r="F265" s="9">
        <v>57</v>
      </c>
      <c r="G265" s="9">
        <v>66</v>
      </c>
      <c r="H265" s="9">
        <v>62</v>
      </c>
      <c r="I265" s="9">
        <v>70</v>
      </c>
      <c r="J265" s="9">
        <v>81</v>
      </c>
      <c r="K265" s="9">
        <v>90</v>
      </c>
      <c r="L265" s="9">
        <v>117</v>
      </c>
      <c r="M265" s="9">
        <v>100</v>
      </c>
      <c r="N265" s="9">
        <v>80</v>
      </c>
      <c r="O265" s="9">
        <v>126</v>
      </c>
      <c r="P265" s="9">
        <v>238</v>
      </c>
      <c r="Q265" s="9">
        <v>123</v>
      </c>
      <c r="R265" s="9">
        <v>244</v>
      </c>
      <c r="S265" s="9">
        <v>228</v>
      </c>
      <c r="T265" s="9">
        <v>127</v>
      </c>
      <c r="U265" s="9">
        <v>140</v>
      </c>
      <c r="V265" s="9">
        <v>140</v>
      </c>
      <c r="W265" s="9">
        <v>143</v>
      </c>
      <c r="X265" s="9">
        <v>140</v>
      </c>
      <c r="Y265" s="9">
        <v>148</v>
      </c>
      <c r="Z265" s="9">
        <v>135</v>
      </c>
      <c r="AA265" s="9">
        <v>130</v>
      </c>
      <c r="AB265" s="9">
        <v>130</v>
      </c>
      <c r="AC265" s="9">
        <v>115</v>
      </c>
      <c r="AD265" s="9">
        <v>118</v>
      </c>
      <c r="AE265" s="9">
        <v>95</v>
      </c>
      <c r="AF265" s="9">
        <v>103</v>
      </c>
      <c r="AG265" s="9">
        <v>99</v>
      </c>
      <c r="AH265" s="9">
        <v>99</v>
      </c>
      <c r="AI265" s="9">
        <v>104</v>
      </c>
      <c r="AJ265" s="9">
        <v>93</v>
      </c>
      <c r="AK265" s="9">
        <v>93</v>
      </c>
      <c r="AL265" s="9">
        <v>97</v>
      </c>
      <c r="AM265" s="9">
        <v>90</v>
      </c>
      <c r="AN265" s="9">
        <v>83</v>
      </c>
      <c r="AO265" s="9">
        <v>77</v>
      </c>
      <c r="AP265" s="9">
        <v>77</v>
      </c>
      <c r="AQ265" s="9">
        <v>87</v>
      </c>
      <c r="AR265" s="9">
        <v>73</v>
      </c>
      <c r="AS265" s="9">
        <v>74</v>
      </c>
      <c r="AT265" s="9">
        <v>68</v>
      </c>
      <c r="AU265" s="9">
        <v>71</v>
      </c>
      <c r="AV265" s="9">
        <v>66</v>
      </c>
      <c r="AW265" s="9">
        <v>67</v>
      </c>
      <c r="AX265" s="9">
        <v>67</v>
      </c>
      <c r="AY265" s="9">
        <v>56</v>
      </c>
      <c r="AZ265" s="9">
        <v>49</v>
      </c>
      <c r="BA265" s="9">
        <v>49</v>
      </c>
      <c r="BB265" s="9">
        <v>52</v>
      </c>
      <c r="BC265" s="9">
        <v>55</v>
      </c>
      <c r="BD265" s="9">
        <v>58</v>
      </c>
      <c r="BE265" s="9">
        <v>53</v>
      </c>
      <c r="BF265" s="9">
        <v>51</v>
      </c>
      <c r="BG265" s="9">
        <v>51</v>
      </c>
      <c r="BH265" s="9">
        <v>52</v>
      </c>
      <c r="BI265" s="9">
        <v>49</v>
      </c>
      <c r="BJ265" s="9">
        <v>49</v>
      </c>
      <c r="BK265" s="9">
        <v>47</v>
      </c>
      <c r="BL265" s="9">
        <v>47</v>
      </c>
      <c r="BM265" s="9">
        <v>42</v>
      </c>
      <c r="BN265" s="9">
        <v>38</v>
      </c>
      <c r="BO265" s="9">
        <v>38</v>
      </c>
      <c r="BP265" s="9">
        <v>35</v>
      </c>
      <c r="BQ265" s="9">
        <v>36</v>
      </c>
      <c r="BR265" s="9">
        <v>37</v>
      </c>
      <c r="BS265" s="9">
        <v>35</v>
      </c>
      <c r="BT265" s="9">
        <v>35</v>
      </c>
      <c r="BU265" s="9">
        <v>32</v>
      </c>
      <c r="BV265" s="9">
        <v>33</v>
      </c>
      <c r="BW265" s="9">
        <v>29</v>
      </c>
      <c r="BX265" s="9">
        <v>31</v>
      </c>
      <c r="BY265" s="9">
        <v>31</v>
      </c>
      <c r="BZ265" s="9">
        <v>27</v>
      </c>
      <c r="CA265" s="9">
        <v>26</v>
      </c>
      <c r="CB265" s="9">
        <v>23</v>
      </c>
      <c r="CC265" s="9">
        <v>21</v>
      </c>
      <c r="CD265" s="9">
        <v>21</v>
      </c>
      <c r="CE265" s="9">
        <v>19</v>
      </c>
      <c r="CF265" s="9">
        <v>18</v>
      </c>
      <c r="CG265" s="9">
        <v>18</v>
      </c>
      <c r="CH265" s="9">
        <v>19</v>
      </c>
      <c r="CI265" s="9">
        <v>21</v>
      </c>
      <c r="CJ265" s="9">
        <v>20</v>
      </c>
      <c r="CK265" s="9">
        <v>20</v>
      </c>
      <c r="CL265" s="9">
        <v>17</v>
      </c>
      <c r="CM265" s="9">
        <v>18</v>
      </c>
      <c r="CN265" s="9">
        <v>17</v>
      </c>
      <c r="CO265" s="9">
        <v>16</v>
      </c>
      <c r="CP265" s="9">
        <v>16</v>
      </c>
      <c r="CQ265" s="9">
        <v>0</v>
      </c>
      <c r="CR265" s="9">
        <v>12</v>
      </c>
      <c r="CS265" s="9">
        <v>9</v>
      </c>
      <c r="CT265" s="9">
        <v>9</v>
      </c>
      <c r="CU265" s="9">
        <v>8</v>
      </c>
      <c r="CV265" s="9">
        <v>7</v>
      </c>
      <c r="CW265" s="9">
        <v>5</v>
      </c>
      <c r="CX265" s="9">
        <v>6</v>
      </c>
      <c r="CY265" s="9">
        <v>6</v>
      </c>
      <c r="CZ265" s="9">
        <v>5</v>
      </c>
      <c r="DA265" s="9">
        <v>5</v>
      </c>
      <c r="DB265" s="9">
        <v>5</v>
      </c>
      <c r="DC265" s="9">
        <v>5</v>
      </c>
      <c r="DD265" s="9">
        <v>4</v>
      </c>
      <c r="DE265" s="9">
        <v>5</v>
      </c>
      <c r="DF265" s="9">
        <v>5</v>
      </c>
      <c r="DG265" s="9">
        <v>2</v>
      </c>
      <c r="DH265" s="9">
        <v>2</v>
      </c>
      <c r="DI265" s="9">
        <v>2</v>
      </c>
      <c r="DJ265" s="9">
        <v>2</v>
      </c>
      <c r="DK265" s="9">
        <v>2</v>
      </c>
      <c r="DL265" s="9">
        <v>3</v>
      </c>
      <c r="DM265" s="9">
        <v>3</v>
      </c>
      <c r="DN265" s="9">
        <v>3</v>
      </c>
      <c r="DO265" s="9">
        <v>3</v>
      </c>
      <c r="DP265" s="9">
        <v>2</v>
      </c>
      <c r="DQ265" s="9">
        <v>2</v>
      </c>
      <c r="DR265" s="9">
        <v>2</v>
      </c>
      <c r="DS265" s="9">
        <v>1</v>
      </c>
      <c r="DT265" s="9">
        <v>1</v>
      </c>
      <c r="DU265" s="9">
        <v>1</v>
      </c>
      <c r="DV265" s="9">
        <v>1</v>
      </c>
      <c r="DW265" s="9">
        <v>1</v>
      </c>
      <c r="DX265" s="9">
        <v>1</v>
      </c>
      <c r="DY265" s="9">
        <v>1</v>
      </c>
      <c r="DZ265" s="9">
        <v>1</v>
      </c>
      <c r="EA265" s="9">
        <v>2</v>
      </c>
      <c r="EB265" s="9">
        <v>2</v>
      </c>
      <c r="EC265" s="9">
        <v>2</v>
      </c>
      <c r="ED265" s="9">
        <v>2</v>
      </c>
      <c r="EE265" s="9">
        <v>2</v>
      </c>
      <c r="EF265" s="9">
        <v>2</v>
      </c>
      <c r="EG265" s="9">
        <v>3</v>
      </c>
      <c r="EH265" s="9">
        <v>3</v>
      </c>
      <c r="EI265" s="9">
        <v>2</v>
      </c>
      <c r="EJ265" s="9">
        <v>2</v>
      </c>
      <c r="EK265" s="9">
        <v>2</v>
      </c>
      <c r="EL265" s="9">
        <v>1</v>
      </c>
      <c r="EM265" s="9">
        <v>1</v>
      </c>
      <c r="EN265" s="9">
        <v>1</v>
      </c>
      <c r="EO265" s="9">
        <v>1</v>
      </c>
      <c r="EP265" s="9">
        <v>1</v>
      </c>
      <c r="EQ265" s="9">
        <v>1</v>
      </c>
      <c r="ER265" s="9">
        <v>1</v>
      </c>
      <c r="ES265" s="9">
        <v>1</v>
      </c>
      <c r="ET265" s="9">
        <v>1</v>
      </c>
      <c r="EU265" s="9">
        <v>1</v>
      </c>
      <c r="EV265" s="9">
        <v>1</v>
      </c>
      <c r="EW265" s="9">
        <v>0</v>
      </c>
      <c r="EX265" s="9">
        <v>1</v>
      </c>
      <c r="EY265" s="9">
        <v>2</v>
      </c>
      <c r="EZ265" s="9">
        <v>2</v>
      </c>
      <c r="FA265" s="9">
        <v>1</v>
      </c>
      <c r="FB265" s="9">
        <v>3</v>
      </c>
      <c r="FC265" s="9">
        <v>3</v>
      </c>
      <c r="FD265" s="9">
        <v>3</v>
      </c>
      <c r="FE265" s="9">
        <v>3</v>
      </c>
      <c r="FF265" s="9">
        <v>3</v>
      </c>
      <c r="FG265" s="9">
        <v>3</v>
      </c>
      <c r="FH265" s="9">
        <v>4</v>
      </c>
      <c r="FI265" s="9">
        <v>4</v>
      </c>
      <c r="FJ265" s="9">
        <v>2</v>
      </c>
      <c r="FK265" s="9">
        <v>3</v>
      </c>
      <c r="FL265" s="9">
        <v>4</v>
      </c>
      <c r="FM265" s="10">
        <v>3</v>
      </c>
    </row>
    <row r="266" spans="1:169" x14ac:dyDescent="0.35">
      <c r="A266" s="8" t="s">
        <v>413</v>
      </c>
      <c r="B266" s="9" t="s">
        <v>452</v>
      </c>
      <c r="C266" s="10" t="s">
        <v>453</v>
      </c>
      <c r="D266" s="62">
        <f t="shared" si="101"/>
        <v>153</v>
      </c>
      <c r="E266" s="9">
        <v>13</v>
      </c>
      <c r="F266" s="9">
        <v>15</v>
      </c>
      <c r="G266" s="9">
        <v>20</v>
      </c>
      <c r="H266" s="9">
        <v>22</v>
      </c>
      <c r="I266" s="9">
        <v>22</v>
      </c>
      <c r="J266" s="9">
        <v>19</v>
      </c>
      <c r="K266" s="9">
        <v>23</v>
      </c>
      <c r="L266" s="9">
        <v>24</v>
      </c>
      <c r="M266" s="9">
        <v>41</v>
      </c>
      <c r="N266" s="9">
        <v>54</v>
      </c>
      <c r="O266" s="9">
        <v>82</v>
      </c>
      <c r="P266" s="9">
        <v>84</v>
      </c>
      <c r="Q266" s="9">
        <v>0</v>
      </c>
      <c r="R266" s="9">
        <v>0</v>
      </c>
      <c r="S266" s="9">
        <v>106</v>
      </c>
      <c r="T266" s="9">
        <v>116</v>
      </c>
      <c r="U266" s="9">
        <v>118</v>
      </c>
      <c r="V266" s="9">
        <v>137</v>
      </c>
      <c r="W266" s="9">
        <v>138</v>
      </c>
      <c r="X266" s="9">
        <v>144</v>
      </c>
      <c r="Y266" s="9">
        <v>145</v>
      </c>
      <c r="Z266" s="9">
        <v>137</v>
      </c>
      <c r="AA266" s="9">
        <v>141</v>
      </c>
      <c r="AB266" s="9">
        <v>142</v>
      </c>
      <c r="AC266" s="9">
        <v>142</v>
      </c>
      <c r="AD266" s="9">
        <v>141</v>
      </c>
      <c r="AE266" s="9">
        <v>141</v>
      </c>
      <c r="AF266" s="9">
        <v>132</v>
      </c>
      <c r="AG266" s="9">
        <v>126</v>
      </c>
      <c r="AH266" s="9">
        <v>130</v>
      </c>
      <c r="AI266" s="9">
        <v>133</v>
      </c>
      <c r="AJ266" s="9">
        <v>139</v>
      </c>
      <c r="AK266" s="9">
        <v>144</v>
      </c>
      <c r="AL266" s="9">
        <v>138</v>
      </c>
      <c r="AM266" s="9">
        <v>129</v>
      </c>
      <c r="AN266" s="9">
        <v>129</v>
      </c>
      <c r="AO266" s="9">
        <v>138</v>
      </c>
      <c r="AP266" s="9">
        <v>143</v>
      </c>
      <c r="AQ266" s="9">
        <v>153</v>
      </c>
      <c r="AR266" s="9">
        <v>136</v>
      </c>
      <c r="AS266" s="9">
        <v>148</v>
      </c>
      <c r="AT266" s="9">
        <v>137</v>
      </c>
      <c r="AU266" s="9">
        <v>139</v>
      </c>
      <c r="AV266" s="9">
        <v>135</v>
      </c>
      <c r="AW266" s="9">
        <v>126</v>
      </c>
      <c r="AX266" s="9">
        <v>124</v>
      </c>
      <c r="AY266" s="9">
        <v>118</v>
      </c>
      <c r="AZ266" s="9">
        <v>110</v>
      </c>
      <c r="BA266" s="9">
        <v>97</v>
      </c>
      <c r="BB266" s="9">
        <v>91</v>
      </c>
      <c r="BC266" s="9">
        <v>88</v>
      </c>
      <c r="BD266" s="9">
        <v>83</v>
      </c>
      <c r="BE266" s="9">
        <v>89</v>
      </c>
      <c r="BF266" s="9">
        <v>65</v>
      </c>
      <c r="BG266" s="9">
        <v>56</v>
      </c>
      <c r="BH266" s="9">
        <v>53</v>
      </c>
      <c r="BI266" s="9">
        <v>51</v>
      </c>
      <c r="BJ266" s="9">
        <v>43</v>
      </c>
      <c r="BK266" s="9">
        <v>45</v>
      </c>
      <c r="BL266" s="9">
        <v>47</v>
      </c>
      <c r="BM266" s="9">
        <v>48</v>
      </c>
      <c r="BN266" s="9">
        <v>49</v>
      </c>
      <c r="BO266" s="9">
        <v>51</v>
      </c>
      <c r="BP266" s="9">
        <v>52</v>
      </c>
      <c r="BQ266" s="9">
        <v>52</v>
      </c>
      <c r="BR266" s="9">
        <v>48</v>
      </c>
      <c r="BS266" s="9">
        <v>52</v>
      </c>
      <c r="BT266" s="9">
        <v>54</v>
      </c>
      <c r="BU266" s="9">
        <v>51</v>
      </c>
      <c r="BV266" s="9">
        <v>44</v>
      </c>
      <c r="BW266" s="9">
        <v>48</v>
      </c>
      <c r="BX266" s="9">
        <v>41</v>
      </c>
      <c r="BY266" s="9">
        <v>39</v>
      </c>
      <c r="BZ266" s="9">
        <v>35</v>
      </c>
      <c r="CA266" s="9">
        <v>32</v>
      </c>
      <c r="CB266" s="9">
        <v>32</v>
      </c>
      <c r="CC266" s="9">
        <v>30</v>
      </c>
      <c r="CD266" s="9">
        <v>25</v>
      </c>
      <c r="CE266" s="9">
        <v>24</v>
      </c>
      <c r="CF266" s="9">
        <v>23</v>
      </c>
      <c r="CG266" s="9">
        <v>23</v>
      </c>
      <c r="CH266" s="9">
        <v>22</v>
      </c>
      <c r="CI266" s="9">
        <v>23</v>
      </c>
      <c r="CJ266" s="9">
        <v>22</v>
      </c>
      <c r="CK266" s="9">
        <v>25</v>
      </c>
      <c r="CL266" s="9">
        <v>20</v>
      </c>
      <c r="CM266" s="9">
        <v>19</v>
      </c>
      <c r="CN266" s="9">
        <v>18</v>
      </c>
      <c r="CO266" s="9">
        <v>17</v>
      </c>
      <c r="CP266" s="9">
        <v>17</v>
      </c>
      <c r="CQ266" s="9">
        <v>11</v>
      </c>
      <c r="CR266" s="9">
        <v>9</v>
      </c>
      <c r="CS266" s="9">
        <v>9</v>
      </c>
      <c r="CT266" s="9">
        <v>8</v>
      </c>
      <c r="CU266" s="9">
        <v>8</v>
      </c>
      <c r="CV266" s="9">
        <v>8</v>
      </c>
      <c r="CW266" s="9">
        <v>7</v>
      </c>
      <c r="CX266" s="9">
        <v>7</v>
      </c>
      <c r="CY266" s="9">
        <v>7</v>
      </c>
      <c r="CZ266" s="9">
        <v>7</v>
      </c>
      <c r="DA266" s="9">
        <v>7</v>
      </c>
      <c r="DB266" s="9">
        <v>8</v>
      </c>
      <c r="DC266" s="9">
        <v>8</v>
      </c>
      <c r="DD266" s="9">
        <v>7</v>
      </c>
      <c r="DE266" s="9">
        <v>7</v>
      </c>
      <c r="DF266" s="9">
        <v>7</v>
      </c>
      <c r="DG266" s="9">
        <v>6</v>
      </c>
      <c r="DH266" s="9">
        <v>7</v>
      </c>
      <c r="DI266" s="9">
        <v>6</v>
      </c>
      <c r="DJ266" s="9">
        <v>6</v>
      </c>
      <c r="DK266" s="9">
        <v>6</v>
      </c>
      <c r="DL266" s="9">
        <v>4</v>
      </c>
      <c r="DM266" s="9">
        <v>5</v>
      </c>
      <c r="DN266" s="9">
        <v>5</v>
      </c>
      <c r="DO266" s="9">
        <v>5</v>
      </c>
      <c r="DP266" s="9">
        <v>6</v>
      </c>
      <c r="DQ266" s="9">
        <v>6</v>
      </c>
      <c r="DR266" s="9">
        <v>6</v>
      </c>
      <c r="DS266" s="9">
        <v>6</v>
      </c>
      <c r="DT266" s="9">
        <v>5</v>
      </c>
      <c r="DU266" s="9">
        <v>5</v>
      </c>
      <c r="DV266" s="9">
        <v>5</v>
      </c>
      <c r="DW266" s="9">
        <v>5</v>
      </c>
      <c r="DX266" s="9">
        <v>4</v>
      </c>
      <c r="DY266" s="9">
        <v>4</v>
      </c>
      <c r="DZ266" s="9">
        <v>3</v>
      </c>
      <c r="EA266" s="9">
        <v>3</v>
      </c>
      <c r="EB266" s="9">
        <v>4</v>
      </c>
      <c r="EC266" s="9">
        <v>3</v>
      </c>
      <c r="ED266" s="9">
        <v>4</v>
      </c>
      <c r="EE266" s="9">
        <v>6</v>
      </c>
      <c r="EF266" s="9">
        <v>5</v>
      </c>
      <c r="EG266" s="9">
        <v>5</v>
      </c>
      <c r="EH266" s="9">
        <v>4</v>
      </c>
      <c r="EI266" s="9">
        <v>3</v>
      </c>
      <c r="EJ266" s="9">
        <v>0</v>
      </c>
      <c r="EK266" s="9">
        <v>3</v>
      </c>
      <c r="EL266" s="9">
        <v>3</v>
      </c>
      <c r="EM266" s="9">
        <v>2</v>
      </c>
      <c r="EN266" s="9">
        <v>2</v>
      </c>
      <c r="EO266" s="9">
        <v>2</v>
      </c>
      <c r="EP266" s="9">
        <v>2</v>
      </c>
      <c r="EQ266" s="9">
        <v>2</v>
      </c>
      <c r="ER266" s="9">
        <v>2</v>
      </c>
      <c r="ES266" s="9">
        <v>2</v>
      </c>
      <c r="ET266" s="9">
        <v>2</v>
      </c>
      <c r="EU266" s="9">
        <v>2</v>
      </c>
      <c r="EV266" s="9">
        <v>2</v>
      </c>
      <c r="EW266" s="9">
        <v>2</v>
      </c>
      <c r="EX266" s="9">
        <v>2</v>
      </c>
      <c r="EY266" s="9">
        <v>2</v>
      </c>
      <c r="EZ266" s="9">
        <v>3</v>
      </c>
      <c r="FA266" s="9">
        <v>3</v>
      </c>
      <c r="FB266" s="9">
        <v>4</v>
      </c>
      <c r="FC266" s="9">
        <v>4</v>
      </c>
      <c r="FD266" s="9">
        <v>4</v>
      </c>
      <c r="FE266" s="9">
        <v>4</v>
      </c>
      <c r="FF266" s="9">
        <v>4</v>
      </c>
      <c r="FG266" s="9">
        <v>3</v>
      </c>
      <c r="FH266" s="9">
        <v>3</v>
      </c>
      <c r="FI266" s="9">
        <v>3</v>
      </c>
      <c r="FJ266" s="9">
        <v>3</v>
      </c>
      <c r="FK266" s="9">
        <v>3</v>
      </c>
      <c r="FL266" s="9">
        <v>3</v>
      </c>
      <c r="FM266" s="10">
        <v>1</v>
      </c>
    </row>
    <row r="267" spans="1:169" x14ac:dyDescent="0.35">
      <c r="A267" s="8" t="s">
        <v>413</v>
      </c>
      <c r="B267" s="9" t="s">
        <v>454</v>
      </c>
      <c r="C267" s="10" t="s">
        <v>455</v>
      </c>
      <c r="D267" s="62">
        <f t="shared" si="101"/>
        <v>148</v>
      </c>
      <c r="E267" s="9">
        <v>0</v>
      </c>
      <c r="F267" s="9">
        <v>18</v>
      </c>
      <c r="G267" s="9">
        <v>20</v>
      </c>
      <c r="H267" s="9">
        <v>24</v>
      </c>
      <c r="I267" s="9">
        <v>32</v>
      </c>
      <c r="J267" s="9">
        <v>34</v>
      </c>
      <c r="K267" s="9">
        <v>31</v>
      </c>
      <c r="L267" s="9">
        <v>33</v>
      </c>
      <c r="M267" s="9">
        <v>38</v>
      </c>
      <c r="N267" s="9">
        <v>63</v>
      </c>
      <c r="O267" s="9">
        <v>66</v>
      </c>
      <c r="P267" s="9">
        <v>86</v>
      </c>
      <c r="Q267" s="9">
        <v>89</v>
      </c>
      <c r="R267" s="9">
        <v>104</v>
      </c>
      <c r="S267" s="9">
        <v>107</v>
      </c>
      <c r="T267" s="9">
        <v>108</v>
      </c>
      <c r="U267" s="9">
        <v>134</v>
      </c>
      <c r="V267" s="9">
        <v>144</v>
      </c>
      <c r="W267" s="9">
        <v>148</v>
      </c>
      <c r="X267" s="9">
        <v>145</v>
      </c>
      <c r="Y267" s="9">
        <v>141</v>
      </c>
      <c r="Z267" s="9">
        <v>136</v>
      </c>
      <c r="AA267" s="9">
        <v>136</v>
      </c>
      <c r="AB267" s="9">
        <v>139</v>
      </c>
      <c r="AC267" s="9">
        <v>144</v>
      </c>
      <c r="AD267" s="9">
        <v>140</v>
      </c>
      <c r="AE267" s="9">
        <v>133</v>
      </c>
      <c r="AF267" s="9">
        <v>120</v>
      </c>
      <c r="AG267" s="9">
        <v>116</v>
      </c>
      <c r="AH267" s="9">
        <v>118</v>
      </c>
      <c r="AI267" s="9">
        <v>118</v>
      </c>
      <c r="AJ267" s="9">
        <v>121</v>
      </c>
      <c r="AK267" s="9">
        <v>119</v>
      </c>
      <c r="AL267" s="9">
        <v>125</v>
      </c>
      <c r="AM267" s="9">
        <v>115</v>
      </c>
      <c r="AN267" s="9">
        <v>110</v>
      </c>
      <c r="AO267" s="9">
        <v>103</v>
      </c>
      <c r="AP267" s="9">
        <v>105</v>
      </c>
      <c r="AQ267" s="9">
        <v>117</v>
      </c>
      <c r="AR267" s="9">
        <v>102</v>
      </c>
      <c r="AS267" s="9">
        <v>93</v>
      </c>
      <c r="AT267" s="9">
        <v>88</v>
      </c>
      <c r="AU267" s="9">
        <v>83</v>
      </c>
      <c r="AV267" s="9">
        <v>75</v>
      </c>
      <c r="AW267" s="9">
        <v>74</v>
      </c>
      <c r="AX267" s="9">
        <v>88</v>
      </c>
      <c r="AY267" s="9">
        <v>70</v>
      </c>
      <c r="AZ267" s="9">
        <v>69</v>
      </c>
      <c r="BA267" s="9">
        <v>59</v>
      </c>
      <c r="BB267" s="9">
        <v>52</v>
      </c>
      <c r="BC267" s="9">
        <v>49</v>
      </c>
      <c r="BD267" s="9">
        <v>49</v>
      </c>
      <c r="BE267" s="9">
        <v>50</v>
      </c>
      <c r="BF267" s="9">
        <v>49</v>
      </c>
      <c r="BG267" s="9">
        <v>50</v>
      </c>
      <c r="BH267" s="9">
        <v>44</v>
      </c>
      <c r="BI267" s="9">
        <v>45</v>
      </c>
      <c r="BJ267" s="9">
        <v>39</v>
      </c>
      <c r="BK267" s="9">
        <v>35</v>
      </c>
      <c r="BL267" s="9">
        <v>32</v>
      </c>
      <c r="BM267" s="9">
        <v>33</v>
      </c>
      <c r="BN267" s="9">
        <v>32</v>
      </c>
      <c r="BO267" s="9">
        <v>37</v>
      </c>
      <c r="BP267" s="9">
        <v>36</v>
      </c>
      <c r="BQ267" s="9">
        <v>39</v>
      </c>
      <c r="BR267" s="9">
        <v>40</v>
      </c>
      <c r="BS267" s="9">
        <v>33</v>
      </c>
      <c r="BT267" s="9">
        <v>34</v>
      </c>
      <c r="BU267" s="9">
        <v>34</v>
      </c>
      <c r="BV267" s="9">
        <v>29</v>
      </c>
      <c r="BW267" s="9">
        <v>26</v>
      </c>
      <c r="BX267" s="9">
        <v>26</v>
      </c>
      <c r="BY267" s="9">
        <v>24</v>
      </c>
      <c r="BZ267" s="9">
        <v>31</v>
      </c>
      <c r="CA267" s="9">
        <v>20</v>
      </c>
      <c r="CB267" s="9">
        <v>17</v>
      </c>
      <c r="CC267" s="9">
        <v>18</v>
      </c>
      <c r="CD267" s="9">
        <v>21</v>
      </c>
      <c r="CE267" s="9">
        <v>21</v>
      </c>
      <c r="CF267" s="9">
        <v>19</v>
      </c>
      <c r="CG267" s="9">
        <v>14</v>
      </c>
      <c r="CH267" s="9">
        <v>11</v>
      </c>
      <c r="CI267" s="9">
        <v>12</v>
      </c>
      <c r="CJ267" s="9">
        <v>17</v>
      </c>
      <c r="CK267" s="9">
        <v>14</v>
      </c>
      <c r="CL267" s="9">
        <v>16</v>
      </c>
      <c r="CM267" s="9">
        <v>12</v>
      </c>
      <c r="CN267" s="9">
        <v>13</v>
      </c>
      <c r="CO267" s="9">
        <v>13</v>
      </c>
      <c r="CP267" s="9">
        <v>14</v>
      </c>
      <c r="CQ267" s="9">
        <v>12</v>
      </c>
      <c r="CR267" s="9">
        <v>9</v>
      </c>
      <c r="CS267" s="9">
        <v>8</v>
      </c>
      <c r="CT267" s="9">
        <v>6</v>
      </c>
      <c r="CU267" s="9">
        <v>7</v>
      </c>
      <c r="CV267" s="9">
        <v>6</v>
      </c>
      <c r="CW267" s="9">
        <v>4</v>
      </c>
      <c r="CX267" s="9">
        <v>5</v>
      </c>
      <c r="CY267" s="9">
        <v>6</v>
      </c>
      <c r="CZ267" s="9">
        <v>5</v>
      </c>
      <c r="DA267" s="9">
        <v>4</v>
      </c>
      <c r="DB267" s="9">
        <v>3</v>
      </c>
      <c r="DC267" s="9">
        <v>3</v>
      </c>
      <c r="DD267" s="9">
        <v>2</v>
      </c>
      <c r="DE267" s="9">
        <v>2</v>
      </c>
      <c r="DF267" s="9">
        <v>2</v>
      </c>
      <c r="DG267" s="9">
        <v>2</v>
      </c>
      <c r="DH267" s="9">
        <v>2</v>
      </c>
      <c r="DI267" s="9">
        <v>2</v>
      </c>
      <c r="DJ267" s="9">
        <v>0</v>
      </c>
      <c r="DK267" s="9">
        <v>0</v>
      </c>
      <c r="DL267" s="9">
        <v>0</v>
      </c>
      <c r="DM267" s="9">
        <v>0</v>
      </c>
      <c r="DN267" s="9">
        <v>0</v>
      </c>
      <c r="DO267" s="9">
        <v>0</v>
      </c>
      <c r="DP267" s="9">
        <v>0</v>
      </c>
      <c r="DQ267" s="9">
        <v>0</v>
      </c>
      <c r="DR267" s="9">
        <v>0</v>
      </c>
      <c r="DS267" s="9">
        <v>0</v>
      </c>
      <c r="DT267" s="9">
        <v>0</v>
      </c>
      <c r="DU267" s="9">
        <v>1</v>
      </c>
      <c r="DV267" s="9">
        <v>0</v>
      </c>
      <c r="DW267" s="9">
        <v>0</v>
      </c>
      <c r="DX267" s="9">
        <v>0</v>
      </c>
      <c r="DY267" s="9">
        <v>0</v>
      </c>
      <c r="DZ267" s="9">
        <v>0</v>
      </c>
      <c r="EA267" s="9">
        <v>0</v>
      </c>
      <c r="EB267" s="9">
        <v>0</v>
      </c>
      <c r="EC267" s="9">
        <v>0</v>
      </c>
      <c r="ED267" s="9">
        <v>0</v>
      </c>
      <c r="EE267" s="9">
        <v>0</v>
      </c>
      <c r="EF267" s="9">
        <v>0</v>
      </c>
      <c r="EG267" s="9">
        <v>0</v>
      </c>
      <c r="EH267" s="9">
        <v>0</v>
      </c>
      <c r="EI267" s="9">
        <v>0</v>
      </c>
      <c r="EJ267" s="9">
        <v>0</v>
      </c>
      <c r="EK267" s="9">
        <v>2</v>
      </c>
      <c r="EL267" s="9">
        <v>2</v>
      </c>
      <c r="EM267" s="9">
        <v>0</v>
      </c>
      <c r="EN267" s="9">
        <v>0</v>
      </c>
      <c r="EO267" s="9">
        <v>1</v>
      </c>
      <c r="EP267" s="9">
        <v>1</v>
      </c>
      <c r="EQ267" s="9">
        <v>2</v>
      </c>
      <c r="ER267" s="9">
        <v>0</v>
      </c>
      <c r="ES267" s="9">
        <v>0</v>
      </c>
      <c r="ET267" s="9">
        <v>0</v>
      </c>
      <c r="EU267" s="9">
        <v>0</v>
      </c>
      <c r="EV267" s="9">
        <v>0</v>
      </c>
      <c r="EW267" s="9">
        <v>0</v>
      </c>
      <c r="EX267" s="9">
        <v>0</v>
      </c>
      <c r="EY267" s="9">
        <v>0</v>
      </c>
      <c r="EZ267" s="9">
        <v>0</v>
      </c>
      <c r="FA267" s="9">
        <v>0</v>
      </c>
      <c r="FB267" s="9">
        <v>0</v>
      </c>
      <c r="FC267" s="9">
        <v>0</v>
      </c>
      <c r="FD267" s="9">
        <v>1</v>
      </c>
      <c r="FE267" s="9">
        <v>0</v>
      </c>
      <c r="FF267" s="9">
        <v>0</v>
      </c>
      <c r="FG267" s="9">
        <v>0</v>
      </c>
      <c r="FH267" s="9">
        <v>0</v>
      </c>
      <c r="FI267" s="9">
        <v>0</v>
      </c>
      <c r="FJ267" s="9">
        <v>0</v>
      </c>
      <c r="FK267" s="9">
        <v>0</v>
      </c>
      <c r="FL267" s="9">
        <v>0</v>
      </c>
      <c r="FM267" s="10">
        <v>0</v>
      </c>
    </row>
    <row r="268" spans="1:169" x14ac:dyDescent="0.35">
      <c r="A268" s="8" t="s">
        <v>413</v>
      </c>
      <c r="B268" s="9" t="s">
        <v>456</v>
      </c>
      <c r="C268" s="10" t="s">
        <v>457</v>
      </c>
      <c r="D268" s="62">
        <f t="shared" si="101"/>
        <v>111</v>
      </c>
      <c r="E268" s="9">
        <v>1</v>
      </c>
      <c r="F268" s="9">
        <v>1</v>
      </c>
      <c r="G268" s="9">
        <v>1</v>
      </c>
      <c r="H268" s="9">
        <v>5</v>
      </c>
      <c r="I268" s="9">
        <v>5</v>
      </c>
      <c r="J268" s="9">
        <v>6</v>
      </c>
      <c r="K268" s="9">
        <v>11</v>
      </c>
      <c r="L268" s="9">
        <v>11</v>
      </c>
      <c r="M268" s="9">
        <v>13</v>
      </c>
      <c r="N268" s="9">
        <v>22</v>
      </c>
      <c r="O268" s="9">
        <v>20</v>
      </c>
      <c r="P268" s="9">
        <v>23</v>
      </c>
      <c r="Q268" s="9">
        <v>40</v>
      </c>
      <c r="R268" s="9">
        <v>45</v>
      </c>
      <c r="S268" s="9">
        <v>53</v>
      </c>
      <c r="T268" s="9">
        <v>59</v>
      </c>
      <c r="U268" s="9">
        <v>52</v>
      </c>
      <c r="V268" s="9">
        <v>74</v>
      </c>
      <c r="W268" s="9">
        <v>78</v>
      </c>
      <c r="X268" s="9">
        <v>86</v>
      </c>
      <c r="Y268" s="9">
        <v>87</v>
      </c>
      <c r="Z268" s="9">
        <v>89</v>
      </c>
      <c r="AA268" s="9">
        <v>88</v>
      </c>
      <c r="AB268" s="9">
        <v>79</v>
      </c>
      <c r="AC268" s="9">
        <v>84</v>
      </c>
      <c r="AD268" s="9">
        <v>88</v>
      </c>
      <c r="AE268" s="9">
        <v>97</v>
      </c>
      <c r="AF268" s="9">
        <v>94</v>
      </c>
      <c r="AG268" s="9">
        <v>102</v>
      </c>
      <c r="AH268" s="9">
        <v>103</v>
      </c>
      <c r="AI268" s="9">
        <v>98</v>
      </c>
      <c r="AJ268" s="9">
        <v>111</v>
      </c>
      <c r="AK268" s="9">
        <v>110</v>
      </c>
      <c r="AL268" s="9">
        <v>111</v>
      </c>
      <c r="AM268" s="9">
        <v>107</v>
      </c>
      <c r="AN268" s="9">
        <v>105</v>
      </c>
      <c r="AO268" s="9">
        <v>92</v>
      </c>
      <c r="AP268" s="9">
        <v>88</v>
      </c>
      <c r="AQ268" s="9">
        <v>79</v>
      </c>
      <c r="AR268" s="9">
        <v>87</v>
      </c>
      <c r="AS268" s="9">
        <v>78</v>
      </c>
      <c r="AT268" s="9">
        <v>65</v>
      </c>
      <c r="AU268" s="9">
        <v>61</v>
      </c>
      <c r="AV268" s="9">
        <v>52</v>
      </c>
      <c r="AW268" s="9">
        <v>60</v>
      </c>
      <c r="AX268" s="9">
        <v>59</v>
      </c>
      <c r="AY268" s="9">
        <v>54</v>
      </c>
      <c r="AZ268" s="9">
        <v>45</v>
      </c>
      <c r="BA268" s="9">
        <v>43</v>
      </c>
      <c r="BB268" s="9">
        <v>38</v>
      </c>
      <c r="BC268" s="9">
        <v>32</v>
      </c>
      <c r="BD268" s="9">
        <v>29</v>
      </c>
      <c r="BE268" s="9">
        <v>29</v>
      </c>
      <c r="BF268" s="9">
        <v>37</v>
      </c>
      <c r="BG268" s="9">
        <v>34</v>
      </c>
      <c r="BH268" s="9">
        <v>43</v>
      </c>
      <c r="BI268" s="9">
        <v>35</v>
      </c>
      <c r="BJ268" s="9">
        <v>38</v>
      </c>
      <c r="BK268" s="9">
        <v>40</v>
      </c>
      <c r="BL268" s="9">
        <v>39</v>
      </c>
      <c r="BM268" s="9">
        <v>41</v>
      </c>
      <c r="BN268" s="9">
        <v>23</v>
      </c>
      <c r="BO268" s="9">
        <v>24</v>
      </c>
      <c r="BP268" s="9">
        <v>22</v>
      </c>
      <c r="BQ268" s="9">
        <v>4</v>
      </c>
      <c r="BR268" s="9">
        <v>30</v>
      </c>
      <c r="BS268" s="9">
        <v>23</v>
      </c>
      <c r="BT268" s="9">
        <v>29</v>
      </c>
      <c r="BU268" s="9">
        <v>26</v>
      </c>
      <c r="BV268" s="9">
        <v>21</v>
      </c>
      <c r="BW268" s="9">
        <v>25</v>
      </c>
      <c r="BX268" s="9">
        <v>25</v>
      </c>
      <c r="BY268" s="9">
        <v>28</v>
      </c>
      <c r="BZ268" s="9">
        <v>28</v>
      </c>
      <c r="CA268" s="9">
        <v>32</v>
      </c>
      <c r="CB268" s="9">
        <v>34</v>
      </c>
      <c r="CC268" s="9">
        <v>38</v>
      </c>
      <c r="CD268" s="9">
        <v>39</v>
      </c>
      <c r="CE268" s="9">
        <v>35</v>
      </c>
      <c r="CF268" s="9">
        <v>37</v>
      </c>
      <c r="CG268" s="9">
        <v>38</v>
      </c>
      <c r="CH268" s="9">
        <v>37</v>
      </c>
      <c r="CI268" s="9">
        <v>42</v>
      </c>
      <c r="CJ268" s="9">
        <v>38</v>
      </c>
      <c r="CK268" s="9">
        <v>34</v>
      </c>
      <c r="CL268" s="9">
        <v>35</v>
      </c>
      <c r="CM268" s="9">
        <v>34</v>
      </c>
      <c r="CN268" s="9">
        <v>32</v>
      </c>
      <c r="CO268" s="9">
        <v>34</v>
      </c>
      <c r="CP268" s="9">
        <v>37</v>
      </c>
      <c r="CQ268" s="9">
        <v>35</v>
      </c>
      <c r="CR268" s="9">
        <v>34</v>
      </c>
      <c r="CS268" s="9">
        <v>35</v>
      </c>
      <c r="CT268" s="9">
        <v>35</v>
      </c>
      <c r="CU268" s="9">
        <v>37</v>
      </c>
      <c r="CV268" s="9">
        <v>34</v>
      </c>
      <c r="CW268" s="9">
        <v>26</v>
      </c>
      <c r="CX268" s="9">
        <v>25</v>
      </c>
      <c r="CY268" s="9">
        <v>24</v>
      </c>
      <c r="CZ268" s="9">
        <v>20</v>
      </c>
      <c r="DA268" s="9">
        <v>20</v>
      </c>
      <c r="DB268" s="9">
        <v>21</v>
      </c>
      <c r="DC268" s="9">
        <v>21</v>
      </c>
      <c r="DD268" s="9">
        <v>21</v>
      </c>
      <c r="DE268" s="9">
        <v>17</v>
      </c>
      <c r="DF268" s="9">
        <v>19</v>
      </c>
      <c r="DG268" s="9">
        <v>18</v>
      </c>
      <c r="DH268" s="9">
        <v>17</v>
      </c>
      <c r="DI268" s="9">
        <v>15</v>
      </c>
      <c r="DJ268" s="9">
        <v>12</v>
      </c>
      <c r="DK268" s="9">
        <v>17</v>
      </c>
      <c r="DL268" s="9">
        <v>24</v>
      </c>
      <c r="DM268" s="9">
        <v>25</v>
      </c>
      <c r="DN268" s="9">
        <v>20</v>
      </c>
      <c r="DO268" s="9">
        <v>20</v>
      </c>
      <c r="DP268" s="9">
        <v>16</v>
      </c>
      <c r="DQ268" s="9">
        <v>12</v>
      </c>
      <c r="DR268" s="9">
        <v>11</v>
      </c>
      <c r="DS268" s="9">
        <v>14</v>
      </c>
      <c r="DT268" s="9">
        <v>20</v>
      </c>
      <c r="DU268" s="9">
        <v>20</v>
      </c>
      <c r="DV268" s="9">
        <v>21</v>
      </c>
      <c r="DW268" s="9">
        <v>22</v>
      </c>
      <c r="DX268" s="9">
        <v>22</v>
      </c>
      <c r="DY268" s="9">
        <v>23</v>
      </c>
      <c r="DZ268" s="9">
        <v>22</v>
      </c>
      <c r="EA268" s="9">
        <v>23</v>
      </c>
      <c r="EB268" s="9">
        <v>22</v>
      </c>
      <c r="EC268" s="9">
        <v>18</v>
      </c>
      <c r="ED268" s="9">
        <v>20</v>
      </c>
      <c r="EE268" s="9">
        <v>21</v>
      </c>
      <c r="EF268" s="9">
        <v>21</v>
      </c>
      <c r="EG268" s="9">
        <v>18</v>
      </c>
      <c r="EH268" s="9">
        <v>19</v>
      </c>
      <c r="EI268" s="9">
        <v>18</v>
      </c>
      <c r="EJ268" s="9">
        <v>19</v>
      </c>
      <c r="EK268" s="9">
        <v>17</v>
      </c>
      <c r="EL268" s="9">
        <v>16</v>
      </c>
      <c r="EM268" s="9">
        <v>16</v>
      </c>
      <c r="EN268" s="9">
        <v>15</v>
      </c>
      <c r="EO268" s="9">
        <v>0</v>
      </c>
      <c r="EP268" s="9">
        <v>15</v>
      </c>
      <c r="EQ268" s="9">
        <v>14</v>
      </c>
      <c r="ER268" s="9">
        <v>12</v>
      </c>
      <c r="ES268" s="9">
        <v>6</v>
      </c>
      <c r="ET268" s="9">
        <v>5</v>
      </c>
      <c r="EU268" s="9">
        <v>8</v>
      </c>
      <c r="EV268" s="9">
        <v>10</v>
      </c>
      <c r="EW268" s="9">
        <v>9</v>
      </c>
      <c r="EX268" s="9">
        <v>7</v>
      </c>
      <c r="EY268" s="9">
        <v>9</v>
      </c>
      <c r="EZ268" s="9">
        <v>9</v>
      </c>
      <c r="FA268" s="9">
        <v>7</v>
      </c>
      <c r="FB268" s="9">
        <v>7</v>
      </c>
      <c r="FC268" s="9">
        <v>5</v>
      </c>
      <c r="FD268" s="9">
        <v>4</v>
      </c>
      <c r="FE268" s="9">
        <v>3</v>
      </c>
      <c r="FF268" s="9">
        <v>4</v>
      </c>
      <c r="FG268" s="9">
        <v>3</v>
      </c>
      <c r="FH268" s="9">
        <v>2</v>
      </c>
      <c r="FI268" s="9">
        <v>2</v>
      </c>
      <c r="FJ268" s="9">
        <v>1</v>
      </c>
      <c r="FK268" s="9">
        <v>2</v>
      </c>
      <c r="FL268" s="9">
        <v>1</v>
      </c>
      <c r="FM268" s="10">
        <v>2</v>
      </c>
    </row>
    <row r="269" spans="1:169" x14ac:dyDescent="0.35">
      <c r="A269" s="8" t="s">
        <v>413</v>
      </c>
      <c r="B269" s="9" t="s">
        <v>458</v>
      </c>
      <c r="C269" s="10" t="s">
        <v>459</v>
      </c>
      <c r="D269" s="62">
        <f t="shared" si="101"/>
        <v>60</v>
      </c>
      <c r="E269" s="9">
        <v>11</v>
      </c>
      <c r="F269" s="9">
        <v>13</v>
      </c>
      <c r="G269" s="9">
        <v>18</v>
      </c>
      <c r="H269" s="9">
        <v>17</v>
      </c>
      <c r="I269" s="9">
        <v>17</v>
      </c>
      <c r="J269" s="9">
        <v>18</v>
      </c>
      <c r="K269" s="9">
        <v>23</v>
      </c>
      <c r="L269" s="9">
        <v>20</v>
      </c>
      <c r="M269" s="9">
        <v>16</v>
      </c>
      <c r="N269" s="9">
        <v>20</v>
      </c>
      <c r="O269" s="9">
        <v>22</v>
      </c>
      <c r="P269" s="9">
        <v>25</v>
      </c>
      <c r="Q269" s="9">
        <v>27</v>
      </c>
      <c r="R269" s="9">
        <v>34</v>
      </c>
      <c r="S269" s="9">
        <v>42</v>
      </c>
      <c r="T269" s="9">
        <v>40</v>
      </c>
      <c r="U269" s="9">
        <v>48</v>
      </c>
      <c r="V269" s="9">
        <v>52</v>
      </c>
      <c r="W269" s="9">
        <v>57</v>
      </c>
      <c r="X269" s="9">
        <v>56</v>
      </c>
      <c r="Y269" s="9">
        <v>60</v>
      </c>
      <c r="Z269" s="9">
        <v>56</v>
      </c>
      <c r="AA269" s="9">
        <v>55</v>
      </c>
      <c r="AB269" s="9">
        <v>55</v>
      </c>
      <c r="AC269" s="9">
        <v>54</v>
      </c>
      <c r="AD269" s="9">
        <v>56</v>
      </c>
      <c r="AE269" s="9">
        <v>46</v>
      </c>
      <c r="AF269" s="9">
        <v>45</v>
      </c>
      <c r="AG269" s="9">
        <v>39</v>
      </c>
      <c r="AH269" s="9">
        <v>35</v>
      </c>
      <c r="AI269" s="9">
        <v>35</v>
      </c>
      <c r="AJ269" s="9">
        <v>33</v>
      </c>
      <c r="AK269" s="9">
        <v>31</v>
      </c>
      <c r="AL269" s="9">
        <v>26</v>
      </c>
      <c r="AM269" s="9">
        <v>26</v>
      </c>
      <c r="AN269" s="9">
        <v>27</v>
      </c>
      <c r="AO269" s="9">
        <v>18</v>
      </c>
      <c r="AP269" s="9">
        <v>21</v>
      </c>
      <c r="AQ269" s="9">
        <v>28</v>
      </c>
      <c r="AR269" s="9">
        <v>26</v>
      </c>
      <c r="AS269" s="9">
        <v>22</v>
      </c>
      <c r="AT269" s="9">
        <v>22</v>
      </c>
      <c r="AU269" s="9">
        <v>20</v>
      </c>
      <c r="AV269" s="9">
        <v>20</v>
      </c>
      <c r="AW269" s="9">
        <v>21</v>
      </c>
      <c r="AX269" s="9">
        <v>23</v>
      </c>
      <c r="AY269" s="9">
        <v>23</v>
      </c>
      <c r="AZ269" s="9">
        <v>21</v>
      </c>
      <c r="BA269" s="9">
        <v>21</v>
      </c>
      <c r="BB269" s="9">
        <v>20</v>
      </c>
      <c r="BC269" s="9">
        <v>20</v>
      </c>
      <c r="BD269" s="9">
        <v>17</v>
      </c>
      <c r="BE269" s="9">
        <v>18</v>
      </c>
      <c r="BF269" s="9">
        <v>17</v>
      </c>
      <c r="BG269" s="9">
        <v>17</v>
      </c>
      <c r="BH269" s="9">
        <v>13</v>
      </c>
      <c r="BI269" s="9">
        <v>10</v>
      </c>
      <c r="BJ269" s="9">
        <v>8</v>
      </c>
      <c r="BK269" s="9">
        <v>11</v>
      </c>
      <c r="BL269" s="9">
        <v>10</v>
      </c>
      <c r="BM269" s="9">
        <v>10</v>
      </c>
      <c r="BN269" s="9">
        <v>11</v>
      </c>
      <c r="BO269" s="9">
        <v>10</v>
      </c>
      <c r="BP269" s="9">
        <v>9</v>
      </c>
      <c r="BQ269" s="9">
        <v>10</v>
      </c>
      <c r="BR269" s="9">
        <v>11</v>
      </c>
      <c r="BS269" s="9">
        <v>11</v>
      </c>
      <c r="BT269" s="9">
        <v>10</v>
      </c>
      <c r="BU269" s="9">
        <v>9</v>
      </c>
      <c r="BV269" s="9">
        <v>8</v>
      </c>
      <c r="BW269" s="9">
        <v>7</v>
      </c>
      <c r="BX269" s="9">
        <v>6</v>
      </c>
      <c r="BY269" s="9">
        <v>7</v>
      </c>
      <c r="BZ269" s="9">
        <v>7</v>
      </c>
      <c r="CA269" s="9">
        <v>6</v>
      </c>
      <c r="CB269" s="9">
        <v>5</v>
      </c>
      <c r="CC269" s="9">
        <v>5</v>
      </c>
      <c r="CD269" s="9">
        <v>3</v>
      </c>
      <c r="CE269" s="9">
        <v>2</v>
      </c>
      <c r="CF269" s="9">
        <v>3</v>
      </c>
      <c r="CG269" s="9">
        <v>3</v>
      </c>
      <c r="CH269" s="9">
        <v>2</v>
      </c>
      <c r="CI269" s="9">
        <v>1</v>
      </c>
      <c r="CJ269" s="9">
        <v>2</v>
      </c>
      <c r="CK269" s="9">
        <v>2</v>
      </c>
      <c r="CL269" s="9">
        <v>6</v>
      </c>
      <c r="CM269" s="9">
        <v>6</v>
      </c>
      <c r="CN269" s="9">
        <v>6</v>
      </c>
      <c r="CO269" s="9">
        <v>6</v>
      </c>
      <c r="CP269" s="9">
        <v>6</v>
      </c>
      <c r="CQ269" s="9">
        <v>6</v>
      </c>
      <c r="CR269" s="9">
        <v>5</v>
      </c>
      <c r="CS269" s="9">
        <v>5</v>
      </c>
      <c r="CT269" s="9">
        <v>5</v>
      </c>
      <c r="CU269" s="9">
        <v>5</v>
      </c>
      <c r="CV269" s="9">
        <v>4</v>
      </c>
      <c r="CW269" s="9">
        <v>4</v>
      </c>
      <c r="CX269" s="9">
        <v>4</v>
      </c>
      <c r="CY269" s="9">
        <v>6</v>
      </c>
      <c r="CZ269" s="9">
        <v>6</v>
      </c>
      <c r="DA269" s="9">
        <v>6</v>
      </c>
      <c r="DB269" s="9">
        <v>5</v>
      </c>
      <c r="DC269" s="9">
        <v>4</v>
      </c>
      <c r="DD269" s="9">
        <v>3</v>
      </c>
      <c r="DE269" s="9">
        <v>3</v>
      </c>
      <c r="DF269" s="9">
        <v>1</v>
      </c>
      <c r="DG269" s="9">
        <v>1</v>
      </c>
      <c r="DH269" s="9">
        <v>1</v>
      </c>
      <c r="DI269" s="9">
        <v>1</v>
      </c>
      <c r="DJ269" s="9">
        <v>0</v>
      </c>
      <c r="DK269" s="9">
        <v>0</v>
      </c>
      <c r="DL269" s="9">
        <v>1</v>
      </c>
      <c r="DM269" s="9">
        <v>1</v>
      </c>
      <c r="DN269" s="9">
        <v>1</v>
      </c>
      <c r="DO269" s="9">
        <v>1</v>
      </c>
      <c r="DP269" s="9">
        <v>1</v>
      </c>
      <c r="DQ269" s="9">
        <v>1</v>
      </c>
      <c r="DR269" s="9">
        <v>1</v>
      </c>
      <c r="DS269" s="9">
        <v>1</v>
      </c>
      <c r="DT269" s="9">
        <v>1</v>
      </c>
      <c r="DU269" s="9">
        <v>2</v>
      </c>
      <c r="DV269" s="9">
        <v>2</v>
      </c>
      <c r="DW269" s="9">
        <v>2</v>
      </c>
      <c r="DX269" s="9">
        <v>2</v>
      </c>
      <c r="DY269" s="9">
        <v>2</v>
      </c>
      <c r="DZ269" s="9">
        <v>2</v>
      </c>
      <c r="EA269" s="9">
        <v>2</v>
      </c>
      <c r="EB269" s="9">
        <v>2</v>
      </c>
      <c r="EC269" s="9">
        <v>2</v>
      </c>
      <c r="ED269" s="9">
        <v>2</v>
      </c>
      <c r="EE269" s="9">
        <v>1</v>
      </c>
      <c r="EF269" s="9">
        <v>1</v>
      </c>
      <c r="EG269" s="9">
        <v>1</v>
      </c>
      <c r="EH269" s="9">
        <v>1</v>
      </c>
      <c r="EI269" s="9">
        <v>1</v>
      </c>
      <c r="EJ269" s="9">
        <v>1</v>
      </c>
      <c r="EK269" s="9">
        <v>1</v>
      </c>
      <c r="EL269" s="9">
        <v>0</v>
      </c>
      <c r="EM269" s="9">
        <v>0</v>
      </c>
      <c r="EN269" s="9">
        <v>0</v>
      </c>
      <c r="EO269" s="9">
        <v>0</v>
      </c>
      <c r="EP269" s="9">
        <v>0</v>
      </c>
      <c r="EQ269" s="9">
        <v>0</v>
      </c>
      <c r="ER269" s="9">
        <v>0</v>
      </c>
      <c r="ES269" s="9">
        <v>0</v>
      </c>
      <c r="ET269" s="9">
        <v>0</v>
      </c>
      <c r="EU269" s="9">
        <v>0</v>
      </c>
      <c r="EV269" s="9">
        <v>0</v>
      </c>
      <c r="EW269" s="9">
        <v>0</v>
      </c>
      <c r="EX269" s="9">
        <v>0</v>
      </c>
      <c r="EY269" s="9">
        <v>0</v>
      </c>
      <c r="EZ269" s="9">
        <v>0</v>
      </c>
      <c r="FA269" s="9">
        <v>0</v>
      </c>
      <c r="FB269" s="9">
        <v>0</v>
      </c>
      <c r="FC269" s="9">
        <v>0</v>
      </c>
      <c r="FD269" s="9">
        <v>0</v>
      </c>
      <c r="FE269" s="9">
        <v>0</v>
      </c>
      <c r="FF269" s="9">
        <v>0</v>
      </c>
      <c r="FG269" s="9">
        <v>0</v>
      </c>
      <c r="FH269" s="9">
        <v>0</v>
      </c>
      <c r="FI269" s="9">
        <v>0</v>
      </c>
      <c r="FJ269" s="9">
        <v>0</v>
      </c>
      <c r="FK269" s="9">
        <v>0</v>
      </c>
      <c r="FL269" s="9">
        <v>0</v>
      </c>
      <c r="FM269" s="10">
        <v>0</v>
      </c>
    </row>
    <row r="270" spans="1:169" x14ac:dyDescent="0.35">
      <c r="A270" s="8" t="s">
        <v>413</v>
      </c>
      <c r="B270" s="9" t="s">
        <v>460</v>
      </c>
      <c r="C270" s="10" t="s">
        <v>461</v>
      </c>
      <c r="D270" s="62">
        <f t="shared" si="101"/>
        <v>136</v>
      </c>
      <c r="E270" s="9">
        <v>8</v>
      </c>
      <c r="F270" s="9">
        <v>7</v>
      </c>
      <c r="G270" s="9">
        <v>12</v>
      </c>
      <c r="H270" s="9">
        <v>15</v>
      </c>
      <c r="I270" s="9">
        <v>21</v>
      </c>
      <c r="J270" s="9">
        <v>22</v>
      </c>
      <c r="K270" s="9">
        <v>30</v>
      </c>
      <c r="L270" s="9">
        <v>25</v>
      </c>
      <c r="M270" s="9">
        <v>27</v>
      </c>
      <c r="N270" s="9">
        <v>60</v>
      </c>
      <c r="O270" s="9">
        <v>66</v>
      </c>
      <c r="P270" s="9">
        <v>78</v>
      </c>
      <c r="Q270" s="9">
        <v>72</v>
      </c>
      <c r="R270" s="9">
        <v>72</v>
      </c>
      <c r="S270" s="9">
        <v>0</v>
      </c>
      <c r="T270" s="9">
        <v>94</v>
      </c>
      <c r="U270" s="9">
        <v>102</v>
      </c>
      <c r="V270" s="9">
        <v>102</v>
      </c>
      <c r="W270" s="9">
        <v>97</v>
      </c>
      <c r="X270" s="9">
        <v>109</v>
      </c>
      <c r="Y270" s="9">
        <v>121</v>
      </c>
      <c r="Z270" s="9">
        <v>136</v>
      </c>
      <c r="AA270" s="9">
        <v>116</v>
      </c>
      <c r="AB270" s="9">
        <v>106</v>
      </c>
      <c r="AC270" s="9">
        <v>114</v>
      </c>
      <c r="AD270" s="9">
        <v>98</v>
      </c>
      <c r="AE270" s="9">
        <v>93</v>
      </c>
      <c r="AF270" s="9">
        <v>90</v>
      </c>
      <c r="AG270" s="9">
        <v>96</v>
      </c>
      <c r="AH270" s="9">
        <v>94</v>
      </c>
      <c r="AI270" s="9">
        <v>92</v>
      </c>
      <c r="AJ270" s="9">
        <v>95</v>
      </c>
      <c r="AK270" s="9">
        <v>93</v>
      </c>
      <c r="AL270" s="9">
        <v>98</v>
      </c>
      <c r="AM270" s="9">
        <v>86</v>
      </c>
      <c r="AN270" s="9">
        <v>79</v>
      </c>
      <c r="AO270" s="9">
        <v>80</v>
      </c>
      <c r="AP270" s="9">
        <v>0</v>
      </c>
      <c r="AQ270" s="9">
        <v>72</v>
      </c>
      <c r="AR270" s="9">
        <v>68</v>
      </c>
      <c r="AS270" s="9">
        <v>60</v>
      </c>
      <c r="AT270" s="9">
        <v>60</v>
      </c>
      <c r="AU270" s="9">
        <v>58</v>
      </c>
      <c r="AV270" s="9">
        <v>54</v>
      </c>
      <c r="AW270" s="9">
        <v>56</v>
      </c>
      <c r="AX270" s="9">
        <v>51</v>
      </c>
      <c r="AY270" s="9">
        <v>59</v>
      </c>
      <c r="AZ270" s="9">
        <v>56</v>
      </c>
      <c r="BA270" s="9">
        <v>54</v>
      </c>
      <c r="BB270" s="9">
        <v>48</v>
      </c>
      <c r="BC270" s="9">
        <v>49</v>
      </c>
      <c r="BD270" s="9">
        <v>45</v>
      </c>
      <c r="BE270" s="9">
        <v>44</v>
      </c>
      <c r="BF270" s="9">
        <v>50</v>
      </c>
      <c r="BG270" s="9">
        <v>54</v>
      </c>
      <c r="BH270" s="9">
        <v>52</v>
      </c>
      <c r="BI270" s="9">
        <v>46</v>
      </c>
      <c r="BJ270" s="9">
        <v>44</v>
      </c>
      <c r="BK270" s="9">
        <v>32</v>
      </c>
      <c r="BL270" s="9">
        <v>32</v>
      </c>
      <c r="BM270" s="9">
        <v>30</v>
      </c>
      <c r="BN270" s="9">
        <v>29</v>
      </c>
      <c r="BO270" s="9">
        <v>30</v>
      </c>
      <c r="BP270" s="9">
        <v>34</v>
      </c>
      <c r="BQ270" s="9">
        <v>30</v>
      </c>
      <c r="BR270" s="9">
        <v>31</v>
      </c>
      <c r="BS270" s="9">
        <v>30</v>
      </c>
      <c r="BT270" s="9">
        <v>27</v>
      </c>
      <c r="BU270" s="9">
        <v>33</v>
      </c>
      <c r="BV270" s="9">
        <v>32</v>
      </c>
      <c r="BW270" s="9">
        <v>31</v>
      </c>
      <c r="BX270" s="9">
        <v>29</v>
      </c>
      <c r="BY270" s="9">
        <v>33</v>
      </c>
      <c r="BZ270" s="9">
        <v>36</v>
      </c>
      <c r="CA270" s="9">
        <v>38</v>
      </c>
      <c r="CB270" s="9">
        <v>38</v>
      </c>
      <c r="CC270" s="9">
        <v>30</v>
      </c>
      <c r="CD270" s="9">
        <v>20</v>
      </c>
      <c r="CE270" s="9">
        <v>18</v>
      </c>
      <c r="CF270" s="9">
        <v>15</v>
      </c>
      <c r="CG270" s="9">
        <v>17</v>
      </c>
      <c r="CH270" s="9">
        <v>16</v>
      </c>
      <c r="CI270" s="9">
        <v>17</v>
      </c>
      <c r="CJ270" s="9">
        <v>15</v>
      </c>
      <c r="CK270" s="9">
        <v>13</v>
      </c>
      <c r="CL270" s="9">
        <v>15</v>
      </c>
      <c r="CM270" s="9">
        <v>14</v>
      </c>
      <c r="CN270" s="9">
        <v>13</v>
      </c>
      <c r="CO270" s="9">
        <v>13</v>
      </c>
      <c r="CP270" s="9">
        <v>14</v>
      </c>
      <c r="CQ270" s="9">
        <v>12</v>
      </c>
      <c r="CR270" s="9">
        <v>10</v>
      </c>
      <c r="CS270" s="9">
        <v>10</v>
      </c>
      <c r="CT270" s="9">
        <v>11</v>
      </c>
      <c r="CU270" s="9">
        <v>12</v>
      </c>
      <c r="CV270" s="9">
        <v>11</v>
      </c>
      <c r="CW270" s="9">
        <v>10</v>
      </c>
      <c r="CX270" s="9">
        <v>11</v>
      </c>
      <c r="CY270" s="9">
        <v>9</v>
      </c>
      <c r="CZ270" s="9">
        <v>10</v>
      </c>
      <c r="DA270" s="9">
        <v>11</v>
      </c>
      <c r="DB270" s="9">
        <v>12</v>
      </c>
      <c r="DC270" s="9">
        <v>12</v>
      </c>
      <c r="DD270" s="9">
        <v>10</v>
      </c>
      <c r="DE270" s="9">
        <v>10</v>
      </c>
      <c r="DF270" s="9">
        <v>8</v>
      </c>
      <c r="DG270" s="9">
        <v>12</v>
      </c>
      <c r="DH270" s="9">
        <v>11</v>
      </c>
      <c r="DI270" s="9">
        <v>11</v>
      </c>
      <c r="DJ270" s="9">
        <v>13</v>
      </c>
      <c r="DK270" s="9">
        <v>10</v>
      </c>
      <c r="DL270" s="9">
        <v>10</v>
      </c>
      <c r="DM270" s="9">
        <v>11</v>
      </c>
      <c r="DN270" s="9">
        <v>10</v>
      </c>
      <c r="DO270" s="9">
        <v>8</v>
      </c>
      <c r="DP270" s="9">
        <v>7</v>
      </c>
      <c r="DQ270" s="9">
        <v>10</v>
      </c>
      <c r="DR270" s="9">
        <v>13</v>
      </c>
      <c r="DS270" s="9">
        <v>12</v>
      </c>
      <c r="DT270" s="9">
        <v>13</v>
      </c>
      <c r="DU270" s="9">
        <v>10</v>
      </c>
      <c r="DV270" s="9">
        <v>9</v>
      </c>
      <c r="DW270" s="9">
        <v>9</v>
      </c>
      <c r="DX270" s="9">
        <v>8</v>
      </c>
      <c r="DY270" s="9">
        <v>9</v>
      </c>
      <c r="DZ270" s="9">
        <v>8</v>
      </c>
      <c r="EA270" s="9">
        <v>8</v>
      </c>
      <c r="EB270" s="9">
        <v>8</v>
      </c>
      <c r="EC270" s="9">
        <v>7</v>
      </c>
      <c r="ED270" s="9">
        <v>7</v>
      </c>
      <c r="EE270" s="9">
        <v>7</v>
      </c>
      <c r="EF270" s="9">
        <v>8</v>
      </c>
      <c r="EG270" s="9">
        <v>8</v>
      </c>
      <c r="EH270" s="9">
        <v>7</v>
      </c>
      <c r="EI270" s="9">
        <v>7</v>
      </c>
      <c r="EJ270" s="9">
        <v>6</v>
      </c>
      <c r="EK270" s="9">
        <v>7</v>
      </c>
      <c r="EL270" s="9">
        <v>5</v>
      </c>
      <c r="EM270" s="9">
        <v>7</v>
      </c>
      <c r="EN270" s="9">
        <v>5</v>
      </c>
      <c r="EO270" s="9">
        <v>5</v>
      </c>
      <c r="EP270" s="9">
        <v>5</v>
      </c>
      <c r="EQ270" s="9">
        <v>5</v>
      </c>
      <c r="ER270" s="9">
        <v>7</v>
      </c>
      <c r="ES270" s="9">
        <v>6</v>
      </c>
      <c r="ET270" s="9">
        <v>6</v>
      </c>
      <c r="EU270" s="9">
        <v>6</v>
      </c>
      <c r="EV270" s="9">
        <v>8</v>
      </c>
      <c r="EW270" s="9">
        <v>8</v>
      </c>
      <c r="EX270" s="9">
        <v>8</v>
      </c>
      <c r="EY270" s="9">
        <v>8</v>
      </c>
      <c r="EZ270" s="9">
        <v>4</v>
      </c>
      <c r="FA270" s="9">
        <v>4</v>
      </c>
      <c r="FB270" s="9">
        <v>4</v>
      </c>
      <c r="FC270" s="9">
        <v>5</v>
      </c>
      <c r="FD270" s="9">
        <v>2</v>
      </c>
      <c r="FE270" s="9">
        <v>2</v>
      </c>
      <c r="FF270" s="9">
        <v>1</v>
      </c>
      <c r="FG270" s="9">
        <v>2</v>
      </c>
      <c r="FH270" s="9">
        <v>2</v>
      </c>
      <c r="FI270" s="9">
        <v>4</v>
      </c>
      <c r="FJ270" s="9">
        <v>3</v>
      </c>
      <c r="FK270" s="9">
        <v>5</v>
      </c>
      <c r="FL270" s="9">
        <v>4</v>
      </c>
      <c r="FM270" s="10">
        <v>5</v>
      </c>
    </row>
    <row r="271" spans="1:169" x14ac:dyDescent="0.35">
      <c r="A271" s="8" t="s">
        <v>413</v>
      </c>
      <c r="B271" s="9" t="s">
        <v>462</v>
      </c>
      <c r="C271" s="10" t="s">
        <v>463</v>
      </c>
      <c r="D271" s="62">
        <f t="shared" si="101"/>
        <v>0</v>
      </c>
      <c r="E271" s="9">
        <v>0</v>
      </c>
      <c r="F271" s="9">
        <v>0</v>
      </c>
      <c r="G271" s="9">
        <v>0</v>
      </c>
      <c r="H271" s="9">
        <v>0</v>
      </c>
      <c r="I271" s="9">
        <v>0</v>
      </c>
      <c r="J271" s="9">
        <v>0</v>
      </c>
      <c r="K271" s="9">
        <v>0</v>
      </c>
      <c r="L271" s="9">
        <v>0</v>
      </c>
      <c r="M271" s="9">
        <v>0</v>
      </c>
      <c r="N271" s="9">
        <v>0</v>
      </c>
      <c r="O271" s="9">
        <v>0</v>
      </c>
      <c r="P271" s="9">
        <v>0</v>
      </c>
      <c r="Q271" s="9">
        <v>0</v>
      </c>
      <c r="R271" s="9">
        <v>0</v>
      </c>
      <c r="S271" s="9">
        <v>0</v>
      </c>
      <c r="T271" s="9">
        <v>0</v>
      </c>
      <c r="U271" s="9">
        <v>0</v>
      </c>
      <c r="V271" s="9">
        <v>0</v>
      </c>
      <c r="W271" s="9">
        <v>0</v>
      </c>
      <c r="X271" s="9">
        <v>0</v>
      </c>
      <c r="Y271" s="9">
        <v>0</v>
      </c>
      <c r="Z271" s="9">
        <v>0</v>
      </c>
      <c r="AA271" s="9">
        <v>0</v>
      </c>
      <c r="AB271" s="9">
        <v>0</v>
      </c>
      <c r="AC271" s="9">
        <v>0</v>
      </c>
      <c r="AD271" s="9">
        <v>0</v>
      </c>
      <c r="AE271" s="9">
        <v>0</v>
      </c>
      <c r="AF271" s="9">
        <v>0</v>
      </c>
      <c r="AG271" s="9">
        <v>0</v>
      </c>
      <c r="AH271" s="9">
        <v>0</v>
      </c>
      <c r="AI271" s="9">
        <v>0</v>
      </c>
      <c r="AJ271" s="9">
        <v>0</v>
      </c>
      <c r="AK271" s="9">
        <v>0</v>
      </c>
      <c r="AL271" s="9">
        <v>0</v>
      </c>
      <c r="AM271" s="9">
        <v>0</v>
      </c>
      <c r="AN271" s="9">
        <v>0</v>
      </c>
      <c r="AO271" s="9">
        <v>0</v>
      </c>
      <c r="AP271" s="9">
        <v>0</v>
      </c>
      <c r="AQ271" s="9">
        <v>0</v>
      </c>
      <c r="AR271" s="9">
        <v>0</v>
      </c>
      <c r="AS271" s="9">
        <v>0</v>
      </c>
      <c r="AT271" s="9">
        <v>0</v>
      </c>
      <c r="AU271" s="9">
        <v>0</v>
      </c>
      <c r="AV271" s="9">
        <v>0</v>
      </c>
      <c r="AW271" s="9">
        <v>0</v>
      </c>
      <c r="AX271" s="9">
        <v>0</v>
      </c>
      <c r="AY271" s="9">
        <v>0</v>
      </c>
      <c r="AZ271" s="9">
        <v>0</v>
      </c>
      <c r="BA271" s="9">
        <v>0</v>
      </c>
      <c r="BB271" s="9">
        <v>0</v>
      </c>
      <c r="BC271" s="9">
        <v>0</v>
      </c>
      <c r="BD271" s="9">
        <v>0</v>
      </c>
      <c r="BE271" s="9">
        <v>0</v>
      </c>
      <c r="BF271" s="9">
        <v>0</v>
      </c>
      <c r="BG271" s="9">
        <v>0</v>
      </c>
      <c r="BH271" s="9">
        <v>0</v>
      </c>
      <c r="BI271" s="9">
        <v>0</v>
      </c>
      <c r="BJ271" s="9">
        <v>0</v>
      </c>
      <c r="BK271" s="9">
        <v>0</v>
      </c>
      <c r="BL271" s="9">
        <v>0</v>
      </c>
      <c r="BM271" s="9">
        <v>0</v>
      </c>
      <c r="BN271" s="9">
        <v>0</v>
      </c>
      <c r="BO271" s="9">
        <v>0</v>
      </c>
      <c r="BP271" s="9">
        <v>0</v>
      </c>
      <c r="BQ271" s="9">
        <v>0</v>
      </c>
      <c r="BR271" s="9">
        <v>0</v>
      </c>
      <c r="BS271" s="9">
        <v>0</v>
      </c>
      <c r="BT271" s="9">
        <v>0</v>
      </c>
      <c r="BU271" s="9">
        <v>0</v>
      </c>
      <c r="BV271" s="9">
        <v>0</v>
      </c>
      <c r="BW271" s="9">
        <v>0</v>
      </c>
      <c r="BX271" s="9">
        <v>0</v>
      </c>
      <c r="BY271" s="9">
        <v>0</v>
      </c>
      <c r="BZ271" s="9">
        <v>0</v>
      </c>
      <c r="CA271" s="9">
        <v>0</v>
      </c>
      <c r="CB271" s="9">
        <v>0</v>
      </c>
      <c r="CC271" s="9">
        <v>0</v>
      </c>
      <c r="CD271" s="9">
        <v>0</v>
      </c>
      <c r="CE271" s="9">
        <v>0</v>
      </c>
      <c r="CF271" s="9">
        <v>0</v>
      </c>
      <c r="CG271" s="9">
        <v>0</v>
      </c>
      <c r="CH271" s="9">
        <v>0</v>
      </c>
      <c r="CI271" s="9">
        <v>0</v>
      </c>
      <c r="CJ271" s="9">
        <v>0</v>
      </c>
      <c r="CK271" s="9">
        <v>0</v>
      </c>
      <c r="CL271" s="9">
        <v>0</v>
      </c>
      <c r="CM271" s="9">
        <v>0</v>
      </c>
      <c r="CN271" s="9">
        <v>0</v>
      </c>
      <c r="CO271" s="9">
        <v>0</v>
      </c>
      <c r="CP271" s="9">
        <v>0</v>
      </c>
      <c r="CQ271" s="9">
        <v>0</v>
      </c>
      <c r="CR271" s="9">
        <v>0</v>
      </c>
      <c r="CS271" s="9">
        <v>0</v>
      </c>
      <c r="CT271" s="9">
        <v>0</v>
      </c>
      <c r="CU271" s="9">
        <v>0</v>
      </c>
      <c r="CV271" s="9">
        <v>0</v>
      </c>
      <c r="CW271" s="9">
        <v>0</v>
      </c>
      <c r="CX271" s="9">
        <v>0</v>
      </c>
      <c r="CY271" s="9">
        <v>0</v>
      </c>
      <c r="CZ271" s="9">
        <v>0</v>
      </c>
      <c r="DA271" s="9">
        <v>0</v>
      </c>
      <c r="DB271" s="9">
        <v>0</v>
      </c>
      <c r="DC271" s="9">
        <v>0</v>
      </c>
      <c r="DD271" s="9">
        <v>0</v>
      </c>
      <c r="DE271" s="9">
        <v>0</v>
      </c>
      <c r="DF271" s="9">
        <v>0</v>
      </c>
      <c r="DG271" s="9">
        <v>0</v>
      </c>
      <c r="DH271" s="9">
        <v>0</v>
      </c>
      <c r="DI271" s="9">
        <v>0</v>
      </c>
      <c r="DJ271" s="9">
        <v>0</v>
      </c>
      <c r="DK271" s="9">
        <v>0</v>
      </c>
      <c r="DL271" s="9">
        <v>0</v>
      </c>
      <c r="DM271" s="9">
        <v>0</v>
      </c>
      <c r="DN271" s="9">
        <v>0</v>
      </c>
      <c r="DO271" s="9">
        <v>0</v>
      </c>
      <c r="DP271" s="9">
        <v>0</v>
      </c>
      <c r="DQ271" s="9">
        <v>0</v>
      </c>
      <c r="DR271" s="9">
        <v>0</v>
      </c>
      <c r="DS271" s="9">
        <v>0</v>
      </c>
      <c r="DT271" s="9">
        <v>0</v>
      </c>
      <c r="DU271" s="9">
        <v>0</v>
      </c>
      <c r="DV271" s="9">
        <v>0</v>
      </c>
      <c r="DW271" s="9">
        <v>0</v>
      </c>
      <c r="DX271" s="9">
        <v>0</v>
      </c>
      <c r="DY271" s="9">
        <v>0</v>
      </c>
      <c r="DZ271" s="9">
        <v>0</v>
      </c>
      <c r="EA271" s="9">
        <v>0</v>
      </c>
      <c r="EB271" s="9">
        <v>0</v>
      </c>
      <c r="EC271" s="9">
        <v>0</v>
      </c>
      <c r="ED271" s="9">
        <v>0</v>
      </c>
      <c r="EE271" s="9">
        <v>0</v>
      </c>
      <c r="EF271" s="9">
        <v>0</v>
      </c>
      <c r="EG271" s="9">
        <v>0</v>
      </c>
      <c r="EH271" s="9">
        <v>0</v>
      </c>
      <c r="EI271" s="9">
        <v>0</v>
      </c>
      <c r="EJ271" s="9">
        <v>0</v>
      </c>
      <c r="EK271" s="9">
        <v>0</v>
      </c>
      <c r="EL271" s="9">
        <v>0</v>
      </c>
      <c r="EM271" s="9">
        <v>0</v>
      </c>
      <c r="EN271" s="9">
        <v>0</v>
      </c>
      <c r="EO271" s="9">
        <v>0</v>
      </c>
      <c r="EP271" s="9">
        <v>0</v>
      </c>
      <c r="EQ271" s="9">
        <v>0</v>
      </c>
      <c r="ER271" s="9">
        <v>0</v>
      </c>
      <c r="ES271" s="9">
        <v>0</v>
      </c>
      <c r="ET271" s="9">
        <v>0</v>
      </c>
      <c r="EU271" s="9">
        <v>0</v>
      </c>
      <c r="EV271" s="9">
        <v>0</v>
      </c>
      <c r="EW271" s="9">
        <v>0</v>
      </c>
      <c r="EX271" s="9">
        <v>0</v>
      </c>
      <c r="EY271" s="9">
        <v>0</v>
      </c>
      <c r="EZ271" s="9">
        <v>0</v>
      </c>
      <c r="FA271" s="9">
        <v>0</v>
      </c>
      <c r="FB271" s="9">
        <v>0</v>
      </c>
      <c r="FC271" s="9">
        <v>0</v>
      </c>
      <c r="FD271" s="9">
        <v>0</v>
      </c>
      <c r="FE271" s="9">
        <v>0</v>
      </c>
      <c r="FF271" s="9">
        <v>0</v>
      </c>
      <c r="FG271" s="9">
        <v>0</v>
      </c>
      <c r="FH271" s="9">
        <v>0</v>
      </c>
      <c r="FI271" s="9">
        <v>0</v>
      </c>
      <c r="FJ271" s="9">
        <v>0</v>
      </c>
      <c r="FK271" s="9">
        <v>0</v>
      </c>
      <c r="FL271" s="9">
        <v>0</v>
      </c>
      <c r="FM271" s="10">
        <v>0</v>
      </c>
    </row>
    <row r="272" spans="1:169" x14ac:dyDescent="0.35">
      <c r="A272" s="8" t="s">
        <v>413</v>
      </c>
      <c r="B272" s="9" t="s">
        <v>464</v>
      </c>
      <c r="C272" s="10" t="s">
        <v>465</v>
      </c>
      <c r="D272" s="62">
        <f t="shared" si="101"/>
        <v>139</v>
      </c>
      <c r="E272" s="9">
        <v>22</v>
      </c>
      <c r="F272" s="9">
        <v>13</v>
      </c>
      <c r="G272" s="9">
        <v>18</v>
      </c>
      <c r="H272" s="9">
        <v>21</v>
      </c>
      <c r="I272" s="9">
        <v>35</v>
      </c>
      <c r="J272" s="9">
        <v>37</v>
      </c>
      <c r="K272" s="9">
        <v>41</v>
      </c>
      <c r="L272" s="9">
        <v>43</v>
      </c>
      <c r="M272" s="9">
        <v>55</v>
      </c>
      <c r="N272" s="9">
        <v>62</v>
      </c>
      <c r="O272" s="9">
        <v>70</v>
      </c>
      <c r="P272" s="9">
        <v>79</v>
      </c>
      <c r="Q272" s="9">
        <v>100</v>
      </c>
      <c r="R272" s="9">
        <v>114</v>
      </c>
      <c r="S272" s="9">
        <v>123</v>
      </c>
      <c r="T272" s="9">
        <v>102</v>
      </c>
      <c r="U272" s="9">
        <v>116</v>
      </c>
      <c r="V272" s="9">
        <v>122</v>
      </c>
      <c r="W272" s="9">
        <v>112</v>
      </c>
      <c r="X272" s="9">
        <v>118</v>
      </c>
      <c r="Y272" s="9">
        <v>0</v>
      </c>
      <c r="Z272" s="9">
        <v>104</v>
      </c>
      <c r="AA272" s="9">
        <v>95</v>
      </c>
      <c r="AB272" s="9">
        <v>125</v>
      </c>
      <c r="AC272" s="9">
        <v>117</v>
      </c>
      <c r="AD272" s="9">
        <v>110</v>
      </c>
      <c r="AE272" s="9">
        <v>113</v>
      </c>
      <c r="AF272" s="9">
        <v>112</v>
      </c>
      <c r="AG272" s="9">
        <v>122</v>
      </c>
      <c r="AH272" s="9">
        <v>139</v>
      </c>
      <c r="AI272" s="9">
        <v>123</v>
      </c>
      <c r="AJ272" s="9">
        <v>115</v>
      </c>
      <c r="AK272" s="9">
        <v>116</v>
      </c>
      <c r="AL272" s="9">
        <v>115</v>
      </c>
      <c r="AM272" s="9">
        <v>103</v>
      </c>
      <c r="AN272" s="9">
        <v>102</v>
      </c>
      <c r="AO272" s="9">
        <v>97</v>
      </c>
      <c r="AP272" s="9">
        <v>89</v>
      </c>
      <c r="AQ272" s="9">
        <v>91</v>
      </c>
      <c r="AR272" s="9">
        <v>86</v>
      </c>
      <c r="AS272" s="9">
        <v>77</v>
      </c>
      <c r="AT272" s="9">
        <v>73</v>
      </c>
      <c r="AU272" s="9">
        <v>76</v>
      </c>
      <c r="AV272" s="9">
        <v>72</v>
      </c>
      <c r="AW272" s="9">
        <v>70</v>
      </c>
      <c r="AX272" s="9">
        <v>69</v>
      </c>
      <c r="AY272" s="9">
        <v>68</v>
      </c>
      <c r="AZ272" s="9">
        <v>55</v>
      </c>
      <c r="BA272" s="9">
        <v>55</v>
      </c>
      <c r="BB272" s="9">
        <v>49</v>
      </c>
      <c r="BC272" s="9">
        <v>48</v>
      </c>
      <c r="BD272" s="9">
        <v>52</v>
      </c>
      <c r="BE272" s="9">
        <v>50</v>
      </c>
      <c r="BF272" s="9">
        <v>50</v>
      </c>
      <c r="BG272" s="9">
        <v>53</v>
      </c>
      <c r="BH272" s="9">
        <v>45</v>
      </c>
      <c r="BI272" s="9">
        <v>44</v>
      </c>
      <c r="BJ272" s="9">
        <v>38</v>
      </c>
      <c r="BK272" s="9">
        <v>38</v>
      </c>
      <c r="BL272" s="9">
        <v>40</v>
      </c>
      <c r="BM272" s="9">
        <v>42</v>
      </c>
      <c r="BN272" s="9">
        <v>39</v>
      </c>
      <c r="BO272" s="9">
        <v>37</v>
      </c>
      <c r="BP272" s="9">
        <v>41</v>
      </c>
      <c r="BQ272" s="9">
        <v>38</v>
      </c>
      <c r="BR272" s="9">
        <v>41</v>
      </c>
      <c r="BS272" s="9">
        <v>43</v>
      </c>
      <c r="BT272" s="9">
        <v>44</v>
      </c>
      <c r="BU272" s="9">
        <v>42</v>
      </c>
      <c r="BV272" s="9">
        <v>35</v>
      </c>
      <c r="BW272" s="9">
        <v>33</v>
      </c>
      <c r="BX272" s="9">
        <v>31</v>
      </c>
      <c r="BY272" s="9">
        <v>33</v>
      </c>
      <c r="BZ272" s="9">
        <v>31</v>
      </c>
      <c r="CA272" s="9">
        <v>28</v>
      </c>
      <c r="CB272" s="9">
        <v>29</v>
      </c>
      <c r="CC272" s="9">
        <v>27</v>
      </c>
      <c r="CD272" s="9">
        <v>28</v>
      </c>
      <c r="CE272" s="9">
        <v>28</v>
      </c>
      <c r="CF272" s="9">
        <v>27</v>
      </c>
      <c r="CG272" s="9">
        <v>26</v>
      </c>
      <c r="CH272" s="9">
        <v>26</v>
      </c>
      <c r="CI272" s="9">
        <v>27</v>
      </c>
      <c r="CJ272" s="9">
        <v>25</v>
      </c>
      <c r="CK272" s="9">
        <v>25</v>
      </c>
      <c r="CL272" s="9">
        <v>24</v>
      </c>
      <c r="CM272" s="9">
        <v>26</v>
      </c>
      <c r="CN272" s="9">
        <v>26</v>
      </c>
      <c r="CO272" s="9">
        <v>20</v>
      </c>
      <c r="CP272" s="9">
        <v>13</v>
      </c>
      <c r="CQ272" s="9">
        <v>11</v>
      </c>
      <c r="CR272" s="9">
        <v>12</v>
      </c>
      <c r="CS272" s="9">
        <v>12</v>
      </c>
      <c r="CT272" s="9">
        <v>13</v>
      </c>
      <c r="CU272" s="9">
        <v>14</v>
      </c>
      <c r="CV272" s="9">
        <v>13</v>
      </c>
      <c r="CW272" s="9">
        <v>11</v>
      </c>
      <c r="CX272" s="9">
        <v>11</v>
      </c>
      <c r="CY272" s="9">
        <v>11</v>
      </c>
      <c r="CZ272" s="9">
        <v>9</v>
      </c>
      <c r="DA272" s="9">
        <v>8</v>
      </c>
      <c r="DB272" s="9">
        <v>8</v>
      </c>
      <c r="DC272" s="9">
        <v>6</v>
      </c>
      <c r="DD272" s="9">
        <v>5</v>
      </c>
      <c r="DE272" s="9">
        <v>5</v>
      </c>
      <c r="DF272" s="9">
        <v>6</v>
      </c>
      <c r="DG272" s="9">
        <v>6</v>
      </c>
      <c r="DH272" s="9">
        <v>6</v>
      </c>
      <c r="DI272" s="9">
        <v>6</v>
      </c>
      <c r="DJ272" s="9">
        <v>6</v>
      </c>
      <c r="DK272" s="9">
        <v>5</v>
      </c>
      <c r="DL272" s="9">
        <v>5</v>
      </c>
      <c r="DM272" s="9">
        <v>5</v>
      </c>
      <c r="DN272" s="9">
        <v>5</v>
      </c>
      <c r="DO272" s="9">
        <v>5</v>
      </c>
      <c r="DP272" s="9">
        <v>5</v>
      </c>
      <c r="DQ272" s="9">
        <v>5</v>
      </c>
      <c r="DR272" s="9">
        <v>6</v>
      </c>
      <c r="DS272" s="9">
        <v>5</v>
      </c>
      <c r="DT272" s="9">
        <v>5</v>
      </c>
      <c r="DU272" s="9">
        <v>5</v>
      </c>
      <c r="DV272" s="9">
        <v>5</v>
      </c>
      <c r="DW272" s="9">
        <v>4</v>
      </c>
      <c r="DX272" s="9">
        <v>4</v>
      </c>
      <c r="DY272" s="9">
        <v>6</v>
      </c>
      <c r="DZ272" s="9">
        <v>6</v>
      </c>
      <c r="EA272" s="9">
        <v>5</v>
      </c>
      <c r="EB272" s="9">
        <v>5</v>
      </c>
      <c r="EC272" s="9">
        <v>5</v>
      </c>
      <c r="ED272" s="9">
        <v>5</v>
      </c>
      <c r="EE272" s="9">
        <v>5</v>
      </c>
      <c r="EF272" s="9">
        <v>5</v>
      </c>
      <c r="EG272" s="9">
        <v>4</v>
      </c>
      <c r="EH272" s="9">
        <v>4</v>
      </c>
      <c r="EI272" s="9">
        <v>4</v>
      </c>
      <c r="EJ272" s="9">
        <v>4</v>
      </c>
      <c r="EK272" s="9">
        <v>5</v>
      </c>
      <c r="EL272" s="9">
        <v>3</v>
      </c>
      <c r="EM272" s="9">
        <v>3</v>
      </c>
      <c r="EN272" s="9">
        <v>3</v>
      </c>
      <c r="EO272" s="9">
        <v>3</v>
      </c>
      <c r="EP272" s="9">
        <v>3</v>
      </c>
      <c r="EQ272" s="9">
        <v>3</v>
      </c>
      <c r="ER272" s="9">
        <v>3</v>
      </c>
      <c r="ES272" s="9">
        <v>3</v>
      </c>
      <c r="ET272" s="9">
        <v>3</v>
      </c>
      <c r="EU272" s="9">
        <v>4</v>
      </c>
      <c r="EV272" s="9">
        <v>4</v>
      </c>
      <c r="EW272" s="9">
        <v>4</v>
      </c>
      <c r="EX272" s="9">
        <v>4</v>
      </c>
      <c r="EY272" s="9">
        <v>2</v>
      </c>
      <c r="EZ272" s="9">
        <v>3</v>
      </c>
      <c r="FA272" s="9">
        <v>3</v>
      </c>
      <c r="FB272" s="9">
        <v>1</v>
      </c>
      <c r="FC272" s="9">
        <v>1</v>
      </c>
      <c r="FD272" s="9">
        <v>1</v>
      </c>
      <c r="FE272" s="9">
        <v>1</v>
      </c>
      <c r="FF272" s="9">
        <v>1</v>
      </c>
      <c r="FG272" s="9">
        <v>1</v>
      </c>
      <c r="FH272" s="9">
        <v>1</v>
      </c>
      <c r="FI272" s="9">
        <v>1</v>
      </c>
      <c r="FJ272" s="9">
        <v>1</v>
      </c>
      <c r="FK272" s="9">
        <v>1</v>
      </c>
      <c r="FL272" s="9">
        <v>1</v>
      </c>
      <c r="FM272" s="10">
        <v>1</v>
      </c>
    </row>
    <row r="273" spans="1:169" x14ac:dyDescent="0.35">
      <c r="A273" s="8" t="s">
        <v>413</v>
      </c>
      <c r="B273" s="9" t="s">
        <v>466</v>
      </c>
      <c r="C273" s="10" t="s">
        <v>467</v>
      </c>
      <c r="D273" s="62">
        <f t="shared" si="101"/>
        <v>121</v>
      </c>
      <c r="E273" s="9">
        <v>0</v>
      </c>
      <c r="F273" s="9">
        <v>25</v>
      </c>
      <c r="G273" s="9">
        <v>38</v>
      </c>
      <c r="H273" s="9">
        <v>48</v>
      </c>
      <c r="I273" s="9">
        <v>26</v>
      </c>
      <c r="J273" s="9">
        <v>28</v>
      </c>
      <c r="K273" s="9">
        <v>25</v>
      </c>
      <c r="L273" s="9">
        <v>32</v>
      </c>
      <c r="M273" s="9">
        <v>40</v>
      </c>
      <c r="N273" s="9">
        <v>61</v>
      </c>
      <c r="O273" s="9">
        <v>72</v>
      </c>
      <c r="P273" s="9">
        <v>104</v>
      </c>
      <c r="Q273" s="9">
        <v>97</v>
      </c>
      <c r="R273" s="9">
        <v>99</v>
      </c>
      <c r="S273" s="9">
        <v>119</v>
      </c>
      <c r="T273" s="9">
        <v>98</v>
      </c>
      <c r="U273" s="9">
        <v>100</v>
      </c>
      <c r="V273" s="9">
        <v>121</v>
      </c>
      <c r="W273" s="9">
        <v>110</v>
      </c>
      <c r="X273" s="9">
        <v>108</v>
      </c>
      <c r="Y273" s="9">
        <v>108</v>
      </c>
      <c r="Z273" s="9">
        <v>106</v>
      </c>
      <c r="AA273" s="9">
        <v>102</v>
      </c>
      <c r="AB273" s="9">
        <v>114</v>
      </c>
      <c r="AC273" s="9">
        <v>101</v>
      </c>
      <c r="AD273" s="9">
        <v>101</v>
      </c>
      <c r="AE273" s="9">
        <v>93</v>
      </c>
      <c r="AF273" s="9">
        <v>92</v>
      </c>
      <c r="AG273" s="9">
        <v>91</v>
      </c>
      <c r="AH273" s="9">
        <v>91</v>
      </c>
      <c r="AI273" s="9">
        <v>85</v>
      </c>
      <c r="AJ273" s="9">
        <v>84</v>
      </c>
      <c r="AK273" s="9">
        <v>78</v>
      </c>
      <c r="AL273" s="9">
        <v>78</v>
      </c>
      <c r="AM273" s="9">
        <v>81</v>
      </c>
      <c r="AN273" s="9">
        <v>60</v>
      </c>
      <c r="AO273" s="9">
        <v>58</v>
      </c>
      <c r="AP273" s="9">
        <v>66</v>
      </c>
      <c r="AQ273" s="9">
        <v>75</v>
      </c>
      <c r="AR273" s="9">
        <v>59</v>
      </c>
      <c r="AS273" s="9">
        <v>57</v>
      </c>
      <c r="AT273" s="9">
        <v>60</v>
      </c>
      <c r="AU273" s="9">
        <v>64</v>
      </c>
      <c r="AV273" s="9">
        <v>59</v>
      </c>
      <c r="AW273" s="9">
        <v>61</v>
      </c>
      <c r="AX273" s="9">
        <v>68</v>
      </c>
      <c r="AY273" s="9">
        <v>67</v>
      </c>
      <c r="AZ273" s="9">
        <v>76</v>
      </c>
      <c r="BA273" s="9">
        <v>74</v>
      </c>
      <c r="BB273" s="9">
        <v>66</v>
      </c>
      <c r="BC273" s="9">
        <v>51</v>
      </c>
      <c r="BD273" s="9">
        <v>41</v>
      </c>
      <c r="BE273" s="9">
        <v>45</v>
      </c>
      <c r="BF273" s="9">
        <v>41</v>
      </c>
      <c r="BG273" s="9">
        <v>46</v>
      </c>
      <c r="BH273" s="9">
        <v>47</v>
      </c>
      <c r="BI273" s="9">
        <v>72</v>
      </c>
      <c r="BJ273" s="9">
        <v>52</v>
      </c>
      <c r="BK273" s="9">
        <v>75</v>
      </c>
      <c r="BL273" s="9">
        <v>70</v>
      </c>
      <c r="BM273" s="9">
        <v>46</v>
      </c>
      <c r="BN273" s="9">
        <v>49</v>
      </c>
      <c r="BO273" s="9">
        <v>46</v>
      </c>
      <c r="BP273" s="9">
        <v>60</v>
      </c>
      <c r="BQ273" s="9">
        <v>52</v>
      </c>
      <c r="BR273" s="9">
        <v>27</v>
      </c>
      <c r="BS273" s="9">
        <v>25</v>
      </c>
      <c r="BT273" s="9">
        <v>44</v>
      </c>
      <c r="BU273" s="9">
        <v>22</v>
      </c>
      <c r="BV273" s="9">
        <v>25</v>
      </c>
      <c r="BW273" s="9">
        <v>25</v>
      </c>
      <c r="BX273" s="9">
        <v>22</v>
      </c>
      <c r="BY273" s="9">
        <v>10</v>
      </c>
      <c r="BZ273" s="9">
        <v>24</v>
      </c>
      <c r="CA273" s="9">
        <v>21</v>
      </c>
      <c r="CB273" s="9">
        <v>16</v>
      </c>
      <c r="CC273" s="9">
        <v>16</v>
      </c>
      <c r="CD273" s="9">
        <v>10</v>
      </c>
      <c r="CE273" s="9">
        <v>22</v>
      </c>
      <c r="CF273" s="9">
        <v>14</v>
      </c>
      <c r="CG273" s="9">
        <v>15</v>
      </c>
      <c r="CH273" s="9">
        <v>10</v>
      </c>
      <c r="CI273" s="9">
        <v>7</v>
      </c>
      <c r="CJ273" s="9">
        <v>10</v>
      </c>
      <c r="CK273" s="9">
        <v>9</v>
      </c>
      <c r="CL273" s="9">
        <v>3</v>
      </c>
      <c r="CM273" s="9">
        <v>7</v>
      </c>
      <c r="CN273" s="9">
        <v>11</v>
      </c>
      <c r="CO273" s="9">
        <v>15</v>
      </c>
      <c r="CP273" s="9">
        <v>16</v>
      </c>
      <c r="CQ273" s="9">
        <v>21</v>
      </c>
      <c r="CR273" s="9">
        <v>17</v>
      </c>
      <c r="CS273" s="9">
        <v>16</v>
      </c>
      <c r="CT273" s="9">
        <v>19</v>
      </c>
      <c r="CU273" s="9">
        <v>22</v>
      </c>
      <c r="CV273" s="9">
        <v>21</v>
      </c>
      <c r="CW273" s="9">
        <v>22</v>
      </c>
      <c r="CX273" s="9">
        <v>24</v>
      </c>
      <c r="CY273" s="9">
        <v>26</v>
      </c>
      <c r="CZ273" s="9">
        <v>22</v>
      </c>
      <c r="DA273" s="9">
        <v>20</v>
      </c>
      <c r="DB273" s="9">
        <v>22</v>
      </c>
      <c r="DC273" s="9">
        <v>22</v>
      </c>
      <c r="DD273" s="9">
        <v>22</v>
      </c>
      <c r="DE273" s="9">
        <v>24</v>
      </c>
      <c r="DF273" s="9">
        <v>29</v>
      </c>
      <c r="DG273" s="9">
        <v>20</v>
      </c>
      <c r="DH273" s="9">
        <v>18</v>
      </c>
      <c r="DI273" s="9">
        <v>18</v>
      </c>
      <c r="DJ273" s="9">
        <v>17</v>
      </c>
      <c r="DK273" s="9">
        <v>12</v>
      </c>
      <c r="DL273" s="9">
        <v>12</v>
      </c>
      <c r="DM273" s="9">
        <v>8</v>
      </c>
      <c r="DN273" s="9">
        <v>7</v>
      </c>
      <c r="DO273" s="9">
        <v>11</v>
      </c>
      <c r="DP273" s="9">
        <v>15</v>
      </c>
      <c r="DQ273" s="9">
        <v>10</v>
      </c>
      <c r="DR273" s="9">
        <v>8</v>
      </c>
      <c r="DS273" s="9">
        <v>6</v>
      </c>
      <c r="DT273" s="9">
        <v>9</v>
      </c>
      <c r="DU273" s="9">
        <v>9</v>
      </c>
      <c r="DV273" s="9">
        <v>12</v>
      </c>
      <c r="DW273" s="9">
        <v>14</v>
      </c>
      <c r="DX273" s="9">
        <v>10</v>
      </c>
      <c r="DY273" s="9">
        <v>10</v>
      </c>
      <c r="DZ273" s="9">
        <v>11</v>
      </c>
      <c r="EA273" s="9">
        <v>5</v>
      </c>
      <c r="EB273" s="9">
        <v>4</v>
      </c>
      <c r="EC273" s="9">
        <v>3</v>
      </c>
      <c r="ED273" s="9">
        <v>4</v>
      </c>
      <c r="EE273" s="9">
        <v>1</v>
      </c>
      <c r="EF273" s="9">
        <v>2</v>
      </c>
      <c r="EG273" s="9">
        <v>6</v>
      </c>
      <c r="EH273" s="9">
        <v>5</v>
      </c>
      <c r="EI273" s="9">
        <v>7</v>
      </c>
      <c r="EJ273" s="9">
        <v>10</v>
      </c>
      <c r="EK273" s="9">
        <v>10</v>
      </c>
      <c r="EL273" s="9">
        <v>8</v>
      </c>
      <c r="EM273" s="9">
        <v>8</v>
      </c>
      <c r="EN273" s="9">
        <v>10</v>
      </c>
      <c r="EO273" s="9">
        <v>9</v>
      </c>
      <c r="EP273" s="9">
        <v>4</v>
      </c>
      <c r="EQ273" s="9">
        <v>3</v>
      </c>
      <c r="ER273" s="9">
        <v>7</v>
      </c>
      <c r="ES273" s="9">
        <v>5</v>
      </c>
      <c r="ET273" s="9">
        <v>5</v>
      </c>
      <c r="EU273" s="9">
        <v>4</v>
      </c>
      <c r="EV273" s="9">
        <v>4</v>
      </c>
      <c r="EW273" s="9">
        <v>8</v>
      </c>
      <c r="EX273" s="9">
        <v>8</v>
      </c>
      <c r="EY273" s="9">
        <v>7</v>
      </c>
      <c r="EZ273" s="9">
        <v>9</v>
      </c>
      <c r="FA273" s="9">
        <v>8</v>
      </c>
      <c r="FB273" s="9">
        <v>9</v>
      </c>
      <c r="FC273" s="9">
        <v>7</v>
      </c>
      <c r="FD273" s="9">
        <v>3</v>
      </c>
      <c r="FE273" s="9">
        <v>4</v>
      </c>
      <c r="FF273" s="9">
        <v>4</v>
      </c>
      <c r="FG273" s="9">
        <v>5</v>
      </c>
      <c r="FH273" s="9">
        <v>6</v>
      </c>
      <c r="FI273" s="9">
        <v>7</v>
      </c>
      <c r="FJ273" s="9">
        <v>4</v>
      </c>
      <c r="FK273" s="9">
        <v>3</v>
      </c>
      <c r="FL273" s="9">
        <v>5</v>
      </c>
      <c r="FM273" s="10">
        <v>7</v>
      </c>
    </row>
    <row r="274" spans="1:169" x14ac:dyDescent="0.35">
      <c r="A274" s="8" t="s">
        <v>413</v>
      </c>
      <c r="B274" s="9" t="s">
        <v>468</v>
      </c>
      <c r="C274" s="10" t="s">
        <v>469</v>
      </c>
      <c r="D274" s="62">
        <f t="shared" si="101"/>
        <v>154</v>
      </c>
      <c r="E274" s="9">
        <v>0</v>
      </c>
      <c r="F274" s="9">
        <v>8</v>
      </c>
      <c r="G274" s="9">
        <v>14</v>
      </c>
      <c r="H274" s="9">
        <v>28</v>
      </c>
      <c r="I274" s="9">
        <v>28</v>
      </c>
      <c r="J274" s="9">
        <v>54</v>
      </c>
      <c r="K274" s="9">
        <v>5</v>
      </c>
      <c r="L274" s="9">
        <v>46</v>
      </c>
      <c r="M274" s="9">
        <v>46</v>
      </c>
      <c r="N274" s="9">
        <v>81</v>
      </c>
      <c r="O274" s="9">
        <v>74</v>
      </c>
      <c r="P274" s="9">
        <v>86</v>
      </c>
      <c r="Q274" s="9">
        <v>96</v>
      </c>
      <c r="R274" s="9">
        <v>108</v>
      </c>
      <c r="S274" s="9">
        <v>108</v>
      </c>
      <c r="T274" s="9">
        <v>143</v>
      </c>
      <c r="U274" s="9">
        <v>154</v>
      </c>
      <c r="V274" s="9">
        <v>140</v>
      </c>
      <c r="W274" s="9">
        <v>143</v>
      </c>
      <c r="X274" s="9">
        <v>134</v>
      </c>
      <c r="Y274" s="9">
        <v>140</v>
      </c>
      <c r="Z274" s="9">
        <v>121</v>
      </c>
      <c r="AA274" s="9">
        <v>111</v>
      </c>
      <c r="AB274" s="9">
        <v>128</v>
      </c>
      <c r="AC274" s="9">
        <v>138</v>
      </c>
      <c r="AD274" s="9">
        <v>130</v>
      </c>
      <c r="AE274" s="9">
        <v>128</v>
      </c>
      <c r="AF274" s="9">
        <v>118</v>
      </c>
      <c r="AG274" s="9">
        <v>109</v>
      </c>
      <c r="AH274" s="9">
        <v>119</v>
      </c>
      <c r="AI274" s="9">
        <v>116</v>
      </c>
      <c r="AJ274" s="9">
        <v>114</v>
      </c>
      <c r="AK274" s="9">
        <v>110</v>
      </c>
      <c r="AL274" s="9">
        <v>105</v>
      </c>
      <c r="AM274" s="9">
        <v>97</v>
      </c>
      <c r="AN274" s="9">
        <v>97</v>
      </c>
      <c r="AO274" s="9">
        <v>86</v>
      </c>
      <c r="AP274" s="9">
        <v>92</v>
      </c>
      <c r="AQ274" s="9">
        <v>90</v>
      </c>
      <c r="AR274" s="9">
        <v>85</v>
      </c>
      <c r="AS274" s="9">
        <v>78</v>
      </c>
      <c r="AT274" s="9">
        <v>70</v>
      </c>
      <c r="AU274" s="9">
        <v>77</v>
      </c>
      <c r="AV274" s="9">
        <v>71</v>
      </c>
      <c r="AW274" s="9">
        <v>78</v>
      </c>
      <c r="AX274" s="9">
        <v>82</v>
      </c>
      <c r="AY274" s="9">
        <v>89</v>
      </c>
      <c r="AZ274" s="9">
        <v>80</v>
      </c>
      <c r="BA274" s="9">
        <v>72</v>
      </c>
      <c r="BB274" s="9">
        <v>72</v>
      </c>
      <c r="BC274" s="9">
        <v>68</v>
      </c>
      <c r="BD274" s="9">
        <v>69</v>
      </c>
      <c r="BE274" s="9">
        <v>73</v>
      </c>
      <c r="BF274" s="9">
        <v>76</v>
      </c>
      <c r="BG274" s="9">
        <v>74</v>
      </c>
      <c r="BH274" s="9">
        <v>73</v>
      </c>
      <c r="BI274" s="9">
        <v>66</v>
      </c>
      <c r="BJ274" s="9">
        <v>62</v>
      </c>
      <c r="BK274" s="9">
        <v>59</v>
      </c>
      <c r="BL274" s="9">
        <v>63</v>
      </c>
      <c r="BM274" s="9">
        <v>57</v>
      </c>
      <c r="BN274" s="9">
        <v>52</v>
      </c>
      <c r="BO274" s="9">
        <v>52</v>
      </c>
      <c r="BP274" s="9">
        <v>49</v>
      </c>
      <c r="BQ274" s="9">
        <v>45</v>
      </c>
      <c r="BR274" s="9">
        <v>47</v>
      </c>
      <c r="BS274" s="9">
        <v>46</v>
      </c>
      <c r="BT274" s="9">
        <v>45</v>
      </c>
      <c r="BU274" s="9">
        <v>44</v>
      </c>
      <c r="BV274" s="9">
        <v>45</v>
      </c>
      <c r="BW274" s="9">
        <v>45</v>
      </c>
      <c r="BX274" s="9">
        <v>43</v>
      </c>
      <c r="BY274" s="9">
        <v>44</v>
      </c>
      <c r="BZ274" s="9">
        <v>44</v>
      </c>
      <c r="CA274" s="9">
        <v>46</v>
      </c>
      <c r="CB274" s="9">
        <v>42</v>
      </c>
      <c r="CC274" s="9">
        <v>43</v>
      </c>
      <c r="CD274" s="9">
        <v>39</v>
      </c>
      <c r="CE274" s="9">
        <v>37</v>
      </c>
      <c r="CF274" s="9">
        <v>36</v>
      </c>
      <c r="CG274" s="9">
        <v>36</v>
      </c>
      <c r="CH274" s="9">
        <v>38</v>
      </c>
      <c r="CI274" s="9">
        <v>38</v>
      </c>
      <c r="CJ274" s="9">
        <v>38</v>
      </c>
      <c r="CK274" s="9">
        <v>41</v>
      </c>
      <c r="CL274" s="9">
        <v>38</v>
      </c>
      <c r="CM274" s="9">
        <v>38</v>
      </c>
      <c r="CN274" s="9">
        <v>37</v>
      </c>
      <c r="CO274" s="9">
        <v>40</v>
      </c>
      <c r="CP274" s="9">
        <v>37</v>
      </c>
      <c r="CQ274" s="9">
        <v>37</v>
      </c>
      <c r="CR274" s="9">
        <v>39</v>
      </c>
      <c r="CS274" s="9">
        <v>0</v>
      </c>
      <c r="CT274" s="9">
        <v>34</v>
      </c>
      <c r="CU274" s="9">
        <v>36</v>
      </c>
      <c r="CV274" s="9">
        <v>36</v>
      </c>
      <c r="CW274" s="9">
        <v>33</v>
      </c>
      <c r="CX274" s="9">
        <v>33</v>
      </c>
      <c r="CY274" s="9">
        <v>30</v>
      </c>
      <c r="CZ274" s="9">
        <v>27</v>
      </c>
      <c r="DA274" s="9">
        <v>26</v>
      </c>
      <c r="DB274" s="9">
        <v>27</v>
      </c>
      <c r="DC274" s="9">
        <v>27</v>
      </c>
      <c r="DD274" s="9">
        <v>27</v>
      </c>
      <c r="DE274" s="9">
        <v>27</v>
      </c>
      <c r="DF274" s="9">
        <v>34</v>
      </c>
      <c r="DG274" s="9">
        <v>24</v>
      </c>
      <c r="DH274" s="9">
        <v>25</v>
      </c>
      <c r="DI274" s="9">
        <v>24</v>
      </c>
      <c r="DJ274" s="9">
        <v>23</v>
      </c>
      <c r="DK274" s="9">
        <v>23</v>
      </c>
      <c r="DL274" s="9">
        <v>22</v>
      </c>
      <c r="DM274" s="9">
        <v>23</v>
      </c>
      <c r="DN274" s="9">
        <v>25</v>
      </c>
      <c r="DO274" s="9">
        <v>24</v>
      </c>
      <c r="DP274" s="9">
        <v>24</v>
      </c>
      <c r="DQ274" s="9">
        <v>25</v>
      </c>
      <c r="DR274" s="9">
        <v>26</v>
      </c>
      <c r="DS274" s="9">
        <v>23</v>
      </c>
      <c r="DT274" s="9">
        <v>24</v>
      </c>
      <c r="DU274" s="9">
        <v>24</v>
      </c>
      <c r="DV274" s="9">
        <v>25</v>
      </c>
      <c r="DW274" s="9">
        <v>24</v>
      </c>
      <c r="DX274" s="9">
        <v>27</v>
      </c>
      <c r="DY274" s="9">
        <v>23</v>
      </c>
      <c r="DZ274" s="9">
        <v>21</v>
      </c>
      <c r="EA274" s="9">
        <v>18</v>
      </c>
      <c r="EB274" s="9">
        <v>14</v>
      </c>
      <c r="EC274" s="9">
        <v>16</v>
      </c>
      <c r="ED274" s="9">
        <v>18</v>
      </c>
      <c r="EE274" s="9">
        <v>17</v>
      </c>
      <c r="EF274" s="9">
        <v>21</v>
      </c>
      <c r="EG274" s="9">
        <v>22</v>
      </c>
      <c r="EH274" s="9">
        <v>20</v>
      </c>
      <c r="EI274" s="9">
        <v>17</v>
      </c>
      <c r="EJ274" s="9">
        <v>14</v>
      </c>
      <c r="EK274" s="9">
        <v>14</v>
      </c>
      <c r="EL274" s="9">
        <v>15</v>
      </c>
      <c r="EM274" s="9">
        <v>13</v>
      </c>
      <c r="EN274" s="9">
        <v>1</v>
      </c>
      <c r="EO274" s="9">
        <v>1</v>
      </c>
      <c r="EP274" s="9">
        <v>1</v>
      </c>
      <c r="EQ274" s="9">
        <v>1</v>
      </c>
      <c r="ER274" s="9">
        <v>1</v>
      </c>
      <c r="ES274" s="9">
        <v>1</v>
      </c>
      <c r="ET274" s="9">
        <v>0</v>
      </c>
      <c r="EU274" s="9">
        <v>0</v>
      </c>
      <c r="EV274" s="9">
        <v>0</v>
      </c>
      <c r="EW274" s="9">
        <v>0</v>
      </c>
      <c r="EX274" s="9">
        <v>0</v>
      </c>
      <c r="EY274" s="9">
        <v>0</v>
      </c>
      <c r="EZ274" s="9">
        <v>0</v>
      </c>
      <c r="FA274" s="9">
        <v>0</v>
      </c>
      <c r="FB274" s="9">
        <v>0</v>
      </c>
      <c r="FC274" s="9">
        <v>1</v>
      </c>
      <c r="FD274" s="9">
        <v>1</v>
      </c>
      <c r="FE274" s="9">
        <v>1</v>
      </c>
      <c r="FF274" s="9">
        <v>1</v>
      </c>
      <c r="FG274" s="9">
        <v>1</v>
      </c>
      <c r="FH274" s="9">
        <v>2</v>
      </c>
      <c r="FI274" s="9">
        <v>2</v>
      </c>
      <c r="FJ274" s="9">
        <v>1</v>
      </c>
      <c r="FK274" s="9">
        <v>1</v>
      </c>
      <c r="FL274" s="9">
        <v>1</v>
      </c>
      <c r="FM274" s="10">
        <v>1</v>
      </c>
    </row>
    <row r="275" spans="1:169" x14ac:dyDescent="0.35">
      <c r="A275" s="8" t="s">
        <v>413</v>
      </c>
      <c r="B275" s="9" t="s">
        <v>470</v>
      </c>
      <c r="C275" s="10" t="s">
        <v>471</v>
      </c>
      <c r="D275" s="62">
        <f t="shared" si="101"/>
        <v>187</v>
      </c>
      <c r="E275" s="9">
        <v>2</v>
      </c>
      <c r="F275" s="9">
        <v>5</v>
      </c>
      <c r="G275" s="9">
        <v>8</v>
      </c>
      <c r="H275" s="9">
        <v>8</v>
      </c>
      <c r="I275" s="9">
        <v>11</v>
      </c>
      <c r="J275" s="9">
        <v>22</v>
      </c>
      <c r="K275" s="9">
        <v>34</v>
      </c>
      <c r="L275" s="9">
        <v>39</v>
      </c>
      <c r="M275" s="9">
        <v>51</v>
      </c>
      <c r="N275" s="9">
        <v>48</v>
      </c>
      <c r="O275" s="9">
        <v>66</v>
      </c>
      <c r="P275" s="9">
        <v>69</v>
      </c>
      <c r="Q275" s="9">
        <v>80</v>
      </c>
      <c r="R275" s="9">
        <v>91</v>
      </c>
      <c r="S275" s="9">
        <v>119</v>
      </c>
      <c r="T275" s="9">
        <v>111</v>
      </c>
      <c r="U275" s="9">
        <v>123</v>
      </c>
      <c r="V275" s="9">
        <v>134</v>
      </c>
      <c r="W275" s="9">
        <v>129</v>
      </c>
      <c r="X275" s="9">
        <v>137</v>
      </c>
      <c r="Y275" s="9">
        <v>142</v>
      </c>
      <c r="Z275" s="9">
        <v>135</v>
      </c>
      <c r="AA275" s="9">
        <v>139</v>
      </c>
      <c r="AB275" s="9">
        <v>143</v>
      </c>
      <c r="AC275" s="9">
        <v>143</v>
      </c>
      <c r="AD275" s="9">
        <v>145</v>
      </c>
      <c r="AE275" s="9">
        <v>152</v>
      </c>
      <c r="AF275" s="9">
        <v>155</v>
      </c>
      <c r="AG275" s="9">
        <v>155</v>
      </c>
      <c r="AH275" s="9">
        <v>162</v>
      </c>
      <c r="AI275" s="9">
        <v>182</v>
      </c>
      <c r="AJ275" s="9">
        <v>187</v>
      </c>
      <c r="AK275" s="9">
        <v>180</v>
      </c>
      <c r="AL275" s="9">
        <v>170</v>
      </c>
      <c r="AM275" s="9">
        <v>166</v>
      </c>
      <c r="AN275" s="9">
        <v>168</v>
      </c>
      <c r="AO275" s="9">
        <v>158</v>
      </c>
      <c r="AP275" s="9">
        <v>157</v>
      </c>
      <c r="AQ275" s="9">
        <v>116</v>
      </c>
      <c r="AR275" s="9">
        <v>123</v>
      </c>
      <c r="AS275" s="9">
        <v>125</v>
      </c>
      <c r="AT275" s="9">
        <v>133</v>
      </c>
      <c r="AU275" s="9">
        <v>140</v>
      </c>
      <c r="AV275" s="9">
        <v>129</v>
      </c>
      <c r="AW275" s="9">
        <v>130</v>
      </c>
      <c r="AX275" s="9">
        <v>127</v>
      </c>
      <c r="AY275" s="9">
        <v>119</v>
      </c>
      <c r="AZ275" s="9">
        <v>109</v>
      </c>
      <c r="BA275" s="9">
        <v>99</v>
      </c>
      <c r="BB275" s="9">
        <v>104</v>
      </c>
      <c r="BC275" s="9">
        <v>100</v>
      </c>
      <c r="BD275" s="9">
        <v>101</v>
      </c>
      <c r="BE275" s="9">
        <v>106</v>
      </c>
      <c r="BF275" s="9">
        <v>113</v>
      </c>
      <c r="BG275" s="9">
        <v>112</v>
      </c>
      <c r="BH275" s="9">
        <v>106</v>
      </c>
      <c r="BI275" s="9">
        <v>106</v>
      </c>
      <c r="BJ275" s="9">
        <v>95</v>
      </c>
      <c r="BK275" s="9">
        <v>96</v>
      </c>
      <c r="BL275" s="9">
        <v>103</v>
      </c>
      <c r="BM275" s="9">
        <v>102</v>
      </c>
      <c r="BN275" s="9">
        <v>110</v>
      </c>
      <c r="BO275" s="9">
        <v>118</v>
      </c>
      <c r="BP275" s="9">
        <v>130</v>
      </c>
      <c r="BQ275" s="9">
        <v>120</v>
      </c>
      <c r="BR275" s="9">
        <v>111</v>
      </c>
      <c r="BS275" s="9">
        <v>111</v>
      </c>
      <c r="BT275" s="9">
        <v>108</v>
      </c>
      <c r="BU275" s="9">
        <v>107</v>
      </c>
      <c r="BV275" s="9">
        <v>100</v>
      </c>
      <c r="BW275" s="9">
        <v>94</v>
      </c>
      <c r="BX275" s="9">
        <v>92</v>
      </c>
      <c r="BY275" s="9">
        <v>89</v>
      </c>
      <c r="BZ275" s="9">
        <v>90</v>
      </c>
      <c r="CA275" s="9">
        <v>96</v>
      </c>
      <c r="CB275" s="9">
        <v>95</v>
      </c>
      <c r="CC275" s="9">
        <v>87</v>
      </c>
      <c r="CD275" s="9">
        <v>82</v>
      </c>
      <c r="CE275" s="9">
        <v>80</v>
      </c>
      <c r="CF275" s="9">
        <v>76</v>
      </c>
      <c r="CG275" s="9">
        <v>75</v>
      </c>
      <c r="CH275" s="9">
        <v>75</v>
      </c>
      <c r="CI275" s="9">
        <v>70</v>
      </c>
      <c r="CJ275" s="9">
        <v>64</v>
      </c>
      <c r="CK275" s="9">
        <v>59</v>
      </c>
      <c r="CL275" s="9">
        <v>51</v>
      </c>
      <c r="CM275" s="9">
        <v>53</v>
      </c>
      <c r="CN275" s="9">
        <v>55</v>
      </c>
      <c r="CO275" s="9">
        <v>59</v>
      </c>
      <c r="CP275" s="9">
        <v>57</v>
      </c>
      <c r="CQ275" s="9">
        <v>63</v>
      </c>
      <c r="CR275" s="9">
        <v>63</v>
      </c>
      <c r="CS275" s="9">
        <v>66</v>
      </c>
      <c r="CT275" s="9">
        <v>61</v>
      </c>
      <c r="CU275" s="9">
        <v>67</v>
      </c>
      <c r="CV275" s="9">
        <v>64</v>
      </c>
      <c r="CW275" s="9">
        <v>71</v>
      </c>
      <c r="CX275" s="9">
        <v>73</v>
      </c>
      <c r="CY275" s="9">
        <v>23</v>
      </c>
      <c r="CZ275" s="9">
        <v>60</v>
      </c>
      <c r="DA275" s="9">
        <v>60</v>
      </c>
      <c r="DB275" s="9">
        <v>60</v>
      </c>
      <c r="DC275" s="9">
        <v>45</v>
      </c>
      <c r="DD275" s="9">
        <v>62</v>
      </c>
      <c r="DE275" s="9">
        <v>58</v>
      </c>
      <c r="DF275" s="9">
        <v>56</v>
      </c>
      <c r="DG275" s="9">
        <v>51</v>
      </c>
      <c r="DH275" s="9">
        <v>52</v>
      </c>
      <c r="DI275" s="9">
        <v>59</v>
      </c>
      <c r="DJ275" s="9">
        <v>60</v>
      </c>
      <c r="DK275" s="9">
        <v>59</v>
      </c>
      <c r="DL275" s="9">
        <v>64</v>
      </c>
      <c r="DM275" s="9">
        <v>58</v>
      </c>
      <c r="DN275" s="9">
        <v>59</v>
      </c>
      <c r="DO275" s="9">
        <v>59</v>
      </c>
      <c r="DP275" s="9">
        <v>63</v>
      </c>
      <c r="DQ275" s="9">
        <v>60</v>
      </c>
      <c r="DR275" s="9">
        <v>64</v>
      </c>
      <c r="DS275" s="9">
        <v>59</v>
      </c>
      <c r="DT275" s="9">
        <v>54</v>
      </c>
      <c r="DU275" s="9">
        <v>45</v>
      </c>
      <c r="DV275" s="9">
        <v>45</v>
      </c>
      <c r="DW275" s="9">
        <v>45</v>
      </c>
      <c r="DX275" s="9">
        <v>43</v>
      </c>
      <c r="DY275" s="9">
        <v>36</v>
      </c>
      <c r="DZ275" s="9">
        <v>34</v>
      </c>
      <c r="EA275" s="9">
        <v>29</v>
      </c>
      <c r="EB275" s="9">
        <v>26</v>
      </c>
      <c r="EC275" s="9">
        <v>26</v>
      </c>
      <c r="ED275" s="9">
        <v>0</v>
      </c>
      <c r="EE275" s="9">
        <v>25</v>
      </c>
      <c r="EF275" s="9">
        <v>25</v>
      </c>
      <c r="EG275" s="9">
        <v>20</v>
      </c>
      <c r="EH275" s="9">
        <v>22</v>
      </c>
      <c r="EI275" s="9">
        <v>19</v>
      </c>
      <c r="EJ275" s="9">
        <v>18</v>
      </c>
      <c r="EK275" s="9">
        <v>18</v>
      </c>
      <c r="EL275" s="9">
        <v>19</v>
      </c>
      <c r="EM275" s="9">
        <v>18</v>
      </c>
      <c r="EN275" s="9">
        <v>15</v>
      </c>
      <c r="EO275" s="9">
        <v>15</v>
      </c>
      <c r="EP275" s="9">
        <v>14</v>
      </c>
      <c r="EQ275" s="9">
        <v>15</v>
      </c>
      <c r="ER275" s="9">
        <v>15</v>
      </c>
      <c r="ES275" s="9">
        <v>14</v>
      </c>
      <c r="ET275" s="9">
        <v>13</v>
      </c>
      <c r="EU275" s="9">
        <v>14</v>
      </c>
      <c r="EV275" s="9">
        <v>16</v>
      </c>
      <c r="EW275" s="9">
        <v>15</v>
      </c>
      <c r="EX275" s="9">
        <v>13</v>
      </c>
      <c r="EY275" s="9">
        <v>12</v>
      </c>
      <c r="EZ275" s="9">
        <v>12</v>
      </c>
      <c r="FA275" s="9">
        <v>12</v>
      </c>
      <c r="FB275" s="9">
        <v>11</v>
      </c>
      <c r="FC275" s="9">
        <v>9</v>
      </c>
      <c r="FD275" s="9">
        <v>8</v>
      </c>
      <c r="FE275" s="9">
        <v>8</v>
      </c>
      <c r="FF275" s="9">
        <v>8</v>
      </c>
      <c r="FG275" s="9">
        <v>7</v>
      </c>
      <c r="FH275" s="9">
        <v>5</v>
      </c>
      <c r="FI275" s="9">
        <v>0</v>
      </c>
      <c r="FJ275" s="9">
        <v>4</v>
      </c>
      <c r="FK275" s="9">
        <v>3</v>
      </c>
      <c r="FL275" s="9">
        <v>5</v>
      </c>
      <c r="FM275" s="10">
        <v>6</v>
      </c>
    </row>
    <row r="276" spans="1:169" x14ac:dyDescent="0.35">
      <c r="A276" s="8" t="s">
        <v>413</v>
      </c>
      <c r="B276" s="9" t="s">
        <v>472</v>
      </c>
      <c r="C276" s="10" t="s">
        <v>473</v>
      </c>
      <c r="D276" s="62">
        <f t="shared" si="101"/>
        <v>57</v>
      </c>
      <c r="E276" s="9">
        <v>0</v>
      </c>
      <c r="F276" s="9">
        <v>0</v>
      </c>
      <c r="G276" s="9">
        <v>1</v>
      </c>
      <c r="H276" s="9">
        <v>1</v>
      </c>
      <c r="I276" s="9">
        <v>2</v>
      </c>
      <c r="J276" s="9">
        <v>1</v>
      </c>
      <c r="K276" s="9">
        <v>0</v>
      </c>
      <c r="L276" s="9">
        <v>0</v>
      </c>
      <c r="M276" s="9">
        <v>0</v>
      </c>
      <c r="N276" s="9">
        <v>0</v>
      </c>
      <c r="O276" s="9">
        <v>0</v>
      </c>
      <c r="P276" s="9">
        <v>1</v>
      </c>
      <c r="Q276" s="9">
        <v>2</v>
      </c>
      <c r="R276" s="9">
        <v>9</v>
      </c>
      <c r="S276" s="9">
        <v>14</v>
      </c>
      <c r="T276" s="9">
        <v>15</v>
      </c>
      <c r="U276" s="9">
        <v>22</v>
      </c>
      <c r="V276" s="9">
        <v>25</v>
      </c>
      <c r="W276" s="9">
        <v>0</v>
      </c>
      <c r="X276" s="9">
        <v>25</v>
      </c>
      <c r="Y276" s="9">
        <v>30</v>
      </c>
      <c r="Z276" s="9">
        <v>40</v>
      </c>
      <c r="AA276" s="9">
        <v>47</v>
      </c>
      <c r="AB276" s="9">
        <v>49</v>
      </c>
      <c r="AC276" s="9">
        <v>46</v>
      </c>
      <c r="AD276" s="9">
        <v>44</v>
      </c>
      <c r="AE276" s="9">
        <v>51</v>
      </c>
      <c r="AF276" s="9">
        <v>50</v>
      </c>
      <c r="AG276" s="9">
        <v>54</v>
      </c>
      <c r="AH276" s="9">
        <v>57</v>
      </c>
      <c r="AI276" s="9">
        <v>57</v>
      </c>
      <c r="AJ276" s="9">
        <v>52</v>
      </c>
      <c r="AK276" s="9">
        <v>52</v>
      </c>
      <c r="AL276" s="9">
        <v>45</v>
      </c>
      <c r="AM276" s="9">
        <v>44</v>
      </c>
      <c r="AN276" s="9">
        <v>40</v>
      </c>
      <c r="AO276" s="9">
        <v>37</v>
      </c>
      <c r="AP276" s="9">
        <v>33</v>
      </c>
      <c r="AQ276" s="9">
        <v>29</v>
      </c>
      <c r="AR276" s="9">
        <v>26</v>
      </c>
      <c r="AS276" s="9">
        <v>21</v>
      </c>
      <c r="AT276" s="9">
        <v>22</v>
      </c>
      <c r="AU276" s="9">
        <v>17</v>
      </c>
      <c r="AV276" s="9">
        <v>15</v>
      </c>
      <c r="AW276" s="9">
        <v>17</v>
      </c>
      <c r="AX276" s="9">
        <v>16</v>
      </c>
      <c r="AY276" s="9">
        <v>14</v>
      </c>
      <c r="AZ276" s="9">
        <v>12</v>
      </c>
      <c r="BA276" s="9">
        <v>12</v>
      </c>
      <c r="BB276" s="9">
        <v>8</v>
      </c>
      <c r="BC276" s="9">
        <v>10</v>
      </c>
      <c r="BD276" s="9">
        <v>9</v>
      </c>
      <c r="BE276" s="9">
        <v>8</v>
      </c>
      <c r="BF276" s="9">
        <v>10</v>
      </c>
      <c r="BG276" s="9">
        <v>8</v>
      </c>
      <c r="BH276" s="9">
        <v>8</v>
      </c>
      <c r="BI276" s="9">
        <v>8</v>
      </c>
      <c r="BJ276" s="9">
        <v>7</v>
      </c>
      <c r="BK276" s="9">
        <v>6</v>
      </c>
      <c r="BL276" s="9">
        <v>7</v>
      </c>
      <c r="BM276" s="9">
        <v>4</v>
      </c>
      <c r="BN276" s="9">
        <v>3</v>
      </c>
      <c r="BO276" s="9">
        <v>5</v>
      </c>
      <c r="BP276" s="9">
        <v>5</v>
      </c>
      <c r="BQ276" s="9">
        <v>6</v>
      </c>
      <c r="BR276" s="9">
        <v>6</v>
      </c>
      <c r="BS276" s="9">
        <v>5</v>
      </c>
      <c r="BT276" s="9">
        <v>4</v>
      </c>
      <c r="BU276" s="9">
        <v>4</v>
      </c>
      <c r="BV276" s="9">
        <v>5</v>
      </c>
      <c r="BW276" s="9">
        <v>6</v>
      </c>
      <c r="BX276" s="9">
        <v>5</v>
      </c>
      <c r="BY276" s="9">
        <v>6</v>
      </c>
      <c r="BZ276" s="9">
        <v>6</v>
      </c>
      <c r="CA276" s="9">
        <v>5</v>
      </c>
      <c r="CB276" s="9">
        <v>6</v>
      </c>
      <c r="CC276" s="9">
        <v>6</v>
      </c>
      <c r="CD276" s="9">
        <v>6</v>
      </c>
      <c r="CE276" s="9">
        <v>8</v>
      </c>
      <c r="CF276" s="9">
        <v>7</v>
      </c>
      <c r="CG276" s="9">
        <v>7</v>
      </c>
      <c r="CH276" s="9">
        <v>7</v>
      </c>
      <c r="CI276" s="9">
        <v>6</v>
      </c>
      <c r="CJ276" s="9">
        <v>6</v>
      </c>
      <c r="CK276" s="9">
        <v>6</v>
      </c>
      <c r="CL276" s="9">
        <v>5</v>
      </c>
      <c r="CM276" s="9">
        <v>4</v>
      </c>
      <c r="CN276" s="9">
        <v>2</v>
      </c>
      <c r="CO276" s="9">
        <v>2</v>
      </c>
      <c r="CP276" s="9">
        <v>3</v>
      </c>
      <c r="CQ276" s="9">
        <v>2</v>
      </c>
      <c r="CR276" s="9">
        <v>1</v>
      </c>
      <c r="CS276" s="9">
        <v>0</v>
      </c>
      <c r="CT276" s="9">
        <v>0</v>
      </c>
      <c r="CU276" s="9">
        <v>0</v>
      </c>
      <c r="CV276" s="9">
        <v>0</v>
      </c>
      <c r="CW276" s="9">
        <v>0</v>
      </c>
      <c r="CX276" s="9">
        <v>0</v>
      </c>
      <c r="CY276" s="9">
        <v>0</v>
      </c>
      <c r="CZ276" s="9">
        <v>0</v>
      </c>
      <c r="DA276" s="9">
        <v>0</v>
      </c>
      <c r="DB276" s="9">
        <v>0</v>
      </c>
      <c r="DC276" s="9">
        <v>0</v>
      </c>
      <c r="DD276" s="9">
        <v>0</v>
      </c>
      <c r="DE276" s="9">
        <v>0</v>
      </c>
      <c r="DF276" s="9">
        <v>0</v>
      </c>
      <c r="DG276" s="9">
        <v>0</v>
      </c>
      <c r="DH276" s="9">
        <v>0</v>
      </c>
      <c r="DI276" s="9">
        <v>0</v>
      </c>
      <c r="DJ276" s="9">
        <v>0</v>
      </c>
      <c r="DK276" s="9">
        <v>0</v>
      </c>
      <c r="DL276" s="9">
        <v>0</v>
      </c>
      <c r="DM276" s="9">
        <v>0</v>
      </c>
      <c r="DN276" s="9">
        <v>0</v>
      </c>
      <c r="DO276" s="9">
        <v>0</v>
      </c>
      <c r="DP276" s="9">
        <v>0</v>
      </c>
      <c r="DQ276" s="9">
        <v>0</v>
      </c>
      <c r="DR276" s="9">
        <v>0</v>
      </c>
      <c r="DS276" s="9">
        <v>0</v>
      </c>
      <c r="DT276" s="9">
        <v>0</v>
      </c>
      <c r="DU276" s="9">
        <v>0</v>
      </c>
      <c r="DV276" s="9">
        <v>0</v>
      </c>
      <c r="DW276" s="9">
        <v>0</v>
      </c>
      <c r="DX276" s="9">
        <v>0</v>
      </c>
      <c r="DY276" s="9">
        <v>0</v>
      </c>
      <c r="DZ276" s="9">
        <v>0</v>
      </c>
      <c r="EA276" s="9">
        <v>0</v>
      </c>
      <c r="EB276" s="9">
        <v>0</v>
      </c>
      <c r="EC276" s="9">
        <v>0</v>
      </c>
      <c r="ED276" s="9">
        <v>0</v>
      </c>
      <c r="EE276" s="9">
        <v>0</v>
      </c>
      <c r="EF276" s="9">
        <v>0</v>
      </c>
      <c r="EG276" s="9">
        <v>0</v>
      </c>
      <c r="EH276" s="9">
        <v>0</v>
      </c>
      <c r="EI276" s="9">
        <v>0</v>
      </c>
      <c r="EJ276" s="9">
        <v>0</v>
      </c>
      <c r="EK276" s="9">
        <v>0</v>
      </c>
      <c r="EL276" s="9">
        <v>0</v>
      </c>
      <c r="EM276" s="9">
        <v>0</v>
      </c>
      <c r="EN276" s="9">
        <v>0</v>
      </c>
      <c r="EO276" s="9">
        <v>0</v>
      </c>
      <c r="EP276" s="9">
        <v>0</v>
      </c>
      <c r="EQ276" s="9">
        <v>0</v>
      </c>
      <c r="ER276" s="9">
        <v>0</v>
      </c>
      <c r="ES276" s="9">
        <v>0</v>
      </c>
      <c r="ET276" s="9">
        <v>0</v>
      </c>
      <c r="EU276" s="9">
        <v>0</v>
      </c>
      <c r="EV276" s="9">
        <v>0</v>
      </c>
      <c r="EW276" s="9">
        <v>0</v>
      </c>
      <c r="EX276" s="9">
        <v>0</v>
      </c>
      <c r="EY276" s="9">
        <v>0</v>
      </c>
      <c r="EZ276" s="9">
        <v>0</v>
      </c>
      <c r="FA276" s="9">
        <v>0</v>
      </c>
      <c r="FB276" s="9">
        <v>0</v>
      </c>
      <c r="FC276" s="9">
        <v>0</v>
      </c>
      <c r="FD276" s="9">
        <v>0</v>
      </c>
      <c r="FE276" s="9">
        <v>0</v>
      </c>
      <c r="FF276" s="9">
        <v>0</v>
      </c>
      <c r="FG276" s="9">
        <v>0</v>
      </c>
      <c r="FH276" s="9">
        <v>0</v>
      </c>
      <c r="FI276" s="9">
        <v>0</v>
      </c>
      <c r="FJ276" s="9">
        <v>0</v>
      </c>
      <c r="FK276" s="9">
        <v>0</v>
      </c>
      <c r="FL276" s="9">
        <v>0</v>
      </c>
      <c r="FM276" s="10">
        <v>0</v>
      </c>
    </row>
    <row r="277" spans="1:169" x14ac:dyDescent="0.35">
      <c r="A277" s="8" t="s">
        <v>413</v>
      </c>
      <c r="B277" s="9" t="s">
        <v>474</v>
      </c>
      <c r="C277" s="10" t="s">
        <v>475</v>
      </c>
      <c r="D277" s="62">
        <f t="shared" si="101"/>
        <v>98</v>
      </c>
      <c r="E277" s="9">
        <v>4</v>
      </c>
      <c r="F277" s="9">
        <v>8</v>
      </c>
      <c r="G277" s="9">
        <v>9</v>
      </c>
      <c r="H277" s="9">
        <v>8</v>
      </c>
      <c r="I277" s="9">
        <v>13</v>
      </c>
      <c r="J277" s="9">
        <v>11</v>
      </c>
      <c r="K277" s="9">
        <v>36</v>
      </c>
      <c r="L277" s="9">
        <v>49</v>
      </c>
      <c r="M277" s="9">
        <v>50</v>
      </c>
      <c r="N277" s="9">
        <v>35</v>
      </c>
      <c r="O277" s="9">
        <v>60</v>
      </c>
      <c r="P277" s="9">
        <v>58</v>
      </c>
      <c r="Q277" s="9">
        <v>70</v>
      </c>
      <c r="R277" s="9">
        <v>77</v>
      </c>
      <c r="S277" s="9">
        <v>80</v>
      </c>
      <c r="T277" s="9">
        <v>86</v>
      </c>
      <c r="U277" s="9">
        <v>90</v>
      </c>
      <c r="V277" s="9">
        <v>94</v>
      </c>
      <c r="W277" s="9">
        <v>94</v>
      </c>
      <c r="X277" s="9">
        <v>98</v>
      </c>
      <c r="Y277" s="9">
        <v>95</v>
      </c>
      <c r="Z277" s="9">
        <v>86</v>
      </c>
      <c r="AA277" s="9">
        <v>90</v>
      </c>
      <c r="AB277" s="9">
        <v>85</v>
      </c>
      <c r="AC277" s="9">
        <v>88</v>
      </c>
      <c r="AD277" s="9">
        <v>88</v>
      </c>
      <c r="AE277" s="9">
        <v>84</v>
      </c>
      <c r="AF277" s="9">
        <v>87</v>
      </c>
      <c r="AG277" s="9">
        <v>82</v>
      </c>
      <c r="AH277" s="9">
        <v>75</v>
      </c>
      <c r="AI277" s="9">
        <v>80</v>
      </c>
      <c r="AJ277" s="9">
        <v>81</v>
      </c>
      <c r="AK277" s="9">
        <v>74</v>
      </c>
      <c r="AL277" s="9">
        <v>73</v>
      </c>
      <c r="AM277" s="9">
        <v>69</v>
      </c>
      <c r="AN277" s="9">
        <v>65</v>
      </c>
      <c r="AO277" s="9">
        <v>57</v>
      </c>
      <c r="AP277" s="9">
        <v>51</v>
      </c>
      <c r="AQ277" s="9">
        <v>49</v>
      </c>
      <c r="AR277" s="9">
        <v>53</v>
      </c>
      <c r="AS277" s="9">
        <v>51</v>
      </c>
      <c r="AT277" s="9">
        <v>56</v>
      </c>
      <c r="AU277" s="9">
        <v>49</v>
      </c>
      <c r="AV277" s="9">
        <v>39</v>
      </c>
      <c r="AW277" s="9">
        <v>39</v>
      </c>
      <c r="AX277" s="9">
        <v>47</v>
      </c>
      <c r="AY277" s="9">
        <v>36</v>
      </c>
      <c r="AZ277" s="9">
        <v>42</v>
      </c>
      <c r="BA277" s="9">
        <v>36</v>
      </c>
      <c r="BB277" s="9">
        <v>35</v>
      </c>
      <c r="BC277" s="9">
        <v>33</v>
      </c>
      <c r="BD277" s="9">
        <v>35</v>
      </c>
      <c r="BE277" s="9">
        <v>33</v>
      </c>
      <c r="BF277" s="9">
        <v>33</v>
      </c>
      <c r="BG277" s="9">
        <v>27</v>
      </c>
      <c r="BH277" s="9">
        <v>25</v>
      </c>
      <c r="BI277" s="9">
        <v>25</v>
      </c>
      <c r="BJ277" s="9">
        <v>25</v>
      </c>
      <c r="BK277" s="9">
        <v>22</v>
      </c>
      <c r="BL277" s="9">
        <v>22</v>
      </c>
      <c r="BM277" s="9">
        <v>18</v>
      </c>
      <c r="BN277" s="9">
        <v>21</v>
      </c>
      <c r="BO277" s="9">
        <v>24</v>
      </c>
      <c r="BP277" s="9">
        <v>26</v>
      </c>
      <c r="BQ277" s="9">
        <v>25</v>
      </c>
      <c r="BR277" s="9">
        <v>24</v>
      </c>
      <c r="BS277" s="9">
        <v>24</v>
      </c>
      <c r="BT277" s="9">
        <v>24</v>
      </c>
      <c r="BU277" s="9">
        <v>30</v>
      </c>
      <c r="BV277" s="9">
        <v>27</v>
      </c>
      <c r="BW277" s="9">
        <v>25</v>
      </c>
      <c r="BX277" s="9">
        <v>27</v>
      </c>
      <c r="BY277" s="9">
        <v>31</v>
      </c>
      <c r="BZ277" s="9">
        <v>31</v>
      </c>
      <c r="CA277" s="9">
        <v>29</v>
      </c>
      <c r="CB277" s="9">
        <v>32</v>
      </c>
      <c r="CC277" s="9">
        <v>37</v>
      </c>
      <c r="CD277" s="9">
        <v>36</v>
      </c>
      <c r="CE277" s="9">
        <v>31</v>
      </c>
      <c r="CF277" s="9">
        <v>34</v>
      </c>
      <c r="CG277" s="9">
        <v>32</v>
      </c>
      <c r="CH277" s="9">
        <v>29</v>
      </c>
      <c r="CI277" s="9">
        <v>29</v>
      </c>
      <c r="CJ277" s="9">
        <v>26</v>
      </c>
      <c r="CK277" s="9">
        <v>23</v>
      </c>
      <c r="CL277" s="9">
        <v>21</v>
      </c>
      <c r="CM277" s="9">
        <v>23</v>
      </c>
      <c r="CN277" s="9">
        <v>22</v>
      </c>
      <c r="CO277" s="9">
        <v>24</v>
      </c>
      <c r="CP277" s="9">
        <v>18</v>
      </c>
      <c r="CQ277" s="9">
        <v>13</v>
      </c>
      <c r="CR277" s="9">
        <v>13</v>
      </c>
      <c r="CS277" s="9">
        <v>12</v>
      </c>
      <c r="CT277" s="9">
        <v>11</v>
      </c>
      <c r="CU277" s="9">
        <v>10</v>
      </c>
      <c r="CV277" s="9">
        <v>11</v>
      </c>
      <c r="CW277" s="9">
        <v>11</v>
      </c>
      <c r="CX277" s="9">
        <v>10</v>
      </c>
      <c r="CY277" s="9">
        <v>8</v>
      </c>
      <c r="CZ277" s="9">
        <v>6</v>
      </c>
      <c r="DA277" s="9">
        <v>5</v>
      </c>
      <c r="DB277" s="9">
        <v>5</v>
      </c>
      <c r="DC277" s="9">
        <v>3</v>
      </c>
      <c r="DD277" s="9">
        <v>4</v>
      </c>
      <c r="DE277" s="9">
        <v>4</v>
      </c>
      <c r="DF277" s="9">
        <v>3</v>
      </c>
      <c r="DG277" s="9">
        <v>3</v>
      </c>
      <c r="DH277" s="9">
        <v>2</v>
      </c>
      <c r="DI277" s="9">
        <v>2</v>
      </c>
      <c r="DJ277" s="9">
        <v>2</v>
      </c>
      <c r="DK277" s="9">
        <v>2</v>
      </c>
      <c r="DL277" s="9">
        <v>1</v>
      </c>
      <c r="DM277" s="9">
        <v>1</v>
      </c>
      <c r="DN277" s="9">
        <v>0</v>
      </c>
      <c r="DO277" s="9">
        <v>0</v>
      </c>
      <c r="DP277" s="9">
        <v>1</v>
      </c>
      <c r="DQ277" s="9">
        <v>1</v>
      </c>
      <c r="DR277" s="9">
        <v>2</v>
      </c>
      <c r="DS277" s="9">
        <v>1</v>
      </c>
      <c r="DT277" s="9">
        <v>1</v>
      </c>
      <c r="DU277" s="9">
        <v>1</v>
      </c>
      <c r="DV277" s="9">
        <v>2</v>
      </c>
      <c r="DW277" s="9">
        <v>2</v>
      </c>
      <c r="DX277" s="9">
        <v>2</v>
      </c>
      <c r="DY277" s="9">
        <v>2</v>
      </c>
      <c r="DZ277" s="9">
        <v>0</v>
      </c>
      <c r="EA277" s="9">
        <v>0</v>
      </c>
      <c r="EB277" s="9">
        <v>0</v>
      </c>
      <c r="EC277" s="9">
        <v>0</v>
      </c>
      <c r="ED277" s="9">
        <v>0</v>
      </c>
      <c r="EE277" s="9">
        <v>0</v>
      </c>
      <c r="EF277" s="9">
        <v>0</v>
      </c>
      <c r="EG277" s="9">
        <v>0</v>
      </c>
      <c r="EH277" s="9">
        <v>0</v>
      </c>
      <c r="EI277" s="9">
        <v>0</v>
      </c>
      <c r="EJ277" s="9">
        <v>0</v>
      </c>
      <c r="EK277" s="9">
        <v>0</v>
      </c>
      <c r="EL277" s="9">
        <v>0</v>
      </c>
      <c r="EM277" s="9">
        <v>0</v>
      </c>
      <c r="EN277" s="9">
        <v>0</v>
      </c>
      <c r="EO277" s="9">
        <v>0</v>
      </c>
      <c r="EP277" s="9">
        <v>0</v>
      </c>
      <c r="EQ277" s="9">
        <v>0</v>
      </c>
      <c r="ER277" s="9">
        <v>0</v>
      </c>
      <c r="ES277" s="9">
        <v>0</v>
      </c>
      <c r="ET277" s="9">
        <v>0</v>
      </c>
      <c r="EU277" s="9">
        <v>0</v>
      </c>
      <c r="EV277" s="9">
        <v>0</v>
      </c>
      <c r="EW277" s="9">
        <v>0</v>
      </c>
      <c r="EX277" s="9">
        <v>0</v>
      </c>
      <c r="EY277" s="9">
        <v>0</v>
      </c>
      <c r="EZ277" s="9">
        <v>0</v>
      </c>
      <c r="FA277" s="9">
        <v>0</v>
      </c>
      <c r="FB277" s="9">
        <v>0</v>
      </c>
      <c r="FC277" s="9">
        <v>1</v>
      </c>
      <c r="FD277" s="9">
        <v>1</v>
      </c>
      <c r="FE277" s="9">
        <v>1</v>
      </c>
      <c r="FF277" s="9">
        <v>1</v>
      </c>
      <c r="FG277" s="9">
        <v>1</v>
      </c>
      <c r="FH277" s="9">
        <v>1</v>
      </c>
      <c r="FI277" s="9">
        <v>1</v>
      </c>
      <c r="FJ277" s="9">
        <v>0</v>
      </c>
      <c r="FK277" s="9">
        <v>0</v>
      </c>
      <c r="FL277" s="9">
        <v>0</v>
      </c>
      <c r="FM277" s="10">
        <v>0</v>
      </c>
    </row>
    <row r="278" spans="1:169" x14ac:dyDescent="0.35">
      <c r="A278" s="8" t="s">
        <v>413</v>
      </c>
      <c r="B278" s="9" t="s">
        <v>476</v>
      </c>
      <c r="C278" s="10" t="s">
        <v>477</v>
      </c>
      <c r="D278" s="62">
        <f t="shared" si="101"/>
        <v>57</v>
      </c>
      <c r="E278" s="9">
        <v>0</v>
      </c>
      <c r="F278" s="9">
        <v>4</v>
      </c>
      <c r="G278" s="9">
        <v>4</v>
      </c>
      <c r="H278" s="9">
        <v>0</v>
      </c>
      <c r="I278" s="9">
        <v>3</v>
      </c>
      <c r="J278" s="9">
        <v>1</v>
      </c>
      <c r="K278" s="9">
        <v>5</v>
      </c>
      <c r="L278" s="9">
        <v>5</v>
      </c>
      <c r="M278" s="9">
        <v>12</v>
      </c>
      <c r="N278" s="9">
        <v>11</v>
      </c>
      <c r="O278" s="9">
        <v>10</v>
      </c>
      <c r="P278" s="9">
        <v>11</v>
      </c>
      <c r="Q278" s="9">
        <v>13</v>
      </c>
      <c r="R278" s="9">
        <v>0</v>
      </c>
      <c r="S278" s="9">
        <v>19</v>
      </c>
      <c r="T278" s="9">
        <v>24</v>
      </c>
      <c r="U278" s="9">
        <v>32</v>
      </c>
      <c r="V278" s="9">
        <v>40</v>
      </c>
      <c r="W278" s="9">
        <v>44</v>
      </c>
      <c r="X278" s="9">
        <v>47</v>
      </c>
      <c r="Y278" s="9">
        <v>42</v>
      </c>
      <c r="Z278" s="9">
        <v>43</v>
      </c>
      <c r="AA278" s="9">
        <v>46</v>
      </c>
      <c r="AB278" s="9">
        <v>48</v>
      </c>
      <c r="AC278" s="9">
        <v>52</v>
      </c>
      <c r="AD278" s="9">
        <v>53</v>
      </c>
      <c r="AE278" s="9">
        <v>0</v>
      </c>
      <c r="AF278" s="9">
        <v>57</v>
      </c>
      <c r="AG278" s="9">
        <v>39</v>
      </c>
      <c r="AH278" s="9">
        <v>47</v>
      </c>
      <c r="AI278" s="9">
        <v>48</v>
      </c>
      <c r="AJ278" s="9">
        <v>44</v>
      </c>
      <c r="AK278" s="9">
        <v>43</v>
      </c>
      <c r="AL278" s="9">
        <v>40</v>
      </c>
      <c r="AM278" s="9">
        <v>42</v>
      </c>
      <c r="AN278" s="9">
        <v>0</v>
      </c>
      <c r="AO278" s="9">
        <v>45</v>
      </c>
      <c r="AP278" s="9">
        <v>41</v>
      </c>
      <c r="AQ278" s="9">
        <v>39</v>
      </c>
      <c r="AR278" s="9">
        <v>38</v>
      </c>
      <c r="AS278" s="9">
        <v>34</v>
      </c>
      <c r="AT278" s="9">
        <v>34</v>
      </c>
      <c r="AU278" s="9">
        <v>36</v>
      </c>
      <c r="AV278" s="9">
        <v>39</v>
      </c>
      <c r="AW278" s="9">
        <v>31</v>
      </c>
      <c r="AX278" s="9">
        <v>27</v>
      </c>
      <c r="AY278" s="9">
        <v>27</v>
      </c>
      <c r="AZ278" s="9">
        <v>25</v>
      </c>
      <c r="BA278" s="9">
        <v>25</v>
      </c>
      <c r="BB278" s="9">
        <v>19</v>
      </c>
      <c r="BC278" s="9">
        <v>15</v>
      </c>
      <c r="BD278" s="9">
        <v>14</v>
      </c>
      <c r="BE278" s="9">
        <v>16</v>
      </c>
      <c r="BF278" s="9">
        <v>14</v>
      </c>
      <c r="BG278" s="9">
        <v>15</v>
      </c>
      <c r="BH278" s="9">
        <v>13</v>
      </c>
      <c r="BI278" s="9">
        <v>13</v>
      </c>
      <c r="BJ278" s="9">
        <v>12</v>
      </c>
      <c r="BK278" s="9">
        <v>11</v>
      </c>
      <c r="BL278" s="9">
        <v>14</v>
      </c>
      <c r="BM278" s="9">
        <v>14</v>
      </c>
      <c r="BN278" s="9">
        <v>14</v>
      </c>
      <c r="BO278" s="9">
        <v>14</v>
      </c>
      <c r="BP278" s="9">
        <v>12</v>
      </c>
      <c r="BQ278" s="9">
        <v>3</v>
      </c>
      <c r="BR278" s="9">
        <v>11</v>
      </c>
      <c r="BS278" s="9">
        <v>9</v>
      </c>
      <c r="BT278" s="9">
        <v>10</v>
      </c>
      <c r="BU278" s="9">
        <v>8</v>
      </c>
      <c r="BV278" s="9">
        <v>8</v>
      </c>
      <c r="BW278" s="9">
        <v>7</v>
      </c>
      <c r="BX278" s="9">
        <v>7</v>
      </c>
      <c r="BY278" s="9">
        <v>5</v>
      </c>
      <c r="BZ278" s="9">
        <v>6</v>
      </c>
      <c r="CA278" s="9">
        <v>4</v>
      </c>
      <c r="CB278" s="9">
        <v>5</v>
      </c>
      <c r="CC278" s="9">
        <v>4</v>
      </c>
      <c r="CD278" s="9">
        <v>5</v>
      </c>
      <c r="CE278" s="9">
        <v>1</v>
      </c>
      <c r="CF278" s="9">
        <v>4</v>
      </c>
      <c r="CG278" s="9">
        <v>7</v>
      </c>
      <c r="CH278" s="9">
        <v>6</v>
      </c>
      <c r="CI278" s="9">
        <v>1</v>
      </c>
      <c r="CJ278" s="9">
        <v>4</v>
      </c>
      <c r="CK278" s="9">
        <v>3</v>
      </c>
      <c r="CL278" s="9">
        <v>3</v>
      </c>
      <c r="CM278" s="9">
        <v>3</v>
      </c>
      <c r="CN278" s="9">
        <v>3</v>
      </c>
      <c r="CO278" s="9">
        <v>2</v>
      </c>
      <c r="CP278" s="9">
        <v>1</v>
      </c>
      <c r="CQ278" s="9">
        <v>0</v>
      </c>
      <c r="CR278" s="9">
        <v>0</v>
      </c>
      <c r="CS278" s="9">
        <v>0</v>
      </c>
      <c r="CT278" s="9">
        <v>0</v>
      </c>
      <c r="CU278" s="9">
        <v>0</v>
      </c>
      <c r="CV278" s="9">
        <v>0</v>
      </c>
      <c r="CW278" s="9">
        <v>0</v>
      </c>
      <c r="CX278" s="9">
        <v>0</v>
      </c>
      <c r="CY278" s="9">
        <v>0</v>
      </c>
      <c r="CZ278" s="9">
        <v>0</v>
      </c>
      <c r="DA278" s="9">
        <v>0</v>
      </c>
      <c r="DB278" s="9">
        <v>0</v>
      </c>
      <c r="DC278" s="9">
        <v>0</v>
      </c>
      <c r="DD278" s="9">
        <v>0</v>
      </c>
      <c r="DE278" s="9">
        <v>0</v>
      </c>
      <c r="DF278" s="9">
        <v>0</v>
      </c>
      <c r="DG278" s="9">
        <v>0</v>
      </c>
      <c r="DH278" s="9">
        <v>0</v>
      </c>
      <c r="DI278" s="9">
        <v>0</v>
      </c>
      <c r="DJ278" s="9">
        <v>0</v>
      </c>
      <c r="DK278" s="9">
        <v>0</v>
      </c>
      <c r="DL278" s="9">
        <v>0</v>
      </c>
      <c r="DM278" s="9">
        <v>0</v>
      </c>
      <c r="DN278" s="9">
        <v>0</v>
      </c>
      <c r="DO278" s="9">
        <v>0</v>
      </c>
      <c r="DP278" s="9">
        <v>0</v>
      </c>
      <c r="DQ278" s="9">
        <v>0</v>
      </c>
      <c r="DR278" s="9">
        <v>0</v>
      </c>
      <c r="DS278" s="9">
        <v>0</v>
      </c>
      <c r="DT278" s="9">
        <v>0</v>
      </c>
      <c r="DU278" s="9">
        <v>0</v>
      </c>
      <c r="DV278" s="9">
        <v>0</v>
      </c>
      <c r="DW278" s="9">
        <v>0</v>
      </c>
      <c r="DX278" s="9">
        <v>0</v>
      </c>
      <c r="DY278" s="9">
        <v>0</v>
      </c>
      <c r="DZ278" s="9">
        <v>0</v>
      </c>
      <c r="EA278" s="9">
        <v>0</v>
      </c>
      <c r="EB278" s="9">
        <v>0</v>
      </c>
      <c r="EC278" s="9">
        <v>0</v>
      </c>
      <c r="ED278" s="9">
        <v>0</v>
      </c>
      <c r="EE278" s="9">
        <v>0</v>
      </c>
      <c r="EF278" s="9">
        <v>1</v>
      </c>
      <c r="EG278" s="9">
        <v>0</v>
      </c>
      <c r="EH278" s="9">
        <v>1</v>
      </c>
      <c r="EI278" s="9">
        <v>0</v>
      </c>
      <c r="EJ278" s="9">
        <v>0</v>
      </c>
      <c r="EK278" s="9">
        <v>0</v>
      </c>
      <c r="EL278" s="9">
        <v>0</v>
      </c>
      <c r="EM278" s="9">
        <v>0</v>
      </c>
      <c r="EN278" s="9">
        <v>0</v>
      </c>
      <c r="EO278" s="9">
        <v>0</v>
      </c>
      <c r="EP278" s="9">
        <v>0</v>
      </c>
      <c r="EQ278" s="9">
        <v>0</v>
      </c>
      <c r="ER278" s="9">
        <v>0</v>
      </c>
      <c r="ES278" s="9">
        <v>0</v>
      </c>
      <c r="ET278" s="9">
        <v>0</v>
      </c>
      <c r="EU278" s="9">
        <v>0</v>
      </c>
      <c r="EV278" s="9">
        <v>0</v>
      </c>
      <c r="EW278" s="9">
        <v>0</v>
      </c>
      <c r="EX278" s="9">
        <v>0</v>
      </c>
      <c r="EY278" s="9">
        <v>0</v>
      </c>
      <c r="EZ278" s="9">
        <v>0</v>
      </c>
      <c r="FA278" s="9">
        <v>0</v>
      </c>
      <c r="FB278" s="9">
        <v>0</v>
      </c>
      <c r="FC278" s="9">
        <v>0</v>
      </c>
      <c r="FD278" s="9">
        <v>0</v>
      </c>
      <c r="FE278" s="9">
        <v>0</v>
      </c>
      <c r="FF278" s="9">
        <v>0</v>
      </c>
      <c r="FG278" s="9">
        <v>0</v>
      </c>
      <c r="FH278" s="9">
        <v>0</v>
      </c>
      <c r="FI278" s="9">
        <v>0</v>
      </c>
      <c r="FJ278" s="9">
        <v>0</v>
      </c>
      <c r="FK278" s="9">
        <v>0</v>
      </c>
      <c r="FL278" s="9">
        <v>0</v>
      </c>
      <c r="FM278" s="10">
        <v>0</v>
      </c>
    </row>
    <row r="279" spans="1:169" x14ac:dyDescent="0.35">
      <c r="A279" s="8" t="s">
        <v>413</v>
      </c>
      <c r="B279" s="9" t="s">
        <v>478</v>
      </c>
      <c r="C279" s="10" t="s">
        <v>479</v>
      </c>
      <c r="D279" s="62">
        <f t="shared" si="101"/>
        <v>28</v>
      </c>
      <c r="E279" s="9">
        <v>0</v>
      </c>
      <c r="F279" s="9">
        <v>0</v>
      </c>
      <c r="G279" s="9">
        <v>0</v>
      </c>
      <c r="H279" s="9">
        <v>1</v>
      </c>
      <c r="I279" s="9">
        <v>1</v>
      </c>
      <c r="J279" s="9">
        <v>3</v>
      </c>
      <c r="K279" s="9">
        <v>4</v>
      </c>
      <c r="L279" s="9">
        <v>5</v>
      </c>
      <c r="M279" s="9">
        <v>6</v>
      </c>
      <c r="N279" s="9">
        <v>9</v>
      </c>
      <c r="O279" s="9">
        <v>11</v>
      </c>
      <c r="P279" s="9">
        <v>10</v>
      </c>
      <c r="Q279" s="9">
        <v>11</v>
      </c>
      <c r="R279" s="9">
        <v>9</v>
      </c>
      <c r="S279" s="9">
        <v>10</v>
      </c>
      <c r="T279" s="9">
        <v>9</v>
      </c>
      <c r="U279" s="9">
        <v>9</v>
      </c>
      <c r="V279" s="9">
        <v>5</v>
      </c>
      <c r="W279" s="9">
        <v>9</v>
      </c>
      <c r="X279" s="9">
        <v>9</v>
      </c>
      <c r="Y279" s="9">
        <v>8</v>
      </c>
      <c r="Z279" s="9">
        <v>13</v>
      </c>
      <c r="AA279" s="9">
        <v>15</v>
      </c>
      <c r="AB279" s="9">
        <v>13</v>
      </c>
      <c r="AC279" s="9">
        <v>15</v>
      </c>
      <c r="AD279" s="9">
        <v>10</v>
      </c>
      <c r="AE279" s="9">
        <v>9</v>
      </c>
      <c r="AF279" s="9">
        <v>9</v>
      </c>
      <c r="AG279" s="9">
        <v>9</v>
      </c>
      <c r="AH279" s="9">
        <v>13</v>
      </c>
      <c r="AI279" s="9">
        <v>14</v>
      </c>
      <c r="AJ279" s="9">
        <v>12</v>
      </c>
      <c r="AK279" s="9">
        <v>14</v>
      </c>
      <c r="AL279" s="9">
        <v>7</v>
      </c>
      <c r="AM279" s="9">
        <v>11</v>
      </c>
      <c r="AN279" s="9">
        <v>16</v>
      </c>
      <c r="AO279" s="9">
        <v>16</v>
      </c>
      <c r="AP279" s="9">
        <v>16</v>
      </c>
      <c r="AQ279" s="9">
        <v>18</v>
      </c>
      <c r="AR279" s="9">
        <v>15</v>
      </c>
      <c r="AS279" s="9">
        <v>17</v>
      </c>
      <c r="AT279" s="9">
        <v>17</v>
      </c>
      <c r="AU279" s="9">
        <v>28</v>
      </c>
      <c r="AV279" s="9">
        <v>28</v>
      </c>
      <c r="AW279" s="9">
        <v>26</v>
      </c>
      <c r="AX279" s="9">
        <v>24</v>
      </c>
      <c r="AY279" s="9">
        <v>24</v>
      </c>
      <c r="AZ279" s="9">
        <v>24</v>
      </c>
      <c r="BA279" s="9">
        <v>21</v>
      </c>
      <c r="BB279" s="9">
        <v>12</v>
      </c>
      <c r="BC279" s="9">
        <v>16</v>
      </c>
      <c r="BD279" s="9">
        <v>12</v>
      </c>
      <c r="BE279" s="9">
        <v>12</v>
      </c>
      <c r="BF279" s="9">
        <v>12</v>
      </c>
      <c r="BG279" s="9">
        <v>10</v>
      </c>
      <c r="BH279" s="9">
        <v>10</v>
      </c>
      <c r="BI279" s="9">
        <v>11</v>
      </c>
      <c r="BJ279" s="9">
        <v>11</v>
      </c>
      <c r="BK279" s="9">
        <v>11</v>
      </c>
      <c r="BL279" s="9">
        <v>8</v>
      </c>
      <c r="BM279" s="9">
        <v>6</v>
      </c>
      <c r="BN279" s="9">
        <v>6</v>
      </c>
      <c r="BO279" s="9">
        <v>6</v>
      </c>
      <c r="BP279" s="9">
        <v>0</v>
      </c>
      <c r="BQ279" s="9">
        <v>0</v>
      </c>
      <c r="BR279" s="9">
        <v>0</v>
      </c>
      <c r="BS279" s="9">
        <v>0</v>
      </c>
      <c r="BT279" s="9">
        <v>0</v>
      </c>
      <c r="BU279" s="9">
        <v>0</v>
      </c>
      <c r="BV279" s="9">
        <v>0</v>
      </c>
      <c r="BW279" s="9">
        <v>1</v>
      </c>
      <c r="BX279" s="9">
        <v>1</v>
      </c>
      <c r="BY279" s="9">
        <v>1</v>
      </c>
      <c r="BZ279" s="9">
        <v>1</v>
      </c>
      <c r="CA279" s="9">
        <v>1</v>
      </c>
      <c r="CB279" s="9">
        <v>1</v>
      </c>
      <c r="CC279" s="9">
        <v>1</v>
      </c>
      <c r="CD279" s="9">
        <v>3</v>
      </c>
      <c r="CE279" s="9">
        <v>3</v>
      </c>
      <c r="CF279" s="9">
        <v>3</v>
      </c>
      <c r="CG279" s="9">
        <v>3</v>
      </c>
      <c r="CH279" s="9">
        <v>4</v>
      </c>
      <c r="CI279" s="9">
        <v>2</v>
      </c>
      <c r="CJ279" s="9">
        <v>2</v>
      </c>
      <c r="CK279" s="9">
        <v>2</v>
      </c>
      <c r="CL279" s="9">
        <v>2</v>
      </c>
      <c r="CM279" s="9">
        <v>3</v>
      </c>
      <c r="CN279" s="9">
        <v>3</v>
      </c>
      <c r="CO279" s="9">
        <v>3</v>
      </c>
      <c r="CP279" s="9">
        <v>3</v>
      </c>
      <c r="CQ279" s="9">
        <v>3</v>
      </c>
      <c r="CR279" s="9">
        <v>3</v>
      </c>
      <c r="CS279" s="9">
        <v>4</v>
      </c>
      <c r="CT279" s="9">
        <v>4</v>
      </c>
      <c r="CU279" s="9">
        <v>3</v>
      </c>
      <c r="CV279" s="9">
        <v>1</v>
      </c>
      <c r="CW279" s="9">
        <v>1</v>
      </c>
      <c r="CX279" s="9">
        <v>1</v>
      </c>
      <c r="CY279" s="9">
        <v>1</v>
      </c>
      <c r="CZ279" s="9">
        <v>1</v>
      </c>
      <c r="DA279" s="9">
        <v>1</v>
      </c>
      <c r="DB279" s="9">
        <v>3</v>
      </c>
      <c r="DC279" s="9">
        <v>3</v>
      </c>
      <c r="DD279" s="9">
        <v>3</v>
      </c>
      <c r="DE279" s="9">
        <v>1</v>
      </c>
      <c r="DF279" s="9">
        <v>3</v>
      </c>
      <c r="DG279" s="9">
        <v>4</v>
      </c>
      <c r="DH279" s="9">
        <v>5</v>
      </c>
      <c r="DI279" s="9">
        <v>4</v>
      </c>
      <c r="DJ279" s="9">
        <v>4</v>
      </c>
      <c r="DK279" s="9">
        <v>4</v>
      </c>
      <c r="DL279" s="9">
        <v>2</v>
      </c>
      <c r="DM279" s="9">
        <v>2</v>
      </c>
      <c r="DN279" s="9">
        <v>0</v>
      </c>
      <c r="DO279" s="9">
        <v>2</v>
      </c>
      <c r="DP279" s="9">
        <v>2</v>
      </c>
      <c r="DQ279" s="9">
        <v>2</v>
      </c>
      <c r="DR279" s="9">
        <v>2</v>
      </c>
      <c r="DS279" s="9">
        <v>2</v>
      </c>
      <c r="DT279" s="9">
        <v>2</v>
      </c>
      <c r="DU279" s="9">
        <v>1</v>
      </c>
      <c r="DV279" s="9">
        <v>1</v>
      </c>
      <c r="DW279" s="9">
        <v>1</v>
      </c>
      <c r="DX279" s="9">
        <v>0</v>
      </c>
      <c r="DY279" s="9">
        <v>0</v>
      </c>
      <c r="DZ279" s="9">
        <v>0</v>
      </c>
      <c r="EA279" s="9">
        <v>2</v>
      </c>
      <c r="EB279" s="9">
        <v>2</v>
      </c>
      <c r="EC279" s="9">
        <v>2</v>
      </c>
      <c r="ED279" s="9">
        <v>2</v>
      </c>
      <c r="EE279" s="9">
        <v>2</v>
      </c>
      <c r="EF279" s="9">
        <v>2</v>
      </c>
      <c r="EG279" s="9">
        <v>2</v>
      </c>
      <c r="EH279" s="9">
        <v>2</v>
      </c>
      <c r="EI279" s="9">
        <v>0</v>
      </c>
      <c r="EJ279" s="9">
        <v>2</v>
      </c>
      <c r="EK279" s="9">
        <v>2</v>
      </c>
      <c r="EL279" s="9">
        <v>0</v>
      </c>
      <c r="EM279" s="9">
        <v>0</v>
      </c>
      <c r="EN279" s="9">
        <v>0</v>
      </c>
      <c r="EO279" s="9">
        <v>0</v>
      </c>
      <c r="EP279" s="9">
        <v>0</v>
      </c>
      <c r="EQ279" s="9">
        <v>0</v>
      </c>
      <c r="ER279" s="9">
        <v>0</v>
      </c>
      <c r="ES279" s="9">
        <v>0</v>
      </c>
      <c r="ET279" s="9">
        <v>0</v>
      </c>
      <c r="EU279" s="9">
        <v>0</v>
      </c>
      <c r="EV279" s="9">
        <v>0</v>
      </c>
      <c r="EW279" s="9">
        <v>0</v>
      </c>
      <c r="EX279" s="9">
        <v>0</v>
      </c>
      <c r="EY279" s="9">
        <v>0</v>
      </c>
      <c r="EZ279" s="9">
        <v>0</v>
      </c>
      <c r="FA279" s="9">
        <v>0</v>
      </c>
      <c r="FB279" s="9">
        <v>0</v>
      </c>
      <c r="FC279" s="9">
        <v>0</v>
      </c>
      <c r="FD279" s="9">
        <v>0</v>
      </c>
      <c r="FE279" s="9">
        <v>0</v>
      </c>
      <c r="FF279" s="9">
        <v>0</v>
      </c>
      <c r="FG279" s="9">
        <v>0</v>
      </c>
      <c r="FH279" s="9">
        <v>0</v>
      </c>
      <c r="FI279" s="9">
        <v>0</v>
      </c>
      <c r="FJ279" s="9">
        <v>0</v>
      </c>
      <c r="FK279" s="9">
        <v>0</v>
      </c>
      <c r="FL279" s="9">
        <v>0</v>
      </c>
      <c r="FM279" s="10">
        <v>0</v>
      </c>
    </row>
    <row r="280" spans="1:169" x14ac:dyDescent="0.35">
      <c r="A280" s="8" t="s">
        <v>413</v>
      </c>
      <c r="B280" s="9" t="s">
        <v>480</v>
      </c>
      <c r="C280" s="10" t="s">
        <v>481</v>
      </c>
      <c r="D280" s="62">
        <f t="shared" si="101"/>
        <v>74</v>
      </c>
      <c r="E280" s="9">
        <v>3</v>
      </c>
      <c r="F280" s="9">
        <v>5</v>
      </c>
      <c r="G280" s="9">
        <v>7</v>
      </c>
      <c r="H280" s="9">
        <v>7</v>
      </c>
      <c r="I280" s="9">
        <v>7</v>
      </c>
      <c r="J280" s="9">
        <v>7</v>
      </c>
      <c r="K280" s="9">
        <v>6</v>
      </c>
      <c r="L280" s="9">
        <v>8</v>
      </c>
      <c r="M280" s="9">
        <v>9</v>
      </c>
      <c r="N280" s="9">
        <v>21</v>
      </c>
      <c r="O280" s="9">
        <v>23</v>
      </c>
      <c r="P280" s="9">
        <v>24</v>
      </c>
      <c r="Q280" s="9">
        <v>31</v>
      </c>
      <c r="R280" s="9">
        <v>36</v>
      </c>
      <c r="S280" s="9">
        <v>47</v>
      </c>
      <c r="T280" s="9">
        <v>45</v>
      </c>
      <c r="U280" s="9">
        <v>49</v>
      </c>
      <c r="V280" s="9">
        <v>54</v>
      </c>
      <c r="W280" s="9">
        <v>53</v>
      </c>
      <c r="X280" s="9">
        <v>63</v>
      </c>
      <c r="Y280" s="9">
        <v>73</v>
      </c>
      <c r="Z280" s="9">
        <v>66</v>
      </c>
      <c r="AA280" s="9">
        <v>65</v>
      </c>
      <c r="AB280" s="9">
        <v>68</v>
      </c>
      <c r="AC280" s="9">
        <v>69</v>
      </c>
      <c r="AD280" s="9">
        <v>74</v>
      </c>
      <c r="AE280" s="9">
        <v>70</v>
      </c>
      <c r="AF280" s="9">
        <v>69</v>
      </c>
      <c r="AG280" s="9">
        <v>60</v>
      </c>
      <c r="AH280" s="9">
        <v>63</v>
      </c>
      <c r="AI280" s="9">
        <v>67</v>
      </c>
      <c r="AJ280" s="9">
        <v>67</v>
      </c>
      <c r="AK280" s="9">
        <v>67</v>
      </c>
      <c r="AL280" s="9">
        <v>67</v>
      </c>
      <c r="AM280" s="9">
        <v>65</v>
      </c>
      <c r="AN280" s="9">
        <v>62</v>
      </c>
      <c r="AO280" s="9">
        <v>59</v>
      </c>
      <c r="AP280" s="9">
        <v>58</v>
      </c>
      <c r="AQ280" s="9">
        <v>54</v>
      </c>
      <c r="AR280" s="9">
        <v>57</v>
      </c>
      <c r="AS280" s="9">
        <v>58</v>
      </c>
      <c r="AT280" s="9">
        <v>60</v>
      </c>
      <c r="AU280" s="9">
        <v>59</v>
      </c>
      <c r="AV280" s="9">
        <v>59</v>
      </c>
      <c r="AW280" s="9">
        <v>60</v>
      </c>
      <c r="AX280" s="9">
        <v>68</v>
      </c>
      <c r="AY280" s="9">
        <v>65</v>
      </c>
      <c r="AZ280" s="9">
        <v>64</v>
      </c>
      <c r="BA280" s="9">
        <v>63</v>
      </c>
      <c r="BB280" s="9">
        <v>63</v>
      </c>
      <c r="BC280" s="9">
        <v>61</v>
      </c>
      <c r="BD280" s="9">
        <v>61</v>
      </c>
      <c r="BE280" s="9">
        <v>54</v>
      </c>
      <c r="BF280" s="9">
        <v>52</v>
      </c>
      <c r="BG280" s="9">
        <v>50</v>
      </c>
      <c r="BH280" s="9">
        <v>41</v>
      </c>
      <c r="BI280" s="9">
        <v>63</v>
      </c>
      <c r="BJ280" s="9">
        <v>39</v>
      </c>
      <c r="BK280" s="9">
        <v>37</v>
      </c>
      <c r="BL280" s="9">
        <v>36</v>
      </c>
      <c r="BM280" s="9">
        <v>29</v>
      </c>
      <c r="BN280" s="9">
        <v>24</v>
      </c>
      <c r="BO280" s="9">
        <v>22</v>
      </c>
      <c r="BP280" s="9">
        <v>21</v>
      </c>
      <c r="BQ280" s="9">
        <v>20</v>
      </c>
      <c r="BR280" s="9">
        <v>22</v>
      </c>
      <c r="BS280" s="9">
        <v>23</v>
      </c>
      <c r="BT280" s="9">
        <v>27</v>
      </c>
      <c r="BU280" s="9">
        <v>19</v>
      </c>
      <c r="BV280" s="9">
        <v>18</v>
      </c>
      <c r="BW280" s="9">
        <v>16</v>
      </c>
      <c r="BX280" s="9">
        <v>11</v>
      </c>
      <c r="BY280" s="9">
        <v>0</v>
      </c>
      <c r="BZ280" s="9">
        <v>12</v>
      </c>
      <c r="CA280" s="9">
        <v>14</v>
      </c>
      <c r="CB280" s="9">
        <v>11</v>
      </c>
      <c r="CC280" s="9">
        <v>12</v>
      </c>
      <c r="CD280" s="9">
        <v>13</v>
      </c>
      <c r="CE280" s="9">
        <v>13</v>
      </c>
      <c r="CF280" s="9">
        <v>13</v>
      </c>
      <c r="CG280" s="9">
        <v>11</v>
      </c>
      <c r="CH280" s="9">
        <v>11</v>
      </c>
      <c r="CI280" s="9">
        <v>9</v>
      </c>
      <c r="CJ280" s="9">
        <v>10</v>
      </c>
      <c r="CK280" s="9">
        <v>6</v>
      </c>
      <c r="CL280" s="9">
        <v>8</v>
      </c>
      <c r="CM280" s="9">
        <v>9</v>
      </c>
      <c r="CN280" s="9">
        <v>11</v>
      </c>
      <c r="CO280" s="9">
        <v>13</v>
      </c>
      <c r="CP280" s="9">
        <v>19</v>
      </c>
      <c r="CQ280" s="9">
        <v>15</v>
      </c>
      <c r="CR280" s="9">
        <v>13</v>
      </c>
      <c r="CS280" s="9">
        <v>13</v>
      </c>
      <c r="CT280" s="9">
        <v>16</v>
      </c>
      <c r="CU280" s="9">
        <v>19</v>
      </c>
      <c r="CV280" s="9">
        <v>19</v>
      </c>
      <c r="CW280" s="9">
        <v>19</v>
      </c>
      <c r="CX280" s="9">
        <v>21</v>
      </c>
      <c r="CY280" s="9">
        <v>17</v>
      </c>
      <c r="CZ280" s="9">
        <v>19</v>
      </c>
      <c r="DA280" s="9">
        <v>17</v>
      </c>
      <c r="DB280" s="9">
        <v>19</v>
      </c>
      <c r="DC280" s="9">
        <v>17</v>
      </c>
      <c r="DD280" s="9">
        <v>0</v>
      </c>
      <c r="DE280" s="9">
        <v>18</v>
      </c>
      <c r="DF280" s="9">
        <v>17</v>
      </c>
      <c r="DG280" s="9">
        <v>19</v>
      </c>
      <c r="DH280" s="9">
        <v>21</v>
      </c>
      <c r="DI280" s="9">
        <v>24</v>
      </c>
      <c r="DJ280" s="9">
        <v>25</v>
      </c>
      <c r="DK280" s="9">
        <v>23</v>
      </c>
      <c r="DL280" s="9">
        <v>25</v>
      </c>
      <c r="DM280" s="9">
        <v>28</v>
      </c>
      <c r="DN280" s="9">
        <v>30</v>
      </c>
      <c r="DO280" s="9">
        <v>27</v>
      </c>
      <c r="DP280" s="9">
        <v>24</v>
      </c>
      <c r="DQ280" s="9">
        <v>25</v>
      </c>
      <c r="DR280" s="9">
        <v>23</v>
      </c>
      <c r="DS280" s="9">
        <v>22</v>
      </c>
      <c r="DT280" s="9">
        <v>20</v>
      </c>
      <c r="DU280" s="9">
        <v>20</v>
      </c>
      <c r="DV280" s="9">
        <v>19</v>
      </c>
      <c r="DW280" s="9">
        <v>17</v>
      </c>
      <c r="DX280" s="9">
        <v>17</v>
      </c>
      <c r="DY280" s="9">
        <v>15</v>
      </c>
      <c r="DZ280" s="9">
        <v>12</v>
      </c>
      <c r="EA280" s="9">
        <v>14</v>
      </c>
      <c r="EB280" s="9">
        <v>14</v>
      </c>
      <c r="EC280" s="9">
        <v>16</v>
      </c>
      <c r="ED280" s="9">
        <v>13</v>
      </c>
      <c r="EE280" s="9">
        <v>13</v>
      </c>
      <c r="EF280" s="9">
        <v>12</v>
      </c>
      <c r="EG280" s="9">
        <v>10</v>
      </c>
      <c r="EH280" s="9">
        <v>9</v>
      </c>
      <c r="EI280" s="9">
        <v>9</v>
      </c>
      <c r="EJ280" s="9">
        <v>8</v>
      </c>
      <c r="EK280" s="9">
        <v>6</v>
      </c>
      <c r="EL280" s="9">
        <v>6</v>
      </c>
      <c r="EM280" s="9">
        <v>5</v>
      </c>
      <c r="EN280" s="9">
        <v>5</v>
      </c>
      <c r="EO280" s="9">
        <v>4</v>
      </c>
      <c r="EP280" s="9">
        <v>4</v>
      </c>
      <c r="EQ280" s="9">
        <v>1</v>
      </c>
      <c r="ER280" s="9">
        <v>4</v>
      </c>
      <c r="ES280" s="9">
        <v>1</v>
      </c>
      <c r="ET280" s="9">
        <v>2</v>
      </c>
      <c r="EU280" s="9">
        <v>2</v>
      </c>
      <c r="EV280" s="9">
        <v>4</v>
      </c>
      <c r="EW280" s="9">
        <v>4</v>
      </c>
      <c r="EX280" s="9">
        <v>5</v>
      </c>
      <c r="EY280" s="9">
        <v>6</v>
      </c>
      <c r="EZ280" s="9">
        <v>6</v>
      </c>
      <c r="FA280" s="9">
        <v>5</v>
      </c>
      <c r="FB280" s="9">
        <v>4</v>
      </c>
      <c r="FC280" s="9">
        <v>4</v>
      </c>
      <c r="FD280" s="9">
        <v>3</v>
      </c>
      <c r="FE280" s="9">
        <v>3</v>
      </c>
      <c r="FF280" s="9">
        <v>3</v>
      </c>
      <c r="FG280" s="9">
        <v>2</v>
      </c>
      <c r="FH280" s="9">
        <v>1</v>
      </c>
      <c r="FI280" s="9">
        <v>1</v>
      </c>
      <c r="FJ280" s="9">
        <v>1</v>
      </c>
      <c r="FK280" s="9">
        <v>0</v>
      </c>
      <c r="FL280" s="9">
        <v>0</v>
      </c>
      <c r="FM280" s="10">
        <v>1</v>
      </c>
    </row>
    <row r="281" spans="1:169" x14ac:dyDescent="0.35">
      <c r="A281" s="8" t="s">
        <v>413</v>
      </c>
      <c r="B281" s="9" t="s">
        <v>482</v>
      </c>
      <c r="C281" s="10" t="s">
        <v>483</v>
      </c>
      <c r="D281" s="62">
        <f t="shared" si="101"/>
        <v>174</v>
      </c>
      <c r="E281" s="9">
        <v>12</v>
      </c>
      <c r="F281" s="9">
        <v>18</v>
      </c>
      <c r="G281" s="9">
        <v>38</v>
      </c>
      <c r="H281" s="9">
        <v>25</v>
      </c>
      <c r="I281" s="9">
        <v>26</v>
      </c>
      <c r="J281" s="9">
        <v>40</v>
      </c>
      <c r="K281" s="9">
        <v>50</v>
      </c>
      <c r="L281" s="9">
        <v>68</v>
      </c>
      <c r="M281" s="9">
        <v>72</v>
      </c>
      <c r="N281" s="9">
        <v>104</v>
      </c>
      <c r="O281" s="9">
        <v>106</v>
      </c>
      <c r="P281" s="9">
        <v>124</v>
      </c>
      <c r="Q281" s="9">
        <v>132</v>
      </c>
      <c r="R281" s="9">
        <v>156</v>
      </c>
      <c r="S281" s="9">
        <v>174</v>
      </c>
      <c r="T281" s="9">
        <v>113</v>
      </c>
      <c r="U281" s="9">
        <v>112</v>
      </c>
      <c r="V281" s="9">
        <v>118</v>
      </c>
      <c r="W281" s="9">
        <v>118</v>
      </c>
      <c r="X281" s="9">
        <v>122</v>
      </c>
      <c r="Y281" s="9">
        <v>118</v>
      </c>
      <c r="Z281" s="9">
        <v>120</v>
      </c>
      <c r="AA281" s="9">
        <v>112</v>
      </c>
      <c r="AB281" s="9">
        <v>107</v>
      </c>
      <c r="AC281" s="9">
        <v>109</v>
      </c>
      <c r="AD281" s="9">
        <v>108</v>
      </c>
      <c r="AE281" s="9">
        <v>103</v>
      </c>
      <c r="AF281" s="9">
        <v>100</v>
      </c>
      <c r="AG281" s="9">
        <v>94</v>
      </c>
      <c r="AH281" s="9">
        <v>96</v>
      </c>
      <c r="AI281" s="9">
        <v>90</v>
      </c>
      <c r="AJ281" s="9">
        <v>99</v>
      </c>
      <c r="AK281" s="9">
        <v>92</v>
      </c>
      <c r="AL281" s="9">
        <v>86</v>
      </c>
      <c r="AM281" s="9">
        <v>85</v>
      </c>
      <c r="AN281" s="9">
        <v>74</v>
      </c>
      <c r="AO281" s="9">
        <v>73</v>
      </c>
      <c r="AP281" s="9">
        <v>71</v>
      </c>
      <c r="AQ281" s="9">
        <v>50</v>
      </c>
      <c r="AR281" s="9">
        <v>77</v>
      </c>
      <c r="AS281" s="9">
        <v>55</v>
      </c>
      <c r="AT281" s="9">
        <v>52</v>
      </c>
      <c r="AU281" s="9">
        <v>50</v>
      </c>
      <c r="AV281" s="9">
        <v>49</v>
      </c>
      <c r="AW281" s="9">
        <v>48</v>
      </c>
      <c r="AX281" s="9">
        <v>47</v>
      </c>
      <c r="AY281" s="9">
        <v>48</v>
      </c>
      <c r="AZ281" s="9">
        <v>50</v>
      </c>
      <c r="BA281" s="9">
        <v>46</v>
      </c>
      <c r="BB281" s="9">
        <v>41</v>
      </c>
      <c r="BC281" s="9">
        <v>38</v>
      </c>
      <c r="BD281" s="9">
        <v>37</v>
      </c>
      <c r="BE281" s="9">
        <v>37</v>
      </c>
      <c r="BF281" s="9">
        <v>38</v>
      </c>
      <c r="BG281" s="9">
        <v>28</v>
      </c>
      <c r="BH281" s="9">
        <v>38</v>
      </c>
      <c r="BI281" s="9">
        <v>27</v>
      </c>
      <c r="BJ281" s="9">
        <v>23</v>
      </c>
      <c r="BK281" s="9">
        <v>25</v>
      </c>
      <c r="BL281" s="9">
        <v>28</v>
      </c>
      <c r="BM281" s="9">
        <v>28</v>
      </c>
      <c r="BN281" s="9">
        <v>31</v>
      </c>
      <c r="BO281" s="9">
        <v>31</v>
      </c>
      <c r="BP281" s="9">
        <v>29</v>
      </c>
      <c r="BQ281" s="9">
        <v>26</v>
      </c>
      <c r="BR281" s="9">
        <v>25</v>
      </c>
      <c r="BS281" s="9">
        <v>25</v>
      </c>
      <c r="BT281" s="9">
        <v>33</v>
      </c>
      <c r="BU281" s="9">
        <v>33</v>
      </c>
      <c r="BV281" s="9">
        <v>34</v>
      </c>
      <c r="BW281" s="9">
        <v>31</v>
      </c>
      <c r="BX281" s="9">
        <v>29</v>
      </c>
      <c r="BY281" s="9">
        <v>31</v>
      </c>
      <c r="BZ281" s="9">
        <v>30</v>
      </c>
      <c r="CA281" s="9">
        <v>32</v>
      </c>
      <c r="CB281" s="9">
        <v>36</v>
      </c>
      <c r="CC281" s="9">
        <v>38</v>
      </c>
      <c r="CD281" s="9">
        <v>38</v>
      </c>
      <c r="CE281" s="9">
        <v>41</v>
      </c>
      <c r="CF281" s="9">
        <v>35</v>
      </c>
      <c r="CG281" s="9">
        <v>38</v>
      </c>
      <c r="CH281" s="9">
        <v>40</v>
      </c>
      <c r="CI281" s="9">
        <v>39</v>
      </c>
      <c r="CJ281" s="9">
        <v>44</v>
      </c>
      <c r="CK281" s="9">
        <v>46</v>
      </c>
      <c r="CL281" s="9">
        <v>44</v>
      </c>
      <c r="CM281" s="9">
        <v>45</v>
      </c>
      <c r="CN281" s="9">
        <v>42</v>
      </c>
      <c r="CO281" s="9">
        <v>40</v>
      </c>
      <c r="CP281" s="9">
        <v>39</v>
      </c>
      <c r="CQ281" s="9">
        <v>37</v>
      </c>
      <c r="CR281" s="9">
        <v>35</v>
      </c>
      <c r="CS281" s="9">
        <v>34</v>
      </c>
      <c r="CT281" s="9">
        <v>33</v>
      </c>
      <c r="CU281" s="9">
        <v>32</v>
      </c>
      <c r="CV281" s="9">
        <v>34</v>
      </c>
      <c r="CW281" s="9">
        <v>25</v>
      </c>
      <c r="CX281" s="9">
        <v>23</v>
      </c>
      <c r="CY281" s="9">
        <v>27</v>
      </c>
      <c r="CZ281" s="9">
        <v>24</v>
      </c>
      <c r="DA281" s="9">
        <v>22</v>
      </c>
      <c r="DB281" s="9">
        <v>21</v>
      </c>
      <c r="DC281" s="9">
        <v>19</v>
      </c>
      <c r="DD281" s="9">
        <v>11</v>
      </c>
      <c r="DE281" s="9">
        <v>10</v>
      </c>
      <c r="DF281" s="9">
        <v>8</v>
      </c>
      <c r="DG281" s="9">
        <v>10</v>
      </c>
      <c r="DH281" s="9">
        <v>12</v>
      </c>
      <c r="DI281" s="9">
        <v>7</v>
      </c>
      <c r="DJ281" s="9">
        <v>6</v>
      </c>
      <c r="DK281" s="9">
        <v>6</v>
      </c>
      <c r="DL281" s="9">
        <v>6</v>
      </c>
      <c r="DM281" s="9">
        <v>6</v>
      </c>
      <c r="DN281" s="9">
        <v>4</v>
      </c>
      <c r="DO281" s="9">
        <v>4</v>
      </c>
      <c r="DP281" s="9">
        <v>3</v>
      </c>
      <c r="DQ281" s="9">
        <v>3</v>
      </c>
      <c r="DR281" s="9">
        <v>3</v>
      </c>
      <c r="DS281" s="9">
        <v>3</v>
      </c>
      <c r="DT281" s="9">
        <v>2</v>
      </c>
      <c r="DU281" s="9">
        <v>3</v>
      </c>
      <c r="DV281" s="9">
        <v>4</v>
      </c>
      <c r="DW281" s="9">
        <v>4</v>
      </c>
      <c r="DX281" s="9">
        <v>5</v>
      </c>
      <c r="DY281" s="9">
        <v>4</v>
      </c>
      <c r="DZ281" s="9">
        <v>5</v>
      </c>
      <c r="EA281" s="9">
        <v>3</v>
      </c>
      <c r="EB281" s="9">
        <v>2</v>
      </c>
      <c r="EC281" s="9">
        <v>5</v>
      </c>
      <c r="ED281" s="9">
        <v>4</v>
      </c>
      <c r="EE281" s="9">
        <v>3</v>
      </c>
      <c r="EF281" s="9">
        <v>3</v>
      </c>
      <c r="EG281" s="9">
        <v>3</v>
      </c>
      <c r="EH281" s="9">
        <v>3</v>
      </c>
      <c r="EI281" s="9">
        <v>4</v>
      </c>
      <c r="EJ281" s="9">
        <v>4</v>
      </c>
      <c r="EK281" s="9">
        <v>3</v>
      </c>
      <c r="EL281" s="9">
        <v>3</v>
      </c>
      <c r="EM281" s="9">
        <v>3</v>
      </c>
      <c r="EN281" s="9">
        <v>4</v>
      </c>
      <c r="EO281" s="9">
        <v>5</v>
      </c>
      <c r="EP281" s="9">
        <v>5</v>
      </c>
      <c r="EQ281" s="9">
        <v>3</v>
      </c>
      <c r="ER281" s="9">
        <v>3</v>
      </c>
      <c r="ES281" s="9">
        <v>5</v>
      </c>
      <c r="ET281" s="9">
        <v>1</v>
      </c>
      <c r="EU281" s="9">
        <v>3</v>
      </c>
      <c r="EV281" s="9">
        <v>4</v>
      </c>
      <c r="EW281" s="9">
        <v>3</v>
      </c>
      <c r="EX281" s="9">
        <v>3</v>
      </c>
      <c r="EY281" s="9">
        <v>3</v>
      </c>
      <c r="EZ281" s="9">
        <v>3</v>
      </c>
      <c r="FA281" s="9">
        <v>4</v>
      </c>
      <c r="FB281" s="9">
        <v>4</v>
      </c>
      <c r="FC281" s="9">
        <v>4</v>
      </c>
      <c r="FD281" s="9">
        <v>2</v>
      </c>
      <c r="FE281" s="9">
        <v>4</v>
      </c>
      <c r="FF281" s="9">
        <v>4</v>
      </c>
      <c r="FG281" s="9">
        <v>3</v>
      </c>
      <c r="FH281" s="9">
        <v>3</v>
      </c>
      <c r="FI281" s="9">
        <v>3</v>
      </c>
      <c r="FJ281" s="9">
        <v>3</v>
      </c>
      <c r="FK281" s="9">
        <v>2</v>
      </c>
      <c r="FL281" s="9">
        <v>2</v>
      </c>
      <c r="FM281" s="10">
        <v>2</v>
      </c>
    </row>
    <row r="282" spans="1:169" x14ac:dyDescent="0.35">
      <c r="A282" s="8" t="s">
        <v>413</v>
      </c>
      <c r="B282" s="9" t="s">
        <v>484</v>
      </c>
      <c r="C282" s="10" t="s">
        <v>485</v>
      </c>
      <c r="D282" s="62">
        <f t="shared" si="101"/>
        <v>138</v>
      </c>
      <c r="E282" s="9">
        <v>8</v>
      </c>
      <c r="F282" s="9">
        <v>8</v>
      </c>
      <c r="G282" s="9">
        <v>9</v>
      </c>
      <c r="H282" s="9">
        <v>13</v>
      </c>
      <c r="I282" s="9">
        <v>0</v>
      </c>
      <c r="J282" s="9">
        <v>15</v>
      </c>
      <c r="K282" s="9">
        <v>18</v>
      </c>
      <c r="L282" s="9">
        <v>19</v>
      </c>
      <c r="M282" s="9">
        <v>29</v>
      </c>
      <c r="N282" s="9">
        <v>33</v>
      </c>
      <c r="O282" s="9">
        <v>35</v>
      </c>
      <c r="P282" s="9">
        <v>39</v>
      </c>
      <c r="Q282" s="9">
        <v>50</v>
      </c>
      <c r="R282" s="9">
        <v>54</v>
      </c>
      <c r="S282" s="9">
        <v>58</v>
      </c>
      <c r="T282" s="9">
        <v>55</v>
      </c>
      <c r="U282" s="9">
        <v>59</v>
      </c>
      <c r="V282" s="9">
        <v>52</v>
      </c>
      <c r="W282" s="9">
        <v>138</v>
      </c>
      <c r="X282" s="9">
        <v>70</v>
      </c>
      <c r="Y282" s="9">
        <v>77</v>
      </c>
      <c r="Z282" s="9">
        <v>79</v>
      </c>
      <c r="AA282" s="9">
        <v>84</v>
      </c>
      <c r="AB282" s="9">
        <v>86</v>
      </c>
      <c r="AC282" s="9">
        <v>86</v>
      </c>
      <c r="AD282" s="9">
        <v>87</v>
      </c>
      <c r="AE282" s="9">
        <v>89</v>
      </c>
      <c r="AF282" s="9">
        <v>86</v>
      </c>
      <c r="AG282" s="9">
        <v>93</v>
      </c>
      <c r="AH282" s="9">
        <v>85</v>
      </c>
      <c r="AI282" s="9">
        <v>80</v>
      </c>
      <c r="AJ282" s="9">
        <v>75</v>
      </c>
      <c r="AK282" s="9">
        <v>82</v>
      </c>
      <c r="AL282" s="9">
        <v>77</v>
      </c>
      <c r="AM282" s="9">
        <v>81</v>
      </c>
      <c r="AN282" s="9">
        <v>84</v>
      </c>
      <c r="AO282" s="9">
        <v>83</v>
      </c>
      <c r="AP282" s="9">
        <v>86</v>
      </c>
      <c r="AQ282" s="9">
        <v>84</v>
      </c>
      <c r="AR282" s="9">
        <v>74</v>
      </c>
      <c r="AS282" s="9">
        <v>88</v>
      </c>
      <c r="AT282" s="9">
        <v>84</v>
      </c>
      <c r="AU282" s="9">
        <v>80</v>
      </c>
      <c r="AV282" s="9">
        <v>87</v>
      </c>
      <c r="AW282" s="9">
        <v>74</v>
      </c>
      <c r="AX282" s="9">
        <v>76</v>
      </c>
      <c r="AY282" s="9">
        <v>75</v>
      </c>
      <c r="AZ282" s="9">
        <v>61</v>
      </c>
      <c r="BA282" s="9">
        <v>76</v>
      </c>
      <c r="BB282" s="9">
        <v>70</v>
      </c>
      <c r="BC282" s="9">
        <v>70</v>
      </c>
      <c r="BD282" s="9">
        <v>72</v>
      </c>
      <c r="BE282" s="9">
        <v>71</v>
      </c>
      <c r="BF282" s="9">
        <v>68</v>
      </c>
      <c r="BG282" s="9">
        <v>65</v>
      </c>
      <c r="BH282" s="9">
        <v>63</v>
      </c>
      <c r="BI282" s="9">
        <v>60</v>
      </c>
      <c r="BJ282" s="9">
        <v>62</v>
      </c>
      <c r="BK282" s="9">
        <v>55</v>
      </c>
      <c r="BL282" s="9">
        <v>39</v>
      </c>
      <c r="BM282" s="9">
        <v>59</v>
      </c>
      <c r="BN282" s="9">
        <v>60</v>
      </c>
      <c r="BO282" s="9">
        <v>57</v>
      </c>
      <c r="BP282" s="9">
        <v>55</v>
      </c>
      <c r="BQ282" s="9">
        <v>53</v>
      </c>
      <c r="BR282" s="9">
        <v>90</v>
      </c>
      <c r="BS282" s="9">
        <v>55</v>
      </c>
      <c r="BT282" s="9">
        <v>55</v>
      </c>
      <c r="BU282" s="9">
        <v>60</v>
      </c>
      <c r="BV282" s="9">
        <v>49</v>
      </c>
      <c r="BW282" s="9">
        <v>56</v>
      </c>
      <c r="BX282" s="9">
        <v>39</v>
      </c>
      <c r="BY282" s="9">
        <v>58</v>
      </c>
      <c r="BZ282" s="9">
        <v>59</v>
      </c>
      <c r="CA282" s="9">
        <v>59</v>
      </c>
      <c r="CB282" s="9">
        <v>59</v>
      </c>
      <c r="CC282" s="9">
        <v>57</v>
      </c>
      <c r="CD282" s="9">
        <v>61</v>
      </c>
      <c r="CE282" s="9">
        <v>59</v>
      </c>
      <c r="CF282" s="9">
        <v>58</v>
      </c>
      <c r="CG282" s="9">
        <v>60</v>
      </c>
      <c r="CH282" s="9">
        <v>59</v>
      </c>
      <c r="CI282" s="9">
        <v>56</v>
      </c>
      <c r="CJ282" s="9">
        <v>51</v>
      </c>
      <c r="CK282" s="9">
        <v>50</v>
      </c>
      <c r="CL282" s="9">
        <v>47</v>
      </c>
      <c r="CM282" s="9">
        <v>57</v>
      </c>
      <c r="CN282" s="9">
        <v>47</v>
      </c>
      <c r="CO282" s="9">
        <v>47</v>
      </c>
      <c r="CP282" s="9">
        <v>47</v>
      </c>
      <c r="CQ282" s="9">
        <v>47</v>
      </c>
      <c r="CR282" s="9">
        <v>47</v>
      </c>
      <c r="CS282" s="9">
        <v>47</v>
      </c>
      <c r="CT282" s="9">
        <v>47</v>
      </c>
      <c r="CU282" s="9">
        <v>17</v>
      </c>
      <c r="CV282" s="9">
        <v>19</v>
      </c>
      <c r="CW282" s="9">
        <v>20</v>
      </c>
      <c r="CX282" s="9">
        <v>22</v>
      </c>
      <c r="CY282" s="9">
        <v>20</v>
      </c>
      <c r="CZ282" s="9">
        <v>17</v>
      </c>
      <c r="DA282" s="9">
        <v>17</v>
      </c>
      <c r="DB282" s="9">
        <v>16</v>
      </c>
      <c r="DC282" s="9">
        <v>17</v>
      </c>
      <c r="DD282" s="9">
        <v>17</v>
      </c>
      <c r="DE282" s="9">
        <v>18</v>
      </c>
      <c r="DF282" s="9">
        <v>16</v>
      </c>
      <c r="DG282" s="9">
        <v>18</v>
      </c>
      <c r="DH282" s="9">
        <v>15</v>
      </c>
      <c r="DI282" s="9">
        <v>15</v>
      </c>
      <c r="DJ282" s="9">
        <v>16</v>
      </c>
      <c r="DK282" s="9">
        <v>16</v>
      </c>
      <c r="DL282" s="9">
        <v>16</v>
      </c>
      <c r="DM282" s="9">
        <v>16</v>
      </c>
      <c r="DN282" s="9">
        <v>15</v>
      </c>
      <c r="DO282" s="9">
        <v>14</v>
      </c>
      <c r="DP282" s="9">
        <v>14</v>
      </c>
      <c r="DQ282" s="9">
        <v>14</v>
      </c>
      <c r="DR282" s="9">
        <v>12</v>
      </c>
      <c r="DS282" s="9">
        <v>12</v>
      </c>
      <c r="DT282" s="9">
        <v>12</v>
      </c>
      <c r="DU282" s="9">
        <v>11</v>
      </c>
      <c r="DV282" s="9">
        <v>10</v>
      </c>
      <c r="DW282" s="9">
        <v>10</v>
      </c>
      <c r="DX282" s="9">
        <v>8</v>
      </c>
      <c r="DY282" s="9">
        <v>7</v>
      </c>
      <c r="DZ282" s="9">
        <v>6</v>
      </c>
      <c r="EA282" s="9">
        <v>7</v>
      </c>
      <c r="EB282" s="9">
        <v>6</v>
      </c>
      <c r="EC282" s="9">
        <v>6</v>
      </c>
      <c r="ED282" s="9">
        <v>6</v>
      </c>
      <c r="EE282" s="9">
        <v>3</v>
      </c>
      <c r="EF282" s="9">
        <v>3</v>
      </c>
      <c r="EG282" s="9">
        <v>2</v>
      </c>
      <c r="EH282" s="9">
        <v>2</v>
      </c>
      <c r="EI282" s="9">
        <v>4</v>
      </c>
      <c r="EJ282" s="9">
        <v>5</v>
      </c>
      <c r="EK282" s="9">
        <v>5</v>
      </c>
      <c r="EL282" s="9">
        <v>5</v>
      </c>
      <c r="EM282" s="9">
        <v>6</v>
      </c>
      <c r="EN282" s="9">
        <v>5</v>
      </c>
      <c r="EO282" s="9">
        <v>5</v>
      </c>
      <c r="EP282" s="9">
        <v>1</v>
      </c>
      <c r="EQ282" s="9">
        <v>1</v>
      </c>
      <c r="ER282" s="9">
        <v>2</v>
      </c>
      <c r="ES282" s="9">
        <v>1</v>
      </c>
      <c r="ET282" s="9">
        <v>0</v>
      </c>
      <c r="EU282" s="9">
        <v>0</v>
      </c>
      <c r="EV282" s="9">
        <v>0</v>
      </c>
      <c r="EW282" s="9">
        <v>0</v>
      </c>
      <c r="EX282" s="9">
        <v>0</v>
      </c>
      <c r="EY282" s="9">
        <v>0</v>
      </c>
      <c r="EZ282" s="9">
        <v>0</v>
      </c>
      <c r="FA282" s="9">
        <v>0</v>
      </c>
      <c r="FB282" s="9">
        <v>0</v>
      </c>
      <c r="FC282" s="9">
        <v>0</v>
      </c>
      <c r="FD282" s="9">
        <v>0</v>
      </c>
      <c r="FE282" s="9">
        <v>0</v>
      </c>
      <c r="FF282" s="9">
        <v>0</v>
      </c>
      <c r="FG282" s="9">
        <v>0</v>
      </c>
      <c r="FH282" s="9">
        <v>0</v>
      </c>
      <c r="FI282" s="9">
        <v>0</v>
      </c>
      <c r="FJ282" s="9">
        <v>0</v>
      </c>
      <c r="FK282" s="9">
        <v>0</v>
      </c>
      <c r="FL282" s="9">
        <v>0</v>
      </c>
      <c r="FM282" s="10">
        <v>0</v>
      </c>
    </row>
    <row r="283" spans="1:169" x14ac:dyDescent="0.35">
      <c r="A283" s="8" t="s">
        <v>413</v>
      </c>
      <c r="B283" s="9" t="s">
        <v>486</v>
      </c>
      <c r="C283" s="10" t="s">
        <v>487</v>
      </c>
      <c r="D283" s="62">
        <f t="shared" si="101"/>
        <v>5</v>
      </c>
      <c r="E283" s="9">
        <v>1</v>
      </c>
      <c r="F283" s="9">
        <v>0</v>
      </c>
      <c r="G283" s="9">
        <v>0</v>
      </c>
      <c r="H283" s="9">
        <v>0</v>
      </c>
      <c r="I283" s="9">
        <v>0</v>
      </c>
      <c r="J283" s="9">
        <v>2</v>
      </c>
      <c r="K283" s="9">
        <v>2</v>
      </c>
      <c r="L283" s="9">
        <v>2</v>
      </c>
      <c r="M283" s="9">
        <v>2</v>
      </c>
      <c r="N283" s="9">
        <v>2</v>
      </c>
      <c r="O283" s="9">
        <v>2</v>
      </c>
      <c r="P283" s="9">
        <v>2</v>
      </c>
      <c r="Q283" s="9">
        <v>1</v>
      </c>
      <c r="R283" s="9">
        <v>1</v>
      </c>
      <c r="S283" s="9">
        <v>1</v>
      </c>
      <c r="T283" s="9">
        <v>0</v>
      </c>
      <c r="U283" s="9">
        <v>1</v>
      </c>
      <c r="V283" s="9">
        <v>1</v>
      </c>
      <c r="W283" s="9">
        <v>3</v>
      </c>
      <c r="X283" s="9">
        <v>2</v>
      </c>
      <c r="Y283" s="9">
        <v>2</v>
      </c>
      <c r="Z283" s="9">
        <v>2</v>
      </c>
      <c r="AA283" s="9">
        <v>2</v>
      </c>
      <c r="AB283" s="9">
        <v>2</v>
      </c>
      <c r="AC283" s="9">
        <v>2</v>
      </c>
      <c r="AD283" s="9">
        <v>2</v>
      </c>
      <c r="AE283" s="9">
        <v>2</v>
      </c>
      <c r="AF283" s="9">
        <v>2</v>
      </c>
      <c r="AG283" s="9">
        <v>2</v>
      </c>
      <c r="AH283" s="9">
        <v>1</v>
      </c>
      <c r="AI283" s="9">
        <v>1</v>
      </c>
      <c r="AJ283" s="9">
        <v>1</v>
      </c>
      <c r="AK283" s="9">
        <v>1</v>
      </c>
      <c r="AL283" s="9">
        <v>1</v>
      </c>
      <c r="AM283" s="9">
        <v>0</v>
      </c>
      <c r="AN283" s="9">
        <v>1</v>
      </c>
      <c r="AO283" s="9">
        <v>1</v>
      </c>
      <c r="AP283" s="9">
        <v>1</v>
      </c>
      <c r="AQ283" s="9">
        <v>1</v>
      </c>
      <c r="AR283" s="9">
        <v>1</v>
      </c>
      <c r="AS283" s="9">
        <v>1</v>
      </c>
      <c r="AT283" s="9">
        <v>1</v>
      </c>
      <c r="AU283" s="9">
        <v>1</v>
      </c>
      <c r="AV283" s="9">
        <v>1</v>
      </c>
      <c r="AW283" s="9">
        <v>1</v>
      </c>
      <c r="AX283" s="9">
        <v>2</v>
      </c>
      <c r="AY283" s="9">
        <v>5</v>
      </c>
      <c r="AZ283" s="9">
        <v>0</v>
      </c>
      <c r="BA283" s="9">
        <v>0</v>
      </c>
      <c r="BB283" s="9">
        <v>0</v>
      </c>
      <c r="BC283" s="9">
        <v>0</v>
      </c>
      <c r="BD283" s="9">
        <v>0</v>
      </c>
      <c r="BE283" s="9">
        <v>0</v>
      </c>
      <c r="BF283" s="9">
        <v>0</v>
      </c>
      <c r="BG283" s="9">
        <v>0</v>
      </c>
      <c r="BH283" s="9">
        <v>3</v>
      </c>
      <c r="BI283" s="9">
        <v>0</v>
      </c>
      <c r="BJ283" s="9">
        <v>0</v>
      </c>
      <c r="BK283" s="9">
        <v>0</v>
      </c>
      <c r="BL283" s="9">
        <v>0</v>
      </c>
      <c r="BM283" s="9">
        <v>1</v>
      </c>
      <c r="BN283" s="9">
        <v>0</v>
      </c>
      <c r="BO283" s="9">
        <v>0</v>
      </c>
      <c r="BP283" s="9">
        <v>0</v>
      </c>
      <c r="BQ283" s="9">
        <v>0</v>
      </c>
      <c r="BR283" s="9">
        <v>0</v>
      </c>
      <c r="BS283" s="9">
        <v>0</v>
      </c>
      <c r="BT283" s="9">
        <v>0</v>
      </c>
      <c r="BU283" s="9">
        <v>0</v>
      </c>
      <c r="BV283" s="9">
        <v>0</v>
      </c>
      <c r="BW283" s="9">
        <v>0</v>
      </c>
      <c r="BX283" s="9">
        <v>0</v>
      </c>
      <c r="BY283" s="9">
        <v>0</v>
      </c>
      <c r="BZ283" s="9">
        <v>0</v>
      </c>
      <c r="CA283" s="9">
        <v>0</v>
      </c>
      <c r="CB283" s="9">
        <v>0</v>
      </c>
      <c r="CC283" s="9">
        <v>0</v>
      </c>
      <c r="CD283" s="9">
        <v>0</v>
      </c>
      <c r="CE283" s="9">
        <v>0</v>
      </c>
      <c r="CF283" s="9">
        <v>0</v>
      </c>
      <c r="CG283" s="9">
        <v>0</v>
      </c>
      <c r="CH283" s="9">
        <v>0</v>
      </c>
      <c r="CI283" s="9">
        <v>0</v>
      </c>
      <c r="CJ283" s="9">
        <v>0</v>
      </c>
      <c r="CK283" s="9">
        <v>0</v>
      </c>
      <c r="CL283" s="9">
        <v>0</v>
      </c>
      <c r="CM283" s="9">
        <v>0</v>
      </c>
      <c r="CN283" s="9">
        <v>0</v>
      </c>
      <c r="CO283" s="9">
        <v>0</v>
      </c>
      <c r="CP283" s="9">
        <v>0</v>
      </c>
      <c r="CQ283" s="9">
        <v>0</v>
      </c>
      <c r="CR283" s="9">
        <v>0</v>
      </c>
      <c r="CS283" s="9">
        <v>0</v>
      </c>
      <c r="CT283" s="9">
        <v>0</v>
      </c>
      <c r="CU283" s="9">
        <v>0</v>
      </c>
      <c r="CV283" s="9">
        <v>0</v>
      </c>
      <c r="CW283" s="9">
        <v>0</v>
      </c>
      <c r="CX283" s="9">
        <v>0</v>
      </c>
      <c r="CY283" s="9">
        <v>0</v>
      </c>
      <c r="CZ283" s="9">
        <v>0</v>
      </c>
      <c r="DA283" s="9">
        <v>0</v>
      </c>
      <c r="DB283" s="9">
        <v>0</v>
      </c>
      <c r="DC283" s="9">
        <v>0</v>
      </c>
      <c r="DD283" s="9">
        <v>0</v>
      </c>
      <c r="DE283" s="9">
        <v>0</v>
      </c>
      <c r="DF283" s="9">
        <v>0</v>
      </c>
      <c r="DG283" s="9">
        <v>0</v>
      </c>
      <c r="DH283" s="9">
        <v>0</v>
      </c>
      <c r="DI283" s="9">
        <v>0</v>
      </c>
      <c r="DJ283" s="9">
        <v>0</v>
      </c>
      <c r="DK283" s="9">
        <v>0</v>
      </c>
      <c r="DL283" s="9">
        <v>0</v>
      </c>
      <c r="DM283" s="9">
        <v>0</v>
      </c>
      <c r="DN283" s="9">
        <v>0</v>
      </c>
      <c r="DO283" s="9">
        <v>0</v>
      </c>
      <c r="DP283" s="9">
        <v>0</v>
      </c>
      <c r="DQ283" s="9">
        <v>0</v>
      </c>
      <c r="DR283" s="9">
        <v>0</v>
      </c>
      <c r="DS283" s="9">
        <v>0</v>
      </c>
      <c r="DT283" s="9">
        <v>0</v>
      </c>
      <c r="DU283" s="9">
        <v>0</v>
      </c>
      <c r="DV283" s="9">
        <v>0</v>
      </c>
      <c r="DW283" s="9">
        <v>0</v>
      </c>
      <c r="DX283" s="9">
        <v>0</v>
      </c>
      <c r="DY283" s="9">
        <v>0</v>
      </c>
      <c r="DZ283" s="9">
        <v>0</v>
      </c>
      <c r="EA283" s="9">
        <v>0</v>
      </c>
      <c r="EB283" s="9">
        <v>0</v>
      </c>
      <c r="EC283" s="9">
        <v>0</v>
      </c>
      <c r="ED283" s="9">
        <v>0</v>
      </c>
      <c r="EE283" s="9">
        <v>0</v>
      </c>
      <c r="EF283" s="9">
        <v>0</v>
      </c>
      <c r="EG283" s="9">
        <v>0</v>
      </c>
      <c r="EH283" s="9">
        <v>0</v>
      </c>
      <c r="EI283" s="9">
        <v>0</v>
      </c>
      <c r="EJ283" s="9">
        <v>0</v>
      </c>
      <c r="EK283" s="9">
        <v>0</v>
      </c>
      <c r="EL283" s="9">
        <v>0</v>
      </c>
      <c r="EM283" s="9">
        <v>0</v>
      </c>
      <c r="EN283" s="9">
        <v>0</v>
      </c>
      <c r="EO283" s="9">
        <v>0</v>
      </c>
      <c r="EP283" s="9">
        <v>0</v>
      </c>
      <c r="EQ283" s="9">
        <v>0</v>
      </c>
      <c r="ER283" s="9">
        <v>0</v>
      </c>
      <c r="ES283" s="9">
        <v>0</v>
      </c>
      <c r="ET283" s="9">
        <v>0</v>
      </c>
      <c r="EU283" s="9">
        <v>0</v>
      </c>
      <c r="EV283" s="9">
        <v>0</v>
      </c>
      <c r="EW283" s="9">
        <v>0</v>
      </c>
      <c r="EX283" s="9">
        <v>0</v>
      </c>
      <c r="EY283" s="9">
        <v>0</v>
      </c>
      <c r="EZ283" s="9">
        <v>0</v>
      </c>
      <c r="FA283" s="9">
        <v>0</v>
      </c>
      <c r="FB283" s="9">
        <v>0</v>
      </c>
      <c r="FC283" s="9">
        <v>0</v>
      </c>
      <c r="FD283" s="9">
        <v>0</v>
      </c>
      <c r="FE283" s="9">
        <v>0</v>
      </c>
      <c r="FF283" s="9">
        <v>0</v>
      </c>
      <c r="FG283" s="9">
        <v>0</v>
      </c>
      <c r="FH283" s="9">
        <v>0</v>
      </c>
      <c r="FI283" s="9">
        <v>0</v>
      </c>
      <c r="FJ283" s="9">
        <v>0</v>
      </c>
      <c r="FK283" s="9">
        <v>0</v>
      </c>
      <c r="FL283" s="9">
        <v>0</v>
      </c>
      <c r="FM283" s="10">
        <v>0</v>
      </c>
    </row>
    <row r="284" spans="1:169" x14ac:dyDescent="0.35">
      <c r="A284" s="8" t="s">
        <v>413</v>
      </c>
      <c r="B284" s="9" t="s">
        <v>488</v>
      </c>
      <c r="C284" s="10" t="s">
        <v>489</v>
      </c>
      <c r="D284" s="62">
        <f t="shared" si="101"/>
        <v>17</v>
      </c>
      <c r="E284" s="9">
        <v>0</v>
      </c>
      <c r="F284" s="9">
        <v>0</v>
      </c>
      <c r="G284" s="9">
        <v>0</v>
      </c>
      <c r="H284" s="9">
        <v>0</v>
      </c>
      <c r="I284" s="9">
        <v>1</v>
      </c>
      <c r="J284" s="9">
        <v>1</v>
      </c>
      <c r="K284" s="9">
        <v>1</v>
      </c>
      <c r="L284" s="9">
        <v>1</v>
      </c>
      <c r="M284" s="9">
        <v>3</v>
      </c>
      <c r="N284" s="9">
        <v>4</v>
      </c>
      <c r="O284" s="9">
        <v>4</v>
      </c>
      <c r="P284" s="9">
        <v>7</v>
      </c>
      <c r="Q284" s="9">
        <v>7</v>
      </c>
      <c r="R284" s="9">
        <v>8</v>
      </c>
      <c r="S284" s="9">
        <v>10</v>
      </c>
      <c r="T284" s="9">
        <v>13</v>
      </c>
      <c r="U284" s="9">
        <v>13</v>
      </c>
      <c r="V284" s="9">
        <v>15</v>
      </c>
      <c r="W284" s="9">
        <v>17</v>
      </c>
      <c r="X284" s="9">
        <v>16</v>
      </c>
      <c r="Y284" s="9">
        <v>17</v>
      </c>
      <c r="Z284" s="9">
        <v>14</v>
      </c>
      <c r="AA284" s="9">
        <v>12</v>
      </c>
      <c r="AB284" s="9">
        <v>12</v>
      </c>
      <c r="AC284" s="9">
        <v>16</v>
      </c>
      <c r="AD284" s="9">
        <v>16</v>
      </c>
      <c r="AE284" s="9">
        <v>14</v>
      </c>
      <c r="AF284" s="9">
        <v>14</v>
      </c>
      <c r="AG284" s="9">
        <v>12</v>
      </c>
      <c r="AH284" s="9">
        <v>13</v>
      </c>
      <c r="AI284" s="9">
        <v>14</v>
      </c>
      <c r="AJ284" s="9">
        <v>13</v>
      </c>
      <c r="AK284" s="9">
        <v>13</v>
      </c>
      <c r="AL284" s="9">
        <v>13</v>
      </c>
      <c r="AM284" s="9">
        <v>14</v>
      </c>
      <c r="AN284" s="9">
        <v>11</v>
      </c>
      <c r="AO284" s="9">
        <v>10</v>
      </c>
      <c r="AP284" s="9">
        <v>6</v>
      </c>
      <c r="AQ284" s="9">
        <v>6</v>
      </c>
      <c r="AR284" s="9">
        <v>5</v>
      </c>
      <c r="AS284" s="9">
        <v>4</v>
      </c>
      <c r="AT284" s="9">
        <v>4</v>
      </c>
      <c r="AU284" s="9">
        <v>4</v>
      </c>
      <c r="AV284" s="9">
        <v>3</v>
      </c>
      <c r="AW284" s="9">
        <v>2</v>
      </c>
      <c r="AX284" s="9">
        <v>2</v>
      </c>
      <c r="AY284" s="9">
        <v>2</v>
      </c>
      <c r="AZ284" s="9">
        <v>2</v>
      </c>
      <c r="BA284" s="9">
        <v>1</v>
      </c>
      <c r="BB284" s="9">
        <v>1</v>
      </c>
      <c r="BC284" s="9">
        <v>0</v>
      </c>
      <c r="BD284" s="9">
        <v>0</v>
      </c>
      <c r="BE284" s="9">
        <v>0</v>
      </c>
      <c r="BF284" s="9">
        <v>0</v>
      </c>
      <c r="BG284" s="9">
        <v>0</v>
      </c>
      <c r="BH284" s="9">
        <v>0</v>
      </c>
      <c r="BI284" s="9">
        <v>0</v>
      </c>
      <c r="BJ284" s="9">
        <v>0</v>
      </c>
      <c r="BK284" s="9">
        <v>0</v>
      </c>
      <c r="BL284" s="9">
        <v>0</v>
      </c>
      <c r="BM284" s="9">
        <v>0</v>
      </c>
      <c r="BN284" s="9">
        <v>0</v>
      </c>
      <c r="BO284" s="9">
        <v>0</v>
      </c>
      <c r="BP284" s="9">
        <v>0</v>
      </c>
      <c r="BQ284" s="9">
        <v>0</v>
      </c>
      <c r="BR284" s="9">
        <v>0</v>
      </c>
      <c r="BS284" s="9">
        <v>0</v>
      </c>
      <c r="BT284" s="9">
        <v>0</v>
      </c>
      <c r="BU284" s="9">
        <v>0</v>
      </c>
      <c r="BV284" s="9">
        <v>0</v>
      </c>
      <c r="BW284" s="9">
        <v>1</v>
      </c>
      <c r="BX284" s="9">
        <v>1</v>
      </c>
      <c r="BY284" s="9">
        <v>1</v>
      </c>
      <c r="BZ284" s="9">
        <v>2</v>
      </c>
      <c r="CA284" s="9">
        <v>2</v>
      </c>
      <c r="CB284" s="9">
        <v>2</v>
      </c>
      <c r="CC284" s="9">
        <v>2</v>
      </c>
      <c r="CD284" s="9">
        <v>2</v>
      </c>
      <c r="CE284" s="9">
        <v>2</v>
      </c>
      <c r="CF284" s="9">
        <v>2</v>
      </c>
      <c r="CG284" s="9">
        <v>2</v>
      </c>
      <c r="CH284" s="9">
        <v>2</v>
      </c>
      <c r="CI284" s="9">
        <v>2</v>
      </c>
      <c r="CJ284" s="9">
        <v>2</v>
      </c>
      <c r="CK284" s="9">
        <v>1</v>
      </c>
      <c r="CL284" s="9">
        <v>1</v>
      </c>
      <c r="CM284" s="9">
        <v>1</v>
      </c>
      <c r="CN284" s="9">
        <v>0</v>
      </c>
      <c r="CO284" s="9">
        <v>0</v>
      </c>
      <c r="CP284" s="9">
        <v>0</v>
      </c>
      <c r="CQ284" s="9">
        <v>0</v>
      </c>
      <c r="CR284" s="9">
        <v>0</v>
      </c>
      <c r="CS284" s="9">
        <v>0</v>
      </c>
      <c r="CT284" s="9">
        <v>0</v>
      </c>
      <c r="CU284" s="9">
        <v>0</v>
      </c>
      <c r="CV284" s="9">
        <v>0</v>
      </c>
      <c r="CW284" s="9">
        <v>1</v>
      </c>
      <c r="CX284" s="9">
        <v>2</v>
      </c>
      <c r="CY284" s="9">
        <v>1</v>
      </c>
      <c r="CZ284" s="9">
        <v>1</v>
      </c>
      <c r="DA284" s="9">
        <v>1</v>
      </c>
      <c r="DB284" s="9">
        <v>1</v>
      </c>
      <c r="DC284" s="9">
        <v>1</v>
      </c>
      <c r="DD284" s="9">
        <v>2</v>
      </c>
      <c r="DE284" s="9">
        <v>2</v>
      </c>
      <c r="DF284" s="9">
        <v>2</v>
      </c>
      <c r="DG284" s="9">
        <v>1</v>
      </c>
      <c r="DH284" s="9">
        <v>1</v>
      </c>
      <c r="DI284" s="9">
        <v>1</v>
      </c>
      <c r="DJ284" s="9">
        <v>1</v>
      </c>
      <c r="DK284" s="9">
        <v>1</v>
      </c>
      <c r="DL284" s="9">
        <v>0</v>
      </c>
      <c r="DM284" s="9">
        <v>0</v>
      </c>
      <c r="DN284" s="9">
        <v>0</v>
      </c>
      <c r="DO284" s="9">
        <v>0</v>
      </c>
      <c r="DP284" s="9">
        <v>0</v>
      </c>
      <c r="DQ284" s="9">
        <v>0</v>
      </c>
      <c r="DR284" s="9">
        <v>1</v>
      </c>
      <c r="DS284" s="9">
        <v>1</v>
      </c>
      <c r="DT284" s="9">
        <v>1</v>
      </c>
      <c r="DU284" s="9">
        <v>1</v>
      </c>
      <c r="DV284" s="9">
        <v>1</v>
      </c>
      <c r="DW284" s="9">
        <v>1</v>
      </c>
      <c r="DX284" s="9">
        <v>1</v>
      </c>
      <c r="DY284" s="9">
        <v>1</v>
      </c>
      <c r="DZ284" s="9">
        <v>1</v>
      </c>
      <c r="EA284" s="9">
        <v>2</v>
      </c>
      <c r="EB284" s="9">
        <v>2</v>
      </c>
      <c r="EC284" s="9">
        <v>2</v>
      </c>
      <c r="ED284" s="9">
        <v>2</v>
      </c>
      <c r="EE284" s="9">
        <v>1</v>
      </c>
      <c r="EF284" s="9">
        <v>1</v>
      </c>
      <c r="EG284" s="9">
        <v>1</v>
      </c>
      <c r="EH284" s="9">
        <v>1</v>
      </c>
      <c r="EI284" s="9">
        <v>1</v>
      </c>
      <c r="EJ284" s="9">
        <v>1</v>
      </c>
      <c r="EK284" s="9">
        <v>1</v>
      </c>
      <c r="EL284" s="9">
        <v>1</v>
      </c>
      <c r="EM284" s="9">
        <v>1</v>
      </c>
      <c r="EN284" s="9">
        <v>1</v>
      </c>
      <c r="EO284" s="9">
        <v>1</v>
      </c>
      <c r="EP284" s="9">
        <v>1</v>
      </c>
      <c r="EQ284" s="9">
        <v>1</v>
      </c>
      <c r="ER284" s="9">
        <v>1</v>
      </c>
      <c r="ES284" s="9">
        <v>1</v>
      </c>
      <c r="ET284" s="9">
        <v>1</v>
      </c>
      <c r="EU284" s="9">
        <v>1</v>
      </c>
      <c r="EV284" s="9">
        <v>1</v>
      </c>
      <c r="EW284" s="9">
        <v>1</v>
      </c>
      <c r="EX284" s="9">
        <v>1</v>
      </c>
      <c r="EY284" s="9">
        <v>1</v>
      </c>
      <c r="EZ284" s="9">
        <v>1</v>
      </c>
      <c r="FA284" s="9">
        <v>1</v>
      </c>
      <c r="FB284" s="9">
        <v>1</v>
      </c>
      <c r="FC284" s="9">
        <v>1</v>
      </c>
      <c r="FD284" s="9">
        <v>0</v>
      </c>
      <c r="FE284" s="9">
        <v>0</v>
      </c>
      <c r="FF284" s="9">
        <v>0</v>
      </c>
      <c r="FG284" s="9">
        <v>0</v>
      </c>
      <c r="FH284" s="9">
        <v>0</v>
      </c>
      <c r="FI284" s="9">
        <v>0</v>
      </c>
      <c r="FJ284" s="9">
        <v>0</v>
      </c>
      <c r="FK284" s="9">
        <v>0</v>
      </c>
      <c r="FL284" s="9">
        <v>0</v>
      </c>
      <c r="FM284" s="10">
        <v>0</v>
      </c>
    </row>
    <row r="285" spans="1:169" x14ac:dyDescent="0.35">
      <c r="A285" s="8" t="s">
        <v>413</v>
      </c>
      <c r="B285" s="9" t="s">
        <v>490</v>
      </c>
      <c r="C285" s="10" t="s">
        <v>491</v>
      </c>
      <c r="D285" s="62">
        <f t="shared" si="101"/>
        <v>80</v>
      </c>
      <c r="E285" s="9">
        <v>7</v>
      </c>
      <c r="F285" s="9">
        <v>10</v>
      </c>
      <c r="G285" s="9">
        <v>12</v>
      </c>
      <c r="H285" s="9">
        <v>13</v>
      </c>
      <c r="I285" s="9">
        <v>12</v>
      </c>
      <c r="J285" s="9">
        <v>17</v>
      </c>
      <c r="K285" s="9">
        <v>18</v>
      </c>
      <c r="L285" s="9">
        <v>24</v>
      </c>
      <c r="M285" s="9">
        <v>23</v>
      </c>
      <c r="N285" s="9">
        <v>27</v>
      </c>
      <c r="O285" s="9">
        <v>34</v>
      </c>
      <c r="P285" s="9">
        <v>39</v>
      </c>
      <c r="Q285" s="9">
        <v>40</v>
      </c>
      <c r="R285" s="9">
        <v>38</v>
      </c>
      <c r="S285" s="9">
        <v>41</v>
      </c>
      <c r="T285" s="9">
        <v>43</v>
      </c>
      <c r="U285" s="9">
        <v>54</v>
      </c>
      <c r="V285" s="9">
        <v>59</v>
      </c>
      <c r="W285" s="9">
        <v>67</v>
      </c>
      <c r="X285" s="9">
        <v>69</v>
      </c>
      <c r="Y285" s="9">
        <v>74</v>
      </c>
      <c r="Z285" s="9">
        <v>75</v>
      </c>
      <c r="AA285" s="9">
        <v>78</v>
      </c>
      <c r="AB285" s="9">
        <v>77</v>
      </c>
      <c r="AC285" s="9">
        <v>80</v>
      </c>
      <c r="AD285" s="9">
        <v>75</v>
      </c>
      <c r="AE285" s="9">
        <v>73</v>
      </c>
      <c r="AF285" s="9">
        <v>77</v>
      </c>
      <c r="AG285" s="9">
        <v>68</v>
      </c>
      <c r="AH285" s="9">
        <v>71</v>
      </c>
      <c r="AI285" s="9">
        <v>74</v>
      </c>
      <c r="AJ285" s="9">
        <v>73</v>
      </c>
      <c r="AK285" s="9">
        <v>65</v>
      </c>
      <c r="AL285" s="9">
        <v>67</v>
      </c>
      <c r="AM285" s="9">
        <v>61</v>
      </c>
      <c r="AN285" s="9">
        <v>61</v>
      </c>
      <c r="AO285" s="9">
        <v>59</v>
      </c>
      <c r="AP285" s="9">
        <v>60</v>
      </c>
      <c r="AQ285" s="9">
        <v>59</v>
      </c>
      <c r="AR285" s="9">
        <v>54</v>
      </c>
      <c r="AS285" s="9">
        <v>49</v>
      </c>
      <c r="AT285" s="9">
        <v>36</v>
      </c>
      <c r="AU285" s="9">
        <v>35</v>
      </c>
      <c r="AV285" s="9">
        <v>30</v>
      </c>
      <c r="AW285" s="9">
        <v>33</v>
      </c>
      <c r="AX285" s="9">
        <v>36</v>
      </c>
      <c r="AY285" s="9">
        <v>41</v>
      </c>
      <c r="AZ285" s="9">
        <v>40</v>
      </c>
      <c r="BA285" s="9">
        <v>39</v>
      </c>
      <c r="BB285" s="9">
        <v>37</v>
      </c>
      <c r="BC285" s="9">
        <v>39</v>
      </c>
      <c r="BD285" s="9">
        <v>37</v>
      </c>
      <c r="BE285" s="9">
        <v>38</v>
      </c>
      <c r="BF285" s="9">
        <v>37</v>
      </c>
      <c r="BG285" s="9">
        <v>34</v>
      </c>
      <c r="BH285" s="9">
        <v>36</v>
      </c>
      <c r="BI285" s="9">
        <v>33</v>
      </c>
      <c r="BJ285" s="9">
        <v>34</v>
      </c>
      <c r="BK285" s="9">
        <v>36</v>
      </c>
      <c r="BL285" s="9">
        <v>33</v>
      </c>
      <c r="BM285" s="9">
        <v>29</v>
      </c>
      <c r="BN285" s="9">
        <v>25</v>
      </c>
      <c r="BO285" s="9">
        <v>26</v>
      </c>
      <c r="BP285" s="9">
        <v>24</v>
      </c>
      <c r="BQ285" s="9">
        <v>22</v>
      </c>
      <c r="BR285" s="9">
        <v>20</v>
      </c>
      <c r="BS285" s="9">
        <v>21</v>
      </c>
      <c r="BT285" s="9">
        <v>18</v>
      </c>
      <c r="BU285" s="9">
        <v>16</v>
      </c>
      <c r="BV285" s="9">
        <v>14</v>
      </c>
      <c r="BW285" s="9">
        <v>14</v>
      </c>
      <c r="BX285" s="9">
        <v>11</v>
      </c>
      <c r="BY285" s="9">
        <v>10</v>
      </c>
      <c r="BZ285" s="9">
        <v>11</v>
      </c>
      <c r="CA285" s="9">
        <v>8</v>
      </c>
      <c r="CB285" s="9">
        <v>7</v>
      </c>
      <c r="CC285" s="9">
        <v>7</v>
      </c>
      <c r="CD285" s="9">
        <v>6</v>
      </c>
      <c r="CE285" s="9">
        <v>6</v>
      </c>
      <c r="CF285" s="9">
        <v>5</v>
      </c>
      <c r="CG285" s="9">
        <v>4</v>
      </c>
      <c r="CH285" s="9">
        <v>1</v>
      </c>
      <c r="CI285" s="9">
        <v>1</v>
      </c>
      <c r="CJ285" s="9">
        <v>1</v>
      </c>
      <c r="CK285" s="9">
        <v>2</v>
      </c>
      <c r="CL285" s="9">
        <v>2</v>
      </c>
      <c r="CM285" s="9">
        <v>3</v>
      </c>
      <c r="CN285" s="9">
        <v>3</v>
      </c>
      <c r="CO285" s="9">
        <v>3</v>
      </c>
      <c r="CP285" s="9">
        <v>3</v>
      </c>
      <c r="CQ285" s="9">
        <v>3</v>
      </c>
      <c r="CR285" s="9">
        <v>4</v>
      </c>
      <c r="CS285" s="9">
        <v>5</v>
      </c>
      <c r="CT285" s="9">
        <v>5</v>
      </c>
      <c r="CU285" s="9">
        <v>6</v>
      </c>
      <c r="CV285" s="9">
        <v>6</v>
      </c>
      <c r="CW285" s="9">
        <v>5</v>
      </c>
      <c r="CX285" s="9">
        <v>5</v>
      </c>
      <c r="CY285" s="9">
        <v>4</v>
      </c>
      <c r="CZ285" s="9">
        <v>4</v>
      </c>
      <c r="DA285" s="9">
        <v>4</v>
      </c>
      <c r="DB285" s="9">
        <v>4</v>
      </c>
      <c r="DC285" s="9">
        <v>4</v>
      </c>
      <c r="DD285" s="9">
        <v>6</v>
      </c>
      <c r="DE285" s="9">
        <v>5</v>
      </c>
      <c r="DF285" s="9">
        <v>5</v>
      </c>
      <c r="DG285" s="9">
        <v>4</v>
      </c>
      <c r="DH285" s="9">
        <v>3</v>
      </c>
      <c r="DI285" s="9">
        <v>2</v>
      </c>
      <c r="DJ285" s="9">
        <v>3</v>
      </c>
      <c r="DK285" s="9">
        <v>4</v>
      </c>
      <c r="DL285" s="9">
        <v>2</v>
      </c>
      <c r="DM285" s="9">
        <v>1</v>
      </c>
      <c r="DN285" s="9">
        <v>0</v>
      </c>
      <c r="DO285" s="9">
        <v>0</v>
      </c>
      <c r="DP285" s="9">
        <v>0</v>
      </c>
      <c r="DQ285" s="9">
        <v>0</v>
      </c>
      <c r="DR285" s="9">
        <v>0</v>
      </c>
      <c r="DS285" s="9">
        <v>0</v>
      </c>
      <c r="DT285" s="9">
        <v>0</v>
      </c>
      <c r="DU285" s="9">
        <v>1</v>
      </c>
      <c r="DV285" s="9">
        <v>0</v>
      </c>
      <c r="DW285" s="9">
        <v>0</v>
      </c>
      <c r="DX285" s="9">
        <v>0</v>
      </c>
      <c r="DY285" s="9">
        <v>0</v>
      </c>
      <c r="DZ285" s="9">
        <v>0</v>
      </c>
      <c r="EA285" s="9">
        <v>0</v>
      </c>
      <c r="EB285" s="9">
        <v>0</v>
      </c>
      <c r="EC285" s="9">
        <v>0</v>
      </c>
      <c r="ED285" s="9">
        <v>0</v>
      </c>
      <c r="EE285" s="9">
        <v>0</v>
      </c>
      <c r="EF285" s="9">
        <v>0</v>
      </c>
      <c r="EG285" s="9">
        <v>0</v>
      </c>
      <c r="EH285" s="9">
        <v>0</v>
      </c>
      <c r="EI285" s="9">
        <v>0</v>
      </c>
      <c r="EJ285" s="9">
        <v>0</v>
      </c>
      <c r="EK285" s="9">
        <v>0</v>
      </c>
      <c r="EL285" s="9">
        <v>1</v>
      </c>
      <c r="EM285" s="9">
        <v>1</v>
      </c>
      <c r="EN285" s="9">
        <v>1</v>
      </c>
      <c r="EO285" s="9">
        <v>1</v>
      </c>
      <c r="EP285" s="9">
        <v>1</v>
      </c>
      <c r="EQ285" s="9">
        <v>1</v>
      </c>
      <c r="ER285" s="9">
        <v>1</v>
      </c>
      <c r="ES285" s="9">
        <v>2</v>
      </c>
      <c r="ET285" s="9">
        <v>1</v>
      </c>
      <c r="EU285" s="9">
        <v>1</v>
      </c>
      <c r="EV285" s="9">
        <v>0</v>
      </c>
      <c r="EW285" s="9">
        <v>0</v>
      </c>
      <c r="EX285" s="9">
        <v>1</v>
      </c>
      <c r="EY285" s="9">
        <v>1</v>
      </c>
      <c r="EZ285" s="9">
        <v>1</v>
      </c>
      <c r="FA285" s="9">
        <v>1</v>
      </c>
      <c r="FB285" s="9">
        <v>1</v>
      </c>
      <c r="FC285" s="9">
        <v>2</v>
      </c>
      <c r="FD285" s="9">
        <v>1</v>
      </c>
      <c r="FE285" s="9">
        <v>2</v>
      </c>
      <c r="FF285" s="9">
        <v>2</v>
      </c>
      <c r="FG285" s="9">
        <v>3</v>
      </c>
      <c r="FH285" s="9">
        <v>3</v>
      </c>
      <c r="FI285" s="9">
        <v>3</v>
      </c>
      <c r="FJ285" s="9">
        <v>2</v>
      </c>
      <c r="FK285" s="9">
        <v>3</v>
      </c>
      <c r="FL285" s="9">
        <v>2</v>
      </c>
      <c r="FM285" s="10">
        <v>2</v>
      </c>
    </row>
    <row r="286" spans="1:169" x14ac:dyDescent="0.35">
      <c r="A286" s="8" t="s">
        <v>413</v>
      </c>
      <c r="B286" s="9" t="s">
        <v>492</v>
      </c>
      <c r="C286" s="10" t="s">
        <v>493</v>
      </c>
      <c r="D286" s="62">
        <f t="shared" si="101"/>
        <v>73</v>
      </c>
      <c r="E286" s="9">
        <v>0</v>
      </c>
      <c r="F286" s="9">
        <v>2</v>
      </c>
      <c r="G286" s="9">
        <v>2</v>
      </c>
      <c r="H286" s="9">
        <v>2</v>
      </c>
      <c r="I286" s="9">
        <v>4</v>
      </c>
      <c r="J286" s="9">
        <v>4</v>
      </c>
      <c r="K286" s="9">
        <v>5</v>
      </c>
      <c r="L286" s="9">
        <v>6</v>
      </c>
      <c r="M286" s="9">
        <v>6</v>
      </c>
      <c r="N286" s="9">
        <v>6</v>
      </c>
      <c r="O286" s="9">
        <v>9</v>
      </c>
      <c r="P286" s="9">
        <v>10</v>
      </c>
      <c r="Q286" s="9">
        <v>14</v>
      </c>
      <c r="R286" s="9">
        <v>16</v>
      </c>
      <c r="S286" s="9">
        <v>16</v>
      </c>
      <c r="T286" s="9">
        <v>20</v>
      </c>
      <c r="U286" s="9">
        <v>26</v>
      </c>
      <c r="V286" s="9">
        <v>27</v>
      </c>
      <c r="W286" s="9">
        <v>29</v>
      </c>
      <c r="X286" s="9">
        <v>28</v>
      </c>
      <c r="Y286" s="9">
        <v>31</v>
      </c>
      <c r="Z286" s="9">
        <v>36</v>
      </c>
      <c r="AA286" s="9">
        <v>34</v>
      </c>
      <c r="AB286" s="9">
        <v>38</v>
      </c>
      <c r="AC286" s="9">
        <v>37</v>
      </c>
      <c r="AD286" s="9">
        <v>37</v>
      </c>
      <c r="AE286" s="9">
        <v>41</v>
      </c>
      <c r="AF286" s="9">
        <v>39</v>
      </c>
      <c r="AG286" s="9">
        <v>36</v>
      </c>
      <c r="AH286" s="9">
        <v>44</v>
      </c>
      <c r="AI286" s="9">
        <v>46</v>
      </c>
      <c r="AJ286" s="9">
        <v>47</v>
      </c>
      <c r="AK286" s="9">
        <v>0</v>
      </c>
      <c r="AL286" s="9">
        <v>47</v>
      </c>
      <c r="AM286" s="9">
        <v>50</v>
      </c>
      <c r="AN286" s="9">
        <v>52</v>
      </c>
      <c r="AO286" s="9">
        <v>54</v>
      </c>
      <c r="AP286" s="9">
        <v>60</v>
      </c>
      <c r="AQ286" s="9">
        <v>61</v>
      </c>
      <c r="AR286" s="9">
        <v>62</v>
      </c>
      <c r="AS286" s="9">
        <v>0</v>
      </c>
      <c r="AT286" s="9">
        <v>61</v>
      </c>
      <c r="AU286" s="9">
        <v>61</v>
      </c>
      <c r="AV286" s="9">
        <v>62</v>
      </c>
      <c r="AW286" s="9">
        <v>62</v>
      </c>
      <c r="AX286" s="9">
        <v>65</v>
      </c>
      <c r="AY286" s="9">
        <v>61</v>
      </c>
      <c r="AZ286" s="9">
        <v>62</v>
      </c>
      <c r="BA286" s="9">
        <v>60</v>
      </c>
      <c r="BB286" s="9">
        <v>59</v>
      </c>
      <c r="BC286" s="9">
        <v>59</v>
      </c>
      <c r="BD286" s="9">
        <v>59</v>
      </c>
      <c r="BE286" s="9">
        <v>58</v>
      </c>
      <c r="BF286" s="9">
        <v>59</v>
      </c>
      <c r="BG286" s="9">
        <v>60</v>
      </c>
      <c r="BH286" s="9">
        <v>63</v>
      </c>
      <c r="BI286" s="9">
        <v>64</v>
      </c>
      <c r="BJ286" s="9">
        <v>66</v>
      </c>
      <c r="BK286" s="9">
        <v>64</v>
      </c>
      <c r="BL286" s="9">
        <v>70</v>
      </c>
      <c r="BM286" s="9">
        <v>73</v>
      </c>
      <c r="BN286" s="9">
        <v>72</v>
      </c>
      <c r="BO286" s="9">
        <v>69</v>
      </c>
      <c r="BP286" s="9">
        <v>66</v>
      </c>
      <c r="BQ286" s="9">
        <v>65</v>
      </c>
      <c r="BR286" s="9">
        <v>63</v>
      </c>
      <c r="BS286" s="9">
        <v>65</v>
      </c>
      <c r="BT286" s="9">
        <v>67</v>
      </c>
      <c r="BU286" s="9">
        <v>68</v>
      </c>
      <c r="BV286" s="9">
        <v>66</v>
      </c>
      <c r="BW286" s="9">
        <v>64</v>
      </c>
      <c r="BX286" s="9">
        <v>61</v>
      </c>
      <c r="BY286" s="9">
        <v>67</v>
      </c>
      <c r="BZ286" s="9">
        <v>62</v>
      </c>
      <c r="CA286" s="9">
        <v>62</v>
      </c>
      <c r="CB286" s="9">
        <v>61</v>
      </c>
      <c r="CC286" s="9">
        <v>59</v>
      </c>
      <c r="CD286" s="9">
        <v>57</v>
      </c>
      <c r="CE286" s="9">
        <v>53</v>
      </c>
      <c r="CF286" s="9">
        <v>54</v>
      </c>
      <c r="CG286" s="9">
        <v>56</v>
      </c>
      <c r="CH286" s="9">
        <v>58</v>
      </c>
      <c r="CI286" s="9">
        <v>56</v>
      </c>
      <c r="CJ286" s="9">
        <v>52</v>
      </c>
      <c r="CK286" s="9">
        <v>50</v>
      </c>
      <c r="CL286" s="9">
        <v>45</v>
      </c>
      <c r="CM286" s="9">
        <v>43</v>
      </c>
      <c r="CN286" s="9">
        <v>46</v>
      </c>
      <c r="CO286" s="9">
        <v>43</v>
      </c>
      <c r="CP286" s="9">
        <v>42</v>
      </c>
      <c r="CQ286" s="9">
        <v>42</v>
      </c>
      <c r="CR286" s="9">
        <v>42</v>
      </c>
      <c r="CS286" s="9">
        <v>40</v>
      </c>
      <c r="CT286" s="9">
        <v>36</v>
      </c>
      <c r="CU286" s="9">
        <v>37</v>
      </c>
      <c r="CV286" s="9">
        <v>36</v>
      </c>
      <c r="CW286" s="9">
        <v>34</v>
      </c>
      <c r="CX286" s="9">
        <v>32</v>
      </c>
      <c r="CY286" s="9">
        <v>32</v>
      </c>
      <c r="CZ286" s="9">
        <v>31</v>
      </c>
      <c r="DA286" s="9">
        <v>34</v>
      </c>
      <c r="DB286" s="9">
        <v>37</v>
      </c>
      <c r="DC286" s="9">
        <v>35</v>
      </c>
      <c r="DD286" s="9">
        <v>34</v>
      </c>
      <c r="DE286" s="9">
        <v>33</v>
      </c>
      <c r="DF286" s="9">
        <v>31</v>
      </c>
      <c r="DG286" s="9">
        <v>28</v>
      </c>
      <c r="DH286" s="9">
        <v>28</v>
      </c>
      <c r="DI286" s="9">
        <v>29</v>
      </c>
      <c r="DJ286" s="9">
        <v>29</v>
      </c>
      <c r="DK286" s="9">
        <v>29</v>
      </c>
      <c r="DL286" s="9">
        <v>26</v>
      </c>
      <c r="DM286" s="9">
        <v>24</v>
      </c>
      <c r="DN286" s="9">
        <v>27</v>
      </c>
      <c r="DO286" s="9">
        <v>25</v>
      </c>
      <c r="DP286" s="9">
        <v>24</v>
      </c>
      <c r="DQ286" s="9">
        <v>23</v>
      </c>
      <c r="DR286" s="9">
        <v>21</v>
      </c>
      <c r="DS286" s="9">
        <v>23</v>
      </c>
      <c r="DT286" s="9">
        <v>22</v>
      </c>
      <c r="DU286" s="9">
        <v>21</v>
      </c>
      <c r="DV286" s="9">
        <v>22</v>
      </c>
      <c r="DW286" s="9">
        <v>24</v>
      </c>
      <c r="DX286" s="9">
        <v>22</v>
      </c>
      <c r="DY286" s="9">
        <v>22</v>
      </c>
      <c r="DZ286" s="9">
        <v>21</v>
      </c>
      <c r="EA286" s="9">
        <v>22</v>
      </c>
      <c r="EB286" s="9">
        <v>21</v>
      </c>
      <c r="EC286" s="9">
        <v>20</v>
      </c>
      <c r="ED286" s="9">
        <v>19</v>
      </c>
      <c r="EE286" s="9">
        <v>18</v>
      </c>
      <c r="EF286" s="9">
        <v>18</v>
      </c>
      <c r="EG286" s="9">
        <v>18</v>
      </c>
      <c r="EH286" s="9">
        <v>18</v>
      </c>
      <c r="EI286" s="9">
        <v>16</v>
      </c>
      <c r="EJ286" s="9">
        <v>16</v>
      </c>
      <c r="EK286" s="9">
        <v>15</v>
      </c>
      <c r="EL286" s="9">
        <v>14</v>
      </c>
      <c r="EM286" s="9">
        <v>14</v>
      </c>
      <c r="EN286" s="9">
        <v>0</v>
      </c>
      <c r="EO286" s="9">
        <v>13</v>
      </c>
      <c r="EP286" s="9">
        <v>12</v>
      </c>
      <c r="EQ286" s="9">
        <v>12</v>
      </c>
      <c r="ER286" s="9">
        <v>12</v>
      </c>
      <c r="ES286" s="9">
        <v>12</v>
      </c>
      <c r="ET286" s="9">
        <v>12</v>
      </c>
      <c r="EU286" s="9">
        <v>11</v>
      </c>
      <c r="EV286" s="9">
        <v>11</v>
      </c>
      <c r="EW286" s="9">
        <v>12</v>
      </c>
      <c r="EX286" s="9">
        <v>12</v>
      </c>
      <c r="EY286" s="9">
        <v>12</v>
      </c>
      <c r="EZ286" s="9">
        <v>12</v>
      </c>
      <c r="FA286" s="9">
        <v>12</v>
      </c>
      <c r="FB286" s="9">
        <v>11</v>
      </c>
      <c r="FC286" s="9">
        <v>12</v>
      </c>
      <c r="FD286" s="9">
        <v>12</v>
      </c>
      <c r="FE286" s="9">
        <v>12</v>
      </c>
      <c r="FF286" s="9">
        <v>12</v>
      </c>
      <c r="FG286" s="9">
        <v>11</v>
      </c>
      <c r="FH286" s="9">
        <v>10</v>
      </c>
      <c r="FI286" s="9">
        <v>8</v>
      </c>
      <c r="FJ286" s="9">
        <v>6</v>
      </c>
      <c r="FK286" s="9">
        <v>5</v>
      </c>
      <c r="FL286" s="9">
        <v>5</v>
      </c>
      <c r="FM286" s="10">
        <v>5</v>
      </c>
    </row>
    <row r="287" spans="1:169" x14ac:dyDescent="0.35">
      <c r="A287" s="8" t="s">
        <v>494</v>
      </c>
      <c r="B287" s="9" t="s">
        <v>495</v>
      </c>
      <c r="C287" s="10" t="s">
        <v>496</v>
      </c>
      <c r="D287" s="62">
        <f t="shared" si="101"/>
        <v>15</v>
      </c>
      <c r="E287" s="9">
        <v>0</v>
      </c>
      <c r="F287" s="9">
        <v>0</v>
      </c>
      <c r="G287" s="9">
        <v>0</v>
      </c>
      <c r="H287" s="9">
        <v>0</v>
      </c>
      <c r="I287" s="9">
        <v>0</v>
      </c>
      <c r="J287" s="9">
        <v>0</v>
      </c>
      <c r="K287" s="9">
        <v>0</v>
      </c>
      <c r="L287" s="9">
        <v>4</v>
      </c>
      <c r="M287" s="9">
        <v>4</v>
      </c>
      <c r="N287" s="9">
        <v>4</v>
      </c>
      <c r="O287" s="9">
        <v>4</v>
      </c>
      <c r="P287" s="9">
        <v>5</v>
      </c>
      <c r="Q287" s="9">
        <v>6</v>
      </c>
      <c r="R287" s="9">
        <v>6</v>
      </c>
      <c r="S287" s="9">
        <v>5</v>
      </c>
      <c r="T287" s="9">
        <v>4</v>
      </c>
      <c r="U287" s="9">
        <v>4</v>
      </c>
      <c r="V287" s="9">
        <v>4</v>
      </c>
      <c r="W287" s="9">
        <v>8</v>
      </c>
      <c r="X287" s="9">
        <v>9</v>
      </c>
      <c r="Y287" s="9">
        <v>8</v>
      </c>
      <c r="Z287" s="9">
        <v>8</v>
      </c>
      <c r="AA287" s="9">
        <v>6</v>
      </c>
      <c r="AB287" s="9">
        <v>6</v>
      </c>
      <c r="AC287" s="9">
        <v>7</v>
      </c>
      <c r="AD287" s="9">
        <v>8</v>
      </c>
      <c r="AE287" s="9">
        <v>13</v>
      </c>
      <c r="AF287" s="9">
        <v>13</v>
      </c>
      <c r="AG287" s="9">
        <v>13</v>
      </c>
      <c r="AH287" s="9">
        <v>13</v>
      </c>
      <c r="AI287" s="9">
        <v>13</v>
      </c>
      <c r="AJ287" s="9">
        <v>13</v>
      </c>
      <c r="AK287" s="9">
        <v>14</v>
      </c>
      <c r="AL287" s="9">
        <v>15</v>
      </c>
      <c r="AM287" s="9">
        <v>14</v>
      </c>
      <c r="AN287" s="9">
        <v>14</v>
      </c>
      <c r="AO287" s="9">
        <v>10</v>
      </c>
      <c r="AP287" s="9">
        <v>9</v>
      </c>
      <c r="AQ287" s="9">
        <v>9</v>
      </c>
      <c r="AR287" s="9">
        <v>9</v>
      </c>
      <c r="AS287" s="9">
        <v>9</v>
      </c>
      <c r="AT287" s="9">
        <v>10</v>
      </c>
      <c r="AU287" s="9">
        <v>9</v>
      </c>
      <c r="AV287" s="9">
        <v>9</v>
      </c>
      <c r="AW287" s="9">
        <v>9</v>
      </c>
      <c r="AX287" s="9">
        <v>9</v>
      </c>
      <c r="AY287" s="9">
        <v>9</v>
      </c>
      <c r="AZ287" s="9">
        <v>8</v>
      </c>
      <c r="BA287" s="9">
        <v>8</v>
      </c>
      <c r="BB287" s="9">
        <v>7</v>
      </c>
      <c r="BC287" s="9">
        <v>7</v>
      </c>
      <c r="BD287" s="9">
        <v>7</v>
      </c>
      <c r="BE287" s="9">
        <v>7</v>
      </c>
      <c r="BF287" s="9">
        <v>7</v>
      </c>
      <c r="BG287" s="9">
        <v>7</v>
      </c>
      <c r="BH287" s="9">
        <v>7</v>
      </c>
      <c r="BI287" s="9">
        <v>7</v>
      </c>
      <c r="BJ287" s="9">
        <v>6</v>
      </c>
      <c r="BK287" s="9">
        <v>6</v>
      </c>
      <c r="BL287" s="9">
        <v>6</v>
      </c>
      <c r="BM287" s="9">
        <v>6</v>
      </c>
      <c r="BN287" s="9">
        <v>6</v>
      </c>
      <c r="BO287" s="9">
        <v>7</v>
      </c>
      <c r="BP287" s="9">
        <v>7</v>
      </c>
      <c r="BQ287" s="9">
        <v>7</v>
      </c>
      <c r="BR287" s="9">
        <v>7</v>
      </c>
      <c r="BS287" s="9">
        <v>7</v>
      </c>
      <c r="BT287" s="9">
        <v>7</v>
      </c>
      <c r="BU287" s="9">
        <v>7</v>
      </c>
      <c r="BV287" s="9">
        <v>6</v>
      </c>
      <c r="BW287" s="9">
        <v>6</v>
      </c>
      <c r="BX287" s="9">
        <v>6</v>
      </c>
      <c r="BY287" s="9">
        <v>6</v>
      </c>
      <c r="BZ287" s="9">
        <v>6</v>
      </c>
      <c r="CA287" s="9">
        <v>6</v>
      </c>
      <c r="CB287" s="9">
        <v>6</v>
      </c>
      <c r="CC287" s="9">
        <v>6</v>
      </c>
      <c r="CD287" s="9">
        <v>5</v>
      </c>
      <c r="CE287" s="9">
        <v>4</v>
      </c>
      <c r="CF287" s="9">
        <v>4</v>
      </c>
      <c r="CG287" s="9">
        <v>4</v>
      </c>
      <c r="CH287" s="9">
        <v>3</v>
      </c>
      <c r="CI287" s="9">
        <v>4</v>
      </c>
      <c r="CJ287" s="9">
        <v>4</v>
      </c>
      <c r="CK287" s="9">
        <v>4</v>
      </c>
      <c r="CL287" s="9">
        <v>4</v>
      </c>
      <c r="CM287" s="9">
        <v>3</v>
      </c>
      <c r="CN287" s="9">
        <v>3</v>
      </c>
      <c r="CO287" s="9">
        <v>3</v>
      </c>
      <c r="CP287" s="9">
        <v>3</v>
      </c>
      <c r="CQ287" s="9">
        <v>3</v>
      </c>
      <c r="CR287" s="9">
        <v>2</v>
      </c>
      <c r="CS287" s="9">
        <v>2</v>
      </c>
      <c r="CT287" s="9">
        <v>2</v>
      </c>
      <c r="CU287" s="9">
        <v>2</v>
      </c>
      <c r="CV287" s="9">
        <v>2</v>
      </c>
      <c r="CW287" s="9">
        <v>2</v>
      </c>
      <c r="CX287" s="9">
        <v>2</v>
      </c>
      <c r="CY287" s="9">
        <v>2</v>
      </c>
      <c r="CZ287" s="9">
        <v>2</v>
      </c>
      <c r="DA287" s="9">
        <v>2</v>
      </c>
      <c r="DB287" s="9">
        <v>2</v>
      </c>
      <c r="DC287" s="9">
        <v>2</v>
      </c>
      <c r="DD287" s="9">
        <v>2</v>
      </c>
      <c r="DE287" s="9">
        <v>1</v>
      </c>
      <c r="DF287" s="9">
        <v>1</v>
      </c>
      <c r="DG287" s="9">
        <v>1</v>
      </c>
      <c r="DH287" s="9">
        <v>1</v>
      </c>
      <c r="DI287" s="9">
        <v>1</v>
      </c>
      <c r="DJ287" s="9">
        <v>1</v>
      </c>
      <c r="DK287" s="9">
        <v>1</v>
      </c>
      <c r="DL287" s="9">
        <v>1</v>
      </c>
      <c r="DM287" s="9">
        <v>1</v>
      </c>
      <c r="DN287" s="9">
        <v>1</v>
      </c>
      <c r="DO287" s="9">
        <v>1</v>
      </c>
      <c r="DP287" s="9">
        <v>0</v>
      </c>
      <c r="DQ287" s="9">
        <v>0</v>
      </c>
      <c r="DR287" s="9">
        <v>0</v>
      </c>
      <c r="DS287" s="9">
        <v>0</v>
      </c>
      <c r="DT287" s="9">
        <v>0</v>
      </c>
      <c r="DU287" s="9">
        <v>0</v>
      </c>
      <c r="DV287" s="9">
        <v>0</v>
      </c>
      <c r="DW287" s="9">
        <v>0</v>
      </c>
      <c r="DX287" s="9">
        <v>0</v>
      </c>
      <c r="DY287" s="9">
        <v>0</v>
      </c>
      <c r="DZ287" s="9">
        <v>0</v>
      </c>
      <c r="EA287" s="9">
        <v>0</v>
      </c>
      <c r="EB287" s="9">
        <v>0</v>
      </c>
      <c r="EC287" s="9">
        <v>0</v>
      </c>
      <c r="ED287" s="9">
        <v>0</v>
      </c>
      <c r="EE287" s="9">
        <v>0</v>
      </c>
      <c r="EF287" s="9">
        <v>0</v>
      </c>
      <c r="EG287" s="9">
        <v>0</v>
      </c>
      <c r="EH287" s="9">
        <v>0</v>
      </c>
      <c r="EI287" s="9">
        <v>0</v>
      </c>
      <c r="EJ287" s="9">
        <v>0</v>
      </c>
      <c r="EK287" s="9">
        <v>0</v>
      </c>
      <c r="EL287" s="9">
        <v>0</v>
      </c>
      <c r="EM287" s="9">
        <v>0</v>
      </c>
      <c r="EN287" s="9">
        <v>0</v>
      </c>
      <c r="EO287" s="9">
        <v>0</v>
      </c>
      <c r="EP287" s="9">
        <v>0</v>
      </c>
      <c r="EQ287" s="9">
        <v>0</v>
      </c>
      <c r="ER287" s="9">
        <v>0</v>
      </c>
      <c r="ES287" s="9">
        <v>0</v>
      </c>
      <c r="ET287" s="9">
        <v>0</v>
      </c>
      <c r="EU287" s="9">
        <v>0</v>
      </c>
      <c r="EV287" s="9">
        <v>0</v>
      </c>
      <c r="EW287" s="9">
        <v>0</v>
      </c>
      <c r="EX287" s="9">
        <v>0</v>
      </c>
      <c r="EY287" s="9">
        <v>0</v>
      </c>
      <c r="EZ287" s="9">
        <v>0</v>
      </c>
      <c r="FA287" s="9">
        <v>1</v>
      </c>
      <c r="FB287" s="9">
        <v>1</v>
      </c>
      <c r="FC287" s="9">
        <v>1</v>
      </c>
      <c r="FD287" s="9">
        <v>1</v>
      </c>
      <c r="FE287" s="9">
        <v>1</v>
      </c>
      <c r="FF287" s="9">
        <v>1</v>
      </c>
      <c r="FG287" s="9">
        <v>1</v>
      </c>
      <c r="FH287" s="9">
        <v>1</v>
      </c>
      <c r="FI287" s="9">
        <v>1</v>
      </c>
      <c r="FJ287" s="9">
        <v>1</v>
      </c>
      <c r="FK287" s="9">
        <v>1</v>
      </c>
      <c r="FL287" s="9">
        <v>1</v>
      </c>
      <c r="FM287" s="10">
        <v>1</v>
      </c>
    </row>
    <row r="288" spans="1:169" x14ac:dyDescent="0.35">
      <c r="A288" s="8" t="s">
        <v>494</v>
      </c>
      <c r="B288" s="9" t="s">
        <v>7</v>
      </c>
      <c r="C288" s="10" t="s">
        <v>8</v>
      </c>
      <c r="D288" s="62">
        <f t="shared" si="101"/>
        <v>5</v>
      </c>
      <c r="E288" s="9">
        <v>0</v>
      </c>
      <c r="F288" s="9">
        <v>0</v>
      </c>
      <c r="G288" s="9">
        <v>0</v>
      </c>
      <c r="H288" s="9">
        <v>0</v>
      </c>
      <c r="I288" s="9">
        <v>0</v>
      </c>
      <c r="J288" s="9">
        <v>0</v>
      </c>
      <c r="K288" s="9">
        <v>0</v>
      </c>
      <c r="L288" s="9">
        <v>0</v>
      </c>
      <c r="M288" s="9">
        <v>0</v>
      </c>
      <c r="N288" s="9">
        <v>0</v>
      </c>
      <c r="O288" s="9">
        <v>0</v>
      </c>
      <c r="P288" s="9">
        <v>0</v>
      </c>
      <c r="Q288" s="9">
        <v>0</v>
      </c>
      <c r="R288" s="9">
        <v>0</v>
      </c>
      <c r="S288" s="9">
        <v>0</v>
      </c>
      <c r="T288" s="9">
        <v>0</v>
      </c>
      <c r="U288" s="9">
        <v>0</v>
      </c>
      <c r="V288" s="9">
        <v>0</v>
      </c>
      <c r="W288" s="9">
        <v>0</v>
      </c>
      <c r="X288" s="9">
        <v>0</v>
      </c>
      <c r="Y288" s="9">
        <v>0</v>
      </c>
      <c r="Z288" s="9">
        <v>0</v>
      </c>
      <c r="AA288" s="9">
        <v>0</v>
      </c>
      <c r="AB288" s="9">
        <v>0</v>
      </c>
      <c r="AC288" s="9">
        <v>0</v>
      </c>
      <c r="AD288" s="9">
        <v>0</v>
      </c>
      <c r="AE288" s="9">
        <v>0</v>
      </c>
      <c r="AF288" s="9">
        <v>0</v>
      </c>
      <c r="AG288" s="9">
        <v>0</v>
      </c>
      <c r="AH288" s="9">
        <v>0</v>
      </c>
      <c r="AI288" s="9">
        <v>0</v>
      </c>
      <c r="AJ288" s="9">
        <v>0</v>
      </c>
      <c r="AK288" s="9">
        <v>0</v>
      </c>
      <c r="AL288" s="9">
        <v>0</v>
      </c>
      <c r="AM288" s="9">
        <v>0</v>
      </c>
      <c r="AN288" s="9">
        <v>0</v>
      </c>
      <c r="AO288" s="9">
        <v>0</v>
      </c>
      <c r="AP288" s="9">
        <v>0</v>
      </c>
      <c r="AQ288" s="9">
        <v>0</v>
      </c>
      <c r="AR288" s="9">
        <v>0</v>
      </c>
      <c r="AS288" s="9">
        <v>0</v>
      </c>
      <c r="AT288" s="9">
        <v>0</v>
      </c>
      <c r="AU288" s="9">
        <v>0</v>
      </c>
      <c r="AV288" s="9">
        <v>0</v>
      </c>
      <c r="AW288" s="9">
        <v>0</v>
      </c>
      <c r="AX288" s="9">
        <v>0</v>
      </c>
      <c r="AY288" s="9">
        <v>0</v>
      </c>
      <c r="AZ288" s="9">
        <v>0</v>
      </c>
      <c r="BA288" s="9">
        <v>0</v>
      </c>
      <c r="BB288" s="9">
        <v>0</v>
      </c>
      <c r="BC288" s="9">
        <v>0</v>
      </c>
      <c r="BD288" s="9">
        <v>0</v>
      </c>
      <c r="BE288" s="9">
        <v>0</v>
      </c>
      <c r="BF288" s="9">
        <v>0</v>
      </c>
      <c r="BG288" s="9">
        <v>0</v>
      </c>
      <c r="BH288" s="9">
        <v>0</v>
      </c>
      <c r="BI288" s="9">
        <v>5</v>
      </c>
      <c r="BJ288" s="9">
        <v>5</v>
      </c>
      <c r="BK288" s="9">
        <v>5</v>
      </c>
      <c r="BL288" s="9">
        <v>5</v>
      </c>
      <c r="BM288" s="9">
        <v>5</v>
      </c>
      <c r="BN288" s="9">
        <v>5</v>
      </c>
      <c r="BO288" s="9">
        <v>0</v>
      </c>
      <c r="BP288" s="9">
        <v>0</v>
      </c>
      <c r="BQ288" s="9">
        <v>0</v>
      </c>
      <c r="BR288" s="9">
        <v>0</v>
      </c>
      <c r="BS288" s="9">
        <v>0</v>
      </c>
      <c r="BT288" s="9">
        <v>0</v>
      </c>
      <c r="BU288" s="9">
        <v>0</v>
      </c>
      <c r="BV288" s="9">
        <v>0</v>
      </c>
      <c r="BW288" s="9">
        <v>0</v>
      </c>
      <c r="BX288" s="9">
        <v>0</v>
      </c>
      <c r="BY288" s="9">
        <v>0</v>
      </c>
      <c r="BZ288" s="9">
        <v>0</v>
      </c>
      <c r="CA288" s="9">
        <v>0</v>
      </c>
      <c r="CB288" s="9">
        <v>0</v>
      </c>
      <c r="CC288" s="9">
        <v>0</v>
      </c>
      <c r="CD288" s="9">
        <v>0</v>
      </c>
      <c r="CE288" s="9">
        <v>0</v>
      </c>
      <c r="CF288" s="9">
        <v>0</v>
      </c>
      <c r="CG288" s="9">
        <v>0</v>
      </c>
      <c r="CH288" s="9">
        <v>0</v>
      </c>
      <c r="CI288" s="9">
        <v>0</v>
      </c>
      <c r="CJ288" s="9">
        <v>0</v>
      </c>
      <c r="CK288" s="9">
        <v>0</v>
      </c>
      <c r="CL288" s="9">
        <v>0</v>
      </c>
      <c r="CM288" s="9">
        <v>0</v>
      </c>
      <c r="CN288" s="9">
        <v>0</v>
      </c>
      <c r="CO288" s="9">
        <v>0</v>
      </c>
      <c r="CP288" s="9">
        <v>0</v>
      </c>
      <c r="CQ288" s="9">
        <v>0</v>
      </c>
      <c r="CR288" s="9">
        <v>0</v>
      </c>
      <c r="CS288" s="9">
        <v>0</v>
      </c>
      <c r="CT288" s="9">
        <v>0</v>
      </c>
      <c r="CU288" s="9">
        <v>0</v>
      </c>
      <c r="CV288" s="9">
        <v>0</v>
      </c>
      <c r="CW288" s="9">
        <v>0</v>
      </c>
      <c r="CX288" s="9">
        <v>0</v>
      </c>
      <c r="CY288" s="9">
        <v>0</v>
      </c>
      <c r="CZ288" s="9">
        <v>0</v>
      </c>
      <c r="DA288" s="9">
        <v>0</v>
      </c>
      <c r="DB288" s="9">
        <v>0</v>
      </c>
      <c r="DC288" s="9">
        <v>0</v>
      </c>
      <c r="DD288" s="9">
        <v>0</v>
      </c>
      <c r="DE288" s="9">
        <v>0</v>
      </c>
      <c r="DF288" s="9">
        <v>0</v>
      </c>
      <c r="DG288" s="9">
        <v>0</v>
      </c>
      <c r="DH288" s="9">
        <v>0</v>
      </c>
      <c r="DI288" s="9">
        <v>0</v>
      </c>
      <c r="DJ288" s="9">
        <v>0</v>
      </c>
      <c r="DK288" s="9">
        <v>0</v>
      </c>
      <c r="DL288" s="9">
        <v>0</v>
      </c>
      <c r="DM288" s="9">
        <v>0</v>
      </c>
      <c r="DN288" s="9">
        <v>0</v>
      </c>
      <c r="DO288" s="9">
        <v>0</v>
      </c>
      <c r="DP288" s="9">
        <v>0</v>
      </c>
      <c r="DQ288" s="9">
        <v>0</v>
      </c>
      <c r="DR288" s="9">
        <v>0</v>
      </c>
      <c r="DS288" s="9">
        <v>0</v>
      </c>
      <c r="DT288" s="9">
        <v>0</v>
      </c>
      <c r="DU288" s="9">
        <v>0</v>
      </c>
      <c r="DV288" s="9">
        <v>0</v>
      </c>
      <c r="DW288" s="9">
        <v>0</v>
      </c>
      <c r="DX288" s="9">
        <v>0</v>
      </c>
      <c r="DY288" s="9">
        <v>0</v>
      </c>
      <c r="DZ288" s="9">
        <v>0</v>
      </c>
      <c r="EA288" s="9">
        <v>0</v>
      </c>
      <c r="EB288" s="9">
        <v>0</v>
      </c>
      <c r="EC288" s="9">
        <v>0</v>
      </c>
      <c r="ED288" s="9">
        <v>0</v>
      </c>
      <c r="EE288" s="9">
        <v>0</v>
      </c>
      <c r="EF288" s="9">
        <v>0</v>
      </c>
      <c r="EG288" s="9">
        <v>0</v>
      </c>
      <c r="EH288" s="9">
        <v>0</v>
      </c>
      <c r="EI288" s="9">
        <v>0</v>
      </c>
      <c r="EJ288" s="9">
        <v>0</v>
      </c>
      <c r="EK288" s="9">
        <v>0</v>
      </c>
      <c r="EL288" s="9">
        <v>0</v>
      </c>
      <c r="EM288" s="9">
        <v>0</v>
      </c>
      <c r="EN288" s="9">
        <v>0</v>
      </c>
      <c r="EO288" s="9">
        <v>0</v>
      </c>
      <c r="EP288" s="9">
        <v>0</v>
      </c>
      <c r="EQ288" s="9">
        <v>0</v>
      </c>
      <c r="ER288" s="9">
        <v>0</v>
      </c>
      <c r="ES288" s="9">
        <v>0</v>
      </c>
      <c r="ET288" s="9">
        <v>0</v>
      </c>
      <c r="EU288" s="9">
        <v>0</v>
      </c>
      <c r="EV288" s="9">
        <v>0</v>
      </c>
      <c r="EW288" s="9">
        <v>0</v>
      </c>
      <c r="EX288" s="9">
        <v>0</v>
      </c>
      <c r="EY288" s="9">
        <v>0</v>
      </c>
      <c r="EZ288" s="9">
        <v>0</v>
      </c>
      <c r="FA288" s="9">
        <v>0</v>
      </c>
      <c r="FB288" s="9">
        <v>0</v>
      </c>
      <c r="FC288" s="9">
        <v>0</v>
      </c>
      <c r="FD288" s="9">
        <v>0</v>
      </c>
      <c r="FE288" s="9">
        <v>0</v>
      </c>
      <c r="FF288" s="9">
        <v>0</v>
      </c>
      <c r="FG288" s="9">
        <v>0</v>
      </c>
      <c r="FH288" s="9">
        <v>0</v>
      </c>
      <c r="FI288" s="9">
        <v>0</v>
      </c>
      <c r="FJ288" s="9">
        <v>0</v>
      </c>
      <c r="FK288" s="9">
        <v>0</v>
      </c>
      <c r="FL288" s="9">
        <v>0</v>
      </c>
      <c r="FM288" s="10">
        <v>0</v>
      </c>
    </row>
    <row r="289" spans="1:169" x14ac:dyDescent="0.35">
      <c r="A289" s="8" t="s">
        <v>494</v>
      </c>
      <c r="B289" s="9" t="s">
        <v>497</v>
      </c>
      <c r="C289" s="10" t="s">
        <v>498</v>
      </c>
      <c r="D289" s="62">
        <f t="shared" si="101"/>
        <v>0</v>
      </c>
      <c r="E289" s="9">
        <v>0</v>
      </c>
      <c r="F289" s="9">
        <v>0</v>
      </c>
      <c r="G289" s="9">
        <v>0</v>
      </c>
      <c r="H289" s="9">
        <v>0</v>
      </c>
      <c r="I289" s="9">
        <v>0</v>
      </c>
      <c r="J289" s="9">
        <v>0</v>
      </c>
      <c r="K289" s="9">
        <v>0</v>
      </c>
      <c r="L289" s="9">
        <v>0</v>
      </c>
      <c r="M289" s="9">
        <v>0</v>
      </c>
      <c r="N289" s="9">
        <v>0</v>
      </c>
      <c r="O289" s="9">
        <v>0</v>
      </c>
      <c r="P289" s="9">
        <v>0</v>
      </c>
      <c r="Q289" s="9">
        <v>0</v>
      </c>
      <c r="R289" s="9">
        <v>0</v>
      </c>
      <c r="S289" s="9">
        <v>0</v>
      </c>
      <c r="T289" s="9">
        <v>0</v>
      </c>
      <c r="U289" s="9">
        <v>0</v>
      </c>
      <c r="V289" s="9">
        <v>0</v>
      </c>
      <c r="W289" s="9">
        <v>0</v>
      </c>
      <c r="X289" s="9">
        <v>0</v>
      </c>
      <c r="Y289" s="9">
        <v>0</v>
      </c>
      <c r="Z289" s="9">
        <v>0</v>
      </c>
      <c r="AA289" s="9">
        <v>0</v>
      </c>
      <c r="AB289" s="9">
        <v>0</v>
      </c>
      <c r="AC289" s="9">
        <v>0</v>
      </c>
      <c r="AD289" s="9">
        <v>0</v>
      </c>
      <c r="AE289" s="9">
        <v>0</v>
      </c>
      <c r="AF289" s="9">
        <v>0</v>
      </c>
      <c r="AG289" s="9">
        <v>0</v>
      </c>
      <c r="AH289" s="9">
        <v>0</v>
      </c>
      <c r="AI289" s="9">
        <v>0</v>
      </c>
      <c r="AJ289" s="9">
        <v>0</v>
      </c>
      <c r="AK289" s="9">
        <v>0</v>
      </c>
      <c r="AL289" s="9">
        <v>0</v>
      </c>
      <c r="AM289" s="9">
        <v>0</v>
      </c>
      <c r="AN289" s="9">
        <v>0</v>
      </c>
      <c r="AO289" s="9">
        <v>0</v>
      </c>
      <c r="AP289" s="9">
        <v>0</v>
      </c>
      <c r="AQ289" s="9">
        <v>0</v>
      </c>
      <c r="AR289" s="9">
        <v>0</v>
      </c>
      <c r="AS289" s="9">
        <v>0</v>
      </c>
      <c r="AT289" s="9">
        <v>0</v>
      </c>
      <c r="AU289" s="9">
        <v>0</v>
      </c>
      <c r="AV289" s="9">
        <v>0</v>
      </c>
      <c r="AW289" s="9">
        <v>0</v>
      </c>
      <c r="AX289" s="9">
        <v>0</v>
      </c>
      <c r="AY289" s="9">
        <v>0</v>
      </c>
      <c r="AZ289" s="9">
        <v>0</v>
      </c>
      <c r="BA289" s="9">
        <v>0</v>
      </c>
      <c r="BB289" s="9">
        <v>0</v>
      </c>
      <c r="BC289" s="9">
        <v>0</v>
      </c>
      <c r="BD289" s="9">
        <v>0</v>
      </c>
      <c r="BE289" s="9">
        <v>0</v>
      </c>
      <c r="BF289" s="9">
        <v>0</v>
      </c>
      <c r="BG289" s="9">
        <v>0</v>
      </c>
      <c r="BH289" s="9">
        <v>0</v>
      </c>
      <c r="BI289" s="9">
        <v>0</v>
      </c>
      <c r="BJ289" s="9">
        <v>0</v>
      </c>
      <c r="BK289" s="9">
        <v>0</v>
      </c>
      <c r="BL289" s="9">
        <v>0</v>
      </c>
      <c r="BM289" s="9">
        <v>0</v>
      </c>
      <c r="BN289" s="9">
        <v>0</v>
      </c>
      <c r="BO289" s="9">
        <v>0</v>
      </c>
      <c r="BP289" s="9">
        <v>0</v>
      </c>
      <c r="BQ289" s="9">
        <v>0</v>
      </c>
      <c r="BR289" s="9">
        <v>0</v>
      </c>
      <c r="BS289" s="9">
        <v>0</v>
      </c>
      <c r="BT289" s="9">
        <v>0</v>
      </c>
      <c r="BU289" s="9">
        <v>0</v>
      </c>
      <c r="BV289" s="9">
        <v>0</v>
      </c>
      <c r="BW289" s="9">
        <v>0</v>
      </c>
      <c r="BX289" s="9">
        <v>0</v>
      </c>
      <c r="BY289" s="9">
        <v>0</v>
      </c>
      <c r="BZ289" s="9">
        <v>0</v>
      </c>
      <c r="CA289" s="9">
        <v>0</v>
      </c>
      <c r="CB289" s="9">
        <v>0</v>
      </c>
      <c r="CC289" s="9">
        <v>0</v>
      </c>
      <c r="CD289" s="9">
        <v>0</v>
      </c>
      <c r="CE289" s="9">
        <v>0</v>
      </c>
      <c r="CF289" s="9">
        <v>0</v>
      </c>
      <c r="CG289" s="9">
        <v>0</v>
      </c>
      <c r="CH289" s="9">
        <v>0</v>
      </c>
      <c r="CI289" s="9">
        <v>0</v>
      </c>
      <c r="CJ289" s="9">
        <v>0</v>
      </c>
      <c r="CK289" s="9">
        <v>0</v>
      </c>
      <c r="CL289" s="9">
        <v>0</v>
      </c>
      <c r="CM289" s="9">
        <v>0</v>
      </c>
      <c r="CN289" s="9">
        <v>0</v>
      </c>
      <c r="CO289" s="9">
        <v>0</v>
      </c>
      <c r="CP289" s="9">
        <v>0</v>
      </c>
      <c r="CQ289" s="9">
        <v>0</v>
      </c>
      <c r="CR289" s="9">
        <v>0</v>
      </c>
      <c r="CS289" s="9">
        <v>0</v>
      </c>
      <c r="CT289" s="9">
        <v>0</v>
      </c>
      <c r="CU289" s="9">
        <v>0</v>
      </c>
      <c r="CV289" s="9">
        <v>0</v>
      </c>
      <c r="CW289" s="9">
        <v>0</v>
      </c>
      <c r="CX289" s="9">
        <v>0</v>
      </c>
      <c r="CY289" s="9">
        <v>0</v>
      </c>
      <c r="CZ289" s="9">
        <v>0</v>
      </c>
      <c r="DA289" s="9">
        <v>0</v>
      </c>
      <c r="DB289" s="9">
        <v>0</v>
      </c>
      <c r="DC289" s="9">
        <v>0</v>
      </c>
      <c r="DD289" s="9">
        <v>0</v>
      </c>
      <c r="DE289" s="9">
        <v>0</v>
      </c>
      <c r="DF289" s="9">
        <v>0</v>
      </c>
      <c r="DG289" s="9">
        <v>0</v>
      </c>
      <c r="DH289" s="9">
        <v>0</v>
      </c>
      <c r="DI289" s="9">
        <v>0</v>
      </c>
      <c r="DJ289" s="9">
        <v>0</v>
      </c>
      <c r="DK289" s="9">
        <v>0</v>
      </c>
      <c r="DL289" s="9">
        <v>0</v>
      </c>
      <c r="DM289" s="9">
        <v>0</v>
      </c>
      <c r="DN289" s="9">
        <v>0</v>
      </c>
      <c r="DO289" s="9">
        <v>0</v>
      </c>
      <c r="DP289" s="9">
        <v>0</v>
      </c>
      <c r="DQ289" s="9">
        <v>0</v>
      </c>
      <c r="DR289" s="9">
        <v>0</v>
      </c>
      <c r="DS289" s="9">
        <v>0</v>
      </c>
      <c r="DT289" s="9">
        <v>0</v>
      </c>
      <c r="DU289" s="9">
        <v>0</v>
      </c>
      <c r="DV289" s="9">
        <v>0</v>
      </c>
      <c r="DW289" s="9">
        <v>0</v>
      </c>
      <c r="DX289" s="9">
        <v>0</v>
      </c>
      <c r="DY289" s="9">
        <v>0</v>
      </c>
      <c r="DZ289" s="9">
        <v>0</v>
      </c>
      <c r="EA289" s="9">
        <v>0</v>
      </c>
      <c r="EB289" s="9">
        <v>0</v>
      </c>
      <c r="EC289" s="9">
        <v>0</v>
      </c>
      <c r="ED289" s="9">
        <v>0</v>
      </c>
      <c r="EE289" s="9">
        <v>0</v>
      </c>
      <c r="EF289" s="9">
        <v>0</v>
      </c>
      <c r="EG289" s="9">
        <v>0</v>
      </c>
      <c r="EH289" s="9">
        <v>0</v>
      </c>
      <c r="EI289" s="9">
        <v>0</v>
      </c>
      <c r="EJ289" s="9">
        <v>0</v>
      </c>
      <c r="EK289" s="9">
        <v>0</v>
      </c>
      <c r="EL289" s="9">
        <v>0</v>
      </c>
      <c r="EM289" s="9">
        <v>0</v>
      </c>
      <c r="EN289" s="9">
        <v>0</v>
      </c>
      <c r="EO289" s="9">
        <v>0</v>
      </c>
      <c r="EP289" s="9">
        <v>0</v>
      </c>
      <c r="EQ289" s="9">
        <v>0</v>
      </c>
      <c r="ER289" s="9">
        <v>0</v>
      </c>
      <c r="ES289" s="9">
        <v>0</v>
      </c>
      <c r="ET289" s="9">
        <v>0</v>
      </c>
      <c r="EU289" s="9">
        <v>0</v>
      </c>
      <c r="EV289" s="9">
        <v>0</v>
      </c>
      <c r="EW289" s="9">
        <v>0</v>
      </c>
      <c r="EX289" s="9">
        <v>0</v>
      </c>
      <c r="EY289" s="9">
        <v>0</v>
      </c>
      <c r="EZ289" s="9">
        <v>0</v>
      </c>
      <c r="FA289" s="9">
        <v>0</v>
      </c>
      <c r="FB289" s="9">
        <v>0</v>
      </c>
      <c r="FC289" s="9">
        <v>0</v>
      </c>
      <c r="FD289" s="9">
        <v>0</v>
      </c>
      <c r="FE289" s="9">
        <v>0</v>
      </c>
      <c r="FF289" s="9">
        <v>0</v>
      </c>
      <c r="FG289" s="9">
        <v>0</v>
      </c>
      <c r="FH289" s="9">
        <v>0</v>
      </c>
      <c r="FI289" s="9">
        <v>0</v>
      </c>
      <c r="FJ289" s="9">
        <v>0</v>
      </c>
      <c r="FK289" s="9">
        <v>0</v>
      </c>
      <c r="FL289" s="9">
        <v>0</v>
      </c>
      <c r="FM289" s="10">
        <v>0</v>
      </c>
    </row>
    <row r="290" spans="1:169" x14ac:dyDescent="0.35">
      <c r="A290" s="8" t="s">
        <v>494</v>
      </c>
      <c r="B290" s="9" t="s">
        <v>499</v>
      </c>
      <c r="C290" s="10" t="s">
        <v>500</v>
      </c>
      <c r="D290" s="62">
        <f t="shared" si="101"/>
        <v>2</v>
      </c>
      <c r="E290" s="9">
        <v>0</v>
      </c>
      <c r="F290" s="9">
        <v>0</v>
      </c>
      <c r="G290" s="9">
        <v>0</v>
      </c>
      <c r="H290" s="9">
        <v>0</v>
      </c>
      <c r="I290" s="9">
        <v>0</v>
      </c>
      <c r="J290" s="9">
        <v>0</v>
      </c>
      <c r="K290" s="9">
        <v>0</v>
      </c>
      <c r="L290" s="9">
        <v>0</v>
      </c>
      <c r="M290" s="9">
        <v>0</v>
      </c>
      <c r="N290" s="9">
        <v>0</v>
      </c>
      <c r="O290" s="9">
        <v>0</v>
      </c>
      <c r="P290" s="9">
        <v>0</v>
      </c>
      <c r="Q290" s="9">
        <v>0</v>
      </c>
      <c r="R290" s="9">
        <v>0</v>
      </c>
      <c r="S290" s="9">
        <v>0</v>
      </c>
      <c r="T290" s="9">
        <v>0</v>
      </c>
      <c r="U290" s="9">
        <v>0</v>
      </c>
      <c r="V290" s="9">
        <v>0</v>
      </c>
      <c r="W290" s="9">
        <v>0</v>
      </c>
      <c r="X290" s="9">
        <v>0</v>
      </c>
      <c r="Y290" s="9">
        <v>0</v>
      </c>
      <c r="Z290" s="9">
        <v>0</v>
      </c>
      <c r="AA290" s="9">
        <v>0</v>
      </c>
      <c r="AB290" s="9">
        <v>0</v>
      </c>
      <c r="AC290" s="9">
        <v>0</v>
      </c>
      <c r="AD290" s="9">
        <v>0</v>
      </c>
      <c r="AE290" s="9">
        <v>0</v>
      </c>
      <c r="AF290" s="9">
        <v>0</v>
      </c>
      <c r="AG290" s="9">
        <v>0</v>
      </c>
      <c r="AH290" s="9">
        <v>0</v>
      </c>
      <c r="AI290" s="9">
        <v>0</v>
      </c>
      <c r="AJ290" s="9">
        <v>0</v>
      </c>
      <c r="AK290" s="9">
        <v>0</v>
      </c>
      <c r="AL290" s="9">
        <v>0</v>
      </c>
      <c r="AM290" s="9">
        <v>2</v>
      </c>
      <c r="AN290" s="9">
        <v>2</v>
      </c>
      <c r="AO290" s="9">
        <v>2</v>
      </c>
      <c r="AP290" s="9">
        <v>2</v>
      </c>
      <c r="AQ290" s="9">
        <v>2</v>
      </c>
      <c r="AR290" s="9">
        <v>0</v>
      </c>
      <c r="AS290" s="9">
        <v>2</v>
      </c>
      <c r="AT290" s="9">
        <v>2</v>
      </c>
      <c r="AU290" s="9">
        <v>2</v>
      </c>
      <c r="AV290" s="9">
        <v>2</v>
      </c>
      <c r="AW290" s="9">
        <v>2</v>
      </c>
      <c r="AX290" s="9">
        <v>2</v>
      </c>
      <c r="AY290" s="9">
        <v>1</v>
      </c>
      <c r="AZ290" s="9">
        <v>1</v>
      </c>
      <c r="BA290" s="9">
        <v>1</v>
      </c>
      <c r="BB290" s="9">
        <v>1</v>
      </c>
      <c r="BC290" s="9">
        <v>1</v>
      </c>
      <c r="BD290" s="9">
        <v>0</v>
      </c>
      <c r="BE290" s="9">
        <v>0</v>
      </c>
      <c r="BF290" s="9">
        <v>0</v>
      </c>
      <c r="BG290" s="9">
        <v>0</v>
      </c>
      <c r="BH290" s="9">
        <v>0</v>
      </c>
      <c r="BI290" s="9">
        <v>0</v>
      </c>
      <c r="BJ290" s="9">
        <v>0</v>
      </c>
      <c r="BK290" s="9">
        <v>0</v>
      </c>
      <c r="BL290" s="9">
        <v>0</v>
      </c>
      <c r="BM290" s="9">
        <v>0</v>
      </c>
      <c r="BN290" s="9">
        <v>0</v>
      </c>
      <c r="BO290" s="9">
        <v>0</v>
      </c>
      <c r="BP290" s="9">
        <v>0</v>
      </c>
      <c r="BQ290" s="9">
        <v>0</v>
      </c>
      <c r="BR290" s="9">
        <v>0</v>
      </c>
      <c r="BS290" s="9">
        <v>0</v>
      </c>
      <c r="BT290" s="9">
        <v>0</v>
      </c>
      <c r="BU290" s="9">
        <v>0</v>
      </c>
      <c r="BV290" s="9">
        <v>0</v>
      </c>
      <c r="BW290" s="9">
        <v>0</v>
      </c>
      <c r="BX290" s="9">
        <v>0</v>
      </c>
      <c r="BY290" s="9">
        <v>0</v>
      </c>
      <c r="BZ290" s="9">
        <v>0</v>
      </c>
      <c r="CA290" s="9">
        <v>0</v>
      </c>
      <c r="CB290" s="9">
        <v>0</v>
      </c>
      <c r="CC290" s="9">
        <v>0</v>
      </c>
      <c r="CD290" s="9">
        <v>0</v>
      </c>
      <c r="CE290" s="9">
        <v>0</v>
      </c>
      <c r="CF290" s="9">
        <v>0</v>
      </c>
      <c r="CG290" s="9">
        <v>0</v>
      </c>
      <c r="CH290" s="9">
        <v>0</v>
      </c>
      <c r="CI290" s="9">
        <v>0</v>
      </c>
      <c r="CJ290" s="9">
        <v>0</v>
      </c>
      <c r="CK290" s="9">
        <v>0</v>
      </c>
      <c r="CL290" s="9">
        <v>0</v>
      </c>
      <c r="CM290" s="9">
        <v>0</v>
      </c>
      <c r="CN290" s="9">
        <v>0</v>
      </c>
      <c r="CO290" s="9">
        <v>0</v>
      </c>
      <c r="CP290" s="9">
        <v>0</v>
      </c>
      <c r="CQ290" s="9">
        <v>1</v>
      </c>
      <c r="CR290" s="9">
        <v>1</v>
      </c>
      <c r="CS290" s="9">
        <v>0</v>
      </c>
      <c r="CT290" s="9">
        <v>0</v>
      </c>
      <c r="CU290" s="9">
        <v>1</v>
      </c>
      <c r="CV290" s="9">
        <v>1</v>
      </c>
      <c r="CW290" s="9">
        <v>1</v>
      </c>
      <c r="CX290" s="9">
        <v>1</v>
      </c>
      <c r="CY290" s="9">
        <v>1</v>
      </c>
      <c r="CZ290" s="9">
        <v>1</v>
      </c>
      <c r="DA290" s="9">
        <v>1</v>
      </c>
      <c r="DB290" s="9">
        <v>1</v>
      </c>
      <c r="DC290" s="9">
        <v>0</v>
      </c>
      <c r="DD290" s="9">
        <v>0</v>
      </c>
      <c r="DE290" s="9">
        <v>0</v>
      </c>
      <c r="DF290" s="9">
        <v>0</v>
      </c>
      <c r="DG290" s="9">
        <v>0</v>
      </c>
      <c r="DH290" s="9">
        <v>0</v>
      </c>
      <c r="DI290" s="9">
        <v>0</v>
      </c>
      <c r="DJ290" s="9">
        <v>0</v>
      </c>
      <c r="DK290" s="9">
        <v>0</v>
      </c>
      <c r="DL290" s="9">
        <v>0</v>
      </c>
      <c r="DM290" s="9">
        <v>0</v>
      </c>
      <c r="DN290" s="9">
        <v>0</v>
      </c>
      <c r="DO290" s="9">
        <v>0</v>
      </c>
      <c r="DP290" s="9">
        <v>0</v>
      </c>
      <c r="DQ290" s="9">
        <v>0</v>
      </c>
      <c r="DR290" s="9">
        <v>0</v>
      </c>
      <c r="DS290" s="9">
        <v>0</v>
      </c>
      <c r="DT290" s="9">
        <v>0</v>
      </c>
      <c r="DU290" s="9">
        <v>0</v>
      </c>
      <c r="DV290" s="9">
        <v>0</v>
      </c>
      <c r="DW290" s="9">
        <v>0</v>
      </c>
      <c r="DX290" s="9">
        <v>0</v>
      </c>
      <c r="DY290" s="9">
        <v>0</v>
      </c>
      <c r="DZ290" s="9">
        <v>0</v>
      </c>
      <c r="EA290" s="9">
        <v>0</v>
      </c>
      <c r="EB290" s="9">
        <v>0</v>
      </c>
      <c r="EC290" s="9">
        <v>0</v>
      </c>
      <c r="ED290" s="9">
        <v>0</v>
      </c>
      <c r="EE290" s="9">
        <v>0</v>
      </c>
      <c r="EF290" s="9">
        <v>0</v>
      </c>
      <c r="EG290" s="9">
        <v>0</v>
      </c>
      <c r="EH290" s="9">
        <v>0</v>
      </c>
      <c r="EI290" s="9">
        <v>0</v>
      </c>
      <c r="EJ290" s="9">
        <v>0</v>
      </c>
      <c r="EK290" s="9">
        <v>0</v>
      </c>
      <c r="EL290" s="9">
        <v>0</v>
      </c>
      <c r="EM290" s="9">
        <v>0</v>
      </c>
      <c r="EN290" s="9">
        <v>0</v>
      </c>
      <c r="EO290" s="9">
        <v>0</v>
      </c>
      <c r="EP290" s="9">
        <v>0</v>
      </c>
      <c r="EQ290" s="9">
        <v>0</v>
      </c>
      <c r="ER290" s="9">
        <v>0</v>
      </c>
      <c r="ES290" s="9">
        <v>0</v>
      </c>
      <c r="ET290" s="9">
        <v>0</v>
      </c>
      <c r="EU290" s="9">
        <v>0</v>
      </c>
      <c r="EV290" s="9">
        <v>0</v>
      </c>
      <c r="EW290" s="9">
        <v>0</v>
      </c>
      <c r="EX290" s="9">
        <v>0</v>
      </c>
      <c r="EY290" s="9">
        <v>0</v>
      </c>
      <c r="EZ290" s="9">
        <v>0</v>
      </c>
      <c r="FA290" s="9">
        <v>0</v>
      </c>
      <c r="FB290" s="9">
        <v>0</v>
      </c>
      <c r="FC290" s="9">
        <v>0</v>
      </c>
      <c r="FD290" s="9">
        <v>0</v>
      </c>
      <c r="FE290" s="9">
        <v>0</v>
      </c>
      <c r="FF290" s="9">
        <v>0</v>
      </c>
      <c r="FG290" s="9">
        <v>0</v>
      </c>
      <c r="FH290" s="9">
        <v>0</v>
      </c>
      <c r="FI290" s="9">
        <v>0</v>
      </c>
      <c r="FJ290" s="9">
        <v>0</v>
      </c>
      <c r="FK290" s="9">
        <v>0</v>
      </c>
      <c r="FL290" s="9">
        <v>0</v>
      </c>
      <c r="FM290" s="10">
        <v>0</v>
      </c>
    </row>
    <row r="291" spans="1:169" x14ac:dyDescent="0.35">
      <c r="A291" s="8" t="s">
        <v>494</v>
      </c>
      <c r="B291" s="9" t="s">
        <v>13</v>
      </c>
      <c r="C291" s="10" t="s">
        <v>14</v>
      </c>
      <c r="D291" s="62">
        <f t="shared" si="101"/>
        <v>5</v>
      </c>
      <c r="E291" s="9">
        <v>0</v>
      </c>
      <c r="F291" s="9">
        <v>0</v>
      </c>
      <c r="G291" s="9">
        <v>0</v>
      </c>
      <c r="H291" s="9">
        <v>0</v>
      </c>
      <c r="I291" s="9">
        <v>0</v>
      </c>
      <c r="J291" s="9">
        <v>0</v>
      </c>
      <c r="K291" s="9">
        <v>0</v>
      </c>
      <c r="L291" s="9">
        <v>0</v>
      </c>
      <c r="M291" s="9">
        <v>0</v>
      </c>
      <c r="N291" s="9">
        <v>0</v>
      </c>
      <c r="O291" s="9">
        <v>0</v>
      </c>
      <c r="P291" s="9">
        <v>0</v>
      </c>
      <c r="Q291" s="9">
        <v>0</v>
      </c>
      <c r="R291" s="9">
        <v>0</v>
      </c>
      <c r="S291" s="9">
        <v>0</v>
      </c>
      <c r="T291" s="9">
        <v>0</v>
      </c>
      <c r="U291" s="9">
        <v>0</v>
      </c>
      <c r="V291" s="9">
        <v>0</v>
      </c>
      <c r="W291" s="9">
        <v>0</v>
      </c>
      <c r="X291" s="9">
        <v>0</v>
      </c>
      <c r="Y291" s="9">
        <v>0</v>
      </c>
      <c r="Z291" s="9">
        <v>0</v>
      </c>
      <c r="AA291" s="9">
        <v>0</v>
      </c>
      <c r="AB291" s="9">
        <v>0</v>
      </c>
      <c r="AC291" s="9">
        <v>0</v>
      </c>
      <c r="AD291" s="9">
        <v>0</v>
      </c>
      <c r="AE291" s="9">
        <v>0</v>
      </c>
      <c r="AF291" s="9">
        <v>0</v>
      </c>
      <c r="AG291" s="9">
        <v>0</v>
      </c>
      <c r="AH291" s="9">
        <v>0</v>
      </c>
      <c r="AI291" s="9">
        <v>0</v>
      </c>
      <c r="AJ291" s="9">
        <v>0</v>
      </c>
      <c r="AK291" s="9">
        <v>0</v>
      </c>
      <c r="AL291" s="9">
        <v>0</v>
      </c>
      <c r="AM291" s="9">
        <v>0</v>
      </c>
      <c r="AN291" s="9">
        <v>0</v>
      </c>
      <c r="AO291" s="9">
        <v>0</v>
      </c>
      <c r="AP291" s="9">
        <v>0</v>
      </c>
      <c r="AQ291" s="9">
        <v>0</v>
      </c>
      <c r="AR291" s="9">
        <v>0</v>
      </c>
      <c r="AS291" s="9">
        <v>0</v>
      </c>
      <c r="AT291" s="9">
        <v>0</v>
      </c>
      <c r="AU291" s="9">
        <v>0</v>
      </c>
      <c r="AV291" s="9">
        <v>0</v>
      </c>
      <c r="AW291" s="9">
        <v>0</v>
      </c>
      <c r="AX291" s="9">
        <v>0</v>
      </c>
      <c r="AY291" s="9">
        <v>0</v>
      </c>
      <c r="AZ291" s="9">
        <v>0</v>
      </c>
      <c r="BA291" s="9">
        <v>0</v>
      </c>
      <c r="BB291" s="9">
        <v>0</v>
      </c>
      <c r="BC291" s="9">
        <v>0</v>
      </c>
      <c r="BD291" s="9">
        <v>0</v>
      </c>
      <c r="BE291" s="9">
        <v>0</v>
      </c>
      <c r="BF291" s="9">
        <v>0</v>
      </c>
      <c r="BG291" s="9">
        <v>0</v>
      </c>
      <c r="BH291" s="9">
        <v>5</v>
      </c>
      <c r="BI291" s="9">
        <v>5</v>
      </c>
      <c r="BJ291" s="9">
        <v>5</v>
      </c>
      <c r="BK291" s="9">
        <v>5</v>
      </c>
      <c r="BL291" s="9">
        <v>5</v>
      </c>
      <c r="BM291" s="9">
        <v>5</v>
      </c>
      <c r="BN291" s="9">
        <v>0</v>
      </c>
      <c r="BO291" s="9">
        <v>0</v>
      </c>
      <c r="BP291" s="9">
        <v>0</v>
      </c>
      <c r="BQ291" s="9">
        <v>0</v>
      </c>
      <c r="BR291" s="9">
        <v>0</v>
      </c>
      <c r="BS291" s="9">
        <v>0</v>
      </c>
      <c r="BT291" s="9">
        <v>0</v>
      </c>
      <c r="BU291" s="9">
        <v>0</v>
      </c>
      <c r="BV291" s="9">
        <v>0</v>
      </c>
      <c r="BW291" s="9">
        <v>0</v>
      </c>
      <c r="BX291" s="9">
        <v>0</v>
      </c>
      <c r="BY291" s="9">
        <v>0</v>
      </c>
      <c r="BZ291" s="9">
        <v>0</v>
      </c>
      <c r="CA291" s="9">
        <v>0</v>
      </c>
      <c r="CB291" s="9">
        <v>0</v>
      </c>
      <c r="CC291" s="9">
        <v>0</v>
      </c>
      <c r="CD291" s="9">
        <v>0</v>
      </c>
      <c r="CE291" s="9">
        <v>0</v>
      </c>
      <c r="CF291" s="9">
        <v>0</v>
      </c>
      <c r="CG291" s="9">
        <v>0</v>
      </c>
      <c r="CH291" s="9">
        <v>0</v>
      </c>
      <c r="CI291" s="9">
        <v>0</v>
      </c>
      <c r="CJ291" s="9">
        <v>0</v>
      </c>
      <c r="CK291" s="9">
        <v>0</v>
      </c>
      <c r="CL291" s="9">
        <v>0</v>
      </c>
      <c r="CM291" s="9">
        <v>0</v>
      </c>
      <c r="CN291" s="9">
        <v>0</v>
      </c>
      <c r="CO291" s="9">
        <v>0</v>
      </c>
      <c r="CP291" s="9">
        <v>0</v>
      </c>
      <c r="CQ291" s="9">
        <v>0</v>
      </c>
      <c r="CR291" s="9">
        <v>0</v>
      </c>
      <c r="CS291" s="9">
        <v>0</v>
      </c>
      <c r="CT291" s="9">
        <v>0</v>
      </c>
      <c r="CU291" s="9">
        <v>0</v>
      </c>
      <c r="CV291" s="9">
        <v>0</v>
      </c>
      <c r="CW291" s="9">
        <v>0</v>
      </c>
      <c r="CX291" s="9">
        <v>0</v>
      </c>
      <c r="CY291" s="9">
        <v>0</v>
      </c>
      <c r="CZ291" s="9">
        <v>0</v>
      </c>
      <c r="DA291" s="9">
        <v>0</v>
      </c>
      <c r="DB291" s="9">
        <v>0</v>
      </c>
      <c r="DC291" s="9">
        <v>0</v>
      </c>
      <c r="DD291" s="9">
        <v>0</v>
      </c>
      <c r="DE291" s="9">
        <v>0</v>
      </c>
      <c r="DF291" s="9">
        <v>0</v>
      </c>
      <c r="DG291" s="9">
        <v>0</v>
      </c>
      <c r="DH291" s="9">
        <v>0</v>
      </c>
      <c r="DI291" s="9">
        <v>0</v>
      </c>
      <c r="DJ291" s="9">
        <v>0</v>
      </c>
      <c r="DK291" s="9">
        <v>0</v>
      </c>
      <c r="DL291" s="9">
        <v>0</v>
      </c>
      <c r="DM291" s="9">
        <v>0</v>
      </c>
      <c r="DN291" s="9">
        <v>0</v>
      </c>
      <c r="DO291" s="9">
        <v>0</v>
      </c>
      <c r="DP291" s="9">
        <v>0</v>
      </c>
      <c r="DQ291" s="9">
        <v>0</v>
      </c>
      <c r="DR291" s="9">
        <v>0</v>
      </c>
      <c r="DS291" s="9">
        <v>0</v>
      </c>
      <c r="DT291" s="9">
        <v>0</v>
      </c>
      <c r="DU291" s="9">
        <v>0</v>
      </c>
      <c r="DV291" s="9">
        <v>0</v>
      </c>
      <c r="DW291" s="9">
        <v>0</v>
      </c>
      <c r="DX291" s="9">
        <v>0</v>
      </c>
      <c r="DY291" s="9">
        <v>0</v>
      </c>
      <c r="DZ291" s="9">
        <v>0</v>
      </c>
      <c r="EA291" s="9">
        <v>0</v>
      </c>
      <c r="EB291" s="9">
        <v>0</v>
      </c>
      <c r="EC291" s="9">
        <v>0</v>
      </c>
      <c r="ED291" s="9">
        <v>0</v>
      </c>
      <c r="EE291" s="9">
        <v>0</v>
      </c>
      <c r="EF291" s="9">
        <v>0</v>
      </c>
      <c r="EG291" s="9">
        <v>0</v>
      </c>
      <c r="EH291" s="9">
        <v>0</v>
      </c>
      <c r="EI291" s="9">
        <v>0</v>
      </c>
      <c r="EJ291" s="9">
        <v>0</v>
      </c>
      <c r="EK291" s="9">
        <v>0</v>
      </c>
      <c r="EL291" s="9">
        <v>0</v>
      </c>
      <c r="EM291" s="9">
        <v>0</v>
      </c>
      <c r="EN291" s="9">
        <v>0</v>
      </c>
      <c r="EO291" s="9">
        <v>0</v>
      </c>
      <c r="EP291" s="9">
        <v>0</v>
      </c>
      <c r="EQ291" s="9">
        <v>0</v>
      </c>
      <c r="ER291" s="9">
        <v>0</v>
      </c>
      <c r="ES291" s="9">
        <v>0</v>
      </c>
      <c r="ET291" s="9">
        <v>0</v>
      </c>
      <c r="EU291" s="9">
        <v>0</v>
      </c>
      <c r="EV291" s="9">
        <v>0</v>
      </c>
      <c r="EW291" s="9">
        <v>0</v>
      </c>
      <c r="EX291" s="9">
        <v>0</v>
      </c>
      <c r="EY291" s="9">
        <v>0</v>
      </c>
      <c r="EZ291" s="9">
        <v>0</v>
      </c>
      <c r="FA291" s="9">
        <v>0</v>
      </c>
      <c r="FB291" s="9">
        <v>0</v>
      </c>
      <c r="FC291" s="9">
        <v>0</v>
      </c>
      <c r="FD291" s="9">
        <v>0</v>
      </c>
      <c r="FE291" s="9">
        <v>0</v>
      </c>
      <c r="FF291" s="9">
        <v>0</v>
      </c>
      <c r="FG291" s="9">
        <v>0</v>
      </c>
      <c r="FH291" s="9">
        <v>0</v>
      </c>
      <c r="FI291" s="9">
        <v>0</v>
      </c>
      <c r="FJ291" s="9">
        <v>0</v>
      </c>
      <c r="FK291" s="9">
        <v>0</v>
      </c>
      <c r="FL291" s="9">
        <v>0</v>
      </c>
      <c r="FM291" s="10">
        <v>0</v>
      </c>
    </row>
    <row r="292" spans="1:169" x14ac:dyDescent="0.35">
      <c r="A292" s="8" t="s">
        <v>494</v>
      </c>
      <c r="B292" s="9" t="s">
        <v>501</v>
      </c>
      <c r="C292" s="10" t="s">
        <v>502</v>
      </c>
      <c r="D292" s="62">
        <f t="shared" si="101"/>
        <v>16</v>
      </c>
      <c r="E292" s="9">
        <v>0</v>
      </c>
      <c r="F292" s="9">
        <v>0</v>
      </c>
      <c r="G292" s="9">
        <v>0</v>
      </c>
      <c r="H292" s="9">
        <v>0</v>
      </c>
      <c r="I292" s="9">
        <v>0</v>
      </c>
      <c r="J292" s="9">
        <v>0</v>
      </c>
      <c r="K292" s="9">
        <v>0</v>
      </c>
      <c r="L292" s="9">
        <v>0</v>
      </c>
      <c r="M292" s="9">
        <v>0</v>
      </c>
      <c r="N292" s="9">
        <v>0</v>
      </c>
      <c r="O292" s="9">
        <v>0</v>
      </c>
      <c r="P292" s="9">
        <v>0</v>
      </c>
      <c r="Q292" s="9">
        <v>0</v>
      </c>
      <c r="R292" s="9">
        <v>0</v>
      </c>
      <c r="S292" s="9">
        <v>0</v>
      </c>
      <c r="T292" s="9">
        <v>8</v>
      </c>
      <c r="U292" s="9">
        <v>9</v>
      </c>
      <c r="V292" s="9">
        <v>9</v>
      </c>
      <c r="W292" s="9">
        <v>11</v>
      </c>
      <c r="X292" s="9">
        <v>10</v>
      </c>
      <c r="Y292" s="9">
        <v>7</v>
      </c>
      <c r="Z292" s="9">
        <v>10</v>
      </c>
      <c r="AA292" s="9">
        <v>10</v>
      </c>
      <c r="AB292" s="9">
        <v>11</v>
      </c>
      <c r="AC292" s="9">
        <v>15</v>
      </c>
      <c r="AD292" s="9">
        <v>16</v>
      </c>
      <c r="AE292" s="9">
        <v>16</v>
      </c>
      <c r="AF292" s="9">
        <v>12</v>
      </c>
      <c r="AG292" s="9">
        <v>12</v>
      </c>
      <c r="AH292" s="9">
        <v>10</v>
      </c>
      <c r="AI292" s="9">
        <v>11</v>
      </c>
      <c r="AJ292" s="9">
        <v>12</v>
      </c>
      <c r="AK292" s="9">
        <v>10</v>
      </c>
      <c r="AL292" s="9">
        <v>10</v>
      </c>
      <c r="AM292" s="9">
        <v>10</v>
      </c>
      <c r="AN292" s="9">
        <v>0</v>
      </c>
      <c r="AO292" s="9">
        <v>0</v>
      </c>
      <c r="AP292" s="9">
        <v>0</v>
      </c>
      <c r="AQ292" s="9">
        <v>0</v>
      </c>
      <c r="AR292" s="9">
        <v>0</v>
      </c>
      <c r="AS292" s="9">
        <v>0</v>
      </c>
      <c r="AT292" s="9">
        <v>9</v>
      </c>
      <c r="AU292" s="9">
        <v>11</v>
      </c>
      <c r="AV292" s="9">
        <v>11</v>
      </c>
      <c r="AW292" s="9">
        <v>12</v>
      </c>
      <c r="AX292" s="9">
        <v>16</v>
      </c>
      <c r="AY292" s="9">
        <v>13</v>
      </c>
      <c r="AZ292" s="9">
        <v>12</v>
      </c>
      <c r="BA292" s="9">
        <v>12</v>
      </c>
      <c r="BB292" s="9">
        <v>9</v>
      </c>
      <c r="BC292" s="9">
        <v>9</v>
      </c>
      <c r="BD292" s="9">
        <v>9</v>
      </c>
      <c r="BE292" s="9">
        <v>11</v>
      </c>
      <c r="BF292" s="9">
        <v>10</v>
      </c>
      <c r="BG292" s="9">
        <v>11</v>
      </c>
      <c r="BH292" s="9">
        <v>7</v>
      </c>
      <c r="BI292" s="9">
        <v>7</v>
      </c>
      <c r="BJ292" s="9">
        <v>3</v>
      </c>
      <c r="BK292" s="9">
        <v>3</v>
      </c>
      <c r="BL292" s="9">
        <v>4</v>
      </c>
      <c r="BM292" s="9">
        <v>5</v>
      </c>
      <c r="BN292" s="9">
        <v>5</v>
      </c>
      <c r="BO292" s="9">
        <v>6</v>
      </c>
      <c r="BP292" s="9">
        <v>6</v>
      </c>
      <c r="BQ292" s="9">
        <v>8</v>
      </c>
      <c r="BR292" s="9">
        <v>8</v>
      </c>
      <c r="BS292" s="9">
        <v>8</v>
      </c>
      <c r="BT292" s="9">
        <v>8</v>
      </c>
      <c r="BU292" s="9">
        <v>8</v>
      </c>
      <c r="BV292" s="9">
        <v>5</v>
      </c>
      <c r="BW292" s="9">
        <v>3</v>
      </c>
      <c r="BX292" s="9">
        <v>2</v>
      </c>
      <c r="BY292" s="9">
        <v>4</v>
      </c>
      <c r="BZ292" s="9">
        <v>2</v>
      </c>
      <c r="CA292" s="9">
        <v>2</v>
      </c>
      <c r="CB292" s="9">
        <v>2</v>
      </c>
      <c r="CC292" s="9">
        <v>2</v>
      </c>
      <c r="CD292" s="9">
        <v>2</v>
      </c>
      <c r="CE292" s="9">
        <v>3</v>
      </c>
      <c r="CF292" s="9">
        <v>3</v>
      </c>
      <c r="CG292" s="9">
        <v>3</v>
      </c>
      <c r="CH292" s="9">
        <v>1</v>
      </c>
      <c r="CI292" s="9">
        <v>1</v>
      </c>
      <c r="CJ292" s="9">
        <v>1</v>
      </c>
      <c r="CK292" s="9">
        <v>1</v>
      </c>
      <c r="CL292" s="9">
        <v>1</v>
      </c>
      <c r="CM292" s="9">
        <v>1</v>
      </c>
      <c r="CN292" s="9">
        <v>1</v>
      </c>
      <c r="CO292" s="9">
        <v>1</v>
      </c>
      <c r="CP292" s="9">
        <v>1</v>
      </c>
      <c r="CQ292" s="9">
        <v>1</v>
      </c>
      <c r="CR292" s="9">
        <v>0</v>
      </c>
      <c r="CS292" s="9">
        <v>0</v>
      </c>
      <c r="CT292" s="9">
        <v>0</v>
      </c>
      <c r="CU292" s="9">
        <v>0</v>
      </c>
      <c r="CV292" s="9">
        <v>0</v>
      </c>
      <c r="CW292" s="9">
        <v>0</v>
      </c>
      <c r="CX292" s="9">
        <v>0</v>
      </c>
      <c r="CY292" s="9">
        <v>0</v>
      </c>
      <c r="CZ292" s="9">
        <v>0</v>
      </c>
      <c r="DA292" s="9">
        <v>0</v>
      </c>
      <c r="DB292" s="9">
        <v>0</v>
      </c>
      <c r="DC292" s="9">
        <v>0</v>
      </c>
      <c r="DD292" s="9">
        <v>0</v>
      </c>
      <c r="DE292" s="9">
        <v>1</v>
      </c>
      <c r="DF292" s="9">
        <v>1</v>
      </c>
      <c r="DG292" s="9">
        <v>0</v>
      </c>
      <c r="DH292" s="9">
        <v>0</v>
      </c>
      <c r="DI292" s="9">
        <v>0</v>
      </c>
      <c r="DJ292" s="9">
        <v>0</v>
      </c>
      <c r="DK292" s="9">
        <v>0</v>
      </c>
      <c r="DL292" s="9">
        <v>0</v>
      </c>
      <c r="DM292" s="9">
        <v>0</v>
      </c>
      <c r="DN292" s="9">
        <v>0</v>
      </c>
      <c r="DO292" s="9">
        <v>0</v>
      </c>
      <c r="DP292" s="9">
        <v>0</v>
      </c>
      <c r="DQ292" s="9">
        <v>0</v>
      </c>
      <c r="DR292" s="9">
        <v>0</v>
      </c>
      <c r="DS292" s="9">
        <v>0</v>
      </c>
      <c r="DT292" s="9">
        <v>0</v>
      </c>
      <c r="DU292" s="9">
        <v>0</v>
      </c>
      <c r="DV292" s="9">
        <v>0</v>
      </c>
      <c r="DW292" s="9">
        <v>0</v>
      </c>
      <c r="DX292" s="9">
        <v>0</v>
      </c>
      <c r="DY292" s="9">
        <v>0</v>
      </c>
      <c r="DZ292" s="9">
        <v>0</v>
      </c>
      <c r="EA292" s="9">
        <v>0</v>
      </c>
      <c r="EB292" s="9">
        <v>0</v>
      </c>
      <c r="EC292" s="9">
        <v>0</v>
      </c>
      <c r="ED292" s="9">
        <v>0</v>
      </c>
      <c r="EE292" s="9">
        <v>0</v>
      </c>
      <c r="EF292" s="9">
        <v>0</v>
      </c>
      <c r="EG292" s="9">
        <v>0</v>
      </c>
      <c r="EH292" s="9">
        <v>0</v>
      </c>
      <c r="EI292" s="9">
        <v>0</v>
      </c>
      <c r="EJ292" s="9">
        <v>0</v>
      </c>
      <c r="EK292" s="9">
        <v>0</v>
      </c>
      <c r="EL292" s="9">
        <v>0</v>
      </c>
      <c r="EM292" s="9">
        <v>0</v>
      </c>
      <c r="EN292" s="9">
        <v>0</v>
      </c>
      <c r="EO292" s="9">
        <v>0</v>
      </c>
      <c r="EP292" s="9">
        <v>0</v>
      </c>
      <c r="EQ292" s="9">
        <v>0</v>
      </c>
      <c r="ER292" s="9">
        <v>0</v>
      </c>
      <c r="ES292" s="9">
        <v>0</v>
      </c>
      <c r="ET292" s="9">
        <v>0</v>
      </c>
      <c r="EU292" s="9">
        <v>0</v>
      </c>
      <c r="EV292" s="9">
        <v>0</v>
      </c>
      <c r="EW292" s="9">
        <v>0</v>
      </c>
      <c r="EX292" s="9">
        <v>0</v>
      </c>
      <c r="EY292" s="9">
        <v>0</v>
      </c>
      <c r="EZ292" s="9">
        <v>0</v>
      </c>
      <c r="FA292" s="9">
        <v>0</v>
      </c>
      <c r="FB292" s="9">
        <v>0</v>
      </c>
      <c r="FC292" s="9">
        <v>0</v>
      </c>
      <c r="FD292" s="9">
        <v>0</v>
      </c>
      <c r="FE292" s="9">
        <v>0</v>
      </c>
      <c r="FF292" s="9">
        <v>0</v>
      </c>
      <c r="FG292" s="9">
        <v>0</v>
      </c>
      <c r="FH292" s="9">
        <v>0</v>
      </c>
      <c r="FI292" s="9">
        <v>0</v>
      </c>
      <c r="FJ292" s="9">
        <v>0</v>
      </c>
      <c r="FK292" s="9">
        <v>0</v>
      </c>
      <c r="FL292" s="9">
        <v>0</v>
      </c>
      <c r="FM292" s="10">
        <v>0</v>
      </c>
    </row>
    <row r="293" spans="1:169" x14ac:dyDescent="0.35">
      <c r="A293" s="8" t="s">
        <v>494</v>
      </c>
      <c r="B293" s="9" t="s">
        <v>19</v>
      </c>
      <c r="C293" s="10" t="s">
        <v>20</v>
      </c>
      <c r="D293" s="62">
        <f t="shared" si="101"/>
        <v>18</v>
      </c>
      <c r="E293" s="9">
        <v>0</v>
      </c>
      <c r="F293" s="9">
        <v>0</v>
      </c>
      <c r="G293" s="9">
        <v>0</v>
      </c>
      <c r="H293" s="9">
        <v>0</v>
      </c>
      <c r="I293" s="9">
        <v>0</v>
      </c>
      <c r="J293" s="9">
        <v>0</v>
      </c>
      <c r="K293" s="9">
        <v>0</v>
      </c>
      <c r="L293" s="9">
        <v>0</v>
      </c>
      <c r="M293" s="9">
        <v>0</v>
      </c>
      <c r="N293" s="9">
        <v>0</v>
      </c>
      <c r="O293" s="9">
        <v>0</v>
      </c>
      <c r="P293" s="9">
        <v>0</v>
      </c>
      <c r="Q293" s="9">
        <v>0</v>
      </c>
      <c r="R293" s="9">
        <v>0</v>
      </c>
      <c r="S293" s="9">
        <v>0</v>
      </c>
      <c r="T293" s="9">
        <v>0</v>
      </c>
      <c r="U293" s="9">
        <v>0</v>
      </c>
      <c r="V293" s="9">
        <v>0</v>
      </c>
      <c r="W293" s="9">
        <v>0</v>
      </c>
      <c r="X293" s="9">
        <v>4</v>
      </c>
      <c r="Y293" s="9">
        <v>5</v>
      </c>
      <c r="Z293" s="9">
        <v>7</v>
      </c>
      <c r="AA293" s="9">
        <v>10</v>
      </c>
      <c r="AB293" s="9">
        <v>10</v>
      </c>
      <c r="AC293" s="9">
        <v>12</v>
      </c>
      <c r="AD293" s="9">
        <v>13</v>
      </c>
      <c r="AE293" s="9">
        <v>11</v>
      </c>
      <c r="AF293" s="9">
        <v>12</v>
      </c>
      <c r="AG293" s="9">
        <v>14</v>
      </c>
      <c r="AH293" s="9">
        <v>16</v>
      </c>
      <c r="AI293" s="9">
        <v>16</v>
      </c>
      <c r="AJ293" s="9">
        <v>15</v>
      </c>
      <c r="AK293" s="9">
        <v>17</v>
      </c>
      <c r="AL293" s="9">
        <v>18</v>
      </c>
      <c r="AM293" s="9">
        <v>18</v>
      </c>
      <c r="AN293" s="9">
        <v>17</v>
      </c>
      <c r="AO293" s="9">
        <v>16</v>
      </c>
      <c r="AP293" s="9">
        <v>12</v>
      </c>
      <c r="AQ293" s="9">
        <v>8</v>
      </c>
      <c r="AR293" s="9">
        <v>9</v>
      </c>
      <c r="AS293" s="9">
        <v>8</v>
      </c>
      <c r="AT293" s="9">
        <v>8</v>
      </c>
      <c r="AU293" s="9">
        <v>8</v>
      </c>
      <c r="AV293" s="9">
        <v>8</v>
      </c>
      <c r="AW293" s="9">
        <v>8</v>
      </c>
      <c r="AX293" s="9">
        <v>8</v>
      </c>
      <c r="AY293" s="9">
        <v>5</v>
      </c>
      <c r="AZ293" s="9">
        <v>4</v>
      </c>
      <c r="BA293" s="9">
        <v>4</v>
      </c>
      <c r="BB293" s="9">
        <v>4</v>
      </c>
      <c r="BC293" s="9">
        <v>4</v>
      </c>
      <c r="BD293" s="9">
        <v>3</v>
      </c>
      <c r="BE293" s="9">
        <v>3</v>
      </c>
      <c r="BF293" s="9">
        <v>3</v>
      </c>
      <c r="BG293" s="9">
        <v>2</v>
      </c>
      <c r="BH293" s="9">
        <v>3</v>
      </c>
      <c r="BI293" s="9">
        <v>3</v>
      </c>
      <c r="BJ293" s="9">
        <v>2</v>
      </c>
      <c r="BK293" s="9">
        <v>2</v>
      </c>
      <c r="BL293" s="9">
        <v>2</v>
      </c>
      <c r="BM293" s="9">
        <v>2</v>
      </c>
      <c r="BN293" s="9">
        <v>2</v>
      </c>
      <c r="BO293" s="9">
        <v>2</v>
      </c>
      <c r="BP293" s="9">
        <v>1</v>
      </c>
      <c r="BQ293" s="9">
        <v>1</v>
      </c>
      <c r="BR293" s="9">
        <v>1</v>
      </c>
      <c r="BS293" s="9">
        <v>1</v>
      </c>
      <c r="BT293" s="9">
        <v>0</v>
      </c>
      <c r="BU293" s="9">
        <v>0</v>
      </c>
      <c r="BV293" s="9">
        <v>0</v>
      </c>
      <c r="BW293" s="9">
        <v>0</v>
      </c>
      <c r="BX293" s="9">
        <v>0</v>
      </c>
      <c r="BY293" s="9">
        <v>0</v>
      </c>
      <c r="BZ293" s="9">
        <v>0</v>
      </c>
      <c r="CA293" s="9">
        <v>0</v>
      </c>
      <c r="CB293" s="9">
        <v>0</v>
      </c>
      <c r="CC293" s="9">
        <v>0</v>
      </c>
      <c r="CD293" s="9">
        <v>0</v>
      </c>
      <c r="CE293" s="9">
        <v>0</v>
      </c>
      <c r="CF293" s="9">
        <v>0</v>
      </c>
      <c r="CG293" s="9">
        <v>0</v>
      </c>
      <c r="CH293" s="9">
        <v>0</v>
      </c>
      <c r="CI293" s="9">
        <v>0</v>
      </c>
      <c r="CJ293" s="9">
        <v>0</v>
      </c>
      <c r="CK293" s="9">
        <v>0</v>
      </c>
      <c r="CL293" s="9">
        <v>0</v>
      </c>
      <c r="CM293" s="9">
        <v>0</v>
      </c>
      <c r="CN293" s="9">
        <v>0</v>
      </c>
      <c r="CO293" s="9">
        <v>0</v>
      </c>
      <c r="CP293" s="9">
        <v>0</v>
      </c>
      <c r="CQ293" s="9">
        <v>0</v>
      </c>
      <c r="CR293" s="9">
        <v>0</v>
      </c>
      <c r="CS293" s="9">
        <v>0</v>
      </c>
      <c r="CT293" s="9">
        <v>0</v>
      </c>
      <c r="CU293" s="9">
        <v>0</v>
      </c>
      <c r="CV293" s="9">
        <v>0</v>
      </c>
      <c r="CW293" s="9">
        <v>0</v>
      </c>
      <c r="CX293" s="9">
        <v>0</v>
      </c>
      <c r="CY293" s="9">
        <v>0</v>
      </c>
      <c r="CZ293" s="9">
        <v>0</v>
      </c>
      <c r="DA293" s="9">
        <v>0</v>
      </c>
      <c r="DB293" s="9">
        <v>0</v>
      </c>
      <c r="DC293" s="9">
        <v>0</v>
      </c>
      <c r="DD293" s="9">
        <v>0</v>
      </c>
      <c r="DE293" s="9">
        <v>0</v>
      </c>
      <c r="DF293" s="9">
        <v>0</v>
      </c>
      <c r="DG293" s="9">
        <v>0</v>
      </c>
      <c r="DH293" s="9">
        <v>0</v>
      </c>
      <c r="DI293" s="9">
        <v>0</v>
      </c>
      <c r="DJ293" s="9">
        <v>0</v>
      </c>
      <c r="DK293" s="9">
        <v>0</v>
      </c>
      <c r="DL293" s="9">
        <v>0</v>
      </c>
      <c r="DM293" s="9">
        <v>0</v>
      </c>
      <c r="DN293" s="9">
        <v>0</v>
      </c>
      <c r="DO293" s="9">
        <v>0</v>
      </c>
      <c r="DP293" s="9">
        <v>0</v>
      </c>
      <c r="DQ293" s="9">
        <v>0</v>
      </c>
      <c r="DR293" s="9">
        <v>0</v>
      </c>
      <c r="DS293" s="9">
        <v>0</v>
      </c>
      <c r="DT293" s="9">
        <v>0</v>
      </c>
      <c r="DU293" s="9">
        <v>0</v>
      </c>
      <c r="DV293" s="9">
        <v>0</v>
      </c>
      <c r="DW293" s="9">
        <v>0</v>
      </c>
      <c r="DX293" s="9">
        <v>0</v>
      </c>
      <c r="DY293" s="9">
        <v>0</v>
      </c>
      <c r="DZ293" s="9">
        <v>0</v>
      </c>
      <c r="EA293" s="9">
        <v>0</v>
      </c>
      <c r="EB293" s="9">
        <v>0</v>
      </c>
      <c r="EC293" s="9">
        <v>0</v>
      </c>
      <c r="ED293" s="9">
        <v>0</v>
      </c>
      <c r="EE293" s="9">
        <v>0</v>
      </c>
      <c r="EF293" s="9">
        <v>0</v>
      </c>
      <c r="EG293" s="9">
        <v>0</v>
      </c>
      <c r="EH293" s="9">
        <v>0</v>
      </c>
      <c r="EI293" s="9">
        <v>0</v>
      </c>
      <c r="EJ293" s="9">
        <v>0</v>
      </c>
      <c r="EK293" s="9">
        <v>0</v>
      </c>
      <c r="EL293" s="9">
        <v>0</v>
      </c>
      <c r="EM293" s="9">
        <v>0</v>
      </c>
      <c r="EN293" s="9">
        <v>0</v>
      </c>
      <c r="EO293" s="9">
        <v>0</v>
      </c>
      <c r="EP293" s="9">
        <v>0</v>
      </c>
      <c r="EQ293" s="9">
        <v>0</v>
      </c>
      <c r="ER293" s="9">
        <v>0</v>
      </c>
      <c r="ES293" s="9">
        <v>0</v>
      </c>
      <c r="ET293" s="9">
        <v>0</v>
      </c>
      <c r="EU293" s="9">
        <v>0</v>
      </c>
      <c r="EV293" s="9">
        <v>0</v>
      </c>
      <c r="EW293" s="9">
        <v>0</v>
      </c>
      <c r="EX293" s="9">
        <v>0</v>
      </c>
      <c r="EY293" s="9">
        <v>0</v>
      </c>
      <c r="EZ293" s="9">
        <v>0</v>
      </c>
      <c r="FA293" s="9">
        <v>0</v>
      </c>
      <c r="FB293" s="9">
        <v>0</v>
      </c>
      <c r="FC293" s="9">
        <v>0</v>
      </c>
      <c r="FD293" s="9">
        <v>0</v>
      </c>
      <c r="FE293" s="9">
        <v>0</v>
      </c>
      <c r="FF293" s="9">
        <v>0</v>
      </c>
      <c r="FG293" s="9">
        <v>0</v>
      </c>
      <c r="FH293" s="9">
        <v>0</v>
      </c>
      <c r="FI293" s="9">
        <v>0</v>
      </c>
      <c r="FJ293" s="9">
        <v>0</v>
      </c>
      <c r="FK293" s="9">
        <v>0</v>
      </c>
      <c r="FL293" s="9">
        <v>0</v>
      </c>
      <c r="FM293" s="10">
        <v>0</v>
      </c>
    </row>
    <row r="294" spans="1:169" x14ac:dyDescent="0.35">
      <c r="A294" s="8" t="s">
        <v>494</v>
      </c>
      <c r="B294" s="9" t="s">
        <v>21</v>
      </c>
      <c r="C294" s="10" t="s">
        <v>22</v>
      </c>
      <c r="D294" s="62">
        <f t="shared" si="101"/>
        <v>0</v>
      </c>
      <c r="E294" s="9">
        <v>0</v>
      </c>
      <c r="F294" s="9">
        <v>0</v>
      </c>
      <c r="G294" s="9">
        <v>0</v>
      </c>
      <c r="H294" s="9">
        <v>0</v>
      </c>
      <c r="I294" s="9">
        <v>0</v>
      </c>
      <c r="J294" s="9">
        <v>0</v>
      </c>
      <c r="K294" s="9">
        <v>0</v>
      </c>
      <c r="L294" s="9">
        <v>0</v>
      </c>
      <c r="M294" s="9">
        <v>0</v>
      </c>
      <c r="N294" s="9">
        <v>0</v>
      </c>
      <c r="O294" s="9">
        <v>0</v>
      </c>
      <c r="P294" s="9">
        <v>0</v>
      </c>
      <c r="Q294" s="9">
        <v>0</v>
      </c>
      <c r="R294" s="9">
        <v>0</v>
      </c>
      <c r="S294" s="9">
        <v>0</v>
      </c>
      <c r="T294" s="9">
        <v>0</v>
      </c>
      <c r="U294" s="9">
        <v>0</v>
      </c>
      <c r="V294" s="9">
        <v>0</v>
      </c>
      <c r="W294" s="9">
        <v>0</v>
      </c>
      <c r="X294" s="9">
        <v>0</v>
      </c>
      <c r="Y294" s="9">
        <v>0</v>
      </c>
      <c r="Z294" s="9">
        <v>0</v>
      </c>
      <c r="AA294" s="9">
        <v>0</v>
      </c>
      <c r="AB294" s="9">
        <v>0</v>
      </c>
      <c r="AC294" s="9">
        <v>0</v>
      </c>
      <c r="AD294" s="9">
        <v>0</v>
      </c>
      <c r="AE294" s="9">
        <v>0</v>
      </c>
      <c r="AF294" s="9">
        <v>0</v>
      </c>
      <c r="AG294" s="9">
        <v>0</v>
      </c>
      <c r="AH294" s="9">
        <v>0</v>
      </c>
      <c r="AI294" s="9">
        <v>0</v>
      </c>
      <c r="AJ294" s="9">
        <v>0</v>
      </c>
      <c r="AK294" s="9">
        <v>0</v>
      </c>
      <c r="AL294" s="9">
        <v>0</v>
      </c>
      <c r="AM294" s="9">
        <v>0</v>
      </c>
      <c r="AN294" s="9">
        <v>0</v>
      </c>
      <c r="AO294" s="9">
        <v>0</v>
      </c>
      <c r="AP294" s="9">
        <v>0</v>
      </c>
      <c r="AQ294" s="9">
        <v>0</v>
      </c>
      <c r="AR294" s="9">
        <v>0</v>
      </c>
      <c r="AS294" s="9">
        <v>0</v>
      </c>
      <c r="AT294" s="9">
        <v>0</v>
      </c>
      <c r="AU294" s="9">
        <v>0</v>
      </c>
      <c r="AV294" s="9">
        <v>0</v>
      </c>
      <c r="AW294" s="9">
        <v>0</v>
      </c>
      <c r="AX294" s="9">
        <v>0</v>
      </c>
      <c r="AY294" s="9">
        <v>0</v>
      </c>
      <c r="AZ294" s="9">
        <v>0</v>
      </c>
      <c r="BA294" s="9">
        <v>0</v>
      </c>
      <c r="BB294" s="9">
        <v>0</v>
      </c>
      <c r="BC294" s="9">
        <v>0</v>
      </c>
      <c r="BD294" s="9">
        <v>0</v>
      </c>
      <c r="BE294" s="9">
        <v>0</v>
      </c>
      <c r="BF294" s="9">
        <v>0</v>
      </c>
      <c r="BG294" s="9">
        <v>0</v>
      </c>
      <c r="BH294" s="9">
        <v>0</v>
      </c>
      <c r="BI294" s="9">
        <v>0</v>
      </c>
      <c r="BJ294" s="9">
        <v>0</v>
      </c>
      <c r="BK294" s="9">
        <v>0</v>
      </c>
      <c r="BL294" s="9">
        <v>0</v>
      </c>
      <c r="BM294" s="9">
        <v>0</v>
      </c>
      <c r="BN294" s="9">
        <v>0</v>
      </c>
      <c r="BO294" s="9">
        <v>0</v>
      </c>
      <c r="BP294" s="9">
        <v>0</v>
      </c>
      <c r="BQ294" s="9">
        <v>0</v>
      </c>
      <c r="BR294" s="9">
        <v>0</v>
      </c>
      <c r="BS294" s="9">
        <v>0</v>
      </c>
      <c r="BT294" s="9">
        <v>0</v>
      </c>
      <c r="BU294" s="9">
        <v>0</v>
      </c>
      <c r="BV294" s="9">
        <v>0</v>
      </c>
      <c r="BW294" s="9">
        <v>0</v>
      </c>
      <c r="BX294" s="9">
        <v>0</v>
      </c>
      <c r="BY294" s="9">
        <v>0</v>
      </c>
      <c r="BZ294" s="9">
        <v>0</v>
      </c>
      <c r="CA294" s="9">
        <v>0</v>
      </c>
      <c r="CB294" s="9">
        <v>0</v>
      </c>
      <c r="CC294" s="9">
        <v>0</v>
      </c>
      <c r="CD294" s="9">
        <v>0</v>
      </c>
      <c r="CE294" s="9">
        <v>0</v>
      </c>
      <c r="CF294" s="9">
        <v>0</v>
      </c>
      <c r="CG294" s="9">
        <v>0</v>
      </c>
      <c r="CH294" s="9">
        <v>0</v>
      </c>
      <c r="CI294" s="9">
        <v>0</v>
      </c>
      <c r="CJ294" s="9">
        <v>0</v>
      </c>
      <c r="CK294" s="9">
        <v>0</v>
      </c>
      <c r="CL294" s="9">
        <v>0</v>
      </c>
      <c r="CM294" s="9">
        <v>0</v>
      </c>
      <c r="CN294" s="9">
        <v>0</v>
      </c>
      <c r="CO294" s="9">
        <v>0</v>
      </c>
      <c r="CP294" s="9">
        <v>0</v>
      </c>
      <c r="CQ294" s="9">
        <v>0</v>
      </c>
      <c r="CR294" s="9">
        <v>0</v>
      </c>
      <c r="CS294" s="9">
        <v>0</v>
      </c>
      <c r="CT294" s="9">
        <v>0</v>
      </c>
      <c r="CU294" s="9">
        <v>0</v>
      </c>
      <c r="CV294" s="9">
        <v>0</v>
      </c>
      <c r="CW294" s="9">
        <v>0</v>
      </c>
      <c r="CX294" s="9">
        <v>0</v>
      </c>
      <c r="CY294" s="9">
        <v>0</v>
      </c>
      <c r="CZ294" s="9">
        <v>0</v>
      </c>
      <c r="DA294" s="9">
        <v>0</v>
      </c>
      <c r="DB294" s="9">
        <v>0</v>
      </c>
      <c r="DC294" s="9">
        <v>0</v>
      </c>
      <c r="DD294" s="9">
        <v>0</v>
      </c>
      <c r="DE294" s="9">
        <v>0</v>
      </c>
      <c r="DF294" s="9">
        <v>0</v>
      </c>
      <c r="DG294" s="9">
        <v>0</v>
      </c>
      <c r="DH294" s="9">
        <v>0</v>
      </c>
      <c r="DI294" s="9">
        <v>0</v>
      </c>
      <c r="DJ294" s="9">
        <v>0</v>
      </c>
      <c r="DK294" s="9">
        <v>0</v>
      </c>
      <c r="DL294" s="9">
        <v>0</v>
      </c>
      <c r="DM294" s="9">
        <v>0</v>
      </c>
      <c r="DN294" s="9">
        <v>0</v>
      </c>
      <c r="DO294" s="9">
        <v>0</v>
      </c>
      <c r="DP294" s="9">
        <v>0</v>
      </c>
      <c r="DQ294" s="9">
        <v>0</v>
      </c>
      <c r="DR294" s="9">
        <v>0</v>
      </c>
      <c r="DS294" s="9">
        <v>0</v>
      </c>
      <c r="DT294" s="9">
        <v>0</v>
      </c>
      <c r="DU294" s="9">
        <v>0</v>
      </c>
      <c r="DV294" s="9">
        <v>0</v>
      </c>
      <c r="DW294" s="9">
        <v>0</v>
      </c>
      <c r="DX294" s="9">
        <v>0</v>
      </c>
      <c r="DY294" s="9">
        <v>0</v>
      </c>
      <c r="DZ294" s="9">
        <v>0</v>
      </c>
      <c r="EA294" s="9">
        <v>0</v>
      </c>
      <c r="EB294" s="9">
        <v>0</v>
      </c>
      <c r="EC294" s="9">
        <v>0</v>
      </c>
      <c r="ED294" s="9">
        <v>0</v>
      </c>
      <c r="EE294" s="9">
        <v>0</v>
      </c>
      <c r="EF294" s="9">
        <v>0</v>
      </c>
      <c r="EG294" s="9">
        <v>0</v>
      </c>
      <c r="EH294" s="9">
        <v>0</v>
      </c>
      <c r="EI294" s="9">
        <v>0</v>
      </c>
      <c r="EJ294" s="9">
        <v>0</v>
      </c>
      <c r="EK294" s="9">
        <v>0</v>
      </c>
      <c r="EL294" s="9">
        <v>0</v>
      </c>
      <c r="EM294" s="9">
        <v>0</v>
      </c>
      <c r="EN294" s="9">
        <v>0</v>
      </c>
      <c r="EO294" s="9">
        <v>0</v>
      </c>
      <c r="EP294" s="9">
        <v>0</v>
      </c>
      <c r="EQ294" s="9">
        <v>0</v>
      </c>
      <c r="ER294" s="9">
        <v>0</v>
      </c>
      <c r="ES294" s="9">
        <v>0</v>
      </c>
      <c r="ET294" s="9">
        <v>0</v>
      </c>
      <c r="EU294" s="9">
        <v>0</v>
      </c>
      <c r="EV294" s="9">
        <v>0</v>
      </c>
      <c r="EW294" s="9">
        <v>0</v>
      </c>
      <c r="EX294" s="9">
        <v>0</v>
      </c>
      <c r="EY294" s="9">
        <v>0</v>
      </c>
      <c r="EZ294" s="9">
        <v>0</v>
      </c>
      <c r="FA294" s="9">
        <v>0</v>
      </c>
      <c r="FB294" s="9">
        <v>0</v>
      </c>
      <c r="FC294" s="9">
        <v>0</v>
      </c>
      <c r="FD294" s="9">
        <v>0</v>
      </c>
      <c r="FE294" s="9">
        <v>0</v>
      </c>
      <c r="FF294" s="9">
        <v>0</v>
      </c>
      <c r="FG294" s="9">
        <v>0</v>
      </c>
      <c r="FH294" s="9">
        <v>0</v>
      </c>
      <c r="FI294" s="9">
        <v>0</v>
      </c>
      <c r="FJ294" s="9">
        <v>0</v>
      </c>
      <c r="FK294" s="9">
        <v>0</v>
      </c>
      <c r="FL294" s="9">
        <v>0</v>
      </c>
      <c r="FM294" s="10">
        <v>0</v>
      </c>
    </row>
    <row r="295" spans="1:169" x14ac:dyDescent="0.35">
      <c r="A295" s="8" t="s">
        <v>494</v>
      </c>
      <c r="B295" s="9" t="s">
        <v>23</v>
      </c>
      <c r="C295" s="10" t="s">
        <v>24</v>
      </c>
      <c r="D295" s="62">
        <f t="shared" si="101"/>
        <v>1</v>
      </c>
      <c r="E295" s="9">
        <v>0</v>
      </c>
      <c r="F295" s="9">
        <v>0</v>
      </c>
      <c r="G295" s="9">
        <v>0</v>
      </c>
      <c r="H295" s="9">
        <v>0</v>
      </c>
      <c r="I295" s="9">
        <v>0</v>
      </c>
      <c r="J295" s="9">
        <v>0</v>
      </c>
      <c r="K295" s="9">
        <v>0</v>
      </c>
      <c r="L295" s="9">
        <v>0</v>
      </c>
      <c r="M295" s="9">
        <v>0</v>
      </c>
      <c r="N295" s="9">
        <v>0</v>
      </c>
      <c r="O295" s="9">
        <v>0</v>
      </c>
      <c r="P295" s="9">
        <v>0</v>
      </c>
      <c r="Q295" s="9">
        <v>0</v>
      </c>
      <c r="R295" s="9">
        <v>0</v>
      </c>
      <c r="S295" s="9">
        <v>0</v>
      </c>
      <c r="T295" s="9">
        <v>0</v>
      </c>
      <c r="U295" s="9">
        <v>0</v>
      </c>
      <c r="V295" s="9">
        <v>0</v>
      </c>
      <c r="W295" s="9">
        <v>0</v>
      </c>
      <c r="X295" s="9">
        <v>0</v>
      </c>
      <c r="Y295" s="9">
        <v>0</v>
      </c>
      <c r="Z295" s="9">
        <v>0</v>
      </c>
      <c r="AA295" s="9">
        <v>0</v>
      </c>
      <c r="AB295" s="9">
        <v>0</v>
      </c>
      <c r="AC295" s="9">
        <v>0</v>
      </c>
      <c r="AD295" s="9">
        <v>0</v>
      </c>
      <c r="AE295" s="9">
        <v>0</v>
      </c>
      <c r="AF295" s="9">
        <v>0</v>
      </c>
      <c r="AG295" s="9">
        <v>0</v>
      </c>
      <c r="AH295" s="9">
        <v>0</v>
      </c>
      <c r="AI295" s="9">
        <v>1</v>
      </c>
      <c r="AJ295" s="9">
        <v>1</v>
      </c>
      <c r="AK295" s="9">
        <v>1</v>
      </c>
      <c r="AL295" s="9">
        <v>1</v>
      </c>
      <c r="AM295" s="9">
        <v>1</v>
      </c>
      <c r="AN295" s="9">
        <v>0</v>
      </c>
      <c r="AO295" s="9">
        <v>0</v>
      </c>
      <c r="AP295" s="9">
        <v>0</v>
      </c>
      <c r="AQ295" s="9">
        <v>0</v>
      </c>
      <c r="AR295" s="9">
        <v>0</v>
      </c>
      <c r="AS295" s="9">
        <v>0</v>
      </c>
      <c r="AT295" s="9">
        <v>0</v>
      </c>
      <c r="AU295" s="9">
        <v>0</v>
      </c>
      <c r="AV295" s="9">
        <v>0</v>
      </c>
      <c r="AW295" s="9">
        <v>0</v>
      </c>
      <c r="AX295" s="9">
        <v>0</v>
      </c>
      <c r="AY295" s="9">
        <v>0</v>
      </c>
      <c r="AZ295" s="9">
        <v>0</v>
      </c>
      <c r="BA295" s="9">
        <v>0</v>
      </c>
      <c r="BB295" s="9">
        <v>0</v>
      </c>
      <c r="BC295" s="9">
        <v>0</v>
      </c>
      <c r="BD295" s="9">
        <v>0</v>
      </c>
      <c r="BE295" s="9">
        <v>0</v>
      </c>
      <c r="BF295" s="9">
        <v>0</v>
      </c>
      <c r="BG295" s="9">
        <v>0</v>
      </c>
      <c r="BH295" s="9">
        <v>0</v>
      </c>
      <c r="BI295" s="9">
        <v>0</v>
      </c>
      <c r="BJ295" s="9">
        <v>0</v>
      </c>
      <c r="BK295" s="9">
        <v>0</v>
      </c>
      <c r="BL295" s="9">
        <v>0</v>
      </c>
      <c r="BM295" s="9">
        <v>0</v>
      </c>
      <c r="BN295" s="9">
        <v>0</v>
      </c>
      <c r="BO295" s="9">
        <v>0</v>
      </c>
      <c r="BP295" s="9">
        <v>0</v>
      </c>
      <c r="BQ295" s="9">
        <v>0</v>
      </c>
      <c r="BR295" s="9">
        <v>0</v>
      </c>
      <c r="BS295" s="9">
        <v>0</v>
      </c>
      <c r="BT295" s="9">
        <v>0</v>
      </c>
      <c r="BU295" s="9">
        <v>0</v>
      </c>
      <c r="BV295" s="9">
        <v>0</v>
      </c>
      <c r="BW295" s="9">
        <v>0</v>
      </c>
      <c r="BX295" s="9">
        <v>0</v>
      </c>
      <c r="BY295" s="9">
        <v>0</v>
      </c>
      <c r="BZ295" s="9">
        <v>0</v>
      </c>
      <c r="CA295" s="9">
        <v>0</v>
      </c>
      <c r="CB295" s="9">
        <v>0</v>
      </c>
      <c r="CC295" s="9">
        <v>0</v>
      </c>
      <c r="CD295" s="9">
        <v>0</v>
      </c>
      <c r="CE295" s="9">
        <v>0</v>
      </c>
      <c r="CF295" s="9">
        <v>0</v>
      </c>
      <c r="CG295" s="9">
        <v>0</v>
      </c>
      <c r="CH295" s="9">
        <v>0</v>
      </c>
      <c r="CI295" s="9">
        <v>0</v>
      </c>
      <c r="CJ295" s="9">
        <v>0</v>
      </c>
      <c r="CK295" s="9">
        <v>0</v>
      </c>
      <c r="CL295" s="9">
        <v>0</v>
      </c>
      <c r="CM295" s="9">
        <v>0</v>
      </c>
      <c r="CN295" s="9">
        <v>0</v>
      </c>
      <c r="CO295" s="9">
        <v>0</v>
      </c>
      <c r="CP295" s="9">
        <v>0</v>
      </c>
      <c r="CQ295" s="9">
        <v>0</v>
      </c>
      <c r="CR295" s="9">
        <v>0</v>
      </c>
      <c r="CS295" s="9">
        <v>0</v>
      </c>
      <c r="CT295" s="9">
        <v>0</v>
      </c>
      <c r="CU295" s="9">
        <v>0</v>
      </c>
      <c r="CV295" s="9">
        <v>0</v>
      </c>
      <c r="CW295" s="9">
        <v>0</v>
      </c>
      <c r="CX295" s="9">
        <v>0</v>
      </c>
      <c r="CY295" s="9">
        <v>0</v>
      </c>
      <c r="CZ295" s="9">
        <v>0</v>
      </c>
      <c r="DA295" s="9">
        <v>0</v>
      </c>
      <c r="DB295" s="9">
        <v>0</v>
      </c>
      <c r="DC295" s="9">
        <v>0</v>
      </c>
      <c r="DD295" s="9">
        <v>0</v>
      </c>
      <c r="DE295" s="9">
        <v>0</v>
      </c>
      <c r="DF295" s="9">
        <v>0</v>
      </c>
      <c r="DG295" s="9">
        <v>0</v>
      </c>
      <c r="DH295" s="9">
        <v>0</v>
      </c>
      <c r="DI295" s="9">
        <v>0</v>
      </c>
      <c r="DJ295" s="9">
        <v>0</v>
      </c>
      <c r="DK295" s="9">
        <v>0</v>
      </c>
      <c r="DL295" s="9">
        <v>0</v>
      </c>
      <c r="DM295" s="9">
        <v>0</v>
      </c>
      <c r="DN295" s="9">
        <v>0</v>
      </c>
      <c r="DO295" s="9">
        <v>0</v>
      </c>
      <c r="DP295" s="9">
        <v>0</v>
      </c>
      <c r="DQ295" s="9">
        <v>0</v>
      </c>
      <c r="DR295" s="9">
        <v>0</v>
      </c>
      <c r="DS295" s="9">
        <v>0</v>
      </c>
      <c r="DT295" s="9">
        <v>0</v>
      </c>
      <c r="DU295" s="9">
        <v>0</v>
      </c>
      <c r="DV295" s="9">
        <v>0</v>
      </c>
      <c r="DW295" s="9">
        <v>0</v>
      </c>
      <c r="DX295" s="9">
        <v>0</v>
      </c>
      <c r="DY295" s="9">
        <v>0</v>
      </c>
      <c r="DZ295" s="9">
        <v>0</v>
      </c>
      <c r="EA295" s="9">
        <v>0</v>
      </c>
      <c r="EB295" s="9">
        <v>0</v>
      </c>
      <c r="EC295" s="9">
        <v>0</v>
      </c>
      <c r="ED295" s="9">
        <v>0</v>
      </c>
      <c r="EE295" s="9">
        <v>0</v>
      </c>
      <c r="EF295" s="9">
        <v>0</v>
      </c>
      <c r="EG295" s="9">
        <v>0</v>
      </c>
      <c r="EH295" s="9">
        <v>0</v>
      </c>
      <c r="EI295" s="9">
        <v>0</v>
      </c>
      <c r="EJ295" s="9">
        <v>0</v>
      </c>
      <c r="EK295" s="9">
        <v>0</v>
      </c>
      <c r="EL295" s="9">
        <v>0</v>
      </c>
      <c r="EM295" s="9">
        <v>0</v>
      </c>
      <c r="EN295" s="9">
        <v>0</v>
      </c>
      <c r="EO295" s="9">
        <v>0</v>
      </c>
      <c r="EP295" s="9">
        <v>0</v>
      </c>
      <c r="EQ295" s="9">
        <v>0</v>
      </c>
      <c r="ER295" s="9">
        <v>0</v>
      </c>
      <c r="ES295" s="9">
        <v>0</v>
      </c>
      <c r="ET295" s="9">
        <v>0</v>
      </c>
      <c r="EU295" s="9">
        <v>0</v>
      </c>
      <c r="EV295" s="9">
        <v>0</v>
      </c>
      <c r="EW295" s="9">
        <v>0</v>
      </c>
      <c r="EX295" s="9">
        <v>0</v>
      </c>
      <c r="EY295" s="9">
        <v>0</v>
      </c>
      <c r="EZ295" s="9">
        <v>0</v>
      </c>
      <c r="FA295" s="9">
        <v>0</v>
      </c>
      <c r="FB295" s="9">
        <v>0</v>
      </c>
      <c r="FC295" s="9">
        <v>0</v>
      </c>
      <c r="FD295" s="9">
        <v>0</v>
      </c>
      <c r="FE295" s="9">
        <v>0</v>
      </c>
      <c r="FF295" s="9">
        <v>0</v>
      </c>
      <c r="FG295" s="9">
        <v>0</v>
      </c>
      <c r="FH295" s="9">
        <v>0</v>
      </c>
      <c r="FI295" s="9">
        <v>0</v>
      </c>
      <c r="FJ295" s="9">
        <v>0</v>
      </c>
      <c r="FK295" s="9">
        <v>0</v>
      </c>
      <c r="FL295" s="9">
        <v>0</v>
      </c>
      <c r="FM295" s="10">
        <v>0</v>
      </c>
    </row>
    <row r="296" spans="1:169" x14ac:dyDescent="0.35">
      <c r="A296" s="8" t="s">
        <v>494</v>
      </c>
      <c r="B296" s="9" t="s">
        <v>98</v>
      </c>
      <c r="C296" s="10" t="s">
        <v>99</v>
      </c>
      <c r="D296" s="62">
        <f t="shared" si="101"/>
        <v>1</v>
      </c>
      <c r="E296" s="9">
        <v>0</v>
      </c>
      <c r="F296" s="9">
        <v>0</v>
      </c>
      <c r="G296" s="9">
        <v>0</v>
      </c>
      <c r="H296" s="9">
        <v>0</v>
      </c>
      <c r="I296" s="9">
        <v>0</v>
      </c>
      <c r="J296" s="9">
        <v>0</v>
      </c>
      <c r="K296" s="9">
        <v>0</v>
      </c>
      <c r="L296" s="9">
        <v>0</v>
      </c>
      <c r="M296" s="9">
        <v>0</v>
      </c>
      <c r="N296" s="9">
        <v>0</v>
      </c>
      <c r="O296" s="9">
        <v>0</v>
      </c>
      <c r="P296" s="9">
        <v>0</v>
      </c>
      <c r="Q296" s="9">
        <v>0</v>
      </c>
      <c r="R296" s="9">
        <v>0</v>
      </c>
      <c r="S296" s="9">
        <v>0</v>
      </c>
      <c r="T296" s="9">
        <v>0</v>
      </c>
      <c r="U296" s="9">
        <v>0</v>
      </c>
      <c r="V296" s="9">
        <v>0</v>
      </c>
      <c r="W296" s="9">
        <v>0</v>
      </c>
      <c r="X296" s="9">
        <v>0</v>
      </c>
      <c r="Y296" s="9">
        <v>0</v>
      </c>
      <c r="Z296" s="9">
        <v>0</v>
      </c>
      <c r="AA296" s="9">
        <v>0</v>
      </c>
      <c r="AB296" s="9">
        <v>0</v>
      </c>
      <c r="AC296" s="9">
        <v>0</v>
      </c>
      <c r="AD296" s="9">
        <v>0</v>
      </c>
      <c r="AE296" s="9">
        <v>1</v>
      </c>
      <c r="AF296" s="9">
        <v>1</v>
      </c>
      <c r="AG296" s="9">
        <v>0</v>
      </c>
      <c r="AH296" s="9">
        <v>0</v>
      </c>
      <c r="AI296" s="9">
        <v>0</v>
      </c>
      <c r="AJ296" s="9">
        <v>0</v>
      </c>
      <c r="AK296" s="9">
        <v>0</v>
      </c>
      <c r="AL296" s="9">
        <v>0</v>
      </c>
      <c r="AM296" s="9">
        <v>0</v>
      </c>
      <c r="AN296" s="9">
        <v>0</v>
      </c>
      <c r="AO296" s="9">
        <v>0</v>
      </c>
      <c r="AP296" s="9">
        <v>0</v>
      </c>
      <c r="AQ296" s="9">
        <v>0</v>
      </c>
      <c r="AR296" s="9">
        <v>0</v>
      </c>
      <c r="AS296" s="9">
        <v>0</v>
      </c>
      <c r="AT296" s="9">
        <v>0</v>
      </c>
      <c r="AU296" s="9">
        <v>0</v>
      </c>
      <c r="AV296" s="9">
        <v>0</v>
      </c>
      <c r="AW296" s="9">
        <v>0</v>
      </c>
      <c r="AX296" s="9">
        <v>0</v>
      </c>
      <c r="AY296" s="9">
        <v>0</v>
      </c>
      <c r="AZ296" s="9">
        <v>0</v>
      </c>
      <c r="BA296" s="9">
        <v>0</v>
      </c>
      <c r="BB296" s="9">
        <v>0</v>
      </c>
      <c r="BC296" s="9">
        <v>0</v>
      </c>
      <c r="BD296" s="9">
        <v>0</v>
      </c>
      <c r="BE296" s="9">
        <v>0</v>
      </c>
      <c r="BF296" s="9">
        <v>0</v>
      </c>
      <c r="BG296" s="9">
        <v>0</v>
      </c>
      <c r="BH296" s="9">
        <v>0</v>
      </c>
      <c r="BI296" s="9">
        <v>0</v>
      </c>
      <c r="BJ296" s="9">
        <v>0</v>
      </c>
      <c r="BK296" s="9">
        <v>0</v>
      </c>
      <c r="BL296" s="9">
        <v>0</v>
      </c>
      <c r="BM296" s="9">
        <v>0</v>
      </c>
      <c r="BN296" s="9">
        <v>0</v>
      </c>
      <c r="BO296" s="9">
        <v>0</v>
      </c>
      <c r="BP296" s="9">
        <v>0</v>
      </c>
      <c r="BQ296" s="9">
        <v>0</v>
      </c>
      <c r="BR296" s="9">
        <v>0</v>
      </c>
      <c r="BS296" s="9">
        <v>0</v>
      </c>
      <c r="BT296" s="9">
        <v>0</v>
      </c>
      <c r="BU296" s="9">
        <v>0</v>
      </c>
      <c r="BV296" s="9">
        <v>0</v>
      </c>
      <c r="BW296" s="9">
        <v>0</v>
      </c>
      <c r="BX296" s="9">
        <v>0</v>
      </c>
      <c r="BY296" s="9">
        <v>0</v>
      </c>
      <c r="BZ296" s="9">
        <v>0</v>
      </c>
      <c r="CA296" s="9">
        <v>0</v>
      </c>
      <c r="CB296" s="9">
        <v>0</v>
      </c>
      <c r="CC296" s="9">
        <v>0</v>
      </c>
      <c r="CD296" s="9">
        <v>0</v>
      </c>
      <c r="CE296" s="9">
        <v>0</v>
      </c>
      <c r="CF296" s="9">
        <v>0</v>
      </c>
      <c r="CG296" s="9">
        <v>0</v>
      </c>
      <c r="CH296" s="9">
        <v>0</v>
      </c>
      <c r="CI296" s="9">
        <v>0</v>
      </c>
      <c r="CJ296" s="9">
        <v>0</v>
      </c>
      <c r="CK296" s="9">
        <v>0</v>
      </c>
      <c r="CL296" s="9">
        <v>0</v>
      </c>
      <c r="CM296" s="9">
        <v>0</v>
      </c>
      <c r="CN296" s="9">
        <v>0</v>
      </c>
      <c r="CO296" s="9">
        <v>0</v>
      </c>
      <c r="CP296" s="9">
        <v>0</v>
      </c>
      <c r="CQ296" s="9">
        <v>0</v>
      </c>
      <c r="CR296" s="9">
        <v>0</v>
      </c>
      <c r="CS296" s="9">
        <v>0</v>
      </c>
      <c r="CT296" s="9">
        <v>0</v>
      </c>
      <c r="CU296" s="9">
        <v>0</v>
      </c>
      <c r="CV296" s="9">
        <v>0</v>
      </c>
      <c r="CW296" s="9">
        <v>0</v>
      </c>
      <c r="CX296" s="9">
        <v>0</v>
      </c>
      <c r="CY296" s="9">
        <v>0</v>
      </c>
      <c r="CZ296" s="9">
        <v>0</v>
      </c>
      <c r="DA296" s="9">
        <v>0</v>
      </c>
      <c r="DB296" s="9">
        <v>0</v>
      </c>
      <c r="DC296" s="9">
        <v>0</v>
      </c>
      <c r="DD296" s="9">
        <v>0</v>
      </c>
      <c r="DE296" s="9">
        <v>0</v>
      </c>
      <c r="DF296" s="9">
        <v>0</v>
      </c>
      <c r="DG296" s="9">
        <v>0</v>
      </c>
      <c r="DH296" s="9">
        <v>0</v>
      </c>
      <c r="DI296" s="9">
        <v>0</v>
      </c>
      <c r="DJ296" s="9">
        <v>0</v>
      </c>
      <c r="DK296" s="9">
        <v>0</v>
      </c>
      <c r="DL296" s="9">
        <v>0</v>
      </c>
      <c r="DM296" s="9">
        <v>0</v>
      </c>
      <c r="DN296" s="9">
        <v>0</v>
      </c>
      <c r="DO296" s="9">
        <v>0</v>
      </c>
      <c r="DP296" s="9">
        <v>0</v>
      </c>
      <c r="DQ296" s="9">
        <v>0</v>
      </c>
      <c r="DR296" s="9">
        <v>0</v>
      </c>
      <c r="DS296" s="9">
        <v>0</v>
      </c>
      <c r="DT296" s="9">
        <v>0</v>
      </c>
      <c r="DU296" s="9">
        <v>0</v>
      </c>
      <c r="DV296" s="9">
        <v>0</v>
      </c>
      <c r="DW296" s="9">
        <v>0</v>
      </c>
      <c r="DX296" s="9">
        <v>0</v>
      </c>
      <c r="DY296" s="9">
        <v>0</v>
      </c>
      <c r="DZ296" s="9">
        <v>0</v>
      </c>
      <c r="EA296" s="9">
        <v>0</v>
      </c>
      <c r="EB296" s="9">
        <v>0</v>
      </c>
      <c r="EC296" s="9">
        <v>0</v>
      </c>
      <c r="ED296" s="9">
        <v>0</v>
      </c>
      <c r="EE296" s="9">
        <v>0</v>
      </c>
      <c r="EF296" s="9">
        <v>0</v>
      </c>
      <c r="EG296" s="9">
        <v>0</v>
      </c>
      <c r="EH296" s="9">
        <v>0</v>
      </c>
      <c r="EI296" s="9">
        <v>0</v>
      </c>
      <c r="EJ296" s="9">
        <v>0</v>
      </c>
      <c r="EK296" s="9">
        <v>0</v>
      </c>
      <c r="EL296" s="9">
        <v>0</v>
      </c>
      <c r="EM296" s="9">
        <v>0</v>
      </c>
      <c r="EN296" s="9">
        <v>0</v>
      </c>
      <c r="EO296" s="9">
        <v>0</v>
      </c>
      <c r="EP296" s="9">
        <v>0</v>
      </c>
      <c r="EQ296" s="9">
        <v>0</v>
      </c>
      <c r="ER296" s="9">
        <v>0</v>
      </c>
      <c r="ES296" s="9">
        <v>0</v>
      </c>
      <c r="ET296" s="9">
        <v>0</v>
      </c>
      <c r="EU296" s="9">
        <v>0</v>
      </c>
      <c r="EV296" s="9">
        <v>0</v>
      </c>
      <c r="EW296" s="9">
        <v>0</v>
      </c>
      <c r="EX296" s="9">
        <v>0</v>
      </c>
      <c r="EY296" s="9">
        <v>0</v>
      </c>
      <c r="EZ296" s="9">
        <v>0</v>
      </c>
      <c r="FA296" s="9">
        <v>0</v>
      </c>
      <c r="FB296" s="9">
        <v>0</v>
      </c>
      <c r="FC296" s="9">
        <v>0</v>
      </c>
      <c r="FD296" s="9">
        <v>0</v>
      </c>
      <c r="FE296" s="9">
        <v>0</v>
      </c>
      <c r="FF296" s="9">
        <v>0</v>
      </c>
      <c r="FG296" s="9">
        <v>0</v>
      </c>
      <c r="FH296" s="9">
        <v>0</v>
      </c>
      <c r="FI296" s="9">
        <v>0</v>
      </c>
      <c r="FJ296" s="9">
        <v>0</v>
      </c>
      <c r="FK296" s="9">
        <v>0</v>
      </c>
      <c r="FL296" s="9">
        <v>0</v>
      </c>
      <c r="FM296" s="10">
        <v>0</v>
      </c>
    </row>
    <row r="297" spans="1:169" x14ac:dyDescent="0.35">
      <c r="A297" s="8" t="s">
        <v>494</v>
      </c>
      <c r="B297" s="9" t="s">
        <v>430</v>
      </c>
      <c r="C297" s="10" t="s">
        <v>431</v>
      </c>
      <c r="D297" s="62">
        <f t="shared" si="101"/>
        <v>3</v>
      </c>
      <c r="E297" s="9">
        <v>0</v>
      </c>
      <c r="F297" s="9">
        <v>0</v>
      </c>
      <c r="G297" s="9">
        <v>0</v>
      </c>
      <c r="H297" s="9">
        <v>0</v>
      </c>
      <c r="I297" s="9">
        <v>0</v>
      </c>
      <c r="J297" s="9">
        <v>0</v>
      </c>
      <c r="K297" s="9">
        <v>0</v>
      </c>
      <c r="L297" s="9">
        <v>0</v>
      </c>
      <c r="M297" s="9">
        <v>0</v>
      </c>
      <c r="N297" s="9">
        <v>0</v>
      </c>
      <c r="O297" s="9">
        <v>0</v>
      </c>
      <c r="P297" s="9">
        <v>0</v>
      </c>
      <c r="Q297" s="9">
        <v>0</v>
      </c>
      <c r="R297" s="9">
        <v>0</v>
      </c>
      <c r="S297" s="9">
        <v>0</v>
      </c>
      <c r="T297" s="9">
        <v>0</v>
      </c>
      <c r="U297" s="9">
        <v>0</v>
      </c>
      <c r="V297" s="9">
        <v>0</v>
      </c>
      <c r="W297" s="9">
        <v>0</v>
      </c>
      <c r="X297" s="9">
        <v>0</v>
      </c>
      <c r="Y297" s="9">
        <v>0</v>
      </c>
      <c r="Z297" s="9">
        <v>0</v>
      </c>
      <c r="AA297" s="9">
        <v>0</v>
      </c>
      <c r="AB297" s="9">
        <v>0</v>
      </c>
      <c r="AC297" s="9">
        <v>0</v>
      </c>
      <c r="AD297" s="9">
        <v>0</v>
      </c>
      <c r="AE297" s="9">
        <v>1</v>
      </c>
      <c r="AF297" s="9">
        <v>1</v>
      </c>
      <c r="AG297" s="9">
        <v>1</v>
      </c>
      <c r="AH297" s="9">
        <v>1</v>
      </c>
      <c r="AI297" s="9">
        <v>1</v>
      </c>
      <c r="AJ297" s="9">
        <v>1</v>
      </c>
      <c r="AK297" s="9">
        <v>1</v>
      </c>
      <c r="AL297" s="9">
        <v>1</v>
      </c>
      <c r="AM297" s="9">
        <v>1</v>
      </c>
      <c r="AN297" s="9">
        <v>1</v>
      </c>
      <c r="AO297" s="9">
        <v>1</v>
      </c>
      <c r="AP297" s="9">
        <v>1</v>
      </c>
      <c r="AQ297" s="9">
        <v>2</v>
      </c>
      <c r="AR297" s="9">
        <v>2</v>
      </c>
      <c r="AS297" s="9">
        <v>1</v>
      </c>
      <c r="AT297" s="9">
        <v>2</v>
      </c>
      <c r="AU297" s="9">
        <v>0</v>
      </c>
      <c r="AV297" s="9">
        <v>2</v>
      </c>
      <c r="AW297" s="9">
        <v>2</v>
      </c>
      <c r="AX297" s="9">
        <v>2</v>
      </c>
      <c r="AY297" s="9">
        <v>3</v>
      </c>
      <c r="AZ297" s="9">
        <v>2</v>
      </c>
      <c r="BA297" s="9">
        <v>3</v>
      </c>
      <c r="BB297" s="9">
        <v>3</v>
      </c>
      <c r="BC297" s="9">
        <v>3</v>
      </c>
      <c r="BD297" s="9">
        <v>3</v>
      </c>
      <c r="BE297" s="9">
        <v>2</v>
      </c>
      <c r="BF297" s="9">
        <v>1</v>
      </c>
      <c r="BG297" s="9">
        <v>1</v>
      </c>
      <c r="BH297" s="9">
        <v>2</v>
      </c>
      <c r="BI297" s="9">
        <v>1</v>
      </c>
      <c r="BJ297" s="9">
        <v>1</v>
      </c>
      <c r="BK297" s="9">
        <v>1</v>
      </c>
      <c r="BL297" s="9">
        <v>1</v>
      </c>
      <c r="BM297" s="9">
        <v>1</v>
      </c>
      <c r="BN297" s="9">
        <v>1</v>
      </c>
      <c r="BO297" s="9">
        <v>1</v>
      </c>
      <c r="BP297" s="9">
        <v>1</v>
      </c>
      <c r="BQ297" s="9">
        <v>1</v>
      </c>
      <c r="BR297" s="9">
        <v>1</v>
      </c>
      <c r="BS297" s="9">
        <v>1</v>
      </c>
      <c r="BT297" s="9">
        <v>1</v>
      </c>
      <c r="BU297" s="9">
        <v>1</v>
      </c>
      <c r="BV297" s="9">
        <v>0</v>
      </c>
      <c r="BW297" s="9">
        <v>0</v>
      </c>
      <c r="BX297" s="9">
        <v>0</v>
      </c>
      <c r="BY297" s="9">
        <v>0</v>
      </c>
      <c r="BZ297" s="9">
        <v>0</v>
      </c>
      <c r="CA297" s="9">
        <v>0</v>
      </c>
      <c r="CB297" s="9">
        <v>0</v>
      </c>
      <c r="CC297" s="9">
        <v>0</v>
      </c>
      <c r="CD297" s="9">
        <v>0</v>
      </c>
      <c r="CE297" s="9">
        <v>0</v>
      </c>
      <c r="CF297" s="9">
        <v>0</v>
      </c>
      <c r="CG297" s="9">
        <v>0</v>
      </c>
      <c r="CH297" s="9">
        <v>0</v>
      </c>
      <c r="CI297" s="9">
        <v>0</v>
      </c>
      <c r="CJ297" s="9">
        <v>0</v>
      </c>
      <c r="CK297" s="9">
        <v>0</v>
      </c>
      <c r="CL297" s="9">
        <v>0</v>
      </c>
      <c r="CM297" s="9">
        <v>0</v>
      </c>
      <c r="CN297" s="9">
        <v>0</v>
      </c>
      <c r="CO297" s="9">
        <v>0</v>
      </c>
      <c r="CP297" s="9">
        <v>0</v>
      </c>
      <c r="CQ297" s="9">
        <v>0</v>
      </c>
      <c r="CR297" s="9">
        <v>0</v>
      </c>
      <c r="CS297" s="9">
        <v>0</v>
      </c>
      <c r="CT297" s="9">
        <v>0</v>
      </c>
      <c r="CU297" s="9">
        <v>0</v>
      </c>
      <c r="CV297" s="9">
        <v>0</v>
      </c>
      <c r="CW297" s="9">
        <v>0</v>
      </c>
      <c r="CX297" s="9">
        <v>0</v>
      </c>
      <c r="CY297" s="9">
        <v>0</v>
      </c>
      <c r="CZ297" s="9">
        <v>0</v>
      </c>
      <c r="DA297" s="9">
        <v>0</v>
      </c>
      <c r="DB297" s="9">
        <v>0</v>
      </c>
      <c r="DC297" s="9">
        <v>0</v>
      </c>
      <c r="DD297" s="9">
        <v>0</v>
      </c>
      <c r="DE297" s="9">
        <v>0</v>
      </c>
      <c r="DF297" s="9">
        <v>0</v>
      </c>
      <c r="DG297" s="9">
        <v>0</v>
      </c>
      <c r="DH297" s="9">
        <v>0</v>
      </c>
      <c r="DI297" s="9">
        <v>0</v>
      </c>
      <c r="DJ297" s="9">
        <v>0</v>
      </c>
      <c r="DK297" s="9">
        <v>0</v>
      </c>
      <c r="DL297" s="9">
        <v>0</v>
      </c>
      <c r="DM297" s="9">
        <v>0</v>
      </c>
      <c r="DN297" s="9">
        <v>0</v>
      </c>
      <c r="DO297" s="9">
        <v>0</v>
      </c>
      <c r="DP297" s="9">
        <v>0</v>
      </c>
      <c r="DQ297" s="9">
        <v>0</v>
      </c>
      <c r="DR297" s="9">
        <v>0</v>
      </c>
      <c r="DS297" s="9">
        <v>0</v>
      </c>
      <c r="DT297" s="9">
        <v>0</v>
      </c>
      <c r="DU297" s="9">
        <v>0</v>
      </c>
      <c r="DV297" s="9">
        <v>0</v>
      </c>
      <c r="DW297" s="9">
        <v>0</v>
      </c>
      <c r="DX297" s="9">
        <v>0</v>
      </c>
      <c r="DY297" s="9">
        <v>0</v>
      </c>
      <c r="DZ297" s="9">
        <v>0</v>
      </c>
      <c r="EA297" s="9">
        <v>0</v>
      </c>
      <c r="EB297" s="9">
        <v>0</v>
      </c>
      <c r="EC297" s="9">
        <v>0</v>
      </c>
      <c r="ED297" s="9">
        <v>0</v>
      </c>
      <c r="EE297" s="9">
        <v>0</v>
      </c>
      <c r="EF297" s="9">
        <v>0</v>
      </c>
      <c r="EG297" s="9">
        <v>0</v>
      </c>
      <c r="EH297" s="9">
        <v>0</v>
      </c>
      <c r="EI297" s="9">
        <v>0</v>
      </c>
      <c r="EJ297" s="9">
        <v>0</v>
      </c>
      <c r="EK297" s="9">
        <v>0</v>
      </c>
      <c r="EL297" s="9">
        <v>0</v>
      </c>
      <c r="EM297" s="9">
        <v>0</v>
      </c>
      <c r="EN297" s="9">
        <v>0</v>
      </c>
      <c r="EO297" s="9">
        <v>0</v>
      </c>
      <c r="EP297" s="9">
        <v>0</v>
      </c>
      <c r="EQ297" s="9">
        <v>0</v>
      </c>
      <c r="ER297" s="9">
        <v>0</v>
      </c>
      <c r="ES297" s="9">
        <v>0</v>
      </c>
      <c r="ET297" s="9">
        <v>0</v>
      </c>
      <c r="EU297" s="9">
        <v>0</v>
      </c>
      <c r="EV297" s="9">
        <v>0</v>
      </c>
      <c r="EW297" s="9">
        <v>0</v>
      </c>
      <c r="EX297" s="9">
        <v>0</v>
      </c>
      <c r="EY297" s="9">
        <v>0</v>
      </c>
      <c r="EZ297" s="9">
        <v>0</v>
      </c>
      <c r="FA297" s="9">
        <v>0</v>
      </c>
      <c r="FB297" s="9">
        <v>0</v>
      </c>
      <c r="FC297" s="9">
        <v>0</v>
      </c>
      <c r="FD297" s="9">
        <v>0</v>
      </c>
      <c r="FE297" s="9">
        <v>0</v>
      </c>
      <c r="FF297" s="9">
        <v>0</v>
      </c>
      <c r="FG297" s="9">
        <v>0</v>
      </c>
      <c r="FH297" s="9">
        <v>0</v>
      </c>
      <c r="FI297" s="9">
        <v>0</v>
      </c>
      <c r="FJ297" s="9">
        <v>0</v>
      </c>
      <c r="FK297" s="9">
        <v>0</v>
      </c>
      <c r="FL297" s="9">
        <v>0</v>
      </c>
      <c r="FM297" s="10">
        <v>0</v>
      </c>
    </row>
    <row r="298" spans="1:169" x14ac:dyDescent="0.35">
      <c r="A298" s="8" t="s">
        <v>494</v>
      </c>
      <c r="B298" s="9" t="s">
        <v>25</v>
      </c>
      <c r="C298" s="10" t="s">
        <v>26</v>
      </c>
      <c r="D298" s="62">
        <f t="shared" si="101"/>
        <v>0</v>
      </c>
      <c r="E298" s="9">
        <v>0</v>
      </c>
      <c r="F298" s="9">
        <v>0</v>
      </c>
      <c r="G298" s="9">
        <v>0</v>
      </c>
      <c r="H298" s="9">
        <v>0</v>
      </c>
      <c r="I298" s="9">
        <v>0</v>
      </c>
      <c r="J298" s="9">
        <v>0</v>
      </c>
      <c r="K298" s="9">
        <v>0</v>
      </c>
      <c r="L298" s="9">
        <v>0</v>
      </c>
      <c r="M298" s="9">
        <v>0</v>
      </c>
      <c r="N298" s="9">
        <v>0</v>
      </c>
      <c r="O298" s="9">
        <v>0</v>
      </c>
      <c r="P298" s="9">
        <v>0</v>
      </c>
      <c r="Q298" s="9">
        <v>0</v>
      </c>
      <c r="R298" s="9">
        <v>0</v>
      </c>
      <c r="S298" s="9">
        <v>0</v>
      </c>
      <c r="T298" s="9">
        <v>0</v>
      </c>
      <c r="U298" s="9">
        <v>0</v>
      </c>
      <c r="V298" s="9">
        <v>0</v>
      </c>
      <c r="W298" s="9">
        <v>0</v>
      </c>
      <c r="X298" s="9">
        <v>0</v>
      </c>
      <c r="Y298" s="9">
        <v>0</v>
      </c>
      <c r="Z298" s="9">
        <v>0</v>
      </c>
      <c r="AA298" s="9">
        <v>0</v>
      </c>
      <c r="AB298" s="9">
        <v>0</v>
      </c>
      <c r="AC298" s="9">
        <v>0</v>
      </c>
      <c r="AD298" s="9">
        <v>0</v>
      </c>
      <c r="AE298" s="9">
        <v>0</v>
      </c>
      <c r="AF298" s="9">
        <v>0</v>
      </c>
      <c r="AG298" s="9">
        <v>0</v>
      </c>
      <c r="AH298" s="9">
        <v>0</v>
      </c>
      <c r="AI298" s="9">
        <v>0</v>
      </c>
      <c r="AJ298" s="9">
        <v>0</v>
      </c>
      <c r="AK298" s="9">
        <v>0</v>
      </c>
      <c r="AL298" s="9">
        <v>0</v>
      </c>
      <c r="AM298" s="9">
        <v>0</v>
      </c>
      <c r="AN298" s="9">
        <v>0</v>
      </c>
      <c r="AO298" s="9">
        <v>0</v>
      </c>
      <c r="AP298" s="9">
        <v>0</v>
      </c>
      <c r="AQ298" s="9">
        <v>0</v>
      </c>
      <c r="AR298" s="9">
        <v>0</v>
      </c>
      <c r="AS298" s="9">
        <v>0</v>
      </c>
      <c r="AT298" s="9">
        <v>0</v>
      </c>
      <c r="AU298" s="9">
        <v>0</v>
      </c>
      <c r="AV298" s="9">
        <v>0</v>
      </c>
      <c r="AW298" s="9">
        <v>0</v>
      </c>
      <c r="AX298" s="9">
        <v>0</v>
      </c>
      <c r="AY298" s="9">
        <v>0</v>
      </c>
      <c r="AZ298" s="9">
        <v>0</v>
      </c>
      <c r="BA298" s="9">
        <v>0</v>
      </c>
      <c r="BB298" s="9">
        <v>0</v>
      </c>
      <c r="BC298" s="9">
        <v>0</v>
      </c>
      <c r="BD298" s="9">
        <v>0</v>
      </c>
      <c r="BE298" s="9">
        <v>0</v>
      </c>
      <c r="BF298" s="9">
        <v>0</v>
      </c>
      <c r="BG298" s="9">
        <v>0</v>
      </c>
      <c r="BH298" s="9">
        <v>0</v>
      </c>
      <c r="BI298" s="9">
        <v>0</v>
      </c>
      <c r="BJ298" s="9">
        <v>0</v>
      </c>
      <c r="BK298" s="9">
        <v>0</v>
      </c>
      <c r="BL298" s="9">
        <v>0</v>
      </c>
      <c r="BM298" s="9">
        <v>0</v>
      </c>
      <c r="BN298" s="9">
        <v>0</v>
      </c>
      <c r="BO298" s="9">
        <v>0</v>
      </c>
      <c r="BP298" s="9">
        <v>0</v>
      </c>
      <c r="BQ298" s="9">
        <v>0</v>
      </c>
      <c r="BR298" s="9">
        <v>0</v>
      </c>
      <c r="BS298" s="9">
        <v>0</v>
      </c>
      <c r="BT298" s="9">
        <v>0</v>
      </c>
      <c r="BU298" s="9">
        <v>0</v>
      </c>
      <c r="BV298" s="9">
        <v>0</v>
      </c>
      <c r="BW298" s="9">
        <v>0</v>
      </c>
      <c r="BX298" s="9">
        <v>0</v>
      </c>
      <c r="BY298" s="9">
        <v>0</v>
      </c>
      <c r="BZ298" s="9">
        <v>0</v>
      </c>
      <c r="CA298" s="9">
        <v>0</v>
      </c>
      <c r="CB298" s="9">
        <v>0</v>
      </c>
      <c r="CC298" s="9">
        <v>0</v>
      </c>
      <c r="CD298" s="9">
        <v>0</v>
      </c>
      <c r="CE298" s="9">
        <v>0</v>
      </c>
      <c r="CF298" s="9">
        <v>0</v>
      </c>
      <c r="CG298" s="9">
        <v>0</v>
      </c>
      <c r="CH298" s="9">
        <v>0</v>
      </c>
      <c r="CI298" s="9">
        <v>0</v>
      </c>
      <c r="CJ298" s="9">
        <v>0</v>
      </c>
      <c r="CK298" s="9">
        <v>0</v>
      </c>
      <c r="CL298" s="9">
        <v>0</v>
      </c>
      <c r="CM298" s="9">
        <v>0</v>
      </c>
      <c r="CN298" s="9">
        <v>0</v>
      </c>
      <c r="CO298" s="9">
        <v>0</v>
      </c>
      <c r="CP298" s="9">
        <v>0</v>
      </c>
      <c r="CQ298" s="9">
        <v>0</v>
      </c>
      <c r="CR298" s="9">
        <v>0</v>
      </c>
      <c r="CS298" s="9">
        <v>0</v>
      </c>
      <c r="CT298" s="9">
        <v>0</v>
      </c>
      <c r="CU298" s="9">
        <v>0</v>
      </c>
      <c r="CV298" s="9">
        <v>0</v>
      </c>
      <c r="CW298" s="9">
        <v>0</v>
      </c>
      <c r="CX298" s="9">
        <v>0</v>
      </c>
      <c r="CY298" s="9">
        <v>0</v>
      </c>
      <c r="CZ298" s="9">
        <v>0</v>
      </c>
      <c r="DA298" s="9">
        <v>0</v>
      </c>
      <c r="DB298" s="9">
        <v>0</v>
      </c>
      <c r="DC298" s="9">
        <v>0</v>
      </c>
      <c r="DD298" s="9">
        <v>0</v>
      </c>
      <c r="DE298" s="9">
        <v>0</v>
      </c>
      <c r="DF298" s="9">
        <v>0</v>
      </c>
      <c r="DG298" s="9">
        <v>0</v>
      </c>
      <c r="DH298" s="9">
        <v>0</v>
      </c>
      <c r="DI298" s="9">
        <v>0</v>
      </c>
      <c r="DJ298" s="9">
        <v>0</v>
      </c>
      <c r="DK298" s="9">
        <v>0</v>
      </c>
      <c r="DL298" s="9">
        <v>0</v>
      </c>
      <c r="DM298" s="9">
        <v>0</v>
      </c>
      <c r="DN298" s="9">
        <v>0</v>
      </c>
      <c r="DO298" s="9">
        <v>0</v>
      </c>
      <c r="DP298" s="9">
        <v>0</v>
      </c>
      <c r="DQ298" s="9">
        <v>0</v>
      </c>
      <c r="DR298" s="9">
        <v>0</v>
      </c>
      <c r="DS298" s="9">
        <v>0</v>
      </c>
      <c r="DT298" s="9">
        <v>0</v>
      </c>
      <c r="DU298" s="9">
        <v>0</v>
      </c>
      <c r="DV298" s="9">
        <v>0</v>
      </c>
      <c r="DW298" s="9">
        <v>0</v>
      </c>
      <c r="DX298" s="9">
        <v>0</v>
      </c>
      <c r="DY298" s="9">
        <v>0</v>
      </c>
      <c r="DZ298" s="9">
        <v>0</v>
      </c>
      <c r="EA298" s="9">
        <v>0</v>
      </c>
      <c r="EB298" s="9">
        <v>0</v>
      </c>
      <c r="EC298" s="9">
        <v>0</v>
      </c>
      <c r="ED298" s="9">
        <v>0</v>
      </c>
      <c r="EE298" s="9">
        <v>0</v>
      </c>
      <c r="EF298" s="9">
        <v>0</v>
      </c>
      <c r="EG298" s="9">
        <v>0</v>
      </c>
      <c r="EH298" s="9">
        <v>0</v>
      </c>
      <c r="EI298" s="9">
        <v>0</v>
      </c>
      <c r="EJ298" s="9">
        <v>0</v>
      </c>
      <c r="EK298" s="9">
        <v>0</v>
      </c>
      <c r="EL298" s="9">
        <v>0</v>
      </c>
      <c r="EM298" s="9">
        <v>0</v>
      </c>
      <c r="EN298" s="9">
        <v>0</v>
      </c>
      <c r="EO298" s="9">
        <v>0</v>
      </c>
      <c r="EP298" s="9">
        <v>0</v>
      </c>
      <c r="EQ298" s="9">
        <v>0</v>
      </c>
      <c r="ER298" s="9">
        <v>0</v>
      </c>
      <c r="ES298" s="9">
        <v>0</v>
      </c>
      <c r="ET298" s="9">
        <v>0</v>
      </c>
      <c r="EU298" s="9">
        <v>0</v>
      </c>
      <c r="EV298" s="9">
        <v>0</v>
      </c>
      <c r="EW298" s="9">
        <v>0</v>
      </c>
      <c r="EX298" s="9">
        <v>0</v>
      </c>
      <c r="EY298" s="9">
        <v>0</v>
      </c>
      <c r="EZ298" s="9">
        <v>0</v>
      </c>
      <c r="FA298" s="9">
        <v>0</v>
      </c>
      <c r="FB298" s="9">
        <v>0</v>
      </c>
      <c r="FC298" s="9">
        <v>0</v>
      </c>
      <c r="FD298" s="9">
        <v>0</v>
      </c>
      <c r="FE298" s="9">
        <v>0</v>
      </c>
      <c r="FF298" s="9">
        <v>0</v>
      </c>
      <c r="FG298" s="9">
        <v>0</v>
      </c>
      <c r="FH298" s="9">
        <v>0</v>
      </c>
      <c r="FI298" s="9">
        <v>0</v>
      </c>
      <c r="FJ298" s="9">
        <v>0</v>
      </c>
      <c r="FK298" s="9">
        <v>0</v>
      </c>
      <c r="FL298" s="9">
        <v>0</v>
      </c>
      <c r="FM298" s="10">
        <v>0</v>
      </c>
    </row>
    <row r="299" spans="1:169" x14ac:dyDescent="0.35">
      <c r="A299" s="8" t="s">
        <v>494</v>
      </c>
      <c r="B299" s="9" t="s">
        <v>503</v>
      </c>
      <c r="C299" s="10" t="s">
        <v>504</v>
      </c>
      <c r="D299" s="62">
        <f t="shared" si="101"/>
        <v>18</v>
      </c>
      <c r="E299" s="9">
        <v>0</v>
      </c>
      <c r="F299" s="9">
        <v>1</v>
      </c>
      <c r="G299" s="9">
        <v>2</v>
      </c>
      <c r="H299" s="9">
        <v>3</v>
      </c>
      <c r="I299" s="9">
        <v>3</v>
      </c>
      <c r="J299" s="9">
        <v>3</v>
      </c>
      <c r="K299" s="9">
        <v>6</v>
      </c>
      <c r="L299" s="9">
        <v>6</v>
      </c>
      <c r="M299" s="9">
        <v>6</v>
      </c>
      <c r="N299" s="9">
        <v>9</v>
      </c>
      <c r="O299" s="9">
        <v>13</v>
      </c>
      <c r="P299" s="9">
        <v>13</v>
      </c>
      <c r="Q299" s="9">
        <v>16</v>
      </c>
      <c r="R299" s="9">
        <v>15</v>
      </c>
      <c r="S299" s="9">
        <v>13</v>
      </c>
      <c r="T299" s="9">
        <v>16</v>
      </c>
      <c r="U299" s="9">
        <v>16</v>
      </c>
      <c r="V299" s="9">
        <v>17</v>
      </c>
      <c r="W299" s="9">
        <v>14</v>
      </c>
      <c r="X299" s="9">
        <v>17</v>
      </c>
      <c r="Y299" s="9">
        <v>18</v>
      </c>
      <c r="Z299" s="9">
        <v>15</v>
      </c>
      <c r="AA299" s="9">
        <v>14</v>
      </c>
      <c r="AB299" s="9">
        <v>14</v>
      </c>
      <c r="AC299" s="9">
        <v>11</v>
      </c>
      <c r="AD299" s="9">
        <v>8</v>
      </c>
      <c r="AE299" s="9">
        <v>7</v>
      </c>
      <c r="AF299" s="9">
        <v>9</v>
      </c>
      <c r="AG299" s="9">
        <v>10</v>
      </c>
      <c r="AH299" s="9">
        <v>11</v>
      </c>
      <c r="AI299" s="9">
        <v>13</v>
      </c>
      <c r="AJ299" s="9">
        <v>13</v>
      </c>
      <c r="AK299" s="9">
        <v>14</v>
      </c>
      <c r="AL299" s="9">
        <v>14</v>
      </c>
      <c r="AM299" s="9">
        <v>15</v>
      </c>
      <c r="AN299" s="9">
        <v>14</v>
      </c>
      <c r="AO299" s="9">
        <v>13</v>
      </c>
      <c r="AP299" s="9">
        <v>12</v>
      </c>
      <c r="AQ299" s="9">
        <v>13</v>
      </c>
      <c r="AR299" s="9">
        <v>8</v>
      </c>
      <c r="AS299" s="9">
        <v>7</v>
      </c>
      <c r="AT299" s="9">
        <v>8</v>
      </c>
      <c r="AU299" s="9">
        <v>7</v>
      </c>
      <c r="AV299" s="9">
        <v>6</v>
      </c>
      <c r="AW299" s="9">
        <v>6</v>
      </c>
      <c r="AX299" s="9">
        <v>6</v>
      </c>
      <c r="AY299" s="9">
        <v>6</v>
      </c>
      <c r="AZ299" s="9">
        <v>6</v>
      </c>
      <c r="BA299" s="9">
        <v>6</v>
      </c>
      <c r="BB299" s="9">
        <v>5</v>
      </c>
      <c r="BC299" s="9">
        <v>7</v>
      </c>
      <c r="BD299" s="9">
        <v>16</v>
      </c>
      <c r="BE299" s="9">
        <v>10</v>
      </c>
      <c r="BF299" s="9">
        <v>10</v>
      </c>
      <c r="BG299" s="9">
        <v>9</v>
      </c>
      <c r="BH299" s="9">
        <v>8</v>
      </c>
      <c r="BI299" s="9">
        <v>8</v>
      </c>
      <c r="BJ299" s="9">
        <v>8</v>
      </c>
      <c r="BK299" s="9">
        <v>8</v>
      </c>
      <c r="BL299" s="9">
        <v>8</v>
      </c>
      <c r="BM299" s="9">
        <v>7</v>
      </c>
      <c r="BN299" s="9">
        <v>9</v>
      </c>
      <c r="BO299" s="9">
        <v>7</v>
      </c>
      <c r="BP299" s="9">
        <v>8</v>
      </c>
      <c r="BQ299" s="9">
        <v>9</v>
      </c>
      <c r="BR299" s="9">
        <v>10</v>
      </c>
      <c r="BS299" s="9">
        <v>10</v>
      </c>
      <c r="BT299" s="9">
        <v>10</v>
      </c>
      <c r="BU299" s="9">
        <v>9</v>
      </c>
      <c r="BV299" s="9">
        <v>9</v>
      </c>
      <c r="BW299" s="9">
        <v>7</v>
      </c>
      <c r="BX299" s="9">
        <v>7</v>
      </c>
      <c r="BY299" s="9">
        <v>7</v>
      </c>
      <c r="BZ299" s="9">
        <v>8</v>
      </c>
      <c r="CA299" s="9">
        <v>5</v>
      </c>
      <c r="CB299" s="9">
        <v>4</v>
      </c>
      <c r="CC299" s="9">
        <v>4</v>
      </c>
      <c r="CD299" s="9">
        <v>4</v>
      </c>
      <c r="CE299" s="9">
        <v>3</v>
      </c>
      <c r="CF299" s="9">
        <v>3</v>
      </c>
      <c r="CG299" s="9">
        <v>3</v>
      </c>
      <c r="CH299" s="9">
        <v>4</v>
      </c>
      <c r="CI299" s="9">
        <v>4</v>
      </c>
      <c r="CJ299" s="9">
        <v>4</v>
      </c>
      <c r="CK299" s="9">
        <v>4</v>
      </c>
      <c r="CL299" s="9">
        <v>3</v>
      </c>
      <c r="CM299" s="9">
        <v>3</v>
      </c>
      <c r="CN299" s="9">
        <v>3</v>
      </c>
      <c r="CO299" s="9">
        <v>3</v>
      </c>
      <c r="CP299" s="9">
        <v>3</v>
      </c>
      <c r="CQ299" s="9">
        <v>3</v>
      </c>
      <c r="CR299" s="9">
        <v>3</v>
      </c>
      <c r="CS299" s="9">
        <v>3</v>
      </c>
      <c r="CT299" s="9">
        <v>3</v>
      </c>
      <c r="CU299" s="9">
        <v>3</v>
      </c>
      <c r="CV299" s="9">
        <v>3</v>
      </c>
      <c r="CW299" s="9">
        <v>3</v>
      </c>
      <c r="CX299" s="9">
        <v>3</v>
      </c>
      <c r="CY299" s="9">
        <v>3</v>
      </c>
      <c r="CZ299" s="9">
        <v>0</v>
      </c>
      <c r="DA299" s="9">
        <v>0</v>
      </c>
      <c r="DB299" s="9">
        <v>0</v>
      </c>
      <c r="DC299" s="9">
        <v>0</v>
      </c>
      <c r="DD299" s="9">
        <v>0</v>
      </c>
      <c r="DE299" s="9">
        <v>0</v>
      </c>
      <c r="DF299" s="9">
        <v>0</v>
      </c>
      <c r="DG299" s="9">
        <v>0</v>
      </c>
      <c r="DH299" s="9">
        <v>0</v>
      </c>
      <c r="DI299" s="9">
        <v>0</v>
      </c>
      <c r="DJ299" s="9">
        <v>0</v>
      </c>
      <c r="DK299" s="9">
        <v>0</v>
      </c>
      <c r="DL299" s="9">
        <v>0</v>
      </c>
      <c r="DM299" s="9">
        <v>0</v>
      </c>
      <c r="DN299" s="9">
        <v>0</v>
      </c>
      <c r="DO299" s="9">
        <v>0</v>
      </c>
      <c r="DP299" s="9">
        <v>0</v>
      </c>
      <c r="DQ299" s="9">
        <v>0</v>
      </c>
      <c r="DR299" s="9">
        <v>0</v>
      </c>
      <c r="DS299" s="9">
        <v>0</v>
      </c>
      <c r="DT299" s="9">
        <v>0</v>
      </c>
      <c r="DU299" s="9">
        <v>0</v>
      </c>
      <c r="DV299" s="9">
        <v>0</v>
      </c>
      <c r="DW299" s="9">
        <v>0</v>
      </c>
      <c r="DX299" s="9">
        <v>1</v>
      </c>
      <c r="DY299" s="9">
        <v>0</v>
      </c>
      <c r="DZ299" s="9">
        <v>0</v>
      </c>
      <c r="EA299" s="9">
        <v>0</v>
      </c>
      <c r="EB299" s="9">
        <v>0</v>
      </c>
      <c r="EC299" s="9">
        <v>0</v>
      </c>
      <c r="ED299" s="9">
        <v>0</v>
      </c>
      <c r="EE299" s="9">
        <v>0</v>
      </c>
      <c r="EF299" s="9">
        <v>0</v>
      </c>
      <c r="EG299" s="9">
        <v>0</v>
      </c>
      <c r="EH299" s="9">
        <v>0</v>
      </c>
      <c r="EI299" s="9">
        <v>0</v>
      </c>
      <c r="EJ299" s="9">
        <v>0</v>
      </c>
      <c r="EK299" s="9">
        <v>0</v>
      </c>
      <c r="EL299" s="9">
        <v>0</v>
      </c>
      <c r="EM299" s="9">
        <v>0</v>
      </c>
      <c r="EN299" s="9">
        <v>0</v>
      </c>
      <c r="EO299" s="9">
        <v>0</v>
      </c>
      <c r="EP299" s="9">
        <v>0</v>
      </c>
      <c r="EQ299" s="9">
        <v>0</v>
      </c>
      <c r="ER299" s="9">
        <v>0</v>
      </c>
      <c r="ES299" s="9">
        <v>0</v>
      </c>
      <c r="ET299" s="9">
        <v>0</v>
      </c>
      <c r="EU299" s="9">
        <v>0</v>
      </c>
      <c r="EV299" s="9">
        <v>0</v>
      </c>
      <c r="EW299" s="9">
        <v>0</v>
      </c>
      <c r="EX299" s="9">
        <v>0</v>
      </c>
      <c r="EY299" s="9">
        <v>0</v>
      </c>
      <c r="EZ299" s="9">
        <v>0</v>
      </c>
      <c r="FA299" s="9">
        <v>0</v>
      </c>
      <c r="FB299" s="9">
        <v>0</v>
      </c>
      <c r="FC299" s="9">
        <v>0</v>
      </c>
      <c r="FD299" s="9">
        <v>0</v>
      </c>
      <c r="FE299" s="9">
        <v>0</v>
      </c>
      <c r="FF299" s="9">
        <v>0</v>
      </c>
      <c r="FG299" s="9">
        <v>0</v>
      </c>
      <c r="FH299" s="9">
        <v>0</v>
      </c>
      <c r="FI299" s="9">
        <v>0</v>
      </c>
      <c r="FJ299" s="9">
        <v>0</v>
      </c>
      <c r="FK299" s="9">
        <v>0</v>
      </c>
      <c r="FL299" s="9">
        <v>0</v>
      </c>
      <c r="FM299" s="10">
        <v>0</v>
      </c>
    </row>
    <row r="300" spans="1:169" x14ac:dyDescent="0.35">
      <c r="A300" s="8" t="s">
        <v>494</v>
      </c>
      <c r="B300" s="9" t="s">
        <v>505</v>
      </c>
      <c r="C300" s="10" t="s">
        <v>506</v>
      </c>
      <c r="D300" s="62">
        <f t="shared" si="101"/>
        <v>93</v>
      </c>
      <c r="E300" s="9">
        <v>3</v>
      </c>
      <c r="F300" s="9">
        <v>5</v>
      </c>
      <c r="G300" s="9">
        <v>11</v>
      </c>
      <c r="H300" s="9">
        <v>12</v>
      </c>
      <c r="I300" s="9">
        <v>12</v>
      </c>
      <c r="J300" s="9">
        <v>15</v>
      </c>
      <c r="K300" s="9">
        <v>15</v>
      </c>
      <c r="L300" s="9">
        <v>27</v>
      </c>
      <c r="M300" s="9">
        <v>27</v>
      </c>
      <c r="N300" s="9">
        <v>35</v>
      </c>
      <c r="O300" s="9">
        <v>40</v>
      </c>
      <c r="P300" s="9">
        <v>43</v>
      </c>
      <c r="Q300" s="9">
        <v>56</v>
      </c>
      <c r="R300" s="9">
        <v>68</v>
      </c>
      <c r="S300" s="9">
        <v>76</v>
      </c>
      <c r="T300" s="9">
        <v>81</v>
      </c>
      <c r="U300" s="9">
        <v>77</v>
      </c>
      <c r="V300" s="9">
        <v>87</v>
      </c>
      <c r="W300" s="9">
        <v>89</v>
      </c>
      <c r="X300" s="9">
        <v>93</v>
      </c>
      <c r="Y300" s="9">
        <v>88</v>
      </c>
      <c r="Z300" s="9">
        <v>82</v>
      </c>
      <c r="AA300" s="9">
        <v>82</v>
      </c>
      <c r="AB300" s="9">
        <v>81</v>
      </c>
      <c r="AC300" s="9">
        <v>86</v>
      </c>
      <c r="AD300" s="9">
        <v>82</v>
      </c>
      <c r="AE300" s="9">
        <v>81</v>
      </c>
      <c r="AF300" s="9">
        <v>80</v>
      </c>
      <c r="AG300" s="9">
        <v>91</v>
      </c>
      <c r="AH300" s="9">
        <v>89</v>
      </c>
      <c r="AI300" s="9">
        <v>88</v>
      </c>
      <c r="AJ300" s="9">
        <v>85</v>
      </c>
      <c r="AK300" s="9">
        <v>79</v>
      </c>
      <c r="AL300" s="9">
        <v>76</v>
      </c>
      <c r="AM300" s="9">
        <v>74</v>
      </c>
      <c r="AN300" s="9">
        <v>71</v>
      </c>
      <c r="AO300" s="9">
        <v>67</v>
      </c>
      <c r="AP300" s="9">
        <v>69</v>
      </c>
      <c r="AQ300" s="9">
        <v>47</v>
      </c>
      <c r="AR300" s="9">
        <v>60</v>
      </c>
      <c r="AS300" s="9">
        <v>59</v>
      </c>
      <c r="AT300" s="9">
        <v>57</v>
      </c>
      <c r="AU300" s="9">
        <v>60</v>
      </c>
      <c r="AV300" s="9">
        <v>62</v>
      </c>
      <c r="AW300" s="9">
        <v>85</v>
      </c>
      <c r="AX300" s="9">
        <v>64</v>
      </c>
      <c r="AY300" s="9">
        <v>66</v>
      </c>
      <c r="AZ300" s="9">
        <v>62</v>
      </c>
      <c r="BA300" s="9">
        <v>61</v>
      </c>
      <c r="BB300" s="9">
        <v>37</v>
      </c>
      <c r="BC300" s="9">
        <v>65</v>
      </c>
      <c r="BD300" s="9">
        <v>68</v>
      </c>
      <c r="BE300" s="9">
        <v>78</v>
      </c>
      <c r="BF300" s="9">
        <v>74</v>
      </c>
      <c r="BG300" s="9">
        <v>74</v>
      </c>
      <c r="BH300" s="9">
        <v>73</v>
      </c>
      <c r="BI300" s="9">
        <v>72</v>
      </c>
      <c r="BJ300" s="9">
        <v>72</v>
      </c>
      <c r="BK300" s="9">
        <v>75</v>
      </c>
      <c r="BL300" s="9">
        <v>77</v>
      </c>
      <c r="BM300" s="9">
        <v>75</v>
      </c>
      <c r="BN300" s="9">
        <v>76</v>
      </c>
      <c r="BO300" s="9">
        <v>80</v>
      </c>
      <c r="BP300" s="9">
        <v>84</v>
      </c>
      <c r="BQ300" s="9">
        <v>84</v>
      </c>
      <c r="BR300" s="9">
        <v>79</v>
      </c>
      <c r="BS300" s="9">
        <v>76</v>
      </c>
      <c r="BT300" s="9">
        <v>75</v>
      </c>
      <c r="BU300" s="9">
        <v>69</v>
      </c>
      <c r="BV300" s="9">
        <v>70</v>
      </c>
      <c r="BW300" s="9">
        <v>67</v>
      </c>
      <c r="BX300" s="9">
        <v>62</v>
      </c>
      <c r="BY300" s="9">
        <v>61</v>
      </c>
      <c r="BZ300" s="9">
        <v>56</v>
      </c>
      <c r="CA300" s="9">
        <v>56</v>
      </c>
      <c r="CB300" s="9">
        <v>63</v>
      </c>
      <c r="CC300" s="9">
        <v>60</v>
      </c>
      <c r="CD300" s="9">
        <v>60</v>
      </c>
      <c r="CE300" s="9">
        <v>63</v>
      </c>
      <c r="CF300" s="9">
        <v>60</v>
      </c>
      <c r="CG300" s="9">
        <v>55</v>
      </c>
      <c r="CH300" s="9">
        <v>50</v>
      </c>
      <c r="CI300" s="9">
        <v>42</v>
      </c>
      <c r="CJ300" s="9">
        <v>36</v>
      </c>
      <c r="CK300" s="9">
        <v>36</v>
      </c>
      <c r="CL300" s="9">
        <v>34</v>
      </c>
      <c r="CM300" s="9">
        <v>35</v>
      </c>
      <c r="CN300" s="9">
        <v>35</v>
      </c>
      <c r="CO300" s="9">
        <v>31</v>
      </c>
      <c r="CP300" s="9">
        <v>28</v>
      </c>
      <c r="CQ300" s="9">
        <v>23</v>
      </c>
      <c r="CR300" s="9">
        <v>21</v>
      </c>
      <c r="CS300" s="9">
        <v>21</v>
      </c>
      <c r="CT300" s="9">
        <v>21</v>
      </c>
      <c r="CU300" s="9">
        <v>19</v>
      </c>
      <c r="CV300" s="9">
        <v>16</v>
      </c>
      <c r="CW300" s="9">
        <v>15</v>
      </c>
      <c r="CX300" s="9">
        <v>15</v>
      </c>
      <c r="CY300" s="9">
        <v>17</v>
      </c>
      <c r="CZ300" s="9">
        <v>8</v>
      </c>
      <c r="DA300" s="9">
        <v>15</v>
      </c>
      <c r="DB300" s="9">
        <v>13</v>
      </c>
      <c r="DC300" s="9">
        <v>13</v>
      </c>
      <c r="DD300" s="9">
        <v>13</v>
      </c>
      <c r="DE300" s="9">
        <v>11</v>
      </c>
      <c r="DF300" s="9">
        <v>10</v>
      </c>
      <c r="DG300" s="9">
        <v>12</v>
      </c>
      <c r="DH300" s="9">
        <v>13</v>
      </c>
      <c r="DI300" s="9">
        <v>12</v>
      </c>
      <c r="DJ300" s="9">
        <v>11</v>
      </c>
      <c r="DK300" s="9">
        <v>7</v>
      </c>
      <c r="DL300" s="9">
        <v>12</v>
      </c>
      <c r="DM300" s="9">
        <v>7</v>
      </c>
      <c r="DN300" s="9">
        <v>7</v>
      </c>
      <c r="DO300" s="9">
        <v>5</v>
      </c>
      <c r="DP300" s="9">
        <v>6</v>
      </c>
      <c r="DQ300" s="9">
        <v>5</v>
      </c>
      <c r="DR300" s="9">
        <v>5</v>
      </c>
      <c r="DS300" s="9">
        <v>4</v>
      </c>
      <c r="DT300" s="9">
        <v>4</v>
      </c>
      <c r="DU300" s="9">
        <v>11</v>
      </c>
      <c r="DV300" s="9">
        <v>7</v>
      </c>
      <c r="DW300" s="9">
        <v>7</v>
      </c>
      <c r="DX300" s="9">
        <v>7</v>
      </c>
      <c r="DY300" s="9">
        <v>6</v>
      </c>
      <c r="DZ300" s="9">
        <v>6</v>
      </c>
      <c r="EA300" s="9">
        <v>5</v>
      </c>
      <c r="EB300" s="9">
        <v>6</v>
      </c>
      <c r="EC300" s="9">
        <v>6</v>
      </c>
      <c r="ED300" s="9">
        <v>6</v>
      </c>
      <c r="EE300" s="9">
        <v>6</v>
      </c>
      <c r="EF300" s="9">
        <v>5</v>
      </c>
      <c r="EG300" s="9">
        <v>5</v>
      </c>
      <c r="EH300" s="9">
        <v>6</v>
      </c>
      <c r="EI300" s="9">
        <v>6</v>
      </c>
      <c r="EJ300" s="9">
        <v>6</v>
      </c>
      <c r="EK300" s="9">
        <v>6</v>
      </c>
      <c r="EL300" s="9">
        <v>6</v>
      </c>
      <c r="EM300" s="9">
        <v>7</v>
      </c>
      <c r="EN300" s="9">
        <v>6</v>
      </c>
      <c r="EO300" s="9">
        <v>7</v>
      </c>
      <c r="EP300" s="9">
        <v>8</v>
      </c>
      <c r="EQ300" s="9">
        <v>8</v>
      </c>
      <c r="ER300" s="9">
        <v>8</v>
      </c>
      <c r="ES300" s="9">
        <v>7</v>
      </c>
      <c r="ET300" s="9">
        <v>7</v>
      </c>
      <c r="EU300" s="9">
        <v>4</v>
      </c>
      <c r="EV300" s="9">
        <v>4</v>
      </c>
      <c r="EW300" s="9">
        <v>4</v>
      </c>
      <c r="EX300" s="9">
        <v>7</v>
      </c>
      <c r="EY300" s="9">
        <v>6</v>
      </c>
      <c r="EZ300" s="9">
        <v>6</v>
      </c>
      <c r="FA300" s="9">
        <v>6</v>
      </c>
      <c r="FB300" s="9">
        <v>5</v>
      </c>
      <c r="FC300" s="9">
        <v>5</v>
      </c>
      <c r="FD300" s="9">
        <v>7</v>
      </c>
      <c r="FE300" s="9">
        <v>6</v>
      </c>
      <c r="FF300" s="9">
        <v>6</v>
      </c>
      <c r="FG300" s="9">
        <v>6</v>
      </c>
      <c r="FH300" s="9">
        <v>7</v>
      </c>
      <c r="FI300" s="9">
        <v>7</v>
      </c>
      <c r="FJ300" s="9">
        <v>7</v>
      </c>
      <c r="FK300" s="9">
        <v>6</v>
      </c>
      <c r="FL300" s="9">
        <v>5</v>
      </c>
      <c r="FM300" s="10">
        <v>6</v>
      </c>
    </row>
    <row r="301" spans="1:169" x14ac:dyDescent="0.35">
      <c r="A301" s="8" t="s">
        <v>494</v>
      </c>
      <c r="B301" s="9" t="s">
        <v>507</v>
      </c>
      <c r="C301" s="10" t="s">
        <v>508</v>
      </c>
      <c r="D301" s="62">
        <f t="shared" si="101"/>
        <v>30</v>
      </c>
      <c r="E301" s="9">
        <v>7</v>
      </c>
      <c r="F301" s="9">
        <v>10</v>
      </c>
      <c r="G301" s="9">
        <v>12</v>
      </c>
      <c r="H301" s="9">
        <v>14</v>
      </c>
      <c r="I301" s="9">
        <v>15</v>
      </c>
      <c r="J301" s="9">
        <v>16</v>
      </c>
      <c r="K301" s="9">
        <v>15</v>
      </c>
      <c r="L301" s="9">
        <v>16</v>
      </c>
      <c r="M301" s="9">
        <v>23</v>
      </c>
      <c r="N301" s="9">
        <v>28</v>
      </c>
      <c r="O301" s="9">
        <v>30</v>
      </c>
      <c r="P301" s="9">
        <v>23</v>
      </c>
      <c r="Q301" s="9">
        <v>21</v>
      </c>
      <c r="R301" s="9">
        <v>22</v>
      </c>
      <c r="S301" s="9">
        <v>24</v>
      </c>
      <c r="T301" s="9">
        <v>21</v>
      </c>
      <c r="U301" s="9">
        <v>21</v>
      </c>
      <c r="V301" s="9">
        <v>20</v>
      </c>
      <c r="W301" s="9">
        <v>19</v>
      </c>
      <c r="X301" s="9">
        <v>21</v>
      </c>
      <c r="Y301" s="9">
        <v>20</v>
      </c>
      <c r="Z301" s="9">
        <v>28</v>
      </c>
      <c r="AA301" s="9">
        <v>22</v>
      </c>
      <c r="AB301" s="9">
        <v>23</v>
      </c>
      <c r="AC301" s="9">
        <v>25</v>
      </c>
      <c r="AD301" s="9">
        <v>24</v>
      </c>
      <c r="AE301" s="9">
        <v>23</v>
      </c>
      <c r="AF301" s="9">
        <v>25</v>
      </c>
      <c r="AG301" s="9">
        <v>23</v>
      </c>
      <c r="AH301" s="9">
        <v>22</v>
      </c>
      <c r="AI301" s="9">
        <v>21</v>
      </c>
      <c r="AJ301" s="9">
        <v>20</v>
      </c>
      <c r="AK301" s="9">
        <v>18</v>
      </c>
      <c r="AL301" s="9">
        <v>17</v>
      </c>
      <c r="AM301" s="9">
        <v>15</v>
      </c>
      <c r="AN301" s="9">
        <v>16</v>
      </c>
      <c r="AO301" s="9">
        <v>16</v>
      </c>
      <c r="AP301" s="9">
        <v>16</v>
      </c>
      <c r="AQ301" s="9">
        <v>16</v>
      </c>
      <c r="AR301" s="9">
        <v>15</v>
      </c>
      <c r="AS301" s="9">
        <v>12</v>
      </c>
      <c r="AT301" s="9">
        <v>10</v>
      </c>
      <c r="AU301" s="9">
        <v>10</v>
      </c>
      <c r="AV301" s="9">
        <v>11</v>
      </c>
      <c r="AW301" s="9">
        <v>11</v>
      </c>
      <c r="AX301" s="9">
        <v>12</v>
      </c>
      <c r="AY301" s="9">
        <v>10</v>
      </c>
      <c r="AZ301" s="9">
        <v>10</v>
      </c>
      <c r="BA301" s="9">
        <v>9</v>
      </c>
      <c r="BB301" s="9">
        <v>9</v>
      </c>
      <c r="BC301" s="9">
        <v>6</v>
      </c>
      <c r="BD301" s="9">
        <v>4</v>
      </c>
      <c r="BE301" s="9">
        <v>4</v>
      </c>
      <c r="BF301" s="9">
        <v>3</v>
      </c>
      <c r="BG301" s="9">
        <v>2</v>
      </c>
      <c r="BH301" s="9">
        <v>2</v>
      </c>
      <c r="BI301" s="9">
        <v>2</v>
      </c>
      <c r="BJ301" s="9">
        <v>3</v>
      </c>
      <c r="BK301" s="9">
        <v>4</v>
      </c>
      <c r="BL301" s="9">
        <v>4</v>
      </c>
      <c r="BM301" s="9">
        <v>4</v>
      </c>
      <c r="BN301" s="9">
        <v>4</v>
      </c>
      <c r="BO301" s="9">
        <v>4</v>
      </c>
      <c r="BP301" s="9">
        <v>4</v>
      </c>
      <c r="BQ301" s="9">
        <v>3</v>
      </c>
      <c r="BR301" s="9">
        <v>3</v>
      </c>
      <c r="BS301" s="9">
        <v>3</v>
      </c>
      <c r="BT301" s="9">
        <v>4</v>
      </c>
      <c r="BU301" s="9">
        <v>4</v>
      </c>
      <c r="BV301" s="9">
        <v>2</v>
      </c>
      <c r="BW301" s="9">
        <v>2</v>
      </c>
      <c r="BX301" s="9">
        <v>0</v>
      </c>
      <c r="BY301" s="9">
        <v>1</v>
      </c>
      <c r="BZ301" s="9">
        <v>1</v>
      </c>
      <c r="CA301" s="9">
        <v>1</v>
      </c>
      <c r="CB301" s="9">
        <v>1</v>
      </c>
      <c r="CC301" s="9">
        <v>1</v>
      </c>
      <c r="CD301" s="9">
        <v>1</v>
      </c>
      <c r="CE301" s="9">
        <v>1</v>
      </c>
      <c r="CF301" s="9">
        <v>1</v>
      </c>
      <c r="CG301" s="9">
        <v>0</v>
      </c>
      <c r="CH301" s="9">
        <v>0</v>
      </c>
      <c r="CI301" s="9">
        <v>0</v>
      </c>
      <c r="CJ301" s="9">
        <v>0</v>
      </c>
      <c r="CK301" s="9">
        <v>0</v>
      </c>
      <c r="CL301" s="9">
        <v>0</v>
      </c>
      <c r="CM301" s="9">
        <v>0</v>
      </c>
      <c r="CN301" s="9">
        <v>0</v>
      </c>
      <c r="CO301" s="9">
        <v>0</v>
      </c>
      <c r="CP301" s="9">
        <v>0</v>
      </c>
      <c r="CQ301" s="9">
        <v>0</v>
      </c>
      <c r="CR301" s="9">
        <v>0</v>
      </c>
      <c r="CS301" s="9">
        <v>0</v>
      </c>
      <c r="CT301" s="9">
        <v>0</v>
      </c>
      <c r="CU301" s="9">
        <v>0</v>
      </c>
      <c r="CV301" s="9">
        <v>0</v>
      </c>
      <c r="CW301" s="9">
        <v>0</v>
      </c>
      <c r="CX301" s="9">
        <v>0</v>
      </c>
      <c r="CY301" s="9">
        <v>0</v>
      </c>
      <c r="CZ301" s="9">
        <v>0</v>
      </c>
      <c r="DA301" s="9">
        <v>0</v>
      </c>
      <c r="DB301" s="9">
        <v>0</v>
      </c>
      <c r="DC301" s="9">
        <v>0</v>
      </c>
      <c r="DD301" s="9">
        <v>0</v>
      </c>
      <c r="DE301" s="9">
        <v>0</v>
      </c>
      <c r="DF301" s="9">
        <v>0</v>
      </c>
      <c r="DG301" s="9">
        <v>0</v>
      </c>
      <c r="DH301" s="9">
        <v>0</v>
      </c>
      <c r="DI301" s="9">
        <v>0</v>
      </c>
      <c r="DJ301" s="9">
        <v>0</v>
      </c>
      <c r="DK301" s="9">
        <v>0</v>
      </c>
      <c r="DL301" s="9">
        <v>0</v>
      </c>
      <c r="DM301" s="9">
        <v>0</v>
      </c>
      <c r="DN301" s="9">
        <v>0</v>
      </c>
      <c r="DO301" s="9">
        <v>0</v>
      </c>
      <c r="DP301" s="9">
        <v>0</v>
      </c>
      <c r="DQ301" s="9">
        <v>0</v>
      </c>
      <c r="DR301" s="9">
        <v>0</v>
      </c>
      <c r="DS301" s="9">
        <v>0</v>
      </c>
      <c r="DT301" s="9">
        <v>0</v>
      </c>
      <c r="DU301" s="9">
        <v>0</v>
      </c>
      <c r="DV301" s="9">
        <v>0</v>
      </c>
      <c r="DW301" s="9">
        <v>0</v>
      </c>
      <c r="DX301" s="9">
        <v>0</v>
      </c>
      <c r="DY301" s="9">
        <v>0</v>
      </c>
      <c r="DZ301" s="9">
        <v>0</v>
      </c>
      <c r="EA301" s="9">
        <v>0</v>
      </c>
      <c r="EB301" s="9">
        <v>0</v>
      </c>
      <c r="EC301" s="9">
        <v>0</v>
      </c>
      <c r="ED301" s="9">
        <v>0</v>
      </c>
      <c r="EE301" s="9">
        <v>0</v>
      </c>
      <c r="EF301" s="9">
        <v>0</v>
      </c>
      <c r="EG301" s="9">
        <v>0</v>
      </c>
      <c r="EH301" s="9">
        <v>0</v>
      </c>
      <c r="EI301" s="9">
        <v>0</v>
      </c>
      <c r="EJ301" s="9">
        <v>0</v>
      </c>
      <c r="EK301" s="9">
        <v>0</v>
      </c>
      <c r="EL301" s="9">
        <v>0</v>
      </c>
      <c r="EM301" s="9">
        <v>0</v>
      </c>
      <c r="EN301" s="9">
        <v>0</v>
      </c>
      <c r="EO301" s="9">
        <v>0</v>
      </c>
      <c r="EP301" s="9">
        <v>0</v>
      </c>
      <c r="EQ301" s="9">
        <v>1</v>
      </c>
      <c r="ER301" s="9">
        <v>0</v>
      </c>
      <c r="ES301" s="9">
        <v>0</v>
      </c>
      <c r="ET301" s="9">
        <v>0</v>
      </c>
      <c r="EU301" s="9">
        <v>1</v>
      </c>
      <c r="EV301" s="9">
        <v>1</v>
      </c>
      <c r="EW301" s="9">
        <v>1</v>
      </c>
      <c r="EX301" s="9">
        <v>1</v>
      </c>
      <c r="EY301" s="9">
        <v>1</v>
      </c>
      <c r="EZ301" s="9">
        <v>1</v>
      </c>
      <c r="FA301" s="9">
        <v>1</v>
      </c>
      <c r="FB301" s="9">
        <v>1</v>
      </c>
      <c r="FC301" s="9">
        <v>1</v>
      </c>
      <c r="FD301" s="9">
        <v>1</v>
      </c>
      <c r="FE301" s="9">
        <v>0</v>
      </c>
      <c r="FF301" s="9">
        <v>0</v>
      </c>
      <c r="FG301" s="9">
        <v>0</v>
      </c>
      <c r="FH301" s="9">
        <v>0</v>
      </c>
      <c r="FI301" s="9">
        <v>0</v>
      </c>
      <c r="FJ301" s="9">
        <v>0</v>
      </c>
      <c r="FK301" s="9">
        <v>0</v>
      </c>
      <c r="FL301" s="9">
        <v>0</v>
      </c>
      <c r="FM301" s="10">
        <v>0</v>
      </c>
    </row>
    <row r="302" spans="1:169" x14ac:dyDescent="0.35">
      <c r="A302" s="8" t="s">
        <v>494</v>
      </c>
      <c r="B302" s="9" t="s">
        <v>509</v>
      </c>
      <c r="C302" s="10" t="s">
        <v>510</v>
      </c>
      <c r="D302" s="62">
        <f t="shared" si="101"/>
        <v>18</v>
      </c>
      <c r="E302" s="9">
        <v>1</v>
      </c>
      <c r="F302" s="9">
        <v>0</v>
      </c>
      <c r="G302" s="9">
        <v>6</v>
      </c>
      <c r="H302" s="9">
        <v>6</v>
      </c>
      <c r="I302" s="9">
        <v>6</v>
      </c>
      <c r="J302" s="9">
        <v>6</v>
      </c>
      <c r="K302" s="9">
        <v>6</v>
      </c>
      <c r="L302" s="9">
        <v>6</v>
      </c>
      <c r="M302" s="9">
        <v>4</v>
      </c>
      <c r="N302" s="9">
        <v>4</v>
      </c>
      <c r="O302" s="9">
        <v>4</v>
      </c>
      <c r="P302" s="9">
        <v>9</v>
      </c>
      <c r="Q302" s="9">
        <v>11</v>
      </c>
      <c r="R302" s="9">
        <v>12</v>
      </c>
      <c r="S302" s="9">
        <v>14</v>
      </c>
      <c r="T302" s="9">
        <v>16</v>
      </c>
      <c r="U302" s="9">
        <v>18</v>
      </c>
      <c r="V302" s="9">
        <v>17</v>
      </c>
      <c r="W302" s="9">
        <v>17</v>
      </c>
      <c r="X302" s="9">
        <v>11</v>
      </c>
      <c r="Y302" s="9">
        <v>11</v>
      </c>
      <c r="Z302" s="9">
        <v>17</v>
      </c>
      <c r="AA302" s="9">
        <v>13</v>
      </c>
      <c r="AB302" s="9">
        <v>17</v>
      </c>
      <c r="AC302" s="9">
        <v>17</v>
      </c>
      <c r="AD302" s="9">
        <v>15</v>
      </c>
      <c r="AE302" s="9">
        <v>13</v>
      </c>
      <c r="AF302" s="9">
        <v>9</v>
      </c>
      <c r="AG302" s="9">
        <v>8</v>
      </c>
      <c r="AH302" s="9">
        <v>8</v>
      </c>
      <c r="AI302" s="9">
        <v>5</v>
      </c>
      <c r="AJ302" s="9">
        <v>4</v>
      </c>
      <c r="AK302" s="9">
        <v>8</v>
      </c>
      <c r="AL302" s="9">
        <v>8</v>
      </c>
      <c r="AM302" s="9">
        <v>5</v>
      </c>
      <c r="AN302" s="9">
        <v>5</v>
      </c>
      <c r="AO302" s="9">
        <v>6</v>
      </c>
      <c r="AP302" s="9">
        <v>6</v>
      </c>
      <c r="AQ302" s="9">
        <v>5</v>
      </c>
      <c r="AR302" s="9">
        <v>6</v>
      </c>
      <c r="AS302" s="9">
        <v>6</v>
      </c>
      <c r="AT302" s="9">
        <v>6</v>
      </c>
      <c r="AU302" s="9">
        <v>6</v>
      </c>
      <c r="AV302" s="9">
        <v>5</v>
      </c>
      <c r="AW302" s="9">
        <v>4</v>
      </c>
      <c r="AX302" s="9">
        <v>6</v>
      </c>
      <c r="AY302" s="9">
        <v>6</v>
      </c>
      <c r="AZ302" s="9">
        <v>5</v>
      </c>
      <c r="BA302" s="9">
        <v>7</v>
      </c>
      <c r="BB302" s="9">
        <v>7</v>
      </c>
      <c r="BC302" s="9">
        <v>6</v>
      </c>
      <c r="BD302" s="9">
        <v>7</v>
      </c>
      <c r="BE302" s="9">
        <v>5</v>
      </c>
      <c r="BF302" s="9">
        <v>4</v>
      </c>
      <c r="BG302" s="9">
        <v>4</v>
      </c>
      <c r="BH302" s="9">
        <v>4</v>
      </c>
      <c r="BI302" s="9">
        <v>4</v>
      </c>
      <c r="BJ302" s="9">
        <v>4</v>
      </c>
      <c r="BK302" s="9">
        <v>5</v>
      </c>
      <c r="BL302" s="9">
        <v>5</v>
      </c>
      <c r="BM302" s="9">
        <v>5</v>
      </c>
      <c r="BN302" s="9">
        <v>5</v>
      </c>
      <c r="BO302" s="9">
        <v>5</v>
      </c>
      <c r="BP302" s="9">
        <v>4</v>
      </c>
      <c r="BQ302" s="9">
        <v>8</v>
      </c>
      <c r="BR302" s="9">
        <v>7</v>
      </c>
      <c r="BS302" s="9">
        <v>6</v>
      </c>
      <c r="BT302" s="9">
        <v>6</v>
      </c>
      <c r="BU302" s="9">
        <v>6</v>
      </c>
      <c r="BV302" s="9">
        <v>4</v>
      </c>
      <c r="BW302" s="9">
        <v>4</v>
      </c>
      <c r="BX302" s="9">
        <v>4</v>
      </c>
      <c r="BY302" s="9">
        <v>4</v>
      </c>
      <c r="BZ302" s="9">
        <v>3</v>
      </c>
      <c r="CA302" s="9">
        <v>3</v>
      </c>
      <c r="CB302" s="9">
        <v>2</v>
      </c>
      <c r="CC302" s="9">
        <v>2</v>
      </c>
      <c r="CD302" s="9">
        <v>2</v>
      </c>
      <c r="CE302" s="9">
        <v>1</v>
      </c>
      <c r="CF302" s="9">
        <v>1</v>
      </c>
      <c r="CG302" s="9">
        <v>2</v>
      </c>
      <c r="CH302" s="9">
        <v>2</v>
      </c>
      <c r="CI302" s="9">
        <v>1</v>
      </c>
      <c r="CJ302" s="9">
        <v>1</v>
      </c>
      <c r="CK302" s="9">
        <v>0</v>
      </c>
      <c r="CL302" s="9">
        <v>0</v>
      </c>
      <c r="CM302" s="9">
        <v>0</v>
      </c>
      <c r="CN302" s="9">
        <v>0</v>
      </c>
      <c r="CO302" s="9">
        <v>1</v>
      </c>
      <c r="CP302" s="9">
        <v>1</v>
      </c>
      <c r="CQ302" s="9">
        <v>1</v>
      </c>
      <c r="CR302" s="9">
        <v>1</v>
      </c>
      <c r="CS302" s="9">
        <v>1</v>
      </c>
      <c r="CT302" s="9">
        <v>0</v>
      </c>
      <c r="CU302" s="9">
        <v>0</v>
      </c>
      <c r="CV302" s="9">
        <v>0</v>
      </c>
      <c r="CW302" s="9">
        <v>0</v>
      </c>
      <c r="CX302" s="9">
        <v>0</v>
      </c>
      <c r="CY302" s="9">
        <v>0</v>
      </c>
      <c r="CZ302" s="9">
        <v>0</v>
      </c>
      <c r="DA302" s="9">
        <v>0</v>
      </c>
      <c r="DB302" s="9">
        <v>1</v>
      </c>
      <c r="DC302" s="9">
        <v>1</v>
      </c>
      <c r="DD302" s="9">
        <v>0</v>
      </c>
      <c r="DE302" s="9">
        <v>0</v>
      </c>
      <c r="DF302" s="9">
        <v>0</v>
      </c>
      <c r="DG302" s="9">
        <v>0</v>
      </c>
      <c r="DH302" s="9">
        <v>0</v>
      </c>
      <c r="DI302" s="9">
        <v>0</v>
      </c>
      <c r="DJ302" s="9">
        <v>0</v>
      </c>
      <c r="DK302" s="9">
        <v>0</v>
      </c>
      <c r="DL302" s="9">
        <v>1</v>
      </c>
      <c r="DM302" s="9">
        <v>1</v>
      </c>
      <c r="DN302" s="9">
        <v>1</v>
      </c>
      <c r="DO302" s="9">
        <v>1</v>
      </c>
      <c r="DP302" s="9">
        <v>1</v>
      </c>
      <c r="DQ302" s="9">
        <v>0</v>
      </c>
      <c r="DR302" s="9">
        <v>0</v>
      </c>
      <c r="DS302" s="9">
        <v>0</v>
      </c>
      <c r="DT302" s="9">
        <v>0</v>
      </c>
      <c r="DU302" s="9">
        <v>0</v>
      </c>
      <c r="DV302" s="9">
        <v>0</v>
      </c>
      <c r="DW302" s="9">
        <v>0</v>
      </c>
      <c r="DX302" s="9">
        <v>0</v>
      </c>
      <c r="DY302" s="9">
        <v>0</v>
      </c>
      <c r="DZ302" s="9">
        <v>0</v>
      </c>
      <c r="EA302" s="9">
        <v>0</v>
      </c>
      <c r="EB302" s="9">
        <v>0</v>
      </c>
      <c r="EC302" s="9">
        <v>1</v>
      </c>
      <c r="ED302" s="9">
        <v>1</v>
      </c>
      <c r="EE302" s="9">
        <v>0</v>
      </c>
      <c r="EF302" s="9">
        <v>0</v>
      </c>
      <c r="EG302" s="9">
        <v>0</v>
      </c>
      <c r="EH302" s="9">
        <v>0</v>
      </c>
      <c r="EI302" s="9">
        <v>0</v>
      </c>
      <c r="EJ302" s="9">
        <v>0</v>
      </c>
      <c r="EK302" s="9">
        <v>0</v>
      </c>
      <c r="EL302" s="9">
        <v>0</v>
      </c>
      <c r="EM302" s="9">
        <v>0</v>
      </c>
      <c r="EN302" s="9">
        <v>0</v>
      </c>
      <c r="EO302" s="9">
        <v>0</v>
      </c>
      <c r="EP302" s="9">
        <v>0</v>
      </c>
      <c r="EQ302" s="9">
        <v>0</v>
      </c>
      <c r="ER302" s="9">
        <v>0</v>
      </c>
      <c r="ES302" s="9">
        <v>0</v>
      </c>
      <c r="ET302" s="9">
        <v>0</v>
      </c>
      <c r="EU302" s="9">
        <v>0</v>
      </c>
      <c r="EV302" s="9">
        <v>0</v>
      </c>
      <c r="EW302" s="9">
        <v>0</v>
      </c>
      <c r="EX302" s="9">
        <v>0</v>
      </c>
      <c r="EY302" s="9">
        <v>0</v>
      </c>
      <c r="EZ302" s="9">
        <v>0</v>
      </c>
      <c r="FA302" s="9">
        <v>0</v>
      </c>
      <c r="FB302" s="9">
        <v>0</v>
      </c>
      <c r="FC302" s="9">
        <v>0</v>
      </c>
      <c r="FD302" s="9">
        <v>0</v>
      </c>
      <c r="FE302" s="9">
        <v>0</v>
      </c>
      <c r="FF302" s="9">
        <v>0</v>
      </c>
      <c r="FG302" s="9">
        <v>0</v>
      </c>
      <c r="FH302" s="9">
        <v>0</v>
      </c>
      <c r="FI302" s="9">
        <v>0</v>
      </c>
      <c r="FJ302" s="9">
        <v>0</v>
      </c>
      <c r="FK302" s="9">
        <v>0</v>
      </c>
      <c r="FL302" s="9">
        <v>0</v>
      </c>
      <c r="FM302" s="10">
        <v>0</v>
      </c>
    </row>
    <row r="303" spans="1:169" x14ac:dyDescent="0.35">
      <c r="A303" s="8" t="s">
        <v>494</v>
      </c>
      <c r="B303" s="9" t="s">
        <v>511</v>
      </c>
      <c r="C303" s="10" t="s">
        <v>512</v>
      </c>
      <c r="D303" s="62">
        <f t="shared" si="101"/>
        <v>23</v>
      </c>
      <c r="E303" s="9">
        <v>0</v>
      </c>
      <c r="F303" s="9">
        <v>0</v>
      </c>
      <c r="G303" s="9">
        <v>0</v>
      </c>
      <c r="H303" s="9">
        <v>0</v>
      </c>
      <c r="I303" s="9">
        <v>1</v>
      </c>
      <c r="J303" s="9">
        <v>2</v>
      </c>
      <c r="K303" s="9">
        <v>1</v>
      </c>
      <c r="L303" s="9">
        <v>2</v>
      </c>
      <c r="M303" s="9">
        <v>3</v>
      </c>
      <c r="N303" s="9">
        <v>5</v>
      </c>
      <c r="O303" s="9">
        <v>6</v>
      </c>
      <c r="P303" s="9">
        <v>7</v>
      </c>
      <c r="Q303" s="9">
        <v>12</v>
      </c>
      <c r="R303" s="9">
        <v>7</v>
      </c>
      <c r="S303" s="9">
        <v>8</v>
      </c>
      <c r="T303" s="9">
        <v>10</v>
      </c>
      <c r="U303" s="9">
        <v>12</v>
      </c>
      <c r="V303" s="9">
        <v>13</v>
      </c>
      <c r="W303" s="9">
        <v>10</v>
      </c>
      <c r="X303" s="9">
        <v>12</v>
      </c>
      <c r="Y303" s="9">
        <v>11</v>
      </c>
      <c r="Z303" s="9">
        <v>10</v>
      </c>
      <c r="AA303" s="9">
        <v>15</v>
      </c>
      <c r="AB303" s="9">
        <v>15</v>
      </c>
      <c r="AC303" s="9">
        <v>17</v>
      </c>
      <c r="AD303" s="9">
        <v>19</v>
      </c>
      <c r="AE303" s="9">
        <v>23</v>
      </c>
      <c r="AF303" s="9">
        <v>21</v>
      </c>
      <c r="AG303" s="9">
        <v>16</v>
      </c>
      <c r="AH303" s="9">
        <v>12</v>
      </c>
      <c r="AI303" s="9">
        <v>14</v>
      </c>
      <c r="AJ303" s="9">
        <v>15</v>
      </c>
      <c r="AK303" s="9">
        <v>13</v>
      </c>
      <c r="AL303" s="9">
        <v>11</v>
      </c>
      <c r="AM303" s="9">
        <v>11</v>
      </c>
      <c r="AN303" s="9">
        <v>13</v>
      </c>
      <c r="AO303" s="9">
        <v>13</v>
      </c>
      <c r="AP303" s="9">
        <v>11</v>
      </c>
      <c r="AQ303" s="9">
        <v>10</v>
      </c>
      <c r="AR303" s="9">
        <v>7</v>
      </c>
      <c r="AS303" s="9">
        <v>8</v>
      </c>
      <c r="AT303" s="9">
        <v>7</v>
      </c>
      <c r="AU303" s="9">
        <v>6</v>
      </c>
      <c r="AV303" s="9">
        <v>5</v>
      </c>
      <c r="AW303" s="9">
        <v>7</v>
      </c>
      <c r="AX303" s="9">
        <v>5</v>
      </c>
      <c r="AY303" s="9">
        <v>4</v>
      </c>
      <c r="AZ303" s="9">
        <v>6</v>
      </c>
      <c r="BA303" s="9">
        <v>3</v>
      </c>
      <c r="BB303" s="9">
        <v>3</v>
      </c>
      <c r="BC303" s="9">
        <v>4</v>
      </c>
      <c r="BD303" s="9">
        <v>4</v>
      </c>
      <c r="BE303" s="9">
        <v>6</v>
      </c>
      <c r="BF303" s="9">
        <v>5</v>
      </c>
      <c r="BG303" s="9">
        <v>5</v>
      </c>
      <c r="BH303" s="9">
        <v>5</v>
      </c>
      <c r="BI303" s="9">
        <v>4</v>
      </c>
      <c r="BJ303" s="9">
        <v>5</v>
      </c>
      <c r="BK303" s="9">
        <v>3</v>
      </c>
      <c r="BL303" s="9">
        <v>3</v>
      </c>
      <c r="BM303" s="9">
        <v>4</v>
      </c>
      <c r="BN303" s="9">
        <v>4</v>
      </c>
      <c r="BO303" s="9">
        <v>4</v>
      </c>
      <c r="BP303" s="9">
        <v>4</v>
      </c>
      <c r="BQ303" s="9">
        <v>5</v>
      </c>
      <c r="BR303" s="9">
        <v>4</v>
      </c>
      <c r="BS303" s="9">
        <v>3</v>
      </c>
      <c r="BT303" s="9">
        <v>3</v>
      </c>
      <c r="BU303" s="9">
        <v>2</v>
      </c>
      <c r="BV303" s="9">
        <v>2</v>
      </c>
      <c r="BW303" s="9">
        <v>2</v>
      </c>
      <c r="BX303" s="9">
        <v>2</v>
      </c>
      <c r="BY303" s="9">
        <v>2</v>
      </c>
      <c r="BZ303" s="9">
        <v>2</v>
      </c>
      <c r="CA303" s="9">
        <v>2</v>
      </c>
      <c r="CB303" s="9">
        <v>2</v>
      </c>
      <c r="CC303" s="9">
        <v>3</v>
      </c>
      <c r="CD303" s="9">
        <v>3</v>
      </c>
      <c r="CE303" s="9">
        <v>4</v>
      </c>
      <c r="CF303" s="9">
        <v>3</v>
      </c>
      <c r="CG303" s="9">
        <v>3</v>
      </c>
      <c r="CH303" s="9">
        <v>1</v>
      </c>
      <c r="CI303" s="9">
        <v>1</v>
      </c>
      <c r="CJ303" s="9">
        <v>0</v>
      </c>
      <c r="CK303" s="9">
        <v>0</v>
      </c>
      <c r="CL303" s="9">
        <v>0</v>
      </c>
      <c r="CM303" s="9">
        <v>1</v>
      </c>
      <c r="CN303" s="9">
        <v>1</v>
      </c>
      <c r="CO303" s="9">
        <v>1</v>
      </c>
      <c r="CP303" s="9">
        <v>1</v>
      </c>
      <c r="CQ303" s="9">
        <v>1</v>
      </c>
      <c r="CR303" s="9">
        <v>0</v>
      </c>
      <c r="CS303" s="9">
        <v>0</v>
      </c>
      <c r="CT303" s="9">
        <v>0</v>
      </c>
      <c r="CU303" s="9">
        <v>0</v>
      </c>
      <c r="CV303" s="9">
        <v>0</v>
      </c>
      <c r="CW303" s="9">
        <v>0</v>
      </c>
      <c r="CX303" s="9">
        <v>0</v>
      </c>
      <c r="CY303" s="9">
        <v>0</v>
      </c>
      <c r="CZ303" s="9">
        <v>0</v>
      </c>
      <c r="DA303" s="9">
        <v>0</v>
      </c>
      <c r="DB303" s="9">
        <v>0</v>
      </c>
      <c r="DC303" s="9">
        <v>0</v>
      </c>
      <c r="DD303" s="9">
        <v>0</v>
      </c>
      <c r="DE303" s="9">
        <v>0</v>
      </c>
      <c r="DF303" s="9">
        <v>0</v>
      </c>
      <c r="DG303" s="9">
        <v>0</v>
      </c>
      <c r="DH303" s="9">
        <v>0</v>
      </c>
      <c r="DI303" s="9">
        <v>0</v>
      </c>
      <c r="DJ303" s="9">
        <v>0</v>
      </c>
      <c r="DK303" s="9">
        <v>0</v>
      </c>
      <c r="DL303" s="9">
        <v>0</v>
      </c>
      <c r="DM303" s="9">
        <v>0</v>
      </c>
      <c r="DN303" s="9">
        <v>0</v>
      </c>
      <c r="DO303" s="9">
        <v>0</v>
      </c>
      <c r="DP303" s="9">
        <v>0</v>
      </c>
      <c r="DQ303" s="9">
        <v>0</v>
      </c>
      <c r="DR303" s="9">
        <v>0</v>
      </c>
      <c r="DS303" s="9">
        <v>0</v>
      </c>
      <c r="DT303" s="9">
        <v>0</v>
      </c>
      <c r="DU303" s="9">
        <v>0</v>
      </c>
      <c r="DV303" s="9">
        <v>0</v>
      </c>
      <c r="DW303" s="9">
        <v>0</v>
      </c>
      <c r="DX303" s="9">
        <v>0</v>
      </c>
      <c r="DY303" s="9">
        <v>0</v>
      </c>
      <c r="DZ303" s="9">
        <v>0</v>
      </c>
      <c r="EA303" s="9">
        <v>0</v>
      </c>
      <c r="EB303" s="9">
        <v>0</v>
      </c>
      <c r="EC303" s="9">
        <v>0</v>
      </c>
      <c r="ED303" s="9">
        <v>0</v>
      </c>
      <c r="EE303" s="9">
        <v>0</v>
      </c>
      <c r="EF303" s="9">
        <v>0</v>
      </c>
      <c r="EG303" s="9">
        <v>0</v>
      </c>
      <c r="EH303" s="9">
        <v>0</v>
      </c>
      <c r="EI303" s="9">
        <v>0</v>
      </c>
      <c r="EJ303" s="9">
        <v>0</v>
      </c>
      <c r="EK303" s="9">
        <v>0</v>
      </c>
      <c r="EL303" s="9">
        <v>0</v>
      </c>
      <c r="EM303" s="9">
        <v>0</v>
      </c>
      <c r="EN303" s="9">
        <v>0</v>
      </c>
      <c r="EO303" s="9">
        <v>0</v>
      </c>
      <c r="EP303" s="9">
        <v>0</v>
      </c>
      <c r="EQ303" s="9">
        <v>0</v>
      </c>
      <c r="ER303" s="9">
        <v>0</v>
      </c>
      <c r="ES303" s="9">
        <v>0</v>
      </c>
      <c r="ET303" s="9">
        <v>0</v>
      </c>
      <c r="EU303" s="9">
        <v>0</v>
      </c>
      <c r="EV303" s="9">
        <v>0</v>
      </c>
      <c r="EW303" s="9">
        <v>0</v>
      </c>
      <c r="EX303" s="9">
        <v>0</v>
      </c>
      <c r="EY303" s="9">
        <v>0</v>
      </c>
      <c r="EZ303" s="9">
        <v>0</v>
      </c>
      <c r="FA303" s="9">
        <v>0</v>
      </c>
      <c r="FB303" s="9">
        <v>0</v>
      </c>
      <c r="FC303" s="9">
        <v>0</v>
      </c>
      <c r="FD303" s="9">
        <v>0</v>
      </c>
      <c r="FE303" s="9">
        <v>0</v>
      </c>
      <c r="FF303" s="9">
        <v>0</v>
      </c>
      <c r="FG303" s="9">
        <v>0</v>
      </c>
      <c r="FH303" s="9">
        <v>0</v>
      </c>
      <c r="FI303" s="9">
        <v>0</v>
      </c>
      <c r="FJ303" s="9">
        <v>0</v>
      </c>
      <c r="FK303" s="9">
        <v>0</v>
      </c>
      <c r="FL303" s="9">
        <v>0</v>
      </c>
      <c r="FM303" s="10">
        <v>0</v>
      </c>
    </row>
    <row r="304" spans="1:169" x14ac:dyDescent="0.35">
      <c r="A304" s="8" t="s">
        <v>494</v>
      </c>
      <c r="B304" s="9" t="s">
        <v>513</v>
      </c>
      <c r="C304" s="10" t="s">
        <v>514</v>
      </c>
      <c r="D304" s="62">
        <f t="shared" si="101"/>
        <v>49</v>
      </c>
      <c r="E304" s="9">
        <v>8</v>
      </c>
      <c r="F304" s="9">
        <v>12</v>
      </c>
      <c r="G304" s="9">
        <v>14</v>
      </c>
      <c r="H304" s="9">
        <v>16</v>
      </c>
      <c r="I304" s="9">
        <v>17</v>
      </c>
      <c r="J304" s="9">
        <v>18</v>
      </c>
      <c r="K304" s="9">
        <v>23</v>
      </c>
      <c r="L304" s="9">
        <v>30</v>
      </c>
      <c r="M304" s="9">
        <v>30</v>
      </c>
      <c r="N304" s="9">
        <v>34</v>
      </c>
      <c r="O304" s="9">
        <v>37</v>
      </c>
      <c r="P304" s="9">
        <v>39</v>
      </c>
      <c r="Q304" s="9">
        <v>39</v>
      </c>
      <c r="R304" s="9">
        <v>36</v>
      </c>
      <c r="S304" s="9">
        <v>38</v>
      </c>
      <c r="T304" s="9">
        <v>38</v>
      </c>
      <c r="U304" s="9">
        <v>32</v>
      </c>
      <c r="V304" s="9">
        <v>37</v>
      </c>
      <c r="W304" s="9">
        <v>37</v>
      </c>
      <c r="X304" s="9">
        <v>42</v>
      </c>
      <c r="Y304" s="9">
        <v>45</v>
      </c>
      <c r="Z304" s="9">
        <v>49</v>
      </c>
      <c r="AA304" s="9">
        <v>46</v>
      </c>
      <c r="AB304" s="9">
        <v>43</v>
      </c>
      <c r="AC304" s="9">
        <v>40</v>
      </c>
      <c r="AD304" s="9">
        <v>35</v>
      </c>
      <c r="AE304" s="9">
        <v>46</v>
      </c>
      <c r="AF304" s="9">
        <v>44</v>
      </c>
      <c r="AG304" s="9">
        <v>41</v>
      </c>
      <c r="AH304" s="9">
        <v>37</v>
      </c>
      <c r="AI304" s="9">
        <v>34</v>
      </c>
      <c r="AJ304" s="9">
        <v>34</v>
      </c>
      <c r="AK304" s="9">
        <v>41</v>
      </c>
      <c r="AL304" s="9">
        <v>42</v>
      </c>
      <c r="AM304" s="9">
        <v>39</v>
      </c>
      <c r="AN304" s="9">
        <v>41</v>
      </c>
      <c r="AO304" s="9">
        <v>40</v>
      </c>
      <c r="AP304" s="9">
        <v>40</v>
      </c>
      <c r="AQ304" s="9">
        <v>38</v>
      </c>
      <c r="AR304" s="9">
        <v>42</v>
      </c>
      <c r="AS304" s="9">
        <v>37</v>
      </c>
      <c r="AT304" s="9">
        <v>36</v>
      </c>
      <c r="AU304" s="9">
        <v>35</v>
      </c>
      <c r="AV304" s="9">
        <v>33</v>
      </c>
      <c r="AW304" s="9">
        <v>35</v>
      </c>
      <c r="AX304" s="9">
        <v>36</v>
      </c>
      <c r="AY304" s="9">
        <v>32</v>
      </c>
      <c r="AZ304" s="9">
        <v>28</v>
      </c>
      <c r="BA304" s="9">
        <v>32</v>
      </c>
      <c r="BB304" s="9">
        <v>26</v>
      </c>
      <c r="BC304" s="9">
        <v>24</v>
      </c>
      <c r="BD304" s="9">
        <v>21</v>
      </c>
      <c r="BE304" s="9">
        <v>20</v>
      </c>
      <c r="BF304" s="9">
        <v>18</v>
      </c>
      <c r="BG304" s="9">
        <v>20</v>
      </c>
      <c r="BH304" s="9">
        <v>18</v>
      </c>
      <c r="BI304" s="9">
        <v>18</v>
      </c>
      <c r="BJ304" s="9">
        <v>20</v>
      </c>
      <c r="BK304" s="9">
        <v>20</v>
      </c>
      <c r="BL304" s="9">
        <v>21</v>
      </c>
      <c r="BM304" s="9">
        <v>19</v>
      </c>
      <c r="BN304" s="9">
        <v>18</v>
      </c>
      <c r="BO304" s="9">
        <v>15</v>
      </c>
      <c r="BP304" s="9">
        <v>14</v>
      </c>
      <c r="BQ304" s="9">
        <v>13</v>
      </c>
      <c r="BR304" s="9">
        <v>13</v>
      </c>
      <c r="BS304" s="9">
        <v>13</v>
      </c>
      <c r="BT304" s="9">
        <v>13</v>
      </c>
      <c r="BU304" s="9">
        <v>14</v>
      </c>
      <c r="BV304" s="9">
        <v>11</v>
      </c>
      <c r="BW304" s="9">
        <v>11</v>
      </c>
      <c r="BX304" s="9">
        <v>11</v>
      </c>
      <c r="BY304" s="9">
        <v>13</v>
      </c>
      <c r="BZ304" s="9">
        <v>14</v>
      </c>
      <c r="CA304" s="9">
        <v>14</v>
      </c>
      <c r="CB304" s="9">
        <v>14</v>
      </c>
      <c r="CC304" s="9">
        <v>12</v>
      </c>
      <c r="CD304" s="9">
        <v>12</v>
      </c>
      <c r="CE304" s="9">
        <v>12</v>
      </c>
      <c r="CF304" s="9">
        <v>12</v>
      </c>
      <c r="CG304" s="9">
        <v>12</v>
      </c>
      <c r="CH304" s="9">
        <v>11</v>
      </c>
      <c r="CI304" s="9">
        <v>11</v>
      </c>
      <c r="CJ304" s="9">
        <v>10</v>
      </c>
      <c r="CK304" s="9">
        <v>10</v>
      </c>
      <c r="CL304" s="9">
        <v>9</v>
      </c>
      <c r="CM304" s="9">
        <v>9</v>
      </c>
      <c r="CN304" s="9">
        <v>9</v>
      </c>
      <c r="CO304" s="9">
        <v>9</v>
      </c>
      <c r="CP304" s="9">
        <v>8</v>
      </c>
      <c r="CQ304" s="9">
        <v>8</v>
      </c>
      <c r="CR304" s="9">
        <v>7</v>
      </c>
      <c r="CS304" s="9">
        <v>7</v>
      </c>
      <c r="CT304" s="9">
        <v>8</v>
      </c>
      <c r="CU304" s="9">
        <v>8</v>
      </c>
      <c r="CV304" s="9">
        <v>10</v>
      </c>
      <c r="CW304" s="9">
        <v>8</v>
      </c>
      <c r="CX304" s="9">
        <v>8</v>
      </c>
      <c r="CY304" s="9">
        <v>8</v>
      </c>
      <c r="CZ304" s="9">
        <v>9</v>
      </c>
      <c r="DA304" s="9">
        <v>9</v>
      </c>
      <c r="DB304" s="9">
        <v>8</v>
      </c>
      <c r="DC304" s="9">
        <v>8</v>
      </c>
      <c r="DD304" s="9">
        <v>8</v>
      </c>
      <c r="DE304" s="9">
        <v>8</v>
      </c>
      <c r="DF304" s="9">
        <v>8</v>
      </c>
      <c r="DG304" s="9">
        <v>8</v>
      </c>
      <c r="DH304" s="9">
        <v>8</v>
      </c>
      <c r="DI304" s="9">
        <v>7</v>
      </c>
      <c r="DJ304" s="9">
        <v>7</v>
      </c>
      <c r="DK304" s="9">
        <v>7</v>
      </c>
      <c r="DL304" s="9">
        <v>7</v>
      </c>
      <c r="DM304" s="9">
        <v>6</v>
      </c>
      <c r="DN304" s="9">
        <v>6</v>
      </c>
      <c r="DO304" s="9">
        <v>5</v>
      </c>
      <c r="DP304" s="9">
        <v>5</v>
      </c>
      <c r="DQ304" s="9">
        <v>5</v>
      </c>
      <c r="DR304" s="9">
        <v>6</v>
      </c>
      <c r="DS304" s="9">
        <v>5</v>
      </c>
      <c r="DT304" s="9">
        <v>4</v>
      </c>
      <c r="DU304" s="9">
        <v>5</v>
      </c>
      <c r="DV304" s="9">
        <v>5</v>
      </c>
      <c r="DW304" s="9">
        <v>6</v>
      </c>
      <c r="DX304" s="9">
        <v>6</v>
      </c>
      <c r="DY304" s="9">
        <v>5</v>
      </c>
      <c r="DZ304" s="9">
        <v>5</v>
      </c>
      <c r="EA304" s="9">
        <v>4</v>
      </c>
      <c r="EB304" s="9">
        <v>3</v>
      </c>
      <c r="EC304" s="9">
        <v>3</v>
      </c>
      <c r="ED304" s="9">
        <v>3</v>
      </c>
      <c r="EE304" s="9">
        <v>3</v>
      </c>
      <c r="EF304" s="9">
        <v>3</v>
      </c>
      <c r="EG304" s="9">
        <v>0</v>
      </c>
      <c r="EH304" s="9">
        <v>0</v>
      </c>
      <c r="EI304" s="9">
        <v>1</v>
      </c>
      <c r="EJ304" s="9">
        <v>1</v>
      </c>
      <c r="EK304" s="9">
        <v>1</v>
      </c>
      <c r="EL304" s="9">
        <v>1</v>
      </c>
      <c r="EM304" s="9">
        <v>1</v>
      </c>
      <c r="EN304" s="9">
        <v>1</v>
      </c>
      <c r="EO304" s="9">
        <v>1</v>
      </c>
      <c r="EP304" s="9">
        <v>0</v>
      </c>
      <c r="EQ304" s="9">
        <v>0</v>
      </c>
      <c r="ER304" s="9">
        <v>0</v>
      </c>
      <c r="ES304" s="9">
        <v>0</v>
      </c>
      <c r="ET304" s="9">
        <v>0</v>
      </c>
      <c r="EU304" s="9">
        <v>0</v>
      </c>
      <c r="EV304" s="9">
        <v>0</v>
      </c>
      <c r="EW304" s="9">
        <v>0</v>
      </c>
      <c r="EX304" s="9">
        <v>0</v>
      </c>
      <c r="EY304" s="9">
        <v>0</v>
      </c>
      <c r="EZ304" s="9">
        <v>1</v>
      </c>
      <c r="FA304" s="9">
        <v>0</v>
      </c>
      <c r="FB304" s="9">
        <v>3</v>
      </c>
      <c r="FC304" s="9">
        <v>3</v>
      </c>
      <c r="FD304" s="9">
        <v>2</v>
      </c>
      <c r="FE304" s="9">
        <v>2</v>
      </c>
      <c r="FF304" s="9">
        <v>1</v>
      </c>
      <c r="FG304" s="9">
        <v>1</v>
      </c>
      <c r="FH304" s="9">
        <v>1</v>
      </c>
      <c r="FI304" s="9">
        <v>1</v>
      </c>
      <c r="FJ304" s="9">
        <v>1</v>
      </c>
      <c r="FK304" s="9">
        <v>1</v>
      </c>
      <c r="FL304" s="9">
        <v>1</v>
      </c>
      <c r="FM304" s="10">
        <v>1</v>
      </c>
    </row>
    <row r="305" spans="1:169" x14ac:dyDescent="0.35">
      <c r="A305" s="8" t="s">
        <v>494</v>
      </c>
      <c r="B305" s="9" t="s">
        <v>515</v>
      </c>
      <c r="C305" s="10" t="s">
        <v>516</v>
      </c>
      <c r="D305" s="62">
        <f t="shared" si="101"/>
        <v>47</v>
      </c>
      <c r="E305" s="9">
        <v>0</v>
      </c>
      <c r="F305" s="9">
        <v>0</v>
      </c>
      <c r="G305" s="9">
        <v>1</v>
      </c>
      <c r="H305" s="9">
        <v>1</v>
      </c>
      <c r="I305" s="9">
        <v>1</v>
      </c>
      <c r="J305" s="9">
        <v>3</v>
      </c>
      <c r="K305" s="9">
        <v>5</v>
      </c>
      <c r="L305" s="9">
        <v>6</v>
      </c>
      <c r="M305" s="9">
        <v>6</v>
      </c>
      <c r="N305" s="9">
        <v>13</v>
      </c>
      <c r="O305" s="9">
        <v>13</v>
      </c>
      <c r="P305" s="9">
        <v>15</v>
      </c>
      <c r="Q305" s="9">
        <v>15</v>
      </c>
      <c r="R305" s="9">
        <v>16</v>
      </c>
      <c r="S305" s="9">
        <v>17</v>
      </c>
      <c r="T305" s="9">
        <v>18</v>
      </c>
      <c r="U305" s="9">
        <v>16</v>
      </c>
      <c r="V305" s="9">
        <v>20</v>
      </c>
      <c r="W305" s="9">
        <v>22</v>
      </c>
      <c r="X305" s="9">
        <v>21</v>
      </c>
      <c r="Y305" s="9">
        <v>23</v>
      </c>
      <c r="Z305" s="9">
        <v>25</v>
      </c>
      <c r="AA305" s="9">
        <v>26</v>
      </c>
      <c r="AB305" s="9">
        <v>29</v>
      </c>
      <c r="AC305" s="9">
        <v>34</v>
      </c>
      <c r="AD305" s="9">
        <v>35</v>
      </c>
      <c r="AE305" s="9">
        <v>36</v>
      </c>
      <c r="AF305" s="9">
        <v>39</v>
      </c>
      <c r="AG305" s="9">
        <v>44</v>
      </c>
      <c r="AH305" s="9">
        <v>44</v>
      </c>
      <c r="AI305" s="9">
        <v>40</v>
      </c>
      <c r="AJ305" s="9">
        <v>47</v>
      </c>
      <c r="AK305" s="9">
        <v>43</v>
      </c>
      <c r="AL305" s="9">
        <v>47</v>
      </c>
      <c r="AM305" s="9">
        <v>41</v>
      </c>
      <c r="AN305" s="9">
        <v>37</v>
      </c>
      <c r="AO305" s="9">
        <v>35</v>
      </c>
      <c r="AP305" s="9">
        <v>35</v>
      </c>
      <c r="AQ305" s="9">
        <v>29</v>
      </c>
      <c r="AR305" s="9">
        <v>30</v>
      </c>
      <c r="AS305" s="9">
        <v>28</v>
      </c>
      <c r="AT305" s="9">
        <v>23</v>
      </c>
      <c r="AU305" s="9">
        <v>22</v>
      </c>
      <c r="AV305" s="9">
        <v>20</v>
      </c>
      <c r="AW305" s="9">
        <v>18</v>
      </c>
      <c r="AX305" s="9">
        <v>17</v>
      </c>
      <c r="AY305" s="9">
        <v>15</v>
      </c>
      <c r="AZ305" s="9">
        <v>15</v>
      </c>
      <c r="BA305" s="9">
        <v>14</v>
      </c>
      <c r="BB305" s="9">
        <v>14</v>
      </c>
      <c r="BC305" s="9">
        <v>14</v>
      </c>
      <c r="BD305" s="9">
        <v>8</v>
      </c>
      <c r="BE305" s="9">
        <v>10</v>
      </c>
      <c r="BF305" s="9">
        <v>10</v>
      </c>
      <c r="BG305" s="9">
        <v>11</v>
      </c>
      <c r="BH305" s="9">
        <v>12</v>
      </c>
      <c r="BI305" s="9">
        <v>9</v>
      </c>
      <c r="BJ305" s="9">
        <v>8</v>
      </c>
      <c r="BK305" s="9">
        <v>8</v>
      </c>
      <c r="BL305" s="9">
        <v>8</v>
      </c>
      <c r="BM305" s="9">
        <v>8</v>
      </c>
      <c r="BN305" s="9">
        <v>7</v>
      </c>
      <c r="BO305" s="9">
        <v>6</v>
      </c>
      <c r="BP305" s="9">
        <v>6</v>
      </c>
      <c r="BQ305" s="9">
        <v>7</v>
      </c>
      <c r="BR305" s="9">
        <v>9</v>
      </c>
      <c r="BS305" s="9">
        <v>8</v>
      </c>
      <c r="BT305" s="9">
        <v>7</v>
      </c>
      <c r="BU305" s="9">
        <v>8</v>
      </c>
      <c r="BV305" s="9">
        <v>6</v>
      </c>
      <c r="BW305" s="9">
        <v>6</v>
      </c>
      <c r="BX305" s="9">
        <v>7</v>
      </c>
      <c r="BY305" s="9">
        <v>8</v>
      </c>
      <c r="BZ305" s="9">
        <v>7</v>
      </c>
      <c r="CA305" s="9">
        <v>7</v>
      </c>
      <c r="CB305" s="9">
        <v>8</v>
      </c>
      <c r="CC305" s="9">
        <v>6</v>
      </c>
      <c r="CD305" s="9">
        <v>6</v>
      </c>
      <c r="CE305" s="9">
        <v>6</v>
      </c>
      <c r="CF305" s="9">
        <v>6</v>
      </c>
      <c r="CG305" s="9">
        <v>3</v>
      </c>
      <c r="CH305" s="9">
        <v>3</v>
      </c>
      <c r="CI305" s="9">
        <v>2</v>
      </c>
      <c r="CJ305" s="9">
        <v>2</v>
      </c>
      <c r="CK305" s="9">
        <v>3</v>
      </c>
      <c r="CL305" s="9">
        <v>3</v>
      </c>
      <c r="CM305" s="9">
        <v>2</v>
      </c>
      <c r="CN305" s="9">
        <v>2</v>
      </c>
      <c r="CO305" s="9">
        <v>2</v>
      </c>
      <c r="CP305" s="9">
        <v>2</v>
      </c>
      <c r="CQ305" s="9">
        <v>1</v>
      </c>
      <c r="CR305" s="9">
        <v>0</v>
      </c>
      <c r="CS305" s="9">
        <v>0</v>
      </c>
      <c r="CT305" s="9">
        <v>0</v>
      </c>
      <c r="CU305" s="9">
        <v>0</v>
      </c>
      <c r="CV305" s="9">
        <v>0</v>
      </c>
      <c r="CW305" s="9">
        <v>0</v>
      </c>
      <c r="CX305" s="9">
        <v>0</v>
      </c>
      <c r="CY305" s="9">
        <v>0</v>
      </c>
      <c r="CZ305" s="9">
        <v>0</v>
      </c>
      <c r="DA305" s="9">
        <v>0</v>
      </c>
      <c r="DB305" s="9">
        <v>0</v>
      </c>
      <c r="DC305" s="9">
        <v>0</v>
      </c>
      <c r="DD305" s="9">
        <v>1</v>
      </c>
      <c r="DE305" s="9">
        <v>1</v>
      </c>
      <c r="DF305" s="9">
        <v>1</v>
      </c>
      <c r="DG305" s="9">
        <v>1</v>
      </c>
      <c r="DH305" s="9">
        <v>1</v>
      </c>
      <c r="DI305" s="9">
        <v>1</v>
      </c>
      <c r="DJ305" s="9">
        <v>0</v>
      </c>
      <c r="DK305" s="9">
        <v>0</v>
      </c>
      <c r="DL305" s="9">
        <v>0</v>
      </c>
      <c r="DM305" s="9">
        <v>0</v>
      </c>
      <c r="DN305" s="9">
        <v>0</v>
      </c>
      <c r="DO305" s="9">
        <v>0</v>
      </c>
      <c r="DP305" s="9">
        <v>0</v>
      </c>
      <c r="DQ305" s="9">
        <v>0</v>
      </c>
      <c r="DR305" s="9">
        <v>0</v>
      </c>
      <c r="DS305" s="9">
        <v>0</v>
      </c>
      <c r="DT305" s="9">
        <v>0</v>
      </c>
      <c r="DU305" s="9">
        <v>0</v>
      </c>
      <c r="DV305" s="9">
        <v>0</v>
      </c>
      <c r="DW305" s="9">
        <v>0</v>
      </c>
      <c r="DX305" s="9">
        <v>0</v>
      </c>
      <c r="DY305" s="9">
        <v>0</v>
      </c>
      <c r="DZ305" s="9">
        <v>0</v>
      </c>
      <c r="EA305" s="9">
        <v>0</v>
      </c>
      <c r="EB305" s="9">
        <v>0</v>
      </c>
      <c r="EC305" s="9">
        <v>0</v>
      </c>
      <c r="ED305" s="9">
        <v>0</v>
      </c>
      <c r="EE305" s="9">
        <v>0</v>
      </c>
      <c r="EF305" s="9">
        <v>0</v>
      </c>
      <c r="EG305" s="9">
        <v>0</v>
      </c>
      <c r="EH305" s="9">
        <v>0</v>
      </c>
      <c r="EI305" s="9">
        <v>1</v>
      </c>
      <c r="EJ305" s="9">
        <v>1</v>
      </c>
      <c r="EK305" s="9">
        <v>1</v>
      </c>
      <c r="EL305" s="9">
        <v>1</v>
      </c>
      <c r="EM305" s="9">
        <v>1</v>
      </c>
      <c r="EN305" s="9">
        <v>1</v>
      </c>
      <c r="EO305" s="9">
        <v>1</v>
      </c>
      <c r="EP305" s="9">
        <v>0</v>
      </c>
      <c r="EQ305" s="9">
        <v>0</v>
      </c>
      <c r="ER305" s="9">
        <v>1</v>
      </c>
      <c r="ES305" s="9">
        <v>1</v>
      </c>
      <c r="ET305" s="9">
        <v>0</v>
      </c>
      <c r="EU305" s="9">
        <v>0</v>
      </c>
      <c r="EV305" s="9">
        <v>0</v>
      </c>
      <c r="EW305" s="9">
        <v>0</v>
      </c>
      <c r="EX305" s="9">
        <v>0</v>
      </c>
      <c r="EY305" s="9">
        <v>0</v>
      </c>
      <c r="EZ305" s="9">
        <v>0</v>
      </c>
      <c r="FA305" s="9">
        <v>0</v>
      </c>
      <c r="FB305" s="9">
        <v>0</v>
      </c>
      <c r="FC305" s="9">
        <v>0</v>
      </c>
      <c r="FD305" s="9">
        <v>0</v>
      </c>
      <c r="FE305" s="9">
        <v>0</v>
      </c>
      <c r="FF305" s="9">
        <v>0</v>
      </c>
      <c r="FG305" s="9">
        <v>0</v>
      </c>
      <c r="FH305" s="9">
        <v>0</v>
      </c>
      <c r="FI305" s="9">
        <v>0</v>
      </c>
      <c r="FJ305" s="9">
        <v>0</v>
      </c>
      <c r="FK305" s="9">
        <v>0</v>
      </c>
      <c r="FL305" s="9">
        <v>0</v>
      </c>
      <c r="FM305" s="10">
        <v>0</v>
      </c>
    </row>
    <row r="306" spans="1:169" x14ac:dyDescent="0.35">
      <c r="A306" s="8" t="s">
        <v>494</v>
      </c>
      <c r="B306" s="9" t="s">
        <v>517</v>
      </c>
      <c r="C306" s="10" t="s">
        <v>518</v>
      </c>
      <c r="D306" s="62">
        <f t="shared" si="101"/>
        <v>40</v>
      </c>
      <c r="E306" s="9">
        <v>6</v>
      </c>
      <c r="F306" s="9">
        <v>6</v>
      </c>
      <c r="G306" s="9">
        <v>8</v>
      </c>
      <c r="H306" s="9">
        <v>9</v>
      </c>
      <c r="I306" s="9">
        <v>9</v>
      </c>
      <c r="J306" s="9">
        <v>11</v>
      </c>
      <c r="K306" s="9">
        <v>11</v>
      </c>
      <c r="L306" s="9">
        <v>11</v>
      </c>
      <c r="M306" s="9">
        <v>14</v>
      </c>
      <c r="N306" s="9">
        <v>19</v>
      </c>
      <c r="O306" s="9">
        <v>14</v>
      </c>
      <c r="P306" s="9">
        <v>22</v>
      </c>
      <c r="Q306" s="9">
        <v>22</v>
      </c>
      <c r="R306" s="9">
        <v>0</v>
      </c>
      <c r="S306" s="9">
        <v>32</v>
      </c>
      <c r="T306" s="9">
        <v>32</v>
      </c>
      <c r="U306" s="9">
        <v>40</v>
      </c>
      <c r="V306" s="9">
        <v>33</v>
      </c>
      <c r="W306" s="9">
        <v>33</v>
      </c>
      <c r="X306" s="9">
        <v>0</v>
      </c>
      <c r="Y306" s="9">
        <v>33</v>
      </c>
      <c r="Z306" s="9">
        <v>31</v>
      </c>
      <c r="AA306" s="9">
        <v>30</v>
      </c>
      <c r="AB306" s="9">
        <v>32</v>
      </c>
      <c r="AC306" s="9">
        <v>32</v>
      </c>
      <c r="AD306" s="9">
        <v>31</v>
      </c>
      <c r="AE306" s="9">
        <v>29</v>
      </c>
      <c r="AF306" s="9">
        <v>24</v>
      </c>
      <c r="AG306" s="9">
        <v>20</v>
      </c>
      <c r="AH306" s="9">
        <v>20</v>
      </c>
      <c r="AI306" s="9">
        <v>24</v>
      </c>
      <c r="AJ306" s="9">
        <v>23</v>
      </c>
      <c r="AK306" s="9">
        <v>23</v>
      </c>
      <c r="AL306" s="9">
        <v>24</v>
      </c>
      <c r="AM306" s="9">
        <v>22</v>
      </c>
      <c r="AN306" s="9">
        <v>20</v>
      </c>
      <c r="AO306" s="9">
        <v>21</v>
      </c>
      <c r="AP306" s="9">
        <v>19</v>
      </c>
      <c r="AQ306" s="9">
        <v>18</v>
      </c>
      <c r="AR306" s="9">
        <v>20</v>
      </c>
      <c r="AS306" s="9">
        <v>16</v>
      </c>
      <c r="AT306" s="9">
        <v>15</v>
      </c>
      <c r="AU306" s="9">
        <v>12</v>
      </c>
      <c r="AV306" s="9">
        <v>12</v>
      </c>
      <c r="AW306" s="9">
        <v>9</v>
      </c>
      <c r="AX306" s="9">
        <v>10</v>
      </c>
      <c r="AY306" s="9">
        <v>9</v>
      </c>
      <c r="AZ306" s="9">
        <v>12</v>
      </c>
      <c r="BA306" s="9">
        <v>11</v>
      </c>
      <c r="BB306" s="9">
        <v>8</v>
      </c>
      <c r="BC306" s="9">
        <v>8</v>
      </c>
      <c r="BD306" s="9">
        <v>6</v>
      </c>
      <c r="BE306" s="9">
        <v>6</v>
      </c>
      <c r="BF306" s="9">
        <v>6</v>
      </c>
      <c r="BG306" s="9">
        <v>6</v>
      </c>
      <c r="BH306" s="9">
        <v>6</v>
      </c>
      <c r="BI306" s="9">
        <v>6</v>
      </c>
      <c r="BJ306" s="9">
        <v>5</v>
      </c>
      <c r="BK306" s="9">
        <v>5</v>
      </c>
      <c r="BL306" s="9">
        <v>6</v>
      </c>
      <c r="BM306" s="9">
        <v>7</v>
      </c>
      <c r="BN306" s="9">
        <v>7</v>
      </c>
      <c r="BO306" s="9">
        <v>7</v>
      </c>
      <c r="BP306" s="9">
        <v>8</v>
      </c>
      <c r="BQ306" s="9">
        <v>6</v>
      </c>
      <c r="BR306" s="9">
        <v>8</v>
      </c>
      <c r="BS306" s="9">
        <v>8</v>
      </c>
      <c r="BT306" s="9">
        <v>5</v>
      </c>
      <c r="BU306" s="9">
        <v>5</v>
      </c>
      <c r="BV306" s="9">
        <v>4</v>
      </c>
      <c r="BW306" s="9">
        <v>3</v>
      </c>
      <c r="BX306" s="9">
        <v>5</v>
      </c>
      <c r="BY306" s="9">
        <v>3</v>
      </c>
      <c r="BZ306" s="9">
        <v>3</v>
      </c>
      <c r="CA306" s="9">
        <v>3</v>
      </c>
      <c r="CB306" s="9">
        <v>3</v>
      </c>
      <c r="CC306" s="9">
        <v>4</v>
      </c>
      <c r="CD306" s="9">
        <v>5</v>
      </c>
      <c r="CE306" s="9">
        <v>6</v>
      </c>
      <c r="CF306" s="9">
        <v>5</v>
      </c>
      <c r="CG306" s="9">
        <v>5</v>
      </c>
      <c r="CH306" s="9">
        <v>7</v>
      </c>
      <c r="CI306" s="9">
        <v>8</v>
      </c>
      <c r="CJ306" s="9">
        <v>8</v>
      </c>
      <c r="CK306" s="9">
        <v>8</v>
      </c>
      <c r="CL306" s="9">
        <v>8</v>
      </c>
      <c r="CM306" s="9">
        <v>8</v>
      </c>
      <c r="CN306" s="9">
        <v>7</v>
      </c>
      <c r="CO306" s="9">
        <v>7</v>
      </c>
      <c r="CP306" s="9">
        <v>8</v>
      </c>
      <c r="CQ306" s="9">
        <v>7</v>
      </c>
      <c r="CR306" s="9">
        <v>7</v>
      </c>
      <c r="CS306" s="9">
        <v>6</v>
      </c>
      <c r="CT306" s="9">
        <v>5</v>
      </c>
      <c r="CU306" s="9">
        <v>5</v>
      </c>
      <c r="CV306" s="9">
        <v>5</v>
      </c>
      <c r="CW306" s="9">
        <v>5</v>
      </c>
      <c r="CX306" s="9">
        <v>5</v>
      </c>
      <c r="CY306" s="9">
        <v>5</v>
      </c>
      <c r="CZ306" s="9">
        <v>5</v>
      </c>
      <c r="DA306" s="9">
        <v>4</v>
      </c>
      <c r="DB306" s="9">
        <v>4</v>
      </c>
      <c r="DC306" s="9">
        <v>3</v>
      </c>
      <c r="DD306" s="9">
        <v>3</v>
      </c>
      <c r="DE306" s="9">
        <v>3</v>
      </c>
      <c r="DF306" s="9">
        <v>3</v>
      </c>
      <c r="DG306" s="9">
        <v>2</v>
      </c>
      <c r="DH306" s="9">
        <v>2</v>
      </c>
      <c r="DI306" s="9">
        <v>2</v>
      </c>
      <c r="DJ306" s="9">
        <v>2</v>
      </c>
      <c r="DK306" s="9">
        <v>2</v>
      </c>
      <c r="DL306" s="9">
        <v>2</v>
      </c>
      <c r="DM306" s="9">
        <v>1</v>
      </c>
      <c r="DN306" s="9">
        <v>1</v>
      </c>
      <c r="DO306" s="9">
        <v>1</v>
      </c>
      <c r="DP306" s="9">
        <v>1</v>
      </c>
      <c r="DQ306" s="9">
        <v>1</v>
      </c>
      <c r="DR306" s="9">
        <v>1</v>
      </c>
      <c r="DS306" s="9">
        <v>1</v>
      </c>
      <c r="DT306" s="9">
        <v>1</v>
      </c>
      <c r="DU306" s="9">
        <v>1</v>
      </c>
      <c r="DV306" s="9">
        <v>1</v>
      </c>
      <c r="DW306" s="9">
        <v>1</v>
      </c>
      <c r="DX306" s="9">
        <v>1</v>
      </c>
      <c r="DY306" s="9">
        <v>1</v>
      </c>
      <c r="DZ306" s="9">
        <v>1</v>
      </c>
      <c r="EA306" s="9">
        <v>1</v>
      </c>
      <c r="EB306" s="9">
        <v>1</v>
      </c>
      <c r="EC306" s="9">
        <v>2</v>
      </c>
      <c r="ED306" s="9">
        <v>3</v>
      </c>
      <c r="EE306" s="9">
        <v>3</v>
      </c>
      <c r="EF306" s="9">
        <v>3</v>
      </c>
      <c r="EG306" s="9">
        <v>3</v>
      </c>
      <c r="EH306" s="9">
        <v>2</v>
      </c>
      <c r="EI306" s="9">
        <v>2</v>
      </c>
      <c r="EJ306" s="9">
        <v>2</v>
      </c>
      <c r="EK306" s="9">
        <v>1</v>
      </c>
      <c r="EL306" s="9">
        <v>1</v>
      </c>
      <c r="EM306" s="9">
        <v>2</v>
      </c>
      <c r="EN306" s="9">
        <v>1</v>
      </c>
      <c r="EO306" s="9">
        <v>1</v>
      </c>
      <c r="EP306" s="9">
        <v>1</v>
      </c>
      <c r="EQ306" s="9">
        <v>1</v>
      </c>
      <c r="ER306" s="9">
        <v>0</v>
      </c>
      <c r="ES306" s="9">
        <v>0</v>
      </c>
      <c r="ET306" s="9">
        <v>0</v>
      </c>
      <c r="EU306" s="9">
        <v>0</v>
      </c>
      <c r="EV306" s="9">
        <v>0</v>
      </c>
      <c r="EW306" s="9">
        <v>0</v>
      </c>
      <c r="EX306" s="9">
        <v>0</v>
      </c>
      <c r="EY306" s="9">
        <v>0</v>
      </c>
      <c r="EZ306" s="9">
        <v>1</v>
      </c>
      <c r="FA306" s="9">
        <v>1</v>
      </c>
      <c r="FB306" s="9">
        <v>1</v>
      </c>
      <c r="FC306" s="9">
        <v>1</v>
      </c>
      <c r="FD306" s="9">
        <v>1</v>
      </c>
      <c r="FE306" s="9">
        <v>0</v>
      </c>
      <c r="FF306" s="9">
        <v>0</v>
      </c>
      <c r="FG306" s="9">
        <v>0</v>
      </c>
      <c r="FH306" s="9">
        <v>0</v>
      </c>
      <c r="FI306" s="9">
        <v>0</v>
      </c>
      <c r="FJ306" s="9">
        <v>0</v>
      </c>
      <c r="FK306" s="9">
        <v>2</v>
      </c>
      <c r="FL306" s="9">
        <v>1</v>
      </c>
      <c r="FM306" s="10">
        <v>1</v>
      </c>
    </row>
    <row r="307" spans="1:169" x14ac:dyDescent="0.35">
      <c r="A307" s="8" t="s">
        <v>494</v>
      </c>
      <c r="B307" s="9" t="s">
        <v>519</v>
      </c>
      <c r="C307" s="10" t="s">
        <v>520</v>
      </c>
      <c r="D307" s="62">
        <f t="shared" si="101"/>
        <v>61</v>
      </c>
      <c r="E307" s="9">
        <v>3</v>
      </c>
      <c r="F307" s="9">
        <v>2</v>
      </c>
      <c r="G307" s="9">
        <v>2</v>
      </c>
      <c r="H307" s="9">
        <v>5</v>
      </c>
      <c r="I307" s="9">
        <v>7</v>
      </c>
      <c r="J307" s="9">
        <v>7</v>
      </c>
      <c r="K307" s="9">
        <v>9</v>
      </c>
      <c r="L307" s="9">
        <v>7</v>
      </c>
      <c r="M307" s="9">
        <v>7</v>
      </c>
      <c r="N307" s="9">
        <v>10</v>
      </c>
      <c r="O307" s="9">
        <v>13</v>
      </c>
      <c r="P307" s="9">
        <v>16</v>
      </c>
      <c r="Q307" s="9">
        <v>20</v>
      </c>
      <c r="R307" s="9">
        <v>23</v>
      </c>
      <c r="S307" s="9">
        <v>23</v>
      </c>
      <c r="T307" s="9">
        <v>25</v>
      </c>
      <c r="U307" s="9">
        <v>28</v>
      </c>
      <c r="V307" s="9">
        <v>30</v>
      </c>
      <c r="W307" s="9">
        <v>29</v>
      </c>
      <c r="X307" s="9">
        <v>30</v>
      </c>
      <c r="Y307" s="9">
        <v>30</v>
      </c>
      <c r="Z307" s="9">
        <v>28</v>
      </c>
      <c r="AA307" s="9">
        <v>30</v>
      </c>
      <c r="AB307" s="9">
        <v>32</v>
      </c>
      <c r="AC307" s="9">
        <v>31</v>
      </c>
      <c r="AD307" s="9">
        <v>34</v>
      </c>
      <c r="AE307" s="9">
        <v>34</v>
      </c>
      <c r="AF307" s="9">
        <v>32</v>
      </c>
      <c r="AG307" s="9">
        <v>33</v>
      </c>
      <c r="AH307" s="9">
        <v>35</v>
      </c>
      <c r="AI307" s="9">
        <v>39</v>
      </c>
      <c r="AJ307" s="9">
        <v>37</v>
      </c>
      <c r="AK307" s="9">
        <v>35</v>
      </c>
      <c r="AL307" s="9">
        <v>31</v>
      </c>
      <c r="AM307" s="9">
        <v>28</v>
      </c>
      <c r="AN307" s="9">
        <v>24</v>
      </c>
      <c r="AO307" s="9">
        <v>26</v>
      </c>
      <c r="AP307" s="9">
        <v>27</v>
      </c>
      <c r="AQ307" s="9">
        <v>28</v>
      </c>
      <c r="AR307" s="9">
        <v>28</v>
      </c>
      <c r="AS307" s="9">
        <v>23</v>
      </c>
      <c r="AT307" s="9">
        <v>29</v>
      </c>
      <c r="AU307" s="9">
        <v>28</v>
      </c>
      <c r="AV307" s="9">
        <v>33</v>
      </c>
      <c r="AW307" s="9">
        <v>34</v>
      </c>
      <c r="AX307" s="9">
        <v>37</v>
      </c>
      <c r="AY307" s="9">
        <v>37</v>
      </c>
      <c r="AZ307" s="9">
        <v>33</v>
      </c>
      <c r="BA307" s="9">
        <v>31</v>
      </c>
      <c r="BB307" s="9">
        <v>33</v>
      </c>
      <c r="BC307" s="9">
        <v>32</v>
      </c>
      <c r="BD307" s="9">
        <v>32</v>
      </c>
      <c r="BE307" s="9">
        <v>33</v>
      </c>
      <c r="BF307" s="9">
        <v>33</v>
      </c>
      <c r="BG307" s="9">
        <v>29</v>
      </c>
      <c r="BH307" s="9">
        <v>33</v>
      </c>
      <c r="BI307" s="9">
        <v>34</v>
      </c>
      <c r="BJ307" s="9">
        <v>35</v>
      </c>
      <c r="BK307" s="9">
        <v>39</v>
      </c>
      <c r="BL307" s="9">
        <v>44</v>
      </c>
      <c r="BM307" s="9">
        <v>46</v>
      </c>
      <c r="BN307" s="9">
        <v>44</v>
      </c>
      <c r="BO307" s="9">
        <v>50</v>
      </c>
      <c r="BP307" s="9">
        <v>42</v>
      </c>
      <c r="BQ307" s="9">
        <v>43</v>
      </c>
      <c r="BR307" s="9">
        <v>44</v>
      </c>
      <c r="BS307" s="9">
        <v>48</v>
      </c>
      <c r="BT307" s="9">
        <v>46</v>
      </c>
      <c r="BU307" s="9">
        <v>38</v>
      </c>
      <c r="BV307" s="9">
        <v>41</v>
      </c>
      <c r="BW307" s="9">
        <v>48</v>
      </c>
      <c r="BX307" s="9">
        <v>53</v>
      </c>
      <c r="BY307" s="9">
        <v>53</v>
      </c>
      <c r="BZ307" s="9">
        <v>53</v>
      </c>
      <c r="CA307" s="9">
        <v>55</v>
      </c>
      <c r="CB307" s="9">
        <v>54</v>
      </c>
      <c r="CC307" s="9">
        <v>61</v>
      </c>
      <c r="CD307" s="9">
        <v>54</v>
      </c>
      <c r="CE307" s="9">
        <v>44</v>
      </c>
      <c r="CF307" s="9">
        <v>31</v>
      </c>
      <c r="CG307" s="9">
        <v>23</v>
      </c>
      <c r="CH307" s="9">
        <v>20</v>
      </c>
      <c r="CI307" s="9">
        <v>21</v>
      </c>
      <c r="CJ307" s="9">
        <v>17</v>
      </c>
      <c r="CK307" s="9">
        <v>15</v>
      </c>
      <c r="CL307" s="9">
        <v>12</v>
      </c>
      <c r="CM307" s="9">
        <v>13</v>
      </c>
      <c r="CN307" s="9">
        <v>13</v>
      </c>
      <c r="CO307" s="9">
        <v>13</v>
      </c>
      <c r="CP307" s="9">
        <v>13</v>
      </c>
      <c r="CQ307" s="9">
        <v>13</v>
      </c>
      <c r="CR307" s="9">
        <v>11</v>
      </c>
      <c r="CS307" s="9">
        <v>10</v>
      </c>
      <c r="CT307" s="9">
        <v>9</v>
      </c>
      <c r="CU307" s="9">
        <v>9</v>
      </c>
      <c r="CV307" s="9">
        <v>9</v>
      </c>
      <c r="CW307" s="9">
        <v>8</v>
      </c>
      <c r="CX307" s="9">
        <v>7</v>
      </c>
      <c r="CY307" s="9">
        <v>6</v>
      </c>
      <c r="CZ307" s="9">
        <v>5</v>
      </c>
      <c r="DA307" s="9">
        <v>5</v>
      </c>
      <c r="DB307" s="9">
        <v>6</v>
      </c>
      <c r="DC307" s="9">
        <v>7</v>
      </c>
      <c r="DD307" s="9">
        <v>4</v>
      </c>
      <c r="DE307" s="9">
        <v>4</v>
      </c>
      <c r="DF307" s="9">
        <v>4</v>
      </c>
      <c r="DG307" s="9">
        <v>4</v>
      </c>
      <c r="DH307" s="9">
        <v>4</v>
      </c>
      <c r="DI307" s="9">
        <v>3</v>
      </c>
      <c r="DJ307" s="9">
        <v>4</v>
      </c>
      <c r="DK307" s="9">
        <v>3</v>
      </c>
      <c r="DL307" s="9">
        <v>3</v>
      </c>
      <c r="DM307" s="9">
        <v>4</v>
      </c>
      <c r="DN307" s="9">
        <v>2</v>
      </c>
      <c r="DO307" s="9">
        <v>3</v>
      </c>
      <c r="DP307" s="9">
        <v>3</v>
      </c>
      <c r="DQ307" s="9">
        <v>3</v>
      </c>
      <c r="DR307" s="9">
        <v>2</v>
      </c>
      <c r="DS307" s="9">
        <v>2</v>
      </c>
      <c r="DT307" s="9">
        <v>2</v>
      </c>
      <c r="DU307" s="9">
        <v>2</v>
      </c>
      <c r="DV307" s="9">
        <v>2</v>
      </c>
      <c r="DW307" s="9">
        <v>2</v>
      </c>
      <c r="DX307" s="9">
        <v>2</v>
      </c>
      <c r="DY307" s="9">
        <v>2</v>
      </c>
      <c r="DZ307" s="9">
        <v>0</v>
      </c>
      <c r="EA307" s="9">
        <v>0</v>
      </c>
      <c r="EB307" s="9">
        <v>0</v>
      </c>
      <c r="EC307" s="9">
        <v>0</v>
      </c>
      <c r="ED307" s="9">
        <v>0</v>
      </c>
      <c r="EE307" s="9">
        <v>0</v>
      </c>
      <c r="EF307" s="9">
        <v>0</v>
      </c>
      <c r="EG307" s="9">
        <v>0</v>
      </c>
      <c r="EH307" s="9">
        <v>0</v>
      </c>
      <c r="EI307" s="9">
        <v>0</v>
      </c>
      <c r="EJ307" s="9">
        <v>1</v>
      </c>
      <c r="EK307" s="9">
        <v>1</v>
      </c>
      <c r="EL307" s="9">
        <v>1</v>
      </c>
      <c r="EM307" s="9">
        <v>1</v>
      </c>
      <c r="EN307" s="9">
        <v>1</v>
      </c>
      <c r="EO307" s="9">
        <v>1</v>
      </c>
      <c r="EP307" s="9">
        <v>1</v>
      </c>
      <c r="EQ307" s="9">
        <v>1</v>
      </c>
      <c r="ER307" s="9">
        <v>1</v>
      </c>
      <c r="ES307" s="9">
        <v>1</v>
      </c>
      <c r="ET307" s="9">
        <v>1</v>
      </c>
      <c r="EU307" s="9">
        <v>2</v>
      </c>
      <c r="EV307" s="9">
        <v>2</v>
      </c>
      <c r="EW307" s="9">
        <v>2</v>
      </c>
      <c r="EX307" s="9">
        <v>1</v>
      </c>
      <c r="EY307" s="9">
        <v>2</v>
      </c>
      <c r="EZ307" s="9">
        <v>2</v>
      </c>
      <c r="FA307" s="9">
        <v>2</v>
      </c>
      <c r="FB307" s="9">
        <v>1</v>
      </c>
      <c r="FC307" s="9">
        <v>1</v>
      </c>
      <c r="FD307" s="9">
        <v>1</v>
      </c>
      <c r="FE307" s="9">
        <v>1</v>
      </c>
      <c r="FF307" s="9">
        <v>1</v>
      </c>
      <c r="FG307" s="9">
        <v>1</v>
      </c>
      <c r="FH307" s="9">
        <v>1</v>
      </c>
      <c r="FI307" s="9">
        <v>1</v>
      </c>
      <c r="FJ307" s="9">
        <v>0</v>
      </c>
      <c r="FK307" s="9">
        <v>0</v>
      </c>
      <c r="FL307" s="9">
        <v>0</v>
      </c>
      <c r="FM307" s="10">
        <v>0</v>
      </c>
    </row>
    <row r="308" spans="1:169" x14ac:dyDescent="0.35">
      <c r="A308" s="8" t="s">
        <v>494</v>
      </c>
      <c r="B308" s="9" t="s">
        <v>521</v>
      </c>
      <c r="C308" s="10" t="s">
        <v>522</v>
      </c>
      <c r="D308" s="62">
        <f t="shared" si="101"/>
        <v>58</v>
      </c>
      <c r="E308" s="9">
        <v>8</v>
      </c>
      <c r="F308" s="9">
        <v>4</v>
      </c>
      <c r="G308" s="9">
        <v>12</v>
      </c>
      <c r="H308" s="9">
        <v>6</v>
      </c>
      <c r="I308" s="9">
        <v>8</v>
      </c>
      <c r="J308" s="9">
        <v>10</v>
      </c>
      <c r="K308" s="9">
        <v>16</v>
      </c>
      <c r="L308" s="9">
        <v>21</v>
      </c>
      <c r="M308" s="9">
        <v>22</v>
      </c>
      <c r="N308" s="9">
        <v>24</v>
      </c>
      <c r="O308" s="9">
        <v>27</v>
      </c>
      <c r="P308" s="9">
        <v>27</v>
      </c>
      <c r="Q308" s="9">
        <v>35</v>
      </c>
      <c r="R308" s="9">
        <v>40</v>
      </c>
      <c r="S308" s="9">
        <v>45</v>
      </c>
      <c r="T308" s="9">
        <v>48</v>
      </c>
      <c r="U308" s="9">
        <v>50</v>
      </c>
      <c r="V308" s="9">
        <v>49</v>
      </c>
      <c r="W308" s="9">
        <v>53</v>
      </c>
      <c r="X308" s="9">
        <v>53</v>
      </c>
      <c r="Y308" s="9">
        <v>52</v>
      </c>
      <c r="Z308" s="9">
        <v>50</v>
      </c>
      <c r="AA308" s="9">
        <v>52</v>
      </c>
      <c r="AB308" s="9">
        <v>54</v>
      </c>
      <c r="AC308" s="9">
        <v>56</v>
      </c>
      <c r="AD308" s="9">
        <v>58</v>
      </c>
      <c r="AE308" s="9">
        <v>52</v>
      </c>
      <c r="AF308" s="9">
        <v>49</v>
      </c>
      <c r="AG308" s="9">
        <v>46</v>
      </c>
      <c r="AH308" s="9">
        <v>43</v>
      </c>
      <c r="AI308" s="9">
        <v>38</v>
      </c>
      <c r="AJ308" s="9">
        <v>40</v>
      </c>
      <c r="AK308" s="9">
        <v>40</v>
      </c>
      <c r="AL308" s="9">
        <v>40</v>
      </c>
      <c r="AM308" s="9">
        <v>40</v>
      </c>
      <c r="AN308" s="9">
        <v>29</v>
      </c>
      <c r="AO308" s="9">
        <v>29</v>
      </c>
      <c r="AP308" s="9">
        <v>27</v>
      </c>
      <c r="AQ308" s="9">
        <v>28</v>
      </c>
      <c r="AR308" s="9">
        <v>31</v>
      </c>
      <c r="AS308" s="9">
        <v>21</v>
      </c>
      <c r="AT308" s="9">
        <v>18</v>
      </c>
      <c r="AU308" s="9">
        <v>22</v>
      </c>
      <c r="AV308" s="9">
        <v>22</v>
      </c>
      <c r="AW308" s="9">
        <v>22</v>
      </c>
      <c r="AX308" s="9">
        <v>25</v>
      </c>
      <c r="AY308" s="9">
        <v>27</v>
      </c>
      <c r="AZ308" s="9">
        <v>23</v>
      </c>
      <c r="BA308" s="9">
        <v>23</v>
      </c>
      <c r="BB308" s="9">
        <v>20</v>
      </c>
      <c r="BC308" s="9">
        <v>18</v>
      </c>
      <c r="BD308" s="9">
        <v>19</v>
      </c>
      <c r="BE308" s="9">
        <v>17</v>
      </c>
      <c r="BF308" s="9">
        <v>17</v>
      </c>
      <c r="BG308" s="9">
        <v>14</v>
      </c>
      <c r="BH308" s="9">
        <v>16</v>
      </c>
      <c r="BI308" s="9">
        <v>15</v>
      </c>
      <c r="BJ308" s="9">
        <v>11</v>
      </c>
      <c r="BK308" s="9">
        <v>12</v>
      </c>
      <c r="BL308" s="9">
        <v>6</v>
      </c>
      <c r="BM308" s="9">
        <v>5</v>
      </c>
      <c r="BN308" s="9">
        <v>6</v>
      </c>
      <c r="BO308" s="9">
        <v>8</v>
      </c>
      <c r="BP308" s="9">
        <v>6</v>
      </c>
      <c r="BQ308" s="9">
        <v>5</v>
      </c>
      <c r="BR308" s="9">
        <v>5</v>
      </c>
      <c r="BS308" s="9">
        <v>5</v>
      </c>
      <c r="BT308" s="9">
        <v>5</v>
      </c>
      <c r="BU308" s="9">
        <v>4</v>
      </c>
      <c r="BV308" s="9">
        <v>2</v>
      </c>
      <c r="BW308" s="9">
        <v>1</v>
      </c>
      <c r="BX308" s="9">
        <v>0</v>
      </c>
      <c r="BY308" s="9">
        <v>1</v>
      </c>
      <c r="BZ308" s="9">
        <v>2</v>
      </c>
      <c r="CA308" s="9">
        <v>3</v>
      </c>
      <c r="CB308" s="9">
        <v>3</v>
      </c>
      <c r="CC308" s="9">
        <v>5</v>
      </c>
      <c r="CD308" s="9">
        <v>5</v>
      </c>
      <c r="CE308" s="9">
        <v>3</v>
      </c>
      <c r="CF308" s="9">
        <v>5</v>
      </c>
      <c r="CG308" s="9">
        <v>5</v>
      </c>
      <c r="CH308" s="9">
        <v>3</v>
      </c>
      <c r="CI308" s="9">
        <v>3</v>
      </c>
      <c r="CJ308" s="9">
        <v>3</v>
      </c>
      <c r="CK308" s="9">
        <v>2</v>
      </c>
      <c r="CL308" s="9">
        <v>1</v>
      </c>
      <c r="CM308" s="9">
        <v>1</v>
      </c>
      <c r="CN308" s="9">
        <v>1</v>
      </c>
      <c r="CO308" s="9">
        <v>2</v>
      </c>
      <c r="CP308" s="9">
        <v>1</v>
      </c>
      <c r="CQ308" s="9">
        <v>1</v>
      </c>
      <c r="CR308" s="9">
        <v>1</v>
      </c>
      <c r="CS308" s="9">
        <v>1</v>
      </c>
      <c r="CT308" s="9">
        <v>0</v>
      </c>
      <c r="CU308" s="9">
        <v>0</v>
      </c>
      <c r="CV308" s="9">
        <v>1</v>
      </c>
      <c r="CW308" s="9">
        <v>1</v>
      </c>
      <c r="CX308" s="9">
        <v>2</v>
      </c>
      <c r="CY308" s="9">
        <v>1</v>
      </c>
      <c r="CZ308" s="9">
        <v>2</v>
      </c>
      <c r="DA308" s="9">
        <v>0</v>
      </c>
      <c r="DB308" s="9">
        <v>1</v>
      </c>
      <c r="DC308" s="9">
        <v>1</v>
      </c>
      <c r="DD308" s="9">
        <v>0</v>
      </c>
      <c r="DE308" s="9">
        <v>1</v>
      </c>
      <c r="DF308" s="9">
        <v>1</v>
      </c>
      <c r="DG308" s="9">
        <v>2</v>
      </c>
      <c r="DH308" s="9">
        <v>2</v>
      </c>
      <c r="DI308" s="9">
        <v>2</v>
      </c>
      <c r="DJ308" s="9">
        <v>1</v>
      </c>
      <c r="DK308" s="9">
        <v>0</v>
      </c>
      <c r="DL308" s="9">
        <v>0</v>
      </c>
      <c r="DM308" s="9">
        <v>0</v>
      </c>
      <c r="DN308" s="9">
        <v>1</v>
      </c>
      <c r="DO308" s="9">
        <v>1</v>
      </c>
      <c r="DP308" s="9">
        <v>2</v>
      </c>
      <c r="DQ308" s="9">
        <v>2</v>
      </c>
      <c r="DR308" s="9">
        <v>2</v>
      </c>
      <c r="DS308" s="9">
        <v>3</v>
      </c>
      <c r="DT308" s="9">
        <v>3</v>
      </c>
      <c r="DU308" s="9">
        <v>4</v>
      </c>
      <c r="DV308" s="9">
        <v>3</v>
      </c>
      <c r="DW308" s="9">
        <v>3</v>
      </c>
      <c r="DX308" s="9">
        <v>1</v>
      </c>
      <c r="DY308" s="9">
        <v>1</v>
      </c>
      <c r="DZ308" s="9">
        <v>2</v>
      </c>
      <c r="EA308" s="9">
        <v>2</v>
      </c>
      <c r="EB308" s="9">
        <v>1</v>
      </c>
      <c r="EC308" s="9">
        <v>1</v>
      </c>
      <c r="ED308" s="9">
        <v>0</v>
      </c>
      <c r="EE308" s="9">
        <v>0</v>
      </c>
      <c r="EF308" s="9">
        <v>0</v>
      </c>
      <c r="EG308" s="9">
        <v>0</v>
      </c>
      <c r="EH308" s="9">
        <v>0</v>
      </c>
      <c r="EI308" s="9">
        <v>0</v>
      </c>
      <c r="EJ308" s="9">
        <v>0</v>
      </c>
      <c r="EK308" s="9">
        <v>0</v>
      </c>
      <c r="EL308" s="9">
        <v>0</v>
      </c>
      <c r="EM308" s="9">
        <v>0</v>
      </c>
      <c r="EN308" s="9">
        <v>0</v>
      </c>
      <c r="EO308" s="9">
        <v>0</v>
      </c>
      <c r="EP308" s="9">
        <v>0</v>
      </c>
      <c r="EQ308" s="9">
        <v>0</v>
      </c>
      <c r="ER308" s="9">
        <v>0</v>
      </c>
      <c r="ES308" s="9">
        <v>0</v>
      </c>
      <c r="ET308" s="9">
        <v>0</v>
      </c>
      <c r="EU308" s="9">
        <v>0</v>
      </c>
      <c r="EV308" s="9">
        <v>0</v>
      </c>
      <c r="EW308" s="9">
        <v>0</v>
      </c>
      <c r="EX308" s="9">
        <v>0</v>
      </c>
      <c r="EY308" s="9">
        <v>0</v>
      </c>
      <c r="EZ308" s="9">
        <v>0</v>
      </c>
      <c r="FA308" s="9">
        <v>0</v>
      </c>
      <c r="FB308" s="9">
        <v>1</v>
      </c>
      <c r="FC308" s="9">
        <v>0</v>
      </c>
      <c r="FD308" s="9">
        <v>0</v>
      </c>
      <c r="FE308" s="9">
        <v>0</v>
      </c>
      <c r="FF308" s="9">
        <v>0</v>
      </c>
      <c r="FG308" s="9">
        <v>0</v>
      </c>
      <c r="FH308" s="9">
        <v>0</v>
      </c>
      <c r="FI308" s="9">
        <v>0</v>
      </c>
      <c r="FJ308" s="9">
        <v>0</v>
      </c>
      <c r="FK308" s="9">
        <v>0</v>
      </c>
      <c r="FL308" s="9">
        <v>0</v>
      </c>
      <c r="FM308" s="10">
        <v>0</v>
      </c>
    </row>
    <row r="309" spans="1:169" x14ac:dyDescent="0.35">
      <c r="A309" s="8" t="s">
        <v>494</v>
      </c>
      <c r="B309" s="9" t="s">
        <v>523</v>
      </c>
      <c r="C309" s="10" t="s">
        <v>524</v>
      </c>
      <c r="D309" s="62">
        <f t="shared" si="101"/>
        <v>54</v>
      </c>
      <c r="E309" s="9">
        <v>0</v>
      </c>
      <c r="F309" s="9">
        <v>0</v>
      </c>
      <c r="G309" s="9">
        <v>0</v>
      </c>
      <c r="H309" s="9">
        <v>0</v>
      </c>
      <c r="I309" s="9">
        <v>0</v>
      </c>
      <c r="J309" s="9">
        <v>1</v>
      </c>
      <c r="K309" s="9">
        <v>1</v>
      </c>
      <c r="L309" s="9">
        <v>3</v>
      </c>
      <c r="M309" s="9">
        <v>0</v>
      </c>
      <c r="N309" s="9">
        <v>0</v>
      </c>
      <c r="O309" s="9">
        <v>7</v>
      </c>
      <c r="P309" s="9">
        <v>8</v>
      </c>
      <c r="Q309" s="9">
        <v>10</v>
      </c>
      <c r="R309" s="9">
        <v>13</v>
      </c>
      <c r="S309" s="9">
        <v>17</v>
      </c>
      <c r="T309" s="9">
        <v>20</v>
      </c>
      <c r="U309" s="9">
        <v>28</v>
      </c>
      <c r="V309" s="9">
        <v>31</v>
      </c>
      <c r="W309" s="9">
        <v>31</v>
      </c>
      <c r="X309" s="9">
        <v>40</v>
      </c>
      <c r="Y309" s="9">
        <v>40</v>
      </c>
      <c r="Z309" s="9">
        <v>44</v>
      </c>
      <c r="AA309" s="9">
        <v>42</v>
      </c>
      <c r="AB309" s="9">
        <v>50</v>
      </c>
      <c r="AC309" s="9">
        <v>51</v>
      </c>
      <c r="AD309" s="9">
        <v>54</v>
      </c>
      <c r="AE309" s="9">
        <v>53</v>
      </c>
      <c r="AF309" s="9">
        <v>53</v>
      </c>
      <c r="AG309" s="9">
        <v>51</v>
      </c>
      <c r="AH309" s="9">
        <v>46</v>
      </c>
      <c r="AI309" s="9">
        <v>53</v>
      </c>
      <c r="AJ309" s="9">
        <v>54</v>
      </c>
      <c r="AK309" s="9">
        <v>51</v>
      </c>
      <c r="AL309" s="9">
        <v>54</v>
      </c>
      <c r="AM309" s="9">
        <v>46</v>
      </c>
      <c r="AN309" s="9">
        <v>46</v>
      </c>
      <c r="AO309" s="9">
        <v>47</v>
      </c>
      <c r="AP309" s="9">
        <v>46</v>
      </c>
      <c r="AQ309" s="9">
        <v>44</v>
      </c>
      <c r="AR309" s="9">
        <v>41</v>
      </c>
      <c r="AS309" s="9">
        <v>32</v>
      </c>
      <c r="AT309" s="9">
        <v>30</v>
      </c>
      <c r="AU309" s="9">
        <v>31</v>
      </c>
      <c r="AV309" s="9">
        <v>22</v>
      </c>
      <c r="AW309" s="9">
        <v>17</v>
      </c>
      <c r="AX309" s="9">
        <v>17</v>
      </c>
      <c r="AY309" s="9">
        <v>21</v>
      </c>
      <c r="AZ309" s="9">
        <v>21</v>
      </c>
      <c r="BA309" s="9">
        <v>14</v>
      </c>
      <c r="BB309" s="9">
        <v>14</v>
      </c>
      <c r="BC309" s="9">
        <v>6</v>
      </c>
      <c r="BD309" s="9">
        <v>3</v>
      </c>
      <c r="BE309" s="9">
        <v>13</v>
      </c>
      <c r="BF309" s="9">
        <v>15</v>
      </c>
      <c r="BG309" s="9">
        <v>15</v>
      </c>
      <c r="BH309" s="9">
        <v>14</v>
      </c>
      <c r="BI309" s="9">
        <v>13</v>
      </c>
      <c r="BJ309" s="9">
        <v>10</v>
      </c>
      <c r="BK309" s="9">
        <v>7</v>
      </c>
      <c r="BL309" s="9">
        <v>6</v>
      </c>
      <c r="BM309" s="9">
        <v>5</v>
      </c>
      <c r="BN309" s="9">
        <v>5</v>
      </c>
      <c r="BO309" s="9">
        <v>4</v>
      </c>
      <c r="BP309" s="9">
        <v>4</v>
      </c>
      <c r="BQ309" s="9">
        <v>7</v>
      </c>
      <c r="BR309" s="9">
        <v>6</v>
      </c>
      <c r="BS309" s="9">
        <v>7</v>
      </c>
      <c r="BT309" s="9">
        <v>8</v>
      </c>
      <c r="BU309" s="9">
        <v>8</v>
      </c>
      <c r="BV309" s="9">
        <v>6</v>
      </c>
      <c r="BW309" s="9">
        <v>5</v>
      </c>
      <c r="BX309" s="9">
        <v>4</v>
      </c>
      <c r="BY309" s="9">
        <v>4</v>
      </c>
      <c r="BZ309" s="9">
        <v>3</v>
      </c>
      <c r="CA309" s="9">
        <v>3</v>
      </c>
      <c r="CB309" s="9">
        <v>3</v>
      </c>
      <c r="CC309" s="9">
        <v>3</v>
      </c>
      <c r="CD309" s="9">
        <v>3</v>
      </c>
      <c r="CE309" s="9">
        <v>3</v>
      </c>
      <c r="CF309" s="9">
        <v>3</v>
      </c>
      <c r="CG309" s="9">
        <v>5</v>
      </c>
      <c r="CH309" s="9">
        <v>5</v>
      </c>
      <c r="CI309" s="9">
        <v>5</v>
      </c>
      <c r="CJ309" s="9">
        <v>5</v>
      </c>
      <c r="CK309" s="9">
        <v>4</v>
      </c>
      <c r="CL309" s="9">
        <v>4</v>
      </c>
      <c r="CM309" s="9">
        <v>2</v>
      </c>
      <c r="CN309" s="9">
        <v>2</v>
      </c>
      <c r="CO309" s="9">
        <v>2</v>
      </c>
      <c r="CP309" s="9">
        <v>2</v>
      </c>
      <c r="CQ309" s="9">
        <v>2</v>
      </c>
      <c r="CR309" s="9">
        <v>2</v>
      </c>
      <c r="CS309" s="9">
        <v>2</v>
      </c>
      <c r="CT309" s="9">
        <v>2</v>
      </c>
      <c r="CU309" s="9">
        <v>2</v>
      </c>
      <c r="CV309" s="9">
        <v>2</v>
      </c>
      <c r="CW309" s="9">
        <v>0</v>
      </c>
      <c r="CX309" s="9">
        <v>0</v>
      </c>
      <c r="CY309" s="9">
        <v>0</v>
      </c>
      <c r="CZ309" s="9">
        <v>0</v>
      </c>
      <c r="DA309" s="9">
        <v>0</v>
      </c>
      <c r="DB309" s="9">
        <v>0</v>
      </c>
      <c r="DC309" s="9">
        <v>0</v>
      </c>
      <c r="DD309" s="9">
        <v>0</v>
      </c>
      <c r="DE309" s="9">
        <v>0</v>
      </c>
      <c r="DF309" s="9">
        <v>0</v>
      </c>
      <c r="DG309" s="9">
        <v>0</v>
      </c>
      <c r="DH309" s="9">
        <v>0</v>
      </c>
      <c r="DI309" s="9">
        <v>0</v>
      </c>
      <c r="DJ309" s="9">
        <v>0</v>
      </c>
      <c r="DK309" s="9">
        <v>0</v>
      </c>
      <c r="DL309" s="9">
        <v>0</v>
      </c>
      <c r="DM309" s="9">
        <v>0</v>
      </c>
      <c r="DN309" s="9">
        <v>0</v>
      </c>
      <c r="DO309" s="9">
        <v>0</v>
      </c>
      <c r="DP309" s="9">
        <v>0</v>
      </c>
      <c r="DQ309" s="9">
        <v>0</v>
      </c>
      <c r="DR309" s="9">
        <v>0</v>
      </c>
      <c r="DS309" s="9">
        <v>0</v>
      </c>
      <c r="DT309" s="9">
        <v>0</v>
      </c>
      <c r="DU309" s="9">
        <v>0</v>
      </c>
      <c r="DV309" s="9">
        <v>0</v>
      </c>
      <c r="DW309" s="9">
        <v>0</v>
      </c>
      <c r="DX309" s="9">
        <v>0</v>
      </c>
      <c r="DY309" s="9">
        <v>0</v>
      </c>
      <c r="DZ309" s="9">
        <v>0</v>
      </c>
      <c r="EA309" s="9">
        <v>0</v>
      </c>
      <c r="EB309" s="9">
        <v>0</v>
      </c>
      <c r="EC309" s="9">
        <v>0</v>
      </c>
      <c r="ED309" s="9">
        <v>0</v>
      </c>
      <c r="EE309" s="9">
        <v>0</v>
      </c>
      <c r="EF309" s="9">
        <v>0</v>
      </c>
      <c r="EG309" s="9">
        <v>0</v>
      </c>
      <c r="EH309" s="9">
        <v>0</v>
      </c>
      <c r="EI309" s="9">
        <v>0</v>
      </c>
      <c r="EJ309" s="9">
        <v>0</v>
      </c>
      <c r="EK309" s="9">
        <v>0</v>
      </c>
      <c r="EL309" s="9">
        <v>0</v>
      </c>
      <c r="EM309" s="9">
        <v>0</v>
      </c>
      <c r="EN309" s="9">
        <v>0</v>
      </c>
      <c r="EO309" s="9">
        <v>0</v>
      </c>
      <c r="EP309" s="9">
        <v>0</v>
      </c>
      <c r="EQ309" s="9">
        <v>0</v>
      </c>
      <c r="ER309" s="9">
        <v>0</v>
      </c>
      <c r="ES309" s="9">
        <v>0</v>
      </c>
      <c r="ET309" s="9">
        <v>0</v>
      </c>
      <c r="EU309" s="9">
        <v>0</v>
      </c>
      <c r="EV309" s="9">
        <v>0</v>
      </c>
      <c r="EW309" s="9">
        <v>0</v>
      </c>
      <c r="EX309" s="9">
        <v>0</v>
      </c>
      <c r="EY309" s="9">
        <v>0</v>
      </c>
      <c r="EZ309" s="9">
        <v>0</v>
      </c>
      <c r="FA309" s="9">
        <v>0</v>
      </c>
      <c r="FB309" s="9">
        <v>0</v>
      </c>
      <c r="FC309" s="9">
        <v>0</v>
      </c>
      <c r="FD309" s="9">
        <v>0</v>
      </c>
      <c r="FE309" s="9">
        <v>0</v>
      </c>
      <c r="FF309" s="9">
        <v>0</v>
      </c>
      <c r="FG309" s="9">
        <v>0</v>
      </c>
      <c r="FH309" s="9">
        <v>0</v>
      </c>
      <c r="FI309" s="9">
        <v>0</v>
      </c>
      <c r="FJ309" s="9">
        <v>0</v>
      </c>
      <c r="FK309" s="9">
        <v>0</v>
      </c>
      <c r="FL309" s="9">
        <v>0</v>
      </c>
      <c r="FM309" s="10">
        <v>0</v>
      </c>
    </row>
    <row r="310" spans="1:169" x14ac:dyDescent="0.35">
      <c r="A310" s="8" t="s">
        <v>494</v>
      </c>
      <c r="B310" s="9" t="s">
        <v>525</v>
      </c>
      <c r="C310" s="10" t="s">
        <v>526</v>
      </c>
      <c r="D310" s="62">
        <f t="shared" si="101"/>
        <v>95</v>
      </c>
      <c r="E310" s="9">
        <v>0</v>
      </c>
      <c r="F310" s="9">
        <v>15</v>
      </c>
      <c r="G310" s="9">
        <v>17</v>
      </c>
      <c r="H310" s="9">
        <v>17</v>
      </c>
      <c r="I310" s="9">
        <v>21</v>
      </c>
      <c r="J310" s="9">
        <v>29</v>
      </c>
      <c r="K310" s="9">
        <v>32</v>
      </c>
      <c r="L310" s="9">
        <v>40</v>
      </c>
      <c r="M310" s="9">
        <v>48</v>
      </c>
      <c r="N310" s="9">
        <v>52</v>
      </c>
      <c r="O310" s="9">
        <v>61</v>
      </c>
      <c r="P310" s="9">
        <v>63</v>
      </c>
      <c r="Q310" s="9">
        <v>66</v>
      </c>
      <c r="R310" s="9">
        <v>70</v>
      </c>
      <c r="S310" s="9">
        <v>67</v>
      </c>
      <c r="T310" s="9">
        <v>86</v>
      </c>
      <c r="U310" s="9">
        <v>95</v>
      </c>
      <c r="V310" s="9">
        <v>94</v>
      </c>
      <c r="W310" s="9">
        <v>92</v>
      </c>
      <c r="X310" s="9">
        <v>92</v>
      </c>
      <c r="Y310" s="9">
        <v>90</v>
      </c>
      <c r="Z310" s="9">
        <v>90</v>
      </c>
      <c r="AA310" s="9">
        <v>89</v>
      </c>
      <c r="AB310" s="9">
        <v>89</v>
      </c>
      <c r="AC310" s="9">
        <v>84</v>
      </c>
      <c r="AD310" s="9">
        <v>91</v>
      </c>
      <c r="AE310" s="9">
        <v>89</v>
      </c>
      <c r="AF310" s="9">
        <v>85</v>
      </c>
      <c r="AG310" s="9">
        <v>83</v>
      </c>
      <c r="AH310" s="9">
        <v>78</v>
      </c>
      <c r="AI310" s="9">
        <v>70</v>
      </c>
      <c r="AJ310" s="9">
        <v>69</v>
      </c>
      <c r="AK310" s="9">
        <v>71</v>
      </c>
      <c r="AL310" s="9">
        <v>79</v>
      </c>
      <c r="AM310" s="9">
        <v>73</v>
      </c>
      <c r="AN310" s="9">
        <v>69</v>
      </c>
      <c r="AO310" s="9">
        <v>54</v>
      </c>
      <c r="AP310" s="9">
        <v>53</v>
      </c>
      <c r="AQ310" s="9">
        <v>64</v>
      </c>
      <c r="AR310" s="9">
        <v>59</v>
      </c>
      <c r="AS310" s="9">
        <v>54</v>
      </c>
      <c r="AT310" s="9">
        <v>53</v>
      </c>
      <c r="AU310" s="9">
        <v>51</v>
      </c>
      <c r="AV310" s="9">
        <v>42</v>
      </c>
      <c r="AW310" s="9">
        <v>49</v>
      </c>
      <c r="AX310" s="9">
        <v>57</v>
      </c>
      <c r="AY310" s="9">
        <v>55</v>
      </c>
      <c r="AZ310" s="9">
        <v>50</v>
      </c>
      <c r="BA310" s="9">
        <v>50</v>
      </c>
      <c r="BB310" s="9">
        <v>47</v>
      </c>
      <c r="BC310" s="9">
        <v>49</v>
      </c>
      <c r="BD310" s="9">
        <v>44</v>
      </c>
      <c r="BE310" s="9">
        <v>42</v>
      </c>
      <c r="BF310" s="9">
        <v>37</v>
      </c>
      <c r="BG310" s="9">
        <v>39</v>
      </c>
      <c r="BH310" s="9">
        <v>34</v>
      </c>
      <c r="BI310" s="9">
        <v>33</v>
      </c>
      <c r="BJ310" s="9">
        <v>35</v>
      </c>
      <c r="BK310" s="9">
        <v>36</v>
      </c>
      <c r="BL310" s="9">
        <v>37</v>
      </c>
      <c r="BM310" s="9">
        <v>32</v>
      </c>
      <c r="BN310" s="9">
        <v>31</v>
      </c>
      <c r="BO310" s="9">
        <v>33</v>
      </c>
      <c r="BP310" s="9">
        <v>30</v>
      </c>
      <c r="BQ310" s="9">
        <v>30</v>
      </c>
      <c r="BR310" s="9">
        <v>29</v>
      </c>
      <c r="BS310" s="9">
        <v>29</v>
      </c>
      <c r="BT310" s="9">
        <v>25</v>
      </c>
      <c r="BU310" s="9">
        <v>19</v>
      </c>
      <c r="BV310" s="9">
        <v>16</v>
      </c>
      <c r="BW310" s="9">
        <v>8</v>
      </c>
      <c r="BX310" s="9">
        <v>5</v>
      </c>
      <c r="BY310" s="9">
        <v>4</v>
      </c>
      <c r="BZ310" s="9">
        <v>5</v>
      </c>
      <c r="CA310" s="9">
        <v>5</v>
      </c>
      <c r="CB310" s="9">
        <v>5</v>
      </c>
      <c r="CC310" s="9">
        <v>4</v>
      </c>
      <c r="CD310" s="9">
        <v>4</v>
      </c>
      <c r="CE310" s="9">
        <v>4</v>
      </c>
      <c r="CF310" s="9">
        <v>4</v>
      </c>
      <c r="CG310" s="9">
        <v>3</v>
      </c>
      <c r="CH310" s="9">
        <v>3</v>
      </c>
      <c r="CI310" s="9">
        <v>2</v>
      </c>
      <c r="CJ310" s="9">
        <v>2</v>
      </c>
      <c r="CK310" s="9">
        <v>0</v>
      </c>
      <c r="CL310" s="9">
        <v>0</v>
      </c>
      <c r="CM310" s="9">
        <v>0</v>
      </c>
      <c r="CN310" s="9">
        <v>0</v>
      </c>
      <c r="CO310" s="9">
        <v>0</v>
      </c>
      <c r="CP310" s="9">
        <v>0</v>
      </c>
      <c r="CQ310" s="9">
        <v>0</v>
      </c>
      <c r="CR310" s="9">
        <v>0</v>
      </c>
      <c r="CS310" s="9">
        <v>1</v>
      </c>
      <c r="CT310" s="9">
        <v>2</v>
      </c>
      <c r="CU310" s="9">
        <v>2</v>
      </c>
      <c r="CV310" s="9">
        <v>2</v>
      </c>
      <c r="CW310" s="9">
        <v>2</v>
      </c>
      <c r="CX310" s="9">
        <v>1</v>
      </c>
      <c r="CY310" s="9">
        <v>1</v>
      </c>
      <c r="CZ310" s="9">
        <v>0</v>
      </c>
      <c r="DA310" s="9">
        <v>1</v>
      </c>
      <c r="DB310" s="9">
        <v>1</v>
      </c>
      <c r="DC310" s="9">
        <v>4</v>
      </c>
      <c r="DD310" s="9">
        <v>1</v>
      </c>
      <c r="DE310" s="9">
        <v>0</v>
      </c>
      <c r="DF310" s="9">
        <v>1</v>
      </c>
      <c r="DG310" s="9">
        <v>1</v>
      </c>
      <c r="DH310" s="9">
        <v>1</v>
      </c>
      <c r="DI310" s="9">
        <v>1</v>
      </c>
      <c r="DJ310" s="9">
        <v>1</v>
      </c>
      <c r="DK310" s="9">
        <v>1</v>
      </c>
      <c r="DL310" s="9">
        <v>1</v>
      </c>
      <c r="DM310" s="9">
        <v>0</v>
      </c>
      <c r="DN310" s="9">
        <v>0</v>
      </c>
      <c r="DO310" s="9">
        <v>0</v>
      </c>
      <c r="DP310" s="9">
        <v>0</v>
      </c>
      <c r="DQ310" s="9">
        <v>0</v>
      </c>
      <c r="DR310" s="9">
        <v>0</v>
      </c>
      <c r="DS310" s="9">
        <v>0</v>
      </c>
      <c r="DT310" s="9">
        <v>0</v>
      </c>
      <c r="DU310" s="9">
        <v>0</v>
      </c>
      <c r="DV310" s="9">
        <v>0</v>
      </c>
      <c r="DW310" s="9">
        <v>0</v>
      </c>
      <c r="DX310" s="9">
        <v>0</v>
      </c>
      <c r="DY310" s="9">
        <v>0</v>
      </c>
      <c r="DZ310" s="9">
        <v>0</v>
      </c>
      <c r="EA310" s="9">
        <v>0</v>
      </c>
      <c r="EB310" s="9">
        <v>0</v>
      </c>
      <c r="EC310" s="9">
        <v>0</v>
      </c>
      <c r="ED310" s="9">
        <v>0</v>
      </c>
      <c r="EE310" s="9">
        <v>0</v>
      </c>
      <c r="EF310" s="9">
        <v>1</v>
      </c>
      <c r="EG310" s="9">
        <v>1</v>
      </c>
      <c r="EH310" s="9">
        <v>1</v>
      </c>
      <c r="EI310" s="9">
        <v>1</v>
      </c>
      <c r="EJ310" s="9">
        <v>1</v>
      </c>
      <c r="EK310" s="9">
        <v>1</v>
      </c>
      <c r="EL310" s="9">
        <v>1</v>
      </c>
      <c r="EM310" s="9">
        <v>1</v>
      </c>
      <c r="EN310" s="9">
        <v>1</v>
      </c>
      <c r="EO310" s="9">
        <v>1</v>
      </c>
      <c r="EP310" s="9">
        <v>0</v>
      </c>
      <c r="EQ310" s="9">
        <v>0</v>
      </c>
      <c r="ER310" s="9">
        <v>0</v>
      </c>
      <c r="ES310" s="9">
        <v>0</v>
      </c>
      <c r="ET310" s="9">
        <v>0</v>
      </c>
      <c r="EU310" s="9">
        <v>0</v>
      </c>
      <c r="EV310" s="9">
        <v>0</v>
      </c>
      <c r="EW310" s="9">
        <v>0</v>
      </c>
      <c r="EX310" s="9">
        <v>0</v>
      </c>
      <c r="EY310" s="9">
        <v>0</v>
      </c>
      <c r="EZ310" s="9">
        <v>0</v>
      </c>
      <c r="FA310" s="9">
        <v>0</v>
      </c>
      <c r="FB310" s="9">
        <v>0</v>
      </c>
      <c r="FC310" s="9">
        <v>0</v>
      </c>
      <c r="FD310" s="9">
        <v>0</v>
      </c>
      <c r="FE310" s="9">
        <v>1</v>
      </c>
      <c r="FF310" s="9">
        <v>1</v>
      </c>
      <c r="FG310" s="9">
        <v>1</v>
      </c>
      <c r="FH310" s="9">
        <v>1</v>
      </c>
      <c r="FI310" s="9">
        <v>1</v>
      </c>
      <c r="FJ310" s="9">
        <v>1</v>
      </c>
      <c r="FK310" s="9">
        <v>2</v>
      </c>
      <c r="FL310" s="9">
        <v>1</v>
      </c>
      <c r="FM310" s="10">
        <v>1</v>
      </c>
    </row>
    <row r="311" spans="1:169" x14ac:dyDescent="0.35">
      <c r="A311" s="8" t="s">
        <v>494</v>
      </c>
      <c r="B311" s="9" t="s">
        <v>527</v>
      </c>
      <c r="C311" s="10" t="s">
        <v>528</v>
      </c>
      <c r="D311" s="62">
        <f t="shared" si="101"/>
        <v>72</v>
      </c>
      <c r="E311" s="9">
        <v>2</v>
      </c>
      <c r="F311" s="9">
        <v>4</v>
      </c>
      <c r="G311" s="9">
        <v>8</v>
      </c>
      <c r="H311" s="9">
        <v>10</v>
      </c>
      <c r="I311" s="9">
        <v>12</v>
      </c>
      <c r="J311" s="9">
        <v>16</v>
      </c>
      <c r="K311" s="9">
        <v>18</v>
      </c>
      <c r="L311" s="9">
        <v>20</v>
      </c>
      <c r="M311" s="9">
        <v>22</v>
      </c>
      <c r="N311" s="9">
        <v>31</v>
      </c>
      <c r="O311" s="9">
        <v>31</v>
      </c>
      <c r="P311" s="9">
        <v>31</v>
      </c>
      <c r="Q311" s="9">
        <v>41</v>
      </c>
      <c r="R311" s="9">
        <v>43</v>
      </c>
      <c r="S311" s="9">
        <v>45</v>
      </c>
      <c r="T311" s="9">
        <v>51</v>
      </c>
      <c r="U311" s="9">
        <v>54</v>
      </c>
      <c r="V311" s="9">
        <v>57</v>
      </c>
      <c r="W311" s="9">
        <v>61</v>
      </c>
      <c r="X311" s="9">
        <v>66</v>
      </c>
      <c r="Y311" s="9">
        <v>66</v>
      </c>
      <c r="Z311" s="9">
        <v>58</v>
      </c>
      <c r="AA311" s="9">
        <v>60</v>
      </c>
      <c r="AB311" s="9">
        <v>64</v>
      </c>
      <c r="AC311" s="9">
        <v>70</v>
      </c>
      <c r="AD311" s="9">
        <v>72</v>
      </c>
      <c r="AE311" s="9">
        <v>66</v>
      </c>
      <c r="AF311" s="9">
        <v>59</v>
      </c>
      <c r="AG311" s="9">
        <v>66</v>
      </c>
      <c r="AH311" s="9">
        <v>61</v>
      </c>
      <c r="AI311" s="9">
        <v>70</v>
      </c>
      <c r="AJ311" s="9">
        <v>67</v>
      </c>
      <c r="AK311" s="9">
        <v>60</v>
      </c>
      <c r="AL311" s="9">
        <v>63</v>
      </c>
      <c r="AM311" s="9">
        <v>61</v>
      </c>
      <c r="AN311" s="9">
        <v>64</v>
      </c>
      <c r="AO311" s="9">
        <v>61</v>
      </c>
      <c r="AP311" s="9">
        <v>64</v>
      </c>
      <c r="AQ311" s="9">
        <v>63</v>
      </c>
      <c r="AR311" s="9">
        <v>58</v>
      </c>
      <c r="AS311" s="9">
        <v>58</v>
      </c>
      <c r="AT311" s="9">
        <v>59</v>
      </c>
      <c r="AU311" s="9">
        <v>47</v>
      </c>
      <c r="AV311" s="9">
        <v>44</v>
      </c>
      <c r="AW311" s="9">
        <v>44</v>
      </c>
      <c r="AX311" s="9">
        <v>45</v>
      </c>
      <c r="AY311" s="9">
        <v>47</v>
      </c>
      <c r="AZ311" s="9">
        <v>44</v>
      </c>
      <c r="BA311" s="9">
        <v>38</v>
      </c>
      <c r="BB311" s="9">
        <v>34</v>
      </c>
      <c r="BC311" s="9">
        <v>36</v>
      </c>
      <c r="BD311" s="9">
        <v>39</v>
      </c>
      <c r="BE311" s="9">
        <v>41</v>
      </c>
      <c r="BF311" s="9">
        <v>34</v>
      </c>
      <c r="BG311" s="9">
        <v>38</v>
      </c>
      <c r="BH311" s="9">
        <v>31</v>
      </c>
      <c r="BI311" s="9">
        <v>32</v>
      </c>
      <c r="BJ311" s="9">
        <v>33</v>
      </c>
      <c r="BK311" s="9">
        <v>36</v>
      </c>
      <c r="BL311" s="9">
        <v>43</v>
      </c>
      <c r="BM311" s="9">
        <v>39</v>
      </c>
      <c r="BN311" s="9">
        <v>37</v>
      </c>
      <c r="BO311" s="9">
        <v>37</v>
      </c>
      <c r="BP311" s="9">
        <v>34</v>
      </c>
      <c r="BQ311" s="9">
        <v>31</v>
      </c>
      <c r="BR311" s="9">
        <v>30</v>
      </c>
      <c r="BS311" s="9">
        <v>28</v>
      </c>
      <c r="BT311" s="9">
        <v>26</v>
      </c>
      <c r="BU311" s="9">
        <v>24</v>
      </c>
      <c r="BV311" s="9">
        <v>27</v>
      </c>
      <c r="BW311" s="9">
        <v>25</v>
      </c>
      <c r="BX311" s="9">
        <v>22</v>
      </c>
      <c r="BY311" s="9">
        <v>21</v>
      </c>
      <c r="BZ311" s="9">
        <v>22</v>
      </c>
      <c r="CA311" s="9">
        <v>22</v>
      </c>
      <c r="CB311" s="9">
        <v>20</v>
      </c>
      <c r="CC311" s="9">
        <v>16</v>
      </c>
      <c r="CD311" s="9">
        <v>16</v>
      </c>
      <c r="CE311" s="9">
        <v>24</v>
      </c>
      <c r="CF311" s="9">
        <v>14</v>
      </c>
      <c r="CG311" s="9">
        <v>25</v>
      </c>
      <c r="CH311" s="9">
        <v>23</v>
      </c>
      <c r="CI311" s="9">
        <v>19</v>
      </c>
      <c r="CJ311" s="9">
        <v>15</v>
      </c>
      <c r="CK311" s="9">
        <v>13</v>
      </c>
      <c r="CL311" s="9">
        <v>13</v>
      </c>
      <c r="CM311" s="9">
        <v>11</v>
      </c>
      <c r="CN311" s="9">
        <v>13</v>
      </c>
      <c r="CO311" s="9">
        <v>12</v>
      </c>
      <c r="CP311" s="9">
        <v>13</v>
      </c>
      <c r="CQ311" s="9">
        <v>12</v>
      </c>
      <c r="CR311" s="9">
        <v>13</v>
      </c>
      <c r="CS311" s="9">
        <v>12</v>
      </c>
      <c r="CT311" s="9">
        <v>12</v>
      </c>
      <c r="CU311" s="9">
        <v>11</v>
      </c>
      <c r="CV311" s="9">
        <v>11</v>
      </c>
      <c r="CW311" s="9">
        <v>10</v>
      </c>
      <c r="CX311" s="9">
        <v>9</v>
      </c>
      <c r="CY311" s="9">
        <v>9</v>
      </c>
      <c r="CZ311" s="9">
        <v>9</v>
      </c>
      <c r="DA311" s="9">
        <v>9</v>
      </c>
      <c r="DB311" s="9">
        <v>10</v>
      </c>
      <c r="DC311" s="9">
        <v>11</v>
      </c>
      <c r="DD311" s="9">
        <v>12</v>
      </c>
      <c r="DE311" s="9">
        <v>7</v>
      </c>
      <c r="DF311" s="9">
        <v>7</v>
      </c>
      <c r="DG311" s="9">
        <v>6</v>
      </c>
      <c r="DH311" s="9">
        <v>8</v>
      </c>
      <c r="DI311" s="9">
        <v>8</v>
      </c>
      <c r="DJ311" s="9">
        <v>4</v>
      </c>
      <c r="DK311" s="9">
        <v>2</v>
      </c>
      <c r="DL311" s="9">
        <v>2</v>
      </c>
      <c r="DM311" s="9">
        <v>2</v>
      </c>
      <c r="DN311" s="9">
        <v>1</v>
      </c>
      <c r="DO311" s="9">
        <v>1</v>
      </c>
      <c r="DP311" s="9">
        <v>1</v>
      </c>
      <c r="DQ311" s="9">
        <v>1</v>
      </c>
      <c r="DR311" s="9">
        <v>0</v>
      </c>
      <c r="DS311" s="9">
        <v>1</v>
      </c>
      <c r="DT311" s="9">
        <v>1</v>
      </c>
      <c r="DU311" s="9">
        <v>2</v>
      </c>
      <c r="DV311" s="9">
        <v>2</v>
      </c>
      <c r="DW311" s="9">
        <v>2</v>
      </c>
      <c r="DX311" s="9">
        <v>3</v>
      </c>
      <c r="DY311" s="9">
        <v>3</v>
      </c>
      <c r="DZ311" s="9">
        <v>3</v>
      </c>
      <c r="EA311" s="9">
        <v>3</v>
      </c>
      <c r="EB311" s="9">
        <v>3</v>
      </c>
      <c r="EC311" s="9">
        <v>3</v>
      </c>
      <c r="ED311" s="9">
        <v>4</v>
      </c>
      <c r="EE311" s="9">
        <v>3</v>
      </c>
      <c r="EF311" s="9">
        <v>4</v>
      </c>
      <c r="EG311" s="9">
        <v>4</v>
      </c>
      <c r="EH311" s="9">
        <v>5</v>
      </c>
      <c r="EI311" s="9">
        <v>5</v>
      </c>
      <c r="EJ311" s="9">
        <v>4</v>
      </c>
      <c r="EK311" s="9">
        <v>4</v>
      </c>
      <c r="EL311" s="9">
        <v>3</v>
      </c>
      <c r="EM311" s="9">
        <v>5</v>
      </c>
      <c r="EN311" s="9">
        <v>4</v>
      </c>
      <c r="EO311" s="9">
        <v>3</v>
      </c>
      <c r="EP311" s="9">
        <v>3</v>
      </c>
      <c r="EQ311" s="9">
        <v>4</v>
      </c>
      <c r="ER311" s="9">
        <v>5</v>
      </c>
      <c r="ES311" s="9">
        <v>4</v>
      </c>
      <c r="ET311" s="9">
        <v>4</v>
      </c>
      <c r="EU311" s="9">
        <v>5</v>
      </c>
      <c r="EV311" s="9">
        <v>7</v>
      </c>
      <c r="EW311" s="9">
        <v>7</v>
      </c>
      <c r="EX311" s="9">
        <v>6</v>
      </c>
      <c r="EY311" s="9">
        <v>7</v>
      </c>
      <c r="EZ311" s="9">
        <v>5</v>
      </c>
      <c r="FA311" s="9">
        <v>5</v>
      </c>
      <c r="FB311" s="9">
        <v>3</v>
      </c>
      <c r="FC311" s="9">
        <v>4</v>
      </c>
      <c r="FD311" s="9">
        <v>4</v>
      </c>
      <c r="FE311" s="9">
        <v>4</v>
      </c>
      <c r="FF311" s="9">
        <v>4</v>
      </c>
      <c r="FG311" s="9">
        <v>4</v>
      </c>
      <c r="FH311" s="9">
        <v>2</v>
      </c>
      <c r="FI311" s="9">
        <v>2</v>
      </c>
      <c r="FJ311" s="9">
        <v>1</v>
      </c>
      <c r="FK311" s="9">
        <v>2</v>
      </c>
      <c r="FL311" s="9">
        <v>2</v>
      </c>
      <c r="FM311" s="10">
        <v>2</v>
      </c>
    </row>
    <row r="312" spans="1:169" x14ac:dyDescent="0.35">
      <c r="A312" s="8" t="s">
        <v>494</v>
      </c>
      <c r="B312" s="9" t="s">
        <v>529</v>
      </c>
      <c r="C312" s="10" t="s">
        <v>530</v>
      </c>
      <c r="D312" s="62">
        <f t="shared" si="101"/>
        <v>44</v>
      </c>
      <c r="E312" s="9">
        <v>1</v>
      </c>
      <c r="F312" s="9">
        <v>2</v>
      </c>
      <c r="G312" s="9">
        <v>4</v>
      </c>
      <c r="H312" s="9">
        <v>7</v>
      </c>
      <c r="I312" s="9">
        <v>7</v>
      </c>
      <c r="J312" s="9">
        <v>8</v>
      </c>
      <c r="K312" s="9">
        <v>14</v>
      </c>
      <c r="L312" s="9">
        <v>15</v>
      </c>
      <c r="M312" s="9">
        <v>15</v>
      </c>
      <c r="N312" s="9">
        <v>18</v>
      </c>
      <c r="O312" s="9">
        <v>19</v>
      </c>
      <c r="P312" s="9">
        <v>17</v>
      </c>
      <c r="Q312" s="9">
        <v>21</v>
      </c>
      <c r="R312" s="9">
        <v>16</v>
      </c>
      <c r="S312" s="9">
        <v>18</v>
      </c>
      <c r="T312" s="9">
        <v>21</v>
      </c>
      <c r="U312" s="9">
        <v>25</v>
      </c>
      <c r="V312" s="9">
        <v>26</v>
      </c>
      <c r="W312" s="9">
        <v>31</v>
      </c>
      <c r="X312" s="9">
        <v>29</v>
      </c>
      <c r="Y312" s="9">
        <v>30</v>
      </c>
      <c r="Z312" s="9">
        <v>32</v>
      </c>
      <c r="AA312" s="9">
        <v>36</v>
      </c>
      <c r="AB312" s="9">
        <v>38</v>
      </c>
      <c r="AC312" s="9">
        <v>36</v>
      </c>
      <c r="AD312" s="9">
        <v>44</v>
      </c>
      <c r="AE312" s="9">
        <v>44</v>
      </c>
      <c r="AF312" s="9">
        <v>44</v>
      </c>
      <c r="AG312" s="9">
        <v>43</v>
      </c>
      <c r="AH312" s="9">
        <v>40</v>
      </c>
      <c r="AI312" s="9">
        <v>43</v>
      </c>
      <c r="AJ312" s="9">
        <v>40</v>
      </c>
      <c r="AK312" s="9">
        <v>36</v>
      </c>
      <c r="AL312" s="9">
        <v>34</v>
      </c>
      <c r="AM312" s="9">
        <v>32</v>
      </c>
      <c r="AN312" s="9">
        <v>29</v>
      </c>
      <c r="AO312" s="9">
        <v>29</v>
      </c>
      <c r="AP312" s="9">
        <v>28</v>
      </c>
      <c r="AQ312" s="9">
        <v>22</v>
      </c>
      <c r="AR312" s="9">
        <v>22</v>
      </c>
      <c r="AS312" s="9">
        <v>20</v>
      </c>
      <c r="AT312" s="9">
        <v>21</v>
      </c>
      <c r="AU312" s="9">
        <v>21</v>
      </c>
      <c r="AV312" s="9">
        <v>21</v>
      </c>
      <c r="AW312" s="9">
        <v>16</v>
      </c>
      <c r="AX312" s="9">
        <v>15</v>
      </c>
      <c r="AY312" s="9">
        <v>14</v>
      </c>
      <c r="AZ312" s="9">
        <v>15</v>
      </c>
      <c r="BA312" s="9">
        <v>12</v>
      </c>
      <c r="BB312" s="9">
        <v>11</v>
      </c>
      <c r="BC312" s="9">
        <v>9</v>
      </c>
      <c r="BD312" s="9">
        <v>9</v>
      </c>
      <c r="BE312" s="9">
        <v>9</v>
      </c>
      <c r="BF312" s="9">
        <v>10</v>
      </c>
      <c r="BG312" s="9">
        <v>8</v>
      </c>
      <c r="BH312" s="9">
        <v>8</v>
      </c>
      <c r="BI312" s="9">
        <v>8</v>
      </c>
      <c r="BJ312" s="9">
        <v>7</v>
      </c>
      <c r="BK312" s="9">
        <v>7</v>
      </c>
      <c r="BL312" s="9">
        <v>8</v>
      </c>
      <c r="BM312" s="9">
        <v>10</v>
      </c>
      <c r="BN312" s="9">
        <v>7</v>
      </c>
      <c r="BO312" s="9">
        <v>8</v>
      </c>
      <c r="BP312" s="9">
        <v>7</v>
      </c>
      <c r="BQ312" s="9">
        <v>7</v>
      </c>
      <c r="BR312" s="9">
        <v>7</v>
      </c>
      <c r="BS312" s="9">
        <v>7</v>
      </c>
      <c r="BT312" s="9">
        <v>7</v>
      </c>
      <c r="BU312" s="9">
        <v>6</v>
      </c>
      <c r="BV312" s="9">
        <v>6</v>
      </c>
      <c r="BW312" s="9">
        <v>6</v>
      </c>
      <c r="BX312" s="9">
        <v>6</v>
      </c>
      <c r="BY312" s="9">
        <v>6</v>
      </c>
      <c r="BZ312" s="9">
        <v>6</v>
      </c>
      <c r="CA312" s="9">
        <v>7</v>
      </c>
      <c r="CB312" s="9">
        <v>5</v>
      </c>
      <c r="CC312" s="9">
        <v>4</v>
      </c>
      <c r="CD312" s="9">
        <v>4</v>
      </c>
      <c r="CE312" s="9">
        <v>3</v>
      </c>
      <c r="CF312" s="9">
        <v>4</v>
      </c>
      <c r="CG312" s="9">
        <v>4</v>
      </c>
      <c r="CH312" s="9">
        <v>3</v>
      </c>
      <c r="CI312" s="9">
        <v>3</v>
      </c>
      <c r="CJ312" s="9">
        <v>2</v>
      </c>
      <c r="CK312" s="9">
        <v>2</v>
      </c>
      <c r="CL312" s="9">
        <v>3</v>
      </c>
      <c r="CM312" s="9">
        <v>3</v>
      </c>
      <c r="CN312" s="9">
        <v>3</v>
      </c>
      <c r="CO312" s="9">
        <v>3</v>
      </c>
      <c r="CP312" s="9">
        <v>4</v>
      </c>
      <c r="CQ312" s="9">
        <v>4</v>
      </c>
      <c r="CR312" s="9">
        <v>3</v>
      </c>
      <c r="CS312" s="9">
        <v>1</v>
      </c>
      <c r="CT312" s="9">
        <v>1</v>
      </c>
      <c r="CU312" s="9">
        <v>1</v>
      </c>
      <c r="CV312" s="9">
        <v>1</v>
      </c>
      <c r="CW312" s="9">
        <v>1</v>
      </c>
      <c r="CX312" s="9">
        <v>2</v>
      </c>
      <c r="CY312" s="9">
        <v>2</v>
      </c>
      <c r="CZ312" s="9">
        <v>1</v>
      </c>
      <c r="DA312" s="9">
        <v>1</v>
      </c>
      <c r="DB312" s="9">
        <v>2</v>
      </c>
      <c r="DC312" s="9">
        <v>4</v>
      </c>
      <c r="DD312" s="9">
        <v>3</v>
      </c>
      <c r="DE312" s="9">
        <v>0</v>
      </c>
      <c r="DF312" s="9">
        <v>0</v>
      </c>
      <c r="DG312" s="9">
        <v>0</v>
      </c>
      <c r="DH312" s="9">
        <v>0</v>
      </c>
      <c r="DI312" s="9">
        <v>0</v>
      </c>
      <c r="DJ312" s="9">
        <v>0</v>
      </c>
      <c r="DK312" s="9">
        <v>0</v>
      </c>
      <c r="DL312" s="9">
        <v>0</v>
      </c>
      <c r="DM312" s="9">
        <v>0</v>
      </c>
      <c r="DN312" s="9">
        <v>0</v>
      </c>
      <c r="DO312" s="9">
        <v>0</v>
      </c>
      <c r="DP312" s="9">
        <v>0</v>
      </c>
      <c r="DQ312" s="9">
        <v>0</v>
      </c>
      <c r="DR312" s="9">
        <v>0</v>
      </c>
      <c r="DS312" s="9">
        <v>0</v>
      </c>
      <c r="DT312" s="9">
        <v>0</v>
      </c>
      <c r="DU312" s="9">
        <v>0</v>
      </c>
      <c r="DV312" s="9">
        <v>0</v>
      </c>
      <c r="DW312" s="9">
        <v>0</v>
      </c>
      <c r="DX312" s="9">
        <v>0</v>
      </c>
      <c r="DY312" s="9">
        <v>0</v>
      </c>
      <c r="DZ312" s="9">
        <v>0</v>
      </c>
      <c r="EA312" s="9">
        <v>0</v>
      </c>
      <c r="EB312" s="9">
        <v>0</v>
      </c>
      <c r="EC312" s="9">
        <v>0</v>
      </c>
      <c r="ED312" s="9">
        <v>0</v>
      </c>
      <c r="EE312" s="9">
        <v>0</v>
      </c>
      <c r="EF312" s="9">
        <v>0</v>
      </c>
      <c r="EG312" s="9">
        <v>0</v>
      </c>
      <c r="EH312" s="9">
        <v>0</v>
      </c>
      <c r="EI312" s="9">
        <v>0</v>
      </c>
      <c r="EJ312" s="9">
        <v>0</v>
      </c>
      <c r="EK312" s="9">
        <v>0</v>
      </c>
      <c r="EL312" s="9">
        <v>0</v>
      </c>
      <c r="EM312" s="9">
        <v>0</v>
      </c>
      <c r="EN312" s="9">
        <v>0</v>
      </c>
      <c r="EO312" s="9">
        <v>0</v>
      </c>
      <c r="EP312" s="9">
        <v>0</v>
      </c>
      <c r="EQ312" s="9">
        <v>0</v>
      </c>
      <c r="ER312" s="9">
        <v>0</v>
      </c>
      <c r="ES312" s="9">
        <v>0</v>
      </c>
      <c r="ET312" s="9">
        <v>0</v>
      </c>
      <c r="EU312" s="9">
        <v>0</v>
      </c>
      <c r="EV312" s="9">
        <v>0</v>
      </c>
      <c r="EW312" s="9">
        <v>0</v>
      </c>
      <c r="EX312" s="9">
        <v>5</v>
      </c>
      <c r="EY312" s="9">
        <v>0</v>
      </c>
      <c r="EZ312" s="9">
        <v>0</v>
      </c>
      <c r="FA312" s="9">
        <v>0</v>
      </c>
      <c r="FB312" s="9">
        <v>0</v>
      </c>
      <c r="FC312" s="9">
        <v>0</v>
      </c>
      <c r="FD312" s="9">
        <v>0</v>
      </c>
      <c r="FE312" s="9">
        <v>0</v>
      </c>
      <c r="FF312" s="9">
        <v>0</v>
      </c>
      <c r="FG312" s="9">
        <v>0</v>
      </c>
      <c r="FH312" s="9">
        <v>0</v>
      </c>
      <c r="FI312" s="9">
        <v>0</v>
      </c>
      <c r="FJ312" s="9">
        <v>0</v>
      </c>
      <c r="FK312" s="9">
        <v>0</v>
      </c>
      <c r="FL312" s="9">
        <v>0</v>
      </c>
      <c r="FM312" s="10">
        <v>0</v>
      </c>
    </row>
    <row r="313" spans="1:169" x14ac:dyDescent="0.35">
      <c r="A313" s="8" t="s">
        <v>494</v>
      </c>
      <c r="B313" s="9" t="s">
        <v>531</v>
      </c>
      <c r="C313" s="10" t="s">
        <v>532</v>
      </c>
      <c r="D313" s="62">
        <f t="shared" si="101"/>
        <v>89</v>
      </c>
      <c r="E313" s="9">
        <v>0</v>
      </c>
      <c r="F313" s="9">
        <v>2</v>
      </c>
      <c r="G313" s="9">
        <v>2</v>
      </c>
      <c r="H313" s="9">
        <v>3</v>
      </c>
      <c r="I313" s="9">
        <v>3</v>
      </c>
      <c r="J313" s="9">
        <v>5</v>
      </c>
      <c r="K313" s="9">
        <v>8</v>
      </c>
      <c r="L313" s="9">
        <v>12</v>
      </c>
      <c r="M313" s="9">
        <v>17</v>
      </c>
      <c r="N313" s="9">
        <v>15</v>
      </c>
      <c r="O313" s="9">
        <v>24</v>
      </c>
      <c r="P313" s="9">
        <v>37</v>
      </c>
      <c r="Q313" s="9">
        <v>35</v>
      </c>
      <c r="R313" s="9">
        <v>48</v>
      </c>
      <c r="S313" s="9">
        <v>55</v>
      </c>
      <c r="T313" s="9">
        <v>53</v>
      </c>
      <c r="U313" s="9">
        <v>51</v>
      </c>
      <c r="V313" s="9">
        <v>89</v>
      </c>
      <c r="W313" s="9">
        <v>58</v>
      </c>
      <c r="X313" s="9">
        <v>63</v>
      </c>
      <c r="Y313" s="9">
        <v>67</v>
      </c>
      <c r="Z313" s="9">
        <v>76</v>
      </c>
      <c r="AA313" s="9">
        <v>75</v>
      </c>
      <c r="AB313" s="9">
        <v>76</v>
      </c>
      <c r="AC313" s="9">
        <v>71</v>
      </c>
      <c r="AD313" s="9">
        <v>77</v>
      </c>
      <c r="AE313" s="9">
        <v>81</v>
      </c>
      <c r="AF313" s="9">
        <v>77</v>
      </c>
      <c r="AG313" s="9">
        <v>71</v>
      </c>
      <c r="AH313" s="9">
        <v>76</v>
      </c>
      <c r="AI313" s="9">
        <v>69</v>
      </c>
      <c r="AJ313" s="9">
        <v>66</v>
      </c>
      <c r="AK313" s="9">
        <v>68</v>
      </c>
      <c r="AL313" s="9">
        <v>61</v>
      </c>
      <c r="AM313" s="9">
        <v>58</v>
      </c>
      <c r="AN313" s="9">
        <v>57</v>
      </c>
      <c r="AO313" s="9">
        <v>48</v>
      </c>
      <c r="AP313" s="9">
        <v>49</v>
      </c>
      <c r="AQ313" s="9">
        <v>47</v>
      </c>
      <c r="AR313" s="9">
        <v>49</v>
      </c>
      <c r="AS313" s="9">
        <v>46</v>
      </c>
      <c r="AT313" s="9">
        <v>44</v>
      </c>
      <c r="AU313" s="9">
        <v>35</v>
      </c>
      <c r="AV313" s="9">
        <v>39</v>
      </c>
      <c r="AW313" s="9">
        <v>40</v>
      </c>
      <c r="AX313" s="9">
        <v>43</v>
      </c>
      <c r="AY313" s="9">
        <v>45</v>
      </c>
      <c r="AZ313" s="9">
        <v>33</v>
      </c>
      <c r="BA313" s="9">
        <v>36</v>
      </c>
      <c r="BB313" s="9">
        <v>38</v>
      </c>
      <c r="BC313" s="9">
        <v>36</v>
      </c>
      <c r="BD313" s="9">
        <v>26</v>
      </c>
      <c r="BE313" s="9">
        <v>31</v>
      </c>
      <c r="BF313" s="9">
        <v>30</v>
      </c>
      <c r="BG313" s="9">
        <v>31</v>
      </c>
      <c r="BH313" s="9">
        <v>28</v>
      </c>
      <c r="BI313" s="9">
        <v>31</v>
      </c>
      <c r="BJ313" s="9">
        <v>25</v>
      </c>
      <c r="BK313" s="9">
        <v>23</v>
      </c>
      <c r="BL313" s="9">
        <v>22</v>
      </c>
      <c r="BM313" s="9">
        <v>20</v>
      </c>
      <c r="BN313" s="9">
        <v>22</v>
      </c>
      <c r="BO313" s="9">
        <v>19</v>
      </c>
      <c r="BP313" s="9">
        <v>19</v>
      </c>
      <c r="BQ313" s="9">
        <v>18</v>
      </c>
      <c r="BR313" s="9">
        <v>16</v>
      </c>
      <c r="BS313" s="9">
        <v>18</v>
      </c>
      <c r="BT313" s="9">
        <v>18</v>
      </c>
      <c r="BU313" s="9">
        <v>15</v>
      </c>
      <c r="BV313" s="9">
        <v>12</v>
      </c>
      <c r="BW313" s="9">
        <v>11</v>
      </c>
      <c r="BX313" s="9">
        <v>11</v>
      </c>
      <c r="BY313" s="9">
        <v>9</v>
      </c>
      <c r="BZ313" s="9">
        <v>11</v>
      </c>
      <c r="CA313" s="9">
        <v>9</v>
      </c>
      <c r="CB313" s="9">
        <v>7</v>
      </c>
      <c r="CC313" s="9">
        <v>6</v>
      </c>
      <c r="CD313" s="9">
        <v>8</v>
      </c>
      <c r="CE313" s="9">
        <v>7</v>
      </c>
      <c r="CF313" s="9">
        <v>9</v>
      </c>
      <c r="CG313" s="9">
        <v>8</v>
      </c>
      <c r="CH313" s="9">
        <v>8</v>
      </c>
      <c r="CI313" s="9">
        <v>7</v>
      </c>
      <c r="CJ313" s="9">
        <v>7</v>
      </c>
      <c r="CK313" s="9">
        <v>7</v>
      </c>
      <c r="CL313" s="9">
        <v>7</v>
      </c>
      <c r="CM313" s="9">
        <v>7</v>
      </c>
      <c r="CN313" s="9">
        <v>6</v>
      </c>
      <c r="CO313" s="9">
        <v>5</v>
      </c>
      <c r="CP313" s="9">
        <v>3</v>
      </c>
      <c r="CQ313" s="9">
        <v>4</v>
      </c>
      <c r="CR313" s="9">
        <v>4</v>
      </c>
      <c r="CS313" s="9">
        <v>4</v>
      </c>
      <c r="CT313" s="9">
        <v>4</v>
      </c>
      <c r="CU313" s="9">
        <v>3</v>
      </c>
      <c r="CV313" s="9">
        <v>3</v>
      </c>
      <c r="CW313" s="9">
        <v>3</v>
      </c>
      <c r="CX313" s="9">
        <v>4</v>
      </c>
      <c r="CY313" s="9">
        <v>4</v>
      </c>
      <c r="CZ313" s="9">
        <v>4</v>
      </c>
      <c r="DA313" s="9">
        <v>4</v>
      </c>
      <c r="DB313" s="9">
        <v>4</v>
      </c>
      <c r="DC313" s="9">
        <v>4</v>
      </c>
      <c r="DD313" s="9">
        <v>3</v>
      </c>
      <c r="DE313" s="9">
        <v>4</v>
      </c>
      <c r="DF313" s="9">
        <v>4</v>
      </c>
      <c r="DG313" s="9">
        <v>4</v>
      </c>
      <c r="DH313" s="9">
        <v>4</v>
      </c>
      <c r="DI313" s="9">
        <v>4</v>
      </c>
      <c r="DJ313" s="9">
        <v>6</v>
      </c>
      <c r="DK313" s="9">
        <v>6</v>
      </c>
      <c r="DL313" s="9">
        <v>5</v>
      </c>
      <c r="DM313" s="9">
        <v>4</v>
      </c>
      <c r="DN313" s="9">
        <v>3</v>
      </c>
      <c r="DO313" s="9">
        <v>4</v>
      </c>
      <c r="DP313" s="9">
        <v>4</v>
      </c>
      <c r="DQ313" s="9">
        <v>3</v>
      </c>
      <c r="DR313" s="9">
        <v>4</v>
      </c>
      <c r="DS313" s="9">
        <v>4</v>
      </c>
      <c r="DT313" s="9">
        <v>4</v>
      </c>
      <c r="DU313" s="9">
        <v>3</v>
      </c>
      <c r="DV313" s="9">
        <v>3</v>
      </c>
      <c r="DW313" s="9">
        <v>3</v>
      </c>
      <c r="DX313" s="9">
        <v>3</v>
      </c>
      <c r="DY313" s="9">
        <v>2</v>
      </c>
      <c r="DZ313" s="9">
        <v>2</v>
      </c>
      <c r="EA313" s="9">
        <v>1</v>
      </c>
      <c r="EB313" s="9">
        <v>1</v>
      </c>
      <c r="EC313" s="9">
        <v>1</v>
      </c>
      <c r="ED313" s="9">
        <v>1</v>
      </c>
      <c r="EE313" s="9">
        <v>1</v>
      </c>
      <c r="EF313" s="9">
        <v>1</v>
      </c>
      <c r="EG313" s="9">
        <v>1</v>
      </c>
      <c r="EH313" s="9">
        <v>1</v>
      </c>
      <c r="EI313" s="9">
        <v>0</v>
      </c>
      <c r="EJ313" s="9">
        <v>0</v>
      </c>
      <c r="EK313" s="9">
        <v>0</v>
      </c>
      <c r="EL313" s="9">
        <v>0</v>
      </c>
      <c r="EM313" s="9">
        <v>0</v>
      </c>
      <c r="EN313" s="9">
        <v>0</v>
      </c>
      <c r="EO313" s="9">
        <v>0</v>
      </c>
      <c r="EP313" s="9">
        <v>0</v>
      </c>
      <c r="EQ313" s="9">
        <v>0</v>
      </c>
      <c r="ER313" s="9">
        <v>0</v>
      </c>
      <c r="ES313" s="9">
        <v>0</v>
      </c>
      <c r="ET313" s="9">
        <v>0</v>
      </c>
      <c r="EU313" s="9">
        <v>0</v>
      </c>
      <c r="EV313" s="9">
        <v>0</v>
      </c>
      <c r="EW313" s="9">
        <v>0</v>
      </c>
      <c r="EX313" s="9">
        <v>0</v>
      </c>
      <c r="EY313" s="9">
        <v>0</v>
      </c>
      <c r="EZ313" s="9">
        <v>0</v>
      </c>
      <c r="FA313" s="9">
        <v>0</v>
      </c>
      <c r="FB313" s="9">
        <v>0</v>
      </c>
      <c r="FC313" s="9">
        <v>0</v>
      </c>
      <c r="FD313" s="9">
        <v>0</v>
      </c>
      <c r="FE313" s="9">
        <v>0</v>
      </c>
      <c r="FF313" s="9">
        <v>0</v>
      </c>
      <c r="FG313" s="9">
        <v>0</v>
      </c>
      <c r="FH313" s="9">
        <v>0</v>
      </c>
      <c r="FI313" s="9">
        <v>0</v>
      </c>
      <c r="FJ313" s="9">
        <v>1</v>
      </c>
      <c r="FK313" s="9">
        <v>1</v>
      </c>
      <c r="FL313" s="9">
        <v>1</v>
      </c>
      <c r="FM313" s="10">
        <v>1</v>
      </c>
    </row>
    <row r="314" spans="1:169" x14ac:dyDescent="0.35">
      <c r="A314" s="8" t="s">
        <v>494</v>
      </c>
      <c r="B314" s="9" t="s">
        <v>533</v>
      </c>
      <c r="C314" s="10" t="s">
        <v>534</v>
      </c>
      <c r="D314" s="62">
        <f t="shared" si="101"/>
        <v>194</v>
      </c>
      <c r="E314" s="9">
        <v>9</v>
      </c>
      <c r="F314" s="9">
        <v>12</v>
      </c>
      <c r="G314" s="9">
        <v>14</v>
      </c>
      <c r="H314" s="9">
        <v>21</v>
      </c>
      <c r="I314" s="9">
        <v>28</v>
      </c>
      <c r="J314" s="9">
        <v>30</v>
      </c>
      <c r="K314" s="9">
        <v>35</v>
      </c>
      <c r="L314" s="9">
        <v>49</v>
      </c>
      <c r="M314" s="9">
        <v>55</v>
      </c>
      <c r="N314" s="9">
        <v>67</v>
      </c>
      <c r="O314" s="9">
        <v>77</v>
      </c>
      <c r="P314" s="9">
        <v>76</v>
      </c>
      <c r="Q314" s="9">
        <v>89</v>
      </c>
      <c r="R314" s="9">
        <v>106</v>
      </c>
      <c r="S314" s="9">
        <v>103</v>
      </c>
      <c r="T314" s="9">
        <v>118</v>
      </c>
      <c r="U314" s="9">
        <v>126</v>
      </c>
      <c r="V314" s="9">
        <v>128</v>
      </c>
      <c r="W314" s="9">
        <v>140</v>
      </c>
      <c r="X314" s="9">
        <v>142</v>
      </c>
      <c r="Y314" s="9">
        <v>143</v>
      </c>
      <c r="Z314" s="9">
        <v>141</v>
      </c>
      <c r="AA314" s="9">
        <v>137</v>
      </c>
      <c r="AB314" s="9">
        <v>148</v>
      </c>
      <c r="AC314" s="9">
        <v>137</v>
      </c>
      <c r="AD314" s="9">
        <v>149</v>
      </c>
      <c r="AE314" s="9">
        <v>145</v>
      </c>
      <c r="AF314" s="9">
        <v>144</v>
      </c>
      <c r="AG314" s="9">
        <v>144</v>
      </c>
      <c r="AH314" s="9">
        <v>142</v>
      </c>
      <c r="AI314" s="9">
        <v>145</v>
      </c>
      <c r="AJ314" s="9">
        <v>134</v>
      </c>
      <c r="AK314" s="9">
        <v>133</v>
      </c>
      <c r="AL314" s="9">
        <v>120</v>
      </c>
      <c r="AM314" s="9">
        <v>111</v>
      </c>
      <c r="AN314" s="9">
        <v>104</v>
      </c>
      <c r="AO314" s="9">
        <v>111</v>
      </c>
      <c r="AP314" s="9">
        <v>100</v>
      </c>
      <c r="AQ314" s="9">
        <v>194</v>
      </c>
      <c r="AR314" s="9">
        <v>193</v>
      </c>
      <c r="AS314" s="9">
        <v>188</v>
      </c>
      <c r="AT314" s="9">
        <v>180</v>
      </c>
      <c r="AU314" s="9">
        <v>179</v>
      </c>
      <c r="AV314" s="9">
        <v>181</v>
      </c>
      <c r="AW314" s="9">
        <v>180</v>
      </c>
      <c r="AX314" s="9">
        <v>182</v>
      </c>
      <c r="AY314" s="9">
        <v>175</v>
      </c>
      <c r="AZ314" s="9">
        <v>161</v>
      </c>
      <c r="BA314" s="9">
        <v>147</v>
      </c>
      <c r="BB314" s="9">
        <v>144</v>
      </c>
      <c r="BC314" s="9">
        <v>135</v>
      </c>
      <c r="BD314" s="9">
        <v>138</v>
      </c>
      <c r="BE314" s="9">
        <v>136</v>
      </c>
      <c r="BF314" s="9">
        <v>128</v>
      </c>
      <c r="BG314" s="9">
        <v>114</v>
      </c>
      <c r="BH314" s="9">
        <v>119</v>
      </c>
      <c r="BI314" s="9">
        <v>116</v>
      </c>
      <c r="BJ314" s="9">
        <v>99</v>
      </c>
      <c r="BK314" s="9">
        <v>99</v>
      </c>
      <c r="BL314" s="9">
        <v>97</v>
      </c>
      <c r="BM314" s="9">
        <v>96</v>
      </c>
      <c r="BN314" s="9">
        <v>92</v>
      </c>
      <c r="BO314" s="9">
        <v>93</v>
      </c>
      <c r="BP314" s="9">
        <v>54</v>
      </c>
      <c r="BQ314" s="9">
        <v>54</v>
      </c>
      <c r="BR314" s="9">
        <v>56</v>
      </c>
      <c r="BS314" s="9">
        <v>49</v>
      </c>
      <c r="BT314" s="9">
        <v>45</v>
      </c>
      <c r="BU314" s="9">
        <v>40</v>
      </c>
      <c r="BV314" s="9">
        <v>42</v>
      </c>
      <c r="BW314" s="9">
        <v>35</v>
      </c>
      <c r="BX314" s="9">
        <v>35</v>
      </c>
      <c r="BY314" s="9">
        <v>31</v>
      </c>
      <c r="BZ314" s="9">
        <v>27</v>
      </c>
      <c r="CA314" s="9">
        <v>27</v>
      </c>
      <c r="CB314" s="9">
        <v>25</v>
      </c>
      <c r="CC314" s="9">
        <v>20</v>
      </c>
      <c r="CD314" s="9">
        <v>20</v>
      </c>
      <c r="CE314" s="9">
        <v>21</v>
      </c>
      <c r="CF314" s="9">
        <v>20</v>
      </c>
      <c r="CG314" s="9">
        <v>23</v>
      </c>
      <c r="CH314" s="9">
        <v>23</v>
      </c>
      <c r="CI314" s="9">
        <v>24</v>
      </c>
      <c r="CJ314" s="9">
        <v>15</v>
      </c>
      <c r="CK314" s="9">
        <v>24</v>
      </c>
      <c r="CL314" s="9">
        <v>22</v>
      </c>
      <c r="CM314" s="9">
        <v>21</v>
      </c>
      <c r="CN314" s="9">
        <v>20</v>
      </c>
      <c r="CO314" s="9">
        <v>19</v>
      </c>
      <c r="CP314" s="9">
        <v>13</v>
      </c>
      <c r="CQ314" s="9">
        <v>13</v>
      </c>
      <c r="CR314" s="9">
        <v>13</v>
      </c>
      <c r="CS314" s="9">
        <v>14</v>
      </c>
      <c r="CT314" s="9">
        <v>12</v>
      </c>
      <c r="CU314" s="9">
        <v>11</v>
      </c>
      <c r="CV314" s="9">
        <v>12</v>
      </c>
      <c r="CW314" s="9">
        <v>10</v>
      </c>
      <c r="CX314" s="9">
        <v>13</v>
      </c>
      <c r="CY314" s="9">
        <v>10</v>
      </c>
      <c r="CZ314" s="9">
        <v>14</v>
      </c>
      <c r="DA314" s="9">
        <v>13</v>
      </c>
      <c r="DB314" s="9">
        <v>16</v>
      </c>
      <c r="DC314" s="9">
        <v>8</v>
      </c>
      <c r="DD314" s="9">
        <v>7</v>
      </c>
      <c r="DE314" s="9">
        <v>7</v>
      </c>
      <c r="DF314" s="9">
        <v>6</v>
      </c>
      <c r="DG314" s="9">
        <v>7</v>
      </c>
      <c r="DH314" s="9">
        <v>10</v>
      </c>
      <c r="DI314" s="9">
        <v>11</v>
      </c>
      <c r="DJ314" s="9">
        <v>6</v>
      </c>
      <c r="DK314" s="9">
        <v>6</v>
      </c>
      <c r="DL314" s="9">
        <v>5</v>
      </c>
      <c r="DM314" s="9">
        <v>5</v>
      </c>
      <c r="DN314" s="9">
        <v>6</v>
      </c>
      <c r="DO314" s="9">
        <v>7</v>
      </c>
      <c r="DP314" s="9">
        <v>5</v>
      </c>
      <c r="DQ314" s="9">
        <v>5</v>
      </c>
      <c r="DR314" s="9">
        <v>4</v>
      </c>
      <c r="DS314" s="9">
        <v>3</v>
      </c>
      <c r="DT314" s="9">
        <v>3</v>
      </c>
      <c r="DU314" s="9">
        <v>3</v>
      </c>
      <c r="DV314" s="9">
        <v>2</v>
      </c>
      <c r="DW314" s="9">
        <v>3</v>
      </c>
      <c r="DX314" s="9">
        <v>3</v>
      </c>
      <c r="DY314" s="9">
        <v>2</v>
      </c>
      <c r="DZ314" s="9">
        <v>2</v>
      </c>
      <c r="EA314" s="9">
        <v>2</v>
      </c>
      <c r="EB314" s="9">
        <v>2</v>
      </c>
      <c r="EC314" s="9">
        <v>2</v>
      </c>
      <c r="ED314" s="9">
        <v>2</v>
      </c>
      <c r="EE314" s="9">
        <v>3</v>
      </c>
      <c r="EF314" s="9">
        <v>3</v>
      </c>
      <c r="EG314" s="9">
        <v>4</v>
      </c>
      <c r="EH314" s="9">
        <v>3</v>
      </c>
      <c r="EI314" s="9">
        <v>2</v>
      </c>
      <c r="EJ314" s="9">
        <v>2</v>
      </c>
      <c r="EK314" s="9">
        <v>2</v>
      </c>
      <c r="EL314" s="9">
        <v>2</v>
      </c>
      <c r="EM314" s="9">
        <v>3</v>
      </c>
      <c r="EN314" s="9">
        <v>3</v>
      </c>
      <c r="EO314" s="9">
        <v>3</v>
      </c>
      <c r="EP314" s="9">
        <v>3</v>
      </c>
      <c r="EQ314" s="9">
        <v>3</v>
      </c>
      <c r="ER314" s="9">
        <v>3</v>
      </c>
      <c r="ES314" s="9">
        <v>3</v>
      </c>
      <c r="ET314" s="9">
        <v>2</v>
      </c>
      <c r="EU314" s="9">
        <v>2</v>
      </c>
      <c r="EV314" s="9">
        <v>3</v>
      </c>
      <c r="EW314" s="9">
        <v>3</v>
      </c>
      <c r="EX314" s="9">
        <v>3</v>
      </c>
      <c r="EY314" s="9">
        <v>2</v>
      </c>
      <c r="EZ314" s="9">
        <v>2</v>
      </c>
      <c r="FA314" s="9">
        <v>1</v>
      </c>
      <c r="FB314" s="9">
        <v>1</v>
      </c>
      <c r="FC314" s="9">
        <v>1</v>
      </c>
      <c r="FD314" s="9">
        <v>4</v>
      </c>
      <c r="FE314" s="9">
        <v>3</v>
      </c>
      <c r="FF314" s="9">
        <v>2</v>
      </c>
      <c r="FG314" s="9">
        <v>1</v>
      </c>
      <c r="FH314" s="9">
        <v>2</v>
      </c>
      <c r="FI314" s="9">
        <v>1</v>
      </c>
      <c r="FJ314" s="9">
        <v>1</v>
      </c>
      <c r="FK314" s="9">
        <v>1</v>
      </c>
      <c r="FL314" s="9">
        <v>1</v>
      </c>
      <c r="FM314" s="10">
        <v>1</v>
      </c>
    </row>
    <row r="315" spans="1:169" x14ac:dyDescent="0.35">
      <c r="A315" s="8" t="s">
        <v>494</v>
      </c>
      <c r="B315" s="9" t="s">
        <v>535</v>
      </c>
      <c r="C315" s="10" t="s">
        <v>536</v>
      </c>
      <c r="D315" s="62">
        <f t="shared" si="101"/>
        <v>102</v>
      </c>
      <c r="E315" s="9">
        <v>0</v>
      </c>
      <c r="F315" s="9">
        <v>0</v>
      </c>
      <c r="G315" s="9">
        <v>0</v>
      </c>
      <c r="H315" s="9">
        <v>0</v>
      </c>
      <c r="I315" s="9">
        <v>0</v>
      </c>
      <c r="J315" s="9">
        <v>0</v>
      </c>
      <c r="K315" s="9">
        <v>0</v>
      </c>
      <c r="L315" s="9">
        <v>0</v>
      </c>
      <c r="M315" s="9">
        <v>0</v>
      </c>
      <c r="N315" s="9">
        <v>0</v>
      </c>
      <c r="O315" s="9">
        <v>0</v>
      </c>
      <c r="P315" s="9">
        <v>0</v>
      </c>
      <c r="Q315" s="9">
        <v>0</v>
      </c>
      <c r="R315" s="9">
        <v>12</v>
      </c>
      <c r="S315" s="9">
        <v>12</v>
      </c>
      <c r="T315" s="9">
        <v>19</v>
      </c>
      <c r="U315" s="9">
        <v>24</v>
      </c>
      <c r="V315" s="9">
        <v>28</v>
      </c>
      <c r="W315" s="9">
        <v>39</v>
      </c>
      <c r="X315" s="9">
        <v>50</v>
      </c>
      <c r="Y315" s="9">
        <v>51</v>
      </c>
      <c r="Z315" s="9">
        <v>63</v>
      </c>
      <c r="AA315" s="9">
        <v>66</v>
      </c>
      <c r="AB315" s="9">
        <v>78</v>
      </c>
      <c r="AC315" s="9">
        <v>83</v>
      </c>
      <c r="AD315" s="9">
        <v>85</v>
      </c>
      <c r="AE315" s="9">
        <v>91</v>
      </c>
      <c r="AF315" s="9">
        <v>94</v>
      </c>
      <c r="AG315" s="9">
        <v>96</v>
      </c>
      <c r="AH315" s="9">
        <v>102</v>
      </c>
      <c r="AI315" s="9">
        <v>97</v>
      </c>
      <c r="AJ315" s="9">
        <v>98</v>
      </c>
      <c r="AK315" s="9">
        <v>96</v>
      </c>
      <c r="AL315" s="9">
        <v>86</v>
      </c>
      <c r="AM315" s="9">
        <v>85</v>
      </c>
      <c r="AN315" s="9">
        <v>93</v>
      </c>
      <c r="AO315" s="9">
        <v>97</v>
      </c>
      <c r="AP315" s="9">
        <v>98</v>
      </c>
      <c r="AQ315" s="9">
        <v>0</v>
      </c>
      <c r="AR315" s="9">
        <v>0</v>
      </c>
      <c r="AS315" s="9">
        <v>0</v>
      </c>
      <c r="AT315" s="9">
        <v>0</v>
      </c>
      <c r="AU315" s="9">
        <v>0</v>
      </c>
      <c r="AV315" s="9">
        <v>0</v>
      </c>
      <c r="AW315" s="9">
        <v>0</v>
      </c>
      <c r="AX315" s="9">
        <v>0</v>
      </c>
      <c r="AY315" s="9">
        <v>0</v>
      </c>
      <c r="AZ315" s="9">
        <v>0</v>
      </c>
      <c r="BA315" s="9">
        <v>0</v>
      </c>
      <c r="BB315" s="9">
        <v>0</v>
      </c>
      <c r="BC315" s="9">
        <v>0</v>
      </c>
      <c r="BD315" s="9">
        <v>0</v>
      </c>
      <c r="BE315" s="9">
        <v>0</v>
      </c>
      <c r="BF315" s="9">
        <v>0</v>
      </c>
      <c r="BG315" s="9">
        <v>0</v>
      </c>
      <c r="BH315" s="9">
        <v>0</v>
      </c>
      <c r="BI315" s="9">
        <v>0</v>
      </c>
      <c r="BJ315" s="9">
        <v>0</v>
      </c>
      <c r="BK315" s="9">
        <v>0</v>
      </c>
      <c r="BL315" s="9">
        <v>0</v>
      </c>
      <c r="BM315" s="9">
        <v>0</v>
      </c>
      <c r="BN315" s="9">
        <v>0</v>
      </c>
      <c r="BO315" s="9">
        <v>0</v>
      </c>
      <c r="BP315" s="9">
        <v>0</v>
      </c>
      <c r="BQ315" s="9">
        <v>0</v>
      </c>
      <c r="BR315" s="9">
        <v>0</v>
      </c>
      <c r="BS315" s="9">
        <v>0</v>
      </c>
      <c r="BT315" s="9">
        <v>0</v>
      </c>
      <c r="BU315" s="9">
        <v>0</v>
      </c>
      <c r="BV315" s="9">
        <v>0</v>
      </c>
      <c r="BW315" s="9">
        <v>0</v>
      </c>
      <c r="BX315" s="9">
        <v>0</v>
      </c>
      <c r="BY315" s="9">
        <v>0</v>
      </c>
      <c r="BZ315" s="9">
        <v>0</v>
      </c>
      <c r="CA315" s="9">
        <v>0</v>
      </c>
      <c r="CB315" s="9">
        <v>0</v>
      </c>
      <c r="CC315" s="9">
        <v>0</v>
      </c>
      <c r="CD315" s="9">
        <v>0</v>
      </c>
      <c r="CE315" s="9">
        <v>0</v>
      </c>
      <c r="CF315" s="9">
        <v>0</v>
      </c>
      <c r="CG315" s="9">
        <v>0</v>
      </c>
      <c r="CH315" s="9">
        <v>0</v>
      </c>
      <c r="CI315" s="9">
        <v>0</v>
      </c>
      <c r="CJ315" s="9">
        <v>0</v>
      </c>
      <c r="CK315" s="9">
        <v>0</v>
      </c>
      <c r="CL315" s="9">
        <v>0</v>
      </c>
      <c r="CM315" s="9">
        <v>0</v>
      </c>
      <c r="CN315" s="9">
        <v>0</v>
      </c>
      <c r="CO315" s="9">
        <v>0</v>
      </c>
      <c r="CP315" s="9">
        <v>0</v>
      </c>
      <c r="CQ315" s="9">
        <v>0</v>
      </c>
      <c r="CR315" s="9">
        <v>0</v>
      </c>
      <c r="CS315" s="9">
        <v>0</v>
      </c>
      <c r="CT315" s="9">
        <v>0</v>
      </c>
      <c r="CU315" s="9">
        <v>0</v>
      </c>
      <c r="CV315" s="9">
        <v>0</v>
      </c>
      <c r="CW315" s="9">
        <v>0</v>
      </c>
      <c r="CX315" s="9">
        <v>0</v>
      </c>
      <c r="CY315" s="9">
        <v>0</v>
      </c>
      <c r="CZ315" s="9">
        <v>0</v>
      </c>
      <c r="DA315" s="9">
        <v>0</v>
      </c>
      <c r="DB315" s="9">
        <v>0</v>
      </c>
      <c r="DC315" s="9">
        <v>0</v>
      </c>
      <c r="DD315" s="9">
        <v>0</v>
      </c>
      <c r="DE315" s="9">
        <v>0</v>
      </c>
      <c r="DF315" s="9">
        <v>0</v>
      </c>
      <c r="DG315" s="9">
        <v>0</v>
      </c>
      <c r="DH315" s="9">
        <v>0</v>
      </c>
      <c r="DI315" s="9">
        <v>0</v>
      </c>
      <c r="DJ315" s="9">
        <v>0</v>
      </c>
      <c r="DK315" s="9">
        <v>0</v>
      </c>
      <c r="DL315" s="9">
        <v>0</v>
      </c>
      <c r="DM315" s="9">
        <v>0</v>
      </c>
      <c r="DN315" s="9">
        <v>0</v>
      </c>
      <c r="DO315" s="9">
        <v>0</v>
      </c>
      <c r="DP315" s="9">
        <v>0</v>
      </c>
      <c r="DQ315" s="9">
        <v>0</v>
      </c>
      <c r="DR315" s="9">
        <v>0</v>
      </c>
      <c r="DS315" s="9">
        <v>0</v>
      </c>
      <c r="DT315" s="9">
        <v>0</v>
      </c>
      <c r="DU315" s="9">
        <v>0</v>
      </c>
      <c r="DV315" s="9">
        <v>0</v>
      </c>
      <c r="DW315" s="9">
        <v>0</v>
      </c>
      <c r="DX315" s="9">
        <v>0</v>
      </c>
      <c r="DY315" s="9">
        <v>0</v>
      </c>
      <c r="DZ315" s="9">
        <v>0</v>
      </c>
      <c r="EA315" s="9">
        <v>0</v>
      </c>
      <c r="EB315" s="9">
        <v>0</v>
      </c>
      <c r="EC315" s="9">
        <v>0</v>
      </c>
      <c r="ED315" s="9">
        <v>0</v>
      </c>
      <c r="EE315" s="9">
        <v>0</v>
      </c>
      <c r="EF315" s="9">
        <v>0</v>
      </c>
      <c r="EG315" s="9">
        <v>0</v>
      </c>
      <c r="EH315" s="9">
        <v>0</v>
      </c>
      <c r="EI315" s="9">
        <v>0</v>
      </c>
      <c r="EJ315" s="9">
        <v>0</v>
      </c>
      <c r="EK315" s="9">
        <v>0</v>
      </c>
      <c r="EL315" s="9">
        <v>0</v>
      </c>
      <c r="EM315" s="9">
        <v>0</v>
      </c>
      <c r="EN315" s="9">
        <v>0</v>
      </c>
      <c r="EO315" s="9">
        <v>0</v>
      </c>
      <c r="EP315" s="9">
        <v>0</v>
      </c>
      <c r="EQ315" s="9">
        <v>0</v>
      </c>
      <c r="ER315" s="9">
        <v>0</v>
      </c>
      <c r="ES315" s="9">
        <v>0</v>
      </c>
      <c r="ET315" s="9">
        <v>0</v>
      </c>
      <c r="EU315" s="9">
        <v>0</v>
      </c>
      <c r="EV315" s="9">
        <v>0</v>
      </c>
      <c r="EW315" s="9">
        <v>0</v>
      </c>
      <c r="EX315" s="9">
        <v>0</v>
      </c>
      <c r="EY315" s="9">
        <v>0</v>
      </c>
      <c r="EZ315" s="9">
        <v>0</v>
      </c>
      <c r="FA315" s="9">
        <v>0</v>
      </c>
      <c r="FB315" s="9">
        <v>0</v>
      </c>
      <c r="FC315" s="9">
        <v>0</v>
      </c>
      <c r="FD315" s="9">
        <v>0</v>
      </c>
      <c r="FE315" s="9">
        <v>0</v>
      </c>
      <c r="FF315" s="9">
        <v>0</v>
      </c>
      <c r="FG315" s="9">
        <v>0</v>
      </c>
      <c r="FH315" s="9">
        <v>0</v>
      </c>
      <c r="FI315" s="9">
        <v>0</v>
      </c>
      <c r="FJ315" s="9">
        <v>0</v>
      </c>
      <c r="FK315" s="9">
        <v>0</v>
      </c>
      <c r="FL315" s="9">
        <v>0</v>
      </c>
      <c r="FM315" s="10">
        <v>0</v>
      </c>
    </row>
    <row r="316" spans="1:169" x14ac:dyDescent="0.35">
      <c r="A316" s="8" t="s">
        <v>494</v>
      </c>
      <c r="B316" s="9" t="s">
        <v>537</v>
      </c>
      <c r="C316" s="10" t="s">
        <v>538</v>
      </c>
      <c r="D316" s="62">
        <f t="shared" si="101"/>
        <v>109</v>
      </c>
      <c r="E316" s="9">
        <v>9</v>
      </c>
      <c r="F316" s="9">
        <v>20</v>
      </c>
      <c r="G316" s="9">
        <v>22</v>
      </c>
      <c r="H316" s="9">
        <v>11</v>
      </c>
      <c r="I316" s="9">
        <v>14</v>
      </c>
      <c r="J316" s="9">
        <v>24</v>
      </c>
      <c r="K316" s="9">
        <v>27</v>
      </c>
      <c r="L316" s="9">
        <v>42</v>
      </c>
      <c r="M316" s="9">
        <v>49</v>
      </c>
      <c r="N316" s="9">
        <v>50</v>
      </c>
      <c r="O316" s="9">
        <v>59</v>
      </c>
      <c r="P316" s="9">
        <v>68</v>
      </c>
      <c r="Q316" s="9">
        <v>80</v>
      </c>
      <c r="R316" s="9">
        <v>84</v>
      </c>
      <c r="S316" s="9">
        <v>81</v>
      </c>
      <c r="T316" s="9">
        <v>87</v>
      </c>
      <c r="U316" s="9">
        <v>95</v>
      </c>
      <c r="V316" s="9">
        <v>105</v>
      </c>
      <c r="W316" s="9">
        <v>108</v>
      </c>
      <c r="X316" s="9">
        <v>101</v>
      </c>
      <c r="Y316" s="9">
        <v>93</v>
      </c>
      <c r="Z316" s="9">
        <v>102</v>
      </c>
      <c r="AA316" s="9">
        <v>107</v>
      </c>
      <c r="AB316" s="9">
        <v>107</v>
      </c>
      <c r="AC316" s="9">
        <v>109</v>
      </c>
      <c r="AD316" s="9">
        <v>101</v>
      </c>
      <c r="AE316" s="9">
        <v>99</v>
      </c>
      <c r="AF316" s="9">
        <v>94</v>
      </c>
      <c r="AG316" s="9">
        <v>97</v>
      </c>
      <c r="AH316" s="9">
        <v>96</v>
      </c>
      <c r="AI316" s="9">
        <v>98</v>
      </c>
      <c r="AJ316" s="9">
        <v>90</v>
      </c>
      <c r="AK316" s="9">
        <v>92</v>
      </c>
      <c r="AL316" s="9">
        <v>93</v>
      </c>
      <c r="AM316" s="9">
        <v>93</v>
      </c>
      <c r="AN316" s="9">
        <v>91</v>
      </c>
      <c r="AO316" s="9">
        <v>91</v>
      </c>
      <c r="AP316" s="9">
        <v>90</v>
      </c>
      <c r="AQ316" s="9">
        <v>101</v>
      </c>
      <c r="AR316" s="9">
        <v>96</v>
      </c>
      <c r="AS316" s="9">
        <v>95</v>
      </c>
      <c r="AT316" s="9">
        <v>80</v>
      </c>
      <c r="AU316" s="9">
        <v>76</v>
      </c>
      <c r="AV316" s="9">
        <v>68</v>
      </c>
      <c r="AW316" s="9">
        <v>71</v>
      </c>
      <c r="AX316" s="9">
        <v>69</v>
      </c>
      <c r="AY316" s="9">
        <v>70</v>
      </c>
      <c r="AZ316" s="9">
        <v>63</v>
      </c>
      <c r="BA316" s="9">
        <v>57</v>
      </c>
      <c r="BB316" s="9">
        <v>54</v>
      </c>
      <c r="BC316" s="9">
        <v>56</v>
      </c>
      <c r="BD316" s="9">
        <v>54</v>
      </c>
      <c r="BE316" s="9">
        <v>51</v>
      </c>
      <c r="BF316" s="9">
        <v>46</v>
      </c>
      <c r="BG316" s="9">
        <v>46</v>
      </c>
      <c r="BH316" s="9">
        <v>42</v>
      </c>
      <c r="BI316" s="9">
        <v>40</v>
      </c>
      <c r="BJ316" s="9">
        <v>41</v>
      </c>
      <c r="BK316" s="9">
        <v>45</v>
      </c>
      <c r="BL316" s="9">
        <v>45</v>
      </c>
      <c r="BM316" s="9">
        <v>45</v>
      </c>
      <c r="BN316" s="9">
        <v>45</v>
      </c>
      <c r="BO316" s="9">
        <v>43</v>
      </c>
      <c r="BP316" s="9">
        <v>38</v>
      </c>
      <c r="BQ316" s="9">
        <v>35</v>
      </c>
      <c r="BR316" s="9">
        <v>33</v>
      </c>
      <c r="BS316" s="9">
        <v>31</v>
      </c>
      <c r="BT316" s="9">
        <v>33</v>
      </c>
      <c r="BU316" s="9">
        <v>33</v>
      </c>
      <c r="BV316" s="9">
        <v>35</v>
      </c>
      <c r="BW316" s="9">
        <v>35</v>
      </c>
      <c r="BX316" s="9">
        <v>29</v>
      </c>
      <c r="BY316" s="9">
        <v>29</v>
      </c>
      <c r="BZ316" s="9">
        <v>29</v>
      </c>
      <c r="CA316" s="9">
        <v>30</v>
      </c>
      <c r="CB316" s="9">
        <v>32</v>
      </c>
      <c r="CC316" s="9">
        <v>28</v>
      </c>
      <c r="CD316" s="9">
        <v>26</v>
      </c>
      <c r="CE316" s="9">
        <v>23</v>
      </c>
      <c r="CF316" s="9">
        <v>22</v>
      </c>
      <c r="CG316" s="9">
        <v>9</v>
      </c>
      <c r="CH316" s="9">
        <v>11</v>
      </c>
      <c r="CI316" s="9">
        <v>11</v>
      </c>
      <c r="CJ316" s="9">
        <v>10</v>
      </c>
      <c r="CK316" s="9">
        <v>11</v>
      </c>
      <c r="CL316" s="9">
        <v>10</v>
      </c>
      <c r="CM316" s="9">
        <v>9</v>
      </c>
      <c r="CN316" s="9">
        <v>11</v>
      </c>
      <c r="CO316" s="9">
        <v>10</v>
      </c>
      <c r="CP316" s="9">
        <v>8</v>
      </c>
      <c r="CQ316" s="9">
        <v>8</v>
      </c>
      <c r="CR316" s="9">
        <v>8</v>
      </c>
      <c r="CS316" s="9">
        <v>8</v>
      </c>
      <c r="CT316" s="9">
        <v>8</v>
      </c>
      <c r="CU316" s="9">
        <v>7</v>
      </c>
      <c r="CV316" s="9">
        <v>8</v>
      </c>
      <c r="CW316" s="9">
        <v>5</v>
      </c>
      <c r="CX316" s="9">
        <v>5</v>
      </c>
      <c r="CY316" s="9">
        <v>5</v>
      </c>
      <c r="CZ316" s="9">
        <v>5</v>
      </c>
      <c r="DA316" s="9">
        <v>5</v>
      </c>
      <c r="DB316" s="9">
        <v>4</v>
      </c>
      <c r="DC316" s="9">
        <v>5</v>
      </c>
      <c r="DD316" s="9">
        <v>5</v>
      </c>
      <c r="DE316" s="9">
        <v>8</v>
      </c>
      <c r="DF316" s="9">
        <v>7</v>
      </c>
      <c r="DG316" s="9">
        <v>9</v>
      </c>
      <c r="DH316" s="9">
        <v>8</v>
      </c>
      <c r="DI316" s="9">
        <v>7</v>
      </c>
      <c r="DJ316" s="9">
        <v>7</v>
      </c>
      <c r="DK316" s="9">
        <v>5</v>
      </c>
      <c r="DL316" s="9">
        <v>5</v>
      </c>
      <c r="DM316" s="9">
        <v>5</v>
      </c>
      <c r="DN316" s="9">
        <v>3</v>
      </c>
      <c r="DO316" s="9">
        <v>3</v>
      </c>
      <c r="DP316" s="9">
        <v>5</v>
      </c>
      <c r="DQ316" s="9">
        <v>4</v>
      </c>
      <c r="DR316" s="9">
        <v>4</v>
      </c>
      <c r="DS316" s="9">
        <v>4</v>
      </c>
      <c r="DT316" s="9">
        <v>4</v>
      </c>
      <c r="DU316" s="9">
        <v>3</v>
      </c>
      <c r="DV316" s="9">
        <v>4</v>
      </c>
      <c r="DW316" s="9">
        <v>3</v>
      </c>
      <c r="DX316" s="9">
        <v>2</v>
      </c>
      <c r="DY316" s="9">
        <v>2</v>
      </c>
      <c r="DZ316" s="9">
        <v>2</v>
      </c>
      <c r="EA316" s="9">
        <v>3</v>
      </c>
      <c r="EB316" s="9">
        <v>3</v>
      </c>
      <c r="EC316" s="9">
        <v>3</v>
      </c>
      <c r="ED316" s="9">
        <v>6</v>
      </c>
      <c r="EE316" s="9">
        <v>5</v>
      </c>
      <c r="EF316" s="9">
        <v>4</v>
      </c>
      <c r="EG316" s="9">
        <v>4</v>
      </c>
      <c r="EH316" s="9">
        <v>4</v>
      </c>
      <c r="EI316" s="9">
        <v>3</v>
      </c>
      <c r="EJ316" s="9">
        <v>5</v>
      </c>
      <c r="EK316" s="9">
        <v>6</v>
      </c>
      <c r="EL316" s="9">
        <v>7</v>
      </c>
      <c r="EM316" s="9">
        <v>5</v>
      </c>
      <c r="EN316" s="9">
        <v>4</v>
      </c>
      <c r="EO316" s="9">
        <v>2</v>
      </c>
      <c r="EP316" s="9">
        <v>2</v>
      </c>
      <c r="EQ316" s="9">
        <v>1</v>
      </c>
      <c r="ER316" s="9">
        <v>2</v>
      </c>
      <c r="ES316" s="9">
        <v>0</v>
      </c>
      <c r="ET316" s="9">
        <v>1</v>
      </c>
      <c r="EU316" s="9">
        <v>1</v>
      </c>
      <c r="EV316" s="9">
        <v>1</v>
      </c>
      <c r="EW316" s="9">
        <v>0</v>
      </c>
      <c r="EX316" s="9">
        <v>1</v>
      </c>
      <c r="EY316" s="9">
        <v>1</v>
      </c>
      <c r="EZ316" s="9">
        <v>1</v>
      </c>
      <c r="FA316" s="9">
        <v>1</v>
      </c>
      <c r="FB316" s="9">
        <v>1</v>
      </c>
      <c r="FC316" s="9">
        <v>1</v>
      </c>
      <c r="FD316" s="9">
        <v>1</v>
      </c>
      <c r="FE316" s="9">
        <v>2</v>
      </c>
      <c r="FF316" s="9">
        <v>2</v>
      </c>
      <c r="FG316" s="9">
        <v>2</v>
      </c>
      <c r="FH316" s="9">
        <v>2</v>
      </c>
      <c r="FI316" s="9">
        <v>1</v>
      </c>
      <c r="FJ316" s="9">
        <v>1</v>
      </c>
      <c r="FK316" s="9">
        <v>2</v>
      </c>
      <c r="FL316" s="9">
        <v>4</v>
      </c>
      <c r="FM316" s="10">
        <v>4</v>
      </c>
    </row>
    <row r="317" spans="1:169" x14ac:dyDescent="0.35">
      <c r="A317" s="8" t="s">
        <v>494</v>
      </c>
      <c r="B317" s="9" t="s">
        <v>539</v>
      </c>
      <c r="C317" s="10" t="s">
        <v>540</v>
      </c>
      <c r="D317" s="62">
        <f t="shared" si="101"/>
        <v>29</v>
      </c>
      <c r="E317" s="9">
        <v>5</v>
      </c>
      <c r="F317" s="9">
        <v>5</v>
      </c>
      <c r="G317" s="9">
        <v>5</v>
      </c>
      <c r="H317" s="9">
        <v>5</v>
      </c>
      <c r="I317" s="9">
        <v>5</v>
      </c>
      <c r="J317" s="9">
        <v>6</v>
      </c>
      <c r="K317" s="9">
        <v>6</v>
      </c>
      <c r="L317" s="9">
        <v>6</v>
      </c>
      <c r="M317" s="9">
        <v>9</v>
      </c>
      <c r="N317" s="9">
        <v>9</v>
      </c>
      <c r="O317" s="9">
        <v>13</v>
      </c>
      <c r="P317" s="9">
        <v>15</v>
      </c>
      <c r="Q317" s="9">
        <v>15</v>
      </c>
      <c r="R317" s="9">
        <v>15</v>
      </c>
      <c r="S317" s="9">
        <v>16</v>
      </c>
      <c r="T317" s="9">
        <v>16</v>
      </c>
      <c r="U317" s="9">
        <v>18</v>
      </c>
      <c r="V317" s="9">
        <v>19</v>
      </c>
      <c r="W317" s="9">
        <v>19</v>
      </c>
      <c r="X317" s="9">
        <v>19</v>
      </c>
      <c r="Y317" s="9">
        <v>20</v>
      </c>
      <c r="Z317" s="9">
        <v>20</v>
      </c>
      <c r="AA317" s="9">
        <v>19</v>
      </c>
      <c r="AB317" s="9">
        <v>19</v>
      </c>
      <c r="AC317" s="9">
        <v>21</v>
      </c>
      <c r="AD317" s="9">
        <v>23</v>
      </c>
      <c r="AE317" s="9">
        <v>24</v>
      </c>
      <c r="AF317" s="9">
        <v>29</v>
      </c>
      <c r="AG317" s="9">
        <v>28</v>
      </c>
      <c r="AH317" s="9">
        <v>20</v>
      </c>
      <c r="AI317" s="9">
        <v>17</v>
      </c>
      <c r="AJ317" s="9">
        <v>17</v>
      </c>
      <c r="AK317" s="9">
        <v>15</v>
      </c>
      <c r="AL317" s="9">
        <v>15</v>
      </c>
      <c r="AM317" s="9">
        <v>7</v>
      </c>
      <c r="AN317" s="9">
        <v>7</v>
      </c>
      <c r="AO317" s="9">
        <v>6</v>
      </c>
      <c r="AP317" s="9">
        <v>6</v>
      </c>
      <c r="AQ317" s="9">
        <v>4</v>
      </c>
      <c r="AR317" s="9">
        <v>3</v>
      </c>
      <c r="AS317" s="9">
        <v>3</v>
      </c>
      <c r="AT317" s="9">
        <v>2</v>
      </c>
      <c r="AU317" s="9">
        <v>0</v>
      </c>
      <c r="AV317" s="9">
        <v>0</v>
      </c>
      <c r="AW317" s="9">
        <v>0</v>
      </c>
      <c r="AX317" s="9">
        <v>0</v>
      </c>
      <c r="AY317" s="9">
        <v>0</v>
      </c>
      <c r="AZ317" s="9">
        <v>0</v>
      </c>
      <c r="BA317" s="9">
        <v>0</v>
      </c>
      <c r="BB317" s="9">
        <v>0</v>
      </c>
      <c r="BC317" s="9">
        <v>0</v>
      </c>
      <c r="BD317" s="9">
        <v>0</v>
      </c>
      <c r="BE317" s="9">
        <v>0</v>
      </c>
      <c r="BF317" s="9">
        <v>0</v>
      </c>
      <c r="BG317" s="9">
        <v>0</v>
      </c>
      <c r="BH317" s="9">
        <v>0</v>
      </c>
      <c r="BI317" s="9">
        <v>0</v>
      </c>
      <c r="BJ317" s="9">
        <v>0</v>
      </c>
      <c r="BK317" s="9">
        <v>0</v>
      </c>
      <c r="BL317" s="9">
        <v>0</v>
      </c>
      <c r="BM317" s="9">
        <v>0</v>
      </c>
      <c r="BN317" s="9">
        <v>0</v>
      </c>
      <c r="BO317" s="9">
        <v>0</v>
      </c>
      <c r="BP317" s="9">
        <v>0</v>
      </c>
      <c r="BQ317" s="9">
        <v>0</v>
      </c>
      <c r="BR317" s="9">
        <v>0</v>
      </c>
      <c r="BS317" s="9">
        <v>0</v>
      </c>
      <c r="BT317" s="9">
        <v>0</v>
      </c>
      <c r="BU317" s="9">
        <v>0</v>
      </c>
      <c r="BV317" s="9">
        <v>0</v>
      </c>
      <c r="BW317" s="9">
        <v>0</v>
      </c>
      <c r="BX317" s="9">
        <v>0</v>
      </c>
      <c r="BY317" s="9">
        <v>0</v>
      </c>
      <c r="BZ317" s="9">
        <v>0</v>
      </c>
      <c r="CA317" s="9">
        <v>0</v>
      </c>
      <c r="CB317" s="9">
        <v>0</v>
      </c>
      <c r="CC317" s="9">
        <v>0</v>
      </c>
      <c r="CD317" s="9">
        <v>0</v>
      </c>
      <c r="CE317" s="9">
        <v>0</v>
      </c>
      <c r="CF317" s="9">
        <v>0</v>
      </c>
      <c r="CG317" s="9">
        <v>0</v>
      </c>
      <c r="CH317" s="9">
        <v>0</v>
      </c>
      <c r="CI317" s="9">
        <v>0</v>
      </c>
      <c r="CJ317" s="9">
        <v>0</v>
      </c>
      <c r="CK317" s="9">
        <v>0</v>
      </c>
      <c r="CL317" s="9">
        <v>0</v>
      </c>
      <c r="CM317" s="9">
        <v>0</v>
      </c>
      <c r="CN317" s="9">
        <v>0</v>
      </c>
      <c r="CO317" s="9">
        <v>0</v>
      </c>
      <c r="CP317" s="9">
        <v>0</v>
      </c>
      <c r="CQ317" s="9">
        <v>0</v>
      </c>
      <c r="CR317" s="9">
        <v>0</v>
      </c>
      <c r="CS317" s="9">
        <v>0</v>
      </c>
      <c r="CT317" s="9">
        <v>0</v>
      </c>
      <c r="CU317" s="9">
        <v>0</v>
      </c>
      <c r="CV317" s="9">
        <v>0</v>
      </c>
      <c r="CW317" s="9">
        <v>0</v>
      </c>
      <c r="CX317" s="9">
        <v>0</v>
      </c>
      <c r="CY317" s="9">
        <v>0</v>
      </c>
      <c r="CZ317" s="9">
        <v>0</v>
      </c>
      <c r="DA317" s="9">
        <v>0</v>
      </c>
      <c r="DB317" s="9">
        <v>0</v>
      </c>
      <c r="DC317" s="9">
        <v>0</v>
      </c>
      <c r="DD317" s="9">
        <v>0</v>
      </c>
      <c r="DE317" s="9">
        <v>0</v>
      </c>
      <c r="DF317" s="9">
        <v>0</v>
      </c>
      <c r="DG317" s="9">
        <v>0</v>
      </c>
      <c r="DH317" s="9">
        <v>0</v>
      </c>
      <c r="DI317" s="9">
        <v>0</v>
      </c>
      <c r="DJ317" s="9">
        <v>0</v>
      </c>
      <c r="DK317" s="9">
        <v>0</v>
      </c>
      <c r="DL317" s="9">
        <v>0</v>
      </c>
      <c r="DM317" s="9">
        <v>0</v>
      </c>
      <c r="DN317" s="9">
        <v>0</v>
      </c>
      <c r="DO317" s="9">
        <v>0</v>
      </c>
      <c r="DP317" s="9">
        <v>0</v>
      </c>
      <c r="DQ317" s="9">
        <v>0</v>
      </c>
      <c r="DR317" s="9">
        <v>0</v>
      </c>
      <c r="DS317" s="9">
        <v>0</v>
      </c>
      <c r="DT317" s="9">
        <v>0</v>
      </c>
      <c r="DU317" s="9">
        <v>0</v>
      </c>
      <c r="DV317" s="9">
        <v>0</v>
      </c>
      <c r="DW317" s="9">
        <v>0</v>
      </c>
      <c r="DX317" s="9">
        <v>0</v>
      </c>
      <c r="DY317" s="9">
        <v>0</v>
      </c>
      <c r="DZ317" s="9">
        <v>0</v>
      </c>
      <c r="EA317" s="9">
        <v>0</v>
      </c>
      <c r="EB317" s="9">
        <v>0</v>
      </c>
      <c r="EC317" s="9">
        <v>0</v>
      </c>
      <c r="ED317" s="9">
        <v>0</v>
      </c>
      <c r="EE317" s="9">
        <v>0</v>
      </c>
      <c r="EF317" s="9">
        <v>0</v>
      </c>
      <c r="EG317" s="9">
        <v>0</v>
      </c>
      <c r="EH317" s="9">
        <v>0</v>
      </c>
      <c r="EI317" s="9">
        <v>0</v>
      </c>
      <c r="EJ317" s="9">
        <v>0</v>
      </c>
      <c r="EK317" s="9">
        <v>0</v>
      </c>
      <c r="EL317" s="9">
        <v>0</v>
      </c>
      <c r="EM317" s="9">
        <v>0</v>
      </c>
      <c r="EN317" s="9">
        <v>0</v>
      </c>
      <c r="EO317" s="9">
        <v>0</v>
      </c>
      <c r="EP317" s="9">
        <v>0</v>
      </c>
      <c r="EQ317" s="9">
        <v>0</v>
      </c>
      <c r="ER317" s="9">
        <v>0</v>
      </c>
      <c r="ES317" s="9">
        <v>0</v>
      </c>
      <c r="ET317" s="9">
        <v>0</v>
      </c>
      <c r="EU317" s="9">
        <v>0</v>
      </c>
      <c r="EV317" s="9">
        <v>0</v>
      </c>
      <c r="EW317" s="9">
        <v>0</v>
      </c>
      <c r="EX317" s="9">
        <v>0</v>
      </c>
      <c r="EY317" s="9">
        <v>0</v>
      </c>
      <c r="EZ317" s="9">
        <v>0</v>
      </c>
      <c r="FA317" s="9">
        <v>0</v>
      </c>
      <c r="FB317" s="9">
        <v>0</v>
      </c>
      <c r="FC317" s="9">
        <v>0</v>
      </c>
      <c r="FD317" s="9">
        <v>0</v>
      </c>
      <c r="FE317" s="9">
        <v>0</v>
      </c>
      <c r="FF317" s="9">
        <v>0</v>
      </c>
      <c r="FG317" s="9">
        <v>0</v>
      </c>
      <c r="FH317" s="9">
        <v>0</v>
      </c>
      <c r="FI317" s="9">
        <v>0</v>
      </c>
      <c r="FJ317" s="9">
        <v>0</v>
      </c>
      <c r="FK317" s="9">
        <v>0</v>
      </c>
      <c r="FL317" s="9">
        <v>0</v>
      </c>
      <c r="FM317" s="10">
        <v>0</v>
      </c>
    </row>
    <row r="318" spans="1:169" x14ac:dyDescent="0.35">
      <c r="A318" s="11" t="s">
        <v>494</v>
      </c>
      <c r="B318" s="12" t="s">
        <v>541</v>
      </c>
      <c r="C318" s="13" t="s">
        <v>542</v>
      </c>
      <c r="D318" s="63">
        <f t="shared" si="101"/>
        <v>4</v>
      </c>
      <c r="E318" s="12">
        <v>0</v>
      </c>
      <c r="F318" s="12">
        <v>0</v>
      </c>
      <c r="G318" s="12">
        <v>0</v>
      </c>
      <c r="H318" s="12">
        <v>0</v>
      </c>
      <c r="I318" s="12">
        <v>0</v>
      </c>
      <c r="J318" s="12">
        <v>0</v>
      </c>
      <c r="K318" s="12">
        <v>0</v>
      </c>
      <c r="L318" s="12">
        <v>0</v>
      </c>
      <c r="M318" s="12">
        <v>0</v>
      </c>
      <c r="N318" s="12">
        <v>0</v>
      </c>
      <c r="O318" s="12">
        <v>0</v>
      </c>
      <c r="P318" s="12">
        <v>0</v>
      </c>
      <c r="Q318" s="12">
        <v>0</v>
      </c>
      <c r="R318" s="12">
        <v>0</v>
      </c>
      <c r="S318" s="12">
        <v>0</v>
      </c>
      <c r="T318" s="12">
        <v>0</v>
      </c>
      <c r="U318" s="12">
        <v>0</v>
      </c>
      <c r="V318" s="12">
        <v>0</v>
      </c>
      <c r="W318" s="12">
        <v>0</v>
      </c>
      <c r="X318" s="12">
        <v>0</v>
      </c>
      <c r="Y318" s="12">
        <v>0</v>
      </c>
      <c r="Z318" s="12">
        <v>0</v>
      </c>
      <c r="AA318" s="12">
        <v>1</v>
      </c>
      <c r="AB318" s="12">
        <v>1</v>
      </c>
      <c r="AC318" s="12">
        <v>2</v>
      </c>
      <c r="AD318" s="12">
        <v>2</v>
      </c>
      <c r="AE318" s="12">
        <v>2</v>
      </c>
      <c r="AF318" s="12">
        <v>2</v>
      </c>
      <c r="AG318" s="12">
        <v>2</v>
      </c>
      <c r="AH318" s="12">
        <v>2</v>
      </c>
      <c r="AI318" s="12">
        <v>2</v>
      </c>
      <c r="AJ318" s="12">
        <v>2</v>
      </c>
      <c r="AK318" s="12">
        <v>2</v>
      </c>
      <c r="AL318" s="12">
        <v>3</v>
      </c>
      <c r="AM318" s="12">
        <v>3</v>
      </c>
      <c r="AN318" s="12">
        <v>4</v>
      </c>
      <c r="AO318" s="12">
        <v>4</v>
      </c>
      <c r="AP318" s="12">
        <v>3</v>
      </c>
      <c r="AQ318" s="12">
        <v>0</v>
      </c>
      <c r="AR318" s="12">
        <v>0</v>
      </c>
      <c r="AS318" s="12">
        <v>0</v>
      </c>
      <c r="AT318" s="12">
        <v>0</v>
      </c>
      <c r="AU318" s="12">
        <v>0</v>
      </c>
      <c r="AV318" s="12">
        <v>0</v>
      </c>
      <c r="AW318" s="12">
        <v>0</v>
      </c>
      <c r="AX318" s="12">
        <v>0</v>
      </c>
      <c r="AY318" s="12">
        <v>0</v>
      </c>
      <c r="AZ318" s="12">
        <v>0</v>
      </c>
      <c r="BA318" s="12">
        <v>0</v>
      </c>
      <c r="BB318" s="12">
        <v>0</v>
      </c>
      <c r="BC318" s="12">
        <v>0</v>
      </c>
      <c r="BD318" s="12">
        <v>0</v>
      </c>
      <c r="BE318" s="12">
        <v>0</v>
      </c>
      <c r="BF318" s="12">
        <v>0</v>
      </c>
      <c r="BG318" s="12">
        <v>0</v>
      </c>
      <c r="BH318" s="12">
        <v>0</v>
      </c>
      <c r="BI318" s="12">
        <v>0</v>
      </c>
      <c r="BJ318" s="12">
        <v>0</v>
      </c>
      <c r="BK318" s="12">
        <v>0</v>
      </c>
      <c r="BL318" s="12">
        <v>0</v>
      </c>
      <c r="BM318" s="12">
        <v>0</v>
      </c>
      <c r="BN318" s="12">
        <v>0</v>
      </c>
      <c r="BO318" s="12">
        <v>0</v>
      </c>
      <c r="BP318" s="12">
        <v>0</v>
      </c>
      <c r="BQ318" s="12">
        <v>0</v>
      </c>
      <c r="BR318" s="12">
        <v>0</v>
      </c>
      <c r="BS318" s="12">
        <v>0</v>
      </c>
      <c r="BT318" s="12">
        <v>0</v>
      </c>
      <c r="BU318" s="12">
        <v>0</v>
      </c>
      <c r="BV318" s="12">
        <v>0</v>
      </c>
      <c r="BW318" s="12">
        <v>0</v>
      </c>
      <c r="BX318" s="12">
        <v>0</v>
      </c>
      <c r="BY318" s="12">
        <v>0</v>
      </c>
      <c r="BZ318" s="12">
        <v>0</v>
      </c>
      <c r="CA318" s="12">
        <v>0</v>
      </c>
      <c r="CB318" s="12">
        <v>0</v>
      </c>
      <c r="CC318" s="12">
        <v>0</v>
      </c>
      <c r="CD318" s="12">
        <v>0</v>
      </c>
      <c r="CE318" s="12">
        <v>0</v>
      </c>
      <c r="CF318" s="12">
        <v>0</v>
      </c>
      <c r="CG318" s="12">
        <v>0</v>
      </c>
      <c r="CH318" s="12">
        <v>0</v>
      </c>
      <c r="CI318" s="12">
        <v>0</v>
      </c>
      <c r="CJ318" s="12">
        <v>0</v>
      </c>
      <c r="CK318" s="12">
        <v>0</v>
      </c>
      <c r="CL318" s="12">
        <v>0</v>
      </c>
      <c r="CM318" s="12">
        <v>0</v>
      </c>
      <c r="CN318" s="12">
        <v>0</v>
      </c>
      <c r="CO318" s="12">
        <v>0</v>
      </c>
      <c r="CP318" s="12">
        <v>0</v>
      </c>
      <c r="CQ318" s="12">
        <v>0</v>
      </c>
      <c r="CR318" s="12">
        <v>0</v>
      </c>
      <c r="CS318" s="12">
        <v>0</v>
      </c>
      <c r="CT318" s="12">
        <v>0</v>
      </c>
      <c r="CU318" s="12">
        <v>0</v>
      </c>
      <c r="CV318" s="12">
        <v>0</v>
      </c>
      <c r="CW318" s="12">
        <v>0</v>
      </c>
      <c r="CX318" s="12">
        <v>0</v>
      </c>
      <c r="CY318" s="12">
        <v>0</v>
      </c>
      <c r="CZ318" s="12">
        <v>0</v>
      </c>
      <c r="DA318" s="12">
        <v>0</v>
      </c>
      <c r="DB318" s="12">
        <v>0</v>
      </c>
      <c r="DC318" s="12">
        <v>0</v>
      </c>
      <c r="DD318" s="12">
        <v>0</v>
      </c>
      <c r="DE318" s="12">
        <v>0</v>
      </c>
      <c r="DF318" s="12">
        <v>0</v>
      </c>
      <c r="DG318" s="12">
        <v>0</v>
      </c>
      <c r="DH318" s="12">
        <v>0</v>
      </c>
      <c r="DI318" s="12">
        <v>0</v>
      </c>
      <c r="DJ318" s="12">
        <v>0</v>
      </c>
      <c r="DK318" s="12">
        <v>0</v>
      </c>
      <c r="DL318" s="12">
        <v>0</v>
      </c>
      <c r="DM318" s="12">
        <v>0</v>
      </c>
      <c r="DN318" s="12">
        <v>0</v>
      </c>
      <c r="DO318" s="12">
        <v>0</v>
      </c>
      <c r="DP318" s="12">
        <v>0</v>
      </c>
      <c r="DQ318" s="12">
        <v>0</v>
      </c>
      <c r="DR318" s="12">
        <v>0</v>
      </c>
      <c r="DS318" s="12">
        <v>0</v>
      </c>
      <c r="DT318" s="12">
        <v>0</v>
      </c>
      <c r="DU318" s="12">
        <v>0</v>
      </c>
      <c r="DV318" s="12">
        <v>0</v>
      </c>
      <c r="DW318" s="12">
        <v>0</v>
      </c>
      <c r="DX318" s="12">
        <v>0</v>
      </c>
      <c r="DY318" s="12">
        <v>0</v>
      </c>
      <c r="DZ318" s="12">
        <v>0</v>
      </c>
      <c r="EA318" s="12">
        <v>0</v>
      </c>
      <c r="EB318" s="12">
        <v>0</v>
      </c>
      <c r="EC318" s="12">
        <v>0</v>
      </c>
      <c r="ED318" s="12">
        <v>0</v>
      </c>
      <c r="EE318" s="12">
        <v>0</v>
      </c>
      <c r="EF318" s="12">
        <v>0</v>
      </c>
      <c r="EG318" s="12">
        <v>0</v>
      </c>
      <c r="EH318" s="12">
        <v>0</v>
      </c>
      <c r="EI318" s="12">
        <v>0</v>
      </c>
      <c r="EJ318" s="12">
        <v>0</v>
      </c>
      <c r="EK318" s="12">
        <v>0</v>
      </c>
      <c r="EL318" s="12">
        <v>0</v>
      </c>
      <c r="EM318" s="12">
        <v>0</v>
      </c>
      <c r="EN318" s="12">
        <v>0</v>
      </c>
      <c r="EO318" s="12">
        <v>0</v>
      </c>
      <c r="EP318" s="12">
        <v>0</v>
      </c>
      <c r="EQ318" s="12">
        <v>0</v>
      </c>
      <c r="ER318" s="12">
        <v>0</v>
      </c>
      <c r="ES318" s="12">
        <v>0</v>
      </c>
      <c r="ET318" s="12">
        <v>0</v>
      </c>
      <c r="EU318" s="12">
        <v>0</v>
      </c>
      <c r="EV318" s="12">
        <v>0</v>
      </c>
      <c r="EW318" s="12">
        <v>0</v>
      </c>
      <c r="EX318" s="12">
        <v>0</v>
      </c>
      <c r="EY318" s="12">
        <v>0</v>
      </c>
      <c r="EZ318" s="12">
        <v>0</v>
      </c>
      <c r="FA318" s="12">
        <v>0</v>
      </c>
      <c r="FB318" s="12">
        <v>0</v>
      </c>
      <c r="FC318" s="12">
        <v>0</v>
      </c>
      <c r="FD318" s="12">
        <v>0</v>
      </c>
      <c r="FE318" s="12">
        <v>0</v>
      </c>
      <c r="FF318" s="12">
        <v>0</v>
      </c>
      <c r="FG318" s="12">
        <v>0</v>
      </c>
      <c r="FH318" s="12">
        <v>0</v>
      </c>
      <c r="FI318" s="12">
        <v>0</v>
      </c>
      <c r="FJ318" s="12">
        <v>0</v>
      </c>
      <c r="FK318" s="12">
        <v>0</v>
      </c>
      <c r="FL318" s="12">
        <v>0</v>
      </c>
      <c r="FM318" s="13">
        <v>0</v>
      </c>
    </row>
  </sheetData>
  <conditionalFormatting sqref="A4:C4 E4:XFD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2D02C4-90AC-495A-B573-6F068420AA2A}">
  <sheetPr>
    <tabColor theme="8" tint="0.79998168889431442"/>
  </sheetPr>
  <dimension ref="A1:BR489"/>
  <sheetViews>
    <sheetView topLeftCell="BD273" workbookViewId="0">
      <selection activeCell="BD283" sqref="A283:XFD283"/>
    </sheetView>
  </sheetViews>
  <sheetFormatPr defaultRowHeight="14.5" x14ac:dyDescent="0.35"/>
  <cols>
    <col min="1" max="1" width="21.54296875" customWidth="1"/>
    <col min="3" max="3" width="40" customWidth="1"/>
    <col min="4" max="4" width="23.08984375" customWidth="1"/>
    <col min="5" max="66" width="10.54296875" bestFit="1" customWidth="1"/>
    <col min="67" max="68" width="10.453125" bestFit="1" customWidth="1"/>
    <col min="69" max="70" width="12.453125" customWidth="1"/>
  </cols>
  <sheetData>
    <row r="1" spans="1:70" x14ac:dyDescent="0.35">
      <c r="A1" s="3" t="s">
        <v>547</v>
      </c>
    </row>
    <row r="3" spans="1:70" x14ac:dyDescent="0.35">
      <c r="A3" s="18" t="s">
        <v>543</v>
      </c>
      <c r="B3" s="15" t="s">
        <v>544</v>
      </c>
      <c r="C3" s="16" t="s">
        <v>545</v>
      </c>
      <c r="D3" s="64" t="s">
        <v>1311</v>
      </c>
      <c r="E3" s="15">
        <v>44075</v>
      </c>
      <c r="F3" s="15">
        <v>44076</v>
      </c>
      <c r="G3" s="15">
        <v>44077</v>
      </c>
      <c r="H3" s="15">
        <v>44078</v>
      </c>
      <c r="I3" s="15">
        <v>44079</v>
      </c>
      <c r="J3" s="15">
        <v>44080</v>
      </c>
      <c r="K3" s="15">
        <v>44081</v>
      </c>
      <c r="L3" s="15">
        <v>44082</v>
      </c>
      <c r="M3" s="15">
        <v>44083</v>
      </c>
      <c r="N3" s="15">
        <v>44084</v>
      </c>
      <c r="O3" s="15">
        <v>44085</v>
      </c>
      <c r="P3" s="15">
        <v>44086</v>
      </c>
      <c r="Q3" s="15">
        <v>44087</v>
      </c>
      <c r="R3" s="15">
        <v>44088</v>
      </c>
      <c r="S3" s="15">
        <v>44089</v>
      </c>
      <c r="T3" s="15">
        <v>44090</v>
      </c>
      <c r="U3" s="15">
        <v>44091</v>
      </c>
      <c r="V3" s="15">
        <v>44092</v>
      </c>
      <c r="W3" s="15">
        <v>44093</v>
      </c>
      <c r="X3" s="15">
        <v>44094</v>
      </c>
      <c r="Y3" s="15">
        <v>44095</v>
      </c>
      <c r="Z3" s="15">
        <v>44096</v>
      </c>
      <c r="AA3" s="15">
        <v>44097</v>
      </c>
      <c r="AB3" s="15">
        <v>44098</v>
      </c>
      <c r="AC3" s="15">
        <v>44099</v>
      </c>
      <c r="AD3" s="15">
        <v>44100</v>
      </c>
      <c r="AE3" s="15">
        <v>44101</v>
      </c>
      <c r="AF3" s="15">
        <v>44102</v>
      </c>
      <c r="AG3" s="15">
        <v>44103</v>
      </c>
      <c r="AH3" s="15">
        <v>44104</v>
      </c>
      <c r="AI3" s="15">
        <v>44105</v>
      </c>
      <c r="AJ3" s="15">
        <v>44106</v>
      </c>
      <c r="AK3" s="15">
        <v>44107</v>
      </c>
      <c r="AL3" s="15">
        <v>44108</v>
      </c>
      <c r="AM3" s="15">
        <v>44109</v>
      </c>
      <c r="AN3" s="15">
        <v>44110</v>
      </c>
      <c r="AO3" s="15">
        <v>44111</v>
      </c>
      <c r="AP3" s="15">
        <v>44112</v>
      </c>
      <c r="AQ3" s="15">
        <v>44113</v>
      </c>
      <c r="AR3" s="15">
        <v>44114</v>
      </c>
      <c r="AS3" s="15">
        <v>44115</v>
      </c>
      <c r="AT3" s="15">
        <v>44116</v>
      </c>
      <c r="AU3" s="15">
        <v>44117</v>
      </c>
      <c r="AV3" s="15">
        <v>44118</v>
      </c>
      <c r="AW3" s="15">
        <v>44119</v>
      </c>
      <c r="AX3" s="15">
        <v>44120</v>
      </c>
      <c r="AY3" s="15">
        <v>44121</v>
      </c>
      <c r="AZ3" s="15">
        <v>44122</v>
      </c>
      <c r="BA3" s="15">
        <v>44123</v>
      </c>
      <c r="BB3" s="15">
        <v>44124</v>
      </c>
      <c r="BC3" s="15">
        <v>44125</v>
      </c>
      <c r="BD3" s="15">
        <v>44126</v>
      </c>
      <c r="BE3" s="15">
        <v>44127</v>
      </c>
      <c r="BF3" s="15">
        <v>44128</v>
      </c>
      <c r="BG3" s="15">
        <v>44129</v>
      </c>
      <c r="BH3" s="15">
        <v>44130</v>
      </c>
      <c r="BI3" s="15">
        <v>44131</v>
      </c>
      <c r="BJ3" s="15">
        <v>44132</v>
      </c>
      <c r="BK3" s="15">
        <v>44133</v>
      </c>
      <c r="BL3" s="15">
        <v>44134</v>
      </c>
      <c r="BM3" s="15">
        <v>44135</v>
      </c>
      <c r="BN3" s="15">
        <v>44136</v>
      </c>
      <c r="BO3" s="15">
        <v>44137</v>
      </c>
      <c r="BP3" s="16">
        <v>44138</v>
      </c>
      <c r="BQ3" s="16">
        <v>44139</v>
      </c>
      <c r="BR3" s="16">
        <v>44140</v>
      </c>
    </row>
    <row r="4" spans="1:70" s="3" customFormat="1" x14ac:dyDescent="0.35">
      <c r="A4" s="25" t="s">
        <v>1310</v>
      </c>
      <c r="B4" s="26" t="s">
        <v>1310</v>
      </c>
      <c r="C4" s="65" t="s">
        <v>546</v>
      </c>
      <c r="D4" s="33">
        <f>MAX(E4:BR4)</f>
        <v>11037</v>
      </c>
      <c r="E4" s="6">
        <f t="shared" ref="E4:AL4" si="0">SUM(E5:E488)</f>
        <v>496</v>
      </c>
      <c r="F4" s="6">
        <f t="shared" si="0"/>
        <v>451</v>
      </c>
      <c r="G4" s="6">
        <f t="shared" si="0"/>
        <v>468</v>
      </c>
      <c r="H4" s="6">
        <f t="shared" si="0"/>
        <v>474</v>
      </c>
      <c r="I4" s="6">
        <f t="shared" si="0"/>
        <v>471</v>
      </c>
      <c r="J4" s="6">
        <f t="shared" si="0"/>
        <v>483</v>
      </c>
      <c r="K4" s="6">
        <f t="shared" si="0"/>
        <v>555</v>
      </c>
      <c r="L4" s="6">
        <f t="shared" si="0"/>
        <v>535</v>
      </c>
      <c r="M4" s="6">
        <f t="shared" si="0"/>
        <v>557</v>
      </c>
      <c r="N4" s="6">
        <f t="shared" si="0"/>
        <v>572</v>
      </c>
      <c r="O4" s="6">
        <f t="shared" si="0"/>
        <v>622</v>
      </c>
      <c r="P4" s="6">
        <f t="shared" si="0"/>
        <v>663</v>
      </c>
      <c r="Q4" s="6">
        <f t="shared" si="0"/>
        <v>691</v>
      </c>
      <c r="R4" s="6">
        <f t="shared" si="0"/>
        <v>812</v>
      </c>
      <c r="S4" s="6">
        <f t="shared" si="0"/>
        <v>891</v>
      </c>
      <c r="T4" s="6">
        <f t="shared" si="0"/>
        <v>929</v>
      </c>
      <c r="U4" s="6">
        <f t="shared" si="0"/>
        <v>984</v>
      </c>
      <c r="V4" s="6">
        <f t="shared" si="0"/>
        <v>1020</v>
      </c>
      <c r="W4" s="6">
        <f t="shared" si="0"/>
        <v>1081</v>
      </c>
      <c r="X4" s="6">
        <f t="shared" si="0"/>
        <v>1174</v>
      </c>
      <c r="Y4" s="6">
        <f t="shared" si="0"/>
        <v>1299</v>
      </c>
      <c r="Z4" s="6">
        <f t="shared" si="0"/>
        <v>1378</v>
      </c>
      <c r="AA4" s="6">
        <f t="shared" si="0"/>
        <v>1439</v>
      </c>
      <c r="AB4" s="6">
        <f t="shared" si="0"/>
        <v>1546</v>
      </c>
      <c r="AC4" s="6">
        <f t="shared" si="0"/>
        <v>1686</v>
      </c>
      <c r="AD4" s="6">
        <f t="shared" si="0"/>
        <v>1689</v>
      </c>
      <c r="AE4" s="6">
        <f t="shared" si="0"/>
        <v>1793</v>
      </c>
      <c r="AF4" s="6">
        <f t="shared" si="0"/>
        <v>1955</v>
      </c>
      <c r="AG4" s="6">
        <f t="shared" si="0"/>
        <v>1954</v>
      </c>
      <c r="AH4" s="6">
        <f t="shared" si="0"/>
        <v>2036</v>
      </c>
      <c r="AI4" s="6">
        <f t="shared" si="0"/>
        <v>2069</v>
      </c>
      <c r="AJ4" s="6">
        <f t="shared" si="0"/>
        <v>2180</v>
      </c>
      <c r="AK4" s="6">
        <f t="shared" si="0"/>
        <v>2290</v>
      </c>
      <c r="AL4" s="6">
        <f t="shared" si="0"/>
        <v>2435</v>
      </c>
      <c r="AM4" s="6">
        <f t="shared" ref="AM4:BR4" si="1">SUM(AM5:AM488)</f>
        <v>2705</v>
      </c>
      <c r="AN4" s="6">
        <f t="shared" si="1"/>
        <v>2903</v>
      </c>
      <c r="AO4" s="6">
        <f t="shared" si="1"/>
        <v>3066</v>
      </c>
      <c r="AP4" s="6">
        <f t="shared" si="1"/>
        <v>3179</v>
      </c>
      <c r="AQ4" s="6">
        <f t="shared" si="1"/>
        <v>3238</v>
      </c>
      <c r="AR4" s="6">
        <f t="shared" si="1"/>
        <v>3369</v>
      </c>
      <c r="AS4" s="6">
        <f t="shared" si="1"/>
        <v>3604</v>
      </c>
      <c r="AT4" s="6">
        <f t="shared" si="1"/>
        <v>3827</v>
      </c>
      <c r="AU4" s="6">
        <f t="shared" si="1"/>
        <v>4105</v>
      </c>
      <c r="AV4" s="6">
        <f t="shared" si="1"/>
        <v>4313</v>
      </c>
      <c r="AW4" s="6">
        <f t="shared" si="1"/>
        <v>4569</v>
      </c>
      <c r="AX4" s="6">
        <f t="shared" si="1"/>
        <v>4854</v>
      </c>
      <c r="AY4" s="6">
        <f t="shared" si="1"/>
        <v>5029</v>
      </c>
      <c r="AZ4" s="6">
        <f t="shared" si="1"/>
        <v>5202</v>
      </c>
      <c r="BA4" s="6">
        <f t="shared" si="1"/>
        <v>5644</v>
      </c>
      <c r="BB4" s="6">
        <f t="shared" si="1"/>
        <v>6072</v>
      </c>
      <c r="BC4" s="6">
        <f t="shared" si="1"/>
        <v>6271</v>
      </c>
      <c r="BD4" s="6">
        <f t="shared" si="1"/>
        <v>6345</v>
      </c>
      <c r="BE4" s="6">
        <f t="shared" si="1"/>
        <v>6842</v>
      </c>
      <c r="BF4" s="6">
        <f t="shared" si="1"/>
        <v>7176</v>
      </c>
      <c r="BG4" s="6">
        <f t="shared" si="1"/>
        <v>7612</v>
      </c>
      <c r="BH4" s="6">
        <f t="shared" si="1"/>
        <v>7856</v>
      </c>
      <c r="BI4" s="6">
        <f t="shared" si="1"/>
        <v>8595</v>
      </c>
      <c r="BJ4" s="6">
        <f t="shared" si="1"/>
        <v>9070</v>
      </c>
      <c r="BK4" s="6">
        <f t="shared" si="1"/>
        <v>9127</v>
      </c>
      <c r="BL4" s="6">
        <f t="shared" si="1"/>
        <v>9295</v>
      </c>
      <c r="BM4" s="6">
        <f t="shared" si="1"/>
        <v>9782</v>
      </c>
      <c r="BN4" s="6">
        <f t="shared" si="1"/>
        <v>9623</v>
      </c>
      <c r="BO4" s="6">
        <f t="shared" si="1"/>
        <v>10397</v>
      </c>
      <c r="BP4" s="7">
        <f t="shared" si="1"/>
        <v>10971</v>
      </c>
      <c r="BQ4" s="7">
        <f t="shared" si="1"/>
        <v>11037</v>
      </c>
      <c r="BR4" s="7">
        <f t="shared" si="1"/>
        <v>10994</v>
      </c>
    </row>
    <row r="5" spans="1:70" x14ac:dyDescent="0.35">
      <c r="A5" s="8" t="s">
        <v>0</v>
      </c>
      <c r="B5" s="9" t="s">
        <v>549</v>
      </c>
      <c r="C5" s="10" t="s">
        <v>550</v>
      </c>
      <c r="D5" s="34">
        <f>MAX(E5:BR5)</f>
        <v>0</v>
      </c>
      <c r="E5" s="9">
        <v>0</v>
      </c>
      <c r="F5" s="9">
        <v>0</v>
      </c>
      <c r="G5" s="9">
        <v>0</v>
      </c>
      <c r="H5" s="9">
        <v>0</v>
      </c>
      <c r="I5" s="9">
        <v>0</v>
      </c>
      <c r="J5" s="9">
        <v>0</v>
      </c>
      <c r="K5" s="9">
        <v>0</v>
      </c>
      <c r="L5" s="9">
        <v>0</v>
      </c>
      <c r="M5" s="9">
        <v>0</v>
      </c>
      <c r="N5" s="9">
        <v>0</v>
      </c>
      <c r="O5" s="9">
        <v>0</v>
      </c>
      <c r="P5" s="9">
        <v>0</v>
      </c>
      <c r="Q5" s="9">
        <v>0</v>
      </c>
      <c r="R5" s="9">
        <v>0</v>
      </c>
      <c r="S5" s="9">
        <v>0</v>
      </c>
      <c r="T5" s="9">
        <v>0</v>
      </c>
      <c r="U5" s="9">
        <v>0</v>
      </c>
      <c r="V5" s="9">
        <v>0</v>
      </c>
      <c r="W5" s="9">
        <v>0</v>
      </c>
      <c r="X5" s="9">
        <v>0</v>
      </c>
      <c r="Y5" s="9">
        <v>0</v>
      </c>
      <c r="Z5" s="9">
        <v>0</v>
      </c>
      <c r="AA5" s="9">
        <v>0</v>
      </c>
      <c r="AB5" s="9">
        <v>0</v>
      </c>
      <c r="AC5" s="9">
        <v>0</v>
      </c>
      <c r="AD5" s="9">
        <v>0</v>
      </c>
      <c r="AE5" s="9">
        <v>0</v>
      </c>
      <c r="AF5" s="9">
        <v>0</v>
      </c>
      <c r="AG5" s="9">
        <v>0</v>
      </c>
      <c r="AH5" s="9">
        <v>0</v>
      </c>
      <c r="AI5" s="9">
        <v>0</v>
      </c>
      <c r="AJ5" s="9">
        <v>0</v>
      </c>
      <c r="AK5" s="9">
        <v>0</v>
      </c>
      <c r="AL5" s="9">
        <v>0</v>
      </c>
      <c r="AM5" s="9">
        <v>0</v>
      </c>
      <c r="AN5" s="9">
        <v>0</v>
      </c>
      <c r="AO5" s="9">
        <v>0</v>
      </c>
      <c r="AP5" s="9">
        <v>0</v>
      </c>
      <c r="AQ5" s="9">
        <v>0</v>
      </c>
      <c r="AR5" s="9">
        <v>0</v>
      </c>
      <c r="AS5" s="9">
        <v>0</v>
      </c>
      <c r="AT5" s="9">
        <v>0</v>
      </c>
      <c r="AU5" s="9">
        <v>0</v>
      </c>
      <c r="AV5" s="9">
        <v>0</v>
      </c>
      <c r="AW5" s="9">
        <v>0</v>
      </c>
      <c r="AX5" s="9">
        <v>0</v>
      </c>
      <c r="AY5" s="9">
        <v>0</v>
      </c>
      <c r="AZ5" s="9">
        <v>0</v>
      </c>
      <c r="BA5" s="9">
        <v>0</v>
      </c>
      <c r="BB5" s="9">
        <v>0</v>
      </c>
      <c r="BC5" s="9">
        <v>0</v>
      </c>
      <c r="BD5" s="9">
        <v>0</v>
      </c>
      <c r="BE5" s="9">
        <v>0</v>
      </c>
      <c r="BF5" s="9">
        <v>0</v>
      </c>
      <c r="BG5" s="9">
        <v>0</v>
      </c>
      <c r="BH5" s="9">
        <v>0</v>
      </c>
      <c r="BI5" s="9">
        <v>0</v>
      </c>
      <c r="BJ5" s="9">
        <v>0</v>
      </c>
      <c r="BK5" s="9">
        <v>0</v>
      </c>
      <c r="BL5" s="9">
        <v>0</v>
      </c>
      <c r="BM5" s="9">
        <v>0</v>
      </c>
      <c r="BN5" s="9">
        <v>0</v>
      </c>
      <c r="BO5" s="9">
        <v>0</v>
      </c>
      <c r="BP5" s="10">
        <v>0</v>
      </c>
      <c r="BQ5">
        <v>0</v>
      </c>
      <c r="BR5">
        <v>0</v>
      </c>
    </row>
    <row r="6" spans="1:70" x14ac:dyDescent="0.35">
      <c r="A6" s="8" t="s">
        <v>0</v>
      </c>
      <c r="B6" s="9" t="s">
        <v>551</v>
      </c>
      <c r="C6" s="10" t="s">
        <v>552</v>
      </c>
      <c r="D6" s="34">
        <f t="shared" ref="D6:D69" si="2">MAX(E6:BR6)</f>
        <v>0</v>
      </c>
      <c r="E6" s="9">
        <v>0</v>
      </c>
      <c r="F6" s="9">
        <v>0</v>
      </c>
      <c r="G6" s="9">
        <v>0</v>
      </c>
      <c r="H6" s="9">
        <v>0</v>
      </c>
      <c r="I6" s="9">
        <v>0</v>
      </c>
      <c r="J6" s="9">
        <v>0</v>
      </c>
      <c r="K6" s="9">
        <v>0</v>
      </c>
      <c r="L6" s="9">
        <v>0</v>
      </c>
      <c r="M6" s="9">
        <v>0</v>
      </c>
      <c r="N6" s="9">
        <v>0</v>
      </c>
      <c r="O6" s="9">
        <v>0</v>
      </c>
      <c r="P6" s="9">
        <v>0</v>
      </c>
      <c r="Q6" s="9">
        <v>0</v>
      </c>
      <c r="R6" s="9">
        <v>0</v>
      </c>
      <c r="S6" s="9">
        <v>0</v>
      </c>
      <c r="T6" s="9">
        <v>0</v>
      </c>
      <c r="U6" s="9">
        <v>0</v>
      </c>
      <c r="V6" s="9">
        <v>0</v>
      </c>
      <c r="W6" s="9">
        <v>0</v>
      </c>
      <c r="X6" s="9">
        <v>0</v>
      </c>
      <c r="Y6" s="9">
        <v>0</v>
      </c>
      <c r="Z6" s="9">
        <v>0</v>
      </c>
      <c r="AA6" s="9">
        <v>0</v>
      </c>
      <c r="AB6" s="9">
        <v>0</v>
      </c>
      <c r="AC6" s="9">
        <v>0</v>
      </c>
      <c r="AD6" s="9">
        <v>0</v>
      </c>
      <c r="AE6" s="9">
        <v>0</v>
      </c>
      <c r="AF6" s="9">
        <v>0</v>
      </c>
      <c r="AG6" s="9">
        <v>0</v>
      </c>
      <c r="AH6" s="9">
        <v>0</v>
      </c>
      <c r="AI6" s="9">
        <v>0</v>
      </c>
      <c r="AJ6" s="9">
        <v>0</v>
      </c>
      <c r="AK6" s="9">
        <v>0</v>
      </c>
      <c r="AL6" s="9">
        <v>0</v>
      </c>
      <c r="AM6" s="9">
        <v>0</v>
      </c>
      <c r="AN6" s="9">
        <v>0</v>
      </c>
      <c r="AO6" s="9">
        <v>0</v>
      </c>
      <c r="AP6" s="9">
        <v>0</v>
      </c>
      <c r="AQ6" s="9">
        <v>0</v>
      </c>
      <c r="AR6" s="9">
        <v>0</v>
      </c>
      <c r="AS6" s="9">
        <v>0</v>
      </c>
      <c r="AT6" s="9">
        <v>0</v>
      </c>
      <c r="AU6" s="9">
        <v>0</v>
      </c>
      <c r="AV6" s="9">
        <v>0</v>
      </c>
      <c r="AW6" s="9">
        <v>0</v>
      </c>
      <c r="AX6" s="9">
        <v>0</v>
      </c>
      <c r="AY6" s="9">
        <v>0</v>
      </c>
      <c r="AZ6" s="9">
        <v>0</v>
      </c>
      <c r="BA6" s="9">
        <v>0</v>
      </c>
      <c r="BB6" s="9">
        <v>0</v>
      </c>
      <c r="BC6" s="9">
        <v>0</v>
      </c>
      <c r="BD6" s="9">
        <v>0</v>
      </c>
      <c r="BE6" s="9">
        <v>0</v>
      </c>
      <c r="BF6" s="9">
        <v>0</v>
      </c>
      <c r="BG6" s="9">
        <v>0</v>
      </c>
      <c r="BH6" s="9">
        <v>0</v>
      </c>
      <c r="BI6" s="9">
        <v>0</v>
      </c>
      <c r="BJ6" s="9">
        <v>0</v>
      </c>
      <c r="BK6" s="9">
        <v>0</v>
      </c>
      <c r="BL6" s="9">
        <v>0</v>
      </c>
      <c r="BM6" s="9">
        <v>0</v>
      </c>
      <c r="BN6" s="9">
        <v>0</v>
      </c>
      <c r="BO6" s="9">
        <v>0</v>
      </c>
      <c r="BP6" s="10">
        <v>0</v>
      </c>
      <c r="BQ6">
        <v>0</v>
      </c>
      <c r="BR6">
        <v>0</v>
      </c>
    </row>
    <row r="7" spans="1:70" x14ac:dyDescent="0.35">
      <c r="A7" s="8" t="s">
        <v>0</v>
      </c>
      <c r="B7" s="9" t="s">
        <v>7</v>
      </c>
      <c r="C7" s="10" t="s">
        <v>555</v>
      </c>
      <c r="D7" s="34">
        <f t="shared" si="2"/>
        <v>0</v>
      </c>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10"/>
    </row>
    <row r="8" spans="1:70" x14ac:dyDescent="0.35">
      <c r="A8" s="8" t="s">
        <v>0</v>
      </c>
      <c r="B8" s="9" t="s">
        <v>556</v>
      </c>
      <c r="C8" s="10" t="s">
        <v>557</v>
      </c>
      <c r="D8" s="34">
        <f t="shared" si="2"/>
        <v>0</v>
      </c>
      <c r="E8" s="9">
        <v>0</v>
      </c>
      <c r="F8" s="9">
        <v>0</v>
      </c>
      <c r="G8" s="9">
        <v>0</v>
      </c>
      <c r="H8" s="9">
        <v>0</v>
      </c>
      <c r="I8" s="9">
        <v>0</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c r="AH8" s="9">
        <v>0</v>
      </c>
      <c r="AI8" s="9">
        <v>0</v>
      </c>
      <c r="AJ8" s="9">
        <v>0</v>
      </c>
      <c r="AK8" s="9">
        <v>0</v>
      </c>
      <c r="AL8" s="9">
        <v>0</v>
      </c>
      <c r="AM8" s="9">
        <v>0</v>
      </c>
      <c r="AN8" s="9">
        <v>0</v>
      </c>
      <c r="AO8" s="9">
        <v>0</v>
      </c>
      <c r="AP8" s="9">
        <v>0</v>
      </c>
      <c r="AQ8" s="9">
        <v>0</v>
      </c>
      <c r="AR8" s="9">
        <v>0</v>
      </c>
      <c r="AS8" s="9">
        <v>0</v>
      </c>
      <c r="AT8" s="9">
        <v>0</v>
      </c>
      <c r="AU8" s="9">
        <v>0</v>
      </c>
      <c r="AV8" s="9">
        <v>0</v>
      </c>
      <c r="AW8" s="9">
        <v>0</v>
      </c>
      <c r="AX8" s="9">
        <v>0</v>
      </c>
      <c r="AY8" s="9">
        <v>0</v>
      </c>
      <c r="AZ8" s="9">
        <v>0</v>
      </c>
      <c r="BA8" s="9">
        <v>0</v>
      </c>
      <c r="BB8" s="9">
        <v>0</v>
      </c>
      <c r="BC8" s="9">
        <v>0</v>
      </c>
      <c r="BD8" s="9">
        <v>0</v>
      </c>
      <c r="BE8" s="9">
        <v>0</v>
      </c>
      <c r="BF8" s="9">
        <v>0</v>
      </c>
      <c r="BG8" s="9">
        <v>0</v>
      </c>
      <c r="BH8" s="9">
        <v>0</v>
      </c>
      <c r="BI8" s="9">
        <v>0</v>
      </c>
      <c r="BJ8" s="9">
        <v>0</v>
      </c>
      <c r="BK8" s="9">
        <v>0</v>
      </c>
      <c r="BL8" s="9">
        <v>0</v>
      </c>
      <c r="BM8" s="9">
        <v>0</v>
      </c>
      <c r="BN8" s="9">
        <v>0</v>
      </c>
      <c r="BO8" s="9">
        <v>0</v>
      </c>
      <c r="BP8" s="10">
        <v>0</v>
      </c>
      <c r="BQ8">
        <v>0</v>
      </c>
      <c r="BR8">
        <v>0</v>
      </c>
    </row>
    <row r="9" spans="1:70" x14ac:dyDescent="0.35">
      <c r="A9" s="8" t="s">
        <v>0</v>
      </c>
      <c r="B9" s="9" t="s">
        <v>558</v>
      </c>
      <c r="C9" s="10" t="s">
        <v>559</v>
      </c>
      <c r="D9" s="34">
        <f t="shared" si="2"/>
        <v>0</v>
      </c>
      <c r="E9" s="9">
        <v>0</v>
      </c>
      <c r="F9" s="9">
        <v>0</v>
      </c>
      <c r="G9" s="9">
        <v>0</v>
      </c>
      <c r="H9" s="9">
        <v>0</v>
      </c>
      <c r="I9" s="9">
        <v>0</v>
      </c>
      <c r="J9" s="9">
        <v>0</v>
      </c>
      <c r="K9" s="9">
        <v>0</v>
      </c>
      <c r="L9" s="9">
        <v>0</v>
      </c>
      <c r="M9" s="9">
        <v>0</v>
      </c>
      <c r="N9" s="9">
        <v>0</v>
      </c>
      <c r="O9" s="9">
        <v>0</v>
      </c>
      <c r="P9" s="9">
        <v>0</v>
      </c>
      <c r="Q9" s="9">
        <v>0</v>
      </c>
      <c r="R9" s="9">
        <v>0</v>
      </c>
      <c r="S9" s="9">
        <v>0</v>
      </c>
      <c r="T9" s="9">
        <v>0</v>
      </c>
      <c r="U9" s="9">
        <v>0</v>
      </c>
      <c r="V9" s="9">
        <v>0</v>
      </c>
      <c r="W9" s="9">
        <v>0</v>
      </c>
      <c r="X9" s="9">
        <v>0</v>
      </c>
      <c r="Y9" s="9">
        <v>0</v>
      </c>
      <c r="Z9" s="9">
        <v>0</v>
      </c>
      <c r="AA9" s="9">
        <v>0</v>
      </c>
      <c r="AB9" s="9">
        <v>0</v>
      </c>
      <c r="AC9" s="9">
        <v>0</v>
      </c>
      <c r="AD9" s="9">
        <v>0</v>
      </c>
      <c r="AE9" s="9">
        <v>0</v>
      </c>
      <c r="AF9" s="9">
        <v>0</v>
      </c>
      <c r="AG9" s="9">
        <v>0</v>
      </c>
      <c r="AH9" s="9">
        <v>0</v>
      </c>
      <c r="AI9" s="9">
        <v>0</v>
      </c>
      <c r="AJ9" s="9">
        <v>0</v>
      </c>
      <c r="AK9" s="9">
        <v>0</v>
      </c>
      <c r="AL9" s="9">
        <v>0</v>
      </c>
      <c r="AM9" s="9">
        <v>0</v>
      </c>
      <c r="AN9" s="9">
        <v>0</v>
      </c>
      <c r="AO9" s="9">
        <v>0</v>
      </c>
      <c r="AP9" s="9">
        <v>0</v>
      </c>
      <c r="AQ9" s="9">
        <v>0</v>
      </c>
      <c r="AR9" s="9">
        <v>0</v>
      </c>
      <c r="AS9" s="9">
        <v>0</v>
      </c>
      <c r="AT9" s="9">
        <v>0</v>
      </c>
      <c r="AU9" s="9">
        <v>0</v>
      </c>
      <c r="AV9" s="9">
        <v>0</v>
      </c>
      <c r="AW9" s="9">
        <v>0</v>
      </c>
      <c r="AX9" s="9">
        <v>0</v>
      </c>
      <c r="AY9" s="9">
        <v>0</v>
      </c>
      <c r="AZ9" s="9">
        <v>0</v>
      </c>
      <c r="BA9" s="9">
        <v>0</v>
      </c>
      <c r="BB9" s="9">
        <v>0</v>
      </c>
      <c r="BC9" s="9">
        <v>0</v>
      </c>
      <c r="BD9" s="9">
        <v>0</v>
      </c>
      <c r="BE9" s="9">
        <v>0</v>
      </c>
      <c r="BF9" s="9">
        <v>0</v>
      </c>
      <c r="BG9" s="9">
        <v>0</v>
      </c>
      <c r="BH9" s="9">
        <v>0</v>
      </c>
      <c r="BI9" s="9">
        <v>0</v>
      </c>
      <c r="BJ9" s="9">
        <v>0</v>
      </c>
      <c r="BK9" s="9">
        <v>0</v>
      </c>
      <c r="BL9" s="9">
        <v>0</v>
      </c>
      <c r="BM9" s="9">
        <v>0</v>
      </c>
      <c r="BN9" s="9">
        <v>0</v>
      </c>
      <c r="BO9" s="9">
        <v>0</v>
      </c>
      <c r="BP9" s="10">
        <v>0</v>
      </c>
      <c r="BQ9">
        <v>0</v>
      </c>
      <c r="BR9">
        <v>0</v>
      </c>
    </row>
    <row r="10" spans="1:70" x14ac:dyDescent="0.35">
      <c r="A10" s="8" t="s">
        <v>0</v>
      </c>
      <c r="B10" s="9" t="s">
        <v>9</v>
      </c>
      <c r="C10" s="10" t="s">
        <v>560</v>
      </c>
      <c r="D10" s="34">
        <f t="shared" si="2"/>
        <v>3</v>
      </c>
      <c r="E10" s="9">
        <v>0</v>
      </c>
      <c r="F10" s="9">
        <v>0</v>
      </c>
      <c r="G10" s="9">
        <v>0</v>
      </c>
      <c r="H10" s="9">
        <v>0</v>
      </c>
      <c r="I10" s="9">
        <v>0</v>
      </c>
      <c r="J10" s="9">
        <v>0</v>
      </c>
      <c r="K10" s="9">
        <v>0</v>
      </c>
      <c r="L10" s="9">
        <v>0</v>
      </c>
      <c r="M10" s="9">
        <v>0</v>
      </c>
      <c r="N10" s="9">
        <v>0</v>
      </c>
      <c r="O10" s="9">
        <v>0</v>
      </c>
      <c r="P10" s="9">
        <v>0</v>
      </c>
      <c r="Q10" s="9">
        <v>0</v>
      </c>
      <c r="R10" s="9">
        <v>0</v>
      </c>
      <c r="S10" s="9">
        <v>0</v>
      </c>
      <c r="T10" s="9">
        <v>0</v>
      </c>
      <c r="U10" s="9">
        <v>0</v>
      </c>
      <c r="V10" s="9">
        <v>0</v>
      </c>
      <c r="W10" s="9">
        <v>0</v>
      </c>
      <c r="X10" s="9">
        <v>0</v>
      </c>
      <c r="Y10" s="9">
        <v>0</v>
      </c>
      <c r="Z10" s="9">
        <v>0</v>
      </c>
      <c r="AA10" s="9">
        <v>0</v>
      </c>
      <c r="AB10" s="9">
        <v>0</v>
      </c>
      <c r="AC10" s="9">
        <v>0</v>
      </c>
      <c r="AD10" s="9">
        <v>0</v>
      </c>
      <c r="AE10" s="9">
        <v>0</v>
      </c>
      <c r="AF10" s="9">
        <v>0</v>
      </c>
      <c r="AG10" s="9">
        <v>0</v>
      </c>
      <c r="AH10" s="9">
        <v>0</v>
      </c>
      <c r="AI10" s="9">
        <v>0</v>
      </c>
      <c r="AJ10" s="9">
        <v>0</v>
      </c>
      <c r="AK10" s="9">
        <v>0</v>
      </c>
      <c r="AL10" s="9">
        <v>0</v>
      </c>
      <c r="AM10" s="9">
        <v>0</v>
      </c>
      <c r="AN10" s="9">
        <v>0</v>
      </c>
      <c r="AO10" s="9">
        <v>0</v>
      </c>
      <c r="AP10" s="9">
        <v>0</v>
      </c>
      <c r="AQ10" s="9">
        <v>0</v>
      </c>
      <c r="AR10" s="9">
        <v>0</v>
      </c>
      <c r="AS10" s="9">
        <v>0</v>
      </c>
      <c r="AT10" s="9">
        <v>0</v>
      </c>
      <c r="AU10" s="9">
        <v>0</v>
      </c>
      <c r="AV10" s="9">
        <v>0</v>
      </c>
      <c r="AW10" s="9">
        <v>0</v>
      </c>
      <c r="AX10" s="9">
        <v>0</v>
      </c>
      <c r="AY10" s="9">
        <v>0</v>
      </c>
      <c r="AZ10" s="9">
        <v>0</v>
      </c>
      <c r="BA10" s="9">
        <v>0</v>
      </c>
      <c r="BB10" s="9">
        <v>0</v>
      </c>
      <c r="BC10" s="9">
        <v>0</v>
      </c>
      <c r="BD10" s="9">
        <v>0</v>
      </c>
      <c r="BE10" s="9">
        <v>0</v>
      </c>
      <c r="BF10" s="9">
        <v>0</v>
      </c>
      <c r="BG10" s="9">
        <v>0</v>
      </c>
      <c r="BH10" s="9">
        <v>0</v>
      </c>
      <c r="BI10" s="9">
        <v>0</v>
      </c>
      <c r="BJ10" s="9">
        <v>0</v>
      </c>
      <c r="BK10" s="9">
        <v>0</v>
      </c>
      <c r="BL10" s="9">
        <v>0</v>
      </c>
      <c r="BM10" s="9">
        <v>0</v>
      </c>
      <c r="BN10" s="9">
        <v>0</v>
      </c>
      <c r="BO10" s="9">
        <v>0</v>
      </c>
      <c r="BP10" s="10">
        <v>0</v>
      </c>
      <c r="BQ10">
        <v>0</v>
      </c>
      <c r="BR10">
        <v>3</v>
      </c>
    </row>
    <row r="11" spans="1:70" x14ac:dyDescent="0.35">
      <c r="A11" s="8" t="s">
        <v>0</v>
      </c>
      <c r="B11" s="9" t="s">
        <v>11</v>
      </c>
      <c r="C11" s="10" t="s">
        <v>561</v>
      </c>
      <c r="D11" s="34">
        <f t="shared" si="2"/>
        <v>0</v>
      </c>
      <c r="E11" s="9">
        <v>0</v>
      </c>
      <c r="F11" s="9">
        <v>0</v>
      </c>
      <c r="G11" s="9">
        <v>0</v>
      </c>
      <c r="H11" s="9">
        <v>0</v>
      </c>
      <c r="I11" s="9">
        <v>0</v>
      </c>
      <c r="J11" s="9">
        <v>0</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c r="AH11" s="9">
        <v>0</v>
      </c>
      <c r="AI11" s="9">
        <v>0</v>
      </c>
      <c r="AJ11" s="9">
        <v>0</v>
      </c>
      <c r="AK11" s="9">
        <v>0</v>
      </c>
      <c r="AL11" s="9">
        <v>0</v>
      </c>
      <c r="AM11" s="9">
        <v>0</v>
      </c>
      <c r="AN11" s="9">
        <v>0</v>
      </c>
      <c r="AO11" s="9">
        <v>0</v>
      </c>
      <c r="AP11" s="9">
        <v>0</v>
      </c>
      <c r="AQ11" s="9">
        <v>0</v>
      </c>
      <c r="AR11" s="9">
        <v>0</v>
      </c>
      <c r="AS11" s="9">
        <v>0</v>
      </c>
      <c r="AT11" s="9">
        <v>0</v>
      </c>
      <c r="AU11" s="9">
        <v>0</v>
      </c>
      <c r="AV11" s="9">
        <v>0</v>
      </c>
      <c r="AW11" s="9">
        <v>0</v>
      </c>
      <c r="AX11" s="9">
        <v>0</v>
      </c>
      <c r="AY11" s="9">
        <v>0</v>
      </c>
      <c r="AZ11" s="9">
        <v>0</v>
      </c>
      <c r="BA11" s="9">
        <v>0</v>
      </c>
      <c r="BB11" s="9">
        <v>0</v>
      </c>
      <c r="BC11" s="9">
        <v>0</v>
      </c>
      <c r="BD11" s="9">
        <v>0</v>
      </c>
      <c r="BE11" s="9">
        <v>0</v>
      </c>
      <c r="BF11" s="9">
        <v>0</v>
      </c>
      <c r="BG11" s="9">
        <v>0</v>
      </c>
      <c r="BH11" s="9">
        <v>0</v>
      </c>
      <c r="BI11" s="9">
        <v>0</v>
      </c>
      <c r="BJ11" s="9">
        <v>0</v>
      </c>
      <c r="BK11" s="9">
        <v>0</v>
      </c>
      <c r="BL11" s="9">
        <v>0</v>
      </c>
      <c r="BM11" s="9">
        <v>0</v>
      </c>
      <c r="BN11" s="9">
        <v>0</v>
      </c>
      <c r="BO11" s="9">
        <v>0</v>
      </c>
      <c r="BP11" s="10">
        <v>0</v>
      </c>
      <c r="BQ11">
        <v>0</v>
      </c>
      <c r="BR11">
        <v>0</v>
      </c>
    </row>
    <row r="12" spans="1:70" x14ac:dyDescent="0.35">
      <c r="A12" s="8" t="s">
        <v>0</v>
      </c>
      <c r="B12" s="9" t="s">
        <v>562</v>
      </c>
      <c r="C12" s="10" t="s">
        <v>563</v>
      </c>
      <c r="D12" s="34">
        <f t="shared" si="2"/>
        <v>0</v>
      </c>
      <c r="E12" s="9">
        <v>0</v>
      </c>
      <c r="F12" s="9">
        <v>0</v>
      </c>
      <c r="G12" s="9">
        <v>0</v>
      </c>
      <c r="H12" s="9">
        <v>0</v>
      </c>
      <c r="I12" s="9">
        <v>0</v>
      </c>
      <c r="J12" s="9">
        <v>0</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9">
        <v>0</v>
      </c>
      <c r="AC12" s="9">
        <v>0</v>
      </c>
      <c r="AD12" s="9">
        <v>0</v>
      </c>
      <c r="AE12" s="9">
        <v>0</v>
      </c>
      <c r="AF12" s="9">
        <v>0</v>
      </c>
      <c r="AG12" s="9">
        <v>0</v>
      </c>
      <c r="AH12" s="9">
        <v>0</v>
      </c>
      <c r="AI12" s="9">
        <v>0</v>
      </c>
      <c r="AJ12" s="9">
        <v>0</v>
      </c>
      <c r="AK12" s="9">
        <v>0</v>
      </c>
      <c r="AL12" s="9">
        <v>0</v>
      </c>
      <c r="AM12" s="9">
        <v>0</v>
      </c>
      <c r="AN12" s="9">
        <v>0</v>
      </c>
      <c r="AO12" s="9">
        <v>0</v>
      </c>
      <c r="AP12" s="9">
        <v>0</v>
      </c>
      <c r="AQ12" s="9">
        <v>0</v>
      </c>
      <c r="AR12" s="9">
        <v>0</v>
      </c>
      <c r="AS12" s="9">
        <v>0</v>
      </c>
      <c r="AT12" s="9">
        <v>0</v>
      </c>
      <c r="AU12" s="9">
        <v>0</v>
      </c>
      <c r="AV12" s="9">
        <v>0</v>
      </c>
      <c r="AW12" s="9">
        <v>0</v>
      </c>
      <c r="AX12" s="9">
        <v>0</v>
      </c>
      <c r="AY12" s="9">
        <v>0</v>
      </c>
      <c r="AZ12" s="9">
        <v>0</v>
      </c>
      <c r="BA12" s="9">
        <v>0</v>
      </c>
      <c r="BB12" s="9">
        <v>0</v>
      </c>
      <c r="BC12" s="9">
        <v>0</v>
      </c>
      <c r="BD12" s="9">
        <v>0</v>
      </c>
      <c r="BE12" s="9">
        <v>0</v>
      </c>
      <c r="BF12" s="9">
        <v>0</v>
      </c>
      <c r="BG12" s="9">
        <v>0</v>
      </c>
      <c r="BH12" s="9">
        <v>0</v>
      </c>
      <c r="BI12" s="9">
        <v>0</v>
      </c>
      <c r="BJ12" s="9">
        <v>0</v>
      </c>
      <c r="BK12" s="9">
        <v>0</v>
      </c>
      <c r="BL12" s="9">
        <v>0</v>
      </c>
      <c r="BM12" s="9">
        <v>0</v>
      </c>
      <c r="BN12" s="9">
        <v>0</v>
      </c>
      <c r="BO12" s="9">
        <v>0</v>
      </c>
      <c r="BP12" s="10">
        <v>0</v>
      </c>
      <c r="BQ12">
        <v>0</v>
      </c>
      <c r="BR12">
        <v>0</v>
      </c>
    </row>
    <row r="13" spans="1:70" x14ac:dyDescent="0.35">
      <c r="A13" s="8" t="s">
        <v>0</v>
      </c>
      <c r="B13" s="9" t="s">
        <v>564</v>
      </c>
      <c r="C13" s="10" t="s">
        <v>565</v>
      </c>
      <c r="D13" s="34">
        <f t="shared" si="2"/>
        <v>0</v>
      </c>
      <c r="E13" s="9">
        <v>0</v>
      </c>
      <c r="F13" s="9">
        <v>0</v>
      </c>
      <c r="G13" s="9">
        <v>0</v>
      </c>
      <c r="H13" s="9">
        <v>0</v>
      </c>
      <c r="I13" s="9">
        <v>0</v>
      </c>
      <c r="J13" s="9">
        <v>0</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0</v>
      </c>
      <c r="AC13" s="9">
        <v>0</v>
      </c>
      <c r="AD13" s="9">
        <v>0</v>
      </c>
      <c r="AE13" s="9">
        <v>0</v>
      </c>
      <c r="AF13" s="9">
        <v>0</v>
      </c>
      <c r="AG13" s="9">
        <v>0</v>
      </c>
      <c r="AH13" s="9">
        <v>0</v>
      </c>
      <c r="AI13" s="9">
        <v>0</v>
      </c>
      <c r="AJ13" s="9">
        <v>0</v>
      </c>
      <c r="AK13" s="9">
        <v>0</v>
      </c>
      <c r="AL13" s="9">
        <v>0</v>
      </c>
      <c r="AM13" s="9">
        <v>0</v>
      </c>
      <c r="AN13" s="9">
        <v>0</v>
      </c>
      <c r="AO13" s="9">
        <v>0</v>
      </c>
      <c r="AP13" s="9">
        <v>0</v>
      </c>
      <c r="AQ13" s="9">
        <v>0</v>
      </c>
      <c r="AR13" s="9">
        <v>0</v>
      </c>
      <c r="AS13" s="9">
        <v>0</v>
      </c>
      <c r="AT13" s="9">
        <v>0</v>
      </c>
      <c r="AU13" s="9">
        <v>0</v>
      </c>
      <c r="AV13" s="9">
        <v>0</v>
      </c>
      <c r="AW13" s="9">
        <v>0</v>
      </c>
      <c r="AX13" s="9">
        <v>0</v>
      </c>
      <c r="AY13" s="9">
        <v>0</v>
      </c>
      <c r="AZ13" s="9">
        <v>0</v>
      </c>
      <c r="BA13" s="9">
        <v>0</v>
      </c>
      <c r="BB13" s="9">
        <v>0</v>
      </c>
      <c r="BC13" s="9">
        <v>0</v>
      </c>
      <c r="BD13" s="9">
        <v>0</v>
      </c>
      <c r="BE13" s="9">
        <v>0</v>
      </c>
      <c r="BF13" s="9">
        <v>0</v>
      </c>
      <c r="BG13" s="9">
        <v>0</v>
      </c>
      <c r="BH13" s="9">
        <v>0</v>
      </c>
      <c r="BI13" s="9">
        <v>0</v>
      </c>
      <c r="BJ13" s="9">
        <v>0</v>
      </c>
      <c r="BK13" s="9">
        <v>0</v>
      </c>
      <c r="BL13" s="9">
        <v>0</v>
      </c>
      <c r="BM13" s="9">
        <v>0</v>
      </c>
      <c r="BN13" s="9">
        <v>0</v>
      </c>
      <c r="BO13" s="9">
        <v>0</v>
      </c>
      <c r="BP13" s="10">
        <v>0</v>
      </c>
      <c r="BQ13">
        <v>0</v>
      </c>
      <c r="BR13">
        <v>0</v>
      </c>
    </row>
    <row r="14" spans="1:70" x14ac:dyDescent="0.35">
      <c r="A14" s="8" t="s">
        <v>0</v>
      </c>
      <c r="B14" s="9" t="s">
        <v>566</v>
      </c>
      <c r="C14" s="10" t="s">
        <v>567</v>
      </c>
      <c r="D14" s="34">
        <f t="shared" si="2"/>
        <v>1</v>
      </c>
      <c r="E14" s="9">
        <v>0</v>
      </c>
      <c r="F14" s="9">
        <v>0</v>
      </c>
      <c r="G14" s="9">
        <v>0</v>
      </c>
      <c r="H14" s="9">
        <v>0</v>
      </c>
      <c r="I14" s="9">
        <v>0</v>
      </c>
      <c r="J14" s="9">
        <v>0</v>
      </c>
      <c r="K14" s="9">
        <v>0</v>
      </c>
      <c r="L14" s="9">
        <v>0</v>
      </c>
      <c r="M14" s="9">
        <v>0</v>
      </c>
      <c r="N14" s="9">
        <v>0</v>
      </c>
      <c r="O14" s="9">
        <v>0</v>
      </c>
      <c r="P14" s="9">
        <v>0</v>
      </c>
      <c r="Q14" s="9">
        <v>0</v>
      </c>
      <c r="R14" s="9">
        <v>0</v>
      </c>
      <c r="S14" s="9">
        <v>0</v>
      </c>
      <c r="T14" s="9">
        <v>0</v>
      </c>
      <c r="U14" s="9">
        <v>0</v>
      </c>
      <c r="V14" s="9">
        <v>0</v>
      </c>
      <c r="W14" s="9">
        <v>0</v>
      </c>
      <c r="X14" s="9">
        <v>0</v>
      </c>
      <c r="Y14" s="9">
        <v>0</v>
      </c>
      <c r="Z14" s="9">
        <v>0</v>
      </c>
      <c r="AA14" s="9">
        <v>0</v>
      </c>
      <c r="AB14" s="9">
        <v>0</v>
      </c>
      <c r="AC14" s="9">
        <v>0</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c r="AU14" s="9">
        <v>0</v>
      </c>
      <c r="AV14" s="9">
        <v>0</v>
      </c>
      <c r="AW14" s="9">
        <v>0</v>
      </c>
      <c r="AX14" s="9">
        <v>0</v>
      </c>
      <c r="AY14" s="9">
        <v>0</v>
      </c>
      <c r="AZ14" s="9">
        <v>0</v>
      </c>
      <c r="BA14" s="9">
        <v>0</v>
      </c>
      <c r="BB14" s="9">
        <v>0</v>
      </c>
      <c r="BC14" s="9">
        <v>0</v>
      </c>
      <c r="BD14" s="9">
        <v>0</v>
      </c>
      <c r="BE14" s="9">
        <v>0</v>
      </c>
      <c r="BF14" s="9">
        <v>0</v>
      </c>
      <c r="BG14" s="9">
        <v>0</v>
      </c>
      <c r="BH14" s="9">
        <v>0</v>
      </c>
      <c r="BI14" s="9">
        <v>0</v>
      </c>
      <c r="BJ14" s="9">
        <v>0</v>
      </c>
      <c r="BK14" s="9">
        <v>0</v>
      </c>
      <c r="BL14" s="9">
        <v>0</v>
      </c>
      <c r="BM14" s="9">
        <v>0</v>
      </c>
      <c r="BN14" s="9">
        <v>0</v>
      </c>
      <c r="BO14" s="9">
        <v>0</v>
      </c>
      <c r="BP14" s="10">
        <v>1</v>
      </c>
      <c r="BQ14">
        <v>1</v>
      </c>
      <c r="BR14">
        <v>1</v>
      </c>
    </row>
    <row r="15" spans="1:70" x14ac:dyDescent="0.35">
      <c r="A15" s="8" t="s">
        <v>0</v>
      </c>
      <c r="B15" s="9" t="s">
        <v>568</v>
      </c>
      <c r="C15" s="10" t="s">
        <v>569</v>
      </c>
      <c r="D15" s="34">
        <f t="shared" si="2"/>
        <v>1</v>
      </c>
      <c r="E15" s="9">
        <v>0</v>
      </c>
      <c r="F15" s="9">
        <v>0</v>
      </c>
      <c r="G15" s="9">
        <v>0</v>
      </c>
      <c r="H15" s="9">
        <v>0</v>
      </c>
      <c r="I15" s="9">
        <v>0</v>
      </c>
      <c r="J15" s="9">
        <v>0</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9">
        <v>0</v>
      </c>
      <c r="AC15" s="9">
        <v>0</v>
      </c>
      <c r="AD15" s="9">
        <v>0</v>
      </c>
      <c r="AE15" s="9">
        <v>0</v>
      </c>
      <c r="AF15" s="9">
        <v>0</v>
      </c>
      <c r="AG15" s="9">
        <v>0</v>
      </c>
      <c r="AH15" s="9">
        <v>0</v>
      </c>
      <c r="AI15" s="9">
        <v>0</v>
      </c>
      <c r="AJ15" s="9">
        <v>0</v>
      </c>
      <c r="AK15" s="9">
        <v>0</v>
      </c>
      <c r="AL15" s="9">
        <v>0</v>
      </c>
      <c r="AM15" s="9">
        <v>0</v>
      </c>
      <c r="AN15" s="9">
        <v>0</v>
      </c>
      <c r="AO15" s="9">
        <v>0</v>
      </c>
      <c r="AP15" s="9">
        <v>0</v>
      </c>
      <c r="AQ15" s="9">
        <v>0</v>
      </c>
      <c r="AR15" s="9">
        <v>0</v>
      </c>
      <c r="AS15" s="9">
        <v>0</v>
      </c>
      <c r="AT15" s="9">
        <v>0</v>
      </c>
      <c r="AU15" s="9">
        <v>0</v>
      </c>
      <c r="AV15" s="9">
        <v>0</v>
      </c>
      <c r="AW15" s="9">
        <v>0</v>
      </c>
      <c r="AX15" s="9">
        <v>0</v>
      </c>
      <c r="AY15" s="9">
        <v>0</v>
      </c>
      <c r="AZ15" s="9">
        <v>0</v>
      </c>
      <c r="BA15" s="9">
        <v>0</v>
      </c>
      <c r="BB15" s="9">
        <v>0</v>
      </c>
      <c r="BC15" s="9">
        <v>0</v>
      </c>
      <c r="BD15" s="9">
        <v>0</v>
      </c>
      <c r="BE15" s="9">
        <v>0</v>
      </c>
      <c r="BF15" s="9">
        <v>0</v>
      </c>
      <c r="BG15" s="9">
        <v>1</v>
      </c>
      <c r="BH15" s="9">
        <v>0</v>
      </c>
      <c r="BI15" s="9">
        <v>0</v>
      </c>
      <c r="BJ15" s="9">
        <v>1</v>
      </c>
      <c r="BK15" s="9">
        <v>0</v>
      </c>
      <c r="BL15" s="9">
        <v>0</v>
      </c>
      <c r="BM15" s="9">
        <v>0</v>
      </c>
      <c r="BN15" s="9">
        <v>0</v>
      </c>
      <c r="BO15" s="9">
        <v>0</v>
      </c>
      <c r="BP15" s="10">
        <v>0</v>
      </c>
      <c r="BQ15">
        <v>0</v>
      </c>
      <c r="BR15">
        <v>0</v>
      </c>
    </row>
    <row r="16" spans="1:70" x14ac:dyDescent="0.35">
      <c r="A16" s="8" t="s">
        <v>0</v>
      </c>
      <c r="B16" s="9" t="s">
        <v>15</v>
      </c>
      <c r="C16" s="10" t="s">
        <v>570</v>
      </c>
      <c r="D16" s="34">
        <f t="shared" si="2"/>
        <v>21</v>
      </c>
      <c r="E16" s="9">
        <v>1</v>
      </c>
      <c r="F16" s="9">
        <v>1</v>
      </c>
      <c r="G16" s="9">
        <v>1</v>
      </c>
      <c r="H16" s="9">
        <v>0</v>
      </c>
      <c r="I16" s="9">
        <v>0</v>
      </c>
      <c r="J16" s="9">
        <v>0</v>
      </c>
      <c r="K16" s="9">
        <v>0</v>
      </c>
      <c r="L16" s="9">
        <v>0</v>
      </c>
      <c r="M16" s="9">
        <v>0</v>
      </c>
      <c r="N16" s="9">
        <v>0</v>
      </c>
      <c r="O16" s="9">
        <v>0</v>
      </c>
      <c r="P16" s="9">
        <v>0</v>
      </c>
      <c r="Q16" s="9">
        <v>0</v>
      </c>
      <c r="R16" s="9">
        <v>0</v>
      </c>
      <c r="S16" s="9">
        <v>0</v>
      </c>
      <c r="T16" s="9">
        <v>0</v>
      </c>
      <c r="U16" s="9">
        <v>0</v>
      </c>
      <c r="V16" s="9">
        <v>0</v>
      </c>
      <c r="W16" s="9">
        <v>0</v>
      </c>
      <c r="X16" s="9">
        <v>0</v>
      </c>
      <c r="Y16" s="9">
        <v>0</v>
      </c>
      <c r="Z16" s="9">
        <v>0</v>
      </c>
      <c r="AA16" s="9">
        <v>0</v>
      </c>
      <c r="AB16" s="9">
        <v>0</v>
      </c>
      <c r="AC16" s="9">
        <v>0</v>
      </c>
      <c r="AD16" s="9">
        <v>0</v>
      </c>
      <c r="AE16" s="9">
        <v>0</v>
      </c>
      <c r="AF16" s="9">
        <v>0</v>
      </c>
      <c r="AG16" s="9">
        <v>0</v>
      </c>
      <c r="AH16" s="9">
        <v>1</v>
      </c>
      <c r="AI16" s="9">
        <v>0</v>
      </c>
      <c r="AJ16" s="9">
        <v>0</v>
      </c>
      <c r="AK16" s="9">
        <v>0</v>
      </c>
      <c r="AL16" s="9">
        <v>0</v>
      </c>
      <c r="AM16" s="9">
        <v>0</v>
      </c>
      <c r="AN16" s="9">
        <v>0</v>
      </c>
      <c r="AO16" s="9">
        <v>0</v>
      </c>
      <c r="AP16" s="9">
        <v>0</v>
      </c>
      <c r="AQ16" s="9">
        <v>0</v>
      </c>
      <c r="AR16" s="9">
        <v>0</v>
      </c>
      <c r="AS16" s="9">
        <v>0</v>
      </c>
      <c r="AT16" s="9">
        <v>0</v>
      </c>
      <c r="AU16" s="9">
        <v>2</v>
      </c>
      <c r="AV16" s="9">
        <v>4</v>
      </c>
      <c r="AW16" s="9">
        <v>4</v>
      </c>
      <c r="AX16" s="9">
        <v>4</v>
      </c>
      <c r="AY16" s="9">
        <v>4</v>
      </c>
      <c r="AZ16" s="9">
        <v>6</v>
      </c>
      <c r="BA16" s="9">
        <v>7</v>
      </c>
      <c r="BB16" s="9">
        <v>7</v>
      </c>
      <c r="BC16" s="9">
        <v>9</v>
      </c>
      <c r="BD16" s="9">
        <v>9</v>
      </c>
      <c r="BE16" s="9">
        <v>12</v>
      </c>
      <c r="BF16" s="9">
        <v>12</v>
      </c>
      <c r="BG16" s="9">
        <v>16</v>
      </c>
      <c r="BH16" s="9">
        <v>16</v>
      </c>
      <c r="BI16" s="9">
        <v>17</v>
      </c>
      <c r="BJ16" s="9">
        <v>17</v>
      </c>
      <c r="BK16" s="9">
        <v>15</v>
      </c>
      <c r="BL16" s="9">
        <v>13</v>
      </c>
      <c r="BM16" s="9">
        <v>19</v>
      </c>
      <c r="BN16" s="9">
        <v>20</v>
      </c>
      <c r="BO16" s="9">
        <v>20</v>
      </c>
      <c r="BP16" s="10">
        <v>21</v>
      </c>
      <c r="BQ16">
        <v>21</v>
      </c>
      <c r="BR16">
        <v>18</v>
      </c>
    </row>
    <row r="17" spans="1:70" x14ac:dyDescent="0.35">
      <c r="A17" s="8" t="s">
        <v>0</v>
      </c>
      <c r="B17" s="9" t="s">
        <v>17</v>
      </c>
      <c r="C17" s="10" t="s">
        <v>571</v>
      </c>
      <c r="D17" s="34">
        <f t="shared" si="2"/>
        <v>1</v>
      </c>
      <c r="E17" s="9">
        <v>0</v>
      </c>
      <c r="F17" s="9">
        <v>0</v>
      </c>
      <c r="G17" s="9">
        <v>0</v>
      </c>
      <c r="H17" s="9">
        <v>0</v>
      </c>
      <c r="I17" s="9">
        <v>0</v>
      </c>
      <c r="J17" s="9">
        <v>0</v>
      </c>
      <c r="K17" s="9">
        <v>0</v>
      </c>
      <c r="L17" s="9">
        <v>0</v>
      </c>
      <c r="M17" s="9">
        <v>0</v>
      </c>
      <c r="N17" s="9">
        <v>0</v>
      </c>
      <c r="O17" s="9">
        <v>0</v>
      </c>
      <c r="P17" s="9">
        <v>0</v>
      </c>
      <c r="Q17" s="9">
        <v>0</v>
      </c>
      <c r="R17" s="9">
        <v>0</v>
      </c>
      <c r="S17" s="9">
        <v>0</v>
      </c>
      <c r="T17" s="9">
        <v>0</v>
      </c>
      <c r="U17" s="9">
        <v>0</v>
      </c>
      <c r="V17" s="9">
        <v>0</v>
      </c>
      <c r="W17" s="9">
        <v>0</v>
      </c>
      <c r="X17" s="9">
        <v>0</v>
      </c>
      <c r="Y17" s="9">
        <v>0</v>
      </c>
      <c r="Z17" s="9">
        <v>0</v>
      </c>
      <c r="AA17" s="9">
        <v>0</v>
      </c>
      <c r="AB17" s="9">
        <v>0</v>
      </c>
      <c r="AC17" s="9">
        <v>0</v>
      </c>
      <c r="AD17" s="9">
        <v>0</v>
      </c>
      <c r="AE17" s="9">
        <v>0</v>
      </c>
      <c r="AF17" s="9">
        <v>0</v>
      </c>
      <c r="AG17" s="9">
        <v>0</v>
      </c>
      <c r="AH17" s="9">
        <v>0</v>
      </c>
      <c r="AI17" s="9">
        <v>0</v>
      </c>
      <c r="AJ17" s="9">
        <v>0</v>
      </c>
      <c r="AK17" s="9">
        <v>0</v>
      </c>
      <c r="AL17" s="9">
        <v>0</v>
      </c>
      <c r="AM17" s="9">
        <v>0</v>
      </c>
      <c r="AN17" s="9">
        <v>0</v>
      </c>
      <c r="AO17" s="9">
        <v>0</v>
      </c>
      <c r="AP17" s="9">
        <v>0</v>
      </c>
      <c r="AQ17" s="9">
        <v>0</v>
      </c>
      <c r="AR17" s="9">
        <v>0</v>
      </c>
      <c r="AS17" s="9">
        <v>0</v>
      </c>
      <c r="AT17" s="9">
        <v>0</v>
      </c>
      <c r="AU17" s="9">
        <v>0</v>
      </c>
      <c r="AV17" s="9">
        <v>0</v>
      </c>
      <c r="AW17" s="9">
        <v>0</v>
      </c>
      <c r="AX17" s="9">
        <v>0</v>
      </c>
      <c r="AY17" s="9">
        <v>0</v>
      </c>
      <c r="AZ17" s="9">
        <v>0</v>
      </c>
      <c r="BA17" s="9">
        <v>0</v>
      </c>
      <c r="BB17" s="9">
        <v>0</v>
      </c>
      <c r="BC17" s="9">
        <v>0</v>
      </c>
      <c r="BD17" s="9">
        <v>0</v>
      </c>
      <c r="BE17" s="9">
        <v>1</v>
      </c>
      <c r="BF17" s="9">
        <v>1</v>
      </c>
      <c r="BG17" s="9">
        <v>1</v>
      </c>
      <c r="BH17" s="9">
        <v>1</v>
      </c>
      <c r="BI17" s="9">
        <v>1</v>
      </c>
      <c r="BJ17" s="9">
        <v>0</v>
      </c>
      <c r="BK17" s="9">
        <v>0</v>
      </c>
      <c r="BL17" s="9">
        <v>0</v>
      </c>
      <c r="BM17" s="9">
        <v>0</v>
      </c>
      <c r="BN17" s="9">
        <v>0</v>
      </c>
      <c r="BO17" s="9">
        <v>0</v>
      </c>
      <c r="BP17" s="10">
        <v>0</v>
      </c>
      <c r="BQ17">
        <v>0</v>
      </c>
      <c r="BR17">
        <v>0</v>
      </c>
    </row>
    <row r="18" spans="1:70" x14ac:dyDescent="0.35">
      <c r="A18" s="8" t="s">
        <v>0</v>
      </c>
      <c r="B18" s="9" t="s">
        <v>572</v>
      </c>
      <c r="C18" s="10" t="s">
        <v>573</v>
      </c>
      <c r="D18" s="34">
        <f t="shared" si="2"/>
        <v>0</v>
      </c>
      <c r="E18" s="9">
        <v>0</v>
      </c>
      <c r="F18" s="9">
        <v>0</v>
      </c>
      <c r="G18" s="9">
        <v>0</v>
      </c>
      <c r="H18" s="9">
        <v>0</v>
      </c>
      <c r="I18" s="9">
        <v>0</v>
      </c>
      <c r="J18" s="9">
        <v>0</v>
      </c>
      <c r="K18" s="9">
        <v>0</v>
      </c>
      <c r="L18" s="9">
        <v>0</v>
      </c>
      <c r="M18" s="9">
        <v>0</v>
      </c>
      <c r="N18" s="9">
        <v>0</v>
      </c>
      <c r="O18" s="9">
        <v>0</v>
      </c>
      <c r="P18" s="9">
        <v>0</v>
      </c>
      <c r="Q18" s="9">
        <v>0</v>
      </c>
      <c r="R18" s="9">
        <v>0</v>
      </c>
      <c r="S18" s="9">
        <v>0</v>
      </c>
      <c r="T18" s="9">
        <v>0</v>
      </c>
      <c r="U18" s="9">
        <v>0</v>
      </c>
      <c r="V18" s="9">
        <v>0</v>
      </c>
      <c r="W18" s="9">
        <v>0</v>
      </c>
      <c r="X18" s="9">
        <v>0</v>
      </c>
      <c r="Y18" s="9">
        <v>0</v>
      </c>
      <c r="Z18" s="9">
        <v>0</v>
      </c>
      <c r="AA18" s="9">
        <v>0</v>
      </c>
      <c r="AB18" s="9">
        <v>0</v>
      </c>
      <c r="AC18" s="9">
        <v>0</v>
      </c>
      <c r="AD18" s="9">
        <v>0</v>
      </c>
      <c r="AE18" s="9">
        <v>0</v>
      </c>
      <c r="AF18" s="9">
        <v>0</v>
      </c>
      <c r="AG18" s="9">
        <v>0</v>
      </c>
      <c r="AH18" s="9">
        <v>0</v>
      </c>
      <c r="AI18" s="9">
        <v>0</v>
      </c>
      <c r="AJ18" s="9">
        <v>0</v>
      </c>
      <c r="AK18" s="9">
        <v>0</v>
      </c>
      <c r="AL18" s="9">
        <v>0</v>
      </c>
      <c r="AM18" s="9">
        <v>0</v>
      </c>
      <c r="AN18" s="9">
        <v>0</v>
      </c>
      <c r="AO18" s="9">
        <v>0</v>
      </c>
      <c r="AP18" s="9">
        <v>0</v>
      </c>
      <c r="AQ18" s="9">
        <v>0</v>
      </c>
      <c r="AR18" s="9">
        <v>0</v>
      </c>
      <c r="AS18" s="9">
        <v>0</v>
      </c>
      <c r="AT18" s="9">
        <v>0</v>
      </c>
      <c r="AU18" s="9">
        <v>0</v>
      </c>
      <c r="AV18" s="9">
        <v>0</v>
      </c>
      <c r="AW18" s="9">
        <v>0</v>
      </c>
      <c r="AX18" s="9">
        <v>0</v>
      </c>
      <c r="AY18" s="9">
        <v>0</v>
      </c>
      <c r="AZ18" s="9">
        <v>0</v>
      </c>
      <c r="BA18" s="9">
        <v>0</v>
      </c>
      <c r="BB18" s="9">
        <v>0</v>
      </c>
      <c r="BC18" s="9">
        <v>0</v>
      </c>
      <c r="BD18" s="9">
        <v>0</v>
      </c>
      <c r="BE18" s="9">
        <v>0</v>
      </c>
      <c r="BF18" s="9">
        <v>0</v>
      </c>
      <c r="BG18" s="9">
        <v>0</v>
      </c>
      <c r="BH18" s="9">
        <v>0</v>
      </c>
      <c r="BI18" s="9">
        <v>0</v>
      </c>
      <c r="BJ18" s="9">
        <v>0</v>
      </c>
      <c r="BK18" s="9">
        <v>0</v>
      </c>
      <c r="BL18" s="9">
        <v>0</v>
      </c>
      <c r="BM18" s="9">
        <v>0</v>
      </c>
      <c r="BN18" s="9">
        <v>0</v>
      </c>
      <c r="BO18" s="9">
        <v>0</v>
      </c>
      <c r="BP18" s="10">
        <v>0</v>
      </c>
      <c r="BQ18">
        <v>0</v>
      </c>
      <c r="BR18">
        <v>0</v>
      </c>
    </row>
    <row r="19" spans="1:70" x14ac:dyDescent="0.35">
      <c r="A19" s="8" t="s">
        <v>0</v>
      </c>
      <c r="B19" s="9" t="s">
        <v>574</v>
      </c>
      <c r="C19" s="10" t="s">
        <v>575</v>
      </c>
      <c r="D19" s="34">
        <f t="shared" si="2"/>
        <v>0</v>
      </c>
      <c r="E19" s="9">
        <v>0</v>
      </c>
      <c r="F19" s="9">
        <v>0</v>
      </c>
      <c r="G19" s="9">
        <v>0</v>
      </c>
      <c r="H19" s="9">
        <v>0</v>
      </c>
      <c r="I19" s="9">
        <v>0</v>
      </c>
      <c r="J19" s="9">
        <v>0</v>
      </c>
      <c r="K19" s="9">
        <v>0</v>
      </c>
      <c r="L19" s="9">
        <v>0</v>
      </c>
      <c r="M19" s="9">
        <v>0</v>
      </c>
      <c r="N19" s="9">
        <v>0</v>
      </c>
      <c r="O19" s="9">
        <v>0</v>
      </c>
      <c r="P19" s="9">
        <v>0</v>
      </c>
      <c r="Q19" s="9">
        <v>0</v>
      </c>
      <c r="R19" s="9">
        <v>0</v>
      </c>
      <c r="S19" s="9">
        <v>0</v>
      </c>
      <c r="T19" s="9">
        <v>0</v>
      </c>
      <c r="U19" s="9">
        <v>0</v>
      </c>
      <c r="V19" s="9">
        <v>0</v>
      </c>
      <c r="W19" s="9">
        <v>0</v>
      </c>
      <c r="X19" s="9">
        <v>0</v>
      </c>
      <c r="Y19" s="9">
        <v>0</v>
      </c>
      <c r="Z19" s="9">
        <v>0</v>
      </c>
      <c r="AA19" s="9">
        <v>0</v>
      </c>
      <c r="AB19" s="9">
        <v>0</v>
      </c>
      <c r="AC19" s="9">
        <v>0</v>
      </c>
      <c r="AD19" s="9">
        <v>0</v>
      </c>
      <c r="AE19" s="9">
        <v>0</v>
      </c>
      <c r="AF19" s="9">
        <v>0</v>
      </c>
      <c r="AG19" s="9">
        <v>0</v>
      </c>
      <c r="AH19" s="9">
        <v>0</v>
      </c>
      <c r="AI19" s="9">
        <v>0</v>
      </c>
      <c r="AJ19" s="9">
        <v>0</v>
      </c>
      <c r="AK19" s="9">
        <v>0</v>
      </c>
      <c r="AL19" s="9">
        <v>0</v>
      </c>
      <c r="AM19" s="9">
        <v>0</v>
      </c>
      <c r="AN19" s="9">
        <v>0</v>
      </c>
      <c r="AO19" s="9">
        <v>0</v>
      </c>
      <c r="AP19" s="9">
        <v>0</v>
      </c>
      <c r="AQ19" s="9">
        <v>0</v>
      </c>
      <c r="AR19" s="9">
        <v>0</v>
      </c>
      <c r="AS19" s="9">
        <v>0</v>
      </c>
      <c r="AT19" s="9">
        <v>0</v>
      </c>
      <c r="AU19" s="9">
        <v>0</v>
      </c>
      <c r="AV19" s="9">
        <v>0</v>
      </c>
      <c r="AW19" s="9">
        <v>0</v>
      </c>
      <c r="AX19" s="9">
        <v>0</v>
      </c>
      <c r="AY19" s="9">
        <v>0</v>
      </c>
      <c r="AZ19" s="9">
        <v>0</v>
      </c>
      <c r="BA19" s="9">
        <v>0</v>
      </c>
      <c r="BB19" s="9">
        <v>0</v>
      </c>
      <c r="BC19" s="9">
        <v>0</v>
      </c>
      <c r="BD19" s="9">
        <v>0</v>
      </c>
      <c r="BE19" s="9">
        <v>0</v>
      </c>
      <c r="BF19" s="9">
        <v>0</v>
      </c>
      <c r="BG19" s="9">
        <v>0</v>
      </c>
      <c r="BH19" s="9">
        <v>0</v>
      </c>
      <c r="BI19" s="9">
        <v>0</v>
      </c>
      <c r="BJ19" s="9">
        <v>0</v>
      </c>
      <c r="BK19" s="9">
        <v>0</v>
      </c>
      <c r="BL19" s="9">
        <v>0</v>
      </c>
      <c r="BM19" s="9">
        <v>0</v>
      </c>
      <c r="BN19" s="9">
        <v>0</v>
      </c>
      <c r="BO19" s="9">
        <v>0</v>
      </c>
      <c r="BP19" s="10">
        <v>0</v>
      </c>
      <c r="BQ19">
        <v>0</v>
      </c>
      <c r="BR19">
        <v>0</v>
      </c>
    </row>
    <row r="20" spans="1:70" x14ac:dyDescent="0.35">
      <c r="A20" s="8" t="s">
        <v>0</v>
      </c>
      <c r="B20" s="9" t="s">
        <v>576</v>
      </c>
      <c r="C20" s="10" t="s">
        <v>577</v>
      </c>
      <c r="D20" s="34">
        <f t="shared" si="2"/>
        <v>0</v>
      </c>
      <c r="E20" s="9">
        <v>0</v>
      </c>
      <c r="F20" s="9">
        <v>0</v>
      </c>
      <c r="G20" s="9">
        <v>0</v>
      </c>
      <c r="H20" s="9">
        <v>0</v>
      </c>
      <c r="I20" s="9">
        <v>0</v>
      </c>
      <c r="J20" s="9">
        <v>0</v>
      </c>
      <c r="K20" s="9">
        <v>0</v>
      </c>
      <c r="L20" s="9">
        <v>0</v>
      </c>
      <c r="M20" s="9">
        <v>0</v>
      </c>
      <c r="N20" s="9">
        <v>0</v>
      </c>
      <c r="O20" s="9">
        <v>0</v>
      </c>
      <c r="P20" s="9">
        <v>0</v>
      </c>
      <c r="Q20" s="9">
        <v>0</v>
      </c>
      <c r="R20" s="9">
        <v>0</v>
      </c>
      <c r="S20" s="9">
        <v>0</v>
      </c>
      <c r="T20" s="9">
        <v>0</v>
      </c>
      <c r="U20" s="9">
        <v>0</v>
      </c>
      <c r="V20" s="9">
        <v>0</v>
      </c>
      <c r="W20" s="9">
        <v>0</v>
      </c>
      <c r="X20" s="9">
        <v>0</v>
      </c>
      <c r="Y20" s="9">
        <v>0</v>
      </c>
      <c r="Z20" s="9">
        <v>0</v>
      </c>
      <c r="AA20" s="9">
        <v>0</v>
      </c>
      <c r="AB20" s="9">
        <v>0</v>
      </c>
      <c r="AC20" s="9">
        <v>0</v>
      </c>
      <c r="AD20" s="9">
        <v>0</v>
      </c>
      <c r="AE20" s="9">
        <v>0</v>
      </c>
      <c r="AF20" s="9">
        <v>0</v>
      </c>
      <c r="AG20" s="9">
        <v>0</v>
      </c>
      <c r="AH20" s="9">
        <v>0</v>
      </c>
      <c r="AI20" s="9">
        <v>0</v>
      </c>
      <c r="AJ20" s="9">
        <v>0</v>
      </c>
      <c r="AK20" s="9">
        <v>0</v>
      </c>
      <c r="AL20" s="9">
        <v>0</v>
      </c>
      <c r="AM20" s="9">
        <v>0</v>
      </c>
      <c r="AN20" s="9">
        <v>0</v>
      </c>
      <c r="AO20" s="9">
        <v>0</v>
      </c>
      <c r="AP20" s="9">
        <v>0</v>
      </c>
      <c r="AQ20" s="9">
        <v>0</v>
      </c>
      <c r="AR20" s="9">
        <v>0</v>
      </c>
      <c r="AS20" s="9">
        <v>0</v>
      </c>
      <c r="AT20" s="9">
        <v>0</v>
      </c>
      <c r="AU20" s="9">
        <v>0</v>
      </c>
      <c r="AV20" s="9">
        <v>0</v>
      </c>
      <c r="AW20" s="9">
        <v>0</v>
      </c>
      <c r="AX20" s="9">
        <v>0</v>
      </c>
      <c r="AY20" s="9">
        <v>0</v>
      </c>
      <c r="AZ20" s="9">
        <v>0</v>
      </c>
      <c r="BA20" s="9">
        <v>0</v>
      </c>
      <c r="BB20" s="9">
        <v>0</v>
      </c>
      <c r="BC20" s="9">
        <v>0</v>
      </c>
      <c r="BD20" s="9">
        <v>0</v>
      </c>
      <c r="BE20" s="9">
        <v>0</v>
      </c>
      <c r="BF20" s="9">
        <v>0</v>
      </c>
      <c r="BG20" s="9">
        <v>0</v>
      </c>
      <c r="BH20" s="9">
        <v>0</v>
      </c>
      <c r="BI20" s="9">
        <v>0</v>
      </c>
      <c r="BJ20" s="9">
        <v>0</v>
      </c>
      <c r="BK20" s="9">
        <v>0</v>
      </c>
      <c r="BL20" s="9">
        <v>0</v>
      </c>
      <c r="BM20" s="9">
        <v>0</v>
      </c>
      <c r="BN20" s="9">
        <v>0</v>
      </c>
      <c r="BO20" s="9">
        <v>0</v>
      </c>
      <c r="BP20" s="10">
        <v>0</v>
      </c>
      <c r="BQ20">
        <v>0</v>
      </c>
      <c r="BR20">
        <v>0</v>
      </c>
    </row>
    <row r="21" spans="1:70" x14ac:dyDescent="0.35">
      <c r="A21" s="8" t="s">
        <v>0</v>
      </c>
      <c r="B21" s="9" t="s">
        <v>578</v>
      </c>
      <c r="C21" s="10" t="s">
        <v>579</v>
      </c>
      <c r="D21" s="34">
        <f t="shared" si="2"/>
        <v>0</v>
      </c>
      <c r="E21" s="9">
        <v>0</v>
      </c>
      <c r="F21" s="9">
        <v>0</v>
      </c>
      <c r="G21" s="9">
        <v>0</v>
      </c>
      <c r="H21" s="9">
        <v>0</v>
      </c>
      <c r="I21" s="9">
        <v>0</v>
      </c>
      <c r="J21" s="9">
        <v>0</v>
      </c>
      <c r="K21" s="9">
        <v>0</v>
      </c>
      <c r="L21" s="9">
        <v>0</v>
      </c>
      <c r="M21" s="9">
        <v>0</v>
      </c>
      <c r="N21" s="9">
        <v>0</v>
      </c>
      <c r="O21" s="9">
        <v>0</v>
      </c>
      <c r="P21" s="9">
        <v>0</v>
      </c>
      <c r="Q21" s="9">
        <v>0</v>
      </c>
      <c r="R21" s="9">
        <v>0</v>
      </c>
      <c r="S21" s="9">
        <v>0</v>
      </c>
      <c r="T21" s="9">
        <v>0</v>
      </c>
      <c r="U21" s="9">
        <v>0</v>
      </c>
      <c r="V21" s="9">
        <v>0</v>
      </c>
      <c r="W21" s="9">
        <v>0</v>
      </c>
      <c r="X21" s="9">
        <v>0</v>
      </c>
      <c r="Y21" s="9">
        <v>0</v>
      </c>
      <c r="Z21" s="9">
        <v>0</v>
      </c>
      <c r="AA21" s="9">
        <v>0</v>
      </c>
      <c r="AB21" s="9">
        <v>0</v>
      </c>
      <c r="AC21" s="9">
        <v>0</v>
      </c>
      <c r="AD21" s="9">
        <v>0</v>
      </c>
      <c r="AE21" s="9">
        <v>0</v>
      </c>
      <c r="AF21" s="9">
        <v>0</v>
      </c>
      <c r="AG21" s="9">
        <v>0</v>
      </c>
      <c r="AH21" s="9">
        <v>0</v>
      </c>
      <c r="AI21" s="9">
        <v>0</v>
      </c>
      <c r="AJ21" s="9">
        <v>0</v>
      </c>
      <c r="AK21" s="9">
        <v>0</v>
      </c>
      <c r="AL21" s="9">
        <v>0</v>
      </c>
      <c r="AM21" s="9">
        <v>0</v>
      </c>
      <c r="AN21" s="9">
        <v>0</v>
      </c>
      <c r="AO21" s="9">
        <v>0</v>
      </c>
      <c r="AP21" s="9">
        <v>0</v>
      </c>
      <c r="AQ21" s="9">
        <v>0</v>
      </c>
      <c r="AR21" s="9">
        <v>0</v>
      </c>
      <c r="AS21" s="9">
        <v>0</v>
      </c>
      <c r="AT21" s="9">
        <v>0</v>
      </c>
      <c r="AU21" s="9">
        <v>0</v>
      </c>
      <c r="AV21" s="9">
        <v>0</v>
      </c>
      <c r="AW21" s="9">
        <v>0</v>
      </c>
      <c r="AX21" s="9">
        <v>0</v>
      </c>
      <c r="AY21" s="9">
        <v>0</v>
      </c>
      <c r="AZ21" s="9">
        <v>0</v>
      </c>
      <c r="BA21" s="9">
        <v>0</v>
      </c>
      <c r="BB21" s="9">
        <v>0</v>
      </c>
      <c r="BC21" s="9">
        <v>0</v>
      </c>
      <c r="BD21" s="9">
        <v>0</v>
      </c>
      <c r="BE21" s="9">
        <v>0</v>
      </c>
      <c r="BF21" s="9">
        <v>0</v>
      </c>
      <c r="BG21" s="9">
        <v>0</v>
      </c>
      <c r="BH21" s="9">
        <v>0</v>
      </c>
      <c r="BI21" s="9">
        <v>0</v>
      </c>
      <c r="BJ21" s="9">
        <v>0</v>
      </c>
      <c r="BK21" s="9">
        <v>0</v>
      </c>
      <c r="BL21" s="9">
        <v>0</v>
      </c>
      <c r="BM21" s="9">
        <v>0</v>
      </c>
      <c r="BN21" s="9">
        <v>0</v>
      </c>
      <c r="BO21" s="9">
        <v>0</v>
      </c>
      <c r="BP21" s="10">
        <v>0</v>
      </c>
      <c r="BQ21">
        <v>0</v>
      </c>
      <c r="BR21">
        <v>0</v>
      </c>
    </row>
    <row r="22" spans="1:70" x14ac:dyDescent="0.35">
      <c r="A22" s="8" t="s">
        <v>0</v>
      </c>
      <c r="B22" s="9" t="s">
        <v>580</v>
      </c>
      <c r="C22" s="10" t="s">
        <v>581</v>
      </c>
      <c r="D22" s="34">
        <f t="shared" si="2"/>
        <v>0</v>
      </c>
      <c r="E22" s="9">
        <v>0</v>
      </c>
      <c r="F22" s="9">
        <v>0</v>
      </c>
      <c r="G22" s="9">
        <v>0</v>
      </c>
      <c r="H22" s="9">
        <v>0</v>
      </c>
      <c r="I22" s="9">
        <v>0</v>
      </c>
      <c r="J22" s="9">
        <v>0</v>
      </c>
      <c r="K22" s="9">
        <v>0</v>
      </c>
      <c r="L22" s="9">
        <v>0</v>
      </c>
      <c r="M22" s="9">
        <v>0</v>
      </c>
      <c r="N22" s="9">
        <v>0</v>
      </c>
      <c r="O22" s="9">
        <v>0</v>
      </c>
      <c r="P22" s="9">
        <v>0</v>
      </c>
      <c r="Q22" s="9">
        <v>0</v>
      </c>
      <c r="R22" s="9">
        <v>0</v>
      </c>
      <c r="S22" s="9">
        <v>0</v>
      </c>
      <c r="T22" s="9">
        <v>0</v>
      </c>
      <c r="U22" s="9">
        <v>0</v>
      </c>
      <c r="V22" s="9">
        <v>0</v>
      </c>
      <c r="W22" s="9">
        <v>0</v>
      </c>
      <c r="X22" s="9">
        <v>0</v>
      </c>
      <c r="Y22" s="9">
        <v>0</v>
      </c>
      <c r="Z22" s="9">
        <v>0</v>
      </c>
      <c r="AA22" s="9">
        <v>0</v>
      </c>
      <c r="AB22" s="9">
        <v>0</v>
      </c>
      <c r="AC22" s="9">
        <v>0</v>
      </c>
      <c r="AD22" s="9">
        <v>0</v>
      </c>
      <c r="AE22" s="9">
        <v>0</v>
      </c>
      <c r="AF22" s="9">
        <v>0</v>
      </c>
      <c r="AG22" s="9">
        <v>0</v>
      </c>
      <c r="AH22" s="9">
        <v>0</v>
      </c>
      <c r="AI22" s="9">
        <v>0</v>
      </c>
      <c r="AJ22" s="9">
        <v>0</v>
      </c>
      <c r="AK22" s="9">
        <v>0</v>
      </c>
      <c r="AL22" s="9">
        <v>0</v>
      </c>
      <c r="AM22" s="9">
        <v>0</v>
      </c>
      <c r="AN22" s="9">
        <v>0</v>
      </c>
      <c r="AO22" s="9">
        <v>0</v>
      </c>
      <c r="AP22" s="9">
        <v>0</v>
      </c>
      <c r="AQ22" s="9">
        <v>0</v>
      </c>
      <c r="AR22" s="9">
        <v>0</v>
      </c>
      <c r="AS22" s="9">
        <v>0</v>
      </c>
      <c r="AT22" s="9">
        <v>0</v>
      </c>
      <c r="AU22" s="9">
        <v>0</v>
      </c>
      <c r="AV22" s="9">
        <v>0</v>
      </c>
      <c r="AW22" s="9">
        <v>0</v>
      </c>
      <c r="AX22" s="9">
        <v>0</v>
      </c>
      <c r="AY22" s="9">
        <v>0</v>
      </c>
      <c r="AZ22" s="9">
        <v>0</v>
      </c>
      <c r="BA22" s="9">
        <v>0</v>
      </c>
      <c r="BB22" s="9">
        <v>0</v>
      </c>
      <c r="BC22" s="9">
        <v>0</v>
      </c>
      <c r="BD22" s="9">
        <v>0</v>
      </c>
      <c r="BE22" s="9">
        <v>0</v>
      </c>
      <c r="BF22" s="9">
        <v>0</v>
      </c>
      <c r="BG22" s="9">
        <v>0</v>
      </c>
      <c r="BH22" s="9">
        <v>0</v>
      </c>
      <c r="BI22" s="9">
        <v>0</v>
      </c>
      <c r="BJ22" s="9">
        <v>0</v>
      </c>
      <c r="BK22" s="9">
        <v>0</v>
      </c>
      <c r="BL22" s="9">
        <v>0</v>
      </c>
      <c r="BM22" s="9">
        <v>0</v>
      </c>
      <c r="BN22" s="9">
        <v>0</v>
      </c>
      <c r="BO22" s="9">
        <v>0</v>
      </c>
      <c r="BP22" s="10">
        <v>0</v>
      </c>
      <c r="BQ22">
        <v>0</v>
      </c>
      <c r="BR22">
        <v>0</v>
      </c>
    </row>
    <row r="23" spans="1:70" x14ac:dyDescent="0.35">
      <c r="A23" s="8" t="s">
        <v>0</v>
      </c>
      <c r="B23" s="9" t="s">
        <v>582</v>
      </c>
      <c r="C23" s="10" t="s">
        <v>583</v>
      </c>
      <c r="D23" s="34">
        <f t="shared" si="2"/>
        <v>0</v>
      </c>
      <c r="E23" s="9">
        <v>0</v>
      </c>
      <c r="F23" s="9">
        <v>0</v>
      </c>
      <c r="G23" s="9">
        <v>0</v>
      </c>
      <c r="H23" s="9">
        <v>0</v>
      </c>
      <c r="I23" s="9">
        <v>0</v>
      </c>
      <c r="J23" s="9">
        <v>0</v>
      </c>
      <c r="K23" s="9">
        <v>0</v>
      </c>
      <c r="L23" s="9">
        <v>0</v>
      </c>
      <c r="M23" s="9">
        <v>0</v>
      </c>
      <c r="N23" s="9">
        <v>0</v>
      </c>
      <c r="O23" s="9">
        <v>0</v>
      </c>
      <c r="P23" s="9">
        <v>0</v>
      </c>
      <c r="Q23" s="9">
        <v>0</v>
      </c>
      <c r="R23" s="9">
        <v>0</v>
      </c>
      <c r="S23" s="9">
        <v>0</v>
      </c>
      <c r="T23" s="9">
        <v>0</v>
      </c>
      <c r="U23" s="9">
        <v>0</v>
      </c>
      <c r="V23" s="9">
        <v>0</v>
      </c>
      <c r="W23" s="9">
        <v>0</v>
      </c>
      <c r="X23" s="9">
        <v>0</v>
      </c>
      <c r="Y23" s="9">
        <v>0</v>
      </c>
      <c r="Z23" s="9">
        <v>0</v>
      </c>
      <c r="AA23" s="9">
        <v>0</v>
      </c>
      <c r="AB23" s="9">
        <v>0</v>
      </c>
      <c r="AC23" s="9">
        <v>0</v>
      </c>
      <c r="AD23" s="9">
        <v>0</v>
      </c>
      <c r="AE23" s="9">
        <v>0</v>
      </c>
      <c r="AF23" s="9">
        <v>0</v>
      </c>
      <c r="AG23" s="9">
        <v>0</v>
      </c>
      <c r="AH23" s="9">
        <v>0</v>
      </c>
      <c r="AI23" s="9">
        <v>0</v>
      </c>
      <c r="AJ23" s="9">
        <v>0</v>
      </c>
      <c r="AK23" s="9">
        <v>0</v>
      </c>
      <c r="AL23" s="9">
        <v>0</v>
      </c>
      <c r="AM23" s="9">
        <v>0</v>
      </c>
      <c r="AN23" s="9">
        <v>0</v>
      </c>
      <c r="AO23" s="9">
        <v>0</v>
      </c>
      <c r="AP23" s="9">
        <v>0</v>
      </c>
      <c r="AQ23" s="9">
        <v>0</v>
      </c>
      <c r="AR23" s="9">
        <v>0</v>
      </c>
      <c r="AS23" s="9">
        <v>0</v>
      </c>
      <c r="AT23" s="9">
        <v>0</v>
      </c>
      <c r="AU23" s="9">
        <v>0</v>
      </c>
      <c r="AV23" s="9">
        <v>0</v>
      </c>
      <c r="AW23" s="9">
        <v>0</v>
      </c>
      <c r="AX23" s="9">
        <v>0</v>
      </c>
      <c r="AY23" s="9">
        <v>0</v>
      </c>
      <c r="AZ23" s="9">
        <v>0</v>
      </c>
      <c r="BA23" s="9">
        <v>0</v>
      </c>
      <c r="BB23" s="9">
        <v>0</v>
      </c>
      <c r="BC23" s="9">
        <v>0</v>
      </c>
      <c r="BD23" s="9">
        <v>0</v>
      </c>
      <c r="BE23" s="9">
        <v>0</v>
      </c>
      <c r="BF23" s="9">
        <v>0</v>
      </c>
      <c r="BG23" s="9">
        <v>0</v>
      </c>
      <c r="BH23" s="9">
        <v>0</v>
      </c>
      <c r="BI23" s="9">
        <v>0</v>
      </c>
      <c r="BJ23" s="9">
        <v>0</v>
      </c>
      <c r="BK23" s="9">
        <v>0</v>
      </c>
      <c r="BL23" s="9">
        <v>0</v>
      </c>
      <c r="BM23" s="9">
        <v>0</v>
      </c>
      <c r="BN23" s="9">
        <v>0</v>
      </c>
      <c r="BO23" s="9">
        <v>0</v>
      </c>
      <c r="BP23" s="10">
        <v>0</v>
      </c>
      <c r="BQ23">
        <v>0</v>
      </c>
      <c r="BR23">
        <v>0</v>
      </c>
    </row>
    <row r="24" spans="1:70" x14ac:dyDescent="0.35">
      <c r="A24" s="8" t="s">
        <v>0</v>
      </c>
      <c r="B24" s="9" t="s">
        <v>584</v>
      </c>
      <c r="C24" s="10" t="s">
        <v>585</v>
      </c>
      <c r="D24" s="34">
        <f t="shared" si="2"/>
        <v>0</v>
      </c>
      <c r="E24" s="9">
        <v>0</v>
      </c>
      <c r="F24" s="9">
        <v>0</v>
      </c>
      <c r="G24" s="9">
        <v>0</v>
      </c>
      <c r="H24" s="9">
        <v>0</v>
      </c>
      <c r="I24" s="9">
        <v>0</v>
      </c>
      <c r="J24" s="9">
        <v>0</v>
      </c>
      <c r="K24" s="9">
        <v>0</v>
      </c>
      <c r="L24" s="9">
        <v>0</v>
      </c>
      <c r="M24" s="9">
        <v>0</v>
      </c>
      <c r="N24" s="9">
        <v>0</v>
      </c>
      <c r="O24" s="9">
        <v>0</v>
      </c>
      <c r="P24" s="9">
        <v>0</v>
      </c>
      <c r="Q24" s="9">
        <v>0</v>
      </c>
      <c r="R24" s="9">
        <v>0</v>
      </c>
      <c r="S24" s="9">
        <v>0</v>
      </c>
      <c r="T24" s="9">
        <v>0</v>
      </c>
      <c r="U24" s="9">
        <v>0</v>
      </c>
      <c r="V24" s="9">
        <v>0</v>
      </c>
      <c r="W24" s="9">
        <v>0</v>
      </c>
      <c r="X24" s="9">
        <v>0</v>
      </c>
      <c r="Y24" s="9">
        <v>0</v>
      </c>
      <c r="Z24" s="9">
        <v>0</v>
      </c>
      <c r="AA24" s="9">
        <v>0</v>
      </c>
      <c r="AB24" s="9">
        <v>0</v>
      </c>
      <c r="AC24" s="9">
        <v>0</v>
      </c>
      <c r="AD24" s="9">
        <v>0</v>
      </c>
      <c r="AE24" s="9">
        <v>0</v>
      </c>
      <c r="AF24" s="9">
        <v>0</v>
      </c>
      <c r="AG24" s="9">
        <v>0</v>
      </c>
      <c r="AH24" s="9">
        <v>0</v>
      </c>
      <c r="AI24" s="9">
        <v>0</v>
      </c>
      <c r="AJ24" s="9">
        <v>0</v>
      </c>
      <c r="AK24" s="9">
        <v>0</v>
      </c>
      <c r="AL24" s="9">
        <v>0</v>
      </c>
      <c r="AM24" s="9">
        <v>0</v>
      </c>
      <c r="AN24" s="9">
        <v>0</v>
      </c>
      <c r="AO24" s="9">
        <v>0</v>
      </c>
      <c r="AP24" s="9">
        <v>0</v>
      </c>
      <c r="AQ24" s="9">
        <v>0</v>
      </c>
      <c r="AR24" s="9">
        <v>0</v>
      </c>
      <c r="AS24" s="9">
        <v>0</v>
      </c>
      <c r="AT24" s="9">
        <v>0</v>
      </c>
      <c r="AU24" s="9">
        <v>0</v>
      </c>
      <c r="AV24" s="9">
        <v>0</v>
      </c>
      <c r="AW24" s="9">
        <v>0</v>
      </c>
      <c r="AX24" s="9">
        <v>0</v>
      </c>
      <c r="AY24" s="9">
        <v>0</v>
      </c>
      <c r="AZ24" s="9">
        <v>0</v>
      </c>
      <c r="BA24" s="9">
        <v>0</v>
      </c>
      <c r="BB24" s="9">
        <v>0</v>
      </c>
      <c r="BC24" s="9">
        <v>0</v>
      </c>
      <c r="BD24" s="9">
        <v>0</v>
      </c>
      <c r="BE24" s="9">
        <v>0</v>
      </c>
      <c r="BF24" s="9">
        <v>0</v>
      </c>
      <c r="BG24" s="9">
        <v>0</v>
      </c>
      <c r="BH24" s="9">
        <v>0</v>
      </c>
      <c r="BI24" s="9">
        <v>0</v>
      </c>
      <c r="BJ24" s="9">
        <v>0</v>
      </c>
      <c r="BK24" s="9">
        <v>0</v>
      </c>
      <c r="BL24" s="9">
        <v>0</v>
      </c>
      <c r="BM24" s="9">
        <v>0</v>
      </c>
      <c r="BN24" s="9">
        <v>0</v>
      </c>
      <c r="BO24" s="9">
        <v>0</v>
      </c>
      <c r="BP24" s="10">
        <v>0</v>
      </c>
      <c r="BQ24">
        <v>0</v>
      </c>
      <c r="BR24">
        <v>0</v>
      </c>
    </row>
    <row r="25" spans="1:70" x14ac:dyDescent="0.35">
      <c r="A25" s="8" t="s">
        <v>0</v>
      </c>
      <c r="B25" s="9" t="s">
        <v>586</v>
      </c>
      <c r="C25" s="10" t="s">
        <v>587</v>
      </c>
      <c r="D25" s="34">
        <f t="shared" si="2"/>
        <v>0</v>
      </c>
      <c r="E25" s="9">
        <v>0</v>
      </c>
      <c r="F25" s="9">
        <v>0</v>
      </c>
      <c r="G25" s="9">
        <v>0</v>
      </c>
      <c r="H25" s="9">
        <v>0</v>
      </c>
      <c r="I25" s="9">
        <v>0</v>
      </c>
      <c r="J25" s="9">
        <v>0</v>
      </c>
      <c r="K25" s="9">
        <v>0</v>
      </c>
      <c r="L25" s="9">
        <v>0</v>
      </c>
      <c r="M25" s="9">
        <v>0</v>
      </c>
      <c r="N25" s="9">
        <v>0</v>
      </c>
      <c r="O25" s="9">
        <v>0</v>
      </c>
      <c r="P25" s="9">
        <v>0</v>
      </c>
      <c r="Q25" s="9">
        <v>0</v>
      </c>
      <c r="R25" s="9">
        <v>0</v>
      </c>
      <c r="S25" s="9">
        <v>0</v>
      </c>
      <c r="T25" s="9">
        <v>0</v>
      </c>
      <c r="U25" s="9">
        <v>0</v>
      </c>
      <c r="V25" s="9">
        <v>0</v>
      </c>
      <c r="W25" s="9">
        <v>0</v>
      </c>
      <c r="X25" s="9">
        <v>0</v>
      </c>
      <c r="Y25" s="9">
        <v>0</v>
      </c>
      <c r="Z25" s="9">
        <v>0</v>
      </c>
      <c r="AA25" s="9">
        <v>0</v>
      </c>
      <c r="AB25" s="9">
        <v>0</v>
      </c>
      <c r="AC25" s="9">
        <v>0</v>
      </c>
      <c r="AD25" s="9">
        <v>0</v>
      </c>
      <c r="AE25" s="9">
        <v>0</v>
      </c>
      <c r="AF25" s="9">
        <v>0</v>
      </c>
      <c r="AG25" s="9">
        <v>0</v>
      </c>
      <c r="AH25" s="9">
        <v>0</v>
      </c>
      <c r="AI25" s="9">
        <v>0</v>
      </c>
      <c r="AJ25" s="9">
        <v>0</v>
      </c>
      <c r="AK25" s="9">
        <v>0</v>
      </c>
      <c r="AL25" s="9">
        <v>0</v>
      </c>
      <c r="AM25" s="9">
        <v>0</v>
      </c>
      <c r="AN25" s="9">
        <v>0</v>
      </c>
      <c r="AO25" s="9">
        <v>0</v>
      </c>
      <c r="AP25" s="9">
        <v>0</v>
      </c>
      <c r="AQ25" s="9">
        <v>0</v>
      </c>
      <c r="AR25" s="9">
        <v>0</v>
      </c>
      <c r="AS25" s="9">
        <v>0</v>
      </c>
      <c r="AT25" s="9">
        <v>0</v>
      </c>
      <c r="AU25" s="9">
        <v>0</v>
      </c>
      <c r="AV25" s="9">
        <v>0</v>
      </c>
      <c r="AW25" s="9">
        <v>0</v>
      </c>
      <c r="AX25" s="9">
        <v>0</v>
      </c>
      <c r="AY25" s="9">
        <v>0</v>
      </c>
      <c r="AZ25" s="9">
        <v>0</v>
      </c>
      <c r="BA25" s="9">
        <v>0</v>
      </c>
      <c r="BB25" s="9">
        <v>0</v>
      </c>
      <c r="BC25" s="9">
        <v>0</v>
      </c>
      <c r="BD25" s="9">
        <v>0</v>
      </c>
      <c r="BE25" s="9">
        <v>0</v>
      </c>
      <c r="BF25" s="9">
        <v>0</v>
      </c>
      <c r="BG25" s="9">
        <v>0</v>
      </c>
      <c r="BH25" s="9">
        <v>0</v>
      </c>
      <c r="BI25" s="9">
        <v>0</v>
      </c>
      <c r="BJ25" s="9">
        <v>0</v>
      </c>
      <c r="BK25" s="9">
        <v>0</v>
      </c>
      <c r="BL25" s="9">
        <v>0</v>
      </c>
      <c r="BM25" s="9">
        <v>0</v>
      </c>
      <c r="BN25" s="9">
        <v>0</v>
      </c>
      <c r="BO25" s="9">
        <v>0</v>
      </c>
      <c r="BP25" s="10">
        <v>0</v>
      </c>
      <c r="BQ25">
        <v>0</v>
      </c>
      <c r="BR25">
        <v>0</v>
      </c>
    </row>
    <row r="26" spans="1:70" x14ac:dyDescent="0.35">
      <c r="A26" s="8" t="s">
        <v>0</v>
      </c>
      <c r="B26" s="9" t="s">
        <v>588</v>
      </c>
      <c r="C26" s="10" t="s">
        <v>589</v>
      </c>
      <c r="D26" s="34">
        <f t="shared" si="2"/>
        <v>0</v>
      </c>
      <c r="E26" s="9">
        <v>0</v>
      </c>
      <c r="F26" s="9">
        <v>0</v>
      </c>
      <c r="G26" s="9">
        <v>0</v>
      </c>
      <c r="H26" s="9">
        <v>0</v>
      </c>
      <c r="I26" s="9">
        <v>0</v>
      </c>
      <c r="J26" s="9">
        <v>0</v>
      </c>
      <c r="K26" s="9">
        <v>0</v>
      </c>
      <c r="L26" s="9">
        <v>0</v>
      </c>
      <c r="M26" s="9">
        <v>0</v>
      </c>
      <c r="N26" s="9">
        <v>0</v>
      </c>
      <c r="O26" s="9">
        <v>0</v>
      </c>
      <c r="P26" s="9">
        <v>0</v>
      </c>
      <c r="Q26" s="9">
        <v>0</v>
      </c>
      <c r="R26" s="9">
        <v>0</v>
      </c>
      <c r="S26" s="9">
        <v>0</v>
      </c>
      <c r="T26" s="9">
        <v>0</v>
      </c>
      <c r="U26" s="9">
        <v>0</v>
      </c>
      <c r="V26" s="9">
        <v>0</v>
      </c>
      <c r="W26" s="9">
        <v>0</v>
      </c>
      <c r="X26" s="9">
        <v>0</v>
      </c>
      <c r="Y26" s="9">
        <v>0</v>
      </c>
      <c r="Z26" s="9">
        <v>0</v>
      </c>
      <c r="AA26" s="9">
        <v>0</v>
      </c>
      <c r="AB26" s="9">
        <v>0</v>
      </c>
      <c r="AC26" s="9">
        <v>0</v>
      </c>
      <c r="AD26" s="9">
        <v>0</v>
      </c>
      <c r="AE26" s="9">
        <v>0</v>
      </c>
      <c r="AF26" s="9">
        <v>0</v>
      </c>
      <c r="AG26" s="9">
        <v>0</v>
      </c>
      <c r="AH26" s="9">
        <v>0</v>
      </c>
      <c r="AI26" s="9">
        <v>0</v>
      </c>
      <c r="AJ26" s="9">
        <v>0</v>
      </c>
      <c r="AK26" s="9">
        <v>0</v>
      </c>
      <c r="AL26" s="9">
        <v>0</v>
      </c>
      <c r="AM26" s="9">
        <v>0</v>
      </c>
      <c r="AN26" s="9">
        <v>0</v>
      </c>
      <c r="AO26" s="9">
        <v>0</v>
      </c>
      <c r="AP26" s="9">
        <v>0</v>
      </c>
      <c r="AQ26" s="9">
        <v>0</v>
      </c>
      <c r="AR26" s="9">
        <v>0</v>
      </c>
      <c r="AS26" s="9">
        <v>0</v>
      </c>
      <c r="AT26" s="9">
        <v>0</v>
      </c>
      <c r="AU26" s="9">
        <v>0</v>
      </c>
      <c r="AV26" s="9">
        <v>0</v>
      </c>
      <c r="AW26" s="9">
        <v>0</v>
      </c>
      <c r="AX26" s="9">
        <v>0</v>
      </c>
      <c r="AY26" s="9">
        <v>0</v>
      </c>
      <c r="AZ26" s="9">
        <v>0</v>
      </c>
      <c r="BA26" s="9">
        <v>0</v>
      </c>
      <c r="BB26" s="9">
        <v>0</v>
      </c>
      <c r="BC26" s="9">
        <v>0</v>
      </c>
      <c r="BD26" s="9">
        <v>0</v>
      </c>
      <c r="BE26" s="9">
        <v>0</v>
      </c>
      <c r="BF26" s="9">
        <v>0</v>
      </c>
      <c r="BG26" s="9">
        <v>0</v>
      </c>
      <c r="BH26" s="9">
        <v>0</v>
      </c>
      <c r="BI26" s="9">
        <v>0</v>
      </c>
      <c r="BJ26" s="9">
        <v>0</v>
      </c>
      <c r="BK26" s="9">
        <v>0</v>
      </c>
      <c r="BL26" s="9">
        <v>0</v>
      </c>
      <c r="BM26" s="9">
        <v>0</v>
      </c>
      <c r="BN26" s="9">
        <v>0</v>
      </c>
      <c r="BO26" s="9">
        <v>0</v>
      </c>
      <c r="BP26" s="10">
        <v>0</v>
      </c>
      <c r="BQ26">
        <v>0</v>
      </c>
      <c r="BR26">
        <v>0</v>
      </c>
    </row>
    <row r="27" spans="1:70" x14ac:dyDescent="0.35">
      <c r="A27" s="8" t="s">
        <v>0</v>
      </c>
      <c r="B27" s="9" t="s">
        <v>590</v>
      </c>
      <c r="C27" s="10" t="s">
        <v>591</v>
      </c>
      <c r="D27" s="34">
        <f t="shared" si="2"/>
        <v>0</v>
      </c>
      <c r="E27" s="9">
        <v>0</v>
      </c>
      <c r="F27" s="9">
        <v>0</v>
      </c>
      <c r="G27" s="9">
        <v>0</v>
      </c>
      <c r="H27" s="9">
        <v>0</v>
      </c>
      <c r="I27" s="9">
        <v>0</v>
      </c>
      <c r="J27" s="9">
        <v>0</v>
      </c>
      <c r="K27" s="9">
        <v>0</v>
      </c>
      <c r="L27" s="9">
        <v>0</v>
      </c>
      <c r="M27" s="9">
        <v>0</v>
      </c>
      <c r="N27" s="9">
        <v>0</v>
      </c>
      <c r="O27" s="9">
        <v>0</v>
      </c>
      <c r="P27" s="9">
        <v>0</v>
      </c>
      <c r="Q27" s="9">
        <v>0</v>
      </c>
      <c r="R27" s="9">
        <v>0</v>
      </c>
      <c r="S27" s="9">
        <v>0</v>
      </c>
      <c r="T27" s="9">
        <v>0</v>
      </c>
      <c r="U27" s="9">
        <v>0</v>
      </c>
      <c r="V27" s="9">
        <v>0</v>
      </c>
      <c r="W27" s="9">
        <v>0</v>
      </c>
      <c r="X27" s="9">
        <v>0</v>
      </c>
      <c r="Y27" s="9">
        <v>0</v>
      </c>
      <c r="Z27" s="9">
        <v>0</v>
      </c>
      <c r="AA27" s="9">
        <v>0</v>
      </c>
      <c r="AB27" s="9">
        <v>0</v>
      </c>
      <c r="AC27" s="9">
        <v>0</v>
      </c>
      <c r="AD27" s="9">
        <v>0</v>
      </c>
      <c r="AE27" s="9">
        <v>0</v>
      </c>
      <c r="AF27" s="9">
        <v>0</v>
      </c>
      <c r="AG27" s="9">
        <v>0</v>
      </c>
      <c r="AH27" s="9">
        <v>0</v>
      </c>
      <c r="AI27" s="9">
        <v>0</v>
      </c>
      <c r="AJ27" s="9">
        <v>0</v>
      </c>
      <c r="AK27" s="9">
        <v>0</v>
      </c>
      <c r="AL27" s="9">
        <v>0</v>
      </c>
      <c r="AM27" s="9">
        <v>0</v>
      </c>
      <c r="AN27" s="9">
        <v>0</v>
      </c>
      <c r="AO27" s="9">
        <v>0</v>
      </c>
      <c r="AP27" s="9">
        <v>0</v>
      </c>
      <c r="AQ27" s="9">
        <v>0</v>
      </c>
      <c r="AR27" s="9">
        <v>0</v>
      </c>
      <c r="AS27" s="9">
        <v>0</v>
      </c>
      <c r="AT27" s="9">
        <v>0</v>
      </c>
      <c r="AU27" s="9">
        <v>0</v>
      </c>
      <c r="AV27" s="9">
        <v>0</v>
      </c>
      <c r="AW27" s="9">
        <v>0</v>
      </c>
      <c r="AX27" s="9">
        <v>0</v>
      </c>
      <c r="AY27" s="9">
        <v>0</v>
      </c>
      <c r="AZ27" s="9">
        <v>0</v>
      </c>
      <c r="BA27" s="9">
        <v>0</v>
      </c>
      <c r="BB27" s="9">
        <v>0</v>
      </c>
      <c r="BC27" s="9">
        <v>0</v>
      </c>
      <c r="BD27" s="9">
        <v>0</v>
      </c>
      <c r="BE27" s="9">
        <v>0</v>
      </c>
      <c r="BF27" s="9">
        <v>0</v>
      </c>
      <c r="BG27" s="9">
        <v>0</v>
      </c>
      <c r="BH27" s="9">
        <v>0</v>
      </c>
      <c r="BI27" s="9">
        <v>0</v>
      </c>
      <c r="BJ27" s="9">
        <v>0</v>
      </c>
      <c r="BK27" s="9">
        <v>0</v>
      </c>
      <c r="BL27" s="9">
        <v>0</v>
      </c>
      <c r="BM27" s="9">
        <v>0</v>
      </c>
      <c r="BN27" s="9">
        <v>0</v>
      </c>
      <c r="BO27" s="9">
        <v>0</v>
      </c>
      <c r="BP27" s="10">
        <v>0</v>
      </c>
      <c r="BQ27">
        <v>0</v>
      </c>
      <c r="BR27">
        <v>0</v>
      </c>
    </row>
    <row r="28" spans="1:70" x14ac:dyDescent="0.35">
      <c r="A28" s="8" t="s">
        <v>0</v>
      </c>
      <c r="B28" s="9" t="s">
        <v>592</v>
      </c>
      <c r="C28" s="10" t="s">
        <v>593</v>
      </c>
      <c r="D28" s="34">
        <f t="shared" si="2"/>
        <v>0</v>
      </c>
      <c r="E28" s="9">
        <v>0</v>
      </c>
      <c r="F28" s="9">
        <v>0</v>
      </c>
      <c r="G28" s="9">
        <v>0</v>
      </c>
      <c r="H28" s="9">
        <v>0</v>
      </c>
      <c r="I28" s="9">
        <v>0</v>
      </c>
      <c r="J28" s="9">
        <v>0</v>
      </c>
      <c r="K28" s="9">
        <v>0</v>
      </c>
      <c r="L28" s="9">
        <v>0</v>
      </c>
      <c r="M28" s="9">
        <v>0</v>
      </c>
      <c r="N28" s="9">
        <v>0</v>
      </c>
      <c r="O28" s="9">
        <v>0</v>
      </c>
      <c r="P28" s="9">
        <v>0</v>
      </c>
      <c r="Q28" s="9">
        <v>0</v>
      </c>
      <c r="R28" s="9">
        <v>0</v>
      </c>
      <c r="S28" s="9">
        <v>0</v>
      </c>
      <c r="T28" s="9">
        <v>0</v>
      </c>
      <c r="U28" s="9">
        <v>0</v>
      </c>
      <c r="V28" s="9">
        <v>0</v>
      </c>
      <c r="W28" s="9">
        <v>0</v>
      </c>
      <c r="X28" s="9">
        <v>0</v>
      </c>
      <c r="Y28" s="9">
        <v>0</v>
      </c>
      <c r="Z28" s="9">
        <v>0</v>
      </c>
      <c r="AA28" s="9">
        <v>0</v>
      </c>
      <c r="AB28" s="9">
        <v>0</v>
      </c>
      <c r="AC28" s="9">
        <v>0</v>
      </c>
      <c r="AD28" s="9">
        <v>0</v>
      </c>
      <c r="AE28" s="9">
        <v>0</v>
      </c>
      <c r="AF28" s="9">
        <v>0</v>
      </c>
      <c r="AG28" s="9">
        <v>0</v>
      </c>
      <c r="AH28" s="9">
        <v>0</v>
      </c>
      <c r="AI28" s="9">
        <v>0</v>
      </c>
      <c r="AJ28" s="9">
        <v>0</v>
      </c>
      <c r="AK28" s="9">
        <v>0</v>
      </c>
      <c r="AL28" s="9">
        <v>0</v>
      </c>
      <c r="AM28" s="9">
        <v>0</v>
      </c>
      <c r="AN28" s="9">
        <v>0</v>
      </c>
      <c r="AO28" s="9">
        <v>0</v>
      </c>
      <c r="AP28" s="9">
        <v>0</v>
      </c>
      <c r="AQ28" s="9">
        <v>0</v>
      </c>
      <c r="AR28" s="9">
        <v>0</v>
      </c>
      <c r="AS28" s="9">
        <v>0</v>
      </c>
      <c r="AT28" s="9">
        <v>0</v>
      </c>
      <c r="AU28" s="9">
        <v>0</v>
      </c>
      <c r="AV28" s="9">
        <v>0</v>
      </c>
      <c r="AW28" s="9">
        <v>0</v>
      </c>
      <c r="AX28" s="9">
        <v>0</v>
      </c>
      <c r="AY28" s="9">
        <v>0</v>
      </c>
      <c r="AZ28" s="9">
        <v>0</v>
      </c>
      <c r="BA28" s="9">
        <v>0</v>
      </c>
      <c r="BB28" s="9">
        <v>0</v>
      </c>
      <c r="BC28" s="9">
        <v>0</v>
      </c>
      <c r="BD28" s="9">
        <v>0</v>
      </c>
      <c r="BE28" s="9">
        <v>0</v>
      </c>
      <c r="BF28" s="9">
        <v>0</v>
      </c>
      <c r="BG28" s="9">
        <v>0</v>
      </c>
      <c r="BH28" s="9">
        <v>0</v>
      </c>
      <c r="BI28" s="9">
        <v>0</v>
      </c>
      <c r="BJ28" s="9">
        <v>0</v>
      </c>
      <c r="BK28" s="9">
        <v>0</v>
      </c>
      <c r="BL28" s="9">
        <v>0</v>
      </c>
      <c r="BM28" s="9">
        <v>0</v>
      </c>
      <c r="BN28" s="9">
        <v>0</v>
      </c>
      <c r="BO28" s="9">
        <v>0</v>
      </c>
      <c r="BP28" s="10">
        <v>0</v>
      </c>
      <c r="BQ28">
        <v>0</v>
      </c>
      <c r="BR28">
        <v>0</v>
      </c>
    </row>
    <row r="29" spans="1:70" x14ac:dyDescent="0.35">
      <c r="A29" s="8" t="s">
        <v>0</v>
      </c>
      <c r="B29" s="9" t="s">
        <v>594</v>
      </c>
      <c r="C29" s="10" t="s">
        <v>595</v>
      </c>
      <c r="D29" s="34">
        <f t="shared" si="2"/>
        <v>0</v>
      </c>
      <c r="E29" s="9">
        <v>0</v>
      </c>
      <c r="F29" s="9">
        <v>0</v>
      </c>
      <c r="G29" s="9">
        <v>0</v>
      </c>
      <c r="H29" s="9">
        <v>0</v>
      </c>
      <c r="I29" s="9">
        <v>0</v>
      </c>
      <c r="J29" s="9">
        <v>0</v>
      </c>
      <c r="K29" s="9">
        <v>0</v>
      </c>
      <c r="L29" s="9">
        <v>0</v>
      </c>
      <c r="M29" s="9">
        <v>0</v>
      </c>
      <c r="N29" s="9">
        <v>0</v>
      </c>
      <c r="O29" s="9">
        <v>0</v>
      </c>
      <c r="P29" s="9">
        <v>0</v>
      </c>
      <c r="Q29" s="9">
        <v>0</v>
      </c>
      <c r="R29" s="9">
        <v>0</v>
      </c>
      <c r="S29" s="9">
        <v>0</v>
      </c>
      <c r="T29" s="9">
        <v>0</v>
      </c>
      <c r="U29" s="9">
        <v>0</v>
      </c>
      <c r="V29" s="9">
        <v>0</v>
      </c>
      <c r="W29" s="9">
        <v>0</v>
      </c>
      <c r="X29" s="9">
        <v>0</v>
      </c>
      <c r="Y29" s="9">
        <v>0</v>
      </c>
      <c r="Z29" s="9">
        <v>0</v>
      </c>
      <c r="AA29" s="9">
        <v>0</v>
      </c>
      <c r="AB29" s="9">
        <v>0</v>
      </c>
      <c r="AC29" s="9">
        <v>0</v>
      </c>
      <c r="AD29" s="9">
        <v>0</v>
      </c>
      <c r="AE29" s="9">
        <v>0</v>
      </c>
      <c r="AF29" s="9">
        <v>0</v>
      </c>
      <c r="AG29" s="9">
        <v>0</v>
      </c>
      <c r="AH29" s="9">
        <v>0</v>
      </c>
      <c r="AI29" s="9">
        <v>0</v>
      </c>
      <c r="AJ29" s="9">
        <v>0</v>
      </c>
      <c r="AK29" s="9">
        <v>0</v>
      </c>
      <c r="AL29" s="9">
        <v>0</v>
      </c>
      <c r="AM29" s="9">
        <v>0</v>
      </c>
      <c r="AN29" s="9">
        <v>0</v>
      </c>
      <c r="AO29" s="9">
        <v>0</v>
      </c>
      <c r="AP29" s="9">
        <v>0</v>
      </c>
      <c r="AQ29" s="9">
        <v>0</v>
      </c>
      <c r="AR29" s="9">
        <v>0</v>
      </c>
      <c r="AS29" s="9">
        <v>0</v>
      </c>
      <c r="AT29" s="9">
        <v>0</v>
      </c>
      <c r="AU29" s="9">
        <v>0</v>
      </c>
      <c r="AV29" s="9">
        <v>0</v>
      </c>
      <c r="AW29" s="9">
        <v>0</v>
      </c>
      <c r="AX29" s="9">
        <v>0</v>
      </c>
      <c r="AY29" s="9">
        <v>0</v>
      </c>
      <c r="AZ29" s="9">
        <v>0</v>
      </c>
      <c r="BA29" s="9">
        <v>0</v>
      </c>
      <c r="BB29" s="9">
        <v>0</v>
      </c>
      <c r="BC29" s="9">
        <v>0</v>
      </c>
      <c r="BD29" s="9">
        <v>0</v>
      </c>
      <c r="BE29" s="9">
        <v>0</v>
      </c>
      <c r="BF29" s="9">
        <v>0</v>
      </c>
      <c r="BG29" s="9">
        <v>0</v>
      </c>
      <c r="BH29" s="9">
        <v>0</v>
      </c>
      <c r="BI29" s="9">
        <v>0</v>
      </c>
      <c r="BJ29" s="9">
        <v>0</v>
      </c>
      <c r="BK29" s="9">
        <v>0</v>
      </c>
      <c r="BL29" s="9">
        <v>0</v>
      </c>
      <c r="BM29" s="9">
        <v>0</v>
      </c>
      <c r="BN29" s="9">
        <v>0</v>
      </c>
      <c r="BO29" s="9">
        <v>0</v>
      </c>
      <c r="BP29" s="10">
        <v>0</v>
      </c>
      <c r="BQ29">
        <v>0</v>
      </c>
      <c r="BR29">
        <v>0</v>
      </c>
    </row>
    <row r="30" spans="1:70" x14ac:dyDescent="0.35">
      <c r="A30" s="8" t="s">
        <v>0</v>
      </c>
      <c r="B30" s="9" t="s">
        <v>596</v>
      </c>
      <c r="C30" s="10" t="s">
        <v>597</v>
      </c>
      <c r="D30" s="34">
        <f t="shared" si="2"/>
        <v>0</v>
      </c>
      <c r="E30" s="9">
        <v>0</v>
      </c>
      <c r="F30" s="9">
        <v>0</v>
      </c>
      <c r="G30" s="9">
        <v>0</v>
      </c>
      <c r="H30" s="9">
        <v>0</v>
      </c>
      <c r="I30" s="9">
        <v>0</v>
      </c>
      <c r="J30" s="9">
        <v>0</v>
      </c>
      <c r="K30" s="9">
        <v>0</v>
      </c>
      <c r="L30" s="9">
        <v>0</v>
      </c>
      <c r="M30" s="9">
        <v>0</v>
      </c>
      <c r="N30" s="9">
        <v>0</v>
      </c>
      <c r="O30" s="9">
        <v>0</v>
      </c>
      <c r="P30" s="9">
        <v>0</v>
      </c>
      <c r="Q30" s="9">
        <v>0</v>
      </c>
      <c r="R30" s="9">
        <v>0</v>
      </c>
      <c r="S30" s="9">
        <v>0</v>
      </c>
      <c r="T30" s="9">
        <v>0</v>
      </c>
      <c r="U30" s="9">
        <v>0</v>
      </c>
      <c r="V30" s="9">
        <v>0</v>
      </c>
      <c r="W30" s="9">
        <v>0</v>
      </c>
      <c r="X30" s="9">
        <v>0</v>
      </c>
      <c r="Y30" s="9">
        <v>0</v>
      </c>
      <c r="Z30" s="9">
        <v>0</v>
      </c>
      <c r="AA30" s="9">
        <v>0</v>
      </c>
      <c r="AB30" s="9">
        <v>0</v>
      </c>
      <c r="AC30" s="9">
        <v>0</v>
      </c>
      <c r="AD30" s="9">
        <v>0</v>
      </c>
      <c r="AE30" s="9">
        <v>0</v>
      </c>
      <c r="AF30" s="9">
        <v>0</v>
      </c>
      <c r="AG30" s="9">
        <v>0</v>
      </c>
      <c r="AH30" s="9">
        <v>0</v>
      </c>
      <c r="AI30" s="9">
        <v>0</v>
      </c>
      <c r="AJ30" s="9">
        <v>0</v>
      </c>
      <c r="AK30" s="9">
        <v>0</v>
      </c>
      <c r="AL30" s="9">
        <v>0</v>
      </c>
      <c r="AM30" s="9">
        <v>0</v>
      </c>
      <c r="AN30" s="9">
        <v>0</v>
      </c>
      <c r="AO30" s="9">
        <v>0</v>
      </c>
      <c r="AP30" s="9">
        <v>0</v>
      </c>
      <c r="AQ30" s="9">
        <v>0</v>
      </c>
      <c r="AR30" s="9">
        <v>0</v>
      </c>
      <c r="AS30" s="9">
        <v>0</v>
      </c>
      <c r="AT30" s="9">
        <v>0</v>
      </c>
      <c r="AU30" s="9">
        <v>0</v>
      </c>
      <c r="AV30" s="9">
        <v>0</v>
      </c>
      <c r="AW30" s="9">
        <v>0</v>
      </c>
      <c r="AX30" s="9">
        <v>0</v>
      </c>
      <c r="AY30" s="9">
        <v>0</v>
      </c>
      <c r="AZ30" s="9">
        <v>0</v>
      </c>
      <c r="BA30" s="9">
        <v>0</v>
      </c>
      <c r="BB30" s="9">
        <v>0</v>
      </c>
      <c r="BC30" s="9">
        <v>0</v>
      </c>
      <c r="BD30" s="9">
        <v>0</v>
      </c>
      <c r="BE30" s="9">
        <v>0</v>
      </c>
      <c r="BF30" s="9">
        <v>0</v>
      </c>
      <c r="BG30" s="9">
        <v>0</v>
      </c>
      <c r="BH30" s="9">
        <v>0</v>
      </c>
      <c r="BI30" s="9">
        <v>0</v>
      </c>
      <c r="BJ30" s="9">
        <v>0</v>
      </c>
      <c r="BK30" s="9">
        <v>0</v>
      </c>
      <c r="BL30" s="9">
        <v>0</v>
      </c>
      <c r="BM30" s="9">
        <v>0</v>
      </c>
      <c r="BN30" s="9">
        <v>0</v>
      </c>
      <c r="BO30" s="9">
        <v>0</v>
      </c>
      <c r="BP30" s="10">
        <v>0</v>
      </c>
      <c r="BQ30">
        <v>0</v>
      </c>
      <c r="BR30">
        <v>0</v>
      </c>
    </row>
    <row r="31" spans="1:70" x14ac:dyDescent="0.35">
      <c r="A31" s="8" t="s">
        <v>0</v>
      </c>
      <c r="B31" s="9" t="s">
        <v>598</v>
      </c>
      <c r="C31" s="10" t="s">
        <v>599</v>
      </c>
      <c r="D31" s="34">
        <f t="shared" si="2"/>
        <v>0</v>
      </c>
      <c r="E31" s="9">
        <v>0</v>
      </c>
      <c r="F31" s="9">
        <v>0</v>
      </c>
      <c r="G31" s="9">
        <v>0</v>
      </c>
      <c r="H31" s="9">
        <v>0</v>
      </c>
      <c r="I31" s="9">
        <v>0</v>
      </c>
      <c r="J31" s="9">
        <v>0</v>
      </c>
      <c r="K31" s="9">
        <v>0</v>
      </c>
      <c r="L31" s="9">
        <v>0</v>
      </c>
      <c r="M31" s="9">
        <v>0</v>
      </c>
      <c r="N31" s="9">
        <v>0</v>
      </c>
      <c r="O31" s="9">
        <v>0</v>
      </c>
      <c r="P31" s="9">
        <v>0</v>
      </c>
      <c r="Q31" s="9">
        <v>0</v>
      </c>
      <c r="R31" s="9">
        <v>0</v>
      </c>
      <c r="S31" s="9">
        <v>0</v>
      </c>
      <c r="T31" s="9">
        <v>0</v>
      </c>
      <c r="U31" s="9">
        <v>0</v>
      </c>
      <c r="V31" s="9">
        <v>0</v>
      </c>
      <c r="W31" s="9">
        <v>0</v>
      </c>
      <c r="X31" s="9">
        <v>0</v>
      </c>
      <c r="Y31" s="9">
        <v>0</v>
      </c>
      <c r="Z31" s="9">
        <v>0</v>
      </c>
      <c r="AA31" s="9">
        <v>0</v>
      </c>
      <c r="AB31" s="9">
        <v>0</v>
      </c>
      <c r="AC31" s="9">
        <v>0</v>
      </c>
      <c r="AD31" s="9">
        <v>0</v>
      </c>
      <c r="AE31" s="9">
        <v>0</v>
      </c>
      <c r="AF31" s="9">
        <v>0</v>
      </c>
      <c r="AG31" s="9">
        <v>0</v>
      </c>
      <c r="AH31" s="9">
        <v>0</v>
      </c>
      <c r="AI31" s="9">
        <v>0</v>
      </c>
      <c r="AJ31" s="9">
        <v>0</v>
      </c>
      <c r="AK31" s="9">
        <v>0</v>
      </c>
      <c r="AL31" s="9">
        <v>0</v>
      </c>
      <c r="AM31" s="9">
        <v>0</v>
      </c>
      <c r="AN31" s="9">
        <v>0</v>
      </c>
      <c r="AO31" s="9">
        <v>0</v>
      </c>
      <c r="AP31" s="9">
        <v>0</v>
      </c>
      <c r="AQ31" s="9">
        <v>0</v>
      </c>
      <c r="AR31" s="9">
        <v>0</v>
      </c>
      <c r="AS31" s="9">
        <v>0</v>
      </c>
      <c r="AT31" s="9">
        <v>0</v>
      </c>
      <c r="AU31" s="9">
        <v>0</v>
      </c>
      <c r="AV31" s="9">
        <v>0</v>
      </c>
      <c r="AW31" s="9">
        <v>0</v>
      </c>
      <c r="AX31" s="9">
        <v>0</v>
      </c>
      <c r="AY31" s="9">
        <v>0</v>
      </c>
      <c r="AZ31" s="9">
        <v>0</v>
      </c>
      <c r="BA31" s="9">
        <v>0</v>
      </c>
      <c r="BB31" s="9">
        <v>0</v>
      </c>
      <c r="BC31" s="9">
        <v>0</v>
      </c>
      <c r="BD31" s="9">
        <v>0</v>
      </c>
      <c r="BE31" s="9">
        <v>0</v>
      </c>
      <c r="BF31" s="9">
        <v>0</v>
      </c>
      <c r="BG31" s="9">
        <v>0</v>
      </c>
      <c r="BH31" s="9">
        <v>0</v>
      </c>
      <c r="BI31" s="9">
        <v>0</v>
      </c>
      <c r="BJ31" s="9">
        <v>0</v>
      </c>
      <c r="BK31" s="9">
        <v>0</v>
      </c>
      <c r="BL31" s="9">
        <v>0</v>
      </c>
      <c r="BM31" s="9">
        <v>0</v>
      </c>
      <c r="BN31" s="9">
        <v>0</v>
      </c>
      <c r="BO31" s="9">
        <v>0</v>
      </c>
      <c r="BP31" s="10">
        <v>0</v>
      </c>
      <c r="BQ31">
        <v>0</v>
      </c>
      <c r="BR31">
        <v>0</v>
      </c>
    </row>
    <row r="32" spans="1:70" x14ac:dyDescent="0.35">
      <c r="A32" s="8" t="s">
        <v>0</v>
      </c>
      <c r="B32" s="9" t="s">
        <v>600</v>
      </c>
      <c r="C32" s="10" t="s">
        <v>601</v>
      </c>
      <c r="D32" s="34">
        <f t="shared" si="2"/>
        <v>0</v>
      </c>
      <c r="E32" s="9">
        <v>0</v>
      </c>
      <c r="F32" s="9">
        <v>0</v>
      </c>
      <c r="G32" s="9">
        <v>0</v>
      </c>
      <c r="H32" s="9">
        <v>0</v>
      </c>
      <c r="I32" s="9">
        <v>0</v>
      </c>
      <c r="J32" s="9">
        <v>0</v>
      </c>
      <c r="K32" s="9">
        <v>0</v>
      </c>
      <c r="L32" s="9">
        <v>0</v>
      </c>
      <c r="M32" s="9">
        <v>0</v>
      </c>
      <c r="N32" s="9">
        <v>0</v>
      </c>
      <c r="O32" s="9">
        <v>0</v>
      </c>
      <c r="P32" s="9">
        <v>0</v>
      </c>
      <c r="Q32" s="9">
        <v>0</v>
      </c>
      <c r="R32" s="9">
        <v>0</v>
      </c>
      <c r="S32" s="9">
        <v>0</v>
      </c>
      <c r="T32" s="9">
        <v>0</v>
      </c>
      <c r="U32" s="9">
        <v>0</v>
      </c>
      <c r="V32" s="9">
        <v>0</v>
      </c>
      <c r="W32" s="9">
        <v>0</v>
      </c>
      <c r="X32" s="9">
        <v>0</v>
      </c>
      <c r="Y32" s="9">
        <v>0</v>
      </c>
      <c r="Z32" s="9">
        <v>0</v>
      </c>
      <c r="AA32" s="9">
        <v>0</v>
      </c>
      <c r="AB32" s="9">
        <v>0</v>
      </c>
      <c r="AC32" s="9">
        <v>0</v>
      </c>
      <c r="AD32" s="9">
        <v>0</v>
      </c>
      <c r="AE32" s="9">
        <v>0</v>
      </c>
      <c r="AF32" s="9">
        <v>0</v>
      </c>
      <c r="AG32" s="9">
        <v>0</v>
      </c>
      <c r="AH32" s="9">
        <v>0</v>
      </c>
      <c r="AI32" s="9">
        <v>0</v>
      </c>
      <c r="AJ32" s="9">
        <v>0</v>
      </c>
      <c r="AK32" s="9">
        <v>0</v>
      </c>
      <c r="AL32" s="9">
        <v>0</v>
      </c>
      <c r="AM32" s="9">
        <v>0</v>
      </c>
      <c r="AN32" s="9">
        <v>0</v>
      </c>
      <c r="AO32" s="9">
        <v>0</v>
      </c>
      <c r="AP32" s="9">
        <v>0</v>
      </c>
      <c r="AQ32" s="9">
        <v>0</v>
      </c>
      <c r="AR32" s="9">
        <v>0</v>
      </c>
      <c r="AS32" s="9">
        <v>0</v>
      </c>
      <c r="AT32" s="9">
        <v>0</v>
      </c>
      <c r="AU32" s="9">
        <v>0</v>
      </c>
      <c r="AV32" s="9">
        <v>0</v>
      </c>
      <c r="AW32" s="9">
        <v>0</v>
      </c>
      <c r="AX32" s="9">
        <v>0</v>
      </c>
      <c r="AY32" s="9">
        <v>0</v>
      </c>
      <c r="AZ32" s="9">
        <v>0</v>
      </c>
      <c r="BA32" s="9">
        <v>0</v>
      </c>
      <c r="BB32" s="9">
        <v>0</v>
      </c>
      <c r="BC32" s="9">
        <v>0</v>
      </c>
      <c r="BD32" s="9">
        <v>0</v>
      </c>
      <c r="BE32" s="9">
        <v>0</v>
      </c>
      <c r="BF32" s="9">
        <v>0</v>
      </c>
      <c r="BG32" s="9">
        <v>0</v>
      </c>
      <c r="BH32" s="9">
        <v>0</v>
      </c>
      <c r="BI32" s="9">
        <v>0</v>
      </c>
      <c r="BJ32" s="9">
        <v>0</v>
      </c>
      <c r="BK32" s="9">
        <v>0</v>
      </c>
      <c r="BL32" s="9">
        <v>0</v>
      </c>
      <c r="BM32" s="9">
        <v>0</v>
      </c>
      <c r="BN32" s="9">
        <v>0</v>
      </c>
      <c r="BO32" s="9">
        <v>0</v>
      </c>
      <c r="BP32" s="10">
        <v>0</v>
      </c>
      <c r="BQ32">
        <v>0</v>
      </c>
      <c r="BR32">
        <v>0</v>
      </c>
    </row>
    <row r="33" spans="1:70" x14ac:dyDescent="0.35">
      <c r="A33" s="8" t="s">
        <v>0</v>
      </c>
      <c r="B33" s="9" t="s">
        <v>602</v>
      </c>
      <c r="C33" s="10" t="s">
        <v>603</v>
      </c>
      <c r="D33" s="34">
        <f t="shared" si="2"/>
        <v>0</v>
      </c>
      <c r="E33" s="9">
        <v>0</v>
      </c>
      <c r="F33" s="9">
        <v>0</v>
      </c>
      <c r="G33" s="9">
        <v>0</v>
      </c>
      <c r="H33" s="9">
        <v>0</v>
      </c>
      <c r="I33" s="9">
        <v>0</v>
      </c>
      <c r="J33" s="9">
        <v>0</v>
      </c>
      <c r="K33" s="9">
        <v>0</v>
      </c>
      <c r="L33" s="9">
        <v>0</v>
      </c>
      <c r="M33" s="9">
        <v>0</v>
      </c>
      <c r="N33" s="9">
        <v>0</v>
      </c>
      <c r="O33" s="9">
        <v>0</v>
      </c>
      <c r="P33" s="9">
        <v>0</v>
      </c>
      <c r="Q33" s="9">
        <v>0</v>
      </c>
      <c r="R33" s="9">
        <v>0</v>
      </c>
      <c r="S33" s="9">
        <v>0</v>
      </c>
      <c r="T33" s="9">
        <v>0</v>
      </c>
      <c r="U33" s="9">
        <v>0</v>
      </c>
      <c r="V33" s="9">
        <v>0</v>
      </c>
      <c r="W33" s="9">
        <v>0</v>
      </c>
      <c r="X33" s="9">
        <v>0</v>
      </c>
      <c r="Y33" s="9">
        <v>0</v>
      </c>
      <c r="Z33" s="9">
        <v>0</v>
      </c>
      <c r="AA33" s="9">
        <v>0</v>
      </c>
      <c r="AB33" s="9">
        <v>0</v>
      </c>
      <c r="AC33" s="9">
        <v>0</v>
      </c>
      <c r="AD33" s="9">
        <v>0</v>
      </c>
      <c r="AE33" s="9">
        <v>0</v>
      </c>
      <c r="AF33" s="9">
        <v>0</v>
      </c>
      <c r="AG33" s="9">
        <v>0</v>
      </c>
      <c r="AH33" s="9">
        <v>0</v>
      </c>
      <c r="AI33" s="9">
        <v>0</v>
      </c>
      <c r="AJ33" s="9">
        <v>0</v>
      </c>
      <c r="AK33" s="9">
        <v>0</v>
      </c>
      <c r="AL33" s="9">
        <v>0</v>
      </c>
      <c r="AM33" s="9">
        <v>0</v>
      </c>
      <c r="AN33" s="9">
        <v>0</v>
      </c>
      <c r="AO33" s="9">
        <v>0</v>
      </c>
      <c r="AP33" s="9">
        <v>0</v>
      </c>
      <c r="AQ33" s="9">
        <v>0</v>
      </c>
      <c r="AR33" s="9">
        <v>0</v>
      </c>
      <c r="AS33" s="9">
        <v>0</v>
      </c>
      <c r="AT33" s="9">
        <v>0</v>
      </c>
      <c r="AU33" s="9">
        <v>0</v>
      </c>
      <c r="AV33" s="9">
        <v>0</v>
      </c>
      <c r="AW33" s="9">
        <v>0</v>
      </c>
      <c r="AX33" s="9">
        <v>0</v>
      </c>
      <c r="AY33" s="9">
        <v>0</v>
      </c>
      <c r="AZ33" s="9">
        <v>0</v>
      </c>
      <c r="BA33" s="9">
        <v>0</v>
      </c>
      <c r="BB33" s="9">
        <v>0</v>
      </c>
      <c r="BC33" s="9">
        <v>0</v>
      </c>
      <c r="BD33" s="9">
        <v>0</v>
      </c>
      <c r="BE33" s="9">
        <v>0</v>
      </c>
      <c r="BF33" s="9">
        <v>0</v>
      </c>
      <c r="BG33" s="9">
        <v>0</v>
      </c>
      <c r="BH33" s="9">
        <v>0</v>
      </c>
      <c r="BI33" s="9">
        <v>0</v>
      </c>
      <c r="BJ33" s="9">
        <v>0</v>
      </c>
      <c r="BK33" s="9">
        <v>0</v>
      </c>
      <c r="BL33" s="9">
        <v>0</v>
      </c>
      <c r="BM33" s="9">
        <v>0</v>
      </c>
      <c r="BN33" s="9">
        <v>0</v>
      </c>
      <c r="BO33" s="9">
        <v>0</v>
      </c>
      <c r="BP33" s="10">
        <v>0</v>
      </c>
      <c r="BQ33">
        <v>0</v>
      </c>
      <c r="BR33">
        <v>0</v>
      </c>
    </row>
    <row r="34" spans="1:70" x14ac:dyDescent="0.35">
      <c r="A34" s="8" t="s">
        <v>0</v>
      </c>
      <c r="B34" s="9" t="s">
        <v>604</v>
      </c>
      <c r="C34" s="10" t="s">
        <v>605</v>
      </c>
      <c r="D34" s="34">
        <f t="shared" si="2"/>
        <v>0</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0</v>
      </c>
      <c r="W34" s="9">
        <v>0</v>
      </c>
      <c r="X34" s="9">
        <v>0</v>
      </c>
      <c r="Y34" s="9">
        <v>0</v>
      </c>
      <c r="Z34" s="9">
        <v>0</v>
      </c>
      <c r="AA34" s="9">
        <v>0</v>
      </c>
      <c r="AB34" s="9">
        <v>0</v>
      </c>
      <c r="AC34" s="9">
        <v>0</v>
      </c>
      <c r="AD34" s="9">
        <v>0</v>
      </c>
      <c r="AE34" s="9">
        <v>0</v>
      </c>
      <c r="AF34" s="9">
        <v>0</v>
      </c>
      <c r="AG34" s="9">
        <v>0</v>
      </c>
      <c r="AH34" s="9">
        <v>0</v>
      </c>
      <c r="AI34" s="9">
        <v>0</v>
      </c>
      <c r="AJ34" s="9">
        <v>0</v>
      </c>
      <c r="AK34" s="9">
        <v>0</v>
      </c>
      <c r="AL34" s="9">
        <v>0</v>
      </c>
      <c r="AM34" s="9">
        <v>0</v>
      </c>
      <c r="AN34" s="9">
        <v>0</v>
      </c>
      <c r="AO34" s="9">
        <v>0</v>
      </c>
      <c r="AP34" s="9">
        <v>0</v>
      </c>
      <c r="AQ34" s="9">
        <v>0</v>
      </c>
      <c r="AR34" s="9">
        <v>0</v>
      </c>
      <c r="AS34" s="9">
        <v>0</v>
      </c>
      <c r="AT34" s="9">
        <v>0</v>
      </c>
      <c r="AU34" s="9">
        <v>0</v>
      </c>
      <c r="AV34" s="9">
        <v>0</v>
      </c>
      <c r="AW34" s="9">
        <v>0</v>
      </c>
      <c r="AX34" s="9">
        <v>0</v>
      </c>
      <c r="AY34" s="9">
        <v>0</v>
      </c>
      <c r="AZ34" s="9">
        <v>0</v>
      </c>
      <c r="BA34" s="9">
        <v>0</v>
      </c>
      <c r="BB34" s="9">
        <v>0</v>
      </c>
      <c r="BC34" s="9">
        <v>0</v>
      </c>
      <c r="BD34" s="9">
        <v>0</v>
      </c>
      <c r="BE34" s="9">
        <v>0</v>
      </c>
      <c r="BF34" s="9">
        <v>0</v>
      </c>
      <c r="BG34" s="9">
        <v>0</v>
      </c>
      <c r="BH34" s="9">
        <v>0</v>
      </c>
      <c r="BI34" s="9">
        <v>0</v>
      </c>
      <c r="BJ34" s="9">
        <v>0</v>
      </c>
      <c r="BK34" s="9">
        <v>0</v>
      </c>
      <c r="BL34" s="9">
        <v>0</v>
      </c>
      <c r="BM34" s="9">
        <v>0</v>
      </c>
      <c r="BN34" s="9">
        <v>0</v>
      </c>
      <c r="BO34" s="9">
        <v>0</v>
      </c>
      <c r="BP34" s="10">
        <v>0</v>
      </c>
      <c r="BQ34">
        <v>0</v>
      </c>
      <c r="BR34">
        <v>0</v>
      </c>
    </row>
    <row r="35" spans="1:70" x14ac:dyDescent="0.35">
      <c r="A35" s="8" t="s">
        <v>0</v>
      </c>
      <c r="B35" s="9" t="s">
        <v>606</v>
      </c>
      <c r="C35" s="10" t="s">
        <v>607</v>
      </c>
      <c r="D35" s="34">
        <f t="shared" si="2"/>
        <v>0</v>
      </c>
      <c r="E35" s="9">
        <v>0</v>
      </c>
      <c r="F35" s="9">
        <v>0</v>
      </c>
      <c r="G35" s="9">
        <v>0</v>
      </c>
      <c r="H35" s="9">
        <v>0</v>
      </c>
      <c r="I35" s="9">
        <v>0</v>
      </c>
      <c r="J35" s="9">
        <v>0</v>
      </c>
      <c r="K35" s="9">
        <v>0</v>
      </c>
      <c r="L35" s="9">
        <v>0</v>
      </c>
      <c r="M35" s="9">
        <v>0</v>
      </c>
      <c r="N35" s="9">
        <v>0</v>
      </c>
      <c r="O35" s="9">
        <v>0</v>
      </c>
      <c r="P35" s="9">
        <v>0</v>
      </c>
      <c r="Q35" s="9">
        <v>0</v>
      </c>
      <c r="R35" s="9">
        <v>0</v>
      </c>
      <c r="S35" s="9">
        <v>0</v>
      </c>
      <c r="T35" s="9">
        <v>0</v>
      </c>
      <c r="U35" s="9">
        <v>0</v>
      </c>
      <c r="V35" s="9">
        <v>0</v>
      </c>
      <c r="W35" s="9">
        <v>0</v>
      </c>
      <c r="X35" s="9">
        <v>0</v>
      </c>
      <c r="Y35" s="9">
        <v>0</v>
      </c>
      <c r="Z35" s="9">
        <v>0</v>
      </c>
      <c r="AA35" s="9">
        <v>0</v>
      </c>
      <c r="AB35" s="9">
        <v>0</v>
      </c>
      <c r="AC35" s="9">
        <v>0</v>
      </c>
      <c r="AD35" s="9">
        <v>0</v>
      </c>
      <c r="AE35" s="9">
        <v>0</v>
      </c>
      <c r="AF35" s="9">
        <v>0</v>
      </c>
      <c r="AG35" s="9">
        <v>0</v>
      </c>
      <c r="AH35" s="9">
        <v>0</v>
      </c>
      <c r="AI35" s="9">
        <v>0</v>
      </c>
      <c r="AJ35" s="9">
        <v>0</v>
      </c>
      <c r="AK35" s="9">
        <v>0</v>
      </c>
      <c r="AL35" s="9">
        <v>0</v>
      </c>
      <c r="AM35" s="9">
        <v>0</v>
      </c>
      <c r="AN35" s="9">
        <v>0</v>
      </c>
      <c r="AO35" s="9">
        <v>0</v>
      </c>
      <c r="AP35" s="9">
        <v>0</v>
      </c>
      <c r="AQ35" s="9">
        <v>0</v>
      </c>
      <c r="AR35" s="9">
        <v>0</v>
      </c>
      <c r="AS35" s="9">
        <v>0</v>
      </c>
      <c r="AT35" s="9">
        <v>0</v>
      </c>
      <c r="AU35" s="9">
        <v>0</v>
      </c>
      <c r="AV35" s="9">
        <v>0</v>
      </c>
      <c r="AW35" s="9">
        <v>0</v>
      </c>
      <c r="AX35" s="9">
        <v>0</v>
      </c>
      <c r="AY35" s="9">
        <v>0</v>
      </c>
      <c r="AZ35" s="9">
        <v>0</v>
      </c>
      <c r="BA35" s="9">
        <v>0</v>
      </c>
      <c r="BB35" s="9">
        <v>0</v>
      </c>
      <c r="BC35" s="9">
        <v>0</v>
      </c>
      <c r="BD35" s="9">
        <v>0</v>
      </c>
      <c r="BE35" s="9">
        <v>0</v>
      </c>
      <c r="BF35" s="9">
        <v>0</v>
      </c>
      <c r="BG35" s="9">
        <v>0</v>
      </c>
      <c r="BH35" s="9">
        <v>0</v>
      </c>
      <c r="BI35" s="9">
        <v>0</v>
      </c>
      <c r="BJ35" s="9">
        <v>0</v>
      </c>
      <c r="BK35" s="9">
        <v>0</v>
      </c>
      <c r="BL35" s="9">
        <v>0</v>
      </c>
      <c r="BM35" s="9">
        <v>0</v>
      </c>
      <c r="BN35" s="9">
        <v>0</v>
      </c>
      <c r="BO35" s="9">
        <v>0</v>
      </c>
      <c r="BP35" s="10">
        <v>0</v>
      </c>
      <c r="BQ35">
        <v>0</v>
      </c>
      <c r="BR35">
        <v>0</v>
      </c>
    </row>
    <row r="36" spans="1:70" x14ac:dyDescent="0.35">
      <c r="A36" s="8" t="s">
        <v>0</v>
      </c>
      <c r="B36" s="9" t="s">
        <v>608</v>
      </c>
      <c r="C36" s="10" t="s">
        <v>609</v>
      </c>
      <c r="D36" s="34">
        <f t="shared" si="2"/>
        <v>0</v>
      </c>
      <c r="E36" s="9">
        <v>0</v>
      </c>
      <c r="F36" s="9">
        <v>0</v>
      </c>
      <c r="G36" s="9">
        <v>0</v>
      </c>
      <c r="H36" s="9">
        <v>0</v>
      </c>
      <c r="I36" s="9">
        <v>0</v>
      </c>
      <c r="J36" s="9">
        <v>0</v>
      </c>
      <c r="K36" s="9">
        <v>0</v>
      </c>
      <c r="L36" s="9">
        <v>0</v>
      </c>
      <c r="M36" s="9">
        <v>0</v>
      </c>
      <c r="N36" s="9">
        <v>0</v>
      </c>
      <c r="O36" s="9">
        <v>0</v>
      </c>
      <c r="P36" s="9">
        <v>0</v>
      </c>
      <c r="Q36" s="9">
        <v>0</v>
      </c>
      <c r="R36" s="9">
        <v>0</v>
      </c>
      <c r="S36" s="9">
        <v>0</v>
      </c>
      <c r="T36" s="9">
        <v>0</v>
      </c>
      <c r="U36" s="9">
        <v>0</v>
      </c>
      <c r="V36" s="9">
        <v>0</v>
      </c>
      <c r="W36" s="9">
        <v>0</v>
      </c>
      <c r="X36" s="9">
        <v>0</v>
      </c>
      <c r="Y36" s="9">
        <v>0</v>
      </c>
      <c r="Z36" s="9">
        <v>0</v>
      </c>
      <c r="AA36" s="9">
        <v>0</v>
      </c>
      <c r="AB36" s="9">
        <v>0</v>
      </c>
      <c r="AC36" s="9">
        <v>0</v>
      </c>
      <c r="AD36" s="9">
        <v>0</v>
      </c>
      <c r="AE36" s="9">
        <v>0</v>
      </c>
      <c r="AF36" s="9">
        <v>0</v>
      </c>
      <c r="AG36" s="9">
        <v>0</v>
      </c>
      <c r="AH36" s="9">
        <v>0</v>
      </c>
      <c r="AI36" s="9">
        <v>0</v>
      </c>
      <c r="AJ36" s="9">
        <v>0</v>
      </c>
      <c r="AK36" s="9">
        <v>0</v>
      </c>
      <c r="AL36" s="9">
        <v>0</v>
      </c>
      <c r="AM36" s="9">
        <v>0</v>
      </c>
      <c r="AN36" s="9">
        <v>0</v>
      </c>
      <c r="AO36" s="9">
        <v>0</v>
      </c>
      <c r="AP36" s="9">
        <v>0</v>
      </c>
      <c r="AQ36" s="9">
        <v>0</v>
      </c>
      <c r="AR36" s="9">
        <v>0</v>
      </c>
      <c r="AS36" s="9">
        <v>0</v>
      </c>
      <c r="AT36" s="9">
        <v>0</v>
      </c>
      <c r="AU36" s="9">
        <v>0</v>
      </c>
      <c r="AV36" s="9">
        <v>0</v>
      </c>
      <c r="AW36" s="9">
        <v>0</v>
      </c>
      <c r="AX36" s="9">
        <v>0</v>
      </c>
      <c r="AY36" s="9">
        <v>0</v>
      </c>
      <c r="AZ36" s="9">
        <v>0</v>
      </c>
      <c r="BA36" s="9">
        <v>0</v>
      </c>
      <c r="BB36" s="9">
        <v>0</v>
      </c>
      <c r="BC36" s="9">
        <v>0</v>
      </c>
      <c r="BD36" s="9">
        <v>0</v>
      </c>
      <c r="BE36" s="9">
        <v>0</v>
      </c>
      <c r="BF36" s="9">
        <v>0</v>
      </c>
      <c r="BG36" s="9">
        <v>0</v>
      </c>
      <c r="BH36" s="9">
        <v>0</v>
      </c>
      <c r="BI36" s="9">
        <v>0</v>
      </c>
      <c r="BJ36" s="9">
        <v>0</v>
      </c>
      <c r="BK36" s="9">
        <v>0</v>
      </c>
      <c r="BL36" s="9">
        <v>0</v>
      </c>
      <c r="BM36" s="9">
        <v>0</v>
      </c>
      <c r="BN36" s="9">
        <v>0</v>
      </c>
      <c r="BO36" s="9">
        <v>0</v>
      </c>
      <c r="BP36" s="10">
        <v>0</v>
      </c>
      <c r="BQ36">
        <v>0</v>
      </c>
      <c r="BR36">
        <v>0</v>
      </c>
    </row>
    <row r="37" spans="1:70" x14ac:dyDescent="0.35">
      <c r="A37" s="8" t="s">
        <v>0</v>
      </c>
      <c r="B37" s="9" t="s">
        <v>610</v>
      </c>
      <c r="C37" s="10" t="s">
        <v>611</v>
      </c>
      <c r="D37" s="34">
        <f t="shared" si="2"/>
        <v>0</v>
      </c>
      <c r="E37" s="9">
        <v>0</v>
      </c>
      <c r="F37" s="9">
        <v>0</v>
      </c>
      <c r="G37" s="9">
        <v>0</v>
      </c>
      <c r="H37" s="9">
        <v>0</v>
      </c>
      <c r="I37" s="9">
        <v>0</v>
      </c>
      <c r="J37" s="9">
        <v>0</v>
      </c>
      <c r="K37" s="9">
        <v>0</v>
      </c>
      <c r="L37" s="9">
        <v>0</v>
      </c>
      <c r="M37" s="9">
        <v>0</v>
      </c>
      <c r="N37" s="9">
        <v>0</v>
      </c>
      <c r="O37" s="9">
        <v>0</v>
      </c>
      <c r="P37" s="9">
        <v>0</v>
      </c>
      <c r="Q37" s="9">
        <v>0</v>
      </c>
      <c r="R37" s="9">
        <v>0</v>
      </c>
      <c r="S37" s="9">
        <v>0</v>
      </c>
      <c r="T37" s="9">
        <v>0</v>
      </c>
      <c r="U37" s="9">
        <v>0</v>
      </c>
      <c r="V37" s="9">
        <v>0</v>
      </c>
      <c r="W37" s="9">
        <v>0</v>
      </c>
      <c r="X37" s="9">
        <v>0</v>
      </c>
      <c r="Y37" s="9">
        <v>0</v>
      </c>
      <c r="Z37" s="9">
        <v>0</v>
      </c>
      <c r="AA37" s="9">
        <v>0</v>
      </c>
      <c r="AB37" s="9">
        <v>0</v>
      </c>
      <c r="AC37" s="9">
        <v>0</v>
      </c>
      <c r="AD37" s="9">
        <v>0</v>
      </c>
      <c r="AE37" s="9">
        <v>0</v>
      </c>
      <c r="AF37" s="9">
        <v>0</v>
      </c>
      <c r="AG37" s="9">
        <v>0</v>
      </c>
      <c r="AH37" s="9">
        <v>0</v>
      </c>
      <c r="AI37" s="9">
        <v>0</v>
      </c>
      <c r="AJ37" s="9">
        <v>0</v>
      </c>
      <c r="AK37" s="9">
        <v>0</v>
      </c>
      <c r="AL37" s="9">
        <v>0</v>
      </c>
      <c r="AM37" s="9">
        <v>0</v>
      </c>
      <c r="AN37" s="9">
        <v>0</v>
      </c>
      <c r="AO37" s="9">
        <v>0</v>
      </c>
      <c r="AP37" s="9">
        <v>0</v>
      </c>
      <c r="AQ37" s="9">
        <v>0</v>
      </c>
      <c r="AR37" s="9">
        <v>0</v>
      </c>
      <c r="AS37" s="9">
        <v>0</v>
      </c>
      <c r="AT37" s="9">
        <v>0</v>
      </c>
      <c r="AU37" s="9">
        <v>0</v>
      </c>
      <c r="AV37" s="9">
        <v>0</v>
      </c>
      <c r="AW37" s="9">
        <v>0</v>
      </c>
      <c r="AX37" s="9">
        <v>0</v>
      </c>
      <c r="AY37" s="9">
        <v>0</v>
      </c>
      <c r="AZ37" s="9">
        <v>0</v>
      </c>
      <c r="BA37" s="9">
        <v>0</v>
      </c>
      <c r="BB37" s="9">
        <v>0</v>
      </c>
      <c r="BC37" s="9">
        <v>0</v>
      </c>
      <c r="BD37" s="9">
        <v>0</v>
      </c>
      <c r="BE37" s="9">
        <v>0</v>
      </c>
      <c r="BF37" s="9">
        <v>0</v>
      </c>
      <c r="BG37" s="9">
        <v>0</v>
      </c>
      <c r="BH37" s="9">
        <v>0</v>
      </c>
      <c r="BI37" s="9">
        <v>0</v>
      </c>
      <c r="BJ37" s="9">
        <v>0</v>
      </c>
      <c r="BK37" s="9">
        <v>0</v>
      </c>
      <c r="BL37" s="9">
        <v>0</v>
      </c>
      <c r="BM37" s="9">
        <v>0</v>
      </c>
      <c r="BN37" s="9">
        <v>0</v>
      </c>
      <c r="BO37" s="9">
        <v>0</v>
      </c>
      <c r="BP37" s="10">
        <v>0</v>
      </c>
      <c r="BQ37">
        <v>0</v>
      </c>
      <c r="BR37">
        <v>0</v>
      </c>
    </row>
    <row r="38" spans="1:70" x14ac:dyDescent="0.35">
      <c r="A38" s="8" t="s">
        <v>0</v>
      </c>
      <c r="B38" s="9" t="s">
        <v>612</v>
      </c>
      <c r="C38" s="10" t="s">
        <v>613</v>
      </c>
      <c r="D38" s="34">
        <f t="shared" si="2"/>
        <v>0</v>
      </c>
      <c r="E38" s="9">
        <v>0</v>
      </c>
      <c r="F38" s="9">
        <v>0</v>
      </c>
      <c r="G38" s="9">
        <v>0</v>
      </c>
      <c r="H38" s="9">
        <v>0</v>
      </c>
      <c r="I38" s="9">
        <v>0</v>
      </c>
      <c r="J38" s="9">
        <v>0</v>
      </c>
      <c r="K38" s="9">
        <v>0</v>
      </c>
      <c r="L38" s="9">
        <v>0</v>
      </c>
      <c r="M38" s="9">
        <v>0</v>
      </c>
      <c r="N38" s="9">
        <v>0</v>
      </c>
      <c r="O38" s="9">
        <v>0</v>
      </c>
      <c r="P38" s="9">
        <v>0</v>
      </c>
      <c r="Q38" s="9">
        <v>0</v>
      </c>
      <c r="R38" s="9">
        <v>0</v>
      </c>
      <c r="S38" s="9">
        <v>0</v>
      </c>
      <c r="T38" s="9">
        <v>0</v>
      </c>
      <c r="U38" s="9">
        <v>0</v>
      </c>
      <c r="V38" s="9">
        <v>0</v>
      </c>
      <c r="W38" s="9">
        <v>0</v>
      </c>
      <c r="X38" s="9">
        <v>0</v>
      </c>
      <c r="Y38" s="9">
        <v>0</v>
      </c>
      <c r="Z38" s="9">
        <v>0</v>
      </c>
      <c r="AA38" s="9">
        <v>0</v>
      </c>
      <c r="AB38" s="9">
        <v>0</v>
      </c>
      <c r="AC38" s="9">
        <v>0</v>
      </c>
      <c r="AD38" s="9">
        <v>0</v>
      </c>
      <c r="AE38" s="9">
        <v>0</v>
      </c>
      <c r="AF38" s="9">
        <v>0</v>
      </c>
      <c r="AG38" s="9">
        <v>0</v>
      </c>
      <c r="AH38" s="9">
        <v>0</v>
      </c>
      <c r="AI38" s="9">
        <v>0</v>
      </c>
      <c r="AJ38" s="9">
        <v>0</v>
      </c>
      <c r="AK38" s="9">
        <v>0</v>
      </c>
      <c r="AL38" s="9">
        <v>0</v>
      </c>
      <c r="AM38" s="9">
        <v>0</v>
      </c>
      <c r="AN38" s="9">
        <v>0</v>
      </c>
      <c r="AO38" s="9">
        <v>0</v>
      </c>
      <c r="AP38" s="9">
        <v>0</v>
      </c>
      <c r="AQ38" s="9">
        <v>0</v>
      </c>
      <c r="AR38" s="9">
        <v>0</v>
      </c>
      <c r="AS38" s="9">
        <v>0</v>
      </c>
      <c r="AT38" s="9">
        <v>0</v>
      </c>
      <c r="AU38" s="9">
        <v>0</v>
      </c>
      <c r="AV38" s="9">
        <v>0</v>
      </c>
      <c r="AW38" s="9">
        <v>0</v>
      </c>
      <c r="AX38" s="9">
        <v>0</v>
      </c>
      <c r="AY38" s="9">
        <v>0</v>
      </c>
      <c r="AZ38" s="9">
        <v>0</v>
      </c>
      <c r="BA38" s="9">
        <v>0</v>
      </c>
      <c r="BB38" s="9">
        <v>0</v>
      </c>
      <c r="BC38" s="9">
        <v>0</v>
      </c>
      <c r="BD38" s="9">
        <v>0</v>
      </c>
      <c r="BE38" s="9">
        <v>0</v>
      </c>
      <c r="BF38" s="9">
        <v>0</v>
      </c>
      <c r="BG38" s="9">
        <v>0</v>
      </c>
      <c r="BH38" s="9">
        <v>0</v>
      </c>
      <c r="BI38" s="9">
        <v>0</v>
      </c>
      <c r="BJ38" s="9">
        <v>0</v>
      </c>
      <c r="BK38" s="9">
        <v>0</v>
      </c>
      <c r="BL38" s="9">
        <v>0</v>
      </c>
      <c r="BM38" s="9">
        <v>0</v>
      </c>
      <c r="BN38" s="9">
        <v>0</v>
      </c>
      <c r="BO38" s="9">
        <v>0</v>
      </c>
      <c r="BP38" s="10">
        <v>0</v>
      </c>
      <c r="BQ38">
        <v>0</v>
      </c>
      <c r="BR38">
        <v>0</v>
      </c>
    </row>
    <row r="39" spans="1:70" x14ac:dyDescent="0.35">
      <c r="A39" s="8" t="s">
        <v>0</v>
      </c>
      <c r="B39" s="9" t="s">
        <v>614</v>
      </c>
      <c r="C39" s="10" t="s">
        <v>615</v>
      </c>
      <c r="D39" s="34">
        <f t="shared" si="2"/>
        <v>0</v>
      </c>
      <c r="E39" s="9">
        <v>0</v>
      </c>
      <c r="F39" s="9">
        <v>0</v>
      </c>
      <c r="G39" s="9">
        <v>0</v>
      </c>
      <c r="H39" s="9">
        <v>0</v>
      </c>
      <c r="I39" s="9">
        <v>0</v>
      </c>
      <c r="J39" s="9">
        <v>0</v>
      </c>
      <c r="K39" s="9">
        <v>0</v>
      </c>
      <c r="L39" s="9">
        <v>0</v>
      </c>
      <c r="M39" s="9">
        <v>0</v>
      </c>
      <c r="N39" s="9">
        <v>0</v>
      </c>
      <c r="O39" s="9">
        <v>0</v>
      </c>
      <c r="P39" s="9">
        <v>0</v>
      </c>
      <c r="Q39" s="9">
        <v>0</v>
      </c>
      <c r="R39" s="9">
        <v>0</v>
      </c>
      <c r="S39" s="9">
        <v>0</v>
      </c>
      <c r="T39" s="9">
        <v>0</v>
      </c>
      <c r="U39" s="9">
        <v>0</v>
      </c>
      <c r="V39" s="9">
        <v>0</v>
      </c>
      <c r="W39" s="9">
        <v>0</v>
      </c>
      <c r="X39" s="9">
        <v>0</v>
      </c>
      <c r="Y39" s="9">
        <v>0</v>
      </c>
      <c r="Z39" s="9">
        <v>0</v>
      </c>
      <c r="AA39" s="9">
        <v>0</v>
      </c>
      <c r="AB39" s="9">
        <v>0</v>
      </c>
      <c r="AC39" s="9">
        <v>0</v>
      </c>
      <c r="AD39" s="9">
        <v>0</v>
      </c>
      <c r="AE39" s="9">
        <v>0</v>
      </c>
      <c r="AF39" s="9">
        <v>0</v>
      </c>
      <c r="AG39" s="9">
        <v>0</v>
      </c>
      <c r="AH39" s="9">
        <v>0</v>
      </c>
      <c r="AI39" s="9">
        <v>0</v>
      </c>
      <c r="AJ39" s="9">
        <v>0</v>
      </c>
      <c r="AK39" s="9">
        <v>0</v>
      </c>
      <c r="AL39" s="9">
        <v>0</v>
      </c>
      <c r="AM39" s="9">
        <v>0</v>
      </c>
      <c r="AN39" s="9">
        <v>0</v>
      </c>
      <c r="AO39" s="9">
        <v>0</v>
      </c>
      <c r="AP39" s="9">
        <v>0</v>
      </c>
      <c r="AQ39" s="9">
        <v>0</v>
      </c>
      <c r="AR39" s="9">
        <v>0</v>
      </c>
      <c r="AS39" s="9">
        <v>0</v>
      </c>
      <c r="AT39" s="9">
        <v>0</v>
      </c>
      <c r="AU39" s="9">
        <v>0</v>
      </c>
      <c r="AV39" s="9">
        <v>0</v>
      </c>
      <c r="AW39" s="9">
        <v>0</v>
      </c>
      <c r="AX39" s="9">
        <v>0</v>
      </c>
      <c r="AY39" s="9">
        <v>0</v>
      </c>
      <c r="AZ39" s="9">
        <v>0</v>
      </c>
      <c r="BA39" s="9">
        <v>0</v>
      </c>
      <c r="BB39" s="9">
        <v>0</v>
      </c>
      <c r="BC39" s="9">
        <v>0</v>
      </c>
      <c r="BD39" s="9">
        <v>0</v>
      </c>
      <c r="BE39" s="9">
        <v>0</v>
      </c>
      <c r="BF39" s="9">
        <v>0</v>
      </c>
      <c r="BG39" s="9">
        <v>0</v>
      </c>
      <c r="BH39" s="9">
        <v>0</v>
      </c>
      <c r="BI39" s="9">
        <v>0</v>
      </c>
      <c r="BJ39" s="9">
        <v>0</v>
      </c>
      <c r="BK39" s="9">
        <v>0</v>
      </c>
      <c r="BL39" s="9">
        <v>0</v>
      </c>
      <c r="BM39" s="9">
        <v>0</v>
      </c>
      <c r="BN39" s="9">
        <v>0</v>
      </c>
      <c r="BO39" s="9">
        <v>0</v>
      </c>
      <c r="BP39" s="10">
        <v>0</v>
      </c>
      <c r="BQ39">
        <v>0</v>
      </c>
      <c r="BR39">
        <v>0</v>
      </c>
    </row>
    <row r="40" spans="1:70" x14ac:dyDescent="0.35">
      <c r="A40" s="8" t="s">
        <v>0</v>
      </c>
      <c r="B40" s="9" t="s">
        <v>31</v>
      </c>
      <c r="C40" s="10" t="s">
        <v>616</v>
      </c>
      <c r="D40" s="34">
        <f t="shared" si="2"/>
        <v>4</v>
      </c>
      <c r="E40" s="9">
        <v>0</v>
      </c>
      <c r="F40" s="9">
        <v>0</v>
      </c>
      <c r="G40" s="9">
        <v>0</v>
      </c>
      <c r="H40" s="9">
        <v>0</v>
      </c>
      <c r="I40" s="9">
        <v>0</v>
      </c>
      <c r="J40" s="9">
        <v>0</v>
      </c>
      <c r="K40" s="9">
        <v>0</v>
      </c>
      <c r="L40" s="9">
        <v>0</v>
      </c>
      <c r="M40" s="9">
        <v>0</v>
      </c>
      <c r="N40" s="9">
        <v>0</v>
      </c>
      <c r="O40" s="9">
        <v>0</v>
      </c>
      <c r="P40" s="9">
        <v>0</v>
      </c>
      <c r="Q40" s="9">
        <v>0</v>
      </c>
      <c r="R40" s="9">
        <v>0</v>
      </c>
      <c r="S40" s="9">
        <v>0</v>
      </c>
      <c r="T40" s="9">
        <v>0</v>
      </c>
      <c r="U40" s="9">
        <v>0</v>
      </c>
      <c r="V40" s="9">
        <v>0</v>
      </c>
      <c r="W40" s="9">
        <v>0</v>
      </c>
      <c r="X40" s="9">
        <v>0</v>
      </c>
      <c r="Y40" s="9">
        <v>0</v>
      </c>
      <c r="Z40" s="9">
        <v>0</v>
      </c>
      <c r="AA40" s="9">
        <v>0</v>
      </c>
      <c r="AB40" s="9">
        <v>1</v>
      </c>
      <c r="AC40" s="9">
        <v>1</v>
      </c>
      <c r="AD40" s="9">
        <v>1</v>
      </c>
      <c r="AE40" s="9">
        <v>1</v>
      </c>
      <c r="AF40" s="9">
        <v>1</v>
      </c>
      <c r="AG40" s="9">
        <v>2</v>
      </c>
      <c r="AH40" s="9">
        <v>2</v>
      </c>
      <c r="AI40" s="9">
        <v>2</v>
      </c>
      <c r="AJ40" s="9">
        <v>1</v>
      </c>
      <c r="AK40" s="9">
        <v>2</v>
      </c>
      <c r="AL40" s="9">
        <v>2</v>
      </c>
      <c r="AM40" s="9">
        <v>2</v>
      </c>
      <c r="AN40" s="9">
        <v>2</v>
      </c>
      <c r="AO40" s="9">
        <v>2</v>
      </c>
      <c r="AP40" s="9">
        <v>2</v>
      </c>
      <c r="AQ40" s="9">
        <v>1</v>
      </c>
      <c r="AR40" s="9">
        <v>1</v>
      </c>
      <c r="AS40" s="9">
        <v>1</v>
      </c>
      <c r="AT40" s="9">
        <v>1</v>
      </c>
      <c r="AU40" s="9">
        <v>1</v>
      </c>
      <c r="AV40" s="9">
        <v>1</v>
      </c>
      <c r="AW40" s="9">
        <v>1</v>
      </c>
      <c r="AX40" s="9">
        <v>1</v>
      </c>
      <c r="AY40" s="9">
        <v>1</v>
      </c>
      <c r="AZ40" s="9">
        <v>2</v>
      </c>
      <c r="BA40" s="9">
        <v>3</v>
      </c>
      <c r="BB40" s="9">
        <v>3</v>
      </c>
      <c r="BC40" s="9">
        <v>3</v>
      </c>
      <c r="BD40" s="9">
        <v>3</v>
      </c>
      <c r="BE40" s="9">
        <v>2</v>
      </c>
      <c r="BF40" s="9">
        <v>3</v>
      </c>
      <c r="BG40" s="9">
        <v>4</v>
      </c>
      <c r="BH40" s="9">
        <v>4</v>
      </c>
      <c r="BI40" s="9">
        <v>4</v>
      </c>
      <c r="BJ40" s="9">
        <v>4</v>
      </c>
      <c r="BK40" s="9">
        <v>3</v>
      </c>
      <c r="BL40" s="9">
        <v>1</v>
      </c>
      <c r="BM40" s="9">
        <v>1</v>
      </c>
      <c r="BN40" s="9">
        <v>1</v>
      </c>
      <c r="BO40" s="9">
        <v>1</v>
      </c>
      <c r="BP40" s="10">
        <v>1</v>
      </c>
      <c r="BQ40">
        <v>1</v>
      </c>
      <c r="BR40">
        <v>0</v>
      </c>
    </row>
    <row r="41" spans="1:70" x14ac:dyDescent="0.35">
      <c r="A41" s="8" t="s">
        <v>0</v>
      </c>
      <c r="B41" s="9" t="s">
        <v>33</v>
      </c>
      <c r="C41" s="10" t="s">
        <v>617</v>
      </c>
      <c r="D41" s="34">
        <f t="shared" si="2"/>
        <v>119</v>
      </c>
      <c r="E41" s="9">
        <v>2</v>
      </c>
      <c r="F41" s="9">
        <v>2</v>
      </c>
      <c r="G41" s="9">
        <v>2</v>
      </c>
      <c r="H41" s="9">
        <v>3</v>
      </c>
      <c r="I41" s="9">
        <v>3</v>
      </c>
      <c r="J41" s="9">
        <v>4</v>
      </c>
      <c r="K41" s="9">
        <v>3</v>
      </c>
      <c r="L41" s="9">
        <v>3</v>
      </c>
      <c r="M41" s="9">
        <v>6</v>
      </c>
      <c r="N41" s="9">
        <v>3</v>
      </c>
      <c r="O41" s="9">
        <v>1</v>
      </c>
      <c r="P41" s="9">
        <v>3</v>
      </c>
      <c r="Q41" s="9">
        <v>4</v>
      </c>
      <c r="R41" s="9">
        <v>3</v>
      </c>
      <c r="S41" s="9">
        <v>4</v>
      </c>
      <c r="T41" s="9">
        <v>6</v>
      </c>
      <c r="U41" s="9">
        <v>6</v>
      </c>
      <c r="V41" s="9">
        <v>3</v>
      </c>
      <c r="W41" s="9">
        <v>3</v>
      </c>
      <c r="X41" s="9">
        <v>3</v>
      </c>
      <c r="Y41" s="9">
        <v>5</v>
      </c>
      <c r="Z41" s="9">
        <v>5</v>
      </c>
      <c r="AA41" s="9">
        <v>4</v>
      </c>
      <c r="AB41" s="9">
        <v>4</v>
      </c>
      <c r="AC41" s="9">
        <v>6</v>
      </c>
      <c r="AD41" s="9">
        <v>6</v>
      </c>
      <c r="AE41" s="9">
        <v>10</v>
      </c>
      <c r="AF41" s="9">
        <v>11</v>
      </c>
      <c r="AG41" s="9">
        <v>15</v>
      </c>
      <c r="AH41" s="9">
        <v>19</v>
      </c>
      <c r="AI41" s="9">
        <v>9</v>
      </c>
      <c r="AJ41" s="9">
        <v>25</v>
      </c>
      <c r="AK41" s="9">
        <v>29</v>
      </c>
      <c r="AL41" s="9">
        <v>19</v>
      </c>
      <c r="AM41" s="9">
        <v>27</v>
      </c>
      <c r="AN41" s="9">
        <v>23</v>
      </c>
      <c r="AO41" s="9">
        <v>26</v>
      </c>
      <c r="AP41" s="9">
        <v>17</v>
      </c>
      <c r="AQ41" s="9">
        <v>16</v>
      </c>
      <c r="AR41" s="9">
        <v>26</v>
      </c>
      <c r="AS41" s="9">
        <v>25</v>
      </c>
      <c r="AT41" s="9">
        <v>30</v>
      </c>
      <c r="AU41" s="9">
        <v>39</v>
      </c>
      <c r="AV41" s="9">
        <v>47</v>
      </c>
      <c r="AW41" s="9">
        <v>56</v>
      </c>
      <c r="AX41" s="9">
        <v>62</v>
      </c>
      <c r="AY41" s="9">
        <v>59</v>
      </c>
      <c r="AZ41" s="9">
        <v>58</v>
      </c>
      <c r="BA41" s="9">
        <v>78</v>
      </c>
      <c r="BB41" s="9">
        <v>80</v>
      </c>
      <c r="BC41" s="9">
        <v>83</v>
      </c>
      <c r="BD41" s="9">
        <v>81</v>
      </c>
      <c r="BE41" s="9">
        <v>88</v>
      </c>
      <c r="BF41" s="9">
        <v>90</v>
      </c>
      <c r="BG41" s="9">
        <v>103</v>
      </c>
      <c r="BH41" s="9">
        <v>109</v>
      </c>
      <c r="BI41" s="9">
        <v>112</v>
      </c>
      <c r="BJ41" s="9">
        <v>116</v>
      </c>
      <c r="BK41" s="9">
        <v>117</v>
      </c>
      <c r="BL41" s="9">
        <v>119</v>
      </c>
      <c r="BM41" s="9">
        <v>117</v>
      </c>
      <c r="BN41" s="9">
        <v>116</v>
      </c>
      <c r="BO41" s="9">
        <v>115</v>
      </c>
      <c r="BP41" s="10">
        <v>117</v>
      </c>
      <c r="BQ41">
        <v>117</v>
      </c>
      <c r="BR41">
        <v>110</v>
      </c>
    </row>
    <row r="42" spans="1:70" x14ac:dyDescent="0.35">
      <c r="A42" s="8" t="s">
        <v>0</v>
      </c>
      <c r="B42" s="9" t="s">
        <v>35</v>
      </c>
      <c r="C42" s="10" t="s">
        <v>618</v>
      </c>
      <c r="D42" s="34">
        <f t="shared" si="2"/>
        <v>78</v>
      </c>
      <c r="E42" s="9">
        <v>2</v>
      </c>
      <c r="F42" s="9">
        <v>1</v>
      </c>
      <c r="G42" s="9">
        <v>3</v>
      </c>
      <c r="H42" s="9">
        <v>0</v>
      </c>
      <c r="I42" s="9">
        <v>0</v>
      </c>
      <c r="J42" s="9">
        <v>0</v>
      </c>
      <c r="K42" s="9">
        <v>0</v>
      </c>
      <c r="L42" s="9">
        <v>1</v>
      </c>
      <c r="M42" s="9">
        <v>2</v>
      </c>
      <c r="N42" s="9">
        <v>2</v>
      </c>
      <c r="O42" s="9">
        <v>1</v>
      </c>
      <c r="P42" s="9">
        <v>4</v>
      </c>
      <c r="Q42" s="9">
        <v>4</v>
      </c>
      <c r="R42" s="9">
        <v>4</v>
      </c>
      <c r="S42" s="9">
        <v>4</v>
      </c>
      <c r="T42" s="9">
        <v>3</v>
      </c>
      <c r="U42" s="9">
        <v>4</v>
      </c>
      <c r="V42" s="9">
        <v>4</v>
      </c>
      <c r="W42" s="9">
        <v>3</v>
      </c>
      <c r="X42" s="9">
        <v>2</v>
      </c>
      <c r="Y42" s="9">
        <v>2</v>
      </c>
      <c r="Z42" s="9">
        <v>6</v>
      </c>
      <c r="AA42" s="9">
        <v>8</v>
      </c>
      <c r="AB42" s="9">
        <v>9</v>
      </c>
      <c r="AC42" s="9">
        <v>11</v>
      </c>
      <c r="AD42" s="9">
        <v>11</v>
      </c>
      <c r="AE42" s="9">
        <v>10</v>
      </c>
      <c r="AF42" s="9">
        <v>10</v>
      </c>
      <c r="AG42" s="9">
        <v>12</v>
      </c>
      <c r="AH42" s="9">
        <v>11</v>
      </c>
      <c r="AI42" s="9">
        <v>10</v>
      </c>
      <c r="AJ42" s="9">
        <v>8</v>
      </c>
      <c r="AK42" s="9">
        <v>9</v>
      </c>
      <c r="AL42" s="9">
        <v>11</v>
      </c>
      <c r="AM42" s="9">
        <v>11</v>
      </c>
      <c r="AN42" s="9">
        <v>11</v>
      </c>
      <c r="AO42" s="9">
        <v>12</v>
      </c>
      <c r="AP42" s="9">
        <v>6</v>
      </c>
      <c r="AQ42" s="9">
        <v>17</v>
      </c>
      <c r="AR42" s="9">
        <v>16</v>
      </c>
      <c r="AS42" s="9">
        <v>15</v>
      </c>
      <c r="AT42" s="9">
        <v>15</v>
      </c>
      <c r="AU42" s="9">
        <v>13</v>
      </c>
      <c r="AV42" s="9">
        <v>15</v>
      </c>
      <c r="AW42" s="9">
        <v>15</v>
      </c>
      <c r="AX42" s="9">
        <v>18</v>
      </c>
      <c r="AY42" s="9">
        <v>23</v>
      </c>
      <c r="AZ42" s="9">
        <v>27</v>
      </c>
      <c r="BA42" s="9">
        <v>28</v>
      </c>
      <c r="BB42" s="9">
        <v>33</v>
      </c>
      <c r="BC42" s="9">
        <v>34</v>
      </c>
      <c r="BD42" s="9">
        <v>30</v>
      </c>
      <c r="BE42" s="9">
        <v>36</v>
      </c>
      <c r="BF42" s="9">
        <v>36</v>
      </c>
      <c r="BG42" s="9">
        <v>39</v>
      </c>
      <c r="BH42" s="9">
        <v>41</v>
      </c>
      <c r="BI42" s="9">
        <v>45</v>
      </c>
      <c r="BJ42" s="9">
        <v>49</v>
      </c>
      <c r="BK42" s="9">
        <v>51</v>
      </c>
      <c r="BL42" s="9">
        <v>55</v>
      </c>
      <c r="BM42" s="9">
        <v>63</v>
      </c>
      <c r="BN42" s="9">
        <v>64</v>
      </c>
      <c r="BO42" s="9">
        <v>67</v>
      </c>
      <c r="BP42" s="10">
        <v>78</v>
      </c>
      <c r="BQ42">
        <v>77</v>
      </c>
      <c r="BR42">
        <v>74</v>
      </c>
    </row>
    <row r="43" spans="1:70" x14ac:dyDescent="0.35">
      <c r="A43" s="8" t="s">
        <v>0</v>
      </c>
      <c r="B43" s="9" t="s">
        <v>37</v>
      </c>
      <c r="C43" s="10" t="s">
        <v>619</v>
      </c>
      <c r="D43" s="34">
        <f t="shared" si="2"/>
        <v>33</v>
      </c>
      <c r="E43" s="9">
        <v>0</v>
      </c>
      <c r="F43" s="9">
        <v>0</v>
      </c>
      <c r="G43" s="9">
        <v>0</v>
      </c>
      <c r="H43" s="9">
        <v>0</v>
      </c>
      <c r="I43" s="9">
        <v>0</v>
      </c>
      <c r="J43" s="9">
        <v>0</v>
      </c>
      <c r="K43" s="9">
        <v>0</v>
      </c>
      <c r="L43" s="9">
        <v>0</v>
      </c>
      <c r="M43" s="9">
        <v>0</v>
      </c>
      <c r="N43" s="9">
        <v>0</v>
      </c>
      <c r="O43" s="9">
        <v>0</v>
      </c>
      <c r="P43" s="9">
        <v>0</v>
      </c>
      <c r="Q43" s="9">
        <v>0</v>
      </c>
      <c r="R43" s="9">
        <v>0</v>
      </c>
      <c r="S43" s="9">
        <v>1</v>
      </c>
      <c r="T43" s="9">
        <v>1</v>
      </c>
      <c r="U43" s="9">
        <v>1</v>
      </c>
      <c r="V43" s="9">
        <v>1</v>
      </c>
      <c r="W43" s="9">
        <v>1</v>
      </c>
      <c r="X43" s="9">
        <v>1</v>
      </c>
      <c r="Y43" s="9">
        <v>3</v>
      </c>
      <c r="Z43" s="9">
        <v>4</v>
      </c>
      <c r="AA43" s="9">
        <v>3</v>
      </c>
      <c r="AB43" s="9">
        <v>2</v>
      </c>
      <c r="AC43" s="9">
        <v>2</v>
      </c>
      <c r="AD43" s="9">
        <v>3</v>
      </c>
      <c r="AE43" s="9">
        <v>3</v>
      </c>
      <c r="AF43" s="9">
        <v>2</v>
      </c>
      <c r="AG43" s="9">
        <v>3</v>
      </c>
      <c r="AH43" s="9">
        <v>3</v>
      </c>
      <c r="AI43" s="9">
        <v>3</v>
      </c>
      <c r="AJ43" s="9">
        <v>4</v>
      </c>
      <c r="AK43" s="9">
        <v>4</v>
      </c>
      <c r="AL43" s="9">
        <v>3</v>
      </c>
      <c r="AM43" s="9">
        <v>3</v>
      </c>
      <c r="AN43" s="9">
        <v>3</v>
      </c>
      <c r="AO43" s="9">
        <v>8</v>
      </c>
      <c r="AP43" s="9">
        <v>7</v>
      </c>
      <c r="AQ43" s="9">
        <v>7</v>
      </c>
      <c r="AR43" s="9">
        <v>7</v>
      </c>
      <c r="AS43" s="9">
        <v>7</v>
      </c>
      <c r="AT43" s="9">
        <v>6</v>
      </c>
      <c r="AU43" s="9">
        <v>10</v>
      </c>
      <c r="AV43" s="9">
        <v>9</v>
      </c>
      <c r="AW43" s="9">
        <v>11</v>
      </c>
      <c r="AX43" s="9">
        <v>13</v>
      </c>
      <c r="AY43" s="9">
        <v>13</v>
      </c>
      <c r="AZ43" s="9">
        <v>13</v>
      </c>
      <c r="BA43" s="9">
        <v>14</v>
      </c>
      <c r="BB43" s="9">
        <v>14</v>
      </c>
      <c r="BC43" s="9">
        <v>14</v>
      </c>
      <c r="BD43" s="9">
        <v>15</v>
      </c>
      <c r="BE43" s="9">
        <v>17</v>
      </c>
      <c r="BF43" s="9">
        <v>18</v>
      </c>
      <c r="BG43" s="9">
        <v>18</v>
      </c>
      <c r="BH43" s="9">
        <v>18</v>
      </c>
      <c r="BI43" s="9">
        <v>20</v>
      </c>
      <c r="BJ43" s="9">
        <v>20</v>
      </c>
      <c r="BK43" s="9">
        <v>21</v>
      </c>
      <c r="BL43" s="9">
        <v>24</v>
      </c>
      <c r="BM43" s="9">
        <v>25</v>
      </c>
      <c r="BN43" s="9">
        <v>31</v>
      </c>
      <c r="BO43" s="9">
        <v>30</v>
      </c>
      <c r="BP43" s="10">
        <v>29</v>
      </c>
      <c r="BQ43">
        <v>29</v>
      </c>
      <c r="BR43">
        <v>33</v>
      </c>
    </row>
    <row r="44" spans="1:70" x14ac:dyDescent="0.35">
      <c r="A44" s="8" t="s">
        <v>0</v>
      </c>
      <c r="B44" s="9" t="s">
        <v>39</v>
      </c>
      <c r="C44" s="10" t="s">
        <v>620</v>
      </c>
      <c r="D44" s="34">
        <f t="shared" si="2"/>
        <v>17</v>
      </c>
      <c r="E44" s="9">
        <v>0</v>
      </c>
      <c r="F44" s="9">
        <v>0</v>
      </c>
      <c r="G44" s="9">
        <v>0</v>
      </c>
      <c r="H44" s="9">
        <v>1</v>
      </c>
      <c r="I44" s="9">
        <v>1</v>
      </c>
      <c r="J44" s="9">
        <v>1</v>
      </c>
      <c r="K44" s="9">
        <v>1</v>
      </c>
      <c r="L44" s="9">
        <v>1</v>
      </c>
      <c r="M44" s="9">
        <v>1</v>
      </c>
      <c r="N44" s="9">
        <v>1</v>
      </c>
      <c r="O44" s="9">
        <v>1</v>
      </c>
      <c r="P44" s="9">
        <v>1</v>
      </c>
      <c r="Q44" s="9">
        <v>1</v>
      </c>
      <c r="R44" s="9">
        <v>1</v>
      </c>
      <c r="S44" s="9">
        <v>1</v>
      </c>
      <c r="T44" s="9">
        <v>1</v>
      </c>
      <c r="U44" s="9">
        <v>1</v>
      </c>
      <c r="V44" s="9">
        <v>2</v>
      </c>
      <c r="W44" s="9">
        <v>2</v>
      </c>
      <c r="X44" s="9">
        <v>2</v>
      </c>
      <c r="Y44" s="9">
        <v>2</v>
      </c>
      <c r="Z44" s="9">
        <v>1</v>
      </c>
      <c r="AA44" s="9">
        <v>2</v>
      </c>
      <c r="AB44" s="9">
        <v>2</v>
      </c>
      <c r="AC44" s="9">
        <v>2</v>
      </c>
      <c r="AD44" s="9">
        <v>4</v>
      </c>
      <c r="AE44" s="9">
        <v>3</v>
      </c>
      <c r="AF44" s="9">
        <v>3</v>
      </c>
      <c r="AG44" s="9">
        <v>2</v>
      </c>
      <c r="AH44" s="9">
        <v>2</v>
      </c>
      <c r="AI44" s="9">
        <v>2</v>
      </c>
      <c r="AJ44" s="9">
        <v>3</v>
      </c>
      <c r="AK44" s="9">
        <v>4</v>
      </c>
      <c r="AL44" s="9">
        <v>4</v>
      </c>
      <c r="AM44" s="9">
        <v>5</v>
      </c>
      <c r="AN44" s="9">
        <v>4</v>
      </c>
      <c r="AO44" s="9">
        <v>2</v>
      </c>
      <c r="AP44" s="9">
        <v>2</v>
      </c>
      <c r="AQ44" s="9">
        <v>3</v>
      </c>
      <c r="AR44" s="9">
        <v>3</v>
      </c>
      <c r="AS44" s="9">
        <v>3</v>
      </c>
      <c r="AT44" s="9">
        <v>3</v>
      </c>
      <c r="AU44" s="9">
        <v>3</v>
      </c>
      <c r="AV44" s="9">
        <v>3</v>
      </c>
      <c r="AW44" s="9">
        <v>3</v>
      </c>
      <c r="AX44" s="9">
        <v>4</v>
      </c>
      <c r="AY44" s="9">
        <v>4</v>
      </c>
      <c r="AZ44" s="9">
        <v>5</v>
      </c>
      <c r="BA44" s="9">
        <v>5</v>
      </c>
      <c r="BB44" s="9">
        <v>5</v>
      </c>
      <c r="BC44" s="9">
        <v>6</v>
      </c>
      <c r="BD44" s="9">
        <v>6</v>
      </c>
      <c r="BE44" s="9">
        <v>5</v>
      </c>
      <c r="BF44" s="9">
        <v>5</v>
      </c>
      <c r="BG44" s="9">
        <v>7</v>
      </c>
      <c r="BH44" s="9">
        <v>6</v>
      </c>
      <c r="BI44" s="9">
        <v>9</v>
      </c>
      <c r="BJ44" s="9">
        <v>10</v>
      </c>
      <c r="BK44" s="9">
        <v>9</v>
      </c>
      <c r="BL44" s="9">
        <v>10</v>
      </c>
      <c r="BM44" s="9">
        <v>10</v>
      </c>
      <c r="BN44" s="9">
        <v>10</v>
      </c>
      <c r="BO44" s="9">
        <v>14</v>
      </c>
      <c r="BP44" s="10">
        <v>17</v>
      </c>
      <c r="BQ44">
        <v>17</v>
      </c>
      <c r="BR44">
        <v>15</v>
      </c>
    </row>
    <row r="45" spans="1:70" x14ac:dyDescent="0.35">
      <c r="A45" s="8" t="s">
        <v>0</v>
      </c>
      <c r="B45" s="9" t="s">
        <v>41</v>
      </c>
      <c r="C45" s="10" t="s">
        <v>621</v>
      </c>
      <c r="D45" s="34">
        <f t="shared" si="2"/>
        <v>83</v>
      </c>
      <c r="E45" s="9">
        <v>1</v>
      </c>
      <c r="F45" s="9">
        <v>0</v>
      </c>
      <c r="G45" s="9">
        <v>0</v>
      </c>
      <c r="H45" s="9">
        <v>0</v>
      </c>
      <c r="I45" s="9">
        <v>0</v>
      </c>
      <c r="J45" s="9">
        <v>0</v>
      </c>
      <c r="K45" s="9">
        <v>0</v>
      </c>
      <c r="L45" s="9">
        <v>0</v>
      </c>
      <c r="M45" s="9">
        <v>0</v>
      </c>
      <c r="N45" s="9">
        <v>0</v>
      </c>
      <c r="O45" s="9">
        <v>0</v>
      </c>
      <c r="P45" s="9">
        <v>0</v>
      </c>
      <c r="Q45" s="9">
        <v>0</v>
      </c>
      <c r="R45" s="9">
        <v>0</v>
      </c>
      <c r="S45" s="9">
        <v>1</v>
      </c>
      <c r="T45" s="9">
        <v>1</v>
      </c>
      <c r="U45" s="9">
        <v>2</v>
      </c>
      <c r="V45" s="9">
        <v>2</v>
      </c>
      <c r="W45" s="9">
        <v>1</v>
      </c>
      <c r="X45" s="9">
        <v>1</v>
      </c>
      <c r="Y45" s="9">
        <v>2</v>
      </c>
      <c r="Z45" s="9">
        <v>2</v>
      </c>
      <c r="AA45" s="9">
        <v>0</v>
      </c>
      <c r="AB45" s="9">
        <v>0</v>
      </c>
      <c r="AC45" s="9">
        <v>2</v>
      </c>
      <c r="AD45" s="9">
        <v>2</v>
      </c>
      <c r="AE45" s="9">
        <v>4</v>
      </c>
      <c r="AF45" s="9">
        <v>5</v>
      </c>
      <c r="AG45" s="9">
        <v>6</v>
      </c>
      <c r="AH45" s="9">
        <v>5</v>
      </c>
      <c r="AI45" s="9">
        <v>3</v>
      </c>
      <c r="AJ45" s="9">
        <v>4</v>
      </c>
      <c r="AK45" s="9">
        <v>3</v>
      </c>
      <c r="AL45" s="9">
        <v>3</v>
      </c>
      <c r="AM45" s="9">
        <v>5</v>
      </c>
      <c r="AN45" s="9">
        <v>13</v>
      </c>
      <c r="AO45" s="9">
        <v>15</v>
      </c>
      <c r="AP45" s="9">
        <v>16</v>
      </c>
      <c r="AQ45" s="9">
        <v>17</v>
      </c>
      <c r="AR45" s="9">
        <v>14</v>
      </c>
      <c r="AS45" s="9">
        <v>19</v>
      </c>
      <c r="AT45" s="9">
        <v>20</v>
      </c>
      <c r="AU45" s="9">
        <v>16</v>
      </c>
      <c r="AV45" s="9">
        <v>17</v>
      </c>
      <c r="AW45" s="9">
        <v>28</v>
      </c>
      <c r="AX45" s="9">
        <v>23</v>
      </c>
      <c r="AY45" s="9">
        <v>32</v>
      </c>
      <c r="AZ45" s="9">
        <v>26</v>
      </c>
      <c r="BA45" s="9">
        <v>34</v>
      </c>
      <c r="BB45" s="9">
        <v>38</v>
      </c>
      <c r="BC45" s="9">
        <v>36</v>
      </c>
      <c r="BD45" s="9">
        <v>57</v>
      </c>
      <c r="BE45" s="9">
        <v>52</v>
      </c>
      <c r="BF45" s="9">
        <v>53</v>
      </c>
      <c r="BG45" s="9">
        <v>56</v>
      </c>
      <c r="BH45" s="9">
        <v>53</v>
      </c>
      <c r="BI45" s="9">
        <v>63</v>
      </c>
      <c r="BJ45" s="9">
        <v>67</v>
      </c>
      <c r="BK45" s="9">
        <v>71</v>
      </c>
      <c r="BL45" s="9">
        <v>75</v>
      </c>
      <c r="BM45" s="9">
        <v>64</v>
      </c>
      <c r="BN45" s="9">
        <v>62</v>
      </c>
      <c r="BO45" s="9">
        <v>62</v>
      </c>
      <c r="BP45" s="10">
        <v>72</v>
      </c>
      <c r="BQ45">
        <v>81</v>
      </c>
      <c r="BR45">
        <v>83</v>
      </c>
    </row>
    <row r="46" spans="1:70" x14ac:dyDescent="0.35">
      <c r="A46" s="8" t="s">
        <v>0</v>
      </c>
      <c r="B46" s="9" t="s">
        <v>43</v>
      </c>
      <c r="C46" s="10" t="s">
        <v>622</v>
      </c>
      <c r="D46" s="34">
        <f t="shared" si="2"/>
        <v>6</v>
      </c>
      <c r="E46" s="9">
        <v>0</v>
      </c>
      <c r="F46" s="9">
        <v>0</v>
      </c>
      <c r="G46" s="9">
        <v>0</v>
      </c>
      <c r="H46" s="9">
        <v>0</v>
      </c>
      <c r="I46" s="9">
        <v>0</v>
      </c>
      <c r="J46" s="9">
        <v>0</v>
      </c>
      <c r="K46" s="9">
        <v>0</v>
      </c>
      <c r="L46" s="9">
        <v>0</v>
      </c>
      <c r="M46" s="9">
        <v>1</v>
      </c>
      <c r="N46" s="9">
        <v>1</v>
      </c>
      <c r="O46" s="9">
        <v>0</v>
      </c>
      <c r="P46" s="9">
        <v>0</v>
      </c>
      <c r="Q46" s="9">
        <v>0</v>
      </c>
      <c r="R46" s="9">
        <v>0</v>
      </c>
      <c r="S46" s="9">
        <v>0</v>
      </c>
      <c r="T46" s="9">
        <v>0</v>
      </c>
      <c r="U46" s="9">
        <v>0</v>
      </c>
      <c r="V46" s="9">
        <v>0</v>
      </c>
      <c r="W46" s="9">
        <v>0</v>
      </c>
      <c r="X46" s="9">
        <v>0</v>
      </c>
      <c r="Y46" s="9">
        <v>0</v>
      </c>
      <c r="Z46" s="9">
        <v>0</v>
      </c>
      <c r="AA46" s="9">
        <v>0</v>
      </c>
      <c r="AB46" s="9">
        <v>0</v>
      </c>
      <c r="AC46" s="9">
        <v>0</v>
      </c>
      <c r="AD46" s="9">
        <v>0</v>
      </c>
      <c r="AE46" s="9">
        <v>0</v>
      </c>
      <c r="AF46" s="9">
        <v>1</v>
      </c>
      <c r="AG46" s="9">
        <v>1</v>
      </c>
      <c r="AH46" s="9">
        <v>1</v>
      </c>
      <c r="AI46" s="9">
        <v>1</v>
      </c>
      <c r="AJ46" s="9">
        <v>1</v>
      </c>
      <c r="AK46" s="9">
        <v>1</v>
      </c>
      <c r="AL46" s="9">
        <v>1</v>
      </c>
      <c r="AM46" s="9">
        <v>1</v>
      </c>
      <c r="AN46" s="9">
        <v>1</v>
      </c>
      <c r="AO46" s="9">
        <v>1</v>
      </c>
      <c r="AP46" s="9">
        <v>2</v>
      </c>
      <c r="AQ46" s="9">
        <v>2</v>
      </c>
      <c r="AR46" s="9">
        <v>2</v>
      </c>
      <c r="AS46" s="9">
        <v>2</v>
      </c>
      <c r="AT46" s="9">
        <v>2</v>
      </c>
      <c r="AU46" s="9">
        <v>3</v>
      </c>
      <c r="AV46" s="9">
        <v>3</v>
      </c>
      <c r="AW46" s="9">
        <v>3</v>
      </c>
      <c r="AX46" s="9">
        <v>3</v>
      </c>
      <c r="AY46" s="9">
        <v>4</v>
      </c>
      <c r="AZ46" s="9">
        <v>4</v>
      </c>
      <c r="BA46" s="9">
        <v>4</v>
      </c>
      <c r="BB46" s="9">
        <v>5</v>
      </c>
      <c r="BC46" s="9">
        <v>5</v>
      </c>
      <c r="BD46" s="9">
        <v>5</v>
      </c>
      <c r="BE46" s="9">
        <v>5</v>
      </c>
      <c r="BF46" s="9">
        <v>5</v>
      </c>
      <c r="BG46" s="9">
        <v>5</v>
      </c>
      <c r="BH46" s="9">
        <v>4</v>
      </c>
      <c r="BI46" s="9">
        <v>4</v>
      </c>
      <c r="BJ46" s="9">
        <v>4</v>
      </c>
      <c r="BK46" s="9">
        <v>4</v>
      </c>
      <c r="BL46" s="9">
        <v>4</v>
      </c>
      <c r="BM46" s="9">
        <v>4</v>
      </c>
      <c r="BN46" s="9">
        <v>5</v>
      </c>
      <c r="BO46" s="9">
        <v>5</v>
      </c>
      <c r="BP46" s="10">
        <v>5</v>
      </c>
      <c r="BQ46">
        <v>5</v>
      </c>
      <c r="BR46">
        <v>6</v>
      </c>
    </row>
    <row r="47" spans="1:70" x14ac:dyDescent="0.35">
      <c r="A47" s="8" t="s">
        <v>0</v>
      </c>
      <c r="B47" s="9" t="s">
        <v>45</v>
      </c>
      <c r="C47" s="10" t="s">
        <v>623</v>
      </c>
      <c r="D47" s="34">
        <f t="shared" si="2"/>
        <v>60</v>
      </c>
      <c r="E47" s="9">
        <v>4</v>
      </c>
      <c r="F47" s="9">
        <v>4</v>
      </c>
      <c r="G47" s="9">
        <v>3</v>
      </c>
      <c r="H47" s="9">
        <v>4</v>
      </c>
      <c r="I47" s="9">
        <v>4</v>
      </c>
      <c r="J47" s="9">
        <v>4</v>
      </c>
      <c r="K47" s="9">
        <v>3</v>
      </c>
      <c r="L47" s="9">
        <v>3</v>
      </c>
      <c r="M47" s="9">
        <v>4</v>
      </c>
      <c r="N47" s="9">
        <v>3</v>
      </c>
      <c r="O47" s="9">
        <v>3</v>
      </c>
      <c r="P47" s="9">
        <v>3</v>
      </c>
      <c r="Q47" s="9">
        <v>2</v>
      </c>
      <c r="R47" s="9">
        <v>2</v>
      </c>
      <c r="S47" s="9">
        <v>2</v>
      </c>
      <c r="T47" s="9">
        <v>2</v>
      </c>
      <c r="U47" s="9">
        <v>4</v>
      </c>
      <c r="V47" s="9">
        <v>5</v>
      </c>
      <c r="W47" s="9">
        <v>7</v>
      </c>
      <c r="X47" s="9">
        <v>7</v>
      </c>
      <c r="Y47" s="9">
        <v>6</v>
      </c>
      <c r="Z47" s="9">
        <v>4</v>
      </c>
      <c r="AA47" s="9">
        <v>3</v>
      </c>
      <c r="AB47" s="9">
        <v>4</v>
      </c>
      <c r="AC47" s="9">
        <v>2</v>
      </c>
      <c r="AD47" s="9">
        <v>3</v>
      </c>
      <c r="AE47" s="9">
        <v>3</v>
      </c>
      <c r="AF47" s="9">
        <v>2</v>
      </c>
      <c r="AG47" s="9">
        <v>4</v>
      </c>
      <c r="AH47" s="9">
        <v>3</v>
      </c>
      <c r="AI47" s="9">
        <v>5</v>
      </c>
      <c r="AJ47" s="9">
        <v>6</v>
      </c>
      <c r="AK47" s="9">
        <v>7</v>
      </c>
      <c r="AL47" s="9">
        <v>7</v>
      </c>
      <c r="AM47" s="9">
        <v>8</v>
      </c>
      <c r="AN47" s="9">
        <v>8</v>
      </c>
      <c r="AO47" s="9">
        <v>6</v>
      </c>
      <c r="AP47" s="9">
        <v>8</v>
      </c>
      <c r="AQ47" s="9">
        <v>8</v>
      </c>
      <c r="AR47" s="9">
        <v>6</v>
      </c>
      <c r="AS47" s="9">
        <v>5</v>
      </c>
      <c r="AT47" s="9">
        <v>6</v>
      </c>
      <c r="AU47" s="9">
        <v>8</v>
      </c>
      <c r="AV47" s="9">
        <v>8</v>
      </c>
      <c r="AW47" s="9">
        <v>13</v>
      </c>
      <c r="AX47" s="9">
        <v>13</v>
      </c>
      <c r="AY47" s="9">
        <v>15</v>
      </c>
      <c r="AZ47" s="9">
        <v>16</v>
      </c>
      <c r="BA47" s="9">
        <v>21</v>
      </c>
      <c r="BB47" s="9">
        <v>23</v>
      </c>
      <c r="BC47" s="9">
        <v>24</v>
      </c>
      <c r="BD47" s="9">
        <v>22</v>
      </c>
      <c r="BE47" s="9">
        <v>20</v>
      </c>
      <c r="BF47" s="9">
        <v>20</v>
      </c>
      <c r="BG47" s="9">
        <v>20</v>
      </c>
      <c r="BH47" s="9">
        <v>20</v>
      </c>
      <c r="BI47" s="9">
        <v>22</v>
      </c>
      <c r="BJ47" s="9">
        <v>24</v>
      </c>
      <c r="BK47" s="9">
        <v>26</v>
      </c>
      <c r="BL47" s="9">
        <v>36</v>
      </c>
      <c r="BM47" s="9">
        <v>37</v>
      </c>
      <c r="BN47" s="9">
        <v>43</v>
      </c>
      <c r="BO47" s="9">
        <v>50</v>
      </c>
      <c r="BP47" s="10">
        <v>50</v>
      </c>
      <c r="BQ47">
        <v>50</v>
      </c>
      <c r="BR47">
        <v>60</v>
      </c>
    </row>
    <row r="48" spans="1:70" x14ac:dyDescent="0.35">
      <c r="A48" s="8" t="s">
        <v>0</v>
      </c>
      <c r="B48" s="9" t="s">
        <v>47</v>
      </c>
      <c r="C48" s="10" t="s">
        <v>624</v>
      </c>
      <c r="D48" s="34">
        <f t="shared" si="2"/>
        <v>46</v>
      </c>
      <c r="E48" s="9">
        <v>2</v>
      </c>
      <c r="F48" s="9">
        <v>2</v>
      </c>
      <c r="G48" s="9">
        <v>2</v>
      </c>
      <c r="H48" s="9">
        <v>2</v>
      </c>
      <c r="I48" s="9">
        <v>2</v>
      </c>
      <c r="J48" s="9">
        <v>2</v>
      </c>
      <c r="K48" s="9">
        <v>2</v>
      </c>
      <c r="L48" s="9">
        <v>2</v>
      </c>
      <c r="M48" s="9">
        <v>2</v>
      </c>
      <c r="N48" s="9">
        <v>2</v>
      </c>
      <c r="O48" s="9">
        <v>1</v>
      </c>
      <c r="P48" s="9">
        <v>0</v>
      </c>
      <c r="Q48" s="9">
        <v>0</v>
      </c>
      <c r="R48" s="9">
        <v>2</v>
      </c>
      <c r="S48" s="9">
        <v>2</v>
      </c>
      <c r="T48" s="9">
        <v>2</v>
      </c>
      <c r="U48" s="9">
        <v>2</v>
      </c>
      <c r="V48" s="9">
        <v>0</v>
      </c>
      <c r="W48" s="9">
        <v>0</v>
      </c>
      <c r="X48" s="9">
        <v>0</v>
      </c>
      <c r="Y48" s="9">
        <v>0</v>
      </c>
      <c r="Z48" s="9">
        <v>0</v>
      </c>
      <c r="AA48" s="9">
        <v>0</v>
      </c>
      <c r="AB48" s="9">
        <v>0</v>
      </c>
      <c r="AC48" s="9">
        <v>0</v>
      </c>
      <c r="AD48" s="9">
        <v>1</v>
      </c>
      <c r="AE48" s="9">
        <v>2</v>
      </c>
      <c r="AF48" s="9">
        <v>4</v>
      </c>
      <c r="AG48" s="9">
        <v>3</v>
      </c>
      <c r="AH48" s="9">
        <v>2</v>
      </c>
      <c r="AI48" s="9">
        <v>2</v>
      </c>
      <c r="AJ48" s="9">
        <v>2</v>
      </c>
      <c r="AK48" s="9">
        <v>2</v>
      </c>
      <c r="AL48" s="9">
        <v>2</v>
      </c>
      <c r="AM48" s="9">
        <v>3</v>
      </c>
      <c r="AN48" s="9">
        <v>3</v>
      </c>
      <c r="AO48" s="9">
        <v>5</v>
      </c>
      <c r="AP48" s="9">
        <v>6</v>
      </c>
      <c r="AQ48" s="9">
        <v>11</v>
      </c>
      <c r="AR48" s="9">
        <v>12</v>
      </c>
      <c r="AS48" s="9">
        <v>11</v>
      </c>
      <c r="AT48" s="9">
        <v>12</v>
      </c>
      <c r="AU48" s="9">
        <v>13</v>
      </c>
      <c r="AV48" s="9">
        <v>14</v>
      </c>
      <c r="AW48" s="9">
        <v>15</v>
      </c>
      <c r="AX48" s="9">
        <v>13</v>
      </c>
      <c r="AY48" s="9">
        <v>15</v>
      </c>
      <c r="AZ48" s="9">
        <v>12</v>
      </c>
      <c r="BA48" s="9">
        <v>13</v>
      </c>
      <c r="BB48" s="9">
        <v>12</v>
      </c>
      <c r="BC48" s="9">
        <v>16</v>
      </c>
      <c r="BD48" s="9">
        <v>17</v>
      </c>
      <c r="BE48" s="9">
        <v>18</v>
      </c>
      <c r="BF48" s="9">
        <v>21</v>
      </c>
      <c r="BG48" s="9">
        <v>30</v>
      </c>
      <c r="BH48" s="9">
        <v>28</v>
      </c>
      <c r="BI48" s="9">
        <v>34</v>
      </c>
      <c r="BJ48" s="9">
        <v>36</v>
      </c>
      <c r="BK48" s="9">
        <v>35</v>
      </c>
      <c r="BL48" s="9">
        <v>39</v>
      </c>
      <c r="BM48" s="9">
        <v>41</v>
      </c>
      <c r="BN48" s="9">
        <v>45</v>
      </c>
      <c r="BO48" s="9">
        <v>45</v>
      </c>
      <c r="BP48" s="10">
        <v>46</v>
      </c>
      <c r="BQ48">
        <v>45</v>
      </c>
      <c r="BR48">
        <v>46</v>
      </c>
    </row>
    <row r="49" spans="1:70" x14ac:dyDescent="0.35">
      <c r="A49" s="8" t="s">
        <v>0</v>
      </c>
      <c r="B49" s="9" t="s">
        <v>49</v>
      </c>
      <c r="C49" s="10" t="s">
        <v>625</v>
      </c>
      <c r="D49" s="34">
        <f t="shared" si="2"/>
        <v>11</v>
      </c>
      <c r="E49" s="9">
        <v>2</v>
      </c>
      <c r="F49" s="9">
        <v>3</v>
      </c>
      <c r="G49" s="9">
        <v>3</v>
      </c>
      <c r="H49" s="9">
        <v>2</v>
      </c>
      <c r="I49" s="9">
        <v>1</v>
      </c>
      <c r="J49" s="9">
        <v>2</v>
      </c>
      <c r="K49" s="9">
        <v>4</v>
      </c>
      <c r="L49" s="9">
        <v>3</v>
      </c>
      <c r="M49" s="9">
        <v>3</v>
      </c>
      <c r="N49" s="9">
        <v>3</v>
      </c>
      <c r="O49" s="9">
        <v>2</v>
      </c>
      <c r="P49" s="9">
        <v>2</v>
      </c>
      <c r="Q49" s="9">
        <v>1</v>
      </c>
      <c r="R49" s="9">
        <v>2</v>
      </c>
      <c r="S49" s="9">
        <v>2</v>
      </c>
      <c r="T49" s="9">
        <v>1</v>
      </c>
      <c r="U49" s="9">
        <v>0</v>
      </c>
      <c r="V49" s="9">
        <v>0</v>
      </c>
      <c r="W49" s="9">
        <v>1</v>
      </c>
      <c r="X49" s="9">
        <v>2</v>
      </c>
      <c r="Y49" s="9">
        <v>2</v>
      </c>
      <c r="Z49" s="9">
        <v>2</v>
      </c>
      <c r="AA49" s="9">
        <v>1</v>
      </c>
      <c r="AB49" s="9">
        <v>2</v>
      </c>
      <c r="AC49" s="9">
        <v>2</v>
      </c>
      <c r="AD49" s="9">
        <v>1</v>
      </c>
      <c r="AE49" s="9">
        <v>1</v>
      </c>
      <c r="AF49" s="9">
        <v>1</v>
      </c>
      <c r="AG49" s="9">
        <v>1</v>
      </c>
      <c r="AH49" s="9">
        <v>0</v>
      </c>
      <c r="AI49" s="9">
        <v>1</v>
      </c>
      <c r="AJ49" s="9">
        <v>1</v>
      </c>
      <c r="AK49" s="9">
        <v>1</v>
      </c>
      <c r="AL49" s="9">
        <v>1</v>
      </c>
      <c r="AM49" s="9">
        <v>1</v>
      </c>
      <c r="AN49" s="9">
        <v>1</v>
      </c>
      <c r="AO49" s="9">
        <v>1</v>
      </c>
      <c r="AP49" s="9">
        <v>1</v>
      </c>
      <c r="AQ49" s="9">
        <v>2</v>
      </c>
      <c r="AR49" s="9">
        <v>2</v>
      </c>
      <c r="AS49" s="9">
        <v>3</v>
      </c>
      <c r="AT49" s="9">
        <v>5</v>
      </c>
      <c r="AU49" s="9">
        <v>5</v>
      </c>
      <c r="AV49" s="9">
        <v>5</v>
      </c>
      <c r="AW49" s="9">
        <v>5</v>
      </c>
      <c r="AX49" s="9">
        <v>4</v>
      </c>
      <c r="AY49" s="9">
        <v>5</v>
      </c>
      <c r="AZ49" s="9">
        <v>4</v>
      </c>
      <c r="BA49" s="9">
        <v>6</v>
      </c>
      <c r="BB49" s="9">
        <v>7</v>
      </c>
      <c r="BC49" s="9">
        <v>6</v>
      </c>
      <c r="BD49" s="9">
        <v>5</v>
      </c>
      <c r="BE49" s="9">
        <v>5</v>
      </c>
      <c r="BF49" s="9">
        <v>8</v>
      </c>
      <c r="BG49" s="9">
        <v>9</v>
      </c>
      <c r="BH49" s="9">
        <v>11</v>
      </c>
      <c r="BI49" s="9">
        <v>9</v>
      </c>
      <c r="BJ49" s="9">
        <v>8</v>
      </c>
      <c r="BK49" s="9">
        <v>8</v>
      </c>
      <c r="BL49" s="9">
        <v>8</v>
      </c>
      <c r="BM49" s="9">
        <v>10</v>
      </c>
      <c r="BN49" s="9">
        <v>11</v>
      </c>
      <c r="BO49" s="9">
        <v>11</v>
      </c>
      <c r="BP49" s="10">
        <v>11</v>
      </c>
      <c r="BQ49">
        <v>10</v>
      </c>
      <c r="BR49">
        <v>9</v>
      </c>
    </row>
    <row r="50" spans="1:70" x14ac:dyDescent="0.35">
      <c r="A50" s="8" t="s">
        <v>0</v>
      </c>
      <c r="B50" s="9" t="s">
        <v>51</v>
      </c>
      <c r="C50" s="10" t="s">
        <v>626</v>
      </c>
      <c r="D50" s="34">
        <f t="shared" si="2"/>
        <v>14</v>
      </c>
      <c r="E50" s="9">
        <v>0</v>
      </c>
      <c r="F50" s="9">
        <v>0</v>
      </c>
      <c r="G50" s="9">
        <v>1</v>
      </c>
      <c r="H50" s="9">
        <v>0</v>
      </c>
      <c r="I50" s="9">
        <v>0</v>
      </c>
      <c r="J50" s="9">
        <v>0</v>
      </c>
      <c r="K50" s="9">
        <v>0</v>
      </c>
      <c r="L50" s="9">
        <v>0</v>
      </c>
      <c r="M50" s="9">
        <v>0</v>
      </c>
      <c r="N50" s="9">
        <v>0</v>
      </c>
      <c r="O50" s="9">
        <v>1</v>
      </c>
      <c r="P50" s="9">
        <v>0</v>
      </c>
      <c r="Q50" s="9">
        <v>0</v>
      </c>
      <c r="R50" s="9">
        <v>1</v>
      </c>
      <c r="S50" s="9">
        <v>0</v>
      </c>
      <c r="T50" s="9">
        <v>0</v>
      </c>
      <c r="U50" s="9">
        <v>0</v>
      </c>
      <c r="V50" s="9">
        <v>0</v>
      </c>
      <c r="W50" s="9">
        <v>0</v>
      </c>
      <c r="X50" s="9">
        <v>0</v>
      </c>
      <c r="Y50" s="9">
        <v>0</v>
      </c>
      <c r="Z50" s="9">
        <v>2</v>
      </c>
      <c r="AA50" s="9">
        <v>2</v>
      </c>
      <c r="AB50" s="9">
        <v>3</v>
      </c>
      <c r="AC50" s="9">
        <v>3</v>
      </c>
      <c r="AD50" s="9">
        <v>4</v>
      </c>
      <c r="AE50" s="9">
        <v>4</v>
      </c>
      <c r="AF50" s="9">
        <v>6</v>
      </c>
      <c r="AG50" s="9">
        <v>5</v>
      </c>
      <c r="AH50" s="9">
        <v>6</v>
      </c>
      <c r="AI50" s="9">
        <v>10</v>
      </c>
      <c r="AJ50" s="9">
        <v>11</v>
      </c>
      <c r="AK50" s="9">
        <v>9</v>
      </c>
      <c r="AL50" s="9">
        <v>8</v>
      </c>
      <c r="AM50" s="9">
        <v>9</v>
      </c>
      <c r="AN50" s="9">
        <v>11</v>
      </c>
      <c r="AO50" s="9">
        <v>11</v>
      </c>
      <c r="AP50" s="9">
        <v>11</v>
      </c>
      <c r="AQ50" s="9">
        <v>10</v>
      </c>
      <c r="AR50" s="9">
        <v>9</v>
      </c>
      <c r="AS50" s="9">
        <v>9</v>
      </c>
      <c r="AT50" s="9">
        <v>7</v>
      </c>
      <c r="AU50" s="9">
        <v>9</v>
      </c>
      <c r="AV50" s="9">
        <v>10</v>
      </c>
      <c r="AW50" s="9">
        <v>6</v>
      </c>
      <c r="AX50" s="9">
        <v>7</v>
      </c>
      <c r="AY50" s="9">
        <v>7</v>
      </c>
      <c r="AZ50" s="9">
        <v>8</v>
      </c>
      <c r="BA50" s="9">
        <v>7</v>
      </c>
      <c r="BB50" s="9">
        <v>9</v>
      </c>
      <c r="BC50" s="9">
        <v>9</v>
      </c>
      <c r="BD50" s="9">
        <v>8</v>
      </c>
      <c r="BE50" s="9">
        <v>5</v>
      </c>
      <c r="BF50" s="9">
        <v>6</v>
      </c>
      <c r="BG50" s="9">
        <v>12</v>
      </c>
      <c r="BH50" s="9">
        <v>12</v>
      </c>
      <c r="BI50" s="9">
        <v>12</v>
      </c>
      <c r="BJ50" s="9">
        <v>12</v>
      </c>
      <c r="BK50" s="9">
        <v>14</v>
      </c>
      <c r="BL50" s="9">
        <v>14</v>
      </c>
      <c r="BM50" s="9">
        <v>10</v>
      </c>
      <c r="BN50" s="9">
        <v>10</v>
      </c>
      <c r="BO50" s="9">
        <v>11</v>
      </c>
      <c r="BP50" s="10">
        <v>14</v>
      </c>
      <c r="BQ50">
        <v>14</v>
      </c>
      <c r="BR50">
        <v>14</v>
      </c>
    </row>
    <row r="51" spans="1:70" x14ac:dyDescent="0.35">
      <c r="A51" s="8" t="s">
        <v>0</v>
      </c>
      <c r="B51" s="9" t="s">
        <v>53</v>
      </c>
      <c r="C51" s="10" t="s">
        <v>627</v>
      </c>
      <c r="D51" s="34">
        <f t="shared" si="2"/>
        <v>22</v>
      </c>
      <c r="E51" s="9">
        <v>0</v>
      </c>
      <c r="F51" s="9">
        <v>0</v>
      </c>
      <c r="G51" s="9">
        <v>0</v>
      </c>
      <c r="H51" s="9">
        <v>1</v>
      </c>
      <c r="I51" s="9">
        <v>1</v>
      </c>
      <c r="J51" s="9">
        <v>1</v>
      </c>
      <c r="K51" s="9">
        <v>2</v>
      </c>
      <c r="L51" s="9">
        <v>2</v>
      </c>
      <c r="M51" s="9">
        <v>3</v>
      </c>
      <c r="N51" s="9">
        <v>2</v>
      </c>
      <c r="O51" s="9">
        <v>2</v>
      </c>
      <c r="P51" s="9">
        <v>2</v>
      </c>
      <c r="Q51" s="9">
        <v>4</v>
      </c>
      <c r="R51" s="9">
        <v>3</v>
      </c>
      <c r="S51" s="9">
        <v>3</v>
      </c>
      <c r="T51" s="9">
        <v>2</v>
      </c>
      <c r="U51" s="9">
        <v>2</v>
      </c>
      <c r="V51" s="9">
        <v>3</v>
      </c>
      <c r="W51" s="9">
        <v>3</v>
      </c>
      <c r="X51" s="9">
        <v>2</v>
      </c>
      <c r="Y51" s="9">
        <v>1</v>
      </c>
      <c r="Z51" s="9">
        <v>1</v>
      </c>
      <c r="AA51" s="9">
        <v>1</v>
      </c>
      <c r="AB51" s="9">
        <v>1</v>
      </c>
      <c r="AC51" s="9">
        <v>1</v>
      </c>
      <c r="AD51" s="9">
        <v>0</v>
      </c>
      <c r="AE51" s="9">
        <v>1</v>
      </c>
      <c r="AF51" s="9">
        <v>2</v>
      </c>
      <c r="AG51" s="9">
        <v>2</v>
      </c>
      <c r="AH51" s="9">
        <v>1</v>
      </c>
      <c r="AI51" s="9">
        <v>1</v>
      </c>
      <c r="AJ51" s="9">
        <v>1</v>
      </c>
      <c r="AK51" s="9">
        <v>2</v>
      </c>
      <c r="AL51" s="9">
        <v>3</v>
      </c>
      <c r="AM51" s="9">
        <v>3</v>
      </c>
      <c r="AN51" s="9">
        <v>3</v>
      </c>
      <c r="AO51" s="9">
        <v>4</v>
      </c>
      <c r="AP51" s="9">
        <v>3</v>
      </c>
      <c r="AQ51" s="9">
        <v>4</v>
      </c>
      <c r="AR51" s="9">
        <v>3</v>
      </c>
      <c r="AS51" s="9">
        <v>3</v>
      </c>
      <c r="AT51" s="9">
        <v>4</v>
      </c>
      <c r="AU51" s="9">
        <v>4</v>
      </c>
      <c r="AV51" s="9">
        <v>5</v>
      </c>
      <c r="AW51" s="9">
        <v>8</v>
      </c>
      <c r="AX51" s="9">
        <v>9</v>
      </c>
      <c r="AY51" s="9">
        <v>9</v>
      </c>
      <c r="AZ51" s="9">
        <v>8</v>
      </c>
      <c r="BA51" s="9">
        <v>9</v>
      </c>
      <c r="BB51" s="9">
        <v>9</v>
      </c>
      <c r="BC51" s="9">
        <v>11</v>
      </c>
      <c r="BD51" s="9">
        <v>12</v>
      </c>
      <c r="BE51" s="9">
        <v>11</v>
      </c>
      <c r="BF51" s="9">
        <v>13</v>
      </c>
      <c r="BG51" s="9">
        <v>14</v>
      </c>
      <c r="BH51" s="9">
        <v>17</v>
      </c>
      <c r="BI51" s="9">
        <v>19</v>
      </c>
      <c r="BJ51" s="9">
        <v>18</v>
      </c>
      <c r="BK51" s="9">
        <v>16</v>
      </c>
      <c r="BL51" s="9">
        <v>12</v>
      </c>
      <c r="BM51" s="9">
        <v>9</v>
      </c>
      <c r="BN51" s="9">
        <v>9</v>
      </c>
      <c r="BO51" s="9">
        <v>12</v>
      </c>
      <c r="BP51" s="10">
        <v>12</v>
      </c>
      <c r="BQ51">
        <v>15</v>
      </c>
      <c r="BR51">
        <v>22</v>
      </c>
    </row>
    <row r="52" spans="1:70" x14ac:dyDescent="0.35">
      <c r="A52" s="8" t="s">
        <v>0</v>
      </c>
      <c r="B52" s="9" t="s">
        <v>55</v>
      </c>
      <c r="C52" s="10" t="s">
        <v>628</v>
      </c>
      <c r="D52" s="34">
        <f t="shared" si="2"/>
        <v>1</v>
      </c>
      <c r="E52" s="9">
        <v>0</v>
      </c>
      <c r="F52" s="9">
        <v>0</v>
      </c>
      <c r="G52" s="9">
        <v>0</v>
      </c>
      <c r="H52" s="9">
        <v>0</v>
      </c>
      <c r="I52" s="9">
        <v>0</v>
      </c>
      <c r="J52" s="9">
        <v>0</v>
      </c>
      <c r="K52" s="9">
        <v>0</v>
      </c>
      <c r="L52" s="9">
        <v>0</v>
      </c>
      <c r="M52" s="9">
        <v>0</v>
      </c>
      <c r="N52" s="9">
        <v>0</v>
      </c>
      <c r="O52" s="9">
        <v>0</v>
      </c>
      <c r="P52" s="9">
        <v>0</v>
      </c>
      <c r="Q52" s="9">
        <v>0</v>
      </c>
      <c r="R52" s="9">
        <v>0</v>
      </c>
      <c r="S52" s="9">
        <v>0</v>
      </c>
      <c r="T52" s="9">
        <v>0</v>
      </c>
      <c r="U52" s="9">
        <v>0</v>
      </c>
      <c r="V52" s="9">
        <v>0</v>
      </c>
      <c r="W52" s="9">
        <v>0</v>
      </c>
      <c r="X52" s="9">
        <v>0</v>
      </c>
      <c r="Y52" s="9">
        <v>0</v>
      </c>
      <c r="Z52" s="9">
        <v>0</v>
      </c>
      <c r="AA52" s="9">
        <v>0</v>
      </c>
      <c r="AB52" s="9">
        <v>0</v>
      </c>
      <c r="AC52" s="9">
        <v>0</v>
      </c>
      <c r="AD52" s="9">
        <v>0</v>
      </c>
      <c r="AE52" s="9">
        <v>0</v>
      </c>
      <c r="AF52" s="9">
        <v>0</v>
      </c>
      <c r="AG52" s="9">
        <v>0</v>
      </c>
      <c r="AH52" s="9">
        <v>0</v>
      </c>
      <c r="AI52" s="9">
        <v>0</v>
      </c>
      <c r="AJ52" s="9">
        <v>0</v>
      </c>
      <c r="AK52" s="9">
        <v>0</v>
      </c>
      <c r="AL52" s="9">
        <v>1</v>
      </c>
      <c r="AM52" s="9">
        <v>1</v>
      </c>
      <c r="AN52" s="9">
        <v>1</v>
      </c>
      <c r="AO52" s="9">
        <v>0</v>
      </c>
      <c r="AP52" s="9">
        <v>0</v>
      </c>
      <c r="AQ52" s="9">
        <v>0</v>
      </c>
      <c r="AR52" s="9">
        <v>0</v>
      </c>
      <c r="AS52" s="9">
        <v>0</v>
      </c>
      <c r="AT52" s="9">
        <v>0</v>
      </c>
      <c r="AU52" s="9">
        <v>0</v>
      </c>
      <c r="AV52" s="9">
        <v>0</v>
      </c>
      <c r="AW52" s="9">
        <v>0</v>
      </c>
      <c r="AX52" s="9">
        <v>0</v>
      </c>
      <c r="AY52" s="9">
        <v>0</v>
      </c>
      <c r="AZ52" s="9">
        <v>0</v>
      </c>
      <c r="BA52" s="9">
        <v>0</v>
      </c>
      <c r="BB52" s="9">
        <v>1</v>
      </c>
      <c r="BC52" s="9">
        <v>1</v>
      </c>
      <c r="BD52" s="9">
        <v>1</v>
      </c>
      <c r="BE52" s="9">
        <v>1</v>
      </c>
      <c r="BF52" s="9">
        <v>1</v>
      </c>
      <c r="BG52" s="9">
        <v>1</v>
      </c>
      <c r="BH52" s="9">
        <v>1</v>
      </c>
      <c r="BI52" s="9">
        <v>1</v>
      </c>
      <c r="BJ52" s="9">
        <v>1</v>
      </c>
      <c r="BK52" s="9">
        <v>1</v>
      </c>
      <c r="BL52" s="9">
        <v>1</v>
      </c>
      <c r="BM52" s="9">
        <v>1</v>
      </c>
      <c r="BN52" s="9">
        <v>1</v>
      </c>
      <c r="BO52" s="9">
        <v>1</v>
      </c>
      <c r="BP52" s="10">
        <v>0</v>
      </c>
      <c r="BQ52">
        <v>0</v>
      </c>
      <c r="BR52">
        <v>0</v>
      </c>
    </row>
    <row r="53" spans="1:70" x14ac:dyDescent="0.35">
      <c r="A53" s="8" t="s">
        <v>0</v>
      </c>
      <c r="B53" s="9" t="s">
        <v>57</v>
      </c>
      <c r="C53" s="10" t="s">
        <v>629</v>
      </c>
      <c r="D53" s="34">
        <f t="shared" si="2"/>
        <v>26</v>
      </c>
      <c r="E53" s="9">
        <v>0</v>
      </c>
      <c r="F53" s="9">
        <v>0</v>
      </c>
      <c r="G53" s="9">
        <v>0</v>
      </c>
      <c r="H53" s="9">
        <v>0</v>
      </c>
      <c r="I53" s="9">
        <v>0</v>
      </c>
      <c r="J53" s="9">
        <v>0</v>
      </c>
      <c r="K53" s="9">
        <v>0</v>
      </c>
      <c r="L53" s="9">
        <v>0</v>
      </c>
      <c r="M53" s="9">
        <v>0</v>
      </c>
      <c r="N53" s="9">
        <v>0</v>
      </c>
      <c r="O53" s="9">
        <v>1</v>
      </c>
      <c r="P53" s="9">
        <v>2</v>
      </c>
      <c r="Q53" s="9">
        <v>2</v>
      </c>
      <c r="R53" s="9">
        <v>4</v>
      </c>
      <c r="S53" s="9">
        <v>4</v>
      </c>
      <c r="T53" s="9">
        <v>6</v>
      </c>
      <c r="U53" s="9">
        <v>7</v>
      </c>
      <c r="V53" s="9">
        <v>6</v>
      </c>
      <c r="W53" s="9">
        <v>6</v>
      </c>
      <c r="X53" s="9">
        <v>5</v>
      </c>
      <c r="Y53" s="9">
        <v>5</v>
      </c>
      <c r="Z53" s="9">
        <v>4</v>
      </c>
      <c r="AA53" s="9">
        <v>3</v>
      </c>
      <c r="AB53" s="9">
        <v>4</v>
      </c>
      <c r="AC53" s="9">
        <v>3</v>
      </c>
      <c r="AD53" s="9">
        <v>5</v>
      </c>
      <c r="AE53" s="9">
        <v>7</v>
      </c>
      <c r="AF53" s="9">
        <v>9</v>
      </c>
      <c r="AG53" s="9">
        <v>9</v>
      </c>
      <c r="AH53" s="9">
        <v>7</v>
      </c>
      <c r="AI53" s="9">
        <v>7</v>
      </c>
      <c r="AJ53" s="9">
        <v>7</v>
      </c>
      <c r="AK53" s="9">
        <v>7</v>
      </c>
      <c r="AL53" s="9">
        <v>7</v>
      </c>
      <c r="AM53" s="9">
        <v>9</v>
      </c>
      <c r="AN53" s="9">
        <v>10</v>
      </c>
      <c r="AO53" s="9">
        <v>10</v>
      </c>
      <c r="AP53" s="9">
        <v>9</v>
      </c>
      <c r="AQ53" s="9">
        <v>7</v>
      </c>
      <c r="AR53" s="9">
        <v>7</v>
      </c>
      <c r="AS53" s="9">
        <v>8</v>
      </c>
      <c r="AT53" s="9">
        <v>8</v>
      </c>
      <c r="AU53" s="9">
        <v>7</v>
      </c>
      <c r="AV53" s="9">
        <v>5</v>
      </c>
      <c r="AW53" s="9">
        <v>7</v>
      </c>
      <c r="AX53" s="9">
        <v>6</v>
      </c>
      <c r="AY53" s="9">
        <v>8</v>
      </c>
      <c r="AZ53" s="9">
        <v>6</v>
      </c>
      <c r="BA53" s="9">
        <v>7</v>
      </c>
      <c r="BB53" s="9">
        <v>6</v>
      </c>
      <c r="BC53" s="9">
        <v>9</v>
      </c>
      <c r="BD53" s="9">
        <v>12</v>
      </c>
      <c r="BE53" s="9">
        <v>13</v>
      </c>
      <c r="BF53" s="9">
        <v>12</v>
      </c>
      <c r="BG53" s="9">
        <v>15</v>
      </c>
      <c r="BH53" s="9">
        <v>15</v>
      </c>
      <c r="BI53" s="9">
        <v>16</v>
      </c>
      <c r="BJ53" s="9">
        <v>16</v>
      </c>
      <c r="BK53" s="9">
        <v>15</v>
      </c>
      <c r="BL53" s="9">
        <v>13</v>
      </c>
      <c r="BM53" s="9">
        <v>11</v>
      </c>
      <c r="BN53" s="9">
        <v>18</v>
      </c>
      <c r="BO53" s="9">
        <v>21</v>
      </c>
      <c r="BP53" s="10">
        <v>26</v>
      </c>
      <c r="BQ53">
        <v>19</v>
      </c>
      <c r="BR53">
        <v>16</v>
      </c>
    </row>
    <row r="54" spans="1:70" x14ac:dyDescent="0.35">
      <c r="A54" s="8" t="s">
        <v>0</v>
      </c>
      <c r="B54" s="9" t="s">
        <v>59</v>
      </c>
      <c r="C54" s="10" t="s">
        <v>630</v>
      </c>
      <c r="D54" s="34">
        <f t="shared" si="2"/>
        <v>1</v>
      </c>
      <c r="E54" s="9">
        <v>1</v>
      </c>
      <c r="F54" s="9">
        <v>1</v>
      </c>
      <c r="G54" s="9">
        <v>0</v>
      </c>
      <c r="H54" s="9">
        <v>0</v>
      </c>
      <c r="I54" s="9">
        <v>0</v>
      </c>
      <c r="J54" s="9">
        <v>0</v>
      </c>
      <c r="K54" s="9">
        <v>0</v>
      </c>
      <c r="L54" s="9">
        <v>0</v>
      </c>
      <c r="M54" s="9">
        <v>0</v>
      </c>
      <c r="N54" s="9">
        <v>0</v>
      </c>
      <c r="O54" s="9">
        <v>0</v>
      </c>
      <c r="P54" s="9">
        <v>0</v>
      </c>
      <c r="Q54" s="9">
        <v>0</v>
      </c>
      <c r="R54" s="9">
        <v>0</v>
      </c>
      <c r="S54" s="9">
        <v>0</v>
      </c>
      <c r="T54" s="9">
        <v>0</v>
      </c>
      <c r="U54" s="9">
        <v>0</v>
      </c>
      <c r="V54" s="9">
        <v>0</v>
      </c>
      <c r="W54" s="9">
        <v>0</v>
      </c>
      <c r="X54" s="9">
        <v>0</v>
      </c>
      <c r="Y54" s="9">
        <v>0</v>
      </c>
      <c r="Z54" s="9">
        <v>0</v>
      </c>
      <c r="AA54" s="9">
        <v>0</v>
      </c>
      <c r="AB54" s="9">
        <v>0</v>
      </c>
      <c r="AC54" s="9">
        <v>0</v>
      </c>
      <c r="AD54" s="9">
        <v>0</v>
      </c>
      <c r="AE54" s="9">
        <v>0</v>
      </c>
      <c r="AF54" s="9">
        <v>0</v>
      </c>
      <c r="AG54" s="9">
        <v>0</v>
      </c>
      <c r="AH54" s="9">
        <v>0</v>
      </c>
      <c r="AI54" s="9">
        <v>0</v>
      </c>
      <c r="AJ54" s="9">
        <v>0</v>
      </c>
      <c r="AK54" s="9">
        <v>0</v>
      </c>
      <c r="AL54" s="9">
        <v>0</v>
      </c>
      <c r="AM54" s="9">
        <v>0</v>
      </c>
      <c r="AN54" s="9">
        <v>0</v>
      </c>
      <c r="AO54" s="9">
        <v>0</v>
      </c>
      <c r="AP54" s="9">
        <v>0</v>
      </c>
      <c r="AQ54" s="9">
        <v>0</v>
      </c>
      <c r="AR54" s="9">
        <v>0</v>
      </c>
      <c r="AS54" s="9">
        <v>0</v>
      </c>
      <c r="AT54" s="9">
        <v>0</v>
      </c>
      <c r="AU54" s="9">
        <v>0</v>
      </c>
      <c r="AV54" s="9">
        <v>0</v>
      </c>
      <c r="AW54" s="9">
        <v>0</v>
      </c>
      <c r="AX54" s="9">
        <v>0</v>
      </c>
      <c r="AY54" s="9">
        <v>0</v>
      </c>
      <c r="AZ54" s="9">
        <v>0</v>
      </c>
      <c r="BA54" s="9">
        <v>0</v>
      </c>
      <c r="BB54" s="9">
        <v>0</v>
      </c>
      <c r="BC54" s="9">
        <v>0</v>
      </c>
      <c r="BD54" s="9">
        <v>0</v>
      </c>
      <c r="BE54" s="9">
        <v>0</v>
      </c>
      <c r="BF54" s="9">
        <v>0</v>
      </c>
      <c r="BG54" s="9">
        <v>0</v>
      </c>
      <c r="BH54" s="9">
        <v>0</v>
      </c>
      <c r="BI54" s="9">
        <v>0</v>
      </c>
      <c r="BJ54" s="9">
        <v>0</v>
      </c>
      <c r="BK54" s="9">
        <v>0</v>
      </c>
      <c r="BL54" s="9">
        <v>0</v>
      </c>
      <c r="BM54" s="9">
        <v>0</v>
      </c>
      <c r="BN54" s="9">
        <v>0</v>
      </c>
      <c r="BO54" s="9">
        <v>0</v>
      </c>
      <c r="BP54" s="10">
        <v>0</v>
      </c>
      <c r="BQ54">
        <v>1</v>
      </c>
      <c r="BR54">
        <v>1</v>
      </c>
    </row>
    <row r="55" spans="1:70" x14ac:dyDescent="0.35">
      <c r="A55" s="8" t="s">
        <v>0</v>
      </c>
      <c r="B55" s="9" t="s">
        <v>61</v>
      </c>
      <c r="C55" s="10" t="s">
        <v>631</v>
      </c>
      <c r="D55" s="34">
        <f t="shared" si="2"/>
        <v>56</v>
      </c>
      <c r="E55" s="9">
        <v>15</v>
      </c>
      <c r="F55" s="9">
        <v>16</v>
      </c>
      <c r="G55" s="9">
        <v>15</v>
      </c>
      <c r="H55" s="9">
        <v>16</v>
      </c>
      <c r="I55" s="9">
        <v>12</v>
      </c>
      <c r="J55" s="9">
        <v>12</v>
      </c>
      <c r="K55" s="9">
        <v>12</v>
      </c>
      <c r="L55" s="9">
        <v>10</v>
      </c>
      <c r="M55" s="9">
        <v>8</v>
      </c>
      <c r="N55" s="9">
        <v>9</v>
      </c>
      <c r="O55" s="9">
        <v>1</v>
      </c>
      <c r="P55" s="9">
        <v>2</v>
      </c>
      <c r="Q55" s="9">
        <v>2</v>
      </c>
      <c r="R55" s="9">
        <v>2</v>
      </c>
      <c r="S55" s="9">
        <v>10</v>
      </c>
      <c r="T55" s="9">
        <v>14</v>
      </c>
      <c r="U55" s="9">
        <v>12</v>
      </c>
      <c r="V55" s="9">
        <v>10</v>
      </c>
      <c r="W55" s="9">
        <v>11</v>
      </c>
      <c r="X55" s="9">
        <v>11</v>
      </c>
      <c r="Y55" s="9">
        <v>10</v>
      </c>
      <c r="Z55" s="9">
        <v>7</v>
      </c>
      <c r="AA55" s="9">
        <v>8</v>
      </c>
      <c r="AB55" s="9">
        <v>6</v>
      </c>
      <c r="AC55" s="9">
        <v>6</v>
      </c>
      <c r="AD55" s="9">
        <v>6</v>
      </c>
      <c r="AE55" s="9">
        <v>10</v>
      </c>
      <c r="AF55" s="9">
        <v>13</v>
      </c>
      <c r="AG55" s="9">
        <v>19</v>
      </c>
      <c r="AH55" s="9">
        <v>18</v>
      </c>
      <c r="AI55" s="9">
        <v>18</v>
      </c>
      <c r="AJ55" s="9">
        <v>16</v>
      </c>
      <c r="AK55" s="9">
        <v>18</v>
      </c>
      <c r="AL55" s="9">
        <v>24</v>
      </c>
      <c r="AM55" s="9">
        <v>24</v>
      </c>
      <c r="AN55" s="9">
        <v>23</v>
      </c>
      <c r="AO55" s="9">
        <v>23</v>
      </c>
      <c r="AP55" s="9">
        <v>25</v>
      </c>
      <c r="AQ55" s="9">
        <v>25</v>
      </c>
      <c r="AR55" s="9">
        <v>22</v>
      </c>
      <c r="AS55" s="9">
        <v>24</v>
      </c>
      <c r="AT55" s="9">
        <v>25</v>
      </c>
      <c r="AU55" s="9">
        <v>27</v>
      </c>
      <c r="AV55" s="9">
        <v>31</v>
      </c>
      <c r="AW55" s="9">
        <v>34</v>
      </c>
      <c r="AX55" s="9">
        <v>32</v>
      </c>
      <c r="AY55" s="9">
        <v>28</v>
      </c>
      <c r="AZ55" s="9">
        <v>30</v>
      </c>
      <c r="BA55" s="9">
        <v>26</v>
      </c>
      <c r="BB55" s="9">
        <v>26</v>
      </c>
      <c r="BC55" s="9">
        <v>28</v>
      </c>
      <c r="BD55" s="9">
        <v>31</v>
      </c>
      <c r="BE55" s="9">
        <v>30</v>
      </c>
      <c r="BF55" s="9">
        <v>25</v>
      </c>
      <c r="BG55" s="9">
        <v>28</v>
      </c>
      <c r="BH55" s="9">
        <v>33</v>
      </c>
      <c r="BI55" s="9">
        <v>36</v>
      </c>
      <c r="BJ55" s="9">
        <v>39</v>
      </c>
      <c r="BK55" s="9">
        <v>37</v>
      </c>
      <c r="BL55" s="9">
        <v>44</v>
      </c>
      <c r="BM55" s="9">
        <v>45</v>
      </c>
      <c r="BN55" s="9">
        <v>45</v>
      </c>
      <c r="BO55" s="9">
        <v>51</v>
      </c>
      <c r="BP55" s="10">
        <v>56</v>
      </c>
      <c r="BQ55">
        <v>52</v>
      </c>
      <c r="BR55">
        <v>55</v>
      </c>
    </row>
    <row r="56" spans="1:70" x14ac:dyDescent="0.35">
      <c r="A56" s="8" t="s">
        <v>0</v>
      </c>
      <c r="B56" s="9" t="s">
        <v>63</v>
      </c>
      <c r="C56" s="10" t="s">
        <v>632</v>
      </c>
      <c r="D56" s="34">
        <f t="shared" si="2"/>
        <v>19</v>
      </c>
      <c r="E56" s="9">
        <v>0</v>
      </c>
      <c r="F56" s="9">
        <v>0</v>
      </c>
      <c r="G56" s="9">
        <v>0</v>
      </c>
      <c r="H56" s="9">
        <v>0</v>
      </c>
      <c r="I56" s="9">
        <v>0</v>
      </c>
      <c r="J56" s="9">
        <v>0</v>
      </c>
      <c r="K56" s="9">
        <v>0</v>
      </c>
      <c r="L56" s="9">
        <v>0</v>
      </c>
      <c r="M56" s="9">
        <v>1</v>
      </c>
      <c r="N56" s="9">
        <v>1</v>
      </c>
      <c r="O56" s="9">
        <v>1</v>
      </c>
      <c r="P56" s="9">
        <v>1</v>
      </c>
      <c r="Q56" s="9">
        <v>1</v>
      </c>
      <c r="R56" s="9">
        <v>1</v>
      </c>
      <c r="S56" s="9">
        <v>1</v>
      </c>
      <c r="T56" s="9">
        <v>1</v>
      </c>
      <c r="U56" s="9">
        <v>1</v>
      </c>
      <c r="V56" s="9">
        <v>0</v>
      </c>
      <c r="W56" s="9">
        <v>0</v>
      </c>
      <c r="X56" s="9">
        <v>1</v>
      </c>
      <c r="Y56" s="9">
        <v>2</v>
      </c>
      <c r="Z56" s="9">
        <v>3</v>
      </c>
      <c r="AA56" s="9">
        <v>1</v>
      </c>
      <c r="AB56" s="9">
        <v>2</v>
      </c>
      <c r="AC56" s="9">
        <v>3</v>
      </c>
      <c r="AD56" s="9">
        <v>4</v>
      </c>
      <c r="AE56" s="9">
        <v>4</v>
      </c>
      <c r="AF56" s="9">
        <v>5</v>
      </c>
      <c r="AG56" s="9">
        <v>4</v>
      </c>
      <c r="AH56" s="9">
        <v>4</v>
      </c>
      <c r="AI56" s="9">
        <v>4</v>
      </c>
      <c r="AJ56" s="9">
        <v>3</v>
      </c>
      <c r="AK56" s="9">
        <v>3</v>
      </c>
      <c r="AL56" s="9">
        <v>2</v>
      </c>
      <c r="AM56" s="9">
        <v>3</v>
      </c>
      <c r="AN56" s="9">
        <v>2</v>
      </c>
      <c r="AO56" s="9">
        <v>2</v>
      </c>
      <c r="AP56" s="9">
        <v>4</v>
      </c>
      <c r="AQ56" s="9">
        <v>5</v>
      </c>
      <c r="AR56" s="9">
        <v>5</v>
      </c>
      <c r="AS56" s="9">
        <v>5</v>
      </c>
      <c r="AT56" s="9">
        <v>5</v>
      </c>
      <c r="AU56" s="9">
        <v>6</v>
      </c>
      <c r="AV56" s="9">
        <v>6</v>
      </c>
      <c r="AW56" s="9">
        <v>8</v>
      </c>
      <c r="AX56" s="9">
        <v>9</v>
      </c>
      <c r="AY56" s="9">
        <v>11</v>
      </c>
      <c r="AZ56" s="9">
        <v>13</v>
      </c>
      <c r="BA56" s="9">
        <v>12</v>
      </c>
      <c r="BB56" s="9">
        <v>13</v>
      </c>
      <c r="BC56" s="9">
        <v>15</v>
      </c>
      <c r="BD56" s="9">
        <v>16</v>
      </c>
      <c r="BE56" s="9">
        <v>16</v>
      </c>
      <c r="BF56" s="9">
        <v>19</v>
      </c>
      <c r="BG56" s="9">
        <v>18</v>
      </c>
      <c r="BH56" s="9">
        <v>17</v>
      </c>
      <c r="BI56" s="9">
        <v>16</v>
      </c>
      <c r="BJ56" s="9">
        <v>16</v>
      </c>
      <c r="BK56" s="9">
        <v>17</v>
      </c>
      <c r="BL56" s="9">
        <v>16</v>
      </c>
      <c r="BM56" s="9">
        <v>15</v>
      </c>
      <c r="BN56" s="9">
        <v>13</v>
      </c>
      <c r="BO56" s="9">
        <v>17</v>
      </c>
      <c r="BP56" s="10">
        <v>18</v>
      </c>
      <c r="BQ56">
        <v>17</v>
      </c>
      <c r="BR56">
        <v>19</v>
      </c>
    </row>
    <row r="57" spans="1:70" x14ac:dyDescent="0.35">
      <c r="A57" s="8" t="s">
        <v>0</v>
      </c>
      <c r="B57" s="9" t="s">
        <v>65</v>
      </c>
      <c r="C57" s="10" t="s">
        <v>633</v>
      </c>
      <c r="D57" s="34">
        <f t="shared" si="2"/>
        <v>1</v>
      </c>
      <c r="E57" s="9">
        <v>0</v>
      </c>
      <c r="F57" s="9">
        <v>0</v>
      </c>
      <c r="G57" s="9">
        <v>0</v>
      </c>
      <c r="H57" s="9">
        <v>0</v>
      </c>
      <c r="I57" s="9">
        <v>0</v>
      </c>
      <c r="J57" s="9">
        <v>0</v>
      </c>
      <c r="K57" s="9">
        <v>0</v>
      </c>
      <c r="L57" s="9">
        <v>0</v>
      </c>
      <c r="M57" s="9">
        <v>0</v>
      </c>
      <c r="N57" s="9">
        <v>0</v>
      </c>
      <c r="O57" s="9">
        <v>0</v>
      </c>
      <c r="P57" s="9">
        <v>0</v>
      </c>
      <c r="Q57" s="9">
        <v>0</v>
      </c>
      <c r="R57" s="9">
        <v>0</v>
      </c>
      <c r="S57" s="9">
        <v>0</v>
      </c>
      <c r="T57" s="9">
        <v>0</v>
      </c>
      <c r="U57" s="9">
        <v>0</v>
      </c>
      <c r="V57" s="9">
        <v>1</v>
      </c>
      <c r="W57" s="9">
        <v>1</v>
      </c>
      <c r="X57" s="9">
        <v>1</v>
      </c>
      <c r="Y57" s="9">
        <v>1</v>
      </c>
      <c r="Z57" s="9">
        <v>1</v>
      </c>
      <c r="AA57" s="9">
        <v>1</v>
      </c>
      <c r="AB57" s="9">
        <v>1</v>
      </c>
      <c r="AC57" s="9">
        <v>1</v>
      </c>
      <c r="AD57" s="9">
        <v>1</v>
      </c>
      <c r="AE57" s="9">
        <v>1</v>
      </c>
      <c r="AF57" s="9">
        <v>1</v>
      </c>
      <c r="AG57" s="9">
        <v>1</v>
      </c>
      <c r="AH57" s="9">
        <v>1</v>
      </c>
      <c r="AI57" s="9">
        <v>1</v>
      </c>
      <c r="AJ57" s="9">
        <v>0</v>
      </c>
      <c r="AK57" s="9">
        <v>0</v>
      </c>
      <c r="AL57" s="9">
        <v>0</v>
      </c>
      <c r="AM57" s="9">
        <v>0</v>
      </c>
      <c r="AN57" s="9">
        <v>0</v>
      </c>
      <c r="AO57" s="9">
        <v>0</v>
      </c>
      <c r="AP57" s="9">
        <v>0</v>
      </c>
      <c r="AQ57" s="9">
        <v>0</v>
      </c>
      <c r="AR57" s="9">
        <v>0</v>
      </c>
      <c r="AS57" s="9">
        <v>0</v>
      </c>
      <c r="AT57" s="9">
        <v>0</v>
      </c>
      <c r="AU57" s="9">
        <v>0</v>
      </c>
      <c r="AV57" s="9">
        <v>0</v>
      </c>
      <c r="AW57" s="9">
        <v>0</v>
      </c>
      <c r="AX57" s="9">
        <v>0</v>
      </c>
      <c r="AY57" s="9">
        <v>0</v>
      </c>
      <c r="AZ57" s="9">
        <v>0</v>
      </c>
      <c r="BA57" s="9">
        <v>0</v>
      </c>
      <c r="BB57" s="9">
        <v>0</v>
      </c>
      <c r="BC57" s="9">
        <v>0</v>
      </c>
      <c r="BD57" s="9">
        <v>0</v>
      </c>
      <c r="BE57" s="9">
        <v>0</v>
      </c>
      <c r="BF57" s="9">
        <v>0</v>
      </c>
      <c r="BG57" s="9">
        <v>0</v>
      </c>
      <c r="BH57" s="9">
        <v>0</v>
      </c>
      <c r="BI57" s="9">
        <v>0</v>
      </c>
      <c r="BJ57" s="9">
        <v>0</v>
      </c>
      <c r="BK57" s="9">
        <v>0</v>
      </c>
      <c r="BL57" s="9">
        <v>0</v>
      </c>
      <c r="BM57" s="9">
        <v>0</v>
      </c>
      <c r="BN57" s="9">
        <v>0</v>
      </c>
      <c r="BO57" s="9">
        <v>0</v>
      </c>
      <c r="BP57" s="10">
        <v>1</v>
      </c>
      <c r="BQ57">
        <v>1</v>
      </c>
      <c r="BR57">
        <v>1</v>
      </c>
    </row>
    <row r="58" spans="1:70" x14ac:dyDescent="0.35">
      <c r="A58" s="8" t="s">
        <v>0</v>
      </c>
      <c r="B58" s="9" t="s">
        <v>67</v>
      </c>
      <c r="C58" s="10" t="s">
        <v>634</v>
      </c>
      <c r="D58" s="34">
        <f t="shared" si="2"/>
        <v>24</v>
      </c>
      <c r="E58" s="9">
        <v>0</v>
      </c>
      <c r="F58" s="9">
        <v>0</v>
      </c>
      <c r="G58" s="9">
        <v>0</v>
      </c>
      <c r="H58" s="9">
        <v>0</v>
      </c>
      <c r="I58" s="9">
        <v>0</v>
      </c>
      <c r="J58" s="9">
        <v>0</v>
      </c>
      <c r="K58" s="9">
        <v>0</v>
      </c>
      <c r="L58" s="9">
        <v>0</v>
      </c>
      <c r="M58" s="9">
        <v>0</v>
      </c>
      <c r="N58" s="9">
        <v>0</v>
      </c>
      <c r="O58" s="9">
        <v>0</v>
      </c>
      <c r="P58" s="9">
        <v>0</v>
      </c>
      <c r="Q58" s="9">
        <v>0</v>
      </c>
      <c r="R58" s="9">
        <v>0</v>
      </c>
      <c r="S58" s="9">
        <v>0</v>
      </c>
      <c r="T58" s="9">
        <v>0</v>
      </c>
      <c r="U58" s="9">
        <v>0</v>
      </c>
      <c r="V58" s="9">
        <v>0</v>
      </c>
      <c r="W58" s="9">
        <v>0</v>
      </c>
      <c r="X58" s="9">
        <v>0</v>
      </c>
      <c r="Y58" s="9">
        <v>0</v>
      </c>
      <c r="Z58" s="9">
        <v>0</v>
      </c>
      <c r="AA58" s="9">
        <v>0</v>
      </c>
      <c r="AB58" s="9">
        <v>0</v>
      </c>
      <c r="AC58" s="9">
        <v>0</v>
      </c>
      <c r="AD58" s="9">
        <v>0</v>
      </c>
      <c r="AE58" s="9">
        <v>0</v>
      </c>
      <c r="AF58" s="9">
        <v>0</v>
      </c>
      <c r="AG58" s="9">
        <v>0</v>
      </c>
      <c r="AH58" s="9">
        <v>0</v>
      </c>
      <c r="AI58" s="9">
        <v>0</v>
      </c>
      <c r="AJ58" s="9">
        <v>0</v>
      </c>
      <c r="AK58" s="9">
        <v>0</v>
      </c>
      <c r="AL58" s="9">
        <v>0</v>
      </c>
      <c r="AM58" s="9">
        <v>0</v>
      </c>
      <c r="AN58" s="9">
        <v>0</v>
      </c>
      <c r="AO58" s="9">
        <v>0</v>
      </c>
      <c r="AP58" s="9">
        <v>0</v>
      </c>
      <c r="AQ58" s="9">
        <v>0</v>
      </c>
      <c r="AR58" s="9">
        <v>0</v>
      </c>
      <c r="AS58" s="9">
        <v>0</v>
      </c>
      <c r="AT58" s="9">
        <v>0</v>
      </c>
      <c r="AU58" s="9">
        <v>0</v>
      </c>
      <c r="AV58" s="9">
        <v>0</v>
      </c>
      <c r="AW58" s="9">
        <v>0</v>
      </c>
      <c r="AX58" s="9">
        <v>2</v>
      </c>
      <c r="AY58" s="9">
        <v>2</v>
      </c>
      <c r="AZ58" s="9">
        <v>2</v>
      </c>
      <c r="BA58" s="9">
        <v>2</v>
      </c>
      <c r="BB58" s="9">
        <v>3</v>
      </c>
      <c r="BC58" s="9">
        <v>4</v>
      </c>
      <c r="BD58" s="9">
        <v>4</v>
      </c>
      <c r="BE58" s="9">
        <v>6</v>
      </c>
      <c r="BF58" s="9">
        <v>8</v>
      </c>
      <c r="BG58" s="9">
        <v>8</v>
      </c>
      <c r="BH58" s="9">
        <v>12</v>
      </c>
      <c r="BI58" s="9">
        <v>12</v>
      </c>
      <c r="BJ58" s="9">
        <v>14</v>
      </c>
      <c r="BK58" s="9">
        <v>13</v>
      </c>
      <c r="BL58" s="9">
        <v>15</v>
      </c>
      <c r="BM58" s="9">
        <v>20</v>
      </c>
      <c r="BN58" s="9">
        <v>20</v>
      </c>
      <c r="BO58" s="9">
        <v>19</v>
      </c>
      <c r="BP58" s="10">
        <v>20</v>
      </c>
      <c r="BQ58">
        <v>20</v>
      </c>
      <c r="BR58">
        <v>24</v>
      </c>
    </row>
    <row r="59" spans="1:70" x14ac:dyDescent="0.35">
      <c r="A59" s="8" t="s">
        <v>0</v>
      </c>
      <c r="B59" s="9" t="s">
        <v>69</v>
      </c>
      <c r="C59" s="10" t="s">
        <v>635</v>
      </c>
      <c r="D59" s="34">
        <f t="shared" si="2"/>
        <v>3</v>
      </c>
      <c r="E59" s="9">
        <v>1</v>
      </c>
      <c r="F59" s="9">
        <v>1</v>
      </c>
      <c r="G59" s="9">
        <v>1</v>
      </c>
      <c r="H59" s="9">
        <v>1</v>
      </c>
      <c r="I59" s="9">
        <v>1</v>
      </c>
      <c r="J59" s="9">
        <v>1</v>
      </c>
      <c r="K59" s="9">
        <v>0</v>
      </c>
      <c r="L59" s="9">
        <v>0</v>
      </c>
      <c r="M59" s="9">
        <v>0</v>
      </c>
      <c r="N59" s="9">
        <v>0</v>
      </c>
      <c r="O59" s="9">
        <v>0</v>
      </c>
      <c r="P59" s="9">
        <v>0</v>
      </c>
      <c r="Q59" s="9">
        <v>0</v>
      </c>
      <c r="R59" s="9">
        <v>0</v>
      </c>
      <c r="S59" s="9">
        <v>0</v>
      </c>
      <c r="T59" s="9">
        <v>0</v>
      </c>
      <c r="U59" s="9">
        <v>0</v>
      </c>
      <c r="V59" s="9">
        <v>0</v>
      </c>
      <c r="W59" s="9">
        <v>0</v>
      </c>
      <c r="X59" s="9">
        <v>0</v>
      </c>
      <c r="Y59" s="9">
        <v>0</v>
      </c>
      <c r="Z59" s="9">
        <v>0</v>
      </c>
      <c r="AA59" s="9">
        <v>0</v>
      </c>
      <c r="AB59" s="9">
        <v>0</v>
      </c>
      <c r="AC59" s="9">
        <v>0</v>
      </c>
      <c r="AD59" s="9">
        <v>0</v>
      </c>
      <c r="AE59" s="9">
        <v>0</v>
      </c>
      <c r="AF59" s="9">
        <v>0</v>
      </c>
      <c r="AG59" s="9">
        <v>0</v>
      </c>
      <c r="AH59" s="9">
        <v>0</v>
      </c>
      <c r="AI59" s="9">
        <v>0</v>
      </c>
      <c r="AJ59" s="9">
        <v>0</v>
      </c>
      <c r="AK59" s="9">
        <v>0</v>
      </c>
      <c r="AL59" s="9">
        <v>0</v>
      </c>
      <c r="AM59" s="9">
        <v>0</v>
      </c>
      <c r="AN59" s="9">
        <v>0</v>
      </c>
      <c r="AO59" s="9">
        <v>0</v>
      </c>
      <c r="AP59" s="9">
        <v>0</v>
      </c>
      <c r="AQ59" s="9">
        <v>0</v>
      </c>
      <c r="AR59" s="9">
        <v>0</v>
      </c>
      <c r="AS59" s="9">
        <v>0</v>
      </c>
      <c r="AT59" s="9">
        <v>0</v>
      </c>
      <c r="AU59" s="9">
        <v>0</v>
      </c>
      <c r="AV59" s="9">
        <v>0</v>
      </c>
      <c r="AW59" s="9">
        <v>0</v>
      </c>
      <c r="AX59" s="9">
        <v>0</v>
      </c>
      <c r="AY59" s="9">
        <v>1</v>
      </c>
      <c r="AZ59" s="9">
        <v>1</v>
      </c>
      <c r="BA59" s="9">
        <v>1</v>
      </c>
      <c r="BB59" s="9">
        <v>1</v>
      </c>
      <c r="BC59" s="9">
        <v>1</v>
      </c>
      <c r="BD59" s="9">
        <v>0</v>
      </c>
      <c r="BE59" s="9">
        <v>0</v>
      </c>
      <c r="BF59" s="9">
        <v>0</v>
      </c>
      <c r="BG59" s="9">
        <v>1</v>
      </c>
      <c r="BH59" s="9">
        <v>1</v>
      </c>
      <c r="BI59" s="9">
        <v>2</v>
      </c>
      <c r="BJ59" s="9">
        <v>2</v>
      </c>
      <c r="BK59" s="9">
        <v>3</v>
      </c>
      <c r="BL59" s="9">
        <v>2</v>
      </c>
      <c r="BM59" s="9">
        <v>3</v>
      </c>
      <c r="BN59" s="9">
        <v>3</v>
      </c>
      <c r="BO59" s="9">
        <v>3</v>
      </c>
      <c r="BP59" s="10">
        <v>3</v>
      </c>
      <c r="BQ59">
        <v>2</v>
      </c>
      <c r="BR59">
        <v>1</v>
      </c>
    </row>
    <row r="60" spans="1:70" x14ac:dyDescent="0.35">
      <c r="A60" s="8" t="s">
        <v>0</v>
      </c>
      <c r="B60" s="9" t="s">
        <v>71</v>
      </c>
      <c r="C60" s="10" t="s">
        <v>636</v>
      </c>
      <c r="D60" s="34">
        <f t="shared" si="2"/>
        <v>0</v>
      </c>
      <c r="E60" s="9">
        <v>0</v>
      </c>
      <c r="F60" s="9">
        <v>0</v>
      </c>
      <c r="G60" s="9">
        <v>0</v>
      </c>
      <c r="H60" s="9">
        <v>0</v>
      </c>
      <c r="I60" s="9">
        <v>0</v>
      </c>
      <c r="J60" s="9">
        <v>0</v>
      </c>
      <c r="K60" s="9">
        <v>0</v>
      </c>
      <c r="L60" s="9">
        <v>0</v>
      </c>
      <c r="M60" s="9">
        <v>0</v>
      </c>
      <c r="N60" s="9">
        <v>0</v>
      </c>
      <c r="O60" s="9">
        <v>0</v>
      </c>
      <c r="P60" s="9">
        <v>0</v>
      </c>
      <c r="Q60" s="9">
        <v>0</v>
      </c>
      <c r="R60" s="9">
        <v>0</v>
      </c>
      <c r="S60" s="9">
        <v>0</v>
      </c>
      <c r="T60" s="9">
        <v>0</v>
      </c>
      <c r="U60" s="9">
        <v>0</v>
      </c>
      <c r="V60" s="9">
        <v>0</v>
      </c>
      <c r="W60" s="9">
        <v>0</v>
      </c>
      <c r="X60" s="9">
        <v>0</v>
      </c>
      <c r="Y60" s="9">
        <v>0</v>
      </c>
      <c r="Z60" s="9">
        <v>0</v>
      </c>
      <c r="AA60" s="9">
        <v>0</v>
      </c>
      <c r="AB60" s="9">
        <v>0</v>
      </c>
      <c r="AC60" s="9">
        <v>0</v>
      </c>
      <c r="AD60" s="9">
        <v>0</v>
      </c>
      <c r="AE60" s="9">
        <v>0</v>
      </c>
      <c r="AF60" s="9">
        <v>0</v>
      </c>
      <c r="AG60" s="9">
        <v>0</v>
      </c>
      <c r="AH60" s="9">
        <v>0</v>
      </c>
      <c r="AI60" s="9">
        <v>0</v>
      </c>
      <c r="AJ60" s="9">
        <v>0</v>
      </c>
      <c r="AK60" s="9">
        <v>0</v>
      </c>
      <c r="AL60" s="9">
        <v>0</v>
      </c>
      <c r="AM60" s="9">
        <v>0</v>
      </c>
      <c r="AN60" s="9">
        <v>0</v>
      </c>
      <c r="AO60" s="9">
        <v>0</v>
      </c>
      <c r="AP60" s="9">
        <v>0</v>
      </c>
      <c r="AQ60" s="9">
        <v>0</v>
      </c>
      <c r="AR60" s="9">
        <v>0</v>
      </c>
      <c r="AS60" s="9">
        <v>0</v>
      </c>
      <c r="AT60" s="9">
        <v>0</v>
      </c>
      <c r="AU60" s="9">
        <v>0</v>
      </c>
      <c r="AV60" s="9">
        <v>0</v>
      </c>
      <c r="AW60" s="9">
        <v>0</v>
      </c>
      <c r="AX60" s="9">
        <v>0</v>
      </c>
      <c r="AY60" s="9">
        <v>0</v>
      </c>
      <c r="AZ60" s="9">
        <v>0</v>
      </c>
      <c r="BA60" s="9">
        <v>0</v>
      </c>
      <c r="BB60" s="9">
        <v>0</v>
      </c>
      <c r="BC60" s="9">
        <v>0</v>
      </c>
      <c r="BD60" s="9">
        <v>0</v>
      </c>
      <c r="BE60" s="9">
        <v>0</v>
      </c>
      <c r="BF60" s="9">
        <v>0</v>
      </c>
      <c r="BG60" s="9">
        <v>0</v>
      </c>
      <c r="BH60" s="9">
        <v>0</v>
      </c>
      <c r="BI60" s="9">
        <v>0</v>
      </c>
      <c r="BJ60" s="9">
        <v>0</v>
      </c>
      <c r="BK60" s="9">
        <v>0</v>
      </c>
      <c r="BL60" s="9">
        <v>0</v>
      </c>
      <c r="BM60" s="9">
        <v>0</v>
      </c>
      <c r="BN60" s="9">
        <v>0</v>
      </c>
      <c r="BO60" s="9">
        <v>0</v>
      </c>
      <c r="BP60" s="10">
        <v>0</v>
      </c>
      <c r="BQ60">
        <v>0</v>
      </c>
      <c r="BR60">
        <v>0</v>
      </c>
    </row>
    <row r="61" spans="1:70" x14ac:dyDescent="0.35">
      <c r="A61" s="8" t="s">
        <v>73</v>
      </c>
      <c r="B61" s="9" t="s">
        <v>74</v>
      </c>
      <c r="C61" s="10" t="s">
        <v>637</v>
      </c>
      <c r="D61" s="34">
        <f t="shared" si="2"/>
        <v>0</v>
      </c>
      <c r="E61" s="9">
        <v>0</v>
      </c>
      <c r="F61" s="9">
        <v>0</v>
      </c>
      <c r="G61" s="9">
        <v>0</v>
      </c>
      <c r="H61" s="9">
        <v>0</v>
      </c>
      <c r="I61" s="9">
        <v>0</v>
      </c>
      <c r="J61" s="9">
        <v>0</v>
      </c>
      <c r="K61" s="9">
        <v>0</v>
      </c>
      <c r="L61" s="9">
        <v>0</v>
      </c>
      <c r="M61" s="9">
        <v>0</v>
      </c>
      <c r="N61" s="9">
        <v>0</v>
      </c>
      <c r="O61" s="9">
        <v>0</v>
      </c>
      <c r="P61" s="9">
        <v>0</v>
      </c>
      <c r="Q61" s="9">
        <v>0</v>
      </c>
      <c r="R61" s="9">
        <v>0</v>
      </c>
      <c r="S61" s="9">
        <v>0</v>
      </c>
      <c r="T61" s="9">
        <v>0</v>
      </c>
      <c r="U61" s="9">
        <v>0</v>
      </c>
      <c r="V61" s="9">
        <v>0</v>
      </c>
      <c r="W61" s="9">
        <v>0</v>
      </c>
      <c r="X61" s="9">
        <v>0</v>
      </c>
      <c r="Y61" s="9">
        <v>0</v>
      </c>
      <c r="Z61" s="9">
        <v>0</v>
      </c>
      <c r="AA61" s="9">
        <v>0</v>
      </c>
      <c r="AB61" s="9">
        <v>0</v>
      </c>
      <c r="AC61" s="9">
        <v>0</v>
      </c>
      <c r="AD61" s="9">
        <v>0</v>
      </c>
      <c r="AE61" s="9">
        <v>0</v>
      </c>
      <c r="AF61" s="9">
        <v>0</v>
      </c>
      <c r="AG61" s="9">
        <v>0</v>
      </c>
      <c r="AH61" s="9">
        <v>0</v>
      </c>
      <c r="AI61" s="9">
        <v>0</v>
      </c>
      <c r="AJ61" s="9">
        <v>0</v>
      </c>
      <c r="AK61" s="9">
        <v>0</v>
      </c>
      <c r="AL61" s="9">
        <v>0</v>
      </c>
      <c r="AM61" s="9">
        <v>0</v>
      </c>
      <c r="AN61" s="9">
        <v>0</v>
      </c>
      <c r="AO61" s="9">
        <v>0</v>
      </c>
      <c r="AP61" s="9">
        <v>0</v>
      </c>
      <c r="AQ61" s="9">
        <v>0</v>
      </c>
      <c r="AR61" s="9">
        <v>0</v>
      </c>
      <c r="AS61" s="9">
        <v>0</v>
      </c>
      <c r="AT61" s="9">
        <v>0</v>
      </c>
      <c r="AU61" s="9">
        <v>0</v>
      </c>
      <c r="AV61" s="9">
        <v>0</v>
      </c>
      <c r="AW61" s="9">
        <v>0</v>
      </c>
      <c r="AX61" s="9">
        <v>0</v>
      </c>
      <c r="AY61" s="9">
        <v>0</v>
      </c>
      <c r="AZ61" s="9">
        <v>0</v>
      </c>
      <c r="BA61" s="9">
        <v>0</v>
      </c>
      <c r="BB61" s="9">
        <v>0</v>
      </c>
      <c r="BC61" s="9">
        <v>0</v>
      </c>
      <c r="BD61" s="9">
        <v>0</v>
      </c>
      <c r="BE61" s="9">
        <v>0</v>
      </c>
      <c r="BF61" s="9">
        <v>0</v>
      </c>
      <c r="BG61" s="9">
        <v>0</v>
      </c>
      <c r="BH61" s="9">
        <v>0</v>
      </c>
      <c r="BI61" s="9">
        <v>0</v>
      </c>
      <c r="BJ61" s="9">
        <v>0</v>
      </c>
      <c r="BK61" s="9">
        <v>0</v>
      </c>
      <c r="BL61" s="9">
        <v>0</v>
      </c>
      <c r="BM61" s="9">
        <v>0</v>
      </c>
      <c r="BN61" s="9">
        <v>0</v>
      </c>
      <c r="BO61" s="9">
        <v>0</v>
      </c>
      <c r="BP61" s="10">
        <v>0</v>
      </c>
      <c r="BQ61">
        <v>0</v>
      </c>
      <c r="BR61">
        <v>0</v>
      </c>
    </row>
    <row r="62" spans="1:70" x14ac:dyDescent="0.35">
      <c r="A62" s="8" t="s">
        <v>73</v>
      </c>
      <c r="B62" s="9" t="s">
        <v>76</v>
      </c>
      <c r="C62" s="10" t="s">
        <v>638</v>
      </c>
      <c r="D62" s="34">
        <f t="shared" si="2"/>
        <v>0</v>
      </c>
      <c r="E62" s="9">
        <v>0</v>
      </c>
      <c r="F62" s="9">
        <v>0</v>
      </c>
      <c r="G62" s="9">
        <v>0</v>
      </c>
      <c r="H62" s="9">
        <v>0</v>
      </c>
      <c r="I62" s="9">
        <v>0</v>
      </c>
      <c r="J62" s="9">
        <v>0</v>
      </c>
      <c r="K62" s="9">
        <v>0</v>
      </c>
      <c r="L62" s="9">
        <v>0</v>
      </c>
      <c r="M62" s="9">
        <v>0</v>
      </c>
      <c r="N62" s="9">
        <v>0</v>
      </c>
      <c r="O62" s="9">
        <v>0</v>
      </c>
      <c r="P62" s="9">
        <v>0</v>
      </c>
      <c r="Q62" s="9">
        <v>0</v>
      </c>
      <c r="R62" s="9">
        <v>0</v>
      </c>
      <c r="S62" s="9">
        <v>0</v>
      </c>
      <c r="T62" s="9">
        <v>0</v>
      </c>
      <c r="U62" s="9">
        <v>0</v>
      </c>
      <c r="V62" s="9">
        <v>0</v>
      </c>
      <c r="W62" s="9">
        <v>0</v>
      </c>
      <c r="X62" s="9">
        <v>0</v>
      </c>
      <c r="Y62" s="9">
        <v>0</v>
      </c>
      <c r="Z62" s="9">
        <v>0</v>
      </c>
      <c r="AA62" s="9">
        <v>0</v>
      </c>
      <c r="AB62" s="9">
        <v>0</v>
      </c>
      <c r="AC62" s="9">
        <v>0</v>
      </c>
      <c r="AD62" s="9">
        <v>0</v>
      </c>
      <c r="AE62" s="9">
        <v>0</v>
      </c>
      <c r="AF62" s="9">
        <v>0</v>
      </c>
      <c r="AG62" s="9">
        <v>0</v>
      </c>
      <c r="AH62" s="9">
        <v>0</v>
      </c>
      <c r="AI62" s="9">
        <v>0</v>
      </c>
      <c r="AJ62" s="9">
        <v>0</v>
      </c>
      <c r="AK62" s="9">
        <v>0</v>
      </c>
      <c r="AL62" s="9">
        <v>0</v>
      </c>
      <c r="AM62" s="9">
        <v>0</v>
      </c>
      <c r="AN62" s="9">
        <v>0</v>
      </c>
      <c r="AO62" s="9">
        <v>0</v>
      </c>
      <c r="AP62" s="9">
        <v>0</v>
      </c>
      <c r="AQ62" s="9">
        <v>0</v>
      </c>
      <c r="AR62" s="9">
        <v>0</v>
      </c>
      <c r="AS62" s="9">
        <v>0</v>
      </c>
      <c r="AT62" s="9">
        <v>0</v>
      </c>
      <c r="AU62" s="9">
        <v>0</v>
      </c>
      <c r="AV62" s="9">
        <v>0</v>
      </c>
      <c r="AW62" s="9">
        <v>0</v>
      </c>
      <c r="AX62" s="9">
        <v>0</v>
      </c>
      <c r="AY62" s="9">
        <v>0</v>
      </c>
      <c r="AZ62" s="9">
        <v>0</v>
      </c>
      <c r="BA62" s="9">
        <v>0</v>
      </c>
      <c r="BB62" s="9">
        <v>0</v>
      </c>
      <c r="BC62" s="9">
        <v>0</v>
      </c>
      <c r="BD62" s="9">
        <v>0</v>
      </c>
      <c r="BE62" s="9">
        <v>0</v>
      </c>
      <c r="BF62" s="9">
        <v>0</v>
      </c>
      <c r="BG62" s="9">
        <v>0</v>
      </c>
      <c r="BH62" s="9">
        <v>0</v>
      </c>
      <c r="BI62" s="9">
        <v>0</v>
      </c>
      <c r="BJ62" s="9">
        <v>0</v>
      </c>
      <c r="BK62" s="9">
        <v>0</v>
      </c>
      <c r="BL62" s="9">
        <v>0</v>
      </c>
      <c r="BM62" s="9">
        <v>0</v>
      </c>
      <c r="BN62" s="9">
        <v>0</v>
      </c>
      <c r="BO62" s="9">
        <v>0</v>
      </c>
      <c r="BP62" s="10">
        <v>0</v>
      </c>
      <c r="BQ62">
        <v>0</v>
      </c>
      <c r="BR62">
        <v>0</v>
      </c>
    </row>
    <row r="63" spans="1:70" x14ac:dyDescent="0.35">
      <c r="A63" s="8" t="s">
        <v>73</v>
      </c>
      <c r="B63" s="9" t="s">
        <v>639</v>
      </c>
      <c r="C63" s="10" t="s">
        <v>640</v>
      </c>
      <c r="D63" s="34">
        <f t="shared" si="2"/>
        <v>0</v>
      </c>
      <c r="E63" s="9">
        <v>0</v>
      </c>
      <c r="F63" s="9">
        <v>0</v>
      </c>
      <c r="G63" s="9">
        <v>0</v>
      </c>
      <c r="H63" s="9">
        <v>0</v>
      </c>
      <c r="I63" s="9">
        <v>0</v>
      </c>
      <c r="J63" s="9">
        <v>0</v>
      </c>
      <c r="K63" s="9">
        <v>0</v>
      </c>
      <c r="L63" s="9">
        <v>0</v>
      </c>
      <c r="M63" s="9">
        <v>0</v>
      </c>
      <c r="N63" s="9">
        <v>0</v>
      </c>
      <c r="O63" s="9">
        <v>0</v>
      </c>
      <c r="P63" s="9">
        <v>0</v>
      </c>
      <c r="Q63" s="9">
        <v>0</v>
      </c>
      <c r="R63" s="9">
        <v>0</v>
      </c>
      <c r="S63" s="9">
        <v>0</v>
      </c>
      <c r="T63" s="9">
        <v>0</v>
      </c>
      <c r="U63" s="9">
        <v>0</v>
      </c>
      <c r="V63" s="9">
        <v>0</v>
      </c>
      <c r="W63" s="9">
        <v>0</v>
      </c>
      <c r="X63" s="9">
        <v>0</v>
      </c>
      <c r="Y63" s="9">
        <v>0</v>
      </c>
      <c r="Z63" s="9">
        <v>0</v>
      </c>
      <c r="AA63" s="9">
        <v>0</v>
      </c>
      <c r="AB63" s="9">
        <v>0</v>
      </c>
      <c r="AC63" s="9">
        <v>0</v>
      </c>
      <c r="AD63" s="9">
        <v>0</v>
      </c>
      <c r="AE63" s="9">
        <v>0</v>
      </c>
      <c r="AF63" s="9">
        <v>0</v>
      </c>
      <c r="AG63" s="9">
        <v>0</v>
      </c>
      <c r="AH63" s="9">
        <v>0</v>
      </c>
      <c r="AI63" s="9">
        <v>0</v>
      </c>
      <c r="AJ63" s="9">
        <v>0</v>
      </c>
      <c r="AK63" s="9">
        <v>0</v>
      </c>
      <c r="AL63" s="9">
        <v>0</v>
      </c>
      <c r="AM63" s="9">
        <v>0</v>
      </c>
      <c r="AN63" s="9">
        <v>0</v>
      </c>
      <c r="AO63" s="9">
        <v>0</v>
      </c>
      <c r="AP63" s="9">
        <v>0</v>
      </c>
      <c r="AQ63" s="9">
        <v>0</v>
      </c>
      <c r="AR63" s="9">
        <v>0</v>
      </c>
      <c r="AS63" s="9">
        <v>0</v>
      </c>
      <c r="AT63" s="9">
        <v>0</v>
      </c>
      <c r="AU63" s="9">
        <v>0</v>
      </c>
      <c r="AV63" s="9">
        <v>0</v>
      </c>
      <c r="AW63" s="9">
        <v>0</v>
      </c>
      <c r="AX63" s="9">
        <v>0</v>
      </c>
      <c r="AY63" s="9">
        <v>0</v>
      </c>
      <c r="AZ63" s="9">
        <v>0</v>
      </c>
      <c r="BA63" s="9">
        <v>0</v>
      </c>
      <c r="BB63" s="9">
        <v>0</v>
      </c>
      <c r="BC63" s="9">
        <v>0</v>
      </c>
      <c r="BD63" s="9">
        <v>0</v>
      </c>
      <c r="BE63" s="9">
        <v>0</v>
      </c>
      <c r="BF63" s="9">
        <v>0</v>
      </c>
      <c r="BG63" s="9">
        <v>0</v>
      </c>
      <c r="BH63" s="9">
        <v>0</v>
      </c>
      <c r="BI63" s="9">
        <v>0</v>
      </c>
      <c r="BJ63" s="9">
        <v>0</v>
      </c>
      <c r="BK63" s="9">
        <v>0</v>
      </c>
      <c r="BL63" s="9">
        <v>0</v>
      </c>
      <c r="BM63" s="9">
        <v>0</v>
      </c>
      <c r="BN63" s="9">
        <v>0</v>
      </c>
      <c r="BO63" s="9">
        <v>0</v>
      </c>
      <c r="BP63" s="10">
        <v>0</v>
      </c>
      <c r="BQ63">
        <v>0</v>
      </c>
      <c r="BR63">
        <v>0</v>
      </c>
    </row>
    <row r="64" spans="1:70" x14ac:dyDescent="0.35">
      <c r="A64" s="8" t="s">
        <v>73</v>
      </c>
      <c r="B64" s="9" t="s">
        <v>78</v>
      </c>
      <c r="C64" s="10" t="s">
        <v>641</v>
      </c>
      <c r="D64" s="34">
        <f t="shared" si="2"/>
        <v>0</v>
      </c>
      <c r="E64" s="9">
        <v>0</v>
      </c>
      <c r="F64" s="9">
        <v>0</v>
      </c>
      <c r="G64" s="9">
        <v>0</v>
      </c>
      <c r="H64" s="9">
        <v>0</v>
      </c>
      <c r="I64" s="9">
        <v>0</v>
      </c>
      <c r="J64" s="9">
        <v>0</v>
      </c>
      <c r="K64" s="9">
        <v>0</v>
      </c>
      <c r="L64" s="9">
        <v>0</v>
      </c>
      <c r="M64" s="9">
        <v>0</v>
      </c>
      <c r="N64" s="9">
        <v>0</v>
      </c>
      <c r="O64" s="9">
        <v>0</v>
      </c>
      <c r="P64" s="9">
        <v>0</v>
      </c>
      <c r="Q64" s="9">
        <v>0</v>
      </c>
      <c r="R64" s="9">
        <v>0</v>
      </c>
      <c r="S64" s="9">
        <v>0</v>
      </c>
      <c r="T64" s="9">
        <v>0</v>
      </c>
      <c r="U64" s="9">
        <v>0</v>
      </c>
      <c r="V64" s="9">
        <v>0</v>
      </c>
      <c r="W64" s="9">
        <v>0</v>
      </c>
      <c r="X64" s="9">
        <v>0</v>
      </c>
      <c r="Y64" s="9">
        <v>0</v>
      </c>
      <c r="Z64" s="9">
        <v>0</v>
      </c>
      <c r="AA64" s="9">
        <v>0</v>
      </c>
      <c r="AB64" s="9">
        <v>0</v>
      </c>
      <c r="AC64" s="9">
        <v>0</v>
      </c>
      <c r="AD64" s="9">
        <v>0</v>
      </c>
      <c r="AE64" s="9">
        <v>0</v>
      </c>
      <c r="AF64" s="9">
        <v>0</v>
      </c>
      <c r="AG64" s="9">
        <v>0</v>
      </c>
      <c r="AH64" s="9">
        <v>0</v>
      </c>
      <c r="AI64" s="9">
        <v>0</v>
      </c>
      <c r="AJ64" s="9">
        <v>0</v>
      </c>
      <c r="AK64" s="9">
        <v>0</v>
      </c>
      <c r="AL64" s="9">
        <v>0</v>
      </c>
      <c r="AM64" s="9">
        <v>0</v>
      </c>
      <c r="AN64" s="9">
        <v>0</v>
      </c>
      <c r="AO64" s="9">
        <v>0</v>
      </c>
      <c r="AP64" s="9">
        <v>0</v>
      </c>
      <c r="AQ64" s="9">
        <v>0</v>
      </c>
      <c r="AR64" s="9">
        <v>0</v>
      </c>
      <c r="AS64" s="9">
        <v>0</v>
      </c>
      <c r="AT64" s="9">
        <v>0</v>
      </c>
      <c r="AU64" s="9">
        <v>0</v>
      </c>
      <c r="AV64" s="9">
        <v>0</v>
      </c>
      <c r="AW64" s="9">
        <v>0</v>
      </c>
      <c r="AX64" s="9">
        <v>0</v>
      </c>
      <c r="AY64" s="9">
        <v>0</v>
      </c>
      <c r="AZ64" s="9">
        <v>0</v>
      </c>
      <c r="BA64" s="9">
        <v>0</v>
      </c>
      <c r="BB64" s="9">
        <v>0</v>
      </c>
      <c r="BC64" s="9">
        <v>0</v>
      </c>
      <c r="BD64" s="9">
        <v>0</v>
      </c>
      <c r="BE64" s="9">
        <v>0</v>
      </c>
      <c r="BF64" s="9">
        <v>0</v>
      </c>
      <c r="BG64" s="9">
        <v>0</v>
      </c>
      <c r="BH64" s="9">
        <v>0</v>
      </c>
      <c r="BI64" s="9">
        <v>0</v>
      </c>
      <c r="BJ64" s="9">
        <v>0</v>
      </c>
      <c r="BK64" s="9">
        <v>0</v>
      </c>
      <c r="BL64" s="9">
        <v>0</v>
      </c>
      <c r="BM64" s="9">
        <v>0</v>
      </c>
      <c r="BN64" s="9">
        <v>0</v>
      </c>
      <c r="BO64" s="9">
        <v>0</v>
      </c>
      <c r="BP64" s="10">
        <v>0</v>
      </c>
      <c r="BQ64">
        <v>0</v>
      </c>
      <c r="BR64">
        <v>0</v>
      </c>
    </row>
    <row r="65" spans="1:70" x14ac:dyDescent="0.35">
      <c r="A65" s="8" t="s">
        <v>73</v>
      </c>
      <c r="B65" s="9" t="s">
        <v>642</v>
      </c>
      <c r="C65" s="10" t="s">
        <v>643</v>
      </c>
      <c r="D65" s="34">
        <f t="shared" si="2"/>
        <v>0</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10">
        <v>0</v>
      </c>
      <c r="BQ65">
        <v>0</v>
      </c>
      <c r="BR65">
        <v>0</v>
      </c>
    </row>
    <row r="66" spans="1:70" x14ac:dyDescent="0.35">
      <c r="A66" s="8" t="s">
        <v>73</v>
      </c>
      <c r="B66" s="9" t="s">
        <v>644</v>
      </c>
      <c r="C66" s="10" t="s">
        <v>645</v>
      </c>
      <c r="D66" s="34">
        <f t="shared" si="2"/>
        <v>0</v>
      </c>
      <c r="E66" s="9">
        <v>0</v>
      </c>
      <c r="F66" s="9">
        <v>0</v>
      </c>
      <c r="G66" s="9">
        <v>0</v>
      </c>
      <c r="H66" s="9">
        <v>0</v>
      </c>
      <c r="I66" s="9">
        <v>0</v>
      </c>
      <c r="J66" s="9">
        <v>0</v>
      </c>
      <c r="K66" s="9">
        <v>0</v>
      </c>
      <c r="L66" s="9">
        <v>0</v>
      </c>
      <c r="M66" s="9">
        <v>0</v>
      </c>
      <c r="N66" s="9">
        <v>0</v>
      </c>
      <c r="O66" s="9">
        <v>0</v>
      </c>
      <c r="P66" s="9">
        <v>0</v>
      </c>
      <c r="Q66" s="9">
        <v>0</v>
      </c>
      <c r="R66" s="9">
        <v>0</v>
      </c>
      <c r="S66" s="9">
        <v>0</v>
      </c>
      <c r="T66" s="9">
        <v>0</v>
      </c>
      <c r="U66" s="9">
        <v>0</v>
      </c>
      <c r="V66" s="9">
        <v>0</v>
      </c>
      <c r="W66" s="9">
        <v>0</v>
      </c>
      <c r="X66" s="9">
        <v>0</v>
      </c>
      <c r="Y66" s="9">
        <v>0</v>
      </c>
      <c r="Z66" s="9">
        <v>0</v>
      </c>
      <c r="AA66" s="9">
        <v>0</v>
      </c>
      <c r="AB66" s="9">
        <v>0</v>
      </c>
      <c r="AC66" s="9">
        <v>0</v>
      </c>
      <c r="AD66" s="9">
        <v>0</v>
      </c>
      <c r="AE66" s="9">
        <v>0</v>
      </c>
      <c r="AF66" s="9">
        <v>0</v>
      </c>
      <c r="AG66" s="9">
        <v>0</v>
      </c>
      <c r="AH66" s="9">
        <v>0</v>
      </c>
      <c r="AI66" s="9">
        <v>0</v>
      </c>
      <c r="AJ66" s="9">
        <v>0</v>
      </c>
      <c r="AK66" s="9">
        <v>0</v>
      </c>
      <c r="AL66" s="9">
        <v>0</v>
      </c>
      <c r="AM66" s="9">
        <v>0</v>
      </c>
      <c r="AN66" s="9">
        <v>0</v>
      </c>
      <c r="AO66" s="9">
        <v>0</v>
      </c>
      <c r="AP66" s="9">
        <v>0</v>
      </c>
      <c r="AQ66" s="9">
        <v>0</v>
      </c>
      <c r="AR66" s="9">
        <v>0</v>
      </c>
      <c r="AS66" s="9">
        <v>0</v>
      </c>
      <c r="AT66" s="9">
        <v>0</v>
      </c>
      <c r="AU66" s="9">
        <v>0</v>
      </c>
      <c r="AV66" s="9">
        <v>0</v>
      </c>
      <c r="AW66" s="9">
        <v>0</v>
      </c>
      <c r="AX66" s="9">
        <v>0</v>
      </c>
      <c r="AY66" s="9">
        <v>0</v>
      </c>
      <c r="AZ66" s="9">
        <v>0</v>
      </c>
      <c r="BA66" s="9">
        <v>0</v>
      </c>
      <c r="BB66" s="9">
        <v>0</v>
      </c>
      <c r="BC66" s="9">
        <v>0</v>
      </c>
      <c r="BD66" s="9">
        <v>0</v>
      </c>
      <c r="BE66" s="9">
        <v>0</v>
      </c>
      <c r="BF66" s="9">
        <v>0</v>
      </c>
      <c r="BG66" s="9">
        <v>0</v>
      </c>
      <c r="BH66" s="9">
        <v>0</v>
      </c>
      <c r="BI66" s="9">
        <v>0</v>
      </c>
      <c r="BJ66" s="9">
        <v>0</v>
      </c>
      <c r="BK66" s="9">
        <v>0</v>
      </c>
      <c r="BL66" s="9">
        <v>0</v>
      </c>
      <c r="BM66" s="9">
        <v>0</v>
      </c>
      <c r="BN66" s="9">
        <v>0</v>
      </c>
      <c r="BO66" s="9">
        <v>0</v>
      </c>
      <c r="BP66" s="10">
        <v>0</v>
      </c>
      <c r="BQ66">
        <v>0</v>
      </c>
      <c r="BR66">
        <v>0</v>
      </c>
    </row>
    <row r="67" spans="1:70" x14ac:dyDescent="0.35">
      <c r="A67" s="8" t="s">
        <v>73</v>
      </c>
      <c r="B67" s="9" t="s">
        <v>646</v>
      </c>
      <c r="C67" s="10" t="s">
        <v>647</v>
      </c>
      <c r="D67" s="34">
        <f t="shared" si="2"/>
        <v>0</v>
      </c>
      <c r="E67" s="9">
        <v>0</v>
      </c>
      <c r="F67" s="9">
        <v>0</v>
      </c>
      <c r="G67" s="9">
        <v>0</v>
      </c>
      <c r="H67" s="9">
        <v>0</v>
      </c>
      <c r="I67" s="9">
        <v>0</v>
      </c>
      <c r="J67" s="9">
        <v>0</v>
      </c>
      <c r="K67" s="9">
        <v>0</v>
      </c>
      <c r="L67" s="9">
        <v>0</v>
      </c>
      <c r="M67" s="9">
        <v>0</v>
      </c>
      <c r="N67" s="9">
        <v>0</v>
      </c>
      <c r="O67" s="9">
        <v>0</v>
      </c>
      <c r="P67" s="9">
        <v>0</v>
      </c>
      <c r="Q67" s="9">
        <v>0</v>
      </c>
      <c r="R67" s="9">
        <v>0</v>
      </c>
      <c r="S67" s="9">
        <v>0</v>
      </c>
      <c r="T67" s="9">
        <v>0</v>
      </c>
      <c r="U67" s="9">
        <v>0</v>
      </c>
      <c r="V67" s="9">
        <v>0</v>
      </c>
      <c r="W67" s="9">
        <v>0</v>
      </c>
      <c r="X67" s="9">
        <v>0</v>
      </c>
      <c r="Y67" s="9">
        <v>0</v>
      </c>
      <c r="Z67" s="9">
        <v>0</v>
      </c>
      <c r="AA67" s="9">
        <v>0</v>
      </c>
      <c r="AB67" s="9">
        <v>0</v>
      </c>
      <c r="AC67" s="9">
        <v>0</v>
      </c>
      <c r="AD67" s="9">
        <v>0</v>
      </c>
      <c r="AE67" s="9">
        <v>0</v>
      </c>
      <c r="AF67" s="9">
        <v>0</v>
      </c>
      <c r="AG67" s="9">
        <v>0</v>
      </c>
      <c r="AH67" s="9">
        <v>0</v>
      </c>
      <c r="AI67" s="9">
        <v>0</v>
      </c>
      <c r="AJ67" s="9">
        <v>0</v>
      </c>
      <c r="AK67" s="9">
        <v>0</v>
      </c>
      <c r="AL67" s="9">
        <v>0</v>
      </c>
      <c r="AM67" s="9">
        <v>0</v>
      </c>
      <c r="AN67" s="9">
        <v>0</v>
      </c>
      <c r="AO67" s="9">
        <v>0</v>
      </c>
      <c r="AP67" s="9">
        <v>0</v>
      </c>
      <c r="AQ67" s="9">
        <v>0</v>
      </c>
      <c r="AR67" s="9">
        <v>0</v>
      </c>
      <c r="AS67" s="9">
        <v>0</v>
      </c>
      <c r="AT67" s="9">
        <v>0</v>
      </c>
      <c r="AU67" s="9">
        <v>0</v>
      </c>
      <c r="AV67" s="9">
        <v>0</v>
      </c>
      <c r="AW67" s="9">
        <v>0</v>
      </c>
      <c r="AX67" s="9">
        <v>0</v>
      </c>
      <c r="AY67" s="9">
        <v>0</v>
      </c>
      <c r="AZ67" s="9">
        <v>0</v>
      </c>
      <c r="BA67" s="9">
        <v>0</v>
      </c>
      <c r="BB67" s="9">
        <v>0</v>
      </c>
      <c r="BC67" s="9">
        <v>0</v>
      </c>
      <c r="BD67" s="9">
        <v>0</v>
      </c>
      <c r="BE67" s="9">
        <v>0</v>
      </c>
      <c r="BF67" s="9">
        <v>0</v>
      </c>
      <c r="BG67" s="9">
        <v>0</v>
      </c>
      <c r="BH67" s="9">
        <v>0</v>
      </c>
      <c r="BI67" s="9">
        <v>0</v>
      </c>
      <c r="BJ67" s="9">
        <v>0</v>
      </c>
      <c r="BK67" s="9">
        <v>0</v>
      </c>
      <c r="BL67" s="9">
        <v>0</v>
      </c>
      <c r="BM67" s="9">
        <v>0</v>
      </c>
      <c r="BN67" s="9">
        <v>0</v>
      </c>
      <c r="BO67" s="9">
        <v>0</v>
      </c>
      <c r="BP67" s="10">
        <v>0</v>
      </c>
      <c r="BQ67">
        <v>0</v>
      </c>
      <c r="BR67">
        <v>0</v>
      </c>
    </row>
    <row r="68" spans="1:70" x14ac:dyDescent="0.35">
      <c r="A68" s="8" t="s">
        <v>73</v>
      </c>
      <c r="B68" s="9" t="s">
        <v>648</v>
      </c>
      <c r="C68" s="10" t="s">
        <v>649</v>
      </c>
      <c r="D68" s="34">
        <f t="shared" si="2"/>
        <v>0</v>
      </c>
      <c r="E68" s="9">
        <v>0</v>
      </c>
      <c r="F68" s="9">
        <v>0</v>
      </c>
      <c r="G68" s="9">
        <v>0</v>
      </c>
      <c r="H68" s="9">
        <v>0</v>
      </c>
      <c r="I68" s="9">
        <v>0</v>
      </c>
      <c r="J68" s="9">
        <v>0</v>
      </c>
      <c r="K68" s="9">
        <v>0</v>
      </c>
      <c r="L68" s="9">
        <v>0</v>
      </c>
      <c r="M68" s="9">
        <v>0</v>
      </c>
      <c r="N68" s="9">
        <v>0</v>
      </c>
      <c r="O68" s="9">
        <v>0</v>
      </c>
      <c r="P68" s="9">
        <v>0</v>
      </c>
      <c r="Q68" s="9">
        <v>0</v>
      </c>
      <c r="R68" s="9">
        <v>0</v>
      </c>
      <c r="S68" s="9">
        <v>0</v>
      </c>
      <c r="T68" s="9">
        <v>0</v>
      </c>
      <c r="U68" s="9">
        <v>0</v>
      </c>
      <c r="V68" s="9">
        <v>0</v>
      </c>
      <c r="W68" s="9">
        <v>0</v>
      </c>
      <c r="X68" s="9">
        <v>0</v>
      </c>
      <c r="Y68" s="9">
        <v>0</v>
      </c>
      <c r="Z68" s="9">
        <v>0</v>
      </c>
      <c r="AA68" s="9">
        <v>0</v>
      </c>
      <c r="AB68" s="9">
        <v>0</v>
      </c>
      <c r="AC68" s="9">
        <v>0</v>
      </c>
      <c r="AD68" s="9">
        <v>0</v>
      </c>
      <c r="AE68" s="9">
        <v>0</v>
      </c>
      <c r="AF68" s="9">
        <v>0</v>
      </c>
      <c r="AG68" s="9">
        <v>0</v>
      </c>
      <c r="AH68" s="9">
        <v>0</v>
      </c>
      <c r="AI68" s="9">
        <v>0</v>
      </c>
      <c r="AJ68" s="9">
        <v>0</v>
      </c>
      <c r="AK68" s="9">
        <v>0</v>
      </c>
      <c r="AL68" s="9">
        <v>0</v>
      </c>
      <c r="AM68" s="9">
        <v>0</v>
      </c>
      <c r="AN68" s="9">
        <v>0</v>
      </c>
      <c r="AO68" s="9">
        <v>0</v>
      </c>
      <c r="AP68" s="9">
        <v>0</v>
      </c>
      <c r="AQ68" s="9">
        <v>0</v>
      </c>
      <c r="AR68" s="9">
        <v>0</v>
      </c>
      <c r="AS68" s="9">
        <v>0</v>
      </c>
      <c r="AT68" s="9">
        <v>0</v>
      </c>
      <c r="AU68" s="9">
        <v>0</v>
      </c>
      <c r="AV68" s="9">
        <v>0</v>
      </c>
      <c r="AW68" s="9">
        <v>0</v>
      </c>
      <c r="AX68" s="9">
        <v>0</v>
      </c>
      <c r="AY68" s="9">
        <v>0</v>
      </c>
      <c r="AZ68" s="9">
        <v>0</v>
      </c>
      <c r="BA68" s="9">
        <v>0</v>
      </c>
      <c r="BB68" s="9">
        <v>0</v>
      </c>
      <c r="BC68" s="9">
        <v>0</v>
      </c>
      <c r="BD68" s="9">
        <v>0</v>
      </c>
      <c r="BE68" s="9">
        <v>0</v>
      </c>
      <c r="BF68" s="9">
        <v>0</v>
      </c>
      <c r="BG68" s="9">
        <v>0</v>
      </c>
      <c r="BH68" s="9">
        <v>0</v>
      </c>
      <c r="BI68" s="9">
        <v>0</v>
      </c>
      <c r="BJ68" s="9">
        <v>0</v>
      </c>
      <c r="BK68" s="9">
        <v>0</v>
      </c>
      <c r="BL68" s="9">
        <v>0</v>
      </c>
      <c r="BM68" s="9">
        <v>0</v>
      </c>
      <c r="BN68" s="9">
        <v>0</v>
      </c>
      <c r="BO68" s="9">
        <v>0</v>
      </c>
      <c r="BP68" s="10">
        <v>0</v>
      </c>
      <c r="BQ68">
        <v>0</v>
      </c>
      <c r="BR68">
        <v>0</v>
      </c>
    </row>
    <row r="69" spans="1:70" x14ac:dyDescent="0.35">
      <c r="A69" s="8" t="s">
        <v>73</v>
      </c>
      <c r="B69" s="9" t="s">
        <v>650</v>
      </c>
      <c r="C69" s="10" t="s">
        <v>651</v>
      </c>
      <c r="D69" s="34">
        <f t="shared" si="2"/>
        <v>0</v>
      </c>
      <c r="E69" s="9">
        <v>0</v>
      </c>
      <c r="F69" s="9">
        <v>0</v>
      </c>
      <c r="G69" s="9">
        <v>0</v>
      </c>
      <c r="H69" s="9">
        <v>0</v>
      </c>
      <c r="I69" s="9">
        <v>0</v>
      </c>
      <c r="J69" s="9">
        <v>0</v>
      </c>
      <c r="K69" s="9">
        <v>0</v>
      </c>
      <c r="L69" s="9">
        <v>0</v>
      </c>
      <c r="M69" s="9">
        <v>0</v>
      </c>
      <c r="N69" s="9">
        <v>0</v>
      </c>
      <c r="O69" s="9">
        <v>0</v>
      </c>
      <c r="P69" s="9">
        <v>0</v>
      </c>
      <c r="Q69" s="9">
        <v>0</v>
      </c>
      <c r="R69" s="9">
        <v>0</v>
      </c>
      <c r="S69" s="9">
        <v>0</v>
      </c>
      <c r="T69" s="9">
        <v>0</v>
      </c>
      <c r="U69" s="9">
        <v>0</v>
      </c>
      <c r="V69" s="9">
        <v>0</v>
      </c>
      <c r="W69" s="9">
        <v>0</v>
      </c>
      <c r="X69" s="9">
        <v>0</v>
      </c>
      <c r="Y69" s="9">
        <v>0</v>
      </c>
      <c r="Z69" s="9">
        <v>0</v>
      </c>
      <c r="AA69" s="9">
        <v>0</v>
      </c>
      <c r="AB69" s="9">
        <v>0</v>
      </c>
      <c r="AC69" s="9">
        <v>0</v>
      </c>
      <c r="AD69" s="9">
        <v>0</v>
      </c>
      <c r="AE69" s="9">
        <v>0</v>
      </c>
      <c r="AF69" s="9">
        <v>0</v>
      </c>
      <c r="AG69" s="9">
        <v>0</v>
      </c>
      <c r="AH69" s="9">
        <v>0</v>
      </c>
      <c r="AI69" s="9">
        <v>0</v>
      </c>
      <c r="AJ69" s="9">
        <v>0</v>
      </c>
      <c r="AK69" s="9">
        <v>0</v>
      </c>
      <c r="AL69" s="9">
        <v>0</v>
      </c>
      <c r="AM69" s="9">
        <v>0</v>
      </c>
      <c r="AN69" s="9">
        <v>0</v>
      </c>
      <c r="AO69" s="9">
        <v>0</v>
      </c>
      <c r="AP69" s="9">
        <v>0</v>
      </c>
      <c r="AQ69" s="9">
        <v>0</v>
      </c>
      <c r="AR69" s="9">
        <v>0</v>
      </c>
      <c r="AS69" s="9">
        <v>0</v>
      </c>
      <c r="AT69" s="9">
        <v>0</v>
      </c>
      <c r="AU69" s="9">
        <v>0</v>
      </c>
      <c r="AV69" s="9">
        <v>0</v>
      </c>
      <c r="AW69" s="9">
        <v>0</v>
      </c>
      <c r="AX69" s="9">
        <v>0</v>
      </c>
      <c r="AY69" s="9">
        <v>0</v>
      </c>
      <c r="AZ69" s="9">
        <v>0</v>
      </c>
      <c r="BA69" s="9">
        <v>0</v>
      </c>
      <c r="BB69" s="9">
        <v>0</v>
      </c>
      <c r="BC69" s="9">
        <v>0</v>
      </c>
      <c r="BD69" s="9">
        <v>0</v>
      </c>
      <c r="BE69" s="9">
        <v>0</v>
      </c>
      <c r="BF69" s="9">
        <v>0</v>
      </c>
      <c r="BG69" s="9">
        <v>0</v>
      </c>
      <c r="BH69" s="9">
        <v>0</v>
      </c>
      <c r="BI69" s="9">
        <v>0</v>
      </c>
      <c r="BJ69" s="9">
        <v>0</v>
      </c>
      <c r="BK69" s="9">
        <v>0</v>
      </c>
      <c r="BL69" s="9">
        <v>0</v>
      </c>
      <c r="BM69" s="9">
        <v>0</v>
      </c>
      <c r="BN69" s="9">
        <v>0</v>
      </c>
      <c r="BO69" s="9">
        <v>0</v>
      </c>
      <c r="BP69" s="10">
        <v>0</v>
      </c>
      <c r="BQ69">
        <v>0</v>
      </c>
      <c r="BR69">
        <v>0</v>
      </c>
    </row>
    <row r="70" spans="1:70" x14ac:dyDescent="0.35">
      <c r="A70" s="8" t="s">
        <v>73</v>
      </c>
      <c r="B70" s="9" t="s">
        <v>652</v>
      </c>
      <c r="C70" s="10" t="s">
        <v>653</v>
      </c>
      <c r="D70" s="34">
        <f t="shared" ref="D70:D133" si="3">MAX(E70:BR70)</f>
        <v>0</v>
      </c>
      <c r="E70" s="9">
        <v>0</v>
      </c>
      <c r="F70" s="9">
        <v>0</v>
      </c>
      <c r="G70" s="9">
        <v>0</v>
      </c>
      <c r="H70" s="9">
        <v>0</v>
      </c>
      <c r="I70" s="9">
        <v>0</v>
      </c>
      <c r="J70" s="9">
        <v>0</v>
      </c>
      <c r="K70" s="9">
        <v>0</v>
      </c>
      <c r="L70" s="9">
        <v>0</v>
      </c>
      <c r="M70" s="9">
        <v>0</v>
      </c>
      <c r="N70" s="9">
        <v>0</v>
      </c>
      <c r="O70" s="9">
        <v>0</v>
      </c>
      <c r="P70" s="9">
        <v>0</v>
      </c>
      <c r="Q70" s="9">
        <v>0</v>
      </c>
      <c r="R70" s="9">
        <v>0</v>
      </c>
      <c r="S70" s="9">
        <v>0</v>
      </c>
      <c r="T70" s="9">
        <v>0</v>
      </c>
      <c r="U70" s="9">
        <v>0</v>
      </c>
      <c r="V70" s="9">
        <v>0</v>
      </c>
      <c r="W70" s="9">
        <v>0</v>
      </c>
      <c r="X70" s="9">
        <v>0</v>
      </c>
      <c r="Y70" s="9">
        <v>0</v>
      </c>
      <c r="Z70" s="9">
        <v>0</v>
      </c>
      <c r="AA70" s="9">
        <v>0</v>
      </c>
      <c r="AB70" s="9">
        <v>0</v>
      </c>
      <c r="AC70" s="9">
        <v>0</v>
      </c>
      <c r="AD70" s="9">
        <v>0</v>
      </c>
      <c r="AE70" s="9">
        <v>0</v>
      </c>
      <c r="AF70" s="9">
        <v>0</v>
      </c>
      <c r="AG70" s="9">
        <v>0</v>
      </c>
      <c r="AH70" s="9">
        <v>0</v>
      </c>
      <c r="AI70" s="9">
        <v>0</v>
      </c>
      <c r="AJ70" s="9">
        <v>0</v>
      </c>
      <c r="AK70" s="9">
        <v>0</v>
      </c>
      <c r="AL70" s="9">
        <v>0</v>
      </c>
      <c r="AM70" s="9">
        <v>0</v>
      </c>
      <c r="AN70" s="9">
        <v>0</v>
      </c>
      <c r="AO70" s="9">
        <v>0</v>
      </c>
      <c r="AP70" s="9">
        <v>0</v>
      </c>
      <c r="AQ70" s="9">
        <v>0</v>
      </c>
      <c r="AR70" s="9">
        <v>0</v>
      </c>
      <c r="AS70" s="9">
        <v>0</v>
      </c>
      <c r="AT70" s="9">
        <v>0</v>
      </c>
      <c r="AU70" s="9">
        <v>0</v>
      </c>
      <c r="AV70" s="9">
        <v>0</v>
      </c>
      <c r="AW70" s="9">
        <v>0</v>
      </c>
      <c r="AX70" s="9">
        <v>0</v>
      </c>
      <c r="AY70" s="9">
        <v>0</v>
      </c>
      <c r="AZ70" s="9">
        <v>0</v>
      </c>
      <c r="BA70" s="9">
        <v>0</v>
      </c>
      <c r="BB70" s="9">
        <v>0</v>
      </c>
      <c r="BC70" s="9">
        <v>0</v>
      </c>
      <c r="BD70" s="9">
        <v>0</v>
      </c>
      <c r="BE70" s="9">
        <v>0</v>
      </c>
      <c r="BF70" s="9">
        <v>0</v>
      </c>
      <c r="BG70" s="9">
        <v>0</v>
      </c>
      <c r="BH70" s="9">
        <v>0</v>
      </c>
      <c r="BI70" s="9">
        <v>0</v>
      </c>
      <c r="BJ70" s="9">
        <v>0</v>
      </c>
      <c r="BK70" s="9">
        <v>0</v>
      </c>
      <c r="BL70" s="9">
        <v>0</v>
      </c>
      <c r="BM70" s="9">
        <v>0</v>
      </c>
      <c r="BN70" s="9">
        <v>0</v>
      </c>
      <c r="BO70" s="9">
        <v>0</v>
      </c>
      <c r="BP70" s="10">
        <v>0</v>
      </c>
      <c r="BQ70">
        <v>0</v>
      </c>
      <c r="BR70">
        <v>0</v>
      </c>
    </row>
    <row r="71" spans="1:70" x14ac:dyDescent="0.35">
      <c r="A71" s="8" t="s">
        <v>73</v>
      </c>
      <c r="B71" s="9" t="s">
        <v>656</v>
      </c>
      <c r="C71" s="10" t="s">
        <v>657</v>
      </c>
      <c r="D71" s="34">
        <f t="shared" si="3"/>
        <v>0</v>
      </c>
      <c r="E71" s="9">
        <v>0</v>
      </c>
      <c r="F71" s="9">
        <v>0</v>
      </c>
      <c r="G71" s="9">
        <v>0</v>
      </c>
      <c r="H71" s="9">
        <v>0</v>
      </c>
      <c r="I71" s="9">
        <v>0</v>
      </c>
      <c r="J71" s="9">
        <v>0</v>
      </c>
      <c r="K71" s="9">
        <v>0</v>
      </c>
      <c r="L71" s="9">
        <v>0</v>
      </c>
      <c r="M71" s="9">
        <v>0</v>
      </c>
      <c r="N71" s="9">
        <v>0</v>
      </c>
      <c r="O71" s="9">
        <v>0</v>
      </c>
      <c r="P71" s="9">
        <v>0</v>
      </c>
      <c r="Q71" s="9">
        <v>0</v>
      </c>
      <c r="R71" s="9">
        <v>0</v>
      </c>
      <c r="S71" s="9">
        <v>0</v>
      </c>
      <c r="T71" s="9">
        <v>0</v>
      </c>
      <c r="U71" s="9">
        <v>0</v>
      </c>
      <c r="V71" s="9">
        <v>0</v>
      </c>
      <c r="W71" s="9">
        <v>0</v>
      </c>
      <c r="X71" s="9">
        <v>0</v>
      </c>
      <c r="Y71" s="9">
        <v>0</v>
      </c>
      <c r="Z71" s="9">
        <v>0</v>
      </c>
      <c r="AA71" s="9">
        <v>0</v>
      </c>
      <c r="AB71" s="9">
        <v>0</v>
      </c>
      <c r="AC71" s="9">
        <v>0</v>
      </c>
      <c r="AD71" s="9">
        <v>0</v>
      </c>
      <c r="AE71" s="9">
        <v>0</v>
      </c>
      <c r="AF71" s="9">
        <v>0</v>
      </c>
      <c r="AG71" s="9">
        <v>0</v>
      </c>
      <c r="AH71" s="9">
        <v>0</v>
      </c>
      <c r="AI71" s="9">
        <v>0</v>
      </c>
      <c r="AJ71" s="9">
        <v>0</v>
      </c>
      <c r="AK71" s="9">
        <v>0</v>
      </c>
      <c r="AL71" s="9">
        <v>0</v>
      </c>
      <c r="AM71" s="9">
        <v>0</v>
      </c>
      <c r="AN71" s="9">
        <v>0</v>
      </c>
      <c r="AO71" s="9">
        <v>0</v>
      </c>
      <c r="AP71" s="9">
        <v>0</v>
      </c>
      <c r="AQ71" s="9">
        <v>0</v>
      </c>
      <c r="AR71" s="9">
        <v>0</v>
      </c>
      <c r="AS71" s="9">
        <v>0</v>
      </c>
      <c r="AT71" s="9">
        <v>0</v>
      </c>
      <c r="AU71" s="9">
        <v>0</v>
      </c>
      <c r="AV71" s="9">
        <v>0</v>
      </c>
      <c r="AW71" s="9">
        <v>0</v>
      </c>
      <c r="AX71" s="9">
        <v>0</v>
      </c>
      <c r="AY71" s="9">
        <v>0</v>
      </c>
      <c r="AZ71" s="9">
        <v>0</v>
      </c>
      <c r="BA71" s="9">
        <v>0</v>
      </c>
      <c r="BB71" s="9">
        <v>0</v>
      </c>
      <c r="BC71" s="9">
        <v>0</v>
      </c>
      <c r="BD71" s="9">
        <v>0</v>
      </c>
      <c r="BE71" s="9">
        <v>0</v>
      </c>
      <c r="BF71" s="9">
        <v>0</v>
      </c>
      <c r="BG71" s="9">
        <v>0</v>
      </c>
      <c r="BH71" s="9">
        <v>0</v>
      </c>
      <c r="BI71" s="9">
        <v>0</v>
      </c>
      <c r="BJ71" s="9">
        <v>0</v>
      </c>
      <c r="BK71" s="9">
        <v>0</v>
      </c>
      <c r="BL71" s="9">
        <v>0</v>
      </c>
      <c r="BM71" s="9">
        <v>0</v>
      </c>
      <c r="BN71" s="9">
        <v>0</v>
      </c>
      <c r="BO71" s="9">
        <v>0</v>
      </c>
      <c r="BP71" s="10">
        <v>0</v>
      </c>
      <c r="BQ71">
        <v>0</v>
      </c>
      <c r="BR71">
        <v>0</v>
      </c>
    </row>
    <row r="72" spans="1:70" x14ac:dyDescent="0.35">
      <c r="A72" s="8" t="s">
        <v>73</v>
      </c>
      <c r="B72" s="9" t="s">
        <v>658</v>
      </c>
      <c r="C72" s="10" t="s">
        <v>659</v>
      </c>
      <c r="D72" s="34">
        <f t="shared" si="3"/>
        <v>0</v>
      </c>
      <c r="E72" s="9">
        <v>0</v>
      </c>
      <c r="F72" s="9">
        <v>0</v>
      </c>
      <c r="G72" s="9">
        <v>0</v>
      </c>
      <c r="H72" s="9">
        <v>0</v>
      </c>
      <c r="I72" s="9">
        <v>0</v>
      </c>
      <c r="J72" s="9">
        <v>0</v>
      </c>
      <c r="K72" s="9">
        <v>0</v>
      </c>
      <c r="L72" s="9">
        <v>0</v>
      </c>
      <c r="M72" s="9">
        <v>0</v>
      </c>
      <c r="N72" s="9">
        <v>0</v>
      </c>
      <c r="O72" s="9">
        <v>0</v>
      </c>
      <c r="P72" s="9">
        <v>0</v>
      </c>
      <c r="Q72" s="9">
        <v>0</v>
      </c>
      <c r="R72" s="9">
        <v>0</v>
      </c>
      <c r="S72" s="9">
        <v>0</v>
      </c>
      <c r="T72" s="9">
        <v>0</v>
      </c>
      <c r="U72" s="9">
        <v>0</v>
      </c>
      <c r="V72" s="9">
        <v>0</v>
      </c>
      <c r="W72" s="9">
        <v>0</v>
      </c>
      <c r="X72" s="9">
        <v>0</v>
      </c>
      <c r="Y72" s="9">
        <v>0</v>
      </c>
      <c r="Z72" s="9">
        <v>0</v>
      </c>
      <c r="AA72" s="9">
        <v>0</v>
      </c>
      <c r="AB72" s="9">
        <v>0</v>
      </c>
      <c r="AC72" s="9">
        <v>0</v>
      </c>
      <c r="AD72" s="9">
        <v>0</v>
      </c>
      <c r="AE72" s="9">
        <v>0</v>
      </c>
      <c r="AF72" s="9">
        <v>0</v>
      </c>
      <c r="AG72" s="9">
        <v>0</v>
      </c>
      <c r="AH72" s="9">
        <v>0</v>
      </c>
      <c r="AI72" s="9">
        <v>0</v>
      </c>
      <c r="AJ72" s="9">
        <v>0</v>
      </c>
      <c r="AK72" s="9">
        <v>0</v>
      </c>
      <c r="AL72" s="9">
        <v>0</v>
      </c>
      <c r="AM72" s="9">
        <v>0</v>
      </c>
      <c r="AN72" s="9">
        <v>0</v>
      </c>
      <c r="AO72" s="9">
        <v>0</v>
      </c>
      <c r="AP72" s="9">
        <v>0</v>
      </c>
      <c r="AQ72" s="9">
        <v>0</v>
      </c>
      <c r="AR72" s="9">
        <v>0</v>
      </c>
      <c r="AS72" s="9">
        <v>0</v>
      </c>
      <c r="AT72" s="9">
        <v>0</v>
      </c>
      <c r="AU72" s="9">
        <v>0</v>
      </c>
      <c r="AV72" s="9">
        <v>0</v>
      </c>
      <c r="AW72" s="9">
        <v>0</v>
      </c>
      <c r="AX72" s="9">
        <v>0</v>
      </c>
      <c r="AY72" s="9">
        <v>0</v>
      </c>
      <c r="AZ72" s="9">
        <v>0</v>
      </c>
      <c r="BA72" s="9">
        <v>0</v>
      </c>
      <c r="BB72" s="9">
        <v>0</v>
      </c>
      <c r="BC72" s="9">
        <v>0</v>
      </c>
      <c r="BD72" s="9">
        <v>0</v>
      </c>
      <c r="BE72" s="9">
        <v>0</v>
      </c>
      <c r="BF72" s="9">
        <v>0</v>
      </c>
      <c r="BG72" s="9">
        <v>0</v>
      </c>
      <c r="BH72" s="9">
        <v>0</v>
      </c>
      <c r="BI72" s="9">
        <v>0</v>
      </c>
      <c r="BJ72" s="9">
        <v>0</v>
      </c>
      <c r="BK72" s="9">
        <v>0</v>
      </c>
      <c r="BL72" s="9">
        <v>0</v>
      </c>
      <c r="BM72" s="9">
        <v>0</v>
      </c>
      <c r="BN72" s="9">
        <v>0</v>
      </c>
      <c r="BO72" s="9">
        <v>0</v>
      </c>
      <c r="BP72" s="10">
        <v>0</v>
      </c>
      <c r="BQ72">
        <v>0</v>
      </c>
      <c r="BR72">
        <v>0</v>
      </c>
    </row>
    <row r="73" spans="1:70" x14ac:dyDescent="0.35">
      <c r="A73" s="8" t="s">
        <v>73</v>
      </c>
      <c r="B73" s="9" t="s">
        <v>660</v>
      </c>
      <c r="C73" s="10" t="s">
        <v>661</v>
      </c>
      <c r="D73" s="34">
        <f t="shared" si="3"/>
        <v>0</v>
      </c>
      <c r="E73" s="9">
        <v>0</v>
      </c>
      <c r="F73" s="9">
        <v>0</v>
      </c>
      <c r="G73" s="9">
        <v>0</v>
      </c>
      <c r="H73" s="9">
        <v>0</v>
      </c>
      <c r="I73" s="9">
        <v>0</v>
      </c>
      <c r="J73" s="9">
        <v>0</v>
      </c>
      <c r="K73" s="9">
        <v>0</v>
      </c>
      <c r="L73" s="9">
        <v>0</v>
      </c>
      <c r="M73" s="9">
        <v>0</v>
      </c>
      <c r="N73" s="9">
        <v>0</v>
      </c>
      <c r="O73" s="9">
        <v>0</v>
      </c>
      <c r="P73" s="9">
        <v>0</v>
      </c>
      <c r="Q73" s="9">
        <v>0</v>
      </c>
      <c r="R73" s="9">
        <v>0</v>
      </c>
      <c r="S73" s="9">
        <v>0</v>
      </c>
      <c r="T73" s="9">
        <v>0</v>
      </c>
      <c r="U73" s="9">
        <v>0</v>
      </c>
      <c r="V73" s="9">
        <v>0</v>
      </c>
      <c r="W73" s="9">
        <v>0</v>
      </c>
      <c r="X73" s="9">
        <v>0</v>
      </c>
      <c r="Y73" s="9">
        <v>0</v>
      </c>
      <c r="Z73" s="9">
        <v>0</v>
      </c>
      <c r="AA73" s="9">
        <v>0</v>
      </c>
      <c r="AB73" s="9">
        <v>0</v>
      </c>
      <c r="AC73" s="9">
        <v>0</v>
      </c>
      <c r="AD73" s="9">
        <v>0</v>
      </c>
      <c r="AE73" s="9">
        <v>0</v>
      </c>
      <c r="AF73" s="9">
        <v>0</v>
      </c>
      <c r="AG73" s="9">
        <v>0</v>
      </c>
      <c r="AH73" s="9">
        <v>0</v>
      </c>
      <c r="AI73" s="9">
        <v>0</v>
      </c>
      <c r="AJ73" s="9">
        <v>0</v>
      </c>
      <c r="AK73" s="9">
        <v>0</v>
      </c>
      <c r="AL73" s="9">
        <v>0</v>
      </c>
      <c r="AM73" s="9">
        <v>0</v>
      </c>
      <c r="AN73" s="9">
        <v>0</v>
      </c>
      <c r="AO73" s="9">
        <v>0</v>
      </c>
      <c r="AP73" s="9">
        <v>0</v>
      </c>
      <c r="AQ73" s="9">
        <v>0</v>
      </c>
      <c r="AR73" s="9">
        <v>0</v>
      </c>
      <c r="AS73" s="9">
        <v>0</v>
      </c>
      <c r="AT73" s="9">
        <v>0</v>
      </c>
      <c r="AU73" s="9">
        <v>0</v>
      </c>
      <c r="AV73" s="9">
        <v>0</v>
      </c>
      <c r="AW73" s="9">
        <v>0</v>
      </c>
      <c r="AX73" s="9">
        <v>0</v>
      </c>
      <c r="AY73" s="9">
        <v>0</v>
      </c>
      <c r="AZ73" s="9">
        <v>0</v>
      </c>
      <c r="BA73" s="9">
        <v>0</v>
      </c>
      <c r="BB73" s="9">
        <v>0</v>
      </c>
      <c r="BC73" s="9">
        <v>0</v>
      </c>
      <c r="BD73" s="9">
        <v>0</v>
      </c>
      <c r="BE73" s="9">
        <v>0</v>
      </c>
      <c r="BF73" s="9">
        <v>0</v>
      </c>
      <c r="BG73" s="9">
        <v>0</v>
      </c>
      <c r="BH73" s="9">
        <v>0</v>
      </c>
      <c r="BI73" s="9">
        <v>0</v>
      </c>
      <c r="BJ73" s="9">
        <v>0</v>
      </c>
      <c r="BK73" s="9">
        <v>0</v>
      </c>
      <c r="BL73" s="9">
        <v>0</v>
      </c>
      <c r="BM73" s="9">
        <v>0</v>
      </c>
      <c r="BN73" s="9">
        <v>0</v>
      </c>
      <c r="BO73" s="9">
        <v>0</v>
      </c>
      <c r="BP73" s="10">
        <v>0</v>
      </c>
      <c r="BQ73">
        <v>0</v>
      </c>
      <c r="BR73">
        <v>0</v>
      </c>
    </row>
    <row r="74" spans="1:70" x14ac:dyDescent="0.35">
      <c r="A74" s="8" t="s">
        <v>73</v>
      </c>
      <c r="B74" s="9" t="s">
        <v>662</v>
      </c>
      <c r="C74" s="10" t="s">
        <v>663</v>
      </c>
      <c r="D74" s="34">
        <f t="shared" si="3"/>
        <v>0</v>
      </c>
      <c r="E74" s="9">
        <v>0</v>
      </c>
      <c r="F74" s="9">
        <v>0</v>
      </c>
      <c r="G74" s="9">
        <v>0</v>
      </c>
      <c r="H74" s="9">
        <v>0</v>
      </c>
      <c r="I74" s="9">
        <v>0</v>
      </c>
      <c r="J74" s="9">
        <v>0</v>
      </c>
      <c r="K74" s="9">
        <v>0</v>
      </c>
      <c r="L74" s="9">
        <v>0</v>
      </c>
      <c r="M74" s="9">
        <v>0</v>
      </c>
      <c r="N74" s="9">
        <v>0</v>
      </c>
      <c r="O74" s="9">
        <v>0</v>
      </c>
      <c r="P74" s="9">
        <v>0</v>
      </c>
      <c r="Q74" s="9">
        <v>0</v>
      </c>
      <c r="R74" s="9">
        <v>0</v>
      </c>
      <c r="S74" s="9">
        <v>0</v>
      </c>
      <c r="T74" s="9">
        <v>0</v>
      </c>
      <c r="U74" s="9">
        <v>0</v>
      </c>
      <c r="V74" s="9">
        <v>0</v>
      </c>
      <c r="W74" s="9">
        <v>0</v>
      </c>
      <c r="X74" s="9">
        <v>0</v>
      </c>
      <c r="Y74" s="9">
        <v>0</v>
      </c>
      <c r="Z74" s="9">
        <v>0</v>
      </c>
      <c r="AA74" s="9">
        <v>0</v>
      </c>
      <c r="AB74" s="9">
        <v>0</v>
      </c>
      <c r="AC74" s="9">
        <v>0</v>
      </c>
      <c r="AD74" s="9">
        <v>0</v>
      </c>
      <c r="AE74" s="9">
        <v>0</v>
      </c>
      <c r="AF74" s="9">
        <v>0</v>
      </c>
      <c r="AG74" s="9">
        <v>0</v>
      </c>
      <c r="AH74" s="9">
        <v>0</v>
      </c>
      <c r="AI74" s="9">
        <v>0</v>
      </c>
      <c r="AJ74" s="9">
        <v>0</v>
      </c>
      <c r="AK74" s="9">
        <v>0</v>
      </c>
      <c r="AL74" s="9">
        <v>0</v>
      </c>
      <c r="AM74" s="9">
        <v>0</v>
      </c>
      <c r="AN74" s="9">
        <v>0</v>
      </c>
      <c r="AO74" s="9">
        <v>0</v>
      </c>
      <c r="AP74" s="9">
        <v>0</v>
      </c>
      <c r="AQ74" s="9">
        <v>0</v>
      </c>
      <c r="AR74" s="9">
        <v>0</v>
      </c>
      <c r="AS74" s="9">
        <v>0</v>
      </c>
      <c r="AT74" s="9">
        <v>0</v>
      </c>
      <c r="AU74" s="9">
        <v>0</v>
      </c>
      <c r="AV74" s="9">
        <v>0</v>
      </c>
      <c r="AW74" s="9">
        <v>0</v>
      </c>
      <c r="AX74" s="9">
        <v>0</v>
      </c>
      <c r="AY74" s="9">
        <v>0</v>
      </c>
      <c r="AZ74" s="9">
        <v>0</v>
      </c>
      <c r="BA74" s="9">
        <v>0</v>
      </c>
      <c r="BB74" s="9">
        <v>0</v>
      </c>
      <c r="BC74" s="9">
        <v>0</v>
      </c>
      <c r="BD74" s="9">
        <v>0</v>
      </c>
      <c r="BE74" s="9">
        <v>0</v>
      </c>
      <c r="BF74" s="9">
        <v>0</v>
      </c>
      <c r="BG74" s="9">
        <v>0</v>
      </c>
      <c r="BH74" s="9">
        <v>0</v>
      </c>
      <c r="BI74" s="9">
        <v>0</v>
      </c>
      <c r="BJ74" s="9">
        <v>0</v>
      </c>
      <c r="BK74" s="9">
        <v>0</v>
      </c>
      <c r="BL74" s="9">
        <v>0</v>
      </c>
      <c r="BM74" s="9">
        <v>0</v>
      </c>
      <c r="BN74" s="9">
        <v>0</v>
      </c>
      <c r="BO74" s="9">
        <v>0</v>
      </c>
      <c r="BP74" s="10">
        <v>0</v>
      </c>
      <c r="BQ74">
        <v>0</v>
      </c>
      <c r="BR74">
        <v>0</v>
      </c>
    </row>
    <row r="75" spans="1:70" x14ac:dyDescent="0.35">
      <c r="A75" s="8" t="s">
        <v>73</v>
      </c>
      <c r="B75" s="9" t="s">
        <v>664</v>
      </c>
      <c r="C75" s="10" t="s">
        <v>665</v>
      </c>
      <c r="D75" s="34">
        <f t="shared" si="3"/>
        <v>1</v>
      </c>
      <c r="E75" s="9">
        <v>0</v>
      </c>
      <c r="F75" s="9">
        <v>0</v>
      </c>
      <c r="G75" s="9">
        <v>0</v>
      </c>
      <c r="H75" s="9">
        <v>0</v>
      </c>
      <c r="I75" s="9">
        <v>1</v>
      </c>
      <c r="J75" s="9">
        <v>1</v>
      </c>
      <c r="K75" s="9">
        <v>1</v>
      </c>
      <c r="L75" s="9">
        <v>1</v>
      </c>
      <c r="M75" s="9">
        <v>1</v>
      </c>
      <c r="N75" s="9">
        <v>0</v>
      </c>
      <c r="O75" s="9">
        <v>1</v>
      </c>
      <c r="P75" s="9">
        <v>0</v>
      </c>
      <c r="Q75" s="9">
        <v>0</v>
      </c>
      <c r="R75" s="9">
        <v>0</v>
      </c>
      <c r="S75" s="9">
        <v>0</v>
      </c>
      <c r="T75" s="9">
        <v>0</v>
      </c>
      <c r="U75" s="9">
        <v>0</v>
      </c>
      <c r="V75" s="9">
        <v>0</v>
      </c>
      <c r="W75" s="9">
        <v>0</v>
      </c>
      <c r="X75" s="9">
        <v>0</v>
      </c>
      <c r="Y75" s="9">
        <v>0</v>
      </c>
      <c r="Z75" s="9">
        <v>0</v>
      </c>
      <c r="AA75" s="9">
        <v>0</v>
      </c>
      <c r="AB75" s="9">
        <v>0</v>
      </c>
      <c r="AC75" s="9">
        <v>0</v>
      </c>
      <c r="AD75" s="9">
        <v>0</v>
      </c>
      <c r="AE75" s="9">
        <v>0</v>
      </c>
      <c r="AF75" s="9">
        <v>0</v>
      </c>
      <c r="AG75" s="9">
        <v>0</v>
      </c>
      <c r="AH75" s="9">
        <v>0</v>
      </c>
      <c r="AI75" s="9">
        <v>0</v>
      </c>
      <c r="AJ75" s="9">
        <v>0</v>
      </c>
      <c r="AK75" s="9">
        <v>0</v>
      </c>
      <c r="AL75" s="9">
        <v>0</v>
      </c>
      <c r="AM75" s="9">
        <v>0</v>
      </c>
      <c r="AN75" s="9">
        <v>0</v>
      </c>
      <c r="AO75" s="9">
        <v>0</v>
      </c>
      <c r="AP75" s="9">
        <v>0</v>
      </c>
      <c r="AQ75" s="9">
        <v>0</v>
      </c>
      <c r="AR75" s="9">
        <v>0</v>
      </c>
      <c r="AS75" s="9">
        <v>0</v>
      </c>
      <c r="AT75" s="9">
        <v>0</v>
      </c>
      <c r="AU75" s="9">
        <v>0</v>
      </c>
      <c r="AV75" s="9">
        <v>0</v>
      </c>
      <c r="AW75" s="9">
        <v>0</v>
      </c>
      <c r="AX75" s="9">
        <v>0</v>
      </c>
      <c r="AY75" s="9">
        <v>0</v>
      </c>
      <c r="AZ75" s="9">
        <v>0</v>
      </c>
      <c r="BA75" s="9">
        <v>0</v>
      </c>
      <c r="BB75" s="9">
        <v>0</v>
      </c>
      <c r="BC75" s="9">
        <v>0</v>
      </c>
      <c r="BD75" s="9">
        <v>0</v>
      </c>
      <c r="BE75" s="9">
        <v>0</v>
      </c>
      <c r="BF75" s="9">
        <v>0</v>
      </c>
      <c r="BG75" s="9">
        <v>0</v>
      </c>
      <c r="BH75" s="9">
        <v>0</v>
      </c>
      <c r="BI75" s="9">
        <v>0</v>
      </c>
      <c r="BJ75" s="9">
        <v>0</v>
      </c>
      <c r="BK75" s="9">
        <v>0</v>
      </c>
      <c r="BL75" s="9">
        <v>0</v>
      </c>
      <c r="BM75" s="9">
        <v>0</v>
      </c>
      <c r="BN75" s="9">
        <v>0</v>
      </c>
      <c r="BO75" s="9">
        <v>0</v>
      </c>
      <c r="BP75" s="10">
        <v>0</v>
      </c>
      <c r="BQ75">
        <v>0</v>
      </c>
      <c r="BR75">
        <v>0</v>
      </c>
    </row>
    <row r="76" spans="1:70" x14ac:dyDescent="0.35">
      <c r="A76" s="8" t="s">
        <v>73</v>
      </c>
      <c r="B76" s="9" t="s">
        <v>666</v>
      </c>
      <c r="C76" s="10" t="s">
        <v>667</v>
      </c>
      <c r="D76" s="34">
        <f t="shared" si="3"/>
        <v>0</v>
      </c>
      <c r="E76" s="9">
        <v>0</v>
      </c>
      <c r="F76" s="9">
        <v>0</v>
      </c>
      <c r="G76" s="9">
        <v>0</v>
      </c>
      <c r="H76" s="9">
        <v>0</v>
      </c>
      <c r="I76" s="9">
        <v>0</v>
      </c>
      <c r="J76" s="9">
        <v>0</v>
      </c>
      <c r="K76" s="9">
        <v>0</v>
      </c>
      <c r="L76" s="9">
        <v>0</v>
      </c>
      <c r="M76" s="9">
        <v>0</v>
      </c>
      <c r="N76" s="9">
        <v>0</v>
      </c>
      <c r="O76" s="9">
        <v>0</v>
      </c>
      <c r="P76" s="9">
        <v>0</v>
      </c>
      <c r="Q76" s="9">
        <v>0</v>
      </c>
      <c r="R76" s="9">
        <v>0</v>
      </c>
      <c r="S76" s="9">
        <v>0</v>
      </c>
      <c r="T76" s="9">
        <v>0</v>
      </c>
      <c r="U76" s="9">
        <v>0</v>
      </c>
      <c r="V76" s="9">
        <v>0</v>
      </c>
      <c r="W76" s="9">
        <v>0</v>
      </c>
      <c r="X76" s="9">
        <v>0</v>
      </c>
      <c r="Y76" s="9">
        <v>0</v>
      </c>
      <c r="Z76" s="9">
        <v>0</v>
      </c>
      <c r="AA76" s="9">
        <v>0</v>
      </c>
      <c r="AB76" s="9">
        <v>0</v>
      </c>
      <c r="AC76" s="9">
        <v>0</v>
      </c>
      <c r="AD76" s="9">
        <v>0</v>
      </c>
      <c r="AE76" s="9">
        <v>0</v>
      </c>
      <c r="AF76" s="9">
        <v>0</v>
      </c>
      <c r="AG76" s="9">
        <v>0</v>
      </c>
      <c r="AH76" s="9">
        <v>0</v>
      </c>
      <c r="AI76" s="9">
        <v>0</v>
      </c>
      <c r="AJ76" s="9">
        <v>0</v>
      </c>
      <c r="AK76" s="9">
        <v>0</v>
      </c>
      <c r="AL76" s="9">
        <v>0</v>
      </c>
      <c r="AM76" s="9">
        <v>0</v>
      </c>
      <c r="AN76" s="9">
        <v>0</v>
      </c>
      <c r="AO76" s="9">
        <v>0</v>
      </c>
      <c r="AP76" s="9">
        <v>0</v>
      </c>
      <c r="AQ76" s="9">
        <v>0</v>
      </c>
      <c r="AR76" s="9">
        <v>0</v>
      </c>
      <c r="AS76" s="9">
        <v>0</v>
      </c>
      <c r="AT76" s="9">
        <v>0</v>
      </c>
      <c r="AU76" s="9">
        <v>0</v>
      </c>
      <c r="AV76" s="9">
        <v>0</v>
      </c>
      <c r="AW76" s="9">
        <v>0</v>
      </c>
      <c r="AX76" s="9">
        <v>0</v>
      </c>
      <c r="AY76" s="9">
        <v>0</v>
      </c>
      <c r="AZ76" s="9">
        <v>0</v>
      </c>
      <c r="BA76" s="9">
        <v>0</v>
      </c>
      <c r="BB76" s="9">
        <v>0</v>
      </c>
      <c r="BC76" s="9">
        <v>0</v>
      </c>
      <c r="BD76" s="9">
        <v>0</v>
      </c>
      <c r="BE76" s="9">
        <v>0</v>
      </c>
      <c r="BF76" s="9">
        <v>0</v>
      </c>
      <c r="BG76" s="9">
        <v>0</v>
      </c>
      <c r="BH76" s="9">
        <v>0</v>
      </c>
      <c r="BI76" s="9">
        <v>0</v>
      </c>
      <c r="BJ76" s="9">
        <v>0</v>
      </c>
      <c r="BK76" s="9">
        <v>0</v>
      </c>
      <c r="BL76" s="9">
        <v>0</v>
      </c>
      <c r="BM76" s="9">
        <v>0</v>
      </c>
      <c r="BN76" s="9">
        <v>0</v>
      </c>
      <c r="BO76" s="9">
        <v>0</v>
      </c>
      <c r="BP76" s="10">
        <v>0</v>
      </c>
      <c r="BQ76">
        <v>0</v>
      </c>
      <c r="BR76">
        <v>0</v>
      </c>
    </row>
    <row r="77" spans="1:70" x14ac:dyDescent="0.35">
      <c r="A77" s="8" t="s">
        <v>73</v>
      </c>
      <c r="B77" s="9" t="s">
        <v>668</v>
      </c>
      <c r="C77" s="10" t="s">
        <v>669</v>
      </c>
      <c r="D77" s="34">
        <f t="shared" si="3"/>
        <v>0</v>
      </c>
      <c r="E77" s="9">
        <v>0</v>
      </c>
      <c r="F77" s="9">
        <v>0</v>
      </c>
      <c r="G77" s="9">
        <v>0</v>
      </c>
      <c r="H77" s="9">
        <v>0</v>
      </c>
      <c r="I77" s="9">
        <v>0</v>
      </c>
      <c r="J77" s="9">
        <v>0</v>
      </c>
      <c r="K77" s="9">
        <v>0</v>
      </c>
      <c r="L77" s="9">
        <v>0</v>
      </c>
      <c r="M77" s="9">
        <v>0</v>
      </c>
      <c r="N77" s="9">
        <v>0</v>
      </c>
      <c r="O77" s="9">
        <v>0</v>
      </c>
      <c r="P77" s="9">
        <v>0</v>
      </c>
      <c r="Q77" s="9">
        <v>0</v>
      </c>
      <c r="R77" s="9">
        <v>0</v>
      </c>
      <c r="S77" s="9">
        <v>0</v>
      </c>
      <c r="T77" s="9">
        <v>0</v>
      </c>
      <c r="U77" s="9">
        <v>0</v>
      </c>
      <c r="V77" s="9">
        <v>0</v>
      </c>
      <c r="W77" s="9">
        <v>0</v>
      </c>
      <c r="X77" s="9">
        <v>0</v>
      </c>
      <c r="Y77" s="9">
        <v>0</v>
      </c>
      <c r="Z77" s="9">
        <v>0</v>
      </c>
      <c r="AA77" s="9">
        <v>0</v>
      </c>
      <c r="AB77" s="9">
        <v>0</v>
      </c>
      <c r="AC77" s="9">
        <v>0</v>
      </c>
      <c r="AD77" s="9">
        <v>0</v>
      </c>
      <c r="AE77" s="9">
        <v>0</v>
      </c>
      <c r="AF77" s="9">
        <v>0</v>
      </c>
      <c r="AG77" s="9">
        <v>0</v>
      </c>
      <c r="AH77" s="9">
        <v>0</v>
      </c>
      <c r="AI77" s="9">
        <v>0</v>
      </c>
      <c r="AJ77" s="9">
        <v>0</v>
      </c>
      <c r="AK77" s="9">
        <v>0</v>
      </c>
      <c r="AL77" s="9">
        <v>0</v>
      </c>
      <c r="AM77" s="9">
        <v>0</v>
      </c>
      <c r="AN77" s="9">
        <v>0</v>
      </c>
      <c r="AO77" s="9">
        <v>0</v>
      </c>
      <c r="AP77" s="9">
        <v>0</v>
      </c>
      <c r="AQ77" s="9">
        <v>0</v>
      </c>
      <c r="AR77" s="9">
        <v>0</v>
      </c>
      <c r="AS77" s="9">
        <v>0</v>
      </c>
      <c r="AT77" s="9">
        <v>0</v>
      </c>
      <c r="AU77" s="9">
        <v>0</v>
      </c>
      <c r="AV77" s="9">
        <v>0</v>
      </c>
      <c r="AW77" s="9">
        <v>0</v>
      </c>
      <c r="AX77" s="9">
        <v>0</v>
      </c>
      <c r="AY77" s="9">
        <v>0</v>
      </c>
      <c r="AZ77" s="9">
        <v>0</v>
      </c>
      <c r="BA77" s="9">
        <v>0</v>
      </c>
      <c r="BB77" s="9">
        <v>0</v>
      </c>
      <c r="BC77" s="9">
        <v>0</v>
      </c>
      <c r="BD77" s="9">
        <v>0</v>
      </c>
      <c r="BE77" s="9">
        <v>0</v>
      </c>
      <c r="BF77" s="9">
        <v>0</v>
      </c>
      <c r="BG77" s="9">
        <v>0</v>
      </c>
      <c r="BH77" s="9">
        <v>0</v>
      </c>
      <c r="BI77" s="9">
        <v>0</v>
      </c>
      <c r="BJ77" s="9">
        <v>0</v>
      </c>
      <c r="BK77" s="9">
        <v>0</v>
      </c>
      <c r="BL77" s="9">
        <v>0</v>
      </c>
      <c r="BM77" s="9">
        <v>0</v>
      </c>
      <c r="BN77" s="9">
        <v>0</v>
      </c>
      <c r="BO77" s="9">
        <v>0</v>
      </c>
      <c r="BP77" s="10">
        <v>0</v>
      </c>
      <c r="BQ77">
        <v>0</v>
      </c>
      <c r="BR77">
        <v>0</v>
      </c>
    </row>
    <row r="78" spans="1:70" x14ac:dyDescent="0.35">
      <c r="A78" s="8" t="s">
        <v>73</v>
      </c>
      <c r="B78" s="9" t="s">
        <v>670</v>
      </c>
      <c r="C78" s="10" t="s">
        <v>671</v>
      </c>
      <c r="D78" s="34">
        <f t="shared" si="3"/>
        <v>0</v>
      </c>
      <c r="E78" s="9">
        <v>0</v>
      </c>
      <c r="F78" s="9">
        <v>0</v>
      </c>
      <c r="G78" s="9">
        <v>0</v>
      </c>
      <c r="H78" s="9">
        <v>0</v>
      </c>
      <c r="I78" s="9">
        <v>0</v>
      </c>
      <c r="J78" s="9">
        <v>0</v>
      </c>
      <c r="K78" s="9">
        <v>0</v>
      </c>
      <c r="L78" s="9">
        <v>0</v>
      </c>
      <c r="M78" s="9">
        <v>0</v>
      </c>
      <c r="N78" s="9">
        <v>0</v>
      </c>
      <c r="O78" s="9">
        <v>0</v>
      </c>
      <c r="P78" s="9">
        <v>0</v>
      </c>
      <c r="Q78" s="9">
        <v>0</v>
      </c>
      <c r="R78" s="9">
        <v>0</v>
      </c>
      <c r="S78" s="9">
        <v>0</v>
      </c>
      <c r="T78" s="9">
        <v>0</v>
      </c>
      <c r="U78" s="9">
        <v>0</v>
      </c>
      <c r="V78" s="9">
        <v>0</v>
      </c>
      <c r="W78" s="9">
        <v>0</v>
      </c>
      <c r="X78" s="9">
        <v>0</v>
      </c>
      <c r="Y78" s="9">
        <v>0</v>
      </c>
      <c r="Z78" s="9">
        <v>0</v>
      </c>
      <c r="AA78" s="9">
        <v>0</v>
      </c>
      <c r="AB78" s="9">
        <v>0</v>
      </c>
      <c r="AC78" s="9">
        <v>0</v>
      </c>
      <c r="AD78" s="9">
        <v>0</v>
      </c>
      <c r="AE78" s="9">
        <v>0</v>
      </c>
      <c r="AF78" s="9">
        <v>0</v>
      </c>
      <c r="AG78" s="9">
        <v>0</v>
      </c>
      <c r="AH78" s="9">
        <v>0</v>
      </c>
      <c r="AI78" s="9">
        <v>0</v>
      </c>
      <c r="AJ78" s="9">
        <v>0</v>
      </c>
      <c r="AK78" s="9">
        <v>0</v>
      </c>
      <c r="AL78" s="9">
        <v>0</v>
      </c>
      <c r="AM78" s="9">
        <v>0</v>
      </c>
      <c r="AN78" s="9">
        <v>0</v>
      </c>
      <c r="AO78" s="9">
        <v>0</v>
      </c>
      <c r="AP78" s="9">
        <v>0</v>
      </c>
      <c r="AQ78" s="9">
        <v>0</v>
      </c>
      <c r="AR78" s="9">
        <v>0</v>
      </c>
      <c r="AS78" s="9">
        <v>0</v>
      </c>
      <c r="AT78" s="9">
        <v>0</v>
      </c>
      <c r="AU78" s="9">
        <v>0</v>
      </c>
      <c r="AV78" s="9">
        <v>0</v>
      </c>
      <c r="AW78" s="9">
        <v>0</v>
      </c>
      <c r="AX78" s="9">
        <v>0</v>
      </c>
      <c r="AY78" s="9">
        <v>0</v>
      </c>
      <c r="AZ78" s="9">
        <v>0</v>
      </c>
      <c r="BA78" s="9">
        <v>0</v>
      </c>
      <c r="BB78" s="9">
        <v>0</v>
      </c>
      <c r="BC78" s="9">
        <v>0</v>
      </c>
      <c r="BD78" s="9">
        <v>0</v>
      </c>
      <c r="BE78" s="9">
        <v>0</v>
      </c>
      <c r="BF78" s="9">
        <v>0</v>
      </c>
      <c r="BG78" s="9">
        <v>0</v>
      </c>
      <c r="BH78" s="9">
        <v>0</v>
      </c>
      <c r="BI78" s="9">
        <v>0</v>
      </c>
      <c r="BJ78" s="9">
        <v>0</v>
      </c>
      <c r="BK78" s="9">
        <v>0</v>
      </c>
      <c r="BL78" s="9">
        <v>0</v>
      </c>
      <c r="BM78" s="9">
        <v>0</v>
      </c>
      <c r="BN78" s="9">
        <v>0</v>
      </c>
      <c r="BO78" s="9">
        <v>0</v>
      </c>
      <c r="BP78" s="10">
        <v>0</v>
      </c>
      <c r="BQ78">
        <v>0</v>
      </c>
      <c r="BR78">
        <v>0</v>
      </c>
    </row>
    <row r="79" spans="1:70" x14ac:dyDescent="0.35">
      <c r="A79" s="8" t="s">
        <v>73</v>
      </c>
      <c r="B79" s="9" t="s">
        <v>672</v>
      </c>
      <c r="C79" s="10" t="s">
        <v>673</v>
      </c>
      <c r="D79" s="34">
        <f t="shared" si="3"/>
        <v>0</v>
      </c>
      <c r="E79" s="9">
        <v>0</v>
      </c>
      <c r="F79" s="9">
        <v>0</v>
      </c>
      <c r="G79" s="9">
        <v>0</v>
      </c>
      <c r="H79" s="9">
        <v>0</v>
      </c>
      <c r="I79" s="9">
        <v>0</v>
      </c>
      <c r="J79" s="9">
        <v>0</v>
      </c>
      <c r="K79" s="9">
        <v>0</v>
      </c>
      <c r="L79" s="9">
        <v>0</v>
      </c>
      <c r="M79" s="9">
        <v>0</v>
      </c>
      <c r="N79" s="9">
        <v>0</v>
      </c>
      <c r="O79" s="9">
        <v>0</v>
      </c>
      <c r="P79" s="9">
        <v>0</v>
      </c>
      <c r="Q79" s="9">
        <v>0</v>
      </c>
      <c r="R79" s="9">
        <v>0</v>
      </c>
      <c r="S79" s="9">
        <v>0</v>
      </c>
      <c r="T79" s="9">
        <v>0</v>
      </c>
      <c r="U79" s="9">
        <v>0</v>
      </c>
      <c r="V79" s="9">
        <v>0</v>
      </c>
      <c r="W79" s="9">
        <v>0</v>
      </c>
      <c r="X79" s="9">
        <v>0</v>
      </c>
      <c r="Y79" s="9">
        <v>0</v>
      </c>
      <c r="Z79" s="9">
        <v>0</v>
      </c>
      <c r="AA79" s="9">
        <v>0</v>
      </c>
      <c r="AB79" s="9">
        <v>0</v>
      </c>
      <c r="AC79" s="9">
        <v>0</v>
      </c>
      <c r="AD79" s="9">
        <v>0</v>
      </c>
      <c r="AE79" s="9">
        <v>0</v>
      </c>
      <c r="AF79" s="9">
        <v>0</v>
      </c>
      <c r="AG79" s="9">
        <v>0</v>
      </c>
      <c r="AH79" s="9">
        <v>0</v>
      </c>
      <c r="AI79" s="9">
        <v>0</v>
      </c>
      <c r="AJ79" s="9">
        <v>0</v>
      </c>
      <c r="AK79" s="9">
        <v>0</v>
      </c>
      <c r="AL79" s="9">
        <v>0</v>
      </c>
      <c r="AM79" s="9">
        <v>0</v>
      </c>
      <c r="AN79" s="9">
        <v>0</v>
      </c>
      <c r="AO79" s="9">
        <v>0</v>
      </c>
      <c r="AP79" s="9">
        <v>0</v>
      </c>
      <c r="AQ79" s="9">
        <v>0</v>
      </c>
      <c r="AR79" s="9">
        <v>0</v>
      </c>
      <c r="AS79" s="9">
        <v>0</v>
      </c>
      <c r="AT79" s="9">
        <v>0</v>
      </c>
      <c r="AU79" s="9">
        <v>0</v>
      </c>
      <c r="AV79" s="9">
        <v>0</v>
      </c>
      <c r="AW79" s="9">
        <v>0</v>
      </c>
      <c r="AX79" s="9">
        <v>0</v>
      </c>
      <c r="AY79" s="9">
        <v>0</v>
      </c>
      <c r="AZ79" s="9">
        <v>0</v>
      </c>
      <c r="BA79" s="9">
        <v>0</v>
      </c>
      <c r="BB79" s="9">
        <v>0</v>
      </c>
      <c r="BC79" s="9">
        <v>0</v>
      </c>
      <c r="BD79" s="9">
        <v>0</v>
      </c>
      <c r="BE79" s="9">
        <v>0</v>
      </c>
      <c r="BF79" s="9">
        <v>0</v>
      </c>
      <c r="BG79" s="9">
        <v>0</v>
      </c>
      <c r="BH79" s="9">
        <v>0</v>
      </c>
      <c r="BI79" s="9">
        <v>0</v>
      </c>
      <c r="BJ79" s="9">
        <v>0</v>
      </c>
      <c r="BK79" s="9">
        <v>0</v>
      </c>
      <c r="BL79" s="9">
        <v>0</v>
      </c>
      <c r="BM79" s="9">
        <v>0</v>
      </c>
      <c r="BN79" s="9">
        <v>0</v>
      </c>
      <c r="BO79" s="9">
        <v>0</v>
      </c>
      <c r="BP79" s="10">
        <v>0</v>
      </c>
      <c r="BQ79">
        <v>0</v>
      </c>
      <c r="BR79">
        <v>0</v>
      </c>
    </row>
    <row r="80" spans="1:70" x14ac:dyDescent="0.35">
      <c r="A80" s="8" t="s">
        <v>73</v>
      </c>
      <c r="B80" s="9" t="s">
        <v>94</v>
      </c>
      <c r="C80" s="10" t="s">
        <v>674</v>
      </c>
      <c r="D80" s="34">
        <f t="shared" si="3"/>
        <v>0</v>
      </c>
      <c r="E80" s="9">
        <v>0</v>
      </c>
      <c r="F80" s="9">
        <v>0</v>
      </c>
      <c r="G80" s="9">
        <v>0</v>
      </c>
      <c r="H80" s="9">
        <v>0</v>
      </c>
      <c r="I80" s="9">
        <v>0</v>
      </c>
      <c r="J80" s="9">
        <v>0</v>
      </c>
      <c r="K80" s="9">
        <v>0</v>
      </c>
      <c r="L80" s="9">
        <v>0</v>
      </c>
      <c r="M80" s="9">
        <v>0</v>
      </c>
      <c r="N80" s="9">
        <v>0</v>
      </c>
      <c r="O80" s="9">
        <v>0</v>
      </c>
      <c r="P80" s="9">
        <v>0</v>
      </c>
      <c r="Q80" s="9">
        <v>0</v>
      </c>
      <c r="R80" s="9">
        <v>0</v>
      </c>
      <c r="S80" s="9">
        <v>0</v>
      </c>
      <c r="T80" s="9">
        <v>0</v>
      </c>
      <c r="U80" s="9">
        <v>0</v>
      </c>
      <c r="V80" s="9">
        <v>0</v>
      </c>
      <c r="W80" s="9">
        <v>0</v>
      </c>
      <c r="X80" s="9">
        <v>0</v>
      </c>
      <c r="Y80" s="9">
        <v>0</v>
      </c>
      <c r="Z80" s="9">
        <v>0</v>
      </c>
      <c r="AA80" s="9">
        <v>0</v>
      </c>
      <c r="AB80" s="9">
        <v>0</v>
      </c>
      <c r="AC80" s="9">
        <v>0</v>
      </c>
      <c r="AD80" s="9">
        <v>0</v>
      </c>
      <c r="AE80" s="9">
        <v>0</v>
      </c>
      <c r="AF80" s="9">
        <v>0</v>
      </c>
      <c r="AG80" s="9">
        <v>0</v>
      </c>
      <c r="AH80" s="9">
        <v>0</v>
      </c>
      <c r="AI80" s="9">
        <v>0</v>
      </c>
      <c r="AJ80" s="9">
        <v>0</v>
      </c>
      <c r="AK80" s="9">
        <v>0</v>
      </c>
      <c r="AL80" s="9">
        <v>0</v>
      </c>
      <c r="AM80" s="9">
        <v>0</v>
      </c>
      <c r="AN80" s="9">
        <v>0</v>
      </c>
      <c r="AO80" s="9">
        <v>0</v>
      </c>
      <c r="AP80" s="9">
        <v>0</v>
      </c>
      <c r="AQ80" s="9">
        <v>0</v>
      </c>
      <c r="AR80" s="9">
        <v>0</v>
      </c>
      <c r="AS80" s="9">
        <v>0</v>
      </c>
      <c r="AT80" s="9">
        <v>0</v>
      </c>
      <c r="AU80" s="9">
        <v>0</v>
      </c>
      <c r="AV80" s="9">
        <v>0</v>
      </c>
      <c r="AW80" s="9">
        <v>0</v>
      </c>
      <c r="AX80" s="9">
        <v>0</v>
      </c>
      <c r="AY80" s="9">
        <v>0</v>
      </c>
      <c r="AZ80" s="9">
        <v>0</v>
      </c>
      <c r="BA80" s="9">
        <v>0</v>
      </c>
      <c r="BB80" s="9">
        <v>0</v>
      </c>
      <c r="BC80" s="9">
        <v>0</v>
      </c>
      <c r="BD80" s="9">
        <v>0</v>
      </c>
      <c r="BE80" s="9">
        <v>0</v>
      </c>
      <c r="BF80" s="9">
        <v>0</v>
      </c>
      <c r="BG80" s="9">
        <v>0</v>
      </c>
      <c r="BH80" s="9">
        <v>0</v>
      </c>
      <c r="BI80" s="9">
        <v>0</v>
      </c>
      <c r="BJ80" s="9">
        <v>0</v>
      </c>
      <c r="BK80" s="9">
        <v>0</v>
      </c>
      <c r="BL80" s="9">
        <v>0</v>
      </c>
      <c r="BM80" s="9">
        <v>0</v>
      </c>
      <c r="BN80" s="9">
        <v>0</v>
      </c>
      <c r="BO80" s="9">
        <v>0</v>
      </c>
      <c r="BP80" s="10">
        <v>0</v>
      </c>
      <c r="BQ80">
        <v>0</v>
      </c>
      <c r="BR80">
        <v>0</v>
      </c>
    </row>
    <row r="81" spans="1:70" x14ac:dyDescent="0.35">
      <c r="A81" s="8" t="s">
        <v>73</v>
      </c>
      <c r="B81" s="9" t="s">
        <v>96</v>
      </c>
      <c r="C81" s="10" t="s">
        <v>675</v>
      </c>
      <c r="D81" s="34">
        <f t="shared" si="3"/>
        <v>0</v>
      </c>
      <c r="E81" s="9">
        <v>0</v>
      </c>
      <c r="F81" s="9">
        <v>0</v>
      </c>
      <c r="G81" s="9">
        <v>0</v>
      </c>
      <c r="H81" s="9">
        <v>0</v>
      </c>
      <c r="I81" s="9">
        <v>0</v>
      </c>
      <c r="J81" s="9">
        <v>0</v>
      </c>
      <c r="K81" s="9">
        <v>0</v>
      </c>
      <c r="L81" s="9">
        <v>0</v>
      </c>
      <c r="M81" s="9">
        <v>0</v>
      </c>
      <c r="N81" s="9">
        <v>0</v>
      </c>
      <c r="O81" s="9">
        <v>0</v>
      </c>
      <c r="P81" s="9">
        <v>0</v>
      </c>
      <c r="Q81" s="9">
        <v>0</v>
      </c>
      <c r="R81" s="9">
        <v>0</v>
      </c>
      <c r="S81" s="9">
        <v>0</v>
      </c>
      <c r="T81" s="9">
        <v>0</v>
      </c>
      <c r="U81" s="9">
        <v>0</v>
      </c>
      <c r="V81" s="9">
        <v>0</v>
      </c>
      <c r="W81" s="9">
        <v>0</v>
      </c>
      <c r="X81" s="9">
        <v>0</v>
      </c>
      <c r="Y81" s="9">
        <v>0</v>
      </c>
      <c r="Z81" s="9">
        <v>0</v>
      </c>
      <c r="AA81" s="9">
        <v>0</v>
      </c>
      <c r="AB81" s="9">
        <v>0</v>
      </c>
      <c r="AC81" s="9">
        <v>0</v>
      </c>
      <c r="AD81" s="9">
        <v>0</v>
      </c>
      <c r="AE81" s="9">
        <v>0</v>
      </c>
      <c r="AF81" s="9">
        <v>0</v>
      </c>
      <c r="AG81" s="9">
        <v>0</v>
      </c>
      <c r="AH81" s="9">
        <v>0</v>
      </c>
      <c r="AI81" s="9">
        <v>0</v>
      </c>
      <c r="AJ81" s="9">
        <v>0</v>
      </c>
      <c r="AK81" s="9">
        <v>0</v>
      </c>
      <c r="AL81" s="9">
        <v>0</v>
      </c>
      <c r="AM81" s="9">
        <v>0</v>
      </c>
      <c r="AN81" s="9">
        <v>0</v>
      </c>
      <c r="AO81" s="9">
        <v>0</v>
      </c>
      <c r="AP81" s="9">
        <v>0</v>
      </c>
      <c r="AQ81" s="9">
        <v>0</v>
      </c>
      <c r="AR81" s="9">
        <v>0</v>
      </c>
      <c r="AS81" s="9">
        <v>0</v>
      </c>
      <c r="AT81" s="9">
        <v>0</v>
      </c>
      <c r="AU81" s="9">
        <v>0</v>
      </c>
      <c r="AV81" s="9">
        <v>0</v>
      </c>
      <c r="AW81" s="9">
        <v>0</v>
      </c>
      <c r="AX81" s="9">
        <v>0</v>
      </c>
      <c r="AY81" s="9">
        <v>0</v>
      </c>
      <c r="AZ81" s="9">
        <v>0</v>
      </c>
      <c r="BA81" s="9">
        <v>0</v>
      </c>
      <c r="BB81" s="9">
        <v>0</v>
      </c>
      <c r="BC81" s="9">
        <v>0</v>
      </c>
      <c r="BD81" s="9">
        <v>0</v>
      </c>
      <c r="BE81" s="9">
        <v>0</v>
      </c>
      <c r="BF81" s="9">
        <v>0</v>
      </c>
      <c r="BG81" s="9">
        <v>0</v>
      </c>
      <c r="BH81" s="9">
        <v>0</v>
      </c>
      <c r="BI81" s="9">
        <v>0</v>
      </c>
      <c r="BJ81" s="9">
        <v>0</v>
      </c>
      <c r="BK81" s="9">
        <v>0</v>
      </c>
      <c r="BL81" s="9">
        <v>0</v>
      </c>
      <c r="BM81" s="9">
        <v>0</v>
      </c>
      <c r="BN81" s="9">
        <v>0</v>
      </c>
      <c r="BO81" s="9">
        <v>0</v>
      </c>
      <c r="BP81" s="10">
        <v>0</v>
      </c>
      <c r="BQ81">
        <v>0</v>
      </c>
      <c r="BR81">
        <v>0</v>
      </c>
    </row>
    <row r="82" spans="1:70" x14ac:dyDescent="0.35">
      <c r="A82" s="8" t="s">
        <v>73</v>
      </c>
      <c r="B82" s="9" t="s">
        <v>678</v>
      </c>
      <c r="C82" s="10" t="s">
        <v>679</v>
      </c>
      <c r="D82" s="34">
        <f t="shared" si="3"/>
        <v>0</v>
      </c>
      <c r="E82" s="9">
        <v>0</v>
      </c>
      <c r="F82" s="9">
        <v>0</v>
      </c>
      <c r="G82" s="9">
        <v>0</v>
      </c>
      <c r="H82" s="9">
        <v>0</v>
      </c>
      <c r="I82" s="9">
        <v>0</v>
      </c>
      <c r="J82" s="9">
        <v>0</v>
      </c>
      <c r="K82" s="9">
        <v>0</v>
      </c>
      <c r="L82" s="9">
        <v>0</v>
      </c>
      <c r="M82" s="9">
        <v>0</v>
      </c>
      <c r="N82" s="9">
        <v>0</v>
      </c>
      <c r="O82" s="9">
        <v>0</v>
      </c>
      <c r="P82" s="9">
        <v>0</v>
      </c>
      <c r="Q82" s="9">
        <v>0</v>
      </c>
      <c r="R82" s="9">
        <v>0</v>
      </c>
      <c r="S82" s="9">
        <v>0</v>
      </c>
      <c r="T82" s="9">
        <v>0</v>
      </c>
      <c r="U82" s="9">
        <v>0</v>
      </c>
      <c r="V82" s="9">
        <v>0</v>
      </c>
      <c r="W82" s="9">
        <v>0</v>
      </c>
      <c r="X82" s="9">
        <v>0</v>
      </c>
      <c r="Y82" s="9">
        <v>0</v>
      </c>
      <c r="Z82" s="9">
        <v>0</v>
      </c>
      <c r="AA82" s="9">
        <v>0</v>
      </c>
      <c r="AB82" s="9">
        <v>0</v>
      </c>
      <c r="AC82" s="9">
        <v>0</v>
      </c>
      <c r="AD82" s="9">
        <v>0</v>
      </c>
      <c r="AE82" s="9">
        <v>0</v>
      </c>
      <c r="AF82" s="9">
        <v>0</v>
      </c>
      <c r="AG82" s="9">
        <v>0</v>
      </c>
      <c r="AH82" s="9">
        <v>0</v>
      </c>
      <c r="AI82" s="9">
        <v>0</v>
      </c>
      <c r="AJ82" s="9">
        <v>0</v>
      </c>
      <c r="AK82" s="9">
        <v>0</v>
      </c>
      <c r="AL82" s="9">
        <v>0</v>
      </c>
      <c r="AM82" s="9">
        <v>0</v>
      </c>
      <c r="AN82" s="9">
        <v>0</v>
      </c>
      <c r="AO82" s="9">
        <v>0</v>
      </c>
      <c r="AP82" s="9">
        <v>0</v>
      </c>
      <c r="AQ82" s="9">
        <v>0</v>
      </c>
      <c r="AR82" s="9">
        <v>0</v>
      </c>
      <c r="AS82" s="9">
        <v>0</v>
      </c>
      <c r="AT82" s="9">
        <v>0</v>
      </c>
      <c r="AU82" s="9">
        <v>0</v>
      </c>
      <c r="AV82" s="9">
        <v>0</v>
      </c>
      <c r="AW82" s="9">
        <v>0</v>
      </c>
      <c r="AX82" s="9">
        <v>0</v>
      </c>
      <c r="AY82" s="9">
        <v>0</v>
      </c>
      <c r="AZ82" s="9">
        <v>0</v>
      </c>
      <c r="BA82" s="9">
        <v>0</v>
      </c>
      <c r="BB82" s="9">
        <v>0</v>
      </c>
      <c r="BC82" s="9">
        <v>0</v>
      </c>
      <c r="BD82" s="9">
        <v>0</v>
      </c>
      <c r="BE82" s="9">
        <v>0</v>
      </c>
      <c r="BF82" s="9">
        <v>0</v>
      </c>
      <c r="BG82" s="9">
        <v>0</v>
      </c>
      <c r="BH82" s="9">
        <v>0</v>
      </c>
      <c r="BI82" s="9">
        <v>0</v>
      </c>
      <c r="BJ82" s="9">
        <v>0</v>
      </c>
      <c r="BK82" s="9">
        <v>0</v>
      </c>
      <c r="BL82" s="9">
        <v>0</v>
      </c>
      <c r="BM82" s="9">
        <v>0</v>
      </c>
      <c r="BN82" s="9">
        <v>0</v>
      </c>
      <c r="BO82" s="9">
        <v>0</v>
      </c>
      <c r="BP82" s="10">
        <v>0</v>
      </c>
      <c r="BQ82">
        <v>0</v>
      </c>
      <c r="BR82">
        <v>0</v>
      </c>
    </row>
    <row r="83" spans="1:70" x14ac:dyDescent="0.35">
      <c r="A83" s="8" t="s">
        <v>73</v>
      </c>
      <c r="B83" s="9" t="s">
        <v>680</v>
      </c>
      <c r="C83" s="10" t="s">
        <v>681</v>
      </c>
      <c r="D83" s="34">
        <f t="shared" si="3"/>
        <v>38</v>
      </c>
      <c r="E83" s="9">
        <v>0</v>
      </c>
      <c r="F83" s="9">
        <v>0</v>
      </c>
      <c r="G83" s="9">
        <v>0</v>
      </c>
      <c r="H83" s="9">
        <v>0</v>
      </c>
      <c r="I83" s="9">
        <v>0</v>
      </c>
      <c r="J83" s="9">
        <v>0</v>
      </c>
      <c r="K83" s="9">
        <v>0</v>
      </c>
      <c r="L83" s="9">
        <v>0</v>
      </c>
      <c r="M83" s="9">
        <v>0</v>
      </c>
      <c r="N83" s="9">
        <v>0</v>
      </c>
      <c r="O83" s="9">
        <v>0</v>
      </c>
      <c r="P83" s="9">
        <v>0</v>
      </c>
      <c r="Q83" s="9">
        <v>0</v>
      </c>
      <c r="R83" s="9">
        <v>0</v>
      </c>
      <c r="S83" s="9">
        <v>0</v>
      </c>
      <c r="T83" s="9">
        <v>0</v>
      </c>
      <c r="U83" s="9">
        <v>0</v>
      </c>
      <c r="V83" s="9">
        <v>0</v>
      </c>
      <c r="W83" s="9">
        <v>0</v>
      </c>
      <c r="X83" s="9">
        <v>0</v>
      </c>
      <c r="Y83" s="9">
        <v>0</v>
      </c>
      <c r="Z83" s="9">
        <v>0</v>
      </c>
      <c r="AA83" s="9">
        <v>0</v>
      </c>
      <c r="AB83" s="9">
        <v>0</v>
      </c>
      <c r="AC83" s="9">
        <v>0</v>
      </c>
      <c r="AD83" s="9">
        <v>0</v>
      </c>
      <c r="AE83" s="9">
        <v>0</v>
      </c>
      <c r="AF83" s="9">
        <v>0</v>
      </c>
      <c r="AG83" s="9">
        <v>0</v>
      </c>
      <c r="AH83" s="9">
        <v>0</v>
      </c>
      <c r="AI83" s="9">
        <v>0</v>
      </c>
      <c r="AJ83" s="9">
        <v>0</v>
      </c>
      <c r="AK83" s="9">
        <v>0</v>
      </c>
      <c r="AL83" s="9">
        <v>0</v>
      </c>
      <c r="AM83" s="9">
        <v>0</v>
      </c>
      <c r="AN83" s="9">
        <v>0</v>
      </c>
      <c r="AO83" s="9">
        <v>0</v>
      </c>
      <c r="AP83" s="9">
        <v>0</v>
      </c>
      <c r="AQ83" s="9">
        <v>0</v>
      </c>
      <c r="AR83" s="9">
        <v>0</v>
      </c>
      <c r="AS83" s="9">
        <v>0</v>
      </c>
      <c r="AT83" s="9">
        <v>0</v>
      </c>
      <c r="AU83" s="9">
        <v>38</v>
      </c>
      <c r="AV83" s="9">
        <v>0</v>
      </c>
      <c r="AW83" s="9">
        <v>0</v>
      </c>
      <c r="AX83" s="9">
        <v>0</v>
      </c>
      <c r="AY83" s="9">
        <v>0</v>
      </c>
      <c r="AZ83" s="9">
        <v>0</v>
      </c>
      <c r="BA83" s="9">
        <v>0</v>
      </c>
      <c r="BB83" s="9">
        <v>0</v>
      </c>
      <c r="BC83" s="9">
        <v>0</v>
      </c>
      <c r="BD83" s="9">
        <v>0</v>
      </c>
      <c r="BE83" s="9">
        <v>0</v>
      </c>
      <c r="BF83" s="9">
        <v>0</v>
      </c>
      <c r="BG83" s="9">
        <v>0</v>
      </c>
      <c r="BH83" s="9">
        <v>0</v>
      </c>
      <c r="BI83" s="9">
        <v>0</v>
      </c>
      <c r="BJ83" s="9">
        <v>0</v>
      </c>
      <c r="BK83" s="9">
        <v>0</v>
      </c>
      <c r="BL83" s="9">
        <v>0</v>
      </c>
      <c r="BM83" s="9">
        <v>0</v>
      </c>
      <c r="BN83" s="9">
        <v>0</v>
      </c>
      <c r="BO83" s="9">
        <v>0</v>
      </c>
      <c r="BP83" s="10">
        <v>0</v>
      </c>
      <c r="BQ83">
        <v>0</v>
      </c>
      <c r="BR83">
        <v>0</v>
      </c>
    </row>
    <row r="84" spans="1:70" x14ac:dyDescent="0.35">
      <c r="A84" s="8" t="s">
        <v>73</v>
      </c>
      <c r="B84" s="9" t="s">
        <v>682</v>
      </c>
      <c r="C84" s="10" t="s">
        <v>683</v>
      </c>
      <c r="D84" s="34">
        <f t="shared" si="3"/>
        <v>0</v>
      </c>
      <c r="E84" s="9">
        <v>0</v>
      </c>
      <c r="F84" s="9">
        <v>0</v>
      </c>
      <c r="G84" s="9">
        <v>0</v>
      </c>
      <c r="H84" s="9">
        <v>0</v>
      </c>
      <c r="I84" s="9">
        <v>0</v>
      </c>
      <c r="J84" s="9">
        <v>0</v>
      </c>
      <c r="K84" s="9">
        <v>0</v>
      </c>
      <c r="L84" s="9">
        <v>0</v>
      </c>
      <c r="M84" s="9">
        <v>0</v>
      </c>
      <c r="N84" s="9">
        <v>0</v>
      </c>
      <c r="O84" s="9">
        <v>0</v>
      </c>
      <c r="P84" s="9">
        <v>0</v>
      </c>
      <c r="Q84" s="9">
        <v>0</v>
      </c>
      <c r="R84" s="9">
        <v>0</v>
      </c>
      <c r="S84" s="9">
        <v>0</v>
      </c>
      <c r="T84" s="9">
        <v>0</v>
      </c>
      <c r="U84" s="9">
        <v>0</v>
      </c>
      <c r="V84" s="9">
        <v>0</v>
      </c>
      <c r="W84" s="9">
        <v>0</v>
      </c>
      <c r="X84" s="9">
        <v>0</v>
      </c>
      <c r="Y84" s="9">
        <v>0</v>
      </c>
      <c r="Z84" s="9">
        <v>0</v>
      </c>
      <c r="AA84" s="9">
        <v>0</v>
      </c>
      <c r="AB84" s="9">
        <v>0</v>
      </c>
      <c r="AC84" s="9">
        <v>0</v>
      </c>
      <c r="AD84" s="9">
        <v>0</v>
      </c>
      <c r="AE84" s="9">
        <v>0</v>
      </c>
      <c r="AF84" s="9">
        <v>0</v>
      </c>
      <c r="AG84" s="9">
        <v>0</v>
      </c>
      <c r="AH84" s="9">
        <v>0</v>
      </c>
      <c r="AI84" s="9">
        <v>0</v>
      </c>
      <c r="AJ84" s="9">
        <v>0</v>
      </c>
      <c r="AK84" s="9">
        <v>0</v>
      </c>
      <c r="AL84" s="9">
        <v>0</v>
      </c>
      <c r="AM84" s="9">
        <v>0</v>
      </c>
      <c r="AN84" s="9">
        <v>0</v>
      </c>
      <c r="AO84" s="9">
        <v>0</v>
      </c>
      <c r="AP84" s="9">
        <v>0</v>
      </c>
      <c r="AQ84" s="9">
        <v>0</v>
      </c>
      <c r="AR84" s="9">
        <v>0</v>
      </c>
      <c r="AS84" s="9">
        <v>0</v>
      </c>
      <c r="AT84" s="9">
        <v>0</v>
      </c>
      <c r="AU84" s="9">
        <v>0</v>
      </c>
      <c r="AV84" s="9">
        <v>0</v>
      </c>
      <c r="AW84" s="9">
        <v>0</v>
      </c>
      <c r="AX84" s="9">
        <v>0</v>
      </c>
      <c r="AY84" s="9">
        <v>0</v>
      </c>
      <c r="AZ84" s="9">
        <v>0</v>
      </c>
      <c r="BA84" s="9">
        <v>0</v>
      </c>
      <c r="BB84" s="9">
        <v>0</v>
      </c>
      <c r="BC84" s="9">
        <v>0</v>
      </c>
      <c r="BD84" s="9">
        <v>0</v>
      </c>
      <c r="BE84" s="9">
        <v>0</v>
      </c>
      <c r="BF84" s="9">
        <v>0</v>
      </c>
      <c r="BG84" s="9">
        <v>0</v>
      </c>
      <c r="BH84" s="9">
        <v>0</v>
      </c>
      <c r="BI84" s="9">
        <v>0</v>
      </c>
      <c r="BJ84" s="9">
        <v>0</v>
      </c>
      <c r="BK84" s="9">
        <v>0</v>
      </c>
      <c r="BL84" s="9">
        <v>0</v>
      </c>
      <c r="BM84" s="9">
        <v>0</v>
      </c>
      <c r="BN84" s="9">
        <v>0</v>
      </c>
      <c r="BO84" s="9">
        <v>0</v>
      </c>
      <c r="BP84" s="10">
        <v>0</v>
      </c>
      <c r="BQ84">
        <v>0</v>
      </c>
      <c r="BR84">
        <v>0</v>
      </c>
    </row>
    <row r="85" spans="1:70" x14ac:dyDescent="0.35">
      <c r="A85" s="8" t="s">
        <v>73</v>
      </c>
      <c r="B85" s="9" t="s">
        <v>684</v>
      </c>
      <c r="C85" s="10" t="s">
        <v>685</v>
      </c>
      <c r="D85" s="34">
        <f t="shared" si="3"/>
        <v>0</v>
      </c>
      <c r="E85" s="9">
        <v>0</v>
      </c>
      <c r="F85" s="9">
        <v>0</v>
      </c>
      <c r="G85" s="9">
        <v>0</v>
      </c>
      <c r="H85" s="9">
        <v>0</v>
      </c>
      <c r="I85" s="9">
        <v>0</v>
      </c>
      <c r="J85" s="9">
        <v>0</v>
      </c>
      <c r="K85" s="9">
        <v>0</v>
      </c>
      <c r="L85" s="9">
        <v>0</v>
      </c>
      <c r="M85" s="9">
        <v>0</v>
      </c>
      <c r="N85" s="9">
        <v>0</v>
      </c>
      <c r="O85" s="9">
        <v>0</v>
      </c>
      <c r="P85" s="9">
        <v>0</v>
      </c>
      <c r="Q85" s="9">
        <v>0</v>
      </c>
      <c r="R85" s="9">
        <v>0</v>
      </c>
      <c r="S85" s="9">
        <v>0</v>
      </c>
      <c r="T85" s="9">
        <v>0</v>
      </c>
      <c r="U85" s="9">
        <v>0</v>
      </c>
      <c r="V85" s="9">
        <v>0</v>
      </c>
      <c r="W85" s="9">
        <v>0</v>
      </c>
      <c r="X85" s="9">
        <v>0</v>
      </c>
      <c r="Y85" s="9">
        <v>0</v>
      </c>
      <c r="Z85" s="9">
        <v>0</v>
      </c>
      <c r="AA85" s="9">
        <v>0</v>
      </c>
      <c r="AB85" s="9">
        <v>0</v>
      </c>
      <c r="AC85" s="9">
        <v>0</v>
      </c>
      <c r="AD85" s="9">
        <v>0</v>
      </c>
      <c r="AE85" s="9">
        <v>0</v>
      </c>
      <c r="AF85" s="9">
        <v>0</v>
      </c>
      <c r="AG85" s="9">
        <v>0</v>
      </c>
      <c r="AH85" s="9">
        <v>0</v>
      </c>
      <c r="AI85" s="9">
        <v>0</v>
      </c>
      <c r="AJ85" s="9">
        <v>0</v>
      </c>
      <c r="AK85" s="9">
        <v>0</v>
      </c>
      <c r="AL85" s="9">
        <v>0</v>
      </c>
      <c r="AM85" s="9">
        <v>0</v>
      </c>
      <c r="AN85" s="9">
        <v>0</v>
      </c>
      <c r="AO85" s="9">
        <v>0</v>
      </c>
      <c r="AP85" s="9">
        <v>0</v>
      </c>
      <c r="AQ85" s="9">
        <v>0</v>
      </c>
      <c r="AR85" s="9">
        <v>0</v>
      </c>
      <c r="AS85" s="9">
        <v>0</v>
      </c>
      <c r="AT85" s="9">
        <v>0</v>
      </c>
      <c r="AU85" s="9">
        <v>0</v>
      </c>
      <c r="AV85" s="9">
        <v>0</v>
      </c>
      <c r="AW85" s="9">
        <v>0</v>
      </c>
      <c r="AX85" s="9">
        <v>0</v>
      </c>
      <c r="AY85" s="9">
        <v>0</v>
      </c>
      <c r="AZ85" s="9">
        <v>0</v>
      </c>
      <c r="BA85" s="9">
        <v>0</v>
      </c>
      <c r="BB85" s="9">
        <v>0</v>
      </c>
      <c r="BC85" s="9">
        <v>0</v>
      </c>
      <c r="BD85" s="9">
        <v>0</v>
      </c>
      <c r="BE85" s="9">
        <v>0</v>
      </c>
      <c r="BF85" s="9">
        <v>0</v>
      </c>
      <c r="BG85" s="9">
        <v>0</v>
      </c>
      <c r="BH85" s="9">
        <v>0</v>
      </c>
      <c r="BI85" s="9">
        <v>0</v>
      </c>
      <c r="BJ85" s="9">
        <v>0</v>
      </c>
      <c r="BK85" s="9">
        <v>0</v>
      </c>
      <c r="BL85" s="9">
        <v>0</v>
      </c>
      <c r="BM85" s="9">
        <v>0</v>
      </c>
      <c r="BN85" s="9">
        <v>0</v>
      </c>
      <c r="BO85" s="9">
        <v>0</v>
      </c>
      <c r="BP85" s="10">
        <v>0</v>
      </c>
      <c r="BQ85">
        <v>0</v>
      </c>
      <c r="BR85">
        <v>0</v>
      </c>
    </row>
    <row r="86" spans="1:70" x14ac:dyDescent="0.35">
      <c r="A86" s="8" t="s">
        <v>73</v>
      </c>
      <c r="B86" s="9" t="s">
        <v>686</v>
      </c>
      <c r="C86" s="10" t="s">
        <v>687</v>
      </c>
      <c r="D86" s="34">
        <f t="shared" si="3"/>
        <v>0</v>
      </c>
      <c r="E86" s="9">
        <v>0</v>
      </c>
      <c r="F86" s="9">
        <v>0</v>
      </c>
      <c r="G86" s="9">
        <v>0</v>
      </c>
      <c r="H86" s="9">
        <v>0</v>
      </c>
      <c r="I86" s="9">
        <v>0</v>
      </c>
      <c r="J86" s="9">
        <v>0</v>
      </c>
      <c r="K86" s="9">
        <v>0</v>
      </c>
      <c r="L86" s="9">
        <v>0</v>
      </c>
      <c r="M86" s="9">
        <v>0</v>
      </c>
      <c r="N86" s="9">
        <v>0</v>
      </c>
      <c r="O86" s="9">
        <v>0</v>
      </c>
      <c r="P86" s="9">
        <v>0</v>
      </c>
      <c r="Q86" s="9">
        <v>0</v>
      </c>
      <c r="R86" s="9">
        <v>0</v>
      </c>
      <c r="S86" s="9">
        <v>0</v>
      </c>
      <c r="T86" s="9">
        <v>0</v>
      </c>
      <c r="U86" s="9">
        <v>0</v>
      </c>
      <c r="V86" s="9">
        <v>0</v>
      </c>
      <c r="W86" s="9">
        <v>0</v>
      </c>
      <c r="X86" s="9">
        <v>0</v>
      </c>
      <c r="Y86" s="9">
        <v>0</v>
      </c>
      <c r="Z86" s="9">
        <v>0</v>
      </c>
      <c r="AA86" s="9">
        <v>0</v>
      </c>
      <c r="AB86" s="9">
        <v>0</v>
      </c>
      <c r="AC86" s="9">
        <v>0</v>
      </c>
      <c r="AD86" s="9">
        <v>0</v>
      </c>
      <c r="AE86" s="9">
        <v>0</v>
      </c>
      <c r="AF86" s="9">
        <v>0</v>
      </c>
      <c r="AG86" s="9">
        <v>0</v>
      </c>
      <c r="AH86" s="9">
        <v>0</v>
      </c>
      <c r="AI86" s="9">
        <v>0</v>
      </c>
      <c r="AJ86" s="9">
        <v>0</v>
      </c>
      <c r="AK86" s="9">
        <v>0</v>
      </c>
      <c r="AL86" s="9">
        <v>0</v>
      </c>
      <c r="AM86" s="9">
        <v>0</v>
      </c>
      <c r="AN86" s="9">
        <v>0</v>
      </c>
      <c r="AO86" s="9">
        <v>0</v>
      </c>
      <c r="AP86" s="9">
        <v>0</v>
      </c>
      <c r="AQ86" s="9">
        <v>0</v>
      </c>
      <c r="AR86" s="9">
        <v>0</v>
      </c>
      <c r="AS86" s="9">
        <v>0</v>
      </c>
      <c r="AT86" s="9">
        <v>0</v>
      </c>
      <c r="AU86" s="9">
        <v>0</v>
      </c>
      <c r="AV86" s="9">
        <v>0</v>
      </c>
      <c r="AW86" s="9">
        <v>0</v>
      </c>
      <c r="AX86" s="9">
        <v>0</v>
      </c>
      <c r="AY86" s="9">
        <v>0</v>
      </c>
      <c r="AZ86" s="9">
        <v>0</v>
      </c>
      <c r="BA86" s="9">
        <v>0</v>
      </c>
      <c r="BB86" s="9">
        <v>0</v>
      </c>
      <c r="BC86" s="9">
        <v>0</v>
      </c>
      <c r="BD86" s="9">
        <v>0</v>
      </c>
      <c r="BE86" s="9">
        <v>0</v>
      </c>
      <c r="BF86" s="9">
        <v>0</v>
      </c>
      <c r="BG86" s="9">
        <v>0</v>
      </c>
      <c r="BH86" s="9">
        <v>0</v>
      </c>
      <c r="BI86" s="9">
        <v>0</v>
      </c>
      <c r="BJ86" s="9">
        <v>0</v>
      </c>
      <c r="BK86" s="9">
        <v>0</v>
      </c>
      <c r="BL86" s="9">
        <v>0</v>
      </c>
      <c r="BM86" s="9">
        <v>0</v>
      </c>
      <c r="BN86" s="9">
        <v>0</v>
      </c>
      <c r="BO86" s="9">
        <v>0</v>
      </c>
      <c r="BP86" s="10">
        <v>0</v>
      </c>
      <c r="BQ86">
        <v>0</v>
      </c>
      <c r="BR86">
        <v>0</v>
      </c>
    </row>
    <row r="87" spans="1:70" x14ac:dyDescent="0.35">
      <c r="A87" s="8" t="s">
        <v>73</v>
      </c>
      <c r="B87" s="9" t="s">
        <v>688</v>
      </c>
      <c r="C87" s="10" t="s">
        <v>689</v>
      </c>
      <c r="D87" s="34">
        <f t="shared" si="3"/>
        <v>0</v>
      </c>
      <c r="E87" s="9">
        <v>0</v>
      </c>
      <c r="F87" s="9">
        <v>0</v>
      </c>
      <c r="G87" s="9">
        <v>0</v>
      </c>
      <c r="H87" s="9">
        <v>0</v>
      </c>
      <c r="I87" s="9">
        <v>0</v>
      </c>
      <c r="J87" s="9">
        <v>0</v>
      </c>
      <c r="K87" s="9">
        <v>0</v>
      </c>
      <c r="L87" s="9">
        <v>0</v>
      </c>
      <c r="M87" s="9">
        <v>0</v>
      </c>
      <c r="N87" s="9">
        <v>0</v>
      </c>
      <c r="O87" s="9">
        <v>0</v>
      </c>
      <c r="P87" s="9">
        <v>0</v>
      </c>
      <c r="Q87" s="9">
        <v>0</v>
      </c>
      <c r="R87" s="9">
        <v>0</v>
      </c>
      <c r="S87" s="9">
        <v>0</v>
      </c>
      <c r="T87" s="9">
        <v>0</v>
      </c>
      <c r="U87" s="9">
        <v>0</v>
      </c>
      <c r="V87" s="9">
        <v>0</v>
      </c>
      <c r="W87" s="9">
        <v>0</v>
      </c>
      <c r="X87" s="9">
        <v>0</v>
      </c>
      <c r="Y87" s="9">
        <v>0</v>
      </c>
      <c r="Z87" s="9">
        <v>0</v>
      </c>
      <c r="AA87" s="9">
        <v>0</v>
      </c>
      <c r="AB87" s="9">
        <v>0</v>
      </c>
      <c r="AC87" s="9">
        <v>0</v>
      </c>
      <c r="AD87" s="9">
        <v>0</v>
      </c>
      <c r="AE87" s="9">
        <v>0</v>
      </c>
      <c r="AF87" s="9">
        <v>0</v>
      </c>
      <c r="AG87" s="9">
        <v>0</v>
      </c>
      <c r="AH87" s="9">
        <v>0</v>
      </c>
      <c r="AI87" s="9">
        <v>0</v>
      </c>
      <c r="AJ87" s="9">
        <v>0</v>
      </c>
      <c r="AK87" s="9">
        <v>0</v>
      </c>
      <c r="AL87" s="9">
        <v>0</v>
      </c>
      <c r="AM87" s="9">
        <v>0</v>
      </c>
      <c r="AN87" s="9">
        <v>0</v>
      </c>
      <c r="AO87" s="9">
        <v>0</v>
      </c>
      <c r="AP87" s="9">
        <v>0</v>
      </c>
      <c r="AQ87" s="9">
        <v>0</v>
      </c>
      <c r="AR87" s="9">
        <v>0</v>
      </c>
      <c r="AS87" s="9">
        <v>0</v>
      </c>
      <c r="AT87" s="9">
        <v>0</v>
      </c>
      <c r="AU87" s="9">
        <v>0</v>
      </c>
      <c r="AV87" s="9">
        <v>0</v>
      </c>
      <c r="AW87" s="9">
        <v>0</v>
      </c>
      <c r="AX87" s="9">
        <v>0</v>
      </c>
      <c r="AY87" s="9">
        <v>0</v>
      </c>
      <c r="AZ87" s="9">
        <v>0</v>
      </c>
      <c r="BA87" s="9">
        <v>0</v>
      </c>
      <c r="BB87" s="9">
        <v>0</v>
      </c>
      <c r="BC87" s="9">
        <v>0</v>
      </c>
      <c r="BD87" s="9">
        <v>0</v>
      </c>
      <c r="BE87" s="9">
        <v>0</v>
      </c>
      <c r="BF87" s="9">
        <v>0</v>
      </c>
      <c r="BG87" s="9">
        <v>0</v>
      </c>
      <c r="BH87" s="9">
        <v>0</v>
      </c>
      <c r="BI87" s="9">
        <v>0</v>
      </c>
      <c r="BJ87" s="9">
        <v>0</v>
      </c>
      <c r="BK87" s="9">
        <v>0</v>
      </c>
      <c r="BL87" s="9">
        <v>0</v>
      </c>
      <c r="BM87" s="9">
        <v>0</v>
      </c>
      <c r="BN87" s="9">
        <v>0</v>
      </c>
      <c r="BO87" s="9">
        <v>0</v>
      </c>
      <c r="BP87" s="10">
        <v>0</v>
      </c>
      <c r="BQ87">
        <v>0</v>
      </c>
      <c r="BR87">
        <v>0</v>
      </c>
    </row>
    <row r="88" spans="1:70" x14ac:dyDescent="0.35">
      <c r="A88" s="8" t="s">
        <v>73</v>
      </c>
      <c r="B88" s="9" t="s">
        <v>690</v>
      </c>
      <c r="C88" s="10" t="s">
        <v>691</v>
      </c>
      <c r="D88" s="34">
        <f t="shared" si="3"/>
        <v>0</v>
      </c>
      <c r="E88" s="9">
        <v>0</v>
      </c>
      <c r="F88" s="9">
        <v>0</v>
      </c>
      <c r="G88" s="9">
        <v>0</v>
      </c>
      <c r="H88" s="9">
        <v>0</v>
      </c>
      <c r="I88" s="9">
        <v>0</v>
      </c>
      <c r="J88" s="9">
        <v>0</v>
      </c>
      <c r="K88" s="9">
        <v>0</v>
      </c>
      <c r="L88" s="9">
        <v>0</v>
      </c>
      <c r="M88" s="9">
        <v>0</v>
      </c>
      <c r="N88" s="9">
        <v>0</v>
      </c>
      <c r="O88" s="9">
        <v>0</v>
      </c>
      <c r="P88" s="9">
        <v>0</v>
      </c>
      <c r="Q88" s="9">
        <v>0</v>
      </c>
      <c r="R88" s="9">
        <v>0</v>
      </c>
      <c r="S88" s="9">
        <v>0</v>
      </c>
      <c r="T88" s="9">
        <v>0</v>
      </c>
      <c r="U88" s="9">
        <v>0</v>
      </c>
      <c r="V88" s="9">
        <v>0</v>
      </c>
      <c r="W88" s="9">
        <v>0</v>
      </c>
      <c r="X88" s="9">
        <v>0</v>
      </c>
      <c r="Y88" s="9">
        <v>0</v>
      </c>
      <c r="Z88" s="9">
        <v>0</v>
      </c>
      <c r="AA88" s="9">
        <v>0</v>
      </c>
      <c r="AB88" s="9">
        <v>0</v>
      </c>
      <c r="AC88" s="9">
        <v>0</v>
      </c>
      <c r="AD88" s="9">
        <v>0</v>
      </c>
      <c r="AE88" s="9">
        <v>0</v>
      </c>
      <c r="AF88" s="9">
        <v>0</v>
      </c>
      <c r="AG88" s="9">
        <v>0</v>
      </c>
      <c r="AH88" s="9">
        <v>0</v>
      </c>
      <c r="AI88" s="9">
        <v>0</v>
      </c>
      <c r="AJ88" s="9">
        <v>0</v>
      </c>
      <c r="AK88" s="9">
        <v>0</v>
      </c>
      <c r="AL88" s="9">
        <v>0</v>
      </c>
      <c r="AM88" s="9">
        <v>0</v>
      </c>
      <c r="AN88" s="9">
        <v>0</v>
      </c>
      <c r="AO88" s="9">
        <v>0</v>
      </c>
      <c r="AP88" s="9">
        <v>0</v>
      </c>
      <c r="AQ88" s="9">
        <v>0</v>
      </c>
      <c r="AR88" s="9">
        <v>0</v>
      </c>
      <c r="AS88" s="9">
        <v>0</v>
      </c>
      <c r="AT88" s="9">
        <v>0</v>
      </c>
      <c r="AU88" s="9">
        <v>0</v>
      </c>
      <c r="AV88" s="9">
        <v>0</v>
      </c>
      <c r="AW88" s="9">
        <v>0</v>
      </c>
      <c r="AX88" s="9">
        <v>0</v>
      </c>
      <c r="AY88" s="9">
        <v>0</v>
      </c>
      <c r="AZ88" s="9">
        <v>0</v>
      </c>
      <c r="BA88" s="9">
        <v>0</v>
      </c>
      <c r="BB88" s="9">
        <v>0</v>
      </c>
      <c r="BC88" s="9">
        <v>0</v>
      </c>
      <c r="BD88" s="9">
        <v>0</v>
      </c>
      <c r="BE88" s="9">
        <v>0</v>
      </c>
      <c r="BF88" s="9">
        <v>0</v>
      </c>
      <c r="BG88" s="9">
        <v>0</v>
      </c>
      <c r="BH88" s="9">
        <v>0</v>
      </c>
      <c r="BI88" s="9">
        <v>0</v>
      </c>
      <c r="BJ88" s="9">
        <v>0</v>
      </c>
      <c r="BK88" s="9">
        <v>0</v>
      </c>
      <c r="BL88" s="9">
        <v>0</v>
      </c>
      <c r="BM88" s="9">
        <v>0</v>
      </c>
      <c r="BN88" s="9">
        <v>0</v>
      </c>
      <c r="BO88" s="9">
        <v>0</v>
      </c>
      <c r="BP88" s="10">
        <v>0</v>
      </c>
      <c r="BQ88">
        <v>0</v>
      </c>
      <c r="BR88">
        <v>0</v>
      </c>
    </row>
    <row r="89" spans="1:70" x14ac:dyDescent="0.35">
      <c r="A89" s="8" t="s">
        <v>73</v>
      </c>
      <c r="B89" s="9" t="s">
        <v>692</v>
      </c>
      <c r="C89" s="10" t="s">
        <v>693</v>
      </c>
      <c r="D89" s="34">
        <f t="shared" si="3"/>
        <v>0</v>
      </c>
      <c r="E89" s="9">
        <v>0</v>
      </c>
      <c r="F89" s="9">
        <v>0</v>
      </c>
      <c r="G89" s="9">
        <v>0</v>
      </c>
      <c r="H89" s="9">
        <v>0</v>
      </c>
      <c r="I89" s="9">
        <v>0</v>
      </c>
      <c r="J89" s="9">
        <v>0</v>
      </c>
      <c r="K89" s="9">
        <v>0</v>
      </c>
      <c r="L89" s="9">
        <v>0</v>
      </c>
      <c r="M89" s="9">
        <v>0</v>
      </c>
      <c r="N89" s="9">
        <v>0</v>
      </c>
      <c r="O89" s="9">
        <v>0</v>
      </c>
      <c r="P89" s="9">
        <v>0</v>
      </c>
      <c r="Q89" s="9">
        <v>0</v>
      </c>
      <c r="R89" s="9">
        <v>0</v>
      </c>
      <c r="S89" s="9">
        <v>0</v>
      </c>
      <c r="T89" s="9">
        <v>0</v>
      </c>
      <c r="U89" s="9">
        <v>0</v>
      </c>
      <c r="V89" s="9">
        <v>0</v>
      </c>
      <c r="W89" s="9">
        <v>0</v>
      </c>
      <c r="X89" s="9">
        <v>0</v>
      </c>
      <c r="Y89" s="9">
        <v>0</v>
      </c>
      <c r="Z89" s="9">
        <v>0</v>
      </c>
      <c r="AA89" s="9">
        <v>0</v>
      </c>
      <c r="AB89" s="9">
        <v>0</v>
      </c>
      <c r="AC89" s="9">
        <v>0</v>
      </c>
      <c r="AD89" s="9">
        <v>0</v>
      </c>
      <c r="AE89" s="9">
        <v>0</v>
      </c>
      <c r="AF89" s="9">
        <v>0</v>
      </c>
      <c r="AG89" s="9">
        <v>0</v>
      </c>
      <c r="AH89" s="9">
        <v>0</v>
      </c>
      <c r="AI89" s="9">
        <v>0</v>
      </c>
      <c r="AJ89" s="9">
        <v>0</v>
      </c>
      <c r="AK89" s="9">
        <v>0</v>
      </c>
      <c r="AL89" s="9">
        <v>0</v>
      </c>
      <c r="AM89" s="9">
        <v>0</v>
      </c>
      <c r="AN89" s="9">
        <v>0</v>
      </c>
      <c r="AO89" s="9">
        <v>0</v>
      </c>
      <c r="AP89" s="9">
        <v>0</v>
      </c>
      <c r="AQ89" s="9">
        <v>0</v>
      </c>
      <c r="AR89" s="9">
        <v>0</v>
      </c>
      <c r="AS89" s="9">
        <v>0</v>
      </c>
      <c r="AT89" s="9">
        <v>0</v>
      </c>
      <c r="AU89" s="9">
        <v>0</v>
      </c>
      <c r="AV89" s="9">
        <v>0</v>
      </c>
      <c r="AW89" s="9">
        <v>0</v>
      </c>
      <c r="AX89" s="9">
        <v>0</v>
      </c>
      <c r="AY89" s="9">
        <v>0</v>
      </c>
      <c r="AZ89" s="9">
        <v>0</v>
      </c>
      <c r="BA89" s="9">
        <v>0</v>
      </c>
      <c r="BB89" s="9">
        <v>0</v>
      </c>
      <c r="BC89" s="9">
        <v>0</v>
      </c>
      <c r="BD89" s="9">
        <v>0</v>
      </c>
      <c r="BE89" s="9">
        <v>0</v>
      </c>
      <c r="BF89" s="9">
        <v>0</v>
      </c>
      <c r="BG89" s="9">
        <v>0</v>
      </c>
      <c r="BH89" s="9">
        <v>0</v>
      </c>
      <c r="BI89" s="9">
        <v>0</v>
      </c>
      <c r="BJ89" s="9">
        <v>0</v>
      </c>
      <c r="BK89" s="9">
        <v>0</v>
      </c>
      <c r="BL89" s="9">
        <v>0</v>
      </c>
      <c r="BM89" s="9">
        <v>0</v>
      </c>
      <c r="BN89" s="9">
        <v>0</v>
      </c>
      <c r="BO89" s="9">
        <v>0</v>
      </c>
      <c r="BP89" s="10">
        <v>0</v>
      </c>
      <c r="BQ89">
        <v>0</v>
      </c>
      <c r="BR89">
        <v>0</v>
      </c>
    </row>
    <row r="90" spans="1:70" x14ac:dyDescent="0.35">
      <c r="A90" s="8" t="s">
        <v>73</v>
      </c>
      <c r="B90" s="9" t="s">
        <v>694</v>
      </c>
      <c r="C90" s="10" t="s">
        <v>695</v>
      </c>
      <c r="D90" s="34">
        <f t="shared" si="3"/>
        <v>0</v>
      </c>
      <c r="E90" s="9">
        <v>0</v>
      </c>
      <c r="F90" s="9">
        <v>0</v>
      </c>
      <c r="G90" s="9">
        <v>0</v>
      </c>
      <c r="H90" s="9">
        <v>0</v>
      </c>
      <c r="I90" s="9">
        <v>0</v>
      </c>
      <c r="J90" s="9">
        <v>0</v>
      </c>
      <c r="K90" s="9">
        <v>0</v>
      </c>
      <c r="L90" s="9">
        <v>0</v>
      </c>
      <c r="M90" s="9">
        <v>0</v>
      </c>
      <c r="N90" s="9">
        <v>0</v>
      </c>
      <c r="O90" s="9">
        <v>0</v>
      </c>
      <c r="P90" s="9">
        <v>0</v>
      </c>
      <c r="Q90" s="9">
        <v>0</v>
      </c>
      <c r="R90" s="9">
        <v>0</v>
      </c>
      <c r="S90" s="9">
        <v>0</v>
      </c>
      <c r="T90" s="9">
        <v>0</v>
      </c>
      <c r="U90" s="9">
        <v>0</v>
      </c>
      <c r="V90" s="9">
        <v>0</v>
      </c>
      <c r="W90" s="9">
        <v>0</v>
      </c>
      <c r="X90" s="9">
        <v>0</v>
      </c>
      <c r="Y90" s="9">
        <v>0</v>
      </c>
      <c r="Z90" s="9">
        <v>0</v>
      </c>
      <c r="AA90" s="9">
        <v>0</v>
      </c>
      <c r="AB90" s="9">
        <v>0</v>
      </c>
      <c r="AC90" s="9">
        <v>0</v>
      </c>
      <c r="AD90" s="9">
        <v>0</v>
      </c>
      <c r="AE90" s="9">
        <v>0</v>
      </c>
      <c r="AF90" s="9">
        <v>0</v>
      </c>
      <c r="AG90" s="9">
        <v>0</v>
      </c>
      <c r="AH90" s="9">
        <v>0</v>
      </c>
      <c r="AI90" s="9">
        <v>0</v>
      </c>
      <c r="AJ90" s="9">
        <v>0</v>
      </c>
      <c r="AK90" s="9">
        <v>0</v>
      </c>
      <c r="AL90" s="9">
        <v>0</v>
      </c>
      <c r="AM90" s="9">
        <v>0</v>
      </c>
      <c r="AN90" s="9">
        <v>0</v>
      </c>
      <c r="AO90" s="9">
        <v>0</v>
      </c>
      <c r="AP90" s="9">
        <v>0</v>
      </c>
      <c r="AQ90" s="9">
        <v>0</v>
      </c>
      <c r="AR90" s="9">
        <v>0</v>
      </c>
      <c r="AS90" s="9">
        <v>0</v>
      </c>
      <c r="AT90" s="9">
        <v>0</v>
      </c>
      <c r="AU90" s="9">
        <v>0</v>
      </c>
      <c r="AV90" s="9">
        <v>0</v>
      </c>
      <c r="AW90" s="9">
        <v>0</v>
      </c>
      <c r="AX90" s="9">
        <v>0</v>
      </c>
      <c r="AY90" s="9">
        <v>0</v>
      </c>
      <c r="AZ90" s="9">
        <v>0</v>
      </c>
      <c r="BA90" s="9">
        <v>0</v>
      </c>
      <c r="BB90" s="9">
        <v>0</v>
      </c>
      <c r="BC90" s="9">
        <v>0</v>
      </c>
      <c r="BD90" s="9">
        <v>0</v>
      </c>
      <c r="BE90" s="9">
        <v>0</v>
      </c>
      <c r="BF90" s="9">
        <v>0</v>
      </c>
      <c r="BG90" s="9">
        <v>0</v>
      </c>
      <c r="BH90" s="9">
        <v>0</v>
      </c>
      <c r="BI90" s="9">
        <v>0</v>
      </c>
      <c r="BJ90" s="9">
        <v>0</v>
      </c>
      <c r="BK90" s="9">
        <v>0</v>
      </c>
      <c r="BL90" s="9">
        <v>0</v>
      </c>
      <c r="BM90" s="9">
        <v>0</v>
      </c>
      <c r="BN90" s="9">
        <v>0</v>
      </c>
      <c r="BO90" s="9">
        <v>0</v>
      </c>
      <c r="BP90" s="10">
        <v>0</v>
      </c>
      <c r="BQ90">
        <v>0</v>
      </c>
      <c r="BR90">
        <v>0</v>
      </c>
    </row>
    <row r="91" spans="1:70" x14ac:dyDescent="0.35">
      <c r="A91" s="8" t="s">
        <v>73</v>
      </c>
      <c r="B91" s="9" t="s">
        <v>696</v>
      </c>
      <c r="C91" s="10" t="s">
        <v>697</v>
      </c>
      <c r="D91" s="34">
        <f t="shared" si="3"/>
        <v>0</v>
      </c>
      <c r="E91" s="9">
        <v>0</v>
      </c>
      <c r="F91" s="9">
        <v>0</v>
      </c>
      <c r="G91" s="9">
        <v>0</v>
      </c>
      <c r="H91" s="9">
        <v>0</v>
      </c>
      <c r="I91" s="9">
        <v>0</v>
      </c>
      <c r="J91" s="9">
        <v>0</v>
      </c>
      <c r="K91" s="9">
        <v>0</v>
      </c>
      <c r="L91" s="9">
        <v>0</v>
      </c>
      <c r="M91" s="9">
        <v>0</v>
      </c>
      <c r="N91" s="9">
        <v>0</v>
      </c>
      <c r="O91" s="9">
        <v>0</v>
      </c>
      <c r="P91" s="9">
        <v>0</v>
      </c>
      <c r="Q91" s="9">
        <v>0</v>
      </c>
      <c r="R91" s="9">
        <v>0</v>
      </c>
      <c r="S91" s="9">
        <v>0</v>
      </c>
      <c r="T91" s="9">
        <v>0</v>
      </c>
      <c r="U91" s="9">
        <v>0</v>
      </c>
      <c r="V91" s="9">
        <v>0</v>
      </c>
      <c r="W91" s="9">
        <v>0</v>
      </c>
      <c r="X91" s="9">
        <v>0</v>
      </c>
      <c r="Y91" s="9">
        <v>0</v>
      </c>
      <c r="Z91" s="9">
        <v>0</v>
      </c>
      <c r="AA91" s="9">
        <v>0</v>
      </c>
      <c r="AB91" s="9">
        <v>0</v>
      </c>
      <c r="AC91" s="9">
        <v>0</v>
      </c>
      <c r="AD91" s="9">
        <v>0</v>
      </c>
      <c r="AE91" s="9">
        <v>0</v>
      </c>
      <c r="AF91" s="9">
        <v>0</v>
      </c>
      <c r="AG91" s="9">
        <v>0</v>
      </c>
      <c r="AH91" s="9">
        <v>0</v>
      </c>
      <c r="AI91" s="9">
        <v>0</v>
      </c>
      <c r="AJ91" s="9">
        <v>0</v>
      </c>
      <c r="AK91" s="9">
        <v>0</v>
      </c>
      <c r="AL91" s="9">
        <v>0</v>
      </c>
      <c r="AM91" s="9">
        <v>0</v>
      </c>
      <c r="AN91" s="9">
        <v>0</v>
      </c>
      <c r="AO91" s="9">
        <v>0</v>
      </c>
      <c r="AP91" s="9">
        <v>0</v>
      </c>
      <c r="AQ91" s="9">
        <v>0</v>
      </c>
      <c r="AR91" s="9">
        <v>0</v>
      </c>
      <c r="AS91" s="9">
        <v>0</v>
      </c>
      <c r="AT91" s="9">
        <v>0</v>
      </c>
      <c r="AU91" s="9">
        <v>0</v>
      </c>
      <c r="AV91" s="9">
        <v>0</v>
      </c>
      <c r="AW91" s="9">
        <v>0</v>
      </c>
      <c r="AX91" s="9">
        <v>0</v>
      </c>
      <c r="AY91" s="9">
        <v>0</v>
      </c>
      <c r="AZ91" s="9">
        <v>0</v>
      </c>
      <c r="BA91" s="9">
        <v>0</v>
      </c>
      <c r="BB91" s="9">
        <v>0</v>
      </c>
      <c r="BC91" s="9">
        <v>0</v>
      </c>
      <c r="BD91" s="9">
        <v>0</v>
      </c>
      <c r="BE91" s="9">
        <v>0</v>
      </c>
      <c r="BF91" s="9">
        <v>0</v>
      </c>
      <c r="BG91" s="9">
        <v>0</v>
      </c>
      <c r="BH91" s="9">
        <v>0</v>
      </c>
      <c r="BI91" s="9">
        <v>0</v>
      </c>
      <c r="BJ91" s="9">
        <v>0</v>
      </c>
      <c r="BK91" s="9">
        <v>0</v>
      </c>
      <c r="BL91" s="9">
        <v>0</v>
      </c>
      <c r="BM91" s="9">
        <v>0</v>
      </c>
      <c r="BN91" s="9">
        <v>0</v>
      </c>
      <c r="BO91" s="9">
        <v>0</v>
      </c>
      <c r="BP91" s="10">
        <v>0</v>
      </c>
      <c r="BQ91">
        <v>0</v>
      </c>
      <c r="BR91">
        <v>0</v>
      </c>
    </row>
    <row r="92" spans="1:70" x14ac:dyDescent="0.35">
      <c r="A92" s="8" t="s">
        <v>73</v>
      </c>
      <c r="B92" s="9" t="s">
        <v>698</v>
      </c>
      <c r="C92" s="10" t="s">
        <v>699</v>
      </c>
      <c r="D92" s="34">
        <f t="shared" si="3"/>
        <v>0</v>
      </c>
      <c r="E92" s="9">
        <v>0</v>
      </c>
      <c r="F92" s="9">
        <v>0</v>
      </c>
      <c r="G92" s="9">
        <v>0</v>
      </c>
      <c r="H92" s="9">
        <v>0</v>
      </c>
      <c r="I92" s="9">
        <v>0</v>
      </c>
      <c r="J92" s="9">
        <v>0</v>
      </c>
      <c r="K92" s="9">
        <v>0</v>
      </c>
      <c r="L92" s="9">
        <v>0</v>
      </c>
      <c r="M92" s="9">
        <v>0</v>
      </c>
      <c r="N92" s="9">
        <v>0</v>
      </c>
      <c r="O92" s="9">
        <v>0</v>
      </c>
      <c r="P92" s="9">
        <v>0</v>
      </c>
      <c r="Q92" s="9">
        <v>0</v>
      </c>
      <c r="R92" s="9">
        <v>0</v>
      </c>
      <c r="S92" s="9">
        <v>0</v>
      </c>
      <c r="T92" s="9">
        <v>0</v>
      </c>
      <c r="U92" s="9">
        <v>0</v>
      </c>
      <c r="V92" s="9">
        <v>0</v>
      </c>
      <c r="W92" s="9">
        <v>0</v>
      </c>
      <c r="X92" s="9">
        <v>0</v>
      </c>
      <c r="Y92" s="9">
        <v>0</v>
      </c>
      <c r="Z92" s="9">
        <v>0</v>
      </c>
      <c r="AA92" s="9">
        <v>0</v>
      </c>
      <c r="AB92" s="9">
        <v>0</v>
      </c>
      <c r="AC92" s="9">
        <v>0</v>
      </c>
      <c r="AD92" s="9">
        <v>0</v>
      </c>
      <c r="AE92" s="9">
        <v>0</v>
      </c>
      <c r="AF92" s="9">
        <v>0</v>
      </c>
      <c r="AG92" s="9">
        <v>0</v>
      </c>
      <c r="AH92" s="9">
        <v>0</v>
      </c>
      <c r="AI92" s="9">
        <v>0</v>
      </c>
      <c r="AJ92" s="9">
        <v>0</v>
      </c>
      <c r="AK92" s="9">
        <v>0</v>
      </c>
      <c r="AL92" s="9">
        <v>0</v>
      </c>
      <c r="AM92" s="9">
        <v>0</v>
      </c>
      <c r="AN92" s="9">
        <v>0</v>
      </c>
      <c r="AO92" s="9">
        <v>0</v>
      </c>
      <c r="AP92" s="9">
        <v>0</v>
      </c>
      <c r="AQ92" s="9">
        <v>0</v>
      </c>
      <c r="AR92" s="9">
        <v>0</v>
      </c>
      <c r="AS92" s="9">
        <v>0</v>
      </c>
      <c r="AT92" s="9">
        <v>0</v>
      </c>
      <c r="AU92" s="9">
        <v>0</v>
      </c>
      <c r="AV92" s="9">
        <v>0</v>
      </c>
      <c r="AW92" s="9">
        <v>0</v>
      </c>
      <c r="AX92" s="9">
        <v>0</v>
      </c>
      <c r="AY92" s="9">
        <v>0</v>
      </c>
      <c r="AZ92" s="9">
        <v>0</v>
      </c>
      <c r="BA92" s="9">
        <v>0</v>
      </c>
      <c r="BB92" s="9">
        <v>0</v>
      </c>
      <c r="BC92" s="9">
        <v>0</v>
      </c>
      <c r="BD92" s="9">
        <v>0</v>
      </c>
      <c r="BE92" s="9">
        <v>0</v>
      </c>
      <c r="BF92" s="9">
        <v>0</v>
      </c>
      <c r="BG92" s="9">
        <v>0</v>
      </c>
      <c r="BH92" s="9">
        <v>0</v>
      </c>
      <c r="BI92" s="9">
        <v>0</v>
      </c>
      <c r="BJ92" s="9">
        <v>0</v>
      </c>
      <c r="BK92" s="9">
        <v>0</v>
      </c>
      <c r="BL92" s="9">
        <v>0</v>
      </c>
      <c r="BM92" s="9">
        <v>0</v>
      </c>
      <c r="BN92" s="9">
        <v>0</v>
      </c>
      <c r="BO92" s="9">
        <v>0</v>
      </c>
      <c r="BP92" s="10">
        <v>0</v>
      </c>
      <c r="BQ92">
        <v>0</v>
      </c>
      <c r="BR92">
        <v>0</v>
      </c>
    </row>
    <row r="93" spans="1:70" x14ac:dyDescent="0.35">
      <c r="A93" s="8" t="s">
        <v>73</v>
      </c>
      <c r="B93" s="9" t="s">
        <v>700</v>
      </c>
      <c r="C93" s="10" t="s">
        <v>701</v>
      </c>
      <c r="D93" s="34">
        <f t="shared" si="3"/>
        <v>0</v>
      </c>
      <c r="E93" s="9">
        <v>0</v>
      </c>
      <c r="F93" s="9">
        <v>0</v>
      </c>
      <c r="G93" s="9">
        <v>0</v>
      </c>
      <c r="H93" s="9">
        <v>0</v>
      </c>
      <c r="I93" s="9">
        <v>0</v>
      </c>
      <c r="J93" s="9">
        <v>0</v>
      </c>
      <c r="K93" s="9">
        <v>0</v>
      </c>
      <c r="L93" s="9">
        <v>0</v>
      </c>
      <c r="M93" s="9">
        <v>0</v>
      </c>
      <c r="N93" s="9">
        <v>0</v>
      </c>
      <c r="O93" s="9">
        <v>0</v>
      </c>
      <c r="P93" s="9">
        <v>0</v>
      </c>
      <c r="Q93" s="9">
        <v>0</v>
      </c>
      <c r="R93" s="9">
        <v>0</v>
      </c>
      <c r="S93" s="9">
        <v>0</v>
      </c>
      <c r="T93" s="9">
        <v>0</v>
      </c>
      <c r="U93" s="9">
        <v>0</v>
      </c>
      <c r="V93" s="9">
        <v>0</v>
      </c>
      <c r="W93" s="9">
        <v>0</v>
      </c>
      <c r="X93" s="9">
        <v>0</v>
      </c>
      <c r="Y93" s="9">
        <v>0</v>
      </c>
      <c r="Z93" s="9">
        <v>0</v>
      </c>
      <c r="AA93" s="9">
        <v>0</v>
      </c>
      <c r="AB93" s="9">
        <v>0</v>
      </c>
      <c r="AC93" s="9">
        <v>0</v>
      </c>
      <c r="AD93" s="9">
        <v>0</v>
      </c>
      <c r="AE93" s="9">
        <v>0</v>
      </c>
      <c r="AF93" s="9">
        <v>0</v>
      </c>
      <c r="AG93" s="9">
        <v>0</v>
      </c>
      <c r="AH93" s="9">
        <v>0</v>
      </c>
      <c r="AI93" s="9">
        <v>0</v>
      </c>
      <c r="AJ93" s="9">
        <v>0</v>
      </c>
      <c r="AK93" s="9">
        <v>0</v>
      </c>
      <c r="AL93" s="9">
        <v>0</v>
      </c>
      <c r="AM93" s="9">
        <v>0</v>
      </c>
      <c r="AN93" s="9">
        <v>0</v>
      </c>
      <c r="AO93" s="9">
        <v>0</v>
      </c>
      <c r="AP93" s="9">
        <v>0</v>
      </c>
      <c r="AQ93" s="9">
        <v>0</v>
      </c>
      <c r="AR93" s="9">
        <v>0</v>
      </c>
      <c r="AS93" s="9">
        <v>0</v>
      </c>
      <c r="AT93" s="9">
        <v>0</v>
      </c>
      <c r="AU93" s="9">
        <v>0</v>
      </c>
      <c r="AV93" s="9">
        <v>0</v>
      </c>
      <c r="AW93" s="9">
        <v>0</v>
      </c>
      <c r="AX93" s="9">
        <v>0</v>
      </c>
      <c r="AY93" s="9">
        <v>0</v>
      </c>
      <c r="AZ93" s="9">
        <v>0</v>
      </c>
      <c r="BA93" s="9">
        <v>0</v>
      </c>
      <c r="BB93" s="9">
        <v>0</v>
      </c>
      <c r="BC93" s="9">
        <v>0</v>
      </c>
      <c r="BD93" s="9">
        <v>0</v>
      </c>
      <c r="BE93" s="9">
        <v>0</v>
      </c>
      <c r="BF93" s="9">
        <v>0</v>
      </c>
      <c r="BG93" s="9">
        <v>0</v>
      </c>
      <c r="BH93" s="9">
        <v>0</v>
      </c>
      <c r="BI93" s="9">
        <v>0</v>
      </c>
      <c r="BJ93" s="9">
        <v>0</v>
      </c>
      <c r="BK93" s="9">
        <v>0</v>
      </c>
      <c r="BL93" s="9">
        <v>0</v>
      </c>
      <c r="BM93" s="9">
        <v>0</v>
      </c>
      <c r="BN93" s="9">
        <v>0</v>
      </c>
      <c r="BO93" s="9">
        <v>0</v>
      </c>
      <c r="BP93" s="10">
        <v>0</v>
      </c>
      <c r="BQ93">
        <v>0</v>
      </c>
      <c r="BR93">
        <v>0</v>
      </c>
    </row>
    <row r="94" spans="1:70" x14ac:dyDescent="0.35">
      <c r="A94" s="8" t="s">
        <v>73</v>
      </c>
      <c r="B94" s="9" t="s">
        <v>702</v>
      </c>
      <c r="C94" s="10" t="s">
        <v>703</v>
      </c>
      <c r="D94" s="34">
        <f t="shared" si="3"/>
        <v>0</v>
      </c>
      <c r="E94" s="9">
        <v>0</v>
      </c>
      <c r="F94" s="9">
        <v>0</v>
      </c>
      <c r="G94" s="9">
        <v>0</v>
      </c>
      <c r="H94" s="9">
        <v>0</v>
      </c>
      <c r="I94" s="9">
        <v>0</v>
      </c>
      <c r="J94" s="9">
        <v>0</v>
      </c>
      <c r="K94" s="9">
        <v>0</v>
      </c>
      <c r="L94" s="9">
        <v>0</v>
      </c>
      <c r="M94" s="9">
        <v>0</v>
      </c>
      <c r="N94" s="9">
        <v>0</v>
      </c>
      <c r="O94" s="9">
        <v>0</v>
      </c>
      <c r="P94" s="9">
        <v>0</v>
      </c>
      <c r="Q94" s="9">
        <v>0</v>
      </c>
      <c r="R94" s="9">
        <v>0</v>
      </c>
      <c r="S94" s="9">
        <v>0</v>
      </c>
      <c r="T94" s="9">
        <v>0</v>
      </c>
      <c r="U94" s="9">
        <v>0</v>
      </c>
      <c r="V94" s="9">
        <v>0</v>
      </c>
      <c r="W94" s="9">
        <v>0</v>
      </c>
      <c r="X94" s="9">
        <v>0</v>
      </c>
      <c r="Y94" s="9">
        <v>0</v>
      </c>
      <c r="Z94" s="9">
        <v>0</v>
      </c>
      <c r="AA94" s="9">
        <v>0</v>
      </c>
      <c r="AB94" s="9">
        <v>0</v>
      </c>
      <c r="AC94" s="9">
        <v>0</v>
      </c>
      <c r="AD94" s="9">
        <v>0</v>
      </c>
      <c r="AE94" s="9">
        <v>0</v>
      </c>
      <c r="AF94" s="9">
        <v>0</v>
      </c>
      <c r="AG94" s="9">
        <v>0</v>
      </c>
      <c r="AH94" s="9">
        <v>0</v>
      </c>
      <c r="AI94" s="9">
        <v>0</v>
      </c>
      <c r="AJ94" s="9">
        <v>0</v>
      </c>
      <c r="AK94" s="9">
        <v>0</v>
      </c>
      <c r="AL94" s="9">
        <v>0</v>
      </c>
      <c r="AM94" s="9">
        <v>0</v>
      </c>
      <c r="AN94" s="9">
        <v>0</v>
      </c>
      <c r="AO94" s="9">
        <v>0</v>
      </c>
      <c r="AP94" s="9">
        <v>0</v>
      </c>
      <c r="AQ94" s="9">
        <v>0</v>
      </c>
      <c r="AR94" s="9">
        <v>0</v>
      </c>
      <c r="AS94" s="9">
        <v>0</v>
      </c>
      <c r="AT94" s="9">
        <v>0</v>
      </c>
      <c r="AU94" s="9">
        <v>0</v>
      </c>
      <c r="AV94" s="9">
        <v>0</v>
      </c>
      <c r="AW94" s="9">
        <v>0</v>
      </c>
      <c r="AX94" s="9">
        <v>0</v>
      </c>
      <c r="AY94" s="9">
        <v>0</v>
      </c>
      <c r="AZ94" s="9">
        <v>0</v>
      </c>
      <c r="BA94" s="9">
        <v>0</v>
      </c>
      <c r="BB94" s="9">
        <v>0</v>
      </c>
      <c r="BC94" s="9">
        <v>0</v>
      </c>
      <c r="BD94" s="9">
        <v>0</v>
      </c>
      <c r="BE94" s="9">
        <v>0</v>
      </c>
      <c r="BF94" s="9">
        <v>0</v>
      </c>
      <c r="BG94" s="9">
        <v>0</v>
      </c>
      <c r="BH94" s="9">
        <v>0</v>
      </c>
      <c r="BI94" s="9">
        <v>0</v>
      </c>
      <c r="BJ94" s="9">
        <v>0</v>
      </c>
      <c r="BK94" s="9">
        <v>0</v>
      </c>
      <c r="BL94" s="9">
        <v>0</v>
      </c>
      <c r="BM94" s="9">
        <v>0</v>
      </c>
      <c r="BN94" s="9">
        <v>0</v>
      </c>
      <c r="BO94" s="9">
        <v>0</v>
      </c>
      <c r="BP94" s="10">
        <v>0</v>
      </c>
      <c r="BQ94">
        <v>0</v>
      </c>
      <c r="BR94">
        <v>0</v>
      </c>
    </row>
    <row r="95" spans="1:70" x14ac:dyDescent="0.35">
      <c r="A95" s="8" t="s">
        <v>73</v>
      </c>
      <c r="B95" s="9" t="s">
        <v>704</v>
      </c>
      <c r="C95" s="10" t="s">
        <v>705</v>
      </c>
      <c r="D95" s="34">
        <f t="shared" si="3"/>
        <v>0</v>
      </c>
      <c r="E95" s="9">
        <v>0</v>
      </c>
      <c r="F95" s="9">
        <v>0</v>
      </c>
      <c r="G95" s="9">
        <v>0</v>
      </c>
      <c r="H95" s="9">
        <v>0</v>
      </c>
      <c r="I95" s="9">
        <v>0</v>
      </c>
      <c r="J95" s="9">
        <v>0</v>
      </c>
      <c r="K95" s="9">
        <v>0</v>
      </c>
      <c r="L95" s="9">
        <v>0</v>
      </c>
      <c r="M95" s="9">
        <v>0</v>
      </c>
      <c r="N95" s="9">
        <v>0</v>
      </c>
      <c r="O95" s="9">
        <v>0</v>
      </c>
      <c r="P95" s="9">
        <v>0</v>
      </c>
      <c r="Q95" s="9">
        <v>0</v>
      </c>
      <c r="R95" s="9">
        <v>0</v>
      </c>
      <c r="S95" s="9">
        <v>0</v>
      </c>
      <c r="T95" s="9">
        <v>0</v>
      </c>
      <c r="U95" s="9">
        <v>0</v>
      </c>
      <c r="V95" s="9">
        <v>0</v>
      </c>
      <c r="W95" s="9">
        <v>0</v>
      </c>
      <c r="X95" s="9">
        <v>0</v>
      </c>
      <c r="Y95" s="9">
        <v>0</v>
      </c>
      <c r="Z95" s="9">
        <v>0</v>
      </c>
      <c r="AA95" s="9">
        <v>0</v>
      </c>
      <c r="AB95" s="9">
        <v>0</v>
      </c>
      <c r="AC95" s="9">
        <v>0</v>
      </c>
      <c r="AD95" s="9">
        <v>0</v>
      </c>
      <c r="AE95" s="9">
        <v>0</v>
      </c>
      <c r="AF95" s="9">
        <v>0</v>
      </c>
      <c r="AG95" s="9">
        <v>0</v>
      </c>
      <c r="AH95" s="9">
        <v>0</v>
      </c>
      <c r="AI95" s="9">
        <v>0</v>
      </c>
      <c r="AJ95" s="9">
        <v>0</v>
      </c>
      <c r="AK95" s="9">
        <v>0</v>
      </c>
      <c r="AL95" s="9">
        <v>0</v>
      </c>
      <c r="AM95" s="9">
        <v>0</v>
      </c>
      <c r="AN95" s="9">
        <v>0</v>
      </c>
      <c r="AO95" s="9">
        <v>0</v>
      </c>
      <c r="AP95" s="9">
        <v>0</v>
      </c>
      <c r="AQ95" s="9">
        <v>0</v>
      </c>
      <c r="AR95" s="9">
        <v>0</v>
      </c>
      <c r="AS95" s="9">
        <v>0</v>
      </c>
      <c r="AT95" s="9">
        <v>0</v>
      </c>
      <c r="AU95" s="9">
        <v>0</v>
      </c>
      <c r="AV95" s="9">
        <v>0</v>
      </c>
      <c r="AW95" s="9">
        <v>0</v>
      </c>
      <c r="AX95" s="9">
        <v>0</v>
      </c>
      <c r="AY95" s="9">
        <v>0</v>
      </c>
      <c r="AZ95" s="9">
        <v>0</v>
      </c>
      <c r="BA95" s="9">
        <v>0</v>
      </c>
      <c r="BB95" s="9">
        <v>0</v>
      </c>
      <c r="BC95" s="9">
        <v>0</v>
      </c>
      <c r="BD95" s="9">
        <v>0</v>
      </c>
      <c r="BE95" s="9">
        <v>0</v>
      </c>
      <c r="BF95" s="9">
        <v>0</v>
      </c>
      <c r="BG95" s="9">
        <v>0</v>
      </c>
      <c r="BH95" s="9">
        <v>0</v>
      </c>
      <c r="BI95" s="9">
        <v>0</v>
      </c>
      <c r="BJ95" s="9">
        <v>0</v>
      </c>
      <c r="BK95" s="9">
        <v>0</v>
      </c>
      <c r="BL95" s="9">
        <v>0</v>
      </c>
      <c r="BM95" s="9">
        <v>0</v>
      </c>
      <c r="BN95" s="9">
        <v>0</v>
      </c>
      <c r="BO95" s="9">
        <v>0</v>
      </c>
      <c r="BP95" s="10">
        <v>0</v>
      </c>
      <c r="BQ95">
        <v>0</v>
      </c>
      <c r="BR95">
        <v>0</v>
      </c>
    </row>
    <row r="96" spans="1:70" x14ac:dyDescent="0.35">
      <c r="A96" s="8" t="s">
        <v>73</v>
      </c>
      <c r="B96" s="9" t="s">
        <v>706</v>
      </c>
      <c r="C96" s="10" t="s">
        <v>707</v>
      </c>
      <c r="D96" s="34">
        <f t="shared" si="3"/>
        <v>0</v>
      </c>
      <c r="E96" s="9">
        <v>0</v>
      </c>
      <c r="F96" s="9">
        <v>0</v>
      </c>
      <c r="G96" s="9">
        <v>0</v>
      </c>
      <c r="H96" s="9">
        <v>0</v>
      </c>
      <c r="I96" s="9">
        <v>0</v>
      </c>
      <c r="J96" s="9">
        <v>0</v>
      </c>
      <c r="K96" s="9">
        <v>0</v>
      </c>
      <c r="L96" s="9">
        <v>0</v>
      </c>
      <c r="M96" s="9">
        <v>0</v>
      </c>
      <c r="N96" s="9">
        <v>0</v>
      </c>
      <c r="O96" s="9">
        <v>0</v>
      </c>
      <c r="P96" s="9">
        <v>0</v>
      </c>
      <c r="Q96" s="9">
        <v>0</v>
      </c>
      <c r="R96" s="9">
        <v>0</v>
      </c>
      <c r="S96" s="9">
        <v>0</v>
      </c>
      <c r="T96" s="9">
        <v>0</v>
      </c>
      <c r="U96" s="9">
        <v>0</v>
      </c>
      <c r="V96" s="9">
        <v>0</v>
      </c>
      <c r="W96" s="9">
        <v>0</v>
      </c>
      <c r="X96" s="9">
        <v>0</v>
      </c>
      <c r="Y96" s="9">
        <v>0</v>
      </c>
      <c r="Z96" s="9">
        <v>0</v>
      </c>
      <c r="AA96" s="9">
        <v>0</v>
      </c>
      <c r="AB96" s="9">
        <v>0</v>
      </c>
      <c r="AC96" s="9">
        <v>0</v>
      </c>
      <c r="AD96" s="9">
        <v>0</v>
      </c>
      <c r="AE96" s="9">
        <v>0</v>
      </c>
      <c r="AF96" s="9">
        <v>0</v>
      </c>
      <c r="AG96" s="9">
        <v>0</v>
      </c>
      <c r="AH96" s="9">
        <v>0</v>
      </c>
      <c r="AI96" s="9">
        <v>0</v>
      </c>
      <c r="AJ96" s="9">
        <v>0</v>
      </c>
      <c r="AK96" s="9">
        <v>0</v>
      </c>
      <c r="AL96" s="9">
        <v>0</v>
      </c>
      <c r="AM96" s="9">
        <v>0</v>
      </c>
      <c r="AN96" s="9">
        <v>0</v>
      </c>
      <c r="AO96" s="9">
        <v>0</v>
      </c>
      <c r="AP96" s="9">
        <v>0</v>
      </c>
      <c r="AQ96" s="9">
        <v>0</v>
      </c>
      <c r="AR96" s="9">
        <v>0</v>
      </c>
      <c r="AS96" s="9">
        <v>0</v>
      </c>
      <c r="AT96" s="9">
        <v>0</v>
      </c>
      <c r="AU96" s="9">
        <v>0</v>
      </c>
      <c r="AV96" s="9">
        <v>0</v>
      </c>
      <c r="AW96" s="9">
        <v>0</v>
      </c>
      <c r="AX96" s="9">
        <v>0</v>
      </c>
      <c r="AY96" s="9">
        <v>0</v>
      </c>
      <c r="AZ96" s="9">
        <v>0</v>
      </c>
      <c r="BA96" s="9">
        <v>0</v>
      </c>
      <c r="BB96" s="9">
        <v>0</v>
      </c>
      <c r="BC96" s="9">
        <v>0</v>
      </c>
      <c r="BD96" s="9">
        <v>0</v>
      </c>
      <c r="BE96" s="9">
        <v>0</v>
      </c>
      <c r="BF96" s="9">
        <v>0</v>
      </c>
      <c r="BG96" s="9">
        <v>0</v>
      </c>
      <c r="BH96" s="9">
        <v>0</v>
      </c>
      <c r="BI96" s="9">
        <v>0</v>
      </c>
      <c r="BJ96" s="9">
        <v>0</v>
      </c>
      <c r="BK96" s="9">
        <v>0</v>
      </c>
      <c r="BL96" s="9">
        <v>0</v>
      </c>
      <c r="BM96" s="9">
        <v>0</v>
      </c>
      <c r="BN96" s="9">
        <v>0</v>
      </c>
      <c r="BO96" s="9">
        <v>0</v>
      </c>
      <c r="BP96" s="10">
        <v>0</v>
      </c>
      <c r="BQ96">
        <v>0</v>
      </c>
      <c r="BR96">
        <v>0</v>
      </c>
    </row>
    <row r="97" spans="1:70" x14ac:dyDescent="0.35">
      <c r="A97" s="8" t="s">
        <v>73</v>
      </c>
      <c r="B97" s="9" t="s">
        <v>708</v>
      </c>
      <c r="C97" s="10" t="s">
        <v>709</v>
      </c>
      <c r="D97" s="34">
        <f t="shared" si="3"/>
        <v>1</v>
      </c>
      <c r="E97" s="9">
        <v>0</v>
      </c>
      <c r="F97" s="9">
        <v>0</v>
      </c>
      <c r="G97" s="9">
        <v>0</v>
      </c>
      <c r="H97" s="9">
        <v>0</v>
      </c>
      <c r="I97" s="9">
        <v>0</v>
      </c>
      <c r="J97" s="9">
        <v>0</v>
      </c>
      <c r="K97" s="9">
        <v>1</v>
      </c>
      <c r="L97" s="9">
        <v>0</v>
      </c>
      <c r="M97" s="9">
        <v>0</v>
      </c>
      <c r="N97" s="9">
        <v>0</v>
      </c>
      <c r="O97" s="9">
        <v>0</v>
      </c>
      <c r="P97" s="9">
        <v>0</v>
      </c>
      <c r="Q97" s="9">
        <v>0</v>
      </c>
      <c r="R97" s="9">
        <v>0</v>
      </c>
      <c r="S97" s="9">
        <v>0</v>
      </c>
      <c r="T97" s="9">
        <v>0</v>
      </c>
      <c r="U97" s="9">
        <v>0</v>
      </c>
      <c r="V97" s="9">
        <v>0</v>
      </c>
      <c r="W97" s="9">
        <v>0</v>
      </c>
      <c r="X97" s="9">
        <v>0</v>
      </c>
      <c r="Y97" s="9">
        <v>0</v>
      </c>
      <c r="Z97" s="9">
        <v>0</v>
      </c>
      <c r="AA97" s="9">
        <v>0</v>
      </c>
      <c r="AB97" s="9">
        <v>0</v>
      </c>
      <c r="AC97" s="9">
        <v>0</v>
      </c>
      <c r="AD97" s="9">
        <v>0</v>
      </c>
      <c r="AE97" s="9">
        <v>0</v>
      </c>
      <c r="AF97" s="9">
        <v>0</v>
      </c>
      <c r="AG97" s="9">
        <v>0</v>
      </c>
      <c r="AH97" s="9">
        <v>0</v>
      </c>
      <c r="AI97" s="9">
        <v>0</v>
      </c>
      <c r="AJ97" s="9">
        <v>0</v>
      </c>
      <c r="AK97" s="9">
        <v>0</v>
      </c>
      <c r="AL97" s="9">
        <v>0</v>
      </c>
      <c r="AM97" s="9">
        <v>0</v>
      </c>
      <c r="AN97" s="9">
        <v>0</v>
      </c>
      <c r="AO97" s="9">
        <v>0</v>
      </c>
      <c r="AP97" s="9">
        <v>0</v>
      </c>
      <c r="AQ97" s="9">
        <v>0</v>
      </c>
      <c r="AR97" s="9">
        <v>0</v>
      </c>
      <c r="AS97" s="9">
        <v>0</v>
      </c>
      <c r="AT97" s="9">
        <v>0</v>
      </c>
      <c r="AU97" s="9">
        <v>0</v>
      </c>
      <c r="AV97" s="9">
        <v>0</v>
      </c>
      <c r="AW97" s="9">
        <v>0</v>
      </c>
      <c r="AX97" s="9">
        <v>0</v>
      </c>
      <c r="AY97" s="9">
        <v>0</v>
      </c>
      <c r="AZ97" s="9">
        <v>0</v>
      </c>
      <c r="BA97" s="9">
        <v>0</v>
      </c>
      <c r="BB97" s="9">
        <v>0</v>
      </c>
      <c r="BC97" s="9">
        <v>0</v>
      </c>
      <c r="BD97" s="9">
        <v>0</v>
      </c>
      <c r="BE97" s="9">
        <v>0</v>
      </c>
      <c r="BF97" s="9">
        <v>0</v>
      </c>
      <c r="BG97" s="9">
        <v>0</v>
      </c>
      <c r="BH97" s="9">
        <v>0</v>
      </c>
      <c r="BI97" s="9">
        <v>0</v>
      </c>
      <c r="BJ97" s="9">
        <v>0</v>
      </c>
      <c r="BK97" s="9">
        <v>0</v>
      </c>
      <c r="BL97" s="9">
        <v>0</v>
      </c>
      <c r="BM97" s="9">
        <v>0</v>
      </c>
      <c r="BN97" s="9">
        <v>0</v>
      </c>
      <c r="BO97" s="9">
        <v>0</v>
      </c>
      <c r="BP97" s="10">
        <v>0</v>
      </c>
      <c r="BQ97">
        <v>0</v>
      </c>
      <c r="BR97">
        <v>0</v>
      </c>
    </row>
    <row r="98" spans="1:70" x14ac:dyDescent="0.35">
      <c r="A98" s="8" t="s">
        <v>73</v>
      </c>
      <c r="B98" s="9" t="s">
        <v>710</v>
      </c>
      <c r="C98" s="10" t="s">
        <v>711</v>
      </c>
      <c r="D98" s="34">
        <f t="shared" si="3"/>
        <v>0</v>
      </c>
      <c r="E98" s="9">
        <v>0</v>
      </c>
      <c r="F98" s="9">
        <v>0</v>
      </c>
      <c r="G98" s="9">
        <v>0</v>
      </c>
      <c r="H98" s="9">
        <v>0</v>
      </c>
      <c r="I98" s="9">
        <v>0</v>
      </c>
      <c r="J98" s="9">
        <v>0</v>
      </c>
      <c r="K98" s="9">
        <v>0</v>
      </c>
      <c r="L98" s="9">
        <v>0</v>
      </c>
      <c r="M98" s="9">
        <v>0</v>
      </c>
      <c r="N98" s="9">
        <v>0</v>
      </c>
      <c r="O98" s="9">
        <v>0</v>
      </c>
      <c r="P98" s="9">
        <v>0</v>
      </c>
      <c r="Q98" s="9">
        <v>0</v>
      </c>
      <c r="R98" s="9">
        <v>0</v>
      </c>
      <c r="S98" s="9">
        <v>0</v>
      </c>
      <c r="T98" s="9">
        <v>0</v>
      </c>
      <c r="U98" s="9">
        <v>0</v>
      </c>
      <c r="V98" s="9">
        <v>0</v>
      </c>
      <c r="W98" s="9">
        <v>0</v>
      </c>
      <c r="X98" s="9">
        <v>0</v>
      </c>
      <c r="Y98" s="9">
        <v>0</v>
      </c>
      <c r="Z98" s="9">
        <v>0</v>
      </c>
      <c r="AA98" s="9">
        <v>0</v>
      </c>
      <c r="AB98" s="9">
        <v>0</v>
      </c>
      <c r="AC98" s="9">
        <v>0</v>
      </c>
      <c r="AD98" s="9">
        <v>0</v>
      </c>
      <c r="AE98" s="9">
        <v>0</v>
      </c>
      <c r="AF98" s="9">
        <v>0</v>
      </c>
      <c r="AG98" s="9">
        <v>0</v>
      </c>
      <c r="AH98" s="9">
        <v>0</v>
      </c>
      <c r="AI98" s="9">
        <v>0</v>
      </c>
      <c r="AJ98" s="9">
        <v>0</v>
      </c>
      <c r="AK98" s="9">
        <v>0</v>
      </c>
      <c r="AL98" s="9">
        <v>0</v>
      </c>
      <c r="AM98" s="9">
        <v>0</v>
      </c>
      <c r="AN98" s="9">
        <v>0</v>
      </c>
      <c r="AO98" s="9">
        <v>0</v>
      </c>
      <c r="AP98" s="9">
        <v>0</v>
      </c>
      <c r="AQ98" s="9">
        <v>0</v>
      </c>
      <c r="AR98" s="9">
        <v>0</v>
      </c>
      <c r="AS98" s="9">
        <v>0</v>
      </c>
      <c r="AT98" s="9">
        <v>0</v>
      </c>
      <c r="AU98" s="9">
        <v>0</v>
      </c>
      <c r="AV98" s="9">
        <v>0</v>
      </c>
      <c r="AW98" s="9">
        <v>0</v>
      </c>
      <c r="AX98" s="9">
        <v>0</v>
      </c>
      <c r="AY98" s="9">
        <v>0</v>
      </c>
      <c r="AZ98" s="9">
        <v>0</v>
      </c>
      <c r="BA98" s="9">
        <v>0</v>
      </c>
      <c r="BB98" s="9">
        <v>0</v>
      </c>
      <c r="BC98" s="9">
        <v>0</v>
      </c>
      <c r="BD98" s="9">
        <v>0</v>
      </c>
      <c r="BE98" s="9">
        <v>0</v>
      </c>
      <c r="BF98" s="9">
        <v>0</v>
      </c>
      <c r="BG98" s="9">
        <v>0</v>
      </c>
      <c r="BH98" s="9">
        <v>0</v>
      </c>
      <c r="BI98" s="9">
        <v>0</v>
      </c>
      <c r="BJ98" s="9">
        <v>0</v>
      </c>
      <c r="BK98" s="9">
        <v>0</v>
      </c>
      <c r="BL98" s="9">
        <v>0</v>
      </c>
      <c r="BM98" s="9">
        <v>0</v>
      </c>
      <c r="BN98" s="9">
        <v>0</v>
      </c>
      <c r="BO98" s="9">
        <v>0</v>
      </c>
      <c r="BP98" s="10">
        <v>0</v>
      </c>
      <c r="BQ98">
        <v>0</v>
      </c>
      <c r="BR98">
        <v>0</v>
      </c>
    </row>
    <row r="99" spans="1:70" x14ac:dyDescent="0.35">
      <c r="A99" s="8" t="s">
        <v>73</v>
      </c>
      <c r="B99" s="9" t="s">
        <v>712</v>
      </c>
      <c r="C99" s="10" t="s">
        <v>713</v>
      </c>
      <c r="D99" s="34">
        <f t="shared" si="3"/>
        <v>0</v>
      </c>
      <c r="E99" s="9">
        <v>0</v>
      </c>
      <c r="F99" s="9">
        <v>0</v>
      </c>
      <c r="G99" s="9">
        <v>0</v>
      </c>
      <c r="H99" s="9">
        <v>0</v>
      </c>
      <c r="I99" s="9">
        <v>0</v>
      </c>
      <c r="J99" s="9">
        <v>0</v>
      </c>
      <c r="K99" s="9">
        <v>0</v>
      </c>
      <c r="L99" s="9">
        <v>0</v>
      </c>
      <c r="M99" s="9">
        <v>0</v>
      </c>
      <c r="N99" s="9">
        <v>0</v>
      </c>
      <c r="O99" s="9">
        <v>0</v>
      </c>
      <c r="P99" s="9">
        <v>0</v>
      </c>
      <c r="Q99" s="9">
        <v>0</v>
      </c>
      <c r="R99" s="9">
        <v>0</v>
      </c>
      <c r="S99" s="9">
        <v>0</v>
      </c>
      <c r="T99" s="9">
        <v>0</v>
      </c>
      <c r="U99" s="9">
        <v>0</v>
      </c>
      <c r="V99" s="9">
        <v>0</v>
      </c>
      <c r="W99" s="9">
        <v>0</v>
      </c>
      <c r="X99" s="9">
        <v>0</v>
      </c>
      <c r="Y99" s="9">
        <v>0</v>
      </c>
      <c r="Z99" s="9">
        <v>0</v>
      </c>
      <c r="AA99" s="9">
        <v>0</v>
      </c>
      <c r="AB99" s="9">
        <v>0</v>
      </c>
      <c r="AC99" s="9">
        <v>0</v>
      </c>
      <c r="AD99" s="9">
        <v>0</v>
      </c>
      <c r="AE99" s="9">
        <v>0</v>
      </c>
      <c r="AF99" s="9">
        <v>0</v>
      </c>
      <c r="AG99" s="9">
        <v>0</v>
      </c>
      <c r="AH99" s="9">
        <v>0</v>
      </c>
      <c r="AI99" s="9">
        <v>0</v>
      </c>
      <c r="AJ99" s="9">
        <v>0</v>
      </c>
      <c r="AK99" s="9">
        <v>0</v>
      </c>
      <c r="AL99" s="9">
        <v>0</v>
      </c>
      <c r="AM99" s="9">
        <v>0</v>
      </c>
      <c r="AN99" s="9">
        <v>0</v>
      </c>
      <c r="AO99" s="9">
        <v>0</v>
      </c>
      <c r="AP99" s="9">
        <v>0</v>
      </c>
      <c r="AQ99" s="9">
        <v>0</v>
      </c>
      <c r="AR99" s="9">
        <v>0</v>
      </c>
      <c r="AS99" s="9">
        <v>0</v>
      </c>
      <c r="AT99" s="9">
        <v>0</v>
      </c>
      <c r="AU99" s="9">
        <v>0</v>
      </c>
      <c r="AV99" s="9">
        <v>0</v>
      </c>
      <c r="AW99" s="9">
        <v>0</v>
      </c>
      <c r="AX99" s="9">
        <v>0</v>
      </c>
      <c r="AY99" s="9">
        <v>0</v>
      </c>
      <c r="AZ99" s="9">
        <v>0</v>
      </c>
      <c r="BA99" s="9">
        <v>0</v>
      </c>
      <c r="BB99" s="9">
        <v>0</v>
      </c>
      <c r="BC99" s="9">
        <v>0</v>
      </c>
      <c r="BD99" s="9">
        <v>0</v>
      </c>
      <c r="BE99" s="9">
        <v>0</v>
      </c>
      <c r="BF99" s="9">
        <v>0</v>
      </c>
      <c r="BG99" s="9">
        <v>0</v>
      </c>
      <c r="BH99" s="9">
        <v>0</v>
      </c>
      <c r="BI99" s="9">
        <v>0</v>
      </c>
      <c r="BJ99" s="9">
        <v>0</v>
      </c>
      <c r="BK99" s="9">
        <v>0</v>
      </c>
      <c r="BL99" s="9">
        <v>0</v>
      </c>
      <c r="BM99" s="9">
        <v>0</v>
      </c>
      <c r="BN99" s="9">
        <v>0</v>
      </c>
      <c r="BO99" s="9">
        <v>0</v>
      </c>
      <c r="BP99" s="10">
        <v>0</v>
      </c>
      <c r="BQ99">
        <v>0</v>
      </c>
      <c r="BR99">
        <v>0</v>
      </c>
    </row>
    <row r="100" spans="1:70" x14ac:dyDescent="0.35">
      <c r="A100" s="8" t="s">
        <v>73</v>
      </c>
      <c r="B100" s="9" t="s">
        <v>714</v>
      </c>
      <c r="C100" s="10" t="s">
        <v>715</v>
      </c>
      <c r="D100" s="34">
        <f t="shared" si="3"/>
        <v>0</v>
      </c>
      <c r="E100" s="9">
        <v>0</v>
      </c>
      <c r="F100" s="9">
        <v>0</v>
      </c>
      <c r="G100" s="9">
        <v>0</v>
      </c>
      <c r="H100" s="9">
        <v>0</v>
      </c>
      <c r="I100" s="9">
        <v>0</v>
      </c>
      <c r="J100" s="9">
        <v>0</v>
      </c>
      <c r="K100" s="9">
        <v>0</v>
      </c>
      <c r="L100" s="9">
        <v>0</v>
      </c>
      <c r="M100" s="9">
        <v>0</v>
      </c>
      <c r="N100" s="9">
        <v>0</v>
      </c>
      <c r="O100" s="9">
        <v>0</v>
      </c>
      <c r="P100" s="9">
        <v>0</v>
      </c>
      <c r="Q100" s="9">
        <v>0</v>
      </c>
      <c r="R100" s="9">
        <v>0</v>
      </c>
      <c r="S100" s="9">
        <v>0</v>
      </c>
      <c r="T100" s="9">
        <v>0</v>
      </c>
      <c r="U100" s="9">
        <v>0</v>
      </c>
      <c r="V100" s="9">
        <v>0</v>
      </c>
      <c r="W100" s="9">
        <v>0</v>
      </c>
      <c r="X100" s="9">
        <v>0</v>
      </c>
      <c r="Y100" s="9">
        <v>0</v>
      </c>
      <c r="Z100" s="9">
        <v>0</v>
      </c>
      <c r="AA100" s="9">
        <v>0</v>
      </c>
      <c r="AB100" s="9">
        <v>0</v>
      </c>
      <c r="AC100" s="9">
        <v>0</v>
      </c>
      <c r="AD100" s="9">
        <v>0</v>
      </c>
      <c r="AE100" s="9">
        <v>0</v>
      </c>
      <c r="AF100" s="9">
        <v>0</v>
      </c>
      <c r="AG100" s="9">
        <v>0</v>
      </c>
      <c r="AH100" s="9">
        <v>0</v>
      </c>
      <c r="AI100" s="9">
        <v>0</v>
      </c>
      <c r="AJ100" s="9">
        <v>0</v>
      </c>
      <c r="AK100" s="9">
        <v>0</v>
      </c>
      <c r="AL100" s="9">
        <v>0</v>
      </c>
      <c r="AM100" s="9">
        <v>0</v>
      </c>
      <c r="AN100" s="9">
        <v>0</v>
      </c>
      <c r="AO100" s="9">
        <v>0</v>
      </c>
      <c r="AP100" s="9">
        <v>0</v>
      </c>
      <c r="AQ100" s="9">
        <v>0</v>
      </c>
      <c r="AR100" s="9">
        <v>0</v>
      </c>
      <c r="AS100" s="9">
        <v>0</v>
      </c>
      <c r="AT100" s="9">
        <v>0</v>
      </c>
      <c r="AU100" s="9">
        <v>0</v>
      </c>
      <c r="AV100" s="9">
        <v>0</v>
      </c>
      <c r="AW100" s="9">
        <v>0</v>
      </c>
      <c r="AX100" s="9">
        <v>0</v>
      </c>
      <c r="AY100" s="9">
        <v>0</v>
      </c>
      <c r="AZ100" s="9">
        <v>0</v>
      </c>
      <c r="BA100" s="9">
        <v>0</v>
      </c>
      <c r="BB100" s="9">
        <v>0</v>
      </c>
      <c r="BC100" s="9">
        <v>0</v>
      </c>
      <c r="BD100" s="9">
        <v>0</v>
      </c>
      <c r="BE100" s="9">
        <v>0</v>
      </c>
      <c r="BF100" s="9">
        <v>0</v>
      </c>
      <c r="BG100" s="9">
        <v>0</v>
      </c>
      <c r="BH100" s="9">
        <v>0</v>
      </c>
      <c r="BI100" s="9">
        <v>0</v>
      </c>
      <c r="BJ100" s="9">
        <v>0</v>
      </c>
      <c r="BK100" s="9">
        <v>0</v>
      </c>
      <c r="BL100" s="9">
        <v>0</v>
      </c>
      <c r="BM100" s="9">
        <v>0</v>
      </c>
      <c r="BN100" s="9">
        <v>0</v>
      </c>
      <c r="BO100" s="9">
        <v>0</v>
      </c>
      <c r="BP100" s="10">
        <v>0</v>
      </c>
      <c r="BQ100">
        <v>0</v>
      </c>
      <c r="BR100">
        <v>0</v>
      </c>
    </row>
    <row r="101" spans="1:70" x14ac:dyDescent="0.35">
      <c r="A101" s="8" t="s">
        <v>73</v>
      </c>
      <c r="B101" s="9" t="s">
        <v>716</v>
      </c>
      <c r="C101" s="10" t="s">
        <v>717</v>
      </c>
      <c r="D101" s="34">
        <f t="shared" si="3"/>
        <v>0</v>
      </c>
      <c r="E101" s="9">
        <v>0</v>
      </c>
      <c r="F101" s="9">
        <v>0</v>
      </c>
      <c r="G101" s="9">
        <v>0</v>
      </c>
      <c r="H101" s="9">
        <v>0</v>
      </c>
      <c r="I101" s="9">
        <v>0</v>
      </c>
      <c r="J101" s="9">
        <v>0</v>
      </c>
      <c r="K101" s="9">
        <v>0</v>
      </c>
      <c r="L101" s="9">
        <v>0</v>
      </c>
      <c r="M101" s="9">
        <v>0</v>
      </c>
      <c r="N101" s="9">
        <v>0</v>
      </c>
      <c r="O101" s="9">
        <v>0</v>
      </c>
      <c r="P101" s="9">
        <v>0</v>
      </c>
      <c r="Q101" s="9">
        <v>0</v>
      </c>
      <c r="R101" s="9">
        <v>0</v>
      </c>
      <c r="S101" s="9">
        <v>0</v>
      </c>
      <c r="T101" s="9">
        <v>0</v>
      </c>
      <c r="U101" s="9">
        <v>0</v>
      </c>
      <c r="V101" s="9">
        <v>0</v>
      </c>
      <c r="W101" s="9">
        <v>0</v>
      </c>
      <c r="X101" s="9">
        <v>0</v>
      </c>
      <c r="Y101" s="9">
        <v>0</v>
      </c>
      <c r="Z101" s="9">
        <v>0</v>
      </c>
      <c r="AA101" s="9">
        <v>0</v>
      </c>
      <c r="AB101" s="9">
        <v>0</v>
      </c>
      <c r="AC101" s="9">
        <v>0</v>
      </c>
      <c r="AD101" s="9">
        <v>0</v>
      </c>
      <c r="AE101" s="9">
        <v>0</v>
      </c>
      <c r="AF101" s="9">
        <v>0</v>
      </c>
      <c r="AG101" s="9">
        <v>0</v>
      </c>
      <c r="AH101" s="9">
        <v>0</v>
      </c>
      <c r="AI101" s="9">
        <v>0</v>
      </c>
      <c r="AJ101" s="9">
        <v>0</v>
      </c>
      <c r="AK101" s="9">
        <v>0</v>
      </c>
      <c r="AL101" s="9">
        <v>0</v>
      </c>
      <c r="AM101" s="9">
        <v>0</v>
      </c>
      <c r="AN101" s="9">
        <v>0</v>
      </c>
      <c r="AO101" s="9">
        <v>0</v>
      </c>
      <c r="AP101" s="9">
        <v>0</v>
      </c>
      <c r="AQ101" s="9">
        <v>0</v>
      </c>
      <c r="AR101" s="9">
        <v>0</v>
      </c>
      <c r="AS101" s="9">
        <v>0</v>
      </c>
      <c r="AT101" s="9">
        <v>0</v>
      </c>
      <c r="AU101" s="9">
        <v>0</v>
      </c>
      <c r="AV101" s="9">
        <v>0</v>
      </c>
      <c r="AW101" s="9">
        <v>0</v>
      </c>
      <c r="AX101" s="9">
        <v>0</v>
      </c>
      <c r="AY101" s="9">
        <v>0</v>
      </c>
      <c r="AZ101" s="9">
        <v>0</v>
      </c>
      <c r="BA101" s="9">
        <v>0</v>
      </c>
      <c r="BB101" s="9">
        <v>0</v>
      </c>
      <c r="BC101" s="9">
        <v>0</v>
      </c>
      <c r="BD101" s="9">
        <v>0</v>
      </c>
      <c r="BE101" s="9">
        <v>0</v>
      </c>
      <c r="BF101" s="9">
        <v>0</v>
      </c>
      <c r="BG101" s="9">
        <v>0</v>
      </c>
      <c r="BH101" s="9">
        <v>0</v>
      </c>
      <c r="BI101" s="9">
        <v>0</v>
      </c>
      <c r="BJ101" s="9">
        <v>0</v>
      </c>
      <c r="BK101" s="9">
        <v>0</v>
      </c>
      <c r="BL101" s="9">
        <v>0</v>
      </c>
      <c r="BM101" s="9">
        <v>0</v>
      </c>
      <c r="BN101" s="9">
        <v>0</v>
      </c>
      <c r="BO101" s="9">
        <v>0</v>
      </c>
      <c r="BP101" s="10">
        <v>0</v>
      </c>
      <c r="BQ101">
        <v>0</v>
      </c>
      <c r="BR101">
        <v>0</v>
      </c>
    </row>
    <row r="102" spans="1:70" x14ac:dyDescent="0.35">
      <c r="A102" s="8" t="s">
        <v>73</v>
      </c>
      <c r="B102" s="9" t="s">
        <v>718</v>
      </c>
      <c r="C102" s="10" t="s">
        <v>719</v>
      </c>
      <c r="D102" s="34">
        <f t="shared" si="3"/>
        <v>0</v>
      </c>
      <c r="E102" s="9">
        <v>0</v>
      </c>
      <c r="F102" s="9">
        <v>0</v>
      </c>
      <c r="G102" s="9">
        <v>0</v>
      </c>
      <c r="H102" s="9">
        <v>0</v>
      </c>
      <c r="I102" s="9">
        <v>0</v>
      </c>
      <c r="J102" s="9">
        <v>0</v>
      </c>
      <c r="K102" s="9">
        <v>0</v>
      </c>
      <c r="L102" s="9">
        <v>0</v>
      </c>
      <c r="M102" s="9">
        <v>0</v>
      </c>
      <c r="N102" s="9">
        <v>0</v>
      </c>
      <c r="O102" s="9">
        <v>0</v>
      </c>
      <c r="P102" s="9">
        <v>0</v>
      </c>
      <c r="Q102" s="9">
        <v>0</v>
      </c>
      <c r="R102" s="9">
        <v>0</v>
      </c>
      <c r="S102" s="9">
        <v>0</v>
      </c>
      <c r="T102" s="9">
        <v>0</v>
      </c>
      <c r="U102" s="9">
        <v>0</v>
      </c>
      <c r="V102" s="9">
        <v>0</v>
      </c>
      <c r="W102" s="9">
        <v>0</v>
      </c>
      <c r="X102" s="9">
        <v>0</v>
      </c>
      <c r="Y102" s="9">
        <v>0</v>
      </c>
      <c r="Z102" s="9">
        <v>0</v>
      </c>
      <c r="AA102" s="9">
        <v>0</v>
      </c>
      <c r="AB102" s="9">
        <v>0</v>
      </c>
      <c r="AC102" s="9">
        <v>0</v>
      </c>
      <c r="AD102" s="9">
        <v>0</v>
      </c>
      <c r="AE102" s="9">
        <v>0</v>
      </c>
      <c r="AF102" s="9">
        <v>0</v>
      </c>
      <c r="AG102" s="9">
        <v>0</v>
      </c>
      <c r="AH102" s="9">
        <v>0</v>
      </c>
      <c r="AI102" s="9">
        <v>0</v>
      </c>
      <c r="AJ102" s="9">
        <v>0</v>
      </c>
      <c r="AK102" s="9">
        <v>0</v>
      </c>
      <c r="AL102" s="9">
        <v>0</v>
      </c>
      <c r="AM102" s="9">
        <v>0</v>
      </c>
      <c r="AN102" s="9">
        <v>0</v>
      </c>
      <c r="AO102" s="9">
        <v>0</v>
      </c>
      <c r="AP102" s="9">
        <v>0</v>
      </c>
      <c r="AQ102" s="9">
        <v>0</v>
      </c>
      <c r="AR102" s="9">
        <v>0</v>
      </c>
      <c r="AS102" s="9">
        <v>0</v>
      </c>
      <c r="AT102" s="9">
        <v>0</v>
      </c>
      <c r="AU102" s="9">
        <v>0</v>
      </c>
      <c r="AV102" s="9">
        <v>0</v>
      </c>
      <c r="AW102" s="9">
        <v>0</v>
      </c>
      <c r="AX102" s="9">
        <v>0</v>
      </c>
      <c r="AY102" s="9">
        <v>0</v>
      </c>
      <c r="AZ102" s="9">
        <v>0</v>
      </c>
      <c r="BA102" s="9">
        <v>0</v>
      </c>
      <c r="BB102" s="9">
        <v>0</v>
      </c>
      <c r="BC102" s="9">
        <v>0</v>
      </c>
      <c r="BD102" s="9">
        <v>0</v>
      </c>
      <c r="BE102" s="9">
        <v>0</v>
      </c>
      <c r="BF102" s="9">
        <v>0</v>
      </c>
      <c r="BG102" s="9">
        <v>0</v>
      </c>
      <c r="BH102" s="9">
        <v>0</v>
      </c>
      <c r="BI102" s="9">
        <v>0</v>
      </c>
      <c r="BJ102" s="9">
        <v>0</v>
      </c>
      <c r="BK102" s="9">
        <v>0</v>
      </c>
      <c r="BL102" s="9">
        <v>0</v>
      </c>
      <c r="BM102" s="9">
        <v>0</v>
      </c>
      <c r="BN102" s="9">
        <v>0</v>
      </c>
      <c r="BO102" s="9">
        <v>0</v>
      </c>
      <c r="BP102" s="10">
        <v>0</v>
      </c>
      <c r="BQ102">
        <v>0</v>
      </c>
      <c r="BR102">
        <v>0</v>
      </c>
    </row>
    <row r="103" spans="1:70" x14ac:dyDescent="0.35">
      <c r="A103" s="8" t="s">
        <v>73</v>
      </c>
      <c r="B103" s="9" t="s">
        <v>720</v>
      </c>
      <c r="C103" s="10" t="s">
        <v>721</v>
      </c>
      <c r="D103" s="34">
        <f t="shared" si="3"/>
        <v>0</v>
      </c>
      <c r="E103" s="9">
        <v>0</v>
      </c>
      <c r="F103" s="9">
        <v>0</v>
      </c>
      <c r="G103" s="9">
        <v>0</v>
      </c>
      <c r="H103" s="9">
        <v>0</v>
      </c>
      <c r="I103" s="9">
        <v>0</v>
      </c>
      <c r="J103" s="9">
        <v>0</v>
      </c>
      <c r="K103" s="9">
        <v>0</v>
      </c>
      <c r="L103" s="9">
        <v>0</v>
      </c>
      <c r="M103" s="9">
        <v>0</v>
      </c>
      <c r="N103" s="9">
        <v>0</v>
      </c>
      <c r="O103" s="9">
        <v>0</v>
      </c>
      <c r="P103" s="9">
        <v>0</v>
      </c>
      <c r="Q103" s="9">
        <v>0</v>
      </c>
      <c r="R103" s="9">
        <v>0</v>
      </c>
      <c r="S103" s="9">
        <v>0</v>
      </c>
      <c r="T103" s="9">
        <v>0</v>
      </c>
      <c r="U103" s="9">
        <v>0</v>
      </c>
      <c r="V103" s="9">
        <v>0</v>
      </c>
      <c r="W103" s="9">
        <v>0</v>
      </c>
      <c r="X103" s="9">
        <v>0</v>
      </c>
      <c r="Y103" s="9">
        <v>0</v>
      </c>
      <c r="Z103" s="9">
        <v>0</v>
      </c>
      <c r="AA103" s="9">
        <v>0</v>
      </c>
      <c r="AB103" s="9">
        <v>0</v>
      </c>
      <c r="AC103" s="9">
        <v>0</v>
      </c>
      <c r="AD103" s="9">
        <v>0</v>
      </c>
      <c r="AE103" s="9">
        <v>0</v>
      </c>
      <c r="AF103" s="9">
        <v>0</v>
      </c>
      <c r="AG103" s="9">
        <v>0</v>
      </c>
      <c r="AH103" s="9">
        <v>0</v>
      </c>
      <c r="AI103" s="9">
        <v>0</v>
      </c>
      <c r="AJ103" s="9">
        <v>0</v>
      </c>
      <c r="AK103" s="9">
        <v>0</v>
      </c>
      <c r="AL103" s="9">
        <v>0</v>
      </c>
      <c r="AM103" s="9">
        <v>0</v>
      </c>
      <c r="AN103" s="9">
        <v>0</v>
      </c>
      <c r="AO103" s="9">
        <v>0</v>
      </c>
      <c r="AP103" s="9">
        <v>0</v>
      </c>
      <c r="AQ103" s="9">
        <v>0</v>
      </c>
      <c r="AR103" s="9">
        <v>0</v>
      </c>
      <c r="AS103" s="9">
        <v>0</v>
      </c>
      <c r="AT103" s="9">
        <v>0</v>
      </c>
      <c r="AU103" s="9">
        <v>0</v>
      </c>
      <c r="AV103" s="9">
        <v>0</v>
      </c>
      <c r="AW103" s="9">
        <v>0</v>
      </c>
      <c r="AX103" s="9">
        <v>0</v>
      </c>
      <c r="AY103" s="9">
        <v>0</v>
      </c>
      <c r="AZ103" s="9">
        <v>0</v>
      </c>
      <c r="BA103" s="9">
        <v>0</v>
      </c>
      <c r="BB103" s="9">
        <v>0</v>
      </c>
      <c r="BC103" s="9">
        <v>0</v>
      </c>
      <c r="BD103" s="9">
        <v>0</v>
      </c>
      <c r="BE103" s="9">
        <v>0</v>
      </c>
      <c r="BF103" s="9">
        <v>0</v>
      </c>
      <c r="BG103" s="9">
        <v>0</v>
      </c>
      <c r="BH103" s="9">
        <v>0</v>
      </c>
      <c r="BI103" s="9">
        <v>0</v>
      </c>
      <c r="BJ103" s="9">
        <v>0</v>
      </c>
      <c r="BK103" s="9">
        <v>0</v>
      </c>
      <c r="BL103" s="9">
        <v>0</v>
      </c>
      <c r="BM103" s="9">
        <v>0</v>
      </c>
      <c r="BN103" s="9">
        <v>0</v>
      </c>
      <c r="BO103" s="9">
        <v>0</v>
      </c>
      <c r="BP103" s="10">
        <v>0</v>
      </c>
      <c r="BQ103">
        <v>0</v>
      </c>
      <c r="BR103">
        <v>0</v>
      </c>
    </row>
    <row r="104" spans="1:70" x14ac:dyDescent="0.35">
      <c r="A104" s="8" t="s">
        <v>73</v>
      </c>
      <c r="B104" s="9" t="s">
        <v>722</v>
      </c>
      <c r="C104" s="10" t="s">
        <v>723</v>
      </c>
      <c r="D104" s="34">
        <f t="shared" si="3"/>
        <v>0</v>
      </c>
      <c r="E104" s="9">
        <v>0</v>
      </c>
      <c r="F104" s="9">
        <v>0</v>
      </c>
      <c r="G104" s="9">
        <v>0</v>
      </c>
      <c r="H104" s="9">
        <v>0</v>
      </c>
      <c r="I104" s="9">
        <v>0</v>
      </c>
      <c r="J104" s="9">
        <v>0</v>
      </c>
      <c r="K104" s="9">
        <v>0</v>
      </c>
      <c r="L104" s="9">
        <v>0</v>
      </c>
      <c r="M104" s="9">
        <v>0</v>
      </c>
      <c r="N104" s="9">
        <v>0</v>
      </c>
      <c r="O104" s="9">
        <v>0</v>
      </c>
      <c r="P104" s="9">
        <v>0</v>
      </c>
      <c r="Q104" s="9">
        <v>0</v>
      </c>
      <c r="R104" s="9">
        <v>0</v>
      </c>
      <c r="S104" s="9">
        <v>0</v>
      </c>
      <c r="T104" s="9">
        <v>0</v>
      </c>
      <c r="U104" s="9">
        <v>0</v>
      </c>
      <c r="V104" s="9">
        <v>0</v>
      </c>
      <c r="W104" s="9">
        <v>0</v>
      </c>
      <c r="X104" s="9">
        <v>0</v>
      </c>
      <c r="Y104" s="9">
        <v>0</v>
      </c>
      <c r="Z104" s="9">
        <v>0</v>
      </c>
      <c r="AA104" s="9">
        <v>0</v>
      </c>
      <c r="AB104" s="9">
        <v>0</v>
      </c>
      <c r="AC104" s="9">
        <v>0</v>
      </c>
      <c r="AD104" s="9">
        <v>0</v>
      </c>
      <c r="AE104" s="9">
        <v>0</v>
      </c>
      <c r="AF104" s="9">
        <v>0</v>
      </c>
      <c r="AG104" s="9">
        <v>0</v>
      </c>
      <c r="AH104" s="9">
        <v>0</v>
      </c>
      <c r="AI104" s="9">
        <v>0</v>
      </c>
      <c r="AJ104" s="9">
        <v>0</v>
      </c>
      <c r="AK104" s="9">
        <v>0</v>
      </c>
      <c r="AL104" s="9">
        <v>0</v>
      </c>
      <c r="AM104" s="9">
        <v>0</v>
      </c>
      <c r="AN104" s="9">
        <v>0</v>
      </c>
      <c r="AO104" s="9">
        <v>0</v>
      </c>
      <c r="AP104" s="9">
        <v>0</v>
      </c>
      <c r="AQ104" s="9">
        <v>0</v>
      </c>
      <c r="AR104" s="9">
        <v>0</v>
      </c>
      <c r="AS104" s="9">
        <v>0</v>
      </c>
      <c r="AT104" s="9">
        <v>0</v>
      </c>
      <c r="AU104" s="9">
        <v>0</v>
      </c>
      <c r="AV104" s="9">
        <v>0</v>
      </c>
      <c r="AW104" s="9">
        <v>0</v>
      </c>
      <c r="AX104" s="9">
        <v>0</v>
      </c>
      <c r="AY104" s="9">
        <v>0</v>
      </c>
      <c r="AZ104" s="9">
        <v>0</v>
      </c>
      <c r="BA104" s="9">
        <v>0</v>
      </c>
      <c r="BB104" s="9">
        <v>0</v>
      </c>
      <c r="BC104" s="9">
        <v>0</v>
      </c>
      <c r="BD104" s="9">
        <v>0</v>
      </c>
      <c r="BE104" s="9">
        <v>0</v>
      </c>
      <c r="BF104" s="9">
        <v>0</v>
      </c>
      <c r="BG104" s="9">
        <v>0</v>
      </c>
      <c r="BH104" s="9">
        <v>0</v>
      </c>
      <c r="BI104" s="9">
        <v>0</v>
      </c>
      <c r="BJ104" s="9">
        <v>0</v>
      </c>
      <c r="BK104" s="9">
        <v>0</v>
      </c>
      <c r="BL104" s="9">
        <v>0</v>
      </c>
      <c r="BM104" s="9">
        <v>0</v>
      </c>
      <c r="BN104" s="9">
        <v>0</v>
      </c>
      <c r="BO104" s="9">
        <v>0</v>
      </c>
      <c r="BP104" s="10">
        <v>0</v>
      </c>
      <c r="BQ104">
        <v>0</v>
      </c>
      <c r="BR104">
        <v>0</v>
      </c>
    </row>
    <row r="105" spans="1:70" x14ac:dyDescent="0.35">
      <c r="A105" s="8" t="s">
        <v>73</v>
      </c>
      <c r="B105" s="9" t="s">
        <v>724</v>
      </c>
      <c r="C105" s="10" t="s">
        <v>725</v>
      </c>
      <c r="D105" s="34">
        <f t="shared" si="3"/>
        <v>0</v>
      </c>
      <c r="E105" s="9">
        <v>0</v>
      </c>
      <c r="F105" s="9">
        <v>0</v>
      </c>
      <c r="G105" s="9">
        <v>0</v>
      </c>
      <c r="H105" s="9">
        <v>0</v>
      </c>
      <c r="I105" s="9">
        <v>0</v>
      </c>
      <c r="J105" s="9">
        <v>0</v>
      </c>
      <c r="K105" s="9">
        <v>0</v>
      </c>
      <c r="L105" s="9">
        <v>0</v>
      </c>
      <c r="M105" s="9">
        <v>0</v>
      </c>
      <c r="N105" s="9">
        <v>0</v>
      </c>
      <c r="O105" s="9">
        <v>0</v>
      </c>
      <c r="P105" s="9">
        <v>0</v>
      </c>
      <c r="Q105" s="9">
        <v>0</v>
      </c>
      <c r="R105" s="9">
        <v>0</v>
      </c>
      <c r="S105" s="9">
        <v>0</v>
      </c>
      <c r="T105" s="9">
        <v>0</v>
      </c>
      <c r="U105" s="9">
        <v>0</v>
      </c>
      <c r="V105" s="9">
        <v>0</v>
      </c>
      <c r="W105" s="9">
        <v>0</v>
      </c>
      <c r="X105" s="9">
        <v>0</v>
      </c>
      <c r="Y105" s="9">
        <v>0</v>
      </c>
      <c r="Z105" s="9">
        <v>0</v>
      </c>
      <c r="AA105" s="9">
        <v>0</v>
      </c>
      <c r="AB105" s="9">
        <v>0</v>
      </c>
      <c r="AC105" s="9">
        <v>0</v>
      </c>
      <c r="AD105" s="9">
        <v>0</v>
      </c>
      <c r="AE105" s="9">
        <v>0</v>
      </c>
      <c r="AF105" s="9">
        <v>0</v>
      </c>
      <c r="AG105" s="9">
        <v>0</v>
      </c>
      <c r="AH105" s="9">
        <v>0</v>
      </c>
      <c r="AI105" s="9">
        <v>0</v>
      </c>
      <c r="AJ105" s="9">
        <v>0</v>
      </c>
      <c r="AK105" s="9">
        <v>0</v>
      </c>
      <c r="AL105" s="9">
        <v>0</v>
      </c>
      <c r="AM105" s="9">
        <v>0</v>
      </c>
      <c r="AN105" s="9">
        <v>0</v>
      </c>
      <c r="AO105" s="9">
        <v>0</v>
      </c>
      <c r="AP105" s="9">
        <v>0</v>
      </c>
      <c r="AQ105" s="9">
        <v>0</v>
      </c>
      <c r="AR105" s="9">
        <v>0</v>
      </c>
      <c r="AS105" s="9">
        <v>0</v>
      </c>
      <c r="AT105" s="9">
        <v>0</v>
      </c>
      <c r="AU105" s="9">
        <v>0</v>
      </c>
      <c r="AV105" s="9">
        <v>0</v>
      </c>
      <c r="AW105" s="9">
        <v>0</v>
      </c>
      <c r="AX105" s="9">
        <v>0</v>
      </c>
      <c r="AY105" s="9">
        <v>0</v>
      </c>
      <c r="AZ105" s="9">
        <v>0</v>
      </c>
      <c r="BA105" s="9">
        <v>0</v>
      </c>
      <c r="BB105" s="9">
        <v>0</v>
      </c>
      <c r="BC105" s="9">
        <v>0</v>
      </c>
      <c r="BD105" s="9">
        <v>0</v>
      </c>
      <c r="BE105" s="9">
        <v>0</v>
      </c>
      <c r="BF105" s="9">
        <v>0</v>
      </c>
      <c r="BG105" s="9">
        <v>0</v>
      </c>
      <c r="BH105" s="9">
        <v>0</v>
      </c>
      <c r="BI105" s="9">
        <v>0</v>
      </c>
      <c r="BJ105" s="9">
        <v>0</v>
      </c>
      <c r="BK105" s="9">
        <v>0</v>
      </c>
      <c r="BL105" s="9">
        <v>0</v>
      </c>
      <c r="BM105" s="9">
        <v>0</v>
      </c>
      <c r="BN105" s="9">
        <v>0</v>
      </c>
      <c r="BO105" s="9">
        <v>0</v>
      </c>
      <c r="BP105" s="10">
        <v>0</v>
      </c>
      <c r="BQ105">
        <v>0</v>
      </c>
      <c r="BR105">
        <v>0</v>
      </c>
    </row>
    <row r="106" spans="1:70" x14ac:dyDescent="0.35">
      <c r="A106" s="8" t="s">
        <v>73</v>
      </c>
      <c r="B106" s="9" t="s">
        <v>726</v>
      </c>
      <c r="C106" s="10" t="s">
        <v>727</v>
      </c>
      <c r="D106" s="34">
        <f t="shared" si="3"/>
        <v>0</v>
      </c>
      <c r="E106" s="9">
        <v>0</v>
      </c>
      <c r="F106" s="9">
        <v>0</v>
      </c>
      <c r="G106" s="9">
        <v>0</v>
      </c>
      <c r="H106" s="9">
        <v>0</v>
      </c>
      <c r="I106" s="9">
        <v>0</v>
      </c>
      <c r="J106" s="9">
        <v>0</v>
      </c>
      <c r="K106" s="9">
        <v>0</v>
      </c>
      <c r="L106" s="9">
        <v>0</v>
      </c>
      <c r="M106" s="9">
        <v>0</v>
      </c>
      <c r="N106" s="9">
        <v>0</v>
      </c>
      <c r="O106" s="9">
        <v>0</v>
      </c>
      <c r="P106" s="9">
        <v>0</v>
      </c>
      <c r="Q106" s="9">
        <v>0</v>
      </c>
      <c r="R106" s="9">
        <v>0</v>
      </c>
      <c r="S106" s="9">
        <v>0</v>
      </c>
      <c r="T106" s="9">
        <v>0</v>
      </c>
      <c r="U106" s="9">
        <v>0</v>
      </c>
      <c r="V106" s="9">
        <v>0</v>
      </c>
      <c r="W106" s="9">
        <v>0</v>
      </c>
      <c r="X106" s="9">
        <v>0</v>
      </c>
      <c r="Y106" s="9">
        <v>0</v>
      </c>
      <c r="Z106" s="9">
        <v>0</v>
      </c>
      <c r="AA106" s="9">
        <v>0</v>
      </c>
      <c r="AB106" s="9">
        <v>0</v>
      </c>
      <c r="AC106" s="9">
        <v>0</v>
      </c>
      <c r="AD106" s="9">
        <v>0</v>
      </c>
      <c r="AE106" s="9">
        <v>0</v>
      </c>
      <c r="AF106" s="9">
        <v>0</v>
      </c>
      <c r="AG106" s="9">
        <v>0</v>
      </c>
      <c r="AH106" s="9">
        <v>0</v>
      </c>
      <c r="AI106" s="9">
        <v>0</v>
      </c>
      <c r="AJ106" s="9">
        <v>0</v>
      </c>
      <c r="AK106" s="9">
        <v>0</v>
      </c>
      <c r="AL106" s="9">
        <v>0</v>
      </c>
      <c r="AM106" s="9">
        <v>0</v>
      </c>
      <c r="AN106" s="9">
        <v>0</v>
      </c>
      <c r="AO106" s="9">
        <v>0</v>
      </c>
      <c r="AP106" s="9">
        <v>0</v>
      </c>
      <c r="AQ106" s="9">
        <v>0</v>
      </c>
      <c r="AR106" s="9">
        <v>0</v>
      </c>
      <c r="AS106" s="9">
        <v>0</v>
      </c>
      <c r="AT106" s="9">
        <v>0</v>
      </c>
      <c r="AU106" s="9">
        <v>0</v>
      </c>
      <c r="AV106" s="9">
        <v>0</v>
      </c>
      <c r="AW106" s="9">
        <v>0</v>
      </c>
      <c r="AX106" s="9">
        <v>0</v>
      </c>
      <c r="AY106" s="9">
        <v>0</v>
      </c>
      <c r="AZ106" s="9">
        <v>0</v>
      </c>
      <c r="BA106" s="9">
        <v>0</v>
      </c>
      <c r="BB106" s="9">
        <v>0</v>
      </c>
      <c r="BC106" s="9">
        <v>0</v>
      </c>
      <c r="BD106" s="9">
        <v>0</v>
      </c>
      <c r="BE106" s="9">
        <v>0</v>
      </c>
      <c r="BF106" s="9">
        <v>0</v>
      </c>
      <c r="BG106" s="9">
        <v>0</v>
      </c>
      <c r="BH106" s="9">
        <v>0</v>
      </c>
      <c r="BI106" s="9">
        <v>0</v>
      </c>
      <c r="BJ106" s="9">
        <v>0</v>
      </c>
      <c r="BK106" s="9">
        <v>0</v>
      </c>
      <c r="BL106" s="9">
        <v>0</v>
      </c>
      <c r="BM106" s="9">
        <v>0</v>
      </c>
      <c r="BN106" s="9">
        <v>0</v>
      </c>
      <c r="BO106" s="9">
        <v>0</v>
      </c>
      <c r="BP106" s="10">
        <v>0</v>
      </c>
      <c r="BQ106">
        <v>0</v>
      </c>
      <c r="BR106">
        <v>0</v>
      </c>
    </row>
    <row r="107" spans="1:70" x14ac:dyDescent="0.35">
      <c r="A107" s="8" t="s">
        <v>73</v>
      </c>
      <c r="B107" s="9" t="s">
        <v>104</v>
      </c>
      <c r="C107" s="10" t="s">
        <v>728</v>
      </c>
      <c r="D107" s="34">
        <f t="shared" si="3"/>
        <v>117</v>
      </c>
      <c r="E107" s="9">
        <v>6</v>
      </c>
      <c r="F107" s="9">
        <v>6</v>
      </c>
      <c r="G107" s="9">
        <v>7</v>
      </c>
      <c r="H107" s="9">
        <v>7</v>
      </c>
      <c r="I107" s="9">
        <v>9</v>
      </c>
      <c r="J107" s="9">
        <v>8</v>
      </c>
      <c r="K107" s="9">
        <v>8</v>
      </c>
      <c r="L107" s="9">
        <v>7</v>
      </c>
      <c r="M107" s="9">
        <v>8</v>
      </c>
      <c r="N107" s="9">
        <v>9</v>
      </c>
      <c r="O107" s="9">
        <v>11</v>
      </c>
      <c r="P107" s="9">
        <v>10</v>
      </c>
      <c r="Q107" s="9">
        <v>5</v>
      </c>
      <c r="R107" s="9">
        <v>12</v>
      </c>
      <c r="S107" s="9">
        <v>14</v>
      </c>
      <c r="T107" s="9">
        <v>22</v>
      </c>
      <c r="U107" s="9">
        <v>23</v>
      </c>
      <c r="V107" s="9">
        <v>24</v>
      </c>
      <c r="W107" s="9">
        <v>23</v>
      </c>
      <c r="X107" s="9">
        <v>24</v>
      </c>
      <c r="Y107" s="9">
        <v>32</v>
      </c>
      <c r="Z107" s="9">
        <v>30</v>
      </c>
      <c r="AA107" s="9">
        <v>36</v>
      </c>
      <c r="AB107" s="9">
        <v>37</v>
      </c>
      <c r="AC107" s="9">
        <v>36</v>
      </c>
      <c r="AD107" s="9">
        <v>36</v>
      </c>
      <c r="AE107" s="9">
        <v>49</v>
      </c>
      <c r="AF107" s="9">
        <v>53</v>
      </c>
      <c r="AG107" s="9">
        <v>54</v>
      </c>
      <c r="AH107" s="9">
        <v>52</v>
      </c>
      <c r="AI107" s="9">
        <v>48</v>
      </c>
      <c r="AJ107" s="9">
        <v>51</v>
      </c>
      <c r="AK107" s="9">
        <v>52</v>
      </c>
      <c r="AL107" s="9">
        <v>36</v>
      </c>
      <c r="AM107" s="9">
        <v>56</v>
      </c>
      <c r="AN107" s="9">
        <v>46</v>
      </c>
      <c r="AO107" s="9">
        <v>56</v>
      </c>
      <c r="AP107" s="9">
        <v>53</v>
      </c>
      <c r="AQ107" s="9">
        <v>49</v>
      </c>
      <c r="AR107" s="9">
        <v>51</v>
      </c>
      <c r="AS107" s="9">
        <v>59</v>
      </c>
      <c r="AT107" s="9">
        <v>60</v>
      </c>
      <c r="AU107" s="9">
        <v>60</v>
      </c>
      <c r="AV107" s="9">
        <v>61</v>
      </c>
      <c r="AW107" s="9">
        <v>65</v>
      </c>
      <c r="AX107" s="9">
        <v>59</v>
      </c>
      <c r="AY107" s="9">
        <v>57</v>
      </c>
      <c r="AZ107" s="9">
        <v>59</v>
      </c>
      <c r="BA107" s="9">
        <v>67</v>
      </c>
      <c r="BB107" s="9">
        <v>70</v>
      </c>
      <c r="BC107" s="9">
        <v>66</v>
      </c>
      <c r="BD107" s="9">
        <v>66</v>
      </c>
      <c r="BE107" s="9">
        <v>71</v>
      </c>
      <c r="BF107" s="9">
        <v>64</v>
      </c>
      <c r="BG107" s="9">
        <v>73</v>
      </c>
      <c r="BH107" s="9">
        <v>89</v>
      </c>
      <c r="BI107" s="9">
        <v>95</v>
      </c>
      <c r="BJ107" s="9">
        <v>103</v>
      </c>
      <c r="BK107" s="9">
        <v>106</v>
      </c>
      <c r="BL107" s="9">
        <v>103</v>
      </c>
      <c r="BM107" s="9">
        <v>97</v>
      </c>
      <c r="BN107" s="9">
        <v>100</v>
      </c>
      <c r="BO107" s="9">
        <v>109</v>
      </c>
      <c r="BP107" s="10">
        <v>117</v>
      </c>
      <c r="BQ107">
        <v>101</v>
      </c>
      <c r="BR107">
        <v>100</v>
      </c>
    </row>
    <row r="108" spans="1:70" x14ac:dyDescent="0.35">
      <c r="A108" s="8" t="s">
        <v>73</v>
      </c>
      <c r="B108" s="9" t="s">
        <v>106</v>
      </c>
      <c r="C108" s="10" t="s">
        <v>729</v>
      </c>
      <c r="D108" s="34">
        <f t="shared" si="3"/>
        <v>71</v>
      </c>
      <c r="E108" s="9">
        <v>6</v>
      </c>
      <c r="F108" s="9">
        <v>5</v>
      </c>
      <c r="G108" s="9">
        <v>5</v>
      </c>
      <c r="H108" s="9">
        <v>5</v>
      </c>
      <c r="I108" s="9">
        <v>6</v>
      </c>
      <c r="J108" s="9">
        <v>6</v>
      </c>
      <c r="K108" s="9">
        <v>7</v>
      </c>
      <c r="L108" s="9">
        <v>7</v>
      </c>
      <c r="M108" s="9">
        <v>7</v>
      </c>
      <c r="N108" s="9">
        <v>7</v>
      </c>
      <c r="O108" s="9">
        <v>8</v>
      </c>
      <c r="P108" s="9">
        <v>7</v>
      </c>
      <c r="Q108" s="9">
        <v>10</v>
      </c>
      <c r="R108" s="9">
        <v>10</v>
      </c>
      <c r="S108" s="9">
        <v>12</v>
      </c>
      <c r="T108" s="9">
        <v>13</v>
      </c>
      <c r="U108" s="9">
        <v>12</v>
      </c>
      <c r="V108" s="9">
        <v>9</v>
      </c>
      <c r="W108" s="9">
        <v>11</v>
      </c>
      <c r="X108" s="9">
        <v>9</v>
      </c>
      <c r="Y108" s="9">
        <v>10</v>
      </c>
      <c r="Z108" s="9">
        <v>15</v>
      </c>
      <c r="AA108" s="9">
        <v>14</v>
      </c>
      <c r="AB108" s="9">
        <v>15</v>
      </c>
      <c r="AC108" s="9">
        <v>19</v>
      </c>
      <c r="AD108" s="9">
        <v>20</v>
      </c>
      <c r="AE108" s="9">
        <v>23</v>
      </c>
      <c r="AF108" s="9">
        <v>25</v>
      </c>
      <c r="AG108" s="9">
        <v>22</v>
      </c>
      <c r="AH108" s="9">
        <v>22</v>
      </c>
      <c r="AI108" s="9">
        <v>23</v>
      </c>
      <c r="AJ108" s="9">
        <v>21</v>
      </c>
      <c r="AK108" s="9">
        <v>23</v>
      </c>
      <c r="AL108" s="9">
        <v>25</v>
      </c>
      <c r="AM108" s="9">
        <v>26</v>
      </c>
      <c r="AN108" s="9">
        <v>24</v>
      </c>
      <c r="AO108" s="9">
        <v>27</v>
      </c>
      <c r="AP108" s="9">
        <v>24</v>
      </c>
      <c r="AQ108" s="9">
        <v>24</v>
      </c>
      <c r="AR108" s="9">
        <v>18</v>
      </c>
      <c r="AS108" s="9">
        <v>22</v>
      </c>
      <c r="AT108" s="9">
        <v>30</v>
      </c>
      <c r="AU108" s="9">
        <v>29</v>
      </c>
      <c r="AV108" s="9">
        <v>37</v>
      </c>
      <c r="AW108" s="9">
        <v>41</v>
      </c>
      <c r="AX108" s="9">
        <v>44</v>
      </c>
      <c r="AY108" s="9">
        <v>41</v>
      </c>
      <c r="AZ108" s="9">
        <v>50</v>
      </c>
      <c r="BA108" s="9">
        <v>57</v>
      </c>
      <c r="BB108" s="9">
        <v>54</v>
      </c>
      <c r="BC108" s="9">
        <v>51</v>
      </c>
      <c r="BD108" s="9">
        <v>0</v>
      </c>
      <c r="BE108" s="9">
        <v>47</v>
      </c>
      <c r="BF108" s="9">
        <v>46</v>
      </c>
      <c r="BG108" s="9">
        <v>53</v>
      </c>
      <c r="BH108" s="9">
        <v>59</v>
      </c>
      <c r="BI108" s="9">
        <v>58</v>
      </c>
      <c r="BJ108" s="9">
        <v>60</v>
      </c>
      <c r="BK108" s="9">
        <v>64</v>
      </c>
      <c r="BL108" s="9">
        <v>67</v>
      </c>
      <c r="BM108" s="9">
        <v>58</v>
      </c>
      <c r="BN108" s="9">
        <v>65</v>
      </c>
      <c r="BO108" s="9">
        <v>69</v>
      </c>
      <c r="BP108" s="10">
        <v>69</v>
      </c>
      <c r="BQ108">
        <v>71</v>
      </c>
      <c r="BR108">
        <v>71</v>
      </c>
    </row>
    <row r="109" spans="1:70" x14ac:dyDescent="0.35">
      <c r="A109" s="8" t="s">
        <v>73</v>
      </c>
      <c r="B109" s="9" t="s">
        <v>108</v>
      </c>
      <c r="C109" s="10" t="s">
        <v>730</v>
      </c>
      <c r="D109" s="34">
        <f t="shared" si="3"/>
        <v>57</v>
      </c>
      <c r="E109" s="9">
        <v>6</v>
      </c>
      <c r="F109" s="9">
        <v>4</v>
      </c>
      <c r="G109" s="9">
        <v>4</v>
      </c>
      <c r="H109" s="9">
        <v>6</v>
      </c>
      <c r="I109" s="9">
        <v>6</v>
      </c>
      <c r="J109" s="9">
        <v>6</v>
      </c>
      <c r="K109" s="9">
        <v>5</v>
      </c>
      <c r="L109" s="9">
        <v>6</v>
      </c>
      <c r="M109" s="9">
        <v>6</v>
      </c>
      <c r="N109" s="9">
        <v>7</v>
      </c>
      <c r="O109" s="9">
        <v>10</v>
      </c>
      <c r="P109" s="9">
        <v>10</v>
      </c>
      <c r="Q109" s="9">
        <v>11</v>
      </c>
      <c r="R109" s="9">
        <v>12</v>
      </c>
      <c r="S109" s="9">
        <v>13</v>
      </c>
      <c r="T109" s="9">
        <v>13</v>
      </c>
      <c r="U109" s="9">
        <v>15</v>
      </c>
      <c r="V109" s="9">
        <v>12</v>
      </c>
      <c r="W109" s="9">
        <v>12</v>
      </c>
      <c r="X109" s="9">
        <v>12</v>
      </c>
      <c r="Y109" s="9">
        <v>12</v>
      </c>
      <c r="Z109" s="9">
        <v>14</v>
      </c>
      <c r="AA109" s="9">
        <v>18</v>
      </c>
      <c r="AB109" s="9">
        <v>18</v>
      </c>
      <c r="AC109" s="9">
        <v>19</v>
      </c>
      <c r="AD109" s="9">
        <v>18</v>
      </c>
      <c r="AE109" s="9">
        <v>19</v>
      </c>
      <c r="AF109" s="9">
        <v>20</v>
      </c>
      <c r="AG109" s="9">
        <v>19</v>
      </c>
      <c r="AH109" s="9">
        <v>17</v>
      </c>
      <c r="AI109" s="9">
        <v>16</v>
      </c>
      <c r="AJ109" s="9">
        <v>13</v>
      </c>
      <c r="AK109" s="9">
        <v>15</v>
      </c>
      <c r="AL109" s="9">
        <v>15</v>
      </c>
      <c r="AM109" s="9">
        <v>16</v>
      </c>
      <c r="AN109" s="9">
        <v>13</v>
      </c>
      <c r="AO109" s="9">
        <v>16</v>
      </c>
      <c r="AP109" s="9">
        <v>18</v>
      </c>
      <c r="AQ109" s="9">
        <v>18</v>
      </c>
      <c r="AR109" s="9">
        <v>18</v>
      </c>
      <c r="AS109" s="9">
        <v>20</v>
      </c>
      <c r="AT109" s="9">
        <v>23</v>
      </c>
      <c r="AU109" s="9">
        <v>23</v>
      </c>
      <c r="AV109" s="9">
        <v>22</v>
      </c>
      <c r="AW109" s="9">
        <v>25</v>
      </c>
      <c r="AX109" s="9">
        <v>24</v>
      </c>
      <c r="AY109" s="9">
        <v>25</v>
      </c>
      <c r="AZ109" s="9">
        <v>26</v>
      </c>
      <c r="BA109" s="9">
        <v>30</v>
      </c>
      <c r="BB109" s="9">
        <v>27</v>
      </c>
      <c r="BC109" s="9">
        <v>28</v>
      </c>
      <c r="BD109" s="9">
        <v>29</v>
      </c>
      <c r="BE109" s="9">
        <v>40</v>
      </c>
      <c r="BF109" s="9">
        <v>34</v>
      </c>
      <c r="BG109" s="9">
        <v>38</v>
      </c>
      <c r="BH109" s="9">
        <v>40</v>
      </c>
      <c r="BI109" s="9">
        <v>39</v>
      </c>
      <c r="BJ109" s="9">
        <v>37</v>
      </c>
      <c r="BK109" s="9">
        <v>31</v>
      </c>
      <c r="BL109" s="9">
        <v>29</v>
      </c>
      <c r="BM109" s="9">
        <v>33</v>
      </c>
      <c r="BN109" s="9">
        <v>36</v>
      </c>
      <c r="BO109" s="9">
        <v>42</v>
      </c>
      <c r="BP109" s="10">
        <v>51</v>
      </c>
      <c r="BQ109">
        <v>56</v>
      </c>
      <c r="BR109">
        <v>57</v>
      </c>
    </row>
    <row r="110" spans="1:70" x14ac:dyDescent="0.35">
      <c r="A110" s="8" t="s">
        <v>73</v>
      </c>
      <c r="B110" s="9" t="s">
        <v>110</v>
      </c>
      <c r="C110" s="10" t="s">
        <v>731</v>
      </c>
      <c r="D110" s="34">
        <f t="shared" si="3"/>
        <v>1</v>
      </c>
      <c r="E110" s="9">
        <v>0</v>
      </c>
      <c r="F110" s="9">
        <v>0</v>
      </c>
      <c r="G110" s="9">
        <v>0</v>
      </c>
      <c r="H110" s="9">
        <v>0</v>
      </c>
      <c r="I110" s="9">
        <v>0</v>
      </c>
      <c r="J110" s="9">
        <v>0</v>
      </c>
      <c r="K110" s="9">
        <v>0</v>
      </c>
      <c r="L110" s="9">
        <v>0</v>
      </c>
      <c r="M110" s="9">
        <v>0</v>
      </c>
      <c r="N110" s="9">
        <v>0</v>
      </c>
      <c r="O110" s="9">
        <v>0</v>
      </c>
      <c r="P110" s="9">
        <v>0</v>
      </c>
      <c r="Q110" s="9">
        <v>0</v>
      </c>
      <c r="R110" s="9">
        <v>0</v>
      </c>
      <c r="S110" s="9">
        <v>0</v>
      </c>
      <c r="T110" s="9">
        <v>0</v>
      </c>
      <c r="U110" s="9">
        <v>0</v>
      </c>
      <c r="V110" s="9">
        <v>1</v>
      </c>
      <c r="W110" s="9">
        <v>0</v>
      </c>
      <c r="X110" s="9">
        <v>0</v>
      </c>
      <c r="Y110" s="9">
        <v>0</v>
      </c>
      <c r="Z110" s="9">
        <v>0</v>
      </c>
      <c r="AA110" s="9">
        <v>0</v>
      </c>
      <c r="AB110" s="9">
        <v>0</v>
      </c>
      <c r="AC110" s="9">
        <v>0</v>
      </c>
      <c r="AD110" s="9">
        <v>0</v>
      </c>
      <c r="AE110" s="9">
        <v>0</v>
      </c>
      <c r="AF110" s="9">
        <v>0</v>
      </c>
      <c r="AG110" s="9">
        <v>0</v>
      </c>
      <c r="AH110" s="9">
        <v>0</v>
      </c>
      <c r="AI110" s="9">
        <v>0</v>
      </c>
      <c r="AJ110" s="9">
        <v>0</v>
      </c>
      <c r="AK110" s="9">
        <v>0</v>
      </c>
      <c r="AL110" s="9">
        <v>0</v>
      </c>
      <c r="AM110" s="9">
        <v>0</v>
      </c>
      <c r="AN110" s="9">
        <v>0</v>
      </c>
      <c r="AO110" s="9">
        <v>0</v>
      </c>
      <c r="AP110" s="9">
        <v>0</v>
      </c>
      <c r="AQ110" s="9">
        <v>0</v>
      </c>
      <c r="AR110" s="9">
        <v>0</v>
      </c>
      <c r="AS110" s="9">
        <v>0</v>
      </c>
      <c r="AT110" s="9">
        <v>0</v>
      </c>
      <c r="AU110" s="9">
        <v>0</v>
      </c>
      <c r="AV110" s="9">
        <v>0</v>
      </c>
      <c r="AW110" s="9">
        <v>0</v>
      </c>
      <c r="AX110" s="9">
        <v>0</v>
      </c>
      <c r="AY110" s="9">
        <v>0</v>
      </c>
      <c r="AZ110" s="9">
        <v>0</v>
      </c>
      <c r="BA110" s="9">
        <v>0</v>
      </c>
      <c r="BB110" s="9">
        <v>0</v>
      </c>
      <c r="BC110" s="9">
        <v>0</v>
      </c>
      <c r="BD110" s="9">
        <v>0</v>
      </c>
      <c r="BE110" s="9">
        <v>0</v>
      </c>
      <c r="BF110" s="9">
        <v>0</v>
      </c>
      <c r="BG110" s="9">
        <v>0</v>
      </c>
      <c r="BH110" s="9">
        <v>0</v>
      </c>
      <c r="BI110" s="9">
        <v>0</v>
      </c>
      <c r="BJ110" s="9">
        <v>0</v>
      </c>
      <c r="BK110" s="9">
        <v>0</v>
      </c>
      <c r="BL110" s="9">
        <v>0</v>
      </c>
      <c r="BM110" s="9">
        <v>0</v>
      </c>
      <c r="BN110" s="9">
        <v>0</v>
      </c>
      <c r="BO110" s="9">
        <v>0</v>
      </c>
      <c r="BP110" s="10">
        <v>0</v>
      </c>
      <c r="BQ110">
        <v>0</v>
      </c>
      <c r="BR110">
        <v>0</v>
      </c>
    </row>
    <row r="111" spans="1:70" x14ac:dyDescent="0.35">
      <c r="A111" s="8" t="s">
        <v>73</v>
      </c>
      <c r="B111" s="9" t="s">
        <v>112</v>
      </c>
      <c r="C111" s="10" t="s">
        <v>732</v>
      </c>
      <c r="D111" s="34">
        <f t="shared" si="3"/>
        <v>58</v>
      </c>
      <c r="E111" s="9">
        <v>2</v>
      </c>
      <c r="F111" s="9">
        <v>1</v>
      </c>
      <c r="G111" s="9">
        <v>1</v>
      </c>
      <c r="H111" s="9">
        <v>1</v>
      </c>
      <c r="I111" s="9">
        <v>1</v>
      </c>
      <c r="J111" s="9">
        <v>1</v>
      </c>
      <c r="K111" s="9">
        <v>4</v>
      </c>
      <c r="L111" s="9">
        <v>3</v>
      </c>
      <c r="M111" s="9">
        <v>3</v>
      </c>
      <c r="N111" s="9">
        <v>4</v>
      </c>
      <c r="O111" s="9">
        <v>3</v>
      </c>
      <c r="P111" s="9">
        <v>3</v>
      </c>
      <c r="Q111" s="9">
        <v>0</v>
      </c>
      <c r="R111" s="9">
        <v>2</v>
      </c>
      <c r="S111" s="9">
        <v>5</v>
      </c>
      <c r="T111" s="9">
        <v>3</v>
      </c>
      <c r="U111" s="9">
        <v>5</v>
      </c>
      <c r="V111" s="9">
        <v>7</v>
      </c>
      <c r="W111" s="9">
        <v>9</v>
      </c>
      <c r="X111" s="9">
        <v>10</v>
      </c>
      <c r="Y111" s="9">
        <v>10</v>
      </c>
      <c r="Z111" s="9">
        <v>9</v>
      </c>
      <c r="AA111" s="9">
        <v>9</v>
      </c>
      <c r="AB111" s="9">
        <v>8</v>
      </c>
      <c r="AC111" s="9">
        <v>14</v>
      </c>
      <c r="AD111" s="9">
        <v>8</v>
      </c>
      <c r="AE111" s="9">
        <v>13</v>
      </c>
      <c r="AF111" s="9">
        <v>12</v>
      </c>
      <c r="AG111" s="9">
        <v>11</v>
      </c>
      <c r="AH111" s="9">
        <v>12</v>
      </c>
      <c r="AI111" s="9">
        <v>11</v>
      </c>
      <c r="AJ111" s="9">
        <v>9</v>
      </c>
      <c r="AK111" s="9">
        <v>10</v>
      </c>
      <c r="AL111" s="9">
        <v>14</v>
      </c>
      <c r="AM111" s="9">
        <v>16</v>
      </c>
      <c r="AN111" s="9">
        <v>16</v>
      </c>
      <c r="AO111" s="9">
        <v>16</v>
      </c>
      <c r="AP111" s="9">
        <v>18</v>
      </c>
      <c r="AQ111" s="9">
        <v>29</v>
      </c>
      <c r="AR111" s="9">
        <v>26</v>
      </c>
      <c r="AS111" s="9">
        <v>26</v>
      </c>
      <c r="AT111" s="9">
        <v>28</v>
      </c>
      <c r="AU111" s="9">
        <v>36</v>
      </c>
      <c r="AV111" s="9">
        <v>35</v>
      </c>
      <c r="AW111" s="9">
        <v>40</v>
      </c>
      <c r="AX111" s="9">
        <v>43</v>
      </c>
      <c r="AY111" s="9">
        <v>43</v>
      </c>
      <c r="AZ111" s="9">
        <v>44</v>
      </c>
      <c r="BA111" s="9">
        <v>46</v>
      </c>
      <c r="BB111" s="9">
        <v>49</v>
      </c>
      <c r="BC111" s="9">
        <v>44</v>
      </c>
      <c r="BD111" s="9">
        <v>47</v>
      </c>
      <c r="BE111" s="9">
        <v>53</v>
      </c>
      <c r="BF111" s="9">
        <v>56</v>
      </c>
      <c r="BG111" s="9">
        <v>51</v>
      </c>
      <c r="BH111" s="9">
        <v>47</v>
      </c>
      <c r="BI111" s="9">
        <v>50</v>
      </c>
      <c r="BJ111" s="9">
        <v>56</v>
      </c>
      <c r="BK111" s="9">
        <v>43</v>
      </c>
      <c r="BL111" s="9">
        <v>47</v>
      </c>
      <c r="BM111" s="9">
        <v>53</v>
      </c>
      <c r="BN111" s="9">
        <v>58</v>
      </c>
      <c r="BO111" s="9">
        <v>51</v>
      </c>
      <c r="BP111" s="10">
        <v>43</v>
      </c>
      <c r="BQ111">
        <v>37</v>
      </c>
      <c r="BR111">
        <v>28</v>
      </c>
    </row>
    <row r="112" spans="1:70" x14ac:dyDescent="0.35">
      <c r="A112" s="8" t="s">
        <v>73</v>
      </c>
      <c r="B112" s="9" t="s">
        <v>114</v>
      </c>
      <c r="C112" s="10" t="s">
        <v>733</v>
      </c>
      <c r="D112" s="34">
        <f t="shared" si="3"/>
        <v>37</v>
      </c>
      <c r="E112" s="9">
        <v>4</v>
      </c>
      <c r="F112" s="9">
        <v>4</v>
      </c>
      <c r="G112" s="9">
        <v>4</v>
      </c>
      <c r="H112" s="9">
        <v>4</v>
      </c>
      <c r="I112" s="9">
        <v>5</v>
      </c>
      <c r="J112" s="9">
        <v>5</v>
      </c>
      <c r="K112" s="9">
        <v>9</v>
      </c>
      <c r="L112" s="9">
        <v>9</v>
      </c>
      <c r="M112" s="9">
        <v>7</v>
      </c>
      <c r="N112" s="9">
        <v>7</v>
      </c>
      <c r="O112" s="9">
        <v>6</v>
      </c>
      <c r="P112" s="9">
        <v>4</v>
      </c>
      <c r="Q112" s="9">
        <v>4</v>
      </c>
      <c r="R112" s="9">
        <v>4</v>
      </c>
      <c r="S112" s="9">
        <v>3</v>
      </c>
      <c r="T112" s="9">
        <v>2</v>
      </c>
      <c r="U112" s="9">
        <v>2</v>
      </c>
      <c r="V112" s="9">
        <v>1</v>
      </c>
      <c r="W112" s="9">
        <v>0</v>
      </c>
      <c r="X112" s="9">
        <v>1</v>
      </c>
      <c r="Y112" s="9">
        <v>3</v>
      </c>
      <c r="Z112" s="9">
        <v>7</v>
      </c>
      <c r="AA112" s="9">
        <v>7</v>
      </c>
      <c r="AB112" s="9">
        <v>8</v>
      </c>
      <c r="AC112" s="9">
        <v>7</v>
      </c>
      <c r="AD112" s="9">
        <v>5</v>
      </c>
      <c r="AE112" s="9">
        <v>10</v>
      </c>
      <c r="AF112" s="9">
        <v>10</v>
      </c>
      <c r="AG112" s="9">
        <v>9</v>
      </c>
      <c r="AH112" s="9">
        <v>8</v>
      </c>
      <c r="AI112" s="9">
        <v>9</v>
      </c>
      <c r="AJ112" s="9">
        <v>8</v>
      </c>
      <c r="AK112" s="9">
        <v>12</v>
      </c>
      <c r="AL112" s="9">
        <v>10</v>
      </c>
      <c r="AM112" s="9">
        <v>11</v>
      </c>
      <c r="AN112" s="9">
        <v>10</v>
      </c>
      <c r="AO112" s="9">
        <v>10</v>
      </c>
      <c r="AP112" s="9">
        <v>9</v>
      </c>
      <c r="AQ112" s="9">
        <v>9</v>
      </c>
      <c r="AR112" s="9">
        <v>7</v>
      </c>
      <c r="AS112" s="9">
        <v>7</v>
      </c>
      <c r="AT112" s="9">
        <v>8</v>
      </c>
      <c r="AU112" s="9">
        <v>9</v>
      </c>
      <c r="AV112" s="9">
        <v>10</v>
      </c>
      <c r="AW112" s="9">
        <v>12</v>
      </c>
      <c r="AX112" s="9">
        <v>13</v>
      </c>
      <c r="AY112" s="9">
        <v>8</v>
      </c>
      <c r="AZ112" s="9">
        <v>13</v>
      </c>
      <c r="BA112" s="9">
        <v>16</v>
      </c>
      <c r="BB112" s="9">
        <v>20</v>
      </c>
      <c r="BC112" s="9">
        <v>17</v>
      </c>
      <c r="BD112" s="9">
        <v>17</v>
      </c>
      <c r="BE112" s="9">
        <v>18</v>
      </c>
      <c r="BF112" s="9">
        <v>21</v>
      </c>
      <c r="BG112" s="9">
        <v>18</v>
      </c>
      <c r="BH112" s="9">
        <v>24</v>
      </c>
      <c r="BI112" s="9">
        <v>26</v>
      </c>
      <c r="BJ112" s="9">
        <v>27</v>
      </c>
      <c r="BK112" s="9">
        <v>28</v>
      </c>
      <c r="BL112" s="9">
        <v>26</v>
      </c>
      <c r="BM112" s="9">
        <v>28</v>
      </c>
      <c r="BN112" s="9">
        <v>29</v>
      </c>
      <c r="BO112" s="9">
        <v>34</v>
      </c>
      <c r="BP112" s="10">
        <v>37</v>
      </c>
      <c r="BQ112">
        <v>34</v>
      </c>
      <c r="BR112">
        <v>36</v>
      </c>
    </row>
    <row r="113" spans="1:70" x14ac:dyDescent="0.35">
      <c r="A113" s="8" t="s">
        <v>73</v>
      </c>
      <c r="B113" s="9" t="s">
        <v>116</v>
      </c>
      <c r="C113" s="10" t="s">
        <v>734</v>
      </c>
      <c r="D113" s="34">
        <f t="shared" si="3"/>
        <v>45</v>
      </c>
      <c r="E113" s="9">
        <v>0</v>
      </c>
      <c r="F113" s="9">
        <v>0</v>
      </c>
      <c r="G113" s="9">
        <v>0</v>
      </c>
      <c r="H113" s="9">
        <v>0</v>
      </c>
      <c r="I113" s="9">
        <v>0</v>
      </c>
      <c r="J113" s="9">
        <v>0</v>
      </c>
      <c r="K113" s="9">
        <v>0</v>
      </c>
      <c r="L113" s="9">
        <v>0</v>
      </c>
      <c r="M113" s="9">
        <v>0</v>
      </c>
      <c r="N113" s="9">
        <v>0</v>
      </c>
      <c r="O113" s="9">
        <v>1</v>
      </c>
      <c r="P113" s="9">
        <v>1</v>
      </c>
      <c r="Q113" s="9">
        <v>1</v>
      </c>
      <c r="R113" s="9">
        <v>0</v>
      </c>
      <c r="S113" s="9">
        <v>0</v>
      </c>
      <c r="T113" s="9">
        <v>0</v>
      </c>
      <c r="U113" s="9">
        <v>0</v>
      </c>
      <c r="V113" s="9">
        <v>1</v>
      </c>
      <c r="W113" s="9">
        <v>1</v>
      </c>
      <c r="X113" s="9">
        <v>1</v>
      </c>
      <c r="Y113" s="9">
        <v>1</v>
      </c>
      <c r="Z113" s="9">
        <v>1</v>
      </c>
      <c r="AA113" s="9">
        <v>1</v>
      </c>
      <c r="AB113" s="9">
        <v>2</v>
      </c>
      <c r="AC113" s="9">
        <v>2</v>
      </c>
      <c r="AD113" s="9">
        <v>2</v>
      </c>
      <c r="AE113" s="9">
        <v>1</v>
      </c>
      <c r="AF113" s="9">
        <v>1</v>
      </c>
      <c r="AG113" s="9">
        <v>1</v>
      </c>
      <c r="AH113" s="9">
        <v>2</v>
      </c>
      <c r="AI113" s="9">
        <v>2</v>
      </c>
      <c r="AJ113" s="9">
        <v>2</v>
      </c>
      <c r="AK113" s="9">
        <v>2</v>
      </c>
      <c r="AL113" s="9">
        <v>3</v>
      </c>
      <c r="AM113" s="9">
        <v>3</v>
      </c>
      <c r="AN113" s="9">
        <v>3</v>
      </c>
      <c r="AO113" s="9">
        <v>4</v>
      </c>
      <c r="AP113" s="9">
        <v>7</v>
      </c>
      <c r="AQ113" s="9">
        <v>9</v>
      </c>
      <c r="AR113" s="9">
        <v>13</v>
      </c>
      <c r="AS113" s="9">
        <v>12</v>
      </c>
      <c r="AT113" s="9">
        <v>10</v>
      </c>
      <c r="AU113" s="9">
        <v>11</v>
      </c>
      <c r="AV113" s="9">
        <v>13</v>
      </c>
      <c r="AW113" s="9">
        <v>13</v>
      </c>
      <c r="AX113" s="9">
        <v>12</v>
      </c>
      <c r="AY113" s="9">
        <v>10</v>
      </c>
      <c r="AZ113" s="9">
        <v>13</v>
      </c>
      <c r="BA113" s="9">
        <v>12</v>
      </c>
      <c r="BB113" s="9">
        <v>16</v>
      </c>
      <c r="BC113" s="9">
        <v>18</v>
      </c>
      <c r="BD113" s="9">
        <v>19</v>
      </c>
      <c r="BE113" s="9">
        <v>29</v>
      </c>
      <c r="BF113" s="9">
        <v>33</v>
      </c>
      <c r="BG113" s="9">
        <v>38</v>
      </c>
      <c r="BH113" s="9">
        <v>39</v>
      </c>
      <c r="BI113" s="9">
        <v>41</v>
      </c>
      <c r="BJ113" s="9">
        <v>44</v>
      </c>
      <c r="BK113" s="9">
        <v>45</v>
      </c>
      <c r="BL113" s="9">
        <v>38</v>
      </c>
      <c r="BM113" s="9">
        <v>37</v>
      </c>
      <c r="BN113" s="9">
        <v>40</v>
      </c>
      <c r="BO113" s="9">
        <v>41</v>
      </c>
      <c r="BP113" s="10">
        <v>42</v>
      </c>
      <c r="BQ113">
        <v>39</v>
      </c>
      <c r="BR113">
        <v>41</v>
      </c>
    </row>
    <row r="114" spans="1:70" x14ac:dyDescent="0.35">
      <c r="A114" s="8" t="s">
        <v>73</v>
      </c>
      <c r="B114" s="9" t="s">
        <v>118</v>
      </c>
      <c r="C114" s="10" t="s">
        <v>735</v>
      </c>
      <c r="D114" s="34">
        <f t="shared" si="3"/>
        <v>50</v>
      </c>
      <c r="E114" s="9">
        <v>4</v>
      </c>
      <c r="F114" s="9">
        <v>4</v>
      </c>
      <c r="G114" s="9">
        <v>3</v>
      </c>
      <c r="H114" s="9">
        <v>3</v>
      </c>
      <c r="I114" s="9">
        <v>3</v>
      </c>
      <c r="J114" s="9">
        <v>3</v>
      </c>
      <c r="K114" s="9">
        <v>4</v>
      </c>
      <c r="L114" s="9">
        <v>3</v>
      </c>
      <c r="M114" s="9">
        <v>4</v>
      </c>
      <c r="N114" s="9">
        <v>3</v>
      </c>
      <c r="O114" s="9">
        <v>3</v>
      </c>
      <c r="P114" s="9">
        <v>2</v>
      </c>
      <c r="Q114" s="9">
        <v>2</v>
      </c>
      <c r="R114" s="9">
        <v>2</v>
      </c>
      <c r="S114" s="9">
        <v>2</v>
      </c>
      <c r="T114" s="9">
        <v>2</v>
      </c>
      <c r="U114" s="9">
        <v>2</v>
      </c>
      <c r="V114" s="9">
        <v>3</v>
      </c>
      <c r="W114" s="9">
        <v>4</v>
      </c>
      <c r="X114" s="9">
        <v>4</v>
      </c>
      <c r="Y114" s="9">
        <v>4</v>
      </c>
      <c r="Z114" s="9">
        <v>4</v>
      </c>
      <c r="AA114" s="9">
        <v>5</v>
      </c>
      <c r="AB114" s="9">
        <v>5</v>
      </c>
      <c r="AC114" s="9">
        <v>7</v>
      </c>
      <c r="AD114" s="9">
        <v>6</v>
      </c>
      <c r="AE114" s="9">
        <v>5</v>
      </c>
      <c r="AF114" s="9">
        <v>4</v>
      </c>
      <c r="AG114" s="9">
        <v>5</v>
      </c>
      <c r="AH114" s="9">
        <v>5</v>
      </c>
      <c r="AI114" s="9">
        <v>4</v>
      </c>
      <c r="AJ114" s="9">
        <v>5</v>
      </c>
      <c r="AK114" s="9">
        <v>4</v>
      </c>
      <c r="AL114" s="9">
        <v>2</v>
      </c>
      <c r="AM114" s="9">
        <v>4</v>
      </c>
      <c r="AN114" s="9">
        <v>4</v>
      </c>
      <c r="AO114" s="9">
        <v>4</v>
      </c>
      <c r="AP114" s="9">
        <v>2</v>
      </c>
      <c r="AQ114" s="9">
        <v>2</v>
      </c>
      <c r="AR114" s="9">
        <v>2</v>
      </c>
      <c r="AS114" s="9">
        <v>2</v>
      </c>
      <c r="AT114" s="9">
        <v>3</v>
      </c>
      <c r="AU114" s="9">
        <v>4</v>
      </c>
      <c r="AV114" s="9">
        <v>3</v>
      </c>
      <c r="AW114" s="9">
        <v>4</v>
      </c>
      <c r="AX114" s="9">
        <v>6</v>
      </c>
      <c r="AY114" s="9">
        <v>8</v>
      </c>
      <c r="AZ114" s="9">
        <v>8</v>
      </c>
      <c r="BA114" s="9">
        <v>9</v>
      </c>
      <c r="BB114" s="9">
        <v>8</v>
      </c>
      <c r="BC114" s="9">
        <v>4</v>
      </c>
      <c r="BD114" s="9">
        <v>6</v>
      </c>
      <c r="BE114" s="9">
        <v>8</v>
      </c>
      <c r="BF114" s="9">
        <v>11</v>
      </c>
      <c r="BG114" s="9">
        <v>11</v>
      </c>
      <c r="BH114" s="9">
        <v>13</v>
      </c>
      <c r="BI114" s="9">
        <v>16</v>
      </c>
      <c r="BJ114" s="9">
        <v>17</v>
      </c>
      <c r="BK114" s="9">
        <v>16</v>
      </c>
      <c r="BL114" s="9">
        <v>19</v>
      </c>
      <c r="BM114" s="9">
        <v>23</v>
      </c>
      <c r="BN114" s="9">
        <v>26</v>
      </c>
      <c r="BO114" s="9">
        <v>34</v>
      </c>
      <c r="BP114" s="10">
        <v>37</v>
      </c>
      <c r="BQ114">
        <v>48</v>
      </c>
      <c r="BR114">
        <v>50</v>
      </c>
    </row>
    <row r="115" spans="1:70" x14ac:dyDescent="0.35">
      <c r="A115" s="8" t="s">
        <v>73</v>
      </c>
      <c r="B115" s="9" t="s">
        <v>120</v>
      </c>
      <c r="C115" s="10" t="s">
        <v>736</v>
      </c>
      <c r="D115" s="34">
        <f t="shared" si="3"/>
        <v>184</v>
      </c>
      <c r="E115" s="9">
        <v>11</v>
      </c>
      <c r="F115" s="9">
        <v>14</v>
      </c>
      <c r="G115" s="9">
        <v>14</v>
      </c>
      <c r="H115" s="9">
        <v>16</v>
      </c>
      <c r="I115" s="9">
        <v>15</v>
      </c>
      <c r="J115" s="9">
        <v>14</v>
      </c>
      <c r="K115" s="9">
        <v>16</v>
      </c>
      <c r="L115" s="9">
        <v>18</v>
      </c>
      <c r="M115" s="9">
        <v>16</v>
      </c>
      <c r="N115" s="9">
        <v>14</v>
      </c>
      <c r="O115" s="9">
        <v>18</v>
      </c>
      <c r="P115" s="9">
        <v>13</v>
      </c>
      <c r="Q115" s="9">
        <v>13</v>
      </c>
      <c r="R115" s="9">
        <v>22</v>
      </c>
      <c r="S115" s="9">
        <v>21</v>
      </c>
      <c r="T115" s="9">
        <v>22</v>
      </c>
      <c r="U115" s="9">
        <v>22</v>
      </c>
      <c r="V115" s="9">
        <v>27</v>
      </c>
      <c r="W115" s="9">
        <v>29</v>
      </c>
      <c r="X115" s="9">
        <v>30</v>
      </c>
      <c r="Y115" s="9">
        <v>31</v>
      </c>
      <c r="Z115" s="9">
        <v>33</v>
      </c>
      <c r="AA115" s="9">
        <v>28</v>
      </c>
      <c r="AB115" s="9">
        <v>33</v>
      </c>
      <c r="AC115" s="9">
        <v>30</v>
      </c>
      <c r="AD115" s="9">
        <v>31</v>
      </c>
      <c r="AE115" s="9">
        <v>36</v>
      </c>
      <c r="AF115" s="9">
        <v>37</v>
      </c>
      <c r="AG115" s="9">
        <v>40</v>
      </c>
      <c r="AH115" s="9">
        <v>46</v>
      </c>
      <c r="AI115" s="9">
        <v>44</v>
      </c>
      <c r="AJ115" s="9">
        <v>45</v>
      </c>
      <c r="AK115" s="9">
        <v>45</v>
      </c>
      <c r="AL115" s="9">
        <v>47</v>
      </c>
      <c r="AM115" s="9">
        <v>54</v>
      </c>
      <c r="AN115" s="9">
        <v>57</v>
      </c>
      <c r="AO115" s="9">
        <v>57</v>
      </c>
      <c r="AP115" s="9">
        <v>53</v>
      </c>
      <c r="AQ115" s="9">
        <v>52</v>
      </c>
      <c r="AR115" s="9">
        <v>55</v>
      </c>
      <c r="AS115" s="9">
        <v>62</v>
      </c>
      <c r="AT115" s="9">
        <v>60</v>
      </c>
      <c r="AU115" s="9">
        <v>69</v>
      </c>
      <c r="AV115" s="9">
        <v>68</v>
      </c>
      <c r="AW115" s="9">
        <v>75</v>
      </c>
      <c r="AX115" s="9">
        <v>84</v>
      </c>
      <c r="AY115" s="9">
        <v>93</v>
      </c>
      <c r="AZ115" s="9">
        <v>95</v>
      </c>
      <c r="BA115" s="9">
        <v>105</v>
      </c>
      <c r="BB115" s="9">
        <v>100</v>
      </c>
      <c r="BC115" s="9">
        <v>96</v>
      </c>
      <c r="BD115" s="9">
        <v>99</v>
      </c>
      <c r="BE115" s="9">
        <v>122</v>
      </c>
      <c r="BF115" s="9">
        <v>128</v>
      </c>
      <c r="BG115" s="9">
        <v>133</v>
      </c>
      <c r="BH115" s="9">
        <v>139</v>
      </c>
      <c r="BI115" s="9">
        <v>142</v>
      </c>
      <c r="BJ115" s="9">
        <v>161</v>
      </c>
      <c r="BK115" s="9">
        <v>160</v>
      </c>
      <c r="BL115" s="9">
        <v>153</v>
      </c>
      <c r="BM115" s="9">
        <v>157</v>
      </c>
      <c r="BN115" s="9">
        <v>167</v>
      </c>
      <c r="BO115" s="9">
        <v>170</v>
      </c>
      <c r="BP115" s="10">
        <v>180</v>
      </c>
      <c r="BQ115">
        <v>184</v>
      </c>
      <c r="BR115">
        <v>175</v>
      </c>
    </row>
    <row r="116" spans="1:70" x14ac:dyDescent="0.35">
      <c r="A116" s="8" t="s">
        <v>73</v>
      </c>
      <c r="B116" s="9" t="s">
        <v>122</v>
      </c>
      <c r="C116" s="10" t="s">
        <v>737</v>
      </c>
      <c r="D116" s="34">
        <f t="shared" si="3"/>
        <v>32</v>
      </c>
      <c r="E116" s="9">
        <v>4</v>
      </c>
      <c r="F116" s="9">
        <v>1</v>
      </c>
      <c r="G116" s="9">
        <v>3</v>
      </c>
      <c r="H116" s="9">
        <v>2</v>
      </c>
      <c r="I116" s="9">
        <v>3</v>
      </c>
      <c r="J116" s="9">
        <v>3</v>
      </c>
      <c r="K116" s="9">
        <v>3</v>
      </c>
      <c r="L116" s="9">
        <v>2</v>
      </c>
      <c r="M116" s="9">
        <v>2</v>
      </c>
      <c r="N116" s="9">
        <v>0</v>
      </c>
      <c r="O116" s="9">
        <v>3</v>
      </c>
      <c r="P116" s="9">
        <v>1</v>
      </c>
      <c r="Q116" s="9">
        <v>1</v>
      </c>
      <c r="R116" s="9">
        <v>1</v>
      </c>
      <c r="S116" s="9">
        <v>1</v>
      </c>
      <c r="T116" s="9">
        <v>1</v>
      </c>
      <c r="U116" s="9">
        <v>3</v>
      </c>
      <c r="V116" s="9">
        <v>2</v>
      </c>
      <c r="W116" s="9">
        <v>6</v>
      </c>
      <c r="X116" s="9">
        <v>7</v>
      </c>
      <c r="Y116" s="9">
        <v>7</v>
      </c>
      <c r="Z116" s="9">
        <v>11</v>
      </c>
      <c r="AA116" s="9">
        <v>9</v>
      </c>
      <c r="AB116" s="9">
        <v>6</v>
      </c>
      <c r="AC116" s="9">
        <v>6</v>
      </c>
      <c r="AD116" s="9">
        <v>6</v>
      </c>
      <c r="AE116" s="9">
        <v>9</v>
      </c>
      <c r="AF116" s="9">
        <v>6</v>
      </c>
      <c r="AG116" s="9">
        <v>7</v>
      </c>
      <c r="AH116" s="9">
        <v>6</v>
      </c>
      <c r="AI116" s="9">
        <v>8</v>
      </c>
      <c r="AJ116" s="9">
        <v>10</v>
      </c>
      <c r="AK116" s="9">
        <v>12</v>
      </c>
      <c r="AL116" s="9">
        <v>8</v>
      </c>
      <c r="AM116" s="9">
        <v>10</v>
      </c>
      <c r="AN116" s="9">
        <v>9</v>
      </c>
      <c r="AO116" s="9">
        <v>13</v>
      </c>
      <c r="AP116" s="9">
        <v>13</v>
      </c>
      <c r="AQ116" s="9">
        <v>13</v>
      </c>
      <c r="AR116" s="9">
        <v>7</v>
      </c>
      <c r="AS116" s="9">
        <v>5</v>
      </c>
      <c r="AT116" s="9">
        <v>10</v>
      </c>
      <c r="AU116" s="9">
        <v>8</v>
      </c>
      <c r="AV116" s="9">
        <v>15</v>
      </c>
      <c r="AW116" s="9">
        <v>17</v>
      </c>
      <c r="AX116" s="9">
        <v>19</v>
      </c>
      <c r="AY116" s="9">
        <v>18</v>
      </c>
      <c r="AZ116" s="9">
        <v>17</v>
      </c>
      <c r="BA116" s="9">
        <v>18</v>
      </c>
      <c r="BB116" s="9">
        <v>18</v>
      </c>
      <c r="BC116" s="9">
        <v>18</v>
      </c>
      <c r="BD116" s="9">
        <v>23</v>
      </c>
      <c r="BE116" s="9">
        <v>19</v>
      </c>
      <c r="BF116" s="9">
        <v>21</v>
      </c>
      <c r="BG116" s="9">
        <v>20</v>
      </c>
      <c r="BH116" s="9">
        <v>23</v>
      </c>
      <c r="BI116" s="9">
        <v>26</v>
      </c>
      <c r="BJ116" s="9">
        <v>23</v>
      </c>
      <c r="BK116" s="9">
        <v>25</v>
      </c>
      <c r="BL116" s="9">
        <v>21</v>
      </c>
      <c r="BM116" s="9">
        <v>21</v>
      </c>
      <c r="BN116" s="9">
        <v>19</v>
      </c>
      <c r="BO116" s="9">
        <v>23</v>
      </c>
      <c r="BP116" s="10">
        <v>27</v>
      </c>
      <c r="BQ116">
        <v>24</v>
      </c>
      <c r="BR116">
        <v>32</v>
      </c>
    </row>
    <row r="117" spans="1:70" x14ac:dyDescent="0.35">
      <c r="A117" s="8" t="s">
        <v>73</v>
      </c>
      <c r="B117" s="9" t="s">
        <v>124</v>
      </c>
      <c r="C117" s="10" t="s">
        <v>738</v>
      </c>
      <c r="D117" s="34">
        <f t="shared" si="3"/>
        <v>55</v>
      </c>
      <c r="E117" s="9">
        <v>1</v>
      </c>
      <c r="F117" s="9">
        <v>0</v>
      </c>
      <c r="G117" s="9">
        <v>0</v>
      </c>
      <c r="H117" s="9">
        <v>1</v>
      </c>
      <c r="I117" s="9">
        <v>1</v>
      </c>
      <c r="J117" s="9">
        <v>1</v>
      </c>
      <c r="K117" s="9">
        <v>2</v>
      </c>
      <c r="L117" s="9">
        <v>2</v>
      </c>
      <c r="M117" s="9">
        <v>2</v>
      </c>
      <c r="N117" s="9">
        <v>0</v>
      </c>
      <c r="O117" s="9">
        <v>4</v>
      </c>
      <c r="P117" s="9">
        <v>4</v>
      </c>
      <c r="Q117" s="9">
        <v>7</v>
      </c>
      <c r="R117" s="9">
        <v>9</v>
      </c>
      <c r="S117" s="9">
        <v>10</v>
      </c>
      <c r="T117" s="9">
        <v>9</v>
      </c>
      <c r="U117" s="9">
        <v>10</v>
      </c>
      <c r="V117" s="9">
        <v>8</v>
      </c>
      <c r="W117" s="9">
        <v>8</v>
      </c>
      <c r="X117" s="9">
        <v>11</v>
      </c>
      <c r="Y117" s="9">
        <v>10</v>
      </c>
      <c r="Z117" s="9">
        <v>11</v>
      </c>
      <c r="AA117" s="9">
        <v>10</v>
      </c>
      <c r="AB117" s="9">
        <v>11</v>
      </c>
      <c r="AC117" s="9">
        <v>11</v>
      </c>
      <c r="AD117" s="9">
        <v>11</v>
      </c>
      <c r="AE117" s="9">
        <v>10</v>
      </c>
      <c r="AF117" s="9">
        <v>12</v>
      </c>
      <c r="AG117" s="9">
        <v>12</v>
      </c>
      <c r="AH117" s="9">
        <v>12</v>
      </c>
      <c r="AI117" s="9">
        <v>15</v>
      </c>
      <c r="AJ117" s="9">
        <v>15</v>
      </c>
      <c r="AK117" s="9">
        <v>15</v>
      </c>
      <c r="AL117" s="9">
        <v>14</v>
      </c>
      <c r="AM117" s="9">
        <v>11</v>
      </c>
      <c r="AN117" s="9">
        <v>15</v>
      </c>
      <c r="AO117" s="9">
        <v>13</v>
      </c>
      <c r="AP117" s="9">
        <v>14</v>
      </c>
      <c r="AQ117" s="9">
        <v>12</v>
      </c>
      <c r="AR117" s="9">
        <v>11</v>
      </c>
      <c r="AS117" s="9">
        <v>12</v>
      </c>
      <c r="AT117" s="9">
        <v>13</v>
      </c>
      <c r="AU117" s="9">
        <v>13</v>
      </c>
      <c r="AV117" s="9">
        <v>10</v>
      </c>
      <c r="AW117" s="9">
        <v>13</v>
      </c>
      <c r="AX117" s="9">
        <v>13</v>
      </c>
      <c r="AY117" s="9">
        <v>14</v>
      </c>
      <c r="AZ117" s="9">
        <v>21</v>
      </c>
      <c r="BA117" s="9">
        <v>23</v>
      </c>
      <c r="BB117" s="9">
        <v>23</v>
      </c>
      <c r="BC117" s="9">
        <v>16</v>
      </c>
      <c r="BD117" s="9">
        <v>20</v>
      </c>
      <c r="BE117" s="9">
        <v>20</v>
      </c>
      <c r="BF117" s="9">
        <v>23</v>
      </c>
      <c r="BG117" s="9">
        <v>30</v>
      </c>
      <c r="BH117" s="9">
        <v>33</v>
      </c>
      <c r="BI117" s="9">
        <v>34</v>
      </c>
      <c r="BJ117" s="9">
        <v>39</v>
      </c>
      <c r="BK117" s="9">
        <v>41</v>
      </c>
      <c r="BL117" s="9">
        <v>37</v>
      </c>
      <c r="BM117" s="9">
        <v>39</v>
      </c>
      <c r="BN117" s="9">
        <v>39</v>
      </c>
      <c r="BO117" s="9">
        <v>42</v>
      </c>
      <c r="BP117" s="10">
        <v>45</v>
      </c>
      <c r="BQ117">
        <v>55</v>
      </c>
      <c r="BR117">
        <v>51</v>
      </c>
    </row>
    <row r="118" spans="1:70" x14ac:dyDescent="0.35">
      <c r="A118" s="8" t="s">
        <v>73</v>
      </c>
      <c r="B118" s="9" t="s">
        <v>126</v>
      </c>
      <c r="C118" s="10" t="s">
        <v>739</v>
      </c>
      <c r="D118" s="34">
        <f t="shared" si="3"/>
        <v>27</v>
      </c>
      <c r="E118" s="9">
        <v>0</v>
      </c>
      <c r="F118" s="9">
        <v>0</v>
      </c>
      <c r="G118" s="9">
        <v>1</v>
      </c>
      <c r="H118" s="9">
        <v>1</v>
      </c>
      <c r="I118" s="9">
        <v>1</v>
      </c>
      <c r="J118" s="9">
        <v>1</v>
      </c>
      <c r="K118" s="9">
        <v>1</v>
      </c>
      <c r="L118" s="9">
        <v>1</v>
      </c>
      <c r="M118" s="9">
        <v>1</v>
      </c>
      <c r="N118" s="9">
        <v>1</v>
      </c>
      <c r="O118" s="9">
        <v>1</v>
      </c>
      <c r="P118" s="9">
        <v>2</v>
      </c>
      <c r="Q118" s="9">
        <v>2</v>
      </c>
      <c r="R118" s="9">
        <v>2</v>
      </c>
      <c r="S118" s="9">
        <v>2</v>
      </c>
      <c r="T118" s="9">
        <v>3</v>
      </c>
      <c r="U118" s="9">
        <v>4</v>
      </c>
      <c r="V118" s="9">
        <v>3</v>
      </c>
      <c r="W118" s="9">
        <v>2</v>
      </c>
      <c r="X118" s="9">
        <v>2</v>
      </c>
      <c r="Y118" s="9">
        <v>3</v>
      </c>
      <c r="Z118" s="9">
        <v>3</v>
      </c>
      <c r="AA118" s="9">
        <v>2</v>
      </c>
      <c r="AB118" s="9">
        <v>4</v>
      </c>
      <c r="AC118" s="9">
        <v>4</v>
      </c>
      <c r="AD118" s="9">
        <v>5</v>
      </c>
      <c r="AE118" s="9">
        <v>5</v>
      </c>
      <c r="AF118" s="9">
        <v>5</v>
      </c>
      <c r="AG118" s="9">
        <v>5</v>
      </c>
      <c r="AH118" s="9">
        <v>3</v>
      </c>
      <c r="AI118" s="9">
        <v>4</v>
      </c>
      <c r="AJ118" s="9">
        <v>6</v>
      </c>
      <c r="AK118" s="9">
        <v>6</v>
      </c>
      <c r="AL118" s="9">
        <v>8</v>
      </c>
      <c r="AM118" s="9">
        <v>9</v>
      </c>
      <c r="AN118" s="9">
        <v>9</v>
      </c>
      <c r="AO118" s="9">
        <v>9</v>
      </c>
      <c r="AP118" s="9">
        <v>8</v>
      </c>
      <c r="AQ118" s="9">
        <v>9</v>
      </c>
      <c r="AR118" s="9">
        <v>10</v>
      </c>
      <c r="AS118" s="9">
        <v>9</v>
      </c>
      <c r="AT118" s="9">
        <v>12</v>
      </c>
      <c r="AU118" s="9">
        <v>10</v>
      </c>
      <c r="AV118" s="9">
        <v>10</v>
      </c>
      <c r="AW118" s="9">
        <v>11</v>
      </c>
      <c r="AX118" s="9">
        <v>10</v>
      </c>
      <c r="AY118" s="9">
        <v>11</v>
      </c>
      <c r="AZ118" s="9">
        <v>10</v>
      </c>
      <c r="BA118" s="9">
        <v>11</v>
      </c>
      <c r="BB118" s="9">
        <v>11</v>
      </c>
      <c r="BC118" s="9">
        <v>12</v>
      </c>
      <c r="BD118" s="9">
        <v>12</v>
      </c>
      <c r="BE118" s="9">
        <v>12</v>
      </c>
      <c r="BF118" s="9">
        <v>9</v>
      </c>
      <c r="BG118" s="9">
        <v>13</v>
      </c>
      <c r="BH118" s="9">
        <v>13</v>
      </c>
      <c r="BI118" s="9">
        <v>16</v>
      </c>
      <c r="BJ118" s="9">
        <v>20</v>
      </c>
      <c r="BK118" s="9">
        <v>25</v>
      </c>
      <c r="BL118" s="9">
        <v>22</v>
      </c>
      <c r="BM118" s="9">
        <v>22</v>
      </c>
      <c r="BN118" s="9">
        <v>23</v>
      </c>
      <c r="BO118" s="9">
        <v>26</v>
      </c>
      <c r="BP118" s="10">
        <v>27</v>
      </c>
      <c r="BQ118">
        <v>24</v>
      </c>
      <c r="BR118">
        <v>25</v>
      </c>
    </row>
    <row r="119" spans="1:70" x14ac:dyDescent="0.35">
      <c r="A119" s="8" t="s">
        <v>73</v>
      </c>
      <c r="B119" s="9" t="s">
        <v>128</v>
      </c>
      <c r="C119" s="10" t="s">
        <v>740</v>
      </c>
      <c r="D119" s="34">
        <f t="shared" si="3"/>
        <v>39</v>
      </c>
      <c r="E119" s="9">
        <v>1</v>
      </c>
      <c r="F119" s="9">
        <v>0</v>
      </c>
      <c r="G119" s="9">
        <v>0</v>
      </c>
      <c r="H119" s="9">
        <v>0</v>
      </c>
      <c r="I119" s="9">
        <v>0</v>
      </c>
      <c r="J119" s="9">
        <v>0</v>
      </c>
      <c r="K119" s="9">
        <v>0</v>
      </c>
      <c r="L119" s="9">
        <v>0</v>
      </c>
      <c r="M119" s="9">
        <v>0</v>
      </c>
      <c r="N119" s="9">
        <v>0</v>
      </c>
      <c r="O119" s="9">
        <v>0</v>
      </c>
      <c r="P119" s="9">
        <v>0</v>
      </c>
      <c r="Q119" s="9">
        <v>0</v>
      </c>
      <c r="R119" s="9">
        <v>0</v>
      </c>
      <c r="S119" s="9">
        <v>0</v>
      </c>
      <c r="T119" s="9">
        <v>0</v>
      </c>
      <c r="U119" s="9">
        <v>0</v>
      </c>
      <c r="V119" s="9">
        <v>0</v>
      </c>
      <c r="W119" s="9">
        <v>0</v>
      </c>
      <c r="X119" s="9">
        <v>1</v>
      </c>
      <c r="Y119" s="9">
        <v>1</v>
      </c>
      <c r="Z119" s="9">
        <v>1</v>
      </c>
      <c r="AA119" s="9">
        <v>2</v>
      </c>
      <c r="AB119" s="9">
        <v>2</v>
      </c>
      <c r="AC119" s="9">
        <v>3</v>
      </c>
      <c r="AD119" s="9">
        <v>2</v>
      </c>
      <c r="AE119" s="9">
        <v>1</v>
      </c>
      <c r="AF119" s="9">
        <v>0</v>
      </c>
      <c r="AG119" s="9">
        <v>0</v>
      </c>
      <c r="AH119" s="9">
        <v>2</v>
      </c>
      <c r="AI119" s="9">
        <v>2</v>
      </c>
      <c r="AJ119" s="9">
        <v>2</v>
      </c>
      <c r="AK119" s="9">
        <v>3</v>
      </c>
      <c r="AL119" s="9">
        <v>3</v>
      </c>
      <c r="AM119" s="9">
        <v>3</v>
      </c>
      <c r="AN119" s="9">
        <v>2</v>
      </c>
      <c r="AO119" s="9">
        <v>2</v>
      </c>
      <c r="AP119" s="9">
        <v>1</v>
      </c>
      <c r="AQ119" s="9">
        <v>2</v>
      </c>
      <c r="AR119" s="9">
        <v>4</v>
      </c>
      <c r="AS119" s="9">
        <v>3</v>
      </c>
      <c r="AT119" s="9">
        <v>3</v>
      </c>
      <c r="AU119" s="9">
        <v>4</v>
      </c>
      <c r="AV119" s="9">
        <v>4</v>
      </c>
      <c r="AW119" s="9">
        <v>6</v>
      </c>
      <c r="AX119" s="9">
        <v>5</v>
      </c>
      <c r="AY119" s="9">
        <v>8</v>
      </c>
      <c r="AZ119" s="9">
        <v>6</v>
      </c>
      <c r="BA119" s="9">
        <v>8</v>
      </c>
      <c r="BB119" s="9">
        <v>9</v>
      </c>
      <c r="BC119" s="9">
        <v>13</v>
      </c>
      <c r="BD119" s="9">
        <v>14</v>
      </c>
      <c r="BE119" s="9">
        <v>14</v>
      </c>
      <c r="BF119" s="9">
        <v>18</v>
      </c>
      <c r="BG119" s="9">
        <v>19</v>
      </c>
      <c r="BH119" s="9">
        <v>23</v>
      </c>
      <c r="BI119" s="9">
        <v>26</v>
      </c>
      <c r="BJ119" s="9">
        <v>27</v>
      </c>
      <c r="BK119" s="9">
        <v>34</v>
      </c>
      <c r="BL119" s="9">
        <v>31</v>
      </c>
      <c r="BM119" s="9">
        <v>28</v>
      </c>
      <c r="BN119" s="9">
        <v>31</v>
      </c>
      <c r="BO119" s="9">
        <v>34</v>
      </c>
      <c r="BP119" s="10">
        <v>36</v>
      </c>
      <c r="BQ119">
        <v>39</v>
      </c>
      <c r="BR119">
        <v>35</v>
      </c>
    </row>
    <row r="120" spans="1:70" x14ac:dyDescent="0.35">
      <c r="A120" s="8" t="s">
        <v>73</v>
      </c>
      <c r="B120" s="9" t="s">
        <v>130</v>
      </c>
      <c r="C120" s="10" t="s">
        <v>741</v>
      </c>
      <c r="D120" s="34">
        <f t="shared" si="3"/>
        <v>80</v>
      </c>
      <c r="E120" s="9">
        <v>14</v>
      </c>
      <c r="F120" s="9">
        <v>13</v>
      </c>
      <c r="G120" s="9">
        <v>14</v>
      </c>
      <c r="H120" s="9">
        <v>12</v>
      </c>
      <c r="I120" s="9">
        <v>13</v>
      </c>
      <c r="J120" s="9">
        <v>14</v>
      </c>
      <c r="K120" s="9">
        <v>14</v>
      </c>
      <c r="L120" s="9">
        <v>14</v>
      </c>
      <c r="M120" s="9">
        <v>14</v>
      </c>
      <c r="N120" s="9">
        <v>17</v>
      </c>
      <c r="O120" s="9">
        <v>17</v>
      </c>
      <c r="P120" s="9">
        <v>16</v>
      </c>
      <c r="Q120" s="9">
        <v>19</v>
      </c>
      <c r="R120" s="9">
        <v>21</v>
      </c>
      <c r="S120" s="9">
        <v>19</v>
      </c>
      <c r="T120" s="9">
        <v>15</v>
      </c>
      <c r="U120" s="9">
        <v>17</v>
      </c>
      <c r="V120" s="9">
        <v>19</v>
      </c>
      <c r="W120" s="9">
        <v>23</v>
      </c>
      <c r="X120" s="9">
        <v>26</v>
      </c>
      <c r="Y120" s="9">
        <v>26</v>
      </c>
      <c r="Z120" s="9">
        <v>26</v>
      </c>
      <c r="AA120" s="9">
        <v>29</v>
      </c>
      <c r="AB120" s="9">
        <v>27</v>
      </c>
      <c r="AC120" s="9">
        <v>29</v>
      </c>
      <c r="AD120" s="9">
        <v>0</v>
      </c>
      <c r="AE120" s="9">
        <v>0</v>
      </c>
      <c r="AF120" s="9">
        <v>33</v>
      </c>
      <c r="AG120" s="9">
        <v>34</v>
      </c>
      <c r="AH120" s="9">
        <v>32</v>
      </c>
      <c r="AI120" s="9">
        <v>33</v>
      </c>
      <c r="AJ120" s="9">
        <v>29</v>
      </c>
      <c r="AK120" s="9">
        <v>30</v>
      </c>
      <c r="AL120" s="9">
        <v>30</v>
      </c>
      <c r="AM120" s="9">
        <v>31</v>
      </c>
      <c r="AN120" s="9">
        <v>31</v>
      </c>
      <c r="AO120" s="9">
        <v>35</v>
      </c>
      <c r="AP120" s="9">
        <v>31</v>
      </c>
      <c r="AQ120" s="9">
        <v>32</v>
      </c>
      <c r="AR120" s="9">
        <v>28</v>
      </c>
      <c r="AS120" s="9">
        <v>28</v>
      </c>
      <c r="AT120" s="9">
        <v>29</v>
      </c>
      <c r="AU120" s="9">
        <v>26</v>
      </c>
      <c r="AV120" s="9">
        <v>26</v>
      </c>
      <c r="AW120" s="9">
        <v>25</v>
      </c>
      <c r="AX120" s="9">
        <v>26</v>
      </c>
      <c r="AY120" s="9">
        <v>24</v>
      </c>
      <c r="AZ120" s="9">
        <v>30</v>
      </c>
      <c r="BA120" s="9">
        <v>35</v>
      </c>
      <c r="BB120" s="9">
        <v>43</v>
      </c>
      <c r="BC120" s="9">
        <v>44</v>
      </c>
      <c r="BD120" s="9">
        <v>37</v>
      </c>
      <c r="BE120" s="9">
        <v>38</v>
      </c>
      <c r="BF120" s="9">
        <v>37</v>
      </c>
      <c r="BG120" s="9">
        <v>37</v>
      </c>
      <c r="BH120" s="9">
        <v>34</v>
      </c>
      <c r="BI120" s="9">
        <v>54</v>
      </c>
      <c r="BJ120" s="9">
        <v>58</v>
      </c>
      <c r="BK120" s="9">
        <v>53</v>
      </c>
      <c r="BL120" s="9">
        <v>60</v>
      </c>
      <c r="BM120" s="9">
        <v>67</v>
      </c>
      <c r="BN120" s="9">
        <v>74</v>
      </c>
      <c r="BO120" s="9">
        <v>74</v>
      </c>
      <c r="BP120" s="10">
        <v>72</v>
      </c>
      <c r="BQ120">
        <v>80</v>
      </c>
      <c r="BR120">
        <v>78</v>
      </c>
    </row>
    <row r="121" spans="1:70" x14ac:dyDescent="0.35">
      <c r="A121" s="8" t="s">
        <v>73</v>
      </c>
      <c r="B121" s="9" t="s">
        <v>132</v>
      </c>
      <c r="C121" s="10" t="s">
        <v>742</v>
      </c>
      <c r="D121" s="34">
        <f t="shared" si="3"/>
        <v>38</v>
      </c>
      <c r="E121" s="9">
        <v>0</v>
      </c>
      <c r="F121" s="9">
        <v>0</v>
      </c>
      <c r="G121" s="9">
        <v>0</v>
      </c>
      <c r="H121" s="9">
        <v>0</v>
      </c>
      <c r="I121" s="9">
        <v>0</v>
      </c>
      <c r="J121" s="9">
        <v>1</v>
      </c>
      <c r="K121" s="9">
        <v>2</v>
      </c>
      <c r="L121" s="9">
        <v>2</v>
      </c>
      <c r="M121" s="9">
        <v>2</v>
      </c>
      <c r="N121" s="9">
        <v>2</v>
      </c>
      <c r="O121" s="9">
        <v>2</v>
      </c>
      <c r="P121" s="9">
        <v>0</v>
      </c>
      <c r="Q121" s="9">
        <v>0</v>
      </c>
      <c r="R121" s="9">
        <v>0</v>
      </c>
      <c r="S121" s="9">
        <v>2</v>
      </c>
      <c r="T121" s="9">
        <v>1</v>
      </c>
      <c r="U121" s="9">
        <v>1</v>
      </c>
      <c r="V121" s="9">
        <v>3</v>
      </c>
      <c r="W121" s="9">
        <v>3</v>
      </c>
      <c r="X121" s="9">
        <v>0</v>
      </c>
      <c r="Y121" s="9">
        <v>5</v>
      </c>
      <c r="Z121" s="9">
        <v>6</v>
      </c>
      <c r="AA121" s="9">
        <v>2</v>
      </c>
      <c r="AB121" s="9">
        <v>2</v>
      </c>
      <c r="AC121" s="9">
        <v>1</v>
      </c>
      <c r="AD121" s="9">
        <v>2</v>
      </c>
      <c r="AE121" s="9">
        <v>0</v>
      </c>
      <c r="AF121" s="9">
        <v>3</v>
      </c>
      <c r="AG121" s="9">
        <v>5</v>
      </c>
      <c r="AH121" s="9">
        <v>9</v>
      </c>
      <c r="AI121" s="9">
        <v>5</v>
      </c>
      <c r="AJ121" s="9">
        <v>4</v>
      </c>
      <c r="AK121" s="9">
        <v>4</v>
      </c>
      <c r="AL121" s="9">
        <v>4</v>
      </c>
      <c r="AM121" s="9">
        <v>6</v>
      </c>
      <c r="AN121" s="9">
        <v>7</v>
      </c>
      <c r="AO121" s="9">
        <v>14</v>
      </c>
      <c r="AP121" s="9">
        <v>7</v>
      </c>
      <c r="AQ121" s="9">
        <v>13</v>
      </c>
      <c r="AR121" s="9">
        <v>13</v>
      </c>
      <c r="AS121" s="9">
        <v>15</v>
      </c>
      <c r="AT121" s="9">
        <v>15</v>
      </c>
      <c r="AU121" s="9">
        <v>12</v>
      </c>
      <c r="AV121" s="9">
        <v>16</v>
      </c>
      <c r="AW121" s="9">
        <v>18</v>
      </c>
      <c r="AX121" s="9">
        <v>20</v>
      </c>
      <c r="AY121" s="9">
        <v>22</v>
      </c>
      <c r="AZ121" s="9">
        <v>20</v>
      </c>
      <c r="BA121" s="9">
        <v>22</v>
      </c>
      <c r="BB121" s="9">
        <v>20</v>
      </c>
      <c r="BC121" s="9">
        <v>22</v>
      </c>
      <c r="BD121" s="9">
        <v>24</v>
      </c>
      <c r="BE121" s="9">
        <v>20</v>
      </c>
      <c r="BF121" s="9">
        <v>24</v>
      </c>
      <c r="BG121" s="9">
        <v>24</v>
      </c>
      <c r="BH121" s="9">
        <v>28</v>
      </c>
      <c r="BI121" s="9">
        <v>18</v>
      </c>
      <c r="BJ121" s="9">
        <v>18</v>
      </c>
      <c r="BK121" s="9">
        <v>19</v>
      </c>
      <c r="BL121" s="9">
        <v>20</v>
      </c>
      <c r="BM121" s="9">
        <v>30</v>
      </c>
      <c r="BN121" s="9">
        <v>38</v>
      </c>
      <c r="BO121" s="9">
        <v>19</v>
      </c>
      <c r="BP121" s="10">
        <v>26</v>
      </c>
      <c r="BQ121">
        <v>26</v>
      </c>
      <c r="BR121">
        <v>18</v>
      </c>
    </row>
    <row r="122" spans="1:70" x14ac:dyDescent="0.35">
      <c r="A122" s="8" t="s">
        <v>73</v>
      </c>
      <c r="B122" s="9" t="s">
        <v>134</v>
      </c>
      <c r="C122" s="10" t="s">
        <v>743</v>
      </c>
      <c r="D122" s="34">
        <f t="shared" si="3"/>
        <v>33</v>
      </c>
      <c r="E122" s="9">
        <v>0</v>
      </c>
      <c r="F122" s="9">
        <v>0</v>
      </c>
      <c r="G122" s="9">
        <v>0</v>
      </c>
      <c r="H122" s="9">
        <v>0</v>
      </c>
      <c r="I122" s="9">
        <v>0</v>
      </c>
      <c r="J122" s="9">
        <v>0</v>
      </c>
      <c r="K122" s="9">
        <v>0</v>
      </c>
      <c r="L122" s="9">
        <v>0</v>
      </c>
      <c r="M122" s="9">
        <v>0</v>
      </c>
      <c r="N122" s="9">
        <v>0</v>
      </c>
      <c r="O122" s="9">
        <v>0</v>
      </c>
      <c r="P122" s="9">
        <v>0</v>
      </c>
      <c r="Q122" s="9">
        <v>0</v>
      </c>
      <c r="R122" s="9">
        <v>0</v>
      </c>
      <c r="S122" s="9">
        <v>0</v>
      </c>
      <c r="T122" s="9">
        <v>0</v>
      </c>
      <c r="U122" s="9">
        <v>0</v>
      </c>
      <c r="V122" s="9">
        <v>0</v>
      </c>
      <c r="W122" s="9">
        <v>0</v>
      </c>
      <c r="X122" s="9">
        <v>0</v>
      </c>
      <c r="Y122" s="9">
        <v>0</v>
      </c>
      <c r="Z122" s="9">
        <v>0</v>
      </c>
      <c r="AA122" s="9">
        <v>0</v>
      </c>
      <c r="AB122" s="9">
        <v>0</v>
      </c>
      <c r="AC122" s="9">
        <v>0</v>
      </c>
      <c r="AD122" s="9">
        <v>2</v>
      </c>
      <c r="AE122" s="9">
        <v>2</v>
      </c>
      <c r="AF122" s="9">
        <v>2</v>
      </c>
      <c r="AG122" s="9">
        <v>2</v>
      </c>
      <c r="AH122" s="9">
        <v>2</v>
      </c>
      <c r="AI122" s="9">
        <v>2</v>
      </c>
      <c r="AJ122" s="9">
        <v>2</v>
      </c>
      <c r="AK122" s="9">
        <v>2</v>
      </c>
      <c r="AL122" s="9">
        <v>2</v>
      </c>
      <c r="AM122" s="9">
        <v>2</v>
      </c>
      <c r="AN122" s="9">
        <v>3</v>
      </c>
      <c r="AO122" s="9">
        <v>2</v>
      </c>
      <c r="AP122" s="9">
        <v>2</v>
      </c>
      <c r="AQ122" s="9">
        <v>3</v>
      </c>
      <c r="AR122" s="9">
        <v>3</v>
      </c>
      <c r="AS122" s="9">
        <v>3</v>
      </c>
      <c r="AT122" s="9">
        <v>3</v>
      </c>
      <c r="AU122" s="9">
        <v>3</v>
      </c>
      <c r="AV122" s="9">
        <v>2</v>
      </c>
      <c r="AW122" s="9">
        <v>2</v>
      </c>
      <c r="AX122" s="9">
        <v>2</v>
      </c>
      <c r="AY122" s="9">
        <v>4</v>
      </c>
      <c r="AZ122" s="9">
        <v>4</v>
      </c>
      <c r="BA122" s="9">
        <v>5</v>
      </c>
      <c r="BB122" s="9">
        <v>6</v>
      </c>
      <c r="BC122" s="9">
        <v>7</v>
      </c>
      <c r="BD122" s="9">
        <v>9</v>
      </c>
      <c r="BE122" s="9">
        <v>12</v>
      </c>
      <c r="BF122" s="9">
        <v>14</v>
      </c>
      <c r="BG122" s="9">
        <v>16</v>
      </c>
      <c r="BH122" s="9">
        <v>17</v>
      </c>
      <c r="BI122" s="9">
        <v>18</v>
      </c>
      <c r="BJ122" s="9">
        <v>18</v>
      </c>
      <c r="BK122" s="9">
        <v>16</v>
      </c>
      <c r="BL122" s="9">
        <v>18</v>
      </c>
      <c r="BM122" s="9">
        <v>20</v>
      </c>
      <c r="BN122" s="9">
        <v>22</v>
      </c>
      <c r="BO122" s="9">
        <v>20</v>
      </c>
      <c r="BP122" s="10">
        <v>24</v>
      </c>
      <c r="BQ122">
        <v>30</v>
      </c>
      <c r="BR122">
        <v>33</v>
      </c>
    </row>
    <row r="123" spans="1:70" x14ac:dyDescent="0.35">
      <c r="A123" s="8" t="s">
        <v>73</v>
      </c>
      <c r="B123" s="9" t="s">
        <v>136</v>
      </c>
      <c r="C123" s="10" t="s">
        <v>744</v>
      </c>
      <c r="D123" s="34">
        <f t="shared" si="3"/>
        <v>0</v>
      </c>
      <c r="E123" s="9">
        <v>0</v>
      </c>
      <c r="F123" s="9">
        <v>0</v>
      </c>
      <c r="G123" s="9">
        <v>0</v>
      </c>
      <c r="H123" s="9">
        <v>0</v>
      </c>
      <c r="I123" s="9">
        <v>0</v>
      </c>
      <c r="J123" s="9">
        <v>0</v>
      </c>
      <c r="K123" s="9">
        <v>0</v>
      </c>
      <c r="L123" s="9">
        <v>0</v>
      </c>
      <c r="M123" s="9">
        <v>0</v>
      </c>
      <c r="N123" s="9">
        <v>0</v>
      </c>
      <c r="O123" s="9">
        <v>0</v>
      </c>
      <c r="P123" s="9">
        <v>0</v>
      </c>
      <c r="Q123" s="9">
        <v>0</v>
      </c>
      <c r="R123" s="9">
        <v>0</v>
      </c>
      <c r="S123" s="9">
        <v>0</v>
      </c>
      <c r="T123" s="9">
        <v>0</v>
      </c>
      <c r="U123" s="9">
        <v>0</v>
      </c>
      <c r="V123" s="9">
        <v>0</v>
      </c>
      <c r="W123" s="9">
        <v>0</v>
      </c>
      <c r="X123" s="9">
        <v>0</v>
      </c>
      <c r="Y123" s="9">
        <v>0</v>
      </c>
      <c r="Z123" s="9">
        <v>0</v>
      </c>
      <c r="AA123" s="9">
        <v>0</v>
      </c>
      <c r="AB123" s="9">
        <v>0</v>
      </c>
      <c r="AC123" s="9">
        <v>0</v>
      </c>
      <c r="AD123" s="9">
        <v>0</v>
      </c>
      <c r="AE123" s="9">
        <v>0</v>
      </c>
      <c r="AF123" s="9">
        <v>0</v>
      </c>
      <c r="AG123" s="9">
        <v>0</v>
      </c>
      <c r="AH123" s="9">
        <v>0</v>
      </c>
      <c r="AI123" s="9">
        <v>0</v>
      </c>
      <c r="AJ123" s="9">
        <v>0</v>
      </c>
      <c r="AK123" s="9">
        <v>0</v>
      </c>
      <c r="AL123" s="9">
        <v>0</v>
      </c>
      <c r="AM123" s="9">
        <v>0</v>
      </c>
      <c r="AN123" s="9">
        <v>0</v>
      </c>
      <c r="AO123" s="9">
        <v>0</v>
      </c>
      <c r="AP123" s="9">
        <v>0</v>
      </c>
      <c r="AQ123" s="9">
        <v>0</v>
      </c>
      <c r="AR123" s="9">
        <v>0</v>
      </c>
      <c r="AS123" s="9">
        <v>0</v>
      </c>
      <c r="AT123" s="9">
        <v>0</v>
      </c>
      <c r="AU123" s="9">
        <v>0</v>
      </c>
      <c r="AV123" s="9">
        <v>0</v>
      </c>
      <c r="AW123" s="9">
        <v>0</v>
      </c>
      <c r="AX123" s="9">
        <v>0</v>
      </c>
      <c r="AY123" s="9">
        <v>0</v>
      </c>
      <c r="AZ123" s="9">
        <v>0</v>
      </c>
      <c r="BA123" s="9">
        <v>0</v>
      </c>
      <c r="BB123" s="9">
        <v>0</v>
      </c>
      <c r="BC123" s="9">
        <v>0</v>
      </c>
      <c r="BD123" s="9">
        <v>0</v>
      </c>
      <c r="BE123" s="9">
        <v>0</v>
      </c>
      <c r="BF123" s="9">
        <v>0</v>
      </c>
      <c r="BG123" s="9">
        <v>0</v>
      </c>
      <c r="BH123" s="9">
        <v>0</v>
      </c>
      <c r="BI123" s="9">
        <v>0</v>
      </c>
      <c r="BJ123" s="9">
        <v>0</v>
      </c>
      <c r="BK123" s="9">
        <v>0</v>
      </c>
      <c r="BL123" s="9">
        <v>0</v>
      </c>
      <c r="BM123" s="9">
        <v>0</v>
      </c>
      <c r="BN123" s="9">
        <v>0</v>
      </c>
      <c r="BO123" s="9">
        <v>0</v>
      </c>
      <c r="BP123" s="10">
        <v>0</v>
      </c>
      <c r="BQ123">
        <v>0</v>
      </c>
      <c r="BR123">
        <v>0</v>
      </c>
    </row>
    <row r="124" spans="1:70" x14ac:dyDescent="0.35">
      <c r="A124" s="8" t="s">
        <v>73</v>
      </c>
      <c r="B124" s="9" t="s">
        <v>138</v>
      </c>
      <c r="C124" s="10" t="s">
        <v>745</v>
      </c>
      <c r="D124" s="34">
        <f t="shared" si="3"/>
        <v>5</v>
      </c>
      <c r="E124" s="9">
        <v>0</v>
      </c>
      <c r="F124" s="9">
        <v>0</v>
      </c>
      <c r="G124" s="9">
        <v>0</v>
      </c>
      <c r="H124" s="9">
        <v>0</v>
      </c>
      <c r="I124" s="9">
        <v>0</v>
      </c>
      <c r="J124" s="9">
        <v>0</v>
      </c>
      <c r="K124" s="9">
        <v>0</v>
      </c>
      <c r="L124" s="9">
        <v>0</v>
      </c>
      <c r="M124" s="9">
        <v>0</v>
      </c>
      <c r="N124" s="9">
        <v>0</v>
      </c>
      <c r="O124" s="9">
        <v>0</v>
      </c>
      <c r="P124" s="9">
        <v>0</v>
      </c>
      <c r="Q124" s="9">
        <v>0</v>
      </c>
      <c r="R124" s="9">
        <v>0</v>
      </c>
      <c r="S124" s="9">
        <v>0</v>
      </c>
      <c r="T124" s="9">
        <v>0</v>
      </c>
      <c r="U124" s="9">
        <v>0</v>
      </c>
      <c r="V124" s="9">
        <v>0</v>
      </c>
      <c r="W124" s="9">
        <v>0</v>
      </c>
      <c r="X124" s="9">
        <v>0</v>
      </c>
      <c r="Y124" s="9">
        <v>0</v>
      </c>
      <c r="Z124" s="9">
        <v>0</v>
      </c>
      <c r="AA124" s="9">
        <v>0</v>
      </c>
      <c r="AB124" s="9">
        <v>1</v>
      </c>
      <c r="AC124" s="9">
        <v>1</v>
      </c>
      <c r="AD124" s="9">
        <v>1</v>
      </c>
      <c r="AE124" s="9">
        <v>1</v>
      </c>
      <c r="AF124" s="9">
        <v>0</v>
      </c>
      <c r="AG124" s="9">
        <v>2</v>
      </c>
      <c r="AH124" s="9">
        <v>0</v>
      </c>
      <c r="AI124" s="9">
        <v>0</v>
      </c>
      <c r="AJ124" s="9">
        <v>0</v>
      </c>
      <c r="AK124" s="9">
        <v>0</v>
      </c>
      <c r="AL124" s="9">
        <v>0</v>
      </c>
      <c r="AM124" s="9">
        <v>0</v>
      </c>
      <c r="AN124" s="9">
        <v>0</v>
      </c>
      <c r="AO124" s="9">
        <v>0</v>
      </c>
      <c r="AP124" s="9">
        <v>0</v>
      </c>
      <c r="AQ124" s="9">
        <v>0</v>
      </c>
      <c r="AR124" s="9">
        <v>0</v>
      </c>
      <c r="AS124" s="9">
        <v>0</v>
      </c>
      <c r="AT124" s="9">
        <v>0</v>
      </c>
      <c r="AU124" s="9">
        <v>0</v>
      </c>
      <c r="AV124" s="9">
        <v>1</v>
      </c>
      <c r="AW124" s="9">
        <v>1</v>
      </c>
      <c r="AX124" s="9">
        <v>2</v>
      </c>
      <c r="AY124" s="9">
        <v>2</v>
      </c>
      <c r="AZ124" s="9">
        <v>2</v>
      </c>
      <c r="BA124" s="9">
        <v>2</v>
      </c>
      <c r="BB124" s="9">
        <v>2</v>
      </c>
      <c r="BC124" s="9">
        <v>2</v>
      </c>
      <c r="BD124" s="9">
        <v>3</v>
      </c>
      <c r="BE124" s="9">
        <v>3</v>
      </c>
      <c r="BF124" s="9">
        <v>4</v>
      </c>
      <c r="BG124" s="9">
        <v>4</v>
      </c>
      <c r="BH124" s="9">
        <v>4</v>
      </c>
      <c r="BI124" s="9">
        <v>5</v>
      </c>
      <c r="BJ124" s="9">
        <v>4</v>
      </c>
      <c r="BK124" s="9">
        <v>4</v>
      </c>
      <c r="BL124" s="9">
        <v>4</v>
      </c>
      <c r="BM124" s="9">
        <v>4</v>
      </c>
      <c r="BN124" s="9">
        <v>4</v>
      </c>
      <c r="BO124" s="9">
        <v>4</v>
      </c>
      <c r="BP124" s="10">
        <v>3</v>
      </c>
      <c r="BQ124">
        <v>2</v>
      </c>
      <c r="BR124">
        <v>2</v>
      </c>
    </row>
    <row r="125" spans="1:70" x14ac:dyDescent="0.35">
      <c r="A125" s="8" t="s">
        <v>73</v>
      </c>
      <c r="B125" s="9" t="s">
        <v>140</v>
      </c>
      <c r="C125" s="10" t="s">
        <v>746</v>
      </c>
      <c r="D125" s="34">
        <f t="shared" si="3"/>
        <v>0</v>
      </c>
      <c r="E125" s="9">
        <v>0</v>
      </c>
      <c r="F125" s="9">
        <v>0</v>
      </c>
      <c r="G125" s="9">
        <v>0</v>
      </c>
      <c r="H125" s="9">
        <v>0</v>
      </c>
      <c r="I125" s="9">
        <v>0</v>
      </c>
      <c r="J125" s="9">
        <v>0</v>
      </c>
      <c r="K125" s="9">
        <v>0</v>
      </c>
      <c r="L125" s="9">
        <v>0</v>
      </c>
      <c r="M125" s="9">
        <v>0</v>
      </c>
      <c r="N125" s="9">
        <v>0</v>
      </c>
      <c r="O125" s="9">
        <v>0</v>
      </c>
      <c r="P125" s="9">
        <v>0</v>
      </c>
      <c r="Q125" s="9">
        <v>0</v>
      </c>
      <c r="R125" s="9">
        <v>0</v>
      </c>
      <c r="S125" s="9">
        <v>0</v>
      </c>
      <c r="T125" s="9">
        <v>0</v>
      </c>
      <c r="U125" s="9">
        <v>0</v>
      </c>
      <c r="V125" s="9">
        <v>0</v>
      </c>
      <c r="W125" s="9">
        <v>0</v>
      </c>
      <c r="X125" s="9">
        <v>0</v>
      </c>
      <c r="Y125" s="9">
        <v>0</v>
      </c>
      <c r="Z125" s="9">
        <v>0</v>
      </c>
      <c r="AA125" s="9">
        <v>0</v>
      </c>
      <c r="AB125" s="9">
        <v>0</v>
      </c>
      <c r="AC125" s="9">
        <v>0</v>
      </c>
      <c r="AD125" s="9">
        <v>0</v>
      </c>
      <c r="AE125" s="9">
        <v>0</v>
      </c>
      <c r="AF125" s="9">
        <v>0</v>
      </c>
      <c r="AG125" s="9">
        <v>0</v>
      </c>
      <c r="AH125" s="9">
        <v>0</v>
      </c>
      <c r="AI125" s="9">
        <v>0</v>
      </c>
      <c r="AJ125" s="9">
        <v>0</v>
      </c>
      <c r="AK125" s="9">
        <v>0</v>
      </c>
      <c r="AL125" s="9">
        <v>0</v>
      </c>
      <c r="AM125" s="9">
        <v>0</v>
      </c>
      <c r="AN125" s="9">
        <v>0</v>
      </c>
      <c r="AO125" s="9">
        <v>0</v>
      </c>
      <c r="AP125" s="9">
        <v>0</v>
      </c>
      <c r="AQ125" s="9">
        <v>0</v>
      </c>
      <c r="AR125" s="9">
        <v>0</v>
      </c>
      <c r="AS125" s="9">
        <v>0</v>
      </c>
      <c r="AT125" s="9">
        <v>0</v>
      </c>
      <c r="AU125" s="9">
        <v>0</v>
      </c>
      <c r="AV125" s="9">
        <v>0</v>
      </c>
      <c r="AW125" s="9">
        <v>0</v>
      </c>
      <c r="AX125" s="9">
        <v>0</v>
      </c>
      <c r="AY125" s="9">
        <v>0</v>
      </c>
      <c r="AZ125" s="9">
        <v>0</v>
      </c>
      <c r="BA125" s="9">
        <v>0</v>
      </c>
      <c r="BB125" s="9">
        <v>0</v>
      </c>
      <c r="BC125" s="9">
        <v>0</v>
      </c>
      <c r="BD125" s="9">
        <v>0</v>
      </c>
      <c r="BE125" s="9">
        <v>0</v>
      </c>
      <c r="BF125" s="9">
        <v>0</v>
      </c>
      <c r="BG125" s="9">
        <v>0</v>
      </c>
      <c r="BH125" s="9">
        <v>0</v>
      </c>
      <c r="BI125" s="9">
        <v>0</v>
      </c>
      <c r="BJ125" s="9">
        <v>0</v>
      </c>
      <c r="BK125" s="9">
        <v>0</v>
      </c>
      <c r="BL125" s="9">
        <v>0</v>
      </c>
      <c r="BM125" s="9">
        <v>0</v>
      </c>
      <c r="BN125" s="9">
        <v>0</v>
      </c>
      <c r="BO125" s="9">
        <v>0</v>
      </c>
      <c r="BP125" s="10">
        <v>0</v>
      </c>
      <c r="BQ125">
        <v>0</v>
      </c>
      <c r="BR125">
        <v>0</v>
      </c>
    </row>
    <row r="126" spans="1:70" x14ac:dyDescent="0.35">
      <c r="A126" s="8" t="s">
        <v>73</v>
      </c>
      <c r="B126" s="9" t="s">
        <v>142</v>
      </c>
      <c r="C126" s="10" t="s">
        <v>747</v>
      </c>
      <c r="D126" s="34">
        <f t="shared" si="3"/>
        <v>3</v>
      </c>
      <c r="E126" s="9">
        <v>0</v>
      </c>
      <c r="F126" s="9">
        <v>0</v>
      </c>
      <c r="G126" s="9">
        <v>0</v>
      </c>
      <c r="H126" s="9">
        <v>0</v>
      </c>
      <c r="I126" s="9">
        <v>0</v>
      </c>
      <c r="J126" s="9">
        <v>0</v>
      </c>
      <c r="K126" s="9">
        <v>0</v>
      </c>
      <c r="L126" s="9">
        <v>0</v>
      </c>
      <c r="M126" s="9">
        <v>0</v>
      </c>
      <c r="N126" s="9">
        <v>0</v>
      </c>
      <c r="O126" s="9">
        <v>0</v>
      </c>
      <c r="P126" s="9">
        <v>0</v>
      </c>
      <c r="Q126" s="9">
        <v>0</v>
      </c>
      <c r="R126" s="9">
        <v>0</v>
      </c>
      <c r="S126" s="9">
        <v>0</v>
      </c>
      <c r="T126" s="9">
        <v>0</v>
      </c>
      <c r="U126" s="9">
        <v>0</v>
      </c>
      <c r="V126" s="9">
        <v>0</v>
      </c>
      <c r="W126" s="9">
        <v>0</v>
      </c>
      <c r="X126" s="9">
        <v>0</v>
      </c>
      <c r="Y126" s="9">
        <v>0</v>
      </c>
      <c r="Z126" s="9">
        <v>0</v>
      </c>
      <c r="AA126" s="9">
        <v>0</v>
      </c>
      <c r="AB126" s="9">
        <v>0</v>
      </c>
      <c r="AC126" s="9">
        <v>0</v>
      </c>
      <c r="AD126" s="9">
        <v>0</v>
      </c>
      <c r="AE126" s="9">
        <v>0</v>
      </c>
      <c r="AF126" s="9">
        <v>0</v>
      </c>
      <c r="AG126" s="9">
        <v>0</v>
      </c>
      <c r="AH126" s="9">
        <v>0</v>
      </c>
      <c r="AI126" s="9">
        <v>0</v>
      </c>
      <c r="AJ126" s="9">
        <v>0</v>
      </c>
      <c r="AK126" s="9">
        <v>0</v>
      </c>
      <c r="AL126" s="9">
        <v>0</v>
      </c>
      <c r="AM126" s="9">
        <v>0</v>
      </c>
      <c r="AN126" s="9">
        <v>0</v>
      </c>
      <c r="AO126" s="9">
        <v>0</v>
      </c>
      <c r="AP126" s="9">
        <v>0</v>
      </c>
      <c r="AQ126" s="9">
        <v>0</v>
      </c>
      <c r="AR126" s="9">
        <v>0</v>
      </c>
      <c r="AS126" s="9">
        <v>0</v>
      </c>
      <c r="AT126" s="9">
        <v>0</v>
      </c>
      <c r="AU126" s="9">
        <v>0</v>
      </c>
      <c r="AV126" s="9">
        <v>0</v>
      </c>
      <c r="AW126" s="9">
        <v>0</v>
      </c>
      <c r="AX126" s="9">
        <v>0</v>
      </c>
      <c r="AY126" s="9">
        <v>0</v>
      </c>
      <c r="AZ126" s="9">
        <v>0</v>
      </c>
      <c r="BA126" s="9">
        <v>0</v>
      </c>
      <c r="BB126" s="9">
        <v>0</v>
      </c>
      <c r="BC126" s="9">
        <v>1</v>
      </c>
      <c r="BD126" s="9">
        <v>1</v>
      </c>
      <c r="BE126" s="9">
        <v>1</v>
      </c>
      <c r="BF126" s="9">
        <v>1</v>
      </c>
      <c r="BG126" s="9">
        <v>1</v>
      </c>
      <c r="BH126" s="9">
        <v>1</v>
      </c>
      <c r="BI126" s="9">
        <v>1</v>
      </c>
      <c r="BJ126" s="9">
        <v>1</v>
      </c>
      <c r="BK126" s="9">
        <v>0</v>
      </c>
      <c r="BL126" s="9">
        <v>1</v>
      </c>
      <c r="BM126" s="9">
        <v>0</v>
      </c>
      <c r="BN126" s="9">
        <v>0</v>
      </c>
      <c r="BO126" s="9">
        <v>0</v>
      </c>
      <c r="BP126" s="10">
        <v>2</v>
      </c>
      <c r="BQ126">
        <v>2</v>
      </c>
      <c r="BR126">
        <v>3</v>
      </c>
    </row>
    <row r="127" spans="1:70" x14ac:dyDescent="0.35">
      <c r="A127" s="8" t="s">
        <v>73</v>
      </c>
      <c r="B127" s="9" t="s">
        <v>144</v>
      </c>
      <c r="C127" s="10" t="s">
        <v>748</v>
      </c>
      <c r="D127" s="34">
        <f t="shared" si="3"/>
        <v>4</v>
      </c>
      <c r="E127" s="9">
        <v>0</v>
      </c>
      <c r="F127" s="9">
        <v>0</v>
      </c>
      <c r="G127" s="9">
        <v>1</v>
      </c>
      <c r="H127" s="9">
        <v>0</v>
      </c>
      <c r="I127" s="9">
        <v>0</v>
      </c>
      <c r="J127" s="9">
        <v>0</v>
      </c>
      <c r="K127" s="9">
        <v>0</v>
      </c>
      <c r="L127" s="9">
        <v>0</v>
      </c>
      <c r="M127" s="9">
        <v>0</v>
      </c>
      <c r="N127" s="9">
        <v>0</v>
      </c>
      <c r="O127" s="9">
        <v>0</v>
      </c>
      <c r="P127" s="9">
        <v>0</v>
      </c>
      <c r="Q127" s="9">
        <v>0</v>
      </c>
      <c r="R127" s="9">
        <v>0</v>
      </c>
      <c r="S127" s="9">
        <v>0</v>
      </c>
      <c r="T127" s="9">
        <v>0</v>
      </c>
      <c r="U127" s="9">
        <v>0</v>
      </c>
      <c r="V127" s="9">
        <v>0</v>
      </c>
      <c r="W127" s="9">
        <v>0</v>
      </c>
      <c r="X127" s="9">
        <v>0</v>
      </c>
      <c r="Y127" s="9">
        <v>0</v>
      </c>
      <c r="Z127" s="9">
        <v>0</v>
      </c>
      <c r="AA127" s="9">
        <v>0</v>
      </c>
      <c r="AB127" s="9">
        <v>0</v>
      </c>
      <c r="AC127" s="9">
        <v>0</v>
      </c>
      <c r="AD127" s="9">
        <v>0</v>
      </c>
      <c r="AE127" s="9">
        <v>0</v>
      </c>
      <c r="AF127" s="9">
        <v>0</v>
      </c>
      <c r="AG127" s="9">
        <v>0</v>
      </c>
      <c r="AH127" s="9">
        <v>0</v>
      </c>
      <c r="AI127" s="9">
        <v>0</v>
      </c>
      <c r="AJ127" s="9">
        <v>0</v>
      </c>
      <c r="AK127" s="9">
        <v>0</v>
      </c>
      <c r="AL127" s="9">
        <v>0</v>
      </c>
      <c r="AM127" s="9">
        <v>0</v>
      </c>
      <c r="AN127" s="9">
        <v>0</v>
      </c>
      <c r="AO127" s="9">
        <v>0</v>
      </c>
      <c r="AP127" s="9">
        <v>1</v>
      </c>
      <c r="AQ127" s="9">
        <v>0</v>
      </c>
      <c r="AR127" s="9">
        <v>0</v>
      </c>
      <c r="AS127" s="9">
        <v>0</v>
      </c>
      <c r="AT127" s="9">
        <v>0</v>
      </c>
      <c r="AU127" s="9">
        <v>0</v>
      </c>
      <c r="AV127" s="9">
        <v>0</v>
      </c>
      <c r="AW127" s="9">
        <v>0</v>
      </c>
      <c r="AX127" s="9">
        <v>0</v>
      </c>
      <c r="AY127" s="9">
        <v>0</v>
      </c>
      <c r="AZ127" s="9">
        <v>0</v>
      </c>
      <c r="BA127" s="9">
        <v>0</v>
      </c>
      <c r="BB127" s="9">
        <v>0</v>
      </c>
      <c r="BC127" s="9">
        <v>0</v>
      </c>
      <c r="BD127" s="9">
        <v>0</v>
      </c>
      <c r="BE127" s="9">
        <v>0</v>
      </c>
      <c r="BF127" s="9">
        <v>0</v>
      </c>
      <c r="BG127" s="9">
        <v>0</v>
      </c>
      <c r="BH127" s="9">
        <v>0</v>
      </c>
      <c r="BI127" s="9">
        <v>0</v>
      </c>
      <c r="BJ127" s="9">
        <v>0</v>
      </c>
      <c r="BK127" s="9">
        <v>1</v>
      </c>
      <c r="BL127" s="9">
        <v>0</v>
      </c>
      <c r="BM127" s="9">
        <v>0</v>
      </c>
      <c r="BN127" s="9">
        <v>0</v>
      </c>
      <c r="BO127" s="9">
        <v>1</v>
      </c>
      <c r="BP127" s="10">
        <v>2</v>
      </c>
      <c r="BQ127">
        <v>3</v>
      </c>
      <c r="BR127">
        <v>4</v>
      </c>
    </row>
    <row r="128" spans="1:70" x14ac:dyDescent="0.35">
      <c r="A128" s="8" t="s">
        <v>73</v>
      </c>
      <c r="B128" s="9" t="s">
        <v>146</v>
      </c>
      <c r="C128" s="10" t="s">
        <v>749</v>
      </c>
      <c r="D128" s="34">
        <f t="shared" si="3"/>
        <v>73</v>
      </c>
      <c r="E128" s="9">
        <v>3</v>
      </c>
      <c r="F128" s="9">
        <v>3</v>
      </c>
      <c r="G128" s="9">
        <v>4</v>
      </c>
      <c r="H128" s="9">
        <v>3</v>
      </c>
      <c r="I128" s="9">
        <v>3</v>
      </c>
      <c r="J128" s="9">
        <v>3</v>
      </c>
      <c r="K128" s="9">
        <v>1</v>
      </c>
      <c r="L128" s="9">
        <v>1</v>
      </c>
      <c r="M128" s="9">
        <v>1</v>
      </c>
      <c r="N128" s="9">
        <v>3</v>
      </c>
      <c r="O128" s="9">
        <v>3</v>
      </c>
      <c r="P128" s="9">
        <v>3</v>
      </c>
      <c r="Q128" s="9">
        <v>3</v>
      </c>
      <c r="R128" s="9">
        <v>4</v>
      </c>
      <c r="S128" s="9">
        <v>4</v>
      </c>
      <c r="T128" s="9">
        <v>3</v>
      </c>
      <c r="U128" s="9">
        <v>2</v>
      </c>
      <c r="V128" s="9">
        <v>3</v>
      </c>
      <c r="W128" s="9">
        <v>5</v>
      </c>
      <c r="X128" s="9">
        <v>5</v>
      </c>
      <c r="Y128" s="9">
        <v>7</v>
      </c>
      <c r="Z128" s="9">
        <v>6</v>
      </c>
      <c r="AA128" s="9">
        <v>6</v>
      </c>
      <c r="AB128" s="9">
        <v>8</v>
      </c>
      <c r="AC128" s="9">
        <v>7</v>
      </c>
      <c r="AD128" s="9">
        <v>8</v>
      </c>
      <c r="AE128" s="9">
        <v>7</v>
      </c>
      <c r="AF128" s="9">
        <v>5</v>
      </c>
      <c r="AG128" s="9">
        <v>7</v>
      </c>
      <c r="AH128" s="9">
        <v>9</v>
      </c>
      <c r="AI128" s="9">
        <v>9</v>
      </c>
      <c r="AJ128" s="9">
        <v>9</v>
      </c>
      <c r="AK128" s="9">
        <v>10</v>
      </c>
      <c r="AL128" s="9">
        <v>10</v>
      </c>
      <c r="AM128" s="9">
        <v>9</v>
      </c>
      <c r="AN128" s="9">
        <v>9</v>
      </c>
      <c r="AO128" s="9">
        <v>12</v>
      </c>
      <c r="AP128" s="9">
        <v>12</v>
      </c>
      <c r="AQ128" s="9">
        <v>9</v>
      </c>
      <c r="AR128" s="9">
        <v>10</v>
      </c>
      <c r="AS128" s="9">
        <v>13</v>
      </c>
      <c r="AT128" s="9">
        <v>12</v>
      </c>
      <c r="AU128" s="9">
        <v>13</v>
      </c>
      <c r="AV128" s="9">
        <v>15</v>
      </c>
      <c r="AW128" s="9">
        <v>13</v>
      </c>
      <c r="AX128" s="9">
        <v>21</v>
      </c>
      <c r="AY128" s="9">
        <v>25</v>
      </c>
      <c r="AZ128" s="9">
        <v>25</v>
      </c>
      <c r="BA128" s="9">
        <v>20</v>
      </c>
      <c r="BB128" s="9">
        <v>28</v>
      </c>
      <c r="BC128" s="9">
        <v>33</v>
      </c>
      <c r="BD128" s="9">
        <v>35</v>
      </c>
      <c r="BE128" s="9">
        <v>37</v>
      </c>
      <c r="BF128" s="9">
        <v>43</v>
      </c>
      <c r="BG128" s="9">
        <v>42</v>
      </c>
      <c r="BH128" s="9">
        <v>51</v>
      </c>
      <c r="BI128" s="9">
        <v>58</v>
      </c>
      <c r="BJ128" s="9">
        <v>60</v>
      </c>
      <c r="BK128" s="9">
        <v>67</v>
      </c>
      <c r="BL128" s="9">
        <v>65</v>
      </c>
      <c r="BM128" s="9">
        <v>62</v>
      </c>
      <c r="BN128" s="9">
        <v>69</v>
      </c>
      <c r="BO128" s="9">
        <v>71</v>
      </c>
      <c r="BP128" s="10">
        <v>73</v>
      </c>
      <c r="BQ128">
        <v>71</v>
      </c>
      <c r="BR128">
        <v>65</v>
      </c>
    </row>
    <row r="129" spans="1:70" x14ac:dyDescent="0.35">
      <c r="A129" s="8" t="s">
        <v>73</v>
      </c>
      <c r="B129" s="9" t="s">
        <v>148</v>
      </c>
      <c r="C129" s="10" t="s">
        <v>750</v>
      </c>
      <c r="D129" s="34">
        <f t="shared" si="3"/>
        <v>15</v>
      </c>
      <c r="E129" s="9">
        <v>3</v>
      </c>
      <c r="F129" s="9">
        <v>2</v>
      </c>
      <c r="G129" s="9">
        <v>2</v>
      </c>
      <c r="H129" s="9">
        <v>2</v>
      </c>
      <c r="I129" s="9">
        <v>2</v>
      </c>
      <c r="J129" s="9">
        <v>1</v>
      </c>
      <c r="K129" s="9">
        <v>1</v>
      </c>
      <c r="L129" s="9">
        <v>1</v>
      </c>
      <c r="M129" s="9">
        <v>0</v>
      </c>
      <c r="N129" s="9">
        <v>0</v>
      </c>
      <c r="O129" s="9">
        <v>0</v>
      </c>
      <c r="P129" s="9">
        <v>0</v>
      </c>
      <c r="Q129" s="9">
        <v>0</v>
      </c>
      <c r="R129" s="9">
        <v>0</v>
      </c>
      <c r="S129" s="9">
        <v>1</v>
      </c>
      <c r="T129" s="9">
        <v>2</v>
      </c>
      <c r="U129" s="9">
        <v>3</v>
      </c>
      <c r="V129" s="9">
        <v>2</v>
      </c>
      <c r="W129" s="9">
        <v>2</v>
      </c>
      <c r="X129" s="9">
        <v>3</v>
      </c>
      <c r="Y129" s="9">
        <v>3</v>
      </c>
      <c r="Z129" s="9">
        <v>3</v>
      </c>
      <c r="AA129" s="9">
        <v>4</v>
      </c>
      <c r="AB129" s="9">
        <v>4</v>
      </c>
      <c r="AC129" s="9">
        <v>2</v>
      </c>
      <c r="AD129" s="9">
        <v>3</v>
      </c>
      <c r="AE129" s="9">
        <v>2</v>
      </c>
      <c r="AF129" s="9">
        <v>2</v>
      </c>
      <c r="AG129" s="9">
        <v>4</v>
      </c>
      <c r="AH129" s="9">
        <v>3</v>
      </c>
      <c r="AI129" s="9">
        <v>4</v>
      </c>
      <c r="AJ129" s="9">
        <v>6</v>
      </c>
      <c r="AK129" s="9">
        <v>6</v>
      </c>
      <c r="AL129" s="9">
        <v>5</v>
      </c>
      <c r="AM129" s="9">
        <v>5</v>
      </c>
      <c r="AN129" s="9">
        <v>6</v>
      </c>
      <c r="AO129" s="9">
        <v>6</v>
      </c>
      <c r="AP129" s="9">
        <v>3</v>
      </c>
      <c r="AQ129" s="9">
        <v>2</v>
      </c>
      <c r="AR129" s="9">
        <v>2</v>
      </c>
      <c r="AS129" s="9">
        <v>0</v>
      </c>
      <c r="AT129" s="9">
        <v>0</v>
      </c>
      <c r="AU129" s="9">
        <v>0</v>
      </c>
      <c r="AV129" s="9">
        <v>1</v>
      </c>
      <c r="AW129" s="9">
        <v>1</v>
      </c>
      <c r="AX129" s="9">
        <v>3</v>
      </c>
      <c r="AY129" s="9">
        <v>6</v>
      </c>
      <c r="AZ129" s="9">
        <v>6</v>
      </c>
      <c r="BA129" s="9">
        <v>9</v>
      </c>
      <c r="BB129" s="9">
        <v>7</v>
      </c>
      <c r="BC129" s="9">
        <v>6</v>
      </c>
      <c r="BD129" s="9">
        <v>7</v>
      </c>
      <c r="BE129" s="9">
        <v>5</v>
      </c>
      <c r="BF129" s="9">
        <v>4</v>
      </c>
      <c r="BG129" s="9">
        <v>4</v>
      </c>
      <c r="BH129" s="9">
        <v>6</v>
      </c>
      <c r="BI129" s="9">
        <v>5</v>
      </c>
      <c r="BJ129" s="9">
        <v>11</v>
      </c>
      <c r="BK129" s="9">
        <v>14</v>
      </c>
      <c r="BL129" s="9">
        <v>12</v>
      </c>
      <c r="BM129" s="9">
        <v>13</v>
      </c>
      <c r="BN129" s="9">
        <v>13</v>
      </c>
      <c r="BO129" s="9">
        <v>14</v>
      </c>
      <c r="BP129" s="10">
        <v>15</v>
      </c>
      <c r="BQ129">
        <v>13</v>
      </c>
      <c r="BR129">
        <v>13</v>
      </c>
    </row>
    <row r="130" spans="1:70" x14ac:dyDescent="0.35">
      <c r="A130" s="8" t="s">
        <v>73</v>
      </c>
      <c r="B130" s="9" t="s">
        <v>150</v>
      </c>
      <c r="C130" s="10" t="s">
        <v>751</v>
      </c>
      <c r="D130" s="34">
        <f t="shared" si="3"/>
        <v>1</v>
      </c>
      <c r="E130" s="9">
        <v>0</v>
      </c>
      <c r="F130" s="9">
        <v>0</v>
      </c>
      <c r="G130" s="9">
        <v>0</v>
      </c>
      <c r="H130" s="9">
        <v>0</v>
      </c>
      <c r="I130" s="9">
        <v>0</v>
      </c>
      <c r="J130" s="9">
        <v>0</v>
      </c>
      <c r="K130" s="9">
        <v>0</v>
      </c>
      <c r="L130" s="9">
        <v>0</v>
      </c>
      <c r="M130" s="9">
        <v>0</v>
      </c>
      <c r="N130" s="9">
        <v>0</v>
      </c>
      <c r="O130" s="9">
        <v>0</v>
      </c>
      <c r="P130" s="9">
        <v>0</v>
      </c>
      <c r="Q130" s="9">
        <v>0</v>
      </c>
      <c r="R130" s="9">
        <v>0</v>
      </c>
      <c r="S130" s="9">
        <v>0</v>
      </c>
      <c r="T130" s="9">
        <v>0</v>
      </c>
      <c r="U130" s="9">
        <v>0</v>
      </c>
      <c r="V130" s="9">
        <v>0</v>
      </c>
      <c r="W130" s="9">
        <v>0</v>
      </c>
      <c r="X130" s="9">
        <v>0</v>
      </c>
      <c r="Y130" s="9">
        <v>0</v>
      </c>
      <c r="Z130" s="9">
        <v>0</v>
      </c>
      <c r="AA130" s="9">
        <v>0</v>
      </c>
      <c r="AB130" s="9">
        <v>0</v>
      </c>
      <c r="AC130" s="9">
        <v>0</v>
      </c>
      <c r="AD130" s="9">
        <v>0</v>
      </c>
      <c r="AE130" s="9">
        <v>0</v>
      </c>
      <c r="AF130" s="9">
        <v>0</v>
      </c>
      <c r="AG130" s="9">
        <v>0</v>
      </c>
      <c r="AH130" s="9">
        <v>0</v>
      </c>
      <c r="AI130" s="9">
        <v>0</v>
      </c>
      <c r="AJ130" s="9">
        <v>0</v>
      </c>
      <c r="AK130" s="9">
        <v>0</v>
      </c>
      <c r="AL130" s="9">
        <v>0</v>
      </c>
      <c r="AM130" s="9">
        <v>0</v>
      </c>
      <c r="AN130" s="9">
        <v>0</v>
      </c>
      <c r="AO130" s="9">
        <v>0</v>
      </c>
      <c r="AP130" s="9">
        <v>0</v>
      </c>
      <c r="AQ130" s="9">
        <v>0</v>
      </c>
      <c r="AR130" s="9">
        <v>0</v>
      </c>
      <c r="AS130" s="9">
        <v>0</v>
      </c>
      <c r="AT130" s="9">
        <v>0</v>
      </c>
      <c r="AU130" s="9">
        <v>0</v>
      </c>
      <c r="AV130" s="9">
        <v>0</v>
      </c>
      <c r="AW130" s="9">
        <v>1</v>
      </c>
      <c r="AX130" s="9">
        <v>1</v>
      </c>
      <c r="AY130" s="9">
        <v>1</v>
      </c>
      <c r="AZ130" s="9">
        <v>1</v>
      </c>
      <c r="BA130" s="9">
        <v>1</v>
      </c>
      <c r="BB130" s="9">
        <v>1</v>
      </c>
      <c r="BC130" s="9">
        <v>1</v>
      </c>
      <c r="BD130" s="9">
        <v>1</v>
      </c>
      <c r="BE130" s="9">
        <v>0</v>
      </c>
      <c r="BF130" s="9">
        <v>0</v>
      </c>
      <c r="BG130" s="9">
        <v>0</v>
      </c>
      <c r="BH130" s="9">
        <v>0</v>
      </c>
      <c r="BI130" s="9">
        <v>0</v>
      </c>
      <c r="BJ130" s="9">
        <v>0</v>
      </c>
      <c r="BK130" s="9">
        <v>0</v>
      </c>
      <c r="BL130" s="9">
        <v>0</v>
      </c>
      <c r="BM130" s="9">
        <v>1</v>
      </c>
      <c r="BN130" s="9">
        <v>0</v>
      </c>
      <c r="BO130" s="9">
        <v>1</v>
      </c>
      <c r="BP130" s="10">
        <v>1</v>
      </c>
      <c r="BQ130">
        <v>1</v>
      </c>
      <c r="BR130">
        <v>1</v>
      </c>
    </row>
    <row r="131" spans="1:70" x14ac:dyDescent="0.35">
      <c r="A131" s="8" t="s">
        <v>73</v>
      </c>
      <c r="B131" s="9" t="s">
        <v>152</v>
      </c>
      <c r="C131" s="10" t="s">
        <v>752</v>
      </c>
      <c r="D131" s="34">
        <f t="shared" si="3"/>
        <v>0</v>
      </c>
      <c r="E131" s="9">
        <v>0</v>
      </c>
      <c r="F131" s="9">
        <v>0</v>
      </c>
      <c r="G131" s="9">
        <v>0</v>
      </c>
      <c r="H131" s="9">
        <v>0</v>
      </c>
      <c r="I131" s="9">
        <v>0</v>
      </c>
      <c r="J131" s="9">
        <v>0</v>
      </c>
      <c r="K131" s="9">
        <v>0</v>
      </c>
      <c r="L131" s="9">
        <v>0</v>
      </c>
      <c r="M131" s="9">
        <v>0</v>
      </c>
      <c r="N131" s="9">
        <v>0</v>
      </c>
      <c r="O131" s="9">
        <v>0</v>
      </c>
      <c r="P131" s="9">
        <v>0</v>
      </c>
      <c r="Q131" s="9">
        <v>0</v>
      </c>
      <c r="R131" s="9">
        <v>0</v>
      </c>
      <c r="S131" s="9">
        <v>0</v>
      </c>
      <c r="T131" s="9">
        <v>0</v>
      </c>
      <c r="U131" s="9">
        <v>0</v>
      </c>
      <c r="V131" s="9">
        <v>0</v>
      </c>
      <c r="W131" s="9">
        <v>0</v>
      </c>
      <c r="X131" s="9">
        <v>0</v>
      </c>
      <c r="Y131" s="9">
        <v>0</v>
      </c>
      <c r="Z131" s="9">
        <v>0</v>
      </c>
      <c r="AA131" s="9">
        <v>0</v>
      </c>
      <c r="AB131" s="9">
        <v>0</v>
      </c>
      <c r="AC131" s="9">
        <v>0</v>
      </c>
      <c r="AD131" s="9">
        <v>0</v>
      </c>
      <c r="AE131" s="9">
        <v>0</v>
      </c>
      <c r="AF131" s="9">
        <v>0</v>
      </c>
      <c r="AG131" s="9">
        <v>0</v>
      </c>
      <c r="AH131" s="9">
        <v>0</v>
      </c>
      <c r="AI131" s="9">
        <v>0</v>
      </c>
      <c r="AJ131" s="9">
        <v>0</v>
      </c>
      <c r="AK131" s="9">
        <v>0</v>
      </c>
      <c r="AL131" s="9">
        <v>0</v>
      </c>
      <c r="AM131" s="9">
        <v>0</v>
      </c>
      <c r="AN131" s="9">
        <v>0</v>
      </c>
      <c r="AO131" s="9">
        <v>0</v>
      </c>
      <c r="AP131" s="9">
        <v>0</v>
      </c>
      <c r="AQ131" s="9">
        <v>0</v>
      </c>
      <c r="AR131" s="9">
        <v>0</v>
      </c>
      <c r="AS131" s="9">
        <v>0</v>
      </c>
      <c r="AT131" s="9">
        <v>0</v>
      </c>
      <c r="AU131" s="9">
        <v>0</v>
      </c>
      <c r="AV131" s="9">
        <v>0</v>
      </c>
      <c r="AW131" s="9">
        <v>0</v>
      </c>
      <c r="AX131" s="9">
        <v>0</v>
      </c>
      <c r="AY131" s="9">
        <v>0</v>
      </c>
      <c r="AZ131" s="9">
        <v>0</v>
      </c>
      <c r="BA131" s="9">
        <v>0</v>
      </c>
      <c r="BB131" s="9">
        <v>0</v>
      </c>
      <c r="BC131" s="9">
        <v>0</v>
      </c>
      <c r="BD131" s="9">
        <v>0</v>
      </c>
      <c r="BE131" s="9">
        <v>0</v>
      </c>
      <c r="BF131" s="9">
        <v>0</v>
      </c>
      <c r="BG131" s="9">
        <v>0</v>
      </c>
      <c r="BH131" s="9">
        <v>0</v>
      </c>
      <c r="BI131" s="9">
        <v>0</v>
      </c>
      <c r="BJ131" s="9">
        <v>0</v>
      </c>
      <c r="BK131" s="9">
        <v>0</v>
      </c>
      <c r="BL131" s="9">
        <v>0</v>
      </c>
      <c r="BM131" s="9">
        <v>0</v>
      </c>
      <c r="BN131" s="9">
        <v>0</v>
      </c>
      <c r="BO131" s="9">
        <v>0</v>
      </c>
      <c r="BP131" s="10">
        <v>0</v>
      </c>
      <c r="BQ131">
        <v>0</v>
      </c>
      <c r="BR131">
        <v>0</v>
      </c>
    </row>
    <row r="132" spans="1:70" x14ac:dyDescent="0.35">
      <c r="A132" s="8" t="s">
        <v>73</v>
      </c>
      <c r="B132" s="9" t="s">
        <v>154</v>
      </c>
      <c r="C132" s="10" t="s">
        <v>753</v>
      </c>
      <c r="D132" s="34">
        <f t="shared" si="3"/>
        <v>20</v>
      </c>
      <c r="E132" s="9">
        <v>5</v>
      </c>
      <c r="F132" s="9">
        <v>5</v>
      </c>
      <c r="G132" s="9">
        <v>5</v>
      </c>
      <c r="H132" s="9">
        <v>5</v>
      </c>
      <c r="I132" s="9">
        <v>5</v>
      </c>
      <c r="J132" s="9">
        <v>5</v>
      </c>
      <c r="K132" s="9">
        <v>5</v>
      </c>
      <c r="L132" s="9">
        <v>8</v>
      </c>
      <c r="M132" s="9">
        <v>7</v>
      </c>
      <c r="N132" s="9">
        <v>8</v>
      </c>
      <c r="O132" s="9">
        <v>9</v>
      </c>
      <c r="P132" s="9">
        <v>8</v>
      </c>
      <c r="Q132" s="9">
        <v>7</v>
      </c>
      <c r="R132" s="9">
        <v>7</v>
      </c>
      <c r="S132" s="9">
        <v>7</v>
      </c>
      <c r="T132" s="9">
        <v>8</v>
      </c>
      <c r="U132" s="9">
        <v>10</v>
      </c>
      <c r="V132" s="9">
        <v>8</v>
      </c>
      <c r="W132" s="9">
        <v>9</v>
      </c>
      <c r="X132" s="9">
        <v>9</v>
      </c>
      <c r="Y132" s="9">
        <v>10</v>
      </c>
      <c r="Z132" s="9">
        <v>11</v>
      </c>
      <c r="AA132" s="9">
        <v>13</v>
      </c>
      <c r="AB132" s="9">
        <v>11</v>
      </c>
      <c r="AC132" s="9">
        <v>12</v>
      </c>
      <c r="AD132" s="9">
        <v>11</v>
      </c>
      <c r="AE132" s="9">
        <v>8</v>
      </c>
      <c r="AF132" s="9">
        <v>10</v>
      </c>
      <c r="AG132" s="9">
        <v>10</v>
      </c>
      <c r="AH132" s="9">
        <v>11</v>
      </c>
      <c r="AI132" s="9">
        <v>13</v>
      </c>
      <c r="AJ132" s="9">
        <v>14</v>
      </c>
      <c r="AK132" s="9">
        <v>0</v>
      </c>
      <c r="AL132" s="9">
        <v>17</v>
      </c>
      <c r="AM132" s="9">
        <v>17</v>
      </c>
      <c r="AN132" s="9">
        <v>17</v>
      </c>
      <c r="AO132" s="9">
        <v>17</v>
      </c>
      <c r="AP132" s="9">
        <v>18</v>
      </c>
      <c r="AQ132" s="9">
        <v>17</v>
      </c>
      <c r="AR132" s="9">
        <v>15</v>
      </c>
      <c r="AS132" s="9">
        <v>17</v>
      </c>
      <c r="AT132" s="9">
        <v>16</v>
      </c>
      <c r="AU132" s="9">
        <v>18</v>
      </c>
      <c r="AV132" s="9">
        <v>19</v>
      </c>
      <c r="AW132" s="9">
        <v>19</v>
      </c>
      <c r="AX132" s="9">
        <v>16</v>
      </c>
      <c r="AY132" s="9">
        <v>16</v>
      </c>
      <c r="AZ132" s="9">
        <v>17</v>
      </c>
      <c r="BA132" s="9">
        <v>15</v>
      </c>
      <c r="BB132" s="9">
        <v>16</v>
      </c>
      <c r="BC132" s="9">
        <v>15</v>
      </c>
      <c r="BD132" s="9">
        <v>20</v>
      </c>
      <c r="BE132" s="9">
        <v>18</v>
      </c>
      <c r="BF132" s="9">
        <v>15</v>
      </c>
      <c r="BG132" s="9">
        <v>16</v>
      </c>
      <c r="BH132" s="9">
        <v>15</v>
      </c>
      <c r="BI132" s="9">
        <v>16</v>
      </c>
      <c r="BJ132" s="9">
        <v>16</v>
      </c>
      <c r="BK132" s="9">
        <v>0</v>
      </c>
      <c r="BL132" s="9">
        <v>18</v>
      </c>
      <c r="BM132" s="9">
        <v>15</v>
      </c>
      <c r="BN132" s="9">
        <v>16</v>
      </c>
      <c r="BO132" s="9">
        <v>14</v>
      </c>
      <c r="BP132" s="10">
        <v>15</v>
      </c>
      <c r="BQ132">
        <v>19</v>
      </c>
      <c r="BR132">
        <v>19</v>
      </c>
    </row>
    <row r="133" spans="1:70" x14ac:dyDescent="0.35">
      <c r="A133" s="8" t="s">
        <v>73</v>
      </c>
      <c r="B133" s="9" t="s">
        <v>156</v>
      </c>
      <c r="C133" s="10" t="s">
        <v>754</v>
      </c>
      <c r="D133" s="34">
        <f t="shared" si="3"/>
        <v>12</v>
      </c>
      <c r="E133" s="9">
        <v>5</v>
      </c>
      <c r="F133" s="9">
        <v>6</v>
      </c>
      <c r="G133" s="9">
        <v>6</v>
      </c>
      <c r="H133" s="9">
        <v>6</v>
      </c>
      <c r="I133" s="9">
        <v>5</v>
      </c>
      <c r="J133" s="9">
        <v>4</v>
      </c>
      <c r="K133" s="9">
        <v>4</v>
      </c>
      <c r="L133" s="9">
        <v>4</v>
      </c>
      <c r="M133" s="9">
        <v>4</v>
      </c>
      <c r="N133" s="9">
        <v>4</v>
      </c>
      <c r="O133" s="9">
        <v>4</v>
      </c>
      <c r="P133" s="9">
        <v>3</v>
      </c>
      <c r="Q133" s="9">
        <v>2</v>
      </c>
      <c r="R133" s="9">
        <v>2</v>
      </c>
      <c r="S133" s="9">
        <v>2</v>
      </c>
      <c r="T133" s="9">
        <v>2</v>
      </c>
      <c r="U133" s="9">
        <v>2</v>
      </c>
      <c r="V133" s="9">
        <v>2</v>
      </c>
      <c r="W133" s="9">
        <v>2</v>
      </c>
      <c r="X133" s="9">
        <v>2</v>
      </c>
      <c r="Y133" s="9">
        <v>2</v>
      </c>
      <c r="Z133" s="9">
        <v>2</v>
      </c>
      <c r="AA133" s="9">
        <v>2</v>
      </c>
      <c r="AB133" s="9">
        <v>2</v>
      </c>
      <c r="AC133" s="9">
        <v>3</v>
      </c>
      <c r="AD133" s="9">
        <v>3</v>
      </c>
      <c r="AE133" s="9">
        <v>3</v>
      </c>
      <c r="AF133" s="9">
        <v>3</v>
      </c>
      <c r="AG133" s="9">
        <v>3</v>
      </c>
      <c r="AH133" s="9">
        <v>3</v>
      </c>
      <c r="AI133" s="9">
        <v>3</v>
      </c>
      <c r="AJ133" s="9">
        <v>3</v>
      </c>
      <c r="AK133" s="9">
        <v>3</v>
      </c>
      <c r="AL133" s="9">
        <v>4</v>
      </c>
      <c r="AM133" s="9">
        <v>4</v>
      </c>
      <c r="AN133" s="9">
        <v>5</v>
      </c>
      <c r="AO133" s="9">
        <v>5</v>
      </c>
      <c r="AP133" s="9">
        <v>6</v>
      </c>
      <c r="AQ133" s="9">
        <v>6</v>
      </c>
      <c r="AR133" s="9">
        <v>7</v>
      </c>
      <c r="AS133" s="9">
        <v>8</v>
      </c>
      <c r="AT133" s="9">
        <v>9</v>
      </c>
      <c r="AU133" s="9">
        <v>10</v>
      </c>
      <c r="AV133" s="9">
        <v>11</v>
      </c>
      <c r="AW133" s="9">
        <v>11</v>
      </c>
      <c r="AX133" s="9">
        <v>9</v>
      </c>
      <c r="AY133" s="9">
        <v>9</v>
      </c>
      <c r="AZ133" s="9">
        <v>10</v>
      </c>
      <c r="BA133" s="9">
        <v>10</v>
      </c>
      <c r="BB133" s="9">
        <v>10</v>
      </c>
      <c r="BC133" s="9">
        <v>10</v>
      </c>
      <c r="BD133" s="9">
        <v>10</v>
      </c>
      <c r="BE133" s="9">
        <v>9</v>
      </c>
      <c r="BF133" s="9">
        <v>10</v>
      </c>
      <c r="BG133" s="9">
        <v>10</v>
      </c>
      <c r="BH133" s="9">
        <v>9</v>
      </c>
      <c r="BI133" s="9">
        <v>8</v>
      </c>
      <c r="BJ133" s="9">
        <v>9</v>
      </c>
      <c r="BK133" s="9">
        <v>11</v>
      </c>
      <c r="BL133" s="9">
        <v>12</v>
      </c>
      <c r="BM133" s="9">
        <v>12</v>
      </c>
      <c r="BN133" s="9">
        <v>11</v>
      </c>
      <c r="BO133" s="9">
        <v>11</v>
      </c>
      <c r="BP133" s="10">
        <v>10</v>
      </c>
      <c r="BQ133">
        <v>9</v>
      </c>
      <c r="BR133">
        <v>9</v>
      </c>
    </row>
    <row r="134" spans="1:70" x14ac:dyDescent="0.35">
      <c r="A134" s="8" t="s">
        <v>73</v>
      </c>
      <c r="B134" s="9" t="s">
        <v>158</v>
      </c>
      <c r="C134" s="10" t="s">
        <v>755</v>
      </c>
      <c r="D134" s="34">
        <f t="shared" ref="D134:D197" si="4">MAX(E134:BR134)</f>
        <v>4</v>
      </c>
      <c r="E134" s="9">
        <v>0</v>
      </c>
      <c r="F134" s="9">
        <v>0</v>
      </c>
      <c r="G134" s="9">
        <v>0</v>
      </c>
      <c r="H134" s="9">
        <v>0</v>
      </c>
      <c r="I134" s="9">
        <v>0</v>
      </c>
      <c r="J134" s="9">
        <v>0</v>
      </c>
      <c r="K134" s="9">
        <v>0</v>
      </c>
      <c r="L134" s="9">
        <v>1</v>
      </c>
      <c r="M134" s="9">
        <v>0</v>
      </c>
      <c r="N134" s="9">
        <v>0</v>
      </c>
      <c r="O134" s="9">
        <v>0</v>
      </c>
      <c r="P134" s="9">
        <v>0</v>
      </c>
      <c r="Q134" s="9">
        <v>0</v>
      </c>
      <c r="R134" s="9">
        <v>0</v>
      </c>
      <c r="S134" s="9">
        <v>0</v>
      </c>
      <c r="T134" s="9">
        <v>0</v>
      </c>
      <c r="U134" s="9">
        <v>0</v>
      </c>
      <c r="V134" s="9">
        <v>0</v>
      </c>
      <c r="W134" s="9">
        <v>0</v>
      </c>
      <c r="X134" s="9">
        <v>0</v>
      </c>
      <c r="Y134" s="9">
        <v>0</v>
      </c>
      <c r="Z134" s="9">
        <v>0</v>
      </c>
      <c r="AA134" s="9">
        <v>0</v>
      </c>
      <c r="AB134" s="9">
        <v>1</v>
      </c>
      <c r="AC134" s="9">
        <v>1</v>
      </c>
      <c r="AD134" s="9">
        <v>1</v>
      </c>
      <c r="AE134" s="9">
        <v>1</v>
      </c>
      <c r="AF134" s="9">
        <v>1</v>
      </c>
      <c r="AG134" s="9">
        <v>1</v>
      </c>
      <c r="AH134" s="9">
        <v>1</v>
      </c>
      <c r="AI134" s="9">
        <v>0</v>
      </c>
      <c r="AJ134" s="9">
        <v>0</v>
      </c>
      <c r="AK134" s="9">
        <v>0</v>
      </c>
      <c r="AL134" s="9">
        <v>0</v>
      </c>
      <c r="AM134" s="9">
        <v>0</v>
      </c>
      <c r="AN134" s="9">
        <v>0</v>
      </c>
      <c r="AO134" s="9">
        <v>0</v>
      </c>
      <c r="AP134" s="9">
        <v>0</v>
      </c>
      <c r="AQ134" s="9">
        <v>0</v>
      </c>
      <c r="AR134" s="9">
        <v>0</v>
      </c>
      <c r="AS134" s="9">
        <v>0</v>
      </c>
      <c r="AT134" s="9">
        <v>0</v>
      </c>
      <c r="AU134" s="9">
        <v>0</v>
      </c>
      <c r="AV134" s="9">
        <v>0</v>
      </c>
      <c r="AW134" s="9">
        <v>0</v>
      </c>
      <c r="AX134" s="9">
        <v>0</v>
      </c>
      <c r="AY134" s="9">
        <v>0</v>
      </c>
      <c r="AZ134" s="9">
        <v>1</v>
      </c>
      <c r="BA134" s="9">
        <v>1</v>
      </c>
      <c r="BB134" s="9">
        <v>3</v>
      </c>
      <c r="BC134" s="9">
        <v>3</v>
      </c>
      <c r="BD134" s="9">
        <v>3</v>
      </c>
      <c r="BE134" s="9">
        <v>4</v>
      </c>
      <c r="BF134" s="9">
        <v>4</v>
      </c>
      <c r="BG134" s="9">
        <v>4</v>
      </c>
      <c r="BH134" s="9">
        <v>4</v>
      </c>
      <c r="BI134" s="9">
        <v>4</v>
      </c>
      <c r="BJ134" s="9">
        <v>3</v>
      </c>
      <c r="BK134" s="9">
        <v>2</v>
      </c>
      <c r="BL134" s="9">
        <v>3</v>
      </c>
      <c r="BM134" s="9">
        <v>3</v>
      </c>
      <c r="BN134" s="9">
        <v>3</v>
      </c>
      <c r="BO134" s="9">
        <v>3</v>
      </c>
      <c r="BP134" s="10">
        <v>3</v>
      </c>
      <c r="BQ134">
        <v>2</v>
      </c>
      <c r="BR134">
        <v>3</v>
      </c>
    </row>
    <row r="135" spans="1:70" x14ac:dyDescent="0.35">
      <c r="A135" s="8" t="s">
        <v>73</v>
      </c>
      <c r="B135" s="9" t="s">
        <v>160</v>
      </c>
      <c r="C135" s="10" t="s">
        <v>756</v>
      </c>
      <c r="D135" s="34">
        <f t="shared" si="4"/>
        <v>4</v>
      </c>
      <c r="E135" s="9">
        <v>0</v>
      </c>
      <c r="F135" s="9">
        <v>0</v>
      </c>
      <c r="G135" s="9">
        <v>0</v>
      </c>
      <c r="H135" s="9">
        <v>0</v>
      </c>
      <c r="I135" s="9">
        <v>0</v>
      </c>
      <c r="J135" s="9">
        <v>0</v>
      </c>
      <c r="K135" s="9">
        <v>0</v>
      </c>
      <c r="L135" s="9">
        <v>0</v>
      </c>
      <c r="M135" s="9">
        <v>0</v>
      </c>
      <c r="N135" s="9">
        <v>0</v>
      </c>
      <c r="O135" s="9">
        <v>0</v>
      </c>
      <c r="P135" s="9">
        <v>0</v>
      </c>
      <c r="Q135" s="9">
        <v>0</v>
      </c>
      <c r="R135" s="9">
        <v>0</v>
      </c>
      <c r="S135" s="9">
        <v>0</v>
      </c>
      <c r="T135" s="9">
        <v>0</v>
      </c>
      <c r="U135" s="9">
        <v>0</v>
      </c>
      <c r="V135" s="9">
        <v>0</v>
      </c>
      <c r="W135" s="9">
        <v>0</v>
      </c>
      <c r="X135" s="9">
        <v>0</v>
      </c>
      <c r="Y135" s="9">
        <v>0</v>
      </c>
      <c r="Z135" s="9">
        <v>0</v>
      </c>
      <c r="AA135" s="9">
        <v>0</v>
      </c>
      <c r="AB135" s="9">
        <v>0</v>
      </c>
      <c r="AC135" s="9">
        <v>1</v>
      </c>
      <c r="AD135" s="9">
        <v>1</v>
      </c>
      <c r="AE135" s="9">
        <v>1</v>
      </c>
      <c r="AF135" s="9">
        <v>1</v>
      </c>
      <c r="AG135" s="9">
        <v>1</v>
      </c>
      <c r="AH135" s="9">
        <v>1</v>
      </c>
      <c r="AI135" s="9">
        <v>1</v>
      </c>
      <c r="AJ135" s="9">
        <v>1</v>
      </c>
      <c r="AK135" s="9">
        <v>1</v>
      </c>
      <c r="AL135" s="9">
        <v>2</v>
      </c>
      <c r="AM135" s="9">
        <v>2</v>
      </c>
      <c r="AN135" s="9">
        <v>2</v>
      </c>
      <c r="AO135" s="9">
        <v>2</v>
      </c>
      <c r="AP135" s="9">
        <v>2</v>
      </c>
      <c r="AQ135" s="9">
        <v>2</v>
      </c>
      <c r="AR135" s="9">
        <v>2</v>
      </c>
      <c r="AS135" s="9">
        <v>2</v>
      </c>
      <c r="AT135" s="9">
        <v>2</v>
      </c>
      <c r="AU135" s="9">
        <v>1</v>
      </c>
      <c r="AV135" s="9">
        <v>0</v>
      </c>
      <c r="AW135" s="9">
        <v>1</v>
      </c>
      <c r="AX135" s="9">
        <v>1</v>
      </c>
      <c r="AY135" s="9">
        <v>0</v>
      </c>
      <c r="AZ135" s="9">
        <v>0</v>
      </c>
      <c r="BA135" s="9">
        <v>1</v>
      </c>
      <c r="BB135" s="9">
        <v>1</v>
      </c>
      <c r="BC135" s="9">
        <v>0</v>
      </c>
      <c r="BD135" s="9">
        <v>1</v>
      </c>
      <c r="BE135" s="9">
        <v>1</v>
      </c>
      <c r="BF135" s="9">
        <v>1</v>
      </c>
      <c r="BG135" s="9">
        <v>1</v>
      </c>
      <c r="BH135" s="9">
        <v>1</v>
      </c>
      <c r="BI135" s="9">
        <v>1</v>
      </c>
      <c r="BJ135" s="9">
        <v>1</v>
      </c>
      <c r="BK135" s="9">
        <v>1</v>
      </c>
      <c r="BL135" s="9">
        <v>1</v>
      </c>
      <c r="BM135" s="9">
        <v>1</v>
      </c>
      <c r="BN135" s="9">
        <v>2</v>
      </c>
      <c r="BO135" s="9">
        <v>2</v>
      </c>
      <c r="BP135" s="10">
        <v>3</v>
      </c>
      <c r="BQ135">
        <v>4</v>
      </c>
      <c r="BR135">
        <v>4</v>
      </c>
    </row>
    <row r="136" spans="1:70" x14ac:dyDescent="0.35">
      <c r="A136" s="8" t="s">
        <v>73</v>
      </c>
      <c r="B136" s="9" t="s">
        <v>162</v>
      </c>
      <c r="C136" s="10" t="s">
        <v>757</v>
      </c>
      <c r="D136" s="34">
        <f t="shared" si="4"/>
        <v>67</v>
      </c>
      <c r="E136" s="9">
        <v>3</v>
      </c>
      <c r="F136" s="9">
        <v>3</v>
      </c>
      <c r="G136" s="9">
        <v>1</v>
      </c>
      <c r="H136" s="9">
        <v>1</v>
      </c>
      <c r="I136" s="9">
        <v>1</v>
      </c>
      <c r="J136" s="9">
        <v>1</v>
      </c>
      <c r="K136" s="9">
        <v>1</v>
      </c>
      <c r="L136" s="9">
        <v>1</v>
      </c>
      <c r="M136" s="9">
        <v>1</v>
      </c>
      <c r="N136" s="9">
        <v>1</v>
      </c>
      <c r="O136" s="9">
        <v>1</v>
      </c>
      <c r="P136" s="9">
        <v>1</v>
      </c>
      <c r="Q136" s="9">
        <v>1</v>
      </c>
      <c r="R136" s="9">
        <v>1</v>
      </c>
      <c r="S136" s="9">
        <v>1</v>
      </c>
      <c r="T136" s="9">
        <v>1</v>
      </c>
      <c r="U136" s="9">
        <v>1</v>
      </c>
      <c r="V136" s="9">
        <v>1</v>
      </c>
      <c r="W136" s="9">
        <v>0</v>
      </c>
      <c r="X136" s="9">
        <v>0</v>
      </c>
      <c r="Y136" s="9">
        <v>0</v>
      </c>
      <c r="Z136" s="9">
        <v>1</v>
      </c>
      <c r="AA136" s="9">
        <v>1</v>
      </c>
      <c r="AB136" s="9">
        <v>1</v>
      </c>
      <c r="AC136" s="9">
        <v>3</v>
      </c>
      <c r="AD136" s="9">
        <v>5</v>
      </c>
      <c r="AE136" s="9">
        <v>5</v>
      </c>
      <c r="AF136" s="9">
        <v>5</v>
      </c>
      <c r="AG136" s="9">
        <v>5</v>
      </c>
      <c r="AH136" s="9">
        <v>5</v>
      </c>
      <c r="AI136" s="9">
        <v>4</v>
      </c>
      <c r="AJ136" s="9">
        <v>5</v>
      </c>
      <c r="AK136" s="9">
        <v>8</v>
      </c>
      <c r="AL136" s="9">
        <v>9</v>
      </c>
      <c r="AM136" s="9">
        <v>12</v>
      </c>
      <c r="AN136" s="9">
        <v>12</v>
      </c>
      <c r="AO136" s="9">
        <v>13</v>
      </c>
      <c r="AP136" s="9">
        <v>17</v>
      </c>
      <c r="AQ136" s="9">
        <v>15</v>
      </c>
      <c r="AR136" s="9">
        <v>16</v>
      </c>
      <c r="AS136" s="9">
        <v>16</v>
      </c>
      <c r="AT136" s="9">
        <v>15</v>
      </c>
      <c r="AU136" s="9">
        <v>15</v>
      </c>
      <c r="AV136" s="9">
        <v>19</v>
      </c>
      <c r="AW136" s="9">
        <v>19</v>
      </c>
      <c r="AX136" s="9">
        <v>20</v>
      </c>
      <c r="AY136" s="9">
        <v>22</v>
      </c>
      <c r="AZ136" s="9">
        <v>25</v>
      </c>
      <c r="BA136" s="9">
        <v>27</v>
      </c>
      <c r="BB136" s="9">
        <v>33</v>
      </c>
      <c r="BC136" s="9">
        <v>46</v>
      </c>
      <c r="BD136" s="9">
        <v>42</v>
      </c>
      <c r="BE136" s="9">
        <v>40</v>
      </c>
      <c r="BF136" s="9">
        <v>41</v>
      </c>
      <c r="BG136" s="9">
        <v>46</v>
      </c>
      <c r="BH136" s="9">
        <v>53</v>
      </c>
      <c r="BI136" s="9">
        <v>61</v>
      </c>
      <c r="BJ136" s="9">
        <v>59</v>
      </c>
      <c r="BK136" s="9">
        <v>52</v>
      </c>
      <c r="BL136" s="9">
        <v>54</v>
      </c>
      <c r="BM136" s="9">
        <v>60</v>
      </c>
      <c r="BN136" s="9">
        <v>60</v>
      </c>
      <c r="BO136" s="9">
        <v>62</v>
      </c>
      <c r="BP136" s="10">
        <v>60</v>
      </c>
      <c r="BQ136">
        <v>67</v>
      </c>
      <c r="BR136">
        <v>63</v>
      </c>
    </row>
    <row r="137" spans="1:70" x14ac:dyDescent="0.35">
      <c r="A137" s="8" t="s">
        <v>73</v>
      </c>
      <c r="B137" s="9" t="s">
        <v>164</v>
      </c>
      <c r="C137" s="10" t="s">
        <v>758</v>
      </c>
      <c r="D137" s="34">
        <f t="shared" si="4"/>
        <v>20</v>
      </c>
      <c r="E137" s="9">
        <v>1</v>
      </c>
      <c r="F137" s="9">
        <v>2</v>
      </c>
      <c r="G137" s="9">
        <v>2</v>
      </c>
      <c r="H137" s="9">
        <v>1</v>
      </c>
      <c r="I137" s="9">
        <v>0</v>
      </c>
      <c r="J137" s="9">
        <v>0</v>
      </c>
      <c r="K137" s="9">
        <v>0</v>
      </c>
      <c r="L137" s="9">
        <v>0</v>
      </c>
      <c r="M137" s="9">
        <v>0</v>
      </c>
      <c r="N137" s="9">
        <v>0</v>
      </c>
      <c r="O137" s="9">
        <v>0</v>
      </c>
      <c r="P137" s="9">
        <v>0</v>
      </c>
      <c r="Q137" s="9">
        <v>0</v>
      </c>
      <c r="R137" s="9">
        <v>0</v>
      </c>
      <c r="S137" s="9">
        <v>0</v>
      </c>
      <c r="T137" s="9">
        <v>0</v>
      </c>
      <c r="U137" s="9">
        <v>0</v>
      </c>
      <c r="V137" s="9">
        <v>0</v>
      </c>
      <c r="W137" s="9">
        <v>0</v>
      </c>
      <c r="X137" s="9">
        <v>0</v>
      </c>
      <c r="Y137" s="9">
        <v>0</v>
      </c>
      <c r="Z137" s="9">
        <v>0</v>
      </c>
      <c r="AA137" s="9">
        <v>0</v>
      </c>
      <c r="AB137" s="9">
        <v>0</v>
      </c>
      <c r="AC137" s="9">
        <v>0</v>
      </c>
      <c r="AD137" s="9">
        <v>1</v>
      </c>
      <c r="AE137" s="9">
        <v>1</v>
      </c>
      <c r="AF137" s="9">
        <v>1</v>
      </c>
      <c r="AG137" s="9">
        <v>1</v>
      </c>
      <c r="AH137" s="9">
        <v>2</v>
      </c>
      <c r="AI137" s="9">
        <v>2</v>
      </c>
      <c r="AJ137" s="9">
        <v>2</v>
      </c>
      <c r="AK137" s="9">
        <v>2</v>
      </c>
      <c r="AL137" s="9">
        <v>2</v>
      </c>
      <c r="AM137" s="9">
        <v>2</v>
      </c>
      <c r="AN137" s="9">
        <v>0</v>
      </c>
      <c r="AO137" s="9">
        <v>0</v>
      </c>
      <c r="AP137" s="9">
        <v>0</v>
      </c>
      <c r="AQ137" s="9">
        <v>0</v>
      </c>
      <c r="AR137" s="9">
        <v>0</v>
      </c>
      <c r="AS137" s="9">
        <v>0</v>
      </c>
      <c r="AT137" s="9">
        <v>1</v>
      </c>
      <c r="AU137" s="9">
        <v>3</v>
      </c>
      <c r="AV137" s="9">
        <v>3</v>
      </c>
      <c r="AW137" s="9">
        <v>4</v>
      </c>
      <c r="AX137" s="9">
        <v>5</v>
      </c>
      <c r="AY137" s="9">
        <v>8</v>
      </c>
      <c r="AZ137" s="9">
        <v>12</v>
      </c>
      <c r="BA137" s="9">
        <v>13</v>
      </c>
      <c r="BB137" s="9">
        <v>13</v>
      </c>
      <c r="BC137" s="9">
        <v>13</v>
      </c>
      <c r="BD137" s="9">
        <v>13</v>
      </c>
      <c r="BE137" s="9">
        <v>12</v>
      </c>
      <c r="BF137" s="9">
        <v>12</v>
      </c>
      <c r="BG137" s="9">
        <v>11</v>
      </c>
      <c r="BH137" s="9">
        <v>0</v>
      </c>
      <c r="BI137" s="9">
        <v>13</v>
      </c>
      <c r="BJ137" s="9">
        <v>0</v>
      </c>
      <c r="BK137" s="9">
        <v>0</v>
      </c>
      <c r="BL137" s="9">
        <v>17</v>
      </c>
      <c r="BM137" s="9">
        <v>17</v>
      </c>
      <c r="BN137" s="9">
        <v>18</v>
      </c>
      <c r="BO137" s="9">
        <v>19</v>
      </c>
      <c r="BP137" s="10">
        <v>20</v>
      </c>
      <c r="BQ137">
        <v>19</v>
      </c>
      <c r="BR137">
        <v>11</v>
      </c>
    </row>
    <row r="138" spans="1:70" x14ac:dyDescent="0.35">
      <c r="A138" s="8" t="s">
        <v>73</v>
      </c>
      <c r="B138" s="9" t="s">
        <v>166</v>
      </c>
      <c r="C138" s="10" t="s">
        <v>759</v>
      </c>
      <c r="D138" s="34">
        <f t="shared" si="4"/>
        <v>1</v>
      </c>
      <c r="E138" s="9">
        <v>0</v>
      </c>
      <c r="F138" s="9">
        <v>0</v>
      </c>
      <c r="G138" s="9">
        <v>0</v>
      </c>
      <c r="H138" s="9">
        <v>0</v>
      </c>
      <c r="I138" s="9">
        <v>0</v>
      </c>
      <c r="J138" s="9">
        <v>0</v>
      </c>
      <c r="K138" s="9">
        <v>0</v>
      </c>
      <c r="L138" s="9">
        <v>0</v>
      </c>
      <c r="M138" s="9">
        <v>0</v>
      </c>
      <c r="N138" s="9">
        <v>0</v>
      </c>
      <c r="O138" s="9">
        <v>0</v>
      </c>
      <c r="P138" s="9">
        <v>0</v>
      </c>
      <c r="Q138" s="9">
        <v>0</v>
      </c>
      <c r="R138" s="9">
        <v>0</v>
      </c>
      <c r="S138" s="9">
        <v>0</v>
      </c>
      <c r="T138" s="9">
        <v>0</v>
      </c>
      <c r="U138" s="9">
        <v>0</v>
      </c>
      <c r="V138" s="9">
        <v>0</v>
      </c>
      <c r="W138" s="9">
        <v>0</v>
      </c>
      <c r="X138" s="9">
        <v>0</v>
      </c>
      <c r="Y138" s="9">
        <v>0</v>
      </c>
      <c r="Z138" s="9">
        <v>0</v>
      </c>
      <c r="AA138" s="9">
        <v>0</v>
      </c>
      <c r="AB138" s="9">
        <v>0</v>
      </c>
      <c r="AC138" s="9">
        <v>0</v>
      </c>
      <c r="AD138" s="9">
        <v>0</v>
      </c>
      <c r="AE138" s="9">
        <v>0</v>
      </c>
      <c r="AF138" s="9">
        <v>0</v>
      </c>
      <c r="AG138" s="9">
        <v>0</v>
      </c>
      <c r="AH138" s="9">
        <v>0</v>
      </c>
      <c r="AI138" s="9">
        <v>0</v>
      </c>
      <c r="AJ138" s="9">
        <v>0</v>
      </c>
      <c r="AK138" s="9">
        <v>0</v>
      </c>
      <c r="AL138" s="9">
        <v>0</v>
      </c>
      <c r="AM138" s="9">
        <v>0</v>
      </c>
      <c r="AN138" s="9">
        <v>0</v>
      </c>
      <c r="AO138" s="9">
        <v>0</v>
      </c>
      <c r="AP138" s="9">
        <v>0</v>
      </c>
      <c r="AQ138" s="9">
        <v>0</v>
      </c>
      <c r="AR138" s="9">
        <v>0</v>
      </c>
      <c r="AS138" s="9">
        <v>0</v>
      </c>
      <c r="AT138" s="9">
        <v>0</v>
      </c>
      <c r="AU138" s="9">
        <v>0</v>
      </c>
      <c r="AV138" s="9">
        <v>0</v>
      </c>
      <c r="AW138" s="9">
        <v>0</v>
      </c>
      <c r="AX138" s="9">
        <v>0</v>
      </c>
      <c r="AY138" s="9">
        <v>0</v>
      </c>
      <c r="AZ138" s="9">
        <v>0</v>
      </c>
      <c r="BA138" s="9">
        <v>0</v>
      </c>
      <c r="BB138" s="9">
        <v>0</v>
      </c>
      <c r="BC138" s="9">
        <v>0</v>
      </c>
      <c r="BD138" s="9">
        <v>0</v>
      </c>
      <c r="BE138" s="9">
        <v>0</v>
      </c>
      <c r="BF138" s="9">
        <v>0</v>
      </c>
      <c r="BG138" s="9">
        <v>0</v>
      </c>
      <c r="BH138" s="9">
        <v>0</v>
      </c>
      <c r="BI138" s="9">
        <v>0</v>
      </c>
      <c r="BJ138" s="9">
        <v>0</v>
      </c>
      <c r="BK138" s="9">
        <v>0</v>
      </c>
      <c r="BL138" s="9">
        <v>0</v>
      </c>
      <c r="BM138" s="9">
        <v>0</v>
      </c>
      <c r="BN138" s="9">
        <v>0</v>
      </c>
      <c r="BO138" s="9">
        <v>1</v>
      </c>
      <c r="BP138" s="10">
        <v>1</v>
      </c>
      <c r="BQ138">
        <v>1</v>
      </c>
      <c r="BR138">
        <v>0</v>
      </c>
    </row>
    <row r="139" spans="1:70" x14ac:dyDescent="0.35">
      <c r="A139" s="8" t="s">
        <v>73</v>
      </c>
      <c r="B139" s="9" t="s">
        <v>168</v>
      </c>
      <c r="C139" s="10" t="s">
        <v>760</v>
      </c>
      <c r="D139" s="34">
        <f t="shared" si="4"/>
        <v>66</v>
      </c>
      <c r="E139" s="9">
        <v>9</v>
      </c>
      <c r="F139" s="9">
        <v>11</v>
      </c>
      <c r="G139" s="9">
        <v>10</v>
      </c>
      <c r="H139" s="9">
        <v>10</v>
      </c>
      <c r="I139" s="9">
        <v>10</v>
      </c>
      <c r="J139" s="9">
        <v>9</v>
      </c>
      <c r="K139" s="9">
        <v>9</v>
      </c>
      <c r="L139" s="9">
        <v>9</v>
      </c>
      <c r="M139" s="9">
        <v>10</v>
      </c>
      <c r="N139" s="9">
        <v>11</v>
      </c>
      <c r="O139" s="9">
        <v>10</v>
      </c>
      <c r="P139" s="9">
        <v>10</v>
      </c>
      <c r="Q139" s="9">
        <v>12</v>
      </c>
      <c r="R139" s="9">
        <v>12</v>
      </c>
      <c r="S139" s="9">
        <v>17</v>
      </c>
      <c r="T139" s="9">
        <v>15</v>
      </c>
      <c r="U139" s="9">
        <v>13</v>
      </c>
      <c r="V139" s="9">
        <v>14</v>
      </c>
      <c r="W139" s="9">
        <v>11</v>
      </c>
      <c r="X139" s="9">
        <v>13</v>
      </c>
      <c r="Y139" s="9">
        <v>12</v>
      </c>
      <c r="Z139" s="9">
        <v>15</v>
      </c>
      <c r="AA139" s="9">
        <v>11</v>
      </c>
      <c r="AB139" s="9">
        <v>12</v>
      </c>
      <c r="AC139" s="9">
        <v>11</v>
      </c>
      <c r="AD139" s="9">
        <v>11</v>
      </c>
      <c r="AE139" s="9">
        <v>11</v>
      </c>
      <c r="AF139" s="9">
        <v>15</v>
      </c>
      <c r="AG139" s="9">
        <v>14</v>
      </c>
      <c r="AH139" s="9">
        <v>12</v>
      </c>
      <c r="AI139" s="9">
        <v>11</v>
      </c>
      <c r="AJ139" s="9">
        <v>12</v>
      </c>
      <c r="AK139" s="9">
        <v>13</v>
      </c>
      <c r="AL139" s="9">
        <v>15</v>
      </c>
      <c r="AM139" s="9">
        <v>16</v>
      </c>
      <c r="AN139" s="9">
        <v>19</v>
      </c>
      <c r="AO139" s="9">
        <v>16</v>
      </c>
      <c r="AP139" s="9">
        <v>22</v>
      </c>
      <c r="AQ139" s="9">
        <v>19</v>
      </c>
      <c r="AR139" s="9">
        <v>21</v>
      </c>
      <c r="AS139" s="9">
        <v>22</v>
      </c>
      <c r="AT139" s="9">
        <v>24</v>
      </c>
      <c r="AU139" s="9">
        <v>24</v>
      </c>
      <c r="AV139" s="9">
        <v>26</v>
      </c>
      <c r="AW139" s="9">
        <v>0</v>
      </c>
      <c r="AX139" s="9">
        <v>31</v>
      </c>
      <c r="AY139" s="9">
        <v>26</v>
      </c>
      <c r="AZ139" s="9">
        <v>26</v>
      </c>
      <c r="BA139" s="9">
        <v>31</v>
      </c>
      <c r="BB139" s="9">
        <v>19</v>
      </c>
      <c r="BC139" s="9">
        <v>44</v>
      </c>
      <c r="BD139" s="9">
        <v>46</v>
      </c>
      <c r="BE139" s="9">
        <v>43</v>
      </c>
      <c r="BF139" s="9">
        <v>46</v>
      </c>
      <c r="BG139" s="9">
        <v>46</v>
      </c>
      <c r="BH139" s="9">
        <v>48</v>
      </c>
      <c r="BI139" s="9">
        <v>52</v>
      </c>
      <c r="BJ139" s="9">
        <v>55</v>
      </c>
      <c r="BK139" s="9">
        <v>54</v>
      </c>
      <c r="BL139" s="9">
        <v>56</v>
      </c>
      <c r="BM139" s="9">
        <v>51</v>
      </c>
      <c r="BN139" s="9">
        <v>58</v>
      </c>
      <c r="BO139" s="9">
        <v>64</v>
      </c>
      <c r="BP139" s="10">
        <v>60</v>
      </c>
      <c r="BQ139">
        <v>62</v>
      </c>
      <c r="BR139">
        <v>66</v>
      </c>
    </row>
    <row r="140" spans="1:70" x14ac:dyDescent="0.35">
      <c r="A140" s="8" t="s">
        <v>73</v>
      </c>
      <c r="B140" s="9" t="s">
        <v>170</v>
      </c>
      <c r="C140" s="10" t="s">
        <v>761</v>
      </c>
      <c r="D140" s="34">
        <f t="shared" si="4"/>
        <v>12</v>
      </c>
      <c r="E140" s="9">
        <v>0</v>
      </c>
      <c r="F140" s="9">
        <v>0</v>
      </c>
      <c r="G140" s="9">
        <v>0</v>
      </c>
      <c r="H140" s="9">
        <v>0</v>
      </c>
      <c r="I140" s="9">
        <v>0</v>
      </c>
      <c r="J140" s="9">
        <v>0</v>
      </c>
      <c r="K140" s="9">
        <v>0</v>
      </c>
      <c r="L140" s="9">
        <v>0</v>
      </c>
      <c r="M140" s="9">
        <v>0</v>
      </c>
      <c r="N140" s="9">
        <v>0</v>
      </c>
      <c r="O140" s="9">
        <v>0</v>
      </c>
      <c r="P140" s="9">
        <v>0</v>
      </c>
      <c r="Q140" s="9">
        <v>0</v>
      </c>
      <c r="R140" s="9">
        <v>0</v>
      </c>
      <c r="S140" s="9">
        <v>0</v>
      </c>
      <c r="T140" s="9">
        <v>0</v>
      </c>
      <c r="U140" s="9">
        <v>0</v>
      </c>
      <c r="V140" s="9">
        <v>0</v>
      </c>
      <c r="W140" s="9">
        <v>1</v>
      </c>
      <c r="X140" s="9">
        <v>1</v>
      </c>
      <c r="Y140" s="9">
        <v>1</v>
      </c>
      <c r="Z140" s="9">
        <v>1</v>
      </c>
      <c r="AA140" s="9">
        <v>1</v>
      </c>
      <c r="AB140" s="9">
        <v>1</v>
      </c>
      <c r="AC140" s="9">
        <v>1</v>
      </c>
      <c r="AD140" s="9">
        <v>1</v>
      </c>
      <c r="AE140" s="9">
        <v>1</v>
      </c>
      <c r="AF140" s="9">
        <v>1</v>
      </c>
      <c r="AG140" s="9">
        <v>1</v>
      </c>
      <c r="AH140" s="9">
        <v>1</v>
      </c>
      <c r="AI140" s="9">
        <v>2</v>
      </c>
      <c r="AJ140" s="9">
        <v>2</v>
      </c>
      <c r="AK140" s="9">
        <v>2</v>
      </c>
      <c r="AL140" s="9">
        <v>2</v>
      </c>
      <c r="AM140" s="9">
        <v>1</v>
      </c>
      <c r="AN140" s="9">
        <v>1</v>
      </c>
      <c r="AO140" s="9">
        <v>1</v>
      </c>
      <c r="AP140" s="9">
        <v>2</v>
      </c>
      <c r="AQ140" s="9">
        <v>2</v>
      </c>
      <c r="AR140" s="9">
        <v>2</v>
      </c>
      <c r="AS140" s="9">
        <v>2</v>
      </c>
      <c r="AT140" s="9">
        <v>3</v>
      </c>
      <c r="AU140" s="9">
        <v>3</v>
      </c>
      <c r="AV140" s="9">
        <v>3</v>
      </c>
      <c r="AW140" s="9">
        <v>2</v>
      </c>
      <c r="AX140" s="9">
        <v>1</v>
      </c>
      <c r="AY140" s="9">
        <v>1</v>
      </c>
      <c r="AZ140" s="9">
        <v>1</v>
      </c>
      <c r="BA140" s="9">
        <v>0</v>
      </c>
      <c r="BB140" s="9">
        <v>3</v>
      </c>
      <c r="BC140" s="9">
        <v>3</v>
      </c>
      <c r="BD140" s="9">
        <v>2</v>
      </c>
      <c r="BE140" s="9">
        <v>2</v>
      </c>
      <c r="BF140" s="9">
        <v>2</v>
      </c>
      <c r="BG140" s="9">
        <v>3</v>
      </c>
      <c r="BH140" s="9">
        <v>2</v>
      </c>
      <c r="BI140" s="9">
        <v>6</v>
      </c>
      <c r="BJ140" s="9">
        <v>6</v>
      </c>
      <c r="BK140" s="9">
        <v>9</v>
      </c>
      <c r="BL140" s="9">
        <v>11</v>
      </c>
      <c r="BM140" s="9">
        <v>11</v>
      </c>
      <c r="BN140" s="9">
        <v>11</v>
      </c>
      <c r="BO140" s="9">
        <v>12</v>
      </c>
      <c r="BP140" s="10">
        <v>10</v>
      </c>
      <c r="BQ140">
        <v>9</v>
      </c>
      <c r="BR140">
        <v>9</v>
      </c>
    </row>
    <row r="141" spans="1:70" x14ac:dyDescent="0.35">
      <c r="A141" s="8" t="s">
        <v>73</v>
      </c>
      <c r="B141" s="9" t="s">
        <v>172</v>
      </c>
      <c r="C141" s="10" t="s">
        <v>762</v>
      </c>
      <c r="D141" s="34">
        <f t="shared" si="4"/>
        <v>0</v>
      </c>
      <c r="E141" s="9">
        <v>0</v>
      </c>
      <c r="F141" s="9">
        <v>0</v>
      </c>
      <c r="G141" s="9">
        <v>0</v>
      </c>
      <c r="H141" s="9">
        <v>0</v>
      </c>
      <c r="I141" s="9">
        <v>0</v>
      </c>
      <c r="J141" s="9">
        <v>0</v>
      </c>
      <c r="K141" s="9">
        <v>0</v>
      </c>
      <c r="L141" s="9">
        <v>0</v>
      </c>
      <c r="M141" s="9">
        <v>0</v>
      </c>
      <c r="N141" s="9">
        <v>0</v>
      </c>
      <c r="O141" s="9">
        <v>0</v>
      </c>
      <c r="P141" s="9">
        <v>0</v>
      </c>
      <c r="Q141" s="9">
        <v>0</v>
      </c>
      <c r="R141" s="9">
        <v>0</v>
      </c>
      <c r="S141" s="9">
        <v>0</v>
      </c>
      <c r="T141" s="9">
        <v>0</v>
      </c>
      <c r="U141" s="9">
        <v>0</v>
      </c>
      <c r="V141" s="9">
        <v>0</v>
      </c>
      <c r="W141" s="9">
        <v>0</v>
      </c>
      <c r="X141" s="9">
        <v>0</v>
      </c>
      <c r="Y141" s="9">
        <v>0</v>
      </c>
      <c r="Z141" s="9">
        <v>0</v>
      </c>
      <c r="AA141" s="9">
        <v>0</v>
      </c>
      <c r="AB141" s="9">
        <v>0</v>
      </c>
      <c r="AC141" s="9">
        <v>0</v>
      </c>
      <c r="AD141" s="9">
        <v>0</v>
      </c>
      <c r="AE141" s="9">
        <v>0</v>
      </c>
      <c r="AF141" s="9">
        <v>0</v>
      </c>
      <c r="AG141" s="9">
        <v>0</v>
      </c>
      <c r="AH141" s="9">
        <v>0</v>
      </c>
      <c r="AI141" s="9">
        <v>0</v>
      </c>
      <c r="AJ141" s="9">
        <v>0</v>
      </c>
      <c r="AK141" s="9">
        <v>0</v>
      </c>
      <c r="AL141" s="9">
        <v>0</v>
      </c>
      <c r="AM141" s="9">
        <v>0</v>
      </c>
      <c r="AN141" s="9">
        <v>0</v>
      </c>
      <c r="AO141" s="9">
        <v>0</v>
      </c>
      <c r="AP141" s="9">
        <v>0</v>
      </c>
      <c r="AQ141" s="9">
        <v>0</v>
      </c>
      <c r="AR141" s="9">
        <v>0</v>
      </c>
      <c r="AS141" s="9">
        <v>0</v>
      </c>
      <c r="AT141" s="9">
        <v>0</v>
      </c>
      <c r="AU141" s="9">
        <v>0</v>
      </c>
      <c r="AV141" s="9">
        <v>0</v>
      </c>
      <c r="AW141" s="9">
        <v>0</v>
      </c>
      <c r="AX141" s="9">
        <v>0</v>
      </c>
      <c r="AY141" s="9">
        <v>0</v>
      </c>
      <c r="AZ141" s="9">
        <v>0</v>
      </c>
      <c r="BA141" s="9">
        <v>0</v>
      </c>
      <c r="BB141" s="9">
        <v>0</v>
      </c>
      <c r="BC141" s="9">
        <v>0</v>
      </c>
      <c r="BD141" s="9">
        <v>0</v>
      </c>
      <c r="BE141" s="9">
        <v>0</v>
      </c>
      <c r="BF141" s="9">
        <v>0</v>
      </c>
      <c r="BG141" s="9">
        <v>0</v>
      </c>
      <c r="BH141" s="9">
        <v>0</v>
      </c>
      <c r="BI141" s="9">
        <v>0</v>
      </c>
      <c r="BJ141" s="9">
        <v>0</v>
      </c>
      <c r="BK141" s="9">
        <v>0</v>
      </c>
      <c r="BL141" s="9">
        <v>0</v>
      </c>
      <c r="BM141" s="9">
        <v>0</v>
      </c>
      <c r="BN141" s="9">
        <v>0</v>
      </c>
      <c r="BO141" s="9">
        <v>0</v>
      </c>
      <c r="BP141" s="10">
        <v>0</v>
      </c>
      <c r="BQ141">
        <v>0</v>
      </c>
      <c r="BR141">
        <v>0</v>
      </c>
    </row>
    <row r="142" spans="1:70" x14ac:dyDescent="0.35">
      <c r="A142" s="8" t="s">
        <v>174</v>
      </c>
      <c r="B142" s="9" t="s">
        <v>763</v>
      </c>
      <c r="C142" s="10" t="s">
        <v>764</v>
      </c>
      <c r="D142" s="34">
        <f t="shared" si="4"/>
        <v>1</v>
      </c>
      <c r="E142" s="9">
        <v>0</v>
      </c>
      <c r="F142" s="9">
        <v>0</v>
      </c>
      <c r="G142" s="9">
        <v>0</v>
      </c>
      <c r="H142" s="9">
        <v>0</v>
      </c>
      <c r="I142" s="9">
        <v>0</v>
      </c>
      <c r="J142" s="9">
        <v>0</v>
      </c>
      <c r="K142" s="9">
        <v>0</v>
      </c>
      <c r="L142" s="9">
        <v>0</v>
      </c>
      <c r="M142" s="9">
        <v>0</v>
      </c>
      <c r="N142" s="9">
        <v>0</v>
      </c>
      <c r="O142" s="9">
        <v>0</v>
      </c>
      <c r="P142" s="9">
        <v>0</v>
      </c>
      <c r="Q142" s="9">
        <v>0</v>
      </c>
      <c r="R142" s="9">
        <v>0</v>
      </c>
      <c r="S142" s="9">
        <v>0</v>
      </c>
      <c r="T142" s="9">
        <v>0</v>
      </c>
      <c r="U142" s="9">
        <v>0</v>
      </c>
      <c r="V142" s="9">
        <v>0</v>
      </c>
      <c r="W142" s="9">
        <v>0</v>
      </c>
      <c r="X142" s="9">
        <v>0</v>
      </c>
      <c r="Y142" s="9">
        <v>0</v>
      </c>
      <c r="Z142" s="9">
        <v>0</v>
      </c>
      <c r="AA142" s="9">
        <v>0</v>
      </c>
      <c r="AB142" s="9">
        <v>0</v>
      </c>
      <c r="AC142" s="9">
        <v>0</v>
      </c>
      <c r="AD142" s="9">
        <v>0</v>
      </c>
      <c r="AE142" s="9">
        <v>0</v>
      </c>
      <c r="AF142" s="9">
        <v>0</v>
      </c>
      <c r="AG142" s="9">
        <v>0</v>
      </c>
      <c r="AH142" s="9">
        <v>0</v>
      </c>
      <c r="AI142" s="9">
        <v>0</v>
      </c>
      <c r="AJ142" s="9">
        <v>0</v>
      </c>
      <c r="AK142" s="9">
        <v>0</v>
      </c>
      <c r="AL142" s="9">
        <v>0</v>
      </c>
      <c r="AM142" s="9">
        <v>0</v>
      </c>
      <c r="AN142" s="9">
        <v>0</v>
      </c>
      <c r="AO142" s="9">
        <v>0</v>
      </c>
      <c r="AP142" s="9">
        <v>0</v>
      </c>
      <c r="AQ142" s="9">
        <v>0</v>
      </c>
      <c r="AR142" s="9">
        <v>0</v>
      </c>
      <c r="AS142" s="9">
        <v>0</v>
      </c>
      <c r="AT142" s="9">
        <v>0</v>
      </c>
      <c r="AU142" s="9">
        <v>0</v>
      </c>
      <c r="AV142" s="9">
        <v>0</v>
      </c>
      <c r="AW142" s="9">
        <v>0</v>
      </c>
      <c r="AX142" s="9">
        <v>0</v>
      </c>
      <c r="AY142" s="9">
        <v>0</v>
      </c>
      <c r="AZ142" s="9">
        <v>0</v>
      </c>
      <c r="BA142" s="9">
        <v>0</v>
      </c>
      <c r="BB142" s="9">
        <v>0</v>
      </c>
      <c r="BC142" s="9">
        <v>0</v>
      </c>
      <c r="BD142" s="9">
        <v>0</v>
      </c>
      <c r="BE142" s="9">
        <v>0</v>
      </c>
      <c r="BF142" s="9">
        <v>0</v>
      </c>
      <c r="BG142" s="9">
        <v>0</v>
      </c>
      <c r="BH142" s="9">
        <v>0</v>
      </c>
      <c r="BI142" s="9">
        <v>0</v>
      </c>
      <c r="BJ142" s="9">
        <v>0</v>
      </c>
      <c r="BK142" s="9">
        <v>0</v>
      </c>
      <c r="BL142" s="9">
        <v>0</v>
      </c>
      <c r="BM142" s="9">
        <v>1</v>
      </c>
      <c r="BN142" s="9">
        <v>1</v>
      </c>
      <c r="BO142" s="9">
        <v>0</v>
      </c>
      <c r="BP142" s="10">
        <v>1</v>
      </c>
      <c r="BQ142">
        <v>1</v>
      </c>
      <c r="BR142">
        <v>1</v>
      </c>
    </row>
    <row r="143" spans="1:70" x14ac:dyDescent="0.35">
      <c r="A143" s="8" t="s">
        <v>174</v>
      </c>
      <c r="B143" s="9" t="s">
        <v>765</v>
      </c>
      <c r="C143" s="10" t="s">
        <v>766</v>
      </c>
      <c r="D143" s="34">
        <f t="shared" si="4"/>
        <v>0</v>
      </c>
      <c r="E143" s="9">
        <v>0</v>
      </c>
      <c r="F143" s="9">
        <v>0</v>
      </c>
      <c r="G143" s="9">
        <v>0</v>
      </c>
      <c r="H143" s="9">
        <v>0</v>
      </c>
      <c r="I143" s="9">
        <v>0</v>
      </c>
      <c r="J143" s="9">
        <v>0</v>
      </c>
      <c r="K143" s="9">
        <v>0</v>
      </c>
      <c r="L143" s="9">
        <v>0</v>
      </c>
      <c r="M143" s="9">
        <v>0</v>
      </c>
      <c r="N143" s="9">
        <v>0</v>
      </c>
      <c r="O143" s="9">
        <v>0</v>
      </c>
      <c r="P143" s="9">
        <v>0</v>
      </c>
      <c r="Q143" s="9">
        <v>0</v>
      </c>
      <c r="R143" s="9">
        <v>0</v>
      </c>
      <c r="S143" s="9">
        <v>0</v>
      </c>
      <c r="T143" s="9">
        <v>0</v>
      </c>
      <c r="U143" s="9">
        <v>0</v>
      </c>
      <c r="V143" s="9">
        <v>0</v>
      </c>
      <c r="W143" s="9">
        <v>0</v>
      </c>
      <c r="X143" s="9">
        <v>0</v>
      </c>
      <c r="Y143" s="9">
        <v>0</v>
      </c>
      <c r="Z143" s="9">
        <v>0</v>
      </c>
      <c r="AA143" s="9">
        <v>0</v>
      </c>
      <c r="AB143" s="9">
        <v>0</v>
      </c>
      <c r="AC143" s="9">
        <v>0</v>
      </c>
      <c r="AD143" s="9">
        <v>0</v>
      </c>
      <c r="AE143" s="9">
        <v>0</v>
      </c>
      <c r="AF143" s="9">
        <v>0</v>
      </c>
      <c r="AG143" s="9">
        <v>0</v>
      </c>
      <c r="AH143" s="9">
        <v>0</v>
      </c>
      <c r="AI143" s="9">
        <v>0</v>
      </c>
      <c r="AJ143" s="9">
        <v>0</v>
      </c>
      <c r="AK143" s="9">
        <v>0</v>
      </c>
      <c r="AL143" s="9">
        <v>0</v>
      </c>
      <c r="AM143" s="9">
        <v>0</v>
      </c>
      <c r="AN143" s="9">
        <v>0</v>
      </c>
      <c r="AO143" s="9">
        <v>0</v>
      </c>
      <c r="AP143" s="9">
        <v>0</v>
      </c>
      <c r="AQ143" s="9">
        <v>0</v>
      </c>
      <c r="AR143" s="9">
        <v>0</v>
      </c>
      <c r="AS143" s="9">
        <v>0</v>
      </c>
      <c r="AT143" s="9">
        <v>0</v>
      </c>
      <c r="AU143" s="9">
        <v>0</v>
      </c>
      <c r="AV143" s="9">
        <v>0</v>
      </c>
      <c r="AW143" s="9">
        <v>0</v>
      </c>
      <c r="AX143" s="9">
        <v>0</v>
      </c>
      <c r="AY143" s="9">
        <v>0</v>
      </c>
      <c r="AZ143" s="9">
        <v>0</v>
      </c>
      <c r="BA143" s="9">
        <v>0</v>
      </c>
      <c r="BB143" s="9">
        <v>0</v>
      </c>
      <c r="BC143" s="9">
        <v>0</v>
      </c>
      <c r="BD143" s="9">
        <v>0</v>
      </c>
      <c r="BE143" s="9">
        <v>0</v>
      </c>
      <c r="BF143" s="9">
        <v>0</v>
      </c>
      <c r="BG143" s="9">
        <v>0</v>
      </c>
      <c r="BH143" s="9">
        <v>0</v>
      </c>
      <c r="BI143" s="9">
        <v>0</v>
      </c>
      <c r="BJ143" s="9">
        <v>0</v>
      </c>
      <c r="BK143" s="9">
        <v>0</v>
      </c>
      <c r="BL143" s="9">
        <v>0</v>
      </c>
      <c r="BM143" s="9">
        <v>0</v>
      </c>
      <c r="BN143" s="9">
        <v>0</v>
      </c>
      <c r="BO143" s="9">
        <v>0</v>
      </c>
      <c r="BP143" s="10">
        <v>0</v>
      </c>
      <c r="BQ143">
        <v>0</v>
      </c>
      <c r="BR143">
        <v>0</v>
      </c>
    </row>
    <row r="144" spans="1:70" x14ac:dyDescent="0.35">
      <c r="A144" s="8" t="s">
        <v>174</v>
      </c>
      <c r="B144" s="9" t="s">
        <v>767</v>
      </c>
      <c r="C144" s="10" t="s">
        <v>768</v>
      </c>
      <c r="D144" s="34">
        <f t="shared" si="4"/>
        <v>4</v>
      </c>
      <c r="E144" s="9">
        <v>0</v>
      </c>
      <c r="F144" s="9">
        <v>0</v>
      </c>
      <c r="G144" s="9">
        <v>0</v>
      </c>
      <c r="H144" s="9">
        <v>0</v>
      </c>
      <c r="I144" s="9">
        <v>0</v>
      </c>
      <c r="J144" s="9">
        <v>0</v>
      </c>
      <c r="K144" s="9">
        <v>0</v>
      </c>
      <c r="L144" s="9">
        <v>0</v>
      </c>
      <c r="M144" s="9">
        <v>0</v>
      </c>
      <c r="N144" s="9">
        <v>0</v>
      </c>
      <c r="O144" s="9">
        <v>0</v>
      </c>
      <c r="P144" s="9">
        <v>0</v>
      </c>
      <c r="Q144" s="9">
        <v>1</v>
      </c>
      <c r="R144" s="9">
        <v>1</v>
      </c>
      <c r="S144" s="9">
        <v>1</v>
      </c>
      <c r="T144" s="9">
        <v>1</v>
      </c>
      <c r="U144" s="9">
        <v>1</v>
      </c>
      <c r="V144" s="9">
        <v>1</v>
      </c>
      <c r="W144" s="9">
        <v>1</v>
      </c>
      <c r="X144" s="9">
        <v>1</v>
      </c>
      <c r="Y144" s="9">
        <v>1</v>
      </c>
      <c r="Z144" s="9">
        <v>1</v>
      </c>
      <c r="AA144" s="9">
        <v>0</v>
      </c>
      <c r="AB144" s="9">
        <v>0</v>
      </c>
      <c r="AC144" s="9">
        <v>0</v>
      </c>
      <c r="AD144" s="9">
        <v>0</v>
      </c>
      <c r="AE144" s="9">
        <v>0</v>
      </c>
      <c r="AF144" s="9">
        <v>0</v>
      </c>
      <c r="AG144" s="9">
        <v>0</v>
      </c>
      <c r="AH144" s="9">
        <v>0</v>
      </c>
      <c r="AI144" s="9">
        <v>0</v>
      </c>
      <c r="AJ144" s="9">
        <v>0</v>
      </c>
      <c r="AK144" s="9">
        <v>0</v>
      </c>
      <c r="AL144" s="9">
        <v>0</v>
      </c>
      <c r="AM144" s="9">
        <v>0</v>
      </c>
      <c r="AN144" s="9">
        <v>0</v>
      </c>
      <c r="AO144" s="9">
        <v>0</v>
      </c>
      <c r="AP144" s="9">
        <v>0</v>
      </c>
      <c r="AQ144" s="9">
        <v>0</v>
      </c>
      <c r="AR144" s="9">
        <v>0</v>
      </c>
      <c r="AS144" s="9">
        <v>0</v>
      </c>
      <c r="AT144" s="9">
        <v>0</v>
      </c>
      <c r="AU144" s="9">
        <v>0</v>
      </c>
      <c r="AV144" s="9">
        <v>0</v>
      </c>
      <c r="AW144" s="9">
        <v>0</v>
      </c>
      <c r="AX144" s="9">
        <v>0</v>
      </c>
      <c r="AY144" s="9">
        <v>0</v>
      </c>
      <c r="AZ144" s="9">
        <v>0</v>
      </c>
      <c r="BA144" s="9">
        <v>0</v>
      </c>
      <c r="BB144" s="9">
        <v>0</v>
      </c>
      <c r="BC144" s="9">
        <v>0</v>
      </c>
      <c r="BD144" s="9">
        <v>0</v>
      </c>
      <c r="BE144" s="9">
        <v>0</v>
      </c>
      <c r="BF144" s="9">
        <v>0</v>
      </c>
      <c r="BG144" s="9">
        <v>0</v>
      </c>
      <c r="BH144" s="9">
        <v>0</v>
      </c>
      <c r="BI144" s="9">
        <v>0</v>
      </c>
      <c r="BJ144" s="9">
        <v>0</v>
      </c>
      <c r="BK144" s="9">
        <v>2</v>
      </c>
      <c r="BL144" s="9">
        <v>2</v>
      </c>
      <c r="BM144" s="9">
        <v>2</v>
      </c>
      <c r="BN144" s="9">
        <v>2</v>
      </c>
      <c r="BO144" s="9">
        <v>4</v>
      </c>
      <c r="BP144" s="10">
        <v>4</v>
      </c>
      <c r="BQ144">
        <v>4</v>
      </c>
      <c r="BR144">
        <v>4</v>
      </c>
    </row>
    <row r="145" spans="1:70" x14ac:dyDescent="0.35">
      <c r="A145" s="8" t="s">
        <v>174</v>
      </c>
      <c r="B145" s="9" t="s">
        <v>769</v>
      </c>
      <c r="C145" s="10" t="s">
        <v>770</v>
      </c>
      <c r="D145" s="34">
        <f t="shared" si="4"/>
        <v>0</v>
      </c>
      <c r="E145" s="9">
        <v>0</v>
      </c>
      <c r="F145" s="9">
        <v>0</v>
      </c>
      <c r="G145" s="9">
        <v>0</v>
      </c>
      <c r="H145" s="9">
        <v>0</v>
      </c>
      <c r="I145" s="9">
        <v>0</v>
      </c>
      <c r="J145" s="9">
        <v>0</v>
      </c>
      <c r="K145" s="9">
        <v>0</v>
      </c>
      <c r="L145" s="9">
        <v>0</v>
      </c>
      <c r="M145" s="9">
        <v>0</v>
      </c>
      <c r="N145" s="9">
        <v>0</v>
      </c>
      <c r="O145" s="9">
        <v>0</v>
      </c>
      <c r="P145" s="9">
        <v>0</v>
      </c>
      <c r="Q145" s="9">
        <v>0</v>
      </c>
      <c r="R145" s="9">
        <v>0</v>
      </c>
      <c r="S145" s="9">
        <v>0</v>
      </c>
      <c r="T145" s="9">
        <v>0</v>
      </c>
      <c r="U145" s="9">
        <v>0</v>
      </c>
      <c r="V145" s="9">
        <v>0</v>
      </c>
      <c r="W145" s="9">
        <v>0</v>
      </c>
      <c r="X145" s="9">
        <v>0</v>
      </c>
      <c r="Y145" s="9">
        <v>0</v>
      </c>
      <c r="Z145" s="9">
        <v>0</v>
      </c>
      <c r="AA145" s="9">
        <v>0</v>
      </c>
      <c r="AB145" s="9">
        <v>0</v>
      </c>
      <c r="AC145" s="9">
        <v>0</v>
      </c>
      <c r="AD145" s="9">
        <v>0</v>
      </c>
      <c r="AE145" s="9">
        <v>0</v>
      </c>
      <c r="AF145" s="9">
        <v>0</v>
      </c>
      <c r="AG145" s="9">
        <v>0</v>
      </c>
      <c r="AH145" s="9">
        <v>0</v>
      </c>
      <c r="AI145" s="9">
        <v>0</v>
      </c>
      <c r="AJ145" s="9">
        <v>0</v>
      </c>
      <c r="AK145" s="9">
        <v>0</v>
      </c>
      <c r="AL145" s="9">
        <v>0</v>
      </c>
      <c r="AM145" s="9">
        <v>0</v>
      </c>
      <c r="AN145" s="9">
        <v>0</v>
      </c>
      <c r="AO145" s="9">
        <v>0</v>
      </c>
      <c r="AP145" s="9">
        <v>0</v>
      </c>
      <c r="AQ145" s="9">
        <v>0</v>
      </c>
      <c r="AR145" s="9">
        <v>0</v>
      </c>
      <c r="AS145" s="9">
        <v>0</v>
      </c>
      <c r="AT145" s="9">
        <v>0</v>
      </c>
      <c r="AU145" s="9">
        <v>0</v>
      </c>
      <c r="AV145" s="9">
        <v>0</v>
      </c>
      <c r="AW145" s="9">
        <v>0</v>
      </c>
      <c r="AX145" s="9">
        <v>0</v>
      </c>
      <c r="AY145" s="9">
        <v>0</v>
      </c>
      <c r="AZ145" s="9">
        <v>0</v>
      </c>
      <c r="BA145" s="9">
        <v>0</v>
      </c>
      <c r="BB145" s="9">
        <v>0</v>
      </c>
      <c r="BC145" s="9">
        <v>0</v>
      </c>
      <c r="BD145" s="9">
        <v>0</v>
      </c>
      <c r="BE145" s="9">
        <v>0</v>
      </c>
      <c r="BF145" s="9">
        <v>0</v>
      </c>
      <c r="BG145" s="9">
        <v>0</v>
      </c>
      <c r="BH145" s="9">
        <v>0</v>
      </c>
      <c r="BI145" s="9">
        <v>0</v>
      </c>
      <c r="BJ145" s="9">
        <v>0</v>
      </c>
      <c r="BK145" s="9">
        <v>0</v>
      </c>
      <c r="BL145" s="9">
        <v>0</v>
      </c>
      <c r="BM145" s="9">
        <v>0</v>
      </c>
      <c r="BN145" s="9">
        <v>0</v>
      </c>
      <c r="BO145" s="9">
        <v>0</v>
      </c>
      <c r="BP145" s="10">
        <v>0</v>
      </c>
      <c r="BQ145">
        <v>0</v>
      </c>
      <c r="BR145">
        <v>0</v>
      </c>
    </row>
    <row r="146" spans="1:70" x14ac:dyDescent="0.35">
      <c r="A146" s="8" t="s">
        <v>174</v>
      </c>
      <c r="B146" s="9" t="s">
        <v>771</v>
      </c>
      <c r="C146" s="10" t="s">
        <v>772</v>
      </c>
      <c r="D146" s="34">
        <f t="shared" si="4"/>
        <v>4</v>
      </c>
      <c r="E146" s="9">
        <v>0</v>
      </c>
      <c r="F146" s="9">
        <v>0</v>
      </c>
      <c r="G146" s="9">
        <v>0</v>
      </c>
      <c r="H146" s="9">
        <v>0</v>
      </c>
      <c r="I146" s="9">
        <v>0</v>
      </c>
      <c r="J146" s="9">
        <v>0</v>
      </c>
      <c r="K146" s="9">
        <v>0</v>
      </c>
      <c r="L146" s="9">
        <v>0</v>
      </c>
      <c r="M146" s="9">
        <v>0</v>
      </c>
      <c r="N146" s="9">
        <v>0</v>
      </c>
      <c r="O146" s="9">
        <v>0</v>
      </c>
      <c r="P146" s="9">
        <v>0</v>
      </c>
      <c r="Q146" s="9">
        <v>0</v>
      </c>
      <c r="R146" s="9">
        <v>0</v>
      </c>
      <c r="S146" s="9">
        <v>0</v>
      </c>
      <c r="T146" s="9">
        <v>0</v>
      </c>
      <c r="U146" s="9">
        <v>0</v>
      </c>
      <c r="V146" s="9">
        <v>0</v>
      </c>
      <c r="W146" s="9">
        <v>0</v>
      </c>
      <c r="X146" s="9">
        <v>0</v>
      </c>
      <c r="Y146" s="9">
        <v>0</v>
      </c>
      <c r="Z146" s="9">
        <v>0</v>
      </c>
      <c r="AA146" s="9">
        <v>0</v>
      </c>
      <c r="AB146" s="9">
        <v>0</v>
      </c>
      <c r="AC146" s="9">
        <v>0</v>
      </c>
      <c r="AD146" s="9">
        <v>0</v>
      </c>
      <c r="AE146" s="9">
        <v>0</v>
      </c>
      <c r="AF146" s="9">
        <v>0</v>
      </c>
      <c r="AG146" s="9">
        <v>0</v>
      </c>
      <c r="AH146" s="9">
        <v>0</v>
      </c>
      <c r="AI146" s="9">
        <v>0</v>
      </c>
      <c r="AJ146" s="9">
        <v>0</v>
      </c>
      <c r="AK146" s="9">
        <v>0</v>
      </c>
      <c r="AL146" s="9">
        <v>0</v>
      </c>
      <c r="AM146" s="9">
        <v>0</v>
      </c>
      <c r="AN146" s="9">
        <v>0</v>
      </c>
      <c r="AO146" s="9">
        <v>0</v>
      </c>
      <c r="AP146" s="9">
        <v>0</v>
      </c>
      <c r="AQ146" s="9">
        <v>0</v>
      </c>
      <c r="AR146" s="9">
        <v>0</v>
      </c>
      <c r="AS146" s="9">
        <v>0</v>
      </c>
      <c r="AT146" s="9">
        <v>0</v>
      </c>
      <c r="AU146" s="9">
        <v>0</v>
      </c>
      <c r="AV146" s="9">
        <v>0</v>
      </c>
      <c r="AW146" s="9">
        <v>0</v>
      </c>
      <c r="AX146" s="9">
        <v>0</v>
      </c>
      <c r="AY146" s="9">
        <v>0</v>
      </c>
      <c r="AZ146" s="9">
        <v>0</v>
      </c>
      <c r="BA146" s="9">
        <v>0</v>
      </c>
      <c r="BB146" s="9">
        <v>0</v>
      </c>
      <c r="BC146" s="9">
        <v>0</v>
      </c>
      <c r="BD146" s="9">
        <v>0</v>
      </c>
      <c r="BE146" s="9">
        <v>4</v>
      </c>
      <c r="BF146" s="9">
        <v>4</v>
      </c>
      <c r="BG146" s="9">
        <v>4</v>
      </c>
      <c r="BH146" s="9">
        <v>4</v>
      </c>
      <c r="BI146" s="9">
        <v>4</v>
      </c>
      <c r="BJ146" s="9">
        <v>4</v>
      </c>
      <c r="BK146" s="9">
        <v>4</v>
      </c>
      <c r="BL146" s="9">
        <v>4</v>
      </c>
      <c r="BM146" s="9">
        <v>4</v>
      </c>
      <c r="BN146" s="9">
        <v>4</v>
      </c>
      <c r="BO146" s="9">
        <v>4</v>
      </c>
      <c r="BP146" s="10">
        <v>4</v>
      </c>
      <c r="BQ146">
        <v>4</v>
      </c>
      <c r="BR146">
        <v>4</v>
      </c>
    </row>
    <row r="147" spans="1:70" x14ac:dyDescent="0.35">
      <c r="A147" s="8" t="s">
        <v>174</v>
      </c>
      <c r="B147" s="9" t="s">
        <v>773</v>
      </c>
      <c r="C147" s="10" t="s">
        <v>774</v>
      </c>
      <c r="D147" s="34">
        <f t="shared" si="4"/>
        <v>0</v>
      </c>
      <c r="E147" s="9">
        <v>0</v>
      </c>
      <c r="F147" s="9">
        <v>0</v>
      </c>
      <c r="G147" s="9">
        <v>0</v>
      </c>
      <c r="H147" s="9">
        <v>0</v>
      </c>
      <c r="I147" s="9">
        <v>0</v>
      </c>
      <c r="J147" s="9">
        <v>0</v>
      </c>
      <c r="K147" s="9">
        <v>0</v>
      </c>
      <c r="L147" s="9">
        <v>0</v>
      </c>
      <c r="M147" s="9">
        <v>0</v>
      </c>
      <c r="N147" s="9">
        <v>0</v>
      </c>
      <c r="O147" s="9">
        <v>0</v>
      </c>
      <c r="P147" s="9">
        <v>0</v>
      </c>
      <c r="Q147" s="9">
        <v>0</v>
      </c>
      <c r="R147" s="9">
        <v>0</v>
      </c>
      <c r="S147" s="9">
        <v>0</v>
      </c>
      <c r="T147" s="9">
        <v>0</v>
      </c>
      <c r="U147" s="9">
        <v>0</v>
      </c>
      <c r="V147" s="9">
        <v>0</v>
      </c>
      <c r="W147" s="9">
        <v>0</v>
      </c>
      <c r="X147" s="9">
        <v>0</v>
      </c>
      <c r="Y147" s="9">
        <v>0</v>
      </c>
      <c r="Z147" s="9">
        <v>0</v>
      </c>
      <c r="AA147" s="9">
        <v>0</v>
      </c>
      <c r="AB147" s="9">
        <v>0</v>
      </c>
      <c r="AC147" s="9">
        <v>0</v>
      </c>
      <c r="AD147" s="9">
        <v>0</v>
      </c>
      <c r="AE147" s="9">
        <v>0</v>
      </c>
      <c r="AF147" s="9">
        <v>0</v>
      </c>
      <c r="AG147" s="9">
        <v>0</v>
      </c>
      <c r="AH147" s="9">
        <v>0</v>
      </c>
      <c r="AI147" s="9">
        <v>0</v>
      </c>
      <c r="AJ147" s="9">
        <v>0</v>
      </c>
      <c r="AK147" s="9">
        <v>0</v>
      </c>
      <c r="AL147" s="9">
        <v>0</v>
      </c>
      <c r="AM147" s="9">
        <v>0</v>
      </c>
      <c r="AN147" s="9">
        <v>0</v>
      </c>
      <c r="AO147" s="9">
        <v>0</v>
      </c>
      <c r="AP147" s="9">
        <v>0</v>
      </c>
      <c r="AQ147" s="9">
        <v>0</v>
      </c>
      <c r="AR147" s="9">
        <v>0</v>
      </c>
      <c r="AS147" s="9">
        <v>0</v>
      </c>
      <c r="AT147" s="9">
        <v>0</v>
      </c>
      <c r="AU147" s="9">
        <v>0</v>
      </c>
      <c r="AV147" s="9">
        <v>0</v>
      </c>
      <c r="AW147" s="9">
        <v>0</v>
      </c>
      <c r="AX147" s="9">
        <v>0</v>
      </c>
      <c r="AY147" s="9">
        <v>0</v>
      </c>
      <c r="AZ147" s="9">
        <v>0</v>
      </c>
      <c r="BA147" s="9">
        <v>0</v>
      </c>
      <c r="BB147" s="9">
        <v>0</v>
      </c>
      <c r="BC147" s="9">
        <v>0</v>
      </c>
      <c r="BD147" s="9">
        <v>0</v>
      </c>
      <c r="BE147" s="9">
        <v>0</v>
      </c>
      <c r="BF147" s="9">
        <v>0</v>
      </c>
      <c r="BG147" s="9">
        <v>0</v>
      </c>
      <c r="BH147" s="9">
        <v>0</v>
      </c>
      <c r="BI147" s="9">
        <v>0</v>
      </c>
      <c r="BJ147" s="9">
        <v>0</v>
      </c>
      <c r="BK147" s="9">
        <v>0</v>
      </c>
      <c r="BL147" s="9">
        <v>0</v>
      </c>
      <c r="BM147" s="9">
        <v>0</v>
      </c>
      <c r="BN147" s="9">
        <v>0</v>
      </c>
      <c r="BO147" s="9">
        <v>0</v>
      </c>
      <c r="BP147" s="10">
        <v>0</v>
      </c>
      <c r="BQ147">
        <v>0</v>
      </c>
      <c r="BR147">
        <v>0</v>
      </c>
    </row>
    <row r="148" spans="1:70" x14ac:dyDescent="0.35">
      <c r="A148" s="8" t="s">
        <v>174</v>
      </c>
      <c r="B148" s="9" t="s">
        <v>775</v>
      </c>
      <c r="C148" s="10" t="s">
        <v>776</v>
      </c>
      <c r="D148" s="34">
        <f t="shared" si="4"/>
        <v>0</v>
      </c>
      <c r="E148" s="9">
        <v>0</v>
      </c>
      <c r="F148" s="9">
        <v>0</v>
      </c>
      <c r="G148" s="9">
        <v>0</v>
      </c>
      <c r="H148" s="9">
        <v>0</v>
      </c>
      <c r="I148" s="9">
        <v>0</v>
      </c>
      <c r="J148" s="9">
        <v>0</v>
      </c>
      <c r="K148" s="9">
        <v>0</v>
      </c>
      <c r="L148" s="9">
        <v>0</v>
      </c>
      <c r="M148" s="9">
        <v>0</v>
      </c>
      <c r="N148" s="9">
        <v>0</v>
      </c>
      <c r="O148" s="9">
        <v>0</v>
      </c>
      <c r="P148" s="9">
        <v>0</v>
      </c>
      <c r="Q148" s="9">
        <v>0</v>
      </c>
      <c r="R148" s="9">
        <v>0</v>
      </c>
      <c r="S148" s="9">
        <v>0</v>
      </c>
      <c r="T148" s="9">
        <v>0</v>
      </c>
      <c r="U148" s="9">
        <v>0</v>
      </c>
      <c r="V148" s="9">
        <v>0</v>
      </c>
      <c r="W148" s="9">
        <v>0</v>
      </c>
      <c r="X148" s="9">
        <v>0</v>
      </c>
      <c r="Y148" s="9">
        <v>0</v>
      </c>
      <c r="Z148" s="9">
        <v>0</v>
      </c>
      <c r="AA148" s="9">
        <v>0</v>
      </c>
      <c r="AB148" s="9">
        <v>0</v>
      </c>
      <c r="AC148" s="9">
        <v>0</v>
      </c>
      <c r="AD148" s="9">
        <v>0</v>
      </c>
      <c r="AE148" s="9">
        <v>0</v>
      </c>
      <c r="AF148" s="9">
        <v>0</v>
      </c>
      <c r="AG148" s="9">
        <v>0</v>
      </c>
      <c r="AH148" s="9">
        <v>0</v>
      </c>
      <c r="AI148" s="9">
        <v>0</v>
      </c>
      <c r="AJ148" s="9">
        <v>0</v>
      </c>
      <c r="AK148" s="9">
        <v>0</v>
      </c>
      <c r="AL148" s="9">
        <v>0</v>
      </c>
      <c r="AM148" s="9">
        <v>0</v>
      </c>
      <c r="AN148" s="9">
        <v>0</v>
      </c>
      <c r="AO148" s="9">
        <v>0</v>
      </c>
      <c r="AP148" s="9">
        <v>0</v>
      </c>
      <c r="AQ148" s="9">
        <v>0</v>
      </c>
      <c r="AR148" s="9">
        <v>0</v>
      </c>
      <c r="AS148" s="9">
        <v>0</v>
      </c>
      <c r="AT148" s="9">
        <v>0</v>
      </c>
      <c r="AU148" s="9">
        <v>0</v>
      </c>
      <c r="AV148" s="9">
        <v>0</v>
      </c>
      <c r="AW148" s="9">
        <v>0</v>
      </c>
      <c r="AX148" s="9">
        <v>0</v>
      </c>
      <c r="AY148" s="9">
        <v>0</v>
      </c>
      <c r="AZ148" s="9">
        <v>0</v>
      </c>
      <c r="BA148" s="9">
        <v>0</v>
      </c>
      <c r="BB148" s="9">
        <v>0</v>
      </c>
      <c r="BC148" s="9">
        <v>0</v>
      </c>
      <c r="BD148" s="9">
        <v>0</v>
      </c>
      <c r="BE148" s="9">
        <v>0</v>
      </c>
      <c r="BF148" s="9">
        <v>0</v>
      </c>
      <c r="BG148" s="9">
        <v>0</v>
      </c>
      <c r="BH148" s="9">
        <v>0</v>
      </c>
      <c r="BI148" s="9">
        <v>0</v>
      </c>
      <c r="BJ148" s="9">
        <v>0</v>
      </c>
      <c r="BK148" s="9">
        <v>0</v>
      </c>
      <c r="BL148" s="9">
        <v>0</v>
      </c>
      <c r="BM148" s="9">
        <v>0</v>
      </c>
      <c r="BN148" s="9">
        <v>0</v>
      </c>
      <c r="BO148" s="9">
        <v>0</v>
      </c>
      <c r="BP148" s="10">
        <v>0</v>
      </c>
      <c r="BQ148">
        <v>0</v>
      </c>
      <c r="BR148">
        <v>0</v>
      </c>
    </row>
    <row r="149" spans="1:70" x14ac:dyDescent="0.35">
      <c r="A149" s="8" t="s">
        <v>174</v>
      </c>
      <c r="B149" s="9" t="s">
        <v>777</v>
      </c>
      <c r="C149" s="10" t="s">
        <v>778</v>
      </c>
      <c r="D149" s="34">
        <f t="shared" si="4"/>
        <v>0</v>
      </c>
      <c r="E149" s="9">
        <v>0</v>
      </c>
      <c r="F149" s="9">
        <v>0</v>
      </c>
      <c r="G149" s="9">
        <v>0</v>
      </c>
      <c r="H149" s="9">
        <v>0</v>
      </c>
      <c r="I149" s="9">
        <v>0</v>
      </c>
      <c r="J149" s="9">
        <v>0</v>
      </c>
      <c r="K149" s="9">
        <v>0</v>
      </c>
      <c r="L149" s="9">
        <v>0</v>
      </c>
      <c r="M149" s="9">
        <v>0</v>
      </c>
      <c r="N149" s="9">
        <v>0</v>
      </c>
      <c r="O149" s="9">
        <v>0</v>
      </c>
      <c r="P149" s="9">
        <v>0</v>
      </c>
      <c r="Q149" s="9">
        <v>0</v>
      </c>
      <c r="R149" s="9">
        <v>0</v>
      </c>
      <c r="S149" s="9">
        <v>0</v>
      </c>
      <c r="T149" s="9">
        <v>0</v>
      </c>
      <c r="U149" s="9">
        <v>0</v>
      </c>
      <c r="V149" s="9">
        <v>0</v>
      </c>
      <c r="W149" s="9">
        <v>0</v>
      </c>
      <c r="X149" s="9">
        <v>0</v>
      </c>
      <c r="Y149" s="9">
        <v>0</v>
      </c>
      <c r="Z149" s="9">
        <v>0</v>
      </c>
      <c r="AA149" s="9">
        <v>0</v>
      </c>
      <c r="AB149" s="9">
        <v>0</v>
      </c>
      <c r="AC149" s="9">
        <v>0</v>
      </c>
      <c r="AD149" s="9">
        <v>0</v>
      </c>
      <c r="AE149" s="9">
        <v>0</v>
      </c>
      <c r="AF149" s="9">
        <v>0</v>
      </c>
      <c r="AG149" s="9">
        <v>0</v>
      </c>
      <c r="AH149" s="9">
        <v>0</v>
      </c>
      <c r="AI149" s="9">
        <v>0</v>
      </c>
      <c r="AJ149" s="9">
        <v>0</v>
      </c>
      <c r="AK149" s="9">
        <v>0</v>
      </c>
      <c r="AL149" s="9">
        <v>0</v>
      </c>
      <c r="AM149" s="9">
        <v>0</v>
      </c>
      <c r="AN149" s="9">
        <v>0</v>
      </c>
      <c r="AO149" s="9">
        <v>0</v>
      </c>
      <c r="AP149" s="9">
        <v>0</v>
      </c>
      <c r="AQ149" s="9">
        <v>0</v>
      </c>
      <c r="AR149" s="9">
        <v>0</v>
      </c>
      <c r="AS149" s="9">
        <v>0</v>
      </c>
      <c r="AT149" s="9">
        <v>0</v>
      </c>
      <c r="AU149" s="9">
        <v>0</v>
      </c>
      <c r="AV149" s="9">
        <v>0</v>
      </c>
      <c r="AW149" s="9">
        <v>0</v>
      </c>
      <c r="AX149" s="9">
        <v>0</v>
      </c>
      <c r="AY149" s="9">
        <v>0</v>
      </c>
      <c r="AZ149" s="9">
        <v>0</v>
      </c>
      <c r="BA149" s="9">
        <v>0</v>
      </c>
      <c r="BB149" s="9">
        <v>0</v>
      </c>
      <c r="BC149" s="9">
        <v>0</v>
      </c>
      <c r="BD149" s="9">
        <v>0</v>
      </c>
      <c r="BE149" s="9">
        <v>0</v>
      </c>
      <c r="BF149" s="9">
        <v>0</v>
      </c>
      <c r="BG149" s="9">
        <v>0</v>
      </c>
      <c r="BH149" s="9">
        <v>0</v>
      </c>
      <c r="BI149" s="9">
        <v>0</v>
      </c>
      <c r="BJ149" s="9">
        <v>0</v>
      </c>
      <c r="BK149" s="9">
        <v>0</v>
      </c>
      <c r="BL149" s="9">
        <v>0</v>
      </c>
      <c r="BM149" s="9">
        <v>0</v>
      </c>
      <c r="BN149" s="9">
        <v>0</v>
      </c>
      <c r="BO149" s="9">
        <v>0</v>
      </c>
      <c r="BP149" s="10">
        <v>0</v>
      </c>
      <c r="BQ149">
        <v>0</v>
      </c>
      <c r="BR149">
        <v>0</v>
      </c>
    </row>
    <row r="150" spans="1:70" x14ac:dyDescent="0.35">
      <c r="A150" s="8" t="s">
        <v>174</v>
      </c>
      <c r="B150" s="9" t="s">
        <v>779</v>
      </c>
      <c r="C150" s="10" t="s">
        <v>780</v>
      </c>
      <c r="D150" s="34">
        <f t="shared" si="4"/>
        <v>0</v>
      </c>
      <c r="E150" s="9">
        <v>0</v>
      </c>
      <c r="F150" s="9">
        <v>0</v>
      </c>
      <c r="G150" s="9">
        <v>0</v>
      </c>
      <c r="H150" s="9">
        <v>0</v>
      </c>
      <c r="I150" s="9">
        <v>0</v>
      </c>
      <c r="J150" s="9">
        <v>0</v>
      </c>
      <c r="K150" s="9">
        <v>0</v>
      </c>
      <c r="L150" s="9">
        <v>0</v>
      </c>
      <c r="M150" s="9">
        <v>0</v>
      </c>
      <c r="N150" s="9">
        <v>0</v>
      </c>
      <c r="O150" s="9">
        <v>0</v>
      </c>
      <c r="P150" s="9">
        <v>0</v>
      </c>
      <c r="Q150" s="9">
        <v>0</v>
      </c>
      <c r="R150" s="9">
        <v>0</v>
      </c>
      <c r="S150" s="9">
        <v>0</v>
      </c>
      <c r="T150" s="9">
        <v>0</v>
      </c>
      <c r="U150" s="9">
        <v>0</v>
      </c>
      <c r="V150" s="9">
        <v>0</v>
      </c>
      <c r="W150" s="9">
        <v>0</v>
      </c>
      <c r="X150" s="9">
        <v>0</v>
      </c>
      <c r="Y150" s="9">
        <v>0</v>
      </c>
      <c r="Z150" s="9">
        <v>0</v>
      </c>
      <c r="AA150" s="9">
        <v>0</v>
      </c>
      <c r="AB150" s="9">
        <v>0</v>
      </c>
      <c r="AC150" s="9">
        <v>0</v>
      </c>
      <c r="AD150" s="9">
        <v>0</v>
      </c>
      <c r="AE150" s="9">
        <v>0</v>
      </c>
      <c r="AF150" s="9">
        <v>0</v>
      </c>
      <c r="AG150" s="9">
        <v>0</v>
      </c>
      <c r="AH150" s="9">
        <v>0</v>
      </c>
      <c r="AI150" s="9">
        <v>0</v>
      </c>
      <c r="AJ150" s="9">
        <v>0</v>
      </c>
      <c r="AK150" s="9">
        <v>0</v>
      </c>
      <c r="AL150" s="9">
        <v>0</v>
      </c>
      <c r="AM150" s="9">
        <v>0</v>
      </c>
      <c r="AN150" s="9">
        <v>0</v>
      </c>
      <c r="AO150" s="9">
        <v>0</v>
      </c>
      <c r="AP150" s="9">
        <v>0</v>
      </c>
      <c r="AQ150" s="9">
        <v>0</v>
      </c>
      <c r="AR150" s="9">
        <v>0</v>
      </c>
      <c r="AS150" s="9">
        <v>0</v>
      </c>
      <c r="AT150" s="9">
        <v>0</v>
      </c>
      <c r="AU150" s="9">
        <v>0</v>
      </c>
      <c r="AV150" s="9">
        <v>0</v>
      </c>
      <c r="AW150" s="9">
        <v>0</v>
      </c>
      <c r="AX150" s="9">
        <v>0</v>
      </c>
      <c r="AY150" s="9">
        <v>0</v>
      </c>
      <c r="AZ150" s="9">
        <v>0</v>
      </c>
      <c r="BA150" s="9">
        <v>0</v>
      </c>
      <c r="BB150" s="9">
        <v>0</v>
      </c>
      <c r="BC150" s="9">
        <v>0</v>
      </c>
      <c r="BD150" s="9">
        <v>0</v>
      </c>
      <c r="BE150" s="9">
        <v>0</v>
      </c>
      <c r="BF150" s="9">
        <v>0</v>
      </c>
      <c r="BG150" s="9">
        <v>0</v>
      </c>
      <c r="BH150" s="9">
        <v>0</v>
      </c>
      <c r="BI150" s="9">
        <v>0</v>
      </c>
      <c r="BJ150" s="9">
        <v>0</v>
      </c>
      <c r="BK150" s="9">
        <v>0</v>
      </c>
      <c r="BL150" s="9">
        <v>0</v>
      </c>
      <c r="BM150" s="9">
        <v>0</v>
      </c>
      <c r="BN150" s="9">
        <v>0</v>
      </c>
      <c r="BO150" s="9">
        <v>0</v>
      </c>
      <c r="BP150" s="10">
        <v>0</v>
      </c>
      <c r="BQ150">
        <v>0</v>
      </c>
      <c r="BR150">
        <v>0</v>
      </c>
    </row>
    <row r="151" spans="1:70" x14ac:dyDescent="0.35">
      <c r="A151" s="8" t="s">
        <v>174</v>
      </c>
      <c r="B151" s="9" t="s">
        <v>781</v>
      </c>
      <c r="C151" s="10" t="s">
        <v>782</v>
      </c>
      <c r="D151" s="34">
        <f t="shared" si="4"/>
        <v>0</v>
      </c>
      <c r="E151" s="9">
        <v>0</v>
      </c>
      <c r="F151" s="9">
        <v>0</v>
      </c>
      <c r="G151" s="9">
        <v>0</v>
      </c>
      <c r="H151" s="9">
        <v>0</v>
      </c>
      <c r="I151" s="9">
        <v>0</v>
      </c>
      <c r="J151" s="9">
        <v>0</v>
      </c>
      <c r="K151" s="9">
        <v>0</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s="9">
        <v>0</v>
      </c>
      <c r="AT151" s="9">
        <v>0</v>
      </c>
      <c r="AU151" s="9">
        <v>0</v>
      </c>
      <c r="AV151" s="9">
        <v>0</v>
      </c>
      <c r="AW151" s="9">
        <v>0</v>
      </c>
      <c r="AX151" s="9">
        <v>0</v>
      </c>
      <c r="AY151" s="9">
        <v>0</v>
      </c>
      <c r="AZ151" s="9">
        <v>0</v>
      </c>
      <c r="BA151" s="9">
        <v>0</v>
      </c>
      <c r="BB151" s="9">
        <v>0</v>
      </c>
      <c r="BC151" s="9">
        <v>0</v>
      </c>
      <c r="BD151" s="9">
        <v>0</v>
      </c>
      <c r="BE151" s="9">
        <v>0</v>
      </c>
      <c r="BF151" s="9">
        <v>0</v>
      </c>
      <c r="BG151" s="9">
        <v>0</v>
      </c>
      <c r="BH151" s="9">
        <v>0</v>
      </c>
      <c r="BI151" s="9">
        <v>0</v>
      </c>
      <c r="BJ151" s="9">
        <v>0</v>
      </c>
      <c r="BK151" s="9">
        <v>0</v>
      </c>
      <c r="BL151" s="9">
        <v>0</v>
      </c>
      <c r="BM151" s="9">
        <v>0</v>
      </c>
      <c r="BN151" s="9">
        <v>0</v>
      </c>
      <c r="BO151" s="9">
        <v>0</v>
      </c>
      <c r="BP151" s="10">
        <v>0</v>
      </c>
      <c r="BQ151">
        <v>0</v>
      </c>
      <c r="BR151">
        <v>0</v>
      </c>
    </row>
    <row r="152" spans="1:70" x14ac:dyDescent="0.35">
      <c r="A152" s="8" t="s">
        <v>174</v>
      </c>
      <c r="B152" s="9" t="s">
        <v>783</v>
      </c>
      <c r="C152" s="10" t="s">
        <v>784</v>
      </c>
      <c r="D152" s="34">
        <f t="shared" si="4"/>
        <v>0</v>
      </c>
      <c r="E152" s="9">
        <v>0</v>
      </c>
      <c r="F152" s="9">
        <v>0</v>
      </c>
      <c r="G152" s="9">
        <v>0</v>
      </c>
      <c r="H152" s="9">
        <v>0</v>
      </c>
      <c r="I152" s="9">
        <v>0</v>
      </c>
      <c r="J152" s="9">
        <v>0</v>
      </c>
      <c r="K152" s="9">
        <v>0</v>
      </c>
      <c r="L152" s="9">
        <v>0</v>
      </c>
      <c r="M152" s="9">
        <v>0</v>
      </c>
      <c r="N152" s="9">
        <v>0</v>
      </c>
      <c r="O152" s="9">
        <v>0</v>
      </c>
      <c r="P152" s="9">
        <v>0</v>
      </c>
      <c r="Q152" s="9">
        <v>0</v>
      </c>
      <c r="R152" s="9">
        <v>0</v>
      </c>
      <c r="S152" s="9">
        <v>0</v>
      </c>
      <c r="T152" s="9">
        <v>0</v>
      </c>
      <c r="U152" s="9">
        <v>0</v>
      </c>
      <c r="V152" s="9">
        <v>0</v>
      </c>
      <c r="W152" s="9">
        <v>0</v>
      </c>
      <c r="X152" s="9">
        <v>0</v>
      </c>
      <c r="Y152" s="9">
        <v>0</v>
      </c>
      <c r="Z152" s="9">
        <v>0</v>
      </c>
      <c r="AA152" s="9">
        <v>0</v>
      </c>
      <c r="AB152" s="9">
        <v>0</v>
      </c>
      <c r="AC152" s="9">
        <v>0</v>
      </c>
      <c r="AD152" s="9">
        <v>0</v>
      </c>
      <c r="AE152" s="9">
        <v>0</v>
      </c>
      <c r="AF152" s="9">
        <v>0</v>
      </c>
      <c r="AG152" s="9">
        <v>0</v>
      </c>
      <c r="AH152" s="9">
        <v>0</v>
      </c>
      <c r="AI152" s="9">
        <v>0</v>
      </c>
      <c r="AJ152" s="9">
        <v>0</v>
      </c>
      <c r="AK152" s="9">
        <v>0</v>
      </c>
      <c r="AL152" s="9">
        <v>0</v>
      </c>
      <c r="AM152" s="9">
        <v>0</v>
      </c>
      <c r="AN152" s="9">
        <v>0</v>
      </c>
      <c r="AO152" s="9">
        <v>0</v>
      </c>
      <c r="AP152" s="9">
        <v>0</v>
      </c>
      <c r="AQ152" s="9">
        <v>0</v>
      </c>
      <c r="AR152" s="9">
        <v>0</v>
      </c>
      <c r="AS152" s="9">
        <v>0</v>
      </c>
      <c r="AT152" s="9">
        <v>0</v>
      </c>
      <c r="AU152" s="9">
        <v>0</v>
      </c>
      <c r="AV152" s="9">
        <v>0</v>
      </c>
      <c r="AW152" s="9">
        <v>0</v>
      </c>
      <c r="AX152" s="9">
        <v>0</v>
      </c>
      <c r="AY152" s="9">
        <v>0</v>
      </c>
      <c r="AZ152" s="9">
        <v>0</v>
      </c>
      <c r="BA152" s="9">
        <v>0</v>
      </c>
      <c r="BB152" s="9">
        <v>0</v>
      </c>
      <c r="BC152" s="9">
        <v>0</v>
      </c>
      <c r="BD152" s="9">
        <v>0</v>
      </c>
      <c r="BE152" s="9">
        <v>0</v>
      </c>
      <c r="BF152" s="9">
        <v>0</v>
      </c>
      <c r="BG152" s="9">
        <v>0</v>
      </c>
      <c r="BH152" s="9">
        <v>0</v>
      </c>
      <c r="BI152" s="9">
        <v>0</v>
      </c>
      <c r="BJ152" s="9">
        <v>0</v>
      </c>
      <c r="BK152" s="9">
        <v>0</v>
      </c>
      <c r="BL152" s="9">
        <v>0</v>
      </c>
      <c r="BM152" s="9">
        <v>0</v>
      </c>
      <c r="BN152" s="9">
        <v>0</v>
      </c>
      <c r="BO152" s="9">
        <v>0</v>
      </c>
      <c r="BP152" s="10">
        <v>0</v>
      </c>
      <c r="BQ152">
        <v>0</v>
      </c>
      <c r="BR152">
        <v>0</v>
      </c>
    </row>
    <row r="153" spans="1:70" x14ac:dyDescent="0.35">
      <c r="A153" s="8" t="s">
        <v>174</v>
      </c>
      <c r="B153" s="9" t="s">
        <v>785</v>
      </c>
      <c r="C153" s="10" t="s">
        <v>786</v>
      </c>
      <c r="D153" s="34">
        <f t="shared" si="4"/>
        <v>0</v>
      </c>
      <c r="E153" s="9">
        <v>0</v>
      </c>
      <c r="F153" s="9">
        <v>0</v>
      </c>
      <c r="G153" s="9">
        <v>0</v>
      </c>
      <c r="H153" s="9">
        <v>0</v>
      </c>
      <c r="I153" s="9">
        <v>0</v>
      </c>
      <c r="J153" s="9">
        <v>0</v>
      </c>
      <c r="K153" s="9">
        <v>0</v>
      </c>
      <c r="L153" s="9">
        <v>0</v>
      </c>
      <c r="M153" s="9">
        <v>0</v>
      </c>
      <c r="N153" s="9">
        <v>0</v>
      </c>
      <c r="O153" s="9">
        <v>0</v>
      </c>
      <c r="P153" s="9">
        <v>0</v>
      </c>
      <c r="Q153" s="9">
        <v>0</v>
      </c>
      <c r="R153" s="9">
        <v>0</v>
      </c>
      <c r="S153" s="9">
        <v>0</v>
      </c>
      <c r="T153" s="9">
        <v>0</v>
      </c>
      <c r="U153" s="9">
        <v>0</v>
      </c>
      <c r="V153" s="9">
        <v>0</v>
      </c>
      <c r="W153" s="9">
        <v>0</v>
      </c>
      <c r="X153" s="9">
        <v>0</v>
      </c>
      <c r="Y153" s="9">
        <v>0</v>
      </c>
      <c r="Z153" s="9">
        <v>0</v>
      </c>
      <c r="AA153" s="9">
        <v>0</v>
      </c>
      <c r="AB153" s="9">
        <v>0</v>
      </c>
      <c r="AC153" s="9">
        <v>0</v>
      </c>
      <c r="AD153" s="9">
        <v>0</v>
      </c>
      <c r="AE153" s="9">
        <v>0</v>
      </c>
      <c r="AF153" s="9">
        <v>0</v>
      </c>
      <c r="AG153" s="9">
        <v>0</v>
      </c>
      <c r="AH153" s="9">
        <v>0</v>
      </c>
      <c r="AI153" s="9">
        <v>0</v>
      </c>
      <c r="AJ153" s="9">
        <v>0</v>
      </c>
      <c r="AK153" s="9">
        <v>0</v>
      </c>
      <c r="AL153" s="9">
        <v>0</v>
      </c>
      <c r="AM153" s="9">
        <v>0</v>
      </c>
      <c r="AN153" s="9">
        <v>0</v>
      </c>
      <c r="AO153" s="9">
        <v>0</v>
      </c>
      <c r="AP153" s="9">
        <v>0</v>
      </c>
      <c r="AQ153" s="9">
        <v>0</v>
      </c>
      <c r="AR153" s="9">
        <v>0</v>
      </c>
      <c r="AS153" s="9">
        <v>0</v>
      </c>
      <c r="AT153" s="9">
        <v>0</v>
      </c>
      <c r="AU153" s="9">
        <v>0</v>
      </c>
      <c r="AV153" s="9">
        <v>0</v>
      </c>
      <c r="AW153" s="9">
        <v>0</v>
      </c>
      <c r="AX153" s="9">
        <v>0</v>
      </c>
      <c r="AY153" s="9">
        <v>0</v>
      </c>
      <c r="AZ153" s="9">
        <v>0</v>
      </c>
      <c r="BA153" s="9">
        <v>0</v>
      </c>
      <c r="BB153" s="9">
        <v>0</v>
      </c>
      <c r="BC153" s="9">
        <v>0</v>
      </c>
      <c r="BD153" s="9">
        <v>0</v>
      </c>
      <c r="BE153" s="9">
        <v>0</v>
      </c>
      <c r="BF153" s="9">
        <v>0</v>
      </c>
      <c r="BG153" s="9">
        <v>0</v>
      </c>
      <c r="BH153" s="9">
        <v>0</v>
      </c>
      <c r="BI153" s="9">
        <v>0</v>
      </c>
      <c r="BJ153" s="9">
        <v>0</v>
      </c>
      <c r="BK153" s="9">
        <v>0</v>
      </c>
      <c r="BL153" s="9">
        <v>0</v>
      </c>
      <c r="BM153" s="9">
        <v>0</v>
      </c>
      <c r="BN153" s="9">
        <v>0</v>
      </c>
      <c r="BO153" s="9">
        <v>0</v>
      </c>
      <c r="BP153" s="10">
        <v>0</v>
      </c>
      <c r="BQ153">
        <v>0</v>
      </c>
      <c r="BR153">
        <v>0</v>
      </c>
    </row>
    <row r="154" spans="1:70" x14ac:dyDescent="0.35">
      <c r="A154" s="8" t="s">
        <v>174</v>
      </c>
      <c r="B154" s="9" t="s">
        <v>787</v>
      </c>
      <c r="C154" s="10" t="s">
        <v>788</v>
      </c>
      <c r="D154" s="34">
        <f t="shared" si="4"/>
        <v>0</v>
      </c>
      <c r="E154" s="9">
        <v>0</v>
      </c>
      <c r="F154" s="9">
        <v>0</v>
      </c>
      <c r="G154" s="9">
        <v>0</v>
      </c>
      <c r="H154" s="9">
        <v>0</v>
      </c>
      <c r="I154" s="9">
        <v>0</v>
      </c>
      <c r="J154" s="9">
        <v>0</v>
      </c>
      <c r="K154" s="9">
        <v>0</v>
      </c>
      <c r="L154" s="9">
        <v>0</v>
      </c>
      <c r="M154" s="9">
        <v>0</v>
      </c>
      <c r="N154" s="9">
        <v>0</v>
      </c>
      <c r="O154" s="9">
        <v>0</v>
      </c>
      <c r="P154" s="9">
        <v>0</v>
      </c>
      <c r="Q154" s="9">
        <v>0</v>
      </c>
      <c r="R154" s="9">
        <v>0</v>
      </c>
      <c r="S154" s="9">
        <v>0</v>
      </c>
      <c r="T154" s="9">
        <v>0</v>
      </c>
      <c r="U154" s="9">
        <v>0</v>
      </c>
      <c r="V154" s="9">
        <v>0</v>
      </c>
      <c r="W154" s="9">
        <v>0</v>
      </c>
      <c r="X154" s="9">
        <v>0</v>
      </c>
      <c r="Y154" s="9">
        <v>0</v>
      </c>
      <c r="Z154" s="9">
        <v>0</v>
      </c>
      <c r="AA154" s="9">
        <v>0</v>
      </c>
      <c r="AB154" s="9">
        <v>0</v>
      </c>
      <c r="AC154" s="9">
        <v>0</v>
      </c>
      <c r="AD154" s="9">
        <v>0</v>
      </c>
      <c r="AE154" s="9">
        <v>0</v>
      </c>
      <c r="AF154" s="9">
        <v>0</v>
      </c>
      <c r="AG154" s="9">
        <v>0</v>
      </c>
      <c r="AH154" s="9">
        <v>0</v>
      </c>
      <c r="AI154" s="9">
        <v>0</v>
      </c>
      <c r="AJ154" s="9">
        <v>0</v>
      </c>
      <c r="AK154" s="9">
        <v>0</v>
      </c>
      <c r="AL154" s="9">
        <v>0</v>
      </c>
      <c r="AM154" s="9">
        <v>0</v>
      </c>
      <c r="AN154" s="9">
        <v>0</v>
      </c>
      <c r="AO154" s="9">
        <v>0</v>
      </c>
      <c r="AP154" s="9">
        <v>0</v>
      </c>
      <c r="AQ154" s="9">
        <v>0</v>
      </c>
      <c r="AR154" s="9">
        <v>0</v>
      </c>
      <c r="AS154" s="9">
        <v>0</v>
      </c>
      <c r="AT154" s="9">
        <v>0</v>
      </c>
      <c r="AU154" s="9">
        <v>0</v>
      </c>
      <c r="AV154" s="9">
        <v>0</v>
      </c>
      <c r="AW154" s="9">
        <v>0</v>
      </c>
      <c r="AX154" s="9">
        <v>0</v>
      </c>
      <c r="AY154" s="9">
        <v>0</v>
      </c>
      <c r="AZ154" s="9">
        <v>0</v>
      </c>
      <c r="BA154" s="9">
        <v>0</v>
      </c>
      <c r="BB154" s="9">
        <v>0</v>
      </c>
      <c r="BC154" s="9">
        <v>0</v>
      </c>
      <c r="BD154" s="9">
        <v>0</v>
      </c>
      <c r="BE154" s="9">
        <v>0</v>
      </c>
      <c r="BF154" s="9">
        <v>0</v>
      </c>
      <c r="BG154" s="9">
        <v>0</v>
      </c>
      <c r="BH154" s="9">
        <v>0</v>
      </c>
      <c r="BI154" s="9">
        <v>0</v>
      </c>
      <c r="BJ154" s="9">
        <v>0</v>
      </c>
      <c r="BK154" s="9">
        <v>0</v>
      </c>
      <c r="BL154" s="9">
        <v>0</v>
      </c>
      <c r="BM154" s="9">
        <v>0</v>
      </c>
      <c r="BN154" s="9">
        <v>0</v>
      </c>
      <c r="BO154" s="9">
        <v>0</v>
      </c>
      <c r="BP154" s="10">
        <v>0</v>
      </c>
      <c r="BQ154">
        <v>0</v>
      </c>
      <c r="BR154">
        <v>0</v>
      </c>
    </row>
    <row r="155" spans="1:70" x14ac:dyDescent="0.35">
      <c r="A155" s="8" t="s">
        <v>174</v>
      </c>
      <c r="B155" s="9" t="s">
        <v>789</v>
      </c>
      <c r="C155" s="10" t="s">
        <v>790</v>
      </c>
      <c r="D155" s="34">
        <f t="shared" si="4"/>
        <v>0</v>
      </c>
      <c r="E155" s="9">
        <v>0</v>
      </c>
      <c r="F155" s="9">
        <v>0</v>
      </c>
      <c r="G155" s="9">
        <v>0</v>
      </c>
      <c r="H155" s="9">
        <v>0</v>
      </c>
      <c r="I155" s="9">
        <v>0</v>
      </c>
      <c r="J155" s="9">
        <v>0</v>
      </c>
      <c r="K155" s="9">
        <v>0</v>
      </c>
      <c r="L155" s="9">
        <v>0</v>
      </c>
      <c r="M155" s="9">
        <v>0</v>
      </c>
      <c r="N155" s="9">
        <v>0</v>
      </c>
      <c r="O155" s="9">
        <v>0</v>
      </c>
      <c r="P155" s="9">
        <v>0</v>
      </c>
      <c r="Q155" s="9">
        <v>0</v>
      </c>
      <c r="R155" s="9">
        <v>0</v>
      </c>
      <c r="S155" s="9">
        <v>0</v>
      </c>
      <c r="T155" s="9">
        <v>0</v>
      </c>
      <c r="U155" s="9">
        <v>0</v>
      </c>
      <c r="V155" s="9">
        <v>0</v>
      </c>
      <c r="W155" s="9">
        <v>0</v>
      </c>
      <c r="X155" s="9">
        <v>0</v>
      </c>
      <c r="Y155" s="9">
        <v>0</v>
      </c>
      <c r="Z155" s="9">
        <v>0</v>
      </c>
      <c r="AA155" s="9">
        <v>0</v>
      </c>
      <c r="AB155" s="9">
        <v>0</v>
      </c>
      <c r="AC155" s="9">
        <v>0</v>
      </c>
      <c r="AD155" s="9">
        <v>0</v>
      </c>
      <c r="AE155" s="9">
        <v>0</v>
      </c>
      <c r="AF155" s="9">
        <v>0</v>
      </c>
      <c r="AG155" s="9">
        <v>0</v>
      </c>
      <c r="AH155" s="9">
        <v>0</v>
      </c>
      <c r="AI155" s="9">
        <v>0</v>
      </c>
      <c r="AJ155" s="9">
        <v>0</v>
      </c>
      <c r="AK155" s="9">
        <v>0</v>
      </c>
      <c r="AL155" s="9">
        <v>0</v>
      </c>
      <c r="AM155" s="9">
        <v>0</v>
      </c>
      <c r="AN155" s="9">
        <v>0</v>
      </c>
      <c r="AO155" s="9">
        <v>0</v>
      </c>
      <c r="AP155" s="9">
        <v>0</v>
      </c>
      <c r="AQ155" s="9">
        <v>0</v>
      </c>
      <c r="AR155" s="9">
        <v>0</v>
      </c>
      <c r="AS155" s="9">
        <v>0</v>
      </c>
      <c r="AT155" s="9">
        <v>0</v>
      </c>
      <c r="AU155" s="9">
        <v>0</v>
      </c>
      <c r="AV155" s="9">
        <v>0</v>
      </c>
      <c r="AW155" s="9">
        <v>0</v>
      </c>
      <c r="AX155" s="9">
        <v>0</v>
      </c>
      <c r="AY155" s="9">
        <v>0</v>
      </c>
      <c r="AZ155" s="9">
        <v>0</v>
      </c>
      <c r="BA155" s="9">
        <v>0</v>
      </c>
      <c r="BB155" s="9">
        <v>0</v>
      </c>
      <c r="BC155" s="9">
        <v>0</v>
      </c>
      <c r="BD155" s="9">
        <v>0</v>
      </c>
      <c r="BE155" s="9">
        <v>0</v>
      </c>
      <c r="BF155" s="9">
        <v>0</v>
      </c>
      <c r="BG155" s="9">
        <v>0</v>
      </c>
      <c r="BH155" s="9">
        <v>0</v>
      </c>
      <c r="BI155" s="9">
        <v>0</v>
      </c>
      <c r="BJ155" s="9">
        <v>0</v>
      </c>
      <c r="BK155" s="9">
        <v>0</v>
      </c>
      <c r="BL155" s="9">
        <v>0</v>
      </c>
      <c r="BM155" s="9">
        <v>0</v>
      </c>
      <c r="BN155" s="9">
        <v>0</v>
      </c>
      <c r="BO155" s="9">
        <v>0</v>
      </c>
      <c r="BP155" s="10">
        <v>0</v>
      </c>
      <c r="BQ155">
        <v>0</v>
      </c>
      <c r="BR155">
        <v>0</v>
      </c>
    </row>
    <row r="156" spans="1:70" x14ac:dyDescent="0.35">
      <c r="A156" s="8" t="s">
        <v>174</v>
      </c>
      <c r="B156" s="9" t="s">
        <v>791</v>
      </c>
      <c r="C156" s="10" t="s">
        <v>792</v>
      </c>
      <c r="D156" s="34">
        <f t="shared" si="4"/>
        <v>0</v>
      </c>
      <c r="E156" s="9">
        <v>0</v>
      </c>
      <c r="F156" s="9">
        <v>0</v>
      </c>
      <c r="G156" s="9">
        <v>0</v>
      </c>
      <c r="H156" s="9">
        <v>0</v>
      </c>
      <c r="I156" s="9">
        <v>0</v>
      </c>
      <c r="J156" s="9">
        <v>0</v>
      </c>
      <c r="K156" s="9">
        <v>0</v>
      </c>
      <c r="L156" s="9">
        <v>0</v>
      </c>
      <c r="M156" s="9">
        <v>0</v>
      </c>
      <c r="N156" s="9">
        <v>0</v>
      </c>
      <c r="O156" s="9">
        <v>0</v>
      </c>
      <c r="P156" s="9">
        <v>0</v>
      </c>
      <c r="Q156" s="9">
        <v>0</v>
      </c>
      <c r="R156" s="9">
        <v>0</v>
      </c>
      <c r="S156" s="9">
        <v>0</v>
      </c>
      <c r="T156" s="9">
        <v>0</v>
      </c>
      <c r="U156" s="9">
        <v>0</v>
      </c>
      <c r="V156" s="9">
        <v>0</v>
      </c>
      <c r="W156" s="9">
        <v>0</v>
      </c>
      <c r="X156" s="9">
        <v>0</v>
      </c>
      <c r="Y156" s="9">
        <v>0</v>
      </c>
      <c r="Z156" s="9">
        <v>0</v>
      </c>
      <c r="AA156" s="9">
        <v>0</v>
      </c>
      <c r="AB156" s="9">
        <v>0</v>
      </c>
      <c r="AC156" s="9">
        <v>0</v>
      </c>
      <c r="AD156" s="9">
        <v>0</v>
      </c>
      <c r="AE156" s="9">
        <v>0</v>
      </c>
      <c r="AF156" s="9">
        <v>0</v>
      </c>
      <c r="AG156" s="9">
        <v>0</v>
      </c>
      <c r="AH156" s="9">
        <v>0</v>
      </c>
      <c r="AI156" s="9">
        <v>0</v>
      </c>
      <c r="AJ156" s="9">
        <v>0</v>
      </c>
      <c r="AK156" s="9">
        <v>0</v>
      </c>
      <c r="AL156" s="9">
        <v>0</v>
      </c>
      <c r="AM156" s="9">
        <v>0</v>
      </c>
      <c r="AN156" s="9">
        <v>0</v>
      </c>
      <c r="AO156" s="9">
        <v>0</v>
      </c>
      <c r="AP156" s="9">
        <v>0</v>
      </c>
      <c r="AQ156" s="9">
        <v>0</v>
      </c>
      <c r="AR156" s="9">
        <v>0</v>
      </c>
      <c r="AS156" s="9">
        <v>0</v>
      </c>
      <c r="AT156" s="9">
        <v>0</v>
      </c>
      <c r="AU156" s="9">
        <v>0</v>
      </c>
      <c r="AV156" s="9">
        <v>0</v>
      </c>
      <c r="AW156" s="9">
        <v>0</v>
      </c>
      <c r="AX156" s="9">
        <v>0</v>
      </c>
      <c r="AY156" s="9">
        <v>0</v>
      </c>
      <c r="AZ156" s="9">
        <v>0</v>
      </c>
      <c r="BA156" s="9">
        <v>0</v>
      </c>
      <c r="BB156" s="9">
        <v>0</v>
      </c>
      <c r="BC156" s="9">
        <v>0</v>
      </c>
      <c r="BD156" s="9">
        <v>0</v>
      </c>
      <c r="BE156" s="9">
        <v>0</v>
      </c>
      <c r="BF156" s="9">
        <v>0</v>
      </c>
      <c r="BG156" s="9">
        <v>0</v>
      </c>
      <c r="BH156" s="9">
        <v>0</v>
      </c>
      <c r="BI156" s="9">
        <v>0</v>
      </c>
      <c r="BJ156" s="9">
        <v>0</v>
      </c>
      <c r="BK156" s="9">
        <v>0</v>
      </c>
      <c r="BL156" s="9">
        <v>0</v>
      </c>
      <c r="BM156" s="9">
        <v>0</v>
      </c>
      <c r="BN156" s="9">
        <v>0</v>
      </c>
      <c r="BO156" s="9">
        <v>0</v>
      </c>
      <c r="BP156" s="10">
        <v>0</v>
      </c>
      <c r="BQ156">
        <v>0</v>
      </c>
      <c r="BR156">
        <v>0</v>
      </c>
    </row>
    <row r="157" spans="1:70" x14ac:dyDescent="0.35">
      <c r="A157" s="8" t="s">
        <v>174</v>
      </c>
      <c r="B157" s="9" t="s">
        <v>793</v>
      </c>
      <c r="C157" s="10" t="s">
        <v>794</v>
      </c>
      <c r="D157" s="34">
        <f t="shared" si="4"/>
        <v>0</v>
      </c>
      <c r="E157" s="9">
        <v>0</v>
      </c>
      <c r="F157" s="9">
        <v>0</v>
      </c>
      <c r="G157" s="9">
        <v>0</v>
      </c>
      <c r="H157" s="9">
        <v>0</v>
      </c>
      <c r="I157" s="9">
        <v>0</v>
      </c>
      <c r="J157" s="9">
        <v>0</v>
      </c>
      <c r="K157" s="9">
        <v>0</v>
      </c>
      <c r="L157" s="9">
        <v>0</v>
      </c>
      <c r="M157" s="9">
        <v>0</v>
      </c>
      <c r="N157" s="9">
        <v>0</v>
      </c>
      <c r="O157" s="9">
        <v>0</v>
      </c>
      <c r="P157" s="9">
        <v>0</v>
      </c>
      <c r="Q157" s="9">
        <v>0</v>
      </c>
      <c r="R157" s="9">
        <v>0</v>
      </c>
      <c r="S157" s="9">
        <v>0</v>
      </c>
      <c r="T157" s="9">
        <v>0</v>
      </c>
      <c r="U157" s="9">
        <v>0</v>
      </c>
      <c r="V157" s="9">
        <v>0</v>
      </c>
      <c r="W157" s="9">
        <v>0</v>
      </c>
      <c r="X157" s="9">
        <v>0</v>
      </c>
      <c r="Y157" s="9">
        <v>0</v>
      </c>
      <c r="Z157" s="9">
        <v>0</v>
      </c>
      <c r="AA157" s="9">
        <v>0</v>
      </c>
      <c r="AB157" s="9">
        <v>0</v>
      </c>
      <c r="AC157" s="9">
        <v>0</v>
      </c>
      <c r="AD157" s="9">
        <v>0</v>
      </c>
      <c r="AE157" s="9">
        <v>0</v>
      </c>
      <c r="AF157" s="9">
        <v>0</v>
      </c>
      <c r="AG157" s="9">
        <v>0</v>
      </c>
      <c r="AH157" s="9">
        <v>0</v>
      </c>
      <c r="AI157" s="9">
        <v>0</v>
      </c>
      <c r="AJ157" s="9">
        <v>0</v>
      </c>
      <c r="AK157" s="9">
        <v>0</v>
      </c>
      <c r="AL157" s="9">
        <v>0</v>
      </c>
      <c r="AM157" s="9">
        <v>0</v>
      </c>
      <c r="AN157" s="9">
        <v>0</v>
      </c>
      <c r="AO157" s="9">
        <v>0</v>
      </c>
      <c r="AP157" s="9">
        <v>0</v>
      </c>
      <c r="AQ157" s="9">
        <v>0</v>
      </c>
      <c r="AR157" s="9">
        <v>0</v>
      </c>
      <c r="AS157" s="9">
        <v>0</v>
      </c>
      <c r="AT157" s="9">
        <v>0</v>
      </c>
      <c r="AU157" s="9">
        <v>0</v>
      </c>
      <c r="AV157" s="9">
        <v>0</v>
      </c>
      <c r="AW157" s="9">
        <v>0</v>
      </c>
      <c r="AX157" s="9">
        <v>0</v>
      </c>
      <c r="AY157" s="9">
        <v>0</v>
      </c>
      <c r="AZ157" s="9">
        <v>0</v>
      </c>
      <c r="BA157" s="9">
        <v>0</v>
      </c>
      <c r="BB157" s="9">
        <v>0</v>
      </c>
      <c r="BC157" s="9">
        <v>0</v>
      </c>
      <c r="BD157" s="9">
        <v>0</v>
      </c>
      <c r="BE157" s="9">
        <v>0</v>
      </c>
      <c r="BF157" s="9">
        <v>0</v>
      </c>
      <c r="BG157" s="9">
        <v>0</v>
      </c>
      <c r="BH157" s="9">
        <v>0</v>
      </c>
      <c r="BI157" s="9">
        <v>0</v>
      </c>
      <c r="BJ157" s="9">
        <v>0</v>
      </c>
      <c r="BK157" s="9">
        <v>0</v>
      </c>
      <c r="BL157" s="9">
        <v>0</v>
      </c>
      <c r="BM157" s="9">
        <v>0</v>
      </c>
      <c r="BN157" s="9">
        <v>0</v>
      </c>
      <c r="BO157" s="9">
        <v>0</v>
      </c>
      <c r="BP157" s="10">
        <v>0</v>
      </c>
      <c r="BQ157">
        <v>0</v>
      </c>
      <c r="BR157">
        <v>0</v>
      </c>
    </row>
    <row r="158" spans="1:70" x14ac:dyDescent="0.35">
      <c r="A158" s="8" t="s">
        <v>174</v>
      </c>
      <c r="B158" s="9" t="s">
        <v>795</v>
      </c>
      <c r="C158" s="10" t="s">
        <v>796</v>
      </c>
      <c r="D158" s="34">
        <f t="shared" si="4"/>
        <v>0</v>
      </c>
      <c r="E158" s="9">
        <v>0</v>
      </c>
      <c r="F158" s="9">
        <v>0</v>
      </c>
      <c r="G158" s="9">
        <v>0</v>
      </c>
      <c r="H158" s="9">
        <v>0</v>
      </c>
      <c r="I158" s="9">
        <v>0</v>
      </c>
      <c r="J158" s="9">
        <v>0</v>
      </c>
      <c r="K158" s="9">
        <v>0</v>
      </c>
      <c r="L158" s="9">
        <v>0</v>
      </c>
      <c r="M158" s="9">
        <v>0</v>
      </c>
      <c r="N158" s="9">
        <v>0</v>
      </c>
      <c r="O158" s="9">
        <v>0</v>
      </c>
      <c r="P158" s="9">
        <v>0</v>
      </c>
      <c r="Q158" s="9">
        <v>0</v>
      </c>
      <c r="R158" s="9">
        <v>0</v>
      </c>
      <c r="S158" s="9">
        <v>0</v>
      </c>
      <c r="T158" s="9">
        <v>0</v>
      </c>
      <c r="U158" s="9">
        <v>0</v>
      </c>
      <c r="V158" s="9">
        <v>0</v>
      </c>
      <c r="W158" s="9">
        <v>0</v>
      </c>
      <c r="X158" s="9">
        <v>0</v>
      </c>
      <c r="Y158" s="9">
        <v>0</v>
      </c>
      <c r="Z158" s="9">
        <v>0</v>
      </c>
      <c r="AA158" s="9">
        <v>0</v>
      </c>
      <c r="AB158" s="9">
        <v>0</v>
      </c>
      <c r="AC158" s="9">
        <v>0</v>
      </c>
      <c r="AD158" s="9">
        <v>0</v>
      </c>
      <c r="AE158" s="9">
        <v>0</v>
      </c>
      <c r="AF158" s="9">
        <v>0</v>
      </c>
      <c r="AG158" s="9">
        <v>0</v>
      </c>
      <c r="AH158" s="9">
        <v>0</v>
      </c>
      <c r="AI158" s="9">
        <v>0</v>
      </c>
      <c r="AJ158" s="9">
        <v>0</v>
      </c>
      <c r="AK158" s="9">
        <v>0</v>
      </c>
      <c r="AL158" s="9">
        <v>0</v>
      </c>
      <c r="AM158" s="9">
        <v>0</v>
      </c>
      <c r="AN158" s="9">
        <v>0</v>
      </c>
      <c r="AO158" s="9">
        <v>0</v>
      </c>
      <c r="AP158" s="9">
        <v>0</v>
      </c>
      <c r="AQ158" s="9">
        <v>0</v>
      </c>
      <c r="AR158" s="9">
        <v>0</v>
      </c>
      <c r="AS158" s="9">
        <v>0</v>
      </c>
      <c r="AT158" s="9">
        <v>0</v>
      </c>
      <c r="AU158" s="9">
        <v>0</v>
      </c>
      <c r="AV158" s="9">
        <v>0</v>
      </c>
      <c r="AW158" s="9">
        <v>0</v>
      </c>
      <c r="AX158" s="9">
        <v>0</v>
      </c>
      <c r="AY158" s="9">
        <v>0</v>
      </c>
      <c r="AZ158" s="9">
        <v>0</v>
      </c>
      <c r="BA158" s="9">
        <v>0</v>
      </c>
      <c r="BB158" s="9">
        <v>0</v>
      </c>
      <c r="BC158" s="9">
        <v>0</v>
      </c>
      <c r="BD158" s="9">
        <v>0</v>
      </c>
      <c r="BE158" s="9">
        <v>0</v>
      </c>
      <c r="BF158" s="9">
        <v>0</v>
      </c>
      <c r="BG158" s="9">
        <v>0</v>
      </c>
      <c r="BH158" s="9">
        <v>0</v>
      </c>
      <c r="BI158" s="9">
        <v>0</v>
      </c>
      <c r="BJ158" s="9">
        <v>0</v>
      </c>
      <c r="BK158" s="9">
        <v>0</v>
      </c>
      <c r="BL158" s="9">
        <v>0</v>
      </c>
      <c r="BM158" s="9">
        <v>0</v>
      </c>
      <c r="BN158" s="9">
        <v>0</v>
      </c>
      <c r="BO158" s="9">
        <v>0</v>
      </c>
      <c r="BP158" s="10">
        <v>0</v>
      </c>
      <c r="BQ158">
        <v>0</v>
      </c>
      <c r="BR158">
        <v>0</v>
      </c>
    </row>
    <row r="159" spans="1:70" x14ac:dyDescent="0.35">
      <c r="A159" s="8" t="s">
        <v>174</v>
      </c>
      <c r="B159" s="9" t="s">
        <v>797</v>
      </c>
      <c r="C159" s="10" t="s">
        <v>798</v>
      </c>
      <c r="D159" s="34">
        <f t="shared" si="4"/>
        <v>4</v>
      </c>
      <c r="E159" s="9">
        <v>0</v>
      </c>
      <c r="F159" s="9">
        <v>0</v>
      </c>
      <c r="G159" s="9">
        <v>0</v>
      </c>
      <c r="H159" s="9">
        <v>0</v>
      </c>
      <c r="I159" s="9">
        <v>0</v>
      </c>
      <c r="J159" s="9">
        <v>0</v>
      </c>
      <c r="K159" s="9">
        <v>0</v>
      </c>
      <c r="L159" s="9">
        <v>0</v>
      </c>
      <c r="M159" s="9">
        <v>0</v>
      </c>
      <c r="N159" s="9">
        <v>0</v>
      </c>
      <c r="O159" s="9">
        <v>0</v>
      </c>
      <c r="P159" s="9">
        <v>0</v>
      </c>
      <c r="Q159" s="9">
        <v>0</v>
      </c>
      <c r="R159" s="9">
        <v>0</v>
      </c>
      <c r="S159" s="9">
        <v>0</v>
      </c>
      <c r="T159" s="9">
        <v>0</v>
      </c>
      <c r="U159" s="9">
        <v>0</v>
      </c>
      <c r="V159" s="9">
        <v>0</v>
      </c>
      <c r="W159" s="9">
        <v>0</v>
      </c>
      <c r="X159" s="9">
        <v>0</v>
      </c>
      <c r="Y159" s="9">
        <v>0</v>
      </c>
      <c r="Z159" s="9">
        <v>0</v>
      </c>
      <c r="AA159" s="9">
        <v>0</v>
      </c>
      <c r="AB159" s="9">
        <v>0</v>
      </c>
      <c r="AC159" s="9">
        <v>0</v>
      </c>
      <c r="AD159" s="9">
        <v>0</v>
      </c>
      <c r="AE159" s="9">
        <v>0</v>
      </c>
      <c r="AF159" s="9">
        <v>0</v>
      </c>
      <c r="AG159" s="9">
        <v>0</v>
      </c>
      <c r="AH159" s="9">
        <v>0</v>
      </c>
      <c r="AI159" s="9">
        <v>0</v>
      </c>
      <c r="AJ159" s="9">
        <v>0</v>
      </c>
      <c r="AK159" s="9">
        <v>0</v>
      </c>
      <c r="AL159" s="9">
        <v>0</v>
      </c>
      <c r="AM159" s="9">
        <v>0</v>
      </c>
      <c r="AN159" s="9">
        <v>0</v>
      </c>
      <c r="AO159" s="9">
        <v>0</v>
      </c>
      <c r="AP159" s="9">
        <v>0</v>
      </c>
      <c r="AQ159" s="9">
        <v>0</v>
      </c>
      <c r="AR159" s="9">
        <v>0</v>
      </c>
      <c r="AS159" s="9">
        <v>0</v>
      </c>
      <c r="AT159" s="9">
        <v>0</v>
      </c>
      <c r="AU159" s="9">
        <v>0</v>
      </c>
      <c r="AV159" s="9">
        <v>0</v>
      </c>
      <c r="AW159" s="9">
        <v>0</v>
      </c>
      <c r="AX159" s="9">
        <v>0</v>
      </c>
      <c r="AY159" s="9">
        <v>0</v>
      </c>
      <c r="AZ159" s="9">
        <v>0</v>
      </c>
      <c r="BA159" s="9">
        <v>0</v>
      </c>
      <c r="BB159" s="9">
        <v>0</v>
      </c>
      <c r="BC159" s="9">
        <v>0</v>
      </c>
      <c r="BD159" s="9">
        <v>0</v>
      </c>
      <c r="BE159" s="9">
        <v>0</v>
      </c>
      <c r="BF159" s="9">
        <v>0</v>
      </c>
      <c r="BG159" s="9">
        <v>0</v>
      </c>
      <c r="BH159" s="9">
        <v>0</v>
      </c>
      <c r="BI159" s="9">
        <v>0</v>
      </c>
      <c r="BJ159" s="9">
        <v>0</v>
      </c>
      <c r="BK159" s="9">
        <v>0</v>
      </c>
      <c r="BL159" s="9">
        <v>4</v>
      </c>
      <c r="BM159" s="9">
        <v>4</v>
      </c>
      <c r="BN159" s="9">
        <v>4</v>
      </c>
      <c r="BO159" s="9">
        <v>4</v>
      </c>
      <c r="BP159" s="10">
        <v>0</v>
      </c>
      <c r="BQ159">
        <v>0</v>
      </c>
      <c r="BR159">
        <v>0</v>
      </c>
    </row>
    <row r="160" spans="1:70" x14ac:dyDescent="0.35">
      <c r="A160" s="8" t="s">
        <v>174</v>
      </c>
      <c r="B160" s="9" t="s">
        <v>799</v>
      </c>
      <c r="C160" s="10" t="s">
        <v>800</v>
      </c>
      <c r="D160" s="34">
        <f t="shared" si="4"/>
        <v>1</v>
      </c>
      <c r="E160" s="9">
        <v>0</v>
      </c>
      <c r="F160" s="9">
        <v>0</v>
      </c>
      <c r="G160" s="9">
        <v>0</v>
      </c>
      <c r="H160" s="9">
        <v>0</v>
      </c>
      <c r="I160" s="9">
        <v>0</v>
      </c>
      <c r="J160" s="9">
        <v>0</v>
      </c>
      <c r="K160" s="9">
        <v>0</v>
      </c>
      <c r="L160" s="9">
        <v>0</v>
      </c>
      <c r="M160" s="9">
        <v>0</v>
      </c>
      <c r="N160" s="9">
        <v>0</v>
      </c>
      <c r="O160" s="9">
        <v>0</v>
      </c>
      <c r="P160" s="9">
        <v>0</v>
      </c>
      <c r="Q160" s="9">
        <v>0</v>
      </c>
      <c r="R160" s="9">
        <v>0</v>
      </c>
      <c r="S160" s="9">
        <v>0</v>
      </c>
      <c r="T160" s="9">
        <v>0</v>
      </c>
      <c r="U160" s="9">
        <v>0</v>
      </c>
      <c r="V160" s="9">
        <v>0</v>
      </c>
      <c r="W160" s="9">
        <v>0</v>
      </c>
      <c r="X160" s="9">
        <v>0</v>
      </c>
      <c r="Y160" s="9">
        <v>0</v>
      </c>
      <c r="Z160" s="9">
        <v>0</v>
      </c>
      <c r="AA160" s="9">
        <v>0</v>
      </c>
      <c r="AB160" s="9">
        <v>0</v>
      </c>
      <c r="AC160" s="9">
        <v>0</v>
      </c>
      <c r="AD160" s="9">
        <v>0</v>
      </c>
      <c r="AE160" s="9">
        <v>0</v>
      </c>
      <c r="AF160" s="9">
        <v>0</v>
      </c>
      <c r="AG160" s="9">
        <v>0</v>
      </c>
      <c r="AH160" s="9">
        <v>0</v>
      </c>
      <c r="AI160" s="9">
        <v>0</v>
      </c>
      <c r="AJ160" s="9">
        <v>0</v>
      </c>
      <c r="AK160" s="9">
        <v>0</v>
      </c>
      <c r="AL160" s="9">
        <v>0</v>
      </c>
      <c r="AM160" s="9">
        <v>0</v>
      </c>
      <c r="AN160" s="9">
        <v>0</v>
      </c>
      <c r="AO160" s="9">
        <v>0</v>
      </c>
      <c r="AP160" s="9">
        <v>0</v>
      </c>
      <c r="AQ160" s="9">
        <v>0</v>
      </c>
      <c r="AR160" s="9">
        <v>0</v>
      </c>
      <c r="AS160" s="9">
        <v>0</v>
      </c>
      <c r="AT160" s="9">
        <v>0</v>
      </c>
      <c r="AU160" s="9">
        <v>0</v>
      </c>
      <c r="AV160" s="9">
        <v>0</v>
      </c>
      <c r="AW160" s="9">
        <v>0</v>
      </c>
      <c r="AX160" s="9">
        <v>0</v>
      </c>
      <c r="AY160" s="9">
        <v>0</v>
      </c>
      <c r="AZ160" s="9">
        <v>0</v>
      </c>
      <c r="BA160" s="9">
        <v>0</v>
      </c>
      <c r="BB160" s="9">
        <v>0</v>
      </c>
      <c r="BC160" s="9">
        <v>0</v>
      </c>
      <c r="BD160" s="9">
        <v>0</v>
      </c>
      <c r="BE160" s="9">
        <v>0</v>
      </c>
      <c r="BF160" s="9">
        <v>0</v>
      </c>
      <c r="BG160" s="9">
        <v>0</v>
      </c>
      <c r="BH160" s="9">
        <v>0</v>
      </c>
      <c r="BI160" s="9">
        <v>0</v>
      </c>
      <c r="BJ160" s="9">
        <v>1</v>
      </c>
      <c r="BK160" s="9">
        <v>1</v>
      </c>
      <c r="BL160" s="9">
        <v>1</v>
      </c>
      <c r="BM160" s="9">
        <v>1</v>
      </c>
      <c r="BN160" s="9">
        <v>1</v>
      </c>
      <c r="BO160" s="9">
        <v>1</v>
      </c>
      <c r="BP160" s="10">
        <v>1</v>
      </c>
      <c r="BQ160">
        <v>0</v>
      </c>
      <c r="BR160">
        <v>1</v>
      </c>
    </row>
    <row r="161" spans="1:70" x14ac:dyDescent="0.35">
      <c r="A161" s="8" t="s">
        <v>174</v>
      </c>
      <c r="B161" s="9" t="s">
        <v>801</v>
      </c>
      <c r="C161" s="10" t="s">
        <v>802</v>
      </c>
      <c r="D161" s="34">
        <f t="shared" si="4"/>
        <v>0</v>
      </c>
      <c r="E161" s="9">
        <v>0</v>
      </c>
      <c r="F161" s="9">
        <v>0</v>
      </c>
      <c r="G161" s="9">
        <v>0</v>
      </c>
      <c r="H161" s="9">
        <v>0</v>
      </c>
      <c r="I161" s="9">
        <v>0</v>
      </c>
      <c r="J161" s="9">
        <v>0</v>
      </c>
      <c r="K161" s="9">
        <v>0</v>
      </c>
      <c r="L161" s="9">
        <v>0</v>
      </c>
      <c r="M161" s="9">
        <v>0</v>
      </c>
      <c r="N161" s="9">
        <v>0</v>
      </c>
      <c r="O161" s="9">
        <v>0</v>
      </c>
      <c r="P161" s="9">
        <v>0</v>
      </c>
      <c r="Q161" s="9">
        <v>0</v>
      </c>
      <c r="R161" s="9">
        <v>0</v>
      </c>
      <c r="S161" s="9">
        <v>0</v>
      </c>
      <c r="T161" s="9">
        <v>0</v>
      </c>
      <c r="U161" s="9">
        <v>0</v>
      </c>
      <c r="V161" s="9">
        <v>0</v>
      </c>
      <c r="W161" s="9">
        <v>0</v>
      </c>
      <c r="X161" s="9">
        <v>0</v>
      </c>
      <c r="Y161" s="9">
        <v>0</v>
      </c>
      <c r="Z161" s="9">
        <v>0</v>
      </c>
      <c r="AA161" s="9">
        <v>0</v>
      </c>
      <c r="AB161" s="9">
        <v>0</v>
      </c>
      <c r="AC161" s="9">
        <v>0</v>
      </c>
      <c r="AD161" s="9">
        <v>0</v>
      </c>
      <c r="AE161" s="9">
        <v>0</v>
      </c>
      <c r="AF161" s="9">
        <v>0</v>
      </c>
      <c r="AG161" s="9">
        <v>0</v>
      </c>
      <c r="AH161" s="9">
        <v>0</v>
      </c>
      <c r="AI161" s="9">
        <v>0</v>
      </c>
      <c r="AJ161" s="9">
        <v>0</v>
      </c>
      <c r="AK161" s="9">
        <v>0</v>
      </c>
      <c r="AL161" s="9">
        <v>0</v>
      </c>
      <c r="AM161" s="9">
        <v>0</v>
      </c>
      <c r="AN161" s="9">
        <v>0</v>
      </c>
      <c r="AO161" s="9">
        <v>0</v>
      </c>
      <c r="AP161" s="9">
        <v>0</v>
      </c>
      <c r="AQ161" s="9">
        <v>0</v>
      </c>
      <c r="AR161" s="9">
        <v>0</v>
      </c>
      <c r="AS161" s="9">
        <v>0</v>
      </c>
      <c r="AT161" s="9">
        <v>0</v>
      </c>
      <c r="AU161" s="9">
        <v>0</v>
      </c>
      <c r="AV161" s="9">
        <v>0</v>
      </c>
      <c r="AW161" s="9">
        <v>0</v>
      </c>
      <c r="AX161" s="9">
        <v>0</v>
      </c>
      <c r="AY161" s="9">
        <v>0</v>
      </c>
      <c r="AZ161" s="9">
        <v>0</v>
      </c>
      <c r="BA161" s="9">
        <v>0</v>
      </c>
      <c r="BB161" s="9">
        <v>0</v>
      </c>
      <c r="BC161" s="9">
        <v>0</v>
      </c>
      <c r="BD161" s="9">
        <v>0</v>
      </c>
      <c r="BE161" s="9">
        <v>0</v>
      </c>
      <c r="BF161" s="9">
        <v>0</v>
      </c>
      <c r="BG161" s="9">
        <v>0</v>
      </c>
      <c r="BH161" s="9">
        <v>0</v>
      </c>
      <c r="BI161" s="9">
        <v>0</v>
      </c>
      <c r="BJ161" s="9">
        <v>0</v>
      </c>
      <c r="BK161" s="9">
        <v>0</v>
      </c>
      <c r="BL161" s="9">
        <v>0</v>
      </c>
      <c r="BM161" s="9">
        <v>0</v>
      </c>
      <c r="BN161" s="9">
        <v>0</v>
      </c>
      <c r="BO161" s="9">
        <v>0</v>
      </c>
      <c r="BP161" s="10">
        <v>0</v>
      </c>
      <c r="BQ161">
        <v>0</v>
      </c>
      <c r="BR161">
        <v>0</v>
      </c>
    </row>
    <row r="162" spans="1:70" x14ac:dyDescent="0.35">
      <c r="A162" s="8" t="s">
        <v>174</v>
      </c>
      <c r="B162" s="9" t="s">
        <v>803</v>
      </c>
      <c r="C162" s="10" t="s">
        <v>804</v>
      </c>
      <c r="D162" s="34">
        <f t="shared" si="4"/>
        <v>0</v>
      </c>
      <c r="E162" s="9">
        <v>0</v>
      </c>
      <c r="F162" s="9">
        <v>0</v>
      </c>
      <c r="G162" s="9">
        <v>0</v>
      </c>
      <c r="H162" s="9">
        <v>0</v>
      </c>
      <c r="I162" s="9">
        <v>0</v>
      </c>
      <c r="J162" s="9">
        <v>0</v>
      </c>
      <c r="K162" s="9">
        <v>0</v>
      </c>
      <c r="L162" s="9">
        <v>0</v>
      </c>
      <c r="M162" s="9">
        <v>0</v>
      </c>
      <c r="N162" s="9">
        <v>0</v>
      </c>
      <c r="O162" s="9">
        <v>0</v>
      </c>
      <c r="P162" s="9">
        <v>0</v>
      </c>
      <c r="Q162" s="9">
        <v>0</v>
      </c>
      <c r="R162" s="9">
        <v>0</v>
      </c>
      <c r="S162" s="9">
        <v>0</v>
      </c>
      <c r="T162" s="9">
        <v>0</v>
      </c>
      <c r="U162" s="9">
        <v>0</v>
      </c>
      <c r="V162" s="9">
        <v>0</v>
      </c>
      <c r="W162" s="9">
        <v>0</v>
      </c>
      <c r="X162" s="9">
        <v>0</v>
      </c>
      <c r="Y162" s="9">
        <v>0</v>
      </c>
      <c r="Z162" s="9">
        <v>0</v>
      </c>
      <c r="AA162" s="9">
        <v>0</v>
      </c>
      <c r="AB162" s="9">
        <v>0</v>
      </c>
      <c r="AC162" s="9">
        <v>0</v>
      </c>
      <c r="AD162" s="9">
        <v>0</v>
      </c>
      <c r="AE162" s="9">
        <v>0</v>
      </c>
      <c r="AF162" s="9">
        <v>0</v>
      </c>
      <c r="AG162" s="9">
        <v>0</v>
      </c>
      <c r="AH162" s="9">
        <v>0</v>
      </c>
      <c r="AI162" s="9">
        <v>0</v>
      </c>
      <c r="AJ162" s="9">
        <v>0</v>
      </c>
      <c r="AK162" s="9">
        <v>0</v>
      </c>
      <c r="AL162" s="9">
        <v>0</v>
      </c>
      <c r="AM162" s="9">
        <v>0</v>
      </c>
      <c r="AN162" s="9">
        <v>0</v>
      </c>
      <c r="AO162" s="9">
        <v>0</v>
      </c>
      <c r="AP162" s="9">
        <v>0</v>
      </c>
      <c r="AQ162" s="9">
        <v>0</v>
      </c>
      <c r="AR162" s="9">
        <v>0</v>
      </c>
      <c r="AS162" s="9">
        <v>0</v>
      </c>
      <c r="AT162" s="9">
        <v>0</v>
      </c>
      <c r="AU162" s="9">
        <v>0</v>
      </c>
      <c r="AV162" s="9">
        <v>0</v>
      </c>
      <c r="AW162" s="9">
        <v>0</v>
      </c>
      <c r="AX162" s="9">
        <v>0</v>
      </c>
      <c r="AY162" s="9">
        <v>0</v>
      </c>
      <c r="AZ162" s="9">
        <v>0</v>
      </c>
      <c r="BA162" s="9">
        <v>0</v>
      </c>
      <c r="BB162" s="9">
        <v>0</v>
      </c>
      <c r="BC162" s="9">
        <v>0</v>
      </c>
      <c r="BD162" s="9">
        <v>0</v>
      </c>
      <c r="BE162" s="9">
        <v>0</v>
      </c>
      <c r="BF162" s="9">
        <v>0</v>
      </c>
      <c r="BG162" s="9">
        <v>0</v>
      </c>
      <c r="BH162" s="9">
        <v>0</v>
      </c>
      <c r="BI162" s="9">
        <v>0</v>
      </c>
      <c r="BJ162" s="9">
        <v>0</v>
      </c>
      <c r="BK162" s="9">
        <v>0</v>
      </c>
      <c r="BL162" s="9">
        <v>0</v>
      </c>
      <c r="BM162" s="9">
        <v>0</v>
      </c>
      <c r="BN162" s="9">
        <v>0</v>
      </c>
      <c r="BO162" s="9">
        <v>0</v>
      </c>
      <c r="BP162" s="10">
        <v>0</v>
      </c>
      <c r="BQ162">
        <v>0</v>
      </c>
      <c r="BR162">
        <v>0</v>
      </c>
    </row>
    <row r="163" spans="1:70" x14ac:dyDescent="0.35">
      <c r="A163" s="8" t="s">
        <v>174</v>
      </c>
      <c r="B163" s="9" t="s">
        <v>181</v>
      </c>
      <c r="C163" s="10" t="s">
        <v>805</v>
      </c>
      <c r="D163" s="34">
        <f t="shared" si="4"/>
        <v>0</v>
      </c>
      <c r="E163" s="9">
        <v>0</v>
      </c>
      <c r="F163" s="9">
        <v>0</v>
      </c>
      <c r="G163" s="9">
        <v>0</v>
      </c>
      <c r="H163" s="9">
        <v>0</v>
      </c>
      <c r="I163" s="9">
        <v>0</v>
      </c>
      <c r="J163" s="9">
        <v>0</v>
      </c>
      <c r="K163" s="9">
        <v>0</v>
      </c>
      <c r="L163" s="9">
        <v>0</v>
      </c>
      <c r="M163" s="9">
        <v>0</v>
      </c>
      <c r="N163" s="9">
        <v>0</v>
      </c>
      <c r="O163" s="9">
        <v>0</v>
      </c>
      <c r="P163" s="9">
        <v>0</v>
      </c>
      <c r="Q163" s="9">
        <v>0</v>
      </c>
      <c r="R163" s="9">
        <v>0</v>
      </c>
      <c r="S163" s="9">
        <v>0</v>
      </c>
      <c r="T163" s="9">
        <v>0</v>
      </c>
      <c r="U163" s="9">
        <v>0</v>
      </c>
      <c r="V163" s="9">
        <v>0</v>
      </c>
      <c r="W163" s="9">
        <v>0</v>
      </c>
      <c r="X163" s="9">
        <v>0</v>
      </c>
      <c r="Y163" s="9">
        <v>0</v>
      </c>
      <c r="Z163" s="9">
        <v>0</v>
      </c>
      <c r="AA163" s="9">
        <v>0</v>
      </c>
      <c r="AB163" s="9">
        <v>0</v>
      </c>
      <c r="AC163" s="9">
        <v>0</v>
      </c>
      <c r="AD163" s="9">
        <v>0</v>
      </c>
      <c r="AE163" s="9">
        <v>0</v>
      </c>
      <c r="AF163" s="9">
        <v>0</v>
      </c>
      <c r="AG163" s="9">
        <v>0</v>
      </c>
      <c r="AH163" s="9">
        <v>0</v>
      </c>
      <c r="AI163" s="9">
        <v>0</v>
      </c>
      <c r="AJ163" s="9">
        <v>0</v>
      </c>
      <c r="AK163" s="9">
        <v>0</v>
      </c>
      <c r="AL163" s="9">
        <v>0</v>
      </c>
      <c r="AM163" s="9">
        <v>0</v>
      </c>
      <c r="AN163" s="9">
        <v>0</v>
      </c>
      <c r="AO163" s="9">
        <v>0</v>
      </c>
      <c r="AP163" s="9">
        <v>0</v>
      </c>
      <c r="AQ163" s="9">
        <v>0</v>
      </c>
      <c r="AR163" s="9">
        <v>0</v>
      </c>
      <c r="AS163" s="9">
        <v>0</v>
      </c>
      <c r="AT163" s="9">
        <v>0</v>
      </c>
      <c r="AU163" s="9">
        <v>0</v>
      </c>
      <c r="AV163" s="9">
        <v>0</v>
      </c>
      <c r="AW163" s="9">
        <v>0</v>
      </c>
      <c r="AX163" s="9">
        <v>0</v>
      </c>
      <c r="AY163" s="9">
        <v>0</v>
      </c>
      <c r="AZ163" s="9">
        <v>0</v>
      </c>
      <c r="BA163" s="9">
        <v>0</v>
      </c>
      <c r="BB163" s="9">
        <v>0</v>
      </c>
      <c r="BC163" s="9">
        <v>0</v>
      </c>
      <c r="BD163" s="9">
        <v>0</v>
      </c>
      <c r="BE163" s="9">
        <v>0</v>
      </c>
      <c r="BF163" s="9">
        <v>0</v>
      </c>
      <c r="BG163" s="9">
        <v>0</v>
      </c>
      <c r="BH163" s="9">
        <v>0</v>
      </c>
      <c r="BI163" s="9">
        <v>0</v>
      </c>
      <c r="BJ163" s="9">
        <v>0</v>
      </c>
      <c r="BK163" s="9">
        <v>0</v>
      </c>
      <c r="BL163" s="9">
        <v>0</v>
      </c>
      <c r="BM163" s="9">
        <v>0</v>
      </c>
      <c r="BN163" s="9">
        <v>0</v>
      </c>
      <c r="BO163" s="9">
        <v>0</v>
      </c>
      <c r="BP163" s="10">
        <v>0</v>
      </c>
      <c r="BQ163">
        <v>0</v>
      </c>
      <c r="BR163">
        <v>0</v>
      </c>
    </row>
    <row r="164" spans="1:70" x14ac:dyDescent="0.35">
      <c r="A164" s="8" t="s">
        <v>174</v>
      </c>
      <c r="B164" s="9" t="s">
        <v>808</v>
      </c>
      <c r="C164" s="10" t="s">
        <v>809</v>
      </c>
      <c r="D164" s="34">
        <f t="shared" si="4"/>
        <v>0</v>
      </c>
      <c r="E164" s="9">
        <v>0</v>
      </c>
      <c r="F164" s="9">
        <v>0</v>
      </c>
      <c r="G164" s="9">
        <v>0</v>
      </c>
      <c r="H164" s="9">
        <v>0</v>
      </c>
      <c r="I164" s="9">
        <v>0</v>
      </c>
      <c r="J164" s="9">
        <v>0</v>
      </c>
      <c r="K164" s="9">
        <v>0</v>
      </c>
      <c r="L164" s="9">
        <v>0</v>
      </c>
      <c r="M164" s="9">
        <v>0</v>
      </c>
      <c r="N164" s="9">
        <v>0</v>
      </c>
      <c r="O164" s="9">
        <v>0</v>
      </c>
      <c r="P164" s="9">
        <v>0</v>
      </c>
      <c r="Q164" s="9">
        <v>0</v>
      </c>
      <c r="R164" s="9">
        <v>0</v>
      </c>
      <c r="S164" s="9">
        <v>0</v>
      </c>
      <c r="T164" s="9">
        <v>0</v>
      </c>
      <c r="U164" s="9">
        <v>0</v>
      </c>
      <c r="V164" s="9">
        <v>0</v>
      </c>
      <c r="W164" s="9">
        <v>0</v>
      </c>
      <c r="X164" s="9">
        <v>0</v>
      </c>
      <c r="Y164" s="9">
        <v>0</v>
      </c>
      <c r="Z164" s="9">
        <v>0</v>
      </c>
      <c r="AA164" s="9">
        <v>0</v>
      </c>
      <c r="AB164" s="9">
        <v>0</v>
      </c>
      <c r="AC164" s="9">
        <v>0</v>
      </c>
      <c r="AD164" s="9">
        <v>0</v>
      </c>
      <c r="AE164" s="9">
        <v>0</v>
      </c>
      <c r="AF164" s="9">
        <v>0</v>
      </c>
      <c r="AG164" s="9">
        <v>0</v>
      </c>
      <c r="AH164" s="9">
        <v>0</v>
      </c>
      <c r="AI164" s="9">
        <v>0</v>
      </c>
      <c r="AJ164" s="9">
        <v>0</v>
      </c>
      <c r="AK164" s="9">
        <v>0</v>
      </c>
      <c r="AL164" s="9">
        <v>0</v>
      </c>
      <c r="AM164" s="9">
        <v>0</v>
      </c>
      <c r="AN164" s="9">
        <v>0</v>
      </c>
      <c r="AO164" s="9">
        <v>0</v>
      </c>
      <c r="AP164" s="9">
        <v>0</v>
      </c>
      <c r="AQ164" s="9">
        <v>0</v>
      </c>
      <c r="AR164" s="9">
        <v>0</v>
      </c>
      <c r="AS164" s="9">
        <v>0</v>
      </c>
      <c r="AT164" s="9">
        <v>0</v>
      </c>
      <c r="AU164" s="9">
        <v>0</v>
      </c>
      <c r="AV164" s="9">
        <v>0</v>
      </c>
      <c r="AW164" s="9">
        <v>0</v>
      </c>
      <c r="AX164" s="9">
        <v>0</v>
      </c>
      <c r="AY164" s="9">
        <v>0</v>
      </c>
      <c r="AZ164" s="9">
        <v>0</v>
      </c>
      <c r="BA164" s="9">
        <v>0</v>
      </c>
      <c r="BB164" s="9">
        <v>0</v>
      </c>
      <c r="BC164" s="9">
        <v>0</v>
      </c>
      <c r="BD164" s="9">
        <v>0</v>
      </c>
      <c r="BE164" s="9">
        <v>0</v>
      </c>
      <c r="BF164" s="9">
        <v>0</v>
      </c>
      <c r="BG164" s="9">
        <v>0</v>
      </c>
      <c r="BH164" s="9">
        <v>0</v>
      </c>
      <c r="BI164" s="9">
        <v>0</v>
      </c>
      <c r="BJ164" s="9">
        <v>0</v>
      </c>
      <c r="BK164" s="9">
        <v>0</v>
      </c>
      <c r="BL164" s="9">
        <v>0</v>
      </c>
      <c r="BM164" s="9">
        <v>0</v>
      </c>
      <c r="BN164" s="9">
        <v>0</v>
      </c>
      <c r="BO164" s="9">
        <v>0</v>
      </c>
      <c r="BP164" s="10">
        <v>0</v>
      </c>
      <c r="BQ164">
        <v>0</v>
      </c>
      <c r="BR164">
        <v>0</v>
      </c>
    </row>
    <row r="165" spans="1:70" x14ac:dyDescent="0.35">
      <c r="A165" s="8" t="s">
        <v>174</v>
      </c>
      <c r="B165" s="9" t="s">
        <v>810</v>
      </c>
      <c r="C165" s="10" t="s">
        <v>811</v>
      </c>
      <c r="D165" s="34">
        <f t="shared" si="4"/>
        <v>0</v>
      </c>
      <c r="E165" s="9">
        <v>0</v>
      </c>
      <c r="F165" s="9">
        <v>0</v>
      </c>
      <c r="G165" s="9">
        <v>0</v>
      </c>
      <c r="H165" s="9">
        <v>0</v>
      </c>
      <c r="I165" s="9">
        <v>0</v>
      </c>
      <c r="J165" s="9">
        <v>0</v>
      </c>
      <c r="K165" s="9">
        <v>0</v>
      </c>
      <c r="L165" s="9">
        <v>0</v>
      </c>
      <c r="M165" s="9">
        <v>0</v>
      </c>
      <c r="N165" s="9">
        <v>0</v>
      </c>
      <c r="O165" s="9">
        <v>0</v>
      </c>
      <c r="P165" s="9">
        <v>0</v>
      </c>
      <c r="Q165" s="9">
        <v>0</v>
      </c>
      <c r="R165" s="9">
        <v>0</v>
      </c>
      <c r="S165" s="9">
        <v>0</v>
      </c>
      <c r="T165" s="9">
        <v>0</v>
      </c>
      <c r="U165" s="9">
        <v>0</v>
      </c>
      <c r="V165" s="9">
        <v>0</v>
      </c>
      <c r="W165" s="9">
        <v>0</v>
      </c>
      <c r="X165" s="9">
        <v>0</v>
      </c>
      <c r="Y165" s="9">
        <v>0</v>
      </c>
      <c r="Z165" s="9">
        <v>0</v>
      </c>
      <c r="AA165" s="9">
        <v>0</v>
      </c>
      <c r="AB165" s="9">
        <v>0</v>
      </c>
      <c r="AC165" s="9">
        <v>0</v>
      </c>
      <c r="AD165" s="9">
        <v>0</v>
      </c>
      <c r="AE165" s="9">
        <v>0</v>
      </c>
      <c r="AF165" s="9">
        <v>0</v>
      </c>
      <c r="AG165" s="9">
        <v>0</v>
      </c>
      <c r="AH165" s="9">
        <v>0</v>
      </c>
      <c r="AI165" s="9">
        <v>0</v>
      </c>
      <c r="AJ165" s="9">
        <v>0</v>
      </c>
      <c r="AK165" s="9">
        <v>0</v>
      </c>
      <c r="AL165" s="9">
        <v>0</v>
      </c>
      <c r="AM165" s="9">
        <v>0</v>
      </c>
      <c r="AN165" s="9">
        <v>0</v>
      </c>
      <c r="AO165" s="9">
        <v>0</v>
      </c>
      <c r="AP165" s="9">
        <v>0</v>
      </c>
      <c r="AQ165" s="9">
        <v>0</v>
      </c>
      <c r="AR165" s="9">
        <v>0</v>
      </c>
      <c r="AS165" s="9">
        <v>0</v>
      </c>
      <c r="AT165" s="9">
        <v>0</v>
      </c>
      <c r="AU165" s="9">
        <v>0</v>
      </c>
      <c r="AV165" s="9">
        <v>0</v>
      </c>
      <c r="AW165" s="9">
        <v>0</v>
      </c>
      <c r="AX165" s="9">
        <v>0</v>
      </c>
      <c r="AY165" s="9">
        <v>0</v>
      </c>
      <c r="AZ165" s="9">
        <v>0</v>
      </c>
      <c r="BA165" s="9">
        <v>0</v>
      </c>
      <c r="BB165" s="9">
        <v>0</v>
      </c>
      <c r="BC165" s="9">
        <v>0</v>
      </c>
      <c r="BD165" s="9">
        <v>0</v>
      </c>
      <c r="BE165" s="9">
        <v>0</v>
      </c>
      <c r="BF165" s="9">
        <v>0</v>
      </c>
      <c r="BG165" s="9">
        <v>0</v>
      </c>
      <c r="BH165" s="9">
        <v>0</v>
      </c>
      <c r="BI165" s="9">
        <v>0</v>
      </c>
      <c r="BJ165" s="9">
        <v>0</v>
      </c>
      <c r="BK165" s="9">
        <v>0</v>
      </c>
      <c r="BL165" s="9">
        <v>0</v>
      </c>
      <c r="BM165" s="9">
        <v>0</v>
      </c>
      <c r="BN165" s="9">
        <v>0</v>
      </c>
      <c r="BO165" s="9">
        <v>0</v>
      </c>
      <c r="BP165" s="10">
        <v>0</v>
      </c>
      <c r="BQ165">
        <v>0</v>
      </c>
      <c r="BR165">
        <v>0</v>
      </c>
    </row>
    <row r="166" spans="1:70" x14ac:dyDescent="0.35">
      <c r="A166" s="8" t="s">
        <v>174</v>
      </c>
      <c r="B166" s="9" t="s">
        <v>812</v>
      </c>
      <c r="C166" s="10" t="s">
        <v>813</v>
      </c>
      <c r="D166" s="34">
        <f t="shared" si="4"/>
        <v>0</v>
      </c>
      <c r="E166" s="9">
        <v>0</v>
      </c>
      <c r="F166" s="9">
        <v>0</v>
      </c>
      <c r="G166" s="9">
        <v>0</v>
      </c>
      <c r="H166" s="9">
        <v>0</v>
      </c>
      <c r="I166" s="9">
        <v>0</v>
      </c>
      <c r="J166" s="9">
        <v>0</v>
      </c>
      <c r="K166" s="9">
        <v>0</v>
      </c>
      <c r="L166" s="9">
        <v>0</v>
      </c>
      <c r="M166" s="9">
        <v>0</v>
      </c>
      <c r="N166" s="9">
        <v>0</v>
      </c>
      <c r="O166" s="9">
        <v>0</v>
      </c>
      <c r="P166" s="9">
        <v>0</v>
      </c>
      <c r="Q166" s="9">
        <v>0</v>
      </c>
      <c r="R166" s="9">
        <v>0</v>
      </c>
      <c r="S166" s="9">
        <v>0</v>
      </c>
      <c r="T166" s="9">
        <v>0</v>
      </c>
      <c r="U166" s="9">
        <v>0</v>
      </c>
      <c r="V166" s="9">
        <v>0</v>
      </c>
      <c r="W166" s="9">
        <v>0</v>
      </c>
      <c r="X166" s="9">
        <v>0</v>
      </c>
      <c r="Y166" s="9">
        <v>0</v>
      </c>
      <c r="Z166" s="9">
        <v>0</v>
      </c>
      <c r="AA166" s="9">
        <v>0</v>
      </c>
      <c r="AB166" s="9">
        <v>0</v>
      </c>
      <c r="AC166" s="9">
        <v>0</v>
      </c>
      <c r="AD166" s="9">
        <v>0</v>
      </c>
      <c r="AE166" s="9">
        <v>0</v>
      </c>
      <c r="AF166" s="9">
        <v>0</v>
      </c>
      <c r="AG166" s="9">
        <v>0</v>
      </c>
      <c r="AH166" s="9">
        <v>0</v>
      </c>
      <c r="AI166" s="9">
        <v>0</v>
      </c>
      <c r="AJ166" s="9">
        <v>0</v>
      </c>
      <c r="AK166" s="9">
        <v>0</v>
      </c>
      <c r="AL166" s="9">
        <v>0</v>
      </c>
      <c r="AM166" s="9">
        <v>0</v>
      </c>
      <c r="AN166" s="9">
        <v>0</v>
      </c>
      <c r="AO166" s="9">
        <v>0</v>
      </c>
      <c r="AP166" s="9">
        <v>0</v>
      </c>
      <c r="AQ166" s="9">
        <v>0</v>
      </c>
      <c r="AR166" s="9">
        <v>0</v>
      </c>
      <c r="AS166" s="9">
        <v>0</v>
      </c>
      <c r="AT166" s="9">
        <v>0</v>
      </c>
      <c r="AU166" s="9">
        <v>0</v>
      </c>
      <c r="AV166" s="9">
        <v>0</v>
      </c>
      <c r="AW166" s="9">
        <v>0</v>
      </c>
      <c r="AX166" s="9">
        <v>0</v>
      </c>
      <c r="AY166" s="9">
        <v>0</v>
      </c>
      <c r="AZ166" s="9">
        <v>0</v>
      </c>
      <c r="BA166" s="9">
        <v>0</v>
      </c>
      <c r="BB166" s="9">
        <v>0</v>
      </c>
      <c r="BC166" s="9">
        <v>0</v>
      </c>
      <c r="BD166" s="9">
        <v>0</v>
      </c>
      <c r="BE166" s="9">
        <v>0</v>
      </c>
      <c r="BF166" s="9">
        <v>0</v>
      </c>
      <c r="BG166" s="9">
        <v>0</v>
      </c>
      <c r="BH166" s="9">
        <v>0</v>
      </c>
      <c r="BI166" s="9">
        <v>0</v>
      </c>
      <c r="BJ166" s="9">
        <v>0</v>
      </c>
      <c r="BK166" s="9">
        <v>0</v>
      </c>
      <c r="BL166" s="9">
        <v>0</v>
      </c>
      <c r="BM166" s="9">
        <v>0</v>
      </c>
      <c r="BN166" s="9">
        <v>0</v>
      </c>
      <c r="BO166" s="9">
        <v>0</v>
      </c>
      <c r="BP166" s="10">
        <v>0</v>
      </c>
      <c r="BQ166">
        <v>0</v>
      </c>
      <c r="BR166">
        <v>0</v>
      </c>
    </row>
    <row r="167" spans="1:70" x14ac:dyDescent="0.35">
      <c r="A167" s="8" t="s">
        <v>174</v>
      </c>
      <c r="B167" s="9" t="s">
        <v>814</v>
      </c>
      <c r="C167" s="10" t="s">
        <v>815</v>
      </c>
      <c r="D167" s="34">
        <f t="shared" si="4"/>
        <v>0</v>
      </c>
      <c r="E167" s="9">
        <v>0</v>
      </c>
      <c r="F167" s="9">
        <v>0</v>
      </c>
      <c r="G167" s="9">
        <v>0</v>
      </c>
      <c r="H167" s="9">
        <v>0</v>
      </c>
      <c r="I167" s="9">
        <v>0</v>
      </c>
      <c r="J167" s="9">
        <v>0</v>
      </c>
      <c r="K167" s="9">
        <v>0</v>
      </c>
      <c r="L167" s="9">
        <v>0</v>
      </c>
      <c r="M167" s="9">
        <v>0</v>
      </c>
      <c r="N167" s="9">
        <v>0</v>
      </c>
      <c r="O167" s="9">
        <v>0</v>
      </c>
      <c r="P167" s="9">
        <v>0</v>
      </c>
      <c r="Q167" s="9">
        <v>0</v>
      </c>
      <c r="R167" s="9">
        <v>0</v>
      </c>
      <c r="S167" s="9">
        <v>0</v>
      </c>
      <c r="T167" s="9">
        <v>0</v>
      </c>
      <c r="U167" s="9">
        <v>0</v>
      </c>
      <c r="V167" s="9">
        <v>0</v>
      </c>
      <c r="W167" s="9">
        <v>0</v>
      </c>
      <c r="X167" s="9">
        <v>0</v>
      </c>
      <c r="Y167" s="9">
        <v>0</v>
      </c>
      <c r="Z167" s="9">
        <v>0</v>
      </c>
      <c r="AA167" s="9">
        <v>0</v>
      </c>
      <c r="AB167" s="9">
        <v>0</v>
      </c>
      <c r="AC167" s="9">
        <v>0</v>
      </c>
      <c r="AD167" s="9">
        <v>0</v>
      </c>
      <c r="AE167" s="9">
        <v>0</v>
      </c>
      <c r="AF167" s="9">
        <v>0</v>
      </c>
      <c r="AG167" s="9">
        <v>0</v>
      </c>
      <c r="AH167" s="9">
        <v>0</v>
      </c>
      <c r="AI167" s="9">
        <v>0</v>
      </c>
      <c r="AJ167" s="9">
        <v>0</v>
      </c>
      <c r="AK167" s="9">
        <v>0</v>
      </c>
      <c r="AL167" s="9">
        <v>0</v>
      </c>
      <c r="AM167" s="9">
        <v>0</v>
      </c>
      <c r="AN167" s="9">
        <v>0</v>
      </c>
      <c r="AO167" s="9">
        <v>0</v>
      </c>
      <c r="AP167" s="9">
        <v>0</v>
      </c>
      <c r="AQ167" s="9">
        <v>0</v>
      </c>
      <c r="AR167" s="9">
        <v>0</v>
      </c>
      <c r="AS167" s="9">
        <v>0</v>
      </c>
      <c r="AT167" s="9">
        <v>0</v>
      </c>
      <c r="AU167" s="9">
        <v>0</v>
      </c>
      <c r="AV167" s="9">
        <v>0</v>
      </c>
      <c r="AW167" s="9">
        <v>0</v>
      </c>
      <c r="AX167" s="9">
        <v>0</v>
      </c>
      <c r="AY167" s="9">
        <v>0</v>
      </c>
      <c r="AZ167" s="9">
        <v>0</v>
      </c>
      <c r="BA167" s="9">
        <v>0</v>
      </c>
      <c r="BB167" s="9">
        <v>0</v>
      </c>
      <c r="BC167" s="9">
        <v>0</v>
      </c>
      <c r="BD167" s="9">
        <v>0</v>
      </c>
      <c r="BE167" s="9">
        <v>0</v>
      </c>
      <c r="BF167" s="9">
        <v>0</v>
      </c>
      <c r="BG167" s="9">
        <v>0</v>
      </c>
      <c r="BH167" s="9">
        <v>0</v>
      </c>
      <c r="BI167" s="9">
        <v>0</v>
      </c>
      <c r="BJ167" s="9">
        <v>0</v>
      </c>
      <c r="BK167" s="9">
        <v>0</v>
      </c>
      <c r="BL167" s="9">
        <v>0</v>
      </c>
      <c r="BM167" s="9">
        <v>0</v>
      </c>
      <c r="BN167" s="9">
        <v>0</v>
      </c>
      <c r="BO167" s="9">
        <v>0</v>
      </c>
      <c r="BP167" s="10">
        <v>0</v>
      </c>
      <c r="BQ167">
        <v>0</v>
      </c>
      <c r="BR167">
        <v>0</v>
      </c>
    </row>
    <row r="168" spans="1:70" x14ac:dyDescent="0.35">
      <c r="A168" s="8" t="s">
        <v>174</v>
      </c>
      <c r="B168" s="9" t="s">
        <v>816</v>
      </c>
      <c r="C168" s="10" t="s">
        <v>817</v>
      </c>
      <c r="D168" s="34">
        <f t="shared" si="4"/>
        <v>0</v>
      </c>
      <c r="E168" s="9">
        <v>0</v>
      </c>
      <c r="F168" s="9">
        <v>0</v>
      </c>
      <c r="G168" s="9">
        <v>0</v>
      </c>
      <c r="H168" s="9">
        <v>0</v>
      </c>
      <c r="I168" s="9">
        <v>0</v>
      </c>
      <c r="J168" s="9">
        <v>0</v>
      </c>
      <c r="K168" s="9">
        <v>0</v>
      </c>
      <c r="L168" s="9">
        <v>0</v>
      </c>
      <c r="M168" s="9">
        <v>0</v>
      </c>
      <c r="N168" s="9">
        <v>0</v>
      </c>
      <c r="O168" s="9">
        <v>0</v>
      </c>
      <c r="P168" s="9">
        <v>0</v>
      </c>
      <c r="Q168" s="9">
        <v>0</v>
      </c>
      <c r="R168" s="9">
        <v>0</v>
      </c>
      <c r="S168" s="9">
        <v>0</v>
      </c>
      <c r="T168" s="9">
        <v>0</v>
      </c>
      <c r="U168" s="9">
        <v>0</v>
      </c>
      <c r="V168" s="9">
        <v>0</v>
      </c>
      <c r="W168" s="9">
        <v>0</v>
      </c>
      <c r="X168" s="9">
        <v>0</v>
      </c>
      <c r="Y168" s="9">
        <v>0</v>
      </c>
      <c r="Z168" s="9">
        <v>0</v>
      </c>
      <c r="AA168" s="9">
        <v>0</v>
      </c>
      <c r="AB168" s="9">
        <v>0</v>
      </c>
      <c r="AC168" s="9">
        <v>0</v>
      </c>
      <c r="AD168" s="9">
        <v>0</v>
      </c>
      <c r="AE168" s="9">
        <v>0</v>
      </c>
      <c r="AF168" s="9">
        <v>0</v>
      </c>
      <c r="AG168" s="9">
        <v>0</v>
      </c>
      <c r="AH168" s="9">
        <v>0</v>
      </c>
      <c r="AI168" s="9">
        <v>0</v>
      </c>
      <c r="AJ168" s="9">
        <v>0</v>
      </c>
      <c r="AK168" s="9">
        <v>0</v>
      </c>
      <c r="AL168" s="9">
        <v>0</v>
      </c>
      <c r="AM168" s="9">
        <v>0</v>
      </c>
      <c r="AN168" s="9">
        <v>0</v>
      </c>
      <c r="AO168" s="9">
        <v>0</v>
      </c>
      <c r="AP168" s="9">
        <v>0</v>
      </c>
      <c r="AQ168" s="9">
        <v>0</v>
      </c>
      <c r="AR168" s="9">
        <v>0</v>
      </c>
      <c r="AS168" s="9">
        <v>0</v>
      </c>
      <c r="AT168" s="9">
        <v>0</v>
      </c>
      <c r="AU168" s="9">
        <v>0</v>
      </c>
      <c r="AV168" s="9">
        <v>0</v>
      </c>
      <c r="AW168" s="9">
        <v>0</v>
      </c>
      <c r="AX168" s="9">
        <v>0</v>
      </c>
      <c r="AY168" s="9">
        <v>0</v>
      </c>
      <c r="AZ168" s="9">
        <v>0</v>
      </c>
      <c r="BA168" s="9">
        <v>0</v>
      </c>
      <c r="BB168" s="9">
        <v>0</v>
      </c>
      <c r="BC168" s="9">
        <v>0</v>
      </c>
      <c r="BD168" s="9">
        <v>0</v>
      </c>
      <c r="BE168" s="9">
        <v>0</v>
      </c>
      <c r="BF168" s="9">
        <v>0</v>
      </c>
      <c r="BG168" s="9">
        <v>0</v>
      </c>
      <c r="BH168" s="9">
        <v>0</v>
      </c>
      <c r="BI168" s="9">
        <v>0</v>
      </c>
      <c r="BJ168" s="9">
        <v>0</v>
      </c>
      <c r="BK168" s="9">
        <v>0</v>
      </c>
      <c r="BL168" s="9">
        <v>0</v>
      </c>
      <c r="BM168" s="9">
        <v>0</v>
      </c>
      <c r="BN168" s="9">
        <v>0</v>
      </c>
      <c r="BO168" s="9">
        <v>0</v>
      </c>
      <c r="BP168" s="10">
        <v>0</v>
      </c>
      <c r="BQ168">
        <v>0</v>
      </c>
      <c r="BR168">
        <v>0</v>
      </c>
    </row>
    <row r="169" spans="1:70" x14ac:dyDescent="0.35">
      <c r="A169" s="8" t="s">
        <v>174</v>
      </c>
      <c r="B169" s="9" t="s">
        <v>818</v>
      </c>
      <c r="C169" s="10" t="s">
        <v>819</v>
      </c>
      <c r="D169" s="34">
        <f t="shared" si="4"/>
        <v>0</v>
      </c>
      <c r="E169" s="9">
        <v>0</v>
      </c>
      <c r="F169" s="9">
        <v>0</v>
      </c>
      <c r="G169" s="9">
        <v>0</v>
      </c>
      <c r="H169" s="9">
        <v>0</v>
      </c>
      <c r="I169" s="9">
        <v>0</v>
      </c>
      <c r="J169" s="9">
        <v>0</v>
      </c>
      <c r="K169" s="9">
        <v>0</v>
      </c>
      <c r="L169" s="9">
        <v>0</v>
      </c>
      <c r="M169" s="9">
        <v>0</v>
      </c>
      <c r="N169" s="9">
        <v>0</v>
      </c>
      <c r="O169" s="9">
        <v>0</v>
      </c>
      <c r="P169" s="9">
        <v>0</v>
      </c>
      <c r="Q169" s="9">
        <v>0</v>
      </c>
      <c r="R169" s="9">
        <v>0</v>
      </c>
      <c r="S169" s="9">
        <v>0</v>
      </c>
      <c r="T169" s="9">
        <v>0</v>
      </c>
      <c r="U169" s="9">
        <v>0</v>
      </c>
      <c r="V169" s="9">
        <v>0</v>
      </c>
      <c r="W169" s="9">
        <v>0</v>
      </c>
      <c r="X169" s="9">
        <v>0</v>
      </c>
      <c r="Y169" s="9">
        <v>0</v>
      </c>
      <c r="Z169" s="9">
        <v>0</v>
      </c>
      <c r="AA169" s="9">
        <v>0</v>
      </c>
      <c r="AB169" s="9">
        <v>0</v>
      </c>
      <c r="AC169" s="9">
        <v>0</v>
      </c>
      <c r="AD169" s="9">
        <v>0</v>
      </c>
      <c r="AE169" s="9">
        <v>0</v>
      </c>
      <c r="AF169" s="9">
        <v>0</v>
      </c>
      <c r="AG169" s="9">
        <v>0</v>
      </c>
      <c r="AH169" s="9">
        <v>0</v>
      </c>
      <c r="AI169" s="9">
        <v>0</v>
      </c>
      <c r="AJ169" s="9">
        <v>0</v>
      </c>
      <c r="AK169" s="9">
        <v>0</v>
      </c>
      <c r="AL169" s="9">
        <v>0</v>
      </c>
      <c r="AM169" s="9">
        <v>0</v>
      </c>
      <c r="AN169" s="9">
        <v>0</v>
      </c>
      <c r="AO169" s="9">
        <v>0</v>
      </c>
      <c r="AP169" s="9">
        <v>0</v>
      </c>
      <c r="AQ169" s="9">
        <v>0</v>
      </c>
      <c r="AR169" s="9">
        <v>0</v>
      </c>
      <c r="AS169" s="9">
        <v>0</v>
      </c>
      <c r="AT169" s="9">
        <v>0</v>
      </c>
      <c r="AU169" s="9">
        <v>0</v>
      </c>
      <c r="AV169" s="9">
        <v>0</v>
      </c>
      <c r="AW169" s="9">
        <v>0</v>
      </c>
      <c r="AX169" s="9">
        <v>0</v>
      </c>
      <c r="AY169" s="9">
        <v>0</v>
      </c>
      <c r="AZ169" s="9">
        <v>0</v>
      </c>
      <c r="BA169" s="9">
        <v>0</v>
      </c>
      <c r="BB169" s="9">
        <v>0</v>
      </c>
      <c r="BC169" s="9">
        <v>0</v>
      </c>
      <c r="BD169" s="9">
        <v>0</v>
      </c>
      <c r="BE169" s="9">
        <v>0</v>
      </c>
      <c r="BF169" s="9">
        <v>0</v>
      </c>
      <c r="BG169" s="9">
        <v>0</v>
      </c>
      <c r="BH169" s="9">
        <v>0</v>
      </c>
      <c r="BI169" s="9">
        <v>0</v>
      </c>
      <c r="BJ169" s="9">
        <v>0</v>
      </c>
      <c r="BK169" s="9">
        <v>0</v>
      </c>
      <c r="BL169" s="9">
        <v>0</v>
      </c>
      <c r="BM169" s="9">
        <v>0</v>
      </c>
      <c r="BN169" s="9">
        <v>0</v>
      </c>
      <c r="BO169" s="9">
        <v>0</v>
      </c>
      <c r="BP169" s="10">
        <v>0</v>
      </c>
      <c r="BQ169">
        <v>0</v>
      </c>
      <c r="BR169">
        <v>0</v>
      </c>
    </row>
    <row r="170" spans="1:70" x14ac:dyDescent="0.35">
      <c r="A170" s="8" t="s">
        <v>174</v>
      </c>
      <c r="B170" s="9" t="s">
        <v>820</v>
      </c>
      <c r="C170" s="10" t="s">
        <v>821</v>
      </c>
      <c r="D170" s="34">
        <f t="shared" si="4"/>
        <v>0</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0</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10">
        <v>0</v>
      </c>
      <c r="BQ170">
        <v>0</v>
      </c>
      <c r="BR170">
        <v>0</v>
      </c>
    </row>
    <row r="171" spans="1:70" x14ac:dyDescent="0.35">
      <c r="A171" s="8" t="s">
        <v>174</v>
      </c>
      <c r="B171" s="9" t="s">
        <v>822</v>
      </c>
      <c r="C171" s="10" t="s">
        <v>823</v>
      </c>
      <c r="D171" s="34">
        <f t="shared" si="4"/>
        <v>0</v>
      </c>
      <c r="E171" s="9">
        <v>0</v>
      </c>
      <c r="F171" s="9">
        <v>0</v>
      </c>
      <c r="G171" s="9">
        <v>0</v>
      </c>
      <c r="H171" s="9">
        <v>0</v>
      </c>
      <c r="I171" s="9">
        <v>0</v>
      </c>
      <c r="J171" s="9">
        <v>0</v>
      </c>
      <c r="K171" s="9">
        <v>0</v>
      </c>
      <c r="L171" s="9">
        <v>0</v>
      </c>
      <c r="M171" s="9">
        <v>0</v>
      </c>
      <c r="N171" s="9">
        <v>0</v>
      </c>
      <c r="O171" s="9">
        <v>0</v>
      </c>
      <c r="P171" s="9">
        <v>0</v>
      </c>
      <c r="Q171" s="9">
        <v>0</v>
      </c>
      <c r="R171" s="9">
        <v>0</v>
      </c>
      <c r="S171" s="9">
        <v>0</v>
      </c>
      <c r="T171" s="9">
        <v>0</v>
      </c>
      <c r="U171" s="9">
        <v>0</v>
      </c>
      <c r="V171" s="9">
        <v>0</v>
      </c>
      <c r="W171" s="9">
        <v>0</v>
      </c>
      <c r="X171" s="9">
        <v>0</v>
      </c>
      <c r="Y171" s="9">
        <v>0</v>
      </c>
      <c r="Z171" s="9">
        <v>0</v>
      </c>
      <c r="AA171" s="9">
        <v>0</v>
      </c>
      <c r="AB171" s="9">
        <v>0</v>
      </c>
      <c r="AC171" s="9">
        <v>0</v>
      </c>
      <c r="AD171" s="9">
        <v>0</v>
      </c>
      <c r="AE171" s="9">
        <v>0</v>
      </c>
      <c r="AF171" s="9">
        <v>0</v>
      </c>
      <c r="AG171" s="9">
        <v>0</v>
      </c>
      <c r="AH171" s="9">
        <v>0</v>
      </c>
      <c r="AI171" s="9">
        <v>0</v>
      </c>
      <c r="AJ171" s="9">
        <v>0</v>
      </c>
      <c r="AK171" s="9">
        <v>0</v>
      </c>
      <c r="AL171" s="9">
        <v>0</v>
      </c>
      <c r="AM171" s="9">
        <v>0</v>
      </c>
      <c r="AN171" s="9">
        <v>0</v>
      </c>
      <c r="AO171" s="9">
        <v>0</v>
      </c>
      <c r="AP171" s="9">
        <v>0</v>
      </c>
      <c r="AQ171" s="9">
        <v>0</v>
      </c>
      <c r="AR171" s="9">
        <v>0</v>
      </c>
      <c r="AS171" s="9">
        <v>0</v>
      </c>
      <c r="AT171" s="9">
        <v>0</v>
      </c>
      <c r="AU171" s="9">
        <v>0</v>
      </c>
      <c r="AV171" s="9">
        <v>0</v>
      </c>
      <c r="AW171" s="9">
        <v>0</v>
      </c>
      <c r="AX171" s="9">
        <v>0</v>
      </c>
      <c r="AY171" s="9">
        <v>0</v>
      </c>
      <c r="AZ171" s="9">
        <v>0</v>
      </c>
      <c r="BA171" s="9">
        <v>0</v>
      </c>
      <c r="BB171" s="9">
        <v>0</v>
      </c>
      <c r="BC171" s="9">
        <v>0</v>
      </c>
      <c r="BD171" s="9">
        <v>0</v>
      </c>
      <c r="BE171" s="9">
        <v>0</v>
      </c>
      <c r="BF171" s="9">
        <v>0</v>
      </c>
      <c r="BG171" s="9">
        <v>0</v>
      </c>
      <c r="BH171" s="9">
        <v>0</v>
      </c>
      <c r="BI171" s="9">
        <v>0</v>
      </c>
      <c r="BJ171" s="9">
        <v>0</v>
      </c>
      <c r="BK171" s="9">
        <v>0</v>
      </c>
      <c r="BL171" s="9">
        <v>0</v>
      </c>
      <c r="BM171" s="9">
        <v>0</v>
      </c>
      <c r="BN171" s="9">
        <v>0</v>
      </c>
      <c r="BO171" s="9">
        <v>0</v>
      </c>
      <c r="BP171" s="10">
        <v>0</v>
      </c>
      <c r="BQ171">
        <v>0</v>
      </c>
      <c r="BR171">
        <v>0</v>
      </c>
    </row>
    <row r="172" spans="1:70" x14ac:dyDescent="0.35">
      <c r="A172" s="8" t="s">
        <v>174</v>
      </c>
      <c r="B172" s="9" t="s">
        <v>824</v>
      </c>
      <c r="C172" s="10" t="s">
        <v>825</v>
      </c>
      <c r="D172" s="34">
        <f t="shared" si="4"/>
        <v>0</v>
      </c>
      <c r="E172" s="9">
        <v>0</v>
      </c>
      <c r="F172" s="9">
        <v>0</v>
      </c>
      <c r="G172" s="9">
        <v>0</v>
      </c>
      <c r="H172" s="9">
        <v>0</v>
      </c>
      <c r="I172" s="9">
        <v>0</v>
      </c>
      <c r="J172" s="9">
        <v>0</v>
      </c>
      <c r="K172" s="9">
        <v>0</v>
      </c>
      <c r="L172" s="9">
        <v>0</v>
      </c>
      <c r="M172" s="9">
        <v>0</v>
      </c>
      <c r="N172" s="9">
        <v>0</v>
      </c>
      <c r="O172" s="9">
        <v>0</v>
      </c>
      <c r="P172" s="9">
        <v>0</v>
      </c>
      <c r="Q172" s="9">
        <v>0</v>
      </c>
      <c r="R172" s="9">
        <v>0</v>
      </c>
      <c r="S172" s="9">
        <v>0</v>
      </c>
      <c r="T172" s="9">
        <v>0</v>
      </c>
      <c r="U172" s="9">
        <v>0</v>
      </c>
      <c r="V172" s="9">
        <v>0</v>
      </c>
      <c r="W172" s="9">
        <v>0</v>
      </c>
      <c r="X172" s="9">
        <v>0</v>
      </c>
      <c r="Y172" s="9">
        <v>0</v>
      </c>
      <c r="Z172" s="9">
        <v>0</v>
      </c>
      <c r="AA172" s="9">
        <v>0</v>
      </c>
      <c r="AB172" s="9">
        <v>0</v>
      </c>
      <c r="AC172" s="9">
        <v>0</v>
      </c>
      <c r="AD172" s="9">
        <v>0</v>
      </c>
      <c r="AE172" s="9">
        <v>0</v>
      </c>
      <c r="AF172" s="9">
        <v>0</v>
      </c>
      <c r="AG172" s="9">
        <v>0</v>
      </c>
      <c r="AH172" s="9">
        <v>0</v>
      </c>
      <c r="AI172" s="9">
        <v>0</v>
      </c>
      <c r="AJ172" s="9">
        <v>0</v>
      </c>
      <c r="AK172" s="9">
        <v>0</v>
      </c>
      <c r="AL172" s="9">
        <v>0</v>
      </c>
      <c r="AM172" s="9">
        <v>0</v>
      </c>
      <c r="AN172" s="9">
        <v>0</v>
      </c>
      <c r="AO172" s="9">
        <v>0</v>
      </c>
      <c r="AP172" s="9">
        <v>0</v>
      </c>
      <c r="AQ172" s="9">
        <v>0</v>
      </c>
      <c r="AR172" s="9">
        <v>0</v>
      </c>
      <c r="AS172" s="9">
        <v>0</v>
      </c>
      <c r="AT172" s="9">
        <v>0</v>
      </c>
      <c r="AU172" s="9">
        <v>0</v>
      </c>
      <c r="AV172" s="9">
        <v>0</v>
      </c>
      <c r="AW172" s="9">
        <v>0</v>
      </c>
      <c r="AX172" s="9">
        <v>0</v>
      </c>
      <c r="AY172" s="9">
        <v>0</v>
      </c>
      <c r="AZ172" s="9">
        <v>0</v>
      </c>
      <c r="BA172" s="9">
        <v>0</v>
      </c>
      <c r="BB172" s="9">
        <v>0</v>
      </c>
      <c r="BC172" s="9">
        <v>0</v>
      </c>
      <c r="BD172" s="9">
        <v>0</v>
      </c>
      <c r="BE172" s="9">
        <v>0</v>
      </c>
      <c r="BF172" s="9">
        <v>0</v>
      </c>
      <c r="BG172" s="9">
        <v>0</v>
      </c>
      <c r="BH172" s="9">
        <v>0</v>
      </c>
      <c r="BI172" s="9">
        <v>0</v>
      </c>
      <c r="BJ172" s="9">
        <v>0</v>
      </c>
      <c r="BK172" s="9">
        <v>0</v>
      </c>
      <c r="BL172" s="9">
        <v>0</v>
      </c>
      <c r="BM172" s="9">
        <v>0</v>
      </c>
      <c r="BN172" s="9">
        <v>0</v>
      </c>
      <c r="BO172" s="9">
        <v>0</v>
      </c>
      <c r="BP172" s="10">
        <v>0</v>
      </c>
      <c r="BQ172">
        <v>0</v>
      </c>
      <c r="BR172">
        <v>0</v>
      </c>
    </row>
    <row r="173" spans="1:70" x14ac:dyDescent="0.35">
      <c r="A173" s="8" t="s">
        <v>174</v>
      </c>
      <c r="B173" s="9" t="s">
        <v>826</v>
      </c>
      <c r="C173" s="10" t="s">
        <v>827</v>
      </c>
      <c r="D173" s="34">
        <f t="shared" si="4"/>
        <v>0</v>
      </c>
      <c r="E173" s="9">
        <v>0</v>
      </c>
      <c r="F173" s="9">
        <v>0</v>
      </c>
      <c r="G173" s="9">
        <v>0</v>
      </c>
      <c r="H173" s="9">
        <v>0</v>
      </c>
      <c r="I173" s="9">
        <v>0</v>
      </c>
      <c r="J173" s="9">
        <v>0</v>
      </c>
      <c r="K173" s="9">
        <v>0</v>
      </c>
      <c r="L173" s="9">
        <v>0</v>
      </c>
      <c r="M173" s="9">
        <v>0</v>
      </c>
      <c r="N173" s="9">
        <v>0</v>
      </c>
      <c r="O173" s="9">
        <v>0</v>
      </c>
      <c r="P173" s="9">
        <v>0</v>
      </c>
      <c r="Q173" s="9">
        <v>0</v>
      </c>
      <c r="R173" s="9">
        <v>0</v>
      </c>
      <c r="S173" s="9">
        <v>0</v>
      </c>
      <c r="T173" s="9">
        <v>0</v>
      </c>
      <c r="U173" s="9">
        <v>0</v>
      </c>
      <c r="V173" s="9">
        <v>0</v>
      </c>
      <c r="W173" s="9">
        <v>0</v>
      </c>
      <c r="X173" s="9">
        <v>0</v>
      </c>
      <c r="Y173" s="9">
        <v>0</v>
      </c>
      <c r="Z173" s="9">
        <v>0</v>
      </c>
      <c r="AA173" s="9">
        <v>0</v>
      </c>
      <c r="AB173" s="9">
        <v>0</v>
      </c>
      <c r="AC173" s="9">
        <v>0</v>
      </c>
      <c r="AD173" s="9">
        <v>0</v>
      </c>
      <c r="AE173" s="9">
        <v>0</v>
      </c>
      <c r="AF173" s="9">
        <v>0</v>
      </c>
      <c r="AG173" s="9">
        <v>0</v>
      </c>
      <c r="AH173" s="9">
        <v>0</v>
      </c>
      <c r="AI173" s="9">
        <v>0</v>
      </c>
      <c r="AJ173" s="9">
        <v>0</v>
      </c>
      <c r="AK173" s="9">
        <v>0</v>
      </c>
      <c r="AL173" s="9">
        <v>0</v>
      </c>
      <c r="AM173" s="9">
        <v>0</v>
      </c>
      <c r="AN173" s="9">
        <v>0</v>
      </c>
      <c r="AO173" s="9">
        <v>0</v>
      </c>
      <c r="AP173" s="9">
        <v>0</v>
      </c>
      <c r="AQ173" s="9">
        <v>0</v>
      </c>
      <c r="AR173" s="9">
        <v>0</v>
      </c>
      <c r="AS173" s="9">
        <v>0</v>
      </c>
      <c r="AT173" s="9">
        <v>0</v>
      </c>
      <c r="AU173" s="9">
        <v>0</v>
      </c>
      <c r="AV173" s="9">
        <v>0</v>
      </c>
      <c r="AW173" s="9">
        <v>0</v>
      </c>
      <c r="AX173" s="9">
        <v>0</v>
      </c>
      <c r="AY173" s="9">
        <v>0</v>
      </c>
      <c r="AZ173" s="9">
        <v>0</v>
      </c>
      <c r="BA173" s="9">
        <v>0</v>
      </c>
      <c r="BB173" s="9">
        <v>0</v>
      </c>
      <c r="BC173" s="9">
        <v>0</v>
      </c>
      <c r="BD173" s="9">
        <v>0</v>
      </c>
      <c r="BE173" s="9">
        <v>0</v>
      </c>
      <c r="BF173" s="9">
        <v>0</v>
      </c>
      <c r="BG173" s="9">
        <v>0</v>
      </c>
      <c r="BH173" s="9">
        <v>0</v>
      </c>
      <c r="BI173" s="9">
        <v>0</v>
      </c>
      <c r="BJ173" s="9">
        <v>0</v>
      </c>
      <c r="BK173" s="9">
        <v>0</v>
      </c>
      <c r="BL173" s="9">
        <v>0</v>
      </c>
      <c r="BM173" s="9">
        <v>0</v>
      </c>
      <c r="BN173" s="9">
        <v>0</v>
      </c>
      <c r="BO173" s="9">
        <v>0</v>
      </c>
      <c r="BP173" s="10">
        <v>0</v>
      </c>
      <c r="BQ173">
        <v>0</v>
      </c>
      <c r="BR173">
        <v>0</v>
      </c>
    </row>
    <row r="174" spans="1:70" x14ac:dyDescent="0.35">
      <c r="A174" s="8" t="s">
        <v>174</v>
      </c>
      <c r="B174" s="9" t="s">
        <v>828</v>
      </c>
      <c r="C174" s="10" t="s">
        <v>829</v>
      </c>
      <c r="D174" s="34">
        <f t="shared" si="4"/>
        <v>0</v>
      </c>
      <c r="E174" s="9">
        <v>0</v>
      </c>
      <c r="F174" s="9">
        <v>0</v>
      </c>
      <c r="G174" s="9">
        <v>0</v>
      </c>
      <c r="H174" s="9">
        <v>0</v>
      </c>
      <c r="I174" s="9">
        <v>0</v>
      </c>
      <c r="J174" s="9">
        <v>0</v>
      </c>
      <c r="K174" s="9">
        <v>0</v>
      </c>
      <c r="L174" s="9">
        <v>0</v>
      </c>
      <c r="M174" s="9">
        <v>0</v>
      </c>
      <c r="N174" s="9">
        <v>0</v>
      </c>
      <c r="O174" s="9">
        <v>0</v>
      </c>
      <c r="P174" s="9">
        <v>0</v>
      </c>
      <c r="Q174" s="9">
        <v>0</v>
      </c>
      <c r="R174" s="9">
        <v>0</v>
      </c>
      <c r="S174" s="9">
        <v>0</v>
      </c>
      <c r="T174" s="9">
        <v>0</v>
      </c>
      <c r="U174" s="9">
        <v>0</v>
      </c>
      <c r="V174" s="9">
        <v>0</v>
      </c>
      <c r="W174" s="9">
        <v>0</v>
      </c>
      <c r="X174" s="9">
        <v>0</v>
      </c>
      <c r="Y174" s="9">
        <v>0</v>
      </c>
      <c r="Z174" s="9">
        <v>0</v>
      </c>
      <c r="AA174" s="9">
        <v>0</v>
      </c>
      <c r="AB174" s="9">
        <v>0</v>
      </c>
      <c r="AC174" s="9">
        <v>0</v>
      </c>
      <c r="AD174" s="9">
        <v>0</v>
      </c>
      <c r="AE174" s="9">
        <v>0</v>
      </c>
      <c r="AF174" s="9">
        <v>0</v>
      </c>
      <c r="AG174" s="9">
        <v>0</v>
      </c>
      <c r="AH174" s="9">
        <v>0</v>
      </c>
      <c r="AI174" s="9">
        <v>0</v>
      </c>
      <c r="AJ174" s="9">
        <v>0</v>
      </c>
      <c r="AK174" s="9">
        <v>0</v>
      </c>
      <c r="AL174" s="9">
        <v>0</v>
      </c>
      <c r="AM174" s="9">
        <v>0</v>
      </c>
      <c r="AN174" s="9">
        <v>0</v>
      </c>
      <c r="AO174" s="9">
        <v>0</v>
      </c>
      <c r="AP174" s="9">
        <v>0</v>
      </c>
      <c r="AQ174" s="9">
        <v>0</v>
      </c>
      <c r="AR174" s="9">
        <v>0</v>
      </c>
      <c r="AS174" s="9">
        <v>0</v>
      </c>
      <c r="AT174" s="9">
        <v>0</v>
      </c>
      <c r="AU174" s="9">
        <v>0</v>
      </c>
      <c r="AV174" s="9">
        <v>0</v>
      </c>
      <c r="AW174" s="9">
        <v>0</v>
      </c>
      <c r="AX174" s="9">
        <v>0</v>
      </c>
      <c r="AY174" s="9">
        <v>0</v>
      </c>
      <c r="AZ174" s="9">
        <v>0</v>
      </c>
      <c r="BA174" s="9">
        <v>0</v>
      </c>
      <c r="BB174" s="9">
        <v>0</v>
      </c>
      <c r="BC174" s="9">
        <v>0</v>
      </c>
      <c r="BD174" s="9">
        <v>0</v>
      </c>
      <c r="BE174" s="9">
        <v>0</v>
      </c>
      <c r="BF174" s="9">
        <v>0</v>
      </c>
      <c r="BG174" s="9">
        <v>0</v>
      </c>
      <c r="BH174" s="9">
        <v>0</v>
      </c>
      <c r="BI174" s="9">
        <v>0</v>
      </c>
      <c r="BJ174" s="9">
        <v>0</v>
      </c>
      <c r="BK174" s="9">
        <v>0</v>
      </c>
      <c r="BL174" s="9">
        <v>0</v>
      </c>
      <c r="BM174" s="9">
        <v>0</v>
      </c>
      <c r="BN174" s="9">
        <v>0</v>
      </c>
      <c r="BO174" s="9">
        <v>0</v>
      </c>
      <c r="BP174" s="10">
        <v>0</v>
      </c>
      <c r="BQ174">
        <v>0</v>
      </c>
      <c r="BR174">
        <v>0</v>
      </c>
    </row>
    <row r="175" spans="1:70" x14ac:dyDescent="0.35">
      <c r="A175" s="8" t="s">
        <v>174</v>
      </c>
      <c r="B175" s="9" t="s">
        <v>830</v>
      </c>
      <c r="C175" s="10" t="s">
        <v>831</v>
      </c>
      <c r="D175" s="34">
        <f t="shared" si="4"/>
        <v>0</v>
      </c>
      <c r="E175" s="9">
        <v>0</v>
      </c>
      <c r="F175" s="9">
        <v>0</v>
      </c>
      <c r="G175" s="9">
        <v>0</v>
      </c>
      <c r="H175" s="9">
        <v>0</v>
      </c>
      <c r="I175" s="9">
        <v>0</v>
      </c>
      <c r="J175" s="9">
        <v>0</v>
      </c>
      <c r="K175" s="9">
        <v>0</v>
      </c>
      <c r="L175" s="9">
        <v>0</v>
      </c>
      <c r="M175" s="9">
        <v>0</v>
      </c>
      <c r="N175" s="9">
        <v>0</v>
      </c>
      <c r="O175" s="9">
        <v>0</v>
      </c>
      <c r="P175" s="9">
        <v>0</v>
      </c>
      <c r="Q175" s="9">
        <v>0</v>
      </c>
      <c r="R175" s="9">
        <v>0</v>
      </c>
      <c r="S175" s="9">
        <v>0</v>
      </c>
      <c r="T175" s="9">
        <v>0</v>
      </c>
      <c r="U175" s="9">
        <v>0</v>
      </c>
      <c r="V175" s="9">
        <v>0</v>
      </c>
      <c r="W175" s="9">
        <v>0</v>
      </c>
      <c r="X175" s="9">
        <v>0</v>
      </c>
      <c r="Y175" s="9">
        <v>0</v>
      </c>
      <c r="Z175" s="9">
        <v>0</v>
      </c>
      <c r="AA175" s="9">
        <v>0</v>
      </c>
      <c r="AB175" s="9">
        <v>0</v>
      </c>
      <c r="AC175" s="9">
        <v>0</v>
      </c>
      <c r="AD175" s="9">
        <v>0</v>
      </c>
      <c r="AE175" s="9">
        <v>0</v>
      </c>
      <c r="AF175" s="9">
        <v>0</v>
      </c>
      <c r="AG175" s="9">
        <v>0</v>
      </c>
      <c r="AH175" s="9">
        <v>0</v>
      </c>
      <c r="AI175" s="9">
        <v>0</v>
      </c>
      <c r="AJ175" s="9">
        <v>0</v>
      </c>
      <c r="AK175" s="9">
        <v>0</v>
      </c>
      <c r="AL175" s="9">
        <v>0</v>
      </c>
      <c r="AM175" s="9">
        <v>0</v>
      </c>
      <c r="AN175" s="9">
        <v>0</v>
      </c>
      <c r="AO175" s="9">
        <v>0</v>
      </c>
      <c r="AP175" s="9">
        <v>0</v>
      </c>
      <c r="AQ175" s="9">
        <v>0</v>
      </c>
      <c r="AR175" s="9">
        <v>0</v>
      </c>
      <c r="AS175" s="9">
        <v>0</v>
      </c>
      <c r="AT175" s="9">
        <v>0</v>
      </c>
      <c r="AU175" s="9">
        <v>0</v>
      </c>
      <c r="AV175" s="9">
        <v>0</v>
      </c>
      <c r="AW175" s="9">
        <v>0</v>
      </c>
      <c r="AX175" s="9">
        <v>0</v>
      </c>
      <c r="AY175" s="9">
        <v>0</v>
      </c>
      <c r="AZ175" s="9">
        <v>0</v>
      </c>
      <c r="BA175" s="9">
        <v>0</v>
      </c>
      <c r="BB175" s="9">
        <v>0</v>
      </c>
      <c r="BC175" s="9">
        <v>0</v>
      </c>
      <c r="BD175" s="9">
        <v>0</v>
      </c>
      <c r="BE175" s="9">
        <v>0</v>
      </c>
      <c r="BF175" s="9">
        <v>0</v>
      </c>
      <c r="BG175" s="9">
        <v>0</v>
      </c>
      <c r="BH175" s="9">
        <v>0</v>
      </c>
      <c r="BI175" s="9">
        <v>0</v>
      </c>
      <c r="BJ175" s="9">
        <v>0</v>
      </c>
      <c r="BK175" s="9">
        <v>0</v>
      </c>
      <c r="BL175" s="9">
        <v>0</v>
      </c>
      <c r="BM175" s="9">
        <v>0</v>
      </c>
      <c r="BN175" s="9">
        <v>0</v>
      </c>
      <c r="BO175" s="9">
        <v>0</v>
      </c>
      <c r="BP175" s="10">
        <v>0</v>
      </c>
      <c r="BQ175">
        <v>0</v>
      </c>
      <c r="BR175">
        <v>0</v>
      </c>
    </row>
    <row r="176" spans="1:70" x14ac:dyDescent="0.35">
      <c r="A176" s="8" t="s">
        <v>174</v>
      </c>
      <c r="B176" s="9" t="s">
        <v>832</v>
      </c>
      <c r="C176" s="10" t="s">
        <v>833</v>
      </c>
      <c r="D176" s="34">
        <f t="shared" si="4"/>
        <v>0</v>
      </c>
      <c r="E176" s="9">
        <v>0</v>
      </c>
      <c r="F176" s="9">
        <v>0</v>
      </c>
      <c r="G176" s="9">
        <v>0</v>
      </c>
      <c r="H176" s="9">
        <v>0</v>
      </c>
      <c r="I176" s="9">
        <v>0</v>
      </c>
      <c r="J176" s="9">
        <v>0</v>
      </c>
      <c r="K176" s="9">
        <v>0</v>
      </c>
      <c r="L176" s="9">
        <v>0</v>
      </c>
      <c r="M176" s="9">
        <v>0</v>
      </c>
      <c r="N176" s="9">
        <v>0</v>
      </c>
      <c r="O176" s="9">
        <v>0</v>
      </c>
      <c r="P176" s="9">
        <v>0</v>
      </c>
      <c r="Q176" s="9">
        <v>0</v>
      </c>
      <c r="R176" s="9">
        <v>0</v>
      </c>
      <c r="S176" s="9">
        <v>0</v>
      </c>
      <c r="T176" s="9">
        <v>0</v>
      </c>
      <c r="U176" s="9">
        <v>0</v>
      </c>
      <c r="V176" s="9">
        <v>0</v>
      </c>
      <c r="W176" s="9">
        <v>0</v>
      </c>
      <c r="X176" s="9">
        <v>0</v>
      </c>
      <c r="Y176" s="9">
        <v>0</v>
      </c>
      <c r="Z176" s="9">
        <v>0</v>
      </c>
      <c r="AA176" s="9">
        <v>0</v>
      </c>
      <c r="AB176" s="9">
        <v>0</v>
      </c>
      <c r="AC176" s="9">
        <v>0</v>
      </c>
      <c r="AD176" s="9">
        <v>0</v>
      </c>
      <c r="AE176" s="9">
        <v>0</v>
      </c>
      <c r="AF176" s="9">
        <v>0</v>
      </c>
      <c r="AG176" s="9">
        <v>0</v>
      </c>
      <c r="AH176" s="9">
        <v>0</v>
      </c>
      <c r="AI176" s="9">
        <v>0</v>
      </c>
      <c r="AJ176" s="9">
        <v>0</v>
      </c>
      <c r="AK176" s="9">
        <v>0</v>
      </c>
      <c r="AL176" s="9">
        <v>0</v>
      </c>
      <c r="AM176" s="9">
        <v>0</v>
      </c>
      <c r="AN176" s="9">
        <v>0</v>
      </c>
      <c r="AO176" s="9">
        <v>0</v>
      </c>
      <c r="AP176" s="9">
        <v>0</v>
      </c>
      <c r="AQ176" s="9">
        <v>0</v>
      </c>
      <c r="AR176" s="9">
        <v>0</v>
      </c>
      <c r="AS176" s="9">
        <v>0</v>
      </c>
      <c r="AT176" s="9">
        <v>0</v>
      </c>
      <c r="AU176" s="9">
        <v>0</v>
      </c>
      <c r="AV176" s="9">
        <v>0</v>
      </c>
      <c r="AW176" s="9">
        <v>0</v>
      </c>
      <c r="AX176" s="9">
        <v>0</v>
      </c>
      <c r="AY176" s="9">
        <v>0</v>
      </c>
      <c r="AZ176" s="9">
        <v>0</v>
      </c>
      <c r="BA176" s="9">
        <v>0</v>
      </c>
      <c r="BB176" s="9">
        <v>0</v>
      </c>
      <c r="BC176" s="9">
        <v>0</v>
      </c>
      <c r="BD176" s="9">
        <v>0</v>
      </c>
      <c r="BE176" s="9">
        <v>0</v>
      </c>
      <c r="BF176" s="9">
        <v>0</v>
      </c>
      <c r="BG176" s="9">
        <v>0</v>
      </c>
      <c r="BH176" s="9">
        <v>0</v>
      </c>
      <c r="BI176" s="9">
        <v>0</v>
      </c>
      <c r="BJ176" s="9">
        <v>0</v>
      </c>
      <c r="BK176" s="9">
        <v>0</v>
      </c>
      <c r="BL176" s="9">
        <v>0</v>
      </c>
      <c r="BM176" s="9">
        <v>0</v>
      </c>
      <c r="BN176" s="9">
        <v>0</v>
      </c>
      <c r="BO176" s="9">
        <v>0</v>
      </c>
      <c r="BP176" s="10">
        <v>0</v>
      </c>
      <c r="BQ176">
        <v>0</v>
      </c>
      <c r="BR176">
        <v>0</v>
      </c>
    </row>
    <row r="177" spans="1:70" x14ac:dyDescent="0.35">
      <c r="A177" s="8" t="s">
        <v>174</v>
      </c>
      <c r="B177" s="9" t="s">
        <v>834</v>
      </c>
      <c r="C177" s="10" t="s">
        <v>835</v>
      </c>
      <c r="D177" s="34">
        <f t="shared" si="4"/>
        <v>0</v>
      </c>
      <c r="E177" s="9">
        <v>0</v>
      </c>
      <c r="F177" s="9">
        <v>0</v>
      </c>
      <c r="G177" s="9">
        <v>0</v>
      </c>
      <c r="H177" s="9">
        <v>0</v>
      </c>
      <c r="I177" s="9">
        <v>0</v>
      </c>
      <c r="J177" s="9">
        <v>0</v>
      </c>
      <c r="K177" s="9">
        <v>0</v>
      </c>
      <c r="L177" s="9">
        <v>0</v>
      </c>
      <c r="M177" s="9">
        <v>0</v>
      </c>
      <c r="N177" s="9">
        <v>0</v>
      </c>
      <c r="O177" s="9">
        <v>0</v>
      </c>
      <c r="P177" s="9">
        <v>0</v>
      </c>
      <c r="Q177" s="9">
        <v>0</v>
      </c>
      <c r="R177" s="9">
        <v>0</v>
      </c>
      <c r="S177" s="9">
        <v>0</v>
      </c>
      <c r="T177" s="9">
        <v>0</v>
      </c>
      <c r="U177" s="9">
        <v>0</v>
      </c>
      <c r="V177" s="9">
        <v>0</v>
      </c>
      <c r="W177" s="9">
        <v>0</v>
      </c>
      <c r="X177" s="9">
        <v>0</v>
      </c>
      <c r="Y177" s="9">
        <v>0</v>
      </c>
      <c r="Z177" s="9">
        <v>0</v>
      </c>
      <c r="AA177" s="9">
        <v>0</v>
      </c>
      <c r="AB177" s="9">
        <v>0</v>
      </c>
      <c r="AC177" s="9">
        <v>0</v>
      </c>
      <c r="AD177" s="9">
        <v>0</v>
      </c>
      <c r="AE177" s="9">
        <v>0</v>
      </c>
      <c r="AF177" s="9">
        <v>0</v>
      </c>
      <c r="AG177" s="9">
        <v>0</v>
      </c>
      <c r="AH177" s="9">
        <v>0</v>
      </c>
      <c r="AI177" s="9">
        <v>0</v>
      </c>
      <c r="AJ177" s="9">
        <v>0</v>
      </c>
      <c r="AK177" s="9">
        <v>0</v>
      </c>
      <c r="AL177" s="9">
        <v>0</v>
      </c>
      <c r="AM177" s="9">
        <v>0</v>
      </c>
      <c r="AN177" s="9">
        <v>0</v>
      </c>
      <c r="AO177" s="9">
        <v>0</v>
      </c>
      <c r="AP177" s="9">
        <v>0</v>
      </c>
      <c r="AQ177" s="9">
        <v>0</v>
      </c>
      <c r="AR177" s="9">
        <v>0</v>
      </c>
      <c r="AS177" s="9">
        <v>0</v>
      </c>
      <c r="AT177" s="9">
        <v>0</v>
      </c>
      <c r="AU177" s="9">
        <v>0</v>
      </c>
      <c r="AV177" s="9">
        <v>0</v>
      </c>
      <c r="AW177" s="9">
        <v>0</v>
      </c>
      <c r="AX177" s="9">
        <v>0</v>
      </c>
      <c r="AY177" s="9">
        <v>0</v>
      </c>
      <c r="AZ177" s="9">
        <v>0</v>
      </c>
      <c r="BA177" s="9">
        <v>0</v>
      </c>
      <c r="BB177" s="9">
        <v>0</v>
      </c>
      <c r="BC177" s="9">
        <v>0</v>
      </c>
      <c r="BD177" s="9">
        <v>0</v>
      </c>
      <c r="BE177" s="9">
        <v>0</v>
      </c>
      <c r="BF177" s="9">
        <v>0</v>
      </c>
      <c r="BG177" s="9">
        <v>0</v>
      </c>
      <c r="BH177" s="9">
        <v>0</v>
      </c>
      <c r="BI177" s="9">
        <v>0</v>
      </c>
      <c r="BJ177" s="9">
        <v>0</v>
      </c>
      <c r="BK177" s="9">
        <v>0</v>
      </c>
      <c r="BL177" s="9">
        <v>0</v>
      </c>
      <c r="BM177" s="9">
        <v>0</v>
      </c>
      <c r="BN177" s="9">
        <v>0</v>
      </c>
      <c r="BO177" s="9">
        <v>0</v>
      </c>
      <c r="BP177" s="10">
        <v>0</v>
      </c>
      <c r="BQ177">
        <v>0</v>
      </c>
      <c r="BR177">
        <v>0</v>
      </c>
    </row>
    <row r="178" spans="1:70" x14ac:dyDescent="0.35">
      <c r="A178" s="8" t="s">
        <v>174</v>
      </c>
      <c r="B178" s="9" t="s">
        <v>836</v>
      </c>
      <c r="C178" s="10" t="s">
        <v>837</v>
      </c>
      <c r="D178" s="34">
        <f t="shared" si="4"/>
        <v>0</v>
      </c>
      <c r="E178" s="9">
        <v>0</v>
      </c>
      <c r="F178" s="9">
        <v>0</v>
      </c>
      <c r="G178" s="9">
        <v>0</v>
      </c>
      <c r="H178" s="9">
        <v>0</v>
      </c>
      <c r="I178" s="9">
        <v>0</v>
      </c>
      <c r="J178" s="9">
        <v>0</v>
      </c>
      <c r="K178" s="9">
        <v>0</v>
      </c>
      <c r="L178" s="9">
        <v>0</v>
      </c>
      <c r="M178" s="9">
        <v>0</v>
      </c>
      <c r="N178" s="9">
        <v>0</v>
      </c>
      <c r="O178" s="9">
        <v>0</v>
      </c>
      <c r="P178" s="9">
        <v>0</v>
      </c>
      <c r="Q178" s="9">
        <v>0</v>
      </c>
      <c r="R178" s="9">
        <v>0</v>
      </c>
      <c r="S178" s="9">
        <v>0</v>
      </c>
      <c r="T178" s="9">
        <v>0</v>
      </c>
      <c r="U178" s="9">
        <v>0</v>
      </c>
      <c r="V178" s="9">
        <v>0</v>
      </c>
      <c r="W178" s="9">
        <v>0</v>
      </c>
      <c r="X178" s="9">
        <v>0</v>
      </c>
      <c r="Y178" s="9">
        <v>0</v>
      </c>
      <c r="Z178" s="9">
        <v>0</v>
      </c>
      <c r="AA178" s="9">
        <v>0</v>
      </c>
      <c r="AB178" s="9">
        <v>0</v>
      </c>
      <c r="AC178" s="9">
        <v>0</v>
      </c>
      <c r="AD178" s="9">
        <v>0</v>
      </c>
      <c r="AE178" s="9">
        <v>0</v>
      </c>
      <c r="AF178" s="9">
        <v>0</v>
      </c>
      <c r="AG178" s="9">
        <v>0</v>
      </c>
      <c r="AH178" s="9">
        <v>0</v>
      </c>
      <c r="AI178" s="9">
        <v>0</v>
      </c>
      <c r="AJ178" s="9">
        <v>0</v>
      </c>
      <c r="AK178" s="9">
        <v>0</v>
      </c>
      <c r="AL178" s="9">
        <v>0</v>
      </c>
      <c r="AM178" s="9">
        <v>0</v>
      </c>
      <c r="AN178" s="9">
        <v>0</v>
      </c>
      <c r="AO178" s="9">
        <v>0</v>
      </c>
      <c r="AP178" s="9">
        <v>0</v>
      </c>
      <c r="AQ178" s="9">
        <v>0</v>
      </c>
      <c r="AR178" s="9">
        <v>0</v>
      </c>
      <c r="AS178" s="9">
        <v>0</v>
      </c>
      <c r="AT178" s="9">
        <v>0</v>
      </c>
      <c r="AU178" s="9">
        <v>0</v>
      </c>
      <c r="AV178" s="9">
        <v>0</v>
      </c>
      <c r="AW178" s="9">
        <v>0</v>
      </c>
      <c r="AX178" s="9">
        <v>0</v>
      </c>
      <c r="AY178" s="9">
        <v>0</v>
      </c>
      <c r="AZ178" s="9">
        <v>0</v>
      </c>
      <c r="BA178" s="9">
        <v>0</v>
      </c>
      <c r="BB178" s="9">
        <v>0</v>
      </c>
      <c r="BC178" s="9">
        <v>0</v>
      </c>
      <c r="BD178" s="9">
        <v>0</v>
      </c>
      <c r="BE178" s="9">
        <v>0</v>
      </c>
      <c r="BF178" s="9">
        <v>0</v>
      </c>
      <c r="BG178" s="9">
        <v>0</v>
      </c>
      <c r="BH178" s="9">
        <v>0</v>
      </c>
      <c r="BI178" s="9">
        <v>0</v>
      </c>
      <c r="BJ178" s="9">
        <v>0</v>
      </c>
      <c r="BK178" s="9">
        <v>0</v>
      </c>
      <c r="BL178" s="9">
        <v>0</v>
      </c>
      <c r="BM178" s="9">
        <v>0</v>
      </c>
      <c r="BN178" s="9">
        <v>0</v>
      </c>
      <c r="BO178" s="9">
        <v>0</v>
      </c>
      <c r="BP178" s="10">
        <v>0</v>
      </c>
      <c r="BQ178">
        <v>0</v>
      </c>
      <c r="BR178">
        <v>0</v>
      </c>
    </row>
    <row r="179" spans="1:70" x14ac:dyDescent="0.35">
      <c r="A179" s="8" t="s">
        <v>174</v>
      </c>
      <c r="B179" s="9" t="s">
        <v>838</v>
      </c>
      <c r="C179" s="10" t="s">
        <v>839</v>
      </c>
      <c r="D179" s="34">
        <f t="shared" si="4"/>
        <v>0</v>
      </c>
      <c r="E179" s="9">
        <v>0</v>
      </c>
      <c r="F179" s="9">
        <v>0</v>
      </c>
      <c r="G179" s="9">
        <v>0</v>
      </c>
      <c r="H179" s="9">
        <v>0</v>
      </c>
      <c r="I179" s="9">
        <v>0</v>
      </c>
      <c r="J179" s="9">
        <v>0</v>
      </c>
      <c r="K179" s="9">
        <v>0</v>
      </c>
      <c r="L179" s="9">
        <v>0</v>
      </c>
      <c r="M179" s="9">
        <v>0</v>
      </c>
      <c r="N179" s="9">
        <v>0</v>
      </c>
      <c r="O179" s="9">
        <v>0</v>
      </c>
      <c r="P179" s="9">
        <v>0</v>
      </c>
      <c r="Q179" s="9">
        <v>0</v>
      </c>
      <c r="R179" s="9">
        <v>0</v>
      </c>
      <c r="S179" s="9">
        <v>0</v>
      </c>
      <c r="T179" s="9">
        <v>0</v>
      </c>
      <c r="U179" s="9">
        <v>0</v>
      </c>
      <c r="V179" s="9">
        <v>0</v>
      </c>
      <c r="W179" s="9">
        <v>0</v>
      </c>
      <c r="X179" s="9">
        <v>0</v>
      </c>
      <c r="Y179" s="9">
        <v>0</v>
      </c>
      <c r="Z179" s="9">
        <v>0</v>
      </c>
      <c r="AA179" s="9">
        <v>0</v>
      </c>
      <c r="AB179" s="9">
        <v>0</v>
      </c>
      <c r="AC179" s="9">
        <v>0</v>
      </c>
      <c r="AD179" s="9">
        <v>0</v>
      </c>
      <c r="AE179" s="9">
        <v>0</v>
      </c>
      <c r="AF179" s="9">
        <v>0</v>
      </c>
      <c r="AG179" s="9">
        <v>0</v>
      </c>
      <c r="AH179" s="9">
        <v>0</v>
      </c>
      <c r="AI179" s="9">
        <v>0</v>
      </c>
      <c r="AJ179" s="9">
        <v>0</v>
      </c>
      <c r="AK179" s="9">
        <v>0</v>
      </c>
      <c r="AL179" s="9">
        <v>0</v>
      </c>
      <c r="AM179" s="9">
        <v>0</v>
      </c>
      <c r="AN179" s="9">
        <v>0</v>
      </c>
      <c r="AO179" s="9">
        <v>0</v>
      </c>
      <c r="AP179" s="9">
        <v>0</v>
      </c>
      <c r="AQ179" s="9">
        <v>0</v>
      </c>
      <c r="AR179" s="9">
        <v>0</v>
      </c>
      <c r="AS179" s="9">
        <v>0</v>
      </c>
      <c r="AT179" s="9">
        <v>0</v>
      </c>
      <c r="AU179" s="9">
        <v>0</v>
      </c>
      <c r="AV179" s="9">
        <v>0</v>
      </c>
      <c r="AW179" s="9">
        <v>0</v>
      </c>
      <c r="AX179" s="9">
        <v>0</v>
      </c>
      <c r="AY179" s="9">
        <v>0</v>
      </c>
      <c r="AZ179" s="9">
        <v>0</v>
      </c>
      <c r="BA179" s="9">
        <v>0</v>
      </c>
      <c r="BB179" s="9">
        <v>0</v>
      </c>
      <c r="BC179" s="9">
        <v>0</v>
      </c>
      <c r="BD179" s="9">
        <v>0</v>
      </c>
      <c r="BE179" s="9">
        <v>0</v>
      </c>
      <c r="BF179" s="9">
        <v>0</v>
      </c>
      <c r="BG179" s="9">
        <v>0</v>
      </c>
      <c r="BH179" s="9">
        <v>0</v>
      </c>
      <c r="BI179" s="9">
        <v>0</v>
      </c>
      <c r="BJ179" s="9">
        <v>0</v>
      </c>
      <c r="BK179" s="9">
        <v>0</v>
      </c>
      <c r="BL179" s="9">
        <v>0</v>
      </c>
      <c r="BM179" s="9">
        <v>0</v>
      </c>
      <c r="BN179" s="9">
        <v>0</v>
      </c>
      <c r="BO179" s="9">
        <v>0</v>
      </c>
      <c r="BP179" s="10">
        <v>0</v>
      </c>
      <c r="BQ179">
        <v>0</v>
      </c>
      <c r="BR179">
        <v>0</v>
      </c>
    </row>
    <row r="180" spans="1:70" x14ac:dyDescent="0.35">
      <c r="A180" s="8" t="s">
        <v>174</v>
      </c>
      <c r="B180" s="9" t="s">
        <v>840</v>
      </c>
      <c r="C180" s="10" t="s">
        <v>841</v>
      </c>
      <c r="D180" s="34">
        <f t="shared" si="4"/>
        <v>0</v>
      </c>
      <c r="E180" s="9">
        <v>0</v>
      </c>
      <c r="F180" s="9">
        <v>0</v>
      </c>
      <c r="G180" s="9">
        <v>0</v>
      </c>
      <c r="H180" s="9">
        <v>0</v>
      </c>
      <c r="I180" s="9">
        <v>0</v>
      </c>
      <c r="J180" s="9">
        <v>0</v>
      </c>
      <c r="K180" s="9">
        <v>0</v>
      </c>
      <c r="L180" s="9">
        <v>0</v>
      </c>
      <c r="M180" s="9">
        <v>0</v>
      </c>
      <c r="N180" s="9">
        <v>0</v>
      </c>
      <c r="O180" s="9">
        <v>0</v>
      </c>
      <c r="P180" s="9">
        <v>0</v>
      </c>
      <c r="Q180" s="9">
        <v>0</v>
      </c>
      <c r="R180" s="9">
        <v>0</v>
      </c>
      <c r="S180" s="9">
        <v>0</v>
      </c>
      <c r="T180" s="9">
        <v>0</v>
      </c>
      <c r="U180" s="9">
        <v>0</v>
      </c>
      <c r="V180" s="9">
        <v>0</v>
      </c>
      <c r="W180" s="9">
        <v>0</v>
      </c>
      <c r="X180" s="9">
        <v>0</v>
      </c>
      <c r="Y180" s="9">
        <v>0</v>
      </c>
      <c r="Z180" s="9">
        <v>0</v>
      </c>
      <c r="AA180" s="9">
        <v>0</v>
      </c>
      <c r="AB180" s="9">
        <v>0</v>
      </c>
      <c r="AC180" s="9">
        <v>0</v>
      </c>
      <c r="AD180" s="9">
        <v>0</v>
      </c>
      <c r="AE180" s="9">
        <v>0</v>
      </c>
      <c r="AF180" s="9">
        <v>0</v>
      </c>
      <c r="AG180" s="9">
        <v>0</v>
      </c>
      <c r="AH180" s="9">
        <v>0</v>
      </c>
      <c r="AI180" s="9">
        <v>0</v>
      </c>
      <c r="AJ180" s="9">
        <v>0</v>
      </c>
      <c r="AK180" s="9">
        <v>0</v>
      </c>
      <c r="AL180" s="9">
        <v>0</v>
      </c>
      <c r="AM180" s="9">
        <v>0</v>
      </c>
      <c r="AN180" s="9">
        <v>0</v>
      </c>
      <c r="AO180" s="9">
        <v>0</v>
      </c>
      <c r="AP180" s="9">
        <v>0</v>
      </c>
      <c r="AQ180" s="9">
        <v>0</v>
      </c>
      <c r="AR180" s="9">
        <v>0</v>
      </c>
      <c r="AS180" s="9">
        <v>0</v>
      </c>
      <c r="AT180" s="9">
        <v>0</v>
      </c>
      <c r="AU180" s="9">
        <v>0</v>
      </c>
      <c r="AV180" s="9">
        <v>0</v>
      </c>
      <c r="AW180" s="9">
        <v>0</v>
      </c>
      <c r="AX180" s="9">
        <v>0</v>
      </c>
      <c r="AY180" s="9">
        <v>0</v>
      </c>
      <c r="AZ180" s="9">
        <v>0</v>
      </c>
      <c r="BA180" s="9">
        <v>0</v>
      </c>
      <c r="BB180" s="9">
        <v>0</v>
      </c>
      <c r="BC180" s="9">
        <v>0</v>
      </c>
      <c r="BD180" s="9">
        <v>0</v>
      </c>
      <c r="BE180" s="9">
        <v>0</v>
      </c>
      <c r="BF180" s="9">
        <v>0</v>
      </c>
      <c r="BG180" s="9">
        <v>0</v>
      </c>
      <c r="BH180" s="9">
        <v>0</v>
      </c>
      <c r="BI180" s="9">
        <v>0</v>
      </c>
      <c r="BJ180" s="9">
        <v>0</v>
      </c>
      <c r="BK180" s="9">
        <v>0</v>
      </c>
      <c r="BL180" s="9">
        <v>0</v>
      </c>
      <c r="BM180" s="9">
        <v>0</v>
      </c>
      <c r="BN180" s="9">
        <v>0</v>
      </c>
      <c r="BO180" s="9">
        <v>0</v>
      </c>
      <c r="BP180" s="10">
        <v>0</v>
      </c>
      <c r="BQ180">
        <v>0</v>
      </c>
      <c r="BR180">
        <v>0</v>
      </c>
    </row>
    <row r="181" spans="1:70" x14ac:dyDescent="0.35">
      <c r="A181" s="8" t="s">
        <v>174</v>
      </c>
      <c r="B181" s="9" t="s">
        <v>842</v>
      </c>
      <c r="C181" s="10" t="s">
        <v>843</v>
      </c>
      <c r="D181" s="34">
        <f t="shared" si="4"/>
        <v>0</v>
      </c>
      <c r="E181" s="9">
        <v>0</v>
      </c>
      <c r="F181" s="9">
        <v>0</v>
      </c>
      <c r="G181" s="9">
        <v>0</v>
      </c>
      <c r="H181" s="9">
        <v>0</v>
      </c>
      <c r="I181" s="9">
        <v>0</v>
      </c>
      <c r="J181" s="9">
        <v>0</v>
      </c>
      <c r="K181" s="9">
        <v>0</v>
      </c>
      <c r="L181" s="9">
        <v>0</v>
      </c>
      <c r="M181" s="9">
        <v>0</v>
      </c>
      <c r="N181" s="9">
        <v>0</v>
      </c>
      <c r="O181" s="9">
        <v>0</v>
      </c>
      <c r="P181" s="9">
        <v>0</v>
      </c>
      <c r="Q181" s="9">
        <v>0</v>
      </c>
      <c r="R181" s="9">
        <v>0</v>
      </c>
      <c r="S181" s="9">
        <v>0</v>
      </c>
      <c r="T181" s="9">
        <v>0</v>
      </c>
      <c r="U181" s="9">
        <v>0</v>
      </c>
      <c r="V181" s="9">
        <v>0</v>
      </c>
      <c r="W181" s="9">
        <v>0</v>
      </c>
      <c r="X181" s="9">
        <v>0</v>
      </c>
      <c r="Y181" s="9">
        <v>0</v>
      </c>
      <c r="Z181" s="9">
        <v>0</v>
      </c>
      <c r="AA181" s="9">
        <v>0</v>
      </c>
      <c r="AB181" s="9">
        <v>0</v>
      </c>
      <c r="AC181" s="9">
        <v>0</v>
      </c>
      <c r="AD181" s="9">
        <v>0</v>
      </c>
      <c r="AE181" s="9">
        <v>0</v>
      </c>
      <c r="AF181" s="9">
        <v>0</v>
      </c>
      <c r="AG181" s="9">
        <v>0</v>
      </c>
      <c r="AH181" s="9">
        <v>0</v>
      </c>
      <c r="AI181" s="9">
        <v>0</v>
      </c>
      <c r="AJ181" s="9">
        <v>0</v>
      </c>
      <c r="AK181" s="9">
        <v>0</v>
      </c>
      <c r="AL181" s="9">
        <v>0</v>
      </c>
      <c r="AM181" s="9">
        <v>0</v>
      </c>
      <c r="AN181" s="9">
        <v>0</v>
      </c>
      <c r="AO181" s="9">
        <v>0</v>
      </c>
      <c r="AP181" s="9">
        <v>0</v>
      </c>
      <c r="AQ181" s="9">
        <v>0</v>
      </c>
      <c r="AR181" s="9">
        <v>0</v>
      </c>
      <c r="AS181" s="9">
        <v>0</v>
      </c>
      <c r="AT181" s="9">
        <v>0</v>
      </c>
      <c r="AU181" s="9">
        <v>0</v>
      </c>
      <c r="AV181" s="9">
        <v>0</v>
      </c>
      <c r="AW181" s="9">
        <v>0</v>
      </c>
      <c r="AX181" s="9">
        <v>0</v>
      </c>
      <c r="AY181" s="9">
        <v>0</v>
      </c>
      <c r="AZ181" s="9">
        <v>0</v>
      </c>
      <c r="BA181" s="9">
        <v>0</v>
      </c>
      <c r="BB181" s="9">
        <v>0</v>
      </c>
      <c r="BC181" s="9">
        <v>0</v>
      </c>
      <c r="BD181" s="9">
        <v>0</v>
      </c>
      <c r="BE181" s="9">
        <v>0</v>
      </c>
      <c r="BF181" s="9">
        <v>0</v>
      </c>
      <c r="BG181" s="9">
        <v>0</v>
      </c>
      <c r="BH181" s="9">
        <v>0</v>
      </c>
      <c r="BI181" s="9">
        <v>0</v>
      </c>
      <c r="BJ181" s="9">
        <v>0</v>
      </c>
      <c r="BK181" s="9">
        <v>0</v>
      </c>
      <c r="BL181" s="9">
        <v>0</v>
      </c>
      <c r="BM181" s="9">
        <v>0</v>
      </c>
      <c r="BN181" s="9">
        <v>0</v>
      </c>
      <c r="BO181" s="9">
        <v>0</v>
      </c>
      <c r="BP181" s="10">
        <v>0</v>
      </c>
      <c r="BQ181">
        <v>0</v>
      </c>
      <c r="BR181">
        <v>0</v>
      </c>
    </row>
    <row r="182" spans="1:70" x14ac:dyDescent="0.35">
      <c r="A182" s="8" t="s">
        <v>174</v>
      </c>
      <c r="B182" s="9" t="s">
        <v>844</v>
      </c>
      <c r="C182" s="10" t="s">
        <v>845</v>
      </c>
      <c r="D182" s="34">
        <f t="shared" si="4"/>
        <v>0</v>
      </c>
      <c r="E182" s="9">
        <v>0</v>
      </c>
      <c r="F182" s="9">
        <v>0</v>
      </c>
      <c r="G182" s="9">
        <v>0</v>
      </c>
      <c r="H182" s="9">
        <v>0</v>
      </c>
      <c r="I182" s="9">
        <v>0</v>
      </c>
      <c r="J182" s="9">
        <v>0</v>
      </c>
      <c r="K182" s="9">
        <v>0</v>
      </c>
      <c r="L182" s="9">
        <v>0</v>
      </c>
      <c r="M182" s="9">
        <v>0</v>
      </c>
      <c r="N182" s="9">
        <v>0</v>
      </c>
      <c r="O182" s="9">
        <v>0</v>
      </c>
      <c r="P182" s="9">
        <v>0</v>
      </c>
      <c r="Q182" s="9">
        <v>0</v>
      </c>
      <c r="R182" s="9">
        <v>0</v>
      </c>
      <c r="S182" s="9">
        <v>0</v>
      </c>
      <c r="T182" s="9">
        <v>0</v>
      </c>
      <c r="U182" s="9">
        <v>0</v>
      </c>
      <c r="V182" s="9">
        <v>0</v>
      </c>
      <c r="W182" s="9">
        <v>0</v>
      </c>
      <c r="X182" s="9">
        <v>0</v>
      </c>
      <c r="Y182" s="9">
        <v>0</v>
      </c>
      <c r="Z182" s="9">
        <v>0</v>
      </c>
      <c r="AA182" s="9">
        <v>0</v>
      </c>
      <c r="AB182" s="9">
        <v>0</v>
      </c>
      <c r="AC182" s="9">
        <v>0</v>
      </c>
      <c r="AD182" s="9">
        <v>0</v>
      </c>
      <c r="AE182" s="9">
        <v>0</v>
      </c>
      <c r="AF182" s="9">
        <v>0</v>
      </c>
      <c r="AG182" s="9">
        <v>0</v>
      </c>
      <c r="AH182" s="9">
        <v>0</v>
      </c>
      <c r="AI182" s="9">
        <v>0</v>
      </c>
      <c r="AJ182" s="9">
        <v>0</v>
      </c>
      <c r="AK182" s="9">
        <v>0</v>
      </c>
      <c r="AL182" s="9">
        <v>0</v>
      </c>
      <c r="AM182" s="9">
        <v>0</v>
      </c>
      <c r="AN182" s="9">
        <v>0</v>
      </c>
      <c r="AO182" s="9">
        <v>0</v>
      </c>
      <c r="AP182" s="9">
        <v>0</v>
      </c>
      <c r="AQ182" s="9">
        <v>0</v>
      </c>
      <c r="AR182" s="9">
        <v>0</v>
      </c>
      <c r="AS182" s="9">
        <v>0</v>
      </c>
      <c r="AT182" s="9">
        <v>0</v>
      </c>
      <c r="AU182" s="9">
        <v>0</v>
      </c>
      <c r="AV182" s="9">
        <v>0</v>
      </c>
      <c r="AW182" s="9">
        <v>0</v>
      </c>
      <c r="AX182" s="9">
        <v>0</v>
      </c>
      <c r="AY182" s="9">
        <v>0</v>
      </c>
      <c r="AZ182" s="9">
        <v>0</v>
      </c>
      <c r="BA182" s="9">
        <v>0</v>
      </c>
      <c r="BB182" s="9">
        <v>0</v>
      </c>
      <c r="BC182" s="9">
        <v>0</v>
      </c>
      <c r="BD182" s="9">
        <v>0</v>
      </c>
      <c r="BE182" s="9">
        <v>0</v>
      </c>
      <c r="BF182" s="9">
        <v>0</v>
      </c>
      <c r="BG182" s="9">
        <v>0</v>
      </c>
      <c r="BH182" s="9">
        <v>0</v>
      </c>
      <c r="BI182" s="9">
        <v>0</v>
      </c>
      <c r="BJ182" s="9">
        <v>0</v>
      </c>
      <c r="BK182" s="9">
        <v>0</v>
      </c>
      <c r="BL182" s="9">
        <v>0</v>
      </c>
      <c r="BM182" s="9">
        <v>0</v>
      </c>
      <c r="BN182" s="9">
        <v>0</v>
      </c>
      <c r="BO182" s="9">
        <v>0</v>
      </c>
      <c r="BP182" s="10">
        <v>0</v>
      </c>
      <c r="BQ182">
        <v>0</v>
      </c>
      <c r="BR182">
        <v>0</v>
      </c>
    </row>
    <row r="183" spans="1:70" x14ac:dyDescent="0.35">
      <c r="A183" s="8" t="s">
        <v>174</v>
      </c>
      <c r="B183" s="9" t="s">
        <v>846</v>
      </c>
      <c r="C183" s="10" t="s">
        <v>847</v>
      </c>
      <c r="D183" s="34">
        <f t="shared" si="4"/>
        <v>0</v>
      </c>
      <c r="E183" s="9">
        <v>0</v>
      </c>
      <c r="F183" s="9">
        <v>0</v>
      </c>
      <c r="G183" s="9">
        <v>0</v>
      </c>
      <c r="H183" s="9">
        <v>0</v>
      </c>
      <c r="I183" s="9">
        <v>0</v>
      </c>
      <c r="J183" s="9">
        <v>0</v>
      </c>
      <c r="K183" s="9">
        <v>0</v>
      </c>
      <c r="L183" s="9">
        <v>0</v>
      </c>
      <c r="M183" s="9">
        <v>0</v>
      </c>
      <c r="N183" s="9">
        <v>0</v>
      </c>
      <c r="O183" s="9">
        <v>0</v>
      </c>
      <c r="P183" s="9">
        <v>0</v>
      </c>
      <c r="Q183" s="9">
        <v>0</v>
      </c>
      <c r="R183" s="9">
        <v>0</v>
      </c>
      <c r="S183" s="9">
        <v>0</v>
      </c>
      <c r="T183" s="9">
        <v>0</v>
      </c>
      <c r="U183" s="9">
        <v>0</v>
      </c>
      <c r="V183" s="9">
        <v>0</v>
      </c>
      <c r="W183" s="9">
        <v>0</v>
      </c>
      <c r="X183" s="9">
        <v>0</v>
      </c>
      <c r="Y183" s="9">
        <v>0</v>
      </c>
      <c r="Z183" s="9">
        <v>0</v>
      </c>
      <c r="AA183" s="9">
        <v>0</v>
      </c>
      <c r="AB183" s="9">
        <v>0</v>
      </c>
      <c r="AC183" s="9">
        <v>0</v>
      </c>
      <c r="AD183" s="9">
        <v>0</v>
      </c>
      <c r="AE183" s="9">
        <v>0</v>
      </c>
      <c r="AF183" s="9">
        <v>0</v>
      </c>
      <c r="AG183" s="9">
        <v>0</v>
      </c>
      <c r="AH183" s="9">
        <v>0</v>
      </c>
      <c r="AI183" s="9">
        <v>0</v>
      </c>
      <c r="AJ183" s="9">
        <v>0</v>
      </c>
      <c r="AK183" s="9">
        <v>0</v>
      </c>
      <c r="AL183" s="9">
        <v>0</v>
      </c>
      <c r="AM183" s="9">
        <v>0</v>
      </c>
      <c r="AN183" s="9">
        <v>0</v>
      </c>
      <c r="AO183" s="9">
        <v>0</v>
      </c>
      <c r="AP183" s="9">
        <v>0</v>
      </c>
      <c r="AQ183" s="9">
        <v>0</v>
      </c>
      <c r="AR183" s="9">
        <v>0</v>
      </c>
      <c r="AS183" s="9">
        <v>0</v>
      </c>
      <c r="AT183" s="9">
        <v>0</v>
      </c>
      <c r="AU183" s="9">
        <v>0</v>
      </c>
      <c r="AV183" s="9">
        <v>0</v>
      </c>
      <c r="AW183" s="9">
        <v>0</v>
      </c>
      <c r="AX183" s="9">
        <v>0</v>
      </c>
      <c r="AY183" s="9">
        <v>0</v>
      </c>
      <c r="AZ183" s="9">
        <v>0</v>
      </c>
      <c r="BA183" s="9">
        <v>0</v>
      </c>
      <c r="BB183" s="9">
        <v>0</v>
      </c>
      <c r="BC183" s="9">
        <v>0</v>
      </c>
      <c r="BD183" s="9">
        <v>0</v>
      </c>
      <c r="BE183" s="9">
        <v>0</v>
      </c>
      <c r="BF183" s="9">
        <v>0</v>
      </c>
      <c r="BG183" s="9">
        <v>0</v>
      </c>
      <c r="BH183" s="9">
        <v>0</v>
      </c>
      <c r="BI183" s="9">
        <v>0</v>
      </c>
      <c r="BJ183" s="9">
        <v>0</v>
      </c>
      <c r="BK183" s="9">
        <v>0</v>
      </c>
      <c r="BL183" s="9">
        <v>0</v>
      </c>
      <c r="BM183" s="9">
        <v>0</v>
      </c>
      <c r="BN183" s="9">
        <v>0</v>
      </c>
      <c r="BO183" s="9">
        <v>0</v>
      </c>
      <c r="BP183" s="10">
        <v>0</v>
      </c>
      <c r="BQ183">
        <v>0</v>
      </c>
      <c r="BR183">
        <v>0</v>
      </c>
    </row>
    <row r="184" spans="1:70" x14ac:dyDescent="0.35">
      <c r="A184" s="8" t="s">
        <v>174</v>
      </c>
      <c r="B184" s="9" t="s">
        <v>848</v>
      </c>
      <c r="C184" s="10" t="s">
        <v>849</v>
      </c>
      <c r="D184" s="34">
        <f t="shared" si="4"/>
        <v>0</v>
      </c>
      <c r="E184" s="9">
        <v>0</v>
      </c>
      <c r="F184" s="9">
        <v>0</v>
      </c>
      <c r="G184" s="9">
        <v>0</v>
      </c>
      <c r="H184" s="9">
        <v>0</v>
      </c>
      <c r="I184" s="9">
        <v>0</v>
      </c>
      <c r="J184" s="9">
        <v>0</v>
      </c>
      <c r="K184" s="9">
        <v>0</v>
      </c>
      <c r="L184" s="9">
        <v>0</v>
      </c>
      <c r="M184" s="9">
        <v>0</v>
      </c>
      <c r="N184" s="9">
        <v>0</v>
      </c>
      <c r="O184" s="9">
        <v>0</v>
      </c>
      <c r="P184" s="9">
        <v>0</v>
      </c>
      <c r="Q184" s="9">
        <v>0</v>
      </c>
      <c r="R184" s="9">
        <v>0</v>
      </c>
      <c r="S184" s="9">
        <v>0</v>
      </c>
      <c r="T184" s="9">
        <v>0</v>
      </c>
      <c r="U184" s="9">
        <v>0</v>
      </c>
      <c r="V184" s="9">
        <v>0</v>
      </c>
      <c r="W184" s="9">
        <v>0</v>
      </c>
      <c r="X184" s="9">
        <v>0</v>
      </c>
      <c r="Y184" s="9">
        <v>0</v>
      </c>
      <c r="Z184" s="9">
        <v>0</v>
      </c>
      <c r="AA184" s="9">
        <v>0</v>
      </c>
      <c r="AB184" s="9">
        <v>0</v>
      </c>
      <c r="AC184" s="9">
        <v>0</v>
      </c>
      <c r="AD184" s="9">
        <v>0</v>
      </c>
      <c r="AE184" s="9">
        <v>0</v>
      </c>
      <c r="AF184" s="9">
        <v>0</v>
      </c>
      <c r="AG184" s="9">
        <v>0</v>
      </c>
      <c r="AH184" s="9">
        <v>0</v>
      </c>
      <c r="AI184" s="9">
        <v>0</v>
      </c>
      <c r="AJ184" s="9">
        <v>0</v>
      </c>
      <c r="AK184" s="9">
        <v>0</v>
      </c>
      <c r="AL184" s="9">
        <v>0</v>
      </c>
      <c r="AM184" s="9">
        <v>0</v>
      </c>
      <c r="AN184" s="9">
        <v>0</v>
      </c>
      <c r="AO184" s="9">
        <v>0</v>
      </c>
      <c r="AP184" s="9">
        <v>0</v>
      </c>
      <c r="AQ184" s="9">
        <v>0</v>
      </c>
      <c r="AR184" s="9">
        <v>0</v>
      </c>
      <c r="AS184" s="9">
        <v>0</v>
      </c>
      <c r="AT184" s="9">
        <v>0</v>
      </c>
      <c r="AU184" s="9">
        <v>0</v>
      </c>
      <c r="AV184" s="9">
        <v>0</v>
      </c>
      <c r="AW184" s="9">
        <v>0</v>
      </c>
      <c r="AX184" s="9">
        <v>0</v>
      </c>
      <c r="AY184" s="9">
        <v>0</v>
      </c>
      <c r="AZ184" s="9">
        <v>0</v>
      </c>
      <c r="BA184" s="9">
        <v>0</v>
      </c>
      <c r="BB184" s="9">
        <v>0</v>
      </c>
      <c r="BC184" s="9">
        <v>0</v>
      </c>
      <c r="BD184" s="9">
        <v>0</v>
      </c>
      <c r="BE184" s="9">
        <v>0</v>
      </c>
      <c r="BF184" s="9">
        <v>0</v>
      </c>
      <c r="BG184" s="9">
        <v>0</v>
      </c>
      <c r="BH184" s="9">
        <v>0</v>
      </c>
      <c r="BI184" s="9">
        <v>0</v>
      </c>
      <c r="BJ184" s="9">
        <v>0</v>
      </c>
      <c r="BK184" s="9">
        <v>0</v>
      </c>
      <c r="BL184" s="9">
        <v>0</v>
      </c>
      <c r="BM184" s="9">
        <v>0</v>
      </c>
      <c r="BN184" s="9">
        <v>0</v>
      </c>
      <c r="BO184" s="9">
        <v>0</v>
      </c>
      <c r="BP184" s="10">
        <v>0</v>
      </c>
      <c r="BQ184">
        <v>0</v>
      </c>
      <c r="BR184">
        <v>0</v>
      </c>
    </row>
    <row r="185" spans="1:70" x14ac:dyDescent="0.35">
      <c r="A185" s="8" t="s">
        <v>174</v>
      </c>
      <c r="B185" s="9" t="s">
        <v>850</v>
      </c>
      <c r="C185" s="10" t="s">
        <v>851</v>
      </c>
      <c r="D185" s="34">
        <f t="shared" si="4"/>
        <v>0</v>
      </c>
      <c r="E185" s="9">
        <v>0</v>
      </c>
      <c r="F185" s="9">
        <v>0</v>
      </c>
      <c r="G185" s="9">
        <v>0</v>
      </c>
      <c r="H185" s="9">
        <v>0</v>
      </c>
      <c r="I185" s="9">
        <v>0</v>
      </c>
      <c r="J185" s="9">
        <v>0</v>
      </c>
      <c r="K185" s="9">
        <v>0</v>
      </c>
      <c r="L185" s="9">
        <v>0</v>
      </c>
      <c r="M185" s="9">
        <v>0</v>
      </c>
      <c r="N185" s="9">
        <v>0</v>
      </c>
      <c r="O185" s="9">
        <v>0</v>
      </c>
      <c r="P185" s="9">
        <v>0</v>
      </c>
      <c r="Q185" s="9">
        <v>0</v>
      </c>
      <c r="R185" s="9">
        <v>0</v>
      </c>
      <c r="S185" s="9">
        <v>0</v>
      </c>
      <c r="T185" s="9">
        <v>0</v>
      </c>
      <c r="U185" s="9">
        <v>0</v>
      </c>
      <c r="V185" s="9">
        <v>0</v>
      </c>
      <c r="W185" s="9">
        <v>0</v>
      </c>
      <c r="X185" s="9">
        <v>0</v>
      </c>
      <c r="Y185" s="9">
        <v>0</v>
      </c>
      <c r="Z185" s="9">
        <v>0</v>
      </c>
      <c r="AA185" s="9">
        <v>0</v>
      </c>
      <c r="AB185" s="9">
        <v>0</v>
      </c>
      <c r="AC185" s="9">
        <v>0</v>
      </c>
      <c r="AD185" s="9">
        <v>0</v>
      </c>
      <c r="AE185" s="9">
        <v>0</v>
      </c>
      <c r="AF185" s="9">
        <v>0</v>
      </c>
      <c r="AG185" s="9">
        <v>0</v>
      </c>
      <c r="AH185" s="9">
        <v>0</v>
      </c>
      <c r="AI185" s="9">
        <v>0</v>
      </c>
      <c r="AJ185" s="9">
        <v>0</v>
      </c>
      <c r="AK185" s="9">
        <v>0</v>
      </c>
      <c r="AL185" s="9">
        <v>0</v>
      </c>
      <c r="AM185" s="9">
        <v>0</v>
      </c>
      <c r="AN185" s="9">
        <v>0</v>
      </c>
      <c r="AO185" s="9">
        <v>0</v>
      </c>
      <c r="AP185" s="9">
        <v>0</v>
      </c>
      <c r="AQ185" s="9">
        <v>0</v>
      </c>
      <c r="AR185" s="9">
        <v>0</v>
      </c>
      <c r="AS185" s="9">
        <v>0</v>
      </c>
      <c r="AT185" s="9">
        <v>0</v>
      </c>
      <c r="AU185" s="9">
        <v>0</v>
      </c>
      <c r="AV185" s="9">
        <v>0</v>
      </c>
      <c r="AW185" s="9">
        <v>0</v>
      </c>
      <c r="AX185" s="9">
        <v>0</v>
      </c>
      <c r="AY185" s="9">
        <v>0</v>
      </c>
      <c r="AZ185" s="9">
        <v>0</v>
      </c>
      <c r="BA185" s="9">
        <v>0</v>
      </c>
      <c r="BB185" s="9">
        <v>0</v>
      </c>
      <c r="BC185" s="9">
        <v>0</v>
      </c>
      <c r="BD185" s="9">
        <v>0</v>
      </c>
      <c r="BE185" s="9">
        <v>0</v>
      </c>
      <c r="BF185" s="9">
        <v>0</v>
      </c>
      <c r="BG185" s="9">
        <v>0</v>
      </c>
      <c r="BH185" s="9">
        <v>0</v>
      </c>
      <c r="BI185" s="9">
        <v>0</v>
      </c>
      <c r="BJ185" s="9">
        <v>0</v>
      </c>
      <c r="BK185" s="9">
        <v>0</v>
      </c>
      <c r="BL185" s="9">
        <v>0</v>
      </c>
      <c r="BM185" s="9">
        <v>0</v>
      </c>
      <c r="BN185" s="9">
        <v>0</v>
      </c>
      <c r="BO185" s="9">
        <v>0</v>
      </c>
      <c r="BP185" s="10">
        <v>0</v>
      </c>
      <c r="BQ185">
        <v>0</v>
      </c>
      <c r="BR185">
        <v>0</v>
      </c>
    </row>
    <row r="186" spans="1:70" x14ac:dyDescent="0.35">
      <c r="A186" s="8" t="s">
        <v>174</v>
      </c>
      <c r="B186" s="9" t="s">
        <v>852</v>
      </c>
      <c r="C186" s="10" t="s">
        <v>853</v>
      </c>
      <c r="D186" s="34">
        <f t="shared" si="4"/>
        <v>0</v>
      </c>
      <c r="E186" s="9">
        <v>0</v>
      </c>
      <c r="F186" s="9">
        <v>0</v>
      </c>
      <c r="G186" s="9">
        <v>0</v>
      </c>
      <c r="H186" s="9">
        <v>0</v>
      </c>
      <c r="I186" s="9">
        <v>0</v>
      </c>
      <c r="J186" s="9">
        <v>0</v>
      </c>
      <c r="K186" s="9">
        <v>0</v>
      </c>
      <c r="L186" s="9">
        <v>0</v>
      </c>
      <c r="M186" s="9">
        <v>0</v>
      </c>
      <c r="N186" s="9">
        <v>0</v>
      </c>
      <c r="O186" s="9">
        <v>0</v>
      </c>
      <c r="P186" s="9">
        <v>0</v>
      </c>
      <c r="Q186" s="9">
        <v>0</v>
      </c>
      <c r="R186" s="9">
        <v>0</v>
      </c>
      <c r="S186" s="9">
        <v>0</v>
      </c>
      <c r="T186" s="9">
        <v>0</v>
      </c>
      <c r="U186" s="9">
        <v>0</v>
      </c>
      <c r="V186" s="9">
        <v>0</v>
      </c>
      <c r="W186" s="9">
        <v>0</v>
      </c>
      <c r="X186" s="9">
        <v>0</v>
      </c>
      <c r="Y186" s="9">
        <v>0</v>
      </c>
      <c r="Z186" s="9">
        <v>0</v>
      </c>
      <c r="AA186" s="9">
        <v>0</v>
      </c>
      <c r="AB186" s="9">
        <v>0</v>
      </c>
      <c r="AC186" s="9">
        <v>0</v>
      </c>
      <c r="AD186" s="9">
        <v>0</v>
      </c>
      <c r="AE186" s="9">
        <v>0</v>
      </c>
      <c r="AF186" s="9">
        <v>0</v>
      </c>
      <c r="AG186" s="9">
        <v>0</v>
      </c>
      <c r="AH186" s="9">
        <v>0</v>
      </c>
      <c r="AI186" s="9">
        <v>0</v>
      </c>
      <c r="AJ186" s="9">
        <v>0</v>
      </c>
      <c r="AK186" s="9">
        <v>0</v>
      </c>
      <c r="AL186" s="9">
        <v>0</v>
      </c>
      <c r="AM186" s="9">
        <v>0</v>
      </c>
      <c r="AN186" s="9">
        <v>0</v>
      </c>
      <c r="AO186" s="9">
        <v>0</v>
      </c>
      <c r="AP186" s="9">
        <v>0</v>
      </c>
      <c r="AQ186" s="9">
        <v>0</v>
      </c>
      <c r="AR186" s="9">
        <v>0</v>
      </c>
      <c r="AS186" s="9">
        <v>0</v>
      </c>
      <c r="AT186" s="9">
        <v>0</v>
      </c>
      <c r="AU186" s="9">
        <v>0</v>
      </c>
      <c r="AV186" s="9">
        <v>0</v>
      </c>
      <c r="AW186" s="9">
        <v>0</v>
      </c>
      <c r="AX186" s="9">
        <v>0</v>
      </c>
      <c r="AY186" s="9">
        <v>0</v>
      </c>
      <c r="AZ186" s="9">
        <v>0</v>
      </c>
      <c r="BA186" s="9">
        <v>0</v>
      </c>
      <c r="BB186" s="9">
        <v>0</v>
      </c>
      <c r="BC186" s="9">
        <v>0</v>
      </c>
      <c r="BD186" s="9">
        <v>0</v>
      </c>
      <c r="BE186" s="9">
        <v>0</v>
      </c>
      <c r="BF186" s="9">
        <v>0</v>
      </c>
      <c r="BG186" s="9">
        <v>0</v>
      </c>
      <c r="BH186" s="9">
        <v>0</v>
      </c>
      <c r="BI186" s="9">
        <v>0</v>
      </c>
      <c r="BJ186" s="9">
        <v>0</v>
      </c>
      <c r="BK186" s="9">
        <v>0</v>
      </c>
      <c r="BL186" s="9">
        <v>0</v>
      </c>
      <c r="BM186" s="9">
        <v>0</v>
      </c>
      <c r="BN186" s="9">
        <v>0</v>
      </c>
      <c r="BO186" s="9">
        <v>0</v>
      </c>
      <c r="BP186" s="10">
        <v>0</v>
      </c>
      <c r="BQ186">
        <v>0</v>
      </c>
      <c r="BR186">
        <v>0</v>
      </c>
    </row>
    <row r="187" spans="1:70" x14ac:dyDescent="0.35">
      <c r="A187" s="8" t="s">
        <v>174</v>
      </c>
      <c r="B187" s="9" t="s">
        <v>854</v>
      </c>
      <c r="C187" s="10" t="s">
        <v>855</v>
      </c>
      <c r="D187" s="34">
        <f t="shared" si="4"/>
        <v>0</v>
      </c>
      <c r="E187" s="9">
        <v>0</v>
      </c>
      <c r="F187" s="9">
        <v>0</v>
      </c>
      <c r="G187" s="9">
        <v>0</v>
      </c>
      <c r="H187" s="9">
        <v>0</v>
      </c>
      <c r="I187" s="9">
        <v>0</v>
      </c>
      <c r="J187" s="9">
        <v>0</v>
      </c>
      <c r="K187" s="9">
        <v>0</v>
      </c>
      <c r="L187" s="9">
        <v>0</v>
      </c>
      <c r="M187" s="9">
        <v>0</v>
      </c>
      <c r="N187" s="9">
        <v>0</v>
      </c>
      <c r="O187" s="9">
        <v>0</v>
      </c>
      <c r="P187" s="9">
        <v>0</v>
      </c>
      <c r="Q187" s="9">
        <v>0</v>
      </c>
      <c r="R187" s="9">
        <v>0</v>
      </c>
      <c r="S187" s="9">
        <v>0</v>
      </c>
      <c r="T187" s="9">
        <v>0</v>
      </c>
      <c r="U187" s="9">
        <v>0</v>
      </c>
      <c r="V187" s="9">
        <v>0</v>
      </c>
      <c r="W187" s="9">
        <v>0</v>
      </c>
      <c r="X187" s="9">
        <v>0</v>
      </c>
      <c r="Y187" s="9">
        <v>0</v>
      </c>
      <c r="Z187" s="9">
        <v>0</v>
      </c>
      <c r="AA187" s="9">
        <v>0</v>
      </c>
      <c r="AB187" s="9">
        <v>0</v>
      </c>
      <c r="AC187" s="9">
        <v>0</v>
      </c>
      <c r="AD187" s="9">
        <v>0</v>
      </c>
      <c r="AE187" s="9">
        <v>0</v>
      </c>
      <c r="AF187" s="9">
        <v>0</v>
      </c>
      <c r="AG187" s="9">
        <v>0</v>
      </c>
      <c r="AH187" s="9">
        <v>0</v>
      </c>
      <c r="AI187" s="9">
        <v>0</v>
      </c>
      <c r="AJ187" s="9">
        <v>0</v>
      </c>
      <c r="AK187" s="9">
        <v>0</v>
      </c>
      <c r="AL187" s="9">
        <v>0</v>
      </c>
      <c r="AM187" s="9">
        <v>0</v>
      </c>
      <c r="AN187" s="9">
        <v>0</v>
      </c>
      <c r="AO187" s="9">
        <v>0</v>
      </c>
      <c r="AP187" s="9">
        <v>0</v>
      </c>
      <c r="AQ187" s="9">
        <v>0</v>
      </c>
      <c r="AR187" s="9">
        <v>0</v>
      </c>
      <c r="AS187" s="9">
        <v>0</v>
      </c>
      <c r="AT187" s="9">
        <v>0</v>
      </c>
      <c r="AU187" s="9">
        <v>0</v>
      </c>
      <c r="AV187" s="9">
        <v>0</v>
      </c>
      <c r="AW187" s="9">
        <v>0</v>
      </c>
      <c r="AX187" s="9">
        <v>0</v>
      </c>
      <c r="AY187" s="9">
        <v>0</v>
      </c>
      <c r="AZ187" s="9">
        <v>0</v>
      </c>
      <c r="BA187" s="9">
        <v>0</v>
      </c>
      <c r="BB187" s="9">
        <v>0</v>
      </c>
      <c r="BC187" s="9">
        <v>0</v>
      </c>
      <c r="BD187" s="9">
        <v>0</v>
      </c>
      <c r="BE187" s="9">
        <v>0</v>
      </c>
      <c r="BF187" s="9">
        <v>0</v>
      </c>
      <c r="BG187" s="9">
        <v>0</v>
      </c>
      <c r="BH187" s="9">
        <v>0</v>
      </c>
      <c r="BI187" s="9">
        <v>0</v>
      </c>
      <c r="BJ187" s="9">
        <v>0</v>
      </c>
      <c r="BK187" s="9">
        <v>0</v>
      </c>
      <c r="BL187" s="9">
        <v>0</v>
      </c>
      <c r="BM187" s="9">
        <v>0</v>
      </c>
      <c r="BN187" s="9">
        <v>0</v>
      </c>
      <c r="BO187" s="9">
        <v>0</v>
      </c>
      <c r="BP187" s="10">
        <v>0</v>
      </c>
      <c r="BQ187">
        <v>0</v>
      </c>
      <c r="BR187">
        <v>0</v>
      </c>
    </row>
    <row r="188" spans="1:70" x14ac:dyDescent="0.35">
      <c r="A188" s="8" t="s">
        <v>174</v>
      </c>
      <c r="B188" s="9" t="s">
        <v>856</v>
      </c>
      <c r="C188" s="10" t="s">
        <v>857</v>
      </c>
      <c r="D188" s="34">
        <f t="shared" si="4"/>
        <v>0</v>
      </c>
      <c r="E188" s="9">
        <v>0</v>
      </c>
      <c r="F188" s="9">
        <v>0</v>
      </c>
      <c r="G188" s="9">
        <v>0</v>
      </c>
      <c r="H188" s="9">
        <v>0</v>
      </c>
      <c r="I188" s="9">
        <v>0</v>
      </c>
      <c r="J188" s="9">
        <v>0</v>
      </c>
      <c r="K188" s="9">
        <v>0</v>
      </c>
      <c r="L188" s="9">
        <v>0</v>
      </c>
      <c r="M188" s="9">
        <v>0</v>
      </c>
      <c r="N188" s="9">
        <v>0</v>
      </c>
      <c r="O188" s="9">
        <v>0</v>
      </c>
      <c r="P188" s="9">
        <v>0</v>
      </c>
      <c r="Q188" s="9">
        <v>0</v>
      </c>
      <c r="R188" s="9">
        <v>0</v>
      </c>
      <c r="S188" s="9">
        <v>0</v>
      </c>
      <c r="T188" s="9">
        <v>0</v>
      </c>
      <c r="U188" s="9">
        <v>0</v>
      </c>
      <c r="V188" s="9">
        <v>0</v>
      </c>
      <c r="W188" s="9">
        <v>0</v>
      </c>
      <c r="X188" s="9">
        <v>0</v>
      </c>
      <c r="Y188" s="9">
        <v>0</v>
      </c>
      <c r="Z188" s="9">
        <v>0</v>
      </c>
      <c r="AA188" s="9">
        <v>0</v>
      </c>
      <c r="AB188" s="9">
        <v>0</v>
      </c>
      <c r="AC188" s="9">
        <v>0</v>
      </c>
      <c r="AD188" s="9">
        <v>0</v>
      </c>
      <c r="AE188" s="9">
        <v>0</v>
      </c>
      <c r="AF188" s="9">
        <v>0</v>
      </c>
      <c r="AG188" s="9">
        <v>0</v>
      </c>
      <c r="AH188" s="9">
        <v>0</v>
      </c>
      <c r="AI188" s="9">
        <v>0</v>
      </c>
      <c r="AJ188" s="9">
        <v>0</v>
      </c>
      <c r="AK188" s="9">
        <v>0</v>
      </c>
      <c r="AL188" s="9">
        <v>0</v>
      </c>
      <c r="AM188" s="9">
        <v>0</v>
      </c>
      <c r="AN188" s="9">
        <v>0</v>
      </c>
      <c r="AO188" s="9">
        <v>0</v>
      </c>
      <c r="AP188" s="9">
        <v>0</v>
      </c>
      <c r="AQ188" s="9">
        <v>0</v>
      </c>
      <c r="AR188" s="9">
        <v>0</v>
      </c>
      <c r="AS188" s="9">
        <v>0</v>
      </c>
      <c r="AT188" s="9">
        <v>0</v>
      </c>
      <c r="AU188" s="9">
        <v>0</v>
      </c>
      <c r="AV188" s="9">
        <v>0</v>
      </c>
      <c r="AW188" s="9">
        <v>0</v>
      </c>
      <c r="AX188" s="9">
        <v>0</v>
      </c>
      <c r="AY188" s="9">
        <v>0</v>
      </c>
      <c r="AZ188" s="9">
        <v>0</v>
      </c>
      <c r="BA188" s="9">
        <v>0</v>
      </c>
      <c r="BB188" s="9">
        <v>0</v>
      </c>
      <c r="BC188" s="9">
        <v>0</v>
      </c>
      <c r="BD188" s="9">
        <v>0</v>
      </c>
      <c r="BE188" s="9">
        <v>0</v>
      </c>
      <c r="BF188" s="9">
        <v>0</v>
      </c>
      <c r="BG188" s="9">
        <v>0</v>
      </c>
      <c r="BH188" s="9">
        <v>0</v>
      </c>
      <c r="BI188" s="9">
        <v>0</v>
      </c>
      <c r="BJ188" s="9">
        <v>0</v>
      </c>
      <c r="BK188" s="9">
        <v>0</v>
      </c>
      <c r="BL188" s="9">
        <v>0</v>
      </c>
      <c r="BM188" s="9">
        <v>0</v>
      </c>
      <c r="BN188" s="9">
        <v>0</v>
      </c>
      <c r="BO188" s="9">
        <v>0</v>
      </c>
      <c r="BP188" s="10">
        <v>0</v>
      </c>
      <c r="BQ188">
        <v>0</v>
      </c>
      <c r="BR188">
        <v>0</v>
      </c>
    </row>
    <row r="189" spans="1:70" x14ac:dyDescent="0.35">
      <c r="A189" s="8" t="s">
        <v>174</v>
      </c>
      <c r="B189" s="9" t="s">
        <v>858</v>
      </c>
      <c r="C189" s="10" t="s">
        <v>859</v>
      </c>
      <c r="D189" s="34">
        <f t="shared" si="4"/>
        <v>0</v>
      </c>
      <c r="E189" s="9">
        <v>0</v>
      </c>
      <c r="F189" s="9">
        <v>0</v>
      </c>
      <c r="G189" s="9">
        <v>0</v>
      </c>
      <c r="H189" s="9">
        <v>0</v>
      </c>
      <c r="I189" s="9">
        <v>0</v>
      </c>
      <c r="J189" s="9">
        <v>0</v>
      </c>
      <c r="K189" s="9">
        <v>0</v>
      </c>
      <c r="L189" s="9">
        <v>0</v>
      </c>
      <c r="M189" s="9">
        <v>0</v>
      </c>
      <c r="N189" s="9">
        <v>0</v>
      </c>
      <c r="O189" s="9">
        <v>0</v>
      </c>
      <c r="P189" s="9">
        <v>0</v>
      </c>
      <c r="Q189" s="9">
        <v>0</v>
      </c>
      <c r="R189" s="9">
        <v>0</v>
      </c>
      <c r="S189" s="9">
        <v>0</v>
      </c>
      <c r="T189" s="9">
        <v>0</v>
      </c>
      <c r="U189" s="9">
        <v>0</v>
      </c>
      <c r="V189" s="9">
        <v>0</v>
      </c>
      <c r="W189" s="9">
        <v>0</v>
      </c>
      <c r="X189" s="9">
        <v>0</v>
      </c>
      <c r="Y189" s="9">
        <v>0</v>
      </c>
      <c r="Z189" s="9">
        <v>0</v>
      </c>
      <c r="AA189" s="9">
        <v>0</v>
      </c>
      <c r="AB189" s="9">
        <v>0</v>
      </c>
      <c r="AC189" s="9">
        <v>0</v>
      </c>
      <c r="AD189" s="9">
        <v>0</v>
      </c>
      <c r="AE189" s="9">
        <v>0</v>
      </c>
      <c r="AF189" s="9">
        <v>0</v>
      </c>
      <c r="AG189" s="9">
        <v>0</v>
      </c>
      <c r="AH189" s="9">
        <v>0</v>
      </c>
      <c r="AI189" s="9">
        <v>0</v>
      </c>
      <c r="AJ189" s="9">
        <v>0</v>
      </c>
      <c r="AK189" s="9">
        <v>0</v>
      </c>
      <c r="AL189" s="9">
        <v>0</v>
      </c>
      <c r="AM189" s="9">
        <v>0</v>
      </c>
      <c r="AN189" s="9">
        <v>0</v>
      </c>
      <c r="AO189" s="9">
        <v>0</v>
      </c>
      <c r="AP189" s="9">
        <v>0</v>
      </c>
      <c r="AQ189" s="9">
        <v>0</v>
      </c>
      <c r="AR189" s="9">
        <v>0</v>
      </c>
      <c r="AS189" s="9">
        <v>0</v>
      </c>
      <c r="AT189" s="9">
        <v>0</v>
      </c>
      <c r="AU189" s="9">
        <v>0</v>
      </c>
      <c r="AV189" s="9">
        <v>0</v>
      </c>
      <c r="AW189" s="9">
        <v>0</v>
      </c>
      <c r="AX189" s="9">
        <v>0</v>
      </c>
      <c r="AY189" s="9">
        <v>0</v>
      </c>
      <c r="AZ189" s="9">
        <v>0</v>
      </c>
      <c r="BA189" s="9">
        <v>0</v>
      </c>
      <c r="BB189" s="9">
        <v>0</v>
      </c>
      <c r="BC189" s="9">
        <v>0</v>
      </c>
      <c r="BD189" s="9">
        <v>0</v>
      </c>
      <c r="BE189" s="9">
        <v>0</v>
      </c>
      <c r="BF189" s="9">
        <v>0</v>
      </c>
      <c r="BG189" s="9">
        <v>0</v>
      </c>
      <c r="BH189" s="9">
        <v>0</v>
      </c>
      <c r="BI189" s="9">
        <v>0</v>
      </c>
      <c r="BJ189" s="9">
        <v>0</v>
      </c>
      <c r="BK189" s="9">
        <v>0</v>
      </c>
      <c r="BL189" s="9">
        <v>0</v>
      </c>
      <c r="BM189" s="9">
        <v>0</v>
      </c>
      <c r="BN189" s="9">
        <v>0</v>
      </c>
      <c r="BO189" s="9">
        <v>0</v>
      </c>
      <c r="BP189" s="10">
        <v>0</v>
      </c>
      <c r="BQ189">
        <v>0</v>
      </c>
      <c r="BR189">
        <v>0</v>
      </c>
    </row>
    <row r="190" spans="1:70" x14ac:dyDescent="0.35">
      <c r="A190" s="8" t="s">
        <v>174</v>
      </c>
      <c r="B190" s="9" t="s">
        <v>860</v>
      </c>
      <c r="C190" s="10" t="s">
        <v>861</v>
      </c>
      <c r="D190" s="34">
        <f t="shared" si="4"/>
        <v>0</v>
      </c>
      <c r="E190" s="9">
        <v>0</v>
      </c>
      <c r="F190" s="9">
        <v>0</v>
      </c>
      <c r="G190" s="9">
        <v>0</v>
      </c>
      <c r="H190" s="9">
        <v>0</v>
      </c>
      <c r="I190" s="9">
        <v>0</v>
      </c>
      <c r="J190" s="9">
        <v>0</v>
      </c>
      <c r="K190" s="9">
        <v>0</v>
      </c>
      <c r="L190" s="9">
        <v>0</v>
      </c>
      <c r="M190" s="9">
        <v>0</v>
      </c>
      <c r="N190" s="9">
        <v>0</v>
      </c>
      <c r="O190" s="9">
        <v>0</v>
      </c>
      <c r="P190" s="9">
        <v>0</v>
      </c>
      <c r="Q190" s="9">
        <v>0</v>
      </c>
      <c r="R190" s="9">
        <v>0</v>
      </c>
      <c r="S190" s="9">
        <v>0</v>
      </c>
      <c r="T190" s="9">
        <v>0</v>
      </c>
      <c r="U190" s="9">
        <v>0</v>
      </c>
      <c r="V190" s="9">
        <v>0</v>
      </c>
      <c r="W190" s="9">
        <v>0</v>
      </c>
      <c r="X190" s="9">
        <v>0</v>
      </c>
      <c r="Y190" s="9">
        <v>0</v>
      </c>
      <c r="Z190" s="9">
        <v>0</v>
      </c>
      <c r="AA190" s="9">
        <v>0</v>
      </c>
      <c r="AB190" s="9">
        <v>0</v>
      </c>
      <c r="AC190" s="9">
        <v>0</v>
      </c>
      <c r="AD190" s="9">
        <v>0</v>
      </c>
      <c r="AE190" s="9">
        <v>0</v>
      </c>
      <c r="AF190" s="9">
        <v>0</v>
      </c>
      <c r="AG190" s="9">
        <v>0</v>
      </c>
      <c r="AH190" s="9">
        <v>0</v>
      </c>
      <c r="AI190" s="9">
        <v>0</v>
      </c>
      <c r="AJ190" s="9">
        <v>0</v>
      </c>
      <c r="AK190" s="9">
        <v>0</v>
      </c>
      <c r="AL190" s="9">
        <v>0</v>
      </c>
      <c r="AM190" s="9">
        <v>0</v>
      </c>
      <c r="AN190" s="9">
        <v>0</v>
      </c>
      <c r="AO190" s="9">
        <v>0</v>
      </c>
      <c r="AP190" s="9">
        <v>0</v>
      </c>
      <c r="AQ190" s="9">
        <v>0</v>
      </c>
      <c r="AR190" s="9">
        <v>0</v>
      </c>
      <c r="AS190" s="9">
        <v>0</v>
      </c>
      <c r="AT190" s="9">
        <v>0</v>
      </c>
      <c r="AU190" s="9">
        <v>0</v>
      </c>
      <c r="AV190" s="9">
        <v>0</v>
      </c>
      <c r="AW190" s="9">
        <v>0</v>
      </c>
      <c r="AX190" s="9">
        <v>0</v>
      </c>
      <c r="AY190" s="9">
        <v>0</v>
      </c>
      <c r="AZ190" s="9">
        <v>0</v>
      </c>
      <c r="BA190" s="9">
        <v>0</v>
      </c>
      <c r="BB190" s="9">
        <v>0</v>
      </c>
      <c r="BC190" s="9">
        <v>0</v>
      </c>
      <c r="BD190" s="9">
        <v>0</v>
      </c>
      <c r="BE190" s="9">
        <v>0</v>
      </c>
      <c r="BF190" s="9">
        <v>0</v>
      </c>
      <c r="BG190" s="9">
        <v>0</v>
      </c>
      <c r="BH190" s="9">
        <v>0</v>
      </c>
      <c r="BI190" s="9">
        <v>0</v>
      </c>
      <c r="BJ190" s="9">
        <v>0</v>
      </c>
      <c r="BK190" s="9">
        <v>0</v>
      </c>
      <c r="BL190" s="9">
        <v>0</v>
      </c>
      <c r="BM190" s="9">
        <v>0</v>
      </c>
      <c r="BN190" s="9">
        <v>0</v>
      </c>
      <c r="BO190" s="9">
        <v>0</v>
      </c>
      <c r="BP190" s="10">
        <v>0</v>
      </c>
      <c r="BQ190">
        <v>0</v>
      </c>
      <c r="BR190">
        <v>0</v>
      </c>
    </row>
    <row r="191" spans="1:70" x14ac:dyDescent="0.35">
      <c r="A191" s="8" t="s">
        <v>174</v>
      </c>
      <c r="B191" s="9" t="s">
        <v>862</v>
      </c>
      <c r="C191" s="10" t="s">
        <v>863</v>
      </c>
      <c r="D191" s="34">
        <f t="shared" si="4"/>
        <v>0</v>
      </c>
      <c r="E191" s="9">
        <v>0</v>
      </c>
      <c r="F191" s="9">
        <v>0</v>
      </c>
      <c r="G191" s="9">
        <v>0</v>
      </c>
      <c r="H191" s="9">
        <v>0</v>
      </c>
      <c r="I191" s="9">
        <v>0</v>
      </c>
      <c r="J191" s="9">
        <v>0</v>
      </c>
      <c r="K191" s="9">
        <v>0</v>
      </c>
      <c r="L191" s="9">
        <v>0</v>
      </c>
      <c r="M191" s="9">
        <v>0</v>
      </c>
      <c r="N191" s="9">
        <v>0</v>
      </c>
      <c r="O191" s="9">
        <v>0</v>
      </c>
      <c r="P191" s="9">
        <v>0</v>
      </c>
      <c r="Q191" s="9">
        <v>0</v>
      </c>
      <c r="R191" s="9">
        <v>0</v>
      </c>
      <c r="S191" s="9">
        <v>0</v>
      </c>
      <c r="T191" s="9">
        <v>0</v>
      </c>
      <c r="U191" s="9">
        <v>0</v>
      </c>
      <c r="V191" s="9">
        <v>0</v>
      </c>
      <c r="W191" s="9">
        <v>0</v>
      </c>
      <c r="X191" s="9">
        <v>0</v>
      </c>
      <c r="Y191" s="9">
        <v>0</v>
      </c>
      <c r="Z191" s="9">
        <v>0</v>
      </c>
      <c r="AA191" s="9">
        <v>0</v>
      </c>
      <c r="AB191" s="9">
        <v>0</v>
      </c>
      <c r="AC191" s="9">
        <v>0</v>
      </c>
      <c r="AD191" s="9">
        <v>0</v>
      </c>
      <c r="AE191" s="9">
        <v>0</v>
      </c>
      <c r="AF191" s="9">
        <v>0</v>
      </c>
      <c r="AG191" s="9">
        <v>0</v>
      </c>
      <c r="AH191" s="9">
        <v>0</v>
      </c>
      <c r="AI191" s="9">
        <v>0</v>
      </c>
      <c r="AJ191" s="9">
        <v>0</v>
      </c>
      <c r="AK191" s="9">
        <v>0</v>
      </c>
      <c r="AL191" s="9">
        <v>0</v>
      </c>
      <c r="AM191" s="9">
        <v>0</v>
      </c>
      <c r="AN191" s="9">
        <v>0</v>
      </c>
      <c r="AO191" s="9">
        <v>0</v>
      </c>
      <c r="AP191" s="9">
        <v>0</v>
      </c>
      <c r="AQ191" s="9">
        <v>0</v>
      </c>
      <c r="AR191" s="9">
        <v>0</v>
      </c>
      <c r="AS191" s="9">
        <v>0</v>
      </c>
      <c r="AT191" s="9">
        <v>0</v>
      </c>
      <c r="AU191" s="9">
        <v>0</v>
      </c>
      <c r="AV191" s="9">
        <v>0</v>
      </c>
      <c r="AW191" s="9">
        <v>0</v>
      </c>
      <c r="AX191" s="9">
        <v>0</v>
      </c>
      <c r="AY191" s="9">
        <v>0</v>
      </c>
      <c r="AZ191" s="9">
        <v>0</v>
      </c>
      <c r="BA191" s="9">
        <v>0</v>
      </c>
      <c r="BB191" s="9">
        <v>0</v>
      </c>
      <c r="BC191" s="9">
        <v>0</v>
      </c>
      <c r="BD191" s="9">
        <v>0</v>
      </c>
      <c r="BE191" s="9">
        <v>0</v>
      </c>
      <c r="BF191" s="9">
        <v>0</v>
      </c>
      <c r="BG191" s="9">
        <v>0</v>
      </c>
      <c r="BH191" s="9">
        <v>0</v>
      </c>
      <c r="BI191" s="9">
        <v>0</v>
      </c>
      <c r="BJ191" s="9">
        <v>0</v>
      </c>
      <c r="BK191" s="9">
        <v>0</v>
      </c>
      <c r="BL191" s="9">
        <v>0</v>
      </c>
      <c r="BM191" s="9">
        <v>0</v>
      </c>
      <c r="BN191" s="9">
        <v>0</v>
      </c>
      <c r="BO191" s="9">
        <v>0</v>
      </c>
      <c r="BP191" s="10">
        <v>0</v>
      </c>
      <c r="BQ191">
        <v>0</v>
      </c>
      <c r="BR191">
        <v>0</v>
      </c>
    </row>
    <row r="192" spans="1:70" x14ac:dyDescent="0.35">
      <c r="A192" s="8" t="s">
        <v>174</v>
      </c>
      <c r="B192" s="9" t="s">
        <v>864</v>
      </c>
      <c r="C192" s="10" t="s">
        <v>865</v>
      </c>
      <c r="D192" s="34">
        <f t="shared" si="4"/>
        <v>0</v>
      </c>
      <c r="E192" s="9">
        <v>0</v>
      </c>
      <c r="F192" s="9">
        <v>0</v>
      </c>
      <c r="G192" s="9">
        <v>0</v>
      </c>
      <c r="H192" s="9">
        <v>0</v>
      </c>
      <c r="I192" s="9">
        <v>0</v>
      </c>
      <c r="J192" s="9">
        <v>0</v>
      </c>
      <c r="K192" s="9">
        <v>0</v>
      </c>
      <c r="L192" s="9">
        <v>0</v>
      </c>
      <c r="M192" s="9">
        <v>0</v>
      </c>
      <c r="N192" s="9">
        <v>0</v>
      </c>
      <c r="O192" s="9">
        <v>0</v>
      </c>
      <c r="P192" s="9">
        <v>0</v>
      </c>
      <c r="Q192" s="9">
        <v>0</v>
      </c>
      <c r="R192" s="9">
        <v>0</v>
      </c>
      <c r="S192" s="9">
        <v>0</v>
      </c>
      <c r="T192" s="9">
        <v>0</v>
      </c>
      <c r="U192" s="9">
        <v>0</v>
      </c>
      <c r="V192" s="9">
        <v>0</v>
      </c>
      <c r="W192" s="9">
        <v>0</v>
      </c>
      <c r="X192" s="9">
        <v>0</v>
      </c>
      <c r="Y192" s="9">
        <v>0</v>
      </c>
      <c r="Z192" s="9">
        <v>0</v>
      </c>
      <c r="AA192" s="9">
        <v>0</v>
      </c>
      <c r="AB192" s="9">
        <v>0</v>
      </c>
      <c r="AC192" s="9">
        <v>0</v>
      </c>
      <c r="AD192" s="9">
        <v>0</v>
      </c>
      <c r="AE192" s="9">
        <v>0</v>
      </c>
      <c r="AF192" s="9">
        <v>0</v>
      </c>
      <c r="AG192" s="9">
        <v>0</v>
      </c>
      <c r="AH192" s="9">
        <v>0</v>
      </c>
      <c r="AI192" s="9">
        <v>0</v>
      </c>
      <c r="AJ192" s="9">
        <v>0</v>
      </c>
      <c r="AK192" s="9">
        <v>0</v>
      </c>
      <c r="AL192" s="9">
        <v>0</v>
      </c>
      <c r="AM192" s="9">
        <v>0</v>
      </c>
      <c r="AN192" s="9">
        <v>0</v>
      </c>
      <c r="AO192" s="9">
        <v>0</v>
      </c>
      <c r="AP192" s="9">
        <v>0</v>
      </c>
      <c r="AQ192" s="9">
        <v>0</v>
      </c>
      <c r="AR192" s="9">
        <v>0</v>
      </c>
      <c r="AS192" s="9">
        <v>0</v>
      </c>
      <c r="AT192" s="9">
        <v>0</v>
      </c>
      <c r="AU192" s="9">
        <v>0</v>
      </c>
      <c r="AV192" s="9">
        <v>0</v>
      </c>
      <c r="AW192" s="9">
        <v>0</v>
      </c>
      <c r="AX192" s="9">
        <v>0</v>
      </c>
      <c r="AY192" s="9">
        <v>0</v>
      </c>
      <c r="AZ192" s="9">
        <v>0</v>
      </c>
      <c r="BA192" s="9">
        <v>0</v>
      </c>
      <c r="BB192" s="9">
        <v>0</v>
      </c>
      <c r="BC192" s="9">
        <v>0</v>
      </c>
      <c r="BD192" s="9">
        <v>0</v>
      </c>
      <c r="BE192" s="9">
        <v>0</v>
      </c>
      <c r="BF192" s="9">
        <v>0</v>
      </c>
      <c r="BG192" s="9">
        <v>0</v>
      </c>
      <c r="BH192" s="9">
        <v>0</v>
      </c>
      <c r="BI192" s="9">
        <v>0</v>
      </c>
      <c r="BJ192" s="9">
        <v>0</v>
      </c>
      <c r="BK192" s="9">
        <v>0</v>
      </c>
      <c r="BL192" s="9">
        <v>0</v>
      </c>
      <c r="BM192" s="9">
        <v>0</v>
      </c>
      <c r="BN192" s="9">
        <v>0</v>
      </c>
      <c r="BO192" s="9">
        <v>0</v>
      </c>
      <c r="BP192" s="10">
        <v>0</v>
      </c>
      <c r="BQ192">
        <v>0</v>
      </c>
      <c r="BR192">
        <v>0</v>
      </c>
    </row>
    <row r="193" spans="1:70" x14ac:dyDescent="0.35">
      <c r="A193" s="8" t="s">
        <v>174</v>
      </c>
      <c r="B193" s="9" t="s">
        <v>866</v>
      </c>
      <c r="C193" s="10" t="s">
        <v>867</v>
      </c>
      <c r="D193" s="34">
        <f t="shared" si="4"/>
        <v>0</v>
      </c>
      <c r="E193" s="9">
        <v>0</v>
      </c>
      <c r="F193" s="9">
        <v>0</v>
      </c>
      <c r="G193" s="9">
        <v>0</v>
      </c>
      <c r="H193" s="9">
        <v>0</v>
      </c>
      <c r="I193" s="9">
        <v>0</v>
      </c>
      <c r="J193" s="9">
        <v>0</v>
      </c>
      <c r="K193" s="9">
        <v>0</v>
      </c>
      <c r="L193" s="9">
        <v>0</v>
      </c>
      <c r="M193" s="9">
        <v>0</v>
      </c>
      <c r="N193" s="9">
        <v>0</v>
      </c>
      <c r="O193" s="9">
        <v>0</v>
      </c>
      <c r="P193" s="9">
        <v>0</v>
      </c>
      <c r="Q193" s="9">
        <v>0</v>
      </c>
      <c r="R193" s="9">
        <v>0</v>
      </c>
      <c r="S193" s="9">
        <v>0</v>
      </c>
      <c r="T193" s="9">
        <v>0</v>
      </c>
      <c r="U193" s="9">
        <v>0</v>
      </c>
      <c r="V193" s="9">
        <v>0</v>
      </c>
      <c r="W193" s="9">
        <v>0</v>
      </c>
      <c r="X193" s="9">
        <v>0</v>
      </c>
      <c r="Y193" s="9">
        <v>0</v>
      </c>
      <c r="Z193" s="9">
        <v>0</v>
      </c>
      <c r="AA193" s="9">
        <v>0</v>
      </c>
      <c r="AB193" s="9">
        <v>0</v>
      </c>
      <c r="AC193" s="9">
        <v>0</v>
      </c>
      <c r="AD193" s="9">
        <v>0</v>
      </c>
      <c r="AE193" s="9">
        <v>0</v>
      </c>
      <c r="AF193" s="9">
        <v>0</v>
      </c>
      <c r="AG193" s="9">
        <v>0</v>
      </c>
      <c r="AH193" s="9">
        <v>0</v>
      </c>
      <c r="AI193" s="9">
        <v>0</v>
      </c>
      <c r="AJ193" s="9">
        <v>0</v>
      </c>
      <c r="AK193" s="9">
        <v>0</v>
      </c>
      <c r="AL193" s="9">
        <v>0</v>
      </c>
      <c r="AM193" s="9">
        <v>0</v>
      </c>
      <c r="AN193" s="9">
        <v>0</v>
      </c>
      <c r="AO193" s="9">
        <v>0</v>
      </c>
      <c r="AP193" s="9">
        <v>0</v>
      </c>
      <c r="AQ193" s="9">
        <v>0</v>
      </c>
      <c r="AR193" s="9">
        <v>0</v>
      </c>
      <c r="AS193" s="9">
        <v>0</v>
      </c>
      <c r="AT193" s="9">
        <v>0</v>
      </c>
      <c r="AU193" s="9">
        <v>0</v>
      </c>
      <c r="AV193" s="9">
        <v>0</v>
      </c>
      <c r="AW193" s="9">
        <v>0</v>
      </c>
      <c r="AX193" s="9">
        <v>0</v>
      </c>
      <c r="AY193" s="9">
        <v>0</v>
      </c>
      <c r="AZ193" s="9">
        <v>0</v>
      </c>
      <c r="BA193" s="9">
        <v>0</v>
      </c>
      <c r="BB193" s="9">
        <v>0</v>
      </c>
      <c r="BC193" s="9">
        <v>0</v>
      </c>
      <c r="BD193" s="9">
        <v>0</v>
      </c>
      <c r="BE193" s="9">
        <v>0</v>
      </c>
      <c r="BF193" s="9">
        <v>0</v>
      </c>
      <c r="BG193" s="9">
        <v>0</v>
      </c>
      <c r="BH193" s="9">
        <v>0</v>
      </c>
      <c r="BI193" s="9">
        <v>0</v>
      </c>
      <c r="BJ193" s="9">
        <v>0</v>
      </c>
      <c r="BK193" s="9">
        <v>0</v>
      </c>
      <c r="BL193" s="9">
        <v>0</v>
      </c>
      <c r="BM193" s="9">
        <v>0</v>
      </c>
      <c r="BN193" s="9">
        <v>0</v>
      </c>
      <c r="BO193" s="9">
        <v>0</v>
      </c>
      <c r="BP193" s="10">
        <v>0</v>
      </c>
      <c r="BQ193">
        <v>0</v>
      </c>
      <c r="BR193">
        <v>0</v>
      </c>
    </row>
    <row r="194" spans="1:70" x14ac:dyDescent="0.35">
      <c r="A194" s="8" t="s">
        <v>174</v>
      </c>
      <c r="B194" s="9" t="s">
        <v>868</v>
      </c>
      <c r="C194" s="10" t="s">
        <v>869</v>
      </c>
      <c r="D194" s="34">
        <f t="shared" si="4"/>
        <v>5</v>
      </c>
      <c r="E194" s="9">
        <v>0</v>
      </c>
      <c r="F194" s="9">
        <v>0</v>
      </c>
      <c r="G194" s="9">
        <v>0</v>
      </c>
      <c r="H194" s="9">
        <v>0</v>
      </c>
      <c r="I194" s="9">
        <v>0</v>
      </c>
      <c r="J194" s="9">
        <v>0</v>
      </c>
      <c r="K194" s="9">
        <v>0</v>
      </c>
      <c r="L194" s="9">
        <v>0</v>
      </c>
      <c r="M194" s="9">
        <v>0</v>
      </c>
      <c r="N194" s="9">
        <v>1</v>
      </c>
      <c r="O194" s="9">
        <v>1</v>
      </c>
      <c r="P194" s="9">
        <v>1</v>
      </c>
      <c r="Q194" s="9">
        <v>1</v>
      </c>
      <c r="R194" s="9">
        <v>1</v>
      </c>
      <c r="S194" s="9">
        <v>1</v>
      </c>
      <c r="T194" s="9">
        <v>1</v>
      </c>
      <c r="U194" s="9">
        <v>1</v>
      </c>
      <c r="V194" s="9">
        <v>1</v>
      </c>
      <c r="W194" s="9">
        <v>1</v>
      </c>
      <c r="X194" s="9">
        <v>0</v>
      </c>
      <c r="Y194" s="9">
        <v>0</v>
      </c>
      <c r="Z194" s="9">
        <v>0</v>
      </c>
      <c r="AA194" s="9">
        <v>0</v>
      </c>
      <c r="AB194" s="9">
        <v>0</v>
      </c>
      <c r="AC194" s="9">
        <v>1</v>
      </c>
      <c r="AD194" s="9">
        <v>0</v>
      </c>
      <c r="AE194" s="9">
        <v>0</v>
      </c>
      <c r="AF194" s="9">
        <v>1</v>
      </c>
      <c r="AG194" s="9">
        <v>1</v>
      </c>
      <c r="AH194" s="9">
        <v>4</v>
      </c>
      <c r="AI194" s="9">
        <v>4</v>
      </c>
      <c r="AJ194" s="9">
        <v>3</v>
      </c>
      <c r="AK194" s="9">
        <v>3</v>
      </c>
      <c r="AL194" s="9">
        <v>3</v>
      </c>
      <c r="AM194" s="9">
        <v>3</v>
      </c>
      <c r="AN194" s="9">
        <v>3</v>
      </c>
      <c r="AO194" s="9">
        <v>3</v>
      </c>
      <c r="AP194" s="9">
        <v>3</v>
      </c>
      <c r="AQ194" s="9">
        <v>3</v>
      </c>
      <c r="AR194" s="9">
        <v>1</v>
      </c>
      <c r="AS194" s="9">
        <v>1</v>
      </c>
      <c r="AT194" s="9">
        <v>1</v>
      </c>
      <c r="AU194" s="9">
        <v>2</v>
      </c>
      <c r="AV194" s="9">
        <v>2</v>
      </c>
      <c r="AW194" s="9">
        <v>2</v>
      </c>
      <c r="AX194" s="9">
        <v>0</v>
      </c>
      <c r="AY194" s="9">
        <v>4</v>
      </c>
      <c r="AZ194" s="9">
        <v>4</v>
      </c>
      <c r="BA194" s="9">
        <v>4</v>
      </c>
      <c r="BB194" s="9">
        <v>5</v>
      </c>
      <c r="BC194" s="9">
        <v>5</v>
      </c>
      <c r="BD194" s="9">
        <v>5</v>
      </c>
      <c r="BE194" s="9">
        <v>4</v>
      </c>
      <c r="BF194" s="9">
        <v>4</v>
      </c>
      <c r="BG194" s="9">
        <v>3</v>
      </c>
      <c r="BH194" s="9">
        <v>3</v>
      </c>
      <c r="BI194" s="9">
        <v>3</v>
      </c>
      <c r="BJ194" s="9">
        <v>2</v>
      </c>
      <c r="BK194" s="9">
        <v>2</v>
      </c>
      <c r="BL194" s="9">
        <v>1</v>
      </c>
      <c r="BM194" s="9">
        <v>1</v>
      </c>
      <c r="BN194" s="9">
        <v>1</v>
      </c>
      <c r="BO194" s="9">
        <v>1</v>
      </c>
      <c r="BP194" s="10">
        <v>1</v>
      </c>
      <c r="BQ194">
        <v>1</v>
      </c>
      <c r="BR194">
        <v>1</v>
      </c>
    </row>
    <row r="195" spans="1:70" x14ac:dyDescent="0.35">
      <c r="A195" s="8" t="s">
        <v>174</v>
      </c>
      <c r="B195" s="9" t="s">
        <v>870</v>
      </c>
      <c r="C195" s="10" t="s">
        <v>871</v>
      </c>
      <c r="D195" s="34">
        <f t="shared" si="4"/>
        <v>13</v>
      </c>
      <c r="E195" s="9">
        <v>0</v>
      </c>
      <c r="F195" s="9">
        <v>0</v>
      </c>
      <c r="G195" s="9">
        <v>0</v>
      </c>
      <c r="H195" s="9">
        <v>0</v>
      </c>
      <c r="I195" s="9">
        <v>0</v>
      </c>
      <c r="J195" s="9">
        <v>0</v>
      </c>
      <c r="K195" s="9">
        <v>0</v>
      </c>
      <c r="L195" s="9">
        <v>0</v>
      </c>
      <c r="M195" s="9">
        <v>0</v>
      </c>
      <c r="N195" s="9">
        <v>0</v>
      </c>
      <c r="O195" s="9">
        <v>0</v>
      </c>
      <c r="P195" s="9">
        <v>0</v>
      </c>
      <c r="Q195" s="9">
        <v>0</v>
      </c>
      <c r="R195" s="9">
        <v>0</v>
      </c>
      <c r="S195" s="9">
        <v>0</v>
      </c>
      <c r="T195" s="9">
        <v>0</v>
      </c>
      <c r="U195" s="9">
        <v>0</v>
      </c>
      <c r="V195" s="9">
        <v>0</v>
      </c>
      <c r="W195" s="9">
        <v>0</v>
      </c>
      <c r="X195" s="9">
        <v>0</v>
      </c>
      <c r="Y195" s="9">
        <v>0</v>
      </c>
      <c r="Z195" s="9">
        <v>0</v>
      </c>
      <c r="AA195" s="9">
        <v>0</v>
      </c>
      <c r="AB195" s="9">
        <v>0</v>
      </c>
      <c r="AC195" s="9">
        <v>0</v>
      </c>
      <c r="AD195" s="9">
        <v>0</v>
      </c>
      <c r="AE195" s="9">
        <v>0</v>
      </c>
      <c r="AF195" s="9">
        <v>0</v>
      </c>
      <c r="AG195" s="9">
        <v>0</v>
      </c>
      <c r="AH195" s="9">
        <v>0</v>
      </c>
      <c r="AI195" s="9">
        <v>0</v>
      </c>
      <c r="AJ195" s="9">
        <v>0</v>
      </c>
      <c r="AK195" s="9">
        <v>0</v>
      </c>
      <c r="AL195" s="9">
        <v>0</v>
      </c>
      <c r="AM195" s="9">
        <v>0</v>
      </c>
      <c r="AN195" s="9">
        <v>0</v>
      </c>
      <c r="AO195" s="9">
        <v>0</v>
      </c>
      <c r="AP195" s="9">
        <v>0</v>
      </c>
      <c r="AQ195" s="9">
        <v>0</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0</v>
      </c>
      <c r="BK195" s="9">
        <v>0</v>
      </c>
      <c r="BL195" s="9">
        <v>0</v>
      </c>
      <c r="BM195" s="9">
        <v>2</v>
      </c>
      <c r="BN195" s="9">
        <v>0</v>
      </c>
      <c r="BO195" s="9">
        <v>6</v>
      </c>
      <c r="BP195" s="10">
        <v>10</v>
      </c>
      <c r="BQ195">
        <v>13</v>
      </c>
      <c r="BR195">
        <v>12</v>
      </c>
    </row>
    <row r="196" spans="1:70" x14ac:dyDescent="0.35">
      <c r="A196" s="8" t="s">
        <v>174</v>
      </c>
      <c r="B196" s="9" t="s">
        <v>872</v>
      </c>
      <c r="C196" s="10" t="s">
        <v>873</v>
      </c>
      <c r="D196" s="34">
        <f t="shared" si="4"/>
        <v>0</v>
      </c>
      <c r="E196" s="9">
        <v>0</v>
      </c>
      <c r="F196" s="9">
        <v>0</v>
      </c>
      <c r="G196" s="9">
        <v>0</v>
      </c>
      <c r="H196" s="9">
        <v>0</v>
      </c>
      <c r="I196" s="9">
        <v>0</v>
      </c>
      <c r="J196" s="9">
        <v>0</v>
      </c>
      <c r="K196" s="9">
        <v>0</v>
      </c>
      <c r="L196" s="9">
        <v>0</v>
      </c>
      <c r="M196" s="9">
        <v>0</v>
      </c>
      <c r="N196" s="9">
        <v>0</v>
      </c>
      <c r="O196" s="9">
        <v>0</v>
      </c>
      <c r="P196" s="9">
        <v>0</v>
      </c>
      <c r="Q196" s="9">
        <v>0</v>
      </c>
      <c r="R196" s="9">
        <v>0</v>
      </c>
      <c r="S196" s="9">
        <v>0</v>
      </c>
      <c r="T196" s="9">
        <v>0</v>
      </c>
      <c r="U196" s="9">
        <v>0</v>
      </c>
      <c r="V196" s="9">
        <v>0</v>
      </c>
      <c r="W196" s="9">
        <v>0</v>
      </c>
      <c r="X196" s="9">
        <v>0</v>
      </c>
      <c r="Y196" s="9">
        <v>0</v>
      </c>
      <c r="Z196" s="9">
        <v>0</v>
      </c>
      <c r="AA196" s="9">
        <v>0</v>
      </c>
      <c r="AB196" s="9">
        <v>0</v>
      </c>
      <c r="AC196" s="9">
        <v>0</v>
      </c>
      <c r="AD196" s="9">
        <v>0</v>
      </c>
      <c r="AE196" s="9">
        <v>0</v>
      </c>
      <c r="AF196" s="9">
        <v>0</v>
      </c>
      <c r="AG196" s="9">
        <v>0</v>
      </c>
      <c r="AH196" s="9">
        <v>0</v>
      </c>
      <c r="AI196" s="9">
        <v>0</v>
      </c>
      <c r="AJ196" s="9">
        <v>0</v>
      </c>
      <c r="AK196" s="9">
        <v>0</v>
      </c>
      <c r="AL196" s="9">
        <v>0</v>
      </c>
      <c r="AM196" s="9">
        <v>0</v>
      </c>
      <c r="AN196" s="9">
        <v>0</v>
      </c>
      <c r="AO196" s="9">
        <v>0</v>
      </c>
      <c r="AP196" s="9">
        <v>0</v>
      </c>
      <c r="AQ196" s="9">
        <v>0</v>
      </c>
      <c r="AR196" s="9">
        <v>0</v>
      </c>
      <c r="AS196" s="9">
        <v>0</v>
      </c>
      <c r="AT196" s="9">
        <v>0</v>
      </c>
      <c r="AU196" s="9">
        <v>0</v>
      </c>
      <c r="AV196" s="9">
        <v>0</v>
      </c>
      <c r="AW196" s="9">
        <v>0</v>
      </c>
      <c r="AX196" s="9">
        <v>0</v>
      </c>
      <c r="AY196" s="9">
        <v>0</v>
      </c>
      <c r="AZ196" s="9">
        <v>0</v>
      </c>
      <c r="BA196" s="9">
        <v>0</v>
      </c>
      <c r="BB196" s="9">
        <v>0</v>
      </c>
      <c r="BC196" s="9">
        <v>0</v>
      </c>
      <c r="BD196" s="9">
        <v>0</v>
      </c>
      <c r="BE196" s="9">
        <v>0</v>
      </c>
      <c r="BF196" s="9">
        <v>0</v>
      </c>
      <c r="BG196" s="9">
        <v>0</v>
      </c>
      <c r="BH196" s="9">
        <v>0</v>
      </c>
      <c r="BI196" s="9">
        <v>0</v>
      </c>
      <c r="BJ196" s="9">
        <v>0</v>
      </c>
      <c r="BK196" s="9">
        <v>0</v>
      </c>
      <c r="BL196" s="9">
        <v>0</v>
      </c>
      <c r="BM196" s="9">
        <v>0</v>
      </c>
      <c r="BN196" s="9">
        <v>0</v>
      </c>
      <c r="BO196" s="9">
        <v>0</v>
      </c>
      <c r="BP196" s="10">
        <v>0</v>
      </c>
      <c r="BQ196">
        <v>0</v>
      </c>
      <c r="BR196">
        <v>0</v>
      </c>
    </row>
    <row r="197" spans="1:70" x14ac:dyDescent="0.35">
      <c r="A197" s="8" t="s">
        <v>174</v>
      </c>
      <c r="B197" s="9" t="s">
        <v>185</v>
      </c>
      <c r="C197" s="10" t="s">
        <v>874</v>
      </c>
      <c r="D197" s="34">
        <f t="shared" si="4"/>
        <v>9</v>
      </c>
      <c r="E197" s="9">
        <v>0</v>
      </c>
      <c r="F197" s="9">
        <v>0</v>
      </c>
      <c r="G197" s="9">
        <v>0</v>
      </c>
      <c r="H197" s="9">
        <v>0</v>
      </c>
      <c r="I197" s="9">
        <v>0</v>
      </c>
      <c r="J197" s="9">
        <v>0</v>
      </c>
      <c r="K197" s="9">
        <v>0</v>
      </c>
      <c r="L197" s="9">
        <v>0</v>
      </c>
      <c r="M197" s="9">
        <v>0</v>
      </c>
      <c r="N197" s="9">
        <v>0</v>
      </c>
      <c r="O197" s="9">
        <v>0</v>
      </c>
      <c r="P197" s="9">
        <v>0</v>
      </c>
      <c r="Q197" s="9">
        <v>0</v>
      </c>
      <c r="R197" s="9">
        <v>0</v>
      </c>
      <c r="S197" s="9">
        <v>0</v>
      </c>
      <c r="T197" s="9">
        <v>0</v>
      </c>
      <c r="U197" s="9">
        <v>0</v>
      </c>
      <c r="V197" s="9">
        <v>0</v>
      </c>
      <c r="W197" s="9">
        <v>0</v>
      </c>
      <c r="X197" s="9">
        <v>0</v>
      </c>
      <c r="Y197" s="9">
        <v>0</v>
      </c>
      <c r="Z197" s="9">
        <v>0</v>
      </c>
      <c r="AA197" s="9">
        <v>0</v>
      </c>
      <c r="AB197" s="9">
        <v>0</v>
      </c>
      <c r="AC197" s="9">
        <v>0</v>
      </c>
      <c r="AD197" s="9">
        <v>0</v>
      </c>
      <c r="AE197" s="9">
        <v>0</v>
      </c>
      <c r="AF197" s="9">
        <v>0</v>
      </c>
      <c r="AG197" s="9">
        <v>0</v>
      </c>
      <c r="AH197" s="9">
        <v>0</v>
      </c>
      <c r="AI197" s="9">
        <v>0</v>
      </c>
      <c r="AJ197" s="9">
        <v>0</v>
      </c>
      <c r="AK197" s="9">
        <v>0</v>
      </c>
      <c r="AL197" s="9">
        <v>0</v>
      </c>
      <c r="AM197" s="9">
        <v>0</v>
      </c>
      <c r="AN197" s="9">
        <v>0</v>
      </c>
      <c r="AO197" s="9">
        <v>0</v>
      </c>
      <c r="AP197" s="9">
        <v>1</v>
      </c>
      <c r="AQ197" s="9">
        <v>2</v>
      </c>
      <c r="AR197" s="9">
        <v>3</v>
      </c>
      <c r="AS197" s="9">
        <v>3</v>
      </c>
      <c r="AT197" s="9">
        <v>4</v>
      </c>
      <c r="AU197" s="9">
        <v>4</v>
      </c>
      <c r="AV197" s="9">
        <v>4</v>
      </c>
      <c r="AW197" s="9">
        <v>5</v>
      </c>
      <c r="AX197" s="9">
        <v>5</v>
      </c>
      <c r="AY197" s="9">
        <v>7</v>
      </c>
      <c r="AZ197" s="9">
        <v>7</v>
      </c>
      <c r="BA197" s="9">
        <v>9</v>
      </c>
      <c r="BB197" s="9">
        <v>9</v>
      </c>
      <c r="BC197" s="9">
        <v>9</v>
      </c>
      <c r="BD197" s="9">
        <v>8</v>
      </c>
      <c r="BE197" s="9">
        <v>8</v>
      </c>
      <c r="BF197" s="9">
        <v>9</v>
      </c>
      <c r="BG197" s="9">
        <v>7</v>
      </c>
      <c r="BH197" s="9">
        <v>7</v>
      </c>
      <c r="BI197" s="9">
        <v>7</v>
      </c>
      <c r="BJ197" s="9">
        <v>7</v>
      </c>
      <c r="BK197" s="9">
        <v>6</v>
      </c>
      <c r="BL197" s="9">
        <v>6</v>
      </c>
      <c r="BM197" s="9">
        <v>4</v>
      </c>
      <c r="BN197" s="9">
        <v>4</v>
      </c>
      <c r="BO197" s="9">
        <v>4</v>
      </c>
      <c r="BP197" s="10">
        <v>3</v>
      </c>
      <c r="BQ197">
        <v>3</v>
      </c>
      <c r="BR197">
        <v>5</v>
      </c>
    </row>
    <row r="198" spans="1:70" x14ac:dyDescent="0.35">
      <c r="A198" s="8" t="s">
        <v>174</v>
      </c>
      <c r="B198" s="9" t="s">
        <v>187</v>
      </c>
      <c r="C198" s="10" t="s">
        <v>875</v>
      </c>
      <c r="D198" s="34">
        <f t="shared" ref="D198:D261" si="5">MAX(E198:BR198)</f>
        <v>4</v>
      </c>
      <c r="E198" s="9">
        <v>0</v>
      </c>
      <c r="F198" s="9">
        <v>0</v>
      </c>
      <c r="G198" s="9">
        <v>0</v>
      </c>
      <c r="H198" s="9">
        <v>0</v>
      </c>
      <c r="I198" s="9">
        <v>0</v>
      </c>
      <c r="J198" s="9">
        <v>0</v>
      </c>
      <c r="K198" s="9">
        <v>0</v>
      </c>
      <c r="L198" s="9">
        <v>0</v>
      </c>
      <c r="M198" s="9">
        <v>0</v>
      </c>
      <c r="N198" s="9">
        <v>0</v>
      </c>
      <c r="O198" s="9">
        <v>0</v>
      </c>
      <c r="P198" s="9">
        <v>0</v>
      </c>
      <c r="Q198" s="9">
        <v>0</v>
      </c>
      <c r="R198" s="9">
        <v>0</v>
      </c>
      <c r="S198" s="9">
        <v>0</v>
      </c>
      <c r="T198" s="9">
        <v>0</v>
      </c>
      <c r="U198" s="9">
        <v>0</v>
      </c>
      <c r="V198" s="9">
        <v>0</v>
      </c>
      <c r="W198" s="9">
        <v>0</v>
      </c>
      <c r="X198" s="9">
        <v>0</v>
      </c>
      <c r="Y198" s="9">
        <v>0</v>
      </c>
      <c r="Z198" s="9">
        <v>0</v>
      </c>
      <c r="AA198" s="9">
        <v>0</v>
      </c>
      <c r="AB198" s="9">
        <v>0</v>
      </c>
      <c r="AC198" s="9">
        <v>0</v>
      </c>
      <c r="AD198" s="9">
        <v>0</v>
      </c>
      <c r="AE198" s="9">
        <v>0</v>
      </c>
      <c r="AF198" s="9">
        <v>0</v>
      </c>
      <c r="AG198" s="9">
        <v>0</v>
      </c>
      <c r="AH198" s="9">
        <v>0</v>
      </c>
      <c r="AI198" s="9">
        <v>0</v>
      </c>
      <c r="AJ198" s="9">
        <v>0</v>
      </c>
      <c r="AK198" s="9">
        <v>0</v>
      </c>
      <c r="AL198" s="9">
        <v>0</v>
      </c>
      <c r="AM198" s="9">
        <v>0</v>
      </c>
      <c r="AN198" s="9">
        <v>0</v>
      </c>
      <c r="AO198" s="9">
        <v>0</v>
      </c>
      <c r="AP198" s="9">
        <v>0</v>
      </c>
      <c r="AQ198" s="9">
        <v>0</v>
      </c>
      <c r="AR198" s="9">
        <v>0</v>
      </c>
      <c r="AS198" s="9">
        <v>1</v>
      </c>
      <c r="AT198" s="9">
        <v>1</v>
      </c>
      <c r="AU198" s="9">
        <v>2</v>
      </c>
      <c r="AV198" s="9">
        <v>3</v>
      </c>
      <c r="AW198" s="9">
        <v>3</v>
      </c>
      <c r="AX198" s="9">
        <v>3</v>
      </c>
      <c r="AY198" s="9">
        <v>3</v>
      </c>
      <c r="AZ198" s="9">
        <v>3</v>
      </c>
      <c r="BA198" s="9">
        <v>3</v>
      </c>
      <c r="BB198" s="9">
        <v>3</v>
      </c>
      <c r="BC198" s="9">
        <v>3</v>
      </c>
      <c r="BD198" s="9">
        <v>4</v>
      </c>
      <c r="BE198" s="9">
        <v>3</v>
      </c>
      <c r="BF198" s="9">
        <v>3</v>
      </c>
      <c r="BG198" s="9">
        <v>3</v>
      </c>
      <c r="BH198" s="9">
        <v>3</v>
      </c>
      <c r="BI198" s="9">
        <v>2</v>
      </c>
      <c r="BJ198" s="9">
        <v>1</v>
      </c>
      <c r="BK198" s="9">
        <v>2</v>
      </c>
      <c r="BL198" s="9">
        <v>2</v>
      </c>
      <c r="BM198" s="9">
        <v>3</v>
      </c>
      <c r="BN198" s="9">
        <v>3</v>
      </c>
      <c r="BO198" s="9">
        <v>3</v>
      </c>
      <c r="BP198" s="10">
        <v>3</v>
      </c>
      <c r="BQ198">
        <v>3</v>
      </c>
      <c r="BR198">
        <v>3</v>
      </c>
    </row>
    <row r="199" spans="1:70" x14ac:dyDescent="0.35">
      <c r="A199" s="8" t="s">
        <v>174</v>
      </c>
      <c r="B199" s="9" t="s">
        <v>189</v>
      </c>
      <c r="C199" s="10" t="s">
        <v>876</v>
      </c>
      <c r="D199" s="34">
        <f t="shared" si="5"/>
        <v>118</v>
      </c>
      <c r="E199" s="9">
        <v>1</v>
      </c>
      <c r="F199" s="9">
        <v>1</v>
      </c>
      <c r="G199" s="9">
        <v>1</v>
      </c>
      <c r="H199" s="9">
        <v>1</v>
      </c>
      <c r="I199" s="9">
        <v>1</v>
      </c>
      <c r="J199" s="9">
        <v>0</v>
      </c>
      <c r="K199" s="9">
        <v>1</v>
      </c>
      <c r="L199" s="9">
        <v>1</v>
      </c>
      <c r="M199" s="9">
        <v>1</v>
      </c>
      <c r="N199" s="9">
        <v>0</v>
      </c>
      <c r="O199" s="9">
        <v>0</v>
      </c>
      <c r="P199" s="9">
        <v>1</v>
      </c>
      <c r="Q199" s="9">
        <v>1</v>
      </c>
      <c r="R199" s="9">
        <v>1</v>
      </c>
      <c r="S199" s="9">
        <v>1</v>
      </c>
      <c r="T199" s="9">
        <v>1</v>
      </c>
      <c r="U199" s="9">
        <v>3</v>
      </c>
      <c r="V199" s="9">
        <v>4</v>
      </c>
      <c r="W199" s="9">
        <v>4</v>
      </c>
      <c r="X199" s="9">
        <v>7</v>
      </c>
      <c r="Y199" s="9">
        <v>7</v>
      </c>
      <c r="Z199" s="9">
        <v>7</v>
      </c>
      <c r="AA199" s="9">
        <v>6</v>
      </c>
      <c r="AB199" s="9">
        <v>8</v>
      </c>
      <c r="AC199" s="9">
        <v>7</v>
      </c>
      <c r="AD199" s="9">
        <v>0</v>
      </c>
      <c r="AE199" s="9">
        <v>4</v>
      </c>
      <c r="AF199" s="9">
        <v>10</v>
      </c>
      <c r="AG199" s="9">
        <v>8</v>
      </c>
      <c r="AH199" s="9">
        <v>11</v>
      </c>
      <c r="AI199" s="9">
        <v>11</v>
      </c>
      <c r="AJ199" s="9">
        <v>13</v>
      </c>
      <c r="AK199" s="9">
        <v>0</v>
      </c>
      <c r="AL199" s="9">
        <v>20</v>
      </c>
      <c r="AM199" s="9">
        <v>25</v>
      </c>
      <c r="AN199" s="9">
        <v>23</v>
      </c>
      <c r="AO199" s="9">
        <v>25</v>
      </c>
      <c r="AP199" s="9">
        <v>26</v>
      </c>
      <c r="AQ199" s="9">
        <v>27</v>
      </c>
      <c r="AR199" s="9">
        <v>16</v>
      </c>
      <c r="AS199" s="9">
        <v>39</v>
      </c>
      <c r="AT199" s="9">
        <v>43</v>
      </c>
      <c r="AU199" s="9">
        <v>43</v>
      </c>
      <c r="AV199" s="9">
        <v>42</v>
      </c>
      <c r="AW199" s="9">
        <v>39</v>
      </c>
      <c r="AX199" s="9">
        <v>40</v>
      </c>
      <c r="AY199" s="9">
        <v>39</v>
      </c>
      <c r="AZ199" s="9">
        <v>0</v>
      </c>
      <c r="BA199" s="9">
        <v>45</v>
      </c>
      <c r="BB199" s="9">
        <v>48</v>
      </c>
      <c r="BC199" s="9">
        <v>48</v>
      </c>
      <c r="BD199" s="9">
        <v>59</v>
      </c>
      <c r="BE199" s="9">
        <v>53</v>
      </c>
      <c r="BF199" s="9">
        <v>55</v>
      </c>
      <c r="BG199" s="9">
        <v>63</v>
      </c>
      <c r="BH199" s="9">
        <v>66</v>
      </c>
      <c r="BI199" s="9">
        <v>68</v>
      </c>
      <c r="BJ199" s="9">
        <v>77</v>
      </c>
      <c r="BK199" s="9">
        <v>80</v>
      </c>
      <c r="BL199" s="9">
        <v>88</v>
      </c>
      <c r="BM199" s="9">
        <v>93</v>
      </c>
      <c r="BN199" s="9">
        <v>105</v>
      </c>
      <c r="BO199" s="9">
        <v>106</v>
      </c>
      <c r="BP199" s="10">
        <v>118</v>
      </c>
      <c r="BQ199">
        <v>116</v>
      </c>
      <c r="BR199">
        <v>115</v>
      </c>
    </row>
    <row r="200" spans="1:70" x14ac:dyDescent="0.35">
      <c r="A200" s="8" t="s">
        <v>174</v>
      </c>
      <c r="B200" s="9" t="s">
        <v>191</v>
      </c>
      <c r="C200" s="10" t="s">
        <v>877</v>
      </c>
      <c r="D200" s="34">
        <f t="shared" si="5"/>
        <v>61</v>
      </c>
      <c r="E200" s="9">
        <v>0</v>
      </c>
      <c r="F200" s="9">
        <v>0</v>
      </c>
      <c r="G200" s="9">
        <v>0</v>
      </c>
      <c r="H200" s="9">
        <v>0</v>
      </c>
      <c r="I200" s="9">
        <v>0</v>
      </c>
      <c r="J200" s="9">
        <v>0</v>
      </c>
      <c r="K200" s="9">
        <v>0</v>
      </c>
      <c r="L200" s="9">
        <v>0</v>
      </c>
      <c r="M200" s="9">
        <v>0</v>
      </c>
      <c r="N200" s="9">
        <v>0</v>
      </c>
      <c r="O200" s="9">
        <v>0</v>
      </c>
      <c r="P200" s="9">
        <v>1</v>
      </c>
      <c r="Q200" s="9">
        <v>1</v>
      </c>
      <c r="R200" s="9">
        <v>0</v>
      </c>
      <c r="S200" s="9">
        <v>2</v>
      </c>
      <c r="T200" s="9">
        <v>3</v>
      </c>
      <c r="U200" s="9">
        <v>3</v>
      </c>
      <c r="V200" s="9">
        <v>2</v>
      </c>
      <c r="W200" s="9">
        <v>3</v>
      </c>
      <c r="X200" s="9">
        <v>3</v>
      </c>
      <c r="Y200" s="9">
        <v>2</v>
      </c>
      <c r="Z200" s="9">
        <v>2</v>
      </c>
      <c r="AA200" s="9">
        <v>1</v>
      </c>
      <c r="AB200" s="9">
        <v>2</v>
      </c>
      <c r="AC200" s="9">
        <v>4</v>
      </c>
      <c r="AD200" s="9">
        <v>5</v>
      </c>
      <c r="AE200" s="9">
        <v>7</v>
      </c>
      <c r="AF200" s="9">
        <v>7</v>
      </c>
      <c r="AG200" s="9">
        <v>7</v>
      </c>
      <c r="AH200" s="9">
        <v>6</v>
      </c>
      <c r="AI200" s="9">
        <v>5</v>
      </c>
      <c r="AJ200" s="9">
        <v>5</v>
      </c>
      <c r="AK200" s="9">
        <v>5</v>
      </c>
      <c r="AL200" s="9">
        <v>6</v>
      </c>
      <c r="AM200" s="9">
        <v>7</v>
      </c>
      <c r="AN200" s="9">
        <v>11</v>
      </c>
      <c r="AO200" s="9">
        <v>15</v>
      </c>
      <c r="AP200" s="9">
        <v>15</v>
      </c>
      <c r="AQ200" s="9">
        <v>16</v>
      </c>
      <c r="AR200" s="9">
        <v>23</v>
      </c>
      <c r="AS200" s="9">
        <v>25</v>
      </c>
      <c r="AT200" s="9">
        <v>20</v>
      </c>
      <c r="AU200" s="9">
        <v>23</v>
      </c>
      <c r="AV200" s="9">
        <v>23</v>
      </c>
      <c r="AW200" s="9">
        <v>23</v>
      </c>
      <c r="AX200" s="9">
        <v>19</v>
      </c>
      <c r="AY200" s="9">
        <v>19</v>
      </c>
      <c r="AZ200" s="9">
        <v>21</v>
      </c>
      <c r="BA200" s="9">
        <v>25</v>
      </c>
      <c r="BB200" s="9">
        <v>25</v>
      </c>
      <c r="BC200" s="9">
        <v>27</v>
      </c>
      <c r="BD200" s="9">
        <v>29</v>
      </c>
      <c r="BE200" s="9">
        <v>36</v>
      </c>
      <c r="BF200" s="9">
        <v>33</v>
      </c>
      <c r="BG200" s="9">
        <v>37</v>
      </c>
      <c r="BH200" s="9">
        <v>41</v>
      </c>
      <c r="BI200" s="9">
        <v>43</v>
      </c>
      <c r="BJ200" s="9">
        <v>49</v>
      </c>
      <c r="BK200" s="9">
        <v>44</v>
      </c>
      <c r="BL200" s="9">
        <v>41</v>
      </c>
      <c r="BM200" s="9">
        <v>37</v>
      </c>
      <c r="BN200" s="9">
        <v>41</v>
      </c>
      <c r="BO200" s="9">
        <v>45</v>
      </c>
      <c r="BP200" s="10">
        <v>52</v>
      </c>
      <c r="BQ200">
        <v>61</v>
      </c>
      <c r="BR200">
        <v>60</v>
      </c>
    </row>
    <row r="201" spans="1:70" x14ac:dyDescent="0.35">
      <c r="A201" s="8" t="s">
        <v>174</v>
      </c>
      <c r="B201" s="9" t="s">
        <v>193</v>
      </c>
      <c r="C201" s="10" t="s">
        <v>878</v>
      </c>
      <c r="D201" s="34">
        <f t="shared" si="5"/>
        <v>31</v>
      </c>
      <c r="E201" s="9">
        <v>0</v>
      </c>
      <c r="F201" s="9">
        <v>0</v>
      </c>
      <c r="G201" s="9">
        <v>0</v>
      </c>
      <c r="H201" s="9">
        <v>0</v>
      </c>
      <c r="I201" s="9">
        <v>0</v>
      </c>
      <c r="J201" s="9">
        <v>0</v>
      </c>
      <c r="K201" s="9">
        <v>0</v>
      </c>
      <c r="L201" s="9">
        <v>0</v>
      </c>
      <c r="M201" s="9">
        <v>0</v>
      </c>
      <c r="N201" s="9">
        <v>0</v>
      </c>
      <c r="O201" s="9">
        <v>0</v>
      </c>
      <c r="P201" s="9">
        <v>0</v>
      </c>
      <c r="Q201" s="9">
        <v>0</v>
      </c>
      <c r="R201" s="9">
        <v>0</v>
      </c>
      <c r="S201" s="9">
        <v>0</v>
      </c>
      <c r="T201" s="9">
        <v>0</v>
      </c>
      <c r="U201" s="9">
        <v>0</v>
      </c>
      <c r="V201" s="9">
        <v>0</v>
      </c>
      <c r="W201" s="9">
        <v>0</v>
      </c>
      <c r="X201" s="9">
        <v>2</v>
      </c>
      <c r="Y201" s="9">
        <v>2</v>
      </c>
      <c r="Z201" s="9">
        <v>6</v>
      </c>
      <c r="AA201" s="9">
        <v>6</v>
      </c>
      <c r="AB201" s="9">
        <v>6</v>
      </c>
      <c r="AC201" s="9">
        <v>6</v>
      </c>
      <c r="AD201" s="9">
        <v>6</v>
      </c>
      <c r="AE201" s="9">
        <v>6</v>
      </c>
      <c r="AF201" s="9">
        <v>6</v>
      </c>
      <c r="AG201" s="9">
        <v>8</v>
      </c>
      <c r="AH201" s="9">
        <v>8</v>
      </c>
      <c r="AI201" s="9">
        <v>8</v>
      </c>
      <c r="AJ201" s="9">
        <v>15</v>
      </c>
      <c r="AK201" s="9">
        <v>15</v>
      </c>
      <c r="AL201" s="9">
        <v>15</v>
      </c>
      <c r="AM201" s="9">
        <v>15</v>
      </c>
      <c r="AN201" s="9">
        <v>14</v>
      </c>
      <c r="AO201" s="9">
        <v>14</v>
      </c>
      <c r="AP201" s="9">
        <v>14</v>
      </c>
      <c r="AQ201" s="9">
        <v>14</v>
      </c>
      <c r="AR201" s="9">
        <v>14</v>
      </c>
      <c r="AS201" s="9">
        <v>14</v>
      </c>
      <c r="AT201" s="9">
        <v>14</v>
      </c>
      <c r="AU201" s="9">
        <v>0</v>
      </c>
      <c r="AV201" s="9">
        <v>0</v>
      </c>
      <c r="AW201" s="9">
        <v>1</v>
      </c>
      <c r="AX201" s="9">
        <v>2</v>
      </c>
      <c r="AY201" s="9">
        <v>4</v>
      </c>
      <c r="AZ201" s="9">
        <v>4</v>
      </c>
      <c r="BA201" s="9">
        <v>4</v>
      </c>
      <c r="BB201" s="9">
        <v>4</v>
      </c>
      <c r="BC201" s="9">
        <v>5</v>
      </c>
      <c r="BD201" s="9">
        <v>6</v>
      </c>
      <c r="BE201" s="9">
        <v>15</v>
      </c>
      <c r="BF201" s="9">
        <v>17</v>
      </c>
      <c r="BG201" s="9">
        <v>18</v>
      </c>
      <c r="BH201" s="9">
        <v>18</v>
      </c>
      <c r="BI201" s="9">
        <v>18</v>
      </c>
      <c r="BJ201" s="9">
        <v>19</v>
      </c>
      <c r="BK201" s="9">
        <v>20</v>
      </c>
      <c r="BL201" s="9">
        <v>29</v>
      </c>
      <c r="BM201" s="9">
        <v>25</v>
      </c>
      <c r="BN201" s="9">
        <v>28</v>
      </c>
      <c r="BO201" s="9">
        <v>30</v>
      </c>
      <c r="BP201" s="10">
        <v>31</v>
      </c>
      <c r="BQ201">
        <v>31</v>
      </c>
      <c r="BR201">
        <v>31</v>
      </c>
    </row>
    <row r="202" spans="1:70" x14ac:dyDescent="0.35">
      <c r="A202" s="8" t="s">
        <v>174</v>
      </c>
      <c r="B202" s="9" t="s">
        <v>195</v>
      </c>
      <c r="C202" s="10" t="s">
        <v>879</v>
      </c>
      <c r="D202" s="34">
        <f t="shared" si="5"/>
        <v>23</v>
      </c>
      <c r="E202" s="9">
        <v>1</v>
      </c>
      <c r="F202" s="9">
        <v>1</v>
      </c>
      <c r="G202" s="9">
        <v>1</v>
      </c>
      <c r="H202" s="9">
        <v>0</v>
      </c>
      <c r="I202" s="9">
        <v>0</v>
      </c>
      <c r="J202" s="9">
        <v>0</v>
      </c>
      <c r="K202" s="9">
        <v>0</v>
      </c>
      <c r="L202" s="9">
        <v>0</v>
      </c>
      <c r="M202" s="9">
        <v>0</v>
      </c>
      <c r="N202" s="9">
        <v>1</v>
      </c>
      <c r="O202" s="9">
        <v>1</v>
      </c>
      <c r="P202" s="9">
        <v>1</v>
      </c>
      <c r="Q202" s="9">
        <v>1</v>
      </c>
      <c r="R202" s="9">
        <v>0</v>
      </c>
      <c r="S202" s="9">
        <v>0</v>
      </c>
      <c r="T202" s="9">
        <v>0</v>
      </c>
      <c r="U202" s="9">
        <v>0</v>
      </c>
      <c r="V202" s="9">
        <v>0</v>
      </c>
      <c r="W202" s="9">
        <v>0</v>
      </c>
      <c r="X202" s="9">
        <v>0</v>
      </c>
      <c r="Y202" s="9">
        <v>1</v>
      </c>
      <c r="Z202" s="9">
        <v>1</v>
      </c>
      <c r="AA202" s="9">
        <v>2</v>
      </c>
      <c r="AB202" s="9">
        <v>3</v>
      </c>
      <c r="AC202" s="9">
        <v>3</v>
      </c>
      <c r="AD202" s="9">
        <v>4</v>
      </c>
      <c r="AE202" s="9">
        <v>3</v>
      </c>
      <c r="AF202" s="9">
        <v>4</v>
      </c>
      <c r="AG202" s="9">
        <v>3</v>
      </c>
      <c r="AH202" s="9">
        <v>5</v>
      </c>
      <c r="AI202" s="9">
        <v>5</v>
      </c>
      <c r="AJ202" s="9">
        <v>5</v>
      </c>
      <c r="AK202" s="9">
        <v>4</v>
      </c>
      <c r="AL202" s="9">
        <v>3</v>
      </c>
      <c r="AM202" s="9">
        <v>5</v>
      </c>
      <c r="AN202" s="9">
        <v>3</v>
      </c>
      <c r="AO202" s="9">
        <v>3</v>
      </c>
      <c r="AP202" s="9">
        <v>3</v>
      </c>
      <c r="AQ202" s="9">
        <v>2</v>
      </c>
      <c r="AR202" s="9">
        <v>2</v>
      </c>
      <c r="AS202" s="9">
        <v>3</v>
      </c>
      <c r="AT202" s="9">
        <v>3</v>
      </c>
      <c r="AU202" s="9">
        <v>2</v>
      </c>
      <c r="AV202" s="9">
        <v>5</v>
      </c>
      <c r="AW202" s="9">
        <v>5</v>
      </c>
      <c r="AX202" s="9">
        <v>6</v>
      </c>
      <c r="AY202" s="9">
        <v>7</v>
      </c>
      <c r="AZ202" s="9">
        <v>7</v>
      </c>
      <c r="BA202" s="9">
        <v>10</v>
      </c>
      <c r="BB202" s="9">
        <v>14</v>
      </c>
      <c r="BC202" s="9">
        <v>13</v>
      </c>
      <c r="BD202" s="9">
        <v>11</v>
      </c>
      <c r="BE202" s="9">
        <v>15</v>
      </c>
      <c r="BF202" s="9">
        <v>11</v>
      </c>
      <c r="BG202" s="9">
        <v>12</v>
      </c>
      <c r="BH202" s="9">
        <v>12</v>
      </c>
      <c r="BI202" s="9">
        <v>10</v>
      </c>
      <c r="BJ202" s="9">
        <v>14</v>
      </c>
      <c r="BK202" s="9">
        <v>13</v>
      </c>
      <c r="BL202" s="9">
        <v>16</v>
      </c>
      <c r="BM202" s="9">
        <v>20</v>
      </c>
      <c r="BN202" s="9">
        <v>20</v>
      </c>
      <c r="BO202" s="9">
        <v>22</v>
      </c>
      <c r="BP202" s="10">
        <v>23</v>
      </c>
      <c r="BQ202">
        <v>23</v>
      </c>
      <c r="BR202">
        <v>22</v>
      </c>
    </row>
    <row r="203" spans="1:70" x14ac:dyDescent="0.35">
      <c r="A203" s="8" t="s">
        <v>174</v>
      </c>
      <c r="B203" s="9" t="s">
        <v>197</v>
      </c>
      <c r="C203" s="10" t="s">
        <v>880</v>
      </c>
      <c r="D203" s="34">
        <f t="shared" si="5"/>
        <v>222</v>
      </c>
      <c r="E203" s="9">
        <v>2</v>
      </c>
      <c r="F203" s="9">
        <v>2</v>
      </c>
      <c r="G203" s="9">
        <v>3</v>
      </c>
      <c r="H203" s="9">
        <v>1</v>
      </c>
      <c r="I203" s="9">
        <v>1</v>
      </c>
      <c r="J203" s="9">
        <v>1</v>
      </c>
      <c r="K203" s="9">
        <v>1</v>
      </c>
      <c r="L203" s="9">
        <v>1</v>
      </c>
      <c r="M203" s="9">
        <v>1</v>
      </c>
      <c r="N203" s="9">
        <v>0</v>
      </c>
      <c r="O203" s="9">
        <v>0</v>
      </c>
      <c r="P203" s="9">
        <v>0</v>
      </c>
      <c r="Q203" s="9">
        <v>0</v>
      </c>
      <c r="R203" s="9">
        <v>0</v>
      </c>
      <c r="S203" s="9">
        <v>4</v>
      </c>
      <c r="T203" s="9">
        <v>4</v>
      </c>
      <c r="U203" s="9">
        <v>6</v>
      </c>
      <c r="V203" s="9">
        <v>9</v>
      </c>
      <c r="W203" s="9">
        <v>13</v>
      </c>
      <c r="X203" s="9">
        <v>12</v>
      </c>
      <c r="Y203" s="9">
        <v>13</v>
      </c>
      <c r="Z203" s="9">
        <v>16</v>
      </c>
      <c r="AA203" s="9">
        <v>18</v>
      </c>
      <c r="AB203" s="9">
        <v>17</v>
      </c>
      <c r="AC203" s="9">
        <v>20</v>
      </c>
      <c r="AD203" s="9">
        <v>19</v>
      </c>
      <c r="AE203" s="9">
        <v>19</v>
      </c>
      <c r="AF203" s="9">
        <v>19</v>
      </c>
      <c r="AG203" s="9">
        <v>18</v>
      </c>
      <c r="AH203" s="9">
        <v>17</v>
      </c>
      <c r="AI203" s="9">
        <v>16</v>
      </c>
      <c r="AJ203" s="9">
        <v>16</v>
      </c>
      <c r="AK203" s="9">
        <v>18</v>
      </c>
      <c r="AL203" s="9">
        <v>14</v>
      </c>
      <c r="AM203" s="9">
        <v>15</v>
      </c>
      <c r="AN203" s="9">
        <v>15</v>
      </c>
      <c r="AO203" s="9">
        <v>17</v>
      </c>
      <c r="AP203" s="9">
        <v>21</v>
      </c>
      <c r="AQ203" s="9">
        <v>23</v>
      </c>
      <c r="AR203" s="9">
        <v>23</v>
      </c>
      <c r="AS203" s="9">
        <v>32</v>
      </c>
      <c r="AT203" s="9">
        <v>34</v>
      </c>
      <c r="AU203" s="9">
        <v>38</v>
      </c>
      <c r="AV203" s="9">
        <v>44</v>
      </c>
      <c r="AW203" s="9">
        <v>58</v>
      </c>
      <c r="AX203" s="9">
        <v>69</v>
      </c>
      <c r="AY203" s="9">
        <v>75</v>
      </c>
      <c r="AZ203" s="9">
        <v>79</v>
      </c>
      <c r="BA203" s="9">
        <v>85</v>
      </c>
      <c r="BB203" s="9">
        <v>95</v>
      </c>
      <c r="BC203" s="9">
        <v>90</v>
      </c>
      <c r="BD203" s="9">
        <v>110</v>
      </c>
      <c r="BE203" s="9">
        <v>112</v>
      </c>
      <c r="BF203" s="9">
        <v>116</v>
      </c>
      <c r="BG203" s="9">
        <v>122</v>
      </c>
      <c r="BH203" s="9">
        <v>12</v>
      </c>
      <c r="BI203" s="9">
        <v>171</v>
      </c>
      <c r="BJ203" s="9">
        <v>186</v>
      </c>
      <c r="BK203" s="9">
        <v>185</v>
      </c>
      <c r="BL203" s="9">
        <v>181</v>
      </c>
      <c r="BM203" s="9">
        <v>201</v>
      </c>
      <c r="BN203" s="9">
        <v>0</v>
      </c>
      <c r="BO203" s="9">
        <v>17</v>
      </c>
      <c r="BP203" s="10">
        <v>222</v>
      </c>
      <c r="BQ203">
        <v>213</v>
      </c>
      <c r="BR203">
        <v>214</v>
      </c>
    </row>
    <row r="204" spans="1:70" x14ac:dyDescent="0.35">
      <c r="A204" s="8" t="s">
        <v>174</v>
      </c>
      <c r="B204" s="9" t="s">
        <v>199</v>
      </c>
      <c r="C204" s="10" t="s">
        <v>881</v>
      </c>
      <c r="D204" s="34">
        <f t="shared" si="5"/>
        <v>88</v>
      </c>
      <c r="E204" s="9">
        <v>1</v>
      </c>
      <c r="F204" s="9">
        <v>1</v>
      </c>
      <c r="G204" s="9">
        <v>1</v>
      </c>
      <c r="H204" s="9">
        <v>0</v>
      </c>
      <c r="I204" s="9">
        <v>0</v>
      </c>
      <c r="J204" s="9">
        <v>0</v>
      </c>
      <c r="K204" s="9">
        <v>0</v>
      </c>
      <c r="L204" s="9">
        <v>0</v>
      </c>
      <c r="M204" s="9">
        <v>0</v>
      </c>
      <c r="N204" s="9">
        <v>0</v>
      </c>
      <c r="O204" s="9">
        <v>1</v>
      </c>
      <c r="P204" s="9">
        <v>1</v>
      </c>
      <c r="Q204" s="9">
        <v>1</v>
      </c>
      <c r="R204" s="9">
        <v>1</v>
      </c>
      <c r="S204" s="9">
        <v>3</v>
      </c>
      <c r="T204" s="9">
        <v>2</v>
      </c>
      <c r="U204" s="9">
        <v>3</v>
      </c>
      <c r="V204" s="9">
        <v>3</v>
      </c>
      <c r="W204" s="9">
        <v>4</v>
      </c>
      <c r="X204" s="9">
        <v>4</v>
      </c>
      <c r="Y204" s="9">
        <v>4</v>
      </c>
      <c r="Z204" s="9">
        <v>5</v>
      </c>
      <c r="AA204" s="9">
        <v>5</v>
      </c>
      <c r="AB204" s="9">
        <v>5</v>
      </c>
      <c r="AC204" s="9">
        <v>4</v>
      </c>
      <c r="AD204" s="9">
        <v>6</v>
      </c>
      <c r="AE204" s="9">
        <v>6</v>
      </c>
      <c r="AF204" s="9">
        <v>6</v>
      </c>
      <c r="AG204" s="9">
        <v>8</v>
      </c>
      <c r="AH204" s="9">
        <v>6</v>
      </c>
      <c r="AI204" s="9">
        <v>5</v>
      </c>
      <c r="AJ204" s="9">
        <v>6</v>
      </c>
      <c r="AK204" s="9">
        <v>7</v>
      </c>
      <c r="AL204" s="9">
        <v>7</v>
      </c>
      <c r="AM204" s="9">
        <v>7</v>
      </c>
      <c r="AN204" s="9">
        <v>6</v>
      </c>
      <c r="AO204" s="9">
        <v>6</v>
      </c>
      <c r="AP204" s="9">
        <v>9</v>
      </c>
      <c r="AQ204" s="9">
        <v>10</v>
      </c>
      <c r="AR204" s="9">
        <v>12</v>
      </c>
      <c r="AS204" s="9">
        <v>11</v>
      </c>
      <c r="AT204" s="9">
        <v>15</v>
      </c>
      <c r="AU204" s="9">
        <v>18</v>
      </c>
      <c r="AV204" s="9">
        <v>18</v>
      </c>
      <c r="AW204" s="9">
        <v>15</v>
      </c>
      <c r="AX204" s="9">
        <v>16</v>
      </c>
      <c r="AY204" s="9">
        <v>19</v>
      </c>
      <c r="AZ204" s="9">
        <v>29</v>
      </c>
      <c r="BA204" s="9">
        <v>30</v>
      </c>
      <c r="BB204" s="9">
        <v>35</v>
      </c>
      <c r="BC204" s="9">
        <v>35</v>
      </c>
      <c r="BD204" s="9">
        <v>37</v>
      </c>
      <c r="BE204" s="9">
        <v>37</v>
      </c>
      <c r="BF204" s="9">
        <v>42</v>
      </c>
      <c r="BG204" s="9">
        <v>41</v>
      </c>
      <c r="BH204" s="9">
        <v>51</v>
      </c>
      <c r="BI204" s="9">
        <v>54</v>
      </c>
      <c r="BJ204" s="9">
        <v>60</v>
      </c>
      <c r="BK204" s="9">
        <v>67</v>
      </c>
      <c r="BL204" s="9">
        <v>64</v>
      </c>
      <c r="BM204" s="9">
        <v>65</v>
      </c>
      <c r="BN204" s="9">
        <v>69</v>
      </c>
      <c r="BO204" s="9">
        <v>73</v>
      </c>
      <c r="BP204" s="10">
        <v>85</v>
      </c>
      <c r="BQ204">
        <v>88</v>
      </c>
      <c r="BR204">
        <v>88</v>
      </c>
    </row>
    <row r="205" spans="1:70" x14ac:dyDescent="0.35">
      <c r="A205" s="8" t="s">
        <v>174</v>
      </c>
      <c r="B205" s="9" t="s">
        <v>201</v>
      </c>
      <c r="C205" s="10" t="s">
        <v>882</v>
      </c>
      <c r="D205" s="34">
        <f t="shared" si="5"/>
        <v>44</v>
      </c>
      <c r="E205" s="9">
        <v>5</v>
      </c>
      <c r="F205" s="9">
        <v>3</v>
      </c>
      <c r="G205" s="9">
        <v>3</v>
      </c>
      <c r="H205" s="9">
        <v>4</v>
      </c>
      <c r="I205" s="9">
        <v>4</v>
      </c>
      <c r="J205" s="9">
        <v>3</v>
      </c>
      <c r="K205" s="9">
        <v>1</v>
      </c>
      <c r="L205" s="9">
        <v>1</v>
      </c>
      <c r="M205" s="9">
        <v>1</v>
      </c>
      <c r="N205" s="9">
        <v>0</v>
      </c>
      <c r="O205" s="9">
        <v>3</v>
      </c>
      <c r="P205" s="9">
        <v>3</v>
      </c>
      <c r="Q205" s="9">
        <v>5</v>
      </c>
      <c r="R205" s="9">
        <v>5</v>
      </c>
      <c r="S205" s="9">
        <v>4</v>
      </c>
      <c r="T205" s="9">
        <v>5</v>
      </c>
      <c r="U205" s="9">
        <v>4</v>
      </c>
      <c r="V205" s="9">
        <v>6</v>
      </c>
      <c r="W205" s="9">
        <v>5</v>
      </c>
      <c r="X205" s="9">
        <v>8</v>
      </c>
      <c r="Y205" s="9">
        <v>10</v>
      </c>
      <c r="Z205" s="9">
        <v>13</v>
      </c>
      <c r="AA205" s="9">
        <v>14</v>
      </c>
      <c r="AB205" s="9">
        <v>11</v>
      </c>
      <c r="AC205" s="9">
        <v>18</v>
      </c>
      <c r="AD205" s="9">
        <v>11</v>
      </c>
      <c r="AE205" s="9">
        <v>12</v>
      </c>
      <c r="AF205" s="9">
        <v>11</v>
      </c>
      <c r="AG205" s="9">
        <v>13</v>
      </c>
      <c r="AH205" s="9">
        <v>13</v>
      </c>
      <c r="AI205" s="9">
        <v>19</v>
      </c>
      <c r="AJ205" s="9">
        <v>18</v>
      </c>
      <c r="AK205" s="9">
        <v>19</v>
      </c>
      <c r="AL205" s="9">
        <v>21</v>
      </c>
      <c r="AM205" s="9">
        <v>23</v>
      </c>
      <c r="AN205" s="9">
        <v>23</v>
      </c>
      <c r="AO205" s="9">
        <v>21</v>
      </c>
      <c r="AP205" s="9">
        <v>19</v>
      </c>
      <c r="AQ205" s="9">
        <v>18</v>
      </c>
      <c r="AR205" s="9">
        <v>19</v>
      </c>
      <c r="AS205" s="9">
        <v>18</v>
      </c>
      <c r="AT205" s="9">
        <v>19</v>
      </c>
      <c r="AU205" s="9">
        <v>19</v>
      </c>
      <c r="AV205" s="9">
        <v>20</v>
      </c>
      <c r="AW205" s="9">
        <v>21</v>
      </c>
      <c r="AX205" s="9">
        <v>16</v>
      </c>
      <c r="AY205" s="9">
        <v>20</v>
      </c>
      <c r="AZ205" s="9">
        <v>20</v>
      </c>
      <c r="BA205" s="9">
        <v>18</v>
      </c>
      <c r="BB205" s="9">
        <v>23</v>
      </c>
      <c r="BC205" s="9">
        <v>25</v>
      </c>
      <c r="BD205" s="9">
        <v>23</v>
      </c>
      <c r="BE205" s="9">
        <v>25</v>
      </c>
      <c r="BF205" s="9">
        <v>24</v>
      </c>
      <c r="BG205" s="9">
        <v>27</v>
      </c>
      <c r="BH205" s="9">
        <v>27</v>
      </c>
      <c r="BI205" s="9">
        <v>28</v>
      </c>
      <c r="BJ205" s="9">
        <v>28</v>
      </c>
      <c r="BK205" s="9">
        <v>29</v>
      </c>
      <c r="BL205" s="9">
        <v>27</v>
      </c>
      <c r="BM205" s="9">
        <v>27</v>
      </c>
      <c r="BN205" s="9">
        <v>35</v>
      </c>
      <c r="BO205" s="9">
        <v>44</v>
      </c>
      <c r="BP205" s="10">
        <v>43</v>
      </c>
      <c r="BQ205">
        <v>43</v>
      </c>
      <c r="BR205">
        <v>41</v>
      </c>
    </row>
    <row r="206" spans="1:70" x14ac:dyDescent="0.35">
      <c r="A206" s="8" t="s">
        <v>174</v>
      </c>
      <c r="B206" s="9" t="s">
        <v>203</v>
      </c>
      <c r="C206" s="10" t="s">
        <v>883</v>
      </c>
      <c r="D206" s="34">
        <f t="shared" si="5"/>
        <v>0</v>
      </c>
      <c r="E206" s="9">
        <v>0</v>
      </c>
      <c r="F206" s="9">
        <v>0</v>
      </c>
      <c r="G206" s="9">
        <v>0</v>
      </c>
      <c r="H206" s="9">
        <v>0</v>
      </c>
      <c r="I206" s="9">
        <v>0</v>
      </c>
      <c r="J206" s="9">
        <v>0</v>
      </c>
      <c r="K206" s="9">
        <v>0</v>
      </c>
      <c r="L206" s="9">
        <v>0</v>
      </c>
      <c r="M206" s="9">
        <v>0</v>
      </c>
      <c r="N206" s="9">
        <v>0</v>
      </c>
      <c r="O206" s="9">
        <v>0</v>
      </c>
      <c r="P206" s="9">
        <v>0</v>
      </c>
      <c r="Q206" s="9">
        <v>0</v>
      </c>
      <c r="R206" s="9">
        <v>0</v>
      </c>
      <c r="S206" s="9">
        <v>0</v>
      </c>
      <c r="T206" s="9">
        <v>0</v>
      </c>
      <c r="U206" s="9">
        <v>0</v>
      </c>
      <c r="V206" s="9">
        <v>0</v>
      </c>
      <c r="W206" s="9">
        <v>0</v>
      </c>
      <c r="X206" s="9">
        <v>0</v>
      </c>
      <c r="Y206" s="9">
        <v>0</v>
      </c>
      <c r="Z206" s="9">
        <v>0</v>
      </c>
      <c r="AA206" s="9">
        <v>0</v>
      </c>
      <c r="AB206" s="9">
        <v>0</v>
      </c>
      <c r="AC206" s="9">
        <v>0</v>
      </c>
      <c r="AD206" s="9">
        <v>0</v>
      </c>
      <c r="AE206" s="9">
        <v>0</v>
      </c>
      <c r="AF206" s="9">
        <v>0</v>
      </c>
      <c r="AG206" s="9">
        <v>0</v>
      </c>
      <c r="AH206" s="9">
        <v>0</v>
      </c>
      <c r="AI206" s="9">
        <v>0</v>
      </c>
      <c r="AJ206" s="9">
        <v>0</v>
      </c>
      <c r="AK206" s="9">
        <v>0</v>
      </c>
      <c r="AL206" s="9">
        <v>0</v>
      </c>
      <c r="AM206" s="9">
        <v>0</v>
      </c>
      <c r="AN206" s="9">
        <v>0</v>
      </c>
      <c r="AO206" s="9">
        <v>0</v>
      </c>
      <c r="AP206" s="9">
        <v>0</v>
      </c>
      <c r="AQ206" s="9">
        <v>0</v>
      </c>
      <c r="AR206" s="9">
        <v>0</v>
      </c>
      <c r="AS206" s="9">
        <v>0</v>
      </c>
      <c r="AT206" s="9">
        <v>0</v>
      </c>
      <c r="AU206" s="9">
        <v>0</v>
      </c>
      <c r="AV206" s="9">
        <v>0</v>
      </c>
      <c r="AW206" s="9">
        <v>0</v>
      </c>
      <c r="AX206" s="9">
        <v>0</v>
      </c>
      <c r="AY206" s="9">
        <v>0</v>
      </c>
      <c r="AZ206" s="9">
        <v>0</v>
      </c>
      <c r="BA206" s="9">
        <v>0</v>
      </c>
      <c r="BB206" s="9">
        <v>0</v>
      </c>
      <c r="BC206" s="9">
        <v>0</v>
      </c>
      <c r="BD206" s="9">
        <v>0</v>
      </c>
      <c r="BE206" s="9">
        <v>0</v>
      </c>
      <c r="BF206" s="9">
        <v>0</v>
      </c>
      <c r="BG206" s="9">
        <v>0</v>
      </c>
      <c r="BH206" s="9">
        <v>0</v>
      </c>
      <c r="BI206" s="9">
        <v>0</v>
      </c>
      <c r="BJ206" s="9">
        <v>0</v>
      </c>
      <c r="BK206" s="9">
        <v>0</v>
      </c>
      <c r="BL206" s="9">
        <v>0</v>
      </c>
      <c r="BM206" s="9">
        <v>0</v>
      </c>
      <c r="BN206" s="9">
        <v>0</v>
      </c>
      <c r="BO206" s="9">
        <v>0</v>
      </c>
      <c r="BP206" s="10">
        <v>0</v>
      </c>
      <c r="BQ206">
        <v>0</v>
      </c>
      <c r="BR206">
        <v>0</v>
      </c>
    </row>
    <row r="207" spans="1:70" x14ac:dyDescent="0.35">
      <c r="A207" s="8" t="s">
        <v>174</v>
      </c>
      <c r="B207" s="9" t="s">
        <v>205</v>
      </c>
      <c r="C207" s="10" t="s">
        <v>884</v>
      </c>
      <c r="D207" s="34">
        <f t="shared" si="5"/>
        <v>46</v>
      </c>
      <c r="E207" s="9">
        <v>4</v>
      </c>
      <c r="F207" s="9">
        <v>6</v>
      </c>
      <c r="G207" s="9">
        <v>6</v>
      </c>
      <c r="H207" s="9">
        <v>3</v>
      </c>
      <c r="I207" s="9">
        <v>2</v>
      </c>
      <c r="J207" s="9">
        <v>2</v>
      </c>
      <c r="K207" s="9">
        <v>3</v>
      </c>
      <c r="L207" s="9">
        <v>2</v>
      </c>
      <c r="M207" s="9">
        <v>2</v>
      </c>
      <c r="N207" s="9">
        <v>2</v>
      </c>
      <c r="O207" s="9">
        <v>5</v>
      </c>
      <c r="P207" s="9">
        <v>5</v>
      </c>
      <c r="Q207" s="9">
        <v>4</v>
      </c>
      <c r="R207" s="9">
        <v>4</v>
      </c>
      <c r="S207" s="9">
        <v>4</v>
      </c>
      <c r="T207" s="9">
        <v>5</v>
      </c>
      <c r="U207" s="9">
        <v>6</v>
      </c>
      <c r="V207" s="9">
        <v>4</v>
      </c>
      <c r="W207" s="9">
        <v>5</v>
      </c>
      <c r="X207" s="9">
        <v>10</v>
      </c>
      <c r="Y207" s="9">
        <v>11</v>
      </c>
      <c r="Z207" s="9">
        <v>11</v>
      </c>
      <c r="AA207" s="9">
        <v>13</v>
      </c>
      <c r="AB207" s="9">
        <v>13</v>
      </c>
      <c r="AC207" s="9">
        <v>16</v>
      </c>
      <c r="AD207" s="9">
        <v>16</v>
      </c>
      <c r="AE207" s="9">
        <v>15</v>
      </c>
      <c r="AF207" s="9">
        <v>16</v>
      </c>
      <c r="AG207" s="9">
        <v>15</v>
      </c>
      <c r="AH207" s="9">
        <v>15</v>
      </c>
      <c r="AI207" s="9">
        <v>19</v>
      </c>
      <c r="AJ207" s="9">
        <v>21</v>
      </c>
      <c r="AK207" s="9">
        <v>21</v>
      </c>
      <c r="AL207" s="9">
        <v>23</v>
      </c>
      <c r="AM207" s="9">
        <v>25</v>
      </c>
      <c r="AN207" s="9">
        <v>25</v>
      </c>
      <c r="AO207" s="9">
        <v>22</v>
      </c>
      <c r="AP207" s="9">
        <v>23</v>
      </c>
      <c r="AQ207" s="9">
        <v>26</v>
      </c>
      <c r="AR207" s="9">
        <v>28</v>
      </c>
      <c r="AS207" s="9">
        <v>26</v>
      </c>
      <c r="AT207" s="9">
        <v>25</v>
      </c>
      <c r="AU207" s="9">
        <v>19</v>
      </c>
      <c r="AV207" s="9">
        <v>26</v>
      </c>
      <c r="AW207" s="9">
        <v>28</v>
      </c>
      <c r="AX207" s="9">
        <v>27</v>
      </c>
      <c r="AY207" s="9">
        <v>28</v>
      </c>
      <c r="AZ207" s="9">
        <v>31</v>
      </c>
      <c r="BA207" s="9">
        <v>37</v>
      </c>
      <c r="BB207" s="9">
        <v>35</v>
      </c>
      <c r="BC207" s="9">
        <v>34</v>
      </c>
      <c r="BD207" s="9">
        <v>35</v>
      </c>
      <c r="BE207" s="9">
        <v>35</v>
      </c>
      <c r="BF207" s="9">
        <v>39</v>
      </c>
      <c r="BG207" s="9">
        <v>37</v>
      </c>
      <c r="BH207" s="9">
        <v>40</v>
      </c>
      <c r="BI207" s="9">
        <v>42</v>
      </c>
      <c r="BJ207" s="9">
        <v>37</v>
      </c>
      <c r="BK207" s="9">
        <v>38</v>
      </c>
      <c r="BL207" s="9">
        <v>46</v>
      </c>
      <c r="BM207" s="9">
        <v>43</v>
      </c>
      <c r="BN207" s="9">
        <v>39</v>
      </c>
      <c r="BO207" s="9">
        <v>46</v>
      </c>
      <c r="BP207" s="10">
        <v>43</v>
      </c>
      <c r="BQ207">
        <v>41</v>
      </c>
      <c r="BR207">
        <v>40</v>
      </c>
    </row>
    <row r="208" spans="1:70" x14ac:dyDescent="0.35">
      <c r="A208" s="8" t="s">
        <v>174</v>
      </c>
      <c r="B208" s="9" t="s">
        <v>207</v>
      </c>
      <c r="C208" s="10" t="s">
        <v>885</v>
      </c>
      <c r="D208" s="34">
        <f t="shared" si="5"/>
        <v>26</v>
      </c>
      <c r="E208" s="9">
        <v>0</v>
      </c>
      <c r="F208" s="9">
        <v>0</v>
      </c>
      <c r="G208" s="9">
        <v>0</v>
      </c>
      <c r="H208" s="9">
        <v>0</v>
      </c>
      <c r="I208" s="9">
        <v>0</v>
      </c>
      <c r="J208" s="9">
        <v>0</v>
      </c>
      <c r="K208" s="9">
        <v>0</v>
      </c>
      <c r="L208" s="9">
        <v>0</v>
      </c>
      <c r="M208" s="9">
        <v>0</v>
      </c>
      <c r="N208" s="9">
        <v>0</v>
      </c>
      <c r="O208" s="9">
        <v>0</v>
      </c>
      <c r="P208" s="9">
        <v>0</v>
      </c>
      <c r="Q208" s="9">
        <v>0</v>
      </c>
      <c r="R208" s="9">
        <v>0</v>
      </c>
      <c r="S208" s="9">
        <v>0</v>
      </c>
      <c r="T208" s="9">
        <v>0</v>
      </c>
      <c r="U208" s="9">
        <v>0</v>
      </c>
      <c r="V208" s="9">
        <v>0</v>
      </c>
      <c r="W208" s="9">
        <v>0</v>
      </c>
      <c r="X208" s="9">
        <v>0</v>
      </c>
      <c r="Y208" s="9">
        <v>1</v>
      </c>
      <c r="Z208" s="9">
        <v>2</v>
      </c>
      <c r="AA208" s="9">
        <v>2</v>
      </c>
      <c r="AB208" s="9">
        <v>1</v>
      </c>
      <c r="AC208" s="9">
        <v>3</v>
      </c>
      <c r="AD208" s="9">
        <v>3</v>
      </c>
      <c r="AE208" s="9">
        <v>3</v>
      </c>
      <c r="AF208" s="9">
        <v>3</v>
      </c>
      <c r="AG208" s="9">
        <v>2</v>
      </c>
      <c r="AH208" s="9">
        <v>2</v>
      </c>
      <c r="AI208" s="9">
        <v>2</v>
      </c>
      <c r="AJ208" s="9">
        <v>3</v>
      </c>
      <c r="AK208" s="9">
        <v>3</v>
      </c>
      <c r="AL208" s="9">
        <v>5</v>
      </c>
      <c r="AM208" s="9">
        <v>6</v>
      </c>
      <c r="AN208" s="9">
        <v>5</v>
      </c>
      <c r="AO208" s="9">
        <v>7</v>
      </c>
      <c r="AP208" s="9">
        <v>8</v>
      </c>
      <c r="AQ208" s="9">
        <v>7</v>
      </c>
      <c r="AR208" s="9">
        <v>6</v>
      </c>
      <c r="AS208" s="9">
        <v>5</v>
      </c>
      <c r="AT208" s="9">
        <v>5</v>
      </c>
      <c r="AU208" s="9">
        <v>5</v>
      </c>
      <c r="AV208" s="9">
        <v>5</v>
      </c>
      <c r="AW208" s="9">
        <v>7</v>
      </c>
      <c r="AX208" s="9">
        <v>11</v>
      </c>
      <c r="AY208" s="9">
        <v>16</v>
      </c>
      <c r="AZ208" s="9">
        <v>15</v>
      </c>
      <c r="BA208" s="9">
        <v>15</v>
      </c>
      <c r="BB208" s="9">
        <v>19</v>
      </c>
      <c r="BC208" s="9">
        <v>23</v>
      </c>
      <c r="BD208" s="9">
        <v>22</v>
      </c>
      <c r="BE208" s="9">
        <v>23</v>
      </c>
      <c r="BF208" s="9">
        <v>25</v>
      </c>
      <c r="BG208" s="9">
        <v>25</v>
      </c>
      <c r="BH208" s="9">
        <v>25</v>
      </c>
      <c r="BI208" s="9">
        <v>23</v>
      </c>
      <c r="BJ208" s="9">
        <v>22</v>
      </c>
      <c r="BK208" s="9">
        <v>21</v>
      </c>
      <c r="BL208" s="9">
        <v>21</v>
      </c>
      <c r="BM208" s="9">
        <v>22</v>
      </c>
      <c r="BN208" s="9">
        <v>26</v>
      </c>
      <c r="BO208" s="9">
        <v>26</v>
      </c>
      <c r="BP208" s="10">
        <v>26</v>
      </c>
      <c r="BQ208">
        <v>26</v>
      </c>
      <c r="BR208">
        <v>23</v>
      </c>
    </row>
    <row r="209" spans="1:70" x14ac:dyDescent="0.35">
      <c r="A209" s="8" t="s">
        <v>174</v>
      </c>
      <c r="B209" s="9" t="s">
        <v>209</v>
      </c>
      <c r="C209" s="10" t="s">
        <v>886</v>
      </c>
      <c r="D209" s="34">
        <f t="shared" si="5"/>
        <v>16</v>
      </c>
      <c r="E209" s="9">
        <v>1</v>
      </c>
      <c r="F209" s="9">
        <v>0</v>
      </c>
      <c r="G209" s="9">
        <v>0</v>
      </c>
      <c r="H209" s="9">
        <v>1</v>
      </c>
      <c r="I209" s="9">
        <v>1</v>
      </c>
      <c r="J209" s="9">
        <v>1</v>
      </c>
      <c r="K209" s="9">
        <v>1</v>
      </c>
      <c r="L209" s="9">
        <v>3</v>
      </c>
      <c r="M209" s="9">
        <v>2</v>
      </c>
      <c r="N209" s="9">
        <v>3</v>
      </c>
      <c r="O209" s="9">
        <v>2</v>
      </c>
      <c r="P209" s="9">
        <v>4</v>
      </c>
      <c r="Q209" s="9">
        <v>4</v>
      </c>
      <c r="R209" s="9">
        <v>3</v>
      </c>
      <c r="S209" s="9">
        <v>3</v>
      </c>
      <c r="T209" s="9">
        <v>2</v>
      </c>
      <c r="U209" s="9">
        <v>2</v>
      </c>
      <c r="V209" s="9">
        <v>0</v>
      </c>
      <c r="W209" s="9">
        <v>1</v>
      </c>
      <c r="X209" s="9">
        <v>1</v>
      </c>
      <c r="Y209" s="9">
        <v>1</v>
      </c>
      <c r="Z209" s="9">
        <v>1</v>
      </c>
      <c r="AA209" s="9">
        <v>2</v>
      </c>
      <c r="AB209" s="9">
        <v>2</v>
      </c>
      <c r="AC209" s="9">
        <v>1</v>
      </c>
      <c r="AD209" s="9">
        <v>1</v>
      </c>
      <c r="AE209" s="9">
        <v>1</v>
      </c>
      <c r="AF209" s="9">
        <v>2</v>
      </c>
      <c r="AG209" s="9">
        <v>2</v>
      </c>
      <c r="AH209" s="9">
        <v>3</v>
      </c>
      <c r="AI209" s="9">
        <v>3</v>
      </c>
      <c r="AJ209" s="9">
        <v>2</v>
      </c>
      <c r="AK209" s="9">
        <v>3</v>
      </c>
      <c r="AL209" s="9">
        <v>3</v>
      </c>
      <c r="AM209" s="9">
        <v>2</v>
      </c>
      <c r="AN209" s="9">
        <v>2</v>
      </c>
      <c r="AO209" s="9">
        <v>2</v>
      </c>
      <c r="AP209" s="9">
        <v>2</v>
      </c>
      <c r="AQ209" s="9">
        <v>3</v>
      </c>
      <c r="AR209" s="9">
        <v>3</v>
      </c>
      <c r="AS209" s="9">
        <v>5</v>
      </c>
      <c r="AT209" s="9">
        <v>4</v>
      </c>
      <c r="AU209" s="9">
        <v>5</v>
      </c>
      <c r="AV209" s="9">
        <v>4</v>
      </c>
      <c r="AW209" s="9">
        <v>4</v>
      </c>
      <c r="AX209" s="9">
        <v>2</v>
      </c>
      <c r="AY209" s="9">
        <v>6</v>
      </c>
      <c r="AZ209" s="9">
        <v>7</v>
      </c>
      <c r="BA209" s="9">
        <v>6</v>
      </c>
      <c r="BB209" s="9">
        <v>7</v>
      </c>
      <c r="BC209" s="9">
        <v>6</v>
      </c>
      <c r="BD209" s="9">
        <v>5</v>
      </c>
      <c r="BE209" s="9">
        <v>7</v>
      </c>
      <c r="BF209" s="9">
        <v>7</v>
      </c>
      <c r="BG209" s="9">
        <v>9</v>
      </c>
      <c r="BH209" s="9">
        <v>9</v>
      </c>
      <c r="BI209" s="9">
        <v>8</v>
      </c>
      <c r="BJ209" s="9">
        <v>11</v>
      </c>
      <c r="BK209" s="9">
        <v>12</v>
      </c>
      <c r="BL209" s="9">
        <v>11</v>
      </c>
      <c r="BM209" s="9">
        <v>12</v>
      </c>
      <c r="BN209" s="9">
        <v>16</v>
      </c>
      <c r="BO209" s="9">
        <v>15</v>
      </c>
      <c r="BP209" s="10">
        <v>15</v>
      </c>
      <c r="BQ209">
        <v>13</v>
      </c>
      <c r="BR209">
        <v>16</v>
      </c>
    </row>
    <row r="210" spans="1:70" x14ac:dyDescent="0.35">
      <c r="A210" s="8" t="s">
        <v>174</v>
      </c>
      <c r="B210" s="9" t="s">
        <v>211</v>
      </c>
      <c r="C210" s="10" t="s">
        <v>887</v>
      </c>
      <c r="D210" s="34">
        <f t="shared" si="5"/>
        <v>31</v>
      </c>
      <c r="E210" s="9">
        <v>0</v>
      </c>
      <c r="F210" s="9">
        <v>0</v>
      </c>
      <c r="G210" s="9">
        <v>0</v>
      </c>
      <c r="H210" s="9">
        <v>0</v>
      </c>
      <c r="I210" s="9">
        <v>0</v>
      </c>
      <c r="J210" s="9">
        <v>0</v>
      </c>
      <c r="K210" s="9">
        <v>0</v>
      </c>
      <c r="L210" s="9">
        <v>0</v>
      </c>
      <c r="M210" s="9">
        <v>0</v>
      </c>
      <c r="N210" s="9">
        <v>0</v>
      </c>
      <c r="O210" s="9">
        <v>0</v>
      </c>
      <c r="P210" s="9">
        <v>0</v>
      </c>
      <c r="Q210" s="9">
        <v>0</v>
      </c>
      <c r="R210" s="9">
        <v>0</v>
      </c>
      <c r="S210" s="9">
        <v>0</v>
      </c>
      <c r="T210" s="9">
        <v>0</v>
      </c>
      <c r="U210" s="9">
        <v>0</v>
      </c>
      <c r="V210" s="9">
        <v>0</v>
      </c>
      <c r="W210" s="9">
        <v>0</v>
      </c>
      <c r="X210" s="9">
        <v>0</v>
      </c>
      <c r="Y210" s="9">
        <v>0</v>
      </c>
      <c r="Z210" s="9">
        <v>0</v>
      </c>
      <c r="AA210" s="9">
        <v>0</v>
      </c>
      <c r="AB210" s="9">
        <v>0</v>
      </c>
      <c r="AC210" s="9">
        <v>0</v>
      </c>
      <c r="AD210" s="9">
        <v>1</v>
      </c>
      <c r="AE210" s="9">
        <v>1</v>
      </c>
      <c r="AF210" s="9">
        <v>1</v>
      </c>
      <c r="AG210" s="9">
        <v>1</v>
      </c>
      <c r="AH210" s="9">
        <v>1</v>
      </c>
      <c r="AI210" s="9">
        <v>1</v>
      </c>
      <c r="AJ210" s="9">
        <v>1</v>
      </c>
      <c r="AK210" s="9">
        <v>1</v>
      </c>
      <c r="AL210" s="9">
        <v>1</v>
      </c>
      <c r="AM210" s="9">
        <v>1</v>
      </c>
      <c r="AN210" s="9">
        <v>1</v>
      </c>
      <c r="AO210" s="9">
        <v>0</v>
      </c>
      <c r="AP210" s="9">
        <v>0</v>
      </c>
      <c r="AQ210" s="9">
        <v>0</v>
      </c>
      <c r="AR210" s="9">
        <v>0</v>
      </c>
      <c r="AS210" s="9">
        <v>0</v>
      </c>
      <c r="AT210" s="9">
        <v>0</v>
      </c>
      <c r="AU210" s="9">
        <v>0</v>
      </c>
      <c r="AV210" s="9">
        <v>0</v>
      </c>
      <c r="AW210" s="9">
        <v>0</v>
      </c>
      <c r="AX210" s="9">
        <v>0</v>
      </c>
      <c r="AY210" s="9">
        <v>0</v>
      </c>
      <c r="AZ210" s="9">
        <v>0</v>
      </c>
      <c r="BA210" s="9">
        <v>1</v>
      </c>
      <c r="BB210" s="9">
        <v>1</v>
      </c>
      <c r="BC210" s="9">
        <v>1</v>
      </c>
      <c r="BD210" s="9">
        <v>1</v>
      </c>
      <c r="BE210" s="9">
        <v>1</v>
      </c>
      <c r="BF210" s="9">
        <v>1</v>
      </c>
      <c r="BG210" s="9">
        <v>1</v>
      </c>
      <c r="BH210" s="9">
        <v>8</v>
      </c>
      <c r="BI210" s="9">
        <v>9</v>
      </c>
      <c r="BJ210" s="9">
        <v>11</v>
      </c>
      <c r="BK210" s="9">
        <v>11</v>
      </c>
      <c r="BL210" s="9">
        <v>16</v>
      </c>
      <c r="BM210" s="9">
        <v>16</v>
      </c>
      <c r="BN210" s="9">
        <v>16</v>
      </c>
      <c r="BO210" s="9">
        <v>25</v>
      </c>
      <c r="BP210" s="10">
        <v>23</v>
      </c>
      <c r="BQ210">
        <v>23</v>
      </c>
      <c r="BR210">
        <v>31</v>
      </c>
    </row>
    <row r="211" spans="1:70" x14ac:dyDescent="0.35">
      <c r="A211" s="8" t="s">
        <v>174</v>
      </c>
      <c r="B211" s="9" t="s">
        <v>213</v>
      </c>
      <c r="C211" s="10" t="s">
        <v>888</v>
      </c>
      <c r="D211" s="34">
        <f t="shared" si="5"/>
        <v>77</v>
      </c>
      <c r="E211" s="9">
        <v>1</v>
      </c>
      <c r="F211" s="9">
        <v>1</v>
      </c>
      <c r="G211" s="9">
        <v>2</v>
      </c>
      <c r="H211" s="9">
        <v>2</v>
      </c>
      <c r="I211" s="9">
        <v>1</v>
      </c>
      <c r="J211" s="9">
        <v>1</v>
      </c>
      <c r="K211" s="9">
        <v>1</v>
      </c>
      <c r="L211" s="9">
        <v>2</v>
      </c>
      <c r="M211" s="9">
        <v>0</v>
      </c>
      <c r="N211" s="9">
        <v>0</v>
      </c>
      <c r="O211" s="9">
        <v>1</v>
      </c>
      <c r="P211" s="9">
        <v>2</v>
      </c>
      <c r="Q211" s="9">
        <v>2</v>
      </c>
      <c r="R211" s="9">
        <v>2</v>
      </c>
      <c r="S211" s="9">
        <v>10</v>
      </c>
      <c r="T211" s="9">
        <v>5</v>
      </c>
      <c r="U211" s="9">
        <v>4</v>
      </c>
      <c r="V211" s="9">
        <v>5</v>
      </c>
      <c r="W211" s="9">
        <v>3</v>
      </c>
      <c r="X211" s="9">
        <v>3</v>
      </c>
      <c r="Y211" s="9">
        <v>4</v>
      </c>
      <c r="Z211" s="9">
        <v>4</v>
      </c>
      <c r="AA211" s="9">
        <v>3</v>
      </c>
      <c r="AB211" s="9">
        <v>3</v>
      </c>
      <c r="AC211" s="9">
        <v>6</v>
      </c>
      <c r="AD211" s="9">
        <v>9</v>
      </c>
      <c r="AE211" s="9">
        <v>9</v>
      </c>
      <c r="AF211" s="9">
        <v>7</v>
      </c>
      <c r="AG211" s="9">
        <v>8</v>
      </c>
      <c r="AH211" s="9">
        <v>7</v>
      </c>
      <c r="AI211" s="9">
        <v>7</v>
      </c>
      <c r="AJ211" s="9">
        <v>7</v>
      </c>
      <c r="AK211" s="9">
        <v>6</v>
      </c>
      <c r="AL211" s="9">
        <v>7</v>
      </c>
      <c r="AM211" s="9">
        <v>8</v>
      </c>
      <c r="AN211" s="9">
        <v>11</v>
      </c>
      <c r="AO211" s="9">
        <v>10</v>
      </c>
      <c r="AP211" s="9">
        <v>11</v>
      </c>
      <c r="AQ211" s="9">
        <v>13</v>
      </c>
      <c r="AR211" s="9">
        <v>10</v>
      </c>
      <c r="AS211" s="9">
        <v>14</v>
      </c>
      <c r="AT211" s="9">
        <v>15</v>
      </c>
      <c r="AU211" s="9">
        <v>14</v>
      </c>
      <c r="AV211" s="9">
        <v>14</v>
      </c>
      <c r="AW211" s="9">
        <v>15</v>
      </c>
      <c r="AX211" s="9">
        <v>17</v>
      </c>
      <c r="AY211" s="9">
        <v>0</v>
      </c>
      <c r="AZ211" s="9">
        <v>30</v>
      </c>
      <c r="BA211" s="9">
        <v>28</v>
      </c>
      <c r="BB211" s="9">
        <v>34</v>
      </c>
      <c r="BC211" s="9">
        <v>39</v>
      </c>
      <c r="BD211" s="9">
        <v>43</v>
      </c>
      <c r="BE211" s="9">
        <v>44</v>
      </c>
      <c r="BF211" s="9">
        <v>53</v>
      </c>
      <c r="BG211" s="9">
        <v>49</v>
      </c>
      <c r="BH211" s="9">
        <v>60</v>
      </c>
      <c r="BI211" s="9">
        <v>58</v>
      </c>
      <c r="BJ211" s="9">
        <v>59</v>
      </c>
      <c r="BK211" s="9">
        <v>64</v>
      </c>
      <c r="BL211" s="9">
        <v>66</v>
      </c>
      <c r="BM211" s="9">
        <v>64</v>
      </c>
      <c r="BN211" s="9">
        <v>62</v>
      </c>
      <c r="BO211" s="9">
        <v>73</v>
      </c>
      <c r="BP211" s="10">
        <v>76</v>
      </c>
      <c r="BQ211">
        <v>77</v>
      </c>
      <c r="BR211">
        <v>73</v>
      </c>
    </row>
    <row r="212" spans="1:70" x14ac:dyDescent="0.35">
      <c r="A212" s="8" t="s">
        <v>174</v>
      </c>
      <c r="B212" s="9" t="s">
        <v>215</v>
      </c>
      <c r="C212" s="10" t="s">
        <v>889</v>
      </c>
      <c r="D212" s="34">
        <f t="shared" si="5"/>
        <v>43</v>
      </c>
      <c r="E212" s="9">
        <v>3</v>
      </c>
      <c r="F212" s="9">
        <v>4</v>
      </c>
      <c r="G212" s="9">
        <v>4</v>
      </c>
      <c r="H212" s="9">
        <v>5</v>
      </c>
      <c r="I212" s="9">
        <v>5</v>
      </c>
      <c r="J212" s="9">
        <v>4</v>
      </c>
      <c r="K212" s="9">
        <v>3</v>
      </c>
      <c r="L212" s="9">
        <v>3</v>
      </c>
      <c r="M212" s="9">
        <v>3</v>
      </c>
      <c r="N212" s="9">
        <v>2</v>
      </c>
      <c r="O212" s="9">
        <v>3</v>
      </c>
      <c r="P212" s="9">
        <v>3</v>
      </c>
      <c r="Q212" s="9">
        <v>3</v>
      </c>
      <c r="R212" s="9">
        <v>5</v>
      </c>
      <c r="S212" s="9">
        <v>7</v>
      </c>
      <c r="T212" s="9">
        <v>6</v>
      </c>
      <c r="U212" s="9">
        <v>6</v>
      </c>
      <c r="V212" s="9">
        <v>5</v>
      </c>
      <c r="W212" s="9">
        <v>7</v>
      </c>
      <c r="X212" s="9">
        <v>7</v>
      </c>
      <c r="Y212" s="9">
        <v>9</v>
      </c>
      <c r="Z212" s="9">
        <v>7</v>
      </c>
      <c r="AA212" s="9">
        <v>7</v>
      </c>
      <c r="AB212" s="9">
        <v>8</v>
      </c>
      <c r="AC212" s="9">
        <v>8</v>
      </c>
      <c r="AD212" s="9">
        <v>9</v>
      </c>
      <c r="AE212" s="9">
        <v>8</v>
      </c>
      <c r="AF212" s="9">
        <v>7</v>
      </c>
      <c r="AG212" s="9">
        <v>5</v>
      </c>
      <c r="AH212" s="9">
        <v>4</v>
      </c>
      <c r="AI212" s="9">
        <v>5</v>
      </c>
      <c r="AJ212" s="9">
        <v>5</v>
      </c>
      <c r="AK212" s="9">
        <v>7</v>
      </c>
      <c r="AL212" s="9">
        <v>9</v>
      </c>
      <c r="AM212" s="9">
        <v>6</v>
      </c>
      <c r="AN212" s="9">
        <v>8</v>
      </c>
      <c r="AO212" s="9">
        <v>7</v>
      </c>
      <c r="AP212" s="9">
        <v>6</v>
      </c>
      <c r="AQ212" s="9">
        <v>7</v>
      </c>
      <c r="AR212" s="9">
        <v>1</v>
      </c>
      <c r="AS212" s="9">
        <v>7</v>
      </c>
      <c r="AT212" s="9">
        <v>8</v>
      </c>
      <c r="AU212" s="9">
        <v>10</v>
      </c>
      <c r="AV212" s="9">
        <v>7</v>
      </c>
      <c r="AW212" s="9">
        <v>8</v>
      </c>
      <c r="AX212" s="9">
        <v>11</v>
      </c>
      <c r="AY212" s="9">
        <v>11</v>
      </c>
      <c r="AZ212" s="9">
        <v>13</v>
      </c>
      <c r="BA212" s="9">
        <v>13</v>
      </c>
      <c r="BB212" s="9">
        <v>18</v>
      </c>
      <c r="BC212" s="9">
        <v>21</v>
      </c>
      <c r="BD212" s="9">
        <v>19</v>
      </c>
      <c r="BE212" s="9">
        <v>18</v>
      </c>
      <c r="BF212" s="9">
        <v>22</v>
      </c>
      <c r="BG212" s="9">
        <v>26</v>
      </c>
      <c r="BH212" s="9">
        <v>29</v>
      </c>
      <c r="BI212" s="9">
        <v>31</v>
      </c>
      <c r="BJ212" s="9">
        <v>37</v>
      </c>
      <c r="BK212" s="9">
        <v>42</v>
      </c>
      <c r="BL212" s="9">
        <v>43</v>
      </c>
      <c r="BM212" s="9">
        <v>36</v>
      </c>
      <c r="BN212" s="9">
        <v>35</v>
      </c>
      <c r="BO212" s="9">
        <v>39</v>
      </c>
      <c r="BP212" s="10">
        <v>39</v>
      </c>
      <c r="BQ212">
        <v>39</v>
      </c>
      <c r="BR212">
        <v>34</v>
      </c>
    </row>
    <row r="213" spans="1:70" x14ac:dyDescent="0.35">
      <c r="A213" s="8" t="s">
        <v>174</v>
      </c>
      <c r="B213" s="9" t="s">
        <v>217</v>
      </c>
      <c r="C213" s="10" t="s">
        <v>890</v>
      </c>
      <c r="D213" s="34">
        <f t="shared" si="5"/>
        <v>54</v>
      </c>
      <c r="E213" s="9">
        <v>1</v>
      </c>
      <c r="F213" s="9">
        <v>1</v>
      </c>
      <c r="G213" s="9">
        <v>3</v>
      </c>
      <c r="H213" s="9">
        <v>1</v>
      </c>
      <c r="I213" s="9">
        <v>1</v>
      </c>
      <c r="J213" s="9">
        <v>1</v>
      </c>
      <c r="K213" s="9">
        <v>2</v>
      </c>
      <c r="L213" s="9">
        <v>4</v>
      </c>
      <c r="M213" s="9">
        <v>1</v>
      </c>
      <c r="N213" s="9">
        <v>2</v>
      </c>
      <c r="O213" s="9">
        <v>3</v>
      </c>
      <c r="P213" s="9">
        <v>5</v>
      </c>
      <c r="Q213" s="9">
        <v>5</v>
      </c>
      <c r="R213" s="9">
        <v>3</v>
      </c>
      <c r="S213" s="9">
        <v>3</v>
      </c>
      <c r="T213" s="9">
        <v>4</v>
      </c>
      <c r="U213" s="9">
        <v>3</v>
      </c>
      <c r="V213" s="9">
        <v>3</v>
      </c>
      <c r="W213" s="9">
        <v>2</v>
      </c>
      <c r="X213" s="9">
        <v>2</v>
      </c>
      <c r="Y213" s="9">
        <v>2</v>
      </c>
      <c r="Z213" s="9">
        <v>2</v>
      </c>
      <c r="AA213" s="9">
        <v>2</v>
      </c>
      <c r="AB213" s="9">
        <v>2</v>
      </c>
      <c r="AC213" s="9">
        <v>1</v>
      </c>
      <c r="AD213" s="9">
        <v>3</v>
      </c>
      <c r="AE213" s="9">
        <v>6</v>
      </c>
      <c r="AF213" s="9">
        <v>6</v>
      </c>
      <c r="AG213" s="9">
        <v>7</v>
      </c>
      <c r="AH213" s="9">
        <v>6</v>
      </c>
      <c r="AI213" s="9">
        <v>6</v>
      </c>
      <c r="AJ213" s="9">
        <v>6</v>
      </c>
      <c r="AK213" s="9">
        <v>6</v>
      </c>
      <c r="AL213" s="9">
        <v>4</v>
      </c>
      <c r="AM213" s="9">
        <v>6</v>
      </c>
      <c r="AN213" s="9">
        <v>6</v>
      </c>
      <c r="AO213" s="9">
        <v>7</v>
      </c>
      <c r="AP213" s="9">
        <v>7</v>
      </c>
      <c r="AQ213" s="9">
        <v>8</v>
      </c>
      <c r="AR213" s="9">
        <v>8</v>
      </c>
      <c r="AS213" s="9">
        <v>8</v>
      </c>
      <c r="AT213" s="9">
        <v>12</v>
      </c>
      <c r="AU213" s="9">
        <v>8</v>
      </c>
      <c r="AV213" s="9">
        <v>9</v>
      </c>
      <c r="AW213" s="9">
        <v>13</v>
      </c>
      <c r="AX213" s="9">
        <v>13</v>
      </c>
      <c r="AY213" s="9">
        <v>15</v>
      </c>
      <c r="AZ213" s="9">
        <v>14</v>
      </c>
      <c r="BA213" s="9">
        <v>12</v>
      </c>
      <c r="BB213" s="9">
        <v>16</v>
      </c>
      <c r="BC213" s="9">
        <v>17</v>
      </c>
      <c r="BD213" s="9">
        <v>23</v>
      </c>
      <c r="BE213" s="9">
        <v>22</v>
      </c>
      <c r="BF213" s="9">
        <v>28</v>
      </c>
      <c r="BG213" s="9">
        <v>28</v>
      </c>
      <c r="BH213" s="9">
        <v>29</v>
      </c>
      <c r="BI213" s="9">
        <v>29</v>
      </c>
      <c r="BJ213" s="9">
        <v>29</v>
      </c>
      <c r="BK213" s="9">
        <v>27</v>
      </c>
      <c r="BL213" s="9">
        <v>33</v>
      </c>
      <c r="BM213" s="9">
        <v>39</v>
      </c>
      <c r="BN213" s="9">
        <v>54</v>
      </c>
      <c r="BO213" s="9">
        <v>47</v>
      </c>
      <c r="BP213" s="10">
        <v>51</v>
      </c>
      <c r="BQ213">
        <v>49</v>
      </c>
      <c r="BR213">
        <v>48</v>
      </c>
    </row>
    <row r="214" spans="1:70" x14ac:dyDescent="0.35">
      <c r="A214" s="8" t="s">
        <v>174</v>
      </c>
      <c r="B214" s="9" t="s">
        <v>219</v>
      </c>
      <c r="C214" s="10" t="s">
        <v>891</v>
      </c>
      <c r="D214" s="34">
        <f t="shared" si="5"/>
        <v>1</v>
      </c>
      <c r="E214" s="9">
        <v>0</v>
      </c>
      <c r="F214" s="9">
        <v>0</v>
      </c>
      <c r="G214" s="9">
        <v>0</v>
      </c>
      <c r="H214" s="9">
        <v>0</v>
      </c>
      <c r="I214" s="9">
        <v>0</v>
      </c>
      <c r="J214" s="9">
        <v>0</v>
      </c>
      <c r="K214" s="9">
        <v>0</v>
      </c>
      <c r="L214" s="9">
        <v>0</v>
      </c>
      <c r="M214" s="9">
        <v>0</v>
      </c>
      <c r="N214" s="9">
        <v>0</v>
      </c>
      <c r="O214" s="9">
        <v>0</v>
      </c>
      <c r="P214" s="9">
        <v>0</v>
      </c>
      <c r="Q214" s="9">
        <v>0</v>
      </c>
      <c r="R214" s="9">
        <v>0</v>
      </c>
      <c r="S214" s="9">
        <v>0</v>
      </c>
      <c r="T214" s="9">
        <v>0</v>
      </c>
      <c r="U214" s="9">
        <v>0</v>
      </c>
      <c r="V214" s="9">
        <v>0</v>
      </c>
      <c r="W214" s="9">
        <v>0</v>
      </c>
      <c r="X214" s="9">
        <v>0</v>
      </c>
      <c r="Y214" s="9">
        <v>0</v>
      </c>
      <c r="Z214" s="9">
        <v>0</v>
      </c>
      <c r="AA214" s="9">
        <v>0</v>
      </c>
      <c r="AB214" s="9">
        <v>0</v>
      </c>
      <c r="AC214" s="9">
        <v>0</v>
      </c>
      <c r="AD214" s="9">
        <v>0</v>
      </c>
      <c r="AE214" s="9">
        <v>0</v>
      </c>
      <c r="AF214" s="9">
        <v>0</v>
      </c>
      <c r="AG214" s="9">
        <v>0</v>
      </c>
      <c r="AH214" s="9">
        <v>0</v>
      </c>
      <c r="AI214" s="9">
        <v>0</v>
      </c>
      <c r="AJ214" s="9">
        <v>0</v>
      </c>
      <c r="AK214" s="9">
        <v>0</v>
      </c>
      <c r="AL214" s="9">
        <v>0</v>
      </c>
      <c r="AM214" s="9">
        <v>0</v>
      </c>
      <c r="AN214" s="9">
        <v>0</v>
      </c>
      <c r="AO214" s="9">
        <v>0</v>
      </c>
      <c r="AP214" s="9">
        <v>0</v>
      </c>
      <c r="AQ214" s="9">
        <v>0</v>
      </c>
      <c r="AR214" s="9">
        <v>0</v>
      </c>
      <c r="AS214" s="9">
        <v>0</v>
      </c>
      <c r="AT214" s="9">
        <v>0</v>
      </c>
      <c r="AU214" s="9">
        <v>0</v>
      </c>
      <c r="AV214" s="9">
        <v>0</v>
      </c>
      <c r="AW214" s="9">
        <v>0</v>
      </c>
      <c r="AX214" s="9">
        <v>0</v>
      </c>
      <c r="AY214" s="9">
        <v>0</v>
      </c>
      <c r="AZ214" s="9">
        <v>0</v>
      </c>
      <c r="BA214" s="9">
        <v>0</v>
      </c>
      <c r="BB214" s="9">
        <v>0</v>
      </c>
      <c r="BC214" s="9">
        <v>0</v>
      </c>
      <c r="BD214" s="9">
        <v>0</v>
      </c>
      <c r="BE214" s="9">
        <v>0</v>
      </c>
      <c r="BF214" s="9">
        <v>0</v>
      </c>
      <c r="BG214" s="9">
        <v>0</v>
      </c>
      <c r="BH214" s="9">
        <v>0</v>
      </c>
      <c r="BI214" s="9">
        <v>0</v>
      </c>
      <c r="BJ214" s="9">
        <v>0</v>
      </c>
      <c r="BK214" s="9">
        <v>0</v>
      </c>
      <c r="BL214" s="9">
        <v>0</v>
      </c>
      <c r="BM214" s="9">
        <v>1</v>
      </c>
      <c r="BN214" s="9">
        <v>0</v>
      </c>
      <c r="BO214" s="9">
        <v>1</v>
      </c>
      <c r="BP214" s="10">
        <v>1</v>
      </c>
      <c r="BQ214">
        <v>1</v>
      </c>
      <c r="BR214">
        <v>1</v>
      </c>
    </row>
    <row r="215" spans="1:70" x14ac:dyDescent="0.35">
      <c r="A215" s="8" t="s">
        <v>174</v>
      </c>
      <c r="B215" s="9" t="s">
        <v>221</v>
      </c>
      <c r="C215" s="10" t="s">
        <v>892</v>
      </c>
      <c r="D215" s="34">
        <f t="shared" si="5"/>
        <v>0</v>
      </c>
      <c r="E215" s="9">
        <v>0</v>
      </c>
      <c r="F215" s="9">
        <v>0</v>
      </c>
      <c r="G215" s="9">
        <v>0</v>
      </c>
      <c r="H215" s="9">
        <v>0</v>
      </c>
      <c r="I215" s="9">
        <v>0</v>
      </c>
      <c r="J215" s="9">
        <v>0</v>
      </c>
      <c r="K215" s="9">
        <v>0</v>
      </c>
      <c r="L215" s="9">
        <v>0</v>
      </c>
      <c r="M215" s="9">
        <v>0</v>
      </c>
      <c r="N215" s="9">
        <v>0</v>
      </c>
      <c r="O215" s="9">
        <v>0</v>
      </c>
      <c r="P215" s="9">
        <v>0</v>
      </c>
      <c r="Q215" s="9">
        <v>0</v>
      </c>
      <c r="R215" s="9">
        <v>0</v>
      </c>
      <c r="S215" s="9">
        <v>0</v>
      </c>
      <c r="T215" s="9">
        <v>0</v>
      </c>
      <c r="U215" s="9">
        <v>0</v>
      </c>
      <c r="V215" s="9">
        <v>0</v>
      </c>
      <c r="W215" s="9">
        <v>0</v>
      </c>
      <c r="X215" s="9">
        <v>0</v>
      </c>
      <c r="Y215" s="9">
        <v>0</v>
      </c>
      <c r="Z215" s="9">
        <v>0</v>
      </c>
      <c r="AA215" s="9">
        <v>0</v>
      </c>
      <c r="AB215" s="9">
        <v>0</v>
      </c>
      <c r="AC215" s="9">
        <v>0</v>
      </c>
      <c r="AD215" s="9">
        <v>0</v>
      </c>
      <c r="AE215" s="9">
        <v>0</v>
      </c>
      <c r="AF215" s="9">
        <v>0</v>
      </c>
      <c r="AG215" s="9">
        <v>0</v>
      </c>
      <c r="AH215" s="9">
        <v>0</v>
      </c>
      <c r="AI215" s="9">
        <v>0</v>
      </c>
      <c r="AJ215" s="9">
        <v>0</v>
      </c>
      <c r="AK215" s="9">
        <v>0</v>
      </c>
      <c r="AL215" s="9">
        <v>0</v>
      </c>
      <c r="AM215" s="9">
        <v>0</v>
      </c>
      <c r="AN215" s="9">
        <v>0</v>
      </c>
      <c r="AO215" s="9">
        <v>0</v>
      </c>
      <c r="AP215" s="9">
        <v>0</v>
      </c>
      <c r="AQ215" s="9">
        <v>0</v>
      </c>
      <c r="AR215" s="9">
        <v>0</v>
      </c>
      <c r="AS215" s="9">
        <v>0</v>
      </c>
      <c r="AT215" s="9">
        <v>0</v>
      </c>
      <c r="AU215" s="9">
        <v>0</v>
      </c>
      <c r="AV215" s="9">
        <v>0</v>
      </c>
      <c r="AW215" s="9">
        <v>0</v>
      </c>
      <c r="AX215" s="9">
        <v>0</v>
      </c>
      <c r="AY215" s="9">
        <v>0</v>
      </c>
      <c r="AZ215" s="9">
        <v>0</v>
      </c>
      <c r="BA215" s="9">
        <v>0</v>
      </c>
      <c r="BB215" s="9">
        <v>0</v>
      </c>
      <c r="BC215" s="9">
        <v>0</v>
      </c>
      <c r="BD215" s="9">
        <v>0</v>
      </c>
      <c r="BE215" s="9">
        <v>0</v>
      </c>
      <c r="BF215" s="9">
        <v>0</v>
      </c>
      <c r="BG215" s="9">
        <v>0</v>
      </c>
      <c r="BH215" s="9">
        <v>0</v>
      </c>
      <c r="BI215" s="9">
        <v>0</v>
      </c>
      <c r="BJ215" s="9">
        <v>0</v>
      </c>
      <c r="BK215" s="9">
        <v>0</v>
      </c>
      <c r="BL215" s="9">
        <v>0</v>
      </c>
      <c r="BM215" s="9">
        <v>0</v>
      </c>
      <c r="BN215" s="9">
        <v>0</v>
      </c>
      <c r="BO215" s="9">
        <v>0</v>
      </c>
      <c r="BP215" s="10">
        <v>0</v>
      </c>
      <c r="BQ215">
        <v>0</v>
      </c>
      <c r="BR215">
        <v>0</v>
      </c>
    </row>
    <row r="216" spans="1:70" x14ac:dyDescent="0.35">
      <c r="A216" s="8" t="s">
        <v>174</v>
      </c>
      <c r="B216" s="9" t="s">
        <v>223</v>
      </c>
      <c r="C216" s="10" t="s">
        <v>893</v>
      </c>
      <c r="D216" s="34">
        <f t="shared" si="5"/>
        <v>2</v>
      </c>
      <c r="E216" s="9">
        <v>2</v>
      </c>
      <c r="F216" s="9">
        <v>0</v>
      </c>
      <c r="G216" s="9">
        <v>0</v>
      </c>
      <c r="H216" s="9">
        <v>0</v>
      </c>
      <c r="I216" s="9">
        <v>0</v>
      </c>
      <c r="J216" s="9">
        <v>0</v>
      </c>
      <c r="K216" s="9">
        <v>0</v>
      </c>
      <c r="L216" s="9">
        <v>0</v>
      </c>
      <c r="M216" s="9">
        <v>2</v>
      </c>
      <c r="N216" s="9">
        <v>1</v>
      </c>
      <c r="O216" s="9">
        <v>1</v>
      </c>
      <c r="P216" s="9">
        <v>0</v>
      </c>
      <c r="Q216" s="9">
        <v>0</v>
      </c>
      <c r="R216" s="9">
        <v>0</v>
      </c>
      <c r="S216" s="9">
        <v>0</v>
      </c>
      <c r="T216" s="9">
        <v>0</v>
      </c>
      <c r="U216" s="9">
        <v>0</v>
      </c>
      <c r="V216" s="9">
        <v>0</v>
      </c>
      <c r="W216" s="9">
        <v>0</v>
      </c>
      <c r="X216" s="9">
        <v>0</v>
      </c>
      <c r="Y216" s="9">
        <v>0</v>
      </c>
      <c r="Z216" s="9">
        <v>0</v>
      </c>
      <c r="AA216" s="9">
        <v>1</v>
      </c>
      <c r="AB216" s="9">
        <v>1</v>
      </c>
      <c r="AC216" s="9">
        <v>1</v>
      </c>
      <c r="AD216" s="9">
        <v>0</v>
      </c>
      <c r="AE216" s="9">
        <v>0</v>
      </c>
      <c r="AF216" s="9">
        <v>0</v>
      </c>
      <c r="AG216" s="9">
        <v>1</v>
      </c>
      <c r="AH216" s="9">
        <v>0</v>
      </c>
      <c r="AI216" s="9">
        <v>1</v>
      </c>
      <c r="AJ216" s="9">
        <v>1</v>
      </c>
      <c r="AK216" s="9">
        <v>0</v>
      </c>
      <c r="AL216" s="9">
        <v>0</v>
      </c>
      <c r="AM216" s="9">
        <v>0</v>
      </c>
      <c r="AN216" s="9">
        <v>0</v>
      </c>
      <c r="AO216" s="9">
        <v>0</v>
      </c>
      <c r="AP216" s="9">
        <v>0</v>
      </c>
      <c r="AQ216" s="9">
        <v>0</v>
      </c>
      <c r="AR216" s="9">
        <v>0</v>
      </c>
      <c r="AS216" s="9">
        <v>0</v>
      </c>
      <c r="AT216" s="9">
        <v>0</v>
      </c>
      <c r="AU216" s="9">
        <v>0</v>
      </c>
      <c r="AV216" s="9">
        <v>0</v>
      </c>
      <c r="AW216" s="9">
        <v>1</v>
      </c>
      <c r="AX216" s="9">
        <v>0</v>
      </c>
      <c r="AY216" s="9">
        <v>0</v>
      </c>
      <c r="AZ216" s="9">
        <v>0</v>
      </c>
      <c r="BA216" s="9">
        <v>0</v>
      </c>
      <c r="BB216" s="9">
        <v>1</v>
      </c>
      <c r="BC216" s="9">
        <v>1</v>
      </c>
      <c r="BD216" s="9">
        <v>2</v>
      </c>
      <c r="BE216" s="9">
        <v>0</v>
      </c>
      <c r="BF216" s="9">
        <v>0</v>
      </c>
      <c r="BG216" s="9">
        <v>0</v>
      </c>
      <c r="BH216" s="9">
        <v>1</v>
      </c>
      <c r="BI216" s="9">
        <v>2</v>
      </c>
      <c r="BJ216" s="9">
        <v>1</v>
      </c>
      <c r="BK216" s="9">
        <v>0</v>
      </c>
      <c r="BL216" s="9">
        <v>0</v>
      </c>
      <c r="BM216" s="9">
        <v>1</v>
      </c>
      <c r="BN216" s="9">
        <v>0</v>
      </c>
      <c r="BO216" s="9">
        <v>2</v>
      </c>
      <c r="BP216" s="10">
        <v>1</v>
      </c>
      <c r="BQ216">
        <v>0</v>
      </c>
      <c r="BR216">
        <v>2</v>
      </c>
    </row>
    <row r="217" spans="1:70" x14ac:dyDescent="0.35">
      <c r="A217" s="8" t="s">
        <v>174</v>
      </c>
      <c r="B217" s="9" t="s">
        <v>225</v>
      </c>
      <c r="C217" s="10" t="s">
        <v>894</v>
      </c>
      <c r="D217" s="34">
        <f t="shared" si="5"/>
        <v>29</v>
      </c>
      <c r="E217" s="9">
        <v>0</v>
      </c>
      <c r="F217" s="9">
        <v>0</v>
      </c>
      <c r="G217" s="9">
        <v>0</v>
      </c>
      <c r="H217" s="9">
        <v>0</v>
      </c>
      <c r="I217" s="9">
        <v>0</v>
      </c>
      <c r="J217" s="9">
        <v>0</v>
      </c>
      <c r="K217" s="9">
        <v>0</v>
      </c>
      <c r="L217" s="9">
        <v>0</v>
      </c>
      <c r="M217" s="9">
        <v>0</v>
      </c>
      <c r="N217" s="9">
        <v>0</v>
      </c>
      <c r="O217" s="9">
        <v>0</v>
      </c>
      <c r="P217" s="9">
        <v>0</v>
      </c>
      <c r="Q217" s="9">
        <v>0</v>
      </c>
      <c r="R217" s="9">
        <v>0</v>
      </c>
      <c r="S217" s="9">
        <v>0</v>
      </c>
      <c r="T217" s="9">
        <v>0</v>
      </c>
      <c r="U217" s="9">
        <v>1</v>
      </c>
      <c r="V217" s="9">
        <v>1</v>
      </c>
      <c r="W217" s="9">
        <v>1</v>
      </c>
      <c r="X217" s="9">
        <v>1</v>
      </c>
      <c r="Y217" s="9">
        <v>1</v>
      </c>
      <c r="Z217" s="9">
        <v>1</v>
      </c>
      <c r="AA217" s="9">
        <v>2</v>
      </c>
      <c r="AB217" s="9">
        <v>2</v>
      </c>
      <c r="AC217" s="9">
        <v>2</v>
      </c>
      <c r="AD217" s="9">
        <v>2</v>
      </c>
      <c r="AE217" s="9">
        <v>2</v>
      </c>
      <c r="AF217" s="9">
        <v>2</v>
      </c>
      <c r="AG217" s="9">
        <v>2</v>
      </c>
      <c r="AH217" s="9">
        <v>2</v>
      </c>
      <c r="AI217" s="9">
        <v>1</v>
      </c>
      <c r="AJ217" s="9">
        <v>1</v>
      </c>
      <c r="AK217" s="9">
        <v>1</v>
      </c>
      <c r="AL217" s="9">
        <v>1</v>
      </c>
      <c r="AM217" s="9">
        <v>0</v>
      </c>
      <c r="AN217" s="9">
        <v>0</v>
      </c>
      <c r="AO217" s="9">
        <v>1</v>
      </c>
      <c r="AP217" s="9">
        <v>1</v>
      </c>
      <c r="AQ217" s="9">
        <v>1</v>
      </c>
      <c r="AR217" s="9">
        <v>1</v>
      </c>
      <c r="AS217" s="9">
        <v>1</v>
      </c>
      <c r="AT217" s="9">
        <v>1</v>
      </c>
      <c r="AU217" s="9">
        <v>1</v>
      </c>
      <c r="AV217" s="9">
        <v>1</v>
      </c>
      <c r="AW217" s="9">
        <v>1</v>
      </c>
      <c r="AX217" s="9">
        <v>2</v>
      </c>
      <c r="AY217" s="9">
        <v>2</v>
      </c>
      <c r="AZ217" s="9">
        <v>3</v>
      </c>
      <c r="BA217" s="9">
        <v>4</v>
      </c>
      <c r="BB217" s="9">
        <v>4</v>
      </c>
      <c r="BC217" s="9">
        <v>5</v>
      </c>
      <c r="BD217" s="9">
        <v>5</v>
      </c>
      <c r="BE217" s="9">
        <v>9</v>
      </c>
      <c r="BF217" s="9">
        <v>8</v>
      </c>
      <c r="BG217" s="9">
        <v>10</v>
      </c>
      <c r="BH217" s="9">
        <v>12</v>
      </c>
      <c r="BI217" s="9">
        <v>13</v>
      </c>
      <c r="BJ217" s="9">
        <v>11</v>
      </c>
      <c r="BK217" s="9">
        <v>11</v>
      </c>
      <c r="BL217" s="9">
        <v>17</v>
      </c>
      <c r="BM217" s="9">
        <v>20</v>
      </c>
      <c r="BN217" s="9">
        <v>21</v>
      </c>
      <c r="BO217" s="9">
        <v>21</v>
      </c>
      <c r="BP217" s="10">
        <v>28</v>
      </c>
      <c r="BQ217">
        <v>28</v>
      </c>
      <c r="BR217">
        <v>29</v>
      </c>
    </row>
    <row r="218" spans="1:70" x14ac:dyDescent="0.35">
      <c r="A218" s="8" t="s">
        <v>174</v>
      </c>
      <c r="B218" s="9" t="s">
        <v>227</v>
      </c>
      <c r="C218" s="10" t="s">
        <v>895</v>
      </c>
      <c r="D218" s="34">
        <f t="shared" si="5"/>
        <v>0</v>
      </c>
      <c r="E218" s="9">
        <v>0</v>
      </c>
      <c r="F218" s="9">
        <v>0</v>
      </c>
      <c r="G218" s="9">
        <v>0</v>
      </c>
      <c r="H218" s="9">
        <v>0</v>
      </c>
      <c r="I218" s="9">
        <v>0</v>
      </c>
      <c r="J218" s="9">
        <v>0</v>
      </c>
      <c r="K218" s="9">
        <v>0</v>
      </c>
      <c r="L218" s="9">
        <v>0</v>
      </c>
      <c r="M218" s="9">
        <v>0</v>
      </c>
      <c r="N218" s="9">
        <v>0</v>
      </c>
      <c r="O218" s="9">
        <v>0</v>
      </c>
      <c r="P218" s="9">
        <v>0</v>
      </c>
      <c r="Q218" s="9">
        <v>0</v>
      </c>
      <c r="R218" s="9">
        <v>0</v>
      </c>
      <c r="S218" s="9">
        <v>0</v>
      </c>
      <c r="T218" s="9">
        <v>0</v>
      </c>
      <c r="U218" s="9">
        <v>0</v>
      </c>
      <c r="V218" s="9">
        <v>0</v>
      </c>
      <c r="W218" s="9">
        <v>0</v>
      </c>
      <c r="X218" s="9">
        <v>0</v>
      </c>
      <c r="Y218" s="9">
        <v>0</v>
      </c>
      <c r="Z218" s="9">
        <v>0</v>
      </c>
      <c r="AA218" s="9">
        <v>0</v>
      </c>
      <c r="AB218" s="9">
        <v>0</v>
      </c>
      <c r="AC218" s="9">
        <v>0</v>
      </c>
      <c r="AD218" s="9">
        <v>0</v>
      </c>
      <c r="AE218" s="9">
        <v>0</v>
      </c>
      <c r="AF218" s="9">
        <v>0</v>
      </c>
      <c r="AG218" s="9">
        <v>0</v>
      </c>
      <c r="AH218" s="9">
        <v>0</v>
      </c>
      <c r="AI218" s="9">
        <v>0</v>
      </c>
      <c r="AJ218" s="9">
        <v>0</v>
      </c>
      <c r="AK218" s="9">
        <v>0</v>
      </c>
      <c r="AL218" s="9">
        <v>0</v>
      </c>
      <c r="AM218" s="9">
        <v>0</v>
      </c>
      <c r="AN218" s="9">
        <v>0</v>
      </c>
      <c r="AO218" s="9">
        <v>0</v>
      </c>
      <c r="AP218" s="9">
        <v>0</v>
      </c>
      <c r="AQ218" s="9">
        <v>0</v>
      </c>
      <c r="AR218" s="9">
        <v>0</v>
      </c>
      <c r="AS218" s="9">
        <v>0</v>
      </c>
      <c r="AT218" s="9">
        <v>0</v>
      </c>
      <c r="AU218" s="9">
        <v>0</v>
      </c>
      <c r="AV218" s="9">
        <v>0</v>
      </c>
      <c r="AW218" s="9">
        <v>0</v>
      </c>
      <c r="AX218" s="9">
        <v>0</v>
      </c>
      <c r="AY218" s="9">
        <v>0</v>
      </c>
      <c r="AZ218" s="9">
        <v>0</v>
      </c>
      <c r="BA218" s="9">
        <v>0</v>
      </c>
      <c r="BB218" s="9">
        <v>0</v>
      </c>
      <c r="BC218" s="9">
        <v>0</v>
      </c>
      <c r="BD218" s="9">
        <v>0</v>
      </c>
      <c r="BE218" s="9">
        <v>0</v>
      </c>
      <c r="BF218" s="9">
        <v>0</v>
      </c>
      <c r="BG218" s="9">
        <v>0</v>
      </c>
      <c r="BH218" s="9">
        <v>0</v>
      </c>
      <c r="BI218" s="9">
        <v>0</v>
      </c>
      <c r="BJ218" s="9">
        <v>0</v>
      </c>
      <c r="BK218" s="9">
        <v>0</v>
      </c>
      <c r="BL218" s="9">
        <v>0</v>
      </c>
      <c r="BM218" s="9">
        <v>0</v>
      </c>
      <c r="BN218" s="9">
        <v>0</v>
      </c>
      <c r="BO218" s="9">
        <v>0</v>
      </c>
      <c r="BP218" s="10">
        <v>0</v>
      </c>
      <c r="BQ218">
        <v>0</v>
      </c>
      <c r="BR218">
        <v>0</v>
      </c>
    </row>
    <row r="219" spans="1:70" x14ac:dyDescent="0.35">
      <c r="A219" s="8" t="s">
        <v>174</v>
      </c>
      <c r="B219" s="9" t="s">
        <v>229</v>
      </c>
      <c r="C219" s="10" t="s">
        <v>896</v>
      </c>
      <c r="D219" s="34">
        <f t="shared" si="5"/>
        <v>368</v>
      </c>
      <c r="E219" s="9">
        <v>46</v>
      </c>
      <c r="F219" s="9">
        <v>12</v>
      </c>
      <c r="G219" s="9">
        <v>14</v>
      </c>
      <c r="H219" s="9">
        <v>15</v>
      </c>
      <c r="I219" s="9">
        <v>20</v>
      </c>
      <c r="J219" s="9">
        <v>23</v>
      </c>
      <c r="K219" s="9">
        <v>28</v>
      </c>
      <c r="L219" s="9">
        <v>26</v>
      </c>
      <c r="M219" s="9">
        <v>29</v>
      </c>
      <c r="N219" s="9">
        <v>33</v>
      </c>
      <c r="O219" s="9">
        <v>31</v>
      </c>
      <c r="P219" s="9">
        <v>34</v>
      </c>
      <c r="Q219" s="9">
        <v>41</v>
      </c>
      <c r="R219" s="9">
        <v>53</v>
      </c>
      <c r="S219" s="9">
        <v>59</v>
      </c>
      <c r="T219" s="9">
        <v>57</v>
      </c>
      <c r="U219" s="9">
        <v>54</v>
      </c>
      <c r="V219" s="9">
        <v>74</v>
      </c>
      <c r="W219" s="9">
        <v>72</v>
      </c>
      <c r="X219" s="9">
        <v>85</v>
      </c>
      <c r="Y219" s="9">
        <v>86</v>
      </c>
      <c r="Z219" s="9">
        <v>87</v>
      </c>
      <c r="AA219" s="9">
        <v>87</v>
      </c>
      <c r="AB219" s="9">
        <v>88</v>
      </c>
      <c r="AC219" s="9">
        <v>100</v>
      </c>
      <c r="AD219" s="9">
        <v>107</v>
      </c>
      <c r="AE219" s="9">
        <v>117</v>
      </c>
      <c r="AF219" s="9">
        <v>119</v>
      </c>
      <c r="AG219" s="9">
        <v>118</v>
      </c>
      <c r="AH219" s="9">
        <v>109</v>
      </c>
      <c r="AI219" s="9">
        <v>111</v>
      </c>
      <c r="AJ219" s="9">
        <v>115</v>
      </c>
      <c r="AK219" s="9">
        <v>120</v>
      </c>
      <c r="AL219" s="9">
        <v>120</v>
      </c>
      <c r="AM219" s="9">
        <v>122</v>
      </c>
      <c r="AN219" s="9">
        <v>131</v>
      </c>
      <c r="AO219" s="9">
        <v>131</v>
      </c>
      <c r="AP219" s="9">
        <v>124</v>
      </c>
      <c r="AQ219" s="9">
        <v>139</v>
      </c>
      <c r="AR219" s="9">
        <v>137</v>
      </c>
      <c r="AS219" s="9">
        <v>138</v>
      </c>
      <c r="AT219" s="9">
        <v>153</v>
      </c>
      <c r="AU219" s="9">
        <v>142</v>
      </c>
      <c r="AV219" s="9">
        <v>161</v>
      </c>
      <c r="AW219" s="9">
        <v>165</v>
      </c>
      <c r="AX219" s="9">
        <v>165</v>
      </c>
      <c r="AY219" s="9">
        <v>165</v>
      </c>
      <c r="AZ219" s="9">
        <v>170</v>
      </c>
      <c r="BA219" s="9">
        <v>165</v>
      </c>
      <c r="BB219" s="9">
        <v>173</v>
      </c>
      <c r="BC219" s="9">
        <v>174</v>
      </c>
      <c r="BD219" s="9">
        <v>171</v>
      </c>
      <c r="BE219" s="9">
        <v>185</v>
      </c>
      <c r="BF219" s="9">
        <v>206</v>
      </c>
      <c r="BG219" s="9">
        <v>221</v>
      </c>
      <c r="BH219" s="9">
        <v>145</v>
      </c>
      <c r="BI219" s="9">
        <v>232</v>
      </c>
      <c r="BJ219" s="9">
        <v>360</v>
      </c>
      <c r="BK219" s="9">
        <v>261</v>
      </c>
      <c r="BL219" s="9">
        <v>294</v>
      </c>
      <c r="BM219" s="9">
        <v>304</v>
      </c>
      <c r="BN219" s="9">
        <v>345</v>
      </c>
      <c r="BO219" s="9">
        <v>343</v>
      </c>
      <c r="BP219" s="10">
        <v>359</v>
      </c>
      <c r="BQ219">
        <v>356</v>
      </c>
      <c r="BR219">
        <v>368</v>
      </c>
    </row>
    <row r="220" spans="1:70" x14ac:dyDescent="0.35">
      <c r="A220" s="8" t="s">
        <v>174</v>
      </c>
      <c r="B220" s="9" t="s">
        <v>231</v>
      </c>
      <c r="C220" s="10" t="s">
        <v>897</v>
      </c>
      <c r="D220" s="34">
        <f t="shared" si="5"/>
        <v>19</v>
      </c>
      <c r="E220" s="9">
        <v>0</v>
      </c>
      <c r="F220" s="9">
        <v>0</v>
      </c>
      <c r="G220" s="9">
        <v>0</v>
      </c>
      <c r="H220" s="9">
        <v>0</v>
      </c>
      <c r="I220" s="9">
        <v>0</v>
      </c>
      <c r="J220" s="9">
        <v>0</v>
      </c>
      <c r="K220" s="9">
        <v>1</v>
      </c>
      <c r="L220" s="9">
        <v>1</v>
      </c>
      <c r="M220" s="9">
        <v>3</v>
      </c>
      <c r="N220" s="9">
        <v>3</v>
      </c>
      <c r="O220" s="9">
        <v>3</v>
      </c>
      <c r="P220" s="9">
        <v>3</v>
      </c>
      <c r="Q220" s="9">
        <v>3</v>
      </c>
      <c r="R220" s="9">
        <v>4</v>
      </c>
      <c r="S220" s="9">
        <v>4</v>
      </c>
      <c r="T220" s="9">
        <v>3</v>
      </c>
      <c r="U220" s="9">
        <v>3</v>
      </c>
      <c r="V220" s="9">
        <v>3</v>
      </c>
      <c r="W220" s="9">
        <v>3</v>
      </c>
      <c r="X220" s="9">
        <v>3</v>
      </c>
      <c r="Y220" s="9">
        <v>4</v>
      </c>
      <c r="Z220" s="9">
        <v>4</v>
      </c>
      <c r="AA220" s="9">
        <v>4</v>
      </c>
      <c r="AB220" s="9">
        <v>3</v>
      </c>
      <c r="AC220" s="9">
        <v>3</v>
      </c>
      <c r="AD220" s="9">
        <v>4</v>
      </c>
      <c r="AE220" s="9">
        <v>4</v>
      </c>
      <c r="AF220" s="9">
        <v>4</v>
      </c>
      <c r="AG220" s="9">
        <v>3</v>
      </c>
      <c r="AH220" s="9">
        <v>2</v>
      </c>
      <c r="AI220" s="9">
        <v>1</v>
      </c>
      <c r="AJ220" s="9">
        <v>1</v>
      </c>
      <c r="AK220" s="9">
        <v>0</v>
      </c>
      <c r="AL220" s="9">
        <v>1</v>
      </c>
      <c r="AM220" s="9">
        <v>1</v>
      </c>
      <c r="AN220" s="9">
        <v>1</v>
      </c>
      <c r="AO220" s="9">
        <v>0</v>
      </c>
      <c r="AP220" s="9">
        <v>0</v>
      </c>
      <c r="AQ220" s="9">
        <v>0</v>
      </c>
      <c r="AR220" s="9">
        <v>0</v>
      </c>
      <c r="AS220" s="9">
        <v>0</v>
      </c>
      <c r="AT220" s="9">
        <v>0</v>
      </c>
      <c r="AU220" s="9">
        <v>1</v>
      </c>
      <c r="AV220" s="9">
        <v>0</v>
      </c>
      <c r="AW220" s="9">
        <v>0</v>
      </c>
      <c r="AX220" s="9">
        <v>0</v>
      </c>
      <c r="AY220" s="9">
        <v>0</v>
      </c>
      <c r="AZ220" s="9">
        <v>0</v>
      </c>
      <c r="BA220" s="9">
        <v>2</v>
      </c>
      <c r="BB220" s="9">
        <v>1</v>
      </c>
      <c r="BC220" s="9">
        <v>2</v>
      </c>
      <c r="BD220" s="9">
        <v>3</v>
      </c>
      <c r="BE220" s="9">
        <v>3</v>
      </c>
      <c r="BF220" s="9">
        <v>6</v>
      </c>
      <c r="BG220" s="9">
        <v>9</v>
      </c>
      <c r="BH220" s="9">
        <v>14</v>
      </c>
      <c r="BI220" s="9">
        <v>15</v>
      </c>
      <c r="BJ220" s="9">
        <v>15</v>
      </c>
      <c r="BK220" s="9">
        <v>15</v>
      </c>
      <c r="BL220" s="9">
        <v>17</v>
      </c>
      <c r="BM220" s="9">
        <v>18</v>
      </c>
      <c r="BN220" s="9">
        <v>18</v>
      </c>
      <c r="BO220" s="9">
        <v>18</v>
      </c>
      <c r="BP220" s="10">
        <v>19</v>
      </c>
      <c r="BQ220">
        <v>14</v>
      </c>
      <c r="BR220">
        <v>14</v>
      </c>
    </row>
    <row r="221" spans="1:70" x14ac:dyDescent="0.35">
      <c r="A221" s="8" t="s">
        <v>174</v>
      </c>
      <c r="B221" s="9" t="s">
        <v>233</v>
      </c>
      <c r="C221" s="10" t="s">
        <v>898</v>
      </c>
      <c r="D221" s="34">
        <f t="shared" si="5"/>
        <v>217</v>
      </c>
      <c r="E221" s="9">
        <v>10</v>
      </c>
      <c r="F221" s="9">
        <v>16</v>
      </c>
      <c r="G221" s="9">
        <v>17</v>
      </c>
      <c r="H221" s="9">
        <v>18</v>
      </c>
      <c r="I221" s="9">
        <v>19</v>
      </c>
      <c r="J221" s="9">
        <v>20</v>
      </c>
      <c r="K221" s="9">
        <v>24</v>
      </c>
      <c r="L221" s="9">
        <v>25</v>
      </c>
      <c r="M221" s="9">
        <v>22</v>
      </c>
      <c r="N221" s="9">
        <v>21</v>
      </c>
      <c r="O221" s="9">
        <v>20</v>
      </c>
      <c r="P221" s="9">
        <v>17</v>
      </c>
      <c r="Q221" s="9">
        <v>16</v>
      </c>
      <c r="R221" s="9">
        <v>14</v>
      </c>
      <c r="S221" s="9">
        <v>18</v>
      </c>
      <c r="T221" s="9">
        <v>16</v>
      </c>
      <c r="U221" s="9">
        <v>12</v>
      </c>
      <c r="V221" s="9">
        <v>11</v>
      </c>
      <c r="W221" s="9">
        <v>12</v>
      </c>
      <c r="X221" s="9">
        <v>14</v>
      </c>
      <c r="Y221" s="9">
        <v>15</v>
      </c>
      <c r="Z221" s="9">
        <v>19</v>
      </c>
      <c r="AA221" s="9">
        <v>18</v>
      </c>
      <c r="AB221" s="9">
        <v>19</v>
      </c>
      <c r="AC221" s="9">
        <v>23</v>
      </c>
      <c r="AD221" s="9">
        <v>22</v>
      </c>
      <c r="AE221" s="9">
        <v>23</v>
      </c>
      <c r="AF221" s="9">
        <v>25</v>
      </c>
      <c r="AG221" s="9">
        <v>25</v>
      </c>
      <c r="AH221" s="9">
        <v>29</v>
      </c>
      <c r="AI221" s="9">
        <v>32</v>
      </c>
      <c r="AJ221" s="9">
        <v>32</v>
      </c>
      <c r="AK221" s="9">
        <v>37</v>
      </c>
      <c r="AL221" s="9">
        <v>33</v>
      </c>
      <c r="AM221" s="9">
        <v>36</v>
      </c>
      <c r="AN221" s="9">
        <v>32</v>
      </c>
      <c r="AO221" s="9">
        <v>40</v>
      </c>
      <c r="AP221" s="9">
        <v>37</v>
      </c>
      <c r="AQ221" s="9">
        <v>37</v>
      </c>
      <c r="AR221" s="9">
        <v>41</v>
      </c>
      <c r="AS221" s="9">
        <v>47</v>
      </c>
      <c r="AT221" s="9">
        <v>51</v>
      </c>
      <c r="AU221" s="9">
        <v>55</v>
      </c>
      <c r="AV221" s="9">
        <v>53</v>
      </c>
      <c r="AW221" s="9">
        <v>53</v>
      </c>
      <c r="AX221" s="9">
        <v>69</v>
      </c>
      <c r="AY221" s="9">
        <v>79</v>
      </c>
      <c r="AZ221" s="9">
        <v>83</v>
      </c>
      <c r="BA221" s="9">
        <v>90</v>
      </c>
      <c r="BB221" s="9">
        <v>98</v>
      </c>
      <c r="BC221" s="9">
        <v>113</v>
      </c>
      <c r="BD221" s="9">
        <v>124</v>
      </c>
      <c r="BE221" s="9">
        <v>130</v>
      </c>
      <c r="BF221" s="9">
        <v>134</v>
      </c>
      <c r="BG221" s="9">
        <v>133</v>
      </c>
      <c r="BH221" s="9">
        <v>108</v>
      </c>
      <c r="BI221" s="9">
        <v>152</v>
      </c>
      <c r="BJ221" s="9">
        <v>161</v>
      </c>
      <c r="BK221" s="9">
        <v>173</v>
      </c>
      <c r="BL221" s="9">
        <v>161</v>
      </c>
      <c r="BM221" s="9">
        <v>157</v>
      </c>
      <c r="BN221" s="9">
        <v>172</v>
      </c>
      <c r="BO221" s="9">
        <v>190</v>
      </c>
      <c r="BP221" s="10">
        <v>190</v>
      </c>
      <c r="BQ221">
        <v>211</v>
      </c>
      <c r="BR221">
        <v>217</v>
      </c>
    </row>
    <row r="222" spans="1:70" x14ac:dyDescent="0.35">
      <c r="A222" s="8" t="s">
        <v>174</v>
      </c>
      <c r="B222" s="9" t="s">
        <v>235</v>
      </c>
      <c r="C222" s="10" t="s">
        <v>899</v>
      </c>
      <c r="D222" s="34">
        <f t="shared" si="5"/>
        <v>60</v>
      </c>
      <c r="E222" s="9">
        <v>1</v>
      </c>
      <c r="F222" s="9">
        <v>1</v>
      </c>
      <c r="G222" s="9">
        <v>0</v>
      </c>
      <c r="H222" s="9">
        <v>0</v>
      </c>
      <c r="I222" s="9">
        <v>1</v>
      </c>
      <c r="J222" s="9">
        <v>1</v>
      </c>
      <c r="K222" s="9">
        <v>1</v>
      </c>
      <c r="L222" s="9">
        <v>1</v>
      </c>
      <c r="M222" s="9">
        <v>0</v>
      </c>
      <c r="N222" s="9">
        <v>0</v>
      </c>
      <c r="O222" s="9">
        <v>0</v>
      </c>
      <c r="P222" s="9">
        <v>0</v>
      </c>
      <c r="Q222" s="9">
        <v>0</v>
      </c>
      <c r="R222" s="9">
        <v>1</v>
      </c>
      <c r="S222" s="9">
        <v>1</v>
      </c>
      <c r="T222" s="9">
        <v>3</v>
      </c>
      <c r="U222" s="9">
        <v>3</v>
      </c>
      <c r="V222" s="9">
        <v>6</v>
      </c>
      <c r="W222" s="9">
        <v>7</v>
      </c>
      <c r="X222" s="9">
        <v>7</v>
      </c>
      <c r="Y222" s="9">
        <v>7</v>
      </c>
      <c r="Z222" s="9">
        <v>8</v>
      </c>
      <c r="AA222" s="9">
        <v>9</v>
      </c>
      <c r="AB222" s="9">
        <v>9</v>
      </c>
      <c r="AC222" s="9">
        <v>6</v>
      </c>
      <c r="AD222" s="9">
        <v>8</v>
      </c>
      <c r="AE222" s="9">
        <v>6</v>
      </c>
      <c r="AF222" s="9">
        <v>7</v>
      </c>
      <c r="AG222" s="9">
        <v>9</v>
      </c>
      <c r="AH222" s="9">
        <v>8</v>
      </c>
      <c r="AI222" s="9">
        <v>9</v>
      </c>
      <c r="AJ222" s="9">
        <v>12</v>
      </c>
      <c r="AK222" s="9">
        <v>13</v>
      </c>
      <c r="AL222" s="9">
        <v>14</v>
      </c>
      <c r="AM222" s="9">
        <v>13</v>
      </c>
      <c r="AN222" s="9">
        <v>13</v>
      </c>
      <c r="AO222" s="9">
        <v>12</v>
      </c>
      <c r="AP222" s="9">
        <v>12</v>
      </c>
      <c r="AQ222" s="9">
        <v>13</v>
      </c>
      <c r="AR222" s="9">
        <v>14</v>
      </c>
      <c r="AS222" s="9">
        <v>14</v>
      </c>
      <c r="AT222" s="9">
        <v>17</v>
      </c>
      <c r="AU222" s="9">
        <v>19</v>
      </c>
      <c r="AV222" s="9">
        <v>16</v>
      </c>
      <c r="AW222" s="9">
        <v>23</v>
      </c>
      <c r="AX222" s="9">
        <v>24</v>
      </c>
      <c r="AY222" s="9">
        <v>27</v>
      </c>
      <c r="AZ222" s="9">
        <v>30</v>
      </c>
      <c r="BA222" s="9">
        <v>31</v>
      </c>
      <c r="BB222" s="9">
        <v>32</v>
      </c>
      <c r="BC222" s="9">
        <v>32</v>
      </c>
      <c r="BD222" s="9">
        <v>29</v>
      </c>
      <c r="BE222" s="9">
        <v>31</v>
      </c>
      <c r="BF222" s="9">
        <v>34</v>
      </c>
      <c r="BG222" s="9">
        <v>38</v>
      </c>
      <c r="BH222" s="9">
        <v>46</v>
      </c>
      <c r="BI222" s="9">
        <v>47</v>
      </c>
      <c r="BJ222" s="9">
        <v>45</v>
      </c>
      <c r="BK222" s="9">
        <v>50</v>
      </c>
      <c r="BL222" s="9">
        <v>53</v>
      </c>
      <c r="BM222" s="9">
        <v>54</v>
      </c>
      <c r="BN222" s="9">
        <v>59</v>
      </c>
      <c r="BO222" s="9">
        <v>58</v>
      </c>
      <c r="BP222" s="10">
        <v>57</v>
      </c>
      <c r="BQ222">
        <v>60</v>
      </c>
      <c r="BR222">
        <v>57</v>
      </c>
    </row>
    <row r="223" spans="1:70" x14ac:dyDescent="0.35">
      <c r="A223" s="8" t="s">
        <v>174</v>
      </c>
      <c r="B223" s="9" t="s">
        <v>237</v>
      </c>
      <c r="C223" s="10" t="s">
        <v>900</v>
      </c>
      <c r="D223" s="34">
        <f t="shared" si="5"/>
        <v>163</v>
      </c>
      <c r="E223" s="9">
        <v>13</v>
      </c>
      <c r="F223" s="9">
        <v>13</v>
      </c>
      <c r="G223" s="9">
        <v>13</v>
      </c>
      <c r="H223" s="9">
        <v>12</v>
      </c>
      <c r="I223" s="9">
        <v>11</v>
      </c>
      <c r="J223" s="9">
        <v>11</v>
      </c>
      <c r="K223" s="9">
        <v>12</v>
      </c>
      <c r="L223" s="9">
        <v>10</v>
      </c>
      <c r="M223" s="9">
        <v>16</v>
      </c>
      <c r="N223" s="9">
        <v>18</v>
      </c>
      <c r="O223" s="9">
        <v>16</v>
      </c>
      <c r="P223" s="9">
        <v>23</v>
      </c>
      <c r="Q223" s="9">
        <v>29</v>
      </c>
      <c r="R223" s="9">
        <v>31</v>
      </c>
      <c r="S223" s="9">
        <v>29</v>
      </c>
      <c r="T223" s="9">
        <v>32</v>
      </c>
      <c r="U223" s="9">
        <v>31</v>
      </c>
      <c r="V223" s="9">
        <v>30</v>
      </c>
      <c r="W223" s="9">
        <v>33</v>
      </c>
      <c r="X223" s="9">
        <v>32</v>
      </c>
      <c r="Y223" s="9">
        <v>33</v>
      </c>
      <c r="Z223" s="9">
        <v>36</v>
      </c>
      <c r="AA223" s="9">
        <v>33</v>
      </c>
      <c r="AB223" s="9">
        <v>38</v>
      </c>
      <c r="AC223" s="9">
        <v>39</v>
      </c>
      <c r="AD223" s="9">
        <v>36</v>
      </c>
      <c r="AE223" s="9">
        <v>37</v>
      </c>
      <c r="AF223" s="9">
        <v>35</v>
      </c>
      <c r="AG223" s="9">
        <v>34</v>
      </c>
      <c r="AH223" s="9">
        <v>34</v>
      </c>
      <c r="AI223" s="9">
        <v>34</v>
      </c>
      <c r="AJ223" s="9">
        <v>38</v>
      </c>
      <c r="AK223" s="9">
        <v>39</v>
      </c>
      <c r="AL223" s="9">
        <v>40</v>
      </c>
      <c r="AM223" s="9">
        <v>41</v>
      </c>
      <c r="AN223" s="9">
        <v>43</v>
      </c>
      <c r="AO223" s="9">
        <v>45</v>
      </c>
      <c r="AP223" s="9">
        <v>42</v>
      </c>
      <c r="AQ223" s="9">
        <v>41</v>
      </c>
      <c r="AR223" s="9">
        <v>36</v>
      </c>
      <c r="AS223" s="9">
        <v>37</v>
      </c>
      <c r="AT223" s="9">
        <v>38</v>
      </c>
      <c r="AU223" s="9">
        <v>46</v>
      </c>
      <c r="AV223" s="9">
        <v>46</v>
      </c>
      <c r="AW223" s="9">
        <v>44</v>
      </c>
      <c r="AX223" s="9">
        <v>47</v>
      </c>
      <c r="AY223" s="9">
        <v>49</v>
      </c>
      <c r="AZ223" s="9">
        <v>52</v>
      </c>
      <c r="BA223" s="9">
        <v>53</v>
      </c>
      <c r="BB223" s="9">
        <v>58</v>
      </c>
      <c r="BC223" s="9">
        <v>63</v>
      </c>
      <c r="BD223" s="9">
        <v>74</v>
      </c>
      <c r="BE223" s="9">
        <v>76</v>
      </c>
      <c r="BF223" s="9">
        <v>76</v>
      </c>
      <c r="BG223" s="9">
        <v>86</v>
      </c>
      <c r="BH223" s="9">
        <v>88</v>
      </c>
      <c r="BI223" s="9">
        <v>102</v>
      </c>
      <c r="BJ223" s="9">
        <v>109</v>
      </c>
      <c r="BK223" s="9">
        <v>103</v>
      </c>
      <c r="BL223" s="9">
        <v>115</v>
      </c>
      <c r="BM223" s="9">
        <v>124</v>
      </c>
      <c r="BN223" s="9">
        <v>130</v>
      </c>
      <c r="BO223" s="9">
        <v>138</v>
      </c>
      <c r="BP223" s="10">
        <v>153</v>
      </c>
      <c r="BQ223">
        <v>163</v>
      </c>
      <c r="BR223">
        <v>156</v>
      </c>
    </row>
    <row r="224" spans="1:70" x14ac:dyDescent="0.35">
      <c r="A224" s="8" t="s">
        <v>174</v>
      </c>
      <c r="B224" s="9" t="s">
        <v>239</v>
      </c>
      <c r="C224" s="10" t="s">
        <v>901</v>
      </c>
      <c r="D224" s="34">
        <f t="shared" si="5"/>
        <v>59</v>
      </c>
      <c r="E224" s="9">
        <v>1</v>
      </c>
      <c r="F224" s="9">
        <v>1</v>
      </c>
      <c r="G224" s="9">
        <v>1</v>
      </c>
      <c r="H224" s="9">
        <v>1</v>
      </c>
      <c r="I224" s="9">
        <v>2</v>
      </c>
      <c r="J224" s="9">
        <v>1</v>
      </c>
      <c r="K224" s="9">
        <v>1</v>
      </c>
      <c r="L224" s="9">
        <v>1</v>
      </c>
      <c r="M224" s="9">
        <v>1</v>
      </c>
      <c r="N224" s="9">
        <v>1</v>
      </c>
      <c r="O224" s="9">
        <v>2</v>
      </c>
      <c r="P224" s="9">
        <v>2</v>
      </c>
      <c r="Q224" s="9">
        <v>1</v>
      </c>
      <c r="R224" s="9">
        <v>1</v>
      </c>
      <c r="S224" s="9">
        <v>1</v>
      </c>
      <c r="T224" s="9">
        <v>2</v>
      </c>
      <c r="U224" s="9">
        <v>3</v>
      </c>
      <c r="V224" s="9">
        <v>2</v>
      </c>
      <c r="W224" s="9">
        <v>1</v>
      </c>
      <c r="X224" s="9">
        <v>2</v>
      </c>
      <c r="Y224" s="9">
        <v>2</v>
      </c>
      <c r="Z224" s="9">
        <v>1</v>
      </c>
      <c r="AA224" s="9">
        <v>3</v>
      </c>
      <c r="AB224" s="9">
        <v>6</v>
      </c>
      <c r="AC224" s="9">
        <v>8</v>
      </c>
      <c r="AD224" s="9">
        <v>7</v>
      </c>
      <c r="AE224" s="9">
        <v>7</v>
      </c>
      <c r="AF224" s="9">
        <v>9</v>
      </c>
      <c r="AG224" s="9">
        <v>10</v>
      </c>
      <c r="AH224" s="9">
        <v>10</v>
      </c>
      <c r="AI224" s="9">
        <v>12</v>
      </c>
      <c r="AJ224" s="9">
        <v>10</v>
      </c>
      <c r="AK224" s="9">
        <v>11</v>
      </c>
      <c r="AL224" s="9">
        <v>10</v>
      </c>
      <c r="AM224" s="9">
        <v>12</v>
      </c>
      <c r="AN224" s="9">
        <v>13</v>
      </c>
      <c r="AO224" s="9">
        <v>11</v>
      </c>
      <c r="AP224" s="9">
        <v>12</v>
      </c>
      <c r="AQ224" s="9">
        <v>12</v>
      </c>
      <c r="AR224" s="9">
        <v>12</v>
      </c>
      <c r="AS224" s="9">
        <v>13</v>
      </c>
      <c r="AT224" s="9">
        <v>11</v>
      </c>
      <c r="AU224" s="9">
        <v>12</v>
      </c>
      <c r="AV224" s="9">
        <v>14</v>
      </c>
      <c r="AW224" s="9">
        <v>13</v>
      </c>
      <c r="AX224" s="9">
        <v>17</v>
      </c>
      <c r="AY224" s="9">
        <v>20</v>
      </c>
      <c r="AZ224" s="9">
        <v>20</v>
      </c>
      <c r="BA224" s="9">
        <v>27</v>
      </c>
      <c r="BB224" s="9">
        <v>24</v>
      </c>
      <c r="BC224" s="9">
        <v>27</v>
      </c>
      <c r="BD224" s="9">
        <v>26</v>
      </c>
      <c r="BE224" s="9">
        <v>31</v>
      </c>
      <c r="BF224" s="9">
        <v>29</v>
      </c>
      <c r="BG224" s="9">
        <v>35</v>
      </c>
      <c r="BH224" s="9">
        <v>33</v>
      </c>
      <c r="BI224" s="9">
        <v>34</v>
      </c>
      <c r="BJ224" s="9">
        <v>34</v>
      </c>
      <c r="BK224" s="9">
        <v>35</v>
      </c>
      <c r="BL224" s="9">
        <v>41</v>
      </c>
      <c r="BM224" s="9">
        <v>50</v>
      </c>
      <c r="BN224" s="9">
        <v>51</v>
      </c>
      <c r="BO224" s="9">
        <v>52</v>
      </c>
      <c r="BP224" s="10">
        <v>52</v>
      </c>
      <c r="BQ224">
        <v>54</v>
      </c>
      <c r="BR224">
        <v>59</v>
      </c>
    </row>
    <row r="225" spans="1:70" x14ac:dyDescent="0.35">
      <c r="A225" s="8" t="s">
        <v>174</v>
      </c>
      <c r="B225" s="9" t="s">
        <v>241</v>
      </c>
      <c r="C225" s="10" t="s">
        <v>902</v>
      </c>
      <c r="D225" s="34">
        <f t="shared" si="5"/>
        <v>342</v>
      </c>
      <c r="E225" s="9">
        <v>13</v>
      </c>
      <c r="F225" s="9">
        <v>6</v>
      </c>
      <c r="G225" s="9">
        <v>6</v>
      </c>
      <c r="H225" s="9">
        <v>6</v>
      </c>
      <c r="I225" s="9">
        <v>5</v>
      </c>
      <c r="J225" s="9">
        <v>5</v>
      </c>
      <c r="K225" s="9">
        <v>9</v>
      </c>
      <c r="L225" s="9">
        <v>8</v>
      </c>
      <c r="M225" s="9">
        <v>8</v>
      </c>
      <c r="N225" s="9">
        <v>8</v>
      </c>
      <c r="O225" s="9">
        <v>11</v>
      </c>
      <c r="P225" s="9">
        <v>12</v>
      </c>
      <c r="Q225" s="9">
        <v>18</v>
      </c>
      <c r="R225" s="9">
        <v>18</v>
      </c>
      <c r="S225" s="9">
        <v>20</v>
      </c>
      <c r="T225" s="9">
        <v>13</v>
      </c>
      <c r="U225" s="9">
        <v>15</v>
      </c>
      <c r="V225" s="9">
        <v>17</v>
      </c>
      <c r="W225" s="9">
        <v>22</v>
      </c>
      <c r="X225" s="9">
        <v>24</v>
      </c>
      <c r="Y225" s="9">
        <v>19</v>
      </c>
      <c r="Z225" s="9">
        <v>19</v>
      </c>
      <c r="AA225" s="9">
        <v>18</v>
      </c>
      <c r="AB225" s="9">
        <v>21</v>
      </c>
      <c r="AC225" s="9">
        <v>26</v>
      </c>
      <c r="AD225" s="9">
        <v>26</v>
      </c>
      <c r="AE225" s="9">
        <v>25</v>
      </c>
      <c r="AF225" s="9">
        <v>23</v>
      </c>
      <c r="AG225" s="9">
        <v>23</v>
      </c>
      <c r="AH225" s="9">
        <v>27</v>
      </c>
      <c r="AI225" s="9">
        <v>28</v>
      </c>
      <c r="AJ225" s="9">
        <v>36</v>
      </c>
      <c r="AK225" s="9">
        <v>34</v>
      </c>
      <c r="AL225" s="9">
        <v>38</v>
      </c>
      <c r="AM225" s="9">
        <v>43</v>
      </c>
      <c r="AN225" s="9">
        <v>47</v>
      </c>
      <c r="AO225" s="9">
        <v>53</v>
      </c>
      <c r="AP225" s="9">
        <v>59</v>
      </c>
      <c r="AQ225" s="9">
        <v>65</v>
      </c>
      <c r="AR225" s="9">
        <v>78</v>
      </c>
      <c r="AS225" s="9">
        <v>82</v>
      </c>
      <c r="AT225" s="9">
        <v>99</v>
      </c>
      <c r="AU225" s="9">
        <v>114</v>
      </c>
      <c r="AV225" s="9">
        <v>123</v>
      </c>
      <c r="AW225" s="9">
        <v>160</v>
      </c>
      <c r="AX225" s="9">
        <v>165</v>
      </c>
      <c r="AY225" s="9">
        <v>163</v>
      </c>
      <c r="AZ225" s="9">
        <v>162</v>
      </c>
      <c r="BA225" s="9">
        <v>171</v>
      </c>
      <c r="BB225" s="9">
        <v>194</v>
      </c>
      <c r="BC225" s="9">
        <v>215</v>
      </c>
      <c r="BD225" s="9">
        <v>223</v>
      </c>
      <c r="BE225" s="9">
        <v>230</v>
      </c>
      <c r="BF225" s="9">
        <v>238</v>
      </c>
      <c r="BG225" s="9">
        <v>242</v>
      </c>
      <c r="BH225" s="9">
        <v>261</v>
      </c>
      <c r="BI225" s="9">
        <v>289</v>
      </c>
      <c r="BJ225" s="9">
        <v>334</v>
      </c>
      <c r="BK225" s="9">
        <v>332</v>
      </c>
      <c r="BL225" s="9">
        <v>338</v>
      </c>
      <c r="BM225" s="9">
        <v>342</v>
      </c>
      <c r="BN225" s="9">
        <v>323</v>
      </c>
      <c r="BO225" s="9">
        <v>324</v>
      </c>
      <c r="BP225" s="10">
        <v>340</v>
      </c>
      <c r="BQ225">
        <v>300</v>
      </c>
      <c r="BR225">
        <v>287</v>
      </c>
    </row>
    <row r="226" spans="1:70" x14ac:dyDescent="0.35">
      <c r="A226" s="8" t="s">
        <v>174</v>
      </c>
      <c r="B226" s="9" t="s">
        <v>243</v>
      </c>
      <c r="C226" s="10" t="s">
        <v>903</v>
      </c>
      <c r="D226" s="34">
        <f t="shared" si="5"/>
        <v>165</v>
      </c>
      <c r="E226" s="9">
        <v>13</v>
      </c>
      <c r="F226" s="9">
        <v>13</v>
      </c>
      <c r="G226" s="9">
        <v>7</v>
      </c>
      <c r="H226" s="9">
        <v>10</v>
      </c>
      <c r="I226" s="9">
        <v>5</v>
      </c>
      <c r="J226" s="9">
        <v>4</v>
      </c>
      <c r="K226" s="9">
        <v>5</v>
      </c>
      <c r="L226" s="9">
        <v>6</v>
      </c>
      <c r="M226" s="9">
        <v>6</v>
      </c>
      <c r="N226" s="9">
        <v>9</v>
      </c>
      <c r="O226" s="9">
        <v>11</v>
      </c>
      <c r="P226" s="9">
        <v>11</v>
      </c>
      <c r="Q226" s="9">
        <v>11</v>
      </c>
      <c r="R226" s="9">
        <v>13</v>
      </c>
      <c r="S226" s="9">
        <v>18</v>
      </c>
      <c r="T226" s="9">
        <v>18</v>
      </c>
      <c r="U226" s="9">
        <v>19</v>
      </c>
      <c r="V226" s="9">
        <v>15</v>
      </c>
      <c r="W226" s="9">
        <v>18</v>
      </c>
      <c r="X226" s="9">
        <v>18</v>
      </c>
      <c r="Y226" s="9">
        <v>26</v>
      </c>
      <c r="Z226" s="9">
        <v>21</v>
      </c>
      <c r="AA226" s="9">
        <v>24</v>
      </c>
      <c r="AB226" s="9">
        <v>25</v>
      </c>
      <c r="AC226" s="9">
        <v>28</v>
      </c>
      <c r="AD226" s="9">
        <v>29</v>
      </c>
      <c r="AE226" s="9">
        <v>32</v>
      </c>
      <c r="AF226" s="9">
        <v>34</v>
      </c>
      <c r="AG226" s="9">
        <v>29</v>
      </c>
      <c r="AH226" s="9">
        <v>26</v>
      </c>
      <c r="AI226" s="9">
        <v>29</v>
      </c>
      <c r="AJ226" s="9">
        <v>28</v>
      </c>
      <c r="AK226" s="9">
        <v>27</v>
      </c>
      <c r="AL226" s="9">
        <v>31</v>
      </c>
      <c r="AM226" s="9">
        <v>38</v>
      </c>
      <c r="AN226" s="9">
        <v>38</v>
      </c>
      <c r="AO226" s="9">
        <v>41</v>
      </c>
      <c r="AP226" s="9">
        <v>42</v>
      </c>
      <c r="AQ226" s="9">
        <v>38</v>
      </c>
      <c r="AR226" s="9">
        <v>39</v>
      </c>
      <c r="AS226" s="9">
        <v>43</v>
      </c>
      <c r="AT226" s="9">
        <v>42</v>
      </c>
      <c r="AU226" s="9">
        <v>38</v>
      </c>
      <c r="AV226" s="9">
        <v>39</v>
      </c>
      <c r="AW226" s="9">
        <v>43</v>
      </c>
      <c r="AX226" s="9">
        <v>47</v>
      </c>
      <c r="AY226" s="9">
        <v>42</v>
      </c>
      <c r="AZ226" s="9">
        <v>47</v>
      </c>
      <c r="BA226" s="9">
        <v>50</v>
      </c>
      <c r="BB226" s="9">
        <v>51</v>
      </c>
      <c r="BC226" s="9">
        <v>57</v>
      </c>
      <c r="BD226" s="9">
        <v>67</v>
      </c>
      <c r="BE226" s="9">
        <v>72</v>
      </c>
      <c r="BF226" s="9">
        <v>80</v>
      </c>
      <c r="BG226" s="9">
        <v>84</v>
      </c>
      <c r="BH226" s="9">
        <v>88</v>
      </c>
      <c r="BI226" s="9">
        <v>112</v>
      </c>
      <c r="BJ226" s="9">
        <v>120</v>
      </c>
      <c r="BK226" s="9">
        <v>130</v>
      </c>
      <c r="BL226" s="9">
        <v>123</v>
      </c>
      <c r="BM226" s="9">
        <v>125</v>
      </c>
      <c r="BN226" s="9">
        <v>139</v>
      </c>
      <c r="BO226" s="9">
        <v>144</v>
      </c>
      <c r="BP226" s="10">
        <v>158</v>
      </c>
      <c r="BQ226">
        <v>162</v>
      </c>
      <c r="BR226">
        <v>165</v>
      </c>
    </row>
    <row r="227" spans="1:70" x14ac:dyDescent="0.35">
      <c r="A227" s="8" t="s">
        <v>174</v>
      </c>
      <c r="B227" s="9" t="s">
        <v>245</v>
      </c>
      <c r="C227" s="10" t="s">
        <v>904</v>
      </c>
      <c r="D227" s="34">
        <f t="shared" si="5"/>
        <v>4</v>
      </c>
      <c r="E227" s="9">
        <v>0</v>
      </c>
      <c r="F227" s="9">
        <v>0</v>
      </c>
      <c r="G227" s="9">
        <v>0</v>
      </c>
      <c r="H227" s="9">
        <v>0</v>
      </c>
      <c r="I227" s="9">
        <v>0</v>
      </c>
      <c r="J227" s="9">
        <v>0</v>
      </c>
      <c r="K227" s="9">
        <v>0</v>
      </c>
      <c r="L227" s="9">
        <v>0</v>
      </c>
      <c r="M227" s="9">
        <v>0</v>
      </c>
      <c r="N227" s="9">
        <v>0</v>
      </c>
      <c r="O227" s="9">
        <v>0</v>
      </c>
      <c r="P227" s="9">
        <v>0</v>
      </c>
      <c r="Q227" s="9">
        <v>0</v>
      </c>
      <c r="R227" s="9">
        <v>0</v>
      </c>
      <c r="S227" s="9">
        <v>0</v>
      </c>
      <c r="T227" s="9">
        <v>0</v>
      </c>
      <c r="U227" s="9">
        <v>0</v>
      </c>
      <c r="V227" s="9">
        <v>0</v>
      </c>
      <c r="W227" s="9">
        <v>0</v>
      </c>
      <c r="X227" s="9">
        <v>0</v>
      </c>
      <c r="Y227" s="9">
        <v>0</v>
      </c>
      <c r="Z227" s="9">
        <v>0</v>
      </c>
      <c r="AA227" s="9">
        <v>1</v>
      </c>
      <c r="AB227" s="9">
        <v>1</v>
      </c>
      <c r="AC227" s="9">
        <v>1</v>
      </c>
      <c r="AD227" s="9">
        <v>1</v>
      </c>
      <c r="AE227" s="9">
        <v>1</v>
      </c>
      <c r="AF227" s="9">
        <v>1</v>
      </c>
      <c r="AG227" s="9">
        <v>1</v>
      </c>
      <c r="AH227" s="9">
        <v>1</v>
      </c>
      <c r="AI227" s="9">
        <v>1</v>
      </c>
      <c r="AJ227" s="9">
        <v>0</v>
      </c>
      <c r="AK227" s="9">
        <v>0</v>
      </c>
      <c r="AL227" s="9">
        <v>0</v>
      </c>
      <c r="AM227" s="9">
        <v>0</v>
      </c>
      <c r="AN227" s="9">
        <v>1</v>
      </c>
      <c r="AO227" s="9">
        <v>1</v>
      </c>
      <c r="AP227" s="9">
        <v>1</v>
      </c>
      <c r="AQ227" s="9">
        <v>1</v>
      </c>
      <c r="AR227" s="9">
        <v>1</v>
      </c>
      <c r="AS227" s="9">
        <v>1</v>
      </c>
      <c r="AT227" s="9">
        <v>1</v>
      </c>
      <c r="AU227" s="9">
        <v>1</v>
      </c>
      <c r="AV227" s="9">
        <v>1</v>
      </c>
      <c r="AW227" s="9">
        <v>1</v>
      </c>
      <c r="AX227" s="9">
        <v>0</v>
      </c>
      <c r="AY227" s="9">
        <v>0</v>
      </c>
      <c r="AZ227" s="9">
        <v>0</v>
      </c>
      <c r="BA227" s="9">
        <v>0</v>
      </c>
      <c r="BB227" s="9">
        <v>0</v>
      </c>
      <c r="BC227" s="9">
        <v>0</v>
      </c>
      <c r="BD227" s="9">
        <v>0</v>
      </c>
      <c r="BE227" s="9">
        <v>0</v>
      </c>
      <c r="BF227" s="9">
        <v>0</v>
      </c>
      <c r="BG227" s="9">
        <v>0</v>
      </c>
      <c r="BH227" s="9">
        <v>0</v>
      </c>
      <c r="BI227" s="9">
        <v>0</v>
      </c>
      <c r="BJ227" s="9">
        <v>0</v>
      </c>
      <c r="BK227" s="9">
        <v>1</v>
      </c>
      <c r="BL227" s="9">
        <v>0</v>
      </c>
      <c r="BM227" s="9">
        <v>0</v>
      </c>
      <c r="BN227" s="9">
        <v>4</v>
      </c>
      <c r="BO227" s="9">
        <v>4</v>
      </c>
      <c r="BP227" s="10">
        <v>4</v>
      </c>
      <c r="BQ227">
        <v>3</v>
      </c>
      <c r="BR227">
        <v>4</v>
      </c>
    </row>
    <row r="228" spans="1:70" x14ac:dyDescent="0.35">
      <c r="A228" s="8" t="s">
        <v>174</v>
      </c>
      <c r="B228" s="9" t="s">
        <v>247</v>
      </c>
      <c r="C228" s="10" t="s">
        <v>905</v>
      </c>
      <c r="D228" s="34">
        <f t="shared" si="5"/>
        <v>16</v>
      </c>
      <c r="E228" s="9">
        <v>1</v>
      </c>
      <c r="F228" s="9">
        <v>0</v>
      </c>
      <c r="G228" s="9">
        <v>0</v>
      </c>
      <c r="H228" s="9">
        <v>0</v>
      </c>
      <c r="I228" s="9">
        <v>0</v>
      </c>
      <c r="J228" s="9">
        <v>0</v>
      </c>
      <c r="K228" s="9">
        <v>0</v>
      </c>
      <c r="L228" s="9">
        <v>0</v>
      </c>
      <c r="M228" s="9">
        <v>0</v>
      </c>
      <c r="N228" s="9">
        <v>0</v>
      </c>
      <c r="O228" s="9">
        <v>1</v>
      </c>
      <c r="P228" s="9">
        <v>1</v>
      </c>
      <c r="Q228" s="9">
        <v>1</v>
      </c>
      <c r="R228" s="9">
        <v>1</v>
      </c>
      <c r="S228" s="9">
        <v>1</v>
      </c>
      <c r="T228" s="9">
        <v>1</v>
      </c>
      <c r="U228" s="9">
        <v>0</v>
      </c>
      <c r="V228" s="9">
        <v>0</v>
      </c>
      <c r="W228" s="9">
        <v>0</v>
      </c>
      <c r="X228" s="9">
        <v>0</v>
      </c>
      <c r="Y228" s="9">
        <v>0</v>
      </c>
      <c r="Z228" s="9">
        <v>0</v>
      </c>
      <c r="AA228" s="9">
        <v>0</v>
      </c>
      <c r="AB228" s="9">
        <v>1</v>
      </c>
      <c r="AC228" s="9">
        <v>1</v>
      </c>
      <c r="AD228" s="9">
        <v>0</v>
      </c>
      <c r="AE228" s="9">
        <v>2</v>
      </c>
      <c r="AF228" s="9">
        <v>2</v>
      </c>
      <c r="AG228" s="9">
        <v>2</v>
      </c>
      <c r="AH228" s="9">
        <v>2</v>
      </c>
      <c r="AI228" s="9">
        <v>2</v>
      </c>
      <c r="AJ228" s="9">
        <v>2</v>
      </c>
      <c r="AK228" s="9">
        <v>2</v>
      </c>
      <c r="AL228" s="9">
        <v>2</v>
      </c>
      <c r="AM228" s="9">
        <v>2</v>
      </c>
      <c r="AN228" s="9">
        <v>2</v>
      </c>
      <c r="AO228" s="9">
        <v>2</v>
      </c>
      <c r="AP228" s="9">
        <v>2</v>
      </c>
      <c r="AQ228" s="9">
        <v>3</v>
      </c>
      <c r="AR228" s="9">
        <v>3</v>
      </c>
      <c r="AS228" s="9">
        <v>4</v>
      </c>
      <c r="AT228" s="9">
        <v>6</v>
      </c>
      <c r="AU228" s="9">
        <v>5</v>
      </c>
      <c r="AV228" s="9">
        <v>0</v>
      </c>
      <c r="AW228" s="9">
        <v>5</v>
      </c>
      <c r="AX228" s="9">
        <v>5</v>
      </c>
      <c r="AY228" s="9">
        <v>5</v>
      </c>
      <c r="AZ228" s="9">
        <v>5</v>
      </c>
      <c r="BA228" s="9">
        <v>9</v>
      </c>
      <c r="BB228" s="9">
        <v>9</v>
      </c>
      <c r="BC228" s="9">
        <v>7</v>
      </c>
      <c r="BD228" s="9">
        <v>7</v>
      </c>
      <c r="BE228" s="9">
        <v>8</v>
      </c>
      <c r="BF228" s="9">
        <v>11</v>
      </c>
      <c r="BG228" s="9">
        <v>13</v>
      </c>
      <c r="BH228" s="9">
        <v>13</v>
      </c>
      <c r="BI228" s="9">
        <v>13</v>
      </c>
      <c r="BJ228" s="9">
        <v>11</v>
      </c>
      <c r="BK228" s="9">
        <v>11</v>
      </c>
      <c r="BL228" s="9">
        <v>11</v>
      </c>
      <c r="BM228" s="9">
        <v>11</v>
      </c>
      <c r="BN228" s="9">
        <v>11</v>
      </c>
      <c r="BO228" s="9">
        <v>11</v>
      </c>
      <c r="BP228" s="10">
        <v>11</v>
      </c>
      <c r="BQ228">
        <v>13</v>
      </c>
      <c r="BR228">
        <v>16</v>
      </c>
    </row>
    <row r="229" spans="1:70" x14ac:dyDescent="0.35">
      <c r="A229" s="8" t="s">
        <v>174</v>
      </c>
      <c r="B229" s="9" t="s">
        <v>249</v>
      </c>
      <c r="C229" s="10" t="s">
        <v>906</v>
      </c>
      <c r="D229" s="34">
        <f t="shared" si="5"/>
        <v>51</v>
      </c>
      <c r="E229" s="9">
        <v>2</v>
      </c>
      <c r="F229" s="9">
        <v>2</v>
      </c>
      <c r="G229" s="9">
        <v>1</v>
      </c>
      <c r="H229" s="9">
        <v>1</v>
      </c>
      <c r="I229" s="9">
        <v>1</v>
      </c>
      <c r="J229" s="9">
        <v>1</v>
      </c>
      <c r="K229" s="9">
        <v>2</v>
      </c>
      <c r="L229" s="9">
        <v>2</v>
      </c>
      <c r="M229" s="9">
        <v>2</v>
      </c>
      <c r="N229" s="9">
        <v>2</v>
      </c>
      <c r="O229" s="9">
        <v>2</v>
      </c>
      <c r="P229" s="9">
        <v>2</v>
      </c>
      <c r="Q229" s="9">
        <v>2</v>
      </c>
      <c r="R229" s="9">
        <v>2</v>
      </c>
      <c r="S229" s="9">
        <v>3</v>
      </c>
      <c r="T229" s="9">
        <v>4</v>
      </c>
      <c r="U229" s="9">
        <v>4</v>
      </c>
      <c r="V229" s="9">
        <v>4</v>
      </c>
      <c r="W229" s="9">
        <v>3</v>
      </c>
      <c r="X229" s="9">
        <v>2</v>
      </c>
      <c r="Y229" s="9">
        <v>2</v>
      </c>
      <c r="Z229" s="9">
        <v>2</v>
      </c>
      <c r="AA229" s="9">
        <v>4</v>
      </c>
      <c r="AB229" s="9">
        <v>6</v>
      </c>
      <c r="AC229" s="9">
        <v>6</v>
      </c>
      <c r="AD229" s="9">
        <v>6</v>
      </c>
      <c r="AE229" s="9">
        <v>8</v>
      </c>
      <c r="AF229" s="9">
        <v>10</v>
      </c>
      <c r="AG229" s="9">
        <v>11</v>
      </c>
      <c r="AH229" s="9">
        <v>11</v>
      </c>
      <c r="AI229" s="9">
        <v>10</v>
      </c>
      <c r="AJ229" s="9">
        <v>7</v>
      </c>
      <c r="AK229" s="9">
        <v>9</v>
      </c>
      <c r="AL229" s="9">
        <v>9</v>
      </c>
      <c r="AM229" s="9">
        <v>9</v>
      </c>
      <c r="AN229" s="9">
        <v>9</v>
      </c>
      <c r="AO229" s="9">
        <v>9</v>
      </c>
      <c r="AP229" s="9">
        <v>11</v>
      </c>
      <c r="AQ229" s="9">
        <v>9</v>
      </c>
      <c r="AR229" s="9">
        <v>8</v>
      </c>
      <c r="AS229" s="9">
        <v>9</v>
      </c>
      <c r="AT229" s="9">
        <v>8</v>
      </c>
      <c r="AU229" s="9">
        <v>10</v>
      </c>
      <c r="AV229" s="9">
        <v>16</v>
      </c>
      <c r="AW229" s="9">
        <v>20</v>
      </c>
      <c r="AX229" s="9">
        <v>20</v>
      </c>
      <c r="AY229" s="9">
        <v>23</v>
      </c>
      <c r="AZ229" s="9">
        <v>23</v>
      </c>
      <c r="BA229" s="9">
        <v>25</v>
      </c>
      <c r="BB229" s="9">
        <v>27</v>
      </c>
      <c r="BC229" s="9">
        <v>25</v>
      </c>
      <c r="BD229" s="9">
        <v>29</v>
      </c>
      <c r="BE229" s="9">
        <v>31</v>
      </c>
      <c r="BF229" s="9">
        <v>28</v>
      </c>
      <c r="BG229" s="9">
        <v>29</v>
      </c>
      <c r="BH229" s="9">
        <v>32</v>
      </c>
      <c r="BI229" s="9">
        <v>31</v>
      </c>
      <c r="BJ229" s="9">
        <v>35</v>
      </c>
      <c r="BK229" s="9">
        <v>39</v>
      </c>
      <c r="BL229" s="9">
        <v>40</v>
      </c>
      <c r="BM229" s="9">
        <v>42</v>
      </c>
      <c r="BN229" s="9">
        <v>43</v>
      </c>
      <c r="BO229" s="9">
        <v>50</v>
      </c>
      <c r="BP229" s="10">
        <v>51</v>
      </c>
      <c r="BQ229">
        <v>44</v>
      </c>
      <c r="BR229">
        <v>50</v>
      </c>
    </row>
    <row r="230" spans="1:70" x14ac:dyDescent="0.35">
      <c r="A230" s="8" t="s">
        <v>174</v>
      </c>
      <c r="B230" s="9" t="s">
        <v>251</v>
      </c>
      <c r="C230" s="10" t="s">
        <v>907</v>
      </c>
      <c r="D230" s="34">
        <f t="shared" si="5"/>
        <v>6</v>
      </c>
      <c r="E230" s="9">
        <v>0</v>
      </c>
      <c r="F230" s="9">
        <v>0</v>
      </c>
      <c r="G230" s="9">
        <v>0</v>
      </c>
      <c r="H230" s="9">
        <v>0</v>
      </c>
      <c r="I230" s="9">
        <v>0</v>
      </c>
      <c r="J230" s="9">
        <v>0</v>
      </c>
      <c r="K230" s="9">
        <v>0</v>
      </c>
      <c r="L230" s="9">
        <v>0</v>
      </c>
      <c r="M230" s="9">
        <v>0</v>
      </c>
      <c r="N230" s="9">
        <v>0</v>
      </c>
      <c r="O230" s="9">
        <v>0</v>
      </c>
      <c r="P230" s="9">
        <v>0</v>
      </c>
      <c r="Q230" s="9">
        <v>0</v>
      </c>
      <c r="R230" s="9">
        <v>0</v>
      </c>
      <c r="S230" s="9">
        <v>0</v>
      </c>
      <c r="T230" s="9">
        <v>0</v>
      </c>
      <c r="U230" s="9">
        <v>0</v>
      </c>
      <c r="V230" s="9">
        <v>0</v>
      </c>
      <c r="W230" s="9">
        <v>0</v>
      </c>
      <c r="X230" s="9">
        <v>0</v>
      </c>
      <c r="Y230" s="9">
        <v>1</v>
      </c>
      <c r="Z230" s="9">
        <v>1</v>
      </c>
      <c r="AA230" s="9">
        <v>0</v>
      </c>
      <c r="AB230" s="9">
        <v>0</v>
      </c>
      <c r="AC230" s="9">
        <v>1</v>
      </c>
      <c r="AD230" s="9">
        <v>1</v>
      </c>
      <c r="AE230" s="9">
        <v>1</v>
      </c>
      <c r="AF230" s="9">
        <v>1</v>
      </c>
      <c r="AG230" s="9">
        <v>1</v>
      </c>
      <c r="AH230" s="9">
        <v>1</v>
      </c>
      <c r="AI230" s="9">
        <v>0</v>
      </c>
      <c r="AJ230" s="9">
        <v>1</v>
      </c>
      <c r="AK230" s="9">
        <v>1</v>
      </c>
      <c r="AL230" s="9">
        <v>1</v>
      </c>
      <c r="AM230" s="9">
        <v>1</v>
      </c>
      <c r="AN230" s="9">
        <v>1</v>
      </c>
      <c r="AO230" s="9">
        <v>3</v>
      </c>
      <c r="AP230" s="9">
        <v>4</v>
      </c>
      <c r="AQ230" s="9">
        <v>3</v>
      </c>
      <c r="AR230" s="9">
        <v>3</v>
      </c>
      <c r="AS230" s="9">
        <v>3</v>
      </c>
      <c r="AT230" s="9">
        <v>3</v>
      </c>
      <c r="AU230" s="9">
        <v>3</v>
      </c>
      <c r="AV230" s="9">
        <v>3</v>
      </c>
      <c r="AW230" s="9">
        <v>3</v>
      </c>
      <c r="AX230" s="9">
        <v>3</v>
      </c>
      <c r="AY230" s="9">
        <v>2</v>
      </c>
      <c r="AZ230" s="9">
        <v>2</v>
      </c>
      <c r="BA230" s="9">
        <v>2</v>
      </c>
      <c r="BB230" s="9">
        <v>0</v>
      </c>
      <c r="BC230" s="9">
        <v>2</v>
      </c>
      <c r="BD230" s="9">
        <v>2</v>
      </c>
      <c r="BE230" s="9">
        <v>3</v>
      </c>
      <c r="BF230" s="9">
        <v>4</v>
      </c>
      <c r="BG230" s="9">
        <v>4</v>
      </c>
      <c r="BH230" s="9">
        <v>6</v>
      </c>
      <c r="BI230" s="9">
        <v>6</v>
      </c>
      <c r="BJ230" s="9">
        <v>5</v>
      </c>
      <c r="BK230" s="9">
        <v>3</v>
      </c>
      <c r="BL230" s="9">
        <v>3</v>
      </c>
      <c r="BM230" s="9">
        <v>4</v>
      </c>
      <c r="BN230" s="9">
        <v>5</v>
      </c>
      <c r="BO230" s="9">
        <v>5</v>
      </c>
      <c r="BP230" s="10">
        <v>5</v>
      </c>
      <c r="BQ230">
        <v>5</v>
      </c>
      <c r="BR230">
        <v>5</v>
      </c>
    </row>
    <row r="231" spans="1:70" x14ac:dyDescent="0.35">
      <c r="A231" s="8" t="s">
        <v>174</v>
      </c>
      <c r="B231" s="9" t="s">
        <v>253</v>
      </c>
      <c r="C231" s="10" t="s">
        <v>908</v>
      </c>
      <c r="D231" s="34">
        <f t="shared" si="5"/>
        <v>12</v>
      </c>
      <c r="E231" s="9">
        <v>0</v>
      </c>
      <c r="F231" s="9">
        <v>0</v>
      </c>
      <c r="G231" s="9">
        <v>0</v>
      </c>
      <c r="H231" s="9">
        <v>0</v>
      </c>
      <c r="I231" s="9">
        <v>0</v>
      </c>
      <c r="J231" s="9">
        <v>0</v>
      </c>
      <c r="K231" s="9">
        <v>0</v>
      </c>
      <c r="L231" s="9">
        <v>0</v>
      </c>
      <c r="M231" s="9">
        <v>0</v>
      </c>
      <c r="N231" s="9">
        <v>0</v>
      </c>
      <c r="O231" s="9">
        <v>0</v>
      </c>
      <c r="P231" s="9">
        <v>0</v>
      </c>
      <c r="Q231" s="9">
        <v>0</v>
      </c>
      <c r="R231" s="9">
        <v>0</v>
      </c>
      <c r="S231" s="9">
        <v>0</v>
      </c>
      <c r="T231" s="9">
        <v>0</v>
      </c>
      <c r="U231" s="9">
        <v>0</v>
      </c>
      <c r="V231" s="9">
        <v>0</v>
      </c>
      <c r="W231" s="9">
        <v>0</v>
      </c>
      <c r="X231" s="9">
        <v>0</v>
      </c>
      <c r="Y231" s="9">
        <v>1</v>
      </c>
      <c r="Z231" s="9">
        <v>1</v>
      </c>
      <c r="AA231" s="9">
        <v>1</v>
      </c>
      <c r="AB231" s="9">
        <v>1</v>
      </c>
      <c r="AC231" s="9">
        <v>1</v>
      </c>
      <c r="AD231" s="9">
        <v>1</v>
      </c>
      <c r="AE231" s="9">
        <v>2</v>
      </c>
      <c r="AF231" s="9">
        <v>1</v>
      </c>
      <c r="AG231" s="9">
        <v>1</v>
      </c>
      <c r="AH231" s="9">
        <v>1</v>
      </c>
      <c r="AI231" s="9">
        <v>1</v>
      </c>
      <c r="AJ231" s="9">
        <v>1</v>
      </c>
      <c r="AK231" s="9">
        <v>1</v>
      </c>
      <c r="AL231" s="9">
        <v>1</v>
      </c>
      <c r="AM231" s="9">
        <v>1</v>
      </c>
      <c r="AN231" s="9">
        <v>2</v>
      </c>
      <c r="AO231" s="9">
        <v>2</v>
      </c>
      <c r="AP231" s="9">
        <v>1</v>
      </c>
      <c r="AQ231" s="9">
        <v>1</v>
      </c>
      <c r="AR231" s="9">
        <v>1</v>
      </c>
      <c r="AS231" s="9">
        <v>1</v>
      </c>
      <c r="AT231" s="9">
        <v>2</v>
      </c>
      <c r="AU231" s="9">
        <v>2</v>
      </c>
      <c r="AV231" s="9">
        <v>2</v>
      </c>
      <c r="AW231" s="9">
        <v>2</v>
      </c>
      <c r="AX231" s="9">
        <v>2</v>
      </c>
      <c r="AY231" s="9">
        <v>2</v>
      </c>
      <c r="AZ231" s="9">
        <v>2</v>
      </c>
      <c r="BA231" s="9">
        <v>2</v>
      </c>
      <c r="BB231" s="9">
        <v>1</v>
      </c>
      <c r="BC231" s="9">
        <v>2</v>
      </c>
      <c r="BD231" s="9">
        <v>3</v>
      </c>
      <c r="BE231" s="9">
        <v>5</v>
      </c>
      <c r="BF231" s="9">
        <v>6</v>
      </c>
      <c r="BG231" s="9">
        <v>7</v>
      </c>
      <c r="BH231" s="9">
        <v>6</v>
      </c>
      <c r="BI231" s="9">
        <v>8</v>
      </c>
      <c r="BJ231" s="9">
        <v>9</v>
      </c>
      <c r="BK231" s="9">
        <v>10</v>
      </c>
      <c r="BL231" s="9">
        <v>9</v>
      </c>
      <c r="BM231" s="9">
        <v>9</v>
      </c>
      <c r="BN231" s="9">
        <v>12</v>
      </c>
      <c r="BO231" s="9">
        <v>12</v>
      </c>
      <c r="BP231" s="10">
        <v>10</v>
      </c>
      <c r="BQ231">
        <v>12</v>
      </c>
      <c r="BR231">
        <v>11</v>
      </c>
    </row>
    <row r="232" spans="1:70" x14ac:dyDescent="0.35">
      <c r="A232" s="8" t="s">
        <v>174</v>
      </c>
      <c r="B232" s="9" t="s">
        <v>255</v>
      </c>
      <c r="C232" s="10" t="s">
        <v>909</v>
      </c>
      <c r="D232" s="34">
        <f t="shared" si="5"/>
        <v>9</v>
      </c>
      <c r="E232" s="9">
        <v>0</v>
      </c>
      <c r="F232" s="9">
        <v>0</v>
      </c>
      <c r="G232" s="9">
        <v>0</v>
      </c>
      <c r="H232" s="9">
        <v>0</v>
      </c>
      <c r="I232" s="9">
        <v>0</v>
      </c>
      <c r="J232" s="9">
        <v>0</v>
      </c>
      <c r="K232" s="9">
        <v>0</v>
      </c>
      <c r="L232" s="9">
        <v>0</v>
      </c>
      <c r="M232" s="9">
        <v>0</v>
      </c>
      <c r="N232" s="9">
        <v>0</v>
      </c>
      <c r="O232" s="9">
        <v>0</v>
      </c>
      <c r="P232" s="9">
        <v>0</v>
      </c>
      <c r="Q232" s="9">
        <v>0</v>
      </c>
      <c r="R232" s="9">
        <v>0</v>
      </c>
      <c r="S232" s="9">
        <v>0</v>
      </c>
      <c r="T232" s="9">
        <v>0</v>
      </c>
      <c r="U232" s="9">
        <v>0</v>
      </c>
      <c r="V232" s="9">
        <v>0</v>
      </c>
      <c r="W232" s="9">
        <v>0</v>
      </c>
      <c r="X232" s="9">
        <v>0</v>
      </c>
      <c r="Y232" s="9">
        <v>0</v>
      </c>
      <c r="Z232" s="9">
        <v>0</v>
      </c>
      <c r="AA232" s="9">
        <v>0</v>
      </c>
      <c r="AB232" s="9">
        <v>0</v>
      </c>
      <c r="AC232" s="9">
        <v>0</v>
      </c>
      <c r="AD232" s="9">
        <v>0</v>
      </c>
      <c r="AE232" s="9">
        <v>0</v>
      </c>
      <c r="AF232" s="9">
        <v>0</v>
      </c>
      <c r="AG232" s="9">
        <v>0</v>
      </c>
      <c r="AH232" s="9">
        <v>0</v>
      </c>
      <c r="AI232" s="9">
        <v>0</v>
      </c>
      <c r="AJ232" s="9">
        <v>0</v>
      </c>
      <c r="AK232" s="9">
        <v>0</v>
      </c>
      <c r="AL232" s="9">
        <v>0</v>
      </c>
      <c r="AM232" s="9">
        <v>0</v>
      </c>
      <c r="AN232" s="9">
        <v>0</v>
      </c>
      <c r="AO232" s="9">
        <v>0</v>
      </c>
      <c r="AP232" s="9">
        <v>0</v>
      </c>
      <c r="AQ232" s="9">
        <v>0</v>
      </c>
      <c r="AR232" s="9">
        <v>0</v>
      </c>
      <c r="AS232" s="9">
        <v>0</v>
      </c>
      <c r="AT232" s="9">
        <v>0</v>
      </c>
      <c r="AU232" s="9">
        <v>0</v>
      </c>
      <c r="AV232" s="9">
        <v>0</v>
      </c>
      <c r="AW232" s="9">
        <v>4</v>
      </c>
      <c r="AX232" s="9">
        <v>5</v>
      </c>
      <c r="AY232" s="9">
        <v>6</v>
      </c>
      <c r="AZ232" s="9">
        <v>8</v>
      </c>
      <c r="BA232" s="9">
        <v>8</v>
      </c>
      <c r="BB232" s="9">
        <v>8</v>
      </c>
      <c r="BC232" s="9">
        <v>8</v>
      </c>
      <c r="BD232" s="9">
        <v>8</v>
      </c>
      <c r="BE232" s="9">
        <v>9</v>
      </c>
      <c r="BF232" s="9">
        <v>9</v>
      </c>
      <c r="BG232" s="9">
        <v>9</v>
      </c>
      <c r="BH232" s="9">
        <v>9</v>
      </c>
      <c r="BI232" s="9">
        <v>9</v>
      </c>
      <c r="BJ232" s="9">
        <v>6</v>
      </c>
      <c r="BK232" s="9">
        <v>5</v>
      </c>
      <c r="BL232" s="9">
        <v>4</v>
      </c>
      <c r="BM232" s="9">
        <v>4</v>
      </c>
      <c r="BN232" s="9">
        <v>4</v>
      </c>
      <c r="BO232" s="9">
        <v>4</v>
      </c>
      <c r="BP232" s="10">
        <v>4</v>
      </c>
      <c r="BQ232">
        <v>1</v>
      </c>
      <c r="BR232">
        <v>1</v>
      </c>
    </row>
    <row r="233" spans="1:70" x14ac:dyDescent="0.35">
      <c r="A233" s="8" t="s">
        <v>174</v>
      </c>
      <c r="B233" s="9" t="s">
        <v>257</v>
      </c>
      <c r="C233" s="10" t="s">
        <v>910</v>
      </c>
      <c r="D233" s="34">
        <f t="shared" si="5"/>
        <v>22</v>
      </c>
      <c r="E233" s="9">
        <v>1</v>
      </c>
      <c r="F233" s="9">
        <v>1</v>
      </c>
      <c r="G233" s="9">
        <v>0</v>
      </c>
      <c r="H233" s="9">
        <v>0</v>
      </c>
      <c r="I233" s="9">
        <v>0</v>
      </c>
      <c r="J233" s="9">
        <v>0</v>
      </c>
      <c r="K233" s="9">
        <v>0</v>
      </c>
      <c r="L233" s="9">
        <v>0</v>
      </c>
      <c r="M233" s="9">
        <v>0</v>
      </c>
      <c r="N233" s="9">
        <v>0</v>
      </c>
      <c r="O233" s="9">
        <v>0</v>
      </c>
      <c r="P233" s="9">
        <v>0</v>
      </c>
      <c r="Q233" s="9">
        <v>0</v>
      </c>
      <c r="R233" s="9">
        <v>0</v>
      </c>
      <c r="S233" s="9">
        <v>1</v>
      </c>
      <c r="T233" s="9">
        <v>1</v>
      </c>
      <c r="U233" s="9">
        <v>0</v>
      </c>
      <c r="V233" s="9">
        <v>0</v>
      </c>
      <c r="W233" s="9">
        <v>0</v>
      </c>
      <c r="X233" s="9">
        <v>0</v>
      </c>
      <c r="Y233" s="9">
        <v>0</v>
      </c>
      <c r="Z233" s="9">
        <v>0</v>
      </c>
      <c r="AA233" s="9">
        <v>0</v>
      </c>
      <c r="AB233" s="9">
        <v>1</v>
      </c>
      <c r="AC233" s="9">
        <v>2</v>
      </c>
      <c r="AD233" s="9">
        <v>2</v>
      </c>
      <c r="AE233" s="9">
        <v>2</v>
      </c>
      <c r="AF233" s="9">
        <v>2</v>
      </c>
      <c r="AG233" s="9">
        <v>2</v>
      </c>
      <c r="AH233" s="9">
        <v>2</v>
      </c>
      <c r="AI233" s="9">
        <v>2</v>
      </c>
      <c r="AJ233" s="9">
        <v>3</v>
      </c>
      <c r="AK233" s="9">
        <v>3</v>
      </c>
      <c r="AL233" s="9">
        <v>4</v>
      </c>
      <c r="AM233" s="9">
        <v>5</v>
      </c>
      <c r="AN233" s="9">
        <v>5</v>
      </c>
      <c r="AO233" s="9">
        <v>6</v>
      </c>
      <c r="AP233" s="9">
        <v>5</v>
      </c>
      <c r="AQ233" s="9">
        <v>5</v>
      </c>
      <c r="AR233" s="9">
        <v>5</v>
      </c>
      <c r="AS233" s="9">
        <v>5</v>
      </c>
      <c r="AT233" s="9">
        <v>5</v>
      </c>
      <c r="AU233" s="9">
        <v>6</v>
      </c>
      <c r="AV233" s="9">
        <v>6</v>
      </c>
      <c r="AW233" s="9">
        <v>11</v>
      </c>
      <c r="AX233" s="9">
        <v>15</v>
      </c>
      <c r="AY233" s="9">
        <v>14</v>
      </c>
      <c r="AZ233" s="9">
        <v>14</v>
      </c>
      <c r="BA233" s="9">
        <v>19</v>
      </c>
      <c r="BB233" s="9">
        <v>18</v>
      </c>
      <c r="BC233" s="9">
        <v>14</v>
      </c>
      <c r="BD233" s="9">
        <v>17</v>
      </c>
      <c r="BE233" s="9">
        <v>14</v>
      </c>
      <c r="BF233" s="9">
        <v>14</v>
      </c>
      <c r="BG233" s="9">
        <v>14</v>
      </c>
      <c r="BH233" s="9">
        <v>17</v>
      </c>
      <c r="BI233" s="9">
        <v>20</v>
      </c>
      <c r="BJ233" s="9">
        <v>18</v>
      </c>
      <c r="BK233" s="9">
        <v>15</v>
      </c>
      <c r="BL233" s="9">
        <v>15</v>
      </c>
      <c r="BM233" s="9">
        <v>15</v>
      </c>
      <c r="BN233" s="9">
        <v>19</v>
      </c>
      <c r="BO233" s="9">
        <v>22</v>
      </c>
      <c r="BP233" s="10">
        <v>22</v>
      </c>
      <c r="BQ233">
        <v>22</v>
      </c>
      <c r="BR233">
        <v>19</v>
      </c>
    </row>
    <row r="234" spans="1:70" x14ac:dyDescent="0.35">
      <c r="A234" s="8" t="s">
        <v>174</v>
      </c>
      <c r="B234" s="9" t="s">
        <v>259</v>
      </c>
      <c r="C234" s="10" t="s">
        <v>911</v>
      </c>
      <c r="D234" s="34">
        <f t="shared" si="5"/>
        <v>11</v>
      </c>
      <c r="E234" s="9">
        <v>0</v>
      </c>
      <c r="F234" s="9">
        <v>0</v>
      </c>
      <c r="G234" s="9">
        <v>0</v>
      </c>
      <c r="H234" s="9">
        <v>0</v>
      </c>
      <c r="I234" s="9">
        <v>0</v>
      </c>
      <c r="J234" s="9">
        <v>0</v>
      </c>
      <c r="K234" s="9">
        <v>0</v>
      </c>
      <c r="L234" s="9">
        <v>0</v>
      </c>
      <c r="M234" s="9">
        <v>0</v>
      </c>
      <c r="N234" s="9">
        <v>0</v>
      </c>
      <c r="O234" s="9">
        <v>0</v>
      </c>
      <c r="P234" s="9">
        <v>0</v>
      </c>
      <c r="Q234" s="9">
        <v>0</v>
      </c>
      <c r="R234" s="9">
        <v>0</v>
      </c>
      <c r="S234" s="9">
        <v>0</v>
      </c>
      <c r="T234" s="9">
        <v>0</v>
      </c>
      <c r="U234" s="9">
        <v>0</v>
      </c>
      <c r="V234" s="9">
        <v>0</v>
      </c>
      <c r="W234" s="9">
        <v>0</v>
      </c>
      <c r="X234" s="9">
        <v>0</v>
      </c>
      <c r="Y234" s="9">
        <v>0</v>
      </c>
      <c r="Z234" s="9">
        <v>0</v>
      </c>
      <c r="AA234" s="9">
        <v>0</v>
      </c>
      <c r="AB234" s="9">
        <v>1</v>
      </c>
      <c r="AC234" s="9">
        <v>0</v>
      </c>
      <c r="AD234" s="9">
        <v>0</v>
      </c>
      <c r="AE234" s="9">
        <v>0</v>
      </c>
      <c r="AF234" s="9">
        <v>1</v>
      </c>
      <c r="AG234" s="9">
        <v>1</v>
      </c>
      <c r="AH234" s="9">
        <v>1</v>
      </c>
      <c r="AI234" s="9">
        <v>1</v>
      </c>
      <c r="AJ234" s="9">
        <v>1</v>
      </c>
      <c r="AK234" s="9">
        <v>1</v>
      </c>
      <c r="AL234" s="9">
        <v>1</v>
      </c>
      <c r="AM234" s="9">
        <v>1</v>
      </c>
      <c r="AN234" s="9">
        <v>1</v>
      </c>
      <c r="AO234" s="9">
        <v>1</v>
      </c>
      <c r="AP234" s="9">
        <v>1</v>
      </c>
      <c r="AQ234" s="9">
        <v>1</v>
      </c>
      <c r="AR234" s="9">
        <v>1</v>
      </c>
      <c r="AS234" s="9">
        <v>1</v>
      </c>
      <c r="AT234" s="9">
        <v>1</v>
      </c>
      <c r="AU234" s="9">
        <v>0</v>
      </c>
      <c r="AV234" s="9">
        <v>0</v>
      </c>
      <c r="AW234" s="9">
        <v>0</v>
      </c>
      <c r="AX234" s="9">
        <v>0</v>
      </c>
      <c r="AY234" s="9">
        <v>0</v>
      </c>
      <c r="AZ234" s="9">
        <v>0</v>
      </c>
      <c r="BA234" s="9">
        <v>0</v>
      </c>
      <c r="BB234" s="9">
        <v>0</v>
      </c>
      <c r="BC234" s="9">
        <v>0</v>
      </c>
      <c r="BD234" s="9">
        <v>0</v>
      </c>
      <c r="BE234" s="9">
        <v>2</v>
      </c>
      <c r="BF234" s="9">
        <v>3</v>
      </c>
      <c r="BG234" s="9">
        <v>3</v>
      </c>
      <c r="BH234" s="9">
        <v>7</v>
      </c>
      <c r="BI234" s="9">
        <v>7</v>
      </c>
      <c r="BJ234" s="9">
        <v>7</v>
      </c>
      <c r="BK234" s="9">
        <v>7</v>
      </c>
      <c r="BL234" s="9">
        <v>7</v>
      </c>
      <c r="BM234" s="9">
        <v>7</v>
      </c>
      <c r="BN234" s="9">
        <v>7</v>
      </c>
      <c r="BO234" s="9">
        <v>10</v>
      </c>
      <c r="BP234" s="10">
        <v>11</v>
      </c>
      <c r="BQ234">
        <v>11</v>
      </c>
      <c r="BR234">
        <v>11</v>
      </c>
    </row>
    <row r="235" spans="1:70" x14ac:dyDescent="0.35">
      <c r="A235" s="8" t="s">
        <v>261</v>
      </c>
      <c r="B235" s="9" t="s">
        <v>912</v>
      </c>
      <c r="C235" s="10" t="s">
        <v>913</v>
      </c>
      <c r="D235" s="34">
        <f t="shared" si="5"/>
        <v>0</v>
      </c>
      <c r="E235" s="9">
        <v>0</v>
      </c>
      <c r="F235" s="9">
        <v>0</v>
      </c>
      <c r="G235" s="9">
        <v>0</v>
      </c>
      <c r="H235" s="9">
        <v>0</v>
      </c>
      <c r="I235" s="9">
        <v>0</v>
      </c>
      <c r="J235" s="9">
        <v>0</v>
      </c>
      <c r="K235" s="9">
        <v>0</v>
      </c>
      <c r="L235" s="9">
        <v>0</v>
      </c>
      <c r="M235" s="9">
        <v>0</v>
      </c>
      <c r="N235" s="9">
        <v>0</v>
      </c>
      <c r="O235" s="9">
        <v>0</v>
      </c>
      <c r="P235" s="9">
        <v>0</v>
      </c>
      <c r="Q235" s="9">
        <v>0</v>
      </c>
      <c r="R235" s="9">
        <v>0</v>
      </c>
      <c r="S235" s="9">
        <v>0</v>
      </c>
      <c r="T235" s="9">
        <v>0</v>
      </c>
      <c r="U235" s="9">
        <v>0</v>
      </c>
      <c r="V235" s="9">
        <v>0</v>
      </c>
      <c r="W235" s="9">
        <v>0</v>
      </c>
      <c r="X235" s="9">
        <v>0</v>
      </c>
      <c r="Y235" s="9">
        <v>0</v>
      </c>
      <c r="Z235" s="9">
        <v>0</v>
      </c>
      <c r="AA235" s="9">
        <v>0</v>
      </c>
      <c r="AB235" s="9">
        <v>0</v>
      </c>
      <c r="AC235" s="9">
        <v>0</v>
      </c>
      <c r="AD235" s="9">
        <v>0</v>
      </c>
      <c r="AE235" s="9">
        <v>0</v>
      </c>
      <c r="AF235" s="9">
        <v>0</v>
      </c>
      <c r="AG235" s="9">
        <v>0</v>
      </c>
      <c r="AH235" s="9">
        <v>0</v>
      </c>
      <c r="AI235" s="9">
        <v>0</v>
      </c>
      <c r="AJ235" s="9">
        <v>0</v>
      </c>
      <c r="AK235" s="9">
        <v>0</v>
      </c>
      <c r="AL235" s="9">
        <v>0</v>
      </c>
      <c r="AM235" s="9">
        <v>0</v>
      </c>
      <c r="AN235" s="9">
        <v>0</v>
      </c>
      <c r="AO235" s="9">
        <v>0</v>
      </c>
      <c r="AP235" s="9">
        <v>0</v>
      </c>
      <c r="AQ235" s="9">
        <v>0</v>
      </c>
      <c r="AR235" s="9">
        <v>0</v>
      </c>
      <c r="AS235" s="9">
        <v>0</v>
      </c>
      <c r="AT235" s="9">
        <v>0</v>
      </c>
      <c r="AU235" s="9">
        <v>0</v>
      </c>
      <c r="AV235" s="9">
        <v>0</v>
      </c>
      <c r="AW235" s="9">
        <v>0</v>
      </c>
      <c r="AX235" s="9">
        <v>0</v>
      </c>
      <c r="AY235" s="9">
        <v>0</v>
      </c>
      <c r="AZ235" s="9">
        <v>0</v>
      </c>
      <c r="BA235" s="9">
        <v>0</v>
      </c>
      <c r="BB235" s="9">
        <v>0</v>
      </c>
      <c r="BC235" s="9">
        <v>0</v>
      </c>
      <c r="BD235" s="9">
        <v>0</v>
      </c>
      <c r="BE235" s="9">
        <v>0</v>
      </c>
      <c r="BF235" s="9">
        <v>0</v>
      </c>
      <c r="BG235" s="9">
        <v>0</v>
      </c>
      <c r="BH235" s="9">
        <v>0</v>
      </c>
      <c r="BI235" s="9">
        <v>0</v>
      </c>
      <c r="BJ235" s="9">
        <v>0</v>
      </c>
      <c r="BK235" s="9">
        <v>0</v>
      </c>
      <c r="BL235" s="9">
        <v>0</v>
      </c>
      <c r="BM235" s="9">
        <v>0</v>
      </c>
      <c r="BN235" s="9">
        <v>0</v>
      </c>
      <c r="BO235" s="9">
        <v>0</v>
      </c>
      <c r="BP235" s="10">
        <v>0</v>
      </c>
      <c r="BQ235">
        <v>0</v>
      </c>
      <c r="BR235">
        <v>0</v>
      </c>
    </row>
    <row r="236" spans="1:70" x14ac:dyDescent="0.35">
      <c r="A236" s="8" t="s">
        <v>261</v>
      </c>
      <c r="B236" s="9" t="s">
        <v>914</v>
      </c>
      <c r="C236" s="10" t="s">
        <v>915</v>
      </c>
      <c r="D236" s="34">
        <f t="shared" si="5"/>
        <v>0</v>
      </c>
      <c r="E236" s="9">
        <v>0</v>
      </c>
      <c r="F236" s="9">
        <v>0</v>
      </c>
      <c r="G236" s="9">
        <v>0</v>
      </c>
      <c r="H236" s="9">
        <v>0</v>
      </c>
      <c r="I236" s="9">
        <v>0</v>
      </c>
      <c r="J236" s="9">
        <v>0</v>
      </c>
      <c r="K236" s="9">
        <v>0</v>
      </c>
      <c r="L236" s="9">
        <v>0</v>
      </c>
      <c r="M236" s="9">
        <v>0</v>
      </c>
      <c r="N236" s="9">
        <v>0</v>
      </c>
      <c r="O236" s="9">
        <v>0</v>
      </c>
      <c r="P236" s="9">
        <v>0</v>
      </c>
      <c r="Q236" s="9">
        <v>0</v>
      </c>
      <c r="R236" s="9">
        <v>0</v>
      </c>
      <c r="S236" s="9">
        <v>0</v>
      </c>
      <c r="T236" s="9">
        <v>0</v>
      </c>
      <c r="U236" s="9">
        <v>0</v>
      </c>
      <c r="V236" s="9">
        <v>0</v>
      </c>
      <c r="W236" s="9">
        <v>0</v>
      </c>
      <c r="X236" s="9">
        <v>0</v>
      </c>
      <c r="Y236" s="9">
        <v>0</v>
      </c>
      <c r="Z236" s="9">
        <v>0</v>
      </c>
      <c r="AA236" s="9">
        <v>0</v>
      </c>
      <c r="AB236" s="9">
        <v>0</v>
      </c>
      <c r="AC236" s="9">
        <v>0</v>
      </c>
      <c r="AD236" s="9">
        <v>0</v>
      </c>
      <c r="AE236" s="9">
        <v>0</v>
      </c>
      <c r="AF236" s="9">
        <v>0</v>
      </c>
      <c r="AG236" s="9">
        <v>0</v>
      </c>
      <c r="AH236" s="9">
        <v>0</v>
      </c>
      <c r="AI236" s="9">
        <v>0</v>
      </c>
      <c r="AJ236" s="9">
        <v>0</v>
      </c>
      <c r="AK236" s="9">
        <v>0</v>
      </c>
      <c r="AL236" s="9">
        <v>0</v>
      </c>
      <c r="AM236" s="9">
        <v>0</v>
      </c>
      <c r="AN236" s="9">
        <v>0</v>
      </c>
      <c r="AO236" s="9">
        <v>0</v>
      </c>
      <c r="AP236" s="9">
        <v>0</v>
      </c>
      <c r="AQ236" s="9">
        <v>0</v>
      </c>
      <c r="AR236" s="9">
        <v>0</v>
      </c>
      <c r="AS236" s="9">
        <v>0</v>
      </c>
      <c r="AT236" s="9">
        <v>0</v>
      </c>
      <c r="AU236" s="9">
        <v>0</v>
      </c>
      <c r="AV236" s="9">
        <v>0</v>
      </c>
      <c r="AW236" s="9">
        <v>0</v>
      </c>
      <c r="AX236" s="9">
        <v>0</v>
      </c>
      <c r="AY236" s="9">
        <v>0</v>
      </c>
      <c r="AZ236" s="9">
        <v>0</v>
      </c>
      <c r="BA236" s="9">
        <v>0</v>
      </c>
      <c r="BB236" s="9">
        <v>0</v>
      </c>
      <c r="BC236" s="9">
        <v>0</v>
      </c>
      <c r="BD236" s="9">
        <v>0</v>
      </c>
      <c r="BE236" s="9">
        <v>0</v>
      </c>
      <c r="BF236" s="9">
        <v>0</v>
      </c>
      <c r="BG236" s="9">
        <v>0</v>
      </c>
      <c r="BH236" s="9">
        <v>0</v>
      </c>
      <c r="BI236" s="9">
        <v>0</v>
      </c>
      <c r="BJ236" s="9">
        <v>0</v>
      </c>
      <c r="BK236" s="9">
        <v>0</v>
      </c>
      <c r="BL236" s="9">
        <v>0</v>
      </c>
      <c r="BM236" s="9">
        <v>0</v>
      </c>
      <c r="BN236" s="9">
        <v>0</v>
      </c>
      <c r="BO236" s="9">
        <v>0</v>
      </c>
      <c r="BP236" s="10">
        <v>0</v>
      </c>
      <c r="BQ236">
        <v>0</v>
      </c>
      <c r="BR236">
        <v>0</v>
      </c>
    </row>
    <row r="237" spans="1:70" x14ac:dyDescent="0.35">
      <c r="A237" s="8" t="s">
        <v>261</v>
      </c>
      <c r="B237" s="9" t="s">
        <v>916</v>
      </c>
      <c r="C237" s="10" t="s">
        <v>917</v>
      </c>
      <c r="D237" s="34">
        <f t="shared" si="5"/>
        <v>0</v>
      </c>
      <c r="E237" s="9">
        <v>0</v>
      </c>
      <c r="F237" s="9">
        <v>0</v>
      </c>
      <c r="G237" s="9">
        <v>0</v>
      </c>
      <c r="H237" s="9">
        <v>0</v>
      </c>
      <c r="I237" s="9">
        <v>0</v>
      </c>
      <c r="J237" s="9">
        <v>0</v>
      </c>
      <c r="K237" s="9">
        <v>0</v>
      </c>
      <c r="L237" s="9">
        <v>0</v>
      </c>
      <c r="M237" s="9">
        <v>0</v>
      </c>
      <c r="N237" s="9">
        <v>0</v>
      </c>
      <c r="O237" s="9">
        <v>0</v>
      </c>
      <c r="P237" s="9">
        <v>0</v>
      </c>
      <c r="Q237" s="9">
        <v>0</v>
      </c>
      <c r="R237" s="9">
        <v>0</v>
      </c>
      <c r="S237" s="9">
        <v>0</v>
      </c>
      <c r="T237" s="9">
        <v>0</v>
      </c>
      <c r="U237" s="9">
        <v>0</v>
      </c>
      <c r="V237" s="9">
        <v>0</v>
      </c>
      <c r="W237" s="9">
        <v>0</v>
      </c>
      <c r="X237" s="9">
        <v>0</v>
      </c>
      <c r="Y237" s="9">
        <v>0</v>
      </c>
      <c r="Z237" s="9">
        <v>0</v>
      </c>
      <c r="AA237" s="9">
        <v>0</v>
      </c>
      <c r="AB237" s="9">
        <v>0</v>
      </c>
      <c r="AC237" s="9">
        <v>0</v>
      </c>
      <c r="AD237" s="9">
        <v>0</v>
      </c>
      <c r="AE237" s="9">
        <v>0</v>
      </c>
      <c r="AF237" s="9">
        <v>0</v>
      </c>
      <c r="AG237" s="9">
        <v>0</v>
      </c>
      <c r="AH237" s="9">
        <v>0</v>
      </c>
      <c r="AI237" s="9">
        <v>0</v>
      </c>
      <c r="AJ237" s="9">
        <v>0</v>
      </c>
      <c r="AK237" s="9">
        <v>0</v>
      </c>
      <c r="AL237" s="9">
        <v>0</v>
      </c>
      <c r="AM237" s="9">
        <v>0</v>
      </c>
      <c r="AN237" s="9">
        <v>0</v>
      </c>
      <c r="AO237" s="9">
        <v>0</v>
      </c>
      <c r="AP237" s="9">
        <v>0</v>
      </c>
      <c r="AQ237" s="9">
        <v>0</v>
      </c>
      <c r="AR237" s="9">
        <v>0</v>
      </c>
      <c r="AS237" s="9">
        <v>0</v>
      </c>
      <c r="AT237" s="9">
        <v>0</v>
      </c>
      <c r="AU237" s="9">
        <v>0</v>
      </c>
      <c r="AV237" s="9">
        <v>0</v>
      </c>
      <c r="AW237" s="9">
        <v>0</v>
      </c>
      <c r="AX237" s="9">
        <v>0</v>
      </c>
      <c r="AY237" s="9">
        <v>0</v>
      </c>
      <c r="AZ237" s="9">
        <v>0</v>
      </c>
      <c r="BA237" s="9">
        <v>0</v>
      </c>
      <c r="BB237" s="9">
        <v>0</v>
      </c>
      <c r="BC237" s="9">
        <v>0</v>
      </c>
      <c r="BD237" s="9">
        <v>0</v>
      </c>
      <c r="BE237" s="9">
        <v>0</v>
      </c>
      <c r="BF237" s="9">
        <v>0</v>
      </c>
      <c r="BG237" s="9">
        <v>0</v>
      </c>
      <c r="BH237" s="9">
        <v>0</v>
      </c>
      <c r="BI237" s="9">
        <v>0</v>
      </c>
      <c r="BJ237" s="9">
        <v>0</v>
      </c>
      <c r="BK237" s="9">
        <v>0</v>
      </c>
      <c r="BL237" s="9">
        <v>0</v>
      </c>
      <c r="BM237" s="9">
        <v>0</v>
      </c>
      <c r="BN237" s="9">
        <v>0</v>
      </c>
      <c r="BO237" s="9">
        <v>0</v>
      </c>
      <c r="BP237" s="10">
        <v>0</v>
      </c>
      <c r="BQ237">
        <v>0</v>
      </c>
      <c r="BR237">
        <v>0</v>
      </c>
    </row>
    <row r="238" spans="1:70" x14ac:dyDescent="0.35">
      <c r="A238" s="8" t="s">
        <v>261</v>
      </c>
      <c r="B238" s="9" t="s">
        <v>264</v>
      </c>
      <c r="C238" s="10" t="s">
        <v>918</v>
      </c>
      <c r="D238" s="34">
        <f t="shared" si="5"/>
        <v>0</v>
      </c>
      <c r="E238" s="9">
        <v>0</v>
      </c>
      <c r="F238" s="9">
        <v>0</v>
      </c>
      <c r="G238" s="9">
        <v>0</v>
      </c>
      <c r="H238" s="9">
        <v>0</v>
      </c>
      <c r="I238" s="9">
        <v>0</v>
      </c>
      <c r="J238" s="9">
        <v>0</v>
      </c>
      <c r="K238" s="9">
        <v>0</v>
      </c>
      <c r="L238" s="9">
        <v>0</v>
      </c>
      <c r="M238" s="9">
        <v>0</v>
      </c>
      <c r="N238" s="9">
        <v>0</v>
      </c>
      <c r="O238" s="9">
        <v>0</v>
      </c>
      <c r="P238" s="9">
        <v>0</v>
      </c>
      <c r="Q238" s="9">
        <v>0</v>
      </c>
      <c r="R238" s="9">
        <v>0</v>
      </c>
      <c r="S238" s="9">
        <v>0</v>
      </c>
      <c r="T238" s="9">
        <v>0</v>
      </c>
      <c r="U238" s="9">
        <v>0</v>
      </c>
      <c r="V238" s="9">
        <v>0</v>
      </c>
      <c r="W238" s="9">
        <v>0</v>
      </c>
      <c r="X238" s="9">
        <v>0</v>
      </c>
      <c r="Y238" s="9">
        <v>0</v>
      </c>
      <c r="Z238" s="9">
        <v>0</v>
      </c>
      <c r="AA238" s="9">
        <v>0</v>
      </c>
      <c r="AB238" s="9">
        <v>0</v>
      </c>
      <c r="AC238" s="9">
        <v>0</v>
      </c>
      <c r="AD238" s="9">
        <v>0</v>
      </c>
      <c r="AE238" s="9">
        <v>0</v>
      </c>
      <c r="AF238" s="9">
        <v>0</v>
      </c>
      <c r="AG238" s="9">
        <v>0</v>
      </c>
      <c r="AH238" s="9">
        <v>0</v>
      </c>
      <c r="AI238" s="9">
        <v>0</v>
      </c>
      <c r="AJ238" s="9">
        <v>0</v>
      </c>
      <c r="AK238" s="9">
        <v>0</v>
      </c>
      <c r="AL238" s="9">
        <v>0</v>
      </c>
      <c r="AM238" s="9">
        <v>0</v>
      </c>
      <c r="AN238" s="9">
        <v>0</v>
      </c>
      <c r="AO238" s="9">
        <v>0</v>
      </c>
      <c r="AP238" s="9">
        <v>0</v>
      </c>
      <c r="AQ238" s="9">
        <v>0</v>
      </c>
      <c r="AR238" s="9">
        <v>0</v>
      </c>
      <c r="AS238" s="9">
        <v>0</v>
      </c>
      <c r="AT238" s="9">
        <v>0</v>
      </c>
      <c r="AU238" s="9">
        <v>0</v>
      </c>
      <c r="AV238" s="9">
        <v>0</v>
      </c>
      <c r="AW238" s="9">
        <v>0</v>
      </c>
      <c r="AX238" s="9">
        <v>0</v>
      </c>
      <c r="AY238" s="9">
        <v>0</v>
      </c>
      <c r="AZ238" s="9">
        <v>0</v>
      </c>
      <c r="BA238" s="9">
        <v>0</v>
      </c>
      <c r="BB238" s="9">
        <v>0</v>
      </c>
      <c r="BC238" s="9">
        <v>0</v>
      </c>
      <c r="BD238" s="9">
        <v>0</v>
      </c>
      <c r="BE238" s="9">
        <v>0</v>
      </c>
      <c r="BF238" s="9">
        <v>0</v>
      </c>
      <c r="BG238" s="9">
        <v>0</v>
      </c>
      <c r="BH238" s="9">
        <v>0</v>
      </c>
      <c r="BI238" s="9">
        <v>0</v>
      </c>
      <c r="BJ238" s="9">
        <v>0</v>
      </c>
      <c r="BK238" s="9">
        <v>0</v>
      </c>
      <c r="BL238" s="9">
        <v>0</v>
      </c>
      <c r="BM238" s="9">
        <v>0</v>
      </c>
      <c r="BN238" s="9">
        <v>0</v>
      </c>
      <c r="BO238" s="9">
        <v>0</v>
      </c>
      <c r="BP238" s="10">
        <v>0</v>
      </c>
      <c r="BQ238">
        <v>0</v>
      </c>
      <c r="BR238">
        <v>0</v>
      </c>
    </row>
    <row r="239" spans="1:70" x14ac:dyDescent="0.35">
      <c r="A239" s="8" t="s">
        <v>261</v>
      </c>
      <c r="B239" s="9" t="s">
        <v>266</v>
      </c>
      <c r="C239" s="10" t="s">
        <v>919</v>
      </c>
      <c r="D239" s="34">
        <f t="shared" si="5"/>
        <v>0</v>
      </c>
      <c r="E239" s="9">
        <v>0</v>
      </c>
      <c r="F239" s="9">
        <v>0</v>
      </c>
      <c r="G239" s="9">
        <v>0</v>
      </c>
      <c r="H239" s="9">
        <v>0</v>
      </c>
      <c r="I239" s="9">
        <v>0</v>
      </c>
      <c r="J239" s="9">
        <v>0</v>
      </c>
      <c r="K239" s="9">
        <v>0</v>
      </c>
      <c r="L239" s="9">
        <v>0</v>
      </c>
      <c r="M239" s="9">
        <v>0</v>
      </c>
      <c r="N239" s="9">
        <v>0</v>
      </c>
      <c r="O239" s="9">
        <v>0</v>
      </c>
      <c r="P239" s="9">
        <v>0</v>
      </c>
      <c r="Q239" s="9">
        <v>0</v>
      </c>
      <c r="R239" s="9">
        <v>0</v>
      </c>
      <c r="S239" s="9">
        <v>0</v>
      </c>
      <c r="T239" s="9">
        <v>0</v>
      </c>
      <c r="U239" s="9">
        <v>0</v>
      </c>
      <c r="V239" s="9">
        <v>0</v>
      </c>
      <c r="W239" s="9">
        <v>0</v>
      </c>
      <c r="X239" s="9">
        <v>0</v>
      </c>
      <c r="Y239" s="9">
        <v>0</v>
      </c>
      <c r="Z239" s="9">
        <v>0</v>
      </c>
      <c r="AA239" s="9">
        <v>0</v>
      </c>
      <c r="AB239" s="9">
        <v>0</v>
      </c>
      <c r="AC239" s="9">
        <v>0</v>
      </c>
      <c r="AD239" s="9">
        <v>0</v>
      </c>
      <c r="AE239" s="9">
        <v>0</v>
      </c>
      <c r="AF239" s="9">
        <v>0</v>
      </c>
      <c r="AG239" s="9">
        <v>0</v>
      </c>
      <c r="AH239" s="9">
        <v>0</v>
      </c>
      <c r="AI239" s="9">
        <v>0</v>
      </c>
      <c r="AJ239" s="9">
        <v>0</v>
      </c>
      <c r="AK239" s="9">
        <v>0</v>
      </c>
      <c r="AL239" s="9">
        <v>0</v>
      </c>
      <c r="AM239" s="9">
        <v>0</v>
      </c>
      <c r="AN239" s="9">
        <v>0</v>
      </c>
      <c r="AO239" s="9">
        <v>0</v>
      </c>
      <c r="AP239" s="9">
        <v>0</v>
      </c>
      <c r="AQ239" s="9">
        <v>0</v>
      </c>
      <c r="AR239" s="9">
        <v>0</v>
      </c>
      <c r="AS239" s="9">
        <v>0</v>
      </c>
      <c r="AT239" s="9">
        <v>0</v>
      </c>
      <c r="AU239" s="9">
        <v>0</v>
      </c>
      <c r="AV239" s="9">
        <v>0</v>
      </c>
      <c r="AW239" s="9">
        <v>0</v>
      </c>
      <c r="AX239" s="9">
        <v>0</v>
      </c>
      <c r="AY239" s="9">
        <v>0</v>
      </c>
      <c r="AZ239" s="9">
        <v>0</v>
      </c>
      <c r="BA239" s="9">
        <v>0</v>
      </c>
      <c r="BB239" s="9">
        <v>0</v>
      </c>
      <c r="BC239" s="9">
        <v>0</v>
      </c>
      <c r="BD239" s="9">
        <v>0</v>
      </c>
      <c r="BE239" s="9">
        <v>0</v>
      </c>
      <c r="BF239" s="9">
        <v>0</v>
      </c>
      <c r="BG239" s="9">
        <v>0</v>
      </c>
      <c r="BH239" s="9">
        <v>0</v>
      </c>
      <c r="BI239" s="9">
        <v>0</v>
      </c>
      <c r="BJ239" s="9">
        <v>0</v>
      </c>
      <c r="BK239" s="9">
        <v>0</v>
      </c>
      <c r="BL239" s="9">
        <v>0</v>
      </c>
      <c r="BM239" s="9">
        <v>0</v>
      </c>
      <c r="BN239" s="9">
        <v>0</v>
      </c>
      <c r="BO239" s="9">
        <v>0</v>
      </c>
      <c r="BP239" s="10">
        <v>0</v>
      </c>
      <c r="BQ239">
        <v>0</v>
      </c>
      <c r="BR239">
        <v>0</v>
      </c>
    </row>
    <row r="240" spans="1:70" x14ac:dyDescent="0.35">
      <c r="A240" s="8" t="s">
        <v>261</v>
      </c>
      <c r="B240" s="9" t="s">
        <v>268</v>
      </c>
      <c r="C240" s="10" t="s">
        <v>920</v>
      </c>
      <c r="D240" s="34">
        <f t="shared" si="5"/>
        <v>66</v>
      </c>
      <c r="E240" s="9">
        <v>0</v>
      </c>
      <c r="F240" s="9">
        <v>0</v>
      </c>
      <c r="G240" s="9">
        <v>0</v>
      </c>
      <c r="H240" s="9">
        <v>0</v>
      </c>
      <c r="I240" s="9">
        <v>0</v>
      </c>
      <c r="J240" s="9">
        <v>0</v>
      </c>
      <c r="K240" s="9">
        <v>0</v>
      </c>
      <c r="L240" s="9">
        <v>0</v>
      </c>
      <c r="M240" s="9">
        <v>0</v>
      </c>
      <c r="N240" s="9">
        <v>0</v>
      </c>
      <c r="O240" s="9">
        <v>0</v>
      </c>
      <c r="P240" s="9">
        <v>0</v>
      </c>
      <c r="Q240" s="9">
        <v>0</v>
      </c>
      <c r="R240" s="9">
        <v>0</v>
      </c>
      <c r="S240" s="9">
        <v>0</v>
      </c>
      <c r="T240" s="9">
        <v>0</v>
      </c>
      <c r="U240" s="9">
        <v>0</v>
      </c>
      <c r="V240" s="9">
        <v>0</v>
      </c>
      <c r="W240" s="9">
        <v>0</v>
      </c>
      <c r="X240" s="9">
        <v>0</v>
      </c>
      <c r="Y240" s="9">
        <v>0</v>
      </c>
      <c r="Z240" s="9">
        <v>0</v>
      </c>
      <c r="AA240" s="9">
        <v>0</v>
      </c>
      <c r="AB240" s="9">
        <v>0</v>
      </c>
      <c r="AC240" s="9">
        <v>0</v>
      </c>
      <c r="AD240" s="9">
        <v>0</v>
      </c>
      <c r="AE240" s="9">
        <v>0</v>
      </c>
      <c r="AF240" s="9">
        <v>0</v>
      </c>
      <c r="AG240" s="9">
        <v>0</v>
      </c>
      <c r="AH240" s="9">
        <v>0</v>
      </c>
      <c r="AI240" s="9">
        <v>0</v>
      </c>
      <c r="AJ240" s="9">
        <v>0</v>
      </c>
      <c r="AK240" s="9">
        <v>0</v>
      </c>
      <c r="AL240" s="9">
        <v>0</v>
      </c>
      <c r="AM240" s="9">
        <v>0</v>
      </c>
      <c r="AN240" s="9">
        <v>0</v>
      </c>
      <c r="AO240" s="9">
        <v>0</v>
      </c>
      <c r="AP240" s="9">
        <v>3</v>
      </c>
      <c r="AQ240" s="9">
        <v>3</v>
      </c>
      <c r="AR240" s="9">
        <v>3</v>
      </c>
      <c r="AS240" s="9">
        <v>3</v>
      </c>
      <c r="AT240" s="9">
        <v>3</v>
      </c>
      <c r="AU240" s="9">
        <v>3</v>
      </c>
      <c r="AV240" s="9">
        <v>2</v>
      </c>
      <c r="AW240" s="9">
        <v>1</v>
      </c>
      <c r="AX240" s="9">
        <v>1</v>
      </c>
      <c r="AY240" s="9">
        <v>0</v>
      </c>
      <c r="AZ240" s="9">
        <v>2</v>
      </c>
      <c r="BA240" s="9">
        <v>2</v>
      </c>
      <c r="BB240" s="9">
        <v>2</v>
      </c>
      <c r="BC240" s="9">
        <v>2</v>
      </c>
      <c r="BD240" s="9">
        <v>1</v>
      </c>
      <c r="BE240" s="9">
        <v>2</v>
      </c>
      <c r="BF240" s="9">
        <v>2</v>
      </c>
      <c r="BG240" s="9">
        <v>2</v>
      </c>
      <c r="BH240" s="9">
        <v>2</v>
      </c>
      <c r="BI240" s="9">
        <v>2</v>
      </c>
      <c r="BJ240" s="9">
        <v>2</v>
      </c>
      <c r="BK240" s="9">
        <v>3</v>
      </c>
      <c r="BL240" s="9">
        <v>2</v>
      </c>
      <c r="BM240" s="9">
        <v>66</v>
      </c>
      <c r="BN240" s="9">
        <v>2</v>
      </c>
      <c r="BO240" s="9">
        <v>3</v>
      </c>
      <c r="BP240" s="10">
        <v>3</v>
      </c>
      <c r="BQ240">
        <v>2</v>
      </c>
      <c r="BR240">
        <v>2</v>
      </c>
    </row>
    <row r="241" spans="1:70" x14ac:dyDescent="0.35">
      <c r="A241" s="8" t="s">
        <v>261</v>
      </c>
      <c r="B241" s="9" t="s">
        <v>921</v>
      </c>
      <c r="C241" s="10" t="s">
        <v>922</v>
      </c>
      <c r="D241" s="34">
        <f t="shared" si="5"/>
        <v>1</v>
      </c>
      <c r="E241" s="9">
        <v>0</v>
      </c>
      <c r="F241" s="9">
        <v>0</v>
      </c>
      <c r="G241" s="9">
        <v>0</v>
      </c>
      <c r="H241" s="9">
        <v>0</v>
      </c>
      <c r="I241" s="9">
        <v>0</v>
      </c>
      <c r="J241" s="9">
        <v>0</v>
      </c>
      <c r="K241" s="9">
        <v>0</v>
      </c>
      <c r="L241" s="9">
        <v>0</v>
      </c>
      <c r="M241" s="9">
        <v>0</v>
      </c>
      <c r="N241" s="9">
        <v>0</v>
      </c>
      <c r="O241" s="9">
        <v>0</v>
      </c>
      <c r="P241" s="9">
        <v>0</v>
      </c>
      <c r="Q241" s="9">
        <v>0</v>
      </c>
      <c r="R241" s="9">
        <v>0</v>
      </c>
      <c r="S241" s="9">
        <v>0</v>
      </c>
      <c r="T241" s="9">
        <v>0</v>
      </c>
      <c r="U241" s="9">
        <v>0</v>
      </c>
      <c r="V241" s="9">
        <v>0</v>
      </c>
      <c r="W241" s="9">
        <v>0</v>
      </c>
      <c r="X241" s="9">
        <v>0</v>
      </c>
      <c r="Y241" s="9">
        <v>0</v>
      </c>
      <c r="Z241" s="9">
        <v>0</v>
      </c>
      <c r="AA241" s="9">
        <v>0</v>
      </c>
      <c r="AB241" s="9">
        <v>0</v>
      </c>
      <c r="AC241" s="9">
        <v>0</v>
      </c>
      <c r="AD241" s="9">
        <v>0</v>
      </c>
      <c r="AE241" s="9">
        <v>0</v>
      </c>
      <c r="AF241" s="9">
        <v>0</v>
      </c>
      <c r="AG241" s="9">
        <v>0</v>
      </c>
      <c r="AH241" s="9">
        <v>0</v>
      </c>
      <c r="AI241" s="9">
        <v>0</v>
      </c>
      <c r="AJ241" s="9">
        <v>0</v>
      </c>
      <c r="AK241" s="9">
        <v>0</v>
      </c>
      <c r="AL241" s="9">
        <v>0</v>
      </c>
      <c r="AM241" s="9">
        <v>0</v>
      </c>
      <c r="AN241" s="9">
        <v>0</v>
      </c>
      <c r="AO241" s="9">
        <v>0</v>
      </c>
      <c r="AP241" s="9">
        <v>0</v>
      </c>
      <c r="AQ241" s="9">
        <v>0</v>
      </c>
      <c r="AR241" s="9">
        <v>0</v>
      </c>
      <c r="AS241" s="9">
        <v>0</v>
      </c>
      <c r="AT241" s="9">
        <v>0</v>
      </c>
      <c r="AU241" s="9">
        <v>0</v>
      </c>
      <c r="AV241" s="9">
        <v>0</v>
      </c>
      <c r="AW241" s="9">
        <v>0</v>
      </c>
      <c r="AX241" s="9">
        <v>0</v>
      </c>
      <c r="AY241" s="9">
        <v>0</v>
      </c>
      <c r="AZ241" s="9">
        <v>0</v>
      </c>
      <c r="BA241" s="9">
        <v>0</v>
      </c>
      <c r="BB241" s="9">
        <v>0</v>
      </c>
      <c r="BC241" s="9">
        <v>0</v>
      </c>
      <c r="BD241" s="9">
        <v>1</v>
      </c>
      <c r="BE241" s="9">
        <v>1</v>
      </c>
      <c r="BF241" s="9">
        <v>1</v>
      </c>
      <c r="BG241" s="9">
        <v>1</v>
      </c>
      <c r="BH241" s="9">
        <v>0</v>
      </c>
      <c r="BI241" s="9">
        <v>0</v>
      </c>
      <c r="BJ241" s="9">
        <v>1</v>
      </c>
      <c r="BK241" s="9">
        <v>1</v>
      </c>
      <c r="BL241" s="9">
        <v>1</v>
      </c>
      <c r="BM241" s="9">
        <v>1</v>
      </c>
      <c r="BN241" s="9">
        <v>1</v>
      </c>
      <c r="BO241" s="9">
        <v>1</v>
      </c>
      <c r="BP241" s="10">
        <v>1</v>
      </c>
      <c r="BQ241">
        <v>1</v>
      </c>
      <c r="BR241">
        <v>1</v>
      </c>
    </row>
    <row r="242" spans="1:70" x14ac:dyDescent="0.35">
      <c r="A242" s="8" t="s">
        <v>261</v>
      </c>
      <c r="B242" s="9" t="s">
        <v>923</v>
      </c>
      <c r="C242" s="10" t="s">
        <v>924</v>
      </c>
      <c r="D242" s="34">
        <f t="shared" si="5"/>
        <v>0</v>
      </c>
      <c r="E242" s="9">
        <v>0</v>
      </c>
      <c r="F242" s="9">
        <v>0</v>
      </c>
      <c r="G242" s="9">
        <v>0</v>
      </c>
      <c r="H242" s="9">
        <v>0</v>
      </c>
      <c r="I242" s="9">
        <v>0</v>
      </c>
      <c r="J242" s="9">
        <v>0</v>
      </c>
      <c r="K242" s="9">
        <v>0</v>
      </c>
      <c r="L242" s="9">
        <v>0</v>
      </c>
      <c r="M242" s="9">
        <v>0</v>
      </c>
      <c r="N242" s="9">
        <v>0</v>
      </c>
      <c r="O242" s="9">
        <v>0</v>
      </c>
      <c r="P242" s="9">
        <v>0</v>
      </c>
      <c r="Q242" s="9">
        <v>0</v>
      </c>
      <c r="R242" s="9">
        <v>0</v>
      </c>
      <c r="S242" s="9">
        <v>0</v>
      </c>
      <c r="T242" s="9">
        <v>0</v>
      </c>
      <c r="U242" s="9">
        <v>0</v>
      </c>
      <c r="V242" s="9">
        <v>0</v>
      </c>
      <c r="W242" s="9">
        <v>0</v>
      </c>
      <c r="X242" s="9">
        <v>0</v>
      </c>
      <c r="Y242" s="9">
        <v>0</v>
      </c>
      <c r="Z242" s="9">
        <v>0</v>
      </c>
      <c r="AA242" s="9">
        <v>0</v>
      </c>
      <c r="AB242" s="9">
        <v>0</v>
      </c>
      <c r="AC242" s="9">
        <v>0</v>
      </c>
      <c r="AD242" s="9">
        <v>0</v>
      </c>
      <c r="AE242" s="9">
        <v>0</v>
      </c>
      <c r="AF242" s="9">
        <v>0</v>
      </c>
      <c r="AG242" s="9">
        <v>0</v>
      </c>
      <c r="AH242" s="9">
        <v>0</v>
      </c>
      <c r="AI242" s="9">
        <v>0</v>
      </c>
      <c r="AJ242" s="9">
        <v>0</v>
      </c>
      <c r="AK242" s="9">
        <v>0</v>
      </c>
      <c r="AL242" s="9">
        <v>0</v>
      </c>
      <c r="AM242" s="9">
        <v>0</v>
      </c>
      <c r="AN242" s="9">
        <v>0</v>
      </c>
      <c r="AO242" s="9">
        <v>0</v>
      </c>
      <c r="AP242" s="9">
        <v>0</v>
      </c>
      <c r="AQ242" s="9">
        <v>0</v>
      </c>
      <c r="AR242" s="9">
        <v>0</v>
      </c>
      <c r="AS242" s="9">
        <v>0</v>
      </c>
      <c r="AT242" s="9">
        <v>0</v>
      </c>
      <c r="AU242" s="9">
        <v>0</v>
      </c>
      <c r="AV242" s="9">
        <v>0</v>
      </c>
      <c r="AW242" s="9">
        <v>0</v>
      </c>
      <c r="AX242" s="9">
        <v>0</v>
      </c>
      <c r="AY242" s="9">
        <v>0</v>
      </c>
      <c r="AZ242" s="9">
        <v>0</v>
      </c>
      <c r="BA242" s="9">
        <v>0</v>
      </c>
      <c r="BB242" s="9">
        <v>0</v>
      </c>
      <c r="BC242" s="9">
        <v>0</v>
      </c>
      <c r="BD242" s="9">
        <v>0</v>
      </c>
      <c r="BE242" s="9">
        <v>0</v>
      </c>
      <c r="BF242" s="9">
        <v>0</v>
      </c>
      <c r="BG242" s="9">
        <v>0</v>
      </c>
      <c r="BH242" s="9">
        <v>0</v>
      </c>
      <c r="BI242" s="9">
        <v>0</v>
      </c>
      <c r="BJ242" s="9">
        <v>0</v>
      </c>
      <c r="BK242" s="9">
        <v>0</v>
      </c>
      <c r="BL242" s="9">
        <v>0</v>
      </c>
      <c r="BM242" s="9">
        <v>0</v>
      </c>
      <c r="BN242" s="9">
        <v>0</v>
      </c>
      <c r="BO242" s="9">
        <v>0</v>
      </c>
      <c r="BP242" s="10">
        <v>0</v>
      </c>
      <c r="BQ242">
        <v>0</v>
      </c>
      <c r="BR242">
        <v>0</v>
      </c>
    </row>
    <row r="243" spans="1:70" x14ac:dyDescent="0.35">
      <c r="A243" s="8" t="s">
        <v>261</v>
      </c>
      <c r="B243" s="9" t="s">
        <v>925</v>
      </c>
      <c r="C243" s="10" t="s">
        <v>926</v>
      </c>
      <c r="D243" s="34">
        <f t="shared" si="5"/>
        <v>0</v>
      </c>
      <c r="E243" s="9">
        <v>0</v>
      </c>
      <c r="F243" s="9">
        <v>0</v>
      </c>
      <c r="G243" s="9">
        <v>0</v>
      </c>
      <c r="H243" s="9">
        <v>0</v>
      </c>
      <c r="I243" s="9">
        <v>0</v>
      </c>
      <c r="J243" s="9">
        <v>0</v>
      </c>
      <c r="K243" s="9">
        <v>0</v>
      </c>
      <c r="L243" s="9">
        <v>0</v>
      </c>
      <c r="M243" s="9">
        <v>0</v>
      </c>
      <c r="N243" s="9">
        <v>0</v>
      </c>
      <c r="O243" s="9">
        <v>0</v>
      </c>
      <c r="P243" s="9">
        <v>0</v>
      </c>
      <c r="Q243" s="9">
        <v>0</v>
      </c>
      <c r="R243" s="9">
        <v>0</v>
      </c>
      <c r="S243" s="9">
        <v>0</v>
      </c>
      <c r="T243" s="9">
        <v>0</v>
      </c>
      <c r="U243" s="9">
        <v>0</v>
      </c>
      <c r="V243" s="9">
        <v>0</v>
      </c>
      <c r="W243" s="9">
        <v>0</v>
      </c>
      <c r="X243" s="9">
        <v>0</v>
      </c>
      <c r="Y243" s="9">
        <v>0</v>
      </c>
      <c r="Z243" s="9">
        <v>0</v>
      </c>
      <c r="AA243" s="9">
        <v>0</v>
      </c>
      <c r="AB243" s="9">
        <v>0</v>
      </c>
      <c r="AC243" s="9">
        <v>0</v>
      </c>
      <c r="AD243" s="9">
        <v>0</v>
      </c>
      <c r="AE243" s="9">
        <v>0</v>
      </c>
      <c r="AF243" s="9">
        <v>0</v>
      </c>
      <c r="AG243" s="9">
        <v>0</v>
      </c>
      <c r="AH243" s="9">
        <v>0</v>
      </c>
      <c r="AI243" s="9">
        <v>0</v>
      </c>
      <c r="AJ243" s="9">
        <v>0</v>
      </c>
      <c r="AK243" s="9">
        <v>0</v>
      </c>
      <c r="AL243" s="9">
        <v>0</v>
      </c>
      <c r="AM243" s="9">
        <v>0</v>
      </c>
      <c r="AN243" s="9">
        <v>0</v>
      </c>
      <c r="AO243" s="9">
        <v>0</v>
      </c>
      <c r="AP243" s="9">
        <v>0</v>
      </c>
      <c r="AQ243" s="9">
        <v>0</v>
      </c>
      <c r="AR243" s="9">
        <v>0</v>
      </c>
      <c r="AS243" s="9">
        <v>0</v>
      </c>
      <c r="AT243" s="9">
        <v>0</v>
      </c>
      <c r="AU243" s="9">
        <v>0</v>
      </c>
      <c r="AV243" s="9">
        <v>0</v>
      </c>
      <c r="AW243" s="9">
        <v>0</v>
      </c>
      <c r="AX243" s="9">
        <v>0</v>
      </c>
      <c r="AY243" s="9">
        <v>0</v>
      </c>
      <c r="AZ243" s="9">
        <v>0</v>
      </c>
      <c r="BA243" s="9">
        <v>0</v>
      </c>
      <c r="BB243" s="9">
        <v>0</v>
      </c>
      <c r="BC243" s="9">
        <v>0</v>
      </c>
      <c r="BD243" s="9">
        <v>0</v>
      </c>
      <c r="BE243" s="9">
        <v>0</v>
      </c>
      <c r="BF243" s="9">
        <v>0</v>
      </c>
      <c r="BG243" s="9">
        <v>0</v>
      </c>
      <c r="BH243" s="9">
        <v>0</v>
      </c>
      <c r="BI243" s="9">
        <v>0</v>
      </c>
      <c r="BJ243" s="9">
        <v>0</v>
      </c>
      <c r="BK243" s="9">
        <v>0</v>
      </c>
      <c r="BL243" s="9">
        <v>0</v>
      </c>
      <c r="BM243" s="9">
        <v>0</v>
      </c>
      <c r="BN243" s="9">
        <v>0</v>
      </c>
      <c r="BO243" s="9">
        <v>0</v>
      </c>
      <c r="BP243" s="10">
        <v>0</v>
      </c>
      <c r="BQ243">
        <v>0</v>
      </c>
      <c r="BR243">
        <v>0</v>
      </c>
    </row>
    <row r="244" spans="1:70" x14ac:dyDescent="0.35">
      <c r="A244" s="8" t="s">
        <v>261</v>
      </c>
      <c r="B244" s="9" t="s">
        <v>927</v>
      </c>
      <c r="C244" s="10" t="s">
        <v>928</v>
      </c>
      <c r="D244" s="34">
        <f t="shared" si="5"/>
        <v>0</v>
      </c>
      <c r="E244" s="9">
        <v>0</v>
      </c>
      <c r="F244" s="9">
        <v>0</v>
      </c>
      <c r="G244" s="9">
        <v>0</v>
      </c>
      <c r="H244" s="9">
        <v>0</v>
      </c>
      <c r="I244" s="9">
        <v>0</v>
      </c>
      <c r="J244" s="9">
        <v>0</v>
      </c>
      <c r="K244" s="9">
        <v>0</v>
      </c>
      <c r="L244" s="9">
        <v>0</v>
      </c>
      <c r="M244" s="9">
        <v>0</v>
      </c>
      <c r="N244" s="9">
        <v>0</v>
      </c>
      <c r="O244" s="9">
        <v>0</v>
      </c>
      <c r="P244" s="9">
        <v>0</v>
      </c>
      <c r="Q244" s="9">
        <v>0</v>
      </c>
      <c r="R244" s="9">
        <v>0</v>
      </c>
      <c r="S244" s="9">
        <v>0</v>
      </c>
      <c r="T244" s="9">
        <v>0</v>
      </c>
      <c r="U244" s="9">
        <v>0</v>
      </c>
      <c r="V244" s="9">
        <v>0</v>
      </c>
      <c r="W244" s="9">
        <v>0</v>
      </c>
      <c r="X244" s="9">
        <v>0</v>
      </c>
      <c r="Y244" s="9">
        <v>0</v>
      </c>
      <c r="Z244" s="9">
        <v>0</v>
      </c>
      <c r="AA244" s="9">
        <v>0</v>
      </c>
      <c r="AB244" s="9">
        <v>0</v>
      </c>
      <c r="AC244" s="9">
        <v>0</v>
      </c>
      <c r="AD244" s="9">
        <v>0</v>
      </c>
      <c r="AE244" s="9">
        <v>0</v>
      </c>
      <c r="AF244" s="9">
        <v>0</v>
      </c>
      <c r="AG244" s="9">
        <v>0</v>
      </c>
      <c r="AH244" s="9">
        <v>0</v>
      </c>
      <c r="AI244" s="9">
        <v>0</v>
      </c>
      <c r="AJ244" s="9">
        <v>0</v>
      </c>
      <c r="AK244" s="9">
        <v>0</v>
      </c>
      <c r="AL244" s="9">
        <v>0</v>
      </c>
      <c r="AM244" s="9">
        <v>0</v>
      </c>
      <c r="AN244" s="9">
        <v>0</v>
      </c>
      <c r="AO244" s="9">
        <v>0</v>
      </c>
      <c r="AP244" s="9">
        <v>0</v>
      </c>
      <c r="AQ244" s="9">
        <v>0</v>
      </c>
      <c r="AR244" s="9">
        <v>0</v>
      </c>
      <c r="AS244" s="9">
        <v>0</v>
      </c>
      <c r="AT244" s="9">
        <v>0</v>
      </c>
      <c r="AU244" s="9">
        <v>0</v>
      </c>
      <c r="AV244" s="9">
        <v>0</v>
      </c>
      <c r="AW244" s="9">
        <v>0</v>
      </c>
      <c r="AX244" s="9">
        <v>0</v>
      </c>
      <c r="AY244" s="9">
        <v>0</v>
      </c>
      <c r="AZ244" s="9">
        <v>0</v>
      </c>
      <c r="BA244" s="9">
        <v>0</v>
      </c>
      <c r="BB244" s="9">
        <v>0</v>
      </c>
      <c r="BC244" s="9">
        <v>0</v>
      </c>
      <c r="BD244" s="9">
        <v>0</v>
      </c>
      <c r="BE244" s="9">
        <v>0</v>
      </c>
      <c r="BF244" s="9">
        <v>0</v>
      </c>
      <c r="BG244" s="9">
        <v>0</v>
      </c>
      <c r="BH244" s="9">
        <v>0</v>
      </c>
      <c r="BI244" s="9">
        <v>0</v>
      </c>
      <c r="BJ244" s="9">
        <v>0</v>
      </c>
      <c r="BK244" s="9">
        <v>0</v>
      </c>
      <c r="BL244" s="9">
        <v>0</v>
      </c>
      <c r="BM244" s="9">
        <v>0</v>
      </c>
      <c r="BN244" s="9">
        <v>0</v>
      </c>
      <c r="BO244" s="9">
        <v>0</v>
      </c>
      <c r="BP244" s="10">
        <v>0</v>
      </c>
      <c r="BQ244">
        <v>0</v>
      </c>
      <c r="BR244">
        <v>0</v>
      </c>
    </row>
    <row r="245" spans="1:70" x14ac:dyDescent="0.35">
      <c r="A245" s="8" t="s">
        <v>261</v>
      </c>
      <c r="B245" s="9" t="s">
        <v>929</v>
      </c>
      <c r="C245" s="10" t="s">
        <v>930</v>
      </c>
      <c r="D245" s="34">
        <f t="shared" si="5"/>
        <v>0</v>
      </c>
      <c r="E245" s="9">
        <v>0</v>
      </c>
      <c r="F245" s="9">
        <v>0</v>
      </c>
      <c r="G245" s="9">
        <v>0</v>
      </c>
      <c r="H245" s="9">
        <v>0</v>
      </c>
      <c r="I245" s="9">
        <v>0</v>
      </c>
      <c r="J245" s="9">
        <v>0</v>
      </c>
      <c r="K245" s="9">
        <v>0</v>
      </c>
      <c r="L245" s="9">
        <v>0</v>
      </c>
      <c r="M245" s="9">
        <v>0</v>
      </c>
      <c r="N245" s="9">
        <v>0</v>
      </c>
      <c r="O245" s="9">
        <v>0</v>
      </c>
      <c r="P245" s="9">
        <v>0</v>
      </c>
      <c r="Q245" s="9">
        <v>0</v>
      </c>
      <c r="R245" s="9">
        <v>0</v>
      </c>
      <c r="S245" s="9">
        <v>0</v>
      </c>
      <c r="T245" s="9">
        <v>0</v>
      </c>
      <c r="U245" s="9">
        <v>0</v>
      </c>
      <c r="V245" s="9">
        <v>0</v>
      </c>
      <c r="W245" s="9">
        <v>0</v>
      </c>
      <c r="X245" s="9">
        <v>0</v>
      </c>
      <c r="Y245" s="9">
        <v>0</v>
      </c>
      <c r="Z245" s="9">
        <v>0</v>
      </c>
      <c r="AA245" s="9">
        <v>0</v>
      </c>
      <c r="AB245" s="9">
        <v>0</v>
      </c>
      <c r="AC245" s="9">
        <v>0</v>
      </c>
      <c r="AD245" s="9">
        <v>0</v>
      </c>
      <c r="AE245" s="9">
        <v>0</v>
      </c>
      <c r="AF245" s="9">
        <v>0</v>
      </c>
      <c r="AG245" s="9">
        <v>0</v>
      </c>
      <c r="AH245" s="9">
        <v>0</v>
      </c>
      <c r="AI245" s="9">
        <v>0</v>
      </c>
      <c r="AJ245" s="9">
        <v>0</v>
      </c>
      <c r="AK245" s="9">
        <v>0</v>
      </c>
      <c r="AL245" s="9">
        <v>0</v>
      </c>
      <c r="AM245" s="9">
        <v>0</v>
      </c>
      <c r="AN245" s="9">
        <v>0</v>
      </c>
      <c r="AO245" s="9">
        <v>0</v>
      </c>
      <c r="AP245" s="9">
        <v>0</v>
      </c>
      <c r="AQ245" s="9">
        <v>0</v>
      </c>
      <c r="AR245" s="9">
        <v>0</v>
      </c>
      <c r="AS245" s="9">
        <v>0</v>
      </c>
      <c r="AT245" s="9">
        <v>0</v>
      </c>
      <c r="AU245" s="9">
        <v>0</v>
      </c>
      <c r="AV245" s="9">
        <v>0</v>
      </c>
      <c r="AW245" s="9">
        <v>0</v>
      </c>
      <c r="AX245" s="9">
        <v>0</v>
      </c>
      <c r="AY245" s="9">
        <v>0</v>
      </c>
      <c r="AZ245" s="9">
        <v>0</v>
      </c>
      <c r="BA245" s="9">
        <v>0</v>
      </c>
      <c r="BB245" s="9">
        <v>0</v>
      </c>
      <c r="BC245" s="9">
        <v>0</v>
      </c>
      <c r="BD245" s="9">
        <v>0</v>
      </c>
      <c r="BE245" s="9">
        <v>0</v>
      </c>
      <c r="BF245" s="9">
        <v>0</v>
      </c>
      <c r="BG245" s="9">
        <v>0</v>
      </c>
      <c r="BH245" s="9">
        <v>0</v>
      </c>
      <c r="BI245" s="9">
        <v>0</v>
      </c>
      <c r="BJ245" s="9">
        <v>0</v>
      </c>
      <c r="BK245" s="9">
        <v>0</v>
      </c>
      <c r="BL245" s="9">
        <v>0</v>
      </c>
      <c r="BM245" s="9">
        <v>0</v>
      </c>
      <c r="BN245" s="9">
        <v>0</v>
      </c>
      <c r="BO245" s="9">
        <v>0</v>
      </c>
      <c r="BP245" s="10">
        <v>0</v>
      </c>
      <c r="BQ245">
        <v>0</v>
      </c>
      <c r="BR245">
        <v>0</v>
      </c>
    </row>
    <row r="246" spans="1:70" x14ac:dyDescent="0.35">
      <c r="A246" s="8" t="s">
        <v>261</v>
      </c>
      <c r="B246" s="9" t="s">
        <v>931</v>
      </c>
      <c r="C246" s="10" t="s">
        <v>932</v>
      </c>
      <c r="D246" s="34">
        <f t="shared" si="5"/>
        <v>0</v>
      </c>
      <c r="E246" s="9">
        <v>0</v>
      </c>
      <c r="F246" s="9">
        <v>0</v>
      </c>
      <c r="G246" s="9">
        <v>0</v>
      </c>
      <c r="H246" s="9">
        <v>0</v>
      </c>
      <c r="I246" s="9">
        <v>0</v>
      </c>
      <c r="J246" s="9">
        <v>0</v>
      </c>
      <c r="K246" s="9">
        <v>0</v>
      </c>
      <c r="L246" s="9">
        <v>0</v>
      </c>
      <c r="M246" s="9">
        <v>0</v>
      </c>
      <c r="N246" s="9">
        <v>0</v>
      </c>
      <c r="O246" s="9">
        <v>0</v>
      </c>
      <c r="P246" s="9">
        <v>0</v>
      </c>
      <c r="Q246" s="9">
        <v>0</v>
      </c>
      <c r="R246" s="9">
        <v>0</v>
      </c>
      <c r="S246" s="9">
        <v>0</v>
      </c>
      <c r="T246" s="9">
        <v>0</v>
      </c>
      <c r="U246" s="9">
        <v>0</v>
      </c>
      <c r="V246" s="9">
        <v>0</v>
      </c>
      <c r="W246" s="9">
        <v>0</v>
      </c>
      <c r="X246" s="9">
        <v>0</v>
      </c>
      <c r="Y246" s="9">
        <v>0</v>
      </c>
      <c r="Z246" s="9">
        <v>0</v>
      </c>
      <c r="AA246" s="9">
        <v>0</v>
      </c>
      <c r="AB246" s="9">
        <v>0</v>
      </c>
      <c r="AC246" s="9">
        <v>0</v>
      </c>
      <c r="AD246" s="9">
        <v>0</v>
      </c>
      <c r="AE246" s="9">
        <v>0</v>
      </c>
      <c r="AF246" s="9">
        <v>0</v>
      </c>
      <c r="AG246" s="9">
        <v>0</v>
      </c>
      <c r="AH246" s="9">
        <v>0</v>
      </c>
      <c r="AI246" s="9">
        <v>0</v>
      </c>
      <c r="AJ246" s="9">
        <v>0</v>
      </c>
      <c r="AK246" s="9">
        <v>0</v>
      </c>
      <c r="AL246" s="9">
        <v>0</v>
      </c>
      <c r="AM246" s="9">
        <v>0</v>
      </c>
      <c r="AN246" s="9">
        <v>0</v>
      </c>
      <c r="AO246" s="9">
        <v>0</v>
      </c>
      <c r="AP246" s="9">
        <v>0</v>
      </c>
      <c r="AQ246" s="9">
        <v>0</v>
      </c>
      <c r="AR246" s="9">
        <v>0</v>
      </c>
      <c r="AS246" s="9">
        <v>0</v>
      </c>
      <c r="AT246" s="9">
        <v>0</v>
      </c>
      <c r="AU246" s="9">
        <v>0</v>
      </c>
      <c r="AV246" s="9">
        <v>0</v>
      </c>
      <c r="AW246" s="9">
        <v>0</v>
      </c>
      <c r="AX246" s="9">
        <v>0</v>
      </c>
      <c r="AY246" s="9">
        <v>0</v>
      </c>
      <c r="AZ246" s="9">
        <v>0</v>
      </c>
      <c r="BA246" s="9">
        <v>0</v>
      </c>
      <c r="BB246" s="9">
        <v>0</v>
      </c>
      <c r="BC246" s="9">
        <v>0</v>
      </c>
      <c r="BD246" s="9">
        <v>0</v>
      </c>
      <c r="BE246" s="9">
        <v>0</v>
      </c>
      <c r="BF246" s="9">
        <v>0</v>
      </c>
      <c r="BG246" s="9">
        <v>0</v>
      </c>
      <c r="BH246" s="9">
        <v>0</v>
      </c>
      <c r="BI246" s="9">
        <v>0</v>
      </c>
      <c r="BJ246" s="9">
        <v>0</v>
      </c>
      <c r="BK246" s="9">
        <v>0</v>
      </c>
      <c r="BL246" s="9">
        <v>0</v>
      </c>
      <c r="BM246" s="9">
        <v>0</v>
      </c>
      <c r="BN246" s="9">
        <v>0</v>
      </c>
      <c r="BO246" s="9">
        <v>0</v>
      </c>
      <c r="BP246" s="10">
        <v>0</v>
      </c>
      <c r="BQ246">
        <v>0</v>
      </c>
      <c r="BR246">
        <v>0</v>
      </c>
    </row>
    <row r="247" spans="1:70" x14ac:dyDescent="0.35">
      <c r="A247" s="8" t="s">
        <v>261</v>
      </c>
      <c r="B247" s="9" t="s">
        <v>933</v>
      </c>
      <c r="C247" s="10" t="s">
        <v>934</v>
      </c>
      <c r="D247" s="34">
        <f t="shared" si="5"/>
        <v>0</v>
      </c>
      <c r="E247" s="9">
        <v>0</v>
      </c>
      <c r="F247" s="9">
        <v>0</v>
      </c>
      <c r="G247" s="9">
        <v>0</v>
      </c>
      <c r="H247" s="9">
        <v>0</v>
      </c>
      <c r="I247" s="9">
        <v>0</v>
      </c>
      <c r="J247" s="9">
        <v>0</v>
      </c>
      <c r="K247" s="9">
        <v>0</v>
      </c>
      <c r="L247" s="9">
        <v>0</v>
      </c>
      <c r="M247" s="9">
        <v>0</v>
      </c>
      <c r="N247" s="9">
        <v>0</v>
      </c>
      <c r="O247" s="9">
        <v>0</v>
      </c>
      <c r="P247" s="9">
        <v>0</v>
      </c>
      <c r="Q247" s="9">
        <v>0</v>
      </c>
      <c r="R247" s="9">
        <v>0</v>
      </c>
      <c r="S247" s="9">
        <v>0</v>
      </c>
      <c r="T247" s="9">
        <v>0</v>
      </c>
      <c r="U247" s="9">
        <v>0</v>
      </c>
      <c r="V247" s="9">
        <v>0</v>
      </c>
      <c r="W247" s="9">
        <v>0</v>
      </c>
      <c r="X247" s="9">
        <v>0</v>
      </c>
      <c r="Y247" s="9">
        <v>0</v>
      </c>
      <c r="Z247" s="9">
        <v>0</v>
      </c>
      <c r="AA247" s="9">
        <v>0</v>
      </c>
      <c r="AB247" s="9">
        <v>0</v>
      </c>
      <c r="AC247" s="9">
        <v>0</v>
      </c>
      <c r="AD247" s="9">
        <v>0</v>
      </c>
      <c r="AE247" s="9">
        <v>0</v>
      </c>
      <c r="AF247" s="9">
        <v>0</v>
      </c>
      <c r="AG247" s="9">
        <v>0</v>
      </c>
      <c r="AH247" s="9">
        <v>0</v>
      </c>
      <c r="AI247" s="9">
        <v>0</v>
      </c>
      <c r="AJ247" s="9">
        <v>0</v>
      </c>
      <c r="AK247" s="9">
        <v>0</v>
      </c>
      <c r="AL247" s="9">
        <v>0</v>
      </c>
      <c r="AM247" s="9">
        <v>0</v>
      </c>
      <c r="AN247" s="9">
        <v>0</v>
      </c>
      <c r="AO247" s="9">
        <v>0</v>
      </c>
      <c r="AP247" s="9">
        <v>0</v>
      </c>
      <c r="AQ247" s="9">
        <v>0</v>
      </c>
      <c r="AR247" s="9">
        <v>0</v>
      </c>
      <c r="AS247" s="9">
        <v>0</v>
      </c>
      <c r="AT247" s="9">
        <v>0</v>
      </c>
      <c r="AU247" s="9">
        <v>0</v>
      </c>
      <c r="AV247" s="9">
        <v>0</v>
      </c>
      <c r="AW247" s="9">
        <v>0</v>
      </c>
      <c r="AX247" s="9">
        <v>0</v>
      </c>
      <c r="AY247" s="9">
        <v>0</v>
      </c>
      <c r="AZ247" s="9">
        <v>0</v>
      </c>
      <c r="BA247" s="9">
        <v>0</v>
      </c>
      <c r="BB247" s="9">
        <v>0</v>
      </c>
      <c r="BC247" s="9">
        <v>0</v>
      </c>
      <c r="BD247" s="9">
        <v>0</v>
      </c>
      <c r="BE247" s="9">
        <v>0</v>
      </c>
      <c r="BF247" s="9">
        <v>0</v>
      </c>
      <c r="BG247" s="9">
        <v>0</v>
      </c>
      <c r="BH247" s="9">
        <v>0</v>
      </c>
      <c r="BI247" s="9">
        <v>0</v>
      </c>
      <c r="BJ247" s="9">
        <v>0</v>
      </c>
      <c r="BK247" s="9">
        <v>0</v>
      </c>
      <c r="BL247" s="9">
        <v>0</v>
      </c>
      <c r="BM247" s="9">
        <v>0</v>
      </c>
      <c r="BN247" s="9">
        <v>0</v>
      </c>
      <c r="BO247" s="9">
        <v>0</v>
      </c>
      <c r="BP247" s="10">
        <v>0</v>
      </c>
      <c r="BQ247">
        <v>0</v>
      </c>
      <c r="BR247">
        <v>0</v>
      </c>
    </row>
    <row r="248" spans="1:70" x14ac:dyDescent="0.35">
      <c r="A248" s="8" t="s">
        <v>261</v>
      </c>
      <c r="B248" s="9" t="s">
        <v>270</v>
      </c>
      <c r="C248" s="10" t="s">
        <v>935</v>
      </c>
      <c r="D248" s="34">
        <f t="shared" si="5"/>
        <v>2</v>
      </c>
      <c r="E248" s="9">
        <v>0</v>
      </c>
      <c r="F248" s="9">
        <v>0</v>
      </c>
      <c r="G248" s="9">
        <v>0</v>
      </c>
      <c r="H248" s="9">
        <v>0</v>
      </c>
      <c r="I248" s="9">
        <v>0</v>
      </c>
      <c r="J248" s="9">
        <v>1</v>
      </c>
      <c r="K248" s="9">
        <v>1</v>
      </c>
      <c r="L248" s="9">
        <v>1</v>
      </c>
      <c r="M248" s="9">
        <v>1</v>
      </c>
      <c r="N248" s="9">
        <v>1</v>
      </c>
      <c r="O248" s="9">
        <v>1</v>
      </c>
      <c r="P248" s="9">
        <v>1</v>
      </c>
      <c r="Q248" s="9">
        <v>1</v>
      </c>
      <c r="R248" s="9">
        <v>1</v>
      </c>
      <c r="S248" s="9">
        <v>0</v>
      </c>
      <c r="T248" s="9">
        <v>0</v>
      </c>
      <c r="U248" s="9">
        <v>0</v>
      </c>
      <c r="V248" s="9">
        <v>0</v>
      </c>
      <c r="W248" s="9">
        <v>0</v>
      </c>
      <c r="X248" s="9">
        <v>0</v>
      </c>
      <c r="Y248" s="9">
        <v>0</v>
      </c>
      <c r="Z248" s="9">
        <v>0</v>
      </c>
      <c r="AA248" s="9">
        <v>0</v>
      </c>
      <c r="AB248" s="9">
        <v>0</v>
      </c>
      <c r="AC248" s="9">
        <v>0</v>
      </c>
      <c r="AD248" s="9">
        <v>0</v>
      </c>
      <c r="AE248" s="9">
        <v>0</v>
      </c>
      <c r="AF248" s="9">
        <v>0</v>
      </c>
      <c r="AG248" s="9">
        <v>0</v>
      </c>
      <c r="AH248" s="9">
        <v>0</v>
      </c>
      <c r="AI248" s="9">
        <v>0</v>
      </c>
      <c r="AJ248" s="9">
        <v>0</v>
      </c>
      <c r="AK248" s="9">
        <v>0</v>
      </c>
      <c r="AL248" s="9">
        <v>0</v>
      </c>
      <c r="AM248" s="9">
        <v>0</v>
      </c>
      <c r="AN248" s="9">
        <v>0</v>
      </c>
      <c r="AO248" s="9">
        <v>0</v>
      </c>
      <c r="AP248" s="9">
        <v>0</v>
      </c>
      <c r="AQ248" s="9">
        <v>0</v>
      </c>
      <c r="AR248" s="9">
        <v>0</v>
      </c>
      <c r="AS248" s="9">
        <v>0</v>
      </c>
      <c r="AT248" s="9">
        <v>0</v>
      </c>
      <c r="AU248" s="9">
        <v>0</v>
      </c>
      <c r="AV248" s="9">
        <v>0</v>
      </c>
      <c r="AW248" s="9">
        <v>0</v>
      </c>
      <c r="AX248" s="9">
        <v>0</v>
      </c>
      <c r="AY248" s="9">
        <v>0</v>
      </c>
      <c r="AZ248" s="9">
        <v>0</v>
      </c>
      <c r="BA248" s="9">
        <v>0</v>
      </c>
      <c r="BB248" s="9">
        <v>0</v>
      </c>
      <c r="BC248" s="9">
        <v>0</v>
      </c>
      <c r="BD248" s="9">
        <v>0</v>
      </c>
      <c r="BE248" s="9">
        <v>0</v>
      </c>
      <c r="BF248" s="9">
        <v>0</v>
      </c>
      <c r="BG248" s="9">
        <v>1</v>
      </c>
      <c r="BH248" s="9">
        <v>1</v>
      </c>
      <c r="BI248" s="9">
        <v>1</v>
      </c>
      <c r="BJ248" s="9">
        <v>1</v>
      </c>
      <c r="BK248" s="9">
        <v>1</v>
      </c>
      <c r="BL248" s="9">
        <v>2</v>
      </c>
      <c r="BM248" s="9">
        <v>2</v>
      </c>
      <c r="BN248" s="9">
        <v>2</v>
      </c>
      <c r="BO248" s="9">
        <v>2</v>
      </c>
      <c r="BP248" s="10">
        <v>1</v>
      </c>
      <c r="BQ248">
        <v>1</v>
      </c>
      <c r="BR248">
        <v>1</v>
      </c>
    </row>
    <row r="249" spans="1:70" x14ac:dyDescent="0.35">
      <c r="A249" s="8" t="s">
        <v>261</v>
      </c>
      <c r="B249" s="9" t="s">
        <v>936</v>
      </c>
      <c r="C249" s="10" t="s">
        <v>937</v>
      </c>
      <c r="D249" s="34">
        <f t="shared" si="5"/>
        <v>0</v>
      </c>
      <c r="E249" s="9">
        <v>0</v>
      </c>
      <c r="F249" s="9">
        <v>0</v>
      </c>
      <c r="G249" s="9">
        <v>0</v>
      </c>
      <c r="H249" s="9">
        <v>0</v>
      </c>
      <c r="I249" s="9">
        <v>0</v>
      </c>
      <c r="J249" s="9">
        <v>0</v>
      </c>
      <c r="K249" s="9">
        <v>0</v>
      </c>
      <c r="L249" s="9">
        <v>0</v>
      </c>
      <c r="M249" s="9">
        <v>0</v>
      </c>
      <c r="N249" s="9">
        <v>0</v>
      </c>
      <c r="O249" s="9">
        <v>0</v>
      </c>
      <c r="P249" s="9">
        <v>0</v>
      </c>
      <c r="Q249" s="9">
        <v>0</v>
      </c>
      <c r="R249" s="9">
        <v>0</v>
      </c>
      <c r="S249" s="9">
        <v>0</v>
      </c>
      <c r="T249" s="9">
        <v>0</v>
      </c>
      <c r="U249" s="9">
        <v>0</v>
      </c>
      <c r="V249" s="9">
        <v>0</v>
      </c>
      <c r="W249" s="9">
        <v>0</v>
      </c>
      <c r="X249" s="9">
        <v>0</v>
      </c>
      <c r="Y249" s="9">
        <v>0</v>
      </c>
      <c r="Z249" s="9">
        <v>0</v>
      </c>
      <c r="AA249" s="9">
        <v>0</v>
      </c>
      <c r="AB249" s="9">
        <v>0</v>
      </c>
      <c r="AC249" s="9">
        <v>0</v>
      </c>
      <c r="AD249" s="9">
        <v>0</v>
      </c>
      <c r="AE249" s="9">
        <v>0</v>
      </c>
      <c r="AF249" s="9">
        <v>0</v>
      </c>
      <c r="AG249" s="9">
        <v>0</v>
      </c>
      <c r="AH249" s="9">
        <v>0</v>
      </c>
      <c r="AI249" s="9">
        <v>0</v>
      </c>
      <c r="AJ249" s="9">
        <v>0</v>
      </c>
      <c r="AK249" s="9">
        <v>0</v>
      </c>
      <c r="AL249" s="9">
        <v>0</v>
      </c>
      <c r="AM249" s="9">
        <v>0</v>
      </c>
      <c r="AN249" s="9">
        <v>0</v>
      </c>
      <c r="AO249" s="9">
        <v>0</v>
      </c>
      <c r="AP249" s="9">
        <v>0</v>
      </c>
      <c r="AQ249" s="9">
        <v>0</v>
      </c>
      <c r="AR249" s="9">
        <v>0</v>
      </c>
      <c r="AS249" s="9">
        <v>0</v>
      </c>
      <c r="AT249" s="9">
        <v>0</v>
      </c>
      <c r="AU249" s="9">
        <v>0</v>
      </c>
      <c r="AV249" s="9">
        <v>0</v>
      </c>
      <c r="AW249" s="9">
        <v>0</v>
      </c>
      <c r="AX249" s="9">
        <v>0</v>
      </c>
      <c r="AY249" s="9">
        <v>0</v>
      </c>
      <c r="AZ249" s="9">
        <v>0</v>
      </c>
      <c r="BA249" s="9">
        <v>0</v>
      </c>
      <c r="BB249" s="9">
        <v>0</v>
      </c>
      <c r="BC249" s="9">
        <v>0</v>
      </c>
      <c r="BD249" s="9">
        <v>0</v>
      </c>
      <c r="BE249" s="9">
        <v>0</v>
      </c>
      <c r="BF249" s="9">
        <v>0</v>
      </c>
      <c r="BG249" s="9">
        <v>0</v>
      </c>
      <c r="BH249" s="9">
        <v>0</v>
      </c>
      <c r="BI249" s="9">
        <v>0</v>
      </c>
      <c r="BJ249" s="9">
        <v>0</v>
      </c>
      <c r="BK249" s="9">
        <v>0</v>
      </c>
      <c r="BL249" s="9">
        <v>0</v>
      </c>
      <c r="BM249" s="9">
        <v>0</v>
      </c>
      <c r="BN249" s="9">
        <v>0</v>
      </c>
      <c r="BO249" s="9">
        <v>0</v>
      </c>
      <c r="BP249" s="10">
        <v>0</v>
      </c>
      <c r="BQ249">
        <v>0</v>
      </c>
      <c r="BR249">
        <v>0</v>
      </c>
    </row>
    <row r="250" spans="1:70" x14ac:dyDescent="0.35">
      <c r="A250" s="8" t="s">
        <v>261</v>
      </c>
      <c r="B250" s="9" t="s">
        <v>274</v>
      </c>
      <c r="C250" s="10" t="s">
        <v>938</v>
      </c>
      <c r="D250" s="34">
        <f t="shared" si="5"/>
        <v>1</v>
      </c>
      <c r="E250" s="9">
        <v>0</v>
      </c>
      <c r="F250" s="9">
        <v>0</v>
      </c>
      <c r="G250" s="9">
        <v>0</v>
      </c>
      <c r="H250" s="9">
        <v>0</v>
      </c>
      <c r="I250" s="9">
        <v>0</v>
      </c>
      <c r="J250" s="9">
        <v>0</v>
      </c>
      <c r="K250" s="9">
        <v>0</v>
      </c>
      <c r="L250" s="9">
        <v>0</v>
      </c>
      <c r="M250" s="9">
        <v>0</v>
      </c>
      <c r="N250" s="9">
        <v>0</v>
      </c>
      <c r="O250" s="9">
        <v>0</v>
      </c>
      <c r="P250" s="9">
        <v>0</v>
      </c>
      <c r="Q250" s="9">
        <v>0</v>
      </c>
      <c r="R250" s="9">
        <v>0</v>
      </c>
      <c r="S250" s="9">
        <v>0</v>
      </c>
      <c r="T250" s="9">
        <v>0</v>
      </c>
      <c r="U250" s="9">
        <v>0</v>
      </c>
      <c r="V250" s="9">
        <v>0</v>
      </c>
      <c r="W250" s="9">
        <v>0</v>
      </c>
      <c r="X250" s="9">
        <v>0</v>
      </c>
      <c r="Y250" s="9">
        <v>0</v>
      </c>
      <c r="Z250" s="9">
        <v>0</v>
      </c>
      <c r="AA250" s="9">
        <v>0</v>
      </c>
      <c r="AB250" s="9">
        <v>0</v>
      </c>
      <c r="AC250" s="9">
        <v>0</v>
      </c>
      <c r="AD250" s="9">
        <v>0</v>
      </c>
      <c r="AE250" s="9">
        <v>0</v>
      </c>
      <c r="AF250" s="9">
        <v>0</v>
      </c>
      <c r="AG250" s="9">
        <v>0</v>
      </c>
      <c r="AH250" s="9">
        <v>0</v>
      </c>
      <c r="AI250" s="9">
        <v>0</v>
      </c>
      <c r="AJ250" s="9">
        <v>0</v>
      </c>
      <c r="AK250" s="9">
        <v>0</v>
      </c>
      <c r="AL250" s="9">
        <v>0</v>
      </c>
      <c r="AM250" s="9">
        <v>0</v>
      </c>
      <c r="AN250" s="9">
        <v>0</v>
      </c>
      <c r="AO250" s="9">
        <v>0</v>
      </c>
      <c r="AP250" s="9">
        <v>0</v>
      </c>
      <c r="AQ250" s="9">
        <v>0</v>
      </c>
      <c r="AR250" s="9">
        <v>0</v>
      </c>
      <c r="AS250" s="9">
        <v>0</v>
      </c>
      <c r="AT250" s="9">
        <v>0</v>
      </c>
      <c r="AU250" s="9">
        <v>0</v>
      </c>
      <c r="AV250" s="9">
        <v>0</v>
      </c>
      <c r="AW250" s="9">
        <v>0</v>
      </c>
      <c r="AX250" s="9">
        <v>0</v>
      </c>
      <c r="AY250" s="9">
        <v>0</v>
      </c>
      <c r="AZ250" s="9">
        <v>0</v>
      </c>
      <c r="BA250" s="9">
        <v>0</v>
      </c>
      <c r="BB250" s="9">
        <v>0</v>
      </c>
      <c r="BC250" s="9">
        <v>0</v>
      </c>
      <c r="BD250" s="9">
        <v>0</v>
      </c>
      <c r="BE250" s="9">
        <v>0</v>
      </c>
      <c r="BF250" s="9">
        <v>0</v>
      </c>
      <c r="BG250" s="9">
        <v>0</v>
      </c>
      <c r="BH250" s="9">
        <v>0</v>
      </c>
      <c r="BI250" s="9">
        <v>0</v>
      </c>
      <c r="BJ250" s="9">
        <v>0</v>
      </c>
      <c r="BK250" s="9">
        <v>1</v>
      </c>
      <c r="BL250" s="9">
        <v>1</v>
      </c>
      <c r="BM250" s="9">
        <v>1</v>
      </c>
      <c r="BN250" s="9">
        <v>1</v>
      </c>
      <c r="BO250" s="9">
        <v>1</v>
      </c>
      <c r="BP250" s="10">
        <v>1</v>
      </c>
      <c r="BQ250">
        <v>1</v>
      </c>
      <c r="BR250">
        <v>1</v>
      </c>
    </row>
    <row r="251" spans="1:70" x14ac:dyDescent="0.35">
      <c r="A251" s="8" t="s">
        <v>261</v>
      </c>
      <c r="B251" s="9" t="s">
        <v>276</v>
      </c>
      <c r="C251" s="10" t="s">
        <v>939</v>
      </c>
      <c r="D251" s="34">
        <f t="shared" si="5"/>
        <v>5</v>
      </c>
      <c r="E251" s="9">
        <v>0</v>
      </c>
      <c r="F251" s="9">
        <v>0</v>
      </c>
      <c r="G251" s="9">
        <v>0</v>
      </c>
      <c r="H251" s="9">
        <v>0</v>
      </c>
      <c r="I251" s="9">
        <v>0</v>
      </c>
      <c r="J251" s="9">
        <v>0</v>
      </c>
      <c r="K251" s="9">
        <v>0</v>
      </c>
      <c r="L251" s="9">
        <v>0</v>
      </c>
      <c r="M251" s="9">
        <v>0</v>
      </c>
      <c r="N251" s="9">
        <v>0</v>
      </c>
      <c r="O251" s="9">
        <v>0</v>
      </c>
      <c r="P251" s="9">
        <v>0</v>
      </c>
      <c r="Q251" s="9">
        <v>0</v>
      </c>
      <c r="R251" s="9">
        <v>0</v>
      </c>
      <c r="S251" s="9">
        <v>0</v>
      </c>
      <c r="T251" s="9">
        <v>0</v>
      </c>
      <c r="U251" s="9">
        <v>0</v>
      </c>
      <c r="V251" s="9">
        <v>0</v>
      </c>
      <c r="W251" s="9">
        <v>0</v>
      </c>
      <c r="X251" s="9">
        <v>0</v>
      </c>
      <c r="Y251" s="9">
        <v>0</v>
      </c>
      <c r="Z251" s="9">
        <v>0</v>
      </c>
      <c r="AA251" s="9">
        <v>0</v>
      </c>
      <c r="AB251" s="9">
        <v>0</v>
      </c>
      <c r="AC251" s="9">
        <v>0</v>
      </c>
      <c r="AD251" s="9">
        <v>0</v>
      </c>
      <c r="AE251" s="9">
        <v>0</v>
      </c>
      <c r="AF251" s="9">
        <v>0</v>
      </c>
      <c r="AG251" s="9">
        <v>0</v>
      </c>
      <c r="AH251" s="9">
        <v>0</v>
      </c>
      <c r="AI251" s="9">
        <v>0</v>
      </c>
      <c r="AJ251" s="9">
        <v>0</v>
      </c>
      <c r="AK251" s="9">
        <v>0</v>
      </c>
      <c r="AL251" s="9">
        <v>0</v>
      </c>
      <c r="AM251" s="9">
        <v>0</v>
      </c>
      <c r="AN251" s="9">
        <v>0</v>
      </c>
      <c r="AO251" s="9">
        <v>0</v>
      </c>
      <c r="AP251" s="9">
        <v>0</v>
      </c>
      <c r="AQ251" s="9">
        <v>0</v>
      </c>
      <c r="AR251" s="9">
        <v>0</v>
      </c>
      <c r="AS251" s="9">
        <v>0</v>
      </c>
      <c r="AT251" s="9">
        <v>0</v>
      </c>
      <c r="AU251" s="9">
        <v>0</v>
      </c>
      <c r="AV251" s="9">
        <v>0</v>
      </c>
      <c r="AW251" s="9">
        <v>0</v>
      </c>
      <c r="AX251" s="9">
        <v>0</v>
      </c>
      <c r="AY251" s="9">
        <v>0</v>
      </c>
      <c r="AZ251" s="9">
        <v>0</v>
      </c>
      <c r="BA251" s="9">
        <v>0</v>
      </c>
      <c r="BB251" s="9">
        <v>1</v>
      </c>
      <c r="BC251" s="9">
        <v>1</v>
      </c>
      <c r="BD251" s="9">
        <v>1</v>
      </c>
      <c r="BE251" s="9">
        <v>2</v>
      </c>
      <c r="BF251" s="9">
        <v>2</v>
      </c>
      <c r="BG251" s="9">
        <v>2</v>
      </c>
      <c r="BH251" s="9">
        <v>2</v>
      </c>
      <c r="BI251" s="9">
        <v>3</v>
      </c>
      <c r="BJ251" s="9">
        <v>5</v>
      </c>
      <c r="BK251" s="9">
        <v>5</v>
      </c>
      <c r="BL251" s="9">
        <v>5</v>
      </c>
      <c r="BM251" s="9">
        <v>5</v>
      </c>
      <c r="BN251" s="9">
        <v>5</v>
      </c>
      <c r="BO251" s="9">
        <v>5</v>
      </c>
      <c r="BP251" s="10">
        <v>5</v>
      </c>
      <c r="BQ251">
        <v>5</v>
      </c>
      <c r="BR251">
        <v>5</v>
      </c>
    </row>
    <row r="252" spans="1:70" x14ac:dyDescent="0.35">
      <c r="A252" s="8" t="s">
        <v>261</v>
      </c>
      <c r="B252" s="9" t="s">
        <v>942</v>
      </c>
      <c r="C252" s="10" t="s">
        <v>943</v>
      </c>
      <c r="D252" s="34">
        <f t="shared" si="5"/>
        <v>0</v>
      </c>
      <c r="E252" s="9">
        <v>0</v>
      </c>
      <c r="F252" s="9">
        <v>0</v>
      </c>
      <c r="G252" s="9">
        <v>0</v>
      </c>
      <c r="H252" s="9">
        <v>0</v>
      </c>
      <c r="I252" s="9">
        <v>0</v>
      </c>
      <c r="J252" s="9">
        <v>0</v>
      </c>
      <c r="K252" s="9">
        <v>0</v>
      </c>
      <c r="L252" s="9">
        <v>0</v>
      </c>
      <c r="M252" s="9">
        <v>0</v>
      </c>
      <c r="N252" s="9">
        <v>0</v>
      </c>
      <c r="O252" s="9">
        <v>0</v>
      </c>
      <c r="P252" s="9">
        <v>0</v>
      </c>
      <c r="Q252" s="9">
        <v>0</v>
      </c>
      <c r="R252" s="9">
        <v>0</v>
      </c>
      <c r="S252" s="9">
        <v>0</v>
      </c>
      <c r="T252" s="9">
        <v>0</v>
      </c>
      <c r="U252" s="9">
        <v>0</v>
      </c>
      <c r="V252" s="9">
        <v>0</v>
      </c>
      <c r="W252" s="9">
        <v>0</v>
      </c>
      <c r="X252" s="9">
        <v>0</v>
      </c>
      <c r="Y252" s="9">
        <v>0</v>
      </c>
      <c r="Z252" s="9">
        <v>0</v>
      </c>
      <c r="AA252" s="9">
        <v>0</v>
      </c>
      <c r="AB252" s="9">
        <v>0</v>
      </c>
      <c r="AC252" s="9">
        <v>0</v>
      </c>
      <c r="AD252" s="9">
        <v>0</v>
      </c>
      <c r="AE252" s="9">
        <v>0</v>
      </c>
      <c r="AF252" s="9">
        <v>0</v>
      </c>
      <c r="AG252" s="9">
        <v>0</v>
      </c>
      <c r="AH252" s="9">
        <v>0</v>
      </c>
      <c r="AI252" s="9">
        <v>0</v>
      </c>
      <c r="AJ252" s="9">
        <v>0</v>
      </c>
      <c r="AK252" s="9">
        <v>0</v>
      </c>
      <c r="AL252" s="9">
        <v>0</v>
      </c>
      <c r="AM252" s="9">
        <v>0</v>
      </c>
      <c r="AN252" s="9">
        <v>0</v>
      </c>
      <c r="AO252" s="9">
        <v>0</v>
      </c>
      <c r="AP252" s="9">
        <v>0</v>
      </c>
      <c r="AQ252" s="9">
        <v>0</v>
      </c>
      <c r="AR252" s="9">
        <v>0</v>
      </c>
      <c r="AS252" s="9">
        <v>0</v>
      </c>
      <c r="AT252" s="9">
        <v>0</v>
      </c>
      <c r="AU252" s="9">
        <v>0</v>
      </c>
      <c r="AV252" s="9">
        <v>0</v>
      </c>
      <c r="AW252" s="9">
        <v>0</v>
      </c>
      <c r="AX252" s="9">
        <v>0</v>
      </c>
      <c r="AY252" s="9">
        <v>0</v>
      </c>
      <c r="AZ252" s="9">
        <v>0</v>
      </c>
      <c r="BA252" s="9">
        <v>0</v>
      </c>
      <c r="BB252" s="9">
        <v>0</v>
      </c>
      <c r="BC252" s="9">
        <v>0</v>
      </c>
      <c r="BD252" s="9">
        <v>0</v>
      </c>
      <c r="BE252" s="9">
        <v>0</v>
      </c>
      <c r="BF252" s="9">
        <v>0</v>
      </c>
      <c r="BG252" s="9">
        <v>0</v>
      </c>
      <c r="BH252" s="9">
        <v>0</v>
      </c>
      <c r="BI252" s="9">
        <v>0</v>
      </c>
      <c r="BJ252" s="9">
        <v>0</v>
      </c>
      <c r="BK252" s="9">
        <v>0</v>
      </c>
      <c r="BL252" s="9">
        <v>0</v>
      </c>
      <c r="BM252" s="9">
        <v>0</v>
      </c>
      <c r="BN252" s="9">
        <v>0</v>
      </c>
      <c r="BO252" s="9">
        <v>0</v>
      </c>
      <c r="BP252" s="10">
        <v>0</v>
      </c>
      <c r="BQ252">
        <v>0</v>
      </c>
      <c r="BR252">
        <v>0</v>
      </c>
    </row>
    <row r="253" spans="1:70" x14ac:dyDescent="0.35">
      <c r="A253" s="8" t="s">
        <v>261</v>
      </c>
      <c r="B253" s="9" t="s">
        <v>944</v>
      </c>
      <c r="C253" s="10" t="s">
        <v>945</v>
      </c>
      <c r="D253" s="34">
        <f t="shared" si="5"/>
        <v>0</v>
      </c>
      <c r="E253" s="9">
        <v>0</v>
      </c>
      <c r="F253" s="9">
        <v>0</v>
      </c>
      <c r="G253" s="9">
        <v>0</v>
      </c>
      <c r="H253" s="9">
        <v>0</v>
      </c>
      <c r="I253" s="9">
        <v>0</v>
      </c>
      <c r="J253" s="9">
        <v>0</v>
      </c>
      <c r="K253" s="9">
        <v>0</v>
      </c>
      <c r="L253" s="9">
        <v>0</v>
      </c>
      <c r="M253" s="9">
        <v>0</v>
      </c>
      <c r="N253" s="9">
        <v>0</v>
      </c>
      <c r="O253" s="9">
        <v>0</v>
      </c>
      <c r="P253" s="9">
        <v>0</v>
      </c>
      <c r="Q253" s="9">
        <v>0</v>
      </c>
      <c r="R253" s="9">
        <v>0</v>
      </c>
      <c r="S253" s="9">
        <v>0</v>
      </c>
      <c r="T253" s="9">
        <v>0</v>
      </c>
      <c r="U253" s="9">
        <v>0</v>
      </c>
      <c r="V253" s="9">
        <v>0</v>
      </c>
      <c r="W253" s="9">
        <v>0</v>
      </c>
      <c r="X253" s="9">
        <v>0</v>
      </c>
      <c r="Y253" s="9">
        <v>0</v>
      </c>
      <c r="Z253" s="9">
        <v>0</v>
      </c>
      <c r="AA253" s="9">
        <v>0</v>
      </c>
      <c r="AB253" s="9">
        <v>0</v>
      </c>
      <c r="AC253" s="9">
        <v>0</v>
      </c>
      <c r="AD253" s="9">
        <v>0</v>
      </c>
      <c r="AE253" s="9">
        <v>0</v>
      </c>
      <c r="AF253" s="9">
        <v>0</v>
      </c>
      <c r="AG253" s="9">
        <v>0</v>
      </c>
      <c r="AH253" s="9">
        <v>0</v>
      </c>
      <c r="AI253" s="9">
        <v>0</v>
      </c>
      <c r="AJ253" s="9">
        <v>0</v>
      </c>
      <c r="AK253" s="9">
        <v>0</v>
      </c>
      <c r="AL253" s="9">
        <v>0</v>
      </c>
      <c r="AM253" s="9">
        <v>0</v>
      </c>
      <c r="AN253" s="9">
        <v>0</v>
      </c>
      <c r="AO253" s="9">
        <v>0</v>
      </c>
      <c r="AP253" s="9">
        <v>0</v>
      </c>
      <c r="AQ253" s="9">
        <v>0</v>
      </c>
      <c r="AR253" s="9">
        <v>0</v>
      </c>
      <c r="AS253" s="9">
        <v>0</v>
      </c>
      <c r="AT253" s="9">
        <v>0</v>
      </c>
      <c r="AU253" s="9">
        <v>0</v>
      </c>
      <c r="AV253" s="9">
        <v>0</v>
      </c>
      <c r="AW253" s="9">
        <v>0</v>
      </c>
      <c r="AX253" s="9">
        <v>0</v>
      </c>
      <c r="AY253" s="9">
        <v>0</v>
      </c>
      <c r="AZ253" s="9">
        <v>0</v>
      </c>
      <c r="BA253" s="9">
        <v>0</v>
      </c>
      <c r="BB253" s="9">
        <v>0</v>
      </c>
      <c r="BC253" s="9">
        <v>0</v>
      </c>
      <c r="BD253" s="9">
        <v>0</v>
      </c>
      <c r="BE253" s="9">
        <v>0</v>
      </c>
      <c r="BF253" s="9">
        <v>0</v>
      </c>
      <c r="BG253" s="9">
        <v>0</v>
      </c>
      <c r="BH253" s="9">
        <v>0</v>
      </c>
      <c r="BI253" s="9">
        <v>0</v>
      </c>
      <c r="BJ253" s="9">
        <v>0</v>
      </c>
      <c r="BK253" s="9">
        <v>0</v>
      </c>
      <c r="BL253" s="9">
        <v>0</v>
      </c>
      <c r="BM253" s="9">
        <v>0</v>
      </c>
      <c r="BN253" s="9">
        <v>0</v>
      </c>
      <c r="BO253" s="9">
        <v>0</v>
      </c>
      <c r="BP253" s="10">
        <v>0</v>
      </c>
      <c r="BQ253">
        <v>0</v>
      </c>
      <c r="BR253">
        <v>0</v>
      </c>
    </row>
    <row r="254" spans="1:70" x14ac:dyDescent="0.35">
      <c r="A254" s="8" t="s">
        <v>261</v>
      </c>
      <c r="B254" s="9" t="s">
        <v>946</v>
      </c>
      <c r="C254" s="10" t="s">
        <v>947</v>
      </c>
      <c r="D254" s="34">
        <f t="shared" si="5"/>
        <v>0</v>
      </c>
      <c r="E254" s="9">
        <v>0</v>
      </c>
      <c r="F254" s="9">
        <v>0</v>
      </c>
      <c r="G254" s="9">
        <v>0</v>
      </c>
      <c r="H254" s="9">
        <v>0</v>
      </c>
      <c r="I254" s="9">
        <v>0</v>
      </c>
      <c r="J254" s="9">
        <v>0</v>
      </c>
      <c r="K254" s="9">
        <v>0</v>
      </c>
      <c r="L254" s="9">
        <v>0</v>
      </c>
      <c r="M254" s="9">
        <v>0</v>
      </c>
      <c r="N254" s="9">
        <v>0</v>
      </c>
      <c r="O254" s="9">
        <v>0</v>
      </c>
      <c r="P254" s="9">
        <v>0</v>
      </c>
      <c r="Q254" s="9">
        <v>0</v>
      </c>
      <c r="R254" s="9">
        <v>0</v>
      </c>
      <c r="S254" s="9">
        <v>0</v>
      </c>
      <c r="T254" s="9">
        <v>0</v>
      </c>
      <c r="U254" s="9">
        <v>0</v>
      </c>
      <c r="V254" s="9">
        <v>0</v>
      </c>
      <c r="W254" s="9">
        <v>0</v>
      </c>
      <c r="X254" s="9">
        <v>0</v>
      </c>
      <c r="Y254" s="9">
        <v>0</v>
      </c>
      <c r="Z254" s="9">
        <v>0</v>
      </c>
      <c r="AA254" s="9">
        <v>0</v>
      </c>
      <c r="AB254" s="9">
        <v>0</v>
      </c>
      <c r="AC254" s="9">
        <v>0</v>
      </c>
      <c r="AD254" s="9">
        <v>0</v>
      </c>
      <c r="AE254" s="9">
        <v>0</v>
      </c>
      <c r="AF254" s="9">
        <v>0</v>
      </c>
      <c r="AG254" s="9">
        <v>0</v>
      </c>
      <c r="AH254" s="9">
        <v>0</v>
      </c>
      <c r="AI254" s="9">
        <v>0</v>
      </c>
      <c r="AJ254" s="9">
        <v>0</v>
      </c>
      <c r="AK254" s="9">
        <v>0</v>
      </c>
      <c r="AL254" s="9">
        <v>0</v>
      </c>
      <c r="AM254" s="9">
        <v>0</v>
      </c>
      <c r="AN254" s="9">
        <v>0</v>
      </c>
      <c r="AO254" s="9">
        <v>0</v>
      </c>
      <c r="AP254" s="9">
        <v>0</v>
      </c>
      <c r="AQ254" s="9">
        <v>0</v>
      </c>
      <c r="AR254" s="9">
        <v>0</v>
      </c>
      <c r="AS254" s="9">
        <v>0</v>
      </c>
      <c r="AT254" s="9">
        <v>0</v>
      </c>
      <c r="AU254" s="9">
        <v>0</v>
      </c>
      <c r="AV254" s="9">
        <v>0</v>
      </c>
      <c r="AW254" s="9">
        <v>0</v>
      </c>
      <c r="AX254" s="9">
        <v>0</v>
      </c>
      <c r="AY254" s="9">
        <v>0</v>
      </c>
      <c r="AZ254" s="9">
        <v>0</v>
      </c>
      <c r="BA254" s="9">
        <v>0</v>
      </c>
      <c r="BB254" s="9">
        <v>0</v>
      </c>
      <c r="BC254" s="9">
        <v>0</v>
      </c>
      <c r="BD254" s="9">
        <v>0</v>
      </c>
      <c r="BE254" s="9">
        <v>0</v>
      </c>
      <c r="BF254" s="9">
        <v>0</v>
      </c>
      <c r="BG254" s="9">
        <v>0</v>
      </c>
      <c r="BH254" s="9">
        <v>0</v>
      </c>
      <c r="BI254" s="9">
        <v>0</v>
      </c>
      <c r="BJ254" s="9">
        <v>0</v>
      </c>
      <c r="BK254" s="9">
        <v>0</v>
      </c>
      <c r="BL254" s="9">
        <v>0</v>
      </c>
      <c r="BM254" s="9">
        <v>0</v>
      </c>
      <c r="BN254" s="9">
        <v>0</v>
      </c>
      <c r="BO254" s="9">
        <v>0</v>
      </c>
      <c r="BP254" s="10">
        <v>0</v>
      </c>
      <c r="BQ254">
        <v>0</v>
      </c>
      <c r="BR254">
        <v>0</v>
      </c>
    </row>
    <row r="255" spans="1:70" x14ac:dyDescent="0.35">
      <c r="A255" s="8" t="s">
        <v>261</v>
      </c>
      <c r="B255" s="9" t="s">
        <v>948</v>
      </c>
      <c r="C255" s="10" t="s">
        <v>949</v>
      </c>
      <c r="D255" s="34">
        <f t="shared" si="5"/>
        <v>0</v>
      </c>
      <c r="E255" s="9">
        <v>0</v>
      </c>
      <c r="F255" s="9">
        <v>0</v>
      </c>
      <c r="G255" s="9">
        <v>0</v>
      </c>
      <c r="H255" s="9">
        <v>0</v>
      </c>
      <c r="I255" s="9">
        <v>0</v>
      </c>
      <c r="J255" s="9">
        <v>0</v>
      </c>
      <c r="K255" s="9">
        <v>0</v>
      </c>
      <c r="L255" s="9">
        <v>0</v>
      </c>
      <c r="M255" s="9">
        <v>0</v>
      </c>
      <c r="N255" s="9">
        <v>0</v>
      </c>
      <c r="O255" s="9">
        <v>0</v>
      </c>
      <c r="P255" s="9">
        <v>0</v>
      </c>
      <c r="Q255" s="9">
        <v>0</v>
      </c>
      <c r="R255" s="9">
        <v>0</v>
      </c>
      <c r="S255" s="9">
        <v>0</v>
      </c>
      <c r="T255" s="9">
        <v>0</v>
      </c>
      <c r="U255" s="9">
        <v>0</v>
      </c>
      <c r="V255" s="9">
        <v>0</v>
      </c>
      <c r="W255" s="9">
        <v>0</v>
      </c>
      <c r="X255" s="9">
        <v>0</v>
      </c>
      <c r="Y255" s="9">
        <v>0</v>
      </c>
      <c r="Z255" s="9">
        <v>0</v>
      </c>
      <c r="AA255" s="9">
        <v>0</v>
      </c>
      <c r="AB255" s="9">
        <v>0</v>
      </c>
      <c r="AC255" s="9">
        <v>0</v>
      </c>
      <c r="AD255" s="9">
        <v>0</v>
      </c>
      <c r="AE255" s="9">
        <v>0</v>
      </c>
      <c r="AF255" s="9">
        <v>0</v>
      </c>
      <c r="AG255" s="9">
        <v>0</v>
      </c>
      <c r="AH255" s="9">
        <v>0</v>
      </c>
      <c r="AI255" s="9">
        <v>0</v>
      </c>
      <c r="AJ255" s="9">
        <v>0</v>
      </c>
      <c r="AK255" s="9">
        <v>0</v>
      </c>
      <c r="AL255" s="9">
        <v>0</v>
      </c>
      <c r="AM255" s="9">
        <v>0</v>
      </c>
      <c r="AN255" s="9">
        <v>0</v>
      </c>
      <c r="AO255" s="9">
        <v>0</v>
      </c>
      <c r="AP255" s="9">
        <v>0</v>
      </c>
      <c r="AQ255" s="9">
        <v>0</v>
      </c>
      <c r="AR255" s="9">
        <v>0</v>
      </c>
      <c r="AS255" s="9">
        <v>0</v>
      </c>
      <c r="AT255" s="9">
        <v>0</v>
      </c>
      <c r="AU255" s="9">
        <v>0</v>
      </c>
      <c r="AV255" s="9">
        <v>0</v>
      </c>
      <c r="AW255" s="9">
        <v>0</v>
      </c>
      <c r="AX255" s="9">
        <v>0</v>
      </c>
      <c r="AY255" s="9">
        <v>0</v>
      </c>
      <c r="AZ255" s="9">
        <v>0</v>
      </c>
      <c r="BA255" s="9">
        <v>0</v>
      </c>
      <c r="BB255" s="9">
        <v>0</v>
      </c>
      <c r="BC255" s="9">
        <v>0</v>
      </c>
      <c r="BD255" s="9">
        <v>0</v>
      </c>
      <c r="BE255" s="9">
        <v>0</v>
      </c>
      <c r="BF255" s="9">
        <v>0</v>
      </c>
      <c r="BG255" s="9">
        <v>0</v>
      </c>
      <c r="BH255" s="9">
        <v>0</v>
      </c>
      <c r="BI255" s="9">
        <v>0</v>
      </c>
      <c r="BJ255" s="9">
        <v>0</v>
      </c>
      <c r="BK255" s="9">
        <v>0</v>
      </c>
      <c r="BL255" s="9">
        <v>0</v>
      </c>
      <c r="BM255" s="9">
        <v>0</v>
      </c>
      <c r="BN255" s="9">
        <v>0</v>
      </c>
      <c r="BO255" s="9">
        <v>0</v>
      </c>
      <c r="BP255" s="10">
        <v>0</v>
      </c>
      <c r="BQ255">
        <v>0</v>
      </c>
      <c r="BR255">
        <v>0</v>
      </c>
    </row>
    <row r="256" spans="1:70" x14ac:dyDescent="0.35">
      <c r="A256" s="8" t="s">
        <v>261</v>
      </c>
      <c r="B256" s="9" t="s">
        <v>950</v>
      </c>
      <c r="C256" s="10" t="s">
        <v>951</v>
      </c>
      <c r="D256" s="34">
        <f t="shared" si="5"/>
        <v>0</v>
      </c>
      <c r="E256" s="9">
        <v>0</v>
      </c>
      <c r="F256" s="9">
        <v>0</v>
      </c>
      <c r="G256" s="9">
        <v>0</v>
      </c>
      <c r="H256" s="9">
        <v>0</v>
      </c>
      <c r="I256" s="9">
        <v>0</v>
      </c>
      <c r="J256" s="9">
        <v>0</v>
      </c>
      <c r="K256" s="9">
        <v>0</v>
      </c>
      <c r="L256" s="9">
        <v>0</v>
      </c>
      <c r="M256" s="9">
        <v>0</v>
      </c>
      <c r="N256" s="9">
        <v>0</v>
      </c>
      <c r="O256" s="9">
        <v>0</v>
      </c>
      <c r="P256" s="9">
        <v>0</v>
      </c>
      <c r="Q256" s="9">
        <v>0</v>
      </c>
      <c r="R256" s="9">
        <v>0</v>
      </c>
      <c r="S256" s="9">
        <v>0</v>
      </c>
      <c r="T256" s="9">
        <v>0</v>
      </c>
      <c r="U256" s="9">
        <v>0</v>
      </c>
      <c r="V256" s="9">
        <v>0</v>
      </c>
      <c r="W256" s="9">
        <v>0</v>
      </c>
      <c r="X256" s="9">
        <v>0</v>
      </c>
      <c r="Y256" s="9">
        <v>0</v>
      </c>
      <c r="Z256" s="9">
        <v>0</v>
      </c>
      <c r="AA256" s="9">
        <v>0</v>
      </c>
      <c r="AB256" s="9">
        <v>0</v>
      </c>
      <c r="AC256" s="9">
        <v>0</v>
      </c>
      <c r="AD256" s="9">
        <v>0</v>
      </c>
      <c r="AE256" s="9">
        <v>0</v>
      </c>
      <c r="AF256" s="9">
        <v>0</v>
      </c>
      <c r="AG256" s="9">
        <v>0</v>
      </c>
      <c r="AH256" s="9">
        <v>0</v>
      </c>
      <c r="AI256" s="9">
        <v>0</v>
      </c>
      <c r="AJ256" s="9">
        <v>0</v>
      </c>
      <c r="AK256" s="9">
        <v>0</v>
      </c>
      <c r="AL256" s="9">
        <v>0</v>
      </c>
      <c r="AM256" s="9">
        <v>0</v>
      </c>
      <c r="AN256" s="9">
        <v>0</v>
      </c>
      <c r="AO256" s="9">
        <v>0</v>
      </c>
      <c r="AP256" s="9">
        <v>0</v>
      </c>
      <c r="AQ256" s="9">
        <v>0</v>
      </c>
      <c r="AR256" s="9">
        <v>0</v>
      </c>
      <c r="AS256" s="9">
        <v>0</v>
      </c>
      <c r="AT256" s="9">
        <v>0</v>
      </c>
      <c r="AU256" s="9">
        <v>0</v>
      </c>
      <c r="AV256" s="9">
        <v>0</v>
      </c>
      <c r="AW256" s="9">
        <v>0</v>
      </c>
      <c r="AX256" s="9">
        <v>0</v>
      </c>
      <c r="AY256" s="9">
        <v>0</v>
      </c>
      <c r="AZ256" s="9">
        <v>0</v>
      </c>
      <c r="BA256" s="9">
        <v>0</v>
      </c>
      <c r="BB256" s="9">
        <v>0</v>
      </c>
      <c r="BC256" s="9">
        <v>0</v>
      </c>
      <c r="BD256" s="9">
        <v>0</v>
      </c>
      <c r="BE256" s="9">
        <v>0</v>
      </c>
      <c r="BF256" s="9">
        <v>0</v>
      </c>
      <c r="BG256" s="9">
        <v>0</v>
      </c>
      <c r="BH256" s="9">
        <v>0</v>
      </c>
      <c r="BI256" s="9">
        <v>0</v>
      </c>
      <c r="BJ256" s="9">
        <v>0</v>
      </c>
      <c r="BK256" s="9">
        <v>0</v>
      </c>
      <c r="BL256" s="9">
        <v>0</v>
      </c>
      <c r="BM256" s="9">
        <v>0</v>
      </c>
      <c r="BN256" s="9">
        <v>0</v>
      </c>
      <c r="BO256" s="9">
        <v>0</v>
      </c>
      <c r="BP256" s="10">
        <v>0</v>
      </c>
      <c r="BQ256">
        <v>0</v>
      </c>
      <c r="BR256">
        <v>0</v>
      </c>
    </row>
    <row r="257" spans="1:70" x14ac:dyDescent="0.35">
      <c r="A257" s="8" t="s">
        <v>261</v>
      </c>
      <c r="B257" s="9" t="s">
        <v>952</v>
      </c>
      <c r="C257" s="10" t="s">
        <v>953</v>
      </c>
      <c r="D257" s="34">
        <f t="shared" si="5"/>
        <v>0</v>
      </c>
      <c r="E257" s="9">
        <v>0</v>
      </c>
      <c r="F257" s="9">
        <v>0</v>
      </c>
      <c r="G257" s="9">
        <v>0</v>
      </c>
      <c r="H257" s="9">
        <v>0</v>
      </c>
      <c r="I257" s="9">
        <v>0</v>
      </c>
      <c r="J257" s="9">
        <v>0</v>
      </c>
      <c r="K257" s="9">
        <v>0</v>
      </c>
      <c r="L257" s="9">
        <v>0</v>
      </c>
      <c r="M257" s="9">
        <v>0</v>
      </c>
      <c r="N257" s="9">
        <v>0</v>
      </c>
      <c r="O257" s="9">
        <v>0</v>
      </c>
      <c r="P257" s="9">
        <v>0</v>
      </c>
      <c r="Q257" s="9">
        <v>0</v>
      </c>
      <c r="R257" s="9">
        <v>0</v>
      </c>
      <c r="S257" s="9">
        <v>0</v>
      </c>
      <c r="T257" s="9">
        <v>0</v>
      </c>
      <c r="U257" s="9">
        <v>0</v>
      </c>
      <c r="V257" s="9">
        <v>0</v>
      </c>
      <c r="W257" s="9">
        <v>0</v>
      </c>
      <c r="X257" s="9">
        <v>0</v>
      </c>
      <c r="Y257" s="9">
        <v>0</v>
      </c>
      <c r="Z257" s="9">
        <v>0</v>
      </c>
      <c r="AA257" s="9">
        <v>0</v>
      </c>
      <c r="AB257" s="9">
        <v>0</v>
      </c>
      <c r="AC257" s="9">
        <v>0</v>
      </c>
      <c r="AD257" s="9">
        <v>0</v>
      </c>
      <c r="AE257" s="9">
        <v>0</v>
      </c>
      <c r="AF257" s="9">
        <v>0</v>
      </c>
      <c r="AG257" s="9">
        <v>0</v>
      </c>
      <c r="AH257" s="9">
        <v>0</v>
      </c>
      <c r="AI257" s="9">
        <v>0</v>
      </c>
      <c r="AJ257" s="9">
        <v>0</v>
      </c>
      <c r="AK257" s="9">
        <v>0</v>
      </c>
      <c r="AL257" s="9">
        <v>0</v>
      </c>
      <c r="AM257" s="9">
        <v>0</v>
      </c>
      <c r="AN257" s="9">
        <v>0</v>
      </c>
      <c r="AO257" s="9">
        <v>0</v>
      </c>
      <c r="AP257" s="9">
        <v>0</v>
      </c>
      <c r="AQ257" s="9">
        <v>0</v>
      </c>
      <c r="AR257" s="9">
        <v>0</v>
      </c>
      <c r="AS257" s="9">
        <v>0</v>
      </c>
      <c r="AT257" s="9">
        <v>0</v>
      </c>
      <c r="AU257" s="9">
        <v>0</v>
      </c>
      <c r="AV257" s="9">
        <v>0</v>
      </c>
      <c r="AW257" s="9">
        <v>0</v>
      </c>
      <c r="AX257" s="9">
        <v>0</v>
      </c>
      <c r="AY257" s="9">
        <v>0</v>
      </c>
      <c r="AZ257" s="9">
        <v>0</v>
      </c>
      <c r="BA257" s="9">
        <v>0</v>
      </c>
      <c r="BB257" s="9">
        <v>0</v>
      </c>
      <c r="BC257" s="9">
        <v>0</v>
      </c>
      <c r="BD257" s="9">
        <v>0</v>
      </c>
      <c r="BE257" s="9">
        <v>0</v>
      </c>
      <c r="BF257" s="9">
        <v>0</v>
      </c>
      <c r="BG257" s="9">
        <v>0</v>
      </c>
      <c r="BH257" s="9">
        <v>0</v>
      </c>
      <c r="BI257" s="9">
        <v>0</v>
      </c>
      <c r="BJ257" s="9">
        <v>0</v>
      </c>
      <c r="BK257" s="9">
        <v>0</v>
      </c>
      <c r="BL257" s="9">
        <v>0</v>
      </c>
      <c r="BM257" s="9">
        <v>0</v>
      </c>
      <c r="BN257" s="9">
        <v>0</v>
      </c>
      <c r="BO257" s="9">
        <v>0</v>
      </c>
      <c r="BP257" s="10">
        <v>0</v>
      </c>
      <c r="BQ257">
        <v>0</v>
      </c>
      <c r="BR257">
        <v>0</v>
      </c>
    </row>
    <row r="258" spans="1:70" x14ac:dyDescent="0.35">
      <c r="A258" s="8" t="s">
        <v>261</v>
      </c>
      <c r="B258" s="9" t="s">
        <v>954</v>
      </c>
      <c r="C258" s="10" t="s">
        <v>955</v>
      </c>
      <c r="D258" s="34">
        <f t="shared" si="5"/>
        <v>0</v>
      </c>
      <c r="E258" s="9">
        <v>0</v>
      </c>
      <c r="F258" s="9">
        <v>0</v>
      </c>
      <c r="G258" s="9">
        <v>0</v>
      </c>
      <c r="H258" s="9">
        <v>0</v>
      </c>
      <c r="I258" s="9">
        <v>0</v>
      </c>
      <c r="J258" s="9">
        <v>0</v>
      </c>
      <c r="K258" s="9">
        <v>0</v>
      </c>
      <c r="L258" s="9">
        <v>0</v>
      </c>
      <c r="M258" s="9">
        <v>0</v>
      </c>
      <c r="N258" s="9">
        <v>0</v>
      </c>
      <c r="O258" s="9">
        <v>0</v>
      </c>
      <c r="P258" s="9">
        <v>0</v>
      </c>
      <c r="Q258" s="9">
        <v>0</v>
      </c>
      <c r="R258" s="9">
        <v>0</v>
      </c>
      <c r="S258" s="9">
        <v>0</v>
      </c>
      <c r="T258" s="9">
        <v>0</v>
      </c>
      <c r="U258" s="9">
        <v>0</v>
      </c>
      <c r="V258" s="9">
        <v>0</v>
      </c>
      <c r="W258" s="9">
        <v>0</v>
      </c>
      <c r="X258" s="9">
        <v>0</v>
      </c>
      <c r="Y258" s="9">
        <v>0</v>
      </c>
      <c r="Z258" s="9">
        <v>0</v>
      </c>
      <c r="AA258" s="9">
        <v>0</v>
      </c>
      <c r="AB258" s="9">
        <v>0</v>
      </c>
      <c r="AC258" s="9">
        <v>0</v>
      </c>
      <c r="AD258" s="9">
        <v>0</v>
      </c>
      <c r="AE258" s="9">
        <v>0</v>
      </c>
      <c r="AF258" s="9">
        <v>0</v>
      </c>
      <c r="AG258" s="9">
        <v>0</v>
      </c>
      <c r="AH258" s="9">
        <v>0</v>
      </c>
      <c r="AI258" s="9">
        <v>0</v>
      </c>
      <c r="AJ258" s="9">
        <v>0</v>
      </c>
      <c r="AK258" s="9">
        <v>0</v>
      </c>
      <c r="AL258" s="9">
        <v>0</v>
      </c>
      <c r="AM258" s="9">
        <v>0</v>
      </c>
      <c r="AN258" s="9">
        <v>0</v>
      </c>
      <c r="AO258" s="9">
        <v>0</v>
      </c>
      <c r="AP258" s="9">
        <v>0</v>
      </c>
      <c r="AQ258" s="9">
        <v>0</v>
      </c>
      <c r="AR258" s="9">
        <v>0</v>
      </c>
      <c r="AS258" s="9">
        <v>0</v>
      </c>
      <c r="AT258" s="9">
        <v>0</v>
      </c>
      <c r="AU258" s="9">
        <v>0</v>
      </c>
      <c r="AV258" s="9">
        <v>0</v>
      </c>
      <c r="AW258" s="9">
        <v>0</v>
      </c>
      <c r="AX258" s="9">
        <v>0</v>
      </c>
      <c r="AY258" s="9">
        <v>0</v>
      </c>
      <c r="AZ258" s="9">
        <v>0</v>
      </c>
      <c r="BA258" s="9">
        <v>0</v>
      </c>
      <c r="BB258" s="9">
        <v>0</v>
      </c>
      <c r="BC258" s="9">
        <v>0</v>
      </c>
      <c r="BD258" s="9">
        <v>0</v>
      </c>
      <c r="BE258" s="9">
        <v>0</v>
      </c>
      <c r="BF258" s="9">
        <v>0</v>
      </c>
      <c r="BG258" s="9">
        <v>0</v>
      </c>
      <c r="BH258" s="9">
        <v>0</v>
      </c>
      <c r="BI258" s="9">
        <v>0</v>
      </c>
      <c r="BJ258" s="9">
        <v>0</v>
      </c>
      <c r="BK258" s="9">
        <v>0</v>
      </c>
      <c r="BL258" s="9">
        <v>0</v>
      </c>
      <c r="BM258" s="9">
        <v>0</v>
      </c>
      <c r="BN258" s="9">
        <v>0</v>
      </c>
      <c r="BO258" s="9">
        <v>0</v>
      </c>
      <c r="BP258" s="10">
        <v>0</v>
      </c>
      <c r="BQ258">
        <v>0</v>
      </c>
      <c r="BR258">
        <v>0</v>
      </c>
    </row>
    <row r="259" spans="1:70" x14ac:dyDescent="0.35">
      <c r="A259" s="8" t="s">
        <v>261</v>
      </c>
      <c r="B259" s="9" t="s">
        <v>956</v>
      </c>
      <c r="C259" s="10" t="s">
        <v>957</v>
      </c>
      <c r="D259" s="34">
        <f t="shared" si="5"/>
        <v>0</v>
      </c>
      <c r="E259" s="9">
        <v>0</v>
      </c>
      <c r="F259" s="9">
        <v>0</v>
      </c>
      <c r="G259" s="9">
        <v>0</v>
      </c>
      <c r="H259" s="9">
        <v>0</v>
      </c>
      <c r="I259" s="9">
        <v>0</v>
      </c>
      <c r="J259" s="9">
        <v>0</v>
      </c>
      <c r="K259" s="9">
        <v>0</v>
      </c>
      <c r="L259" s="9">
        <v>0</v>
      </c>
      <c r="M259" s="9">
        <v>0</v>
      </c>
      <c r="N259" s="9">
        <v>0</v>
      </c>
      <c r="O259" s="9">
        <v>0</v>
      </c>
      <c r="P259" s="9">
        <v>0</v>
      </c>
      <c r="Q259" s="9">
        <v>0</v>
      </c>
      <c r="R259" s="9">
        <v>0</v>
      </c>
      <c r="S259" s="9">
        <v>0</v>
      </c>
      <c r="T259" s="9">
        <v>0</v>
      </c>
      <c r="U259" s="9">
        <v>0</v>
      </c>
      <c r="V259" s="9">
        <v>0</v>
      </c>
      <c r="W259" s="9">
        <v>0</v>
      </c>
      <c r="X259" s="9">
        <v>0</v>
      </c>
      <c r="Y259" s="9">
        <v>0</v>
      </c>
      <c r="Z259" s="9">
        <v>0</v>
      </c>
      <c r="AA259" s="9">
        <v>0</v>
      </c>
      <c r="AB259" s="9">
        <v>0</v>
      </c>
      <c r="AC259" s="9">
        <v>0</v>
      </c>
      <c r="AD259" s="9">
        <v>0</v>
      </c>
      <c r="AE259" s="9">
        <v>0</v>
      </c>
      <c r="AF259" s="9">
        <v>0</v>
      </c>
      <c r="AG259" s="9">
        <v>0</v>
      </c>
      <c r="AH259" s="9">
        <v>0</v>
      </c>
      <c r="AI259" s="9">
        <v>0</v>
      </c>
      <c r="AJ259" s="9">
        <v>0</v>
      </c>
      <c r="AK259" s="9">
        <v>0</v>
      </c>
      <c r="AL259" s="9">
        <v>0</v>
      </c>
      <c r="AM259" s="9">
        <v>0</v>
      </c>
      <c r="AN259" s="9">
        <v>0</v>
      </c>
      <c r="AO259" s="9">
        <v>0</v>
      </c>
      <c r="AP259" s="9">
        <v>0</v>
      </c>
      <c r="AQ259" s="9">
        <v>0</v>
      </c>
      <c r="AR259" s="9">
        <v>0</v>
      </c>
      <c r="AS259" s="9">
        <v>0</v>
      </c>
      <c r="AT259" s="9">
        <v>0</v>
      </c>
      <c r="AU259" s="9">
        <v>0</v>
      </c>
      <c r="AV259" s="9">
        <v>0</v>
      </c>
      <c r="AW259" s="9">
        <v>0</v>
      </c>
      <c r="AX259" s="9">
        <v>0</v>
      </c>
      <c r="AY259" s="9">
        <v>0</v>
      </c>
      <c r="AZ259" s="9">
        <v>0</v>
      </c>
      <c r="BA259" s="9">
        <v>0</v>
      </c>
      <c r="BB259" s="9">
        <v>0</v>
      </c>
      <c r="BC259" s="9">
        <v>0</v>
      </c>
      <c r="BD259" s="9">
        <v>0</v>
      </c>
      <c r="BE259" s="9">
        <v>0</v>
      </c>
      <c r="BF259" s="9">
        <v>0</v>
      </c>
      <c r="BG259" s="9">
        <v>0</v>
      </c>
      <c r="BH259" s="9">
        <v>0</v>
      </c>
      <c r="BI259" s="9">
        <v>0</v>
      </c>
      <c r="BJ259" s="9">
        <v>0</v>
      </c>
      <c r="BK259" s="9">
        <v>0</v>
      </c>
      <c r="BL259" s="9">
        <v>0</v>
      </c>
      <c r="BM259" s="9">
        <v>0</v>
      </c>
      <c r="BN259" s="9">
        <v>0</v>
      </c>
      <c r="BO259" s="9">
        <v>0</v>
      </c>
      <c r="BP259" s="10">
        <v>0</v>
      </c>
      <c r="BQ259">
        <v>0</v>
      </c>
      <c r="BR259">
        <v>0</v>
      </c>
    </row>
    <row r="260" spans="1:70" x14ac:dyDescent="0.35">
      <c r="A260" s="8" t="s">
        <v>261</v>
      </c>
      <c r="B260" s="9" t="s">
        <v>958</v>
      </c>
      <c r="C260" s="10" t="s">
        <v>959</v>
      </c>
      <c r="D260" s="34">
        <f t="shared" si="5"/>
        <v>0</v>
      </c>
      <c r="E260" s="9">
        <v>0</v>
      </c>
      <c r="F260" s="9">
        <v>0</v>
      </c>
      <c r="G260" s="9">
        <v>0</v>
      </c>
      <c r="H260" s="9">
        <v>0</v>
      </c>
      <c r="I260" s="9">
        <v>0</v>
      </c>
      <c r="J260" s="9">
        <v>0</v>
      </c>
      <c r="K260" s="9">
        <v>0</v>
      </c>
      <c r="L260" s="9">
        <v>0</v>
      </c>
      <c r="M260" s="9">
        <v>0</v>
      </c>
      <c r="N260" s="9">
        <v>0</v>
      </c>
      <c r="O260" s="9">
        <v>0</v>
      </c>
      <c r="P260" s="9">
        <v>0</v>
      </c>
      <c r="Q260" s="9">
        <v>0</v>
      </c>
      <c r="R260" s="9">
        <v>0</v>
      </c>
      <c r="S260" s="9">
        <v>0</v>
      </c>
      <c r="T260" s="9">
        <v>0</v>
      </c>
      <c r="U260" s="9">
        <v>0</v>
      </c>
      <c r="V260" s="9">
        <v>0</v>
      </c>
      <c r="W260" s="9">
        <v>0</v>
      </c>
      <c r="X260" s="9">
        <v>0</v>
      </c>
      <c r="Y260" s="9">
        <v>0</v>
      </c>
      <c r="Z260" s="9">
        <v>0</v>
      </c>
      <c r="AA260" s="9">
        <v>0</v>
      </c>
      <c r="AB260" s="9">
        <v>0</v>
      </c>
      <c r="AC260" s="9">
        <v>0</v>
      </c>
      <c r="AD260" s="9">
        <v>0</v>
      </c>
      <c r="AE260" s="9">
        <v>0</v>
      </c>
      <c r="AF260" s="9">
        <v>0</v>
      </c>
      <c r="AG260" s="9">
        <v>0</v>
      </c>
      <c r="AH260" s="9">
        <v>0</v>
      </c>
      <c r="AI260" s="9">
        <v>0</v>
      </c>
      <c r="AJ260" s="9">
        <v>0</v>
      </c>
      <c r="AK260" s="9">
        <v>0</v>
      </c>
      <c r="AL260" s="9">
        <v>0</v>
      </c>
      <c r="AM260" s="9">
        <v>0</v>
      </c>
      <c r="AN260" s="9">
        <v>0</v>
      </c>
      <c r="AO260" s="9">
        <v>0</v>
      </c>
      <c r="AP260" s="9">
        <v>0</v>
      </c>
      <c r="AQ260" s="9">
        <v>0</v>
      </c>
      <c r="AR260" s="9">
        <v>0</v>
      </c>
      <c r="AS260" s="9">
        <v>0</v>
      </c>
      <c r="AT260" s="9">
        <v>0</v>
      </c>
      <c r="AU260" s="9">
        <v>0</v>
      </c>
      <c r="AV260" s="9">
        <v>0</v>
      </c>
      <c r="AW260" s="9">
        <v>0</v>
      </c>
      <c r="AX260" s="9">
        <v>0</v>
      </c>
      <c r="AY260" s="9">
        <v>0</v>
      </c>
      <c r="AZ260" s="9">
        <v>0</v>
      </c>
      <c r="BA260" s="9">
        <v>0</v>
      </c>
      <c r="BB260" s="9">
        <v>0</v>
      </c>
      <c r="BC260" s="9">
        <v>0</v>
      </c>
      <c r="BD260" s="9">
        <v>0</v>
      </c>
      <c r="BE260" s="9">
        <v>0</v>
      </c>
      <c r="BF260" s="9">
        <v>0</v>
      </c>
      <c r="BG260" s="9">
        <v>0</v>
      </c>
      <c r="BH260" s="9">
        <v>0</v>
      </c>
      <c r="BI260" s="9">
        <v>0</v>
      </c>
      <c r="BJ260" s="9">
        <v>0</v>
      </c>
      <c r="BK260" s="9">
        <v>0</v>
      </c>
      <c r="BL260" s="9">
        <v>0</v>
      </c>
      <c r="BM260" s="9">
        <v>0</v>
      </c>
      <c r="BN260" s="9">
        <v>0</v>
      </c>
      <c r="BO260" s="9">
        <v>0</v>
      </c>
      <c r="BP260" s="10">
        <v>0</v>
      </c>
      <c r="BQ260">
        <v>0</v>
      </c>
      <c r="BR260">
        <v>0</v>
      </c>
    </row>
    <row r="261" spans="1:70" x14ac:dyDescent="0.35">
      <c r="A261" s="8" t="s">
        <v>261</v>
      </c>
      <c r="B261" s="9" t="s">
        <v>960</v>
      </c>
      <c r="C261" s="10" t="s">
        <v>961</v>
      </c>
      <c r="D261" s="34">
        <f t="shared" si="5"/>
        <v>0</v>
      </c>
      <c r="E261" s="9">
        <v>0</v>
      </c>
      <c r="F261" s="9">
        <v>0</v>
      </c>
      <c r="G261" s="9">
        <v>0</v>
      </c>
      <c r="H261" s="9">
        <v>0</v>
      </c>
      <c r="I261" s="9">
        <v>0</v>
      </c>
      <c r="J261" s="9">
        <v>0</v>
      </c>
      <c r="K261" s="9">
        <v>0</v>
      </c>
      <c r="L261" s="9">
        <v>0</v>
      </c>
      <c r="M261" s="9">
        <v>0</v>
      </c>
      <c r="N261" s="9">
        <v>0</v>
      </c>
      <c r="O261" s="9">
        <v>0</v>
      </c>
      <c r="P261" s="9">
        <v>0</v>
      </c>
      <c r="Q261" s="9">
        <v>0</v>
      </c>
      <c r="R261" s="9">
        <v>0</v>
      </c>
      <c r="S261" s="9">
        <v>0</v>
      </c>
      <c r="T261" s="9">
        <v>0</v>
      </c>
      <c r="U261" s="9">
        <v>0</v>
      </c>
      <c r="V261" s="9">
        <v>0</v>
      </c>
      <c r="W261" s="9">
        <v>0</v>
      </c>
      <c r="X261" s="9">
        <v>0</v>
      </c>
      <c r="Y261" s="9">
        <v>0</v>
      </c>
      <c r="Z261" s="9">
        <v>0</v>
      </c>
      <c r="AA261" s="9">
        <v>0</v>
      </c>
      <c r="AB261" s="9">
        <v>0</v>
      </c>
      <c r="AC261" s="9">
        <v>0</v>
      </c>
      <c r="AD261" s="9">
        <v>0</v>
      </c>
      <c r="AE261" s="9">
        <v>0</v>
      </c>
      <c r="AF261" s="9">
        <v>0</v>
      </c>
      <c r="AG261" s="9">
        <v>0</v>
      </c>
      <c r="AH261" s="9">
        <v>0</v>
      </c>
      <c r="AI261" s="9">
        <v>0</v>
      </c>
      <c r="AJ261" s="9">
        <v>0</v>
      </c>
      <c r="AK261" s="9">
        <v>0</v>
      </c>
      <c r="AL261" s="9">
        <v>0</v>
      </c>
      <c r="AM261" s="9">
        <v>0</v>
      </c>
      <c r="AN261" s="9">
        <v>0</v>
      </c>
      <c r="AO261" s="9">
        <v>0</v>
      </c>
      <c r="AP261" s="9">
        <v>0</v>
      </c>
      <c r="AQ261" s="9">
        <v>0</v>
      </c>
      <c r="AR261" s="9">
        <v>0</v>
      </c>
      <c r="AS261" s="9">
        <v>0</v>
      </c>
      <c r="AT261" s="9">
        <v>0</v>
      </c>
      <c r="AU261" s="9">
        <v>0</v>
      </c>
      <c r="AV261" s="9">
        <v>0</v>
      </c>
      <c r="AW261" s="9">
        <v>0</v>
      </c>
      <c r="AX261" s="9">
        <v>0</v>
      </c>
      <c r="AY261" s="9">
        <v>0</v>
      </c>
      <c r="AZ261" s="9">
        <v>0</v>
      </c>
      <c r="BA261" s="9">
        <v>0</v>
      </c>
      <c r="BB261" s="9">
        <v>0</v>
      </c>
      <c r="BC261" s="9">
        <v>0</v>
      </c>
      <c r="BD261" s="9">
        <v>0</v>
      </c>
      <c r="BE261" s="9">
        <v>0</v>
      </c>
      <c r="BF261" s="9">
        <v>0</v>
      </c>
      <c r="BG261" s="9">
        <v>0</v>
      </c>
      <c r="BH261" s="9">
        <v>0</v>
      </c>
      <c r="BI261" s="9">
        <v>0</v>
      </c>
      <c r="BJ261" s="9">
        <v>0</v>
      </c>
      <c r="BK261" s="9">
        <v>0</v>
      </c>
      <c r="BL261" s="9">
        <v>0</v>
      </c>
      <c r="BM261" s="9">
        <v>0</v>
      </c>
      <c r="BN261" s="9">
        <v>0</v>
      </c>
      <c r="BO261" s="9">
        <v>0</v>
      </c>
      <c r="BP261" s="10">
        <v>0</v>
      </c>
      <c r="BQ261">
        <v>0</v>
      </c>
      <c r="BR261">
        <v>0</v>
      </c>
    </row>
    <row r="262" spans="1:70" x14ac:dyDescent="0.35">
      <c r="A262" s="8" t="s">
        <v>261</v>
      </c>
      <c r="B262" s="9" t="s">
        <v>962</v>
      </c>
      <c r="C262" s="10" t="s">
        <v>963</v>
      </c>
      <c r="D262" s="34">
        <f t="shared" ref="D262:D325" si="6">MAX(E262:BR262)</f>
        <v>0</v>
      </c>
      <c r="E262" s="9">
        <v>0</v>
      </c>
      <c r="F262" s="9">
        <v>0</v>
      </c>
      <c r="G262" s="9">
        <v>0</v>
      </c>
      <c r="H262" s="9">
        <v>0</v>
      </c>
      <c r="I262" s="9">
        <v>0</v>
      </c>
      <c r="J262" s="9">
        <v>0</v>
      </c>
      <c r="K262" s="9">
        <v>0</v>
      </c>
      <c r="L262" s="9">
        <v>0</v>
      </c>
      <c r="M262" s="9">
        <v>0</v>
      </c>
      <c r="N262" s="9">
        <v>0</v>
      </c>
      <c r="O262" s="9">
        <v>0</v>
      </c>
      <c r="P262" s="9">
        <v>0</v>
      </c>
      <c r="Q262" s="9">
        <v>0</v>
      </c>
      <c r="R262" s="9">
        <v>0</v>
      </c>
      <c r="S262" s="9">
        <v>0</v>
      </c>
      <c r="T262" s="9">
        <v>0</v>
      </c>
      <c r="U262" s="9">
        <v>0</v>
      </c>
      <c r="V262" s="9">
        <v>0</v>
      </c>
      <c r="W262" s="9">
        <v>0</v>
      </c>
      <c r="X262" s="9">
        <v>0</v>
      </c>
      <c r="Y262" s="9">
        <v>0</v>
      </c>
      <c r="Z262" s="9">
        <v>0</v>
      </c>
      <c r="AA262" s="9">
        <v>0</v>
      </c>
      <c r="AB262" s="9">
        <v>0</v>
      </c>
      <c r="AC262" s="9">
        <v>0</v>
      </c>
      <c r="AD262" s="9">
        <v>0</v>
      </c>
      <c r="AE262" s="9">
        <v>0</v>
      </c>
      <c r="AF262" s="9">
        <v>0</v>
      </c>
      <c r="AG262" s="9">
        <v>0</v>
      </c>
      <c r="AH262" s="9">
        <v>0</v>
      </c>
      <c r="AI262" s="9">
        <v>0</v>
      </c>
      <c r="AJ262" s="9">
        <v>0</v>
      </c>
      <c r="AK262" s="9">
        <v>0</v>
      </c>
      <c r="AL262" s="9">
        <v>0</v>
      </c>
      <c r="AM262" s="9">
        <v>0</v>
      </c>
      <c r="AN262" s="9">
        <v>0</v>
      </c>
      <c r="AO262" s="9">
        <v>0</v>
      </c>
      <c r="AP262" s="9">
        <v>0</v>
      </c>
      <c r="AQ262" s="9">
        <v>0</v>
      </c>
      <c r="AR262" s="9">
        <v>0</v>
      </c>
      <c r="AS262" s="9">
        <v>0</v>
      </c>
      <c r="AT262" s="9">
        <v>0</v>
      </c>
      <c r="AU262" s="9">
        <v>0</v>
      </c>
      <c r="AV262" s="9">
        <v>0</v>
      </c>
      <c r="AW262" s="9">
        <v>0</v>
      </c>
      <c r="AX262" s="9">
        <v>0</v>
      </c>
      <c r="AY262" s="9">
        <v>0</v>
      </c>
      <c r="AZ262" s="9">
        <v>0</v>
      </c>
      <c r="BA262" s="9">
        <v>0</v>
      </c>
      <c r="BB262" s="9">
        <v>0</v>
      </c>
      <c r="BC262" s="9">
        <v>0</v>
      </c>
      <c r="BD262" s="9">
        <v>0</v>
      </c>
      <c r="BE262" s="9">
        <v>0</v>
      </c>
      <c r="BF262" s="9">
        <v>0</v>
      </c>
      <c r="BG262" s="9">
        <v>0</v>
      </c>
      <c r="BH262" s="9">
        <v>0</v>
      </c>
      <c r="BI262" s="9">
        <v>0</v>
      </c>
      <c r="BJ262" s="9">
        <v>0</v>
      </c>
      <c r="BK262" s="9">
        <v>0</v>
      </c>
      <c r="BL262" s="9">
        <v>0</v>
      </c>
      <c r="BM262" s="9">
        <v>0</v>
      </c>
      <c r="BN262" s="9">
        <v>0</v>
      </c>
      <c r="BO262" s="9">
        <v>0</v>
      </c>
      <c r="BP262" s="10">
        <v>0</v>
      </c>
      <c r="BQ262">
        <v>0</v>
      </c>
      <c r="BR262">
        <v>0</v>
      </c>
    </row>
    <row r="263" spans="1:70" x14ac:dyDescent="0.35">
      <c r="A263" s="8" t="s">
        <v>261</v>
      </c>
      <c r="B263" s="9" t="s">
        <v>964</v>
      </c>
      <c r="C263" s="10" t="s">
        <v>965</v>
      </c>
      <c r="D263" s="34">
        <f t="shared" si="6"/>
        <v>0</v>
      </c>
      <c r="E263" s="9">
        <v>0</v>
      </c>
      <c r="F263" s="9">
        <v>0</v>
      </c>
      <c r="G263" s="9">
        <v>0</v>
      </c>
      <c r="H263" s="9">
        <v>0</v>
      </c>
      <c r="I263" s="9">
        <v>0</v>
      </c>
      <c r="J263" s="9">
        <v>0</v>
      </c>
      <c r="K263" s="9">
        <v>0</v>
      </c>
      <c r="L263" s="9">
        <v>0</v>
      </c>
      <c r="M263" s="9">
        <v>0</v>
      </c>
      <c r="N263" s="9">
        <v>0</v>
      </c>
      <c r="O263" s="9">
        <v>0</v>
      </c>
      <c r="P263" s="9">
        <v>0</v>
      </c>
      <c r="Q263" s="9">
        <v>0</v>
      </c>
      <c r="R263" s="9">
        <v>0</v>
      </c>
      <c r="S263" s="9">
        <v>0</v>
      </c>
      <c r="T263" s="9">
        <v>0</v>
      </c>
      <c r="U263" s="9">
        <v>0</v>
      </c>
      <c r="V263" s="9">
        <v>0</v>
      </c>
      <c r="W263" s="9">
        <v>0</v>
      </c>
      <c r="X263" s="9">
        <v>0</v>
      </c>
      <c r="Y263" s="9">
        <v>0</v>
      </c>
      <c r="Z263" s="9">
        <v>0</v>
      </c>
      <c r="AA263" s="9">
        <v>0</v>
      </c>
      <c r="AB263" s="9">
        <v>0</v>
      </c>
      <c r="AC263" s="9">
        <v>0</v>
      </c>
      <c r="AD263" s="9">
        <v>0</v>
      </c>
      <c r="AE263" s="9">
        <v>0</v>
      </c>
      <c r="AF263" s="9">
        <v>0</v>
      </c>
      <c r="AG263" s="9">
        <v>0</v>
      </c>
      <c r="AH263" s="9">
        <v>0</v>
      </c>
      <c r="AI263" s="9">
        <v>0</v>
      </c>
      <c r="AJ263" s="9">
        <v>0</v>
      </c>
      <c r="AK263" s="9">
        <v>0</v>
      </c>
      <c r="AL263" s="9">
        <v>0</v>
      </c>
      <c r="AM263" s="9">
        <v>0</v>
      </c>
      <c r="AN263" s="9">
        <v>0</v>
      </c>
      <c r="AO263" s="9">
        <v>0</v>
      </c>
      <c r="AP263" s="9">
        <v>0</v>
      </c>
      <c r="AQ263" s="9">
        <v>0</v>
      </c>
      <c r="AR263" s="9">
        <v>0</v>
      </c>
      <c r="AS263" s="9">
        <v>0</v>
      </c>
      <c r="AT263" s="9">
        <v>0</v>
      </c>
      <c r="AU263" s="9">
        <v>0</v>
      </c>
      <c r="AV263" s="9">
        <v>0</v>
      </c>
      <c r="AW263" s="9">
        <v>0</v>
      </c>
      <c r="AX263" s="9">
        <v>0</v>
      </c>
      <c r="AY263" s="9">
        <v>0</v>
      </c>
      <c r="AZ263" s="9">
        <v>0</v>
      </c>
      <c r="BA263" s="9">
        <v>0</v>
      </c>
      <c r="BB263" s="9">
        <v>0</v>
      </c>
      <c r="BC263" s="9">
        <v>0</v>
      </c>
      <c r="BD263" s="9">
        <v>0</v>
      </c>
      <c r="BE263" s="9">
        <v>0</v>
      </c>
      <c r="BF263" s="9">
        <v>0</v>
      </c>
      <c r="BG263" s="9">
        <v>0</v>
      </c>
      <c r="BH263" s="9">
        <v>0</v>
      </c>
      <c r="BI263" s="9">
        <v>0</v>
      </c>
      <c r="BJ263" s="9">
        <v>0</v>
      </c>
      <c r="BK263" s="9">
        <v>0</v>
      </c>
      <c r="BL263" s="9">
        <v>0</v>
      </c>
      <c r="BM263" s="9">
        <v>0</v>
      </c>
      <c r="BN263" s="9">
        <v>0</v>
      </c>
      <c r="BO263" s="9">
        <v>0</v>
      </c>
      <c r="BP263" s="10">
        <v>0</v>
      </c>
      <c r="BQ263">
        <v>0</v>
      </c>
      <c r="BR263">
        <v>0</v>
      </c>
    </row>
    <row r="264" spans="1:70" x14ac:dyDescent="0.35">
      <c r="A264" s="8" t="s">
        <v>261</v>
      </c>
      <c r="B264" s="9" t="s">
        <v>966</v>
      </c>
      <c r="C264" s="10" t="s">
        <v>967</v>
      </c>
      <c r="D264" s="34">
        <f t="shared" si="6"/>
        <v>0</v>
      </c>
      <c r="E264" s="9">
        <v>0</v>
      </c>
      <c r="F264" s="9">
        <v>0</v>
      </c>
      <c r="G264" s="9">
        <v>0</v>
      </c>
      <c r="H264" s="9">
        <v>0</v>
      </c>
      <c r="I264" s="9">
        <v>0</v>
      </c>
      <c r="J264" s="9">
        <v>0</v>
      </c>
      <c r="K264" s="9">
        <v>0</v>
      </c>
      <c r="L264" s="9">
        <v>0</v>
      </c>
      <c r="M264" s="9">
        <v>0</v>
      </c>
      <c r="N264" s="9">
        <v>0</v>
      </c>
      <c r="O264" s="9">
        <v>0</v>
      </c>
      <c r="P264" s="9">
        <v>0</v>
      </c>
      <c r="Q264" s="9">
        <v>0</v>
      </c>
      <c r="R264" s="9">
        <v>0</v>
      </c>
      <c r="S264" s="9">
        <v>0</v>
      </c>
      <c r="T264" s="9">
        <v>0</v>
      </c>
      <c r="U264" s="9">
        <v>0</v>
      </c>
      <c r="V264" s="9">
        <v>0</v>
      </c>
      <c r="W264" s="9">
        <v>0</v>
      </c>
      <c r="X264" s="9">
        <v>0</v>
      </c>
      <c r="Y264" s="9">
        <v>0</v>
      </c>
      <c r="Z264" s="9">
        <v>0</v>
      </c>
      <c r="AA264" s="9">
        <v>0</v>
      </c>
      <c r="AB264" s="9">
        <v>0</v>
      </c>
      <c r="AC264" s="9">
        <v>0</v>
      </c>
      <c r="AD264" s="9">
        <v>0</v>
      </c>
      <c r="AE264" s="9">
        <v>0</v>
      </c>
      <c r="AF264" s="9">
        <v>0</v>
      </c>
      <c r="AG264" s="9">
        <v>0</v>
      </c>
      <c r="AH264" s="9">
        <v>0</v>
      </c>
      <c r="AI264" s="9">
        <v>0</v>
      </c>
      <c r="AJ264" s="9">
        <v>0</v>
      </c>
      <c r="AK264" s="9">
        <v>0</v>
      </c>
      <c r="AL264" s="9">
        <v>0</v>
      </c>
      <c r="AM264" s="9">
        <v>0</v>
      </c>
      <c r="AN264" s="9">
        <v>0</v>
      </c>
      <c r="AO264" s="9">
        <v>0</v>
      </c>
      <c r="AP264" s="9">
        <v>0</v>
      </c>
      <c r="AQ264" s="9">
        <v>0</v>
      </c>
      <c r="AR264" s="9">
        <v>0</v>
      </c>
      <c r="AS264" s="9">
        <v>0</v>
      </c>
      <c r="AT264" s="9">
        <v>0</v>
      </c>
      <c r="AU264" s="9">
        <v>0</v>
      </c>
      <c r="AV264" s="9">
        <v>0</v>
      </c>
      <c r="AW264" s="9">
        <v>0</v>
      </c>
      <c r="AX264" s="9">
        <v>0</v>
      </c>
      <c r="AY264" s="9">
        <v>0</v>
      </c>
      <c r="AZ264" s="9">
        <v>0</v>
      </c>
      <c r="BA264" s="9">
        <v>0</v>
      </c>
      <c r="BB264" s="9">
        <v>0</v>
      </c>
      <c r="BC264" s="9">
        <v>0</v>
      </c>
      <c r="BD264" s="9">
        <v>0</v>
      </c>
      <c r="BE264" s="9">
        <v>0</v>
      </c>
      <c r="BF264" s="9">
        <v>0</v>
      </c>
      <c r="BG264" s="9">
        <v>0</v>
      </c>
      <c r="BH264" s="9">
        <v>0</v>
      </c>
      <c r="BI264" s="9">
        <v>0</v>
      </c>
      <c r="BJ264" s="9">
        <v>0</v>
      </c>
      <c r="BK264" s="9">
        <v>0</v>
      </c>
      <c r="BL264" s="9">
        <v>0</v>
      </c>
      <c r="BM264" s="9">
        <v>0</v>
      </c>
      <c r="BN264" s="9">
        <v>0</v>
      </c>
      <c r="BO264" s="9">
        <v>0</v>
      </c>
      <c r="BP264" s="10">
        <v>0</v>
      </c>
      <c r="BQ264">
        <v>0</v>
      </c>
      <c r="BR264">
        <v>0</v>
      </c>
    </row>
    <row r="265" spans="1:70" x14ac:dyDescent="0.35">
      <c r="A265" s="8" t="s">
        <v>261</v>
      </c>
      <c r="B265" s="9" t="s">
        <v>968</v>
      </c>
      <c r="C265" s="10" t="s">
        <v>969</v>
      </c>
      <c r="D265" s="34">
        <f t="shared" si="6"/>
        <v>0</v>
      </c>
      <c r="E265" s="9">
        <v>0</v>
      </c>
      <c r="F265" s="9">
        <v>0</v>
      </c>
      <c r="G265" s="9">
        <v>0</v>
      </c>
      <c r="H265" s="9">
        <v>0</v>
      </c>
      <c r="I265" s="9">
        <v>0</v>
      </c>
      <c r="J265" s="9">
        <v>0</v>
      </c>
      <c r="K265" s="9">
        <v>0</v>
      </c>
      <c r="L265" s="9">
        <v>0</v>
      </c>
      <c r="M265" s="9">
        <v>0</v>
      </c>
      <c r="N265" s="9">
        <v>0</v>
      </c>
      <c r="O265" s="9">
        <v>0</v>
      </c>
      <c r="P265" s="9">
        <v>0</v>
      </c>
      <c r="Q265" s="9">
        <v>0</v>
      </c>
      <c r="R265" s="9">
        <v>0</v>
      </c>
      <c r="S265" s="9">
        <v>0</v>
      </c>
      <c r="T265" s="9">
        <v>0</v>
      </c>
      <c r="U265" s="9">
        <v>0</v>
      </c>
      <c r="V265" s="9">
        <v>0</v>
      </c>
      <c r="W265" s="9">
        <v>0</v>
      </c>
      <c r="X265" s="9">
        <v>0</v>
      </c>
      <c r="Y265" s="9">
        <v>0</v>
      </c>
      <c r="Z265" s="9">
        <v>0</v>
      </c>
      <c r="AA265" s="9">
        <v>0</v>
      </c>
      <c r="AB265" s="9">
        <v>0</v>
      </c>
      <c r="AC265" s="9">
        <v>0</v>
      </c>
      <c r="AD265" s="9">
        <v>0</v>
      </c>
      <c r="AE265" s="9">
        <v>0</v>
      </c>
      <c r="AF265" s="9">
        <v>0</v>
      </c>
      <c r="AG265" s="9">
        <v>0</v>
      </c>
      <c r="AH265" s="9">
        <v>0</v>
      </c>
      <c r="AI265" s="9">
        <v>0</v>
      </c>
      <c r="AJ265" s="9">
        <v>0</v>
      </c>
      <c r="AK265" s="9">
        <v>0</v>
      </c>
      <c r="AL265" s="9">
        <v>0</v>
      </c>
      <c r="AM265" s="9">
        <v>0</v>
      </c>
      <c r="AN265" s="9">
        <v>0</v>
      </c>
      <c r="AO265" s="9">
        <v>0</v>
      </c>
      <c r="AP265" s="9">
        <v>0</v>
      </c>
      <c r="AQ265" s="9">
        <v>0</v>
      </c>
      <c r="AR265" s="9">
        <v>0</v>
      </c>
      <c r="AS265" s="9">
        <v>0</v>
      </c>
      <c r="AT265" s="9">
        <v>0</v>
      </c>
      <c r="AU265" s="9">
        <v>0</v>
      </c>
      <c r="AV265" s="9">
        <v>0</v>
      </c>
      <c r="AW265" s="9">
        <v>0</v>
      </c>
      <c r="AX265" s="9">
        <v>0</v>
      </c>
      <c r="AY265" s="9">
        <v>0</v>
      </c>
      <c r="AZ265" s="9">
        <v>0</v>
      </c>
      <c r="BA265" s="9">
        <v>0</v>
      </c>
      <c r="BB265" s="9">
        <v>0</v>
      </c>
      <c r="BC265" s="9">
        <v>0</v>
      </c>
      <c r="BD265" s="9">
        <v>0</v>
      </c>
      <c r="BE265" s="9">
        <v>0</v>
      </c>
      <c r="BF265" s="9">
        <v>0</v>
      </c>
      <c r="BG265" s="9">
        <v>0</v>
      </c>
      <c r="BH265" s="9">
        <v>0</v>
      </c>
      <c r="BI265" s="9">
        <v>0</v>
      </c>
      <c r="BJ265" s="9">
        <v>0</v>
      </c>
      <c r="BK265" s="9">
        <v>0</v>
      </c>
      <c r="BL265" s="9">
        <v>0</v>
      </c>
      <c r="BM265" s="9">
        <v>0</v>
      </c>
      <c r="BN265" s="9">
        <v>0</v>
      </c>
      <c r="BO265" s="9">
        <v>0</v>
      </c>
      <c r="BP265" s="10">
        <v>0</v>
      </c>
      <c r="BQ265">
        <v>0</v>
      </c>
      <c r="BR265">
        <v>0</v>
      </c>
    </row>
    <row r="266" spans="1:70" x14ac:dyDescent="0.35">
      <c r="A266" s="8" t="s">
        <v>261</v>
      </c>
      <c r="B266" s="9" t="s">
        <v>970</v>
      </c>
      <c r="C266" s="10" t="s">
        <v>971</v>
      </c>
      <c r="D266" s="34">
        <f t="shared" si="6"/>
        <v>0</v>
      </c>
      <c r="E266" s="9">
        <v>0</v>
      </c>
      <c r="F266" s="9">
        <v>0</v>
      </c>
      <c r="G266" s="9">
        <v>0</v>
      </c>
      <c r="H266" s="9">
        <v>0</v>
      </c>
      <c r="I266" s="9">
        <v>0</v>
      </c>
      <c r="J266" s="9">
        <v>0</v>
      </c>
      <c r="K266" s="9">
        <v>0</v>
      </c>
      <c r="L266" s="9">
        <v>0</v>
      </c>
      <c r="M266" s="9">
        <v>0</v>
      </c>
      <c r="N266" s="9">
        <v>0</v>
      </c>
      <c r="O266" s="9">
        <v>0</v>
      </c>
      <c r="P266" s="9">
        <v>0</v>
      </c>
      <c r="Q266" s="9">
        <v>0</v>
      </c>
      <c r="R266" s="9">
        <v>0</v>
      </c>
      <c r="S266" s="9">
        <v>0</v>
      </c>
      <c r="T266" s="9">
        <v>0</v>
      </c>
      <c r="U266" s="9">
        <v>0</v>
      </c>
      <c r="V266" s="9">
        <v>0</v>
      </c>
      <c r="W266" s="9">
        <v>0</v>
      </c>
      <c r="X266" s="9">
        <v>0</v>
      </c>
      <c r="Y266" s="9">
        <v>0</v>
      </c>
      <c r="Z266" s="9">
        <v>0</v>
      </c>
      <c r="AA266" s="9">
        <v>0</v>
      </c>
      <c r="AB266" s="9">
        <v>0</v>
      </c>
      <c r="AC266" s="9">
        <v>0</v>
      </c>
      <c r="AD266" s="9">
        <v>0</v>
      </c>
      <c r="AE266" s="9">
        <v>0</v>
      </c>
      <c r="AF266" s="9">
        <v>0</v>
      </c>
      <c r="AG266" s="9">
        <v>0</v>
      </c>
      <c r="AH266" s="9">
        <v>0</v>
      </c>
      <c r="AI266" s="9">
        <v>0</v>
      </c>
      <c r="AJ266" s="9">
        <v>0</v>
      </c>
      <c r="AK266" s="9">
        <v>0</v>
      </c>
      <c r="AL266" s="9">
        <v>0</v>
      </c>
      <c r="AM266" s="9">
        <v>0</v>
      </c>
      <c r="AN266" s="9">
        <v>0</v>
      </c>
      <c r="AO266" s="9">
        <v>0</v>
      </c>
      <c r="AP266" s="9">
        <v>0</v>
      </c>
      <c r="AQ266" s="9">
        <v>0</v>
      </c>
      <c r="AR266" s="9">
        <v>0</v>
      </c>
      <c r="AS266" s="9">
        <v>0</v>
      </c>
      <c r="AT266" s="9">
        <v>0</v>
      </c>
      <c r="AU266" s="9">
        <v>0</v>
      </c>
      <c r="AV266" s="9">
        <v>0</v>
      </c>
      <c r="AW266" s="9">
        <v>0</v>
      </c>
      <c r="AX266" s="9">
        <v>0</v>
      </c>
      <c r="AY266" s="9">
        <v>0</v>
      </c>
      <c r="AZ266" s="9">
        <v>0</v>
      </c>
      <c r="BA266" s="9">
        <v>0</v>
      </c>
      <c r="BB266" s="9">
        <v>0</v>
      </c>
      <c r="BC266" s="9">
        <v>0</v>
      </c>
      <c r="BD266" s="9">
        <v>0</v>
      </c>
      <c r="BE266" s="9">
        <v>0</v>
      </c>
      <c r="BF266" s="9">
        <v>0</v>
      </c>
      <c r="BG266" s="9">
        <v>0</v>
      </c>
      <c r="BH266" s="9">
        <v>0</v>
      </c>
      <c r="BI266" s="9">
        <v>0</v>
      </c>
      <c r="BJ266" s="9">
        <v>0</v>
      </c>
      <c r="BK266" s="9">
        <v>0</v>
      </c>
      <c r="BL266" s="9">
        <v>0</v>
      </c>
      <c r="BM266" s="9">
        <v>0</v>
      </c>
      <c r="BN266" s="9">
        <v>0</v>
      </c>
      <c r="BO266" s="9">
        <v>0</v>
      </c>
      <c r="BP266" s="10">
        <v>0</v>
      </c>
      <c r="BQ266">
        <v>0</v>
      </c>
      <c r="BR266">
        <v>0</v>
      </c>
    </row>
    <row r="267" spans="1:70" x14ac:dyDescent="0.35">
      <c r="A267" s="8" t="s">
        <v>261</v>
      </c>
      <c r="B267" s="9" t="s">
        <v>972</v>
      </c>
      <c r="C267" s="10" t="s">
        <v>973</v>
      </c>
      <c r="D267" s="34">
        <f t="shared" si="6"/>
        <v>0</v>
      </c>
      <c r="E267" s="9">
        <v>0</v>
      </c>
      <c r="F267" s="9">
        <v>0</v>
      </c>
      <c r="G267" s="9">
        <v>0</v>
      </c>
      <c r="H267" s="9">
        <v>0</v>
      </c>
      <c r="I267" s="9">
        <v>0</v>
      </c>
      <c r="J267" s="9">
        <v>0</v>
      </c>
      <c r="K267" s="9">
        <v>0</v>
      </c>
      <c r="L267" s="9">
        <v>0</v>
      </c>
      <c r="M267" s="9">
        <v>0</v>
      </c>
      <c r="N267" s="9">
        <v>0</v>
      </c>
      <c r="O267" s="9">
        <v>0</v>
      </c>
      <c r="P267" s="9">
        <v>0</v>
      </c>
      <c r="Q267" s="9">
        <v>0</v>
      </c>
      <c r="R267" s="9">
        <v>0</v>
      </c>
      <c r="S267" s="9">
        <v>0</v>
      </c>
      <c r="T267" s="9">
        <v>0</v>
      </c>
      <c r="U267" s="9">
        <v>0</v>
      </c>
      <c r="V267" s="9">
        <v>0</v>
      </c>
      <c r="W267" s="9">
        <v>0</v>
      </c>
      <c r="X267" s="9">
        <v>0</v>
      </c>
      <c r="Y267" s="9">
        <v>0</v>
      </c>
      <c r="Z267" s="9">
        <v>0</v>
      </c>
      <c r="AA267" s="9">
        <v>0</v>
      </c>
      <c r="AB267" s="9">
        <v>0</v>
      </c>
      <c r="AC267" s="9">
        <v>0</v>
      </c>
      <c r="AD267" s="9">
        <v>0</v>
      </c>
      <c r="AE267" s="9">
        <v>0</v>
      </c>
      <c r="AF267" s="9">
        <v>0</v>
      </c>
      <c r="AG267" s="9">
        <v>0</v>
      </c>
      <c r="AH267" s="9">
        <v>0</v>
      </c>
      <c r="AI267" s="9">
        <v>0</v>
      </c>
      <c r="AJ267" s="9">
        <v>0</v>
      </c>
      <c r="AK267" s="9">
        <v>0</v>
      </c>
      <c r="AL267" s="9">
        <v>0</v>
      </c>
      <c r="AM267" s="9">
        <v>0</v>
      </c>
      <c r="AN267" s="9">
        <v>0</v>
      </c>
      <c r="AO267" s="9">
        <v>0</v>
      </c>
      <c r="AP267" s="9">
        <v>0</v>
      </c>
      <c r="AQ267" s="9">
        <v>0</v>
      </c>
      <c r="AR267" s="9">
        <v>0</v>
      </c>
      <c r="AS267" s="9">
        <v>0</v>
      </c>
      <c r="AT267" s="9">
        <v>0</v>
      </c>
      <c r="AU267" s="9">
        <v>0</v>
      </c>
      <c r="AV267" s="9">
        <v>0</v>
      </c>
      <c r="AW267" s="9">
        <v>0</v>
      </c>
      <c r="AX267" s="9">
        <v>0</v>
      </c>
      <c r="AY267" s="9">
        <v>0</v>
      </c>
      <c r="AZ267" s="9">
        <v>0</v>
      </c>
      <c r="BA267" s="9">
        <v>0</v>
      </c>
      <c r="BB267" s="9">
        <v>0</v>
      </c>
      <c r="BC267" s="9">
        <v>0</v>
      </c>
      <c r="BD267" s="9">
        <v>0</v>
      </c>
      <c r="BE267" s="9">
        <v>0</v>
      </c>
      <c r="BF267" s="9">
        <v>0</v>
      </c>
      <c r="BG267" s="9">
        <v>0</v>
      </c>
      <c r="BH267" s="9">
        <v>0</v>
      </c>
      <c r="BI267" s="9">
        <v>0</v>
      </c>
      <c r="BJ267" s="9">
        <v>0</v>
      </c>
      <c r="BK267" s="9">
        <v>0</v>
      </c>
      <c r="BL267" s="9">
        <v>0</v>
      </c>
      <c r="BM267" s="9">
        <v>0</v>
      </c>
      <c r="BN267" s="9">
        <v>0</v>
      </c>
      <c r="BO267" s="9">
        <v>0</v>
      </c>
      <c r="BP267" s="10">
        <v>0</v>
      </c>
      <c r="BQ267">
        <v>0</v>
      </c>
      <c r="BR267">
        <v>0</v>
      </c>
    </row>
    <row r="268" spans="1:70" x14ac:dyDescent="0.35">
      <c r="A268" s="8" t="s">
        <v>261</v>
      </c>
      <c r="B268" s="9" t="s">
        <v>974</v>
      </c>
      <c r="C268" s="10" t="s">
        <v>975</v>
      </c>
      <c r="D268" s="34">
        <f t="shared" si="6"/>
        <v>0</v>
      </c>
      <c r="E268" s="9">
        <v>0</v>
      </c>
      <c r="F268" s="9">
        <v>0</v>
      </c>
      <c r="G268" s="9">
        <v>0</v>
      </c>
      <c r="H268" s="9">
        <v>0</v>
      </c>
      <c r="I268" s="9">
        <v>0</v>
      </c>
      <c r="J268" s="9">
        <v>0</v>
      </c>
      <c r="K268" s="9">
        <v>0</v>
      </c>
      <c r="L268" s="9">
        <v>0</v>
      </c>
      <c r="M268" s="9">
        <v>0</v>
      </c>
      <c r="N268" s="9">
        <v>0</v>
      </c>
      <c r="O268" s="9">
        <v>0</v>
      </c>
      <c r="P268" s="9">
        <v>0</v>
      </c>
      <c r="Q268" s="9">
        <v>0</v>
      </c>
      <c r="R268" s="9">
        <v>0</v>
      </c>
      <c r="S268" s="9">
        <v>0</v>
      </c>
      <c r="T268" s="9">
        <v>0</v>
      </c>
      <c r="U268" s="9">
        <v>0</v>
      </c>
      <c r="V268" s="9">
        <v>0</v>
      </c>
      <c r="W268" s="9">
        <v>0</v>
      </c>
      <c r="X268" s="9">
        <v>0</v>
      </c>
      <c r="Y268" s="9">
        <v>0</v>
      </c>
      <c r="Z268" s="9">
        <v>0</v>
      </c>
      <c r="AA268" s="9">
        <v>0</v>
      </c>
      <c r="AB268" s="9">
        <v>0</v>
      </c>
      <c r="AC268" s="9">
        <v>0</v>
      </c>
      <c r="AD268" s="9">
        <v>0</v>
      </c>
      <c r="AE268" s="9">
        <v>0</v>
      </c>
      <c r="AF268" s="9">
        <v>0</v>
      </c>
      <c r="AG268" s="9">
        <v>0</v>
      </c>
      <c r="AH268" s="9">
        <v>0</v>
      </c>
      <c r="AI268" s="9">
        <v>0</v>
      </c>
      <c r="AJ268" s="9">
        <v>0</v>
      </c>
      <c r="AK268" s="9">
        <v>0</v>
      </c>
      <c r="AL268" s="9">
        <v>0</v>
      </c>
      <c r="AM268" s="9">
        <v>0</v>
      </c>
      <c r="AN268" s="9">
        <v>0</v>
      </c>
      <c r="AO268" s="9">
        <v>0</v>
      </c>
      <c r="AP268" s="9">
        <v>0</v>
      </c>
      <c r="AQ268" s="9">
        <v>0</v>
      </c>
      <c r="AR268" s="9">
        <v>0</v>
      </c>
      <c r="AS268" s="9">
        <v>0</v>
      </c>
      <c r="AT268" s="9">
        <v>0</v>
      </c>
      <c r="AU268" s="9">
        <v>0</v>
      </c>
      <c r="AV268" s="9">
        <v>0</v>
      </c>
      <c r="AW268" s="9">
        <v>0</v>
      </c>
      <c r="AX268" s="9">
        <v>0</v>
      </c>
      <c r="AY268" s="9">
        <v>0</v>
      </c>
      <c r="AZ268" s="9">
        <v>0</v>
      </c>
      <c r="BA268" s="9">
        <v>0</v>
      </c>
      <c r="BB268" s="9">
        <v>0</v>
      </c>
      <c r="BC268" s="9">
        <v>0</v>
      </c>
      <c r="BD268" s="9">
        <v>0</v>
      </c>
      <c r="BE268" s="9">
        <v>0</v>
      </c>
      <c r="BF268" s="9">
        <v>0</v>
      </c>
      <c r="BG268" s="9">
        <v>0</v>
      </c>
      <c r="BH268" s="9">
        <v>0</v>
      </c>
      <c r="BI268" s="9">
        <v>0</v>
      </c>
      <c r="BJ268" s="9">
        <v>0</v>
      </c>
      <c r="BK268" s="9">
        <v>0</v>
      </c>
      <c r="BL268" s="9">
        <v>0</v>
      </c>
      <c r="BM268" s="9">
        <v>0</v>
      </c>
      <c r="BN268" s="9">
        <v>0</v>
      </c>
      <c r="BO268" s="9">
        <v>0</v>
      </c>
      <c r="BP268" s="10">
        <v>0</v>
      </c>
      <c r="BQ268">
        <v>0</v>
      </c>
      <c r="BR268">
        <v>0</v>
      </c>
    </row>
    <row r="269" spans="1:70" x14ac:dyDescent="0.35">
      <c r="A269" s="8" t="s">
        <v>261</v>
      </c>
      <c r="B269" s="9" t="s">
        <v>976</v>
      </c>
      <c r="C269" s="10" t="s">
        <v>977</v>
      </c>
      <c r="D269" s="34">
        <f t="shared" si="6"/>
        <v>0</v>
      </c>
      <c r="E269" s="9">
        <v>0</v>
      </c>
      <c r="F269" s="9">
        <v>0</v>
      </c>
      <c r="G269" s="9">
        <v>0</v>
      </c>
      <c r="H269" s="9">
        <v>0</v>
      </c>
      <c r="I269" s="9">
        <v>0</v>
      </c>
      <c r="J269" s="9">
        <v>0</v>
      </c>
      <c r="K269" s="9">
        <v>0</v>
      </c>
      <c r="L269" s="9">
        <v>0</v>
      </c>
      <c r="M269" s="9">
        <v>0</v>
      </c>
      <c r="N269" s="9">
        <v>0</v>
      </c>
      <c r="O269" s="9">
        <v>0</v>
      </c>
      <c r="P269" s="9">
        <v>0</v>
      </c>
      <c r="Q269" s="9">
        <v>0</v>
      </c>
      <c r="R269" s="9">
        <v>0</v>
      </c>
      <c r="S269" s="9">
        <v>0</v>
      </c>
      <c r="T269" s="9">
        <v>0</v>
      </c>
      <c r="U269" s="9">
        <v>0</v>
      </c>
      <c r="V269" s="9">
        <v>0</v>
      </c>
      <c r="W269" s="9">
        <v>0</v>
      </c>
      <c r="X269" s="9">
        <v>0</v>
      </c>
      <c r="Y269" s="9">
        <v>0</v>
      </c>
      <c r="Z269" s="9">
        <v>0</v>
      </c>
      <c r="AA269" s="9">
        <v>0</v>
      </c>
      <c r="AB269" s="9">
        <v>0</v>
      </c>
      <c r="AC269" s="9">
        <v>0</v>
      </c>
      <c r="AD269" s="9">
        <v>0</v>
      </c>
      <c r="AE269" s="9">
        <v>0</v>
      </c>
      <c r="AF269" s="9">
        <v>0</v>
      </c>
      <c r="AG269" s="9">
        <v>0</v>
      </c>
      <c r="AH269" s="9">
        <v>0</v>
      </c>
      <c r="AI269" s="9">
        <v>0</v>
      </c>
      <c r="AJ269" s="9">
        <v>0</v>
      </c>
      <c r="AK269" s="9">
        <v>0</v>
      </c>
      <c r="AL269" s="9">
        <v>0</v>
      </c>
      <c r="AM269" s="9">
        <v>0</v>
      </c>
      <c r="AN269" s="9">
        <v>0</v>
      </c>
      <c r="AO269" s="9">
        <v>0</v>
      </c>
      <c r="AP269" s="9">
        <v>0</v>
      </c>
      <c r="AQ269" s="9">
        <v>0</v>
      </c>
      <c r="AR269" s="9">
        <v>0</v>
      </c>
      <c r="AS269" s="9">
        <v>0</v>
      </c>
      <c r="AT269" s="9">
        <v>0</v>
      </c>
      <c r="AU269" s="9">
        <v>0</v>
      </c>
      <c r="AV269" s="9">
        <v>0</v>
      </c>
      <c r="AW269" s="9">
        <v>0</v>
      </c>
      <c r="AX269" s="9">
        <v>0</v>
      </c>
      <c r="AY269" s="9">
        <v>0</v>
      </c>
      <c r="AZ269" s="9">
        <v>0</v>
      </c>
      <c r="BA269" s="9">
        <v>0</v>
      </c>
      <c r="BB269" s="9">
        <v>0</v>
      </c>
      <c r="BC269" s="9">
        <v>0</v>
      </c>
      <c r="BD269" s="9">
        <v>0</v>
      </c>
      <c r="BE269" s="9">
        <v>0</v>
      </c>
      <c r="BF269" s="9">
        <v>0</v>
      </c>
      <c r="BG269" s="9">
        <v>0</v>
      </c>
      <c r="BH269" s="9">
        <v>0</v>
      </c>
      <c r="BI269" s="9">
        <v>0</v>
      </c>
      <c r="BJ269" s="9">
        <v>0</v>
      </c>
      <c r="BK269" s="9">
        <v>0</v>
      </c>
      <c r="BL269" s="9">
        <v>0</v>
      </c>
      <c r="BM269" s="9">
        <v>0</v>
      </c>
      <c r="BN269" s="9">
        <v>0</v>
      </c>
      <c r="BO269" s="9">
        <v>0</v>
      </c>
      <c r="BP269" s="10">
        <v>0</v>
      </c>
      <c r="BQ269">
        <v>0</v>
      </c>
      <c r="BR269">
        <v>0</v>
      </c>
    </row>
    <row r="270" spans="1:70" x14ac:dyDescent="0.35">
      <c r="A270" s="8" t="s">
        <v>261</v>
      </c>
      <c r="B270" s="9" t="s">
        <v>978</v>
      </c>
      <c r="C270" s="10" t="s">
        <v>979</v>
      </c>
      <c r="D270" s="34">
        <f t="shared" si="6"/>
        <v>0</v>
      </c>
      <c r="E270" s="9">
        <v>0</v>
      </c>
      <c r="F270" s="9">
        <v>0</v>
      </c>
      <c r="G270" s="9">
        <v>0</v>
      </c>
      <c r="H270" s="9">
        <v>0</v>
      </c>
      <c r="I270" s="9">
        <v>0</v>
      </c>
      <c r="J270" s="9">
        <v>0</v>
      </c>
      <c r="K270" s="9">
        <v>0</v>
      </c>
      <c r="L270" s="9">
        <v>0</v>
      </c>
      <c r="M270" s="9">
        <v>0</v>
      </c>
      <c r="N270" s="9">
        <v>0</v>
      </c>
      <c r="O270" s="9">
        <v>0</v>
      </c>
      <c r="P270" s="9">
        <v>0</v>
      </c>
      <c r="Q270" s="9">
        <v>0</v>
      </c>
      <c r="R270" s="9">
        <v>0</v>
      </c>
      <c r="S270" s="9">
        <v>0</v>
      </c>
      <c r="T270" s="9">
        <v>0</v>
      </c>
      <c r="U270" s="9">
        <v>0</v>
      </c>
      <c r="V270" s="9">
        <v>0</v>
      </c>
      <c r="W270" s="9">
        <v>0</v>
      </c>
      <c r="X270" s="9">
        <v>0</v>
      </c>
      <c r="Y270" s="9">
        <v>0</v>
      </c>
      <c r="Z270" s="9">
        <v>0</v>
      </c>
      <c r="AA270" s="9">
        <v>0</v>
      </c>
      <c r="AB270" s="9">
        <v>0</v>
      </c>
      <c r="AC270" s="9">
        <v>0</v>
      </c>
      <c r="AD270" s="9">
        <v>0</v>
      </c>
      <c r="AE270" s="9">
        <v>0</v>
      </c>
      <c r="AF270" s="9">
        <v>0</v>
      </c>
      <c r="AG270" s="9">
        <v>0</v>
      </c>
      <c r="AH270" s="9">
        <v>0</v>
      </c>
      <c r="AI270" s="9">
        <v>0</v>
      </c>
      <c r="AJ270" s="9">
        <v>0</v>
      </c>
      <c r="AK270" s="9">
        <v>0</v>
      </c>
      <c r="AL270" s="9">
        <v>0</v>
      </c>
      <c r="AM270" s="9">
        <v>0</v>
      </c>
      <c r="AN270" s="9">
        <v>0</v>
      </c>
      <c r="AO270" s="9">
        <v>0</v>
      </c>
      <c r="AP270" s="9">
        <v>0</v>
      </c>
      <c r="AQ270" s="9">
        <v>0</v>
      </c>
      <c r="AR270" s="9">
        <v>0</v>
      </c>
      <c r="AS270" s="9">
        <v>0</v>
      </c>
      <c r="AT270" s="9">
        <v>0</v>
      </c>
      <c r="AU270" s="9">
        <v>0</v>
      </c>
      <c r="AV270" s="9">
        <v>0</v>
      </c>
      <c r="AW270" s="9">
        <v>0</v>
      </c>
      <c r="AX270" s="9">
        <v>0</v>
      </c>
      <c r="AY270" s="9">
        <v>0</v>
      </c>
      <c r="AZ270" s="9">
        <v>0</v>
      </c>
      <c r="BA270" s="9">
        <v>0</v>
      </c>
      <c r="BB270" s="9">
        <v>0</v>
      </c>
      <c r="BC270" s="9">
        <v>0</v>
      </c>
      <c r="BD270" s="9">
        <v>0</v>
      </c>
      <c r="BE270" s="9">
        <v>0</v>
      </c>
      <c r="BF270" s="9">
        <v>0</v>
      </c>
      <c r="BG270" s="9">
        <v>0</v>
      </c>
      <c r="BH270" s="9">
        <v>0</v>
      </c>
      <c r="BI270" s="9">
        <v>0</v>
      </c>
      <c r="BJ270" s="9">
        <v>0</v>
      </c>
      <c r="BK270" s="9">
        <v>0</v>
      </c>
      <c r="BL270" s="9">
        <v>0</v>
      </c>
      <c r="BM270" s="9">
        <v>0</v>
      </c>
      <c r="BN270" s="9">
        <v>0</v>
      </c>
      <c r="BO270" s="9">
        <v>0</v>
      </c>
      <c r="BP270" s="10">
        <v>0</v>
      </c>
      <c r="BQ270">
        <v>0</v>
      </c>
      <c r="BR270">
        <v>0</v>
      </c>
    </row>
    <row r="271" spans="1:70" x14ac:dyDescent="0.35">
      <c r="A271" s="8" t="s">
        <v>261</v>
      </c>
      <c r="B271" s="9" t="s">
        <v>980</v>
      </c>
      <c r="C271" s="10" t="s">
        <v>981</v>
      </c>
      <c r="D271" s="34">
        <f t="shared" si="6"/>
        <v>0</v>
      </c>
      <c r="E271" s="9">
        <v>0</v>
      </c>
      <c r="F271" s="9">
        <v>0</v>
      </c>
      <c r="G271" s="9">
        <v>0</v>
      </c>
      <c r="H271" s="9">
        <v>0</v>
      </c>
      <c r="I271" s="9">
        <v>0</v>
      </c>
      <c r="J271" s="9">
        <v>0</v>
      </c>
      <c r="K271" s="9">
        <v>0</v>
      </c>
      <c r="L271" s="9">
        <v>0</v>
      </c>
      <c r="M271" s="9">
        <v>0</v>
      </c>
      <c r="N271" s="9">
        <v>0</v>
      </c>
      <c r="O271" s="9">
        <v>0</v>
      </c>
      <c r="P271" s="9">
        <v>0</v>
      </c>
      <c r="Q271" s="9">
        <v>0</v>
      </c>
      <c r="R271" s="9">
        <v>0</v>
      </c>
      <c r="S271" s="9">
        <v>0</v>
      </c>
      <c r="T271" s="9">
        <v>0</v>
      </c>
      <c r="U271" s="9">
        <v>0</v>
      </c>
      <c r="V271" s="9">
        <v>0</v>
      </c>
      <c r="W271" s="9">
        <v>0</v>
      </c>
      <c r="X271" s="9">
        <v>0</v>
      </c>
      <c r="Y271" s="9">
        <v>0</v>
      </c>
      <c r="Z271" s="9">
        <v>0</v>
      </c>
      <c r="AA271" s="9">
        <v>0</v>
      </c>
      <c r="AB271" s="9">
        <v>0</v>
      </c>
      <c r="AC271" s="9">
        <v>0</v>
      </c>
      <c r="AD271" s="9">
        <v>0</v>
      </c>
      <c r="AE271" s="9">
        <v>0</v>
      </c>
      <c r="AF271" s="9">
        <v>0</v>
      </c>
      <c r="AG271" s="9">
        <v>0</v>
      </c>
      <c r="AH271" s="9">
        <v>0</v>
      </c>
      <c r="AI271" s="9">
        <v>0</v>
      </c>
      <c r="AJ271" s="9">
        <v>0</v>
      </c>
      <c r="AK271" s="9">
        <v>0</v>
      </c>
      <c r="AL271" s="9">
        <v>0</v>
      </c>
      <c r="AM271" s="9">
        <v>0</v>
      </c>
      <c r="AN271" s="9">
        <v>0</v>
      </c>
      <c r="AO271" s="9">
        <v>0</v>
      </c>
      <c r="AP271" s="9">
        <v>0</v>
      </c>
      <c r="AQ271" s="9">
        <v>0</v>
      </c>
      <c r="AR271" s="9">
        <v>0</v>
      </c>
      <c r="AS271" s="9">
        <v>0</v>
      </c>
      <c r="AT271" s="9">
        <v>0</v>
      </c>
      <c r="AU271" s="9">
        <v>0</v>
      </c>
      <c r="AV271" s="9">
        <v>0</v>
      </c>
      <c r="AW271" s="9">
        <v>0</v>
      </c>
      <c r="AX271" s="9">
        <v>0</v>
      </c>
      <c r="AY271" s="9">
        <v>0</v>
      </c>
      <c r="AZ271" s="9">
        <v>0</v>
      </c>
      <c r="BA271" s="9">
        <v>0</v>
      </c>
      <c r="BB271" s="9">
        <v>0</v>
      </c>
      <c r="BC271" s="9">
        <v>0</v>
      </c>
      <c r="BD271" s="9">
        <v>0</v>
      </c>
      <c r="BE271" s="9">
        <v>0</v>
      </c>
      <c r="BF271" s="9">
        <v>0</v>
      </c>
      <c r="BG271" s="9">
        <v>0</v>
      </c>
      <c r="BH271" s="9">
        <v>0</v>
      </c>
      <c r="BI271" s="9">
        <v>0</v>
      </c>
      <c r="BJ271" s="9">
        <v>0</v>
      </c>
      <c r="BK271" s="9">
        <v>0</v>
      </c>
      <c r="BL271" s="9">
        <v>0</v>
      </c>
      <c r="BM271" s="9">
        <v>0</v>
      </c>
      <c r="BN271" s="9">
        <v>0</v>
      </c>
      <c r="BO271" s="9">
        <v>0</v>
      </c>
      <c r="BP271" s="10">
        <v>0</v>
      </c>
      <c r="BQ271">
        <v>0</v>
      </c>
      <c r="BR271">
        <v>0</v>
      </c>
    </row>
    <row r="272" spans="1:70" x14ac:dyDescent="0.35">
      <c r="A272" s="8" t="s">
        <v>261</v>
      </c>
      <c r="B272" s="9" t="s">
        <v>982</v>
      </c>
      <c r="C272" s="10" t="s">
        <v>983</v>
      </c>
      <c r="D272" s="34">
        <f t="shared" si="6"/>
        <v>0</v>
      </c>
      <c r="E272" s="9">
        <v>0</v>
      </c>
      <c r="F272" s="9">
        <v>0</v>
      </c>
      <c r="G272" s="9">
        <v>0</v>
      </c>
      <c r="H272" s="9">
        <v>0</v>
      </c>
      <c r="I272" s="9">
        <v>0</v>
      </c>
      <c r="J272" s="9">
        <v>0</v>
      </c>
      <c r="K272" s="9">
        <v>0</v>
      </c>
      <c r="L272" s="9">
        <v>0</v>
      </c>
      <c r="M272" s="9">
        <v>0</v>
      </c>
      <c r="N272" s="9">
        <v>0</v>
      </c>
      <c r="O272" s="9">
        <v>0</v>
      </c>
      <c r="P272" s="9">
        <v>0</v>
      </c>
      <c r="Q272" s="9">
        <v>0</v>
      </c>
      <c r="R272" s="9">
        <v>0</v>
      </c>
      <c r="S272" s="9">
        <v>0</v>
      </c>
      <c r="T272" s="9">
        <v>0</v>
      </c>
      <c r="U272" s="9">
        <v>0</v>
      </c>
      <c r="V272" s="9">
        <v>0</v>
      </c>
      <c r="W272" s="9">
        <v>0</v>
      </c>
      <c r="X272" s="9">
        <v>0</v>
      </c>
      <c r="Y272" s="9">
        <v>0</v>
      </c>
      <c r="Z272" s="9">
        <v>0</v>
      </c>
      <c r="AA272" s="9">
        <v>0</v>
      </c>
      <c r="AB272" s="9">
        <v>0</v>
      </c>
      <c r="AC272" s="9">
        <v>0</v>
      </c>
      <c r="AD272" s="9">
        <v>0</v>
      </c>
      <c r="AE272" s="9">
        <v>0</v>
      </c>
      <c r="AF272" s="9">
        <v>0</v>
      </c>
      <c r="AG272" s="9">
        <v>0</v>
      </c>
      <c r="AH272" s="9">
        <v>0</v>
      </c>
      <c r="AI272" s="9">
        <v>0</v>
      </c>
      <c r="AJ272" s="9">
        <v>0</v>
      </c>
      <c r="AK272" s="9">
        <v>0</v>
      </c>
      <c r="AL272" s="9">
        <v>0</v>
      </c>
      <c r="AM272" s="9">
        <v>0</v>
      </c>
      <c r="AN272" s="9">
        <v>0</v>
      </c>
      <c r="AO272" s="9">
        <v>0</v>
      </c>
      <c r="AP272" s="9">
        <v>0</v>
      </c>
      <c r="AQ272" s="9">
        <v>0</v>
      </c>
      <c r="AR272" s="9">
        <v>0</v>
      </c>
      <c r="AS272" s="9">
        <v>0</v>
      </c>
      <c r="AT272" s="9">
        <v>0</v>
      </c>
      <c r="AU272" s="9">
        <v>0</v>
      </c>
      <c r="AV272" s="9">
        <v>0</v>
      </c>
      <c r="AW272" s="9">
        <v>0</v>
      </c>
      <c r="AX272" s="9">
        <v>0</v>
      </c>
      <c r="AY272" s="9">
        <v>0</v>
      </c>
      <c r="AZ272" s="9">
        <v>0</v>
      </c>
      <c r="BA272" s="9">
        <v>0</v>
      </c>
      <c r="BB272" s="9">
        <v>0</v>
      </c>
      <c r="BC272" s="9">
        <v>0</v>
      </c>
      <c r="BD272" s="9">
        <v>0</v>
      </c>
      <c r="BE272" s="9">
        <v>0</v>
      </c>
      <c r="BF272" s="9">
        <v>0</v>
      </c>
      <c r="BG272" s="9">
        <v>0</v>
      </c>
      <c r="BH272" s="9">
        <v>0</v>
      </c>
      <c r="BI272" s="9">
        <v>0</v>
      </c>
      <c r="BJ272" s="9">
        <v>0</v>
      </c>
      <c r="BK272" s="9">
        <v>0</v>
      </c>
      <c r="BL272" s="9">
        <v>0</v>
      </c>
      <c r="BM272" s="9">
        <v>0</v>
      </c>
      <c r="BN272" s="9">
        <v>0</v>
      </c>
      <c r="BO272" s="9">
        <v>0</v>
      </c>
      <c r="BP272" s="10">
        <v>0</v>
      </c>
      <c r="BQ272">
        <v>0</v>
      </c>
      <c r="BR272">
        <v>0</v>
      </c>
    </row>
    <row r="273" spans="1:70" x14ac:dyDescent="0.35">
      <c r="A273" s="8" t="s">
        <v>261</v>
      </c>
      <c r="B273" s="9" t="s">
        <v>984</v>
      </c>
      <c r="C273" s="10" t="s">
        <v>985</v>
      </c>
      <c r="D273" s="34">
        <f t="shared" si="6"/>
        <v>0</v>
      </c>
      <c r="E273" s="9">
        <v>0</v>
      </c>
      <c r="F273" s="9">
        <v>0</v>
      </c>
      <c r="G273" s="9">
        <v>0</v>
      </c>
      <c r="H273" s="9">
        <v>0</v>
      </c>
      <c r="I273" s="9">
        <v>0</v>
      </c>
      <c r="J273" s="9">
        <v>0</v>
      </c>
      <c r="K273" s="9">
        <v>0</v>
      </c>
      <c r="L273" s="9">
        <v>0</v>
      </c>
      <c r="M273" s="9">
        <v>0</v>
      </c>
      <c r="N273" s="9">
        <v>0</v>
      </c>
      <c r="O273" s="9">
        <v>0</v>
      </c>
      <c r="P273" s="9">
        <v>0</v>
      </c>
      <c r="Q273" s="9">
        <v>0</v>
      </c>
      <c r="R273" s="9">
        <v>0</v>
      </c>
      <c r="S273" s="9">
        <v>0</v>
      </c>
      <c r="T273" s="9">
        <v>0</v>
      </c>
      <c r="U273" s="9">
        <v>0</v>
      </c>
      <c r="V273" s="9">
        <v>0</v>
      </c>
      <c r="W273" s="9">
        <v>0</v>
      </c>
      <c r="X273" s="9">
        <v>0</v>
      </c>
      <c r="Y273" s="9">
        <v>0</v>
      </c>
      <c r="Z273" s="9">
        <v>0</v>
      </c>
      <c r="AA273" s="9">
        <v>0</v>
      </c>
      <c r="AB273" s="9">
        <v>0</v>
      </c>
      <c r="AC273" s="9">
        <v>0</v>
      </c>
      <c r="AD273" s="9">
        <v>0</v>
      </c>
      <c r="AE273" s="9">
        <v>0</v>
      </c>
      <c r="AF273" s="9">
        <v>0</v>
      </c>
      <c r="AG273" s="9">
        <v>0</v>
      </c>
      <c r="AH273" s="9">
        <v>0</v>
      </c>
      <c r="AI273" s="9">
        <v>0</v>
      </c>
      <c r="AJ273" s="9">
        <v>0</v>
      </c>
      <c r="AK273" s="9">
        <v>0</v>
      </c>
      <c r="AL273" s="9">
        <v>0</v>
      </c>
      <c r="AM273" s="9">
        <v>0</v>
      </c>
      <c r="AN273" s="9">
        <v>0</v>
      </c>
      <c r="AO273" s="9">
        <v>0</v>
      </c>
      <c r="AP273" s="9">
        <v>0</v>
      </c>
      <c r="AQ273" s="9">
        <v>0</v>
      </c>
      <c r="AR273" s="9">
        <v>0</v>
      </c>
      <c r="AS273" s="9">
        <v>0</v>
      </c>
      <c r="AT273" s="9">
        <v>0</v>
      </c>
      <c r="AU273" s="9">
        <v>0</v>
      </c>
      <c r="AV273" s="9">
        <v>0</v>
      </c>
      <c r="AW273" s="9">
        <v>0</v>
      </c>
      <c r="AX273" s="9">
        <v>0</v>
      </c>
      <c r="AY273" s="9">
        <v>0</v>
      </c>
      <c r="AZ273" s="9">
        <v>0</v>
      </c>
      <c r="BA273" s="9">
        <v>0</v>
      </c>
      <c r="BB273" s="9">
        <v>0</v>
      </c>
      <c r="BC273" s="9">
        <v>0</v>
      </c>
      <c r="BD273" s="9">
        <v>0</v>
      </c>
      <c r="BE273" s="9">
        <v>0</v>
      </c>
      <c r="BF273" s="9">
        <v>0</v>
      </c>
      <c r="BG273" s="9">
        <v>0</v>
      </c>
      <c r="BH273" s="9">
        <v>0</v>
      </c>
      <c r="BI273" s="9">
        <v>0</v>
      </c>
      <c r="BJ273" s="9">
        <v>0</v>
      </c>
      <c r="BK273" s="9">
        <v>0</v>
      </c>
      <c r="BL273" s="9">
        <v>0</v>
      </c>
      <c r="BM273" s="9">
        <v>0</v>
      </c>
      <c r="BN273" s="9">
        <v>0</v>
      </c>
      <c r="BO273" s="9">
        <v>0</v>
      </c>
      <c r="BP273" s="10">
        <v>0</v>
      </c>
      <c r="BQ273">
        <v>0</v>
      </c>
      <c r="BR273">
        <v>0</v>
      </c>
    </row>
    <row r="274" spans="1:70" x14ac:dyDescent="0.35">
      <c r="A274" s="8" t="s">
        <v>261</v>
      </c>
      <c r="B274" s="9" t="s">
        <v>280</v>
      </c>
      <c r="C274" s="10" t="s">
        <v>986</v>
      </c>
      <c r="D274" s="34">
        <f t="shared" si="6"/>
        <v>148</v>
      </c>
      <c r="E274" s="9">
        <v>1</v>
      </c>
      <c r="F274" s="9">
        <v>1</v>
      </c>
      <c r="G274" s="9">
        <v>2</v>
      </c>
      <c r="H274" s="9">
        <v>2</v>
      </c>
      <c r="I274" s="9">
        <v>3</v>
      </c>
      <c r="J274" s="9">
        <v>3</v>
      </c>
      <c r="K274" s="9">
        <v>3</v>
      </c>
      <c r="L274" s="9">
        <v>4</v>
      </c>
      <c r="M274" s="9">
        <v>8</v>
      </c>
      <c r="N274" s="9">
        <v>9</v>
      </c>
      <c r="O274" s="9">
        <v>16</v>
      </c>
      <c r="P274" s="9">
        <v>16</v>
      </c>
      <c r="Q274" s="9">
        <v>16</v>
      </c>
      <c r="R274" s="9">
        <v>18</v>
      </c>
      <c r="S274" s="9">
        <v>21</v>
      </c>
      <c r="T274" s="9">
        <v>20</v>
      </c>
      <c r="U274" s="9">
        <v>21</v>
      </c>
      <c r="V274" s="9">
        <v>19</v>
      </c>
      <c r="W274" s="9">
        <v>25</v>
      </c>
      <c r="X274" s="9">
        <v>29</v>
      </c>
      <c r="Y274" s="9">
        <v>40</v>
      </c>
      <c r="Z274" s="9">
        <v>46</v>
      </c>
      <c r="AA274" s="9">
        <v>48</v>
      </c>
      <c r="AB274" s="9">
        <v>49</v>
      </c>
      <c r="AC274" s="9">
        <v>60</v>
      </c>
      <c r="AD274" s="9">
        <v>63</v>
      </c>
      <c r="AE274" s="9">
        <v>63</v>
      </c>
      <c r="AF274" s="9">
        <v>64</v>
      </c>
      <c r="AG274" s="9">
        <v>59</v>
      </c>
      <c r="AH274" s="9">
        <v>67</v>
      </c>
      <c r="AI274" s="9">
        <v>70</v>
      </c>
      <c r="AJ274" s="9">
        <v>71</v>
      </c>
      <c r="AK274" s="9">
        <v>63</v>
      </c>
      <c r="AL274" s="9">
        <v>70</v>
      </c>
      <c r="AM274" s="9">
        <v>80</v>
      </c>
      <c r="AN274" s="9">
        <v>79</v>
      </c>
      <c r="AO274" s="9">
        <v>84</v>
      </c>
      <c r="AP274" s="9">
        <v>87</v>
      </c>
      <c r="AQ274" s="9">
        <v>82</v>
      </c>
      <c r="AR274" s="9">
        <v>81</v>
      </c>
      <c r="AS274" s="9">
        <v>83</v>
      </c>
      <c r="AT274" s="9">
        <v>87</v>
      </c>
      <c r="AU274" s="9">
        <v>86</v>
      </c>
      <c r="AV274" s="9">
        <v>96</v>
      </c>
      <c r="AW274" s="9">
        <v>98</v>
      </c>
      <c r="AX274" s="9">
        <v>95</v>
      </c>
      <c r="AY274" s="9">
        <v>97</v>
      </c>
      <c r="AZ274" s="9">
        <v>101</v>
      </c>
      <c r="BA274" s="9">
        <v>103</v>
      </c>
      <c r="BB274" s="9">
        <v>108</v>
      </c>
      <c r="BC274" s="9">
        <v>113</v>
      </c>
      <c r="BD274" s="9">
        <v>122</v>
      </c>
      <c r="BE274" s="9">
        <v>126</v>
      </c>
      <c r="BF274" s="9">
        <v>113</v>
      </c>
      <c r="BG274" s="9">
        <v>121</v>
      </c>
      <c r="BH274" s="9">
        <v>134</v>
      </c>
      <c r="BI274" s="9">
        <v>140</v>
      </c>
      <c r="BJ274" s="9">
        <v>136</v>
      </c>
      <c r="BK274" s="9">
        <v>133</v>
      </c>
      <c r="BL274" s="9">
        <v>142</v>
      </c>
      <c r="BM274" s="9">
        <v>141</v>
      </c>
      <c r="BN274" s="9">
        <v>140</v>
      </c>
      <c r="BO274" s="9">
        <v>144</v>
      </c>
      <c r="BP274" s="10">
        <v>145</v>
      </c>
      <c r="BQ274">
        <v>148</v>
      </c>
      <c r="BR274">
        <v>146</v>
      </c>
    </row>
    <row r="275" spans="1:70" x14ac:dyDescent="0.35">
      <c r="A275" s="8" t="s">
        <v>261</v>
      </c>
      <c r="B275" s="9" t="s">
        <v>282</v>
      </c>
      <c r="C275" s="10" t="s">
        <v>987</v>
      </c>
      <c r="D275" s="34">
        <f t="shared" si="6"/>
        <v>139</v>
      </c>
      <c r="E275" s="9">
        <v>7</v>
      </c>
      <c r="F275" s="9">
        <v>9</v>
      </c>
      <c r="G275" s="9">
        <v>9</v>
      </c>
      <c r="H275" s="9">
        <v>13</v>
      </c>
      <c r="I275" s="9">
        <v>14</v>
      </c>
      <c r="J275" s="9">
        <v>14</v>
      </c>
      <c r="K275" s="9">
        <v>13</v>
      </c>
      <c r="L275" s="9">
        <v>12</v>
      </c>
      <c r="M275" s="9">
        <v>11</v>
      </c>
      <c r="N275" s="9">
        <v>12</v>
      </c>
      <c r="O275" s="9">
        <v>13</v>
      </c>
      <c r="P275" s="9">
        <v>13</v>
      </c>
      <c r="Q275" s="9">
        <v>13</v>
      </c>
      <c r="R275" s="9">
        <v>13</v>
      </c>
      <c r="S275" s="9">
        <v>11</v>
      </c>
      <c r="T275" s="9">
        <v>17</v>
      </c>
      <c r="U275" s="9">
        <v>15</v>
      </c>
      <c r="V275" s="9">
        <v>14</v>
      </c>
      <c r="W275" s="9">
        <v>16</v>
      </c>
      <c r="X275" s="9">
        <v>16</v>
      </c>
      <c r="Y275" s="9">
        <v>17</v>
      </c>
      <c r="Z275" s="9">
        <v>21</v>
      </c>
      <c r="AA275" s="9">
        <v>22</v>
      </c>
      <c r="AB275" s="9">
        <v>25</v>
      </c>
      <c r="AC275" s="9">
        <v>27</v>
      </c>
      <c r="AD275" s="9">
        <v>24</v>
      </c>
      <c r="AE275" s="9">
        <v>38</v>
      </c>
      <c r="AF275" s="9">
        <v>35</v>
      </c>
      <c r="AG275" s="9">
        <v>0</v>
      </c>
      <c r="AH275" s="9">
        <v>35</v>
      </c>
      <c r="AI275" s="9">
        <v>35</v>
      </c>
      <c r="AJ275" s="9">
        <v>46</v>
      </c>
      <c r="AK275" s="9">
        <v>48</v>
      </c>
      <c r="AL275" s="9">
        <v>49</v>
      </c>
      <c r="AM275" s="9">
        <v>60</v>
      </c>
      <c r="AN275" s="9">
        <v>68</v>
      </c>
      <c r="AO275" s="9">
        <v>68</v>
      </c>
      <c r="AP275" s="9">
        <v>65</v>
      </c>
      <c r="AQ275" s="9">
        <v>66</v>
      </c>
      <c r="AR275" s="9">
        <v>59</v>
      </c>
      <c r="AS275" s="9">
        <v>68</v>
      </c>
      <c r="AT275" s="9">
        <v>69</v>
      </c>
      <c r="AU275" s="9">
        <v>65</v>
      </c>
      <c r="AV275" s="9">
        <v>72</v>
      </c>
      <c r="AW275" s="9">
        <v>69</v>
      </c>
      <c r="AX275" s="9">
        <v>73</v>
      </c>
      <c r="AY275" s="9">
        <v>75</v>
      </c>
      <c r="AZ275" s="9">
        <v>81</v>
      </c>
      <c r="BA275" s="9">
        <v>100</v>
      </c>
      <c r="BB275" s="9">
        <v>88</v>
      </c>
      <c r="BC275" s="9">
        <v>93</v>
      </c>
      <c r="BD275" s="9">
        <v>90</v>
      </c>
      <c r="BE275" s="9">
        <v>79</v>
      </c>
      <c r="BF275" s="9">
        <v>84</v>
      </c>
      <c r="BG275" s="9">
        <v>92</v>
      </c>
      <c r="BH275" s="9">
        <v>95</v>
      </c>
      <c r="BI275" s="9">
        <v>109</v>
      </c>
      <c r="BJ275" s="9">
        <v>112</v>
      </c>
      <c r="BK275" s="9">
        <v>115</v>
      </c>
      <c r="BL275" s="9">
        <v>119</v>
      </c>
      <c r="BM275" s="9">
        <v>108</v>
      </c>
      <c r="BN275" s="9">
        <v>115</v>
      </c>
      <c r="BO275" s="9">
        <v>126</v>
      </c>
      <c r="BP275" s="10">
        <v>139</v>
      </c>
      <c r="BQ275">
        <v>138</v>
      </c>
      <c r="BR275">
        <v>121</v>
      </c>
    </row>
    <row r="276" spans="1:70" x14ac:dyDescent="0.35">
      <c r="A276" s="8" t="s">
        <v>261</v>
      </c>
      <c r="B276" s="9" t="s">
        <v>284</v>
      </c>
      <c r="C276" s="10" t="s">
        <v>988</v>
      </c>
      <c r="D276" s="34">
        <f t="shared" si="6"/>
        <v>73</v>
      </c>
      <c r="E276" s="9">
        <v>1</v>
      </c>
      <c r="F276" s="9">
        <v>2</v>
      </c>
      <c r="G276" s="9">
        <v>1</v>
      </c>
      <c r="H276" s="9">
        <v>1</v>
      </c>
      <c r="I276" s="9">
        <v>1</v>
      </c>
      <c r="J276" s="9">
        <v>1</v>
      </c>
      <c r="K276" s="9">
        <v>1</v>
      </c>
      <c r="L276" s="9">
        <v>1</v>
      </c>
      <c r="M276" s="9">
        <v>2</v>
      </c>
      <c r="N276" s="9">
        <v>2</v>
      </c>
      <c r="O276" s="9">
        <v>2</v>
      </c>
      <c r="P276" s="9">
        <v>2</v>
      </c>
      <c r="Q276" s="9">
        <v>3</v>
      </c>
      <c r="R276" s="9">
        <v>3</v>
      </c>
      <c r="S276" s="9">
        <v>2</v>
      </c>
      <c r="T276" s="9">
        <v>3</v>
      </c>
      <c r="U276" s="9">
        <v>4</v>
      </c>
      <c r="V276" s="9">
        <v>5</v>
      </c>
      <c r="W276" s="9">
        <v>10</v>
      </c>
      <c r="X276" s="9">
        <v>12</v>
      </c>
      <c r="Y276" s="9">
        <v>13</v>
      </c>
      <c r="Z276" s="9">
        <v>7</v>
      </c>
      <c r="AA276" s="9">
        <v>10</v>
      </c>
      <c r="AB276" s="9">
        <v>11</v>
      </c>
      <c r="AC276" s="9">
        <v>15</v>
      </c>
      <c r="AD276" s="9">
        <v>18</v>
      </c>
      <c r="AE276" s="9">
        <v>15</v>
      </c>
      <c r="AF276" s="9">
        <v>17</v>
      </c>
      <c r="AG276" s="9">
        <v>17</v>
      </c>
      <c r="AH276" s="9">
        <v>18</v>
      </c>
      <c r="AI276" s="9">
        <v>18</v>
      </c>
      <c r="AJ276" s="9">
        <v>19</v>
      </c>
      <c r="AK276" s="9">
        <v>20</v>
      </c>
      <c r="AL276" s="9">
        <v>23</v>
      </c>
      <c r="AM276" s="9">
        <v>23</v>
      </c>
      <c r="AN276" s="9">
        <v>27</v>
      </c>
      <c r="AO276" s="9">
        <v>33</v>
      </c>
      <c r="AP276" s="9">
        <v>29</v>
      </c>
      <c r="AQ276" s="9">
        <v>27</v>
      </c>
      <c r="AR276" s="9">
        <v>24</v>
      </c>
      <c r="AS276" s="9">
        <v>27</v>
      </c>
      <c r="AT276" s="9">
        <v>33</v>
      </c>
      <c r="AU276" s="9">
        <v>35</v>
      </c>
      <c r="AV276" s="9">
        <v>34</v>
      </c>
      <c r="AW276" s="9">
        <v>35</v>
      </c>
      <c r="AX276" s="9">
        <v>32</v>
      </c>
      <c r="AY276" s="9">
        <v>30</v>
      </c>
      <c r="AZ276" s="9">
        <v>34</v>
      </c>
      <c r="BA276" s="9">
        <v>35</v>
      </c>
      <c r="BB276" s="9">
        <v>31</v>
      </c>
      <c r="BC276" s="9">
        <v>33</v>
      </c>
      <c r="BD276" s="9">
        <v>35</v>
      </c>
      <c r="BE276" s="9">
        <v>36</v>
      </c>
      <c r="BF276" s="9">
        <v>36</v>
      </c>
      <c r="BG276" s="9">
        <v>37</v>
      </c>
      <c r="BH276" s="9">
        <v>35</v>
      </c>
      <c r="BI276" s="9">
        <v>31</v>
      </c>
      <c r="BJ276" s="9">
        <v>37</v>
      </c>
      <c r="BK276" s="9">
        <v>35</v>
      </c>
      <c r="BL276" s="9">
        <v>42</v>
      </c>
      <c r="BM276" s="9">
        <v>40</v>
      </c>
      <c r="BN276" s="9">
        <v>52</v>
      </c>
      <c r="BO276" s="9">
        <v>62</v>
      </c>
      <c r="BP276" s="10">
        <v>73</v>
      </c>
      <c r="BQ276">
        <v>71</v>
      </c>
      <c r="BR276">
        <v>72</v>
      </c>
    </row>
    <row r="277" spans="1:70" x14ac:dyDescent="0.35">
      <c r="A277" s="8" t="s">
        <v>261</v>
      </c>
      <c r="B277" s="9" t="s">
        <v>286</v>
      </c>
      <c r="C277" s="10" t="s">
        <v>989</v>
      </c>
      <c r="D277" s="34">
        <f t="shared" si="6"/>
        <v>24</v>
      </c>
      <c r="E277" s="9">
        <v>1</v>
      </c>
      <c r="F277" s="9">
        <v>1</v>
      </c>
      <c r="G277" s="9">
        <v>1</v>
      </c>
      <c r="H277" s="9">
        <v>1</v>
      </c>
      <c r="I277" s="9">
        <v>1</v>
      </c>
      <c r="J277" s="9">
        <v>1</v>
      </c>
      <c r="K277" s="9">
        <v>1</v>
      </c>
      <c r="L277" s="9">
        <v>1</v>
      </c>
      <c r="M277" s="9">
        <v>2</v>
      </c>
      <c r="N277" s="9">
        <v>2</v>
      </c>
      <c r="O277" s="9">
        <v>2</v>
      </c>
      <c r="P277" s="9">
        <v>2</v>
      </c>
      <c r="Q277" s="9">
        <v>2</v>
      </c>
      <c r="R277" s="9">
        <v>2</v>
      </c>
      <c r="S277" s="9">
        <v>2</v>
      </c>
      <c r="T277" s="9">
        <v>2</v>
      </c>
      <c r="U277" s="9">
        <v>3</v>
      </c>
      <c r="V277" s="9">
        <v>2</v>
      </c>
      <c r="W277" s="9">
        <v>2</v>
      </c>
      <c r="X277" s="9">
        <v>2</v>
      </c>
      <c r="Y277" s="9">
        <v>2</v>
      </c>
      <c r="Z277" s="9">
        <v>4</v>
      </c>
      <c r="AA277" s="9">
        <v>0</v>
      </c>
      <c r="AB277" s="9">
        <v>7</v>
      </c>
      <c r="AC277" s="9">
        <v>7</v>
      </c>
      <c r="AD277" s="9">
        <v>6</v>
      </c>
      <c r="AE277" s="9">
        <v>6</v>
      </c>
      <c r="AF277" s="9">
        <v>5</v>
      </c>
      <c r="AG277" s="9">
        <v>4</v>
      </c>
      <c r="AH277" s="9">
        <v>2</v>
      </c>
      <c r="AI277" s="9">
        <v>1</v>
      </c>
      <c r="AJ277" s="9">
        <v>1</v>
      </c>
      <c r="AK277" s="9">
        <v>2</v>
      </c>
      <c r="AL277" s="9">
        <v>2</v>
      </c>
      <c r="AM277" s="9">
        <v>2</v>
      </c>
      <c r="AN277" s="9">
        <v>6</v>
      </c>
      <c r="AO277" s="9">
        <v>6</v>
      </c>
      <c r="AP277" s="9">
        <v>8</v>
      </c>
      <c r="AQ277" s="9">
        <v>7</v>
      </c>
      <c r="AR277" s="9">
        <v>7</v>
      </c>
      <c r="AS277" s="9">
        <v>10</v>
      </c>
      <c r="AT277" s="9">
        <v>11</v>
      </c>
      <c r="AU277" s="9">
        <v>11</v>
      </c>
      <c r="AV277" s="9">
        <v>12</v>
      </c>
      <c r="AW277" s="9">
        <v>9</v>
      </c>
      <c r="AX277" s="9">
        <v>6</v>
      </c>
      <c r="AY277" s="9">
        <v>8</v>
      </c>
      <c r="AZ277" s="9">
        <v>8</v>
      </c>
      <c r="BA277" s="9">
        <v>10</v>
      </c>
      <c r="BB277" s="9">
        <v>13</v>
      </c>
      <c r="BC277" s="9">
        <v>14</v>
      </c>
      <c r="BD277" s="9">
        <v>13</v>
      </c>
      <c r="BE277" s="9">
        <v>13</v>
      </c>
      <c r="BF277" s="9">
        <v>11</v>
      </c>
      <c r="BG277" s="9">
        <v>12</v>
      </c>
      <c r="BH277" s="9">
        <v>12</v>
      </c>
      <c r="BI277" s="9">
        <v>16</v>
      </c>
      <c r="BJ277" s="9">
        <v>16</v>
      </c>
      <c r="BK277" s="9">
        <v>16</v>
      </c>
      <c r="BL277" s="9">
        <v>12</v>
      </c>
      <c r="BM277" s="9">
        <v>13</v>
      </c>
      <c r="BN277" s="9">
        <v>13</v>
      </c>
      <c r="BO277" s="9">
        <v>15</v>
      </c>
      <c r="BP277" s="10">
        <v>15</v>
      </c>
      <c r="BQ277">
        <v>20</v>
      </c>
      <c r="BR277">
        <v>24</v>
      </c>
    </row>
    <row r="278" spans="1:70" x14ac:dyDescent="0.35">
      <c r="A278" s="8" t="s">
        <v>261</v>
      </c>
      <c r="B278" s="9" t="s">
        <v>288</v>
      </c>
      <c r="C278" s="10" t="s">
        <v>990</v>
      </c>
      <c r="D278" s="34">
        <f t="shared" si="6"/>
        <v>60</v>
      </c>
      <c r="E278" s="9">
        <v>4</v>
      </c>
      <c r="F278" s="9">
        <v>3</v>
      </c>
      <c r="G278" s="9">
        <v>4</v>
      </c>
      <c r="H278" s="9">
        <v>5</v>
      </c>
      <c r="I278" s="9">
        <v>1</v>
      </c>
      <c r="J278" s="9">
        <v>1</v>
      </c>
      <c r="K278" s="9">
        <v>1</v>
      </c>
      <c r="L278" s="9">
        <v>1</v>
      </c>
      <c r="M278" s="9">
        <v>1</v>
      </c>
      <c r="N278" s="9">
        <v>1</v>
      </c>
      <c r="O278" s="9">
        <v>4</v>
      </c>
      <c r="P278" s="9">
        <v>6</v>
      </c>
      <c r="Q278" s="9">
        <v>7</v>
      </c>
      <c r="R278" s="9">
        <v>12</v>
      </c>
      <c r="S278" s="9">
        <v>12</v>
      </c>
      <c r="T278" s="9">
        <v>10</v>
      </c>
      <c r="U278" s="9">
        <v>13</v>
      </c>
      <c r="V278" s="9">
        <v>11</v>
      </c>
      <c r="W278" s="9">
        <v>11</v>
      </c>
      <c r="X278" s="9">
        <v>12</v>
      </c>
      <c r="Y278" s="9">
        <v>13</v>
      </c>
      <c r="Z278" s="9">
        <v>10</v>
      </c>
      <c r="AA278" s="9">
        <v>10</v>
      </c>
      <c r="AB278" s="9">
        <v>8</v>
      </c>
      <c r="AC278" s="9">
        <v>8</v>
      </c>
      <c r="AD278" s="9">
        <v>7</v>
      </c>
      <c r="AE278" s="9">
        <v>5</v>
      </c>
      <c r="AF278" s="9">
        <v>7</v>
      </c>
      <c r="AG278" s="9">
        <v>8</v>
      </c>
      <c r="AH278" s="9">
        <v>9</v>
      </c>
      <c r="AI278" s="9">
        <v>9</v>
      </c>
      <c r="AJ278" s="9">
        <v>13</v>
      </c>
      <c r="AK278" s="9">
        <v>15</v>
      </c>
      <c r="AL278" s="9">
        <v>14</v>
      </c>
      <c r="AM278" s="9">
        <v>14</v>
      </c>
      <c r="AN278" s="9">
        <v>13</v>
      </c>
      <c r="AO278" s="9">
        <v>13</v>
      </c>
      <c r="AP278" s="9">
        <v>13</v>
      </c>
      <c r="AQ278" s="9">
        <v>12</v>
      </c>
      <c r="AR278" s="9">
        <v>15</v>
      </c>
      <c r="AS278" s="9">
        <v>14</v>
      </c>
      <c r="AT278" s="9">
        <v>19</v>
      </c>
      <c r="AU278" s="9">
        <v>21</v>
      </c>
      <c r="AV278" s="9">
        <v>23</v>
      </c>
      <c r="AW278" s="9">
        <v>25</v>
      </c>
      <c r="AX278" s="9">
        <v>23</v>
      </c>
      <c r="AY278" s="9">
        <v>24</v>
      </c>
      <c r="AZ278" s="9">
        <v>28</v>
      </c>
      <c r="BA278" s="9">
        <v>24</v>
      </c>
      <c r="BB278" s="9">
        <v>22</v>
      </c>
      <c r="BC278" s="9">
        <v>23</v>
      </c>
      <c r="BD278" s="9">
        <v>25</v>
      </c>
      <c r="BE278" s="9">
        <v>24</v>
      </c>
      <c r="BF278" s="9">
        <v>25</v>
      </c>
      <c r="BG278" s="9">
        <v>32</v>
      </c>
      <c r="BH278" s="9">
        <v>35</v>
      </c>
      <c r="BI278" s="9">
        <v>32</v>
      </c>
      <c r="BJ278" s="9">
        <v>35</v>
      </c>
      <c r="BK278" s="9">
        <v>38</v>
      </c>
      <c r="BL278" s="9">
        <v>42</v>
      </c>
      <c r="BM278" s="9">
        <v>46</v>
      </c>
      <c r="BN278" s="9">
        <v>53</v>
      </c>
      <c r="BO278" s="9">
        <v>54</v>
      </c>
      <c r="BP278" s="10">
        <v>60</v>
      </c>
      <c r="BQ278">
        <v>53</v>
      </c>
      <c r="BR278">
        <v>58</v>
      </c>
    </row>
    <row r="279" spans="1:70" x14ac:dyDescent="0.35">
      <c r="A279" s="8" t="s">
        <v>261</v>
      </c>
      <c r="B279" s="9" t="s">
        <v>290</v>
      </c>
      <c r="C279" s="10" t="s">
        <v>991</v>
      </c>
      <c r="D279" s="34">
        <f t="shared" si="6"/>
        <v>2</v>
      </c>
      <c r="E279" s="9">
        <v>0</v>
      </c>
      <c r="F279" s="9">
        <v>0</v>
      </c>
      <c r="G279" s="9">
        <v>0</v>
      </c>
      <c r="H279" s="9">
        <v>0</v>
      </c>
      <c r="I279" s="9">
        <v>0</v>
      </c>
      <c r="J279" s="9">
        <v>0</v>
      </c>
      <c r="K279" s="9">
        <v>0</v>
      </c>
      <c r="L279" s="9">
        <v>0</v>
      </c>
      <c r="M279" s="9">
        <v>0</v>
      </c>
      <c r="N279" s="9">
        <v>0</v>
      </c>
      <c r="O279" s="9">
        <v>0</v>
      </c>
      <c r="P279" s="9">
        <v>0</v>
      </c>
      <c r="Q279" s="9">
        <v>0</v>
      </c>
      <c r="R279" s="9">
        <v>0</v>
      </c>
      <c r="S279" s="9">
        <v>0</v>
      </c>
      <c r="T279" s="9">
        <v>0</v>
      </c>
      <c r="U279" s="9">
        <v>0</v>
      </c>
      <c r="V279" s="9">
        <v>1</v>
      </c>
      <c r="W279" s="9">
        <v>1</v>
      </c>
      <c r="X279" s="9">
        <v>0</v>
      </c>
      <c r="Y279" s="9">
        <v>0</v>
      </c>
      <c r="Z279" s="9">
        <v>0</v>
      </c>
      <c r="AA279" s="9">
        <v>0</v>
      </c>
      <c r="AB279" s="9">
        <v>0</v>
      </c>
      <c r="AC279" s="9">
        <v>0</v>
      </c>
      <c r="AD279" s="9">
        <v>0</v>
      </c>
      <c r="AE279" s="9">
        <v>0</v>
      </c>
      <c r="AF279" s="9">
        <v>0</v>
      </c>
      <c r="AG279" s="9">
        <v>0</v>
      </c>
      <c r="AH279" s="9">
        <v>0</v>
      </c>
      <c r="AI279" s="9">
        <v>0</v>
      </c>
      <c r="AJ279" s="9">
        <v>0</v>
      </c>
      <c r="AK279" s="9">
        <v>0</v>
      </c>
      <c r="AL279" s="9">
        <v>0</v>
      </c>
      <c r="AM279" s="9">
        <v>0</v>
      </c>
      <c r="AN279" s="9">
        <v>0</v>
      </c>
      <c r="AO279" s="9">
        <v>0</v>
      </c>
      <c r="AP279" s="9">
        <v>0</v>
      </c>
      <c r="AQ279" s="9">
        <v>0</v>
      </c>
      <c r="AR279" s="9">
        <v>0</v>
      </c>
      <c r="AS279" s="9">
        <v>0</v>
      </c>
      <c r="AT279" s="9">
        <v>0</v>
      </c>
      <c r="AU279" s="9">
        <v>0</v>
      </c>
      <c r="AV279" s="9">
        <v>0</v>
      </c>
      <c r="AW279" s="9">
        <v>0</v>
      </c>
      <c r="AX279" s="9">
        <v>0</v>
      </c>
      <c r="AY279" s="9">
        <v>0</v>
      </c>
      <c r="AZ279" s="9">
        <v>0</v>
      </c>
      <c r="BA279" s="9">
        <v>0</v>
      </c>
      <c r="BB279" s="9">
        <v>0</v>
      </c>
      <c r="BC279" s="9">
        <v>0</v>
      </c>
      <c r="BD279" s="9">
        <v>0</v>
      </c>
      <c r="BE279" s="9">
        <v>0</v>
      </c>
      <c r="BF279" s="9">
        <v>0</v>
      </c>
      <c r="BG279" s="9">
        <v>0</v>
      </c>
      <c r="BH279" s="9">
        <v>0</v>
      </c>
      <c r="BI279" s="9">
        <v>0</v>
      </c>
      <c r="BJ279" s="9">
        <v>0</v>
      </c>
      <c r="BK279" s="9">
        <v>0</v>
      </c>
      <c r="BL279" s="9">
        <v>0</v>
      </c>
      <c r="BM279" s="9">
        <v>0</v>
      </c>
      <c r="BN279" s="9">
        <v>2</v>
      </c>
      <c r="BO279" s="9">
        <v>2</v>
      </c>
      <c r="BP279" s="10">
        <v>2</v>
      </c>
      <c r="BQ279">
        <v>2</v>
      </c>
      <c r="BR279">
        <v>1</v>
      </c>
    </row>
    <row r="280" spans="1:70" x14ac:dyDescent="0.35">
      <c r="A280" s="8" t="s">
        <v>261</v>
      </c>
      <c r="B280" s="9" t="s">
        <v>292</v>
      </c>
      <c r="C280" s="10" t="s">
        <v>992</v>
      </c>
      <c r="D280" s="34">
        <f t="shared" si="6"/>
        <v>167</v>
      </c>
      <c r="E280" s="9">
        <v>2</v>
      </c>
      <c r="F280" s="9">
        <v>1</v>
      </c>
      <c r="G280" s="9">
        <v>0</v>
      </c>
      <c r="H280" s="9">
        <v>0</v>
      </c>
      <c r="I280" s="9">
        <v>0</v>
      </c>
      <c r="J280" s="9">
        <v>0</v>
      </c>
      <c r="K280" s="9">
        <v>0</v>
      </c>
      <c r="L280" s="9">
        <v>0</v>
      </c>
      <c r="M280" s="9">
        <v>0</v>
      </c>
      <c r="N280" s="9">
        <v>0</v>
      </c>
      <c r="O280" s="9">
        <v>0</v>
      </c>
      <c r="P280" s="9">
        <v>0</v>
      </c>
      <c r="Q280" s="9">
        <v>0</v>
      </c>
      <c r="R280" s="9">
        <v>0</v>
      </c>
      <c r="S280" s="9">
        <v>0</v>
      </c>
      <c r="T280" s="9">
        <v>0</v>
      </c>
      <c r="U280" s="9">
        <v>0</v>
      </c>
      <c r="V280" s="9">
        <v>0</v>
      </c>
      <c r="W280" s="9">
        <v>2</v>
      </c>
      <c r="X280" s="9">
        <v>5</v>
      </c>
      <c r="Y280" s="9">
        <v>4</v>
      </c>
      <c r="Z280" s="9">
        <v>6</v>
      </c>
      <c r="AA280" s="9">
        <v>3</v>
      </c>
      <c r="AB280" s="9">
        <v>4</v>
      </c>
      <c r="AC280" s="9">
        <v>6</v>
      </c>
      <c r="AD280" s="9">
        <v>5</v>
      </c>
      <c r="AE280" s="9">
        <v>4</v>
      </c>
      <c r="AF280" s="9">
        <v>5</v>
      </c>
      <c r="AG280" s="9">
        <v>6</v>
      </c>
      <c r="AH280" s="9">
        <v>7</v>
      </c>
      <c r="AI280" s="9">
        <v>10</v>
      </c>
      <c r="AJ280" s="9">
        <v>14</v>
      </c>
      <c r="AK280" s="9">
        <v>12</v>
      </c>
      <c r="AL280" s="9">
        <v>13</v>
      </c>
      <c r="AM280" s="9">
        <v>3</v>
      </c>
      <c r="AN280" s="9">
        <v>21</v>
      </c>
      <c r="AO280" s="9">
        <v>28</v>
      </c>
      <c r="AP280" s="9">
        <v>32</v>
      </c>
      <c r="AQ280" s="9">
        <v>35</v>
      </c>
      <c r="AR280" s="9">
        <v>42</v>
      </c>
      <c r="AS280" s="9">
        <v>40</v>
      </c>
      <c r="AT280" s="9">
        <v>43</v>
      </c>
      <c r="AU280" s="9">
        <v>38</v>
      </c>
      <c r="AV280" s="9">
        <v>50</v>
      </c>
      <c r="AW280" s="9">
        <v>62</v>
      </c>
      <c r="AX280" s="9">
        <v>56</v>
      </c>
      <c r="AY280" s="9">
        <v>56</v>
      </c>
      <c r="AZ280" s="9">
        <v>52</v>
      </c>
      <c r="BA280" s="9">
        <v>64</v>
      </c>
      <c r="BB280" s="9">
        <v>68</v>
      </c>
      <c r="BC280" s="9">
        <v>66</v>
      </c>
      <c r="BD280" s="9">
        <v>76</v>
      </c>
      <c r="BE280" s="9">
        <v>85</v>
      </c>
      <c r="BF280" s="9">
        <v>81</v>
      </c>
      <c r="BG280" s="9">
        <v>84</v>
      </c>
      <c r="BH280" s="9">
        <v>91</v>
      </c>
      <c r="BI280" s="9">
        <v>104</v>
      </c>
      <c r="BJ280" s="9">
        <v>117</v>
      </c>
      <c r="BK280" s="9">
        <v>129</v>
      </c>
      <c r="BL280" s="9">
        <v>135</v>
      </c>
      <c r="BM280" s="9">
        <v>155</v>
      </c>
      <c r="BN280" s="9">
        <v>154</v>
      </c>
      <c r="BO280" s="9">
        <v>158</v>
      </c>
      <c r="BP280" s="10">
        <v>155</v>
      </c>
      <c r="BQ280">
        <v>158</v>
      </c>
      <c r="BR280">
        <v>167</v>
      </c>
    </row>
    <row r="281" spans="1:70" x14ac:dyDescent="0.35">
      <c r="A281" s="8" t="s">
        <v>261</v>
      </c>
      <c r="B281" s="9" t="s">
        <v>294</v>
      </c>
      <c r="C281" s="10" t="s">
        <v>993</v>
      </c>
      <c r="D281" s="34">
        <f t="shared" si="6"/>
        <v>134</v>
      </c>
      <c r="E281" s="9">
        <v>2</v>
      </c>
      <c r="F281" s="9">
        <v>2</v>
      </c>
      <c r="G281" s="9">
        <v>2</v>
      </c>
      <c r="H281" s="9">
        <v>1</v>
      </c>
      <c r="I281" s="9">
        <v>1</v>
      </c>
      <c r="J281" s="9">
        <v>1</v>
      </c>
      <c r="K281" s="9">
        <v>1</v>
      </c>
      <c r="L281" s="9">
        <v>1</v>
      </c>
      <c r="M281" s="9">
        <v>1</v>
      </c>
      <c r="N281" s="9">
        <v>0</v>
      </c>
      <c r="O281" s="9">
        <v>0</v>
      </c>
      <c r="P281" s="9">
        <v>0</v>
      </c>
      <c r="Q281" s="9">
        <v>0</v>
      </c>
      <c r="R281" s="9">
        <v>1</v>
      </c>
      <c r="S281" s="9">
        <v>1</v>
      </c>
      <c r="T281" s="9">
        <v>2</v>
      </c>
      <c r="U281" s="9">
        <v>2</v>
      </c>
      <c r="V281" s="9">
        <v>3</v>
      </c>
      <c r="W281" s="9">
        <v>2</v>
      </c>
      <c r="X281" s="9">
        <v>4</v>
      </c>
      <c r="Y281" s="9">
        <v>6</v>
      </c>
      <c r="Z281" s="9">
        <v>8</v>
      </c>
      <c r="AA281" s="9">
        <v>9</v>
      </c>
      <c r="AB281" s="9">
        <v>11</v>
      </c>
      <c r="AC281" s="9">
        <v>13</v>
      </c>
      <c r="AD281" s="9">
        <v>18</v>
      </c>
      <c r="AE281" s="9">
        <v>15</v>
      </c>
      <c r="AF281" s="9">
        <v>14</v>
      </c>
      <c r="AG281" s="9">
        <v>19</v>
      </c>
      <c r="AH281" s="9">
        <v>22</v>
      </c>
      <c r="AI281" s="9">
        <v>25</v>
      </c>
      <c r="AJ281" s="9">
        <v>23</v>
      </c>
      <c r="AK281" s="9">
        <v>24</v>
      </c>
      <c r="AL281" s="9">
        <v>22</v>
      </c>
      <c r="AM281" s="9">
        <v>25</v>
      </c>
      <c r="AN281" s="9">
        <v>24</v>
      </c>
      <c r="AO281" s="9">
        <v>23</v>
      </c>
      <c r="AP281" s="9">
        <v>16</v>
      </c>
      <c r="AQ281" s="9">
        <v>20</v>
      </c>
      <c r="AR281" s="9">
        <v>22</v>
      </c>
      <c r="AS281" s="9">
        <v>25</v>
      </c>
      <c r="AT281" s="9">
        <v>30</v>
      </c>
      <c r="AU281" s="9">
        <v>34</v>
      </c>
      <c r="AV281" s="9">
        <v>30</v>
      </c>
      <c r="AW281" s="9">
        <v>28</v>
      </c>
      <c r="AX281" s="9">
        <v>30</v>
      </c>
      <c r="AY281" s="9">
        <v>33</v>
      </c>
      <c r="AZ281" s="9">
        <v>41</v>
      </c>
      <c r="BA281" s="9">
        <v>49</v>
      </c>
      <c r="BB281" s="9">
        <v>58</v>
      </c>
      <c r="BC281" s="9">
        <v>61</v>
      </c>
      <c r="BD281" s="9">
        <v>60</v>
      </c>
      <c r="BE281" s="9">
        <v>61</v>
      </c>
      <c r="BF281" s="9">
        <v>65</v>
      </c>
      <c r="BG281" s="9">
        <v>83</v>
      </c>
      <c r="BH281" s="9">
        <v>96</v>
      </c>
      <c r="BI281" s="9">
        <v>105</v>
      </c>
      <c r="BJ281" s="9">
        <v>103</v>
      </c>
      <c r="BK281" s="9">
        <v>106</v>
      </c>
      <c r="BL281" s="9">
        <v>117</v>
      </c>
      <c r="BM281" s="9">
        <v>114</v>
      </c>
      <c r="BN281" s="9">
        <v>119</v>
      </c>
      <c r="BO281" s="9">
        <v>129</v>
      </c>
      <c r="BP281" s="10">
        <v>129</v>
      </c>
      <c r="BQ281">
        <v>134</v>
      </c>
      <c r="BR281">
        <v>128</v>
      </c>
    </row>
    <row r="282" spans="1:70" x14ac:dyDescent="0.35">
      <c r="A282" s="8" t="s">
        <v>261</v>
      </c>
      <c r="B282" s="9" t="s">
        <v>296</v>
      </c>
      <c r="C282" s="10" t="s">
        <v>994</v>
      </c>
      <c r="D282" s="34">
        <f t="shared" si="6"/>
        <v>5</v>
      </c>
      <c r="E282" s="9">
        <v>3</v>
      </c>
      <c r="F282" s="9">
        <v>3</v>
      </c>
      <c r="G282" s="9">
        <v>3</v>
      </c>
      <c r="H282" s="9">
        <v>3</v>
      </c>
      <c r="I282" s="9">
        <v>3</v>
      </c>
      <c r="J282" s="9">
        <v>3</v>
      </c>
      <c r="K282" s="9">
        <v>2</v>
      </c>
      <c r="L282" s="9">
        <v>0</v>
      </c>
      <c r="M282" s="9">
        <v>0</v>
      </c>
      <c r="N282" s="9">
        <v>1</v>
      </c>
      <c r="O282" s="9">
        <v>1</v>
      </c>
      <c r="P282" s="9">
        <v>1</v>
      </c>
      <c r="Q282" s="9">
        <v>1</v>
      </c>
      <c r="R282" s="9">
        <v>1</v>
      </c>
      <c r="S282" s="9">
        <v>0</v>
      </c>
      <c r="T282" s="9">
        <v>0</v>
      </c>
      <c r="U282" s="9">
        <v>0</v>
      </c>
      <c r="V282" s="9">
        <v>0</v>
      </c>
      <c r="W282" s="9">
        <v>0</v>
      </c>
      <c r="X282" s="9">
        <v>0</v>
      </c>
      <c r="Y282" s="9">
        <v>0</v>
      </c>
      <c r="Z282" s="9">
        <v>0</v>
      </c>
      <c r="AA282" s="9">
        <v>0</v>
      </c>
      <c r="AB282" s="9">
        <v>0</v>
      </c>
      <c r="AC282" s="9">
        <v>0</v>
      </c>
      <c r="AD282" s="9">
        <v>0</v>
      </c>
      <c r="AE282" s="9">
        <v>0</v>
      </c>
      <c r="AF282" s="9">
        <v>0</v>
      </c>
      <c r="AG282" s="9">
        <v>0</v>
      </c>
      <c r="AH282" s="9">
        <v>0</v>
      </c>
      <c r="AI282" s="9">
        <v>0</v>
      </c>
      <c r="AJ282" s="9">
        <v>0</v>
      </c>
      <c r="AK282" s="9">
        <v>0</v>
      </c>
      <c r="AL282" s="9">
        <v>1</v>
      </c>
      <c r="AM282" s="9">
        <v>1</v>
      </c>
      <c r="AN282" s="9">
        <v>1</v>
      </c>
      <c r="AO282" s="9">
        <v>1</v>
      </c>
      <c r="AP282" s="9">
        <v>1</v>
      </c>
      <c r="AQ282" s="9">
        <v>1</v>
      </c>
      <c r="AR282" s="9">
        <v>1</v>
      </c>
      <c r="AS282" s="9">
        <v>1</v>
      </c>
      <c r="AT282" s="9">
        <v>2</v>
      </c>
      <c r="AU282" s="9">
        <v>1</v>
      </c>
      <c r="AV282" s="9">
        <v>1</v>
      </c>
      <c r="AW282" s="9">
        <v>1</v>
      </c>
      <c r="AX282" s="9">
        <v>1</v>
      </c>
      <c r="AY282" s="9">
        <v>0</v>
      </c>
      <c r="AZ282" s="9">
        <v>1</v>
      </c>
      <c r="BA282" s="9">
        <v>1</v>
      </c>
      <c r="BB282" s="9">
        <v>2</v>
      </c>
      <c r="BC282" s="9">
        <v>2</v>
      </c>
      <c r="BD282" s="9">
        <v>2</v>
      </c>
      <c r="BE282" s="9">
        <v>2</v>
      </c>
      <c r="BF282" s="9">
        <v>2</v>
      </c>
      <c r="BG282" s="9">
        <v>2</v>
      </c>
      <c r="BH282" s="9">
        <v>2</v>
      </c>
      <c r="BI282" s="9">
        <v>2</v>
      </c>
      <c r="BJ282" s="9">
        <v>2</v>
      </c>
      <c r="BK282" s="9">
        <v>2</v>
      </c>
      <c r="BL282" s="9">
        <v>1</v>
      </c>
      <c r="BM282" s="9">
        <v>1</v>
      </c>
      <c r="BN282" s="9">
        <v>2</v>
      </c>
      <c r="BO282" s="9">
        <v>2</v>
      </c>
      <c r="BP282" s="10">
        <v>5</v>
      </c>
      <c r="BQ282">
        <v>5</v>
      </c>
      <c r="BR282">
        <v>5</v>
      </c>
    </row>
    <row r="283" spans="1:70" x14ac:dyDescent="0.35">
      <c r="A283" s="8" t="s">
        <v>261</v>
      </c>
      <c r="B283" s="9" t="s">
        <v>298</v>
      </c>
      <c r="C283" s="10" t="s">
        <v>995</v>
      </c>
      <c r="D283" s="34">
        <f t="shared" si="6"/>
        <v>305</v>
      </c>
      <c r="E283" s="9">
        <v>16</v>
      </c>
      <c r="F283" s="9">
        <v>18</v>
      </c>
      <c r="G283" s="9">
        <v>18</v>
      </c>
      <c r="H283" s="9">
        <v>15</v>
      </c>
      <c r="I283" s="9">
        <v>17</v>
      </c>
      <c r="J283" s="9">
        <v>17</v>
      </c>
      <c r="K283" s="9">
        <v>31</v>
      </c>
      <c r="L283" s="9">
        <v>17</v>
      </c>
      <c r="M283" s="9">
        <v>19</v>
      </c>
      <c r="N283" s="9">
        <v>16</v>
      </c>
      <c r="O283" s="9">
        <v>19</v>
      </c>
      <c r="P283" s="9">
        <v>16</v>
      </c>
      <c r="Q283" s="9">
        <v>18</v>
      </c>
      <c r="R283" s="9">
        <v>18</v>
      </c>
      <c r="S283" s="9">
        <v>18</v>
      </c>
      <c r="T283" s="9">
        <v>21</v>
      </c>
      <c r="U283" s="9">
        <v>24</v>
      </c>
      <c r="V283" s="9">
        <v>26</v>
      </c>
      <c r="W283" s="9">
        <v>23</v>
      </c>
      <c r="X283" s="9">
        <v>24</v>
      </c>
      <c r="Y283" s="9">
        <v>26</v>
      </c>
      <c r="Z283" s="9">
        <v>24</v>
      </c>
      <c r="AA283" s="9">
        <v>27</v>
      </c>
      <c r="AB283" s="9">
        <v>27</v>
      </c>
      <c r="AC283" s="9">
        <v>24</v>
      </c>
      <c r="AD283" s="9">
        <v>21</v>
      </c>
      <c r="AE283" s="9">
        <v>25</v>
      </c>
      <c r="AF283" s="9">
        <v>29</v>
      </c>
      <c r="AG283" s="9">
        <v>36</v>
      </c>
      <c r="AH283" s="9">
        <v>36</v>
      </c>
      <c r="AI283" s="9">
        <v>38</v>
      </c>
      <c r="AJ283" s="9">
        <v>36</v>
      </c>
      <c r="AK283" s="9">
        <v>68</v>
      </c>
      <c r="AL283" s="9">
        <v>47</v>
      </c>
      <c r="AM283" s="9">
        <v>49</v>
      </c>
      <c r="AN283" s="9">
        <v>61</v>
      </c>
      <c r="AO283" s="9">
        <v>62</v>
      </c>
      <c r="AP283" s="9">
        <v>68</v>
      </c>
      <c r="AQ283" s="9">
        <v>74</v>
      </c>
      <c r="AR283" s="9">
        <v>78</v>
      </c>
      <c r="AS283" s="9">
        <v>84</v>
      </c>
      <c r="AT283" s="9">
        <v>94</v>
      </c>
      <c r="AU283" s="9">
        <v>94</v>
      </c>
      <c r="AV283" s="9">
        <v>96</v>
      </c>
      <c r="AW283" s="9">
        <v>115</v>
      </c>
      <c r="AX283" s="9">
        <v>126</v>
      </c>
      <c r="AY283" s="9">
        <v>128</v>
      </c>
      <c r="AZ283" s="9">
        <v>132</v>
      </c>
      <c r="BA283" s="9">
        <v>138</v>
      </c>
      <c r="BB283" s="9">
        <v>147</v>
      </c>
      <c r="BC283" s="9">
        <v>148</v>
      </c>
      <c r="BD283" s="9">
        <v>164</v>
      </c>
      <c r="BE283" s="9">
        <v>185</v>
      </c>
      <c r="BF283" s="9">
        <v>199</v>
      </c>
      <c r="BG283" s="9">
        <v>212</v>
      </c>
      <c r="BH283" s="9">
        <v>228</v>
      </c>
      <c r="BI283" s="9">
        <v>249</v>
      </c>
      <c r="BJ283" s="9">
        <v>254</v>
      </c>
      <c r="BK283" s="9">
        <v>268</v>
      </c>
      <c r="BL283" s="9">
        <v>273</v>
      </c>
      <c r="BM283" s="9">
        <v>290</v>
      </c>
      <c r="BN283" s="9">
        <v>0</v>
      </c>
      <c r="BO283" s="9">
        <v>305</v>
      </c>
      <c r="BP283" s="10">
        <v>299</v>
      </c>
      <c r="BQ283">
        <v>283</v>
      </c>
      <c r="BR283">
        <v>291</v>
      </c>
    </row>
    <row r="284" spans="1:70" x14ac:dyDescent="0.35">
      <c r="A284" s="8" t="s">
        <v>261</v>
      </c>
      <c r="B284" s="9" t="s">
        <v>300</v>
      </c>
      <c r="C284" s="10" t="s">
        <v>996</v>
      </c>
      <c r="D284" s="34">
        <f t="shared" si="6"/>
        <v>98</v>
      </c>
      <c r="E284" s="9">
        <v>3</v>
      </c>
      <c r="F284" s="9">
        <v>1</v>
      </c>
      <c r="G284" s="9">
        <v>0</v>
      </c>
      <c r="H284" s="9">
        <v>1</v>
      </c>
      <c r="I284" s="9">
        <v>0</v>
      </c>
      <c r="J284" s="9">
        <v>0</v>
      </c>
      <c r="K284" s="9">
        <v>0</v>
      </c>
      <c r="L284" s="9">
        <v>0</v>
      </c>
      <c r="M284" s="9">
        <v>1</v>
      </c>
      <c r="N284" s="9">
        <v>1</v>
      </c>
      <c r="O284" s="9">
        <v>2</v>
      </c>
      <c r="P284" s="9">
        <v>3</v>
      </c>
      <c r="Q284" s="9">
        <v>5</v>
      </c>
      <c r="R284" s="9">
        <v>5</v>
      </c>
      <c r="S284" s="9">
        <v>3</v>
      </c>
      <c r="T284" s="9">
        <v>1</v>
      </c>
      <c r="U284" s="9">
        <v>2</v>
      </c>
      <c r="V284" s="9">
        <v>6</v>
      </c>
      <c r="W284" s="9">
        <v>0</v>
      </c>
      <c r="X284" s="9">
        <v>0</v>
      </c>
      <c r="Y284" s="9">
        <v>9</v>
      </c>
      <c r="Z284" s="9">
        <v>3</v>
      </c>
      <c r="AA284" s="9">
        <v>4</v>
      </c>
      <c r="AB284" s="9">
        <v>3</v>
      </c>
      <c r="AC284" s="9">
        <v>3</v>
      </c>
      <c r="AD284" s="9">
        <v>6</v>
      </c>
      <c r="AE284" s="9">
        <v>6</v>
      </c>
      <c r="AF284" s="9">
        <v>7</v>
      </c>
      <c r="AG284" s="9">
        <v>4</v>
      </c>
      <c r="AH284" s="9">
        <v>3</v>
      </c>
      <c r="AI284" s="9">
        <v>5</v>
      </c>
      <c r="AJ284" s="9">
        <v>8</v>
      </c>
      <c r="AK284" s="9">
        <v>9</v>
      </c>
      <c r="AL284" s="9">
        <v>10</v>
      </c>
      <c r="AM284" s="9">
        <v>10</v>
      </c>
      <c r="AN284" s="9">
        <v>16</v>
      </c>
      <c r="AO284" s="9">
        <v>15</v>
      </c>
      <c r="AP284" s="9">
        <v>16</v>
      </c>
      <c r="AQ284" s="9">
        <v>20</v>
      </c>
      <c r="AR284" s="9">
        <v>21</v>
      </c>
      <c r="AS284" s="9">
        <v>24</v>
      </c>
      <c r="AT284" s="9">
        <v>27</v>
      </c>
      <c r="AU284" s="9">
        <v>26</v>
      </c>
      <c r="AV284" s="9">
        <v>30</v>
      </c>
      <c r="AW284" s="9">
        <v>31</v>
      </c>
      <c r="AX284" s="9">
        <v>29</v>
      </c>
      <c r="AY284" s="9">
        <v>30</v>
      </c>
      <c r="AZ284" s="9">
        <v>35</v>
      </c>
      <c r="BA284" s="9">
        <v>36</v>
      </c>
      <c r="BB284" s="9">
        <v>41</v>
      </c>
      <c r="BC284" s="9">
        <v>44</v>
      </c>
      <c r="BD284" s="9">
        <v>48</v>
      </c>
      <c r="BE284" s="9">
        <v>44</v>
      </c>
      <c r="BF284" s="9">
        <v>47</v>
      </c>
      <c r="BG284" s="9">
        <v>58</v>
      </c>
      <c r="BH284" s="9">
        <v>61</v>
      </c>
      <c r="BI284" s="9">
        <v>62</v>
      </c>
      <c r="BJ284" s="9">
        <v>65</v>
      </c>
      <c r="BK284" s="9">
        <v>71</v>
      </c>
      <c r="BL284" s="9">
        <v>78</v>
      </c>
      <c r="BM284" s="9">
        <v>79</v>
      </c>
      <c r="BN284" s="9">
        <v>82</v>
      </c>
      <c r="BO284" s="9">
        <v>86</v>
      </c>
      <c r="BP284" s="10">
        <v>71</v>
      </c>
      <c r="BQ284">
        <v>76</v>
      </c>
      <c r="BR284">
        <v>98</v>
      </c>
    </row>
    <row r="285" spans="1:70" x14ac:dyDescent="0.35">
      <c r="A285" s="8" t="s">
        <v>261</v>
      </c>
      <c r="B285" s="9" t="s">
        <v>302</v>
      </c>
      <c r="C285" s="10" t="s">
        <v>997</v>
      </c>
      <c r="D285" s="34">
        <f t="shared" si="6"/>
        <v>47</v>
      </c>
      <c r="E285" s="9">
        <v>5</v>
      </c>
      <c r="F285" s="9">
        <v>4</v>
      </c>
      <c r="G285" s="9">
        <v>4</v>
      </c>
      <c r="H285" s="9">
        <v>4</v>
      </c>
      <c r="I285" s="9">
        <v>4</v>
      </c>
      <c r="J285" s="9">
        <v>3</v>
      </c>
      <c r="K285" s="9">
        <v>3</v>
      </c>
      <c r="L285" s="9">
        <v>3</v>
      </c>
      <c r="M285" s="9">
        <v>3</v>
      </c>
      <c r="N285" s="9">
        <v>2</v>
      </c>
      <c r="O285" s="9">
        <v>0</v>
      </c>
      <c r="P285" s="9">
        <v>0</v>
      </c>
      <c r="Q285" s="9">
        <v>0</v>
      </c>
      <c r="R285" s="9">
        <v>0</v>
      </c>
      <c r="S285" s="9">
        <v>0</v>
      </c>
      <c r="T285" s="9">
        <v>0</v>
      </c>
      <c r="U285" s="9">
        <v>0</v>
      </c>
      <c r="V285" s="9">
        <v>0</v>
      </c>
      <c r="W285" s="9">
        <v>0</v>
      </c>
      <c r="X285" s="9">
        <v>0</v>
      </c>
      <c r="Y285" s="9">
        <v>0</v>
      </c>
      <c r="Z285" s="9">
        <v>0</v>
      </c>
      <c r="AA285" s="9">
        <v>0</v>
      </c>
      <c r="AB285" s="9">
        <v>0</v>
      </c>
      <c r="AC285" s="9">
        <v>0</v>
      </c>
      <c r="AD285" s="9">
        <v>2</v>
      </c>
      <c r="AE285" s="9">
        <v>2</v>
      </c>
      <c r="AF285" s="9">
        <v>2</v>
      </c>
      <c r="AG285" s="9">
        <v>3</v>
      </c>
      <c r="AH285" s="9">
        <v>6</v>
      </c>
      <c r="AI285" s="9">
        <v>8</v>
      </c>
      <c r="AJ285" s="9">
        <v>7</v>
      </c>
      <c r="AK285" s="9">
        <v>10</v>
      </c>
      <c r="AL285" s="9">
        <v>12</v>
      </c>
      <c r="AM285" s="9">
        <v>10</v>
      </c>
      <c r="AN285" s="9">
        <v>10</v>
      </c>
      <c r="AO285" s="9">
        <v>8</v>
      </c>
      <c r="AP285" s="9">
        <v>8</v>
      </c>
      <c r="AQ285" s="9">
        <v>8</v>
      </c>
      <c r="AR285" s="9">
        <v>10</v>
      </c>
      <c r="AS285" s="9">
        <v>10</v>
      </c>
      <c r="AT285" s="9">
        <v>11</v>
      </c>
      <c r="AU285" s="9">
        <v>11</v>
      </c>
      <c r="AV285" s="9">
        <v>11</v>
      </c>
      <c r="AW285" s="9">
        <v>11</v>
      </c>
      <c r="AX285" s="9">
        <v>12</v>
      </c>
      <c r="AY285" s="9">
        <v>16</v>
      </c>
      <c r="AZ285" s="9">
        <v>19</v>
      </c>
      <c r="BA285" s="9">
        <v>21</v>
      </c>
      <c r="BB285" s="9">
        <v>26</v>
      </c>
      <c r="BC285" s="9">
        <v>27</v>
      </c>
      <c r="BD285" s="9">
        <v>22</v>
      </c>
      <c r="BE285" s="9">
        <v>20</v>
      </c>
      <c r="BF285" s="9">
        <v>21</v>
      </c>
      <c r="BG285" s="9">
        <v>21</v>
      </c>
      <c r="BH285" s="9">
        <v>25</v>
      </c>
      <c r="BI285" s="9">
        <v>26</v>
      </c>
      <c r="BJ285" s="9">
        <v>25</v>
      </c>
      <c r="BK285" s="9">
        <v>29</v>
      </c>
      <c r="BL285" s="9">
        <v>29</v>
      </c>
      <c r="BM285" s="9">
        <v>29</v>
      </c>
      <c r="BN285" s="9">
        <v>33</v>
      </c>
      <c r="BO285" s="9">
        <v>34</v>
      </c>
      <c r="BP285" s="10">
        <v>39</v>
      </c>
      <c r="BQ285">
        <v>40</v>
      </c>
      <c r="BR285">
        <v>47</v>
      </c>
    </row>
    <row r="286" spans="1:70" x14ac:dyDescent="0.35">
      <c r="A286" s="8" t="s">
        <v>261</v>
      </c>
      <c r="B286" s="9" t="s">
        <v>304</v>
      </c>
      <c r="C286" s="10" t="s">
        <v>998</v>
      </c>
      <c r="D286" s="34">
        <f t="shared" si="6"/>
        <v>215</v>
      </c>
      <c r="E286" s="9">
        <v>2</v>
      </c>
      <c r="F286" s="9">
        <v>6</v>
      </c>
      <c r="G286" s="9">
        <v>6</v>
      </c>
      <c r="H286" s="9">
        <v>5</v>
      </c>
      <c r="I286" s="9">
        <v>4</v>
      </c>
      <c r="J286" s="9">
        <v>4</v>
      </c>
      <c r="K286" s="9">
        <v>4</v>
      </c>
      <c r="L286" s="9">
        <v>4</v>
      </c>
      <c r="M286" s="9">
        <v>5</v>
      </c>
      <c r="N286" s="9">
        <v>5</v>
      </c>
      <c r="O286" s="9">
        <v>4</v>
      </c>
      <c r="P286" s="9">
        <v>5</v>
      </c>
      <c r="Q286" s="9">
        <v>5</v>
      </c>
      <c r="R286" s="9">
        <v>7</v>
      </c>
      <c r="S286" s="9">
        <v>9</v>
      </c>
      <c r="T286" s="9">
        <v>8</v>
      </c>
      <c r="U286" s="9">
        <v>7</v>
      </c>
      <c r="V286" s="9">
        <v>8</v>
      </c>
      <c r="W286" s="9">
        <v>11</v>
      </c>
      <c r="X286" s="9">
        <v>12</v>
      </c>
      <c r="Y286" s="9">
        <v>12</v>
      </c>
      <c r="Z286" s="9">
        <v>11</v>
      </c>
      <c r="AA286" s="9">
        <v>8</v>
      </c>
      <c r="AB286" s="9">
        <v>8</v>
      </c>
      <c r="AC286" s="9">
        <v>9</v>
      </c>
      <c r="AD286" s="9">
        <v>10</v>
      </c>
      <c r="AE286" s="9">
        <v>11</v>
      </c>
      <c r="AF286" s="9">
        <v>11</v>
      </c>
      <c r="AG286" s="9">
        <v>10</v>
      </c>
      <c r="AH286" s="9">
        <v>13</v>
      </c>
      <c r="AI286" s="9">
        <v>16</v>
      </c>
      <c r="AJ286" s="9">
        <v>21</v>
      </c>
      <c r="AK286" s="9">
        <v>23</v>
      </c>
      <c r="AL286" s="9">
        <v>26</v>
      </c>
      <c r="AM286" s="9">
        <v>36</v>
      </c>
      <c r="AN286" s="9">
        <v>38</v>
      </c>
      <c r="AO286" s="9">
        <v>40</v>
      </c>
      <c r="AP286" s="9">
        <v>45</v>
      </c>
      <c r="AQ286" s="9">
        <v>50</v>
      </c>
      <c r="AR286" s="9">
        <v>49</v>
      </c>
      <c r="AS286" s="9">
        <v>60</v>
      </c>
      <c r="AT286" s="9">
        <v>67</v>
      </c>
      <c r="AU286" s="9">
        <v>61</v>
      </c>
      <c r="AV286" s="9">
        <v>71</v>
      </c>
      <c r="AW286" s="9">
        <v>80</v>
      </c>
      <c r="AX286" s="9">
        <v>84</v>
      </c>
      <c r="AY286" s="9">
        <v>98</v>
      </c>
      <c r="AZ286" s="9">
        <v>98</v>
      </c>
      <c r="BA286" s="9">
        <v>118</v>
      </c>
      <c r="BB286" s="9">
        <v>141</v>
      </c>
      <c r="BC286" s="9">
        <v>153</v>
      </c>
      <c r="BD286" s="9">
        <v>154</v>
      </c>
      <c r="BE286" s="9">
        <v>170</v>
      </c>
      <c r="BF286" s="9">
        <v>181</v>
      </c>
      <c r="BG286" s="9">
        <v>197</v>
      </c>
      <c r="BH286" s="9">
        <v>202</v>
      </c>
      <c r="BI286" s="9">
        <v>201</v>
      </c>
      <c r="BJ286" s="9">
        <v>207</v>
      </c>
      <c r="BK286" s="9">
        <v>203</v>
      </c>
      <c r="BL286" s="9">
        <v>204</v>
      </c>
      <c r="BM286" s="9">
        <v>205</v>
      </c>
      <c r="BN286" s="9">
        <v>212</v>
      </c>
      <c r="BO286" s="9">
        <v>211</v>
      </c>
      <c r="BP286" s="10">
        <v>215</v>
      </c>
      <c r="BQ286">
        <v>206</v>
      </c>
      <c r="BR286">
        <v>191</v>
      </c>
    </row>
    <row r="287" spans="1:70" x14ac:dyDescent="0.35">
      <c r="A287" s="8" t="s">
        <v>261</v>
      </c>
      <c r="B287" s="9" t="s">
        <v>306</v>
      </c>
      <c r="C287" s="10" t="s">
        <v>999</v>
      </c>
      <c r="D287" s="34">
        <f t="shared" si="6"/>
        <v>114</v>
      </c>
      <c r="E287" s="9">
        <v>1</v>
      </c>
      <c r="F287" s="9">
        <v>2</v>
      </c>
      <c r="G287" s="9">
        <v>2</v>
      </c>
      <c r="H287" s="9">
        <v>2</v>
      </c>
      <c r="I287" s="9">
        <v>3</v>
      </c>
      <c r="J287" s="9">
        <v>3</v>
      </c>
      <c r="K287" s="9">
        <v>3</v>
      </c>
      <c r="L287" s="9">
        <v>2</v>
      </c>
      <c r="M287" s="9">
        <v>2</v>
      </c>
      <c r="N287" s="9">
        <v>4</v>
      </c>
      <c r="O287" s="9">
        <v>5</v>
      </c>
      <c r="P287" s="9">
        <v>4</v>
      </c>
      <c r="Q287" s="9">
        <v>5</v>
      </c>
      <c r="R287" s="9">
        <v>6</v>
      </c>
      <c r="S287" s="9">
        <v>5</v>
      </c>
      <c r="T287" s="9">
        <v>5</v>
      </c>
      <c r="U287" s="9">
        <v>3</v>
      </c>
      <c r="V287" s="9">
        <v>4</v>
      </c>
      <c r="W287" s="9">
        <v>4</v>
      </c>
      <c r="X287" s="9">
        <v>6</v>
      </c>
      <c r="Y287" s="9">
        <v>6</v>
      </c>
      <c r="Z287" s="9">
        <v>7</v>
      </c>
      <c r="AA287" s="9">
        <v>12</v>
      </c>
      <c r="AB287" s="9">
        <v>12</v>
      </c>
      <c r="AC287" s="9">
        <v>12</v>
      </c>
      <c r="AD287" s="9">
        <v>13</v>
      </c>
      <c r="AE287" s="9">
        <v>20</v>
      </c>
      <c r="AF287" s="9">
        <v>21</v>
      </c>
      <c r="AG287" s="9">
        <v>18</v>
      </c>
      <c r="AH287" s="9">
        <v>19</v>
      </c>
      <c r="AI287" s="9">
        <v>22</v>
      </c>
      <c r="AJ287" s="9">
        <v>20</v>
      </c>
      <c r="AK287" s="9">
        <v>20</v>
      </c>
      <c r="AL287" s="9">
        <v>19</v>
      </c>
      <c r="AM287" s="9">
        <v>25</v>
      </c>
      <c r="AN287" s="9">
        <v>28</v>
      </c>
      <c r="AO287" s="9">
        <v>32</v>
      </c>
      <c r="AP287" s="9">
        <v>37</v>
      </c>
      <c r="AQ287" s="9">
        <v>38</v>
      </c>
      <c r="AR287" s="9">
        <v>40</v>
      </c>
      <c r="AS287" s="9">
        <v>44</v>
      </c>
      <c r="AT287" s="9">
        <v>47</v>
      </c>
      <c r="AU287" s="9">
        <v>47</v>
      </c>
      <c r="AV287" s="9">
        <v>52</v>
      </c>
      <c r="AW287" s="9">
        <v>58</v>
      </c>
      <c r="AX287" s="9">
        <v>58</v>
      </c>
      <c r="AY287" s="9">
        <v>60</v>
      </c>
      <c r="AZ287" s="9">
        <v>60</v>
      </c>
      <c r="BA287" s="9">
        <v>70</v>
      </c>
      <c r="BB287" s="9">
        <v>70</v>
      </c>
      <c r="BC287" s="9">
        <v>68</v>
      </c>
      <c r="BD287" s="9">
        <v>71</v>
      </c>
      <c r="BE287" s="9">
        <v>78</v>
      </c>
      <c r="BF287" s="9">
        <v>75</v>
      </c>
      <c r="BG287" s="9">
        <v>79</v>
      </c>
      <c r="BH287" s="9">
        <v>87</v>
      </c>
      <c r="BI287" s="9">
        <v>92</v>
      </c>
      <c r="BJ287" s="9">
        <v>95</v>
      </c>
      <c r="BK287" s="9">
        <v>88</v>
      </c>
      <c r="BL287" s="9">
        <v>88</v>
      </c>
      <c r="BM287" s="9">
        <v>97</v>
      </c>
      <c r="BN287" s="9">
        <v>102</v>
      </c>
      <c r="BO287" s="9">
        <v>113</v>
      </c>
      <c r="BP287" s="10">
        <v>114</v>
      </c>
      <c r="BQ287">
        <v>111</v>
      </c>
      <c r="BR287">
        <v>114</v>
      </c>
    </row>
    <row r="288" spans="1:70" x14ac:dyDescent="0.35">
      <c r="A288" s="8" t="s">
        <v>261</v>
      </c>
      <c r="B288" s="9" t="s">
        <v>308</v>
      </c>
      <c r="C288" s="10" t="s">
        <v>1000</v>
      </c>
      <c r="D288" s="34">
        <f t="shared" si="6"/>
        <v>289</v>
      </c>
      <c r="E288" s="9">
        <v>5</v>
      </c>
      <c r="F288" s="9">
        <v>6</v>
      </c>
      <c r="G288" s="9">
        <v>4</v>
      </c>
      <c r="H288" s="9">
        <v>5</v>
      </c>
      <c r="I288" s="9">
        <v>6</v>
      </c>
      <c r="J288" s="9">
        <v>5</v>
      </c>
      <c r="K288" s="9">
        <v>5</v>
      </c>
      <c r="L288" s="9">
        <v>6</v>
      </c>
      <c r="M288" s="9">
        <v>7</v>
      </c>
      <c r="N288" s="9">
        <v>7</v>
      </c>
      <c r="O288" s="9">
        <v>8</v>
      </c>
      <c r="P288" s="9">
        <v>9</v>
      </c>
      <c r="Q288" s="9">
        <v>14</v>
      </c>
      <c r="R288" s="9">
        <v>15</v>
      </c>
      <c r="S288" s="9">
        <v>20</v>
      </c>
      <c r="T288" s="9">
        <v>25</v>
      </c>
      <c r="U288" s="9">
        <v>28</v>
      </c>
      <c r="V288" s="9">
        <v>22</v>
      </c>
      <c r="W288" s="9">
        <v>23</v>
      </c>
      <c r="X288" s="9">
        <v>22</v>
      </c>
      <c r="Y288" s="9">
        <v>22</v>
      </c>
      <c r="Z288" s="9">
        <v>25</v>
      </c>
      <c r="AA288" s="9">
        <v>25</v>
      </c>
      <c r="AB288" s="9">
        <v>28</v>
      </c>
      <c r="AC288" s="9">
        <v>34</v>
      </c>
      <c r="AD288" s="9">
        <v>39</v>
      </c>
      <c r="AE288" s="9">
        <v>40</v>
      </c>
      <c r="AF288" s="9">
        <v>42</v>
      </c>
      <c r="AG288" s="9">
        <v>44</v>
      </c>
      <c r="AH288" s="9">
        <v>51</v>
      </c>
      <c r="AI288" s="9">
        <v>53</v>
      </c>
      <c r="AJ288" s="9">
        <v>52</v>
      </c>
      <c r="AK288" s="9">
        <v>49</v>
      </c>
      <c r="AL288" s="9">
        <v>55</v>
      </c>
      <c r="AM288" s="9">
        <v>54</v>
      </c>
      <c r="AN288" s="9">
        <v>62</v>
      </c>
      <c r="AO288" s="9">
        <v>71</v>
      </c>
      <c r="AP288" s="9">
        <v>73</v>
      </c>
      <c r="AQ288" s="9">
        <v>28</v>
      </c>
      <c r="AR288" s="9">
        <v>69</v>
      </c>
      <c r="AS288" s="9">
        <v>76</v>
      </c>
      <c r="AT288" s="9">
        <v>79</v>
      </c>
      <c r="AU288" s="9">
        <v>101</v>
      </c>
      <c r="AV288" s="9">
        <v>106</v>
      </c>
      <c r="AW288" s="9">
        <v>116</v>
      </c>
      <c r="AX288" s="9">
        <v>111</v>
      </c>
      <c r="AY288" s="9">
        <v>123</v>
      </c>
      <c r="AZ288" s="9">
        <v>127</v>
      </c>
      <c r="BA288" s="9">
        <v>135</v>
      </c>
      <c r="BB288" s="9">
        <v>143</v>
      </c>
      <c r="BC288" s="9">
        <v>154</v>
      </c>
      <c r="BD288" s="9">
        <v>158</v>
      </c>
      <c r="BE288" s="9">
        <v>171</v>
      </c>
      <c r="BF288" s="9">
        <v>179</v>
      </c>
      <c r="BG288" s="9">
        <v>193</v>
      </c>
      <c r="BH288" s="9">
        <v>214</v>
      </c>
      <c r="BI288" s="9">
        <v>236</v>
      </c>
      <c r="BJ288" s="9">
        <v>252</v>
      </c>
      <c r="BK288" s="9">
        <v>248</v>
      </c>
      <c r="BL288" s="9">
        <v>248</v>
      </c>
      <c r="BM288" s="9">
        <v>266</v>
      </c>
      <c r="BN288" s="9">
        <v>267</v>
      </c>
      <c r="BO288" s="9">
        <v>274</v>
      </c>
      <c r="BP288" s="10">
        <v>288</v>
      </c>
      <c r="BQ288">
        <v>289</v>
      </c>
      <c r="BR288">
        <v>277</v>
      </c>
    </row>
    <row r="289" spans="1:70" x14ac:dyDescent="0.35">
      <c r="A289" s="8" t="s">
        <v>261</v>
      </c>
      <c r="B289" s="9" t="s">
        <v>310</v>
      </c>
      <c r="C289" s="10" t="s">
        <v>1001</v>
      </c>
      <c r="D289" s="34">
        <f t="shared" si="6"/>
        <v>114</v>
      </c>
      <c r="E289" s="9">
        <v>1</v>
      </c>
      <c r="F289" s="9">
        <v>1</v>
      </c>
      <c r="G289" s="9">
        <v>1</v>
      </c>
      <c r="H289" s="9">
        <v>2</v>
      </c>
      <c r="I289" s="9">
        <v>3</v>
      </c>
      <c r="J289" s="9">
        <v>2</v>
      </c>
      <c r="K289" s="9">
        <v>2</v>
      </c>
      <c r="L289" s="9">
        <v>2</v>
      </c>
      <c r="M289" s="9">
        <v>2</v>
      </c>
      <c r="N289" s="9">
        <v>3</v>
      </c>
      <c r="O289" s="9">
        <v>4</v>
      </c>
      <c r="P289" s="9">
        <v>6</v>
      </c>
      <c r="Q289" s="9">
        <v>7</v>
      </c>
      <c r="R289" s="9">
        <v>8</v>
      </c>
      <c r="S289" s="9">
        <v>8</v>
      </c>
      <c r="T289" s="9">
        <v>11</v>
      </c>
      <c r="U289" s="9">
        <v>11</v>
      </c>
      <c r="V289" s="9">
        <v>10</v>
      </c>
      <c r="W289" s="9">
        <v>14</v>
      </c>
      <c r="X289" s="9">
        <v>19</v>
      </c>
      <c r="Y289" s="9">
        <v>15</v>
      </c>
      <c r="Z289" s="9">
        <v>16</v>
      </c>
      <c r="AA289" s="9">
        <v>20</v>
      </c>
      <c r="AB289" s="9">
        <v>28</v>
      </c>
      <c r="AC289" s="9">
        <v>33</v>
      </c>
      <c r="AD289" s="9">
        <v>35</v>
      </c>
      <c r="AE289" s="9">
        <v>39</v>
      </c>
      <c r="AF289" s="9">
        <v>49</v>
      </c>
      <c r="AG289" s="9">
        <v>47</v>
      </c>
      <c r="AH289" s="9">
        <v>37</v>
      </c>
      <c r="AI289" s="9">
        <v>43</v>
      </c>
      <c r="AJ289" s="9">
        <v>46</v>
      </c>
      <c r="AK289" s="9">
        <v>48</v>
      </c>
      <c r="AL289" s="9">
        <v>43</v>
      </c>
      <c r="AM289" s="9">
        <v>57</v>
      </c>
      <c r="AN289" s="9">
        <v>54</v>
      </c>
      <c r="AO289" s="9">
        <v>58</v>
      </c>
      <c r="AP289" s="9">
        <v>68</v>
      </c>
      <c r="AQ289" s="9">
        <v>71</v>
      </c>
      <c r="AR289" s="9">
        <v>78</v>
      </c>
      <c r="AS289" s="9">
        <v>69</v>
      </c>
      <c r="AT289" s="9">
        <v>74</v>
      </c>
      <c r="AU289" s="9">
        <v>74</v>
      </c>
      <c r="AV289" s="9">
        <v>56</v>
      </c>
      <c r="AW289" s="9">
        <v>56</v>
      </c>
      <c r="AX289" s="9">
        <v>57</v>
      </c>
      <c r="AY289" s="9">
        <v>56</v>
      </c>
      <c r="AZ289" s="9">
        <v>60</v>
      </c>
      <c r="BA289" s="9">
        <v>59</v>
      </c>
      <c r="BB289" s="9">
        <v>58</v>
      </c>
      <c r="BC289" s="9">
        <v>64</v>
      </c>
      <c r="BD289" s="9">
        <v>64</v>
      </c>
      <c r="BE289" s="9">
        <v>59</v>
      </c>
      <c r="BF289" s="9">
        <v>69</v>
      </c>
      <c r="BG289" s="9">
        <v>68</v>
      </c>
      <c r="BH289" s="9">
        <v>70</v>
      </c>
      <c r="BI289" s="9">
        <v>73</v>
      </c>
      <c r="BJ289" s="9">
        <v>75</v>
      </c>
      <c r="BK289" s="9">
        <v>76</v>
      </c>
      <c r="BL289" s="9">
        <v>81</v>
      </c>
      <c r="BM289" s="9">
        <v>94</v>
      </c>
      <c r="BN289" s="9">
        <v>93</v>
      </c>
      <c r="BO289" s="9">
        <v>104</v>
      </c>
      <c r="BP289" s="10">
        <v>111</v>
      </c>
      <c r="BQ289">
        <v>114</v>
      </c>
      <c r="BR289">
        <v>110</v>
      </c>
    </row>
    <row r="290" spans="1:70" x14ac:dyDescent="0.35">
      <c r="A290" s="8" t="s">
        <v>261</v>
      </c>
      <c r="B290" s="9" t="s">
        <v>312</v>
      </c>
      <c r="C290" s="10" t="s">
        <v>1002</v>
      </c>
      <c r="D290" s="34">
        <f t="shared" si="6"/>
        <v>100</v>
      </c>
      <c r="E290" s="9">
        <v>0</v>
      </c>
      <c r="F290" s="9">
        <v>0</v>
      </c>
      <c r="G290" s="9">
        <v>2</v>
      </c>
      <c r="H290" s="9">
        <v>2</v>
      </c>
      <c r="I290" s="9">
        <v>2</v>
      </c>
      <c r="J290" s="9">
        <v>2</v>
      </c>
      <c r="K290" s="9">
        <v>4</v>
      </c>
      <c r="L290" s="9">
        <v>5</v>
      </c>
      <c r="M290" s="9">
        <v>5</v>
      </c>
      <c r="N290" s="9">
        <v>5</v>
      </c>
      <c r="O290" s="9">
        <v>5</v>
      </c>
      <c r="P290" s="9">
        <v>6</v>
      </c>
      <c r="Q290" s="9">
        <v>7</v>
      </c>
      <c r="R290" s="9">
        <v>6</v>
      </c>
      <c r="S290" s="9">
        <v>10</v>
      </c>
      <c r="T290" s="9">
        <v>7</v>
      </c>
      <c r="U290" s="9">
        <v>10</v>
      </c>
      <c r="V290" s="9">
        <v>13</v>
      </c>
      <c r="W290" s="9">
        <v>11</v>
      </c>
      <c r="X290" s="9">
        <v>15</v>
      </c>
      <c r="Y290" s="9">
        <v>14</v>
      </c>
      <c r="Z290" s="9">
        <v>16</v>
      </c>
      <c r="AA290" s="9">
        <v>15</v>
      </c>
      <c r="AB290" s="9">
        <v>18</v>
      </c>
      <c r="AC290" s="9">
        <v>18</v>
      </c>
      <c r="AD290" s="9">
        <v>19</v>
      </c>
      <c r="AE290" s="9">
        <v>20</v>
      </c>
      <c r="AF290" s="9">
        <v>18</v>
      </c>
      <c r="AG290" s="9">
        <v>20</v>
      </c>
      <c r="AH290" s="9">
        <v>21</v>
      </c>
      <c r="AI290" s="9">
        <v>20</v>
      </c>
      <c r="AJ290" s="9">
        <v>20</v>
      </c>
      <c r="AK290" s="9">
        <v>21</v>
      </c>
      <c r="AL290" s="9">
        <v>26</v>
      </c>
      <c r="AM290" s="9">
        <v>35</v>
      </c>
      <c r="AN290" s="9">
        <v>33</v>
      </c>
      <c r="AO290" s="9">
        <v>36</v>
      </c>
      <c r="AP290" s="9">
        <v>48</v>
      </c>
      <c r="AQ290" s="9">
        <v>45</v>
      </c>
      <c r="AR290" s="9">
        <v>43</v>
      </c>
      <c r="AS290" s="9">
        <v>48</v>
      </c>
      <c r="AT290" s="9">
        <v>46</v>
      </c>
      <c r="AU290" s="9">
        <v>50</v>
      </c>
      <c r="AV290" s="9">
        <v>50</v>
      </c>
      <c r="AW290" s="9">
        <v>47</v>
      </c>
      <c r="AX290" s="9">
        <v>50</v>
      </c>
      <c r="AY290" s="9">
        <v>46</v>
      </c>
      <c r="AZ290" s="9">
        <v>54</v>
      </c>
      <c r="BA290" s="9">
        <v>57</v>
      </c>
      <c r="BB290" s="9">
        <v>54</v>
      </c>
      <c r="BC290" s="9">
        <v>55</v>
      </c>
      <c r="BD290" s="9">
        <v>56</v>
      </c>
      <c r="BE290" s="9">
        <v>51</v>
      </c>
      <c r="BF290" s="9">
        <v>56</v>
      </c>
      <c r="BG290" s="9">
        <v>65</v>
      </c>
      <c r="BH290" s="9">
        <v>68</v>
      </c>
      <c r="BI290" s="9">
        <v>67</v>
      </c>
      <c r="BJ290" s="9">
        <v>68</v>
      </c>
      <c r="BK290" s="9">
        <v>60</v>
      </c>
      <c r="BL290" s="9">
        <v>61</v>
      </c>
      <c r="BM290" s="9">
        <v>81</v>
      </c>
      <c r="BN290" s="9">
        <v>84</v>
      </c>
      <c r="BO290" s="9">
        <v>84</v>
      </c>
      <c r="BP290" s="10">
        <v>94</v>
      </c>
      <c r="BQ290">
        <v>100</v>
      </c>
      <c r="BR290">
        <v>98</v>
      </c>
    </row>
    <row r="291" spans="1:70" x14ac:dyDescent="0.35">
      <c r="A291" s="8" t="s">
        <v>261</v>
      </c>
      <c r="B291" s="9" t="s">
        <v>314</v>
      </c>
      <c r="C291" s="10" t="s">
        <v>1003</v>
      </c>
      <c r="D291" s="34">
        <f t="shared" si="6"/>
        <v>101</v>
      </c>
      <c r="E291" s="9">
        <v>7</v>
      </c>
      <c r="F291" s="9">
        <v>6</v>
      </c>
      <c r="G291" s="9">
        <v>6</v>
      </c>
      <c r="H291" s="9">
        <v>6</v>
      </c>
      <c r="I291" s="9">
        <v>7</v>
      </c>
      <c r="J291" s="9">
        <v>6</v>
      </c>
      <c r="K291" s="9">
        <v>5</v>
      </c>
      <c r="L291" s="9">
        <v>6</v>
      </c>
      <c r="M291" s="9">
        <v>5</v>
      </c>
      <c r="N291" s="9">
        <v>7</v>
      </c>
      <c r="O291" s="9">
        <v>9</v>
      </c>
      <c r="P291" s="9">
        <v>10</v>
      </c>
      <c r="Q291" s="9">
        <v>8</v>
      </c>
      <c r="R291" s="9">
        <v>4</v>
      </c>
      <c r="S291" s="9">
        <v>4</v>
      </c>
      <c r="T291" s="9">
        <v>8</v>
      </c>
      <c r="U291" s="9">
        <v>12</v>
      </c>
      <c r="V291" s="9">
        <v>14</v>
      </c>
      <c r="W291" s="9">
        <v>15</v>
      </c>
      <c r="X291" s="9">
        <v>15</v>
      </c>
      <c r="Y291" s="9">
        <v>14</v>
      </c>
      <c r="Z291" s="9">
        <v>25</v>
      </c>
      <c r="AA291" s="9">
        <v>24</v>
      </c>
      <c r="AB291" s="9">
        <v>27</v>
      </c>
      <c r="AC291" s="9">
        <v>28</v>
      </c>
      <c r="AD291" s="9">
        <v>25</v>
      </c>
      <c r="AE291" s="9">
        <v>22</v>
      </c>
      <c r="AF291" s="9">
        <v>23</v>
      </c>
      <c r="AG291" s="9">
        <v>24</v>
      </c>
      <c r="AH291" s="9">
        <v>27</v>
      </c>
      <c r="AI291" s="9">
        <v>23</v>
      </c>
      <c r="AJ291" s="9">
        <v>20</v>
      </c>
      <c r="AK291" s="9">
        <v>19</v>
      </c>
      <c r="AL291" s="9">
        <v>24</v>
      </c>
      <c r="AM291" s="9">
        <v>26</v>
      </c>
      <c r="AN291" s="9">
        <v>21</v>
      </c>
      <c r="AO291" s="9">
        <v>30</v>
      </c>
      <c r="AP291" s="9">
        <v>27</v>
      </c>
      <c r="AQ291" s="9">
        <v>27</v>
      </c>
      <c r="AR291" s="9">
        <v>32</v>
      </c>
      <c r="AS291" s="9">
        <v>33</v>
      </c>
      <c r="AT291" s="9">
        <v>38</v>
      </c>
      <c r="AU291" s="9">
        <v>38</v>
      </c>
      <c r="AV291" s="9">
        <v>37</v>
      </c>
      <c r="AW291" s="9">
        <v>38</v>
      </c>
      <c r="AX291" s="9">
        <v>42</v>
      </c>
      <c r="AY291" s="9">
        <v>44</v>
      </c>
      <c r="AZ291" s="9">
        <v>46</v>
      </c>
      <c r="BA291" s="9">
        <v>47</v>
      </c>
      <c r="BB291" s="9">
        <v>50</v>
      </c>
      <c r="BC291" s="9">
        <v>57</v>
      </c>
      <c r="BD291" s="9">
        <v>70</v>
      </c>
      <c r="BE291" s="9">
        <v>60</v>
      </c>
      <c r="BF291" s="9">
        <v>59</v>
      </c>
      <c r="BG291" s="9">
        <v>70</v>
      </c>
      <c r="BH291" s="9">
        <v>68</v>
      </c>
      <c r="BI291" s="9">
        <v>74</v>
      </c>
      <c r="BJ291" s="9">
        <v>83</v>
      </c>
      <c r="BK291" s="9">
        <v>84</v>
      </c>
      <c r="BL291" s="9">
        <v>85</v>
      </c>
      <c r="BM291" s="9">
        <v>92</v>
      </c>
      <c r="BN291" s="9">
        <v>93</v>
      </c>
      <c r="BO291" s="9">
        <v>89</v>
      </c>
      <c r="BP291" s="10">
        <v>101</v>
      </c>
      <c r="BQ291">
        <v>97</v>
      </c>
      <c r="BR291">
        <v>99</v>
      </c>
    </row>
    <row r="292" spans="1:70" x14ac:dyDescent="0.35">
      <c r="A292" s="8" t="s">
        <v>261</v>
      </c>
      <c r="B292" s="9" t="s">
        <v>316</v>
      </c>
      <c r="C292" s="10" t="s">
        <v>1004</v>
      </c>
      <c r="D292" s="34">
        <f t="shared" si="6"/>
        <v>5</v>
      </c>
      <c r="E292" s="9">
        <v>0</v>
      </c>
      <c r="F292" s="9">
        <v>0</v>
      </c>
      <c r="G292" s="9">
        <v>0</v>
      </c>
      <c r="H292" s="9">
        <v>0</v>
      </c>
      <c r="I292" s="9">
        <v>0</v>
      </c>
      <c r="J292" s="9">
        <v>0</v>
      </c>
      <c r="K292" s="9">
        <v>0</v>
      </c>
      <c r="L292" s="9">
        <v>0</v>
      </c>
      <c r="M292" s="9">
        <v>0</v>
      </c>
      <c r="N292" s="9">
        <v>0</v>
      </c>
      <c r="O292" s="9">
        <v>0</v>
      </c>
      <c r="P292" s="9">
        <v>0</v>
      </c>
      <c r="Q292" s="9">
        <v>0</v>
      </c>
      <c r="R292" s="9">
        <v>0</v>
      </c>
      <c r="S292" s="9">
        <v>0</v>
      </c>
      <c r="T292" s="9">
        <v>0</v>
      </c>
      <c r="U292" s="9">
        <v>0</v>
      </c>
      <c r="V292" s="9">
        <v>0</v>
      </c>
      <c r="W292" s="9">
        <v>0</v>
      </c>
      <c r="X292" s="9">
        <v>0</v>
      </c>
      <c r="Y292" s="9">
        <v>0</v>
      </c>
      <c r="Z292" s="9">
        <v>0</v>
      </c>
      <c r="AA292" s="9">
        <v>0</v>
      </c>
      <c r="AB292" s="9">
        <v>0</v>
      </c>
      <c r="AC292" s="9">
        <v>0</v>
      </c>
      <c r="AD292" s="9">
        <v>0</v>
      </c>
      <c r="AE292" s="9">
        <v>0</v>
      </c>
      <c r="AF292" s="9">
        <v>0</v>
      </c>
      <c r="AG292" s="9">
        <v>0</v>
      </c>
      <c r="AH292" s="9">
        <v>0</v>
      </c>
      <c r="AI292" s="9">
        <v>0</v>
      </c>
      <c r="AJ292" s="9">
        <v>0</v>
      </c>
      <c r="AK292" s="9">
        <v>0</v>
      </c>
      <c r="AL292" s="9">
        <v>0</v>
      </c>
      <c r="AM292" s="9">
        <v>0</v>
      </c>
      <c r="AN292" s="9">
        <v>0</v>
      </c>
      <c r="AO292" s="9">
        <v>0</v>
      </c>
      <c r="AP292" s="9">
        <v>0</v>
      </c>
      <c r="AQ292" s="9">
        <v>0</v>
      </c>
      <c r="AR292" s="9">
        <v>0</v>
      </c>
      <c r="AS292" s="9">
        <v>0</v>
      </c>
      <c r="AT292" s="9">
        <v>0</v>
      </c>
      <c r="AU292" s="9">
        <v>0</v>
      </c>
      <c r="AV292" s="9">
        <v>1</v>
      </c>
      <c r="AW292" s="9">
        <v>1</v>
      </c>
      <c r="AX292" s="9">
        <v>1</v>
      </c>
      <c r="AY292" s="9">
        <v>1</v>
      </c>
      <c r="AZ292" s="9">
        <v>2</v>
      </c>
      <c r="BA292" s="9">
        <v>2</v>
      </c>
      <c r="BB292" s="9">
        <v>2</v>
      </c>
      <c r="BC292" s="9">
        <v>2</v>
      </c>
      <c r="BD292" s="9">
        <v>2</v>
      </c>
      <c r="BE292" s="9">
        <v>2</v>
      </c>
      <c r="BF292" s="9">
        <v>4</v>
      </c>
      <c r="BG292" s="9">
        <v>5</v>
      </c>
      <c r="BH292" s="9">
        <v>5</v>
      </c>
      <c r="BI292" s="9">
        <v>3</v>
      </c>
      <c r="BJ292" s="9">
        <v>3</v>
      </c>
      <c r="BK292" s="9">
        <v>3</v>
      </c>
      <c r="BL292" s="9">
        <v>3</v>
      </c>
      <c r="BM292" s="9">
        <v>3</v>
      </c>
      <c r="BN292" s="9">
        <v>3</v>
      </c>
      <c r="BO292" s="9">
        <v>1</v>
      </c>
      <c r="BP292" s="10">
        <v>1</v>
      </c>
      <c r="BQ292">
        <v>3</v>
      </c>
      <c r="BR292">
        <v>3</v>
      </c>
    </row>
    <row r="293" spans="1:70" x14ac:dyDescent="0.35">
      <c r="A293" s="8" t="s">
        <v>261</v>
      </c>
      <c r="B293" s="9" t="s">
        <v>318</v>
      </c>
      <c r="C293" s="10" t="s">
        <v>1005</v>
      </c>
      <c r="D293" s="34">
        <f t="shared" si="6"/>
        <v>112</v>
      </c>
      <c r="E293" s="9">
        <v>0</v>
      </c>
      <c r="F293" s="9">
        <v>0</v>
      </c>
      <c r="G293" s="9">
        <v>2</v>
      </c>
      <c r="H293" s="9">
        <v>3</v>
      </c>
      <c r="I293" s="9">
        <v>3</v>
      </c>
      <c r="J293" s="9">
        <v>5</v>
      </c>
      <c r="K293" s="9">
        <v>4</v>
      </c>
      <c r="L293" s="9">
        <v>5</v>
      </c>
      <c r="M293" s="9">
        <v>3</v>
      </c>
      <c r="N293" s="9">
        <v>6</v>
      </c>
      <c r="O293" s="9">
        <v>7</v>
      </c>
      <c r="P293" s="9">
        <v>7</v>
      </c>
      <c r="Q293" s="9">
        <v>7</v>
      </c>
      <c r="R293" s="9">
        <v>7</v>
      </c>
      <c r="S293" s="9">
        <v>6</v>
      </c>
      <c r="T293" s="9">
        <v>8</v>
      </c>
      <c r="U293" s="9">
        <v>6</v>
      </c>
      <c r="V293" s="9">
        <v>9</v>
      </c>
      <c r="W293" s="9">
        <v>12</v>
      </c>
      <c r="X293" s="9">
        <v>13</v>
      </c>
      <c r="Y293" s="9">
        <v>14</v>
      </c>
      <c r="Z293" s="9">
        <v>11</v>
      </c>
      <c r="AA293" s="9">
        <v>12</v>
      </c>
      <c r="AB293" s="9">
        <v>9</v>
      </c>
      <c r="AC293" s="9">
        <v>10</v>
      </c>
      <c r="AD293" s="9">
        <v>8</v>
      </c>
      <c r="AE293" s="9">
        <v>10</v>
      </c>
      <c r="AF293" s="9">
        <v>12</v>
      </c>
      <c r="AG293" s="9">
        <v>16</v>
      </c>
      <c r="AH293" s="9">
        <v>16</v>
      </c>
      <c r="AI293" s="9">
        <v>22</v>
      </c>
      <c r="AJ293" s="9">
        <v>26</v>
      </c>
      <c r="AK293" s="9">
        <v>27</v>
      </c>
      <c r="AL293" s="9">
        <v>21</v>
      </c>
      <c r="AM293" s="9">
        <v>27</v>
      </c>
      <c r="AN293" s="9">
        <v>32</v>
      </c>
      <c r="AO293" s="9">
        <v>31</v>
      </c>
      <c r="AP293" s="9">
        <v>30</v>
      </c>
      <c r="AQ293" s="9">
        <v>30</v>
      </c>
      <c r="AR293" s="9">
        <v>36</v>
      </c>
      <c r="AS293" s="9">
        <v>39</v>
      </c>
      <c r="AT293" s="9">
        <v>51</v>
      </c>
      <c r="AU293" s="9">
        <v>54</v>
      </c>
      <c r="AV293" s="9">
        <v>58</v>
      </c>
      <c r="AW293" s="9">
        <v>63</v>
      </c>
      <c r="AX293" s="9">
        <v>67</v>
      </c>
      <c r="AY293" s="9">
        <v>64</v>
      </c>
      <c r="AZ293" s="9">
        <v>66</v>
      </c>
      <c r="BA293" s="9">
        <v>67</v>
      </c>
      <c r="BB293" s="9">
        <v>68</v>
      </c>
      <c r="BC293" s="9">
        <v>62</v>
      </c>
      <c r="BD293" s="9">
        <v>71</v>
      </c>
      <c r="BE293" s="9">
        <v>68</v>
      </c>
      <c r="BF293" s="9">
        <v>68</v>
      </c>
      <c r="BG293" s="9">
        <v>75</v>
      </c>
      <c r="BH293" s="9">
        <v>87</v>
      </c>
      <c r="BI293" s="9">
        <v>91</v>
      </c>
      <c r="BJ293" s="9">
        <v>86</v>
      </c>
      <c r="BK293" s="9">
        <v>84</v>
      </c>
      <c r="BL293" s="9">
        <v>89</v>
      </c>
      <c r="BM293" s="9">
        <v>88</v>
      </c>
      <c r="BN293" s="9">
        <v>92</v>
      </c>
      <c r="BO293" s="9">
        <v>100</v>
      </c>
      <c r="BP293" s="10">
        <v>104</v>
      </c>
      <c r="BQ293">
        <v>112</v>
      </c>
      <c r="BR293">
        <v>112</v>
      </c>
    </row>
    <row r="294" spans="1:70" x14ac:dyDescent="0.35">
      <c r="A294" s="8" t="s">
        <v>261</v>
      </c>
      <c r="B294" s="9" t="s">
        <v>320</v>
      </c>
      <c r="C294" s="10" t="s">
        <v>1006</v>
      </c>
      <c r="D294" s="34">
        <f t="shared" si="6"/>
        <v>119</v>
      </c>
      <c r="E294" s="9">
        <v>0</v>
      </c>
      <c r="F294" s="9">
        <v>0</v>
      </c>
      <c r="G294" s="9">
        <v>0</v>
      </c>
      <c r="H294" s="9">
        <v>0</v>
      </c>
      <c r="I294" s="9">
        <v>0</v>
      </c>
      <c r="J294" s="9">
        <v>1</v>
      </c>
      <c r="K294" s="9">
        <v>1</v>
      </c>
      <c r="L294" s="9">
        <v>1</v>
      </c>
      <c r="M294" s="9">
        <v>2</v>
      </c>
      <c r="N294" s="9">
        <v>2</v>
      </c>
      <c r="O294" s="9">
        <v>1</v>
      </c>
      <c r="P294" s="9">
        <v>1</v>
      </c>
      <c r="Q294" s="9">
        <v>1</v>
      </c>
      <c r="R294" s="9">
        <v>1</v>
      </c>
      <c r="S294" s="9">
        <v>1</v>
      </c>
      <c r="T294" s="9">
        <v>1</v>
      </c>
      <c r="U294" s="9">
        <v>1</v>
      </c>
      <c r="V294" s="9">
        <v>0</v>
      </c>
      <c r="W294" s="9">
        <v>2</v>
      </c>
      <c r="X294" s="9">
        <v>5</v>
      </c>
      <c r="Y294" s="9">
        <v>5</v>
      </c>
      <c r="Z294" s="9">
        <v>6</v>
      </c>
      <c r="AA294" s="9">
        <v>6</v>
      </c>
      <c r="AB294" s="9">
        <v>5</v>
      </c>
      <c r="AC294" s="9">
        <v>5</v>
      </c>
      <c r="AD294" s="9">
        <v>6</v>
      </c>
      <c r="AE294" s="9">
        <v>6</v>
      </c>
      <c r="AF294" s="9">
        <v>5</v>
      </c>
      <c r="AG294" s="9">
        <v>7</v>
      </c>
      <c r="AH294" s="9">
        <v>2</v>
      </c>
      <c r="AI294" s="9">
        <v>3</v>
      </c>
      <c r="AJ294" s="9">
        <v>3</v>
      </c>
      <c r="AK294" s="9">
        <v>5</v>
      </c>
      <c r="AL294" s="9">
        <v>4</v>
      </c>
      <c r="AM294" s="9">
        <v>5</v>
      </c>
      <c r="AN294" s="9">
        <v>8</v>
      </c>
      <c r="AO294" s="9">
        <v>11</v>
      </c>
      <c r="AP294" s="9">
        <v>13</v>
      </c>
      <c r="AQ294" s="9">
        <v>13</v>
      </c>
      <c r="AR294" s="9">
        <v>14</v>
      </c>
      <c r="AS294" s="9">
        <v>15</v>
      </c>
      <c r="AT294" s="9">
        <v>14</v>
      </c>
      <c r="AU294" s="9">
        <v>16</v>
      </c>
      <c r="AV294" s="9">
        <v>19</v>
      </c>
      <c r="AW294" s="9">
        <v>21</v>
      </c>
      <c r="AX294" s="9">
        <v>25</v>
      </c>
      <c r="AY294" s="9">
        <v>27</v>
      </c>
      <c r="AZ294" s="9">
        <v>25</v>
      </c>
      <c r="BA294" s="9">
        <v>24</v>
      </c>
      <c r="BB294" s="9">
        <v>22</v>
      </c>
      <c r="BC294" s="9">
        <v>26</v>
      </c>
      <c r="BD294" s="9">
        <v>26</v>
      </c>
      <c r="BE294" s="9">
        <v>29</v>
      </c>
      <c r="BF294" s="9">
        <v>38</v>
      </c>
      <c r="BG294" s="9">
        <v>41</v>
      </c>
      <c r="BH294" s="9">
        <v>51</v>
      </c>
      <c r="BI294" s="9">
        <v>54</v>
      </c>
      <c r="BJ294" s="9">
        <v>64</v>
      </c>
      <c r="BK294" s="9">
        <v>64</v>
      </c>
      <c r="BL294" s="9">
        <v>68</v>
      </c>
      <c r="BM294" s="9">
        <v>72</v>
      </c>
      <c r="BN294" s="9">
        <v>74</v>
      </c>
      <c r="BO294" s="9">
        <v>79</v>
      </c>
      <c r="BP294" s="10">
        <v>96</v>
      </c>
      <c r="BQ294">
        <v>108</v>
      </c>
      <c r="BR294">
        <v>119</v>
      </c>
    </row>
    <row r="295" spans="1:70" x14ac:dyDescent="0.35">
      <c r="A295" s="8" t="s">
        <v>261</v>
      </c>
      <c r="B295" s="9" t="s">
        <v>322</v>
      </c>
      <c r="C295" s="10" t="s">
        <v>1007</v>
      </c>
      <c r="D295" s="34">
        <f t="shared" si="6"/>
        <v>111</v>
      </c>
      <c r="E295" s="9">
        <v>7</v>
      </c>
      <c r="F295" s="9">
        <v>6</v>
      </c>
      <c r="G295" s="9">
        <v>5</v>
      </c>
      <c r="H295" s="9">
        <v>4</v>
      </c>
      <c r="I295" s="9">
        <v>3</v>
      </c>
      <c r="J295" s="9">
        <v>4</v>
      </c>
      <c r="K295" s="9">
        <v>4</v>
      </c>
      <c r="L295" s="9">
        <v>4</v>
      </c>
      <c r="M295" s="9">
        <v>4</v>
      </c>
      <c r="N295" s="9">
        <v>3</v>
      </c>
      <c r="O295" s="9">
        <v>5</v>
      </c>
      <c r="P295" s="9">
        <v>4</v>
      </c>
      <c r="Q295" s="9">
        <v>3</v>
      </c>
      <c r="R295" s="9">
        <v>3</v>
      </c>
      <c r="S295" s="9">
        <v>4</v>
      </c>
      <c r="T295" s="9">
        <v>6</v>
      </c>
      <c r="U295" s="9">
        <v>7</v>
      </c>
      <c r="V295" s="9">
        <v>8</v>
      </c>
      <c r="W295" s="9">
        <v>7</v>
      </c>
      <c r="X295" s="9">
        <v>7</v>
      </c>
      <c r="Y295" s="9">
        <v>10</v>
      </c>
      <c r="Z295" s="9">
        <v>14</v>
      </c>
      <c r="AA295" s="9">
        <v>15</v>
      </c>
      <c r="AB295" s="9">
        <v>15</v>
      </c>
      <c r="AC295" s="9">
        <v>20</v>
      </c>
      <c r="AD295" s="9">
        <v>17</v>
      </c>
      <c r="AE295" s="9">
        <v>23</v>
      </c>
      <c r="AF295" s="9">
        <v>27</v>
      </c>
      <c r="AG295" s="9">
        <v>22</v>
      </c>
      <c r="AH295" s="9">
        <v>20</v>
      </c>
      <c r="AI295" s="9">
        <v>19</v>
      </c>
      <c r="AJ295" s="9">
        <v>23</v>
      </c>
      <c r="AK295" s="9">
        <v>21</v>
      </c>
      <c r="AL295" s="9">
        <v>20</v>
      </c>
      <c r="AM295" s="9">
        <v>28</v>
      </c>
      <c r="AN295" s="9">
        <v>33</v>
      </c>
      <c r="AO295" s="9">
        <v>31</v>
      </c>
      <c r="AP295" s="9">
        <v>29</v>
      </c>
      <c r="AQ295" s="9">
        <v>28</v>
      </c>
      <c r="AR295" s="9">
        <v>30</v>
      </c>
      <c r="AS295" s="9">
        <v>35</v>
      </c>
      <c r="AT295" s="9">
        <v>38</v>
      </c>
      <c r="AU295" s="9">
        <v>39</v>
      </c>
      <c r="AV295" s="9">
        <v>40</v>
      </c>
      <c r="AW295" s="9">
        <v>37</v>
      </c>
      <c r="AX295" s="9">
        <v>41</v>
      </c>
      <c r="AY295" s="9">
        <v>35</v>
      </c>
      <c r="AZ295" s="9">
        <v>40</v>
      </c>
      <c r="BA295" s="9">
        <v>30</v>
      </c>
      <c r="BB295" s="9">
        <v>50</v>
      </c>
      <c r="BC295" s="9">
        <v>48</v>
      </c>
      <c r="BD295" s="9">
        <v>55</v>
      </c>
      <c r="BE295" s="9">
        <v>61</v>
      </c>
      <c r="BF295" s="9">
        <v>72</v>
      </c>
      <c r="BG295" s="9">
        <v>74</v>
      </c>
      <c r="BH295" s="9">
        <v>82</v>
      </c>
      <c r="BI295" s="9">
        <v>86</v>
      </c>
      <c r="BJ295" s="9">
        <v>94</v>
      </c>
      <c r="BK295" s="9">
        <v>93</v>
      </c>
      <c r="BL295" s="9">
        <v>91</v>
      </c>
      <c r="BM295" s="9">
        <v>95</v>
      </c>
      <c r="BN295" s="9">
        <v>97</v>
      </c>
      <c r="BO295" s="9">
        <v>111</v>
      </c>
      <c r="BP295" s="10">
        <v>111</v>
      </c>
      <c r="BQ295">
        <v>106</v>
      </c>
      <c r="BR295">
        <v>107</v>
      </c>
    </row>
    <row r="296" spans="1:70" x14ac:dyDescent="0.35">
      <c r="A296" s="8" t="s">
        <v>261</v>
      </c>
      <c r="B296" s="9" t="s">
        <v>324</v>
      </c>
      <c r="C296" s="10" t="s">
        <v>1008</v>
      </c>
      <c r="D296" s="34">
        <f t="shared" si="6"/>
        <v>17</v>
      </c>
      <c r="E296" s="9">
        <v>0</v>
      </c>
      <c r="F296" s="9">
        <v>0</v>
      </c>
      <c r="G296" s="9">
        <v>0</v>
      </c>
      <c r="H296" s="9">
        <v>0</v>
      </c>
      <c r="I296" s="9">
        <v>0</v>
      </c>
      <c r="J296" s="9">
        <v>0</v>
      </c>
      <c r="K296" s="9">
        <v>0</v>
      </c>
      <c r="L296" s="9">
        <v>0</v>
      </c>
      <c r="M296" s="9">
        <v>0</v>
      </c>
      <c r="N296" s="9">
        <v>0</v>
      </c>
      <c r="O296" s="9">
        <v>0</v>
      </c>
      <c r="P296" s="9">
        <v>0</v>
      </c>
      <c r="Q296" s="9">
        <v>0</v>
      </c>
      <c r="R296" s="9">
        <v>1</v>
      </c>
      <c r="S296" s="9">
        <v>1</v>
      </c>
      <c r="T296" s="9">
        <v>1</v>
      </c>
      <c r="U296" s="9">
        <v>1</v>
      </c>
      <c r="V296" s="9">
        <v>1</v>
      </c>
      <c r="W296" s="9">
        <v>0</v>
      </c>
      <c r="X296" s="9">
        <v>0</v>
      </c>
      <c r="Y296" s="9">
        <v>0</v>
      </c>
      <c r="Z296" s="9">
        <v>0</v>
      </c>
      <c r="AA296" s="9">
        <v>0</v>
      </c>
      <c r="AB296" s="9">
        <v>0</v>
      </c>
      <c r="AC296" s="9">
        <v>0</v>
      </c>
      <c r="AD296" s="9">
        <v>0</v>
      </c>
      <c r="AE296" s="9">
        <v>1</v>
      </c>
      <c r="AF296" s="9">
        <v>1</v>
      </c>
      <c r="AG296" s="9">
        <v>2</v>
      </c>
      <c r="AH296" s="9">
        <v>1</v>
      </c>
      <c r="AI296" s="9">
        <v>1</v>
      </c>
      <c r="AJ296" s="9">
        <v>12</v>
      </c>
      <c r="AK296" s="9">
        <v>11</v>
      </c>
      <c r="AL296" s="9">
        <v>11</v>
      </c>
      <c r="AM296" s="9">
        <v>13</v>
      </c>
      <c r="AN296" s="9">
        <v>13</v>
      </c>
      <c r="AO296" s="9">
        <v>13</v>
      </c>
      <c r="AP296" s="9">
        <v>14</v>
      </c>
      <c r="AQ296" s="9">
        <v>17</v>
      </c>
      <c r="AR296" s="9">
        <v>17</v>
      </c>
      <c r="AS296" s="9">
        <v>16</v>
      </c>
      <c r="AT296" s="9">
        <v>15</v>
      </c>
      <c r="AU296" s="9">
        <v>17</v>
      </c>
      <c r="AV296" s="9">
        <v>16</v>
      </c>
      <c r="AW296" s="9">
        <v>16</v>
      </c>
      <c r="AX296" s="9">
        <v>17</v>
      </c>
      <c r="AY296" s="9">
        <v>11</v>
      </c>
      <c r="AZ296" s="9">
        <v>11</v>
      </c>
      <c r="BA296" s="9">
        <v>7</v>
      </c>
      <c r="BB296" s="9">
        <v>5</v>
      </c>
      <c r="BC296" s="9">
        <v>5</v>
      </c>
      <c r="BD296" s="9">
        <v>6</v>
      </c>
      <c r="BE296" s="9">
        <v>7</v>
      </c>
      <c r="BF296" s="9">
        <v>7</v>
      </c>
      <c r="BG296" s="9">
        <v>3</v>
      </c>
      <c r="BH296" s="9">
        <v>4</v>
      </c>
      <c r="BI296" s="9">
        <v>5</v>
      </c>
      <c r="BJ296" s="9">
        <v>6</v>
      </c>
      <c r="BK296" s="9">
        <v>5</v>
      </c>
      <c r="BL296" s="9">
        <v>4</v>
      </c>
      <c r="BM296" s="9">
        <v>4</v>
      </c>
      <c r="BN296" s="9">
        <v>4</v>
      </c>
      <c r="BO296" s="9">
        <v>3</v>
      </c>
      <c r="BP296" s="10">
        <v>3</v>
      </c>
      <c r="BQ296">
        <v>1</v>
      </c>
      <c r="BR296">
        <v>1</v>
      </c>
    </row>
    <row r="297" spans="1:70" x14ac:dyDescent="0.35">
      <c r="A297" s="8" t="s">
        <v>261</v>
      </c>
      <c r="B297" s="9" t="s">
        <v>326</v>
      </c>
      <c r="C297" s="10" t="s">
        <v>1009</v>
      </c>
      <c r="D297" s="34">
        <f t="shared" si="6"/>
        <v>13</v>
      </c>
      <c r="E297" s="9">
        <v>0</v>
      </c>
      <c r="F297" s="9">
        <v>0</v>
      </c>
      <c r="G297" s="9">
        <v>0</v>
      </c>
      <c r="H297" s="9">
        <v>0</v>
      </c>
      <c r="I297" s="9">
        <v>0</v>
      </c>
      <c r="J297" s="9">
        <v>0</v>
      </c>
      <c r="K297" s="9">
        <v>0</v>
      </c>
      <c r="L297" s="9">
        <v>0</v>
      </c>
      <c r="M297" s="9">
        <v>0</v>
      </c>
      <c r="N297" s="9">
        <v>0</v>
      </c>
      <c r="O297" s="9">
        <v>0</v>
      </c>
      <c r="P297" s="9">
        <v>0</v>
      </c>
      <c r="Q297" s="9">
        <v>0</v>
      </c>
      <c r="R297" s="9">
        <v>0</v>
      </c>
      <c r="S297" s="9">
        <v>0</v>
      </c>
      <c r="T297" s="9">
        <v>0</v>
      </c>
      <c r="U297" s="9">
        <v>0</v>
      </c>
      <c r="V297" s="9">
        <v>0</v>
      </c>
      <c r="W297" s="9">
        <v>0</v>
      </c>
      <c r="X297" s="9">
        <v>0</v>
      </c>
      <c r="Y297" s="9">
        <v>0</v>
      </c>
      <c r="Z297" s="9">
        <v>0</v>
      </c>
      <c r="AA297" s="9">
        <v>0</v>
      </c>
      <c r="AB297" s="9">
        <v>0</v>
      </c>
      <c r="AC297" s="9">
        <v>0</v>
      </c>
      <c r="AD297" s="9">
        <v>0</v>
      </c>
      <c r="AE297" s="9">
        <v>0</v>
      </c>
      <c r="AF297" s="9">
        <v>0</v>
      </c>
      <c r="AG297" s="9">
        <v>0</v>
      </c>
      <c r="AH297" s="9">
        <v>1</v>
      </c>
      <c r="AI297" s="9">
        <v>1</v>
      </c>
      <c r="AJ297" s="9">
        <v>1</v>
      </c>
      <c r="AK297" s="9">
        <v>1</v>
      </c>
      <c r="AL297" s="9">
        <v>1</v>
      </c>
      <c r="AM297" s="9">
        <v>1</v>
      </c>
      <c r="AN297" s="9">
        <v>1</v>
      </c>
      <c r="AO297" s="9">
        <v>1</v>
      </c>
      <c r="AP297" s="9">
        <v>1</v>
      </c>
      <c r="AQ297" s="9">
        <v>1</v>
      </c>
      <c r="AR297" s="9">
        <v>1</v>
      </c>
      <c r="AS297" s="9">
        <v>1</v>
      </c>
      <c r="AT297" s="9">
        <v>1</v>
      </c>
      <c r="AU297" s="9">
        <v>3</v>
      </c>
      <c r="AV297" s="9">
        <v>6</v>
      </c>
      <c r="AW297" s="9">
        <v>6</v>
      </c>
      <c r="AX297" s="9">
        <v>8</v>
      </c>
      <c r="AY297" s="9">
        <v>9</v>
      </c>
      <c r="AZ297" s="9">
        <v>9</v>
      </c>
      <c r="BA297" s="9">
        <v>9</v>
      </c>
      <c r="BB297" s="9">
        <v>9</v>
      </c>
      <c r="BC297" s="9">
        <v>10</v>
      </c>
      <c r="BD297" s="9">
        <v>10</v>
      </c>
      <c r="BE297" s="9">
        <v>10</v>
      </c>
      <c r="BF297" s="9">
        <v>10</v>
      </c>
      <c r="BG297" s="9">
        <v>11</v>
      </c>
      <c r="BH297" s="9">
        <v>12</v>
      </c>
      <c r="BI297" s="9">
        <v>7</v>
      </c>
      <c r="BJ297" s="9">
        <v>7</v>
      </c>
      <c r="BK297" s="9">
        <v>6</v>
      </c>
      <c r="BL297" s="9">
        <v>6</v>
      </c>
      <c r="BM297" s="9">
        <v>6</v>
      </c>
      <c r="BN297" s="9">
        <v>8</v>
      </c>
      <c r="BO297" s="9">
        <v>10</v>
      </c>
      <c r="BP297" s="10">
        <v>10</v>
      </c>
      <c r="BQ297">
        <v>13</v>
      </c>
      <c r="BR297">
        <v>13</v>
      </c>
    </row>
    <row r="298" spans="1:70" x14ac:dyDescent="0.35">
      <c r="A298" s="8" t="s">
        <v>261</v>
      </c>
      <c r="B298" s="9" t="s">
        <v>328</v>
      </c>
      <c r="C298" s="10" t="s">
        <v>1010</v>
      </c>
      <c r="D298" s="34">
        <f t="shared" si="6"/>
        <v>10</v>
      </c>
      <c r="E298" s="9">
        <v>0</v>
      </c>
      <c r="F298" s="9">
        <v>0</v>
      </c>
      <c r="G298" s="9">
        <v>0</v>
      </c>
      <c r="H298" s="9">
        <v>0</v>
      </c>
      <c r="I298" s="9">
        <v>0</v>
      </c>
      <c r="J298" s="9">
        <v>0</v>
      </c>
      <c r="K298" s="9">
        <v>0</v>
      </c>
      <c r="L298" s="9">
        <v>0</v>
      </c>
      <c r="M298" s="9">
        <v>0</v>
      </c>
      <c r="N298" s="9">
        <v>0</v>
      </c>
      <c r="O298" s="9">
        <v>0</v>
      </c>
      <c r="P298" s="9">
        <v>0</v>
      </c>
      <c r="Q298" s="9">
        <v>0</v>
      </c>
      <c r="R298" s="9">
        <v>0</v>
      </c>
      <c r="S298" s="9">
        <v>1</v>
      </c>
      <c r="T298" s="9">
        <v>1</v>
      </c>
      <c r="U298" s="9">
        <v>1</v>
      </c>
      <c r="V298" s="9">
        <v>1</v>
      </c>
      <c r="W298" s="9">
        <v>1</v>
      </c>
      <c r="X298" s="9">
        <v>1</v>
      </c>
      <c r="Y298" s="9">
        <v>0</v>
      </c>
      <c r="Z298" s="9">
        <v>0</v>
      </c>
      <c r="AA298" s="9">
        <v>0</v>
      </c>
      <c r="AB298" s="9">
        <v>0</v>
      </c>
      <c r="AC298" s="9">
        <v>0</v>
      </c>
      <c r="AD298" s="9">
        <v>0</v>
      </c>
      <c r="AE298" s="9">
        <v>0</v>
      </c>
      <c r="AF298" s="9">
        <v>1</v>
      </c>
      <c r="AG298" s="9">
        <v>1</v>
      </c>
      <c r="AH298" s="9">
        <v>1</v>
      </c>
      <c r="AI298" s="9">
        <v>1</v>
      </c>
      <c r="AJ298" s="9">
        <v>0</v>
      </c>
      <c r="AK298" s="9">
        <v>0</v>
      </c>
      <c r="AL298" s="9">
        <v>0</v>
      </c>
      <c r="AM298" s="9">
        <v>1</v>
      </c>
      <c r="AN298" s="9">
        <v>2</v>
      </c>
      <c r="AO298" s="9">
        <v>2</v>
      </c>
      <c r="AP298" s="9">
        <v>3</v>
      </c>
      <c r="AQ298" s="9">
        <v>4</v>
      </c>
      <c r="AR298" s="9">
        <v>4</v>
      </c>
      <c r="AS298" s="9">
        <v>4</v>
      </c>
      <c r="AT298" s="9">
        <v>4</v>
      </c>
      <c r="AU298" s="9">
        <v>4</v>
      </c>
      <c r="AV298" s="9">
        <v>4</v>
      </c>
      <c r="AW298" s="9">
        <v>5</v>
      </c>
      <c r="AX298" s="9">
        <v>6</v>
      </c>
      <c r="AY298" s="9">
        <v>8</v>
      </c>
      <c r="AZ298" s="9">
        <v>8</v>
      </c>
      <c r="BA298" s="9">
        <v>8</v>
      </c>
      <c r="BB298" s="9">
        <v>8</v>
      </c>
      <c r="BC298" s="9">
        <v>7</v>
      </c>
      <c r="BD298" s="9">
        <v>7</v>
      </c>
      <c r="BE298" s="9">
        <v>9</v>
      </c>
      <c r="BF298" s="9">
        <v>9</v>
      </c>
      <c r="BG298" s="9">
        <v>10</v>
      </c>
      <c r="BH298" s="9">
        <v>6</v>
      </c>
      <c r="BI298" s="9">
        <v>7</v>
      </c>
      <c r="BJ298" s="9">
        <v>7</v>
      </c>
      <c r="BK298" s="9">
        <v>7</v>
      </c>
      <c r="BL298" s="9">
        <v>7</v>
      </c>
      <c r="BM298" s="9">
        <v>8</v>
      </c>
      <c r="BN298" s="9">
        <v>6</v>
      </c>
      <c r="BO298" s="9">
        <v>6</v>
      </c>
      <c r="BP298" s="10">
        <v>9</v>
      </c>
      <c r="BQ298">
        <v>8</v>
      </c>
      <c r="BR298">
        <v>10</v>
      </c>
    </row>
    <row r="299" spans="1:70" x14ac:dyDescent="0.35">
      <c r="A299" s="8" t="s">
        <v>261</v>
      </c>
      <c r="B299" s="9" t="s">
        <v>330</v>
      </c>
      <c r="C299" s="10" t="s">
        <v>1011</v>
      </c>
      <c r="D299" s="34">
        <f t="shared" si="6"/>
        <v>243</v>
      </c>
      <c r="E299" s="9">
        <v>10</v>
      </c>
      <c r="F299" s="9">
        <v>9</v>
      </c>
      <c r="G299" s="9">
        <v>9</v>
      </c>
      <c r="H299" s="9">
        <v>9</v>
      </c>
      <c r="I299" s="9">
        <v>8</v>
      </c>
      <c r="J299" s="9">
        <v>8</v>
      </c>
      <c r="K299" s="9">
        <v>8</v>
      </c>
      <c r="L299" s="9">
        <v>6</v>
      </c>
      <c r="M299" s="9">
        <v>6</v>
      </c>
      <c r="N299" s="9">
        <v>5</v>
      </c>
      <c r="O299" s="9">
        <v>6</v>
      </c>
      <c r="P299" s="9">
        <v>7</v>
      </c>
      <c r="Q299" s="9">
        <v>9</v>
      </c>
      <c r="R299" s="9">
        <v>10</v>
      </c>
      <c r="S299" s="9">
        <v>11</v>
      </c>
      <c r="T299" s="9">
        <v>15</v>
      </c>
      <c r="U299" s="9">
        <v>21</v>
      </c>
      <c r="V299" s="9">
        <v>20</v>
      </c>
      <c r="W299" s="9">
        <v>17</v>
      </c>
      <c r="X299" s="9">
        <v>17</v>
      </c>
      <c r="Y299" s="9">
        <v>24</v>
      </c>
      <c r="Z299" s="9">
        <v>24</v>
      </c>
      <c r="AA299" s="9">
        <v>25</v>
      </c>
      <c r="AB299" s="9">
        <v>27</v>
      </c>
      <c r="AC299" s="9">
        <v>27</v>
      </c>
      <c r="AD299" s="9">
        <v>30</v>
      </c>
      <c r="AE299" s="9">
        <v>28</v>
      </c>
      <c r="AF299" s="9">
        <v>30</v>
      </c>
      <c r="AG299" s="9">
        <v>44</v>
      </c>
      <c r="AH299" s="9">
        <v>34</v>
      </c>
      <c r="AI299" s="9">
        <v>34</v>
      </c>
      <c r="AJ299" s="9">
        <v>33</v>
      </c>
      <c r="AK299" s="9">
        <v>39</v>
      </c>
      <c r="AL299" s="9">
        <v>44</v>
      </c>
      <c r="AM299" s="9">
        <v>48</v>
      </c>
      <c r="AN299" s="9">
        <v>48</v>
      </c>
      <c r="AO299" s="9">
        <v>55</v>
      </c>
      <c r="AP299" s="9">
        <v>56</v>
      </c>
      <c r="AQ299" s="9">
        <v>51</v>
      </c>
      <c r="AR299" s="9">
        <v>53</v>
      </c>
      <c r="AS299" s="9">
        <v>62</v>
      </c>
      <c r="AT299" s="9">
        <v>67</v>
      </c>
      <c r="AU299" s="9">
        <v>67</v>
      </c>
      <c r="AV299" s="9">
        <v>64</v>
      </c>
      <c r="AW299" s="9">
        <v>65</v>
      </c>
      <c r="AX299" s="9">
        <v>64</v>
      </c>
      <c r="AY299" s="9">
        <v>68</v>
      </c>
      <c r="AZ299" s="9">
        <v>72</v>
      </c>
      <c r="BA299" s="9">
        <v>86</v>
      </c>
      <c r="BB299" s="9">
        <v>91</v>
      </c>
      <c r="BC299" s="9">
        <v>97</v>
      </c>
      <c r="BD299" s="9">
        <v>101</v>
      </c>
      <c r="BE299" s="9">
        <v>117</v>
      </c>
      <c r="BF299" s="9">
        <v>131</v>
      </c>
      <c r="BG299" s="9">
        <v>123</v>
      </c>
      <c r="BH299" s="9">
        <v>139</v>
      </c>
      <c r="BI299" s="9">
        <v>142</v>
      </c>
      <c r="BJ299" s="9">
        <v>148</v>
      </c>
      <c r="BK299" s="9">
        <v>148</v>
      </c>
      <c r="BL299" s="9">
        <v>162</v>
      </c>
      <c r="BM299" s="9">
        <v>166</v>
      </c>
      <c r="BN299" s="9">
        <v>174</v>
      </c>
      <c r="BO299" s="9">
        <v>182</v>
      </c>
      <c r="BP299" s="10">
        <v>190</v>
      </c>
      <c r="BQ299">
        <v>185</v>
      </c>
      <c r="BR299">
        <v>243</v>
      </c>
    </row>
    <row r="300" spans="1:70" x14ac:dyDescent="0.35">
      <c r="A300" s="8" t="s">
        <v>261</v>
      </c>
      <c r="B300" s="9" t="s">
        <v>332</v>
      </c>
      <c r="C300" s="10" t="s">
        <v>1012</v>
      </c>
      <c r="D300" s="34">
        <f t="shared" si="6"/>
        <v>17</v>
      </c>
      <c r="E300" s="9">
        <v>0</v>
      </c>
      <c r="F300" s="9">
        <v>0</v>
      </c>
      <c r="G300" s="9">
        <v>0</v>
      </c>
      <c r="H300" s="9">
        <v>0</v>
      </c>
      <c r="I300" s="9">
        <v>0</v>
      </c>
      <c r="J300" s="9">
        <v>0</v>
      </c>
      <c r="K300" s="9">
        <v>0</v>
      </c>
      <c r="L300" s="9">
        <v>0</v>
      </c>
      <c r="M300" s="9">
        <v>0</v>
      </c>
      <c r="N300" s="9">
        <v>0</v>
      </c>
      <c r="O300" s="9">
        <v>0</v>
      </c>
      <c r="P300" s="9">
        <v>1</v>
      </c>
      <c r="Q300" s="9">
        <v>1</v>
      </c>
      <c r="R300" s="9">
        <v>1</v>
      </c>
      <c r="S300" s="9">
        <v>1</v>
      </c>
      <c r="T300" s="9">
        <v>1</v>
      </c>
      <c r="U300" s="9">
        <v>1</v>
      </c>
      <c r="V300" s="9">
        <v>1</v>
      </c>
      <c r="W300" s="9">
        <v>1</v>
      </c>
      <c r="X300" s="9">
        <v>1</v>
      </c>
      <c r="Y300" s="9">
        <v>1</v>
      </c>
      <c r="Z300" s="9">
        <v>0</v>
      </c>
      <c r="AA300" s="9">
        <v>0</v>
      </c>
      <c r="AB300" s="9">
        <v>0</v>
      </c>
      <c r="AC300" s="9">
        <v>0</v>
      </c>
      <c r="AD300" s="9">
        <v>0</v>
      </c>
      <c r="AE300" s="9">
        <v>0</v>
      </c>
      <c r="AF300" s="9">
        <v>0</v>
      </c>
      <c r="AG300" s="9">
        <v>0</v>
      </c>
      <c r="AH300" s="9">
        <v>0</v>
      </c>
      <c r="AI300" s="9">
        <v>0</v>
      </c>
      <c r="AJ300" s="9">
        <v>1</v>
      </c>
      <c r="AK300" s="9">
        <v>1</v>
      </c>
      <c r="AL300" s="9">
        <v>1</v>
      </c>
      <c r="AM300" s="9">
        <v>1</v>
      </c>
      <c r="AN300" s="9">
        <v>1</v>
      </c>
      <c r="AO300" s="9">
        <v>1</v>
      </c>
      <c r="AP300" s="9">
        <v>1</v>
      </c>
      <c r="AQ300" s="9">
        <v>1</v>
      </c>
      <c r="AR300" s="9">
        <v>1</v>
      </c>
      <c r="AS300" s="9">
        <v>1</v>
      </c>
      <c r="AT300" s="9">
        <v>1</v>
      </c>
      <c r="AU300" s="9">
        <v>1</v>
      </c>
      <c r="AV300" s="9">
        <v>3</v>
      </c>
      <c r="AW300" s="9">
        <v>3</v>
      </c>
      <c r="AX300" s="9">
        <v>3</v>
      </c>
      <c r="AY300" s="9">
        <v>6</v>
      </c>
      <c r="AZ300" s="9">
        <v>6</v>
      </c>
      <c r="BA300" s="9">
        <v>6</v>
      </c>
      <c r="BB300" s="9">
        <v>6</v>
      </c>
      <c r="BC300" s="9">
        <v>8</v>
      </c>
      <c r="BD300" s="9">
        <v>8</v>
      </c>
      <c r="BE300" s="9">
        <v>8</v>
      </c>
      <c r="BF300" s="9">
        <v>8</v>
      </c>
      <c r="BG300" s="9">
        <v>8</v>
      </c>
      <c r="BH300" s="9">
        <v>8</v>
      </c>
      <c r="BI300" s="9">
        <v>9</v>
      </c>
      <c r="BJ300" s="9">
        <v>12</v>
      </c>
      <c r="BK300" s="9">
        <v>10</v>
      </c>
      <c r="BL300" s="9">
        <v>11</v>
      </c>
      <c r="BM300" s="9">
        <v>11</v>
      </c>
      <c r="BN300" s="9">
        <v>11</v>
      </c>
      <c r="BO300" s="9">
        <v>13</v>
      </c>
      <c r="BP300" s="10">
        <v>17</v>
      </c>
      <c r="BQ300">
        <v>16</v>
      </c>
      <c r="BR300">
        <v>15</v>
      </c>
    </row>
    <row r="301" spans="1:70" x14ac:dyDescent="0.35">
      <c r="A301" s="8" t="s">
        <v>261</v>
      </c>
      <c r="B301" s="9" t="s">
        <v>334</v>
      </c>
      <c r="C301" s="10" t="s">
        <v>1013</v>
      </c>
      <c r="D301" s="34">
        <f t="shared" si="6"/>
        <v>122</v>
      </c>
      <c r="E301" s="9">
        <v>3</v>
      </c>
      <c r="F301" s="9">
        <v>3</v>
      </c>
      <c r="G301" s="9">
        <v>5</v>
      </c>
      <c r="H301" s="9">
        <v>5</v>
      </c>
      <c r="I301" s="9">
        <v>5</v>
      </c>
      <c r="J301" s="9">
        <v>5</v>
      </c>
      <c r="K301" s="9">
        <v>3</v>
      </c>
      <c r="L301" s="9">
        <v>2</v>
      </c>
      <c r="M301" s="9">
        <v>2</v>
      </c>
      <c r="N301" s="9">
        <v>1</v>
      </c>
      <c r="O301" s="9">
        <v>3</v>
      </c>
      <c r="P301" s="9">
        <v>2</v>
      </c>
      <c r="Q301" s="9">
        <v>2</v>
      </c>
      <c r="R301" s="9">
        <v>4</v>
      </c>
      <c r="S301" s="9">
        <v>4</v>
      </c>
      <c r="T301" s="9">
        <v>4</v>
      </c>
      <c r="U301" s="9">
        <v>4</v>
      </c>
      <c r="V301" s="9">
        <v>6</v>
      </c>
      <c r="W301" s="9">
        <v>6</v>
      </c>
      <c r="X301" s="9">
        <v>6</v>
      </c>
      <c r="Y301" s="9">
        <v>8</v>
      </c>
      <c r="Z301" s="9">
        <v>9</v>
      </c>
      <c r="AA301" s="9">
        <v>8</v>
      </c>
      <c r="AB301" s="9">
        <v>5</v>
      </c>
      <c r="AC301" s="9">
        <v>10</v>
      </c>
      <c r="AD301" s="9">
        <v>10</v>
      </c>
      <c r="AE301" s="9">
        <v>10</v>
      </c>
      <c r="AF301" s="9">
        <v>18</v>
      </c>
      <c r="AG301" s="9">
        <v>18</v>
      </c>
      <c r="AH301" s="9">
        <v>26</v>
      </c>
      <c r="AI301" s="9">
        <v>25</v>
      </c>
      <c r="AJ301" s="9">
        <v>28</v>
      </c>
      <c r="AK301" s="9">
        <v>28</v>
      </c>
      <c r="AL301" s="9">
        <v>28</v>
      </c>
      <c r="AM301" s="9">
        <v>39</v>
      </c>
      <c r="AN301" s="9">
        <v>41</v>
      </c>
      <c r="AO301" s="9">
        <v>37</v>
      </c>
      <c r="AP301" s="9">
        <v>45</v>
      </c>
      <c r="AQ301" s="9">
        <v>45</v>
      </c>
      <c r="AR301" s="9">
        <v>44</v>
      </c>
      <c r="AS301" s="9">
        <v>48</v>
      </c>
      <c r="AT301" s="9">
        <v>54</v>
      </c>
      <c r="AU301" s="9">
        <v>57</v>
      </c>
      <c r="AV301" s="9">
        <v>52</v>
      </c>
      <c r="AW301" s="9">
        <v>50</v>
      </c>
      <c r="AX301" s="9">
        <v>51</v>
      </c>
      <c r="AY301" s="9">
        <v>47</v>
      </c>
      <c r="AZ301" s="9">
        <v>51</v>
      </c>
      <c r="BA301" s="9">
        <v>54</v>
      </c>
      <c r="BB301" s="9">
        <v>52</v>
      </c>
      <c r="BC301" s="9">
        <v>53</v>
      </c>
      <c r="BD301" s="9">
        <v>55</v>
      </c>
      <c r="BE301" s="9">
        <v>58</v>
      </c>
      <c r="BF301" s="9">
        <v>75</v>
      </c>
      <c r="BG301" s="9">
        <v>69</v>
      </c>
      <c r="BH301" s="9">
        <v>82</v>
      </c>
      <c r="BI301" s="9">
        <v>87</v>
      </c>
      <c r="BJ301" s="9">
        <v>86</v>
      </c>
      <c r="BK301" s="9">
        <v>84</v>
      </c>
      <c r="BL301" s="9">
        <v>90</v>
      </c>
      <c r="BM301" s="9">
        <v>103</v>
      </c>
      <c r="BN301" s="9">
        <v>111</v>
      </c>
      <c r="BO301" s="9">
        <v>112</v>
      </c>
      <c r="BP301" s="10">
        <v>111</v>
      </c>
      <c r="BQ301">
        <v>122</v>
      </c>
      <c r="BR301">
        <v>119</v>
      </c>
    </row>
    <row r="302" spans="1:70" x14ac:dyDescent="0.35">
      <c r="A302" s="8" t="s">
        <v>261</v>
      </c>
      <c r="B302" s="9" t="s">
        <v>336</v>
      </c>
      <c r="C302" s="10" t="s">
        <v>1014</v>
      </c>
      <c r="D302" s="34">
        <f t="shared" si="6"/>
        <v>0</v>
      </c>
      <c r="E302" s="9">
        <v>0</v>
      </c>
      <c r="F302" s="9">
        <v>0</v>
      </c>
      <c r="G302" s="9">
        <v>0</v>
      </c>
      <c r="H302" s="9">
        <v>0</v>
      </c>
      <c r="I302" s="9">
        <v>0</v>
      </c>
      <c r="J302" s="9">
        <v>0</v>
      </c>
      <c r="K302" s="9">
        <v>0</v>
      </c>
      <c r="L302" s="9">
        <v>0</v>
      </c>
      <c r="M302" s="9">
        <v>0</v>
      </c>
      <c r="N302" s="9">
        <v>0</v>
      </c>
      <c r="O302" s="9">
        <v>0</v>
      </c>
      <c r="P302" s="9">
        <v>0</v>
      </c>
      <c r="Q302" s="9">
        <v>0</v>
      </c>
      <c r="R302" s="9">
        <v>0</v>
      </c>
      <c r="S302" s="9">
        <v>0</v>
      </c>
      <c r="T302" s="9">
        <v>0</v>
      </c>
      <c r="U302" s="9">
        <v>0</v>
      </c>
      <c r="V302" s="9">
        <v>0</v>
      </c>
      <c r="W302" s="9">
        <v>0</v>
      </c>
      <c r="X302" s="9">
        <v>0</v>
      </c>
      <c r="Y302" s="9">
        <v>0</v>
      </c>
      <c r="Z302" s="9">
        <v>0</v>
      </c>
      <c r="AA302" s="9">
        <v>0</v>
      </c>
      <c r="AB302" s="9">
        <v>0</v>
      </c>
      <c r="AC302" s="9">
        <v>0</v>
      </c>
      <c r="AD302" s="9">
        <v>0</v>
      </c>
      <c r="AE302" s="9">
        <v>0</v>
      </c>
      <c r="AF302" s="9">
        <v>0</v>
      </c>
      <c r="AG302" s="9">
        <v>0</v>
      </c>
      <c r="AH302" s="9">
        <v>0</v>
      </c>
      <c r="AI302" s="9">
        <v>0</v>
      </c>
      <c r="AJ302" s="9">
        <v>0</v>
      </c>
      <c r="AK302" s="9">
        <v>0</v>
      </c>
      <c r="AL302" s="9">
        <v>0</v>
      </c>
      <c r="AM302" s="9">
        <v>0</v>
      </c>
      <c r="AN302" s="9">
        <v>0</v>
      </c>
      <c r="AO302" s="9">
        <v>0</v>
      </c>
      <c r="AP302" s="9">
        <v>0</v>
      </c>
      <c r="AQ302" s="9">
        <v>0</v>
      </c>
      <c r="AR302" s="9">
        <v>0</v>
      </c>
      <c r="AS302" s="9">
        <v>0</v>
      </c>
      <c r="AT302" s="9">
        <v>0</v>
      </c>
      <c r="AU302" s="9">
        <v>0</v>
      </c>
      <c r="AV302" s="9">
        <v>0</v>
      </c>
      <c r="AW302" s="9">
        <v>0</v>
      </c>
      <c r="AX302" s="9">
        <v>0</v>
      </c>
      <c r="AY302" s="9">
        <v>0</v>
      </c>
      <c r="AZ302" s="9">
        <v>0</v>
      </c>
      <c r="BA302" s="9">
        <v>0</v>
      </c>
      <c r="BB302" s="9">
        <v>0</v>
      </c>
      <c r="BC302" s="9">
        <v>0</v>
      </c>
      <c r="BD302" s="9">
        <v>0</v>
      </c>
      <c r="BE302" s="9">
        <v>0</v>
      </c>
      <c r="BF302" s="9">
        <v>0</v>
      </c>
      <c r="BG302" s="9">
        <v>0</v>
      </c>
      <c r="BH302" s="9">
        <v>0</v>
      </c>
      <c r="BI302" s="9">
        <v>0</v>
      </c>
      <c r="BJ302" s="9">
        <v>0</v>
      </c>
      <c r="BK302" s="9">
        <v>0</v>
      </c>
      <c r="BL302" s="9">
        <v>0</v>
      </c>
      <c r="BM302" s="9">
        <v>0</v>
      </c>
      <c r="BN302" s="9">
        <v>0</v>
      </c>
      <c r="BO302" s="9">
        <v>0</v>
      </c>
      <c r="BP302" s="10">
        <v>0</v>
      </c>
      <c r="BQ302">
        <v>0</v>
      </c>
      <c r="BR302">
        <v>0</v>
      </c>
    </row>
    <row r="303" spans="1:70" x14ac:dyDescent="0.35">
      <c r="A303" s="8" t="s">
        <v>261</v>
      </c>
      <c r="B303" s="9" t="s">
        <v>338</v>
      </c>
      <c r="C303" s="10" t="s">
        <v>1015</v>
      </c>
      <c r="D303" s="34">
        <f t="shared" si="6"/>
        <v>0</v>
      </c>
      <c r="E303" s="9">
        <v>0</v>
      </c>
      <c r="F303" s="9">
        <v>0</v>
      </c>
      <c r="G303" s="9">
        <v>0</v>
      </c>
      <c r="H303" s="9">
        <v>0</v>
      </c>
      <c r="I303" s="9">
        <v>0</v>
      </c>
      <c r="J303" s="9">
        <v>0</v>
      </c>
      <c r="K303" s="9">
        <v>0</v>
      </c>
      <c r="L303" s="9">
        <v>0</v>
      </c>
      <c r="M303" s="9">
        <v>0</v>
      </c>
      <c r="N303" s="9">
        <v>0</v>
      </c>
      <c r="O303" s="9">
        <v>0</v>
      </c>
      <c r="P303" s="9">
        <v>0</v>
      </c>
      <c r="Q303" s="9">
        <v>0</v>
      </c>
      <c r="R303" s="9">
        <v>0</v>
      </c>
      <c r="S303" s="9">
        <v>0</v>
      </c>
      <c r="T303" s="9">
        <v>0</v>
      </c>
      <c r="U303" s="9">
        <v>0</v>
      </c>
      <c r="V303" s="9">
        <v>0</v>
      </c>
      <c r="W303" s="9">
        <v>0</v>
      </c>
      <c r="X303" s="9">
        <v>0</v>
      </c>
      <c r="Y303" s="9">
        <v>0</v>
      </c>
      <c r="Z303" s="9">
        <v>0</v>
      </c>
      <c r="AA303" s="9">
        <v>0</v>
      </c>
      <c r="AB303" s="9">
        <v>0</v>
      </c>
      <c r="AC303" s="9">
        <v>0</v>
      </c>
      <c r="AD303" s="9">
        <v>0</v>
      </c>
      <c r="AE303" s="9">
        <v>0</v>
      </c>
      <c r="AF303" s="9">
        <v>0</v>
      </c>
      <c r="AG303" s="9">
        <v>0</v>
      </c>
      <c r="AH303" s="9">
        <v>0</v>
      </c>
      <c r="AI303" s="9">
        <v>0</v>
      </c>
      <c r="AJ303" s="9">
        <v>0</v>
      </c>
      <c r="AK303" s="9">
        <v>0</v>
      </c>
      <c r="AL303" s="9">
        <v>0</v>
      </c>
      <c r="AM303" s="9">
        <v>0</v>
      </c>
      <c r="AN303" s="9">
        <v>0</v>
      </c>
      <c r="AO303" s="9">
        <v>0</v>
      </c>
      <c r="AP303" s="9">
        <v>0</v>
      </c>
      <c r="AQ303" s="9">
        <v>0</v>
      </c>
      <c r="AR303" s="9">
        <v>0</v>
      </c>
      <c r="AS303" s="9">
        <v>0</v>
      </c>
      <c r="AT303" s="9">
        <v>0</v>
      </c>
      <c r="AU303" s="9">
        <v>0</v>
      </c>
      <c r="AV303" s="9">
        <v>0</v>
      </c>
      <c r="AW303" s="9">
        <v>0</v>
      </c>
      <c r="AX303" s="9">
        <v>0</v>
      </c>
      <c r="AY303" s="9">
        <v>0</v>
      </c>
      <c r="AZ303" s="9">
        <v>0</v>
      </c>
      <c r="BA303" s="9">
        <v>0</v>
      </c>
      <c r="BB303" s="9">
        <v>0</v>
      </c>
      <c r="BC303" s="9">
        <v>0</v>
      </c>
      <c r="BD303" s="9">
        <v>0</v>
      </c>
      <c r="BE303" s="9">
        <v>0</v>
      </c>
      <c r="BF303" s="9">
        <v>0</v>
      </c>
      <c r="BG303" s="9">
        <v>0</v>
      </c>
      <c r="BH303" s="9">
        <v>0</v>
      </c>
      <c r="BI303" s="9">
        <v>0</v>
      </c>
      <c r="BJ303" s="9">
        <v>0</v>
      </c>
      <c r="BK303" s="9">
        <v>0</v>
      </c>
      <c r="BL303" s="9">
        <v>0</v>
      </c>
      <c r="BM303" s="9">
        <v>0</v>
      </c>
      <c r="BN303" s="9">
        <v>0</v>
      </c>
      <c r="BO303" s="9">
        <v>0</v>
      </c>
      <c r="BP303" s="10">
        <v>0</v>
      </c>
      <c r="BQ303">
        <v>0</v>
      </c>
      <c r="BR303">
        <v>0</v>
      </c>
    </row>
    <row r="304" spans="1:70" x14ac:dyDescent="0.35">
      <c r="A304" s="8" t="s">
        <v>261</v>
      </c>
      <c r="B304" s="9" t="s">
        <v>340</v>
      </c>
      <c r="C304" s="10" t="s">
        <v>1016</v>
      </c>
      <c r="D304" s="34">
        <f t="shared" si="6"/>
        <v>11</v>
      </c>
      <c r="E304" s="9">
        <v>0</v>
      </c>
      <c r="F304" s="9">
        <v>0</v>
      </c>
      <c r="G304" s="9">
        <v>0</v>
      </c>
      <c r="H304" s="9">
        <v>0</v>
      </c>
      <c r="I304" s="9">
        <v>0</v>
      </c>
      <c r="J304" s="9">
        <v>0</v>
      </c>
      <c r="K304" s="9">
        <v>0</v>
      </c>
      <c r="L304" s="9">
        <v>0</v>
      </c>
      <c r="M304" s="9">
        <v>0</v>
      </c>
      <c r="N304" s="9">
        <v>0</v>
      </c>
      <c r="O304" s="9">
        <v>0</v>
      </c>
      <c r="P304" s="9">
        <v>8</v>
      </c>
      <c r="Q304" s="9">
        <v>8</v>
      </c>
      <c r="R304" s="9">
        <v>8</v>
      </c>
      <c r="S304" s="9">
        <v>0</v>
      </c>
      <c r="T304" s="9">
        <v>11</v>
      </c>
      <c r="U304" s="9">
        <v>11</v>
      </c>
      <c r="V304" s="9">
        <v>10</v>
      </c>
      <c r="W304" s="9">
        <v>10</v>
      </c>
      <c r="X304" s="9">
        <v>11</v>
      </c>
      <c r="Y304" s="9">
        <v>10</v>
      </c>
      <c r="Z304" s="9">
        <v>10</v>
      </c>
      <c r="AA304" s="9">
        <v>10</v>
      </c>
      <c r="AB304" s="9">
        <v>10</v>
      </c>
      <c r="AC304" s="9">
        <v>10</v>
      </c>
      <c r="AD304" s="9">
        <v>11</v>
      </c>
      <c r="AE304" s="9">
        <v>11</v>
      </c>
      <c r="AF304" s="9">
        <v>1</v>
      </c>
      <c r="AG304" s="9">
        <v>0</v>
      </c>
      <c r="AH304" s="9">
        <v>0</v>
      </c>
      <c r="AI304" s="9">
        <v>0</v>
      </c>
      <c r="AJ304" s="9">
        <v>0</v>
      </c>
      <c r="AK304" s="9">
        <v>0</v>
      </c>
      <c r="AL304" s="9">
        <v>0</v>
      </c>
      <c r="AM304" s="9">
        <v>0</v>
      </c>
      <c r="AN304" s="9">
        <v>0</v>
      </c>
      <c r="AO304" s="9">
        <v>0</v>
      </c>
      <c r="AP304" s="9">
        <v>0</v>
      </c>
      <c r="AQ304" s="9">
        <v>0</v>
      </c>
      <c r="AR304" s="9">
        <v>0</v>
      </c>
      <c r="AS304" s="9">
        <v>0</v>
      </c>
      <c r="AT304" s="9">
        <v>0</v>
      </c>
      <c r="AU304" s="9">
        <v>0</v>
      </c>
      <c r="AV304" s="9">
        <v>0</v>
      </c>
      <c r="AW304" s="9">
        <v>0</v>
      </c>
      <c r="AX304" s="9">
        <v>0</v>
      </c>
      <c r="AY304" s="9">
        <v>0</v>
      </c>
      <c r="AZ304" s="9">
        <v>0</v>
      </c>
      <c r="BA304" s="9">
        <v>0</v>
      </c>
      <c r="BB304" s="9">
        <v>0</v>
      </c>
      <c r="BC304" s="9">
        <v>0</v>
      </c>
      <c r="BD304" s="9">
        <v>0</v>
      </c>
      <c r="BE304" s="9">
        <v>0</v>
      </c>
      <c r="BF304" s="9">
        <v>0</v>
      </c>
      <c r="BG304" s="9">
        <v>0</v>
      </c>
      <c r="BH304" s="9">
        <v>0</v>
      </c>
      <c r="BI304" s="9">
        <v>0</v>
      </c>
      <c r="BJ304" s="9">
        <v>0</v>
      </c>
      <c r="BK304" s="9">
        <v>0</v>
      </c>
      <c r="BL304" s="9">
        <v>0</v>
      </c>
      <c r="BM304" s="9">
        <v>0</v>
      </c>
      <c r="BN304" s="9">
        <v>2</v>
      </c>
      <c r="BO304" s="9">
        <v>3</v>
      </c>
      <c r="BP304" s="10">
        <v>3</v>
      </c>
      <c r="BQ304">
        <v>3</v>
      </c>
      <c r="BR304">
        <v>3</v>
      </c>
    </row>
    <row r="305" spans="1:70" x14ac:dyDescent="0.35">
      <c r="A305" s="8" t="s">
        <v>342</v>
      </c>
      <c r="B305" s="9" t="s">
        <v>1017</v>
      </c>
      <c r="C305" s="10" t="s">
        <v>1018</v>
      </c>
      <c r="D305" s="34">
        <f t="shared" si="6"/>
        <v>0</v>
      </c>
      <c r="E305" s="9">
        <v>0</v>
      </c>
      <c r="F305" s="9">
        <v>0</v>
      </c>
      <c r="G305" s="9">
        <v>0</v>
      </c>
      <c r="H305" s="9">
        <v>0</v>
      </c>
      <c r="I305" s="9">
        <v>0</v>
      </c>
      <c r="J305" s="9">
        <v>0</v>
      </c>
      <c r="K305" s="9">
        <v>0</v>
      </c>
      <c r="L305" s="9">
        <v>0</v>
      </c>
      <c r="M305" s="9">
        <v>0</v>
      </c>
      <c r="N305" s="9">
        <v>0</v>
      </c>
      <c r="O305" s="9">
        <v>0</v>
      </c>
      <c r="P305" s="9">
        <v>0</v>
      </c>
      <c r="Q305" s="9">
        <v>0</v>
      </c>
      <c r="R305" s="9">
        <v>0</v>
      </c>
      <c r="S305" s="9">
        <v>0</v>
      </c>
      <c r="T305" s="9">
        <v>0</v>
      </c>
      <c r="U305" s="9">
        <v>0</v>
      </c>
      <c r="V305" s="9">
        <v>0</v>
      </c>
      <c r="W305" s="9">
        <v>0</v>
      </c>
      <c r="X305" s="9">
        <v>0</v>
      </c>
      <c r="Y305" s="9">
        <v>0</v>
      </c>
      <c r="Z305" s="9">
        <v>0</v>
      </c>
      <c r="AA305" s="9">
        <v>0</v>
      </c>
      <c r="AB305" s="9">
        <v>0</v>
      </c>
      <c r="AC305" s="9">
        <v>0</v>
      </c>
      <c r="AD305" s="9">
        <v>0</v>
      </c>
      <c r="AE305" s="9">
        <v>0</v>
      </c>
      <c r="AF305" s="9">
        <v>0</v>
      </c>
      <c r="AG305" s="9">
        <v>0</v>
      </c>
      <c r="AH305" s="9">
        <v>0</v>
      </c>
      <c r="AI305" s="9">
        <v>0</v>
      </c>
      <c r="AJ305" s="9">
        <v>0</v>
      </c>
      <c r="AK305" s="9">
        <v>0</v>
      </c>
      <c r="AL305" s="9">
        <v>0</v>
      </c>
      <c r="AM305" s="9">
        <v>0</v>
      </c>
      <c r="AN305" s="9">
        <v>0</v>
      </c>
      <c r="AO305" s="9">
        <v>0</v>
      </c>
      <c r="AP305" s="9">
        <v>0</v>
      </c>
      <c r="AQ305" s="9">
        <v>0</v>
      </c>
      <c r="AR305" s="9">
        <v>0</v>
      </c>
      <c r="AS305" s="9">
        <v>0</v>
      </c>
      <c r="AT305" s="9">
        <v>0</v>
      </c>
      <c r="AU305" s="9">
        <v>0</v>
      </c>
      <c r="AV305" s="9">
        <v>0</v>
      </c>
      <c r="AW305" s="9">
        <v>0</v>
      </c>
      <c r="AX305" s="9">
        <v>0</v>
      </c>
      <c r="AY305" s="9">
        <v>0</v>
      </c>
      <c r="AZ305" s="9">
        <v>0</v>
      </c>
      <c r="BA305" s="9">
        <v>0</v>
      </c>
      <c r="BB305" s="9">
        <v>0</v>
      </c>
      <c r="BC305" s="9">
        <v>0</v>
      </c>
      <c r="BD305" s="9">
        <v>0</v>
      </c>
      <c r="BE305" s="9">
        <v>0</v>
      </c>
      <c r="BF305" s="9">
        <v>0</v>
      </c>
      <c r="BG305" s="9">
        <v>0</v>
      </c>
      <c r="BH305" s="9">
        <v>0</v>
      </c>
      <c r="BI305" s="9">
        <v>0</v>
      </c>
      <c r="BJ305" s="9">
        <v>0</v>
      </c>
      <c r="BK305" s="9">
        <v>0</v>
      </c>
      <c r="BL305" s="9">
        <v>0</v>
      </c>
      <c r="BM305" s="9">
        <v>0</v>
      </c>
      <c r="BN305" s="9">
        <v>0</v>
      </c>
      <c r="BO305" s="9">
        <v>0</v>
      </c>
      <c r="BP305" s="10">
        <v>0</v>
      </c>
      <c r="BQ305">
        <v>0</v>
      </c>
      <c r="BR305">
        <v>0</v>
      </c>
    </row>
    <row r="306" spans="1:70" x14ac:dyDescent="0.35">
      <c r="A306" s="8" t="s">
        <v>342</v>
      </c>
      <c r="B306" s="9" t="s">
        <v>1019</v>
      </c>
      <c r="C306" s="10" t="s">
        <v>1020</v>
      </c>
      <c r="D306" s="34">
        <f t="shared" si="6"/>
        <v>0</v>
      </c>
      <c r="E306" s="9">
        <v>0</v>
      </c>
      <c r="F306" s="9">
        <v>0</v>
      </c>
      <c r="G306" s="9">
        <v>0</v>
      </c>
      <c r="H306" s="9">
        <v>0</v>
      </c>
      <c r="I306" s="9">
        <v>0</v>
      </c>
      <c r="J306" s="9">
        <v>0</v>
      </c>
      <c r="K306" s="9">
        <v>0</v>
      </c>
      <c r="L306" s="9">
        <v>0</v>
      </c>
      <c r="M306" s="9">
        <v>0</v>
      </c>
      <c r="N306" s="9">
        <v>0</v>
      </c>
      <c r="O306" s="9">
        <v>0</v>
      </c>
      <c r="P306" s="9">
        <v>0</v>
      </c>
      <c r="Q306" s="9">
        <v>0</v>
      </c>
      <c r="R306" s="9">
        <v>0</v>
      </c>
      <c r="S306" s="9">
        <v>0</v>
      </c>
      <c r="T306" s="9">
        <v>0</v>
      </c>
      <c r="U306" s="9">
        <v>0</v>
      </c>
      <c r="V306" s="9">
        <v>0</v>
      </c>
      <c r="W306" s="9">
        <v>0</v>
      </c>
      <c r="X306" s="9">
        <v>0</v>
      </c>
      <c r="Y306" s="9">
        <v>0</v>
      </c>
      <c r="Z306" s="9">
        <v>0</v>
      </c>
      <c r="AA306" s="9">
        <v>0</v>
      </c>
      <c r="AB306" s="9">
        <v>0</v>
      </c>
      <c r="AC306" s="9">
        <v>0</v>
      </c>
      <c r="AD306" s="9">
        <v>0</v>
      </c>
      <c r="AE306" s="9">
        <v>0</v>
      </c>
      <c r="AF306" s="9">
        <v>0</v>
      </c>
      <c r="AG306" s="9">
        <v>0</v>
      </c>
      <c r="AH306" s="9">
        <v>0</v>
      </c>
      <c r="AI306" s="9">
        <v>0</v>
      </c>
      <c r="AJ306" s="9">
        <v>0</v>
      </c>
      <c r="AK306" s="9">
        <v>0</v>
      </c>
      <c r="AL306" s="9">
        <v>0</v>
      </c>
      <c r="AM306" s="9">
        <v>0</v>
      </c>
      <c r="AN306" s="9">
        <v>0</v>
      </c>
      <c r="AO306" s="9">
        <v>0</v>
      </c>
      <c r="AP306" s="9">
        <v>0</v>
      </c>
      <c r="AQ306" s="9">
        <v>0</v>
      </c>
      <c r="AR306" s="9">
        <v>0</v>
      </c>
      <c r="AS306" s="9">
        <v>0</v>
      </c>
      <c r="AT306" s="9">
        <v>0</v>
      </c>
      <c r="AU306" s="9">
        <v>0</v>
      </c>
      <c r="AV306" s="9">
        <v>0</v>
      </c>
      <c r="AW306" s="9">
        <v>0</v>
      </c>
      <c r="AX306" s="9">
        <v>0</v>
      </c>
      <c r="AY306" s="9">
        <v>0</v>
      </c>
      <c r="AZ306" s="9">
        <v>0</v>
      </c>
      <c r="BA306" s="9">
        <v>0</v>
      </c>
      <c r="BB306" s="9">
        <v>0</v>
      </c>
      <c r="BC306" s="9">
        <v>0</v>
      </c>
      <c r="BD306" s="9">
        <v>0</v>
      </c>
      <c r="BE306" s="9">
        <v>0</v>
      </c>
      <c r="BF306" s="9">
        <v>0</v>
      </c>
      <c r="BG306" s="9">
        <v>0</v>
      </c>
      <c r="BH306" s="9">
        <v>0</v>
      </c>
      <c r="BI306" s="9">
        <v>0</v>
      </c>
      <c r="BJ306" s="9">
        <v>0</v>
      </c>
      <c r="BK306" s="9">
        <v>0</v>
      </c>
      <c r="BL306" s="9">
        <v>0</v>
      </c>
      <c r="BM306" s="9">
        <v>0</v>
      </c>
      <c r="BN306" s="9">
        <v>0</v>
      </c>
      <c r="BO306" s="9">
        <v>0</v>
      </c>
      <c r="BP306" s="10">
        <v>0</v>
      </c>
      <c r="BQ306">
        <v>0</v>
      </c>
      <c r="BR306">
        <v>0</v>
      </c>
    </row>
    <row r="307" spans="1:70" x14ac:dyDescent="0.35">
      <c r="A307" s="8" t="s">
        <v>342</v>
      </c>
      <c r="B307" s="9" t="s">
        <v>1021</v>
      </c>
      <c r="C307" s="10" t="s">
        <v>1022</v>
      </c>
      <c r="D307" s="34">
        <f t="shared" si="6"/>
        <v>4</v>
      </c>
      <c r="E307" s="9">
        <v>0</v>
      </c>
      <c r="F307" s="9">
        <v>0</v>
      </c>
      <c r="G307" s="9">
        <v>0</v>
      </c>
      <c r="H307" s="9">
        <v>0</v>
      </c>
      <c r="I307" s="9">
        <v>0</v>
      </c>
      <c r="J307" s="9">
        <v>0</v>
      </c>
      <c r="K307" s="9">
        <v>0</v>
      </c>
      <c r="L307" s="9">
        <v>0</v>
      </c>
      <c r="M307" s="9">
        <v>0</v>
      </c>
      <c r="N307" s="9">
        <v>0</v>
      </c>
      <c r="O307" s="9">
        <v>0</v>
      </c>
      <c r="P307" s="9">
        <v>0</v>
      </c>
      <c r="Q307" s="9">
        <v>0</v>
      </c>
      <c r="R307" s="9">
        <v>0</v>
      </c>
      <c r="S307" s="9">
        <v>0</v>
      </c>
      <c r="T307" s="9">
        <v>0</v>
      </c>
      <c r="U307" s="9">
        <v>0</v>
      </c>
      <c r="V307" s="9">
        <v>0</v>
      </c>
      <c r="W307" s="9">
        <v>0</v>
      </c>
      <c r="X307" s="9">
        <v>0</v>
      </c>
      <c r="Y307" s="9">
        <v>0</v>
      </c>
      <c r="Z307" s="9">
        <v>0</v>
      </c>
      <c r="AA307" s="9">
        <v>0</v>
      </c>
      <c r="AB307" s="9">
        <v>0</v>
      </c>
      <c r="AC307" s="9">
        <v>0</v>
      </c>
      <c r="AD307" s="9">
        <v>0</v>
      </c>
      <c r="AE307" s="9">
        <v>0</v>
      </c>
      <c r="AF307" s="9">
        <v>1</v>
      </c>
      <c r="AG307" s="9">
        <v>1</v>
      </c>
      <c r="AH307" s="9">
        <v>1</v>
      </c>
      <c r="AI307" s="9">
        <v>2</v>
      </c>
      <c r="AJ307" s="9">
        <v>3</v>
      </c>
      <c r="AK307" s="9">
        <v>3</v>
      </c>
      <c r="AL307" s="9">
        <v>3</v>
      </c>
      <c r="AM307" s="9">
        <v>3</v>
      </c>
      <c r="AN307" s="9">
        <v>4</v>
      </c>
      <c r="AO307" s="9">
        <v>3</v>
      </c>
      <c r="AP307" s="9">
        <v>3</v>
      </c>
      <c r="AQ307" s="9">
        <v>3</v>
      </c>
      <c r="AR307" s="9">
        <v>3</v>
      </c>
      <c r="AS307" s="9">
        <v>3</v>
      </c>
      <c r="AT307" s="9">
        <v>3</v>
      </c>
      <c r="AU307" s="9">
        <v>2</v>
      </c>
      <c r="AV307" s="9">
        <v>0</v>
      </c>
      <c r="AW307" s="9">
        <v>2</v>
      </c>
      <c r="AX307" s="9">
        <v>2</v>
      </c>
      <c r="AY307" s="9">
        <v>1</v>
      </c>
      <c r="AZ307" s="9">
        <v>1</v>
      </c>
      <c r="BA307" s="9">
        <v>1</v>
      </c>
      <c r="BB307" s="9">
        <v>0</v>
      </c>
      <c r="BC307" s="9">
        <v>0</v>
      </c>
      <c r="BD307" s="9">
        <v>0</v>
      </c>
      <c r="BE307" s="9">
        <v>0</v>
      </c>
      <c r="BF307" s="9">
        <v>0</v>
      </c>
      <c r="BG307" s="9">
        <v>0</v>
      </c>
      <c r="BH307" s="9">
        <v>0</v>
      </c>
      <c r="BI307" s="9">
        <v>0</v>
      </c>
      <c r="BJ307" s="9">
        <v>0</v>
      </c>
      <c r="BK307" s="9">
        <v>0</v>
      </c>
      <c r="BL307" s="9">
        <v>0</v>
      </c>
      <c r="BM307" s="9">
        <v>0</v>
      </c>
      <c r="BN307" s="9">
        <v>0</v>
      </c>
      <c r="BO307" s="9">
        <v>0</v>
      </c>
      <c r="BP307" s="10">
        <v>0</v>
      </c>
      <c r="BQ307">
        <v>0</v>
      </c>
      <c r="BR307">
        <v>0</v>
      </c>
    </row>
    <row r="308" spans="1:70" x14ac:dyDescent="0.35">
      <c r="A308" s="8" t="s">
        <v>342</v>
      </c>
      <c r="B308" s="9" t="s">
        <v>1023</v>
      </c>
      <c r="C308" s="10" t="s">
        <v>1024</v>
      </c>
      <c r="D308" s="34">
        <f t="shared" si="6"/>
        <v>8</v>
      </c>
      <c r="E308" s="9">
        <v>0</v>
      </c>
      <c r="F308" s="9">
        <v>0</v>
      </c>
      <c r="G308" s="9">
        <v>0</v>
      </c>
      <c r="H308" s="9">
        <v>0</v>
      </c>
      <c r="I308" s="9">
        <v>0</v>
      </c>
      <c r="J308" s="9">
        <v>0</v>
      </c>
      <c r="K308" s="9">
        <v>0</v>
      </c>
      <c r="L308" s="9">
        <v>0</v>
      </c>
      <c r="M308" s="9">
        <v>0</v>
      </c>
      <c r="N308" s="9">
        <v>0</v>
      </c>
      <c r="O308" s="9">
        <v>0</v>
      </c>
      <c r="P308" s="9">
        <v>0</v>
      </c>
      <c r="Q308" s="9">
        <v>0</v>
      </c>
      <c r="R308" s="9">
        <v>0</v>
      </c>
      <c r="S308" s="9">
        <v>0</v>
      </c>
      <c r="T308" s="9">
        <v>0</v>
      </c>
      <c r="U308" s="9">
        <v>0</v>
      </c>
      <c r="V308" s="9">
        <v>0</v>
      </c>
      <c r="W308" s="9">
        <v>0</v>
      </c>
      <c r="X308" s="9">
        <v>0</v>
      </c>
      <c r="Y308" s="9">
        <v>0</v>
      </c>
      <c r="Z308" s="9">
        <v>0</v>
      </c>
      <c r="AA308" s="9">
        <v>0</v>
      </c>
      <c r="AB308" s="9">
        <v>0</v>
      </c>
      <c r="AC308" s="9">
        <v>0</v>
      </c>
      <c r="AD308" s="9">
        <v>0</v>
      </c>
      <c r="AE308" s="9">
        <v>0</v>
      </c>
      <c r="AF308" s="9">
        <v>0</v>
      </c>
      <c r="AG308" s="9">
        <v>0</v>
      </c>
      <c r="AH308" s="9">
        <v>0</v>
      </c>
      <c r="AI308" s="9">
        <v>0</v>
      </c>
      <c r="AJ308" s="9">
        <v>0</v>
      </c>
      <c r="AK308" s="9">
        <v>0</v>
      </c>
      <c r="AL308" s="9">
        <v>0</v>
      </c>
      <c r="AM308" s="9">
        <v>0</v>
      </c>
      <c r="AN308" s="9">
        <v>0</v>
      </c>
      <c r="AO308" s="9">
        <v>0</v>
      </c>
      <c r="AP308" s="9">
        <v>2</v>
      </c>
      <c r="AQ308" s="9">
        <v>2</v>
      </c>
      <c r="AR308" s="9">
        <v>2</v>
      </c>
      <c r="AS308" s="9">
        <v>2</v>
      </c>
      <c r="AT308" s="9">
        <v>2</v>
      </c>
      <c r="AU308" s="9">
        <v>2</v>
      </c>
      <c r="AV308" s="9">
        <v>2</v>
      </c>
      <c r="AW308" s="9">
        <v>2</v>
      </c>
      <c r="AX308" s="9">
        <v>2</v>
      </c>
      <c r="AY308" s="9">
        <v>2</v>
      </c>
      <c r="AZ308" s="9">
        <v>2</v>
      </c>
      <c r="BA308" s="9">
        <v>2</v>
      </c>
      <c r="BB308" s="9">
        <v>2</v>
      </c>
      <c r="BC308" s="9">
        <v>0</v>
      </c>
      <c r="BD308" s="9">
        <v>0</v>
      </c>
      <c r="BE308" s="9">
        <v>3</v>
      </c>
      <c r="BF308" s="9">
        <v>3</v>
      </c>
      <c r="BG308" s="9">
        <v>3</v>
      </c>
      <c r="BH308" s="9">
        <v>0</v>
      </c>
      <c r="BI308" s="9">
        <v>0</v>
      </c>
      <c r="BJ308" s="9">
        <v>6</v>
      </c>
      <c r="BK308" s="9">
        <v>8</v>
      </c>
      <c r="BL308" s="9">
        <v>8</v>
      </c>
      <c r="BM308" s="9">
        <v>8</v>
      </c>
      <c r="BN308" s="9">
        <v>8</v>
      </c>
      <c r="BO308" s="9">
        <v>8</v>
      </c>
      <c r="BP308" s="10">
        <v>8</v>
      </c>
      <c r="BQ308">
        <v>8</v>
      </c>
      <c r="BR308">
        <v>5</v>
      </c>
    </row>
    <row r="309" spans="1:70" x14ac:dyDescent="0.35">
      <c r="A309" s="8" t="s">
        <v>342</v>
      </c>
      <c r="B309" s="9" t="s">
        <v>1027</v>
      </c>
      <c r="C309" s="10" t="s">
        <v>1028</v>
      </c>
      <c r="D309" s="34">
        <f t="shared" si="6"/>
        <v>0</v>
      </c>
      <c r="E309" s="9">
        <v>0</v>
      </c>
      <c r="F309" s="9">
        <v>0</v>
      </c>
      <c r="G309" s="9">
        <v>0</v>
      </c>
      <c r="H309" s="9">
        <v>0</v>
      </c>
      <c r="I309" s="9">
        <v>0</v>
      </c>
      <c r="J309" s="9">
        <v>0</v>
      </c>
      <c r="K309" s="9">
        <v>0</v>
      </c>
      <c r="L309" s="9">
        <v>0</v>
      </c>
      <c r="M309" s="9">
        <v>0</v>
      </c>
      <c r="N309" s="9">
        <v>0</v>
      </c>
      <c r="O309" s="9">
        <v>0</v>
      </c>
      <c r="P309" s="9">
        <v>0</v>
      </c>
      <c r="Q309" s="9">
        <v>0</v>
      </c>
      <c r="R309" s="9">
        <v>0</v>
      </c>
      <c r="S309" s="9">
        <v>0</v>
      </c>
      <c r="T309" s="9">
        <v>0</v>
      </c>
      <c r="U309" s="9">
        <v>0</v>
      </c>
      <c r="V309" s="9">
        <v>0</v>
      </c>
      <c r="W309" s="9">
        <v>0</v>
      </c>
      <c r="X309" s="9">
        <v>0</v>
      </c>
      <c r="Y309" s="9">
        <v>0</v>
      </c>
      <c r="Z309" s="9">
        <v>0</v>
      </c>
      <c r="AA309" s="9">
        <v>0</v>
      </c>
      <c r="AB309" s="9">
        <v>0</v>
      </c>
      <c r="AC309" s="9">
        <v>0</v>
      </c>
      <c r="AD309" s="9">
        <v>0</v>
      </c>
      <c r="AE309" s="9">
        <v>0</v>
      </c>
      <c r="AF309" s="9">
        <v>0</v>
      </c>
      <c r="AG309" s="9">
        <v>0</v>
      </c>
      <c r="AH309" s="9">
        <v>0</v>
      </c>
      <c r="AI309" s="9">
        <v>0</v>
      </c>
      <c r="AJ309" s="9">
        <v>0</v>
      </c>
      <c r="AK309" s="9">
        <v>0</v>
      </c>
      <c r="AL309" s="9">
        <v>0</v>
      </c>
      <c r="AM309" s="9">
        <v>0</v>
      </c>
      <c r="AN309" s="9">
        <v>0</v>
      </c>
      <c r="AO309" s="9">
        <v>0</v>
      </c>
      <c r="AP309" s="9">
        <v>0</v>
      </c>
      <c r="AQ309" s="9">
        <v>0</v>
      </c>
      <c r="AR309" s="9">
        <v>0</v>
      </c>
      <c r="AS309" s="9">
        <v>0</v>
      </c>
      <c r="AT309" s="9">
        <v>0</v>
      </c>
      <c r="AU309" s="9">
        <v>0</v>
      </c>
      <c r="AV309" s="9">
        <v>0</v>
      </c>
      <c r="AW309" s="9">
        <v>0</v>
      </c>
      <c r="AX309" s="9">
        <v>0</v>
      </c>
      <c r="AY309" s="9">
        <v>0</v>
      </c>
      <c r="AZ309" s="9">
        <v>0</v>
      </c>
      <c r="BA309" s="9">
        <v>0</v>
      </c>
      <c r="BB309" s="9">
        <v>0</v>
      </c>
      <c r="BC309" s="9">
        <v>0</v>
      </c>
      <c r="BD309" s="9">
        <v>0</v>
      </c>
      <c r="BE309" s="9">
        <v>0</v>
      </c>
      <c r="BF309" s="9">
        <v>0</v>
      </c>
      <c r="BG309" s="9">
        <v>0</v>
      </c>
      <c r="BH309" s="9">
        <v>0</v>
      </c>
      <c r="BI309" s="9">
        <v>0</v>
      </c>
      <c r="BJ309" s="9">
        <v>0</v>
      </c>
      <c r="BK309" s="9">
        <v>0</v>
      </c>
      <c r="BL309" s="9">
        <v>0</v>
      </c>
      <c r="BM309" s="9">
        <v>0</v>
      </c>
      <c r="BN309" s="9">
        <v>0</v>
      </c>
      <c r="BO309" s="9">
        <v>0</v>
      </c>
      <c r="BP309" s="10">
        <v>0</v>
      </c>
      <c r="BQ309">
        <v>0</v>
      </c>
      <c r="BR309">
        <v>0</v>
      </c>
    </row>
    <row r="310" spans="1:70" x14ac:dyDescent="0.35">
      <c r="A310" s="8" t="s">
        <v>342</v>
      </c>
      <c r="B310" s="9" t="s">
        <v>1029</v>
      </c>
      <c r="C310" s="10" t="s">
        <v>1030</v>
      </c>
      <c r="D310" s="34">
        <f t="shared" si="6"/>
        <v>0</v>
      </c>
      <c r="E310" s="9">
        <v>0</v>
      </c>
      <c r="F310" s="9">
        <v>0</v>
      </c>
      <c r="G310" s="9">
        <v>0</v>
      </c>
      <c r="H310" s="9">
        <v>0</v>
      </c>
      <c r="I310" s="9">
        <v>0</v>
      </c>
      <c r="J310" s="9">
        <v>0</v>
      </c>
      <c r="K310" s="9">
        <v>0</v>
      </c>
      <c r="L310" s="9">
        <v>0</v>
      </c>
      <c r="M310" s="9">
        <v>0</v>
      </c>
      <c r="N310" s="9">
        <v>0</v>
      </c>
      <c r="O310" s="9">
        <v>0</v>
      </c>
      <c r="P310" s="9">
        <v>0</v>
      </c>
      <c r="Q310" s="9">
        <v>0</v>
      </c>
      <c r="R310" s="9">
        <v>0</v>
      </c>
      <c r="S310" s="9">
        <v>0</v>
      </c>
      <c r="T310" s="9">
        <v>0</v>
      </c>
      <c r="U310" s="9">
        <v>0</v>
      </c>
      <c r="V310" s="9">
        <v>0</v>
      </c>
      <c r="W310" s="9">
        <v>0</v>
      </c>
      <c r="X310" s="9">
        <v>0</v>
      </c>
      <c r="Y310" s="9">
        <v>0</v>
      </c>
      <c r="Z310" s="9">
        <v>0</v>
      </c>
      <c r="AA310" s="9">
        <v>0</v>
      </c>
      <c r="AB310" s="9">
        <v>0</v>
      </c>
      <c r="AC310" s="9">
        <v>0</v>
      </c>
      <c r="AD310" s="9">
        <v>0</v>
      </c>
      <c r="AE310" s="9">
        <v>0</v>
      </c>
      <c r="AF310" s="9">
        <v>0</v>
      </c>
      <c r="AG310" s="9">
        <v>0</v>
      </c>
      <c r="AH310" s="9">
        <v>0</v>
      </c>
      <c r="AI310" s="9">
        <v>0</v>
      </c>
      <c r="AJ310" s="9">
        <v>0</v>
      </c>
      <c r="AK310" s="9">
        <v>0</v>
      </c>
      <c r="AL310" s="9">
        <v>0</v>
      </c>
      <c r="AM310" s="9">
        <v>0</v>
      </c>
      <c r="AN310" s="9">
        <v>0</v>
      </c>
      <c r="AO310" s="9">
        <v>0</v>
      </c>
      <c r="AP310" s="9">
        <v>0</v>
      </c>
      <c r="AQ310" s="9">
        <v>0</v>
      </c>
      <c r="AR310" s="9">
        <v>0</v>
      </c>
      <c r="AS310" s="9">
        <v>0</v>
      </c>
      <c r="AT310" s="9">
        <v>0</v>
      </c>
      <c r="AU310" s="9">
        <v>0</v>
      </c>
      <c r="AV310" s="9">
        <v>0</v>
      </c>
      <c r="AW310" s="9">
        <v>0</v>
      </c>
      <c r="AX310" s="9">
        <v>0</v>
      </c>
      <c r="AY310" s="9">
        <v>0</v>
      </c>
      <c r="AZ310" s="9">
        <v>0</v>
      </c>
      <c r="BA310" s="9">
        <v>0</v>
      </c>
      <c r="BB310" s="9">
        <v>0</v>
      </c>
      <c r="BC310" s="9">
        <v>0</v>
      </c>
      <c r="BD310" s="9">
        <v>0</v>
      </c>
      <c r="BE310" s="9">
        <v>0</v>
      </c>
      <c r="BF310" s="9">
        <v>0</v>
      </c>
      <c r="BG310" s="9">
        <v>0</v>
      </c>
      <c r="BH310" s="9">
        <v>0</v>
      </c>
      <c r="BI310" s="9">
        <v>0</v>
      </c>
      <c r="BJ310" s="9">
        <v>0</v>
      </c>
      <c r="BK310" s="9">
        <v>0</v>
      </c>
      <c r="BL310" s="9">
        <v>0</v>
      </c>
      <c r="BM310" s="9">
        <v>0</v>
      </c>
      <c r="BN310" s="9">
        <v>0</v>
      </c>
      <c r="BO310" s="9">
        <v>0</v>
      </c>
      <c r="BP310" s="10">
        <v>0</v>
      </c>
      <c r="BQ310">
        <v>0</v>
      </c>
      <c r="BR310">
        <v>0</v>
      </c>
    </row>
    <row r="311" spans="1:70" x14ac:dyDescent="0.35">
      <c r="A311" s="8" t="s">
        <v>342</v>
      </c>
      <c r="B311" s="9" t="s">
        <v>1031</v>
      </c>
      <c r="C311" s="10" t="s">
        <v>1032</v>
      </c>
      <c r="D311" s="34">
        <f t="shared" si="6"/>
        <v>0</v>
      </c>
      <c r="E311" s="9">
        <v>0</v>
      </c>
      <c r="F311" s="9">
        <v>0</v>
      </c>
      <c r="G311" s="9">
        <v>0</v>
      </c>
      <c r="H311" s="9">
        <v>0</v>
      </c>
      <c r="I311" s="9">
        <v>0</v>
      </c>
      <c r="J311" s="9">
        <v>0</v>
      </c>
      <c r="K311" s="9">
        <v>0</v>
      </c>
      <c r="L311" s="9">
        <v>0</v>
      </c>
      <c r="M311" s="9">
        <v>0</v>
      </c>
      <c r="N311" s="9">
        <v>0</v>
      </c>
      <c r="O311" s="9">
        <v>0</v>
      </c>
      <c r="P311" s="9">
        <v>0</v>
      </c>
      <c r="Q311" s="9">
        <v>0</v>
      </c>
      <c r="R311" s="9">
        <v>0</v>
      </c>
      <c r="S311" s="9">
        <v>0</v>
      </c>
      <c r="T311" s="9">
        <v>0</v>
      </c>
      <c r="U311" s="9">
        <v>0</v>
      </c>
      <c r="V311" s="9">
        <v>0</v>
      </c>
      <c r="W311" s="9">
        <v>0</v>
      </c>
      <c r="X311" s="9">
        <v>0</v>
      </c>
      <c r="Y311" s="9">
        <v>0</v>
      </c>
      <c r="Z311" s="9">
        <v>0</v>
      </c>
      <c r="AA311" s="9">
        <v>0</v>
      </c>
      <c r="AB311" s="9">
        <v>0</v>
      </c>
      <c r="AC311" s="9">
        <v>0</v>
      </c>
      <c r="AD311" s="9">
        <v>0</v>
      </c>
      <c r="AE311" s="9">
        <v>0</v>
      </c>
      <c r="AF311" s="9">
        <v>0</v>
      </c>
      <c r="AG311" s="9">
        <v>0</v>
      </c>
      <c r="AH311" s="9">
        <v>0</v>
      </c>
      <c r="AI311" s="9">
        <v>0</v>
      </c>
      <c r="AJ311" s="9">
        <v>0</v>
      </c>
      <c r="AK311" s="9">
        <v>0</v>
      </c>
      <c r="AL311" s="9">
        <v>0</v>
      </c>
      <c r="AM311" s="9">
        <v>0</v>
      </c>
      <c r="AN311" s="9">
        <v>0</v>
      </c>
      <c r="AO311" s="9">
        <v>0</v>
      </c>
      <c r="AP311" s="9">
        <v>0</v>
      </c>
      <c r="AQ311" s="9">
        <v>0</v>
      </c>
      <c r="AR311" s="9">
        <v>0</v>
      </c>
      <c r="AS311" s="9">
        <v>0</v>
      </c>
      <c r="AT311" s="9">
        <v>0</v>
      </c>
      <c r="AU311" s="9">
        <v>0</v>
      </c>
      <c r="AV311" s="9">
        <v>0</v>
      </c>
      <c r="AW311" s="9">
        <v>0</v>
      </c>
      <c r="AX311" s="9">
        <v>0</v>
      </c>
      <c r="AY311" s="9">
        <v>0</v>
      </c>
      <c r="AZ311" s="9">
        <v>0</v>
      </c>
      <c r="BA311" s="9">
        <v>0</v>
      </c>
      <c r="BB311" s="9">
        <v>0</v>
      </c>
      <c r="BC311" s="9">
        <v>0</v>
      </c>
      <c r="BD311" s="9">
        <v>0</v>
      </c>
      <c r="BE311" s="9">
        <v>0</v>
      </c>
      <c r="BF311" s="9">
        <v>0</v>
      </c>
      <c r="BG311" s="9">
        <v>0</v>
      </c>
      <c r="BH311" s="9">
        <v>0</v>
      </c>
      <c r="BI311" s="9">
        <v>0</v>
      </c>
      <c r="BJ311" s="9">
        <v>0</v>
      </c>
      <c r="BK311" s="9">
        <v>0</v>
      </c>
      <c r="BL311" s="9">
        <v>0</v>
      </c>
      <c r="BM311" s="9">
        <v>0</v>
      </c>
      <c r="BN311" s="9">
        <v>0</v>
      </c>
      <c r="BO311" s="9">
        <v>0</v>
      </c>
      <c r="BP311" s="10">
        <v>0</v>
      </c>
      <c r="BQ311">
        <v>0</v>
      </c>
      <c r="BR311">
        <v>0</v>
      </c>
    </row>
    <row r="312" spans="1:70" x14ac:dyDescent="0.35">
      <c r="A312" s="8" t="s">
        <v>342</v>
      </c>
      <c r="B312" s="9" t="s">
        <v>1033</v>
      </c>
      <c r="C312" s="10" t="s">
        <v>1034</v>
      </c>
      <c r="D312" s="34">
        <f t="shared" si="6"/>
        <v>0</v>
      </c>
      <c r="E312" s="9">
        <v>0</v>
      </c>
      <c r="F312" s="9">
        <v>0</v>
      </c>
      <c r="G312" s="9">
        <v>0</v>
      </c>
      <c r="H312" s="9">
        <v>0</v>
      </c>
      <c r="I312" s="9">
        <v>0</v>
      </c>
      <c r="J312" s="9">
        <v>0</v>
      </c>
      <c r="K312" s="9">
        <v>0</v>
      </c>
      <c r="L312" s="9">
        <v>0</v>
      </c>
      <c r="M312" s="9">
        <v>0</v>
      </c>
      <c r="N312" s="9">
        <v>0</v>
      </c>
      <c r="O312" s="9">
        <v>0</v>
      </c>
      <c r="P312" s="9">
        <v>0</v>
      </c>
      <c r="Q312" s="9">
        <v>0</v>
      </c>
      <c r="R312" s="9">
        <v>0</v>
      </c>
      <c r="S312" s="9">
        <v>0</v>
      </c>
      <c r="T312" s="9">
        <v>0</v>
      </c>
      <c r="U312" s="9">
        <v>0</v>
      </c>
      <c r="V312" s="9">
        <v>0</v>
      </c>
      <c r="W312" s="9">
        <v>0</v>
      </c>
      <c r="X312" s="9">
        <v>0</v>
      </c>
      <c r="Y312" s="9">
        <v>0</v>
      </c>
      <c r="Z312" s="9">
        <v>0</v>
      </c>
      <c r="AA312" s="9">
        <v>0</v>
      </c>
      <c r="AB312" s="9">
        <v>0</v>
      </c>
      <c r="AC312" s="9">
        <v>0</v>
      </c>
      <c r="AD312" s="9">
        <v>0</v>
      </c>
      <c r="AE312" s="9">
        <v>0</v>
      </c>
      <c r="AF312" s="9">
        <v>0</v>
      </c>
      <c r="AG312" s="9">
        <v>0</v>
      </c>
      <c r="AH312" s="9">
        <v>0</v>
      </c>
      <c r="AI312" s="9">
        <v>0</v>
      </c>
      <c r="AJ312" s="9">
        <v>0</v>
      </c>
      <c r="AK312" s="9">
        <v>0</v>
      </c>
      <c r="AL312" s="9">
        <v>0</v>
      </c>
      <c r="AM312" s="9">
        <v>0</v>
      </c>
      <c r="AN312" s="9">
        <v>0</v>
      </c>
      <c r="AO312" s="9">
        <v>0</v>
      </c>
      <c r="AP312" s="9">
        <v>0</v>
      </c>
      <c r="AQ312" s="9">
        <v>0</v>
      </c>
      <c r="AR312" s="9">
        <v>0</v>
      </c>
      <c r="AS312" s="9">
        <v>0</v>
      </c>
      <c r="AT312" s="9">
        <v>0</v>
      </c>
      <c r="AU312" s="9">
        <v>0</v>
      </c>
      <c r="AV312" s="9">
        <v>0</v>
      </c>
      <c r="AW312" s="9">
        <v>0</v>
      </c>
      <c r="AX312" s="9">
        <v>0</v>
      </c>
      <c r="AY312" s="9">
        <v>0</v>
      </c>
      <c r="AZ312" s="9">
        <v>0</v>
      </c>
      <c r="BA312" s="9">
        <v>0</v>
      </c>
      <c r="BB312" s="9">
        <v>0</v>
      </c>
      <c r="BC312" s="9">
        <v>0</v>
      </c>
      <c r="BD312" s="9">
        <v>0</v>
      </c>
      <c r="BE312" s="9">
        <v>0</v>
      </c>
      <c r="BF312" s="9">
        <v>0</v>
      </c>
      <c r="BG312" s="9">
        <v>0</v>
      </c>
      <c r="BH312" s="9">
        <v>0</v>
      </c>
      <c r="BI312" s="9">
        <v>0</v>
      </c>
      <c r="BJ312" s="9">
        <v>0</v>
      </c>
      <c r="BK312" s="9">
        <v>0</v>
      </c>
      <c r="BL312" s="9">
        <v>0</v>
      </c>
      <c r="BM312" s="9">
        <v>0</v>
      </c>
      <c r="BN312" s="9">
        <v>0</v>
      </c>
      <c r="BO312" s="9">
        <v>0</v>
      </c>
      <c r="BP312" s="10">
        <v>0</v>
      </c>
      <c r="BQ312">
        <v>0</v>
      </c>
      <c r="BR312">
        <v>0</v>
      </c>
    </row>
    <row r="313" spans="1:70" x14ac:dyDescent="0.35">
      <c r="A313" s="8" t="s">
        <v>342</v>
      </c>
      <c r="B313" s="9" t="s">
        <v>1035</v>
      </c>
      <c r="C313" s="10" t="s">
        <v>1036</v>
      </c>
      <c r="D313" s="34">
        <f t="shared" si="6"/>
        <v>0</v>
      </c>
      <c r="E313" s="9">
        <v>0</v>
      </c>
      <c r="F313" s="9">
        <v>0</v>
      </c>
      <c r="G313" s="9">
        <v>0</v>
      </c>
      <c r="H313" s="9">
        <v>0</v>
      </c>
      <c r="I313" s="9">
        <v>0</v>
      </c>
      <c r="J313" s="9">
        <v>0</v>
      </c>
      <c r="K313" s="9">
        <v>0</v>
      </c>
      <c r="L313" s="9">
        <v>0</v>
      </c>
      <c r="M313" s="9">
        <v>0</v>
      </c>
      <c r="N313" s="9">
        <v>0</v>
      </c>
      <c r="O313" s="9">
        <v>0</v>
      </c>
      <c r="P313" s="9">
        <v>0</v>
      </c>
      <c r="Q313" s="9">
        <v>0</v>
      </c>
      <c r="R313" s="9">
        <v>0</v>
      </c>
      <c r="S313" s="9">
        <v>0</v>
      </c>
      <c r="T313" s="9">
        <v>0</v>
      </c>
      <c r="U313" s="9">
        <v>0</v>
      </c>
      <c r="V313" s="9">
        <v>0</v>
      </c>
      <c r="W313" s="9">
        <v>0</v>
      </c>
      <c r="X313" s="9">
        <v>0</v>
      </c>
      <c r="Y313" s="9">
        <v>0</v>
      </c>
      <c r="Z313" s="9">
        <v>0</v>
      </c>
      <c r="AA313" s="9">
        <v>0</v>
      </c>
      <c r="AB313" s="9">
        <v>0</v>
      </c>
      <c r="AC313" s="9">
        <v>0</v>
      </c>
      <c r="AD313" s="9">
        <v>0</v>
      </c>
      <c r="AE313" s="9">
        <v>0</v>
      </c>
      <c r="AF313" s="9">
        <v>0</v>
      </c>
      <c r="AG313" s="9">
        <v>0</v>
      </c>
      <c r="AH313" s="9">
        <v>0</v>
      </c>
      <c r="AI313" s="9">
        <v>0</v>
      </c>
      <c r="AJ313" s="9">
        <v>0</v>
      </c>
      <c r="AK313" s="9">
        <v>0</v>
      </c>
      <c r="AL313" s="9">
        <v>0</v>
      </c>
      <c r="AM313" s="9">
        <v>0</v>
      </c>
      <c r="AN313" s="9">
        <v>0</v>
      </c>
      <c r="AO313" s="9">
        <v>0</v>
      </c>
      <c r="AP313" s="9">
        <v>0</v>
      </c>
      <c r="AQ313" s="9">
        <v>0</v>
      </c>
      <c r="AR313" s="9">
        <v>0</v>
      </c>
      <c r="AS313" s="9">
        <v>0</v>
      </c>
      <c r="AT313" s="9">
        <v>0</v>
      </c>
      <c r="AU313" s="9">
        <v>0</v>
      </c>
      <c r="AV313" s="9">
        <v>0</v>
      </c>
      <c r="AW313" s="9">
        <v>0</v>
      </c>
      <c r="AX313" s="9">
        <v>0</v>
      </c>
      <c r="AY313" s="9">
        <v>0</v>
      </c>
      <c r="AZ313" s="9">
        <v>0</v>
      </c>
      <c r="BA313" s="9">
        <v>0</v>
      </c>
      <c r="BB313" s="9">
        <v>0</v>
      </c>
      <c r="BC313" s="9">
        <v>0</v>
      </c>
      <c r="BD313" s="9">
        <v>0</v>
      </c>
      <c r="BE313" s="9">
        <v>0</v>
      </c>
      <c r="BF313" s="9">
        <v>0</v>
      </c>
      <c r="BG313" s="9">
        <v>0</v>
      </c>
      <c r="BH313" s="9">
        <v>0</v>
      </c>
      <c r="BI313" s="9">
        <v>0</v>
      </c>
      <c r="BJ313" s="9">
        <v>0</v>
      </c>
      <c r="BK313" s="9">
        <v>0</v>
      </c>
      <c r="BL313" s="9">
        <v>0</v>
      </c>
      <c r="BM313" s="9">
        <v>0</v>
      </c>
      <c r="BN313" s="9">
        <v>0</v>
      </c>
      <c r="BO313" s="9">
        <v>0</v>
      </c>
      <c r="BP313" s="10">
        <v>0</v>
      </c>
      <c r="BQ313">
        <v>0</v>
      </c>
      <c r="BR313">
        <v>0</v>
      </c>
    </row>
    <row r="314" spans="1:70" x14ac:dyDescent="0.35">
      <c r="A314" s="8" t="s">
        <v>342</v>
      </c>
      <c r="B314" s="9" t="s">
        <v>1037</v>
      </c>
      <c r="C314" s="10" t="s">
        <v>1038</v>
      </c>
      <c r="D314" s="34">
        <f t="shared" si="6"/>
        <v>0</v>
      </c>
      <c r="E314" s="9">
        <v>0</v>
      </c>
      <c r="F314" s="9">
        <v>0</v>
      </c>
      <c r="G314" s="9">
        <v>0</v>
      </c>
      <c r="H314" s="9">
        <v>0</v>
      </c>
      <c r="I314" s="9">
        <v>0</v>
      </c>
      <c r="J314" s="9">
        <v>0</v>
      </c>
      <c r="K314" s="9">
        <v>0</v>
      </c>
      <c r="L314" s="9">
        <v>0</v>
      </c>
      <c r="M314" s="9">
        <v>0</v>
      </c>
      <c r="N314" s="9">
        <v>0</v>
      </c>
      <c r="O314" s="9">
        <v>0</v>
      </c>
      <c r="P314" s="9">
        <v>0</v>
      </c>
      <c r="Q314" s="9">
        <v>0</v>
      </c>
      <c r="R314" s="9">
        <v>0</v>
      </c>
      <c r="S314" s="9">
        <v>0</v>
      </c>
      <c r="T314" s="9">
        <v>0</v>
      </c>
      <c r="U314" s="9">
        <v>0</v>
      </c>
      <c r="V314" s="9">
        <v>0</v>
      </c>
      <c r="W314" s="9">
        <v>0</v>
      </c>
      <c r="X314" s="9">
        <v>0</v>
      </c>
      <c r="Y314" s="9">
        <v>0</v>
      </c>
      <c r="Z314" s="9">
        <v>0</v>
      </c>
      <c r="AA314" s="9">
        <v>0</v>
      </c>
      <c r="AB314" s="9">
        <v>0</v>
      </c>
      <c r="AC314" s="9">
        <v>0</v>
      </c>
      <c r="AD314" s="9">
        <v>0</v>
      </c>
      <c r="AE314" s="9">
        <v>0</v>
      </c>
      <c r="AF314" s="9">
        <v>0</v>
      </c>
      <c r="AG314" s="9">
        <v>0</v>
      </c>
      <c r="AH314" s="9">
        <v>0</v>
      </c>
      <c r="AI314" s="9">
        <v>0</v>
      </c>
      <c r="AJ314" s="9">
        <v>0</v>
      </c>
      <c r="AK314" s="9">
        <v>0</v>
      </c>
      <c r="AL314" s="9">
        <v>0</v>
      </c>
      <c r="AM314" s="9">
        <v>0</v>
      </c>
      <c r="AN314" s="9">
        <v>0</v>
      </c>
      <c r="AO314" s="9">
        <v>0</v>
      </c>
      <c r="AP314" s="9">
        <v>0</v>
      </c>
      <c r="AQ314" s="9">
        <v>0</v>
      </c>
      <c r="AR314" s="9">
        <v>0</v>
      </c>
      <c r="AS314" s="9">
        <v>0</v>
      </c>
      <c r="AT314" s="9">
        <v>0</v>
      </c>
      <c r="AU314" s="9">
        <v>0</v>
      </c>
      <c r="AV314" s="9">
        <v>0</v>
      </c>
      <c r="AW314" s="9">
        <v>0</v>
      </c>
      <c r="AX314" s="9">
        <v>0</v>
      </c>
      <c r="AY314" s="9">
        <v>0</v>
      </c>
      <c r="AZ314" s="9">
        <v>0</v>
      </c>
      <c r="BA314" s="9">
        <v>0</v>
      </c>
      <c r="BB314" s="9">
        <v>0</v>
      </c>
      <c r="BC314" s="9">
        <v>0</v>
      </c>
      <c r="BD314" s="9">
        <v>0</v>
      </c>
      <c r="BE314" s="9">
        <v>0</v>
      </c>
      <c r="BF314" s="9">
        <v>0</v>
      </c>
      <c r="BG314" s="9">
        <v>0</v>
      </c>
      <c r="BH314" s="9">
        <v>0</v>
      </c>
      <c r="BI314" s="9">
        <v>0</v>
      </c>
      <c r="BJ314" s="9">
        <v>0</v>
      </c>
      <c r="BK314" s="9">
        <v>0</v>
      </c>
      <c r="BL314" s="9">
        <v>0</v>
      </c>
      <c r="BM314" s="9">
        <v>0</v>
      </c>
      <c r="BN314" s="9">
        <v>0</v>
      </c>
      <c r="BO314" s="9">
        <v>0</v>
      </c>
      <c r="BP314" s="10">
        <v>0</v>
      </c>
      <c r="BQ314">
        <v>0</v>
      </c>
      <c r="BR314">
        <v>0</v>
      </c>
    </row>
    <row r="315" spans="1:70" x14ac:dyDescent="0.35">
      <c r="A315" s="8" t="s">
        <v>342</v>
      </c>
      <c r="B315" s="9" t="s">
        <v>1039</v>
      </c>
      <c r="C315" s="10" t="s">
        <v>1040</v>
      </c>
      <c r="D315" s="34">
        <f t="shared" si="6"/>
        <v>0</v>
      </c>
      <c r="E315" s="9">
        <v>0</v>
      </c>
      <c r="F315" s="9">
        <v>0</v>
      </c>
      <c r="G315" s="9">
        <v>0</v>
      </c>
      <c r="H315" s="9">
        <v>0</v>
      </c>
      <c r="I315" s="9">
        <v>0</v>
      </c>
      <c r="J315" s="9">
        <v>0</v>
      </c>
      <c r="K315" s="9">
        <v>0</v>
      </c>
      <c r="L315" s="9">
        <v>0</v>
      </c>
      <c r="M315" s="9">
        <v>0</v>
      </c>
      <c r="N315" s="9">
        <v>0</v>
      </c>
      <c r="O315" s="9">
        <v>0</v>
      </c>
      <c r="P315" s="9">
        <v>0</v>
      </c>
      <c r="Q315" s="9">
        <v>0</v>
      </c>
      <c r="R315" s="9">
        <v>0</v>
      </c>
      <c r="S315" s="9">
        <v>0</v>
      </c>
      <c r="T315" s="9">
        <v>0</v>
      </c>
      <c r="U315" s="9">
        <v>0</v>
      </c>
      <c r="V315" s="9">
        <v>0</v>
      </c>
      <c r="W315" s="9">
        <v>0</v>
      </c>
      <c r="X315" s="9">
        <v>0</v>
      </c>
      <c r="Y315" s="9">
        <v>0</v>
      </c>
      <c r="Z315" s="9">
        <v>0</v>
      </c>
      <c r="AA315" s="9">
        <v>0</v>
      </c>
      <c r="AB315" s="9">
        <v>0</v>
      </c>
      <c r="AC315" s="9">
        <v>0</v>
      </c>
      <c r="AD315" s="9">
        <v>0</v>
      </c>
      <c r="AE315" s="9">
        <v>0</v>
      </c>
      <c r="AF315" s="9">
        <v>0</v>
      </c>
      <c r="AG315" s="9">
        <v>0</v>
      </c>
      <c r="AH315" s="9">
        <v>0</v>
      </c>
      <c r="AI315" s="9">
        <v>0</v>
      </c>
      <c r="AJ315" s="9">
        <v>0</v>
      </c>
      <c r="AK315" s="9">
        <v>0</v>
      </c>
      <c r="AL315" s="9">
        <v>0</v>
      </c>
      <c r="AM315" s="9">
        <v>0</v>
      </c>
      <c r="AN315" s="9">
        <v>0</v>
      </c>
      <c r="AO315" s="9">
        <v>0</v>
      </c>
      <c r="AP315" s="9">
        <v>0</v>
      </c>
      <c r="AQ315" s="9">
        <v>0</v>
      </c>
      <c r="AR315" s="9">
        <v>0</v>
      </c>
      <c r="AS315" s="9">
        <v>0</v>
      </c>
      <c r="AT315" s="9">
        <v>0</v>
      </c>
      <c r="AU315" s="9">
        <v>0</v>
      </c>
      <c r="AV315" s="9">
        <v>0</v>
      </c>
      <c r="AW315" s="9">
        <v>0</v>
      </c>
      <c r="AX315" s="9">
        <v>0</v>
      </c>
      <c r="AY315" s="9">
        <v>0</v>
      </c>
      <c r="AZ315" s="9">
        <v>0</v>
      </c>
      <c r="BA315" s="9">
        <v>0</v>
      </c>
      <c r="BB315" s="9">
        <v>0</v>
      </c>
      <c r="BC315" s="9">
        <v>0</v>
      </c>
      <c r="BD315" s="9">
        <v>0</v>
      </c>
      <c r="BE315" s="9">
        <v>0</v>
      </c>
      <c r="BF315" s="9">
        <v>0</v>
      </c>
      <c r="BG315" s="9">
        <v>0</v>
      </c>
      <c r="BH315" s="9">
        <v>0</v>
      </c>
      <c r="BI315" s="9">
        <v>0</v>
      </c>
      <c r="BJ315" s="9">
        <v>0</v>
      </c>
      <c r="BK315" s="9">
        <v>0</v>
      </c>
      <c r="BL315" s="9">
        <v>0</v>
      </c>
      <c r="BM315" s="9">
        <v>0</v>
      </c>
      <c r="BN315" s="9">
        <v>0</v>
      </c>
      <c r="BO315" s="9">
        <v>0</v>
      </c>
      <c r="BP315" s="10">
        <v>0</v>
      </c>
      <c r="BQ315">
        <v>0</v>
      </c>
      <c r="BR315">
        <v>0</v>
      </c>
    </row>
    <row r="316" spans="1:70" x14ac:dyDescent="0.35">
      <c r="A316" s="8" t="s">
        <v>342</v>
      </c>
      <c r="B316" s="9" t="s">
        <v>1041</v>
      </c>
      <c r="C316" s="10" t="s">
        <v>1042</v>
      </c>
      <c r="D316" s="34">
        <f t="shared" si="6"/>
        <v>0</v>
      </c>
      <c r="E316" s="9">
        <v>0</v>
      </c>
      <c r="F316" s="9">
        <v>0</v>
      </c>
      <c r="G316" s="9">
        <v>0</v>
      </c>
      <c r="H316" s="9">
        <v>0</v>
      </c>
      <c r="I316" s="9">
        <v>0</v>
      </c>
      <c r="J316" s="9">
        <v>0</v>
      </c>
      <c r="K316" s="9">
        <v>0</v>
      </c>
      <c r="L316" s="9">
        <v>0</v>
      </c>
      <c r="M316" s="9">
        <v>0</v>
      </c>
      <c r="N316" s="9">
        <v>0</v>
      </c>
      <c r="O316" s="9">
        <v>0</v>
      </c>
      <c r="P316" s="9">
        <v>0</v>
      </c>
      <c r="Q316" s="9">
        <v>0</v>
      </c>
      <c r="R316" s="9">
        <v>0</v>
      </c>
      <c r="S316" s="9">
        <v>0</v>
      </c>
      <c r="T316" s="9">
        <v>0</v>
      </c>
      <c r="U316" s="9">
        <v>0</v>
      </c>
      <c r="V316" s="9">
        <v>0</v>
      </c>
      <c r="W316" s="9">
        <v>0</v>
      </c>
      <c r="X316" s="9">
        <v>0</v>
      </c>
      <c r="Y316" s="9">
        <v>0</v>
      </c>
      <c r="Z316" s="9">
        <v>0</v>
      </c>
      <c r="AA316" s="9">
        <v>0</v>
      </c>
      <c r="AB316" s="9">
        <v>0</v>
      </c>
      <c r="AC316" s="9">
        <v>0</v>
      </c>
      <c r="AD316" s="9">
        <v>0</v>
      </c>
      <c r="AE316" s="9">
        <v>0</v>
      </c>
      <c r="AF316" s="9">
        <v>0</v>
      </c>
      <c r="AG316" s="9">
        <v>0</v>
      </c>
      <c r="AH316" s="9">
        <v>0</v>
      </c>
      <c r="AI316" s="9">
        <v>0</v>
      </c>
      <c r="AJ316" s="9">
        <v>0</v>
      </c>
      <c r="AK316" s="9">
        <v>0</v>
      </c>
      <c r="AL316" s="9">
        <v>0</v>
      </c>
      <c r="AM316" s="9">
        <v>0</v>
      </c>
      <c r="AN316" s="9">
        <v>0</v>
      </c>
      <c r="AO316" s="9">
        <v>0</v>
      </c>
      <c r="AP316" s="9">
        <v>0</v>
      </c>
      <c r="AQ316" s="9">
        <v>0</v>
      </c>
      <c r="AR316" s="9">
        <v>0</v>
      </c>
      <c r="AS316" s="9">
        <v>0</v>
      </c>
      <c r="AT316" s="9">
        <v>0</v>
      </c>
      <c r="AU316" s="9">
        <v>0</v>
      </c>
      <c r="AV316" s="9">
        <v>0</v>
      </c>
      <c r="AW316" s="9">
        <v>0</v>
      </c>
      <c r="AX316" s="9">
        <v>0</v>
      </c>
      <c r="AY316" s="9">
        <v>0</v>
      </c>
      <c r="AZ316" s="9">
        <v>0</v>
      </c>
      <c r="BA316" s="9">
        <v>0</v>
      </c>
      <c r="BB316" s="9">
        <v>0</v>
      </c>
      <c r="BC316" s="9">
        <v>0</v>
      </c>
      <c r="BD316" s="9">
        <v>0</v>
      </c>
      <c r="BE316" s="9">
        <v>0</v>
      </c>
      <c r="BF316" s="9">
        <v>0</v>
      </c>
      <c r="BG316" s="9">
        <v>0</v>
      </c>
      <c r="BH316" s="9">
        <v>0</v>
      </c>
      <c r="BI316" s="9">
        <v>0</v>
      </c>
      <c r="BJ316" s="9">
        <v>0</v>
      </c>
      <c r="BK316" s="9">
        <v>0</v>
      </c>
      <c r="BL316" s="9">
        <v>0</v>
      </c>
      <c r="BM316" s="9">
        <v>0</v>
      </c>
      <c r="BN316" s="9">
        <v>0</v>
      </c>
      <c r="BO316" s="9">
        <v>0</v>
      </c>
      <c r="BP316" s="10">
        <v>0</v>
      </c>
      <c r="BQ316">
        <v>0</v>
      </c>
      <c r="BR316">
        <v>0</v>
      </c>
    </row>
    <row r="317" spans="1:70" x14ac:dyDescent="0.35">
      <c r="A317" s="8" t="s">
        <v>342</v>
      </c>
      <c r="B317" s="9" t="s">
        <v>1043</v>
      </c>
      <c r="C317" s="10" t="s">
        <v>1044</v>
      </c>
      <c r="D317" s="34">
        <f t="shared" si="6"/>
        <v>0</v>
      </c>
      <c r="E317" s="9">
        <v>0</v>
      </c>
      <c r="F317" s="9">
        <v>0</v>
      </c>
      <c r="G317" s="9">
        <v>0</v>
      </c>
      <c r="H317" s="9">
        <v>0</v>
      </c>
      <c r="I317" s="9">
        <v>0</v>
      </c>
      <c r="J317" s="9">
        <v>0</v>
      </c>
      <c r="K317" s="9">
        <v>0</v>
      </c>
      <c r="L317" s="9">
        <v>0</v>
      </c>
      <c r="M317" s="9">
        <v>0</v>
      </c>
      <c r="N317" s="9">
        <v>0</v>
      </c>
      <c r="O317" s="9">
        <v>0</v>
      </c>
      <c r="P317" s="9">
        <v>0</v>
      </c>
      <c r="Q317" s="9">
        <v>0</v>
      </c>
      <c r="R317" s="9">
        <v>0</v>
      </c>
      <c r="S317" s="9">
        <v>0</v>
      </c>
      <c r="T317" s="9">
        <v>0</v>
      </c>
      <c r="U317" s="9">
        <v>0</v>
      </c>
      <c r="V317" s="9">
        <v>0</v>
      </c>
      <c r="W317" s="9">
        <v>0</v>
      </c>
      <c r="X317" s="9">
        <v>0</v>
      </c>
      <c r="Y317" s="9">
        <v>0</v>
      </c>
      <c r="Z317" s="9">
        <v>0</v>
      </c>
      <c r="AA317" s="9">
        <v>0</v>
      </c>
      <c r="AB317" s="9">
        <v>0</v>
      </c>
      <c r="AC317" s="9">
        <v>0</v>
      </c>
      <c r="AD317" s="9">
        <v>0</v>
      </c>
      <c r="AE317" s="9">
        <v>0</v>
      </c>
      <c r="AF317" s="9">
        <v>0</v>
      </c>
      <c r="AG317" s="9">
        <v>0</v>
      </c>
      <c r="AH317" s="9">
        <v>0</v>
      </c>
      <c r="AI317" s="9">
        <v>0</v>
      </c>
      <c r="AJ317" s="9">
        <v>0</v>
      </c>
      <c r="AK317" s="9">
        <v>0</v>
      </c>
      <c r="AL317" s="9">
        <v>0</v>
      </c>
      <c r="AM317" s="9">
        <v>0</v>
      </c>
      <c r="AN317" s="9">
        <v>0</v>
      </c>
      <c r="AO317" s="9">
        <v>0</v>
      </c>
      <c r="AP317" s="9">
        <v>0</v>
      </c>
      <c r="AQ317" s="9">
        <v>0</v>
      </c>
      <c r="AR317" s="9">
        <v>0</v>
      </c>
      <c r="AS317" s="9">
        <v>0</v>
      </c>
      <c r="AT317" s="9">
        <v>0</v>
      </c>
      <c r="AU317" s="9">
        <v>0</v>
      </c>
      <c r="AV317" s="9">
        <v>0</v>
      </c>
      <c r="AW317" s="9">
        <v>0</v>
      </c>
      <c r="AX317" s="9">
        <v>0</v>
      </c>
      <c r="AY317" s="9">
        <v>0</v>
      </c>
      <c r="AZ317" s="9">
        <v>0</v>
      </c>
      <c r="BA317" s="9">
        <v>0</v>
      </c>
      <c r="BB317" s="9">
        <v>0</v>
      </c>
      <c r="BC317" s="9">
        <v>0</v>
      </c>
      <c r="BD317" s="9">
        <v>0</v>
      </c>
      <c r="BE317" s="9">
        <v>0</v>
      </c>
      <c r="BF317" s="9">
        <v>0</v>
      </c>
      <c r="BG317" s="9">
        <v>0</v>
      </c>
      <c r="BH317" s="9">
        <v>0</v>
      </c>
      <c r="BI317" s="9">
        <v>0</v>
      </c>
      <c r="BJ317" s="9">
        <v>0</v>
      </c>
      <c r="BK317" s="9">
        <v>0</v>
      </c>
      <c r="BL317" s="9">
        <v>0</v>
      </c>
      <c r="BM317" s="9">
        <v>0</v>
      </c>
      <c r="BN317" s="9">
        <v>0</v>
      </c>
      <c r="BO317" s="9">
        <v>0</v>
      </c>
      <c r="BP317" s="10">
        <v>0</v>
      </c>
      <c r="BQ317">
        <v>0</v>
      </c>
      <c r="BR317">
        <v>0</v>
      </c>
    </row>
    <row r="318" spans="1:70" x14ac:dyDescent="0.35">
      <c r="A318" s="8" t="s">
        <v>342</v>
      </c>
      <c r="B318" s="9" t="s">
        <v>1045</v>
      </c>
      <c r="C318" s="10" t="s">
        <v>1046</v>
      </c>
      <c r="D318" s="34">
        <f t="shared" si="6"/>
        <v>0</v>
      </c>
      <c r="E318" s="9">
        <v>0</v>
      </c>
      <c r="F318" s="9">
        <v>0</v>
      </c>
      <c r="G318" s="9">
        <v>0</v>
      </c>
      <c r="H318" s="9">
        <v>0</v>
      </c>
      <c r="I318" s="9">
        <v>0</v>
      </c>
      <c r="J318" s="9">
        <v>0</v>
      </c>
      <c r="K318" s="9">
        <v>0</v>
      </c>
      <c r="L318" s="9">
        <v>0</v>
      </c>
      <c r="M318" s="9">
        <v>0</v>
      </c>
      <c r="N318" s="9">
        <v>0</v>
      </c>
      <c r="O318" s="9">
        <v>0</v>
      </c>
      <c r="P318" s="9">
        <v>0</v>
      </c>
      <c r="Q318" s="9">
        <v>0</v>
      </c>
      <c r="R318" s="9">
        <v>0</v>
      </c>
      <c r="S318" s="9">
        <v>0</v>
      </c>
      <c r="T318" s="9">
        <v>0</v>
      </c>
      <c r="U318" s="9">
        <v>0</v>
      </c>
      <c r="V318" s="9">
        <v>0</v>
      </c>
      <c r="W318" s="9">
        <v>0</v>
      </c>
      <c r="X318" s="9">
        <v>0</v>
      </c>
      <c r="Y318" s="9">
        <v>0</v>
      </c>
      <c r="Z318" s="9">
        <v>0</v>
      </c>
      <c r="AA318" s="9">
        <v>0</v>
      </c>
      <c r="AB318" s="9">
        <v>0</v>
      </c>
      <c r="AC318" s="9">
        <v>0</v>
      </c>
      <c r="AD318" s="9">
        <v>0</v>
      </c>
      <c r="AE318" s="9">
        <v>0</v>
      </c>
      <c r="AF318" s="9">
        <v>0</v>
      </c>
      <c r="AG318" s="9">
        <v>0</v>
      </c>
      <c r="AH318" s="9">
        <v>0</v>
      </c>
      <c r="AI318" s="9">
        <v>0</v>
      </c>
      <c r="AJ318" s="9">
        <v>0</v>
      </c>
      <c r="AK318" s="9">
        <v>0</v>
      </c>
      <c r="AL318" s="9">
        <v>0</v>
      </c>
      <c r="AM318" s="9">
        <v>0</v>
      </c>
      <c r="AN318" s="9">
        <v>0</v>
      </c>
      <c r="AO318" s="9">
        <v>0</v>
      </c>
      <c r="AP318" s="9">
        <v>0</v>
      </c>
      <c r="AQ318" s="9">
        <v>0</v>
      </c>
      <c r="AR318" s="9">
        <v>0</v>
      </c>
      <c r="AS318" s="9">
        <v>0</v>
      </c>
      <c r="AT318" s="9">
        <v>0</v>
      </c>
      <c r="AU318" s="9">
        <v>0</v>
      </c>
      <c r="AV318" s="9">
        <v>0</v>
      </c>
      <c r="AW318" s="9">
        <v>0</v>
      </c>
      <c r="AX318" s="9">
        <v>0</v>
      </c>
      <c r="AY318" s="9">
        <v>0</v>
      </c>
      <c r="AZ318" s="9">
        <v>0</v>
      </c>
      <c r="BA318" s="9">
        <v>0</v>
      </c>
      <c r="BB318" s="9">
        <v>0</v>
      </c>
      <c r="BC318" s="9">
        <v>0</v>
      </c>
      <c r="BD318" s="9">
        <v>0</v>
      </c>
      <c r="BE318" s="9">
        <v>0</v>
      </c>
      <c r="BF318" s="9">
        <v>0</v>
      </c>
      <c r="BG318" s="9">
        <v>0</v>
      </c>
      <c r="BH318" s="9">
        <v>0</v>
      </c>
      <c r="BI318" s="9">
        <v>0</v>
      </c>
      <c r="BJ318" s="9">
        <v>0</v>
      </c>
      <c r="BK318" s="9">
        <v>0</v>
      </c>
      <c r="BL318" s="9">
        <v>0</v>
      </c>
      <c r="BM318" s="9">
        <v>0</v>
      </c>
      <c r="BN318" s="9">
        <v>0</v>
      </c>
      <c r="BO318" s="9">
        <v>0</v>
      </c>
      <c r="BP318" s="10">
        <v>0</v>
      </c>
      <c r="BQ318">
        <v>0</v>
      </c>
      <c r="BR318">
        <v>0</v>
      </c>
    </row>
    <row r="319" spans="1:70" x14ac:dyDescent="0.35">
      <c r="A319" s="8" t="s">
        <v>342</v>
      </c>
      <c r="B319" s="9" t="s">
        <v>1047</v>
      </c>
      <c r="C319" s="10" t="s">
        <v>1048</v>
      </c>
      <c r="D319" s="34">
        <f t="shared" si="6"/>
        <v>0</v>
      </c>
      <c r="E319" s="9">
        <v>0</v>
      </c>
      <c r="F319" s="9">
        <v>0</v>
      </c>
      <c r="G319" s="9">
        <v>0</v>
      </c>
      <c r="H319" s="9">
        <v>0</v>
      </c>
      <c r="I319" s="9">
        <v>0</v>
      </c>
      <c r="J319" s="9">
        <v>0</v>
      </c>
      <c r="K319" s="9">
        <v>0</v>
      </c>
      <c r="L319" s="9">
        <v>0</v>
      </c>
      <c r="M319" s="9">
        <v>0</v>
      </c>
      <c r="N319" s="9">
        <v>0</v>
      </c>
      <c r="O319" s="9">
        <v>0</v>
      </c>
      <c r="P319" s="9">
        <v>0</v>
      </c>
      <c r="Q319" s="9">
        <v>0</v>
      </c>
      <c r="R319" s="9">
        <v>0</v>
      </c>
      <c r="S319" s="9">
        <v>0</v>
      </c>
      <c r="T319" s="9">
        <v>0</v>
      </c>
      <c r="U319" s="9">
        <v>0</v>
      </c>
      <c r="V319" s="9">
        <v>0</v>
      </c>
      <c r="W319" s="9">
        <v>0</v>
      </c>
      <c r="X319" s="9">
        <v>0</v>
      </c>
      <c r="Y319" s="9">
        <v>0</v>
      </c>
      <c r="Z319" s="9">
        <v>0</v>
      </c>
      <c r="AA319" s="9">
        <v>0</v>
      </c>
      <c r="AB319" s="9">
        <v>0</v>
      </c>
      <c r="AC319" s="9">
        <v>0</v>
      </c>
      <c r="AD319" s="9">
        <v>0</v>
      </c>
      <c r="AE319" s="9">
        <v>0</v>
      </c>
      <c r="AF319" s="9">
        <v>0</v>
      </c>
      <c r="AG319" s="9">
        <v>0</v>
      </c>
      <c r="AH319" s="9">
        <v>0</v>
      </c>
      <c r="AI319" s="9">
        <v>0</v>
      </c>
      <c r="AJ319" s="9">
        <v>0</v>
      </c>
      <c r="AK319" s="9">
        <v>0</v>
      </c>
      <c r="AL319" s="9">
        <v>0</v>
      </c>
      <c r="AM319" s="9">
        <v>0</v>
      </c>
      <c r="AN319" s="9">
        <v>0</v>
      </c>
      <c r="AO319" s="9">
        <v>0</v>
      </c>
      <c r="AP319" s="9">
        <v>0</v>
      </c>
      <c r="AQ319" s="9">
        <v>0</v>
      </c>
      <c r="AR319" s="9">
        <v>0</v>
      </c>
      <c r="AS319" s="9">
        <v>0</v>
      </c>
      <c r="AT319" s="9">
        <v>0</v>
      </c>
      <c r="AU319" s="9">
        <v>0</v>
      </c>
      <c r="AV319" s="9">
        <v>0</v>
      </c>
      <c r="AW319" s="9">
        <v>0</v>
      </c>
      <c r="AX319" s="9">
        <v>0</v>
      </c>
      <c r="AY319" s="9">
        <v>0</v>
      </c>
      <c r="AZ319" s="9">
        <v>0</v>
      </c>
      <c r="BA319" s="9">
        <v>0</v>
      </c>
      <c r="BB319" s="9">
        <v>0</v>
      </c>
      <c r="BC319" s="9">
        <v>0</v>
      </c>
      <c r="BD319" s="9">
        <v>0</v>
      </c>
      <c r="BE319" s="9">
        <v>0</v>
      </c>
      <c r="BF319" s="9">
        <v>0</v>
      </c>
      <c r="BG319" s="9">
        <v>0</v>
      </c>
      <c r="BH319" s="9">
        <v>0</v>
      </c>
      <c r="BI319" s="9">
        <v>0</v>
      </c>
      <c r="BJ319" s="9">
        <v>0</v>
      </c>
      <c r="BK319" s="9">
        <v>0</v>
      </c>
      <c r="BL319" s="9">
        <v>0</v>
      </c>
      <c r="BM319" s="9">
        <v>0</v>
      </c>
      <c r="BN319" s="9">
        <v>0</v>
      </c>
      <c r="BO319" s="9">
        <v>0</v>
      </c>
      <c r="BP319" s="10">
        <v>0</v>
      </c>
      <c r="BQ319">
        <v>0</v>
      </c>
      <c r="BR319">
        <v>0</v>
      </c>
    </row>
    <row r="320" spans="1:70" x14ac:dyDescent="0.35">
      <c r="A320" s="8" t="s">
        <v>342</v>
      </c>
      <c r="B320" s="9" t="s">
        <v>1049</v>
      </c>
      <c r="C320" s="10" t="s">
        <v>1050</v>
      </c>
      <c r="D320" s="34">
        <f t="shared" si="6"/>
        <v>0</v>
      </c>
      <c r="E320" s="9">
        <v>0</v>
      </c>
      <c r="F320" s="9">
        <v>0</v>
      </c>
      <c r="G320" s="9">
        <v>0</v>
      </c>
      <c r="H320" s="9">
        <v>0</v>
      </c>
      <c r="I320" s="9">
        <v>0</v>
      </c>
      <c r="J320" s="9">
        <v>0</v>
      </c>
      <c r="K320" s="9">
        <v>0</v>
      </c>
      <c r="L320" s="9">
        <v>0</v>
      </c>
      <c r="M320" s="9">
        <v>0</v>
      </c>
      <c r="N320" s="9">
        <v>0</v>
      </c>
      <c r="O320" s="9">
        <v>0</v>
      </c>
      <c r="P320" s="9">
        <v>0</v>
      </c>
      <c r="Q320" s="9">
        <v>0</v>
      </c>
      <c r="R320" s="9">
        <v>0</v>
      </c>
      <c r="S320" s="9">
        <v>0</v>
      </c>
      <c r="T320" s="9">
        <v>0</v>
      </c>
      <c r="U320" s="9">
        <v>0</v>
      </c>
      <c r="V320" s="9">
        <v>0</v>
      </c>
      <c r="W320" s="9">
        <v>0</v>
      </c>
      <c r="X320" s="9">
        <v>0</v>
      </c>
      <c r="Y320" s="9">
        <v>0</v>
      </c>
      <c r="Z320" s="9">
        <v>0</v>
      </c>
      <c r="AA320" s="9">
        <v>0</v>
      </c>
      <c r="AB320" s="9">
        <v>0</v>
      </c>
      <c r="AC320" s="9">
        <v>0</v>
      </c>
      <c r="AD320" s="9">
        <v>0</v>
      </c>
      <c r="AE320" s="9">
        <v>0</v>
      </c>
      <c r="AF320" s="9">
        <v>0</v>
      </c>
      <c r="AG320" s="9">
        <v>0</v>
      </c>
      <c r="AH320" s="9">
        <v>0</v>
      </c>
      <c r="AI320" s="9">
        <v>0</v>
      </c>
      <c r="AJ320" s="9">
        <v>0</v>
      </c>
      <c r="AK320" s="9">
        <v>0</v>
      </c>
      <c r="AL320" s="9">
        <v>0</v>
      </c>
      <c r="AM320" s="9">
        <v>0</v>
      </c>
      <c r="AN320" s="9">
        <v>0</v>
      </c>
      <c r="AO320" s="9">
        <v>0</v>
      </c>
      <c r="AP320" s="9">
        <v>0</v>
      </c>
      <c r="AQ320" s="9">
        <v>0</v>
      </c>
      <c r="AR320" s="9">
        <v>0</v>
      </c>
      <c r="AS320" s="9">
        <v>0</v>
      </c>
      <c r="AT320" s="9">
        <v>0</v>
      </c>
      <c r="AU320" s="9">
        <v>0</v>
      </c>
      <c r="AV320" s="9">
        <v>0</v>
      </c>
      <c r="AW320" s="9">
        <v>0</v>
      </c>
      <c r="AX320" s="9">
        <v>0</v>
      </c>
      <c r="AY320" s="9">
        <v>0</v>
      </c>
      <c r="AZ320" s="9">
        <v>0</v>
      </c>
      <c r="BA320" s="9">
        <v>0</v>
      </c>
      <c r="BB320" s="9">
        <v>0</v>
      </c>
      <c r="BC320" s="9">
        <v>0</v>
      </c>
      <c r="BD320" s="9">
        <v>0</v>
      </c>
      <c r="BE320" s="9">
        <v>0</v>
      </c>
      <c r="BF320" s="9">
        <v>0</v>
      </c>
      <c r="BG320" s="9">
        <v>0</v>
      </c>
      <c r="BH320" s="9">
        <v>0</v>
      </c>
      <c r="BI320" s="9">
        <v>0</v>
      </c>
      <c r="BJ320" s="9">
        <v>0</v>
      </c>
      <c r="BK320" s="9">
        <v>0</v>
      </c>
      <c r="BL320" s="9">
        <v>0</v>
      </c>
      <c r="BM320" s="9">
        <v>0</v>
      </c>
      <c r="BN320" s="9">
        <v>0</v>
      </c>
      <c r="BO320" s="9">
        <v>0</v>
      </c>
      <c r="BP320" s="10">
        <v>0</v>
      </c>
      <c r="BQ320">
        <v>0</v>
      </c>
      <c r="BR320">
        <v>0</v>
      </c>
    </row>
    <row r="321" spans="1:70" x14ac:dyDescent="0.35">
      <c r="A321" s="8" t="s">
        <v>342</v>
      </c>
      <c r="B321" s="9" t="s">
        <v>1051</v>
      </c>
      <c r="C321" s="10" t="s">
        <v>1052</v>
      </c>
      <c r="D321" s="34">
        <f t="shared" si="6"/>
        <v>0</v>
      </c>
      <c r="E321" s="9">
        <v>0</v>
      </c>
      <c r="F321" s="9">
        <v>0</v>
      </c>
      <c r="G321" s="9">
        <v>0</v>
      </c>
      <c r="H321" s="9">
        <v>0</v>
      </c>
      <c r="I321" s="9">
        <v>0</v>
      </c>
      <c r="J321" s="9">
        <v>0</v>
      </c>
      <c r="K321" s="9">
        <v>0</v>
      </c>
      <c r="L321" s="9">
        <v>0</v>
      </c>
      <c r="M321" s="9">
        <v>0</v>
      </c>
      <c r="N321" s="9">
        <v>0</v>
      </c>
      <c r="O321" s="9">
        <v>0</v>
      </c>
      <c r="P321" s="9">
        <v>0</v>
      </c>
      <c r="Q321" s="9">
        <v>0</v>
      </c>
      <c r="R321" s="9">
        <v>0</v>
      </c>
      <c r="S321" s="9">
        <v>0</v>
      </c>
      <c r="T321" s="9">
        <v>0</v>
      </c>
      <c r="U321" s="9">
        <v>0</v>
      </c>
      <c r="V321" s="9">
        <v>0</v>
      </c>
      <c r="W321" s="9">
        <v>0</v>
      </c>
      <c r="X321" s="9">
        <v>0</v>
      </c>
      <c r="Y321" s="9">
        <v>0</v>
      </c>
      <c r="Z321" s="9">
        <v>0</v>
      </c>
      <c r="AA321" s="9">
        <v>0</v>
      </c>
      <c r="AB321" s="9">
        <v>0</v>
      </c>
      <c r="AC321" s="9">
        <v>0</v>
      </c>
      <c r="AD321" s="9">
        <v>0</v>
      </c>
      <c r="AE321" s="9">
        <v>0</v>
      </c>
      <c r="AF321" s="9">
        <v>0</v>
      </c>
      <c r="AG321" s="9">
        <v>0</v>
      </c>
      <c r="AH321" s="9">
        <v>0</v>
      </c>
      <c r="AI321" s="9">
        <v>0</v>
      </c>
      <c r="AJ321" s="9">
        <v>0</v>
      </c>
      <c r="AK321" s="9">
        <v>0</v>
      </c>
      <c r="AL321" s="9">
        <v>0</v>
      </c>
      <c r="AM321" s="9">
        <v>0</v>
      </c>
      <c r="AN321" s="9">
        <v>0</v>
      </c>
      <c r="AO321" s="9">
        <v>0</v>
      </c>
      <c r="AP321" s="9">
        <v>0</v>
      </c>
      <c r="AQ321" s="9">
        <v>0</v>
      </c>
      <c r="AR321" s="9">
        <v>0</v>
      </c>
      <c r="AS321" s="9">
        <v>0</v>
      </c>
      <c r="AT321" s="9">
        <v>0</v>
      </c>
      <c r="AU321" s="9">
        <v>0</v>
      </c>
      <c r="AV321" s="9">
        <v>0</v>
      </c>
      <c r="AW321" s="9">
        <v>0</v>
      </c>
      <c r="AX321" s="9">
        <v>0</v>
      </c>
      <c r="AY321" s="9">
        <v>0</v>
      </c>
      <c r="AZ321" s="9">
        <v>0</v>
      </c>
      <c r="BA321" s="9">
        <v>0</v>
      </c>
      <c r="BB321" s="9">
        <v>0</v>
      </c>
      <c r="BC321" s="9">
        <v>0</v>
      </c>
      <c r="BD321" s="9">
        <v>0</v>
      </c>
      <c r="BE321" s="9">
        <v>0</v>
      </c>
      <c r="BF321" s="9">
        <v>0</v>
      </c>
      <c r="BG321" s="9">
        <v>0</v>
      </c>
      <c r="BH321" s="9">
        <v>0</v>
      </c>
      <c r="BI321" s="9">
        <v>0</v>
      </c>
      <c r="BJ321" s="9">
        <v>0</v>
      </c>
      <c r="BK321" s="9">
        <v>0</v>
      </c>
      <c r="BL321" s="9">
        <v>0</v>
      </c>
      <c r="BM321" s="9">
        <v>0</v>
      </c>
      <c r="BN321" s="9">
        <v>0</v>
      </c>
      <c r="BO321" s="9">
        <v>0</v>
      </c>
      <c r="BP321" s="10">
        <v>0</v>
      </c>
      <c r="BQ321">
        <v>0</v>
      </c>
      <c r="BR321">
        <v>0</v>
      </c>
    </row>
    <row r="322" spans="1:70" x14ac:dyDescent="0.35">
      <c r="A322" s="8" t="s">
        <v>342</v>
      </c>
      <c r="B322" s="9" t="s">
        <v>1053</v>
      </c>
      <c r="C322" s="10" t="s">
        <v>1054</v>
      </c>
      <c r="D322" s="34">
        <f t="shared" si="6"/>
        <v>2</v>
      </c>
      <c r="E322" s="9">
        <v>0</v>
      </c>
      <c r="F322" s="9">
        <v>0</v>
      </c>
      <c r="G322" s="9">
        <v>0</v>
      </c>
      <c r="H322" s="9">
        <v>0</v>
      </c>
      <c r="I322" s="9">
        <v>0</v>
      </c>
      <c r="J322" s="9">
        <v>0</v>
      </c>
      <c r="K322" s="9">
        <v>0</v>
      </c>
      <c r="L322" s="9">
        <v>0</v>
      </c>
      <c r="M322" s="9">
        <v>0</v>
      </c>
      <c r="N322" s="9">
        <v>0</v>
      </c>
      <c r="O322" s="9">
        <v>0</v>
      </c>
      <c r="P322" s="9">
        <v>0</v>
      </c>
      <c r="Q322" s="9">
        <v>0</v>
      </c>
      <c r="R322" s="9">
        <v>0</v>
      </c>
      <c r="S322" s="9">
        <v>0</v>
      </c>
      <c r="T322" s="9">
        <v>0</v>
      </c>
      <c r="U322" s="9">
        <v>0</v>
      </c>
      <c r="V322" s="9">
        <v>0</v>
      </c>
      <c r="W322" s="9">
        <v>0</v>
      </c>
      <c r="X322" s="9">
        <v>0</v>
      </c>
      <c r="Y322" s="9">
        <v>0</v>
      </c>
      <c r="Z322" s="9">
        <v>0</v>
      </c>
      <c r="AA322" s="9">
        <v>0</v>
      </c>
      <c r="AB322" s="9">
        <v>0</v>
      </c>
      <c r="AC322" s="9">
        <v>0</v>
      </c>
      <c r="AD322" s="9">
        <v>0</v>
      </c>
      <c r="AE322" s="9">
        <v>0</v>
      </c>
      <c r="AF322" s="9">
        <v>0</v>
      </c>
      <c r="AG322" s="9">
        <v>0</v>
      </c>
      <c r="AH322" s="9">
        <v>0</v>
      </c>
      <c r="AI322" s="9">
        <v>0</v>
      </c>
      <c r="AJ322" s="9">
        <v>0</v>
      </c>
      <c r="AK322" s="9">
        <v>0</v>
      </c>
      <c r="AL322" s="9">
        <v>0</v>
      </c>
      <c r="AM322" s="9">
        <v>0</v>
      </c>
      <c r="AN322" s="9">
        <v>0</v>
      </c>
      <c r="AO322" s="9">
        <v>0</v>
      </c>
      <c r="AP322" s="9">
        <v>0</v>
      </c>
      <c r="AQ322" s="9">
        <v>0</v>
      </c>
      <c r="AR322" s="9">
        <v>0</v>
      </c>
      <c r="AS322" s="9">
        <v>0</v>
      </c>
      <c r="AT322" s="9">
        <v>0</v>
      </c>
      <c r="AU322" s="9">
        <v>0</v>
      </c>
      <c r="AV322" s="9">
        <v>0</v>
      </c>
      <c r="AW322" s="9">
        <v>0</v>
      </c>
      <c r="AX322" s="9">
        <v>0</v>
      </c>
      <c r="AY322" s="9">
        <v>0</v>
      </c>
      <c r="AZ322" s="9">
        <v>0</v>
      </c>
      <c r="BA322" s="9">
        <v>0</v>
      </c>
      <c r="BB322" s="9">
        <v>0</v>
      </c>
      <c r="BC322" s="9">
        <v>0</v>
      </c>
      <c r="BD322" s="9">
        <v>0</v>
      </c>
      <c r="BE322" s="9">
        <v>0</v>
      </c>
      <c r="BF322" s="9">
        <v>0</v>
      </c>
      <c r="BG322" s="9">
        <v>0</v>
      </c>
      <c r="BH322" s="9">
        <v>0</v>
      </c>
      <c r="BI322" s="9">
        <v>2</v>
      </c>
      <c r="BJ322" s="9">
        <v>2</v>
      </c>
      <c r="BK322" s="9">
        <v>2</v>
      </c>
      <c r="BL322" s="9">
        <v>2</v>
      </c>
      <c r="BM322" s="9">
        <v>2</v>
      </c>
      <c r="BN322" s="9">
        <v>2</v>
      </c>
      <c r="BO322" s="9">
        <v>2</v>
      </c>
      <c r="BP322" s="10">
        <v>2</v>
      </c>
      <c r="BQ322">
        <v>2</v>
      </c>
      <c r="BR322">
        <v>2</v>
      </c>
    </row>
    <row r="323" spans="1:70" x14ac:dyDescent="0.35">
      <c r="A323" s="8" t="s">
        <v>342</v>
      </c>
      <c r="B323" s="9" t="s">
        <v>1055</v>
      </c>
      <c r="C323" s="10" t="s">
        <v>1056</v>
      </c>
      <c r="D323" s="34">
        <f t="shared" si="6"/>
        <v>0</v>
      </c>
      <c r="E323" s="9">
        <v>0</v>
      </c>
      <c r="F323" s="9">
        <v>0</v>
      </c>
      <c r="G323" s="9">
        <v>0</v>
      </c>
      <c r="H323" s="9">
        <v>0</v>
      </c>
      <c r="I323" s="9">
        <v>0</v>
      </c>
      <c r="J323" s="9">
        <v>0</v>
      </c>
      <c r="K323" s="9">
        <v>0</v>
      </c>
      <c r="L323" s="9">
        <v>0</v>
      </c>
      <c r="M323" s="9">
        <v>0</v>
      </c>
      <c r="N323" s="9">
        <v>0</v>
      </c>
      <c r="O323" s="9">
        <v>0</v>
      </c>
      <c r="P323" s="9">
        <v>0</v>
      </c>
      <c r="Q323" s="9">
        <v>0</v>
      </c>
      <c r="R323" s="9">
        <v>0</v>
      </c>
      <c r="S323" s="9">
        <v>0</v>
      </c>
      <c r="T323" s="9">
        <v>0</v>
      </c>
      <c r="U323" s="9">
        <v>0</v>
      </c>
      <c r="V323" s="9">
        <v>0</v>
      </c>
      <c r="W323" s="9">
        <v>0</v>
      </c>
      <c r="X323" s="9">
        <v>0</v>
      </c>
      <c r="Y323" s="9">
        <v>0</v>
      </c>
      <c r="Z323" s="9">
        <v>0</v>
      </c>
      <c r="AA323" s="9">
        <v>0</v>
      </c>
      <c r="AB323" s="9">
        <v>0</v>
      </c>
      <c r="AC323" s="9">
        <v>0</v>
      </c>
      <c r="AD323" s="9">
        <v>0</v>
      </c>
      <c r="AE323" s="9">
        <v>0</v>
      </c>
      <c r="AF323" s="9">
        <v>0</v>
      </c>
      <c r="AG323" s="9">
        <v>0</v>
      </c>
      <c r="AH323" s="9">
        <v>0</v>
      </c>
      <c r="AI323" s="9">
        <v>0</v>
      </c>
      <c r="AJ323" s="9">
        <v>0</v>
      </c>
      <c r="AK323" s="9">
        <v>0</v>
      </c>
      <c r="AL323" s="9">
        <v>0</v>
      </c>
      <c r="AM323" s="9">
        <v>0</v>
      </c>
      <c r="AN323" s="9">
        <v>0</v>
      </c>
      <c r="AO323" s="9">
        <v>0</v>
      </c>
      <c r="AP323" s="9">
        <v>0</v>
      </c>
      <c r="AQ323" s="9">
        <v>0</v>
      </c>
      <c r="AR323" s="9">
        <v>0</v>
      </c>
      <c r="AS323" s="9">
        <v>0</v>
      </c>
      <c r="AT323" s="9">
        <v>0</v>
      </c>
      <c r="AU323" s="9">
        <v>0</v>
      </c>
      <c r="AV323" s="9">
        <v>0</v>
      </c>
      <c r="AW323" s="9">
        <v>0</v>
      </c>
      <c r="AX323" s="9">
        <v>0</v>
      </c>
      <c r="AY323" s="9">
        <v>0</v>
      </c>
      <c r="AZ323" s="9">
        <v>0</v>
      </c>
      <c r="BA323" s="9">
        <v>0</v>
      </c>
      <c r="BB323" s="9">
        <v>0</v>
      </c>
      <c r="BC323" s="9">
        <v>0</v>
      </c>
      <c r="BD323" s="9">
        <v>0</v>
      </c>
      <c r="BE323" s="9">
        <v>0</v>
      </c>
      <c r="BF323" s="9">
        <v>0</v>
      </c>
      <c r="BG323" s="9">
        <v>0</v>
      </c>
      <c r="BH323" s="9">
        <v>0</v>
      </c>
      <c r="BI323" s="9">
        <v>0</v>
      </c>
      <c r="BJ323" s="9">
        <v>0</v>
      </c>
      <c r="BK323" s="9">
        <v>0</v>
      </c>
      <c r="BL323" s="9">
        <v>0</v>
      </c>
      <c r="BM323" s="9">
        <v>0</v>
      </c>
      <c r="BN323" s="9">
        <v>0</v>
      </c>
      <c r="BO323" s="9">
        <v>0</v>
      </c>
      <c r="BP323" s="10">
        <v>0</v>
      </c>
      <c r="BQ323">
        <v>0</v>
      </c>
      <c r="BR323">
        <v>0</v>
      </c>
    </row>
    <row r="324" spans="1:70" x14ac:dyDescent="0.35">
      <c r="A324" s="8" t="s">
        <v>342</v>
      </c>
      <c r="B324" s="9" t="s">
        <v>1057</v>
      </c>
      <c r="C324" s="10" t="s">
        <v>1058</v>
      </c>
      <c r="D324" s="34">
        <f t="shared" si="6"/>
        <v>0</v>
      </c>
      <c r="E324" s="9">
        <v>0</v>
      </c>
      <c r="F324" s="9">
        <v>0</v>
      </c>
      <c r="G324" s="9">
        <v>0</v>
      </c>
      <c r="H324" s="9">
        <v>0</v>
      </c>
      <c r="I324" s="9">
        <v>0</v>
      </c>
      <c r="J324" s="9">
        <v>0</v>
      </c>
      <c r="K324" s="9">
        <v>0</v>
      </c>
      <c r="L324" s="9">
        <v>0</v>
      </c>
      <c r="M324" s="9">
        <v>0</v>
      </c>
      <c r="N324" s="9">
        <v>0</v>
      </c>
      <c r="O324" s="9">
        <v>0</v>
      </c>
      <c r="P324" s="9">
        <v>0</v>
      </c>
      <c r="Q324" s="9">
        <v>0</v>
      </c>
      <c r="R324" s="9">
        <v>0</v>
      </c>
      <c r="S324" s="9">
        <v>0</v>
      </c>
      <c r="T324" s="9">
        <v>0</v>
      </c>
      <c r="U324" s="9">
        <v>0</v>
      </c>
      <c r="V324" s="9">
        <v>0</v>
      </c>
      <c r="W324" s="9">
        <v>0</v>
      </c>
      <c r="X324" s="9">
        <v>0</v>
      </c>
      <c r="Y324" s="9">
        <v>0</v>
      </c>
      <c r="Z324" s="9">
        <v>0</v>
      </c>
      <c r="AA324" s="9">
        <v>0</v>
      </c>
      <c r="AB324" s="9">
        <v>0</v>
      </c>
      <c r="AC324" s="9">
        <v>0</v>
      </c>
      <c r="AD324" s="9">
        <v>0</v>
      </c>
      <c r="AE324" s="9">
        <v>0</v>
      </c>
      <c r="AF324" s="9">
        <v>0</v>
      </c>
      <c r="AG324" s="9">
        <v>0</v>
      </c>
      <c r="AH324" s="9">
        <v>0</v>
      </c>
      <c r="AI324" s="9">
        <v>0</v>
      </c>
      <c r="AJ324" s="9">
        <v>0</v>
      </c>
      <c r="AK324" s="9">
        <v>0</v>
      </c>
      <c r="AL324" s="9">
        <v>0</v>
      </c>
      <c r="AM324" s="9">
        <v>0</v>
      </c>
      <c r="AN324" s="9">
        <v>0</v>
      </c>
      <c r="AO324" s="9">
        <v>0</v>
      </c>
      <c r="AP324" s="9">
        <v>0</v>
      </c>
      <c r="AQ324" s="9">
        <v>0</v>
      </c>
      <c r="AR324" s="9">
        <v>0</v>
      </c>
      <c r="AS324" s="9">
        <v>0</v>
      </c>
      <c r="AT324" s="9">
        <v>0</v>
      </c>
      <c r="AU324" s="9">
        <v>0</v>
      </c>
      <c r="AV324" s="9">
        <v>0</v>
      </c>
      <c r="AW324" s="9">
        <v>0</v>
      </c>
      <c r="AX324" s="9">
        <v>0</v>
      </c>
      <c r="AY324" s="9">
        <v>0</v>
      </c>
      <c r="AZ324" s="9">
        <v>0</v>
      </c>
      <c r="BA324" s="9">
        <v>0</v>
      </c>
      <c r="BB324" s="9">
        <v>0</v>
      </c>
      <c r="BC324" s="9">
        <v>0</v>
      </c>
      <c r="BD324" s="9">
        <v>0</v>
      </c>
      <c r="BE324" s="9">
        <v>0</v>
      </c>
      <c r="BF324" s="9">
        <v>0</v>
      </c>
      <c r="BG324" s="9">
        <v>0</v>
      </c>
      <c r="BH324" s="9">
        <v>0</v>
      </c>
      <c r="BI324" s="9">
        <v>0</v>
      </c>
      <c r="BJ324" s="9">
        <v>0</v>
      </c>
      <c r="BK324" s="9">
        <v>0</v>
      </c>
      <c r="BL324" s="9">
        <v>0</v>
      </c>
      <c r="BM324" s="9">
        <v>0</v>
      </c>
      <c r="BN324" s="9">
        <v>0</v>
      </c>
      <c r="BO324" s="9">
        <v>0</v>
      </c>
      <c r="BP324" s="10">
        <v>0</v>
      </c>
      <c r="BQ324">
        <v>0</v>
      </c>
      <c r="BR324">
        <v>0</v>
      </c>
    </row>
    <row r="325" spans="1:70" x14ac:dyDescent="0.35">
      <c r="A325" s="8" t="s">
        <v>342</v>
      </c>
      <c r="B325" s="9" t="s">
        <v>1059</v>
      </c>
      <c r="C325" s="10" t="s">
        <v>1060</v>
      </c>
      <c r="D325" s="34">
        <f t="shared" si="6"/>
        <v>0</v>
      </c>
      <c r="E325" s="9">
        <v>0</v>
      </c>
      <c r="F325" s="9">
        <v>0</v>
      </c>
      <c r="G325" s="9">
        <v>0</v>
      </c>
      <c r="H325" s="9">
        <v>0</v>
      </c>
      <c r="I325" s="9">
        <v>0</v>
      </c>
      <c r="J325" s="9">
        <v>0</v>
      </c>
      <c r="K325" s="9">
        <v>0</v>
      </c>
      <c r="L325" s="9">
        <v>0</v>
      </c>
      <c r="M325" s="9">
        <v>0</v>
      </c>
      <c r="N325" s="9">
        <v>0</v>
      </c>
      <c r="O325" s="9">
        <v>0</v>
      </c>
      <c r="P325" s="9">
        <v>0</v>
      </c>
      <c r="Q325" s="9">
        <v>0</v>
      </c>
      <c r="R325" s="9">
        <v>0</v>
      </c>
      <c r="S325" s="9">
        <v>0</v>
      </c>
      <c r="T325" s="9">
        <v>0</v>
      </c>
      <c r="U325" s="9">
        <v>0</v>
      </c>
      <c r="V325" s="9">
        <v>0</v>
      </c>
      <c r="W325" s="9">
        <v>0</v>
      </c>
      <c r="X325" s="9">
        <v>0</v>
      </c>
      <c r="Y325" s="9">
        <v>0</v>
      </c>
      <c r="Z325" s="9">
        <v>0</v>
      </c>
      <c r="AA325" s="9">
        <v>0</v>
      </c>
      <c r="AB325" s="9">
        <v>0</v>
      </c>
      <c r="AC325" s="9">
        <v>0</v>
      </c>
      <c r="AD325" s="9">
        <v>0</v>
      </c>
      <c r="AE325" s="9">
        <v>0</v>
      </c>
      <c r="AF325" s="9">
        <v>0</v>
      </c>
      <c r="AG325" s="9">
        <v>0</v>
      </c>
      <c r="AH325" s="9">
        <v>0</v>
      </c>
      <c r="AI325" s="9">
        <v>0</v>
      </c>
      <c r="AJ325" s="9">
        <v>0</v>
      </c>
      <c r="AK325" s="9">
        <v>0</v>
      </c>
      <c r="AL325" s="9">
        <v>0</v>
      </c>
      <c r="AM325" s="9">
        <v>0</v>
      </c>
      <c r="AN325" s="9">
        <v>0</v>
      </c>
      <c r="AO325" s="9">
        <v>0</v>
      </c>
      <c r="AP325" s="9">
        <v>0</v>
      </c>
      <c r="AQ325" s="9">
        <v>0</v>
      </c>
      <c r="AR325" s="9">
        <v>0</v>
      </c>
      <c r="AS325" s="9">
        <v>0</v>
      </c>
      <c r="AT325" s="9">
        <v>0</v>
      </c>
      <c r="AU325" s="9">
        <v>0</v>
      </c>
      <c r="AV325" s="9">
        <v>0</v>
      </c>
      <c r="AW325" s="9">
        <v>0</v>
      </c>
      <c r="AX325" s="9">
        <v>0</v>
      </c>
      <c r="AY325" s="9">
        <v>0</v>
      </c>
      <c r="AZ325" s="9">
        <v>0</v>
      </c>
      <c r="BA325" s="9">
        <v>0</v>
      </c>
      <c r="BB325" s="9">
        <v>0</v>
      </c>
      <c r="BC325" s="9">
        <v>0</v>
      </c>
      <c r="BD325" s="9">
        <v>0</v>
      </c>
      <c r="BE325" s="9">
        <v>0</v>
      </c>
      <c r="BF325" s="9">
        <v>0</v>
      </c>
      <c r="BG325" s="9">
        <v>0</v>
      </c>
      <c r="BH325" s="9">
        <v>0</v>
      </c>
      <c r="BI325" s="9">
        <v>0</v>
      </c>
      <c r="BJ325" s="9">
        <v>0</v>
      </c>
      <c r="BK325" s="9">
        <v>0</v>
      </c>
      <c r="BL325" s="9">
        <v>0</v>
      </c>
      <c r="BM325" s="9">
        <v>0</v>
      </c>
      <c r="BN325" s="9">
        <v>0</v>
      </c>
      <c r="BO325" s="9">
        <v>0</v>
      </c>
      <c r="BP325" s="10">
        <v>0</v>
      </c>
      <c r="BQ325">
        <v>0</v>
      </c>
      <c r="BR325">
        <v>0</v>
      </c>
    </row>
    <row r="326" spans="1:70" x14ac:dyDescent="0.35">
      <c r="A326" s="8" t="s">
        <v>342</v>
      </c>
      <c r="B326" s="9" t="s">
        <v>1061</v>
      </c>
      <c r="C326" s="10" t="s">
        <v>1062</v>
      </c>
      <c r="D326" s="34">
        <f t="shared" ref="D326:D389" si="7">MAX(E326:BR326)</f>
        <v>0</v>
      </c>
      <c r="E326" s="9">
        <v>0</v>
      </c>
      <c r="F326" s="9">
        <v>0</v>
      </c>
      <c r="G326" s="9">
        <v>0</v>
      </c>
      <c r="H326" s="9">
        <v>0</v>
      </c>
      <c r="I326" s="9">
        <v>0</v>
      </c>
      <c r="J326" s="9">
        <v>0</v>
      </c>
      <c r="K326" s="9">
        <v>0</v>
      </c>
      <c r="L326" s="9">
        <v>0</v>
      </c>
      <c r="M326" s="9">
        <v>0</v>
      </c>
      <c r="N326" s="9">
        <v>0</v>
      </c>
      <c r="O326" s="9">
        <v>0</v>
      </c>
      <c r="P326" s="9">
        <v>0</v>
      </c>
      <c r="Q326" s="9">
        <v>0</v>
      </c>
      <c r="R326" s="9">
        <v>0</v>
      </c>
      <c r="S326" s="9">
        <v>0</v>
      </c>
      <c r="T326" s="9">
        <v>0</v>
      </c>
      <c r="U326" s="9">
        <v>0</v>
      </c>
      <c r="V326" s="9">
        <v>0</v>
      </c>
      <c r="W326" s="9">
        <v>0</v>
      </c>
      <c r="X326" s="9">
        <v>0</v>
      </c>
      <c r="Y326" s="9">
        <v>0</v>
      </c>
      <c r="Z326" s="9">
        <v>0</v>
      </c>
      <c r="AA326" s="9">
        <v>0</v>
      </c>
      <c r="AB326" s="9">
        <v>0</v>
      </c>
      <c r="AC326" s="9">
        <v>0</v>
      </c>
      <c r="AD326" s="9">
        <v>0</v>
      </c>
      <c r="AE326" s="9">
        <v>0</v>
      </c>
      <c r="AF326" s="9">
        <v>0</v>
      </c>
      <c r="AG326" s="9">
        <v>0</v>
      </c>
      <c r="AH326" s="9">
        <v>0</v>
      </c>
      <c r="AI326" s="9">
        <v>0</v>
      </c>
      <c r="AJ326" s="9">
        <v>0</v>
      </c>
      <c r="AK326" s="9">
        <v>0</v>
      </c>
      <c r="AL326" s="9">
        <v>0</v>
      </c>
      <c r="AM326" s="9">
        <v>0</v>
      </c>
      <c r="AN326" s="9">
        <v>0</v>
      </c>
      <c r="AO326" s="9">
        <v>0</v>
      </c>
      <c r="AP326" s="9">
        <v>0</v>
      </c>
      <c r="AQ326" s="9">
        <v>0</v>
      </c>
      <c r="AR326" s="9">
        <v>0</v>
      </c>
      <c r="AS326" s="9">
        <v>0</v>
      </c>
      <c r="AT326" s="9">
        <v>0</v>
      </c>
      <c r="AU326" s="9">
        <v>0</v>
      </c>
      <c r="AV326" s="9">
        <v>0</v>
      </c>
      <c r="AW326" s="9">
        <v>0</v>
      </c>
      <c r="AX326" s="9">
        <v>0</v>
      </c>
      <c r="AY326" s="9">
        <v>0</v>
      </c>
      <c r="AZ326" s="9">
        <v>0</v>
      </c>
      <c r="BA326" s="9">
        <v>0</v>
      </c>
      <c r="BB326" s="9">
        <v>0</v>
      </c>
      <c r="BC326" s="9">
        <v>0</v>
      </c>
      <c r="BD326" s="9">
        <v>0</v>
      </c>
      <c r="BE326" s="9">
        <v>0</v>
      </c>
      <c r="BF326" s="9">
        <v>0</v>
      </c>
      <c r="BG326" s="9">
        <v>0</v>
      </c>
      <c r="BH326" s="9">
        <v>0</v>
      </c>
      <c r="BI326" s="9">
        <v>0</v>
      </c>
      <c r="BJ326" s="9">
        <v>0</v>
      </c>
      <c r="BK326" s="9">
        <v>0</v>
      </c>
      <c r="BL326" s="9">
        <v>0</v>
      </c>
      <c r="BM326" s="9">
        <v>0</v>
      </c>
      <c r="BN326" s="9">
        <v>0</v>
      </c>
      <c r="BO326" s="9">
        <v>0</v>
      </c>
      <c r="BP326" s="10">
        <v>0</v>
      </c>
      <c r="BQ326">
        <v>0</v>
      </c>
      <c r="BR326">
        <v>0</v>
      </c>
    </row>
    <row r="327" spans="1:70" x14ac:dyDescent="0.35">
      <c r="A327" s="8" t="s">
        <v>342</v>
      </c>
      <c r="B327" s="9" t="s">
        <v>1063</v>
      </c>
      <c r="C327" s="10" t="s">
        <v>1064</v>
      </c>
      <c r="D327" s="34">
        <f t="shared" si="7"/>
        <v>0</v>
      </c>
      <c r="E327" s="9">
        <v>0</v>
      </c>
      <c r="F327" s="9">
        <v>0</v>
      </c>
      <c r="G327" s="9">
        <v>0</v>
      </c>
      <c r="H327" s="9">
        <v>0</v>
      </c>
      <c r="I327" s="9">
        <v>0</v>
      </c>
      <c r="J327" s="9">
        <v>0</v>
      </c>
      <c r="K327" s="9">
        <v>0</v>
      </c>
      <c r="L327" s="9">
        <v>0</v>
      </c>
      <c r="M327" s="9">
        <v>0</v>
      </c>
      <c r="N327" s="9">
        <v>0</v>
      </c>
      <c r="O327" s="9">
        <v>0</v>
      </c>
      <c r="P327" s="9">
        <v>0</v>
      </c>
      <c r="Q327" s="9">
        <v>0</v>
      </c>
      <c r="R327" s="9">
        <v>0</v>
      </c>
      <c r="S327" s="9">
        <v>0</v>
      </c>
      <c r="T327" s="9">
        <v>0</v>
      </c>
      <c r="U327" s="9">
        <v>0</v>
      </c>
      <c r="V327" s="9">
        <v>0</v>
      </c>
      <c r="W327" s="9">
        <v>0</v>
      </c>
      <c r="X327" s="9">
        <v>0</v>
      </c>
      <c r="Y327" s="9">
        <v>0</v>
      </c>
      <c r="Z327" s="9">
        <v>0</v>
      </c>
      <c r="AA327" s="9">
        <v>0</v>
      </c>
      <c r="AB327" s="9">
        <v>0</v>
      </c>
      <c r="AC327" s="9">
        <v>0</v>
      </c>
      <c r="AD327" s="9">
        <v>0</v>
      </c>
      <c r="AE327" s="9">
        <v>0</v>
      </c>
      <c r="AF327" s="9">
        <v>0</v>
      </c>
      <c r="AG327" s="9">
        <v>0</v>
      </c>
      <c r="AH327" s="9">
        <v>0</v>
      </c>
      <c r="AI327" s="9">
        <v>0</v>
      </c>
      <c r="AJ327" s="9">
        <v>0</v>
      </c>
      <c r="AK327" s="9">
        <v>0</v>
      </c>
      <c r="AL327" s="9">
        <v>0</v>
      </c>
      <c r="AM327" s="9">
        <v>0</v>
      </c>
      <c r="AN327" s="9">
        <v>0</v>
      </c>
      <c r="AO327" s="9">
        <v>0</v>
      </c>
      <c r="AP327" s="9">
        <v>0</v>
      </c>
      <c r="AQ327" s="9">
        <v>0</v>
      </c>
      <c r="AR327" s="9">
        <v>0</v>
      </c>
      <c r="AS327" s="9">
        <v>0</v>
      </c>
      <c r="AT327" s="9">
        <v>0</v>
      </c>
      <c r="AU327" s="9">
        <v>0</v>
      </c>
      <c r="AV327" s="9">
        <v>0</v>
      </c>
      <c r="AW327" s="9">
        <v>0</v>
      </c>
      <c r="AX327" s="9">
        <v>0</v>
      </c>
      <c r="AY327" s="9">
        <v>0</v>
      </c>
      <c r="AZ327" s="9">
        <v>0</v>
      </c>
      <c r="BA327" s="9">
        <v>0</v>
      </c>
      <c r="BB327" s="9">
        <v>0</v>
      </c>
      <c r="BC327" s="9">
        <v>0</v>
      </c>
      <c r="BD327" s="9">
        <v>0</v>
      </c>
      <c r="BE327" s="9">
        <v>0</v>
      </c>
      <c r="BF327" s="9">
        <v>0</v>
      </c>
      <c r="BG327" s="9">
        <v>0</v>
      </c>
      <c r="BH327" s="9">
        <v>0</v>
      </c>
      <c r="BI327" s="9">
        <v>0</v>
      </c>
      <c r="BJ327" s="9">
        <v>0</v>
      </c>
      <c r="BK327" s="9">
        <v>0</v>
      </c>
      <c r="BL327" s="9">
        <v>0</v>
      </c>
      <c r="BM327" s="9">
        <v>0</v>
      </c>
      <c r="BN327" s="9">
        <v>0</v>
      </c>
      <c r="BO327" s="9">
        <v>0</v>
      </c>
      <c r="BP327" s="10">
        <v>0</v>
      </c>
      <c r="BQ327">
        <v>0</v>
      </c>
      <c r="BR327">
        <v>0</v>
      </c>
    </row>
    <row r="328" spans="1:70" x14ac:dyDescent="0.35">
      <c r="A328" s="8" t="s">
        <v>342</v>
      </c>
      <c r="B328" s="9" t="s">
        <v>1065</v>
      </c>
      <c r="C328" s="10" t="s">
        <v>1066</v>
      </c>
      <c r="D328" s="34">
        <f t="shared" si="7"/>
        <v>0</v>
      </c>
      <c r="E328" s="9">
        <v>0</v>
      </c>
      <c r="F328" s="9">
        <v>0</v>
      </c>
      <c r="G328" s="9">
        <v>0</v>
      </c>
      <c r="H328" s="9">
        <v>0</v>
      </c>
      <c r="I328" s="9">
        <v>0</v>
      </c>
      <c r="J328" s="9">
        <v>0</v>
      </c>
      <c r="K328" s="9">
        <v>0</v>
      </c>
      <c r="L328" s="9">
        <v>0</v>
      </c>
      <c r="M328" s="9">
        <v>0</v>
      </c>
      <c r="N328" s="9">
        <v>0</v>
      </c>
      <c r="O328" s="9">
        <v>0</v>
      </c>
      <c r="P328" s="9">
        <v>0</v>
      </c>
      <c r="Q328" s="9">
        <v>0</v>
      </c>
      <c r="R328" s="9">
        <v>0</v>
      </c>
      <c r="S328" s="9">
        <v>0</v>
      </c>
      <c r="T328" s="9">
        <v>0</v>
      </c>
      <c r="U328" s="9">
        <v>0</v>
      </c>
      <c r="V328" s="9">
        <v>0</v>
      </c>
      <c r="W328" s="9">
        <v>0</v>
      </c>
      <c r="X328" s="9">
        <v>0</v>
      </c>
      <c r="Y328" s="9">
        <v>0</v>
      </c>
      <c r="Z328" s="9">
        <v>0</v>
      </c>
      <c r="AA328" s="9">
        <v>0</v>
      </c>
      <c r="AB328" s="9">
        <v>0</v>
      </c>
      <c r="AC328" s="9">
        <v>0</v>
      </c>
      <c r="AD328" s="9">
        <v>0</v>
      </c>
      <c r="AE328" s="9">
        <v>0</v>
      </c>
      <c r="AF328" s="9">
        <v>0</v>
      </c>
      <c r="AG328" s="9">
        <v>0</v>
      </c>
      <c r="AH328" s="9">
        <v>0</v>
      </c>
      <c r="AI328" s="9">
        <v>0</v>
      </c>
      <c r="AJ328" s="9">
        <v>0</v>
      </c>
      <c r="AK328" s="9">
        <v>0</v>
      </c>
      <c r="AL328" s="9">
        <v>0</v>
      </c>
      <c r="AM328" s="9">
        <v>0</v>
      </c>
      <c r="AN328" s="9">
        <v>0</v>
      </c>
      <c r="AO328" s="9">
        <v>0</v>
      </c>
      <c r="AP328" s="9">
        <v>0</v>
      </c>
      <c r="AQ328" s="9">
        <v>0</v>
      </c>
      <c r="AR328" s="9">
        <v>0</v>
      </c>
      <c r="AS328" s="9">
        <v>0</v>
      </c>
      <c r="AT328" s="9">
        <v>0</v>
      </c>
      <c r="AU328" s="9">
        <v>0</v>
      </c>
      <c r="AV328" s="9">
        <v>0</v>
      </c>
      <c r="AW328" s="9">
        <v>0</v>
      </c>
      <c r="AX328" s="9">
        <v>0</v>
      </c>
      <c r="AY328" s="9">
        <v>0</v>
      </c>
      <c r="AZ328" s="9">
        <v>0</v>
      </c>
      <c r="BA328" s="9">
        <v>0</v>
      </c>
      <c r="BB328" s="9">
        <v>0</v>
      </c>
      <c r="BC328" s="9">
        <v>0</v>
      </c>
      <c r="BD328" s="9">
        <v>0</v>
      </c>
      <c r="BE328" s="9">
        <v>0</v>
      </c>
      <c r="BF328" s="9">
        <v>0</v>
      </c>
      <c r="BG328" s="9">
        <v>0</v>
      </c>
      <c r="BH328" s="9">
        <v>0</v>
      </c>
      <c r="BI328" s="9">
        <v>0</v>
      </c>
      <c r="BJ328" s="9">
        <v>0</v>
      </c>
      <c r="BK328" s="9">
        <v>0</v>
      </c>
      <c r="BL328" s="9">
        <v>0</v>
      </c>
      <c r="BM328" s="9">
        <v>0</v>
      </c>
      <c r="BN328" s="9">
        <v>0</v>
      </c>
      <c r="BO328" s="9">
        <v>0</v>
      </c>
      <c r="BP328" s="10">
        <v>0</v>
      </c>
      <c r="BQ328">
        <v>0</v>
      </c>
      <c r="BR328">
        <v>0</v>
      </c>
    </row>
    <row r="329" spans="1:70" x14ac:dyDescent="0.35">
      <c r="A329" s="8" t="s">
        <v>342</v>
      </c>
      <c r="B329" s="9" t="s">
        <v>347</v>
      </c>
      <c r="C329" s="10" t="s">
        <v>1067</v>
      </c>
      <c r="D329" s="34">
        <f t="shared" si="7"/>
        <v>263</v>
      </c>
      <c r="E329" s="9">
        <v>28</v>
      </c>
      <c r="F329" s="9">
        <v>26</v>
      </c>
      <c r="G329" s="9">
        <v>25</v>
      </c>
      <c r="H329" s="9">
        <v>22</v>
      </c>
      <c r="I329" s="9">
        <v>22</v>
      </c>
      <c r="J329" s="9">
        <v>24</v>
      </c>
      <c r="K329" s="9">
        <v>26</v>
      </c>
      <c r="L329" s="9">
        <v>28</v>
      </c>
      <c r="M329" s="9">
        <v>29</v>
      </c>
      <c r="N329" s="9">
        <v>27</v>
      </c>
      <c r="O329" s="9">
        <v>27</v>
      </c>
      <c r="P329" s="9">
        <v>32</v>
      </c>
      <c r="Q329" s="9">
        <v>36</v>
      </c>
      <c r="R329" s="9">
        <v>44</v>
      </c>
      <c r="S329" s="9">
        <v>45</v>
      </c>
      <c r="T329" s="9">
        <v>42</v>
      </c>
      <c r="U329" s="9">
        <v>37</v>
      </c>
      <c r="V329" s="9">
        <v>38</v>
      </c>
      <c r="W329" s="9">
        <v>38</v>
      </c>
      <c r="X329" s="9">
        <v>44</v>
      </c>
      <c r="Y329" s="9">
        <v>49</v>
      </c>
      <c r="Z329" s="9">
        <v>52</v>
      </c>
      <c r="AA329" s="9">
        <v>50</v>
      </c>
      <c r="AB329" s="9">
        <v>60</v>
      </c>
      <c r="AC329" s="9">
        <v>57</v>
      </c>
      <c r="AD329" s="9">
        <v>61</v>
      </c>
      <c r="AE329" s="9">
        <v>70</v>
      </c>
      <c r="AF329" s="9">
        <v>74</v>
      </c>
      <c r="AG329" s="9">
        <v>72</v>
      </c>
      <c r="AH329" s="9">
        <v>75</v>
      </c>
      <c r="AI329" s="9">
        <v>68</v>
      </c>
      <c r="AJ329" s="9">
        <v>70</v>
      </c>
      <c r="AK329" s="9">
        <v>73</v>
      </c>
      <c r="AL329" s="9">
        <v>77</v>
      </c>
      <c r="AM329" s="9">
        <v>89</v>
      </c>
      <c r="AN329" s="9">
        <v>98</v>
      </c>
      <c r="AO329" s="9">
        <v>103</v>
      </c>
      <c r="AP329" s="9">
        <v>95</v>
      </c>
      <c r="AQ329" s="9">
        <v>92</v>
      </c>
      <c r="AR329" s="9">
        <v>103</v>
      </c>
      <c r="AS329" s="9">
        <v>117</v>
      </c>
      <c r="AT329" s="9">
        <v>119</v>
      </c>
      <c r="AU329" s="9">
        <v>125</v>
      </c>
      <c r="AV329" s="9">
        <v>132</v>
      </c>
      <c r="AW329" s="9">
        <v>133</v>
      </c>
      <c r="AX329" s="9">
        <v>131</v>
      </c>
      <c r="AY329" s="9">
        <v>138</v>
      </c>
      <c r="AZ329" s="9">
        <v>142</v>
      </c>
      <c r="BA329" s="9">
        <v>156</v>
      </c>
      <c r="BB329" s="9">
        <v>157</v>
      </c>
      <c r="BC329" s="9">
        <v>141</v>
      </c>
      <c r="BD329" s="9">
        <v>135</v>
      </c>
      <c r="BE329" s="9">
        <v>149</v>
      </c>
      <c r="BF329" s="9">
        <v>158</v>
      </c>
      <c r="BG329" s="9">
        <v>178</v>
      </c>
      <c r="BH329" s="9">
        <v>209</v>
      </c>
      <c r="BI329" s="9">
        <v>207</v>
      </c>
      <c r="BJ329" s="9">
        <v>201</v>
      </c>
      <c r="BK329" s="9">
        <v>199</v>
      </c>
      <c r="BL329" s="9">
        <v>207</v>
      </c>
      <c r="BM329" s="9">
        <v>244</v>
      </c>
      <c r="BN329" s="9">
        <v>253</v>
      </c>
      <c r="BO329" s="9">
        <v>256</v>
      </c>
      <c r="BP329" s="10">
        <v>263</v>
      </c>
      <c r="BQ329">
        <v>239</v>
      </c>
      <c r="BR329">
        <v>239</v>
      </c>
    </row>
    <row r="330" spans="1:70" x14ac:dyDescent="0.35">
      <c r="A330" s="8" t="s">
        <v>342</v>
      </c>
      <c r="B330" s="9" t="s">
        <v>349</v>
      </c>
      <c r="C330" s="10" t="s">
        <v>1068</v>
      </c>
      <c r="D330" s="34">
        <f t="shared" si="7"/>
        <v>87</v>
      </c>
      <c r="E330" s="9">
        <v>6</v>
      </c>
      <c r="F330" s="9">
        <v>7</v>
      </c>
      <c r="G330" s="9">
        <v>6</v>
      </c>
      <c r="H330" s="9">
        <v>6</v>
      </c>
      <c r="I330" s="9">
        <v>7</v>
      </c>
      <c r="J330" s="9">
        <v>6</v>
      </c>
      <c r="K330" s="9">
        <v>7</v>
      </c>
      <c r="L330" s="9">
        <v>7</v>
      </c>
      <c r="M330" s="9">
        <v>13</v>
      </c>
      <c r="N330" s="9">
        <v>13</v>
      </c>
      <c r="O330" s="9">
        <v>12</v>
      </c>
      <c r="P330" s="9">
        <v>15</v>
      </c>
      <c r="Q330" s="9">
        <v>14</v>
      </c>
      <c r="R330" s="9">
        <v>15</v>
      </c>
      <c r="S330" s="9">
        <v>18</v>
      </c>
      <c r="T330" s="9">
        <v>16</v>
      </c>
      <c r="U330" s="9">
        <v>19</v>
      </c>
      <c r="V330" s="9">
        <v>25</v>
      </c>
      <c r="W330" s="9">
        <v>29</v>
      </c>
      <c r="X330" s="9">
        <v>29</v>
      </c>
      <c r="Y330" s="9">
        <v>30</v>
      </c>
      <c r="Z330" s="9">
        <v>28</v>
      </c>
      <c r="AA330" s="9">
        <v>32</v>
      </c>
      <c r="AB330" s="9">
        <v>32</v>
      </c>
      <c r="AC330" s="9">
        <v>38</v>
      </c>
      <c r="AD330" s="9">
        <v>32</v>
      </c>
      <c r="AE330" s="9">
        <v>36</v>
      </c>
      <c r="AF330" s="9">
        <v>43</v>
      </c>
      <c r="AG330" s="9">
        <v>49</v>
      </c>
      <c r="AH330" s="9">
        <v>50</v>
      </c>
      <c r="AI330" s="9">
        <v>54</v>
      </c>
      <c r="AJ330" s="9">
        <v>59</v>
      </c>
      <c r="AK330" s="9">
        <v>53</v>
      </c>
      <c r="AL330" s="9">
        <v>57</v>
      </c>
      <c r="AM330" s="9">
        <v>57</v>
      </c>
      <c r="AN330" s="9">
        <v>59</v>
      </c>
      <c r="AO330" s="9">
        <v>58</v>
      </c>
      <c r="AP330" s="9">
        <v>61</v>
      </c>
      <c r="AQ330" s="9">
        <v>64</v>
      </c>
      <c r="AR330" s="9">
        <v>64</v>
      </c>
      <c r="AS330" s="9">
        <v>65</v>
      </c>
      <c r="AT330" s="9">
        <v>70</v>
      </c>
      <c r="AU330" s="9">
        <v>70</v>
      </c>
      <c r="AV330" s="9">
        <v>75</v>
      </c>
      <c r="AW330" s="9">
        <v>75</v>
      </c>
      <c r="AX330" s="9">
        <v>78</v>
      </c>
      <c r="AY330" s="9">
        <v>77</v>
      </c>
      <c r="AZ330" s="9">
        <v>79</v>
      </c>
      <c r="BA330" s="9">
        <v>86</v>
      </c>
      <c r="BB330" s="9">
        <v>87</v>
      </c>
      <c r="BC330" s="9">
        <v>79</v>
      </c>
      <c r="BD330" s="9">
        <v>82</v>
      </c>
      <c r="BE330" s="9">
        <v>81</v>
      </c>
      <c r="BF330" s="9">
        <v>74</v>
      </c>
      <c r="BG330" s="9">
        <v>79</v>
      </c>
      <c r="BH330" s="9">
        <v>71</v>
      </c>
      <c r="BI330" s="9">
        <v>73</v>
      </c>
      <c r="BJ330" s="9">
        <v>69</v>
      </c>
      <c r="BK330" s="9">
        <v>71</v>
      </c>
      <c r="BL330" s="9">
        <v>72</v>
      </c>
      <c r="BM330" s="9">
        <v>71</v>
      </c>
      <c r="BN330" s="9">
        <v>73</v>
      </c>
      <c r="BO330" s="9">
        <v>71</v>
      </c>
      <c r="BP330" s="10">
        <v>62</v>
      </c>
      <c r="BQ330">
        <v>64</v>
      </c>
      <c r="BR330">
        <v>69</v>
      </c>
    </row>
    <row r="331" spans="1:70" x14ac:dyDescent="0.35">
      <c r="A331" s="8" t="s">
        <v>342</v>
      </c>
      <c r="B331" s="9" t="s">
        <v>351</v>
      </c>
      <c r="C331" s="10" t="s">
        <v>1069</v>
      </c>
      <c r="D331" s="34">
        <f t="shared" si="7"/>
        <v>132</v>
      </c>
      <c r="E331" s="9">
        <v>0</v>
      </c>
      <c r="F331" s="9">
        <v>1</v>
      </c>
      <c r="G331" s="9">
        <v>1</v>
      </c>
      <c r="H331" s="9">
        <v>1</v>
      </c>
      <c r="I331" s="9">
        <v>1</v>
      </c>
      <c r="J331" s="9">
        <v>2</v>
      </c>
      <c r="K331" s="9">
        <v>2</v>
      </c>
      <c r="L331" s="9">
        <v>2</v>
      </c>
      <c r="M331" s="9">
        <v>2</v>
      </c>
      <c r="N331" s="9">
        <v>4</v>
      </c>
      <c r="O331" s="9">
        <v>5</v>
      </c>
      <c r="P331" s="9">
        <v>5</v>
      </c>
      <c r="Q331" s="9">
        <v>6</v>
      </c>
      <c r="R331" s="9">
        <v>7</v>
      </c>
      <c r="S331" s="9">
        <v>7</v>
      </c>
      <c r="T331" s="9">
        <v>5</v>
      </c>
      <c r="U331" s="9">
        <v>8</v>
      </c>
      <c r="V331" s="9">
        <v>6</v>
      </c>
      <c r="W331" s="9">
        <v>7</v>
      </c>
      <c r="X331" s="9">
        <v>8</v>
      </c>
      <c r="Y331" s="9">
        <v>14</v>
      </c>
      <c r="Z331" s="9">
        <v>15</v>
      </c>
      <c r="AA331" s="9">
        <v>21</v>
      </c>
      <c r="AB331" s="9">
        <v>19</v>
      </c>
      <c r="AC331" s="9">
        <v>23</v>
      </c>
      <c r="AD331" s="9">
        <v>24</v>
      </c>
      <c r="AE331" s="9">
        <v>27</v>
      </c>
      <c r="AF331" s="9">
        <v>34</v>
      </c>
      <c r="AG331" s="9">
        <v>34</v>
      </c>
      <c r="AH331" s="9">
        <v>33</v>
      </c>
      <c r="AI331" s="9">
        <v>36</v>
      </c>
      <c r="AJ331" s="9">
        <v>38</v>
      </c>
      <c r="AK331" s="9">
        <v>38</v>
      </c>
      <c r="AL331" s="9">
        <v>54</v>
      </c>
      <c r="AM331" s="9">
        <v>57</v>
      </c>
      <c r="AN331" s="9">
        <v>61</v>
      </c>
      <c r="AO331" s="9">
        <v>68</v>
      </c>
      <c r="AP331" s="9">
        <v>71</v>
      </c>
      <c r="AQ331" s="9">
        <v>67</v>
      </c>
      <c r="AR331" s="9">
        <v>70</v>
      </c>
      <c r="AS331" s="9">
        <v>83</v>
      </c>
      <c r="AT331" s="9">
        <v>93</v>
      </c>
      <c r="AU331" s="9">
        <v>95</v>
      </c>
      <c r="AV331" s="9">
        <v>117</v>
      </c>
      <c r="AW331" s="9">
        <v>111</v>
      </c>
      <c r="AX331" s="9">
        <v>111</v>
      </c>
      <c r="AY331" s="9">
        <v>119</v>
      </c>
      <c r="AZ331" s="9">
        <v>128</v>
      </c>
      <c r="BA331" s="9">
        <v>132</v>
      </c>
      <c r="BB331" s="9">
        <v>126</v>
      </c>
      <c r="BC331" s="9">
        <v>120</v>
      </c>
      <c r="BD331" s="9">
        <v>106</v>
      </c>
      <c r="BE331" s="9">
        <v>112</v>
      </c>
      <c r="BF331" s="9">
        <v>114</v>
      </c>
      <c r="BG331" s="9">
        <v>123</v>
      </c>
      <c r="BH331" s="9">
        <v>123</v>
      </c>
      <c r="BI331" s="9">
        <v>122</v>
      </c>
      <c r="BJ331" s="9">
        <v>122</v>
      </c>
      <c r="BK331" s="9">
        <v>119</v>
      </c>
      <c r="BL331" s="9">
        <v>118</v>
      </c>
      <c r="BM331" s="9">
        <v>128</v>
      </c>
      <c r="BN331" s="9">
        <v>120</v>
      </c>
      <c r="BO331" s="9">
        <v>128</v>
      </c>
      <c r="BP331" s="10">
        <v>122</v>
      </c>
      <c r="BQ331">
        <v>118</v>
      </c>
      <c r="BR331">
        <v>105</v>
      </c>
    </row>
    <row r="332" spans="1:70" x14ac:dyDescent="0.35">
      <c r="A332" s="8" t="s">
        <v>342</v>
      </c>
      <c r="B332" s="9" t="s">
        <v>353</v>
      </c>
      <c r="C332" s="10" t="s">
        <v>1070</v>
      </c>
      <c r="D332" s="34">
        <f t="shared" si="7"/>
        <v>10</v>
      </c>
      <c r="E332" s="9">
        <v>0</v>
      </c>
      <c r="F332" s="9">
        <v>0</v>
      </c>
      <c r="G332" s="9">
        <v>0</v>
      </c>
      <c r="H332" s="9">
        <v>0</v>
      </c>
      <c r="I332" s="9">
        <v>0</v>
      </c>
      <c r="J332" s="9">
        <v>0</v>
      </c>
      <c r="K332" s="9">
        <v>0</v>
      </c>
      <c r="L332" s="9">
        <v>0</v>
      </c>
      <c r="M332" s="9">
        <v>0</v>
      </c>
      <c r="N332" s="9">
        <v>0</v>
      </c>
      <c r="O332" s="9">
        <v>0</v>
      </c>
      <c r="P332" s="9">
        <v>0</v>
      </c>
      <c r="Q332" s="9">
        <v>0</v>
      </c>
      <c r="R332" s="9">
        <v>0</v>
      </c>
      <c r="S332" s="9">
        <v>0</v>
      </c>
      <c r="T332" s="9">
        <v>0</v>
      </c>
      <c r="U332" s="9">
        <v>0</v>
      </c>
      <c r="V332" s="9">
        <v>0</v>
      </c>
      <c r="W332" s="9">
        <v>1</v>
      </c>
      <c r="X332" s="9">
        <v>1</v>
      </c>
      <c r="Y332" s="9">
        <v>1</v>
      </c>
      <c r="Z332" s="9">
        <v>2</v>
      </c>
      <c r="AA332" s="9">
        <v>3</v>
      </c>
      <c r="AB332" s="9">
        <v>4</v>
      </c>
      <c r="AC332" s="9">
        <v>4</v>
      </c>
      <c r="AD332" s="9">
        <v>4</v>
      </c>
      <c r="AE332" s="9">
        <v>3</v>
      </c>
      <c r="AF332" s="9">
        <v>3</v>
      </c>
      <c r="AG332" s="9">
        <v>3</v>
      </c>
      <c r="AH332" s="9">
        <v>2</v>
      </c>
      <c r="AI332" s="9">
        <v>1</v>
      </c>
      <c r="AJ332" s="9">
        <v>3</v>
      </c>
      <c r="AK332" s="9">
        <v>3</v>
      </c>
      <c r="AL332" s="9">
        <v>5</v>
      </c>
      <c r="AM332" s="9">
        <v>7</v>
      </c>
      <c r="AN332" s="9">
        <v>9</v>
      </c>
      <c r="AO332" s="9">
        <v>9</v>
      </c>
      <c r="AP332" s="9">
        <v>8</v>
      </c>
      <c r="AQ332" s="9">
        <v>8</v>
      </c>
      <c r="AR332" s="9">
        <v>0</v>
      </c>
      <c r="AS332" s="9">
        <v>9</v>
      </c>
      <c r="AT332" s="9">
        <v>7</v>
      </c>
      <c r="AU332" s="9">
        <v>7</v>
      </c>
      <c r="AV332" s="9">
        <v>7</v>
      </c>
      <c r="AW332" s="9">
        <v>6</v>
      </c>
      <c r="AX332" s="9">
        <v>7</v>
      </c>
      <c r="AY332" s="9">
        <v>8</v>
      </c>
      <c r="AZ332" s="9">
        <v>8</v>
      </c>
      <c r="BA332" s="9">
        <v>8</v>
      </c>
      <c r="BB332" s="9">
        <v>7</v>
      </c>
      <c r="BC332" s="9">
        <v>6</v>
      </c>
      <c r="BD332" s="9">
        <v>7</v>
      </c>
      <c r="BE332" s="9">
        <v>8</v>
      </c>
      <c r="BF332" s="9">
        <v>9</v>
      </c>
      <c r="BG332" s="9">
        <v>10</v>
      </c>
      <c r="BH332" s="9">
        <v>9</v>
      </c>
      <c r="BI332" s="9">
        <v>8</v>
      </c>
      <c r="BJ332" s="9">
        <v>9</v>
      </c>
      <c r="BK332" s="9">
        <v>10</v>
      </c>
      <c r="BL332" s="9">
        <v>10</v>
      </c>
      <c r="BM332" s="9">
        <v>9</v>
      </c>
      <c r="BN332" s="9">
        <v>8</v>
      </c>
      <c r="BO332" s="9">
        <v>10</v>
      </c>
      <c r="BP332" s="10">
        <v>10</v>
      </c>
      <c r="BQ332">
        <v>10</v>
      </c>
      <c r="BR332">
        <v>9</v>
      </c>
    </row>
    <row r="333" spans="1:70" x14ac:dyDescent="0.35">
      <c r="A333" s="8" t="s">
        <v>342</v>
      </c>
      <c r="B333" s="9" t="s">
        <v>355</v>
      </c>
      <c r="C333" s="10" t="s">
        <v>1071</v>
      </c>
      <c r="D333" s="34">
        <f t="shared" si="7"/>
        <v>4</v>
      </c>
      <c r="E333" s="9">
        <v>0</v>
      </c>
      <c r="F333" s="9">
        <v>0</v>
      </c>
      <c r="G333" s="9">
        <v>0</v>
      </c>
      <c r="H333" s="9">
        <v>0</v>
      </c>
      <c r="I333" s="9">
        <v>0</v>
      </c>
      <c r="J333" s="9">
        <v>0</v>
      </c>
      <c r="K333" s="9">
        <v>0</v>
      </c>
      <c r="L333" s="9">
        <v>0</v>
      </c>
      <c r="M333" s="9">
        <v>0</v>
      </c>
      <c r="N333" s="9">
        <v>2</v>
      </c>
      <c r="O333" s="9">
        <v>1</v>
      </c>
      <c r="P333" s="9">
        <v>0</v>
      </c>
      <c r="Q333" s="9">
        <v>0</v>
      </c>
      <c r="R333" s="9">
        <v>0</v>
      </c>
      <c r="S333" s="9">
        <v>0</v>
      </c>
      <c r="T333" s="9">
        <v>0</v>
      </c>
      <c r="U333" s="9">
        <v>0</v>
      </c>
      <c r="V333" s="9">
        <v>0</v>
      </c>
      <c r="W333" s="9">
        <v>0</v>
      </c>
      <c r="X333" s="9">
        <v>0</v>
      </c>
      <c r="Y333" s="9">
        <v>0</v>
      </c>
      <c r="Z333" s="9">
        <v>0</v>
      </c>
      <c r="AA333" s="9">
        <v>0</v>
      </c>
      <c r="AB333" s="9">
        <v>0</v>
      </c>
      <c r="AC333" s="9">
        <v>0</v>
      </c>
      <c r="AD333" s="9">
        <v>0</v>
      </c>
      <c r="AE333" s="9">
        <v>0</v>
      </c>
      <c r="AF333" s="9">
        <v>0</v>
      </c>
      <c r="AG333" s="9">
        <v>0</v>
      </c>
      <c r="AH333" s="9">
        <v>0</v>
      </c>
      <c r="AI333" s="9">
        <v>0</v>
      </c>
      <c r="AJ333" s="9">
        <v>0</v>
      </c>
      <c r="AK333" s="9">
        <v>0</v>
      </c>
      <c r="AL333" s="9">
        <v>0</v>
      </c>
      <c r="AM333" s="9">
        <v>1</v>
      </c>
      <c r="AN333" s="9">
        <v>0</v>
      </c>
      <c r="AO333" s="9">
        <v>0</v>
      </c>
      <c r="AP333" s="9">
        <v>0</v>
      </c>
      <c r="AQ333" s="9">
        <v>0</v>
      </c>
      <c r="AR333" s="9">
        <v>1</v>
      </c>
      <c r="AS333" s="9">
        <v>2</v>
      </c>
      <c r="AT333" s="9">
        <v>1</v>
      </c>
      <c r="AU333" s="9">
        <v>0</v>
      </c>
      <c r="AV333" s="9">
        <v>0</v>
      </c>
      <c r="AW333" s="9">
        <v>0</v>
      </c>
      <c r="AX333" s="9">
        <v>0</v>
      </c>
      <c r="AY333" s="9">
        <v>1</v>
      </c>
      <c r="AZ333" s="9">
        <v>1</v>
      </c>
      <c r="BA333" s="9">
        <v>0</v>
      </c>
      <c r="BB333" s="9">
        <v>3</v>
      </c>
      <c r="BC333" s="9">
        <v>0</v>
      </c>
      <c r="BD333" s="9">
        <v>1</v>
      </c>
      <c r="BE333" s="9">
        <v>4</v>
      </c>
      <c r="BF333" s="9">
        <v>3</v>
      </c>
      <c r="BG333" s="9">
        <v>3</v>
      </c>
      <c r="BH333" s="9">
        <v>1</v>
      </c>
      <c r="BI333" s="9">
        <v>3</v>
      </c>
      <c r="BJ333" s="9">
        <v>3</v>
      </c>
      <c r="BK333" s="9">
        <v>3</v>
      </c>
      <c r="BL333" s="9">
        <v>4</v>
      </c>
      <c r="BM333" s="9">
        <v>2</v>
      </c>
      <c r="BN333" s="9">
        <v>2</v>
      </c>
      <c r="BO333" s="9">
        <v>2</v>
      </c>
      <c r="BP333" s="10">
        <v>2</v>
      </c>
      <c r="BQ333">
        <v>1</v>
      </c>
      <c r="BR333">
        <v>1</v>
      </c>
    </row>
    <row r="334" spans="1:70" x14ac:dyDescent="0.35">
      <c r="A334" s="8" t="s">
        <v>342</v>
      </c>
      <c r="B334" s="9" t="s">
        <v>357</v>
      </c>
      <c r="C334" s="10" t="s">
        <v>1072</v>
      </c>
      <c r="D334" s="34">
        <f t="shared" si="7"/>
        <v>43</v>
      </c>
      <c r="E334" s="9">
        <v>0</v>
      </c>
      <c r="F334" s="9">
        <v>0</v>
      </c>
      <c r="G334" s="9">
        <v>0</v>
      </c>
      <c r="H334" s="9">
        <v>0</v>
      </c>
      <c r="I334" s="9">
        <v>0</v>
      </c>
      <c r="J334" s="9">
        <v>2</v>
      </c>
      <c r="K334" s="9">
        <v>1</v>
      </c>
      <c r="L334" s="9">
        <v>1</v>
      </c>
      <c r="M334" s="9">
        <v>1</v>
      </c>
      <c r="N334" s="9">
        <v>2</v>
      </c>
      <c r="O334" s="9">
        <v>1</v>
      </c>
      <c r="P334" s="9">
        <v>2</v>
      </c>
      <c r="Q334" s="9">
        <v>2</v>
      </c>
      <c r="R334" s="9">
        <v>2</v>
      </c>
      <c r="S334" s="9">
        <v>1</v>
      </c>
      <c r="T334" s="9">
        <v>2</v>
      </c>
      <c r="U334" s="9">
        <v>2</v>
      </c>
      <c r="V334" s="9">
        <v>1</v>
      </c>
      <c r="W334" s="9">
        <v>3</v>
      </c>
      <c r="X334" s="9">
        <v>3</v>
      </c>
      <c r="Y334" s="9">
        <v>4</v>
      </c>
      <c r="Z334" s="9">
        <v>6</v>
      </c>
      <c r="AA334" s="9">
        <v>6</v>
      </c>
      <c r="AB334" s="9">
        <v>8</v>
      </c>
      <c r="AC334" s="9">
        <v>9</v>
      </c>
      <c r="AD334" s="9">
        <v>10</v>
      </c>
      <c r="AE334" s="9">
        <v>11</v>
      </c>
      <c r="AF334" s="9">
        <v>11</v>
      </c>
      <c r="AG334" s="9">
        <v>13</v>
      </c>
      <c r="AH334" s="9">
        <v>12</v>
      </c>
      <c r="AI334" s="9">
        <v>11</v>
      </c>
      <c r="AJ334" s="9">
        <v>13</v>
      </c>
      <c r="AK334" s="9">
        <v>10</v>
      </c>
      <c r="AL334" s="9">
        <v>10</v>
      </c>
      <c r="AM334" s="9">
        <v>9</v>
      </c>
      <c r="AN334" s="9">
        <v>11</v>
      </c>
      <c r="AO334" s="9">
        <v>11</v>
      </c>
      <c r="AP334" s="9">
        <v>8</v>
      </c>
      <c r="AQ334" s="9">
        <v>8</v>
      </c>
      <c r="AR334" s="9">
        <v>10</v>
      </c>
      <c r="AS334" s="9">
        <v>11</v>
      </c>
      <c r="AT334" s="9">
        <v>10</v>
      </c>
      <c r="AU334" s="9">
        <v>10</v>
      </c>
      <c r="AV334" s="9">
        <v>15</v>
      </c>
      <c r="AW334" s="9">
        <v>14</v>
      </c>
      <c r="AX334" s="9">
        <v>14</v>
      </c>
      <c r="AY334" s="9">
        <v>11</v>
      </c>
      <c r="AZ334" s="9">
        <v>14</v>
      </c>
      <c r="BA334" s="9">
        <v>18</v>
      </c>
      <c r="BB334" s="9">
        <v>22</v>
      </c>
      <c r="BC334" s="9">
        <v>23</v>
      </c>
      <c r="BD334" s="9">
        <v>20</v>
      </c>
      <c r="BE334" s="9">
        <v>16</v>
      </c>
      <c r="BF334" s="9">
        <v>19</v>
      </c>
      <c r="BG334" s="9">
        <v>23</v>
      </c>
      <c r="BH334" s="9">
        <v>23</v>
      </c>
      <c r="BI334" s="9">
        <v>24</v>
      </c>
      <c r="BJ334" s="9">
        <v>28</v>
      </c>
      <c r="BK334" s="9">
        <v>26</v>
      </c>
      <c r="BL334" s="9">
        <v>27</v>
      </c>
      <c r="BM334" s="9">
        <v>27</v>
      </c>
      <c r="BN334" s="9">
        <v>27</v>
      </c>
      <c r="BO334" s="9">
        <v>41</v>
      </c>
      <c r="BP334" s="10">
        <v>40</v>
      </c>
      <c r="BQ334">
        <v>43</v>
      </c>
      <c r="BR334">
        <v>42</v>
      </c>
    </row>
    <row r="335" spans="1:70" x14ac:dyDescent="0.35">
      <c r="A335" s="8" t="s">
        <v>342</v>
      </c>
      <c r="B335" s="9" t="s">
        <v>359</v>
      </c>
      <c r="C335" s="10" t="s">
        <v>1073</v>
      </c>
      <c r="D335" s="34">
        <f t="shared" si="7"/>
        <v>9</v>
      </c>
      <c r="E335" s="9">
        <v>0</v>
      </c>
      <c r="F335" s="9">
        <v>0</v>
      </c>
      <c r="G335" s="9">
        <v>0</v>
      </c>
      <c r="H335" s="9">
        <v>0</v>
      </c>
      <c r="I335" s="9">
        <v>0</v>
      </c>
      <c r="J335" s="9">
        <v>0</v>
      </c>
      <c r="K335" s="9">
        <v>0</v>
      </c>
      <c r="L335" s="9">
        <v>0</v>
      </c>
      <c r="M335" s="9">
        <v>0</v>
      </c>
      <c r="N335" s="9">
        <v>0</v>
      </c>
      <c r="O335" s="9">
        <v>0</v>
      </c>
      <c r="P335" s="9">
        <v>0</v>
      </c>
      <c r="Q335" s="9">
        <v>0</v>
      </c>
      <c r="R335" s="9">
        <v>0</v>
      </c>
      <c r="S335" s="9">
        <v>0</v>
      </c>
      <c r="T335" s="9">
        <v>0</v>
      </c>
      <c r="U335" s="9">
        <v>0</v>
      </c>
      <c r="V335" s="9">
        <v>0</v>
      </c>
      <c r="W335" s="9">
        <v>0</v>
      </c>
      <c r="X335" s="9">
        <v>0</v>
      </c>
      <c r="Y335" s="9">
        <v>0</v>
      </c>
      <c r="Z335" s="9">
        <v>0</v>
      </c>
      <c r="AA335" s="9">
        <v>0</v>
      </c>
      <c r="AB335" s="9">
        <v>1</v>
      </c>
      <c r="AC335" s="9">
        <v>2</v>
      </c>
      <c r="AD335" s="9">
        <v>3</v>
      </c>
      <c r="AE335" s="9">
        <v>3</v>
      </c>
      <c r="AF335" s="9">
        <v>3</v>
      </c>
      <c r="AG335" s="9">
        <v>4</v>
      </c>
      <c r="AH335" s="9">
        <v>4</v>
      </c>
      <c r="AI335" s="9">
        <v>5</v>
      </c>
      <c r="AJ335" s="9">
        <v>5</v>
      </c>
      <c r="AK335" s="9">
        <v>5</v>
      </c>
      <c r="AL335" s="9">
        <v>5</v>
      </c>
      <c r="AM335" s="9">
        <v>5</v>
      </c>
      <c r="AN335" s="9">
        <v>4</v>
      </c>
      <c r="AO335" s="9">
        <v>3</v>
      </c>
      <c r="AP335" s="9">
        <v>4</v>
      </c>
      <c r="AQ335" s="9">
        <v>3</v>
      </c>
      <c r="AR335" s="9">
        <v>2</v>
      </c>
      <c r="AS335" s="9">
        <v>2</v>
      </c>
      <c r="AT335" s="9">
        <v>2</v>
      </c>
      <c r="AU335" s="9">
        <v>2</v>
      </c>
      <c r="AV335" s="9">
        <v>2</v>
      </c>
      <c r="AW335" s="9">
        <v>2</v>
      </c>
      <c r="AX335" s="9">
        <v>2</v>
      </c>
      <c r="AY335" s="9">
        <v>2</v>
      </c>
      <c r="AZ335" s="9">
        <v>2</v>
      </c>
      <c r="BA335" s="9">
        <v>3</v>
      </c>
      <c r="BB335" s="9">
        <v>3</v>
      </c>
      <c r="BC335" s="9">
        <v>3</v>
      </c>
      <c r="BD335" s="9">
        <v>4</v>
      </c>
      <c r="BE335" s="9">
        <v>4</v>
      </c>
      <c r="BF335" s="9">
        <v>4</v>
      </c>
      <c r="BG335" s="9">
        <v>5</v>
      </c>
      <c r="BH335" s="9">
        <v>6</v>
      </c>
      <c r="BI335" s="9">
        <v>6</v>
      </c>
      <c r="BJ335" s="9">
        <v>7</v>
      </c>
      <c r="BK335" s="9">
        <v>9</v>
      </c>
      <c r="BL335" s="9">
        <v>8</v>
      </c>
      <c r="BM335" s="9">
        <v>8</v>
      </c>
      <c r="BN335" s="9">
        <v>8</v>
      </c>
      <c r="BO335" s="9">
        <v>8</v>
      </c>
      <c r="BP335" s="10">
        <v>7</v>
      </c>
      <c r="BQ335">
        <v>6</v>
      </c>
      <c r="BR335">
        <v>6</v>
      </c>
    </row>
    <row r="336" spans="1:70" x14ac:dyDescent="0.35">
      <c r="A336" s="8" t="s">
        <v>342</v>
      </c>
      <c r="B336" s="9" t="s">
        <v>361</v>
      </c>
      <c r="C336" s="10" t="s">
        <v>1074</v>
      </c>
      <c r="D336" s="34">
        <f t="shared" si="7"/>
        <v>475</v>
      </c>
      <c r="E336" s="9">
        <v>9</v>
      </c>
      <c r="F336" s="9">
        <v>11</v>
      </c>
      <c r="G336" s="9">
        <v>11</v>
      </c>
      <c r="H336" s="9">
        <v>13</v>
      </c>
      <c r="I336" s="9">
        <v>15</v>
      </c>
      <c r="J336" s="9">
        <v>19</v>
      </c>
      <c r="K336" s="9">
        <v>22</v>
      </c>
      <c r="L336" s="9">
        <v>23</v>
      </c>
      <c r="M336" s="9">
        <v>26</v>
      </c>
      <c r="N336" s="9">
        <v>26</v>
      </c>
      <c r="O336" s="9">
        <v>26</v>
      </c>
      <c r="P336" s="9">
        <v>24</v>
      </c>
      <c r="Q336" s="9">
        <v>23</v>
      </c>
      <c r="R336" s="9">
        <v>26</v>
      </c>
      <c r="S336" s="9">
        <v>31</v>
      </c>
      <c r="T336" s="9">
        <v>33</v>
      </c>
      <c r="U336" s="9">
        <v>41</v>
      </c>
      <c r="V336" s="9">
        <v>40</v>
      </c>
      <c r="W336" s="9">
        <v>41</v>
      </c>
      <c r="X336" s="9">
        <v>49</v>
      </c>
      <c r="Y336" s="9">
        <v>54</v>
      </c>
      <c r="Z336" s="9">
        <v>59</v>
      </c>
      <c r="AA336" s="9">
        <v>69</v>
      </c>
      <c r="AB336" s="9">
        <v>83</v>
      </c>
      <c r="AC336" s="9">
        <v>84</v>
      </c>
      <c r="AD336" s="9">
        <v>78</v>
      </c>
      <c r="AE336" s="9">
        <v>92</v>
      </c>
      <c r="AF336" s="9">
        <v>88</v>
      </c>
      <c r="AG336" s="9">
        <v>85</v>
      </c>
      <c r="AH336" s="9">
        <v>104</v>
      </c>
      <c r="AI336" s="9">
        <v>95</v>
      </c>
      <c r="AJ336" s="9">
        <v>78</v>
      </c>
      <c r="AK336" s="9">
        <v>116</v>
      </c>
      <c r="AL336" s="9">
        <v>138</v>
      </c>
      <c r="AM336" s="9">
        <v>151</v>
      </c>
      <c r="AN336" s="9">
        <v>186</v>
      </c>
      <c r="AO336" s="9">
        <v>205</v>
      </c>
      <c r="AP336" s="9">
        <v>241</v>
      </c>
      <c r="AQ336" s="9">
        <v>251</v>
      </c>
      <c r="AR336" s="9">
        <v>259</v>
      </c>
      <c r="AS336" s="9">
        <v>259</v>
      </c>
      <c r="AT336" s="9">
        <v>277</v>
      </c>
      <c r="AU336" s="9">
        <v>293</v>
      </c>
      <c r="AV336" s="9">
        <v>323</v>
      </c>
      <c r="AW336" s="9">
        <v>333</v>
      </c>
      <c r="AX336" s="9">
        <v>358</v>
      </c>
      <c r="AY336" s="9">
        <v>362</v>
      </c>
      <c r="AZ336" s="9">
        <v>376</v>
      </c>
      <c r="BA336" s="9">
        <v>381</v>
      </c>
      <c r="BB336" s="9">
        <v>396</v>
      </c>
      <c r="BC336" s="9">
        <v>398</v>
      </c>
      <c r="BD336" s="9">
        <v>408</v>
      </c>
      <c r="BE336" s="9">
        <v>416</v>
      </c>
      <c r="BF336" s="9">
        <v>429</v>
      </c>
      <c r="BG336" s="9">
        <v>446</v>
      </c>
      <c r="BH336" s="9">
        <v>468</v>
      </c>
      <c r="BI336" s="9">
        <v>450</v>
      </c>
      <c r="BJ336" s="9">
        <v>454</v>
      </c>
      <c r="BK336" s="9">
        <v>459</v>
      </c>
      <c r="BL336" s="9">
        <v>475</v>
      </c>
      <c r="BM336" s="9">
        <v>459</v>
      </c>
      <c r="BN336" s="9">
        <v>464</v>
      </c>
      <c r="BO336" s="9">
        <v>463</v>
      </c>
      <c r="BP336" s="10">
        <v>443</v>
      </c>
      <c r="BQ336">
        <v>428</v>
      </c>
      <c r="BR336">
        <v>413</v>
      </c>
    </row>
    <row r="337" spans="1:70" x14ac:dyDescent="0.35">
      <c r="A337" s="8" t="s">
        <v>342</v>
      </c>
      <c r="B337" s="9" t="s">
        <v>363</v>
      </c>
      <c r="C337" s="10" t="s">
        <v>1075</v>
      </c>
      <c r="D337" s="34">
        <f t="shared" si="7"/>
        <v>8</v>
      </c>
      <c r="E337" s="9">
        <v>0</v>
      </c>
      <c r="F337" s="9">
        <v>0</v>
      </c>
      <c r="G337" s="9">
        <v>0</v>
      </c>
      <c r="H337" s="9">
        <v>0</v>
      </c>
      <c r="I337" s="9">
        <v>0</v>
      </c>
      <c r="J337" s="9">
        <v>0</v>
      </c>
      <c r="K337" s="9">
        <v>0</v>
      </c>
      <c r="L337" s="9">
        <v>0</v>
      </c>
      <c r="M337" s="9">
        <v>0</v>
      </c>
      <c r="N337" s="9">
        <v>0</v>
      </c>
      <c r="O337" s="9">
        <v>0</v>
      </c>
      <c r="P337" s="9">
        <v>0</v>
      </c>
      <c r="Q337" s="9">
        <v>0</v>
      </c>
      <c r="R337" s="9">
        <v>0</v>
      </c>
      <c r="S337" s="9">
        <v>0</v>
      </c>
      <c r="T337" s="9">
        <v>0</v>
      </c>
      <c r="U337" s="9">
        <v>0</v>
      </c>
      <c r="V337" s="9">
        <v>0</v>
      </c>
      <c r="W337" s="9">
        <v>0</v>
      </c>
      <c r="X337" s="9">
        <v>0</v>
      </c>
      <c r="Y337" s="9">
        <v>0</v>
      </c>
      <c r="Z337" s="9">
        <v>0</v>
      </c>
      <c r="AA337" s="9">
        <v>2</v>
      </c>
      <c r="AB337" s="9">
        <v>1</v>
      </c>
      <c r="AC337" s="9">
        <v>2</v>
      </c>
      <c r="AD337" s="9">
        <v>2</v>
      </c>
      <c r="AE337" s="9">
        <v>1</v>
      </c>
      <c r="AF337" s="9">
        <v>1</v>
      </c>
      <c r="AG337" s="9">
        <v>1</v>
      </c>
      <c r="AH337" s="9">
        <v>1</v>
      </c>
      <c r="AI337" s="9">
        <v>1</v>
      </c>
      <c r="AJ337" s="9">
        <v>1</v>
      </c>
      <c r="AK337" s="9">
        <v>2</v>
      </c>
      <c r="AL337" s="9">
        <v>0</v>
      </c>
      <c r="AM337" s="9">
        <v>0</v>
      </c>
      <c r="AN337" s="9">
        <v>0</v>
      </c>
      <c r="AO337" s="9">
        <v>0</v>
      </c>
      <c r="AP337" s="9">
        <v>0</v>
      </c>
      <c r="AQ337" s="9">
        <v>1</v>
      </c>
      <c r="AR337" s="9">
        <v>1</v>
      </c>
      <c r="AS337" s="9">
        <v>1</v>
      </c>
      <c r="AT337" s="9">
        <v>1</v>
      </c>
      <c r="AU337" s="9">
        <v>2</v>
      </c>
      <c r="AV337" s="9">
        <v>2</v>
      </c>
      <c r="AW337" s="9">
        <v>3</v>
      </c>
      <c r="AX337" s="9">
        <v>4</v>
      </c>
      <c r="AY337" s="9">
        <v>4</v>
      </c>
      <c r="AZ337" s="9">
        <v>4</v>
      </c>
      <c r="BA337" s="9">
        <v>4</v>
      </c>
      <c r="BB337" s="9">
        <v>4</v>
      </c>
      <c r="BC337" s="9">
        <v>4</v>
      </c>
      <c r="BD337" s="9">
        <v>5</v>
      </c>
      <c r="BE337" s="9">
        <v>5</v>
      </c>
      <c r="BF337" s="9">
        <v>5</v>
      </c>
      <c r="BG337" s="9">
        <v>5</v>
      </c>
      <c r="BH337" s="9">
        <v>5</v>
      </c>
      <c r="BI337" s="9">
        <v>4</v>
      </c>
      <c r="BJ337" s="9">
        <v>6</v>
      </c>
      <c r="BK337" s="9">
        <v>7</v>
      </c>
      <c r="BL337" s="9">
        <v>5</v>
      </c>
      <c r="BM337" s="9">
        <v>5</v>
      </c>
      <c r="BN337" s="9">
        <v>5</v>
      </c>
      <c r="BO337" s="9">
        <v>5</v>
      </c>
      <c r="BP337" s="10">
        <v>6</v>
      </c>
      <c r="BQ337">
        <v>8</v>
      </c>
      <c r="BR337">
        <v>8</v>
      </c>
    </row>
    <row r="338" spans="1:70" x14ac:dyDescent="0.35">
      <c r="A338" s="8" t="s">
        <v>342</v>
      </c>
      <c r="B338" s="9" t="s">
        <v>365</v>
      </c>
      <c r="C338" s="10" t="s">
        <v>1076</v>
      </c>
      <c r="D338" s="34">
        <f t="shared" si="7"/>
        <v>2</v>
      </c>
      <c r="E338" s="9">
        <v>0</v>
      </c>
      <c r="F338" s="9">
        <v>0</v>
      </c>
      <c r="G338" s="9">
        <v>0</v>
      </c>
      <c r="H338" s="9">
        <v>0</v>
      </c>
      <c r="I338" s="9">
        <v>0</v>
      </c>
      <c r="J338" s="9">
        <v>0</v>
      </c>
      <c r="K338" s="9">
        <v>0</v>
      </c>
      <c r="L338" s="9">
        <v>0</v>
      </c>
      <c r="M338" s="9">
        <v>0</v>
      </c>
      <c r="N338" s="9">
        <v>0</v>
      </c>
      <c r="O338" s="9">
        <v>0</v>
      </c>
      <c r="P338" s="9">
        <v>0</v>
      </c>
      <c r="Q338" s="9">
        <v>0</v>
      </c>
      <c r="R338" s="9">
        <v>0</v>
      </c>
      <c r="S338" s="9">
        <v>0</v>
      </c>
      <c r="T338" s="9">
        <v>0</v>
      </c>
      <c r="U338" s="9">
        <v>0</v>
      </c>
      <c r="V338" s="9">
        <v>0</v>
      </c>
      <c r="W338" s="9">
        <v>0</v>
      </c>
      <c r="X338" s="9">
        <v>0</v>
      </c>
      <c r="Y338" s="9">
        <v>1</v>
      </c>
      <c r="Z338" s="9">
        <v>1</v>
      </c>
      <c r="AA338" s="9">
        <v>1</v>
      </c>
      <c r="AB338" s="9">
        <v>1</v>
      </c>
      <c r="AC338" s="9">
        <v>1</v>
      </c>
      <c r="AD338" s="9">
        <v>0</v>
      </c>
      <c r="AE338" s="9">
        <v>2</v>
      </c>
      <c r="AF338" s="9">
        <v>2</v>
      </c>
      <c r="AG338" s="9">
        <v>0</v>
      </c>
      <c r="AH338" s="9">
        <v>0</v>
      </c>
      <c r="AI338" s="9">
        <v>0</v>
      </c>
      <c r="AJ338" s="9">
        <v>0</v>
      </c>
      <c r="AK338" s="9">
        <v>1</v>
      </c>
      <c r="AL338" s="9">
        <v>0</v>
      </c>
      <c r="AM338" s="9">
        <v>1</v>
      </c>
      <c r="AN338" s="9">
        <v>2</v>
      </c>
      <c r="AO338" s="9">
        <v>1</v>
      </c>
      <c r="AP338" s="9">
        <v>0</v>
      </c>
      <c r="AQ338" s="9">
        <v>0</v>
      </c>
      <c r="AR338" s="9">
        <v>0</v>
      </c>
      <c r="AS338" s="9">
        <v>0</v>
      </c>
      <c r="AT338" s="9">
        <v>0</v>
      </c>
      <c r="AU338" s="9">
        <v>0</v>
      </c>
      <c r="AV338" s="9">
        <v>1</v>
      </c>
      <c r="AW338" s="9">
        <v>1</v>
      </c>
      <c r="AX338" s="9">
        <v>1</v>
      </c>
      <c r="AY338" s="9">
        <v>1</v>
      </c>
      <c r="AZ338" s="9">
        <v>2</v>
      </c>
      <c r="BA338" s="9">
        <v>1</v>
      </c>
      <c r="BB338" s="9">
        <v>2</v>
      </c>
      <c r="BC338" s="9">
        <v>0</v>
      </c>
      <c r="BD338" s="9">
        <v>0</v>
      </c>
      <c r="BE338" s="9">
        <v>0</v>
      </c>
      <c r="BF338" s="9">
        <v>0</v>
      </c>
      <c r="BG338" s="9">
        <v>0</v>
      </c>
      <c r="BH338" s="9">
        <v>0</v>
      </c>
      <c r="BI338" s="9">
        <v>0</v>
      </c>
      <c r="BJ338" s="9">
        <v>1</v>
      </c>
      <c r="BK338" s="9">
        <v>0</v>
      </c>
      <c r="BL338" s="9">
        <v>1</v>
      </c>
      <c r="BM338" s="9">
        <v>1</v>
      </c>
      <c r="BN338" s="9">
        <v>1</v>
      </c>
      <c r="BO338" s="9">
        <v>1</v>
      </c>
      <c r="BP338" s="10">
        <v>0</v>
      </c>
      <c r="BQ338">
        <v>0</v>
      </c>
      <c r="BR338">
        <v>1</v>
      </c>
    </row>
    <row r="339" spans="1:70" x14ac:dyDescent="0.35">
      <c r="A339" s="8" t="s">
        <v>342</v>
      </c>
      <c r="B339" s="9" t="s">
        <v>367</v>
      </c>
      <c r="C339" s="10" t="s">
        <v>1077</v>
      </c>
      <c r="D339" s="34">
        <f t="shared" si="7"/>
        <v>10</v>
      </c>
      <c r="E339" s="9">
        <v>0</v>
      </c>
      <c r="F339" s="9">
        <v>0</v>
      </c>
      <c r="G339" s="9">
        <v>0</v>
      </c>
      <c r="H339" s="9">
        <v>0</v>
      </c>
      <c r="I339" s="9">
        <v>0</v>
      </c>
      <c r="J339" s="9">
        <v>0</v>
      </c>
      <c r="K339" s="9">
        <v>0</v>
      </c>
      <c r="L339" s="9">
        <v>0</v>
      </c>
      <c r="M339" s="9">
        <v>0</v>
      </c>
      <c r="N339" s="9">
        <v>0</v>
      </c>
      <c r="O339" s="9">
        <v>0</v>
      </c>
      <c r="P339" s="9">
        <v>0</v>
      </c>
      <c r="Q339" s="9">
        <v>0</v>
      </c>
      <c r="R339" s="9">
        <v>0</v>
      </c>
      <c r="S339" s="9">
        <v>0</v>
      </c>
      <c r="T339" s="9">
        <v>0</v>
      </c>
      <c r="U339" s="9">
        <v>0</v>
      </c>
      <c r="V339" s="9">
        <v>0</v>
      </c>
      <c r="W339" s="9">
        <v>0</v>
      </c>
      <c r="X339" s="9">
        <v>0</v>
      </c>
      <c r="Y339" s="9">
        <v>0</v>
      </c>
      <c r="Z339" s="9">
        <v>0</v>
      </c>
      <c r="AA339" s="9">
        <v>0</v>
      </c>
      <c r="AB339" s="9">
        <v>0</v>
      </c>
      <c r="AC339" s="9">
        <v>0</v>
      </c>
      <c r="AD339" s="9">
        <v>0</v>
      </c>
      <c r="AE339" s="9">
        <v>0</v>
      </c>
      <c r="AF339" s="9">
        <v>0</v>
      </c>
      <c r="AG339" s="9">
        <v>0</v>
      </c>
      <c r="AH339" s="9">
        <v>0</v>
      </c>
      <c r="AI339" s="9">
        <v>0</v>
      </c>
      <c r="AJ339" s="9">
        <v>0</v>
      </c>
      <c r="AK339" s="9">
        <v>0</v>
      </c>
      <c r="AL339" s="9">
        <v>0</v>
      </c>
      <c r="AM339" s="9">
        <v>0</v>
      </c>
      <c r="AN339" s="9">
        <v>0</v>
      </c>
      <c r="AO339" s="9">
        <v>1</v>
      </c>
      <c r="AP339" s="9">
        <v>1</v>
      </c>
      <c r="AQ339" s="9">
        <v>1</v>
      </c>
      <c r="AR339" s="9">
        <v>1</v>
      </c>
      <c r="AS339" s="9">
        <v>1</v>
      </c>
      <c r="AT339" s="9">
        <v>1</v>
      </c>
      <c r="AU339" s="9">
        <v>2</v>
      </c>
      <c r="AV339" s="9">
        <v>2</v>
      </c>
      <c r="AW339" s="9">
        <v>2</v>
      </c>
      <c r="AX339" s="9">
        <v>2</v>
      </c>
      <c r="AY339" s="9">
        <v>0</v>
      </c>
      <c r="AZ339" s="9">
        <v>0</v>
      </c>
      <c r="BA339" s="9">
        <v>0</v>
      </c>
      <c r="BB339" s="9">
        <v>1</v>
      </c>
      <c r="BC339" s="9">
        <v>4</v>
      </c>
      <c r="BD339" s="9">
        <v>6</v>
      </c>
      <c r="BE339" s="9">
        <v>6</v>
      </c>
      <c r="BF339" s="9">
        <v>6</v>
      </c>
      <c r="BG339" s="9">
        <v>5</v>
      </c>
      <c r="BH339" s="9">
        <v>8</v>
      </c>
      <c r="BI339" s="9">
        <v>8</v>
      </c>
      <c r="BJ339" s="9">
        <v>8</v>
      </c>
      <c r="BK339" s="9">
        <v>9</v>
      </c>
      <c r="BL339" s="9">
        <v>6</v>
      </c>
      <c r="BM339" s="9">
        <v>0</v>
      </c>
      <c r="BN339" s="9">
        <v>6</v>
      </c>
      <c r="BO339" s="9">
        <v>6</v>
      </c>
      <c r="BP339" s="10">
        <v>8</v>
      </c>
      <c r="BQ339">
        <v>9</v>
      </c>
      <c r="BR339">
        <v>10</v>
      </c>
    </row>
    <row r="340" spans="1:70" x14ac:dyDescent="0.35">
      <c r="A340" s="8" t="s">
        <v>342</v>
      </c>
      <c r="B340" s="9" t="s">
        <v>369</v>
      </c>
      <c r="C340" s="10" t="s">
        <v>1078</v>
      </c>
      <c r="D340" s="34">
        <f t="shared" si="7"/>
        <v>37</v>
      </c>
      <c r="E340" s="9">
        <v>1</v>
      </c>
      <c r="F340" s="9">
        <v>0</v>
      </c>
      <c r="G340" s="9">
        <v>0</v>
      </c>
      <c r="H340" s="9">
        <v>0</v>
      </c>
      <c r="I340" s="9">
        <v>0</v>
      </c>
      <c r="J340" s="9">
        <v>0</v>
      </c>
      <c r="K340" s="9">
        <v>0</v>
      </c>
      <c r="L340" s="9">
        <v>1</v>
      </c>
      <c r="M340" s="9">
        <v>0</v>
      </c>
      <c r="N340" s="9">
        <v>0</v>
      </c>
      <c r="O340" s="9">
        <v>0</v>
      </c>
      <c r="P340" s="9">
        <v>1</v>
      </c>
      <c r="Q340" s="9">
        <v>0</v>
      </c>
      <c r="R340" s="9">
        <v>1</v>
      </c>
      <c r="S340" s="9">
        <v>1</v>
      </c>
      <c r="T340" s="9">
        <v>1</v>
      </c>
      <c r="U340" s="9">
        <v>1</v>
      </c>
      <c r="V340" s="9">
        <v>1</v>
      </c>
      <c r="W340" s="9">
        <v>2</v>
      </c>
      <c r="X340" s="9">
        <v>3</v>
      </c>
      <c r="Y340" s="9">
        <v>3</v>
      </c>
      <c r="Z340" s="9">
        <v>2</v>
      </c>
      <c r="AA340" s="9">
        <v>2</v>
      </c>
      <c r="AB340" s="9">
        <v>2</v>
      </c>
      <c r="AC340" s="9">
        <v>2</v>
      </c>
      <c r="AD340" s="9">
        <v>3</v>
      </c>
      <c r="AE340" s="9">
        <v>3</v>
      </c>
      <c r="AF340" s="9">
        <v>3</v>
      </c>
      <c r="AG340" s="9">
        <v>3</v>
      </c>
      <c r="AH340" s="9">
        <v>4</v>
      </c>
      <c r="AI340" s="9">
        <v>3</v>
      </c>
      <c r="AJ340" s="9">
        <v>4</v>
      </c>
      <c r="AK340" s="9">
        <v>6</v>
      </c>
      <c r="AL340" s="9">
        <v>6</v>
      </c>
      <c r="AM340" s="9">
        <v>6</v>
      </c>
      <c r="AN340" s="9">
        <v>8</v>
      </c>
      <c r="AO340" s="9">
        <v>5</v>
      </c>
      <c r="AP340" s="9">
        <v>7</v>
      </c>
      <c r="AQ340" s="9">
        <v>8</v>
      </c>
      <c r="AR340" s="9">
        <v>7</v>
      </c>
      <c r="AS340" s="9">
        <v>9</v>
      </c>
      <c r="AT340" s="9">
        <v>10</v>
      </c>
      <c r="AU340" s="9">
        <v>8</v>
      </c>
      <c r="AV340" s="9">
        <v>0</v>
      </c>
      <c r="AW340" s="9">
        <v>8</v>
      </c>
      <c r="AX340" s="9">
        <v>13</v>
      </c>
      <c r="AY340" s="9">
        <v>13</v>
      </c>
      <c r="AZ340" s="9">
        <v>13</v>
      </c>
      <c r="BA340" s="9">
        <v>15</v>
      </c>
      <c r="BB340" s="9">
        <v>15</v>
      </c>
      <c r="BC340" s="9">
        <v>25</v>
      </c>
      <c r="BD340" s="9">
        <v>21</v>
      </c>
      <c r="BE340" s="9">
        <v>21</v>
      </c>
      <c r="BF340" s="9">
        <v>19</v>
      </c>
      <c r="BG340" s="9">
        <v>22</v>
      </c>
      <c r="BH340" s="9">
        <v>0</v>
      </c>
      <c r="BI340" s="9">
        <v>28</v>
      </c>
      <c r="BJ340" s="9">
        <v>30</v>
      </c>
      <c r="BK340" s="9">
        <v>30</v>
      </c>
      <c r="BL340" s="9">
        <v>31</v>
      </c>
      <c r="BM340" s="9">
        <v>26</v>
      </c>
      <c r="BN340" s="9">
        <v>25</v>
      </c>
      <c r="BO340" s="9">
        <v>32</v>
      </c>
      <c r="BP340" s="10">
        <v>31</v>
      </c>
      <c r="BQ340">
        <v>37</v>
      </c>
      <c r="BR340">
        <v>34</v>
      </c>
    </row>
    <row r="341" spans="1:70" x14ac:dyDescent="0.35">
      <c r="A341" s="8" t="s">
        <v>342</v>
      </c>
      <c r="B341" s="9" t="s">
        <v>371</v>
      </c>
      <c r="C341" s="10" t="s">
        <v>1079</v>
      </c>
      <c r="D341" s="34">
        <f t="shared" si="7"/>
        <v>82</v>
      </c>
      <c r="E341" s="9">
        <v>1</v>
      </c>
      <c r="F341" s="9">
        <v>1</v>
      </c>
      <c r="G341" s="9">
        <v>1</v>
      </c>
      <c r="H341" s="9">
        <v>1</v>
      </c>
      <c r="I341" s="9">
        <v>0</v>
      </c>
      <c r="J341" s="9">
        <v>0</v>
      </c>
      <c r="K341" s="9">
        <v>0</v>
      </c>
      <c r="L341" s="9">
        <v>1</v>
      </c>
      <c r="M341" s="9">
        <v>0</v>
      </c>
      <c r="N341" s="9">
        <v>0</v>
      </c>
      <c r="O341" s="9">
        <v>0</v>
      </c>
      <c r="P341" s="9">
        <v>0</v>
      </c>
      <c r="Q341" s="9">
        <v>0</v>
      </c>
      <c r="R341" s="9">
        <v>0</v>
      </c>
      <c r="S341" s="9">
        <v>1</v>
      </c>
      <c r="T341" s="9">
        <v>2</v>
      </c>
      <c r="U341" s="9">
        <v>2</v>
      </c>
      <c r="V341" s="9">
        <v>3</v>
      </c>
      <c r="W341" s="9">
        <v>3</v>
      </c>
      <c r="X341" s="9">
        <v>4</v>
      </c>
      <c r="Y341" s="9">
        <v>4</v>
      </c>
      <c r="Z341" s="9">
        <v>5</v>
      </c>
      <c r="AA341" s="9">
        <v>4</v>
      </c>
      <c r="AB341" s="9">
        <v>5</v>
      </c>
      <c r="AC341" s="9">
        <v>7</v>
      </c>
      <c r="AD341" s="9">
        <v>6</v>
      </c>
      <c r="AE341" s="9">
        <v>6</v>
      </c>
      <c r="AF341" s="9">
        <v>8</v>
      </c>
      <c r="AG341" s="9">
        <v>8</v>
      </c>
      <c r="AH341" s="9">
        <v>10</v>
      </c>
      <c r="AI341" s="9">
        <v>10</v>
      </c>
      <c r="AJ341" s="9">
        <v>10</v>
      </c>
      <c r="AK341" s="9">
        <v>9</v>
      </c>
      <c r="AL341" s="9">
        <v>10</v>
      </c>
      <c r="AM341" s="9">
        <v>11</v>
      </c>
      <c r="AN341" s="9">
        <v>8</v>
      </c>
      <c r="AO341" s="9">
        <v>6</v>
      </c>
      <c r="AP341" s="9">
        <v>8</v>
      </c>
      <c r="AQ341" s="9">
        <v>9</v>
      </c>
      <c r="AR341" s="9">
        <v>7</v>
      </c>
      <c r="AS341" s="9">
        <v>6</v>
      </c>
      <c r="AT341" s="9">
        <v>12</v>
      </c>
      <c r="AU341" s="9">
        <v>11</v>
      </c>
      <c r="AV341" s="9">
        <v>12</v>
      </c>
      <c r="AW341" s="9">
        <v>16</v>
      </c>
      <c r="AX341" s="9">
        <v>17</v>
      </c>
      <c r="AY341" s="9">
        <v>20</v>
      </c>
      <c r="AZ341" s="9">
        <v>18</v>
      </c>
      <c r="BA341" s="9">
        <v>23</v>
      </c>
      <c r="BB341" s="9">
        <v>26</v>
      </c>
      <c r="BC341" s="9">
        <v>31</v>
      </c>
      <c r="BD341" s="9">
        <v>34</v>
      </c>
      <c r="BE341" s="9">
        <v>39</v>
      </c>
      <c r="BF341" s="9">
        <v>46</v>
      </c>
      <c r="BG341" s="9">
        <v>50</v>
      </c>
      <c r="BH341" s="9">
        <v>57</v>
      </c>
      <c r="BI341" s="9">
        <v>60</v>
      </c>
      <c r="BJ341" s="9">
        <v>58</v>
      </c>
      <c r="BK341" s="9">
        <v>65</v>
      </c>
      <c r="BL341" s="9">
        <v>73</v>
      </c>
      <c r="BM341" s="9">
        <v>73</v>
      </c>
      <c r="BN341" s="9">
        <v>74</v>
      </c>
      <c r="BO341" s="9">
        <v>79</v>
      </c>
      <c r="BP341" s="10">
        <v>82</v>
      </c>
      <c r="BQ341">
        <v>77</v>
      </c>
      <c r="BR341">
        <v>82</v>
      </c>
    </row>
    <row r="342" spans="1:70" x14ac:dyDescent="0.35">
      <c r="A342" s="8" t="s">
        <v>342</v>
      </c>
      <c r="B342" s="9" t="s">
        <v>373</v>
      </c>
      <c r="C342" s="10" t="s">
        <v>1080</v>
      </c>
      <c r="D342" s="34">
        <f t="shared" si="7"/>
        <v>133</v>
      </c>
      <c r="E342" s="9">
        <v>10</v>
      </c>
      <c r="F342" s="9">
        <v>5</v>
      </c>
      <c r="G342" s="9">
        <v>9</v>
      </c>
      <c r="H342" s="9">
        <v>4</v>
      </c>
      <c r="I342" s="9">
        <v>10</v>
      </c>
      <c r="J342" s="9">
        <v>14</v>
      </c>
      <c r="K342" s="9">
        <v>12</v>
      </c>
      <c r="L342" s="9">
        <v>15</v>
      </c>
      <c r="M342" s="9">
        <v>13</v>
      </c>
      <c r="N342" s="9">
        <v>13</v>
      </c>
      <c r="O342" s="9">
        <v>12</v>
      </c>
      <c r="P342" s="9">
        <v>13</v>
      </c>
      <c r="Q342" s="9">
        <v>10</v>
      </c>
      <c r="R342" s="9">
        <v>18</v>
      </c>
      <c r="S342" s="9">
        <v>20</v>
      </c>
      <c r="T342" s="9">
        <v>23</v>
      </c>
      <c r="U342" s="9">
        <v>19</v>
      </c>
      <c r="V342" s="9">
        <v>20</v>
      </c>
      <c r="W342" s="9">
        <v>20</v>
      </c>
      <c r="X342" s="9">
        <v>24</v>
      </c>
      <c r="Y342" s="9">
        <v>25</v>
      </c>
      <c r="Z342" s="9">
        <v>25</v>
      </c>
      <c r="AA342" s="9">
        <v>28</v>
      </c>
      <c r="AB342" s="9">
        <v>26</v>
      </c>
      <c r="AC342" s="9">
        <v>26</v>
      </c>
      <c r="AD342" s="9">
        <v>27</v>
      </c>
      <c r="AE342" s="9">
        <v>29</v>
      </c>
      <c r="AF342" s="9">
        <v>29</v>
      </c>
      <c r="AG342" s="9">
        <v>29</v>
      </c>
      <c r="AH342" s="9">
        <v>31</v>
      </c>
      <c r="AI342" s="9">
        <v>27</v>
      </c>
      <c r="AJ342" s="9">
        <v>27</v>
      </c>
      <c r="AK342" s="9">
        <v>25</v>
      </c>
      <c r="AL342" s="9">
        <v>23</v>
      </c>
      <c r="AM342" s="9">
        <v>27</v>
      </c>
      <c r="AN342" s="9">
        <v>27</v>
      </c>
      <c r="AO342" s="9">
        <v>25</v>
      </c>
      <c r="AP342" s="9">
        <v>26</v>
      </c>
      <c r="AQ342" s="9">
        <v>29</v>
      </c>
      <c r="AR342" s="9">
        <v>29</v>
      </c>
      <c r="AS342" s="9">
        <v>15</v>
      </c>
      <c r="AT342" s="9">
        <v>14</v>
      </c>
      <c r="AU342" s="9">
        <v>42</v>
      </c>
      <c r="AV342" s="9">
        <v>41</v>
      </c>
      <c r="AW342" s="9">
        <v>42</v>
      </c>
      <c r="AX342" s="9">
        <v>48</v>
      </c>
      <c r="AY342" s="9">
        <v>55</v>
      </c>
      <c r="AZ342" s="9">
        <v>59</v>
      </c>
      <c r="BA342" s="9">
        <v>68</v>
      </c>
      <c r="BB342" s="9">
        <v>73</v>
      </c>
      <c r="BC342" s="9">
        <v>78</v>
      </c>
      <c r="BD342" s="9">
        <v>69</v>
      </c>
      <c r="BE342" s="9">
        <v>67</v>
      </c>
      <c r="BF342" s="9">
        <v>74</v>
      </c>
      <c r="BG342" s="9">
        <v>76</v>
      </c>
      <c r="BH342" s="9">
        <v>79</v>
      </c>
      <c r="BI342" s="9">
        <v>90</v>
      </c>
      <c r="BJ342" s="9">
        <v>90</v>
      </c>
      <c r="BK342" s="9">
        <v>102</v>
      </c>
      <c r="BL342" s="9">
        <v>107</v>
      </c>
      <c r="BM342" s="9">
        <v>109</v>
      </c>
      <c r="BN342" s="9">
        <v>111</v>
      </c>
      <c r="BO342" s="9">
        <v>109</v>
      </c>
      <c r="BP342" s="10">
        <v>133</v>
      </c>
      <c r="BQ342">
        <v>128</v>
      </c>
      <c r="BR342">
        <v>0</v>
      </c>
    </row>
    <row r="343" spans="1:70" x14ac:dyDescent="0.35">
      <c r="A343" s="8" t="s">
        <v>342</v>
      </c>
      <c r="B343" s="9" t="s">
        <v>375</v>
      </c>
      <c r="C343" s="10" t="s">
        <v>1081</v>
      </c>
      <c r="D343" s="34">
        <f t="shared" si="7"/>
        <v>132</v>
      </c>
      <c r="E343" s="9">
        <v>1</v>
      </c>
      <c r="F343" s="9">
        <v>1</v>
      </c>
      <c r="G343" s="9">
        <v>2</v>
      </c>
      <c r="H343" s="9">
        <v>6</v>
      </c>
      <c r="I343" s="9">
        <v>6</v>
      </c>
      <c r="J343" s="9">
        <v>6</v>
      </c>
      <c r="K343" s="9">
        <v>7</v>
      </c>
      <c r="L343" s="9">
        <v>5</v>
      </c>
      <c r="M343" s="9">
        <v>6</v>
      </c>
      <c r="N343" s="9">
        <v>5</v>
      </c>
      <c r="O343" s="9">
        <v>15</v>
      </c>
      <c r="P343" s="9">
        <v>19</v>
      </c>
      <c r="Q343" s="9">
        <v>19</v>
      </c>
      <c r="R343" s="9">
        <v>27</v>
      </c>
      <c r="S343" s="9">
        <v>25</v>
      </c>
      <c r="T343" s="9">
        <v>32</v>
      </c>
      <c r="U343" s="9">
        <v>32</v>
      </c>
      <c r="V343" s="9">
        <v>30</v>
      </c>
      <c r="W343" s="9">
        <v>32</v>
      </c>
      <c r="X343" s="9">
        <v>31</v>
      </c>
      <c r="Y343" s="9">
        <v>33</v>
      </c>
      <c r="Z343" s="9">
        <v>37</v>
      </c>
      <c r="AA343" s="9">
        <v>37</v>
      </c>
      <c r="AB343" s="9">
        <v>37</v>
      </c>
      <c r="AC343" s="9">
        <v>35</v>
      </c>
      <c r="AD343" s="9">
        <v>34</v>
      </c>
      <c r="AE343" s="9">
        <v>35</v>
      </c>
      <c r="AF343" s="9">
        <v>34</v>
      </c>
      <c r="AG343" s="9">
        <v>41</v>
      </c>
      <c r="AH343" s="9">
        <v>36</v>
      </c>
      <c r="AI343" s="9">
        <v>37</v>
      </c>
      <c r="AJ343" s="9">
        <v>39</v>
      </c>
      <c r="AK343" s="9">
        <v>40</v>
      </c>
      <c r="AL343" s="9">
        <v>45</v>
      </c>
      <c r="AM343" s="9">
        <v>41</v>
      </c>
      <c r="AN343" s="9">
        <v>41</v>
      </c>
      <c r="AO343" s="9">
        <v>32</v>
      </c>
      <c r="AP343" s="9">
        <v>36</v>
      </c>
      <c r="AQ343" s="9">
        <v>38</v>
      </c>
      <c r="AR343" s="9">
        <v>36</v>
      </c>
      <c r="AS343" s="9">
        <v>32</v>
      </c>
      <c r="AT343" s="9">
        <v>36</v>
      </c>
      <c r="AU343" s="9">
        <v>39</v>
      </c>
      <c r="AV343" s="9">
        <v>39</v>
      </c>
      <c r="AW343" s="9">
        <v>43</v>
      </c>
      <c r="AX343" s="9">
        <v>48</v>
      </c>
      <c r="AY343" s="9">
        <v>45</v>
      </c>
      <c r="AZ343" s="9">
        <v>45</v>
      </c>
      <c r="BA343" s="9">
        <v>47</v>
      </c>
      <c r="BB343" s="9">
        <v>54</v>
      </c>
      <c r="BC343" s="9">
        <v>58</v>
      </c>
      <c r="BD343" s="9">
        <v>55</v>
      </c>
      <c r="BE343" s="9">
        <v>57</v>
      </c>
      <c r="BF343" s="9">
        <v>59</v>
      </c>
      <c r="BG343" s="9">
        <v>63</v>
      </c>
      <c r="BH343" s="9">
        <v>59</v>
      </c>
      <c r="BI343" s="9">
        <v>58</v>
      </c>
      <c r="BJ343" s="9">
        <v>60</v>
      </c>
      <c r="BK343" s="9">
        <v>65</v>
      </c>
      <c r="BL343" s="9">
        <v>64</v>
      </c>
      <c r="BM343" s="9">
        <v>60</v>
      </c>
      <c r="BN343" s="9">
        <v>61</v>
      </c>
      <c r="BO343" s="9">
        <v>66</v>
      </c>
      <c r="BP343" s="10">
        <v>82</v>
      </c>
      <c r="BQ343">
        <v>126</v>
      </c>
      <c r="BR343">
        <v>132</v>
      </c>
    </row>
    <row r="344" spans="1:70" x14ac:dyDescent="0.35">
      <c r="A344" s="8" t="s">
        <v>342</v>
      </c>
      <c r="B344" s="9" t="s">
        <v>377</v>
      </c>
      <c r="C344" s="10" t="s">
        <v>1082</v>
      </c>
      <c r="D344" s="34">
        <f t="shared" si="7"/>
        <v>90</v>
      </c>
      <c r="E344" s="9">
        <v>21</v>
      </c>
      <c r="F344" s="9">
        <v>22</v>
      </c>
      <c r="G344" s="9">
        <v>27</v>
      </c>
      <c r="H344" s="9">
        <v>37</v>
      </c>
      <c r="I344" s="9">
        <v>37</v>
      </c>
      <c r="J344" s="9">
        <v>36</v>
      </c>
      <c r="K344" s="9">
        <v>45</v>
      </c>
      <c r="L344" s="9">
        <v>38</v>
      </c>
      <c r="M344" s="9">
        <v>37</v>
      </c>
      <c r="N344" s="9">
        <v>38</v>
      </c>
      <c r="O344" s="9">
        <v>36</v>
      </c>
      <c r="P344" s="9">
        <v>37</v>
      </c>
      <c r="Q344" s="9">
        <v>35</v>
      </c>
      <c r="R344" s="9">
        <v>46</v>
      </c>
      <c r="S344" s="9">
        <v>39</v>
      </c>
      <c r="T344" s="9">
        <v>41</v>
      </c>
      <c r="U344" s="9">
        <v>42</v>
      </c>
      <c r="V344" s="9">
        <v>40</v>
      </c>
      <c r="W344" s="9">
        <v>44</v>
      </c>
      <c r="X344" s="9">
        <v>41</v>
      </c>
      <c r="Y344" s="9">
        <v>38</v>
      </c>
      <c r="Z344" s="9">
        <v>40</v>
      </c>
      <c r="AA344" s="9">
        <v>41</v>
      </c>
      <c r="AB344" s="9">
        <v>45</v>
      </c>
      <c r="AC344" s="9">
        <v>44</v>
      </c>
      <c r="AD344" s="9">
        <v>47</v>
      </c>
      <c r="AE344" s="9">
        <v>44</v>
      </c>
      <c r="AF344" s="9">
        <v>43</v>
      </c>
      <c r="AG344" s="9">
        <v>44</v>
      </c>
      <c r="AH344" s="9">
        <v>38</v>
      </c>
      <c r="AI344" s="9">
        <v>36</v>
      </c>
      <c r="AJ344" s="9">
        <v>35</v>
      </c>
      <c r="AK344" s="9">
        <v>36</v>
      </c>
      <c r="AL344" s="9">
        <v>35</v>
      </c>
      <c r="AM344" s="9">
        <v>34</v>
      </c>
      <c r="AN344" s="9">
        <v>38</v>
      </c>
      <c r="AO344" s="9">
        <v>30</v>
      </c>
      <c r="AP344" s="9">
        <v>37</v>
      </c>
      <c r="AQ344" s="9">
        <v>35</v>
      </c>
      <c r="AR344" s="9">
        <v>36</v>
      </c>
      <c r="AS344" s="9">
        <v>36</v>
      </c>
      <c r="AT344" s="9">
        <v>40</v>
      </c>
      <c r="AU344" s="9">
        <v>40</v>
      </c>
      <c r="AV344" s="9">
        <v>38</v>
      </c>
      <c r="AW344" s="9">
        <v>35</v>
      </c>
      <c r="AX344" s="9">
        <v>40</v>
      </c>
      <c r="AY344" s="9">
        <v>47</v>
      </c>
      <c r="AZ344" s="9">
        <v>44</v>
      </c>
      <c r="BA344" s="9">
        <v>47</v>
      </c>
      <c r="BB344" s="9">
        <v>47</v>
      </c>
      <c r="BC344" s="9">
        <v>46</v>
      </c>
      <c r="BD344" s="9">
        <v>50</v>
      </c>
      <c r="BE344" s="9">
        <v>46</v>
      </c>
      <c r="BF344" s="9">
        <v>49</v>
      </c>
      <c r="BG344" s="9">
        <v>57</v>
      </c>
      <c r="BH344" s="9">
        <v>61</v>
      </c>
      <c r="BI344" s="9">
        <v>68</v>
      </c>
      <c r="BJ344" s="9">
        <v>69</v>
      </c>
      <c r="BK344" s="9">
        <v>67</v>
      </c>
      <c r="BL344" s="9">
        <v>71</v>
      </c>
      <c r="BM344" s="9">
        <v>80</v>
      </c>
      <c r="BN344" s="9">
        <v>81</v>
      </c>
      <c r="BO344" s="9">
        <v>84</v>
      </c>
      <c r="BP344" s="10">
        <v>90</v>
      </c>
      <c r="BQ344">
        <v>90</v>
      </c>
      <c r="BR344">
        <v>84</v>
      </c>
    </row>
    <row r="345" spans="1:70" x14ac:dyDescent="0.35">
      <c r="A345" s="8" t="s">
        <v>342</v>
      </c>
      <c r="B345" s="9" t="s">
        <v>379</v>
      </c>
      <c r="C345" s="10" t="s">
        <v>1083</v>
      </c>
      <c r="D345" s="34">
        <f t="shared" si="7"/>
        <v>163</v>
      </c>
      <c r="E345" s="9">
        <v>1</v>
      </c>
      <c r="F345" s="9">
        <v>0</v>
      </c>
      <c r="G345" s="9">
        <v>0</v>
      </c>
      <c r="H345" s="9">
        <v>0</v>
      </c>
      <c r="I345" s="9">
        <v>0</v>
      </c>
      <c r="J345" s="9">
        <v>0</v>
      </c>
      <c r="K345" s="9">
        <v>0</v>
      </c>
      <c r="L345" s="9">
        <v>0</v>
      </c>
      <c r="M345" s="9">
        <v>0</v>
      </c>
      <c r="N345" s="9">
        <v>0</v>
      </c>
      <c r="O345" s="9">
        <v>0</v>
      </c>
      <c r="P345" s="9">
        <v>2</v>
      </c>
      <c r="Q345" s="9">
        <v>2</v>
      </c>
      <c r="R345" s="9">
        <v>2</v>
      </c>
      <c r="S345" s="9">
        <v>5</v>
      </c>
      <c r="T345" s="9">
        <v>4</v>
      </c>
      <c r="U345" s="9">
        <v>4</v>
      </c>
      <c r="V345" s="9">
        <v>6</v>
      </c>
      <c r="W345" s="9">
        <v>8</v>
      </c>
      <c r="X345" s="9">
        <v>8</v>
      </c>
      <c r="Y345" s="9">
        <v>13</v>
      </c>
      <c r="Z345" s="9">
        <v>12</v>
      </c>
      <c r="AA345" s="9">
        <v>13</v>
      </c>
      <c r="AB345" s="9">
        <v>9</v>
      </c>
      <c r="AC345" s="9">
        <v>16</v>
      </c>
      <c r="AD345" s="9">
        <v>30</v>
      </c>
      <c r="AE345" s="9">
        <v>28</v>
      </c>
      <c r="AF345" s="9">
        <v>15</v>
      </c>
      <c r="AG345" s="9">
        <v>13</v>
      </c>
      <c r="AH345" s="9">
        <v>18</v>
      </c>
      <c r="AI345" s="9">
        <v>22</v>
      </c>
      <c r="AJ345" s="9">
        <v>22</v>
      </c>
      <c r="AK345" s="9">
        <v>23</v>
      </c>
      <c r="AL345" s="9">
        <v>23</v>
      </c>
      <c r="AM345" s="9">
        <v>26</v>
      </c>
      <c r="AN345" s="9">
        <v>28</v>
      </c>
      <c r="AO345" s="9">
        <v>30</v>
      </c>
      <c r="AP345" s="9">
        <v>31</v>
      </c>
      <c r="AQ345" s="9">
        <v>42</v>
      </c>
      <c r="AR345" s="9">
        <v>45</v>
      </c>
      <c r="AS345" s="9">
        <v>45</v>
      </c>
      <c r="AT345" s="9">
        <v>55</v>
      </c>
      <c r="AU345" s="9">
        <v>52</v>
      </c>
      <c r="AV345" s="9">
        <v>49</v>
      </c>
      <c r="AW345" s="9">
        <v>50</v>
      </c>
      <c r="AX345" s="9">
        <v>57</v>
      </c>
      <c r="AY345" s="9">
        <v>66</v>
      </c>
      <c r="AZ345" s="9">
        <v>65</v>
      </c>
      <c r="BA345" s="9">
        <v>70</v>
      </c>
      <c r="BB345" s="9">
        <v>91</v>
      </c>
      <c r="BC345" s="9">
        <v>88</v>
      </c>
      <c r="BD345" s="9">
        <v>94</v>
      </c>
      <c r="BE345" s="9">
        <v>88</v>
      </c>
      <c r="BF345" s="9">
        <v>96</v>
      </c>
      <c r="BG345" s="9">
        <v>97</v>
      </c>
      <c r="BH345" s="9">
        <v>104</v>
      </c>
      <c r="BI345" s="9">
        <v>116</v>
      </c>
      <c r="BJ345" s="9">
        <v>103</v>
      </c>
      <c r="BK345" s="9">
        <v>128</v>
      </c>
      <c r="BL345" s="9">
        <v>0</v>
      </c>
      <c r="BM345" s="9">
        <v>140</v>
      </c>
      <c r="BN345" s="9">
        <v>158</v>
      </c>
      <c r="BO345" s="9">
        <v>163</v>
      </c>
      <c r="BP345" s="10">
        <v>145</v>
      </c>
      <c r="BQ345">
        <v>121</v>
      </c>
      <c r="BR345">
        <v>126</v>
      </c>
    </row>
    <row r="346" spans="1:70" x14ac:dyDescent="0.35">
      <c r="A346" s="8" t="s">
        <v>342</v>
      </c>
      <c r="B346" s="9" t="s">
        <v>381</v>
      </c>
      <c r="C346" s="10" t="s">
        <v>1084</v>
      </c>
      <c r="D346" s="34">
        <f t="shared" si="7"/>
        <v>13</v>
      </c>
      <c r="E346" s="9">
        <v>1</v>
      </c>
      <c r="F346" s="9">
        <v>4</v>
      </c>
      <c r="G346" s="9">
        <v>3</v>
      </c>
      <c r="H346" s="9">
        <v>0</v>
      </c>
      <c r="I346" s="9">
        <v>0</v>
      </c>
      <c r="J346" s="9">
        <v>0</v>
      </c>
      <c r="K346" s="9">
        <v>0</v>
      </c>
      <c r="L346" s="9">
        <v>0</v>
      </c>
      <c r="M346" s="9">
        <v>0</v>
      </c>
      <c r="N346" s="9">
        <v>0</v>
      </c>
      <c r="O346" s="9">
        <v>0</v>
      </c>
      <c r="P346" s="9">
        <v>0</v>
      </c>
      <c r="Q346" s="9">
        <v>0</v>
      </c>
      <c r="R346" s="9">
        <v>0</v>
      </c>
      <c r="S346" s="9">
        <v>0</v>
      </c>
      <c r="T346" s="9">
        <v>0</v>
      </c>
      <c r="U346" s="9">
        <v>0</v>
      </c>
      <c r="V346" s="9">
        <v>0</v>
      </c>
      <c r="W346" s="9">
        <v>0</v>
      </c>
      <c r="X346" s="9">
        <v>0</v>
      </c>
      <c r="Y346" s="9">
        <v>0</v>
      </c>
      <c r="Z346" s="9">
        <v>0</v>
      </c>
      <c r="AA346" s="9">
        <v>0</v>
      </c>
      <c r="AB346" s="9">
        <v>0</v>
      </c>
      <c r="AC346" s="9">
        <v>0</v>
      </c>
      <c r="AD346" s="9">
        <v>0</v>
      </c>
      <c r="AE346" s="9">
        <v>0</v>
      </c>
      <c r="AF346" s="9">
        <v>0</v>
      </c>
      <c r="AG346" s="9">
        <v>0</v>
      </c>
      <c r="AH346" s="9">
        <v>0</v>
      </c>
      <c r="AI346" s="9">
        <v>0</v>
      </c>
      <c r="AJ346" s="9">
        <v>1</v>
      </c>
      <c r="AK346" s="9">
        <v>0</v>
      </c>
      <c r="AL346" s="9">
        <v>1</v>
      </c>
      <c r="AM346" s="9">
        <v>2</v>
      </c>
      <c r="AN346" s="9">
        <v>1</v>
      </c>
      <c r="AO346" s="9">
        <v>2</v>
      </c>
      <c r="AP346" s="9">
        <v>0</v>
      </c>
      <c r="AQ346" s="9">
        <v>2</v>
      </c>
      <c r="AR346" s="9">
        <v>0</v>
      </c>
      <c r="AS346" s="9">
        <v>0</v>
      </c>
      <c r="AT346" s="9">
        <v>2</v>
      </c>
      <c r="AU346" s="9">
        <v>2</v>
      </c>
      <c r="AV346" s="9">
        <v>0</v>
      </c>
      <c r="AW346" s="9">
        <v>1</v>
      </c>
      <c r="AX346" s="9">
        <v>3</v>
      </c>
      <c r="AY346" s="9">
        <v>2</v>
      </c>
      <c r="AZ346" s="9">
        <v>3</v>
      </c>
      <c r="BA346" s="9">
        <v>3</v>
      </c>
      <c r="BB346" s="9">
        <v>4</v>
      </c>
      <c r="BC346" s="9">
        <v>5</v>
      </c>
      <c r="BD346" s="9">
        <v>5</v>
      </c>
      <c r="BE346" s="9">
        <v>4</v>
      </c>
      <c r="BF346" s="9">
        <v>4</v>
      </c>
      <c r="BG346" s="9">
        <v>4</v>
      </c>
      <c r="BH346" s="9">
        <v>9</v>
      </c>
      <c r="BI346" s="9">
        <v>10</v>
      </c>
      <c r="BJ346" s="9">
        <v>9</v>
      </c>
      <c r="BK346" s="9">
        <v>13</v>
      </c>
      <c r="BL346" s="9">
        <v>12</v>
      </c>
      <c r="BM346" s="9">
        <v>12</v>
      </c>
      <c r="BN346" s="9">
        <v>12</v>
      </c>
      <c r="BO346" s="9">
        <v>13</v>
      </c>
      <c r="BP346" s="10">
        <v>9</v>
      </c>
      <c r="BQ346">
        <v>11</v>
      </c>
      <c r="BR346">
        <v>8</v>
      </c>
    </row>
    <row r="347" spans="1:70" x14ac:dyDescent="0.35">
      <c r="A347" s="8" t="s">
        <v>342</v>
      </c>
      <c r="B347" s="9" t="s">
        <v>383</v>
      </c>
      <c r="C347" s="10" t="s">
        <v>1085</v>
      </c>
      <c r="D347" s="34">
        <f t="shared" si="7"/>
        <v>8</v>
      </c>
      <c r="E347" s="9">
        <v>0</v>
      </c>
      <c r="F347" s="9">
        <v>0</v>
      </c>
      <c r="G347" s="9">
        <v>0</v>
      </c>
      <c r="H347" s="9">
        <v>0</v>
      </c>
      <c r="I347" s="9">
        <v>0</v>
      </c>
      <c r="J347" s="9">
        <v>0</v>
      </c>
      <c r="K347" s="9">
        <v>0</v>
      </c>
      <c r="L347" s="9">
        <v>0</v>
      </c>
      <c r="M347" s="9">
        <v>0</v>
      </c>
      <c r="N347" s="9">
        <v>0</v>
      </c>
      <c r="O347" s="9">
        <v>0</v>
      </c>
      <c r="P347" s="9">
        <v>0</v>
      </c>
      <c r="Q347" s="9">
        <v>0</v>
      </c>
      <c r="R347" s="9">
        <v>0</v>
      </c>
      <c r="S347" s="9">
        <v>1</v>
      </c>
      <c r="T347" s="9">
        <v>1</v>
      </c>
      <c r="U347" s="9">
        <v>1</v>
      </c>
      <c r="V347" s="9">
        <v>2</v>
      </c>
      <c r="W347" s="9">
        <v>2</v>
      </c>
      <c r="X347" s="9">
        <v>2</v>
      </c>
      <c r="Y347" s="9">
        <v>2</v>
      </c>
      <c r="Z347" s="9">
        <v>2</v>
      </c>
      <c r="AA347" s="9">
        <v>2</v>
      </c>
      <c r="AB347" s="9">
        <v>2</v>
      </c>
      <c r="AC347" s="9">
        <v>2</v>
      </c>
      <c r="AD347" s="9">
        <v>2</v>
      </c>
      <c r="AE347" s="9">
        <v>2</v>
      </c>
      <c r="AF347" s="9">
        <v>2</v>
      </c>
      <c r="AG347" s="9">
        <v>2</v>
      </c>
      <c r="AH347" s="9">
        <v>2</v>
      </c>
      <c r="AI347" s="9">
        <v>2</v>
      </c>
      <c r="AJ347" s="9">
        <v>1</v>
      </c>
      <c r="AK347" s="9">
        <v>1</v>
      </c>
      <c r="AL347" s="9">
        <v>1</v>
      </c>
      <c r="AM347" s="9">
        <v>1</v>
      </c>
      <c r="AN347" s="9">
        <v>3</v>
      </c>
      <c r="AO347" s="9">
        <v>3</v>
      </c>
      <c r="AP347" s="9">
        <v>2</v>
      </c>
      <c r="AQ347" s="9">
        <v>2</v>
      </c>
      <c r="AR347" s="9">
        <v>3</v>
      </c>
      <c r="AS347" s="9">
        <v>3</v>
      </c>
      <c r="AT347" s="9">
        <v>4</v>
      </c>
      <c r="AU347" s="9">
        <v>4</v>
      </c>
      <c r="AV347" s="9">
        <v>5</v>
      </c>
      <c r="AW347" s="9">
        <v>5</v>
      </c>
      <c r="AX347" s="9">
        <v>6</v>
      </c>
      <c r="AY347" s="9">
        <v>7</v>
      </c>
      <c r="AZ347" s="9">
        <v>8</v>
      </c>
      <c r="BA347" s="9">
        <v>7</v>
      </c>
      <c r="BB347" s="9">
        <v>5</v>
      </c>
      <c r="BC347" s="9">
        <v>5</v>
      </c>
      <c r="BD347" s="9">
        <v>6</v>
      </c>
      <c r="BE347" s="9">
        <v>6</v>
      </c>
      <c r="BF347" s="9">
        <v>6</v>
      </c>
      <c r="BG347" s="9">
        <v>5</v>
      </c>
      <c r="BH347" s="9">
        <v>3</v>
      </c>
      <c r="BI347" s="9">
        <v>1</v>
      </c>
      <c r="BJ347" s="9">
        <v>2</v>
      </c>
      <c r="BK347" s="9">
        <v>2</v>
      </c>
      <c r="BL347" s="9">
        <v>2</v>
      </c>
      <c r="BM347" s="9">
        <v>2</v>
      </c>
      <c r="BN347" s="9">
        <v>2</v>
      </c>
      <c r="BO347" s="9">
        <v>2</v>
      </c>
      <c r="BP347" s="10">
        <v>3</v>
      </c>
      <c r="BQ347">
        <v>3</v>
      </c>
      <c r="BR347">
        <v>2</v>
      </c>
    </row>
    <row r="348" spans="1:70" x14ac:dyDescent="0.35">
      <c r="A348" s="8" t="s">
        <v>342</v>
      </c>
      <c r="B348" s="9" t="s">
        <v>385</v>
      </c>
      <c r="C348" s="10" t="s">
        <v>1086</v>
      </c>
      <c r="D348" s="34">
        <f t="shared" si="7"/>
        <v>136</v>
      </c>
      <c r="E348" s="9">
        <v>1</v>
      </c>
      <c r="F348" s="9">
        <v>0</v>
      </c>
      <c r="G348" s="9">
        <v>1</v>
      </c>
      <c r="H348" s="9">
        <v>1</v>
      </c>
      <c r="I348" s="9">
        <v>1</v>
      </c>
      <c r="J348" s="9">
        <v>2</v>
      </c>
      <c r="K348" s="9">
        <v>2</v>
      </c>
      <c r="L348" s="9">
        <v>2</v>
      </c>
      <c r="M348" s="9">
        <v>2</v>
      </c>
      <c r="N348" s="9">
        <v>3</v>
      </c>
      <c r="O348" s="9">
        <v>4</v>
      </c>
      <c r="P348" s="9">
        <v>5</v>
      </c>
      <c r="Q348" s="9">
        <v>4</v>
      </c>
      <c r="R348" s="9">
        <v>16</v>
      </c>
      <c r="S348" s="9">
        <v>20</v>
      </c>
      <c r="T348" s="9">
        <v>20</v>
      </c>
      <c r="U348" s="9">
        <v>21</v>
      </c>
      <c r="V348" s="9">
        <v>20</v>
      </c>
      <c r="W348" s="9">
        <v>21</v>
      </c>
      <c r="X348" s="9">
        <v>23</v>
      </c>
      <c r="Y348" s="9">
        <v>26</v>
      </c>
      <c r="Z348" s="9">
        <v>31</v>
      </c>
      <c r="AA348" s="9">
        <v>33</v>
      </c>
      <c r="AB348" s="9">
        <v>32</v>
      </c>
      <c r="AC348" s="9">
        <v>32</v>
      </c>
      <c r="AD348" s="9">
        <v>35</v>
      </c>
      <c r="AE348" s="9">
        <v>38</v>
      </c>
      <c r="AF348" s="9">
        <v>41</v>
      </c>
      <c r="AG348" s="9">
        <v>39</v>
      </c>
      <c r="AH348" s="9">
        <v>42</v>
      </c>
      <c r="AI348" s="9">
        <v>42</v>
      </c>
      <c r="AJ348" s="9">
        <v>42</v>
      </c>
      <c r="AK348" s="9">
        <v>45</v>
      </c>
      <c r="AL348" s="9">
        <v>48</v>
      </c>
      <c r="AM348" s="9">
        <v>54</v>
      </c>
      <c r="AN348" s="9">
        <v>54</v>
      </c>
      <c r="AO348" s="9">
        <v>58</v>
      </c>
      <c r="AP348" s="9">
        <v>60</v>
      </c>
      <c r="AQ348" s="9">
        <v>61</v>
      </c>
      <c r="AR348" s="9">
        <v>59</v>
      </c>
      <c r="AS348" s="9">
        <v>56</v>
      </c>
      <c r="AT348" s="9">
        <v>60</v>
      </c>
      <c r="AU348" s="9">
        <v>58</v>
      </c>
      <c r="AV348" s="9">
        <v>65</v>
      </c>
      <c r="AW348" s="9">
        <v>70</v>
      </c>
      <c r="AX348" s="9">
        <v>68</v>
      </c>
      <c r="AY348" s="9">
        <v>74</v>
      </c>
      <c r="AZ348" s="9">
        <v>73</v>
      </c>
      <c r="BA348" s="9">
        <v>80</v>
      </c>
      <c r="BB348" s="9">
        <v>92</v>
      </c>
      <c r="BC348" s="9">
        <v>91</v>
      </c>
      <c r="BD348" s="9">
        <v>85</v>
      </c>
      <c r="BE348" s="9">
        <v>97</v>
      </c>
      <c r="BF348" s="9">
        <v>103</v>
      </c>
      <c r="BG348" s="9">
        <v>101</v>
      </c>
      <c r="BH348" s="9">
        <v>114</v>
      </c>
      <c r="BI348" s="9">
        <v>115</v>
      </c>
      <c r="BJ348" s="9">
        <v>115</v>
      </c>
      <c r="BK348" s="9">
        <v>113</v>
      </c>
      <c r="BL348" s="9">
        <v>112</v>
      </c>
      <c r="BM348" s="9">
        <v>110</v>
      </c>
      <c r="BN348" s="9">
        <v>119</v>
      </c>
      <c r="BO348" s="9">
        <v>125</v>
      </c>
      <c r="BP348" s="10">
        <v>136</v>
      </c>
      <c r="BQ348">
        <v>136</v>
      </c>
      <c r="BR348">
        <v>136</v>
      </c>
    </row>
    <row r="349" spans="1:70" x14ac:dyDescent="0.35">
      <c r="A349" s="8" t="s">
        <v>342</v>
      </c>
      <c r="B349" s="9" t="s">
        <v>387</v>
      </c>
      <c r="C349" s="10" t="s">
        <v>1087</v>
      </c>
      <c r="D349" s="34">
        <f t="shared" si="7"/>
        <v>95</v>
      </c>
      <c r="E349" s="9">
        <v>3</v>
      </c>
      <c r="F349" s="9">
        <v>3</v>
      </c>
      <c r="G349" s="9">
        <v>2</v>
      </c>
      <c r="H349" s="9">
        <v>2</v>
      </c>
      <c r="I349" s="9">
        <v>1</v>
      </c>
      <c r="J349" s="9">
        <v>1</v>
      </c>
      <c r="K349" s="9">
        <v>1</v>
      </c>
      <c r="L349" s="9">
        <v>1</v>
      </c>
      <c r="M349" s="9">
        <v>0</v>
      </c>
      <c r="N349" s="9">
        <v>0</v>
      </c>
      <c r="O349" s="9">
        <v>0</v>
      </c>
      <c r="P349" s="9">
        <v>0</v>
      </c>
      <c r="Q349" s="9">
        <v>0</v>
      </c>
      <c r="R349" s="9">
        <v>2</v>
      </c>
      <c r="S349" s="9">
        <v>2</v>
      </c>
      <c r="T349" s="9">
        <v>2</v>
      </c>
      <c r="U349" s="9">
        <v>3</v>
      </c>
      <c r="V349" s="9">
        <v>3</v>
      </c>
      <c r="W349" s="9">
        <v>6</v>
      </c>
      <c r="X349" s="9">
        <v>7</v>
      </c>
      <c r="Y349" s="9">
        <v>8</v>
      </c>
      <c r="Z349" s="9">
        <v>8</v>
      </c>
      <c r="AA349" s="9">
        <v>9</v>
      </c>
      <c r="AB349" s="9">
        <v>7</v>
      </c>
      <c r="AC349" s="9">
        <v>10</v>
      </c>
      <c r="AD349" s="9">
        <v>13</v>
      </c>
      <c r="AE349" s="9">
        <v>13</v>
      </c>
      <c r="AF349" s="9">
        <v>13</v>
      </c>
      <c r="AG349" s="9">
        <v>14</v>
      </c>
      <c r="AH349" s="9">
        <v>18</v>
      </c>
      <c r="AI349" s="9">
        <v>16</v>
      </c>
      <c r="AJ349" s="9">
        <v>21</v>
      </c>
      <c r="AK349" s="9">
        <v>27</v>
      </c>
      <c r="AL349" s="9">
        <v>35</v>
      </c>
      <c r="AM349" s="9">
        <v>46</v>
      </c>
      <c r="AN349" s="9">
        <v>46</v>
      </c>
      <c r="AO349" s="9">
        <v>47</v>
      </c>
      <c r="AP349" s="9">
        <v>47</v>
      </c>
      <c r="AQ349" s="9">
        <v>51</v>
      </c>
      <c r="AR349" s="9">
        <v>58</v>
      </c>
      <c r="AS349" s="9">
        <v>61</v>
      </c>
      <c r="AT349" s="9">
        <v>66</v>
      </c>
      <c r="AU349" s="9">
        <v>70</v>
      </c>
      <c r="AV349" s="9">
        <v>73</v>
      </c>
      <c r="AW349" s="9">
        <v>64</v>
      </c>
      <c r="AX349" s="9">
        <v>67</v>
      </c>
      <c r="AY349" s="9">
        <v>70</v>
      </c>
      <c r="AZ349" s="9">
        <v>74</v>
      </c>
      <c r="BA349" s="9">
        <v>78</v>
      </c>
      <c r="BB349" s="9">
        <v>71</v>
      </c>
      <c r="BC349" s="9">
        <v>73</v>
      </c>
      <c r="BD349" s="9">
        <v>69</v>
      </c>
      <c r="BE349" s="9">
        <v>73</v>
      </c>
      <c r="BF349" s="9">
        <v>70</v>
      </c>
      <c r="BG349" s="9">
        <v>70</v>
      </c>
      <c r="BH349" s="9">
        <v>72</v>
      </c>
      <c r="BI349" s="9">
        <v>76</v>
      </c>
      <c r="BJ349" s="9">
        <v>79</v>
      </c>
      <c r="BK349" s="9">
        <v>78</v>
      </c>
      <c r="BL349" s="9">
        <v>70</v>
      </c>
      <c r="BM349" s="9">
        <v>68</v>
      </c>
      <c r="BN349" s="9">
        <v>85</v>
      </c>
      <c r="BO349" s="9">
        <v>89</v>
      </c>
      <c r="BP349" s="10">
        <v>93</v>
      </c>
      <c r="BQ349">
        <v>93</v>
      </c>
      <c r="BR349">
        <v>95</v>
      </c>
    </row>
    <row r="350" spans="1:70" x14ac:dyDescent="0.35">
      <c r="A350" s="8" t="s">
        <v>342</v>
      </c>
      <c r="B350" s="9" t="s">
        <v>389</v>
      </c>
      <c r="C350" s="10" t="s">
        <v>1088</v>
      </c>
      <c r="D350" s="34">
        <f t="shared" si="7"/>
        <v>31</v>
      </c>
      <c r="E350" s="9">
        <v>0</v>
      </c>
      <c r="F350" s="9">
        <v>0</v>
      </c>
      <c r="G350" s="9">
        <v>0</v>
      </c>
      <c r="H350" s="9">
        <v>0</v>
      </c>
      <c r="I350" s="9">
        <v>0</v>
      </c>
      <c r="J350" s="9">
        <v>0</v>
      </c>
      <c r="K350" s="9">
        <v>0</v>
      </c>
      <c r="L350" s="9">
        <v>0</v>
      </c>
      <c r="M350" s="9">
        <v>0</v>
      </c>
      <c r="N350" s="9">
        <v>0</v>
      </c>
      <c r="O350" s="9">
        <v>0</v>
      </c>
      <c r="P350" s="9">
        <v>1</v>
      </c>
      <c r="Q350" s="9">
        <v>1</v>
      </c>
      <c r="R350" s="9">
        <v>1</v>
      </c>
      <c r="S350" s="9">
        <v>1</v>
      </c>
      <c r="T350" s="9">
        <v>1</v>
      </c>
      <c r="U350" s="9">
        <v>1</v>
      </c>
      <c r="V350" s="9">
        <v>1</v>
      </c>
      <c r="W350" s="9">
        <v>1</v>
      </c>
      <c r="X350" s="9">
        <v>1</v>
      </c>
      <c r="Y350" s="9">
        <v>1</v>
      </c>
      <c r="Z350" s="9">
        <v>1</v>
      </c>
      <c r="AA350" s="9">
        <v>1</v>
      </c>
      <c r="AB350" s="9">
        <v>0</v>
      </c>
      <c r="AC350" s="9">
        <v>0</v>
      </c>
      <c r="AD350" s="9">
        <v>0</v>
      </c>
      <c r="AE350" s="9">
        <v>0</v>
      </c>
      <c r="AF350" s="9">
        <v>0</v>
      </c>
      <c r="AG350" s="9">
        <v>0</v>
      </c>
      <c r="AH350" s="9">
        <v>0</v>
      </c>
      <c r="AI350" s="9">
        <v>0</v>
      </c>
      <c r="AJ350" s="9">
        <v>0</v>
      </c>
      <c r="AK350" s="9">
        <v>0</v>
      </c>
      <c r="AL350" s="9">
        <v>1</v>
      </c>
      <c r="AM350" s="9">
        <v>7</v>
      </c>
      <c r="AN350" s="9">
        <v>8</v>
      </c>
      <c r="AO350" s="9">
        <v>8</v>
      </c>
      <c r="AP350" s="9">
        <v>9</v>
      </c>
      <c r="AQ350" s="9">
        <v>10</v>
      </c>
      <c r="AR350" s="9">
        <v>13</v>
      </c>
      <c r="AS350" s="9">
        <v>14</v>
      </c>
      <c r="AT350" s="9">
        <v>16</v>
      </c>
      <c r="AU350" s="9">
        <v>15</v>
      </c>
      <c r="AV350" s="9">
        <v>20</v>
      </c>
      <c r="AW350" s="9">
        <v>20</v>
      </c>
      <c r="AX350" s="9">
        <v>19</v>
      </c>
      <c r="AY350" s="9">
        <v>20</v>
      </c>
      <c r="AZ350" s="9">
        <v>12</v>
      </c>
      <c r="BA350" s="9">
        <v>14</v>
      </c>
      <c r="BB350" s="9">
        <v>13</v>
      </c>
      <c r="BC350" s="9">
        <v>11</v>
      </c>
      <c r="BD350" s="9">
        <v>9</v>
      </c>
      <c r="BE350" s="9">
        <v>15</v>
      </c>
      <c r="BF350" s="9">
        <v>20</v>
      </c>
      <c r="BG350" s="9">
        <v>27</v>
      </c>
      <c r="BH350" s="9">
        <v>24</v>
      </c>
      <c r="BI350" s="9">
        <v>21</v>
      </c>
      <c r="BJ350" s="9">
        <v>27</v>
      </c>
      <c r="BK350" s="9">
        <v>27</v>
      </c>
      <c r="BL350" s="9">
        <v>31</v>
      </c>
      <c r="BM350" s="9">
        <v>30</v>
      </c>
      <c r="BN350" s="9">
        <v>30</v>
      </c>
      <c r="BO350" s="9">
        <v>30</v>
      </c>
      <c r="BP350" s="10">
        <v>30</v>
      </c>
      <c r="BQ350">
        <v>31</v>
      </c>
      <c r="BR350">
        <v>29</v>
      </c>
    </row>
    <row r="351" spans="1:70" x14ac:dyDescent="0.35">
      <c r="A351" s="8" t="s">
        <v>342</v>
      </c>
      <c r="B351" s="9" t="s">
        <v>391</v>
      </c>
      <c r="C351" s="10" t="s">
        <v>1089</v>
      </c>
      <c r="D351" s="34">
        <f t="shared" si="7"/>
        <v>15</v>
      </c>
      <c r="E351" s="9">
        <v>0</v>
      </c>
      <c r="F351" s="9">
        <v>0</v>
      </c>
      <c r="G351" s="9">
        <v>0</v>
      </c>
      <c r="H351" s="9">
        <v>0</v>
      </c>
      <c r="I351" s="9">
        <v>0</v>
      </c>
      <c r="J351" s="9">
        <v>0</v>
      </c>
      <c r="K351" s="9">
        <v>0</v>
      </c>
      <c r="L351" s="9">
        <v>0</v>
      </c>
      <c r="M351" s="9">
        <v>0</v>
      </c>
      <c r="N351" s="9">
        <v>0</v>
      </c>
      <c r="O351" s="9">
        <v>1</v>
      </c>
      <c r="P351" s="9">
        <v>1</v>
      </c>
      <c r="Q351" s="9">
        <v>1</v>
      </c>
      <c r="R351" s="9">
        <v>0</v>
      </c>
      <c r="S351" s="9">
        <v>0</v>
      </c>
      <c r="T351" s="9">
        <v>0</v>
      </c>
      <c r="U351" s="9">
        <v>0</v>
      </c>
      <c r="V351" s="9">
        <v>0</v>
      </c>
      <c r="W351" s="9">
        <v>0</v>
      </c>
      <c r="X351" s="9">
        <v>0</v>
      </c>
      <c r="Y351" s="9">
        <v>0</v>
      </c>
      <c r="Z351" s="9">
        <v>1</v>
      </c>
      <c r="AA351" s="9">
        <v>1</v>
      </c>
      <c r="AB351" s="9">
        <v>2</v>
      </c>
      <c r="AC351" s="9">
        <v>2</v>
      </c>
      <c r="AD351" s="9">
        <v>1</v>
      </c>
      <c r="AE351" s="9">
        <v>1</v>
      </c>
      <c r="AF351" s="9">
        <v>2</v>
      </c>
      <c r="AG351" s="9">
        <v>2</v>
      </c>
      <c r="AH351" s="9">
        <v>2</v>
      </c>
      <c r="AI351" s="9">
        <v>2</v>
      </c>
      <c r="AJ351" s="9">
        <v>2</v>
      </c>
      <c r="AK351" s="9">
        <v>2</v>
      </c>
      <c r="AL351" s="9">
        <v>2</v>
      </c>
      <c r="AM351" s="9">
        <v>2</v>
      </c>
      <c r="AN351" s="9">
        <v>3</v>
      </c>
      <c r="AO351" s="9">
        <v>5</v>
      </c>
      <c r="AP351" s="9">
        <v>6</v>
      </c>
      <c r="AQ351" s="9">
        <v>9</v>
      </c>
      <c r="AR351" s="9">
        <v>9</v>
      </c>
      <c r="AS351" s="9">
        <v>9</v>
      </c>
      <c r="AT351" s="9">
        <v>9</v>
      </c>
      <c r="AU351" s="9">
        <v>10</v>
      </c>
      <c r="AV351" s="9">
        <v>0</v>
      </c>
      <c r="AW351" s="9">
        <v>13</v>
      </c>
      <c r="AX351" s="9">
        <v>13</v>
      </c>
      <c r="AY351" s="9">
        <v>13</v>
      </c>
      <c r="AZ351" s="9">
        <v>13</v>
      </c>
      <c r="BA351" s="9">
        <v>15</v>
      </c>
      <c r="BB351" s="9">
        <v>7</v>
      </c>
      <c r="BC351" s="9">
        <v>10</v>
      </c>
      <c r="BD351" s="9">
        <v>10</v>
      </c>
      <c r="BE351" s="9">
        <v>10</v>
      </c>
      <c r="BF351" s="9">
        <v>11</v>
      </c>
      <c r="BG351" s="9">
        <v>11</v>
      </c>
      <c r="BH351" s="9">
        <v>11</v>
      </c>
      <c r="BI351" s="9">
        <v>10</v>
      </c>
      <c r="BJ351" s="9">
        <v>4</v>
      </c>
      <c r="BK351" s="9">
        <v>3</v>
      </c>
      <c r="BL351" s="9">
        <v>3</v>
      </c>
      <c r="BM351" s="9">
        <v>4</v>
      </c>
      <c r="BN351" s="9">
        <v>3</v>
      </c>
      <c r="BO351" s="9">
        <v>3</v>
      </c>
      <c r="BP351" s="10">
        <v>6</v>
      </c>
      <c r="BQ351">
        <v>7</v>
      </c>
      <c r="BR351">
        <v>8</v>
      </c>
    </row>
    <row r="352" spans="1:70" x14ac:dyDescent="0.35">
      <c r="A352" s="8" t="s">
        <v>342</v>
      </c>
      <c r="B352" s="9" t="s">
        <v>393</v>
      </c>
      <c r="C352" s="10" t="s">
        <v>1090</v>
      </c>
      <c r="D352" s="34">
        <f t="shared" si="7"/>
        <v>382</v>
      </c>
      <c r="E352" s="9">
        <v>18</v>
      </c>
      <c r="F352" s="9">
        <v>17</v>
      </c>
      <c r="G352" s="9">
        <v>19</v>
      </c>
      <c r="H352" s="9">
        <v>21</v>
      </c>
      <c r="I352" s="9">
        <v>16</v>
      </c>
      <c r="J352" s="9">
        <v>10</v>
      </c>
      <c r="K352" s="9">
        <v>23</v>
      </c>
      <c r="L352" s="9">
        <v>26</v>
      </c>
      <c r="M352" s="9">
        <v>27</v>
      </c>
      <c r="N352" s="9">
        <v>24</v>
      </c>
      <c r="O352" s="9">
        <v>26</v>
      </c>
      <c r="P352" s="9">
        <v>28</v>
      </c>
      <c r="Q352" s="9">
        <v>21</v>
      </c>
      <c r="R352" s="9">
        <v>23</v>
      </c>
      <c r="S352" s="9">
        <v>21</v>
      </c>
      <c r="T352" s="9">
        <v>30</v>
      </c>
      <c r="U352" s="9">
        <v>31</v>
      </c>
      <c r="V352" s="9">
        <v>31</v>
      </c>
      <c r="W352" s="9">
        <v>34</v>
      </c>
      <c r="X352" s="9">
        <v>36</v>
      </c>
      <c r="Y352" s="9">
        <v>37</v>
      </c>
      <c r="Z352" s="9">
        <v>33</v>
      </c>
      <c r="AA352" s="9">
        <v>38</v>
      </c>
      <c r="AB352" s="9">
        <v>35</v>
      </c>
      <c r="AC352" s="9">
        <v>41</v>
      </c>
      <c r="AD352" s="9">
        <v>48</v>
      </c>
      <c r="AE352" s="9">
        <v>39</v>
      </c>
      <c r="AF352" s="9">
        <v>64</v>
      </c>
      <c r="AG352" s="9">
        <v>57</v>
      </c>
      <c r="AH352" s="9">
        <v>60</v>
      </c>
      <c r="AI352" s="9">
        <v>68</v>
      </c>
      <c r="AJ352" s="9">
        <v>66</v>
      </c>
      <c r="AK352" s="9">
        <v>71</v>
      </c>
      <c r="AL352" s="9">
        <v>86</v>
      </c>
      <c r="AM352" s="9">
        <v>97</v>
      </c>
      <c r="AN352" s="9">
        <v>107</v>
      </c>
      <c r="AO352" s="9">
        <v>92</v>
      </c>
      <c r="AP352" s="9">
        <v>99</v>
      </c>
      <c r="AQ352" s="9">
        <v>51</v>
      </c>
      <c r="AR352" s="9">
        <v>103</v>
      </c>
      <c r="AS352" s="9">
        <v>112</v>
      </c>
      <c r="AT352" s="9">
        <v>108</v>
      </c>
      <c r="AU352" s="9">
        <v>130</v>
      </c>
      <c r="AV352" s="9">
        <v>147</v>
      </c>
      <c r="AW352" s="9">
        <v>141</v>
      </c>
      <c r="AX352" s="9">
        <v>145</v>
      </c>
      <c r="AY352" s="9">
        <v>148</v>
      </c>
      <c r="AZ352" s="9">
        <v>161</v>
      </c>
      <c r="BA352" s="9">
        <v>176</v>
      </c>
      <c r="BB352" s="9">
        <v>183</v>
      </c>
      <c r="BC352" s="9">
        <v>174</v>
      </c>
      <c r="BD352" s="9">
        <v>202</v>
      </c>
      <c r="BE352" s="9">
        <v>217</v>
      </c>
      <c r="BF352" s="9">
        <v>211</v>
      </c>
      <c r="BG352" s="9">
        <v>224</v>
      </c>
      <c r="BH352" s="9">
        <v>261</v>
      </c>
      <c r="BI352" s="9">
        <v>290</v>
      </c>
      <c r="BJ352" s="9">
        <v>304</v>
      </c>
      <c r="BK352" s="9">
        <v>331</v>
      </c>
      <c r="BL352" s="9">
        <v>336</v>
      </c>
      <c r="BM352" s="9">
        <v>331</v>
      </c>
      <c r="BN352" s="9">
        <v>326</v>
      </c>
      <c r="BO352" s="9">
        <v>314</v>
      </c>
      <c r="BP352" s="10">
        <v>336</v>
      </c>
      <c r="BQ352">
        <v>366</v>
      </c>
      <c r="BR352">
        <v>382</v>
      </c>
    </row>
    <row r="353" spans="1:70" x14ac:dyDescent="0.35">
      <c r="A353" s="8" t="s">
        <v>342</v>
      </c>
      <c r="B353" s="9" t="s">
        <v>395</v>
      </c>
      <c r="C353" s="10" t="s">
        <v>1091</v>
      </c>
      <c r="D353" s="34">
        <f t="shared" si="7"/>
        <v>138</v>
      </c>
      <c r="E353" s="9">
        <v>4</v>
      </c>
      <c r="F353" s="9">
        <v>5</v>
      </c>
      <c r="G353" s="9">
        <v>4</v>
      </c>
      <c r="H353" s="9">
        <v>4</v>
      </c>
      <c r="I353" s="9">
        <v>5</v>
      </c>
      <c r="J353" s="9">
        <v>5</v>
      </c>
      <c r="K353" s="9">
        <v>5</v>
      </c>
      <c r="L353" s="9">
        <v>5</v>
      </c>
      <c r="M353" s="9">
        <v>5</v>
      </c>
      <c r="N353" s="9">
        <v>5</v>
      </c>
      <c r="O353" s="9">
        <v>5</v>
      </c>
      <c r="P353" s="9">
        <v>6</v>
      </c>
      <c r="Q353" s="9">
        <v>5</v>
      </c>
      <c r="R353" s="9">
        <v>5</v>
      </c>
      <c r="S353" s="9">
        <v>3</v>
      </c>
      <c r="T353" s="9">
        <v>4</v>
      </c>
      <c r="U353" s="9">
        <v>5</v>
      </c>
      <c r="V353" s="9">
        <v>3</v>
      </c>
      <c r="W353" s="9">
        <v>3</v>
      </c>
      <c r="X353" s="9">
        <v>3</v>
      </c>
      <c r="Y353" s="9">
        <v>3</v>
      </c>
      <c r="Z353" s="9">
        <v>2</v>
      </c>
      <c r="AA353" s="9">
        <v>4</v>
      </c>
      <c r="AB353" s="9">
        <v>6</v>
      </c>
      <c r="AC353" s="9">
        <v>5</v>
      </c>
      <c r="AD353" s="9">
        <v>4</v>
      </c>
      <c r="AE353" s="9">
        <v>7</v>
      </c>
      <c r="AF353" s="9">
        <v>7</v>
      </c>
      <c r="AG353" s="9">
        <v>9</v>
      </c>
      <c r="AH353" s="9">
        <v>9</v>
      </c>
      <c r="AI353" s="9">
        <v>10</v>
      </c>
      <c r="AJ353" s="9">
        <v>10</v>
      </c>
      <c r="AK353" s="9">
        <v>11</v>
      </c>
      <c r="AL353" s="9">
        <v>12</v>
      </c>
      <c r="AM353" s="9">
        <v>13</v>
      </c>
      <c r="AN353" s="9">
        <v>20</v>
      </c>
      <c r="AO353" s="9">
        <v>25</v>
      </c>
      <c r="AP353" s="9">
        <v>30</v>
      </c>
      <c r="AQ353" s="9">
        <v>34</v>
      </c>
      <c r="AR353" s="9">
        <v>31</v>
      </c>
      <c r="AS353" s="9">
        <v>34</v>
      </c>
      <c r="AT353" s="9">
        <v>37</v>
      </c>
      <c r="AU353" s="9">
        <v>40</v>
      </c>
      <c r="AV353" s="9">
        <v>40</v>
      </c>
      <c r="AW353" s="9">
        <v>43</v>
      </c>
      <c r="AX353" s="9">
        <v>44</v>
      </c>
      <c r="AY353" s="9">
        <v>46</v>
      </c>
      <c r="AZ353" s="9">
        <v>48</v>
      </c>
      <c r="BA353" s="9">
        <v>55</v>
      </c>
      <c r="BB353" s="9">
        <v>69</v>
      </c>
      <c r="BC353" s="9">
        <v>70</v>
      </c>
      <c r="BD353" s="9">
        <v>76</v>
      </c>
      <c r="BE353" s="9">
        <v>79</v>
      </c>
      <c r="BF353" s="9">
        <v>89</v>
      </c>
      <c r="BG353" s="9">
        <v>93</v>
      </c>
      <c r="BH353" s="9">
        <v>96</v>
      </c>
      <c r="BI353" s="9">
        <v>95</v>
      </c>
      <c r="BJ353" s="9">
        <v>99</v>
      </c>
      <c r="BK353" s="9">
        <v>109</v>
      </c>
      <c r="BL353" s="9">
        <v>109</v>
      </c>
      <c r="BM353" s="9">
        <v>112</v>
      </c>
      <c r="BN353" s="9">
        <v>111</v>
      </c>
      <c r="BO353" s="9">
        <v>116</v>
      </c>
      <c r="BP353" s="10">
        <v>123</v>
      </c>
      <c r="BQ353">
        <v>132</v>
      </c>
      <c r="BR353">
        <v>138</v>
      </c>
    </row>
    <row r="354" spans="1:70" x14ac:dyDescent="0.35">
      <c r="A354" s="8" t="s">
        <v>342</v>
      </c>
      <c r="B354" s="9" t="s">
        <v>397</v>
      </c>
      <c r="C354" s="10" t="s">
        <v>1092</v>
      </c>
      <c r="D354" s="34">
        <f t="shared" si="7"/>
        <v>155</v>
      </c>
      <c r="E354" s="9">
        <v>2</v>
      </c>
      <c r="F354" s="9">
        <v>1</v>
      </c>
      <c r="G354" s="9">
        <v>3</v>
      </c>
      <c r="H354" s="9">
        <v>3</v>
      </c>
      <c r="I354" s="9">
        <v>3</v>
      </c>
      <c r="J354" s="9">
        <v>3</v>
      </c>
      <c r="K354" s="9">
        <v>3</v>
      </c>
      <c r="L354" s="9">
        <v>3</v>
      </c>
      <c r="M354" s="9">
        <v>4</v>
      </c>
      <c r="N354" s="9">
        <v>5</v>
      </c>
      <c r="O354" s="9">
        <v>4</v>
      </c>
      <c r="P354" s="9">
        <v>0</v>
      </c>
      <c r="Q354" s="9">
        <v>0</v>
      </c>
      <c r="R354" s="9">
        <v>4</v>
      </c>
      <c r="S354" s="9">
        <v>10</v>
      </c>
      <c r="T354" s="9">
        <v>12</v>
      </c>
      <c r="U354" s="9">
        <v>16</v>
      </c>
      <c r="V354" s="9">
        <v>16</v>
      </c>
      <c r="W354" s="9">
        <v>14</v>
      </c>
      <c r="X354" s="9">
        <v>15</v>
      </c>
      <c r="Y354" s="9">
        <v>21</v>
      </c>
      <c r="Z354" s="9">
        <v>23</v>
      </c>
      <c r="AA354" s="9">
        <v>7</v>
      </c>
      <c r="AB354" s="9">
        <v>23</v>
      </c>
      <c r="AC354" s="9">
        <v>28</v>
      </c>
      <c r="AD354" s="9">
        <v>31</v>
      </c>
      <c r="AE354" s="9">
        <v>27</v>
      </c>
      <c r="AF354" s="9">
        <v>27</v>
      </c>
      <c r="AG354" s="9">
        <v>29</v>
      </c>
      <c r="AH354" s="9">
        <v>31</v>
      </c>
      <c r="AI354" s="9">
        <v>31</v>
      </c>
      <c r="AJ354" s="9">
        <v>33</v>
      </c>
      <c r="AK354" s="9">
        <v>29</v>
      </c>
      <c r="AL354" s="9">
        <v>35</v>
      </c>
      <c r="AM354" s="9">
        <v>39</v>
      </c>
      <c r="AN354" s="9">
        <v>47</v>
      </c>
      <c r="AO354" s="9">
        <v>63</v>
      </c>
      <c r="AP354" s="9">
        <v>60</v>
      </c>
      <c r="AQ354" s="9">
        <v>62</v>
      </c>
      <c r="AR354" s="9">
        <v>56</v>
      </c>
      <c r="AS354" s="9">
        <v>58</v>
      </c>
      <c r="AT354" s="9">
        <v>0</v>
      </c>
      <c r="AU354" s="9">
        <v>76</v>
      </c>
      <c r="AV354" s="9">
        <v>81</v>
      </c>
      <c r="AW354" s="9">
        <v>87</v>
      </c>
      <c r="AX354" s="9">
        <v>95</v>
      </c>
      <c r="AY354" s="9">
        <v>91</v>
      </c>
      <c r="AZ354" s="9">
        <v>104</v>
      </c>
      <c r="BA354" s="9">
        <v>0</v>
      </c>
      <c r="BB354" s="9">
        <v>117</v>
      </c>
      <c r="BC354" s="9">
        <v>118</v>
      </c>
      <c r="BD354" s="9">
        <v>0</v>
      </c>
      <c r="BE354" s="9">
        <v>108</v>
      </c>
      <c r="BF354" s="9">
        <v>116</v>
      </c>
      <c r="BG354" s="9">
        <v>122</v>
      </c>
      <c r="BH354" s="9">
        <v>128</v>
      </c>
      <c r="BI354" s="9">
        <v>128</v>
      </c>
      <c r="BJ354" s="9">
        <v>136</v>
      </c>
      <c r="BK354" s="9">
        <v>145</v>
      </c>
      <c r="BL354" s="9">
        <v>141</v>
      </c>
      <c r="BM354" s="9">
        <v>144</v>
      </c>
      <c r="BN354" s="9">
        <v>145</v>
      </c>
      <c r="BO354" s="9">
        <v>147</v>
      </c>
      <c r="BP354" s="10">
        <v>148</v>
      </c>
      <c r="BQ354">
        <v>155</v>
      </c>
      <c r="BR354">
        <v>155</v>
      </c>
    </row>
    <row r="355" spans="1:70" x14ac:dyDescent="0.35">
      <c r="A355" s="8" t="s">
        <v>342</v>
      </c>
      <c r="B355" s="9" t="s">
        <v>399</v>
      </c>
      <c r="C355" s="10" t="s">
        <v>1093</v>
      </c>
      <c r="D355" s="34">
        <f t="shared" si="7"/>
        <v>6</v>
      </c>
      <c r="E355" s="9">
        <v>1</v>
      </c>
      <c r="F355" s="9">
        <v>0</v>
      </c>
      <c r="G355" s="9">
        <v>3</v>
      </c>
      <c r="H355" s="9">
        <v>3</v>
      </c>
      <c r="I355" s="9">
        <v>3</v>
      </c>
      <c r="J355" s="9">
        <v>3</v>
      </c>
      <c r="K355" s="9">
        <v>3</v>
      </c>
      <c r="L355" s="9">
        <v>3</v>
      </c>
      <c r="M355" s="9">
        <v>3</v>
      </c>
      <c r="N355" s="9">
        <v>3</v>
      </c>
      <c r="O355" s="9">
        <v>3</v>
      </c>
      <c r="P355" s="9">
        <v>3</v>
      </c>
      <c r="Q355" s="9">
        <v>3</v>
      </c>
      <c r="R355" s="9">
        <v>3</v>
      </c>
      <c r="S355" s="9">
        <v>3</v>
      </c>
      <c r="T355" s="9">
        <v>3</v>
      </c>
      <c r="U355" s="9">
        <v>3</v>
      </c>
      <c r="V355" s="9">
        <v>0</v>
      </c>
      <c r="W355" s="9">
        <v>0</v>
      </c>
      <c r="X355" s="9">
        <v>0</v>
      </c>
      <c r="Y355" s="9">
        <v>0</v>
      </c>
      <c r="Z355" s="9">
        <v>0</v>
      </c>
      <c r="AA355" s="9">
        <v>0</v>
      </c>
      <c r="AB355" s="9">
        <v>0</v>
      </c>
      <c r="AC355" s="9">
        <v>0</v>
      </c>
      <c r="AD355" s="9">
        <v>0</v>
      </c>
      <c r="AE355" s="9">
        <v>0</v>
      </c>
      <c r="AF355" s="9">
        <v>0</v>
      </c>
      <c r="AG355" s="9">
        <v>0</v>
      </c>
      <c r="AH355" s="9">
        <v>0</v>
      </c>
      <c r="AI355" s="9">
        <v>0</v>
      </c>
      <c r="AJ355" s="9">
        <v>0</v>
      </c>
      <c r="AK355" s="9">
        <v>0</v>
      </c>
      <c r="AL355" s="9">
        <v>1</v>
      </c>
      <c r="AM355" s="9">
        <v>1</v>
      </c>
      <c r="AN355" s="9">
        <v>1</v>
      </c>
      <c r="AO355" s="9">
        <v>1</v>
      </c>
      <c r="AP355" s="9">
        <v>1</v>
      </c>
      <c r="AQ355" s="9">
        <v>1</v>
      </c>
      <c r="AR355" s="9">
        <v>1</v>
      </c>
      <c r="AS355" s="9">
        <v>1</v>
      </c>
      <c r="AT355" s="9">
        <v>0</v>
      </c>
      <c r="AU355" s="9">
        <v>0</v>
      </c>
      <c r="AV355" s="9">
        <v>0</v>
      </c>
      <c r="AW355" s="9">
        <v>0</v>
      </c>
      <c r="AX355" s="9">
        <v>0</v>
      </c>
      <c r="AY355" s="9">
        <v>0</v>
      </c>
      <c r="AZ355" s="9">
        <v>0</v>
      </c>
      <c r="BA355" s="9">
        <v>0</v>
      </c>
      <c r="BB355" s="9">
        <v>0</v>
      </c>
      <c r="BC355" s="9">
        <v>0</v>
      </c>
      <c r="BD355" s="9">
        <v>0</v>
      </c>
      <c r="BE355" s="9">
        <v>0</v>
      </c>
      <c r="BF355" s="9">
        <v>0</v>
      </c>
      <c r="BG355" s="9">
        <v>1</v>
      </c>
      <c r="BH355" s="9">
        <v>2</v>
      </c>
      <c r="BI355" s="9">
        <v>2</v>
      </c>
      <c r="BJ355" s="9">
        <v>3</v>
      </c>
      <c r="BK355" s="9">
        <v>3</v>
      </c>
      <c r="BL355" s="9">
        <v>3</v>
      </c>
      <c r="BM355" s="9">
        <v>4</v>
      </c>
      <c r="BN355" s="9">
        <v>4</v>
      </c>
      <c r="BO355" s="9">
        <v>0</v>
      </c>
      <c r="BP355" s="10">
        <v>6</v>
      </c>
      <c r="BQ355">
        <v>6</v>
      </c>
      <c r="BR355">
        <v>5</v>
      </c>
    </row>
    <row r="356" spans="1:70" x14ac:dyDescent="0.35">
      <c r="A356" s="8" t="s">
        <v>342</v>
      </c>
      <c r="B356" s="9" t="s">
        <v>401</v>
      </c>
      <c r="C356" s="10" t="s">
        <v>1094</v>
      </c>
      <c r="D356" s="34">
        <f t="shared" si="7"/>
        <v>205</v>
      </c>
      <c r="E356" s="9">
        <v>3</v>
      </c>
      <c r="F356" s="9">
        <v>5</v>
      </c>
      <c r="G356" s="9">
        <v>5</v>
      </c>
      <c r="H356" s="9">
        <v>3</v>
      </c>
      <c r="I356" s="9">
        <v>2</v>
      </c>
      <c r="J356" s="9">
        <v>1</v>
      </c>
      <c r="K356" s="9">
        <v>1</v>
      </c>
      <c r="L356" s="9">
        <v>1</v>
      </c>
      <c r="M356" s="9">
        <v>1</v>
      </c>
      <c r="N356" s="9">
        <v>1</v>
      </c>
      <c r="O356" s="9">
        <v>1</v>
      </c>
      <c r="P356" s="9">
        <v>0</v>
      </c>
      <c r="Q356" s="9">
        <v>6</v>
      </c>
      <c r="R356" s="9">
        <v>4</v>
      </c>
      <c r="S356" s="9">
        <v>5</v>
      </c>
      <c r="T356" s="9">
        <v>5</v>
      </c>
      <c r="U356" s="9">
        <v>6</v>
      </c>
      <c r="V356" s="9">
        <v>6</v>
      </c>
      <c r="W356" s="9">
        <v>7</v>
      </c>
      <c r="X356" s="9">
        <v>6</v>
      </c>
      <c r="Y356" s="9">
        <v>4</v>
      </c>
      <c r="Z356" s="9">
        <v>5</v>
      </c>
      <c r="AA356" s="9">
        <v>6</v>
      </c>
      <c r="AB356" s="9">
        <v>8</v>
      </c>
      <c r="AC356" s="9">
        <v>17</v>
      </c>
      <c r="AD356" s="9">
        <v>16</v>
      </c>
      <c r="AE356" s="9">
        <v>18</v>
      </c>
      <c r="AF356" s="9">
        <v>23</v>
      </c>
      <c r="AG356" s="9">
        <v>23</v>
      </c>
      <c r="AH356" s="9">
        <v>34</v>
      </c>
      <c r="AI356" s="9">
        <v>35</v>
      </c>
      <c r="AJ356" s="9">
        <v>37</v>
      </c>
      <c r="AK356" s="9">
        <v>40</v>
      </c>
      <c r="AL356" s="9">
        <v>35</v>
      </c>
      <c r="AM356" s="9">
        <v>38</v>
      </c>
      <c r="AN356" s="9">
        <v>39</v>
      </c>
      <c r="AO356" s="9">
        <v>44</v>
      </c>
      <c r="AP356" s="9">
        <v>51</v>
      </c>
      <c r="AQ356" s="9">
        <v>63</v>
      </c>
      <c r="AR356" s="9">
        <v>63</v>
      </c>
      <c r="AS356" s="9">
        <v>65</v>
      </c>
      <c r="AT356" s="9">
        <v>75</v>
      </c>
      <c r="AU356" s="9">
        <v>84</v>
      </c>
      <c r="AV356" s="9">
        <v>82</v>
      </c>
      <c r="AW356" s="9">
        <v>91</v>
      </c>
      <c r="AX356" s="9">
        <v>104</v>
      </c>
      <c r="AY356" s="9">
        <v>125</v>
      </c>
      <c r="AZ356" s="9">
        <v>139</v>
      </c>
      <c r="BA356" s="9">
        <v>164</v>
      </c>
      <c r="BB356" s="9">
        <v>173</v>
      </c>
      <c r="BC356" s="9">
        <v>177</v>
      </c>
      <c r="BD356" s="9">
        <v>198</v>
      </c>
      <c r="BE356" s="9">
        <v>200</v>
      </c>
      <c r="BF356" s="9">
        <v>196</v>
      </c>
      <c r="BG356" s="9">
        <v>205</v>
      </c>
      <c r="BH356" s="9">
        <v>195</v>
      </c>
      <c r="BI356" s="9">
        <v>196</v>
      </c>
      <c r="BJ356" s="9">
        <v>197</v>
      </c>
      <c r="BK356" s="9">
        <v>193</v>
      </c>
      <c r="BL356" s="9">
        <v>188</v>
      </c>
      <c r="BM356" s="9">
        <v>177</v>
      </c>
      <c r="BN356" s="9">
        <v>172</v>
      </c>
      <c r="BO356" s="9">
        <v>169</v>
      </c>
      <c r="BP356" s="10">
        <v>172</v>
      </c>
      <c r="BQ356">
        <v>159</v>
      </c>
      <c r="BR356">
        <v>142</v>
      </c>
    </row>
    <row r="357" spans="1:70" x14ac:dyDescent="0.35">
      <c r="A357" s="8" t="s">
        <v>342</v>
      </c>
      <c r="B357" s="9" t="s">
        <v>403</v>
      </c>
      <c r="C357" s="10" t="s">
        <v>1095</v>
      </c>
      <c r="D357" s="34">
        <f t="shared" si="7"/>
        <v>141</v>
      </c>
      <c r="E357" s="9">
        <v>3</v>
      </c>
      <c r="F357" s="9">
        <v>2</v>
      </c>
      <c r="G357" s="9">
        <v>2</v>
      </c>
      <c r="H357" s="9">
        <v>1</v>
      </c>
      <c r="I357" s="9">
        <v>3</v>
      </c>
      <c r="J357" s="9">
        <v>4</v>
      </c>
      <c r="K357" s="9">
        <v>3</v>
      </c>
      <c r="L357" s="9">
        <v>3</v>
      </c>
      <c r="M357" s="9">
        <v>1</v>
      </c>
      <c r="N357" s="9">
        <v>1</v>
      </c>
      <c r="O357" s="9">
        <v>1</v>
      </c>
      <c r="P357" s="9">
        <v>1</v>
      </c>
      <c r="Q357" s="9">
        <v>3</v>
      </c>
      <c r="R357" s="9">
        <v>2</v>
      </c>
      <c r="S357" s="9">
        <v>4</v>
      </c>
      <c r="T357" s="9">
        <v>1</v>
      </c>
      <c r="U357" s="9">
        <v>5</v>
      </c>
      <c r="V357" s="9">
        <v>8</v>
      </c>
      <c r="W357" s="9">
        <v>8</v>
      </c>
      <c r="X357" s="9">
        <v>6</v>
      </c>
      <c r="Y357" s="9">
        <v>10</v>
      </c>
      <c r="Z357" s="9">
        <v>14</v>
      </c>
      <c r="AA357" s="9">
        <v>18</v>
      </c>
      <c r="AB357" s="9">
        <v>21</v>
      </c>
      <c r="AC357" s="9">
        <v>17</v>
      </c>
      <c r="AD357" s="9">
        <v>20</v>
      </c>
      <c r="AE357" s="9">
        <v>21</v>
      </c>
      <c r="AF357" s="9">
        <v>19</v>
      </c>
      <c r="AG357" s="9">
        <v>18</v>
      </c>
      <c r="AH357" s="9">
        <v>23</v>
      </c>
      <c r="AI357" s="9">
        <v>28</v>
      </c>
      <c r="AJ357" s="9">
        <v>31</v>
      </c>
      <c r="AK357" s="9">
        <v>35</v>
      </c>
      <c r="AL357" s="9">
        <v>41</v>
      </c>
      <c r="AM357" s="9">
        <v>47</v>
      </c>
      <c r="AN357" s="9">
        <v>45</v>
      </c>
      <c r="AO357" s="9">
        <v>45</v>
      </c>
      <c r="AP357" s="9">
        <v>47</v>
      </c>
      <c r="AQ357" s="9">
        <v>54</v>
      </c>
      <c r="AR357" s="9">
        <v>53</v>
      </c>
      <c r="AS357" s="9">
        <v>58</v>
      </c>
      <c r="AT357" s="9">
        <v>66</v>
      </c>
      <c r="AU357" s="9">
        <v>69</v>
      </c>
      <c r="AV357" s="9">
        <v>72</v>
      </c>
      <c r="AW357" s="9">
        <v>80</v>
      </c>
      <c r="AX357" s="9">
        <v>86</v>
      </c>
      <c r="AY357" s="9">
        <v>91</v>
      </c>
      <c r="AZ357" s="9">
        <v>91</v>
      </c>
      <c r="BA357" s="9">
        <v>103</v>
      </c>
      <c r="BB357" s="9">
        <v>110</v>
      </c>
      <c r="BC357" s="9">
        <v>115</v>
      </c>
      <c r="BD357" s="9">
        <v>111</v>
      </c>
      <c r="BE357" s="9">
        <v>113</v>
      </c>
      <c r="BF357" s="9">
        <v>114</v>
      </c>
      <c r="BG357" s="9">
        <v>117</v>
      </c>
      <c r="BH357" s="9">
        <v>117</v>
      </c>
      <c r="BI357" s="9">
        <v>114</v>
      </c>
      <c r="BJ357" s="9">
        <v>114</v>
      </c>
      <c r="BK357" s="9">
        <v>111</v>
      </c>
      <c r="BL357" s="9">
        <v>117</v>
      </c>
      <c r="BM357" s="9">
        <v>121</v>
      </c>
      <c r="BN357" s="9">
        <v>116</v>
      </c>
      <c r="BO357" s="9">
        <v>125</v>
      </c>
      <c r="BP357" s="10">
        <v>134</v>
      </c>
      <c r="BQ357">
        <v>141</v>
      </c>
      <c r="BR357">
        <v>135</v>
      </c>
    </row>
    <row r="358" spans="1:70" x14ac:dyDescent="0.35">
      <c r="A358" s="8" t="s">
        <v>342</v>
      </c>
      <c r="B358" s="9" t="s">
        <v>405</v>
      </c>
      <c r="C358" s="10" t="s">
        <v>1096</v>
      </c>
      <c r="D358" s="34">
        <f t="shared" si="7"/>
        <v>208</v>
      </c>
      <c r="E358" s="9">
        <v>5</v>
      </c>
      <c r="F358" s="9">
        <v>5</v>
      </c>
      <c r="G358" s="9">
        <v>6</v>
      </c>
      <c r="H358" s="9">
        <v>5</v>
      </c>
      <c r="I358" s="9">
        <v>4</v>
      </c>
      <c r="J358" s="9">
        <v>4</v>
      </c>
      <c r="K358" s="9">
        <v>4</v>
      </c>
      <c r="L358" s="9">
        <v>4</v>
      </c>
      <c r="M358" s="9">
        <v>6</v>
      </c>
      <c r="N358" s="9">
        <v>5</v>
      </c>
      <c r="O358" s="9">
        <v>4</v>
      </c>
      <c r="P358" s="9">
        <v>6</v>
      </c>
      <c r="Q358" s="9">
        <v>7</v>
      </c>
      <c r="R358" s="9">
        <v>9</v>
      </c>
      <c r="S358" s="9">
        <v>11</v>
      </c>
      <c r="T358" s="9">
        <v>12</v>
      </c>
      <c r="U358" s="9">
        <v>15</v>
      </c>
      <c r="V358" s="9">
        <v>15</v>
      </c>
      <c r="W358" s="9">
        <v>15</v>
      </c>
      <c r="X358" s="9">
        <v>15</v>
      </c>
      <c r="Y358" s="9">
        <v>17</v>
      </c>
      <c r="Z358" s="9">
        <v>20</v>
      </c>
      <c r="AA358" s="9">
        <v>21</v>
      </c>
      <c r="AB358" s="9">
        <v>25</v>
      </c>
      <c r="AC358" s="9">
        <v>23</v>
      </c>
      <c r="AD358" s="9">
        <v>23</v>
      </c>
      <c r="AE358" s="9">
        <v>0</v>
      </c>
      <c r="AF358" s="9">
        <v>28</v>
      </c>
      <c r="AG358" s="9">
        <v>32</v>
      </c>
      <c r="AH358" s="9">
        <v>32</v>
      </c>
      <c r="AI358" s="9">
        <v>33</v>
      </c>
      <c r="AJ358" s="9">
        <v>41</v>
      </c>
      <c r="AK358" s="9">
        <v>38</v>
      </c>
      <c r="AL358" s="9">
        <v>46</v>
      </c>
      <c r="AM358" s="9">
        <v>46</v>
      </c>
      <c r="AN358" s="9">
        <v>73</v>
      </c>
      <c r="AO358" s="9">
        <v>83</v>
      </c>
      <c r="AP358" s="9">
        <v>83</v>
      </c>
      <c r="AQ358" s="9">
        <v>86</v>
      </c>
      <c r="AR358" s="9">
        <v>77</v>
      </c>
      <c r="AS358" s="9">
        <v>94</v>
      </c>
      <c r="AT358" s="9">
        <v>95</v>
      </c>
      <c r="AU358" s="9">
        <v>87</v>
      </c>
      <c r="AV358" s="9">
        <v>100</v>
      </c>
      <c r="AW358" s="9">
        <v>106</v>
      </c>
      <c r="AX358" s="9">
        <v>113</v>
      </c>
      <c r="AY358" s="9">
        <v>104</v>
      </c>
      <c r="AZ358" s="9">
        <v>111</v>
      </c>
      <c r="BA358" s="9">
        <v>118</v>
      </c>
      <c r="BB358" s="9">
        <v>130</v>
      </c>
      <c r="BC358" s="9">
        <v>140</v>
      </c>
      <c r="BD358" s="9">
        <v>140</v>
      </c>
      <c r="BE358" s="9">
        <v>147</v>
      </c>
      <c r="BF358" s="9">
        <v>153</v>
      </c>
      <c r="BG358" s="9">
        <v>160</v>
      </c>
      <c r="BH358" s="9">
        <v>169</v>
      </c>
      <c r="BI358" s="9">
        <v>170</v>
      </c>
      <c r="BJ358" s="9">
        <v>177</v>
      </c>
      <c r="BK358" s="9">
        <v>161</v>
      </c>
      <c r="BL358" s="9">
        <v>178</v>
      </c>
      <c r="BM358" s="9">
        <v>178</v>
      </c>
      <c r="BN358" s="9">
        <v>180</v>
      </c>
      <c r="BO358" s="9">
        <v>208</v>
      </c>
      <c r="BP358" s="10">
        <v>208</v>
      </c>
      <c r="BQ358">
        <v>195</v>
      </c>
      <c r="BR358">
        <v>204</v>
      </c>
    </row>
    <row r="359" spans="1:70" x14ac:dyDescent="0.35">
      <c r="A359" s="8" t="s">
        <v>342</v>
      </c>
      <c r="B359" s="9" t="s">
        <v>407</v>
      </c>
      <c r="C359" s="10" t="s">
        <v>1097</v>
      </c>
      <c r="D359" s="34">
        <f t="shared" si="7"/>
        <v>17</v>
      </c>
      <c r="E359" s="9">
        <v>0</v>
      </c>
      <c r="F359" s="9">
        <v>0</v>
      </c>
      <c r="G359" s="9">
        <v>0</v>
      </c>
      <c r="H359" s="9">
        <v>0</v>
      </c>
      <c r="I359" s="9">
        <v>0</v>
      </c>
      <c r="J359" s="9">
        <v>0</v>
      </c>
      <c r="K359" s="9">
        <v>0</v>
      </c>
      <c r="L359" s="9">
        <v>0</v>
      </c>
      <c r="M359" s="9">
        <v>0</v>
      </c>
      <c r="N359" s="9">
        <v>0</v>
      </c>
      <c r="O359" s="9">
        <v>0</v>
      </c>
      <c r="P359" s="9">
        <v>0</v>
      </c>
      <c r="Q359" s="9">
        <v>0</v>
      </c>
      <c r="R359" s="9">
        <v>0</v>
      </c>
      <c r="S359" s="9">
        <v>0</v>
      </c>
      <c r="T359" s="9">
        <v>0</v>
      </c>
      <c r="U359" s="9">
        <v>0</v>
      </c>
      <c r="V359" s="9">
        <v>0</v>
      </c>
      <c r="W359" s="9">
        <v>1</v>
      </c>
      <c r="X359" s="9">
        <v>0</v>
      </c>
      <c r="Y359" s="9">
        <v>0</v>
      </c>
      <c r="Z359" s="9">
        <v>0</v>
      </c>
      <c r="AA359" s="9">
        <v>12</v>
      </c>
      <c r="AB359" s="9">
        <v>12</v>
      </c>
      <c r="AC359" s="9">
        <v>13</v>
      </c>
      <c r="AD359" s="9">
        <v>6</v>
      </c>
      <c r="AE359" s="9">
        <v>6</v>
      </c>
      <c r="AF359" s="9">
        <v>13</v>
      </c>
      <c r="AG359" s="9">
        <v>12</v>
      </c>
      <c r="AH359" s="9">
        <v>14</v>
      </c>
      <c r="AI359" s="9">
        <v>13</v>
      </c>
      <c r="AJ359" s="9">
        <v>12</v>
      </c>
      <c r="AK359" s="9">
        <v>16</v>
      </c>
      <c r="AL359" s="9">
        <v>17</v>
      </c>
      <c r="AM359" s="9">
        <v>12</v>
      </c>
      <c r="AN359" s="9">
        <v>12</v>
      </c>
      <c r="AO359" s="9">
        <v>11</v>
      </c>
      <c r="AP359" s="9">
        <v>12</v>
      </c>
      <c r="AQ359" s="9">
        <v>11</v>
      </c>
      <c r="AR359" s="9">
        <v>11</v>
      </c>
      <c r="AS359" s="9">
        <v>11</v>
      </c>
      <c r="AT359" s="9">
        <v>13</v>
      </c>
      <c r="AU359" s="9">
        <v>13</v>
      </c>
      <c r="AV359" s="9">
        <v>12</v>
      </c>
      <c r="AW359" s="9">
        <v>11</v>
      </c>
      <c r="AX359" s="9">
        <v>12</v>
      </c>
      <c r="AY359" s="9">
        <v>9</v>
      </c>
      <c r="AZ359" s="9">
        <v>9</v>
      </c>
      <c r="BA359" s="9">
        <v>9</v>
      </c>
      <c r="BB359" s="9">
        <v>9</v>
      </c>
      <c r="BC359" s="9">
        <v>4</v>
      </c>
      <c r="BD359" s="9">
        <v>9</v>
      </c>
      <c r="BE359" s="9">
        <v>9</v>
      </c>
      <c r="BF359" s="9">
        <v>9</v>
      </c>
      <c r="BG359" s="9">
        <v>11</v>
      </c>
      <c r="BH359" s="9">
        <v>11</v>
      </c>
      <c r="BI359" s="9">
        <v>11</v>
      </c>
      <c r="BJ359" s="9">
        <v>11</v>
      </c>
      <c r="BK359" s="9">
        <v>8</v>
      </c>
      <c r="BL359" s="9">
        <v>2</v>
      </c>
      <c r="BM359" s="9">
        <v>7</v>
      </c>
      <c r="BN359" s="9">
        <v>8</v>
      </c>
      <c r="BO359" s="9">
        <v>8</v>
      </c>
      <c r="BP359" s="10">
        <v>6</v>
      </c>
      <c r="BQ359">
        <v>6</v>
      </c>
      <c r="BR359">
        <v>8</v>
      </c>
    </row>
    <row r="360" spans="1:70" x14ac:dyDescent="0.35">
      <c r="A360" s="8" t="s">
        <v>342</v>
      </c>
      <c r="B360" s="9" t="s">
        <v>409</v>
      </c>
      <c r="C360" s="10" t="s">
        <v>1098</v>
      </c>
      <c r="D360" s="34">
        <f t="shared" si="7"/>
        <v>0</v>
      </c>
      <c r="E360" s="9">
        <v>0</v>
      </c>
      <c r="F360" s="9">
        <v>0</v>
      </c>
      <c r="G360" s="9">
        <v>0</v>
      </c>
      <c r="H360" s="9">
        <v>0</v>
      </c>
      <c r="I360" s="9">
        <v>0</v>
      </c>
      <c r="J360" s="9">
        <v>0</v>
      </c>
      <c r="K360" s="9">
        <v>0</v>
      </c>
      <c r="L360" s="9">
        <v>0</v>
      </c>
      <c r="M360" s="9">
        <v>0</v>
      </c>
      <c r="N360" s="9">
        <v>0</v>
      </c>
      <c r="O360" s="9">
        <v>0</v>
      </c>
      <c r="P360" s="9">
        <v>0</v>
      </c>
      <c r="Q360" s="9">
        <v>0</v>
      </c>
      <c r="R360" s="9">
        <v>0</v>
      </c>
      <c r="S360" s="9">
        <v>0</v>
      </c>
      <c r="T360" s="9">
        <v>0</v>
      </c>
      <c r="U360" s="9">
        <v>0</v>
      </c>
      <c r="V360" s="9">
        <v>0</v>
      </c>
      <c r="W360" s="9">
        <v>0</v>
      </c>
      <c r="X360" s="9">
        <v>0</v>
      </c>
      <c r="Y360" s="9">
        <v>0</v>
      </c>
      <c r="Z360" s="9">
        <v>0</v>
      </c>
      <c r="AA360" s="9">
        <v>0</v>
      </c>
      <c r="AB360" s="9">
        <v>0</v>
      </c>
      <c r="AC360" s="9">
        <v>0</v>
      </c>
      <c r="AD360" s="9">
        <v>0</v>
      </c>
      <c r="AE360" s="9">
        <v>0</v>
      </c>
      <c r="AF360" s="9">
        <v>0</v>
      </c>
      <c r="AG360" s="9">
        <v>0</v>
      </c>
      <c r="AH360" s="9">
        <v>0</v>
      </c>
      <c r="AI360" s="9">
        <v>0</v>
      </c>
      <c r="AJ360" s="9">
        <v>0</v>
      </c>
      <c r="AK360" s="9">
        <v>0</v>
      </c>
      <c r="AL360" s="9">
        <v>0</v>
      </c>
      <c r="AM360" s="9">
        <v>0</v>
      </c>
      <c r="AN360" s="9">
        <v>0</v>
      </c>
      <c r="AO360" s="9">
        <v>0</v>
      </c>
      <c r="AP360" s="9">
        <v>0</v>
      </c>
      <c r="AQ360" s="9">
        <v>0</v>
      </c>
      <c r="AR360" s="9">
        <v>0</v>
      </c>
      <c r="AS360" s="9">
        <v>0</v>
      </c>
      <c r="AT360" s="9">
        <v>0</v>
      </c>
      <c r="AU360" s="9">
        <v>0</v>
      </c>
      <c r="AV360" s="9">
        <v>0</v>
      </c>
      <c r="AW360" s="9">
        <v>0</v>
      </c>
      <c r="AX360" s="9">
        <v>0</v>
      </c>
      <c r="AY360" s="9">
        <v>0</v>
      </c>
      <c r="AZ360" s="9">
        <v>0</v>
      </c>
      <c r="BA360" s="9">
        <v>0</v>
      </c>
      <c r="BB360" s="9">
        <v>0</v>
      </c>
      <c r="BC360" s="9">
        <v>0</v>
      </c>
      <c r="BD360" s="9">
        <v>0</v>
      </c>
      <c r="BE360" s="9">
        <v>0</v>
      </c>
      <c r="BF360" s="9">
        <v>0</v>
      </c>
      <c r="BG360" s="9">
        <v>0</v>
      </c>
      <c r="BH360" s="9">
        <v>0</v>
      </c>
      <c r="BI360" s="9">
        <v>0</v>
      </c>
      <c r="BJ360" s="9">
        <v>0</v>
      </c>
      <c r="BK360" s="9">
        <v>0</v>
      </c>
      <c r="BL360" s="9">
        <v>0</v>
      </c>
      <c r="BM360" s="9">
        <v>0</v>
      </c>
      <c r="BN360" s="9">
        <v>0</v>
      </c>
      <c r="BO360" s="9">
        <v>0</v>
      </c>
      <c r="BP360" s="10">
        <v>0</v>
      </c>
      <c r="BQ360">
        <v>0</v>
      </c>
      <c r="BR360">
        <v>0</v>
      </c>
    </row>
    <row r="361" spans="1:70" x14ac:dyDescent="0.35">
      <c r="A361" s="8" t="s">
        <v>342</v>
      </c>
      <c r="B361" s="9" t="s">
        <v>411</v>
      </c>
      <c r="C361" s="10" t="s">
        <v>1099</v>
      </c>
      <c r="D361" s="34">
        <f t="shared" si="7"/>
        <v>0</v>
      </c>
      <c r="E361" s="9">
        <v>0</v>
      </c>
      <c r="F361" s="9">
        <v>0</v>
      </c>
      <c r="G361" s="9">
        <v>0</v>
      </c>
      <c r="H361" s="9">
        <v>0</v>
      </c>
      <c r="I361" s="9">
        <v>0</v>
      </c>
      <c r="J361" s="9">
        <v>0</v>
      </c>
      <c r="K361" s="9">
        <v>0</v>
      </c>
      <c r="L361" s="9">
        <v>0</v>
      </c>
      <c r="M361" s="9">
        <v>0</v>
      </c>
      <c r="N361" s="9">
        <v>0</v>
      </c>
      <c r="O361" s="9">
        <v>0</v>
      </c>
      <c r="P361" s="9">
        <v>0</v>
      </c>
      <c r="Q361" s="9">
        <v>0</v>
      </c>
      <c r="R361" s="9">
        <v>0</v>
      </c>
      <c r="S361" s="9">
        <v>0</v>
      </c>
      <c r="T361" s="9">
        <v>0</v>
      </c>
      <c r="U361" s="9">
        <v>0</v>
      </c>
      <c r="V361" s="9">
        <v>0</v>
      </c>
      <c r="W361" s="9">
        <v>0</v>
      </c>
      <c r="X361" s="9">
        <v>0</v>
      </c>
      <c r="Y361" s="9">
        <v>0</v>
      </c>
      <c r="Z361" s="9">
        <v>0</v>
      </c>
      <c r="AA361" s="9">
        <v>0</v>
      </c>
      <c r="AB361" s="9">
        <v>0</v>
      </c>
      <c r="AC361" s="9">
        <v>0</v>
      </c>
      <c r="AD361" s="9">
        <v>0</v>
      </c>
      <c r="AE361" s="9">
        <v>0</v>
      </c>
      <c r="AF361" s="9">
        <v>0</v>
      </c>
      <c r="AG361" s="9">
        <v>0</v>
      </c>
      <c r="AH361" s="9">
        <v>0</v>
      </c>
      <c r="AI361" s="9">
        <v>0</v>
      </c>
      <c r="AJ361" s="9">
        <v>0</v>
      </c>
      <c r="AK361" s="9">
        <v>0</v>
      </c>
      <c r="AL361" s="9">
        <v>0</v>
      </c>
      <c r="AM361" s="9">
        <v>0</v>
      </c>
      <c r="AN361" s="9">
        <v>0</v>
      </c>
      <c r="AO361" s="9">
        <v>0</v>
      </c>
      <c r="AP361" s="9">
        <v>0</v>
      </c>
      <c r="AQ361" s="9">
        <v>0</v>
      </c>
      <c r="AR361" s="9">
        <v>0</v>
      </c>
      <c r="AS361" s="9">
        <v>0</v>
      </c>
      <c r="AT361" s="9">
        <v>0</v>
      </c>
      <c r="AU361" s="9">
        <v>0</v>
      </c>
      <c r="AV361" s="9">
        <v>0</v>
      </c>
      <c r="AW361" s="9">
        <v>0</v>
      </c>
      <c r="AX361" s="9">
        <v>0</v>
      </c>
      <c r="AY361" s="9">
        <v>0</v>
      </c>
      <c r="AZ361" s="9">
        <v>0</v>
      </c>
      <c r="BA361" s="9">
        <v>0</v>
      </c>
      <c r="BB361" s="9">
        <v>0</v>
      </c>
      <c r="BC361" s="9">
        <v>0</v>
      </c>
      <c r="BD361" s="9">
        <v>0</v>
      </c>
      <c r="BE361" s="9">
        <v>0</v>
      </c>
      <c r="BF361" s="9">
        <v>0</v>
      </c>
      <c r="BG361" s="9">
        <v>0</v>
      </c>
      <c r="BH361" s="9">
        <v>0</v>
      </c>
      <c r="BI361" s="9">
        <v>0</v>
      </c>
      <c r="BJ361" s="9">
        <v>0</v>
      </c>
      <c r="BK361" s="9">
        <v>0</v>
      </c>
      <c r="BL361" s="9">
        <v>0</v>
      </c>
      <c r="BM361" s="9">
        <v>0</v>
      </c>
      <c r="BN361" s="9">
        <v>0</v>
      </c>
      <c r="BO361" s="9">
        <v>0</v>
      </c>
      <c r="BP361" s="10">
        <v>0</v>
      </c>
      <c r="BQ361">
        <v>0</v>
      </c>
      <c r="BR361">
        <v>0</v>
      </c>
    </row>
    <row r="362" spans="1:70" x14ac:dyDescent="0.35">
      <c r="A362" s="8" t="s">
        <v>413</v>
      </c>
      <c r="B362" s="9" t="s">
        <v>414</v>
      </c>
      <c r="C362" s="10" t="s">
        <v>1100</v>
      </c>
      <c r="D362" s="34">
        <f t="shared" si="7"/>
        <v>0</v>
      </c>
      <c r="E362" s="9">
        <v>0</v>
      </c>
      <c r="F362" s="9">
        <v>0</v>
      </c>
      <c r="G362" s="9">
        <v>0</v>
      </c>
      <c r="H362" s="9">
        <v>0</v>
      </c>
      <c r="I362" s="9">
        <v>0</v>
      </c>
      <c r="J362" s="9">
        <v>0</v>
      </c>
      <c r="K362" s="9">
        <v>0</v>
      </c>
      <c r="L362" s="9">
        <v>0</v>
      </c>
      <c r="M362" s="9">
        <v>0</v>
      </c>
      <c r="N362" s="9">
        <v>0</v>
      </c>
      <c r="O362" s="9">
        <v>0</v>
      </c>
      <c r="P362" s="9">
        <v>0</v>
      </c>
      <c r="Q362" s="9">
        <v>0</v>
      </c>
      <c r="R362" s="9">
        <v>0</v>
      </c>
      <c r="S362" s="9">
        <v>0</v>
      </c>
      <c r="T362" s="9">
        <v>0</v>
      </c>
      <c r="U362" s="9">
        <v>0</v>
      </c>
      <c r="V362" s="9">
        <v>0</v>
      </c>
      <c r="W362" s="9">
        <v>0</v>
      </c>
      <c r="X362" s="9">
        <v>0</v>
      </c>
      <c r="Y362" s="9">
        <v>0</v>
      </c>
      <c r="Z362" s="9">
        <v>0</v>
      </c>
      <c r="AA362" s="9">
        <v>0</v>
      </c>
      <c r="AB362" s="9">
        <v>0</v>
      </c>
      <c r="AC362" s="9">
        <v>0</v>
      </c>
      <c r="AD362" s="9">
        <v>0</v>
      </c>
      <c r="AE362" s="9">
        <v>0</v>
      </c>
      <c r="AF362" s="9">
        <v>0</v>
      </c>
      <c r="AG362" s="9">
        <v>0</v>
      </c>
      <c r="AH362" s="9">
        <v>0</v>
      </c>
      <c r="AI362" s="9">
        <v>0</v>
      </c>
      <c r="AJ362" s="9">
        <v>0</v>
      </c>
      <c r="AK362" s="9">
        <v>0</v>
      </c>
      <c r="AL362" s="9">
        <v>0</v>
      </c>
      <c r="AM362" s="9">
        <v>0</v>
      </c>
      <c r="AN362" s="9">
        <v>0</v>
      </c>
      <c r="AO362" s="9">
        <v>0</v>
      </c>
      <c r="AP362" s="9">
        <v>0</v>
      </c>
      <c r="AQ362" s="9">
        <v>0</v>
      </c>
      <c r="AR362" s="9">
        <v>0</v>
      </c>
      <c r="AS362" s="9">
        <v>0</v>
      </c>
      <c r="AT362" s="9">
        <v>0</v>
      </c>
      <c r="AU362" s="9">
        <v>0</v>
      </c>
      <c r="AV362" s="9">
        <v>0</v>
      </c>
      <c r="AW362" s="9">
        <v>0</v>
      </c>
      <c r="AX362" s="9">
        <v>0</v>
      </c>
      <c r="AY362" s="9">
        <v>0</v>
      </c>
      <c r="AZ362" s="9">
        <v>0</v>
      </c>
      <c r="BA362" s="9">
        <v>0</v>
      </c>
      <c r="BB362" s="9">
        <v>0</v>
      </c>
      <c r="BC362" s="9">
        <v>0</v>
      </c>
      <c r="BD362" s="9">
        <v>0</v>
      </c>
      <c r="BE362" s="9">
        <v>0</v>
      </c>
      <c r="BF362" s="9">
        <v>0</v>
      </c>
      <c r="BG362" s="9">
        <v>0</v>
      </c>
      <c r="BH362" s="9">
        <v>0</v>
      </c>
      <c r="BI362" s="9">
        <v>0</v>
      </c>
      <c r="BJ362" s="9">
        <v>0</v>
      </c>
      <c r="BK362" s="9">
        <v>0</v>
      </c>
      <c r="BL362" s="9">
        <v>0</v>
      </c>
      <c r="BM362" s="9">
        <v>0</v>
      </c>
      <c r="BN362" s="9">
        <v>0</v>
      </c>
      <c r="BO362" s="9">
        <v>0</v>
      </c>
      <c r="BP362" s="10">
        <v>0</v>
      </c>
      <c r="BQ362">
        <v>0</v>
      </c>
      <c r="BR362">
        <v>0</v>
      </c>
    </row>
    <row r="363" spans="1:70" x14ac:dyDescent="0.35">
      <c r="A363" s="8" t="s">
        <v>413</v>
      </c>
      <c r="B363" s="9" t="s">
        <v>1101</v>
      </c>
      <c r="C363" s="10" t="s">
        <v>1102</v>
      </c>
      <c r="D363" s="34">
        <f t="shared" si="7"/>
        <v>0</v>
      </c>
      <c r="E363" s="9">
        <v>0</v>
      </c>
      <c r="F363" s="9">
        <v>0</v>
      </c>
      <c r="G363" s="9">
        <v>0</v>
      </c>
      <c r="H363" s="9">
        <v>0</v>
      </c>
      <c r="I363" s="9">
        <v>0</v>
      </c>
      <c r="J363" s="9">
        <v>0</v>
      </c>
      <c r="K363" s="9">
        <v>0</v>
      </c>
      <c r="L363" s="9">
        <v>0</v>
      </c>
      <c r="M363" s="9">
        <v>0</v>
      </c>
      <c r="N363" s="9">
        <v>0</v>
      </c>
      <c r="O363" s="9">
        <v>0</v>
      </c>
      <c r="P363" s="9">
        <v>0</v>
      </c>
      <c r="Q363" s="9">
        <v>0</v>
      </c>
      <c r="R363" s="9">
        <v>0</v>
      </c>
      <c r="S363" s="9">
        <v>0</v>
      </c>
      <c r="T363" s="9">
        <v>0</v>
      </c>
      <c r="U363" s="9">
        <v>0</v>
      </c>
      <c r="V363" s="9">
        <v>0</v>
      </c>
      <c r="W363" s="9">
        <v>0</v>
      </c>
      <c r="X363" s="9">
        <v>0</v>
      </c>
      <c r="Y363" s="9">
        <v>0</v>
      </c>
      <c r="Z363" s="9">
        <v>0</v>
      </c>
      <c r="AA363" s="9">
        <v>0</v>
      </c>
      <c r="AB363" s="9">
        <v>0</v>
      </c>
      <c r="AC363" s="9">
        <v>0</v>
      </c>
      <c r="AD363" s="9">
        <v>0</v>
      </c>
      <c r="AE363" s="9">
        <v>0</v>
      </c>
      <c r="AF363" s="9">
        <v>0</v>
      </c>
      <c r="AG363" s="9">
        <v>0</v>
      </c>
      <c r="AH363" s="9">
        <v>0</v>
      </c>
      <c r="AI363" s="9">
        <v>0</v>
      </c>
      <c r="AJ363" s="9">
        <v>0</v>
      </c>
      <c r="AK363" s="9">
        <v>0</v>
      </c>
      <c r="AL363" s="9">
        <v>0</v>
      </c>
      <c r="AM363" s="9">
        <v>0</v>
      </c>
      <c r="AN363" s="9">
        <v>0</v>
      </c>
      <c r="AO363" s="9">
        <v>0</v>
      </c>
      <c r="AP363" s="9">
        <v>0</v>
      </c>
      <c r="AQ363" s="9">
        <v>0</v>
      </c>
      <c r="AR363" s="9">
        <v>0</v>
      </c>
      <c r="AS363" s="9">
        <v>0</v>
      </c>
      <c r="AT363" s="9">
        <v>0</v>
      </c>
      <c r="AU363" s="9">
        <v>0</v>
      </c>
      <c r="AV363" s="9">
        <v>0</v>
      </c>
      <c r="AW363" s="9">
        <v>0</v>
      </c>
      <c r="AX363" s="9">
        <v>0</v>
      </c>
      <c r="AY363" s="9">
        <v>0</v>
      </c>
      <c r="AZ363" s="9">
        <v>0</v>
      </c>
      <c r="BA363" s="9">
        <v>0</v>
      </c>
      <c r="BB363" s="9">
        <v>0</v>
      </c>
      <c r="BC363" s="9">
        <v>0</v>
      </c>
      <c r="BD363" s="9">
        <v>0</v>
      </c>
      <c r="BE363" s="9">
        <v>0</v>
      </c>
      <c r="BF363" s="9">
        <v>0</v>
      </c>
      <c r="BG363" s="9">
        <v>0</v>
      </c>
      <c r="BH363" s="9">
        <v>0</v>
      </c>
      <c r="BI363" s="9">
        <v>0</v>
      </c>
      <c r="BJ363" s="9">
        <v>0</v>
      </c>
      <c r="BK363" s="9">
        <v>0</v>
      </c>
      <c r="BL363" s="9">
        <v>0</v>
      </c>
      <c r="BM363" s="9">
        <v>0</v>
      </c>
      <c r="BN363" s="9">
        <v>0</v>
      </c>
      <c r="BO363" s="9">
        <v>0</v>
      </c>
      <c r="BP363" s="10">
        <v>0</v>
      </c>
      <c r="BQ363">
        <v>0</v>
      </c>
      <c r="BR363">
        <v>0</v>
      </c>
    </row>
    <row r="364" spans="1:70" x14ac:dyDescent="0.35">
      <c r="A364" s="8" t="s">
        <v>413</v>
      </c>
      <c r="B364" s="9" t="s">
        <v>1103</v>
      </c>
      <c r="C364" s="10" t="s">
        <v>1104</v>
      </c>
      <c r="D364" s="34">
        <f t="shared" si="7"/>
        <v>0</v>
      </c>
      <c r="E364" s="9">
        <v>0</v>
      </c>
      <c r="F364" s="9">
        <v>0</v>
      </c>
      <c r="G364" s="9">
        <v>0</v>
      </c>
      <c r="H364" s="9">
        <v>0</v>
      </c>
      <c r="I364" s="9">
        <v>0</v>
      </c>
      <c r="J364" s="9">
        <v>0</v>
      </c>
      <c r="K364" s="9">
        <v>0</v>
      </c>
      <c r="L364" s="9">
        <v>0</v>
      </c>
      <c r="M364" s="9">
        <v>0</v>
      </c>
      <c r="N364" s="9">
        <v>0</v>
      </c>
      <c r="O364" s="9">
        <v>0</v>
      </c>
      <c r="P364" s="9">
        <v>0</v>
      </c>
      <c r="Q364" s="9">
        <v>0</v>
      </c>
      <c r="R364" s="9">
        <v>0</v>
      </c>
      <c r="S364" s="9">
        <v>0</v>
      </c>
      <c r="T364" s="9">
        <v>0</v>
      </c>
      <c r="U364" s="9">
        <v>0</v>
      </c>
      <c r="V364" s="9">
        <v>0</v>
      </c>
      <c r="W364" s="9">
        <v>0</v>
      </c>
      <c r="X364" s="9">
        <v>0</v>
      </c>
      <c r="Y364" s="9">
        <v>0</v>
      </c>
      <c r="Z364" s="9">
        <v>0</v>
      </c>
      <c r="AA364" s="9">
        <v>0</v>
      </c>
      <c r="AB364" s="9">
        <v>0</v>
      </c>
      <c r="AC364" s="9">
        <v>0</v>
      </c>
      <c r="AD364" s="9">
        <v>0</v>
      </c>
      <c r="AE364" s="9">
        <v>0</v>
      </c>
      <c r="AF364" s="9">
        <v>0</v>
      </c>
      <c r="AG364" s="9">
        <v>0</v>
      </c>
      <c r="AH364" s="9">
        <v>0</v>
      </c>
      <c r="AI364" s="9">
        <v>0</v>
      </c>
      <c r="AJ364" s="9">
        <v>0</v>
      </c>
      <c r="AK364" s="9">
        <v>0</v>
      </c>
      <c r="AL364" s="9">
        <v>0</v>
      </c>
      <c r="AM364" s="9">
        <v>0</v>
      </c>
      <c r="AN364" s="9">
        <v>0</v>
      </c>
      <c r="AO364" s="9">
        <v>0</v>
      </c>
      <c r="AP364" s="9">
        <v>0</v>
      </c>
      <c r="AQ364" s="9">
        <v>0</v>
      </c>
      <c r="AR364" s="9">
        <v>0</v>
      </c>
      <c r="AS364" s="9">
        <v>0</v>
      </c>
      <c r="AT364" s="9">
        <v>0</v>
      </c>
      <c r="AU364" s="9">
        <v>0</v>
      </c>
      <c r="AV364" s="9">
        <v>0</v>
      </c>
      <c r="AW364" s="9">
        <v>0</v>
      </c>
      <c r="AX364" s="9">
        <v>0</v>
      </c>
      <c r="AY364" s="9">
        <v>0</v>
      </c>
      <c r="AZ364" s="9">
        <v>0</v>
      </c>
      <c r="BA364" s="9">
        <v>0</v>
      </c>
      <c r="BB364" s="9">
        <v>0</v>
      </c>
      <c r="BC364" s="9">
        <v>0</v>
      </c>
      <c r="BD364" s="9">
        <v>0</v>
      </c>
      <c r="BE364" s="9">
        <v>0</v>
      </c>
      <c r="BF364" s="9">
        <v>0</v>
      </c>
      <c r="BG364" s="9">
        <v>0</v>
      </c>
      <c r="BH364" s="9">
        <v>0</v>
      </c>
      <c r="BI364" s="9">
        <v>0</v>
      </c>
      <c r="BJ364" s="9">
        <v>0</v>
      </c>
      <c r="BK364" s="9">
        <v>0</v>
      </c>
      <c r="BL364" s="9">
        <v>0</v>
      </c>
      <c r="BM364" s="9">
        <v>0</v>
      </c>
      <c r="BN364" s="9">
        <v>0</v>
      </c>
      <c r="BO364" s="9">
        <v>0</v>
      </c>
      <c r="BP364" s="10">
        <v>0</v>
      </c>
      <c r="BQ364">
        <v>0</v>
      </c>
      <c r="BR364">
        <v>0</v>
      </c>
    </row>
    <row r="365" spans="1:70" x14ac:dyDescent="0.35">
      <c r="A365" s="8" t="s">
        <v>413</v>
      </c>
      <c r="B365" s="9" t="s">
        <v>1105</v>
      </c>
      <c r="C365" s="10" t="s">
        <v>1106</v>
      </c>
      <c r="D365" s="34">
        <f t="shared" si="7"/>
        <v>0</v>
      </c>
      <c r="E365" s="9">
        <v>0</v>
      </c>
      <c r="F365" s="9">
        <v>0</v>
      </c>
      <c r="G365" s="9">
        <v>0</v>
      </c>
      <c r="H365" s="9">
        <v>0</v>
      </c>
      <c r="I365" s="9">
        <v>0</v>
      </c>
      <c r="J365" s="9">
        <v>0</v>
      </c>
      <c r="K365" s="9">
        <v>0</v>
      </c>
      <c r="L365" s="9">
        <v>0</v>
      </c>
      <c r="M365" s="9">
        <v>0</v>
      </c>
      <c r="N365" s="9">
        <v>0</v>
      </c>
      <c r="O365" s="9">
        <v>0</v>
      </c>
      <c r="P365" s="9">
        <v>0</v>
      </c>
      <c r="Q365" s="9">
        <v>0</v>
      </c>
      <c r="R365" s="9">
        <v>0</v>
      </c>
      <c r="S365" s="9">
        <v>0</v>
      </c>
      <c r="T365" s="9">
        <v>0</v>
      </c>
      <c r="U365" s="9">
        <v>0</v>
      </c>
      <c r="V365" s="9">
        <v>0</v>
      </c>
      <c r="W365" s="9">
        <v>0</v>
      </c>
      <c r="X365" s="9">
        <v>0</v>
      </c>
      <c r="Y365" s="9">
        <v>0</v>
      </c>
      <c r="Z365" s="9">
        <v>0</v>
      </c>
      <c r="AA365" s="9">
        <v>0</v>
      </c>
      <c r="AB365" s="9">
        <v>0</v>
      </c>
      <c r="AC365" s="9">
        <v>0</v>
      </c>
      <c r="AD365" s="9">
        <v>0</v>
      </c>
      <c r="AE365" s="9">
        <v>0</v>
      </c>
      <c r="AF365" s="9">
        <v>0</v>
      </c>
      <c r="AG365" s="9">
        <v>0</v>
      </c>
      <c r="AH365" s="9">
        <v>0</v>
      </c>
      <c r="AI365" s="9">
        <v>0</v>
      </c>
      <c r="AJ365" s="9">
        <v>0</v>
      </c>
      <c r="AK365" s="9">
        <v>0</v>
      </c>
      <c r="AL365" s="9">
        <v>0</v>
      </c>
      <c r="AM365" s="9">
        <v>0</v>
      </c>
      <c r="AN365" s="9">
        <v>0</v>
      </c>
      <c r="AO365" s="9">
        <v>0</v>
      </c>
      <c r="AP365" s="9">
        <v>0</v>
      </c>
      <c r="AQ365" s="9">
        <v>0</v>
      </c>
      <c r="AR365" s="9">
        <v>0</v>
      </c>
      <c r="AS365" s="9">
        <v>0</v>
      </c>
      <c r="AT365" s="9">
        <v>0</v>
      </c>
      <c r="AU365" s="9">
        <v>0</v>
      </c>
      <c r="AV365" s="9">
        <v>0</v>
      </c>
      <c r="AW365" s="9">
        <v>0</v>
      </c>
      <c r="AX365" s="9">
        <v>0</v>
      </c>
      <c r="AY365" s="9">
        <v>0</v>
      </c>
      <c r="AZ365" s="9">
        <v>0</v>
      </c>
      <c r="BA365" s="9">
        <v>0</v>
      </c>
      <c r="BB365" s="9">
        <v>0</v>
      </c>
      <c r="BC365" s="9">
        <v>0</v>
      </c>
      <c r="BD365" s="9">
        <v>0</v>
      </c>
      <c r="BE365" s="9">
        <v>0</v>
      </c>
      <c r="BF365" s="9">
        <v>0</v>
      </c>
      <c r="BG365" s="9">
        <v>0</v>
      </c>
      <c r="BH365" s="9">
        <v>0</v>
      </c>
      <c r="BI365" s="9">
        <v>0</v>
      </c>
      <c r="BJ365" s="9">
        <v>0</v>
      </c>
      <c r="BK365" s="9">
        <v>0</v>
      </c>
      <c r="BL365" s="9">
        <v>0</v>
      </c>
      <c r="BM365" s="9">
        <v>0</v>
      </c>
      <c r="BN365" s="9">
        <v>0</v>
      </c>
      <c r="BO365" s="9">
        <v>0</v>
      </c>
      <c r="BP365" s="10">
        <v>0</v>
      </c>
      <c r="BQ365">
        <v>0</v>
      </c>
      <c r="BR365">
        <v>0</v>
      </c>
    </row>
    <row r="366" spans="1:70" x14ac:dyDescent="0.35">
      <c r="A366" s="8" t="s">
        <v>413</v>
      </c>
      <c r="B366" s="9" t="s">
        <v>420</v>
      </c>
      <c r="C366" s="10" t="s">
        <v>1107</v>
      </c>
      <c r="D366" s="34">
        <f t="shared" si="7"/>
        <v>0</v>
      </c>
      <c r="E366" s="9">
        <v>0</v>
      </c>
      <c r="F366" s="9">
        <v>0</v>
      </c>
      <c r="G366" s="9">
        <v>0</v>
      </c>
      <c r="H366" s="9">
        <v>0</v>
      </c>
      <c r="I366" s="9">
        <v>0</v>
      </c>
      <c r="J366" s="9">
        <v>0</v>
      </c>
      <c r="K366" s="9">
        <v>0</v>
      </c>
      <c r="L366" s="9">
        <v>0</v>
      </c>
      <c r="M366" s="9">
        <v>0</v>
      </c>
      <c r="N366" s="9">
        <v>0</v>
      </c>
      <c r="O366" s="9">
        <v>0</v>
      </c>
      <c r="P366" s="9">
        <v>0</v>
      </c>
      <c r="Q366" s="9">
        <v>0</v>
      </c>
      <c r="R366" s="9">
        <v>0</v>
      </c>
      <c r="S366" s="9">
        <v>0</v>
      </c>
      <c r="T366" s="9">
        <v>0</v>
      </c>
      <c r="U366" s="9">
        <v>0</v>
      </c>
      <c r="V366" s="9">
        <v>0</v>
      </c>
      <c r="W366" s="9">
        <v>0</v>
      </c>
      <c r="X366" s="9">
        <v>0</v>
      </c>
      <c r="Y366" s="9">
        <v>0</v>
      </c>
      <c r="Z366" s="9">
        <v>0</v>
      </c>
      <c r="AA366" s="9">
        <v>0</v>
      </c>
      <c r="AB366" s="9">
        <v>0</v>
      </c>
      <c r="AC366" s="9">
        <v>0</v>
      </c>
      <c r="AD366" s="9">
        <v>0</v>
      </c>
      <c r="AE366" s="9">
        <v>0</v>
      </c>
      <c r="AF366" s="9">
        <v>0</v>
      </c>
      <c r="AG366" s="9">
        <v>0</v>
      </c>
      <c r="AH366" s="9">
        <v>0</v>
      </c>
      <c r="AI366" s="9">
        <v>0</v>
      </c>
      <c r="AJ366" s="9">
        <v>0</v>
      </c>
      <c r="AK366" s="9">
        <v>0</v>
      </c>
      <c r="AL366" s="9">
        <v>0</v>
      </c>
      <c r="AM366" s="9">
        <v>0</v>
      </c>
      <c r="AN366" s="9">
        <v>0</v>
      </c>
      <c r="AO366" s="9">
        <v>0</v>
      </c>
      <c r="AP366" s="9">
        <v>0</v>
      </c>
      <c r="AQ366" s="9">
        <v>0</v>
      </c>
      <c r="AR366" s="9">
        <v>0</v>
      </c>
      <c r="AS366" s="9">
        <v>0</v>
      </c>
      <c r="AT366" s="9">
        <v>0</v>
      </c>
      <c r="AU366" s="9">
        <v>0</v>
      </c>
      <c r="AV366" s="9">
        <v>0</v>
      </c>
      <c r="AW366" s="9">
        <v>0</v>
      </c>
      <c r="AX366" s="9">
        <v>0</v>
      </c>
      <c r="AY366" s="9">
        <v>0</v>
      </c>
      <c r="AZ366" s="9">
        <v>0</v>
      </c>
      <c r="BA366" s="9">
        <v>0</v>
      </c>
      <c r="BB366" s="9">
        <v>0</v>
      </c>
      <c r="BC366" s="9">
        <v>0</v>
      </c>
      <c r="BD366" s="9">
        <v>0</v>
      </c>
      <c r="BE366" s="9">
        <v>0</v>
      </c>
      <c r="BF366" s="9">
        <v>0</v>
      </c>
      <c r="BG366" s="9">
        <v>0</v>
      </c>
      <c r="BH366" s="9">
        <v>0</v>
      </c>
      <c r="BI366" s="9">
        <v>0</v>
      </c>
      <c r="BJ366" s="9">
        <v>0</v>
      </c>
      <c r="BK366" s="9">
        <v>0</v>
      </c>
      <c r="BL366" s="9">
        <v>0</v>
      </c>
      <c r="BM366" s="9">
        <v>0</v>
      </c>
      <c r="BN366" s="9">
        <v>0</v>
      </c>
      <c r="BO366" s="9">
        <v>0</v>
      </c>
      <c r="BP366" s="10">
        <v>0</v>
      </c>
      <c r="BQ366">
        <v>0</v>
      </c>
      <c r="BR366">
        <v>0</v>
      </c>
    </row>
    <row r="367" spans="1:70" x14ac:dyDescent="0.35">
      <c r="A367" s="8" t="s">
        <v>413</v>
      </c>
      <c r="B367" s="9" t="s">
        <v>1108</v>
      </c>
      <c r="C367" s="10" t="s">
        <v>1109</v>
      </c>
      <c r="D367" s="34">
        <f t="shared" si="7"/>
        <v>0</v>
      </c>
      <c r="E367" s="9">
        <v>0</v>
      </c>
      <c r="F367" s="9">
        <v>0</v>
      </c>
      <c r="G367" s="9">
        <v>0</v>
      </c>
      <c r="H367" s="9">
        <v>0</v>
      </c>
      <c r="I367" s="9">
        <v>0</v>
      </c>
      <c r="J367" s="9">
        <v>0</v>
      </c>
      <c r="K367" s="9">
        <v>0</v>
      </c>
      <c r="L367" s="9">
        <v>0</v>
      </c>
      <c r="M367" s="9">
        <v>0</v>
      </c>
      <c r="N367" s="9">
        <v>0</v>
      </c>
      <c r="O367" s="9">
        <v>0</v>
      </c>
      <c r="P367" s="9">
        <v>0</v>
      </c>
      <c r="Q367" s="9">
        <v>0</v>
      </c>
      <c r="R367" s="9">
        <v>0</v>
      </c>
      <c r="S367" s="9">
        <v>0</v>
      </c>
      <c r="T367" s="9">
        <v>0</v>
      </c>
      <c r="U367" s="9">
        <v>0</v>
      </c>
      <c r="V367" s="9">
        <v>0</v>
      </c>
      <c r="W367" s="9">
        <v>0</v>
      </c>
      <c r="X367" s="9">
        <v>0</v>
      </c>
      <c r="Y367" s="9">
        <v>0</v>
      </c>
      <c r="Z367" s="9">
        <v>0</v>
      </c>
      <c r="AA367" s="9">
        <v>0</v>
      </c>
      <c r="AB367" s="9">
        <v>0</v>
      </c>
      <c r="AC367" s="9">
        <v>0</v>
      </c>
      <c r="AD367" s="9">
        <v>0</v>
      </c>
      <c r="AE367" s="9">
        <v>0</v>
      </c>
      <c r="AF367" s="9">
        <v>0</v>
      </c>
      <c r="AG367" s="9">
        <v>0</v>
      </c>
      <c r="AH367" s="9">
        <v>0</v>
      </c>
      <c r="AI367" s="9">
        <v>0</v>
      </c>
      <c r="AJ367" s="9">
        <v>0</v>
      </c>
      <c r="AK367" s="9">
        <v>0</v>
      </c>
      <c r="AL367" s="9">
        <v>0</v>
      </c>
      <c r="AM367" s="9">
        <v>0</v>
      </c>
      <c r="AN367" s="9">
        <v>0</v>
      </c>
      <c r="AO367" s="9">
        <v>0</v>
      </c>
      <c r="AP367" s="9">
        <v>0</v>
      </c>
      <c r="AQ367" s="9">
        <v>0</v>
      </c>
      <c r="AR367" s="9">
        <v>0</v>
      </c>
      <c r="AS367" s="9">
        <v>0</v>
      </c>
      <c r="AT367" s="9">
        <v>0</v>
      </c>
      <c r="AU367" s="9">
        <v>0</v>
      </c>
      <c r="AV367" s="9">
        <v>0</v>
      </c>
      <c r="AW367" s="9">
        <v>0</v>
      </c>
      <c r="AX367" s="9">
        <v>0</v>
      </c>
      <c r="AY367" s="9">
        <v>0</v>
      </c>
      <c r="AZ367" s="9">
        <v>0</v>
      </c>
      <c r="BA367" s="9">
        <v>0</v>
      </c>
      <c r="BB367" s="9">
        <v>0</v>
      </c>
      <c r="BC367" s="9">
        <v>0</v>
      </c>
      <c r="BD367" s="9">
        <v>0</v>
      </c>
      <c r="BE367" s="9">
        <v>0</v>
      </c>
      <c r="BF367" s="9">
        <v>0</v>
      </c>
      <c r="BG367" s="9">
        <v>0</v>
      </c>
      <c r="BH367" s="9">
        <v>0</v>
      </c>
      <c r="BI367" s="9">
        <v>0</v>
      </c>
      <c r="BJ367" s="9">
        <v>0</v>
      </c>
      <c r="BK367" s="9">
        <v>0</v>
      </c>
      <c r="BL367" s="9">
        <v>0</v>
      </c>
      <c r="BM367" s="9">
        <v>0</v>
      </c>
      <c r="BN367" s="9">
        <v>0</v>
      </c>
      <c r="BO367" s="9">
        <v>0</v>
      </c>
      <c r="BP367" s="10">
        <v>0</v>
      </c>
      <c r="BQ367">
        <v>0</v>
      </c>
      <c r="BR367">
        <v>0</v>
      </c>
    </row>
    <row r="368" spans="1:70" x14ac:dyDescent="0.35">
      <c r="A368" s="8" t="s">
        <v>413</v>
      </c>
      <c r="B368" s="9" t="s">
        <v>1110</v>
      </c>
      <c r="C368" s="10" t="s">
        <v>1111</v>
      </c>
      <c r="D368" s="34">
        <f t="shared" si="7"/>
        <v>0</v>
      </c>
      <c r="E368" s="9">
        <v>0</v>
      </c>
      <c r="F368" s="9">
        <v>0</v>
      </c>
      <c r="G368" s="9">
        <v>0</v>
      </c>
      <c r="H368" s="9">
        <v>0</v>
      </c>
      <c r="I368" s="9">
        <v>0</v>
      </c>
      <c r="J368" s="9">
        <v>0</v>
      </c>
      <c r="K368" s="9">
        <v>0</v>
      </c>
      <c r="L368" s="9">
        <v>0</v>
      </c>
      <c r="M368" s="9">
        <v>0</v>
      </c>
      <c r="N368" s="9">
        <v>0</v>
      </c>
      <c r="O368" s="9">
        <v>0</v>
      </c>
      <c r="P368" s="9">
        <v>0</v>
      </c>
      <c r="Q368" s="9">
        <v>0</v>
      </c>
      <c r="R368" s="9">
        <v>0</v>
      </c>
      <c r="S368" s="9">
        <v>0</v>
      </c>
      <c r="T368" s="9">
        <v>0</v>
      </c>
      <c r="U368" s="9">
        <v>0</v>
      </c>
      <c r="V368" s="9">
        <v>0</v>
      </c>
      <c r="W368" s="9">
        <v>0</v>
      </c>
      <c r="X368" s="9">
        <v>0</v>
      </c>
      <c r="Y368" s="9">
        <v>0</v>
      </c>
      <c r="Z368" s="9">
        <v>0</v>
      </c>
      <c r="AA368" s="9">
        <v>0</v>
      </c>
      <c r="AB368" s="9">
        <v>0</v>
      </c>
      <c r="AC368" s="9">
        <v>0</v>
      </c>
      <c r="AD368" s="9">
        <v>0</v>
      </c>
      <c r="AE368" s="9">
        <v>0</v>
      </c>
      <c r="AF368" s="9">
        <v>0</v>
      </c>
      <c r="AG368" s="9">
        <v>0</v>
      </c>
      <c r="AH368" s="9">
        <v>0</v>
      </c>
      <c r="AI368" s="9">
        <v>0</v>
      </c>
      <c r="AJ368" s="9">
        <v>0</v>
      </c>
      <c r="AK368" s="9">
        <v>0</v>
      </c>
      <c r="AL368" s="9">
        <v>0</v>
      </c>
      <c r="AM368" s="9">
        <v>0</v>
      </c>
      <c r="AN368" s="9">
        <v>0</v>
      </c>
      <c r="AO368" s="9">
        <v>0</v>
      </c>
      <c r="AP368" s="9">
        <v>0</v>
      </c>
      <c r="AQ368" s="9">
        <v>0</v>
      </c>
      <c r="AR368" s="9">
        <v>0</v>
      </c>
      <c r="AS368" s="9">
        <v>0</v>
      </c>
      <c r="AT368" s="9">
        <v>0</v>
      </c>
      <c r="AU368" s="9">
        <v>0</v>
      </c>
      <c r="AV368" s="9">
        <v>0</v>
      </c>
      <c r="AW368" s="9">
        <v>0</v>
      </c>
      <c r="AX368" s="9">
        <v>0</v>
      </c>
      <c r="AY368" s="9">
        <v>0</v>
      </c>
      <c r="AZ368" s="9">
        <v>0</v>
      </c>
      <c r="BA368" s="9">
        <v>0</v>
      </c>
      <c r="BB368" s="9">
        <v>0</v>
      </c>
      <c r="BC368" s="9">
        <v>0</v>
      </c>
      <c r="BD368" s="9">
        <v>0</v>
      </c>
      <c r="BE368" s="9">
        <v>0</v>
      </c>
      <c r="BF368" s="9">
        <v>0</v>
      </c>
      <c r="BG368" s="9">
        <v>0</v>
      </c>
      <c r="BH368" s="9">
        <v>0</v>
      </c>
      <c r="BI368" s="9">
        <v>0</v>
      </c>
      <c r="BJ368" s="9">
        <v>0</v>
      </c>
      <c r="BK368" s="9">
        <v>0</v>
      </c>
      <c r="BL368" s="9">
        <v>0</v>
      </c>
      <c r="BM368" s="9">
        <v>0</v>
      </c>
      <c r="BN368" s="9">
        <v>0</v>
      </c>
      <c r="BO368" s="9">
        <v>0</v>
      </c>
      <c r="BP368" s="10">
        <v>0</v>
      </c>
      <c r="BQ368">
        <v>0</v>
      </c>
      <c r="BR368">
        <v>0</v>
      </c>
    </row>
    <row r="369" spans="1:70" x14ac:dyDescent="0.35">
      <c r="A369" s="8" t="s">
        <v>413</v>
      </c>
      <c r="B369" s="9" t="s">
        <v>1112</v>
      </c>
      <c r="C369" s="10" t="s">
        <v>1113</v>
      </c>
      <c r="D369" s="34">
        <f t="shared" si="7"/>
        <v>0</v>
      </c>
      <c r="E369" s="9">
        <v>0</v>
      </c>
      <c r="F369" s="9">
        <v>0</v>
      </c>
      <c r="G369" s="9">
        <v>0</v>
      </c>
      <c r="H369" s="9">
        <v>0</v>
      </c>
      <c r="I369" s="9">
        <v>0</v>
      </c>
      <c r="J369" s="9">
        <v>0</v>
      </c>
      <c r="K369" s="9">
        <v>0</v>
      </c>
      <c r="L369" s="9">
        <v>0</v>
      </c>
      <c r="M369" s="9">
        <v>0</v>
      </c>
      <c r="N369" s="9">
        <v>0</v>
      </c>
      <c r="O369" s="9">
        <v>0</v>
      </c>
      <c r="P369" s="9">
        <v>0</v>
      </c>
      <c r="Q369" s="9">
        <v>0</v>
      </c>
      <c r="R369" s="9">
        <v>0</v>
      </c>
      <c r="S369" s="9">
        <v>0</v>
      </c>
      <c r="T369" s="9">
        <v>0</v>
      </c>
      <c r="U369" s="9">
        <v>0</v>
      </c>
      <c r="V369" s="9">
        <v>0</v>
      </c>
      <c r="W369" s="9">
        <v>0</v>
      </c>
      <c r="X369" s="9">
        <v>0</v>
      </c>
      <c r="Y369" s="9">
        <v>0</v>
      </c>
      <c r="Z369" s="9">
        <v>0</v>
      </c>
      <c r="AA369" s="9">
        <v>0</v>
      </c>
      <c r="AB369" s="9">
        <v>0</v>
      </c>
      <c r="AC369" s="9">
        <v>0</v>
      </c>
      <c r="AD369" s="9">
        <v>0</v>
      </c>
      <c r="AE369" s="9">
        <v>0</v>
      </c>
      <c r="AF369" s="9">
        <v>0</v>
      </c>
      <c r="AG369" s="9">
        <v>0</v>
      </c>
      <c r="AH369" s="9">
        <v>0</v>
      </c>
      <c r="AI369" s="9">
        <v>0</v>
      </c>
      <c r="AJ369" s="9">
        <v>0</v>
      </c>
      <c r="AK369" s="9">
        <v>0</v>
      </c>
      <c r="AL369" s="9">
        <v>0</v>
      </c>
      <c r="AM369" s="9">
        <v>0</v>
      </c>
      <c r="AN369" s="9">
        <v>0</v>
      </c>
      <c r="AO369" s="9">
        <v>0</v>
      </c>
      <c r="AP369" s="9">
        <v>0</v>
      </c>
      <c r="AQ369" s="9">
        <v>0</v>
      </c>
      <c r="AR369" s="9">
        <v>0</v>
      </c>
      <c r="AS369" s="9">
        <v>0</v>
      </c>
      <c r="AT369" s="9">
        <v>0</v>
      </c>
      <c r="AU369" s="9">
        <v>0</v>
      </c>
      <c r="AV369" s="9">
        <v>0</v>
      </c>
      <c r="AW369" s="9">
        <v>0</v>
      </c>
      <c r="AX369" s="9">
        <v>0</v>
      </c>
      <c r="AY369" s="9">
        <v>0</v>
      </c>
      <c r="AZ369" s="9">
        <v>0</v>
      </c>
      <c r="BA369" s="9">
        <v>0</v>
      </c>
      <c r="BB369" s="9">
        <v>0</v>
      </c>
      <c r="BC369" s="9">
        <v>0</v>
      </c>
      <c r="BD369" s="9">
        <v>0</v>
      </c>
      <c r="BE369" s="9">
        <v>0</v>
      </c>
      <c r="BF369" s="9">
        <v>0</v>
      </c>
      <c r="BG369" s="9">
        <v>0</v>
      </c>
      <c r="BH369" s="9">
        <v>0</v>
      </c>
      <c r="BI369" s="9">
        <v>0</v>
      </c>
      <c r="BJ369" s="9">
        <v>0</v>
      </c>
      <c r="BK369" s="9">
        <v>0</v>
      </c>
      <c r="BL369" s="9">
        <v>0</v>
      </c>
      <c r="BM369" s="9">
        <v>0</v>
      </c>
      <c r="BN369" s="9">
        <v>0</v>
      </c>
      <c r="BO369" s="9">
        <v>0</v>
      </c>
      <c r="BP369" s="10">
        <v>0</v>
      </c>
      <c r="BQ369">
        <v>0</v>
      </c>
      <c r="BR369">
        <v>0</v>
      </c>
    </row>
    <row r="370" spans="1:70" x14ac:dyDescent="0.35">
      <c r="A370" s="8" t="s">
        <v>413</v>
      </c>
      <c r="B370" s="9" t="s">
        <v>1114</v>
      </c>
      <c r="C370" s="10" t="s">
        <v>1115</v>
      </c>
      <c r="D370" s="34">
        <f t="shared" si="7"/>
        <v>0</v>
      </c>
      <c r="E370" s="9">
        <v>0</v>
      </c>
      <c r="F370" s="9">
        <v>0</v>
      </c>
      <c r="G370" s="9">
        <v>0</v>
      </c>
      <c r="H370" s="9">
        <v>0</v>
      </c>
      <c r="I370" s="9">
        <v>0</v>
      </c>
      <c r="J370" s="9">
        <v>0</v>
      </c>
      <c r="K370" s="9">
        <v>0</v>
      </c>
      <c r="L370" s="9">
        <v>0</v>
      </c>
      <c r="M370" s="9">
        <v>0</v>
      </c>
      <c r="N370" s="9">
        <v>0</v>
      </c>
      <c r="O370" s="9">
        <v>0</v>
      </c>
      <c r="P370" s="9">
        <v>0</v>
      </c>
      <c r="Q370" s="9">
        <v>0</v>
      </c>
      <c r="R370" s="9">
        <v>0</v>
      </c>
      <c r="S370" s="9">
        <v>0</v>
      </c>
      <c r="T370" s="9">
        <v>0</v>
      </c>
      <c r="U370" s="9">
        <v>0</v>
      </c>
      <c r="V370" s="9">
        <v>0</v>
      </c>
      <c r="W370" s="9">
        <v>0</v>
      </c>
      <c r="X370" s="9">
        <v>0</v>
      </c>
      <c r="Y370" s="9">
        <v>0</v>
      </c>
      <c r="Z370" s="9">
        <v>0</v>
      </c>
      <c r="AA370" s="9">
        <v>0</v>
      </c>
      <c r="AB370" s="9">
        <v>0</v>
      </c>
      <c r="AC370" s="9">
        <v>0</v>
      </c>
      <c r="AD370" s="9">
        <v>0</v>
      </c>
      <c r="AE370" s="9">
        <v>0</v>
      </c>
      <c r="AF370" s="9">
        <v>0</v>
      </c>
      <c r="AG370" s="9">
        <v>0</v>
      </c>
      <c r="AH370" s="9">
        <v>0</v>
      </c>
      <c r="AI370" s="9">
        <v>0</v>
      </c>
      <c r="AJ370" s="9">
        <v>0</v>
      </c>
      <c r="AK370" s="9">
        <v>0</v>
      </c>
      <c r="AL370" s="9">
        <v>0</v>
      </c>
      <c r="AM370" s="9">
        <v>0</v>
      </c>
      <c r="AN370" s="9">
        <v>0</v>
      </c>
      <c r="AO370" s="9">
        <v>0</v>
      </c>
      <c r="AP370" s="9">
        <v>0</v>
      </c>
      <c r="AQ370" s="9">
        <v>0</v>
      </c>
      <c r="AR370" s="9">
        <v>0</v>
      </c>
      <c r="AS370" s="9">
        <v>0</v>
      </c>
      <c r="AT370" s="9">
        <v>0</v>
      </c>
      <c r="AU370" s="9">
        <v>0</v>
      </c>
      <c r="AV370" s="9">
        <v>0</v>
      </c>
      <c r="AW370" s="9">
        <v>0</v>
      </c>
      <c r="AX370" s="9">
        <v>0</v>
      </c>
      <c r="AY370" s="9">
        <v>0</v>
      </c>
      <c r="AZ370" s="9">
        <v>0</v>
      </c>
      <c r="BA370" s="9">
        <v>0</v>
      </c>
      <c r="BB370" s="9">
        <v>0</v>
      </c>
      <c r="BC370" s="9">
        <v>0</v>
      </c>
      <c r="BD370" s="9">
        <v>0</v>
      </c>
      <c r="BE370" s="9">
        <v>0</v>
      </c>
      <c r="BF370" s="9">
        <v>0</v>
      </c>
      <c r="BG370" s="9">
        <v>0</v>
      </c>
      <c r="BH370" s="9">
        <v>0</v>
      </c>
      <c r="BI370" s="9">
        <v>0</v>
      </c>
      <c r="BJ370" s="9">
        <v>0</v>
      </c>
      <c r="BK370" s="9">
        <v>0</v>
      </c>
      <c r="BL370" s="9">
        <v>0</v>
      </c>
      <c r="BM370" s="9">
        <v>0</v>
      </c>
      <c r="BN370" s="9">
        <v>0</v>
      </c>
      <c r="BO370" s="9">
        <v>0</v>
      </c>
      <c r="BP370" s="10">
        <v>0</v>
      </c>
      <c r="BQ370">
        <v>0</v>
      </c>
      <c r="BR370">
        <v>0</v>
      </c>
    </row>
    <row r="371" spans="1:70" x14ac:dyDescent="0.35">
      <c r="A371" s="8" t="s">
        <v>413</v>
      </c>
      <c r="B371" s="9" t="s">
        <v>1116</v>
      </c>
      <c r="C371" s="10" t="s">
        <v>1117</v>
      </c>
      <c r="D371" s="34">
        <f t="shared" si="7"/>
        <v>0</v>
      </c>
      <c r="E371" s="9">
        <v>0</v>
      </c>
      <c r="F371" s="9">
        <v>0</v>
      </c>
      <c r="G371" s="9">
        <v>0</v>
      </c>
      <c r="H371" s="9">
        <v>0</v>
      </c>
      <c r="I371" s="9">
        <v>0</v>
      </c>
      <c r="J371" s="9">
        <v>0</v>
      </c>
      <c r="K371" s="9">
        <v>0</v>
      </c>
      <c r="L371" s="9">
        <v>0</v>
      </c>
      <c r="M371" s="9">
        <v>0</v>
      </c>
      <c r="N371" s="9">
        <v>0</v>
      </c>
      <c r="O371" s="9">
        <v>0</v>
      </c>
      <c r="P371" s="9">
        <v>0</v>
      </c>
      <c r="Q371" s="9">
        <v>0</v>
      </c>
      <c r="R371" s="9">
        <v>0</v>
      </c>
      <c r="S371" s="9">
        <v>0</v>
      </c>
      <c r="T371" s="9">
        <v>0</v>
      </c>
      <c r="U371" s="9">
        <v>0</v>
      </c>
      <c r="V371" s="9">
        <v>0</v>
      </c>
      <c r="W371" s="9">
        <v>0</v>
      </c>
      <c r="X371" s="9">
        <v>0</v>
      </c>
      <c r="Y371" s="9">
        <v>0</v>
      </c>
      <c r="Z371" s="9">
        <v>0</v>
      </c>
      <c r="AA371" s="9">
        <v>0</v>
      </c>
      <c r="AB371" s="9">
        <v>0</v>
      </c>
      <c r="AC371" s="9">
        <v>0</v>
      </c>
      <c r="AD371" s="9">
        <v>0</v>
      </c>
      <c r="AE371" s="9">
        <v>0</v>
      </c>
      <c r="AF371" s="9">
        <v>0</v>
      </c>
      <c r="AG371" s="9">
        <v>0</v>
      </c>
      <c r="AH371" s="9">
        <v>0</v>
      </c>
      <c r="AI371" s="9">
        <v>0</v>
      </c>
      <c r="AJ371" s="9">
        <v>0</v>
      </c>
      <c r="AK371" s="9">
        <v>0</v>
      </c>
      <c r="AL371" s="9">
        <v>0</v>
      </c>
      <c r="AM371" s="9">
        <v>0</v>
      </c>
      <c r="AN371" s="9">
        <v>0</v>
      </c>
      <c r="AO371" s="9">
        <v>0</v>
      </c>
      <c r="AP371" s="9">
        <v>0</v>
      </c>
      <c r="AQ371" s="9">
        <v>0</v>
      </c>
      <c r="AR371" s="9">
        <v>0</v>
      </c>
      <c r="AS371" s="9">
        <v>0</v>
      </c>
      <c r="AT371" s="9">
        <v>0</v>
      </c>
      <c r="AU371" s="9">
        <v>0</v>
      </c>
      <c r="AV371" s="9">
        <v>0</v>
      </c>
      <c r="AW371" s="9">
        <v>0</v>
      </c>
      <c r="AX371" s="9">
        <v>0</v>
      </c>
      <c r="AY371" s="9">
        <v>0</v>
      </c>
      <c r="AZ371" s="9">
        <v>0</v>
      </c>
      <c r="BA371" s="9">
        <v>0</v>
      </c>
      <c r="BB371" s="9">
        <v>0</v>
      </c>
      <c r="BC371" s="9">
        <v>0</v>
      </c>
      <c r="BD371" s="9">
        <v>0</v>
      </c>
      <c r="BE371" s="9">
        <v>0</v>
      </c>
      <c r="BF371" s="9">
        <v>0</v>
      </c>
      <c r="BG371" s="9">
        <v>0</v>
      </c>
      <c r="BH371" s="9">
        <v>0</v>
      </c>
      <c r="BI371" s="9">
        <v>0</v>
      </c>
      <c r="BJ371" s="9">
        <v>0</v>
      </c>
      <c r="BK371" s="9">
        <v>0</v>
      </c>
      <c r="BL371" s="9">
        <v>0</v>
      </c>
      <c r="BM371" s="9">
        <v>0</v>
      </c>
      <c r="BN371" s="9">
        <v>0</v>
      </c>
      <c r="BO371" s="9">
        <v>0</v>
      </c>
      <c r="BP371" s="10">
        <v>0</v>
      </c>
      <c r="BQ371">
        <v>0</v>
      </c>
      <c r="BR371">
        <v>0</v>
      </c>
    </row>
    <row r="372" spans="1:70" x14ac:dyDescent="0.35">
      <c r="A372" s="8" t="s">
        <v>413</v>
      </c>
      <c r="B372" s="9" t="s">
        <v>424</v>
      </c>
      <c r="C372" s="10" t="s">
        <v>1118</v>
      </c>
      <c r="D372" s="34">
        <f t="shared" si="7"/>
        <v>8</v>
      </c>
      <c r="E372" s="9">
        <v>0</v>
      </c>
      <c r="F372" s="9">
        <v>0</v>
      </c>
      <c r="G372" s="9">
        <v>0</v>
      </c>
      <c r="H372" s="9">
        <v>0</v>
      </c>
      <c r="I372" s="9">
        <v>0</v>
      </c>
      <c r="J372" s="9">
        <v>0</v>
      </c>
      <c r="K372" s="9">
        <v>0</v>
      </c>
      <c r="L372" s="9">
        <v>0</v>
      </c>
      <c r="M372" s="9">
        <v>0</v>
      </c>
      <c r="N372" s="9">
        <v>0</v>
      </c>
      <c r="O372" s="9">
        <v>0</v>
      </c>
      <c r="P372" s="9">
        <v>0</v>
      </c>
      <c r="Q372" s="9">
        <v>0</v>
      </c>
      <c r="R372" s="9">
        <v>0</v>
      </c>
      <c r="S372" s="9">
        <v>0</v>
      </c>
      <c r="T372" s="9">
        <v>0</v>
      </c>
      <c r="U372" s="9">
        <v>0</v>
      </c>
      <c r="V372" s="9">
        <v>0</v>
      </c>
      <c r="W372" s="9">
        <v>0</v>
      </c>
      <c r="X372" s="9">
        <v>0</v>
      </c>
      <c r="Y372" s="9">
        <v>0</v>
      </c>
      <c r="Z372" s="9">
        <v>0</v>
      </c>
      <c r="AA372" s="9">
        <v>0</v>
      </c>
      <c r="AB372" s="9">
        <v>0</v>
      </c>
      <c r="AC372" s="9">
        <v>0</v>
      </c>
      <c r="AD372" s="9">
        <v>0</v>
      </c>
      <c r="AE372" s="9">
        <v>0</v>
      </c>
      <c r="AF372" s="9">
        <v>0</v>
      </c>
      <c r="AG372" s="9">
        <v>0</v>
      </c>
      <c r="AH372" s="9">
        <v>0</v>
      </c>
      <c r="AI372" s="9">
        <v>0</v>
      </c>
      <c r="AJ372" s="9">
        <v>0</v>
      </c>
      <c r="AK372" s="9">
        <v>0</v>
      </c>
      <c r="AL372" s="9">
        <v>0</v>
      </c>
      <c r="AM372" s="9">
        <v>0</v>
      </c>
      <c r="AN372" s="9">
        <v>0</v>
      </c>
      <c r="AO372" s="9">
        <v>0</v>
      </c>
      <c r="AP372" s="9">
        <v>0</v>
      </c>
      <c r="AQ372" s="9">
        <v>0</v>
      </c>
      <c r="AR372" s="9">
        <v>0</v>
      </c>
      <c r="AS372" s="9">
        <v>0</v>
      </c>
      <c r="AT372" s="9">
        <v>0</v>
      </c>
      <c r="AU372" s="9">
        <v>0</v>
      </c>
      <c r="AV372" s="9">
        <v>0</v>
      </c>
      <c r="AW372" s="9">
        <v>0</v>
      </c>
      <c r="AX372" s="9">
        <v>0</v>
      </c>
      <c r="AY372" s="9">
        <v>0</v>
      </c>
      <c r="AZ372" s="9">
        <v>0</v>
      </c>
      <c r="BA372" s="9">
        <v>0</v>
      </c>
      <c r="BB372" s="9">
        <v>0</v>
      </c>
      <c r="BC372" s="9">
        <v>0</v>
      </c>
      <c r="BD372" s="9">
        <v>0</v>
      </c>
      <c r="BE372" s="9">
        <v>0</v>
      </c>
      <c r="BF372" s="9">
        <v>0</v>
      </c>
      <c r="BG372" s="9">
        <v>0</v>
      </c>
      <c r="BH372" s="9">
        <v>0</v>
      </c>
      <c r="BI372" s="9">
        <v>0</v>
      </c>
      <c r="BJ372" s="9">
        <v>0</v>
      </c>
      <c r="BK372" s="9">
        <v>2</v>
      </c>
      <c r="BL372" s="9">
        <v>3</v>
      </c>
      <c r="BM372" s="9">
        <v>3</v>
      </c>
      <c r="BN372" s="9">
        <v>3</v>
      </c>
      <c r="BO372" s="9">
        <v>3</v>
      </c>
      <c r="BP372" s="10">
        <v>3</v>
      </c>
      <c r="BQ372">
        <v>5</v>
      </c>
      <c r="BR372">
        <v>8</v>
      </c>
    </row>
    <row r="373" spans="1:70" x14ac:dyDescent="0.35">
      <c r="A373" s="8" t="s">
        <v>413</v>
      </c>
      <c r="B373" s="9" t="s">
        <v>1119</v>
      </c>
      <c r="C373" s="10" t="s">
        <v>1120</v>
      </c>
      <c r="D373" s="34">
        <f t="shared" si="7"/>
        <v>0</v>
      </c>
      <c r="E373" s="9">
        <v>0</v>
      </c>
      <c r="F373" s="9">
        <v>0</v>
      </c>
      <c r="G373" s="9">
        <v>0</v>
      </c>
      <c r="H373" s="9">
        <v>0</v>
      </c>
      <c r="I373" s="9">
        <v>0</v>
      </c>
      <c r="J373" s="9">
        <v>0</v>
      </c>
      <c r="K373" s="9">
        <v>0</v>
      </c>
      <c r="L373" s="9">
        <v>0</v>
      </c>
      <c r="M373" s="9">
        <v>0</v>
      </c>
      <c r="N373" s="9">
        <v>0</v>
      </c>
      <c r="O373" s="9">
        <v>0</v>
      </c>
      <c r="P373" s="9">
        <v>0</v>
      </c>
      <c r="Q373" s="9">
        <v>0</v>
      </c>
      <c r="R373" s="9">
        <v>0</v>
      </c>
      <c r="S373" s="9">
        <v>0</v>
      </c>
      <c r="T373" s="9">
        <v>0</v>
      </c>
      <c r="U373" s="9">
        <v>0</v>
      </c>
      <c r="V373" s="9">
        <v>0</v>
      </c>
      <c r="W373" s="9">
        <v>0</v>
      </c>
      <c r="X373" s="9">
        <v>0</v>
      </c>
      <c r="Y373" s="9">
        <v>0</v>
      </c>
      <c r="Z373" s="9">
        <v>0</v>
      </c>
      <c r="AA373" s="9">
        <v>0</v>
      </c>
      <c r="AB373" s="9">
        <v>0</v>
      </c>
      <c r="AC373" s="9">
        <v>0</v>
      </c>
      <c r="AD373" s="9">
        <v>0</v>
      </c>
      <c r="AE373" s="9">
        <v>0</v>
      </c>
      <c r="AF373" s="9">
        <v>0</v>
      </c>
      <c r="AG373" s="9">
        <v>0</v>
      </c>
      <c r="AH373" s="9">
        <v>0</v>
      </c>
      <c r="AI373" s="9">
        <v>0</v>
      </c>
      <c r="AJ373" s="9">
        <v>0</v>
      </c>
      <c r="AK373" s="9">
        <v>0</v>
      </c>
      <c r="AL373" s="9">
        <v>0</v>
      </c>
      <c r="AM373" s="9">
        <v>0</v>
      </c>
      <c r="AN373" s="9">
        <v>0</v>
      </c>
      <c r="AO373" s="9">
        <v>0</v>
      </c>
      <c r="AP373" s="9">
        <v>0</v>
      </c>
      <c r="AQ373" s="9">
        <v>0</v>
      </c>
      <c r="AR373" s="9">
        <v>0</v>
      </c>
      <c r="AS373" s="9">
        <v>0</v>
      </c>
      <c r="AT373" s="9">
        <v>0</v>
      </c>
      <c r="AU373" s="9">
        <v>0</v>
      </c>
      <c r="AV373" s="9">
        <v>0</v>
      </c>
      <c r="AW373" s="9">
        <v>0</v>
      </c>
      <c r="AX373" s="9">
        <v>0</v>
      </c>
      <c r="AY373" s="9">
        <v>0</v>
      </c>
      <c r="AZ373" s="9">
        <v>0</v>
      </c>
      <c r="BA373" s="9">
        <v>0</v>
      </c>
      <c r="BB373" s="9">
        <v>0</v>
      </c>
      <c r="BC373" s="9">
        <v>0</v>
      </c>
      <c r="BD373" s="9">
        <v>0</v>
      </c>
      <c r="BE373" s="9">
        <v>0</v>
      </c>
      <c r="BF373" s="9">
        <v>0</v>
      </c>
      <c r="BG373" s="9">
        <v>0</v>
      </c>
      <c r="BH373" s="9">
        <v>0</v>
      </c>
      <c r="BI373" s="9">
        <v>0</v>
      </c>
      <c r="BJ373" s="9">
        <v>0</v>
      </c>
      <c r="BK373" s="9">
        <v>0</v>
      </c>
      <c r="BL373" s="9">
        <v>0</v>
      </c>
      <c r="BM373" s="9">
        <v>0</v>
      </c>
      <c r="BN373" s="9">
        <v>0</v>
      </c>
      <c r="BO373" s="9">
        <v>0</v>
      </c>
      <c r="BP373" s="10">
        <v>0</v>
      </c>
      <c r="BQ373">
        <v>0</v>
      </c>
      <c r="BR373">
        <v>0</v>
      </c>
    </row>
    <row r="374" spans="1:70" x14ac:dyDescent="0.35">
      <c r="A374" s="8" t="s">
        <v>413</v>
      </c>
      <c r="B374" s="9" t="s">
        <v>1121</v>
      </c>
      <c r="C374" s="10" t="s">
        <v>1122</v>
      </c>
      <c r="D374" s="34">
        <f t="shared" si="7"/>
        <v>0</v>
      </c>
      <c r="E374" s="9">
        <v>0</v>
      </c>
      <c r="F374" s="9">
        <v>0</v>
      </c>
      <c r="G374" s="9">
        <v>0</v>
      </c>
      <c r="H374" s="9">
        <v>0</v>
      </c>
      <c r="I374" s="9">
        <v>0</v>
      </c>
      <c r="J374" s="9">
        <v>0</v>
      </c>
      <c r="K374" s="9">
        <v>0</v>
      </c>
      <c r="L374" s="9">
        <v>0</v>
      </c>
      <c r="M374" s="9">
        <v>0</v>
      </c>
      <c r="N374" s="9">
        <v>0</v>
      </c>
      <c r="O374" s="9">
        <v>0</v>
      </c>
      <c r="P374" s="9">
        <v>0</v>
      </c>
      <c r="Q374" s="9">
        <v>0</v>
      </c>
      <c r="R374" s="9">
        <v>0</v>
      </c>
      <c r="S374" s="9">
        <v>0</v>
      </c>
      <c r="T374" s="9">
        <v>0</v>
      </c>
      <c r="U374" s="9">
        <v>0</v>
      </c>
      <c r="V374" s="9">
        <v>0</v>
      </c>
      <c r="W374" s="9">
        <v>0</v>
      </c>
      <c r="X374" s="9">
        <v>0</v>
      </c>
      <c r="Y374" s="9">
        <v>0</v>
      </c>
      <c r="Z374" s="9">
        <v>0</v>
      </c>
      <c r="AA374" s="9">
        <v>0</v>
      </c>
      <c r="AB374" s="9">
        <v>0</v>
      </c>
      <c r="AC374" s="9">
        <v>0</v>
      </c>
      <c r="AD374" s="9">
        <v>0</v>
      </c>
      <c r="AE374" s="9">
        <v>0</v>
      </c>
      <c r="AF374" s="9">
        <v>0</v>
      </c>
      <c r="AG374" s="9">
        <v>0</v>
      </c>
      <c r="AH374" s="9">
        <v>0</v>
      </c>
      <c r="AI374" s="9">
        <v>0</v>
      </c>
      <c r="AJ374" s="9">
        <v>0</v>
      </c>
      <c r="AK374" s="9">
        <v>0</v>
      </c>
      <c r="AL374" s="9">
        <v>0</v>
      </c>
      <c r="AM374" s="9">
        <v>0</v>
      </c>
      <c r="AN374" s="9">
        <v>0</v>
      </c>
      <c r="AO374" s="9">
        <v>0</v>
      </c>
      <c r="AP374" s="9">
        <v>0</v>
      </c>
      <c r="AQ374" s="9">
        <v>0</v>
      </c>
      <c r="AR374" s="9">
        <v>0</v>
      </c>
      <c r="AS374" s="9">
        <v>0</v>
      </c>
      <c r="AT374" s="9">
        <v>0</v>
      </c>
      <c r="AU374" s="9">
        <v>0</v>
      </c>
      <c r="AV374" s="9">
        <v>0</v>
      </c>
      <c r="AW374" s="9">
        <v>0</v>
      </c>
      <c r="AX374" s="9">
        <v>0</v>
      </c>
      <c r="AY374" s="9">
        <v>0</v>
      </c>
      <c r="AZ374" s="9">
        <v>0</v>
      </c>
      <c r="BA374" s="9">
        <v>0</v>
      </c>
      <c r="BB374" s="9">
        <v>0</v>
      </c>
      <c r="BC374" s="9">
        <v>0</v>
      </c>
      <c r="BD374" s="9">
        <v>0</v>
      </c>
      <c r="BE374" s="9">
        <v>0</v>
      </c>
      <c r="BF374" s="9">
        <v>0</v>
      </c>
      <c r="BG374" s="9">
        <v>0</v>
      </c>
      <c r="BH374" s="9">
        <v>0</v>
      </c>
      <c r="BI374" s="9">
        <v>0</v>
      </c>
      <c r="BJ374" s="9">
        <v>0</v>
      </c>
      <c r="BK374" s="9">
        <v>0</v>
      </c>
      <c r="BL374" s="9">
        <v>0</v>
      </c>
      <c r="BM374" s="9">
        <v>0</v>
      </c>
      <c r="BN374" s="9">
        <v>0</v>
      </c>
      <c r="BO374" s="9">
        <v>0</v>
      </c>
      <c r="BP374" s="10">
        <v>0</v>
      </c>
      <c r="BQ374">
        <v>0</v>
      </c>
      <c r="BR374">
        <v>0</v>
      </c>
    </row>
    <row r="375" spans="1:70" x14ac:dyDescent="0.35">
      <c r="A375" s="8" t="s">
        <v>413</v>
      </c>
      <c r="B375" s="9" t="s">
        <v>1123</v>
      </c>
      <c r="C375" s="10" t="s">
        <v>1124</v>
      </c>
      <c r="D375" s="34">
        <f t="shared" si="7"/>
        <v>0</v>
      </c>
      <c r="E375" s="9">
        <v>0</v>
      </c>
      <c r="F375" s="9">
        <v>0</v>
      </c>
      <c r="G375" s="9">
        <v>0</v>
      </c>
      <c r="H375" s="9">
        <v>0</v>
      </c>
      <c r="I375" s="9">
        <v>0</v>
      </c>
      <c r="J375" s="9">
        <v>0</v>
      </c>
      <c r="K375" s="9">
        <v>0</v>
      </c>
      <c r="L375" s="9">
        <v>0</v>
      </c>
      <c r="M375" s="9">
        <v>0</v>
      </c>
      <c r="N375" s="9">
        <v>0</v>
      </c>
      <c r="O375" s="9">
        <v>0</v>
      </c>
      <c r="P375" s="9">
        <v>0</v>
      </c>
      <c r="Q375" s="9">
        <v>0</v>
      </c>
      <c r="R375" s="9">
        <v>0</v>
      </c>
      <c r="S375" s="9">
        <v>0</v>
      </c>
      <c r="T375" s="9">
        <v>0</v>
      </c>
      <c r="U375" s="9">
        <v>0</v>
      </c>
      <c r="V375" s="9">
        <v>0</v>
      </c>
      <c r="W375" s="9">
        <v>0</v>
      </c>
      <c r="X375" s="9">
        <v>0</v>
      </c>
      <c r="Y375" s="9">
        <v>0</v>
      </c>
      <c r="Z375" s="9">
        <v>0</v>
      </c>
      <c r="AA375" s="9">
        <v>0</v>
      </c>
      <c r="AB375" s="9">
        <v>0</v>
      </c>
      <c r="AC375" s="9">
        <v>0</v>
      </c>
      <c r="AD375" s="9">
        <v>0</v>
      </c>
      <c r="AE375" s="9">
        <v>0</v>
      </c>
      <c r="AF375" s="9">
        <v>0</v>
      </c>
      <c r="AG375" s="9">
        <v>0</v>
      </c>
      <c r="AH375" s="9">
        <v>0</v>
      </c>
      <c r="AI375" s="9">
        <v>0</v>
      </c>
      <c r="AJ375" s="9">
        <v>0</v>
      </c>
      <c r="AK375" s="9">
        <v>0</v>
      </c>
      <c r="AL375" s="9">
        <v>0</v>
      </c>
      <c r="AM375" s="9">
        <v>0</v>
      </c>
      <c r="AN375" s="9">
        <v>0</v>
      </c>
      <c r="AO375" s="9">
        <v>0</v>
      </c>
      <c r="AP375" s="9">
        <v>0</v>
      </c>
      <c r="AQ375" s="9">
        <v>0</v>
      </c>
      <c r="AR375" s="9">
        <v>0</v>
      </c>
      <c r="AS375" s="9">
        <v>0</v>
      </c>
      <c r="AT375" s="9">
        <v>0</v>
      </c>
      <c r="AU375" s="9">
        <v>0</v>
      </c>
      <c r="AV375" s="9">
        <v>0</v>
      </c>
      <c r="AW375" s="9">
        <v>0</v>
      </c>
      <c r="AX375" s="9">
        <v>0</v>
      </c>
      <c r="AY375" s="9">
        <v>0</v>
      </c>
      <c r="AZ375" s="9">
        <v>0</v>
      </c>
      <c r="BA375" s="9">
        <v>0</v>
      </c>
      <c r="BB375" s="9">
        <v>0</v>
      </c>
      <c r="BC375" s="9">
        <v>0</v>
      </c>
      <c r="BD375" s="9">
        <v>0</v>
      </c>
      <c r="BE375" s="9">
        <v>0</v>
      </c>
      <c r="BF375" s="9">
        <v>0</v>
      </c>
      <c r="BG375" s="9">
        <v>0</v>
      </c>
      <c r="BH375" s="9">
        <v>0</v>
      </c>
      <c r="BI375" s="9">
        <v>0</v>
      </c>
      <c r="BJ375" s="9">
        <v>0</v>
      </c>
      <c r="BK375" s="9">
        <v>0</v>
      </c>
      <c r="BL375" s="9">
        <v>0</v>
      </c>
      <c r="BM375" s="9">
        <v>0</v>
      </c>
      <c r="BN375" s="9">
        <v>0</v>
      </c>
      <c r="BO375" s="9">
        <v>0</v>
      </c>
      <c r="BP375" s="10">
        <v>0</v>
      </c>
      <c r="BQ375">
        <v>0</v>
      </c>
      <c r="BR375">
        <v>0</v>
      </c>
    </row>
    <row r="376" spans="1:70" x14ac:dyDescent="0.35">
      <c r="A376" s="8" t="s">
        <v>413</v>
      </c>
      <c r="B376" s="9" t="s">
        <v>1125</v>
      </c>
      <c r="C376" s="10" t="s">
        <v>1126</v>
      </c>
      <c r="D376" s="34">
        <f t="shared" si="7"/>
        <v>0</v>
      </c>
      <c r="E376" s="9">
        <v>0</v>
      </c>
      <c r="F376" s="9">
        <v>0</v>
      </c>
      <c r="G376" s="9">
        <v>0</v>
      </c>
      <c r="H376" s="9">
        <v>0</v>
      </c>
      <c r="I376" s="9">
        <v>0</v>
      </c>
      <c r="J376" s="9">
        <v>0</v>
      </c>
      <c r="K376" s="9">
        <v>0</v>
      </c>
      <c r="L376" s="9">
        <v>0</v>
      </c>
      <c r="M376" s="9">
        <v>0</v>
      </c>
      <c r="N376" s="9">
        <v>0</v>
      </c>
      <c r="O376" s="9">
        <v>0</v>
      </c>
      <c r="P376" s="9">
        <v>0</v>
      </c>
      <c r="Q376" s="9">
        <v>0</v>
      </c>
      <c r="R376" s="9">
        <v>0</v>
      </c>
      <c r="S376" s="9">
        <v>0</v>
      </c>
      <c r="T376" s="9">
        <v>0</v>
      </c>
      <c r="U376" s="9">
        <v>0</v>
      </c>
      <c r="V376" s="9">
        <v>0</v>
      </c>
      <c r="W376" s="9">
        <v>0</v>
      </c>
      <c r="X376" s="9">
        <v>0</v>
      </c>
      <c r="Y376" s="9">
        <v>0</v>
      </c>
      <c r="Z376" s="9">
        <v>0</v>
      </c>
      <c r="AA376" s="9">
        <v>0</v>
      </c>
      <c r="AB376" s="9">
        <v>0</v>
      </c>
      <c r="AC376" s="9">
        <v>0</v>
      </c>
      <c r="AD376" s="9">
        <v>0</v>
      </c>
      <c r="AE376" s="9">
        <v>0</v>
      </c>
      <c r="AF376" s="9">
        <v>0</v>
      </c>
      <c r="AG376" s="9">
        <v>0</v>
      </c>
      <c r="AH376" s="9">
        <v>0</v>
      </c>
      <c r="AI376" s="9">
        <v>0</v>
      </c>
      <c r="AJ376" s="9">
        <v>0</v>
      </c>
      <c r="AK376" s="9">
        <v>0</v>
      </c>
      <c r="AL376" s="9">
        <v>0</v>
      </c>
      <c r="AM376" s="9">
        <v>0</v>
      </c>
      <c r="AN376" s="9">
        <v>0</v>
      </c>
      <c r="AO376" s="9">
        <v>0</v>
      </c>
      <c r="AP376" s="9">
        <v>0</v>
      </c>
      <c r="AQ376" s="9">
        <v>0</v>
      </c>
      <c r="AR376" s="9">
        <v>0</v>
      </c>
      <c r="AS376" s="9">
        <v>0</v>
      </c>
      <c r="AT376" s="9">
        <v>0</v>
      </c>
      <c r="AU376" s="9">
        <v>0</v>
      </c>
      <c r="AV376" s="9">
        <v>0</v>
      </c>
      <c r="AW376" s="9">
        <v>0</v>
      </c>
      <c r="AX376" s="9">
        <v>0</v>
      </c>
      <c r="AY376" s="9">
        <v>0</v>
      </c>
      <c r="AZ376" s="9">
        <v>0</v>
      </c>
      <c r="BA376" s="9">
        <v>0</v>
      </c>
      <c r="BB376" s="9">
        <v>0</v>
      </c>
      <c r="BC376" s="9">
        <v>0</v>
      </c>
      <c r="BD376" s="9">
        <v>0</v>
      </c>
      <c r="BE376" s="9">
        <v>0</v>
      </c>
      <c r="BF376" s="9">
        <v>0</v>
      </c>
      <c r="BG376" s="9">
        <v>0</v>
      </c>
      <c r="BH376" s="9">
        <v>0</v>
      </c>
      <c r="BI376" s="9">
        <v>0</v>
      </c>
      <c r="BJ376" s="9">
        <v>0</v>
      </c>
      <c r="BK376" s="9">
        <v>0</v>
      </c>
      <c r="BL376" s="9">
        <v>0</v>
      </c>
      <c r="BM376" s="9">
        <v>0</v>
      </c>
      <c r="BN376" s="9">
        <v>0</v>
      </c>
      <c r="BO376" s="9">
        <v>0</v>
      </c>
      <c r="BP376" s="10">
        <v>0</v>
      </c>
      <c r="BQ376">
        <v>0</v>
      </c>
      <c r="BR376">
        <v>0</v>
      </c>
    </row>
    <row r="377" spans="1:70" x14ac:dyDescent="0.35">
      <c r="A377" s="8" t="s">
        <v>413</v>
      </c>
      <c r="B377" s="9" t="s">
        <v>1127</v>
      </c>
      <c r="C377" s="10" t="s">
        <v>1128</v>
      </c>
      <c r="D377" s="34">
        <f t="shared" si="7"/>
        <v>0</v>
      </c>
      <c r="E377" s="9">
        <v>0</v>
      </c>
      <c r="F377" s="9">
        <v>0</v>
      </c>
      <c r="G377" s="9">
        <v>0</v>
      </c>
      <c r="H377" s="9">
        <v>0</v>
      </c>
      <c r="I377" s="9">
        <v>0</v>
      </c>
      <c r="J377" s="9">
        <v>0</v>
      </c>
      <c r="K377" s="9">
        <v>0</v>
      </c>
      <c r="L377" s="9">
        <v>0</v>
      </c>
      <c r="M377" s="9">
        <v>0</v>
      </c>
      <c r="N377" s="9">
        <v>0</v>
      </c>
      <c r="O377" s="9">
        <v>0</v>
      </c>
      <c r="P377" s="9">
        <v>0</v>
      </c>
      <c r="Q377" s="9">
        <v>0</v>
      </c>
      <c r="R377" s="9">
        <v>0</v>
      </c>
      <c r="S377" s="9">
        <v>0</v>
      </c>
      <c r="T377" s="9">
        <v>0</v>
      </c>
      <c r="U377" s="9">
        <v>0</v>
      </c>
      <c r="V377" s="9">
        <v>0</v>
      </c>
      <c r="W377" s="9">
        <v>0</v>
      </c>
      <c r="X377" s="9">
        <v>0</v>
      </c>
      <c r="Y377" s="9">
        <v>0</v>
      </c>
      <c r="Z377" s="9">
        <v>0</v>
      </c>
      <c r="AA377" s="9">
        <v>0</v>
      </c>
      <c r="AB377" s="9">
        <v>0</v>
      </c>
      <c r="AC377" s="9">
        <v>0</v>
      </c>
      <c r="AD377" s="9">
        <v>0</v>
      </c>
      <c r="AE377" s="9">
        <v>0</v>
      </c>
      <c r="AF377" s="9">
        <v>0</v>
      </c>
      <c r="AG377" s="9">
        <v>0</v>
      </c>
      <c r="AH377" s="9">
        <v>0</v>
      </c>
      <c r="AI377" s="9">
        <v>0</v>
      </c>
      <c r="AJ377" s="9">
        <v>0</v>
      </c>
      <c r="AK377" s="9">
        <v>0</v>
      </c>
      <c r="AL377" s="9">
        <v>0</v>
      </c>
      <c r="AM377" s="9">
        <v>0</v>
      </c>
      <c r="AN377" s="9">
        <v>0</v>
      </c>
      <c r="AO377" s="9">
        <v>0</v>
      </c>
      <c r="AP377" s="9">
        <v>0</v>
      </c>
      <c r="AQ377" s="9">
        <v>0</v>
      </c>
      <c r="AR377" s="9">
        <v>0</v>
      </c>
      <c r="AS377" s="9">
        <v>0</v>
      </c>
      <c r="AT377" s="9">
        <v>0</v>
      </c>
      <c r="AU377" s="9">
        <v>0</v>
      </c>
      <c r="AV377" s="9">
        <v>0</v>
      </c>
      <c r="AW377" s="9">
        <v>0</v>
      </c>
      <c r="AX377" s="9">
        <v>0</v>
      </c>
      <c r="AY377" s="9">
        <v>0</v>
      </c>
      <c r="AZ377" s="9">
        <v>0</v>
      </c>
      <c r="BA377" s="9">
        <v>0</v>
      </c>
      <c r="BB377" s="9">
        <v>0</v>
      </c>
      <c r="BC377" s="9">
        <v>0</v>
      </c>
      <c r="BD377" s="9">
        <v>0</v>
      </c>
      <c r="BE377" s="9">
        <v>0</v>
      </c>
      <c r="BF377" s="9">
        <v>0</v>
      </c>
      <c r="BG377" s="9">
        <v>0</v>
      </c>
      <c r="BH377" s="9">
        <v>0</v>
      </c>
      <c r="BI377" s="9">
        <v>0</v>
      </c>
      <c r="BJ377" s="9">
        <v>0</v>
      </c>
      <c r="BK377" s="9">
        <v>0</v>
      </c>
      <c r="BL377" s="9">
        <v>0</v>
      </c>
      <c r="BM377" s="9">
        <v>0</v>
      </c>
      <c r="BN377" s="9">
        <v>0</v>
      </c>
      <c r="BO377" s="9">
        <v>0</v>
      </c>
      <c r="BP377" s="10">
        <v>0</v>
      </c>
      <c r="BQ377">
        <v>0</v>
      </c>
      <c r="BR377">
        <v>0</v>
      </c>
    </row>
    <row r="378" spans="1:70" x14ac:dyDescent="0.35">
      <c r="A378" s="8" t="s">
        <v>413</v>
      </c>
      <c r="B378" s="9" t="s">
        <v>1129</v>
      </c>
      <c r="C378" s="10" t="s">
        <v>1130</v>
      </c>
      <c r="D378" s="34">
        <f t="shared" si="7"/>
        <v>0</v>
      </c>
      <c r="E378" s="9">
        <v>0</v>
      </c>
      <c r="F378" s="9">
        <v>0</v>
      </c>
      <c r="G378" s="9">
        <v>0</v>
      </c>
      <c r="H378" s="9">
        <v>0</v>
      </c>
      <c r="I378" s="9">
        <v>0</v>
      </c>
      <c r="J378" s="9">
        <v>0</v>
      </c>
      <c r="K378" s="9">
        <v>0</v>
      </c>
      <c r="L378" s="9">
        <v>0</v>
      </c>
      <c r="M378" s="9">
        <v>0</v>
      </c>
      <c r="N378" s="9">
        <v>0</v>
      </c>
      <c r="O378" s="9">
        <v>0</v>
      </c>
      <c r="P378" s="9">
        <v>0</v>
      </c>
      <c r="Q378" s="9">
        <v>0</v>
      </c>
      <c r="R378" s="9">
        <v>0</v>
      </c>
      <c r="S378" s="9">
        <v>0</v>
      </c>
      <c r="T378" s="9">
        <v>0</v>
      </c>
      <c r="U378" s="9">
        <v>0</v>
      </c>
      <c r="V378" s="9">
        <v>0</v>
      </c>
      <c r="W378" s="9">
        <v>0</v>
      </c>
      <c r="X378" s="9">
        <v>0</v>
      </c>
      <c r="Y378" s="9">
        <v>0</v>
      </c>
      <c r="Z378" s="9">
        <v>0</v>
      </c>
      <c r="AA378" s="9">
        <v>0</v>
      </c>
      <c r="AB378" s="9">
        <v>0</v>
      </c>
      <c r="AC378" s="9">
        <v>0</v>
      </c>
      <c r="AD378" s="9">
        <v>0</v>
      </c>
      <c r="AE378" s="9">
        <v>0</v>
      </c>
      <c r="AF378" s="9">
        <v>0</v>
      </c>
      <c r="AG378" s="9">
        <v>0</v>
      </c>
      <c r="AH378" s="9">
        <v>0</v>
      </c>
      <c r="AI378" s="9">
        <v>0</v>
      </c>
      <c r="AJ378" s="9">
        <v>0</v>
      </c>
      <c r="AK378" s="9">
        <v>0</v>
      </c>
      <c r="AL378" s="9">
        <v>0</v>
      </c>
      <c r="AM378" s="9">
        <v>0</v>
      </c>
      <c r="AN378" s="9">
        <v>0</v>
      </c>
      <c r="AO378" s="9">
        <v>0</v>
      </c>
      <c r="AP378" s="9">
        <v>0</v>
      </c>
      <c r="AQ378" s="9">
        <v>0</v>
      </c>
      <c r="AR378" s="9">
        <v>0</v>
      </c>
      <c r="AS378" s="9">
        <v>0</v>
      </c>
      <c r="AT378" s="9">
        <v>0</v>
      </c>
      <c r="AU378" s="9">
        <v>0</v>
      </c>
      <c r="AV378" s="9">
        <v>0</v>
      </c>
      <c r="AW378" s="9">
        <v>0</v>
      </c>
      <c r="AX378" s="9">
        <v>0</v>
      </c>
      <c r="AY378" s="9">
        <v>0</v>
      </c>
      <c r="AZ378" s="9">
        <v>0</v>
      </c>
      <c r="BA378" s="9">
        <v>0</v>
      </c>
      <c r="BB378" s="9">
        <v>0</v>
      </c>
      <c r="BC378" s="9">
        <v>0</v>
      </c>
      <c r="BD378" s="9">
        <v>0</v>
      </c>
      <c r="BE378" s="9">
        <v>0</v>
      </c>
      <c r="BF378" s="9">
        <v>0</v>
      </c>
      <c r="BG378" s="9">
        <v>0</v>
      </c>
      <c r="BH378" s="9">
        <v>0</v>
      </c>
      <c r="BI378" s="9">
        <v>0</v>
      </c>
      <c r="BJ378" s="9">
        <v>0</v>
      </c>
      <c r="BK378" s="9">
        <v>0</v>
      </c>
      <c r="BL378" s="9">
        <v>0</v>
      </c>
      <c r="BM378" s="9">
        <v>0</v>
      </c>
      <c r="BN378" s="9">
        <v>0</v>
      </c>
      <c r="BO378" s="9">
        <v>0</v>
      </c>
      <c r="BP378" s="10">
        <v>0</v>
      </c>
      <c r="BQ378">
        <v>0</v>
      </c>
      <c r="BR378">
        <v>0</v>
      </c>
    </row>
    <row r="379" spans="1:70" x14ac:dyDescent="0.35">
      <c r="A379" s="8" t="s">
        <v>413</v>
      </c>
      <c r="B379" s="9" t="s">
        <v>1131</v>
      </c>
      <c r="C379" s="10" t="s">
        <v>1132</v>
      </c>
      <c r="D379" s="34">
        <f t="shared" si="7"/>
        <v>0</v>
      </c>
      <c r="E379" s="9">
        <v>0</v>
      </c>
      <c r="F379" s="9">
        <v>0</v>
      </c>
      <c r="G379" s="9">
        <v>0</v>
      </c>
      <c r="H379" s="9">
        <v>0</v>
      </c>
      <c r="I379" s="9">
        <v>0</v>
      </c>
      <c r="J379" s="9">
        <v>0</v>
      </c>
      <c r="K379" s="9">
        <v>0</v>
      </c>
      <c r="L379" s="9">
        <v>0</v>
      </c>
      <c r="M379" s="9">
        <v>0</v>
      </c>
      <c r="N379" s="9">
        <v>0</v>
      </c>
      <c r="O379" s="9">
        <v>0</v>
      </c>
      <c r="P379" s="9">
        <v>0</v>
      </c>
      <c r="Q379" s="9">
        <v>0</v>
      </c>
      <c r="R379" s="9">
        <v>0</v>
      </c>
      <c r="S379" s="9">
        <v>0</v>
      </c>
      <c r="T379" s="9">
        <v>0</v>
      </c>
      <c r="U379" s="9">
        <v>0</v>
      </c>
      <c r="V379" s="9">
        <v>0</v>
      </c>
      <c r="W379" s="9">
        <v>0</v>
      </c>
      <c r="X379" s="9">
        <v>0</v>
      </c>
      <c r="Y379" s="9">
        <v>0</v>
      </c>
      <c r="Z379" s="9">
        <v>0</v>
      </c>
      <c r="AA379" s="9">
        <v>0</v>
      </c>
      <c r="AB379" s="9">
        <v>0</v>
      </c>
      <c r="AC379" s="9">
        <v>0</v>
      </c>
      <c r="AD379" s="9">
        <v>0</v>
      </c>
      <c r="AE379" s="9">
        <v>0</v>
      </c>
      <c r="AF379" s="9">
        <v>0</v>
      </c>
      <c r="AG379" s="9">
        <v>0</v>
      </c>
      <c r="AH379" s="9">
        <v>0</v>
      </c>
      <c r="AI379" s="9">
        <v>0</v>
      </c>
      <c r="AJ379" s="9">
        <v>0</v>
      </c>
      <c r="AK379" s="9">
        <v>0</v>
      </c>
      <c r="AL379" s="9">
        <v>0</v>
      </c>
      <c r="AM379" s="9">
        <v>0</v>
      </c>
      <c r="AN379" s="9">
        <v>0</v>
      </c>
      <c r="AO379" s="9">
        <v>0</v>
      </c>
      <c r="AP379" s="9">
        <v>0</v>
      </c>
      <c r="AQ379" s="9">
        <v>0</v>
      </c>
      <c r="AR379" s="9">
        <v>0</v>
      </c>
      <c r="AS379" s="9">
        <v>0</v>
      </c>
      <c r="AT379" s="9">
        <v>0</v>
      </c>
      <c r="AU379" s="9">
        <v>0</v>
      </c>
      <c r="AV379" s="9">
        <v>0</v>
      </c>
      <c r="AW379" s="9">
        <v>0</v>
      </c>
      <c r="AX379" s="9">
        <v>0</v>
      </c>
      <c r="AY379" s="9">
        <v>0</v>
      </c>
      <c r="AZ379" s="9">
        <v>0</v>
      </c>
      <c r="BA379" s="9">
        <v>0</v>
      </c>
      <c r="BB379" s="9">
        <v>0</v>
      </c>
      <c r="BC379" s="9">
        <v>0</v>
      </c>
      <c r="BD379" s="9">
        <v>0</v>
      </c>
      <c r="BE379" s="9">
        <v>0</v>
      </c>
      <c r="BF379" s="9">
        <v>0</v>
      </c>
      <c r="BG379" s="9">
        <v>0</v>
      </c>
      <c r="BH379" s="9">
        <v>0</v>
      </c>
      <c r="BI379" s="9">
        <v>0</v>
      </c>
      <c r="BJ379" s="9">
        <v>0</v>
      </c>
      <c r="BK379" s="9">
        <v>0</v>
      </c>
      <c r="BL379" s="9">
        <v>0</v>
      </c>
      <c r="BM379" s="9">
        <v>0</v>
      </c>
      <c r="BN379" s="9">
        <v>0</v>
      </c>
      <c r="BO379" s="9">
        <v>0</v>
      </c>
      <c r="BP379" s="10">
        <v>0</v>
      </c>
      <c r="BQ379">
        <v>0</v>
      </c>
      <c r="BR379">
        <v>0</v>
      </c>
    </row>
    <row r="380" spans="1:70" x14ac:dyDescent="0.35">
      <c r="A380" s="8" t="s">
        <v>413</v>
      </c>
      <c r="B380" s="9" t="s">
        <v>1133</v>
      </c>
      <c r="C380" s="10" t="s">
        <v>1134</v>
      </c>
      <c r="D380" s="34">
        <f t="shared" si="7"/>
        <v>0</v>
      </c>
      <c r="E380" s="9">
        <v>0</v>
      </c>
      <c r="F380" s="9">
        <v>0</v>
      </c>
      <c r="G380" s="9">
        <v>0</v>
      </c>
      <c r="H380" s="9">
        <v>0</v>
      </c>
      <c r="I380" s="9">
        <v>0</v>
      </c>
      <c r="J380" s="9">
        <v>0</v>
      </c>
      <c r="K380" s="9">
        <v>0</v>
      </c>
      <c r="L380" s="9">
        <v>0</v>
      </c>
      <c r="M380" s="9">
        <v>0</v>
      </c>
      <c r="N380" s="9">
        <v>0</v>
      </c>
      <c r="O380" s="9">
        <v>0</v>
      </c>
      <c r="P380" s="9">
        <v>0</v>
      </c>
      <c r="Q380" s="9">
        <v>0</v>
      </c>
      <c r="R380" s="9">
        <v>0</v>
      </c>
      <c r="S380" s="9">
        <v>0</v>
      </c>
      <c r="T380" s="9">
        <v>0</v>
      </c>
      <c r="U380" s="9">
        <v>0</v>
      </c>
      <c r="V380" s="9">
        <v>0</v>
      </c>
      <c r="W380" s="9">
        <v>0</v>
      </c>
      <c r="X380" s="9">
        <v>0</v>
      </c>
      <c r="Y380" s="9">
        <v>0</v>
      </c>
      <c r="Z380" s="9">
        <v>0</v>
      </c>
      <c r="AA380" s="9">
        <v>0</v>
      </c>
      <c r="AB380" s="9">
        <v>0</v>
      </c>
      <c r="AC380" s="9">
        <v>0</v>
      </c>
      <c r="AD380" s="9">
        <v>0</v>
      </c>
      <c r="AE380" s="9">
        <v>0</v>
      </c>
      <c r="AF380" s="9">
        <v>0</v>
      </c>
      <c r="AG380" s="9">
        <v>0</v>
      </c>
      <c r="AH380" s="9">
        <v>0</v>
      </c>
      <c r="AI380" s="9">
        <v>0</v>
      </c>
      <c r="AJ380" s="9">
        <v>0</v>
      </c>
      <c r="AK380" s="9">
        <v>0</v>
      </c>
      <c r="AL380" s="9">
        <v>0</v>
      </c>
      <c r="AM380" s="9">
        <v>0</v>
      </c>
      <c r="AN380" s="9">
        <v>0</v>
      </c>
      <c r="AO380" s="9">
        <v>0</v>
      </c>
      <c r="AP380" s="9">
        <v>0</v>
      </c>
      <c r="AQ380" s="9">
        <v>0</v>
      </c>
      <c r="AR380" s="9">
        <v>0</v>
      </c>
      <c r="AS380" s="9">
        <v>0</v>
      </c>
      <c r="AT380" s="9">
        <v>0</v>
      </c>
      <c r="AU380" s="9">
        <v>0</v>
      </c>
      <c r="AV380" s="9">
        <v>0</v>
      </c>
      <c r="AW380" s="9">
        <v>0</v>
      </c>
      <c r="AX380" s="9">
        <v>0</v>
      </c>
      <c r="AY380" s="9">
        <v>0</v>
      </c>
      <c r="AZ380" s="9">
        <v>0</v>
      </c>
      <c r="BA380" s="9">
        <v>0</v>
      </c>
      <c r="BB380" s="9">
        <v>0</v>
      </c>
      <c r="BC380" s="9">
        <v>0</v>
      </c>
      <c r="BD380" s="9">
        <v>0</v>
      </c>
      <c r="BE380" s="9">
        <v>0</v>
      </c>
      <c r="BF380" s="9">
        <v>0</v>
      </c>
      <c r="BG380" s="9">
        <v>0</v>
      </c>
      <c r="BH380" s="9">
        <v>0</v>
      </c>
      <c r="BI380" s="9">
        <v>0</v>
      </c>
      <c r="BJ380" s="9">
        <v>0</v>
      </c>
      <c r="BK380" s="9">
        <v>0</v>
      </c>
      <c r="BL380" s="9">
        <v>0</v>
      </c>
      <c r="BM380" s="9">
        <v>0</v>
      </c>
      <c r="BN380" s="9">
        <v>0</v>
      </c>
      <c r="BO380" s="9">
        <v>0</v>
      </c>
      <c r="BP380" s="10">
        <v>0</v>
      </c>
      <c r="BQ380">
        <v>0</v>
      </c>
      <c r="BR380">
        <v>0</v>
      </c>
    </row>
    <row r="381" spans="1:70" x14ac:dyDescent="0.35">
      <c r="A381" s="8" t="s">
        <v>413</v>
      </c>
      <c r="B381" s="9" t="s">
        <v>1135</v>
      </c>
      <c r="C381" s="10" t="s">
        <v>1136</v>
      </c>
      <c r="D381" s="34">
        <f t="shared" si="7"/>
        <v>0</v>
      </c>
      <c r="E381" s="9">
        <v>0</v>
      </c>
      <c r="F381" s="9">
        <v>0</v>
      </c>
      <c r="G381" s="9">
        <v>0</v>
      </c>
      <c r="H381" s="9">
        <v>0</v>
      </c>
      <c r="I381" s="9">
        <v>0</v>
      </c>
      <c r="J381" s="9">
        <v>0</v>
      </c>
      <c r="K381" s="9">
        <v>0</v>
      </c>
      <c r="L381" s="9">
        <v>0</v>
      </c>
      <c r="M381" s="9">
        <v>0</v>
      </c>
      <c r="N381" s="9">
        <v>0</v>
      </c>
      <c r="O381" s="9">
        <v>0</v>
      </c>
      <c r="P381" s="9">
        <v>0</v>
      </c>
      <c r="Q381" s="9">
        <v>0</v>
      </c>
      <c r="R381" s="9">
        <v>0</v>
      </c>
      <c r="S381" s="9">
        <v>0</v>
      </c>
      <c r="T381" s="9">
        <v>0</v>
      </c>
      <c r="U381" s="9">
        <v>0</v>
      </c>
      <c r="V381" s="9">
        <v>0</v>
      </c>
      <c r="W381" s="9">
        <v>0</v>
      </c>
      <c r="X381" s="9">
        <v>0</v>
      </c>
      <c r="Y381" s="9">
        <v>0</v>
      </c>
      <c r="Z381" s="9">
        <v>0</v>
      </c>
      <c r="AA381" s="9">
        <v>0</v>
      </c>
      <c r="AB381" s="9">
        <v>0</v>
      </c>
      <c r="AC381" s="9">
        <v>0</v>
      </c>
      <c r="AD381" s="9">
        <v>0</v>
      </c>
      <c r="AE381" s="9">
        <v>0</v>
      </c>
      <c r="AF381" s="9">
        <v>0</v>
      </c>
      <c r="AG381" s="9">
        <v>0</v>
      </c>
      <c r="AH381" s="9">
        <v>0</v>
      </c>
      <c r="AI381" s="9">
        <v>0</v>
      </c>
      <c r="AJ381" s="9">
        <v>0</v>
      </c>
      <c r="AK381" s="9">
        <v>0</v>
      </c>
      <c r="AL381" s="9">
        <v>0</v>
      </c>
      <c r="AM381" s="9">
        <v>0</v>
      </c>
      <c r="AN381" s="9">
        <v>0</v>
      </c>
      <c r="AO381" s="9">
        <v>0</v>
      </c>
      <c r="AP381" s="9">
        <v>0</v>
      </c>
      <c r="AQ381" s="9">
        <v>0</v>
      </c>
      <c r="AR381" s="9">
        <v>0</v>
      </c>
      <c r="AS381" s="9">
        <v>0</v>
      </c>
      <c r="AT381" s="9">
        <v>0</v>
      </c>
      <c r="AU381" s="9">
        <v>0</v>
      </c>
      <c r="AV381" s="9">
        <v>0</v>
      </c>
      <c r="AW381" s="9">
        <v>0</v>
      </c>
      <c r="AX381" s="9">
        <v>0</v>
      </c>
      <c r="AY381" s="9">
        <v>0</v>
      </c>
      <c r="AZ381" s="9">
        <v>0</v>
      </c>
      <c r="BA381" s="9">
        <v>0</v>
      </c>
      <c r="BB381" s="9">
        <v>0</v>
      </c>
      <c r="BC381" s="9">
        <v>0</v>
      </c>
      <c r="BD381" s="9">
        <v>0</v>
      </c>
      <c r="BE381" s="9">
        <v>0</v>
      </c>
      <c r="BF381" s="9">
        <v>0</v>
      </c>
      <c r="BG381" s="9">
        <v>0</v>
      </c>
      <c r="BH381" s="9">
        <v>0</v>
      </c>
      <c r="BI381" s="9">
        <v>0</v>
      </c>
      <c r="BJ381" s="9">
        <v>0</v>
      </c>
      <c r="BK381" s="9">
        <v>0</v>
      </c>
      <c r="BL381" s="9">
        <v>0</v>
      </c>
      <c r="BM381" s="9">
        <v>0</v>
      </c>
      <c r="BN381" s="9">
        <v>0</v>
      </c>
      <c r="BO381" s="9">
        <v>0</v>
      </c>
      <c r="BP381" s="10">
        <v>0</v>
      </c>
      <c r="BQ381">
        <v>0</v>
      </c>
      <c r="BR381">
        <v>0</v>
      </c>
    </row>
    <row r="382" spans="1:70" x14ac:dyDescent="0.35">
      <c r="A382" s="8" t="s">
        <v>413</v>
      </c>
      <c r="B382" s="9" t="s">
        <v>1137</v>
      </c>
      <c r="C382" s="10" t="s">
        <v>1138</v>
      </c>
      <c r="D382" s="34">
        <f t="shared" si="7"/>
        <v>0</v>
      </c>
      <c r="E382" s="9">
        <v>0</v>
      </c>
      <c r="F382" s="9">
        <v>0</v>
      </c>
      <c r="G382" s="9">
        <v>0</v>
      </c>
      <c r="H382" s="9">
        <v>0</v>
      </c>
      <c r="I382" s="9">
        <v>0</v>
      </c>
      <c r="J382" s="9">
        <v>0</v>
      </c>
      <c r="K382" s="9">
        <v>0</v>
      </c>
      <c r="L382" s="9">
        <v>0</v>
      </c>
      <c r="M382" s="9">
        <v>0</v>
      </c>
      <c r="N382" s="9">
        <v>0</v>
      </c>
      <c r="O382" s="9">
        <v>0</v>
      </c>
      <c r="P382" s="9">
        <v>0</v>
      </c>
      <c r="Q382" s="9">
        <v>0</v>
      </c>
      <c r="R382" s="9">
        <v>0</v>
      </c>
      <c r="S382" s="9">
        <v>0</v>
      </c>
      <c r="T382" s="9">
        <v>0</v>
      </c>
      <c r="U382" s="9">
        <v>0</v>
      </c>
      <c r="V382" s="9">
        <v>0</v>
      </c>
      <c r="W382" s="9">
        <v>0</v>
      </c>
      <c r="X382" s="9">
        <v>0</v>
      </c>
      <c r="Y382" s="9">
        <v>0</v>
      </c>
      <c r="Z382" s="9">
        <v>0</v>
      </c>
      <c r="AA382" s="9">
        <v>0</v>
      </c>
      <c r="AB382" s="9">
        <v>0</v>
      </c>
      <c r="AC382" s="9">
        <v>0</v>
      </c>
      <c r="AD382" s="9">
        <v>0</v>
      </c>
      <c r="AE382" s="9">
        <v>0</v>
      </c>
      <c r="AF382" s="9">
        <v>0</v>
      </c>
      <c r="AG382" s="9">
        <v>0</v>
      </c>
      <c r="AH382" s="9">
        <v>0</v>
      </c>
      <c r="AI382" s="9">
        <v>0</v>
      </c>
      <c r="AJ382" s="9">
        <v>0</v>
      </c>
      <c r="AK382" s="9">
        <v>0</v>
      </c>
      <c r="AL382" s="9">
        <v>0</v>
      </c>
      <c r="AM382" s="9">
        <v>0</v>
      </c>
      <c r="AN382" s="9">
        <v>0</v>
      </c>
      <c r="AO382" s="9">
        <v>0</v>
      </c>
      <c r="AP382" s="9">
        <v>0</v>
      </c>
      <c r="AQ382" s="9">
        <v>0</v>
      </c>
      <c r="AR382" s="9">
        <v>0</v>
      </c>
      <c r="AS382" s="9">
        <v>0</v>
      </c>
      <c r="AT382" s="9">
        <v>0</v>
      </c>
      <c r="AU382" s="9">
        <v>0</v>
      </c>
      <c r="AV382" s="9">
        <v>0</v>
      </c>
      <c r="AW382" s="9">
        <v>0</v>
      </c>
      <c r="AX382" s="9">
        <v>0</v>
      </c>
      <c r="AY382" s="9">
        <v>0</v>
      </c>
      <c r="AZ382" s="9">
        <v>0</v>
      </c>
      <c r="BA382" s="9">
        <v>0</v>
      </c>
      <c r="BB382" s="9">
        <v>0</v>
      </c>
      <c r="BC382" s="9">
        <v>0</v>
      </c>
      <c r="BD382" s="9">
        <v>0</v>
      </c>
      <c r="BE382" s="9">
        <v>0</v>
      </c>
      <c r="BF382" s="9">
        <v>0</v>
      </c>
      <c r="BG382" s="9">
        <v>0</v>
      </c>
      <c r="BH382" s="9">
        <v>0</v>
      </c>
      <c r="BI382" s="9">
        <v>0</v>
      </c>
      <c r="BJ382" s="9">
        <v>0</v>
      </c>
      <c r="BK382" s="9">
        <v>0</v>
      </c>
      <c r="BL382" s="9">
        <v>0</v>
      </c>
      <c r="BM382" s="9">
        <v>0</v>
      </c>
      <c r="BN382" s="9">
        <v>0</v>
      </c>
      <c r="BO382" s="9">
        <v>0</v>
      </c>
      <c r="BP382" s="10">
        <v>0</v>
      </c>
      <c r="BQ382">
        <v>0</v>
      </c>
      <c r="BR382">
        <v>0</v>
      </c>
    </row>
    <row r="383" spans="1:70" x14ac:dyDescent="0.35">
      <c r="A383" s="8" t="s">
        <v>413</v>
      </c>
      <c r="B383" s="9" t="s">
        <v>1139</v>
      </c>
      <c r="C383" s="10" t="s">
        <v>1140</v>
      </c>
      <c r="D383" s="34">
        <f t="shared" si="7"/>
        <v>0</v>
      </c>
      <c r="E383" s="9">
        <v>0</v>
      </c>
      <c r="F383" s="9">
        <v>0</v>
      </c>
      <c r="G383" s="9">
        <v>0</v>
      </c>
      <c r="H383" s="9">
        <v>0</v>
      </c>
      <c r="I383" s="9">
        <v>0</v>
      </c>
      <c r="J383" s="9">
        <v>0</v>
      </c>
      <c r="K383" s="9">
        <v>0</v>
      </c>
      <c r="L383" s="9">
        <v>0</v>
      </c>
      <c r="M383" s="9">
        <v>0</v>
      </c>
      <c r="N383" s="9">
        <v>0</v>
      </c>
      <c r="O383" s="9">
        <v>0</v>
      </c>
      <c r="P383" s="9">
        <v>0</v>
      </c>
      <c r="Q383" s="9">
        <v>0</v>
      </c>
      <c r="R383" s="9">
        <v>0</v>
      </c>
      <c r="S383" s="9">
        <v>0</v>
      </c>
      <c r="T383" s="9">
        <v>0</v>
      </c>
      <c r="U383" s="9">
        <v>0</v>
      </c>
      <c r="V383" s="9">
        <v>0</v>
      </c>
      <c r="W383" s="9">
        <v>0</v>
      </c>
      <c r="X383" s="9">
        <v>0</v>
      </c>
      <c r="Y383" s="9">
        <v>0</v>
      </c>
      <c r="Z383" s="9">
        <v>0</v>
      </c>
      <c r="AA383" s="9">
        <v>0</v>
      </c>
      <c r="AB383" s="9">
        <v>0</v>
      </c>
      <c r="AC383" s="9">
        <v>0</v>
      </c>
      <c r="AD383" s="9">
        <v>0</v>
      </c>
      <c r="AE383" s="9">
        <v>0</v>
      </c>
      <c r="AF383" s="9">
        <v>0</v>
      </c>
      <c r="AG383" s="9">
        <v>0</v>
      </c>
      <c r="AH383" s="9">
        <v>0</v>
      </c>
      <c r="AI383" s="9">
        <v>0</v>
      </c>
      <c r="AJ383" s="9">
        <v>0</v>
      </c>
      <c r="AK383" s="9">
        <v>0</v>
      </c>
      <c r="AL383" s="9">
        <v>0</v>
      </c>
      <c r="AM383" s="9">
        <v>0</v>
      </c>
      <c r="AN383" s="9">
        <v>0</v>
      </c>
      <c r="AO383" s="9">
        <v>0</v>
      </c>
      <c r="AP383" s="9">
        <v>0</v>
      </c>
      <c r="AQ383" s="9">
        <v>0</v>
      </c>
      <c r="AR383" s="9">
        <v>0</v>
      </c>
      <c r="AS383" s="9">
        <v>0</v>
      </c>
      <c r="AT383" s="9">
        <v>0</v>
      </c>
      <c r="AU383" s="9">
        <v>0</v>
      </c>
      <c r="AV383" s="9">
        <v>0</v>
      </c>
      <c r="AW383" s="9">
        <v>0</v>
      </c>
      <c r="AX383" s="9">
        <v>0</v>
      </c>
      <c r="AY383" s="9">
        <v>0</v>
      </c>
      <c r="AZ383" s="9">
        <v>0</v>
      </c>
      <c r="BA383" s="9">
        <v>0</v>
      </c>
      <c r="BB383" s="9">
        <v>0</v>
      </c>
      <c r="BC383" s="9">
        <v>0</v>
      </c>
      <c r="BD383" s="9">
        <v>0</v>
      </c>
      <c r="BE383" s="9">
        <v>0</v>
      </c>
      <c r="BF383" s="9">
        <v>0</v>
      </c>
      <c r="BG383" s="9">
        <v>0</v>
      </c>
      <c r="BH383" s="9">
        <v>0</v>
      </c>
      <c r="BI383" s="9">
        <v>0</v>
      </c>
      <c r="BJ383" s="9">
        <v>0</v>
      </c>
      <c r="BK383" s="9">
        <v>0</v>
      </c>
      <c r="BL383" s="9">
        <v>0</v>
      </c>
      <c r="BM383" s="9">
        <v>0</v>
      </c>
      <c r="BN383" s="9">
        <v>0</v>
      </c>
      <c r="BO383" s="9">
        <v>0</v>
      </c>
      <c r="BP383" s="10">
        <v>0</v>
      </c>
      <c r="BQ383">
        <v>0</v>
      </c>
      <c r="BR383">
        <v>0</v>
      </c>
    </row>
    <row r="384" spans="1:70" x14ac:dyDescent="0.35">
      <c r="A384" s="8" t="s">
        <v>413</v>
      </c>
      <c r="B384" s="9" t="s">
        <v>1141</v>
      </c>
      <c r="C384" s="10" t="s">
        <v>1142</v>
      </c>
      <c r="D384" s="34">
        <f t="shared" si="7"/>
        <v>0</v>
      </c>
      <c r="E384" s="9">
        <v>0</v>
      </c>
      <c r="F384" s="9">
        <v>0</v>
      </c>
      <c r="G384" s="9">
        <v>0</v>
      </c>
      <c r="H384" s="9">
        <v>0</v>
      </c>
      <c r="I384" s="9">
        <v>0</v>
      </c>
      <c r="J384" s="9">
        <v>0</v>
      </c>
      <c r="K384" s="9">
        <v>0</v>
      </c>
      <c r="L384" s="9">
        <v>0</v>
      </c>
      <c r="M384" s="9">
        <v>0</v>
      </c>
      <c r="N384" s="9">
        <v>0</v>
      </c>
      <c r="O384" s="9">
        <v>0</v>
      </c>
      <c r="P384" s="9">
        <v>0</v>
      </c>
      <c r="Q384" s="9">
        <v>0</v>
      </c>
      <c r="R384" s="9">
        <v>0</v>
      </c>
      <c r="S384" s="9">
        <v>0</v>
      </c>
      <c r="T384" s="9">
        <v>0</v>
      </c>
      <c r="U384" s="9">
        <v>0</v>
      </c>
      <c r="V384" s="9">
        <v>0</v>
      </c>
      <c r="W384" s="9">
        <v>0</v>
      </c>
      <c r="X384" s="9">
        <v>0</v>
      </c>
      <c r="Y384" s="9">
        <v>0</v>
      </c>
      <c r="Z384" s="9">
        <v>0</v>
      </c>
      <c r="AA384" s="9">
        <v>0</v>
      </c>
      <c r="AB384" s="9">
        <v>0</v>
      </c>
      <c r="AC384" s="9">
        <v>0</v>
      </c>
      <c r="AD384" s="9">
        <v>0</v>
      </c>
      <c r="AE384" s="9">
        <v>0</v>
      </c>
      <c r="AF384" s="9">
        <v>0</v>
      </c>
      <c r="AG384" s="9">
        <v>0</v>
      </c>
      <c r="AH384" s="9">
        <v>0</v>
      </c>
      <c r="AI384" s="9">
        <v>0</v>
      </c>
      <c r="AJ384" s="9">
        <v>0</v>
      </c>
      <c r="AK384" s="9">
        <v>0</v>
      </c>
      <c r="AL384" s="9">
        <v>0</v>
      </c>
      <c r="AM384" s="9">
        <v>0</v>
      </c>
      <c r="AN384" s="9">
        <v>0</v>
      </c>
      <c r="AO384" s="9">
        <v>0</v>
      </c>
      <c r="AP384" s="9">
        <v>0</v>
      </c>
      <c r="AQ384" s="9">
        <v>0</v>
      </c>
      <c r="AR384" s="9">
        <v>0</v>
      </c>
      <c r="AS384" s="9">
        <v>0</v>
      </c>
      <c r="AT384" s="9">
        <v>0</v>
      </c>
      <c r="AU384" s="9">
        <v>0</v>
      </c>
      <c r="AV384" s="9">
        <v>0</v>
      </c>
      <c r="AW384" s="9">
        <v>0</v>
      </c>
      <c r="AX384" s="9">
        <v>0</v>
      </c>
      <c r="AY384" s="9">
        <v>0</v>
      </c>
      <c r="AZ384" s="9">
        <v>0</v>
      </c>
      <c r="BA384" s="9">
        <v>0</v>
      </c>
      <c r="BB384" s="9">
        <v>0</v>
      </c>
      <c r="BC384" s="9">
        <v>0</v>
      </c>
      <c r="BD384" s="9">
        <v>0</v>
      </c>
      <c r="BE384" s="9">
        <v>0</v>
      </c>
      <c r="BF384" s="9">
        <v>0</v>
      </c>
      <c r="BG384" s="9">
        <v>0</v>
      </c>
      <c r="BH384" s="9">
        <v>0</v>
      </c>
      <c r="BI384" s="9">
        <v>0</v>
      </c>
      <c r="BJ384" s="9">
        <v>0</v>
      </c>
      <c r="BK384" s="9">
        <v>0</v>
      </c>
      <c r="BL384" s="9">
        <v>0</v>
      </c>
      <c r="BM384" s="9">
        <v>0</v>
      </c>
      <c r="BN384" s="9">
        <v>0</v>
      </c>
      <c r="BO384" s="9">
        <v>0</v>
      </c>
      <c r="BP384" s="10">
        <v>0</v>
      </c>
      <c r="BQ384">
        <v>0</v>
      </c>
      <c r="BR384">
        <v>0</v>
      </c>
    </row>
    <row r="385" spans="1:70" x14ac:dyDescent="0.35">
      <c r="A385" s="8" t="s">
        <v>413</v>
      </c>
      <c r="B385" s="9" t="s">
        <v>1143</v>
      </c>
      <c r="C385" s="10" t="s">
        <v>1144</v>
      </c>
      <c r="D385" s="34">
        <f t="shared" si="7"/>
        <v>0</v>
      </c>
      <c r="E385" s="9">
        <v>0</v>
      </c>
      <c r="F385" s="9">
        <v>0</v>
      </c>
      <c r="G385" s="9">
        <v>0</v>
      </c>
      <c r="H385" s="9">
        <v>0</v>
      </c>
      <c r="I385" s="9">
        <v>0</v>
      </c>
      <c r="J385" s="9">
        <v>0</v>
      </c>
      <c r="K385" s="9">
        <v>0</v>
      </c>
      <c r="L385" s="9">
        <v>0</v>
      </c>
      <c r="M385" s="9">
        <v>0</v>
      </c>
      <c r="N385" s="9">
        <v>0</v>
      </c>
      <c r="O385" s="9">
        <v>0</v>
      </c>
      <c r="P385" s="9">
        <v>0</v>
      </c>
      <c r="Q385" s="9">
        <v>0</v>
      </c>
      <c r="R385" s="9">
        <v>0</v>
      </c>
      <c r="S385" s="9">
        <v>0</v>
      </c>
      <c r="T385" s="9">
        <v>0</v>
      </c>
      <c r="U385" s="9">
        <v>0</v>
      </c>
      <c r="V385" s="9">
        <v>0</v>
      </c>
      <c r="W385" s="9">
        <v>0</v>
      </c>
      <c r="X385" s="9">
        <v>0</v>
      </c>
      <c r="Y385" s="9">
        <v>0</v>
      </c>
      <c r="Z385" s="9">
        <v>0</v>
      </c>
      <c r="AA385" s="9">
        <v>0</v>
      </c>
      <c r="AB385" s="9">
        <v>0</v>
      </c>
      <c r="AC385" s="9">
        <v>0</v>
      </c>
      <c r="AD385" s="9">
        <v>0</v>
      </c>
      <c r="AE385" s="9">
        <v>0</v>
      </c>
      <c r="AF385" s="9">
        <v>0</v>
      </c>
      <c r="AG385" s="9">
        <v>0</v>
      </c>
      <c r="AH385" s="9">
        <v>0</v>
      </c>
      <c r="AI385" s="9">
        <v>0</v>
      </c>
      <c r="AJ385" s="9">
        <v>0</v>
      </c>
      <c r="AK385" s="9">
        <v>0</v>
      </c>
      <c r="AL385" s="9">
        <v>0</v>
      </c>
      <c r="AM385" s="9">
        <v>0</v>
      </c>
      <c r="AN385" s="9">
        <v>0</v>
      </c>
      <c r="AO385" s="9">
        <v>0</v>
      </c>
      <c r="AP385" s="9">
        <v>0</v>
      </c>
      <c r="AQ385" s="9">
        <v>0</v>
      </c>
      <c r="AR385" s="9">
        <v>0</v>
      </c>
      <c r="AS385" s="9">
        <v>0</v>
      </c>
      <c r="AT385" s="9">
        <v>0</v>
      </c>
      <c r="AU385" s="9">
        <v>0</v>
      </c>
      <c r="AV385" s="9">
        <v>0</v>
      </c>
      <c r="AW385" s="9">
        <v>0</v>
      </c>
      <c r="AX385" s="9">
        <v>0</v>
      </c>
      <c r="AY385" s="9">
        <v>0</v>
      </c>
      <c r="AZ385" s="9">
        <v>0</v>
      </c>
      <c r="BA385" s="9">
        <v>0</v>
      </c>
      <c r="BB385" s="9">
        <v>0</v>
      </c>
      <c r="BC385" s="9">
        <v>0</v>
      </c>
      <c r="BD385" s="9">
        <v>0</v>
      </c>
      <c r="BE385" s="9">
        <v>0</v>
      </c>
      <c r="BF385" s="9">
        <v>0</v>
      </c>
      <c r="BG385" s="9">
        <v>0</v>
      </c>
      <c r="BH385" s="9">
        <v>0</v>
      </c>
      <c r="BI385" s="9">
        <v>0</v>
      </c>
      <c r="BJ385" s="9">
        <v>0</v>
      </c>
      <c r="BK385" s="9">
        <v>0</v>
      </c>
      <c r="BL385" s="9">
        <v>0</v>
      </c>
      <c r="BM385" s="9">
        <v>0</v>
      </c>
      <c r="BN385" s="9">
        <v>0</v>
      </c>
      <c r="BO385" s="9">
        <v>0</v>
      </c>
      <c r="BP385" s="10">
        <v>0</v>
      </c>
      <c r="BQ385">
        <v>0</v>
      </c>
      <c r="BR385">
        <v>0</v>
      </c>
    </row>
    <row r="386" spans="1:70" x14ac:dyDescent="0.35">
      <c r="A386" s="8" t="s">
        <v>413</v>
      </c>
      <c r="B386" s="9" t="s">
        <v>1145</v>
      </c>
      <c r="C386" s="10" t="s">
        <v>1146</v>
      </c>
      <c r="D386" s="34">
        <f t="shared" si="7"/>
        <v>2</v>
      </c>
      <c r="E386" s="9">
        <v>0</v>
      </c>
      <c r="F386" s="9">
        <v>0</v>
      </c>
      <c r="G386" s="9">
        <v>0</v>
      </c>
      <c r="H386" s="9">
        <v>0</v>
      </c>
      <c r="I386" s="9">
        <v>0</v>
      </c>
      <c r="J386" s="9">
        <v>0</v>
      </c>
      <c r="K386" s="9">
        <v>0</v>
      </c>
      <c r="L386" s="9">
        <v>0</v>
      </c>
      <c r="M386" s="9">
        <v>0</v>
      </c>
      <c r="N386" s="9">
        <v>0</v>
      </c>
      <c r="O386" s="9">
        <v>0</v>
      </c>
      <c r="P386" s="9">
        <v>0</v>
      </c>
      <c r="Q386" s="9">
        <v>0</v>
      </c>
      <c r="R386" s="9">
        <v>0</v>
      </c>
      <c r="S386" s="9">
        <v>2</v>
      </c>
      <c r="T386" s="9">
        <v>2</v>
      </c>
      <c r="U386" s="9">
        <v>2</v>
      </c>
      <c r="V386" s="9">
        <v>2</v>
      </c>
      <c r="W386" s="9">
        <v>2</v>
      </c>
      <c r="X386" s="9">
        <v>2</v>
      </c>
      <c r="Y386" s="9">
        <v>2</v>
      </c>
      <c r="Z386" s="9">
        <v>2</v>
      </c>
      <c r="AA386" s="9">
        <v>2</v>
      </c>
      <c r="AB386" s="9">
        <v>2</v>
      </c>
      <c r="AC386" s="9">
        <v>2</v>
      </c>
      <c r="AD386" s="9">
        <v>2</v>
      </c>
      <c r="AE386" s="9">
        <v>2</v>
      </c>
      <c r="AF386" s="9">
        <v>2</v>
      </c>
      <c r="AG386" s="9">
        <v>2</v>
      </c>
      <c r="AH386" s="9">
        <v>2</v>
      </c>
      <c r="AI386" s="9">
        <v>2</v>
      </c>
      <c r="AJ386" s="9">
        <v>2</v>
      </c>
      <c r="AK386" s="9">
        <v>2</v>
      </c>
      <c r="AL386" s="9">
        <v>2</v>
      </c>
      <c r="AM386" s="9">
        <v>2</v>
      </c>
      <c r="AN386" s="9">
        <v>2</v>
      </c>
      <c r="AO386" s="9">
        <v>2</v>
      </c>
      <c r="AP386" s="9">
        <v>2</v>
      </c>
      <c r="AQ386" s="9">
        <v>0</v>
      </c>
      <c r="AR386" s="9">
        <v>0</v>
      </c>
      <c r="AS386" s="9">
        <v>0</v>
      </c>
      <c r="AT386" s="9">
        <v>0</v>
      </c>
      <c r="AU386" s="9">
        <v>0</v>
      </c>
      <c r="AV386" s="9">
        <v>0</v>
      </c>
      <c r="AW386" s="9">
        <v>0</v>
      </c>
      <c r="AX386" s="9">
        <v>0</v>
      </c>
      <c r="AY386" s="9">
        <v>0</v>
      </c>
      <c r="AZ386" s="9">
        <v>0</v>
      </c>
      <c r="BA386" s="9">
        <v>0</v>
      </c>
      <c r="BB386" s="9">
        <v>0</v>
      </c>
      <c r="BC386" s="9">
        <v>0</v>
      </c>
      <c r="BD386" s="9">
        <v>0</v>
      </c>
      <c r="BE386" s="9">
        <v>0</v>
      </c>
      <c r="BF386" s="9">
        <v>0</v>
      </c>
      <c r="BG386" s="9">
        <v>0</v>
      </c>
      <c r="BH386" s="9">
        <v>0</v>
      </c>
      <c r="BI386" s="9">
        <v>0</v>
      </c>
      <c r="BJ386" s="9">
        <v>0</v>
      </c>
      <c r="BK386" s="9">
        <v>0</v>
      </c>
      <c r="BL386" s="9">
        <v>0</v>
      </c>
      <c r="BM386" s="9">
        <v>0</v>
      </c>
      <c r="BN386" s="9">
        <v>0</v>
      </c>
      <c r="BO386" s="9">
        <v>0</v>
      </c>
      <c r="BP386" s="10">
        <v>0</v>
      </c>
      <c r="BQ386">
        <v>0</v>
      </c>
      <c r="BR386">
        <v>0</v>
      </c>
    </row>
    <row r="387" spans="1:70" x14ac:dyDescent="0.35">
      <c r="A387" s="8" t="s">
        <v>413</v>
      </c>
      <c r="B387" s="9" t="s">
        <v>1147</v>
      </c>
      <c r="C387" s="10" t="s">
        <v>1148</v>
      </c>
      <c r="D387" s="34">
        <f t="shared" si="7"/>
        <v>0</v>
      </c>
      <c r="E387" s="9">
        <v>0</v>
      </c>
      <c r="F387" s="9">
        <v>0</v>
      </c>
      <c r="G387" s="9">
        <v>0</v>
      </c>
      <c r="H387" s="9">
        <v>0</v>
      </c>
      <c r="I387" s="9">
        <v>0</v>
      </c>
      <c r="J387" s="9">
        <v>0</v>
      </c>
      <c r="K387" s="9">
        <v>0</v>
      </c>
      <c r="L387" s="9">
        <v>0</v>
      </c>
      <c r="M387" s="9">
        <v>0</v>
      </c>
      <c r="N387" s="9">
        <v>0</v>
      </c>
      <c r="O387" s="9">
        <v>0</v>
      </c>
      <c r="P387" s="9">
        <v>0</v>
      </c>
      <c r="Q387" s="9">
        <v>0</v>
      </c>
      <c r="R387" s="9">
        <v>0</v>
      </c>
      <c r="S387" s="9">
        <v>0</v>
      </c>
      <c r="T387" s="9">
        <v>0</v>
      </c>
      <c r="U387" s="9">
        <v>0</v>
      </c>
      <c r="V387" s="9">
        <v>0</v>
      </c>
      <c r="W387" s="9">
        <v>0</v>
      </c>
      <c r="X387" s="9">
        <v>0</v>
      </c>
      <c r="Y387" s="9">
        <v>0</v>
      </c>
      <c r="Z387" s="9">
        <v>0</v>
      </c>
      <c r="AA387" s="9">
        <v>0</v>
      </c>
      <c r="AB387" s="9">
        <v>0</v>
      </c>
      <c r="AC387" s="9">
        <v>0</v>
      </c>
      <c r="AD387" s="9">
        <v>0</v>
      </c>
      <c r="AE387" s="9">
        <v>0</v>
      </c>
      <c r="AF387" s="9">
        <v>0</v>
      </c>
      <c r="AG387" s="9">
        <v>0</v>
      </c>
      <c r="AH387" s="9">
        <v>0</v>
      </c>
      <c r="AI387" s="9">
        <v>0</v>
      </c>
      <c r="AJ387" s="9">
        <v>0</v>
      </c>
      <c r="AK387" s="9">
        <v>0</v>
      </c>
      <c r="AL387" s="9">
        <v>0</v>
      </c>
      <c r="AM387" s="9">
        <v>0</v>
      </c>
      <c r="AN387" s="9">
        <v>0</v>
      </c>
      <c r="AO387" s="9">
        <v>0</v>
      </c>
      <c r="AP387" s="9">
        <v>0</v>
      </c>
      <c r="AQ387" s="9">
        <v>0</v>
      </c>
      <c r="AR387" s="9">
        <v>0</v>
      </c>
      <c r="AS387" s="9">
        <v>0</v>
      </c>
      <c r="AT387" s="9">
        <v>0</v>
      </c>
      <c r="AU387" s="9">
        <v>0</v>
      </c>
      <c r="AV387" s="9">
        <v>0</v>
      </c>
      <c r="AW387" s="9">
        <v>0</v>
      </c>
      <c r="AX387" s="9">
        <v>0</v>
      </c>
      <c r="AY387" s="9">
        <v>0</v>
      </c>
      <c r="AZ387" s="9">
        <v>0</v>
      </c>
      <c r="BA387" s="9">
        <v>0</v>
      </c>
      <c r="BB387" s="9">
        <v>0</v>
      </c>
      <c r="BC387" s="9">
        <v>0</v>
      </c>
      <c r="BD387" s="9">
        <v>0</v>
      </c>
      <c r="BE387" s="9">
        <v>0</v>
      </c>
      <c r="BF387" s="9">
        <v>0</v>
      </c>
      <c r="BG387" s="9">
        <v>0</v>
      </c>
      <c r="BH387" s="9">
        <v>0</v>
      </c>
      <c r="BI387" s="9">
        <v>0</v>
      </c>
      <c r="BJ387" s="9">
        <v>0</v>
      </c>
      <c r="BK387" s="9">
        <v>0</v>
      </c>
      <c r="BL387" s="9">
        <v>0</v>
      </c>
      <c r="BM387" s="9">
        <v>0</v>
      </c>
      <c r="BN387" s="9">
        <v>0</v>
      </c>
      <c r="BO387" s="9">
        <v>0</v>
      </c>
      <c r="BP387" s="10">
        <v>0</v>
      </c>
      <c r="BQ387">
        <v>0</v>
      </c>
      <c r="BR387">
        <v>0</v>
      </c>
    </row>
    <row r="388" spans="1:70" x14ac:dyDescent="0.35">
      <c r="A388" s="8" t="s">
        <v>413</v>
      </c>
      <c r="B388" s="9" t="s">
        <v>1149</v>
      </c>
      <c r="C388" s="10" t="s">
        <v>1150</v>
      </c>
      <c r="D388" s="34">
        <f t="shared" si="7"/>
        <v>0</v>
      </c>
      <c r="E388" s="9">
        <v>0</v>
      </c>
      <c r="F388" s="9">
        <v>0</v>
      </c>
      <c r="G388" s="9">
        <v>0</v>
      </c>
      <c r="H388" s="9">
        <v>0</v>
      </c>
      <c r="I388" s="9">
        <v>0</v>
      </c>
      <c r="J388" s="9">
        <v>0</v>
      </c>
      <c r="K388" s="9">
        <v>0</v>
      </c>
      <c r="L388" s="9">
        <v>0</v>
      </c>
      <c r="M388" s="9">
        <v>0</v>
      </c>
      <c r="N388" s="9">
        <v>0</v>
      </c>
      <c r="O388" s="9">
        <v>0</v>
      </c>
      <c r="P388" s="9">
        <v>0</v>
      </c>
      <c r="Q388" s="9">
        <v>0</v>
      </c>
      <c r="R388" s="9">
        <v>0</v>
      </c>
      <c r="S388" s="9">
        <v>0</v>
      </c>
      <c r="T388" s="9">
        <v>0</v>
      </c>
      <c r="U388" s="9">
        <v>0</v>
      </c>
      <c r="V388" s="9">
        <v>0</v>
      </c>
      <c r="W388" s="9">
        <v>0</v>
      </c>
      <c r="X388" s="9">
        <v>0</v>
      </c>
      <c r="Y388" s="9">
        <v>0</v>
      </c>
      <c r="Z388" s="9">
        <v>0</v>
      </c>
      <c r="AA388" s="9">
        <v>0</v>
      </c>
      <c r="AB388" s="9">
        <v>0</v>
      </c>
      <c r="AC388" s="9">
        <v>0</v>
      </c>
      <c r="AD388" s="9">
        <v>0</v>
      </c>
      <c r="AE388" s="9">
        <v>0</v>
      </c>
      <c r="AF388" s="9">
        <v>0</v>
      </c>
      <c r="AG388" s="9">
        <v>0</v>
      </c>
      <c r="AH388" s="9">
        <v>0</v>
      </c>
      <c r="AI388" s="9">
        <v>0</v>
      </c>
      <c r="AJ388" s="9">
        <v>0</v>
      </c>
      <c r="AK388" s="9">
        <v>0</v>
      </c>
      <c r="AL388" s="9">
        <v>0</v>
      </c>
      <c r="AM388" s="9">
        <v>0</v>
      </c>
      <c r="AN388" s="9">
        <v>0</v>
      </c>
      <c r="AO388" s="9">
        <v>0</v>
      </c>
      <c r="AP388" s="9">
        <v>0</v>
      </c>
      <c r="AQ388" s="9">
        <v>0</v>
      </c>
      <c r="AR388" s="9">
        <v>0</v>
      </c>
      <c r="AS388" s="9">
        <v>0</v>
      </c>
      <c r="AT388" s="9">
        <v>0</v>
      </c>
      <c r="AU388" s="9">
        <v>0</v>
      </c>
      <c r="AV388" s="9">
        <v>0</v>
      </c>
      <c r="AW388" s="9">
        <v>0</v>
      </c>
      <c r="AX388" s="9">
        <v>0</v>
      </c>
      <c r="AY388" s="9">
        <v>0</v>
      </c>
      <c r="AZ388" s="9">
        <v>0</v>
      </c>
      <c r="BA388" s="9">
        <v>0</v>
      </c>
      <c r="BB388" s="9">
        <v>0</v>
      </c>
      <c r="BC388" s="9">
        <v>0</v>
      </c>
      <c r="BD388" s="9">
        <v>0</v>
      </c>
      <c r="BE388" s="9">
        <v>0</v>
      </c>
      <c r="BF388" s="9">
        <v>0</v>
      </c>
      <c r="BG388" s="9">
        <v>0</v>
      </c>
      <c r="BH388" s="9">
        <v>0</v>
      </c>
      <c r="BI388" s="9">
        <v>0</v>
      </c>
      <c r="BJ388" s="9">
        <v>0</v>
      </c>
      <c r="BK388" s="9">
        <v>0</v>
      </c>
      <c r="BL388" s="9">
        <v>0</v>
      </c>
      <c r="BM388" s="9">
        <v>0</v>
      </c>
      <c r="BN388" s="9">
        <v>0</v>
      </c>
      <c r="BO388" s="9">
        <v>0</v>
      </c>
      <c r="BP388" s="10">
        <v>0</v>
      </c>
      <c r="BQ388">
        <v>0</v>
      </c>
      <c r="BR388">
        <v>0</v>
      </c>
    </row>
    <row r="389" spans="1:70" x14ac:dyDescent="0.35">
      <c r="A389" s="8" t="s">
        <v>413</v>
      </c>
      <c r="B389" s="9" t="s">
        <v>1151</v>
      </c>
      <c r="C389" s="10" t="s">
        <v>1152</v>
      </c>
      <c r="D389" s="34">
        <f t="shared" si="7"/>
        <v>0</v>
      </c>
      <c r="E389" s="9">
        <v>0</v>
      </c>
      <c r="F389" s="9">
        <v>0</v>
      </c>
      <c r="G389" s="9">
        <v>0</v>
      </c>
      <c r="H389" s="9">
        <v>0</v>
      </c>
      <c r="I389" s="9">
        <v>0</v>
      </c>
      <c r="J389" s="9">
        <v>0</v>
      </c>
      <c r="K389" s="9">
        <v>0</v>
      </c>
      <c r="L389" s="9">
        <v>0</v>
      </c>
      <c r="M389" s="9">
        <v>0</v>
      </c>
      <c r="N389" s="9">
        <v>0</v>
      </c>
      <c r="O389" s="9">
        <v>0</v>
      </c>
      <c r="P389" s="9">
        <v>0</v>
      </c>
      <c r="Q389" s="9">
        <v>0</v>
      </c>
      <c r="R389" s="9">
        <v>0</v>
      </c>
      <c r="S389" s="9">
        <v>0</v>
      </c>
      <c r="T389" s="9">
        <v>0</v>
      </c>
      <c r="U389" s="9">
        <v>0</v>
      </c>
      <c r="V389" s="9">
        <v>0</v>
      </c>
      <c r="W389" s="9">
        <v>0</v>
      </c>
      <c r="X389" s="9">
        <v>0</v>
      </c>
      <c r="Y389" s="9">
        <v>0</v>
      </c>
      <c r="Z389" s="9">
        <v>0</v>
      </c>
      <c r="AA389" s="9">
        <v>0</v>
      </c>
      <c r="AB389" s="9">
        <v>0</v>
      </c>
      <c r="AC389" s="9">
        <v>0</v>
      </c>
      <c r="AD389" s="9">
        <v>0</v>
      </c>
      <c r="AE389" s="9">
        <v>0</v>
      </c>
      <c r="AF389" s="9">
        <v>0</v>
      </c>
      <c r="AG389" s="9">
        <v>0</v>
      </c>
      <c r="AH389" s="9">
        <v>0</v>
      </c>
      <c r="AI389" s="9">
        <v>0</v>
      </c>
      <c r="AJ389" s="9">
        <v>0</v>
      </c>
      <c r="AK389" s="9">
        <v>0</v>
      </c>
      <c r="AL389" s="9">
        <v>0</v>
      </c>
      <c r="AM389" s="9">
        <v>0</v>
      </c>
      <c r="AN389" s="9">
        <v>0</v>
      </c>
      <c r="AO389" s="9">
        <v>0</v>
      </c>
      <c r="AP389" s="9">
        <v>0</v>
      </c>
      <c r="AQ389" s="9">
        <v>0</v>
      </c>
      <c r="AR389" s="9">
        <v>0</v>
      </c>
      <c r="AS389" s="9">
        <v>0</v>
      </c>
      <c r="AT389" s="9">
        <v>0</v>
      </c>
      <c r="AU389" s="9">
        <v>0</v>
      </c>
      <c r="AV389" s="9">
        <v>0</v>
      </c>
      <c r="AW389" s="9">
        <v>0</v>
      </c>
      <c r="AX389" s="9">
        <v>0</v>
      </c>
      <c r="AY389" s="9">
        <v>0</v>
      </c>
      <c r="AZ389" s="9">
        <v>0</v>
      </c>
      <c r="BA389" s="9">
        <v>0</v>
      </c>
      <c r="BB389" s="9">
        <v>0</v>
      </c>
      <c r="BC389" s="9">
        <v>0</v>
      </c>
      <c r="BD389" s="9">
        <v>0</v>
      </c>
      <c r="BE389" s="9">
        <v>0</v>
      </c>
      <c r="BF389" s="9">
        <v>0</v>
      </c>
      <c r="BG389" s="9">
        <v>0</v>
      </c>
      <c r="BH389" s="9">
        <v>0</v>
      </c>
      <c r="BI389" s="9">
        <v>0</v>
      </c>
      <c r="BJ389" s="9">
        <v>0</v>
      </c>
      <c r="BK389" s="9">
        <v>0</v>
      </c>
      <c r="BL389" s="9">
        <v>0</v>
      </c>
      <c r="BM389" s="9">
        <v>0</v>
      </c>
      <c r="BN389" s="9">
        <v>0</v>
      </c>
      <c r="BO389" s="9">
        <v>0</v>
      </c>
      <c r="BP389" s="10">
        <v>0</v>
      </c>
      <c r="BQ389">
        <v>0</v>
      </c>
      <c r="BR389">
        <v>0</v>
      </c>
    </row>
    <row r="390" spans="1:70" x14ac:dyDescent="0.35">
      <c r="A390" s="8" t="s">
        <v>413</v>
      </c>
      <c r="B390" s="9" t="s">
        <v>1153</v>
      </c>
      <c r="C390" s="10" t="s">
        <v>1154</v>
      </c>
      <c r="D390" s="34">
        <f t="shared" ref="D390:D453" si="8">MAX(E390:BR390)</f>
        <v>0</v>
      </c>
      <c r="E390" s="9">
        <v>0</v>
      </c>
      <c r="F390" s="9">
        <v>0</v>
      </c>
      <c r="G390" s="9">
        <v>0</v>
      </c>
      <c r="H390" s="9">
        <v>0</v>
      </c>
      <c r="I390" s="9">
        <v>0</v>
      </c>
      <c r="J390" s="9">
        <v>0</v>
      </c>
      <c r="K390" s="9">
        <v>0</v>
      </c>
      <c r="L390" s="9">
        <v>0</v>
      </c>
      <c r="M390" s="9">
        <v>0</v>
      </c>
      <c r="N390" s="9">
        <v>0</v>
      </c>
      <c r="O390" s="9">
        <v>0</v>
      </c>
      <c r="P390" s="9">
        <v>0</v>
      </c>
      <c r="Q390" s="9">
        <v>0</v>
      </c>
      <c r="R390" s="9">
        <v>0</v>
      </c>
      <c r="S390" s="9">
        <v>0</v>
      </c>
      <c r="T390" s="9">
        <v>0</v>
      </c>
      <c r="U390" s="9">
        <v>0</v>
      </c>
      <c r="V390" s="9">
        <v>0</v>
      </c>
      <c r="W390" s="9">
        <v>0</v>
      </c>
      <c r="X390" s="9">
        <v>0</v>
      </c>
      <c r="Y390" s="9">
        <v>0</v>
      </c>
      <c r="Z390" s="9">
        <v>0</v>
      </c>
      <c r="AA390" s="9">
        <v>0</v>
      </c>
      <c r="AB390" s="9">
        <v>0</v>
      </c>
      <c r="AC390" s="9">
        <v>0</v>
      </c>
      <c r="AD390" s="9">
        <v>0</v>
      </c>
      <c r="AE390" s="9">
        <v>0</v>
      </c>
      <c r="AF390" s="9">
        <v>0</v>
      </c>
      <c r="AG390" s="9">
        <v>0</v>
      </c>
      <c r="AH390" s="9">
        <v>0</v>
      </c>
      <c r="AI390" s="9">
        <v>0</v>
      </c>
      <c r="AJ390" s="9">
        <v>0</v>
      </c>
      <c r="AK390" s="9">
        <v>0</v>
      </c>
      <c r="AL390" s="9">
        <v>0</v>
      </c>
      <c r="AM390" s="9">
        <v>0</v>
      </c>
      <c r="AN390" s="9">
        <v>0</v>
      </c>
      <c r="AO390" s="9">
        <v>0</v>
      </c>
      <c r="AP390" s="9">
        <v>0</v>
      </c>
      <c r="AQ390" s="9">
        <v>0</v>
      </c>
      <c r="AR390" s="9">
        <v>0</v>
      </c>
      <c r="AS390" s="9">
        <v>0</v>
      </c>
      <c r="AT390" s="9">
        <v>0</v>
      </c>
      <c r="AU390" s="9">
        <v>0</v>
      </c>
      <c r="AV390" s="9">
        <v>0</v>
      </c>
      <c r="AW390" s="9">
        <v>0</v>
      </c>
      <c r="AX390" s="9">
        <v>0</v>
      </c>
      <c r="AY390" s="9">
        <v>0</v>
      </c>
      <c r="AZ390" s="9">
        <v>0</v>
      </c>
      <c r="BA390" s="9">
        <v>0</v>
      </c>
      <c r="BB390" s="9">
        <v>0</v>
      </c>
      <c r="BC390" s="9">
        <v>0</v>
      </c>
      <c r="BD390" s="9">
        <v>0</v>
      </c>
      <c r="BE390" s="9">
        <v>0</v>
      </c>
      <c r="BF390" s="9">
        <v>0</v>
      </c>
      <c r="BG390" s="9">
        <v>0</v>
      </c>
      <c r="BH390" s="9">
        <v>0</v>
      </c>
      <c r="BI390" s="9">
        <v>0</v>
      </c>
      <c r="BJ390" s="9">
        <v>0</v>
      </c>
      <c r="BK390" s="9">
        <v>0</v>
      </c>
      <c r="BL390" s="9">
        <v>0</v>
      </c>
      <c r="BM390" s="9">
        <v>0</v>
      </c>
      <c r="BN390" s="9">
        <v>0</v>
      </c>
      <c r="BO390" s="9">
        <v>0</v>
      </c>
      <c r="BP390" s="10">
        <v>0</v>
      </c>
      <c r="BQ390">
        <v>0</v>
      </c>
      <c r="BR390">
        <v>0</v>
      </c>
    </row>
    <row r="391" spans="1:70" x14ac:dyDescent="0.35">
      <c r="A391" s="8" t="s">
        <v>413</v>
      </c>
      <c r="B391" s="9" t="s">
        <v>1155</v>
      </c>
      <c r="C391" s="10" t="s">
        <v>1156</v>
      </c>
      <c r="D391" s="34">
        <f t="shared" si="8"/>
        <v>0</v>
      </c>
      <c r="E391" s="9">
        <v>0</v>
      </c>
      <c r="F391" s="9">
        <v>0</v>
      </c>
      <c r="G391" s="9">
        <v>0</v>
      </c>
      <c r="H391" s="9">
        <v>0</v>
      </c>
      <c r="I391" s="9">
        <v>0</v>
      </c>
      <c r="J391" s="9">
        <v>0</v>
      </c>
      <c r="K391" s="9">
        <v>0</v>
      </c>
      <c r="L391" s="9">
        <v>0</v>
      </c>
      <c r="M391" s="9">
        <v>0</v>
      </c>
      <c r="N391" s="9">
        <v>0</v>
      </c>
      <c r="O391" s="9">
        <v>0</v>
      </c>
      <c r="P391" s="9">
        <v>0</v>
      </c>
      <c r="Q391" s="9">
        <v>0</v>
      </c>
      <c r="R391" s="9">
        <v>0</v>
      </c>
      <c r="S391" s="9">
        <v>0</v>
      </c>
      <c r="T391" s="9">
        <v>0</v>
      </c>
      <c r="U391" s="9">
        <v>0</v>
      </c>
      <c r="V391" s="9">
        <v>0</v>
      </c>
      <c r="W391" s="9">
        <v>0</v>
      </c>
      <c r="X391" s="9">
        <v>0</v>
      </c>
      <c r="Y391" s="9">
        <v>0</v>
      </c>
      <c r="Z391" s="9">
        <v>0</v>
      </c>
      <c r="AA391" s="9">
        <v>0</v>
      </c>
      <c r="AB391" s="9">
        <v>0</v>
      </c>
      <c r="AC391" s="9">
        <v>0</v>
      </c>
      <c r="AD391" s="9">
        <v>0</v>
      </c>
      <c r="AE391" s="9">
        <v>0</v>
      </c>
      <c r="AF391" s="9">
        <v>0</v>
      </c>
      <c r="AG391" s="9">
        <v>0</v>
      </c>
      <c r="AH391" s="9">
        <v>0</v>
      </c>
      <c r="AI391" s="9">
        <v>0</v>
      </c>
      <c r="AJ391" s="9">
        <v>0</v>
      </c>
      <c r="AK391" s="9">
        <v>0</v>
      </c>
      <c r="AL391" s="9">
        <v>0</v>
      </c>
      <c r="AM391" s="9">
        <v>0</v>
      </c>
      <c r="AN391" s="9">
        <v>0</v>
      </c>
      <c r="AO391" s="9">
        <v>0</v>
      </c>
      <c r="AP391" s="9">
        <v>0</v>
      </c>
      <c r="AQ391" s="9">
        <v>0</v>
      </c>
      <c r="AR391" s="9">
        <v>0</v>
      </c>
      <c r="AS391" s="9">
        <v>0</v>
      </c>
      <c r="AT391" s="9">
        <v>0</v>
      </c>
      <c r="AU391" s="9">
        <v>0</v>
      </c>
      <c r="AV391" s="9">
        <v>0</v>
      </c>
      <c r="AW391" s="9">
        <v>0</v>
      </c>
      <c r="AX391" s="9">
        <v>0</v>
      </c>
      <c r="AY391" s="9">
        <v>0</v>
      </c>
      <c r="AZ391" s="9">
        <v>0</v>
      </c>
      <c r="BA391" s="9">
        <v>0</v>
      </c>
      <c r="BB391" s="9">
        <v>0</v>
      </c>
      <c r="BC391" s="9">
        <v>0</v>
      </c>
      <c r="BD391" s="9">
        <v>0</v>
      </c>
      <c r="BE391" s="9">
        <v>0</v>
      </c>
      <c r="BF391" s="9">
        <v>0</v>
      </c>
      <c r="BG391" s="9">
        <v>0</v>
      </c>
      <c r="BH391" s="9">
        <v>0</v>
      </c>
      <c r="BI391" s="9">
        <v>0</v>
      </c>
      <c r="BJ391" s="9">
        <v>0</v>
      </c>
      <c r="BK391" s="9">
        <v>0</v>
      </c>
      <c r="BL391" s="9">
        <v>0</v>
      </c>
      <c r="BM391" s="9">
        <v>0</v>
      </c>
      <c r="BN391" s="9">
        <v>0</v>
      </c>
      <c r="BO391" s="9">
        <v>0</v>
      </c>
      <c r="BP391" s="10">
        <v>0</v>
      </c>
      <c r="BQ391">
        <v>0</v>
      </c>
      <c r="BR391">
        <v>0</v>
      </c>
    </row>
    <row r="392" spans="1:70" x14ac:dyDescent="0.35">
      <c r="A392" s="8" t="s">
        <v>413</v>
      </c>
      <c r="B392" s="9" t="s">
        <v>1157</v>
      </c>
      <c r="C392" s="10" t="s">
        <v>1158</v>
      </c>
      <c r="D392" s="34">
        <f t="shared" si="8"/>
        <v>0</v>
      </c>
      <c r="E392" s="9">
        <v>0</v>
      </c>
      <c r="F392" s="9">
        <v>0</v>
      </c>
      <c r="G392" s="9">
        <v>0</v>
      </c>
      <c r="H392" s="9">
        <v>0</v>
      </c>
      <c r="I392" s="9">
        <v>0</v>
      </c>
      <c r="J392" s="9">
        <v>0</v>
      </c>
      <c r="K392" s="9">
        <v>0</v>
      </c>
      <c r="L392" s="9">
        <v>0</v>
      </c>
      <c r="M392" s="9">
        <v>0</v>
      </c>
      <c r="N392" s="9">
        <v>0</v>
      </c>
      <c r="O392" s="9">
        <v>0</v>
      </c>
      <c r="P392" s="9">
        <v>0</v>
      </c>
      <c r="Q392" s="9">
        <v>0</v>
      </c>
      <c r="R392" s="9">
        <v>0</v>
      </c>
      <c r="S392" s="9">
        <v>0</v>
      </c>
      <c r="T392" s="9">
        <v>0</v>
      </c>
      <c r="U392" s="9">
        <v>0</v>
      </c>
      <c r="V392" s="9">
        <v>0</v>
      </c>
      <c r="W392" s="9">
        <v>0</v>
      </c>
      <c r="X392" s="9">
        <v>0</v>
      </c>
      <c r="Y392" s="9">
        <v>0</v>
      </c>
      <c r="Z392" s="9">
        <v>0</v>
      </c>
      <c r="AA392" s="9">
        <v>0</v>
      </c>
      <c r="AB392" s="9">
        <v>0</v>
      </c>
      <c r="AC392" s="9">
        <v>0</v>
      </c>
      <c r="AD392" s="9">
        <v>0</v>
      </c>
      <c r="AE392" s="9">
        <v>0</v>
      </c>
      <c r="AF392" s="9">
        <v>0</v>
      </c>
      <c r="AG392" s="9">
        <v>0</v>
      </c>
      <c r="AH392" s="9">
        <v>0</v>
      </c>
      <c r="AI392" s="9">
        <v>0</v>
      </c>
      <c r="AJ392" s="9">
        <v>0</v>
      </c>
      <c r="AK392" s="9">
        <v>0</v>
      </c>
      <c r="AL392" s="9">
        <v>0</v>
      </c>
      <c r="AM392" s="9">
        <v>0</v>
      </c>
      <c r="AN392" s="9">
        <v>0</v>
      </c>
      <c r="AO392" s="9">
        <v>0</v>
      </c>
      <c r="AP392" s="9">
        <v>0</v>
      </c>
      <c r="AQ392" s="9">
        <v>0</v>
      </c>
      <c r="AR392" s="9">
        <v>0</v>
      </c>
      <c r="AS392" s="9">
        <v>0</v>
      </c>
      <c r="AT392" s="9">
        <v>0</v>
      </c>
      <c r="AU392" s="9">
        <v>0</v>
      </c>
      <c r="AV392" s="9">
        <v>0</v>
      </c>
      <c r="AW392" s="9">
        <v>0</v>
      </c>
      <c r="AX392" s="9">
        <v>0</v>
      </c>
      <c r="AY392" s="9">
        <v>0</v>
      </c>
      <c r="AZ392" s="9">
        <v>0</v>
      </c>
      <c r="BA392" s="9">
        <v>0</v>
      </c>
      <c r="BB392" s="9">
        <v>0</v>
      </c>
      <c r="BC392" s="9">
        <v>0</v>
      </c>
      <c r="BD392" s="9">
        <v>0</v>
      </c>
      <c r="BE392" s="9">
        <v>0</v>
      </c>
      <c r="BF392" s="9">
        <v>0</v>
      </c>
      <c r="BG392" s="9">
        <v>0</v>
      </c>
      <c r="BH392" s="9">
        <v>0</v>
      </c>
      <c r="BI392" s="9">
        <v>0</v>
      </c>
      <c r="BJ392" s="9">
        <v>0</v>
      </c>
      <c r="BK392" s="9">
        <v>0</v>
      </c>
      <c r="BL392" s="9">
        <v>0</v>
      </c>
      <c r="BM392" s="9">
        <v>0</v>
      </c>
      <c r="BN392" s="9">
        <v>0</v>
      </c>
      <c r="BO392" s="9">
        <v>0</v>
      </c>
      <c r="BP392" s="10">
        <v>0</v>
      </c>
      <c r="BQ392">
        <v>0</v>
      </c>
      <c r="BR392">
        <v>0</v>
      </c>
    </row>
    <row r="393" spans="1:70" x14ac:dyDescent="0.35">
      <c r="A393" s="8" t="s">
        <v>413</v>
      </c>
      <c r="B393" s="9" t="s">
        <v>1159</v>
      </c>
      <c r="C393" s="10" t="s">
        <v>1160</v>
      </c>
      <c r="D393" s="34">
        <f t="shared" si="8"/>
        <v>0</v>
      </c>
      <c r="E393" s="9">
        <v>0</v>
      </c>
      <c r="F393" s="9">
        <v>0</v>
      </c>
      <c r="G393" s="9">
        <v>0</v>
      </c>
      <c r="H393" s="9">
        <v>0</v>
      </c>
      <c r="I393" s="9">
        <v>0</v>
      </c>
      <c r="J393" s="9">
        <v>0</v>
      </c>
      <c r="K393" s="9">
        <v>0</v>
      </c>
      <c r="L393" s="9">
        <v>0</v>
      </c>
      <c r="M393" s="9">
        <v>0</v>
      </c>
      <c r="N393" s="9">
        <v>0</v>
      </c>
      <c r="O393" s="9">
        <v>0</v>
      </c>
      <c r="P393" s="9">
        <v>0</v>
      </c>
      <c r="Q393" s="9">
        <v>0</v>
      </c>
      <c r="R393" s="9">
        <v>0</v>
      </c>
      <c r="S393" s="9">
        <v>0</v>
      </c>
      <c r="T393" s="9">
        <v>0</v>
      </c>
      <c r="U393" s="9">
        <v>0</v>
      </c>
      <c r="V393" s="9">
        <v>0</v>
      </c>
      <c r="W393" s="9">
        <v>0</v>
      </c>
      <c r="X393" s="9">
        <v>0</v>
      </c>
      <c r="Y393" s="9">
        <v>0</v>
      </c>
      <c r="Z393" s="9">
        <v>0</v>
      </c>
      <c r="AA393" s="9">
        <v>0</v>
      </c>
      <c r="AB393" s="9">
        <v>0</v>
      </c>
      <c r="AC393" s="9">
        <v>0</v>
      </c>
      <c r="AD393" s="9">
        <v>0</v>
      </c>
      <c r="AE393" s="9">
        <v>0</v>
      </c>
      <c r="AF393" s="9">
        <v>0</v>
      </c>
      <c r="AG393" s="9">
        <v>0</v>
      </c>
      <c r="AH393" s="9">
        <v>0</v>
      </c>
      <c r="AI393" s="9">
        <v>0</v>
      </c>
      <c r="AJ393" s="9">
        <v>0</v>
      </c>
      <c r="AK393" s="9">
        <v>0</v>
      </c>
      <c r="AL393" s="9">
        <v>0</v>
      </c>
      <c r="AM393" s="9">
        <v>0</v>
      </c>
      <c r="AN393" s="9">
        <v>0</v>
      </c>
      <c r="AO393" s="9">
        <v>0</v>
      </c>
      <c r="AP393" s="9">
        <v>0</v>
      </c>
      <c r="AQ393" s="9">
        <v>0</v>
      </c>
      <c r="AR393" s="9">
        <v>0</v>
      </c>
      <c r="AS393" s="9">
        <v>0</v>
      </c>
      <c r="AT393" s="9">
        <v>0</v>
      </c>
      <c r="AU393" s="9">
        <v>0</v>
      </c>
      <c r="AV393" s="9">
        <v>0</v>
      </c>
      <c r="AW393" s="9">
        <v>0</v>
      </c>
      <c r="AX393" s="9">
        <v>0</v>
      </c>
      <c r="AY393" s="9">
        <v>0</v>
      </c>
      <c r="AZ393" s="9">
        <v>0</v>
      </c>
      <c r="BA393" s="9">
        <v>0</v>
      </c>
      <c r="BB393" s="9">
        <v>0</v>
      </c>
      <c r="BC393" s="9">
        <v>0</v>
      </c>
      <c r="BD393" s="9">
        <v>0</v>
      </c>
      <c r="BE393" s="9">
        <v>0</v>
      </c>
      <c r="BF393" s="9">
        <v>0</v>
      </c>
      <c r="BG393" s="9">
        <v>0</v>
      </c>
      <c r="BH393" s="9">
        <v>0</v>
      </c>
      <c r="BI393" s="9">
        <v>0</v>
      </c>
      <c r="BJ393" s="9">
        <v>0</v>
      </c>
      <c r="BK393" s="9">
        <v>0</v>
      </c>
      <c r="BL393" s="9">
        <v>0</v>
      </c>
      <c r="BM393" s="9">
        <v>0</v>
      </c>
      <c r="BN393" s="9">
        <v>0</v>
      </c>
      <c r="BO393" s="9">
        <v>0</v>
      </c>
      <c r="BP393" s="10">
        <v>0</v>
      </c>
      <c r="BQ393">
        <v>0</v>
      </c>
      <c r="BR393">
        <v>0</v>
      </c>
    </row>
    <row r="394" spans="1:70" x14ac:dyDescent="0.35">
      <c r="A394" s="8" t="s">
        <v>413</v>
      </c>
      <c r="B394" s="9" t="s">
        <v>1161</v>
      </c>
      <c r="C394" s="10" t="s">
        <v>1162</v>
      </c>
      <c r="D394" s="34">
        <f t="shared" si="8"/>
        <v>0</v>
      </c>
      <c r="E394" s="9">
        <v>0</v>
      </c>
      <c r="F394" s="9">
        <v>0</v>
      </c>
      <c r="G394" s="9">
        <v>0</v>
      </c>
      <c r="H394" s="9">
        <v>0</v>
      </c>
      <c r="I394" s="9">
        <v>0</v>
      </c>
      <c r="J394" s="9">
        <v>0</v>
      </c>
      <c r="K394" s="9">
        <v>0</v>
      </c>
      <c r="L394" s="9">
        <v>0</v>
      </c>
      <c r="M394" s="9">
        <v>0</v>
      </c>
      <c r="N394" s="9">
        <v>0</v>
      </c>
      <c r="O394" s="9">
        <v>0</v>
      </c>
      <c r="P394" s="9">
        <v>0</v>
      </c>
      <c r="Q394" s="9">
        <v>0</v>
      </c>
      <c r="R394" s="9">
        <v>0</v>
      </c>
      <c r="S394" s="9">
        <v>0</v>
      </c>
      <c r="T394" s="9">
        <v>0</v>
      </c>
      <c r="U394" s="9">
        <v>0</v>
      </c>
      <c r="V394" s="9">
        <v>0</v>
      </c>
      <c r="W394" s="9">
        <v>0</v>
      </c>
      <c r="X394" s="9">
        <v>0</v>
      </c>
      <c r="Y394" s="9">
        <v>0</v>
      </c>
      <c r="Z394" s="9">
        <v>0</v>
      </c>
      <c r="AA394" s="9">
        <v>0</v>
      </c>
      <c r="AB394" s="9">
        <v>0</v>
      </c>
      <c r="AC394" s="9">
        <v>0</v>
      </c>
      <c r="AD394" s="9">
        <v>0</v>
      </c>
      <c r="AE394" s="9">
        <v>0</v>
      </c>
      <c r="AF394" s="9">
        <v>0</v>
      </c>
      <c r="AG394" s="9">
        <v>0</v>
      </c>
      <c r="AH394" s="9">
        <v>0</v>
      </c>
      <c r="AI394" s="9">
        <v>0</v>
      </c>
      <c r="AJ394" s="9">
        <v>0</v>
      </c>
      <c r="AK394" s="9">
        <v>0</v>
      </c>
      <c r="AL394" s="9">
        <v>0</v>
      </c>
      <c r="AM394" s="9">
        <v>0</v>
      </c>
      <c r="AN394" s="9">
        <v>0</v>
      </c>
      <c r="AO394" s="9">
        <v>0</v>
      </c>
      <c r="AP394" s="9">
        <v>0</v>
      </c>
      <c r="AQ394" s="9">
        <v>0</v>
      </c>
      <c r="AR394" s="9">
        <v>0</v>
      </c>
      <c r="AS394" s="9">
        <v>0</v>
      </c>
      <c r="AT394" s="9">
        <v>0</v>
      </c>
      <c r="AU394" s="9">
        <v>0</v>
      </c>
      <c r="AV394" s="9">
        <v>0</v>
      </c>
      <c r="AW394" s="9">
        <v>0</v>
      </c>
      <c r="AX394" s="9">
        <v>0</v>
      </c>
      <c r="AY394" s="9">
        <v>0</v>
      </c>
      <c r="AZ394" s="9">
        <v>0</v>
      </c>
      <c r="BA394" s="9">
        <v>0</v>
      </c>
      <c r="BB394" s="9">
        <v>0</v>
      </c>
      <c r="BC394" s="9">
        <v>0</v>
      </c>
      <c r="BD394" s="9">
        <v>0</v>
      </c>
      <c r="BE394" s="9">
        <v>0</v>
      </c>
      <c r="BF394" s="9">
        <v>0</v>
      </c>
      <c r="BG394" s="9">
        <v>0</v>
      </c>
      <c r="BH394" s="9">
        <v>0</v>
      </c>
      <c r="BI394" s="9">
        <v>0</v>
      </c>
      <c r="BJ394" s="9">
        <v>0</v>
      </c>
      <c r="BK394" s="9">
        <v>0</v>
      </c>
      <c r="BL394" s="9">
        <v>0</v>
      </c>
      <c r="BM394" s="9">
        <v>0</v>
      </c>
      <c r="BN394" s="9">
        <v>0</v>
      </c>
      <c r="BO394" s="9">
        <v>0</v>
      </c>
      <c r="BP394" s="10">
        <v>0</v>
      </c>
      <c r="BQ394">
        <v>0</v>
      </c>
      <c r="BR394">
        <v>0</v>
      </c>
    </row>
    <row r="395" spans="1:70" x14ac:dyDescent="0.35">
      <c r="A395" s="8" t="s">
        <v>413</v>
      </c>
      <c r="B395" s="9" t="s">
        <v>1163</v>
      </c>
      <c r="C395" s="10" t="s">
        <v>1164</v>
      </c>
      <c r="D395" s="34">
        <f t="shared" si="8"/>
        <v>0</v>
      </c>
      <c r="E395" s="9">
        <v>0</v>
      </c>
      <c r="F395" s="9">
        <v>0</v>
      </c>
      <c r="G395" s="9">
        <v>0</v>
      </c>
      <c r="H395" s="9">
        <v>0</v>
      </c>
      <c r="I395" s="9">
        <v>0</v>
      </c>
      <c r="J395" s="9">
        <v>0</v>
      </c>
      <c r="K395" s="9">
        <v>0</v>
      </c>
      <c r="L395" s="9">
        <v>0</v>
      </c>
      <c r="M395" s="9">
        <v>0</v>
      </c>
      <c r="N395" s="9">
        <v>0</v>
      </c>
      <c r="O395" s="9">
        <v>0</v>
      </c>
      <c r="P395" s="9">
        <v>0</v>
      </c>
      <c r="Q395" s="9">
        <v>0</v>
      </c>
      <c r="R395" s="9">
        <v>0</v>
      </c>
      <c r="S395" s="9">
        <v>0</v>
      </c>
      <c r="T395" s="9">
        <v>0</v>
      </c>
      <c r="U395" s="9">
        <v>0</v>
      </c>
      <c r="V395" s="9">
        <v>0</v>
      </c>
      <c r="W395" s="9">
        <v>0</v>
      </c>
      <c r="X395" s="9">
        <v>0</v>
      </c>
      <c r="Y395" s="9">
        <v>0</v>
      </c>
      <c r="Z395" s="9">
        <v>0</v>
      </c>
      <c r="AA395" s="9">
        <v>0</v>
      </c>
      <c r="AB395" s="9">
        <v>0</v>
      </c>
      <c r="AC395" s="9">
        <v>0</v>
      </c>
      <c r="AD395" s="9">
        <v>0</v>
      </c>
      <c r="AE395" s="9">
        <v>0</v>
      </c>
      <c r="AF395" s="9">
        <v>0</v>
      </c>
      <c r="AG395" s="9">
        <v>0</v>
      </c>
      <c r="AH395" s="9">
        <v>0</v>
      </c>
      <c r="AI395" s="9">
        <v>0</v>
      </c>
      <c r="AJ395" s="9">
        <v>0</v>
      </c>
      <c r="AK395" s="9">
        <v>0</v>
      </c>
      <c r="AL395" s="9">
        <v>0</v>
      </c>
      <c r="AM395" s="9">
        <v>0</v>
      </c>
      <c r="AN395" s="9">
        <v>0</v>
      </c>
      <c r="AO395" s="9">
        <v>0</v>
      </c>
      <c r="AP395" s="9">
        <v>0</v>
      </c>
      <c r="AQ395" s="9">
        <v>0</v>
      </c>
      <c r="AR395" s="9">
        <v>0</v>
      </c>
      <c r="AS395" s="9">
        <v>0</v>
      </c>
      <c r="AT395" s="9">
        <v>0</v>
      </c>
      <c r="AU395" s="9">
        <v>0</v>
      </c>
      <c r="AV395" s="9">
        <v>0</v>
      </c>
      <c r="AW395" s="9">
        <v>0</v>
      </c>
      <c r="AX395" s="9">
        <v>0</v>
      </c>
      <c r="AY395" s="9">
        <v>0</v>
      </c>
      <c r="AZ395" s="9">
        <v>0</v>
      </c>
      <c r="BA395" s="9">
        <v>0</v>
      </c>
      <c r="BB395" s="9">
        <v>0</v>
      </c>
      <c r="BC395" s="9">
        <v>0</v>
      </c>
      <c r="BD395" s="9">
        <v>0</v>
      </c>
      <c r="BE395" s="9">
        <v>0</v>
      </c>
      <c r="BF395" s="9">
        <v>0</v>
      </c>
      <c r="BG395" s="9">
        <v>0</v>
      </c>
      <c r="BH395" s="9">
        <v>0</v>
      </c>
      <c r="BI395" s="9">
        <v>0</v>
      </c>
      <c r="BJ395" s="9">
        <v>0</v>
      </c>
      <c r="BK395" s="9">
        <v>0</v>
      </c>
      <c r="BL395" s="9">
        <v>0</v>
      </c>
      <c r="BM395" s="9">
        <v>0</v>
      </c>
      <c r="BN395" s="9">
        <v>0</v>
      </c>
      <c r="BO395" s="9">
        <v>0</v>
      </c>
      <c r="BP395" s="10">
        <v>0</v>
      </c>
      <c r="BQ395">
        <v>0</v>
      </c>
      <c r="BR395">
        <v>0</v>
      </c>
    </row>
    <row r="396" spans="1:70" x14ac:dyDescent="0.35">
      <c r="A396" s="8" t="s">
        <v>413</v>
      </c>
      <c r="B396" s="9" t="s">
        <v>1165</v>
      </c>
      <c r="C396" s="10" t="s">
        <v>1166</v>
      </c>
      <c r="D396" s="34">
        <f t="shared" si="8"/>
        <v>0</v>
      </c>
      <c r="E396" s="9">
        <v>0</v>
      </c>
      <c r="F396" s="9">
        <v>0</v>
      </c>
      <c r="G396" s="9">
        <v>0</v>
      </c>
      <c r="H396" s="9">
        <v>0</v>
      </c>
      <c r="I396" s="9">
        <v>0</v>
      </c>
      <c r="J396" s="9">
        <v>0</v>
      </c>
      <c r="K396" s="9">
        <v>0</v>
      </c>
      <c r="L396" s="9">
        <v>0</v>
      </c>
      <c r="M396" s="9">
        <v>0</v>
      </c>
      <c r="N396" s="9">
        <v>0</v>
      </c>
      <c r="O396" s="9">
        <v>0</v>
      </c>
      <c r="P396" s="9">
        <v>0</v>
      </c>
      <c r="Q396" s="9">
        <v>0</v>
      </c>
      <c r="R396" s="9">
        <v>0</v>
      </c>
      <c r="S396" s="9">
        <v>0</v>
      </c>
      <c r="T396" s="9">
        <v>0</v>
      </c>
      <c r="U396" s="9">
        <v>0</v>
      </c>
      <c r="V396" s="9">
        <v>0</v>
      </c>
      <c r="W396" s="9">
        <v>0</v>
      </c>
      <c r="X396" s="9">
        <v>0</v>
      </c>
      <c r="Y396" s="9">
        <v>0</v>
      </c>
      <c r="Z396" s="9">
        <v>0</v>
      </c>
      <c r="AA396" s="9">
        <v>0</v>
      </c>
      <c r="AB396" s="9">
        <v>0</v>
      </c>
      <c r="AC396" s="9">
        <v>0</v>
      </c>
      <c r="AD396" s="9">
        <v>0</v>
      </c>
      <c r="AE396" s="9">
        <v>0</v>
      </c>
      <c r="AF396" s="9">
        <v>0</v>
      </c>
      <c r="AG396" s="9">
        <v>0</v>
      </c>
      <c r="AH396" s="9">
        <v>0</v>
      </c>
      <c r="AI396" s="9">
        <v>0</v>
      </c>
      <c r="AJ396" s="9">
        <v>0</v>
      </c>
      <c r="AK396" s="9">
        <v>0</v>
      </c>
      <c r="AL396" s="9">
        <v>0</v>
      </c>
      <c r="AM396" s="9">
        <v>0</v>
      </c>
      <c r="AN396" s="9">
        <v>0</v>
      </c>
      <c r="AO396" s="9">
        <v>0</v>
      </c>
      <c r="AP396" s="9">
        <v>0</v>
      </c>
      <c r="AQ396" s="9">
        <v>0</v>
      </c>
      <c r="AR396" s="9">
        <v>0</v>
      </c>
      <c r="AS396" s="9">
        <v>0</v>
      </c>
      <c r="AT396" s="9">
        <v>0</v>
      </c>
      <c r="AU396" s="9">
        <v>0</v>
      </c>
      <c r="AV396" s="9">
        <v>0</v>
      </c>
      <c r="AW396" s="9">
        <v>0</v>
      </c>
      <c r="AX396" s="9">
        <v>0</v>
      </c>
      <c r="AY396" s="9">
        <v>0</v>
      </c>
      <c r="AZ396" s="9">
        <v>0</v>
      </c>
      <c r="BA396" s="9">
        <v>0</v>
      </c>
      <c r="BB396" s="9">
        <v>0</v>
      </c>
      <c r="BC396" s="9">
        <v>0</v>
      </c>
      <c r="BD396" s="9">
        <v>0</v>
      </c>
      <c r="BE396" s="9">
        <v>0</v>
      </c>
      <c r="BF396" s="9">
        <v>0</v>
      </c>
      <c r="BG396" s="9">
        <v>0</v>
      </c>
      <c r="BH396" s="9">
        <v>0</v>
      </c>
      <c r="BI396" s="9">
        <v>0</v>
      </c>
      <c r="BJ396" s="9">
        <v>0</v>
      </c>
      <c r="BK396" s="9">
        <v>0</v>
      </c>
      <c r="BL396" s="9">
        <v>0</v>
      </c>
      <c r="BM396" s="9">
        <v>0</v>
      </c>
      <c r="BN396" s="9">
        <v>0</v>
      </c>
      <c r="BO396" s="9">
        <v>0</v>
      </c>
      <c r="BP396" s="10">
        <v>0</v>
      </c>
      <c r="BQ396">
        <v>0</v>
      </c>
      <c r="BR396">
        <v>0</v>
      </c>
    </row>
    <row r="397" spans="1:70" x14ac:dyDescent="0.35">
      <c r="A397" s="8" t="s">
        <v>413</v>
      </c>
      <c r="B397" s="9" t="s">
        <v>1167</v>
      </c>
      <c r="C397" s="10" t="s">
        <v>1168</v>
      </c>
      <c r="D397" s="34">
        <f t="shared" si="8"/>
        <v>0</v>
      </c>
      <c r="E397" s="9">
        <v>0</v>
      </c>
      <c r="F397" s="9">
        <v>0</v>
      </c>
      <c r="G397" s="9">
        <v>0</v>
      </c>
      <c r="H397" s="9">
        <v>0</v>
      </c>
      <c r="I397" s="9">
        <v>0</v>
      </c>
      <c r="J397" s="9">
        <v>0</v>
      </c>
      <c r="K397" s="9">
        <v>0</v>
      </c>
      <c r="L397" s="9">
        <v>0</v>
      </c>
      <c r="M397" s="9">
        <v>0</v>
      </c>
      <c r="N397" s="9">
        <v>0</v>
      </c>
      <c r="O397" s="9">
        <v>0</v>
      </c>
      <c r="P397" s="9">
        <v>0</v>
      </c>
      <c r="Q397" s="9">
        <v>0</v>
      </c>
      <c r="R397" s="9">
        <v>0</v>
      </c>
      <c r="S397" s="9">
        <v>0</v>
      </c>
      <c r="T397" s="9">
        <v>0</v>
      </c>
      <c r="U397" s="9">
        <v>0</v>
      </c>
      <c r="V397" s="9">
        <v>0</v>
      </c>
      <c r="W397" s="9">
        <v>0</v>
      </c>
      <c r="X397" s="9">
        <v>0</v>
      </c>
      <c r="Y397" s="9">
        <v>0</v>
      </c>
      <c r="Z397" s="9">
        <v>0</v>
      </c>
      <c r="AA397" s="9">
        <v>0</v>
      </c>
      <c r="AB397" s="9">
        <v>0</v>
      </c>
      <c r="AC397" s="9">
        <v>0</v>
      </c>
      <c r="AD397" s="9">
        <v>0</v>
      </c>
      <c r="AE397" s="9">
        <v>0</v>
      </c>
      <c r="AF397" s="9">
        <v>0</v>
      </c>
      <c r="AG397" s="9">
        <v>0</v>
      </c>
      <c r="AH397" s="9">
        <v>0</v>
      </c>
      <c r="AI397" s="9">
        <v>0</v>
      </c>
      <c r="AJ397" s="9">
        <v>0</v>
      </c>
      <c r="AK397" s="9">
        <v>0</v>
      </c>
      <c r="AL397" s="9">
        <v>0</v>
      </c>
      <c r="AM397" s="9">
        <v>0</v>
      </c>
      <c r="AN397" s="9">
        <v>0</v>
      </c>
      <c r="AO397" s="9">
        <v>0</v>
      </c>
      <c r="AP397" s="9">
        <v>0</v>
      </c>
      <c r="AQ397" s="9">
        <v>0</v>
      </c>
      <c r="AR397" s="9">
        <v>0</v>
      </c>
      <c r="AS397" s="9">
        <v>0</v>
      </c>
      <c r="AT397" s="9">
        <v>0</v>
      </c>
      <c r="AU397" s="9">
        <v>0</v>
      </c>
      <c r="AV397" s="9">
        <v>0</v>
      </c>
      <c r="AW397" s="9">
        <v>0</v>
      </c>
      <c r="AX397" s="9">
        <v>0</v>
      </c>
      <c r="AY397" s="9">
        <v>0</v>
      </c>
      <c r="AZ397" s="9">
        <v>0</v>
      </c>
      <c r="BA397" s="9">
        <v>0</v>
      </c>
      <c r="BB397" s="9">
        <v>0</v>
      </c>
      <c r="BC397" s="9">
        <v>0</v>
      </c>
      <c r="BD397" s="9">
        <v>0</v>
      </c>
      <c r="BE397" s="9">
        <v>0</v>
      </c>
      <c r="BF397" s="9">
        <v>0</v>
      </c>
      <c r="BG397" s="9">
        <v>0</v>
      </c>
      <c r="BH397" s="9">
        <v>0</v>
      </c>
      <c r="BI397" s="9">
        <v>0</v>
      </c>
      <c r="BJ397" s="9">
        <v>0</v>
      </c>
      <c r="BK397" s="9">
        <v>0</v>
      </c>
      <c r="BL397" s="9">
        <v>0</v>
      </c>
      <c r="BM397" s="9">
        <v>0</v>
      </c>
      <c r="BN397" s="9">
        <v>0</v>
      </c>
      <c r="BO397" s="9">
        <v>0</v>
      </c>
      <c r="BP397" s="10">
        <v>0</v>
      </c>
      <c r="BQ397">
        <v>0</v>
      </c>
      <c r="BR397">
        <v>0</v>
      </c>
    </row>
    <row r="398" spans="1:70" x14ac:dyDescent="0.35">
      <c r="A398" s="8" t="s">
        <v>413</v>
      </c>
      <c r="B398" s="9" t="s">
        <v>1169</v>
      </c>
      <c r="C398" s="10" t="s">
        <v>1170</v>
      </c>
      <c r="D398" s="34">
        <f t="shared" si="8"/>
        <v>0</v>
      </c>
      <c r="E398" s="9">
        <v>0</v>
      </c>
      <c r="F398" s="9">
        <v>0</v>
      </c>
      <c r="G398" s="9">
        <v>0</v>
      </c>
      <c r="H398" s="9">
        <v>0</v>
      </c>
      <c r="I398" s="9">
        <v>0</v>
      </c>
      <c r="J398" s="9">
        <v>0</v>
      </c>
      <c r="K398" s="9">
        <v>0</v>
      </c>
      <c r="L398" s="9">
        <v>0</v>
      </c>
      <c r="M398" s="9">
        <v>0</v>
      </c>
      <c r="N398" s="9">
        <v>0</v>
      </c>
      <c r="O398" s="9">
        <v>0</v>
      </c>
      <c r="P398" s="9">
        <v>0</v>
      </c>
      <c r="Q398" s="9">
        <v>0</v>
      </c>
      <c r="R398" s="9">
        <v>0</v>
      </c>
      <c r="S398" s="9">
        <v>0</v>
      </c>
      <c r="T398" s="9">
        <v>0</v>
      </c>
      <c r="U398" s="9">
        <v>0</v>
      </c>
      <c r="V398" s="9">
        <v>0</v>
      </c>
      <c r="W398" s="9">
        <v>0</v>
      </c>
      <c r="X398" s="9">
        <v>0</v>
      </c>
      <c r="Y398" s="9">
        <v>0</v>
      </c>
      <c r="Z398" s="9">
        <v>0</v>
      </c>
      <c r="AA398" s="9">
        <v>0</v>
      </c>
      <c r="AB398" s="9">
        <v>0</v>
      </c>
      <c r="AC398" s="9">
        <v>0</v>
      </c>
      <c r="AD398" s="9">
        <v>0</v>
      </c>
      <c r="AE398" s="9">
        <v>0</v>
      </c>
      <c r="AF398" s="9">
        <v>0</v>
      </c>
      <c r="AG398" s="9">
        <v>0</v>
      </c>
      <c r="AH398" s="9">
        <v>0</v>
      </c>
      <c r="AI398" s="9">
        <v>0</v>
      </c>
      <c r="AJ398" s="9">
        <v>0</v>
      </c>
      <c r="AK398" s="9">
        <v>0</v>
      </c>
      <c r="AL398" s="9">
        <v>0</v>
      </c>
      <c r="AM398" s="9">
        <v>0</v>
      </c>
      <c r="AN398" s="9">
        <v>0</v>
      </c>
      <c r="AO398" s="9">
        <v>0</v>
      </c>
      <c r="AP398" s="9">
        <v>0</v>
      </c>
      <c r="AQ398" s="9">
        <v>0</v>
      </c>
      <c r="AR398" s="9">
        <v>0</v>
      </c>
      <c r="AS398" s="9">
        <v>0</v>
      </c>
      <c r="AT398" s="9">
        <v>0</v>
      </c>
      <c r="AU398" s="9">
        <v>0</v>
      </c>
      <c r="AV398" s="9">
        <v>0</v>
      </c>
      <c r="AW398" s="9">
        <v>0</v>
      </c>
      <c r="AX398" s="9">
        <v>0</v>
      </c>
      <c r="AY398" s="9">
        <v>0</v>
      </c>
      <c r="AZ398" s="9">
        <v>0</v>
      </c>
      <c r="BA398" s="9">
        <v>0</v>
      </c>
      <c r="BB398" s="9">
        <v>0</v>
      </c>
      <c r="BC398" s="9">
        <v>0</v>
      </c>
      <c r="BD398" s="9">
        <v>0</v>
      </c>
      <c r="BE398" s="9">
        <v>0</v>
      </c>
      <c r="BF398" s="9">
        <v>0</v>
      </c>
      <c r="BG398" s="9">
        <v>0</v>
      </c>
      <c r="BH398" s="9">
        <v>0</v>
      </c>
      <c r="BI398" s="9">
        <v>0</v>
      </c>
      <c r="BJ398" s="9">
        <v>0</v>
      </c>
      <c r="BK398" s="9">
        <v>0</v>
      </c>
      <c r="BL398" s="9">
        <v>0</v>
      </c>
      <c r="BM398" s="9">
        <v>0</v>
      </c>
      <c r="BN398" s="9">
        <v>0</v>
      </c>
      <c r="BO398" s="9">
        <v>0</v>
      </c>
      <c r="BP398" s="10">
        <v>0</v>
      </c>
      <c r="BQ398">
        <v>0</v>
      </c>
      <c r="BR398">
        <v>0</v>
      </c>
    </row>
    <row r="399" spans="1:70" x14ac:dyDescent="0.35">
      <c r="A399" s="8" t="s">
        <v>413</v>
      </c>
      <c r="B399" s="9" t="s">
        <v>1171</v>
      </c>
      <c r="C399" s="10" t="s">
        <v>1172</v>
      </c>
      <c r="D399" s="34">
        <f t="shared" si="8"/>
        <v>0</v>
      </c>
      <c r="E399" s="9">
        <v>0</v>
      </c>
      <c r="F399" s="9">
        <v>0</v>
      </c>
      <c r="G399" s="9">
        <v>0</v>
      </c>
      <c r="H399" s="9">
        <v>0</v>
      </c>
      <c r="I399" s="9">
        <v>0</v>
      </c>
      <c r="J399" s="9">
        <v>0</v>
      </c>
      <c r="K399" s="9">
        <v>0</v>
      </c>
      <c r="L399" s="9">
        <v>0</v>
      </c>
      <c r="M399" s="9">
        <v>0</v>
      </c>
      <c r="N399" s="9">
        <v>0</v>
      </c>
      <c r="O399" s="9">
        <v>0</v>
      </c>
      <c r="P399" s="9">
        <v>0</v>
      </c>
      <c r="Q399" s="9">
        <v>0</v>
      </c>
      <c r="R399" s="9">
        <v>0</v>
      </c>
      <c r="S399" s="9">
        <v>0</v>
      </c>
      <c r="T399" s="9">
        <v>0</v>
      </c>
      <c r="U399" s="9">
        <v>0</v>
      </c>
      <c r="V399" s="9">
        <v>0</v>
      </c>
      <c r="W399" s="9">
        <v>0</v>
      </c>
      <c r="X399" s="9">
        <v>0</v>
      </c>
      <c r="Y399" s="9">
        <v>0</v>
      </c>
      <c r="Z399" s="9">
        <v>0</v>
      </c>
      <c r="AA399" s="9">
        <v>0</v>
      </c>
      <c r="AB399" s="9">
        <v>0</v>
      </c>
      <c r="AC399" s="9">
        <v>0</v>
      </c>
      <c r="AD399" s="9">
        <v>0</v>
      </c>
      <c r="AE399" s="9">
        <v>0</v>
      </c>
      <c r="AF399" s="9">
        <v>0</v>
      </c>
      <c r="AG399" s="9">
        <v>0</v>
      </c>
      <c r="AH399" s="9">
        <v>0</v>
      </c>
      <c r="AI399" s="9">
        <v>0</v>
      </c>
      <c r="AJ399" s="9">
        <v>0</v>
      </c>
      <c r="AK399" s="9">
        <v>0</v>
      </c>
      <c r="AL399" s="9">
        <v>0</v>
      </c>
      <c r="AM399" s="9">
        <v>0</v>
      </c>
      <c r="AN399" s="9">
        <v>0</v>
      </c>
      <c r="AO399" s="9">
        <v>0</v>
      </c>
      <c r="AP399" s="9">
        <v>0</v>
      </c>
      <c r="AQ399" s="9">
        <v>0</v>
      </c>
      <c r="AR399" s="9">
        <v>0</v>
      </c>
      <c r="AS399" s="9">
        <v>0</v>
      </c>
      <c r="AT399" s="9">
        <v>0</v>
      </c>
      <c r="AU399" s="9">
        <v>0</v>
      </c>
      <c r="AV399" s="9">
        <v>0</v>
      </c>
      <c r="AW399" s="9">
        <v>0</v>
      </c>
      <c r="AX399" s="9">
        <v>0</v>
      </c>
      <c r="AY399" s="9">
        <v>0</v>
      </c>
      <c r="AZ399" s="9">
        <v>0</v>
      </c>
      <c r="BA399" s="9">
        <v>0</v>
      </c>
      <c r="BB399" s="9">
        <v>0</v>
      </c>
      <c r="BC399" s="9">
        <v>0</v>
      </c>
      <c r="BD399" s="9">
        <v>0</v>
      </c>
      <c r="BE399" s="9">
        <v>0</v>
      </c>
      <c r="BF399" s="9">
        <v>0</v>
      </c>
      <c r="BG399" s="9">
        <v>0</v>
      </c>
      <c r="BH399" s="9">
        <v>0</v>
      </c>
      <c r="BI399" s="9">
        <v>0</v>
      </c>
      <c r="BJ399" s="9">
        <v>0</v>
      </c>
      <c r="BK399" s="9">
        <v>0</v>
      </c>
      <c r="BL399" s="9">
        <v>0</v>
      </c>
      <c r="BM399" s="9">
        <v>0</v>
      </c>
      <c r="BN399" s="9">
        <v>0</v>
      </c>
      <c r="BO399" s="9">
        <v>0</v>
      </c>
      <c r="BP399" s="10">
        <v>0</v>
      </c>
      <c r="BQ399">
        <v>0</v>
      </c>
      <c r="BR399">
        <v>0</v>
      </c>
    </row>
    <row r="400" spans="1:70" x14ac:dyDescent="0.35">
      <c r="A400" s="8" t="s">
        <v>413</v>
      </c>
      <c r="B400" s="9" t="s">
        <v>1175</v>
      </c>
      <c r="C400" s="10" t="s">
        <v>1176</v>
      </c>
      <c r="D400" s="34">
        <f t="shared" si="8"/>
        <v>0</v>
      </c>
      <c r="E400" s="9">
        <v>0</v>
      </c>
      <c r="F400" s="9">
        <v>0</v>
      </c>
      <c r="G400" s="9">
        <v>0</v>
      </c>
      <c r="H400" s="9">
        <v>0</v>
      </c>
      <c r="I400" s="9">
        <v>0</v>
      </c>
      <c r="J400" s="9">
        <v>0</v>
      </c>
      <c r="K400" s="9">
        <v>0</v>
      </c>
      <c r="L400" s="9">
        <v>0</v>
      </c>
      <c r="M400" s="9">
        <v>0</v>
      </c>
      <c r="N400" s="9">
        <v>0</v>
      </c>
      <c r="O400" s="9">
        <v>0</v>
      </c>
      <c r="P400" s="9">
        <v>0</v>
      </c>
      <c r="Q400" s="9">
        <v>0</v>
      </c>
      <c r="R400" s="9">
        <v>0</v>
      </c>
      <c r="S400" s="9">
        <v>0</v>
      </c>
      <c r="T400" s="9">
        <v>0</v>
      </c>
      <c r="U400" s="9">
        <v>0</v>
      </c>
      <c r="V400" s="9">
        <v>0</v>
      </c>
      <c r="W400" s="9">
        <v>0</v>
      </c>
      <c r="X400" s="9">
        <v>0</v>
      </c>
      <c r="Y400" s="9">
        <v>0</v>
      </c>
      <c r="Z400" s="9">
        <v>0</v>
      </c>
      <c r="AA400" s="9">
        <v>0</v>
      </c>
      <c r="AB400" s="9">
        <v>0</v>
      </c>
      <c r="AC400" s="9">
        <v>0</v>
      </c>
      <c r="AD400" s="9">
        <v>0</v>
      </c>
      <c r="AE400" s="9">
        <v>0</v>
      </c>
      <c r="AF400" s="9">
        <v>0</v>
      </c>
      <c r="AG400" s="9">
        <v>0</v>
      </c>
      <c r="AH400" s="9">
        <v>0</v>
      </c>
      <c r="AI400" s="9">
        <v>0</v>
      </c>
      <c r="AJ400" s="9">
        <v>0</v>
      </c>
      <c r="AK400" s="9">
        <v>0</v>
      </c>
      <c r="AL400" s="9">
        <v>0</v>
      </c>
      <c r="AM400" s="9">
        <v>0</v>
      </c>
      <c r="AN400" s="9">
        <v>0</v>
      </c>
      <c r="AO400" s="9">
        <v>0</v>
      </c>
      <c r="AP400" s="9">
        <v>0</v>
      </c>
      <c r="AQ400" s="9">
        <v>0</v>
      </c>
      <c r="AR400" s="9">
        <v>0</v>
      </c>
      <c r="AS400" s="9">
        <v>0</v>
      </c>
      <c r="AT400" s="9">
        <v>0</v>
      </c>
      <c r="AU400" s="9">
        <v>0</v>
      </c>
      <c r="AV400" s="9">
        <v>0</v>
      </c>
      <c r="AW400" s="9">
        <v>0</v>
      </c>
      <c r="AX400" s="9">
        <v>0</v>
      </c>
      <c r="AY400" s="9">
        <v>0</v>
      </c>
      <c r="AZ400" s="9">
        <v>0</v>
      </c>
      <c r="BA400" s="9">
        <v>0</v>
      </c>
      <c r="BB400" s="9">
        <v>0</v>
      </c>
      <c r="BC400" s="9">
        <v>0</v>
      </c>
      <c r="BD400" s="9">
        <v>0</v>
      </c>
      <c r="BE400" s="9">
        <v>0</v>
      </c>
      <c r="BF400" s="9">
        <v>0</v>
      </c>
      <c r="BG400" s="9">
        <v>0</v>
      </c>
      <c r="BH400" s="9">
        <v>0</v>
      </c>
      <c r="BI400" s="9">
        <v>0</v>
      </c>
      <c r="BJ400" s="9">
        <v>0</v>
      </c>
      <c r="BK400" s="9">
        <v>0</v>
      </c>
      <c r="BL400" s="9">
        <v>0</v>
      </c>
      <c r="BM400" s="9">
        <v>0</v>
      </c>
      <c r="BN400" s="9">
        <v>0</v>
      </c>
      <c r="BO400" s="9">
        <v>0</v>
      </c>
      <c r="BP400" s="10">
        <v>0</v>
      </c>
      <c r="BQ400">
        <v>0</v>
      </c>
      <c r="BR400">
        <v>0</v>
      </c>
    </row>
    <row r="401" spans="1:70" x14ac:dyDescent="0.35">
      <c r="A401" s="8" t="s">
        <v>413</v>
      </c>
      <c r="B401" s="9" t="s">
        <v>1177</v>
      </c>
      <c r="C401" s="10" t="s">
        <v>1178</v>
      </c>
      <c r="D401" s="34">
        <f t="shared" si="8"/>
        <v>0</v>
      </c>
      <c r="E401" s="9">
        <v>0</v>
      </c>
      <c r="F401" s="9">
        <v>0</v>
      </c>
      <c r="G401" s="9">
        <v>0</v>
      </c>
      <c r="H401" s="9">
        <v>0</v>
      </c>
      <c r="I401" s="9">
        <v>0</v>
      </c>
      <c r="J401" s="9">
        <v>0</v>
      </c>
      <c r="K401" s="9">
        <v>0</v>
      </c>
      <c r="L401" s="9">
        <v>0</v>
      </c>
      <c r="M401" s="9">
        <v>0</v>
      </c>
      <c r="N401" s="9">
        <v>0</v>
      </c>
      <c r="O401" s="9">
        <v>0</v>
      </c>
      <c r="P401" s="9">
        <v>0</v>
      </c>
      <c r="Q401" s="9">
        <v>0</v>
      </c>
      <c r="R401" s="9">
        <v>0</v>
      </c>
      <c r="S401" s="9">
        <v>0</v>
      </c>
      <c r="T401" s="9">
        <v>0</v>
      </c>
      <c r="U401" s="9">
        <v>0</v>
      </c>
      <c r="V401" s="9">
        <v>0</v>
      </c>
      <c r="W401" s="9">
        <v>0</v>
      </c>
      <c r="X401" s="9">
        <v>0</v>
      </c>
      <c r="Y401" s="9">
        <v>0</v>
      </c>
      <c r="Z401" s="9">
        <v>0</v>
      </c>
      <c r="AA401" s="9">
        <v>0</v>
      </c>
      <c r="AB401" s="9">
        <v>0</v>
      </c>
      <c r="AC401" s="9">
        <v>0</v>
      </c>
      <c r="AD401" s="9">
        <v>0</v>
      </c>
      <c r="AE401" s="9">
        <v>0</v>
      </c>
      <c r="AF401" s="9">
        <v>0</v>
      </c>
      <c r="AG401" s="9">
        <v>0</v>
      </c>
      <c r="AH401" s="9">
        <v>0</v>
      </c>
      <c r="AI401" s="9">
        <v>0</v>
      </c>
      <c r="AJ401" s="9">
        <v>0</v>
      </c>
      <c r="AK401" s="9">
        <v>0</v>
      </c>
      <c r="AL401" s="9">
        <v>0</v>
      </c>
      <c r="AM401" s="9">
        <v>0</v>
      </c>
      <c r="AN401" s="9">
        <v>0</v>
      </c>
      <c r="AO401" s="9">
        <v>0</v>
      </c>
      <c r="AP401" s="9">
        <v>0</v>
      </c>
      <c r="AQ401" s="9">
        <v>0</v>
      </c>
      <c r="AR401" s="9">
        <v>0</v>
      </c>
      <c r="AS401" s="9">
        <v>0</v>
      </c>
      <c r="AT401" s="9">
        <v>0</v>
      </c>
      <c r="AU401" s="9">
        <v>0</v>
      </c>
      <c r="AV401" s="9">
        <v>0</v>
      </c>
      <c r="AW401" s="9">
        <v>0</v>
      </c>
      <c r="AX401" s="9">
        <v>0</v>
      </c>
      <c r="AY401" s="9">
        <v>0</v>
      </c>
      <c r="AZ401" s="9">
        <v>0</v>
      </c>
      <c r="BA401" s="9">
        <v>0</v>
      </c>
      <c r="BB401" s="9">
        <v>0</v>
      </c>
      <c r="BC401" s="9">
        <v>0</v>
      </c>
      <c r="BD401" s="9">
        <v>0</v>
      </c>
      <c r="BE401" s="9">
        <v>0</v>
      </c>
      <c r="BF401" s="9">
        <v>0</v>
      </c>
      <c r="BG401" s="9">
        <v>0</v>
      </c>
      <c r="BH401" s="9">
        <v>0</v>
      </c>
      <c r="BI401" s="9">
        <v>0</v>
      </c>
      <c r="BJ401" s="9">
        <v>0</v>
      </c>
      <c r="BK401" s="9">
        <v>0</v>
      </c>
      <c r="BL401" s="9">
        <v>0</v>
      </c>
      <c r="BM401" s="9">
        <v>0</v>
      </c>
      <c r="BN401" s="9">
        <v>0</v>
      </c>
      <c r="BO401" s="9">
        <v>0</v>
      </c>
      <c r="BP401" s="10">
        <v>0</v>
      </c>
      <c r="BQ401">
        <v>0</v>
      </c>
      <c r="BR401">
        <v>0</v>
      </c>
    </row>
    <row r="402" spans="1:70" x14ac:dyDescent="0.35">
      <c r="A402" s="8" t="s">
        <v>413</v>
      </c>
      <c r="B402" s="9" t="s">
        <v>1179</v>
      </c>
      <c r="C402" s="10" t="s">
        <v>1180</v>
      </c>
      <c r="D402" s="34">
        <f t="shared" si="8"/>
        <v>0</v>
      </c>
      <c r="E402" s="9">
        <v>0</v>
      </c>
      <c r="F402" s="9">
        <v>0</v>
      </c>
      <c r="G402" s="9">
        <v>0</v>
      </c>
      <c r="H402" s="9">
        <v>0</v>
      </c>
      <c r="I402" s="9">
        <v>0</v>
      </c>
      <c r="J402" s="9">
        <v>0</v>
      </c>
      <c r="K402" s="9">
        <v>0</v>
      </c>
      <c r="L402" s="9">
        <v>0</v>
      </c>
      <c r="M402" s="9">
        <v>0</v>
      </c>
      <c r="N402" s="9">
        <v>0</v>
      </c>
      <c r="O402" s="9">
        <v>0</v>
      </c>
      <c r="P402" s="9">
        <v>0</v>
      </c>
      <c r="Q402" s="9">
        <v>0</v>
      </c>
      <c r="R402" s="9">
        <v>0</v>
      </c>
      <c r="S402" s="9">
        <v>0</v>
      </c>
      <c r="T402" s="9">
        <v>0</v>
      </c>
      <c r="U402" s="9">
        <v>0</v>
      </c>
      <c r="V402" s="9">
        <v>0</v>
      </c>
      <c r="W402" s="9">
        <v>0</v>
      </c>
      <c r="X402" s="9">
        <v>0</v>
      </c>
      <c r="Y402" s="9">
        <v>0</v>
      </c>
      <c r="Z402" s="9">
        <v>0</v>
      </c>
      <c r="AA402" s="9">
        <v>0</v>
      </c>
      <c r="AB402" s="9">
        <v>0</v>
      </c>
      <c r="AC402" s="9">
        <v>0</v>
      </c>
      <c r="AD402" s="9">
        <v>0</v>
      </c>
      <c r="AE402" s="9">
        <v>0</v>
      </c>
      <c r="AF402" s="9">
        <v>0</v>
      </c>
      <c r="AG402" s="9">
        <v>0</v>
      </c>
      <c r="AH402" s="9">
        <v>0</v>
      </c>
      <c r="AI402" s="9">
        <v>0</v>
      </c>
      <c r="AJ402" s="9">
        <v>0</v>
      </c>
      <c r="AK402" s="9">
        <v>0</v>
      </c>
      <c r="AL402" s="9">
        <v>0</v>
      </c>
      <c r="AM402" s="9">
        <v>0</v>
      </c>
      <c r="AN402" s="9">
        <v>0</v>
      </c>
      <c r="AO402" s="9">
        <v>0</v>
      </c>
      <c r="AP402" s="9">
        <v>0</v>
      </c>
      <c r="AQ402" s="9">
        <v>0</v>
      </c>
      <c r="AR402" s="9">
        <v>0</v>
      </c>
      <c r="AS402" s="9">
        <v>0</v>
      </c>
      <c r="AT402" s="9">
        <v>0</v>
      </c>
      <c r="AU402" s="9">
        <v>0</v>
      </c>
      <c r="AV402" s="9">
        <v>0</v>
      </c>
      <c r="AW402" s="9">
        <v>0</v>
      </c>
      <c r="AX402" s="9">
        <v>0</v>
      </c>
      <c r="AY402" s="9">
        <v>0</v>
      </c>
      <c r="AZ402" s="9">
        <v>0</v>
      </c>
      <c r="BA402" s="9">
        <v>0</v>
      </c>
      <c r="BB402" s="9">
        <v>0</v>
      </c>
      <c r="BC402" s="9">
        <v>0</v>
      </c>
      <c r="BD402" s="9">
        <v>0</v>
      </c>
      <c r="BE402" s="9">
        <v>0</v>
      </c>
      <c r="BF402" s="9">
        <v>0</v>
      </c>
      <c r="BG402" s="9">
        <v>0</v>
      </c>
      <c r="BH402" s="9">
        <v>0</v>
      </c>
      <c r="BI402" s="9">
        <v>0</v>
      </c>
      <c r="BJ402" s="9">
        <v>0</v>
      </c>
      <c r="BK402" s="9">
        <v>0</v>
      </c>
      <c r="BL402" s="9">
        <v>0</v>
      </c>
      <c r="BM402" s="9">
        <v>0</v>
      </c>
      <c r="BN402" s="9">
        <v>0</v>
      </c>
      <c r="BO402" s="9">
        <v>0</v>
      </c>
      <c r="BP402" s="10">
        <v>0</v>
      </c>
      <c r="BQ402">
        <v>0</v>
      </c>
      <c r="BR402">
        <v>0</v>
      </c>
    </row>
    <row r="403" spans="1:70" x14ac:dyDescent="0.35">
      <c r="A403" s="8" t="s">
        <v>413</v>
      </c>
      <c r="B403" s="9" t="s">
        <v>428</v>
      </c>
      <c r="C403" s="10" t="s">
        <v>1181</v>
      </c>
      <c r="D403" s="34">
        <f t="shared" si="8"/>
        <v>0</v>
      </c>
      <c r="E403" s="9">
        <v>0</v>
      </c>
      <c r="F403" s="9">
        <v>0</v>
      </c>
      <c r="G403" s="9">
        <v>0</v>
      </c>
      <c r="H403" s="9">
        <v>0</v>
      </c>
      <c r="I403" s="9">
        <v>0</v>
      </c>
      <c r="J403" s="9">
        <v>0</v>
      </c>
      <c r="K403" s="9">
        <v>0</v>
      </c>
      <c r="L403" s="9">
        <v>0</v>
      </c>
      <c r="M403" s="9">
        <v>0</v>
      </c>
      <c r="N403" s="9">
        <v>0</v>
      </c>
      <c r="O403" s="9">
        <v>0</v>
      </c>
      <c r="P403" s="9">
        <v>0</v>
      </c>
      <c r="Q403" s="9">
        <v>0</v>
      </c>
      <c r="R403" s="9">
        <v>0</v>
      </c>
      <c r="S403" s="9">
        <v>0</v>
      </c>
      <c r="T403" s="9">
        <v>0</v>
      </c>
      <c r="U403" s="9">
        <v>0</v>
      </c>
      <c r="V403" s="9">
        <v>0</v>
      </c>
      <c r="W403" s="9">
        <v>0</v>
      </c>
      <c r="X403" s="9">
        <v>0</v>
      </c>
      <c r="Y403" s="9">
        <v>0</v>
      </c>
      <c r="Z403" s="9">
        <v>0</v>
      </c>
      <c r="AA403" s="9">
        <v>0</v>
      </c>
      <c r="AB403" s="9">
        <v>0</v>
      </c>
      <c r="AC403" s="9">
        <v>0</v>
      </c>
      <c r="AD403" s="9">
        <v>0</v>
      </c>
      <c r="AE403" s="9">
        <v>0</v>
      </c>
      <c r="AF403" s="9">
        <v>0</v>
      </c>
      <c r="AG403" s="9">
        <v>0</v>
      </c>
      <c r="AH403" s="9">
        <v>0</v>
      </c>
      <c r="AI403" s="9">
        <v>0</v>
      </c>
      <c r="AJ403" s="9">
        <v>0</v>
      </c>
      <c r="AK403" s="9">
        <v>0</v>
      </c>
      <c r="AL403" s="9">
        <v>0</v>
      </c>
      <c r="AM403" s="9">
        <v>0</v>
      </c>
      <c r="AN403" s="9">
        <v>0</v>
      </c>
      <c r="AO403" s="9">
        <v>0</v>
      </c>
      <c r="AP403" s="9">
        <v>0</v>
      </c>
      <c r="AQ403" s="9">
        <v>0</v>
      </c>
      <c r="AR403" s="9">
        <v>0</v>
      </c>
      <c r="AS403" s="9">
        <v>0</v>
      </c>
      <c r="AT403" s="9">
        <v>0</v>
      </c>
      <c r="AU403" s="9">
        <v>0</v>
      </c>
      <c r="AV403" s="9">
        <v>0</v>
      </c>
      <c r="AW403" s="9">
        <v>0</v>
      </c>
      <c r="AX403" s="9">
        <v>0</v>
      </c>
      <c r="AY403" s="9">
        <v>0</v>
      </c>
      <c r="AZ403" s="9">
        <v>0</v>
      </c>
      <c r="BA403" s="9">
        <v>0</v>
      </c>
      <c r="BB403" s="9">
        <v>0</v>
      </c>
      <c r="BC403" s="9">
        <v>0</v>
      </c>
      <c r="BD403" s="9">
        <v>0</v>
      </c>
      <c r="BE403" s="9">
        <v>0</v>
      </c>
      <c r="BF403" s="9">
        <v>0</v>
      </c>
      <c r="BG403" s="9">
        <v>0</v>
      </c>
      <c r="BH403" s="9">
        <v>0</v>
      </c>
      <c r="BI403" s="9">
        <v>0</v>
      </c>
      <c r="BJ403" s="9">
        <v>0</v>
      </c>
      <c r="BK403" s="9">
        <v>0</v>
      </c>
      <c r="BL403" s="9">
        <v>0</v>
      </c>
      <c r="BM403" s="9">
        <v>0</v>
      </c>
      <c r="BN403" s="9">
        <v>0</v>
      </c>
      <c r="BO403" s="9">
        <v>0</v>
      </c>
      <c r="BP403" s="10">
        <v>0</v>
      </c>
      <c r="BQ403">
        <v>0</v>
      </c>
      <c r="BR403">
        <v>0</v>
      </c>
    </row>
    <row r="404" spans="1:70" x14ac:dyDescent="0.35">
      <c r="A404" s="8" t="s">
        <v>413</v>
      </c>
      <c r="B404" s="9" t="s">
        <v>1182</v>
      </c>
      <c r="C404" s="10" t="s">
        <v>1183</v>
      </c>
      <c r="D404" s="34">
        <f t="shared" si="8"/>
        <v>0</v>
      </c>
      <c r="E404" s="9">
        <v>0</v>
      </c>
      <c r="F404" s="9">
        <v>0</v>
      </c>
      <c r="G404" s="9">
        <v>0</v>
      </c>
      <c r="H404" s="9">
        <v>0</v>
      </c>
      <c r="I404" s="9">
        <v>0</v>
      </c>
      <c r="J404" s="9">
        <v>0</v>
      </c>
      <c r="K404" s="9">
        <v>0</v>
      </c>
      <c r="L404" s="9">
        <v>0</v>
      </c>
      <c r="M404" s="9">
        <v>0</v>
      </c>
      <c r="N404" s="9">
        <v>0</v>
      </c>
      <c r="O404" s="9">
        <v>0</v>
      </c>
      <c r="P404" s="9">
        <v>0</v>
      </c>
      <c r="Q404" s="9">
        <v>0</v>
      </c>
      <c r="R404" s="9">
        <v>0</v>
      </c>
      <c r="S404" s="9">
        <v>0</v>
      </c>
      <c r="T404" s="9">
        <v>0</v>
      </c>
      <c r="U404" s="9">
        <v>0</v>
      </c>
      <c r="V404" s="9">
        <v>0</v>
      </c>
      <c r="W404" s="9">
        <v>0</v>
      </c>
      <c r="X404" s="9">
        <v>0</v>
      </c>
      <c r="Y404" s="9">
        <v>0</v>
      </c>
      <c r="Z404" s="9">
        <v>0</v>
      </c>
      <c r="AA404" s="9">
        <v>0</v>
      </c>
      <c r="AB404" s="9">
        <v>0</v>
      </c>
      <c r="AC404" s="9">
        <v>0</v>
      </c>
      <c r="AD404" s="9">
        <v>0</v>
      </c>
      <c r="AE404" s="9">
        <v>0</v>
      </c>
      <c r="AF404" s="9">
        <v>0</v>
      </c>
      <c r="AG404" s="9">
        <v>0</v>
      </c>
      <c r="AH404" s="9">
        <v>0</v>
      </c>
      <c r="AI404" s="9">
        <v>0</v>
      </c>
      <c r="AJ404" s="9">
        <v>0</v>
      </c>
      <c r="AK404" s="9">
        <v>0</v>
      </c>
      <c r="AL404" s="9">
        <v>0</v>
      </c>
      <c r="AM404" s="9">
        <v>0</v>
      </c>
      <c r="AN404" s="9">
        <v>0</v>
      </c>
      <c r="AO404" s="9">
        <v>0</v>
      </c>
      <c r="AP404" s="9">
        <v>0</v>
      </c>
      <c r="AQ404" s="9">
        <v>0</v>
      </c>
      <c r="AR404" s="9">
        <v>0</v>
      </c>
      <c r="AS404" s="9">
        <v>0</v>
      </c>
      <c r="AT404" s="9">
        <v>0</v>
      </c>
      <c r="AU404" s="9">
        <v>0</v>
      </c>
      <c r="AV404" s="9">
        <v>0</v>
      </c>
      <c r="AW404" s="9">
        <v>0</v>
      </c>
      <c r="AX404" s="9">
        <v>0</v>
      </c>
      <c r="AY404" s="9">
        <v>0</v>
      </c>
      <c r="AZ404" s="9">
        <v>0</v>
      </c>
      <c r="BA404" s="9">
        <v>0</v>
      </c>
      <c r="BB404" s="9">
        <v>0</v>
      </c>
      <c r="BC404" s="9">
        <v>0</v>
      </c>
      <c r="BD404" s="9">
        <v>0</v>
      </c>
      <c r="BE404" s="9">
        <v>0</v>
      </c>
      <c r="BF404" s="9">
        <v>0</v>
      </c>
      <c r="BG404" s="9">
        <v>0</v>
      </c>
      <c r="BH404" s="9">
        <v>0</v>
      </c>
      <c r="BI404" s="9">
        <v>0</v>
      </c>
      <c r="BJ404" s="9">
        <v>0</v>
      </c>
      <c r="BK404" s="9">
        <v>0</v>
      </c>
      <c r="BL404" s="9">
        <v>0</v>
      </c>
      <c r="BM404" s="9">
        <v>0</v>
      </c>
      <c r="BN404" s="9">
        <v>0</v>
      </c>
      <c r="BO404" s="9">
        <v>0</v>
      </c>
      <c r="BP404" s="10">
        <v>0</v>
      </c>
      <c r="BQ404">
        <v>0</v>
      </c>
      <c r="BR404">
        <v>0</v>
      </c>
    </row>
    <row r="405" spans="1:70" x14ac:dyDescent="0.35">
      <c r="A405" s="8" t="s">
        <v>413</v>
      </c>
      <c r="B405" s="9" t="s">
        <v>1184</v>
      </c>
      <c r="C405" s="10" t="s">
        <v>1185</v>
      </c>
      <c r="D405" s="34">
        <f t="shared" si="8"/>
        <v>0</v>
      </c>
      <c r="E405" s="9">
        <v>0</v>
      </c>
      <c r="F405" s="9">
        <v>0</v>
      </c>
      <c r="G405" s="9">
        <v>0</v>
      </c>
      <c r="H405" s="9">
        <v>0</v>
      </c>
      <c r="I405" s="9">
        <v>0</v>
      </c>
      <c r="J405" s="9">
        <v>0</v>
      </c>
      <c r="K405" s="9">
        <v>0</v>
      </c>
      <c r="L405" s="9">
        <v>0</v>
      </c>
      <c r="M405" s="9">
        <v>0</v>
      </c>
      <c r="N405" s="9">
        <v>0</v>
      </c>
      <c r="O405" s="9">
        <v>0</v>
      </c>
      <c r="P405" s="9">
        <v>0</v>
      </c>
      <c r="Q405" s="9">
        <v>0</v>
      </c>
      <c r="R405" s="9">
        <v>0</v>
      </c>
      <c r="S405" s="9">
        <v>0</v>
      </c>
      <c r="T405" s="9">
        <v>0</v>
      </c>
      <c r="U405" s="9">
        <v>0</v>
      </c>
      <c r="V405" s="9">
        <v>0</v>
      </c>
      <c r="W405" s="9">
        <v>0</v>
      </c>
      <c r="X405" s="9">
        <v>0</v>
      </c>
      <c r="Y405" s="9">
        <v>0</v>
      </c>
      <c r="Z405" s="9">
        <v>0</v>
      </c>
      <c r="AA405" s="9">
        <v>0</v>
      </c>
      <c r="AB405" s="9">
        <v>0</v>
      </c>
      <c r="AC405" s="9">
        <v>0</v>
      </c>
      <c r="AD405" s="9">
        <v>0</v>
      </c>
      <c r="AE405" s="9">
        <v>0</v>
      </c>
      <c r="AF405" s="9">
        <v>0</v>
      </c>
      <c r="AG405" s="9">
        <v>0</v>
      </c>
      <c r="AH405" s="9">
        <v>0</v>
      </c>
      <c r="AI405" s="9">
        <v>0</v>
      </c>
      <c r="AJ405" s="9">
        <v>0</v>
      </c>
      <c r="AK405" s="9">
        <v>0</v>
      </c>
      <c r="AL405" s="9">
        <v>0</v>
      </c>
      <c r="AM405" s="9">
        <v>0</v>
      </c>
      <c r="AN405" s="9">
        <v>0</v>
      </c>
      <c r="AO405" s="9">
        <v>0</v>
      </c>
      <c r="AP405" s="9">
        <v>0</v>
      </c>
      <c r="AQ405" s="9">
        <v>0</v>
      </c>
      <c r="AR405" s="9">
        <v>0</v>
      </c>
      <c r="AS405" s="9">
        <v>0</v>
      </c>
      <c r="AT405" s="9">
        <v>0</v>
      </c>
      <c r="AU405" s="9">
        <v>0</v>
      </c>
      <c r="AV405" s="9">
        <v>0</v>
      </c>
      <c r="AW405" s="9">
        <v>0</v>
      </c>
      <c r="AX405" s="9">
        <v>0</v>
      </c>
      <c r="AY405" s="9">
        <v>0</v>
      </c>
      <c r="AZ405" s="9">
        <v>0</v>
      </c>
      <c r="BA405" s="9">
        <v>0</v>
      </c>
      <c r="BB405" s="9">
        <v>0</v>
      </c>
      <c r="BC405" s="9">
        <v>0</v>
      </c>
      <c r="BD405" s="9">
        <v>0</v>
      </c>
      <c r="BE405" s="9">
        <v>0</v>
      </c>
      <c r="BF405" s="9">
        <v>0</v>
      </c>
      <c r="BG405" s="9">
        <v>0</v>
      </c>
      <c r="BH405" s="9">
        <v>0</v>
      </c>
      <c r="BI405" s="9">
        <v>0</v>
      </c>
      <c r="BJ405" s="9">
        <v>0</v>
      </c>
      <c r="BK405" s="9">
        <v>0</v>
      </c>
      <c r="BL405" s="9">
        <v>0</v>
      </c>
      <c r="BM405" s="9">
        <v>0</v>
      </c>
      <c r="BN405" s="9">
        <v>0</v>
      </c>
      <c r="BO405" s="9">
        <v>0</v>
      </c>
      <c r="BP405" s="10">
        <v>0</v>
      </c>
      <c r="BQ405">
        <v>0</v>
      </c>
      <c r="BR405">
        <v>0</v>
      </c>
    </row>
    <row r="406" spans="1:70" x14ac:dyDescent="0.35">
      <c r="A406" s="8" t="s">
        <v>413</v>
      </c>
      <c r="B406" s="9" t="s">
        <v>1186</v>
      </c>
      <c r="C406" s="10" t="s">
        <v>1187</v>
      </c>
      <c r="D406" s="34">
        <f t="shared" si="8"/>
        <v>0</v>
      </c>
      <c r="E406" s="9">
        <v>0</v>
      </c>
      <c r="F406" s="9">
        <v>0</v>
      </c>
      <c r="G406" s="9">
        <v>0</v>
      </c>
      <c r="H406" s="9">
        <v>0</v>
      </c>
      <c r="I406" s="9">
        <v>0</v>
      </c>
      <c r="J406" s="9">
        <v>0</v>
      </c>
      <c r="K406" s="9">
        <v>0</v>
      </c>
      <c r="L406" s="9">
        <v>0</v>
      </c>
      <c r="M406" s="9">
        <v>0</v>
      </c>
      <c r="N406" s="9">
        <v>0</v>
      </c>
      <c r="O406" s="9">
        <v>0</v>
      </c>
      <c r="P406" s="9">
        <v>0</v>
      </c>
      <c r="Q406" s="9">
        <v>0</v>
      </c>
      <c r="R406" s="9">
        <v>0</v>
      </c>
      <c r="S406" s="9">
        <v>0</v>
      </c>
      <c r="T406" s="9">
        <v>0</v>
      </c>
      <c r="U406" s="9">
        <v>0</v>
      </c>
      <c r="V406" s="9">
        <v>0</v>
      </c>
      <c r="W406" s="9">
        <v>0</v>
      </c>
      <c r="X406" s="9">
        <v>0</v>
      </c>
      <c r="Y406" s="9">
        <v>0</v>
      </c>
      <c r="Z406" s="9">
        <v>0</v>
      </c>
      <c r="AA406" s="9">
        <v>0</v>
      </c>
      <c r="AB406" s="9">
        <v>0</v>
      </c>
      <c r="AC406" s="9">
        <v>0</v>
      </c>
      <c r="AD406" s="9">
        <v>0</v>
      </c>
      <c r="AE406" s="9">
        <v>0</v>
      </c>
      <c r="AF406" s="9">
        <v>0</v>
      </c>
      <c r="AG406" s="9">
        <v>0</v>
      </c>
      <c r="AH406" s="9">
        <v>0</v>
      </c>
      <c r="AI406" s="9">
        <v>0</v>
      </c>
      <c r="AJ406" s="9">
        <v>0</v>
      </c>
      <c r="AK406" s="9">
        <v>0</v>
      </c>
      <c r="AL406" s="9">
        <v>0</v>
      </c>
      <c r="AM406" s="9">
        <v>0</v>
      </c>
      <c r="AN406" s="9">
        <v>0</v>
      </c>
      <c r="AO406" s="9">
        <v>0</v>
      </c>
      <c r="AP406" s="9">
        <v>0</v>
      </c>
      <c r="AQ406" s="9">
        <v>0</v>
      </c>
      <c r="AR406" s="9">
        <v>0</v>
      </c>
      <c r="AS406" s="9">
        <v>0</v>
      </c>
      <c r="AT406" s="9">
        <v>0</v>
      </c>
      <c r="AU406" s="9">
        <v>0</v>
      </c>
      <c r="AV406" s="9">
        <v>0</v>
      </c>
      <c r="AW406" s="9">
        <v>0</v>
      </c>
      <c r="AX406" s="9">
        <v>0</v>
      </c>
      <c r="AY406" s="9">
        <v>0</v>
      </c>
      <c r="AZ406" s="9">
        <v>0</v>
      </c>
      <c r="BA406" s="9">
        <v>0</v>
      </c>
      <c r="BB406" s="9">
        <v>0</v>
      </c>
      <c r="BC406" s="9">
        <v>0</v>
      </c>
      <c r="BD406" s="9">
        <v>0</v>
      </c>
      <c r="BE406" s="9">
        <v>0</v>
      </c>
      <c r="BF406" s="9">
        <v>0</v>
      </c>
      <c r="BG406" s="9">
        <v>0</v>
      </c>
      <c r="BH406" s="9">
        <v>0</v>
      </c>
      <c r="BI406" s="9">
        <v>0</v>
      </c>
      <c r="BJ406" s="9">
        <v>0</v>
      </c>
      <c r="BK406" s="9">
        <v>0</v>
      </c>
      <c r="BL406" s="9">
        <v>0</v>
      </c>
      <c r="BM406" s="9">
        <v>0</v>
      </c>
      <c r="BN406" s="9">
        <v>0</v>
      </c>
      <c r="BO406" s="9">
        <v>0</v>
      </c>
      <c r="BP406" s="10">
        <v>0</v>
      </c>
      <c r="BQ406">
        <v>0</v>
      </c>
      <c r="BR406">
        <v>0</v>
      </c>
    </row>
    <row r="407" spans="1:70" x14ac:dyDescent="0.35">
      <c r="A407" s="8" t="s">
        <v>413</v>
      </c>
      <c r="B407" s="9" t="s">
        <v>1188</v>
      </c>
      <c r="C407" s="10" t="s">
        <v>1189</v>
      </c>
      <c r="D407" s="34">
        <f t="shared" si="8"/>
        <v>0</v>
      </c>
      <c r="E407" s="9">
        <v>0</v>
      </c>
      <c r="F407" s="9">
        <v>0</v>
      </c>
      <c r="G407" s="9">
        <v>0</v>
      </c>
      <c r="H407" s="9">
        <v>0</v>
      </c>
      <c r="I407" s="9">
        <v>0</v>
      </c>
      <c r="J407" s="9">
        <v>0</v>
      </c>
      <c r="K407" s="9">
        <v>0</v>
      </c>
      <c r="L407" s="9">
        <v>0</v>
      </c>
      <c r="M407" s="9">
        <v>0</v>
      </c>
      <c r="N407" s="9">
        <v>0</v>
      </c>
      <c r="O407" s="9">
        <v>0</v>
      </c>
      <c r="P407" s="9">
        <v>0</v>
      </c>
      <c r="Q407" s="9">
        <v>0</v>
      </c>
      <c r="R407" s="9">
        <v>0</v>
      </c>
      <c r="S407" s="9">
        <v>0</v>
      </c>
      <c r="T407" s="9">
        <v>0</v>
      </c>
      <c r="U407" s="9">
        <v>0</v>
      </c>
      <c r="V407" s="9">
        <v>0</v>
      </c>
      <c r="W407" s="9">
        <v>0</v>
      </c>
      <c r="X407" s="9">
        <v>0</v>
      </c>
      <c r="Y407" s="9">
        <v>0</v>
      </c>
      <c r="Z407" s="9">
        <v>0</v>
      </c>
      <c r="AA407" s="9">
        <v>0</v>
      </c>
      <c r="AB407" s="9">
        <v>0</v>
      </c>
      <c r="AC407" s="9">
        <v>0</v>
      </c>
      <c r="AD407" s="9">
        <v>0</v>
      </c>
      <c r="AE407" s="9">
        <v>0</v>
      </c>
      <c r="AF407" s="9">
        <v>0</v>
      </c>
      <c r="AG407" s="9">
        <v>0</v>
      </c>
      <c r="AH407" s="9">
        <v>0</v>
      </c>
      <c r="AI407" s="9">
        <v>0</v>
      </c>
      <c r="AJ407" s="9">
        <v>0</v>
      </c>
      <c r="AK407" s="9">
        <v>0</v>
      </c>
      <c r="AL407" s="9">
        <v>0</v>
      </c>
      <c r="AM407" s="9">
        <v>0</v>
      </c>
      <c r="AN407" s="9">
        <v>0</v>
      </c>
      <c r="AO407" s="9">
        <v>0</v>
      </c>
      <c r="AP407" s="9">
        <v>0</v>
      </c>
      <c r="AQ407" s="9">
        <v>0</v>
      </c>
      <c r="AR407" s="9">
        <v>0</v>
      </c>
      <c r="AS407" s="9">
        <v>0</v>
      </c>
      <c r="AT407" s="9">
        <v>0</v>
      </c>
      <c r="AU407" s="9">
        <v>0</v>
      </c>
      <c r="AV407" s="9">
        <v>0</v>
      </c>
      <c r="AW407" s="9">
        <v>0</v>
      </c>
      <c r="AX407" s="9">
        <v>0</v>
      </c>
      <c r="AY407" s="9">
        <v>0</v>
      </c>
      <c r="AZ407" s="9">
        <v>0</v>
      </c>
      <c r="BA407" s="9">
        <v>0</v>
      </c>
      <c r="BB407" s="9">
        <v>0</v>
      </c>
      <c r="BC407" s="9">
        <v>0</v>
      </c>
      <c r="BD407" s="9">
        <v>0</v>
      </c>
      <c r="BE407" s="9">
        <v>0</v>
      </c>
      <c r="BF407" s="9">
        <v>0</v>
      </c>
      <c r="BG407" s="9">
        <v>0</v>
      </c>
      <c r="BH407" s="9">
        <v>0</v>
      </c>
      <c r="BI407" s="9">
        <v>0</v>
      </c>
      <c r="BJ407" s="9">
        <v>0</v>
      </c>
      <c r="BK407" s="9">
        <v>0</v>
      </c>
      <c r="BL407" s="9">
        <v>0</v>
      </c>
      <c r="BM407" s="9">
        <v>0</v>
      </c>
      <c r="BN407" s="9">
        <v>0</v>
      </c>
      <c r="BO407" s="9">
        <v>0</v>
      </c>
      <c r="BP407" s="10">
        <v>0</v>
      </c>
      <c r="BQ407">
        <v>0</v>
      </c>
      <c r="BR407">
        <v>0</v>
      </c>
    </row>
    <row r="408" spans="1:70" x14ac:dyDescent="0.35">
      <c r="A408" s="8" t="s">
        <v>413</v>
      </c>
      <c r="B408" s="9" t="s">
        <v>1190</v>
      </c>
      <c r="C408" s="10" t="s">
        <v>1191</v>
      </c>
      <c r="D408" s="34">
        <f t="shared" si="8"/>
        <v>0</v>
      </c>
      <c r="E408" s="9">
        <v>0</v>
      </c>
      <c r="F408" s="9">
        <v>0</v>
      </c>
      <c r="G408" s="9">
        <v>0</v>
      </c>
      <c r="H408" s="9">
        <v>0</v>
      </c>
      <c r="I408" s="9">
        <v>0</v>
      </c>
      <c r="J408" s="9">
        <v>0</v>
      </c>
      <c r="K408" s="9">
        <v>0</v>
      </c>
      <c r="L408" s="9">
        <v>0</v>
      </c>
      <c r="M408" s="9">
        <v>0</v>
      </c>
      <c r="N408" s="9">
        <v>0</v>
      </c>
      <c r="O408" s="9">
        <v>0</v>
      </c>
      <c r="P408" s="9">
        <v>0</v>
      </c>
      <c r="Q408" s="9">
        <v>0</v>
      </c>
      <c r="R408" s="9">
        <v>0</v>
      </c>
      <c r="S408" s="9">
        <v>0</v>
      </c>
      <c r="T408" s="9">
        <v>0</v>
      </c>
      <c r="U408" s="9">
        <v>0</v>
      </c>
      <c r="V408" s="9">
        <v>0</v>
      </c>
      <c r="W408" s="9">
        <v>0</v>
      </c>
      <c r="X408" s="9">
        <v>0</v>
      </c>
      <c r="Y408" s="9">
        <v>0</v>
      </c>
      <c r="Z408" s="9">
        <v>0</v>
      </c>
      <c r="AA408" s="9">
        <v>0</v>
      </c>
      <c r="AB408" s="9">
        <v>0</v>
      </c>
      <c r="AC408" s="9">
        <v>0</v>
      </c>
      <c r="AD408" s="9">
        <v>0</v>
      </c>
      <c r="AE408" s="9">
        <v>0</v>
      </c>
      <c r="AF408" s="9">
        <v>0</v>
      </c>
      <c r="AG408" s="9">
        <v>0</v>
      </c>
      <c r="AH408" s="9">
        <v>0</v>
      </c>
      <c r="AI408" s="9">
        <v>0</v>
      </c>
      <c r="AJ408" s="9">
        <v>0</v>
      </c>
      <c r="AK408" s="9">
        <v>0</v>
      </c>
      <c r="AL408" s="9">
        <v>0</v>
      </c>
      <c r="AM408" s="9">
        <v>0</v>
      </c>
      <c r="AN408" s="9">
        <v>0</v>
      </c>
      <c r="AO408" s="9">
        <v>0</v>
      </c>
      <c r="AP408" s="9">
        <v>0</v>
      </c>
      <c r="AQ408" s="9">
        <v>0</v>
      </c>
      <c r="AR408" s="9">
        <v>0</v>
      </c>
      <c r="AS408" s="9">
        <v>0</v>
      </c>
      <c r="AT408" s="9">
        <v>0</v>
      </c>
      <c r="AU408" s="9">
        <v>0</v>
      </c>
      <c r="AV408" s="9">
        <v>0</v>
      </c>
      <c r="AW408" s="9">
        <v>0</v>
      </c>
      <c r="AX408" s="9">
        <v>0</v>
      </c>
      <c r="AY408" s="9">
        <v>0</v>
      </c>
      <c r="AZ408" s="9">
        <v>0</v>
      </c>
      <c r="BA408" s="9">
        <v>0</v>
      </c>
      <c r="BB408" s="9">
        <v>0</v>
      </c>
      <c r="BC408" s="9">
        <v>0</v>
      </c>
      <c r="BD408" s="9">
        <v>0</v>
      </c>
      <c r="BE408" s="9">
        <v>0</v>
      </c>
      <c r="BF408" s="9">
        <v>0</v>
      </c>
      <c r="BG408" s="9">
        <v>0</v>
      </c>
      <c r="BH408" s="9">
        <v>0</v>
      </c>
      <c r="BI408" s="9">
        <v>0</v>
      </c>
      <c r="BJ408" s="9">
        <v>0</v>
      </c>
      <c r="BK408" s="9">
        <v>0</v>
      </c>
      <c r="BL408" s="9">
        <v>0</v>
      </c>
      <c r="BM408" s="9">
        <v>0</v>
      </c>
      <c r="BN408" s="9">
        <v>0</v>
      </c>
      <c r="BO408" s="9">
        <v>0</v>
      </c>
      <c r="BP408" s="10">
        <v>0</v>
      </c>
      <c r="BQ408">
        <v>0</v>
      </c>
      <c r="BR408">
        <v>0</v>
      </c>
    </row>
    <row r="409" spans="1:70" x14ac:dyDescent="0.35">
      <c r="A409" s="8" t="s">
        <v>413</v>
      </c>
      <c r="B409" s="9" t="s">
        <v>1192</v>
      </c>
      <c r="C409" s="10" t="s">
        <v>1193</v>
      </c>
      <c r="D409" s="34">
        <f t="shared" si="8"/>
        <v>0</v>
      </c>
      <c r="E409" s="9">
        <v>0</v>
      </c>
      <c r="F409" s="9">
        <v>0</v>
      </c>
      <c r="G409" s="9">
        <v>0</v>
      </c>
      <c r="H409" s="9">
        <v>0</v>
      </c>
      <c r="I409" s="9">
        <v>0</v>
      </c>
      <c r="J409" s="9">
        <v>0</v>
      </c>
      <c r="K409" s="9">
        <v>0</v>
      </c>
      <c r="L409" s="9">
        <v>0</v>
      </c>
      <c r="M409" s="9">
        <v>0</v>
      </c>
      <c r="N409" s="9">
        <v>0</v>
      </c>
      <c r="O409" s="9">
        <v>0</v>
      </c>
      <c r="P409" s="9">
        <v>0</v>
      </c>
      <c r="Q409" s="9">
        <v>0</v>
      </c>
      <c r="R409" s="9">
        <v>0</v>
      </c>
      <c r="S409" s="9">
        <v>0</v>
      </c>
      <c r="T409" s="9">
        <v>0</v>
      </c>
      <c r="U409" s="9">
        <v>0</v>
      </c>
      <c r="V409" s="9">
        <v>0</v>
      </c>
      <c r="W409" s="9">
        <v>0</v>
      </c>
      <c r="X409" s="9">
        <v>0</v>
      </c>
      <c r="Y409" s="9">
        <v>0</v>
      </c>
      <c r="Z409" s="9">
        <v>0</v>
      </c>
      <c r="AA409" s="9">
        <v>0</v>
      </c>
      <c r="AB409" s="9">
        <v>0</v>
      </c>
      <c r="AC409" s="9">
        <v>0</v>
      </c>
      <c r="AD409" s="9">
        <v>0</v>
      </c>
      <c r="AE409" s="9">
        <v>0</v>
      </c>
      <c r="AF409" s="9">
        <v>0</v>
      </c>
      <c r="AG409" s="9">
        <v>0</v>
      </c>
      <c r="AH409" s="9">
        <v>0</v>
      </c>
      <c r="AI409" s="9">
        <v>0</v>
      </c>
      <c r="AJ409" s="9">
        <v>0</v>
      </c>
      <c r="AK409" s="9">
        <v>0</v>
      </c>
      <c r="AL409" s="9">
        <v>0</v>
      </c>
      <c r="AM409" s="9">
        <v>0</v>
      </c>
      <c r="AN409" s="9">
        <v>0</v>
      </c>
      <c r="AO409" s="9">
        <v>0</v>
      </c>
      <c r="AP409" s="9">
        <v>0</v>
      </c>
      <c r="AQ409" s="9">
        <v>0</v>
      </c>
      <c r="AR409" s="9">
        <v>0</v>
      </c>
      <c r="AS409" s="9">
        <v>0</v>
      </c>
      <c r="AT409" s="9">
        <v>0</v>
      </c>
      <c r="AU409" s="9">
        <v>0</v>
      </c>
      <c r="AV409" s="9">
        <v>0</v>
      </c>
      <c r="AW409" s="9">
        <v>0</v>
      </c>
      <c r="AX409" s="9">
        <v>0</v>
      </c>
      <c r="AY409" s="9">
        <v>0</v>
      </c>
      <c r="AZ409" s="9">
        <v>0</v>
      </c>
      <c r="BA409" s="9">
        <v>0</v>
      </c>
      <c r="BB409" s="9">
        <v>0</v>
      </c>
      <c r="BC409" s="9">
        <v>0</v>
      </c>
      <c r="BD409" s="9">
        <v>0</v>
      </c>
      <c r="BE409" s="9">
        <v>0</v>
      </c>
      <c r="BF409" s="9">
        <v>0</v>
      </c>
      <c r="BG409" s="9">
        <v>0</v>
      </c>
      <c r="BH409" s="9">
        <v>0</v>
      </c>
      <c r="BI409" s="9">
        <v>0</v>
      </c>
      <c r="BJ409" s="9">
        <v>0</v>
      </c>
      <c r="BK409" s="9">
        <v>0</v>
      </c>
      <c r="BL409" s="9">
        <v>0</v>
      </c>
      <c r="BM409" s="9">
        <v>0</v>
      </c>
      <c r="BN409" s="9">
        <v>0</v>
      </c>
      <c r="BO409" s="9">
        <v>0</v>
      </c>
      <c r="BP409" s="10">
        <v>0</v>
      </c>
      <c r="BQ409">
        <v>0</v>
      </c>
      <c r="BR409">
        <v>0</v>
      </c>
    </row>
    <row r="410" spans="1:70" x14ac:dyDescent="0.35">
      <c r="A410" s="8" t="s">
        <v>413</v>
      </c>
      <c r="B410" s="9" t="s">
        <v>1198</v>
      </c>
      <c r="C410" s="10" t="s">
        <v>1199</v>
      </c>
      <c r="D410" s="34">
        <f t="shared" si="8"/>
        <v>0</v>
      </c>
      <c r="E410" s="9">
        <v>0</v>
      </c>
      <c r="F410" s="9">
        <v>0</v>
      </c>
      <c r="G410" s="9">
        <v>0</v>
      </c>
      <c r="H410" s="9">
        <v>0</v>
      </c>
      <c r="I410" s="9">
        <v>0</v>
      </c>
      <c r="J410" s="9">
        <v>0</v>
      </c>
      <c r="K410" s="9">
        <v>0</v>
      </c>
      <c r="L410" s="9">
        <v>0</v>
      </c>
      <c r="M410" s="9">
        <v>0</v>
      </c>
      <c r="N410" s="9">
        <v>0</v>
      </c>
      <c r="O410" s="9">
        <v>0</v>
      </c>
      <c r="P410" s="9">
        <v>0</v>
      </c>
      <c r="Q410" s="9">
        <v>0</v>
      </c>
      <c r="R410" s="9">
        <v>0</v>
      </c>
      <c r="S410" s="9">
        <v>0</v>
      </c>
      <c r="T410" s="9">
        <v>0</v>
      </c>
      <c r="U410" s="9">
        <v>0</v>
      </c>
      <c r="V410" s="9">
        <v>0</v>
      </c>
      <c r="W410" s="9">
        <v>0</v>
      </c>
      <c r="X410" s="9">
        <v>0</v>
      </c>
      <c r="Y410" s="9">
        <v>0</v>
      </c>
      <c r="Z410" s="9">
        <v>0</v>
      </c>
      <c r="AA410" s="9">
        <v>0</v>
      </c>
      <c r="AB410" s="9">
        <v>0</v>
      </c>
      <c r="AC410" s="9">
        <v>0</v>
      </c>
      <c r="AD410" s="9">
        <v>0</v>
      </c>
      <c r="AE410" s="9">
        <v>0</v>
      </c>
      <c r="AF410" s="9">
        <v>0</v>
      </c>
      <c r="AG410" s="9">
        <v>0</v>
      </c>
      <c r="AH410" s="9">
        <v>0</v>
      </c>
      <c r="AI410" s="9">
        <v>0</v>
      </c>
      <c r="AJ410" s="9">
        <v>0</v>
      </c>
      <c r="AK410" s="9">
        <v>0</v>
      </c>
      <c r="AL410" s="9">
        <v>0</v>
      </c>
      <c r="AM410" s="9">
        <v>0</v>
      </c>
      <c r="AN410" s="9">
        <v>0</v>
      </c>
      <c r="AO410" s="9">
        <v>0</v>
      </c>
      <c r="AP410" s="9">
        <v>0</v>
      </c>
      <c r="AQ410" s="9">
        <v>0</v>
      </c>
      <c r="AR410" s="9">
        <v>0</v>
      </c>
      <c r="AS410" s="9">
        <v>0</v>
      </c>
      <c r="AT410" s="9">
        <v>0</v>
      </c>
      <c r="AU410" s="9">
        <v>0</v>
      </c>
      <c r="AV410" s="9">
        <v>0</v>
      </c>
      <c r="AW410" s="9">
        <v>0</v>
      </c>
      <c r="AX410" s="9">
        <v>0</v>
      </c>
      <c r="AY410" s="9">
        <v>0</v>
      </c>
      <c r="AZ410" s="9">
        <v>0</v>
      </c>
      <c r="BA410" s="9">
        <v>0</v>
      </c>
      <c r="BB410" s="9">
        <v>0</v>
      </c>
      <c r="BC410" s="9">
        <v>0</v>
      </c>
      <c r="BD410" s="9">
        <v>0</v>
      </c>
      <c r="BE410" s="9">
        <v>0</v>
      </c>
      <c r="BF410" s="9">
        <v>0</v>
      </c>
      <c r="BG410" s="9">
        <v>0</v>
      </c>
      <c r="BH410" s="9">
        <v>0</v>
      </c>
      <c r="BI410" s="9">
        <v>0</v>
      </c>
      <c r="BJ410" s="9">
        <v>0</v>
      </c>
      <c r="BK410" s="9">
        <v>0</v>
      </c>
      <c r="BL410" s="9">
        <v>0</v>
      </c>
      <c r="BM410" s="9">
        <v>0</v>
      </c>
      <c r="BN410" s="9">
        <v>0</v>
      </c>
      <c r="BO410" s="9">
        <v>0</v>
      </c>
      <c r="BP410" s="10">
        <v>0</v>
      </c>
      <c r="BQ410">
        <v>0</v>
      </c>
      <c r="BR410">
        <v>0</v>
      </c>
    </row>
    <row r="411" spans="1:70" x14ac:dyDescent="0.35">
      <c r="A411" s="8" t="s">
        <v>413</v>
      </c>
      <c r="B411" s="9" t="s">
        <v>1200</v>
      </c>
      <c r="C411" s="10" t="s">
        <v>1201</v>
      </c>
      <c r="D411" s="34">
        <f t="shared" si="8"/>
        <v>0</v>
      </c>
      <c r="E411" s="9">
        <v>0</v>
      </c>
      <c r="F411" s="9">
        <v>0</v>
      </c>
      <c r="G411" s="9">
        <v>0</v>
      </c>
      <c r="H411" s="9">
        <v>0</v>
      </c>
      <c r="I411" s="9">
        <v>0</v>
      </c>
      <c r="J411" s="9">
        <v>0</v>
      </c>
      <c r="K411" s="9">
        <v>0</v>
      </c>
      <c r="L411" s="9">
        <v>0</v>
      </c>
      <c r="M411" s="9">
        <v>0</v>
      </c>
      <c r="N411" s="9">
        <v>0</v>
      </c>
      <c r="O411" s="9">
        <v>0</v>
      </c>
      <c r="P411" s="9">
        <v>0</v>
      </c>
      <c r="Q411" s="9">
        <v>0</v>
      </c>
      <c r="R411" s="9">
        <v>0</v>
      </c>
      <c r="S411" s="9">
        <v>0</v>
      </c>
      <c r="T411" s="9">
        <v>0</v>
      </c>
      <c r="U411" s="9">
        <v>0</v>
      </c>
      <c r="V411" s="9">
        <v>0</v>
      </c>
      <c r="W411" s="9">
        <v>0</v>
      </c>
      <c r="X411" s="9">
        <v>0</v>
      </c>
      <c r="Y411" s="9">
        <v>0</v>
      </c>
      <c r="Z411" s="9">
        <v>0</v>
      </c>
      <c r="AA411" s="9">
        <v>0</v>
      </c>
      <c r="AB411" s="9">
        <v>0</v>
      </c>
      <c r="AC411" s="9">
        <v>0</v>
      </c>
      <c r="AD411" s="9">
        <v>0</v>
      </c>
      <c r="AE411" s="9">
        <v>0</v>
      </c>
      <c r="AF411" s="9">
        <v>0</v>
      </c>
      <c r="AG411" s="9">
        <v>0</v>
      </c>
      <c r="AH411" s="9">
        <v>0</v>
      </c>
      <c r="AI411" s="9">
        <v>0</v>
      </c>
      <c r="AJ411" s="9">
        <v>0</v>
      </c>
      <c r="AK411" s="9">
        <v>0</v>
      </c>
      <c r="AL411" s="9">
        <v>0</v>
      </c>
      <c r="AM411" s="9">
        <v>0</v>
      </c>
      <c r="AN411" s="9">
        <v>0</v>
      </c>
      <c r="AO411" s="9">
        <v>0</v>
      </c>
      <c r="AP411" s="9">
        <v>0</v>
      </c>
      <c r="AQ411" s="9">
        <v>0</v>
      </c>
      <c r="AR411" s="9">
        <v>0</v>
      </c>
      <c r="AS411" s="9">
        <v>0</v>
      </c>
      <c r="AT411" s="9">
        <v>0</v>
      </c>
      <c r="AU411" s="9">
        <v>0</v>
      </c>
      <c r="AV411" s="9">
        <v>0</v>
      </c>
      <c r="AW411" s="9">
        <v>0</v>
      </c>
      <c r="AX411" s="9">
        <v>0</v>
      </c>
      <c r="AY411" s="9">
        <v>0</v>
      </c>
      <c r="AZ411" s="9">
        <v>0</v>
      </c>
      <c r="BA411" s="9">
        <v>0</v>
      </c>
      <c r="BB411" s="9">
        <v>0</v>
      </c>
      <c r="BC411" s="9">
        <v>0</v>
      </c>
      <c r="BD411" s="9">
        <v>0</v>
      </c>
      <c r="BE411" s="9">
        <v>0</v>
      </c>
      <c r="BF411" s="9">
        <v>0</v>
      </c>
      <c r="BG411" s="9">
        <v>0</v>
      </c>
      <c r="BH411" s="9">
        <v>0</v>
      </c>
      <c r="BI411" s="9">
        <v>0</v>
      </c>
      <c r="BJ411" s="9">
        <v>0</v>
      </c>
      <c r="BK411" s="9">
        <v>0</v>
      </c>
      <c r="BL411" s="9">
        <v>0</v>
      </c>
      <c r="BM411" s="9">
        <v>0</v>
      </c>
      <c r="BN411" s="9">
        <v>0</v>
      </c>
      <c r="BO411" s="9">
        <v>0</v>
      </c>
      <c r="BP411" s="10">
        <v>0</v>
      </c>
      <c r="BQ411">
        <v>0</v>
      </c>
      <c r="BR411">
        <v>0</v>
      </c>
    </row>
    <row r="412" spans="1:70" x14ac:dyDescent="0.35">
      <c r="A412" s="8" t="s">
        <v>413</v>
      </c>
      <c r="B412" s="9" t="s">
        <v>1202</v>
      </c>
      <c r="C412" s="10" t="s">
        <v>1203</v>
      </c>
      <c r="D412" s="34">
        <f t="shared" si="8"/>
        <v>0</v>
      </c>
      <c r="E412" s="9">
        <v>0</v>
      </c>
      <c r="F412" s="9">
        <v>0</v>
      </c>
      <c r="G412" s="9">
        <v>0</v>
      </c>
      <c r="H412" s="9">
        <v>0</v>
      </c>
      <c r="I412" s="9">
        <v>0</v>
      </c>
      <c r="J412" s="9">
        <v>0</v>
      </c>
      <c r="K412" s="9">
        <v>0</v>
      </c>
      <c r="L412" s="9">
        <v>0</v>
      </c>
      <c r="M412" s="9">
        <v>0</v>
      </c>
      <c r="N412" s="9">
        <v>0</v>
      </c>
      <c r="O412" s="9">
        <v>0</v>
      </c>
      <c r="P412" s="9">
        <v>0</v>
      </c>
      <c r="Q412" s="9">
        <v>0</v>
      </c>
      <c r="R412" s="9">
        <v>0</v>
      </c>
      <c r="S412" s="9">
        <v>0</v>
      </c>
      <c r="T412" s="9">
        <v>0</v>
      </c>
      <c r="U412" s="9">
        <v>0</v>
      </c>
      <c r="V412" s="9">
        <v>0</v>
      </c>
      <c r="W412" s="9">
        <v>0</v>
      </c>
      <c r="X412" s="9">
        <v>0</v>
      </c>
      <c r="Y412" s="9">
        <v>0</v>
      </c>
      <c r="Z412" s="9">
        <v>0</v>
      </c>
      <c r="AA412" s="9">
        <v>0</v>
      </c>
      <c r="AB412" s="9">
        <v>0</v>
      </c>
      <c r="AC412" s="9">
        <v>0</v>
      </c>
      <c r="AD412" s="9">
        <v>0</v>
      </c>
      <c r="AE412" s="9">
        <v>0</v>
      </c>
      <c r="AF412" s="9">
        <v>0</v>
      </c>
      <c r="AG412" s="9">
        <v>0</v>
      </c>
      <c r="AH412" s="9">
        <v>0</v>
      </c>
      <c r="AI412" s="9">
        <v>0</v>
      </c>
      <c r="AJ412" s="9">
        <v>0</v>
      </c>
      <c r="AK412" s="9">
        <v>0</v>
      </c>
      <c r="AL412" s="9">
        <v>0</v>
      </c>
      <c r="AM412" s="9">
        <v>0</v>
      </c>
      <c r="AN412" s="9">
        <v>0</v>
      </c>
      <c r="AO412" s="9">
        <v>0</v>
      </c>
      <c r="AP412" s="9">
        <v>0</v>
      </c>
      <c r="AQ412" s="9">
        <v>0</v>
      </c>
      <c r="AR412" s="9">
        <v>0</v>
      </c>
      <c r="AS412" s="9">
        <v>0</v>
      </c>
      <c r="AT412" s="9">
        <v>0</v>
      </c>
      <c r="AU412" s="9">
        <v>0</v>
      </c>
      <c r="AV412" s="9">
        <v>0</v>
      </c>
      <c r="AW412" s="9">
        <v>0</v>
      </c>
      <c r="AX412" s="9">
        <v>0</v>
      </c>
      <c r="AY412" s="9">
        <v>0</v>
      </c>
      <c r="AZ412" s="9">
        <v>0</v>
      </c>
      <c r="BA412" s="9">
        <v>0</v>
      </c>
      <c r="BB412" s="9">
        <v>0</v>
      </c>
      <c r="BC412" s="9">
        <v>0</v>
      </c>
      <c r="BD412" s="9">
        <v>0</v>
      </c>
      <c r="BE412" s="9">
        <v>0</v>
      </c>
      <c r="BF412" s="9">
        <v>0</v>
      </c>
      <c r="BG412" s="9">
        <v>0</v>
      </c>
      <c r="BH412" s="9">
        <v>0</v>
      </c>
      <c r="BI412" s="9">
        <v>0</v>
      </c>
      <c r="BJ412" s="9">
        <v>0</v>
      </c>
      <c r="BK412" s="9">
        <v>0</v>
      </c>
      <c r="BL412" s="9">
        <v>0</v>
      </c>
      <c r="BM412" s="9">
        <v>0</v>
      </c>
      <c r="BN412" s="9">
        <v>0</v>
      </c>
      <c r="BO412" s="9">
        <v>0</v>
      </c>
      <c r="BP412" s="10">
        <v>0</v>
      </c>
      <c r="BQ412">
        <v>0</v>
      </c>
      <c r="BR412">
        <v>0</v>
      </c>
    </row>
    <row r="413" spans="1:70" x14ac:dyDescent="0.35">
      <c r="A413" s="8" t="s">
        <v>413</v>
      </c>
      <c r="B413" s="9" t="s">
        <v>438</v>
      </c>
      <c r="C413" s="10" t="s">
        <v>1204</v>
      </c>
      <c r="D413" s="34">
        <f t="shared" si="8"/>
        <v>1</v>
      </c>
      <c r="E413" s="9">
        <v>0</v>
      </c>
      <c r="F413" s="9">
        <v>0</v>
      </c>
      <c r="G413" s="9">
        <v>0</v>
      </c>
      <c r="H413" s="9">
        <v>0</v>
      </c>
      <c r="I413" s="9">
        <v>0</v>
      </c>
      <c r="J413" s="9">
        <v>0</v>
      </c>
      <c r="K413" s="9">
        <v>0</v>
      </c>
      <c r="L413" s="9">
        <v>0</v>
      </c>
      <c r="M413" s="9">
        <v>0</v>
      </c>
      <c r="N413" s="9">
        <v>0</v>
      </c>
      <c r="O413" s="9">
        <v>0</v>
      </c>
      <c r="P413" s="9">
        <v>0</v>
      </c>
      <c r="Q413" s="9">
        <v>0</v>
      </c>
      <c r="R413" s="9">
        <v>0</v>
      </c>
      <c r="S413" s="9">
        <v>0</v>
      </c>
      <c r="T413" s="9">
        <v>0</v>
      </c>
      <c r="U413" s="9">
        <v>0</v>
      </c>
      <c r="V413" s="9">
        <v>0</v>
      </c>
      <c r="W413" s="9">
        <v>0</v>
      </c>
      <c r="X413" s="9">
        <v>0</v>
      </c>
      <c r="Y413" s="9">
        <v>0</v>
      </c>
      <c r="Z413" s="9">
        <v>0</v>
      </c>
      <c r="AA413" s="9">
        <v>0</v>
      </c>
      <c r="AB413" s="9">
        <v>0</v>
      </c>
      <c r="AC413" s="9">
        <v>0</v>
      </c>
      <c r="AD413" s="9">
        <v>1</v>
      </c>
      <c r="AE413" s="9">
        <v>1</v>
      </c>
      <c r="AF413" s="9">
        <v>1</v>
      </c>
      <c r="AG413" s="9">
        <v>1</v>
      </c>
      <c r="AH413" s="9">
        <v>1</v>
      </c>
      <c r="AI413" s="9">
        <v>1</v>
      </c>
      <c r="AJ413" s="9">
        <v>1</v>
      </c>
      <c r="AK413" s="9">
        <v>1</v>
      </c>
      <c r="AL413" s="9">
        <v>1</v>
      </c>
      <c r="AM413" s="9">
        <v>1</v>
      </c>
      <c r="AN413" s="9">
        <v>1</v>
      </c>
      <c r="AO413" s="9">
        <v>1</v>
      </c>
      <c r="AP413" s="9">
        <v>0</v>
      </c>
      <c r="AQ413" s="9">
        <v>0</v>
      </c>
      <c r="AR413" s="9">
        <v>0</v>
      </c>
      <c r="AS413" s="9">
        <v>0</v>
      </c>
      <c r="AT413" s="9">
        <v>0</v>
      </c>
      <c r="AU413" s="9">
        <v>0</v>
      </c>
      <c r="AV413" s="9">
        <v>0</v>
      </c>
      <c r="AW413" s="9">
        <v>0</v>
      </c>
      <c r="AX413" s="9">
        <v>0</v>
      </c>
      <c r="AY413" s="9">
        <v>0</v>
      </c>
      <c r="AZ413" s="9">
        <v>0</v>
      </c>
      <c r="BA413" s="9">
        <v>0</v>
      </c>
      <c r="BB413" s="9">
        <v>0</v>
      </c>
      <c r="BC413" s="9">
        <v>1</v>
      </c>
      <c r="BD413" s="9">
        <v>1</v>
      </c>
      <c r="BE413" s="9">
        <v>1</v>
      </c>
      <c r="BF413" s="9">
        <v>0</v>
      </c>
      <c r="BG413" s="9">
        <v>0</v>
      </c>
      <c r="BH413" s="9">
        <v>1</v>
      </c>
      <c r="BI413" s="9">
        <v>0</v>
      </c>
      <c r="BJ413" s="9">
        <v>1</v>
      </c>
      <c r="BK413" s="9">
        <v>1</v>
      </c>
      <c r="BL413" s="9">
        <v>1</v>
      </c>
      <c r="BM413" s="9">
        <v>1</v>
      </c>
      <c r="BN413" s="9">
        <v>1</v>
      </c>
      <c r="BO413" s="9">
        <v>1</v>
      </c>
      <c r="BP413" s="10">
        <v>1</v>
      </c>
      <c r="BQ413">
        <v>1</v>
      </c>
      <c r="BR413">
        <v>1</v>
      </c>
    </row>
    <row r="414" spans="1:70" x14ac:dyDescent="0.35">
      <c r="A414" s="8" t="s">
        <v>413</v>
      </c>
      <c r="B414" s="9" t="s">
        <v>440</v>
      </c>
      <c r="C414" s="10" t="s">
        <v>1205</v>
      </c>
      <c r="D414" s="34">
        <f t="shared" si="8"/>
        <v>7</v>
      </c>
      <c r="E414" s="9">
        <v>1</v>
      </c>
      <c r="F414" s="9">
        <v>0</v>
      </c>
      <c r="G414" s="9">
        <v>0</v>
      </c>
      <c r="H414" s="9">
        <v>0</v>
      </c>
      <c r="I414" s="9">
        <v>0</v>
      </c>
      <c r="J414" s="9">
        <v>0</v>
      </c>
      <c r="K414" s="9">
        <v>0</v>
      </c>
      <c r="L414" s="9">
        <v>0</v>
      </c>
      <c r="M414" s="9">
        <v>0</v>
      </c>
      <c r="N414" s="9">
        <v>0</v>
      </c>
      <c r="O414" s="9">
        <v>0</v>
      </c>
      <c r="P414" s="9">
        <v>1</v>
      </c>
      <c r="Q414" s="9">
        <v>0</v>
      </c>
      <c r="R414" s="9">
        <v>0</v>
      </c>
      <c r="S414" s="9">
        <v>0</v>
      </c>
      <c r="T414" s="9">
        <v>0</v>
      </c>
      <c r="U414" s="9">
        <v>0</v>
      </c>
      <c r="V414" s="9">
        <v>0</v>
      </c>
      <c r="W414" s="9">
        <v>0</v>
      </c>
      <c r="X414" s="9">
        <v>0</v>
      </c>
      <c r="Y414" s="9">
        <v>0</v>
      </c>
      <c r="Z414" s="9">
        <v>0</v>
      </c>
      <c r="AA414" s="9">
        <v>0</v>
      </c>
      <c r="AB414" s="9">
        <v>0</v>
      </c>
      <c r="AC414" s="9">
        <v>0</v>
      </c>
      <c r="AD414" s="9">
        <v>0</v>
      </c>
      <c r="AE414" s="9">
        <v>0</v>
      </c>
      <c r="AF414" s="9">
        <v>0</v>
      </c>
      <c r="AG414" s="9">
        <v>0</v>
      </c>
      <c r="AH414" s="9">
        <v>0</v>
      </c>
      <c r="AI414" s="9">
        <v>0</v>
      </c>
      <c r="AJ414" s="9">
        <v>0</v>
      </c>
      <c r="AK414" s="9">
        <v>0</v>
      </c>
      <c r="AL414" s="9">
        <v>0</v>
      </c>
      <c r="AM414" s="9">
        <v>0</v>
      </c>
      <c r="AN414" s="9">
        <v>1</v>
      </c>
      <c r="AO414" s="9">
        <v>1</v>
      </c>
      <c r="AP414" s="9">
        <v>1</v>
      </c>
      <c r="AQ414" s="9">
        <v>1</v>
      </c>
      <c r="AR414" s="9">
        <v>2</v>
      </c>
      <c r="AS414" s="9">
        <v>2</v>
      </c>
      <c r="AT414" s="9">
        <v>2</v>
      </c>
      <c r="AU414" s="9">
        <v>2</v>
      </c>
      <c r="AV414" s="9">
        <v>3</v>
      </c>
      <c r="AW414" s="9">
        <v>2</v>
      </c>
      <c r="AX414" s="9">
        <v>1</v>
      </c>
      <c r="AY414" s="9">
        <v>1</v>
      </c>
      <c r="AZ414" s="9">
        <v>1</v>
      </c>
      <c r="BA414" s="9">
        <v>2</v>
      </c>
      <c r="BB414" s="9">
        <v>2</v>
      </c>
      <c r="BC414" s="9">
        <v>2</v>
      </c>
      <c r="BD414" s="9">
        <v>2</v>
      </c>
      <c r="BE414" s="9">
        <v>2</v>
      </c>
      <c r="BF414" s="9">
        <v>4</v>
      </c>
      <c r="BG414" s="9">
        <v>4</v>
      </c>
      <c r="BH414" s="9">
        <v>5</v>
      </c>
      <c r="BI414" s="9">
        <v>5</v>
      </c>
      <c r="BJ414" s="9">
        <v>3</v>
      </c>
      <c r="BK414" s="9">
        <v>3</v>
      </c>
      <c r="BL414" s="9">
        <v>4</v>
      </c>
      <c r="BM414" s="9">
        <v>3</v>
      </c>
      <c r="BN414" s="9">
        <v>3</v>
      </c>
      <c r="BO414" s="9">
        <v>4</v>
      </c>
      <c r="BP414" s="10">
        <v>5</v>
      </c>
      <c r="BQ414">
        <v>6</v>
      </c>
      <c r="BR414">
        <v>7</v>
      </c>
    </row>
    <row r="415" spans="1:70" x14ac:dyDescent="0.35">
      <c r="A415" s="8" t="s">
        <v>413</v>
      </c>
      <c r="B415" s="9" t="s">
        <v>442</v>
      </c>
      <c r="C415" s="10" t="s">
        <v>1206</v>
      </c>
      <c r="D415" s="34">
        <f t="shared" si="8"/>
        <v>37</v>
      </c>
      <c r="E415" s="9">
        <v>0</v>
      </c>
      <c r="F415" s="9">
        <v>0</v>
      </c>
      <c r="G415" s="9">
        <v>0</v>
      </c>
      <c r="H415" s="9">
        <v>0</v>
      </c>
      <c r="I415" s="9">
        <v>0</v>
      </c>
      <c r="J415" s="9">
        <v>0</v>
      </c>
      <c r="K415" s="9">
        <v>0</v>
      </c>
      <c r="L415" s="9">
        <v>0</v>
      </c>
      <c r="M415" s="9">
        <v>0</v>
      </c>
      <c r="N415" s="9">
        <v>0</v>
      </c>
      <c r="O415" s="9">
        <v>0</v>
      </c>
      <c r="P415" s="9">
        <v>0</v>
      </c>
      <c r="Q415" s="9">
        <v>0</v>
      </c>
      <c r="R415" s="9">
        <v>0</v>
      </c>
      <c r="S415" s="9">
        <v>0</v>
      </c>
      <c r="T415" s="9">
        <v>0</v>
      </c>
      <c r="U415" s="9">
        <v>1</v>
      </c>
      <c r="V415" s="9">
        <v>0</v>
      </c>
      <c r="W415" s="9">
        <v>0</v>
      </c>
      <c r="X415" s="9">
        <v>0</v>
      </c>
      <c r="Y415" s="9">
        <v>0</v>
      </c>
      <c r="Z415" s="9">
        <v>0</v>
      </c>
      <c r="AA415" s="9">
        <v>1</v>
      </c>
      <c r="AB415" s="9">
        <v>3</v>
      </c>
      <c r="AC415" s="9">
        <v>3</v>
      </c>
      <c r="AD415" s="9">
        <v>1</v>
      </c>
      <c r="AE415" s="9">
        <v>2</v>
      </c>
      <c r="AF415" s="9">
        <v>4</v>
      </c>
      <c r="AG415" s="9">
        <v>3</v>
      </c>
      <c r="AH415" s="9">
        <v>3</v>
      </c>
      <c r="AI415" s="9">
        <v>2</v>
      </c>
      <c r="AJ415" s="9">
        <v>3</v>
      </c>
      <c r="AK415" s="9">
        <v>2</v>
      </c>
      <c r="AL415" s="9">
        <v>1</v>
      </c>
      <c r="AM415" s="9">
        <v>1</v>
      </c>
      <c r="AN415" s="9">
        <v>3</v>
      </c>
      <c r="AO415" s="9">
        <v>8</v>
      </c>
      <c r="AP415" s="9">
        <v>6</v>
      </c>
      <c r="AQ415" s="9">
        <v>5</v>
      </c>
      <c r="AR415" s="9">
        <v>4</v>
      </c>
      <c r="AS415" s="9">
        <v>4</v>
      </c>
      <c r="AT415" s="9">
        <v>4</v>
      </c>
      <c r="AU415" s="9">
        <v>6</v>
      </c>
      <c r="AV415" s="9">
        <v>3</v>
      </c>
      <c r="AW415" s="9">
        <v>5</v>
      </c>
      <c r="AX415" s="9">
        <v>6</v>
      </c>
      <c r="AY415" s="9">
        <v>13</v>
      </c>
      <c r="AZ415" s="9">
        <v>14</v>
      </c>
      <c r="BA415" s="9">
        <v>17</v>
      </c>
      <c r="BB415" s="9">
        <v>18</v>
      </c>
      <c r="BC415" s="9">
        <v>19</v>
      </c>
      <c r="BD415" s="9">
        <v>19</v>
      </c>
      <c r="BE415" s="9">
        <v>25</v>
      </c>
      <c r="BF415" s="9">
        <v>26</v>
      </c>
      <c r="BG415" s="9">
        <v>28</v>
      </c>
      <c r="BH415" s="9">
        <v>32</v>
      </c>
      <c r="BI415" s="9">
        <v>32</v>
      </c>
      <c r="BJ415" s="9">
        <v>37</v>
      </c>
      <c r="BK415" s="9">
        <v>31</v>
      </c>
      <c r="BL415" s="9">
        <v>33</v>
      </c>
      <c r="BM415" s="9">
        <v>30</v>
      </c>
      <c r="BN415" s="9">
        <v>30</v>
      </c>
      <c r="BO415" s="9">
        <v>30</v>
      </c>
      <c r="BP415" s="10">
        <v>28</v>
      </c>
      <c r="BQ415">
        <v>27</v>
      </c>
      <c r="BR415">
        <v>25</v>
      </c>
    </row>
    <row r="416" spans="1:70" x14ac:dyDescent="0.35">
      <c r="A416" s="8" t="s">
        <v>413</v>
      </c>
      <c r="B416" s="9" t="s">
        <v>444</v>
      </c>
      <c r="C416" s="10" t="s">
        <v>1207</v>
      </c>
      <c r="D416" s="34">
        <f t="shared" si="8"/>
        <v>9</v>
      </c>
      <c r="E416" s="9">
        <v>1</v>
      </c>
      <c r="F416" s="9">
        <v>1</v>
      </c>
      <c r="G416" s="9">
        <v>1</v>
      </c>
      <c r="H416" s="9">
        <v>1</v>
      </c>
      <c r="I416" s="9">
        <v>1</v>
      </c>
      <c r="J416" s="9">
        <v>1</v>
      </c>
      <c r="K416" s="9">
        <v>0</v>
      </c>
      <c r="L416" s="9">
        <v>0</v>
      </c>
      <c r="M416" s="9">
        <v>0</v>
      </c>
      <c r="N416" s="9">
        <v>0</v>
      </c>
      <c r="O416" s="9">
        <v>0</v>
      </c>
      <c r="P416" s="9">
        <v>0</v>
      </c>
      <c r="Q416" s="9">
        <v>0</v>
      </c>
      <c r="R416" s="9">
        <v>0</v>
      </c>
      <c r="S416" s="9">
        <v>0</v>
      </c>
      <c r="T416" s="9">
        <v>0</v>
      </c>
      <c r="U416" s="9">
        <v>0</v>
      </c>
      <c r="V416" s="9">
        <v>0</v>
      </c>
      <c r="W416" s="9">
        <v>1</v>
      </c>
      <c r="X416" s="9">
        <v>1</v>
      </c>
      <c r="Y416" s="9">
        <v>1</v>
      </c>
      <c r="Z416" s="9">
        <v>1</v>
      </c>
      <c r="AA416" s="9">
        <v>1</v>
      </c>
      <c r="AB416" s="9">
        <v>1</v>
      </c>
      <c r="AC416" s="9">
        <v>1</v>
      </c>
      <c r="AD416" s="9">
        <v>0</v>
      </c>
      <c r="AE416" s="9">
        <v>2</v>
      </c>
      <c r="AF416" s="9">
        <v>1</v>
      </c>
      <c r="AG416" s="9">
        <v>1</v>
      </c>
      <c r="AH416" s="9">
        <v>1</v>
      </c>
      <c r="AI416" s="9">
        <v>1</v>
      </c>
      <c r="AJ416" s="9">
        <v>1</v>
      </c>
      <c r="AK416" s="9">
        <v>1</v>
      </c>
      <c r="AL416" s="9">
        <v>0</v>
      </c>
      <c r="AM416" s="9">
        <v>0</v>
      </c>
      <c r="AN416" s="9">
        <v>0</v>
      </c>
      <c r="AO416" s="9">
        <v>1</v>
      </c>
      <c r="AP416" s="9">
        <v>1</v>
      </c>
      <c r="AQ416" s="9">
        <v>2</v>
      </c>
      <c r="AR416" s="9">
        <v>1</v>
      </c>
      <c r="AS416" s="9">
        <v>0</v>
      </c>
      <c r="AT416" s="9">
        <v>0</v>
      </c>
      <c r="AU416" s="9">
        <v>0</v>
      </c>
      <c r="AV416" s="9">
        <v>0</v>
      </c>
      <c r="AW416" s="9">
        <v>1</v>
      </c>
      <c r="AX416" s="9">
        <v>1</v>
      </c>
      <c r="AY416" s="9">
        <v>1</v>
      </c>
      <c r="AZ416" s="9">
        <v>1</v>
      </c>
      <c r="BA416" s="9">
        <v>0</v>
      </c>
      <c r="BB416" s="9">
        <v>0</v>
      </c>
      <c r="BC416" s="9">
        <v>0</v>
      </c>
      <c r="BD416" s="9">
        <v>0</v>
      </c>
      <c r="BE416" s="9">
        <v>0</v>
      </c>
      <c r="BF416" s="9">
        <v>0</v>
      </c>
      <c r="BG416" s="9">
        <v>1</v>
      </c>
      <c r="BH416" s="9">
        <v>2</v>
      </c>
      <c r="BI416" s="9">
        <v>2</v>
      </c>
      <c r="BJ416" s="9">
        <v>2</v>
      </c>
      <c r="BK416" s="9">
        <v>2</v>
      </c>
      <c r="BL416" s="9">
        <v>2</v>
      </c>
      <c r="BM416" s="9">
        <v>2</v>
      </c>
      <c r="BN416" s="9">
        <v>4</v>
      </c>
      <c r="BO416" s="9">
        <v>4</v>
      </c>
      <c r="BP416" s="10">
        <v>4</v>
      </c>
      <c r="BQ416">
        <v>9</v>
      </c>
      <c r="BR416">
        <v>8</v>
      </c>
    </row>
    <row r="417" spans="1:70" x14ac:dyDescent="0.35">
      <c r="A417" s="8" t="s">
        <v>413</v>
      </c>
      <c r="B417" s="9" t="s">
        <v>446</v>
      </c>
      <c r="C417" s="10" t="s">
        <v>1208</v>
      </c>
      <c r="D417" s="34">
        <f t="shared" si="8"/>
        <v>88</v>
      </c>
      <c r="E417" s="9">
        <v>3</v>
      </c>
      <c r="F417" s="9">
        <v>3</v>
      </c>
      <c r="G417" s="9">
        <v>2</v>
      </c>
      <c r="H417" s="9">
        <v>4</v>
      </c>
      <c r="I417" s="9">
        <v>3</v>
      </c>
      <c r="J417" s="9">
        <v>2</v>
      </c>
      <c r="K417" s="9">
        <v>6</v>
      </c>
      <c r="L417" s="9">
        <v>5</v>
      </c>
      <c r="M417" s="9">
        <v>4</v>
      </c>
      <c r="N417" s="9">
        <v>6</v>
      </c>
      <c r="O417" s="9">
        <v>13</v>
      </c>
      <c r="P417" s="9">
        <v>13</v>
      </c>
      <c r="Q417" s="9">
        <v>11</v>
      </c>
      <c r="R417" s="9">
        <v>11</v>
      </c>
      <c r="S417" s="9">
        <v>9</v>
      </c>
      <c r="T417" s="9">
        <v>8</v>
      </c>
      <c r="U417" s="9">
        <v>6</v>
      </c>
      <c r="V417" s="9">
        <v>8</v>
      </c>
      <c r="W417" s="9">
        <v>8</v>
      </c>
      <c r="X417" s="9">
        <v>13</v>
      </c>
      <c r="Y417" s="9">
        <v>14</v>
      </c>
      <c r="Z417" s="9">
        <v>13</v>
      </c>
      <c r="AA417" s="9">
        <v>11</v>
      </c>
      <c r="AB417" s="9">
        <v>14</v>
      </c>
      <c r="AC417" s="9">
        <v>18</v>
      </c>
      <c r="AD417" s="9">
        <v>19</v>
      </c>
      <c r="AE417" s="9">
        <v>23</v>
      </c>
      <c r="AF417" s="9">
        <v>24</v>
      </c>
      <c r="AG417" s="9">
        <v>24</v>
      </c>
      <c r="AH417" s="9">
        <v>22</v>
      </c>
      <c r="AI417" s="9">
        <v>19</v>
      </c>
      <c r="AJ417" s="9">
        <v>20</v>
      </c>
      <c r="AK417" s="9">
        <v>17</v>
      </c>
      <c r="AL417" s="9">
        <v>21</v>
      </c>
      <c r="AM417" s="9">
        <v>20</v>
      </c>
      <c r="AN417" s="9">
        <v>17</v>
      </c>
      <c r="AO417" s="9">
        <v>18</v>
      </c>
      <c r="AP417" s="9">
        <v>20</v>
      </c>
      <c r="AQ417" s="9">
        <v>21</v>
      </c>
      <c r="AR417" s="9">
        <v>25</v>
      </c>
      <c r="AS417" s="9">
        <v>32</v>
      </c>
      <c r="AT417" s="9">
        <v>38</v>
      </c>
      <c r="AU417" s="9">
        <v>49</v>
      </c>
      <c r="AV417" s="9">
        <v>54</v>
      </c>
      <c r="AW417" s="9">
        <v>55</v>
      </c>
      <c r="AX417" s="9">
        <v>69</v>
      </c>
      <c r="AY417" s="9">
        <v>75</v>
      </c>
      <c r="AZ417" s="9">
        <v>0</v>
      </c>
      <c r="BA417" s="9">
        <v>70</v>
      </c>
      <c r="BB417" s="9">
        <v>62</v>
      </c>
      <c r="BC417" s="9">
        <v>65</v>
      </c>
      <c r="BD417" s="9">
        <v>65</v>
      </c>
      <c r="BE417" s="9">
        <v>69</v>
      </c>
      <c r="BF417" s="9">
        <v>87</v>
      </c>
      <c r="BG417" s="9">
        <v>87</v>
      </c>
      <c r="BH417" s="9">
        <v>87</v>
      </c>
      <c r="BI417" s="9">
        <v>88</v>
      </c>
      <c r="BJ417" s="9">
        <v>85</v>
      </c>
      <c r="BK417" s="9">
        <v>88</v>
      </c>
      <c r="BL417" s="9">
        <v>78</v>
      </c>
      <c r="BM417" s="9">
        <v>71</v>
      </c>
      <c r="BN417" s="9">
        <v>72</v>
      </c>
      <c r="BO417" s="9">
        <v>73</v>
      </c>
      <c r="BP417" s="10">
        <v>77</v>
      </c>
      <c r="BQ417">
        <v>77</v>
      </c>
      <c r="BR417">
        <v>59</v>
      </c>
    </row>
    <row r="418" spans="1:70" x14ac:dyDescent="0.35">
      <c r="A418" s="8" t="s">
        <v>413</v>
      </c>
      <c r="B418" s="9" t="s">
        <v>448</v>
      </c>
      <c r="C418" s="10" t="s">
        <v>1209</v>
      </c>
      <c r="D418" s="34">
        <f t="shared" si="8"/>
        <v>40</v>
      </c>
      <c r="E418" s="9">
        <v>1</v>
      </c>
      <c r="F418" s="9">
        <v>2</v>
      </c>
      <c r="G418" s="9">
        <v>2</v>
      </c>
      <c r="H418" s="9">
        <v>2</v>
      </c>
      <c r="I418" s="9">
        <v>3</v>
      </c>
      <c r="J418" s="9">
        <v>4</v>
      </c>
      <c r="K418" s="9">
        <v>4</v>
      </c>
      <c r="L418" s="9">
        <v>4</v>
      </c>
      <c r="M418" s="9">
        <v>3</v>
      </c>
      <c r="N418" s="9">
        <v>5</v>
      </c>
      <c r="O418" s="9">
        <v>5</v>
      </c>
      <c r="P418" s="9">
        <v>6</v>
      </c>
      <c r="Q418" s="9">
        <v>5</v>
      </c>
      <c r="R418" s="9">
        <v>5</v>
      </c>
      <c r="S418" s="9">
        <v>5</v>
      </c>
      <c r="T418" s="9">
        <v>5</v>
      </c>
      <c r="U418" s="9">
        <v>4</v>
      </c>
      <c r="V418" s="9">
        <v>4</v>
      </c>
      <c r="W418" s="9">
        <v>4</v>
      </c>
      <c r="X418" s="9">
        <v>4</v>
      </c>
      <c r="Y418" s="9">
        <v>3</v>
      </c>
      <c r="Z418" s="9">
        <v>3</v>
      </c>
      <c r="AA418" s="9">
        <v>3</v>
      </c>
      <c r="AB418" s="9">
        <v>3</v>
      </c>
      <c r="AC418" s="9">
        <v>4</v>
      </c>
      <c r="AD418" s="9">
        <v>3</v>
      </c>
      <c r="AE418" s="9">
        <v>4</v>
      </c>
      <c r="AF418" s="9">
        <v>4</v>
      </c>
      <c r="AG418" s="9">
        <v>5</v>
      </c>
      <c r="AH418" s="9">
        <v>5</v>
      </c>
      <c r="AI418" s="9">
        <v>5</v>
      </c>
      <c r="AJ418" s="9">
        <v>5</v>
      </c>
      <c r="AK418" s="9">
        <v>4</v>
      </c>
      <c r="AL418" s="9">
        <v>4</v>
      </c>
      <c r="AM418" s="9">
        <v>4</v>
      </c>
      <c r="AN418" s="9">
        <v>3</v>
      </c>
      <c r="AO418" s="9">
        <v>3</v>
      </c>
      <c r="AP418" s="9">
        <v>6</v>
      </c>
      <c r="AQ418" s="9">
        <v>10</v>
      </c>
      <c r="AR418" s="9">
        <v>10</v>
      </c>
      <c r="AS418" s="9">
        <v>9</v>
      </c>
      <c r="AT418" s="9">
        <v>8</v>
      </c>
      <c r="AU418" s="9">
        <v>7</v>
      </c>
      <c r="AV418" s="9">
        <v>14</v>
      </c>
      <c r="AW418" s="9">
        <v>14</v>
      </c>
      <c r="AX418" s="9">
        <v>16</v>
      </c>
      <c r="AY418" s="9">
        <v>18</v>
      </c>
      <c r="AZ418" s="9">
        <v>25</v>
      </c>
      <c r="BA418" s="9">
        <v>27</v>
      </c>
      <c r="BB418" s="9">
        <v>25</v>
      </c>
      <c r="BC418" s="9">
        <v>30</v>
      </c>
      <c r="BD418" s="9">
        <v>30</v>
      </c>
      <c r="BE418" s="9">
        <v>35</v>
      </c>
      <c r="BF418" s="9">
        <v>35</v>
      </c>
      <c r="BG418" s="9">
        <v>38</v>
      </c>
      <c r="BH418" s="9">
        <v>36</v>
      </c>
      <c r="BI418" s="9">
        <v>36</v>
      </c>
      <c r="BJ418" s="9">
        <v>40</v>
      </c>
      <c r="BK418" s="9">
        <v>39</v>
      </c>
      <c r="BL418" s="9">
        <v>36</v>
      </c>
      <c r="BM418" s="9">
        <v>36</v>
      </c>
      <c r="BN418" s="9">
        <v>36</v>
      </c>
      <c r="BO418" s="9">
        <v>35</v>
      </c>
      <c r="BP418" s="10">
        <v>36</v>
      </c>
      <c r="BQ418">
        <v>40</v>
      </c>
      <c r="BR418">
        <v>39</v>
      </c>
    </row>
    <row r="419" spans="1:70" x14ac:dyDescent="0.35">
      <c r="A419" s="8" t="s">
        <v>413</v>
      </c>
      <c r="B419" s="9" t="s">
        <v>450</v>
      </c>
      <c r="C419" s="10" t="s">
        <v>1210</v>
      </c>
      <c r="D419" s="34">
        <f t="shared" si="8"/>
        <v>71</v>
      </c>
      <c r="E419" s="9">
        <v>3</v>
      </c>
      <c r="F419" s="9">
        <v>3</v>
      </c>
      <c r="G419" s="9">
        <v>3</v>
      </c>
      <c r="H419" s="9">
        <v>2</v>
      </c>
      <c r="I419" s="9">
        <v>2</v>
      </c>
      <c r="J419" s="9">
        <v>2</v>
      </c>
      <c r="K419" s="9">
        <v>2</v>
      </c>
      <c r="L419" s="9">
        <v>2</v>
      </c>
      <c r="M419" s="9">
        <v>3</v>
      </c>
      <c r="N419" s="9">
        <v>4</v>
      </c>
      <c r="O419" s="9">
        <v>4</v>
      </c>
      <c r="P419" s="9">
        <v>4</v>
      </c>
      <c r="Q419" s="9">
        <v>5</v>
      </c>
      <c r="R419" s="9">
        <v>6</v>
      </c>
      <c r="S419" s="9">
        <v>6</v>
      </c>
      <c r="T419" s="9">
        <v>6</v>
      </c>
      <c r="U419" s="9">
        <v>6</v>
      </c>
      <c r="V419" s="9">
        <v>7</v>
      </c>
      <c r="W419" s="9">
        <v>6</v>
      </c>
      <c r="X419" s="9">
        <v>6</v>
      </c>
      <c r="Y419" s="9">
        <v>8</v>
      </c>
      <c r="Z419" s="9">
        <v>7</v>
      </c>
      <c r="AA419" s="9">
        <v>9</v>
      </c>
      <c r="AB419" s="9">
        <v>12</v>
      </c>
      <c r="AC419" s="9">
        <v>12</v>
      </c>
      <c r="AD419" s="9">
        <v>10</v>
      </c>
      <c r="AE419" s="9">
        <v>10</v>
      </c>
      <c r="AF419" s="9">
        <v>11</v>
      </c>
      <c r="AG419" s="9">
        <v>4</v>
      </c>
      <c r="AH419" s="9">
        <v>6</v>
      </c>
      <c r="AI419" s="9">
        <v>6</v>
      </c>
      <c r="AJ419" s="9">
        <v>6</v>
      </c>
      <c r="AK419" s="9">
        <v>6</v>
      </c>
      <c r="AL419" s="9">
        <v>7</v>
      </c>
      <c r="AM419" s="9">
        <v>8</v>
      </c>
      <c r="AN419" s="9">
        <v>9</v>
      </c>
      <c r="AO419" s="9">
        <v>12</v>
      </c>
      <c r="AP419" s="9">
        <v>13</v>
      </c>
      <c r="AQ419" s="9">
        <v>14</v>
      </c>
      <c r="AR419" s="9">
        <v>10</v>
      </c>
      <c r="AS419" s="9">
        <v>10</v>
      </c>
      <c r="AT419" s="9">
        <v>11</v>
      </c>
      <c r="AU419" s="9">
        <v>13</v>
      </c>
      <c r="AV419" s="9">
        <v>13</v>
      </c>
      <c r="AW419" s="9">
        <v>12</v>
      </c>
      <c r="AX419" s="9">
        <v>11</v>
      </c>
      <c r="AY419" s="9">
        <v>13</v>
      </c>
      <c r="AZ419" s="9">
        <v>16</v>
      </c>
      <c r="BA419" s="9">
        <v>17</v>
      </c>
      <c r="BB419" s="9">
        <v>17</v>
      </c>
      <c r="BC419" s="9">
        <v>15</v>
      </c>
      <c r="BD419" s="9">
        <v>17</v>
      </c>
      <c r="BE419" s="9">
        <v>17</v>
      </c>
      <c r="BF419" s="9">
        <v>22</v>
      </c>
      <c r="BG419" s="9">
        <v>24</v>
      </c>
      <c r="BH419" s="9">
        <v>0</v>
      </c>
      <c r="BI419" s="9">
        <v>31</v>
      </c>
      <c r="BJ419" s="9">
        <v>33</v>
      </c>
      <c r="BK419" s="9">
        <v>35</v>
      </c>
      <c r="BL419" s="9">
        <v>42</v>
      </c>
      <c r="BM419" s="9">
        <v>40</v>
      </c>
      <c r="BN419" s="9">
        <v>48</v>
      </c>
      <c r="BO419" s="9">
        <v>58</v>
      </c>
      <c r="BP419" s="10">
        <v>58</v>
      </c>
      <c r="BQ419">
        <v>63</v>
      </c>
      <c r="BR419">
        <v>71</v>
      </c>
    </row>
    <row r="420" spans="1:70" x14ac:dyDescent="0.35">
      <c r="A420" s="8" t="s">
        <v>413</v>
      </c>
      <c r="B420" s="9" t="s">
        <v>452</v>
      </c>
      <c r="C420" s="10" t="s">
        <v>1211</v>
      </c>
      <c r="D420" s="34">
        <f t="shared" si="8"/>
        <v>71</v>
      </c>
      <c r="E420" s="9">
        <v>2</v>
      </c>
      <c r="F420" s="9">
        <v>2</v>
      </c>
      <c r="G420" s="9">
        <v>0</v>
      </c>
      <c r="H420" s="9">
        <v>0</v>
      </c>
      <c r="I420" s="9">
        <v>0</v>
      </c>
      <c r="J420" s="9">
        <v>0</v>
      </c>
      <c r="K420" s="9">
        <v>0</v>
      </c>
      <c r="L420" s="9">
        <v>0</v>
      </c>
      <c r="M420" s="9">
        <v>0</v>
      </c>
      <c r="N420" s="9">
        <v>0</v>
      </c>
      <c r="O420" s="9">
        <v>0</v>
      </c>
      <c r="P420" s="9">
        <v>0</v>
      </c>
      <c r="Q420" s="9">
        <v>0</v>
      </c>
      <c r="R420" s="9">
        <v>2</v>
      </c>
      <c r="S420" s="9">
        <v>2</v>
      </c>
      <c r="T420" s="9">
        <v>3</v>
      </c>
      <c r="U420" s="9">
        <v>4</v>
      </c>
      <c r="V420" s="9">
        <v>5</v>
      </c>
      <c r="W420" s="9">
        <v>5</v>
      </c>
      <c r="X420" s="9">
        <v>5</v>
      </c>
      <c r="Y420" s="9">
        <v>7</v>
      </c>
      <c r="Z420" s="9">
        <v>8</v>
      </c>
      <c r="AA420" s="9">
        <v>11</v>
      </c>
      <c r="AB420" s="9">
        <v>11</v>
      </c>
      <c r="AC420" s="9">
        <v>13</v>
      </c>
      <c r="AD420" s="9">
        <v>15</v>
      </c>
      <c r="AE420" s="9">
        <v>16</v>
      </c>
      <c r="AF420" s="9">
        <v>18</v>
      </c>
      <c r="AG420" s="9">
        <v>15</v>
      </c>
      <c r="AH420" s="9">
        <v>13</v>
      </c>
      <c r="AI420" s="9">
        <v>13</v>
      </c>
      <c r="AJ420" s="9">
        <v>17</v>
      </c>
      <c r="AK420" s="9">
        <v>17</v>
      </c>
      <c r="AL420" s="9">
        <v>20</v>
      </c>
      <c r="AM420" s="9">
        <v>22</v>
      </c>
      <c r="AN420" s="9">
        <v>23</v>
      </c>
      <c r="AO420" s="9">
        <v>22</v>
      </c>
      <c r="AP420" s="9">
        <v>21</v>
      </c>
      <c r="AQ420" s="9">
        <v>23</v>
      </c>
      <c r="AR420" s="9">
        <v>23</v>
      </c>
      <c r="AS420" s="9">
        <v>25</v>
      </c>
      <c r="AT420" s="9">
        <v>25</v>
      </c>
      <c r="AU420" s="9">
        <v>26</v>
      </c>
      <c r="AV420" s="9">
        <v>29</v>
      </c>
      <c r="AW420" s="9">
        <v>35</v>
      </c>
      <c r="AX420" s="9">
        <v>39</v>
      </c>
      <c r="AY420" s="9">
        <v>29</v>
      </c>
      <c r="AZ420" s="9">
        <v>28</v>
      </c>
      <c r="BA420" s="9">
        <v>28</v>
      </c>
      <c r="BB420" s="9">
        <v>31</v>
      </c>
      <c r="BC420" s="9">
        <v>35</v>
      </c>
      <c r="BD420" s="9">
        <v>37</v>
      </c>
      <c r="BE420" s="9">
        <v>41</v>
      </c>
      <c r="BF420" s="9">
        <v>40</v>
      </c>
      <c r="BG420" s="9">
        <v>43</v>
      </c>
      <c r="BH420" s="9">
        <v>40</v>
      </c>
      <c r="BI420" s="9">
        <v>37</v>
      </c>
      <c r="BJ420" s="9">
        <v>35</v>
      </c>
      <c r="BK420" s="9">
        <v>44</v>
      </c>
      <c r="BL420" s="9">
        <v>50</v>
      </c>
      <c r="BM420" s="9">
        <v>52</v>
      </c>
      <c r="BN420" s="9">
        <v>54</v>
      </c>
      <c r="BO420" s="9">
        <v>58</v>
      </c>
      <c r="BP420" s="10">
        <v>71</v>
      </c>
      <c r="BQ420">
        <v>66</v>
      </c>
      <c r="BR420">
        <v>65</v>
      </c>
    </row>
    <row r="421" spans="1:70" x14ac:dyDescent="0.35">
      <c r="A421" s="8" t="s">
        <v>413</v>
      </c>
      <c r="B421" s="9" t="s">
        <v>454</v>
      </c>
      <c r="C421" s="10" t="s">
        <v>1212</v>
      </c>
      <c r="D421" s="34">
        <f t="shared" si="8"/>
        <v>76</v>
      </c>
      <c r="E421" s="9">
        <v>0</v>
      </c>
      <c r="F421" s="9">
        <v>0</v>
      </c>
      <c r="G421" s="9">
        <v>0</v>
      </c>
      <c r="H421" s="9">
        <v>0</v>
      </c>
      <c r="I421" s="9">
        <v>1</v>
      </c>
      <c r="J421" s="9">
        <v>1</v>
      </c>
      <c r="K421" s="9">
        <v>1</v>
      </c>
      <c r="L421" s="9">
        <v>1</v>
      </c>
      <c r="M421" s="9">
        <v>1</v>
      </c>
      <c r="N421" s="9">
        <v>1</v>
      </c>
      <c r="O421" s="9">
        <v>2</v>
      </c>
      <c r="P421" s="9">
        <v>2</v>
      </c>
      <c r="Q421" s="9">
        <v>2</v>
      </c>
      <c r="R421" s="9">
        <v>2</v>
      </c>
      <c r="S421" s="9">
        <v>3</v>
      </c>
      <c r="T421" s="9">
        <v>2</v>
      </c>
      <c r="U421" s="9">
        <v>0</v>
      </c>
      <c r="V421" s="9">
        <v>1</v>
      </c>
      <c r="W421" s="9">
        <v>0</v>
      </c>
      <c r="X421" s="9">
        <v>0</v>
      </c>
      <c r="Y421" s="9">
        <v>0</v>
      </c>
      <c r="Z421" s="9">
        <v>0</v>
      </c>
      <c r="AA421" s="9">
        <v>0</v>
      </c>
      <c r="AB421" s="9">
        <v>0</v>
      </c>
      <c r="AC421" s="9">
        <v>0</v>
      </c>
      <c r="AD421" s="9">
        <v>0</v>
      </c>
      <c r="AE421" s="9">
        <v>0</v>
      </c>
      <c r="AF421" s="9">
        <v>1</v>
      </c>
      <c r="AG421" s="9">
        <v>1</v>
      </c>
      <c r="AH421" s="9">
        <v>3</v>
      </c>
      <c r="AI421" s="9">
        <v>3</v>
      </c>
      <c r="AJ421" s="9">
        <v>4</v>
      </c>
      <c r="AK421" s="9">
        <v>4</v>
      </c>
      <c r="AL421" s="9">
        <v>6</v>
      </c>
      <c r="AM421" s="9">
        <v>7</v>
      </c>
      <c r="AN421" s="9">
        <v>7</v>
      </c>
      <c r="AO421" s="9">
        <v>9</v>
      </c>
      <c r="AP421" s="9">
        <v>18</v>
      </c>
      <c r="AQ421" s="9">
        <v>22</v>
      </c>
      <c r="AR421" s="9">
        <v>23</v>
      </c>
      <c r="AS421" s="9">
        <v>25</v>
      </c>
      <c r="AT421" s="9">
        <v>26</v>
      </c>
      <c r="AU421" s="9">
        <v>25</v>
      </c>
      <c r="AV421" s="9">
        <v>24</v>
      </c>
      <c r="AW421" s="9">
        <v>24</v>
      </c>
      <c r="AX421" s="9">
        <v>23</v>
      </c>
      <c r="AY421" s="9">
        <v>26</v>
      </c>
      <c r="AZ421" s="9">
        <v>29</v>
      </c>
      <c r="BA421" s="9">
        <v>35</v>
      </c>
      <c r="BB421" s="9">
        <v>35</v>
      </c>
      <c r="BC421" s="9">
        <v>35</v>
      </c>
      <c r="BD421" s="9">
        <v>35</v>
      </c>
      <c r="BE421" s="9">
        <v>42</v>
      </c>
      <c r="BF421" s="9">
        <v>47</v>
      </c>
      <c r="BG421" s="9">
        <v>52</v>
      </c>
      <c r="BH421" s="9">
        <v>57</v>
      </c>
      <c r="BI421" s="9">
        <v>59</v>
      </c>
      <c r="BJ421" s="9">
        <v>60</v>
      </c>
      <c r="BK421" s="9">
        <v>56</v>
      </c>
      <c r="BL421" s="9">
        <v>56</v>
      </c>
      <c r="BM421" s="9">
        <v>62</v>
      </c>
      <c r="BN421" s="9">
        <v>65</v>
      </c>
      <c r="BO421" s="9">
        <v>61</v>
      </c>
      <c r="BP421" s="10">
        <v>66</v>
      </c>
      <c r="BQ421">
        <v>74</v>
      </c>
      <c r="BR421">
        <v>76</v>
      </c>
    </row>
    <row r="422" spans="1:70" x14ac:dyDescent="0.35">
      <c r="A422" s="8" t="s">
        <v>413</v>
      </c>
      <c r="B422" s="9" t="s">
        <v>456</v>
      </c>
      <c r="C422" s="10" t="s">
        <v>1213</v>
      </c>
      <c r="D422" s="34">
        <f t="shared" si="8"/>
        <v>46</v>
      </c>
      <c r="E422" s="9">
        <v>2</v>
      </c>
      <c r="F422" s="9">
        <v>1</v>
      </c>
      <c r="G422" s="9">
        <v>1</v>
      </c>
      <c r="H422" s="9">
        <v>1</v>
      </c>
      <c r="I422" s="9">
        <v>1</v>
      </c>
      <c r="J422" s="9">
        <v>1</v>
      </c>
      <c r="K422" s="9">
        <v>1</v>
      </c>
      <c r="L422" s="9">
        <v>1</v>
      </c>
      <c r="M422" s="9">
        <v>2</v>
      </c>
      <c r="N422" s="9">
        <v>2</v>
      </c>
      <c r="O422" s="9">
        <v>2</v>
      </c>
      <c r="P422" s="9">
        <v>2</v>
      </c>
      <c r="Q422" s="9">
        <v>2</v>
      </c>
      <c r="R422" s="9">
        <v>3</v>
      </c>
      <c r="S422" s="9">
        <v>2</v>
      </c>
      <c r="T422" s="9">
        <v>2</v>
      </c>
      <c r="U422" s="9">
        <v>2</v>
      </c>
      <c r="V422" s="9">
        <v>1</v>
      </c>
      <c r="W422" s="9">
        <v>2</v>
      </c>
      <c r="X422" s="9">
        <v>3</v>
      </c>
      <c r="Y422" s="9">
        <v>4</v>
      </c>
      <c r="Z422" s="9">
        <v>3</v>
      </c>
      <c r="AA422" s="9">
        <v>3</v>
      </c>
      <c r="AB422" s="9">
        <v>3</v>
      </c>
      <c r="AC422" s="9">
        <v>3</v>
      </c>
      <c r="AD422" s="9">
        <v>3</v>
      </c>
      <c r="AE422" s="9">
        <v>4</v>
      </c>
      <c r="AF422" s="9">
        <v>4</v>
      </c>
      <c r="AG422" s="9">
        <v>4</v>
      </c>
      <c r="AH422" s="9">
        <v>3</v>
      </c>
      <c r="AI422" s="9">
        <v>2</v>
      </c>
      <c r="AJ422" s="9">
        <v>2</v>
      </c>
      <c r="AK422" s="9">
        <v>3</v>
      </c>
      <c r="AL422" s="9">
        <v>4</v>
      </c>
      <c r="AM422" s="9">
        <v>4</v>
      </c>
      <c r="AN422" s="9">
        <v>5</v>
      </c>
      <c r="AO422" s="9">
        <v>4</v>
      </c>
      <c r="AP422" s="9">
        <v>4</v>
      </c>
      <c r="AQ422" s="9">
        <v>5</v>
      </c>
      <c r="AR422" s="9">
        <v>5</v>
      </c>
      <c r="AS422" s="9">
        <v>5</v>
      </c>
      <c r="AT422" s="9">
        <v>4</v>
      </c>
      <c r="AU422" s="9">
        <v>5</v>
      </c>
      <c r="AV422" s="9">
        <v>8</v>
      </c>
      <c r="AW422" s="9">
        <v>5</v>
      </c>
      <c r="AX422" s="9">
        <v>8</v>
      </c>
      <c r="AY422" s="9">
        <v>9</v>
      </c>
      <c r="AZ422" s="9">
        <v>10</v>
      </c>
      <c r="BA422" s="9">
        <v>13</v>
      </c>
      <c r="BB422" s="9">
        <v>12</v>
      </c>
      <c r="BC422" s="9">
        <v>23</v>
      </c>
      <c r="BD422" s="9">
        <v>0</v>
      </c>
      <c r="BE422" s="9">
        <v>34</v>
      </c>
      <c r="BF422" s="9">
        <v>40</v>
      </c>
      <c r="BG422" s="9">
        <v>40</v>
      </c>
      <c r="BH422" s="9">
        <v>43</v>
      </c>
      <c r="BI422" s="9">
        <v>46</v>
      </c>
      <c r="BJ422" s="9">
        <v>41</v>
      </c>
      <c r="BK422" s="9">
        <v>40</v>
      </c>
      <c r="BL422" s="9">
        <v>40</v>
      </c>
      <c r="BM422" s="9">
        <v>39</v>
      </c>
      <c r="BN422" s="9">
        <v>38</v>
      </c>
      <c r="BO422" s="9">
        <v>45</v>
      </c>
      <c r="BP422" s="10">
        <v>42</v>
      </c>
      <c r="BQ422">
        <v>39</v>
      </c>
      <c r="BR422">
        <v>38</v>
      </c>
    </row>
    <row r="423" spans="1:70" x14ac:dyDescent="0.35">
      <c r="A423" s="8" t="s">
        <v>413</v>
      </c>
      <c r="B423" s="9" t="s">
        <v>458</v>
      </c>
      <c r="C423" s="10" t="s">
        <v>1214</v>
      </c>
      <c r="D423" s="34">
        <f t="shared" si="8"/>
        <v>2</v>
      </c>
      <c r="E423" s="9">
        <v>0</v>
      </c>
      <c r="F423" s="9">
        <v>0</v>
      </c>
      <c r="G423" s="9">
        <v>0</v>
      </c>
      <c r="H423" s="9">
        <v>0</v>
      </c>
      <c r="I423" s="9">
        <v>0</v>
      </c>
      <c r="J423" s="9">
        <v>0</v>
      </c>
      <c r="K423" s="9">
        <v>0</v>
      </c>
      <c r="L423" s="9">
        <v>0</v>
      </c>
      <c r="M423" s="9">
        <v>0</v>
      </c>
      <c r="N423" s="9">
        <v>0</v>
      </c>
      <c r="O423" s="9">
        <v>0</v>
      </c>
      <c r="P423" s="9">
        <v>0</v>
      </c>
      <c r="Q423" s="9">
        <v>0</v>
      </c>
      <c r="R423" s="9">
        <v>0</v>
      </c>
      <c r="S423" s="9">
        <v>0</v>
      </c>
      <c r="T423" s="9">
        <v>0</v>
      </c>
      <c r="U423" s="9">
        <v>0</v>
      </c>
      <c r="V423" s="9">
        <v>0</v>
      </c>
      <c r="W423" s="9">
        <v>0</v>
      </c>
      <c r="X423" s="9">
        <v>0</v>
      </c>
      <c r="Y423" s="9">
        <v>0</v>
      </c>
      <c r="Z423" s="9">
        <v>0</v>
      </c>
      <c r="AA423" s="9">
        <v>0</v>
      </c>
      <c r="AB423" s="9">
        <v>0</v>
      </c>
      <c r="AC423" s="9">
        <v>0</v>
      </c>
      <c r="AD423" s="9">
        <v>0</v>
      </c>
      <c r="AE423" s="9">
        <v>0</v>
      </c>
      <c r="AF423" s="9">
        <v>0</v>
      </c>
      <c r="AG423" s="9">
        <v>0</v>
      </c>
      <c r="AH423" s="9">
        <v>0</v>
      </c>
      <c r="AI423" s="9">
        <v>0</v>
      </c>
      <c r="AJ423" s="9">
        <v>0</v>
      </c>
      <c r="AK423" s="9">
        <v>0</v>
      </c>
      <c r="AL423" s="9">
        <v>0</v>
      </c>
      <c r="AM423" s="9">
        <v>0</v>
      </c>
      <c r="AN423" s="9">
        <v>0</v>
      </c>
      <c r="AO423" s="9">
        <v>0</v>
      </c>
      <c r="AP423" s="9">
        <v>0</v>
      </c>
      <c r="AQ423" s="9">
        <v>0</v>
      </c>
      <c r="AR423" s="9">
        <v>0</v>
      </c>
      <c r="AS423" s="9">
        <v>0</v>
      </c>
      <c r="AT423" s="9">
        <v>0</v>
      </c>
      <c r="AU423" s="9">
        <v>0</v>
      </c>
      <c r="AV423" s="9">
        <v>0</v>
      </c>
      <c r="AW423" s="9">
        <v>0</v>
      </c>
      <c r="AX423" s="9">
        <v>0</v>
      </c>
      <c r="AY423" s="9">
        <v>0</v>
      </c>
      <c r="AZ423" s="9">
        <v>0</v>
      </c>
      <c r="BA423" s="9">
        <v>0</v>
      </c>
      <c r="BB423" s="9">
        <v>0</v>
      </c>
      <c r="BC423" s="9">
        <v>0</v>
      </c>
      <c r="BD423" s="9">
        <v>0</v>
      </c>
      <c r="BE423" s="9">
        <v>0</v>
      </c>
      <c r="BF423" s="9">
        <v>0</v>
      </c>
      <c r="BG423" s="9">
        <v>0</v>
      </c>
      <c r="BH423" s="9">
        <v>0</v>
      </c>
      <c r="BI423" s="9">
        <v>0</v>
      </c>
      <c r="BJ423" s="9">
        <v>0</v>
      </c>
      <c r="BK423" s="9">
        <v>0</v>
      </c>
      <c r="BL423" s="9">
        <v>2</v>
      </c>
      <c r="BM423" s="9">
        <v>2</v>
      </c>
      <c r="BN423" s="9">
        <v>2</v>
      </c>
      <c r="BO423" s="9">
        <v>2</v>
      </c>
      <c r="BP423" s="10">
        <v>2</v>
      </c>
      <c r="BQ423">
        <v>2</v>
      </c>
      <c r="BR423">
        <v>2</v>
      </c>
    </row>
    <row r="424" spans="1:70" x14ac:dyDescent="0.35">
      <c r="A424" s="8" t="s">
        <v>413</v>
      </c>
      <c r="B424" s="9" t="s">
        <v>460</v>
      </c>
      <c r="C424" s="10" t="s">
        <v>1215</v>
      </c>
      <c r="D424" s="34">
        <f t="shared" si="8"/>
        <v>56</v>
      </c>
      <c r="E424" s="9">
        <v>1</v>
      </c>
      <c r="F424" s="9">
        <v>2</v>
      </c>
      <c r="G424" s="9">
        <v>2</v>
      </c>
      <c r="H424" s="9">
        <v>3</v>
      </c>
      <c r="I424" s="9">
        <v>4</v>
      </c>
      <c r="J424" s="9">
        <v>3</v>
      </c>
      <c r="K424" s="9">
        <v>5</v>
      </c>
      <c r="L424" s="9">
        <v>5</v>
      </c>
      <c r="M424" s="9">
        <v>6</v>
      </c>
      <c r="N424" s="9">
        <v>5</v>
      </c>
      <c r="O424" s="9">
        <v>5</v>
      </c>
      <c r="P424" s="9">
        <v>4</v>
      </c>
      <c r="Q424" s="9">
        <v>4</v>
      </c>
      <c r="R424" s="9">
        <v>4</v>
      </c>
      <c r="S424" s="9">
        <v>4</v>
      </c>
      <c r="T424" s="9">
        <v>4</v>
      </c>
      <c r="U424" s="9">
        <v>4</v>
      </c>
      <c r="V424" s="9">
        <v>4</v>
      </c>
      <c r="W424" s="9">
        <v>0</v>
      </c>
      <c r="X424" s="9">
        <v>2</v>
      </c>
      <c r="Y424" s="9">
        <v>2</v>
      </c>
      <c r="Z424" s="9">
        <v>0</v>
      </c>
      <c r="AA424" s="9">
        <v>2</v>
      </c>
      <c r="AB424" s="9">
        <v>2</v>
      </c>
      <c r="AC424" s="9">
        <v>3</v>
      </c>
      <c r="AD424" s="9">
        <v>3</v>
      </c>
      <c r="AE424" s="9">
        <v>3</v>
      </c>
      <c r="AF424" s="9">
        <v>3</v>
      </c>
      <c r="AG424" s="9">
        <v>3</v>
      </c>
      <c r="AH424" s="9">
        <v>3</v>
      </c>
      <c r="AI424" s="9">
        <v>3</v>
      </c>
      <c r="AJ424" s="9">
        <v>3</v>
      </c>
      <c r="AK424" s="9">
        <v>2</v>
      </c>
      <c r="AL424" s="9">
        <v>3</v>
      </c>
      <c r="AM424" s="9">
        <v>4</v>
      </c>
      <c r="AN424" s="9">
        <v>5</v>
      </c>
      <c r="AO424" s="9">
        <v>4</v>
      </c>
      <c r="AP424" s="9">
        <v>3</v>
      </c>
      <c r="AQ424" s="9">
        <v>2</v>
      </c>
      <c r="AR424" s="9">
        <v>1</v>
      </c>
      <c r="AS424" s="9">
        <v>1</v>
      </c>
      <c r="AT424" s="9">
        <v>2</v>
      </c>
      <c r="AU424" s="9">
        <v>5</v>
      </c>
      <c r="AV424" s="9">
        <v>7</v>
      </c>
      <c r="AW424" s="9">
        <v>9</v>
      </c>
      <c r="AX424" s="9">
        <v>12</v>
      </c>
      <c r="AY424" s="9">
        <v>15</v>
      </c>
      <c r="AZ424" s="9">
        <v>27</v>
      </c>
      <c r="BA424" s="9">
        <v>27</v>
      </c>
      <c r="BB424" s="9">
        <v>25</v>
      </c>
      <c r="BC424" s="9">
        <v>33</v>
      </c>
      <c r="BD424" s="9">
        <v>27</v>
      </c>
      <c r="BE424" s="9">
        <v>27</v>
      </c>
      <c r="BF424" s="9">
        <v>38</v>
      </c>
      <c r="BG424" s="9">
        <v>36</v>
      </c>
      <c r="BH424" s="9">
        <v>33</v>
      </c>
      <c r="BI424" s="9">
        <v>34</v>
      </c>
      <c r="BJ424" s="9">
        <v>32</v>
      </c>
      <c r="BK424" s="9">
        <v>38</v>
      </c>
      <c r="BL424" s="9">
        <v>40</v>
      </c>
      <c r="BM424" s="9">
        <v>43</v>
      </c>
      <c r="BN424" s="9">
        <v>51</v>
      </c>
      <c r="BO424" s="9">
        <v>51</v>
      </c>
      <c r="BP424" s="10">
        <v>52</v>
      </c>
      <c r="BQ424">
        <v>56</v>
      </c>
      <c r="BR424">
        <v>53</v>
      </c>
    </row>
    <row r="425" spans="1:70" x14ac:dyDescent="0.35">
      <c r="A425" s="8" t="s">
        <v>413</v>
      </c>
      <c r="B425" s="9" t="s">
        <v>462</v>
      </c>
      <c r="C425" s="10" t="s">
        <v>1216</v>
      </c>
      <c r="D425" s="34">
        <f t="shared" si="8"/>
        <v>0</v>
      </c>
      <c r="E425" s="9">
        <v>0</v>
      </c>
      <c r="F425" s="9">
        <v>0</v>
      </c>
      <c r="G425" s="9">
        <v>0</v>
      </c>
      <c r="H425" s="9">
        <v>0</v>
      </c>
      <c r="I425" s="9">
        <v>0</v>
      </c>
      <c r="J425" s="9">
        <v>0</v>
      </c>
      <c r="K425" s="9">
        <v>0</v>
      </c>
      <c r="L425" s="9">
        <v>0</v>
      </c>
      <c r="M425" s="9">
        <v>0</v>
      </c>
      <c r="N425" s="9">
        <v>0</v>
      </c>
      <c r="O425" s="9">
        <v>0</v>
      </c>
      <c r="P425" s="9">
        <v>0</v>
      </c>
      <c r="Q425" s="9">
        <v>0</v>
      </c>
      <c r="R425" s="9">
        <v>0</v>
      </c>
      <c r="S425" s="9">
        <v>0</v>
      </c>
      <c r="T425" s="9">
        <v>0</v>
      </c>
      <c r="U425" s="9">
        <v>0</v>
      </c>
      <c r="V425" s="9">
        <v>0</v>
      </c>
      <c r="W425" s="9">
        <v>0</v>
      </c>
      <c r="X425" s="9">
        <v>0</v>
      </c>
      <c r="Y425" s="9">
        <v>0</v>
      </c>
      <c r="Z425" s="9">
        <v>0</v>
      </c>
      <c r="AA425" s="9">
        <v>0</v>
      </c>
      <c r="AB425" s="9">
        <v>0</v>
      </c>
      <c r="AC425" s="9">
        <v>0</v>
      </c>
      <c r="AD425" s="9">
        <v>0</v>
      </c>
      <c r="AE425" s="9">
        <v>0</v>
      </c>
      <c r="AF425" s="9">
        <v>0</v>
      </c>
      <c r="AG425" s="9">
        <v>0</v>
      </c>
      <c r="AH425" s="9">
        <v>0</v>
      </c>
      <c r="AI425" s="9">
        <v>0</v>
      </c>
      <c r="AJ425" s="9">
        <v>0</v>
      </c>
      <c r="AK425" s="9">
        <v>0</v>
      </c>
      <c r="AL425" s="9">
        <v>0</v>
      </c>
      <c r="AM425" s="9">
        <v>0</v>
      </c>
      <c r="AN425" s="9">
        <v>0</v>
      </c>
      <c r="AO425" s="9">
        <v>0</v>
      </c>
      <c r="AP425" s="9">
        <v>0</v>
      </c>
      <c r="AQ425" s="9">
        <v>0</v>
      </c>
      <c r="AR425" s="9">
        <v>0</v>
      </c>
      <c r="AS425" s="9">
        <v>0</v>
      </c>
      <c r="AT425" s="9">
        <v>0</v>
      </c>
      <c r="AU425" s="9">
        <v>0</v>
      </c>
      <c r="AV425" s="9">
        <v>0</v>
      </c>
      <c r="AW425" s="9">
        <v>0</v>
      </c>
      <c r="AX425" s="9">
        <v>0</v>
      </c>
      <c r="AY425" s="9">
        <v>0</v>
      </c>
      <c r="AZ425" s="9">
        <v>0</v>
      </c>
      <c r="BA425" s="9">
        <v>0</v>
      </c>
      <c r="BB425" s="9">
        <v>0</v>
      </c>
      <c r="BC425" s="9">
        <v>0</v>
      </c>
      <c r="BD425" s="9">
        <v>0</v>
      </c>
      <c r="BE425" s="9">
        <v>0</v>
      </c>
      <c r="BF425" s="9">
        <v>0</v>
      </c>
      <c r="BG425" s="9">
        <v>0</v>
      </c>
      <c r="BH425" s="9">
        <v>0</v>
      </c>
      <c r="BI425" s="9">
        <v>0</v>
      </c>
      <c r="BJ425" s="9">
        <v>0</v>
      </c>
      <c r="BK425" s="9">
        <v>0</v>
      </c>
      <c r="BL425" s="9">
        <v>0</v>
      </c>
      <c r="BM425" s="9">
        <v>0</v>
      </c>
      <c r="BN425" s="9">
        <v>0</v>
      </c>
      <c r="BO425" s="9">
        <v>0</v>
      </c>
      <c r="BP425" s="10">
        <v>0</v>
      </c>
      <c r="BQ425">
        <v>0</v>
      </c>
      <c r="BR425">
        <v>0</v>
      </c>
    </row>
    <row r="426" spans="1:70" x14ac:dyDescent="0.35">
      <c r="A426" s="8" t="s">
        <v>413</v>
      </c>
      <c r="B426" s="9" t="s">
        <v>464</v>
      </c>
      <c r="C426" s="10" t="s">
        <v>1217</v>
      </c>
      <c r="D426" s="34">
        <f t="shared" si="8"/>
        <v>32</v>
      </c>
      <c r="E426" s="9">
        <v>1</v>
      </c>
      <c r="F426" s="9">
        <v>1</v>
      </c>
      <c r="G426" s="9">
        <v>1</v>
      </c>
      <c r="H426" s="9">
        <v>2</v>
      </c>
      <c r="I426" s="9">
        <v>2</v>
      </c>
      <c r="J426" s="9">
        <v>2</v>
      </c>
      <c r="K426" s="9">
        <v>2</v>
      </c>
      <c r="L426" s="9">
        <v>2</v>
      </c>
      <c r="M426" s="9">
        <v>2</v>
      </c>
      <c r="N426" s="9">
        <v>2</v>
      </c>
      <c r="O426" s="9">
        <v>1</v>
      </c>
      <c r="P426" s="9">
        <v>1</v>
      </c>
      <c r="Q426" s="9">
        <v>1</v>
      </c>
      <c r="R426" s="9">
        <v>2</v>
      </c>
      <c r="S426" s="9">
        <v>2</v>
      </c>
      <c r="T426" s="9">
        <v>2</v>
      </c>
      <c r="U426" s="9">
        <v>2</v>
      </c>
      <c r="V426" s="9">
        <v>1</v>
      </c>
      <c r="W426" s="9">
        <v>1</v>
      </c>
      <c r="X426" s="9">
        <v>1</v>
      </c>
      <c r="Y426" s="9">
        <v>1</v>
      </c>
      <c r="Z426" s="9">
        <v>2</v>
      </c>
      <c r="AA426" s="9">
        <v>2</v>
      </c>
      <c r="AB426" s="9">
        <v>2</v>
      </c>
      <c r="AC426" s="9">
        <v>2</v>
      </c>
      <c r="AD426" s="9">
        <v>2</v>
      </c>
      <c r="AE426" s="9">
        <v>2</v>
      </c>
      <c r="AF426" s="9">
        <v>3</v>
      </c>
      <c r="AG426" s="9">
        <v>3</v>
      </c>
      <c r="AH426" s="9">
        <v>5</v>
      </c>
      <c r="AI426" s="9">
        <v>3</v>
      </c>
      <c r="AJ426" s="9">
        <v>6</v>
      </c>
      <c r="AK426" s="9">
        <v>4</v>
      </c>
      <c r="AL426" s="9">
        <v>4</v>
      </c>
      <c r="AM426" s="9">
        <v>5</v>
      </c>
      <c r="AN426" s="9">
        <v>3</v>
      </c>
      <c r="AO426" s="9">
        <v>5</v>
      </c>
      <c r="AP426" s="9">
        <v>8</v>
      </c>
      <c r="AQ426" s="9">
        <v>6</v>
      </c>
      <c r="AR426" s="9">
        <v>4</v>
      </c>
      <c r="AS426" s="9">
        <v>6</v>
      </c>
      <c r="AT426" s="9">
        <v>6</v>
      </c>
      <c r="AU426" s="9">
        <v>7</v>
      </c>
      <c r="AV426" s="9">
        <v>8</v>
      </c>
      <c r="AW426" s="9">
        <v>10</v>
      </c>
      <c r="AX426" s="9">
        <v>10</v>
      </c>
      <c r="AY426" s="9">
        <v>8</v>
      </c>
      <c r="AZ426" s="9">
        <v>8</v>
      </c>
      <c r="BA426" s="9">
        <v>12</v>
      </c>
      <c r="BB426" s="9">
        <v>16</v>
      </c>
      <c r="BC426" s="9">
        <v>17</v>
      </c>
      <c r="BD426" s="9">
        <v>18</v>
      </c>
      <c r="BE426" s="9">
        <v>18</v>
      </c>
      <c r="BF426" s="9">
        <v>15</v>
      </c>
      <c r="BG426" s="9">
        <v>18</v>
      </c>
      <c r="BH426" s="9">
        <v>22</v>
      </c>
      <c r="BI426" s="9">
        <v>25</v>
      </c>
      <c r="BJ426" s="9">
        <v>23</v>
      </c>
      <c r="BK426" s="9">
        <v>20</v>
      </c>
      <c r="BL426" s="9">
        <v>22</v>
      </c>
      <c r="BM426" s="9">
        <v>26</v>
      </c>
      <c r="BN426" s="9">
        <v>29</v>
      </c>
      <c r="BO426" s="9">
        <v>32</v>
      </c>
      <c r="BP426" s="10">
        <v>29</v>
      </c>
      <c r="BQ426">
        <v>30</v>
      </c>
      <c r="BR426">
        <v>28</v>
      </c>
    </row>
    <row r="427" spans="1:70" x14ac:dyDescent="0.35">
      <c r="A427" s="8" t="s">
        <v>413</v>
      </c>
      <c r="B427" s="9" t="s">
        <v>466</v>
      </c>
      <c r="C427" s="10" t="s">
        <v>1218</v>
      </c>
      <c r="D427" s="34">
        <f t="shared" si="8"/>
        <v>38</v>
      </c>
      <c r="E427" s="9">
        <v>6</v>
      </c>
      <c r="F427" s="9">
        <v>6</v>
      </c>
      <c r="G427" s="9">
        <v>11</v>
      </c>
      <c r="H427" s="9">
        <v>10</v>
      </c>
      <c r="I427" s="9">
        <v>9</v>
      </c>
      <c r="J427" s="9">
        <v>9</v>
      </c>
      <c r="K427" s="9">
        <v>12</v>
      </c>
      <c r="L427" s="9">
        <v>7</v>
      </c>
      <c r="M427" s="9">
        <v>6</v>
      </c>
      <c r="N427" s="9">
        <v>6</v>
      </c>
      <c r="O427" s="9">
        <v>8</v>
      </c>
      <c r="P427" s="9">
        <v>10</v>
      </c>
      <c r="Q427" s="9">
        <v>10</v>
      </c>
      <c r="R427" s="9">
        <v>12</v>
      </c>
      <c r="S427" s="9">
        <v>16</v>
      </c>
      <c r="T427" s="9">
        <v>5</v>
      </c>
      <c r="U427" s="9">
        <v>17</v>
      </c>
      <c r="V427" s="9">
        <v>20</v>
      </c>
      <c r="W427" s="9">
        <v>17</v>
      </c>
      <c r="X427" s="9">
        <v>17</v>
      </c>
      <c r="Y427" s="9">
        <v>18</v>
      </c>
      <c r="Z427" s="9">
        <v>18</v>
      </c>
      <c r="AA427" s="9">
        <v>15</v>
      </c>
      <c r="AB427" s="9">
        <v>16</v>
      </c>
      <c r="AC427" s="9">
        <v>15</v>
      </c>
      <c r="AD427" s="9">
        <v>10</v>
      </c>
      <c r="AE427" s="9">
        <v>12</v>
      </c>
      <c r="AF427" s="9">
        <v>11</v>
      </c>
      <c r="AG427" s="9">
        <v>8</v>
      </c>
      <c r="AH427" s="9">
        <v>7</v>
      </c>
      <c r="AI427" s="9">
        <v>10</v>
      </c>
      <c r="AJ427" s="9">
        <v>17</v>
      </c>
      <c r="AK427" s="9">
        <v>15</v>
      </c>
      <c r="AL427" s="9">
        <v>13</v>
      </c>
      <c r="AM427" s="9">
        <v>17</v>
      </c>
      <c r="AN427" s="9">
        <v>15</v>
      </c>
      <c r="AO427" s="9">
        <v>14</v>
      </c>
      <c r="AP427" s="9">
        <v>14</v>
      </c>
      <c r="AQ427" s="9">
        <v>19</v>
      </c>
      <c r="AR427" s="9">
        <v>21</v>
      </c>
      <c r="AS427" s="9">
        <v>22</v>
      </c>
      <c r="AT427" s="9">
        <v>24</v>
      </c>
      <c r="AU427" s="9">
        <v>21</v>
      </c>
      <c r="AV427" s="9">
        <v>20</v>
      </c>
      <c r="AW427" s="9">
        <v>19</v>
      </c>
      <c r="AX427" s="9">
        <v>19</v>
      </c>
      <c r="AY427" s="9">
        <v>24</v>
      </c>
      <c r="AZ427" s="9">
        <v>27</v>
      </c>
      <c r="BA427" s="9">
        <v>28</v>
      </c>
      <c r="BB427" s="9">
        <v>30</v>
      </c>
      <c r="BC427" s="9">
        <v>22</v>
      </c>
      <c r="BD427" s="9">
        <v>22</v>
      </c>
      <c r="BE427" s="9">
        <v>27</v>
      </c>
      <c r="BF427" s="9">
        <v>29</v>
      </c>
      <c r="BG427" s="9">
        <v>28</v>
      </c>
      <c r="BH427" s="9">
        <v>32</v>
      </c>
      <c r="BI427" s="9">
        <v>26</v>
      </c>
      <c r="BJ427" s="9">
        <v>34</v>
      </c>
      <c r="BK427" s="9">
        <v>32</v>
      </c>
      <c r="BL427" s="9">
        <v>33</v>
      </c>
      <c r="BM427" s="9">
        <v>34</v>
      </c>
      <c r="BN427" s="9">
        <v>38</v>
      </c>
      <c r="BO427" s="9">
        <v>38</v>
      </c>
      <c r="BP427" s="10">
        <v>36</v>
      </c>
      <c r="BQ427">
        <v>34</v>
      </c>
      <c r="BR427">
        <v>38</v>
      </c>
    </row>
    <row r="428" spans="1:70" x14ac:dyDescent="0.35">
      <c r="A428" s="8" t="s">
        <v>413</v>
      </c>
      <c r="B428" s="9" t="s">
        <v>468</v>
      </c>
      <c r="C428" s="10" t="s">
        <v>1219</v>
      </c>
      <c r="D428" s="34">
        <f t="shared" si="8"/>
        <v>48</v>
      </c>
      <c r="E428" s="9">
        <v>1</v>
      </c>
      <c r="F428" s="9">
        <v>1</v>
      </c>
      <c r="G428" s="9">
        <v>1</v>
      </c>
      <c r="H428" s="9">
        <v>1</v>
      </c>
      <c r="I428" s="9">
        <v>1</v>
      </c>
      <c r="J428" s="9">
        <v>1</v>
      </c>
      <c r="K428" s="9">
        <v>1</v>
      </c>
      <c r="L428" s="9">
        <v>1</v>
      </c>
      <c r="M428" s="9">
        <v>1</v>
      </c>
      <c r="N428" s="9">
        <v>1</v>
      </c>
      <c r="O428" s="9">
        <v>0</v>
      </c>
      <c r="P428" s="9">
        <v>0</v>
      </c>
      <c r="Q428" s="9">
        <v>0</v>
      </c>
      <c r="R428" s="9">
        <v>0</v>
      </c>
      <c r="S428" s="9">
        <v>1</v>
      </c>
      <c r="T428" s="9">
        <v>1</v>
      </c>
      <c r="U428" s="9">
        <v>2</v>
      </c>
      <c r="V428" s="9">
        <v>3</v>
      </c>
      <c r="W428" s="9">
        <v>3</v>
      </c>
      <c r="X428" s="9">
        <v>3</v>
      </c>
      <c r="Y428" s="9">
        <v>4</v>
      </c>
      <c r="Z428" s="9">
        <v>3</v>
      </c>
      <c r="AA428" s="9">
        <v>3</v>
      </c>
      <c r="AB428" s="9">
        <v>3</v>
      </c>
      <c r="AC428" s="9">
        <v>3</v>
      </c>
      <c r="AD428" s="9">
        <v>3</v>
      </c>
      <c r="AE428" s="9">
        <v>3</v>
      </c>
      <c r="AF428" s="9">
        <v>4</v>
      </c>
      <c r="AG428" s="9">
        <v>3</v>
      </c>
      <c r="AH428" s="9">
        <v>3</v>
      </c>
      <c r="AI428" s="9">
        <v>2</v>
      </c>
      <c r="AJ428" s="9">
        <v>2</v>
      </c>
      <c r="AK428" s="9">
        <v>2</v>
      </c>
      <c r="AL428" s="9">
        <v>2</v>
      </c>
      <c r="AM428" s="9">
        <v>3</v>
      </c>
      <c r="AN428" s="9">
        <v>4</v>
      </c>
      <c r="AO428" s="9">
        <v>6</v>
      </c>
      <c r="AP428" s="9">
        <v>6</v>
      </c>
      <c r="AQ428" s="9">
        <v>6</v>
      </c>
      <c r="AR428" s="9">
        <v>5</v>
      </c>
      <c r="AS428" s="9">
        <v>4</v>
      </c>
      <c r="AT428" s="9">
        <v>3</v>
      </c>
      <c r="AU428" s="9">
        <v>2</v>
      </c>
      <c r="AV428" s="9">
        <v>2</v>
      </c>
      <c r="AW428" s="9">
        <v>2</v>
      </c>
      <c r="AX428" s="9">
        <v>2</v>
      </c>
      <c r="AY428" s="9">
        <v>5</v>
      </c>
      <c r="AZ428" s="9">
        <v>6</v>
      </c>
      <c r="BA428" s="9">
        <v>5</v>
      </c>
      <c r="BB428" s="9">
        <v>6</v>
      </c>
      <c r="BC428" s="9">
        <v>9</v>
      </c>
      <c r="BD428" s="9">
        <v>12</v>
      </c>
      <c r="BE428" s="9">
        <v>13</v>
      </c>
      <c r="BF428" s="9">
        <v>12</v>
      </c>
      <c r="BG428" s="9">
        <v>14</v>
      </c>
      <c r="BH428" s="9">
        <v>16</v>
      </c>
      <c r="BI428" s="9">
        <v>17</v>
      </c>
      <c r="BJ428" s="9">
        <v>17</v>
      </c>
      <c r="BK428" s="9">
        <v>17</v>
      </c>
      <c r="BL428" s="9">
        <v>19</v>
      </c>
      <c r="BM428" s="9">
        <v>26</v>
      </c>
      <c r="BN428" s="9">
        <v>29</v>
      </c>
      <c r="BO428" s="9">
        <v>33</v>
      </c>
      <c r="BP428" s="10">
        <v>38</v>
      </c>
      <c r="BQ428">
        <v>40</v>
      </c>
      <c r="BR428">
        <v>48</v>
      </c>
    </row>
    <row r="429" spans="1:70" x14ac:dyDescent="0.35">
      <c r="A429" s="8" t="s">
        <v>413</v>
      </c>
      <c r="B429" s="9" t="s">
        <v>470</v>
      </c>
      <c r="C429" s="10" t="s">
        <v>1220</v>
      </c>
      <c r="D429" s="34">
        <f t="shared" si="8"/>
        <v>27</v>
      </c>
      <c r="E429" s="9">
        <v>7</v>
      </c>
      <c r="F429" s="9">
        <v>6</v>
      </c>
      <c r="G429" s="9">
        <v>6</v>
      </c>
      <c r="H429" s="9">
        <v>6</v>
      </c>
      <c r="I429" s="9">
        <v>3</v>
      </c>
      <c r="J429" s="9">
        <v>4</v>
      </c>
      <c r="K429" s="9">
        <v>3</v>
      </c>
      <c r="L429" s="9">
        <v>3</v>
      </c>
      <c r="M429" s="9">
        <v>3</v>
      </c>
      <c r="N429" s="9">
        <v>3</v>
      </c>
      <c r="O429" s="9">
        <v>4</v>
      </c>
      <c r="P429" s="9">
        <v>4</v>
      </c>
      <c r="Q429" s="9">
        <v>4</v>
      </c>
      <c r="R429" s="9">
        <v>5</v>
      </c>
      <c r="S429" s="9">
        <v>4</v>
      </c>
      <c r="T429" s="9">
        <v>2</v>
      </c>
      <c r="U429" s="9">
        <v>2</v>
      </c>
      <c r="V429" s="9">
        <v>2</v>
      </c>
      <c r="W429" s="9">
        <v>3</v>
      </c>
      <c r="X429" s="9">
        <v>3</v>
      </c>
      <c r="Y429" s="9">
        <v>3</v>
      </c>
      <c r="Z429" s="9">
        <v>3</v>
      </c>
      <c r="AA429" s="9">
        <v>3</v>
      </c>
      <c r="AB429" s="9">
        <v>3</v>
      </c>
      <c r="AC429" s="9">
        <v>2</v>
      </c>
      <c r="AD429" s="9">
        <v>2</v>
      </c>
      <c r="AE429" s="9">
        <v>3</v>
      </c>
      <c r="AF429" s="9">
        <v>2</v>
      </c>
      <c r="AG429" s="9">
        <v>2</v>
      </c>
      <c r="AH429" s="9">
        <v>2</v>
      </c>
      <c r="AI429" s="9">
        <v>2</v>
      </c>
      <c r="AJ429" s="9">
        <v>2</v>
      </c>
      <c r="AK429" s="9">
        <v>2</v>
      </c>
      <c r="AL429" s="9">
        <v>2</v>
      </c>
      <c r="AM429" s="9">
        <v>3</v>
      </c>
      <c r="AN429" s="9">
        <v>3</v>
      </c>
      <c r="AO429" s="9">
        <v>5</v>
      </c>
      <c r="AP429" s="9">
        <v>4</v>
      </c>
      <c r="AQ429" s="9">
        <v>4</v>
      </c>
      <c r="AR429" s="9">
        <v>4</v>
      </c>
      <c r="AS429" s="9">
        <v>5</v>
      </c>
      <c r="AT429" s="9">
        <v>5</v>
      </c>
      <c r="AU429" s="9">
        <v>4</v>
      </c>
      <c r="AV429" s="9">
        <v>2</v>
      </c>
      <c r="AW429" s="9">
        <v>4</v>
      </c>
      <c r="AX429" s="9">
        <v>4</v>
      </c>
      <c r="AY429" s="9">
        <v>5</v>
      </c>
      <c r="AZ429" s="9">
        <v>1</v>
      </c>
      <c r="BA429" s="9">
        <v>6</v>
      </c>
      <c r="BB429" s="9">
        <v>8</v>
      </c>
      <c r="BC429" s="9">
        <v>10</v>
      </c>
      <c r="BD429" s="9">
        <v>10</v>
      </c>
      <c r="BE429" s="9">
        <v>8</v>
      </c>
      <c r="BF429" s="9">
        <v>5</v>
      </c>
      <c r="BG429" s="9">
        <v>4</v>
      </c>
      <c r="BH429" s="9">
        <v>8</v>
      </c>
      <c r="BI429" s="9">
        <v>11</v>
      </c>
      <c r="BJ429" s="9">
        <v>12</v>
      </c>
      <c r="BK429" s="9">
        <v>15</v>
      </c>
      <c r="BL429" s="9">
        <v>19</v>
      </c>
      <c r="BM429" s="9">
        <v>19</v>
      </c>
      <c r="BN429" s="9">
        <v>21</v>
      </c>
      <c r="BO429" s="9">
        <v>26</v>
      </c>
      <c r="BP429" s="10">
        <v>13</v>
      </c>
      <c r="BQ429">
        <v>24</v>
      </c>
      <c r="BR429">
        <v>27</v>
      </c>
    </row>
    <row r="430" spans="1:70" x14ac:dyDescent="0.35">
      <c r="A430" s="8" t="s">
        <v>413</v>
      </c>
      <c r="B430" s="9" t="s">
        <v>472</v>
      </c>
      <c r="C430" s="10" t="s">
        <v>1221</v>
      </c>
      <c r="D430" s="34">
        <f t="shared" si="8"/>
        <v>14</v>
      </c>
      <c r="E430" s="9">
        <v>0</v>
      </c>
      <c r="F430" s="9">
        <v>0</v>
      </c>
      <c r="G430" s="9">
        <v>0</v>
      </c>
      <c r="H430" s="9">
        <v>0</v>
      </c>
      <c r="I430" s="9">
        <v>0</v>
      </c>
      <c r="J430" s="9">
        <v>0</v>
      </c>
      <c r="K430" s="9">
        <v>0</v>
      </c>
      <c r="L430" s="9">
        <v>0</v>
      </c>
      <c r="M430" s="9">
        <v>0</v>
      </c>
      <c r="N430" s="9">
        <v>0</v>
      </c>
      <c r="O430" s="9">
        <v>0</v>
      </c>
      <c r="P430" s="9">
        <v>0</v>
      </c>
      <c r="Q430" s="9">
        <v>0</v>
      </c>
      <c r="R430" s="9">
        <v>0</v>
      </c>
      <c r="S430" s="9">
        <v>0</v>
      </c>
      <c r="T430" s="9">
        <v>0</v>
      </c>
      <c r="U430" s="9">
        <v>0</v>
      </c>
      <c r="V430" s="9">
        <v>1</v>
      </c>
      <c r="W430" s="9">
        <v>1</v>
      </c>
      <c r="X430" s="9">
        <v>0</v>
      </c>
      <c r="Y430" s="9">
        <v>1</v>
      </c>
      <c r="Z430" s="9">
        <v>1</v>
      </c>
      <c r="AA430" s="9">
        <v>1</v>
      </c>
      <c r="AB430" s="9">
        <v>1</v>
      </c>
      <c r="AC430" s="9">
        <v>0</v>
      </c>
      <c r="AD430" s="9">
        <v>0</v>
      </c>
      <c r="AE430" s="9">
        <v>0</v>
      </c>
      <c r="AF430" s="9">
        <v>0</v>
      </c>
      <c r="AG430" s="9">
        <v>0</v>
      </c>
      <c r="AH430" s="9">
        <v>0</v>
      </c>
      <c r="AI430" s="9">
        <v>0</v>
      </c>
      <c r="AJ430" s="9">
        <v>0</v>
      </c>
      <c r="AK430" s="9">
        <v>0</v>
      </c>
      <c r="AL430" s="9">
        <v>0</v>
      </c>
      <c r="AM430" s="9">
        <v>0</v>
      </c>
      <c r="AN430" s="9">
        <v>0</v>
      </c>
      <c r="AO430" s="9">
        <v>0</v>
      </c>
      <c r="AP430" s="9">
        <v>0</v>
      </c>
      <c r="AQ430" s="9">
        <v>0</v>
      </c>
      <c r="AR430" s="9">
        <v>0</v>
      </c>
      <c r="AS430" s="9">
        <v>0</v>
      </c>
      <c r="AT430" s="9">
        <v>1</v>
      </c>
      <c r="AU430" s="9">
        <v>3</v>
      </c>
      <c r="AV430" s="9">
        <v>3</v>
      </c>
      <c r="AW430" s="9">
        <v>3</v>
      </c>
      <c r="AX430" s="9">
        <v>3</v>
      </c>
      <c r="AY430" s="9">
        <v>3</v>
      </c>
      <c r="AZ430" s="9">
        <v>3</v>
      </c>
      <c r="BA430" s="9">
        <v>3</v>
      </c>
      <c r="BB430" s="9">
        <v>3</v>
      </c>
      <c r="BC430" s="9">
        <v>3</v>
      </c>
      <c r="BD430" s="9">
        <v>4</v>
      </c>
      <c r="BE430" s="9">
        <v>3</v>
      </c>
      <c r="BF430" s="9">
        <v>4</v>
      </c>
      <c r="BG430" s="9">
        <v>4</v>
      </c>
      <c r="BH430" s="9">
        <v>4</v>
      </c>
      <c r="BI430" s="9">
        <v>4</v>
      </c>
      <c r="BJ430" s="9">
        <v>9</v>
      </c>
      <c r="BK430" s="9">
        <v>9</v>
      </c>
      <c r="BL430" s="9">
        <v>10</v>
      </c>
      <c r="BM430" s="9">
        <v>11</v>
      </c>
      <c r="BN430" s="9">
        <v>11</v>
      </c>
      <c r="BO430" s="9">
        <v>14</v>
      </c>
      <c r="BP430" s="10">
        <v>13</v>
      </c>
      <c r="BQ430">
        <v>10</v>
      </c>
      <c r="BR430">
        <v>10</v>
      </c>
    </row>
    <row r="431" spans="1:70" x14ac:dyDescent="0.35">
      <c r="A431" s="8" t="s">
        <v>413</v>
      </c>
      <c r="B431" s="9" t="s">
        <v>474</v>
      </c>
      <c r="C431" s="10" t="s">
        <v>1222</v>
      </c>
      <c r="D431" s="34">
        <f t="shared" si="8"/>
        <v>14</v>
      </c>
      <c r="E431" s="9">
        <v>0</v>
      </c>
      <c r="F431" s="9">
        <v>0</v>
      </c>
      <c r="G431" s="9">
        <v>0</v>
      </c>
      <c r="H431" s="9">
        <v>0</v>
      </c>
      <c r="I431" s="9">
        <v>0</v>
      </c>
      <c r="J431" s="9">
        <v>0</v>
      </c>
      <c r="K431" s="9">
        <v>0</v>
      </c>
      <c r="L431" s="9">
        <v>0</v>
      </c>
      <c r="M431" s="9">
        <v>1</v>
      </c>
      <c r="N431" s="9">
        <v>1</v>
      </c>
      <c r="O431" s="9">
        <v>1</v>
      </c>
      <c r="P431" s="9">
        <v>1</v>
      </c>
      <c r="Q431" s="9">
        <v>0</v>
      </c>
      <c r="R431" s="9">
        <v>0</v>
      </c>
      <c r="S431" s="9">
        <v>1</v>
      </c>
      <c r="T431" s="9">
        <v>1</v>
      </c>
      <c r="U431" s="9">
        <v>1</v>
      </c>
      <c r="V431" s="9">
        <v>3</v>
      </c>
      <c r="W431" s="9">
        <v>3</v>
      </c>
      <c r="X431" s="9">
        <v>2</v>
      </c>
      <c r="Y431" s="9">
        <v>1</v>
      </c>
      <c r="Z431" s="9">
        <v>1</v>
      </c>
      <c r="AA431" s="9">
        <v>0</v>
      </c>
      <c r="AB431" s="9">
        <v>1</v>
      </c>
      <c r="AC431" s="9">
        <v>1</v>
      </c>
      <c r="AD431" s="9">
        <v>1</v>
      </c>
      <c r="AE431" s="9">
        <v>1</v>
      </c>
      <c r="AF431" s="9">
        <v>0</v>
      </c>
      <c r="AG431" s="9">
        <v>1</v>
      </c>
      <c r="AH431" s="9">
        <v>2</v>
      </c>
      <c r="AI431" s="9">
        <v>1</v>
      </c>
      <c r="AJ431" s="9">
        <v>1</v>
      </c>
      <c r="AK431" s="9">
        <v>1</v>
      </c>
      <c r="AL431" s="9">
        <v>1</v>
      </c>
      <c r="AM431" s="9">
        <v>2</v>
      </c>
      <c r="AN431" s="9">
        <v>2</v>
      </c>
      <c r="AO431" s="9">
        <v>2</v>
      </c>
      <c r="AP431" s="9">
        <v>3</v>
      </c>
      <c r="AQ431" s="9">
        <v>3</v>
      </c>
      <c r="AR431" s="9">
        <v>3</v>
      </c>
      <c r="AS431" s="9">
        <v>3</v>
      </c>
      <c r="AT431" s="9">
        <v>3</v>
      </c>
      <c r="AU431" s="9">
        <v>3</v>
      </c>
      <c r="AV431" s="9">
        <v>4</v>
      </c>
      <c r="AW431" s="9">
        <v>3</v>
      </c>
      <c r="AX431" s="9">
        <v>3</v>
      </c>
      <c r="AY431" s="9">
        <v>2</v>
      </c>
      <c r="AZ431" s="9">
        <v>3</v>
      </c>
      <c r="BA431" s="9">
        <v>2</v>
      </c>
      <c r="BB431" s="9">
        <v>2</v>
      </c>
      <c r="BC431" s="9">
        <v>2</v>
      </c>
      <c r="BD431" s="9">
        <v>3</v>
      </c>
      <c r="BE431" s="9">
        <v>2</v>
      </c>
      <c r="BF431" s="9">
        <v>4</v>
      </c>
      <c r="BG431" s="9">
        <v>4</v>
      </c>
      <c r="BH431" s="9">
        <v>7</v>
      </c>
      <c r="BI431" s="9">
        <v>8</v>
      </c>
      <c r="BJ431" s="9">
        <v>8</v>
      </c>
      <c r="BK431" s="9">
        <v>7</v>
      </c>
      <c r="BL431" s="9">
        <v>7</v>
      </c>
      <c r="BM431" s="9">
        <v>7</v>
      </c>
      <c r="BN431" s="9">
        <v>9</v>
      </c>
      <c r="BO431" s="9">
        <v>8</v>
      </c>
      <c r="BP431" s="10">
        <v>10</v>
      </c>
      <c r="BQ431">
        <v>12</v>
      </c>
      <c r="BR431">
        <v>14</v>
      </c>
    </row>
    <row r="432" spans="1:70" x14ac:dyDescent="0.35">
      <c r="A432" s="8" t="s">
        <v>413</v>
      </c>
      <c r="B432" s="9" t="s">
        <v>476</v>
      </c>
      <c r="C432" s="10" t="s">
        <v>1223</v>
      </c>
      <c r="D432" s="34">
        <f t="shared" si="8"/>
        <v>23</v>
      </c>
      <c r="E432" s="9">
        <v>0</v>
      </c>
      <c r="F432" s="9">
        <v>0</v>
      </c>
      <c r="G432" s="9">
        <v>0</v>
      </c>
      <c r="H432" s="9">
        <v>0</v>
      </c>
      <c r="I432" s="9">
        <v>0</v>
      </c>
      <c r="J432" s="9">
        <v>0</v>
      </c>
      <c r="K432" s="9">
        <v>0</v>
      </c>
      <c r="L432" s="9">
        <v>0</v>
      </c>
      <c r="M432" s="9">
        <v>0</v>
      </c>
      <c r="N432" s="9">
        <v>0</v>
      </c>
      <c r="O432" s="9">
        <v>0</v>
      </c>
      <c r="P432" s="9">
        <v>0</v>
      </c>
      <c r="Q432" s="9">
        <v>0</v>
      </c>
      <c r="R432" s="9">
        <v>0</v>
      </c>
      <c r="S432" s="9">
        <v>0</v>
      </c>
      <c r="T432" s="9">
        <v>0</v>
      </c>
      <c r="U432" s="9">
        <v>0</v>
      </c>
      <c r="V432" s="9">
        <v>0</v>
      </c>
      <c r="W432" s="9">
        <v>0</v>
      </c>
      <c r="X432" s="9">
        <v>0</v>
      </c>
      <c r="Y432" s="9">
        <v>0</v>
      </c>
      <c r="Z432" s="9">
        <v>0</v>
      </c>
      <c r="AA432" s="9">
        <v>0</v>
      </c>
      <c r="AB432" s="9">
        <v>0</v>
      </c>
      <c r="AC432" s="9">
        <v>0</v>
      </c>
      <c r="AD432" s="9">
        <v>0</v>
      </c>
      <c r="AE432" s="9">
        <v>0</v>
      </c>
      <c r="AF432" s="9">
        <v>0</v>
      </c>
      <c r="AG432" s="9">
        <v>0</v>
      </c>
      <c r="AH432" s="9">
        <v>0</v>
      </c>
      <c r="AI432" s="9">
        <v>0</v>
      </c>
      <c r="AJ432" s="9">
        <v>0</v>
      </c>
      <c r="AK432" s="9">
        <v>0</v>
      </c>
      <c r="AL432" s="9">
        <v>0</v>
      </c>
      <c r="AM432" s="9">
        <v>0</v>
      </c>
      <c r="AN432" s="9">
        <v>0</v>
      </c>
      <c r="AO432" s="9">
        <v>0</v>
      </c>
      <c r="AP432" s="9">
        <v>0</v>
      </c>
      <c r="AQ432" s="9">
        <v>0</v>
      </c>
      <c r="AR432" s="9">
        <v>0</v>
      </c>
      <c r="AS432" s="9">
        <v>0</v>
      </c>
      <c r="AT432" s="9">
        <v>0</v>
      </c>
      <c r="AU432" s="9">
        <v>0</v>
      </c>
      <c r="AV432" s="9">
        <v>0</v>
      </c>
      <c r="AW432" s="9">
        <v>1</v>
      </c>
      <c r="AX432" s="9">
        <v>3</v>
      </c>
      <c r="AY432" s="9">
        <v>6</v>
      </c>
      <c r="AZ432" s="9">
        <v>3</v>
      </c>
      <c r="BA432" s="9">
        <v>1</v>
      </c>
      <c r="BB432" s="9">
        <v>3</v>
      </c>
      <c r="BC432" s="9">
        <v>3</v>
      </c>
      <c r="BD432" s="9">
        <v>0</v>
      </c>
      <c r="BE432" s="9">
        <v>6</v>
      </c>
      <c r="BF432" s="9">
        <v>5</v>
      </c>
      <c r="BG432" s="9">
        <v>8</v>
      </c>
      <c r="BH432" s="9">
        <v>7</v>
      </c>
      <c r="BI432" s="9">
        <v>8</v>
      </c>
      <c r="BJ432" s="9">
        <v>3</v>
      </c>
      <c r="BK432" s="9">
        <v>12</v>
      </c>
      <c r="BL432" s="9">
        <v>6</v>
      </c>
      <c r="BM432" s="9">
        <v>15</v>
      </c>
      <c r="BN432" s="9">
        <v>18</v>
      </c>
      <c r="BO432" s="9">
        <v>17</v>
      </c>
      <c r="BP432" s="10">
        <v>0</v>
      </c>
      <c r="BQ432">
        <v>10</v>
      </c>
      <c r="BR432">
        <v>23</v>
      </c>
    </row>
    <row r="433" spans="1:70" x14ac:dyDescent="0.35">
      <c r="A433" s="8" t="s">
        <v>413</v>
      </c>
      <c r="B433" s="9" t="s">
        <v>478</v>
      </c>
      <c r="C433" s="10" t="s">
        <v>1224</v>
      </c>
      <c r="D433" s="34">
        <f t="shared" si="8"/>
        <v>15</v>
      </c>
      <c r="E433" s="9">
        <v>0</v>
      </c>
      <c r="F433" s="9">
        <v>0</v>
      </c>
      <c r="G433" s="9">
        <v>0</v>
      </c>
      <c r="H433" s="9">
        <v>0</v>
      </c>
      <c r="I433" s="9">
        <v>0</v>
      </c>
      <c r="J433" s="9">
        <v>0</v>
      </c>
      <c r="K433" s="9">
        <v>0</v>
      </c>
      <c r="L433" s="9">
        <v>0</v>
      </c>
      <c r="M433" s="9">
        <v>0</v>
      </c>
      <c r="N433" s="9">
        <v>0</v>
      </c>
      <c r="O433" s="9">
        <v>0</v>
      </c>
      <c r="P433" s="9">
        <v>0</v>
      </c>
      <c r="Q433" s="9">
        <v>0</v>
      </c>
      <c r="R433" s="9">
        <v>0</v>
      </c>
      <c r="S433" s="9">
        <v>0</v>
      </c>
      <c r="T433" s="9">
        <v>0</v>
      </c>
      <c r="U433" s="9">
        <v>0</v>
      </c>
      <c r="V433" s="9">
        <v>0</v>
      </c>
      <c r="W433" s="9">
        <v>0</v>
      </c>
      <c r="X433" s="9">
        <v>0</v>
      </c>
      <c r="Y433" s="9">
        <v>0</v>
      </c>
      <c r="Z433" s="9">
        <v>0</v>
      </c>
      <c r="AA433" s="9">
        <v>0</v>
      </c>
      <c r="AB433" s="9">
        <v>0</v>
      </c>
      <c r="AC433" s="9">
        <v>0</v>
      </c>
      <c r="AD433" s="9">
        <v>0</v>
      </c>
      <c r="AE433" s="9">
        <v>0</v>
      </c>
      <c r="AF433" s="9">
        <v>0</v>
      </c>
      <c r="AG433" s="9">
        <v>0</v>
      </c>
      <c r="AH433" s="9">
        <v>0</v>
      </c>
      <c r="AI433" s="9">
        <v>0</v>
      </c>
      <c r="AJ433" s="9">
        <v>0</v>
      </c>
      <c r="AK433" s="9">
        <v>0</v>
      </c>
      <c r="AL433" s="9">
        <v>0</v>
      </c>
      <c r="AM433" s="9">
        <v>0</v>
      </c>
      <c r="AN433" s="9">
        <v>0</v>
      </c>
      <c r="AO433" s="9">
        <v>0</v>
      </c>
      <c r="AP433" s="9">
        <v>0</v>
      </c>
      <c r="AQ433" s="9">
        <v>0</v>
      </c>
      <c r="AR433" s="9">
        <v>0</v>
      </c>
      <c r="AS433" s="9">
        <v>0</v>
      </c>
      <c r="AT433" s="9">
        <v>0</v>
      </c>
      <c r="AU433" s="9">
        <v>0</v>
      </c>
      <c r="AV433" s="9">
        <v>0</v>
      </c>
      <c r="AW433" s="9">
        <v>0</v>
      </c>
      <c r="AX433" s="9">
        <v>0</v>
      </c>
      <c r="AY433" s="9">
        <v>0</v>
      </c>
      <c r="AZ433" s="9">
        <v>0</v>
      </c>
      <c r="BA433" s="9">
        <v>0</v>
      </c>
      <c r="BB433" s="9">
        <v>0</v>
      </c>
      <c r="BC433" s="9">
        <v>4</v>
      </c>
      <c r="BD433" s="9">
        <v>4</v>
      </c>
      <c r="BE433" s="9">
        <v>4</v>
      </c>
      <c r="BF433" s="9">
        <v>4</v>
      </c>
      <c r="BG433" s="9">
        <v>4</v>
      </c>
      <c r="BH433" s="9">
        <v>5</v>
      </c>
      <c r="BI433" s="9">
        <v>5</v>
      </c>
      <c r="BJ433" s="9">
        <v>5</v>
      </c>
      <c r="BK433" s="9">
        <v>6</v>
      </c>
      <c r="BL433" s="9">
        <v>6</v>
      </c>
      <c r="BM433" s="9">
        <v>6</v>
      </c>
      <c r="BN433" s="9">
        <v>12</v>
      </c>
      <c r="BO433" s="9">
        <v>12</v>
      </c>
      <c r="BP433" s="10">
        <v>11</v>
      </c>
      <c r="BQ433">
        <v>11</v>
      </c>
      <c r="BR433">
        <v>15</v>
      </c>
    </row>
    <row r="434" spans="1:70" x14ac:dyDescent="0.35">
      <c r="A434" s="8" t="s">
        <v>413</v>
      </c>
      <c r="B434" s="9" t="s">
        <v>480</v>
      </c>
      <c r="C434" s="10" t="s">
        <v>1225</v>
      </c>
      <c r="D434" s="34">
        <f t="shared" si="8"/>
        <v>24</v>
      </c>
      <c r="E434" s="9">
        <v>1</v>
      </c>
      <c r="F434" s="9">
        <v>2</v>
      </c>
      <c r="G434" s="9">
        <v>2</v>
      </c>
      <c r="H434" s="9">
        <v>2</v>
      </c>
      <c r="I434" s="9">
        <v>2</v>
      </c>
      <c r="J434" s="9">
        <v>2</v>
      </c>
      <c r="K434" s="9">
        <v>3</v>
      </c>
      <c r="L434" s="9">
        <v>1</v>
      </c>
      <c r="M434" s="9">
        <v>1</v>
      </c>
      <c r="N434" s="9">
        <v>1</v>
      </c>
      <c r="O434" s="9">
        <v>0</v>
      </c>
      <c r="P434" s="9">
        <v>0</v>
      </c>
      <c r="Q434" s="9">
        <v>0</v>
      </c>
      <c r="R434" s="9">
        <v>0</v>
      </c>
      <c r="S434" s="9">
        <v>0</v>
      </c>
      <c r="T434" s="9">
        <v>1</v>
      </c>
      <c r="U434" s="9">
        <v>1</v>
      </c>
      <c r="V434" s="9">
        <v>1</v>
      </c>
      <c r="W434" s="9">
        <v>1</v>
      </c>
      <c r="X434" s="9">
        <v>1</v>
      </c>
      <c r="Y434" s="9">
        <v>3</v>
      </c>
      <c r="Z434" s="9">
        <v>3</v>
      </c>
      <c r="AA434" s="9">
        <v>6</v>
      </c>
      <c r="AB434" s="9">
        <v>6</v>
      </c>
      <c r="AC434" s="9">
        <v>6</v>
      </c>
      <c r="AD434" s="9">
        <v>4</v>
      </c>
      <c r="AE434" s="9">
        <v>4</v>
      </c>
      <c r="AF434" s="9">
        <v>4</v>
      </c>
      <c r="AG434" s="9">
        <v>3</v>
      </c>
      <c r="AH434" s="9">
        <v>2</v>
      </c>
      <c r="AI434" s="9">
        <v>3</v>
      </c>
      <c r="AJ434" s="9">
        <v>3</v>
      </c>
      <c r="AK434" s="9">
        <v>4</v>
      </c>
      <c r="AL434" s="9">
        <v>4</v>
      </c>
      <c r="AM434" s="9">
        <v>3</v>
      </c>
      <c r="AN434" s="9">
        <v>6</v>
      </c>
      <c r="AO434" s="9">
        <v>5</v>
      </c>
      <c r="AP434" s="9">
        <v>4</v>
      </c>
      <c r="AQ434" s="9">
        <v>4</v>
      </c>
      <c r="AR434" s="9">
        <v>4</v>
      </c>
      <c r="AS434" s="9">
        <v>4</v>
      </c>
      <c r="AT434" s="9">
        <v>6</v>
      </c>
      <c r="AU434" s="9">
        <v>6</v>
      </c>
      <c r="AV434" s="9">
        <v>6</v>
      </c>
      <c r="AW434" s="9">
        <v>6</v>
      </c>
      <c r="AX434" s="9">
        <v>9</v>
      </c>
      <c r="AY434" s="9">
        <v>0</v>
      </c>
      <c r="AZ434" s="9">
        <v>0</v>
      </c>
      <c r="BA434" s="9">
        <v>6</v>
      </c>
      <c r="BB434" s="9">
        <v>7</v>
      </c>
      <c r="BC434" s="9">
        <v>7</v>
      </c>
      <c r="BD434" s="9">
        <v>8</v>
      </c>
      <c r="BE434" s="9">
        <v>7</v>
      </c>
      <c r="BF434" s="9">
        <v>7</v>
      </c>
      <c r="BG434" s="9">
        <v>11</v>
      </c>
      <c r="BH434" s="9">
        <v>15</v>
      </c>
      <c r="BI434" s="9">
        <v>18</v>
      </c>
      <c r="BJ434" s="9">
        <v>17</v>
      </c>
      <c r="BK434" s="9">
        <v>19</v>
      </c>
      <c r="BL434" s="9">
        <v>20</v>
      </c>
      <c r="BM434" s="9">
        <v>21</v>
      </c>
      <c r="BN434" s="9">
        <v>20</v>
      </c>
      <c r="BO434" s="9">
        <v>21</v>
      </c>
      <c r="BP434" s="10">
        <v>21</v>
      </c>
      <c r="BQ434">
        <v>24</v>
      </c>
      <c r="BR434">
        <v>22</v>
      </c>
    </row>
    <row r="435" spans="1:70" x14ac:dyDescent="0.35">
      <c r="A435" s="8" t="s">
        <v>413</v>
      </c>
      <c r="B435" s="9" t="s">
        <v>482</v>
      </c>
      <c r="C435" s="10" t="s">
        <v>1226</v>
      </c>
      <c r="D435" s="34">
        <f t="shared" si="8"/>
        <v>69</v>
      </c>
      <c r="E435" s="9">
        <v>2</v>
      </c>
      <c r="F435" s="9">
        <v>2</v>
      </c>
      <c r="G435" s="9">
        <v>2</v>
      </c>
      <c r="H435" s="9">
        <v>2</v>
      </c>
      <c r="I435" s="9">
        <v>2</v>
      </c>
      <c r="J435" s="9">
        <v>1</v>
      </c>
      <c r="K435" s="9">
        <v>1</v>
      </c>
      <c r="L435" s="9">
        <v>2</v>
      </c>
      <c r="M435" s="9">
        <v>2</v>
      </c>
      <c r="N435" s="9">
        <v>1</v>
      </c>
      <c r="O435" s="9">
        <v>1</v>
      </c>
      <c r="P435" s="9">
        <v>1</v>
      </c>
      <c r="Q435" s="9">
        <v>1</v>
      </c>
      <c r="R435" s="9">
        <v>1</v>
      </c>
      <c r="S435" s="9">
        <v>1</v>
      </c>
      <c r="T435" s="9">
        <v>2</v>
      </c>
      <c r="U435" s="9">
        <v>2</v>
      </c>
      <c r="V435" s="9">
        <v>1</v>
      </c>
      <c r="W435" s="9">
        <v>0</v>
      </c>
      <c r="X435" s="9">
        <v>0</v>
      </c>
      <c r="Y435" s="9">
        <v>0</v>
      </c>
      <c r="Z435" s="9">
        <v>0</v>
      </c>
      <c r="AA435" s="9">
        <v>0</v>
      </c>
      <c r="AB435" s="9">
        <v>0</v>
      </c>
      <c r="AC435" s="9">
        <v>0</v>
      </c>
      <c r="AD435" s="9">
        <v>0</v>
      </c>
      <c r="AE435" s="9">
        <v>0</v>
      </c>
      <c r="AF435" s="9">
        <v>0</v>
      </c>
      <c r="AG435" s="9">
        <v>0</v>
      </c>
      <c r="AH435" s="9">
        <v>0</v>
      </c>
      <c r="AI435" s="9">
        <v>0</v>
      </c>
      <c r="AJ435" s="9">
        <v>0</v>
      </c>
      <c r="AK435" s="9">
        <v>1</v>
      </c>
      <c r="AL435" s="9">
        <v>1</v>
      </c>
      <c r="AM435" s="9">
        <v>1</v>
      </c>
      <c r="AN435" s="9">
        <v>1</v>
      </c>
      <c r="AO435" s="9">
        <v>2</v>
      </c>
      <c r="AP435" s="9">
        <v>3</v>
      </c>
      <c r="AQ435" s="9">
        <v>9</v>
      </c>
      <c r="AR435" s="9">
        <v>9</v>
      </c>
      <c r="AS435" s="9">
        <v>10</v>
      </c>
      <c r="AT435" s="9">
        <v>13</v>
      </c>
      <c r="AU435" s="9">
        <v>13</v>
      </c>
      <c r="AV435" s="9">
        <v>15</v>
      </c>
      <c r="AW435" s="9">
        <v>15</v>
      </c>
      <c r="AX435" s="9">
        <v>16</v>
      </c>
      <c r="AY435" s="9">
        <v>16</v>
      </c>
      <c r="AZ435" s="9">
        <v>16</v>
      </c>
      <c r="BA435" s="9">
        <v>16</v>
      </c>
      <c r="BB435" s="9">
        <v>15</v>
      </c>
      <c r="BC435" s="9">
        <v>15</v>
      </c>
      <c r="BD435" s="9">
        <v>16</v>
      </c>
      <c r="BE435" s="9">
        <v>15</v>
      </c>
      <c r="BF435" s="9">
        <v>21</v>
      </c>
      <c r="BG435" s="9">
        <v>22</v>
      </c>
      <c r="BH435" s="9">
        <v>23</v>
      </c>
      <c r="BI435" s="9">
        <v>24</v>
      </c>
      <c r="BJ435" s="9">
        <v>30</v>
      </c>
      <c r="BK435" s="9">
        <v>37</v>
      </c>
      <c r="BL435" s="9">
        <v>42</v>
      </c>
      <c r="BM435" s="9">
        <v>49</v>
      </c>
      <c r="BN435" s="9">
        <v>50</v>
      </c>
      <c r="BO435" s="9">
        <v>60</v>
      </c>
      <c r="BP435" s="10">
        <v>68</v>
      </c>
      <c r="BQ435">
        <v>68</v>
      </c>
      <c r="BR435">
        <v>69</v>
      </c>
    </row>
    <row r="436" spans="1:70" x14ac:dyDescent="0.35">
      <c r="A436" s="8" t="s">
        <v>413</v>
      </c>
      <c r="B436" s="9" t="s">
        <v>484</v>
      </c>
      <c r="C436" s="10" t="s">
        <v>1227</v>
      </c>
      <c r="D436" s="34">
        <f t="shared" si="8"/>
        <v>14</v>
      </c>
      <c r="E436" s="9">
        <v>0</v>
      </c>
      <c r="F436" s="9">
        <v>0</v>
      </c>
      <c r="G436" s="9">
        <v>0</v>
      </c>
      <c r="H436" s="9">
        <v>0</v>
      </c>
      <c r="I436" s="9">
        <v>0</v>
      </c>
      <c r="J436" s="9">
        <v>0</v>
      </c>
      <c r="K436" s="9">
        <v>0</v>
      </c>
      <c r="L436" s="9">
        <v>0</v>
      </c>
      <c r="M436" s="9">
        <v>0</v>
      </c>
      <c r="N436" s="9">
        <v>0</v>
      </c>
      <c r="O436" s="9">
        <v>0</v>
      </c>
      <c r="P436" s="9">
        <v>0</v>
      </c>
      <c r="Q436" s="9">
        <v>0</v>
      </c>
      <c r="R436" s="9">
        <v>0</v>
      </c>
      <c r="S436" s="9">
        <v>0</v>
      </c>
      <c r="T436" s="9">
        <v>0</v>
      </c>
      <c r="U436" s="9">
        <v>0</v>
      </c>
      <c r="V436" s="9">
        <v>1</v>
      </c>
      <c r="W436" s="9">
        <v>1</v>
      </c>
      <c r="X436" s="9">
        <v>1</v>
      </c>
      <c r="Y436" s="9">
        <v>1</v>
      </c>
      <c r="Z436" s="9">
        <v>1</v>
      </c>
      <c r="AA436" s="9">
        <v>0</v>
      </c>
      <c r="AB436" s="9">
        <v>1</v>
      </c>
      <c r="AC436" s="9">
        <v>2</v>
      </c>
      <c r="AD436" s="9">
        <v>1</v>
      </c>
      <c r="AE436" s="9">
        <v>1</v>
      </c>
      <c r="AF436" s="9">
        <v>1</v>
      </c>
      <c r="AG436" s="9">
        <v>1</v>
      </c>
      <c r="AH436" s="9">
        <v>1</v>
      </c>
      <c r="AI436" s="9">
        <v>2</v>
      </c>
      <c r="AJ436" s="9">
        <v>3</v>
      </c>
      <c r="AK436" s="9">
        <v>4</v>
      </c>
      <c r="AL436" s="9">
        <v>4</v>
      </c>
      <c r="AM436" s="9">
        <v>4</v>
      </c>
      <c r="AN436" s="9">
        <v>4</v>
      </c>
      <c r="AO436" s="9">
        <v>3</v>
      </c>
      <c r="AP436" s="9">
        <v>2</v>
      </c>
      <c r="AQ436" s="9">
        <v>2</v>
      </c>
      <c r="AR436" s="9">
        <v>3</v>
      </c>
      <c r="AS436" s="9">
        <v>1</v>
      </c>
      <c r="AT436" s="9">
        <v>1</v>
      </c>
      <c r="AU436" s="9">
        <v>1</v>
      </c>
      <c r="AV436" s="9">
        <v>2</v>
      </c>
      <c r="AW436" s="9">
        <v>2</v>
      </c>
      <c r="AX436" s="9">
        <v>4</v>
      </c>
      <c r="AY436" s="9">
        <v>6</v>
      </c>
      <c r="AZ436" s="9">
        <v>5</v>
      </c>
      <c r="BA436" s="9">
        <v>7</v>
      </c>
      <c r="BB436" s="9">
        <v>4</v>
      </c>
      <c r="BC436" s="9">
        <v>5</v>
      </c>
      <c r="BD436" s="9">
        <v>5</v>
      </c>
      <c r="BE436" s="9">
        <v>5</v>
      </c>
      <c r="BF436" s="9">
        <v>7</v>
      </c>
      <c r="BG436" s="9">
        <v>3</v>
      </c>
      <c r="BH436" s="9">
        <v>3</v>
      </c>
      <c r="BI436" s="9">
        <v>6</v>
      </c>
      <c r="BJ436" s="9">
        <v>7</v>
      </c>
      <c r="BK436" s="9">
        <v>9</v>
      </c>
      <c r="BL436" s="9">
        <v>10</v>
      </c>
      <c r="BM436" s="9">
        <v>11</v>
      </c>
      <c r="BN436" s="9">
        <v>14</v>
      </c>
      <c r="BO436" s="9">
        <v>11</v>
      </c>
      <c r="BP436" s="10">
        <v>13</v>
      </c>
      <c r="BQ436">
        <v>13</v>
      </c>
      <c r="BR436">
        <v>14</v>
      </c>
    </row>
    <row r="437" spans="1:70" x14ac:dyDescent="0.35">
      <c r="A437" s="8" t="s">
        <v>413</v>
      </c>
      <c r="B437" s="9" t="s">
        <v>486</v>
      </c>
      <c r="C437" s="10" t="s">
        <v>1228</v>
      </c>
      <c r="D437" s="34">
        <f t="shared" si="8"/>
        <v>0</v>
      </c>
      <c r="E437" s="9">
        <v>0</v>
      </c>
      <c r="F437" s="9">
        <v>0</v>
      </c>
      <c r="G437" s="9">
        <v>0</v>
      </c>
      <c r="H437" s="9">
        <v>0</v>
      </c>
      <c r="I437" s="9">
        <v>0</v>
      </c>
      <c r="J437" s="9">
        <v>0</v>
      </c>
      <c r="K437" s="9">
        <v>0</v>
      </c>
      <c r="L437" s="9">
        <v>0</v>
      </c>
      <c r="M437" s="9">
        <v>0</v>
      </c>
      <c r="N437" s="9">
        <v>0</v>
      </c>
      <c r="O437" s="9">
        <v>0</v>
      </c>
      <c r="P437" s="9">
        <v>0</v>
      </c>
      <c r="Q437" s="9">
        <v>0</v>
      </c>
      <c r="R437" s="9">
        <v>0</v>
      </c>
      <c r="S437" s="9">
        <v>0</v>
      </c>
      <c r="T437" s="9">
        <v>0</v>
      </c>
      <c r="U437" s="9">
        <v>0</v>
      </c>
      <c r="V437" s="9">
        <v>0</v>
      </c>
      <c r="W437" s="9">
        <v>0</v>
      </c>
      <c r="X437" s="9">
        <v>0</v>
      </c>
      <c r="Y437" s="9">
        <v>0</v>
      </c>
      <c r="Z437" s="9">
        <v>0</v>
      </c>
      <c r="AA437" s="9">
        <v>0</v>
      </c>
      <c r="AB437" s="9">
        <v>0</v>
      </c>
      <c r="AC437" s="9">
        <v>0</v>
      </c>
      <c r="AD437" s="9">
        <v>0</v>
      </c>
      <c r="AE437" s="9">
        <v>0</v>
      </c>
      <c r="AF437" s="9">
        <v>0</v>
      </c>
      <c r="AG437" s="9">
        <v>0</v>
      </c>
      <c r="AH437" s="9">
        <v>0</v>
      </c>
      <c r="AI437" s="9">
        <v>0</v>
      </c>
      <c r="AJ437" s="9">
        <v>0</v>
      </c>
      <c r="AK437" s="9">
        <v>0</v>
      </c>
      <c r="AL437" s="9">
        <v>0</v>
      </c>
      <c r="AM437" s="9">
        <v>0</v>
      </c>
      <c r="AN437" s="9">
        <v>0</v>
      </c>
      <c r="AO437" s="9">
        <v>0</v>
      </c>
      <c r="AP437" s="9">
        <v>0</v>
      </c>
      <c r="AQ437" s="9">
        <v>0</v>
      </c>
      <c r="AR437" s="9">
        <v>0</v>
      </c>
      <c r="AS437" s="9">
        <v>0</v>
      </c>
      <c r="AT437" s="9">
        <v>0</v>
      </c>
      <c r="AU437" s="9">
        <v>0</v>
      </c>
      <c r="AV437" s="9">
        <v>0</v>
      </c>
      <c r="AW437" s="9">
        <v>0</v>
      </c>
      <c r="AX437" s="9">
        <v>0</v>
      </c>
      <c r="AY437" s="9">
        <v>0</v>
      </c>
      <c r="AZ437" s="9">
        <v>0</v>
      </c>
      <c r="BA437" s="9">
        <v>0</v>
      </c>
      <c r="BB437" s="9">
        <v>0</v>
      </c>
      <c r="BC437" s="9">
        <v>0</v>
      </c>
      <c r="BD437" s="9">
        <v>0</v>
      </c>
      <c r="BE437" s="9">
        <v>0</v>
      </c>
      <c r="BF437" s="9">
        <v>0</v>
      </c>
      <c r="BG437" s="9">
        <v>0</v>
      </c>
      <c r="BH437" s="9">
        <v>0</v>
      </c>
      <c r="BI437" s="9">
        <v>0</v>
      </c>
      <c r="BJ437" s="9">
        <v>0</v>
      </c>
      <c r="BK437" s="9">
        <v>0</v>
      </c>
      <c r="BL437" s="9">
        <v>0</v>
      </c>
      <c r="BM437" s="9">
        <v>0</v>
      </c>
      <c r="BN437" s="9">
        <v>0</v>
      </c>
      <c r="BO437" s="9">
        <v>0</v>
      </c>
      <c r="BP437" s="10">
        <v>0</v>
      </c>
      <c r="BQ437">
        <v>0</v>
      </c>
      <c r="BR437">
        <v>0</v>
      </c>
    </row>
    <row r="438" spans="1:70" x14ac:dyDescent="0.35">
      <c r="A438" s="8" t="s">
        <v>413</v>
      </c>
      <c r="B438" s="9" t="s">
        <v>488</v>
      </c>
      <c r="C438" s="10" t="s">
        <v>1229</v>
      </c>
      <c r="D438" s="34">
        <f t="shared" si="8"/>
        <v>1</v>
      </c>
      <c r="E438" s="9">
        <v>0</v>
      </c>
      <c r="F438" s="9">
        <v>0</v>
      </c>
      <c r="G438" s="9">
        <v>0</v>
      </c>
      <c r="H438" s="9">
        <v>0</v>
      </c>
      <c r="I438" s="9">
        <v>0</v>
      </c>
      <c r="J438" s="9">
        <v>0</v>
      </c>
      <c r="K438" s="9">
        <v>0</v>
      </c>
      <c r="L438" s="9">
        <v>0</v>
      </c>
      <c r="M438" s="9">
        <v>0</v>
      </c>
      <c r="N438" s="9">
        <v>0</v>
      </c>
      <c r="O438" s="9">
        <v>0</v>
      </c>
      <c r="P438" s="9">
        <v>0</v>
      </c>
      <c r="Q438" s="9">
        <v>0</v>
      </c>
      <c r="R438" s="9">
        <v>0</v>
      </c>
      <c r="S438" s="9">
        <v>0</v>
      </c>
      <c r="T438" s="9">
        <v>0</v>
      </c>
      <c r="U438" s="9">
        <v>0</v>
      </c>
      <c r="V438" s="9">
        <v>0</v>
      </c>
      <c r="W438" s="9">
        <v>0</v>
      </c>
      <c r="X438" s="9">
        <v>0</v>
      </c>
      <c r="Y438" s="9">
        <v>0</v>
      </c>
      <c r="Z438" s="9">
        <v>0</v>
      </c>
      <c r="AA438" s="9">
        <v>0</v>
      </c>
      <c r="AB438" s="9">
        <v>0</v>
      </c>
      <c r="AC438" s="9">
        <v>0</v>
      </c>
      <c r="AD438" s="9">
        <v>0</v>
      </c>
      <c r="AE438" s="9">
        <v>0</v>
      </c>
      <c r="AF438" s="9">
        <v>0</v>
      </c>
      <c r="AG438" s="9">
        <v>0</v>
      </c>
      <c r="AH438" s="9">
        <v>0</v>
      </c>
      <c r="AI438" s="9">
        <v>0</v>
      </c>
      <c r="AJ438" s="9">
        <v>0</v>
      </c>
      <c r="AK438" s="9">
        <v>0</v>
      </c>
      <c r="AL438" s="9">
        <v>0</v>
      </c>
      <c r="AM438" s="9">
        <v>0</v>
      </c>
      <c r="AN438" s="9">
        <v>0</v>
      </c>
      <c r="AO438" s="9">
        <v>0</v>
      </c>
      <c r="AP438" s="9">
        <v>0</v>
      </c>
      <c r="AQ438" s="9">
        <v>0</v>
      </c>
      <c r="AR438" s="9">
        <v>0</v>
      </c>
      <c r="AS438" s="9">
        <v>0</v>
      </c>
      <c r="AT438" s="9">
        <v>0</v>
      </c>
      <c r="AU438" s="9">
        <v>0</v>
      </c>
      <c r="AV438" s="9">
        <v>0</v>
      </c>
      <c r="AW438" s="9">
        <v>0</v>
      </c>
      <c r="AX438" s="9">
        <v>0</v>
      </c>
      <c r="AY438" s="9">
        <v>0</v>
      </c>
      <c r="AZ438" s="9">
        <v>0</v>
      </c>
      <c r="BA438" s="9">
        <v>0</v>
      </c>
      <c r="BB438" s="9">
        <v>0</v>
      </c>
      <c r="BC438" s="9">
        <v>0</v>
      </c>
      <c r="BD438" s="9">
        <v>0</v>
      </c>
      <c r="BE438" s="9">
        <v>0</v>
      </c>
      <c r="BF438" s="9">
        <v>0</v>
      </c>
      <c r="BG438" s="9">
        <v>0</v>
      </c>
      <c r="BH438" s="9">
        <v>0</v>
      </c>
      <c r="BI438" s="9">
        <v>0</v>
      </c>
      <c r="BJ438" s="9">
        <v>0</v>
      </c>
      <c r="BK438" s="9">
        <v>0</v>
      </c>
      <c r="BL438" s="9">
        <v>0</v>
      </c>
      <c r="BM438" s="9">
        <v>1</v>
      </c>
      <c r="BN438" s="9">
        <v>1</v>
      </c>
      <c r="BO438" s="9">
        <v>1</v>
      </c>
      <c r="BP438" s="10">
        <v>1</v>
      </c>
      <c r="BQ438">
        <v>1</v>
      </c>
      <c r="BR438">
        <v>1</v>
      </c>
    </row>
    <row r="439" spans="1:70" x14ac:dyDescent="0.35">
      <c r="A439" s="8" t="s">
        <v>413</v>
      </c>
      <c r="B439" s="9" t="s">
        <v>490</v>
      </c>
      <c r="C439" s="10" t="s">
        <v>1230</v>
      </c>
      <c r="D439" s="34">
        <f t="shared" si="8"/>
        <v>21</v>
      </c>
      <c r="E439" s="9">
        <v>2</v>
      </c>
      <c r="F439" s="9">
        <v>2</v>
      </c>
      <c r="G439" s="9">
        <v>2</v>
      </c>
      <c r="H439" s="9">
        <v>4</v>
      </c>
      <c r="I439" s="9">
        <v>3</v>
      </c>
      <c r="J439" s="9">
        <v>8</v>
      </c>
      <c r="K439" s="9">
        <v>9</v>
      </c>
      <c r="L439" s="9">
        <v>10</v>
      </c>
      <c r="M439" s="9">
        <v>10</v>
      </c>
      <c r="N439" s="9">
        <v>12</v>
      </c>
      <c r="O439" s="9">
        <v>10</v>
      </c>
      <c r="P439" s="9">
        <v>11</v>
      </c>
      <c r="Q439" s="9">
        <v>13</v>
      </c>
      <c r="R439" s="9">
        <v>15</v>
      </c>
      <c r="S439" s="9">
        <v>17</v>
      </c>
      <c r="T439" s="9">
        <v>15</v>
      </c>
      <c r="U439" s="9">
        <v>15</v>
      </c>
      <c r="V439" s="9">
        <v>16</v>
      </c>
      <c r="W439" s="9">
        <v>16</v>
      </c>
      <c r="X439" s="9">
        <v>15</v>
      </c>
      <c r="Y439" s="9">
        <v>17</v>
      </c>
      <c r="Z439" s="9">
        <v>17</v>
      </c>
      <c r="AA439" s="9">
        <v>20</v>
      </c>
      <c r="AB439" s="9">
        <v>19</v>
      </c>
      <c r="AC439" s="9">
        <v>19</v>
      </c>
      <c r="AD439" s="9">
        <v>21</v>
      </c>
      <c r="AE439" s="9">
        <v>20</v>
      </c>
      <c r="AF439" s="9">
        <v>18</v>
      </c>
      <c r="AG439" s="9">
        <v>18</v>
      </c>
      <c r="AH439" s="9">
        <v>18</v>
      </c>
      <c r="AI439" s="9">
        <v>17</v>
      </c>
      <c r="AJ439" s="9">
        <v>10</v>
      </c>
      <c r="AK439" s="9">
        <v>7</v>
      </c>
      <c r="AL439" s="9">
        <v>7</v>
      </c>
      <c r="AM439" s="9">
        <v>7</v>
      </c>
      <c r="AN439" s="9">
        <v>6</v>
      </c>
      <c r="AO439" s="9">
        <v>6</v>
      </c>
      <c r="AP439" s="9">
        <v>4</v>
      </c>
      <c r="AQ439" s="9">
        <v>3</v>
      </c>
      <c r="AR439" s="9">
        <v>5</v>
      </c>
      <c r="AS439" s="9">
        <v>6</v>
      </c>
      <c r="AT439" s="9">
        <v>6</v>
      </c>
      <c r="AU439" s="9">
        <v>5</v>
      </c>
      <c r="AV439" s="9">
        <v>7</v>
      </c>
      <c r="AW439" s="9">
        <v>6</v>
      </c>
      <c r="AX439" s="9">
        <v>4</v>
      </c>
      <c r="AY439" s="9">
        <v>4</v>
      </c>
      <c r="AZ439" s="9">
        <v>5</v>
      </c>
      <c r="BA439" s="9">
        <v>4</v>
      </c>
      <c r="BB439" s="9">
        <v>4</v>
      </c>
      <c r="BC439" s="9">
        <v>3</v>
      </c>
      <c r="BD439" s="9">
        <v>4</v>
      </c>
      <c r="BE439" s="9">
        <v>4</v>
      </c>
      <c r="BF439" s="9">
        <v>4</v>
      </c>
      <c r="BG439" s="9">
        <v>4</v>
      </c>
      <c r="BH439" s="9">
        <v>5</v>
      </c>
      <c r="BI439" s="9">
        <v>6</v>
      </c>
      <c r="BJ439" s="9">
        <v>7</v>
      </c>
      <c r="BK439" s="9">
        <v>4</v>
      </c>
      <c r="BL439" s="9">
        <v>8</v>
      </c>
      <c r="BM439" s="9">
        <v>7</v>
      </c>
      <c r="BN439" s="9">
        <v>6</v>
      </c>
      <c r="BO439" s="9">
        <v>15</v>
      </c>
      <c r="BP439" s="10">
        <v>13</v>
      </c>
      <c r="BQ439">
        <v>8</v>
      </c>
      <c r="BR439">
        <v>8</v>
      </c>
    </row>
    <row r="440" spans="1:70" x14ac:dyDescent="0.35">
      <c r="A440" s="8" t="s">
        <v>413</v>
      </c>
      <c r="B440" s="9" t="s">
        <v>492</v>
      </c>
      <c r="C440" s="10" t="s">
        <v>1231</v>
      </c>
      <c r="D440" s="34">
        <f t="shared" si="8"/>
        <v>5</v>
      </c>
      <c r="E440" s="9">
        <v>5</v>
      </c>
      <c r="F440" s="9">
        <v>4</v>
      </c>
      <c r="G440" s="9">
        <v>3</v>
      </c>
      <c r="H440" s="9">
        <v>3</v>
      </c>
      <c r="I440" s="9">
        <v>3</v>
      </c>
      <c r="J440" s="9">
        <v>3</v>
      </c>
      <c r="K440" s="9">
        <v>3</v>
      </c>
      <c r="L440" s="9">
        <v>3</v>
      </c>
      <c r="M440" s="9">
        <v>3</v>
      </c>
      <c r="N440" s="9">
        <v>3</v>
      </c>
      <c r="O440" s="9">
        <v>3</v>
      </c>
      <c r="P440" s="9">
        <v>3</v>
      </c>
      <c r="Q440" s="9">
        <v>3</v>
      </c>
      <c r="R440" s="9">
        <v>3</v>
      </c>
      <c r="S440" s="9">
        <v>3</v>
      </c>
      <c r="T440" s="9">
        <v>3</v>
      </c>
      <c r="U440" s="9">
        <v>1</v>
      </c>
      <c r="V440" s="9">
        <v>1</v>
      </c>
      <c r="W440" s="9">
        <v>0</v>
      </c>
      <c r="X440" s="9">
        <v>0</v>
      </c>
      <c r="Y440" s="9">
        <v>1</v>
      </c>
      <c r="Z440" s="9">
        <v>1</v>
      </c>
      <c r="AA440" s="9">
        <v>1</v>
      </c>
      <c r="AB440" s="9">
        <v>1</v>
      </c>
      <c r="AC440" s="9">
        <v>1</v>
      </c>
      <c r="AD440" s="9">
        <v>1</v>
      </c>
      <c r="AE440" s="9">
        <v>1</v>
      </c>
      <c r="AF440" s="9">
        <v>1</v>
      </c>
      <c r="AG440" s="9">
        <v>1</v>
      </c>
      <c r="AH440" s="9">
        <v>1</v>
      </c>
      <c r="AI440" s="9">
        <v>1</v>
      </c>
      <c r="AJ440" s="9">
        <v>1</v>
      </c>
      <c r="AK440" s="9">
        <v>1</v>
      </c>
      <c r="AL440" s="9">
        <v>1</v>
      </c>
      <c r="AM440" s="9">
        <v>1</v>
      </c>
      <c r="AN440" s="9">
        <v>1</v>
      </c>
      <c r="AO440" s="9">
        <v>1</v>
      </c>
      <c r="AP440" s="9">
        <v>1</v>
      </c>
      <c r="AQ440" s="9">
        <v>1</v>
      </c>
      <c r="AR440" s="9">
        <v>1</v>
      </c>
      <c r="AS440" s="9">
        <v>1</v>
      </c>
      <c r="AT440" s="9">
        <v>1</v>
      </c>
      <c r="AU440" s="9">
        <v>1</v>
      </c>
      <c r="AV440" s="9">
        <v>1</v>
      </c>
      <c r="AW440" s="9">
        <v>0</v>
      </c>
      <c r="AX440" s="9">
        <v>0</v>
      </c>
      <c r="AY440" s="9">
        <v>0</v>
      </c>
      <c r="AZ440" s="9">
        <v>0</v>
      </c>
      <c r="BA440" s="9">
        <v>0</v>
      </c>
      <c r="BB440" s="9">
        <v>0</v>
      </c>
      <c r="BC440" s="9">
        <v>0</v>
      </c>
      <c r="BD440" s="9">
        <v>0</v>
      </c>
      <c r="BE440" s="9">
        <v>0</v>
      </c>
      <c r="BF440" s="9">
        <v>0</v>
      </c>
      <c r="BG440" s="9">
        <v>0</v>
      </c>
      <c r="BH440" s="9">
        <v>0</v>
      </c>
      <c r="BI440" s="9">
        <v>0</v>
      </c>
      <c r="BJ440" s="9">
        <v>0</v>
      </c>
      <c r="BK440" s="9">
        <v>0</v>
      </c>
      <c r="BL440" s="9">
        <v>0</v>
      </c>
      <c r="BM440" s="9">
        <v>0</v>
      </c>
      <c r="BN440" s="9">
        <v>0</v>
      </c>
      <c r="BO440" s="9">
        <v>0</v>
      </c>
      <c r="BP440" s="10">
        <v>0</v>
      </c>
      <c r="BQ440">
        <v>1</v>
      </c>
      <c r="BR440">
        <v>1</v>
      </c>
    </row>
    <row r="441" spans="1:70" x14ac:dyDescent="0.35">
      <c r="A441" s="8" t="s">
        <v>494</v>
      </c>
      <c r="B441" s="9" t="s">
        <v>495</v>
      </c>
      <c r="C441" s="10" t="s">
        <v>1232</v>
      </c>
      <c r="D441" s="34">
        <f t="shared" si="8"/>
        <v>1</v>
      </c>
      <c r="E441" s="9">
        <v>1</v>
      </c>
      <c r="F441" s="9">
        <v>1</v>
      </c>
      <c r="G441" s="9">
        <v>1</v>
      </c>
      <c r="H441" s="9">
        <v>1</v>
      </c>
      <c r="I441" s="9">
        <v>1</v>
      </c>
      <c r="J441" s="9">
        <v>1</v>
      </c>
      <c r="K441" s="9">
        <v>1</v>
      </c>
      <c r="L441" s="9">
        <v>1</v>
      </c>
      <c r="M441" s="9">
        <v>1</v>
      </c>
      <c r="N441" s="9">
        <v>1</v>
      </c>
      <c r="O441" s="9">
        <v>1</v>
      </c>
      <c r="P441" s="9">
        <v>1</v>
      </c>
      <c r="Q441" s="9">
        <v>1</v>
      </c>
      <c r="R441" s="9">
        <v>1</v>
      </c>
      <c r="S441" s="9">
        <v>1</v>
      </c>
      <c r="T441" s="9">
        <v>1</v>
      </c>
      <c r="U441" s="9">
        <v>1</v>
      </c>
      <c r="V441" s="9">
        <v>1</v>
      </c>
      <c r="W441" s="9">
        <v>1</v>
      </c>
      <c r="X441" s="9">
        <v>1</v>
      </c>
      <c r="Y441" s="9">
        <v>1</v>
      </c>
      <c r="Z441" s="9">
        <v>1</v>
      </c>
      <c r="AA441" s="9">
        <v>1</v>
      </c>
      <c r="AB441" s="9">
        <v>1</v>
      </c>
      <c r="AC441" s="9">
        <v>1</v>
      </c>
      <c r="AD441" s="9">
        <v>1</v>
      </c>
      <c r="AE441" s="9">
        <v>1</v>
      </c>
      <c r="AF441" s="9">
        <v>1</v>
      </c>
      <c r="AG441" s="9">
        <v>0</v>
      </c>
      <c r="AH441" s="9">
        <v>1</v>
      </c>
      <c r="AI441" s="9">
        <v>1</v>
      </c>
      <c r="AJ441" s="9">
        <v>1</v>
      </c>
      <c r="AK441" s="9">
        <v>1</v>
      </c>
      <c r="AL441" s="9">
        <v>1</v>
      </c>
      <c r="AM441" s="9">
        <v>1</v>
      </c>
      <c r="AN441" s="9">
        <v>1</v>
      </c>
      <c r="AO441" s="9">
        <v>1</v>
      </c>
      <c r="AP441" s="9">
        <v>1</v>
      </c>
      <c r="AQ441" s="9">
        <v>1</v>
      </c>
      <c r="AR441" s="9">
        <v>1</v>
      </c>
      <c r="AS441" s="9">
        <v>1</v>
      </c>
      <c r="AT441" s="9">
        <v>0</v>
      </c>
      <c r="AU441" s="9">
        <v>0</v>
      </c>
      <c r="AV441" s="9">
        <v>0</v>
      </c>
      <c r="AW441" s="9">
        <v>0</v>
      </c>
      <c r="AX441" s="9">
        <v>0</v>
      </c>
      <c r="AY441" s="9">
        <v>0</v>
      </c>
      <c r="AZ441" s="9">
        <v>0</v>
      </c>
      <c r="BA441" s="9">
        <v>0</v>
      </c>
      <c r="BB441" s="9">
        <v>0</v>
      </c>
      <c r="BC441" s="9">
        <v>0</v>
      </c>
      <c r="BD441" s="9">
        <v>0</v>
      </c>
      <c r="BE441" s="9">
        <v>0</v>
      </c>
      <c r="BF441" s="9">
        <v>0</v>
      </c>
      <c r="BG441" s="9">
        <v>0</v>
      </c>
      <c r="BH441" s="9">
        <v>0</v>
      </c>
      <c r="BI441" s="9">
        <v>1</v>
      </c>
      <c r="BJ441" s="9">
        <v>1</v>
      </c>
      <c r="BK441" s="9">
        <v>1</v>
      </c>
      <c r="BL441" s="9">
        <v>1</v>
      </c>
      <c r="BM441" s="9">
        <v>1</v>
      </c>
      <c r="BN441" s="9">
        <v>1</v>
      </c>
      <c r="BO441" s="9">
        <v>1</v>
      </c>
      <c r="BP441" s="10">
        <v>1</v>
      </c>
      <c r="BQ441">
        <v>1</v>
      </c>
      <c r="BR441">
        <v>1</v>
      </c>
    </row>
    <row r="442" spans="1:70" x14ac:dyDescent="0.35">
      <c r="A442" s="8" t="s">
        <v>494</v>
      </c>
      <c r="B442" s="9" t="s">
        <v>1233</v>
      </c>
      <c r="C442" s="10" t="s">
        <v>1234</v>
      </c>
      <c r="D442" s="34">
        <f t="shared" si="8"/>
        <v>0</v>
      </c>
      <c r="E442" s="9">
        <v>0</v>
      </c>
      <c r="F442" s="9">
        <v>0</v>
      </c>
      <c r="G442" s="9">
        <v>0</v>
      </c>
      <c r="H442" s="9">
        <v>0</v>
      </c>
      <c r="I442" s="9">
        <v>0</v>
      </c>
      <c r="J442" s="9">
        <v>0</v>
      </c>
      <c r="K442" s="9">
        <v>0</v>
      </c>
      <c r="L442" s="9">
        <v>0</v>
      </c>
      <c r="M442" s="9">
        <v>0</v>
      </c>
      <c r="N442" s="9">
        <v>0</v>
      </c>
      <c r="O442" s="9">
        <v>0</v>
      </c>
      <c r="P442" s="9">
        <v>0</v>
      </c>
      <c r="Q442" s="9">
        <v>0</v>
      </c>
      <c r="R442" s="9">
        <v>0</v>
      </c>
      <c r="S442" s="9">
        <v>0</v>
      </c>
      <c r="T442" s="9">
        <v>0</v>
      </c>
      <c r="U442" s="9">
        <v>0</v>
      </c>
      <c r="V442" s="9">
        <v>0</v>
      </c>
      <c r="W442" s="9">
        <v>0</v>
      </c>
      <c r="X442" s="9">
        <v>0</v>
      </c>
      <c r="Y442" s="9">
        <v>0</v>
      </c>
      <c r="Z442" s="9">
        <v>0</v>
      </c>
      <c r="AA442" s="9">
        <v>0</v>
      </c>
      <c r="AB442" s="9">
        <v>0</v>
      </c>
      <c r="AC442" s="9">
        <v>0</v>
      </c>
      <c r="AD442" s="9">
        <v>0</v>
      </c>
      <c r="AE442" s="9">
        <v>0</v>
      </c>
      <c r="AF442" s="9">
        <v>0</v>
      </c>
      <c r="AG442" s="9">
        <v>0</v>
      </c>
      <c r="AH442" s="9">
        <v>0</v>
      </c>
      <c r="AI442" s="9">
        <v>0</v>
      </c>
      <c r="AJ442" s="9">
        <v>0</v>
      </c>
      <c r="AK442" s="9">
        <v>0</v>
      </c>
      <c r="AL442" s="9">
        <v>0</v>
      </c>
      <c r="AM442" s="9">
        <v>0</v>
      </c>
      <c r="AN442" s="9">
        <v>0</v>
      </c>
      <c r="AO442" s="9">
        <v>0</v>
      </c>
      <c r="AP442" s="9">
        <v>0</v>
      </c>
      <c r="AQ442" s="9">
        <v>0</v>
      </c>
      <c r="AR442" s="9">
        <v>0</v>
      </c>
      <c r="AS442" s="9">
        <v>0</v>
      </c>
      <c r="AT442" s="9">
        <v>0</v>
      </c>
      <c r="AU442" s="9">
        <v>0</v>
      </c>
      <c r="AV442" s="9">
        <v>0</v>
      </c>
      <c r="AW442" s="9">
        <v>0</v>
      </c>
      <c r="AX442" s="9">
        <v>0</v>
      </c>
      <c r="AY442" s="9">
        <v>0</v>
      </c>
      <c r="AZ442" s="9">
        <v>0</v>
      </c>
      <c r="BA442" s="9">
        <v>0</v>
      </c>
      <c r="BB442" s="9">
        <v>0</v>
      </c>
      <c r="BC442" s="9">
        <v>0</v>
      </c>
      <c r="BD442" s="9">
        <v>0</v>
      </c>
      <c r="BE442" s="9">
        <v>0</v>
      </c>
      <c r="BF442" s="9">
        <v>0</v>
      </c>
      <c r="BG442" s="9">
        <v>0</v>
      </c>
      <c r="BH442" s="9">
        <v>0</v>
      </c>
      <c r="BI442" s="9">
        <v>0</v>
      </c>
      <c r="BJ442" s="9">
        <v>0</v>
      </c>
      <c r="BK442" s="9">
        <v>0</v>
      </c>
      <c r="BL442" s="9">
        <v>0</v>
      </c>
      <c r="BM442" s="9">
        <v>0</v>
      </c>
      <c r="BN442" s="9">
        <v>0</v>
      </c>
      <c r="BO442" s="9">
        <v>0</v>
      </c>
      <c r="BP442" s="10">
        <v>0</v>
      </c>
      <c r="BQ442">
        <v>0</v>
      </c>
      <c r="BR442">
        <v>0</v>
      </c>
    </row>
    <row r="443" spans="1:70" x14ac:dyDescent="0.35">
      <c r="A443" s="8" t="s">
        <v>494</v>
      </c>
      <c r="B443" s="9" t="s">
        <v>497</v>
      </c>
      <c r="C443" s="10" t="s">
        <v>1235</v>
      </c>
      <c r="D443" s="34">
        <f t="shared" si="8"/>
        <v>0</v>
      </c>
      <c r="E443" s="9">
        <v>0</v>
      </c>
      <c r="F443" s="9">
        <v>0</v>
      </c>
      <c r="G443" s="9">
        <v>0</v>
      </c>
      <c r="H443" s="9">
        <v>0</v>
      </c>
      <c r="I443" s="9">
        <v>0</v>
      </c>
      <c r="J443" s="9">
        <v>0</v>
      </c>
      <c r="K443" s="9">
        <v>0</v>
      </c>
      <c r="L443" s="9">
        <v>0</v>
      </c>
      <c r="M443" s="9">
        <v>0</v>
      </c>
      <c r="N443" s="9">
        <v>0</v>
      </c>
      <c r="O443" s="9">
        <v>0</v>
      </c>
      <c r="P443" s="9">
        <v>0</v>
      </c>
      <c r="Q443" s="9">
        <v>0</v>
      </c>
      <c r="R443" s="9">
        <v>0</v>
      </c>
      <c r="S443" s="9">
        <v>0</v>
      </c>
      <c r="T443" s="9">
        <v>0</v>
      </c>
      <c r="U443" s="9">
        <v>0</v>
      </c>
      <c r="V443" s="9">
        <v>0</v>
      </c>
      <c r="W443" s="9">
        <v>0</v>
      </c>
      <c r="X443" s="9">
        <v>0</v>
      </c>
      <c r="Y443" s="9">
        <v>0</v>
      </c>
      <c r="Z443" s="9">
        <v>0</v>
      </c>
      <c r="AA443" s="9">
        <v>0</v>
      </c>
      <c r="AB443" s="9">
        <v>0</v>
      </c>
      <c r="AC443" s="9">
        <v>0</v>
      </c>
      <c r="AD443" s="9">
        <v>0</v>
      </c>
      <c r="AE443" s="9">
        <v>0</v>
      </c>
      <c r="AF443" s="9">
        <v>0</v>
      </c>
      <c r="AG443" s="9">
        <v>0</v>
      </c>
      <c r="AH443" s="9">
        <v>0</v>
      </c>
      <c r="AI443" s="9">
        <v>0</v>
      </c>
      <c r="AJ443" s="9">
        <v>0</v>
      </c>
      <c r="AK443" s="9">
        <v>0</v>
      </c>
      <c r="AL443" s="9">
        <v>0</v>
      </c>
      <c r="AM443" s="9">
        <v>0</v>
      </c>
      <c r="AN443" s="9">
        <v>0</v>
      </c>
      <c r="AO443" s="9">
        <v>0</v>
      </c>
      <c r="AP443" s="9">
        <v>0</v>
      </c>
      <c r="AQ443" s="9">
        <v>0</v>
      </c>
      <c r="AR443" s="9">
        <v>0</v>
      </c>
      <c r="AS443" s="9">
        <v>0</v>
      </c>
      <c r="AT443" s="9">
        <v>0</v>
      </c>
      <c r="AU443" s="9">
        <v>0</v>
      </c>
      <c r="AV443" s="9">
        <v>0</v>
      </c>
      <c r="AW443" s="9">
        <v>0</v>
      </c>
      <c r="AX443" s="9">
        <v>0</v>
      </c>
      <c r="AY443" s="9">
        <v>0</v>
      </c>
      <c r="AZ443" s="9">
        <v>0</v>
      </c>
      <c r="BA443" s="9">
        <v>0</v>
      </c>
      <c r="BB443" s="9">
        <v>0</v>
      </c>
      <c r="BC443" s="9">
        <v>0</v>
      </c>
      <c r="BD443" s="9">
        <v>0</v>
      </c>
      <c r="BE443" s="9">
        <v>0</v>
      </c>
      <c r="BF443" s="9">
        <v>0</v>
      </c>
      <c r="BG443" s="9">
        <v>0</v>
      </c>
      <c r="BH443" s="9">
        <v>0</v>
      </c>
      <c r="BI443" s="9">
        <v>0</v>
      </c>
      <c r="BJ443" s="9">
        <v>0</v>
      </c>
      <c r="BK443" s="9">
        <v>0</v>
      </c>
      <c r="BL443" s="9">
        <v>0</v>
      </c>
      <c r="BM443" s="9">
        <v>0</v>
      </c>
      <c r="BN443" s="9">
        <v>0</v>
      </c>
      <c r="BO443" s="9">
        <v>0</v>
      </c>
      <c r="BP443" s="10">
        <v>0</v>
      </c>
      <c r="BQ443">
        <v>0</v>
      </c>
      <c r="BR443">
        <v>0</v>
      </c>
    </row>
    <row r="444" spans="1:70" x14ac:dyDescent="0.35">
      <c r="A444" s="8" t="s">
        <v>494</v>
      </c>
      <c r="B444" s="9" t="s">
        <v>499</v>
      </c>
      <c r="C444" s="10" t="s">
        <v>1236</v>
      </c>
      <c r="D444" s="34">
        <f t="shared" si="8"/>
        <v>0</v>
      </c>
      <c r="E444" s="9">
        <v>0</v>
      </c>
      <c r="F444" s="9">
        <v>0</v>
      </c>
      <c r="G444" s="9">
        <v>0</v>
      </c>
      <c r="H444" s="9">
        <v>0</v>
      </c>
      <c r="I444" s="9">
        <v>0</v>
      </c>
      <c r="J444" s="9">
        <v>0</v>
      </c>
      <c r="K444" s="9">
        <v>0</v>
      </c>
      <c r="L444" s="9">
        <v>0</v>
      </c>
      <c r="M444" s="9">
        <v>0</v>
      </c>
      <c r="N444" s="9">
        <v>0</v>
      </c>
      <c r="O444" s="9">
        <v>0</v>
      </c>
      <c r="P444" s="9">
        <v>0</v>
      </c>
      <c r="Q444" s="9">
        <v>0</v>
      </c>
      <c r="R444" s="9">
        <v>0</v>
      </c>
      <c r="S444" s="9">
        <v>0</v>
      </c>
      <c r="T444" s="9">
        <v>0</v>
      </c>
      <c r="U444" s="9">
        <v>0</v>
      </c>
      <c r="V444" s="9">
        <v>0</v>
      </c>
      <c r="W444" s="9">
        <v>0</v>
      </c>
      <c r="X444" s="9">
        <v>0</v>
      </c>
      <c r="Y444" s="9">
        <v>0</v>
      </c>
      <c r="Z444" s="9">
        <v>0</v>
      </c>
      <c r="AA444" s="9">
        <v>0</v>
      </c>
      <c r="AB444" s="9">
        <v>0</v>
      </c>
      <c r="AC444" s="9">
        <v>0</v>
      </c>
      <c r="AD444" s="9">
        <v>0</v>
      </c>
      <c r="AE444" s="9">
        <v>0</v>
      </c>
      <c r="AF444" s="9">
        <v>0</v>
      </c>
      <c r="AG444" s="9">
        <v>0</v>
      </c>
      <c r="AH444" s="9">
        <v>0</v>
      </c>
      <c r="AI444" s="9">
        <v>0</v>
      </c>
      <c r="AJ444" s="9">
        <v>0</v>
      </c>
      <c r="AK444" s="9">
        <v>0</v>
      </c>
      <c r="AL444" s="9">
        <v>0</v>
      </c>
      <c r="AM444" s="9">
        <v>0</v>
      </c>
      <c r="AN444" s="9">
        <v>0</v>
      </c>
      <c r="AO444" s="9">
        <v>0</v>
      </c>
      <c r="AP444" s="9">
        <v>0</v>
      </c>
      <c r="AQ444" s="9">
        <v>0</v>
      </c>
      <c r="AR444" s="9">
        <v>0</v>
      </c>
      <c r="AS444" s="9">
        <v>0</v>
      </c>
      <c r="AT444" s="9">
        <v>0</v>
      </c>
      <c r="AU444" s="9">
        <v>0</v>
      </c>
      <c r="AV444" s="9">
        <v>0</v>
      </c>
      <c r="AW444" s="9">
        <v>0</v>
      </c>
      <c r="AX444" s="9">
        <v>0</v>
      </c>
      <c r="AY444" s="9">
        <v>0</v>
      </c>
      <c r="AZ444" s="9">
        <v>0</v>
      </c>
      <c r="BA444" s="9">
        <v>0</v>
      </c>
      <c r="BB444" s="9">
        <v>0</v>
      </c>
      <c r="BC444" s="9">
        <v>0</v>
      </c>
      <c r="BD444" s="9">
        <v>0</v>
      </c>
      <c r="BE444" s="9">
        <v>0</v>
      </c>
      <c r="BF444" s="9">
        <v>0</v>
      </c>
      <c r="BG444" s="9">
        <v>0</v>
      </c>
      <c r="BH444" s="9">
        <v>0</v>
      </c>
      <c r="BI444" s="9">
        <v>0</v>
      </c>
      <c r="BJ444" s="9">
        <v>0</v>
      </c>
      <c r="BK444" s="9">
        <v>0</v>
      </c>
      <c r="BL444" s="9">
        <v>0</v>
      </c>
      <c r="BM444" s="9">
        <v>0</v>
      </c>
      <c r="BN444" s="9">
        <v>0</v>
      </c>
      <c r="BO444" s="9">
        <v>0</v>
      </c>
      <c r="BP444" s="10">
        <v>0</v>
      </c>
      <c r="BQ444">
        <v>0</v>
      </c>
      <c r="BR444">
        <v>0</v>
      </c>
    </row>
    <row r="445" spans="1:70" x14ac:dyDescent="0.35">
      <c r="A445" s="8" t="s">
        <v>494</v>
      </c>
      <c r="B445" s="9" t="s">
        <v>1237</v>
      </c>
      <c r="C445" s="10" t="s">
        <v>1238</v>
      </c>
      <c r="D445" s="34">
        <f t="shared" si="8"/>
        <v>0</v>
      </c>
      <c r="E445" s="9">
        <v>0</v>
      </c>
      <c r="F445" s="9">
        <v>0</v>
      </c>
      <c r="G445" s="9">
        <v>0</v>
      </c>
      <c r="H445" s="9">
        <v>0</v>
      </c>
      <c r="I445" s="9">
        <v>0</v>
      </c>
      <c r="J445" s="9">
        <v>0</v>
      </c>
      <c r="K445" s="9">
        <v>0</v>
      </c>
      <c r="L445" s="9">
        <v>0</v>
      </c>
      <c r="M445" s="9">
        <v>0</v>
      </c>
      <c r="N445" s="9">
        <v>0</v>
      </c>
      <c r="O445" s="9">
        <v>0</v>
      </c>
      <c r="P445" s="9">
        <v>0</v>
      </c>
      <c r="Q445" s="9">
        <v>0</v>
      </c>
      <c r="R445" s="9">
        <v>0</v>
      </c>
      <c r="S445" s="9">
        <v>0</v>
      </c>
      <c r="T445" s="9">
        <v>0</v>
      </c>
      <c r="U445" s="9">
        <v>0</v>
      </c>
      <c r="V445" s="9">
        <v>0</v>
      </c>
      <c r="W445" s="9">
        <v>0</v>
      </c>
      <c r="X445" s="9">
        <v>0</v>
      </c>
      <c r="Y445" s="9">
        <v>0</v>
      </c>
      <c r="Z445" s="9">
        <v>0</v>
      </c>
      <c r="AA445" s="9">
        <v>0</v>
      </c>
      <c r="AB445" s="9">
        <v>0</v>
      </c>
      <c r="AC445" s="9">
        <v>0</v>
      </c>
      <c r="AD445" s="9">
        <v>0</v>
      </c>
      <c r="AE445" s="9">
        <v>0</v>
      </c>
      <c r="AF445" s="9">
        <v>0</v>
      </c>
      <c r="AG445" s="9">
        <v>0</v>
      </c>
      <c r="AH445" s="9">
        <v>0</v>
      </c>
      <c r="AI445" s="9">
        <v>0</v>
      </c>
      <c r="AJ445" s="9">
        <v>0</v>
      </c>
      <c r="AK445" s="9">
        <v>0</v>
      </c>
      <c r="AL445" s="9">
        <v>0</v>
      </c>
      <c r="AM445" s="9">
        <v>0</v>
      </c>
      <c r="AN445" s="9">
        <v>0</v>
      </c>
      <c r="AO445" s="9">
        <v>0</v>
      </c>
      <c r="AP445" s="9">
        <v>0</v>
      </c>
      <c r="AQ445" s="9">
        <v>0</v>
      </c>
      <c r="AR445" s="9">
        <v>0</v>
      </c>
      <c r="AS445" s="9">
        <v>0</v>
      </c>
      <c r="AT445" s="9">
        <v>0</v>
      </c>
      <c r="AU445" s="9">
        <v>0</v>
      </c>
      <c r="AV445" s="9">
        <v>0</v>
      </c>
      <c r="AW445" s="9">
        <v>0</v>
      </c>
      <c r="AX445" s="9">
        <v>0</v>
      </c>
      <c r="AY445" s="9">
        <v>0</v>
      </c>
      <c r="AZ445" s="9">
        <v>0</v>
      </c>
      <c r="BA445" s="9">
        <v>0</v>
      </c>
      <c r="BB445" s="9">
        <v>0</v>
      </c>
      <c r="BC445" s="9">
        <v>0</v>
      </c>
      <c r="BD445" s="9">
        <v>0</v>
      </c>
      <c r="BE445" s="9">
        <v>0</v>
      </c>
      <c r="BF445" s="9">
        <v>0</v>
      </c>
      <c r="BG445" s="9">
        <v>0</v>
      </c>
      <c r="BH445" s="9">
        <v>0</v>
      </c>
      <c r="BI445" s="9">
        <v>0</v>
      </c>
      <c r="BJ445" s="9">
        <v>0</v>
      </c>
      <c r="BK445" s="9">
        <v>0</v>
      </c>
      <c r="BL445" s="9">
        <v>0</v>
      </c>
      <c r="BM445" s="9">
        <v>0</v>
      </c>
      <c r="BN445" s="9">
        <v>0</v>
      </c>
      <c r="BO445" s="9">
        <v>0</v>
      </c>
      <c r="BP445" s="10">
        <v>0</v>
      </c>
      <c r="BQ445">
        <v>0</v>
      </c>
      <c r="BR445">
        <v>0</v>
      </c>
    </row>
    <row r="446" spans="1:70" x14ac:dyDescent="0.35">
      <c r="A446" s="8" t="s">
        <v>494</v>
      </c>
      <c r="B446" s="9" t="s">
        <v>1239</v>
      </c>
      <c r="C446" s="10" t="s">
        <v>1240</v>
      </c>
      <c r="D446" s="34">
        <f t="shared" si="8"/>
        <v>0</v>
      </c>
      <c r="E446" s="9">
        <v>0</v>
      </c>
      <c r="F446" s="9">
        <v>0</v>
      </c>
      <c r="G446" s="9">
        <v>0</v>
      </c>
      <c r="H446" s="9">
        <v>0</v>
      </c>
      <c r="I446" s="9">
        <v>0</v>
      </c>
      <c r="J446" s="9">
        <v>0</v>
      </c>
      <c r="K446" s="9">
        <v>0</v>
      </c>
      <c r="L446" s="9">
        <v>0</v>
      </c>
      <c r="M446" s="9">
        <v>0</v>
      </c>
      <c r="N446" s="9">
        <v>0</v>
      </c>
      <c r="O446" s="9">
        <v>0</v>
      </c>
      <c r="P446" s="9">
        <v>0</v>
      </c>
      <c r="Q446" s="9">
        <v>0</v>
      </c>
      <c r="R446" s="9">
        <v>0</v>
      </c>
      <c r="S446" s="9">
        <v>0</v>
      </c>
      <c r="T446" s="9">
        <v>0</v>
      </c>
      <c r="U446" s="9">
        <v>0</v>
      </c>
      <c r="V446" s="9">
        <v>0</v>
      </c>
      <c r="W446" s="9">
        <v>0</v>
      </c>
      <c r="X446" s="9">
        <v>0</v>
      </c>
      <c r="Y446" s="9">
        <v>0</v>
      </c>
      <c r="Z446" s="9">
        <v>0</v>
      </c>
      <c r="AA446" s="9">
        <v>0</v>
      </c>
      <c r="AB446" s="9">
        <v>0</v>
      </c>
      <c r="AC446" s="9">
        <v>0</v>
      </c>
      <c r="AD446" s="9">
        <v>0</v>
      </c>
      <c r="AE446" s="9">
        <v>0</v>
      </c>
      <c r="AF446" s="9">
        <v>0</v>
      </c>
      <c r="AG446" s="9">
        <v>0</v>
      </c>
      <c r="AH446" s="9">
        <v>0</v>
      </c>
      <c r="AI446" s="9">
        <v>0</v>
      </c>
      <c r="AJ446" s="9">
        <v>0</v>
      </c>
      <c r="AK446" s="9">
        <v>0</v>
      </c>
      <c r="AL446" s="9">
        <v>0</v>
      </c>
      <c r="AM446" s="9">
        <v>0</v>
      </c>
      <c r="AN446" s="9">
        <v>0</v>
      </c>
      <c r="AO446" s="9">
        <v>0</v>
      </c>
      <c r="AP446" s="9">
        <v>0</v>
      </c>
      <c r="AQ446" s="9">
        <v>0</v>
      </c>
      <c r="AR446" s="9">
        <v>0</v>
      </c>
      <c r="AS446" s="9">
        <v>0</v>
      </c>
      <c r="AT446" s="9">
        <v>0</v>
      </c>
      <c r="AU446" s="9">
        <v>0</v>
      </c>
      <c r="AV446" s="9">
        <v>0</v>
      </c>
      <c r="AW446" s="9">
        <v>0</v>
      </c>
      <c r="AX446" s="9">
        <v>0</v>
      </c>
      <c r="AY446" s="9">
        <v>0</v>
      </c>
      <c r="AZ446" s="9">
        <v>0</v>
      </c>
      <c r="BA446" s="9">
        <v>0</v>
      </c>
      <c r="BB446" s="9">
        <v>0</v>
      </c>
      <c r="BC446" s="9">
        <v>0</v>
      </c>
      <c r="BD446" s="9">
        <v>0</v>
      </c>
      <c r="BE446" s="9">
        <v>0</v>
      </c>
      <c r="BF446" s="9">
        <v>0</v>
      </c>
      <c r="BG446" s="9">
        <v>0</v>
      </c>
      <c r="BH446" s="9">
        <v>0</v>
      </c>
      <c r="BI446" s="9">
        <v>0</v>
      </c>
      <c r="BJ446" s="9">
        <v>0</v>
      </c>
      <c r="BK446" s="9">
        <v>0</v>
      </c>
      <c r="BL446" s="9">
        <v>0</v>
      </c>
      <c r="BM446" s="9">
        <v>0</v>
      </c>
      <c r="BN446" s="9">
        <v>0</v>
      </c>
      <c r="BO446" s="9">
        <v>0</v>
      </c>
      <c r="BP446" s="10">
        <v>0</v>
      </c>
      <c r="BQ446">
        <v>0</v>
      </c>
      <c r="BR446">
        <v>0</v>
      </c>
    </row>
    <row r="447" spans="1:70" x14ac:dyDescent="0.35">
      <c r="A447" s="8" t="s">
        <v>494</v>
      </c>
      <c r="B447" s="9" t="s">
        <v>1241</v>
      </c>
      <c r="C447" s="10" t="s">
        <v>1242</v>
      </c>
      <c r="D447" s="34">
        <f t="shared" si="8"/>
        <v>0</v>
      </c>
      <c r="E447" s="9">
        <v>0</v>
      </c>
      <c r="F447" s="9">
        <v>0</v>
      </c>
      <c r="G447" s="9">
        <v>0</v>
      </c>
      <c r="H447" s="9">
        <v>0</v>
      </c>
      <c r="I447" s="9">
        <v>0</v>
      </c>
      <c r="J447" s="9">
        <v>0</v>
      </c>
      <c r="K447" s="9">
        <v>0</v>
      </c>
      <c r="L447" s="9">
        <v>0</v>
      </c>
      <c r="M447" s="9">
        <v>0</v>
      </c>
      <c r="N447" s="9">
        <v>0</v>
      </c>
      <c r="O447" s="9">
        <v>0</v>
      </c>
      <c r="P447" s="9">
        <v>0</v>
      </c>
      <c r="Q447" s="9">
        <v>0</v>
      </c>
      <c r="R447" s="9">
        <v>0</v>
      </c>
      <c r="S447" s="9">
        <v>0</v>
      </c>
      <c r="T447" s="9">
        <v>0</v>
      </c>
      <c r="U447" s="9">
        <v>0</v>
      </c>
      <c r="V447" s="9">
        <v>0</v>
      </c>
      <c r="W447" s="9">
        <v>0</v>
      </c>
      <c r="X447" s="9">
        <v>0</v>
      </c>
      <c r="Y447" s="9">
        <v>0</v>
      </c>
      <c r="Z447" s="9">
        <v>0</v>
      </c>
      <c r="AA447" s="9">
        <v>0</v>
      </c>
      <c r="AB447" s="9">
        <v>0</v>
      </c>
      <c r="AC447" s="9">
        <v>0</v>
      </c>
      <c r="AD447" s="9">
        <v>0</v>
      </c>
      <c r="AE447" s="9">
        <v>0</v>
      </c>
      <c r="AF447" s="9">
        <v>0</v>
      </c>
      <c r="AG447" s="9">
        <v>0</v>
      </c>
      <c r="AH447" s="9">
        <v>0</v>
      </c>
      <c r="AI447" s="9">
        <v>0</v>
      </c>
      <c r="AJ447" s="9">
        <v>0</v>
      </c>
      <c r="AK447" s="9">
        <v>0</v>
      </c>
      <c r="AL447" s="9">
        <v>0</v>
      </c>
      <c r="AM447" s="9">
        <v>0</v>
      </c>
      <c r="AN447" s="9">
        <v>0</v>
      </c>
      <c r="AO447" s="9">
        <v>0</v>
      </c>
      <c r="AP447" s="9">
        <v>0</v>
      </c>
      <c r="AQ447" s="9">
        <v>0</v>
      </c>
      <c r="AR447" s="9">
        <v>0</v>
      </c>
      <c r="AS447" s="9">
        <v>0</v>
      </c>
      <c r="AT447" s="9">
        <v>0</v>
      </c>
      <c r="AU447" s="9">
        <v>0</v>
      </c>
      <c r="AV447" s="9">
        <v>0</v>
      </c>
      <c r="AW447" s="9">
        <v>0</v>
      </c>
      <c r="AX447" s="9">
        <v>0</v>
      </c>
      <c r="AY447" s="9">
        <v>0</v>
      </c>
      <c r="AZ447" s="9">
        <v>0</v>
      </c>
      <c r="BA447" s="9">
        <v>0</v>
      </c>
      <c r="BB447" s="9">
        <v>0</v>
      </c>
      <c r="BC447" s="9">
        <v>0</v>
      </c>
      <c r="BD447" s="9">
        <v>0</v>
      </c>
      <c r="BE447" s="9">
        <v>0</v>
      </c>
      <c r="BF447" s="9">
        <v>0</v>
      </c>
      <c r="BG447" s="9">
        <v>0</v>
      </c>
      <c r="BH447" s="9">
        <v>0</v>
      </c>
      <c r="BI447" s="9">
        <v>0</v>
      </c>
      <c r="BJ447" s="9">
        <v>0</v>
      </c>
      <c r="BK447" s="9">
        <v>0</v>
      </c>
      <c r="BL447" s="9">
        <v>0</v>
      </c>
      <c r="BM447" s="9">
        <v>0</v>
      </c>
      <c r="BN447" s="9">
        <v>0</v>
      </c>
      <c r="BO447" s="9">
        <v>0</v>
      </c>
      <c r="BP447" s="10">
        <v>0</v>
      </c>
      <c r="BQ447">
        <v>0</v>
      </c>
      <c r="BR447">
        <v>0</v>
      </c>
    </row>
    <row r="448" spans="1:70" x14ac:dyDescent="0.35">
      <c r="A448" s="8" t="s">
        <v>494</v>
      </c>
      <c r="B448" s="9" t="s">
        <v>501</v>
      </c>
      <c r="C448" s="10" t="s">
        <v>1243</v>
      </c>
      <c r="D448" s="34">
        <f t="shared" si="8"/>
        <v>2</v>
      </c>
      <c r="E448" s="9">
        <v>0</v>
      </c>
      <c r="F448" s="9">
        <v>0</v>
      </c>
      <c r="G448" s="9">
        <v>0</v>
      </c>
      <c r="H448" s="9">
        <v>0</v>
      </c>
      <c r="I448" s="9">
        <v>0</v>
      </c>
      <c r="J448" s="9">
        <v>0</v>
      </c>
      <c r="K448" s="9">
        <v>0</v>
      </c>
      <c r="L448" s="9">
        <v>0</v>
      </c>
      <c r="M448" s="9">
        <v>0</v>
      </c>
      <c r="N448" s="9">
        <v>0</v>
      </c>
      <c r="O448" s="9">
        <v>0</v>
      </c>
      <c r="P448" s="9">
        <v>0</v>
      </c>
      <c r="Q448" s="9">
        <v>0</v>
      </c>
      <c r="R448" s="9">
        <v>0</v>
      </c>
      <c r="S448" s="9">
        <v>0</v>
      </c>
      <c r="T448" s="9">
        <v>0</v>
      </c>
      <c r="U448" s="9">
        <v>0</v>
      </c>
      <c r="V448" s="9">
        <v>0</v>
      </c>
      <c r="W448" s="9">
        <v>0</v>
      </c>
      <c r="X448" s="9">
        <v>0</v>
      </c>
      <c r="Y448" s="9">
        <v>0</v>
      </c>
      <c r="Z448" s="9">
        <v>0</v>
      </c>
      <c r="AA448" s="9">
        <v>0</v>
      </c>
      <c r="AB448" s="9">
        <v>0</v>
      </c>
      <c r="AC448" s="9">
        <v>0</v>
      </c>
      <c r="AD448" s="9">
        <v>0</v>
      </c>
      <c r="AE448" s="9">
        <v>0</v>
      </c>
      <c r="AF448" s="9">
        <v>0</v>
      </c>
      <c r="AG448" s="9">
        <v>0</v>
      </c>
      <c r="AH448" s="9">
        <v>0</v>
      </c>
      <c r="AI448" s="9">
        <v>0</v>
      </c>
      <c r="AJ448" s="9">
        <v>0</v>
      </c>
      <c r="AK448" s="9">
        <v>0</v>
      </c>
      <c r="AL448" s="9">
        <v>0</v>
      </c>
      <c r="AM448" s="9">
        <v>0</v>
      </c>
      <c r="AN448" s="9">
        <v>0</v>
      </c>
      <c r="AO448" s="9">
        <v>0</v>
      </c>
      <c r="AP448" s="9">
        <v>0</v>
      </c>
      <c r="AQ448" s="9">
        <v>0</v>
      </c>
      <c r="AR448" s="9">
        <v>0</v>
      </c>
      <c r="AS448" s="9">
        <v>0</v>
      </c>
      <c r="AT448" s="9">
        <v>0</v>
      </c>
      <c r="AU448" s="9">
        <v>0</v>
      </c>
      <c r="AV448" s="9">
        <v>0</v>
      </c>
      <c r="AW448" s="9">
        <v>0</v>
      </c>
      <c r="AX448" s="9">
        <v>0</v>
      </c>
      <c r="AY448" s="9">
        <v>0</v>
      </c>
      <c r="AZ448" s="9">
        <v>0</v>
      </c>
      <c r="BA448" s="9">
        <v>0</v>
      </c>
      <c r="BB448" s="9">
        <v>0</v>
      </c>
      <c r="BC448" s="9">
        <v>0</v>
      </c>
      <c r="BD448" s="9">
        <v>1</v>
      </c>
      <c r="BE448" s="9">
        <v>0</v>
      </c>
      <c r="BF448" s="9">
        <v>0</v>
      </c>
      <c r="BG448" s="9">
        <v>1</v>
      </c>
      <c r="BH448" s="9">
        <v>0</v>
      </c>
      <c r="BI448" s="9">
        <v>0</v>
      </c>
      <c r="BJ448" s="9">
        <v>0</v>
      </c>
      <c r="BK448" s="9">
        <v>0</v>
      </c>
      <c r="BL448" s="9">
        <v>1</v>
      </c>
      <c r="BM448" s="9">
        <v>1</v>
      </c>
      <c r="BN448" s="9">
        <v>1</v>
      </c>
      <c r="BO448" s="9">
        <v>1</v>
      </c>
      <c r="BP448" s="10">
        <v>1</v>
      </c>
      <c r="BQ448">
        <v>1</v>
      </c>
      <c r="BR448">
        <v>2</v>
      </c>
    </row>
    <row r="449" spans="1:70" x14ac:dyDescent="0.35">
      <c r="A449" s="8" t="s">
        <v>494</v>
      </c>
      <c r="B449" s="9" t="s">
        <v>1244</v>
      </c>
      <c r="C449" s="10" t="s">
        <v>1245</v>
      </c>
      <c r="D449" s="34">
        <f t="shared" si="8"/>
        <v>0</v>
      </c>
      <c r="E449" s="9">
        <v>0</v>
      </c>
      <c r="F449" s="9">
        <v>0</v>
      </c>
      <c r="G449" s="9">
        <v>0</v>
      </c>
      <c r="H449" s="9">
        <v>0</v>
      </c>
      <c r="I449" s="9">
        <v>0</v>
      </c>
      <c r="J449" s="9">
        <v>0</v>
      </c>
      <c r="K449" s="9">
        <v>0</v>
      </c>
      <c r="L449" s="9">
        <v>0</v>
      </c>
      <c r="M449" s="9">
        <v>0</v>
      </c>
      <c r="N449" s="9">
        <v>0</v>
      </c>
      <c r="O449" s="9">
        <v>0</v>
      </c>
      <c r="P449" s="9">
        <v>0</v>
      </c>
      <c r="Q449" s="9">
        <v>0</v>
      </c>
      <c r="R449" s="9">
        <v>0</v>
      </c>
      <c r="S449" s="9">
        <v>0</v>
      </c>
      <c r="T449" s="9">
        <v>0</v>
      </c>
      <c r="U449" s="9">
        <v>0</v>
      </c>
      <c r="V449" s="9">
        <v>0</v>
      </c>
      <c r="W449" s="9">
        <v>0</v>
      </c>
      <c r="X449" s="9">
        <v>0</v>
      </c>
      <c r="Y449" s="9">
        <v>0</v>
      </c>
      <c r="Z449" s="9">
        <v>0</v>
      </c>
      <c r="AA449" s="9">
        <v>0</v>
      </c>
      <c r="AB449" s="9">
        <v>0</v>
      </c>
      <c r="AC449" s="9">
        <v>0</v>
      </c>
      <c r="AD449" s="9">
        <v>0</v>
      </c>
      <c r="AE449" s="9">
        <v>0</v>
      </c>
      <c r="AF449" s="9">
        <v>0</v>
      </c>
      <c r="AG449" s="9">
        <v>0</v>
      </c>
      <c r="AH449" s="9">
        <v>0</v>
      </c>
      <c r="AI449" s="9">
        <v>0</v>
      </c>
      <c r="AJ449" s="9">
        <v>0</v>
      </c>
      <c r="AK449" s="9">
        <v>0</v>
      </c>
      <c r="AL449" s="9">
        <v>0</v>
      </c>
      <c r="AM449" s="9">
        <v>0</v>
      </c>
      <c r="AN449" s="9">
        <v>0</v>
      </c>
      <c r="AO449" s="9">
        <v>0</v>
      </c>
      <c r="AP449" s="9">
        <v>0</v>
      </c>
      <c r="AQ449" s="9">
        <v>0</v>
      </c>
      <c r="AR449" s="9">
        <v>0</v>
      </c>
      <c r="AS449" s="9">
        <v>0</v>
      </c>
      <c r="AT449" s="9">
        <v>0</v>
      </c>
      <c r="AU449" s="9">
        <v>0</v>
      </c>
      <c r="AV449" s="9">
        <v>0</v>
      </c>
      <c r="AW449" s="9">
        <v>0</v>
      </c>
      <c r="AX449" s="9">
        <v>0</v>
      </c>
      <c r="AY449" s="9">
        <v>0</v>
      </c>
      <c r="AZ449" s="9">
        <v>0</v>
      </c>
      <c r="BA449" s="9">
        <v>0</v>
      </c>
      <c r="BB449" s="9">
        <v>0</v>
      </c>
      <c r="BC449" s="9">
        <v>0</v>
      </c>
      <c r="BD449" s="9">
        <v>0</v>
      </c>
      <c r="BE449" s="9">
        <v>0</v>
      </c>
      <c r="BF449" s="9">
        <v>0</v>
      </c>
      <c r="BG449" s="9">
        <v>0</v>
      </c>
      <c r="BH449" s="9">
        <v>0</v>
      </c>
      <c r="BI449" s="9">
        <v>0</v>
      </c>
      <c r="BJ449" s="9">
        <v>0</v>
      </c>
      <c r="BK449" s="9">
        <v>0</v>
      </c>
      <c r="BL449" s="9">
        <v>0</v>
      </c>
      <c r="BM449" s="9">
        <v>0</v>
      </c>
      <c r="BN449" s="9">
        <v>0</v>
      </c>
      <c r="BO449" s="9">
        <v>0</v>
      </c>
      <c r="BP449" s="10">
        <v>0</v>
      </c>
      <c r="BQ449">
        <v>0</v>
      </c>
      <c r="BR449">
        <v>0</v>
      </c>
    </row>
    <row r="450" spans="1:70" x14ac:dyDescent="0.35">
      <c r="A450" s="8" t="s">
        <v>494</v>
      </c>
      <c r="B450" s="9" t="s">
        <v>1246</v>
      </c>
      <c r="C450" s="10" t="s">
        <v>1247</v>
      </c>
      <c r="D450" s="34">
        <f t="shared" si="8"/>
        <v>0</v>
      </c>
      <c r="E450" s="9">
        <v>0</v>
      </c>
      <c r="F450" s="9">
        <v>0</v>
      </c>
      <c r="G450" s="9">
        <v>0</v>
      </c>
      <c r="H450" s="9">
        <v>0</v>
      </c>
      <c r="I450" s="9">
        <v>0</v>
      </c>
      <c r="J450" s="9">
        <v>0</v>
      </c>
      <c r="K450" s="9">
        <v>0</v>
      </c>
      <c r="L450" s="9">
        <v>0</v>
      </c>
      <c r="M450" s="9">
        <v>0</v>
      </c>
      <c r="N450" s="9">
        <v>0</v>
      </c>
      <c r="O450" s="9">
        <v>0</v>
      </c>
      <c r="P450" s="9">
        <v>0</v>
      </c>
      <c r="Q450" s="9">
        <v>0</v>
      </c>
      <c r="R450" s="9">
        <v>0</v>
      </c>
      <c r="S450" s="9">
        <v>0</v>
      </c>
      <c r="T450" s="9">
        <v>0</v>
      </c>
      <c r="U450" s="9">
        <v>0</v>
      </c>
      <c r="V450" s="9">
        <v>0</v>
      </c>
      <c r="W450" s="9">
        <v>0</v>
      </c>
      <c r="X450" s="9">
        <v>0</v>
      </c>
      <c r="Y450" s="9">
        <v>0</v>
      </c>
      <c r="Z450" s="9">
        <v>0</v>
      </c>
      <c r="AA450" s="9">
        <v>0</v>
      </c>
      <c r="AB450" s="9">
        <v>0</v>
      </c>
      <c r="AC450" s="9">
        <v>0</v>
      </c>
      <c r="AD450" s="9">
        <v>0</v>
      </c>
      <c r="AE450" s="9">
        <v>0</v>
      </c>
      <c r="AF450" s="9">
        <v>0</v>
      </c>
      <c r="AG450" s="9">
        <v>0</v>
      </c>
      <c r="AH450" s="9">
        <v>0</v>
      </c>
      <c r="AI450" s="9">
        <v>0</v>
      </c>
      <c r="AJ450" s="9">
        <v>0</v>
      </c>
      <c r="AK450" s="9">
        <v>0</v>
      </c>
      <c r="AL450" s="9">
        <v>0</v>
      </c>
      <c r="AM450" s="9">
        <v>0</v>
      </c>
      <c r="AN450" s="9">
        <v>0</v>
      </c>
      <c r="AO450" s="9">
        <v>0</v>
      </c>
      <c r="AP450" s="9">
        <v>0</v>
      </c>
      <c r="AQ450" s="9">
        <v>0</v>
      </c>
      <c r="AR450" s="9">
        <v>0</v>
      </c>
      <c r="AS450" s="9">
        <v>0</v>
      </c>
      <c r="AT450" s="9">
        <v>0</v>
      </c>
      <c r="AU450" s="9">
        <v>0</v>
      </c>
      <c r="AV450" s="9">
        <v>0</v>
      </c>
      <c r="AW450" s="9">
        <v>0</v>
      </c>
      <c r="AX450" s="9">
        <v>0</v>
      </c>
      <c r="AY450" s="9">
        <v>0</v>
      </c>
      <c r="AZ450" s="9">
        <v>0</v>
      </c>
      <c r="BA450" s="9">
        <v>0</v>
      </c>
      <c r="BB450" s="9">
        <v>0</v>
      </c>
      <c r="BC450" s="9">
        <v>0</v>
      </c>
      <c r="BD450" s="9">
        <v>0</v>
      </c>
      <c r="BE450" s="9">
        <v>0</v>
      </c>
      <c r="BF450" s="9">
        <v>0</v>
      </c>
      <c r="BG450" s="9">
        <v>0</v>
      </c>
      <c r="BH450" s="9">
        <v>0</v>
      </c>
      <c r="BI450" s="9">
        <v>0</v>
      </c>
      <c r="BJ450" s="9">
        <v>0</v>
      </c>
      <c r="BK450" s="9">
        <v>0</v>
      </c>
      <c r="BL450" s="9">
        <v>0</v>
      </c>
      <c r="BM450" s="9">
        <v>0</v>
      </c>
      <c r="BN450" s="9">
        <v>0</v>
      </c>
      <c r="BO450" s="9">
        <v>0</v>
      </c>
      <c r="BP450" s="10">
        <v>0</v>
      </c>
      <c r="BQ450">
        <v>0</v>
      </c>
      <c r="BR450">
        <v>0</v>
      </c>
    </row>
    <row r="451" spans="1:70" x14ac:dyDescent="0.35">
      <c r="A451" s="8" t="s">
        <v>494</v>
      </c>
      <c r="B451" s="9" t="s">
        <v>1248</v>
      </c>
      <c r="C451" s="10" t="s">
        <v>1249</v>
      </c>
      <c r="D451" s="34">
        <f t="shared" si="8"/>
        <v>0</v>
      </c>
      <c r="E451" s="9">
        <v>0</v>
      </c>
      <c r="F451" s="9">
        <v>0</v>
      </c>
      <c r="G451" s="9">
        <v>0</v>
      </c>
      <c r="H451" s="9">
        <v>0</v>
      </c>
      <c r="I451" s="9">
        <v>0</v>
      </c>
      <c r="J451" s="9">
        <v>0</v>
      </c>
      <c r="K451" s="9">
        <v>0</v>
      </c>
      <c r="L451" s="9">
        <v>0</v>
      </c>
      <c r="M451" s="9">
        <v>0</v>
      </c>
      <c r="N451" s="9">
        <v>0</v>
      </c>
      <c r="O451" s="9">
        <v>0</v>
      </c>
      <c r="P451" s="9">
        <v>0</v>
      </c>
      <c r="Q451" s="9">
        <v>0</v>
      </c>
      <c r="R451" s="9">
        <v>0</v>
      </c>
      <c r="S451" s="9">
        <v>0</v>
      </c>
      <c r="T451" s="9">
        <v>0</v>
      </c>
      <c r="U451" s="9">
        <v>0</v>
      </c>
      <c r="V451" s="9">
        <v>0</v>
      </c>
      <c r="W451" s="9">
        <v>0</v>
      </c>
      <c r="X451" s="9">
        <v>0</v>
      </c>
      <c r="Y451" s="9">
        <v>0</v>
      </c>
      <c r="Z451" s="9">
        <v>0</v>
      </c>
      <c r="AA451" s="9">
        <v>0</v>
      </c>
      <c r="AB451" s="9">
        <v>0</v>
      </c>
      <c r="AC451" s="9">
        <v>0</v>
      </c>
      <c r="AD451" s="9">
        <v>0</v>
      </c>
      <c r="AE451" s="9">
        <v>0</v>
      </c>
      <c r="AF451" s="9">
        <v>0</v>
      </c>
      <c r="AG451" s="9">
        <v>0</v>
      </c>
      <c r="AH451" s="9">
        <v>0</v>
      </c>
      <c r="AI451" s="9">
        <v>0</v>
      </c>
      <c r="AJ451" s="9">
        <v>0</v>
      </c>
      <c r="AK451" s="9">
        <v>0</v>
      </c>
      <c r="AL451" s="9">
        <v>0</v>
      </c>
      <c r="AM451" s="9">
        <v>0</v>
      </c>
      <c r="AN451" s="9">
        <v>0</v>
      </c>
      <c r="AO451" s="9">
        <v>0</v>
      </c>
      <c r="AP451" s="9">
        <v>0</v>
      </c>
      <c r="AQ451" s="9">
        <v>0</v>
      </c>
      <c r="AR451" s="9">
        <v>0</v>
      </c>
      <c r="AS451" s="9">
        <v>0</v>
      </c>
      <c r="AT451" s="9">
        <v>0</v>
      </c>
      <c r="AU451" s="9">
        <v>0</v>
      </c>
      <c r="AV451" s="9">
        <v>0</v>
      </c>
      <c r="AW451" s="9">
        <v>0</v>
      </c>
      <c r="AX451" s="9">
        <v>0</v>
      </c>
      <c r="AY451" s="9">
        <v>0</v>
      </c>
      <c r="AZ451" s="9">
        <v>0</v>
      </c>
      <c r="BA451" s="9">
        <v>0</v>
      </c>
      <c r="BB451" s="9">
        <v>0</v>
      </c>
      <c r="BC451" s="9">
        <v>0</v>
      </c>
      <c r="BD451" s="9">
        <v>0</v>
      </c>
      <c r="BE451" s="9">
        <v>0</v>
      </c>
      <c r="BF451" s="9">
        <v>0</v>
      </c>
      <c r="BG451" s="9">
        <v>0</v>
      </c>
      <c r="BH451" s="9">
        <v>0</v>
      </c>
      <c r="BI451" s="9">
        <v>0</v>
      </c>
      <c r="BJ451" s="9">
        <v>0</v>
      </c>
      <c r="BK451" s="9">
        <v>0</v>
      </c>
      <c r="BL451" s="9">
        <v>0</v>
      </c>
      <c r="BM451" s="9">
        <v>0</v>
      </c>
      <c r="BN451" s="9">
        <v>0</v>
      </c>
      <c r="BO451" s="9">
        <v>0</v>
      </c>
      <c r="BP451" s="10">
        <v>0</v>
      </c>
      <c r="BQ451">
        <v>0</v>
      </c>
      <c r="BR451">
        <v>0</v>
      </c>
    </row>
    <row r="452" spans="1:70" x14ac:dyDescent="0.35">
      <c r="A452" s="8" t="s">
        <v>494</v>
      </c>
      <c r="B452" s="9" t="s">
        <v>1250</v>
      </c>
      <c r="C452" s="10" t="s">
        <v>1251</v>
      </c>
      <c r="D452" s="34">
        <f t="shared" si="8"/>
        <v>0</v>
      </c>
      <c r="E452" s="9">
        <v>0</v>
      </c>
      <c r="F452" s="9">
        <v>0</v>
      </c>
      <c r="G452" s="9">
        <v>0</v>
      </c>
      <c r="H452" s="9">
        <v>0</v>
      </c>
      <c r="I452" s="9">
        <v>0</v>
      </c>
      <c r="J452" s="9">
        <v>0</v>
      </c>
      <c r="K452" s="9">
        <v>0</v>
      </c>
      <c r="L452" s="9">
        <v>0</v>
      </c>
      <c r="M452" s="9">
        <v>0</v>
      </c>
      <c r="N452" s="9">
        <v>0</v>
      </c>
      <c r="O452" s="9">
        <v>0</v>
      </c>
      <c r="P452" s="9">
        <v>0</v>
      </c>
      <c r="Q452" s="9">
        <v>0</v>
      </c>
      <c r="R452" s="9">
        <v>0</v>
      </c>
      <c r="S452" s="9">
        <v>0</v>
      </c>
      <c r="T452" s="9">
        <v>0</v>
      </c>
      <c r="U452" s="9">
        <v>0</v>
      </c>
      <c r="V452" s="9">
        <v>0</v>
      </c>
      <c r="W452" s="9">
        <v>0</v>
      </c>
      <c r="X452" s="9">
        <v>0</v>
      </c>
      <c r="Y452" s="9">
        <v>0</v>
      </c>
      <c r="Z452" s="9">
        <v>0</v>
      </c>
      <c r="AA452" s="9">
        <v>0</v>
      </c>
      <c r="AB452" s="9">
        <v>0</v>
      </c>
      <c r="AC452" s="9">
        <v>0</v>
      </c>
      <c r="AD452" s="9">
        <v>0</v>
      </c>
      <c r="AE452" s="9">
        <v>0</v>
      </c>
      <c r="AF452" s="9">
        <v>0</v>
      </c>
      <c r="AG452" s="9">
        <v>0</v>
      </c>
      <c r="AH452" s="9">
        <v>0</v>
      </c>
      <c r="AI452" s="9">
        <v>0</v>
      </c>
      <c r="AJ452" s="9">
        <v>0</v>
      </c>
      <c r="AK452" s="9">
        <v>0</v>
      </c>
      <c r="AL452" s="9">
        <v>0</v>
      </c>
      <c r="AM452" s="9">
        <v>0</v>
      </c>
      <c r="AN452" s="9">
        <v>0</v>
      </c>
      <c r="AO452" s="9">
        <v>0</v>
      </c>
      <c r="AP452" s="9">
        <v>0</v>
      </c>
      <c r="AQ452" s="9">
        <v>0</v>
      </c>
      <c r="AR452" s="9">
        <v>0</v>
      </c>
      <c r="AS452" s="9">
        <v>0</v>
      </c>
      <c r="AT452" s="9">
        <v>0</v>
      </c>
      <c r="AU452" s="9">
        <v>0</v>
      </c>
      <c r="AV452" s="9">
        <v>0</v>
      </c>
      <c r="AW452" s="9">
        <v>0</v>
      </c>
      <c r="AX452" s="9">
        <v>0</v>
      </c>
      <c r="AY452" s="9">
        <v>0</v>
      </c>
      <c r="AZ452" s="9">
        <v>0</v>
      </c>
      <c r="BA452" s="9">
        <v>0</v>
      </c>
      <c r="BB452" s="9">
        <v>0</v>
      </c>
      <c r="BC452" s="9">
        <v>0</v>
      </c>
      <c r="BD452" s="9">
        <v>0</v>
      </c>
      <c r="BE452" s="9">
        <v>0</v>
      </c>
      <c r="BF452" s="9">
        <v>0</v>
      </c>
      <c r="BG452" s="9">
        <v>0</v>
      </c>
      <c r="BH452" s="9">
        <v>0</v>
      </c>
      <c r="BI452" s="9">
        <v>0</v>
      </c>
      <c r="BJ452" s="9">
        <v>0</v>
      </c>
      <c r="BK452" s="9">
        <v>0</v>
      </c>
      <c r="BL452" s="9">
        <v>0</v>
      </c>
      <c r="BM452" s="9">
        <v>0</v>
      </c>
      <c r="BN452" s="9">
        <v>0</v>
      </c>
      <c r="BO452" s="9">
        <v>0</v>
      </c>
      <c r="BP452" s="10">
        <v>0</v>
      </c>
      <c r="BQ452">
        <v>0</v>
      </c>
      <c r="BR452">
        <v>0</v>
      </c>
    </row>
    <row r="453" spans="1:70" x14ac:dyDescent="0.35">
      <c r="A453" s="8" t="s">
        <v>494</v>
      </c>
      <c r="B453" s="9" t="s">
        <v>1252</v>
      </c>
      <c r="C453" s="10" t="s">
        <v>1253</v>
      </c>
      <c r="D453" s="34">
        <f t="shared" si="8"/>
        <v>0</v>
      </c>
      <c r="E453" s="9">
        <v>0</v>
      </c>
      <c r="F453" s="9">
        <v>0</v>
      </c>
      <c r="G453" s="9">
        <v>0</v>
      </c>
      <c r="H453" s="9">
        <v>0</v>
      </c>
      <c r="I453" s="9">
        <v>0</v>
      </c>
      <c r="J453" s="9">
        <v>0</v>
      </c>
      <c r="K453" s="9">
        <v>0</v>
      </c>
      <c r="L453" s="9">
        <v>0</v>
      </c>
      <c r="M453" s="9">
        <v>0</v>
      </c>
      <c r="N453" s="9">
        <v>0</v>
      </c>
      <c r="O453" s="9">
        <v>0</v>
      </c>
      <c r="P453" s="9">
        <v>0</v>
      </c>
      <c r="Q453" s="9">
        <v>0</v>
      </c>
      <c r="R453" s="9">
        <v>0</v>
      </c>
      <c r="S453" s="9">
        <v>0</v>
      </c>
      <c r="T453" s="9">
        <v>0</v>
      </c>
      <c r="U453" s="9">
        <v>0</v>
      </c>
      <c r="V453" s="9">
        <v>0</v>
      </c>
      <c r="W453" s="9">
        <v>0</v>
      </c>
      <c r="X453" s="9">
        <v>0</v>
      </c>
      <c r="Y453" s="9">
        <v>0</v>
      </c>
      <c r="Z453" s="9">
        <v>0</v>
      </c>
      <c r="AA453" s="9">
        <v>0</v>
      </c>
      <c r="AB453" s="9">
        <v>0</v>
      </c>
      <c r="AC453" s="9">
        <v>0</v>
      </c>
      <c r="AD453" s="9">
        <v>0</v>
      </c>
      <c r="AE453" s="9">
        <v>0</v>
      </c>
      <c r="AF453" s="9">
        <v>0</v>
      </c>
      <c r="AG453" s="9">
        <v>0</v>
      </c>
      <c r="AH453" s="9">
        <v>0</v>
      </c>
      <c r="AI453" s="9">
        <v>0</v>
      </c>
      <c r="AJ453" s="9">
        <v>0</v>
      </c>
      <c r="AK453" s="9">
        <v>0</v>
      </c>
      <c r="AL453" s="9">
        <v>0</v>
      </c>
      <c r="AM453" s="9">
        <v>0</v>
      </c>
      <c r="AN453" s="9">
        <v>0</v>
      </c>
      <c r="AO453" s="9">
        <v>0</v>
      </c>
      <c r="AP453" s="9">
        <v>0</v>
      </c>
      <c r="AQ453" s="9">
        <v>0</v>
      </c>
      <c r="AR453" s="9">
        <v>0</v>
      </c>
      <c r="AS453" s="9">
        <v>0</v>
      </c>
      <c r="AT453" s="9">
        <v>0</v>
      </c>
      <c r="AU453" s="9">
        <v>0</v>
      </c>
      <c r="AV453" s="9">
        <v>0</v>
      </c>
      <c r="AW453" s="9">
        <v>0</v>
      </c>
      <c r="AX453" s="9">
        <v>0</v>
      </c>
      <c r="AY453" s="9">
        <v>0</v>
      </c>
      <c r="AZ453" s="9">
        <v>0</v>
      </c>
      <c r="BA453" s="9">
        <v>0</v>
      </c>
      <c r="BB453" s="9">
        <v>0</v>
      </c>
      <c r="BC453" s="9">
        <v>0</v>
      </c>
      <c r="BD453" s="9">
        <v>0</v>
      </c>
      <c r="BE453" s="9">
        <v>0</v>
      </c>
      <c r="BF453" s="9">
        <v>0</v>
      </c>
      <c r="BG453" s="9">
        <v>0</v>
      </c>
      <c r="BH453" s="9">
        <v>0</v>
      </c>
      <c r="BI453" s="9">
        <v>0</v>
      </c>
      <c r="BJ453" s="9">
        <v>0</v>
      </c>
      <c r="BK453" s="9">
        <v>0</v>
      </c>
      <c r="BL453" s="9">
        <v>0</v>
      </c>
      <c r="BM453" s="9">
        <v>0</v>
      </c>
      <c r="BN453" s="9">
        <v>0</v>
      </c>
      <c r="BO453" s="9">
        <v>0</v>
      </c>
      <c r="BP453" s="10">
        <v>0</v>
      </c>
      <c r="BQ453">
        <v>0</v>
      </c>
      <c r="BR453">
        <v>0</v>
      </c>
    </row>
    <row r="454" spans="1:70" x14ac:dyDescent="0.35">
      <c r="A454" s="8" t="s">
        <v>494</v>
      </c>
      <c r="B454" s="9" t="s">
        <v>1254</v>
      </c>
      <c r="C454" s="10" t="s">
        <v>1255</v>
      </c>
      <c r="D454" s="34">
        <f t="shared" ref="D454:D489" si="9">MAX(E454:BR454)</f>
        <v>0</v>
      </c>
      <c r="E454" s="9">
        <v>0</v>
      </c>
      <c r="F454" s="9">
        <v>0</v>
      </c>
      <c r="G454" s="9">
        <v>0</v>
      </c>
      <c r="H454" s="9">
        <v>0</v>
      </c>
      <c r="I454" s="9">
        <v>0</v>
      </c>
      <c r="J454" s="9">
        <v>0</v>
      </c>
      <c r="K454" s="9">
        <v>0</v>
      </c>
      <c r="L454" s="9">
        <v>0</v>
      </c>
      <c r="M454" s="9">
        <v>0</v>
      </c>
      <c r="N454" s="9">
        <v>0</v>
      </c>
      <c r="O454" s="9">
        <v>0</v>
      </c>
      <c r="P454" s="9">
        <v>0</v>
      </c>
      <c r="Q454" s="9">
        <v>0</v>
      </c>
      <c r="R454" s="9">
        <v>0</v>
      </c>
      <c r="S454" s="9">
        <v>0</v>
      </c>
      <c r="T454" s="9">
        <v>0</v>
      </c>
      <c r="U454" s="9">
        <v>0</v>
      </c>
      <c r="V454" s="9">
        <v>0</v>
      </c>
      <c r="W454" s="9">
        <v>0</v>
      </c>
      <c r="X454" s="9">
        <v>0</v>
      </c>
      <c r="Y454" s="9">
        <v>0</v>
      </c>
      <c r="Z454" s="9">
        <v>0</v>
      </c>
      <c r="AA454" s="9">
        <v>0</v>
      </c>
      <c r="AB454" s="9">
        <v>0</v>
      </c>
      <c r="AC454" s="9">
        <v>0</v>
      </c>
      <c r="AD454" s="9">
        <v>0</v>
      </c>
      <c r="AE454" s="9">
        <v>0</v>
      </c>
      <c r="AF454" s="9">
        <v>0</v>
      </c>
      <c r="AG454" s="9">
        <v>0</v>
      </c>
      <c r="AH454" s="9">
        <v>0</v>
      </c>
      <c r="AI454" s="9">
        <v>0</v>
      </c>
      <c r="AJ454" s="9">
        <v>0</v>
      </c>
      <c r="AK454" s="9">
        <v>0</v>
      </c>
      <c r="AL454" s="9">
        <v>0</v>
      </c>
      <c r="AM454" s="9">
        <v>0</v>
      </c>
      <c r="AN454" s="9">
        <v>0</v>
      </c>
      <c r="AO454" s="9">
        <v>0</v>
      </c>
      <c r="AP454" s="9">
        <v>0</v>
      </c>
      <c r="AQ454" s="9">
        <v>0</v>
      </c>
      <c r="AR454" s="9">
        <v>0</v>
      </c>
      <c r="AS454" s="9">
        <v>0</v>
      </c>
      <c r="AT454" s="9">
        <v>0</v>
      </c>
      <c r="AU454" s="9">
        <v>0</v>
      </c>
      <c r="AV454" s="9">
        <v>0</v>
      </c>
      <c r="AW454" s="9">
        <v>0</v>
      </c>
      <c r="AX454" s="9">
        <v>0</v>
      </c>
      <c r="AY454" s="9">
        <v>0</v>
      </c>
      <c r="AZ454" s="9">
        <v>0</v>
      </c>
      <c r="BA454" s="9">
        <v>0</v>
      </c>
      <c r="BB454" s="9">
        <v>0</v>
      </c>
      <c r="BC454" s="9">
        <v>0</v>
      </c>
      <c r="BD454" s="9">
        <v>0</v>
      </c>
      <c r="BE454" s="9">
        <v>0</v>
      </c>
      <c r="BF454" s="9">
        <v>0</v>
      </c>
      <c r="BG454" s="9">
        <v>0</v>
      </c>
      <c r="BH454" s="9">
        <v>0</v>
      </c>
      <c r="BI454" s="9">
        <v>0</v>
      </c>
      <c r="BJ454" s="9">
        <v>0</v>
      </c>
      <c r="BK454" s="9">
        <v>0</v>
      </c>
      <c r="BL454" s="9">
        <v>0</v>
      </c>
      <c r="BM454" s="9">
        <v>0</v>
      </c>
      <c r="BN454" s="9">
        <v>0</v>
      </c>
      <c r="BO454" s="9">
        <v>0</v>
      </c>
      <c r="BP454" s="10">
        <v>0</v>
      </c>
      <c r="BQ454">
        <v>0</v>
      </c>
      <c r="BR454">
        <v>0</v>
      </c>
    </row>
    <row r="455" spans="1:70" x14ac:dyDescent="0.35">
      <c r="A455" s="8" t="s">
        <v>494</v>
      </c>
      <c r="B455" s="9" t="s">
        <v>1256</v>
      </c>
      <c r="C455" s="10" t="s">
        <v>1257</v>
      </c>
      <c r="D455" s="34">
        <f t="shared" si="9"/>
        <v>0</v>
      </c>
      <c r="E455" s="9">
        <v>0</v>
      </c>
      <c r="F455" s="9">
        <v>0</v>
      </c>
      <c r="G455" s="9">
        <v>0</v>
      </c>
      <c r="H455" s="9">
        <v>0</v>
      </c>
      <c r="I455" s="9">
        <v>0</v>
      </c>
      <c r="J455" s="9">
        <v>0</v>
      </c>
      <c r="K455" s="9">
        <v>0</v>
      </c>
      <c r="L455" s="9">
        <v>0</v>
      </c>
      <c r="M455" s="9">
        <v>0</v>
      </c>
      <c r="N455" s="9">
        <v>0</v>
      </c>
      <c r="O455" s="9">
        <v>0</v>
      </c>
      <c r="P455" s="9">
        <v>0</v>
      </c>
      <c r="Q455" s="9">
        <v>0</v>
      </c>
      <c r="R455" s="9">
        <v>0</v>
      </c>
      <c r="S455" s="9">
        <v>0</v>
      </c>
      <c r="T455" s="9">
        <v>0</v>
      </c>
      <c r="U455" s="9">
        <v>0</v>
      </c>
      <c r="V455" s="9">
        <v>0</v>
      </c>
      <c r="W455" s="9">
        <v>0</v>
      </c>
      <c r="X455" s="9">
        <v>0</v>
      </c>
      <c r="Y455" s="9">
        <v>0</v>
      </c>
      <c r="Z455" s="9">
        <v>0</v>
      </c>
      <c r="AA455" s="9">
        <v>0</v>
      </c>
      <c r="AB455" s="9">
        <v>0</v>
      </c>
      <c r="AC455" s="9">
        <v>0</v>
      </c>
      <c r="AD455" s="9">
        <v>0</v>
      </c>
      <c r="AE455" s="9">
        <v>0</v>
      </c>
      <c r="AF455" s="9">
        <v>0</v>
      </c>
      <c r="AG455" s="9">
        <v>0</v>
      </c>
      <c r="AH455" s="9">
        <v>0</v>
      </c>
      <c r="AI455" s="9">
        <v>0</v>
      </c>
      <c r="AJ455" s="9">
        <v>0</v>
      </c>
      <c r="AK455" s="9">
        <v>0</v>
      </c>
      <c r="AL455" s="9">
        <v>0</v>
      </c>
      <c r="AM455" s="9">
        <v>0</v>
      </c>
      <c r="AN455" s="9">
        <v>0</v>
      </c>
      <c r="AO455" s="9">
        <v>0</v>
      </c>
      <c r="AP455" s="9">
        <v>0</v>
      </c>
      <c r="AQ455" s="9">
        <v>0</v>
      </c>
      <c r="AR455" s="9">
        <v>0</v>
      </c>
      <c r="AS455" s="9">
        <v>0</v>
      </c>
      <c r="AT455" s="9">
        <v>0</v>
      </c>
      <c r="AU455" s="9">
        <v>0</v>
      </c>
      <c r="AV455" s="9">
        <v>0</v>
      </c>
      <c r="AW455" s="9">
        <v>0</v>
      </c>
      <c r="AX455" s="9">
        <v>0</v>
      </c>
      <c r="AY455" s="9">
        <v>0</v>
      </c>
      <c r="AZ455" s="9">
        <v>0</v>
      </c>
      <c r="BA455" s="9">
        <v>0</v>
      </c>
      <c r="BB455" s="9">
        <v>0</v>
      </c>
      <c r="BC455" s="9">
        <v>0</v>
      </c>
      <c r="BD455" s="9">
        <v>0</v>
      </c>
      <c r="BE455" s="9">
        <v>0</v>
      </c>
      <c r="BF455" s="9">
        <v>0</v>
      </c>
      <c r="BG455" s="9">
        <v>0</v>
      </c>
      <c r="BH455" s="9">
        <v>0</v>
      </c>
      <c r="BI455" s="9">
        <v>0</v>
      </c>
      <c r="BJ455" s="9">
        <v>0</v>
      </c>
      <c r="BK455" s="9">
        <v>0</v>
      </c>
      <c r="BL455" s="9">
        <v>0</v>
      </c>
      <c r="BM455" s="9">
        <v>0</v>
      </c>
      <c r="BN455" s="9">
        <v>0</v>
      </c>
      <c r="BO455" s="9">
        <v>0</v>
      </c>
      <c r="BP455" s="10">
        <v>0</v>
      </c>
      <c r="BQ455">
        <v>0</v>
      </c>
      <c r="BR455">
        <v>0</v>
      </c>
    </row>
    <row r="456" spans="1:70" x14ac:dyDescent="0.35">
      <c r="A456" s="8" t="s">
        <v>494</v>
      </c>
      <c r="B456" s="9" t="s">
        <v>1258</v>
      </c>
      <c r="C456" s="10" t="s">
        <v>1259</v>
      </c>
      <c r="D456" s="34">
        <f t="shared" si="9"/>
        <v>0</v>
      </c>
      <c r="E456" s="9">
        <v>0</v>
      </c>
      <c r="F456" s="9">
        <v>0</v>
      </c>
      <c r="G456" s="9">
        <v>0</v>
      </c>
      <c r="H456" s="9">
        <v>0</v>
      </c>
      <c r="I456" s="9">
        <v>0</v>
      </c>
      <c r="J456" s="9">
        <v>0</v>
      </c>
      <c r="K456" s="9">
        <v>0</v>
      </c>
      <c r="L456" s="9">
        <v>0</v>
      </c>
      <c r="M456" s="9">
        <v>0</v>
      </c>
      <c r="N456" s="9">
        <v>0</v>
      </c>
      <c r="O456" s="9">
        <v>0</v>
      </c>
      <c r="P456" s="9">
        <v>0</v>
      </c>
      <c r="Q456" s="9">
        <v>0</v>
      </c>
      <c r="R456" s="9">
        <v>0</v>
      </c>
      <c r="S456" s="9">
        <v>0</v>
      </c>
      <c r="T456" s="9">
        <v>0</v>
      </c>
      <c r="U456" s="9">
        <v>0</v>
      </c>
      <c r="V456" s="9">
        <v>0</v>
      </c>
      <c r="W456" s="9">
        <v>0</v>
      </c>
      <c r="X456" s="9">
        <v>0</v>
      </c>
      <c r="Y456" s="9">
        <v>0</v>
      </c>
      <c r="Z456" s="9">
        <v>0</v>
      </c>
      <c r="AA456" s="9">
        <v>0</v>
      </c>
      <c r="AB456" s="9">
        <v>0</v>
      </c>
      <c r="AC456" s="9">
        <v>0</v>
      </c>
      <c r="AD456" s="9">
        <v>0</v>
      </c>
      <c r="AE456" s="9">
        <v>0</v>
      </c>
      <c r="AF456" s="9">
        <v>0</v>
      </c>
      <c r="AG456" s="9">
        <v>0</v>
      </c>
      <c r="AH456" s="9">
        <v>0</v>
      </c>
      <c r="AI456" s="9">
        <v>0</v>
      </c>
      <c r="AJ456" s="9">
        <v>0</v>
      </c>
      <c r="AK456" s="9">
        <v>0</v>
      </c>
      <c r="AL456" s="9">
        <v>0</v>
      </c>
      <c r="AM456" s="9">
        <v>0</v>
      </c>
      <c r="AN456" s="9">
        <v>0</v>
      </c>
      <c r="AO456" s="9">
        <v>0</v>
      </c>
      <c r="AP456" s="9">
        <v>0</v>
      </c>
      <c r="AQ456" s="9">
        <v>0</v>
      </c>
      <c r="AR456" s="9">
        <v>0</v>
      </c>
      <c r="AS456" s="9">
        <v>0</v>
      </c>
      <c r="AT456" s="9">
        <v>0</v>
      </c>
      <c r="AU456" s="9">
        <v>0</v>
      </c>
      <c r="AV456" s="9">
        <v>0</v>
      </c>
      <c r="AW456" s="9">
        <v>0</v>
      </c>
      <c r="AX456" s="9">
        <v>0</v>
      </c>
      <c r="AY456" s="9">
        <v>0</v>
      </c>
      <c r="AZ456" s="9">
        <v>0</v>
      </c>
      <c r="BA456" s="9">
        <v>0</v>
      </c>
      <c r="BB456" s="9">
        <v>0</v>
      </c>
      <c r="BC456" s="9">
        <v>0</v>
      </c>
      <c r="BD456" s="9">
        <v>0</v>
      </c>
      <c r="BE456" s="9">
        <v>0</v>
      </c>
      <c r="BF456" s="9">
        <v>0</v>
      </c>
      <c r="BG456" s="9">
        <v>0</v>
      </c>
      <c r="BH456" s="9">
        <v>0</v>
      </c>
      <c r="BI456" s="9">
        <v>0</v>
      </c>
      <c r="BJ456" s="9">
        <v>0</v>
      </c>
      <c r="BK456" s="9">
        <v>0</v>
      </c>
      <c r="BL456" s="9">
        <v>0</v>
      </c>
      <c r="BM456" s="9">
        <v>0</v>
      </c>
      <c r="BN456" s="9">
        <v>0</v>
      </c>
      <c r="BO456" s="9">
        <v>0</v>
      </c>
      <c r="BP456" s="10">
        <v>0</v>
      </c>
      <c r="BQ456">
        <v>0</v>
      </c>
      <c r="BR456">
        <v>0</v>
      </c>
    </row>
    <row r="457" spans="1:70" x14ac:dyDescent="0.35">
      <c r="A457" s="8" t="s">
        <v>494</v>
      </c>
      <c r="B457" s="9" t="s">
        <v>1260</v>
      </c>
      <c r="C457" s="10" t="s">
        <v>1261</v>
      </c>
      <c r="D457" s="34">
        <f t="shared" si="9"/>
        <v>0</v>
      </c>
      <c r="E457" s="9">
        <v>0</v>
      </c>
      <c r="F457" s="9">
        <v>0</v>
      </c>
      <c r="G457" s="9">
        <v>0</v>
      </c>
      <c r="H457" s="9">
        <v>0</v>
      </c>
      <c r="I457" s="9">
        <v>0</v>
      </c>
      <c r="J457" s="9">
        <v>0</v>
      </c>
      <c r="K457" s="9">
        <v>0</v>
      </c>
      <c r="L457" s="9">
        <v>0</v>
      </c>
      <c r="M457" s="9">
        <v>0</v>
      </c>
      <c r="N457" s="9">
        <v>0</v>
      </c>
      <c r="O457" s="9">
        <v>0</v>
      </c>
      <c r="P457" s="9">
        <v>0</v>
      </c>
      <c r="Q457" s="9">
        <v>0</v>
      </c>
      <c r="R457" s="9">
        <v>0</v>
      </c>
      <c r="S457" s="9">
        <v>0</v>
      </c>
      <c r="T457" s="9">
        <v>0</v>
      </c>
      <c r="U457" s="9">
        <v>0</v>
      </c>
      <c r="V457" s="9">
        <v>0</v>
      </c>
      <c r="W457" s="9">
        <v>0</v>
      </c>
      <c r="X457" s="9">
        <v>0</v>
      </c>
      <c r="Y457" s="9">
        <v>0</v>
      </c>
      <c r="Z457" s="9">
        <v>0</v>
      </c>
      <c r="AA457" s="9">
        <v>0</v>
      </c>
      <c r="AB457" s="9">
        <v>0</v>
      </c>
      <c r="AC457" s="9">
        <v>0</v>
      </c>
      <c r="AD457" s="9">
        <v>0</v>
      </c>
      <c r="AE457" s="9">
        <v>0</v>
      </c>
      <c r="AF457" s="9">
        <v>0</v>
      </c>
      <c r="AG457" s="9">
        <v>0</v>
      </c>
      <c r="AH457" s="9">
        <v>0</v>
      </c>
      <c r="AI457" s="9">
        <v>0</v>
      </c>
      <c r="AJ457" s="9">
        <v>0</v>
      </c>
      <c r="AK457" s="9">
        <v>0</v>
      </c>
      <c r="AL457" s="9">
        <v>0</v>
      </c>
      <c r="AM457" s="9">
        <v>0</v>
      </c>
      <c r="AN457" s="9">
        <v>0</v>
      </c>
      <c r="AO457" s="9">
        <v>0</v>
      </c>
      <c r="AP457" s="9">
        <v>0</v>
      </c>
      <c r="AQ457" s="9">
        <v>0</v>
      </c>
      <c r="AR457" s="9">
        <v>0</v>
      </c>
      <c r="AS457" s="9">
        <v>0</v>
      </c>
      <c r="AT457" s="9">
        <v>0</v>
      </c>
      <c r="AU457" s="9">
        <v>0</v>
      </c>
      <c r="AV457" s="9">
        <v>0</v>
      </c>
      <c r="AW457" s="9">
        <v>0</v>
      </c>
      <c r="AX457" s="9">
        <v>0</v>
      </c>
      <c r="AY457" s="9">
        <v>0</v>
      </c>
      <c r="AZ457" s="9">
        <v>0</v>
      </c>
      <c r="BA457" s="9">
        <v>0</v>
      </c>
      <c r="BB457" s="9">
        <v>0</v>
      </c>
      <c r="BC457" s="9">
        <v>0</v>
      </c>
      <c r="BD457" s="9">
        <v>0</v>
      </c>
      <c r="BE457" s="9">
        <v>0</v>
      </c>
      <c r="BF457" s="9">
        <v>0</v>
      </c>
      <c r="BG457" s="9">
        <v>0</v>
      </c>
      <c r="BH457" s="9">
        <v>0</v>
      </c>
      <c r="BI457" s="9">
        <v>0</v>
      </c>
      <c r="BJ457" s="9">
        <v>0</v>
      </c>
      <c r="BK457" s="9">
        <v>0</v>
      </c>
      <c r="BL457" s="9">
        <v>0</v>
      </c>
      <c r="BM457" s="9">
        <v>0</v>
      </c>
      <c r="BN457" s="9">
        <v>0</v>
      </c>
      <c r="BO457" s="9">
        <v>0</v>
      </c>
      <c r="BP457" s="10">
        <v>0</v>
      </c>
      <c r="BQ457">
        <v>0</v>
      </c>
      <c r="BR457">
        <v>0</v>
      </c>
    </row>
    <row r="458" spans="1:70" x14ac:dyDescent="0.35">
      <c r="A458" s="8" t="s">
        <v>494</v>
      </c>
      <c r="B458" s="9" t="s">
        <v>1262</v>
      </c>
      <c r="C458" s="10" t="s">
        <v>1263</v>
      </c>
      <c r="D458" s="34">
        <f t="shared" si="9"/>
        <v>0</v>
      </c>
      <c r="E458" s="9">
        <v>0</v>
      </c>
      <c r="F458" s="9">
        <v>0</v>
      </c>
      <c r="G458" s="9">
        <v>0</v>
      </c>
      <c r="H458" s="9">
        <v>0</v>
      </c>
      <c r="I458" s="9">
        <v>0</v>
      </c>
      <c r="J458" s="9">
        <v>0</v>
      </c>
      <c r="K458" s="9">
        <v>0</v>
      </c>
      <c r="L458" s="9">
        <v>0</v>
      </c>
      <c r="M458" s="9">
        <v>0</v>
      </c>
      <c r="N458" s="9">
        <v>0</v>
      </c>
      <c r="O458" s="9">
        <v>0</v>
      </c>
      <c r="P458" s="9">
        <v>0</v>
      </c>
      <c r="Q458" s="9">
        <v>0</v>
      </c>
      <c r="R458" s="9">
        <v>0</v>
      </c>
      <c r="S458" s="9">
        <v>0</v>
      </c>
      <c r="T458" s="9">
        <v>0</v>
      </c>
      <c r="U458" s="9">
        <v>0</v>
      </c>
      <c r="V458" s="9">
        <v>0</v>
      </c>
      <c r="W458" s="9">
        <v>0</v>
      </c>
      <c r="X458" s="9">
        <v>0</v>
      </c>
      <c r="Y458" s="9">
        <v>0</v>
      </c>
      <c r="Z458" s="9">
        <v>0</v>
      </c>
      <c r="AA458" s="9">
        <v>0</v>
      </c>
      <c r="AB458" s="9">
        <v>0</v>
      </c>
      <c r="AC458" s="9">
        <v>0</v>
      </c>
      <c r="AD458" s="9">
        <v>0</v>
      </c>
      <c r="AE458" s="9">
        <v>0</v>
      </c>
      <c r="AF458" s="9">
        <v>0</v>
      </c>
      <c r="AG458" s="9">
        <v>0</v>
      </c>
      <c r="AH458" s="9">
        <v>0</v>
      </c>
      <c r="AI458" s="9">
        <v>0</v>
      </c>
      <c r="AJ458" s="9">
        <v>0</v>
      </c>
      <c r="AK458" s="9">
        <v>0</v>
      </c>
      <c r="AL458" s="9">
        <v>0</v>
      </c>
      <c r="AM458" s="9">
        <v>0</v>
      </c>
      <c r="AN458" s="9">
        <v>0</v>
      </c>
      <c r="AO458" s="9">
        <v>0</v>
      </c>
      <c r="AP458" s="9">
        <v>0</v>
      </c>
      <c r="AQ458" s="9">
        <v>0</v>
      </c>
      <c r="AR458" s="9">
        <v>0</v>
      </c>
      <c r="AS458" s="9">
        <v>0</v>
      </c>
      <c r="AT458" s="9">
        <v>0</v>
      </c>
      <c r="AU458" s="9">
        <v>0</v>
      </c>
      <c r="AV458" s="9">
        <v>0</v>
      </c>
      <c r="AW458" s="9">
        <v>0</v>
      </c>
      <c r="AX458" s="9">
        <v>0</v>
      </c>
      <c r="AY458" s="9">
        <v>0</v>
      </c>
      <c r="AZ458" s="9">
        <v>0</v>
      </c>
      <c r="BA458" s="9">
        <v>0</v>
      </c>
      <c r="BB458" s="9">
        <v>0</v>
      </c>
      <c r="BC458" s="9">
        <v>0</v>
      </c>
      <c r="BD458" s="9">
        <v>0</v>
      </c>
      <c r="BE458" s="9">
        <v>0</v>
      </c>
      <c r="BF458" s="9">
        <v>0</v>
      </c>
      <c r="BG458" s="9">
        <v>0</v>
      </c>
      <c r="BH458" s="9">
        <v>0</v>
      </c>
      <c r="BI458" s="9">
        <v>0</v>
      </c>
      <c r="BJ458" s="9">
        <v>0</v>
      </c>
      <c r="BK458" s="9">
        <v>0</v>
      </c>
      <c r="BL458" s="9">
        <v>0</v>
      </c>
      <c r="BM458" s="9">
        <v>0</v>
      </c>
      <c r="BN458" s="9">
        <v>0</v>
      </c>
      <c r="BO458" s="9">
        <v>0</v>
      </c>
      <c r="BP458" s="10">
        <v>0</v>
      </c>
      <c r="BQ458">
        <v>0</v>
      </c>
      <c r="BR458">
        <v>0</v>
      </c>
    </row>
    <row r="459" spans="1:70" x14ac:dyDescent="0.35">
      <c r="A459" s="8" t="s">
        <v>494</v>
      </c>
      <c r="B459" s="9" t="s">
        <v>1264</v>
      </c>
      <c r="C459" s="10" t="s">
        <v>1265</v>
      </c>
      <c r="D459" s="34">
        <f t="shared" si="9"/>
        <v>0</v>
      </c>
      <c r="E459" s="9">
        <v>0</v>
      </c>
      <c r="F459" s="9">
        <v>0</v>
      </c>
      <c r="G459" s="9">
        <v>0</v>
      </c>
      <c r="H459" s="9">
        <v>0</v>
      </c>
      <c r="I459" s="9">
        <v>0</v>
      </c>
      <c r="J459" s="9">
        <v>0</v>
      </c>
      <c r="K459" s="9">
        <v>0</v>
      </c>
      <c r="L459" s="9">
        <v>0</v>
      </c>
      <c r="M459" s="9">
        <v>0</v>
      </c>
      <c r="N459" s="9">
        <v>0</v>
      </c>
      <c r="O459" s="9">
        <v>0</v>
      </c>
      <c r="P459" s="9">
        <v>0</v>
      </c>
      <c r="Q459" s="9">
        <v>0</v>
      </c>
      <c r="R459" s="9">
        <v>0</v>
      </c>
      <c r="S459" s="9">
        <v>0</v>
      </c>
      <c r="T459" s="9">
        <v>0</v>
      </c>
      <c r="U459" s="9">
        <v>0</v>
      </c>
      <c r="V459" s="9">
        <v>0</v>
      </c>
      <c r="W459" s="9">
        <v>0</v>
      </c>
      <c r="X459" s="9">
        <v>0</v>
      </c>
      <c r="Y459" s="9">
        <v>0</v>
      </c>
      <c r="Z459" s="9">
        <v>0</v>
      </c>
      <c r="AA459" s="9">
        <v>0</v>
      </c>
      <c r="AB459" s="9">
        <v>0</v>
      </c>
      <c r="AC459" s="9">
        <v>0</v>
      </c>
      <c r="AD459" s="9">
        <v>0</v>
      </c>
      <c r="AE459" s="9">
        <v>0</v>
      </c>
      <c r="AF459" s="9">
        <v>0</v>
      </c>
      <c r="AG459" s="9">
        <v>0</v>
      </c>
      <c r="AH459" s="9">
        <v>0</v>
      </c>
      <c r="AI459" s="9">
        <v>0</v>
      </c>
      <c r="AJ459" s="9">
        <v>0</v>
      </c>
      <c r="AK459" s="9">
        <v>0</v>
      </c>
      <c r="AL459" s="9">
        <v>0</v>
      </c>
      <c r="AM459" s="9">
        <v>0</v>
      </c>
      <c r="AN459" s="9">
        <v>0</v>
      </c>
      <c r="AO459" s="9">
        <v>0</v>
      </c>
      <c r="AP459" s="9">
        <v>0</v>
      </c>
      <c r="AQ459" s="9">
        <v>0</v>
      </c>
      <c r="AR459" s="9">
        <v>0</v>
      </c>
      <c r="AS459" s="9">
        <v>0</v>
      </c>
      <c r="AT459" s="9">
        <v>0</v>
      </c>
      <c r="AU459" s="9">
        <v>0</v>
      </c>
      <c r="AV459" s="9">
        <v>0</v>
      </c>
      <c r="AW459" s="9">
        <v>0</v>
      </c>
      <c r="AX459" s="9">
        <v>0</v>
      </c>
      <c r="AY459" s="9">
        <v>0</v>
      </c>
      <c r="AZ459" s="9">
        <v>0</v>
      </c>
      <c r="BA459" s="9">
        <v>0</v>
      </c>
      <c r="BB459" s="9">
        <v>0</v>
      </c>
      <c r="BC459" s="9">
        <v>0</v>
      </c>
      <c r="BD459" s="9">
        <v>0</v>
      </c>
      <c r="BE459" s="9">
        <v>0</v>
      </c>
      <c r="BF459" s="9">
        <v>0</v>
      </c>
      <c r="BG459" s="9">
        <v>0</v>
      </c>
      <c r="BH459" s="9">
        <v>0</v>
      </c>
      <c r="BI459" s="9">
        <v>0</v>
      </c>
      <c r="BJ459" s="9">
        <v>0</v>
      </c>
      <c r="BK459" s="9">
        <v>0</v>
      </c>
      <c r="BL459" s="9">
        <v>0</v>
      </c>
      <c r="BM459" s="9">
        <v>0</v>
      </c>
      <c r="BN459" s="9">
        <v>0</v>
      </c>
      <c r="BO459" s="9">
        <v>0</v>
      </c>
      <c r="BP459" s="10">
        <v>0</v>
      </c>
      <c r="BQ459">
        <v>0</v>
      </c>
      <c r="BR459">
        <v>0</v>
      </c>
    </row>
    <row r="460" spans="1:70" x14ac:dyDescent="0.35">
      <c r="A460" s="8" t="s">
        <v>494</v>
      </c>
      <c r="B460" s="9" t="s">
        <v>1266</v>
      </c>
      <c r="C460" s="10" t="s">
        <v>1267</v>
      </c>
      <c r="D460" s="34">
        <f t="shared" si="9"/>
        <v>0</v>
      </c>
      <c r="E460" s="9">
        <v>0</v>
      </c>
      <c r="F460" s="9">
        <v>0</v>
      </c>
      <c r="G460" s="9">
        <v>0</v>
      </c>
      <c r="H460" s="9">
        <v>0</v>
      </c>
      <c r="I460" s="9">
        <v>0</v>
      </c>
      <c r="J460" s="9">
        <v>0</v>
      </c>
      <c r="K460" s="9">
        <v>0</v>
      </c>
      <c r="L460" s="9">
        <v>0</v>
      </c>
      <c r="M460" s="9">
        <v>0</v>
      </c>
      <c r="N460" s="9">
        <v>0</v>
      </c>
      <c r="O460" s="9">
        <v>0</v>
      </c>
      <c r="P460" s="9">
        <v>0</v>
      </c>
      <c r="Q460" s="9">
        <v>0</v>
      </c>
      <c r="R460" s="9">
        <v>0</v>
      </c>
      <c r="S460" s="9">
        <v>0</v>
      </c>
      <c r="T460" s="9">
        <v>0</v>
      </c>
      <c r="U460" s="9">
        <v>0</v>
      </c>
      <c r="V460" s="9">
        <v>0</v>
      </c>
      <c r="W460" s="9">
        <v>0</v>
      </c>
      <c r="X460" s="9">
        <v>0</v>
      </c>
      <c r="Y460" s="9">
        <v>0</v>
      </c>
      <c r="Z460" s="9">
        <v>0</v>
      </c>
      <c r="AA460" s="9">
        <v>0</v>
      </c>
      <c r="AB460" s="9">
        <v>0</v>
      </c>
      <c r="AC460" s="9">
        <v>0</v>
      </c>
      <c r="AD460" s="9">
        <v>0</v>
      </c>
      <c r="AE460" s="9">
        <v>0</v>
      </c>
      <c r="AF460" s="9">
        <v>0</v>
      </c>
      <c r="AG460" s="9">
        <v>0</v>
      </c>
      <c r="AH460" s="9">
        <v>0</v>
      </c>
      <c r="AI460" s="9">
        <v>0</v>
      </c>
      <c r="AJ460" s="9">
        <v>0</v>
      </c>
      <c r="AK460" s="9">
        <v>0</v>
      </c>
      <c r="AL460" s="9">
        <v>0</v>
      </c>
      <c r="AM460" s="9">
        <v>0</v>
      </c>
      <c r="AN460" s="9">
        <v>0</v>
      </c>
      <c r="AO460" s="9">
        <v>0</v>
      </c>
      <c r="AP460" s="9">
        <v>0</v>
      </c>
      <c r="AQ460" s="9">
        <v>0</v>
      </c>
      <c r="AR460" s="9">
        <v>0</v>
      </c>
      <c r="AS460" s="9">
        <v>0</v>
      </c>
      <c r="AT460" s="9">
        <v>0</v>
      </c>
      <c r="AU460" s="9">
        <v>0</v>
      </c>
      <c r="AV460" s="9">
        <v>0</v>
      </c>
      <c r="AW460" s="9">
        <v>0</v>
      </c>
      <c r="AX460" s="9">
        <v>0</v>
      </c>
      <c r="AY460" s="9">
        <v>0</v>
      </c>
      <c r="AZ460" s="9">
        <v>0</v>
      </c>
      <c r="BA460" s="9">
        <v>0</v>
      </c>
      <c r="BB460" s="9">
        <v>0</v>
      </c>
      <c r="BC460" s="9">
        <v>0</v>
      </c>
      <c r="BD460" s="9">
        <v>0</v>
      </c>
      <c r="BE460" s="9">
        <v>0</v>
      </c>
      <c r="BF460" s="9">
        <v>0</v>
      </c>
      <c r="BG460" s="9">
        <v>0</v>
      </c>
      <c r="BH460" s="9">
        <v>0</v>
      </c>
      <c r="BI460" s="9">
        <v>0</v>
      </c>
      <c r="BJ460" s="9">
        <v>0</v>
      </c>
      <c r="BK460" s="9">
        <v>0</v>
      </c>
      <c r="BL460" s="9">
        <v>0</v>
      </c>
      <c r="BM460" s="9">
        <v>0</v>
      </c>
      <c r="BN460" s="9">
        <v>0</v>
      </c>
      <c r="BO460" s="9">
        <v>0</v>
      </c>
      <c r="BP460" s="10">
        <v>0</v>
      </c>
      <c r="BQ460">
        <v>0</v>
      </c>
      <c r="BR460">
        <v>0</v>
      </c>
    </row>
    <row r="461" spans="1:70" x14ac:dyDescent="0.35">
      <c r="A461" s="8" t="s">
        <v>494</v>
      </c>
      <c r="B461" s="9" t="s">
        <v>1268</v>
      </c>
      <c r="C461" s="10" t="s">
        <v>1269</v>
      </c>
      <c r="D461" s="34">
        <f t="shared" si="9"/>
        <v>0</v>
      </c>
      <c r="E461" s="9">
        <v>0</v>
      </c>
      <c r="F461" s="9">
        <v>0</v>
      </c>
      <c r="G461" s="9">
        <v>0</v>
      </c>
      <c r="H461" s="9">
        <v>0</v>
      </c>
      <c r="I461" s="9">
        <v>0</v>
      </c>
      <c r="J461" s="9">
        <v>0</v>
      </c>
      <c r="K461" s="9">
        <v>0</v>
      </c>
      <c r="L461" s="9">
        <v>0</v>
      </c>
      <c r="M461" s="9">
        <v>0</v>
      </c>
      <c r="N461" s="9">
        <v>0</v>
      </c>
      <c r="O461" s="9">
        <v>0</v>
      </c>
      <c r="P461" s="9">
        <v>0</v>
      </c>
      <c r="Q461" s="9">
        <v>0</v>
      </c>
      <c r="R461" s="9">
        <v>0</v>
      </c>
      <c r="S461" s="9">
        <v>0</v>
      </c>
      <c r="T461" s="9">
        <v>0</v>
      </c>
      <c r="U461" s="9">
        <v>0</v>
      </c>
      <c r="V461" s="9">
        <v>0</v>
      </c>
      <c r="W461" s="9">
        <v>0</v>
      </c>
      <c r="X461" s="9">
        <v>0</v>
      </c>
      <c r="Y461" s="9">
        <v>0</v>
      </c>
      <c r="Z461" s="9">
        <v>0</v>
      </c>
      <c r="AA461" s="9">
        <v>0</v>
      </c>
      <c r="AB461" s="9">
        <v>0</v>
      </c>
      <c r="AC461" s="9">
        <v>0</v>
      </c>
      <c r="AD461" s="9">
        <v>0</v>
      </c>
      <c r="AE461" s="9">
        <v>0</v>
      </c>
      <c r="AF461" s="9">
        <v>0</v>
      </c>
      <c r="AG461" s="9">
        <v>0</v>
      </c>
      <c r="AH461" s="9">
        <v>0</v>
      </c>
      <c r="AI461" s="9">
        <v>0</v>
      </c>
      <c r="AJ461" s="9">
        <v>0</v>
      </c>
      <c r="AK461" s="9">
        <v>0</v>
      </c>
      <c r="AL461" s="9">
        <v>0</v>
      </c>
      <c r="AM461" s="9">
        <v>0</v>
      </c>
      <c r="AN461" s="9">
        <v>0</v>
      </c>
      <c r="AO461" s="9">
        <v>0</v>
      </c>
      <c r="AP461" s="9">
        <v>0</v>
      </c>
      <c r="AQ461" s="9">
        <v>0</v>
      </c>
      <c r="AR461" s="9">
        <v>0</v>
      </c>
      <c r="AS461" s="9">
        <v>0</v>
      </c>
      <c r="AT461" s="9">
        <v>0</v>
      </c>
      <c r="AU461" s="9">
        <v>0</v>
      </c>
      <c r="AV461" s="9">
        <v>0</v>
      </c>
      <c r="AW461" s="9">
        <v>0</v>
      </c>
      <c r="AX461" s="9">
        <v>0</v>
      </c>
      <c r="AY461" s="9">
        <v>0</v>
      </c>
      <c r="AZ461" s="9">
        <v>0</v>
      </c>
      <c r="BA461" s="9">
        <v>0</v>
      </c>
      <c r="BB461" s="9">
        <v>0</v>
      </c>
      <c r="BC461" s="9">
        <v>0</v>
      </c>
      <c r="BD461" s="9">
        <v>0</v>
      </c>
      <c r="BE461" s="9">
        <v>0</v>
      </c>
      <c r="BF461" s="9">
        <v>0</v>
      </c>
      <c r="BG461" s="9">
        <v>0</v>
      </c>
      <c r="BH461" s="9">
        <v>0</v>
      </c>
      <c r="BI461" s="9">
        <v>0</v>
      </c>
      <c r="BJ461" s="9">
        <v>0</v>
      </c>
      <c r="BK461" s="9">
        <v>0</v>
      </c>
      <c r="BL461" s="9">
        <v>0</v>
      </c>
      <c r="BM461" s="9">
        <v>0</v>
      </c>
      <c r="BN461" s="9">
        <v>0</v>
      </c>
      <c r="BO461" s="9">
        <v>0</v>
      </c>
      <c r="BP461" s="10">
        <v>0</v>
      </c>
      <c r="BQ461">
        <v>0</v>
      </c>
      <c r="BR461">
        <v>0</v>
      </c>
    </row>
    <row r="462" spans="1:70" x14ac:dyDescent="0.35">
      <c r="A462" s="8" t="s">
        <v>494</v>
      </c>
      <c r="B462" s="9" t="s">
        <v>1270</v>
      </c>
      <c r="C462" s="10" t="s">
        <v>1271</v>
      </c>
      <c r="D462" s="34">
        <f t="shared" si="9"/>
        <v>0</v>
      </c>
      <c r="E462" s="9">
        <v>0</v>
      </c>
      <c r="F462" s="9">
        <v>0</v>
      </c>
      <c r="G462" s="9">
        <v>0</v>
      </c>
      <c r="H462" s="9">
        <v>0</v>
      </c>
      <c r="I462" s="9">
        <v>0</v>
      </c>
      <c r="J462" s="9">
        <v>0</v>
      </c>
      <c r="K462" s="9">
        <v>0</v>
      </c>
      <c r="L462" s="9">
        <v>0</v>
      </c>
      <c r="M462" s="9">
        <v>0</v>
      </c>
      <c r="N462" s="9">
        <v>0</v>
      </c>
      <c r="O462" s="9">
        <v>0</v>
      </c>
      <c r="P462" s="9">
        <v>0</v>
      </c>
      <c r="Q462" s="9">
        <v>0</v>
      </c>
      <c r="R462" s="9">
        <v>0</v>
      </c>
      <c r="S462" s="9">
        <v>0</v>
      </c>
      <c r="T462" s="9">
        <v>0</v>
      </c>
      <c r="U462" s="9">
        <v>0</v>
      </c>
      <c r="V462" s="9">
        <v>0</v>
      </c>
      <c r="W462" s="9">
        <v>0</v>
      </c>
      <c r="X462" s="9">
        <v>0</v>
      </c>
      <c r="Y462" s="9">
        <v>0</v>
      </c>
      <c r="Z462" s="9">
        <v>0</v>
      </c>
      <c r="AA462" s="9">
        <v>0</v>
      </c>
      <c r="AB462" s="9">
        <v>0</v>
      </c>
      <c r="AC462" s="9">
        <v>0</v>
      </c>
      <c r="AD462" s="9">
        <v>0</v>
      </c>
      <c r="AE462" s="9">
        <v>0</v>
      </c>
      <c r="AF462" s="9">
        <v>0</v>
      </c>
      <c r="AG462" s="9">
        <v>0</v>
      </c>
      <c r="AH462" s="9">
        <v>0</v>
      </c>
      <c r="AI462" s="9">
        <v>0</v>
      </c>
      <c r="AJ462" s="9">
        <v>0</v>
      </c>
      <c r="AK462" s="9">
        <v>0</v>
      </c>
      <c r="AL462" s="9">
        <v>0</v>
      </c>
      <c r="AM462" s="9">
        <v>0</v>
      </c>
      <c r="AN462" s="9">
        <v>0</v>
      </c>
      <c r="AO462" s="9">
        <v>0</v>
      </c>
      <c r="AP462" s="9">
        <v>0</v>
      </c>
      <c r="AQ462" s="9">
        <v>0</v>
      </c>
      <c r="AR462" s="9">
        <v>0</v>
      </c>
      <c r="AS462" s="9">
        <v>0</v>
      </c>
      <c r="AT462" s="9">
        <v>0</v>
      </c>
      <c r="AU462" s="9">
        <v>0</v>
      </c>
      <c r="AV462" s="9">
        <v>0</v>
      </c>
      <c r="AW462" s="9">
        <v>0</v>
      </c>
      <c r="AX462" s="9">
        <v>0</v>
      </c>
      <c r="AY462" s="9">
        <v>0</v>
      </c>
      <c r="AZ462" s="9">
        <v>0</v>
      </c>
      <c r="BA462" s="9">
        <v>0</v>
      </c>
      <c r="BB462" s="9">
        <v>0</v>
      </c>
      <c r="BC462" s="9">
        <v>0</v>
      </c>
      <c r="BD462" s="9">
        <v>0</v>
      </c>
      <c r="BE462" s="9">
        <v>0</v>
      </c>
      <c r="BF462" s="9">
        <v>0</v>
      </c>
      <c r="BG462" s="9">
        <v>0</v>
      </c>
      <c r="BH462" s="9">
        <v>0</v>
      </c>
      <c r="BI462" s="9">
        <v>0</v>
      </c>
      <c r="BJ462" s="9">
        <v>0</v>
      </c>
      <c r="BK462" s="9">
        <v>0</v>
      </c>
      <c r="BL462" s="9">
        <v>0</v>
      </c>
      <c r="BM462" s="9">
        <v>0</v>
      </c>
      <c r="BN462" s="9">
        <v>0</v>
      </c>
      <c r="BO462" s="9">
        <v>0</v>
      </c>
      <c r="BP462" s="10">
        <v>0</v>
      </c>
      <c r="BQ462">
        <v>0</v>
      </c>
      <c r="BR462">
        <v>0</v>
      </c>
    </row>
    <row r="463" spans="1:70" x14ac:dyDescent="0.35">
      <c r="A463" s="8" t="s">
        <v>494</v>
      </c>
      <c r="B463" s="9" t="s">
        <v>1272</v>
      </c>
      <c r="C463" s="10" t="s">
        <v>1273</v>
      </c>
      <c r="D463" s="34">
        <f t="shared" si="9"/>
        <v>0</v>
      </c>
      <c r="E463" s="9">
        <v>0</v>
      </c>
      <c r="F463" s="9">
        <v>0</v>
      </c>
      <c r="G463" s="9">
        <v>0</v>
      </c>
      <c r="H463" s="9">
        <v>0</v>
      </c>
      <c r="I463" s="9">
        <v>0</v>
      </c>
      <c r="J463" s="9">
        <v>0</v>
      </c>
      <c r="K463" s="9">
        <v>0</v>
      </c>
      <c r="L463" s="9">
        <v>0</v>
      </c>
      <c r="M463" s="9">
        <v>0</v>
      </c>
      <c r="N463" s="9">
        <v>0</v>
      </c>
      <c r="O463" s="9">
        <v>0</v>
      </c>
      <c r="P463" s="9">
        <v>0</v>
      </c>
      <c r="Q463" s="9">
        <v>0</v>
      </c>
      <c r="R463" s="9">
        <v>0</v>
      </c>
      <c r="S463" s="9">
        <v>0</v>
      </c>
      <c r="T463" s="9">
        <v>0</v>
      </c>
      <c r="U463" s="9">
        <v>0</v>
      </c>
      <c r="V463" s="9">
        <v>0</v>
      </c>
      <c r="W463" s="9">
        <v>0</v>
      </c>
      <c r="X463" s="9">
        <v>0</v>
      </c>
      <c r="Y463" s="9">
        <v>0</v>
      </c>
      <c r="Z463" s="9">
        <v>0</v>
      </c>
      <c r="AA463" s="9">
        <v>0</v>
      </c>
      <c r="AB463" s="9">
        <v>0</v>
      </c>
      <c r="AC463" s="9">
        <v>0</v>
      </c>
      <c r="AD463" s="9">
        <v>0</v>
      </c>
      <c r="AE463" s="9">
        <v>0</v>
      </c>
      <c r="AF463" s="9">
        <v>0</v>
      </c>
      <c r="AG463" s="9">
        <v>0</v>
      </c>
      <c r="AH463" s="9">
        <v>0</v>
      </c>
      <c r="AI463" s="9">
        <v>0</v>
      </c>
      <c r="AJ463" s="9">
        <v>0</v>
      </c>
      <c r="AK463" s="9">
        <v>0</v>
      </c>
      <c r="AL463" s="9">
        <v>0</v>
      </c>
      <c r="AM463" s="9">
        <v>0</v>
      </c>
      <c r="AN463" s="9">
        <v>0</v>
      </c>
      <c r="AO463" s="9">
        <v>0</v>
      </c>
      <c r="AP463" s="9">
        <v>0</v>
      </c>
      <c r="AQ463" s="9">
        <v>0</v>
      </c>
      <c r="AR463" s="9">
        <v>0</v>
      </c>
      <c r="AS463" s="9">
        <v>0</v>
      </c>
      <c r="AT463" s="9">
        <v>0</v>
      </c>
      <c r="AU463" s="9">
        <v>0</v>
      </c>
      <c r="AV463" s="9">
        <v>0</v>
      </c>
      <c r="AW463" s="9">
        <v>0</v>
      </c>
      <c r="AX463" s="9">
        <v>0</v>
      </c>
      <c r="AY463" s="9">
        <v>0</v>
      </c>
      <c r="AZ463" s="9">
        <v>0</v>
      </c>
      <c r="BA463" s="9">
        <v>0</v>
      </c>
      <c r="BB463" s="9">
        <v>0</v>
      </c>
      <c r="BC463" s="9">
        <v>0</v>
      </c>
      <c r="BD463" s="9">
        <v>0</v>
      </c>
      <c r="BE463" s="9">
        <v>0</v>
      </c>
      <c r="BF463" s="9">
        <v>0</v>
      </c>
      <c r="BG463" s="9">
        <v>0</v>
      </c>
      <c r="BH463" s="9">
        <v>0</v>
      </c>
      <c r="BI463" s="9">
        <v>0</v>
      </c>
      <c r="BJ463" s="9">
        <v>0</v>
      </c>
      <c r="BK463" s="9">
        <v>0</v>
      </c>
      <c r="BL463" s="9">
        <v>0</v>
      </c>
      <c r="BM463" s="9">
        <v>0</v>
      </c>
      <c r="BN463" s="9">
        <v>0</v>
      </c>
      <c r="BO463" s="9">
        <v>0</v>
      </c>
      <c r="BP463" s="10">
        <v>0</v>
      </c>
      <c r="BQ463">
        <v>0</v>
      </c>
      <c r="BR463">
        <v>0</v>
      </c>
    </row>
    <row r="464" spans="1:70" x14ac:dyDescent="0.35">
      <c r="A464" s="8" t="s">
        <v>494</v>
      </c>
      <c r="B464" s="9" t="s">
        <v>1274</v>
      </c>
      <c r="C464" s="10" t="s">
        <v>1275</v>
      </c>
      <c r="D464" s="34">
        <f t="shared" si="9"/>
        <v>0</v>
      </c>
      <c r="E464" s="9">
        <v>0</v>
      </c>
      <c r="F464" s="9">
        <v>0</v>
      </c>
      <c r="G464" s="9">
        <v>0</v>
      </c>
      <c r="H464" s="9">
        <v>0</v>
      </c>
      <c r="I464" s="9">
        <v>0</v>
      </c>
      <c r="J464" s="9">
        <v>0</v>
      </c>
      <c r="K464" s="9">
        <v>0</v>
      </c>
      <c r="L464" s="9">
        <v>0</v>
      </c>
      <c r="M464" s="9">
        <v>0</v>
      </c>
      <c r="N464" s="9">
        <v>0</v>
      </c>
      <c r="O464" s="9">
        <v>0</v>
      </c>
      <c r="P464" s="9">
        <v>0</v>
      </c>
      <c r="Q464" s="9">
        <v>0</v>
      </c>
      <c r="R464" s="9">
        <v>0</v>
      </c>
      <c r="S464" s="9">
        <v>0</v>
      </c>
      <c r="T464" s="9">
        <v>0</v>
      </c>
      <c r="U464" s="9">
        <v>0</v>
      </c>
      <c r="V464" s="9">
        <v>0</v>
      </c>
      <c r="W464" s="9">
        <v>0</v>
      </c>
      <c r="X464" s="9">
        <v>0</v>
      </c>
      <c r="Y464" s="9">
        <v>0</v>
      </c>
      <c r="Z464" s="9">
        <v>0</v>
      </c>
      <c r="AA464" s="9">
        <v>0</v>
      </c>
      <c r="AB464" s="9">
        <v>0</v>
      </c>
      <c r="AC464" s="9">
        <v>0</v>
      </c>
      <c r="AD464" s="9">
        <v>0</v>
      </c>
      <c r="AE464" s="9">
        <v>0</v>
      </c>
      <c r="AF464" s="9">
        <v>0</v>
      </c>
      <c r="AG464" s="9">
        <v>0</v>
      </c>
      <c r="AH464" s="9">
        <v>0</v>
      </c>
      <c r="AI464" s="9">
        <v>0</v>
      </c>
      <c r="AJ464" s="9">
        <v>0</v>
      </c>
      <c r="AK464" s="9">
        <v>0</v>
      </c>
      <c r="AL464" s="9">
        <v>0</v>
      </c>
      <c r="AM464" s="9">
        <v>0</v>
      </c>
      <c r="AN464" s="9">
        <v>0</v>
      </c>
      <c r="AO464" s="9">
        <v>0</v>
      </c>
      <c r="AP464" s="9">
        <v>0</v>
      </c>
      <c r="AQ464" s="9">
        <v>0</v>
      </c>
      <c r="AR464" s="9">
        <v>0</v>
      </c>
      <c r="AS464" s="9">
        <v>0</v>
      </c>
      <c r="AT464" s="9">
        <v>0</v>
      </c>
      <c r="AU464" s="9">
        <v>0</v>
      </c>
      <c r="AV464" s="9">
        <v>0</v>
      </c>
      <c r="AW464" s="9">
        <v>0</v>
      </c>
      <c r="AX464" s="9">
        <v>0</v>
      </c>
      <c r="AY464" s="9">
        <v>0</v>
      </c>
      <c r="AZ464" s="9">
        <v>0</v>
      </c>
      <c r="BA464" s="9">
        <v>0</v>
      </c>
      <c r="BB464" s="9">
        <v>0</v>
      </c>
      <c r="BC464" s="9">
        <v>0</v>
      </c>
      <c r="BD464" s="9">
        <v>0</v>
      </c>
      <c r="BE464" s="9">
        <v>0</v>
      </c>
      <c r="BF464" s="9">
        <v>0</v>
      </c>
      <c r="BG464" s="9">
        <v>0</v>
      </c>
      <c r="BH464" s="9">
        <v>0</v>
      </c>
      <c r="BI464" s="9">
        <v>0</v>
      </c>
      <c r="BJ464" s="9">
        <v>0</v>
      </c>
      <c r="BK464" s="9">
        <v>0</v>
      </c>
      <c r="BL464" s="9">
        <v>0</v>
      </c>
      <c r="BM464" s="9">
        <v>0</v>
      </c>
      <c r="BN464" s="9">
        <v>0</v>
      </c>
      <c r="BO464" s="9">
        <v>0</v>
      </c>
      <c r="BP464" s="10">
        <v>0</v>
      </c>
      <c r="BQ464">
        <v>0</v>
      </c>
      <c r="BR464">
        <v>0</v>
      </c>
    </row>
    <row r="465" spans="1:70" x14ac:dyDescent="0.35">
      <c r="A465" s="8" t="s">
        <v>494</v>
      </c>
      <c r="B465" s="9" t="s">
        <v>1276</v>
      </c>
      <c r="C465" s="10" t="s">
        <v>1277</v>
      </c>
      <c r="D465" s="34">
        <f t="shared" si="9"/>
        <v>0</v>
      </c>
      <c r="E465" s="9">
        <v>0</v>
      </c>
      <c r="F465" s="9">
        <v>0</v>
      </c>
      <c r="G465" s="9">
        <v>0</v>
      </c>
      <c r="H465" s="9">
        <v>0</v>
      </c>
      <c r="I465" s="9">
        <v>0</v>
      </c>
      <c r="J465" s="9">
        <v>0</v>
      </c>
      <c r="K465" s="9">
        <v>0</v>
      </c>
      <c r="L465" s="9">
        <v>0</v>
      </c>
      <c r="M465" s="9">
        <v>0</v>
      </c>
      <c r="N465" s="9">
        <v>0</v>
      </c>
      <c r="O465" s="9">
        <v>0</v>
      </c>
      <c r="P465" s="9">
        <v>0</v>
      </c>
      <c r="Q465" s="9">
        <v>0</v>
      </c>
      <c r="R465" s="9">
        <v>0</v>
      </c>
      <c r="S465" s="9">
        <v>0</v>
      </c>
      <c r="T465" s="9">
        <v>0</v>
      </c>
      <c r="U465" s="9">
        <v>0</v>
      </c>
      <c r="V465" s="9">
        <v>0</v>
      </c>
      <c r="W465" s="9">
        <v>0</v>
      </c>
      <c r="X465" s="9">
        <v>0</v>
      </c>
      <c r="Y465" s="9">
        <v>0</v>
      </c>
      <c r="Z465" s="9">
        <v>0</v>
      </c>
      <c r="AA465" s="9">
        <v>0</v>
      </c>
      <c r="AB465" s="9">
        <v>0</v>
      </c>
      <c r="AC465" s="9">
        <v>0</v>
      </c>
      <c r="AD465" s="9">
        <v>0</v>
      </c>
      <c r="AE465" s="9">
        <v>0</v>
      </c>
      <c r="AF465" s="9">
        <v>0</v>
      </c>
      <c r="AG465" s="9">
        <v>0</v>
      </c>
      <c r="AH465" s="9">
        <v>0</v>
      </c>
      <c r="AI465" s="9">
        <v>0</v>
      </c>
      <c r="AJ465" s="9">
        <v>0</v>
      </c>
      <c r="AK465" s="9">
        <v>0</v>
      </c>
      <c r="AL465" s="9">
        <v>0</v>
      </c>
      <c r="AM465" s="9">
        <v>0</v>
      </c>
      <c r="AN465" s="9">
        <v>0</v>
      </c>
      <c r="AO465" s="9">
        <v>0</v>
      </c>
      <c r="AP465" s="9">
        <v>0</v>
      </c>
      <c r="AQ465" s="9">
        <v>0</v>
      </c>
      <c r="AR465" s="9">
        <v>0</v>
      </c>
      <c r="AS465" s="9">
        <v>0</v>
      </c>
      <c r="AT465" s="9">
        <v>0</v>
      </c>
      <c r="AU465" s="9">
        <v>0</v>
      </c>
      <c r="AV465" s="9">
        <v>0</v>
      </c>
      <c r="AW465" s="9">
        <v>0</v>
      </c>
      <c r="AX465" s="9">
        <v>0</v>
      </c>
      <c r="AY465" s="9">
        <v>0</v>
      </c>
      <c r="AZ465" s="9">
        <v>0</v>
      </c>
      <c r="BA465" s="9">
        <v>0</v>
      </c>
      <c r="BB465" s="9">
        <v>0</v>
      </c>
      <c r="BC465" s="9">
        <v>0</v>
      </c>
      <c r="BD465" s="9">
        <v>0</v>
      </c>
      <c r="BE465" s="9">
        <v>0</v>
      </c>
      <c r="BF465" s="9">
        <v>0</v>
      </c>
      <c r="BG465" s="9">
        <v>0</v>
      </c>
      <c r="BH465" s="9">
        <v>0</v>
      </c>
      <c r="BI465" s="9">
        <v>0</v>
      </c>
      <c r="BJ465" s="9">
        <v>0</v>
      </c>
      <c r="BK465" s="9">
        <v>0</v>
      </c>
      <c r="BL465" s="9">
        <v>0</v>
      </c>
      <c r="BM465" s="9">
        <v>0</v>
      </c>
      <c r="BN465" s="9">
        <v>0</v>
      </c>
      <c r="BO465" s="9">
        <v>0</v>
      </c>
      <c r="BP465" s="10">
        <v>0</v>
      </c>
      <c r="BQ465">
        <v>0</v>
      </c>
      <c r="BR465">
        <v>0</v>
      </c>
    </row>
    <row r="466" spans="1:70" x14ac:dyDescent="0.35">
      <c r="A466" s="8" t="s">
        <v>494</v>
      </c>
      <c r="B466" s="9" t="s">
        <v>1278</v>
      </c>
      <c r="C466" s="10" t="s">
        <v>1279</v>
      </c>
      <c r="D466" s="34">
        <f t="shared" si="9"/>
        <v>0</v>
      </c>
      <c r="E466" s="9">
        <v>0</v>
      </c>
      <c r="F466" s="9">
        <v>0</v>
      </c>
      <c r="G466" s="9">
        <v>0</v>
      </c>
      <c r="H466" s="9">
        <v>0</v>
      </c>
      <c r="I466" s="9">
        <v>0</v>
      </c>
      <c r="J466" s="9">
        <v>0</v>
      </c>
      <c r="K466" s="9">
        <v>0</v>
      </c>
      <c r="L466" s="9">
        <v>0</v>
      </c>
      <c r="M466" s="9">
        <v>0</v>
      </c>
      <c r="N466" s="9">
        <v>0</v>
      </c>
      <c r="O466" s="9">
        <v>0</v>
      </c>
      <c r="P466" s="9">
        <v>0</v>
      </c>
      <c r="Q466" s="9">
        <v>0</v>
      </c>
      <c r="R466" s="9">
        <v>0</v>
      </c>
      <c r="S466" s="9">
        <v>0</v>
      </c>
      <c r="T466" s="9">
        <v>0</v>
      </c>
      <c r="U466" s="9">
        <v>0</v>
      </c>
      <c r="V466" s="9">
        <v>0</v>
      </c>
      <c r="W466" s="9">
        <v>0</v>
      </c>
      <c r="X466" s="9">
        <v>0</v>
      </c>
      <c r="Y466" s="9">
        <v>0</v>
      </c>
      <c r="Z466" s="9">
        <v>0</v>
      </c>
      <c r="AA466" s="9">
        <v>0</v>
      </c>
      <c r="AB466" s="9">
        <v>0</v>
      </c>
      <c r="AC466" s="9">
        <v>0</v>
      </c>
      <c r="AD466" s="9">
        <v>0</v>
      </c>
      <c r="AE466" s="9">
        <v>0</v>
      </c>
      <c r="AF466" s="9">
        <v>0</v>
      </c>
      <c r="AG466" s="9">
        <v>0</v>
      </c>
      <c r="AH466" s="9">
        <v>0</v>
      </c>
      <c r="AI466" s="9">
        <v>0</v>
      </c>
      <c r="AJ466" s="9">
        <v>0</v>
      </c>
      <c r="AK466" s="9">
        <v>0</v>
      </c>
      <c r="AL466" s="9">
        <v>0</v>
      </c>
      <c r="AM466" s="9">
        <v>0</v>
      </c>
      <c r="AN466" s="9">
        <v>0</v>
      </c>
      <c r="AO466" s="9">
        <v>0</v>
      </c>
      <c r="AP466" s="9">
        <v>0</v>
      </c>
      <c r="AQ466" s="9">
        <v>0</v>
      </c>
      <c r="AR466" s="9">
        <v>0</v>
      </c>
      <c r="AS466" s="9">
        <v>0</v>
      </c>
      <c r="AT466" s="9">
        <v>0</v>
      </c>
      <c r="AU466" s="9">
        <v>0</v>
      </c>
      <c r="AV466" s="9">
        <v>0</v>
      </c>
      <c r="AW466" s="9">
        <v>0</v>
      </c>
      <c r="AX466" s="9">
        <v>0</v>
      </c>
      <c r="AY466" s="9">
        <v>0</v>
      </c>
      <c r="AZ466" s="9">
        <v>0</v>
      </c>
      <c r="BA466" s="9">
        <v>0</v>
      </c>
      <c r="BB466" s="9">
        <v>0</v>
      </c>
      <c r="BC466" s="9">
        <v>0</v>
      </c>
      <c r="BD466" s="9">
        <v>0</v>
      </c>
      <c r="BE466" s="9">
        <v>0</v>
      </c>
      <c r="BF466" s="9">
        <v>0</v>
      </c>
      <c r="BG466" s="9">
        <v>0</v>
      </c>
      <c r="BH466" s="9">
        <v>0</v>
      </c>
      <c r="BI466" s="9">
        <v>0</v>
      </c>
      <c r="BJ466" s="9">
        <v>0</v>
      </c>
      <c r="BK466" s="9">
        <v>0</v>
      </c>
      <c r="BL466" s="9">
        <v>0</v>
      </c>
      <c r="BM466" s="9">
        <v>0</v>
      </c>
      <c r="BN466" s="9">
        <v>0</v>
      </c>
      <c r="BO466" s="9">
        <v>0</v>
      </c>
      <c r="BP466" s="10">
        <v>0</v>
      </c>
      <c r="BQ466">
        <v>0</v>
      </c>
      <c r="BR466">
        <v>0</v>
      </c>
    </row>
    <row r="467" spans="1:70" x14ac:dyDescent="0.35">
      <c r="A467" s="8" t="s">
        <v>494</v>
      </c>
      <c r="B467" s="9" t="s">
        <v>1280</v>
      </c>
      <c r="C467" s="10" t="s">
        <v>1281</v>
      </c>
      <c r="D467" s="34">
        <f t="shared" si="9"/>
        <v>0</v>
      </c>
      <c r="E467" s="9">
        <v>0</v>
      </c>
      <c r="F467" s="9">
        <v>0</v>
      </c>
      <c r="G467" s="9">
        <v>0</v>
      </c>
      <c r="H467" s="9">
        <v>0</v>
      </c>
      <c r="I467" s="9">
        <v>0</v>
      </c>
      <c r="J467" s="9">
        <v>0</v>
      </c>
      <c r="K467" s="9">
        <v>0</v>
      </c>
      <c r="L467" s="9">
        <v>0</v>
      </c>
      <c r="M467" s="9">
        <v>0</v>
      </c>
      <c r="N467" s="9">
        <v>0</v>
      </c>
      <c r="O467" s="9">
        <v>0</v>
      </c>
      <c r="P467" s="9">
        <v>0</v>
      </c>
      <c r="Q467" s="9">
        <v>0</v>
      </c>
      <c r="R467" s="9">
        <v>0</v>
      </c>
      <c r="S467" s="9">
        <v>0</v>
      </c>
      <c r="T467" s="9">
        <v>0</v>
      </c>
      <c r="U467" s="9">
        <v>0</v>
      </c>
      <c r="V467" s="9">
        <v>0</v>
      </c>
      <c r="W467" s="9">
        <v>0</v>
      </c>
      <c r="X467" s="9">
        <v>0</v>
      </c>
      <c r="Y467" s="9">
        <v>0</v>
      </c>
      <c r="Z467" s="9">
        <v>0</v>
      </c>
      <c r="AA467" s="9">
        <v>0</v>
      </c>
      <c r="AB467" s="9">
        <v>0</v>
      </c>
      <c r="AC467" s="9">
        <v>0</v>
      </c>
      <c r="AD467" s="9">
        <v>0</v>
      </c>
      <c r="AE467" s="9">
        <v>0</v>
      </c>
      <c r="AF467" s="9">
        <v>0</v>
      </c>
      <c r="AG467" s="9">
        <v>0</v>
      </c>
      <c r="AH467" s="9">
        <v>0</v>
      </c>
      <c r="AI467" s="9">
        <v>0</v>
      </c>
      <c r="AJ467" s="9">
        <v>0</v>
      </c>
      <c r="AK467" s="9">
        <v>0</v>
      </c>
      <c r="AL467" s="9">
        <v>0</v>
      </c>
      <c r="AM467" s="9">
        <v>0</v>
      </c>
      <c r="AN467" s="9">
        <v>0</v>
      </c>
      <c r="AO467" s="9">
        <v>0</v>
      </c>
      <c r="AP467" s="9">
        <v>0</v>
      </c>
      <c r="AQ467" s="9">
        <v>0</v>
      </c>
      <c r="AR467" s="9">
        <v>0</v>
      </c>
      <c r="AS467" s="9">
        <v>0</v>
      </c>
      <c r="AT467" s="9">
        <v>0</v>
      </c>
      <c r="AU467" s="9">
        <v>0</v>
      </c>
      <c r="AV467" s="9">
        <v>0</v>
      </c>
      <c r="AW467" s="9">
        <v>0</v>
      </c>
      <c r="AX467" s="9">
        <v>0</v>
      </c>
      <c r="AY467" s="9">
        <v>0</v>
      </c>
      <c r="AZ467" s="9">
        <v>0</v>
      </c>
      <c r="BA467" s="9">
        <v>0</v>
      </c>
      <c r="BB467" s="9">
        <v>0</v>
      </c>
      <c r="BC467" s="9">
        <v>0</v>
      </c>
      <c r="BD467" s="9">
        <v>0</v>
      </c>
      <c r="BE467" s="9">
        <v>0</v>
      </c>
      <c r="BF467" s="9">
        <v>0</v>
      </c>
      <c r="BG467" s="9">
        <v>0</v>
      </c>
      <c r="BH467" s="9">
        <v>0</v>
      </c>
      <c r="BI467" s="9">
        <v>0</v>
      </c>
      <c r="BJ467" s="9">
        <v>0</v>
      </c>
      <c r="BK467" s="9">
        <v>0</v>
      </c>
      <c r="BL467" s="9">
        <v>0</v>
      </c>
      <c r="BM467" s="9">
        <v>0</v>
      </c>
      <c r="BN467" s="9">
        <v>0</v>
      </c>
      <c r="BO467" s="9">
        <v>0</v>
      </c>
      <c r="BP467" s="10">
        <v>0</v>
      </c>
      <c r="BQ467">
        <v>0</v>
      </c>
      <c r="BR467">
        <v>0</v>
      </c>
    </row>
    <row r="468" spans="1:70" x14ac:dyDescent="0.35">
      <c r="A468" s="8" t="s">
        <v>494</v>
      </c>
      <c r="B468" s="9" t="s">
        <v>1282</v>
      </c>
      <c r="C468" s="10" t="s">
        <v>1283</v>
      </c>
      <c r="D468" s="34">
        <f t="shared" si="9"/>
        <v>0</v>
      </c>
      <c r="E468" s="9">
        <v>0</v>
      </c>
      <c r="F468" s="9">
        <v>0</v>
      </c>
      <c r="G468" s="9">
        <v>0</v>
      </c>
      <c r="H468" s="9">
        <v>0</v>
      </c>
      <c r="I468" s="9">
        <v>0</v>
      </c>
      <c r="J468" s="9">
        <v>0</v>
      </c>
      <c r="K468" s="9">
        <v>0</v>
      </c>
      <c r="L468" s="9">
        <v>0</v>
      </c>
      <c r="M468" s="9">
        <v>0</v>
      </c>
      <c r="N468" s="9">
        <v>0</v>
      </c>
      <c r="O468" s="9">
        <v>0</v>
      </c>
      <c r="P468" s="9">
        <v>0</v>
      </c>
      <c r="Q468" s="9">
        <v>0</v>
      </c>
      <c r="R468" s="9">
        <v>0</v>
      </c>
      <c r="S468" s="9">
        <v>0</v>
      </c>
      <c r="T468" s="9">
        <v>0</v>
      </c>
      <c r="U468" s="9">
        <v>0</v>
      </c>
      <c r="V468" s="9">
        <v>0</v>
      </c>
      <c r="W468" s="9">
        <v>0</v>
      </c>
      <c r="X468" s="9">
        <v>0</v>
      </c>
      <c r="Y468" s="9">
        <v>0</v>
      </c>
      <c r="Z468" s="9">
        <v>0</v>
      </c>
      <c r="AA468" s="9">
        <v>0</v>
      </c>
      <c r="AB468" s="9">
        <v>0</v>
      </c>
      <c r="AC468" s="9">
        <v>0</v>
      </c>
      <c r="AD468" s="9">
        <v>0</v>
      </c>
      <c r="AE468" s="9">
        <v>0</v>
      </c>
      <c r="AF468" s="9">
        <v>0</v>
      </c>
      <c r="AG468" s="9">
        <v>0</v>
      </c>
      <c r="AH468" s="9">
        <v>0</v>
      </c>
      <c r="AI468" s="9">
        <v>0</v>
      </c>
      <c r="AJ468" s="9">
        <v>0</v>
      </c>
      <c r="AK468" s="9">
        <v>0</v>
      </c>
      <c r="AL468" s="9">
        <v>0</v>
      </c>
      <c r="AM468" s="9">
        <v>0</v>
      </c>
      <c r="AN468" s="9">
        <v>0</v>
      </c>
      <c r="AO468" s="9">
        <v>0</v>
      </c>
      <c r="AP468" s="9">
        <v>0</v>
      </c>
      <c r="AQ468" s="9">
        <v>0</v>
      </c>
      <c r="AR468" s="9">
        <v>0</v>
      </c>
      <c r="AS468" s="9">
        <v>0</v>
      </c>
      <c r="AT468" s="9">
        <v>0</v>
      </c>
      <c r="AU468" s="9">
        <v>0</v>
      </c>
      <c r="AV468" s="9">
        <v>0</v>
      </c>
      <c r="AW468" s="9">
        <v>0</v>
      </c>
      <c r="AX468" s="9">
        <v>0</v>
      </c>
      <c r="AY468" s="9">
        <v>0</v>
      </c>
      <c r="AZ468" s="9">
        <v>0</v>
      </c>
      <c r="BA468" s="9">
        <v>0</v>
      </c>
      <c r="BB468" s="9">
        <v>0</v>
      </c>
      <c r="BC468" s="9">
        <v>0</v>
      </c>
      <c r="BD468" s="9">
        <v>0</v>
      </c>
      <c r="BE468" s="9">
        <v>0</v>
      </c>
      <c r="BF468" s="9">
        <v>0</v>
      </c>
      <c r="BG468" s="9">
        <v>0</v>
      </c>
      <c r="BH468" s="9">
        <v>0</v>
      </c>
      <c r="BI468" s="9">
        <v>0</v>
      </c>
      <c r="BJ468" s="9">
        <v>0</v>
      </c>
      <c r="BK468" s="9">
        <v>0</v>
      </c>
      <c r="BL468" s="9">
        <v>0</v>
      </c>
      <c r="BM468" s="9">
        <v>0</v>
      </c>
      <c r="BN468" s="9">
        <v>0</v>
      </c>
      <c r="BO468" s="9">
        <v>0</v>
      </c>
      <c r="BP468" s="10">
        <v>0</v>
      </c>
      <c r="BQ468">
        <v>0</v>
      </c>
      <c r="BR468">
        <v>0</v>
      </c>
    </row>
    <row r="469" spans="1:70" x14ac:dyDescent="0.35">
      <c r="A469" s="8" t="s">
        <v>494</v>
      </c>
      <c r="B469" s="9" t="s">
        <v>1284</v>
      </c>
      <c r="C469" s="10" t="s">
        <v>1285</v>
      </c>
      <c r="D469" s="34">
        <f t="shared" si="9"/>
        <v>0</v>
      </c>
      <c r="E469" s="9">
        <v>0</v>
      </c>
      <c r="F469" s="9">
        <v>0</v>
      </c>
      <c r="G469" s="9">
        <v>0</v>
      </c>
      <c r="H469" s="9">
        <v>0</v>
      </c>
      <c r="I469" s="9">
        <v>0</v>
      </c>
      <c r="J469" s="9">
        <v>0</v>
      </c>
      <c r="K469" s="9">
        <v>0</v>
      </c>
      <c r="L469" s="9">
        <v>0</v>
      </c>
      <c r="M469" s="9">
        <v>0</v>
      </c>
      <c r="N469" s="9">
        <v>0</v>
      </c>
      <c r="O469" s="9">
        <v>0</v>
      </c>
      <c r="P469" s="9">
        <v>0</v>
      </c>
      <c r="Q469" s="9">
        <v>0</v>
      </c>
      <c r="R469" s="9">
        <v>0</v>
      </c>
      <c r="S469" s="9">
        <v>0</v>
      </c>
      <c r="T469" s="9">
        <v>0</v>
      </c>
      <c r="U469" s="9">
        <v>0</v>
      </c>
      <c r="V469" s="9">
        <v>0</v>
      </c>
      <c r="W469" s="9">
        <v>0</v>
      </c>
      <c r="X469" s="9">
        <v>0</v>
      </c>
      <c r="Y469" s="9">
        <v>0</v>
      </c>
      <c r="Z469" s="9">
        <v>0</v>
      </c>
      <c r="AA469" s="9">
        <v>0</v>
      </c>
      <c r="AB469" s="9">
        <v>0</v>
      </c>
      <c r="AC469" s="9">
        <v>0</v>
      </c>
      <c r="AD469" s="9">
        <v>0</v>
      </c>
      <c r="AE469" s="9">
        <v>0</v>
      </c>
      <c r="AF469" s="9">
        <v>0</v>
      </c>
      <c r="AG469" s="9">
        <v>0</v>
      </c>
      <c r="AH469" s="9">
        <v>0</v>
      </c>
      <c r="AI469" s="9">
        <v>0</v>
      </c>
      <c r="AJ469" s="9">
        <v>0</v>
      </c>
      <c r="AK469" s="9">
        <v>0</v>
      </c>
      <c r="AL469" s="9">
        <v>0</v>
      </c>
      <c r="AM469" s="9">
        <v>0</v>
      </c>
      <c r="AN469" s="9">
        <v>0</v>
      </c>
      <c r="AO469" s="9">
        <v>0</v>
      </c>
      <c r="AP469" s="9">
        <v>0</v>
      </c>
      <c r="AQ469" s="9">
        <v>0</v>
      </c>
      <c r="AR469" s="9">
        <v>0</v>
      </c>
      <c r="AS469" s="9">
        <v>0</v>
      </c>
      <c r="AT469" s="9">
        <v>0</v>
      </c>
      <c r="AU469" s="9">
        <v>0</v>
      </c>
      <c r="AV469" s="9">
        <v>0</v>
      </c>
      <c r="AW469" s="9">
        <v>0</v>
      </c>
      <c r="AX469" s="9">
        <v>0</v>
      </c>
      <c r="AY469" s="9">
        <v>0</v>
      </c>
      <c r="AZ469" s="9">
        <v>0</v>
      </c>
      <c r="BA469" s="9">
        <v>0</v>
      </c>
      <c r="BB469" s="9">
        <v>0</v>
      </c>
      <c r="BC469" s="9">
        <v>0</v>
      </c>
      <c r="BD469" s="9">
        <v>0</v>
      </c>
      <c r="BE469" s="9">
        <v>0</v>
      </c>
      <c r="BF469" s="9">
        <v>0</v>
      </c>
      <c r="BG469" s="9">
        <v>0</v>
      </c>
      <c r="BH469" s="9">
        <v>0</v>
      </c>
      <c r="BI469" s="9">
        <v>0</v>
      </c>
      <c r="BJ469" s="9">
        <v>0</v>
      </c>
      <c r="BK469" s="9">
        <v>0</v>
      </c>
      <c r="BL469" s="9">
        <v>0</v>
      </c>
      <c r="BM469" s="9">
        <v>0</v>
      </c>
      <c r="BN469" s="9">
        <v>0</v>
      </c>
      <c r="BO469" s="9">
        <v>0</v>
      </c>
      <c r="BP469" s="10">
        <v>0</v>
      </c>
      <c r="BQ469">
        <v>0</v>
      </c>
      <c r="BR469">
        <v>0</v>
      </c>
    </row>
    <row r="470" spans="1:70" x14ac:dyDescent="0.35">
      <c r="A470" s="8" t="s">
        <v>494</v>
      </c>
      <c r="B470" s="9" t="s">
        <v>531</v>
      </c>
      <c r="C470" s="10" t="s">
        <v>1286</v>
      </c>
      <c r="D470" s="34">
        <f t="shared" si="9"/>
        <v>76</v>
      </c>
      <c r="E470" s="9">
        <v>0</v>
      </c>
      <c r="F470" s="9">
        <v>0</v>
      </c>
      <c r="G470" s="9">
        <v>0</v>
      </c>
      <c r="H470" s="9">
        <v>0</v>
      </c>
      <c r="I470" s="9">
        <v>0</v>
      </c>
      <c r="J470" s="9">
        <v>0</v>
      </c>
      <c r="K470" s="9">
        <v>0</v>
      </c>
      <c r="L470" s="9">
        <v>0</v>
      </c>
      <c r="M470" s="9">
        <v>0</v>
      </c>
      <c r="N470" s="9">
        <v>0</v>
      </c>
      <c r="O470" s="9">
        <v>0</v>
      </c>
      <c r="P470" s="9">
        <v>1</v>
      </c>
      <c r="Q470" s="9">
        <v>1</v>
      </c>
      <c r="R470" s="9">
        <v>1</v>
      </c>
      <c r="S470" s="9">
        <v>1</v>
      </c>
      <c r="T470" s="9">
        <v>1</v>
      </c>
      <c r="U470" s="9">
        <v>1</v>
      </c>
      <c r="V470" s="9">
        <v>1</v>
      </c>
      <c r="W470" s="9">
        <v>1</v>
      </c>
      <c r="X470" s="9">
        <v>2</v>
      </c>
      <c r="Y470" s="9">
        <v>2</v>
      </c>
      <c r="Z470" s="9">
        <v>2</v>
      </c>
      <c r="AA470" s="9">
        <v>1</v>
      </c>
      <c r="AB470" s="9">
        <v>2</v>
      </c>
      <c r="AC470" s="9">
        <v>4</v>
      </c>
      <c r="AD470" s="9">
        <v>3</v>
      </c>
      <c r="AE470" s="9">
        <v>3</v>
      </c>
      <c r="AF470" s="9">
        <v>3</v>
      </c>
      <c r="AG470" s="9">
        <v>4</v>
      </c>
      <c r="AH470" s="9">
        <v>3</v>
      </c>
      <c r="AI470" s="9">
        <v>3</v>
      </c>
      <c r="AJ470" s="9">
        <v>4</v>
      </c>
      <c r="AK470" s="9">
        <v>7</v>
      </c>
      <c r="AL470" s="9">
        <v>7</v>
      </c>
      <c r="AM470" s="9">
        <v>7</v>
      </c>
      <c r="AN470" s="9">
        <v>6</v>
      </c>
      <c r="AO470" s="9">
        <v>7</v>
      </c>
      <c r="AP470" s="9">
        <v>7</v>
      </c>
      <c r="AQ470" s="9">
        <v>4</v>
      </c>
      <c r="AR470" s="9">
        <v>10</v>
      </c>
      <c r="AS470" s="9">
        <v>11</v>
      </c>
      <c r="AT470" s="9">
        <v>13</v>
      </c>
      <c r="AU470" s="9">
        <v>13</v>
      </c>
      <c r="AV470" s="9">
        <v>14</v>
      </c>
      <c r="AW470" s="9">
        <v>17</v>
      </c>
      <c r="AX470" s="9">
        <v>28</v>
      </c>
      <c r="AY470" s="9">
        <v>26</v>
      </c>
      <c r="AZ470" s="9">
        <v>26</v>
      </c>
      <c r="BA470" s="9">
        <v>34</v>
      </c>
      <c r="BB470" s="9">
        <v>35</v>
      </c>
      <c r="BC470" s="9">
        <v>35</v>
      </c>
      <c r="BD470" s="9">
        <v>42</v>
      </c>
      <c r="BE470" s="9">
        <v>47</v>
      </c>
      <c r="BF470" s="9">
        <v>57</v>
      </c>
      <c r="BG470" s="9">
        <v>54</v>
      </c>
      <c r="BH470" s="9">
        <v>63</v>
      </c>
      <c r="BI470" s="9">
        <v>74</v>
      </c>
      <c r="BJ470" s="9">
        <v>72</v>
      </c>
      <c r="BK470" s="9">
        <v>74</v>
      </c>
      <c r="BL470" s="9">
        <v>70</v>
      </c>
      <c r="BM470" s="9">
        <v>76</v>
      </c>
      <c r="BN470" s="9">
        <v>75</v>
      </c>
      <c r="BO470" s="9">
        <v>75</v>
      </c>
      <c r="BP470" s="10">
        <v>74</v>
      </c>
      <c r="BQ470">
        <v>75</v>
      </c>
      <c r="BR470">
        <v>73</v>
      </c>
    </row>
    <row r="471" spans="1:70" x14ac:dyDescent="0.35">
      <c r="A471" s="8" t="s">
        <v>494</v>
      </c>
      <c r="B471" s="9" t="s">
        <v>503</v>
      </c>
      <c r="C471" s="10" t="s">
        <v>1287</v>
      </c>
      <c r="D471" s="34">
        <f t="shared" si="9"/>
        <v>21</v>
      </c>
      <c r="E471" s="9">
        <v>0</v>
      </c>
      <c r="F471" s="9">
        <v>1</v>
      </c>
      <c r="G471" s="9">
        <v>1</v>
      </c>
      <c r="H471" s="9">
        <v>1</v>
      </c>
      <c r="I471" s="9">
        <v>0</v>
      </c>
      <c r="J471" s="9">
        <v>0</v>
      </c>
      <c r="K471" s="9">
        <v>0</v>
      </c>
      <c r="L471" s="9">
        <v>0</v>
      </c>
      <c r="M471" s="9">
        <v>0</v>
      </c>
      <c r="N471" s="9">
        <v>0</v>
      </c>
      <c r="O471" s="9">
        <v>0</v>
      </c>
      <c r="P471" s="9">
        <v>0</v>
      </c>
      <c r="Q471" s="9">
        <v>0</v>
      </c>
      <c r="R471" s="9">
        <v>0</v>
      </c>
      <c r="S471" s="9">
        <v>0</v>
      </c>
      <c r="T471" s="9">
        <v>0</v>
      </c>
      <c r="U471" s="9">
        <v>0</v>
      </c>
      <c r="V471" s="9">
        <v>0</v>
      </c>
      <c r="W471" s="9">
        <v>1</v>
      </c>
      <c r="X471" s="9">
        <v>1</v>
      </c>
      <c r="Y471" s="9">
        <v>1</v>
      </c>
      <c r="Z471" s="9">
        <v>1</v>
      </c>
      <c r="AA471" s="9">
        <v>1</v>
      </c>
      <c r="AB471" s="9">
        <v>0</v>
      </c>
      <c r="AC471" s="9">
        <v>0</v>
      </c>
      <c r="AD471" s="9">
        <v>0</v>
      </c>
      <c r="AE471" s="9">
        <v>0</v>
      </c>
      <c r="AF471" s="9">
        <v>0</v>
      </c>
      <c r="AG471" s="9">
        <v>0</v>
      </c>
      <c r="AH471" s="9">
        <v>0</v>
      </c>
      <c r="AI471" s="9">
        <v>0</v>
      </c>
      <c r="AJ471" s="9">
        <v>0</v>
      </c>
      <c r="AK471" s="9">
        <v>0</v>
      </c>
      <c r="AL471" s="9">
        <v>0</v>
      </c>
      <c r="AM471" s="9">
        <v>0</v>
      </c>
      <c r="AN471" s="9">
        <v>1</v>
      </c>
      <c r="AO471" s="9">
        <v>1</v>
      </c>
      <c r="AP471" s="9">
        <v>1</v>
      </c>
      <c r="AQ471" s="9">
        <v>1</v>
      </c>
      <c r="AR471" s="9">
        <v>1</v>
      </c>
      <c r="AS471" s="9">
        <v>1</v>
      </c>
      <c r="AT471" s="9">
        <v>1</v>
      </c>
      <c r="AU471" s="9">
        <v>1</v>
      </c>
      <c r="AV471" s="9">
        <v>1</v>
      </c>
      <c r="AW471" s="9">
        <v>1</v>
      </c>
      <c r="AX471" s="9">
        <v>1</v>
      </c>
      <c r="AY471" s="9">
        <v>1</v>
      </c>
      <c r="AZ471" s="9">
        <v>1</v>
      </c>
      <c r="BA471" s="9">
        <v>1</v>
      </c>
      <c r="BB471" s="9">
        <v>1</v>
      </c>
      <c r="BC471" s="9">
        <v>1</v>
      </c>
      <c r="BD471" s="9">
        <v>1</v>
      </c>
      <c r="BE471" s="9">
        <v>1</v>
      </c>
      <c r="BF471" s="9">
        <v>1</v>
      </c>
      <c r="BG471" s="9">
        <v>1</v>
      </c>
      <c r="BH471" s="9">
        <v>1</v>
      </c>
      <c r="BI471" s="9">
        <v>1</v>
      </c>
      <c r="BJ471" s="9">
        <v>2</v>
      </c>
      <c r="BK471" s="9">
        <v>3</v>
      </c>
      <c r="BL471" s="9">
        <v>5</v>
      </c>
      <c r="BM471" s="9">
        <v>9</v>
      </c>
      <c r="BN471" s="9">
        <v>10</v>
      </c>
      <c r="BO471" s="9">
        <v>14</v>
      </c>
      <c r="BP471" s="10">
        <v>16</v>
      </c>
      <c r="BQ471">
        <v>17</v>
      </c>
      <c r="BR471">
        <v>21</v>
      </c>
    </row>
    <row r="472" spans="1:70" x14ac:dyDescent="0.35">
      <c r="A472" s="8" t="s">
        <v>494</v>
      </c>
      <c r="B472" s="9" t="s">
        <v>505</v>
      </c>
      <c r="C472" s="10" t="s">
        <v>1288</v>
      </c>
      <c r="D472" s="34">
        <f t="shared" si="9"/>
        <v>75</v>
      </c>
      <c r="E472" s="9">
        <v>5</v>
      </c>
      <c r="F472" s="9">
        <v>5</v>
      </c>
      <c r="G472" s="9">
        <v>5</v>
      </c>
      <c r="H472" s="9">
        <v>5</v>
      </c>
      <c r="I472" s="9">
        <v>4</v>
      </c>
      <c r="J472" s="9">
        <v>4</v>
      </c>
      <c r="K472" s="9">
        <v>4</v>
      </c>
      <c r="L472" s="9">
        <v>4</v>
      </c>
      <c r="M472" s="9">
        <v>4</v>
      </c>
      <c r="N472" s="9">
        <v>4</v>
      </c>
      <c r="O472" s="9">
        <v>5</v>
      </c>
      <c r="P472" s="9">
        <v>6</v>
      </c>
      <c r="Q472" s="9">
        <v>5</v>
      </c>
      <c r="R472" s="9">
        <v>4</v>
      </c>
      <c r="S472" s="9">
        <v>4</v>
      </c>
      <c r="T472" s="9">
        <v>5</v>
      </c>
      <c r="U472" s="9">
        <v>4</v>
      </c>
      <c r="V472" s="9">
        <v>4</v>
      </c>
      <c r="W472" s="9">
        <v>7</v>
      </c>
      <c r="X472" s="9">
        <v>8</v>
      </c>
      <c r="Y472" s="9">
        <v>10</v>
      </c>
      <c r="Z472" s="9">
        <v>9</v>
      </c>
      <c r="AA472" s="9">
        <v>11</v>
      </c>
      <c r="AB472" s="9">
        <v>9</v>
      </c>
      <c r="AC472" s="9">
        <v>6</v>
      </c>
      <c r="AD472" s="9">
        <v>6</v>
      </c>
      <c r="AE472" s="9">
        <v>7</v>
      </c>
      <c r="AF472" s="9">
        <v>7</v>
      </c>
      <c r="AG472" s="9">
        <v>8</v>
      </c>
      <c r="AH472" s="9">
        <v>8</v>
      </c>
      <c r="AI472" s="9">
        <v>6</v>
      </c>
      <c r="AJ472" s="9">
        <v>5</v>
      </c>
      <c r="AK472" s="9">
        <v>5</v>
      </c>
      <c r="AL472" s="9">
        <v>6</v>
      </c>
      <c r="AM472" s="9">
        <v>6</v>
      </c>
      <c r="AN472" s="9">
        <v>7</v>
      </c>
      <c r="AO472" s="9">
        <v>8</v>
      </c>
      <c r="AP472" s="9">
        <v>9</v>
      </c>
      <c r="AQ472" s="9">
        <v>8</v>
      </c>
      <c r="AR472" s="9">
        <v>6</v>
      </c>
      <c r="AS472" s="9">
        <v>6</v>
      </c>
      <c r="AT472" s="9">
        <v>8</v>
      </c>
      <c r="AU472" s="9">
        <v>6</v>
      </c>
      <c r="AV472" s="9">
        <v>8</v>
      </c>
      <c r="AW472" s="9">
        <v>9</v>
      </c>
      <c r="AX472" s="9">
        <v>12</v>
      </c>
      <c r="AY472" s="9">
        <v>12</v>
      </c>
      <c r="AZ472" s="9">
        <v>13</v>
      </c>
      <c r="BA472" s="9">
        <v>15</v>
      </c>
      <c r="BB472" s="9">
        <v>15</v>
      </c>
      <c r="BC472" s="9">
        <v>19</v>
      </c>
      <c r="BD472" s="9">
        <v>25</v>
      </c>
      <c r="BE472" s="9">
        <v>23</v>
      </c>
      <c r="BF472" s="9">
        <v>22</v>
      </c>
      <c r="BG472" s="9">
        <v>26</v>
      </c>
      <c r="BH472" s="9">
        <v>31</v>
      </c>
      <c r="BI472" s="9">
        <v>41</v>
      </c>
      <c r="BJ472" s="9">
        <v>43</v>
      </c>
      <c r="BK472" s="9">
        <v>44</v>
      </c>
      <c r="BL472" s="9">
        <v>48</v>
      </c>
      <c r="BM472" s="9">
        <v>75</v>
      </c>
      <c r="BN472" s="9">
        <v>47</v>
      </c>
      <c r="BO472" s="9">
        <v>45</v>
      </c>
      <c r="BP472" s="10">
        <v>51</v>
      </c>
      <c r="BQ472">
        <v>50</v>
      </c>
      <c r="BR472">
        <v>54</v>
      </c>
    </row>
    <row r="473" spans="1:70" x14ac:dyDescent="0.35">
      <c r="A473" s="8" t="s">
        <v>494</v>
      </c>
      <c r="B473" s="9" t="s">
        <v>507</v>
      </c>
      <c r="C473" s="10" t="s">
        <v>1289</v>
      </c>
      <c r="D473" s="34">
        <f t="shared" si="9"/>
        <v>40</v>
      </c>
      <c r="E473" s="9">
        <v>0</v>
      </c>
      <c r="F473" s="9">
        <v>0</v>
      </c>
      <c r="G473" s="9">
        <v>0</v>
      </c>
      <c r="H473" s="9">
        <v>0</v>
      </c>
      <c r="I473" s="9">
        <v>0</v>
      </c>
      <c r="J473" s="9">
        <v>0</v>
      </c>
      <c r="K473" s="9">
        <v>0</v>
      </c>
      <c r="L473" s="9">
        <v>0</v>
      </c>
      <c r="M473" s="9">
        <v>1</v>
      </c>
      <c r="N473" s="9">
        <v>1</v>
      </c>
      <c r="O473" s="9">
        <v>0</v>
      </c>
      <c r="P473" s="9">
        <v>1</v>
      </c>
      <c r="Q473" s="9">
        <v>1</v>
      </c>
      <c r="R473" s="9">
        <v>1</v>
      </c>
      <c r="S473" s="9">
        <v>1</v>
      </c>
      <c r="T473" s="9">
        <v>1</v>
      </c>
      <c r="U473" s="9">
        <v>0</v>
      </c>
      <c r="V473" s="9">
        <v>2</v>
      </c>
      <c r="W473" s="9">
        <v>2</v>
      </c>
      <c r="X473" s="9">
        <v>1</v>
      </c>
      <c r="Y473" s="9">
        <v>2</v>
      </c>
      <c r="Z473" s="9">
        <v>3</v>
      </c>
      <c r="AA473" s="9">
        <v>2</v>
      </c>
      <c r="AB473" s="9">
        <v>1</v>
      </c>
      <c r="AC473" s="9">
        <v>3</v>
      </c>
      <c r="AD473" s="9">
        <v>1</v>
      </c>
      <c r="AE473" s="9">
        <v>1</v>
      </c>
      <c r="AF473" s="9">
        <v>1</v>
      </c>
      <c r="AG473" s="9">
        <v>1</v>
      </c>
      <c r="AH473" s="9">
        <v>1</v>
      </c>
      <c r="AI473" s="9">
        <v>1</v>
      </c>
      <c r="AJ473" s="9">
        <v>1</v>
      </c>
      <c r="AK473" s="9">
        <v>1</v>
      </c>
      <c r="AL473" s="9">
        <v>1</v>
      </c>
      <c r="AM473" s="9">
        <v>0</v>
      </c>
      <c r="AN473" s="9">
        <v>1</v>
      </c>
      <c r="AO473" s="9">
        <v>2</v>
      </c>
      <c r="AP473" s="9">
        <v>3</v>
      </c>
      <c r="AQ473" s="9">
        <v>3</v>
      </c>
      <c r="AR473" s="9">
        <v>4</v>
      </c>
      <c r="AS473" s="9">
        <v>5</v>
      </c>
      <c r="AT473" s="9">
        <v>8</v>
      </c>
      <c r="AU473" s="9">
        <v>9</v>
      </c>
      <c r="AV473" s="9">
        <v>8</v>
      </c>
      <c r="AW473" s="9">
        <v>12</v>
      </c>
      <c r="AX473" s="9">
        <v>22</v>
      </c>
      <c r="AY473" s="9">
        <v>25</v>
      </c>
      <c r="AZ473" s="9">
        <v>27</v>
      </c>
      <c r="BA473" s="9">
        <v>32</v>
      </c>
      <c r="BB473" s="9">
        <v>30</v>
      </c>
      <c r="BC473" s="9">
        <v>29</v>
      </c>
      <c r="BD473" s="9">
        <v>27</v>
      </c>
      <c r="BE473" s="9">
        <v>28</v>
      </c>
      <c r="BF473" s="9">
        <v>31</v>
      </c>
      <c r="BG473" s="9">
        <v>32</v>
      </c>
      <c r="BH473" s="9">
        <v>35</v>
      </c>
      <c r="BI473" s="9">
        <v>33</v>
      </c>
      <c r="BJ473" s="9">
        <v>31</v>
      </c>
      <c r="BK473" s="9">
        <v>33</v>
      </c>
      <c r="BL473" s="9">
        <v>40</v>
      </c>
      <c r="BM473" s="9">
        <v>34</v>
      </c>
      <c r="BN473" s="9">
        <v>38</v>
      </c>
      <c r="BO473" s="9">
        <v>39</v>
      </c>
      <c r="BP473" s="10">
        <v>38</v>
      </c>
      <c r="BQ473">
        <v>37</v>
      </c>
      <c r="BR473">
        <v>37</v>
      </c>
    </row>
    <row r="474" spans="1:70" x14ac:dyDescent="0.35">
      <c r="A474" s="8" t="s">
        <v>494</v>
      </c>
      <c r="B474" s="9" t="s">
        <v>509</v>
      </c>
      <c r="C474" s="10" t="s">
        <v>1290</v>
      </c>
      <c r="D474" s="34">
        <f t="shared" si="9"/>
        <v>10</v>
      </c>
      <c r="E474" s="9">
        <v>0</v>
      </c>
      <c r="F474" s="9">
        <v>0</v>
      </c>
      <c r="G474" s="9">
        <v>0</v>
      </c>
      <c r="H474" s="9">
        <v>0</v>
      </c>
      <c r="I474" s="9">
        <v>0</v>
      </c>
      <c r="J474" s="9">
        <v>0</v>
      </c>
      <c r="K474" s="9">
        <v>0</v>
      </c>
      <c r="L474" s="9">
        <v>0</v>
      </c>
      <c r="M474" s="9">
        <v>0</v>
      </c>
      <c r="N474" s="9">
        <v>0</v>
      </c>
      <c r="O474" s="9">
        <v>0</v>
      </c>
      <c r="P474" s="9">
        <v>0</v>
      </c>
      <c r="Q474" s="9">
        <v>0</v>
      </c>
      <c r="R474" s="9">
        <v>0</v>
      </c>
      <c r="S474" s="9">
        <v>0</v>
      </c>
      <c r="T474" s="9">
        <v>0</v>
      </c>
      <c r="U474" s="9">
        <v>0</v>
      </c>
      <c r="V474" s="9">
        <v>0</v>
      </c>
      <c r="W474" s="9">
        <v>0</v>
      </c>
      <c r="X474" s="9">
        <v>0</v>
      </c>
      <c r="Y474" s="9">
        <v>0</v>
      </c>
      <c r="Z474" s="9">
        <v>0</v>
      </c>
      <c r="AA474" s="9">
        <v>0</v>
      </c>
      <c r="AB474" s="9">
        <v>0</v>
      </c>
      <c r="AC474" s="9">
        <v>0</v>
      </c>
      <c r="AD474" s="9">
        <v>0</v>
      </c>
      <c r="AE474" s="9">
        <v>0</v>
      </c>
      <c r="AF474" s="9">
        <v>0</v>
      </c>
      <c r="AG474" s="9">
        <v>0</v>
      </c>
      <c r="AH474" s="9">
        <v>0</v>
      </c>
      <c r="AI474" s="9">
        <v>0</v>
      </c>
      <c r="AJ474" s="9">
        <v>0</v>
      </c>
      <c r="AK474" s="9">
        <v>0</v>
      </c>
      <c r="AL474" s="9">
        <v>0</v>
      </c>
      <c r="AM474" s="9">
        <v>1</v>
      </c>
      <c r="AN474" s="9">
        <v>1</v>
      </c>
      <c r="AO474" s="9">
        <v>1</v>
      </c>
      <c r="AP474" s="9">
        <v>2</v>
      </c>
      <c r="AQ474" s="9">
        <v>3</v>
      </c>
      <c r="AR474" s="9">
        <v>3</v>
      </c>
      <c r="AS474" s="9">
        <v>3</v>
      </c>
      <c r="AT474" s="9">
        <v>4</v>
      </c>
      <c r="AU474" s="9">
        <v>4</v>
      </c>
      <c r="AV474" s="9">
        <v>3</v>
      </c>
      <c r="AW474" s="9">
        <v>3</v>
      </c>
      <c r="AX474" s="9">
        <v>3</v>
      </c>
      <c r="AY474" s="9">
        <v>3</v>
      </c>
      <c r="AZ474" s="9">
        <v>3</v>
      </c>
      <c r="BA474" s="9">
        <v>4</v>
      </c>
      <c r="BB474" s="9">
        <v>4</v>
      </c>
      <c r="BC474" s="9">
        <v>4</v>
      </c>
      <c r="BD474" s="9">
        <v>4</v>
      </c>
      <c r="BE474" s="9">
        <v>3</v>
      </c>
      <c r="BF474" s="9">
        <v>3</v>
      </c>
      <c r="BG474" s="9">
        <v>3</v>
      </c>
      <c r="BH474" s="9">
        <v>3</v>
      </c>
      <c r="BI474" s="9">
        <v>4</v>
      </c>
      <c r="BJ474" s="9">
        <v>6</v>
      </c>
      <c r="BK474" s="9">
        <v>8</v>
      </c>
      <c r="BL474" s="9">
        <v>8</v>
      </c>
      <c r="BM474" s="9">
        <v>8</v>
      </c>
      <c r="BN474" s="9">
        <v>9</v>
      </c>
      <c r="BO474" s="9">
        <v>10</v>
      </c>
      <c r="BP474" s="10">
        <v>10</v>
      </c>
      <c r="BQ474">
        <v>9</v>
      </c>
      <c r="BR474">
        <v>9</v>
      </c>
    </row>
    <row r="475" spans="1:70" x14ac:dyDescent="0.35">
      <c r="A475" s="8" t="s">
        <v>494</v>
      </c>
      <c r="B475" s="9" t="s">
        <v>511</v>
      </c>
      <c r="C475" s="10" t="s">
        <v>1291</v>
      </c>
      <c r="D475" s="34">
        <f t="shared" si="9"/>
        <v>18</v>
      </c>
      <c r="E475" s="9">
        <v>0</v>
      </c>
      <c r="F475" s="9">
        <v>0</v>
      </c>
      <c r="G475" s="9">
        <v>0</v>
      </c>
      <c r="H475" s="9">
        <v>0</v>
      </c>
      <c r="I475" s="9">
        <v>0</v>
      </c>
      <c r="J475" s="9">
        <v>0</v>
      </c>
      <c r="K475" s="9">
        <v>0</v>
      </c>
      <c r="L475" s="9">
        <v>0</v>
      </c>
      <c r="M475" s="9">
        <v>0</v>
      </c>
      <c r="N475" s="9">
        <v>0</v>
      </c>
      <c r="O475" s="9">
        <v>0</v>
      </c>
      <c r="P475" s="9">
        <v>0</v>
      </c>
      <c r="Q475" s="9">
        <v>0</v>
      </c>
      <c r="R475" s="9">
        <v>0</v>
      </c>
      <c r="S475" s="9">
        <v>0</v>
      </c>
      <c r="T475" s="9">
        <v>0</v>
      </c>
      <c r="U475" s="9">
        <v>0</v>
      </c>
      <c r="V475" s="9">
        <v>0</v>
      </c>
      <c r="W475" s="9">
        <v>0</v>
      </c>
      <c r="X475" s="9">
        <v>0</v>
      </c>
      <c r="Y475" s="9">
        <v>0</v>
      </c>
      <c r="Z475" s="9">
        <v>0</v>
      </c>
      <c r="AA475" s="9">
        <v>0</v>
      </c>
      <c r="AB475" s="9">
        <v>1</v>
      </c>
      <c r="AC475" s="9">
        <v>0</v>
      </c>
      <c r="AD475" s="9">
        <v>0</v>
      </c>
      <c r="AE475" s="9">
        <v>0</v>
      </c>
      <c r="AF475" s="9">
        <v>0</v>
      </c>
      <c r="AG475" s="9">
        <v>0</v>
      </c>
      <c r="AH475" s="9">
        <v>0</v>
      </c>
      <c r="AI475" s="9">
        <v>0</v>
      </c>
      <c r="AJ475" s="9">
        <v>0</v>
      </c>
      <c r="AK475" s="9">
        <v>0</v>
      </c>
      <c r="AL475" s="9">
        <v>0</v>
      </c>
      <c r="AM475" s="9">
        <v>1</v>
      </c>
      <c r="AN475" s="9">
        <v>1</v>
      </c>
      <c r="AO475" s="9">
        <v>1</v>
      </c>
      <c r="AP475" s="9">
        <v>1</v>
      </c>
      <c r="AQ475" s="9">
        <v>1</v>
      </c>
      <c r="AR475" s="9">
        <v>1</v>
      </c>
      <c r="AS475" s="9">
        <v>1</v>
      </c>
      <c r="AT475" s="9">
        <v>1</v>
      </c>
      <c r="AU475" s="9">
        <v>1</v>
      </c>
      <c r="AV475" s="9">
        <v>3</v>
      </c>
      <c r="AW475" s="9">
        <v>7</v>
      </c>
      <c r="AX475" s="9">
        <v>7</v>
      </c>
      <c r="AY475" s="9">
        <v>9</v>
      </c>
      <c r="AZ475" s="9">
        <v>6</v>
      </c>
      <c r="BA475" s="9">
        <v>7</v>
      </c>
      <c r="BB475" s="9">
        <v>7</v>
      </c>
      <c r="BC475" s="9">
        <v>8</v>
      </c>
      <c r="BD475" s="9">
        <v>9</v>
      </c>
      <c r="BE475" s="9">
        <v>8</v>
      </c>
      <c r="BF475" s="9">
        <v>8</v>
      </c>
      <c r="BG475" s="9">
        <v>8</v>
      </c>
      <c r="BH475" s="9">
        <v>11</v>
      </c>
      <c r="BI475" s="9">
        <v>11</v>
      </c>
      <c r="BJ475" s="9">
        <v>13</v>
      </c>
      <c r="BK475" s="9">
        <v>13</v>
      </c>
      <c r="BL475" s="9">
        <v>13</v>
      </c>
      <c r="BM475" s="9">
        <v>12</v>
      </c>
      <c r="BN475" s="9">
        <v>12</v>
      </c>
      <c r="BO475" s="9">
        <v>15</v>
      </c>
      <c r="BP475" s="10">
        <v>16</v>
      </c>
      <c r="BQ475">
        <v>16</v>
      </c>
      <c r="BR475">
        <v>18</v>
      </c>
    </row>
    <row r="476" spans="1:70" x14ac:dyDescent="0.35">
      <c r="A476" s="8" t="s">
        <v>494</v>
      </c>
      <c r="B476" s="9" t="s">
        <v>513</v>
      </c>
      <c r="C476" s="10" t="s">
        <v>1292</v>
      </c>
      <c r="D476" s="34">
        <f t="shared" si="9"/>
        <v>21</v>
      </c>
      <c r="E476" s="9">
        <v>1</v>
      </c>
      <c r="F476" s="9">
        <v>0</v>
      </c>
      <c r="G476" s="9">
        <v>0</v>
      </c>
      <c r="H476" s="9">
        <v>0</v>
      </c>
      <c r="I476" s="9">
        <v>0</v>
      </c>
      <c r="J476" s="9">
        <v>0</v>
      </c>
      <c r="K476" s="9">
        <v>0</v>
      </c>
      <c r="L476" s="9">
        <v>0</v>
      </c>
      <c r="M476" s="9">
        <v>0</v>
      </c>
      <c r="N476" s="9">
        <v>1</v>
      </c>
      <c r="O476" s="9">
        <v>1</v>
      </c>
      <c r="P476" s="9">
        <v>1</v>
      </c>
      <c r="Q476" s="9">
        <v>1</v>
      </c>
      <c r="R476" s="9">
        <v>1</v>
      </c>
      <c r="S476" s="9">
        <v>2</v>
      </c>
      <c r="T476" s="9">
        <v>2</v>
      </c>
      <c r="U476" s="9">
        <v>0</v>
      </c>
      <c r="V476" s="9">
        <v>1</v>
      </c>
      <c r="W476" s="9">
        <v>1</v>
      </c>
      <c r="X476" s="9">
        <v>1</v>
      </c>
      <c r="Y476" s="9">
        <v>1</v>
      </c>
      <c r="Z476" s="9">
        <v>2</v>
      </c>
      <c r="AA476" s="9">
        <v>2</v>
      </c>
      <c r="AB476" s="9">
        <v>1</v>
      </c>
      <c r="AC476" s="9">
        <v>1</v>
      </c>
      <c r="AD476" s="9">
        <v>2</v>
      </c>
      <c r="AE476" s="9">
        <v>2</v>
      </c>
      <c r="AF476" s="9">
        <v>2</v>
      </c>
      <c r="AG476" s="9">
        <v>3</v>
      </c>
      <c r="AH476" s="9">
        <v>2</v>
      </c>
      <c r="AI476" s="9">
        <v>2</v>
      </c>
      <c r="AJ476" s="9">
        <v>1</v>
      </c>
      <c r="AK476" s="9">
        <v>1</v>
      </c>
      <c r="AL476" s="9">
        <v>1</v>
      </c>
      <c r="AM476" s="9">
        <v>1</v>
      </c>
      <c r="AN476" s="9">
        <v>1</v>
      </c>
      <c r="AO476" s="9">
        <v>1</v>
      </c>
      <c r="AP476" s="9">
        <v>1</v>
      </c>
      <c r="AQ476" s="9">
        <v>2</v>
      </c>
      <c r="AR476" s="9">
        <v>2</v>
      </c>
      <c r="AS476" s="9">
        <v>2</v>
      </c>
      <c r="AT476" s="9">
        <v>3</v>
      </c>
      <c r="AU476" s="9">
        <v>2</v>
      </c>
      <c r="AV476" s="9">
        <v>5</v>
      </c>
      <c r="AW476" s="9">
        <v>4</v>
      </c>
      <c r="AX476" s="9">
        <v>4</v>
      </c>
      <c r="AY476" s="9">
        <v>5</v>
      </c>
      <c r="AZ476" s="9">
        <v>5</v>
      </c>
      <c r="BA476" s="9">
        <v>6</v>
      </c>
      <c r="BB476" s="9">
        <v>6</v>
      </c>
      <c r="BC476" s="9">
        <v>6</v>
      </c>
      <c r="BD476" s="9">
        <v>8</v>
      </c>
      <c r="BE476" s="9">
        <v>12</v>
      </c>
      <c r="BF476" s="9">
        <v>11</v>
      </c>
      <c r="BG476" s="9">
        <v>10</v>
      </c>
      <c r="BH476" s="9">
        <v>12</v>
      </c>
      <c r="BI476" s="9">
        <v>16</v>
      </c>
      <c r="BJ476" s="9">
        <v>16</v>
      </c>
      <c r="BK476" s="9">
        <v>14</v>
      </c>
      <c r="BL476" s="9">
        <v>13</v>
      </c>
      <c r="BM476" s="9">
        <v>14</v>
      </c>
      <c r="BN476" s="9">
        <v>12</v>
      </c>
      <c r="BO476" s="9">
        <v>14</v>
      </c>
      <c r="BP476" s="10">
        <v>16</v>
      </c>
      <c r="BQ476">
        <v>18</v>
      </c>
      <c r="BR476">
        <v>21</v>
      </c>
    </row>
    <row r="477" spans="1:70" x14ac:dyDescent="0.35">
      <c r="A477" s="8" t="s">
        <v>494</v>
      </c>
      <c r="B477" s="9" t="s">
        <v>515</v>
      </c>
      <c r="C477" s="10" t="s">
        <v>1295</v>
      </c>
      <c r="D477" s="34">
        <f t="shared" si="9"/>
        <v>32</v>
      </c>
      <c r="E477" s="9">
        <v>0</v>
      </c>
      <c r="F477" s="9">
        <v>0</v>
      </c>
      <c r="G477" s="9">
        <v>0</v>
      </c>
      <c r="H477" s="9">
        <v>0</v>
      </c>
      <c r="I477" s="9">
        <v>0</v>
      </c>
      <c r="J477" s="9">
        <v>0</v>
      </c>
      <c r="K477" s="9">
        <v>0</v>
      </c>
      <c r="L477" s="9">
        <v>0</v>
      </c>
      <c r="M477" s="9">
        <v>0</v>
      </c>
      <c r="N477" s="9">
        <v>0</v>
      </c>
      <c r="O477" s="9">
        <v>0</v>
      </c>
      <c r="P477" s="9">
        <v>0</v>
      </c>
      <c r="Q477" s="9">
        <v>0</v>
      </c>
      <c r="R477" s="9">
        <v>0</v>
      </c>
      <c r="S477" s="9">
        <v>0</v>
      </c>
      <c r="T477" s="9">
        <v>0</v>
      </c>
      <c r="U477" s="9">
        <v>0</v>
      </c>
      <c r="V477" s="9">
        <v>0</v>
      </c>
      <c r="W477" s="9">
        <v>0</v>
      </c>
      <c r="X477" s="9">
        <v>0</v>
      </c>
      <c r="Y477" s="9">
        <v>0</v>
      </c>
      <c r="Z477" s="9">
        <v>0</v>
      </c>
      <c r="AA477" s="9">
        <v>0</v>
      </c>
      <c r="AB477" s="9">
        <v>0</v>
      </c>
      <c r="AC477" s="9">
        <v>0</v>
      </c>
      <c r="AD477" s="9">
        <v>0</v>
      </c>
      <c r="AE477" s="9">
        <v>0</v>
      </c>
      <c r="AF477" s="9">
        <v>0</v>
      </c>
      <c r="AG477" s="9">
        <v>0</v>
      </c>
      <c r="AH477" s="9">
        <v>0</v>
      </c>
      <c r="AI477" s="9">
        <v>0</v>
      </c>
      <c r="AJ477" s="9">
        <v>0</v>
      </c>
      <c r="AK477" s="9">
        <v>0</v>
      </c>
      <c r="AL477" s="9">
        <v>1</v>
      </c>
      <c r="AM477" s="9">
        <v>0</v>
      </c>
      <c r="AN477" s="9">
        <v>0</v>
      </c>
      <c r="AO477" s="9">
        <v>0</v>
      </c>
      <c r="AP477" s="9">
        <v>0</v>
      </c>
      <c r="AQ477" s="9">
        <v>3</v>
      </c>
      <c r="AR477" s="9">
        <v>3</v>
      </c>
      <c r="AS477" s="9">
        <v>3</v>
      </c>
      <c r="AT477" s="9">
        <v>3</v>
      </c>
      <c r="AU477" s="9">
        <v>3</v>
      </c>
      <c r="AV477" s="9">
        <v>3</v>
      </c>
      <c r="AW477" s="9">
        <v>2</v>
      </c>
      <c r="AX477" s="9">
        <v>3</v>
      </c>
      <c r="AY477" s="9">
        <v>3</v>
      </c>
      <c r="AZ477" s="9">
        <v>5</v>
      </c>
      <c r="BA477" s="9">
        <v>5</v>
      </c>
      <c r="BB477" s="9">
        <v>5</v>
      </c>
      <c r="BC477" s="9">
        <v>5</v>
      </c>
      <c r="BD477" s="9">
        <v>5</v>
      </c>
      <c r="BE477" s="9">
        <v>5</v>
      </c>
      <c r="BF477" s="9">
        <v>4</v>
      </c>
      <c r="BG477" s="9">
        <v>4</v>
      </c>
      <c r="BH477" s="9">
        <v>7</v>
      </c>
      <c r="BI477" s="9">
        <v>7</v>
      </c>
      <c r="BJ477" s="9">
        <v>10</v>
      </c>
      <c r="BK477" s="9">
        <v>10</v>
      </c>
      <c r="BL477" s="9">
        <v>13</v>
      </c>
      <c r="BM477" s="9">
        <v>16</v>
      </c>
      <c r="BN477" s="9">
        <v>17</v>
      </c>
      <c r="BO477" s="9">
        <v>20</v>
      </c>
      <c r="BP477" s="10">
        <v>23</v>
      </c>
      <c r="BQ477">
        <v>27</v>
      </c>
      <c r="BR477">
        <v>32</v>
      </c>
    </row>
    <row r="478" spans="1:70" x14ac:dyDescent="0.35">
      <c r="A478" s="8" t="s">
        <v>494</v>
      </c>
      <c r="B478" s="9" t="s">
        <v>517</v>
      </c>
      <c r="C478" s="10" t="s">
        <v>1298</v>
      </c>
      <c r="D478" s="34">
        <f t="shared" si="9"/>
        <v>7</v>
      </c>
      <c r="E478" s="9">
        <v>1</v>
      </c>
      <c r="F478" s="9">
        <v>1</v>
      </c>
      <c r="G478" s="9">
        <v>1</v>
      </c>
      <c r="H478" s="9">
        <v>1</v>
      </c>
      <c r="I478" s="9">
        <v>1</v>
      </c>
      <c r="J478" s="9">
        <v>2</v>
      </c>
      <c r="K478" s="9">
        <v>1</v>
      </c>
      <c r="L478" s="9">
        <v>1</v>
      </c>
      <c r="M478" s="9">
        <v>1</v>
      </c>
      <c r="N478" s="9">
        <v>0</v>
      </c>
      <c r="O478" s="9">
        <v>0</v>
      </c>
      <c r="P478" s="9">
        <v>0</v>
      </c>
      <c r="Q478" s="9">
        <v>0</v>
      </c>
      <c r="R478" s="9">
        <v>0</v>
      </c>
      <c r="S478" s="9">
        <v>0</v>
      </c>
      <c r="T478" s="9">
        <v>1</v>
      </c>
      <c r="U478" s="9">
        <v>1</v>
      </c>
      <c r="V478" s="9">
        <v>1</v>
      </c>
      <c r="W478" s="9">
        <v>1</v>
      </c>
      <c r="X478" s="9">
        <v>1</v>
      </c>
      <c r="Y478" s="9">
        <v>0</v>
      </c>
      <c r="Z478" s="9">
        <v>0</v>
      </c>
      <c r="AA478" s="9">
        <v>0</v>
      </c>
      <c r="AB478" s="9">
        <v>0</v>
      </c>
      <c r="AC478" s="9">
        <v>0</v>
      </c>
      <c r="AD478" s="9">
        <v>0</v>
      </c>
      <c r="AE478" s="9">
        <v>0</v>
      </c>
      <c r="AF478" s="9">
        <v>0</v>
      </c>
      <c r="AG478" s="9">
        <v>0</v>
      </c>
      <c r="AH478" s="9">
        <v>0</v>
      </c>
      <c r="AI478" s="9">
        <v>0</v>
      </c>
      <c r="AJ478" s="9">
        <v>0</v>
      </c>
      <c r="AK478" s="9">
        <v>1</v>
      </c>
      <c r="AL478" s="9">
        <v>2</v>
      </c>
      <c r="AM478" s="9">
        <v>2</v>
      </c>
      <c r="AN478" s="9">
        <v>3</v>
      </c>
      <c r="AO478" s="9">
        <v>3</v>
      </c>
      <c r="AP478" s="9">
        <v>3</v>
      </c>
      <c r="AQ478" s="9">
        <v>4</v>
      </c>
      <c r="AR478" s="9">
        <v>6</v>
      </c>
      <c r="AS478" s="9">
        <v>6</v>
      </c>
      <c r="AT478" s="9">
        <v>4</v>
      </c>
      <c r="AU478" s="9">
        <v>4</v>
      </c>
      <c r="AV478" s="9">
        <v>5</v>
      </c>
      <c r="AW478" s="9">
        <v>4</v>
      </c>
      <c r="AX478" s="9">
        <v>4</v>
      </c>
      <c r="AY478" s="9">
        <v>3</v>
      </c>
      <c r="AZ478" s="9">
        <v>3</v>
      </c>
      <c r="BA478" s="9">
        <v>3</v>
      </c>
      <c r="BB478" s="9">
        <v>3</v>
      </c>
      <c r="BC478" s="9">
        <v>2</v>
      </c>
      <c r="BD478" s="9">
        <v>2</v>
      </c>
      <c r="BE478" s="9">
        <v>3</v>
      </c>
      <c r="BF478" s="9">
        <v>3</v>
      </c>
      <c r="BG478" s="9">
        <v>4</v>
      </c>
      <c r="BH478" s="9">
        <v>4</v>
      </c>
      <c r="BI478" s="9">
        <v>4</v>
      </c>
      <c r="BJ478" s="9">
        <v>4</v>
      </c>
      <c r="BK478" s="9">
        <v>4</v>
      </c>
      <c r="BL478" s="9">
        <v>3</v>
      </c>
      <c r="BM478" s="9">
        <v>3</v>
      </c>
      <c r="BN478" s="9">
        <v>4</v>
      </c>
      <c r="BO478" s="9">
        <v>5</v>
      </c>
      <c r="BP478" s="10">
        <v>6</v>
      </c>
      <c r="BQ478">
        <v>7</v>
      </c>
      <c r="BR478">
        <v>7</v>
      </c>
    </row>
    <row r="479" spans="1:70" x14ac:dyDescent="0.35">
      <c r="A479" s="8" t="s">
        <v>494</v>
      </c>
      <c r="B479" s="9" t="s">
        <v>519</v>
      </c>
      <c r="C479" s="10" t="s">
        <v>1299</v>
      </c>
      <c r="D479" s="34">
        <f t="shared" si="9"/>
        <v>26</v>
      </c>
      <c r="E479" s="9">
        <v>0</v>
      </c>
      <c r="F479" s="9">
        <v>0</v>
      </c>
      <c r="G479" s="9">
        <v>0</v>
      </c>
      <c r="H479" s="9">
        <v>0</v>
      </c>
      <c r="I479" s="9">
        <v>1</v>
      </c>
      <c r="J479" s="9">
        <v>1</v>
      </c>
      <c r="K479" s="9">
        <v>1</v>
      </c>
      <c r="L479" s="9">
        <v>1</v>
      </c>
      <c r="M479" s="9">
        <v>1</v>
      </c>
      <c r="N479" s="9">
        <v>1</v>
      </c>
      <c r="O479" s="9">
        <v>1</v>
      </c>
      <c r="P479" s="9">
        <v>1</v>
      </c>
      <c r="Q479" s="9">
        <v>1</v>
      </c>
      <c r="R479" s="9">
        <v>1</v>
      </c>
      <c r="S479" s="9">
        <v>1</v>
      </c>
      <c r="T479" s="9">
        <v>2</v>
      </c>
      <c r="U479" s="9">
        <v>2</v>
      </c>
      <c r="V479" s="9">
        <v>1</v>
      </c>
      <c r="W479" s="9">
        <v>1</v>
      </c>
      <c r="X479" s="9">
        <v>1</v>
      </c>
      <c r="Y479" s="9">
        <v>2</v>
      </c>
      <c r="Z479" s="9">
        <v>2</v>
      </c>
      <c r="AA479" s="9">
        <v>2</v>
      </c>
      <c r="AB479" s="9">
        <v>3</v>
      </c>
      <c r="AC479" s="9">
        <v>3</v>
      </c>
      <c r="AD479" s="9">
        <v>3</v>
      </c>
      <c r="AE479" s="9">
        <v>2</v>
      </c>
      <c r="AF479" s="9">
        <v>2</v>
      </c>
      <c r="AG479" s="9">
        <v>2</v>
      </c>
      <c r="AH479" s="9">
        <v>2</v>
      </c>
      <c r="AI479" s="9">
        <v>1</v>
      </c>
      <c r="AJ479" s="9">
        <v>1</v>
      </c>
      <c r="AK479" s="9">
        <v>1</v>
      </c>
      <c r="AL479" s="9">
        <v>2</v>
      </c>
      <c r="AM479" s="9">
        <v>2</v>
      </c>
      <c r="AN479" s="9">
        <v>2</v>
      </c>
      <c r="AO479" s="9">
        <v>4</v>
      </c>
      <c r="AP479" s="9">
        <v>4</v>
      </c>
      <c r="AQ479" s="9">
        <v>5</v>
      </c>
      <c r="AR479" s="9">
        <v>5</v>
      </c>
      <c r="AS479" s="9">
        <v>5</v>
      </c>
      <c r="AT479" s="9">
        <v>4</v>
      </c>
      <c r="AU479" s="9">
        <v>3</v>
      </c>
      <c r="AV479" s="9">
        <v>4</v>
      </c>
      <c r="AW479" s="9">
        <v>5</v>
      </c>
      <c r="AX479" s="9">
        <v>5</v>
      </c>
      <c r="AY479" s="9">
        <v>6</v>
      </c>
      <c r="AZ479" s="9">
        <v>6</v>
      </c>
      <c r="BA479" s="9">
        <v>6</v>
      </c>
      <c r="BB479" s="9">
        <v>6</v>
      </c>
      <c r="BC479" s="9">
        <v>11</v>
      </c>
      <c r="BD479" s="9">
        <v>11</v>
      </c>
      <c r="BE479" s="9">
        <v>12</v>
      </c>
      <c r="BF479" s="9">
        <v>12</v>
      </c>
      <c r="BG479" s="9">
        <v>14</v>
      </c>
      <c r="BH479" s="9">
        <v>14</v>
      </c>
      <c r="BI479" s="9">
        <v>12</v>
      </c>
      <c r="BJ479" s="9">
        <v>16</v>
      </c>
      <c r="BK479" s="9">
        <v>19</v>
      </c>
      <c r="BL479" s="9">
        <v>18</v>
      </c>
      <c r="BM479" s="9">
        <v>19</v>
      </c>
      <c r="BN479" s="9">
        <v>21</v>
      </c>
      <c r="BO479" s="9">
        <v>20</v>
      </c>
      <c r="BP479" s="10">
        <v>22</v>
      </c>
      <c r="BQ479">
        <v>26</v>
      </c>
      <c r="BR479">
        <v>25</v>
      </c>
    </row>
    <row r="480" spans="1:70" x14ac:dyDescent="0.35">
      <c r="A480" s="8" t="s">
        <v>494</v>
      </c>
      <c r="B480" s="9" t="s">
        <v>521</v>
      </c>
      <c r="C480" s="10" t="s">
        <v>1300</v>
      </c>
      <c r="D480" s="34">
        <f t="shared" si="9"/>
        <v>43</v>
      </c>
      <c r="E480" s="9">
        <v>0</v>
      </c>
      <c r="F480" s="9">
        <v>0</v>
      </c>
      <c r="G480" s="9">
        <v>0</v>
      </c>
      <c r="H480" s="9">
        <v>0</v>
      </c>
      <c r="I480" s="9">
        <v>0</v>
      </c>
      <c r="J480" s="9">
        <v>0</v>
      </c>
      <c r="K480" s="9">
        <v>0</v>
      </c>
      <c r="L480" s="9">
        <v>0</v>
      </c>
      <c r="M480" s="9">
        <v>0</v>
      </c>
      <c r="N480" s="9">
        <v>0</v>
      </c>
      <c r="O480" s="9">
        <v>0</v>
      </c>
      <c r="P480" s="9">
        <v>1</v>
      </c>
      <c r="Q480" s="9">
        <v>1</v>
      </c>
      <c r="R480" s="9">
        <v>1</v>
      </c>
      <c r="S480" s="9">
        <v>1</v>
      </c>
      <c r="T480" s="9">
        <v>1</v>
      </c>
      <c r="U480" s="9">
        <v>1</v>
      </c>
      <c r="V480" s="9">
        <v>1</v>
      </c>
      <c r="W480" s="9">
        <v>1</v>
      </c>
      <c r="X480" s="9">
        <v>1</v>
      </c>
      <c r="Y480" s="9">
        <v>1</v>
      </c>
      <c r="Z480" s="9">
        <v>1</v>
      </c>
      <c r="AA480" s="9">
        <v>1</v>
      </c>
      <c r="AB480" s="9">
        <v>1</v>
      </c>
      <c r="AC480" s="9">
        <v>2</v>
      </c>
      <c r="AD480" s="9">
        <v>4</v>
      </c>
      <c r="AE480" s="9">
        <v>5</v>
      </c>
      <c r="AF480" s="9">
        <v>4</v>
      </c>
      <c r="AG480" s="9">
        <v>3</v>
      </c>
      <c r="AH480" s="9">
        <v>3</v>
      </c>
      <c r="AI480" s="9">
        <v>1</v>
      </c>
      <c r="AJ480" s="9">
        <v>2</v>
      </c>
      <c r="AK480" s="9">
        <v>2</v>
      </c>
      <c r="AL480" s="9">
        <v>3</v>
      </c>
      <c r="AM480" s="9">
        <v>5</v>
      </c>
      <c r="AN480" s="9">
        <v>3</v>
      </c>
      <c r="AO480" s="9">
        <v>2</v>
      </c>
      <c r="AP480" s="9">
        <v>1</v>
      </c>
      <c r="AQ480" s="9">
        <v>5</v>
      </c>
      <c r="AR480" s="9">
        <v>5</v>
      </c>
      <c r="AS480" s="9">
        <v>6</v>
      </c>
      <c r="AT480" s="9">
        <v>6</v>
      </c>
      <c r="AU480" s="9">
        <v>7</v>
      </c>
      <c r="AV480" s="9">
        <v>7</v>
      </c>
      <c r="AW480" s="9">
        <v>8</v>
      </c>
      <c r="AX480" s="9">
        <v>10</v>
      </c>
      <c r="AY480" s="9">
        <v>8</v>
      </c>
      <c r="AZ480" s="9">
        <v>8</v>
      </c>
      <c r="BA480" s="9">
        <v>9</v>
      </c>
      <c r="BB480" s="9">
        <v>14</v>
      </c>
      <c r="BC480" s="9">
        <v>19</v>
      </c>
      <c r="BD480" s="9">
        <v>19</v>
      </c>
      <c r="BE480" s="9">
        <v>16</v>
      </c>
      <c r="BF480" s="9">
        <v>19</v>
      </c>
      <c r="BG480" s="9">
        <v>19</v>
      </c>
      <c r="BH480" s="9">
        <v>20</v>
      </c>
      <c r="BI480" s="9">
        <v>23</v>
      </c>
      <c r="BJ480" s="9">
        <v>26</v>
      </c>
      <c r="BK480" s="9">
        <v>27</v>
      </c>
      <c r="BL480" s="9">
        <v>27</v>
      </c>
      <c r="BM480" s="9">
        <v>23</v>
      </c>
      <c r="BN480" s="9">
        <v>29</v>
      </c>
      <c r="BO480" s="9">
        <v>41</v>
      </c>
      <c r="BP480" s="10">
        <v>38</v>
      </c>
      <c r="BQ480">
        <v>38</v>
      </c>
      <c r="BR480">
        <v>43</v>
      </c>
    </row>
    <row r="481" spans="1:70" x14ac:dyDescent="0.35">
      <c r="A481" s="8" t="s">
        <v>494</v>
      </c>
      <c r="B481" s="9" t="s">
        <v>523</v>
      </c>
      <c r="C481" s="10" t="s">
        <v>1301</v>
      </c>
      <c r="D481" s="34">
        <f t="shared" si="9"/>
        <v>1</v>
      </c>
      <c r="E481" s="9">
        <v>0</v>
      </c>
      <c r="F481" s="9">
        <v>0</v>
      </c>
      <c r="G481" s="9">
        <v>0</v>
      </c>
      <c r="H481" s="9">
        <v>0</v>
      </c>
      <c r="I481" s="9">
        <v>0</v>
      </c>
      <c r="J481" s="9">
        <v>0</v>
      </c>
      <c r="K481" s="9">
        <v>0</v>
      </c>
      <c r="L481" s="9">
        <v>0</v>
      </c>
      <c r="M481" s="9">
        <v>0</v>
      </c>
      <c r="N481" s="9">
        <v>1</v>
      </c>
      <c r="O481" s="9">
        <v>1</v>
      </c>
      <c r="P481" s="9">
        <v>1</v>
      </c>
      <c r="Q481" s="9">
        <v>1</v>
      </c>
      <c r="R481" s="9">
        <v>1</v>
      </c>
      <c r="S481" s="9">
        <v>1</v>
      </c>
      <c r="T481" s="9">
        <v>1</v>
      </c>
      <c r="U481" s="9">
        <v>0</v>
      </c>
      <c r="V481" s="9">
        <v>0</v>
      </c>
      <c r="W481" s="9">
        <v>0</v>
      </c>
      <c r="X481" s="9">
        <v>0</v>
      </c>
      <c r="Y481" s="9">
        <v>1</v>
      </c>
      <c r="Z481" s="9">
        <v>1</v>
      </c>
      <c r="AA481" s="9">
        <v>1</v>
      </c>
      <c r="AB481" s="9">
        <v>1</v>
      </c>
      <c r="AC481" s="9">
        <v>1</v>
      </c>
      <c r="AD481" s="9">
        <v>1</v>
      </c>
      <c r="AE481" s="9">
        <v>1</v>
      </c>
      <c r="AF481" s="9">
        <v>1</v>
      </c>
      <c r="AG481" s="9">
        <v>1</v>
      </c>
      <c r="AH481" s="9">
        <v>1</v>
      </c>
      <c r="AI481" s="9">
        <v>1</v>
      </c>
      <c r="AJ481" s="9">
        <v>1</v>
      </c>
      <c r="AK481" s="9">
        <v>1</v>
      </c>
      <c r="AL481" s="9">
        <v>1</v>
      </c>
      <c r="AM481" s="9">
        <v>1</v>
      </c>
      <c r="AN481" s="9">
        <v>1</v>
      </c>
      <c r="AO481" s="9">
        <v>1</v>
      </c>
      <c r="AP481" s="9">
        <v>1</v>
      </c>
      <c r="AQ481" s="9">
        <v>1</v>
      </c>
      <c r="AR481" s="9">
        <v>1</v>
      </c>
      <c r="AS481" s="9">
        <v>1</v>
      </c>
      <c r="AT481" s="9">
        <v>1</v>
      </c>
      <c r="AU481" s="9">
        <v>1</v>
      </c>
      <c r="AV481" s="9">
        <v>1</v>
      </c>
      <c r="AW481" s="9">
        <v>1</v>
      </c>
      <c r="AX481" s="9">
        <v>1</v>
      </c>
      <c r="AY481" s="9">
        <v>1</v>
      </c>
      <c r="AZ481" s="9">
        <v>1</v>
      </c>
      <c r="BA481" s="9">
        <v>1</v>
      </c>
      <c r="BB481" s="9">
        <v>1</v>
      </c>
      <c r="BC481" s="9">
        <v>1</v>
      </c>
      <c r="BD481" s="9">
        <v>1</v>
      </c>
      <c r="BE481" s="9">
        <v>1</v>
      </c>
      <c r="BF481" s="9">
        <v>1</v>
      </c>
      <c r="BG481" s="9">
        <v>1</v>
      </c>
      <c r="BH481" s="9">
        <v>0</v>
      </c>
      <c r="BI481" s="9">
        <v>0</v>
      </c>
      <c r="BJ481" s="9">
        <v>0</v>
      </c>
      <c r="BK481" s="9">
        <v>0</v>
      </c>
      <c r="BL481" s="9">
        <v>0</v>
      </c>
      <c r="BM481" s="9">
        <v>0</v>
      </c>
      <c r="BN481" s="9">
        <v>0</v>
      </c>
      <c r="BO481" s="9">
        <v>0</v>
      </c>
      <c r="BP481" s="10">
        <v>0</v>
      </c>
      <c r="BQ481">
        <v>1</v>
      </c>
      <c r="BR481">
        <v>1</v>
      </c>
    </row>
    <row r="482" spans="1:70" x14ac:dyDescent="0.35">
      <c r="A482" s="8" t="s">
        <v>494</v>
      </c>
      <c r="B482" s="9" t="s">
        <v>525</v>
      </c>
      <c r="C482" s="10" t="s">
        <v>1302</v>
      </c>
      <c r="D482" s="34">
        <f t="shared" si="9"/>
        <v>64</v>
      </c>
      <c r="E482" s="9">
        <v>1</v>
      </c>
      <c r="F482" s="9">
        <v>0</v>
      </c>
      <c r="G482" s="9">
        <v>0</v>
      </c>
      <c r="H482" s="9">
        <v>0</v>
      </c>
      <c r="I482" s="9">
        <v>0</v>
      </c>
      <c r="J482" s="9">
        <v>0</v>
      </c>
      <c r="K482" s="9">
        <v>0</v>
      </c>
      <c r="L482" s="9">
        <v>0</v>
      </c>
      <c r="M482" s="9">
        <v>0</v>
      </c>
      <c r="N482" s="9">
        <v>0</v>
      </c>
      <c r="O482" s="9">
        <v>1</v>
      </c>
      <c r="P482" s="9">
        <v>1</v>
      </c>
      <c r="Q482" s="9">
        <v>1</v>
      </c>
      <c r="R482" s="9">
        <v>2</v>
      </c>
      <c r="S482" s="9">
        <v>1</v>
      </c>
      <c r="T482" s="9">
        <v>1</v>
      </c>
      <c r="U482" s="9">
        <v>0</v>
      </c>
      <c r="V482" s="9">
        <v>0</v>
      </c>
      <c r="W482" s="9">
        <v>0</v>
      </c>
      <c r="X482" s="9">
        <v>2</v>
      </c>
      <c r="Y482" s="9">
        <v>2</v>
      </c>
      <c r="Z482" s="9">
        <v>6</v>
      </c>
      <c r="AA482" s="9">
        <v>5</v>
      </c>
      <c r="AB482" s="9">
        <v>5</v>
      </c>
      <c r="AC482" s="9">
        <v>5</v>
      </c>
      <c r="AD482" s="9">
        <v>3</v>
      </c>
      <c r="AE482" s="9">
        <v>3</v>
      </c>
      <c r="AF482" s="9">
        <v>3</v>
      </c>
      <c r="AG482" s="9">
        <v>3</v>
      </c>
      <c r="AH482" s="9">
        <v>2</v>
      </c>
      <c r="AI482" s="9">
        <v>3</v>
      </c>
      <c r="AJ482" s="9">
        <v>3</v>
      </c>
      <c r="AK482" s="9">
        <v>4</v>
      </c>
      <c r="AL482" s="9">
        <v>4</v>
      </c>
      <c r="AM482" s="9">
        <v>6</v>
      </c>
      <c r="AN482" s="9">
        <v>7</v>
      </c>
      <c r="AO482" s="9">
        <v>8</v>
      </c>
      <c r="AP482" s="9">
        <v>8</v>
      </c>
      <c r="AQ482" s="9">
        <v>9</v>
      </c>
      <c r="AR482" s="9">
        <v>10</v>
      </c>
      <c r="AS482" s="9">
        <v>9</v>
      </c>
      <c r="AT482" s="9">
        <v>8</v>
      </c>
      <c r="AU482" s="9">
        <v>10</v>
      </c>
      <c r="AV482" s="9">
        <v>10</v>
      </c>
      <c r="AW482" s="9">
        <v>8</v>
      </c>
      <c r="AX482" s="9">
        <v>9</v>
      </c>
      <c r="AY482" s="9">
        <v>10</v>
      </c>
      <c r="AZ482" s="9">
        <v>10</v>
      </c>
      <c r="BA482" s="9">
        <v>16</v>
      </c>
      <c r="BB482" s="9">
        <v>22</v>
      </c>
      <c r="BC482" s="9">
        <v>22</v>
      </c>
      <c r="BD482" s="9">
        <v>20</v>
      </c>
      <c r="BE482" s="9">
        <v>26</v>
      </c>
      <c r="BF482" s="9">
        <v>24</v>
      </c>
      <c r="BG482" s="9">
        <v>27</v>
      </c>
      <c r="BH482" s="9">
        <v>30</v>
      </c>
      <c r="BI482" s="9">
        <v>32</v>
      </c>
      <c r="BJ482" s="9">
        <v>44</v>
      </c>
      <c r="BK482" s="9">
        <v>48</v>
      </c>
      <c r="BL482" s="9">
        <v>50</v>
      </c>
      <c r="BM482" s="9">
        <v>50</v>
      </c>
      <c r="BN482" s="9">
        <v>53</v>
      </c>
      <c r="BO482" s="9">
        <v>55</v>
      </c>
      <c r="BP482" s="10">
        <v>64</v>
      </c>
      <c r="BQ482">
        <v>58</v>
      </c>
      <c r="BR482">
        <v>58</v>
      </c>
    </row>
    <row r="483" spans="1:70" x14ac:dyDescent="0.35">
      <c r="A483" s="8" t="s">
        <v>494</v>
      </c>
      <c r="B483" s="9" t="s">
        <v>527</v>
      </c>
      <c r="C483" s="10" t="s">
        <v>1303</v>
      </c>
      <c r="D483" s="34">
        <f t="shared" si="9"/>
        <v>28</v>
      </c>
      <c r="E483" s="9">
        <v>2</v>
      </c>
      <c r="F483" s="9">
        <v>2</v>
      </c>
      <c r="G483" s="9">
        <v>2</v>
      </c>
      <c r="H483" s="9">
        <v>2</v>
      </c>
      <c r="I483" s="9">
        <v>2</v>
      </c>
      <c r="J483" s="9">
        <v>3</v>
      </c>
      <c r="K483" s="9">
        <v>3</v>
      </c>
      <c r="L483" s="9">
        <v>3</v>
      </c>
      <c r="M483" s="9">
        <v>4</v>
      </c>
      <c r="N483" s="9">
        <v>3</v>
      </c>
      <c r="O483" s="9">
        <v>3</v>
      </c>
      <c r="P483" s="9">
        <v>3</v>
      </c>
      <c r="Q483" s="9">
        <v>3</v>
      </c>
      <c r="R483" s="9">
        <v>3</v>
      </c>
      <c r="S483" s="9">
        <v>1</v>
      </c>
      <c r="T483" s="9">
        <v>1</v>
      </c>
      <c r="U483" s="9">
        <v>1</v>
      </c>
      <c r="V483" s="9">
        <v>0</v>
      </c>
      <c r="W483" s="9">
        <v>0</v>
      </c>
      <c r="X483" s="9">
        <v>0</v>
      </c>
      <c r="Y483" s="9">
        <v>1</v>
      </c>
      <c r="Z483" s="9">
        <v>1</v>
      </c>
      <c r="AA483" s="9">
        <v>2</v>
      </c>
      <c r="AB483" s="9">
        <v>2</v>
      </c>
      <c r="AC483" s="9">
        <v>2</v>
      </c>
      <c r="AD483" s="9">
        <v>1</v>
      </c>
      <c r="AE483" s="9">
        <v>1</v>
      </c>
      <c r="AF483" s="9">
        <v>1</v>
      </c>
      <c r="AG483" s="9">
        <v>1</v>
      </c>
      <c r="AH483" s="9">
        <v>1</v>
      </c>
      <c r="AI483" s="9">
        <v>1</v>
      </c>
      <c r="AJ483" s="9">
        <v>1</v>
      </c>
      <c r="AK483" s="9">
        <v>1</v>
      </c>
      <c r="AL483" s="9">
        <v>1</v>
      </c>
      <c r="AM483" s="9">
        <v>1</v>
      </c>
      <c r="AN483" s="9">
        <v>1</v>
      </c>
      <c r="AO483" s="9">
        <v>2</v>
      </c>
      <c r="AP483" s="9">
        <v>3</v>
      </c>
      <c r="AQ483" s="9">
        <v>2</v>
      </c>
      <c r="AR483" s="9">
        <v>2</v>
      </c>
      <c r="AS483" s="9">
        <v>2</v>
      </c>
      <c r="AT483" s="9">
        <v>4</v>
      </c>
      <c r="AU483" s="9">
        <v>8</v>
      </c>
      <c r="AV483" s="9">
        <v>9</v>
      </c>
      <c r="AW483" s="9">
        <v>9</v>
      </c>
      <c r="AX483" s="9">
        <v>10</v>
      </c>
      <c r="AY483" s="9">
        <v>11</v>
      </c>
      <c r="AZ483" s="9">
        <v>11</v>
      </c>
      <c r="BA483" s="9">
        <v>12</v>
      </c>
      <c r="BB483" s="9">
        <v>16</v>
      </c>
      <c r="BC483" s="9">
        <v>14</v>
      </c>
      <c r="BD483" s="9">
        <v>16</v>
      </c>
      <c r="BE483" s="9">
        <v>17</v>
      </c>
      <c r="BF483" s="9">
        <v>15</v>
      </c>
      <c r="BG483" s="9">
        <v>14</v>
      </c>
      <c r="BH483" s="9">
        <v>15</v>
      </c>
      <c r="BI483" s="9">
        <v>18</v>
      </c>
      <c r="BJ483" s="9">
        <v>16</v>
      </c>
      <c r="BK483" s="9">
        <v>21</v>
      </c>
      <c r="BL483" s="9">
        <v>24</v>
      </c>
      <c r="BM483" s="9">
        <v>22</v>
      </c>
      <c r="BN483" s="9">
        <v>24</v>
      </c>
      <c r="BO483" s="9">
        <v>28</v>
      </c>
      <c r="BP483" s="10">
        <v>27</v>
      </c>
      <c r="BQ483">
        <v>25</v>
      </c>
      <c r="BR483">
        <v>24</v>
      </c>
    </row>
    <row r="484" spans="1:70" x14ac:dyDescent="0.35">
      <c r="A484" s="8" t="s">
        <v>494</v>
      </c>
      <c r="B484" s="9" t="s">
        <v>529</v>
      </c>
      <c r="C484" s="10" t="s">
        <v>1304</v>
      </c>
      <c r="D484" s="34">
        <f t="shared" si="9"/>
        <v>6</v>
      </c>
      <c r="E484" s="9">
        <v>0</v>
      </c>
      <c r="F484" s="9">
        <v>0</v>
      </c>
      <c r="G484" s="9">
        <v>0</v>
      </c>
      <c r="H484" s="9">
        <v>0</v>
      </c>
      <c r="I484" s="9">
        <v>0</v>
      </c>
      <c r="J484" s="9">
        <v>0</v>
      </c>
      <c r="K484" s="9">
        <v>0</v>
      </c>
      <c r="L484" s="9">
        <v>0</v>
      </c>
      <c r="M484" s="9">
        <v>0</v>
      </c>
      <c r="N484" s="9">
        <v>1</v>
      </c>
      <c r="O484" s="9">
        <v>0</v>
      </c>
      <c r="P484" s="9">
        <v>0</v>
      </c>
      <c r="Q484" s="9">
        <v>0</v>
      </c>
      <c r="R484" s="9">
        <v>0</v>
      </c>
      <c r="S484" s="9">
        <v>0</v>
      </c>
      <c r="T484" s="9">
        <v>0</v>
      </c>
      <c r="U484" s="9">
        <v>0</v>
      </c>
      <c r="V484" s="9">
        <v>0</v>
      </c>
      <c r="W484" s="9">
        <v>0</v>
      </c>
      <c r="X484" s="9">
        <v>0</v>
      </c>
      <c r="Y484" s="9">
        <v>0</v>
      </c>
      <c r="Z484" s="9">
        <v>0</v>
      </c>
      <c r="AA484" s="9">
        <v>0</v>
      </c>
      <c r="AB484" s="9">
        <v>0</v>
      </c>
      <c r="AC484" s="9">
        <v>0</v>
      </c>
      <c r="AD484" s="9">
        <v>0</v>
      </c>
      <c r="AE484" s="9">
        <v>0</v>
      </c>
      <c r="AF484" s="9">
        <v>0</v>
      </c>
      <c r="AG484" s="9">
        <v>0</v>
      </c>
      <c r="AH484" s="9">
        <v>0</v>
      </c>
      <c r="AI484" s="9">
        <v>1</v>
      </c>
      <c r="AJ484" s="9">
        <v>1</v>
      </c>
      <c r="AK484" s="9">
        <v>1</v>
      </c>
      <c r="AL484" s="9">
        <v>1</v>
      </c>
      <c r="AM484" s="9">
        <v>1</v>
      </c>
      <c r="AN484" s="9">
        <v>2</v>
      </c>
      <c r="AO484" s="9">
        <v>2</v>
      </c>
      <c r="AP484" s="9">
        <v>2</v>
      </c>
      <c r="AQ484" s="9">
        <v>2</v>
      </c>
      <c r="AR484" s="9">
        <v>4</v>
      </c>
      <c r="AS484" s="9">
        <v>4</v>
      </c>
      <c r="AT484" s="9">
        <v>3</v>
      </c>
      <c r="AU484" s="9">
        <v>2</v>
      </c>
      <c r="AV484" s="9">
        <v>3</v>
      </c>
      <c r="AW484" s="9">
        <v>2</v>
      </c>
      <c r="AX484" s="9">
        <v>2</v>
      </c>
      <c r="AY484" s="9">
        <v>2</v>
      </c>
      <c r="AZ484" s="9">
        <v>2</v>
      </c>
      <c r="BA484" s="9">
        <v>2</v>
      </c>
      <c r="BB484" s="9">
        <v>2</v>
      </c>
      <c r="BC484" s="9">
        <v>3</v>
      </c>
      <c r="BD484" s="9">
        <v>4</v>
      </c>
      <c r="BE484" s="9">
        <v>6</v>
      </c>
      <c r="BF484" s="9">
        <v>6</v>
      </c>
      <c r="BG484" s="9">
        <v>6</v>
      </c>
      <c r="BH484" s="9">
        <v>6</v>
      </c>
      <c r="BI484" s="9">
        <v>5</v>
      </c>
      <c r="BJ484" s="9">
        <v>6</v>
      </c>
      <c r="BK484" s="9">
        <v>5</v>
      </c>
      <c r="BL484" s="9">
        <v>5</v>
      </c>
      <c r="BM484" s="9">
        <v>5</v>
      </c>
      <c r="BN484" s="9">
        <v>5</v>
      </c>
      <c r="BO484" s="9">
        <v>6</v>
      </c>
      <c r="BP484" s="10">
        <v>4</v>
      </c>
      <c r="BQ484">
        <v>4</v>
      </c>
      <c r="BR484">
        <v>6</v>
      </c>
    </row>
    <row r="485" spans="1:70" x14ac:dyDescent="0.35">
      <c r="A485" s="8" t="s">
        <v>494</v>
      </c>
      <c r="B485" s="9" t="s">
        <v>533</v>
      </c>
      <c r="C485" s="10" t="s">
        <v>1305</v>
      </c>
      <c r="D485" s="34">
        <f t="shared" si="9"/>
        <v>39</v>
      </c>
      <c r="E485" s="9">
        <v>0</v>
      </c>
      <c r="F485" s="9">
        <v>1</v>
      </c>
      <c r="G485" s="9">
        <v>0</v>
      </c>
      <c r="H485" s="9">
        <v>0</v>
      </c>
      <c r="I485" s="9">
        <v>0</v>
      </c>
      <c r="J485" s="9">
        <v>1</v>
      </c>
      <c r="K485" s="9">
        <v>2</v>
      </c>
      <c r="L485" s="9">
        <v>1</v>
      </c>
      <c r="M485" s="9">
        <v>0</v>
      </c>
      <c r="N485" s="9">
        <v>0</v>
      </c>
      <c r="O485" s="9">
        <v>0</v>
      </c>
      <c r="P485" s="9">
        <v>1</v>
      </c>
      <c r="Q485" s="9">
        <v>0</v>
      </c>
      <c r="R485" s="9">
        <v>0</v>
      </c>
      <c r="S485" s="9">
        <v>0</v>
      </c>
      <c r="T485" s="9">
        <v>0</v>
      </c>
      <c r="U485" s="9">
        <v>0</v>
      </c>
      <c r="V485" s="9">
        <v>0</v>
      </c>
      <c r="W485" s="9">
        <v>0</v>
      </c>
      <c r="X485" s="9">
        <v>1</v>
      </c>
      <c r="Y485" s="9">
        <v>0</v>
      </c>
      <c r="Z485" s="9">
        <v>0</v>
      </c>
      <c r="AA485" s="9">
        <v>4</v>
      </c>
      <c r="AB485" s="9">
        <v>3</v>
      </c>
      <c r="AC485" s="9">
        <v>3</v>
      </c>
      <c r="AD485" s="9">
        <v>7</v>
      </c>
      <c r="AE485" s="9">
        <v>5</v>
      </c>
      <c r="AF485" s="9">
        <v>6</v>
      </c>
      <c r="AG485" s="9">
        <v>7</v>
      </c>
      <c r="AH485" s="9">
        <v>3</v>
      </c>
      <c r="AI485" s="9">
        <v>5</v>
      </c>
      <c r="AJ485" s="9">
        <v>5</v>
      </c>
      <c r="AK485" s="9">
        <v>8</v>
      </c>
      <c r="AL485" s="9">
        <v>8</v>
      </c>
      <c r="AM485" s="9">
        <v>9</v>
      </c>
      <c r="AN485" s="9">
        <v>6</v>
      </c>
      <c r="AO485" s="9">
        <v>8</v>
      </c>
      <c r="AP485" s="9">
        <v>7</v>
      </c>
      <c r="AQ485" s="9">
        <v>12</v>
      </c>
      <c r="AR485" s="9">
        <v>9</v>
      </c>
      <c r="AS485" s="9">
        <v>10</v>
      </c>
      <c r="AT485" s="9">
        <v>12</v>
      </c>
      <c r="AU485" s="9">
        <v>13</v>
      </c>
      <c r="AV485" s="9">
        <v>15</v>
      </c>
      <c r="AW485" s="9">
        <v>10</v>
      </c>
      <c r="AX485" s="9">
        <v>8</v>
      </c>
      <c r="AY485" s="9">
        <v>9</v>
      </c>
      <c r="AZ485" s="9">
        <v>9</v>
      </c>
      <c r="BA485" s="9">
        <v>12</v>
      </c>
      <c r="BB485" s="9">
        <v>15</v>
      </c>
      <c r="BC485" s="9">
        <v>14</v>
      </c>
      <c r="BD485" s="9">
        <v>13</v>
      </c>
      <c r="BE485" s="9">
        <v>9</v>
      </c>
      <c r="BF485" s="9">
        <v>10</v>
      </c>
      <c r="BG485" s="9">
        <v>10</v>
      </c>
      <c r="BH485" s="9">
        <v>10</v>
      </c>
      <c r="BI485" s="9">
        <v>14</v>
      </c>
      <c r="BJ485" s="9">
        <v>15</v>
      </c>
      <c r="BK485" s="9">
        <v>18</v>
      </c>
      <c r="BL485" s="9">
        <v>20</v>
      </c>
      <c r="BM485" s="9">
        <v>25</v>
      </c>
      <c r="BN485" s="9">
        <v>31</v>
      </c>
      <c r="BO485" s="9">
        <v>34</v>
      </c>
      <c r="BP485" s="10">
        <v>39</v>
      </c>
      <c r="BQ485">
        <v>35</v>
      </c>
      <c r="BR485">
        <v>36</v>
      </c>
    </row>
    <row r="486" spans="1:70" x14ac:dyDescent="0.35">
      <c r="A486" s="8" t="s">
        <v>494</v>
      </c>
      <c r="B486" s="9" t="s">
        <v>535</v>
      </c>
      <c r="C486" s="10" t="s">
        <v>1306</v>
      </c>
      <c r="D486" s="34">
        <f t="shared" si="9"/>
        <v>3</v>
      </c>
      <c r="E486" s="9">
        <v>0</v>
      </c>
      <c r="F486" s="9">
        <v>0</v>
      </c>
      <c r="G486" s="9">
        <v>0</v>
      </c>
      <c r="H486" s="9">
        <v>0</v>
      </c>
      <c r="I486" s="9">
        <v>0</v>
      </c>
      <c r="J486" s="9">
        <v>0</v>
      </c>
      <c r="K486" s="9">
        <v>0</v>
      </c>
      <c r="L486" s="9">
        <v>0</v>
      </c>
      <c r="M486" s="9">
        <v>0</v>
      </c>
      <c r="N486" s="9">
        <v>0</v>
      </c>
      <c r="O486" s="9">
        <v>0</v>
      </c>
      <c r="P486" s="9">
        <v>0</v>
      </c>
      <c r="Q486" s="9">
        <v>0</v>
      </c>
      <c r="R486" s="9">
        <v>0</v>
      </c>
      <c r="S486" s="9">
        <v>0</v>
      </c>
      <c r="T486" s="9">
        <v>0</v>
      </c>
      <c r="U486" s="9">
        <v>0</v>
      </c>
      <c r="V486" s="9">
        <v>0</v>
      </c>
      <c r="W486" s="9">
        <v>0</v>
      </c>
      <c r="X486" s="9">
        <v>0</v>
      </c>
      <c r="Y486" s="9">
        <v>0</v>
      </c>
      <c r="Z486" s="9">
        <v>0</v>
      </c>
      <c r="AA486" s="9">
        <v>0</v>
      </c>
      <c r="AB486" s="9">
        <v>0</v>
      </c>
      <c r="AC486" s="9">
        <v>0</v>
      </c>
      <c r="AD486" s="9">
        <v>0</v>
      </c>
      <c r="AE486" s="9">
        <v>0</v>
      </c>
      <c r="AF486" s="9">
        <v>0</v>
      </c>
      <c r="AG486" s="9">
        <v>0</v>
      </c>
      <c r="AH486" s="9">
        <v>0</v>
      </c>
      <c r="AI486" s="9">
        <v>0</v>
      </c>
      <c r="AJ486" s="9">
        <v>0</v>
      </c>
      <c r="AK486" s="9">
        <v>0</v>
      </c>
      <c r="AL486" s="9">
        <v>0</v>
      </c>
      <c r="AM486" s="9">
        <v>0</v>
      </c>
      <c r="AN486" s="9">
        <v>0</v>
      </c>
      <c r="AO486" s="9">
        <v>0</v>
      </c>
      <c r="AP486" s="9">
        <v>0</v>
      </c>
      <c r="AQ486" s="9">
        <v>0</v>
      </c>
      <c r="AR486" s="9">
        <v>0</v>
      </c>
      <c r="AS486" s="9">
        <v>0</v>
      </c>
      <c r="AT486" s="9">
        <v>0</v>
      </c>
      <c r="AU486" s="9">
        <v>0</v>
      </c>
      <c r="AV486" s="9">
        <v>0</v>
      </c>
      <c r="AW486" s="9">
        <v>0</v>
      </c>
      <c r="AX486" s="9">
        <v>0</v>
      </c>
      <c r="AY486" s="9">
        <v>0</v>
      </c>
      <c r="AZ486" s="9">
        <v>0</v>
      </c>
      <c r="BA486" s="9">
        <v>0</v>
      </c>
      <c r="BB486" s="9">
        <v>0</v>
      </c>
      <c r="BC486" s="9">
        <v>0</v>
      </c>
      <c r="BD486" s="9">
        <v>0</v>
      </c>
      <c r="BE486" s="9">
        <v>0</v>
      </c>
      <c r="BF486" s="9">
        <v>0</v>
      </c>
      <c r="BG486" s="9">
        <v>0</v>
      </c>
      <c r="BH486" s="9">
        <v>0</v>
      </c>
      <c r="BI486" s="9">
        <v>0</v>
      </c>
      <c r="BJ486" s="9">
        <v>1</v>
      </c>
      <c r="BK486" s="9">
        <v>1</v>
      </c>
      <c r="BL486" s="9">
        <v>1</v>
      </c>
      <c r="BM486" s="9">
        <v>2</v>
      </c>
      <c r="BN486" s="9">
        <v>2</v>
      </c>
      <c r="BO486" s="9">
        <v>1</v>
      </c>
      <c r="BP486" s="10">
        <v>1</v>
      </c>
      <c r="BQ486">
        <v>2</v>
      </c>
      <c r="BR486">
        <v>3</v>
      </c>
    </row>
    <row r="487" spans="1:70" x14ac:dyDescent="0.35">
      <c r="A487" s="8" t="s">
        <v>494</v>
      </c>
      <c r="B487" s="9" t="s">
        <v>537</v>
      </c>
      <c r="C487" s="10" t="s">
        <v>1307</v>
      </c>
      <c r="D487" s="34">
        <f t="shared" si="9"/>
        <v>88</v>
      </c>
      <c r="E487" s="9">
        <v>3</v>
      </c>
      <c r="F487" s="9">
        <v>1</v>
      </c>
      <c r="G487" s="9">
        <v>1</v>
      </c>
      <c r="H487" s="9">
        <v>1</v>
      </c>
      <c r="I487" s="9">
        <v>1</v>
      </c>
      <c r="J487" s="9">
        <v>1</v>
      </c>
      <c r="K487" s="9">
        <v>1</v>
      </c>
      <c r="L487" s="9">
        <v>1</v>
      </c>
      <c r="M487" s="9">
        <v>1</v>
      </c>
      <c r="N487" s="9">
        <v>2</v>
      </c>
      <c r="O487" s="9">
        <v>1</v>
      </c>
      <c r="P487" s="9">
        <v>1</v>
      </c>
      <c r="Q487" s="9">
        <v>1</v>
      </c>
      <c r="R487" s="9">
        <v>1</v>
      </c>
      <c r="S487" s="9">
        <v>1</v>
      </c>
      <c r="T487" s="9">
        <v>2</v>
      </c>
      <c r="U487" s="9">
        <v>3</v>
      </c>
      <c r="V487" s="9">
        <v>4</v>
      </c>
      <c r="W487" s="9">
        <v>4</v>
      </c>
      <c r="X487" s="9">
        <v>5</v>
      </c>
      <c r="Y487" s="9">
        <v>5</v>
      </c>
      <c r="Z487" s="9">
        <v>5</v>
      </c>
      <c r="AA487" s="9">
        <v>5</v>
      </c>
      <c r="AB487" s="9">
        <v>5</v>
      </c>
      <c r="AC487" s="9">
        <v>5</v>
      </c>
      <c r="AD487" s="9">
        <v>5</v>
      </c>
      <c r="AE487" s="9">
        <v>9</v>
      </c>
      <c r="AF487" s="9">
        <v>7</v>
      </c>
      <c r="AG487" s="9">
        <v>9</v>
      </c>
      <c r="AH487" s="9">
        <v>8</v>
      </c>
      <c r="AI487" s="9">
        <v>10</v>
      </c>
      <c r="AJ487" s="9">
        <v>13</v>
      </c>
      <c r="AK487" s="9">
        <v>16</v>
      </c>
      <c r="AL487" s="9">
        <v>18</v>
      </c>
      <c r="AM487" s="9">
        <v>19</v>
      </c>
      <c r="AN487" s="9">
        <v>20</v>
      </c>
      <c r="AO487" s="9">
        <v>18</v>
      </c>
      <c r="AP487" s="9">
        <v>14</v>
      </c>
      <c r="AQ487" s="9">
        <v>16</v>
      </c>
      <c r="AR487" s="9">
        <v>20</v>
      </c>
      <c r="AS487" s="9">
        <v>23</v>
      </c>
      <c r="AT487" s="9">
        <v>27</v>
      </c>
      <c r="AU487" s="9">
        <v>25</v>
      </c>
      <c r="AV487" s="9">
        <v>23</v>
      </c>
      <c r="AW487" s="9">
        <v>25</v>
      </c>
      <c r="AX487" s="9">
        <v>26</v>
      </c>
      <c r="AY487" s="9">
        <v>28</v>
      </c>
      <c r="AZ487" s="9">
        <v>31</v>
      </c>
      <c r="BA487" s="9">
        <v>32</v>
      </c>
      <c r="BB487" s="9">
        <v>33</v>
      </c>
      <c r="BC487" s="9">
        <v>29</v>
      </c>
      <c r="BD487" s="9">
        <v>34</v>
      </c>
      <c r="BE487" s="9">
        <v>37</v>
      </c>
      <c r="BF487" s="9">
        <v>34</v>
      </c>
      <c r="BG487" s="9">
        <v>35</v>
      </c>
      <c r="BH487" s="9">
        <v>45</v>
      </c>
      <c r="BI487" s="9">
        <v>43</v>
      </c>
      <c r="BJ487" s="9">
        <v>55</v>
      </c>
      <c r="BK487" s="9">
        <v>55</v>
      </c>
      <c r="BL487" s="9">
        <v>56</v>
      </c>
      <c r="BM487" s="9">
        <v>56</v>
      </c>
      <c r="BN487" s="9">
        <v>67</v>
      </c>
      <c r="BO487" s="9">
        <v>83</v>
      </c>
      <c r="BP487" s="10">
        <v>83</v>
      </c>
      <c r="BQ487">
        <v>88</v>
      </c>
      <c r="BR487">
        <v>82</v>
      </c>
    </row>
    <row r="488" spans="1:70" x14ac:dyDescent="0.35">
      <c r="A488" s="11" t="s">
        <v>494</v>
      </c>
      <c r="B488" s="12" t="s">
        <v>539</v>
      </c>
      <c r="C488" s="13" t="s">
        <v>1308</v>
      </c>
      <c r="D488" s="34">
        <f t="shared" si="9"/>
        <v>4</v>
      </c>
      <c r="E488" s="12">
        <v>1</v>
      </c>
      <c r="F488" s="12">
        <v>1</v>
      </c>
      <c r="G488" s="12">
        <v>1</v>
      </c>
      <c r="H488" s="12">
        <v>1</v>
      </c>
      <c r="I488" s="12">
        <v>1</v>
      </c>
      <c r="J488" s="12">
        <v>1</v>
      </c>
      <c r="K488" s="12">
        <v>1</v>
      </c>
      <c r="L488" s="12">
        <v>1</v>
      </c>
      <c r="M488" s="12">
        <v>1</v>
      </c>
      <c r="N488" s="12">
        <v>0</v>
      </c>
      <c r="O488" s="12">
        <v>0</v>
      </c>
      <c r="P488" s="12">
        <v>0</v>
      </c>
      <c r="Q488" s="12">
        <v>0</v>
      </c>
      <c r="R488" s="12">
        <v>0</v>
      </c>
      <c r="S488" s="12">
        <v>0</v>
      </c>
      <c r="T488" s="12">
        <v>0</v>
      </c>
      <c r="U488" s="12">
        <v>0</v>
      </c>
      <c r="V488" s="12">
        <v>0</v>
      </c>
      <c r="W488" s="12">
        <v>0</v>
      </c>
      <c r="X488" s="12">
        <v>0</v>
      </c>
      <c r="Y488" s="12">
        <v>0</v>
      </c>
      <c r="Z488" s="12">
        <v>0</v>
      </c>
      <c r="AA488" s="12">
        <v>0</v>
      </c>
      <c r="AB488" s="12">
        <v>0</v>
      </c>
      <c r="AC488" s="12">
        <v>0</v>
      </c>
      <c r="AD488" s="12">
        <v>0</v>
      </c>
      <c r="AE488" s="12">
        <v>0</v>
      </c>
      <c r="AF488" s="12">
        <v>0</v>
      </c>
      <c r="AG488" s="12">
        <v>0</v>
      </c>
      <c r="AH488" s="12">
        <v>0</v>
      </c>
      <c r="AI488" s="12">
        <v>0</v>
      </c>
      <c r="AJ488" s="12">
        <v>0</v>
      </c>
      <c r="AK488" s="12">
        <v>0</v>
      </c>
      <c r="AL488" s="12">
        <v>0</v>
      </c>
      <c r="AM488" s="12">
        <v>0</v>
      </c>
      <c r="AN488" s="12">
        <v>0</v>
      </c>
      <c r="AO488" s="12">
        <v>0</v>
      </c>
      <c r="AP488" s="12">
        <v>1</v>
      </c>
      <c r="AQ488" s="12">
        <v>1</v>
      </c>
      <c r="AR488" s="12">
        <v>1</v>
      </c>
      <c r="AS488" s="12">
        <v>0</v>
      </c>
      <c r="AT488" s="12">
        <v>0</v>
      </c>
      <c r="AU488" s="12">
        <v>0</v>
      </c>
      <c r="AV488" s="12">
        <v>0</v>
      </c>
      <c r="AW488" s="12">
        <v>0</v>
      </c>
      <c r="AX488" s="12">
        <v>1</v>
      </c>
      <c r="AY488" s="12">
        <v>1</v>
      </c>
      <c r="AZ488" s="12">
        <v>1</v>
      </c>
      <c r="BA488" s="12">
        <v>1</v>
      </c>
      <c r="BB488" s="12">
        <v>2</v>
      </c>
      <c r="BC488" s="12">
        <v>3</v>
      </c>
      <c r="BD488" s="12">
        <v>3</v>
      </c>
      <c r="BE488" s="12">
        <v>3</v>
      </c>
      <c r="BF488" s="12">
        <v>3</v>
      </c>
      <c r="BG488" s="12">
        <v>2</v>
      </c>
      <c r="BH488" s="12">
        <v>3</v>
      </c>
      <c r="BI488" s="12">
        <v>3</v>
      </c>
      <c r="BJ488" s="12">
        <v>3</v>
      </c>
      <c r="BK488" s="12">
        <v>3</v>
      </c>
      <c r="BL488" s="12">
        <v>2</v>
      </c>
      <c r="BM488" s="12">
        <v>2</v>
      </c>
      <c r="BN488" s="12">
        <v>3</v>
      </c>
      <c r="BO488" s="12">
        <v>4</v>
      </c>
      <c r="BP488" s="13">
        <v>4</v>
      </c>
      <c r="BQ488">
        <v>4</v>
      </c>
      <c r="BR488">
        <v>2</v>
      </c>
    </row>
    <row r="489" spans="1:70" x14ac:dyDescent="0.35">
      <c r="A489" t="s">
        <v>494</v>
      </c>
      <c r="B489" t="s">
        <v>541</v>
      </c>
      <c r="C489" t="s">
        <v>1309</v>
      </c>
      <c r="D489" s="34">
        <f t="shared" si="9"/>
        <v>0</v>
      </c>
      <c r="E489">
        <v>0</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row>
  </sheetData>
  <conditionalFormatting sqref="E4:BR4">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284F4-462B-4BF1-B9E8-113FDCB143A0}">
  <sheetPr>
    <tabColor theme="7" tint="0.79998168889431442"/>
  </sheetPr>
  <dimension ref="A1:EI315"/>
  <sheetViews>
    <sheetView workbookViewId="0">
      <selection activeCell="A2" sqref="A2"/>
    </sheetView>
  </sheetViews>
  <sheetFormatPr defaultRowHeight="14.5" x14ac:dyDescent="0.35"/>
  <cols>
    <col min="2" max="2" width="10.453125" bestFit="1" customWidth="1"/>
    <col min="3" max="3" width="64.36328125" customWidth="1"/>
    <col min="4" max="4" width="50.453125" customWidth="1"/>
    <col min="5" max="137" width="10.453125" bestFit="1" customWidth="1"/>
    <col min="138" max="138" width="11.26953125" customWidth="1"/>
    <col min="139" max="139" width="11.1796875" customWidth="1"/>
  </cols>
  <sheetData>
    <row r="1" spans="1:139" s="9" customFormat="1" x14ac:dyDescent="0.35">
      <c r="A1" s="18"/>
      <c r="B1" s="15" t="s">
        <v>544</v>
      </c>
      <c r="C1" s="15" t="s">
        <v>545</v>
      </c>
      <c r="D1" s="15" t="s">
        <v>1321</v>
      </c>
      <c r="E1" s="15">
        <v>43909</v>
      </c>
      <c r="F1" s="15">
        <v>43910</v>
      </c>
      <c r="G1" s="15">
        <v>43911</v>
      </c>
      <c r="H1" s="15">
        <v>43912</v>
      </c>
      <c r="I1" s="15">
        <v>43913</v>
      </c>
      <c r="J1" s="15">
        <v>43914</v>
      </c>
      <c r="K1" s="15">
        <v>43915</v>
      </c>
      <c r="L1" s="15">
        <v>43916</v>
      </c>
      <c r="M1" s="15">
        <v>43917</v>
      </c>
      <c r="N1" s="15">
        <v>43918</v>
      </c>
      <c r="O1" s="15">
        <v>43919</v>
      </c>
      <c r="P1" s="15">
        <v>43920</v>
      </c>
      <c r="Q1" s="15">
        <v>43921</v>
      </c>
      <c r="R1" s="15">
        <v>43922</v>
      </c>
      <c r="S1" s="15">
        <v>43923</v>
      </c>
      <c r="T1" s="15">
        <v>43924</v>
      </c>
      <c r="U1" s="15">
        <v>43925</v>
      </c>
      <c r="V1" s="15">
        <v>43926</v>
      </c>
      <c r="W1" s="15">
        <v>43927</v>
      </c>
      <c r="X1" s="15">
        <v>43928</v>
      </c>
      <c r="Y1" s="15">
        <v>43929</v>
      </c>
      <c r="Z1" s="15">
        <v>43930</v>
      </c>
      <c r="AA1" s="15">
        <v>43931</v>
      </c>
      <c r="AB1" s="15">
        <v>43932</v>
      </c>
      <c r="AC1" s="15">
        <v>43933</v>
      </c>
      <c r="AD1" s="15">
        <v>43934</v>
      </c>
      <c r="AE1" s="15">
        <v>43935</v>
      </c>
      <c r="AF1" s="15">
        <v>43936</v>
      </c>
      <c r="AG1" s="15">
        <v>43937</v>
      </c>
      <c r="AH1" s="15">
        <v>43938</v>
      </c>
      <c r="AI1" s="15">
        <v>43939</v>
      </c>
      <c r="AJ1" s="15">
        <v>43940</v>
      </c>
      <c r="AK1" s="15">
        <v>43941</v>
      </c>
      <c r="AL1" s="15">
        <v>43942</v>
      </c>
      <c r="AM1" s="15">
        <v>43943</v>
      </c>
      <c r="AN1" s="15">
        <v>43944</v>
      </c>
      <c r="AO1" s="15">
        <v>43945</v>
      </c>
      <c r="AP1" s="15">
        <v>43946</v>
      </c>
      <c r="AQ1" s="15">
        <v>43947</v>
      </c>
      <c r="AR1" s="15">
        <v>43948</v>
      </c>
      <c r="AS1" s="15">
        <v>43949</v>
      </c>
      <c r="AT1" s="15">
        <v>43950</v>
      </c>
      <c r="AU1" s="15">
        <v>43951</v>
      </c>
      <c r="AV1" s="15">
        <v>43952</v>
      </c>
      <c r="AW1" s="15">
        <v>43953</v>
      </c>
      <c r="AX1" s="15">
        <v>43954</v>
      </c>
      <c r="AY1" s="15">
        <v>43955</v>
      </c>
      <c r="AZ1" s="15">
        <v>43956</v>
      </c>
      <c r="BA1" s="15">
        <v>43957</v>
      </c>
      <c r="BB1" s="15">
        <v>43958</v>
      </c>
      <c r="BC1" s="15">
        <v>43959</v>
      </c>
      <c r="BD1" s="15">
        <v>43960</v>
      </c>
      <c r="BE1" s="15">
        <v>43961</v>
      </c>
      <c r="BF1" s="15">
        <v>43962</v>
      </c>
      <c r="BG1" s="15">
        <v>43963</v>
      </c>
      <c r="BH1" s="15">
        <v>43964</v>
      </c>
      <c r="BI1" s="15">
        <v>43965</v>
      </c>
      <c r="BJ1" s="15">
        <v>43966</v>
      </c>
      <c r="BK1" s="15">
        <v>43967</v>
      </c>
      <c r="BL1" s="15">
        <v>43968</v>
      </c>
      <c r="BM1" s="15">
        <v>43969</v>
      </c>
      <c r="BN1" s="15">
        <v>43970</v>
      </c>
      <c r="BO1" s="15">
        <v>43971</v>
      </c>
      <c r="BP1" s="15">
        <v>43972</v>
      </c>
      <c r="BQ1" s="15">
        <v>43973</v>
      </c>
      <c r="BR1" s="15">
        <v>43974</v>
      </c>
      <c r="BS1" s="15">
        <v>43975</v>
      </c>
      <c r="BT1" s="15">
        <v>43976</v>
      </c>
      <c r="BU1" s="15">
        <v>43977</v>
      </c>
      <c r="BV1" s="15">
        <v>43978</v>
      </c>
      <c r="BW1" s="15">
        <v>43979</v>
      </c>
      <c r="BX1" s="15">
        <v>43980</v>
      </c>
      <c r="BY1" s="15">
        <v>43981</v>
      </c>
      <c r="BZ1" s="15">
        <v>43982</v>
      </c>
      <c r="CA1" s="15">
        <v>43983</v>
      </c>
      <c r="CB1" s="15">
        <v>43984</v>
      </c>
      <c r="CC1" s="15">
        <v>43985</v>
      </c>
      <c r="CD1" s="15">
        <v>43986</v>
      </c>
      <c r="CE1" s="15">
        <v>43987</v>
      </c>
      <c r="CF1" s="15">
        <v>43988</v>
      </c>
      <c r="CG1" s="15">
        <v>43989</v>
      </c>
      <c r="CH1" s="15">
        <v>43990</v>
      </c>
      <c r="CI1" s="15">
        <v>43991</v>
      </c>
      <c r="CJ1" s="15">
        <v>43992</v>
      </c>
      <c r="CK1" s="15">
        <v>43993</v>
      </c>
      <c r="CL1" s="15">
        <v>43994</v>
      </c>
      <c r="CM1" s="15">
        <v>43995</v>
      </c>
      <c r="CN1" s="15">
        <v>43996</v>
      </c>
      <c r="CO1" s="15">
        <v>43997</v>
      </c>
      <c r="CP1" s="15">
        <v>43998</v>
      </c>
      <c r="CQ1" s="15">
        <v>43999</v>
      </c>
      <c r="CR1" s="15">
        <v>44000</v>
      </c>
      <c r="CS1" s="15">
        <v>44001</v>
      </c>
      <c r="CT1" s="15">
        <v>44002</v>
      </c>
      <c r="CU1" s="15">
        <v>44003</v>
      </c>
      <c r="CV1" s="15">
        <v>44004</v>
      </c>
      <c r="CW1" s="15">
        <v>44005</v>
      </c>
      <c r="CX1" s="15">
        <v>44006</v>
      </c>
      <c r="CY1" s="15">
        <v>44007</v>
      </c>
      <c r="CZ1" s="15">
        <v>44008</v>
      </c>
      <c r="DA1" s="15">
        <v>44009</v>
      </c>
      <c r="DB1" s="15">
        <v>44010</v>
      </c>
      <c r="DC1" s="15">
        <v>44011</v>
      </c>
      <c r="DD1" s="15">
        <v>44012</v>
      </c>
      <c r="DE1" s="15">
        <v>44013</v>
      </c>
      <c r="DF1" s="15">
        <v>44014</v>
      </c>
      <c r="DG1" s="15">
        <v>44015</v>
      </c>
      <c r="DH1" s="15">
        <v>44016</v>
      </c>
      <c r="DI1" s="15">
        <v>44017</v>
      </c>
      <c r="DJ1" s="15">
        <v>44018</v>
      </c>
      <c r="DK1" s="15">
        <v>44019</v>
      </c>
      <c r="DL1" s="15">
        <v>44020</v>
      </c>
      <c r="DM1" s="15">
        <v>44021</v>
      </c>
      <c r="DN1" s="15">
        <v>44022</v>
      </c>
      <c r="DO1" s="15">
        <v>44023</v>
      </c>
      <c r="DP1" s="15">
        <v>44024</v>
      </c>
      <c r="DQ1" s="15">
        <v>44025</v>
      </c>
      <c r="DR1" s="15">
        <v>44026</v>
      </c>
      <c r="DS1" s="15">
        <v>44027</v>
      </c>
      <c r="DT1" s="15">
        <v>44028</v>
      </c>
      <c r="DU1" s="15">
        <v>44029</v>
      </c>
      <c r="DV1" s="15">
        <v>44030</v>
      </c>
      <c r="DW1" s="15">
        <v>44031</v>
      </c>
      <c r="DX1" s="15">
        <v>44032</v>
      </c>
      <c r="DY1" s="15">
        <v>44033</v>
      </c>
      <c r="DZ1" s="15">
        <v>44034</v>
      </c>
      <c r="EA1" s="15">
        <v>44035</v>
      </c>
      <c r="EB1" s="15">
        <v>44036</v>
      </c>
      <c r="EC1" s="15">
        <v>44037</v>
      </c>
      <c r="ED1" s="15">
        <v>44038</v>
      </c>
      <c r="EE1" s="15">
        <v>44039</v>
      </c>
      <c r="EF1" s="15">
        <v>44040</v>
      </c>
      <c r="EG1" s="15">
        <v>44041</v>
      </c>
      <c r="EH1" s="15">
        <v>44042</v>
      </c>
      <c r="EI1" s="16">
        <v>44043</v>
      </c>
    </row>
    <row r="2" spans="1:139" x14ac:dyDescent="0.35">
      <c r="A2" s="8" t="s">
        <v>0</v>
      </c>
      <c r="B2" s="9" t="s">
        <v>1</v>
      </c>
      <c r="C2" s="9" t="s">
        <v>2</v>
      </c>
      <c r="D2" s="9">
        <f>SUM(E2:EI2)</f>
        <v>0</v>
      </c>
      <c r="E2" s="9">
        <v>0</v>
      </c>
      <c r="F2" s="9">
        <v>0</v>
      </c>
      <c r="G2" s="9">
        <v>0</v>
      </c>
      <c r="H2" s="9">
        <v>0</v>
      </c>
      <c r="I2" s="9">
        <v>0</v>
      </c>
      <c r="J2" s="9">
        <v>0</v>
      </c>
      <c r="K2" s="9">
        <v>0</v>
      </c>
      <c r="L2" s="9">
        <v>0</v>
      </c>
      <c r="M2" s="9">
        <v>0</v>
      </c>
      <c r="N2" s="9">
        <v>0</v>
      </c>
      <c r="O2" s="9">
        <v>0</v>
      </c>
      <c r="P2" s="9">
        <v>0</v>
      </c>
      <c r="Q2" s="9">
        <v>0</v>
      </c>
      <c r="R2" s="9">
        <v>0</v>
      </c>
      <c r="S2" s="9">
        <v>0</v>
      </c>
      <c r="T2" s="9">
        <v>0</v>
      </c>
      <c r="U2" s="9">
        <v>0</v>
      </c>
      <c r="V2" s="9">
        <v>0</v>
      </c>
      <c r="W2" s="9">
        <v>0</v>
      </c>
      <c r="X2" s="9">
        <v>0</v>
      </c>
      <c r="Y2" s="9">
        <v>0</v>
      </c>
      <c r="Z2" s="9">
        <v>0</v>
      </c>
      <c r="AA2" s="9">
        <v>0</v>
      </c>
      <c r="AB2" s="9">
        <v>0</v>
      </c>
      <c r="AC2" s="9">
        <v>0</v>
      </c>
      <c r="AD2" s="9">
        <v>0</v>
      </c>
      <c r="AE2" s="9">
        <v>0</v>
      </c>
      <c r="AF2" s="9">
        <v>0</v>
      </c>
      <c r="AG2" s="9">
        <v>0</v>
      </c>
      <c r="AH2" s="9">
        <v>0</v>
      </c>
      <c r="AI2" s="9">
        <v>0</v>
      </c>
      <c r="AJ2" s="9">
        <v>0</v>
      </c>
      <c r="AK2" s="9">
        <v>0</v>
      </c>
      <c r="AL2" s="9">
        <v>0</v>
      </c>
      <c r="AM2" s="9">
        <v>0</v>
      </c>
      <c r="AN2" s="9">
        <v>0</v>
      </c>
      <c r="AO2" s="9">
        <v>0</v>
      </c>
      <c r="AP2" s="9">
        <v>0</v>
      </c>
      <c r="AQ2" s="9">
        <v>0</v>
      </c>
      <c r="AR2" s="9">
        <v>0</v>
      </c>
      <c r="AS2" s="9">
        <v>0</v>
      </c>
      <c r="AT2" s="9">
        <v>0</v>
      </c>
      <c r="AU2" s="9">
        <v>0</v>
      </c>
      <c r="AV2" s="9">
        <v>0</v>
      </c>
      <c r="AW2" s="9">
        <v>0</v>
      </c>
      <c r="AX2" s="9">
        <v>0</v>
      </c>
      <c r="AY2" s="9">
        <v>0</v>
      </c>
      <c r="AZ2" s="9">
        <v>0</v>
      </c>
      <c r="BA2" s="9">
        <v>0</v>
      </c>
      <c r="BB2" s="9">
        <v>0</v>
      </c>
      <c r="BC2" s="9">
        <v>0</v>
      </c>
      <c r="BD2" s="9">
        <v>0</v>
      </c>
      <c r="BE2" s="9">
        <v>0</v>
      </c>
      <c r="BF2" s="9">
        <v>0</v>
      </c>
      <c r="BG2" s="9">
        <v>0</v>
      </c>
      <c r="BH2" s="9">
        <v>0</v>
      </c>
      <c r="BI2" s="9">
        <v>0</v>
      </c>
      <c r="BJ2" s="9">
        <v>0</v>
      </c>
      <c r="BK2" s="9">
        <v>0</v>
      </c>
      <c r="BL2" s="9">
        <v>0</v>
      </c>
      <c r="BM2" s="9">
        <v>0</v>
      </c>
      <c r="BN2" s="9">
        <v>0</v>
      </c>
      <c r="BO2" s="9">
        <v>0</v>
      </c>
      <c r="BP2" s="9">
        <v>0</v>
      </c>
      <c r="BQ2" s="9">
        <v>0</v>
      </c>
      <c r="BR2" s="9">
        <v>0</v>
      </c>
      <c r="BS2" s="9">
        <v>0</v>
      </c>
      <c r="BT2" s="9">
        <v>0</v>
      </c>
      <c r="BU2" s="9">
        <v>0</v>
      </c>
      <c r="BV2" s="9">
        <v>0</v>
      </c>
      <c r="BW2" s="9">
        <v>0</v>
      </c>
      <c r="BX2" s="9">
        <v>0</v>
      </c>
      <c r="BY2" s="9">
        <v>0</v>
      </c>
      <c r="BZ2" s="9">
        <v>0</v>
      </c>
      <c r="CA2" s="9">
        <v>0</v>
      </c>
      <c r="CB2" s="9">
        <v>0</v>
      </c>
      <c r="CC2" s="9">
        <v>0</v>
      </c>
      <c r="CD2" s="9">
        <v>0</v>
      </c>
      <c r="CE2" s="9">
        <v>0</v>
      </c>
      <c r="CF2" s="9">
        <v>0</v>
      </c>
      <c r="CG2" s="9">
        <v>0</v>
      </c>
      <c r="CH2" s="9">
        <v>0</v>
      </c>
      <c r="CI2" s="9">
        <v>0</v>
      </c>
      <c r="CJ2" s="9">
        <v>0</v>
      </c>
      <c r="CK2" s="9">
        <v>0</v>
      </c>
      <c r="CL2" s="9">
        <v>0</v>
      </c>
      <c r="CM2" s="9">
        <v>0</v>
      </c>
      <c r="CN2" s="9">
        <v>0</v>
      </c>
      <c r="CO2" s="9">
        <v>0</v>
      </c>
      <c r="CP2" s="9">
        <v>0</v>
      </c>
      <c r="CQ2" s="9">
        <v>0</v>
      </c>
      <c r="CR2" s="9">
        <v>0</v>
      </c>
      <c r="CS2" s="9">
        <v>0</v>
      </c>
      <c r="CT2" s="9">
        <v>0</v>
      </c>
      <c r="CU2" s="9">
        <v>0</v>
      </c>
      <c r="CV2" s="9">
        <v>0</v>
      </c>
      <c r="CW2" s="9">
        <v>0</v>
      </c>
      <c r="CX2" s="9">
        <v>0</v>
      </c>
      <c r="CY2" s="9">
        <v>0</v>
      </c>
      <c r="CZ2" s="9">
        <v>0</v>
      </c>
      <c r="DA2" s="9">
        <v>0</v>
      </c>
      <c r="DB2" s="9">
        <v>0</v>
      </c>
      <c r="DC2" s="9">
        <v>0</v>
      </c>
      <c r="DD2" s="9">
        <v>0</v>
      </c>
      <c r="DE2" s="9">
        <v>0</v>
      </c>
      <c r="DF2" s="9">
        <v>0</v>
      </c>
      <c r="DG2" s="9">
        <v>0</v>
      </c>
      <c r="DH2" s="9">
        <v>0</v>
      </c>
      <c r="DI2" s="9">
        <v>0</v>
      </c>
      <c r="DJ2" s="9">
        <v>0</v>
      </c>
      <c r="DK2" s="9">
        <v>0</v>
      </c>
      <c r="DL2" s="9">
        <v>0</v>
      </c>
      <c r="DM2" s="9">
        <v>0</v>
      </c>
      <c r="DN2" s="9">
        <v>0</v>
      </c>
      <c r="DO2" s="9">
        <v>0</v>
      </c>
      <c r="DP2" s="9">
        <v>0</v>
      </c>
      <c r="DQ2" s="9">
        <v>0</v>
      </c>
      <c r="DR2" s="9">
        <v>0</v>
      </c>
      <c r="DS2" s="9">
        <v>0</v>
      </c>
      <c r="DT2" s="9">
        <v>0</v>
      </c>
      <c r="DU2" s="9">
        <v>0</v>
      </c>
      <c r="DV2" s="9">
        <v>0</v>
      </c>
      <c r="DW2" s="9">
        <v>0</v>
      </c>
      <c r="DX2" s="9">
        <v>0</v>
      </c>
      <c r="DY2" s="9">
        <v>0</v>
      </c>
      <c r="DZ2" s="9">
        <v>0</v>
      </c>
      <c r="EA2" s="9">
        <v>0</v>
      </c>
      <c r="EB2" s="9">
        <v>0</v>
      </c>
      <c r="EC2" s="9">
        <v>0</v>
      </c>
      <c r="ED2" s="9">
        <v>0</v>
      </c>
      <c r="EE2" s="9">
        <v>0</v>
      </c>
      <c r="EF2" s="9">
        <v>0</v>
      </c>
      <c r="EG2" s="9">
        <v>0</v>
      </c>
      <c r="EH2" s="9">
        <v>0</v>
      </c>
      <c r="EI2" s="10">
        <v>0</v>
      </c>
    </row>
    <row r="3" spans="1:139" x14ac:dyDescent="0.35">
      <c r="A3" s="8" t="s">
        <v>0</v>
      </c>
      <c r="B3" s="9" t="s">
        <v>3</v>
      </c>
      <c r="C3" s="9" t="s">
        <v>4</v>
      </c>
      <c r="D3" s="9">
        <f t="shared" ref="D3:D66" si="0">SUM(E3:EI3)</f>
        <v>0</v>
      </c>
      <c r="E3" s="9">
        <v>0</v>
      </c>
      <c r="F3" s="9">
        <v>0</v>
      </c>
      <c r="G3" s="9">
        <v>0</v>
      </c>
      <c r="H3" s="9">
        <v>0</v>
      </c>
      <c r="I3" s="9">
        <v>0</v>
      </c>
      <c r="J3" s="9">
        <v>0</v>
      </c>
      <c r="K3" s="9">
        <v>0</v>
      </c>
      <c r="L3" s="9">
        <v>0</v>
      </c>
      <c r="M3" s="9">
        <v>0</v>
      </c>
      <c r="N3" s="9">
        <v>0</v>
      </c>
      <c r="O3" s="9">
        <v>0</v>
      </c>
      <c r="P3" s="9">
        <v>0</v>
      </c>
      <c r="Q3" s="9">
        <v>0</v>
      </c>
      <c r="R3" s="9">
        <v>0</v>
      </c>
      <c r="S3" s="9">
        <v>0</v>
      </c>
      <c r="T3" s="9">
        <v>0</v>
      </c>
      <c r="U3" s="9">
        <v>0</v>
      </c>
      <c r="V3" s="9">
        <v>0</v>
      </c>
      <c r="W3" s="9">
        <v>0</v>
      </c>
      <c r="X3" s="9">
        <v>0</v>
      </c>
      <c r="Y3" s="9">
        <v>0</v>
      </c>
      <c r="Z3" s="9">
        <v>0</v>
      </c>
      <c r="AA3" s="9">
        <v>0</v>
      </c>
      <c r="AB3" s="9">
        <v>0</v>
      </c>
      <c r="AC3" s="9">
        <v>0</v>
      </c>
      <c r="AD3" s="9">
        <v>0</v>
      </c>
      <c r="AE3" s="9">
        <v>0</v>
      </c>
      <c r="AF3" s="9">
        <v>0</v>
      </c>
      <c r="AG3" s="9">
        <v>0</v>
      </c>
      <c r="AH3" s="9">
        <v>0</v>
      </c>
      <c r="AI3" s="9">
        <v>0</v>
      </c>
      <c r="AJ3" s="9">
        <v>0</v>
      </c>
      <c r="AK3" s="9">
        <v>0</v>
      </c>
      <c r="AL3" s="9">
        <v>0</v>
      </c>
      <c r="AM3" s="9">
        <v>0</v>
      </c>
      <c r="AN3" s="9">
        <v>0</v>
      </c>
      <c r="AO3" s="9">
        <v>0</v>
      </c>
      <c r="AP3" s="9">
        <v>0</v>
      </c>
      <c r="AQ3" s="9">
        <v>0</v>
      </c>
      <c r="AR3" s="9">
        <v>0</v>
      </c>
      <c r="AS3" s="9">
        <v>0</v>
      </c>
      <c r="AT3" s="9">
        <v>0</v>
      </c>
      <c r="AU3" s="9">
        <v>0</v>
      </c>
      <c r="AV3" s="9">
        <v>0</v>
      </c>
      <c r="AW3" s="9">
        <v>0</v>
      </c>
      <c r="AX3" s="9">
        <v>0</v>
      </c>
      <c r="AY3" s="9">
        <v>0</v>
      </c>
      <c r="AZ3" s="9">
        <v>0</v>
      </c>
      <c r="BA3" s="9">
        <v>0</v>
      </c>
      <c r="BB3" s="9">
        <v>0</v>
      </c>
      <c r="BC3" s="9">
        <v>0</v>
      </c>
      <c r="BD3" s="9">
        <v>0</v>
      </c>
      <c r="BE3" s="9">
        <v>0</v>
      </c>
      <c r="BF3" s="9">
        <v>0</v>
      </c>
      <c r="BG3" s="9">
        <v>0</v>
      </c>
      <c r="BH3" s="9">
        <v>0</v>
      </c>
      <c r="BI3" s="9">
        <v>0</v>
      </c>
      <c r="BJ3" s="9">
        <v>0</v>
      </c>
      <c r="BK3" s="9">
        <v>0</v>
      </c>
      <c r="BL3" s="9">
        <v>0</v>
      </c>
      <c r="BM3" s="9">
        <v>0</v>
      </c>
      <c r="BN3" s="9">
        <v>0</v>
      </c>
      <c r="BO3" s="9">
        <v>0</v>
      </c>
      <c r="BP3" s="9">
        <v>0</v>
      </c>
      <c r="BQ3" s="9">
        <v>0</v>
      </c>
      <c r="BR3" s="9">
        <v>0</v>
      </c>
      <c r="BS3" s="9">
        <v>0</v>
      </c>
      <c r="BT3" s="9">
        <v>0</v>
      </c>
      <c r="BU3" s="9">
        <v>0</v>
      </c>
      <c r="BV3" s="9">
        <v>0</v>
      </c>
      <c r="BW3" s="9">
        <v>0</v>
      </c>
      <c r="BX3" s="9">
        <v>0</v>
      </c>
      <c r="BY3" s="9">
        <v>0</v>
      </c>
      <c r="BZ3" s="9">
        <v>0</v>
      </c>
      <c r="CA3" s="9">
        <v>0</v>
      </c>
      <c r="CB3" s="9">
        <v>0</v>
      </c>
      <c r="CC3" s="9">
        <v>0</v>
      </c>
      <c r="CD3" s="9">
        <v>0</v>
      </c>
      <c r="CE3" s="9">
        <v>0</v>
      </c>
      <c r="CF3" s="9">
        <v>0</v>
      </c>
      <c r="CG3" s="9">
        <v>0</v>
      </c>
      <c r="CH3" s="9">
        <v>0</v>
      </c>
      <c r="CI3" s="9">
        <v>0</v>
      </c>
      <c r="CJ3" s="9">
        <v>0</v>
      </c>
      <c r="CK3" s="9">
        <v>0</v>
      </c>
      <c r="CL3" s="9">
        <v>0</v>
      </c>
      <c r="CM3" s="9">
        <v>0</v>
      </c>
      <c r="CN3" s="9">
        <v>0</v>
      </c>
      <c r="CO3" s="9">
        <v>0</v>
      </c>
      <c r="CP3" s="9">
        <v>0</v>
      </c>
      <c r="CQ3" s="9">
        <v>0</v>
      </c>
      <c r="CR3" s="9">
        <v>0</v>
      </c>
      <c r="CS3" s="9">
        <v>0</v>
      </c>
      <c r="CT3" s="9">
        <v>0</v>
      </c>
      <c r="CU3" s="9">
        <v>0</v>
      </c>
      <c r="CV3" s="9">
        <v>0</v>
      </c>
      <c r="CW3" s="9">
        <v>0</v>
      </c>
      <c r="CX3" s="9">
        <v>0</v>
      </c>
      <c r="CY3" s="9">
        <v>0</v>
      </c>
      <c r="CZ3" s="9">
        <v>0</v>
      </c>
      <c r="DA3" s="9">
        <v>0</v>
      </c>
      <c r="DB3" s="9">
        <v>0</v>
      </c>
      <c r="DC3" s="9">
        <v>0</v>
      </c>
      <c r="DD3" s="9">
        <v>0</v>
      </c>
      <c r="DE3" s="9">
        <v>0</v>
      </c>
      <c r="DF3" s="9">
        <v>0</v>
      </c>
      <c r="DG3" s="9">
        <v>0</v>
      </c>
      <c r="DH3" s="9">
        <v>0</v>
      </c>
      <c r="DI3" s="9">
        <v>0</v>
      </c>
      <c r="DJ3" s="9">
        <v>0</v>
      </c>
      <c r="DK3" s="9">
        <v>0</v>
      </c>
      <c r="DL3" s="9">
        <v>0</v>
      </c>
      <c r="DM3" s="9">
        <v>0</v>
      </c>
      <c r="DN3" s="9">
        <v>0</v>
      </c>
      <c r="DO3" s="9">
        <v>0</v>
      </c>
      <c r="DP3" s="9">
        <v>0</v>
      </c>
      <c r="DQ3" s="9">
        <v>0</v>
      </c>
      <c r="DR3" s="9">
        <v>0</v>
      </c>
      <c r="DS3" s="9">
        <v>0</v>
      </c>
      <c r="DT3" s="9">
        <v>0</v>
      </c>
      <c r="DU3" s="9">
        <v>0</v>
      </c>
      <c r="DV3" s="9">
        <v>0</v>
      </c>
      <c r="DW3" s="9">
        <v>0</v>
      </c>
      <c r="DX3" s="9">
        <v>0</v>
      </c>
      <c r="DY3" s="9">
        <v>0</v>
      </c>
      <c r="DZ3" s="9">
        <v>0</v>
      </c>
      <c r="EA3" s="9">
        <v>0</v>
      </c>
      <c r="EB3" s="9">
        <v>0</v>
      </c>
      <c r="EC3" s="9">
        <v>0</v>
      </c>
      <c r="ED3" s="9">
        <v>0</v>
      </c>
      <c r="EE3" s="9">
        <v>0</v>
      </c>
      <c r="EF3" s="9">
        <v>0</v>
      </c>
      <c r="EG3" s="9">
        <v>0</v>
      </c>
      <c r="EH3" s="9">
        <v>0</v>
      </c>
      <c r="EI3" s="10">
        <v>0</v>
      </c>
    </row>
    <row r="4" spans="1:139" x14ac:dyDescent="0.35">
      <c r="A4" s="8" t="s">
        <v>0</v>
      </c>
      <c r="B4" s="9" t="s">
        <v>5</v>
      </c>
      <c r="C4" s="9" t="s">
        <v>6</v>
      </c>
      <c r="D4" s="9">
        <f t="shared" si="0"/>
        <v>0</v>
      </c>
      <c r="E4" s="9">
        <v>0</v>
      </c>
      <c r="F4" s="9">
        <v>0</v>
      </c>
      <c r="G4" s="9">
        <v>0</v>
      </c>
      <c r="H4" s="9">
        <v>0</v>
      </c>
      <c r="I4" s="9">
        <v>0</v>
      </c>
      <c r="J4" s="9">
        <v>0</v>
      </c>
      <c r="K4" s="9">
        <v>0</v>
      </c>
      <c r="L4" s="9">
        <v>0</v>
      </c>
      <c r="M4" s="9">
        <v>0</v>
      </c>
      <c r="N4" s="9">
        <v>0</v>
      </c>
      <c r="O4" s="9">
        <v>0</v>
      </c>
      <c r="P4" s="9">
        <v>0</v>
      </c>
      <c r="Q4" s="9">
        <v>0</v>
      </c>
      <c r="R4" s="9">
        <v>0</v>
      </c>
      <c r="S4" s="9">
        <v>0</v>
      </c>
      <c r="T4" s="9">
        <v>0</v>
      </c>
      <c r="U4" s="9">
        <v>0</v>
      </c>
      <c r="V4" s="9">
        <v>0</v>
      </c>
      <c r="W4" s="9">
        <v>0</v>
      </c>
      <c r="X4" s="9">
        <v>0</v>
      </c>
      <c r="Y4" s="9">
        <v>0</v>
      </c>
      <c r="Z4" s="9">
        <v>0</v>
      </c>
      <c r="AA4" s="9">
        <v>0</v>
      </c>
      <c r="AB4" s="9">
        <v>0</v>
      </c>
      <c r="AC4" s="9">
        <v>0</v>
      </c>
      <c r="AD4" s="9">
        <v>0</v>
      </c>
      <c r="AE4" s="9">
        <v>0</v>
      </c>
      <c r="AF4" s="9">
        <v>0</v>
      </c>
      <c r="AG4" s="9">
        <v>0</v>
      </c>
      <c r="AH4" s="9">
        <v>0</v>
      </c>
      <c r="AI4" s="9">
        <v>0</v>
      </c>
      <c r="AJ4" s="9">
        <v>0</v>
      </c>
      <c r="AK4" s="9">
        <v>0</v>
      </c>
      <c r="AL4" s="9">
        <v>0</v>
      </c>
      <c r="AM4" s="9">
        <v>0</v>
      </c>
      <c r="AN4" s="9">
        <v>0</v>
      </c>
      <c r="AO4" s="9">
        <v>0</v>
      </c>
      <c r="AP4" s="9">
        <v>0</v>
      </c>
      <c r="AQ4" s="9">
        <v>0</v>
      </c>
      <c r="AR4" s="9">
        <v>0</v>
      </c>
      <c r="AS4" s="9">
        <v>0</v>
      </c>
      <c r="AT4" s="9">
        <v>0</v>
      </c>
      <c r="AU4" s="9">
        <v>0</v>
      </c>
      <c r="AV4" s="9">
        <v>0</v>
      </c>
      <c r="AW4" s="9">
        <v>0</v>
      </c>
      <c r="AX4" s="9">
        <v>0</v>
      </c>
      <c r="AY4" s="9">
        <v>0</v>
      </c>
      <c r="AZ4" s="9">
        <v>0</v>
      </c>
      <c r="BA4" s="9">
        <v>0</v>
      </c>
      <c r="BB4" s="9">
        <v>0</v>
      </c>
      <c r="BC4" s="9">
        <v>0</v>
      </c>
      <c r="BD4" s="9">
        <v>0</v>
      </c>
      <c r="BE4" s="9">
        <v>0</v>
      </c>
      <c r="BF4" s="9">
        <v>0</v>
      </c>
      <c r="BG4" s="9">
        <v>0</v>
      </c>
      <c r="BH4" s="9">
        <v>0</v>
      </c>
      <c r="BI4" s="9">
        <v>0</v>
      </c>
      <c r="BJ4" s="9">
        <v>0</v>
      </c>
      <c r="BK4" s="9">
        <v>0</v>
      </c>
      <c r="BL4" s="9">
        <v>0</v>
      </c>
      <c r="BM4" s="9">
        <v>0</v>
      </c>
      <c r="BN4" s="9">
        <v>0</v>
      </c>
      <c r="BO4" s="9">
        <v>0</v>
      </c>
      <c r="BP4" s="9">
        <v>0</v>
      </c>
      <c r="BQ4" s="9">
        <v>0</v>
      </c>
      <c r="BR4" s="9">
        <v>0</v>
      </c>
      <c r="BS4" s="9">
        <v>0</v>
      </c>
      <c r="BT4" s="9">
        <v>0</v>
      </c>
      <c r="BU4" s="9">
        <v>0</v>
      </c>
      <c r="BV4" s="9">
        <v>0</v>
      </c>
      <c r="BW4" s="9">
        <v>0</v>
      </c>
      <c r="BX4" s="9">
        <v>0</v>
      </c>
      <c r="BY4" s="9">
        <v>0</v>
      </c>
      <c r="BZ4" s="9">
        <v>0</v>
      </c>
      <c r="CA4" s="9">
        <v>0</v>
      </c>
      <c r="CB4" s="9">
        <v>0</v>
      </c>
      <c r="CC4" s="9">
        <v>0</v>
      </c>
      <c r="CD4" s="9">
        <v>0</v>
      </c>
      <c r="CE4" s="9">
        <v>0</v>
      </c>
      <c r="CF4" s="9">
        <v>0</v>
      </c>
      <c r="CG4" s="9">
        <v>0</v>
      </c>
      <c r="CH4" s="9">
        <v>0</v>
      </c>
      <c r="CI4" s="9">
        <v>0</v>
      </c>
      <c r="CJ4" s="9">
        <v>0</v>
      </c>
      <c r="CK4" s="9">
        <v>0</v>
      </c>
      <c r="CL4" s="9">
        <v>0</v>
      </c>
      <c r="CM4" s="9">
        <v>0</v>
      </c>
      <c r="CN4" s="9">
        <v>0</v>
      </c>
      <c r="CO4" s="9">
        <v>0</v>
      </c>
      <c r="CP4" s="9">
        <v>0</v>
      </c>
      <c r="CQ4" s="9">
        <v>0</v>
      </c>
      <c r="CR4" s="9">
        <v>0</v>
      </c>
      <c r="CS4" s="9">
        <v>0</v>
      </c>
      <c r="CT4" s="9">
        <v>0</v>
      </c>
      <c r="CU4" s="9">
        <v>0</v>
      </c>
      <c r="CV4" s="9">
        <v>0</v>
      </c>
      <c r="CW4" s="9">
        <v>0</v>
      </c>
      <c r="CX4" s="9">
        <v>0</v>
      </c>
      <c r="CY4" s="9">
        <v>0</v>
      </c>
      <c r="CZ4" s="9">
        <v>0</v>
      </c>
      <c r="DA4" s="9">
        <v>0</v>
      </c>
      <c r="DB4" s="9">
        <v>0</v>
      </c>
      <c r="DC4" s="9">
        <v>0</v>
      </c>
      <c r="DD4" s="9">
        <v>0</v>
      </c>
      <c r="DE4" s="9">
        <v>0</v>
      </c>
      <c r="DF4" s="9">
        <v>0</v>
      </c>
      <c r="DG4" s="9">
        <v>0</v>
      </c>
      <c r="DH4" s="9">
        <v>0</v>
      </c>
      <c r="DI4" s="9">
        <v>0</v>
      </c>
      <c r="DJ4" s="9">
        <v>0</v>
      </c>
      <c r="DK4" s="9">
        <v>0</v>
      </c>
      <c r="DL4" s="9">
        <v>0</v>
      </c>
      <c r="DM4" s="9">
        <v>0</v>
      </c>
      <c r="DN4" s="9">
        <v>0</v>
      </c>
      <c r="DO4" s="9">
        <v>0</v>
      </c>
      <c r="DP4" s="9">
        <v>0</v>
      </c>
      <c r="DQ4" s="9">
        <v>0</v>
      </c>
      <c r="DR4" s="9">
        <v>0</v>
      </c>
      <c r="DS4" s="9">
        <v>0</v>
      </c>
      <c r="DT4" s="9">
        <v>0</v>
      </c>
      <c r="DU4" s="9">
        <v>0</v>
      </c>
      <c r="DV4" s="9">
        <v>0</v>
      </c>
      <c r="DW4" s="9">
        <v>0</v>
      </c>
      <c r="DX4" s="9">
        <v>0</v>
      </c>
      <c r="DY4" s="9">
        <v>0</v>
      </c>
      <c r="DZ4" s="9">
        <v>0</v>
      </c>
      <c r="EA4" s="9">
        <v>0</v>
      </c>
      <c r="EB4" s="9">
        <v>0</v>
      </c>
      <c r="EC4" s="9">
        <v>0</v>
      </c>
      <c r="ED4" s="9">
        <v>0</v>
      </c>
      <c r="EE4" s="9">
        <v>0</v>
      </c>
      <c r="EF4" s="9">
        <v>0</v>
      </c>
      <c r="EG4" s="9">
        <v>0</v>
      </c>
      <c r="EH4" s="9">
        <v>0</v>
      </c>
      <c r="EI4" s="10">
        <v>0</v>
      </c>
    </row>
    <row r="5" spans="1:139" x14ac:dyDescent="0.35">
      <c r="A5" s="8" t="s">
        <v>0</v>
      </c>
      <c r="B5" s="9" t="s">
        <v>7</v>
      </c>
      <c r="C5" s="9" t="s">
        <v>8</v>
      </c>
      <c r="D5" s="9">
        <f t="shared" si="0"/>
        <v>0</v>
      </c>
      <c r="E5" s="9">
        <v>0</v>
      </c>
      <c r="F5" s="9">
        <v>0</v>
      </c>
      <c r="G5" s="9">
        <v>0</v>
      </c>
      <c r="H5" s="9">
        <v>0</v>
      </c>
      <c r="I5" s="9">
        <v>0</v>
      </c>
      <c r="J5" s="9">
        <v>0</v>
      </c>
      <c r="K5" s="9">
        <v>0</v>
      </c>
      <c r="L5" s="9">
        <v>0</v>
      </c>
      <c r="M5" s="9">
        <v>0</v>
      </c>
      <c r="N5" s="9">
        <v>0</v>
      </c>
      <c r="O5" s="9">
        <v>0</v>
      </c>
      <c r="P5" s="9">
        <v>0</v>
      </c>
      <c r="Q5" s="9">
        <v>0</v>
      </c>
      <c r="R5" s="9">
        <v>0</v>
      </c>
      <c r="S5" s="9">
        <v>0</v>
      </c>
      <c r="T5" s="9">
        <v>0</v>
      </c>
      <c r="U5" s="9">
        <v>0</v>
      </c>
      <c r="V5" s="9">
        <v>0</v>
      </c>
      <c r="W5" s="9">
        <v>0</v>
      </c>
      <c r="X5" s="9">
        <v>0</v>
      </c>
      <c r="Y5" s="9">
        <v>0</v>
      </c>
      <c r="Z5" s="9">
        <v>0</v>
      </c>
      <c r="AA5" s="9">
        <v>0</v>
      </c>
      <c r="AB5" s="9">
        <v>0</v>
      </c>
      <c r="AC5" s="9">
        <v>0</v>
      </c>
      <c r="AD5" s="9">
        <v>0</v>
      </c>
      <c r="AE5" s="9">
        <v>0</v>
      </c>
      <c r="AF5" s="9">
        <v>0</v>
      </c>
      <c r="AG5" s="9">
        <v>0</v>
      </c>
      <c r="AH5" s="9">
        <v>0</v>
      </c>
      <c r="AI5" s="9">
        <v>0</v>
      </c>
      <c r="AJ5" s="9">
        <v>0</v>
      </c>
      <c r="AK5" s="9">
        <v>0</v>
      </c>
      <c r="AL5" s="9">
        <v>0</v>
      </c>
      <c r="AM5" s="9">
        <v>0</v>
      </c>
      <c r="AN5" s="9">
        <v>0</v>
      </c>
      <c r="AO5" s="9">
        <v>0</v>
      </c>
      <c r="AP5" s="9">
        <v>0</v>
      </c>
      <c r="AQ5" s="9">
        <v>0</v>
      </c>
      <c r="AR5" s="9">
        <v>0</v>
      </c>
      <c r="AS5" s="9">
        <v>0</v>
      </c>
      <c r="AT5" s="9">
        <v>0</v>
      </c>
      <c r="AU5" s="9">
        <v>0</v>
      </c>
      <c r="AV5" s="9">
        <v>0</v>
      </c>
      <c r="AW5" s="9">
        <v>0</v>
      </c>
      <c r="AX5" s="9">
        <v>0</v>
      </c>
      <c r="AY5" s="9">
        <v>0</v>
      </c>
      <c r="AZ5" s="9">
        <v>0</v>
      </c>
      <c r="BA5" s="9">
        <v>0</v>
      </c>
      <c r="BB5" s="9">
        <v>0</v>
      </c>
      <c r="BC5" s="9">
        <v>0</v>
      </c>
      <c r="BD5" s="9">
        <v>0</v>
      </c>
      <c r="BE5" s="9">
        <v>0</v>
      </c>
      <c r="BF5" s="9">
        <v>0</v>
      </c>
      <c r="BG5" s="9">
        <v>0</v>
      </c>
      <c r="BH5" s="9">
        <v>0</v>
      </c>
      <c r="BI5" s="9">
        <v>0</v>
      </c>
      <c r="BJ5" s="9">
        <v>0</v>
      </c>
      <c r="BK5" s="9">
        <v>0</v>
      </c>
      <c r="BL5" s="9">
        <v>0</v>
      </c>
      <c r="BM5" s="9">
        <v>0</v>
      </c>
      <c r="BN5" s="9">
        <v>0</v>
      </c>
      <c r="BO5" s="9">
        <v>0</v>
      </c>
      <c r="BP5" s="9">
        <v>0</v>
      </c>
      <c r="BQ5" s="9">
        <v>0</v>
      </c>
      <c r="BR5" s="9">
        <v>0</v>
      </c>
      <c r="BS5" s="9">
        <v>0</v>
      </c>
      <c r="BT5" s="9">
        <v>0</v>
      </c>
      <c r="BU5" s="9">
        <v>0</v>
      </c>
      <c r="BV5" s="9">
        <v>0</v>
      </c>
      <c r="BW5" s="9">
        <v>0</v>
      </c>
      <c r="BX5" s="9">
        <v>0</v>
      </c>
      <c r="BY5" s="9">
        <v>0</v>
      </c>
      <c r="BZ5" s="9">
        <v>0</v>
      </c>
      <c r="CA5" s="9">
        <v>0</v>
      </c>
      <c r="CB5" s="9">
        <v>0</v>
      </c>
      <c r="CC5" s="9">
        <v>0</v>
      </c>
      <c r="CD5" s="9">
        <v>0</v>
      </c>
      <c r="CE5" s="9">
        <v>0</v>
      </c>
      <c r="CF5" s="9">
        <v>0</v>
      </c>
      <c r="CG5" s="9">
        <v>0</v>
      </c>
      <c r="CH5" s="9">
        <v>0</v>
      </c>
      <c r="CI5" s="9">
        <v>0</v>
      </c>
      <c r="CJ5" s="9">
        <v>0</v>
      </c>
      <c r="CK5" s="9">
        <v>0</v>
      </c>
      <c r="CL5" s="9">
        <v>0</v>
      </c>
      <c r="CM5" s="9">
        <v>0</v>
      </c>
      <c r="CN5" s="9">
        <v>0</v>
      </c>
      <c r="CO5" s="9">
        <v>0</v>
      </c>
      <c r="CP5" s="9">
        <v>0</v>
      </c>
      <c r="CQ5" s="9">
        <v>0</v>
      </c>
      <c r="CR5" s="9">
        <v>0</v>
      </c>
      <c r="CS5" s="9">
        <v>0</v>
      </c>
      <c r="CT5" s="9">
        <v>0</v>
      </c>
      <c r="CU5" s="9">
        <v>0</v>
      </c>
      <c r="CV5" s="9">
        <v>0</v>
      </c>
      <c r="CW5" s="9">
        <v>0</v>
      </c>
      <c r="CX5" s="9">
        <v>0</v>
      </c>
      <c r="CY5" s="9">
        <v>0</v>
      </c>
      <c r="CZ5" s="9">
        <v>0</v>
      </c>
      <c r="DA5" s="9">
        <v>0</v>
      </c>
      <c r="DB5" s="9">
        <v>0</v>
      </c>
      <c r="DC5" s="9">
        <v>0</v>
      </c>
      <c r="DD5" s="9">
        <v>0</v>
      </c>
      <c r="DE5" s="9">
        <v>0</v>
      </c>
      <c r="DF5" s="9">
        <v>0</v>
      </c>
      <c r="DG5" s="9">
        <v>0</v>
      </c>
      <c r="DH5" s="9">
        <v>0</v>
      </c>
      <c r="DI5" s="9">
        <v>0</v>
      </c>
      <c r="DJ5" s="9">
        <v>0</v>
      </c>
      <c r="DK5" s="9">
        <v>0</v>
      </c>
      <c r="DL5" s="9">
        <v>0</v>
      </c>
      <c r="DM5" s="9">
        <v>0</v>
      </c>
      <c r="DN5" s="9">
        <v>0</v>
      </c>
      <c r="DO5" s="9">
        <v>0</v>
      </c>
      <c r="DP5" s="9">
        <v>0</v>
      </c>
      <c r="DQ5" s="9">
        <v>0</v>
      </c>
      <c r="DR5" s="9">
        <v>0</v>
      </c>
      <c r="DS5" s="9">
        <v>0</v>
      </c>
      <c r="DT5" s="9">
        <v>0</v>
      </c>
      <c r="DU5" s="9">
        <v>0</v>
      </c>
      <c r="DV5" s="9">
        <v>0</v>
      </c>
      <c r="DW5" s="9">
        <v>0</v>
      </c>
      <c r="DX5" s="9">
        <v>0</v>
      </c>
      <c r="DY5" s="9">
        <v>0</v>
      </c>
      <c r="DZ5" s="9">
        <v>0</v>
      </c>
      <c r="EA5" s="9">
        <v>0</v>
      </c>
      <c r="EB5" s="9">
        <v>0</v>
      </c>
      <c r="EC5" s="9">
        <v>0</v>
      </c>
      <c r="ED5" s="9">
        <v>0</v>
      </c>
      <c r="EE5" s="9">
        <v>0</v>
      </c>
      <c r="EF5" s="9">
        <v>0</v>
      </c>
      <c r="EG5" s="9">
        <v>0</v>
      </c>
      <c r="EH5" s="9">
        <v>0</v>
      </c>
      <c r="EI5" s="10">
        <v>0</v>
      </c>
    </row>
    <row r="6" spans="1:139" x14ac:dyDescent="0.35">
      <c r="A6" s="8" t="s">
        <v>0</v>
      </c>
      <c r="B6" s="9" t="s">
        <v>9</v>
      </c>
      <c r="C6" s="9" t="s">
        <v>10</v>
      </c>
      <c r="D6" s="9">
        <f t="shared" si="0"/>
        <v>7</v>
      </c>
      <c r="E6" s="9">
        <v>0</v>
      </c>
      <c r="F6" s="9">
        <v>0</v>
      </c>
      <c r="G6" s="9">
        <v>0</v>
      </c>
      <c r="H6" s="9">
        <v>0</v>
      </c>
      <c r="I6" s="9">
        <v>0</v>
      </c>
      <c r="J6" s="9">
        <v>0</v>
      </c>
      <c r="K6" s="9">
        <v>0</v>
      </c>
      <c r="L6" s="9">
        <v>0</v>
      </c>
      <c r="M6" s="9">
        <v>0</v>
      </c>
      <c r="N6" s="9">
        <v>0</v>
      </c>
      <c r="O6" s="9">
        <v>0</v>
      </c>
      <c r="P6" s="9">
        <v>0</v>
      </c>
      <c r="Q6" s="9">
        <v>0</v>
      </c>
      <c r="R6" s="9">
        <v>0</v>
      </c>
      <c r="S6" s="9">
        <v>0</v>
      </c>
      <c r="T6" s="9">
        <v>0</v>
      </c>
      <c r="U6" s="9">
        <v>0</v>
      </c>
      <c r="V6" s="9">
        <v>0</v>
      </c>
      <c r="W6" s="9">
        <v>1</v>
      </c>
      <c r="X6" s="9">
        <v>0</v>
      </c>
      <c r="Y6" s="9">
        <v>0</v>
      </c>
      <c r="Z6" s="9">
        <v>0</v>
      </c>
      <c r="AA6" s="9">
        <v>0</v>
      </c>
      <c r="AB6" s="9">
        <v>0</v>
      </c>
      <c r="AC6" s="9">
        <v>0</v>
      </c>
      <c r="AD6" s="9">
        <v>0</v>
      </c>
      <c r="AE6" s="9">
        <v>0</v>
      </c>
      <c r="AF6" s="9">
        <v>0</v>
      </c>
      <c r="AG6" s="9">
        <v>0</v>
      </c>
      <c r="AH6" s="9">
        <v>0</v>
      </c>
      <c r="AI6" s="9">
        <v>0</v>
      </c>
      <c r="AJ6" s="9">
        <v>0</v>
      </c>
      <c r="AK6" s="9">
        <v>0</v>
      </c>
      <c r="AL6" s="9">
        <v>0</v>
      </c>
      <c r="AM6" s="9">
        <v>0</v>
      </c>
      <c r="AN6" s="9">
        <v>0</v>
      </c>
      <c r="AO6" s="9">
        <v>0</v>
      </c>
      <c r="AP6" s="9">
        <v>0</v>
      </c>
      <c r="AQ6" s="9">
        <v>0</v>
      </c>
      <c r="AR6" s="9">
        <v>0</v>
      </c>
      <c r="AS6" s="9">
        <v>0</v>
      </c>
      <c r="AT6" s="9">
        <v>0</v>
      </c>
      <c r="AU6" s="9">
        <v>1</v>
      </c>
      <c r="AV6" s="9">
        <v>0</v>
      </c>
      <c r="AW6" s="9">
        <v>0</v>
      </c>
      <c r="AX6" s="9">
        <v>0</v>
      </c>
      <c r="AY6" s="9">
        <v>0</v>
      </c>
      <c r="AZ6" s="9">
        <v>0</v>
      </c>
      <c r="BA6" s="9">
        <v>0</v>
      </c>
      <c r="BB6" s="9">
        <v>0</v>
      </c>
      <c r="BC6" s="9">
        <v>0</v>
      </c>
      <c r="BD6" s="9">
        <v>0</v>
      </c>
      <c r="BE6" s="9">
        <v>0</v>
      </c>
      <c r="BF6" s="9">
        <v>0</v>
      </c>
      <c r="BG6" s="9">
        <v>0</v>
      </c>
      <c r="BH6" s="9">
        <v>2</v>
      </c>
      <c r="BI6" s="9">
        <v>0</v>
      </c>
      <c r="BJ6" s="9">
        <v>0</v>
      </c>
      <c r="BK6" s="9">
        <v>0</v>
      </c>
      <c r="BL6" s="9">
        <v>0</v>
      </c>
      <c r="BM6" s="9">
        <v>0</v>
      </c>
      <c r="BN6" s="9">
        <v>0</v>
      </c>
      <c r="BO6" s="9">
        <v>0</v>
      </c>
      <c r="BP6" s="9">
        <v>0</v>
      </c>
      <c r="BQ6" s="9">
        <v>0</v>
      </c>
      <c r="BR6" s="9">
        <v>0</v>
      </c>
      <c r="BS6" s="9">
        <v>0</v>
      </c>
      <c r="BT6" s="9">
        <v>0</v>
      </c>
      <c r="BU6" s="9">
        <v>0</v>
      </c>
      <c r="BV6" s="9">
        <v>0</v>
      </c>
      <c r="BW6" s="9">
        <v>0</v>
      </c>
      <c r="BX6" s="9">
        <v>0</v>
      </c>
      <c r="BY6" s="9">
        <v>0</v>
      </c>
      <c r="BZ6" s="9">
        <v>0</v>
      </c>
      <c r="CA6" s="9">
        <v>0</v>
      </c>
      <c r="CB6" s="9">
        <v>1</v>
      </c>
      <c r="CC6" s="9">
        <v>1</v>
      </c>
      <c r="CD6" s="9">
        <v>0</v>
      </c>
      <c r="CE6" s="9">
        <v>1</v>
      </c>
      <c r="CF6" s="9">
        <v>0</v>
      </c>
      <c r="CG6" s="9">
        <v>0</v>
      </c>
      <c r="CH6" s="9">
        <v>0</v>
      </c>
      <c r="CI6" s="9">
        <v>0</v>
      </c>
      <c r="CJ6" s="9">
        <v>0</v>
      </c>
      <c r="CK6" s="9">
        <v>0</v>
      </c>
      <c r="CL6" s="9">
        <v>0</v>
      </c>
      <c r="CM6" s="9">
        <v>0</v>
      </c>
      <c r="CN6" s="9">
        <v>0</v>
      </c>
      <c r="CO6" s="9">
        <v>0</v>
      </c>
      <c r="CP6" s="9">
        <v>0</v>
      </c>
      <c r="CQ6" s="9">
        <v>0</v>
      </c>
      <c r="CR6" s="9">
        <v>0</v>
      </c>
      <c r="CS6" s="9">
        <v>0</v>
      </c>
      <c r="CT6" s="9">
        <v>0</v>
      </c>
      <c r="CU6" s="9">
        <v>0</v>
      </c>
      <c r="CV6" s="9">
        <v>0</v>
      </c>
      <c r="CW6" s="9">
        <v>0</v>
      </c>
      <c r="CX6" s="9">
        <v>0</v>
      </c>
      <c r="CY6" s="9">
        <v>0</v>
      </c>
      <c r="CZ6" s="9">
        <v>0</v>
      </c>
      <c r="DA6" s="9">
        <v>0</v>
      </c>
      <c r="DB6" s="9">
        <v>0</v>
      </c>
      <c r="DC6" s="9">
        <v>0</v>
      </c>
      <c r="DD6" s="9">
        <v>0</v>
      </c>
      <c r="DE6" s="9">
        <v>0</v>
      </c>
      <c r="DF6" s="9">
        <v>0</v>
      </c>
      <c r="DG6" s="9">
        <v>0</v>
      </c>
      <c r="DH6" s="9">
        <v>0</v>
      </c>
      <c r="DI6" s="9">
        <v>0</v>
      </c>
      <c r="DJ6" s="9">
        <v>0</v>
      </c>
      <c r="DK6" s="9">
        <v>0</v>
      </c>
      <c r="DL6" s="9">
        <v>0</v>
      </c>
      <c r="DM6" s="9">
        <v>0</v>
      </c>
      <c r="DN6" s="9">
        <v>0</v>
      </c>
      <c r="DO6" s="9">
        <v>0</v>
      </c>
      <c r="DP6" s="9">
        <v>0</v>
      </c>
      <c r="DQ6" s="9">
        <v>0</v>
      </c>
      <c r="DR6" s="9">
        <v>0</v>
      </c>
      <c r="DS6" s="9">
        <v>0</v>
      </c>
      <c r="DT6" s="9">
        <v>0</v>
      </c>
      <c r="DU6" s="9">
        <v>0</v>
      </c>
      <c r="DV6" s="9">
        <v>0</v>
      </c>
      <c r="DW6" s="9">
        <v>0</v>
      </c>
      <c r="DX6" s="9">
        <v>0</v>
      </c>
      <c r="DY6" s="9">
        <v>0</v>
      </c>
      <c r="DZ6" s="9">
        <v>0</v>
      </c>
      <c r="EA6" s="9">
        <v>0</v>
      </c>
      <c r="EB6" s="9">
        <v>0</v>
      </c>
      <c r="EC6" s="9">
        <v>0</v>
      </c>
      <c r="ED6" s="9">
        <v>0</v>
      </c>
      <c r="EE6" s="9">
        <v>0</v>
      </c>
      <c r="EF6" s="9">
        <v>0</v>
      </c>
      <c r="EG6" s="9">
        <v>0</v>
      </c>
      <c r="EH6" s="9">
        <v>0</v>
      </c>
      <c r="EI6" s="10">
        <v>0</v>
      </c>
    </row>
    <row r="7" spans="1:139" x14ac:dyDescent="0.35">
      <c r="A7" s="8" t="s">
        <v>0</v>
      </c>
      <c r="B7" s="9" t="s">
        <v>11</v>
      </c>
      <c r="C7" s="9" t="s">
        <v>12</v>
      </c>
      <c r="D7" s="9">
        <f t="shared" si="0"/>
        <v>0</v>
      </c>
      <c r="E7" s="9">
        <v>0</v>
      </c>
      <c r="F7" s="9">
        <v>0</v>
      </c>
      <c r="G7" s="9">
        <v>0</v>
      </c>
      <c r="H7" s="9">
        <v>0</v>
      </c>
      <c r="I7" s="9">
        <v>0</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c r="AH7" s="9">
        <v>0</v>
      </c>
      <c r="AI7" s="9">
        <v>0</v>
      </c>
      <c r="AJ7" s="9">
        <v>0</v>
      </c>
      <c r="AK7" s="9">
        <v>0</v>
      </c>
      <c r="AL7" s="9">
        <v>0</v>
      </c>
      <c r="AM7" s="9">
        <v>0</v>
      </c>
      <c r="AN7" s="9">
        <v>0</v>
      </c>
      <c r="AO7" s="9">
        <v>0</v>
      </c>
      <c r="AP7" s="9">
        <v>0</v>
      </c>
      <c r="AQ7" s="9">
        <v>0</v>
      </c>
      <c r="AR7" s="9">
        <v>0</v>
      </c>
      <c r="AS7" s="9">
        <v>0</v>
      </c>
      <c r="AT7" s="9">
        <v>0</v>
      </c>
      <c r="AU7" s="9">
        <v>0</v>
      </c>
      <c r="AV7" s="9">
        <v>0</v>
      </c>
      <c r="AW7" s="9">
        <v>0</v>
      </c>
      <c r="AX7" s="9">
        <v>0</v>
      </c>
      <c r="AY7" s="9">
        <v>0</v>
      </c>
      <c r="AZ7" s="9">
        <v>0</v>
      </c>
      <c r="BA7" s="9">
        <v>0</v>
      </c>
      <c r="BB7" s="9">
        <v>0</v>
      </c>
      <c r="BC7" s="9">
        <v>0</v>
      </c>
      <c r="BD7" s="9">
        <v>0</v>
      </c>
      <c r="BE7" s="9">
        <v>0</v>
      </c>
      <c r="BF7" s="9">
        <v>0</v>
      </c>
      <c r="BG7" s="9">
        <v>0</v>
      </c>
      <c r="BH7" s="9">
        <v>0</v>
      </c>
      <c r="BI7" s="9">
        <v>0</v>
      </c>
      <c r="BJ7" s="9">
        <v>0</v>
      </c>
      <c r="BK7" s="9">
        <v>0</v>
      </c>
      <c r="BL7" s="9">
        <v>0</v>
      </c>
      <c r="BM7" s="9">
        <v>0</v>
      </c>
      <c r="BN7" s="9">
        <v>0</v>
      </c>
      <c r="BO7" s="9">
        <v>0</v>
      </c>
      <c r="BP7" s="9">
        <v>0</v>
      </c>
      <c r="BQ7" s="9">
        <v>0</v>
      </c>
      <c r="BR7" s="9">
        <v>0</v>
      </c>
      <c r="BS7" s="9">
        <v>0</v>
      </c>
      <c r="BT7" s="9">
        <v>0</v>
      </c>
      <c r="BU7" s="9">
        <v>0</v>
      </c>
      <c r="BV7" s="9">
        <v>0</v>
      </c>
      <c r="BW7" s="9">
        <v>0</v>
      </c>
      <c r="BX7" s="9">
        <v>0</v>
      </c>
      <c r="BY7" s="9">
        <v>0</v>
      </c>
      <c r="BZ7" s="9">
        <v>0</v>
      </c>
      <c r="CA7" s="9">
        <v>0</v>
      </c>
      <c r="CB7" s="9">
        <v>0</v>
      </c>
      <c r="CC7" s="9">
        <v>0</v>
      </c>
      <c r="CD7" s="9">
        <v>0</v>
      </c>
      <c r="CE7" s="9">
        <v>0</v>
      </c>
      <c r="CF7" s="9">
        <v>0</v>
      </c>
      <c r="CG7" s="9">
        <v>0</v>
      </c>
      <c r="CH7" s="9">
        <v>0</v>
      </c>
      <c r="CI7" s="9">
        <v>0</v>
      </c>
      <c r="CJ7" s="9">
        <v>0</v>
      </c>
      <c r="CK7" s="9">
        <v>0</v>
      </c>
      <c r="CL7" s="9">
        <v>0</v>
      </c>
      <c r="CM7" s="9">
        <v>0</v>
      </c>
      <c r="CN7" s="9">
        <v>0</v>
      </c>
      <c r="CO7" s="9">
        <v>0</v>
      </c>
      <c r="CP7" s="9">
        <v>0</v>
      </c>
      <c r="CQ7" s="9">
        <v>0</v>
      </c>
      <c r="CR7" s="9">
        <v>0</v>
      </c>
      <c r="CS7" s="9">
        <v>0</v>
      </c>
      <c r="CT7" s="9">
        <v>0</v>
      </c>
      <c r="CU7" s="9">
        <v>0</v>
      </c>
      <c r="CV7" s="9">
        <v>0</v>
      </c>
      <c r="CW7" s="9">
        <v>0</v>
      </c>
      <c r="CX7" s="9">
        <v>0</v>
      </c>
      <c r="CY7" s="9">
        <v>0</v>
      </c>
      <c r="CZ7" s="9">
        <v>0</v>
      </c>
      <c r="DA7" s="9">
        <v>0</v>
      </c>
      <c r="DB7" s="9">
        <v>0</v>
      </c>
      <c r="DC7" s="9">
        <v>0</v>
      </c>
      <c r="DD7" s="9">
        <v>0</v>
      </c>
      <c r="DE7" s="9">
        <v>0</v>
      </c>
      <c r="DF7" s="9">
        <v>0</v>
      </c>
      <c r="DG7" s="9">
        <v>0</v>
      </c>
      <c r="DH7" s="9">
        <v>0</v>
      </c>
      <c r="DI7" s="9">
        <v>0</v>
      </c>
      <c r="DJ7" s="9">
        <v>0</v>
      </c>
      <c r="DK7" s="9">
        <v>0</v>
      </c>
      <c r="DL7" s="9">
        <v>0</v>
      </c>
      <c r="DM7" s="9">
        <v>0</v>
      </c>
      <c r="DN7" s="9">
        <v>0</v>
      </c>
      <c r="DO7" s="9">
        <v>0</v>
      </c>
      <c r="DP7" s="9">
        <v>0</v>
      </c>
      <c r="DQ7" s="9">
        <v>0</v>
      </c>
      <c r="DR7" s="9">
        <v>0</v>
      </c>
      <c r="DS7" s="9">
        <v>0</v>
      </c>
      <c r="DT7" s="9">
        <v>0</v>
      </c>
      <c r="DU7" s="9">
        <v>0</v>
      </c>
      <c r="DV7" s="9">
        <v>0</v>
      </c>
      <c r="DW7" s="9">
        <v>0</v>
      </c>
      <c r="DX7" s="9">
        <v>0</v>
      </c>
      <c r="DY7" s="9">
        <v>0</v>
      </c>
      <c r="DZ7" s="9">
        <v>0</v>
      </c>
      <c r="EA7" s="9">
        <v>0</v>
      </c>
      <c r="EB7" s="9">
        <v>0</v>
      </c>
      <c r="EC7" s="9">
        <v>0</v>
      </c>
      <c r="ED7" s="9">
        <v>0</v>
      </c>
      <c r="EE7" s="9">
        <v>0</v>
      </c>
      <c r="EF7" s="9">
        <v>0</v>
      </c>
      <c r="EG7" s="9">
        <v>0</v>
      </c>
      <c r="EH7" s="9">
        <v>0</v>
      </c>
      <c r="EI7" s="10">
        <v>0</v>
      </c>
    </row>
    <row r="8" spans="1:139" x14ac:dyDescent="0.35">
      <c r="A8" s="8" t="s">
        <v>0</v>
      </c>
      <c r="B8" s="9" t="s">
        <v>13</v>
      </c>
      <c r="C8" s="9" t="s">
        <v>14</v>
      </c>
      <c r="D8" s="9">
        <f t="shared" si="0"/>
        <v>0</v>
      </c>
      <c r="E8" s="9">
        <v>0</v>
      </c>
      <c r="F8" s="9">
        <v>0</v>
      </c>
      <c r="G8" s="9">
        <v>0</v>
      </c>
      <c r="H8" s="9">
        <v>0</v>
      </c>
      <c r="I8" s="9">
        <v>0</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c r="AH8" s="9">
        <v>0</v>
      </c>
      <c r="AI8" s="9">
        <v>0</v>
      </c>
      <c r="AJ8" s="9">
        <v>0</v>
      </c>
      <c r="AK8" s="9">
        <v>0</v>
      </c>
      <c r="AL8" s="9">
        <v>0</v>
      </c>
      <c r="AM8" s="9">
        <v>0</v>
      </c>
      <c r="AN8" s="9">
        <v>0</v>
      </c>
      <c r="AO8" s="9">
        <v>0</v>
      </c>
      <c r="AP8" s="9">
        <v>0</v>
      </c>
      <c r="AQ8" s="9">
        <v>0</v>
      </c>
      <c r="AR8" s="9">
        <v>0</v>
      </c>
      <c r="AS8" s="9">
        <v>0</v>
      </c>
      <c r="AT8" s="9">
        <v>0</v>
      </c>
      <c r="AU8" s="9">
        <v>0</v>
      </c>
      <c r="AV8" s="9">
        <v>0</v>
      </c>
      <c r="AW8" s="9">
        <v>0</v>
      </c>
      <c r="AX8" s="9">
        <v>0</v>
      </c>
      <c r="AY8" s="9">
        <v>0</v>
      </c>
      <c r="AZ8" s="9">
        <v>0</v>
      </c>
      <c r="BA8" s="9">
        <v>0</v>
      </c>
      <c r="BB8" s="9">
        <v>0</v>
      </c>
      <c r="BC8" s="9">
        <v>0</v>
      </c>
      <c r="BD8" s="9">
        <v>0</v>
      </c>
      <c r="BE8" s="9">
        <v>0</v>
      </c>
      <c r="BF8" s="9">
        <v>0</v>
      </c>
      <c r="BG8" s="9">
        <v>0</v>
      </c>
      <c r="BH8" s="9">
        <v>0</v>
      </c>
      <c r="BI8" s="9">
        <v>0</v>
      </c>
      <c r="BJ8" s="9">
        <v>0</v>
      </c>
      <c r="BK8" s="9">
        <v>0</v>
      </c>
      <c r="BL8" s="9">
        <v>0</v>
      </c>
      <c r="BM8" s="9">
        <v>0</v>
      </c>
      <c r="BN8" s="9">
        <v>0</v>
      </c>
      <c r="BO8" s="9">
        <v>0</v>
      </c>
      <c r="BP8" s="9">
        <v>0</v>
      </c>
      <c r="BQ8" s="9">
        <v>0</v>
      </c>
      <c r="BR8" s="9">
        <v>0</v>
      </c>
      <c r="BS8" s="9">
        <v>0</v>
      </c>
      <c r="BT8" s="9">
        <v>0</v>
      </c>
      <c r="BU8" s="9">
        <v>0</v>
      </c>
      <c r="BV8" s="9">
        <v>0</v>
      </c>
      <c r="BW8" s="9">
        <v>0</v>
      </c>
      <c r="BX8" s="9">
        <v>0</v>
      </c>
      <c r="BY8" s="9">
        <v>0</v>
      </c>
      <c r="BZ8" s="9">
        <v>0</v>
      </c>
      <c r="CA8" s="9">
        <v>0</v>
      </c>
      <c r="CB8" s="9">
        <v>0</v>
      </c>
      <c r="CC8" s="9">
        <v>0</v>
      </c>
      <c r="CD8" s="9">
        <v>0</v>
      </c>
      <c r="CE8" s="9">
        <v>0</v>
      </c>
      <c r="CF8" s="9">
        <v>0</v>
      </c>
      <c r="CG8" s="9">
        <v>0</v>
      </c>
      <c r="CH8" s="9">
        <v>0</v>
      </c>
      <c r="CI8" s="9">
        <v>0</v>
      </c>
      <c r="CJ8" s="9">
        <v>0</v>
      </c>
      <c r="CK8" s="9">
        <v>0</v>
      </c>
      <c r="CL8" s="9">
        <v>0</v>
      </c>
      <c r="CM8" s="9">
        <v>0</v>
      </c>
      <c r="CN8" s="9">
        <v>0</v>
      </c>
      <c r="CO8" s="9">
        <v>0</v>
      </c>
      <c r="CP8" s="9">
        <v>0</v>
      </c>
      <c r="CQ8" s="9">
        <v>0</v>
      </c>
      <c r="CR8" s="9">
        <v>0</v>
      </c>
      <c r="CS8" s="9">
        <v>0</v>
      </c>
      <c r="CT8" s="9">
        <v>0</v>
      </c>
      <c r="CU8" s="9">
        <v>0</v>
      </c>
      <c r="CV8" s="9">
        <v>0</v>
      </c>
      <c r="CW8" s="9">
        <v>0</v>
      </c>
      <c r="CX8" s="9">
        <v>0</v>
      </c>
      <c r="CY8" s="9">
        <v>0</v>
      </c>
      <c r="CZ8" s="9">
        <v>0</v>
      </c>
      <c r="DA8" s="9">
        <v>0</v>
      </c>
      <c r="DB8" s="9">
        <v>0</v>
      </c>
      <c r="DC8" s="9">
        <v>0</v>
      </c>
      <c r="DD8" s="9">
        <v>0</v>
      </c>
      <c r="DE8" s="9">
        <v>0</v>
      </c>
      <c r="DF8" s="9">
        <v>0</v>
      </c>
      <c r="DG8" s="9">
        <v>0</v>
      </c>
      <c r="DH8" s="9">
        <v>0</v>
      </c>
      <c r="DI8" s="9">
        <v>0</v>
      </c>
      <c r="DJ8" s="9">
        <v>0</v>
      </c>
      <c r="DK8" s="9">
        <v>0</v>
      </c>
      <c r="DL8" s="9">
        <v>0</v>
      </c>
      <c r="DM8" s="9">
        <v>0</v>
      </c>
      <c r="DN8" s="9">
        <v>0</v>
      </c>
      <c r="DO8" s="9">
        <v>0</v>
      </c>
      <c r="DP8" s="9">
        <v>0</v>
      </c>
      <c r="DQ8" s="9">
        <v>0</v>
      </c>
      <c r="DR8" s="9">
        <v>0</v>
      </c>
      <c r="DS8" s="9">
        <v>0</v>
      </c>
      <c r="DT8" s="9">
        <v>0</v>
      </c>
      <c r="DU8" s="9">
        <v>0</v>
      </c>
      <c r="DV8" s="9">
        <v>0</v>
      </c>
      <c r="DW8" s="9">
        <v>0</v>
      </c>
      <c r="DX8" s="9">
        <v>0</v>
      </c>
      <c r="DY8" s="9">
        <v>0</v>
      </c>
      <c r="DZ8" s="9">
        <v>0</v>
      </c>
      <c r="EA8" s="9">
        <v>0</v>
      </c>
      <c r="EB8" s="9">
        <v>0</v>
      </c>
      <c r="EC8" s="9">
        <v>0</v>
      </c>
      <c r="ED8" s="9">
        <v>0</v>
      </c>
      <c r="EE8" s="9">
        <v>0</v>
      </c>
      <c r="EF8" s="9">
        <v>0</v>
      </c>
      <c r="EG8" s="9">
        <v>0</v>
      </c>
      <c r="EH8" s="9">
        <v>0</v>
      </c>
      <c r="EI8" s="10">
        <v>0</v>
      </c>
    </row>
    <row r="9" spans="1:139" x14ac:dyDescent="0.35">
      <c r="A9" s="8" t="s">
        <v>0</v>
      </c>
      <c r="B9" s="9" t="s">
        <v>15</v>
      </c>
      <c r="C9" s="9" t="s">
        <v>16</v>
      </c>
      <c r="D9" s="9">
        <f t="shared" si="0"/>
        <v>54</v>
      </c>
      <c r="E9" s="9">
        <v>0</v>
      </c>
      <c r="F9" s="9">
        <v>0</v>
      </c>
      <c r="G9" s="9">
        <v>0</v>
      </c>
      <c r="H9" s="9">
        <v>0</v>
      </c>
      <c r="I9" s="9">
        <v>0</v>
      </c>
      <c r="J9" s="9">
        <v>0</v>
      </c>
      <c r="K9" s="9">
        <v>0</v>
      </c>
      <c r="L9" s="9">
        <v>0</v>
      </c>
      <c r="M9" s="9">
        <v>0</v>
      </c>
      <c r="N9" s="9">
        <v>0</v>
      </c>
      <c r="O9" s="9">
        <v>0</v>
      </c>
      <c r="P9" s="9">
        <v>0</v>
      </c>
      <c r="Q9" s="9">
        <v>0</v>
      </c>
      <c r="R9" s="9">
        <v>0</v>
      </c>
      <c r="S9" s="9">
        <v>0</v>
      </c>
      <c r="T9" s="9">
        <v>0</v>
      </c>
      <c r="U9" s="9">
        <v>0</v>
      </c>
      <c r="V9" s="9">
        <v>0</v>
      </c>
      <c r="W9" s="9">
        <v>0</v>
      </c>
      <c r="X9" s="9">
        <v>0</v>
      </c>
      <c r="Y9" s="9">
        <v>0</v>
      </c>
      <c r="Z9" s="9">
        <v>0</v>
      </c>
      <c r="AA9" s="9">
        <v>2</v>
      </c>
      <c r="AB9" s="9">
        <v>1</v>
      </c>
      <c r="AC9" s="9">
        <v>0</v>
      </c>
      <c r="AD9" s="9">
        <v>1</v>
      </c>
      <c r="AE9" s="9">
        <v>2</v>
      </c>
      <c r="AF9" s="9">
        <v>2</v>
      </c>
      <c r="AG9" s="9">
        <v>2</v>
      </c>
      <c r="AH9" s="9">
        <v>0</v>
      </c>
      <c r="AI9" s="9">
        <v>0</v>
      </c>
      <c r="AJ9" s="9">
        <v>0</v>
      </c>
      <c r="AK9" s="9">
        <v>0</v>
      </c>
      <c r="AL9" s="9">
        <v>0</v>
      </c>
      <c r="AM9" s="9">
        <v>1</v>
      </c>
      <c r="AN9" s="9">
        <v>0</v>
      </c>
      <c r="AO9" s="9">
        <v>2</v>
      </c>
      <c r="AP9" s="9">
        <v>0</v>
      </c>
      <c r="AQ9" s="9">
        <v>1</v>
      </c>
      <c r="AR9" s="9">
        <v>0</v>
      </c>
      <c r="AS9" s="9">
        <v>0</v>
      </c>
      <c r="AT9" s="9">
        <v>2</v>
      </c>
      <c r="AU9" s="9">
        <v>2</v>
      </c>
      <c r="AV9" s="9">
        <v>0</v>
      </c>
      <c r="AW9" s="9">
        <v>0</v>
      </c>
      <c r="AX9" s="9">
        <v>1</v>
      </c>
      <c r="AY9" s="9">
        <v>0</v>
      </c>
      <c r="AZ9" s="9">
        <v>1</v>
      </c>
      <c r="BA9" s="9">
        <v>2</v>
      </c>
      <c r="BB9" s="9">
        <v>1</v>
      </c>
      <c r="BC9" s="9">
        <v>1</v>
      </c>
      <c r="BD9" s="9">
        <v>1</v>
      </c>
      <c r="BE9" s="9">
        <v>0</v>
      </c>
      <c r="BF9" s="9">
        <v>2</v>
      </c>
      <c r="BG9" s="9">
        <v>1</v>
      </c>
      <c r="BH9" s="9">
        <v>1</v>
      </c>
      <c r="BI9" s="9">
        <v>1</v>
      </c>
      <c r="BJ9" s="9">
        <v>1</v>
      </c>
      <c r="BK9" s="9">
        <v>1</v>
      </c>
      <c r="BL9" s="9">
        <v>1</v>
      </c>
      <c r="BM9" s="9">
        <v>0</v>
      </c>
      <c r="BN9" s="9">
        <v>3</v>
      </c>
      <c r="BO9" s="9">
        <v>2</v>
      </c>
      <c r="BP9" s="9">
        <v>0</v>
      </c>
      <c r="BQ9" s="9">
        <v>0</v>
      </c>
      <c r="BR9" s="9">
        <v>1</v>
      </c>
      <c r="BS9" s="9">
        <v>0</v>
      </c>
      <c r="BT9" s="9">
        <v>1</v>
      </c>
      <c r="BU9" s="9">
        <v>1</v>
      </c>
      <c r="BV9" s="9">
        <v>1</v>
      </c>
      <c r="BW9" s="9">
        <v>0</v>
      </c>
      <c r="BX9" s="9">
        <v>1</v>
      </c>
      <c r="BY9" s="9">
        <v>0</v>
      </c>
      <c r="BZ9" s="9">
        <v>2</v>
      </c>
      <c r="CA9" s="9">
        <v>1</v>
      </c>
      <c r="CB9" s="9">
        <v>1</v>
      </c>
      <c r="CC9" s="9">
        <v>0</v>
      </c>
      <c r="CD9" s="9">
        <v>0</v>
      </c>
      <c r="CE9" s="9">
        <v>0</v>
      </c>
      <c r="CF9" s="9">
        <v>0</v>
      </c>
      <c r="CG9" s="9">
        <v>0</v>
      </c>
      <c r="CH9" s="9">
        <v>0</v>
      </c>
      <c r="CI9" s="9">
        <v>0</v>
      </c>
      <c r="CJ9" s="9">
        <v>1</v>
      </c>
      <c r="CK9" s="9">
        <v>1</v>
      </c>
      <c r="CL9" s="9">
        <v>2</v>
      </c>
      <c r="CM9" s="9">
        <v>0</v>
      </c>
      <c r="CN9" s="9">
        <v>0</v>
      </c>
      <c r="CO9" s="9">
        <v>0</v>
      </c>
      <c r="CP9" s="9">
        <v>0</v>
      </c>
      <c r="CQ9" s="9">
        <v>0</v>
      </c>
      <c r="CR9" s="9">
        <v>0</v>
      </c>
      <c r="CS9" s="9">
        <v>0</v>
      </c>
      <c r="CT9" s="9">
        <v>0</v>
      </c>
      <c r="CU9" s="9">
        <v>0</v>
      </c>
      <c r="CV9" s="9">
        <v>0</v>
      </c>
      <c r="CW9" s="9">
        <v>0</v>
      </c>
      <c r="CX9" s="9">
        <v>0</v>
      </c>
      <c r="CY9" s="9">
        <v>0</v>
      </c>
      <c r="CZ9" s="9">
        <v>0</v>
      </c>
      <c r="DA9" s="9">
        <v>0</v>
      </c>
      <c r="DB9" s="9">
        <v>0</v>
      </c>
      <c r="DC9" s="9">
        <v>0</v>
      </c>
      <c r="DD9" s="9">
        <v>0</v>
      </c>
      <c r="DE9" s="9">
        <v>0</v>
      </c>
      <c r="DF9" s="9">
        <v>0</v>
      </c>
      <c r="DG9" s="9">
        <v>0</v>
      </c>
      <c r="DH9" s="9">
        <v>0</v>
      </c>
      <c r="DI9" s="9">
        <v>0</v>
      </c>
      <c r="DJ9" s="9">
        <v>0</v>
      </c>
      <c r="DK9" s="9">
        <v>0</v>
      </c>
      <c r="DL9" s="9">
        <v>0</v>
      </c>
      <c r="DM9" s="9">
        <v>0</v>
      </c>
      <c r="DN9" s="9">
        <v>0</v>
      </c>
      <c r="DO9" s="9">
        <v>0</v>
      </c>
      <c r="DP9" s="9">
        <v>0</v>
      </c>
      <c r="DQ9" s="9">
        <v>0</v>
      </c>
      <c r="DR9" s="9">
        <v>1</v>
      </c>
      <c r="DS9" s="9">
        <v>0</v>
      </c>
      <c r="DT9" s="9">
        <v>0</v>
      </c>
      <c r="DU9" s="9">
        <v>1</v>
      </c>
      <c r="DV9" s="9">
        <v>1</v>
      </c>
      <c r="DW9" s="9">
        <v>0</v>
      </c>
      <c r="DX9" s="9">
        <v>0</v>
      </c>
      <c r="DY9" s="9">
        <v>0</v>
      </c>
      <c r="DZ9" s="9">
        <v>0</v>
      </c>
      <c r="EA9" s="9">
        <v>0</v>
      </c>
      <c r="EB9" s="9">
        <v>0</v>
      </c>
      <c r="EC9" s="9">
        <v>0</v>
      </c>
      <c r="ED9" s="9">
        <v>0</v>
      </c>
      <c r="EE9" s="9">
        <v>0</v>
      </c>
      <c r="EF9" s="9">
        <v>0</v>
      </c>
      <c r="EG9" s="9">
        <v>0</v>
      </c>
      <c r="EH9" s="9">
        <v>0</v>
      </c>
      <c r="EI9" s="10">
        <v>0</v>
      </c>
    </row>
    <row r="10" spans="1:139" x14ac:dyDescent="0.35">
      <c r="A10" s="8" t="s">
        <v>0</v>
      </c>
      <c r="B10" s="9" t="s">
        <v>17</v>
      </c>
      <c r="C10" s="9" t="s">
        <v>18</v>
      </c>
      <c r="D10" s="9">
        <f t="shared" si="0"/>
        <v>23</v>
      </c>
      <c r="E10" s="9">
        <v>0</v>
      </c>
      <c r="F10" s="9">
        <v>0</v>
      </c>
      <c r="G10" s="9">
        <v>0</v>
      </c>
      <c r="H10" s="9">
        <v>0</v>
      </c>
      <c r="I10" s="9">
        <v>0</v>
      </c>
      <c r="J10" s="9">
        <v>0</v>
      </c>
      <c r="K10" s="9">
        <v>0</v>
      </c>
      <c r="L10" s="9">
        <v>0</v>
      </c>
      <c r="M10" s="9">
        <v>0</v>
      </c>
      <c r="N10" s="9">
        <v>0</v>
      </c>
      <c r="O10" s="9">
        <v>0</v>
      </c>
      <c r="P10" s="9">
        <v>0</v>
      </c>
      <c r="Q10" s="9">
        <v>0</v>
      </c>
      <c r="R10" s="9">
        <v>0</v>
      </c>
      <c r="S10" s="9">
        <v>0</v>
      </c>
      <c r="T10" s="9">
        <v>0</v>
      </c>
      <c r="U10" s="9">
        <v>0</v>
      </c>
      <c r="V10" s="9">
        <v>0</v>
      </c>
      <c r="W10" s="9">
        <v>0</v>
      </c>
      <c r="X10" s="9">
        <v>0</v>
      </c>
      <c r="Y10" s="9">
        <v>3</v>
      </c>
      <c r="Z10" s="9">
        <v>2</v>
      </c>
      <c r="AA10" s="9">
        <v>1</v>
      </c>
      <c r="AB10" s="9">
        <v>1</v>
      </c>
      <c r="AC10" s="9">
        <v>1</v>
      </c>
      <c r="AD10" s="9">
        <v>1</v>
      </c>
      <c r="AE10" s="9">
        <v>2</v>
      </c>
      <c r="AF10" s="9">
        <v>1</v>
      </c>
      <c r="AG10" s="9">
        <v>1</v>
      </c>
      <c r="AH10" s="9">
        <v>2</v>
      </c>
      <c r="AI10" s="9">
        <v>0</v>
      </c>
      <c r="AJ10" s="9">
        <v>1</v>
      </c>
      <c r="AK10" s="9">
        <v>0</v>
      </c>
      <c r="AL10" s="9">
        <v>0</v>
      </c>
      <c r="AM10" s="9">
        <v>0</v>
      </c>
      <c r="AN10" s="9">
        <v>1</v>
      </c>
      <c r="AO10" s="9">
        <v>0</v>
      </c>
      <c r="AP10" s="9">
        <v>0</v>
      </c>
      <c r="AQ10" s="9">
        <v>0</v>
      </c>
      <c r="AR10" s="9">
        <v>0</v>
      </c>
      <c r="AS10" s="9">
        <v>3</v>
      </c>
      <c r="AT10" s="9">
        <v>3</v>
      </c>
      <c r="AU10" s="9">
        <v>0</v>
      </c>
      <c r="AV10" s="9">
        <v>0</v>
      </c>
      <c r="AW10" s="9">
        <v>0</v>
      </c>
      <c r="AX10" s="9">
        <v>0</v>
      </c>
      <c r="AY10" s="9">
        <v>0</v>
      </c>
      <c r="AZ10" s="9">
        <v>0</v>
      </c>
      <c r="BA10" s="9">
        <v>0</v>
      </c>
      <c r="BB10" s="9">
        <v>0</v>
      </c>
      <c r="BC10" s="9">
        <v>0</v>
      </c>
      <c r="BD10" s="9">
        <v>0</v>
      </c>
      <c r="BE10" s="9">
        <v>0</v>
      </c>
      <c r="BF10" s="9">
        <v>0</v>
      </c>
      <c r="BG10" s="9">
        <v>0</v>
      </c>
      <c r="BH10" s="9">
        <v>0</v>
      </c>
      <c r="BI10" s="9">
        <v>0</v>
      </c>
      <c r="BJ10" s="9">
        <v>0</v>
      </c>
      <c r="BK10" s="9">
        <v>0</v>
      </c>
      <c r="BL10" s="9">
        <v>0</v>
      </c>
      <c r="BM10" s="9">
        <v>0</v>
      </c>
      <c r="BN10" s="9">
        <v>0</v>
      </c>
      <c r="BO10" s="9">
        <v>0</v>
      </c>
      <c r="BP10" s="9">
        <v>0</v>
      </c>
      <c r="BQ10" s="9">
        <v>0</v>
      </c>
      <c r="BR10" s="9">
        <v>0</v>
      </c>
      <c r="BS10" s="9">
        <v>0</v>
      </c>
      <c r="BT10" s="9">
        <v>0</v>
      </c>
      <c r="BU10" s="9">
        <v>0</v>
      </c>
      <c r="BV10" s="9">
        <v>0</v>
      </c>
      <c r="BW10" s="9">
        <v>0</v>
      </c>
      <c r="BX10" s="9">
        <v>0</v>
      </c>
      <c r="BY10" s="9">
        <v>0</v>
      </c>
      <c r="BZ10" s="9">
        <v>0</v>
      </c>
      <c r="CA10" s="9">
        <v>0</v>
      </c>
      <c r="CB10" s="9">
        <v>0</v>
      </c>
      <c r="CC10" s="9">
        <v>0</v>
      </c>
      <c r="CD10" s="9">
        <v>0</v>
      </c>
      <c r="CE10" s="9">
        <v>0</v>
      </c>
      <c r="CF10" s="9">
        <v>0</v>
      </c>
      <c r="CG10" s="9">
        <v>0</v>
      </c>
      <c r="CH10" s="9">
        <v>0</v>
      </c>
      <c r="CI10" s="9">
        <v>0</v>
      </c>
      <c r="CJ10" s="9">
        <v>0</v>
      </c>
      <c r="CK10" s="9">
        <v>0</v>
      </c>
      <c r="CL10" s="9">
        <v>0</v>
      </c>
      <c r="CM10" s="9">
        <v>0</v>
      </c>
      <c r="CN10" s="9">
        <v>0</v>
      </c>
      <c r="CO10" s="9">
        <v>0</v>
      </c>
      <c r="CP10" s="9">
        <v>0</v>
      </c>
      <c r="CQ10" s="9">
        <v>0</v>
      </c>
      <c r="CR10" s="9">
        <v>0</v>
      </c>
      <c r="CS10" s="9">
        <v>0</v>
      </c>
      <c r="CT10" s="9">
        <v>0</v>
      </c>
      <c r="CU10" s="9">
        <v>0</v>
      </c>
      <c r="CV10" s="9">
        <v>0</v>
      </c>
      <c r="CW10" s="9">
        <v>0</v>
      </c>
      <c r="CX10" s="9">
        <v>0</v>
      </c>
      <c r="CY10" s="9">
        <v>0</v>
      </c>
      <c r="CZ10" s="9">
        <v>0</v>
      </c>
      <c r="DA10" s="9">
        <v>0</v>
      </c>
      <c r="DB10" s="9">
        <v>0</v>
      </c>
      <c r="DC10" s="9">
        <v>0</v>
      </c>
      <c r="DD10" s="9">
        <v>0</v>
      </c>
      <c r="DE10" s="9">
        <v>0</v>
      </c>
      <c r="DF10" s="9">
        <v>0</v>
      </c>
      <c r="DG10" s="9">
        <v>0</v>
      </c>
      <c r="DH10" s="9">
        <v>0</v>
      </c>
      <c r="DI10" s="9">
        <v>0</v>
      </c>
      <c r="DJ10" s="9">
        <v>0</v>
      </c>
      <c r="DK10" s="9">
        <v>0</v>
      </c>
      <c r="DL10" s="9">
        <v>0</v>
      </c>
      <c r="DM10" s="9">
        <v>0</v>
      </c>
      <c r="DN10" s="9">
        <v>0</v>
      </c>
      <c r="DO10" s="9">
        <v>0</v>
      </c>
      <c r="DP10" s="9">
        <v>0</v>
      </c>
      <c r="DQ10" s="9">
        <v>0</v>
      </c>
      <c r="DR10" s="9">
        <v>0</v>
      </c>
      <c r="DS10" s="9">
        <v>0</v>
      </c>
      <c r="DT10" s="9">
        <v>0</v>
      </c>
      <c r="DU10" s="9">
        <v>0</v>
      </c>
      <c r="DV10" s="9">
        <v>0</v>
      </c>
      <c r="DW10" s="9">
        <v>0</v>
      </c>
      <c r="DX10" s="9">
        <v>0</v>
      </c>
      <c r="DY10" s="9">
        <v>0</v>
      </c>
      <c r="DZ10" s="9">
        <v>0</v>
      </c>
      <c r="EA10" s="9">
        <v>0</v>
      </c>
      <c r="EB10" s="9">
        <v>0</v>
      </c>
      <c r="EC10" s="9">
        <v>0</v>
      </c>
      <c r="ED10" s="9">
        <v>0</v>
      </c>
      <c r="EE10" s="9">
        <v>0</v>
      </c>
      <c r="EF10" s="9">
        <v>0</v>
      </c>
      <c r="EG10" s="9">
        <v>0</v>
      </c>
      <c r="EH10" s="9">
        <v>0</v>
      </c>
      <c r="EI10" s="10">
        <v>0</v>
      </c>
    </row>
    <row r="11" spans="1:139" x14ac:dyDescent="0.35">
      <c r="A11" s="8" t="s">
        <v>0</v>
      </c>
      <c r="B11" s="9" t="s">
        <v>19</v>
      </c>
      <c r="C11" s="9" t="s">
        <v>20</v>
      </c>
      <c r="D11" s="9">
        <f t="shared" si="0"/>
        <v>0</v>
      </c>
      <c r="E11" s="9">
        <v>0</v>
      </c>
      <c r="F11" s="9">
        <v>0</v>
      </c>
      <c r="G11" s="9">
        <v>0</v>
      </c>
      <c r="H11" s="9">
        <v>0</v>
      </c>
      <c r="I11" s="9">
        <v>0</v>
      </c>
      <c r="J11" s="9">
        <v>0</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c r="AH11" s="9">
        <v>0</v>
      </c>
      <c r="AI11" s="9">
        <v>0</v>
      </c>
      <c r="AJ11" s="9">
        <v>0</v>
      </c>
      <c r="AK11" s="9">
        <v>0</v>
      </c>
      <c r="AL11" s="9">
        <v>0</v>
      </c>
      <c r="AM11" s="9">
        <v>0</v>
      </c>
      <c r="AN11" s="9">
        <v>0</v>
      </c>
      <c r="AO11" s="9">
        <v>0</v>
      </c>
      <c r="AP11" s="9">
        <v>0</v>
      </c>
      <c r="AQ11" s="9">
        <v>0</v>
      </c>
      <c r="AR11" s="9">
        <v>0</v>
      </c>
      <c r="AS11" s="9">
        <v>0</v>
      </c>
      <c r="AT11" s="9">
        <v>0</v>
      </c>
      <c r="AU11" s="9">
        <v>0</v>
      </c>
      <c r="AV11" s="9">
        <v>0</v>
      </c>
      <c r="AW11" s="9">
        <v>0</v>
      </c>
      <c r="AX11" s="9">
        <v>0</v>
      </c>
      <c r="AY11" s="9">
        <v>0</v>
      </c>
      <c r="AZ11" s="9">
        <v>0</v>
      </c>
      <c r="BA11" s="9">
        <v>0</v>
      </c>
      <c r="BB11" s="9">
        <v>0</v>
      </c>
      <c r="BC11" s="9">
        <v>0</v>
      </c>
      <c r="BD11" s="9">
        <v>0</v>
      </c>
      <c r="BE11" s="9">
        <v>0</v>
      </c>
      <c r="BF11" s="9">
        <v>0</v>
      </c>
      <c r="BG11" s="9">
        <v>0</v>
      </c>
      <c r="BH11" s="9">
        <v>0</v>
      </c>
      <c r="BI11" s="9">
        <v>0</v>
      </c>
      <c r="BJ11" s="9">
        <v>0</v>
      </c>
      <c r="BK11" s="9">
        <v>0</v>
      </c>
      <c r="BL11" s="9">
        <v>0</v>
      </c>
      <c r="BM11" s="9">
        <v>0</v>
      </c>
      <c r="BN11" s="9">
        <v>0</v>
      </c>
      <c r="BO11" s="9">
        <v>0</v>
      </c>
      <c r="BP11" s="9">
        <v>0</v>
      </c>
      <c r="BQ11" s="9">
        <v>0</v>
      </c>
      <c r="BR11" s="9">
        <v>0</v>
      </c>
      <c r="BS11" s="9">
        <v>0</v>
      </c>
      <c r="BT11" s="9">
        <v>0</v>
      </c>
      <c r="BU11" s="9">
        <v>0</v>
      </c>
      <c r="BV11" s="9">
        <v>0</v>
      </c>
      <c r="BW11" s="9">
        <v>0</v>
      </c>
      <c r="BX11" s="9">
        <v>0</v>
      </c>
      <c r="BY11" s="9">
        <v>0</v>
      </c>
      <c r="BZ11" s="9">
        <v>0</v>
      </c>
      <c r="CA11" s="9">
        <v>0</v>
      </c>
      <c r="CB11" s="9">
        <v>0</v>
      </c>
      <c r="CC11" s="9">
        <v>0</v>
      </c>
      <c r="CD11" s="9">
        <v>0</v>
      </c>
      <c r="CE11" s="9">
        <v>0</v>
      </c>
      <c r="CF11" s="9">
        <v>0</v>
      </c>
      <c r="CG11" s="9">
        <v>0</v>
      </c>
      <c r="CH11" s="9">
        <v>0</v>
      </c>
      <c r="CI11" s="9">
        <v>0</v>
      </c>
      <c r="CJ11" s="9">
        <v>0</v>
      </c>
      <c r="CK11" s="9">
        <v>0</v>
      </c>
      <c r="CL11" s="9">
        <v>0</v>
      </c>
      <c r="CM11" s="9">
        <v>0</v>
      </c>
      <c r="CN11" s="9">
        <v>0</v>
      </c>
      <c r="CO11" s="9">
        <v>0</v>
      </c>
      <c r="CP11" s="9">
        <v>0</v>
      </c>
      <c r="CQ11" s="9">
        <v>0</v>
      </c>
      <c r="CR11" s="9">
        <v>0</v>
      </c>
      <c r="CS11" s="9">
        <v>0</v>
      </c>
      <c r="CT11" s="9">
        <v>0</v>
      </c>
      <c r="CU11" s="9">
        <v>0</v>
      </c>
      <c r="CV11" s="9">
        <v>0</v>
      </c>
      <c r="CW11" s="9">
        <v>0</v>
      </c>
      <c r="CX11" s="9">
        <v>0</v>
      </c>
      <c r="CY11" s="9">
        <v>0</v>
      </c>
      <c r="CZ11" s="9">
        <v>0</v>
      </c>
      <c r="DA11" s="9">
        <v>0</v>
      </c>
      <c r="DB11" s="9">
        <v>0</v>
      </c>
      <c r="DC11" s="9">
        <v>0</v>
      </c>
      <c r="DD11" s="9">
        <v>0</v>
      </c>
      <c r="DE11" s="9">
        <v>0</v>
      </c>
      <c r="DF11" s="9">
        <v>0</v>
      </c>
      <c r="DG11" s="9">
        <v>0</v>
      </c>
      <c r="DH11" s="9">
        <v>0</v>
      </c>
      <c r="DI11" s="9">
        <v>0</v>
      </c>
      <c r="DJ11" s="9">
        <v>0</v>
      </c>
      <c r="DK11" s="9">
        <v>0</v>
      </c>
      <c r="DL11" s="9">
        <v>0</v>
      </c>
      <c r="DM11" s="9">
        <v>0</v>
      </c>
      <c r="DN11" s="9">
        <v>0</v>
      </c>
      <c r="DO11" s="9">
        <v>0</v>
      </c>
      <c r="DP11" s="9">
        <v>0</v>
      </c>
      <c r="DQ11" s="9">
        <v>0</v>
      </c>
      <c r="DR11" s="9">
        <v>0</v>
      </c>
      <c r="DS11" s="9">
        <v>0</v>
      </c>
      <c r="DT11" s="9">
        <v>0</v>
      </c>
      <c r="DU11" s="9">
        <v>0</v>
      </c>
      <c r="DV11" s="9">
        <v>0</v>
      </c>
      <c r="DW11" s="9">
        <v>0</v>
      </c>
      <c r="DX11" s="9">
        <v>0</v>
      </c>
      <c r="DY11" s="9">
        <v>0</v>
      </c>
      <c r="DZ11" s="9">
        <v>0</v>
      </c>
      <c r="EA11" s="9">
        <v>0</v>
      </c>
      <c r="EB11" s="9">
        <v>0</v>
      </c>
      <c r="EC11" s="9">
        <v>0</v>
      </c>
      <c r="ED11" s="9">
        <v>0</v>
      </c>
      <c r="EE11" s="9">
        <v>0</v>
      </c>
      <c r="EF11" s="9">
        <v>0</v>
      </c>
      <c r="EG11" s="9">
        <v>0</v>
      </c>
      <c r="EH11" s="9">
        <v>0</v>
      </c>
      <c r="EI11" s="10">
        <v>0</v>
      </c>
    </row>
    <row r="12" spans="1:139" x14ac:dyDescent="0.35">
      <c r="A12" s="8" t="s">
        <v>0</v>
      </c>
      <c r="B12" s="9" t="s">
        <v>21</v>
      </c>
      <c r="C12" s="9" t="s">
        <v>22</v>
      </c>
      <c r="D12" s="9">
        <f t="shared" si="0"/>
        <v>0</v>
      </c>
      <c r="E12" s="9">
        <v>0</v>
      </c>
      <c r="F12" s="9">
        <v>0</v>
      </c>
      <c r="G12" s="9">
        <v>0</v>
      </c>
      <c r="H12" s="9">
        <v>0</v>
      </c>
      <c r="I12" s="9">
        <v>0</v>
      </c>
      <c r="J12" s="9">
        <v>0</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9">
        <v>0</v>
      </c>
      <c r="AC12" s="9">
        <v>0</v>
      </c>
      <c r="AD12" s="9">
        <v>0</v>
      </c>
      <c r="AE12" s="9">
        <v>0</v>
      </c>
      <c r="AF12" s="9">
        <v>0</v>
      </c>
      <c r="AG12" s="9">
        <v>0</v>
      </c>
      <c r="AH12" s="9">
        <v>0</v>
      </c>
      <c r="AI12" s="9">
        <v>0</v>
      </c>
      <c r="AJ12" s="9">
        <v>0</v>
      </c>
      <c r="AK12" s="9">
        <v>0</v>
      </c>
      <c r="AL12" s="9">
        <v>0</v>
      </c>
      <c r="AM12" s="9">
        <v>0</v>
      </c>
      <c r="AN12" s="9">
        <v>0</v>
      </c>
      <c r="AO12" s="9">
        <v>0</v>
      </c>
      <c r="AP12" s="9">
        <v>0</v>
      </c>
      <c r="AQ12" s="9">
        <v>0</v>
      </c>
      <c r="AR12" s="9">
        <v>0</v>
      </c>
      <c r="AS12" s="9">
        <v>0</v>
      </c>
      <c r="AT12" s="9">
        <v>0</v>
      </c>
      <c r="AU12" s="9">
        <v>0</v>
      </c>
      <c r="AV12" s="9">
        <v>0</v>
      </c>
      <c r="AW12" s="9">
        <v>0</v>
      </c>
      <c r="AX12" s="9">
        <v>0</v>
      </c>
      <c r="AY12" s="9">
        <v>0</v>
      </c>
      <c r="AZ12" s="9">
        <v>0</v>
      </c>
      <c r="BA12" s="9">
        <v>0</v>
      </c>
      <c r="BB12" s="9">
        <v>0</v>
      </c>
      <c r="BC12" s="9">
        <v>0</v>
      </c>
      <c r="BD12" s="9">
        <v>0</v>
      </c>
      <c r="BE12" s="9">
        <v>0</v>
      </c>
      <c r="BF12" s="9">
        <v>0</v>
      </c>
      <c r="BG12" s="9">
        <v>0</v>
      </c>
      <c r="BH12" s="9">
        <v>0</v>
      </c>
      <c r="BI12" s="9">
        <v>0</v>
      </c>
      <c r="BJ12" s="9">
        <v>0</v>
      </c>
      <c r="BK12" s="9">
        <v>0</v>
      </c>
      <c r="BL12" s="9">
        <v>0</v>
      </c>
      <c r="BM12" s="9">
        <v>0</v>
      </c>
      <c r="BN12" s="9">
        <v>0</v>
      </c>
      <c r="BO12" s="9">
        <v>0</v>
      </c>
      <c r="BP12" s="9">
        <v>0</v>
      </c>
      <c r="BQ12" s="9">
        <v>0</v>
      </c>
      <c r="BR12" s="9">
        <v>0</v>
      </c>
      <c r="BS12" s="9">
        <v>0</v>
      </c>
      <c r="BT12" s="9">
        <v>0</v>
      </c>
      <c r="BU12" s="9">
        <v>0</v>
      </c>
      <c r="BV12" s="9">
        <v>0</v>
      </c>
      <c r="BW12" s="9">
        <v>0</v>
      </c>
      <c r="BX12" s="9">
        <v>0</v>
      </c>
      <c r="BY12" s="9">
        <v>0</v>
      </c>
      <c r="BZ12" s="9">
        <v>0</v>
      </c>
      <c r="CA12" s="9">
        <v>0</v>
      </c>
      <c r="CB12" s="9">
        <v>0</v>
      </c>
      <c r="CC12" s="9">
        <v>0</v>
      </c>
      <c r="CD12" s="9">
        <v>0</v>
      </c>
      <c r="CE12" s="9">
        <v>0</v>
      </c>
      <c r="CF12" s="9">
        <v>0</v>
      </c>
      <c r="CG12" s="9">
        <v>0</v>
      </c>
      <c r="CH12" s="9">
        <v>0</v>
      </c>
      <c r="CI12" s="9">
        <v>0</v>
      </c>
      <c r="CJ12" s="9">
        <v>0</v>
      </c>
      <c r="CK12" s="9">
        <v>0</v>
      </c>
      <c r="CL12" s="9">
        <v>0</v>
      </c>
      <c r="CM12" s="9">
        <v>0</v>
      </c>
      <c r="CN12" s="9">
        <v>0</v>
      </c>
      <c r="CO12" s="9">
        <v>0</v>
      </c>
      <c r="CP12" s="9">
        <v>0</v>
      </c>
      <c r="CQ12" s="9">
        <v>0</v>
      </c>
      <c r="CR12" s="9">
        <v>0</v>
      </c>
      <c r="CS12" s="9">
        <v>0</v>
      </c>
      <c r="CT12" s="9">
        <v>0</v>
      </c>
      <c r="CU12" s="9">
        <v>0</v>
      </c>
      <c r="CV12" s="9">
        <v>0</v>
      </c>
      <c r="CW12" s="9">
        <v>0</v>
      </c>
      <c r="CX12" s="9">
        <v>0</v>
      </c>
      <c r="CY12" s="9">
        <v>0</v>
      </c>
      <c r="CZ12" s="9">
        <v>0</v>
      </c>
      <c r="DA12" s="9">
        <v>0</v>
      </c>
      <c r="DB12" s="9">
        <v>0</v>
      </c>
      <c r="DC12" s="9">
        <v>0</v>
      </c>
      <c r="DD12" s="9">
        <v>0</v>
      </c>
      <c r="DE12" s="9">
        <v>0</v>
      </c>
      <c r="DF12" s="9">
        <v>0</v>
      </c>
      <c r="DG12" s="9">
        <v>0</v>
      </c>
      <c r="DH12" s="9">
        <v>0</v>
      </c>
      <c r="DI12" s="9">
        <v>0</v>
      </c>
      <c r="DJ12" s="9">
        <v>0</v>
      </c>
      <c r="DK12" s="9">
        <v>0</v>
      </c>
      <c r="DL12" s="9">
        <v>0</v>
      </c>
      <c r="DM12" s="9">
        <v>0</v>
      </c>
      <c r="DN12" s="9">
        <v>0</v>
      </c>
      <c r="DO12" s="9">
        <v>0</v>
      </c>
      <c r="DP12" s="9">
        <v>0</v>
      </c>
      <c r="DQ12" s="9">
        <v>0</v>
      </c>
      <c r="DR12" s="9">
        <v>0</v>
      </c>
      <c r="DS12" s="9">
        <v>0</v>
      </c>
      <c r="DT12" s="9">
        <v>0</v>
      </c>
      <c r="DU12" s="9">
        <v>0</v>
      </c>
      <c r="DV12" s="9">
        <v>0</v>
      </c>
      <c r="DW12" s="9">
        <v>0</v>
      </c>
      <c r="DX12" s="9">
        <v>0</v>
      </c>
      <c r="DY12" s="9">
        <v>0</v>
      </c>
      <c r="DZ12" s="9">
        <v>0</v>
      </c>
      <c r="EA12" s="9">
        <v>0</v>
      </c>
      <c r="EB12" s="9">
        <v>0</v>
      </c>
      <c r="EC12" s="9">
        <v>0</v>
      </c>
      <c r="ED12" s="9">
        <v>0</v>
      </c>
      <c r="EE12" s="9">
        <v>0</v>
      </c>
      <c r="EF12" s="9">
        <v>0</v>
      </c>
      <c r="EG12" s="9">
        <v>0</v>
      </c>
      <c r="EH12" s="9">
        <v>0</v>
      </c>
      <c r="EI12" s="10">
        <v>0</v>
      </c>
    </row>
    <row r="13" spans="1:139" x14ac:dyDescent="0.35">
      <c r="A13" s="8" t="s">
        <v>0</v>
      </c>
      <c r="B13" s="9" t="s">
        <v>23</v>
      </c>
      <c r="C13" s="9" t="s">
        <v>24</v>
      </c>
      <c r="D13" s="9">
        <f t="shared" si="0"/>
        <v>0</v>
      </c>
      <c r="E13" s="9">
        <v>0</v>
      </c>
      <c r="F13" s="9">
        <v>0</v>
      </c>
      <c r="G13" s="9">
        <v>0</v>
      </c>
      <c r="H13" s="9">
        <v>0</v>
      </c>
      <c r="I13" s="9">
        <v>0</v>
      </c>
      <c r="J13" s="9">
        <v>0</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0</v>
      </c>
      <c r="AC13" s="9">
        <v>0</v>
      </c>
      <c r="AD13" s="9">
        <v>0</v>
      </c>
      <c r="AE13" s="9">
        <v>0</v>
      </c>
      <c r="AF13" s="9">
        <v>0</v>
      </c>
      <c r="AG13" s="9">
        <v>0</v>
      </c>
      <c r="AH13" s="9">
        <v>0</v>
      </c>
      <c r="AI13" s="9">
        <v>0</v>
      </c>
      <c r="AJ13" s="9">
        <v>0</v>
      </c>
      <c r="AK13" s="9">
        <v>0</v>
      </c>
      <c r="AL13" s="9">
        <v>0</v>
      </c>
      <c r="AM13" s="9">
        <v>0</v>
      </c>
      <c r="AN13" s="9">
        <v>0</v>
      </c>
      <c r="AO13" s="9">
        <v>0</v>
      </c>
      <c r="AP13" s="9">
        <v>0</v>
      </c>
      <c r="AQ13" s="9">
        <v>0</v>
      </c>
      <c r="AR13" s="9">
        <v>0</v>
      </c>
      <c r="AS13" s="9">
        <v>0</v>
      </c>
      <c r="AT13" s="9">
        <v>0</v>
      </c>
      <c r="AU13" s="9">
        <v>0</v>
      </c>
      <c r="AV13" s="9">
        <v>0</v>
      </c>
      <c r="AW13" s="9">
        <v>0</v>
      </c>
      <c r="AX13" s="9">
        <v>0</v>
      </c>
      <c r="AY13" s="9">
        <v>0</v>
      </c>
      <c r="AZ13" s="9">
        <v>0</v>
      </c>
      <c r="BA13" s="9">
        <v>0</v>
      </c>
      <c r="BB13" s="9">
        <v>0</v>
      </c>
      <c r="BC13" s="9">
        <v>0</v>
      </c>
      <c r="BD13" s="9">
        <v>0</v>
      </c>
      <c r="BE13" s="9">
        <v>0</v>
      </c>
      <c r="BF13" s="9">
        <v>0</v>
      </c>
      <c r="BG13" s="9">
        <v>0</v>
      </c>
      <c r="BH13" s="9">
        <v>0</v>
      </c>
      <c r="BI13" s="9">
        <v>0</v>
      </c>
      <c r="BJ13" s="9">
        <v>0</v>
      </c>
      <c r="BK13" s="9">
        <v>0</v>
      </c>
      <c r="BL13" s="9">
        <v>0</v>
      </c>
      <c r="BM13" s="9">
        <v>0</v>
      </c>
      <c r="BN13" s="9">
        <v>0</v>
      </c>
      <c r="BO13" s="9">
        <v>0</v>
      </c>
      <c r="BP13" s="9">
        <v>0</v>
      </c>
      <c r="BQ13" s="9">
        <v>0</v>
      </c>
      <c r="BR13" s="9">
        <v>0</v>
      </c>
      <c r="BS13" s="9">
        <v>0</v>
      </c>
      <c r="BT13" s="9">
        <v>0</v>
      </c>
      <c r="BU13" s="9">
        <v>0</v>
      </c>
      <c r="BV13" s="9">
        <v>0</v>
      </c>
      <c r="BW13" s="9">
        <v>0</v>
      </c>
      <c r="BX13" s="9">
        <v>0</v>
      </c>
      <c r="BY13" s="9">
        <v>0</v>
      </c>
      <c r="BZ13" s="9">
        <v>0</v>
      </c>
      <c r="CA13" s="9">
        <v>0</v>
      </c>
      <c r="CB13" s="9">
        <v>0</v>
      </c>
      <c r="CC13" s="9">
        <v>0</v>
      </c>
      <c r="CD13" s="9">
        <v>0</v>
      </c>
      <c r="CE13" s="9">
        <v>0</v>
      </c>
      <c r="CF13" s="9">
        <v>0</v>
      </c>
      <c r="CG13" s="9">
        <v>0</v>
      </c>
      <c r="CH13" s="9">
        <v>0</v>
      </c>
      <c r="CI13" s="9">
        <v>0</v>
      </c>
      <c r="CJ13" s="9">
        <v>0</v>
      </c>
      <c r="CK13" s="9">
        <v>0</v>
      </c>
      <c r="CL13" s="9">
        <v>0</v>
      </c>
      <c r="CM13" s="9">
        <v>0</v>
      </c>
      <c r="CN13" s="9">
        <v>0</v>
      </c>
      <c r="CO13" s="9">
        <v>0</v>
      </c>
      <c r="CP13" s="9">
        <v>0</v>
      </c>
      <c r="CQ13" s="9">
        <v>0</v>
      </c>
      <c r="CR13" s="9">
        <v>0</v>
      </c>
      <c r="CS13" s="9">
        <v>0</v>
      </c>
      <c r="CT13" s="9">
        <v>0</v>
      </c>
      <c r="CU13" s="9">
        <v>0</v>
      </c>
      <c r="CV13" s="9">
        <v>0</v>
      </c>
      <c r="CW13" s="9">
        <v>0</v>
      </c>
      <c r="CX13" s="9">
        <v>0</v>
      </c>
      <c r="CY13" s="9">
        <v>0</v>
      </c>
      <c r="CZ13" s="9">
        <v>0</v>
      </c>
      <c r="DA13" s="9">
        <v>0</v>
      </c>
      <c r="DB13" s="9">
        <v>0</v>
      </c>
      <c r="DC13" s="9">
        <v>0</v>
      </c>
      <c r="DD13" s="9">
        <v>0</v>
      </c>
      <c r="DE13" s="9">
        <v>0</v>
      </c>
      <c r="DF13" s="9">
        <v>0</v>
      </c>
      <c r="DG13" s="9">
        <v>0</v>
      </c>
      <c r="DH13" s="9">
        <v>0</v>
      </c>
      <c r="DI13" s="9">
        <v>0</v>
      </c>
      <c r="DJ13" s="9">
        <v>0</v>
      </c>
      <c r="DK13" s="9">
        <v>0</v>
      </c>
      <c r="DL13" s="9">
        <v>0</v>
      </c>
      <c r="DM13" s="9">
        <v>0</v>
      </c>
      <c r="DN13" s="9">
        <v>0</v>
      </c>
      <c r="DO13" s="9">
        <v>0</v>
      </c>
      <c r="DP13" s="9">
        <v>0</v>
      </c>
      <c r="DQ13" s="9">
        <v>0</v>
      </c>
      <c r="DR13" s="9">
        <v>0</v>
      </c>
      <c r="DS13" s="9">
        <v>0</v>
      </c>
      <c r="DT13" s="9">
        <v>0</v>
      </c>
      <c r="DU13" s="9">
        <v>0</v>
      </c>
      <c r="DV13" s="9">
        <v>0</v>
      </c>
      <c r="DW13" s="9">
        <v>0</v>
      </c>
      <c r="DX13" s="9">
        <v>0</v>
      </c>
      <c r="DY13" s="9">
        <v>0</v>
      </c>
      <c r="DZ13" s="9">
        <v>0</v>
      </c>
      <c r="EA13" s="9">
        <v>0</v>
      </c>
      <c r="EB13" s="9">
        <v>0</v>
      </c>
      <c r="EC13" s="9">
        <v>0</v>
      </c>
      <c r="ED13" s="9">
        <v>0</v>
      </c>
      <c r="EE13" s="9">
        <v>0</v>
      </c>
      <c r="EF13" s="9">
        <v>0</v>
      </c>
      <c r="EG13" s="9">
        <v>0</v>
      </c>
      <c r="EH13" s="9">
        <v>0</v>
      </c>
      <c r="EI13" s="10">
        <v>0</v>
      </c>
    </row>
    <row r="14" spans="1:139" x14ac:dyDescent="0.35">
      <c r="A14" s="8" t="s">
        <v>0</v>
      </c>
      <c r="B14" s="9" t="s">
        <v>25</v>
      </c>
      <c r="C14" s="9" t="s">
        <v>26</v>
      </c>
      <c r="D14" s="9">
        <f t="shared" si="0"/>
        <v>0</v>
      </c>
      <c r="E14" s="9">
        <v>0</v>
      </c>
      <c r="F14" s="9">
        <v>0</v>
      </c>
      <c r="G14" s="9">
        <v>0</v>
      </c>
      <c r="H14" s="9">
        <v>0</v>
      </c>
      <c r="I14" s="9">
        <v>0</v>
      </c>
      <c r="J14" s="9">
        <v>0</v>
      </c>
      <c r="K14" s="9">
        <v>0</v>
      </c>
      <c r="L14" s="9">
        <v>0</v>
      </c>
      <c r="M14" s="9">
        <v>0</v>
      </c>
      <c r="N14" s="9">
        <v>0</v>
      </c>
      <c r="O14" s="9">
        <v>0</v>
      </c>
      <c r="P14" s="9">
        <v>0</v>
      </c>
      <c r="Q14" s="9">
        <v>0</v>
      </c>
      <c r="R14" s="9">
        <v>0</v>
      </c>
      <c r="S14" s="9">
        <v>0</v>
      </c>
      <c r="T14" s="9">
        <v>0</v>
      </c>
      <c r="U14" s="9">
        <v>0</v>
      </c>
      <c r="V14" s="9">
        <v>0</v>
      </c>
      <c r="W14" s="9">
        <v>0</v>
      </c>
      <c r="X14" s="9">
        <v>0</v>
      </c>
      <c r="Y14" s="9">
        <v>0</v>
      </c>
      <c r="Z14" s="9">
        <v>0</v>
      </c>
      <c r="AA14" s="9">
        <v>0</v>
      </c>
      <c r="AB14" s="9">
        <v>0</v>
      </c>
      <c r="AC14" s="9">
        <v>0</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c r="AU14" s="9">
        <v>0</v>
      </c>
      <c r="AV14" s="9">
        <v>0</v>
      </c>
      <c r="AW14" s="9">
        <v>0</v>
      </c>
      <c r="AX14" s="9">
        <v>0</v>
      </c>
      <c r="AY14" s="9">
        <v>0</v>
      </c>
      <c r="AZ14" s="9">
        <v>0</v>
      </c>
      <c r="BA14" s="9">
        <v>0</v>
      </c>
      <c r="BB14" s="9">
        <v>0</v>
      </c>
      <c r="BC14" s="9">
        <v>0</v>
      </c>
      <c r="BD14" s="9">
        <v>0</v>
      </c>
      <c r="BE14" s="9">
        <v>0</v>
      </c>
      <c r="BF14" s="9">
        <v>0</v>
      </c>
      <c r="BG14" s="9">
        <v>0</v>
      </c>
      <c r="BH14" s="9">
        <v>0</v>
      </c>
      <c r="BI14" s="9">
        <v>0</v>
      </c>
      <c r="BJ14" s="9">
        <v>0</v>
      </c>
      <c r="BK14" s="9">
        <v>0</v>
      </c>
      <c r="BL14" s="9">
        <v>0</v>
      </c>
      <c r="BM14" s="9">
        <v>0</v>
      </c>
      <c r="BN14" s="9">
        <v>0</v>
      </c>
      <c r="BO14" s="9">
        <v>0</v>
      </c>
      <c r="BP14" s="9">
        <v>0</v>
      </c>
      <c r="BQ14" s="9">
        <v>0</v>
      </c>
      <c r="BR14" s="9">
        <v>0</v>
      </c>
      <c r="BS14" s="9">
        <v>0</v>
      </c>
      <c r="BT14" s="9">
        <v>0</v>
      </c>
      <c r="BU14" s="9">
        <v>0</v>
      </c>
      <c r="BV14" s="9">
        <v>0</v>
      </c>
      <c r="BW14" s="9">
        <v>0</v>
      </c>
      <c r="BX14" s="9">
        <v>0</v>
      </c>
      <c r="BY14" s="9">
        <v>0</v>
      </c>
      <c r="BZ14" s="9">
        <v>0</v>
      </c>
      <c r="CA14" s="9">
        <v>0</v>
      </c>
      <c r="CB14" s="9">
        <v>0</v>
      </c>
      <c r="CC14" s="9">
        <v>0</v>
      </c>
      <c r="CD14" s="9">
        <v>0</v>
      </c>
      <c r="CE14" s="9">
        <v>0</v>
      </c>
      <c r="CF14" s="9">
        <v>0</v>
      </c>
      <c r="CG14" s="9">
        <v>0</v>
      </c>
      <c r="CH14" s="9">
        <v>0</v>
      </c>
      <c r="CI14" s="9">
        <v>0</v>
      </c>
      <c r="CJ14" s="9">
        <v>0</v>
      </c>
      <c r="CK14" s="9">
        <v>0</v>
      </c>
      <c r="CL14" s="9">
        <v>0</v>
      </c>
      <c r="CM14" s="9">
        <v>0</v>
      </c>
      <c r="CN14" s="9">
        <v>0</v>
      </c>
      <c r="CO14" s="9">
        <v>0</v>
      </c>
      <c r="CP14" s="9">
        <v>0</v>
      </c>
      <c r="CQ14" s="9">
        <v>0</v>
      </c>
      <c r="CR14" s="9">
        <v>0</v>
      </c>
      <c r="CS14" s="9">
        <v>0</v>
      </c>
      <c r="CT14" s="9">
        <v>0</v>
      </c>
      <c r="CU14" s="9">
        <v>0</v>
      </c>
      <c r="CV14" s="9">
        <v>0</v>
      </c>
      <c r="CW14" s="9">
        <v>0</v>
      </c>
      <c r="CX14" s="9">
        <v>0</v>
      </c>
      <c r="CY14" s="9">
        <v>0</v>
      </c>
      <c r="CZ14" s="9">
        <v>0</v>
      </c>
      <c r="DA14" s="9">
        <v>0</v>
      </c>
      <c r="DB14" s="9">
        <v>0</v>
      </c>
      <c r="DC14" s="9">
        <v>0</v>
      </c>
      <c r="DD14" s="9">
        <v>0</v>
      </c>
      <c r="DE14" s="9">
        <v>0</v>
      </c>
      <c r="DF14" s="9">
        <v>0</v>
      </c>
      <c r="DG14" s="9">
        <v>0</v>
      </c>
      <c r="DH14" s="9">
        <v>0</v>
      </c>
      <c r="DI14" s="9">
        <v>0</v>
      </c>
      <c r="DJ14" s="9">
        <v>0</v>
      </c>
      <c r="DK14" s="9">
        <v>0</v>
      </c>
      <c r="DL14" s="9">
        <v>0</v>
      </c>
      <c r="DM14" s="9">
        <v>0</v>
      </c>
      <c r="DN14" s="9">
        <v>0</v>
      </c>
      <c r="DO14" s="9">
        <v>0</v>
      </c>
      <c r="DP14" s="9">
        <v>0</v>
      </c>
      <c r="DQ14" s="9">
        <v>0</v>
      </c>
      <c r="DR14" s="9">
        <v>0</v>
      </c>
      <c r="DS14" s="9">
        <v>0</v>
      </c>
      <c r="DT14" s="9">
        <v>0</v>
      </c>
      <c r="DU14" s="9">
        <v>0</v>
      </c>
      <c r="DV14" s="9">
        <v>0</v>
      </c>
      <c r="DW14" s="9">
        <v>0</v>
      </c>
      <c r="DX14" s="9">
        <v>0</v>
      </c>
      <c r="DY14" s="9">
        <v>0</v>
      </c>
      <c r="DZ14" s="9">
        <v>0</v>
      </c>
      <c r="EA14" s="9">
        <v>0</v>
      </c>
      <c r="EB14" s="9">
        <v>0</v>
      </c>
      <c r="EC14" s="9">
        <v>0</v>
      </c>
      <c r="ED14" s="9">
        <v>0</v>
      </c>
      <c r="EE14" s="9">
        <v>0</v>
      </c>
      <c r="EF14" s="9">
        <v>0</v>
      </c>
      <c r="EG14" s="9">
        <v>0</v>
      </c>
      <c r="EH14" s="9">
        <v>0</v>
      </c>
      <c r="EI14" s="10">
        <v>0</v>
      </c>
    </row>
    <row r="15" spans="1:139" x14ac:dyDescent="0.35">
      <c r="A15" s="8" t="s">
        <v>0</v>
      </c>
      <c r="B15" s="9" t="s">
        <v>27</v>
      </c>
      <c r="C15" s="9" t="s">
        <v>28</v>
      </c>
      <c r="D15" s="9">
        <f t="shared" si="0"/>
        <v>0</v>
      </c>
      <c r="E15" s="9">
        <v>0</v>
      </c>
      <c r="F15" s="9">
        <v>0</v>
      </c>
      <c r="G15" s="9">
        <v>0</v>
      </c>
      <c r="H15" s="9">
        <v>0</v>
      </c>
      <c r="I15" s="9">
        <v>0</v>
      </c>
      <c r="J15" s="9">
        <v>0</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9">
        <v>0</v>
      </c>
      <c r="AC15" s="9">
        <v>0</v>
      </c>
      <c r="AD15" s="9">
        <v>0</v>
      </c>
      <c r="AE15" s="9">
        <v>0</v>
      </c>
      <c r="AF15" s="9">
        <v>0</v>
      </c>
      <c r="AG15" s="9">
        <v>0</v>
      </c>
      <c r="AH15" s="9">
        <v>0</v>
      </c>
      <c r="AI15" s="9">
        <v>0</v>
      </c>
      <c r="AJ15" s="9">
        <v>0</v>
      </c>
      <c r="AK15" s="9">
        <v>0</v>
      </c>
      <c r="AL15" s="9">
        <v>0</v>
      </c>
      <c r="AM15" s="9">
        <v>0</v>
      </c>
      <c r="AN15" s="9">
        <v>0</v>
      </c>
      <c r="AO15" s="9">
        <v>0</v>
      </c>
      <c r="AP15" s="9">
        <v>0</v>
      </c>
      <c r="AQ15" s="9">
        <v>0</v>
      </c>
      <c r="AR15" s="9">
        <v>0</v>
      </c>
      <c r="AS15" s="9">
        <v>0</v>
      </c>
      <c r="AT15" s="9">
        <v>0</v>
      </c>
      <c r="AU15" s="9">
        <v>0</v>
      </c>
      <c r="AV15" s="9">
        <v>0</v>
      </c>
      <c r="AW15" s="9">
        <v>0</v>
      </c>
      <c r="AX15" s="9">
        <v>0</v>
      </c>
      <c r="AY15" s="9">
        <v>0</v>
      </c>
      <c r="AZ15" s="9">
        <v>0</v>
      </c>
      <c r="BA15" s="9">
        <v>0</v>
      </c>
      <c r="BB15" s="9">
        <v>0</v>
      </c>
      <c r="BC15" s="9">
        <v>0</v>
      </c>
      <c r="BD15" s="9">
        <v>0</v>
      </c>
      <c r="BE15" s="9">
        <v>0</v>
      </c>
      <c r="BF15" s="9">
        <v>0</v>
      </c>
      <c r="BG15" s="9">
        <v>0</v>
      </c>
      <c r="BH15" s="9">
        <v>0</v>
      </c>
      <c r="BI15" s="9">
        <v>0</v>
      </c>
      <c r="BJ15" s="9">
        <v>0</v>
      </c>
      <c r="BK15" s="9">
        <v>0</v>
      </c>
      <c r="BL15" s="9">
        <v>0</v>
      </c>
      <c r="BM15" s="9">
        <v>0</v>
      </c>
      <c r="BN15" s="9">
        <v>0</v>
      </c>
      <c r="BO15" s="9">
        <v>0</v>
      </c>
      <c r="BP15" s="9">
        <v>0</v>
      </c>
      <c r="BQ15" s="9">
        <v>0</v>
      </c>
      <c r="BR15" s="9">
        <v>0</v>
      </c>
      <c r="BS15" s="9">
        <v>0</v>
      </c>
      <c r="BT15" s="9">
        <v>0</v>
      </c>
      <c r="BU15" s="9">
        <v>0</v>
      </c>
      <c r="BV15" s="9">
        <v>0</v>
      </c>
      <c r="BW15" s="9">
        <v>0</v>
      </c>
      <c r="BX15" s="9">
        <v>0</v>
      </c>
      <c r="BY15" s="9">
        <v>0</v>
      </c>
      <c r="BZ15" s="9">
        <v>0</v>
      </c>
      <c r="CA15" s="9">
        <v>0</v>
      </c>
      <c r="CB15" s="9">
        <v>0</v>
      </c>
      <c r="CC15" s="9">
        <v>0</v>
      </c>
      <c r="CD15" s="9">
        <v>0</v>
      </c>
      <c r="CE15" s="9">
        <v>0</v>
      </c>
      <c r="CF15" s="9">
        <v>0</v>
      </c>
      <c r="CG15" s="9">
        <v>0</v>
      </c>
      <c r="CH15" s="9">
        <v>0</v>
      </c>
      <c r="CI15" s="9">
        <v>0</v>
      </c>
      <c r="CJ15" s="9">
        <v>0</v>
      </c>
      <c r="CK15" s="9">
        <v>0</v>
      </c>
      <c r="CL15" s="9">
        <v>0</v>
      </c>
      <c r="CM15" s="9">
        <v>0</v>
      </c>
      <c r="CN15" s="9">
        <v>0</v>
      </c>
      <c r="CO15" s="9">
        <v>0</v>
      </c>
      <c r="CP15" s="9">
        <v>0</v>
      </c>
      <c r="CQ15" s="9">
        <v>0</v>
      </c>
      <c r="CR15" s="9">
        <v>0</v>
      </c>
      <c r="CS15" s="9">
        <v>0</v>
      </c>
      <c r="CT15" s="9">
        <v>0</v>
      </c>
      <c r="CU15" s="9">
        <v>0</v>
      </c>
      <c r="CV15" s="9">
        <v>0</v>
      </c>
      <c r="CW15" s="9">
        <v>0</v>
      </c>
      <c r="CX15" s="9">
        <v>0</v>
      </c>
      <c r="CY15" s="9">
        <v>0</v>
      </c>
      <c r="CZ15" s="9">
        <v>0</v>
      </c>
      <c r="DA15" s="9">
        <v>0</v>
      </c>
      <c r="DB15" s="9">
        <v>0</v>
      </c>
      <c r="DC15" s="9">
        <v>0</v>
      </c>
      <c r="DD15" s="9">
        <v>0</v>
      </c>
      <c r="DE15" s="9">
        <v>0</v>
      </c>
      <c r="DF15" s="9">
        <v>0</v>
      </c>
      <c r="DG15" s="9">
        <v>0</v>
      </c>
      <c r="DH15" s="9">
        <v>0</v>
      </c>
      <c r="DI15" s="9">
        <v>0</v>
      </c>
      <c r="DJ15" s="9">
        <v>0</v>
      </c>
      <c r="DK15" s="9">
        <v>0</v>
      </c>
      <c r="DL15" s="9">
        <v>0</v>
      </c>
      <c r="DM15" s="9">
        <v>0</v>
      </c>
      <c r="DN15" s="9">
        <v>0</v>
      </c>
      <c r="DO15" s="9">
        <v>0</v>
      </c>
      <c r="DP15" s="9">
        <v>0</v>
      </c>
      <c r="DQ15" s="9">
        <v>0</v>
      </c>
      <c r="DR15" s="9">
        <v>0</v>
      </c>
      <c r="DS15" s="9">
        <v>0</v>
      </c>
      <c r="DT15" s="9">
        <v>0</v>
      </c>
      <c r="DU15" s="9">
        <v>0</v>
      </c>
      <c r="DV15" s="9">
        <v>0</v>
      </c>
      <c r="DW15" s="9">
        <v>0</v>
      </c>
      <c r="DX15" s="9">
        <v>0</v>
      </c>
      <c r="DY15" s="9">
        <v>0</v>
      </c>
      <c r="DZ15" s="9">
        <v>0</v>
      </c>
      <c r="EA15" s="9">
        <v>0</v>
      </c>
      <c r="EB15" s="9">
        <v>0</v>
      </c>
      <c r="EC15" s="9">
        <v>0</v>
      </c>
      <c r="ED15" s="9">
        <v>0</v>
      </c>
      <c r="EE15" s="9">
        <v>0</v>
      </c>
      <c r="EF15" s="9">
        <v>0</v>
      </c>
      <c r="EG15" s="9">
        <v>0</v>
      </c>
      <c r="EH15" s="9">
        <v>0</v>
      </c>
      <c r="EI15" s="10">
        <v>0</v>
      </c>
    </row>
    <row r="16" spans="1:139" x14ac:dyDescent="0.35">
      <c r="A16" s="8" t="s">
        <v>0</v>
      </c>
      <c r="B16" s="9" t="s">
        <v>29</v>
      </c>
      <c r="C16" s="9" t="s">
        <v>30</v>
      </c>
      <c r="D16" s="9">
        <f t="shared" si="0"/>
        <v>0</v>
      </c>
      <c r="E16" s="9">
        <v>0</v>
      </c>
      <c r="F16" s="9">
        <v>0</v>
      </c>
      <c r="G16" s="9">
        <v>0</v>
      </c>
      <c r="H16" s="9">
        <v>0</v>
      </c>
      <c r="I16" s="9">
        <v>0</v>
      </c>
      <c r="J16" s="9">
        <v>0</v>
      </c>
      <c r="K16" s="9">
        <v>0</v>
      </c>
      <c r="L16" s="9">
        <v>0</v>
      </c>
      <c r="M16" s="9">
        <v>0</v>
      </c>
      <c r="N16" s="9">
        <v>0</v>
      </c>
      <c r="O16" s="9">
        <v>0</v>
      </c>
      <c r="P16" s="9">
        <v>0</v>
      </c>
      <c r="Q16" s="9">
        <v>0</v>
      </c>
      <c r="R16" s="9">
        <v>0</v>
      </c>
      <c r="S16" s="9">
        <v>0</v>
      </c>
      <c r="T16" s="9">
        <v>0</v>
      </c>
      <c r="U16" s="9">
        <v>0</v>
      </c>
      <c r="V16" s="9">
        <v>0</v>
      </c>
      <c r="W16" s="9">
        <v>0</v>
      </c>
      <c r="X16" s="9">
        <v>0</v>
      </c>
      <c r="Y16" s="9">
        <v>0</v>
      </c>
      <c r="Z16" s="9">
        <v>0</v>
      </c>
      <c r="AA16" s="9">
        <v>0</v>
      </c>
      <c r="AB16" s="9">
        <v>0</v>
      </c>
      <c r="AC16" s="9">
        <v>0</v>
      </c>
      <c r="AD16" s="9">
        <v>0</v>
      </c>
      <c r="AE16" s="9">
        <v>0</v>
      </c>
      <c r="AF16" s="9">
        <v>0</v>
      </c>
      <c r="AG16" s="9">
        <v>0</v>
      </c>
      <c r="AH16" s="9">
        <v>0</v>
      </c>
      <c r="AI16" s="9">
        <v>0</v>
      </c>
      <c r="AJ16" s="9">
        <v>0</v>
      </c>
      <c r="AK16" s="9">
        <v>0</v>
      </c>
      <c r="AL16" s="9">
        <v>0</v>
      </c>
      <c r="AM16" s="9">
        <v>0</v>
      </c>
      <c r="AN16" s="9">
        <v>0</v>
      </c>
      <c r="AO16" s="9">
        <v>0</v>
      </c>
      <c r="AP16" s="9">
        <v>0</v>
      </c>
      <c r="AQ16" s="9">
        <v>0</v>
      </c>
      <c r="AR16" s="9">
        <v>0</v>
      </c>
      <c r="AS16" s="9">
        <v>0</v>
      </c>
      <c r="AT16" s="9">
        <v>0</v>
      </c>
      <c r="AU16" s="9">
        <v>0</v>
      </c>
      <c r="AV16" s="9">
        <v>0</v>
      </c>
      <c r="AW16" s="9">
        <v>0</v>
      </c>
      <c r="AX16" s="9">
        <v>0</v>
      </c>
      <c r="AY16" s="9">
        <v>0</v>
      </c>
      <c r="AZ16" s="9">
        <v>0</v>
      </c>
      <c r="BA16" s="9">
        <v>0</v>
      </c>
      <c r="BB16" s="9">
        <v>0</v>
      </c>
      <c r="BC16" s="9">
        <v>0</v>
      </c>
      <c r="BD16" s="9">
        <v>0</v>
      </c>
      <c r="BE16" s="9">
        <v>0</v>
      </c>
      <c r="BF16" s="9">
        <v>0</v>
      </c>
      <c r="BG16" s="9">
        <v>0</v>
      </c>
      <c r="BH16" s="9">
        <v>0</v>
      </c>
      <c r="BI16" s="9">
        <v>0</v>
      </c>
      <c r="BJ16" s="9">
        <v>0</v>
      </c>
      <c r="BK16" s="9">
        <v>0</v>
      </c>
      <c r="BL16" s="9">
        <v>0</v>
      </c>
      <c r="BM16" s="9">
        <v>0</v>
      </c>
      <c r="BN16" s="9">
        <v>0</v>
      </c>
      <c r="BO16" s="9">
        <v>0</v>
      </c>
      <c r="BP16" s="9">
        <v>0</v>
      </c>
      <c r="BQ16" s="9">
        <v>0</v>
      </c>
      <c r="BR16" s="9">
        <v>0</v>
      </c>
      <c r="BS16" s="9">
        <v>0</v>
      </c>
      <c r="BT16" s="9">
        <v>0</v>
      </c>
      <c r="BU16" s="9">
        <v>0</v>
      </c>
      <c r="BV16" s="9">
        <v>0</v>
      </c>
      <c r="BW16" s="9">
        <v>0</v>
      </c>
      <c r="BX16" s="9">
        <v>0</v>
      </c>
      <c r="BY16" s="9">
        <v>0</v>
      </c>
      <c r="BZ16" s="9">
        <v>0</v>
      </c>
      <c r="CA16" s="9">
        <v>0</v>
      </c>
      <c r="CB16" s="9">
        <v>0</v>
      </c>
      <c r="CC16" s="9">
        <v>0</v>
      </c>
      <c r="CD16" s="9">
        <v>0</v>
      </c>
      <c r="CE16" s="9">
        <v>0</v>
      </c>
      <c r="CF16" s="9">
        <v>0</v>
      </c>
      <c r="CG16" s="9">
        <v>0</v>
      </c>
      <c r="CH16" s="9">
        <v>0</v>
      </c>
      <c r="CI16" s="9">
        <v>0</v>
      </c>
      <c r="CJ16" s="9">
        <v>0</v>
      </c>
      <c r="CK16" s="9">
        <v>0</v>
      </c>
      <c r="CL16" s="9">
        <v>0</v>
      </c>
      <c r="CM16" s="9">
        <v>0</v>
      </c>
      <c r="CN16" s="9">
        <v>0</v>
      </c>
      <c r="CO16" s="9">
        <v>0</v>
      </c>
      <c r="CP16" s="9">
        <v>0</v>
      </c>
      <c r="CQ16" s="9">
        <v>0</v>
      </c>
      <c r="CR16" s="9">
        <v>0</v>
      </c>
      <c r="CS16" s="9">
        <v>0</v>
      </c>
      <c r="CT16" s="9">
        <v>0</v>
      </c>
      <c r="CU16" s="9">
        <v>0</v>
      </c>
      <c r="CV16" s="9">
        <v>0</v>
      </c>
      <c r="CW16" s="9">
        <v>0</v>
      </c>
      <c r="CX16" s="9">
        <v>0</v>
      </c>
      <c r="CY16" s="9">
        <v>0</v>
      </c>
      <c r="CZ16" s="9">
        <v>0</v>
      </c>
      <c r="DA16" s="9">
        <v>0</v>
      </c>
      <c r="DB16" s="9">
        <v>0</v>
      </c>
      <c r="DC16" s="9">
        <v>0</v>
      </c>
      <c r="DD16" s="9">
        <v>0</v>
      </c>
      <c r="DE16" s="9">
        <v>0</v>
      </c>
      <c r="DF16" s="9">
        <v>0</v>
      </c>
      <c r="DG16" s="9">
        <v>0</v>
      </c>
      <c r="DH16" s="9">
        <v>0</v>
      </c>
      <c r="DI16" s="9">
        <v>0</v>
      </c>
      <c r="DJ16" s="9">
        <v>0</v>
      </c>
      <c r="DK16" s="9">
        <v>0</v>
      </c>
      <c r="DL16" s="9">
        <v>0</v>
      </c>
      <c r="DM16" s="9">
        <v>0</v>
      </c>
      <c r="DN16" s="9">
        <v>0</v>
      </c>
      <c r="DO16" s="9">
        <v>0</v>
      </c>
      <c r="DP16" s="9">
        <v>0</v>
      </c>
      <c r="DQ16" s="9">
        <v>0</v>
      </c>
      <c r="DR16" s="9">
        <v>0</v>
      </c>
      <c r="DS16" s="9">
        <v>0</v>
      </c>
      <c r="DT16" s="9">
        <v>0</v>
      </c>
      <c r="DU16" s="9">
        <v>0</v>
      </c>
      <c r="DV16" s="9">
        <v>0</v>
      </c>
      <c r="DW16" s="9">
        <v>0</v>
      </c>
      <c r="DX16" s="9">
        <v>0</v>
      </c>
      <c r="DY16" s="9">
        <v>0</v>
      </c>
      <c r="DZ16" s="9">
        <v>0</v>
      </c>
      <c r="EA16" s="9">
        <v>0</v>
      </c>
      <c r="EB16" s="9">
        <v>0</v>
      </c>
      <c r="EC16" s="9">
        <v>0</v>
      </c>
      <c r="ED16" s="9">
        <v>0</v>
      </c>
      <c r="EE16" s="9">
        <v>0</v>
      </c>
      <c r="EF16" s="9">
        <v>0</v>
      </c>
      <c r="EG16" s="9">
        <v>0</v>
      </c>
      <c r="EH16" s="9">
        <v>0</v>
      </c>
      <c r="EI16" s="10">
        <v>0</v>
      </c>
    </row>
    <row r="17" spans="1:139" x14ac:dyDescent="0.35">
      <c r="A17" s="8" t="s">
        <v>0</v>
      </c>
      <c r="B17" s="9" t="s">
        <v>31</v>
      </c>
      <c r="C17" s="9" t="s">
        <v>32</v>
      </c>
      <c r="D17" s="9">
        <f t="shared" si="0"/>
        <v>33</v>
      </c>
      <c r="E17" s="9">
        <v>0</v>
      </c>
      <c r="F17" s="9">
        <v>0</v>
      </c>
      <c r="G17" s="9">
        <v>0</v>
      </c>
      <c r="H17" s="9">
        <v>0</v>
      </c>
      <c r="I17" s="9">
        <v>0</v>
      </c>
      <c r="J17" s="9">
        <v>0</v>
      </c>
      <c r="K17" s="9">
        <v>0</v>
      </c>
      <c r="L17" s="9">
        <v>0</v>
      </c>
      <c r="M17" s="9">
        <v>0</v>
      </c>
      <c r="N17" s="9">
        <v>0</v>
      </c>
      <c r="O17" s="9">
        <v>0</v>
      </c>
      <c r="P17" s="9">
        <v>0</v>
      </c>
      <c r="Q17" s="9">
        <v>0</v>
      </c>
      <c r="R17" s="9">
        <v>0</v>
      </c>
      <c r="S17" s="9">
        <v>0</v>
      </c>
      <c r="T17" s="9">
        <v>0</v>
      </c>
      <c r="U17" s="9">
        <v>0</v>
      </c>
      <c r="V17" s="9">
        <v>0</v>
      </c>
      <c r="W17" s="9">
        <v>0</v>
      </c>
      <c r="X17" s="9">
        <v>1</v>
      </c>
      <c r="Y17" s="9">
        <v>0</v>
      </c>
      <c r="Z17" s="9">
        <v>1</v>
      </c>
      <c r="AA17" s="9">
        <v>1</v>
      </c>
      <c r="AB17" s="9">
        <v>0</v>
      </c>
      <c r="AC17" s="9">
        <v>0</v>
      </c>
      <c r="AD17" s="9">
        <v>3</v>
      </c>
      <c r="AE17" s="9">
        <v>2</v>
      </c>
      <c r="AF17" s="9">
        <v>1</v>
      </c>
      <c r="AG17" s="9">
        <v>1</v>
      </c>
      <c r="AH17" s="9">
        <v>1</v>
      </c>
      <c r="AI17" s="9">
        <v>1</v>
      </c>
      <c r="AJ17" s="9">
        <v>1</v>
      </c>
      <c r="AK17" s="9">
        <v>0</v>
      </c>
      <c r="AL17" s="9">
        <v>2</v>
      </c>
      <c r="AM17" s="9">
        <v>3</v>
      </c>
      <c r="AN17" s="9">
        <v>1</v>
      </c>
      <c r="AO17" s="9">
        <v>2</v>
      </c>
      <c r="AP17" s="9">
        <v>1</v>
      </c>
      <c r="AQ17" s="9">
        <v>1</v>
      </c>
      <c r="AR17" s="9">
        <v>0</v>
      </c>
      <c r="AS17" s="9">
        <v>1</v>
      </c>
      <c r="AT17" s="9">
        <v>0</v>
      </c>
      <c r="AU17" s="9">
        <v>1</v>
      </c>
      <c r="AV17" s="9">
        <v>0</v>
      </c>
      <c r="AW17" s="9">
        <v>0</v>
      </c>
      <c r="AX17" s="9">
        <v>0</v>
      </c>
      <c r="AY17" s="9">
        <v>0</v>
      </c>
      <c r="AZ17" s="9">
        <v>0</v>
      </c>
      <c r="BA17" s="9">
        <v>3</v>
      </c>
      <c r="BB17" s="9">
        <v>1</v>
      </c>
      <c r="BC17" s="9">
        <v>0</v>
      </c>
      <c r="BD17" s="9">
        <v>0</v>
      </c>
      <c r="BE17" s="9">
        <v>0</v>
      </c>
      <c r="BF17" s="9">
        <v>0</v>
      </c>
      <c r="BG17" s="9">
        <v>0</v>
      </c>
      <c r="BH17" s="9">
        <v>0</v>
      </c>
      <c r="BI17" s="9">
        <v>1</v>
      </c>
      <c r="BJ17" s="9">
        <v>0</v>
      </c>
      <c r="BK17" s="9">
        <v>0</v>
      </c>
      <c r="BL17" s="9">
        <v>0</v>
      </c>
      <c r="BM17" s="9">
        <v>0</v>
      </c>
      <c r="BN17" s="9">
        <v>1</v>
      </c>
      <c r="BO17" s="9">
        <v>1</v>
      </c>
      <c r="BP17" s="9">
        <v>0</v>
      </c>
      <c r="BQ17" s="9">
        <v>0</v>
      </c>
      <c r="BR17" s="9">
        <v>0</v>
      </c>
      <c r="BS17" s="9">
        <v>0</v>
      </c>
      <c r="BT17" s="9">
        <v>0</v>
      </c>
      <c r="BU17" s="9">
        <v>0</v>
      </c>
      <c r="BV17" s="9">
        <v>0</v>
      </c>
      <c r="BW17" s="9">
        <v>0</v>
      </c>
      <c r="BX17" s="9">
        <v>0</v>
      </c>
      <c r="BY17" s="9">
        <v>0</v>
      </c>
      <c r="BZ17" s="9">
        <v>0</v>
      </c>
      <c r="CA17" s="9">
        <v>0</v>
      </c>
      <c r="CB17" s="9">
        <v>0</v>
      </c>
      <c r="CC17" s="9">
        <v>0</v>
      </c>
      <c r="CD17" s="9">
        <v>0</v>
      </c>
      <c r="CE17" s="9">
        <v>0</v>
      </c>
      <c r="CF17" s="9">
        <v>0</v>
      </c>
      <c r="CG17" s="9">
        <v>0</v>
      </c>
      <c r="CH17" s="9">
        <v>0</v>
      </c>
      <c r="CI17" s="9">
        <v>1</v>
      </c>
      <c r="CJ17" s="9">
        <v>0</v>
      </c>
      <c r="CK17" s="9">
        <v>0</v>
      </c>
      <c r="CL17" s="9">
        <v>0</v>
      </c>
      <c r="CM17" s="9">
        <v>0</v>
      </c>
      <c r="CN17" s="9">
        <v>0</v>
      </c>
      <c r="CO17" s="9">
        <v>0</v>
      </c>
      <c r="CP17" s="9">
        <v>0</v>
      </c>
      <c r="CQ17" s="9">
        <v>0</v>
      </c>
      <c r="CR17" s="9">
        <v>0</v>
      </c>
      <c r="CS17" s="9">
        <v>0</v>
      </c>
      <c r="CT17" s="9">
        <v>0</v>
      </c>
      <c r="CU17" s="9">
        <v>0</v>
      </c>
      <c r="CV17" s="9">
        <v>0</v>
      </c>
      <c r="CW17" s="9">
        <v>0</v>
      </c>
      <c r="CX17" s="9">
        <v>0</v>
      </c>
      <c r="CY17" s="9">
        <v>0</v>
      </c>
      <c r="CZ17" s="9">
        <v>0</v>
      </c>
      <c r="DA17" s="9">
        <v>0</v>
      </c>
      <c r="DB17" s="9">
        <v>0</v>
      </c>
      <c r="DC17" s="9">
        <v>0</v>
      </c>
      <c r="DD17" s="9">
        <v>0</v>
      </c>
      <c r="DE17" s="9">
        <v>0</v>
      </c>
      <c r="DF17" s="9">
        <v>0</v>
      </c>
      <c r="DG17" s="9">
        <v>0</v>
      </c>
      <c r="DH17" s="9">
        <v>0</v>
      </c>
      <c r="DI17" s="9">
        <v>0</v>
      </c>
      <c r="DJ17" s="9">
        <v>0</v>
      </c>
      <c r="DK17" s="9">
        <v>0</v>
      </c>
      <c r="DL17" s="9">
        <v>0</v>
      </c>
      <c r="DM17" s="9">
        <v>0</v>
      </c>
      <c r="DN17" s="9">
        <v>0</v>
      </c>
      <c r="DO17" s="9">
        <v>0</v>
      </c>
      <c r="DP17" s="9">
        <v>0</v>
      </c>
      <c r="DQ17" s="9">
        <v>0</v>
      </c>
      <c r="DR17" s="9">
        <v>0</v>
      </c>
      <c r="DS17" s="9">
        <v>0</v>
      </c>
      <c r="DT17" s="9">
        <v>0</v>
      </c>
      <c r="DU17" s="9">
        <v>0</v>
      </c>
      <c r="DV17" s="9">
        <v>0</v>
      </c>
      <c r="DW17" s="9">
        <v>0</v>
      </c>
      <c r="DX17" s="9">
        <v>0</v>
      </c>
      <c r="DY17" s="9">
        <v>0</v>
      </c>
      <c r="DZ17" s="9">
        <v>0</v>
      </c>
      <c r="EA17" s="9">
        <v>0</v>
      </c>
      <c r="EB17" s="9">
        <v>0</v>
      </c>
      <c r="EC17" s="9">
        <v>0</v>
      </c>
      <c r="ED17" s="9">
        <v>0</v>
      </c>
      <c r="EE17" s="9">
        <v>0</v>
      </c>
      <c r="EF17" s="9">
        <v>0</v>
      </c>
      <c r="EG17" s="9">
        <v>0</v>
      </c>
      <c r="EH17" s="9">
        <v>0</v>
      </c>
      <c r="EI17" s="10">
        <v>0</v>
      </c>
    </row>
    <row r="18" spans="1:139" x14ac:dyDescent="0.35">
      <c r="A18" s="8" t="s">
        <v>0</v>
      </c>
      <c r="B18" s="9" t="s">
        <v>33</v>
      </c>
      <c r="C18" s="9" t="s">
        <v>34</v>
      </c>
      <c r="D18" s="9">
        <f t="shared" si="0"/>
        <v>454</v>
      </c>
      <c r="E18" s="9">
        <v>0</v>
      </c>
      <c r="F18" s="9">
        <v>1</v>
      </c>
      <c r="G18" s="9">
        <v>0</v>
      </c>
      <c r="H18" s="9">
        <v>0</v>
      </c>
      <c r="I18" s="9">
        <v>0</v>
      </c>
      <c r="J18" s="9">
        <v>0</v>
      </c>
      <c r="K18" s="9">
        <v>0</v>
      </c>
      <c r="L18" s="9">
        <v>0</v>
      </c>
      <c r="M18" s="9">
        <v>0</v>
      </c>
      <c r="N18" s="9">
        <v>1</v>
      </c>
      <c r="O18" s="9">
        <v>0</v>
      </c>
      <c r="P18" s="9">
        <v>0</v>
      </c>
      <c r="Q18" s="9">
        <v>2</v>
      </c>
      <c r="R18" s="9">
        <v>2</v>
      </c>
      <c r="S18" s="9">
        <v>0</v>
      </c>
      <c r="T18" s="9">
        <v>0</v>
      </c>
      <c r="U18" s="9">
        <v>0</v>
      </c>
      <c r="V18" s="9">
        <v>0</v>
      </c>
      <c r="W18" s="9">
        <v>0</v>
      </c>
      <c r="X18" s="9">
        <v>0</v>
      </c>
      <c r="Y18" s="9">
        <v>0</v>
      </c>
      <c r="Z18" s="9">
        <v>1</v>
      </c>
      <c r="AA18" s="9">
        <v>5</v>
      </c>
      <c r="AB18" s="9">
        <v>3</v>
      </c>
      <c r="AC18" s="9">
        <v>0</v>
      </c>
      <c r="AD18" s="9">
        <v>1</v>
      </c>
      <c r="AE18" s="9">
        <v>2</v>
      </c>
      <c r="AF18" s="9">
        <v>0</v>
      </c>
      <c r="AG18" s="9">
        <v>1</v>
      </c>
      <c r="AH18" s="9">
        <v>0</v>
      </c>
      <c r="AI18" s="9">
        <v>12</v>
      </c>
      <c r="AJ18" s="9">
        <v>9</v>
      </c>
      <c r="AK18" s="9">
        <v>2</v>
      </c>
      <c r="AL18" s="9">
        <v>4</v>
      </c>
      <c r="AM18" s="9">
        <v>1</v>
      </c>
      <c r="AN18" s="9">
        <v>0</v>
      </c>
      <c r="AO18" s="9">
        <v>13</v>
      </c>
      <c r="AP18" s="9">
        <v>20</v>
      </c>
      <c r="AQ18" s="9">
        <v>13</v>
      </c>
      <c r="AR18" s="9">
        <v>32</v>
      </c>
      <c r="AS18" s="9">
        <v>14</v>
      </c>
      <c r="AT18" s="9">
        <v>19</v>
      </c>
      <c r="AU18" s="9">
        <v>6</v>
      </c>
      <c r="AV18" s="9">
        <v>2</v>
      </c>
      <c r="AW18" s="9">
        <v>2</v>
      </c>
      <c r="AX18" s="9">
        <v>4</v>
      </c>
      <c r="AY18" s="9">
        <v>8</v>
      </c>
      <c r="AZ18" s="9">
        <v>2</v>
      </c>
      <c r="BA18" s="9">
        <v>1</v>
      </c>
      <c r="BB18" s="9">
        <v>6</v>
      </c>
      <c r="BC18" s="9">
        <v>3</v>
      </c>
      <c r="BD18" s="9">
        <v>17</v>
      </c>
      <c r="BE18" s="9">
        <v>1</v>
      </c>
      <c r="BF18" s="9">
        <v>1</v>
      </c>
      <c r="BG18" s="9">
        <v>0</v>
      </c>
      <c r="BH18" s="9">
        <v>1</v>
      </c>
      <c r="BI18" s="9">
        <v>1</v>
      </c>
      <c r="BJ18" s="9">
        <v>1</v>
      </c>
      <c r="BK18" s="9">
        <v>5</v>
      </c>
      <c r="BL18" s="9">
        <v>4</v>
      </c>
      <c r="BM18" s="9">
        <v>1</v>
      </c>
      <c r="BN18" s="9">
        <v>6</v>
      </c>
      <c r="BO18" s="9">
        <v>3</v>
      </c>
      <c r="BP18" s="9">
        <v>6</v>
      </c>
      <c r="BQ18" s="9">
        <v>3</v>
      </c>
      <c r="BR18" s="9">
        <v>1</v>
      </c>
      <c r="BS18" s="9">
        <v>4</v>
      </c>
      <c r="BT18" s="9">
        <v>2</v>
      </c>
      <c r="BU18" s="9">
        <v>2</v>
      </c>
      <c r="BV18" s="9">
        <v>2</v>
      </c>
      <c r="BW18" s="9">
        <v>2</v>
      </c>
      <c r="BX18" s="9">
        <v>4</v>
      </c>
      <c r="BY18" s="9">
        <v>2</v>
      </c>
      <c r="BZ18" s="9">
        <v>0</v>
      </c>
      <c r="CA18" s="9">
        <v>0</v>
      </c>
      <c r="CB18" s="9">
        <v>6</v>
      </c>
      <c r="CC18" s="9">
        <v>3</v>
      </c>
      <c r="CD18" s="9">
        <v>9</v>
      </c>
      <c r="CE18" s="9">
        <v>7</v>
      </c>
      <c r="CF18" s="9">
        <v>2</v>
      </c>
      <c r="CG18" s="9">
        <v>6</v>
      </c>
      <c r="CH18" s="9">
        <v>0</v>
      </c>
      <c r="CI18" s="9">
        <v>5</v>
      </c>
      <c r="CJ18" s="9">
        <v>0</v>
      </c>
      <c r="CK18" s="9">
        <v>3</v>
      </c>
      <c r="CL18" s="9">
        <v>1</v>
      </c>
      <c r="CM18" s="9">
        <v>3</v>
      </c>
      <c r="CN18" s="9">
        <v>1</v>
      </c>
      <c r="CO18" s="9">
        <v>1</v>
      </c>
      <c r="CP18" s="9">
        <v>2</v>
      </c>
      <c r="CQ18" s="9">
        <v>3</v>
      </c>
      <c r="CR18" s="9">
        <v>4</v>
      </c>
      <c r="CS18" s="9">
        <v>1</v>
      </c>
      <c r="CT18" s="9">
        <v>2</v>
      </c>
      <c r="CU18" s="9">
        <v>7</v>
      </c>
      <c r="CV18" s="9">
        <v>4</v>
      </c>
      <c r="CW18" s="9">
        <v>3</v>
      </c>
      <c r="CX18" s="9">
        <v>4</v>
      </c>
      <c r="CY18" s="9">
        <v>4</v>
      </c>
      <c r="CZ18" s="9">
        <v>8</v>
      </c>
      <c r="DA18" s="9">
        <v>0</v>
      </c>
      <c r="DB18" s="9">
        <v>0</v>
      </c>
      <c r="DC18" s="9">
        <v>4</v>
      </c>
      <c r="DD18" s="9">
        <v>5</v>
      </c>
      <c r="DE18" s="9">
        <v>0</v>
      </c>
      <c r="DF18" s="9">
        <v>2</v>
      </c>
      <c r="DG18" s="9">
        <v>3</v>
      </c>
      <c r="DH18" s="9">
        <v>2</v>
      </c>
      <c r="DI18" s="9">
        <v>3</v>
      </c>
      <c r="DJ18" s="9">
        <v>5</v>
      </c>
      <c r="DK18" s="9">
        <v>2</v>
      </c>
      <c r="DL18" s="9">
        <v>5</v>
      </c>
      <c r="DM18" s="9">
        <v>2</v>
      </c>
      <c r="DN18" s="9">
        <v>2</v>
      </c>
      <c r="DO18" s="9">
        <v>2</v>
      </c>
      <c r="DP18" s="9">
        <v>5</v>
      </c>
      <c r="DQ18" s="9">
        <v>6</v>
      </c>
      <c r="DR18" s="9">
        <v>4</v>
      </c>
      <c r="DS18" s="9">
        <v>4</v>
      </c>
      <c r="DT18" s="9">
        <v>4</v>
      </c>
      <c r="DU18" s="9">
        <v>4</v>
      </c>
      <c r="DV18" s="9">
        <v>2</v>
      </c>
      <c r="DW18" s="9">
        <v>2</v>
      </c>
      <c r="DX18" s="9">
        <v>3</v>
      </c>
      <c r="DY18" s="9">
        <v>3</v>
      </c>
      <c r="DZ18" s="9">
        <v>3</v>
      </c>
      <c r="EA18" s="9">
        <v>4</v>
      </c>
      <c r="EB18" s="9">
        <v>2</v>
      </c>
      <c r="EC18" s="9">
        <v>5</v>
      </c>
      <c r="ED18" s="9">
        <v>3</v>
      </c>
      <c r="EE18" s="9">
        <v>5</v>
      </c>
      <c r="EF18" s="9">
        <v>1</v>
      </c>
      <c r="EG18" s="9">
        <v>3</v>
      </c>
      <c r="EH18" s="9">
        <v>4</v>
      </c>
      <c r="EI18" s="10">
        <v>0</v>
      </c>
    </row>
    <row r="19" spans="1:139" x14ac:dyDescent="0.35">
      <c r="A19" s="8" t="s">
        <v>0</v>
      </c>
      <c r="B19" s="9" t="s">
        <v>35</v>
      </c>
      <c r="C19" s="9" t="s">
        <v>36</v>
      </c>
      <c r="D19" s="9">
        <f t="shared" si="0"/>
        <v>303</v>
      </c>
      <c r="E19" s="9">
        <v>0</v>
      </c>
      <c r="F19" s="9">
        <v>0</v>
      </c>
      <c r="G19" s="9">
        <v>0</v>
      </c>
      <c r="H19" s="9">
        <v>1</v>
      </c>
      <c r="I19" s="9">
        <v>1</v>
      </c>
      <c r="J19" s="9">
        <v>2</v>
      </c>
      <c r="K19" s="9">
        <v>2</v>
      </c>
      <c r="L19" s="9">
        <v>1</v>
      </c>
      <c r="M19" s="9">
        <v>0</v>
      </c>
      <c r="N19" s="9">
        <v>0</v>
      </c>
      <c r="O19" s="9">
        <v>0</v>
      </c>
      <c r="P19" s="9">
        <v>0</v>
      </c>
      <c r="Q19" s="9">
        <v>0</v>
      </c>
      <c r="R19" s="9">
        <v>0</v>
      </c>
      <c r="S19" s="9">
        <v>0</v>
      </c>
      <c r="T19" s="9">
        <v>0</v>
      </c>
      <c r="U19" s="9">
        <v>0</v>
      </c>
      <c r="V19" s="9">
        <v>0</v>
      </c>
      <c r="W19" s="9">
        <v>0</v>
      </c>
      <c r="X19" s="9">
        <v>0</v>
      </c>
      <c r="Y19" s="9">
        <v>0</v>
      </c>
      <c r="Z19" s="9">
        <v>0</v>
      </c>
      <c r="AA19" s="9">
        <v>0</v>
      </c>
      <c r="AB19" s="9">
        <v>0</v>
      </c>
      <c r="AC19" s="9">
        <v>0</v>
      </c>
      <c r="AD19" s="9">
        <v>0</v>
      </c>
      <c r="AE19" s="9">
        <v>21</v>
      </c>
      <c r="AF19" s="9">
        <v>0</v>
      </c>
      <c r="AG19" s="9">
        <v>0</v>
      </c>
      <c r="AH19" s="9">
        <v>0</v>
      </c>
      <c r="AI19" s="9">
        <v>0</v>
      </c>
      <c r="AJ19" s="9">
        <v>2</v>
      </c>
      <c r="AK19" s="9">
        <v>0</v>
      </c>
      <c r="AL19" s="9">
        <v>0</v>
      </c>
      <c r="AM19" s="9">
        <v>0</v>
      </c>
      <c r="AN19" s="9">
        <v>0</v>
      </c>
      <c r="AO19" s="9">
        <v>0</v>
      </c>
      <c r="AP19" s="9">
        <v>0</v>
      </c>
      <c r="AQ19" s="9">
        <v>0</v>
      </c>
      <c r="AR19" s="9">
        <v>0</v>
      </c>
      <c r="AS19" s="9">
        <v>4</v>
      </c>
      <c r="AT19" s="9">
        <v>5</v>
      </c>
      <c r="AU19" s="9">
        <v>4</v>
      </c>
      <c r="AV19" s="9">
        <v>1</v>
      </c>
      <c r="AW19" s="9">
        <v>2</v>
      </c>
      <c r="AX19" s="9">
        <v>2</v>
      </c>
      <c r="AY19" s="9">
        <v>3</v>
      </c>
      <c r="AZ19" s="9">
        <v>1</v>
      </c>
      <c r="BA19" s="9">
        <v>3</v>
      </c>
      <c r="BB19" s="9">
        <v>2</v>
      </c>
      <c r="BC19" s="9">
        <v>4</v>
      </c>
      <c r="BD19" s="9">
        <v>5</v>
      </c>
      <c r="BE19" s="9">
        <v>3</v>
      </c>
      <c r="BF19" s="9">
        <v>2</v>
      </c>
      <c r="BG19" s="9">
        <v>5</v>
      </c>
      <c r="BH19" s="9">
        <v>4</v>
      </c>
      <c r="BI19" s="9">
        <v>4</v>
      </c>
      <c r="BJ19" s="9">
        <v>2</v>
      </c>
      <c r="BK19" s="9">
        <v>2</v>
      </c>
      <c r="BL19" s="9">
        <v>0</v>
      </c>
      <c r="BM19" s="9">
        <v>4</v>
      </c>
      <c r="BN19" s="9">
        <v>3</v>
      </c>
      <c r="BO19" s="9">
        <v>2</v>
      </c>
      <c r="BP19" s="9">
        <v>2</v>
      </c>
      <c r="BQ19" s="9">
        <v>3</v>
      </c>
      <c r="BR19" s="9">
        <v>3</v>
      </c>
      <c r="BS19" s="9">
        <v>5</v>
      </c>
      <c r="BT19" s="9">
        <v>3</v>
      </c>
      <c r="BU19" s="9">
        <v>6</v>
      </c>
      <c r="BV19" s="9">
        <v>4</v>
      </c>
      <c r="BW19" s="9">
        <v>0</v>
      </c>
      <c r="BX19" s="9">
        <v>7</v>
      </c>
      <c r="BY19" s="9">
        <v>4</v>
      </c>
      <c r="BZ19" s="9">
        <v>2</v>
      </c>
      <c r="CA19" s="9">
        <v>5</v>
      </c>
      <c r="CB19" s="9">
        <v>6</v>
      </c>
      <c r="CC19" s="9">
        <v>3</v>
      </c>
      <c r="CD19" s="9">
        <v>3</v>
      </c>
      <c r="CE19" s="9">
        <v>6</v>
      </c>
      <c r="CF19" s="9">
        <v>6</v>
      </c>
      <c r="CG19" s="9">
        <v>2</v>
      </c>
      <c r="CH19" s="9">
        <v>3</v>
      </c>
      <c r="CI19" s="9">
        <v>5</v>
      </c>
      <c r="CJ19" s="9">
        <v>3</v>
      </c>
      <c r="CK19" s="9">
        <v>5</v>
      </c>
      <c r="CL19" s="9">
        <v>4</v>
      </c>
      <c r="CM19" s="9">
        <v>2</v>
      </c>
      <c r="CN19" s="9">
        <v>1</v>
      </c>
      <c r="CO19" s="9">
        <v>5</v>
      </c>
      <c r="CP19" s="9">
        <v>4</v>
      </c>
      <c r="CQ19" s="9">
        <v>7</v>
      </c>
      <c r="CR19" s="9">
        <v>4</v>
      </c>
      <c r="CS19" s="9">
        <v>6</v>
      </c>
      <c r="CT19" s="9">
        <v>5</v>
      </c>
      <c r="CU19" s="9">
        <v>4</v>
      </c>
      <c r="CV19" s="9">
        <v>6</v>
      </c>
      <c r="CW19" s="9">
        <v>2</v>
      </c>
      <c r="CX19" s="9">
        <v>2</v>
      </c>
      <c r="CY19" s="9">
        <v>10</v>
      </c>
      <c r="CZ19" s="9">
        <v>7</v>
      </c>
      <c r="DA19" s="9">
        <v>7</v>
      </c>
      <c r="DB19" s="9">
        <v>1</v>
      </c>
      <c r="DC19" s="9">
        <v>4</v>
      </c>
      <c r="DD19" s="9">
        <v>1</v>
      </c>
      <c r="DE19" s="9">
        <v>6</v>
      </c>
      <c r="DF19" s="9">
        <v>7</v>
      </c>
      <c r="DG19" s="9">
        <v>1</v>
      </c>
      <c r="DH19" s="9">
        <v>1</v>
      </c>
      <c r="DI19" s="9">
        <v>2</v>
      </c>
      <c r="DJ19" s="9">
        <v>2</v>
      </c>
      <c r="DK19" s="9">
        <v>3</v>
      </c>
      <c r="DL19" s="9">
        <v>1</v>
      </c>
      <c r="DM19" s="9">
        <v>0</v>
      </c>
      <c r="DN19" s="9">
        <v>2</v>
      </c>
      <c r="DO19" s="9">
        <v>1</v>
      </c>
      <c r="DP19" s="9">
        <v>2</v>
      </c>
      <c r="DQ19" s="9">
        <v>6</v>
      </c>
      <c r="DR19" s="9">
        <v>0</v>
      </c>
      <c r="DS19" s="9">
        <v>0</v>
      </c>
      <c r="DT19" s="9">
        <v>0</v>
      </c>
      <c r="DU19" s="9">
        <v>0</v>
      </c>
      <c r="DV19" s="9">
        <v>1</v>
      </c>
      <c r="DW19" s="9">
        <v>0</v>
      </c>
      <c r="DX19" s="9">
        <v>0</v>
      </c>
      <c r="DY19" s="9">
        <v>0</v>
      </c>
      <c r="DZ19" s="9">
        <v>1</v>
      </c>
      <c r="EA19" s="9">
        <v>2</v>
      </c>
      <c r="EB19" s="9">
        <v>0</v>
      </c>
      <c r="EC19" s="9">
        <v>0</v>
      </c>
      <c r="ED19" s="9">
        <v>0</v>
      </c>
      <c r="EE19" s="9">
        <v>0</v>
      </c>
      <c r="EF19" s="9">
        <v>0</v>
      </c>
      <c r="EG19" s="9">
        <v>0</v>
      </c>
      <c r="EH19" s="9">
        <v>0</v>
      </c>
      <c r="EI19" s="10">
        <v>0</v>
      </c>
    </row>
    <row r="20" spans="1:139" x14ac:dyDescent="0.35">
      <c r="A20" s="8" t="s">
        <v>0</v>
      </c>
      <c r="B20" s="9" t="s">
        <v>37</v>
      </c>
      <c r="C20" s="9" t="s">
        <v>38</v>
      </c>
      <c r="D20" s="9">
        <f t="shared" si="0"/>
        <v>53</v>
      </c>
      <c r="E20" s="9">
        <v>0</v>
      </c>
      <c r="F20" s="9">
        <v>0</v>
      </c>
      <c r="G20" s="9">
        <v>0</v>
      </c>
      <c r="H20" s="9">
        <v>0</v>
      </c>
      <c r="I20" s="9">
        <v>0</v>
      </c>
      <c r="J20" s="9">
        <v>0</v>
      </c>
      <c r="K20" s="9">
        <v>0</v>
      </c>
      <c r="L20" s="9">
        <v>0</v>
      </c>
      <c r="M20" s="9">
        <v>0</v>
      </c>
      <c r="N20" s="9">
        <v>0</v>
      </c>
      <c r="O20" s="9">
        <v>0</v>
      </c>
      <c r="P20" s="9">
        <v>2</v>
      </c>
      <c r="Q20" s="9">
        <v>0</v>
      </c>
      <c r="R20" s="9">
        <v>1</v>
      </c>
      <c r="S20" s="9">
        <v>0</v>
      </c>
      <c r="T20" s="9">
        <v>0</v>
      </c>
      <c r="U20" s="9">
        <v>0</v>
      </c>
      <c r="V20" s="9">
        <v>1</v>
      </c>
      <c r="W20" s="9">
        <v>0</v>
      </c>
      <c r="X20" s="9">
        <v>0</v>
      </c>
      <c r="Y20" s="9">
        <v>0</v>
      </c>
      <c r="Z20" s="9">
        <v>0</v>
      </c>
      <c r="AA20" s="9">
        <v>0</v>
      </c>
      <c r="AB20" s="9">
        <v>0</v>
      </c>
      <c r="AC20" s="9">
        <v>0</v>
      </c>
      <c r="AD20" s="9">
        <v>0</v>
      </c>
      <c r="AE20" s="9">
        <v>0</v>
      </c>
      <c r="AF20" s="9">
        <v>0</v>
      </c>
      <c r="AG20" s="9">
        <v>0</v>
      </c>
      <c r="AH20" s="9">
        <v>0</v>
      </c>
      <c r="AI20" s="9">
        <v>0</v>
      </c>
      <c r="AJ20" s="9">
        <v>0</v>
      </c>
      <c r="AK20" s="9">
        <v>0</v>
      </c>
      <c r="AL20" s="9">
        <v>0</v>
      </c>
      <c r="AM20" s="9">
        <v>0</v>
      </c>
      <c r="AN20" s="9">
        <v>0</v>
      </c>
      <c r="AO20" s="9">
        <v>0</v>
      </c>
      <c r="AP20" s="9">
        <v>0</v>
      </c>
      <c r="AQ20" s="9">
        <v>8</v>
      </c>
      <c r="AR20" s="9">
        <v>4</v>
      </c>
      <c r="AS20" s="9">
        <v>4</v>
      </c>
      <c r="AT20" s="9">
        <v>4</v>
      </c>
      <c r="AU20" s="9">
        <v>0</v>
      </c>
      <c r="AV20" s="9">
        <v>0</v>
      </c>
      <c r="AW20" s="9">
        <v>0</v>
      </c>
      <c r="AX20" s="9">
        <v>0</v>
      </c>
      <c r="AY20" s="9">
        <v>0</v>
      </c>
      <c r="AZ20" s="9">
        <v>0</v>
      </c>
      <c r="BA20" s="9">
        <v>0</v>
      </c>
      <c r="BB20" s="9">
        <v>0</v>
      </c>
      <c r="BC20" s="9">
        <v>0</v>
      </c>
      <c r="BD20" s="9">
        <v>0</v>
      </c>
      <c r="BE20" s="9">
        <v>0</v>
      </c>
      <c r="BF20" s="9">
        <v>0</v>
      </c>
      <c r="BG20" s="9">
        <v>1</v>
      </c>
      <c r="BH20" s="9">
        <v>2</v>
      </c>
      <c r="BI20" s="9">
        <v>2</v>
      </c>
      <c r="BJ20" s="9">
        <v>2</v>
      </c>
      <c r="BK20" s="9">
        <v>3</v>
      </c>
      <c r="BL20" s="9">
        <v>1</v>
      </c>
      <c r="BM20" s="9">
        <v>2</v>
      </c>
      <c r="BN20" s="9">
        <v>1</v>
      </c>
      <c r="BO20" s="9">
        <v>0</v>
      </c>
      <c r="BP20" s="9">
        <v>0</v>
      </c>
      <c r="BQ20" s="9">
        <v>2</v>
      </c>
      <c r="BR20" s="9">
        <v>0</v>
      </c>
      <c r="BS20" s="9">
        <v>0</v>
      </c>
      <c r="BT20" s="9">
        <v>3</v>
      </c>
      <c r="BU20" s="9">
        <v>1</v>
      </c>
      <c r="BV20" s="9">
        <v>1</v>
      </c>
      <c r="BW20" s="9">
        <v>0</v>
      </c>
      <c r="BX20" s="9">
        <v>0</v>
      </c>
      <c r="BY20" s="9">
        <v>0</v>
      </c>
      <c r="BZ20" s="9">
        <v>0</v>
      </c>
      <c r="CA20" s="9">
        <v>0</v>
      </c>
      <c r="CB20" s="9">
        <v>2</v>
      </c>
      <c r="CC20" s="9">
        <v>1</v>
      </c>
      <c r="CD20" s="9">
        <v>1</v>
      </c>
      <c r="CE20" s="9">
        <v>1</v>
      </c>
      <c r="CF20" s="9">
        <v>0</v>
      </c>
      <c r="CG20" s="9">
        <v>0</v>
      </c>
      <c r="CH20" s="9">
        <v>0</v>
      </c>
      <c r="CI20" s="9">
        <v>0</v>
      </c>
      <c r="CJ20" s="9">
        <v>0</v>
      </c>
      <c r="CK20" s="9">
        <v>0</v>
      </c>
      <c r="CL20" s="9">
        <v>1</v>
      </c>
      <c r="CM20" s="9">
        <v>0</v>
      </c>
      <c r="CN20" s="9">
        <v>0</v>
      </c>
      <c r="CO20" s="9">
        <v>0</v>
      </c>
      <c r="CP20" s="9">
        <v>0</v>
      </c>
      <c r="CQ20" s="9">
        <v>0</v>
      </c>
      <c r="CR20" s="9">
        <v>1</v>
      </c>
      <c r="CS20" s="9">
        <v>0</v>
      </c>
      <c r="CT20" s="9">
        <v>0</v>
      </c>
      <c r="CU20" s="9">
        <v>0</v>
      </c>
      <c r="CV20" s="9">
        <v>1</v>
      </c>
      <c r="CW20" s="9">
        <v>0</v>
      </c>
      <c r="CX20" s="9">
        <v>0</v>
      </c>
      <c r="CY20" s="9">
        <v>0</v>
      </c>
      <c r="CZ20" s="9">
        <v>0</v>
      </c>
      <c r="DA20" s="9">
        <v>0</v>
      </c>
      <c r="DB20" s="9">
        <v>0</v>
      </c>
      <c r="DC20" s="9">
        <v>0</v>
      </c>
      <c r="DD20" s="9">
        <v>0</v>
      </c>
      <c r="DE20" s="9">
        <v>0</v>
      </c>
      <c r="DF20" s="9">
        <v>0</v>
      </c>
      <c r="DG20" s="9">
        <v>0</v>
      </c>
      <c r="DH20" s="9">
        <v>0</v>
      </c>
      <c r="DI20" s="9">
        <v>0</v>
      </c>
      <c r="DJ20" s="9">
        <v>0</v>
      </c>
      <c r="DK20" s="9">
        <v>0</v>
      </c>
      <c r="DL20" s="9">
        <v>0</v>
      </c>
      <c r="DM20" s="9">
        <v>0</v>
      </c>
      <c r="DN20" s="9">
        <v>0</v>
      </c>
      <c r="DO20" s="9">
        <v>0</v>
      </c>
      <c r="DP20" s="9">
        <v>0</v>
      </c>
      <c r="DQ20" s="9">
        <v>0</v>
      </c>
      <c r="DR20" s="9">
        <v>0</v>
      </c>
      <c r="DS20" s="9">
        <v>0</v>
      </c>
      <c r="DT20" s="9">
        <v>0</v>
      </c>
      <c r="DU20" s="9">
        <v>0</v>
      </c>
      <c r="DV20" s="9">
        <v>0</v>
      </c>
      <c r="DW20" s="9">
        <v>0</v>
      </c>
      <c r="DX20" s="9">
        <v>0</v>
      </c>
      <c r="DY20" s="9">
        <v>0</v>
      </c>
      <c r="DZ20" s="9">
        <v>0</v>
      </c>
      <c r="EA20" s="9">
        <v>0</v>
      </c>
      <c r="EB20" s="9">
        <v>0</v>
      </c>
      <c r="EC20" s="9">
        <v>0</v>
      </c>
      <c r="ED20" s="9">
        <v>0</v>
      </c>
      <c r="EE20" s="9">
        <v>0</v>
      </c>
      <c r="EF20" s="9">
        <v>0</v>
      </c>
      <c r="EG20" s="9">
        <v>0</v>
      </c>
      <c r="EH20" s="9">
        <v>0</v>
      </c>
      <c r="EI20" s="10">
        <v>0</v>
      </c>
    </row>
    <row r="21" spans="1:139" x14ac:dyDescent="0.35">
      <c r="A21" s="8" t="s">
        <v>0</v>
      </c>
      <c r="B21" s="9" t="s">
        <v>39</v>
      </c>
      <c r="C21" s="9" t="s">
        <v>40</v>
      </c>
      <c r="D21" s="9">
        <f t="shared" si="0"/>
        <v>66</v>
      </c>
      <c r="E21" s="9">
        <v>0</v>
      </c>
      <c r="F21" s="9">
        <v>0</v>
      </c>
      <c r="G21" s="9">
        <v>0</v>
      </c>
      <c r="H21" s="9">
        <v>0</v>
      </c>
      <c r="I21" s="9">
        <v>0</v>
      </c>
      <c r="J21" s="9">
        <v>0</v>
      </c>
      <c r="K21" s="9">
        <v>0</v>
      </c>
      <c r="L21" s="9">
        <v>2</v>
      </c>
      <c r="M21" s="9">
        <v>0</v>
      </c>
      <c r="N21" s="9">
        <v>0</v>
      </c>
      <c r="O21" s="9">
        <v>0</v>
      </c>
      <c r="P21" s="9">
        <v>0</v>
      </c>
      <c r="Q21" s="9">
        <v>0</v>
      </c>
      <c r="R21" s="9">
        <v>0</v>
      </c>
      <c r="S21" s="9">
        <v>0</v>
      </c>
      <c r="T21" s="9">
        <v>0</v>
      </c>
      <c r="U21" s="9">
        <v>0</v>
      </c>
      <c r="V21" s="9">
        <v>1</v>
      </c>
      <c r="W21" s="9">
        <v>0</v>
      </c>
      <c r="X21" s="9">
        <v>0</v>
      </c>
      <c r="Y21" s="9">
        <v>0</v>
      </c>
      <c r="Z21" s="9">
        <v>1</v>
      </c>
      <c r="AA21" s="9">
        <v>1</v>
      </c>
      <c r="AB21" s="9">
        <v>1</v>
      </c>
      <c r="AC21" s="9">
        <v>0</v>
      </c>
      <c r="AD21" s="9">
        <v>0</v>
      </c>
      <c r="AE21" s="9">
        <v>0</v>
      </c>
      <c r="AF21" s="9">
        <v>1</v>
      </c>
      <c r="AG21" s="9">
        <v>0</v>
      </c>
      <c r="AH21" s="9">
        <v>3</v>
      </c>
      <c r="AI21" s="9">
        <v>1</v>
      </c>
      <c r="AJ21" s="9">
        <v>2</v>
      </c>
      <c r="AK21" s="9">
        <v>0</v>
      </c>
      <c r="AL21" s="9">
        <v>0</v>
      </c>
      <c r="AM21" s="9">
        <v>1</v>
      </c>
      <c r="AN21" s="9">
        <v>1</v>
      </c>
      <c r="AO21" s="9">
        <v>0</v>
      </c>
      <c r="AP21" s="9">
        <v>0</v>
      </c>
      <c r="AQ21" s="9">
        <v>1</v>
      </c>
      <c r="AR21" s="9">
        <v>0</v>
      </c>
      <c r="AS21" s="9">
        <v>0</v>
      </c>
      <c r="AT21" s="9">
        <v>1</v>
      </c>
      <c r="AU21" s="9">
        <v>0</v>
      </c>
      <c r="AV21" s="9">
        <v>0</v>
      </c>
      <c r="AW21" s="9">
        <v>0</v>
      </c>
      <c r="AX21" s="9">
        <v>1</v>
      </c>
      <c r="AY21" s="9">
        <v>1</v>
      </c>
      <c r="AZ21" s="9">
        <v>0</v>
      </c>
      <c r="BA21" s="9">
        <v>0</v>
      </c>
      <c r="BB21" s="9">
        <v>0</v>
      </c>
      <c r="BC21" s="9">
        <v>2</v>
      </c>
      <c r="BD21" s="9">
        <v>0</v>
      </c>
      <c r="BE21" s="9">
        <v>0</v>
      </c>
      <c r="BF21" s="9">
        <v>0</v>
      </c>
      <c r="BG21" s="9">
        <v>1</v>
      </c>
      <c r="BH21" s="9">
        <v>1</v>
      </c>
      <c r="BI21" s="9">
        <v>0</v>
      </c>
      <c r="BJ21" s="9">
        <v>1</v>
      </c>
      <c r="BK21" s="9">
        <v>0</v>
      </c>
      <c r="BL21" s="9">
        <v>2</v>
      </c>
      <c r="BM21" s="9">
        <v>1</v>
      </c>
      <c r="BN21" s="9">
        <v>2</v>
      </c>
      <c r="BO21" s="9">
        <v>1</v>
      </c>
      <c r="BP21" s="9">
        <v>3</v>
      </c>
      <c r="BQ21" s="9">
        <v>1</v>
      </c>
      <c r="BR21" s="9">
        <v>1</v>
      </c>
      <c r="BS21" s="9">
        <v>0</v>
      </c>
      <c r="BT21" s="9">
        <v>1</v>
      </c>
      <c r="BU21" s="9">
        <v>2</v>
      </c>
      <c r="BV21" s="9">
        <v>2</v>
      </c>
      <c r="BW21" s="9">
        <v>0</v>
      </c>
      <c r="BX21" s="9">
        <v>1</v>
      </c>
      <c r="BY21" s="9">
        <v>0</v>
      </c>
      <c r="BZ21" s="9">
        <v>0</v>
      </c>
      <c r="CA21" s="9">
        <v>0</v>
      </c>
      <c r="CB21" s="9">
        <v>0</v>
      </c>
      <c r="CC21" s="9">
        <v>0</v>
      </c>
      <c r="CD21" s="9">
        <v>1</v>
      </c>
      <c r="CE21" s="9">
        <v>0</v>
      </c>
      <c r="CF21" s="9">
        <v>0</v>
      </c>
      <c r="CG21" s="9">
        <v>0</v>
      </c>
      <c r="CH21" s="9">
        <v>1</v>
      </c>
      <c r="CI21" s="9">
        <v>0</v>
      </c>
      <c r="CJ21" s="9">
        <v>0</v>
      </c>
      <c r="CK21" s="9">
        <v>1</v>
      </c>
      <c r="CL21" s="9">
        <v>1</v>
      </c>
      <c r="CM21" s="9">
        <v>0</v>
      </c>
      <c r="CN21" s="9">
        <v>2</v>
      </c>
      <c r="CO21" s="9">
        <v>1</v>
      </c>
      <c r="CP21" s="9">
        <v>0</v>
      </c>
      <c r="CQ21" s="9">
        <v>0</v>
      </c>
      <c r="CR21" s="9">
        <v>0</v>
      </c>
      <c r="CS21" s="9">
        <v>1</v>
      </c>
      <c r="CT21" s="9">
        <v>0</v>
      </c>
      <c r="CU21" s="9">
        <v>1</v>
      </c>
      <c r="CV21" s="9">
        <v>0</v>
      </c>
      <c r="CW21" s="9">
        <v>2</v>
      </c>
      <c r="CX21" s="9">
        <v>0</v>
      </c>
      <c r="CY21" s="9">
        <v>0</v>
      </c>
      <c r="CZ21" s="9">
        <v>1</v>
      </c>
      <c r="DA21" s="9">
        <v>1</v>
      </c>
      <c r="DB21" s="9">
        <v>0</v>
      </c>
      <c r="DC21" s="9">
        <v>2</v>
      </c>
      <c r="DD21" s="9">
        <v>0</v>
      </c>
      <c r="DE21" s="9">
        <v>0</v>
      </c>
      <c r="DF21" s="9">
        <v>1</v>
      </c>
      <c r="DG21" s="9">
        <v>1</v>
      </c>
      <c r="DH21" s="9">
        <v>0</v>
      </c>
      <c r="DI21" s="9">
        <v>1</v>
      </c>
      <c r="DJ21" s="9">
        <v>1</v>
      </c>
      <c r="DK21" s="9">
        <v>1</v>
      </c>
      <c r="DL21" s="9">
        <v>0</v>
      </c>
      <c r="DM21" s="9">
        <v>0</v>
      </c>
      <c r="DN21" s="9">
        <v>0</v>
      </c>
      <c r="DO21" s="9">
        <v>0</v>
      </c>
      <c r="DP21" s="9">
        <v>0</v>
      </c>
      <c r="DQ21" s="9">
        <v>1</v>
      </c>
      <c r="DR21" s="9">
        <v>4</v>
      </c>
      <c r="DS21" s="9">
        <v>0</v>
      </c>
      <c r="DT21" s="9">
        <v>0</v>
      </c>
      <c r="DU21" s="9">
        <v>0</v>
      </c>
      <c r="DV21" s="9">
        <v>0</v>
      </c>
      <c r="DW21" s="9">
        <v>0</v>
      </c>
      <c r="DX21" s="9">
        <v>0</v>
      </c>
      <c r="DY21" s="9">
        <v>0</v>
      </c>
      <c r="DZ21" s="9">
        <v>0</v>
      </c>
      <c r="EA21" s="9">
        <v>0</v>
      </c>
      <c r="EB21" s="9">
        <v>0</v>
      </c>
      <c r="EC21" s="9">
        <v>0</v>
      </c>
      <c r="ED21" s="9">
        <v>0</v>
      </c>
      <c r="EE21" s="9">
        <v>0</v>
      </c>
      <c r="EF21" s="9">
        <v>0</v>
      </c>
      <c r="EG21" s="9">
        <v>0</v>
      </c>
      <c r="EH21" s="9">
        <v>0</v>
      </c>
      <c r="EI21" s="10">
        <v>0</v>
      </c>
    </row>
    <row r="22" spans="1:139" x14ac:dyDescent="0.35">
      <c r="A22" s="8" t="s">
        <v>0</v>
      </c>
      <c r="B22" s="9" t="s">
        <v>41</v>
      </c>
      <c r="C22" s="9" t="s">
        <v>42</v>
      </c>
      <c r="D22" s="9">
        <f t="shared" si="0"/>
        <v>76</v>
      </c>
      <c r="E22" s="9">
        <v>0</v>
      </c>
      <c r="F22" s="9">
        <v>0</v>
      </c>
      <c r="G22" s="9">
        <v>2</v>
      </c>
      <c r="H22" s="9">
        <v>1</v>
      </c>
      <c r="I22" s="9">
        <v>0</v>
      </c>
      <c r="J22" s="9">
        <v>0</v>
      </c>
      <c r="K22" s="9">
        <v>0</v>
      </c>
      <c r="L22" s="9">
        <v>0</v>
      </c>
      <c r="M22" s="9">
        <v>0</v>
      </c>
      <c r="N22" s="9">
        <v>0</v>
      </c>
      <c r="O22" s="9">
        <v>0</v>
      </c>
      <c r="P22" s="9">
        <v>0</v>
      </c>
      <c r="Q22" s="9">
        <v>0</v>
      </c>
      <c r="R22" s="9">
        <v>0</v>
      </c>
      <c r="S22" s="9">
        <v>0</v>
      </c>
      <c r="T22" s="9">
        <v>0</v>
      </c>
      <c r="U22" s="9">
        <v>0</v>
      </c>
      <c r="V22" s="9">
        <v>0</v>
      </c>
      <c r="W22" s="9">
        <v>0</v>
      </c>
      <c r="X22" s="9">
        <v>0</v>
      </c>
      <c r="Y22" s="9">
        <v>0</v>
      </c>
      <c r="Z22" s="9">
        <v>2</v>
      </c>
      <c r="AA22" s="9">
        <v>1</v>
      </c>
      <c r="AB22" s="9">
        <v>0</v>
      </c>
      <c r="AC22" s="9">
        <v>1</v>
      </c>
      <c r="AD22" s="9">
        <v>1</v>
      </c>
      <c r="AE22" s="9">
        <v>2</v>
      </c>
      <c r="AF22" s="9">
        <v>1</v>
      </c>
      <c r="AG22" s="9">
        <v>1</v>
      </c>
      <c r="AH22" s="9">
        <v>2</v>
      </c>
      <c r="AI22" s="9">
        <v>0</v>
      </c>
      <c r="AJ22" s="9">
        <v>1</v>
      </c>
      <c r="AK22" s="9">
        <v>0</v>
      </c>
      <c r="AL22" s="9">
        <v>3</v>
      </c>
      <c r="AM22" s="9">
        <v>0</v>
      </c>
      <c r="AN22" s="9">
        <v>1</v>
      </c>
      <c r="AO22" s="9">
        <v>0</v>
      </c>
      <c r="AP22" s="9">
        <v>0</v>
      </c>
      <c r="AQ22" s="9">
        <v>0</v>
      </c>
      <c r="AR22" s="9">
        <v>0</v>
      </c>
      <c r="AS22" s="9">
        <v>0</v>
      </c>
      <c r="AT22" s="9">
        <v>0</v>
      </c>
      <c r="AU22" s="9">
        <v>0</v>
      </c>
      <c r="AV22" s="9">
        <v>0</v>
      </c>
      <c r="AW22" s="9">
        <v>0</v>
      </c>
      <c r="AX22" s="9">
        <v>0</v>
      </c>
      <c r="AY22" s="9">
        <v>0</v>
      </c>
      <c r="AZ22" s="9">
        <v>1</v>
      </c>
      <c r="BA22" s="9">
        <v>0</v>
      </c>
      <c r="BB22" s="9">
        <v>0</v>
      </c>
      <c r="BC22" s="9">
        <v>1</v>
      </c>
      <c r="BD22" s="9">
        <v>3</v>
      </c>
      <c r="BE22" s="9">
        <v>0</v>
      </c>
      <c r="BF22" s="9">
        <v>1</v>
      </c>
      <c r="BG22" s="9">
        <v>0</v>
      </c>
      <c r="BH22" s="9">
        <v>0</v>
      </c>
      <c r="BI22" s="9">
        <v>3</v>
      </c>
      <c r="BJ22" s="9">
        <v>5</v>
      </c>
      <c r="BK22" s="9">
        <v>1</v>
      </c>
      <c r="BL22" s="9">
        <v>0</v>
      </c>
      <c r="BM22" s="9">
        <v>3</v>
      </c>
      <c r="BN22" s="9">
        <v>1</v>
      </c>
      <c r="BO22" s="9">
        <v>0</v>
      </c>
      <c r="BP22" s="9">
        <v>1</v>
      </c>
      <c r="BQ22" s="9">
        <v>4</v>
      </c>
      <c r="BR22" s="9">
        <v>0</v>
      </c>
      <c r="BS22" s="9">
        <v>0</v>
      </c>
      <c r="BT22" s="9">
        <v>1</v>
      </c>
      <c r="BU22" s="9">
        <v>0</v>
      </c>
      <c r="BV22" s="9">
        <v>1</v>
      </c>
      <c r="BW22" s="9">
        <v>1</v>
      </c>
      <c r="BX22" s="9">
        <v>1</v>
      </c>
      <c r="BY22" s="9">
        <v>1</v>
      </c>
      <c r="BZ22" s="9">
        <v>0</v>
      </c>
      <c r="CA22" s="9">
        <v>0</v>
      </c>
      <c r="CB22" s="9">
        <v>0</v>
      </c>
      <c r="CC22" s="9">
        <v>1</v>
      </c>
      <c r="CD22" s="9">
        <v>2</v>
      </c>
      <c r="CE22" s="9">
        <v>2</v>
      </c>
      <c r="CF22" s="9">
        <v>0</v>
      </c>
      <c r="CG22" s="9">
        <v>0</v>
      </c>
      <c r="CH22" s="9">
        <v>1</v>
      </c>
      <c r="CI22" s="9">
        <v>0</v>
      </c>
      <c r="CJ22" s="9">
        <v>2</v>
      </c>
      <c r="CK22" s="9">
        <v>1</v>
      </c>
      <c r="CL22" s="9">
        <v>0</v>
      </c>
      <c r="CM22" s="9">
        <v>0</v>
      </c>
      <c r="CN22" s="9">
        <v>1</v>
      </c>
      <c r="CO22" s="9">
        <v>2</v>
      </c>
      <c r="CP22" s="9">
        <v>2</v>
      </c>
      <c r="CQ22" s="9">
        <v>0</v>
      </c>
      <c r="CR22" s="9">
        <v>3</v>
      </c>
      <c r="CS22" s="9">
        <v>0</v>
      </c>
      <c r="CT22" s="9">
        <v>0</v>
      </c>
      <c r="CU22" s="9">
        <v>1</v>
      </c>
      <c r="CV22" s="9">
        <v>3</v>
      </c>
      <c r="CW22" s="9">
        <v>0</v>
      </c>
      <c r="CX22" s="9">
        <v>0</v>
      </c>
      <c r="CY22" s="9">
        <v>0</v>
      </c>
      <c r="CZ22" s="9">
        <v>0</v>
      </c>
      <c r="DA22" s="9">
        <v>0</v>
      </c>
      <c r="DB22" s="9">
        <v>0</v>
      </c>
      <c r="DC22" s="9">
        <v>1</v>
      </c>
      <c r="DD22" s="9">
        <v>0</v>
      </c>
      <c r="DE22" s="9">
        <v>1</v>
      </c>
      <c r="DF22" s="9">
        <v>1</v>
      </c>
      <c r="DG22" s="9">
        <v>0</v>
      </c>
      <c r="DH22" s="9">
        <v>0</v>
      </c>
      <c r="DI22" s="9">
        <v>1</v>
      </c>
      <c r="DJ22" s="9">
        <v>0</v>
      </c>
      <c r="DK22" s="9">
        <v>0</v>
      </c>
      <c r="DL22" s="9">
        <v>0</v>
      </c>
      <c r="DM22" s="9">
        <v>0</v>
      </c>
      <c r="DN22" s="9">
        <v>0</v>
      </c>
      <c r="DO22" s="9">
        <v>1</v>
      </c>
      <c r="DP22" s="9">
        <v>0</v>
      </c>
      <c r="DQ22" s="9">
        <v>0</v>
      </c>
      <c r="DR22" s="9">
        <v>0</v>
      </c>
      <c r="DS22" s="9">
        <v>0</v>
      </c>
      <c r="DT22" s="9">
        <v>0</v>
      </c>
      <c r="DU22" s="9">
        <v>0</v>
      </c>
      <c r="DV22" s="9">
        <v>0</v>
      </c>
      <c r="DW22" s="9">
        <v>0</v>
      </c>
      <c r="DX22" s="9">
        <v>0</v>
      </c>
      <c r="DY22" s="9">
        <v>0</v>
      </c>
      <c r="DZ22" s="9">
        <v>0</v>
      </c>
      <c r="EA22" s="9">
        <v>0</v>
      </c>
      <c r="EB22" s="9">
        <v>0</v>
      </c>
      <c r="EC22" s="9">
        <v>0</v>
      </c>
      <c r="ED22" s="9">
        <v>0</v>
      </c>
      <c r="EE22" s="9">
        <v>2</v>
      </c>
      <c r="EF22" s="9">
        <v>0</v>
      </c>
      <c r="EG22" s="9">
        <v>0</v>
      </c>
      <c r="EH22" s="9">
        <v>0</v>
      </c>
      <c r="EI22" s="10">
        <v>0</v>
      </c>
    </row>
    <row r="23" spans="1:139" x14ac:dyDescent="0.35">
      <c r="A23" s="8" t="s">
        <v>0</v>
      </c>
      <c r="B23" s="9" t="s">
        <v>43</v>
      </c>
      <c r="C23" s="9" t="s">
        <v>44</v>
      </c>
      <c r="D23" s="9">
        <f t="shared" si="0"/>
        <v>57</v>
      </c>
      <c r="E23" s="9">
        <v>0</v>
      </c>
      <c r="F23" s="9">
        <v>0</v>
      </c>
      <c r="G23" s="9">
        <v>1</v>
      </c>
      <c r="H23" s="9">
        <v>0</v>
      </c>
      <c r="I23" s="9">
        <v>0</v>
      </c>
      <c r="J23" s="9">
        <v>0</v>
      </c>
      <c r="K23" s="9">
        <v>0</v>
      </c>
      <c r="L23" s="9">
        <v>0</v>
      </c>
      <c r="M23" s="9">
        <v>1</v>
      </c>
      <c r="N23" s="9">
        <v>1</v>
      </c>
      <c r="O23" s="9">
        <v>2</v>
      </c>
      <c r="P23" s="9">
        <v>0</v>
      </c>
      <c r="Q23" s="9">
        <v>4</v>
      </c>
      <c r="R23" s="9">
        <v>0</v>
      </c>
      <c r="S23" s="9">
        <v>1</v>
      </c>
      <c r="T23" s="9">
        <v>1</v>
      </c>
      <c r="U23" s="9">
        <v>3</v>
      </c>
      <c r="V23" s="9">
        <v>2</v>
      </c>
      <c r="W23" s="9">
        <v>4</v>
      </c>
      <c r="X23" s="9">
        <v>3</v>
      </c>
      <c r="Y23" s="9">
        <v>3</v>
      </c>
      <c r="Z23" s="9">
        <v>1</v>
      </c>
      <c r="AA23" s="9">
        <v>3</v>
      </c>
      <c r="AB23" s="9">
        <v>2</v>
      </c>
      <c r="AC23" s="9">
        <v>2</v>
      </c>
      <c r="AD23" s="9">
        <v>2</v>
      </c>
      <c r="AE23" s="9">
        <v>1</v>
      </c>
      <c r="AF23" s="9">
        <v>1</v>
      </c>
      <c r="AG23" s="9">
        <v>0</v>
      </c>
      <c r="AH23" s="9">
        <v>0</v>
      </c>
      <c r="AI23" s="9">
        <v>1</v>
      </c>
      <c r="AJ23" s="9">
        <v>1</v>
      </c>
      <c r="AK23" s="9">
        <v>0</v>
      </c>
      <c r="AL23" s="9">
        <v>0</v>
      </c>
      <c r="AM23" s="9">
        <v>2</v>
      </c>
      <c r="AN23" s="9">
        <v>1</v>
      </c>
      <c r="AO23" s="9">
        <v>0</v>
      </c>
      <c r="AP23" s="9">
        <v>0</v>
      </c>
      <c r="AQ23" s="9">
        <v>0</v>
      </c>
      <c r="AR23" s="9">
        <v>0</v>
      </c>
      <c r="AS23" s="9">
        <v>0</v>
      </c>
      <c r="AT23" s="9">
        <v>0</v>
      </c>
      <c r="AU23" s="9">
        <v>1</v>
      </c>
      <c r="AV23" s="9">
        <v>0</v>
      </c>
      <c r="AW23" s="9">
        <v>1</v>
      </c>
      <c r="AX23" s="9">
        <v>0</v>
      </c>
      <c r="AY23" s="9">
        <v>0</v>
      </c>
      <c r="AZ23" s="9">
        <v>1</v>
      </c>
      <c r="BA23" s="9">
        <v>2</v>
      </c>
      <c r="BB23" s="9">
        <v>0</v>
      </c>
      <c r="BC23" s="9">
        <v>0</v>
      </c>
      <c r="BD23" s="9">
        <v>0</v>
      </c>
      <c r="BE23" s="9">
        <v>0</v>
      </c>
      <c r="BF23" s="9">
        <v>0</v>
      </c>
      <c r="BG23" s="9">
        <v>0</v>
      </c>
      <c r="BH23" s="9">
        <v>0</v>
      </c>
      <c r="BI23" s="9">
        <v>0</v>
      </c>
      <c r="BJ23" s="9">
        <v>0</v>
      </c>
      <c r="BK23" s="9">
        <v>1</v>
      </c>
      <c r="BL23" s="9">
        <v>0</v>
      </c>
      <c r="BM23" s="9">
        <v>0</v>
      </c>
      <c r="BN23" s="9">
        <v>1</v>
      </c>
      <c r="BO23" s="9">
        <v>0</v>
      </c>
      <c r="BP23" s="9">
        <v>0</v>
      </c>
      <c r="BQ23" s="9">
        <v>1</v>
      </c>
      <c r="BR23" s="9">
        <v>0</v>
      </c>
      <c r="BS23" s="9">
        <v>1</v>
      </c>
      <c r="BT23" s="9">
        <v>1</v>
      </c>
      <c r="BU23" s="9">
        <v>0</v>
      </c>
      <c r="BV23" s="9">
        <v>0</v>
      </c>
      <c r="BW23" s="9">
        <v>0</v>
      </c>
      <c r="BX23" s="9">
        <v>0</v>
      </c>
      <c r="BY23" s="9">
        <v>1</v>
      </c>
      <c r="BZ23" s="9">
        <v>0</v>
      </c>
      <c r="CA23" s="9">
        <v>0</v>
      </c>
      <c r="CB23" s="9">
        <v>0</v>
      </c>
      <c r="CC23" s="9">
        <v>0</v>
      </c>
      <c r="CD23" s="9">
        <v>0</v>
      </c>
      <c r="CE23" s="9">
        <v>0</v>
      </c>
      <c r="CF23" s="9">
        <v>0</v>
      </c>
      <c r="CG23" s="9">
        <v>0</v>
      </c>
      <c r="CH23" s="9">
        <v>0</v>
      </c>
      <c r="CI23" s="9">
        <v>0</v>
      </c>
      <c r="CJ23" s="9">
        <v>0</v>
      </c>
      <c r="CK23" s="9">
        <v>0</v>
      </c>
      <c r="CL23" s="9">
        <v>0</v>
      </c>
      <c r="CM23" s="9">
        <v>0</v>
      </c>
      <c r="CN23" s="9">
        <v>1</v>
      </c>
      <c r="CO23" s="9">
        <v>0</v>
      </c>
      <c r="CP23" s="9">
        <v>0</v>
      </c>
      <c r="CQ23" s="9">
        <v>0</v>
      </c>
      <c r="CR23" s="9">
        <v>0</v>
      </c>
      <c r="CS23" s="9">
        <v>0</v>
      </c>
      <c r="CT23" s="9">
        <v>0</v>
      </c>
      <c r="CU23" s="9">
        <v>1</v>
      </c>
      <c r="CV23" s="9">
        <v>0</v>
      </c>
      <c r="CW23" s="9">
        <v>0</v>
      </c>
      <c r="CX23" s="9">
        <v>0</v>
      </c>
      <c r="CY23" s="9">
        <v>0</v>
      </c>
      <c r="CZ23" s="9">
        <v>0</v>
      </c>
      <c r="DA23" s="9">
        <v>0</v>
      </c>
      <c r="DB23" s="9">
        <v>0</v>
      </c>
      <c r="DC23" s="9">
        <v>0</v>
      </c>
      <c r="DD23" s="9">
        <v>0</v>
      </c>
      <c r="DE23" s="9">
        <v>1</v>
      </c>
      <c r="DF23" s="9">
        <v>0</v>
      </c>
      <c r="DG23" s="9">
        <v>0</v>
      </c>
      <c r="DH23" s="9">
        <v>0</v>
      </c>
      <c r="DI23" s="9">
        <v>0</v>
      </c>
      <c r="DJ23" s="9">
        <v>0</v>
      </c>
      <c r="DK23" s="9">
        <v>0</v>
      </c>
      <c r="DL23" s="9">
        <v>0</v>
      </c>
      <c r="DM23" s="9">
        <v>0</v>
      </c>
      <c r="DN23" s="9">
        <v>0</v>
      </c>
      <c r="DO23" s="9">
        <v>0</v>
      </c>
      <c r="DP23" s="9">
        <v>0</v>
      </c>
      <c r="DQ23" s="9">
        <v>0</v>
      </c>
      <c r="DR23" s="9">
        <v>0</v>
      </c>
      <c r="DS23" s="9">
        <v>0</v>
      </c>
      <c r="DT23" s="9">
        <v>0</v>
      </c>
      <c r="DU23" s="9">
        <v>0</v>
      </c>
      <c r="DV23" s="9">
        <v>0</v>
      </c>
      <c r="DW23" s="9">
        <v>0</v>
      </c>
      <c r="DX23" s="9">
        <v>0</v>
      </c>
      <c r="DY23" s="9">
        <v>0</v>
      </c>
      <c r="DZ23" s="9">
        <v>0</v>
      </c>
      <c r="EA23" s="9">
        <v>0</v>
      </c>
      <c r="EB23" s="9">
        <v>0</v>
      </c>
      <c r="EC23" s="9">
        <v>0</v>
      </c>
      <c r="ED23" s="9">
        <v>0</v>
      </c>
      <c r="EE23" s="9">
        <v>0</v>
      </c>
      <c r="EF23" s="9">
        <v>0</v>
      </c>
      <c r="EG23" s="9">
        <v>0</v>
      </c>
      <c r="EH23" s="9">
        <v>0</v>
      </c>
      <c r="EI23" s="10">
        <v>0</v>
      </c>
    </row>
    <row r="24" spans="1:139" x14ac:dyDescent="0.35">
      <c r="A24" s="8" t="s">
        <v>0</v>
      </c>
      <c r="B24" s="9" t="s">
        <v>45</v>
      </c>
      <c r="C24" s="9" t="s">
        <v>46</v>
      </c>
      <c r="D24" s="9">
        <f t="shared" si="0"/>
        <v>177</v>
      </c>
      <c r="E24" s="9">
        <v>0</v>
      </c>
      <c r="F24" s="9">
        <v>0</v>
      </c>
      <c r="G24" s="9">
        <v>1</v>
      </c>
      <c r="H24" s="9">
        <v>6</v>
      </c>
      <c r="I24" s="9">
        <v>0</v>
      </c>
      <c r="J24" s="9">
        <v>0</v>
      </c>
      <c r="K24" s="9">
        <v>0</v>
      </c>
      <c r="L24" s="9">
        <v>0</v>
      </c>
      <c r="M24" s="9">
        <v>0</v>
      </c>
      <c r="N24" s="9">
        <v>1</v>
      </c>
      <c r="O24" s="9">
        <v>0</v>
      </c>
      <c r="P24" s="9">
        <v>0</v>
      </c>
      <c r="Q24" s="9">
        <v>0</v>
      </c>
      <c r="R24" s="9">
        <v>0</v>
      </c>
      <c r="S24" s="9">
        <v>1</v>
      </c>
      <c r="T24" s="9">
        <v>0</v>
      </c>
      <c r="U24" s="9">
        <v>1</v>
      </c>
      <c r="V24" s="9">
        <v>0</v>
      </c>
      <c r="W24" s="9">
        <v>0</v>
      </c>
      <c r="X24" s="9">
        <v>16</v>
      </c>
      <c r="Y24" s="9">
        <v>33</v>
      </c>
      <c r="Z24" s="9">
        <v>21</v>
      </c>
      <c r="AA24" s="9">
        <v>21</v>
      </c>
      <c r="AB24" s="9">
        <v>0</v>
      </c>
      <c r="AC24" s="9">
        <v>2</v>
      </c>
      <c r="AD24" s="9">
        <v>2</v>
      </c>
      <c r="AE24" s="9">
        <v>1</v>
      </c>
      <c r="AF24" s="9">
        <v>0</v>
      </c>
      <c r="AG24" s="9">
        <v>0</v>
      </c>
      <c r="AH24" s="9">
        <v>1</v>
      </c>
      <c r="AI24" s="9">
        <v>17</v>
      </c>
      <c r="AJ24" s="9">
        <v>1</v>
      </c>
      <c r="AK24" s="9">
        <v>0</v>
      </c>
      <c r="AL24" s="9">
        <v>0</v>
      </c>
      <c r="AM24" s="9">
        <v>0</v>
      </c>
      <c r="AN24" s="9">
        <v>0</v>
      </c>
      <c r="AO24" s="9">
        <v>1</v>
      </c>
      <c r="AP24" s="9">
        <v>0</v>
      </c>
      <c r="AQ24" s="9">
        <v>1</v>
      </c>
      <c r="AR24" s="9">
        <v>2</v>
      </c>
      <c r="AS24" s="9">
        <v>0</v>
      </c>
      <c r="AT24" s="9">
        <v>0</v>
      </c>
      <c r="AU24" s="9">
        <v>0</v>
      </c>
      <c r="AV24" s="9">
        <v>2</v>
      </c>
      <c r="AW24" s="9">
        <v>2</v>
      </c>
      <c r="AX24" s="9">
        <v>0</v>
      </c>
      <c r="AY24" s="9">
        <v>1</v>
      </c>
      <c r="AZ24" s="9">
        <v>1</v>
      </c>
      <c r="BA24" s="9">
        <v>0</v>
      </c>
      <c r="BB24" s="9">
        <v>0</v>
      </c>
      <c r="BC24" s="9">
        <v>0</v>
      </c>
      <c r="BD24" s="9">
        <v>4</v>
      </c>
      <c r="BE24" s="9">
        <v>0</v>
      </c>
      <c r="BF24" s="9">
        <v>1</v>
      </c>
      <c r="BG24" s="9">
        <v>2</v>
      </c>
      <c r="BH24" s="9">
        <v>2</v>
      </c>
      <c r="BI24" s="9">
        <v>1</v>
      </c>
      <c r="BJ24" s="9">
        <v>0</v>
      </c>
      <c r="BK24" s="9">
        <v>3</v>
      </c>
      <c r="BL24" s="9">
        <v>3</v>
      </c>
      <c r="BM24" s="9">
        <v>0</v>
      </c>
      <c r="BN24" s="9">
        <v>2</v>
      </c>
      <c r="BO24" s="9">
        <v>2</v>
      </c>
      <c r="BP24" s="9">
        <v>0</v>
      </c>
      <c r="BQ24" s="9">
        <v>0</v>
      </c>
      <c r="BR24" s="9">
        <v>0</v>
      </c>
      <c r="BS24" s="9">
        <v>1</v>
      </c>
      <c r="BT24" s="9">
        <v>1</v>
      </c>
      <c r="BU24" s="9">
        <v>0</v>
      </c>
      <c r="BV24" s="9">
        <v>0</v>
      </c>
      <c r="BW24" s="9">
        <v>0</v>
      </c>
      <c r="BX24" s="9">
        <v>1</v>
      </c>
      <c r="BY24" s="9">
        <v>0</v>
      </c>
      <c r="BZ24" s="9">
        <v>0</v>
      </c>
      <c r="CA24" s="9">
        <v>0</v>
      </c>
      <c r="CB24" s="9">
        <v>0</v>
      </c>
      <c r="CC24" s="9">
        <v>0</v>
      </c>
      <c r="CD24" s="9">
        <v>0</v>
      </c>
      <c r="CE24" s="9">
        <v>0</v>
      </c>
      <c r="CF24" s="9">
        <v>0</v>
      </c>
      <c r="CG24" s="9">
        <v>0</v>
      </c>
      <c r="CH24" s="9">
        <v>0</v>
      </c>
      <c r="CI24" s="9">
        <v>0</v>
      </c>
      <c r="CJ24" s="9">
        <v>1</v>
      </c>
      <c r="CK24" s="9">
        <v>0</v>
      </c>
      <c r="CL24" s="9">
        <v>0</v>
      </c>
      <c r="CM24" s="9">
        <v>0</v>
      </c>
      <c r="CN24" s="9">
        <v>0</v>
      </c>
      <c r="CO24" s="9">
        <v>1</v>
      </c>
      <c r="CP24" s="9">
        <v>1</v>
      </c>
      <c r="CQ24" s="9">
        <v>0</v>
      </c>
      <c r="CR24" s="9">
        <v>0</v>
      </c>
      <c r="CS24" s="9">
        <v>0</v>
      </c>
      <c r="CT24" s="9">
        <v>0</v>
      </c>
      <c r="CU24" s="9">
        <v>0</v>
      </c>
      <c r="CV24" s="9">
        <v>1</v>
      </c>
      <c r="CW24" s="9">
        <v>0</v>
      </c>
      <c r="CX24" s="9">
        <v>0</v>
      </c>
      <c r="CY24" s="9">
        <v>0</v>
      </c>
      <c r="CZ24" s="9">
        <v>0</v>
      </c>
      <c r="DA24" s="9">
        <v>0</v>
      </c>
      <c r="DB24" s="9">
        <v>0</v>
      </c>
      <c r="DC24" s="9">
        <v>0</v>
      </c>
      <c r="DD24" s="9">
        <v>0</v>
      </c>
      <c r="DE24" s="9">
        <v>0</v>
      </c>
      <c r="DF24" s="9">
        <v>0</v>
      </c>
      <c r="DG24" s="9">
        <v>0</v>
      </c>
      <c r="DH24" s="9">
        <v>1</v>
      </c>
      <c r="DI24" s="9">
        <v>0</v>
      </c>
      <c r="DJ24" s="9">
        <v>0</v>
      </c>
      <c r="DK24" s="9">
        <v>0</v>
      </c>
      <c r="DL24" s="9">
        <v>1</v>
      </c>
      <c r="DM24" s="9">
        <v>0</v>
      </c>
      <c r="DN24" s="9">
        <v>0</v>
      </c>
      <c r="DO24" s="9">
        <v>1</v>
      </c>
      <c r="DP24" s="9">
        <v>1</v>
      </c>
      <c r="DQ24" s="9">
        <v>0</v>
      </c>
      <c r="DR24" s="9">
        <v>0</v>
      </c>
      <c r="DS24" s="9">
        <v>2</v>
      </c>
      <c r="DT24" s="9">
        <v>0</v>
      </c>
      <c r="DU24" s="9">
        <v>1</v>
      </c>
      <c r="DV24" s="9">
        <v>2</v>
      </c>
      <c r="DW24" s="9">
        <v>0</v>
      </c>
      <c r="DX24" s="9">
        <v>0</v>
      </c>
      <c r="DY24" s="9">
        <v>0</v>
      </c>
      <c r="DZ24" s="9">
        <v>0</v>
      </c>
      <c r="EA24" s="9">
        <v>3</v>
      </c>
      <c r="EB24" s="9">
        <v>0</v>
      </c>
      <c r="EC24" s="9">
        <v>1</v>
      </c>
      <c r="ED24" s="9">
        <v>0</v>
      </c>
      <c r="EE24" s="9">
        <v>1</v>
      </c>
      <c r="EF24" s="9">
        <v>0</v>
      </c>
      <c r="EG24" s="9">
        <v>0</v>
      </c>
      <c r="EH24" s="9">
        <v>1</v>
      </c>
      <c r="EI24" s="10">
        <v>0</v>
      </c>
    </row>
    <row r="25" spans="1:139" x14ac:dyDescent="0.35">
      <c r="A25" s="8" t="s">
        <v>0</v>
      </c>
      <c r="B25" s="9" t="s">
        <v>47</v>
      </c>
      <c r="C25" s="9" t="s">
        <v>48</v>
      </c>
      <c r="D25" s="9">
        <f t="shared" si="0"/>
        <v>35</v>
      </c>
      <c r="E25" s="9">
        <v>0</v>
      </c>
      <c r="F25" s="9">
        <v>0</v>
      </c>
      <c r="G25" s="9">
        <v>0</v>
      </c>
      <c r="H25" s="9">
        <v>1</v>
      </c>
      <c r="I25" s="9">
        <v>0</v>
      </c>
      <c r="J25" s="9">
        <v>0</v>
      </c>
      <c r="K25" s="9">
        <v>0</v>
      </c>
      <c r="L25" s="9">
        <v>0</v>
      </c>
      <c r="M25" s="9">
        <v>0</v>
      </c>
      <c r="N25" s="9">
        <v>0</v>
      </c>
      <c r="O25" s="9">
        <v>0</v>
      </c>
      <c r="P25" s="9">
        <v>0</v>
      </c>
      <c r="Q25" s="9">
        <v>0</v>
      </c>
      <c r="R25" s="9">
        <v>0</v>
      </c>
      <c r="S25" s="9">
        <v>0</v>
      </c>
      <c r="T25" s="9">
        <v>0</v>
      </c>
      <c r="U25" s="9">
        <v>0</v>
      </c>
      <c r="V25" s="9">
        <v>0</v>
      </c>
      <c r="W25" s="9">
        <v>0</v>
      </c>
      <c r="X25" s="9">
        <v>0</v>
      </c>
      <c r="Y25" s="9">
        <v>0</v>
      </c>
      <c r="Z25" s="9">
        <v>0</v>
      </c>
      <c r="AA25" s="9">
        <v>0</v>
      </c>
      <c r="AB25" s="9">
        <v>0</v>
      </c>
      <c r="AC25" s="9">
        <v>0</v>
      </c>
      <c r="AD25" s="9">
        <v>0</v>
      </c>
      <c r="AE25" s="9">
        <v>0</v>
      </c>
      <c r="AF25" s="9">
        <v>0</v>
      </c>
      <c r="AG25" s="9">
        <v>0</v>
      </c>
      <c r="AH25" s="9">
        <v>0</v>
      </c>
      <c r="AI25" s="9">
        <v>0</v>
      </c>
      <c r="AJ25" s="9">
        <v>0</v>
      </c>
      <c r="AK25" s="9">
        <v>0</v>
      </c>
      <c r="AL25" s="9">
        <v>0</v>
      </c>
      <c r="AM25" s="9">
        <v>0</v>
      </c>
      <c r="AN25" s="9">
        <v>2</v>
      </c>
      <c r="AO25" s="9">
        <v>2</v>
      </c>
      <c r="AP25" s="9">
        <v>0</v>
      </c>
      <c r="AQ25" s="9">
        <v>0</v>
      </c>
      <c r="AR25" s="9">
        <v>0</v>
      </c>
      <c r="AS25" s="9">
        <v>0</v>
      </c>
      <c r="AT25" s="9">
        <v>0</v>
      </c>
      <c r="AU25" s="9">
        <v>0</v>
      </c>
      <c r="AV25" s="9">
        <v>1</v>
      </c>
      <c r="AW25" s="9">
        <v>1</v>
      </c>
      <c r="AX25" s="9">
        <v>0</v>
      </c>
      <c r="AY25" s="9">
        <v>1</v>
      </c>
      <c r="AZ25" s="9">
        <v>1</v>
      </c>
      <c r="BA25" s="9">
        <v>1</v>
      </c>
      <c r="BB25" s="9">
        <v>2</v>
      </c>
      <c r="BC25" s="9">
        <v>0</v>
      </c>
      <c r="BD25" s="9">
        <v>1</v>
      </c>
      <c r="BE25" s="9">
        <v>0</v>
      </c>
      <c r="BF25" s="9">
        <v>1</v>
      </c>
      <c r="BG25" s="9">
        <v>0</v>
      </c>
      <c r="BH25" s="9">
        <v>0</v>
      </c>
      <c r="BI25" s="9">
        <v>1</v>
      </c>
      <c r="BJ25" s="9">
        <v>0</v>
      </c>
      <c r="BK25" s="9">
        <v>0</v>
      </c>
      <c r="BL25" s="9">
        <v>0</v>
      </c>
      <c r="BM25" s="9">
        <v>0</v>
      </c>
      <c r="BN25" s="9">
        <v>1</v>
      </c>
      <c r="BO25" s="9">
        <v>0</v>
      </c>
      <c r="BP25" s="9">
        <v>1</v>
      </c>
      <c r="BQ25" s="9">
        <v>1</v>
      </c>
      <c r="BR25" s="9">
        <v>1</v>
      </c>
      <c r="BS25" s="9">
        <v>0</v>
      </c>
      <c r="BT25" s="9">
        <v>0</v>
      </c>
      <c r="BU25" s="9">
        <v>0</v>
      </c>
      <c r="BV25" s="9">
        <v>1</v>
      </c>
      <c r="BW25" s="9">
        <v>3</v>
      </c>
      <c r="BX25" s="9">
        <v>3</v>
      </c>
      <c r="BY25" s="9">
        <v>0</v>
      </c>
      <c r="BZ25" s="9">
        <v>1</v>
      </c>
      <c r="CA25" s="9">
        <v>0</v>
      </c>
      <c r="CB25" s="9">
        <v>0</v>
      </c>
      <c r="CC25" s="9">
        <v>0</v>
      </c>
      <c r="CD25" s="9">
        <v>2</v>
      </c>
      <c r="CE25" s="9">
        <v>0</v>
      </c>
      <c r="CF25" s="9">
        <v>0</v>
      </c>
      <c r="CG25" s="9">
        <v>0</v>
      </c>
      <c r="CH25" s="9">
        <v>0</v>
      </c>
      <c r="CI25" s="9">
        <v>0</v>
      </c>
      <c r="CJ25" s="9">
        <v>0</v>
      </c>
      <c r="CK25" s="9">
        <v>0</v>
      </c>
      <c r="CL25" s="9">
        <v>0</v>
      </c>
      <c r="CM25" s="9">
        <v>0</v>
      </c>
      <c r="CN25" s="9">
        <v>0</v>
      </c>
      <c r="CO25" s="9">
        <v>1</v>
      </c>
      <c r="CP25" s="9">
        <v>1</v>
      </c>
      <c r="CQ25" s="9">
        <v>0</v>
      </c>
      <c r="CR25" s="9">
        <v>0</v>
      </c>
      <c r="CS25" s="9">
        <v>1</v>
      </c>
      <c r="CT25" s="9">
        <v>0</v>
      </c>
      <c r="CU25" s="9">
        <v>0</v>
      </c>
      <c r="CV25" s="9">
        <v>0</v>
      </c>
      <c r="CW25" s="9">
        <v>0</v>
      </c>
      <c r="CX25" s="9">
        <v>1</v>
      </c>
      <c r="CY25" s="9">
        <v>0</v>
      </c>
      <c r="CZ25" s="9">
        <v>0</v>
      </c>
      <c r="DA25" s="9">
        <v>0</v>
      </c>
      <c r="DB25" s="9">
        <v>0</v>
      </c>
      <c r="DC25" s="9">
        <v>0</v>
      </c>
      <c r="DD25" s="9">
        <v>0</v>
      </c>
      <c r="DE25" s="9">
        <v>0</v>
      </c>
      <c r="DF25" s="9">
        <v>0</v>
      </c>
      <c r="DG25" s="9">
        <v>0</v>
      </c>
      <c r="DH25" s="9">
        <v>0</v>
      </c>
      <c r="DI25" s="9">
        <v>0</v>
      </c>
      <c r="DJ25" s="9">
        <v>0</v>
      </c>
      <c r="DK25" s="9">
        <v>0</v>
      </c>
      <c r="DL25" s="9">
        <v>0</v>
      </c>
      <c r="DM25" s="9">
        <v>1</v>
      </c>
      <c r="DN25" s="9">
        <v>0</v>
      </c>
      <c r="DO25" s="9">
        <v>0</v>
      </c>
      <c r="DP25" s="9">
        <v>0</v>
      </c>
      <c r="DQ25" s="9">
        <v>0</v>
      </c>
      <c r="DR25" s="9">
        <v>0</v>
      </c>
      <c r="DS25" s="9">
        <v>0</v>
      </c>
      <c r="DT25" s="9">
        <v>0</v>
      </c>
      <c r="DU25" s="9">
        <v>0</v>
      </c>
      <c r="DV25" s="9">
        <v>0</v>
      </c>
      <c r="DW25" s="9">
        <v>0</v>
      </c>
      <c r="DX25" s="9">
        <v>0</v>
      </c>
      <c r="DY25" s="9">
        <v>0</v>
      </c>
      <c r="DZ25" s="9">
        <v>0</v>
      </c>
      <c r="EA25" s="9">
        <v>1</v>
      </c>
      <c r="EB25" s="9">
        <v>0</v>
      </c>
      <c r="EC25" s="9">
        <v>0</v>
      </c>
      <c r="ED25" s="9">
        <v>0</v>
      </c>
      <c r="EE25" s="9">
        <v>0</v>
      </c>
      <c r="EF25" s="9">
        <v>0</v>
      </c>
      <c r="EG25" s="9">
        <v>0</v>
      </c>
      <c r="EH25" s="9">
        <v>0</v>
      </c>
      <c r="EI25" s="10">
        <v>0</v>
      </c>
    </row>
    <row r="26" spans="1:139" x14ac:dyDescent="0.35">
      <c r="A26" s="8" t="s">
        <v>0</v>
      </c>
      <c r="B26" s="9" t="s">
        <v>49</v>
      </c>
      <c r="C26" s="9" t="s">
        <v>50</v>
      </c>
      <c r="D26" s="9">
        <f t="shared" si="0"/>
        <v>57</v>
      </c>
      <c r="E26" s="9">
        <v>0</v>
      </c>
      <c r="F26" s="9">
        <v>0</v>
      </c>
      <c r="G26" s="9">
        <v>0</v>
      </c>
      <c r="H26" s="9">
        <v>0</v>
      </c>
      <c r="I26" s="9">
        <v>0</v>
      </c>
      <c r="J26" s="9">
        <v>0</v>
      </c>
      <c r="K26" s="9">
        <v>0</v>
      </c>
      <c r="L26" s="9">
        <v>0</v>
      </c>
      <c r="M26" s="9">
        <v>0</v>
      </c>
      <c r="N26" s="9">
        <v>0</v>
      </c>
      <c r="O26" s="9">
        <v>0</v>
      </c>
      <c r="P26" s="9">
        <v>0</v>
      </c>
      <c r="Q26" s="9">
        <v>0</v>
      </c>
      <c r="R26" s="9">
        <v>0</v>
      </c>
      <c r="S26" s="9">
        <v>0</v>
      </c>
      <c r="T26" s="9">
        <v>4</v>
      </c>
      <c r="U26" s="9">
        <v>1</v>
      </c>
      <c r="V26" s="9">
        <v>0</v>
      </c>
      <c r="W26" s="9">
        <v>0</v>
      </c>
      <c r="X26" s="9">
        <v>0</v>
      </c>
      <c r="Y26" s="9">
        <v>0</v>
      </c>
      <c r="Z26" s="9">
        <v>0</v>
      </c>
      <c r="AA26" s="9">
        <v>0</v>
      </c>
      <c r="AB26" s="9">
        <v>0</v>
      </c>
      <c r="AC26" s="9">
        <v>1</v>
      </c>
      <c r="AD26" s="9">
        <v>0</v>
      </c>
      <c r="AE26" s="9">
        <v>0</v>
      </c>
      <c r="AF26" s="9">
        <v>0</v>
      </c>
      <c r="AG26" s="9">
        <v>0</v>
      </c>
      <c r="AH26" s="9">
        <v>0</v>
      </c>
      <c r="AI26" s="9">
        <v>0</v>
      </c>
      <c r="AJ26" s="9">
        <v>0</v>
      </c>
      <c r="AK26" s="9">
        <v>0</v>
      </c>
      <c r="AL26" s="9">
        <v>1</v>
      </c>
      <c r="AM26" s="9">
        <v>0</v>
      </c>
      <c r="AN26" s="9">
        <v>3</v>
      </c>
      <c r="AO26" s="9">
        <v>0</v>
      </c>
      <c r="AP26" s="9">
        <v>0</v>
      </c>
      <c r="AQ26" s="9">
        <v>0</v>
      </c>
      <c r="AR26" s="9">
        <v>0</v>
      </c>
      <c r="AS26" s="9">
        <v>0</v>
      </c>
      <c r="AT26" s="9">
        <v>0</v>
      </c>
      <c r="AU26" s="9">
        <v>1</v>
      </c>
      <c r="AV26" s="9">
        <v>1</v>
      </c>
      <c r="AW26" s="9">
        <v>0</v>
      </c>
      <c r="AX26" s="9">
        <v>1</v>
      </c>
      <c r="AY26" s="9">
        <v>2</v>
      </c>
      <c r="AZ26" s="9">
        <v>0</v>
      </c>
      <c r="BA26" s="9">
        <v>0</v>
      </c>
      <c r="BB26" s="9">
        <v>0</v>
      </c>
      <c r="BC26" s="9">
        <v>0</v>
      </c>
      <c r="BD26" s="9">
        <v>3</v>
      </c>
      <c r="BE26" s="9">
        <v>0</v>
      </c>
      <c r="BF26" s="9">
        <v>0</v>
      </c>
      <c r="BG26" s="9">
        <v>0</v>
      </c>
      <c r="BH26" s="9">
        <v>1</v>
      </c>
      <c r="BI26" s="9">
        <v>1</v>
      </c>
      <c r="BJ26" s="9">
        <v>2</v>
      </c>
      <c r="BK26" s="9">
        <v>1</v>
      </c>
      <c r="BL26" s="9">
        <v>0</v>
      </c>
      <c r="BM26" s="9">
        <v>0</v>
      </c>
      <c r="BN26" s="9">
        <v>0</v>
      </c>
      <c r="BO26" s="9">
        <v>0</v>
      </c>
      <c r="BP26" s="9">
        <v>1</v>
      </c>
      <c r="BQ26" s="9">
        <v>2</v>
      </c>
      <c r="BR26" s="9">
        <v>3</v>
      </c>
      <c r="BS26" s="9">
        <v>0</v>
      </c>
      <c r="BT26" s="9">
        <v>1</v>
      </c>
      <c r="BU26" s="9">
        <v>1</v>
      </c>
      <c r="BV26" s="9">
        <v>2</v>
      </c>
      <c r="BW26" s="9">
        <v>1</v>
      </c>
      <c r="BX26" s="9">
        <v>1</v>
      </c>
      <c r="BY26" s="9">
        <v>0</v>
      </c>
      <c r="BZ26" s="9">
        <v>0</v>
      </c>
      <c r="CA26" s="9">
        <v>0</v>
      </c>
      <c r="CB26" s="9">
        <v>2</v>
      </c>
      <c r="CC26" s="9">
        <v>4</v>
      </c>
      <c r="CD26" s="9">
        <v>1</v>
      </c>
      <c r="CE26" s="9">
        <v>1</v>
      </c>
      <c r="CF26" s="9">
        <v>0</v>
      </c>
      <c r="CG26" s="9">
        <v>0</v>
      </c>
      <c r="CH26" s="9">
        <v>0</v>
      </c>
      <c r="CI26" s="9">
        <v>1</v>
      </c>
      <c r="CJ26" s="9">
        <v>1</v>
      </c>
      <c r="CK26" s="9">
        <v>1</v>
      </c>
      <c r="CL26" s="9">
        <v>2</v>
      </c>
      <c r="CM26" s="9">
        <v>2</v>
      </c>
      <c r="CN26" s="9">
        <v>2</v>
      </c>
      <c r="CO26" s="9">
        <v>0</v>
      </c>
      <c r="CP26" s="9">
        <v>2</v>
      </c>
      <c r="CQ26" s="9">
        <v>2</v>
      </c>
      <c r="CR26" s="9">
        <v>0</v>
      </c>
      <c r="CS26" s="9">
        <v>0</v>
      </c>
      <c r="CT26" s="9">
        <v>0</v>
      </c>
      <c r="CU26" s="9">
        <v>0</v>
      </c>
      <c r="CV26" s="9">
        <v>0</v>
      </c>
      <c r="CW26" s="9">
        <v>0</v>
      </c>
      <c r="CX26" s="9">
        <v>0</v>
      </c>
      <c r="CY26" s="9">
        <v>0</v>
      </c>
      <c r="CZ26" s="9">
        <v>0</v>
      </c>
      <c r="DA26" s="9">
        <v>0</v>
      </c>
      <c r="DB26" s="9">
        <v>0</v>
      </c>
      <c r="DC26" s="9">
        <v>0</v>
      </c>
      <c r="DD26" s="9">
        <v>0</v>
      </c>
      <c r="DE26" s="9">
        <v>0</v>
      </c>
      <c r="DF26" s="9">
        <v>0</v>
      </c>
      <c r="DG26" s="9">
        <v>0</v>
      </c>
      <c r="DH26" s="9">
        <v>0</v>
      </c>
      <c r="DI26" s="9">
        <v>0</v>
      </c>
      <c r="DJ26" s="9">
        <v>0</v>
      </c>
      <c r="DK26" s="9">
        <v>0</v>
      </c>
      <c r="DL26" s="9">
        <v>0</v>
      </c>
      <c r="DM26" s="9">
        <v>0</v>
      </c>
      <c r="DN26" s="9">
        <v>0</v>
      </c>
      <c r="DO26" s="9">
        <v>0</v>
      </c>
      <c r="DP26" s="9">
        <v>0</v>
      </c>
      <c r="DQ26" s="9">
        <v>0</v>
      </c>
      <c r="DR26" s="9">
        <v>0</v>
      </c>
      <c r="DS26" s="9">
        <v>0</v>
      </c>
      <c r="DT26" s="9">
        <v>0</v>
      </c>
      <c r="DU26" s="9">
        <v>0</v>
      </c>
      <c r="DV26" s="9">
        <v>0</v>
      </c>
      <c r="DW26" s="9">
        <v>0</v>
      </c>
      <c r="DX26" s="9">
        <v>0</v>
      </c>
      <c r="DY26" s="9">
        <v>0</v>
      </c>
      <c r="DZ26" s="9">
        <v>0</v>
      </c>
      <c r="EA26" s="9">
        <v>1</v>
      </c>
      <c r="EB26" s="9">
        <v>0</v>
      </c>
      <c r="EC26" s="9">
        <v>0</v>
      </c>
      <c r="ED26" s="9">
        <v>0</v>
      </c>
      <c r="EE26" s="9">
        <v>0</v>
      </c>
      <c r="EF26" s="9">
        <v>0</v>
      </c>
      <c r="EG26" s="9">
        <v>0</v>
      </c>
      <c r="EH26" s="9">
        <v>0</v>
      </c>
      <c r="EI26" s="10">
        <v>0</v>
      </c>
    </row>
    <row r="27" spans="1:139" x14ac:dyDescent="0.35">
      <c r="A27" s="8" t="s">
        <v>0</v>
      </c>
      <c r="B27" s="9" t="s">
        <v>51</v>
      </c>
      <c r="C27" s="9" t="s">
        <v>52</v>
      </c>
      <c r="D27" s="9">
        <f t="shared" si="0"/>
        <v>155</v>
      </c>
      <c r="E27" s="9">
        <v>0</v>
      </c>
      <c r="F27" s="9">
        <v>0</v>
      </c>
      <c r="G27" s="9">
        <v>0</v>
      </c>
      <c r="H27" s="9">
        <v>0</v>
      </c>
      <c r="I27" s="9">
        <v>1</v>
      </c>
      <c r="J27" s="9">
        <v>0</v>
      </c>
      <c r="K27" s="9">
        <v>0</v>
      </c>
      <c r="L27" s="9">
        <v>0</v>
      </c>
      <c r="M27" s="9">
        <v>3</v>
      </c>
      <c r="N27" s="9">
        <v>0</v>
      </c>
      <c r="O27" s="9">
        <v>2</v>
      </c>
      <c r="P27" s="9">
        <v>1</v>
      </c>
      <c r="Q27" s="9">
        <v>2</v>
      </c>
      <c r="R27" s="9">
        <v>0</v>
      </c>
      <c r="S27" s="9">
        <v>0</v>
      </c>
      <c r="T27" s="9">
        <v>0</v>
      </c>
      <c r="U27" s="9">
        <v>0</v>
      </c>
      <c r="V27" s="9">
        <v>0</v>
      </c>
      <c r="W27" s="9">
        <v>0</v>
      </c>
      <c r="X27" s="9">
        <v>1</v>
      </c>
      <c r="Y27" s="9">
        <v>3</v>
      </c>
      <c r="Z27" s="9">
        <v>2</v>
      </c>
      <c r="AA27" s="9">
        <v>2</v>
      </c>
      <c r="AB27" s="9">
        <v>0</v>
      </c>
      <c r="AC27" s="9">
        <v>0</v>
      </c>
      <c r="AD27" s="9">
        <v>0</v>
      </c>
      <c r="AE27" s="9">
        <v>1</v>
      </c>
      <c r="AF27" s="9">
        <v>0</v>
      </c>
      <c r="AG27" s="9">
        <v>0</v>
      </c>
      <c r="AH27" s="9">
        <v>2</v>
      </c>
      <c r="AI27" s="9">
        <v>2</v>
      </c>
      <c r="AJ27" s="9">
        <v>2</v>
      </c>
      <c r="AK27" s="9">
        <v>1</v>
      </c>
      <c r="AL27" s="9">
        <v>2</v>
      </c>
      <c r="AM27" s="9">
        <v>0</v>
      </c>
      <c r="AN27" s="9">
        <v>1</v>
      </c>
      <c r="AO27" s="9">
        <v>0</v>
      </c>
      <c r="AP27" s="9">
        <v>1</v>
      </c>
      <c r="AQ27" s="9">
        <v>0</v>
      </c>
      <c r="AR27" s="9">
        <v>0</v>
      </c>
      <c r="AS27" s="9">
        <v>1</v>
      </c>
      <c r="AT27" s="9">
        <v>2</v>
      </c>
      <c r="AU27" s="9">
        <v>1</v>
      </c>
      <c r="AV27" s="9">
        <v>2</v>
      </c>
      <c r="AW27" s="9">
        <v>1</v>
      </c>
      <c r="AX27" s="9">
        <v>3</v>
      </c>
      <c r="AY27" s="9">
        <v>4</v>
      </c>
      <c r="AZ27" s="9">
        <v>1</v>
      </c>
      <c r="BA27" s="9">
        <v>2</v>
      </c>
      <c r="BB27" s="9">
        <v>5</v>
      </c>
      <c r="BC27" s="9">
        <v>1</v>
      </c>
      <c r="BD27" s="9">
        <v>3</v>
      </c>
      <c r="BE27" s="9">
        <v>2</v>
      </c>
      <c r="BF27" s="9">
        <v>2</v>
      </c>
      <c r="BG27" s="9">
        <v>3</v>
      </c>
      <c r="BH27" s="9">
        <v>0</v>
      </c>
      <c r="BI27" s="9">
        <v>6</v>
      </c>
      <c r="BJ27" s="9">
        <v>7</v>
      </c>
      <c r="BK27" s="9">
        <v>1</v>
      </c>
      <c r="BL27" s="9">
        <v>0</v>
      </c>
      <c r="BM27" s="9">
        <v>1</v>
      </c>
      <c r="BN27" s="9">
        <v>0</v>
      </c>
      <c r="BO27" s="9">
        <v>3</v>
      </c>
      <c r="BP27" s="9">
        <v>1</v>
      </c>
      <c r="BQ27" s="9">
        <v>4</v>
      </c>
      <c r="BR27" s="9">
        <v>0</v>
      </c>
      <c r="BS27" s="9">
        <v>2</v>
      </c>
      <c r="BT27" s="9">
        <v>2</v>
      </c>
      <c r="BU27" s="9">
        <v>2</v>
      </c>
      <c r="BV27" s="9">
        <v>2</v>
      </c>
      <c r="BW27" s="9">
        <v>2</v>
      </c>
      <c r="BX27" s="9">
        <v>0</v>
      </c>
      <c r="BY27" s="9">
        <v>1</v>
      </c>
      <c r="BZ27" s="9">
        <v>2</v>
      </c>
      <c r="CA27" s="9">
        <v>6</v>
      </c>
      <c r="CB27" s="9">
        <v>2</v>
      </c>
      <c r="CC27" s="9">
        <v>2</v>
      </c>
      <c r="CD27" s="9">
        <v>1</v>
      </c>
      <c r="CE27" s="9">
        <v>3</v>
      </c>
      <c r="CF27" s="9">
        <v>0</v>
      </c>
      <c r="CG27" s="9">
        <v>0</v>
      </c>
      <c r="CH27" s="9">
        <v>1</v>
      </c>
      <c r="CI27" s="9">
        <v>1</v>
      </c>
      <c r="CJ27" s="9">
        <v>2</v>
      </c>
      <c r="CK27" s="9">
        <v>0</v>
      </c>
      <c r="CL27" s="9">
        <v>0</v>
      </c>
      <c r="CM27" s="9">
        <v>2</v>
      </c>
      <c r="CN27" s="9">
        <v>1</v>
      </c>
      <c r="CO27" s="9">
        <v>2</v>
      </c>
      <c r="CP27" s="9">
        <v>3</v>
      </c>
      <c r="CQ27" s="9">
        <v>1</v>
      </c>
      <c r="CR27" s="9">
        <v>4</v>
      </c>
      <c r="CS27" s="9">
        <v>0</v>
      </c>
      <c r="CT27" s="9">
        <v>0</v>
      </c>
      <c r="CU27" s="9">
        <v>0</v>
      </c>
      <c r="CV27" s="9">
        <v>1</v>
      </c>
      <c r="CW27" s="9">
        <v>1</v>
      </c>
      <c r="CX27" s="9">
        <v>1</v>
      </c>
      <c r="CY27" s="9">
        <v>1</v>
      </c>
      <c r="CZ27" s="9">
        <v>0</v>
      </c>
      <c r="DA27" s="9">
        <v>0</v>
      </c>
      <c r="DB27" s="9">
        <v>1</v>
      </c>
      <c r="DC27" s="9">
        <v>2</v>
      </c>
      <c r="DD27" s="9">
        <v>0</v>
      </c>
      <c r="DE27" s="9">
        <v>0</v>
      </c>
      <c r="DF27" s="9">
        <v>0</v>
      </c>
      <c r="DG27" s="9">
        <v>1</v>
      </c>
      <c r="DH27" s="9">
        <v>1</v>
      </c>
      <c r="DI27" s="9">
        <v>0</v>
      </c>
      <c r="DJ27" s="9">
        <v>3</v>
      </c>
      <c r="DK27" s="9">
        <v>2</v>
      </c>
      <c r="DL27" s="9">
        <v>0</v>
      </c>
      <c r="DM27" s="9">
        <v>0</v>
      </c>
      <c r="DN27" s="9">
        <v>1</v>
      </c>
      <c r="DO27" s="9">
        <v>0</v>
      </c>
      <c r="DP27" s="9">
        <v>0</v>
      </c>
      <c r="DQ27" s="9">
        <v>1</v>
      </c>
      <c r="DR27" s="9">
        <v>1</v>
      </c>
      <c r="DS27" s="9">
        <v>2</v>
      </c>
      <c r="DT27" s="9">
        <v>1</v>
      </c>
      <c r="DU27" s="9">
        <v>0</v>
      </c>
      <c r="DV27" s="9">
        <v>0</v>
      </c>
      <c r="DW27" s="9">
        <v>1</v>
      </c>
      <c r="DX27" s="9">
        <v>0</v>
      </c>
      <c r="DY27" s="9">
        <v>0</v>
      </c>
      <c r="DZ27" s="9">
        <v>0</v>
      </c>
      <c r="EA27" s="9">
        <v>1</v>
      </c>
      <c r="EB27" s="9">
        <v>0</v>
      </c>
      <c r="EC27" s="9">
        <v>2</v>
      </c>
      <c r="ED27" s="9">
        <v>0</v>
      </c>
      <c r="EE27" s="9">
        <v>0</v>
      </c>
      <c r="EF27" s="9">
        <v>2</v>
      </c>
      <c r="EG27" s="9">
        <v>0</v>
      </c>
      <c r="EH27" s="9">
        <v>0</v>
      </c>
      <c r="EI27" s="10">
        <v>0</v>
      </c>
    </row>
    <row r="28" spans="1:139" x14ac:dyDescent="0.35">
      <c r="A28" s="8" t="s">
        <v>0</v>
      </c>
      <c r="B28" s="9" t="s">
        <v>53</v>
      </c>
      <c r="C28" s="9" t="s">
        <v>54</v>
      </c>
      <c r="D28" s="9">
        <f t="shared" si="0"/>
        <v>261</v>
      </c>
      <c r="E28" s="9">
        <v>0</v>
      </c>
      <c r="F28" s="9">
        <v>1</v>
      </c>
      <c r="G28" s="9">
        <v>0</v>
      </c>
      <c r="H28" s="9">
        <v>3</v>
      </c>
      <c r="I28" s="9">
        <v>1</v>
      </c>
      <c r="J28" s="9">
        <v>1</v>
      </c>
      <c r="K28" s="9">
        <v>0</v>
      </c>
      <c r="L28" s="9">
        <v>0</v>
      </c>
      <c r="M28" s="9">
        <v>0</v>
      </c>
      <c r="N28" s="9">
        <v>0</v>
      </c>
      <c r="O28" s="9">
        <v>0</v>
      </c>
      <c r="P28" s="9">
        <v>2</v>
      </c>
      <c r="Q28" s="9">
        <v>0</v>
      </c>
      <c r="R28" s="9">
        <v>1</v>
      </c>
      <c r="S28" s="9">
        <v>0</v>
      </c>
      <c r="T28" s="9">
        <v>1</v>
      </c>
      <c r="U28" s="9">
        <v>0</v>
      </c>
      <c r="V28" s="9">
        <v>1</v>
      </c>
      <c r="W28" s="9">
        <v>1</v>
      </c>
      <c r="X28" s="9">
        <v>0</v>
      </c>
      <c r="Y28" s="9">
        <v>1</v>
      </c>
      <c r="Z28" s="9">
        <v>1</v>
      </c>
      <c r="AA28" s="9">
        <v>1</v>
      </c>
      <c r="AB28" s="9">
        <v>1</v>
      </c>
      <c r="AC28" s="9">
        <v>1</v>
      </c>
      <c r="AD28" s="9">
        <v>2</v>
      </c>
      <c r="AE28" s="9">
        <v>1</v>
      </c>
      <c r="AF28" s="9">
        <v>1</v>
      </c>
      <c r="AG28" s="9">
        <v>1</v>
      </c>
      <c r="AH28" s="9">
        <v>2</v>
      </c>
      <c r="AI28" s="9">
        <v>1</v>
      </c>
      <c r="AJ28" s="9">
        <v>2</v>
      </c>
      <c r="AK28" s="9">
        <v>4</v>
      </c>
      <c r="AL28" s="9">
        <v>1</v>
      </c>
      <c r="AM28" s="9">
        <v>3</v>
      </c>
      <c r="AN28" s="9">
        <v>2</v>
      </c>
      <c r="AO28" s="9">
        <v>9</v>
      </c>
      <c r="AP28" s="9">
        <v>3</v>
      </c>
      <c r="AQ28" s="9">
        <v>2</v>
      </c>
      <c r="AR28" s="9">
        <v>4</v>
      </c>
      <c r="AS28" s="9">
        <v>2</v>
      </c>
      <c r="AT28" s="9">
        <v>4</v>
      </c>
      <c r="AU28" s="9">
        <v>3</v>
      </c>
      <c r="AV28" s="9">
        <v>9</v>
      </c>
      <c r="AW28" s="9">
        <v>3</v>
      </c>
      <c r="AX28" s="9">
        <v>3</v>
      </c>
      <c r="AY28" s="9">
        <v>6</v>
      </c>
      <c r="AZ28" s="9">
        <v>3</v>
      </c>
      <c r="BA28" s="9">
        <v>6</v>
      </c>
      <c r="BB28" s="9">
        <v>5</v>
      </c>
      <c r="BC28" s="9">
        <v>8</v>
      </c>
      <c r="BD28" s="9">
        <v>0</v>
      </c>
      <c r="BE28" s="9">
        <v>3</v>
      </c>
      <c r="BF28" s="9">
        <v>6</v>
      </c>
      <c r="BG28" s="9">
        <v>8</v>
      </c>
      <c r="BH28" s="9">
        <v>7</v>
      </c>
      <c r="BI28" s="9">
        <v>3</v>
      </c>
      <c r="BJ28" s="9">
        <v>3</v>
      </c>
      <c r="BK28" s="9">
        <v>2</v>
      </c>
      <c r="BL28" s="9">
        <v>3</v>
      </c>
      <c r="BM28" s="9">
        <v>10</v>
      </c>
      <c r="BN28" s="9">
        <v>3</v>
      </c>
      <c r="BO28" s="9">
        <v>5</v>
      </c>
      <c r="BP28" s="9">
        <v>1</v>
      </c>
      <c r="BQ28" s="9">
        <v>6</v>
      </c>
      <c r="BR28" s="9">
        <v>2</v>
      </c>
      <c r="BS28" s="9">
        <v>2</v>
      </c>
      <c r="BT28" s="9">
        <v>3</v>
      </c>
      <c r="BU28" s="9">
        <v>3</v>
      </c>
      <c r="BV28" s="9">
        <v>4</v>
      </c>
      <c r="BW28" s="9">
        <v>3</v>
      </c>
      <c r="BX28" s="9">
        <v>2</v>
      </c>
      <c r="BY28" s="9">
        <v>2</v>
      </c>
      <c r="BZ28" s="9">
        <v>0</v>
      </c>
      <c r="CA28" s="9">
        <v>5</v>
      </c>
      <c r="CB28" s="9">
        <v>4</v>
      </c>
      <c r="CC28" s="9">
        <v>5</v>
      </c>
      <c r="CD28" s="9">
        <v>4</v>
      </c>
      <c r="CE28" s="9">
        <v>4</v>
      </c>
      <c r="CF28" s="9">
        <v>2</v>
      </c>
      <c r="CG28" s="9">
        <v>1</v>
      </c>
      <c r="CH28" s="9">
        <v>5</v>
      </c>
      <c r="CI28" s="9">
        <v>2</v>
      </c>
      <c r="CJ28" s="9">
        <v>2</v>
      </c>
      <c r="CK28" s="9">
        <v>2</v>
      </c>
      <c r="CL28" s="9">
        <v>0</v>
      </c>
      <c r="CM28" s="9">
        <v>1</v>
      </c>
      <c r="CN28" s="9">
        <v>2</v>
      </c>
      <c r="CO28" s="9">
        <v>7</v>
      </c>
      <c r="CP28" s="9">
        <v>3</v>
      </c>
      <c r="CQ28" s="9">
        <v>4</v>
      </c>
      <c r="CR28" s="9">
        <v>1</v>
      </c>
      <c r="CS28" s="9">
        <v>3</v>
      </c>
      <c r="CT28" s="9">
        <v>3</v>
      </c>
      <c r="CU28" s="9">
        <v>1</v>
      </c>
      <c r="CV28" s="9">
        <v>6</v>
      </c>
      <c r="CW28" s="9">
        <v>1</v>
      </c>
      <c r="CX28" s="9">
        <v>4</v>
      </c>
      <c r="CY28" s="9">
        <v>0</v>
      </c>
      <c r="CZ28" s="9">
        <v>0</v>
      </c>
      <c r="DA28" s="9">
        <v>0</v>
      </c>
      <c r="DB28" s="9">
        <v>0</v>
      </c>
      <c r="DC28" s="9">
        <v>0</v>
      </c>
      <c r="DD28" s="9">
        <v>0</v>
      </c>
      <c r="DE28" s="9">
        <v>0</v>
      </c>
      <c r="DF28" s="9">
        <v>0</v>
      </c>
      <c r="DG28" s="9">
        <v>0</v>
      </c>
      <c r="DH28" s="9">
        <v>0</v>
      </c>
      <c r="DI28" s="9">
        <v>0</v>
      </c>
      <c r="DJ28" s="9">
        <v>0</v>
      </c>
      <c r="DK28" s="9">
        <v>1</v>
      </c>
      <c r="DL28" s="9">
        <v>0</v>
      </c>
      <c r="DM28" s="9">
        <v>0</v>
      </c>
      <c r="DN28" s="9">
        <v>0</v>
      </c>
      <c r="DO28" s="9">
        <v>0</v>
      </c>
      <c r="DP28" s="9">
        <v>0</v>
      </c>
      <c r="DQ28" s="9">
        <v>0</v>
      </c>
      <c r="DR28" s="9">
        <v>0</v>
      </c>
      <c r="DS28" s="9">
        <v>0</v>
      </c>
      <c r="DT28" s="9">
        <v>0</v>
      </c>
      <c r="DU28" s="9">
        <v>0</v>
      </c>
      <c r="DV28" s="9">
        <v>0</v>
      </c>
      <c r="DW28" s="9">
        <v>0</v>
      </c>
      <c r="DX28" s="9">
        <v>0</v>
      </c>
      <c r="DY28" s="9">
        <v>0</v>
      </c>
      <c r="DZ28" s="9">
        <v>0</v>
      </c>
      <c r="EA28" s="9">
        <v>0</v>
      </c>
      <c r="EB28" s="9">
        <v>0</v>
      </c>
      <c r="EC28" s="9">
        <v>0</v>
      </c>
      <c r="ED28" s="9">
        <v>0</v>
      </c>
      <c r="EE28" s="9">
        <v>0</v>
      </c>
      <c r="EF28" s="9">
        <v>0</v>
      </c>
      <c r="EG28" s="9">
        <v>0</v>
      </c>
      <c r="EH28" s="9">
        <v>0</v>
      </c>
      <c r="EI28" s="10">
        <v>0</v>
      </c>
    </row>
    <row r="29" spans="1:139" x14ac:dyDescent="0.35">
      <c r="A29" s="8" t="s">
        <v>0</v>
      </c>
      <c r="B29" s="9" t="s">
        <v>55</v>
      </c>
      <c r="C29" s="9" t="s">
        <v>56</v>
      </c>
      <c r="D29" s="9">
        <f t="shared" si="0"/>
        <v>6</v>
      </c>
      <c r="E29" s="9">
        <v>0</v>
      </c>
      <c r="F29" s="9">
        <v>0</v>
      </c>
      <c r="G29" s="9">
        <v>0</v>
      </c>
      <c r="H29" s="9">
        <v>0</v>
      </c>
      <c r="I29" s="9">
        <v>0</v>
      </c>
      <c r="J29" s="9">
        <v>0</v>
      </c>
      <c r="K29" s="9">
        <v>0</v>
      </c>
      <c r="L29" s="9">
        <v>0</v>
      </c>
      <c r="M29" s="9">
        <v>0</v>
      </c>
      <c r="N29" s="9">
        <v>0</v>
      </c>
      <c r="O29" s="9">
        <v>0</v>
      </c>
      <c r="P29" s="9">
        <v>0</v>
      </c>
      <c r="Q29" s="9">
        <v>0</v>
      </c>
      <c r="R29" s="9">
        <v>0</v>
      </c>
      <c r="S29" s="9">
        <v>0</v>
      </c>
      <c r="T29" s="9">
        <v>0</v>
      </c>
      <c r="U29" s="9">
        <v>0</v>
      </c>
      <c r="V29" s="9">
        <v>0</v>
      </c>
      <c r="W29" s="9">
        <v>0</v>
      </c>
      <c r="X29" s="9">
        <v>0</v>
      </c>
      <c r="Y29" s="9">
        <v>0</v>
      </c>
      <c r="Z29" s="9">
        <v>0</v>
      </c>
      <c r="AA29" s="9">
        <v>0</v>
      </c>
      <c r="AB29" s="9">
        <v>2</v>
      </c>
      <c r="AC29" s="9">
        <v>3</v>
      </c>
      <c r="AD29" s="9">
        <v>0</v>
      </c>
      <c r="AE29" s="9">
        <v>0</v>
      </c>
      <c r="AF29" s="9">
        <v>0</v>
      </c>
      <c r="AG29" s="9">
        <v>0</v>
      </c>
      <c r="AH29" s="9">
        <v>0</v>
      </c>
      <c r="AI29" s="9">
        <v>0</v>
      </c>
      <c r="AJ29" s="9">
        <v>0</v>
      </c>
      <c r="AK29" s="9">
        <v>0</v>
      </c>
      <c r="AL29" s="9">
        <v>0</v>
      </c>
      <c r="AM29" s="9">
        <v>0</v>
      </c>
      <c r="AN29" s="9">
        <v>1</v>
      </c>
      <c r="AO29" s="9">
        <v>0</v>
      </c>
      <c r="AP29" s="9">
        <v>0</v>
      </c>
      <c r="AQ29" s="9">
        <v>0</v>
      </c>
      <c r="AR29" s="9">
        <v>0</v>
      </c>
      <c r="AS29" s="9">
        <v>0</v>
      </c>
      <c r="AT29" s="9">
        <v>0</v>
      </c>
      <c r="AU29" s="9">
        <v>0</v>
      </c>
      <c r="AV29" s="9">
        <v>0</v>
      </c>
      <c r="AW29" s="9">
        <v>0</v>
      </c>
      <c r="AX29" s="9">
        <v>0</v>
      </c>
      <c r="AY29" s="9">
        <v>0</v>
      </c>
      <c r="AZ29" s="9">
        <v>0</v>
      </c>
      <c r="BA29" s="9">
        <v>0</v>
      </c>
      <c r="BB29" s="9">
        <v>0</v>
      </c>
      <c r="BC29" s="9">
        <v>0</v>
      </c>
      <c r="BD29" s="9">
        <v>0</v>
      </c>
      <c r="BE29" s="9">
        <v>0</v>
      </c>
      <c r="BF29" s="9">
        <v>0</v>
      </c>
      <c r="BG29" s="9">
        <v>0</v>
      </c>
      <c r="BH29" s="9">
        <v>0</v>
      </c>
      <c r="BI29" s="9">
        <v>0</v>
      </c>
      <c r="BJ29" s="9">
        <v>0</v>
      </c>
      <c r="BK29" s="9">
        <v>0</v>
      </c>
      <c r="BL29" s="9">
        <v>0</v>
      </c>
      <c r="BM29" s="9">
        <v>0</v>
      </c>
      <c r="BN29" s="9">
        <v>0</v>
      </c>
      <c r="BO29" s="9">
        <v>0</v>
      </c>
      <c r="BP29" s="9">
        <v>0</v>
      </c>
      <c r="BQ29" s="9">
        <v>0</v>
      </c>
      <c r="BR29" s="9">
        <v>0</v>
      </c>
      <c r="BS29" s="9">
        <v>0</v>
      </c>
      <c r="BT29" s="9">
        <v>0</v>
      </c>
      <c r="BU29" s="9">
        <v>0</v>
      </c>
      <c r="BV29" s="9">
        <v>0</v>
      </c>
      <c r="BW29" s="9">
        <v>0</v>
      </c>
      <c r="BX29" s="9">
        <v>0</v>
      </c>
      <c r="BY29" s="9">
        <v>0</v>
      </c>
      <c r="BZ29" s="9">
        <v>0</v>
      </c>
      <c r="CA29" s="9">
        <v>0</v>
      </c>
      <c r="CB29" s="9">
        <v>0</v>
      </c>
      <c r="CC29" s="9">
        <v>0</v>
      </c>
      <c r="CD29" s="9">
        <v>0</v>
      </c>
      <c r="CE29" s="9">
        <v>0</v>
      </c>
      <c r="CF29" s="9">
        <v>0</v>
      </c>
      <c r="CG29" s="9">
        <v>0</v>
      </c>
      <c r="CH29" s="9">
        <v>0</v>
      </c>
      <c r="CI29" s="9">
        <v>0</v>
      </c>
      <c r="CJ29" s="9">
        <v>0</v>
      </c>
      <c r="CK29" s="9">
        <v>0</v>
      </c>
      <c r="CL29" s="9">
        <v>0</v>
      </c>
      <c r="CM29" s="9">
        <v>0</v>
      </c>
      <c r="CN29" s="9">
        <v>0</v>
      </c>
      <c r="CO29" s="9">
        <v>0</v>
      </c>
      <c r="CP29" s="9">
        <v>0</v>
      </c>
      <c r="CQ29" s="9">
        <v>0</v>
      </c>
      <c r="CR29" s="9">
        <v>0</v>
      </c>
      <c r="CS29" s="9">
        <v>0</v>
      </c>
      <c r="CT29" s="9">
        <v>0</v>
      </c>
      <c r="CU29" s="9">
        <v>0</v>
      </c>
      <c r="CV29" s="9">
        <v>0</v>
      </c>
      <c r="CW29" s="9">
        <v>0</v>
      </c>
      <c r="CX29" s="9">
        <v>0</v>
      </c>
      <c r="CY29" s="9">
        <v>0</v>
      </c>
      <c r="CZ29" s="9">
        <v>0</v>
      </c>
      <c r="DA29" s="9">
        <v>0</v>
      </c>
      <c r="DB29" s="9">
        <v>0</v>
      </c>
      <c r="DC29" s="9">
        <v>0</v>
      </c>
      <c r="DD29" s="9">
        <v>0</v>
      </c>
      <c r="DE29" s="9">
        <v>0</v>
      </c>
      <c r="DF29" s="9">
        <v>0</v>
      </c>
      <c r="DG29" s="9">
        <v>0</v>
      </c>
      <c r="DH29" s="9">
        <v>0</v>
      </c>
      <c r="DI29" s="9">
        <v>0</v>
      </c>
      <c r="DJ29" s="9">
        <v>0</v>
      </c>
      <c r="DK29" s="9">
        <v>0</v>
      </c>
      <c r="DL29" s="9">
        <v>0</v>
      </c>
      <c r="DM29" s="9">
        <v>0</v>
      </c>
      <c r="DN29" s="9">
        <v>0</v>
      </c>
      <c r="DO29" s="9">
        <v>0</v>
      </c>
      <c r="DP29" s="9">
        <v>0</v>
      </c>
      <c r="DQ29" s="9">
        <v>0</v>
      </c>
      <c r="DR29" s="9">
        <v>0</v>
      </c>
      <c r="DS29" s="9">
        <v>0</v>
      </c>
      <c r="DT29" s="9">
        <v>0</v>
      </c>
      <c r="DU29" s="9">
        <v>0</v>
      </c>
      <c r="DV29" s="9">
        <v>0</v>
      </c>
      <c r="DW29" s="9">
        <v>0</v>
      </c>
      <c r="DX29" s="9">
        <v>0</v>
      </c>
      <c r="DY29" s="9">
        <v>0</v>
      </c>
      <c r="DZ29" s="9">
        <v>0</v>
      </c>
      <c r="EA29" s="9">
        <v>0</v>
      </c>
      <c r="EB29" s="9">
        <v>0</v>
      </c>
      <c r="EC29" s="9">
        <v>0</v>
      </c>
      <c r="ED29" s="9">
        <v>0</v>
      </c>
      <c r="EE29" s="9">
        <v>0</v>
      </c>
      <c r="EF29" s="9">
        <v>0</v>
      </c>
      <c r="EG29" s="9">
        <v>0</v>
      </c>
      <c r="EH29" s="9">
        <v>0</v>
      </c>
      <c r="EI29" s="10">
        <v>0</v>
      </c>
    </row>
    <row r="30" spans="1:139" x14ac:dyDescent="0.35">
      <c r="A30" s="8" t="s">
        <v>0</v>
      </c>
      <c r="B30" s="9" t="s">
        <v>57</v>
      </c>
      <c r="C30" s="9" t="s">
        <v>58</v>
      </c>
      <c r="D30" s="9">
        <f t="shared" si="0"/>
        <v>30</v>
      </c>
      <c r="E30" s="9">
        <v>0</v>
      </c>
      <c r="F30" s="9">
        <v>0</v>
      </c>
      <c r="G30" s="9">
        <v>0</v>
      </c>
      <c r="H30" s="9">
        <v>0</v>
      </c>
      <c r="I30" s="9">
        <v>10</v>
      </c>
      <c r="J30" s="9">
        <v>5</v>
      </c>
      <c r="K30" s="9">
        <v>7</v>
      </c>
      <c r="L30" s="9">
        <v>8</v>
      </c>
      <c r="M30" s="9">
        <v>0</v>
      </c>
      <c r="N30" s="9">
        <v>0</v>
      </c>
      <c r="O30" s="9">
        <v>0</v>
      </c>
      <c r="P30" s="9">
        <v>0</v>
      </c>
      <c r="Q30" s="9">
        <v>0</v>
      </c>
      <c r="R30" s="9">
        <v>0</v>
      </c>
      <c r="S30" s="9">
        <v>0</v>
      </c>
      <c r="T30" s="9">
        <v>0</v>
      </c>
      <c r="U30" s="9">
        <v>0</v>
      </c>
      <c r="V30" s="9">
        <v>0</v>
      </c>
      <c r="W30" s="9">
        <v>0</v>
      </c>
      <c r="X30" s="9">
        <v>0</v>
      </c>
      <c r="Y30" s="9">
        <v>0</v>
      </c>
      <c r="Z30" s="9">
        <v>0</v>
      </c>
      <c r="AA30" s="9">
        <v>0</v>
      </c>
      <c r="AB30" s="9">
        <v>0</v>
      </c>
      <c r="AC30" s="9">
        <v>0</v>
      </c>
      <c r="AD30" s="9">
        <v>0</v>
      </c>
      <c r="AE30" s="9">
        <v>0</v>
      </c>
      <c r="AF30" s="9">
        <v>0</v>
      </c>
      <c r="AG30" s="9">
        <v>0</v>
      </c>
      <c r="AH30" s="9">
        <v>0</v>
      </c>
      <c r="AI30" s="9">
        <v>0</v>
      </c>
      <c r="AJ30" s="9">
        <v>0</v>
      </c>
      <c r="AK30" s="9">
        <v>0</v>
      </c>
      <c r="AL30" s="9">
        <v>0</v>
      </c>
      <c r="AM30" s="9">
        <v>0</v>
      </c>
      <c r="AN30" s="9">
        <v>0</v>
      </c>
      <c r="AO30" s="9">
        <v>0</v>
      </c>
      <c r="AP30" s="9">
        <v>0</v>
      </c>
      <c r="AQ30" s="9">
        <v>0</v>
      </c>
      <c r="AR30" s="9">
        <v>0</v>
      </c>
      <c r="AS30" s="9">
        <v>0</v>
      </c>
      <c r="AT30" s="9">
        <v>0</v>
      </c>
      <c r="AU30" s="9">
        <v>0</v>
      </c>
      <c r="AV30" s="9">
        <v>0</v>
      </c>
      <c r="AW30" s="9">
        <v>0</v>
      </c>
      <c r="AX30" s="9">
        <v>0</v>
      </c>
      <c r="AY30" s="9">
        <v>0</v>
      </c>
      <c r="AZ30" s="9">
        <v>0</v>
      </c>
      <c r="BA30" s="9">
        <v>0</v>
      </c>
      <c r="BB30" s="9">
        <v>0</v>
      </c>
      <c r="BC30" s="9">
        <v>0</v>
      </c>
      <c r="BD30" s="9">
        <v>0</v>
      </c>
      <c r="BE30" s="9">
        <v>0</v>
      </c>
      <c r="BF30" s="9">
        <v>0</v>
      </c>
      <c r="BG30" s="9">
        <v>0</v>
      </c>
      <c r="BH30" s="9">
        <v>0</v>
      </c>
      <c r="BI30" s="9">
        <v>0</v>
      </c>
      <c r="BJ30" s="9">
        <v>0</v>
      </c>
      <c r="BK30" s="9">
        <v>0</v>
      </c>
      <c r="BL30" s="9">
        <v>0</v>
      </c>
      <c r="BM30" s="9">
        <v>0</v>
      </c>
      <c r="BN30" s="9">
        <v>0</v>
      </c>
      <c r="BO30" s="9">
        <v>0</v>
      </c>
      <c r="BP30" s="9">
        <v>0</v>
      </c>
      <c r="BQ30" s="9">
        <v>0</v>
      </c>
      <c r="BR30" s="9">
        <v>0</v>
      </c>
      <c r="BS30" s="9">
        <v>0</v>
      </c>
      <c r="BT30" s="9">
        <v>0</v>
      </c>
      <c r="BU30" s="9">
        <v>0</v>
      </c>
      <c r="BV30" s="9">
        <v>0</v>
      </c>
      <c r="BW30" s="9">
        <v>0</v>
      </c>
      <c r="BX30" s="9">
        <v>0</v>
      </c>
      <c r="BY30" s="9">
        <v>0</v>
      </c>
      <c r="BZ30" s="9">
        <v>0</v>
      </c>
      <c r="CA30" s="9">
        <v>0</v>
      </c>
      <c r="CB30" s="9">
        <v>0</v>
      </c>
      <c r="CC30" s="9">
        <v>0</v>
      </c>
      <c r="CD30" s="9">
        <v>0</v>
      </c>
      <c r="CE30" s="9">
        <v>0</v>
      </c>
      <c r="CF30" s="9">
        <v>0</v>
      </c>
      <c r="CG30" s="9">
        <v>0</v>
      </c>
      <c r="CH30" s="9">
        <v>0</v>
      </c>
      <c r="CI30" s="9">
        <v>0</v>
      </c>
      <c r="CJ30" s="9">
        <v>0</v>
      </c>
      <c r="CK30" s="9">
        <v>0</v>
      </c>
      <c r="CL30" s="9">
        <v>0</v>
      </c>
      <c r="CM30" s="9">
        <v>0</v>
      </c>
      <c r="CN30" s="9">
        <v>0</v>
      </c>
      <c r="CO30" s="9">
        <v>0</v>
      </c>
      <c r="CP30" s="9">
        <v>0</v>
      </c>
      <c r="CQ30" s="9">
        <v>0</v>
      </c>
      <c r="CR30" s="9">
        <v>0</v>
      </c>
      <c r="CS30" s="9">
        <v>0</v>
      </c>
      <c r="CT30" s="9">
        <v>0</v>
      </c>
      <c r="CU30" s="9">
        <v>0</v>
      </c>
      <c r="CV30" s="9">
        <v>0</v>
      </c>
      <c r="CW30" s="9">
        <v>0</v>
      </c>
      <c r="CX30" s="9">
        <v>0</v>
      </c>
      <c r="CY30" s="9">
        <v>0</v>
      </c>
      <c r="CZ30" s="9">
        <v>0</v>
      </c>
      <c r="DA30" s="9">
        <v>0</v>
      </c>
      <c r="DB30" s="9">
        <v>0</v>
      </c>
      <c r="DC30" s="9">
        <v>0</v>
      </c>
      <c r="DD30" s="9">
        <v>0</v>
      </c>
      <c r="DE30" s="9">
        <v>0</v>
      </c>
      <c r="DF30" s="9">
        <v>0</v>
      </c>
      <c r="DG30" s="9">
        <v>0</v>
      </c>
      <c r="DH30" s="9">
        <v>0</v>
      </c>
      <c r="DI30" s="9">
        <v>0</v>
      </c>
      <c r="DJ30" s="9">
        <v>0</v>
      </c>
      <c r="DK30" s="9">
        <v>0</v>
      </c>
      <c r="DL30" s="9">
        <v>0</v>
      </c>
      <c r="DM30" s="9">
        <v>0</v>
      </c>
      <c r="DN30" s="9">
        <v>0</v>
      </c>
      <c r="DO30" s="9">
        <v>0</v>
      </c>
      <c r="DP30" s="9">
        <v>0</v>
      </c>
      <c r="DQ30" s="9">
        <v>0</v>
      </c>
      <c r="DR30" s="9">
        <v>0</v>
      </c>
      <c r="DS30" s="9">
        <v>0</v>
      </c>
      <c r="DT30" s="9">
        <v>0</v>
      </c>
      <c r="DU30" s="9">
        <v>0</v>
      </c>
      <c r="DV30" s="9">
        <v>0</v>
      </c>
      <c r="DW30" s="9">
        <v>0</v>
      </c>
      <c r="DX30" s="9">
        <v>0</v>
      </c>
      <c r="DY30" s="9">
        <v>0</v>
      </c>
      <c r="DZ30" s="9">
        <v>0</v>
      </c>
      <c r="EA30" s="9">
        <v>0</v>
      </c>
      <c r="EB30" s="9">
        <v>0</v>
      </c>
      <c r="EC30" s="9">
        <v>0</v>
      </c>
      <c r="ED30" s="9">
        <v>0</v>
      </c>
      <c r="EE30" s="9">
        <v>0</v>
      </c>
      <c r="EF30" s="9">
        <v>0</v>
      </c>
      <c r="EG30" s="9">
        <v>0</v>
      </c>
      <c r="EH30" s="9">
        <v>0</v>
      </c>
      <c r="EI30" s="10">
        <v>0</v>
      </c>
    </row>
    <row r="31" spans="1:139" x14ac:dyDescent="0.35">
      <c r="A31" s="8" t="s">
        <v>0</v>
      </c>
      <c r="B31" s="9" t="s">
        <v>59</v>
      </c>
      <c r="C31" s="9" t="s">
        <v>60</v>
      </c>
      <c r="D31" s="9">
        <f t="shared" si="0"/>
        <v>39</v>
      </c>
      <c r="E31" s="9">
        <v>0</v>
      </c>
      <c r="F31" s="9">
        <v>0</v>
      </c>
      <c r="G31" s="9">
        <v>0</v>
      </c>
      <c r="H31" s="9">
        <v>0</v>
      </c>
      <c r="I31" s="9">
        <v>0</v>
      </c>
      <c r="J31" s="9">
        <v>0</v>
      </c>
      <c r="K31" s="9">
        <v>0</v>
      </c>
      <c r="L31" s="9">
        <v>0</v>
      </c>
      <c r="M31" s="9">
        <v>0</v>
      </c>
      <c r="N31" s="9">
        <v>0</v>
      </c>
      <c r="O31" s="9">
        <v>0</v>
      </c>
      <c r="P31" s="9">
        <v>1</v>
      </c>
      <c r="Q31" s="9">
        <v>0</v>
      </c>
      <c r="R31" s="9">
        <v>0</v>
      </c>
      <c r="S31" s="9">
        <v>0</v>
      </c>
      <c r="T31" s="9">
        <v>0</v>
      </c>
      <c r="U31" s="9">
        <v>0</v>
      </c>
      <c r="V31" s="9">
        <v>0</v>
      </c>
      <c r="W31" s="9">
        <v>0</v>
      </c>
      <c r="X31" s="9">
        <v>0</v>
      </c>
      <c r="Y31" s="9">
        <v>0</v>
      </c>
      <c r="Z31" s="9">
        <v>0</v>
      </c>
      <c r="AA31" s="9">
        <v>0</v>
      </c>
      <c r="AB31" s="9">
        <v>0</v>
      </c>
      <c r="AC31" s="9">
        <v>2</v>
      </c>
      <c r="AD31" s="9">
        <v>0</v>
      </c>
      <c r="AE31" s="9">
        <v>0</v>
      </c>
      <c r="AF31" s="9">
        <v>1</v>
      </c>
      <c r="AG31" s="9">
        <v>1</v>
      </c>
      <c r="AH31" s="9">
        <v>0</v>
      </c>
      <c r="AI31" s="9">
        <v>0</v>
      </c>
      <c r="AJ31" s="9">
        <v>0</v>
      </c>
      <c r="AK31" s="9">
        <v>0</v>
      </c>
      <c r="AL31" s="9">
        <v>0</v>
      </c>
      <c r="AM31" s="9">
        <v>4</v>
      </c>
      <c r="AN31" s="9">
        <v>0</v>
      </c>
      <c r="AO31" s="9">
        <v>0</v>
      </c>
      <c r="AP31" s="9">
        <v>1</v>
      </c>
      <c r="AQ31" s="9">
        <v>2</v>
      </c>
      <c r="AR31" s="9">
        <v>2</v>
      </c>
      <c r="AS31" s="9">
        <v>0</v>
      </c>
      <c r="AT31" s="9">
        <v>3</v>
      </c>
      <c r="AU31" s="9">
        <v>0</v>
      </c>
      <c r="AV31" s="9">
        <v>0</v>
      </c>
      <c r="AW31" s="9">
        <v>1</v>
      </c>
      <c r="AX31" s="9">
        <v>1</v>
      </c>
      <c r="AY31" s="9">
        <v>1</v>
      </c>
      <c r="AZ31" s="9">
        <v>1</v>
      </c>
      <c r="BA31" s="9">
        <v>0</v>
      </c>
      <c r="BB31" s="9">
        <v>3</v>
      </c>
      <c r="BC31" s="9">
        <v>0</v>
      </c>
      <c r="BD31" s="9">
        <v>0</v>
      </c>
      <c r="BE31" s="9">
        <v>0</v>
      </c>
      <c r="BF31" s="9">
        <v>0</v>
      </c>
      <c r="BG31" s="9">
        <v>0</v>
      </c>
      <c r="BH31" s="9">
        <v>1</v>
      </c>
      <c r="BI31" s="9">
        <v>0</v>
      </c>
      <c r="BJ31" s="9">
        <v>0</v>
      </c>
      <c r="BK31" s="9">
        <v>0</v>
      </c>
      <c r="BL31" s="9">
        <v>0</v>
      </c>
      <c r="BM31" s="9">
        <v>1</v>
      </c>
      <c r="BN31" s="9">
        <v>0</v>
      </c>
      <c r="BO31" s="9">
        <v>1</v>
      </c>
      <c r="BP31" s="9">
        <v>1</v>
      </c>
      <c r="BQ31" s="9">
        <v>0</v>
      </c>
      <c r="BR31" s="9">
        <v>0</v>
      </c>
      <c r="BS31" s="9">
        <v>0</v>
      </c>
      <c r="BT31" s="9">
        <v>0</v>
      </c>
      <c r="BU31" s="9">
        <v>1</v>
      </c>
      <c r="BV31" s="9">
        <v>1</v>
      </c>
      <c r="BW31" s="9">
        <v>1</v>
      </c>
      <c r="BX31" s="9">
        <v>1</v>
      </c>
      <c r="BY31" s="9">
        <v>0</v>
      </c>
      <c r="BZ31" s="9">
        <v>0</v>
      </c>
      <c r="CA31" s="9">
        <v>1</v>
      </c>
      <c r="CB31" s="9">
        <v>0</v>
      </c>
      <c r="CC31" s="9">
        <v>0</v>
      </c>
      <c r="CD31" s="9">
        <v>0</v>
      </c>
      <c r="CE31" s="9">
        <v>1</v>
      </c>
      <c r="CF31" s="9">
        <v>2</v>
      </c>
      <c r="CG31" s="9">
        <v>0</v>
      </c>
      <c r="CH31" s="9">
        <v>0</v>
      </c>
      <c r="CI31" s="9">
        <v>0</v>
      </c>
      <c r="CJ31" s="9">
        <v>0</v>
      </c>
      <c r="CK31" s="9">
        <v>0</v>
      </c>
      <c r="CL31" s="9">
        <v>0</v>
      </c>
      <c r="CM31" s="9">
        <v>0</v>
      </c>
      <c r="CN31" s="9">
        <v>0</v>
      </c>
      <c r="CO31" s="9">
        <v>0</v>
      </c>
      <c r="CP31" s="9">
        <v>0</v>
      </c>
      <c r="CQ31" s="9">
        <v>0</v>
      </c>
      <c r="CR31" s="9">
        <v>0</v>
      </c>
      <c r="CS31" s="9">
        <v>1</v>
      </c>
      <c r="CT31" s="9">
        <v>0</v>
      </c>
      <c r="CU31" s="9">
        <v>0</v>
      </c>
      <c r="CV31" s="9">
        <v>0</v>
      </c>
      <c r="CW31" s="9">
        <v>0</v>
      </c>
      <c r="CX31" s="9">
        <v>0</v>
      </c>
      <c r="CY31" s="9">
        <v>0</v>
      </c>
      <c r="CZ31" s="9">
        <v>0</v>
      </c>
      <c r="DA31" s="9">
        <v>0</v>
      </c>
      <c r="DB31" s="9">
        <v>0</v>
      </c>
      <c r="DC31" s="9">
        <v>0</v>
      </c>
      <c r="DD31" s="9">
        <v>0</v>
      </c>
      <c r="DE31" s="9">
        <v>0</v>
      </c>
      <c r="DF31" s="9">
        <v>0</v>
      </c>
      <c r="DG31" s="9">
        <v>0</v>
      </c>
      <c r="DH31" s="9">
        <v>0</v>
      </c>
      <c r="DI31" s="9">
        <v>0</v>
      </c>
      <c r="DJ31" s="9">
        <v>0</v>
      </c>
      <c r="DK31" s="9">
        <v>0</v>
      </c>
      <c r="DL31" s="9">
        <v>1</v>
      </c>
      <c r="DM31" s="9">
        <v>1</v>
      </c>
      <c r="DN31" s="9">
        <v>0</v>
      </c>
      <c r="DO31" s="9">
        <v>0</v>
      </c>
      <c r="DP31" s="9">
        <v>0</v>
      </c>
      <c r="DQ31" s="9">
        <v>0</v>
      </c>
      <c r="DR31" s="9">
        <v>0</v>
      </c>
      <c r="DS31" s="9">
        <v>0</v>
      </c>
      <c r="DT31" s="9">
        <v>0</v>
      </c>
      <c r="DU31" s="9">
        <v>0</v>
      </c>
      <c r="DV31" s="9">
        <v>0</v>
      </c>
      <c r="DW31" s="9">
        <v>0</v>
      </c>
      <c r="DX31" s="9">
        <v>0</v>
      </c>
      <c r="DY31" s="9">
        <v>0</v>
      </c>
      <c r="DZ31" s="9">
        <v>0</v>
      </c>
      <c r="EA31" s="9">
        <v>0</v>
      </c>
      <c r="EB31" s="9">
        <v>0</v>
      </c>
      <c r="EC31" s="9">
        <v>0</v>
      </c>
      <c r="ED31" s="9">
        <v>0</v>
      </c>
      <c r="EE31" s="9">
        <v>0</v>
      </c>
      <c r="EF31" s="9">
        <v>0</v>
      </c>
      <c r="EG31" s="9">
        <v>0</v>
      </c>
      <c r="EH31" s="9">
        <v>0</v>
      </c>
      <c r="EI31" s="10">
        <v>0</v>
      </c>
    </row>
    <row r="32" spans="1:139" x14ac:dyDescent="0.35">
      <c r="A32" s="8" t="s">
        <v>0</v>
      </c>
      <c r="B32" s="9" t="s">
        <v>61</v>
      </c>
      <c r="C32" s="9" t="s">
        <v>62</v>
      </c>
      <c r="D32" s="9">
        <f t="shared" si="0"/>
        <v>99</v>
      </c>
      <c r="E32" s="9">
        <v>0</v>
      </c>
      <c r="F32" s="9">
        <v>0</v>
      </c>
      <c r="G32" s="9">
        <v>1</v>
      </c>
      <c r="H32" s="9">
        <v>1</v>
      </c>
      <c r="I32" s="9">
        <v>1</v>
      </c>
      <c r="J32" s="9">
        <v>0</v>
      </c>
      <c r="K32" s="9">
        <v>1</v>
      </c>
      <c r="L32" s="9">
        <v>1</v>
      </c>
      <c r="M32" s="9">
        <v>0</v>
      </c>
      <c r="N32" s="9">
        <v>0</v>
      </c>
      <c r="O32" s="9">
        <v>0</v>
      </c>
      <c r="P32" s="9">
        <v>0</v>
      </c>
      <c r="Q32" s="9">
        <v>0</v>
      </c>
      <c r="R32" s="9">
        <v>0</v>
      </c>
      <c r="S32" s="9">
        <v>1</v>
      </c>
      <c r="T32" s="9">
        <v>1</v>
      </c>
      <c r="U32" s="9">
        <v>0</v>
      </c>
      <c r="V32" s="9">
        <v>0</v>
      </c>
      <c r="W32" s="9">
        <v>2</v>
      </c>
      <c r="X32" s="9">
        <v>1</v>
      </c>
      <c r="Y32" s="9">
        <v>2</v>
      </c>
      <c r="Z32" s="9">
        <v>0</v>
      </c>
      <c r="AA32" s="9">
        <v>1</v>
      </c>
      <c r="AB32" s="9">
        <v>2</v>
      </c>
      <c r="AC32" s="9">
        <v>1</v>
      </c>
      <c r="AD32" s="9">
        <v>1</v>
      </c>
      <c r="AE32" s="9">
        <v>4</v>
      </c>
      <c r="AF32" s="9">
        <v>1</v>
      </c>
      <c r="AG32" s="9">
        <v>0</v>
      </c>
      <c r="AH32" s="9">
        <v>0</v>
      </c>
      <c r="AI32" s="9">
        <v>2</v>
      </c>
      <c r="AJ32" s="9">
        <v>1</v>
      </c>
      <c r="AK32" s="9">
        <v>1</v>
      </c>
      <c r="AL32" s="9">
        <v>1</v>
      </c>
      <c r="AM32" s="9">
        <v>1</v>
      </c>
      <c r="AN32" s="9">
        <v>1</v>
      </c>
      <c r="AO32" s="9">
        <v>2</v>
      </c>
      <c r="AP32" s="9">
        <v>1</v>
      </c>
      <c r="AQ32" s="9">
        <v>2</v>
      </c>
      <c r="AR32" s="9">
        <v>0</v>
      </c>
      <c r="AS32" s="9">
        <v>2</v>
      </c>
      <c r="AT32" s="9">
        <v>1</v>
      </c>
      <c r="AU32" s="9">
        <v>1</v>
      </c>
      <c r="AV32" s="9">
        <v>0</v>
      </c>
      <c r="AW32" s="9">
        <v>2</v>
      </c>
      <c r="AX32" s="9">
        <v>1</v>
      </c>
      <c r="AY32" s="9">
        <v>1</v>
      </c>
      <c r="AZ32" s="9">
        <v>2</v>
      </c>
      <c r="BA32" s="9">
        <v>1</v>
      </c>
      <c r="BB32" s="9">
        <v>0</v>
      </c>
      <c r="BC32" s="9">
        <v>0</v>
      </c>
      <c r="BD32" s="9">
        <v>0</v>
      </c>
      <c r="BE32" s="9">
        <v>0</v>
      </c>
      <c r="BF32" s="9">
        <v>1</v>
      </c>
      <c r="BG32" s="9">
        <v>1</v>
      </c>
      <c r="BH32" s="9">
        <v>1</v>
      </c>
      <c r="BI32" s="9">
        <v>0</v>
      </c>
      <c r="BJ32" s="9">
        <v>1</v>
      </c>
      <c r="BK32" s="9">
        <v>3</v>
      </c>
      <c r="BL32" s="9">
        <v>1</v>
      </c>
      <c r="BM32" s="9">
        <v>1</v>
      </c>
      <c r="BN32" s="9">
        <v>0</v>
      </c>
      <c r="BO32" s="9">
        <v>0</v>
      </c>
      <c r="BP32" s="9">
        <v>1</v>
      </c>
      <c r="BQ32" s="9">
        <v>1</v>
      </c>
      <c r="BR32" s="9">
        <v>1</v>
      </c>
      <c r="BS32" s="9">
        <v>1</v>
      </c>
      <c r="BT32" s="9">
        <v>1</v>
      </c>
      <c r="BU32" s="9">
        <v>0</v>
      </c>
      <c r="BV32" s="9">
        <v>1</v>
      </c>
      <c r="BW32" s="9">
        <v>0</v>
      </c>
      <c r="BX32" s="9">
        <v>1</v>
      </c>
      <c r="BY32" s="9">
        <v>1</v>
      </c>
      <c r="BZ32" s="9">
        <v>1</v>
      </c>
      <c r="CA32" s="9">
        <v>0</v>
      </c>
      <c r="CB32" s="9">
        <v>0</v>
      </c>
      <c r="CC32" s="9">
        <v>1</v>
      </c>
      <c r="CD32" s="9">
        <v>1</v>
      </c>
      <c r="CE32" s="9">
        <v>0</v>
      </c>
      <c r="CF32" s="9">
        <v>0</v>
      </c>
      <c r="CG32" s="9">
        <v>0</v>
      </c>
      <c r="CH32" s="9">
        <v>0</v>
      </c>
      <c r="CI32" s="9">
        <v>1</v>
      </c>
      <c r="CJ32" s="9">
        <v>1</v>
      </c>
      <c r="CK32" s="9">
        <v>0</v>
      </c>
      <c r="CL32" s="9">
        <v>0</v>
      </c>
      <c r="CM32" s="9">
        <v>1</v>
      </c>
      <c r="CN32" s="9">
        <v>0</v>
      </c>
      <c r="CO32" s="9">
        <v>1</v>
      </c>
      <c r="CP32" s="9">
        <v>1</v>
      </c>
      <c r="CQ32" s="9">
        <v>0</v>
      </c>
      <c r="CR32" s="9">
        <v>0</v>
      </c>
      <c r="CS32" s="9">
        <v>0</v>
      </c>
      <c r="CT32" s="9">
        <v>0</v>
      </c>
      <c r="CU32" s="9">
        <v>0</v>
      </c>
      <c r="CV32" s="9">
        <v>0</v>
      </c>
      <c r="CW32" s="9">
        <v>0</v>
      </c>
      <c r="CX32" s="9">
        <v>0</v>
      </c>
      <c r="CY32" s="9">
        <v>0</v>
      </c>
      <c r="CZ32" s="9">
        <v>0</v>
      </c>
      <c r="DA32" s="9">
        <v>0</v>
      </c>
      <c r="DB32" s="9">
        <v>0</v>
      </c>
      <c r="DC32" s="9">
        <v>0</v>
      </c>
      <c r="DD32" s="9">
        <v>0</v>
      </c>
      <c r="DE32" s="9">
        <v>1</v>
      </c>
      <c r="DF32" s="9">
        <v>0</v>
      </c>
      <c r="DG32" s="9">
        <v>0</v>
      </c>
      <c r="DH32" s="9">
        <v>0</v>
      </c>
      <c r="DI32" s="9">
        <v>1</v>
      </c>
      <c r="DJ32" s="9">
        <v>0</v>
      </c>
      <c r="DK32" s="9">
        <v>2</v>
      </c>
      <c r="DL32" s="9">
        <v>3</v>
      </c>
      <c r="DM32" s="9">
        <v>1</v>
      </c>
      <c r="DN32" s="9">
        <v>0</v>
      </c>
      <c r="DO32" s="9">
        <v>0</v>
      </c>
      <c r="DP32" s="9">
        <v>2</v>
      </c>
      <c r="DQ32" s="9">
        <v>0</v>
      </c>
      <c r="DR32" s="9">
        <v>1</v>
      </c>
      <c r="DS32" s="9">
        <v>0</v>
      </c>
      <c r="DT32" s="9">
        <v>3</v>
      </c>
      <c r="DU32" s="9">
        <v>2</v>
      </c>
      <c r="DV32" s="9">
        <v>0</v>
      </c>
      <c r="DW32" s="9">
        <v>2</v>
      </c>
      <c r="DX32" s="9">
        <v>1</v>
      </c>
      <c r="DY32" s="9">
        <v>0</v>
      </c>
      <c r="DZ32" s="9">
        <v>0</v>
      </c>
      <c r="EA32" s="9">
        <v>0</v>
      </c>
      <c r="EB32" s="9">
        <v>4</v>
      </c>
      <c r="EC32" s="9">
        <v>1</v>
      </c>
      <c r="ED32" s="9">
        <v>0</v>
      </c>
      <c r="EE32" s="9">
        <v>4</v>
      </c>
      <c r="EF32" s="9">
        <v>1</v>
      </c>
      <c r="EG32" s="9">
        <v>0</v>
      </c>
      <c r="EH32" s="9">
        <v>0</v>
      </c>
      <c r="EI32" s="10">
        <v>0</v>
      </c>
    </row>
    <row r="33" spans="1:139" x14ac:dyDescent="0.35">
      <c r="A33" s="8" t="s">
        <v>0</v>
      </c>
      <c r="B33" s="9" t="s">
        <v>63</v>
      </c>
      <c r="C33" s="9" t="s">
        <v>64</v>
      </c>
      <c r="D33" s="9">
        <f t="shared" si="0"/>
        <v>75</v>
      </c>
      <c r="E33" s="9">
        <v>0</v>
      </c>
      <c r="F33" s="9">
        <v>0</v>
      </c>
      <c r="G33" s="9">
        <v>0</v>
      </c>
      <c r="H33" s="9">
        <v>0</v>
      </c>
      <c r="I33" s="9">
        <v>0</v>
      </c>
      <c r="J33" s="9">
        <v>0</v>
      </c>
      <c r="K33" s="9">
        <v>0</v>
      </c>
      <c r="L33" s="9">
        <v>0</v>
      </c>
      <c r="M33" s="9">
        <v>0</v>
      </c>
      <c r="N33" s="9">
        <v>0</v>
      </c>
      <c r="O33" s="9">
        <v>0</v>
      </c>
      <c r="P33" s="9">
        <v>0</v>
      </c>
      <c r="Q33" s="9">
        <v>0</v>
      </c>
      <c r="R33" s="9">
        <v>0</v>
      </c>
      <c r="S33" s="9">
        <v>0</v>
      </c>
      <c r="T33" s="9">
        <v>0</v>
      </c>
      <c r="U33" s="9">
        <v>0</v>
      </c>
      <c r="V33" s="9">
        <v>0</v>
      </c>
      <c r="W33" s="9">
        <v>0</v>
      </c>
      <c r="X33" s="9">
        <v>0</v>
      </c>
      <c r="Y33" s="9">
        <v>0</v>
      </c>
      <c r="Z33" s="9">
        <v>0</v>
      </c>
      <c r="AA33" s="9">
        <v>0</v>
      </c>
      <c r="AB33" s="9">
        <v>2</v>
      </c>
      <c r="AC33" s="9">
        <v>0</v>
      </c>
      <c r="AD33" s="9">
        <v>2</v>
      </c>
      <c r="AE33" s="9">
        <v>0</v>
      </c>
      <c r="AF33" s="9">
        <v>1</v>
      </c>
      <c r="AG33" s="9">
        <v>0</v>
      </c>
      <c r="AH33" s="9">
        <v>2</v>
      </c>
      <c r="AI33" s="9">
        <v>1</v>
      </c>
      <c r="AJ33" s="9">
        <v>3</v>
      </c>
      <c r="AK33" s="9">
        <v>3</v>
      </c>
      <c r="AL33" s="9">
        <v>1</v>
      </c>
      <c r="AM33" s="9">
        <v>0</v>
      </c>
      <c r="AN33" s="9">
        <v>2</v>
      </c>
      <c r="AO33" s="9">
        <v>1</v>
      </c>
      <c r="AP33" s="9">
        <v>1</v>
      </c>
      <c r="AQ33" s="9">
        <v>1</v>
      </c>
      <c r="AR33" s="9">
        <v>0</v>
      </c>
      <c r="AS33" s="9">
        <v>1</v>
      </c>
      <c r="AT33" s="9">
        <v>0</v>
      </c>
      <c r="AU33" s="9">
        <v>2</v>
      </c>
      <c r="AV33" s="9">
        <v>0</v>
      </c>
      <c r="AW33" s="9">
        <v>2</v>
      </c>
      <c r="AX33" s="9">
        <v>0</v>
      </c>
      <c r="AY33" s="9">
        <v>0</v>
      </c>
      <c r="AZ33" s="9">
        <v>0</v>
      </c>
      <c r="BA33" s="9">
        <v>1</v>
      </c>
      <c r="BB33" s="9">
        <v>4</v>
      </c>
      <c r="BC33" s="9">
        <v>0</v>
      </c>
      <c r="BD33" s="9">
        <v>1</v>
      </c>
      <c r="BE33" s="9">
        <v>0</v>
      </c>
      <c r="BF33" s="9">
        <v>1</v>
      </c>
      <c r="BG33" s="9">
        <v>3</v>
      </c>
      <c r="BH33" s="9">
        <v>0</v>
      </c>
      <c r="BI33" s="9">
        <v>2</v>
      </c>
      <c r="BJ33" s="9">
        <v>1</v>
      </c>
      <c r="BK33" s="9">
        <v>0</v>
      </c>
      <c r="BL33" s="9">
        <v>1</v>
      </c>
      <c r="BM33" s="9">
        <v>1</v>
      </c>
      <c r="BN33" s="9">
        <v>2</v>
      </c>
      <c r="BO33" s="9">
        <v>2</v>
      </c>
      <c r="BP33" s="9">
        <v>3</v>
      </c>
      <c r="BQ33" s="9">
        <v>0</v>
      </c>
      <c r="BR33" s="9">
        <v>0</v>
      </c>
      <c r="BS33" s="9">
        <v>2</v>
      </c>
      <c r="BT33" s="9">
        <v>0</v>
      </c>
      <c r="BU33" s="9">
        <v>1</v>
      </c>
      <c r="BV33" s="9">
        <v>1</v>
      </c>
      <c r="BW33" s="9">
        <v>1</v>
      </c>
      <c r="BX33" s="9">
        <v>2</v>
      </c>
      <c r="BY33" s="9">
        <v>2</v>
      </c>
      <c r="BZ33" s="9">
        <v>0</v>
      </c>
      <c r="CA33" s="9">
        <v>0</v>
      </c>
      <c r="CB33" s="9">
        <v>1</v>
      </c>
      <c r="CC33" s="9">
        <v>0</v>
      </c>
      <c r="CD33" s="9">
        <v>1</v>
      </c>
      <c r="CE33" s="9">
        <v>1</v>
      </c>
      <c r="CF33" s="9">
        <v>1</v>
      </c>
      <c r="CG33" s="9">
        <v>1</v>
      </c>
      <c r="CH33" s="9">
        <v>1</v>
      </c>
      <c r="CI33" s="9">
        <v>1</v>
      </c>
      <c r="CJ33" s="9">
        <v>1</v>
      </c>
      <c r="CK33" s="9">
        <v>0</v>
      </c>
      <c r="CL33" s="9">
        <v>1</v>
      </c>
      <c r="CM33" s="9">
        <v>1</v>
      </c>
      <c r="CN33" s="9">
        <v>0</v>
      </c>
      <c r="CO33" s="9">
        <v>0</v>
      </c>
      <c r="CP33" s="9">
        <v>1</v>
      </c>
      <c r="CQ33" s="9">
        <v>0</v>
      </c>
      <c r="CR33" s="9">
        <v>1</v>
      </c>
      <c r="CS33" s="9">
        <v>0</v>
      </c>
      <c r="CT33" s="9">
        <v>0</v>
      </c>
      <c r="CU33" s="9">
        <v>0</v>
      </c>
      <c r="CV33" s="9">
        <v>0</v>
      </c>
      <c r="CW33" s="9">
        <v>0</v>
      </c>
      <c r="CX33" s="9">
        <v>0</v>
      </c>
      <c r="CY33" s="9">
        <v>0</v>
      </c>
      <c r="CZ33" s="9">
        <v>0</v>
      </c>
      <c r="DA33" s="9">
        <v>0</v>
      </c>
      <c r="DB33" s="9">
        <v>0</v>
      </c>
      <c r="DC33" s="9">
        <v>0</v>
      </c>
      <c r="DD33" s="9">
        <v>0</v>
      </c>
      <c r="DE33" s="9">
        <v>2</v>
      </c>
      <c r="DF33" s="9">
        <v>0</v>
      </c>
      <c r="DG33" s="9">
        <v>0</v>
      </c>
      <c r="DH33" s="9">
        <v>0</v>
      </c>
      <c r="DI33" s="9">
        <v>0</v>
      </c>
      <c r="DJ33" s="9">
        <v>0</v>
      </c>
      <c r="DK33" s="9">
        <v>0</v>
      </c>
      <c r="DL33" s="9">
        <v>0</v>
      </c>
      <c r="DM33" s="9">
        <v>0</v>
      </c>
      <c r="DN33" s="9">
        <v>0</v>
      </c>
      <c r="DO33" s="9">
        <v>0</v>
      </c>
      <c r="DP33" s="9">
        <v>0</v>
      </c>
      <c r="DQ33" s="9">
        <v>0</v>
      </c>
      <c r="DR33" s="9">
        <v>0</v>
      </c>
      <c r="DS33" s="9">
        <v>0</v>
      </c>
      <c r="DT33" s="9">
        <v>0</v>
      </c>
      <c r="DU33" s="9">
        <v>0</v>
      </c>
      <c r="DV33" s="9">
        <v>0</v>
      </c>
      <c r="DW33" s="9">
        <v>0</v>
      </c>
      <c r="DX33" s="9">
        <v>1</v>
      </c>
      <c r="DY33" s="9">
        <v>0</v>
      </c>
      <c r="DZ33" s="9">
        <v>1</v>
      </c>
      <c r="EA33" s="9">
        <v>1</v>
      </c>
      <c r="EB33" s="9">
        <v>1</v>
      </c>
      <c r="EC33" s="9">
        <v>0</v>
      </c>
      <c r="ED33" s="9">
        <v>0</v>
      </c>
      <c r="EE33" s="9">
        <v>0</v>
      </c>
      <c r="EF33" s="9">
        <v>1</v>
      </c>
      <c r="EG33" s="9">
        <v>0</v>
      </c>
      <c r="EH33" s="9">
        <v>0</v>
      </c>
      <c r="EI33" s="10">
        <v>0</v>
      </c>
    </row>
    <row r="34" spans="1:139" x14ac:dyDescent="0.35">
      <c r="A34" s="8" t="s">
        <v>0</v>
      </c>
      <c r="B34" s="9" t="s">
        <v>65</v>
      </c>
      <c r="C34" s="9" t="s">
        <v>66</v>
      </c>
      <c r="D34" s="9">
        <f t="shared" si="0"/>
        <v>1</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0</v>
      </c>
      <c r="W34" s="9">
        <v>0</v>
      </c>
      <c r="X34" s="9">
        <v>0</v>
      </c>
      <c r="Y34" s="9">
        <v>0</v>
      </c>
      <c r="Z34" s="9">
        <v>0</v>
      </c>
      <c r="AA34" s="9">
        <v>0</v>
      </c>
      <c r="AB34" s="9">
        <v>0</v>
      </c>
      <c r="AC34" s="9">
        <v>0</v>
      </c>
      <c r="AD34" s="9">
        <v>0</v>
      </c>
      <c r="AE34" s="9">
        <v>0</v>
      </c>
      <c r="AF34" s="9">
        <v>0</v>
      </c>
      <c r="AG34" s="9">
        <v>0</v>
      </c>
      <c r="AH34" s="9">
        <v>0</v>
      </c>
      <c r="AI34" s="9">
        <v>0</v>
      </c>
      <c r="AJ34" s="9">
        <v>0</v>
      </c>
      <c r="AK34" s="9">
        <v>0</v>
      </c>
      <c r="AL34" s="9">
        <v>0</v>
      </c>
      <c r="AM34" s="9">
        <v>0</v>
      </c>
      <c r="AN34" s="9">
        <v>0</v>
      </c>
      <c r="AO34" s="9">
        <v>0</v>
      </c>
      <c r="AP34" s="9">
        <v>0</v>
      </c>
      <c r="AQ34" s="9">
        <v>0</v>
      </c>
      <c r="AR34" s="9">
        <v>0</v>
      </c>
      <c r="AS34" s="9">
        <v>0</v>
      </c>
      <c r="AT34" s="9">
        <v>0</v>
      </c>
      <c r="AU34" s="9">
        <v>0</v>
      </c>
      <c r="AV34" s="9">
        <v>0</v>
      </c>
      <c r="AW34" s="9">
        <v>0</v>
      </c>
      <c r="AX34" s="9">
        <v>0</v>
      </c>
      <c r="AY34" s="9">
        <v>0</v>
      </c>
      <c r="AZ34" s="9">
        <v>0</v>
      </c>
      <c r="BA34" s="9">
        <v>0</v>
      </c>
      <c r="BB34" s="9">
        <v>0</v>
      </c>
      <c r="BC34" s="9">
        <v>0</v>
      </c>
      <c r="BD34" s="9">
        <v>0</v>
      </c>
      <c r="BE34" s="9">
        <v>0</v>
      </c>
      <c r="BF34" s="9">
        <v>0</v>
      </c>
      <c r="BG34" s="9">
        <v>0</v>
      </c>
      <c r="BH34" s="9">
        <v>0</v>
      </c>
      <c r="BI34" s="9">
        <v>0</v>
      </c>
      <c r="BJ34" s="9">
        <v>0</v>
      </c>
      <c r="BK34" s="9">
        <v>0</v>
      </c>
      <c r="BL34" s="9">
        <v>0</v>
      </c>
      <c r="BM34" s="9">
        <v>0</v>
      </c>
      <c r="BN34" s="9">
        <v>0</v>
      </c>
      <c r="BO34" s="9">
        <v>0</v>
      </c>
      <c r="BP34" s="9">
        <v>0</v>
      </c>
      <c r="BQ34" s="9">
        <v>0</v>
      </c>
      <c r="BR34" s="9">
        <v>0</v>
      </c>
      <c r="BS34" s="9">
        <v>0</v>
      </c>
      <c r="BT34" s="9">
        <v>0</v>
      </c>
      <c r="BU34" s="9">
        <v>0</v>
      </c>
      <c r="BV34" s="9">
        <v>0</v>
      </c>
      <c r="BW34" s="9">
        <v>0</v>
      </c>
      <c r="BX34" s="9">
        <v>0</v>
      </c>
      <c r="BY34" s="9">
        <v>0</v>
      </c>
      <c r="BZ34" s="9">
        <v>0</v>
      </c>
      <c r="CA34" s="9">
        <v>0</v>
      </c>
      <c r="CB34" s="9">
        <v>0</v>
      </c>
      <c r="CC34" s="9">
        <v>0</v>
      </c>
      <c r="CD34" s="9">
        <v>0</v>
      </c>
      <c r="CE34" s="9">
        <v>0</v>
      </c>
      <c r="CF34" s="9">
        <v>0</v>
      </c>
      <c r="CG34" s="9">
        <v>0</v>
      </c>
      <c r="CH34" s="9">
        <v>0</v>
      </c>
      <c r="CI34" s="9">
        <v>0</v>
      </c>
      <c r="CJ34" s="9">
        <v>0</v>
      </c>
      <c r="CK34" s="9">
        <v>0</v>
      </c>
      <c r="CL34" s="9">
        <v>0</v>
      </c>
      <c r="CM34" s="9">
        <v>0</v>
      </c>
      <c r="CN34" s="9">
        <v>0</v>
      </c>
      <c r="CO34" s="9">
        <v>0</v>
      </c>
      <c r="CP34" s="9">
        <v>0</v>
      </c>
      <c r="CQ34" s="9">
        <v>0</v>
      </c>
      <c r="CR34" s="9">
        <v>0</v>
      </c>
      <c r="CS34" s="9">
        <v>0</v>
      </c>
      <c r="CT34" s="9">
        <v>0</v>
      </c>
      <c r="CU34" s="9">
        <v>0</v>
      </c>
      <c r="CV34" s="9">
        <v>0</v>
      </c>
      <c r="CW34" s="9">
        <v>0</v>
      </c>
      <c r="CX34" s="9">
        <v>0</v>
      </c>
      <c r="CY34" s="9">
        <v>0</v>
      </c>
      <c r="CZ34" s="9">
        <v>0</v>
      </c>
      <c r="DA34" s="9">
        <v>0</v>
      </c>
      <c r="DB34" s="9">
        <v>0</v>
      </c>
      <c r="DC34" s="9">
        <v>0</v>
      </c>
      <c r="DD34" s="9">
        <v>0</v>
      </c>
      <c r="DE34" s="9">
        <v>0</v>
      </c>
      <c r="DF34" s="9">
        <v>0</v>
      </c>
      <c r="DG34" s="9">
        <v>0</v>
      </c>
      <c r="DH34" s="9">
        <v>0</v>
      </c>
      <c r="DI34" s="9">
        <v>0</v>
      </c>
      <c r="DJ34" s="9">
        <v>0</v>
      </c>
      <c r="DK34" s="9">
        <v>0</v>
      </c>
      <c r="DL34" s="9">
        <v>0</v>
      </c>
      <c r="DM34" s="9">
        <v>0</v>
      </c>
      <c r="DN34" s="9">
        <v>0</v>
      </c>
      <c r="DO34" s="9">
        <v>0</v>
      </c>
      <c r="DP34" s="9">
        <v>0</v>
      </c>
      <c r="DQ34" s="9">
        <v>0</v>
      </c>
      <c r="DR34" s="9">
        <v>0</v>
      </c>
      <c r="DS34" s="9">
        <v>0</v>
      </c>
      <c r="DT34" s="9">
        <v>0</v>
      </c>
      <c r="DU34" s="9">
        <v>0</v>
      </c>
      <c r="DV34" s="9">
        <v>0</v>
      </c>
      <c r="DW34" s="9">
        <v>0</v>
      </c>
      <c r="DX34" s="9">
        <v>0</v>
      </c>
      <c r="DY34" s="9">
        <v>0</v>
      </c>
      <c r="DZ34" s="9">
        <v>0</v>
      </c>
      <c r="EA34" s="9">
        <v>0</v>
      </c>
      <c r="EB34" s="9">
        <v>0</v>
      </c>
      <c r="EC34" s="9">
        <v>1</v>
      </c>
      <c r="ED34" s="9">
        <v>0</v>
      </c>
      <c r="EE34" s="9">
        <v>0</v>
      </c>
      <c r="EF34" s="9">
        <v>0</v>
      </c>
      <c r="EG34" s="9">
        <v>0</v>
      </c>
      <c r="EH34" s="9">
        <v>0</v>
      </c>
      <c r="EI34" s="10">
        <v>0</v>
      </c>
    </row>
    <row r="35" spans="1:139" x14ac:dyDescent="0.35">
      <c r="A35" s="8" t="s">
        <v>0</v>
      </c>
      <c r="B35" s="9" t="s">
        <v>67</v>
      </c>
      <c r="C35" s="9" t="s">
        <v>68</v>
      </c>
      <c r="D35" s="9">
        <f t="shared" si="0"/>
        <v>37</v>
      </c>
      <c r="E35" s="9">
        <v>0</v>
      </c>
      <c r="F35" s="9">
        <v>0</v>
      </c>
      <c r="G35" s="9">
        <v>0</v>
      </c>
      <c r="H35" s="9">
        <v>0</v>
      </c>
      <c r="I35" s="9">
        <v>0</v>
      </c>
      <c r="J35" s="9">
        <v>0</v>
      </c>
      <c r="K35" s="9">
        <v>0</v>
      </c>
      <c r="L35" s="9">
        <v>0</v>
      </c>
      <c r="M35" s="9">
        <v>0</v>
      </c>
      <c r="N35" s="9">
        <v>0</v>
      </c>
      <c r="O35" s="9">
        <v>0</v>
      </c>
      <c r="P35" s="9">
        <v>0</v>
      </c>
      <c r="Q35" s="9">
        <v>0</v>
      </c>
      <c r="R35" s="9">
        <v>0</v>
      </c>
      <c r="S35" s="9">
        <v>0</v>
      </c>
      <c r="T35" s="9">
        <v>0</v>
      </c>
      <c r="U35" s="9">
        <v>0</v>
      </c>
      <c r="V35" s="9">
        <v>0</v>
      </c>
      <c r="W35" s="9">
        <v>0</v>
      </c>
      <c r="X35" s="9">
        <v>0</v>
      </c>
      <c r="Y35" s="9">
        <v>0</v>
      </c>
      <c r="Z35" s="9">
        <v>0</v>
      </c>
      <c r="AA35" s="9">
        <v>0</v>
      </c>
      <c r="AB35" s="9">
        <v>2</v>
      </c>
      <c r="AC35" s="9">
        <v>0</v>
      </c>
      <c r="AD35" s="9">
        <v>1</v>
      </c>
      <c r="AE35" s="9">
        <v>0</v>
      </c>
      <c r="AF35" s="9">
        <v>2</v>
      </c>
      <c r="AG35" s="9">
        <v>0</v>
      </c>
      <c r="AH35" s="9">
        <v>3</v>
      </c>
      <c r="AI35" s="9">
        <v>0</v>
      </c>
      <c r="AJ35" s="9">
        <v>0</v>
      </c>
      <c r="AK35" s="9">
        <v>0</v>
      </c>
      <c r="AL35" s="9">
        <v>0</v>
      </c>
      <c r="AM35" s="9">
        <v>1</v>
      </c>
      <c r="AN35" s="9">
        <v>0</v>
      </c>
      <c r="AO35" s="9">
        <v>1</v>
      </c>
      <c r="AP35" s="9">
        <v>0</v>
      </c>
      <c r="AQ35" s="9">
        <v>3</v>
      </c>
      <c r="AR35" s="9">
        <v>1</v>
      </c>
      <c r="AS35" s="9">
        <v>1</v>
      </c>
      <c r="AT35" s="9">
        <v>0</v>
      </c>
      <c r="AU35" s="9">
        <v>2</v>
      </c>
      <c r="AV35" s="9">
        <v>1</v>
      </c>
      <c r="AW35" s="9">
        <v>2</v>
      </c>
      <c r="AX35" s="9">
        <v>1</v>
      </c>
      <c r="AY35" s="9">
        <v>0</v>
      </c>
      <c r="AZ35" s="9">
        <v>0</v>
      </c>
      <c r="BA35" s="9">
        <v>1</v>
      </c>
      <c r="BB35" s="9">
        <v>1</v>
      </c>
      <c r="BC35" s="9">
        <v>0</v>
      </c>
      <c r="BD35" s="9">
        <v>0</v>
      </c>
      <c r="BE35" s="9">
        <v>0</v>
      </c>
      <c r="BF35" s="9">
        <v>2</v>
      </c>
      <c r="BG35" s="9">
        <v>1</v>
      </c>
      <c r="BH35" s="9">
        <v>1</v>
      </c>
      <c r="BI35" s="9">
        <v>0</v>
      </c>
      <c r="BJ35" s="9">
        <v>1</v>
      </c>
      <c r="BK35" s="9">
        <v>0</v>
      </c>
      <c r="BL35" s="9">
        <v>0</v>
      </c>
      <c r="BM35" s="9">
        <v>1</v>
      </c>
      <c r="BN35" s="9">
        <v>0</v>
      </c>
      <c r="BO35" s="9">
        <v>0</v>
      </c>
      <c r="BP35" s="9">
        <v>0</v>
      </c>
      <c r="BQ35" s="9">
        <v>0</v>
      </c>
      <c r="BR35" s="9">
        <v>1</v>
      </c>
      <c r="BS35" s="9">
        <v>1</v>
      </c>
      <c r="BT35" s="9">
        <v>1</v>
      </c>
      <c r="BU35" s="9">
        <v>0</v>
      </c>
      <c r="BV35" s="9">
        <v>0</v>
      </c>
      <c r="BW35" s="9">
        <v>0</v>
      </c>
      <c r="BX35" s="9">
        <v>0</v>
      </c>
      <c r="BY35" s="9">
        <v>0</v>
      </c>
      <c r="BZ35" s="9">
        <v>0</v>
      </c>
      <c r="CA35" s="9">
        <v>2</v>
      </c>
      <c r="CB35" s="9">
        <v>1</v>
      </c>
      <c r="CC35" s="9">
        <v>0</v>
      </c>
      <c r="CD35" s="9">
        <v>0</v>
      </c>
      <c r="CE35" s="9">
        <v>0</v>
      </c>
      <c r="CF35" s="9">
        <v>0</v>
      </c>
      <c r="CG35" s="9">
        <v>0</v>
      </c>
      <c r="CH35" s="9">
        <v>0</v>
      </c>
      <c r="CI35" s="9">
        <v>1</v>
      </c>
      <c r="CJ35" s="9">
        <v>0</v>
      </c>
      <c r="CK35" s="9">
        <v>0</v>
      </c>
      <c r="CL35" s="9">
        <v>0</v>
      </c>
      <c r="CM35" s="9">
        <v>0</v>
      </c>
      <c r="CN35" s="9">
        <v>0</v>
      </c>
      <c r="CO35" s="9">
        <v>0</v>
      </c>
      <c r="CP35" s="9">
        <v>0</v>
      </c>
      <c r="CQ35" s="9">
        <v>0</v>
      </c>
      <c r="CR35" s="9">
        <v>0</v>
      </c>
      <c r="CS35" s="9">
        <v>0</v>
      </c>
      <c r="CT35" s="9">
        <v>0</v>
      </c>
      <c r="CU35" s="9">
        <v>0</v>
      </c>
      <c r="CV35" s="9">
        <v>0</v>
      </c>
      <c r="CW35" s="9">
        <v>0</v>
      </c>
      <c r="CX35" s="9">
        <v>0</v>
      </c>
      <c r="CY35" s="9">
        <v>0</v>
      </c>
      <c r="CZ35" s="9">
        <v>0</v>
      </c>
      <c r="DA35" s="9">
        <v>0</v>
      </c>
      <c r="DB35" s="9">
        <v>0</v>
      </c>
      <c r="DC35" s="9">
        <v>0</v>
      </c>
      <c r="DD35" s="9">
        <v>0</v>
      </c>
      <c r="DE35" s="9">
        <v>0</v>
      </c>
      <c r="DF35" s="9">
        <v>0</v>
      </c>
      <c r="DG35" s="9">
        <v>0</v>
      </c>
      <c r="DH35" s="9">
        <v>0</v>
      </c>
      <c r="DI35" s="9">
        <v>1</v>
      </c>
      <c r="DJ35" s="9">
        <v>0</v>
      </c>
      <c r="DK35" s="9">
        <v>0</v>
      </c>
      <c r="DL35" s="9">
        <v>0</v>
      </c>
      <c r="DM35" s="9">
        <v>0</v>
      </c>
      <c r="DN35" s="9">
        <v>0</v>
      </c>
      <c r="DO35" s="9">
        <v>0</v>
      </c>
      <c r="DP35" s="9">
        <v>0</v>
      </c>
      <c r="DQ35" s="9">
        <v>0</v>
      </c>
      <c r="DR35" s="9">
        <v>0</v>
      </c>
      <c r="DS35" s="9">
        <v>0</v>
      </c>
      <c r="DT35" s="9">
        <v>0</v>
      </c>
      <c r="DU35" s="9">
        <v>0</v>
      </c>
      <c r="DV35" s="9">
        <v>0</v>
      </c>
      <c r="DW35" s="9">
        <v>0</v>
      </c>
      <c r="DX35" s="9">
        <v>0</v>
      </c>
      <c r="DY35" s="9">
        <v>0</v>
      </c>
      <c r="DZ35" s="9">
        <v>0</v>
      </c>
      <c r="EA35" s="9">
        <v>0</v>
      </c>
      <c r="EB35" s="9">
        <v>0</v>
      </c>
      <c r="EC35" s="9">
        <v>0</v>
      </c>
      <c r="ED35" s="9">
        <v>0</v>
      </c>
      <c r="EE35" s="9">
        <v>0</v>
      </c>
      <c r="EF35" s="9">
        <v>0</v>
      </c>
      <c r="EG35" s="9">
        <v>0</v>
      </c>
      <c r="EH35" s="9">
        <v>0</v>
      </c>
      <c r="EI35" s="10">
        <v>0</v>
      </c>
    </row>
    <row r="36" spans="1:139" x14ac:dyDescent="0.35">
      <c r="A36" s="8" t="s">
        <v>0</v>
      </c>
      <c r="B36" s="9" t="s">
        <v>69</v>
      </c>
      <c r="C36" s="9" t="s">
        <v>70</v>
      </c>
      <c r="D36" s="9">
        <f t="shared" si="0"/>
        <v>48</v>
      </c>
      <c r="E36" s="9">
        <v>0</v>
      </c>
      <c r="F36" s="9">
        <v>0</v>
      </c>
      <c r="G36" s="9">
        <v>0</v>
      </c>
      <c r="H36" s="9">
        <v>0</v>
      </c>
      <c r="I36" s="9">
        <v>0</v>
      </c>
      <c r="J36" s="9">
        <v>0</v>
      </c>
      <c r="K36" s="9">
        <v>0</v>
      </c>
      <c r="L36" s="9">
        <v>0</v>
      </c>
      <c r="M36" s="9">
        <v>0</v>
      </c>
      <c r="N36" s="9">
        <v>0</v>
      </c>
      <c r="O36" s="9">
        <v>1</v>
      </c>
      <c r="P36" s="9">
        <v>0</v>
      </c>
      <c r="Q36" s="9">
        <v>0</v>
      </c>
      <c r="R36" s="9">
        <v>0</v>
      </c>
      <c r="S36" s="9">
        <v>0</v>
      </c>
      <c r="T36" s="9">
        <v>0</v>
      </c>
      <c r="U36" s="9">
        <v>0</v>
      </c>
      <c r="V36" s="9">
        <v>1</v>
      </c>
      <c r="W36" s="9">
        <v>0</v>
      </c>
      <c r="X36" s="9">
        <v>1</v>
      </c>
      <c r="Y36" s="9">
        <v>1</v>
      </c>
      <c r="Z36" s="9">
        <v>1</v>
      </c>
      <c r="AA36" s="9">
        <v>1</v>
      </c>
      <c r="AB36" s="9">
        <v>0</v>
      </c>
      <c r="AC36" s="9">
        <v>0</v>
      </c>
      <c r="AD36" s="9">
        <v>0</v>
      </c>
      <c r="AE36" s="9">
        <v>0</v>
      </c>
      <c r="AF36" s="9">
        <v>0</v>
      </c>
      <c r="AG36" s="9">
        <v>0</v>
      </c>
      <c r="AH36" s="9">
        <v>1</v>
      </c>
      <c r="AI36" s="9">
        <v>0</v>
      </c>
      <c r="AJ36" s="9">
        <v>0</v>
      </c>
      <c r="AK36" s="9">
        <v>3</v>
      </c>
      <c r="AL36" s="9">
        <v>0</v>
      </c>
      <c r="AM36" s="9">
        <v>0</v>
      </c>
      <c r="AN36" s="9">
        <v>0</v>
      </c>
      <c r="AO36" s="9">
        <v>0</v>
      </c>
      <c r="AP36" s="9">
        <v>1</v>
      </c>
      <c r="AQ36" s="9">
        <v>0</v>
      </c>
      <c r="AR36" s="9">
        <v>1</v>
      </c>
      <c r="AS36" s="9">
        <v>0</v>
      </c>
      <c r="AT36" s="9">
        <v>0</v>
      </c>
      <c r="AU36" s="9">
        <v>1</v>
      </c>
      <c r="AV36" s="9">
        <v>0</v>
      </c>
      <c r="AW36" s="9">
        <v>1</v>
      </c>
      <c r="AX36" s="9">
        <v>1</v>
      </c>
      <c r="AY36" s="9">
        <v>2</v>
      </c>
      <c r="AZ36" s="9">
        <v>0</v>
      </c>
      <c r="BA36" s="9">
        <v>3</v>
      </c>
      <c r="BB36" s="9">
        <v>3</v>
      </c>
      <c r="BC36" s="9">
        <v>2</v>
      </c>
      <c r="BD36" s="9">
        <v>2</v>
      </c>
      <c r="BE36" s="9">
        <v>1</v>
      </c>
      <c r="BF36" s="9">
        <v>0</v>
      </c>
      <c r="BG36" s="9">
        <v>0</v>
      </c>
      <c r="BH36" s="9">
        <v>1</v>
      </c>
      <c r="BI36" s="9">
        <v>2</v>
      </c>
      <c r="BJ36" s="9">
        <v>1</v>
      </c>
      <c r="BK36" s="9">
        <v>1</v>
      </c>
      <c r="BL36" s="9">
        <v>0</v>
      </c>
      <c r="BM36" s="9">
        <v>1</v>
      </c>
      <c r="BN36" s="9">
        <v>0</v>
      </c>
      <c r="BO36" s="9">
        <v>0</v>
      </c>
      <c r="BP36" s="9">
        <v>1</v>
      </c>
      <c r="BQ36" s="9">
        <v>1</v>
      </c>
      <c r="BR36" s="9">
        <v>0</v>
      </c>
      <c r="BS36" s="9">
        <v>1</v>
      </c>
      <c r="BT36" s="9">
        <v>0</v>
      </c>
      <c r="BU36" s="9">
        <v>2</v>
      </c>
      <c r="BV36" s="9">
        <v>1</v>
      </c>
      <c r="BW36" s="9">
        <v>0</v>
      </c>
      <c r="BX36" s="9">
        <v>0</v>
      </c>
      <c r="BY36" s="9">
        <v>0</v>
      </c>
      <c r="BZ36" s="9">
        <v>0</v>
      </c>
      <c r="CA36" s="9">
        <v>0</v>
      </c>
      <c r="CB36" s="9">
        <v>0</v>
      </c>
      <c r="CC36" s="9">
        <v>0</v>
      </c>
      <c r="CD36" s="9">
        <v>2</v>
      </c>
      <c r="CE36" s="9">
        <v>2</v>
      </c>
      <c r="CF36" s="9">
        <v>0</v>
      </c>
      <c r="CG36" s="9">
        <v>0</v>
      </c>
      <c r="CH36" s="9">
        <v>0</v>
      </c>
      <c r="CI36" s="9">
        <v>0</v>
      </c>
      <c r="CJ36" s="9">
        <v>1</v>
      </c>
      <c r="CK36" s="9">
        <v>0</v>
      </c>
      <c r="CL36" s="9">
        <v>0</v>
      </c>
      <c r="CM36" s="9">
        <v>0</v>
      </c>
      <c r="CN36" s="9">
        <v>1</v>
      </c>
      <c r="CO36" s="9">
        <v>0</v>
      </c>
      <c r="CP36" s="9">
        <v>0</v>
      </c>
      <c r="CQ36" s="9">
        <v>0</v>
      </c>
      <c r="CR36" s="9">
        <v>0</v>
      </c>
      <c r="CS36" s="9">
        <v>0</v>
      </c>
      <c r="CT36" s="9">
        <v>0</v>
      </c>
      <c r="CU36" s="9">
        <v>0</v>
      </c>
      <c r="CV36" s="9">
        <v>0</v>
      </c>
      <c r="CW36" s="9">
        <v>1</v>
      </c>
      <c r="CX36" s="9">
        <v>0</v>
      </c>
      <c r="CY36" s="9">
        <v>0</v>
      </c>
      <c r="CZ36" s="9">
        <v>0</v>
      </c>
      <c r="DA36" s="9">
        <v>0</v>
      </c>
      <c r="DB36" s="9">
        <v>0</v>
      </c>
      <c r="DC36" s="9">
        <v>0</v>
      </c>
      <c r="DD36" s="9">
        <v>0</v>
      </c>
      <c r="DE36" s="9">
        <v>1</v>
      </c>
      <c r="DF36" s="9">
        <v>0</v>
      </c>
      <c r="DG36" s="9">
        <v>0</v>
      </c>
      <c r="DH36" s="9">
        <v>0</v>
      </c>
      <c r="DI36" s="9">
        <v>0</v>
      </c>
      <c r="DJ36" s="9">
        <v>0</v>
      </c>
      <c r="DK36" s="9">
        <v>0</v>
      </c>
      <c r="DL36" s="9">
        <v>0</v>
      </c>
      <c r="DM36" s="9">
        <v>0</v>
      </c>
      <c r="DN36" s="9">
        <v>0</v>
      </c>
      <c r="DO36" s="9">
        <v>0</v>
      </c>
      <c r="DP36" s="9">
        <v>0</v>
      </c>
      <c r="DQ36" s="9">
        <v>0</v>
      </c>
      <c r="DR36" s="9">
        <v>0</v>
      </c>
      <c r="DS36" s="9">
        <v>0</v>
      </c>
      <c r="DT36" s="9">
        <v>0</v>
      </c>
      <c r="DU36" s="9">
        <v>0</v>
      </c>
      <c r="DV36" s="9">
        <v>0</v>
      </c>
      <c r="DW36" s="9">
        <v>0</v>
      </c>
      <c r="DX36" s="9">
        <v>0</v>
      </c>
      <c r="DY36" s="9">
        <v>0</v>
      </c>
      <c r="DZ36" s="9">
        <v>0</v>
      </c>
      <c r="EA36" s="9">
        <v>0</v>
      </c>
      <c r="EB36" s="9">
        <v>0</v>
      </c>
      <c r="EC36" s="9">
        <v>0</v>
      </c>
      <c r="ED36" s="9">
        <v>0</v>
      </c>
      <c r="EE36" s="9">
        <v>0</v>
      </c>
      <c r="EF36" s="9">
        <v>0</v>
      </c>
      <c r="EG36" s="9">
        <v>0</v>
      </c>
      <c r="EH36" s="9">
        <v>0</v>
      </c>
      <c r="EI36" s="10">
        <v>0</v>
      </c>
    </row>
    <row r="37" spans="1:139" x14ac:dyDescent="0.35">
      <c r="A37" s="8" t="s">
        <v>0</v>
      </c>
      <c r="B37" s="9" t="s">
        <v>71</v>
      </c>
      <c r="C37" s="9" t="s">
        <v>72</v>
      </c>
      <c r="D37" s="9">
        <f t="shared" si="0"/>
        <v>0</v>
      </c>
      <c r="E37" s="9">
        <v>0</v>
      </c>
      <c r="F37" s="9">
        <v>0</v>
      </c>
      <c r="G37" s="9">
        <v>0</v>
      </c>
      <c r="H37" s="9">
        <v>0</v>
      </c>
      <c r="I37" s="9">
        <v>0</v>
      </c>
      <c r="J37" s="9">
        <v>0</v>
      </c>
      <c r="K37" s="9">
        <v>0</v>
      </c>
      <c r="L37" s="9">
        <v>0</v>
      </c>
      <c r="M37" s="9">
        <v>0</v>
      </c>
      <c r="N37" s="9">
        <v>0</v>
      </c>
      <c r="O37" s="9">
        <v>0</v>
      </c>
      <c r="P37" s="9">
        <v>0</v>
      </c>
      <c r="Q37" s="9">
        <v>0</v>
      </c>
      <c r="R37" s="9">
        <v>0</v>
      </c>
      <c r="S37" s="9">
        <v>0</v>
      </c>
      <c r="T37" s="9">
        <v>0</v>
      </c>
      <c r="U37" s="9">
        <v>0</v>
      </c>
      <c r="V37" s="9">
        <v>0</v>
      </c>
      <c r="W37" s="9">
        <v>0</v>
      </c>
      <c r="X37" s="9">
        <v>0</v>
      </c>
      <c r="Y37" s="9">
        <v>0</v>
      </c>
      <c r="Z37" s="9">
        <v>0</v>
      </c>
      <c r="AA37" s="9">
        <v>0</v>
      </c>
      <c r="AB37" s="9">
        <v>0</v>
      </c>
      <c r="AC37" s="9">
        <v>0</v>
      </c>
      <c r="AD37" s="9">
        <v>0</v>
      </c>
      <c r="AE37" s="9">
        <v>0</v>
      </c>
      <c r="AF37" s="9">
        <v>0</v>
      </c>
      <c r="AG37" s="9">
        <v>0</v>
      </c>
      <c r="AH37" s="9">
        <v>0</v>
      </c>
      <c r="AI37" s="9">
        <v>0</v>
      </c>
      <c r="AJ37" s="9">
        <v>0</v>
      </c>
      <c r="AK37" s="9">
        <v>0</v>
      </c>
      <c r="AL37" s="9">
        <v>0</v>
      </c>
      <c r="AM37" s="9">
        <v>0</v>
      </c>
      <c r="AN37" s="9">
        <v>0</v>
      </c>
      <c r="AO37" s="9">
        <v>0</v>
      </c>
      <c r="AP37" s="9">
        <v>0</v>
      </c>
      <c r="AQ37" s="9">
        <v>0</v>
      </c>
      <c r="AR37" s="9">
        <v>0</v>
      </c>
      <c r="AS37" s="9">
        <v>0</v>
      </c>
      <c r="AT37" s="9">
        <v>0</v>
      </c>
      <c r="AU37" s="9">
        <v>0</v>
      </c>
      <c r="AV37" s="9">
        <v>0</v>
      </c>
      <c r="AW37" s="9">
        <v>0</v>
      </c>
      <c r="AX37" s="9">
        <v>0</v>
      </c>
      <c r="AY37" s="9">
        <v>0</v>
      </c>
      <c r="AZ37" s="9">
        <v>0</v>
      </c>
      <c r="BA37" s="9">
        <v>0</v>
      </c>
      <c r="BB37" s="9">
        <v>0</v>
      </c>
      <c r="BC37" s="9">
        <v>0</v>
      </c>
      <c r="BD37" s="9">
        <v>0</v>
      </c>
      <c r="BE37" s="9">
        <v>0</v>
      </c>
      <c r="BF37" s="9">
        <v>0</v>
      </c>
      <c r="BG37" s="9">
        <v>0</v>
      </c>
      <c r="BH37" s="9">
        <v>0</v>
      </c>
      <c r="BI37" s="9">
        <v>0</v>
      </c>
      <c r="BJ37" s="9">
        <v>0</v>
      </c>
      <c r="BK37" s="9">
        <v>0</v>
      </c>
      <c r="BL37" s="9">
        <v>0</v>
      </c>
      <c r="BM37" s="9">
        <v>0</v>
      </c>
      <c r="BN37" s="9">
        <v>0</v>
      </c>
      <c r="BO37" s="9">
        <v>0</v>
      </c>
      <c r="BP37" s="9">
        <v>0</v>
      </c>
      <c r="BQ37" s="9">
        <v>0</v>
      </c>
      <c r="BR37" s="9">
        <v>0</v>
      </c>
      <c r="BS37" s="9">
        <v>0</v>
      </c>
      <c r="BT37" s="9">
        <v>0</v>
      </c>
      <c r="BU37" s="9">
        <v>0</v>
      </c>
      <c r="BV37" s="9">
        <v>0</v>
      </c>
      <c r="BW37" s="9">
        <v>0</v>
      </c>
      <c r="BX37" s="9">
        <v>0</v>
      </c>
      <c r="BY37" s="9">
        <v>0</v>
      </c>
      <c r="BZ37" s="9">
        <v>0</v>
      </c>
      <c r="CA37" s="9">
        <v>0</v>
      </c>
      <c r="CB37" s="9">
        <v>0</v>
      </c>
      <c r="CC37" s="9">
        <v>0</v>
      </c>
      <c r="CD37" s="9">
        <v>0</v>
      </c>
      <c r="CE37" s="9">
        <v>0</v>
      </c>
      <c r="CF37" s="9">
        <v>0</v>
      </c>
      <c r="CG37" s="9">
        <v>0</v>
      </c>
      <c r="CH37" s="9">
        <v>0</v>
      </c>
      <c r="CI37" s="9">
        <v>0</v>
      </c>
      <c r="CJ37" s="9">
        <v>0</v>
      </c>
      <c r="CK37" s="9">
        <v>0</v>
      </c>
      <c r="CL37" s="9">
        <v>0</v>
      </c>
      <c r="CM37" s="9">
        <v>0</v>
      </c>
      <c r="CN37" s="9">
        <v>0</v>
      </c>
      <c r="CO37" s="9">
        <v>0</v>
      </c>
      <c r="CP37" s="9">
        <v>0</v>
      </c>
      <c r="CQ37" s="9">
        <v>0</v>
      </c>
      <c r="CR37" s="9">
        <v>0</v>
      </c>
      <c r="CS37" s="9">
        <v>0</v>
      </c>
      <c r="CT37" s="9">
        <v>0</v>
      </c>
      <c r="CU37" s="9">
        <v>0</v>
      </c>
      <c r="CV37" s="9">
        <v>0</v>
      </c>
      <c r="CW37" s="9">
        <v>0</v>
      </c>
      <c r="CX37" s="9">
        <v>0</v>
      </c>
      <c r="CY37" s="9">
        <v>0</v>
      </c>
      <c r="CZ37" s="9">
        <v>0</v>
      </c>
      <c r="DA37" s="9">
        <v>0</v>
      </c>
      <c r="DB37" s="9">
        <v>0</v>
      </c>
      <c r="DC37" s="9">
        <v>0</v>
      </c>
      <c r="DD37" s="9">
        <v>0</v>
      </c>
      <c r="DE37" s="9">
        <v>0</v>
      </c>
      <c r="DF37" s="9">
        <v>0</v>
      </c>
      <c r="DG37" s="9">
        <v>0</v>
      </c>
      <c r="DH37" s="9">
        <v>0</v>
      </c>
      <c r="DI37" s="9">
        <v>0</v>
      </c>
      <c r="DJ37" s="9">
        <v>0</v>
      </c>
      <c r="DK37" s="9">
        <v>0</v>
      </c>
      <c r="DL37" s="9">
        <v>0</v>
      </c>
      <c r="DM37" s="9">
        <v>0</v>
      </c>
      <c r="DN37" s="9">
        <v>0</v>
      </c>
      <c r="DO37" s="9">
        <v>0</v>
      </c>
      <c r="DP37" s="9">
        <v>0</v>
      </c>
      <c r="DQ37" s="9">
        <v>0</v>
      </c>
      <c r="DR37" s="9">
        <v>0</v>
      </c>
      <c r="DS37" s="9">
        <v>0</v>
      </c>
      <c r="DT37" s="9">
        <v>0</v>
      </c>
      <c r="DU37" s="9">
        <v>0</v>
      </c>
      <c r="DV37" s="9">
        <v>0</v>
      </c>
      <c r="DW37" s="9">
        <v>0</v>
      </c>
      <c r="DX37" s="9">
        <v>0</v>
      </c>
      <c r="DY37" s="9">
        <v>0</v>
      </c>
      <c r="DZ37" s="9">
        <v>0</v>
      </c>
      <c r="EA37" s="9">
        <v>0</v>
      </c>
      <c r="EB37" s="9">
        <v>0</v>
      </c>
      <c r="EC37" s="9">
        <v>0</v>
      </c>
      <c r="ED37" s="9">
        <v>0</v>
      </c>
      <c r="EE37" s="9">
        <v>0</v>
      </c>
      <c r="EF37" s="9">
        <v>0</v>
      </c>
      <c r="EG37" s="9">
        <v>0</v>
      </c>
      <c r="EH37" s="9">
        <v>0</v>
      </c>
      <c r="EI37" s="10">
        <v>0</v>
      </c>
    </row>
    <row r="38" spans="1:139" x14ac:dyDescent="0.35">
      <c r="A38" s="8" t="s">
        <v>73</v>
      </c>
      <c r="B38" s="9" t="s">
        <v>74</v>
      </c>
      <c r="C38" s="9" t="s">
        <v>75</v>
      </c>
      <c r="D38" s="9">
        <f t="shared" si="0"/>
        <v>0</v>
      </c>
      <c r="E38" s="9">
        <v>0</v>
      </c>
      <c r="F38" s="9">
        <v>0</v>
      </c>
      <c r="G38" s="9">
        <v>0</v>
      </c>
      <c r="H38" s="9">
        <v>0</v>
      </c>
      <c r="I38" s="9">
        <v>0</v>
      </c>
      <c r="J38" s="9">
        <v>0</v>
      </c>
      <c r="K38" s="9">
        <v>0</v>
      </c>
      <c r="L38" s="9">
        <v>0</v>
      </c>
      <c r="M38" s="9">
        <v>0</v>
      </c>
      <c r="N38" s="9">
        <v>0</v>
      </c>
      <c r="O38" s="9">
        <v>0</v>
      </c>
      <c r="P38" s="9">
        <v>0</v>
      </c>
      <c r="Q38" s="9">
        <v>0</v>
      </c>
      <c r="R38" s="9">
        <v>0</v>
      </c>
      <c r="S38" s="9">
        <v>0</v>
      </c>
      <c r="T38" s="9">
        <v>0</v>
      </c>
      <c r="U38" s="9">
        <v>0</v>
      </c>
      <c r="V38" s="9">
        <v>0</v>
      </c>
      <c r="W38" s="9">
        <v>0</v>
      </c>
      <c r="X38" s="9">
        <v>0</v>
      </c>
      <c r="Y38" s="9">
        <v>0</v>
      </c>
      <c r="Z38" s="9">
        <v>0</v>
      </c>
      <c r="AA38" s="9">
        <v>0</v>
      </c>
      <c r="AB38" s="9">
        <v>0</v>
      </c>
      <c r="AC38" s="9">
        <v>0</v>
      </c>
      <c r="AD38" s="9">
        <v>0</v>
      </c>
      <c r="AE38" s="9">
        <v>0</v>
      </c>
      <c r="AF38" s="9">
        <v>0</v>
      </c>
      <c r="AG38" s="9">
        <v>0</v>
      </c>
      <c r="AH38" s="9">
        <v>0</v>
      </c>
      <c r="AI38" s="9">
        <v>0</v>
      </c>
      <c r="AJ38" s="9">
        <v>0</v>
      </c>
      <c r="AK38" s="9">
        <v>0</v>
      </c>
      <c r="AL38" s="9">
        <v>0</v>
      </c>
      <c r="AM38" s="9">
        <v>0</v>
      </c>
      <c r="AN38" s="9">
        <v>0</v>
      </c>
      <c r="AO38" s="9">
        <v>0</v>
      </c>
      <c r="AP38" s="9">
        <v>0</v>
      </c>
      <c r="AQ38" s="9">
        <v>0</v>
      </c>
      <c r="AR38" s="9">
        <v>0</v>
      </c>
      <c r="AS38" s="9">
        <v>0</v>
      </c>
      <c r="AT38" s="9">
        <v>0</v>
      </c>
      <c r="AU38" s="9">
        <v>0</v>
      </c>
      <c r="AV38" s="9">
        <v>0</v>
      </c>
      <c r="AW38" s="9">
        <v>0</v>
      </c>
      <c r="AX38" s="9">
        <v>0</v>
      </c>
      <c r="AY38" s="9">
        <v>0</v>
      </c>
      <c r="AZ38" s="9">
        <v>0</v>
      </c>
      <c r="BA38" s="9">
        <v>0</v>
      </c>
      <c r="BB38" s="9">
        <v>0</v>
      </c>
      <c r="BC38" s="9">
        <v>0</v>
      </c>
      <c r="BD38" s="9">
        <v>0</v>
      </c>
      <c r="BE38" s="9">
        <v>0</v>
      </c>
      <c r="BF38" s="9">
        <v>0</v>
      </c>
      <c r="BG38" s="9">
        <v>0</v>
      </c>
      <c r="BH38" s="9">
        <v>0</v>
      </c>
      <c r="BI38" s="9">
        <v>0</v>
      </c>
      <c r="BJ38" s="9">
        <v>0</v>
      </c>
      <c r="BK38" s="9">
        <v>0</v>
      </c>
      <c r="BL38" s="9">
        <v>0</v>
      </c>
      <c r="BM38" s="9">
        <v>0</v>
      </c>
      <c r="BN38" s="9">
        <v>0</v>
      </c>
      <c r="BO38" s="9">
        <v>0</v>
      </c>
      <c r="BP38" s="9">
        <v>0</v>
      </c>
      <c r="BQ38" s="9">
        <v>0</v>
      </c>
      <c r="BR38" s="9">
        <v>0</v>
      </c>
      <c r="BS38" s="9">
        <v>0</v>
      </c>
      <c r="BT38" s="9">
        <v>0</v>
      </c>
      <c r="BU38" s="9">
        <v>0</v>
      </c>
      <c r="BV38" s="9">
        <v>0</v>
      </c>
      <c r="BW38" s="9">
        <v>0</v>
      </c>
      <c r="BX38" s="9">
        <v>0</v>
      </c>
      <c r="BY38" s="9">
        <v>0</v>
      </c>
      <c r="BZ38" s="9">
        <v>0</v>
      </c>
      <c r="CA38" s="9">
        <v>0</v>
      </c>
      <c r="CB38" s="9">
        <v>0</v>
      </c>
      <c r="CC38" s="9">
        <v>0</v>
      </c>
      <c r="CD38" s="9">
        <v>0</v>
      </c>
      <c r="CE38" s="9">
        <v>0</v>
      </c>
      <c r="CF38" s="9">
        <v>0</v>
      </c>
      <c r="CG38" s="9">
        <v>0</v>
      </c>
      <c r="CH38" s="9">
        <v>0</v>
      </c>
      <c r="CI38" s="9">
        <v>0</v>
      </c>
      <c r="CJ38" s="9">
        <v>0</v>
      </c>
      <c r="CK38" s="9">
        <v>0</v>
      </c>
      <c r="CL38" s="9">
        <v>0</v>
      </c>
      <c r="CM38" s="9">
        <v>0</v>
      </c>
      <c r="CN38" s="9">
        <v>0</v>
      </c>
      <c r="CO38" s="9">
        <v>0</v>
      </c>
      <c r="CP38" s="9">
        <v>0</v>
      </c>
      <c r="CQ38" s="9">
        <v>0</v>
      </c>
      <c r="CR38" s="9">
        <v>0</v>
      </c>
      <c r="CS38" s="9">
        <v>0</v>
      </c>
      <c r="CT38" s="9">
        <v>0</v>
      </c>
      <c r="CU38" s="9">
        <v>0</v>
      </c>
      <c r="CV38" s="9">
        <v>0</v>
      </c>
      <c r="CW38" s="9">
        <v>0</v>
      </c>
      <c r="CX38" s="9">
        <v>0</v>
      </c>
      <c r="CY38" s="9">
        <v>0</v>
      </c>
      <c r="CZ38" s="9">
        <v>0</v>
      </c>
      <c r="DA38" s="9">
        <v>0</v>
      </c>
      <c r="DB38" s="9">
        <v>0</v>
      </c>
      <c r="DC38" s="9">
        <v>0</v>
      </c>
      <c r="DD38" s="9">
        <v>0</v>
      </c>
      <c r="DE38" s="9">
        <v>0</v>
      </c>
      <c r="DF38" s="9">
        <v>0</v>
      </c>
      <c r="DG38" s="9">
        <v>0</v>
      </c>
      <c r="DH38" s="9">
        <v>0</v>
      </c>
      <c r="DI38" s="9">
        <v>0</v>
      </c>
      <c r="DJ38" s="9">
        <v>0</v>
      </c>
      <c r="DK38" s="9">
        <v>0</v>
      </c>
      <c r="DL38" s="9">
        <v>0</v>
      </c>
      <c r="DM38" s="9">
        <v>0</v>
      </c>
      <c r="DN38" s="9">
        <v>0</v>
      </c>
      <c r="DO38" s="9">
        <v>0</v>
      </c>
      <c r="DP38" s="9">
        <v>0</v>
      </c>
      <c r="DQ38" s="9">
        <v>0</v>
      </c>
      <c r="DR38" s="9">
        <v>0</v>
      </c>
      <c r="DS38" s="9">
        <v>0</v>
      </c>
      <c r="DT38" s="9">
        <v>0</v>
      </c>
      <c r="DU38" s="9">
        <v>0</v>
      </c>
      <c r="DV38" s="9">
        <v>0</v>
      </c>
      <c r="DW38" s="9">
        <v>0</v>
      </c>
      <c r="DX38" s="9">
        <v>0</v>
      </c>
      <c r="DY38" s="9">
        <v>0</v>
      </c>
      <c r="DZ38" s="9">
        <v>0</v>
      </c>
      <c r="EA38" s="9">
        <v>0</v>
      </c>
      <c r="EB38" s="9">
        <v>0</v>
      </c>
      <c r="EC38" s="9">
        <v>0</v>
      </c>
      <c r="ED38" s="9">
        <v>0</v>
      </c>
      <c r="EE38" s="9">
        <v>0</v>
      </c>
      <c r="EF38" s="9">
        <v>0</v>
      </c>
      <c r="EG38" s="9">
        <v>0</v>
      </c>
      <c r="EH38" s="9">
        <v>0</v>
      </c>
      <c r="EI38" s="10">
        <v>0</v>
      </c>
    </row>
    <row r="39" spans="1:139" x14ac:dyDescent="0.35">
      <c r="A39" s="8" t="s">
        <v>73</v>
      </c>
      <c r="B39" s="9" t="s">
        <v>76</v>
      </c>
      <c r="C39" s="9" t="s">
        <v>77</v>
      </c>
      <c r="D39" s="9">
        <f t="shared" si="0"/>
        <v>0</v>
      </c>
      <c r="E39" s="9">
        <v>0</v>
      </c>
      <c r="F39" s="9">
        <v>0</v>
      </c>
      <c r="G39" s="9">
        <v>0</v>
      </c>
      <c r="H39" s="9">
        <v>0</v>
      </c>
      <c r="I39" s="9">
        <v>0</v>
      </c>
      <c r="J39" s="9">
        <v>0</v>
      </c>
      <c r="K39" s="9">
        <v>0</v>
      </c>
      <c r="L39" s="9">
        <v>0</v>
      </c>
      <c r="M39" s="9">
        <v>0</v>
      </c>
      <c r="N39" s="9">
        <v>0</v>
      </c>
      <c r="O39" s="9">
        <v>0</v>
      </c>
      <c r="P39" s="9">
        <v>0</v>
      </c>
      <c r="Q39" s="9">
        <v>0</v>
      </c>
      <c r="R39" s="9">
        <v>0</v>
      </c>
      <c r="S39" s="9">
        <v>0</v>
      </c>
      <c r="T39" s="9">
        <v>0</v>
      </c>
      <c r="U39" s="9">
        <v>0</v>
      </c>
      <c r="V39" s="9">
        <v>0</v>
      </c>
      <c r="W39" s="9">
        <v>0</v>
      </c>
      <c r="X39" s="9">
        <v>0</v>
      </c>
      <c r="Y39" s="9">
        <v>0</v>
      </c>
      <c r="Z39" s="9">
        <v>0</v>
      </c>
      <c r="AA39" s="9">
        <v>0</v>
      </c>
      <c r="AB39" s="9">
        <v>0</v>
      </c>
      <c r="AC39" s="9">
        <v>0</v>
      </c>
      <c r="AD39" s="9">
        <v>0</v>
      </c>
      <c r="AE39" s="9">
        <v>0</v>
      </c>
      <c r="AF39" s="9">
        <v>0</v>
      </c>
      <c r="AG39" s="9">
        <v>0</v>
      </c>
      <c r="AH39" s="9">
        <v>0</v>
      </c>
      <c r="AI39" s="9">
        <v>0</v>
      </c>
      <c r="AJ39" s="9">
        <v>0</v>
      </c>
      <c r="AK39" s="9">
        <v>0</v>
      </c>
      <c r="AL39" s="9">
        <v>0</v>
      </c>
      <c r="AM39" s="9">
        <v>0</v>
      </c>
      <c r="AN39" s="9">
        <v>0</v>
      </c>
      <c r="AO39" s="9">
        <v>0</v>
      </c>
      <c r="AP39" s="9">
        <v>0</v>
      </c>
      <c r="AQ39" s="9">
        <v>0</v>
      </c>
      <c r="AR39" s="9">
        <v>0</v>
      </c>
      <c r="AS39" s="9">
        <v>0</v>
      </c>
      <c r="AT39" s="9">
        <v>0</v>
      </c>
      <c r="AU39" s="9">
        <v>0</v>
      </c>
      <c r="AV39" s="9">
        <v>0</v>
      </c>
      <c r="AW39" s="9">
        <v>0</v>
      </c>
      <c r="AX39" s="9">
        <v>0</v>
      </c>
      <c r="AY39" s="9">
        <v>0</v>
      </c>
      <c r="AZ39" s="9">
        <v>0</v>
      </c>
      <c r="BA39" s="9">
        <v>0</v>
      </c>
      <c r="BB39" s="9">
        <v>0</v>
      </c>
      <c r="BC39" s="9">
        <v>0</v>
      </c>
      <c r="BD39" s="9">
        <v>0</v>
      </c>
      <c r="BE39" s="9">
        <v>0</v>
      </c>
      <c r="BF39" s="9">
        <v>0</v>
      </c>
      <c r="BG39" s="9">
        <v>0</v>
      </c>
      <c r="BH39" s="9">
        <v>0</v>
      </c>
      <c r="BI39" s="9">
        <v>0</v>
      </c>
      <c r="BJ39" s="9">
        <v>0</v>
      </c>
      <c r="BK39" s="9">
        <v>0</v>
      </c>
      <c r="BL39" s="9">
        <v>0</v>
      </c>
      <c r="BM39" s="9">
        <v>0</v>
      </c>
      <c r="BN39" s="9">
        <v>0</v>
      </c>
      <c r="BO39" s="9">
        <v>0</v>
      </c>
      <c r="BP39" s="9">
        <v>0</v>
      </c>
      <c r="BQ39" s="9">
        <v>0</v>
      </c>
      <c r="BR39" s="9">
        <v>0</v>
      </c>
      <c r="BS39" s="9">
        <v>0</v>
      </c>
      <c r="BT39" s="9">
        <v>0</v>
      </c>
      <c r="BU39" s="9">
        <v>0</v>
      </c>
      <c r="BV39" s="9">
        <v>0</v>
      </c>
      <c r="BW39" s="9">
        <v>0</v>
      </c>
      <c r="BX39" s="9">
        <v>0</v>
      </c>
      <c r="BY39" s="9">
        <v>0</v>
      </c>
      <c r="BZ39" s="9">
        <v>0</v>
      </c>
      <c r="CA39" s="9">
        <v>0</v>
      </c>
      <c r="CB39" s="9">
        <v>0</v>
      </c>
      <c r="CC39" s="9">
        <v>0</v>
      </c>
      <c r="CD39" s="9">
        <v>0</v>
      </c>
      <c r="CE39" s="9">
        <v>0</v>
      </c>
      <c r="CF39" s="9">
        <v>0</v>
      </c>
      <c r="CG39" s="9">
        <v>0</v>
      </c>
      <c r="CH39" s="9">
        <v>0</v>
      </c>
      <c r="CI39" s="9">
        <v>0</v>
      </c>
      <c r="CJ39" s="9">
        <v>0</v>
      </c>
      <c r="CK39" s="9">
        <v>0</v>
      </c>
      <c r="CL39" s="9">
        <v>0</v>
      </c>
      <c r="CM39" s="9">
        <v>0</v>
      </c>
      <c r="CN39" s="9">
        <v>0</v>
      </c>
      <c r="CO39" s="9">
        <v>0</v>
      </c>
      <c r="CP39" s="9">
        <v>0</v>
      </c>
      <c r="CQ39" s="9">
        <v>0</v>
      </c>
      <c r="CR39" s="9">
        <v>0</v>
      </c>
      <c r="CS39" s="9">
        <v>0</v>
      </c>
      <c r="CT39" s="9">
        <v>0</v>
      </c>
      <c r="CU39" s="9">
        <v>0</v>
      </c>
      <c r="CV39" s="9">
        <v>0</v>
      </c>
      <c r="CW39" s="9">
        <v>0</v>
      </c>
      <c r="CX39" s="9">
        <v>0</v>
      </c>
      <c r="CY39" s="9">
        <v>0</v>
      </c>
      <c r="CZ39" s="9">
        <v>0</v>
      </c>
      <c r="DA39" s="9">
        <v>0</v>
      </c>
      <c r="DB39" s="9">
        <v>0</v>
      </c>
      <c r="DC39" s="9">
        <v>0</v>
      </c>
      <c r="DD39" s="9">
        <v>0</v>
      </c>
      <c r="DE39" s="9">
        <v>0</v>
      </c>
      <c r="DF39" s="9">
        <v>0</v>
      </c>
      <c r="DG39" s="9">
        <v>0</v>
      </c>
      <c r="DH39" s="9">
        <v>0</v>
      </c>
      <c r="DI39" s="9">
        <v>0</v>
      </c>
      <c r="DJ39" s="9">
        <v>0</v>
      </c>
      <c r="DK39" s="9">
        <v>0</v>
      </c>
      <c r="DL39" s="9">
        <v>0</v>
      </c>
      <c r="DM39" s="9">
        <v>0</v>
      </c>
      <c r="DN39" s="9">
        <v>0</v>
      </c>
      <c r="DO39" s="9">
        <v>0</v>
      </c>
      <c r="DP39" s="9">
        <v>0</v>
      </c>
      <c r="DQ39" s="9">
        <v>0</v>
      </c>
      <c r="DR39" s="9">
        <v>0</v>
      </c>
      <c r="DS39" s="9">
        <v>0</v>
      </c>
      <c r="DT39" s="9">
        <v>0</v>
      </c>
      <c r="DU39" s="9">
        <v>0</v>
      </c>
      <c r="DV39" s="9">
        <v>0</v>
      </c>
      <c r="DW39" s="9">
        <v>0</v>
      </c>
      <c r="DX39" s="9">
        <v>0</v>
      </c>
      <c r="DY39" s="9">
        <v>0</v>
      </c>
      <c r="DZ39" s="9">
        <v>0</v>
      </c>
      <c r="EA39" s="9">
        <v>0</v>
      </c>
      <c r="EB39" s="9">
        <v>0</v>
      </c>
      <c r="EC39" s="9">
        <v>0</v>
      </c>
      <c r="ED39" s="9">
        <v>0</v>
      </c>
      <c r="EE39" s="9">
        <v>0</v>
      </c>
      <c r="EF39" s="9">
        <v>0</v>
      </c>
      <c r="EG39" s="9">
        <v>0</v>
      </c>
      <c r="EH39" s="9">
        <v>0</v>
      </c>
      <c r="EI39" s="10">
        <v>0</v>
      </c>
    </row>
    <row r="40" spans="1:139" x14ac:dyDescent="0.35">
      <c r="A40" s="8" t="s">
        <v>73</v>
      </c>
      <c r="B40" s="9" t="s">
        <v>78</v>
      </c>
      <c r="C40" s="9" t="s">
        <v>79</v>
      </c>
      <c r="D40" s="9">
        <f t="shared" si="0"/>
        <v>0</v>
      </c>
      <c r="E40" s="9">
        <v>0</v>
      </c>
      <c r="F40" s="9">
        <v>0</v>
      </c>
      <c r="G40" s="9">
        <v>0</v>
      </c>
      <c r="H40" s="9">
        <v>0</v>
      </c>
      <c r="I40" s="9">
        <v>0</v>
      </c>
      <c r="J40" s="9">
        <v>0</v>
      </c>
      <c r="K40" s="9">
        <v>0</v>
      </c>
      <c r="L40" s="9">
        <v>0</v>
      </c>
      <c r="M40" s="9">
        <v>0</v>
      </c>
      <c r="N40" s="9">
        <v>0</v>
      </c>
      <c r="O40" s="9">
        <v>0</v>
      </c>
      <c r="P40" s="9">
        <v>0</v>
      </c>
      <c r="Q40" s="9">
        <v>0</v>
      </c>
      <c r="R40" s="9">
        <v>0</v>
      </c>
      <c r="S40" s="9">
        <v>0</v>
      </c>
      <c r="T40" s="9">
        <v>0</v>
      </c>
      <c r="U40" s="9">
        <v>0</v>
      </c>
      <c r="V40" s="9">
        <v>0</v>
      </c>
      <c r="W40" s="9">
        <v>0</v>
      </c>
      <c r="X40" s="9">
        <v>0</v>
      </c>
      <c r="Y40" s="9">
        <v>0</v>
      </c>
      <c r="Z40" s="9">
        <v>0</v>
      </c>
      <c r="AA40" s="9">
        <v>0</v>
      </c>
      <c r="AB40" s="9">
        <v>0</v>
      </c>
      <c r="AC40" s="9">
        <v>0</v>
      </c>
      <c r="AD40" s="9">
        <v>0</v>
      </c>
      <c r="AE40" s="9">
        <v>0</v>
      </c>
      <c r="AF40" s="9">
        <v>0</v>
      </c>
      <c r="AG40" s="9">
        <v>0</v>
      </c>
      <c r="AH40" s="9">
        <v>0</v>
      </c>
      <c r="AI40" s="9">
        <v>0</v>
      </c>
      <c r="AJ40" s="9">
        <v>0</v>
      </c>
      <c r="AK40" s="9">
        <v>0</v>
      </c>
      <c r="AL40" s="9">
        <v>0</v>
      </c>
      <c r="AM40" s="9">
        <v>0</v>
      </c>
      <c r="AN40" s="9">
        <v>0</v>
      </c>
      <c r="AO40" s="9">
        <v>0</v>
      </c>
      <c r="AP40" s="9">
        <v>0</v>
      </c>
      <c r="AQ40" s="9">
        <v>0</v>
      </c>
      <c r="AR40" s="9">
        <v>0</v>
      </c>
      <c r="AS40" s="9">
        <v>0</v>
      </c>
      <c r="AT40" s="9">
        <v>0</v>
      </c>
      <c r="AU40" s="9">
        <v>0</v>
      </c>
      <c r="AV40" s="9">
        <v>0</v>
      </c>
      <c r="AW40" s="9">
        <v>0</v>
      </c>
      <c r="AX40" s="9">
        <v>0</v>
      </c>
      <c r="AY40" s="9">
        <v>0</v>
      </c>
      <c r="AZ40" s="9">
        <v>0</v>
      </c>
      <c r="BA40" s="9">
        <v>0</v>
      </c>
      <c r="BB40" s="9">
        <v>0</v>
      </c>
      <c r="BC40" s="9">
        <v>0</v>
      </c>
      <c r="BD40" s="9">
        <v>0</v>
      </c>
      <c r="BE40" s="9">
        <v>0</v>
      </c>
      <c r="BF40" s="9">
        <v>0</v>
      </c>
      <c r="BG40" s="9">
        <v>0</v>
      </c>
      <c r="BH40" s="9">
        <v>0</v>
      </c>
      <c r="BI40" s="9">
        <v>0</v>
      </c>
      <c r="BJ40" s="9">
        <v>0</v>
      </c>
      <c r="BK40" s="9">
        <v>0</v>
      </c>
      <c r="BL40" s="9">
        <v>0</v>
      </c>
      <c r="BM40" s="9">
        <v>0</v>
      </c>
      <c r="BN40" s="9">
        <v>0</v>
      </c>
      <c r="BO40" s="9">
        <v>0</v>
      </c>
      <c r="BP40" s="9">
        <v>0</v>
      </c>
      <c r="BQ40" s="9">
        <v>0</v>
      </c>
      <c r="BR40" s="9">
        <v>0</v>
      </c>
      <c r="BS40" s="9">
        <v>0</v>
      </c>
      <c r="BT40" s="9">
        <v>0</v>
      </c>
      <c r="BU40" s="9">
        <v>0</v>
      </c>
      <c r="BV40" s="9">
        <v>0</v>
      </c>
      <c r="BW40" s="9">
        <v>0</v>
      </c>
      <c r="BX40" s="9">
        <v>0</v>
      </c>
      <c r="BY40" s="9">
        <v>0</v>
      </c>
      <c r="BZ40" s="9">
        <v>0</v>
      </c>
      <c r="CA40" s="9">
        <v>0</v>
      </c>
      <c r="CB40" s="9">
        <v>0</v>
      </c>
      <c r="CC40" s="9">
        <v>0</v>
      </c>
      <c r="CD40" s="9">
        <v>0</v>
      </c>
      <c r="CE40" s="9">
        <v>0</v>
      </c>
      <c r="CF40" s="9">
        <v>0</v>
      </c>
      <c r="CG40" s="9">
        <v>0</v>
      </c>
      <c r="CH40" s="9">
        <v>0</v>
      </c>
      <c r="CI40" s="9">
        <v>0</v>
      </c>
      <c r="CJ40" s="9">
        <v>0</v>
      </c>
      <c r="CK40" s="9">
        <v>0</v>
      </c>
      <c r="CL40" s="9">
        <v>0</v>
      </c>
      <c r="CM40" s="9">
        <v>0</v>
      </c>
      <c r="CN40" s="9">
        <v>0</v>
      </c>
      <c r="CO40" s="9">
        <v>0</v>
      </c>
      <c r="CP40" s="9">
        <v>0</v>
      </c>
      <c r="CQ40" s="9">
        <v>0</v>
      </c>
      <c r="CR40" s="9">
        <v>0</v>
      </c>
      <c r="CS40" s="9">
        <v>0</v>
      </c>
      <c r="CT40" s="9">
        <v>0</v>
      </c>
      <c r="CU40" s="9">
        <v>0</v>
      </c>
      <c r="CV40" s="9">
        <v>0</v>
      </c>
      <c r="CW40" s="9">
        <v>0</v>
      </c>
      <c r="CX40" s="9">
        <v>0</v>
      </c>
      <c r="CY40" s="9">
        <v>0</v>
      </c>
      <c r="CZ40" s="9">
        <v>0</v>
      </c>
      <c r="DA40" s="9">
        <v>0</v>
      </c>
      <c r="DB40" s="9">
        <v>0</v>
      </c>
      <c r="DC40" s="9">
        <v>0</v>
      </c>
      <c r="DD40" s="9">
        <v>0</v>
      </c>
      <c r="DE40" s="9">
        <v>0</v>
      </c>
      <c r="DF40" s="9">
        <v>0</v>
      </c>
      <c r="DG40" s="9">
        <v>0</v>
      </c>
      <c r="DH40" s="9">
        <v>0</v>
      </c>
      <c r="DI40" s="9">
        <v>0</v>
      </c>
      <c r="DJ40" s="9">
        <v>0</v>
      </c>
      <c r="DK40" s="9">
        <v>0</v>
      </c>
      <c r="DL40" s="9">
        <v>0</v>
      </c>
      <c r="DM40" s="9">
        <v>0</v>
      </c>
      <c r="DN40" s="9">
        <v>0</v>
      </c>
      <c r="DO40" s="9">
        <v>0</v>
      </c>
      <c r="DP40" s="9">
        <v>0</v>
      </c>
      <c r="DQ40" s="9">
        <v>0</v>
      </c>
      <c r="DR40" s="9">
        <v>0</v>
      </c>
      <c r="DS40" s="9">
        <v>0</v>
      </c>
      <c r="DT40" s="9">
        <v>0</v>
      </c>
      <c r="DU40" s="9">
        <v>0</v>
      </c>
      <c r="DV40" s="9">
        <v>0</v>
      </c>
      <c r="DW40" s="9">
        <v>0</v>
      </c>
      <c r="DX40" s="9">
        <v>0</v>
      </c>
      <c r="DY40" s="9">
        <v>0</v>
      </c>
      <c r="DZ40" s="9">
        <v>0</v>
      </c>
      <c r="EA40" s="9">
        <v>0</v>
      </c>
      <c r="EB40" s="9">
        <v>0</v>
      </c>
      <c r="EC40" s="9">
        <v>0</v>
      </c>
      <c r="ED40" s="9">
        <v>0</v>
      </c>
      <c r="EE40" s="9">
        <v>0</v>
      </c>
      <c r="EF40" s="9">
        <v>0</v>
      </c>
      <c r="EG40" s="9">
        <v>0</v>
      </c>
      <c r="EH40" s="9">
        <v>0</v>
      </c>
      <c r="EI40" s="10">
        <v>0</v>
      </c>
    </row>
    <row r="41" spans="1:139" x14ac:dyDescent="0.35">
      <c r="A41" s="8" t="s">
        <v>73</v>
      </c>
      <c r="B41" s="9" t="s">
        <v>80</v>
      </c>
      <c r="C41" s="9" t="s">
        <v>81</v>
      </c>
      <c r="D41" s="9">
        <f t="shared" si="0"/>
        <v>0</v>
      </c>
      <c r="E41" s="9">
        <v>0</v>
      </c>
      <c r="F41" s="9">
        <v>0</v>
      </c>
      <c r="G41" s="9">
        <v>0</v>
      </c>
      <c r="H41" s="9">
        <v>0</v>
      </c>
      <c r="I41" s="9">
        <v>0</v>
      </c>
      <c r="J41" s="9">
        <v>0</v>
      </c>
      <c r="K41" s="9">
        <v>0</v>
      </c>
      <c r="L41" s="9">
        <v>0</v>
      </c>
      <c r="M41" s="9">
        <v>0</v>
      </c>
      <c r="N41" s="9">
        <v>0</v>
      </c>
      <c r="O41" s="9">
        <v>0</v>
      </c>
      <c r="P41" s="9">
        <v>0</v>
      </c>
      <c r="Q41" s="9">
        <v>0</v>
      </c>
      <c r="R41" s="9">
        <v>0</v>
      </c>
      <c r="S41" s="9">
        <v>0</v>
      </c>
      <c r="T41" s="9">
        <v>0</v>
      </c>
      <c r="U41" s="9">
        <v>0</v>
      </c>
      <c r="V41" s="9">
        <v>0</v>
      </c>
      <c r="W41" s="9">
        <v>0</v>
      </c>
      <c r="X41" s="9">
        <v>0</v>
      </c>
      <c r="Y41" s="9">
        <v>0</v>
      </c>
      <c r="Z41" s="9">
        <v>0</v>
      </c>
      <c r="AA41" s="9">
        <v>0</v>
      </c>
      <c r="AB41" s="9">
        <v>0</v>
      </c>
      <c r="AC41" s="9">
        <v>0</v>
      </c>
      <c r="AD41" s="9">
        <v>0</v>
      </c>
      <c r="AE41" s="9">
        <v>0</v>
      </c>
      <c r="AF41" s="9">
        <v>0</v>
      </c>
      <c r="AG41" s="9">
        <v>0</v>
      </c>
      <c r="AH41" s="9">
        <v>0</v>
      </c>
      <c r="AI41" s="9">
        <v>0</v>
      </c>
      <c r="AJ41" s="9">
        <v>0</v>
      </c>
      <c r="AK41" s="9">
        <v>0</v>
      </c>
      <c r="AL41" s="9">
        <v>0</v>
      </c>
      <c r="AM41" s="9">
        <v>0</v>
      </c>
      <c r="AN41" s="9">
        <v>0</v>
      </c>
      <c r="AO41" s="9">
        <v>0</v>
      </c>
      <c r="AP41" s="9">
        <v>0</v>
      </c>
      <c r="AQ41" s="9">
        <v>0</v>
      </c>
      <c r="AR41" s="9">
        <v>0</v>
      </c>
      <c r="AS41" s="9">
        <v>0</v>
      </c>
      <c r="AT41" s="9">
        <v>0</v>
      </c>
      <c r="AU41" s="9">
        <v>0</v>
      </c>
      <c r="AV41" s="9">
        <v>0</v>
      </c>
      <c r="AW41" s="9">
        <v>0</v>
      </c>
      <c r="AX41" s="9">
        <v>0</v>
      </c>
      <c r="AY41" s="9">
        <v>0</v>
      </c>
      <c r="AZ41" s="9">
        <v>0</v>
      </c>
      <c r="BA41" s="9">
        <v>0</v>
      </c>
      <c r="BB41" s="9">
        <v>0</v>
      </c>
      <c r="BC41" s="9">
        <v>0</v>
      </c>
      <c r="BD41" s="9">
        <v>0</v>
      </c>
      <c r="BE41" s="9">
        <v>0</v>
      </c>
      <c r="BF41" s="9">
        <v>0</v>
      </c>
      <c r="BG41" s="9">
        <v>0</v>
      </c>
      <c r="BH41" s="9">
        <v>0</v>
      </c>
      <c r="BI41" s="9">
        <v>0</v>
      </c>
      <c r="BJ41" s="9">
        <v>0</v>
      </c>
      <c r="BK41" s="9">
        <v>0</v>
      </c>
      <c r="BL41" s="9">
        <v>0</v>
      </c>
      <c r="BM41" s="9">
        <v>0</v>
      </c>
      <c r="BN41" s="9">
        <v>0</v>
      </c>
      <c r="BO41" s="9">
        <v>0</v>
      </c>
      <c r="BP41" s="9">
        <v>0</v>
      </c>
      <c r="BQ41" s="9">
        <v>0</v>
      </c>
      <c r="BR41" s="9">
        <v>0</v>
      </c>
      <c r="BS41" s="9">
        <v>0</v>
      </c>
      <c r="BT41" s="9">
        <v>0</v>
      </c>
      <c r="BU41" s="9">
        <v>0</v>
      </c>
      <c r="BV41" s="9">
        <v>0</v>
      </c>
      <c r="BW41" s="9">
        <v>0</v>
      </c>
      <c r="BX41" s="9">
        <v>0</v>
      </c>
      <c r="BY41" s="9">
        <v>0</v>
      </c>
      <c r="BZ41" s="9">
        <v>0</v>
      </c>
      <c r="CA41" s="9">
        <v>0</v>
      </c>
      <c r="CB41" s="9">
        <v>0</v>
      </c>
      <c r="CC41" s="9">
        <v>0</v>
      </c>
      <c r="CD41" s="9">
        <v>0</v>
      </c>
      <c r="CE41" s="9">
        <v>0</v>
      </c>
      <c r="CF41" s="9">
        <v>0</v>
      </c>
      <c r="CG41" s="9">
        <v>0</v>
      </c>
      <c r="CH41" s="9">
        <v>0</v>
      </c>
      <c r="CI41" s="9">
        <v>0</v>
      </c>
      <c r="CJ41" s="9">
        <v>0</v>
      </c>
      <c r="CK41" s="9">
        <v>0</v>
      </c>
      <c r="CL41" s="9">
        <v>0</v>
      </c>
      <c r="CM41" s="9">
        <v>0</v>
      </c>
      <c r="CN41" s="9">
        <v>0</v>
      </c>
      <c r="CO41" s="9">
        <v>0</v>
      </c>
      <c r="CP41" s="9">
        <v>0</v>
      </c>
      <c r="CQ41" s="9">
        <v>0</v>
      </c>
      <c r="CR41" s="9">
        <v>0</v>
      </c>
      <c r="CS41" s="9">
        <v>0</v>
      </c>
      <c r="CT41" s="9">
        <v>0</v>
      </c>
      <c r="CU41" s="9">
        <v>0</v>
      </c>
      <c r="CV41" s="9">
        <v>0</v>
      </c>
      <c r="CW41" s="9">
        <v>0</v>
      </c>
      <c r="CX41" s="9">
        <v>0</v>
      </c>
      <c r="CY41" s="9">
        <v>0</v>
      </c>
      <c r="CZ41" s="9">
        <v>0</v>
      </c>
      <c r="DA41" s="9">
        <v>0</v>
      </c>
      <c r="DB41" s="9">
        <v>0</v>
      </c>
      <c r="DC41" s="9">
        <v>0</v>
      </c>
      <c r="DD41" s="9">
        <v>0</v>
      </c>
      <c r="DE41" s="9">
        <v>0</v>
      </c>
      <c r="DF41" s="9">
        <v>0</v>
      </c>
      <c r="DG41" s="9">
        <v>0</v>
      </c>
      <c r="DH41" s="9">
        <v>0</v>
      </c>
      <c r="DI41" s="9">
        <v>0</v>
      </c>
      <c r="DJ41" s="9">
        <v>0</v>
      </c>
      <c r="DK41" s="9">
        <v>0</v>
      </c>
      <c r="DL41" s="9">
        <v>0</v>
      </c>
      <c r="DM41" s="9">
        <v>0</v>
      </c>
      <c r="DN41" s="9">
        <v>0</v>
      </c>
      <c r="DO41" s="9">
        <v>0</v>
      </c>
      <c r="DP41" s="9">
        <v>0</v>
      </c>
      <c r="DQ41" s="9">
        <v>0</v>
      </c>
      <c r="DR41" s="9">
        <v>0</v>
      </c>
      <c r="DS41" s="9">
        <v>0</v>
      </c>
      <c r="DT41" s="9">
        <v>0</v>
      </c>
      <c r="DU41" s="9">
        <v>0</v>
      </c>
      <c r="DV41" s="9">
        <v>0</v>
      </c>
      <c r="DW41" s="9">
        <v>0</v>
      </c>
      <c r="DX41" s="9">
        <v>0</v>
      </c>
      <c r="DY41" s="9">
        <v>0</v>
      </c>
      <c r="DZ41" s="9">
        <v>0</v>
      </c>
      <c r="EA41" s="9">
        <v>0</v>
      </c>
      <c r="EB41" s="9">
        <v>0</v>
      </c>
      <c r="EC41" s="9">
        <v>0</v>
      </c>
      <c r="ED41" s="9">
        <v>0</v>
      </c>
      <c r="EE41" s="9">
        <v>0</v>
      </c>
      <c r="EF41" s="9">
        <v>0</v>
      </c>
      <c r="EG41" s="9">
        <v>0</v>
      </c>
      <c r="EH41" s="9">
        <v>0</v>
      </c>
      <c r="EI41" s="10">
        <v>0</v>
      </c>
    </row>
    <row r="42" spans="1:139" x14ac:dyDescent="0.35">
      <c r="A42" s="8" t="s">
        <v>73</v>
      </c>
      <c r="B42" s="9" t="s">
        <v>82</v>
      </c>
      <c r="C42" s="9" t="s">
        <v>83</v>
      </c>
      <c r="D42" s="9">
        <f t="shared" si="0"/>
        <v>0</v>
      </c>
      <c r="E42" s="9">
        <v>0</v>
      </c>
      <c r="F42" s="9">
        <v>0</v>
      </c>
      <c r="G42" s="9">
        <v>0</v>
      </c>
      <c r="H42" s="9">
        <v>0</v>
      </c>
      <c r="I42" s="9">
        <v>0</v>
      </c>
      <c r="J42" s="9">
        <v>0</v>
      </c>
      <c r="K42" s="9">
        <v>0</v>
      </c>
      <c r="L42" s="9">
        <v>0</v>
      </c>
      <c r="M42" s="9">
        <v>0</v>
      </c>
      <c r="N42" s="9">
        <v>0</v>
      </c>
      <c r="O42" s="9">
        <v>0</v>
      </c>
      <c r="P42" s="9">
        <v>0</v>
      </c>
      <c r="Q42" s="9">
        <v>0</v>
      </c>
      <c r="R42" s="9">
        <v>0</v>
      </c>
      <c r="S42" s="9">
        <v>0</v>
      </c>
      <c r="T42" s="9">
        <v>0</v>
      </c>
      <c r="U42" s="9">
        <v>0</v>
      </c>
      <c r="V42" s="9">
        <v>0</v>
      </c>
      <c r="W42" s="9">
        <v>0</v>
      </c>
      <c r="X42" s="9">
        <v>0</v>
      </c>
      <c r="Y42" s="9">
        <v>0</v>
      </c>
      <c r="Z42" s="9">
        <v>0</v>
      </c>
      <c r="AA42" s="9">
        <v>0</v>
      </c>
      <c r="AB42" s="9">
        <v>0</v>
      </c>
      <c r="AC42" s="9">
        <v>0</v>
      </c>
      <c r="AD42" s="9">
        <v>0</v>
      </c>
      <c r="AE42" s="9">
        <v>0</v>
      </c>
      <c r="AF42" s="9">
        <v>0</v>
      </c>
      <c r="AG42" s="9">
        <v>0</v>
      </c>
      <c r="AH42" s="9">
        <v>0</v>
      </c>
      <c r="AI42" s="9">
        <v>0</v>
      </c>
      <c r="AJ42" s="9">
        <v>0</v>
      </c>
      <c r="AK42" s="9">
        <v>0</v>
      </c>
      <c r="AL42" s="9">
        <v>0</v>
      </c>
      <c r="AM42" s="9">
        <v>0</v>
      </c>
      <c r="AN42" s="9">
        <v>0</v>
      </c>
      <c r="AO42" s="9">
        <v>0</v>
      </c>
      <c r="AP42" s="9">
        <v>0</v>
      </c>
      <c r="AQ42" s="9">
        <v>0</v>
      </c>
      <c r="AR42" s="9">
        <v>0</v>
      </c>
      <c r="AS42" s="9">
        <v>0</v>
      </c>
      <c r="AT42" s="9">
        <v>0</v>
      </c>
      <c r="AU42" s="9">
        <v>0</v>
      </c>
      <c r="AV42" s="9">
        <v>0</v>
      </c>
      <c r="AW42" s="9">
        <v>0</v>
      </c>
      <c r="AX42" s="9">
        <v>0</v>
      </c>
      <c r="AY42" s="9">
        <v>0</v>
      </c>
      <c r="AZ42" s="9">
        <v>0</v>
      </c>
      <c r="BA42" s="9">
        <v>0</v>
      </c>
      <c r="BB42" s="9">
        <v>0</v>
      </c>
      <c r="BC42" s="9">
        <v>0</v>
      </c>
      <c r="BD42" s="9">
        <v>0</v>
      </c>
      <c r="BE42" s="9">
        <v>0</v>
      </c>
      <c r="BF42" s="9">
        <v>0</v>
      </c>
      <c r="BG42" s="9">
        <v>0</v>
      </c>
      <c r="BH42" s="9">
        <v>0</v>
      </c>
      <c r="BI42" s="9">
        <v>0</v>
      </c>
      <c r="BJ42" s="9">
        <v>0</v>
      </c>
      <c r="BK42" s="9">
        <v>0</v>
      </c>
      <c r="BL42" s="9">
        <v>0</v>
      </c>
      <c r="BM42" s="9">
        <v>0</v>
      </c>
      <c r="BN42" s="9">
        <v>0</v>
      </c>
      <c r="BO42" s="9">
        <v>0</v>
      </c>
      <c r="BP42" s="9">
        <v>0</v>
      </c>
      <c r="BQ42" s="9">
        <v>0</v>
      </c>
      <c r="BR42" s="9">
        <v>0</v>
      </c>
      <c r="BS42" s="9">
        <v>0</v>
      </c>
      <c r="BT42" s="9">
        <v>0</v>
      </c>
      <c r="BU42" s="9">
        <v>0</v>
      </c>
      <c r="BV42" s="9">
        <v>0</v>
      </c>
      <c r="BW42" s="9">
        <v>0</v>
      </c>
      <c r="BX42" s="9">
        <v>0</v>
      </c>
      <c r="BY42" s="9">
        <v>0</v>
      </c>
      <c r="BZ42" s="9">
        <v>0</v>
      </c>
      <c r="CA42" s="9">
        <v>0</v>
      </c>
      <c r="CB42" s="9">
        <v>0</v>
      </c>
      <c r="CC42" s="9">
        <v>0</v>
      </c>
      <c r="CD42" s="9">
        <v>0</v>
      </c>
      <c r="CE42" s="9">
        <v>0</v>
      </c>
      <c r="CF42" s="9">
        <v>0</v>
      </c>
      <c r="CG42" s="9">
        <v>0</v>
      </c>
      <c r="CH42" s="9">
        <v>0</v>
      </c>
      <c r="CI42" s="9">
        <v>0</v>
      </c>
      <c r="CJ42" s="9">
        <v>0</v>
      </c>
      <c r="CK42" s="9">
        <v>0</v>
      </c>
      <c r="CL42" s="9">
        <v>0</v>
      </c>
      <c r="CM42" s="9">
        <v>0</v>
      </c>
      <c r="CN42" s="9">
        <v>0</v>
      </c>
      <c r="CO42" s="9">
        <v>0</v>
      </c>
      <c r="CP42" s="9">
        <v>0</v>
      </c>
      <c r="CQ42" s="9">
        <v>0</v>
      </c>
      <c r="CR42" s="9">
        <v>0</v>
      </c>
      <c r="CS42" s="9">
        <v>0</v>
      </c>
      <c r="CT42" s="9">
        <v>0</v>
      </c>
      <c r="CU42" s="9">
        <v>0</v>
      </c>
      <c r="CV42" s="9">
        <v>0</v>
      </c>
      <c r="CW42" s="9">
        <v>0</v>
      </c>
      <c r="CX42" s="9">
        <v>0</v>
      </c>
      <c r="CY42" s="9">
        <v>0</v>
      </c>
      <c r="CZ42" s="9">
        <v>0</v>
      </c>
      <c r="DA42" s="9">
        <v>0</v>
      </c>
      <c r="DB42" s="9">
        <v>0</v>
      </c>
      <c r="DC42" s="9">
        <v>0</v>
      </c>
      <c r="DD42" s="9">
        <v>0</v>
      </c>
      <c r="DE42" s="9">
        <v>0</v>
      </c>
      <c r="DF42" s="9">
        <v>0</v>
      </c>
      <c r="DG42" s="9">
        <v>0</v>
      </c>
      <c r="DH42" s="9">
        <v>0</v>
      </c>
      <c r="DI42" s="9">
        <v>0</v>
      </c>
      <c r="DJ42" s="9">
        <v>0</v>
      </c>
      <c r="DK42" s="9">
        <v>0</v>
      </c>
      <c r="DL42" s="9">
        <v>0</v>
      </c>
      <c r="DM42" s="9">
        <v>0</v>
      </c>
      <c r="DN42" s="9">
        <v>0</v>
      </c>
      <c r="DO42" s="9">
        <v>0</v>
      </c>
      <c r="DP42" s="9">
        <v>0</v>
      </c>
      <c r="DQ42" s="9">
        <v>0</v>
      </c>
      <c r="DR42" s="9">
        <v>0</v>
      </c>
      <c r="DS42" s="9">
        <v>0</v>
      </c>
      <c r="DT42" s="9">
        <v>0</v>
      </c>
      <c r="DU42" s="9">
        <v>0</v>
      </c>
      <c r="DV42" s="9">
        <v>0</v>
      </c>
      <c r="DW42" s="9">
        <v>0</v>
      </c>
      <c r="DX42" s="9">
        <v>0</v>
      </c>
      <c r="DY42" s="9">
        <v>0</v>
      </c>
      <c r="DZ42" s="9">
        <v>0</v>
      </c>
      <c r="EA42" s="9">
        <v>0</v>
      </c>
      <c r="EB42" s="9">
        <v>0</v>
      </c>
      <c r="EC42" s="9">
        <v>0</v>
      </c>
      <c r="ED42" s="9">
        <v>0</v>
      </c>
      <c r="EE42" s="9">
        <v>0</v>
      </c>
      <c r="EF42" s="9">
        <v>0</v>
      </c>
      <c r="EG42" s="9">
        <v>0</v>
      </c>
      <c r="EH42" s="9">
        <v>0</v>
      </c>
      <c r="EI42" s="10">
        <v>0</v>
      </c>
    </row>
    <row r="43" spans="1:139" x14ac:dyDescent="0.35">
      <c r="A43" s="8" t="s">
        <v>73</v>
      </c>
      <c r="B43" s="9" t="s">
        <v>84</v>
      </c>
      <c r="C43" s="9" t="s">
        <v>85</v>
      </c>
      <c r="D43" s="9">
        <f t="shared" si="0"/>
        <v>0</v>
      </c>
      <c r="E43" s="9">
        <v>0</v>
      </c>
      <c r="F43" s="9">
        <v>0</v>
      </c>
      <c r="G43" s="9">
        <v>0</v>
      </c>
      <c r="H43" s="9">
        <v>0</v>
      </c>
      <c r="I43" s="9">
        <v>0</v>
      </c>
      <c r="J43" s="9">
        <v>0</v>
      </c>
      <c r="K43" s="9">
        <v>0</v>
      </c>
      <c r="L43" s="9">
        <v>0</v>
      </c>
      <c r="M43" s="9">
        <v>0</v>
      </c>
      <c r="N43" s="9">
        <v>0</v>
      </c>
      <c r="O43" s="9">
        <v>0</v>
      </c>
      <c r="P43" s="9">
        <v>0</v>
      </c>
      <c r="Q43" s="9">
        <v>0</v>
      </c>
      <c r="R43" s="9">
        <v>0</v>
      </c>
      <c r="S43" s="9">
        <v>0</v>
      </c>
      <c r="T43" s="9">
        <v>0</v>
      </c>
      <c r="U43" s="9">
        <v>0</v>
      </c>
      <c r="V43" s="9">
        <v>0</v>
      </c>
      <c r="W43" s="9">
        <v>0</v>
      </c>
      <c r="X43" s="9">
        <v>0</v>
      </c>
      <c r="Y43" s="9">
        <v>0</v>
      </c>
      <c r="Z43" s="9">
        <v>0</v>
      </c>
      <c r="AA43" s="9">
        <v>0</v>
      </c>
      <c r="AB43" s="9">
        <v>0</v>
      </c>
      <c r="AC43" s="9">
        <v>0</v>
      </c>
      <c r="AD43" s="9">
        <v>0</v>
      </c>
      <c r="AE43" s="9">
        <v>0</v>
      </c>
      <c r="AF43" s="9">
        <v>0</v>
      </c>
      <c r="AG43" s="9">
        <v>0</v>
      </c>
      <c r="AH43" s="9">
        <v>0</v>
      </c>
      <c r="AI43" s="9">
        <v>0</v>
      </c>
      <c r="AJ43" s="9">
        <v>0</v>
      </c>
      <c r="AK43" s="9">
        <v>0</v>
      </c>
      <c r="AL43" s="9">
        <v>0</v>
      </c>
      <c r="AM43" s="9">
        <v>0</v>
      </c>
      <c r="AN43" s="9">
        <v>0</v>
      </c>
      <c r="AO43" s="9">
        <v>0</v>
      </c>
      <c r="AP43" s="9">
        <v>0</v>
      </c>
      <c r="AQ43" s="9">
        <v>0</v>
      </c>
      <c r="AR43" s="9">
        <v>0</v>
      </c>
      <c r="AS43" s="9">
        <v>0</v>
      </c>
      <c r="AT43" s="9">
        <v>0</v>
      </c>
      <c r="AU43" s="9">
        <v>0</v>
      </c>
      <c r="AV43" s="9">
        <v>0</v>
      </c>
      <c r="AW43" s="9">
        <v>0</v>
      </c>
      <c r="AX43" s="9">
        <v>0</v>
      </c>
      <c r="AY43" s="9">
        <v>0</v>
      </c>
      <c r="AZ43" s="9">
        <v>0</v>
      </c>
      <c r="BA43" s="9">
        <v>0</v>
      </c>
      <c r="BB43" s="9">
        <v>0</v>
      </c>
      <c r="BC43" s="9">
        <v>0</v>
      </c>
      <c r="BD43" s="9">
        <v>0</v>
      </c>
      <c r="BE43" s="9">
        <v>0</v>
      </c>
      <c r="BF43" s="9">
        <v>0</v>
      </c>
      <c r="BG43" s="9">
        <v>0</v>
      </c>
      <c r="BH43" s="9">
        <v>0</v>
      </c>
      <c r="BI43" s="9">
        <v>0</v>
      </c>
      <c r="BJ43" s="9">
        <v>0</v>
      </c>
      <c r="BK43" s="9">
        <v>0</v>
      </c>
      <c r="BL43" s="9">
        <v>0</v>
      </c>
      <c r="BM43" s="9">
        <v>0</v>
      </c>
      <c r="BN43" s="9">
        <v>0</v>
      </c>
      <c r="BO43" s="9">
        <v>0</v>
      </c>
      <c r="BP43" s="9">
        <v>0</v>
      </c>
      <c r="BQ43" s="9">
        <v>0</v>
      </c>
      <c r="BR43" s="9">
        <v>0</v>
      </c>
      <c r="BS43" s="9">
        <v>0</v>
      </c>
      <c r="BT43" s="9">
        <v>0</v>
      </c>
      <c r="BU43" s="9">
        <v>0</v>
      </c>
      <c r="BV43" s="9">
        <v>0</v>
      </c>
      <c r="BW43" s="9">
        <v>0</v>
      </c>
      <c r="BX43" s="9">
        <v>0</v>
      </c>
      <c r="BY43" s="9">
        <v>0</v>
      </c>
      <c r="BZ43" s="9">
        <v>0</v>
      </c>
      <c r="CA43" s="9">
        <v>0</v>
      </c>
      <c r="CB43" s="9">
        <v>0</v>
      </c>
      <c r="CC43" s="9">
        <v>0</v>
      </c>
      <c r="CD43" s="9">
        <v>0</v>
      </c>
      <c r="CE43" s="9">
        <v>0</v>
      </c>
      <c r="CF43" s="9">
        <v>0</v>
      </c>
      <c r="CG43" s="9">
        <v>0</v>
      </c>
      <c r="CH43" s="9">
        <v>0</v>
      </c>
      <c r="CI43" s="9">
        <v>0</v>
      </c>
      <c r="CJ43" s="9">
        <v>0</v>
      </c>
      <c r="CK43" s="9">
        <v>0</v>
      </c>
      <c r="CL43" s="9">
        <v>0</v>
      </c>
      <c r="CM43" s="9">
        <v>0</v>
      </c>
      <c r="CN43" s="9">
        <v>0</v>
      </c>
      <c r="CO43" s="9">
        <v>0</v>
      </c>
      <c r="CP43" s="9">
        <v>0</v>
      </c>
      <c r="CQ43" s="9">
        <v>0</v>
      </c>
      <c r="CR43" s="9">
        <v>0</v>
      </c>
      <c r="CS43" s="9">
        <v>0</v>
      </c>
      <c r="CT43" s="9">
        <v>0</v>
      </c>
      <c r="CU43" s="9">
        <v>0</v>
      </c>
      <c r="CV43" s="9">
        <v>0</v>
      </c>
      <c r="CW43" s="9">
        <v>0</v>
      </c>
      <c r="CX43" s="9">
        <v>0</v>
      </c>
      <c r="CY43" s="9">
        <v>0</v>
      </c>
      <c r="CZ43" s="9">
        <v>0</v>
      </c>
      <c r="DA43" s="9">
        <v>0</v>
      </c>
      <c r="DB43" s="9">
        <v>0</v>
      </c>
      <c r="DC43" s="9">
        <v>0</v>
      </c>
      <c r="DD43" s="9">
        <v>0</v>
      </c>
      <c r="DE43" s="9">
        <v>0</v>
      </c>
      <c r="DF43" s="9">
        <v>0</v>
      </c>
      <c r="DG43" s="9">
        <v>0</v>
      </c>
      <c r="DH43" s="9">
        <v>0</v>
      </c>
      <c r="DI43" s="9">
        <v>0</v>
      </c>
      <c r="DJ43" s="9">
        <v>0</v>
      </c>
      <c r="DK43" s="9">
        <v>0</v>
      </c>
      <c r="DL43" s="9">
        <v>0</v>
      </c>
      <c r="DM43" s="9">
        <v>0</v>
      </c>
      <c r="DN43" s="9">
        <v>0</v>
      </c>
      <c r="DO43" s="9">
        <v>0</v>
      </c>
      <c r="DP43" s="9">
        <v>0</v>
      </c>
      <c r="DQ43" s="9">
        <v>0</v>
      </c>
      <c r="DR43" s="9">
        <v>0</v>
      </c>
      <c r="DS43" s="9">
        <v>0</v>
      </c>
      <c r="DT43" s="9">
        <v>0</v>
      </c>
      <c r="DU43" s="9">
        <v>0</v>
      </c>
      <c r="DV43" s="9">
        <v>0</v>
      </c>
      <c r="DW43" s="9">
        <v>0</v>
      </c>
      <c r="DX43" s="9">
        <v>0</v>
      </c>
      <c r="DY43" s="9">
        <v>0</v>
      </c>
      <c r="DZ43" s="9">
        <v>0</v>
      </c>
      <c r="EA43" s="9">
        <v>0</v>
      </c>
      <c r="EB43" s="9">
        <v>0</v>
      </c>
      <c r="EC43" s="9">
        <v>0</v>
      </c>
      <c r="ED43" s="9">
        <v>0</v>
      </c>
      <c r="EE43" s="9">
        <v>0</v>
      </c>
      <c r="EF43" s="9">
        <v>0</v>
      </c>
      <c r="EG43" s="9">
        <v>0</v>
      </c>
      <c r="EH43" s="9">
        <v>0</v>
      </c>
      <c r="EI43" s="10">
        <v>0</v>
      </c>
    </row>
    <row r="44" spans="1:139" x14ac:dyDescent="0.35">
      <c r="A44" s="8" t="s">
        <v>73</v>
      </c>
      <c r="B44" s="9" t="s">
        <v>7</v>
      </c>
      <c r="C44" s="9" t="s">
        <v>8</v>
      </c>
      <c r="D44" s="9">
        <f t="shared" si="0"/>
        <v>0</v>
      </c>
      <c r="E44" s="9">
        <v>0</v>
      </c>
      <c r="F44" s="9">
        <v>0</v>
      </c>
      <c r="G44" s="9">
        <v>0</v>
      </c>
      <c r="H44" s="9">
        <v>0</v>
      </c>
      <c r="I44" s="9">
        <v>0</v>
      </c>
      <c r="J44" s="9">
        <v>0</v>
      </c>
      <c r="K44" s="9">
        <v>0</v>
      </c>
      <c r="L44" s="9">
        <v>0</v>
      </c>
      <c r="M44" s="9">
        <v>0</v>
      </c>
      <c r="N44" s="9">
        <v>0</v>
      </c>
      <c r="O44" s="9">
        <v>0</v>
      </c>
      <c r="P44" s="9">
        <v>0</v>
      </c>
      <c r="Q44" s="9">
        <v>0</v>
      </c>
      <c r="R44" s="9">
        <v>0</v>
      </c>
      <c r="S44" s="9">
        <v>0</v>
      </c>
      <c r="T44" s="9">
        <v>0</v>
      </c>
      <c r="U44" s="9">
        <v>0</v>
      </c>
      <c r="V44" s="9">
        <v>0</v>
      </c>
      <c r="W44" s="9">
        <v>0</v>
      </c>
      <c r="X44" s="9">
        <v>0</v>
      </c>
      <c r="Y44" s="9">
        <v>0</v>
      </c>
      <c r="Z44" s="9">
        <v>0</v>
      </c>
      <c r="AA44" s="9">
        <v>0</v>
      </c>
      <c r="AB44" s="9">
        <v>0</v>
      </c>
      <c r="AC44" s="9">
        <v>0</v>
      </c>
      <c r="AD44" s="9">
        <v>0</v>
      </c>
      <c r="AE44" s="9">
        <v>0</v>
      </c>
      <c r="AF44" s="9">
        <v>0</v>
      </c>
      <c r="AG44" s="9">
        <v>0</v>
      </c>
      <c r="AH44" s="9">
        <v>0</v>
      </c>
      <c r="AI44" s="9">
        <v>0</v>
      </c>
      <c r="AJ44" s="9">
        <v>0</v>
      </c>
      <c r="AK44" s="9">
        <v>0</v>
      </c>
      <c r="AL44" s="9">
        <v>0</v>
      </c>
      <c r="AM44" s="9">
        <v>0</v>
      </c>
      <c r="AN44" s="9">
        <v>0</v>
      </c>
      <c r="AO44" s="9">
        <v>0</v>
      </c>
      <c r="AP44" s="9">
        <v>0</v>
      </c>
      <c r="AQ44" s="9">
        <v>0</v>
      </c>
      <c r="AR44" s="9">
        <v>0</v>
      </c>
      <c r="AS44" s="9">
        <v>0</v>
      </c>
      <c r="AT44" s="9">
        <v>0</v>
      </c>
      <c r="AU44" s="9">
        <v>0</v>
      </c>
      <c r="AV44" s="9">
        <v>0</v>
      </c>
      <c r="AW44" s="9">
        <v>0</v>
      </c>
      <c r="AX44" s="9">
        <v>0</v>
      </c>
      <c r="AY44" s="9">
        <v>0</v>
      </c>
      <c r="AZ44" s="9">
        <v>0</v>
      </c>
      <c r="BA44" s="9">
        <v>0</v>
      </c>
      <c r="BB44" s="9">
        <v>0</v>
      </c>
      <c r="BC44" s="9">
        <v>0</v>
      </c>
      <c r="BD44" s="9">
        <v>0</v>
      </c>
      <c r="BE44" s="9">
        <v>0</v>
      </c>
      <c r="BF44" s="9">
        <v>0</v>
      </c>
      <c r="BG44" s="9">
        <v>0</v>
      </c>
      <c r="BH44" s="9">
        <v>0</v>
      </c>
      <c r="BI44" s="9">
        <v>0</v>
      </c>
      <c r="BJ44" s="9">
        <v>0</v>
      </c>
      <c r="BK44" s="9">
        <v>0</v>
      </c>
      <c r="BL44" s="9">
        <v>0</v>
      </c>
      <c r="BM44" s="9">
        <v>0</v>
      </c>
      <c r="BN44" s="9">
        <v>0</v>
      </c>
      <c r="BO44" s="9">
        <v>0</v>
      </c>
      <c r="BP44" s="9">
        <v>0</v>
      </c>
      <c r="BQ44" s="9">
        <v>0</v>
      </c>
      <c r="BR44" s="9">
        <v>0</v>
      </c>
      <c r="BS44" s="9">
        <v>0</v>
      </c>
      <c r="BT44" s="9">
        <v>0</v>
      </c>
      <c r="BU44" s="9">
        <v>0</v>
      </c>
      <c r="BV44" s="9">
        <v>0</v>
      </c>
      <c r="BW44" s="9">
        <v>0</v>
      </c>
      <c r="BX44" s="9">
        <v>0</v>
      </c>
      <c r="BY44" s="9">
        <v>0</v>
      </c>
      <c r="BZ44" s="9">
        <v>0</v>
      </c>
      <c r="CA44" s="9">
        <v>0</v>
      </c>
      <c r="CB44" s="9">
        <v>0</v>
      </c>
      <c r="CC44" s="9">
        <v>0</v>
      </c>
      <c r="CD44" s="9">
        <v>0</v>
      </c>
      <c r="CE44" s="9">
        <v>0</v>
      </c>
      <c r="CF44" s="9">
        <v>0</v>
      </c>
      <c r="CG44" s="9">
        <v>0</v>
      </c>
      <c r="CH44" s="9">
        <v>0</v>
      </c>
      <c r="CI44" s="9">
        <v>0</v>
      </c>
      <c r="CJ44" s="9">
        <v>0</v>
      </c>
      <c r="CK44" s="9">
        <v>0</v>
      </c>
      <c r="CL44" s="9">
        <v>0</v>
      </c>
      <c r="CM44" s="9">
        <v>0</v>
      </c>
      <c r="CN44" s="9">
        <v>0</v>
      </c>
      <c r="CO44" s="9">
        <v>0</v>
      </c>
      <c r="CP44" s="9">
        <v>0</v>
      </c>
      <c r="CQ44" s="9">
        <v>0</v>
      </c>
      <c r="CR44" s="9">
        <v>0</v>
      </c>
      <c r="CS44" s="9">
        <v>0</v>
      </c>
      <c r="CT44" s="9">
        <v>0</v>
      </c>
      <c r="CU44" s="9">
        <v>0</v>
      </c>
      <c r="CV44" s="9">
        <v>0</v>
      </c>
      <c r="CW44" s="9">
        <v>0</v>
      </c>
      <c r="CX44" s="9">
        <v>0</v>
      </c>
      <c r="CY44" s="9">
        <v>0</v>
      </c>
      <c r="CZ44" s="9">
        <v>0</v>
      </c>
      <c r="DA44" s="9">
        <v>0</v>
      </c>
      <c r="DB44" s="9">
        <v>0</v>
      </c>
      <c r="DC44" s="9">
        <v>0</v>
      </c>
      <c r="DD44" s="9">
        <v>0</v>
      </c>
      <c r="DE44" s="9">
        <v>0</v>
      </c>
      <c r="DF44" s="9">
        <v>0</v>
      </c>
      <c r="DG44" s="9">
        <v>0</v>
      </c>
      <c r="DH44" s="9">
        <v>0</v>
      </c>
      <c r="DI44" s="9">
        <v>0</v>
      </c>
      <c r="DJ44" s="9">
        <v>0</v>
      </c>
      <c r="DK44" s="9">
        <v>0</v>
      </c>
      <c r="DL44" s="9">
        <v>0</v>
      </c>
      <c r="DM44" s="9">
        <v>0</v>
      </c>
      <c r="DN44" s="9">
        <v>0</v>
      </c>
      <c r="DO44" s="9">
        <v>0</v>
      </c>
      <c r="DP44" s="9">
        <v>0</v>
      </c>
      <c r="DQ44" s="9">
        <v>0</v>
      </c>
      <c r="DR44" s="9">
        <v>0</v>
      </c>
      <c r="DS44" s="9">
        <v>0</v>
      </c>
      <c r="DT44" s="9">
        <v>0</v>
      </c>
      <c r="DU44" s="9">
        <v>0</v>
      </c>
      <c r="DV44" s="9">
        <v>0</v>
      </c>
      <c r="DW44" s="9">
        <v>0</v>
      </c>
      <c r="DX44" s="9">
        <v>0</v>
      </c>
      <c r="DY44" s="9">
        <v>0</v>
      </c>
      <c r="DZ44" s="9">
        <v>0</v>
      </c>
      <c r="EA44" s="9">
        <v>0</v>
      </c>
      <c r="EB44" s="9">
        <v>0</v>
      </c>
      <c r="EC44" s="9">
        <v>0</v>
      </c>
      <c r="ED44" s="9">
        <v>0</v>
      </c>
      <c r="EE44" s="9">
        <v>0</v>
      </c>
      <c r="EF44" s="9">
        <v>0</v>
      </c>
      <c r="EG44" s="9">
        <v>0</v>
      </c>
      <c r="EH44" s="9">
        <v>0</v>
      </c>
      <c r="EI44" s="10">
        <v>0</v>
      </c>
    </row>
    <row r="45" spans="1:139" x14ac:dyDescent="0.35">
      <c r="A45" s="8" t="s">
        <v>73</v>
      </c>
      <c r="B45" s="9" t="s">
        <v>86</v>
      </c>
      <c r="C45" s="9" t="s">
        <v>87</v>
      </c>
      <c r="D45" s="9">
        <f t="shared" si="0"/>
        <v>0</v>
      </c>
      <c r="E45" s="9">
        <v>0</v>
      </c>
      <c r="F45" s="9">
        <v>0</v>
      </c>
      <c r="G45" s="9">
        <v>0</v>
      </c>
      <c r="H45" s="9">
        <v>0</v>
      </c>
      <c r="I45" s="9">
        <v>0</v>
      </c>
      <c r="J45" s="9">
        <v>0</v>
      </c>
      <c r="K45" s="9">
        <v>0</v>
      </c>
      <c r="L45" s="9">
        <v>0</v>
      </c>
      <c r="M45" s="9">
        <v>0</v>
      </c>
      <c r="N45" s="9">
        <v>0</v>
      </c>
      <c r="O45" s="9">
        <v>0</v>
      </c>
      <c r="P45" s="9">
        <v>0</v>
      </c>
      <c r="Q45" s="9">
        <v>0</v>
      </c>
      <c r="R45" s="9">
        <v>0</v>
      </c>
      <c r="S45" s="9">
        <v>0</v>
      </c>
      <c r="T45" s="9">
        <v>0</v>
      </c>
      <c r="U45" s="9">
        <v>0</v>
      </c>
      <c r="V45" s="9">
        <v>0</v>
      </c>
      <c r="W45" s="9">
        <v>0</v>
      </c>
      <c r="X45" s="9">
        <v>0</v>
      </c>
      <c r="Y45" s="9">
        <v>0</v>
      </c>
      <c r="Z45" s="9">
        <v>0</v>
      </c>
      <c r="AA45" s="9">
        <v>0</v>
      </c>
      <c r="AB45" s="9">
        <v>0</v>
      </c>
      <c r="AC45" s="9">
        <v>0</v>
      </c>
      <c r="AD45" s="9">
        <v>0</v>
      </c>
      <c r="AE45" s="9">
        <v>0</v>
      </c>
      <c r="AF45" s="9">
        <v>0</v>
      </c>
      <c r="AG45" s="9">
        <v>0</v>
      </c>
      <c r="AH45" s="9">
        <v>0</v>
      </c>
      <c r="AI45" s="9">
        <v>0</v>
      </c>
      <c r="AJ45" s="9">
        <v>0</v>
      </c>
      <c r="AK45" s="9">
        <v>0</v>
      </c>
      <c r="AL45" s="9">
        <v>0</v>
      </c>
      <c r="AM45" s="9">
        <v>0</v>
      </c>
      <c r="AN45" s="9">
        <v>0</v>
      </c>
      <c r="AO45" s="9">
        <v>0</v>
      </c>
      <c r="AP45" s="9">
        <v>0</v>
      </c>
      <c r="AQ45" s="9">
        <v>0</v>
      </c>
      <c r="AR45" s="9">
        <v>0</v>
      </c>
      <c r="AS45" s="9">
        <v>0</v>
      </c>
      <c r="AT45" s="9">
        <v>0</v>
      </c>
      <c r="AU45" s="9">
        <v>0</v>
      </c>
      <c r="AV45" s="9">
        <v>0</v>
      </c>
      <c r="AW45" s="9">
        <v>0</v>
      </c>
      <c r="AX45" s="9">
        <v>0</v>
      </c>
      <c r="AY45" s="9">
        <v>0</v>
      </c>
      <c r="AZ45" s="9">
        <v>0</v>
      </c>
      <c r="BA45" s="9">
        <v>0</v>
      </c>
      <c r="BB45" s="9">
        <v>0</v>
      </c>
      <c r="BC45" s="9">
        <v>0</v>
      </c>
      <c r="BD45" s="9">
        <v>0</v>
      </c>
      <c r="BE45" s="9">
        <v>0</v>
      </c>
      <c r="BF45" s="9">
        <v>0</v>
      </c>
      <c r="BG45" s="9">
        <v>0</v>
      </c>
      <c r="BH45" s="9">
        <v>0</v>
      </c>
      <c r="BI45" s="9">
        <v>0</v>
      </c>
      <c r="BJ45" s="9">
        <v>0</v>
      </c>
      <c r="BK45" s="9">
        <v>0</v>
      </c>
      <c r="BL45" s="9">
        <v>0</v>
      </c>
      <c r="BM45" s="9">
        <v>0</v>
      </c>
      <c r="BN45" s="9">
        <v>0</v>
      </c>
      <c r="BO45" s="9">
        <v>0</v>
      </c>
      <c r="BP45" s="9">
        <v>0</v>
      </c>
      <c r="BQ45" s="9">
        <v>0</v>
      </c>
      <c r="BR45" s="9">
        <v>0</v>
      </c>
      <c r="BS45" s="9">
        <v>0</v>
      </c>
      <c r="BT45" s="9">
        <v>0</v>
      </c>
      <c r="BU45" s="9">
        <v>0</v>
      </c>
      <c r="BV45" s="9">
        <v>0</v>
      </c>
      <c r="BW45" s="9">
        <v>0</v>
      </c>
      <c r="BX45" s="9">
        <v>0</v>
      </c>
      <c r="BY45" s="9">
        <v>0</v>
      </c>
      <c r="BZ45" s="9">
        <v>0</v>
      </c>
      <c r="CA45" s="9">
        <v>0</v>
      </c>
      <c r="CB45" s="9">
        <v>0</v>
      </c>
      <c r="CC45" s="9">
        <v>0</v>
      </c>
      <c r="CD45" s="9">
        <v>0</v>
      </c>
      <c r="CE45" s="9">
        <v>0</v>
      </c>
      <c r="CF45" s="9">
        <v>0</v>
      </c>
      <c r="CG45" s="9">
        <v>0</v>
      </c>
      <c r="CH45" s="9">
        <v>0</v>
      </c>
      <c r="CI45" s="9">
        <v>0</v>
      </c>
      <c r="CJ45" s="9">
        <v>0</v>
      </c>
      <c r="CK45" s="9">
        <v>0</v>
      </c>
      <c r="CL45" s="9">
        <v>0</v>
      </c>
      <c r="CM45" s="9">
        <v>0</v>
      </c>
      <c r="CN45" s="9">
        <v>0</v>
      </c>
      <c r="CO45" s="9">
        <v>0</v>
      </c>
      <c r="CP45" s="9">
        <v>0</v>
      </c>
      <c r="CQ45" s="9">
        <v>0</v>
      </c>
      <c r="CR45" s="9">
        <v>0</v>
      </c>
      <c r="CS45" s="9">
        <v>0</v>
      </c>
      <c r="CT45" s="9">
        <v>0</v>
      </c>
      <c r="CU45" s="9">
        <v>0</v>
      </c>
      <c r="CV45" s="9">
        <v>0</v>
      </c>
      <c r="CW45" s="9">
        <v>0</v>
      </c>
      <c r="CX45" s="9">
        <v>0</v>
      </c>
      <c r="CY45" s="9">
        <v>0</v>
      </c>
      <c r="CZ45" s="9">
        <v>0</v>
      </c>
      <c r="DA45" s="9">
        <v>0</v>
      </c>
      <c r="DB45" s="9">
        <v>0</v>
      </c>
      <c r="DC45" s="9">
        <v>0</v>
      </c>
      <c r="DD45" s="9">
        <v>0</v>
      </c>
      <c r="DE45" s="9">
        <v>0</v>
      </c>
      <c r="DF45" s="9">
        <v>0</v>
      </c>
      <c r="DG45" s="9">
        <v>0</v>
      </c>
      <c r="DH45" s="9">
        <v>0</v>
      </c>
      <c r="DI45" s="9">
        <v>0</v>
      </c>
      <c r="DJ45" s="9">
        <v>0</v>
      </c>
      <c r="DK45" s="9">
        <v>0</v>
      </c>
      <c r="DL45" s="9">
        <v>0</v>
      </c>
      <c r="DM45" s="9">
        <v>0</v>
      </c>
      <c r="DN45" s="9">
        <v>0</v>
      </c>
      <c r="DO45" s="9">
        <v>0</v>
      </c>
      <c r="DP45" s="9">
        <v>0</v>
      </c>
      <c r="DQ45" s="9">
        <v>0</v>
      </c>
      <c r="DR45" s="9">
        <v>0</v>
      </c>
      <c r="DS45" s="9">
        <v>0</v>
      </c>
      <c r="DT45" s="9">
        <v>0</v>
      </c>
      <c r="DU45" s="9">
        <v>0</v>
      </c>
      <c r="DV45" s="9">
        <v>0</v>
      </c>
      <c r="DW45" s="9">
        <v>0</v>
      </c>
      <c r="DX45" s="9">
        <v>0</v>
      </c>
      <c r="DY45" s="9">
        <v>0</v>
      </c>
      <c r="DZ45" s="9">
        <v>0</v>
      </c>
      <c r="EA45" s="9">
        <v>0</v>
      </c>
      <c r="EB45" s="9">
        <v>0</v>
      </c>
      <c r="EC45" s="9">
        <v>0</v>
      </c>
      <c r="ED45" s="9">
        <v>0</v>
      </c>
      <c r="EE45" s="9">
        <v>0</v>
      </c>
      <c r="EF45" s="9">
        <v>0</v>
      </c>
      <c r="EG45" s="9">
        <v>0</v>
      </c>
      <c r="EH45" s="9">
        <v>0</v>
      </c>
      <c r="EI45" s="10">
        <v>0</v>
      </c>
    </row>
    <row r="46" spans="1:139" x14ac:dyDescent="0.35">
      <c r="A46" s="8" t="s">
        <v>73</v>
      </c>
      <c r="B46" s="9" t="s">
        <v>88</v>
      </c>
      <c r="C46" s="9" t="s">
        <v>89</v>
      </c>
      <c r="D46" s="9">
        <f t="shared" si="0"/>
        <v>0</v>
      </c>
      <c r="E46" s="9">
        <v>0</v>
      </c>
      <c r="F46" s="9">
        <v>0</v>
      </c>
      <c r="G46" s="9">
        <v>0</v>
      </c>
      <c r="H46" s="9">
        <v>0</v>
      </c>
      <c r="I46" s="9">
        <v>0</v>
      </c>
      <c r="J46" s="9">
        <v>0</v>
      </c>
      <c r="K46" s="9">
        <v>0</v>
      </c>
      <c r="L46" s="9">
        <v>0</v>
      </c>
      <c r="M46" s="9">
        <v>0</v>
      </c>
      <c r="N46" s="9">
        <v>0</v>
      </c>
      <c r="O46" s="9">
        <v>0</v>
      </c>
      <c r="P46" s="9">
        <v>0</v>
      </c>
      <c r="Q46" s="9">
        <v>0</v>
      </c>
      <c r="R46" s="9">
        <v>0</v>
      </c>
      <c r="S46" s="9">
        <v>0</v>
      </c>
      <c r="T46" s="9">
        <v>0</v>
      </c>
      <c r="U46" s="9">
        <v>0</v>
      </c>
      <c r="V46" s="9">
        <v>0</v>
      </c>
      <c r="W46" s="9">
        <v>0</v>
      </c>
      <c r="X46" s="9">
        <v>0</v>
      </c>
      <c r="Y46" s="9">
        <v>0</v>
      </c>
      <c r="Z46" s="9">
        <v>0</v>
      </c>
      <c r="AA46" s="9">
        <v>0</v>
      </c>
      <c r="AB46" s="9">
        <v>0</v>
      </c>
      <c r="AC46" s="9">
        <v>0</v>
      </c>
      <c r="AD46" s="9">
        <v>0</v>
      </c>
      <c r="AE46" s="9">
        <v>0</v>
      </c>
      <c r="AF46" s="9">
        <v>0</v>
      </c>
      <c r="AG46" s="9">
        <v>0</v>
      </c>
      <c r="AH46" s="9">
        <v>0</v>
      </c>
      <c r="AI46" s="9">
        <v>0</v>
      </c>
      <c r="AJ46" s="9">
        <v>0</v>
      </c>
      <c r="AK46" s="9">
        <v>0</v>
      </c>
      <c r="AL46" s="9">
        <v>0</v>
      </c>
      <c r="AM46" s="9">
        <v>0</v>
      </c>
      <c r="AN46" s="9">
        <v>0</v>
      </c>
      <c r="AO46" s="9">
        <v>0</v>
      </c>
      <c r="AP46" s="9">
        <v>0</v>
      </c>
      <c r="AQ46" s="9">
        <v>0</v>
      </c>
      <c r="AR46" s="9">
        <v>0</v>
      </c>
      <c r="AS46" s="9">
        <v>0</v>
      </c>
      <c r="AT46" s="9">
        <v>0</v>
      </c>
      <c r="AU46" s="9">
        <v>0</v>
      </c>
      <c r="AV46" s="9">
        <v>0</v>
      </c>
      <c r="AW46" s="9">
        <v>0</v>
      </c>
      <c r="AX46" s="9">
        <v>0</v>
      </c>
      <c r="AY46" s="9">
        <v>0</v>
      </c>
      <c r="AZ46" s="9">
        <v>0</v>
      </c>
      <c r="BA46" s="9">
        <v>0</v>
      </c>
      <c r="BB46" s="9">
        <v>0</v>
      </c>
      <c r="BC46" s="9">
        <v>0</v>
      </c>
      <c r="BD46" s="9">
        <v>0</v>
      </c>
      <c r="BE46" s="9">
        <v>0</v>
      </c>
      <c r="BF46" s="9">
        <v>0</v>
      </c>
      <c r="BG46" s="9">
        <v>0</v>
      </c>
      <c r="BH46" s="9">
        <v>0</v>
      </c>
      <c r="BI46" s="9">
        <v>0</v>
      </c>
      <c r="BJ46" s="9">
        <v>0</v>
      </c>
      <c r="BK46" s="9">
        <v>0</v>
      </c>
      <c r="BL46" s="9">
        <v>0</v>
      </c>
      <c r="BM46" s="9">
        <v>0</v>
      </c>
      <c r="BN46" s="9">
        <v>0</v>
      </c>
      <c r="BO46" s="9">
        <v>0</v>
      </c>
      <c r="BP46" s="9">
        <v>0</v>
      </c>
      <c r="BQ46" s="9">
        <v>0</v>
      </c>
      <c r="BR46" s="9">
        <v>0</v>
      </c>
      <c r="BS46" s="9">
        <v>0</v>
      </c>
      <c r="BT46" s="9">
        <v>0</v>
      </c>
      <c r="BU46" s="9">
        <v>0</v>
      </c>
      <c r="BV46" s="9">
        <v>0</v>
      </c>
      <c r="BW46" s="9">
        <v>0</v>
      </c>
      <c r="BX46" s="9">
        <v>0</v>
      </c>
      <c r="BY46" s="9">
        <v>0</v>
      </c>
      <c r="BZ46" s="9">
        <v>0</v>
      </c>
      <c r="CA46" s="9">
        <v>0</v>
      </c>
      <c r="CB46" s="9">
        <v>0</v>
      </c>
      <c r="CC46" s="9">
        <v>0</v>
      </c>
      <c r="CD46" s="9">
        <v>0</v>
      </c>
      <c r="CE46" s="9">
        <v>0</v>
      </c>
      <c r="CF46" s="9">
        <v>0</v>
      </c>
      <c r="CG46" s="9">
        <v>0</v>
      </c>
      <c r="CH46" s="9">
        <v>0</v>
      </c>
      <c r="CI46" s="9">
        <v>0</v>
      </c>
      <c r="CJ46" s="9">
        <v>0</v>
      </c>
      <c r="CK46" s="9">
        <v>0</v>
      </c>
      <c r="CL46" s="9">
        <v>0</v>
      </c>
      <c r="CM46" s="9">
        <v>0</v>
      </c>
      <c r="CN46" s="9">
        <v>0</v>
      </c>
      <c r="CO46" s="9">
        <v>0</v>
      </c>
      <c r="CP46" s="9">
        <v>0</v>
      </c>
      <c r="CQ46" s="9">
        <v>0</v>
      </c>
      <c r="CR46" s="9">
        <v>0</v>
      </c>
      <c r="CS46" s="9">
        <v>0</v>
      </c>
      <c r="CT46" s="9">
        <v>0</v>
      </c>
      <c r="CU46" s="9">
        <v>0</v>
      </c>
      <c r="CV46" s="9">
        <v>0</v>
      </c>
      <c r="CW46" s="9">
        <v>0</v>
      </c>
      <c r="CX46" s="9">
        <v>0</v>
      </c>
      <c r="CY46" s="9">
        <v>0</v>
      </c>
      <c r="CZ46" s="9">
        <v>0</v>
      </c>
      <c r="DA46" s="9">
        <v>0</v>
      </c>
      <c r="DB46" s="9">
        <v>0</v>
      </c>
      <c r="DC46" s="9">
        <v>0</v>
      </c>
      <c r="DD46" s="9">
        <v>0</v>
      </c>
      <c r="DE46" s="9">
        <v>0</v>
      </c>
      <c r="DF46" s="9">
        <v>0</v>
      </c>
      <c r="DG46" s="9">
        <v>0</v>
      </c>
      <c r="DH46" s="9">
        <v>0</v>
      </c>
      <c r="DI46" s="9">
        <v>0</v>
      </c>
      <c r="DJ46" s="9">
        <v>0</v>
      </c>
      <c r="DK46" s="9">
        <v>0</v>
      </c>
      <c r="DL46" s="9">
        <v>0</v>
      </c>
      <c r="DM46" s="9">
        <v>0</v>
      </c>
      <c r="DN46" s="9">
        <v>0</v>
      </c>
      <c r="DO46" s="9">
        <v>0</v>
      </c>
      <c r="DP46" s="9">
        <v>0</v>
      </c>
      <c r="DQ46" s="9">
        <v>0</v>
      </c>
      <c r="DR46" s="9">
        <v>0</v>
      </c>
      <c r="DS46" s="9">
        <v>0</v>
      </c>
      <c r="DT46" s="9">
        <v>0</v>
      </c>
      <c r="DU46" s="9">
        <v>0</v>
      </c>
      <c r="DV46" s="9">
        <v>0</v>
      </c>
      <c r="DW46" s="9">
        <v>0</v>
      </c>
      <c r="DX46" s="9">
        <v>0</v>
      </c>
      <c r="DY46" s="9">
        <v>0</v>
      </c>
      <c r="DZ46" s="9">
        <v>0</v>
      </c>
      <c r="EA46" s="9">
        <v>0</v>
      </c>
      <c r="EB46" s="9">
        <v>0</v>
      </c>
      <c r="EC46" s="9">
        <v>0</v>
      </c>
      <c r="ED46" s="9">
        <v>0</v>
      </c>
      <c r="EE46" s="9">
        <v>0</v>
      </c>
      <c r="EF46" s="9">
        <v>0</v>
      </c>
      <c r="EG46" s="9">
        <v>0</v>
      </c>
      <c r="EH46" s="9">
        <v>0</v>
      </c>
      <c r="EI46" s="10">
        <v>0</v>
      </c>
    </row>
    <row r="47" spans="1:139" x14ac:dyDescent="0.35">
      <c r="A47" s="8" t="s">
        <v>73</v>
      </c>
      <c r="B47" s="9" t="s">
        <v>90</v>
      </c>
      <c r="C47" s="9" t="s">
        <v>91</v>
      </c>
      <c r="D47" s="9">
        <f t="shared" si="0"/>
        <v>0</v>
      </c>
      <c r="E47" s="9">
        <v>0</v>
      </c>
      <c r="F47" s="9">
        <v>0</v>
      </c>
      <c r="G47" s="9">
        <v>0</v>
      </c>
      <c r="H47" s="9">
        <v>0</v>
      </c>
      <c r="I47" s="9">
        <v>0</v>
      </c>
      <c r="J47" s="9">
        <v>0</v>
      </c>
      <c r="K47" s="9">
        <v>0</v>
      </c>
      <c r="L47" s="9">
        <v>0</v>
      </c>
      <c r="M47" s="9">
        <v>0</v>
      </c>
      <c r="N47" s="9">
        <v>0</v>
      </c>
      <c r="O47" s="9">
        <v>0</v>
      </c>
      <c r="P47" s="9">
        <v>0</v>
      </c>
      <c r="Q47" s="9">
        <v>0</v>
      </c>
      <c r="R47" s="9">
        <v>0</v>
      </c>
      <c r="S47" s="9">
        <v>0</v>
      </c>
      <c r="T47" s="9">
        <v>0</v>
      </c>
      <c r="U47" s="9">
        <v>0</v>
      </c>
      <c r="V47" s="9">
        <v>0</v>
      </c>
      <c r="W47" s="9">
        <v>0</v>
      </c>
      <c r="X47" s="9">
        <v>0</v>
      </c>
      <c r="Y47" s="9">
        <v>0</v>
      </c>
      <c r="Z47" s="9">
        <v>0</v>
      </c>
      <c r="AA47" s="9">
        <v>0</v>
      </c>
      <c r="AB47" s="9">
        <v>0</v>
      </c>
      <c r="AC47" s="9">
        <v>0</v>
      </c>
      <c r="AD47" s="9">
        <v>0</v>
      </c>
      <c r="AE47" s="9">
        <v>0</v>
      </c>
      <c r="AF47" s="9">
        <v>0</v>
      </c>
      <c r="AG47" s="9">
        <v>0</v>
      </c>
      <c r="AH47" s="9">
        <v>0</v>
      </c>
      <c r="AI47" s="9">
        <v>0</v>
      </c>
      <c r="AJ47" s="9">
        <v>0</v>
      </c>
      <c r="AK47" s="9">
        <v>0</v>
      </c>
      <c r="AL47" s="9">
        <v>0</v>
      </c>
      <c r="AM47" s="9">
        <v>0</v>
      </c>
      <c r="AN47" s="9">
        <v>0</v>
      </c>
      <c r="AO47" s="9">
        <v>0</v>
      </c>
      <c r="AP47" s="9">
        <v>0</v>
      </c>
      <c r="AQ47" s="9">
        <v>0</v>
      </c>
      <c r="AR47" s="9">
        <v>0</v>
      </c>
      <c r="AS47" s="9">
        <v>0</v>
      </c>
      <c r="AT47" s="9">
        <v>0</v>
      </c>
      <c r="AU47" s="9">
        <v>0</v>
      </c>
      <c r="AV47" s="9">
        <v>0</v>
      </c>
      <c r="AW47" s="9">
        <v>0</v>
      </c>
      <c r="AX47" s="9">
        <v>0</v>
      </c>
      <c r="AY47" s="9">
        <v>0</v>
      </c>
      <c r="AZ47" s="9">
        <v>0</v>
      </c>
      <c r="BA47" s="9">
        <v>0</v>
      </c>
      <c r="BB47" s="9">
        <v>0</v>
      </c>
      <c r="BC47" s="9">
        <v>0</v>
      </c>
      <c r="BD47" s="9">
        <v>0</v>
      </c>
      <c r="BE47" s="9">
        <v>0</v>
      </c>
      <c r="BF47" s="9">
        <v>0</v>
      </c>
      <c r="BG47" s="9">
        <v>0</v>
      </c>
      <c r="BH47" s="9">
        <v>0</v>
      </c>
      <c r="BI47" s="9">
        <v>0</v>
      </c>
      <c r="BJ47" s="9">
        <v>0</v>
      </c>
      <c r="BK47" s="9">
        <v>0</v>
      </c>
      <c r="BL47" s="9">
        <v>0</v>
      </c>
      <c r="BM47" s="9">
        <v>0</v>
      </c>
      <c r="BN47" s="9">
        <v>0</v>
      </c>
      <c r="BO47" s="9">
        <v>0</v>
      </c>
      <c r="BP47" s="9">
        <v>0</v>
      </c>
      <c r="BQ47" s="9">
        <v>0</v>
      </c>
      <c r="BR47" s="9">
        <v>0</v>
      </c>
      <c r="BS47" s="9">
        <v>0</v>
      </c>
      <c r="BT47" s="9">
        <v>0</v>
      </c>
      <c r="BU47" s="9">
        <v>0</v>
      </c>
      <c r="BV47" s="9">
        <v>0</v>
      </c>
      <c r="BW47" s="9">
        <v>0</v>
      </c>
      <c r="BX47" s="9">
        <v>0</v>
      </c>
      <c r="BY47" s="9">
        <v>0</v>
      </c>
      <c r="BZ47" s="9">
        <v>0</v>
      </c>
      <c r="CA47" s="9">
        <v>0</v>
      </c>
      <c r="CB47" s="9">
        <v>0</v>
      </c>
      <c r="CC47" s="9">
        <v>0</v>
      </c>
      <c r="CD47" s="9">
        <v>0</v>
      </c>
      <c r="CE47" s="9">
        <v>0</v>
      </c>
      <c r="CF47" s="9">
        <v>0</v>
      </c>
      <c r="CG47" s="9">
        <v>0</v>
      </c>
      <c r="CH47" s="9">
        <v>0</v>
      </c>
      <c r="CI47" s="9">
        <v>0</v>
      </c>
      <c r="CJ47" s="9">
        <v>0</v>
      </c>
      <c r="CK47" s="9">
        <v>0</v>
      </c>
      <c r="CL47" s="9">
        <v>0</v>
      </c>
      <c r="CM47" s="9">
        <v>0</v>
      </c>
      <c r="CN47" s="9">
        <v>0</v>
      </c>
      <c r="CO47" s="9">
        <v>0</v>
      </c>
      <c r="CP47" s="9">
        <v>0</v>
      </c>
      <c r="CQ47" s="9">
        <v>0</v>
      </c>
      <c r="CR47" s="9">
        <v>0</v>
      </c>
      <c r="CS47" s="9">
        <v>0</v>
      </c>
      <c r="CT47" s="9">
        <v>0</v>
      </c>
      <c r="CU47" s="9">
        <v>0</v>
      </c>
      <c r="CV47" s="9">
        <v>0</v>
      </c>
      <c r="CW47" s="9">
        <v>0</v>
      </c>
      <c r="CX47" s="9">
        <v>0</v>
      </c>
      <c r="CY47" s="9">
        <v>0</v>
      </c>
      <c r="CZ47" s="9">
        <v>0</v>
      </c>
      <c r="DA47" s="9">
        <v>0</v>
      </c>
      <c r="DB47" s="9">
        <v>0</v>
      </c>
      <c r="DC47" s="9">
        <v>0</v>
      </c>
      <c r="DD47" s="9">
        <v>0</v>
      </c>
      <c r="DE47" s="9">
        <v>0</v>
      </c>
      <c r="DF47" s="9">
        <v>0</v>
      </c>
      <c r="DG47" s="9">
        <v>0</v>
      </c>
      <c r="DH47" s="9">
        <v>0</v>
      </c>
      <c r="DI47" s="9">
        <v>0</v>
      </c>
      <c r="DJ47" s="9">
        <v>0</v>
      </c>
      <c r="DK47" s="9">
        <v>0</v>
      </c>
      <c r="DL47" s="9">
        <v>0</v>
      </c>
      <c r="DM47" s="9">
        <v>0</v>
      </c>
      <c r="DN47" s="9">
        <v>0</v>
      </c>
      <c r="DO47" s="9">
        <v>0</v>
      </c>
      <c r="DP47" s="9">
        <v>0</v>
      </c>
      <c r="DQ47" s="9">
        <v>0</v>
      </c>
      <c r="DR47" s="9">
        <v>0</v>
      </c>
      <c r="DS47" s="9">
        <v>0</v>
      </c>
      <c r="DT47" s="9">
        <v>0</v>
      </c>
      <c r="DU47" s="9">
        <v>0</v>
      </c>
      <c r="DV47" s="9">
        <v>0</v>
      </c>
      <c r="DW47" s="9">
        <v>0</v>
      </c>
      <c r="DX47" s="9">
        <v>0</v>
      </c>
      <c r="DY47" s="9">
        <v>0</v>
      </c>
      <c r="DZ47" s="9">
        <v>0</v>
      </c>
      <c r="EA47" s="9">
        <v>0</v>
      </c>
      <c r="EB47" s="9">
        <v>0</v>
      </c>
      <c r="EC47" s="9">
        <v>0</v>
      </c>
      <c r="ED47" s="9">
        <v>0</v>
      </c>
      <c r="EE47" s="9">
        <v>0</v>
      </c>
      <c r="EF47" s="9">
        <v>0</v>
      </c>
      <c r="EG47" s="9">
        <v>0</v>
      </c>
      <c r="EH47" s="9">
        <v>0</v>
      </c>
      <c r="EI47" s="10">
        <v>0</v>
      </c>
    </row>
    <row r="48" spans="1:139" x14ac:dyDescent="0.35">
      <c r="A48" s="8" t="s">
        <v>73</v>
      </c>
      <c r="B48" s="9" t="s">
        <v>13</v>
      </c>
      <c r="C48" s="9" t="s">
        <v>14</v>
      </c>
      <c r="D48" s="9">
        <f t="shared" si="0"/>
        <v>0</v>
      </c>
      <c r="E48" s="9">
        <v>0</v>
      </c>
      <c r="F48" s="9">
        <v>0</v>
      </c>
      <c r="G48" s="9">
        <v>0</v>
      </c>
      <c r="H48" s="9">
        <v>0</v>
      </c>
      <c r="I48" s="9">
        <v>0</v>
      </c>
      <c r="J48" s="9">
        <v>0</v>
      </c>
      <c r="K48" s="9">
        <v>0</v>
      </c>
      <c r="L48" s="9">
        <v>0</v>
      </c>
      <c r="M48" s="9">
        <v>0</v>
      </c>
      <c r="N48" s="9">
        <v>0</v>
      </c>
      <c r="O48" s="9">
        <v>0</v>
      </c>
      <c r="P48" s="9">
        <v>0</v>
      </c>
      <c r="Q48" s="9">
        <v>0</v>
      </c>
      <c r="R48" s="9">
        <v>0</v>
      </c>
      <c r="S48" s="9">
        <v>0</v>
      </c>
      <c r="T48" s="9">
        <v>0</v>
      </c>
      <c r="U48" s="9">
        <v>0</v>
      </c>
      <c r="V48" s="9">
        <v>0</v>
      </c>
      <c r="W48" s="9">
        <v>0</v>
      </c>
      <c r="X48" s="9">
        <v>0</v>
      </c>
      <c r="Y48" s="9">
        <v>0</v>
      </c>
      <c r="Z48" s="9">
        <v>0</v>
      </c>
      <c r="AA48" s="9">
        <v>0</v>
      </c>
      <c r="AB48" s="9">
        <v>0</v>
      </c>
      <c r="AC48" s="9">
        <v>0</v>
      </c>
      <c r="AD48" s="9">
        <v>0</v>
      </c>
      <c r="AE48" s="9">
        <v>0</v>
      </c>
      <c r="AF48" s="9">
        <v>0</v>
      </c>
      <c r="AG48" s="9">
        <v>0</v>
      </c>
      <c r="AH48" s="9">
        <v>0</v>
      </c>
      <c r="AI48" s="9">
        <v>0</v>
      </c>
      <c r="AJ48" s="9">
        <v>0</v>
      </c>
      <c r="AK48" s="9">
        <v>0</v>
      </c>
      <c r="AL48" s="9">
        <v>0</v>
      </c>
      <c r="AM48" s="9">
        <v>0</v>
      </c>
      <c r="AN48" s="9">
        <v>0</v>
      </c>
      <c r="AO48" s="9">
        <v>0</v>
      </c>
      <c r="AP48" s="9">
        <v>0</v>
      </c>
      <c r="AQ48" s="9">
        <v>0</v>
      </c>
      <c r="AR48" s="9">
        <v>0</v>
      </c>
      <c r="AS48" s="9">
        <v>0</v>
      </c>
      <c r="AT48" s="9">
        <v>0</v>
      </c>
      <c r="AU48" s="9">
        <v>0</v>
      </c>
      <c r="AV48" s="9">
        <v>0</v>
      </c>
      <c r="AW48" s="9">
        <v>0</v>
      </c>
      <c r="AX48" s="9">
        <v>0</v>
      </c>
      <c r="AY48" s="9">
        <v>0</v>
      </c>
      <c r="AZ48" s="9">
        <v>0</v>
      </c>
      <c r="BA48" s="9">
        <v>0</v>
      </c>
      <c r="BB48" s="9">
        <v>0</v>
      </c>
      <c r="BC48" s="9">
        <v>0</v>
      </c>
      <c r="BD48" s="9">
        <v>0</v>
      </c>
      <c r="BE48" s="9">
        <v>0</v>
      </c>
      <c r="BF48" s="9">
        <v>0</v>
      </c>
      <c r="BG48" s="9">
        <v>0</v>
      </c>
      <c r="BH48" s="9">
        <v>0</v>
      </c>
      <c r="BI48" s="9">
        <v>0</v>
      </c>
      <c r="BJ48" s="9">
        <v>0</v>
      </c>
      <c r="BK48" s="9">
        <v>0</v>
      </c>
      <c r="BL48" s="9">
        <v>0</v>
      </c>
      <c r="BM48" s="9">
        <v>0</v>
      </c>
      <c r="BN48" s="9">
        <v>0</v>
      </c>
      <c r="BO48" s="9">
        <v>0</v>
      </c>
      <c r="BP48" s="9">
        <v>0</v>
      </c>
      <c r="BQ48" s="9">
        <v>0</v>
      </c>
      <c r="BR48" s="9">
        <v>0</v>
      </c>
      <c r="BS48" s="9">
        <v>0</v>
      </c>
      <c r="BT48" s="9">
        <v>0</v>
      </c>
      <c r="BU48" s="9">
        <v>0</v>
      </c>
      <c r="BV48" s="9">
        <v>0</v>
      </c>
      <c r="BW48" s="9">
        <v>0</v>
      </c>
      <c r="BX48" s="9">
        <v>0</v>
      </c>
      <c r="BY48" s="9">
        <v>0</v>
      </c>
      <c r="BZ48" s="9">
        <v>0</v>
      </c>
      <c r="CA48" s="9">
        <v>0</v>
      </c>
      <c r="CB48" s="9">
        <v>0</v>
      </c>
      <c r="CC48" s="9">
        <v>0</v>
      </c>
      <c r="CD48" s="9">
        <v>0</v>
      </c>
      <c r="CE48" s="9">
        <v>0</v>
      </c>
      <c r="CF48" s="9">
        <v>0</v>
      </c>
      <c r="CG48" s="9">
        <v>0</v>
      </c>
      <c r="CH48" s="9">
        <v>0</v>
      </c>
      <c r="CI48" s="9">
        <v>0</v>
      </c>
      <c r="CJ48" s="9">
        <v>0</v>
      </c>
      <c r="CK48" s="9">
        <v>0</v>
      </c>
      <c r="CL48" s="9">
        <v>0</v>
      </c>
      <c r="CM48" s="9">
        <v>0</v>
      </c>
      <c r="CN48" s="9">
        <v>0</v>
      </c>
      <c r="CO48" s="9">
        <v>0</v>
      </c>
      <c r="CP48" s="9">
        <v>0</v>
      </c>
      <c r="CQ48" s="9">
        <v>0</v>
      </c>
      <c r="CR48" s="9">
        <v>0</v>
      </c>
      <c r="CS48" s="9">
        <v>0</v>
      </c>
      <c r="CT48" s="9">
        <v>0</v>
      </c>
      <c r="CU48" s="9">
        <v>0</v>
      </c>
      <c r="CV48" s="9">
        <v>0</v>
      </c>
      <c r="CW48" s="9">
        <v>0</v>
      </c>
      <c r="CX48" s="9">
        <v>0</v>
      </c>
      <c r="CY48" s="9">
        <v>0</v>
      </c>
      <c r="CZ48" s="9">
        <v>0</v>
      </c>
      <c r="DA48" s="9">
        <v>0</v>
      </c>
      <c r="DB48" s="9">
        <v>0</v>
      </c>
      <c r="DC48" s="9">
        <v>0</v>
      </c>
      <c r="DD48" s="9">
        <v>0</v>
      </c>
      <c r="DE48" s="9">
        <v>0</v>
      </c>
      <c r="DF48" s="9">
        <v>0</v>
      </c>
      <c r="DG48" s="9">
        <v>0</v>
      </c>
      <c r="DH48" s="9">
        <v>0</v>
      </c>
      <c r="DI48" s="9">
        <v>0</v>
      </c>
      <c r="DJ48" s="9">
        <v>0</v>
      </c>
      <c r="DK48" s="9">
        <v>0</v>
      </c>
      <c r="DL48" s="9">
        <v>0</v>
      </c>
      <c r="DM48" s="9">
        <v>0</v>
      </c>
      <c r="DN48" s="9">
        <v>0</v>
      </c>
      <c r="DO48" s="9">
        <v>0</v>
      </c>
      <c r="DP48" s="9">
        <v>0</v>
      </c>
      <c r="DQ48" s="9">
        <v>0</v>
      </c>
      <c r="DR48" s="9">
        <v>0</v>
      </c>
      <c r="DS48" s="9">
        <v>0</v>
      </c>
      <c r="DT48" s="9">
        <v>0</v>
      </c>
      <c r="DU48" s="9">
        <v>0</v>
      </c>
      <c r="DV48" s="9">
        <v>0</v>
      </c>
      <c r="DW48" s="9">
        <v>0</v>
      </c>
      <c r="DX48" s="9">
        <v>0</v>
      </c>
      <c r="DY48" s="9">
        <v>0</v>
      </c>
      <c r="DZ48" s="9">
        <v>0</v>
      </c>
      <c r="EA48" s="9">
        <v>0</v>
      </c>
      <c r="EB48" s="9">
        <v>0</v>
      </c>
      <c r="EC48" s="9">
        <v>0</v>
      </c>
      <c r="ED48" s="9">
        <v>0</v>
      </c>
      <c r="EE48" s="9">
        <v>0</v>
      </c>
      <c r="EF48" s="9">
        <v>0</v>
      </c>
      <c r="EG48" s="9">
        <v>0</v>
      </c>
      <c r="EH48" s="9">
        <v>0</v>
      </c>
      <c r="EI48" s="10">
        <v>0</v>
      </c>
    </row>
    <row r="49" spans="1:139" x14ac:dyDescent="0.35">
      <c r="A49" s="8" t="s">
        <v>73</v>
      </c>
      <c r="B49" s="9" t="s">
        <v>92</v>
      </c>
      <c r="C49" s="9" t="s">
        <v>93</v>
      </c>
      <c r="D49" s="9">
        <f t="shared" si="0"/>
        <v>2</v>
      </c>
      <c r="E49" s="9">
        <v>0</v>
      </c>
      <c r="F49" s="9">
        <v>0</v>
      </c>
      <c r="G49" s="9">
        <v>0</v>
      </c>
      <c r="H49" s="9">
        <v>0</v>
      </c>
      <c r="I49" s="9">
        <v>0</v>
      </c>
      <c r="J49" s="9">
        <v>0</v>
      </c>
      <c r="K49" s="9">
        <v>0</v>
      </c>
      <c r="L49" s="9">
        <v>0</v>
      </c>
      <c r="M49" s="9">
        <v>0</v>
      </c>
      <c r="N49" s="9">
        <v>0</v>
      </c>
      <c r="O49" s="9">
        <v>0</v>
      </c>
      <c r="P49" s="9">
        <v>0</v>
      </c>
      <c r="Q49" s="9">
        <v>0</v>
      </c>
      <c r="R49" s="9">
        <v>0</v>
      </c>
      <c r="S49" s="9">
        <v>0</v>
      </c>
      <c r="T49" s="9">
        <v>0</v>
      </c>
      <c r="U49" s="9">
        <v>0</v>
      </c>
      <c r="V49" s="9">
        <v>0</v>
      </c>
      <c r="W49" s="9">
        <v>0</v>
      </c>
      <c r="X49" s="9">
        <v>0</v>
      </c>
      <c r="Y49" s="9">
        <v>0</v>
      </c>
      <c r="Z49" s="9">
        <v>0</v>
      </c>
      <c r="AA49" s="9">
        <v>0</v>
      </c>
      <c r="AB49" s="9">
        <v>0</v>
      </c>
      <c r="AC49" s="9">
        <v>0</v>
      </c>
      <c r="AD49" s="9">
        <v>0</v>
      </c>
      <c r="AE49" s="9">
        <v>0</v>
      </c>
      <c r="AF49" s="9">
        <v>0</v>
      </c>
      <c r="AG49" s="9">
        <v>0</v>
      </c>
      <c r="AH49" s="9">
        <v>0</v>
      </c>
      <c r="AI49" s="9">
        <v>0</v>
      </c>
      <c r="AJ49" s="9">
        <v>0</v>
      </c>
      <c r="AK49" s="9">
        <v>0</v>
      </c>
      <c r="AL49" s="9">
        <v>0</v>
      </c>
      <c r="AM49" s="9">
        <v>0</v>
      </c>
      <c r="AN49" s="9">
        <v>0</v>
      </c>
      <c r="AO49" s="9">
        <v>0</v>
      </c>
      <c r="AP49" s="9">
        <v>0</v>
      </c>
      <c r="AQ49" s="9">
        <v>0</v>
      </c>
      <c r="AR49" s="9">
        <v>0</v>
      </c>
      <c r="AS49" s="9">
        <v>0</v>
      </c>
      <c r="AT49" s="9">
        <v>0</v>
      </c>
      <c r="AU49" s="9">
        <v>0</v>
      </c>
      <c r="AV49" s="9">
        <v>0</v>
      </c>
      <c r="AW49" s="9">
        <v>0</v>
      </c>
      <c r="AX49" s="9">
        <v>2</v>
      </c>
      <c r="AY49" s="9">
        <v>0</v>
      </c>
      <c r="AZ49" s="9">
        <v>0</v>
      </c>
      <c r="BA49" s="9">
        <v>0</v>
      </c>
      <c r="BB49" s="9">
        <v>0</v>
      </c>
      <c r="BC49" s="9">
        <v>0</v>
      </c>
      <c r="BD49" s="9">
        <v>0</v>
      </c>
      <c r="BE49" s="9">
        <v>0</v>
      </c>
      <c r="BF49" s="9">
        <v>0</v>
      </c>
      <c r="BG49" s="9">
        <v>0</v>
      </c>
      <c r="BH49" s="9">
        <v>0</v>
      </c>
      <c r="BI49" s="9">
        <v>0</v>
      </c>
      <c r="BJ49" s="9">
        <v>0</v>
      </c>
      <c r="BK49" s="9">
        <v>0</v>
      </c>
      <c r="BL49" s="9">
        <v>0</v>
      </c>
      <c r="BM49" s="9">
        <v>0</v>
      </c>
      <c r="BN49" s="9">
        <v>0</v>
      </c>
      <c r="BO49" s="9">
        <v>0</v>
      </c>
      <c r="BP49" s="9">
        <v>0</v>
      </c>
      <c r="BQ49" s="9">
        <v>0</v>
      </c>
      <c r="BR49" s="9">
        <v>0</v>
      </c>
      <c r="BS49" s="9">
        <v>0</v>
      </c>
      <c r="BT49" s="9">
        <v>0</v>
      </c>
      <c r="BU49" s="9">
        <v>0</v>
      </c>
      <c r="BV49" s="9">
        <v>0</v>
      </c>
      <c r="BW49" s="9">
        <v>0</v>
      </c>
      <c r="BX49" s="9">
        <v>0</v>
      </c>
      <c r="BY49" s="9">
        <v>0</v>
      </c>
      <c r="BZ49" s="9">
        <v>0</v>
      </c>
      <c r="CA49" s="9">
        <v>0</v>
      </c>
      <c r="CB49" s="9">
        <v>0</v>
      </c>
      <c r="CC49" s="9">
        <v>0</v>
      </c>
      <c r="CD49" s="9">
        <v>0</v>
      </c>
      <c r="CE49" s="9">
        <v>0</v>
      </c>
      <c r="CF49" s="9">
        <v>0</v>
      </c>
      <c r="CG49" s="9">
        <v>0</v>
      </c>
      <c r="CH49" s="9">
        <v>0</v>
      </c>
      <c r="CI49" s="9">
        <v>0</v>
      </c>
      <c r="CJ49" s="9">
        <v>0</v>
      </c>
      <c r="CK49" s="9">
        <v>0</v>
      </c>
      <c r="CL49" s="9">
        <v>0</v>
      </c>
      <c r="CM49" s="9">
        <v>0</v>
      </c>
      <c r="CN49" s="9">
        <v>0</v>
      </c>
      <c r="CO49" s="9">
        <v>0</v>
      </c>
      <c r="CP49" s="9">
        <v>0</v>
      </c>
      <c r="CQ49" s="9">
        <v>0</v>
      </c>
      <c r="CR49" s="9">
        <v>0</v>
      </c>
      <c r="CS49" s="9">
        <v>0</v>
      </c>
      <c r="CT49" s="9">
        <v>0</v>
      </c>
      <c r="CU49" s="9">
        <v>0</v>
      </c>
      <c r="CV49" s="9">
        <v>0</v>
      </c>
      <c r="CW49" s="9">
        <v>0</v>
      </c>
      <c r="CX49" s="9">
        <v>0</v>
      </c>
      <c r="CY49" s="9">
        <v>0</v>
      </c>
      <c r="CZ49" s="9">
        <v>0</v>
      </c>
      <c r="DA49" s="9">
        <v>0</v>
      </c>
      <c r="DB49" s="9">
        <v>0</v>
      </c>
      <c r="DC49" s="9">
        <v>0</v>
      </c>
      <c r="DD49" s="9">
        <v>0</v>
      </c>
      <c r="DE49" s="9">
        <v>0</v>
      </c>
      <c r="DF49" s="9">
        <v>0</v>
      </c>
      <c r="DG49" s="9">
        <v>0</v>
      </c>
      <c r="DH49" s="9">
        <v>0</v>
      </c>
      <c r="DI49" s="9">
        <v>0</v>
      </c>
      <c r="DJ49" s="9">
        <v>0</v>
      </c>
      <c r="DK49" s="9">
        <v>0</v>
      </c>
      <c r="DL49" s="9">
        <v>0</v>
      </c>
      <c r="DM49" s="9">
        <v>0</v>
      </c>
      <c r="DN49" s="9">
        <v>0</v>
      </c>
      <c r="DO49" s="9">
        <v>0</v>
      </c>
      <c r="DP49" s="9">
        <v>0</v>
      </c>
      <c r="DQ49" s="9">
        <v>0</v>
      </c>
      <c r="DR49" s="9">
        <v>0</v>
      </c>
      <c r="DS49" s="9">
        <v>0</v>
      </c>
      <c r="DT49" s="9">
        <v>0</v>
      </c>
      <c r="DU49" s="9">
        <v>0</v>
      </c>
      <c r="DV49" s="9">
        <v>0</v>
      </c>
      <c r="DW49" s="9">
        <v>0</v>
      </c>
      <c r="DX49" s="9">
        <v>0</v>
      </c>
      <c r="DY49" s="9">
        <v>0</v>
      </c>
      <c r="DZ49" s="9">
        <v>0</v>
      </c>
      <c r="EA49" s="9">
        <v>0</v>
      </c>
      <c r="EB49" s="9">
        <v>0</v>
      </c>
      <c r="EC49" s="9">
        <v>0</v>
      </c>
      <c r="ED49" s="9">
        <v>0</v>
      </c>
      <c r="EE49" s="9">
        <v>0</v>
      </c>
      <c r="EF49" s="9">
        <v>0</v>
      </c>
      <c r="EG49" s="9">
        <v>0</v>
      </c>
      <c r="EH49" s="9">
        <v>0</v>
      </c>
      <c r="EI49" s="10">
        <v>0</v>
      </c>
    </row>
    <row r="50" spans="1:139" x14ac:dyDescent="0.35">
      <c r="A50" s="8" t="s">
        <v>73</v>
      </c>
      <c r="B50" s="9" t="s">
        <v>94</v>
      </c>
      <c r="C50" s="9" t="s">
        <v>95</v>
      </c>
      <c r="D50" s="9">
        <f t="shared" si="0"/>
        <v>0</v>
      </c>
      <c r="E50" s="9">
        <v>0</v>
      </c>
      <c r="F50" s="9">
        <v>0</v>
      </c>
      <c r="G50" s="9">
        <v>0</v>
      </c>
      <c r="H50" s="9">
        <v>0</v>
      </c>
      <c r="I50" s="9">
        <v>0</v>
      </c>
      <c r="J50" s="9">
        <v>0</v>
      </c>
      <c r="K50" s="9">
        <v>0</v>
      </c>
      <c r="L50" s="9">
        <v>0</v>
      </c>
      <c r="M50" s="9">
        <v>0</v>
      </c>
      <c r="N50" s="9">
        <v>0</v>
      </c>
      <c r="O50" s="9">
        <v>0</v>
      </c>
      <c r="P50" s="9">
        <v>0</v>
      </c>
      <c r="Q50" s="9">
        <v>0</v>
      </c>
      <c r="R50" s="9">
        <v>0</v>
      </c>
      <c r="S50" s="9">
        <v>0</v>
      </c>
      <c r="T50" s="9">
        <v>0</v>
      </c>
      <c r="U50" s="9">
        <v>0</v>
      </c>
      <c r="V50" s="9">
        <v>0</v>
      </c>
      <c r="W50" s="9">
        <v>0</v>
      </c>
      <c r="X50" s="9">
        <v>0</v>
      </c>
      <c r="Y50" s="9">
        <v>0</v>
      </c>
      <c r="Z50" s="9">
        <v>0</v>
      </c>
      <c r="AA50" s="9">
        <v>0</v>
      </c>
      <c r="AB50" s="9">
        <v>0</v>
      </c>
      <c r="AC50" s="9">
        <v>0</v>
      </c>
      <c r="AD50" s="9">
        <v>0</v>
      </c>
      <c r="AE50" s="9">
        <v>0</v>
      </c>
      <c r="AF50" s="9">
        <v>0</v>
      </c>
      <c r="AG50" s="9">
        <v>0</v>
      </c>
      <c r="AH50" s="9">
        <v>0</v>
      </c>
      <c r="AI50" s="9">
        <v>0</v>
      </c>
      <c r="AJ50" s="9">
        <v>0</v>
      </c>
      <c r="AK50" s="9">
        <v>0</v>
      </c>
      <c r="AL50" s="9">
        <v>0</v>
      </c>
      <c r="AM50" s="9">
        <v>0</v>
      </c>
      <c r="AN50" s="9">
        <v>0</v>
      </c>
      <c r="AO50" s="9">
        <v>0</v>
      </c>
      <c r="AP50" s="9">
        <v>0</v>
      </c>
      <c r="AQ50" s="9">
        <v>0</v>
      </c>
      <c r="AR50" s="9">
        <v>0</v>
      </c>
      <c r="AS50" s="9">
        <v>0</v>
      </c>
      <c r="AT50" s="9">
        <v>0</v>
      </c>
      <c r="AU50" s="9">
        <v>0</v>
      </c>
      <c r="AV50" s="9">
        <v>0</v>
      </c>
      <c r="AW50" s="9">
        <v>0</v>
      </c>
      <c r="AX50" s="9">
        <v>0</v>
      </c>
      <c r="AY50" s="9">
        <v>0</v>
      </c>
      <c r="AZ50" s="9">
        <v>0</v>
      </c>
      <c r="BA50" s="9">
        <v>0</v>
      </c>
      <c r="BB50" s="9">
        <v>0</v>
      </c>
      <c r="BC50" s="9">
        <v>0</v>
      </c>
      <c r="BD50" s="9">
        <v>0</v>
      </c>
      <c r="BE50" s="9">
        <v>0</v>
      </c>
      <c r="BF50" s="9">
        <v>0</v>
      </c>
      <c r="BG50" s="9">
        <v>0</v>
      </c>
      <c r="BH50" s="9">
        <v>0</v>
      </c>
      <c r="BI50" s="9">
        <v>0</v>
      </c>
      <c r="BJ50" s="9">
        <v>0</v>
      </c>
      <c r="BK50" s="9">
        <v>0</v>
      </c>
      <c r="BL50" s="9">
        <v>0</v>
      </c>
      <c r="BM50" s="9">
        <v>0</v>
      </c>
      <c r="BN50" s="9">
        <v>0</v>
      </c>
      <c r="BO50" s="9">
        <v>0</v>
      </c>
      <c r="BP50" s="9">
        <v>0</v>
      </c>
      <c r="BQ50" s="9">
        <v>0</v>
      </c>
      <c r="BR50" s="9">
        <v>0</v>
      </c>
      <c r="BS50" s="9">
        <v>0</v>
      </c>
      <c r="BT50" s="9">
        <v>0</v>
      </c>
      <c r="BU50" s="9">
        <v>0</v>
      </c>
      <c r="BV50" s="9">
        <v>0</v>
      </c>
      <c r="BW50" s="9">
        <v>0</v>
      </c>
      <c r="BX50" s="9">
        <v>0</v>
      </c>
      <c r="BY50" s="9">
        <v>0</v>
      </c>
      <c r="BZ50" s="9">
        <v>0</v>
      </c>
      <c r="CA50" s="9">
        <v>0</v>
      </c>
      <c r="CB50" s="9">
        <v>0</v>
      </c>
      <c r="CC50" s="9">
        <v>0</v>
      </c>
      <c r="CD50" s="9">
        <v>0</v>
      </c>
      <c r="CE50" s="9">
        <v>0</v>
      </c>
      <c r="CF50" s="9">
        <v>0</v>
      </c>
      <c r="CG50" s="9">
        <v>0</v>
      </c>
      <c r="CH50" s="9">
        <v>0</v>
      </c>
      <c r="CI50" s="9">
        <v>0</v>
      </c>
      <c r="CJ50" s="9">
        <v>0</v>
      </c>
      <c r="CK50" s="9">
        <v>0</v>
      </c>
      <c r="CL50" s="9">
        <v>0</v>
      </c>
      <c r="CM50" s="9">
        <v>0</v>
      </c>
      <c r="CN50" s="9">
        <v>0</v>
      </c>
      <c r="CO50" s="9">
        <v>0</v>
      </c>
      <c r="CP50" s="9">
        <v>0</v>
      </c>
      <c r="CQ50" s="9">
        <v>0</v>
      </c>
      <c r="CR50" s="9">
        <v>0</v>
      </c>
      <c r="CS50" s="9">
        <v>0</v>
      </c>
      <c r="CT50" s="9">
        <v>0</v>
      </c>
      <c r="CU50" s="9">
        <v>0</v>
      </c>
      <c r="CV50" s="9">
        <v>0</v>
      </c>
      <c r="CW50" s="9">
        <v>0</v>
      </c>
      <c r="CX50" s="9">
        <v>0</v>
      </c>
      <c r="CY50" s="9">
        <v>0</v>
      </c>
      <c r="CZ50" s="9">
        <v>0</v>
      </c>
      <c r="DA50" s="9">
        <v>0</v>
      </c>
      <c r="DB50" s="9">
        <v>0</v>
      </c>
      <c r="DC50" s="9">
        <v>0</v>
      </c>
      <c r="DD50" s="9">
        <v>0</v>
      </c>
      <c r="DE50" s="9">
        <v>0</v>
      </c>
      <c r="DF50" s="9">
        <v>0</v>
      </c>
      <c r="DG50" s="9">
        <v>0</v>
      </c>
      <c r="DH50" s="9">
        <v>0</v>
      </c>
      <c r="DI50" s="9">
        <v>0</v>
      </c>
      <c r="DJ50" s="9">
        <v>0</v>
      </c>
      <c r="DK50" s="9">
        <v>0</v>
      </c>
      <c r="DL50" s="9">
        <v>0</v>
      </c>
      <c r="DM50" s="9">
        <v>0</v>
      </c>
      <c r="DN50" s="9">
        <v>0</v>
      </c>
      <c r="DO50" s="9">
        <v>0</v>
      </c>
      <c r="DP50" s="9">
        <v>0</v>
      </c>
      <c r="DQ50" s="9">
        <v>0</v>
      </c>
      <c r="DR50" s="9">
        <v>0</v>
      </c>
      <c r="DS50" s="9">
        <v>0</v>
      </c>
      <c r="DT50" s="9">
        <v>0</v>
      </c>
      <c r="DU50" s="9">
        <v>0</v>
      </c>
      <c r="DV50" s="9">
        <v>0</v>
      </c>
      <c r="DW50" s="9">
        <v>0</v>
      </c>
      <c r="DX50" s="9">
        <v>0</v>
      </c>
      <c r="DY50" s="9">
        <v>0</v>
      </c>
      <c r="DZ50" s="9">
        <v>0</v>
      </c>
      <c r="EA50" s="9">
        <v>0</v>
      </c>
      <c r="EB50" s="9">
        <v>0</v>
      </c>
      <c r="EC50" s="9">
        <v>0</v>
      </c>
      <c r="ED50" s="9">
        <v>0</v>
      </c>
      <c r="EE50" s="9">
        <v>0</v>
      </c>
      <c r="EF50" s="9">
        <v>0</v>
      </c>
      <c r="EG50" s="9">
        <v>0</v>
      </c>
      <c r="EH50" s="9">
        <v>0</v>
      </c>
      <c r="EI50" s="10">
        <v>0</v>
      </c>
    </row>
    <row r="51" spans="1:139" x14ac:dyDescent="0.35">
      <c r="A51" s="8" t="s">
        <v>73</v>
      </c>
      <c r="B51" s="9" t="s">
        <v>96</v>
      </c>
      <c r="C51" s="9" t="s">
        <v>97</v>
      </c>
      <c r="D51" s="9">
        <f t="shared" si="0"/>
        <v>0</v>
      </c>
      <c r="E51" s="9">
        <v>0</v>
      </c>
      <c r="F51" s="9">
        <v>0</v>
      </c>
      <c r="G51" s="9">
        <v>0</v>
      </c>
      <c r="H51" s="9">
        <v>0</v>
      </c>
      <c r="I51" s="9">
        <v>0</v>
      </c>
      <c r="J51" s="9">
        <v>0</v>
      </c>
      <c r="K51" s="9">
        <v>0</v>
      </c>
      <c r="L51" s="9">
        <v>0</v>
      </c>
      <c r="M51" s="9">
        <v>0</v>
      </c>
      <c r="N51" s="9">
        <v>0</v>
      </c>
      <c r="O51" s="9">
        <v>0</v>
      </c>
      <c r="P51" s="9">
        <v>0</v>
      </c>
      <c r="Q51" s="9">
        <v>0</v>
      </c>
      <c r="R51" s="9">
        <v>0</v>
      </c>
      <c r="S51" s="9">
        <v>0</v>
      </c>
      <c r="T51" s="9">
        <v>0</v>
      </c>
      <c r="U51" s="9">
        <v>0</v>
      </c>
      <c r="V51" s="9">
        <v>0</v>
      </c>
      <c r="W51" s="9">
        <v>0</v>
      </c>
      <c r="X51" s="9">
        <v>0</v>
      </c>
      <c r="Y51" s="9">
        <v>0</v>
      </c>
      <c r="Z51" s="9">
        <v>0</v>
      </c>
      <c r="AA51" s="9">
        <v>0</v>
      </c>
      <c r="AB51" s="9">
        <v>0</v>
      </c>
      <c r="AC51" s="9">
        <v>0</v>
      </c>
      <c r="AD51" s="9">
        <v>0</v>
      </c>
      <c r="AE51" s="9">
        <v>0</v>
      </c>
      <c r="AF51" s="9">
        <v>0</v>
      </c>
      <c r="AG51" s="9">
        <v>0</v>
      </c>
      <c r="AH51" s="9">
        <v>0</v>
      </c>
      <c r="AI51" s="9">
        <v>0</v>
      </c>
      <c r="AJ51" s="9">
        <v>0</v>
      </c>
      <c r="AK51" s="9">
        <v>0</v>
      </c>
      <c r="AL51" s="9">
        <v>0</v>
      </c>
      <c r="AM51" s="9">
        <v>0</v>
      </c>
      <c r="AN51" s="9">
        <v>0</v>
      </c>
      <c r="AO51" s="9">
        <v>0</v>
      </c>
      <c r="AP51" s="9">
        <v>0</v>
      </c>
      <c r="AQ51" s="9">
        <v>0</v>
      </c>
      <c r="AR51" s="9">
        <v>0</v>
      </c>
      <c r="AS51" s="9">
        <v>0</v>
      </c>
      <c r="AT51" s="9">
        <v>0</v>
      </c>
      <c r="AU51" s="9">
        <v>0</v>
      </c>
      <c r="AV51" s="9">
        <v>0</v>
      </c>
      <c r="AW51" s="9">
        <v>0</v>
      </c>
      <c r="AX51" s="9">
        <v>0</v>
      </c>
      <c r="AY51" s="9">
        <v>0</v>
      </c>
      <c r="AZ51" s="9">
        <v>0</v>
      </c>
      <c r="BA51" s="9">
        <v>0</v>
      </c>
      <c r="BB51" s="9">
        <v>0</v>
      </c>
      <c r="BC51" s="9">
        <v>0</v>
      </c>
      <c r="BD51" s="9">
        <v>0</v>
      </c>
      <c r="BE51" s="9">
        <v>0</v>
      </c>
      <c r="BF51" s="9">
        <v>0</v>
      </c>
      <c r="BG51" s="9">
        <v>0</v>
      </c>
      <c r="BH51" s="9">
        <v>0</v>
      </c>
      <c r="BI51" s="9">
        <v>0</v>
      </c>
      <c r="BJ51" s="9">
        <v>0</v>
      </c>
      <c r="BK51" s="9">
        <v>0</v>
      </c>
      <c r="BL51" s="9">
        <v>0</v>
      </c>
      <c r="BM51" s="9">
        <v>0</v>
      </c>
      <c r="BN51" s="9">
        <v>0</v>
      </c>
      <c r="BO51" s="9">
        <v>0</v>
      </c>
      <c r="BP51" s="9">
        <v>0</v>
      </c>
      <c r="BQ51" s="9">
        <v>0</v>
      </c>
      <c r="BR51" s="9">
        <v>0</v>
      </c>
      <c r="BS51" s="9">
        <v>0</v>
      </c>
      <c r="BT51" s="9">
        <v>0</v>
      </c>
      <c r="BU51" s="9">
        <v>0</v>
      </c>
      <c r="BV51" s="9">
        <v>0</v>
      </c>
      <c r="BW51" s="9">
        <v>0</v>
      </c>
      <c r="BX51" s="9">
        <v>0</v>
      </c>
      <c r="BY51" s="9">
        <v>0</v>
      </c>
      <c r="BZ51" s="9">
        <v>0</v>
      </c>
      <c r="CA51" s="9">
        <v>0</v>
      </c>
      <c r="CB51" s="9">
        <v>0</v>
      </c>
      <c r="CC51" s="9">
        <v>0</v>
      </c>
      <c r="CD51" s="9">
        <v>0</v>
      </c>
      <c r="CE51" s="9">
        <v>0</v>
      </c>
      <c r="CF51" s="9">
        <v>0</v>
      </c>
      <c r="CG51" s="9">
        <v>0</v>
      </c>
      <c r="CH51" s="9">
        <v>0</v>
      </c>
      <c r="CI51" s="9">
        <v>0</v>
      </c>
      <c r="CJ51" s="9">
        <v>0</v>
      </c>
      <c r="CK51" s="9">
        <v>0</v>
      </c>
      <c r="CL51" s="9">
        <v>0</v>
      </c>
      <c r="CM51" s="9">
        <v>0</v>
      </c>
      <c r="CN51" s="9">
        <v>0</v>
      </c>
      <c r="CO51" s="9">
        <v>0</v>
      </c>
      <c r="CP51" s="9">
        <v>0</v>
      </c>
      <c r="CQ51" s="9">
        <v>0</v>
      </c>
      <c r="CR51" s="9">
        <v>0</v>
      </c>
      <c r="CS51" s="9">
        <v>0</v>
      </c>
      <c r="CT51" s="9">
        <v>0</v>
      </c>
      <c r="CU51" s="9">
        <v>0</v>
      </c>
      <c r="CV51" s="9">
        <v>0</v>
      </c>
      <c r="CW51" s="9">
        <v>0</v>
      </c>
      <c r="CX51" s="9">
        <v>0</v>
      </c>
      <c r="CY51" s="9">
        <v>0</v>
      </c>
      <c r="CZ51" s="9">
        <v>0</v>
      </c>
      <c r="DA51" s="9">
        <v>0</v>
      </c>
      <c r="DB51" s="9">
        <v>0</v>
      </c>
      <c r="DC51" s="9">
        <v>0</v>
      </c>
      <c r="DD51" s="9">
        <v>0</v>
      </c>
      <c r="DE51" s="9">
        <v>0</v>
      </c>
      <c r="DF51" s="9">
        <v>0</v>
      </c>
      <c r="DG51" s="9">
        <v>0</v>
      </c>
      <c r="DH51" s="9">
        <v>0</v>
      </c>
      <c r="DI51" s="9">
        <v>0</v>
      </c>
      <c r="DJ51" s="9">
        <v>0</v>
      </c>
      <c r="DK51" s="9">
        <v>0</v>
      </c>
      <c r="DL51" s="9">
        <v>0</v>
      </c>
      <c r="DM51" s="9">
        <v>0</v>
      </c>
      <c r="DN51" s="9">
        <v>0</v>
      </c>
      <c r="DO51" s="9">
        <v>0</v>
      </c>
      <c r="DP51" s="9">
        <v>0</v>
      </c>
      <c r="DQ51" s="9">
        <v>0</v>
      </c>
      <c r="DR51" s="9">
        <v>0</v>
      </c>
      <c r="DS51" s="9">
        <v>0</v>
      </c>
      <c r="DT51" s="9">
        <v>0</v>
      </c>
      <c r="DU51" s="9">
        <v>0</v>
      </c>
      <c r="DV51" s="9">
        <v>0</v>
      </c>
      <c r="DW51" s="9">
        <v>0</v>
      </c>
      <c r="DX51" s="9">
        <v>0</v>
      </c>
      <c r="DY51" s="9">
        <v>0</v>
      </c>
      <c r="DZ51" s="9">
        <v>0</v>
      </c>
      <c r="EA51" s="9">
        <v>0</v>
      </c>
      <c r="EB51" s="9">
        <v>0</v>
      </c>
      <c r="EC51" s="9">
        <v>0</v>
      </c>
      <c r="ED51" s="9">
        <v>0</v>
      </c>
      <c r="EE51" s="9">
        <v>0</v>
      </c>
      <c r="EF51" s="9">
        <v>0</v>
      </c>
      <c r="EG51" s="9">
        <v>0</v>
      </c>
      <c r="EH51" s="9">
        <v>0</v>
      </c>
      <c r="EI51" s="10">
        <v>0</v>
      </c>
    </row>
    <row r="52" spans="1:139" x14ac:dyDescent="0.35">
      <c r="A52" s="8" t="s">
        <v>73</v>
      </c>
      <c r="B52" s="9" t="s">
        <v>21</v>
      </c>
      <c r="C52" s="9" t="s">
        <v>22</v>
      </c>
      <c r="D52" s="9">
        <f t="shared" si="0"/>
        <v>4</v>
      </c>
      <c r="E52" s="9">
        <v>0</v>
      </c>
      <c r="F52" s="9">
        <v>0</v>
      </c>
      <c r="G52" s="9">
        <v>0</v>
      </c>
      <c r="H52" s="9">
        <v>0</v>
      </c>
      <c r="I52" s="9">
        <v>0</v>
      </c>
      <c r="J52" s="9">
        <v>0</v>
      </c>
      <c r="K52" s="9">
        <v>0</v>
      </c>
      <c r="L52" s="9">
        <v>0</v>
      </c>
      <c r="M52" s="9">
        <v>0</v>
      </c>
      <c r="N52" s="9">
        <v>0</v>
      </c>
      <c r="O52" s="9">
        <v>0</v>
      </c>
      <c r="P52" s="9">
        <v>0</v>
      </c>
      <c r="Q52" s="9">
        <v>0</v>
      </c>
      <c r="R52" s="9">
        <v>0</v>
      </c>
      <c r="S52" s="9">
        <v>0</v>
      </c>
      <c r="T52" s="9">
        <v>0</v>
      </c>
      <c r="U52" s="9">
        <v>0</v>
      </c>
      <c r="V52" s="9">
        <v>0</v>
      </c>
      <c r="W52" s="9">
        <v>0</v>
      </c>
      <c r="X52" s="9">
        <v>0</v>
      </c>
      <c r="Y52" s="9">
        <v>0</v>
      </c>
      <c r="Z52" s="9">
        <v>0</v>
      </c>
      <c r="AA52" s="9">
        <v>0</v>
      </c>
      <c r="AB52" s="9">
        <v>0</v>
      </c>
      <c r="AC52" s="9">
        <v>0</v>
      </c>
      <c r="AD52" s="9">
        <v>0</v>
      </c>
      <c r="AE52" s="9">
        <v>2</v>
      </c>
      <c r="AF52" s="9">
        <v>1</v>
      </c>
      <c r="AG52" s="9">
        <v>0</v>
      </c>
      <c r="AH52" s="9">
        <v>0</v>
      </c>
      <c r="AI52" s="9">
        <v>0</v>
      </c>
      <c r="AJ52" s="9">
        <v>0</v>
      </c>
      <c r="AK52" s="9">
        <v>0</v>
      </c>
      <c r="AL52" s="9">
        <v>0</v>
      </c>
      <c r="AM52" s="9">
        <v>0</v>
      </c>
      <c r="AN52" s="9">
        <v>0</v>
      </c>
      <c r="AO52" s="9">
        <v>0</v>
      </c>
      <c r="AP52" s="9">
        <v>0</v>
      </c>
      <c r="AQ52" s="9">
        <v>0</v>
      </c>
      <c r="AR52" s="9">
        <v>1</v>
      </c>
      <c r="AS52" s="9">
        <v>0</v>
      </c>
      <c r="AT52" s="9">
        <v>0</v>
      </c>
      <c r="AU52" s="9">
        <v>0</v>
      </c>
      <c r="AV52" s="9">
        <v>0</v>
      </c>
      <c r="AW52" s="9">
        <v>0</v>
      </c>
      <c r="AX52" s="9">
        <v>0</v>
      </c>
      <c r="AY52" s="9">
        <v>0</v>
      </c>
      <c r="AZ52" s="9">
        <v>0</v>
      </c>
      <c r="BA52" s="9">
        <v>0</v>
      </c>
      <c r="BB52" s="9">
        <v>0</v>
      </c>
      <c r="BC52" s="9">
        <v>0</v>
      </c>
      <c r="BD52" s="9">
        <v>0</v>
      </c>
      <c r="BE52" s="9">
        <v>0</v>
      </c>
      <c r="BF52" s="9">
        <v>0</v>
      </c>
      <c r="BG52" s="9">
        <v>0</v>
      </c>
      <c r="BH52" s="9">
        <v>0</v>
      </c>
      <c r="BI52" s="9">
        <v>0</v>
      </c>
      <c r="BJ52" s="9">
        <v>0</v>
      </c>
      <c r="BK52" s="9">
        <v>0</v>
      </c>
      <c r="BL52" s="9">
        <v>0</v>
      </c>
      <c r="BM52" s="9">
        <v>0</v>
      </c>
      <c r="BN52" s="9">
        <v>0</v>
      </c>
      <c r="BO52" s="9">
        <v>0</v>
      </c>
      <c r="BP52" s="9">
        <v>0</v>
      </c>
      <c r="BQ52" s="9">
        <v>0</v>
      </c>
      <c r="BR52" s="9">
        <v>0</v>
      </c>
      <c r="BS52" s="9">
        <v>0</v>
      </c>
      <c r="BT52" s="9">
        <v>0</v>
      </c>
      <c r="BU52" s="9">
        <v>0</v>
      </c>
      <c r="BV52" s="9">
        <v>0</v>
      </c>
      <c r="BW52" s="9">
        <v>0</v>
      </c>
      <c r="BX52" s="9">
        <v>0</v>
      </c>
      <c r="BY52" s="9">
        <v>0</v>
      </c>
      <c r="BZ52" s="9">
        <v>0</v>
      </c>
      <c r="CA52" s="9">
        <v>0</v>
      </c>
      <c r="CB52" s="9">
        <v>0</v>
      </c>
      <c r="CC52" s="9">
        <v>0</v>
      </c>
      <c r="CD52" s="9">
        <v>0</v>
      </c>
      <c r="CE52" s="9">
        <v>0</v>
      </c>
      <c r="CF52" s="9">
        <v>0</v>
      </c>
      <c r="CG52" s="9">
        <v>0</v>
      </c>
      <c r="CH52" s="9">
        <v>0</v>
      </c>
      <c r="CI52" s="9">
        <v>0</v>
      </c>
      <c r="CJ52" s="9">
        <v>0</v>
      </c>
      <c r="CK52" s="9">
        <v>0</v>
      </c>
      <c r="CL52" s="9">
        <v>0</v>
      </c>
      <c r="CM52" s="9">
        <v>0</v>
      </c>
      <c r="CN52" s="9">
        <v>0</v>
      </c>
      <c r="CO52" s="9">
        <v>0</v>
      </c>
      <c r="CP52" s="9">
        <v>0</v>
      </c>
      <c r="CQ52" s="9">
        <v>0</v>
      </c>
      <c r="CR52" s="9">
        <v>0</v>
      </c>
      <c r="CS52" s="9">
        <v>0</v>
      </c>
      <c r="CT52" s="9">
        <v>0</v>
      </c>
      <c r="CU52" s="9">
        <v>0</v>
      </c>
      <c r="CV52" s="9">
        <v>0</v>
      </c>
      <c r="CW52" s="9">
        <v>0</v>
      </c>
      <c r="CX52" s="9">
        <v>0</v>
      </c>
      <c r="CY52" s="9">
        <v>0</v>
      </c>
      <c r="CZ52" s="9">
        <v>0</v>
      </c>
      <c r="DA52" s="9">
        <v>0</v>
      </c>
      <c r="DB52" s="9">
        <v>0</v>
      </c>
      <c r="DC52" s="9">
        <v>0</v>
      </c>
      <c r="DD52" s="9">
        <v>0</v>
      </c>
      <c r="DE52" s="9">
        <v>0</v>
      </c>
      <c r="DF52" s="9">
        <v>0</v>
      </c>
      <c r="DG52" s="9">
        <v>0</v>
      </c>
      <c r="DH52" s="9">
        <v>0</v>
      </c>
      <c r="DI52" s="9">
        <v>0</v>
      </c>
      <c r="DJ52" s="9">
        <v>0</v>
      </c>
      <c r="DK52" s="9">
        <v>0</v>
      </c>
      <c r="DL52" s="9">
        <v>0</v>
      </c>
      <c r="DM52" s="9">
        <v>0</v>
      </c>
      <c r="DN52" s="9">
        <v>0</v>
      </c>
      <c r="DO52" s="9">
        <v>0</v>
      </c>
      <c r="DP52" s="9">
        <v>0</v>
      </c>
      <c r="DQ52" s="9">
        <v>0</v>
      </c>
      <c r="DR52" s="9">
        <v>0</v>
      </c>
      <c r="DS52" s="9">
        <v>0</v>
      </c>
      <c r="DT52" s="9">
        <v>0</v>
      </c>
      <c r="DU52" s="9">
        <v>0</v>
      </c>
      <c r="DV52" s="9">
        <v>0</v>
      </c>
      <c r="DW52" s="9">
        <v>0</v>
      </c>
      <c r="DX52" s="9">
        <v>0</v>
      </c>
      <c r="DY52" s="9">
        <v>0</v>
      </c>
      <c r="DZ52" s="9">
        <v>0</v>
      </c>
      <c r="EA52" s="9">
        <v>0</v>
      </c>
      <c r="EB52" s="9">
        <v>0</v>
      </c>
      <c r="EC52" s="9">
        <v>0</v>
      </c>
      <c r="ED52" s="9">
        <v>0</v>
      </c>
      <c r="EE52" s="9">
        <v>0</v>
      </c>
      <c r="EF52" s="9">
        <v>0</v>
      </c>
      <c r="EG52" s="9">
        <v>0</v>
      </c>
      <c r="EH52" s="9">
        <v>0</v>
      </c>
      <c r="EI52" s="10">
        <v>0</v>
      </c>
    </row>
    <row r="53" spans="1:139" x14ac:dyDescent="0.35">
      <c r="A53" s="8" t="s">
        <v>73</v>
      </c>
      <c r="B53" s="9" t="s">
        <v>23</v>
      </c>
      <c r="C53" s="9" t="s">
        <v>24</v>
      </c>
      <c r="D53" s="9">
        <f t="shared" si="0"/>
        <v>0</v>
      </c>
      <c r="E53" s="9">
        <v>0</v>
      </c>
      <c r="F53" s="9">
        <v>0</v>
      </c>
      <c r="G53" s="9">
        <v>0</v>
      </c>
      <c r="H53" s="9">
        <v>0</v>
      </c>
      <c r="I53" s="9">
        <v>0</v>
      </c>
      <c r="J53" s="9">
        <v>0</v>
      </c>
      <c r="K53" s="9">
        <v>0</v>
      </c>
      <c r="L53" s="9">
        <v>0</v>
      </c>
      <c r="M53" s="9">
        <v>0</v>
      </c>
      <c r="N53" s="9">
        <v>0</v>
      </c>
      <c r="O53" s="9">
        <v>0</v>
      </c>
      <c r="P53" s="9">
        <v>0</v>
      </c>
      <c r="Q53" s="9">
        <v>0</v>
      </c>
      <c r="R53" s="9">
        <v>0</v>
      </c>
      <c r="S53" s="9">
        <v>0</v>
      </c>
      <c r="T53" s="9">
        <v>0</v>
      </c>
      <c r="U53" s="9">
        <v>0</v>
      </c>
      <c r="V53" s="9">
        <v>0</v>
      </c>
      <c r="W53" s="9">
        <v>0</v>
      </c>
      <c r="X53" s="9">
        <v>0</v>
      </c>
      <c r="Y53" s="9">
        <v>0</v>
      </c>
      <c r="Z53" s="9">
        <v>0</v>
      </c>
      <c r="AA53" s="9">
        <v>0</v>
      </c>
      <c r="AB53" s="9">
        <v>0</v>
      </c>
      <c r="AC53" s="9">
        <v>0</v>
      </c>
      <c r="AD53" s="9">
        <v>0</v>
      </c>
      <c r="AE53" s="9">
        <v>0</v>
      </c>
      <c r="AF53" s="9">
        <v>0</v>
      </c>
      <c r="AG53" s="9">
        <v>0</v>
      </c>
      <c r="AH53" s="9">
        <v>0</v>
      </c>
      <c r="AI53" s="9">
        <v>0</v>
      </c>
      <c r="AJ53" s="9">
        <v>0</v>
      </c>
      <c r="AK53" s="9">
        <v>0</v>
      </c>
      <c r="AL53" s="9">
        <v>0</v>
      </c>
      <c r="AM53" s="9">
        <v>0</v>
      </c>
      <c r="AN53" s="9">
        <v>0</v>
      </c>
      <c r="AO53" s="9">
        <v>0</v>
      </c>
      <c r="AP53" s="9">
        <v>0</v>
      </c>
      <c r="AQ53" s="9">
        <v>0</v>
      </c>
      <c r="AR53" s="9">
        <v>0</v>
      </c>
      <c r="AS53" s="9">
        <v>0</v>
      </c>
      <c r="AT53" s="9">
        <v>0</v>
      </c>
      <c r="AU53" s="9">
        <v>0</v>
      </c>
      <c r="AV53" s="9">
        <v>0</v>
      </c>
      <c r="AW53" s="9">
        <v>0</v>
      </c>
      <c r="AX53" s="9">
        <v>0</v>
      </c>
      <c r="AY53" s="9">
        <v>0</v>
      </c>
      <c r="AZ53" s="9">
        <v>0</v>
      </c>
      <c r="BA53" s="9">
        <v>0</v>
      </c>
      <c r="BB53" s="9">
        <v>0</v>
      </c>
      <c r="BC53" s="9">
        <v>0</v>
      </c>
      <c r="BD53" s="9">
        <v>0</v>
      </c>
      <c r="BE53" s="9">
        <v>0</v>
      </c>
      <c r="BF53" s="9">
        <v>0</v>
      </c>
      <c r="BG53" s="9">
        <v>0</v>
      </c>
      <c r="BH53" s="9">
        <v>0</v>
      </c>
      <c r="BI53" s="9">
        <v>0</v>
      </c>
      <c r="BJ53" s="9">
        <v>0</v>
      </c>
      <c r="BK53" s="9">
        <v>0</v>
      </c>
      <c r="BL53" s="9">
        <v>0</v>
      </c>
      <c r="BM53" s="9">
        <v>0</v>
      </c>
      <c r="BN53" s="9">
        <v>0</v>
      </c>
      <c r="BO53" s="9">
        <v>0</v>
      </c>
      <c r="BP53" s="9">
        <v>0</v>
      </c>
      <c r="BQ53" s="9">
        <v>0</v>
      </c>
      <c r="BR53" s="9">
        <v>0</v>
      </c>
      <c r="BS53" s="9">
        <v>0</v>
      </c>
      <c r="BT53" s="9">
        <v>0</v>
      </c>
      <c r="BU53" s="9">
        <v>0</v>
      </c>
      <c r="BV53" s="9">
        <v>0</v>
      </c>
      <c r="BW53" s="9">
        <v>0</v>
      </c>
      <c r="BX53" s="9">
        <v>0</v>
      </c>
      <c r="BY53" s="9">
        <v>0</v>
      </c>
      <c r="BZ53" s="9">
        <v>0</v>
      </c>
      <c r="CA53" s="9">
        <v>0</v>
      </c>
      <c r="CB53" s="9">
        <v>0</v>
      </c>
      <c r="CC53" s="9">
        <v>0</v>
      </c>
      <c r="CD53" s="9">
        <v>0</v>
      </c>
      <c r="CE53" s="9">
        <v>0</v>
      </c>
      <c r="CF53" s="9">
        <v>0</v>
      </c>
      <c r="CG53" s="9">
        <v>0</v>
      </c>
      <c r="CH53" s="9">
        <v>0</v>
      </c>
      <c r="CI53" s="9">
        <v>0</v>
      </c>
      <c r="CJ53" s="9">
        <v>0</v>
      </c>
      <c r="CK53" s="9">
        <v>0</v>
      </c>
      <c r="CL53" s="9">
        <v>0</v>
      </c>
      <c r="CM53" s="9">
        <v>0</v>
      </c>
      <c r="CN53" s="9">
        <v>0</v>
      </c>
      <c r="CO53" s="9">
        <v>0</v>
      </c>
      <c r="CP53" s="9">
        <v>0</v>
      </c>
      <c r="CQ53" s="9">
        <v>0</v>
      </c>
      <c r="CR53" s="9">
        <v>0</v>
      </c>
      <c r="CS53" s="9">
        <v>0</v>
      </c>
      <c r="CT53" s="9">
        <v>0</v>
      </c>
      <c r="CU53" s="9">
        <v>0</v>
      </c>
      <c r="CV53" s="9">
        <v>0</v>
      </c>
      <c r="CW53" s="9">
        <v>0</v>
      </c>
      <c r="CX53" s="9">
        <v>0</v>
      </c>
      <c r="CY53" s="9">
        <v>0</v>
      </c>
      <c r="CZ53" s="9">
        <v>0</v>
      </c>
      <c r="DA53" s="9">
        <v>0</v>
      </c>
      <c r="DB53" s="9">
        <v>0</v>
      </c>
      <c r="DC53" s="9">
        <v>0</v>
      </c>
      <c r="DD53" s="9">
        <v>0</v>
      </c>
      <c r="DE53" s="9">
        <v>0</v>
      </c>
      <c r="DF53" s="9">
        <v>0</v>
      </c>
      <c r="DG53" s="9">
        <v>0</v>
      </c>
      <c r="DH53" s="9">
        <v>0</v>
      </c>
      <c r="DI53" s="9">
        <v>0</v>
      </c>
      <c r="DJ53" s="9">
        <v>0</v>
      </c>
      <c r="DK53" s="9">
        <v>0</v>
      </c>
      <c r="DL53" s="9">
        <v>0</v>
      </c>
      <c r="DM53" s="9">
        <v>0</v>
      </c>
      <c r="DN53" s="9">
        <v>0</v>
      </c>
      <c r="DO53" s="9">
        <v>0</v>
      </c>
      <c r="DP53" s="9">
        <v>0</v>
      </c>
      <c r="DQ53" s="9">
        <v>0</v>
      </c>
      <c r="DR53" s="9">
        <v>0</v>
      </c>
      <c r="DS53" s="9">
        <v>0</v>
      </c>
      <c r="DT53" s="9">
        <v>0</v>
      </c>
      <c r="DU53" s="9">
        <v>0</v>
      </c>
      <c r="DV53" s="9">
        <v>0</v>
      </c>
      <c r="DW53" s="9">
        <v>0</v>
      </c>
      <c r="DX53" s="9">
        <v>0</v>
      </c>
      <c r="DY53" s="9">
        <v>0</v>
      </c>
      <c r="DZ53" s="9">
        <v>0</v>
      </c>
      <c r="EA53" s="9">
        <v>0</v>
      </c>
      <c r="EB53" s="9">
        <v>0</v>
      </c>
      <c r="EC53" s="9">
        <v>0</v>
      </c>
      <c r="ED53" s="9">
        <v>0</v>
      </c>
      <c r="EE53" s="9">
        <v>0</v>
      </c>
      <c r="EF53" s="9">
        <v>0</v>
      </c>
      <c r="EG53" s="9">
        <v>0</v>
      </c>
      <c r="EH53" s="9">
        <v>0</v>
      </c>
      <c r="EI53" s="10">
        <v>0</v>
      </c>
    </row>
    <row r="54" spans="1:139" x14ac:dyDescent="0.35">
      <c r="A54" s="8" t="s">
        <v>73</v>
      </c>
      <c r="B54" s="9" t="s">
        <v>98</v>
      </c>
      <c r="C54" s="9" t="s">
        <v>99</v>
      </c>
      <c r="D54" s="9">
        <f t="shared" si="0"/>
        <v>1</v>
      </c>
      <c r="E54" s="9">
        <v>0</v>
      </c>
      <c r="F54" s="9">
        <v>0</v>
      </c>
      <c r="G54" s="9">
        <v>0</v>
      </c>
      <c r="H54" s="9">
        <v>0</v>
      </c>
      <c r="I54" s="9">
        <v>0</v>
      </c>
      <c r="J54" s="9">
        <v>0</v>
      </c>
      <c r="K54" s="9">
        <v>0</v>
      </c>
      <c r="L54" s="9">
        <v>0</v>
      </c>
      <c r="M54" s="9">
        <v>0</v>
      </c>
      <c r="N54" s="9">
        <v>0</v>
      </c>
      <c r="O54" s="9">
        <v>0</v>
      </c>
      <c r="P54" s="9">
        <v>0</v>
      </c>
      <c r="Q54" s="9">
        <v>0</v>
      </c>
      <c r="R54" s="9">
        <v>0</v>
      </c>
      <c r="S54" s="9">
        <v>0</v>
      </c>
      <c r="T54" s="9">
        <v>0</v>
      </c>
      <c r="U54" s="9">
        <v>0</v>
      </c>
      <c r="V54" s="9">
        <v>0</v>
      </c>
      <c r="W54" s="9">
        <v>0</v>
      </c>
      <c r="X54" s="9">
        <v>0</v>
      </c>
      <c r="Y54" s="9">
        <v>0</v>
      </c>
      <c r="Z54" s="9">
        <v>1</v>
      </c>
      <c r="AA54" s="9">
        <v>0</v>
      </c>
      <c r="AB54" s="9">
        <v>0</v>
      </c>
      <c r="AC54" s="9">
        <v>0</v>
      </c>
      <c r="AD54" s="9">
        <v>0</v>
      </c>
      <c r="AE54" s="9">
        <v>0</v>
      </c>
      <c r="AF54" s="9">
        <v>0</v>
      </c>
      <c r="AG54" s="9">
        <v>0</v>
      </c>
      <c r="AH54" s="9">
        <v>0</v>
      </c>
      <c r="AI54" s="9">
        <v>0</v>
      </c>
      <c r="AJ54" s="9">
        <v>0</v>
      </c>
      <c r="AK54" s="9">
        <v>0</v>
      </c>
      <c r="AL54" s="9">
        <v>0</v>
      </c>
      <c r="AM54" s="9">
        <v>0</v>
      </c>
      <c r="AN54" s="9">
        <v>0</v>
      </c>
      <c r="AO54" s="9">
        <v>0</v>
      </c>
      <c r="AP54" s="9">
        <v>0</v>
      </c>
      <c r="AQ54" s="9">
        <v>0</v>
      </c>
      <c r="AR54" s="9">
        <v>0</v>
      </c>
      <c r="AS54" s="9">
        <v>0</v>
      </c>
      <c r="AT54" s="9">
        <v>0</v>
      </c>
      <c r="AU54" s="9">
        <v>0</v>
      </c>
      <c r="AV54" s="9">
        <v>0</v>
      </c>
      <c r="AW54" s="9">
        <v>0</v>
      </c>
      <c r="AX54" s="9">
        <v>0</v>
      </c>
      <c r="AY54" s="9">
        <v>0</v>
      </c>
      <c r="AZ54" s="9">
        <v>0</v>
      </c>
      <c r="BA54" s="9">
        <v>0</v>
      </c>
      <c r="BB54" s="9">
        <v>0</v>
      </c>
      <c r="BC54" s="9">
        <v>0</v>
      </c>
      <c r="BD54" s="9">
        <v>0</v>
      </c>
      <c r="BE54" s="9">
        <v>0</v>
      </c>
      <c r="BF54" s="9">
        <v>0</v>
      </c>
      <c r="BG54" s="9">
        <v>0</v>
      </c>
      <c r="BH54" s="9">
        <v>0</v>
      </c>
      <c r="BI54" s="9">
        <v>0</v>
      </c>
      <c r="BJ54" s="9">
        <v>0</v>
      </c>
      <c r="BK54" s="9">
        <v>0</v>
      </c>
      <c r="BL54" s="9">
        <v>0</v>
      </c>
      <c r="BM54" s="9">
        <v>0</v>
      </c>
      <c r="BN54" s="9">
        <v>0</v>
      </c>
      <c r="BO54" s="9">
        <v>0</v>
      </c>
      <c r="BP54" s="9">
        <v>0</v>
      </c>
      <c r="BQ54" s="9">
        <v>0</v>
      </c>
      <c r="BR54" s="9">
        <v>0</v>
      </c>
      <c r="BS54" s="9">
        <v>0</v>
      </c>
      <c r="BT54" s="9">
        <v>0</v>
      </c>
      <c r="BU54" s="9">
        <v>0</v>
      </c>
      <c r="BV54" s="9">
        <v>0</v>
      </c>
      <c r="BW54" s="9">
        <v>0</v>
      </c>
      <c r="BX54" s="9">
        <v>0</v>
      </c>
      <c r="BY54" s="9">
        <v>0</v>
      </c>
      <c r="BZ54" s="9">
        <v>0</v>
      </c>
      <c r="CA54" s="9">
        <v>0</v>
      </c>
      <c r="CB54" s="9">
        <v>0</v>
      </c>
      <c r="CC54" s="9">
        <v>0</v>
      </c>
      <c r="CD54" s="9">
        <v>0</v>
      </c>
      <c r="CE54" s="9">
        <v>0</v>
      </c>
      <c r="CF54" s="9">
        <v>0</v>
      </c>
      <c r="CG54" s="9">
        <v>0</v>
      </c>
      <c r="CH54" s="9">
        <v>0</v>
      </c>
      <c r="CI54" s="9">
        <v>0</v>
      </c>
      <c r="CJ54" s="9">
        <v>0</v>
      </c>
      <c r="CK54" s="9">
        <v>0</v>
      </c>
      <c r="CL54" s="9">
        <v>0</v>
      </c>
      <c r="CM54" s="9">
        <v>0</v>
      </c>
      <c r="CN54" s="9">
        <v>0</v>
      </c>
      <c r="CO54" s="9">
        <v>0</v>
      </c>
      <c r="CP54" s="9">
        <v>0</v>
      </c>
      <c r="CQ54" s="9">
        <v>0</v>
      </c>
      <c r="CR54" s="9">
        <v>0</v>
      </c>
      <c r="CS54" s="9">
        <v>0</v>
      </c>
      <c r="CT54" s="9">
        <v>0</v>
      </c>
      <c r="CU54" s="9">
        <v>0</v>
      </c>
      <c r="CV54" s="9">
        <v>0</v>
      </c>
      <c r="CW54" s="9">
        <v>0</v>
      </c>
      <c r="CX54" s="9">
        <v>0</v>
      </c>
      <c r="CY54" s="9">
        <v>0</v>
      </c>
      <c r="CZ54" s="9">
        <v>0</v>
      </c>
      <c r="DA54" s="9">
        <v>0</v>
      </c>
      <c r="DB54" s="9">
        <v>0</v>
      </c>
      <c r="DC54" s="9">
        <v>0</v>
      </c>
      <c r="DD54" s="9">
        <v>0</v>
      </c>
      <c r="DE54" s="9">
        <v>0</v>
      </c>
      <c r="DF54" s="9">
        <v>0</v>
      </c>
      <c r="DG54" s="9">
        <v>0</v>
      </c>
      <c r="DH54" s="9">
        <v>0</v>
      </c>
      <c r="DI54" s="9">
        <v>0</v>
      </c>
      <c r="DJ54" s="9">
        <v>0</v>
      </c>
      <c r="DK54" s="9">
        <v>0</v>
      </c>
      <c r="DL54" s="9">
        <v>0</v>
      </c>
      <c r="DM54" s="9">
        <v>0</v>
      </c>
      <c r="DN54" s="9">
        <v>0</v>
      </c>
      <c r="DO54" s="9">
        <v>0</v>
      </c>
      <c r="DP54" s="9">
        <v>0</v>
      </c>
      <c r="DQ54" s="9">
        <v>0</v>
      </c>
      <c r="DR54" s="9">
        <v>0</v>
      </c>
      <c r="DS54" s="9">
        <v>0</v>
      </c>
      <c r="DT54" s="9">
        <v>0</v>
      </c>
      <c r="DU54" s="9">
        <v>0</v>
      </c>
      <c r="DV54" s="9">
        <v>0</v>
      </c>
      <c r="DW54" s="9">
        <v>0</v>
      </c>
      <c r="DX54" s="9">
        <v>0</v>
      </c>
      <c r="DY54" s="9">
        <v>0</v>
      </c>
      <c r="DZ54" s="9">
        <v>0</v>
      </c>
      <c r="EA54" s="9">
        <v>0</v>
      </c>
      <c r="EB54" s="9">
        <v>0</v>
      </c>
      <c r="EC54" s="9">
        <v>0</v>
      </c>
      <c r="ED54" s="9">
        <v>0</v>
      </c>
      <c r="EE54" s="9">
        <v>0</v>
      </c>
      <c r="EF54" s="9">
        <v>0</v>
      </c>
      <c r="EG54" s="9">
        <v>0</v>
      </c>
      <c r="EH54" s="9">
        <v>0</v>
      </c>
      <c r="EI54" s="10">
        <v>0</v>
      </c>
    </row>
    <row r="55" spans="1:139" x14ac:dyDescent="0.35">
      <c r="A55" s="8" t="s">
        <v>73</v>
      </c>
      <c r="B55" s="9" t="s">
        <v>100</v>
      </c>
      <c r="C55" s="9" t="s">
        <v>101</v>
      </c>
      <c r="D55" s="9">
        <f t="shared" si="0"/>
        <v>1</v>
      </c>
      <c r="E55" s="9">
        <v>0</v>
      </c>
      <c r="F55" s="9">
        <v>0</v>
      </c>
      <c r="G55" s="9">
        <v>0</v>
      </c>
      <c r="H55" s="9">
        <v>0</v>
      </c>
      <c r="I55" s="9">
        <v>0</v>
      </c>
      <c r="J55" s="9">
        <v>0</v>
      </c>
      <c r="K55" s="9">
        <v>0</v>
      </c>
      <c r="L55" s="9">
        <v>0</v>
      </c>
      <c r="M55" s="9">
        <v>0</v>
      </c>
      <c r="N55" s="9">
        <v>0</v>
      </c>
      <c r="O55" s="9">
        <v>0</v>
      </c>
      <c r="P55" s="9">
        <v>0</v>
      </c>
      <c r="Q55" s="9">
        <v>0</v>
      </c>
      <c r="R55" s="9">
        <v>0</v>
      </c>
      <c r="S55" s="9">
        <v>0</v>
      </c>
      <c r="T55" s="9">
        <v>0</v>
      </c>
      <c r="U55" s="9">
        <v>0</v>
      </c>
      <c r="V55" s="9">
        <v>0</v>
      </c>
      <c r="W55" s="9">
        <v>0</v>
      </c>
      <c r="X55" s="9">
        <v>0</v>
      </c>
      <c r="Y55" s="9">
        <v>0</v>
      </c>
      <c r="Z55" s="9">
        <v>0</v>
      </c>
      <c r="AA55" s="9">
        <v>0</v>
      </c>
      <c r="AB55" s="9">
        <v>0</v>
      </c>
      <c r="AC55" s="9">
        <v>0</v>
      </c>
      <c r="AD55" s="9">
        <v>0</v>
      </c>
      <c r="AE55" s="9">
        <v>0</v>
      </c>
      <c r="AF55" s="9">
        <v>0</v>
      </c>
      <c r="AG55" s="9">
        <v>0</v>
      </c>
      <c r="AH55" s="9">
        <v>1</v>
      </c>
      <c r="AI55" s="9">
        <v>0</v>
      </c>
      <c r="AJ55" s="9">
        <v>0</v>
      </c>
      <c r="AK55" s="9">
        <v>0</v>
      </c>
      <c r="AL55" s="9">
        <v>0</v>
      </c>
      <c r="AM55" s="9">
        <v>0</v>
      </c>
      <c r="AN55" s="9">
        <v>0</v>
      </c>
      <c r="AO55" s="9">
        <v>0</v>
      </c>
      <c r="AP55" s="9">
        <v>0</v>
      </c>
      <c r="AQ55" s="9">
        <v>0</v>
      </c>
      <c r="AR55" s="9">
        <v>0</v>
      </c>
      <c r="AS55" s="9">
        <v>0</v>
      </c>
      <c r="AT55" s="9">
        <v>0</v>
      </c>
      <c r="AU55" s="9">
        <v>0</v>
      </c>
      <c r="AV55" s="9">
        <v>0</v>
      </c>
      <c r="AW55" s="9">
        <v>0</v>
      </c>
      <c r="AX55" s="9">
        <v>0</v>
      </c>
      <c r="AY55" s="9">
        <v>0</v>
      </c>
      <c r="AZ55" s="9">
        <v>0</v>
      </c>
      <c r="BA55" s="9">
        <v>0</v>
      </c>
      <c r="BB55" s="9">
        <v>0</v>
      </c>
      <c r="BC55" s="9">
        <v>0</v>
      </c>
      <c r="BD55" s="9">
        <v>0</v>
      </c>
      <c r="BE55" s="9">
        <v>0</v>
      </c>
      <c r="BF55" s="9">
        <v>0</v>
      </c>
      <c r="BG55" s="9">
        <v>0</v>
      </c>
      <c r="BH55" s="9">
        <v>0</v>
      </c>
      <c r="BI55" s="9">
        <v>0</v>
      </c>
      <c r="BJ55" s="9">
        <v>0</v>
      </c>
      <c r="BK55" s="9">
        <v>0</v>
      </c>
      <c r="BL55" s="9">
        <v>0</v>
      </c>
      <c r="BM55" s="9">
        <v>0</v>
      </c>
      <c r="BN55" s="9">
        <v>0</v>
      </c>
      <c r="BO55" s="9">
        <v>0</v>
      </c>
      <c r="BP55" s="9">
        <v>0</v>
      </c>
      <c r="BQ55" s="9">
        <v>0</v>
      </c>
      <c r="BR55" s="9">
        <v>0</v>
      </c>
      <c r="BS55" s="9">
        <v>0</v>
      </c>
      <c r="BT55" s="9">
        <v>0</v>
      </c>
      <c r="BU55" s="9">
        <v>0</v>
      </c>
      <c r="BV55" s="9">
        <v>0</v>
      </c>
      <c r="BW55" s="9">
        <v>0</v>
      </c>
      <c r="BX55" s="9">
        <v>0</v>
      </c>
      <c r="BY55" s="9">
        <v>0</v>
      </c>
      <c r="BZ55" s="9">
        <v>0</v>
      </c>
      <c r="CA55" s="9">
        <v>0</v>
      </c>
      <c r="CB55" s="9">
        <v>0</v>
      </c>
      <c r="CC55" s="9">
        <v>0</v>
      </c>
      <c r="CD55" s="9">
        <v>0</v>
      </c>
      <c r="CE55" s="9">
        <v>0</v>
      </c>
      <c r="CF55" s="9">
        <v>0</v>
      </c>
      <c r="CG55" s="9">
        <v>0</v>
      </c>
      <c r="CH55" s="9">
        <v>0</v>
      </c>
      <c r="CI55" s="9">
        <v>0</v>
      </c>
      <c r="CJ55" s="9">
        <v>0</v>
      </c>
      <c r="CK55" s="9">
        <v>0</v>
      </c>
      <c r="CL55" s="9">
        <v>0</v>
      </c>
      <c r="CM55" s="9">
        <v>0</v>
      </c>
      <c r="CN55" s="9">
        <v>0</v>
      </c>
      <c r="CO55" s="9">
        <v>0</v>
      </c>
      <c r="CP55" s="9">
        <v>0</v>
      </c>
      <c r="CQ55" s="9">
        <v>0</v>
      </c>
      <c r="CR55" s="9">
        <v>0</v>
      </c>
      <c r="CS55" s="9">
        <v>0</v>
      </c>
      <c r="CT55" s="9">
        <v>0</v>
      </c>
      <c r="CU55" s="9">
        <v>0</v>
      </c>
      <c r="CV55" s="9">
        <v>0</v>
      </c>
      <c r="CW55" s="9">
        <v>0</v>
      </c>
      <c r="CX55" s="9">
        <v>0</v>
      </c>
      <c r="CY55" s="9">
        <v>0</v>
      </c>
      <c r="CZ55" s="9">
        <v>0</v>
      </c>
      <c r="DA55" s="9">
        <v>0</v>
      </c>
      <c r="DB55" s="9">
        <v>0</v>
      </c>
      <c r="DC55" s="9">
        <v>0</v>
      </c>
      <c r="DD55" s="9">
        <v>0</v>
      </c>
      <c r="DE55" s="9">
        <v>0</v>
      </c>
      <c r="DF55" s="9">
        <v>0</v>
      </c>
      <c r="DG55" s="9">
        <v>0</v>
      </c>
      <c r="DH55" s="9">
        <v>0</v>
      </c>
      <c r="DI55" s="9">
        <v>0</v>
      </c>
      <c r="DJ55" s="9">
        <v>0</v>
      </c>
      <c r="DK55" s="9">
        <v>0</v>
      </c>
      <c r="DL55" s="9">
        <v>0</v>
      </c>
      <c r="DM55" s="9">
        <v>0</v>
      </c>
      <c r="DN55" s="9">
        <v>0</v>
      </c>
      <c r="DO55" s="9">
        <v>0</v>
      </c>
      <c r="DP55" s="9">
        <v>0</v>
      </c>
      <c r="DQ55" s="9">
        <v>0</v>
      </c>
      <c r="DR55" s="9">
        <v>0</v>
      </c>
      <c r="DS55" s="9">
        <v>0</v>
      </c>
      <c r="DT55" s="9">
        <v>0</v>
      </c>
      <c r="DU55" s="9">
        <v>0</v>
      </c>
      <c r="DV55" s="9">
        <v>0</v>
      </c>
      <c r="DW55" s="9">
        <v>0</v>
      </c>
      <c r="DX55" s="9">
        <v>0</v>
      </c>
      <c r="DY55" s="9">
        <v>0</v>
      </c>
      <c r="DZ55" s="9">
        <v>0</v>
      </c>
      <c r="EA55" s="9">
        <v>0</v>
      </c>
      <c r="EB55" s="9">
        <v>0</v>
      </c>
      <c r="EC55" s="9">
        <v>0</v>
      </c>
      <c r="ED55" s="9">
        <v>0</v>
      </c>
      <c r="EE55" s="9">
        <v>0</v>
      </c>
      <c r="EF55" s="9">
        <v>0</v>
      </c>
      <c r="EG55" s="9">
        <v>0</v>
      </c>
      <c r="EH55" s="9">
        <v>0</v>
      </c>
      <c r="EI55" s="10">
        <v>0</v>
      </c>
    </row>
    <row r="56" spans="1:139" x14ac:dyDescent="0.35">
      <c r="A56" s="8" t="s">
        <v>73</v>
      </c>
      <c r="B56" s="9" t="s">
        <v>25</v>
      </c>
      <c r="C56" s="9" t="s">
        <v>26</v>
      </c>
      <c r="D56" s="9">
        <f t="shared" si="0"/>
        <v>0</v>
      </c>
      <c r="E56" s="9">
        <v>0</v>
      </c>
      <c r="F56" s="9">
        <v>0</v>
      </c>
      <c r="G56" s="9">
        <v>0</v>
      </c>
      <c r="H56" s="9">
        <v>0</v>
      </c>
      <c r="I56" s="9">
        <v>0</v>
      </c>
      <c r="J56" s="9">
        <v>0</v>
      </c>
      <c r="K56" s="9">
        <v>0</v>
      </c>
      <c r="L56" s="9">
        <v>0</v>
      </c>
      <c r="M56" s="9">
        <v>0</v>
      </c>
      <c r="N56" s="9">
        <v>0</v>
      </c>
      <c r="O56" s="9">
        <v>0</v>
      </c>
      <c r="P56" s="9">
        <v>0</v>
      </c>
      <c r="Q56" s="9">
        <v>0</v>
      </c>
      <c r="R56" s="9">
        <v>0</v>
      </c>
      <c r="S56" s="9">
        <v>0</v>
      </c>
      <c r="T56" s="9">
        <v>0</v>
      </c>
      <c r="U56" s="9">
        <v>0</v>
      </c>
      <c r="V56" s="9">
        <v>0</v>
      </c>
      <c r="W56" s="9">
        <v>0</v>
      </c>
      <c r="X56" s="9">
        <v>0</v>
      </c>
      <c r="Y56" s="9">
        <v>0</v>
      </c>
      <c r="Z56" s="9">
        <v>0</v>
      </c>
      <c r="AA56" s="9">
        <v>0</v>
      </c>
      <c r="AB56" s="9">
        <v>0</v>
      </c>
      <c r="AC56" s="9">
        <v>0</v>
      </c>
      <c r="AD56" s="9">
        <v>0</v>
      </c>
      <c r="AE56" s="9">
        <v>0</v>
      </c>
      <c r="AF56" s="9">
        <v>0</v>
      </c>
      <c r="AG56" s="9">
        <v>0</v>
      </c>
      <c r="AH56" s="9">
        <v>0</v>
      </c>
      <c r="AI56" s="9">
        <v>0</v>
      </c>
      <c r="AJ56" s="9">
        <v>0</v>
      </c>
      <c r="AK56" s="9">
        <v>0</v>
      </c>
      <c r="AL56" s="9">
        <v>0</v>
      </c>
      <c r="AM56" s="9">
        <v>0</v>
      </c>
      <c r="AN56" s="9">
        <v>0</v>
      </c>
      <c r="AO56" s="9">
        <v>0</v>
      </c>
      <c r="AP56" s="9">
        <v>0</v>
      </c>
      <c r="AQ56" s="9">
        <v>0</v>
      </c>
      <c r="AR56" s="9">
        <v>0</v>
      </c>
      <c r="AS56" s="9">
        <v>0</v>
      </c>
      <c r="AT56" s="9">
        <v>0</v>
      </c>
      <c r="AU56" s="9">
        <v>0</v>
      </c>
      <c r="AV56" s="9">
        <v>0</v>
      </c>
      <c r="AW56" s="9">
        <v>0</v>
      </c>
      <c r="AX56" s="9">
        <v>0</v>
      </c>
      <c r="AY56" s="9">
        <v>0</v>
      </c>
      <c r="AZ56" s="9">
        <v>0</v>
      </c>
      <c r="BA56" s="9">
        <v>0</v>
      </c>
      <c r="BB56" s="9">
        <v>0</v>
      </c>
      <c r="BC56" s="9">
        <v>0</v>
      </c>
      <c r="BD56" s="9">
        <v>0</v>
      </c>
      <c r="BE56" s="9">
        <v>0</v>
      </c>
      <c r="BF56" s="9">
        <v>0</v>
      </c>
      <c r="BG56" s="9">
        <v>0</v>
      </c>
      <c r="BH56" s="9">
        <v>0</v>
      </c>
      <c r="BI56" s="9">
        <v>0</v>
      </c>
      <c r="BJ56" s="9">
        <v>0</v>
      </c>
      <c r="BK56" s="9">
        <v>0</v>
      </c>
      <c r="BL56" s="9">
        <v>0</v>
      </c>
      <c r="BM56" s="9">
        <v>0</v>
      </c>
      <c r="BN56" s="9">
        <v>0</v>
      </c>
      <c r="BO56" s="9">
        <v>0</v>
      </c>
      <c r="BP56" s="9">
        <v>0</v>
      </c>
      <c r="BQ56" s="9">
        <v>0</v>
      </c>
      <c r="BR56" s="9">
        <v>0</v>
      </c>
      <c r="BS56" s="9">
        <v>0</v>
      </c>
      <c r="BT56" s="9">
        <v>0</v>
      </c>
      <c r="BU56" s="9">
        <v>0</v>
      </c>
      <c r="BV56" s="9">
        <v>0</v>
      </c>
      <c r="BW56" s="9">
        <v>0</v>
      </c>
      <c r="BX56" s="9">
        <v>0</v>
      </c>
      <c r="BY56" s="9">
        <v>0</v>
      </c>
      <c r="BZ56" s="9">
        <v>0</v>
      </c>
      <c r="CA56" s="9">
        <v>0</v>
      </c>
      <c r="CB56" s="9">
        <v>0</v>
      </c>
      <c r="CC56" s="9">
        <v>0</v>
      </c>
      <c r="CD56" s="9">
        <v>0</v>
      </c>
      <c r="CE56" s="9">
        <v>0</v>
      </c>
      <c r="CF56" s="9">
        <v>0</v>
      </c>
      <c r="CG56" s="9">
        <v>0</v>
      </c>
      <c r="CH56" s="9">
        <v>0</v>
      </c>
      <c r="CI56" s="9">
        <v>0</v>
      </c>
      <c r="CJ56" s="9">
        <v>0</v>
      </c>
      <c r="CK56" s="9">
        <v>0</v>
      </c>
      <c r="CL56" s="9">
        <v>0</v>
      </c>
      <c r="CM56" s="9">
        <v>0</v>
      </c>
      <c r="CN56" s="9">
        <v>0</v>
      </c>
      <c r="CO56" s="9">
        <v>0</v>
      </c>
      <c r="CP56" s="9">
        <v>0</v>
      </c>
      <c r="CQ56" s="9">
        <v>0</v>
      </c>
      <c r="CR56" s="9">
        <v>0</v>
      </c>
      <c r="CS56" s="9">
        <v>0</v>
      </c>
      <c r="CT56" s="9">
        <v>0</v>
      </c>
      <c r="CU56" s="9">
        <v>0</v>
      </c>
      <c r="CV56" s="9">
        <v>0</v>
      </c>
      <c r="CW56" s="9">
        <v>0</v>
      </c>
      <c r="CX56" s="9">
        <v>0</v>
      </c>
      <c r="CY56" s="9">
        <v>0</v>
      </c>
      <c r="CZ56" s="9">
        <v>0</v>
      </c>
      <c r="DA56" s="9">
        <v>0</v>
      </c>
      <c r="DB56" s="9">
        <v>0</v>
      </c>
      <c r="DC56" s="9">
        <v>0</v>
      </c>
      <c r="DD56" s="9">
        <v>0</v>
      </c>
      <c r="DE56" s="9">
        <v>0</v>
      </c>
      <c r="DF56" s="9">
        <v>0</v>
      </c>
      <c r="DG56" s="9">
        <v>0</v>
      </c>
      <c r="DH56" s="9">
        <v>0</v>
      </c>
      <c r="DI56" s="9">
        <v>0</v>
      </c>
      <c r="DJ56" s="9">
        <v>0</v>
      </c>
      <c r="DK56" s="9">
        <v>0</v>
      </c>
      <c r="DL56" s="9">
        <v>0</v>
      </c>
      <c r="DM56" s="9">
        <v>0</v>
      </c>
      <c r="DN56" s="9">
        <v>0</v>
      </c>
      <c r="DO56" s="9">
        <v>0</v>
      </c>
      <c r="DP56" s="9">
        <v>0</v>
      </c>
      <c r="DQ56" s="9">
        <v>0</v>
      </c>
      <c r="DR56" s="9">
        <v>0</v>
      </c>
      <c r="DS56" s="9">
        <v>0</v>
      </c>
      <c r="DT56" s="9">
        <v>0</v>
      </c>
      <c r="DU56" s="9">
        <v>0</v>
      </c>
      <c r="DV56" s="9">
        <v>0</v>
      </c>
      <c r="DW56" s="9">
        <v>0</v>
      </c>
      <c r="DX56" s="9">
        <v>0</v>
      </c>
      <c r="DY56" s="9">
        <v>0</v>
      </c>
      <c r="DZ56" s="9">
        <v>0</v>
      </c>
      <c r="EA56" s="9">
        <v>0</v>
      </c>
      <c r="EB56" s="9">
        <v>0</v>
      </c>
      <c r="EC56" s="9">
        <v>0</v>
      </c>
      <c r="ED56" s="9">
        <v>0</v>
      </c>
      <c r="EE56" s="9">
        <v>0</v>
      </c>
      <c r="EF56" s="9">
        <v>0</v>
      </c>
      <c r="EG56" s="9">
        <v>0</v>
      </c>
      <c r="EH56" s="9">
        <v>0</v>
      </c>
      <c r="EI56" s="10">
        <v>0</v>
      </c>
    </row>
    <row r="57" spans="1:139" x14ac:dyDescent="0.35">
      <c r="A57" s="8" t="s">
        <v>73</v>
      </c>
      <c r="B57" s="9" t="s">
        <v>102</v>
      </c>
      <c r="C57" s="9" t="s">
        <v>103</v>
      </c>
      <c r="D57" s="9">
        <f t="shared" si="0"/>
        <v>39</v>
      </c>
      <c r="E57" s="9">
        <v>0</v>
      </c>
      <c r="F57" s="9">
        <v>0</v>
      </c>
      <c r="G57" s="9">
        <v>0</v>
      </c>
      <c r="H57" s="9">
        <v>0</v>
      </c>
      <c r="I57" s="9">
        <v>0</v>
      </c>
      <c r="J57" s="9">
        <v>0</v>
      </c>
      <c r="K57" s="9">
        <v>0</v>
      </c>
      <c r="L57" s="9">
        <v>0</v>
      </c>
      <c r="M57" s="9">
        <v>0</v>
      </c>
      <c r="N57" s="9">
        <v>0</v>
      </c>
      <c r="O57" s="9">
        <v>0</v>
      </c>
      <c r="P57" s="9">
        <v>0</v>
      </c>
      <c r="Q57" s="9">
        <v>0</v>
      </c>
      <c r="R57" s="9">
        <v>0</v>
      </c>
      <c r="S57" s="9">
        <v>0</v>
      </c>
      <c r="T57" s="9">
        <v>0</v>
      </c>
      <c r="U57" s="9">
        <v>0</v>
      </c>
      <c r="V57" s="9">
        <v>0</v>
      </c>
      <c r="W57" s="9">
        <v>1</v>
      </c>
      <c r="X57" s="9">
        <v>0</v>
      </c>
      <c r="Y57" s="9">
        <v>1</v>
      </c>
      <c r="Z57" s="9">
        <v>0</v>
      </c>
      <c r="AA57" s="9">
        <v>2</v>
      </c>
      <c r="AB57" s="9">
        <v>1</v>
      </c>
      <c r="AC57" s="9">
        <v>0</v>
      </c>
      <c r="AD57" s="9">
        <v>0</v>
      </c>
      <c r="AE57" s="9">
        <v>0</v>
      </c>
      <c r="AF57" s="9">
        <v>0</v>
      </c>
      <c r="AG57" s="9">
        <v>0</v>
      </c>
      <c r="AH57" s="9">
        <v>1</v>
      </c>
      <c r="AI57" s="9">
        <v>0</v>
      </c>
      <c r="AJ57" s="9">
        <v>0</v>
      </c>
      <c r="AK57" s="9">
        <v>0</v>
      </c>
      <c r="AL57" s="9">
        <v>0</v>
      </c>
      <c r="AM57" s="9">
        <v>0</v>
      </c>
      <c r="AN57" s="9">
        <v>0</v>
      </c>
      <c r="AO57" s="9">
        <v>1</v>
      </c>
      <c r="AP57" s="9">
        <v>0</v>
      </c>
      <c r="AQ57" s="9">
        <v>0</v>
      </c>
      <c r="AR57" s="9">
        <v>3</v>
      </c>
      <c r="AS57" s="9">
        <v>0</v>
      </c>
      <c r="AT57" s="9">
        <v>1</v>
      </c>
      <c r="AU57" s="9">
        <v>0</v>
      </c>
      <c r="AV57" s="9">
        <v>0</v>
      </c>
      <c r="AW57" s="9">
        <v>0</v>
      </c>
      <c r="AX57" s="9">
        <v>0</v>
      </c>
      <c r="AY57" s="9">
        <v>2</v>
      </c>
      <c r="AZ57" s="9">
        <v>1</v>
      </c>
      <c r="BA57" s="9">
        <v>0</v>
      </c>
      <c r="BB57" s="9">
        <v>0</v>
      </c>
      <c r="BC57" s="9">
        <v>1</v>
      </c>
      <c r="BD57" s="9">
        <v>0</v>
      </c>
      <c r="BE57" s="9">
        <v>0</v>
      </c>
      <c r="BF57" s="9">
        <v>0</v>
      </c>
      <c r="BG57" s="9">
        <v>0</v>
      </c>
      <c r="BH57" s="9">
        <v>1</v>
      </c>
      <c r="BI57" s="9">
        <v>1</v>
      </c>
      <c r="BJ57" s="9">
        <v>0</v>
      </c>
      <c r="BK57" s="9">
        <v>1</v>
      </c>
      <c r="BL57" s="9">
        <v>1</v>
      </c>
      <c r="BM57" s="9">
        <v>0</v>
      </c>
      <c r="BN57" s="9">
        <v>1</v>
      </c>
      <c r="BO57" s="9">
        <v>0</v>
      </c>
      <c r="BP57" s="9">
        <v>0</v>
      </c>
      <c r="BQ57" s="9">
        <v>1</v>
      </c>
      <c r="BR57" s="9">
        <v>1</v>
      </c>
      <c r="BS57" s="9">
        <v>1</v>
      </c>
      <c r="BT57" s="9">
        <v>0</v>
      </c>
      <c r="BU57" s="9">
        <v>5</v>
      </c>
      <c r="BV57" s="9">
        <v>1</v>
      </c>
      <c r="BW57" s="9">
        <v>0</v>
      </c>
      <c r="BX57" s="9">
        <v>0</v>
      </c>
      <c r="BY57" s="9">
        <v>1</v>
      </c>
      <c r="BZ57" s="9">
        <v>1</v>
      </c>
      <c r="CA57" s="9">
        <v>1</v>
      </c>
      <c r="CB57" s="9">
        <v>1</v>
      </c>
      <c r="CC57" s="9">
        <v>1</v>
      </c>
      <c r="CD57" s="9">
        <v>0</v>
      </c>
      <c r="CE57" s="9">
        <v>1</v>
      </c>
      <c r="CF57" s="9">
        <v>1</v>
      </c>
      <c r="CG57" s="9">
        <v>1</v>
      </c>
      <c r="CH57" s="9">
        <v>0</v>
      </c>
      <c r="CI57" s="9">
        <v>0</v>
      </c>
      <c r="CJ57" s="9">
        <v>0</v>
      </c>
      <c r="CK57" s="9">
        <v>0</v>
      </c>
      <c r="CL57" s="9">
        <v>0</v>
      </c>
      <c r="CM57" s="9">
        <v>0</v>
      </c>
      <c r="CN57" s="9">
        <v>0</v>
      </c>
      <c r="CO57" s="9">
        <v>0</v>
      </c>
      <c r="CP57" s="9">
        <v>0</v>
      </c>
      <c r="CQ57" s="9">
        <v>0</v>
      </c>
      <c r="CR57" s="9">
        <v>0</v>
      </c>
      <c r="CS57" s="9">
        <v>0</v>
      </c>
      <c r="CT57" s="9">
        <v>0</v>
      </c>
      <c r="CU57" s="9">
        <v>0</v>
      </c>
      <c r="CV57" s="9">
        <v>0</v>
      </c>
      <c r="CW57" s="9">
        <v>0</v>
      </c>
      <c r="CX57" s="9">
        <v>0</v>
      </c>
      <c r="CY57" s="9">
        <v>0</v>
      </c>
      <c r="CZ57" s="9">
        <v>0</v>
      </c>
      <c r="DA57" s="9">
        <v>0</v>
      </c>
      <c r="DB57" s="9">
        <v>0</v>
      </c>
      <c r="DC57" s="9">
        <v>0</v>
      </c>
      <c r="DD57" s="9">
        <v>0</v>
      </c>
      <c r="DE57" s="9">
        <v>0</v>
      </c>
      <c r="DF57" s="9">
        <v>0</v>
      </c>
      <c r="DG57" s="9">
        <v>0</v>
      </c>
      <c r="DH57" s="9">
        <v>0</v>
      </c>
      <c r="DI57" s="9">
        <v>0</v>
      </c>
      <c r="DJ57" s="9">
        <v>0</v>
      </c>
      <c r="DK57" s="9">
        <v>0</v>
      </c>
      <c r="DL57" s="9">
        <v>0</v>
      </c>
      <c r="DM57" s="9">
        <v>0</v>
      </c>
      <c r="DN57" s="9">
        <v>0</v>
      </c>
      <c r="DO57" s="9">
        <v>0</v>
      </c>
      <c r="DP57" s="9">
        <v>0</v>
      </c>
      <c r="DQ57" s="9">
        <v>1</v>
      </c>
      <c r="DR57" s="9">
        <v>0</v>
      </c>
      <c r="DS57" s="9">
        <v>0</v>
      </c>
      <c r="DT57" s="9">
        <v>1</v>
      </c>
      <c r="DU57" s="9">
        <v>0</v>
      </c>
      <c r="DV57" s="9">
        <v>0</v>
      </c>
      <c r="DW57" s="9">
        <v>0</v>
      </c>
      <c r="DX57" s="9">
        <v>0</v>
      </c>
      <c r="DY57" s="9">
        <v>0</v>
      </c>
      <c r="DZ57" s="9">
        <v>0</v>
      </c>
      <c r="EA57" s="9">
        <v>0</v>
      </c>
      <c r="EB57" s="9">
        <v>0</v>
      </c>
      <c r="EC57" s="9">
        <v>0</v>
      </c>
      <c r="ED57" s="9">
        <v>0</v>
      </c>
      <c r="EE57" s="9">
        <v>0</v>
      </c>
      <c r="EF57" s="9">
        <v>0</v>
      </c>
      <c r="EG57" s="9">
        <v>0</v>
      </c>
      <c r="EH57" s="9">
        <v>0</v>
      </c>
      <c r="EI57" s="10">
        <v>0</v>
      </c>
    </row>
    <row r="58" spans="1:139" x14ac:dyDescent="0.35">
      <c r="A58" s="8" t="s">
        <v>73</v>
      </c>
      <c r="B58" s="9" t="s">
        <v>29</v>
      </c>
      <c r="C58" s="9" t="s">
        <v>30</v>
      </c>
      <c r="D58" s="9">
        <f t="shared" si="0"/>
        <v>0</v>
      </c>
      <c r="E58" s="9">
        <v>0</v>
      </c>
      <c r="F58" s="9">
        <v>0</v>
      </c>
      <c r="G58" s="9">
        <v>0</v>
      </c>
      <c r="H58" s="9">
        <v>0</v>
      </c>
      <c r="I58" s="9">
        <v>0</v>
      </c>
      <c r="J58" s="9">
        <v>0</v>
      </c>
      <c r="K58" s="9">
        <v>0</v>
      </c>
      <c r="L58" s="9">
        <v>0</v>
      </c>
      <c r="M58" s="9">
        <v>0</v>
      </c>
      <c r="N58" s="9">
        <v>0</v>
      </c>
      <c r="O58" s="9">
        <v>0</v>
      </c>
      <c r="P58" s="9">
        <v>0</v>
      </c>
      <c r="Q58" s="9">
        <v>0</v>
      </c>
      <c r="R58" s="9">
        <v>0</v>
      </c>
      <c r="S58" s="9">
        <v>0</v>
      </c>
      <c r="T58" s="9">
        <v>0</v>
      </c>
      <c r="U58" s="9">
        <v>0</v>
      </c>
      <c r="V58" s="9">
        <v>0</v>
      </c>
      <c r="W58" s="9">
        <v>0</v>
      </c>
      <c r="X58" s="9">
        <v>0</v>
      </c>
      <c r="Y58" s="9">
        <v>0</v>
      </c>
      <c r="Z58" s="9">
        <v>0</v>
      </c>
      <c r="AA58" s="9">
        <v>0</v>
      </c>
      <c r="AB58" s="9">
        <v>0</v>
      </c>
      <c r="AC58" s="9">
        <v>0</v>
      </c>
      <c r="AD58" s="9">
        <v>0</v>
      </c>
      <c r="AE58" s="9">
        <v>0</v>
      </c>
      <c r="AF58" s="9">
        <v>0</v>
      </c>
      <c r="AG58" s="9">
        <v>0</v>
      </c>
      <c r="AH58" s="9">
        <v>0</v>
      </c>
      <c r="AI58" s="9">
        <v>0</v>
      </c>
      <c r="AJ58" s="9">
        <v>0</v>
      </c>
      <c r="AK58" s="9">
        <v>0</v>
      </c>
      <c r="AL58" s="9">
        <v>0</v>
      </c>
      <c r="AM58" s="9">
        <v>0</v>
      </c>
      <c r="AN58" s="9">
        <v>0</v>
      </c>
      <c r="AO58" s="9">
        <v>0</v>
      </c>
      <c r="AP58" s="9">
        <v>0</v>
      </c>
      <c r="AQ58" s="9">
        <v>0</v>
      </c>
      <c r="AR58" s="9">
        <v>0</v>
      </c>
      <c r="AS58" s="9">
        <v>0</v>
      </c>
      <c r="AT58" s="9">
        <v>0</v>
      </c>
      <c r="AU58" s="9">
        <v>0</v>
      </c>
      <c r="AV58" s="9">
        <v>0</v>
      </c>
      <c r="AW58" s="9">
        <v>0</v>
      </c>
      <c r="AX58" s="9">
        <v>0</v>
      </c>
      <c r="AY58" s="9">
        <v>0</v>
      </c>
      <c r="AZ58" s="9">
        <v>0</v>
      </c>
      <c r="BA58" s="9">
        <v>0</v>
      </c>
      <c r="BB58" s="9">
        <v>0</v>
      </c>
      <c r="BC58" s="9">
        <v>0</v>
      </c>
      <c r="BD58" s="9">
        <v>0</v>
      </c>
      <c r="BE58" s="9">
        <v>0</v>
      </c>
      <c r="BF58" s="9">
        <v>0</v>
      </c>
      <c r="BG58" s="9">
        <v>0</v>
      </c>
      <c r="BH58" s="9">
        <v>0</v>
      </c>
      <c r="BI58" s="9">
        <v>0</v>
      </c>
      <c r="BJ58" s="9">
        <v>0</v>
      </c>
      <c r="BK58" s="9">
        <v>0</v>
      </c>
      <c r="BL58" s="9">
        <v>0</v>
      </c>
      <c r="BM58" s="9">
        <v>0</v>
      </c>
      <c r="BN58" s="9">
        <v>0</v>
      </c>
      <c r="BO58" s="9">
        <v>0</v>
      </c>
      <c r="BP58" s="9">
        <v>0</v>
      </c>
      <c r="BQ58" s="9">
        <v>0</v>
      </c>
      <c r="BR58" s="9">
        <v>0</v>
      </c>
      <c r="BS58" s="9">
        <v>0</v>
      </c>
      <c r="BT58" s="9">
        <v>0</v>
      </c>
      <c r="BU58" s="9">
        <v>0</v>
      </c>
      <c r="BV58" s="9">
        <v>0</v>
      </c>
      <c r="BW58" s="9">
        <v>0</v>
      </c>
      <c r="BX58" s="9">
        <v>0</v>
      </c>
      <c r="BY58" s="9">
        <v>0</v>
      </c>
      <c r="BZ58" s="9">
        <v>0</v>
      </c>
      <c r="CA58" s="9">
        <v>0</v>
      </c>
      <c r="CB58" s="9">
        <v>0</v>
      </c>
      <c r="CC58" s="9">
        <v>0</v>
      </c>
      <c r="CD58" s="9">
        <v>0</v>
      </c>
      <c r="CE58" s="9">
        <v>0</v>
      </c>
      <c r="CF58" s="9">
        <v>0</v>
      </c>
      <c r="CG58" s="9">
        <v>0</v>
      </c>
      <c r="CH58" s="9">
        <v>0</v>
      </c>
      <c r="CI58" s="9">
        <v>0</v>
      </c>
      <c r="CJ58" s="9">
        <v>0</v>
      </c>
      <c r="CK58" s="9">
        <v>0</v>
      </c>
      <c r="CL58" s="9">
        <v>0</v>
      </c>
      <c r="CM58" s="9">
        <v>0</v>
      </c>
      <c r="CN58" s="9">
        <v>0</v>
      </c>
      <c r="CO58" s="9">
        <v>0</v>
      </c>
      <c r="CP58" s="9">
        <v>0</v>
      </c>
      <c r="CQ58" s="9">
        <v>0</v>
      </c>
      <c r="CR58" s="9">
        <v>0</v>
      </c>
      <c r="CS58" s="9">
        <v>0</v>
      </c>
      <c r="CT58" s="9">
        <v>0</v>
      </c>
      <c r="CU58" s="9">
        <v>0</v>
      </c>
      <c r="CV58" s="9">
        <v>0</v>
      </c>
      <c r="CW58" s="9">
        <v>0</v>
      </c>
      <c r="CX58" s="9">
        <v>0</v>
      </c>
      <c r="CY58" s="9">
        <v>0</v>
      </c>
      <c r="CZ58" s="9">
        <v>0</v>
      </c>
      <c r="DA58" s="9">
        <v>0</v>
      </c>
      <c r="DB58" s="9">
        <v>0</v>
      </c>
      <c r="DC58" s="9">
        <v>0</v>
      </c>
      <c r="DD58" s="9">
        <v>0</v>
      </c>
      <c r="DE58" s="9">
        <v>0</v>
      </c>
      <c r="DF58" s="9">
        <v>0</v>
      </c>
      <c r="DG58" s="9">
        <v>0</v>
      </c>
      <c r="DH58" s="9">
        <v>0</v>
      </c>
      <c r="DI58" s="9">
        <v>0</v>
      </c>
      <c r="DJ58" s="9">
        <v>0</v>
      </c>
      <c r="DK58" s="9">
        <v>0</v>
      </c>
      <c r="DL58" s="9">
        <v>0</v>
      </c>
      <c r="DM58" s="9">
        <v>0</v>
      </c>
      <c r="DN58" s="9">
        <v>0</v>
      </c>
      <c r="DO58" s="9">
        <v>0</v>
      </c>
      <c r="DP58" s="9">
        <v>0</v>
      </c>
      <c r="DQ58" s="9">
        <v>0</v>
      </c>
      <c r="DR58" s="9">
        <v>0</v>
      </c>
      <c r="DS58" s="9">
        <v>0</v>
      </c>
      <c r="DT58" s="9">
        <v>0</v>
      </c>
      <c r="DU58" s="9">
        <v>0</v>
      </c>
      <c r="DV58" s="9">
        <v>0</v>
      </c>
      <c r="DW58" s="9">
        <v>0</v>
      </c>
      <c r="DX58" s="9">
        <v>0</v>
      </c>
      <c r="DY58" s="9">
        <v>0</v>
      </c>
      <c r="DZ58" s="9">
        <v>0</v>
      </c>
      <c r="EA58" s="9">
        <v>0</v>
      </c>
      <c r="EB58" s="9">
        <v>0</v>
      </c>
      <c r="EC58" s="9">
        <v>0</v>
      </c>
      <c r="ED58" s="9">
        <v>0</v>
      </c>
      <c r="EE58" s="9">
        <v>0</v>
      </c>
      <c r="EF58" s="9">
        <v>0</v>
      </c>
      <c r="EG58" s="9">
        <v>0</v>
      </c>
      <c r="EH58" s="9">
        <v>0</v>
      </c>
      <c r="EI58" s="10">
        <v>0</v>
      </c>
    </row>
    <row r="59" spans="1:139" x14ac:dyDescent="0.35">
      <c r="A59" s="8" t="s">
        <v>73</v>
      </c>
      <c r="B59" s="9" t="s">
        <v>104</v>
      </c>
      <c r="C59" s="9" t="s">
        <v>105</v>
      </c>
      <c r="D59" s="9">
        <f t="shared" si="0"/>
        <v>976</v>
      </c>
      <c r="E59" s="9">
        <v>0</v>
      </c>
      <c r="F59" s="9">
        <v>4</v>
      </c>
      <c r="G59" s="9">
        <v>2</v>
      </c>
      <c r="H59" s="9">
        <v>1</v>
      </c>
      <c r="I59" s="9">
        <v>8</v>
      </c>
      <c r="J59" s="9">
        <v>3</v>
      </c>
      <c r="K59" s="9">
        <v>4</v>
      </c>
      <c r="L59" s="9">
        <v>8</v>
      </c>
      <c r="M59" s="9">
        <v>12</v>
      </c>
      <c r="N59" s="9">
        <v>20</v>
      </c>
      <c r="O59" s="9">
        <v>11</v>
      </c>
      <c r="P59" s="9">
        <v>20</v>
      </c>
      <c r="Q59" s="9">
        <v>22</v>
      </c>
      <c r="R59" s="9">
        <v>18</v>
      </c>
      <c r="S59" s="9">
        <v>23</v>
      </c>
      <c r="T59" s="9">
        <v>21</v>
      </c>
      <c r="U59" s="9">
        <v>20</v>
      </c>
      <c r="V59" s="9">
        <v>5</v>
      </c>
      <c r="W59" s="9">
        <v>26</v>
      </c>
      <c r="X59" s="9">
        <v>21</v>
      </c>
      <c r="Y59" s="9">
        <v>0</v>
      </c>
      <c r="Z59" s="9">
        <v>19</v>
      </c>
      <c r="AA59" s="9">
        <v>17</v>
      </c>
      <c r="AB59" s="9">
        <v>31</v>
      </c>
      <c r="AC59" s="9">
        <v>7</v>
      </c>
      <c r="AD59" s="9">
        <v>7</v>
      </c>
      <c r="AE59" s="9">
        <v>23</v>
      </c>
      <c r="AF59" s="9">
        <v>13</v>
      </c>
      <c r="AG59" s="9">
        <v>13</v>
      </c>
      <c r="AH59" s="9">
        <v>12</v>
      </c>
      <c r="AI59" s="9">
        <v>16</v>
      </c>
      <c r="AJ59" s="9">
        <v>8</v>
      </c>
      <c r="AK59" s="9">
        <v>7</v>
      </c>
      <c r="AL59" s="9">
        <v>11</v>
      </c>
      <c r="AM59" s="9">
        <v>16</v>
      </c>
      <c r="AN59" s="9">
        <v>15</v>
      </c>
      <c r="AO59" s="9">
        <v>10</v>
      </c>
      <c r="AP59" s="9">
        <v>9</v>
      </c>
      <c r="AQ59" s="9">
        <v>8</v>
      </c>
      <c r="AR59" s="9">
        <v>12</v>
      </c>
      <c r="AS59" s="9">
        <v>10</v>
      </c>
      <c r="AT59" s="9">
        <v>14</v>
      </c>
      <c r="AU59" s="9">
        <v>7</v>
      </c>
      <c r="AV59" s="9">
        <v>7</v>
      </c>
      <c r="AW59" s="9">
        <v>7</v>
      </c>
      <c r="AX59" s="9">
        <v>6</v>
      </c>
      <c r="AY59" s="9">
        <v>12</v>
      </c>
      <c r="AZ59" s="9">
        <v>10</v>
      </c>
      <c r="BA59" s="9">
        <v>15</v>
      </c>
      <c r="BB59" s="9">
        <v>9</v>
      </c>
      <c r="BC59" s="9">
        <v>7</v>
      </c>
      <c r="BD59" s="9">
        <v>9</v>
      </c>
      <c r="BE59" s="9">
        <v>2</v>
      </c>
      <c r="BF59" s="9">
        <v>5</v>
      </c>
      <c r="BG59" s="9">
        <v>7</v>
      </c>
      <c r="BH59" s="9">
        <v>8</v>
      </c>
      <c r="BI59" s="9">
        <v>13</v>
      </c>
      <c r="BJ59" s="9">
        <v>13</v>
      </c>
      <c r="BK59" s="9">
        <v>3</v>
      </c>
      <c r="BL59" s="9">
        <v>2</v>
      </c>
      <c r="BM59" s="9">
        <v>6</v>
      </c>
      <c r="BN59" s="9">
        <v>8</v>
      </c>
      <c r="BO59" s="9">
        <v>11</v>
      </c>
      <c r="BP59" s="9">
        <v>9</v>
      </c>
      <c r="BQ59" s="9">
        <v>17</v>
      </c>
      <c r="BR59" s="9">
        <v>5</v>
      </c>
      <c r="BS59" s="9">
        <v>2</v>
      </c>
      <c r="BT59" s="9">
        <v>5</v>
      </c>
      <c r="BU59" s="9">
        <v>7</v>
      </c>
      <c r="BV59" s="9">
        <v>9</v>
      </c>
      <c r="BW59" s="9">
        <v>8</v>
      </c>
      <c r="BX59" s="9">
        <v>8</v>
      </c>
      <c r="BY59" s="9">
        <v>1</v>
      </c>
      <c r="BZ59" s="9">
        <v>6</v>
      </c>
      <c r="CA59" s="9">
        <v>7</v>
      </c>
      <c r="CB59" s="9">
        <v>10</v>
      </c>
      <c r="CC59" s="9">
        <v>12</v>
      </c>
      <c r="CD59" s="9">
        <v>9</v>
      </c>
      <c r="CE59" s="9">
        <v>6</v>
      </c>
      <c r="CF59" s="9">
        <v>3</v>
      </c>
      <c r="CG59" s="9">
        <v>3</v>
      </c>
      <c r="CH59" s="9">
        <v>3</v>
      </c>
      <c r="CI59" s="9">
        <v>5</v>
      </c>
      <c r="CJ59" s="9">
        <v>9</v>
      </c>
      <c r="CK59" s="9">
        <v>7</v>
      </c>
      <c r="CL59" s="9">
        <v>8</v>
      </c>
      <c r="CM59" s="9">
        <v>4</v>
      </c>
      <c r="CN59" s="9">
        <v>1</v>
      </c>
      <c r="CO59" s="9">
        <v>9</v>
      </c>
      <c r="CP59" s="9">
        <v>10</v>
      </c>
      <c r="CQ59" s="9">
        <v>10</v>
      </c>
      <c r="CR59" s="9">
        <v>13</v>
      </c>
      <c r="CS59" s="9">
        <v>9</v>
      </c>
      <c r="CT59" s="9">
        <v>4</v>
      </c>
      <c r="CU59" s="9">
        <v>4</v>
      </c>
      <c r="CV59" s="9">
        <v>9</v>
      </c>
      <c r="CW59" s="9">
        <v>9</v>
      </c>
      <c r="CX59" s="9">
        <v>7</v>
      </c>
      <c r="CY59" s="9">
        <v>8</v>
      </c>
      <c r="CZ59" s="9">
        <v>9</v>
      </c>
      <c r="DA59" s="9">
        <v>5</v>
      </c>
      <c r="DB59" s="9">
        <v>2</v>
      </c>
      <c r="DC59" s="9">
        <v>1</v>
      </c>
      <c r="DD59" s="9">
        <v>0</v>
      </c>
      <c r="DE59" s="9">
        <v>0</v>
      </c>
      <c r="DF59" s="9">
        <v>2</v>
      </c>
      <c r="DG59" s="9">
        <v>0</v>
      </c>
      <c r="DH59" s="9">
        <v>0</v>
      </c>
      <c r="DI59" s="9">
        <v>0</v>
      </c>
      <c r="DJ59" s="9">
        <v>0</v>
      </c>
      <c r="DK59" s="9">
        <v>0</v>
      </c>
      <c r="DL59" s="9">
        <v>0</v>
      </c>
      <c r="DM59" s="9">
        <v>0</v>
      </c>
      <c r="DN59" s="9">
        <v>1</v>
      </c>
      <c r="DO59" s="9">
        <v>1</v>
      </c>
      <c r="DP59" s="9">
        <v>0</v>
      </c>
      <c r="DQ59" s="9">
        <v>0</v>
      </c>
      <c r="DR59" s="9">
        <v>0</v>
      </c>
      <c r="DS59" s="9">
        <v>1</v>
      </c>
      <c r="DT59" s="9">
        <v>1</v>
      </c>
      <c r="DU59" s="9">
        <v>1</v>
      </c>
      <c r="DV59" s="9">
        <v>0</v>
      </c>
      <c r="DW59" s="9">
        <v>0</v>
      </c>
      <c r="DX59" s="9">
        <v>1</v>
      </c>
      <c r="DY59" s="9">
        <v>0</v>
      </c>
      <c r="DZ59" s="9">
        <v>0</v>
      </c>
      <c r="EA59" s="9">
        <v>0</v>
      </c>
      <c r="EB59" s="9">
        <v>0</v>
      </c>
      <c r="EC59" s="9">
        <v>0</v>
      </c>
      <c r="ED59" s="9">
        <v>0</v>
      </c>
      <c r="EE59" s="9">
        <v>0</v>
      </c>
      <c r="EF59" s="9">
        <v>0</v>
      </c>
      <c r="EG59" s="9">
        <v>1</v>
      </c>
      <c r="EH59" s="9">
        <v>0</v>
      </c>
      <c r="EI59" s="10">
        <v>0</v>
      </c>
    </row>
    <row r="60" spans="1:139" x14ac:dyDescent="0.35">
      <c r="A60" s="8" t="s">
        <v>73</v>
      </c>
      <c r="B60" s="9" t="s">
        <v>106</v>
      </c>
      <c r="C60" s="9" t="s">
        <v>107</v>
      </c>
      <c r="D60" s="9">
        <f t="shared" si="0"/>
        <v>866</v>
      </c>
      <c r="E60" s="9">
        <v>0</v>
      </c>
      <c r="F60" s="9">
        <v>32</v>
      </c>
      <c r="G60" s="9">
        <v>37</v>
      </c>
      <c r="H60" s="9">
        <v>25</v>
      </c>
      <c r="I60" s="9">
        <v>30</v>
      </c>
      <c r="J60" s="9">
        <v>31</v>
      </c>
      <c r="K60" s="9">
        <v>44</v>
      </c>
      <c r="L60" s="9">
        <v>40</v>
      </c>
      <c r="M60" s="9">
        <v>50</v>
      </c>
      <c r="N60" s="9">
        <v>50</v>
      </c>
      <c r="O60" s="9">
        <v>40</v>
      </c>
      <c r="P60" s="9">
        <v>65</v>
      </c>
      <c r="Q60" s="9">
        <v>64</v>
      </c>
      <c r="R60" s="9">
        <v>49</v>
      </c>
      <c r="S60" s="9">
        <v>50</v>
      </c>
      <c r="T60" s="9">
        <v>14</v>
      </c>
      <c r="U60" s="9">
        <v>15</v>
      </c>
      <c r="V60" s="9">
        <v>16</v>
      </c>
      <c r="W60" s="9">
        <v>14</v>
      </c>
      <c r="X60" s="9">
        <v>8</v>
      </c>
      <c r="Y60" s="9">
        <v>29</v>
      </c>
      <c r="Z60" s="9">
        <v>11</v>
      </c>
      <c r="AA60" s="9">
        <v>12</v>
      </c>
      <c r="AB60" s="9">
        <v>4</v>
      </c>
      <c r="AC60" s="9">
        <v>7</v>
      </c>
      <c r="AD60" s="9">
        <v>5</v>
      </c>
      <c r="AE60" s="9">
        <v>3</v>
      </c>
      <c r="AF60" s="9">
        <v>7</v>
      </c>
      <c r="AG60" s="9">
        <v>3</v>
      </c>
      <c r="AH60" s="9">
        <v>5</v>
      </c>
      <c r="AI60" s="9">
        <v>4</v>
      </c>
      <c r="AJ60" s="9">
        <v>9</v>
      </c>
      <c r="AK60" s="9">
        <v>3</v>
      </c>
      <c r="AL60" s="9">
        <v>8</v>
      </c>
      <c r="AM60" s="9">
        <v>3</v>
      </c>
      <c r="AN60" s="9">
        <v>4</v>
      </c>
      <c r="AO60" s="9">
        <v>5</v>
      </c>
      <c r="AP60" s="9">
        <v>0</v>
      </c>
      <c r="AQ60" s="9">
        <v>6</v>
      </c>
      <c r="AR60" s="9">
        <v>0</v>
      </c>
      <c r="AS60" s="9">
        <v>5</v>
      </c>
      <c r="AT60" s="9">
        <v>2</v>
      </c>
      <c r="AU60" s="9">
        <v>1</v>
      </c>
      <c r="AV60" s="9">
        <v>0</v>
      </c>
      <c r="AW60" s="9">
        <v>3</v>
      </c>
      <c r="AX60" s="9">
        <v>3</v>
      </c>
      <c r="AY60" s="9">
        <v>3</v>
      </c>
      <c r="AZ60" s="9">
        <v>1</v>
      </c>
      <c r="BA60" s="9">
        <v>1</v>
      </c>
      <c r="BB60" s="9">
        <v>2</v>
      </c>
      <c r="BC60" s="9">
        <v>1</v>
      </c>
      <c r="BD60" s="9">
        <v>1</v>
      </c>
      <c r="BE60" s="9">
        <v>1</v>
      </c>
      <c r="BF60" s="9">
        <v>0</v>
      </c>
      <c r="BG60" s="9">
        <v>1</v>
      </c>
      <c r="BH60" s="9">
        <v>0</v>
      </c>
      <c r="BI60" s="9">
        <v>0</v>
      </c>
      <c r="BJ60" s="9">
        <v>3</v>
      </c>
      <c r="BK60" s="9">
        <v>0</v>
      </c>
      <c r="BL60" s="9">
        <v>1</v>
      </c>
      <c r="BM60" s="9">
        <v>2</v>
      </c>
      <c r="BN60" s="9">
        <v>1</v>
      </c>
      <c r="BO60" s="9">
        <v>0</v>
      </c>
      <c r="BP60" s="9">
        <v>2</v>
      </c>
      <c r="BQ60" s="9">
        <v>0</v>
      </c>
      <c r="BR60" s="9">
        <v>1</v>
      </c>
      <c r="BS60" s="9">
        <v>3</v>
      </c>
      <c r="BT60" s="9">
        <v>1</v>
      </c>
      <c r="BU60" s="9">
        <v>0</v>
      </c>
      <c r="BV60" s="9">
        <v>1</v>
      </c>
      <c r="BW60" s="9">
        <v>0</v>
      </c>
      <c r="BX60" s="9">
        <v>1</v>
      </c>
      <c r="BY60" s="9">
        <v>0</v>
      </c>
      <c r="BZ60" s="9">
        <v>0</v>
      </c>
      <c r="CA60" s="9">
        <v>0</v>
      </c>
      <c r="CB60" s="9">
        <v>1</v>
      </c>
      <c r="CC60" s="9">
        <v>2</v>
      </c>
      <c r="CD60" s="9">
        <v>7</v>
      </c>
      <c r="CE60" s="9">
        <v>0</v>
      </c>
      <c r="CF60" s="9">
        <v>2</v>
      </c>
      <c r="CG60" s="9">
        <v>2</v>
      </c>
      <c r="CH60" s="9">
        <v>2</v>
      </c>
      <c r="CI60" s="9">
        <v>0</v>
      </c>
      <c r="CJ60" s="9">
        <v>0</v>
      </c>
      <c r="CK60" s="9">
        <v>2</v>
      </c>
      <c r="CL60" s="9">
        <v>1</v>
      </c>
      <c r="CM60" s="9">
        <v>0</v>
      </c>
      <c r="CN60" s="9">
        <v>0</v>
      </c>
      <c r="CO60" s="9">
        <v>0</v>
      </c>
      <c r="CP60" s="9">
        <v>1</v>
      </c>
      <c r="CQ60" s="9">
        <v>0</v>
      </c>
      <c r="CR60" s="9">
        <v>0</v>
      </c>
      <c r="CS60" s="9">
        <v>0</v>
      </c>
      <c r="CT60" s="9">
        <v>0</v>
      </c>
      <c r="CU60" s="9">
        <v>0</v>
      </c>
      <c r="CV60" s="9">
        <v>0</v>
      </c>
      <c r="CW60" s="9">
        <v>1</v>
      </c>
      <c r="CX60" s="9">
        <v>0</v>
      </c>
      <c r="CY60" s="9">
        <v>1</v>
      </c>
      <c r="CZ60" s="9">
        <v>0</v>
      </c>
      <c r="DA60" s="9">
        <v>1</v>
      </c>
      <c r="DB60" s="9">
        <v>0</v>
      </c>
      <c r="DC60" s="9">
        <v>0</v>
      </c>
      <c r="DD60" s="9">
        <v>0</v>
      </c>
      <c r="DE60" s="9">
        <v>0</v>
      </c>
      <c r="DF60" s="9">
        <v>0</v>
      </c>
      <c r="DG60" s="9">
        <v>0</v>
      </c>
      <c r="DH60" s="9">
        <v>0</v>
      </c>
      <c r="DI60" s="9">
        <v>0</v>
      </c>
      <c r="DJ60" s="9">
        <v>0</v>
      </c>
      <c r="DK60" s="9">
        <v>0</v>
      </c>
      <c r="DL60" s="9">
        <v>0</v>
      </c>
      <c r="DM60" s="9">
        <v>0</v>
      </c>
      <c r="DN60" s="9">
        <v>0</v>
      </c>
      <c r="DO60" s="9">
        <v>0</v>
      </c>
      <c r="DP60" s="9">
        <v>0</v>
      </c>
      <c r="DQ60" s="9">
        <v>0</v>
      </c>
      <c r="DR60" s="9">
        <v>0</v>
      </c>
      <c r="DS60" s="9">
        <v>0</v>
      </c>
      <c r="DT60" s="9">
        <v>0</v>
      </c>
      <c r="DU60" s="9">
        <v>0</v>
      </c>
      <c r="DV60" s="9">
        <v>0</v>
      </c>
      <c r="DW60" s="9">
        <v>0</v>
      </c>
      <c r="DX60" s="9">
        <v>0</v>
      </c>
      <c r="DY60" s="9">
        <v>0</v>
      </c>
      <c r="DZ60" s="9">
        <v>0</v>
      </c>
      <c r="EA60" s="9">
        <v>0</v>
      </c>
      <c r="EB60" s="9">
        <v>0</v>
      </c>
      <c r="EC60" s="9">
        <v>0</v>
      </c>
      <c r="ED60" s="9">
        <v>0</v>
      </c>
      <c r="EE60" s="9">
        <v>0</v>
      </c>
      <c r="EF60" s="9">
        <v>0</v>
      </c>
      <c r="EG60" s="9">
        <v>0</v>
      </c>
      <c r="EH60" s="9">
        <v>0</v>
      </c>
      <c r="EI60" s="10">
        <v>0</v>
      </c>
    </row>
    <row r="61" spans="1:139" x14ac:dyDescent="0.35">
      <c r="A61" s="8" t="s">
        <v>73</v>
      </c>
      <c r="B61" s="9" t="s">
        <v>108</v>
      </c>
      <c r="C61" s="9" t="s">
        <v>109</v>
      </c>
      <c r="D61" s="9">
        <f t="shared" si="0"/>
        <v>189</v>
      </c>
      <c r="E61" s="9">
        <v>0</v>
      </c>
      <c r="F61" s="9">
        <v>14</v>
      </c>
      <c r="G61" s="9">
        <v>0</v>
      </c>
      <c r="H61" s="9">
        <v>0</v>
      </c>
      <c r="I61" s="9">
        <v>0</v>
      </c>
      <c r="J61" s="9">
        <v>0</v>
      </c>
      <c r="K61" s="9">
        <v>0</v>
      </c>
      <c r="L61" s="9">
        <v>0</v>
      </c>
      <c r="M61" s="9">
        <v>0</v>
      </c>
      <c r="N61" s="9">
        <v>0</v>
      </c>
      <c r="O61" s="9">
        <v>7</v>
      </c>
      <c r="P61" s="9">
        <v>9</v>
      </c>
      <c r="Q61" s="9">
        <v>9</v>
      </c>
      <c r="R61" s="9">
        <v>5</v>
      </c>
      <c r="S61" s="9">
        <v>2</v>
      </c>
      <c r="T61" s="9">
        <v>3</v>
      </c>
      <c r="U61" s="9">
        <v>5</v>
      </c>
      <c r="V61" s="9">
        <v>3</v>
      </c>
      <c r="W61" s="9">
        <v>1</v>
      </c>
      <c r="X61" s="9">
        <v>2</v>
      </c>
      <c r="Y61" s="9">
        <v>3</v>
      </c>
      <c r="Z61" s="9">
        <v>2</v>
      </c>
      <c r="AA61" s="9">
        <v>2</v>
      </c>
      <c r="AB61" s="9">
        <v>3</v>
      </c>
      <c r="AC61" s="9">
        <v>4</v>
      </c>
      <c r="AD61" s="9">
        <v>1</v>
      </c>
      <c r="AE61" s="9">
        <v>6</v>
      </c>
      <c r="AF61" s="9">
        <v>4</v>
      </c>
      <c r="AG61" s="9">
        <v>2</v>
      </c>
      <c r="AH61" s="9">
        <v>3</v>
      </c>
      <c r="AI61" s="9">
        <v>4</v>
      </c>
      <c r="AJ61" s="9">
        <v>4</v>
      </c>
      <c r="AK61" s="9">
        <v>3</v>
      </c>
      <c r="AL61" s="9">
        <v>8</v>
      </c>
      <c r="AM61" s="9">
        <v>3</v>
      </c>
      <c r="AN61" s="9">
        <v>3</v>
      </c>
      <c r="AO61" s="9">
        <v>0</v>
      </c>
      <c r="AP61" s="9">
        <v>1</v>
      </c>
      <c r="AQ61" s="9">
        <v>3</v>
      </c>
      <c r="AR61" s="9">
        <v>2</v>
      </c>
      <c r="AS61" s="9">
        <v>5</v>
      </c>
      <c r="AT61" s="9">
        <v>4</v>
      </c>
      <c r="AU61" s="9">
        <v>2</v>
      </c>
      <c r="AV61" s="9">
        <v>1</v>
      </c>
      <c r="AW61" s="9">
        <v>1</v>
      </c>
      <c r="AX61" s="9">
        <v>4</v>
      </c>
      <c r="AY61" s="9">
        <v>1</v>
      </c>
      <c r="AZ61" s="9">
        <v>5</v>
      </c>
      <c r="BA61" s="9">
        <v>0</v>
      </c>
      <c r="BB61" s="9">
        <v>3</v>
      </c>
      <c r="BC61" s="9">
        <v>6</v>
      </c>
      <c r="BD61" s="9">
        <v>0</v>
      </c>
      <c r="BE61" s="9">
        <v>1</v>
      </c>
      <c r="BF61" s="9">
        <v>1</v>
      </c>
      <c r="BG61" s="9">
        <v>2</v>
      </c>
      <c r="BH61" s="9">
        <v>2</v>
      </c>
      <c r="BI61" s="9">
        <v>1</v>
      </c>
      <c r="BJ61" s="9">
        <v>1</v>
      </c>
      <c r="BK61" s="9">
        <v>1</v>
      </c>
      <c r="BL61" s="9">
        <v>1</v>
      </c>
      <c r="BM61" s="9">
        <v>1</v>
      </c>
      <c r="BN61" s="9">
        <v>1</v>
      </c>
      <c r="BO61" s="9">
        <v>1</v>
      </c>
      <c r="BP61" s="9">
        <v>0</v>
      </c>
      <c r="BQ61" s="9">
        <v>2</v>
      </c>
      <c r="BR61" s="9">
        <v>2</v>
      </c>
      <c r="BS61" s="9">
        <v>0</v>
      </c>
      <c r="BT61" s="9">
        <v>2</v>
      </c>
      <c r="BU61" s="9">
        <v>1</v>
      </c>
      <c r="BV61" s="9">
        <v>0</v>
      </c>
      <c r="BW61" s="9">
        <v>0</v>
      </c>
      <c r="BX61" s="9">
        <v>2</v>
      </c>
      <c r="BY61" s="9">
        <v>0</v>
      </c>
      <c r="BZ61" s="9">
        <v>0</v>
      </c>
      <c r="CA61" s="9">
        <v>0</v>
      </c>
      <c r="CB61" s="9">
        <v>0</v>
      </c>
      <c r="CC61" s="9">
        <v>0</v>
      </c>
      <c r="CD61" s="9">
        <v>1</v>
      </c>
      <c r="CE61" s="9">
        <v>0</v>
      </c>
      <c r="CF61" s="9">
        <v>0</v>
      </c>
      <c r="CG61" s="9">
        <v>2</v>
      </c>
      <c r="CH61" s="9">
        <v>0</v>
      </c>
      <c r="CI61" s="9">
        <v>0</v>
      </c>
      <c r="CJ61" s="9">
        <v>0</v>
      </c>
      <c r="CK61" s="9">
        <v>1</v>
      </c>
      <c r="CL61" s="9">
        <v>0</v>
      </c>
      <c r="CM61" s="9">
        <v>1</v>
      </c>
      <c r="CN61" s="9">
        <v>0</v>
      </c>
      <c r="CO61" s="9">
        <v>0</v>
      </c>
      <c r="CP61" s="9">
        <v>2</v>
      </c>
      <c r="CQ61" s="9">
        <v>0</v>
      </c>
      <c r="CR61" s="9">
        <v>0</v>
      </c>
      <c r="CS61" s="9">
        <v>0</v>
      </c>
      <c r="CT61" s="9">
        <v>0</v>
      </c>
      <c r="CU61" s="9">
        <v>0</v>
      </c>
      <c r="CV61" s="9">
        <v>0</v>
      </c>
      <c r="CW61" s="9">
        <v>3</v>
      </c>
      <c r="CX61" s="9">
        <v>0</v>
      </c>
      <c r="CY61" s="9">
        <v>1</v>
      </c>
      <c r="CZ61" s="9">
        <v>0</v>
      </c>
      <c r="DA61" s="9">
        <v>0</v>
      </c>
      <c r="DB61" s="9">
        <v>0</v>
      </c>
      <c r="DC61" s="9">
        <v>0</v>
      </c>
      <c r="DD61" s="9">
        <v>0</v>
      </c>
      <c r="DE61" s="9">
        <v>1</v>
      </c>
      <c r="DF61" s="9">
        <v>0</v>
      </c>
      <c r="DG61" s="9">
        <v>0</v>
      </c>
      <c r="DH61" s="9">
        <v>0</v>
      </c>
      <c r="DI61" s="9">
        <v>0</v>
      </c>
      <c r="DJ61" s="9">
        <v>0</v>
      </c>
      <c r="DK61" s="9">
        <v>0</v>
      </c>
      <c r="DL61" s="9">
        <v>0</v>
      </c>
      <c r="DM61" s="9">
        <v>1</v>
      </c>
      <c r="DN61" s="9">
        <v>0</v>
      </c>
      <c r="DO61" s="9">
        <v>0</v>
      </c>
      <c r="DP61" s="9">
        <v>0</v>
      </c>
      <c r="DQ61" s="9">
        <v>0</v>
      </c>
      <c r="DR61" s="9">
        <v>0</v>
      </c>
      <c r="DS61" s="9">
        <v>0</v>
      </c>
      <c r="DT61" s="9">
        <v>0</v>
      </c>
      <c r="DU61" s="9">
        <v>0</v>
      </c>
      <c r="DV61" s="9">
        <v>0</v>
      </c>
      <c r="DW61" s="9">
        <v>0</v>
      </c>
      <c r="DX61" s="9">
        <v>0</v>
      </c>
      <c r="DY61" s="9">
        <v>1</v>
      </c>
      <c r="DZ61" s="9">
        <v>0</v>
      </c>
      <c r="EA61" s="9">
        <v>0</v>
      </c>
      <c r="EB61" s="9">
        <v>0</v>
      </c>
      <c r="EC61" s="9">
        <v>0</v>
      </c>
      <c r="ED61" s="9">
        <v>0</v>
      </c>
      <c r="EE61" s="9">
        <v>0</v>
      </c>
      <c r="EF61" s="9">
        <v>0</v>
      </c>
      <c r="EG61" s="9">
        <v>0</v>
      </c>
      <c r="EH61" s="9">
        <v>0</v>
      </c>
      <c r="EI61" s="10">
        <v>0</v>
      </c>
    </row>
    <row r="62" spans="1:139" x14ac:dyDescent="0.35">
      <c r="A62" s="8" t="s">
        <v>73</v>
      </c>
      <c r="B62" s="9" t="s">
        <v>110</v>
      </c>
      <c r="C62" s="9" t="s">
        <v>111</v>
      </c>
      <c r="D62" s="9">
        <f t="shared" si="0"/>
        <v>5</v>
      </c>
      <c r="E62" s="9">
        <v>0</v>
      </c>
      <c r="F62" s="9">
        <v>0</v>
      </c>
      <c r="G62" s="9">
        <v>0</v>
      </c>
      <c r="H62" s="9">
        <v>0</v>
      </c>
      <c r="I62" s="9">
        <v>0</v>
      </c>
      <c r="J62" s="9">
        <v>0</v>
      </c>
      <c r="K62" s="9">
        <v>0</v>
      </c>
      <c r="L62" s="9">
        <v>0</v>
      </c>
      <c r="M62" s="9">
        <v>0</v>
      </c>
      <c r="N62" s="9">
        <v>0</v>
      </c>
      <c r="O62" s="9">
        <v>0</v>
      </c>
      <c r="P62" s="9">
        <v>0</v>
      </c>
      <c r="Q62" s="9">
        <v>0</v>
      </c>
      <c r="R62" s="9">
        <v>0</v>
      </c>
      <c r="S62" s="9">
        <v>0</v>
      </c>
      <c r="T62" s="9">
        <v>0</v>
      </c>
      <c r="U62" s="9">
        <v>0</v>
      </c>
      <c r="V62" s="9">
        <v>0</v>
      </c>
      <c r="W62" s="9">
        <v>0</v>
      </c>
      <c r="X62" s="9">
        <v>0</v>
      </c>
      <c r="Y62" s="9">
        <v>0</v>
      </c>
      <c r="Z62" s="9">
        <v>0</v>
      </c>
      <c r="AA62" s="9">
        <v>0</v>
      </c>
      <c r="AB62" s="9">
        <v>0</v>
      </c>
      <c r="AC62" s="9">
        <v>0</v>
      </c>
      <c r="AD62" s="9">
        <v>0</v>
      </c>
      <c r="AE62" s="9">
        <v>0</v>
      </c>
      <c r="AF62" s="9">
        <v>0</v>
      </c>
      <c r="AG62" s="9">
        <v>0</v>
      </c>
      <c r="AH62" s="9">
        <v>0</v>
      </c>
      <c r="AI62" s="9">
        <v>0</v>
      </c>
      <c r="AJ62" s="9">
        <v>0</v>
      </c>
      <c r="AK62" s="9">
        <v>0</v>
      </c>
      <c r="AL62" s="9">
        <v>0</v>
      </c>
      <c r="AM62" s="9">
        <v>0</v>
      </c>
      <c r="AN62" s="9">
        <v>0</v>
      </c>
      <c r="AO62" s="9">
        <v>0</v>
      </c>
      <c r="AP62" s="9">
        <v>0</v>
      </c>
      <c r="AQ62" s="9">
        <v>0</v>
      </c>
      <c r="AR62" s="9">
        <v>0</v>
      </c>
      <c r="AS62" s="9">
        <v>0</v>
      </c>
      <c r="AT62" s="9">
        <v>0</v>
      </c>
      <c r="AU62" s="9">
        <v>1</v>
      </c>
      <c r="AV62" s="9">
        <v>0</v>
      </c>
      <c r="AW62" s="9">
        <v>2</v>
      </c>
      <c r="AX62" s="9">
        <v>0</v>
      </c>
      <c r="AY62" s="9">
        <v>0</v>
      </c>
      <c r="AZ62" s="9">
        <v>0</v>
      </c>
      <c r="BA62" s="9">
        <v>0</v>
      </c>
      <c r="BB62" s="9">
        <v>0</v>
      </c>
      <c r="BC62" s="9">
        <v>1</v>
      </c>
      <c r="BD62" s="9">
        <v>1</v>
      </c>
      <c r="BE62" s="9">
        <v>0</v>
      </c>
      <c r="BF62" s="9">
        <v>0</v>
      </c>
      <c r="BG62" s="9">
        <v>0</v>
      </c>
      <c r="BH62" s="9">
        <v>0</v>
      </c>
      <c r="BI62" s="9">
        <v>0</v>
      </c>
      <c r="BJ62" s="9">
        <v>0</v>
      </c>
      <c r="BK62" s="9">
        <v>0</v>
      </c>
      <c r="BL62" s="9">
        <v>0</v>
      </c>
      <c r="BM62" s="9">
        <v>0</v>
      </c>
      <c r="BN62" s="9">
        <v>0</v>
      </c>
      <c r="BO62" s="9">
        <v>0</v>
      </c>
      <c r="BP62" s="9">
        <v>0</v>
      </c>
      <c r="BQ62" s="9">
        <v>0</v>
      </c>
      <c r="BR62" s="9">
        <v>0</v>
      </c>
      <c r="BS62" s="9">
        <v>0</v>
      </c>
      <c r="BT62" s="9">
        <v>0</v>
      </c>
      <c r="BU62" s="9">
        <v>0</v>
      </c>
      <c r="BV62" s="9">
        <v>0</v>
      </c>
      <c r="BW62" s="9">
        <v>0</v>
      </c>
      <c r="BX62" s="9">
        <v>0</v>
      </c>
      <c r="BY62" s="9">
        <v>0</v>
      </c>
      <c r="BZ62" s="9">
        <v>0</v>
      </c>
      <c r="CA62" s="9">
        <v>0</v>
      </c>
      <c r="CB62" s="9">
        <v>0</v>
      </c>
      <c r="CC62" s="9">
        <v>0</v>
      </c>
      <c r="CD62" s="9">
        <v>0</v>
      </c>
      <c r="CE62" s="9">
        <v>0</v>
      </c>
      <c r="CF62" s="9">
        <v>0</v>
      </c>
      <c r="CG62" s="9">
        <v>0</v>
      </c>
      <c r="CH62" s="9">
        <v>0</v>
      </c>
      <c r="CI62" s="9">
        <v>0</v>
      </c>
      <c r="CJ62" s="9">
        <v>0</v>
      </c>
      <c r="CK62" s="9">
        <v>0</v>
      </c>
      <c r="CL62" s="9">
        <v>0</v>
      </c>
      <c r="CM62" s="9">
        <v>0</v>
      </c>
      <c r="CN62" s="9">
        <v>0</v>
      </c>
      <c r="CO62" s="9">
        <v>0</v>
      </c>
      <c r="CP62" s="9">
        <v>0</v>
      </c>
      <c r="CQ62" s="9">
        <v>0</v>
      </c>
      <c r="CR62" s="9">
        <v>0</v>
      </c>
      <c r="CS62" s="9">
        <v>0</v>
      </c>
      <c r="CT62" s="9">
        <v>0</v>
      </c>
      <c r="CU62" s="9">
        <v>0</v>
      </c>
      <c r="CV62" s="9">
        <v>0</v>
      </c>
      <c r="CW62" s="9">
        <v>0</v>
      </c>
      <c r="CX62" s="9">
        <v>0</v>
      </c>
      <c r="CY62" s="9">
        <v>0</v>
      </c>
      <c r="CZ62" s="9">
        <v>0</v>
      </c>
      <c r="DA62" s="9">
        <v>0</v>
      </c>
      <c r="DB62" s="9">
        <v>0</v>
      </c>
      <c r="DC62" s="9">
        <v>0</v>
      </c>
      <c r="DD62" s="9">
        <v>0</v>
      </c>
      <c r="DE62" s="9">
        <v>0</v>
      </c>
      <c r="DF62" s="9">
        <v>0</v>
      </c>
      <c r="DG62" s="9">
        <v>0</v>
      </c>
      <c r="DH62" s="9">
        <v>0</v>
      </c>
      <c r="DI62" s="9">
        <v>0</v>
      </c>
      <c r="DJ62" s="9">
        <v>0</v>
      </c>
      <c r="DK62" s="9">
        <v>0</v>
      </c>
      <c r="DL62" s="9">
        <v>0</v>
      </c>
      <c r="DM62" s="9">
        <v>0</v>
      </c>
      <c r="DN62" s="9">
        <v>0</v>
      </c>
      <c r="DO62" s="9">
        <v>0</v>
      </c>
      <c r="DP62" s="9">
        <v>0</v>
      </c>
      <c r="DQ62" s="9">
        <v>0</v>
      </c>
      <c r="DR62" s="9">
        <v>0</v>
      </c>
      <c r="DS62" s="9">
        <v>0</v>
      </c>
      <c r="DT62" s="9">
        <v>0</v>
      </c>
      <c r="DU62" s="9">
        <v>0</v>
      </c>
      <c r="DV62" s="9">
        <v>0</v>
      </c>
      <c r="DW62" s="9">
        <v>0</v>
      </c>
      <c r="DX62" s="9">
        <v>0</v>
      </c>
      <c r="DY62" s="9">
        <v>0</v>
      </c>
      <c r="DZ62" s="9">
        <v>0</v>
      </c>
      <c r="EA62" s="9">
        <v>0</v>
      </c>
      <c r="EB62" s="9">
        <v>0</v>
      </c>
      <c r="EC62" s="9">
        <v>0</v>
      </c>
      <c r="ED62" s="9">
        <v>0</v>
      </c>
      <c r="EE62" s="9">
        <v>0</v>
      </c>
      <c r="EF62" s="9">
        <v>0</v>
      </c>
      <c r="EG62" s="9">
        <v>0</v>
      </c>
      <c r="EH62" s="9">
        <v>0</v>
      </c>
      <c r="EI62" s="10">
        <v>0</v>
      </c>
    </row>
    <row r="63" spans="1:139" x14ac:dyDescent="0.35">
      <c r="A63" s="8" t="s">
        <v>73</v>
      </c>
      <c r="B63" s="9" t="s">
        <v>112</v>
      </c>
      <c r="C63" s="9" t="s">
        <v>113</v>
      </c>
      <c r="D63" s="9">
        <f t="shared" si="0"/>
        <v>490</v>
      </c>
      <c r="E63" s="9">
        <v>2</v>
      </c>
      <c r="F63" s="9">
        <v>5</v>
      </c>
      <c r="G63" s="9">
        <v>14</v>
      </c>
      <c r="H63" s="9">
        <v>10</v>
      </c>
      <c r="I63" s="9">
        <v>19</v>
      </c>
      <c r="J63" s="9">
        <v>17</v>
      </c>
      <c r="K63" s="9">
        <v>33</v>
      </c>
      <c r="L63" s="9">
        <v>0</v>
      </c>
      <c r="M63" s="9">
        <v>26</v>
      </c>
      <c r="N63" s="9">
        <v>21</v>
      </c>
      <c r="O63" s="9">
        <v>14</v>
      </c>
      <c r="P63" s="9">
        <v>21</v>
      </c>
      <c r="Q63" s="9">
        <v>14</v>
      </c>
      <c r="R63" s="9">
        <v>10</v>
      </c>
      <c r="S63" s="9">
        <v>11</v>
      </c>
      <c r="T63" s="9">
        <v>12</v>
      </c>
      <c r="U63" s="9">
        <v>11</v>
      </c>
      <c r="V63" s="9">
        <v>32</v>
      </c>
      <c r="W63" s="9">
        <v>0</v>
      </c>
      <c r="X63" s="9">
        <v>40</v>
      </c>
      <c r="Y63" s="9">
        <v>24</v>
      </c>
      <c r="Z63" s="9">
        <v>17</v>
      </c>
      <c r="AA63" s="9">
        <v>10</v>
      </c>
      <c r="AB63" s="9">
        <v>17</v>
      </c>
      <c r="AC63" s="9">
        <v>7</v>
      </c>
      <c r="AD63" s="9">
        <v>7</v>
      </c>
      <c r="AE63" s="9">
        <v>4</v>
      </c>
      <c r="AF63" s="9">
        <v>14</v>
      </c>
      <c r="AG63" s="9">
        <v>6</v>
      </c>
      <c r="AH63" s="9">
        <v>4</v>
      </c>
      <c r="AI63" s="9">
        <v>7</v>
      </c>
      <c r="AJ63" s="9">
        <v>5</v>
      </c>
      <c r="AK63" s="9">
        <v>2</v>
      </c>
      <c r="AL63" s="9">
        <v>3</v>
      </c>
      <c r="AM63" s="9">
        <v>8</v>
      </c>
      <c r="AN63" s="9">
        <v>5</v>
      </c>
      <c r="AO63" s="9">
        <v>4</v>
      </c>
      <c r="AP63" s="9">
        <v>7</v>
      </c>
      <c r="AQ63" s="9">
        <v>3</v>
      </c>
      <c r="AR63" s="9">
        <v>0</v>
      </c>
      <c r="AS63" s="9">
        <v>5</v>
      </c>
      <c r="AT63" s="9">
        <v>1</v>
      </c>
      <c r="AU63" s="9">
        <v>2</v>
      </c>
      <c r="AV63" s="9">
        <v>4</v>
      </c>
      <c r="AW63" s="9">
        <v>2</v>
      </c>
      <c r="AX63" s="9">
        <v>1</v>
      </c>
      <c r="AY63" s="9">
        <v>0</v>
      </c>
      <c r="AZ63" s="9">
        <v>1</v>
      </c>
      <c r="BA63" s="9">
        <v>0</v>
      </c>
      <c r="BB63" s="9">
        <v>1</v>
      </c>
      <c r="BC63" s="9">
        <v>0</v>
      </c>
      <c r="BD63" s="9">
        <v>0</v>
      </c>
      <c r="BE63" s="9">
        <v>0</v>
      </c>
      <c r="BF63" s="9">
        <v>0</v>
      </c>
      <c r="BG63" s="9">
        <v>0</v>
      </c>
      <c r="BH63" s="9">
        <v>0</v>
      </c>
      <c r="BI63" s="9">
        <v>1</v>
      </c>
      <c r="BJ63" s="9">
        <v>0</v>
      </c>
      <c r="BK63" s="9">
        <v>0</v>
      </c>
      <c r="BL63" s="9">
        <v>0</v>
      </c>
      <c r="BM63" s="9">
        <v>0</v>
      </c>
      <c r="BN63" s="9">
        <v>0</v>
      </c>
      <c r="BO63" s="9">
        <v>0</v>
      </c>
      <c r="BP63" s="9">
        <v>0</v>
      </c>
      <c r="BQ63" s="9">
        <v>0</v>
      </c>
      <c r="BR63" s="9">
        <v>1</v>
      </c>
      <c r="BS63" s="9">
        <v>0</v>
      </c>
      <c r="BT63" s="9">
        <v>0</v>
      </c>
      <c r="BU63" s="9">
        <v>0</v>
      </c>
      <c r="BV63" s="9">
        <v>1</v>
      </c>
      <c r="BW63" s="9">
        <v>1</v>
      </c>
      <c r="BX63" s="9">
        <v>0</v>
      </c>
      <c r="BY63" s="9">
        <v>0</v>
      </c>
      <c r="BZ63" s="9">
        <v>0</v>
      </c>
      <c r="CA63" s="9">
        <v>1</v>
      </c>
      <c r="CB63" s="9">
        <v>0</v>
      </c>
      <c r="CC63" s="9">
        <v>0</v>
      </c>
      <c r="CD63" s="9">
        <v>0</v>
      </c>
      <c r="CE63" s="9">
        <v>1</v>
      </c>
      <c r="CF63" s="9">
        <v>0</v>
      </c>
      <c r="CG63" s="9">
        <v>0</v>
      </c>
      <c r="CH63" s="9">
        <v>0</v>
      </c>
      <c r="CI63" s="9">
        <v>0</v>
      </c>
      <c r="CJ63" s="9">
        <v>0</v>
      </c>
      <c r="CK63" s="9">
        <v>0</v>
      </c>
      <c r="CL63" s="9">
        <v>0</v>
      </c>
      <c r="CM63" s="9">
        <v>0</v>
      </c>
      <c r="CN63" s="9">
        <v>0</v>
      </c>
      <c r="CO63" s="9">
        <v>0</v>
      </c>
      <c r="CP63" s="9">
        <v>0</v>
      </c>
      <c r="CQ63" s="9">
        <v>0</v>
      </c>
      <c r="CR63" s="9">
        <v>0</v>
      </c>
      <c r="CS63" s="9">
        <v>0</v>
      </c>
      <c r="CT63" s="9">
        <v>0</v>
      </c>
      <c r="CU63" s="9">
        <v>0</v>
      </c>
      <c r="CV63" s="9">
        <v>0</v>
      </c>
      <c r="CW63" s="9">
        <v>0</v>
      </c>
      <c r="CX63" s="9">
        <v>0</v>
      </c>
      <c r="CY63" s="9">
        <v>1</v>
      </c>
      <c r="CZ63" s="9">
        <v>0</v>
      </c>
      <c r="DA63" s="9">
        <v>0</v>
      </c>
      <c r="DB63" s="9">
        <v>0</v>
      </c>
      <c r="DC63" s="9">
        <v>0</v>
      </c>
      <c r="DD63" s="9">
        <v>0</v>
      </c>
      <c r="DE63" s="9">
        <v>0</v>
      </c>
      <c r="DF63" s="9">
        <v>0</v>
      </c>
      <c r="DG63" s="9">
        <v>0</v>
      </c>
      <c r="DH63" s="9">
        <v>0</v>
      </c>
      <c r="DI63" s="9">
        <v>0</v>
      </c>
      <c r="DJ63" s="9">
        <v>0</v>
      </c>
      <c r="DK63" s="9">
        <v>0</v>
      </c>
      <c r="DL63" s="9">
        <v>0</v>
      </c>
      <c r="DM63" s="9">
        <v>0</v>
      </c>
      <c r="DN63" s="9">
        <v>0</v>
      </c>
      <c r="DO63" s="9">
        <v>0</v>
      </c>
      <c r="DP63" s="9">
        <v>0</v>
      </c>
      <c r="DQ63" s="9">
        <v>0</v>
      </c>
      <c r="DR63" s="9">
        <v>0</v>
      </c>
      <c r="DS63" s="9">
        <v>0</v>
      </c>
      <c r="DT63" s="9">
        <v>0</v>
      </c>
      <c r="DU63" s="9">
        <v>0</v>
      </c>
      <c r="DV63" s="9">
        <v>0</v>
      </c>
      <c r="DW63" s="9">
        <v>0</v>
      </c>
      <c r="DX63" s="9">
        <v>0</v>
      </c>
      <c r="DY63" s="9">
        <v>0</v>
      </c>
      <c r="DZ63" s="9">
        <v>0</v>
      </c>
      <c r="EA63" s="9">
        <v>0</v>
      </c>
      <c r="EB63" s="9">
        <v>0</v>
      </c>
      <c r="EC63" s="9">
        <v>0</v>
      </c>
      <c r="ED63" s="9">
        <v>0</v>
      </c>
      <c r="EE63" s="9">
        <v>0</v>
      </c>
      <c r="EF63" s="9">
        <v>0</v>
      </c>
      <c r="EG63" s="9">
        <v>0</v>
      </c>
      <c r="EH63" s="9">
        <v>0</v>
      </c>
      <c r="EI63" s="10">
        <v>0</v>
      </c>
    </row>
    <row r="64" spans="1:139" x14ac:dyDescent="0.35">
      <c r="A64" s="8" t="s">
        <v>73</v>
      </c>
      <c r="B64" s="9" t="s">
        <v>114</v>
      </c>
      <c r="C64" s="9" t="s">
        <v>115</v>
      </c>
      <c r="D64" s="9">
        <f t="shared" si="0"/>
        <v>1</v>
      </c>
      <c r="E64" s="9">
        <v>0</v>
      </c>
      <c r="F64" s="9">
        <v>0</v>
      </c>
      <c r="G64" s="9">
        <v>1</v>
      </c>
      <c r="H64" s="9">
        <v>0</v>
      </c>
      <c r="I64" s="9">
        <v>0</v>
      </c>
      <c r="J64" s="9">
        <v>0</v>
      </c>
      <c r="K64" s="9">
        <v>0</v>
      </c>
      <c r="L64" s="9">
        <v>0</v>
      </c>
      <c r="M64" s="9">
        <v>0</v>
      </c>
      <c r="N64" s="9">
        <v>0</v>
      </c>
      <c r="O64" s="9">
        <v>0</v>
      </c>
      <c r="P64" s="9">
        <v>0</v>
      </c>
      <c r="Q64" s="9">
        <v>0</v>
      </c>
      <c r="R64" s="9">
        <v>0</v>
      </c>
      <c r="S64" s="9">
        <v>0</v>
      </c>
      <c r="T64" s="9">
        <v>0</v>
      </c>
      <c r="U64" s="9">
        <v>0</v>
      </c>
      <c r="V64" s="9">
        <v>0</v>
      </c>
      <c r="W64" s="9">
        <v>0</v>
      </c>
      <c r="X64" s="9">
        <v>0</v>
      </c>
      <c r="Y64" s="9">
        <v>0</v>
      </c>
      <c r="Z64" s="9">
        <v>0</v>
      </c>
      <c r="AA64" s="9">
        <v>0</v>
      </c>
      <c r="AB64" s="9">
        <v>0</v>
      </c>
      <c r="AC64" s="9">
        <v>0</v>
      </c>
      <c r="AD64" s="9">
        <v>0</v>
      </c>
      <c r="AE64" s="9">
        <v>0</v>
      </c>
      <c r="AF64" s="9">
        <v>0</v>
      </c>
      <c r="AG64" s="9">
        <v>0</v>
      </c>
      <c r="AH64" s="9">
        <v>0</v>
      </c>
      <c r="AI64" s="9">
        <v>0</v>
      </c>
      <c r="AJ64" s="9">
        <v>0</v>
      </c>
      <c r="AK64" s="9">
        <v>0</v>
      </c>
      <c r="AL64" s="9">
        <v>0</v>
      </c>
      <c r="AM64" s="9">
        <v>0</v>
      </c>
      <c r="AN64" s="9">
        <v>0</v>
      </c>
      <c r="AO64" s="9">
        <v>0</v>
      </c>
      <c r="AP64" s="9">
        <v>0</v>
      </c>
      <c r="AQ64" s="9">
        <v>0</v>
      </c>
      <c r="AR64" s="9">
        <v>0</v>
      </c>
      <c r="AS64" s="9">
        <v>0</v>
      </c>
      <c r="AT64" s="9">
        <v>0</v>
      </c>
      <c r="AU64" s="9">
        <v>0</v>
      </c>
      <c r="AV64" s="9">
        <v>0</v>
      </c>
      <c r="AW64" s="9">
        <v>0</v>
      </c>
      <c r="AX64" s="9">
        <v>0</v>
      </c>
      <c r="AY64" s="9">
        <v>0</v>
      </c>
      <c r="AZ64" s="9">
        <v>0</v>
      </c>
      <c r="BA64" s="9">
        <v>0</v>
      </c>
      <c r="BB64" s="9">
        <v>0</v>
      </c>
      <c r="BC64" s="9">
        <v>0</v>
      </c>
      <c r="BD64" s="9">
        <v>0</v>
      </c>
      <c r="BE64" s="9">
        <v>0</v>
      </c>
      <c r="BF64" s="9">
        <v>0</v>
      </c>
      <c r="BG64" s="9">
        <v>0</v>
      </c>
      <c r="BH64" s="9">
        <v>0</v>
      </c>
      <c r="BI64" s="9">
        <v>0</v>
      </c>
      <c r="BJ64" s="9">
        <v>0</v>
      </c>
      <c r="BK64" s="9">
        <v>0</v>
      </c>
      <c r="BL64" s="9">
        <v>0</v>
      </c>
      <c r="BM64" s="9">
        <v>0</v>
      </c>
      <c r="BN64" s="9">
        <v>0</v>
      </c>
      <c r="BO64" s="9">
        <v>0</v>
      </c>
      <c r="BP64" s="9">
        <v>0</v>
      </c>
      <c r="BQ64" s="9">
        <v>0</v>
      </c>
      <c r="BR64" s="9">
        <v>0</v>
      </c>
      <c r="BS64" s="9">
        <v>0</v>
      </c>
      <c r="BT64" s="9">
        <v>0</v>
      </c>
      <c r="BU64" s="9">
        <v>0</v>
      </c>
      <c r="BV64" s="9">
        <v>0</v>
      </c>
      <c r="BW64" s="9">
        <v>0</v>
      </c>
      <c r="BX64" s="9">
        <v>0</v>
      </c>
      <c r="BY64" s="9">
        <v>0</v>
      </c>
      <c r="BZ64" s="9">
        <v>0</v>
      </c>
      <c r="CA64" s="9">
        <v>0</v>
      </c>
      <c r="CB64" s="9">
        <v>0</v>
      </c>
      <c r="CC64" s="9">
        <v>0</v>
      </c>
      <c r="CD64" s="9">
        <v>0</v>
      </c>
      <c r="CE64" s="9">
        <v>0</v>
      </c>
      <c r="CF64" s="9">
        <v>0</v>
      </c>
      <c r="CG64" s="9">
        <v>0</v>
      </c>
      <c r="CH64" s="9">
        <v>0</v>
      </c>
      <c r="CI64" s="9">
        <v>0</v>
      </c>
      <c r="CJ64" s="9">
        <v>0</v>
      </c>
      <c r="CK64" s="9">
        <v>0</v>
      </c>
      <c r="CL64" s="9">
        <v>0</v>
      </c>
      <c r="CM64" s="9">
        <v>0</v>
      </c>
      <c r="CN64" s="9">
        <v>0</v>
      </c>
      <c r="CO64" s="9">
        <v>0</v>
      </c>
      <c r="CP64" s="9">
        <v>0</v>
      </c>
      <c r="CQ64" s="9">
        <v>0</v>
      </c>
      <c r="CR64" s="9">
        <v>0</v>
      </c>
      <c r="CS64" s="9">
        <v>0</v>
      </c>
      <c r="CT64" s="9">
        <v>0</v>
      </c>
      <c r="CU64" s="9">
        <v>0</v>
      </c>
      <c r="CV64" s="9">
        <v>0</v>
      </c>
      <c r="CW64" s="9">
        <v>0</v>
      </c>
      <c r="CX64" s="9">
        <v>0</v>
      </c>
      <c r="CY64" s="9">
        <v>0</v>
      </c>
      <c r="CZ64" s="9">
        <v>0</v>
      </c>
      <c r="DA64" s="9">
        <v>0</v>
      </c>
      <c r="DB64" s="9">
        <v>0</v>
      </c>
      <c r="DC64" s="9">
        <v>0</v>
      </c>
      <c r="DD64" s="9">
        <v>0</v>
      </c>
      <c r="DE64" s="9">
        <v>0</v>
      </c>
      <c r="DF64" s="9">
        <v>0</v>
      </c>
      <c r="DG64" s="9">
        <v>0</v>
      </c>
      <c r="DH64" s="9">
        <v>0</v>
      </c>
      <c r="DI64" s="9">
        <v>0</v>
      </c>
      <c r="DJ64" s="9">
        <v>0</v>
      </c>
      <c r="DK64" s="9">
        <v>0</v>
      </c>
      <c r="DL64" s="9">
        <v>0</v>
      </c>
      <c r="DM64" s="9">
        <v>0</v>
      </c>
      <c r="DN64" s="9">
        <v>0</v>
      </c>
      <c r="DO64" s="9">
        <v>0</v>
      </c>
      <c r="DP64" s="9">
        <v>0</v>
      </c>
      <c r="DQ64" s="9">
        <v>0</v>
      </c>
      <c r="DR64" s="9">
        <v>0</v>
      </c>
      <c r="DS64" s="9">
        <v>0</v>
      </c>
      <c r="DT64" s="9">
        <v>0</v>
      </c>
      <c r="DU64" s="9">
        <v>0</v>
      </c>
      <c r="DV64" s="9">
        <v>0</v>
      </c>
      <c r="DW64" s="9">
        <v>0</v>
      </c>
      <c r="DX64" s="9">
        <v>0</v>
      </c>
      <c r="DY64" s="9">
        <v>0</v>
      </c>
      <c r="DZ64" s="9">
        <v>0</v>
      </c>
      <c r="EA64" s="9">
        <v>0</v>
      </c>
      <c r="EB64" s="9">
        <v>0</v>
      </c>
      <c r="EC64" s="9">
        <v>0</v>
      </c>
      <c r="ED64" s="9">
        <v>0</v>
      </c>
      <c r="EE64" s="9">
        <v>0</v>
      </c>
      <c r="EF64" s="9">
        <v>0</v>
      </c>
      <c r="EG64" s="9">
        <v>0</v>
      </c>
      <c r="EH64" s="9">
        <v>0</v>
      </c>
      <c r="EI64" s="10">
        <v>0</v>
      </c>
    </row>
    <row r="65" spans="1:139" x14ac:dyDescent="0.35">
      <c r="A65" s="8" t="s">
        <v>73</v>
      </c>
      <c r="B65" s="9" t="s">
        <v>116</v>
      </c>
      <c r="C65" s="9" t="s">
        <v>117</v>
      </c>
      <c r="D65" s="9">
        <f t="shared" si="0"/>
        <v>207</v>
      </c>
      <c r="E65" s="9">
        <v>0</v>
      </c>
      <c r="F65" s="9">
        <v>0</v>
      </c>
      <c r="G65" s="9">
        <v>0</v>
      </c>
      <c r="H65" s="9">
        <v>0</v>
      </c>
      <c r="I65" s="9">
        <v>0</v>
      </c>
      <c r="J65" s="9">
        <v>0</v>
      </c>
      <c r="K65" s="9">
        <v>0</v>
      </c>
      <c r="L65" s="9">
        <v>0</v>
      </c>
      <c r="M65" s="9">
        <v>1</v>
      </c>
      <c r="N65" s="9">
        <v>0</v>
      </c>
      <c r="O65" s="9">
        <v>0</v>
      </c>
      <c r="P65" s="9">
        <v>0</v>
      </c>
      <c r="Q65" s="9">
        <v>0</v>
      </c>
      <c r="R65" s="9">
        <v>0</v>
      </c>
      <c r="S65" s="9">
        <v>3</v>
      </c>
      <c r="T65" s="9">
        <v>2</v>
      </c>
      <c r="U65" s="9">
        <v>2</v>
      </c>
      <c r="V65" s="9">
        <v>0</v>
      </c>
      <c r="W65" s="9">
        <v>2</v>
      </c>
      <c r="X65" s="9">
        <v>9</v>
      </c>
      <c r="Y65" s="9">
        <v>10</v>
      </c>
      <c r="Z65" s="9">
        <v>4</v>
      </c>
      <c r="AA65" s="9">
        <v>5</v>
      </c>
      <c r="AB65" s="9">
        <v>3</v>
      </c>
      <c r="AC65" s="9">
        <v>5</v>
      </c>
      <c r="AD65" s="9">
        <v>7</v>
      </c>
      <c r="AE65" s="9">
        <v>4</v>
      </c>
      <c r="AF65" s="9">
        <v>5</v>
      </c>
      <c r="AG65" s="9">
        <v>7</v>
      </c>
      <c r="AH65" s="9">
        <v>4</v>
      </c>
      <c r="AI65" s="9">
        <v>4</v>
      </c>
      <c r="AJ65" s="9">
        <v>0</v>
      </c>
      <c r="AK65" s="9">
        <v>1</v>
      </c>
      <c r="AL65" s="9">
        <v>2</v>
      </c>
      <c r="AM65" s="9">
        <v>5</v>
      </c>
      <c r="AN65" s="9">
        <v>6</v>
      </c>
      <c r="AO65" s="9">
        <v>3</v>
      </c>
      <c r="AP65" s="9">
        <v>2</v>
      </c>
      <c r="AQ65" s="9">
        <v>3</v>
      </c>
      <c r="AR65" s="9">
        <v>5</v>
      </c>
      <c r="AS65" s="9">
        <v>5</v>
      </c>
      <c r="AT65" s="9">
        <v>6</v>
      </c>
      <c r="AU65" s="9">
        <v>2</v>
      </c>
      <c r="AV65" s="9">
        <v>3</v>
      </c>
      <c r="AW65" s="9">
        <v>3</v>
      </c>
      <c r="AX65" s="9">
        <v>3</v>
      </c>
      <c r="AY65" s="9">
        <v>2</v>
      </c>
      <c r="AZ65" s="9">
        <v>7</v>
      </c>
      <c r="BA65" s="9">
        <v>5</v>
      </c>
      <c r="BB65" s="9">
        <v>4</v>
      </c>
      <c r="BC65" s="9">
        <v>0</v>
      </c>
      <c r="BD65" s="9">
        <v>1</v>
      </c>
      <c r="BE65" s="9">
        <v>0</v>
      </c>
      <c r="BF65" s="9">
        <v>1</v>
      </c>
      <c r="BG65" s="9">
        <v>2</v>
      </c>
      <c r="BH65" s="9">
        <v>3</v>
      </c>
      <c r="BI65" s="9">
        <v>3</v>
      </c>
      <c r="BJ65" s="9">
        <v>2</v>
      </c>
      <c r="BK65" s="9">
        <v>3</v>
      </c>
      <c r="BL65" s="9">
        <v>0</v>
      </c>
      <c r="BM65" s="9">
        <v>1</v>
      </c>
      <c r="BN65" s="9">
        <v>1</v>
      </c>
      <c r="BO65" s="9">
        <v>0</v>
      </c>
      <c r="BP65" s="9">
        <v>1</v>
      </c>
      <c r="BQ65" s="9">
        <v>1</v>
      </c>
      <c r="BR65" s="9">
        <v>1</v>
      </c>
      <c r="BS65" s="9">
        <v>1</v>
      </c>
      <c r="BT65" s="9">
        <v>1</v>
      </c>
      <c r="BU65" s="9">
        <v>0</v>
      </c>
      <c r="BV65" s="9">
        <v>0</v>
      </c>
      <c r="BW65" s="9">
        <v>0</v>
      </c>
      <c r="BX65" s="9">
        <v>1</v>
      </c>
      <c r="BY65" s="9">
        <v>0</v>
      </c>
      <c r="BZ65" s="9">
        <v>0</v>
      </c>
      <c r="CA65" s="9">
        <v>0</v>
      </c>
      <c r="CB65" s="9">
        <v>0</v>
      </c>
      <c r="CC65" s="9">
        <v>0</v>
      </c>
      <c r="CD65" s="9">
        <v>0</v>
      </c>
      <c r="CE65" s="9">
        <v>0</v>
      </c>
      <c r="CF65" s="9">
        <v>0</v>
      </c>
      <c r="CG65" s="9">
        <v>0</v>
      </c>
      <c r="CH65" s="9">
        <v>0</v>
      </c>
      <c r="CI65" s="9">
        <v>0</v>
      </c>
      <c r="CJ65" s="9">
        <v>0</v>
      </c>
      <c r="CK65" s="9">
        <v>0</v>
      </c>
      <c r="CL65" s="9">
        <v>0</v>
      </c>
      <c r="CM65" s="9">
        <v>1</v>
      </c>
      <c r="CN65" s="9">
        <v>0</v>
      </c>
      <c r="CO65" s="9">
        <v>2</v>
      </c>
      <c r="CP65" s="9">
        <v>2</v>
      </c>
      <c r="CQ65" s="9">
        <v>0</v>
      </c>
      <c r="CR65" s="9">
        <v>0</v>
      </c>
      <c r="CS65" s="9">
        <v>1</v>
      </c>
      <c r="CT65" s="9">
        <v>1</v>
      </c>
      <c r="CU65" s="9">
        <v>0</v>
      </c>
      <c r="CV65" s="9">
        <v>1</v>
      </c>
      <c r="CW65" s="9">
        <v>1</v>
      </c>
      <c r="CX65" s="9">
        <v>1</v>
      </c>
      <c r="CY65" s="9">
        <v>1</v>
      </c>
      <c r="CZ65" s="9">
        <v>2</v>
      </c>
      <c r="DA65" s="9">
        <v>2</v>
      </c>
      <c r="DB65" s="9">
        <v>2</v>
      </c>
      <c r="DC65" s="9">
        <v>1</v>
      </c>
      <c r="DD65" s="9">
        <v>4</v>
      </c>
      <c r="DE65" s="9">
        <v>1</v>
      </c>
      <c r="DF65" s="9">
        <v>1</v>
      </c>
      <c r="DG65" s="9">
        <v>0</v>
      </c>
      <c r="DH65" s="9">
        <v>0</v>
      </c>
      <c r="DI65" s="9">
        <v>0</v>
      </c>
      <c r="DJ65" s="9">
        <v>1</v>
      </c>
      <c r="DK65" s="9">
        <v>3</v>
      </c>
      <c r="DL65" s="9">
        <v>1</v>
      </c>
      <c r="DM65" s="9">
        <v>1</v>
      </c>
      <c r="DN65" s="9">
        <v>0</v>
      </c>
      <c r="DO65" s="9">
        <v>0</v>
      </c>
      <c r="DP65" s="9">
        <v>0</v>
      </c>
      <c r="DQ65" s="9">
        <v>2</v>
      </c>
      <c r="DR65" s="9">
        <v>0</v>
      </c>
      <c r="DS65" s="9">
        <v>1</v>
      </c>
      <c r="DT65" s="9">
        <v>0</v>
      </c>
      <c r="DU65" s="9">
        <v>1</v>
      </c>
      <c r="DV65" s="9">
        <v>0</v>
      </c>
      <c r="DW65" s="9">
        <v>0</v>
      </c>
      <c r="DX65" s="9">
        <v>0</v>
      </c>
      <c r="DY65" s="9">
        <v>1</v>
      </c>
      <c r="DZ65" s="9">
        <v>2</v>
      </c>
      <c r="EA65" s="9">
        <v>1</v>
      </c>
      <c r="EB65" s="9">
        <v>1</v>
      </c>
      <c r="EC65" s="9">
        <v>1</v>
      </c>
      <c r="ED65" s="9">
        <v>0</v>
      </c>
      <c r="EE65" s="9">
        <v>0</v>
      </c>
      <c r="EF65" s="9">
        <v>0</v>
      </c>
      <c r="EG65" s="9">
        <v>0</v>
      </c>
      <c r="EH65" s="9">
        <v>0</v>
      </c>
      <c r="EI65" s="10">
        <v>0</v>
      </c>
    </row>
    <row r="66" spans="1:139" x14ac:dyDescent="0.35">
      <c r="A66" s="8" t="s">
        <v>73</v>
      </c>
      <c r="B66" s="9" t="s">
        <v>118</v>
      </c>
      <c r="C66" s="9" t="s">
        <v>119</v>
      </c>
      <c r="D66" s="9">
        <f t="shared" si="0"/>
        <v>133</v>
      </c>
      <c r="E66" s="9">
        <v>2</v>
      </c>
      <c r="F66" s="9">
        <v>0</v>
      </c>
      <c r="G66" s="9">
        <v>2</v>
      </c>
      <c r="H66" s="9">
        <v>0</v>
      </c>
      <c r="I66" s="9">
        <v>1</v>
      </c>
      <c r="J66" s="9">
        <v>1</v>
      </c>
      <c r="K66" s="9">
        <v>0</v>
      </c>
      <c r="L66" s="9">
        <v>1</v>
      </c>
      <c r="M66" s="9">
        <v>0</v>
      </c>
      <c r="N66" s="9">
        <v>1</v>
      </c>
      <c r="O66" s="9">
        <v>0</v>
      </c>
      <c r="P66" s="9">
        <v>14</v>
      </c>
      <c r="Q66" s="9">
        <v>19</v>
      </c>
      <c r="R66" s="9">
        <v>15</v>
      </c>
      <c r="S66" s="9">
        <v>0</v>
      </c>
      <c r="T66" s="9">
        <v>0</v>
      </c>
      <c r="U66" s="9">
        <v>1</v>
      </c>
      <c r="V66" s="9">
        <v>1</v>
      </c>
      <c r="W66" s="9">
        <v>1</v>
      </c>
      <c r="X66" s="9">
        <v>0</v>
      </c>
      <c r="Y66" s="9">
        <v>1</v>
      </c>
      <c r="Z66" s="9">
        <v>4</v>
      </c>
      <c r="AA66" s="9">
        <v>0</v>
      </c>
      <c r="AB66" s="9">
        <v>0</v>
      </c>
      <c r="AC66" s="9">
        <v>0</v>
      </c>
      <c r="AD66" s="9">
        <v>2</v>
      </c>
      <c r="AE66" s="9">
        <v>2</v>
      </c>
      <c r="AF66" s="9">
        <v>2</v>
      </c>
      <c r="AG66" s="9">
        <v>2</v>
      </c>
      <c r="AH66" s="9">
        <v>3</v>
      </c>
      <c r="AI66" s="9">
        <v>0</v>
      </c>
      <c r="AJ66" s="9">
        <v>0</v>
      </c>
      <c r="AK66" s="9">
        <v>0</v>
      </c>
      <c r="AL66" s="9">
        <v>1</v>
      </c>
      <c r="AM66" s="9">
        <v>0</v>
      </c>
      <c r="AN66" s="9">
        <v>2</v>
      </c>
      <c r="AO66" s="9">
        <v>1</v>
      </c>
      <c r="AP66" s="9">
        <v>2</v>
      </c>
      <c r="AQ66" s="9">
        <v>0</v>
      </c>
      <c r="AR66" s="9">
        <v>4</v>
      </c>
      <c r="AS66" s="9">
        <v>0</v>
      </c>
      <c r="AT66" s="9">
        <v>0</v>
      </c>
      <c r="AU66" s="9">
        <v>0</v>
      </c>
      <c r="AV66" s="9">
        <v>0</v>
      </c>
      <c r="AW66" s="9">
        <v>1</v>
      </c>
      <c r="AX66" s="9">
        <v>0</v>
      </c>
      <c r="AY66" s="9">
        <v>2</v>
      </c>
      <c r="AZ66" s="9">
        <v>0</v>
      </c>
      <c r="BA66" s="9">
        <v>0</v>
      </c>
      <c r="BB66" s="9">
        <v>0</v>
      </c>
      <c r="BC66" s="9">
        <v>4</v>
      </c>
      <c r="BD66" s="9">
        <v>1</v>
      </c>
      <c r="BE66" s="9">
        <v>1</v>
      </c>
      <c r="BF66" s="9">
        <v>3</v>
      </c>
      <c r="BG66" s="9">
        <v>1</v>
      </c>
      <c r="BH66" s="9">
        <v>1</v>
      </c>
      <c r="BI66" s="9">
        <v>3</v>
      </c>
      <c r="BJ66" s="9">
        <v>0</v>
      </c>
      <c r="BK66" s="9">
        <v>2</v>
      </c>
      <c r="BL66" s="9">
        <v>0</v>
      </c>
      <c r="BM66" s="9">
        <v>0</v>
      </c>
      <c r="BN66" s="9">
        <v>0</v>
      </c>
      <c r="BO66" s="9">
        <v>0</v>
      </c>
      <c r="BP66" s="9">
        <v>0</v>
      </c>
      <c r="BQ66" s="9">
        <v>4</v>
      </c>
      <c r="BR66" s="9">
        <v>1</v>
      </c>
      <c r="BS66" s="9">
        <v>0</v>
      </c>
      <c r="BT66" s="9">
        <v>0</v>
      </c>
      <c r="BU66" s="9">
        <v>0</v>
      </c>
      <c r="BV66" s="9">
        <v>1</v>
      </c>
      <c r="BW66" s="9">
        <v>0</v>
      </c>
      <c r="BX66" s="9">
        <v>2</v>
      </c>
      <c r="BY66" s="9">
        <v>0</v>
      </c>
      <c r="BZ66" s="9">
        <v>2</v>
      </c>
      <c r="CA66" s="9">
        <v>2</v>
      </c>
      <c r="CB66" s="9">
        <v>0</v>
      </c>
      <c r="CC66" s="9">
        <v>1</v>
      </c>
      <c r="CD66" s="9">
        <v>0</v>
      </c>
      <c r="CE66" s="9">
        <v>1</v>
      </c>
      <c r="CF66" s="9">
        <v>0</v>
      </c>
      <c r="CG66" s="9">
        <v>1</v>
      </c>
      <c r="CH66" s="9">
        <v>1</v>
      </c>
      <c r="CI66" s="9">
        <v>1</v>
      </c>
      <c r="CJ66" s="9">
        <v>0</v>
      </c>
      <c r="CK66" s="9">
        <v>0</v>
      </c>
      <c r="CL66" s="9">
        <v>1</v>
      </c>
      <c r="CM66" s="9">
        <v>0</v>
      </c>
      <c r="CN66" s="9">
        <v>0</v>
      </c>
      <c r="CO66" s="9">
        <v>4</v>
      </c>
      <c r="CP66" s="9">
        <v>1</v>
      </c>
      <c r="CQ66" s="9">
        <v>0</v>
      </c>
      <c r="CR66" s="9">
        <v>1</v>
      </c>
      <c r="CS66" s="9">
        <v>1</v>
      </c>
      <c r="CT66" s="9">
        <v>0</v>
      </c>
      <c r="CU66" s="9">
        <v>1</v>
      </c>
      <c r="CV66" s="9">
        <v>3</v>
      </c>
      <c r="CW66" s="9">
        <v>0</v>
      </c>
      <c r="CX66" s="9">
        <v>0</v>
      </c>
      <c r="CY66" s="9">
        <v>0</v>
      </c>
      <c r="CZ66" s="9">
        <v>0</v>
      </c>
      <c r="DA66" s="9">
        <v>0</v>
      </c>
      <c r="DB66" s="9">
        <v>0</v>
      </c>
      <c r="DC66" s="9">
        <v>0</v>
      </c>
      <c r="DD66" s="9">
        <v>0</v>
      </c>
      <c r="DE66" s="9">
        <v>0</v>
      </c>
      <c r="DF66" s="9">
        <v>0</v>
      </c>
      <c r="DG66" s="9">
        <v>0</v>
      </c>
      <c r="DH66" s="9">
        <v>0</v>
      </c>
      <c r="DI66" s="9">
        <v>0</v>
      </c>
      <c r="DJ66" s="9">
        <v>0</v>
      </c>
      <c r="DK66" s="9">
        <v>0</v>
      </c>
      <c r="DL66" s="9">
        <v>0</v>
      </c>
      <c r="DM66" s="9">
        <v>0</v>
      </c>
      <c r="DN66" s="9">
        <v>0</v>
      </c>
      <c r="DO66" s="9">
        <v>0</v>
      </c>
      <c r="DP66" s="9">
        <v>0</v>
      </c>
      <c r="DQ66" s="9">
        <v>0</v>
      </c>
      <c r="DR66" s="9">
        <v>0</v>
      </c>
      <c r="DS66" s="9">
        <v>0</v>
      </c>
      <c r="DT66" s="9">
        <v>0</v>
      </c>
      <c r="DU66" s="9">
        <v>0</v>
      </c>
      <c r="DV66" s="9">
        <v>0</v>
      </c>
      <c r="DW66" s="9">
        <v>0</v>
      </c>
      <c r="DX66" s="9">
        <v>0</v>
      </c>
      <c r="DY66" s="9">
        <v>0</v>
      </c>
      <c r="DZ66" s="9">
        <v>0</v>
      </c>
      <c r="EA66" s="9">
        <v>0</v>
      </c>
      <c r="EB66" s="9">
        <v>0</v>
      </c>
      <c r="EC66" s="9">
        <v>0</v>
      </c>
      <c r="ED66" s="9">
        <v>0</v>
      </c>
      <c r="EE66" s="9">
        <v>0</v>
      </c>
      <c r="EF66" s="9">
        <v>0</v>
      </c>
      <c r="EG66" s="9">
        <v>0</v>
      </c>
      <c r="EH66" s="9">
        <v>0</v>
      </c>
      <c r="EI66" s="10">
        <v>0</v>
      </c>
    </row>
    <row r="67" spans="1:139" x14ac:dyDescent="0.35">
      <c r="A67" s="8" t="s">
        <v>73</v>
      </c>
      <c r="B67" s="9" t="s">
        <v>120</v>
      </c>
      <c r="C67" s="9" t="s">
        <v>121</v>
      </c>
      <c r="D67" s="9">
        <f t="shared" ref="D67:D130" si="1">SUM(E67:EI67)</f>
        <v>66</v>
      </c>
      <c r="E67" s="9">
        <v>0</v>
      </c>
      <c r="F67" s="9">
        <v>0</v>
      </c>
      <c r="G67" s="9">
        <v>0</v>
      </c>
      <c r="H67" s="9">
        <v>0</v>
      </c>
      <c r="I67" s="9">
        <v>0</v>
      </c>
      <c r="J67" s="9">
        <v>0</v>
      </c>
      <c r="K67" s="9">
        <v>2</v>
      </c>
      <c r="L67" s="9">
        <v>2</v>
      </c>
      <c r="M67" s="9">
        <v>0</v>
      </c>
      <c r="N67" s="9">
        <v>0</v>
      </c>
      <c r="O67" s="9">
        <v>0</v>
      </c>
      <c r="P67" s="9">
        <v>0</v>
      </c>
      <c r="Q67" s="9">
        <v>1</v>
      </c>
      <c r="R67" s="9">
        <v>0</v>
      </c>
      <c r="S67" s="9">
        <v>2</v>
      </c>
      <c r="T67" s="9">
        <v>1</v>
      </c>
      <c r="U67" s="9">
        <v>1</v>
      </c>
      <c r="V67" s="9">
        <v>0</v>
      </c>
      <c r="W67" s="9">
        <v>1</v>
      </c>
      <c r="X67" s="9">
        <v>3</v>
      </c>
      <c r="Y67" s="9">
        <v>1</v>
      </c>
      <c r="Z67" s="9">
        <v>1</v>
      </c>
      <c r="AA67" s="9">
        <v>0</v>
      </c>
      <c r="AB67" s="9">
        <v>2</v>
      </c>
      <c r="AC67" s="9">
        <v>1</v>
      </c>
      <c r="AD67" s="9">
        <v>1</v>
      </c>
      <c r="AE67" s="9">
        <v>0</v>
      </c>
      <c r="AF67" s="9">
        <v>0</v>
      </c>
      <c r="AG67" s="9">
        <v>0</v>
      </c>
      <c r="AH67" s="9">
        <v>1</v>
      </c>
      <c r="AI67" s="9">
        <v>0</v>
      </c>
      <c r="AJ67" s="9">
        <v>0</v>
      </c>
      <c r="AK67" s="9">
        <v>0</v>
      </c>
      <c r="AL67" s="9">
        <v>0</v>
      </c>
      <c r="AM67" s="9">
        <v>0</v>
      </c>
      <c r="AN67" s="9">
        <v>1</v>
      </c>
      <c r="AO67" s="9">
        <v>2</v>
      </c>
      <c r="AP67" s="9">
        <v>1</v>
      </c>
      <c r="AQ67" s="9">
        <v>0</v>
      </c>
      <c r="AR67" s="9">
        <v>22</v>
      </c>
      <c r="AS67" s="9">
        <v>1</v>
      </c>
      <c r="AT67" s="9">
        <v>3</v>
      </c>
      <c r="AU67" s="9">
        <v>1</v>
      </c>
      <c r="AV67" s="9">
        <v>1</v>
      </c>
      <c r="AW67" s="9">
        <v>0</v>
      </c>
      <c r="AX67" s="9">
        <v>0</v>
      </c>
      <c r="AY67" s="9">
        <v>0</v>
      </c>
      <c r="AZ67" s="9">
        <v>0</v>
      </c>
      <c r="BA67" s="9">
        <v>0</v>
      </c>
      <c r="BB67" s="9">
        <v>2</v>
      </c>
      <c r="BC67" s="9">
        <v>0</v>
      </c>
      <c r="BD67" s="9">
        <v>1</v>
      </c>
      <c r="BE67" s="9">
        <v>1</v>
      </c>
      <c r="BF67" s="9">
        <v>1</v>
      </c>
      <c r="BG67" s="9">
        <v>0</v>
      </c>
      <c r="BH67" s="9">
        <v>0</v>
      </c>
      <c r="BI67" s="9">
        <v>1</v>
      </c>
      <c r="BJ67" s="9">
        <v>1</v>
      </c>
      <c r="BK67" s="9">
        <v>0</v>
      </c>
      <c r="BL67" s="9">
        <v>0</v>
      </c>
      <c r="BM67" s="9">
        <v>0</v>
      </c>
      <c r="BN67" s="9">
        <v>0</v>
      </c>
      <c r="BO67" s="9">
        <v>1</v>
      </c>
      <c r="BP67" s="9">
        <v>0</v>
      </c>
      <c r="BQ67" s="9">
        <v>0</v>
      </c>
      <c r="BR67" s="9">
        <v>0</v>
      </c>
      <c r="BS67" s="9">
        <v>0</v>
      </c>
      <c r="BT67" s="9">
        <v>0</v>
      </c>
      <c r="BU67" s="9">
        <v>0</v>
      </c>
      <c r="BV67" s="9">
        <v>0</v>
      </c>
      <c r="BW67" s="9">
        <v>0</v>
      </c>
      <c r="BX67" s="9">
        <v>0</v>
      </c>
      <c r="BY67" s="9">
        <v>0</v>
      </c>
      <c r="BZ67" s="9">
        <v>0</v>
      </c>
      <c r="CA67" s="9">
        <v>0</v>
      </c>
      <c r="CB67" s="9">
        <v>0</v>
      </c>
      <c r="CC67" s="9">
        <v>0</v>
      </c>
      <c r="CD67" s="9">
        <v>0</v>
      </c>
      <c r="CE67" s="9">
        <v>0</v>
      </c>
      <c r="CF67" s="9">
        <v>0</v>
      </c>
      <c r="CG67" s="9">
        <v>0</v>
      </c>
      <c r="CH67" s="9">
        <v>0</v>
      </c>
      <c r="CI67" s="9">
        <v>0</v>
      </c>
      <c r="CJ67" s="9">
        <v>0</v>
      </c>
      <c r="CK67" s="9">
        <v>0</v>
      </c>
      <c r="CL67" s="9">
        <v>0</v>
      </c>
      <c r="CM67" s="9">
        <v>0</v>
      </c>
      <c r="CN67" s="9">
        <v>0</v>
      </c>
      <c r="CO67" s="9">
        <v>0</v>
      </c>
      <c r="CP67" s="9">
        <v>0</v>
      </c>
      <c r="CQ67" s="9">
        <v>0</v>
      </c>
      <c r="CR67" s="9">
        <v>0</v>
      </c>
      <c r="CS67" s="9">
        <v>0</v>
      </c>
      <c r="CT67" s="9">
        <v>0</v>
      </c>
      <c r="CU67" s="9">
        <v>0</v>
      </c>
      <c r="CV67" s="9">
        <v>0</v>
      </c>
      <c r="CW67" s="9">
        <v>0</v>
      </c>
      <c r="CX67" s="9">
        <v>1</v>
      </c>
      <c r="CY67" s="9">
        <v>0</v>
      </c>
      <c r="CZ67" s="9">
        <v>0</v>
      </c>
      <c r="DA67" s="9">
        <v>0</v>
      </c>
      <c r="DB67" s="9">
        <v>0</v>
      </c>
      <c r="DC67" s="9">
        <v>0</v>
      </c>
      <c r="DD67" s="9">
        <v>0</v>
      </c>
      <c r="DE67" s="9">
        <v>0</v>
      </c>
      <c r="DF67" s="9">
        <v>0</v>
      </c>
      <c r="DG67" s="9">
        <v>0</v>
      </c>
      <c r="DH67" s="9">
        <v>2</v>
      </c>
      <c r="DI67" s="9">
        <v>0</v>
      </c>
      <c r="DJ67" s="9">
        <v>0</v>
      </c>
      <c r="DK67" s="9">
        <v>1</v>
      </c>
      <c r="DL67" s="9">
        <v>0</v>
      </c>
      <c r="DM67" s="9">
        <v>0</v>
      </c>
      <c r="DN67" s="9">
        <v>0</v>
      </c>
      <c r="DO67" s="9">
        <v>0</v>
      </c>
      <c r="DP67" s="9">
        <v>0</v>
      </c>
      <c r="DQ67" s="9">
        <v>0</v>
      </c>
      <c r="DR67" s="9">
        <v>0</v>
      </c>
      <c r="DS67" s="9">
        <v>0</v>
      </c>
      <c r="DT67" s="9">
        <v>0</v>
      </c>
      <c r="DU67" s="9">
        <v>0</v>
      </c>
      <c r="DV67" s="9">
        <v>0</v>
      </c>
      <c r="DW67" s="9">
        <v>0</v>
      </c>
      <c r="DX67" s="9">
        <v>0</v>
      </c>
      <c r="DY67" s="9">
        <v>1</v>
      </c>
      <c r="DZ67" s="9">
        <v>0</v>
      </c>
      <c r="EA67" s="9">
        <v>0</v>
      </c>
      <c r="EB67" s="9">
        <v>0</v>
      </c>
      <c r="EC67" s="9">
        <v>0</v>
      </c>
      <c r="ED67" s="9">
        <v>0</v>
      </c>
      <c r="EE67" s="9">
        <v>1</v>
      </c>
      <c r="EF67" s="9">
        <v>0</v>
      </c>
      <c r="EG67" s="9">
        <v>0</v>
      </c>
      <c r="EH67" s="9">
        <v>0</v>
      </c>
      <c r="EI67" s="10">
        <v>0</v>
      </c>
    </row>
    <row r="68" spans="1:139" x14ac:dyDescent="0.35">
      <c r="A68" s="8" t="s">
        <v>73</v>
      </c>
      <c r="B68" s="9" t="s">
        <v>122</v>
      </c>
      <c r="C68" s="9" t="s">
        <v>123</v>
      </c>
      <c r="D68" s="9">
        <f t="shared" si="1"/>
        <v>224</v>
      </c>
      <c r="E68" s="9">
        <v>1</v>
      </c>
      <c r="F68" s="9">
        <v>5</v>
      </c>
      <c r="G68" s="9">
        <v>2</v>
      </c>
      <c r="H68" s="9">
        <v>1</v>
      </c>
      <c r="I68" s="9">
        <v>1</v>
      </c>
      <c r="J68" s="9">
        <v>4</v>
      </c>
      <c r="K68" s="9">
        <v>2</v>
      </c>
      <c r="L68" s="9">
        <v>7</v>
      </c>
      <c r="M68" s="9">
        <v>14</v>
      </c>
      <c r="N68" s="9">
        <v>10</v>
      </c>
      <c r="O68" s="9">
        <v>3</v>
      </c>
      <c r="P68" s="9">
        <v>12</v>
      </c>
      <c r="Q68" s="9">
        <v>8</v>
      </c>
      <c r="R68" s="9">
        <v>9</v>
      </c>
      <c r="S68" s="9">
        <v>11</v>
      </c>
      <c r="T68" s="9">
        <v>7</v>
      </c>
      <c r="U68" s="9">
        <v>0</v>
      </c>
      <c r="V68" s="9">
        <v>3</v>
      </c>
      <c r="W68" s="9">
        <v>8</v>
      </c>
      <c r="X68" s="9">
        <v>4</v>
      </c>
      <c r="Y68" s="9">
        <v>24</v>
      </c>
      <c r="Z68" s="9">
        <v>0</v>
      </c>
      <c r="AA68" s="9">
        <v>0</v>
      </c>
      <c r="AB68" s="9">
        <v>0</v>
      </c>
      <c r="AC68" s="9">
        <v>0</v>
      </c>
      <c r="AD68" s="9">
        <v>0</v>
      </c>
      <c r="AE68" s="9">
        <v>4</v>
      </c>
      <c r="AF68" s="9">
        <v>2</v>
      </c>
      <c r="AG68" s="9">
        <v>0</v>
      </c>
      <c r="AH68" s="9">
        <v>5</v>
      </c>
      <c r="AI68" s="9">
        <v>2</v>
      </c>
      <c r="AJ68" s="9">
        <v>1</v>
      </c>
      <c r="AK68" s="9">
        <v>1</v>
      </c>
      <c r="AL68" s="9">
        <v>9</v>
      </c>
      <c r="AM68" s="9">
        <v>2</v>
      </c>
      <c r="AN68" s="9">
        <v>0</v>
      </c>
      <c r="AO68" s="9">
        <v>1</v>
      </c>
      <c r="AP68" s="9">
        <v>0</v>
      </c>
      <c r="AQ68" s="9">
        <v>1</v>
      </c>
      <c r="AR68" s="9">
        <v>3</v>
      </c>
      <c r="AS68" s="9">
        <v>3</v>
      </c>
      <c r="AT68" s="9">
        <v>6</v>
      </c>
      <c r="AU68" s="9">
        <v>3</v>
      </c>
      <c r="AV68" s="9">
        <v>5</v>
      </c>
      <c r="AW68" s="9">
        <v>1</v>
      </c>
      <c r="AX68" s="9">
        <v>1</v>
      </c>
      <c r="AY68" s="9">
        <v>3</v>
      </c>
      <c r="AZ68" s="9">
        <v>5</v>
      </c>
      <c r="BA68" s="9">
        <v>2</v>
      </c>
      <c r="BB68" s="9">
        <v>1</v>
      </c>
      <c r="BC68" s="9">
        <v>0</v>
      </c>
      <c r="BD68" s="9">
        <v>3</v>
      </c>
      <c r="BE68" s="9">
        <v>0</v>
      </c>
      <c r="BF68" s="9">
        <v>2</v>
      </c>
      <c r="BG68" s="9">
        <v>0</v>
      </c>
      <c r="BH68" s="9">
        <v>0</v>
      </c>
      <c r="BI68" s="9">
        <v>2</v>
      </c>
      <c r="BJ68" s="9">
        <v>1</v>
      </c>
      <c r="BK68" s="9">
        <v>0</v>
      </c>
      <c r="BL68" s="9">
        <v>0</v>
      </c>
      <c r="BM68" s="9">
        <v>0</v>
      </c>
      <c r="BN68" s="9">
        <v>0</v>
      </c>
      <c r="BO68" s="9">
        <v>0</v>
      </c>
      <c r="BP68" s="9">
        <v>0</v>
      </c>
      <c r="BQ68" s="9">
        <v>2</v>
      </c>
      <c r="BR68" s="9">
        <v>0</v>
      </c>
      <c r="BS68" s="9">
        <v>0</v>
      </c>
      <c r="BT68" s="9">
        <v>0</v>
      </c>
      <c r="BU68" s="9">
        <v>0</v>
      </c>
      <c r="BV68" s="9">
        <v>1</v>
      </c>
      <c r="BW68" s="9">
        <v>2</v>
      </c>
      <c r="BX68" s="9">
        <v>1</v>
      </c>
      <c r="BY68" s="9">
        <v>0</v>
      </c>
      <c r="BZ68" s="9">
        <v>0</v>
      </c>
      <c r="CA68" s="9">
        <v>1</v>
      </c>
      <c r="CB68" s="9">
        <v>0</v>
      </c>
      <c r="CC68" s="9">
        <v>0</v>
      </c>
      <c r="CD68" s="9">
        <v>0</v>
      </c>
      <c r="CE68" s="9">
        <v>1</v>
      </c>
      <c r="CF68" s="9">
        <v>0</v>
      </c>
      <c r="CG68" s="9">
        <v>1</v>
      </c>
      <c r="CH68" s="9">
        <v>0</v>
      </c>
      <c r="CI68" s="9">
        <v>0</v>
      </c>
      <c r="CJ68" s="9">
        <v>0</v>
      </c>
      <c r="CK68" s="9">
        <v>0</v>
      </c>
      <c r="CL68" s="9">
        <v>0</v>
      </c>
      <c r="CM68" s="9">
        <v>0</v>
      </c>
      <c r="CN68" s="9">
        <v>1</v>
      </c>
      <c r="CO68" s="9">
        <v>0</v>
      </c>
      <c r="CP68" s="9">
        <v>1</v>
      </c>
      <c r="CQ68" s="9">
        <v>0</v>
      </c>
      <c r="CR68" s="9">
        <v>0</v>
      </c>
      <c r="CS68" s="9">
        <v>0</v>
      </c>
      <c r="CT68" s="9">
        <v>1</v>
      </c>
      <c r="CU68" s="9">
        <v>0</v>
      </c>
      <c r="CV68" s="9">
        <v>0</v>
      </c>
      <c r="CW68" s="9">
        <v>0</v>
      </c>
      <c r="CX68" s="9">
        <v>0</v>
      </c>
      <c r="CY68" s="9">
        <v>1</v>
      </c>
      <c r="CZ68" s="9">
        <v>0</v>
      </c>
      <c r="DA68" s="9">
        <v>0</v>
      </c>
      <c r="DB68" s="9">
        <v>0</v>
      </c>
      <c r="DC68" s="9">
        <v>0</v>
      </c>
      <c r="DD68" s="9">
        <v>0</v>
      </c>
      <c r="DE68" s="9">
        <v>0</v>
      </c>
      <c r="DF68" s="9">
        <v>0</v>
      </c>
      <c r="DG68" s="9">
        <v>0</v>
      </c>
      <c r="DH68" s="9">
        <v>0</v>
      </c>
      <c r="DI68" s="9">
        <v>0</v>
      </c>
      <c r="DJ68" s="9">
        <v>2</v>
      </c>
      <c r="DK68" s="9">
        <v>1</v>
      </c>
      <c r="DL68" s="9">
        <v>0</v>
      </c>
      <c r="DM68" s="9">
        <v>0</v>
      </c>
      <c r="DN68" s="9">
        <v>0</v>
      </c>
      <c r="DO68" s="9">
        <v>0</v>
      </c>
      <c r="DP68" s="9">
        <v>0</v>
      </c>
      <c r="DQ68" s="9">
        <v>0</v>
      </c>
      <c r="DR68" s="9">
        <v>0</v>
      </c>
      <c r="DS68" s="9">
        <v>0</v>
      </c>
      <c r="DT68" s="9">
        <v>1</v>
      </c>
      <c r="DU68" s="9">
        <v>0</v>
      </c>
      <c r="DV68" s="9">
        <v>0</v>
      </c>
      <c r="DW68" s="9">
        <v>1</v>
      </c>
      <c r="DX68" s="9">
        <v>0</v>
      </c>
      <c r="DY68" s="9">
        <v>1</v>
      </c>
      <c r="DZ68" s="9">
        <v>0</v>
      </c>
      <c r="EA68" s="9">
        <v>0</v>
      </c>
      <c r="EB68" s="9">
        <v>0</v>
      </c>
      <c r="EC68" s="9">
        <v>0</v>
      </c>
      <c r="ED68" s="9">
        <v>0</v>
      </c>
      <c r="EE68" s="9">
        <v>0</v>
      </c>
      <c r="EF68" s="9">
        <v>0</v>
      </c>
      <c r="EG68" s="9">
        <v>0</v>
      </c>
      <c r="EH68" s="9">
        <v>0</v>
      </c>
      <c r="EI68" s="10">
        <v>0</v>
      </c>
    </row>
    <row r="69" spans="1:139" x14ac:dyDescent="0.35">
      <c r="A69" s="8" t="s">
        <v>73</v>
      </c>
      <c r="B69" s="9" t="s">
        <v>124</v>
      </c>
      <c r="C69" s="9" t="s">
        <v>125</v>
      </c>
      <c r="D69" s="9">
        <f t="shared" si="1"/>
        <v>22</v>
      </c>
      <c r="E69" s="9">
        <v>0</v>
      </c>
      <c r="F69" s="9">
        <v>0</v>
      </c>
      <c r="G69" s="9">
        <v>0</v>
      </c>
      <c r="H69" s="9">
        <v>0</v>
      </c>
      <c r="I69" s="9">
        <v>0</v>
      </c>
      <c r="J69" s="9">
        <v>1</v>
      </c>
      <c r="K69" s="9">
        <v>0</v>
      </c>
      <c r="L69" s="9">
        <v>0</v>
      </c>
      <c r="M69" s="9">
        <v>0</v>
      </c>
      <c r="N69" s="9">
        <v>0</v>
      </c>
      <c r="O69" s="9">
        <v>1</v>
      </c>
      <c r="P69" s="9">
        <v>1</v>
      </c>
      <c r="Q69" s="9">
        <v>0</v>
      </c>
      <c r="R69" s="9">
        <v>0</v>
      </c>
      <c r="S69" s="9">
        <v>3</v>
      </c>
      <c r="T69" s="9">
        <v>0</v>
      </c>
      <c r="U69" s="9">
        <v>0</v>
      </c>
      <c r="V69" s="9">
        <v>0</v>
      </c>
      <c r="W69" s="9">
        <v>0</v>
      </c>
      <c r="X69" s="9">
        <v>1</v>
      </c>
      <c r="Y69" s="9">
        <v>0</v>
      </c>
      <c r="Z69" s="9">
        <v>0</v>
      </c>
      <c r="AA69" s="9">
        <v>0</v>
      </c>
      <c r="AB69" s="9">
        <v>0</v>
      </c>
      <c r="AC69" s="9">
        <v>0</v>
      </c>
      <c r="AD69" s="9">
        <v>0</v>
      </c>
      <c r="AE69" s="9">
        <v>0</v>
      </c>
      <c r="AF69" s="9">
        <v>0</v>
      </c>
      <c r="AG69" s="9">
        <v>0</v>
      </c>
      <c r="AH69" s="9">
        <v>0</v>
      </c>
      <c r="AI69" s="9">
        <v>0</v>
      </c>
      <c r="AJ69" s="9">
        <v>0</v>
      </c>
      <c r="AK69" s="9">
        <v>0</v>
      </c>
      <c r="AL69" s="9">
        <v>0</v>
      </c>
      <c r="AM69" s="9">
        <v>0</v>
      </c>
      <c r="AN69" s="9">
        <v>0</v>
      </c>
      <c r="AO69" s="9">
        <v>1</v>
      </c>
      <c r="AP69" s="9">
        <v>0</v>
      </c>
      <c r="AQ69" s="9">
        <v>0</v>
      </c>
      <c r="AR69" s="9">
        <v>0</v>
      </c>
      <c r="AS69" s="9">
        <v>0</v>
      </c>
      <c r="AT69" s="9">
        <v>2</v>
      </c>
      <c r="AU69" s="9">
        <v>0</v>
      </c>
      <c r="AV69" s="9">
        <v>0</v>
      </c>
      <c r="AW69" s="9">
        <v>0</v>
      </c>
      <c r="AX69" s="9">
        <v>0</v>
      </c>
      <c r="AY69" s="9">
        <v>0</v>
      </c>
      <c r="AZ69" s="9">
        <v>1</v>
      </c>
      <c r="BA69" s="9">
        <v>1</v>
      </c>
      <c r="BB69" s="9">
        <v>1</v>
      </c>
      <c r="BC69" s="9">
        <v>3</v>
      </c>
      <c r="BD69" s="9">
        <v>0</v>
      </c>
      <c r="BE69" s="9">
        <v>0</v>
      </c>
      <c r="BF69" s="9">
        <v>0</v>
      </c>
      <c r="BG69" s="9">
        <v>1</v>
      </c>
      <c r="BH69" s="9">
        <v>1</v>
      </c>
      <c r="BI69" s="9">
        <v>0</v>
      </c>
      <c r="BJ69" s="9">
        <v>0</v>
      </c>
      <c r="BK69" s="9">
        <v>0</v>
      </c>
      <c r="BL69" s="9">
        <v>1</v>
      </c>
      <c r="BM69" s="9">
        <v>0</v>
      </c>
      <c r="BN69" s="9">
        <v>0</v>
      </c>
      <c r="BO69" s="9">
        <v>0</v>
      </c>
      <c r="BP69" s="9">
        <v>0</v>
      </c>
      <c r="BQ69" s="9">
        <v>0</v>
      </c>
      <c r="BR69" s="9">
        <v>0</v>
      </c>
      <c r="BS69" s="9">
        <v>0</v>
      </c>
      <c r="BT69" s="9">
        <v>0</v>
      </c>
      <c r="BU69" s="9">
        <v>0</v>
      </c>
      <c r="BV69" s="9">
        <v>0</v>
      </c>
      <c r="BW69" s="9">
        <v>0</v>
      </c>
      <c r="BX69" s="9">
        <v>0</v>
      </c>
      <c r="BY69" s="9">
        <v>0</v>
      </c>
      <c r="BZ69" s="9">
        <v>0</v>
      </c>
      <c r="CA69" s="9">
        <v>0</v>
      </c>
      <c r="CB69" s="9">
        <v>0</v>
      </c>
      <c r="CC69" s="9">
        <v>0</v>
      </c>
      <c r="CD69" s="9">
        <v>0</v>
      </c>
      <c r="CE69" s="9">
        <v>0</v>
      </c>
      <c r="CF69" s="9">
        <v>0</v>
      </c>
      <c r="CG69" s="9">
        <v>0</v>
      </c>
      <c r="CH69" s="9">
        <v>0</v>
      </c>
      <c r="CI69" s="9">
        <v>0</v>
      </c>
      <c r="CJ69" s="9">
        <v>0</v>
      </c>
      <c r="CK69" s="9">
        <v>0</v>
      </c>
      <c r="CL69" s="9">
        <v>0</v>
      </c>
      <c r="CM69" s="9">
        <v>0</v>
      </c>
      <c r="CN69" s="9">
        <v>0</v>
      </c>
      <c r="CO69" s="9">
        <v>0</v>
      </c>
      <c r="CP69" s="9">
        <v>0</v>
      </c>
      <c r="CQ69" s="9">
        <v>0</v>
      </c>
      <c r="CR69" s="9">
        <v>0</v>
      </c>
      <c r="CS69" s="9">
        <v>0</v>
      </c>
      <c r="CT69" s="9">
        <v>0</v>
      </c>
      <c r="CU69" s="9">
        <v>0</v>
      </c>
      <c r="CV69" s="9">
        <v>0</v>
      </c>
      <c r="CW69" s="9">
        <v>0</v>
      </c>
      <c r="CX69" s="9">
        <v>0</v>
      </c>
      <c r="CY69" s="9">
        <v>0</v>
      </c>
      <c r="CZ69" s="9">
        <v>0</v>
      </c>
      <c r="DA69" s="9">
        <v>0</v>
      </c>
      <c r="DB69" s="9">
        <v>0</v>
      </c>
      <c r="DC69" s="9">
        <v>0</v>
      </c>
      <c r="DD69" s="9">
        <v>0</v>
      </c>
      <c r="DE69" s="9">
        <v>0</v>
      </c>
      <c r="DF69" s="9">
        <v>0</v>
      </c>
      <c r="DG69" s="9">
        <v>0</v>
      </c>
      <c r="DH69" s="9">
        <v>0</v>
      </c>
      <c r="DI69" s="9">
        <v>0</v>
      </c>
      <c r="DJ69" s="9">
        <v>1</v>
      </c>
      <c r="DK69" s="9">
        <v>0</v>
      </c>
      <c r="DL69" s="9">
        <v>0</v>
      </c>
      <c r="DM69" s="9">
        <v>0</v>
      </c>
      <c r="DN69" s="9">
        <v>1</v>
      </c>
      <c r="DO69" s="9">
        <v>1</v>
      </c>
      <c r="DP69" s="9">
        <v>0</v>
      </c>
      <c r="DQ69" s="9">
        <v>0</v>
      </c>
      <c r="DR69" s="9">
        <v>0</v>
      </c>
      <c r="DS69" s="9">
        <v>0</v>
      </c>
      <c r="DT69" s="9">
        <v>0</v>
      </c>
      <c r="DU69" s="9">
        <v>0</v>
      </c>
      <c r="DV69" s="9">
        <v>0</v>
      </c>
      <c r="DW69" s="9">
        <v>0</v>
      </c>
      <c r="DX69" s="9">
        <v>0</v>
      </c>
      <c r="DY69" s="9">
        <v>0</v>
      </c>
      <c r="DZ69" s="9">
        <v>0</v>
      </c>
      <c r="EA69" s="9">
        <v>0</v>
      </c>
      <c r="EB69" s="9">
        <v>0</v>
      </c>
      <c r="EC69" s="9">
        <v>0</v>
      </c>
      <c r="ED69" s="9">
        <v>0</v>
      </c>
      <c r="EE69" s="9">
        <v>0</v>
      </c>
      <c r="EF69" s="9">
        <v>0</v>
      </c>
      <c r="EG69" s="9">
        <v>0</v>
      </c>
      <c r="EH69" s="9">
        <v>0</v>
      </c>
      <c r="EI69" s="10">
        <v>0</v>
      </c>
    </row>
    <row r="70" spans="1:139" x14ac:dyDescent="0.35">
      <c r="A70" s="8" t="s">
        <v>73</v>
      </c>
      <c r="B70" s="9" t="s">
        <v>126</v>
      </c>
      <c r="C70" s="9" t="s">
        <v>127</v>
      </c>
      <c r="D70" s="9">
        <f t="shared" si="1"/>
        <v>4</v>
      </c>
      <c r="E70" s="9">
        <v>0</v>
      </c>
      <c r="F70" s="9">
        <v>0</v>
      </c>
      <c r="G70" s="9">
        <v>0</v>
      </c>
      <c r="H70" s="9">
        <v>0</v>
      </c>
      <c r="I70" s="9">
        <v>0</v>
      </c>
      <c r="J70" s="9">
        <v>0</v>
      </c>
      <c r="K70" s="9">
        <v>0</v>
      </c>
      <c r="L70" s="9">
        <v>0</v>
      </c>
      <c r="M70" s="9">
        <v>0</v>
      </c>
      <c r="N70" s="9">
        <v>0</v>
      </c>
      <c r="O70" s="9">
        <v>0</v>
      </c>
      <c r="P70" s="9">
        <v>0</v>
      </c>
      <c r="Q70" s="9">
        <v>0</v>
      </c>
      <c r="R70" s="9">
        <v>0</v>
      </c>
      <c r="S70" s="9">
        <v>0</v>
      </c>
      <c r="T70" s="9">
        <v>0</v>
      </c>
      <c r="U70" s="9">
        <v>0</v>
      </c>
      <c r="V70" s="9">
        <v>0</v>
      </c>
      <c r="W70" s="9">
        <v>0</v>
      </c>
      <c r="X70" s="9">
        <v>0</v>
      </c>
      <c r="Y70" s="9">
        <v>0</v>
      </c>
      <c r="Z70" s="9">
        <v>0</v>
      </c>
      <c r="AA70" s="9">
        <v>0</v>
      </c>
      <c r="AB70" s="9">
        <v>0</v>
      </c>
      <c r="AC70" s="9">
        <v>0</v>
      </c>
      <c r="AD70" s="9">
        <v>0</v>
      </c>
      <c r="AE70" s="9">
        <v>0</v>
      </c>
      <c r="AF70" s="9">
        <v>0</v>
      </c>
      <c r="AG70" s="9">
        <v>0</v>
      </c>
      <c r="AH70" s="9">
        <v>0</v>
      </c>
      <c r="AI70" s="9">
        <v>0</v>
      </c>
      <c r="AJ70" s="9">
        <v>0</v>
      </c>
      <c r="AK70" s="9">
        <v>0</v>
      </c>
      <c r="AL70" s="9">
        <v>0</v>
      </c>
      <c r="AM70" s="9">
        <v>0</v>
      </c>
      <c r="AN70" s="9">
        <v>0</v>
      </c>
      <c r="AO70" s="9">
        <v>0</v>
      </c>
      <c r="AP70" s="9">
        <v>0</v>
      </c>
      <c r="AQ70" s="9">
        <v>0</v>
      </c>
      <c r="AR70" s="9">
        <v>0</v>
      </c>
      <c r="AS70" s="9">
        <v>0</v>
      </c>
      <c r="AT70" s="9">
        <v>0</v>
      </c>
      <c r="AU70" s="9">
        <v>0</v>
      </c>
      <c r="AV70" s="9">
        <v>0</v>
      </c>
      <c r="AW70" s="9">
        <v>0</v>
      </c>
      <c r="AX70" s="9">
        <v>0</v>
      </c>
      <c r="AY70" s="9">
        <v>0</v>
      </c>
      <c r="AZ70" s="9">
        <v>0</v>
      </c>
      <c r="BA70" s="9">
        <v>0</v>
      </c>
      <c r="BB70" s="9">
        <v>0</v>
      </c>
      <c r="BC70" s="9">
        <v>0</v>
      </c>
      <c r="BD70" s="9">
        <v>0</v>
      </c>
      <c r="BE70" s="9">
        <v>0</v>
      </c>
      <c r="BF70" s="9">
        <v>0</v>
      </c>
      <c r="BG70" s="9">
        <v>0</v>
      </c>
      <c r="BH70" s="9">
        <v>0</v>
      </c>
      <c r="BI70" s="9">
        <v>0</v>
      </c>
      <c r="BJ70" s="9">
        <v>1</v>
      </c>
      <c r="BK70" s="9">
        <v>0</v>
      </c>
      <c r="BL70" s="9">
        <v>0</v>
      </c>
      <c r="BM70" s="9">
        <v>0</v>
      </c>
      <c r="BN70" s="9">
        <v>0</v>
      </c>
      <c r="BO70" s="9">
        <v>0</v>
      </c>
      <c r="BP70" s="9">
        <v>0</v>
      </c>
      <c r="BQ70" s="9">
        <v>0</v>
      </c>
      <c r="BR70" s="9">
        <v>0</v>
      </c>
      <c r="BS70" s="9">
        <v>0</v>
      </c>
      <c r="BT70" s="9">
        <v>0</v>
      </c>
      <c r="BU70" s="9">
        <v>0</v>
      </c>
      <c r="BV70" s="9">
        <v>0</v>
      </c>
      <c r="BW70" s="9">
        <v>0</v>
      </c>
      <c r="BX70" s="9">
        <v>0</v>
      </c>
      <c r="BY70" s="9">
        <v>0</v>
      </c>
      <c r="BZ70" s="9">
        <v>0</v>
      </c>
      <c r="CA70" s="9">
        <v>0</v>
      </c>
      <c r="CB70" s="9">
        <v>0</v>
      </c>
      <c r="CC70" s="9">
        <v>0</v>
      </c>
      <c r="CD70" s="9">
        <v>0</v>
      </c>
      <c r="CE70" s="9">
        <v>0</v>
      </c>
      <c r="CF70" s="9">
        <v>0</v>
      </c>
      <c r="CG70" s="9">
        <v>0</v>
      </c>
      <c r="CH70" s="9">
        <v>1</v>
      </c>
      <c r="CI70" s="9">
        <v>0</v>
      </c>
      <c r="CJ70" s="9">
        <v>0</v>
      </c>
      <c r="CK70" s="9">
        <v>0</v>
      </c>
      <c r="CL70" s="9">
        <v>1</v>
      </c>
      <c r="CM70" s="9">
        <v>0</v>
      </c>
      <c r="CN70" s="9">
        <v>0</v>
      </c>
      <c r="CO70" s="9">
        <v>0</v>
      </c>
      <c r="CP70" s="9">
        <v>0</v>
      </c>
      <c r="CQ70" s="9">
        <v>0</v>
      </c>
      <c r="CR70" s="9">
        <v>0</v>
      </c>
      <c r="CS70" s="9">
        <v>0</v>
      </c>
      <c r="CT70" s="9">
        <v>0</v>
      </c>
      <c r="CU70" s="9">
        <v>0</v>
      </c>
      <c r="CV70" s="9">
        <v>0</v>
      </c>
      <c r="CW70" s="9">
        <v>0</v>
      </c>
      <c r="CX70" s="9">
        <v>0</v>
      </c>
      <c r="CY70" s="9">
        <v>0</v>
      </c>
      <c r="CZ70" s="9">
        <v>0</v>
      </c>
      <c r="DA70" s="9">
        <v>0</v>
      </c>
      <c r="DB70" s="9">
        <v>0</v>
      </c>
      <c r="DC70" s="9">
        <v>0</v>
      </c>
      <c r="DD70" s="9">
        <v>0</v>
      </c>
      <c r="DE70" s="9">
        <v>0</v>
      </c>
      <c r="DF70" s="9">
        <v>0</v>
      </c>
      <c r="DG70" s="9">
        <v>0</v>
      </c>
      <c r="DH70" s="9">
        <v>0</v>
      </c>
      <c r="DI70" s="9">
        <v>0</v>
      </c>
      <c r="DJ70" s="9">
        <v>0</v>
      </c>
      <c r="DK70" s="9">
        <v>0</v>
      </c>
      <c r="DL70" s="9">
        <v>0</v>
      </c>
      <c r="DM70" s="9">
        <v>0</v>
      </c>
      <c r="DN70" s="9">
        <v>0</v>
      </c>
      <c r="DO70" s="9">
        <v>1</v>
      </c>
      <c r="DP70" s="9">
        <v>0</v>
      </c>
      <c r="DQ70" s="9">
        <v>0</v>
      </c>
      <c r="DR70" s="9">
        <v>0</v>
      </c>
      <c r="DS70" s="9">
        <v>0</v>
      </c>
      <c r="DT70" s="9">
        <v>0</v>
      </c>
      <c r="DU70" s="9">
        <v>0</v>
      </c>
      <c r="DV70" s="9">
        <v>0</v>
      </c>
      <c r="DW70" s="9">
        <v>0</v>
      </c>
      <c r="DX70" s="9">
        <v>0</v>
      </c>
      <c r="DY70" s="9">
        <v>0</v>
      </c>
      <c r="DZ70" s="9">
        <v>0</v>
      </c>
      <c r="EA70" s="9">
        <v>0</v>
      </c>
      <c r="EB70" s="9">
        <v>0</v>
      </c>
      <c r="EC70" s="9">
        <v>0</v>
      </c>
      <c r="ED70" s="9">
        <v>0</v>
      </c>
      <c r="EE70" s="9">
        <v>0</v>
      </c>
      <c r="EF70" s="9">
        <v>0</v>
      </c>
      <c r="EG70" s="9">
        <v>0</v>
      </c>
      <c r="EH70" s="9">
        <v>0</v>
      </c>
      <c r="EI70" s="10">
        <v>0</v>
      </c>
    </row>
    <row r="71" spans="1:139" x14ac:dyDescent="0.35">
      <c r="A71" s="8" t="s">
        <v>73</v>
      </c>
      <c r="B71" s="9" t="s">
        <v>128</v>
      </c>
      <c r="C71" s="9" t="s">
        <v>129</v>
      </c>
      <c r="D71" s="9">
        <f t="shared" si="1"/>
        <v>184</v>
      </c>
      <c r="E71" s="9">
        <v>0</v>
      </c>
      <c r="F71" s="9">
        <v>0</v>
      </c>
      <c r="G71" s="9">
        <v>0</v>
      </c>
      <c r="H71" s="9">
        <v>0</v>
      </c>
      <c r="I71" s="9">
        <v>0</v>
      </c>
      <c r="J71" s="9">
        <v>0</v>
      </c>
      <c r="K71" s="9">
        <v>0</v>
      </c>
      <c r="L71" s="9">
        <v>0</v>
      </c>
      <c r="M71" s="9">
        <v>0</v>
      </c>
      <c r="N71" s="9">
        <v>0</v>
      </c>
      <c r="O71" s="9">
        <v>3</v>
      </c>
      <c r="P71" s="9">
        <v>4</v>
      </c>
      <c r="Q71" s="9">
        <v>0</v>
      </c>
      <c r="R71" s="9">
        <v>1</v>
      </c>
      <c r="S71" s="9">
        <v>2</v>
      </c>
      <c r="T71" s="9">
        <v>0</v>
      </c>
      <c r="U71" s="9">
        <v>3</v>
      </c>
      <c r="V71" s="9">
        <v>4</v>
      </c>
      <c r="W71" s="9">
        <v>3</v>
      </c>
      <c r="X71" s="9">
        <v>3</v>
      </c>
      <c r="Y71" s="9">
        <v>6</v>
      </c>
      <c r="Z71" s="9">
        <v>4</v>
      </c>
      <c r="AA71" s="9">
        <v>2</v>
      </c>
      <c r="AB71" s="9">
        <v>1</v>
      </c>
      <c r="AC71" s="9">
        <v>2</v>
      </c>
      <c r="AD71" s="9">
        <v>1</v>
      </c>
      <c r="AE71" s="9">
        <v>2</v>
      </c>
      <c r="AF71" s="9">
        <v>2</v>
      </c>
      <c r="AG71" s="9">
        <v>2</v>
      </c>
      <c r="AH71" s="9">
        <v>2</v>
      </c>
      <c r="AI71" s="9">
        <v>1</v>
      </c>
      <c r="AJ71" s="9">
        <v>1</v>
      </c>
      <c r="AK71" s="9">
        <v>3</v>
      </c>
      <c r="AL71" s="9">
        <v>0</v>
      </c>
      <c r="AM71" s="9">
        <v>1</v>
      </c>
      <c r="AN71" s="9">
        <v>1</v>
      </c>
      <c r="AO71" s="9">
        <v>2</v>
      </c>
      <c r="AP71" s="9">
        <v>2</v>
      </c>
      <c r="AQ71" s="9">
        <v>0</v>
      </c>
      <c r="AR71" s="9">
        <v>2</v>
      </c>
      <c r="AS71" s="9">
        <v>1</v>
      </c>
      <c r="AT71" s="9">
        <v>1</v>
      </c>
      <c r="AU71" s="9">
        <v>2</v>
      </c>
      <c r="AV71" s="9">
        <v>0</v>
      </c>
      <c r="AW71" s="9">
        <v>1</v>
      </c>
      <c r="AX71" s="9">
        <v>0</v>
      </c>
      <c r="AY71" s="9">
        <v>1</v>
      </c>
      <c r="AZ71" s="9">
        <v>1</v>
      </c>
      <c r="BA71" s="9">
        <v>0</v>
      </c>
      <c r="BB71" s="9">
        <v>1</v>
      </c>
      <c r="BC71" s="9">
        <v>0</v>
      </c>
      <c r="BD71" s="9">
        <v>0</v>
      </c>
      <c r="BE71" s="9">
        <v>1</v>
      </c>
      <c r="BF71" s="9">
        <v>4</v>
      </c>
      <c r="BG71" s="9">
        <v>4</v>
      </c>
      <c r="BH71" s="9">
        <v>3</v>
      </c>
      <c r="BI71" s="9">
        <v>4</v>
      </c>
      <c r="BJ71" s="9">
        <v>7</v>
      </c>
      <c r="BK71" s="9">
        <v>1</v>
      </c>
      <c r="BL71" s="9">
        <v>2</v>
      </c>
      <c r="BM71" s="9">
        <v>3</v>
      </c>
      <c r="BN71" s="9">
        <v>4</v>
      </c>
      <c r="BO71" s="9">
        <v>4</v>
      </c>
      <c r="BP71" s="9">
        <v>6</v>
      </c>
      <c r="BQ71" s="9">
        <v>3</v>
      </c>
      <c r="BR71" s="9">
        <v>1</v>
      </c>
      <c r="BS71" s="9">
        <v>0</v>
      </c>
      <c r="BT71" s="9">
        <v>4</v>
      </c>
      <c r="BU71" s="9">
        <v>6</v>
      </c>
      <c r="BV71" s="9">
        <v>6</v>
      </c>
      <c r="BW71" s="9">
        <v>5</v>
      </c>
      <c r="BX71" s="9">
        <v>2</v>
      </c>
      <c r="BY71" s="9">
        <v>3</v>
      </c>
      <c r="BZ71" s="9">
        <v>1</v>
      </c>
      <c r="CA71" s="9">
        <v>0</v>
      </c>
      <c r="CB71" s="9">
        <v>1</v>
      </c>
      <c r="CC71" s="9">
        <v>8</v>
      </c>
      <c r="CD71" s="9">
        <v>4</v>
      </c>
      <c r="CE71" s="9">
        <v>2</v>
      </c>
      <c r="CF71" s="9">
        <v>3</v>
      </c>
      <c r="CG71" s="9">
        <v>0</v>
      </c>
      <c r="CH71" s="9">
        <v>1</v>
      </c>
      <c r="CI71" s="9">
        <v>1</v>
      </c>
      <c r="CJ71" s="9">
        <v>0</v>
      </c>
      <c r="CK71" s="9">
        <v>0</v>
      </c>
      <c r="CL71" s="9">
        <v>0</v>
      </c>
      <c r="CM71" s="9">
        <v>0</v>
      </c>
      <c r="CN71" s="9">
        <v>0</v>
      </c>
      <c r="CO71" s="9">
        <v>0</v>
      </c>
      <c r="CP71" s="9">
        <v>2</v>
      </c>
      <c r="CQ71" s="9">
        <v>1</v>
      </c>
      <c r="CR71" s="9">
        <v>2</v>
      </c>
      <c r="CS71" s="9">
        <v>1</v>
      </c>
      <c r="CT71" s="9">
        <v>0</v>
      </c>
      <c r="CU71" s="9">
        <v>0</v>
      </c>
      <c r="CV71" s="9">
        <v>2</v>
      </c>
      <c r="CW71" s="9">
        <v>5</v>
      </c>
      <c r="CX71" s="9">
        <v>2</v>
      </c>
      <c r="CY71" s="9">
        <v>2</v>
      </c>
      <c r="CZ71" s="9">
        <v>2</v>
      </c>
      <c r="DA71" s="9">
        <v>3</v>
      </c>
      <c r="DB71" s="9">
        <v>0</v>
      </c>
      <c r="DC71" s="9">
        <v>0</v>
      </c>
      <c r="DD71" s="9">
        <v>0</v>
      </c>
      <c r="DE71" s="9">
        <v>0</v>
      </c>
      <c r="DF71" s="9">
        <v>0</v>
      </c>
      <c r="DG71" s="9">
        <v>0</v>
      </c>
      <c r="DH71" s="9">
        <v>0</v>
      </c>
      <c r="DI71" s="9">
        <v>0</v>
      </c>
      <c r="DJ71" s="9">
        <v>0</v>
      </c>
      <c r="DK71" s="9">
        <v>0</v>
      </c>
      <c r="DL71" s="9">
        <v>0</v>
      </c>
      <c r="DM71" s="9">
        <v>0</v>
      </c>
      <c r="DN71" s="9">
        <v>0</v>
      </c>
      <c r="DO71" s="9">
        <v>0</v>
      </c>
      <c r="DP71" s="9">
        <v>0</v>
      </c>
      <c r="DQ71" s="9">
        <v>0</v>
      </c>
      <c r="DR71" s="9">
        <v>0</v>
      </c>
      <c r="DS71" s="9">
        <v>0</v>
      </c>
      <c r="DT71" s="9">
        <v>0</v>
      </c>
      <c r="DU71" s="9">
        <v>0</v>
      </c>
      <c r="DV71" s="9">
        <v>0</v>
      </c>
      <c r="DW71" s="9">
        <v>0</v>
      </c>
      <c r="DX71" s="9">
        <v>0</v>
      </c>
      <c r="DY71" s="9">
        <v>0</v>
      </c>
      <c r="DZ71" s="9">
        <v>0</v>
      </c>
      <c r="EA71" s="9">
        <v>0</v>
      </c>
      <c r="EB71" s="9">
        <v>0</v>
      </c>
      <c r="EC71" s="9">
        <v>0</v>
      </c>
      <c r="ED71" s="9">
        <v>0</v>
      </c>
      <c r="EE71" s="9">
        <v>0</v>
      </c>
      <c r="EF71" s="9">
        <v>0</v>
      </c>
      <c r="EG71" s="9">
        <v>0</v>
      </c>
      <c r="EH71" s="9">
        <v>0</v>
      </c>
      <c r="EI71" s="10">
        <v>0</v>
      </c>
    </row>
    <row r="72" spans="1:139" x14ac:dyDescent="0.35">
      <c r="A72" s="8" t="s">
        <v>73</v>
      </c>
      <c r="B72" s="9" t="s">
        <v>130</v>
      </c>
      <c r="C72" s="9" t="s">
        <v>131</v>
      </c>
      <c r="D72" s="9">
        <f t="shared" si="1"/>
        <v>614</v>
      </c>
      <c r="E72" s="9">
        <v>0</v>
      </c>
      <c r="F72" s="9">
        <v>0</v>
      </c>
      <c r="G72" s="9">
        <v>0</v>
      </c>
      <c r="H72" s="9">
        <v>0</v>
      </c>
      <c r="I72" s="9">
        <v>0</v>
      </c>
      <c r="J72" s="9">
        <v>3</v>
      </c>
      <c r="K72" s="9">
        <v>0</v>
      </c>
      <c r="L72" s="9">
        <v>6</v>
      </c>
      <c r="M72" s="9">
        <v>3</v>
      </c>
      <c r="N72" s="9">
        <v>0</v>
      </c>
      <c r="O72" s="9">
        <v>1</v>
      </c>
      <c r="P72" s="9">
        <v>3</v>
      </c>
      <c r="Q72" s="9">
        <v>1</v>
      </c>
      <c r="R72" s="9">
        <v>5</v>
      </c>
      <c r="S72" s="9">
        <v>5</v>
      </c>
      <c r="T72" s="9">
        <v>4</v>
      </c>
      <c r="U72" s="9">
        <v>0</v>
      </c>
      <c r="V72" s="9">
        <v>0</v>
      </c>
      <c r="W72" s="9">
        <v>4</v>
      </c>
      <c r="X72" s="9">
        <v>6</v>
      </c>
      <c r="Y72" s="9">
        <v>1</v>
      </c>
      <c r="Z72" s="9">
        <v>3</v>
      </c>
      <c r="AA72" s="9">
        <v>1</v>
      </c>
      <c r="AB72" s="9">
        <v>0</v>
      </c>
      <c r="AC72" s="9">
        <v>0</v>
      </c>
      <c r="AD72" s="9">
        <v>1</v>
      </c>
      <c r="AE72" s="9">
        <v>0</v>
      </c>
      <c r="AF72" s="9">
        <v>0</v>
      </c>
      <c r="AG72" s="9">
        <v>0</v>
      </c>
      <c r="AH72" s="9">
        <v>4</v>
      </c>
      <c r="AI72" s="9">
        <v>0</v>
      </c>
      <c r="AJ72" s="9">
        <v>0</v>
      </c>
      <c r="AK72" s="9">
        <v>3</v>
      </c>
      <c r="AL72" s="9">
        <v>4</v>
      </c>
      <c r="AM72" s="9">
        <v>5</v>
      </c>
      <c r="AN72" s="9">
        <v>2</v>
      </c>
      <c r="AO72" s="9">
        <v>2</v>
      </c>
      <c r="AP72" s="9">
        <v>0</v>
      </c>
      <c r="AQ72" s="9">
        <v>0</v>
      </c>
      <c r="AR72" s="9">
        <v>9</v>
      </c>
      <c r="AS72" s="9">
        <v>15</v>
      </c>
      <c r="AT72" s="9">
        <v>13</v>
      </c>
      <c r="AU72" s="9">
        <v>10</v>
      </c>
      <c r="AV72" s="9">
        <v>13</v>
      </c>
      <c r="AW72" s="9">
        <v>7</v>
      </c>
      <c r="AX72" s="9">
        <v>7</v>
      </c>
      <c r="AY72" s="9">
        <v>17</v>
      </c>
      <c r="AZ72" s="9">
        <v>10</v>
      </c>
      <c r="BA72" s="9">
        <v>19</v>
      </c>
      <c r="BB72" s="9">
        <v>13</v>
      </c>
      <c r="BC72" s="9">
        <v>6</v>
      </c>
      <c r="BD72" s="9">
        <v>5</v>
      </c>
      <c r="BE72" s="9">
        <v>3</v>
      </c>
      <c r="BF72" s="9">
        <v>11</v>
      </c>
      <c r="BG72" s="9">
        <v>6</v>
      </c>
      <c r="BH72" s="9">
        <v>4</v>
      </c>
      <c r="BI72" s="9">
        <v>4</v>
      </c>
      <c r="BJ72" s="9">
        <v>0</v>
      </c>
      <c r="BK72" s="9">
        <v>0</v>
      </c>
      <c r="BL72" s="9">
        <v>0</v>
      </c>
      <c r="BM72" s="9">
        <v>6</v>
      </c>
      <c r="BN72" s="9">
        <v>15</v>
      </c>
      <c r="BO72" s="9">
        <v>7</v>
      </c>
      <c r="BP72" s="9">
        <v>6</v>
      </c>
      <c r="BQ72" s="9">
        <v>9</v>
      </c>
      <c r="BR72" s="9">
        <v>2</v>
      </c>
      <c r="BS72" s="9">
        <v>2</v>
      </c>
      <c r="BT72" s="9">
        <v>1</v>
      </c>
      <c r="BU72" s="9">
        <v>9</v>
      </c>
      <c r="BV72" s="9">
        <v>12</v>
      </c>
      <c r="BW72" s="9">
        <v>9</v>
      </c>
      <c r="BX72" s="9">
        <v>6</v>
      </c>
      <c r="BY72" s="9">
        <v>4</v>
      </c>
      <c r="BZ72" s="9">
        <v>1</v>
      </c>
      <c r="CA72" s="9">
        <v>5</v>
      </c>
      <c r="CB72" s="9">
        <v>4</v>
      </c>
      <c r="CC72" s="9">
        <v>10</v>
      </c>
      <c r="CD72" s="9">
        <v>8</v>
      </c>
      <c r="CE72" s="9">
        <v>10</v>
      </c>
      <c r="CF72" s="9">
        <v>4</v>
      </c>
      <c r="CG72" s="9">
        <v>4</v>
      </c>
      <c r="CH72" s="9">
        <v>12</v>
      </c>
      <c r="CI72" s="9">
        <v>7</v>
      </c>
      <c r="CJ72" s="9">
        <v>8</v>
      </c>
      <c r="CK72" s="9">
        <v>3</v>
      </c>
      <c r="CL72" s="9">
        <v>6</v>
      </c>
      <c r="CM72" s="9">
        <v>0</v>
      </c>
      <c r="CN72" s="9">
        <v>2</v>
      </c>
      <c r="CO72" s="9">
        <v>5</v>
      </c>
      <c r="CP72" s="9">
        <v>7</v>
      </c>
      <c r="CQ72" s="9">
        <v>4</v>
      </c>
      <c r="CR72" s="9">
        <v>12</v>
      </c>
      <c r="CS72" s="9">
        <v>10</v>
      </c>
      <c r="CT72" s="9">
        <v>3</v>
      </c>
      <c r="CU72" s="9">
        <v>1</v>
      </c>
      <c r="CV72" s="9">
        <v>6</v>
      </c>
      <c r="CW72" s="9">
        <v>9</v>
      </c>
      <c r="CX72" s="9">
        <v>3</v>
      </c>
      <c r="CY72" s="9">
        <v>6</v>
      </c>
      <c r="CZ72" s="9">
        <v>9</v>
      </c>
      <c r="DA72" s="9">
        <v>3</v>
      </c>
      <c r="DB72" s="9">
        <v>1</v>
      </c>
      <c r="DC72" s="9">
        <v>4</v>
      </c>
      <c r="DD72" s="9">
        <v>9</v>
      </c>
      <c r="DE72" s="9">
        <v>8</v>
      </c>
      <c r="DF72" s="9">
        <v>6</v>
      </c>
      <c r="DG72" s="9">
        <v>9</v>
      </c>
      <c r="DH72" s="9">
        <v>2</v>
      </c>
      <c r="DI72" s="9">
        <v>4</v>
      </c>
      <c r="DJ72" s="9">
        <v>5</v>
      </c>
      <c r="DK72" s="9">
        <v>10</v>
      </c>
      <c r="DL72" s="9">
        <v>9</v>
      </c>
      <c r="DM72" s="9">
        <v>6</v>
      </c>
      <c r="DN72" s="9">
        <v>8</v>
      </c>
      <c r="DO72" s="9">
        <v>2</v>
      </c>
      <c r="DP72" s="9">
        <v>3</v>
      </c>
      <c r="DQ72" s="9">
        <v>3</v>
      </c>
      <c r="DR72" s="9">
        <v>7</v>
      </c>
      <c r="DS72" s="9">
        <v>6</v>
      </c>
      <c r="DT72" s="9">
        <v>9</v>
      </c>
      <c r="DU72" s="9">
        <v>10</v>
      </c>
      <c r="DV72" s="9">
        <v>1</v>
      </c>
      <c r="DW72" s="9">
        <v>1</v>
      </c>
      <c r="DX72" s="9">
        <v>0</v>
      </c>
      <c r="DY72" s="9">
        <v>0</v>
      </c>
      <c r="DZ72" s="9">
        <v>2</v>
      </c>
      <c r="EA72" s="9">
        <v>0</v>
      </c>
      <c r="EB72" s="9">
        <v>0</v>
      </c>
      <c r="EC72" s="9">
        <v>0</v>
      </c>
      <c r="ED72" s="9">
        <v>0</v>
      </c>
      <c r="EE72" s="9">
        <v>0</v>
      </c>
      <c r="EF72" s="9">
        <v>0</v>
      </c>
      <c r="EG72" s="9">
        <v>0</v>
      </c>
      <c r="EH72" s="9">
        <v>0</v>
      </c>
      <c r="EI72" s="10">
        <v>0</v>
      </c>
    </row>
    <row r="73" spans="1:139" x14ac:dyDescent="0.35">
      <c r="A73" s="8" t="s">
        <v>73</v>
      </c>
      <c r="B73" s="9" t="s">
        <v>132</v>
      </c>
      <c r="C73" s="9" t="s">
        <v>133</v>
      </c>
      <c r="D73" s="9">
        <f t="shared" si="1"/>
        <v>79</v>
      </c>
      <c r="E73" s="9">
        <v>0</v>
      </c>
      <c r="F73" s="9">
        <v>0</v>
      </c>
      <c r="G73" s="9">
        <v>0</v>
      </c>
      <c r="H73" s="9">
        <v>0</v>
      </c>
      <c r="I73" s="9">
        <v>0</v>
      </c>
      <c r="J73" s="9">
        <v>0</v>
      </c>
      <c r="K73" s="9">
        <v>0</v>
      </c>
      <c r="L73" s="9">
        <v>0</v>
      </c>
      <c r="M73" s="9">
        <v>0</v>
      </c>
      <c r="N73" s="9">
        <v>0</v>
      </c>
      <c r="O73" s="9">
        <v>13</v>
      </c>
      <c r="P73" s="9">
        <v>5</v>
      </c>
      <c r="Q73" s="9">
        <v>1</v>
      </c>
      <c r="R73" s="9">
        <v>0</v>
      </c>
      <c r="S73" s="9">
        <v>0</v>
      </c>
      <c r="T73" s="9">
        <v>9</v>
      </c>
      <c r="U73" s="9">
        <v>0</v>
      </c>
      <c r="V73" s="9">
        <v>0</v>
      </c>
      <c r="W73" s="9">
        <v>0</v>
      </c>
      <c r="X73" s="9">
        <v>0</v>
      </c>
      <c r="Y73" s="9">
        <v>1</v>
      </c>
      <c r="Z73" s="9">
        <v>0</v>
      </c>
      <c r="AA73" s="9">
        <v>0</v>
      </c>
      <c r="AB73" s="9">
        <v>2</v>
      </c>
      <c r="AC73" s="9">
        <v>6</v>
      </c>
      <c r="AD73" s="9">
        <v>0</v>
      </c>
      <c r="AE73" s="9">
        <v>0</v>
      </c>
      <c r="AF73" s="9">
        <v>0</v>
      </c>
      <c r="AG73" s="9">
        <v>0</v>
      </c>
      <c r="AH73" s="9">
        <v>0</v>
      </c>
      <c r="AI73" s="9">
        <v>1</v>
      </c>
      <c r="AJ73" s="9">
        <v>3</v>
      </c>
      <c r="AK73" s="9">
        <v>9</v>
      </c>
      <c r="AL73" s="9">
        <v>1</v>
      </c>
      <c r="AM73" s="9">
        <v>1</v>
      </c>
      <c r="AN73" s="9">
        <v>0</v>
      </c>
      <c r="AO73" s="9">
        <v>0</v>
      </c>
      <c r="AP73" s="9">
        <v>0</v>
      </c>
      <c r="AQ73" s="9">
        <v>1</v>
      </c>
      <c r="AR73" s="9">
        <v>4</v>
      </c>
      <c r="AS73" s="9">
        <v>2</v>
      </c>
      <c r="AT73" s="9">
        <v>0</v>
      </c>
      <c r="AU73" s="9">
        <v>4</v>
      </c>
      <c r="AV73" s="9">
        <v>3</v>
      </c>
      <c r="AW73" s="9">
        <v>0</v>
      </c>
      <c r="AX73" s="9">
        <v>0</v>
      </c>
      <c r="AY73" s="9">
        <v>0</v>
      </c>
      <c r="AZ73" s="9">
        <v>4</v>
      </c>
      <c r="BA73" s="9">
        <v>1</v>
      </c>
      <c r="BB73" s="9">
        <v>0</v>
      </c>
      <c r="BC73" s="9">
        <v>1</v>
      </c>
      <c r="BD73" s="9">
        <v>0</v>
      </c>
      <c r="BE73" s="9">
        <v>0</v>
      </c>
      <c r="BF73" s="9">
        <v>2</v>
      </c>
      <c r="BG73" s="9">
        <v>2</v>
      </c>
      <c r="BH73" s="9">
        <v>0</v>
      </c>
      <c r="BI73" s="9">
        <v>0</v>
      </c>
      <c r="BJ73" s="9">
        <v>0</v>
      </c>
      <c r="BK73" s="9">
        <v>0</v>
      </c>
      <c r="BL73" s="9">
        <v>0</v>
      </c>
      <c r="BM73" s="9">
        <v>0</v>
      </c>
      <c r="BN73" s="9">
        <v>2</v>
      </c>
      <c r="BO73" s="9">
        <v>1</v>
      </c>
      <c r="BP73" s="9">
        <v>0</v>
      </c>
      <c r="BQ73" s="9">
        <v>0</v>
      </c>
      <c r="BR73" s="9">
        <v>0</v>
      </c>
      <c r="BS73" s="9">
        <v>0</v>
      </c>
      <c r="BT73" s="9">
        <v>0</v>
      </c>
      <c r="BU73" s="9">
        <v>0</v>
      </c>
      <c r="BV73" s="9">
        <v>0</v>
      </c>
      <c r="BW73" s="9">
        <v>0</v>
      </c>
      <c r="BX73" s="9">
        <v>0</v>
      </c>
      <c r="BY73" s="9">
        <v>0</v>
      </c>
      <c r="BZ73" s="9">
        <v>0</v>
      </c>
      <c r="CA73" s="9">
        <v>0</v>
      </c>
      <c r="CB73" s="9">
        <v>0</v>
      </c>
      <c r="CC73" s="9">
        <v>0</v>
      </c>
      <c r="CD73" s="9">
        <v>0</v>
      </c>
      <c r="CE73" s="9">
        <v>0</v>
      </c>
      <c r="CF73" s="9">
        <v>0</v>
      </c>
      <c r="CG73" s="9">
        <v>0</v>
      </c>
      <c r="CH73" s="9">
        <v>0</v>
      </c>
      <c r="CI73" s="9">
        <v>0</v>
      </c>
      <c r="CJ73" s="9">
        <v>0</v>
      </c>
      <c r="CK73" s="9">
        <v>0</v>
      </c>
      <c r="CL73" s="9">
        <v>0</v>
      </c>
      <c r="CM73" s="9">
        <v>0</v>
      </c>
      <c r="CN73" s="9">
        <v>0</v>
      </c>
      <c r="CO73" s="9">
        <v>0</v>
      </c>
      <c r="CP73" s="9">
        <v>0</v>
      </c>
      <c r="CQ73" s="9">
        <v>0</v>
      </c>
      <c r="CR73" s="9">
        <v>0</v>
      </c>
      <c r="CS73" s="9">
        <v>0</v>
      </c>
      <c r="CT73" s="9">
        <v>0</v>
      </c>
      <c r="CU73" s="9">
        <v>0</v>
      </c>
      <c r="CV73" s="9">
        <v>0</v>
      </c>
      <c r="CW73" s="9">
        <v>0</v>
      </c>
      <c r="CX73" s="9">
        <v>0</v>
      </c>
      <c r="CY73" s="9">
        <v>0</v>
      </c>
      <c r="CZ73" s="9">
        <v>0</v>
      </c>
      <c r="DA73" s="9">
        <v>0</v>
      </c>
      <c r="DB73" s="9">
        <v>0</v>
      </c>
      <c r="DC73" s="9">
        <v>0</v>
      </c>
      <c r="DD73" s="9">
        <v>0</v>
      </c>
      <c r="DE73" s="9">
        <v>0</v>
      </c>
      <c r="DF73" s="9">
        <v>0</v>
      </c>
      <c r="DG73" s="9">
        <v>0</v>
      </c>
      <c r="DH73" s="9">
        <v>0</v>
      </c>
      <c r="DI73" s="9">
        <v>0</v>
      </c>
      <c r="DJ73" s="9">
        <v>0</v>
      </c>
      <c r="DK73" s="9">
        <v>0</v>
      </c>
      <c r="DL73" s="9">
        <v>0</v>
      </c>
      <c r="DM73" s="9">
        <v>0</v>
      </c>
      <c r="DN73" s="9">
        <v>0</v>
      </c>
      <c r="DO73" s="9">
        <v>0</v>
      </c>
      <c r="DP73" s="9">
        <v>0</v>
      </c>
      <c r="DQ73" s="9">
        <v>0</v>
      </c>
      <c r="DR73" s="9">
        <v>0</v>
      </c>
      <c r="DS73" s="9">
        <v>0</v>
      </c>
      <c r="DT73" s="9">
        <v>0</v>
      </c>
      <c r="DU73" s="9">
        <v>0</v>
      </c>
      <c r="DV73" s="9">
        <v>0</v>
      </c>
      <c r="DW73" s="9">
        <v>0</v>
      </c>
      <c r="DX73" s="9">
        <v>0</v>
      </c>
      <c r="DY73" s="9">
        <v>0</v>
      </c>
      <c r="DZ73" s="9">
        <v>0</v>
      </c>
      <c r="EA73" s="9">
        <v>0</v>
      </c>
      <c r="EB73" s="9">
        <v>0</v>
      </c>
      <c r="EC73" s="9">
        <v>0</v>
      </c>
      <c r="ED73" s="9">
        <v>0</v>
      </c>
      <c r="EE73" s="9">
        <v>0</v>
      </c>
      <c r="EF73" s="9">
        <v>0</v>
      </c>
      <c r="EG73" s="9">
        <v>0</v>
      </c>
      <c r="EH73" s="9">
        <v>0</v>
      </c>
      <c r="EI73" s="10">
        <v>0</v>
      </c>
    </row>
    <row r="74" spans="1:139" x14ac:dyDescent="0.35">
      <c r="A74" s="8" t="s">
        <v>73</v>
      </c>
      <c r="B74" s="9" t="s">
        <v>134</v>
      </c>
      <c r="C74" s="9" t="s">
        <v>135</v>
      </c>
      <c r="D74" s="9">
        <f t="shared" si="1"/>
        <v>40</v>
      </c>
      <c r="E74" s="9">
        <v>0</v>
      </c>
      <c r="F74" s="9">
        <v>0</v>
      </c>
      <c r="G74" s="9">
        <v>0</v>
      </c>
      <c r="H74" s="9">
        <v>0</v>
      </c>
      <c r="I74" s="9">
        <v>0</v>
      </c>
      <c r="J74" s="9">
        <v>0</v>
      </c>
      <c r="K74" s="9">
        <v>0</v>
      </c>
      <c r="L74" s="9">
        <v>0</v>
      </c>
      <c r="M74" s="9">
        <v>0</v>
      </c>
      <c r="N74" s="9">
        <v>0</v>
      </c>
      <c r="O74" s="9">
        <v>0</v>
      </c>
      <c r="P74" s="9">
        <v>0</v>
      </c>
      <c r="Q74" s="9">
        <v>0</v>
      </c>
      <c r="R74" s="9">
        <v>0</v>
      </c>
      <c r="S74" s="9">
        <v>0</v>
      </c>
      <c r="T74" s="9">
        <v>0</v>
      </c>
      <c r="U74" s="9">
        <v>1</v>
      </c>
      <c r="V74" s="9">
        <v>0</v>
      </c>
      <c r="W74" s="9">
        <v>0</v>
      </c>
      <c r="X74" s="9">
        <v>0</v>
      </c>
      <c r="Y74" s="9">
        <v>0</v>
      </c>
      <c r="Z74" s="9">
        <v>2</v>
      </c>
      <c r="AA74" s="9">
        <v>1</v>
      </c>
      <c r="AB74" s="9">
        <v>1</v>
      </c>
      <c r="AC74" s="9">
        <v>2</v>
      </c>
      <c r="AD74" s="9">
        <v>0</v>
      </c>
      <c r="AE74" s="9">
        <v>0</v>
      </c>
      <c r="AF74" s="9">
        <v>3</v>
      </c>
      <c r="AG74" s="9">
        <v>0</v>
      </c>
      <c r="AH74" s="9">
        <v>2</v>
      </c>
      <c r="AI74" s="9">
        <v>1</v>
      </c>
      <c r="AJ74" s="9">
        <v>2</v>
      </c>
      <c r="AK74" s="9">
        <v>0</v>
      </c>
      <c r="AL74" s="9">
        <v>0</v>
      </c>
      <c r="AM74" s="9">
        <v>3</v>
      </c>
      <c r="AN74" s="9">
        <v>0</v>
      </c>
      <c r="AO74" s="9">
        <v>0</v>
      </c>
      <c r="AP74" s="9">
        <v>0</v>
      </c>
      <c r="AQ74" s="9">
        <v>0</v>
      </c>
      <c r="AR74" s="9">
        <v>0</v>
      </c>
      <c r="AS74" s="9">
        <v>0</v>
      </c>
      <c r="AT74" s="9">
        <v>0</v>
      </c>
      <c r="AU74" s="9">
        <v>1</v>
      </c>
      <c r="AV74" s="9">
        <v>2</v>
      </c>
      <c r="AW74" s="9">
        <v>0</v>
      </c>
      <c r="AX74" s="9">
        <v>0</v>
      </c>
      <c r="AY74" s="9">
        <v>0</v>
      </c>
      <c r="AZ74" s="9">
        <v>0</v>
      </c>
      <c r="BA74" s="9">
        <v>0</v>
      </c>
      <c r="BB74" s="9">
        <v>1</v>
      </c>
      <c r="BC74" s="9">
        <v>1</v>
      </c>
      <c r="BD74" s="9">
        <v>2</v>
      </c>
      <c r="BE74" s="9">
        <v>0</v>
      </c>
      <c r="BF74" s="9">
        <v>0</v>
      </c>
      <c r="BG74" s="9">
        <v>0</v>
      </c>
      <c r="BH74" s="9">
        <v>0</v>
      </c>
      <c r="BI74" s="9">
        <v>0</v>
      </c>
      <c r="BJ74" s="9">
        <v>0</v>
      </c>
      <c r="BK74" s="9">
        <v>0</v>
      </c>
      <c r="BL74" s="9">
        <v>0</v>
      </c>
      <c r="BM74" s="9">
        <v>2</v>
      </c>
      <c r="BN74" s="9">
        <v>0</v>
      </c>
      <c r="BO74" s="9">
        <v>0</v>
      </c>
      <c r="BP74" s="9">
        <v>0</v>
      </c>
      <c r="BQ74" s="9">
        <v>2</v>
      </c>
      <c r="BR74" s="9">
        <v>0</v>
      </c>
      <c r="BS74" s="9">
        <v>0</v>
      </c>
      <c r="BT74" s="9">
        <v>0</v>
      </c>
      <c r="BU74" s="9">
        <v>0</v>
      </c>
      <c r="BV74" s="9">
        <v>0</v>
      </c>
      <c r="BW74" s="9">
        <v>0</v>
      </c>
      <c r="BX74" s="9">
        <v>0</v>
      </c>
      <c r="BY74" s="9">
        <v>0</v>
      </c>
      <c r="BZ74" s="9">
        <v>0</v>
      </c>
      <c r="CA74" s="9">
        <v>0</v>
      </c>
      <c r="CB74" s="9">
        <v>1</v>
      </c>
      <c r="CC74" s="9">
        <v>0</v>
      </c>
      <c r="CD74" s="9">
        <v>0</v>
      </c>
      <c r="CE74" s="9">
        <v>0</v>
      </c>
      <c r="CF74" s="9">
        <v>0</v>
      </c>
      <c r="CG74" s="9">
        <v>0</v>
      </c>
      <c r="CH74" s="9">
        <v>0</v>
      </c>
      <c r="CI74" s="9">
        <v>0</v>
      </c>
      <c r="CJ74" s="9">
        <v>1</v>
      </c>
      <c r="CK74" s="9">
        <v>0</v>
      </c>
      <c r="CL74" s="9">
        <v>0</v>
      </c>
      <c r="CM74" s="9">
        <v>2</v>
      </c>
      <c r="CN74" s="9">
        <v>0</v>
      </c>
      <c r="CO74" s="9">
        <v>0</v>
      </c>
      <c r="CP74" s="9">
        <v>1</v>
      </c>
      <c r="CQ74" s="9">
        <v>0</v>
      </c>
      <c r="CR74" s="9">
        <v>0</v>
      </c>
      <c r="CS74" s="9">
        <v>0</v>
      </c>
      <c r="CT74" s="9">
        <v>1</v>
      </c>
      <c r="CU74" s="9">
        <v>0</v>
      </c>
      <c r="CV74" s="9">
        <v>0</v>
      </c>
      <c r="CW74" s="9">
        <v>0</v>
      </c>
      <c r="CX74" s="9">
        <v>0</v>
      </c>
      <c r="CY74" s="9">
        <v>0</v>
      </c>
      <c r="CZ74" s="9">
        <v>1</v>
      </c>
      <c r="DA74" s="9">
        <v>0</v>
      </c>
      <c r="DB74" s="9">
        <v>2</v>
      </c>
      <c r="DC74" s="9">
        <v>0</v>
      </c>
      <c r="DD74" s="9">
        <v>0</v>
      </c>
      <c r="DE74" s="9">
        <v>0</v>
      </c>
      <c r="DF74" s="9">
        <v>0</v>
      </c>
      <c r="DG74" s="9">
        <v>0</v>
      </c>
      <c r="DH74" s="9">
        <v>0</v>
      </c>
      <c r="DI74" s="9">
        <v>0</v>
      </c>
      <c r="DJ74" s="9">
        <v>0</v>
      </c>
      <c r="DK74" s="9">
        <v>0</v>
      </c>
      <c r="DL74" s="9">
        <v>0</v>
      </c>
      <c r="DM74" s="9">
        <v>0</v>
      </c>
      <c r="DN74" s="9">
        <v>1</v>
      </c>
      <c r="DO74" s="9">
        <v>0</v>
      </c>
      <c r="DP74" s="9">
        <v>0</v>
      </c>
      <c r="DQ74" s="9">
        <v>0</v>
      </c>
      <c r="DR74" s="9">
        <v>0</v>
      </c>
      <c r="DS74" s="9">
        <v>0</v>
      </c>
      <c r="DT74" s="9">
        <v>0</v>
      </c>
      <c r="DU74" s="9">
        <v>1</v>
      </c>
      <c r="DV74" s="9">
        <v>0</v>
      </c>
      <c r="DW74" s="9">
        <v>0</v>
      </c>
      <c r="DX74" s="9">
        <v>0</v>
      </c>
      <c r="DY74" s="9">
        <v>0</v>
      </c>
      <c r="DZ74" s="9">
        <v>0</v>
      </c>
      <c r="EA74" s="9">
        <v>0</v>
      </c>
      <c r="EB74" s="9">
        <v>0</v>
      </c>
      <c r="EC74" s="9">
        <v>0</v>
      </c>
      <c r="ED74" s="9">
        <v>0</v>
      </c>
      <c r="EE74" s="9">
        <v>0</v>
      </c>
      <c r="EF74" s="9">
        <v>0</v>
      </c>
      <c r="EG74" s="9">
        <v>0</v>
      </c>
      <c r="EH74" s="9">
        <v>0</v>
      </c>
      <c r="EI74" s="10">
        <v>0</v>
      </c>
    </row>
    <row r="75" spans="1:139" x14ac:dyDescent="0.35">
      <c r="A75" s="8" t="s">
        <v>73</v>
      </c>
      <c r="B75" s="9" t="s">
        <v>136</v>
      </c>
      <c r="C75" s="9" t="s">
        <v>137</v>
      </c>
      <c r="D75" s="9">
        <f t="shared" si="1"/>
        <v>0</v>
      </c>
      <c r="E75" s="9">
        <v>0</v>
      </c>
      <c r="F75" s="9">
        <v>0</v>
      </c>
      <c r="G75" s="9">
        <v>0</v>
      </c>
      <c r="H75" s="9">
        <v>0</v>
      </c>
      <c r="I75" s="9">
        <v>0</v>
      </c>
      <c r="J75" s="9">
        <v>0</v>
      </c>
      <c r="K75" s="9">
        <v>0</v>
      </c>
      <c r="L75" s="9">
        <v>0</v>
      </c>
      <c r="M75" s="9">
        <v>0</v>
      </c>
      <c r="N75" s="9">
        <v>0</v>
      </c>
      <c r="O75" s="9">
        <v>0</v>
      </c>
      <c r="P75" s="9">
        <v>0</v>
      </c>
      <c r="Q75" s="9">
        <v>0</v>
      </c>
      <c r="R75" s="9">
        <v>0</v>
      </c>
      <c r="S75" s="9">
        <v>0</v>
      </c>
      <c r="T75" s="9">
        <v>0</v>
      </c>
      <c r="U75" s="9">
        <v>0</v>
      </c>
      <c r="V75" s="9">
        <v>0</v>
      </c>
      <c r="W75" s="9">
        <v>0</v>
      </c>
      <c r="X75" s="9">
        <v>0</v>
      </c>
      <c r="Y75" s="9">
        <v>0</v>
      </c>
      <c r="Z75" s="9">
        <v>0</v>
      </c>
      <c r="AA75" s="9">
        <v>0</v>
      </c>
      <c r="AB75" s="9">
        <v>0</v>
      </c>
      <c r="AC75" s="9">
        <v>0</v>
      </c>
      <c r="AD75" s="9">
        <v>0</v>
      </c>
      <c r="AE75" s="9">
        <v>0</v>
      </c>
      <c r="AF75" s="9">
        <v>0</v>
      </c>
      <c r="AG75" s="9">
        <v>0</v>
      </c>
      <c r="AH75" s="9">
        <v>0</v>
      </c>
      <c r="AI75" s="9">
        <v>0</v>
      </c>
      <c r="AJ75" s="9">
        <v>0</v>
      </c>
      <c r="AK75" s="9">
        <v>0</v>
      </c>
      <c r="AL75" s="9">
        <v>0</v>
      </c>
      <c r="AM75" s="9">
        <v>0</v>
      </c>
      <c r="AN75" s="9">
        <v>0</v>
      </c>
      <c r="AO75" s="9">
        <v>0</v>
      </c>
      <c r="AP75" s="9">
        <v>0</v>
      </c>
      <c r="AQ75" s="9">
        <v>0</v>
      </c>
      <c r="AR75" s="9">
        <v>0</v>
      </c>
      <c r="AS75" s="9">
        <v>0</v>
      </c>
      <c r="AT75" s="9">
        <v>0</v>
      </c>
      <c r="AU75" s="9">
        <v>0</v>
      </c>
      <c r="AV75" s="9">
        <v>0</v>
      </c>
      <c r="AW75" s="9">
        <v>0</v>
      </c>
      <c r="AX75" s="9">
        <v>0</v>
      </c>
      <c r="AY75" s="9">
        <v>0</v>
      </c>
      <c r="AZ75" s="9">
        <v>0</v>
      </c>
      <c r="BA75" s="9">
        <v>0</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c r="CB75" s="9">
        <v>0</v>
      </c>
      <c r="CC75" s="9">
        <v>0</v>
      </c>
      <c r="CD75" s="9">
        <v>0</v>
      </c>
      <c r="CE75" s="9">
        <v>0</v>
      </c>
      <c r="CF75" s="9">
        <v>0</v>
      </c>
      <c r="CG75" s="9">
        <v>0</v>
      </c>
      <c r="CH75" s="9">
        <v>0</v>
      </c>
      <c r="CI75" s="9">
        <v>0</v>
      </c>
      <c r="CJ75" s="9">
        <v>0</v>
      </c>
      <c r="CK75" s="9">
        <v>0</v>
      </c>
      <c r="CL75" s="9">
        <v>0</v>
      </c>
      <c r="CM75" s="9">
        <v>0</v>
      </c>
      <c r="CN75" s="9">
        <v>0</v>
      </c>
      <c r="CO75" s="9">
        <v>0</v>
      </c>
      <c r="CP75" s="9">
        <v>0</v>
      </c>
      <c r="CQ75" s="9">
        <v>0</v>
      </c>
      <c r="CR75" s="9">
        <v>0</v>
      </c>
      <c r="CS75" s="9">
        <v>0</v>
      </c>
      <c r="CT75" s="9">
        <v>0</v>
      </c>
      <c r="CU75" s="9">
        <v>0</v>
      </c>
      <c r="CV75" s="9">
        <v>0</v>
      </c>
      <c r="CW75" s="9">
        <v>0</v>
      </c>
      <c r="CX75" s="9">
        <v>0</v>
      </c>
      <c r="CY75" s="9">
        <v>0</v>
      </c>
      <c r="CZ75" s="9">
        <v>0</v>
      </c>
      <c r="DA75" s="9">
        <v>0</v>
      </c>
      <c r="DB75" s="9">
        <v>0</v>
      </c>
      <c r="DC75" s="9">
        <v>0</v>
      </c>
      <c r="DD75" s="9">
        <v>0</v>
      </c>
      <c r="DE75" s="9">
        <v>0</v>
      </c>
      <c r="DF75" s="9">
        <v>0</v>
      </c>
      <c r="DG75" s="9">
        <v>0</v>
      </c>
      <c r="DH75" s="9">
        <v>0</v>
      </c>
      <c r="DI75" s="9">
        <v>0</v>
      </c>
      <c r="DJ75" s="9">
        <v>0</v>
      </c>
      <c r="DK75" s="9">
        <v>0</v>
      </c>
      <c r="DL75" s="9">
        <v>0</v>
      </c>
      <c r="DM75" s="9">
        <v>0</v>
      </c>
      <c r="DN75" s="9">
        <v>0</v>
      </c>
      <c r="DO75" s="9">
        <v>0</v>
      </c>
      <c r="DP75" s="9">
        <v>0</v>
      </c>
      <c r="DQ75" s="9">
        <v>0</v>
      </c>
      <c r="DR75" s="9">
        <v>0</v>
      </c>
      <c r="DS75" s="9">
        <v>0</v>
      </c>
      <c r="DT75" s="9">
        <v>0</v>
      </c>
      <c r="DU75" s="9">
        <v>0</v>
      </c>
      <c r="DV75" s="9">
        <v>0</v>
      </c>
      <c r="DW75" s="9">
        <v>0</v>
      </c>
      <c r="DX75" s="9">
        <v>0</v>
      </c>
      <c r="DY75" s="9">
        <v>0</v>
      </c>
      <c r="DZ75" s="9">
        <v>0</v>
      </c>
      <c r="EA75" s="9">
        <v>0</v>
      </c>
      <c r="EB75" s="9">
        <v>0</v>
      </c>
      <c r="EC75" s="9">
        <v>0</v>
      </c>
      <c r="ED75" s="9">
        <v>0</v>
      </c>
      <c r="EE75" s="9">
        <v>0</v>
      </c>
      <c r="EF75" s="9">
        <v>0</v>
      </c>
      <c r="EG75" s="9">
        <v>0</v>
      </c>
      <c r="EH75" s="9">
        <v>0</v>
      </c>
      <c r="EI75" s="10">
        <v>0</v>
      </c>
    </row>
    <row r="76" spans="1:139" x14ac:dyDescent="0.35">
      <c r="A76" s="8" t="s">
        <v>73</v>
      </c>
      <c r="B76" s="9" t="s">
        <v>138</v>
      </c>
      <c r="C76" s="9" t="s">
        <v>139</v>
      </c>
      <c r="D76" s="9">
        <f t="shared" si="1"/>
        <v>48</v>
      </c>
      <c r="E76" s="9">
        <v>0</v>
      </c>
      <c r="F76" s="9">
        <v>0</v>
      </c>
      <c r="G76" s="9">
        <v>0</v>
      </c>
      <c r="H76" s="9">
        <v>0</v>
      </c>
      <c r="I76" s="9">
        <v>0</v>
      </c>
      <c r="J76" s="9">
        <v>0</v>
      </c>
      <c r="K76" s="9">
        <v>0</v>
      </c>
      <c r="L76" s="9">
        <v>0</v>
      </c>
      <c r="M76" s="9">
        <v>0</v>
      </c>
      <c r="N76" s="9">
        <v>0</v>
      </c>
      <c r="O76" s="9">
        <v>1</v>
      </c>
      <c r="P76" s="9">
        <v>1</v>
      </c>
      <c r="Q76" s="9">
        <v>2</v>
      </c>
      <c r="R76" s="9">
        <v>0</v>
      </c>
      <c r="S76" s="9">
        <v>1</v>
      </c>
      <c r="T76" s="9">
        <v>1</v>
      </c>
      <c r="U76" s="9">
        <v>0</v>
      </c>
      <c r="V76" s="9">
        <v>2</v>
      </c>
      <c r="W76" s="9">
        <v>0</v>
      </c>
      <c r="X76" s="9">
        <v>0</v>
      </c>
      <c r="Y76" s="9">
        <v>0</v>
      </c>
      <c r="Z76" s="9">
        <v>1</v>
      </c>
      <c r="AA76" s="9">
        <v>1</v>
      </c>
      <c r="AB76" s="9">
        <v>0</v>
      </c>
      <c r="AC76" s="9">
        <v>0</v>
      </c>
      <c r="AD76" s="9">
        <v>1</v>
      </c>
      <c r="AE76" s="9">
        <v>0</v>
      </c>
      <c r="AF76" s="9">
        <v>1</v>
      </c>
      <c r="AG76" s="9">
        <v>0</v>
      </c>
      <c r="AH76" s="9">
        <v>0</v>
      </c>
      <c r="AI76" s="9">
        <v>0</v>
      </c>
      <c r="AJ76" s="9">
        <v>0</v>
      </c>
      <c r="AK76" s="9">
        <v>0</v>
      </c>
      <c r="AL76" s="9">
        <v>1</v>
      </c>
      <c r="AM76" s="9">
        <v>2</v>
      </c>
      <c r="AN76" s="9">
        <v>0</v>
      </c>
      <c r="AO76" s="9">
        <v>2</v>
      </c>
      <c r="AP76" s="9">
        <v>3</v>
      </c>
      <c r="AQ76" s="9">
        <v>0</v>
      </c>
      <c r="AR76" s="9">
        <v>0</v>
      </c>
      <c r="AS76" s="9">
        <v>0</v>
      </c>
      <c r="AT76" s="9">
        <v>1</v>
      </c>
      <c r="AU76" s="9">
        <v>1</v>
      </c>
      <c r="AV76" s="9">
        <v>0</v>
      </c>
      <c r="AW76" s="9">
        <v>0</v>
      </c>
      <c r="AX76" s="9">
        <v>0</v>
      </c>
      <c r="AY76" s="9">
        <v>1</v>
      </c>
      <c r="AZ76" s="9">
        <v>1</v>
      </c>
      <c r="BA76" s="9">
        <v>0</v>
      </c>
      <c r="BB76" s="9">
        <v>1</v>
      </c>
      <c r="BC76" s="9">
        <v>1</v>
      </c>
      <c r="BD76" s="9">
        <v>0</v>
      </c>
      <c r="BE76" s="9">
        <v>1</v>
      </c>
      <c r="BF76" s="9">
        <v>0</v>
      </c>
      <c r="BG76" s="9">
        <v>0</v>
      </c>
      <c r="BH76" s="9">
        <v>0</v>
      </c>
      <c r="BI76" s="9">
        <v>1</v>
      </c>
      <c r="BJ76" s="9">
        <v>1</v>
      </c>
      <c r="BK76" s="9">
        <v>1</v>
      </c>
      <c r="BL76" s="9">
        <v>2</v>
      </c>
      <c r="BM76" s="9">
        <v>1</v>
      </c>
      <c r="BN76" s="9">
        <v>1</v>
      </c>
      <c r="BO76" s="9">
        <v>0</v>
      </c>
      <c r="BP76" s="9">
        <v>0</v>
      </c>
      <c r="BQ76" s="9">
        <v>0</v>
      </c>
      <c r="BR76" s="9">
        <v>0</v>
      </c>
      <c r="BS76" s="9">
        <v>0</v>
      </c>
      <c r="BT76" s="9">
        <v>0</v>
      </c>
      <c r="BU76" s="9">
        <v>0</v>
      </c>
      <c r="BV76" s="9">
        <v>0</v>
      </c>
      <c r="BW76" s="9">
        <v>0</v>
      </c>
      <c r="BX76" s="9">
        <v>0</v>
      </c>
      <c r="BY76" s="9">
        <v>0</v>
      </c>
      <c r="BZ76" s="9">
        <v>0</v>
      </c>
      <c r="CA76" s="9">
        <v>1</v>
      </c>
      <c r="CB76" s="9">
        <v>0</v>
      </c>
      <c r="CC76" s="9">
        <v>0</v>
      </c>
      <c r="CD76" s="9">
        <v>0</v>
      </c>
      <c r="CE76" s="9">
        <v>0</v>
      </c>
      <c r="CF76" s="9">
        <v>0</v>
      </c>
      <c r="CG76" s="9">
        <v>0</v>
      </c>
      <c r="CH76" s="9">
        <v>1</v>
      </c>
      <c r="CI76" s="9">
        <v>0</v>
      </c>
      <c r="CJ76" s="9">
        <v>1</v>
      </c>
      <c r="CK76" s="9">
        <v>0</v>
      </c>
      <c r="CL76" s="9">
        <v>0</v>
      </c>
      <c r="CM76" s="9">
        <v>0</v>
      </c>
      <c r="CN76" s="9">
        <v>0</v>
      </c>
      <c r="CO76" s="9">
        <v>1</v>
      </c>
      <c r="CP76" s="9">
        <v>0</v>
      </c>
      <c r="CQ76" s="9">
        <v>0</v>
      </c>
      <c r="CR76" s="9">
        <v>0</v>
      </c>
      <c r="CS76" s="9">
        <v>0</v>
      </c>
      <c r="CT76" s="9">
        <v>0</v>
      </c>
      <c r="CU76" s="9">
        <v>0</v>
      </c>
      <c r="CV76" s="9">
        <v>0</v>
      </c>
      <c r="CW76" s="9">
        <v>1</v>
      </c>
      <c r="CX76" s="9">
        <v>0</v>
      </c>
      <c r="CY76" s="9">
        <v>0</v>
      </c>
      <c r="CZ76" s="9">
        <v>0</v>
      </c>
      <c r="DA76" s="9">
        <v>0</v>
      </c>
      <c r="DB76" s="9">
        <v>0</v>
      </c>
      <c r="DC76" s="9">
        <v>0</v>
      </c>
      <c r="DD76" s="9">
        <v>1</v>
      </c>
      <c r="DE76" s="9">
        <v>0</v>
      </c>
      <c r="DF76" s="9">
        <v>0</v>
      </c>
      <c r="DG76" s="9">
        <v>0</v>
      </c>
      <c r="DH76" s="9">
        <v>1</v>
      </c>
      <c r="DI76" s="9">
        <v>0</v>
      </c>
      <c r="DJ76" s="9">
        <v>1</v>
      </c>
      <c r="DK76" s="9">
        <v>0</v>
      </c>
      <c r="DL76" s="9">
        <v>0</v>
      </c>
      <c r="DM76" s="9">
        <v>0</v>
      </c>
      <c r="DN76" s="9">
        <v>0</v>
      </c>
      <c r="DO76" s="9">
        <v>0</v>
      </c>
      <c r="DP76" s="9">
        <v>0</v>
      </c>
      <c r="DQ76" s="9">
        <v>1</v>
      </c>
      <c r="DR76" s="9">
        <v>0</v>
      </c>
      <c r="DS76" s="9">
        <v>2</v>
      </c>
      <c r="DT76" s="9">
        <v>0</v>
      </c>
      <c r="DU76" s="9">
        <v>0</v>
      </c>
      <c r="DV76" s="9">
        <v>0</v>
      </c>
      <c r="DW76" s="9">
        <v>0</v>
      </c>
      <c r="DX76" s="9">
        <v>1</v>
      </c>
      <c r="DY76" s="9">
        <v>0</v>
      </c>
      <c r="DZ76" s="9">
        <v>1</v>
      </c>
      <c r="EA76" s="9">
        <v>0</v>
      </c>
      <c r="EB76" s="9">
        <v>0</v>
      </c>
      <c r="EC76" s="9">
        <v>0</v>
      </c>
      <c r="ED76" s="9">
        <v>0</v>
      </c>
      <c r="EE76" s="9">
        <v>1</v>
      </c>
      <c r="EF76" s="9">
        <v>0</v>
      </c>
      <c r="EG76" s="9">
        <v>0</v>
      </c>
      <c r="EH76" s="9">
        <v>0</v>
      </c>
      <c r="EI76" s="10">
        <v>0</v>
      </c>
    </row>
    <row r="77" spans="1:139" x14ac:dyDescent="0.35">
      <c r="A77" s="8" t="s">
        <v>73</v>
      </c>
      <c r="B77" s="9" t="s">
        <v>140</v>
      </c>
      <c r="C77" s="9" t="s">
        <v>141</v>
      </c>
      <c r="D77" s="9">
        <f t="shared" si="1"/>
        <v>5</v>
      </c>
      <c r="E77" s="9">
        <v>0</v>
      </c>
      <c r="F77" s="9">
        <v>0</v>
      </c>
      <c r="G77" s="9">
        <v>0</v>
      </c>
      <c r="H77" s="9">
        <v>0</v>
      </c>
      <c r="I77" s="9">
        <v>0</v>
      </c>
      <c r="J77" s="9">
        <v>0</v>
      </c>
      <c r="K77" s="9">
        <v>0</v>
      </c>
      <c r="L77" s="9">
        <v>0</v>
      </c>
      <c r="M77" s="9">
        <v>0</v>
      </c>
      <c r="N77" s="9">
        <v>0</v>
      </c>
      <c r="O77" s="9">
        <v>0</v>
      </c>
      <c r="P77" s="9">
        <v>0</v>
      </c>
      <c r="Q77" s="9">
        <v>0</v>
      </c>
      <c r="R77" s="9">
        <v>0</v>
      </c>
      <c r="S77" s="9">
        <v>0</v>
      </c>
      <c r="T77" s="9">
        <v>0</v>
      </c>
      <c r="U77" s="9">
        <v>0</v>
      </c>
      <c r="V77" s="9">
        <v>0</v>
      </c>
      <c r="W77" s="9">
        <v>0</v>
      </c>
      <c r="X77" s="9">
        <v>0</v>
      </c>
      <c r="Y77" s="9">
        <v>0</v>
      </c>
      <c r="Z77" s="9">
        <v>0</v>
      </c>
      <c r="AA77" s="9">
        <v>0</v>
      </c>
      <c r="AB77" s="9">
        <v>0</v>
      </c>
      <c r="AC77" s="9">
        <v>0</v>
      </c>
      <c r="AD77" s="9">
        <v>0</v>
      </c>
      <c r="AE77" s="9">
        <v>0</v>
      </c>
      <c r="AF77" s="9">
        <v>0</v>
      </c>
      <c r="AG77" s="9">
        <v>0</v>
      </c>
      <c r="AH77" s="9">
        <v>0</v>
      </c>
      <c r="AI77" s="9">
        <v>0</v>
      </c>
      <c r="AJ77" s="9">
        <v>0</v>
      </c>
      <c r="AK77" s="9">
        <v>0</v>
      </c>
      <c r="AL77" s="9">
        <v>0</v>
      </c>
      <c r="AM77" s="9">
        <v>0</v>
      </c>
      <c r="AN77" s="9">
        <v>0</v>
      </c>
      <c r="AO77" s="9">
        <v>0</v>
      </c>
      <c r="AP77" s="9">
        <v>0</v>
      </c>
      <c r="AQ77" s="9">
        <v>0</v>
      </c>
      <c r="AR77" s="9">
        <v>0</v>
      </c>
      <c r="AS77" s="9">
        <v>0</v>
      </c>
      <c r="AT77" s="9">
        <v>0</v>
      </c>
      <c r="AU77" s="9">
        <v>0</v>
      </c>
      <c r="AV77" s="9">
        <v>0</v>
      </c>
      <c r="AW77" s="9">
        <v>0</v>
      </c>
      <c r="AX77" s="9">
        <v>0</v>
      </c>
      <c r="AY77" s="9">
        <v>0</v>
      </c>
      <c r="AZ77" s="9">
        <v>0</v>
      </c>
      <c r="BA77" s="9">
        <v>0</v>
      </c>
      <c r="BB77" s="9">
        <v>0</v>
      </c>
      <c r="BC77" s="9">
        <v>0</v>
      </c>
      <c r="BD77" s="9">
        <v>0</v>
      </c>
      <c r="BE77" s="9">
        <v>0</v>
      </c>
      <c r="BF77" s="9">
        <v>0</v>
      </c>
      <c r="BG77" s="9">
        <v>0</v>
      </c>
      <c r="BH77" s="9">
        <v>0</v>
      </c>
      <c r="BI77" s="9">
        <v>0</v>
      </c>
      <c r="BJ77" s="9">
        <v>0</v>
      </c>
      <c r="BK77" s="9">
        <v>0</v>
      </c>
      <c r="BL77" s="9">
        <v>0</v>
      </c>
      <c r="BM77" s="9">
        <v>0</v>
      </c>
      <c r="BN77" s="9">
        <v>0</v>
      </c>
      <c r="BO77" s="9">
        <v>0</v>
      </c>
      <c r="BP77" s="9">
        <v>0</v>
      </c>
      <c r="BQ77" s="9">
        <v>0</v>
      </c>
      <c r="BR77" s="9">
        <v>0</v>
      </c>
      <c r="BS77" s="9">
        <v>0</v>
      </c>
      <c r="BT77" s="9">
        <v>5</v>
      </c>
      <c r="BU77" s="9">
        <v>0</v>
      </c>
      <c r="BV77" s="9">
        <v>0</v>
      </c>
      <c r="BW77" s="9">
        <v>0</v>
      </c>
      <c r="BX77" s="9">
        <v>0</v>
      </c>
      <c r="BY77" s="9">
        <v>0</v>
      </c>
      <c r="BZ77" s="9">
        <v>0</v>
      </c>
      <c r="CA77" s="9">
        <v>0</v>
      </c>
      <c r="CB77" s="9">
        <v>0</v>
      </c>
      <c r="CC77" s="9">
        <v>0</v>
      </c>
      <c r="CD77" s="9">
        <v>0</v>
      </c>
      <c r="CE77" s="9">
        <v>0</v>
      </c>
      <c r="CF77" s="9">
        <v>0</v>
      </c>
      <c r="CG77" s="9">
        <v>0</v>
      </c>
      <c r="CH77" s="9">
        <v>0</v>
      </c>
      <c r="CI77" s="9">
        <v>0</v>
      </c>
      <c r="CJ77" s="9">
        <v>0</v>
      </c>
      <c r="CK77" s="9">
        <v>0</v>
      </c>
      <c r="CL77" s="9">
        <v>0</v>
      </c>
      <c r="CM77" s="9">
        <v>0</v>
      </c>
      <c r="CN77" s="9">
        <v>0</v>
      </c>
      <c r="CO77" s="9">
        <v>0</v>
      </c>
      <c r="CP77" s="9">
        <v>0</v>
      </c>
      <c r="CQ77" s="9">
        <v>0</v>
      </c>
      <c r="CR77" s="9">
        <v>0</v>
      </c>
      <c r="CS77" s="9">
        <v>0</v>
      </c>
      <c r="CT77" s="9">
        <v>0</v>
      </c>
      <c r="CU77" s="9">
        <v>0</v>
      </c>
      <c r="CV77" s="9">
        <v>0</v>
      </c>
      <c r="CW77" s="9">
        <v>0</v>
      </c>
      <c r="CX77" s="9">
        <v>0</v>
      </c>
      <c r="CY77" s="9">
        <v>0</v>
      </c>
      <c r="CZ77" s="9">
        <v>0</v>
      </c>
      <c r="DA77" s="9">
        <v>0</v>
      </c>
      <c r="DB77" s="9">
        <v>0</v>
      </c>
      <c r="DC77" s="9">
        <v>0</v>
      </c>
      <c r="DD77" s="9">
        <v>0</v>
      </c>
      <c r="DE77" s="9">
        <v>0</v>
      </c>
      <c r="DF77" s="9">
        <v>0</v>
      </c>
      <c r="DG77" s="9">
        <v>0</v>
      </c>
      <c r="DH77" s="9">
        <v>0</v>
      </c>
      <c r="DI77" s="9">
        <v>0</v>
      </c>
      <c r="DJ77" s="9">
        <v>0</v>
      </c>
      <c r="DK77" s="9">
        <v>0</v>
      </c>
      <c r="DL77" s="9">
        <v>0</v>
      </c>
      <c r="DM77" s="9">
        <v>0</v>
      </c>
      <c r="DN77" s="9">
        <v>0</v>
      </c>
      <c r="DO77" s="9">
        <v>0</v>
      </c>
      <c r="DP77" s="9">
        <v>0</v>
      </c>
      <c r="DQ77" s="9">
        <v>0</v>
      </c>
      <c r="DR77" s="9">
        <v>0</v>
      </c>
      <c r="DS77" s="9">
        <v>0</v>
      </c>
      <c r="DT77" s="9">
        <v>0</v>
      </c>
      <c r="DU77" s="9">
        <v>0</v>
      </c>
      <c r="DV77" s="9">
        <v>0</v>
      </c>
      <c r="DW77" s="9">
        <v>0</v>
      </c>
      <c r="DX77" s="9">
        <v>0</v>
      </c>
      <c r="DY77" s="9">
        <v>0</v>
      </c>
      <c r="DZ77" s="9">
        <v>0</v>
      </c>
      <c r="EA77" s="9">
        <v>0</v>
      </c>
      <c r="EB77" s="9">
        <v>0</v>
      </c>
      <c r="EC77" s="9">
        <v>0</v>
      </c>
      <c r="ED77" s="9">
        <v>0</v>
      </c>
      <c r="EE77" s="9">
        <v>0</v>
      </c>
      <c r="EF77" s="9">
        <v>0</v>
      </c>
      <c r="EG77" s="9">
        <v>0</v>
      </c>
      <c r="EH77" s="9">
        <v>0</v>
      </c>
      <c r="EI77" s="10">
        <v>0</v>
      </c>
    </row>
    <row r="78" spans="1:139" x14ac:dyDescent="0.35">
      <c r="A78" s="8" t="s">
        <v>73</v>
      </c>
      <c r="B78" s="9" t="s">
        <v>142</v>
      </c>
      <c r="C78" s="9" t="s">
        <v>143</v>
      </c>
      <c r="D78" s="9">
        <f t="shared" si="1"/>
        <v>23</v>
      </c>
      <c r="E78" s="9">
        <v>0</v>
      </c>
      <c r="F78" s="9">
        <v>0</v>
      </c>
      <c r="G78" s="9">
        <v>0</v>
      </c>
      <c r="H78" s="9">
        <v>0</v>
      </c>
      <c r="I78" s="9">
        <v>0</v>
      </c>
      <c r="J78" s="9">
        <v>0</v>
      </c>
      <c r="K78" s="9">
        <v>0</v>
      </c>
      <c r="L78" s="9">
        <v>0</v>
      </c>
      <c r="M78" s="9">
        <v>0</v>
      </c>
      <c r="N78" s="9">
        <v>0</v>
      </c>
      <c r="O78" s="9">
        <v>0</v>
      </c>
      <c r="P78" s="9">
        <v>0</v>
      </c>
      <c r="Q78" s="9">
        <v>0</v>
      </c>
      <c r="R78" s="9">
        <v>0</v>
      </c>
      <c r="S78" s="9">
        <v>0</v>
      </c>
      <c r="T78" s="9">
        <v>0</v>
      </c>
      <c r="U78" s="9">
        <v>0</v>
      </c>
      <c r="V78" s="9">
        <v>0</v>
      </c>
      <c r="W78" s="9">
        <v>0</v>
      </c>
      <c r="X78" s="9">
        <v>0</v>
      </c>
      <c r="Y78" s="9">
        <v>0</v>
      </c>
      <c r="Z78" s="9">
        <v>0</v>
      </c>
      <c r="AA78" s="9">
        <v>0</v>
      </c>
      <c r="AB78" s="9">
        <v>0</v>
      </c>
      <c r="AC78" s="9">
        <v>0</v>
      </c>
      <c r="AD78" s="9">
        <v>4</v>
      </c>
      <c r="AE78" s="9">
        <v>0</v>
      </c>
      <c r="AF78" s="9">
        <v>2</v>
      </c>
      <c r="AG78" s="9">
        <v>2</v>
      </c>
      <c r="AH78" s="9">
        <v>1</v>
      </c>
      <c r="AI78" s="9">
        <v>0</v>
      </c>
      <c r="AJ78" s="9">
        <v>2</v>
      </c>
      <c r="AK78" s="9">
        <v>0</v>
      </c>
      <c r="AL78" s="9">
        <v>0</v>
      </c>
      <c r="AM78" s="9">
        <v>0</v>
      </c>
      <c r="AN78" s="9">
        <v>0</v>
      </c>
      <c r="AO78" s="9">
        <v>0</v>
      </c>
      <c r="AP78" s="9">
        <v>0</v>
      </c>
      <c r="AQ78" s="9">
        <v>0</v>
      </c>
      <c r="AR78" s="9">
        <v>0</v>
      </c>
      <c r="AS78" s="9">
        <v>0</v>
      </c>
      <c r="AT78" s="9">
        <v>1</v>
      </c>
      <c r="AU78" s="9">
        <v>2</v>
      </c>
      <c r="AV78" s="9">
        <v>2</v>
      </c>
      <c r="AW78" s="9">
        <v>2</v>
      </c>
      <c r="AX78" s="9">
        <v>0</v>
      </c>
      <c r="AY78" s="9">
        <v>0</v>
      </c>
      <c r="AZ78" s="9">
        <v>0</v>
      </c>
      <c r="BA78" s="9">
        <v>0</v>
      </c>
      <c r="BB78" s="9">
        <v>0</v>
      </c>
      <c r="BC78" s="9">
        <v>2</v>
      </c>
      <c r="BD78" s="9">
        <v>0</v>
      </c>
      <c r="BE78" s="9">
        <v>0</v>
      </c>
      <c r="BF78" s="9">
        <v>0</v>
      </c>
      <c r="BG78" s="9">
        <v>0</v>
      </c>
      <c r="BH78" s="9">
        <v>0</v>
      </c>
      <c r="BI78" s="9">
        <v>0</v>
      </c>
      <c r="BJ78" s="9">
        <v>1</v>
      </c>
      <c r="BK78" s="9">
        <v>0</v>
      </c>
      <c r="BL78" s="9">
        <v>0</v>
      </c>
      <c r="BM78" s="9">
        <v>0</v>
      </c>
      <c r="BN78" s="9">
        <v>0</v>
      </c>
      <c r="BO78" s="9">
        <v>1</v>
      </c>
      <c r="BP78" s="9">
        <v>0</v>
      </c>
      <c r="BQ78" s="9">
        <v>0</v>
      </c>
      <c r="BR78" s="9">
        <v>0</v>
      </c>
      <c r="BS78" s="9">
        <v>0</v>
      </c>
      <c r="BT78" s="9">
        <v>0</v>
      </c>
      <c r="BU78" s="9">
        <v>0</v>
      </c>
      <c r="BV78" s="9">
        <v>0</v>
      </c>
      <c r="BW78" s="9">
        <v>0</v>
      </c>
      <c r="BX78" s="9">
        <v>0</v>
      </c>
      <c r="BY78" s="9">
        <v>0</v>
      </c>
      <c r="BZ78" s="9">
        <v>0</v>
      </c>
      <c r="CA78" s="9">
        <v>0</v>
      </c>
      <c r="CB78" s="9">
        <v>0</v>
      </c>
      <c r="CC78" s="9">
        <v>0</v>
      </c>
      <c r="CD78" s="9">
        <v>0</v>
      </c>
      <c r="CE78" s="9">
        <v>0</v>
      </c>
      <c r="CF78" s="9">
        <v>1</v>
      </c>
      <c r="CG78" s="9">
        <v>0</v>
      </c>
      <c r="CH78" s="9">
        <v>0</v>
      </c>
      <c r="CI78" s="9">
        <v>0</v>
      </c>
      <c r="CJ78" s="9">
        <v>0</v>
      </c>
      <c r="CK78" s="9">
        <v>0</v>
      </c>
      <c r="CL78" s="9">
        <v>0</v>
      </c>
      <c r="CM78" s="9">
        <v>0</v>
      </c>
      <c r="CN78" s="9">
        <v>0</v>
      </c>
      <c r="CO78" s="9">
        <v>0</v>
      </c>
      <c r="CP78" s="9">
        <v>0</v>
      </c>
      <c r="CQ78" s="9">
        <v>0</v>
      </c>
      <c r="CR78" s="9">
        <v>0</v>
      </c>
      <c r="CS78" s="9">
        <v>0</v>
      </c>
      <c r="CT78" s="9">
        <v>0</v>
      </c>
      <c r="CU78" s="9">
        <v>0</v>
      </c>
      <c r="CV78" s="9">
        <v>0</v>
      </c>
      <c r="CW78" s="9">
        <v>0</v>
      </c>
      <c r="CX78" s="9">
        <v>0</v>
      </c>
      <c r="CY78" s="9">
        <v>0</v>
      </c>
      <c r="CZ78" s="9">
        <v>0</v>
      </c>
      <c r="DA78" s="9">
        <v>0</v>
      </c>
      <c r="DB78" s="9">
        <v>0</v>
      </c>
      <c r="DC78" s="9">
        <v>0</v>
      </c>
      <c r="DD78" s="9">
        <v>0</v>
      </c>
      <c r="DE78" s="9">
        <v>0</v>
      </c>
      <c r="DF78" s="9">
        <v>0</v>
      </c>
      <c r="DG78" s="9">
        <v>0</v>
      </c>
      <c r="DH78" s="9">
        <v>0</v>
      </c>
      <c r="DI78" s="9">
        <v>0</v>
      </c>
      <c r="DJ78" s="9">
        <v>0</v>
      </c>
      <c r="DK78" s="9">
        <v>0</v>
      </c>
      <c r="DL78" s="9">
        <v>0</v>
      </c>
      <c r="DM78" s="9">
        <v>0</v>
      </c>
      <c r="DN78" s="9">
        <v>0</v>
      </c>
      <c r="DO78" s="9">
        <v>0</v>
      </c>
      <c r="DP78" s="9">
        <v>0</v>
      </c>
      <c r="DQ78" s="9">
        <v>0</v>
      </c>
      <c r="DR78" s="9">
        <v>0</v>
      </c>
      <c r="DS78" s="9">
        <v>0</v>
      </c>
      <c r="DT78" s="9">
        <v>0</v>
      </c>
      <c r="DU78" s="9">
        <v>0</v>
      </c>
      <c r="DV78" s="9">
        <v>0</v>
      </c>
      <c r="DW78" s="9">
        <v>0</v>
      </c>
      <c r="DX78" s="9">
        <v>0</v>
      </c>
      <c r="DY78" s="9">
        <v>0</v>
      </c>
      <c r="DZ78" s="9">
        <v>0</v>
      </c>
      <c r="EA78" s="9">
        <v>0</v>
      </c>
      <c r="EB78" s="9">
        <v>0</v>
      </c>
      <c r="EC78" s="9">
        <v>0</v>
      </c>
      <c r="ED78" s="9">
        <v>0</v>
      </c>
      <c r="EE78" s="9">
        <v>0</v>
      </c>
      <c r="EF78" s="9">
        <v>0</v>
      </c>
      <c r="EG78" s="9">
        <v>0</v>
      </c>
      <c r="EH78" s="9">
        <v>0</v>
      </c>
      <c r="EI78" s="10">
        <v>0</v>
      </c>
    </row>
    <row r="79" spans="1:139" x14ac:dyDescent="0.35">
      <c r="A79" s="8" t="s">
        <v>73</v>
      </c>
      <c r="B79" s="9" t="s">
        <v>144</v>
      </c>
      <c r="C79" s="9" t="s">
        <v>145</v>
      </c>
      <c r="D79" s="9">
        <f t="shared" si="1"/>
        <v>0</v>
      </c>
      <c r="E79" s="9">
        <v>0</v>
      </c>
      <c r="F79" s="9">
        <v>0</v>
      </c>
      <c r="G79" s="9">
        <v>0</v>
      </c>
      <c r="H79" s="9">
        <v>0</v>
      </c>
      <c r="I79" s="9">
        <v>0</v>
      </c>
      <c r="J79" s="9">
        <v>0</v>
      </c>
      <c r="K79" s="9">
        <v>0</v>
      </c>
      <c r="L79" s="9">
        <v>0</v>
      </c>
      <c r="M79" s="9">
        <v>0</v>
      </c>
      <c r="N79" s="9">
        <v>0</v>
      </c>
      <c r="O79" s="9">
        <v>0</v>
      </c>
      <c r="P79" s="9">
        <v>0</v>
      </c>
      <c r="Q79" s="9">
        <v>0</v>
      </c>
      <c r="R79" s="9">
        <v>0</v>
      </c>
      <c r="S79" s="9">
        <v>0</v>
      </c>
      <c r="T79" s="9">
        <v>0</v>
      </c>
      <c r="U79" s="9">
        <v>0</v>
      </c>
      <c r="V79" s="9">
        <v>0</v>
      </c>
      <c r="W79" s="9">
        <v>0</v>
      </c>
      <c r="X79" s="9">
        <v>0</v>
      </c>
      <c r="Y79" s="9">
        <v>0</v>
      </c>
      <c r="Z79" s="9">
        <v>0</v>
      </c>
      <c r="AA79" s="9">
        <v>0</v>
      </c>
      <c r="AB79" s="9">
        <v>0</v>
      </c>
      <c r="AC79" s="9">
        <v>0</v>
      </c>
      <c r="AD79" s="9">
        <v>0</v>
      </c>
      <c r="AE79" s="9">
        <v>0</v>
      </c>
      <c r="AF79" s="9">
        <v>0</v>
      </c>
      <c r="AG79" s="9">
        <v>0</v>
      </c>
      <c r="AH79" s="9">
        <v>0</v>
      </c>
      <c r="AI79" s="9">
        <v>0</v>
      </c>
      <c r="AJ79" s="9">
        <v>0</v>
      </c>
      <c r="AK79" s="9">
        <v>0</v>
      </c>
      <c r="AL79" s="9">
        <v>0</v>
      </c>
      <c r="AM79" s="9">
        <v>0</v>
      </c>
      <c r="AN79" s="9">
        <v>0</v>
      </c>
      <c r="AO79" s="9">
        <v>0</v>
      </c>
      <c r="AP79" s="9">
        <v>0</v>
      </c>
      <c r="AQ79" s="9">
        <v>0</v>
      </c>
      <c r="AR79" s="9">
        <v>0</v>
      </c>
      <c r="AS79" s="9">
        <v>0</v>
      </c>
      <c r="AT79" s="9">
        <v>0</v>
      </c>
      <c r="AU79" s="9">
        <v>0</v>
      </c>
      <c r="AV79" s="9">
        <v>0</v>
      </c>
      <c r="AW79" s="9">
        <v>0</v>
      </c>
      <c r="AX79" s="9">
        <v>0</v>
      </c>
      <c r="AY79" s="9">
        <v>0</v>
      </c>
      <c r="AZ79" s="9">
        <v>0</v>
      </c>
      <c r="BA79" s="9">
        <v>0</v>
      </c>
      <c r="BB79" s="9">
        <v>0</v>
      </c>
      <c r="BC79" s="9">
        <v>0</v>
      </c>
      <c r="BD79" s="9">
        <v>0</v>
      </c>
      <c r="BE79" s="9">
        <v>0</v>
      </c>
      <c r="BF79" s="9">
        <v>0</v>
      </c>
      <c r="BG79" s="9">
        <v>0</v>
      </c>
      <c r="BH79" s="9">
        <v>0</v>
      </c>
      <c r="BI79" s="9">
        <v>0</v>
      </c>
      <c r="BJ79" s="9">
        <v>0</v>
      </c>
      <c r="BK79" s="9">
        <v>0</v>
      </c>
      <c r="BL79" s="9">
        <v>0</v>
      </c>
      <c r="BM79" s="9">
        <v>0</v>
      </c>
      <c r="BN79" s="9">
        <v>0</v>
      </c>
      <c r="BO79" s="9">
        <v>0</v>
      </c>
      <c r="BP79" s="9">
        <v>0</v>
      </c>
      <c r="BQ79" s="9">
        <v>0</v>
      </c>
      <c r="BR79" s="9">
        <v>0</v>
      </c>
      <c r="BS79" s="9">
        <v>0</v>
      </c>
      <c r="BT79" s="9">
        <v>0</v>
      </c>
      <c r="BU79" s="9">
        <v>0</v>
      </c>
      <c r="BV79" s="9">
        <v>0</v>
      </c>
      <c r="BW79" s="9">
        <v>0</v>
      </c>
      <c r="BX79" s="9">
        <v>0</v>
      </c>
      <c r="BY79" s="9">
        <v>0</v>
      </c>
      <c r="BZ79" s="9">
        <v>0</v>
      </c>
      <c r="CA79" s="9">
        <v>0</v>
      </c>
      <c r="CB79" s="9">
        <v>0</v>
      </c>
      <c r="CC79" s="9">
        <v>0</v>
      </c>
      <c r="CD79" s="9">
        <v>0</v>
      </c>
      <c r="CE79" s="9">
        <v>0</v>
      </c>
      <c r="CF79" s="9">
        <v>0</v>
      </c>
      <c r="CG79" s="9">
        <v>0</v>
      </c>
      <c r="CH79" s="9">
        <v>0</v>
      </c>
      <c r="CI79" s="9">
        <v>0</v>
      </c>
      <c r="CJ79" s="9">
        <v>0</v>
      </c>
      <c r="CK79" s="9">
        <v>0</v>
      </c>
      <c r="CL79" s="9">
        <v>0</v>
      </c>
      <c r="CM79" s="9">
        <v>0</v>
      </c>
      <c r="CN79" s="9">
        <v>0</v>
      </c>
      <c r="CO79" s="9">
        <v>0</v>
      </c>
      <c r="CP79" s="9">
        <v>0</v>
      </c>
      <c r="CQ79" s="9">
        <v>0</v>
      </c>
      <c r="CR79" s="9">
        <v>0</v>
      </c>
      <c r="CS79" s="9">
        <v>0</v>
      </c>
      <c r="CT79" s="9">
        <v>0</v>
      </c>
      <c r="CU79" s="9">
        <v>0</v>
      </c>
      <c r="CV79" s="9">
        <v>0</v>
      </c>
      <c r="CW79" s="9">
        <v>0</v>
      </c>
      <c r="CX79" s="9">
        <v>0</v>
      </c>
      <c r="CY79" s="9">
        <v>0</v>
      </c>
      <c r="CZ79" s="9">
        <v>0</v>
      </c>
      <c r="DA79" s="9">
        <v>0</v>
      </c>
      <c r="DB79" s="9">
        <v>0</v>
      </c>
      <c r="DC79" s="9">
        <v>0</v>
      </c>
      <c r="DD79" s="9">
        <v>0</v>
      </c>
      <c r="DE79" s="9">
        <v>0</v>
      </c>
      <c r="DF79" s="9">
        <v>0</v>
      </c>
      <c r="DG79" s="9">
        <v>0</v>
      </c>
      <c r="DH79" s="9">
        <v>0</v>
      </c>
      <c r="DI79" s="9">
        <v>0</v>
      </c>
      <c r="DJ79" s="9">
        <v>0</v>
      </c>
      <c r="DK79" s="9">
        <v>0</v>
      </c>
      <c r="DL79" s="9">
        <v>0</v>
      </c>
      <c r="DM79" s="9">
        <v>0</v>
      </c>
      <c r="DN79" s="9">
        <v>0</v>
      </c>
      <c r="DO79" s="9">
        <v>0</v>
      </c>
      <c r="DP79" s="9">
        <v>0</v>
      </c>
      <c r="DQ79" s="9">
        <v>0</v>
      </c>
      <c r="DR79" s="9">
        <v>0</v>
      </c>
      <c r="DS79" s="9">
        <v>0</v>
      </c>
      <c r="DT79" s="9">
        <v>0</v>
      </c>
      <c r="DU79" s="9">
        <v>0</v>
      </c>
      <c r="DV79" s="9">
        <v>0</v>
      </c>
      <c r="DW79" s="9">
        <v>0</v>
      </c>
      <c r="DX79" s="9">
        <v>0</v>
      </c>
      <c r="DY79" s="9">
        <v>0</v>
      </c>
      <c r="DZ79" s="9">
        <v>0</v>
      </c>
      <c r="EA79" s="9">
        <v>0</v>
      </c>
      <c r="EB79" s="9">
        <v>0</v>
      </c>
      <c r="EC79" s="9">
        <v>0</v>
      </c>
      <c r="ED79" s="9">
        <v>0</v>
      </c>
      <c r="EE79" s="9">
        <v>0</v>
      </c>
      <c r="EF79" s="9">
        <v>0</v>
      </c>
      <c r="EG79" s="9">
        <v>0</v>
      </c>
      <c r="EH79" s="9">
        <v>0</v>
      </c>
      <c r="EI79" s="10">
        <v>0</v>
      </c>
    </row>
    <row r="80" spans="1:139" x14ac:dyDescent="0.35">
      <c r="A80" s="8" t="s">
        <v>73</v>
      </c>
      <c r="B80" s="9" t="s">
        <v>146</v>
      </c>
      <c r="C80" s="9" t="s">
        <v>147</v>
      </c>
      <c r="D80" s="9">
        <f t="shared" si="1"/>
        <v>607</v>
      </c>
      <c r="E80" s="9">
        <v>7</v>
      </c>
      <c r="F80" s="9">
        <v>2</v>
      </c>
      <c r="G80" s="9">
        <v>6</v>
      </c>
      <c r="H80" s="9">
        <v>2</v>
      </c>
      <c r="I80" s="9">
        <v>2</v>
      </c>
      <c r="J80" s="9">
        <v>7</v>
      </c>
      <c r="K80" s="9">
        <v>8</v>
      </c>
      <c r="L80" s="9">
        <v>9</v>
      </c>
      <c r="M80" s="9">
        <v>10</v>
      </c>
      <c r="N80" s="9">
        <v>8</v>
      </c>
      <c r="O80" s="9">
        <v>11</v>
      </c>
      <c r="P80" s="9">
        <v>9</v>
      </c>
      <c r="Q80" s="9">
        <v>10</v>
      </c>
      <c r="R80" s="9">
        <v>8</v>
      </c>
      <c r="S80" s="9">
        <v>13</v>
      </c>
      <c r="T80" s="9">
        <v>12</v>
      </c>
      <c r="U80" s="9">
        <v>9</v>
      </c>
      <c r="V80" s="9">
        <v>12</v>
      </c>
      <c r="W80" s="9">
        <v>26</v>
      </c>
      <c r="X80" s="9">
        <v>17</v>
      </c>
      <c r="Y80" s="9">
        <v>18</v>
      </c>
      <c r="Z80" s="9">
        <v>17</v>
      </c>
      <c r="AA80" s="9">
        <v>18</v>
      </c>
      <c r="AB80" s="9">
        <v>14</v>
      </c>
      <c r="AC80" s="9">
        <v>11</v>
      </c>
      <c r="AD80" s="9">
        <v>11</v>
      </c>
      <c r="AE80" s="9">
        <v>9</v>
      </c>
      <c r="AF80" s="9">
        <v>13</v>
      </c>
      <c r="AG80" s="9">
        <v>11</v>
      </c>
      <c r="AH80" s="9">
        <v>8</v>
      </c>
      <c r="AI80" s="9">
        <v>9</v>
      </c>
      <c r="AJ80" s="9">
        <v>4</v>
      </c>
      <c r="AK80" s="9">
        <v>11</v>
      </c>
      <c r="AL80" s="9">
        <v>6</v>
      </c>
      <c r="AM80" s="9">
        <v>2</v>
      </c>
      <c r="AN80" s="9">
        <v>5</v>
      </c>
      <c r="AO80" s="9">
        <v>5</v>
      </c>
      <c r="AP80" s="9">
        <v>7</v>
      </c>
      <c r="AQ80" s="9">
        <v>3</v>
      </c>
      <c r="AR80" s="9">
        <v>4</v>
      </c>
      <c r="AS80" s="9">
        <v>2</v>
      </c>
      <c r="AT80" s="9">
        <v>4</v>
      </c>
      <c r="AU80" s="9">
        <v>2</v>
      </c>
      <c r="AV80" s="9">
        <v>6</v>
      </c>
      <c r="AW80" s="9">
        <v>0</v>
      </c>
      <c r="AX80" s="9">
        <v>0</v>
      </c>
      <c r="AY80" s="9">
        <v>4</v>
      </c>
      <c r="AZ80" s="9">
        <v>3</v>
      </c>
      <c r="BA80" s="9">
        <v>8</v>
      </c>
      <c r="BB80" s="9">
        <v>5</v>
      </c>
      <c r="BC80" s="9">
        <v>0</v>
      </c>
      <c r="BD80" s="9">
        <v>2</v>
      </c>
      <c r="BE80" s="9">
        <v>1</v>
      </c>
      <c r="BF80" s="9">
        <v>1</v>
      </c>
      <c r="BG80" s="9">
        <v>4</v>
      </c>
      <c r="BH80" s="9">
        <v>3</v>
      </c>
      <c r="BI80" s="9">
        <v>4</v>
      </c>
      <c r="BJ80" s="9">
        <v>1</v>
      </c>
      <c r="BK80" s="9">
        <v>1</v>
      </c>
      <c r="BL80" s="9">
        <v>2</v>
      </c>
      <c r="BM80" s="9">
        <v>0</v>
      </c>
      <c r="BN80" s="9">
        <v>3</v>
      </c>
      <c r="BO80" s="9">
        <v>1</v>
      </c>
      <c r="BP80" s="9">
        <v>1</v>
      </c>
      <c r="BQ80" s="9">
        <v>0</v>
      </c>
      <c r="BR80" s="9">
        <v>0</v>
      </c>
      <c r="BS80" s="9">
        <v>0</v>
      </c>
      <c r="BT80" s="9">
        <v>0</v>
      </c>
      <c r="BU80" s="9">
        <v>1</v>
      </c>
      <c r="BV80" s="9">
        <v>0</v>
      </c>
      <c r="BW80" s="9">
        <v>2</v>
      </c>
      <c r="BX80" s="9">
        <v>1</v>
      </c>
      <c r="BY80" s="9">
        <v>0</v>
      </c>
      <c r="BZ80" s="9">
        <v>0</v>
      </c>
      <c r="CA80" s="9">
        <v>6</v>
      </c>
      <c r="CB80" s="9">
        <v>6</v>
      </c>
      <c r="CC80" s="9">
        <v>3</v>
      </c>
      <c r="CD80" s="9">
        <v>6</v>
      </c>
      <c r="CE80" s="9">
        <v>8</v>
      </c>
      <c r="CF80" s="9">
        <v>3</v>
      </c>
      <c r="CG80" s="9">
        <v>5</v>
      </c>
      <c r="CH80" s="9">
        <v>9</v>
      </c>
      <c r="CI80" s="9">
        <v>3</v>
      </c>
      <c r="CJ80" s="9">
        <v>2</v>
      </c>
      <c r="CK80" s="9">
        <v>1</v>
      </c>
      <c r="CL80" s="9">
        <v>1</v>
      </c>
      <c r="CM80" s="9">
        <v>1</v>
      </c>
      <c r="CN80" s="9">
        <v>1</v>
      </c>
      <c r="CO80" s="9">
        <v>0</v>
      </c>
      <c r="CP80" s="9">
        <v>0</v>
      </c>
      <c r="CQ80" s="9">
        <v>16</v>
      </c>
      <c r="CR80" s="9">
        <v>3</v>
      </c>
      <c r="CS80" s="9">
        <v>6</v>
      </c>
      <c r="CT80" s="9">
        <v>1</v>
      </c>
      <c r="CU80" s="9">
        <v>4</v>
      </c>
      <c r="CV80" s="9">
        <v>5</v>
      </c>
      <c r="CW80" s="9">
        <v>8</v>
      </c>
      <c r="CX80" s="9">
        <v>5</v>
      </c>
      <c r="CY80" s="9">
        <v>8</v>
      </c>
      <c r="CZ80" s="9">
        <v>4</v>
      </c>
      <c r="DA80" s="9">
        <v>4</v>
      </c>
      <c r="DB80" s="9">
        <v>1</v>
      </c>
      <c r="DC80" s="9">
        <v>0</v>
      </c>
      <c r="DD80" s="9">
        <v>3</v>
      </c>
      <c r="DE80" s="9">
        <v>5</v>
      </c>
      <c r="DF80" s="9">
        <v>9</v>
      </c>
      <c r="DG80" s="9">
        <v>1</v>
      </c>
      <c r="DH80" s="9">
        <v>0</v>
      </c>
      <c r="DI80" s="9">
        <v>3</v>
      </c>
      <c r="DJ80" s="9">
        <v>3</v>
      </c>
      <c r="DK80" s="9">
        <v>1</v>
      </c>
      <c r="DL80" s="9">
        <v>4</v>
      </c>
      <c r="DM80" s="9">
        <v>4</v>
      </c>
      <c r="DN80" s="9">
        <v>4</v>
      </c>
      <c r="DO80" s="9">
        <v>3</v>
      </c>
      <c r="DP80" s="9">
        <v>1</v>
      </c>
      <c r="DQ80" s="9">
        <v>0</v>
      </c>
      <c r="DR80" s="9">
        <v>1</v>
      </c>
      <c r="DS80" s="9">
        <v>1</v>
      </c>
      <c r="DT80" s="9">
        <v>3</v>
      </c>
      <c r="DU80" s="9">
        <v>2</v>
      </c>
      <c r="DV80" s="9">
        <v>0</v>
      </c>
      <c r="DW80" s="9">
        <v>0</v>
      </c>
      <c r="DX80" s="9">
        <v>0</v>
      </c>
      <c r="DY80" s="9">
        <v>0</v>
      </c>
      <c r="DZ80" s="9">
        <v>0</v>
      </c>
      <c r="EA80" s="9">
        <v>0</v>
      </c>
      <c r="EB80" s="9">
        <v>3</v>
      </c>
      <c r="EC80" s="9">
        <v>0</v>
      </c>
      <c r="ED80" s="9">
        <v>0</v>
      </c>
      <c r="EE80" s="9">
        <v>0</v>
      </c>
      <c r="EF80" s="9">
        <v>0</v>
      </c>
      <c r="EG80" s="9">
        <v>0</v>
      </c>
      <c r="EH80" s="9">
        <v>0</v>
      </c>
      <c r="EI80" s="10">
        <v>0</v>
      </c>
    </row>
    <row r="81" spans="1:139" x14ac:dyDescent="0.35">
      <c r="A81" s="8" t="s">
        <v>73</v>
      </c>
      <c r="B81" s="9" t="s">
        <v>148</v>
      </c>
      <c r="C81" s="9" t="s">
        <v>149</v>
      </c>
      <c r="D81" s="9">
        <f t="shared" si="1"/>
        <v>26</v>
      </c>
      <c r="E81" s="9">
        <v>0</v>
      </c>
      <c r="F81" s="9">
        <v>0</v>
      </c>
      <c r="G81" s="9">
        <v>0</v>
      </c>
      <c r="H81" s="9">
        <v>1</v>
      </c>
      <c r="I81" s="9">
        <v>5</v>
      </c>
      <c r="J81" s="9">
        <v>0</v>
      </c>
      <c r="K81" s="9">
        <v>0</v>
      </c>
      <c r="L81" s="9">
        <v>0</v>
      </c>
      <c r="M81" s="9">
        <v>0</v>
      </c>
      <c r="N81" s="9">
        <v>0</v>
      </c>
      <c r="O81" s="9">
        <v>0</v>
      </c>
      <c r="P81" s="9">
        <v>1</v>
      </c>
      <c r="Q81" s="9">
        <v>0</v>
      </c>
      <c r="R81" s="9">
        <v>0</v>
      </c>
      <c r="S81" s="9">
        <v>1</v>
      </c>
      <c r="T81" s="9">
        <v>1</v>
      </c>
      <c r="U81" s="9">
        <v>0</v>
      </c>
      <c r="V81" s="9">
        <v>0</v>
      </c>
      <c r="W81" s="9">
        <v>2</v>
      </c>
      <c r="X81" s="9">
        <v>1</v>
      </c>
      <c r="Y81" s="9">
        <v>2</v>
      </c>
      <c r="Z81" s="9">
        <v>0</v>
      </c>
      <c r="AA81" s="9">
        <v>0</v>
      </c>
      <c r="AB81" s="9">
        <v>0</v>
      </c>
      <c r="AC81" s="9">
        <v>0</v>
      </c>
      <c r="AD81" s="9">
        <v>0</v>
      </c>
      <c r="AE81" s="9">
        <v>0</v>
      </c>
      <c r="AF81" s="9">
        <v>0</v>
      </c>
      <c r="AG81" s="9">
        <v>0</v>
      </c>
      <c r="AH81" s="9">
        <v>0</v>
      </c>
      <c r="AI81" s="9">
        <v>1</v>
      </c>
      <c r="AJ81" s="9">
        <v>1</v>
      </c>
      <c r="AK81" s="9">
        <v>0</v>
      </c>
      <c r="AL81" s="9">
        <v>0</v>
      </c>
      <c r="AM81" s="9">
        <v>0</v>
      </c>
      <c r="AN81" s="9">
        <v>0</v>
      </c>
      <c r="AO81" s="9">
        <v>0</v>
      </c>
      <c r="AP81" s="9">
        <v>0</v>
      </c>
      <c r="AQ81" s="9">
        <v>0</v>
      </c>
      <c r="AR81" s="9">
        <v>0</v>
      </c>
      <c r="AS81" s="9">
        <v>0</v>
      </c>
      <c r="AT81" s="9">
        <v>0</v>
      </c>
      <c r="AU81" s="9">
        <v>0</v>
      </c>
      <c r="AV81" s="9">
        <v>0</v>
      </c>
      <c r="AW81" s="9">
        <v>0</v>
      </c>
      <c r="AX81" s="9">
        <v>0</v>
      </c>
      <c r="AY81" s="9">
        <v>0</v>
      </c>
      <c r="AZ81" s="9">
        <v>0</v>
      </c>
      <c r="BA81" s="9">
        <v>1</v>
      </c>
      <c r="BB81" s="9">
        <v>0</v>
      </c>
      <c r="BC81" s="9">
        <v>0</v>
      </c>
      <c r="BD81" s="9">
        <v>0</v>
      </c>
      <c r="BE81" s="9">
        <v>0</v>
      </c>
      <c r="BF81" s="9">
        <v>0</v>
      </c>
      <c r="BG81" s="9">
        <v>0</v>
      </c>
      <c r="BH81" s="9">
        <v>0</v>
      </c>
      <c r="BI81" s="9">
        <v>0</v>
      </c>
      <c r="BJ81" s="9">
        <v>0</v>
      </c>
      <c r="BK81" s="9">
        <v>1</v>
      </c>
      <c r="BL81" s="9">
        <v>0</v>
      </c>
      <c r="BM81" s="9">
        <v>1</v>
      </c>
      <c r="BN81" s="9">
        <v>0</v>
      </c>
      <c r="BO81" s="9">
        <v>1</v>
      </c>
      <c r="BP81" s="9">
        <v>1</v>
      </c>
      <c r="BQ81" s="9">
        <v>1</v>
      </c>
      <c r="BR81" s="9">
        <v>0</v>
      </c>
      <c r="BS81" s="9">
        <v>1</v>
      </c>
      <c r="BT81" s="9">
        <v>0</v>
      </c>
      <c r="BU81" s="9">
        <v>0</v>
      </c>
      <c r="BV81" s="9">
        <v>0</v>
      </c>
      <c r="BW81" s="9">
        <v>0</v>
      </c>
      <c r="BX81" s="9">
        <v>0</v>
      </c>
      <c r="BY81" s="9">
        <v>0</v>
      </c>
      <c r="BZ81" s="9">
        <v>0</v>
      </c>
      <c r="CA81" s="9">
        <v>1</v>
      </c>
      <c r="CB81" s="9">
        <v>0</v>
      </c>
      <c r="CC81" s="9">
        <v>0</v>
      </c>
      <c r="CD81" s="9">
        <v>0</v>
      </c>
      <c r="CE81" s="9">
        <v>0</v>
      </c>
      <c r="CF81" s="9">
        <v>0</v>
      </c>
      <c r="CG81" s="9">
        <v>0</v>
      </c>
      <c r="CH81" s="9">
        <v>0</v>
      </c>
      <c r="CI81" s="9">
        <v>0</v>
      </c>
      <c r="CJ81" s="9">
        <v>0</v>
      </c>
      <c r="CK81" s="9">
        <v>0</v>
      </c>
      <c r="CL81" s="9">
        <v>0</v>
      </c>
      <c r="CM81" s="9">
        <v>0</v>
      </c>
      <c r="CN81" s="9">
        <v>1</v>
      </c>
      <c r="CO81" s="9">
        <v>0</v>
      </c>
      <c r="CP81" s="9">
        <v>1</v>
      </c>
      <c r="CQ81" s="9">
        <v>0</v>
      </c>
      <c r="CR81" s="9">
        <v>0</v>
      </c>
      <c r="CS81" s="9">
        <v>0</v>
      </c>
      <c r="CT81" s="9">
        <v>0</v>
      </c>
      <c r="CU81" s="9">
        <v>0</v>
      </c>
      <c r="CV81" s="9">
        <v>0</v>
      </c>
      <c r="CW81" s="9">
        <v>0</v>
      </c>
      <c r="CX81" s="9">
        <v>0</v>
      </c>
      <c r="CY81" s="9">
        <v>0</v>
      </c>
      <c r="CZ81" s="9">
        <v>0</v>
      </c>
      <c r="DA81" s="9">
        <v>0</v>
      </c>
      <c r="DB81" s="9">
        <v>0</v>
      </c>
      <c r="DC81" s="9">
        <v>0</v>
      </c>
      <c r="DD81" s="9">
        <v>0</v>
      </c>
      <c r="DE81" s="9">
        <v>0</v>
      </c>
      <c r="DF81" s="9">
        <v>0</v>
      </c>
      <c r="DG81" s="9">
        <v>0</v>
      </c>
      <c r="DH81" s="9">
        <v>0</v>
      </c>
      <c r="DI81" s="9">
        <v>0</v>
      </c>
      <c r="DJ81" s="9">
        <v>0</v>
      </c>
      <c r="DK81" s="9">
        <v>0</v>
      </c>
      <c r="DL81" s="9">
        <v>0</v>
      </c>
      <c r="DM81" s="9">
        <v>0</v>
      </c>
      <c r="DN81" s="9">
        <v>0</v>
      </c>
      <c r="DO81" s="9">
        <v>0</v>
      </c>
      <c r="DP81" s="9">
        <v>0</v>
      </c>
      <c r="DQ81" s="9">
        <v>0</v>
      </c>
      <c r="DR81" s="9">
        <v>0</v>
      </c>
      <c r="DS81" s="9">
        <v>0</v>
      </c>
      <c r="DT81" s="9">
        <v>0</v>
      </c>
      <c r="DU81" s="9">
        <v>0</v>
      </c>
      <c r="DV81" s="9">
        <v>0</v>
      </c>
      <c r="DW81" s="9">
        <v>0</v>
      </c>
      <c r="DX81" s="9">
        <v>0</v>
      </c>
      <c r="DY81" s="9">
        <v>0</v>
      </c>
      <c r="DZ81" s="9">
        <v>0</v>
      </c>
      <c r="EA81" s="9">
        <v>0</v>
      </c>
      <c r="EB81" s="9">
        <v>0</v>
      </c>
      <c r="EC81" s="9">
        <v>0</v>
      </c>
      <c r="ED81" s="9">
        <v>0</v>
      </c>
      <c r="EE81" s="9">
        <v>0</v>
      </c>
      <c r="EF81" s="9">
        <v>0</v>
      </c>
      <c r="EG81" s="9">
        <v>0</v>
      </c>
      <c r="EH81" s="9">
        <v>0</v>
      </c>
      <c r="EI81" s="10">
        <v>0</v>
      </c>
    </row>
    <row r="82" spans="1:139" x14ac:dyDescent="0.35">
      <c r="A82" s="8" t="s">
        <v>73</v>
      </c>
      <c r="B82" s="9" t="s">
        <v>150</v>
      </c>
      <c r="C82" s="9" t="s">
        <v>151</v>
      </c>
      <c r="D82" s="9">
        <f t="shared" si="1"/>
        <v>0</v>
      </c>
      <c r="E82" s="9">
        <v>0</v>
      </c>
      <c r="F82" s="9">
        <v>0</v>
      </c>
      <c r="G82" s="9">
        <v>0</v>
      </c>
      <c r="H82" s="9">
        <v>0</v>
      </c>
      <c r="I82" s="9">
        <v>0</v>
      </c>
      <c r="J82" s="9">
        <v>0</v>
      </c>
      <c r="K82" s="9">
        <v>0</v>
      </c>
      <c r="L82" s="9">
        <v>0</v>
      </c>
      <c r="M82" s="9">
        <v>0</v>
      </c>
      <c r="N82" s="9">
        <v>0</v>
      </c>
      <c r="O82" s="9">
        <v>0</v>
      </c>
      <c r="P82" s="9">
        <v>0</v>
      </c>
      <c r="Q82" s="9">
        <v>0</v>
      </c>
      <c r="R82" s="9">
        <v>0</v>
      </c>
      <c r="S82" s="9">
        <v>0</v>
      </c>
      <c r="T82" s="9">
        <v>0</v>
      </c>
      <c r="U82" s="9">
        <v>0</v>
      </c>
      <c r="V82" s="9">
        <v>0</v>
      </c>
      <c r="W82" s="9">
        <v>0</v>
      </c>
      <c r="X82" s="9">
        <v>0</v>
      </c>
      <c r="Y82" s="9">
        <v>0</v>
      </c>
      <c r="Z82" s="9">
        <v>0</v>
      </c>
      <c r="AA82" s="9">
        <v>0</v>
      </c>
      <c r="AB82" s="9">
        <v>0</v>
      </c>
      <c r="AC82" s="9">
        <v>0</v>
      </c>
      <c r="AD82" s="9">
        <v>0</v>
      </c>
      <c r="AE82" s="9">
        <v>0</v>
      </c>
      <c r="AF82" s="9">
        <v>0</v>
      </c>
      <c r="AG82" s="9">
        <v>0</v>
      </c>
      <c r="AH82" s="9">
        <v>0</v>
      </c>
      <c r="AI82" s="9">
        <v>0</v>
      </c>
      <c r="AJ82" s="9">
        <v>0</v>
      </c>
      <c r="AK82" s="9">
        <v>0</v>
      </c>
      <c r="AL82" s="9">
        <v>0</v>
      </c>
      <c r="AM82" s="9">
        <v>0</v>
      </c>
      <c r="AN82" s="9">
        <v>0</v>
      </c>
      <c r="AO82" s="9">
        <v>0</v>
      </c>
      <c r="AP82" s="9">
        <v>0</v>
      </c>
      <c r="AQ82" s="9">
        <v>0</v>
      </c>
      <c r="AR82" s="9">
        <v>0</v>
      </c>
      <c r="AS82" s="9">
        <v>0</v>
      </c>
      <c r="AT82" s="9">
        <v>0</v>
      </c>
      <c r="AU82" s="9">
        <v>0</v>
      </c>
      <c r="AV82" s="9">
        <v>0</v>
      </c>
      <c r="AW82" s="9">
        <v>0</v>
      </c>
      <c r="AX82" s="9">
        <v>0</v>
      </c>
      <c r="AY82" s="9">
        <v>0</v>
      </c>
      <c r="AZ82" s="9">
        <v>0</v>
      </c>
      <c r="BA82" s="9">
        <v>0</v>
      </c>
      <c r="BB82" s="9">
        <v>0</v>
      </c>
      <c r="BC82" s="9">
        <v>0</v>
      </c>
      <c r="BD82" s="9">
        <v>0</v>
      </c>
      <c r="BE82" s="9">
        <v>0</v>
      </c>
      <c r="BF82" s="9">
        <v>0</v>
      </c>
      <c r="BG82" s="9">
        <v>0</v>
      </c>
      <c r="BH82" s="9">
        <v>0</v>
      </c>
      <c r="BI82" s="9">
        <v>0</v>
      </c>
      <c r="BJ82" s="9">
        <v>0</v>
      </c>
      <c r="BK82" s="9">
        <v>0</v>
      </c>
      <c r="BL82" s="9">
        <v>0</v>
      </c>
      <c r="BM82" s="9">
        <v>0</v>
      </c>
      <c r="BN82" s="9">
        <v>0</v>
      </c>
      <c r="BO82" s="9">
        <v>0</v>
      </c>
      <c r="BP82" s="9">
        <v>0</v>
      </c>
      <c r="BQ82" s="9">
        <v>0</v>
      </c>
      <c r="BR82" s="9">
        <v>0</v>
      </c>
      <c r="BS82" s="9">
        <v>0</v>
      </c>
      <c r="BT82" s="9">
        <v>0</v>
      </c>
      <c r="BU82" s="9">
        <v>0</v>
      </c>
      <c r="BV82" s="9">
        <v>0</v>
      </c>
      <c r="BW82" s="9">
        <v>0</v>
      </c>
      <c r="BX82" s="9">
        <v>0</v>
      </c>
      <c r="BY82" s="9">
        <v>0</v>
      </c>
      <c r="BZ82" s="9">
        <v>0</v>
      </c>
      <c r="CA82" s="9">
        <v>0</v>
      </c>
      <c r="CB82" s="9">
        <v>0</v>
      </c>
      <c r="CC82" s="9">
        <v>0</v>
      </c>
      <c r="CD82" s="9">
        <v>0</v>
      </c>
      <c r="CE82" s="9">
        <v>0</v>
      </c>
      <c r="CF82" s="9">
        <v>0</v>
      </c>
      <c r="CG82" s="9">
        <v>0</v>
      </c>
      <c r="CH82" s="9">
        <v>0</v>
      </c>
      <c r="CI82" s="9">
        <v>0</v>
      </c>
      <c r="CJ82" s="9">
        <v>0</v>
      </c>
      <c r="CK82" s="9">
        <v>0</v>
      </c>
      <c r="CL82" s="9">
        <v>0</v>
      </c>
      <c r="CM82" s="9">
        <v>0</v>
      </c>
      <c r="CN82" s="9">
        <v>0</v>
      </c>
      <c r="CO82" s="9">
        <v>0</v>
      </c>
      <c r="CP82" s="9">
        <v>0</v>
      </c>
      <c r="CQ82" s="9">
        <v>0</v>
      </c>
      <c r="CR82" s="9">
        <v>0</v>
      </c>
      <c r="CS82" s="9">
        <v>0</v>
      </c>
      <c r="CT82" s="9">
        <v>0</v>
      </c>
      <c r="CU82" s="9">
        <v>0</v>
      </c>
      <c r="CV82" s="9">
        <v>0</v>
      </c>
      <c r="CW82" s="9">
        <v>0</v>
      </c>
      <c r="CX82" s="9">
        <v>0</v>
      </c>
      <c r="CY82" s="9">
        <v>0</v>
      </c>
      <c r="CZ82" s="9">
        <v>0</v>
      </c>
      <c r="DA82" s="9">
        <v>0</v>
      </c>
      <c r="DB82" s="9">
        <v>0</v>
      </c>
      <c r="DC82" s="9">
        <v>0</v>
      </c>
      <c r="DD82" s="9">
        <v>0</v>
      </c>
      <c r="DE82" s="9">
        <v>0</v>
      </c>
      <c r="DF82" s="9">
        <v>0</v>
      </c>
      <c r="DG82" s="9">
        <v>0</v>
      </c>
      <c r="DH82" s="9">
        <v>0</v>
      </c>
      <c r="DI82" s="9">
        <v>0</v>
      </c>
      <c r="DJ82" s="9">
        <v>0</v>
      </c>
      <c r="DK82" s="9">
        <v>0</v>
      </c>
      <c r="DL82" s="9">
        <v>0</v>
      </c>
      <c r="DM82" s="9">
        <v>0</v>
      </c>
      <c r="DN82" s="9">
        <v>0</v>
      </c>
      <c r="DO82" s="9">
        <v>0</v>
      </c>
      <c r="DP82" s="9">
        <v>0</v>
      </c>
      <c r="DQ82" s="9">
        <v>0</v>
      </c>
      <c r="DR82" s="9">
        <v>0</v>
      </c>
      <c r="DS82" s="9">
        <v>0</v>
      </c>
      <c r="DT82" s="9">
        <v>0</v>
      </c>
      <c r="DU82" s="9">
        <v>0</v>
      </c>
      <c r="DV82" s="9">
        <v>0</v>
      </c>
      <c r="DW82" s="9">
        <v>0</v>
      </c>
      <c r="DX82" s="9">
        <v>0</v>
      </c>
      <c r="DY82" s="9">
        <v>0</v>
      </c>
      <c r="DZ82" s="9">
        <v>0</v>
      </c>
      <c r="EA82" s="9">
        <v>0</v>
      </c>
      <c r="EB82" s="9">
        <v>0</v>
      </c>
      <c r="EC82" s="9">
        <v>0</v>
      </c>
      <c r="ED82" s="9">
        <v>0</v>
      </c>
      <c r="EE82" s="9">
        <v>0</v>
      </c>
      <c r="EF82" s="9">
        <v>0</v>
      </c>
      <c r="EG82" s="9">
        <v>0</v>
      </c>
      <c r="EH82" s="9">
        <v>0</v>
      </c>
      <c r="EI82" s="10">
        <v>0</v>
      </c>
    </row>
    <row r="83" spans="1:139" x14ac:dyDescent="0.35">
      <c r="A83" s="8" t="s">
        <v>73</v>
      </c>
      <c r="B83" s="9" t="s">
        <v>152</v>
      </c>
      <c r="C83" s="9" t="s">
        <v>153</v>
      </c>
      <c r="D83" s="9">
        <f t="shared" si="1"/>
        <v>39</v>
      </c>
      <c r="E83" s="9">
        <v>0</v>
      </c>
      <c r="F83" s="9">
        <v>0</v>
      </c>
      <c r="G83" s="9">
        <v>0</v>
      </c>
      <c r="H83" s="9">
        <v>0</v>
      </c>
      <c r="I83" s="9">
        <v>0</v>
      </c>
      <c r="J83" s="9">
        <v>0</v>
      </c>
      <c r="K83" s="9">
        <v>0</v>
      </c>
      <c r="L83" s="9">
        <v>0</v>
      </c>
      <c r="M83" s="9">
        <v>0</v>
      </c>
      <c r="N83" s="9">
        <v>0</v>
      </c>
      <c r="O83" s="9">
        <v>0</v>
      </c>
      <c r="P83" s="9">
        <v>4</v>
      </c>
      <c r="Q83" s="9">
        <v>0</v>
      </c>
      <c r="R83" s="9">
        <v>0</v>
      </c>
      <c r="S83" s="9">
        <v>0</v>
      </c>
      <c r="T83" s="9">
        <v>0</v>
      </c>
      <c r="U83" s="9">
        <v>1</v>
      </c>
      <c r="V83" s="9">
        <v>0</v>
      </c>
      <c r="W83" s="9">
        <v>0</v>
      </c>
      <c r="X83" s="9">
        <v>0</v>
      </c>
      <c r="Y83" s="9">
        <v>4</v>
      </c>
      <c r="Z83" s="9">
        <v>4</v>
      </c>
      <c r="AA83" s="9">
        <v>2</v>
      </c>
      <c r="AB83" s="9">
        <v>2</v>
      </c>
      <c r="AC83" s="9">
        <v>1</v>
      </c>
      <c r="AD83" s="9">
        <v>0</v>
      </c>
      <c r="AE83" s="9">
        <v>0</v>
      </c>
      <c r="AF83" s="9">
        <v>0</v>
      </c>
      <c r="AG83" s="9">
        <v>2</v>
      </c>
      <c r="AH83" s="9">
        <v>1</v>
      </c>
      <c r="AI83" s="9">
        <v>1</v>
      </c>
      <c r="AJ83" s="9">
        <v>1</v>
      </c>
      <c r="AK83" s="9">
        <v>0</v>
      </c>
      <c r="AL83" s="9">
        <v>1</v>
      </c>
      <c r="AM83" s="9">
        <v>1</v>
      </c>
      <c r="AN83" s="9">
        <v>1</v>
      </c>
      <c r="AO83" s="9">
        <v>1</v>
      </c>
      <c r="AP83" s="9">
        <v>2</v>
      </c>
      <c r="AQ83" s="9">
        <v>0</v>
      </c>
      <c r="AR83" s="9">
        <v>0</v>
      </c>
      <c r="AS83" s="9">
        <v>0</v>
      </c>
      <c r="AT83" s="9">
        <v>0</v>
      </c>
      <c r="AU83" s="9">
        <v>0</v>
      </c>
      <c r="AV83" s="9">
        <v>1</v>
      </c>
      <c r="AW83" s="9">
        <v>1</v>
      </c>
      <c r="AX83" s="9">
        <v>0</v>
      </c>
      <c r="AY83" s="9">
        <v>1</v>
      </c>
      <c r="AZ83" s="9">
        <v>2</v>
      </c>
      <c r="BA83" s="9">
        <v>1</v>
      </c>
      <c r="BB83" s="9">
        <v>1</v>
      </c>
      <c r="BC83" s="9">
        <v>1</v>
      </c>
      <c r="BD83" s="9">
        <v>0</v>
      </c>
      <c r="BE83" s="9">
        <v>0</v>
      </c>
      <c r="BF83" s="9">
        <v>0</v>
      </c>
      <c r="BG83" s="9">
        <v>0</v>
      </c>
      <c r="BH83" s="9">
        <v>1</v>
      </c>
      <c r="BI83" s="9">
        <v>0</v>
      </c>
      <c r="BJ83" s="9">
        <v>0</v>
      </c>
      <c r="BK83" s="9">
        <v>0</v>
      </c>
      <c r="BL83" s="9">
        <v>0</v>
      </c>
      <c r="BM83" s="9">
        <v>0</v>
      </c>
      <c r="BN83" s="9">
        <v>0</v>
      </c>
      <c r="BO83" s="9">
        <v>0</v>
      </c>
      <c r="BP83" s="9">
        <v>0</v>
      </c>
      <c r="BQ83" s="9">
        <v>0</v>
      </c>
      <c r="BR83" s="9">
        <v>0</v>
      </c>
      <c r="BS83" s="9">
        <v>0</v>
      </c>
      <c r="BT83" s="9">
        <v>0</v>
      </c>
      <c r="BU83" s="9">
        <v>0</v>
      </c>
      <c r="BV83" s="9">
        <v>0</v>
      </c>
      <c r="BW83" s="9">
        <v>0</v>
      </c>
      <c r="BX83" s="9">
        <v>0</v>
      </c>
      <c r="BY83" s="9">
        <v>0</v>
      </c>
      <c r="BZ83" s="9">
        <v>0</v>
      </c>
      <c r="CA83" s="9">
        <v>0</v>
      </c>
      <c r="CB83" s="9">
        <v>0</v>
      </c>
      <c r="CC83" s="9">
        <v>0</v>
      </c>
      <c r="CD83" s="9">
        <v>0</v>
      </c>
      <c r="CE83" s="9">
        <v>1</v>
      </c>
      <c r="CF83" s="9">
        <v>0</v>
      </c>
      <c r="CG83" s="9">
        <v>0</v>
      </c>
      <c r="CH83" s="9">
        <v>0</v>
      </c>
      <c r="CI83" s="9">
        <v>0</v>
      </c>
      <c r="CJ83" s="9">
        <v>0</v>
      </c>
      <c r="CK83" s="9">
        <v>0</v>
      </c>
      <c r="CL83" s="9">
        <v>0</v>
      </c>
      <c r="CM83" s="9">
        <v>0</v>
      </c>
      <c r="CN83" s="9">
        <v>0</v>
      </c>
      <c r="CO83" s="9">
        <v>0</v>
      </c>
      <c r="CP83" s="9">
        <v>0</v>
      </c>
      <c r="CQ83" s="9">
        <v>0</v>
      </c>
      <c r="CR83" s="9">
        <v>0</v>
      </c>
      <c r="CS83" s="9">
        <v>0</v>
      </c>
      <c r="CT83" s="9">
        <v>0</v>
      </c>
      <c r="CU83" s="9">
        <v>0</v>
      </c>
      <c r="CV83" s="9">
        <v>0</v>
      </c>
      <c r="CW83" s="9">
        <v>0</v>
      </c>
      <c r="CX83" s="9">
        <v>0</v>
      </c>
      <c r="CY83" s="9">
        <v>0</v>
      </c>
      <c r="CZ83" s="9">
        <v>0</v>
      </c>
      <c r="DA83" s="9">
        <v>0</v>
      </c>
      <c r="DB83" s="9">
        <v>0</v>
      </c>
      <c r="DC83" s="9">
        <v>0</v>
      </c>
      <c r="DD83" s="9">
        <v>0</v>
      </c>
      <c r="DE83" s="9">
        <v>0</v>
      </c>
      <c r="DF83" s="9">
        <v>0</v>
      </c>
      <c r="DG83" s="9">
        <v>0</v>
      </c>
      <c r="DH83" s="9">
        <v>0</v>
      </c>
      <c r="DI83" s="9">
        <v>0</v>
      </c>
      <c r="DJ83" s="9">
        <v>0</v>
      </c>
      <c r="DK83" s="9">
        <v>0</v>
      </c>
      <c r="DL83" s="9">
        <v>0</v>
      </c>
      <c r="DM83" s="9">
        <v>0</v>
      </c>
      <c r="DN83" s="9">
        <v>0</v>
      </c>
      <c r="DO83" s="9">
        <v>0</v>
      </c>
      <c r="DP83" s="9">
        <v>0</v>
      </c>
      <c r="DQ83" s="9">
        <v>0</v>
      </c>
      <c r="DR83" s="9">
        <v>0</v>
      </c>
      <c r="DS83" s="9">
        <v>0</v>
      </c>
      <c r="DT83" s="9">
        <v>0</v>
      </c>
      <c r="DU83" s="9">
        <v>0</v>
      </c>
      <c r="DV83" s="9">
        <v>0</v>
      </c>
      <c r="DW83" s="9">
        <v>0</v>
      </c>
      <c r="DX83" s="9">
        <v>0</v>
      </c>
      <c r="DY83" s="9">
        <v>0</v>
      </c>
      <c r="DZ83" s="9">
        <v>0</v>
      </c>
      <c r="EA83" s="9">
        <v>0</v>
      </c>
      <c r="EB83" s="9">
        <v>0</v>
      </c>
      <c r="EC83" s="9">
        <v>0</v>
      </c>
      <c r="ED83" s="9">
        <v>0</v>
      </c>
      <c r="EE83" s="9">
        <v>0</v>
      </c>
      <c r="EF83" s="9">
        <v>0</v>
      </c>
      <c r="EG83" s="9">
        <v>0</v>
      </c>
      <c r="EH83" s="9">
        <v>0</v>
      </c>
      <c r="EI83" s="10">
        <v>0</v>
      </c>
    </row>
    <row r="84" spans="1:139" x14ac:dyDescent="0.35">
      <c r="A84" s="8" t="s">
        <v>73</v>
      </c>
      <c r="B84" s="9" t="s">
        <v>154</v>
      </c>
      <c r="C84" s="9" t="s">
        <v>155</v>
      </c>
      <c r="D84" s="9">
        <f t="shared" si="1"/>
        <v>38</v>
      </c>
      <c r="E84" s="9">
        <v>0</v>
      </c>
      <c r="F84" s="9">
        <v>0</v>
      </c>
      <c r="G84" s="9">
        <v>0</v>
      </c>
      <c r="H84" s="9">
        <v>0</v>
      </c>
      <c r="I84" s="9">
        <v>0</v>
      </c>
      <c r="J84" s="9">
        <v>2</v>
      </c>
      <c r="K84" s="9">
        <v>2</v>
      </c>
      <c r="L84" s="9">
        <v>1</v>
      </c>
      <c r="M84" s="9">
        <v>0</v>
      </c>
      <c r="N84" s="9">
        <v>0</v>
      </c>
      <c r="O84" s="9">
        <v>0</v>
      </c>
      <c r="P84" s="9">
        <v>0</v>
      </c>
      <c r="Q84" s="9">
        <v>0</v>
      </c>
      <c r="R84" s="9">
        <v>0</v>
      </c>
      <c r="S84" s="9">
        <v>0</v>
      </c>
      <c r="T84" s="9">
        <v>0</v>
      </c>
      <c r="U84" s="9">
        <v>1</v>
      </c>
      <c r="V84" s="9">
        <v>0</v>
      </c>
      <c r="W84" s="9">
        <v>0</v>
      </c>
      <c r="X84" s="9">
        <v>0</v>
      </c>
      <c r="Y84" s="9">
        <v>0</v>
      </c>
      <c r="Z84" s="9">
        <v>0</v>
      </c>
      <c r="AA84" s="9">
        <v>0</v>
      </c>
      <c r="AB84" s="9">
        <v>0</v>
      </c>
      <c r="AC84" s="9">
        <v>0</v>
      </c>
      <c r="AD84" s="9">
        <v>0</v>
      </c>
      <c r="AE84" s="9">
        <v>0</v>
      </c>
      <c r="AF84" s="9">
        <v>1</v>
      </c>
      <c r="AG84" s="9">
        <v>1</v>
      </c>
      <c r="AH84" s="9">
        <v>0</v>
      </c>
      <c r="AI84" s="9">
        <v>0</v>
      </c>
      <c r="AJ84" s="9">
        <v>0</v>
      </c>
      <c r="AK84" s="9">
        <v>0</v>
      </c>
      <c r="AL84" s="9">
        <v>0</v>
      </c>
      <c r="AM84" s="9">
        <v>0</v>
      </c>
      <c r="AN84" s="9">
        <v>0</v>
      </c>
      <c r="AO84" s="9">
        <v>0</v>
      </c>
      <c r="AP84" s="9">
        <v>0</v>
      </c>
      <c r="AQ84" s="9">
        <v>0</v>
      </c>
      <c r="AR84" s="9">
        <v>1</v>
      </c>
      <c r="AS84" s="9">
        <v>0</v>
      </c>
      <c r="AT84" s="9">
        <v>1</v>
      </c>
      <c r="AU84" s="9">
        <v>1</v>
      </c>
      <c r="AV84" s="9">
        <v>0</v>
      </c>
      <c r="AW84" s="9">
        <v>0</v>
      </c>
      <c r="AX84" s="9">
        <v>1</v>
      </c>
      <c r="AY84" s="9">
        <v>1</v>
      </c>
      <c r="AZ84" s="9">
        <v>2</v>
      </c>
      <c r="BA84" s="9">
        <v>0</v>
      </c>
      <c r="BB84" s="9">
        <v>0</v>
      </c>
      <c r="BC84" s="9">
        <v>0</v>
      </c>
      <c r="BD84" s="9">
        <v>0</v>
      </c>
      <c r="BE84" s="9">
        <v>0</v>
      </c>
      <c r="BF84" s="9">
        <v>0</v>
      </c>
      <c r="BG84" s="9">
        <v>0</v>
      </c>
      <c r="BH84" s="9">
        <v>0</v>
      </c>
      <c r="BI84" s="9">
        <v>2</v>
      </c>
      <c r="BJ84" s="9">
        <v>0</v>
      </c>
      <c r="BK84" s="9">
        <v>0</v>
      </c>
      <c r="BL84" s="9">
        <v>0</v>
      </c>
      <c r="BM84" s="9">
        <v>0</v>
      </c>
      <c r="BN84" s="9">
        <v>1</v>
      </c>
      <c r="BO84" s="9">
        <v>0</v>
      </c>
      <c r="BP84" s="9">
        <v>0</v>
      </c>
      <c r="BQ84" s="9">
        <v>0</v>
      </c>
      <c r="BR84" s="9">
        <v>0</v>
      </c>
      <c r="BS84" s="9">
        <v>0</v>
      </c>
      <c r="BT84" s="9">
        <v>3</v>
      </c>
      <c r="BU84" s="9">
        <v>1</v>
      </c>
      <c r="BV84" s="9">
        <v>1</v>
      </c>
      <c r="BW84" s="9">
        <v>0</v>
      </c>
      <c r="BX84" s="9">
        <v>0</v>
      </c>
      <c r="BY84" s="9">
        <v>0</v>
      </c>
      <c r="BZ84" s="9">
        <v>0</v>
      </c>
      <c r="CA84" s="9">
        <v>1</v>
      </c>
      <c r="CB84" s="9">
        <v>1</v>
      </c>
      <c r="CC84" s="9">
        <v>0</v>
      </c>
      <c r="CD84" s="9">
        <v>0</v>
      </c>
      <c r="CE84" s="9">
        <v>2</v>
      </c>
      <c r="CF84" s="9">
        <v>1</v>
      </c>
      <c r="CG84" s="9">
        <v>0</v>
      </c>
      <c r="CH84" s="9">
        <v>0</v>
      </c>
      <c r="CI84" s="9">
        <v>0</v>
      </c>
      <c r="CJ84" s="9">
        <v>1</v>
      </c>
      <c r="CK84" s="9">
        <v>0</v>
      </c>
      <c r="CL84" s="9">
        <v>0</v>
      </c>
      <c r="CM84" s="9">
        <v>0</v>
      </c>
      <c r="CN84" s="9">
        <v>0</v>
      </c>
      <c r="CO84" s="9">
        <v>2</v>
      </c>
      <c r="CP84" s="9">
        <v>0</v>
      </c>
      <c r="CQ84" s="9">
        <v>0</v>
      </c>
      <c r="CR84" s="9">
        <v>0</v>
      </c>
      <c r="CS84" s="9">
        <v>0</v>
      </c>
      <c r="CT84" s="9">
        <v>0</v>
      </c>
      <c r="CU84" s="9">
        <v>0</v>
      </c>
      <c r="CV84" s="9">
        <v>1</v>
      </c>
      <c r="CW84" s="9">
        <v>0</v>
      </c>
      <c r="CX84" s="9">
        <v>1</v>
      </c>
      <c r="CY84" s="9">
        <v>0</v>
      </c>
      <c r="CZ84" s="9">
        <v>0</v>
      </c>
      <c r="DA84" s="9">
        <v>0</v>
      </c>
      <c r="DB84" s="9">
        <v>1</v>
      </c>
      <c r="DC84" s="9">
        <v>0</v>
      </c>
      <c r="DD84" s="9">
        <v>0</v>
      </c>
      <c r="DE84" s="9">
        <v>0</v>
      </c>
      <c r="DF84" s="9">
        <v>0</v>
      </c>
      <c r="DG84" s="9">
        <v>0</v>
      </c>
      <c r="DH84" s="9">
        <v>0</v>
      </c>
      <c r="DI84" s="9">
        <v>0</v>
      </c>
      <c r="DJ84" s="9">
        <v>1</v>
      </c>
      <c r="DK84" s="9">
        <v>0</v>
      </c>
      <c r="DL84" s="9">
        <v>0</v>
      </c>
      <c r="DM84" s="9">
        <v>0</v>
      </c>
      <c r="DN84" s="9">
        <v>0</v>
      </c>
      <c r="DO84" s="9">
        <v>0</v>
      </c>
      <c r="DP84" s="9">
        <v>0</v>
      </c>
      <c r="DQ84" s="9">
        <v>0</v>
      </c>
      <c r="DR84" s="9">
        <v>0</v>
      </c>
      <c r="DS84" s="9">
        <v>1</v>
      </c>
      <c r="DT84" s="9">
        <v>0</v>
      </c>
      <c r="DU84" s="9">
        <v>0</v>
      </c>
      <c r="DV84" s="9">
        <v>0</v>
      </c>
      <c r="DW84" s="9">
        <v>0</v>
      </c>
      <c r="DX84" s="9">
        <v>2</v>
      </c>
      <c r="DY84" s="9">
        <v>0</v>
      </c>
      <c r="DZ84" s="9">
        <v>0</v>
      </c>
      <c r="EA84" s="9">
        <v>0</v>
      </c>
      <c r="EB84" s="9">
        <v>0</v>
      </c>
      <c r="EC84" s="9">
        <v>0</v>
      </c>
      <c r="ED84" s="9">
        <v>0</v>
      </c>
      <c r="EE84" s="9">
        <v>0</v>
      </c>
      <c r="EF84" s="9">
        <v>0</v>
      </c>
      <c r="EG84" s="9">
        <v>0</v>
      </c>
      <c r="EH84" s="9">
        <v>0</v>
      </c>
      <c r="EI84" s="10">
        <v>0</v>
      </c>
    </row>
    <row r="85" spans="1:139" x14ac:dyDescent="0.35">
      <c r="A85" s="8" t="s">
        <v>73</v>
      </c>
      <c r="B85" s="9" t="s">
        <v>156</v>
      </c>
      <c r="C85" s="9" t="s">
        <v>157</v>
      </c>
      <c r="D85" s="9">
        <f t="shared" si="1"/>
        <v>143</v>
      </c>
      <c r="E85" s="9">
        <v>4</v>
      </c>
      <c r="F85" s="9">
        <v>4</v>
      </c>
      <c r="G85" s="9">
        <v>0</v>
      </c>
      <c r="H85" s="9">
        <v>5</v>
      </c>
      <c r="I85" s="9">
        <v>4</v>
      </c>
      <c r="J85" s="9">
        <v>1</v>
      </c>
      <c r="K85" s="9">
        <v>3</v>
      </c>
      <c r="L85" s="9">
        <v>4</v>
      </c>
      <c r="M85" s="9">
        <v>4</v>
      </c>
      <c r="N85" s="9">
        <v>6</v>
      </c>
      <c r="O85" s="9">
        <v>5</v>
      </c>
      <c r="P85" s="9">
        <v>5</v>
      </c>
      <c r="Q85" s="9">
        <v>5</v>
      </c>
      <c r="R85" s="9">
        <v>0</v>
      </c>
      <c r="S85" s="9">
        <v>2</v>
      </c>
      <c r="T85" s="9">
        <v>1</v>
      </c>
      <c r="U85" s="9">
        <v>5</v>
      </c>
      <c r="V85" s="9">
        <v>6</v>
      </c>
      <c r="W85" s="9">
        <v>5</v>
      </c>
      <c r="X85" s="9">
        <v>4</v>
      </c>
      <c r="Y85" s="9">
        <v>4</v>
      </c>
      <c r="Z85" s="9">
        <v>2</v>
      </c>
      <c r="AA85" s="9">
        <v>3</v>
      </c>
      <c r="AB85" s="9">
        <v>5</v>
      </c>
      <c r="AC85" s="9">
        <v>6</v>
      </c>
      <c r="AD85" s="9">
        <v>7</v>
      </c>
      <c r="AE85" s="9">
        <v>3</v>
      </c>
      <c r="AF85" s="9">
        <v>2</v>
      </c>
      <c r="AG85" s="9">
        <v>3</v>
      </c>
      <c r="AH85" s="9">
        <v>4</v>
      </c>
      <c r="AI85" s="9">
        <v>3</v>
      </c>
      <c r="AJ85" s="9">
        <v>0</v>
      </c>
      <c r="AK85" s="9">
        <v>3</v>
      </c>
      <c r="AL85" s="9">
        <v>0</v>
      </c>
      <c r="AM85" s="9">
        <v>1</v>
      </c>
      <c r="AN85" s="9">
        <v>0</v>
      </c>
      <c r="AO85" s="9">
        <v>2</v>
      </c>
      <c r="AP85" s="9">
        <v>1</v>
      </c>
      <c r="AQ85" s="9">
        <v>3</v>
      </c>
      <c r="AR85" s="9">
        <v>0</v>
      </c>
      <c r="AS85" s="9">
        <v>3</v>
      </c>
      <c r="AT85" s="9">
        <v>1</v>
      </c>
      <c r="AU85" s="9">
        <v>0</v>
      </c>
      <c r="AV85" s="9">
        <v>0</v>
      </c>
      <c r="AW85" s="9">
        <v>0</v>
      </c>
      <c r="AX85" s="9">
        <v>1</v>
      </c>
      <c r="AY85" s="9">
        <v>0</v>
      </c>
      <c r="AZ85" s="9">
        <v>0</v>
      </c>
      <c r="BA85" s="9">
        <v>1</v>
      </c>
      <c r="BB85" s="9">
        <v>1</v>
      </c>
      <c r="BC85" s="9">
        <v>0</v>
      </c>
      <c r="BD85" s="9">
        <v>0</v>
      </c>
      <c r="BE85" s="9">
        <v>1</v>
      </c>
      <c r="BF85" s="9">
        <v>0</v>
      </c>
      <c r="BG85" s="9">
        <v>1</v>
      </c>
      <c r="BH85" s="9">
        <v>0</v>
      </c>
      <c r="BI85" s="9">
        <v>0</v>
      </c>
      <c r="BJ85" s="9">
        <v>1</v>
      </c>
      <c r="BK85" s="9">
        <v>0</v>
      </c>
      <c r="BL85" s="9">
        <v>2</v>
      </c>
      <c r="BM85" s="9">
        <v>0</v>
      </c>
      <c r="BN85" s="9">
        <v>1</v>
      </c>
      <c r="BO85" s="9">
        <v>1</v>
      </c>
      <c r="BP85" s="9">
        <v>0</v>
      </c>
      <c r="BQ85" s="9">
        <v>0</v>
      </c>
      <c r="BR85" s="9">
        <v>0</v>
      </c>
      <c r="BS85" s="9">
        <v>0</v>
      </c>
      <c r="BT85" s="9">
        <v>1</v>
      </c>
      <c r="BU85" s="9">
        <v>0</v>
      </c>
      <c r="BV85" s="9">
        <v>0</v>
      </c>
      <c r="BW85" s="9">
        <v>0</v>
      </c>
      <c r="BX85" s="9">
        <v>1</v>
      </c>
      <c r="BY85" s="9">
        <v>0</v>
      </c>
      <c r="BZ85" s="9">
        <v>0</v>
      </c>
      <c r="CA85" s="9">
        <v>0</v>
      </c>
      <c r="CB85" s="9">
        <v>0</v>
      </c>
      <c r="CC85" s="9">
        <v>0</v>
      </c>
      <c r="CD85" s="9">
        <v>0</v>
      </c>
      <c r="CE85" s="9">
        <v>0</v>
      </c>
      <c r="CF85" s="9">
        <v>0</v>
      </c>
      <c r="CG85" s="9">
        <v>0</v>
      </c>
      <c r="CH85" s="9">
        <v>0</v>
      </c>
      <c r="CI85" s="9">
        <v>0</v>
      </c>
      <c r="CJ85" s="9">
        <v>0</v>
      </c>
      <c r="CK85" s="9">
        <v>0</v>
      </c>
      <c r="CL85" s="9">
        <v>0</v>
      </c>
      <c r="CM85" s="9">
        <v>0</v>
      </c>
      <c r="CN85" s="9">
        <v>0</v>
      </c>
      <c r="CO85" s="9">
        <v>0</v>
      </c>
      <c r="CP85" s="9">
        <v>0</v>
      </c>
      <c r="CQ85" s="9">
        <v>0</v>
      </c>
      <c r="CR85" s="9">
        <v>0</v>
      </c>
      <c r="CS85" s="9">
        <v>0</v>
      </c>
      <c r="CT85" s="9">
        <v>1</v>
      </c>
      <c r="CU85" s="9">
        <v>0</v>
      </c>
      <c r="CV85" s="9">
        <v>0</v>
      </c>
      <c r="CW85" s="9">
        <v>0</v>
      </c>
      <c r="CX85" s="9">
        <v>0</v>
      </c>
      <c r="CY85" s="9">
        <v>0</v>
      </c>
      <c r="CZ85" s="9">
        <v>0</v>
      </c>
      <c r="DA85" s="9">
        <v>0</v>
      </c>
      <c r="DB85" s="9">
        <v>0</v>
      </c>
      <c r="DC85" s="9">
        <v>0</v>
      </c>
      <c r="DD85" s="9">
        <v>0</v>
      </c>
      <c r="DE85" s="9">
        <v>0</v>
      </c>
      <c r="DF85" s="9">
        <v>0</v>
      </c>
      <c r="DG85" s="9">
        <v>0</v>
      </c>
      <c r="DH85" s="9">
        <v>0</v>
      </c>
      <c r="DI85" s="9">
        <v>0</v>
      </c>
      <c r="DJ85" s="9">
        <v>0</v>
      </c>
      <c r="DK85" s="9">
        <v>0</v>
      </c>
      <c r="DL85" s="9">
        <v>1</v>
      </c>
      <c r="DM85" s="9">
        <v>0</v>
      </c>
      <c r="DN85" s="9">
        <v>0</v>
      </c>
      <c r="DO85" s="9">
        <v>0</v>
      </c>
      <c r="DP85" s="9">
        <v>0</v>
      </c>
      <c r="DQ85" s="9">
        <v>0</v>
      </c>
      <c r="DR85" s="9">
        <v>0</v>
      </c>
      <c r="DS85" s="9">
        <v>0</v>
      </c>
      <c r="DT85" s="9">
        <v>0</v>
      </c>
      <c r="DU85" s="9">
        <v>0</v>
      </c>
      <c r="DV85" s="9">
        <v>0</v>
      </c>
      <c r="DW85" s="9">
        <v>0</v>
      </c>
      <c r="DX85" s="9">
        <v>0</v>
      </c>
      <c r="DY85" s="9">
        <v>0</v>
      </c>
      <c r="DZ85" s="9">
        <v>0</v>
      </c>
      <c r="EA85" s="9">
        <v>0</v>
      </c>
      <c r="EB85" s="9">
        <v>0</v>
      </c>
      <c r="EC85" s="9">
        <v>0</v>
      </c>
      <c r="ED85" s="9">
        <v>0</v>
      </c>
      <c r="EE85" s="9">
        <v>0</v>
      </c>
      <c r="EF85" s="9">
        <v>0</v>
      </c>
      <c r="EG85" s="9">
        <v>0</v>
      </c>
      <c r="EH85" s="9">
        <v>0</v>
      </c>
      <c r="EI85" s="10">
        <v>0</v>
      </c>
    </row>
    <row r="86" spans="1:139" x14ac:dyDescent="0.35">
      <c r="A86" s="8" t="s">
        <v>73</v>
      </c>
      <c r="B86" s="9" t="s">
        <v>158</v>
      </c>
      <c r="C86" s="9" t="s">
        <v>159</v>
      </c>
      <c r="D86" s="9">
        <f t="shared" si="1"/>
        <v>121</v>
      </c>
      <c r="E86" s="9">
        <v>0</v>
      </c>
      <c r="F86" s="9">
        <v>0</v>
      </c>
      <c r="G86" s="9">
        <v>0</v>
      </c>
      <c r="H86" s="9">
        <v>0</v>
      </c>
      <c r="I86" s="9">
        <v>0</v>
      </c>
      <c r="J86" s="9">
        <v>0</v>
      </c>
      <c r="K86" s="9">
        <v>0</v>
      </c>
      <c r="L86" s="9">
        <v>0</v>
      </c>
      <c r="M86" s="9">
        <v>0</v>
      </c>
      <c r="N86" s="9">
        <v>0</v>
      </c>
      <c r="O86" s="9">
        <v>0</v>
      </c>
      <c r="P86" s="9">
        <v>0</v>
      </c>
      <c r="Q86" s="9">
        <v>0</v>
      </c>
      <c r="R86" s="9">
        <v>1</v>
      </c>
      <c r="S86" s="9">
        <v>2</v>
      </c>
      <c r="T86" s="9">
        <v>8</v>
      </c>
      <c r="U86" s="9">
        <v>2</v>
      </c>
      <c r="V86" s="9">
        <v>9</v>
      </c>
      <c r="W86" s="9">
        <v>1</v>
      </c>
      <c r="X86" s="9">
        <v>17</v>
      </c>
      <c r="Y86" s="9">
        <v>6</v>
      </c>
      <c r="Z86" s="9">
        <v>0</v>
      </c>
      <c r="AA86" s="9">
        <v>7</v>
      </c>
      <c r="AB86" s="9">
        <v>7</v>
      </c>
      <c r="AC86" s="9">
        <v>6</v>
      </c>
      <c r="AD86" s="9">
        <v>6</v>
      </c>
      <c r="AE86" s="9">
        <v>7</v>
      </c>
      <c r="AF86" s="9">
        <v>5</v>
      </c>
      <c r="AG86" s="9">
        <v>6</v>
      </c>
      <c r="AH86" s="9">
        <v>1</v>
      </c>
      <c r="AI86" s="9">
        <v>5</v>
      </c>
      <c r="AJ86" s="9">
        <v>0</v>
      </c>
      <c r="AK86" s="9">
        <v>0</v>
      </c>
      <c r="AL86" s="9">
        <v>5</v>
      </c>
      <c r="AM86" s="9">
        <v>2</v>
      </c>
      <c r="AN86" s="9">
        <v>0</v>
      </c>
      <c r="AO86" s="9">
        <v>0</v>
      </c>
      <c r="AP86" s="9">
        <v>0</v>
      </c>
      <c r="AQ86" s="9">
        <v>0</v>
      </c>
      <c r="AR86" s="9">
        <v>0</v>
      </c>
      <c r="AS86" s="9">
        <v>1</v>
      </c>
      <c r="AT86" s="9">
        <v>0</v>
      </c>
      <c r="AU86" s="9">
        <v>0</v>
      </c>
      <c r="AV86" s="9">
        <v>0</v>
      </c>
      <c r="AW86" s="9">
        <v>0</v>
      </c>
      <c r="AX86" s="9">
        <v>0</v>
      </c>
      <c r="AY86" s="9">
        <v>0</v>
      </c>
      <c r="AZ86" s="9">
        <v>1</v>
      </c>
      <c r="BA86" s="9">
        <v>0</v>
      </c>
      <c r="BB86" s="9">
        <v>1</v>
      </c>
      <c r="BC86" s="9">
        <v>1</v>
      </c>
      <c r="BD86" s="9">
        <v>0</v>
      </c>
      <c r="BE86" s="9">
        <v>0</v>
      </c>
      <c r="BF86" s="9">
        <v>1</v>
      </c>
      <c r="BG86" s="9">
        <v>1</v>
      </c>
      <c r="BH86" s="9">
        <v>0</v>
      </c>
      <c r="BI86" s="9">
        <v>0</v>
      </c>
      <c r="BJ86" s="9">
        <v>0</v>
      </c>
      <c r="BK86" s="9">
        <v>0</v>
      </c>
      <c r="BL86" s="9">
        <v>0</v>
      </c>
      <c r="BM86" s="9">
        <v>0</v>
      </c>
      <c r="BN86" s="9">
        <v>0</v>
      </c>
      <c r="BO86" s="9">
        <v>0</v>
      </c>
      <c r="BP86" s="9">
        <v>0</v>
      </c>
      <c r="BQ86" s="9">
        <v>0</v>
      </c>
      <c r="BR86" s="9">
        <v>0</v>
      </c>
      <c r="BS86" s="9">
        <v>0</v>
      </c>
      <c r="BT86" s="9">
        <v>0</v>
      </c>
      <c r="BU86" s="9">
        <v>0</v>
      </c>
      <c r="BV86" s="9">
        <v>1</v>
      </c>
      <c r="BW86" s="9">
        <v>0</v>
      </c>
      <c r="BX86" s="9">
        <v>0</v>
      </c>
      <c r="BY86" s="9">
        <v>0</v>
      </c>
      <c r="BZ86" s="9">
        <v>0</v>
      </c>
      <c r="CA86" s="9">
        <v>0</v>
      </c>
      <c r="CB86" s="9">
        <v>0</v>
      </c>
      <c r="CC86" s="9">
        <v>0</v>
      </c>
      <c r="CD86" s="9">
        <v>0</v>
      </c>
      <c r="CE86" s="9">
        <v>1</v>
      </c>
      <c r="CF86" s="9">
        <v>0</v>
      </c>
      <c r="CG86" s="9">
        <v>0</v>
      </c>
      <c r="CH86" s="9">
        <v>0</v>
      </c>
      <c r="CI86" s="9">
        <v>0</v>
      </c>
      <c r="CJ86" s="9">
        <v>0</v>
      </c>
      <c r="CK86" s="9">
        <v>1</v>
      </c>
      <c r="CL86" s="9">
        <v>1</v>
      </c>
      <c r="CM86" s="9">
        <v>1</v>
      </c>
      <c r="CN86" s="9">
        <v>0</v>
      </c>
      <c r="CO86" s="9">
        <v>0</v>
      </c>
      <c r="CP86" s="9">
        <v>0</v>
      </c>
      <c r="CQ86" s="9">
        <v>2</v>
      </c>
      <c r="CR86" s="9">
        <v>2</v>
      </c>
      <c r="CS86" s="9">
        <v>2</v>
      </c>
      <c r="CT86" s="9">
        <v>0</v>
      </c>
      <c r="CU86" s="9">
        <v>0</v>
      </c>
      <c r="CV86" s="9">
        <v>0</v>
      </c>
      <c r="CW86" s="9">
        <v>0</v>
      </c>
      <c r="CX86" s="9">
        <v>0</v>
      </c>
      <c r="CY86" s="9">
        <v>0</v>
      </c>
      <c r="CZ86" s="9">
        <v>0</v>
      </c>
      <c r="DA86" s="9">
        <v>0</v>
      </c>
      <c r="DB86" s="9">
        <v>0</v>
      </c>
      <c r="DC86" s="9">
        <v>0</v>
      </c>
      <c r="DD86" s="9">
        <v>0</v>
      </c>
      <c r="DE86" s="9">
        <v>0</v>
      </c>
      <c r="DF86" s="9">
        <v>0</v>
      </c>
      <c r="DG86" s="9">
        <v>0</v>
      </c>
      <c r="DH86" s="9">
        <v>0</v>
      </c>
      <c r="DI86" s="9">
        <v>0</v>
      </c>
      <c r="DJ86" s="9">
        <v>0</v>
      </c>
      <c r="DK86" s="9">
        <v>1</v>
      </c>
      <c r="DL86" s="9">
        <v>0</v>
      </c>
      <c r="DM86" s="9">
        <v>0</v>
      </c>
      <c r="DN86" s="9">
        <v>0</v>
      </c>
      <c r="DO86" s="9">
        <v>0</v>
      </c>
      <c r="DP86" s="9">
        <v>0</v>
      </c>
      <c r="DQ86" s="9">
        <v>0</v>
      </c>
      <c r="DR86" s="9">
        <v>0</v>
      </c>
      <c r="DS86" s="9">
        <v>0</v>
      </c>
      <c r="DT86" s="9">
        <v>0</v>
      </c>
      <c r="DU86" s="9">
        <v>0</v>
      </c>
      <c r="DV86" s="9">
        <v>0</v>
      </c>
      <c r="DW86" s="9">
        <v>0</v>
      </c>
      <c r="DX86" s="9">
        <v>0</v>
      </c>
      <c r="DY86" s="9">
        <v>0</v>
      </c>
      <c r="DZ86" s="9">
        <v>0</v>
      </c>
      <c r="EA86" s="9">
        <v>0</v>
      </c>
      <c r="EB86" s="9">
        <v>0</v>
      </c>
      <c r="EC86" s="9">
        <v>0</v>
      </c>
      <c r="ED86" s="9">
        <v>0</v>
      </c>
      <c r="EE86" s="9">
        <v>0</v>
      </c>
      <c r="EF86" s="9">
        <v>0</v>
      </c>
      <c r="EG86" s="9">
        <v>0</v>
      </c>
      <c r="EH86" s="9">
        <v>0</v>
      </c>
      <c r="EI86" s="10">
        <v>0</v>
      </c>
    </row>
    <row r="87" spans="1:139" x14ac:dyDescent="0.35">
      <c r="A87" s="8" t="s">
        <v>73</v>
      </c>
      <c r="B87" s="9" t="s">
        <v>160</v>
      </c>
      <c r="C87" s="9" t="s">
        <v>161</v>
      </c>
      <c r="D87" s="9">
        <f t="shared" si="1"/>
        <v>12</v>
      </c>
      <c r="E87" s="9">
        <v>0</v>
      </c>
      <c r="F87" s="9">
        <v>0</v>
      </c>
      <c r="G87" s="9">
        <v>0</v>
      </c>
      <c r="H87" s="9">
        <v>0</v>
      </c>
      <c r="I87" s="9">
        <v>0</v>
      </c>
      <c r="J87" s="9">
        <v>0</v>
      </c>
      <c r="K87" s="9">
        <v>0</v>
      </c>
      <c r="L87" s="9">
        <v>0</v>
      </c>
      <c r="M87" s="9">
        <v>0</v>
      </c>
      <c r="N87" s="9">
        <v>0</v>
      </c>
      <c r="O87" s="9">
        <v>0</v>
      </c>
      <c r="P87" s="9">
        <v>0</v>
      </c>
      <c r="Q87" s="9">
        <v>0</v>
      </c>
      <c r="R87" s="9">
        <v>0</v>
      </c>
      <c r="S87" s="9">
        <v>0</v>
      </c>
      <c r="T87" s="9">
        <v>0</v>
      </c>
      <c r="U87" s="9">
        <v>0</v>
      </c>
      <c r="V87" s="9">
        <v>0</v>
      </c>
      <c r="W87" s="9">
        <v>0</v>
      </c>
      <c r="X87" s="9">
        <v>0</v>
      </c>
      <c r="Y87" s="9">
        <v>0</v>
      </c>
      <c r="Z87" s="9">
        <v>0</v>
      </c>
      <c r="AA87" s="9">
        <v>0</v>
      </c>
      <c r="AB87" s="9">
        <v>0</v>
      </c>
      <c r="AC87" s="9">
        <v>0</v>
      </c>
      <c r="AD87" s="9">
        <v>0</v>
      </c>
      <c r="AE87" s="9">
        <v>0</v>
      </c>
      <c r="AF87" s="9">
        <v>0</v>
      </c>
      <c r="AG87" s="9">
        <v>0</v>
      </c>
      <c r="AH87" s="9">
        <v>1</v>
      </c>
      <c r="AI87" s="9">
        <v>0</v>
      </c>
      <c r="AJ87" s="9">
        <v>0</v>
      </c>
      <c r="AK87" s="9">
        <v>0</v>
      </c>
      <c r="AL87" s="9">
        <v>0</v>
      </c>
      <c r="AM87" s="9">
        <v>0</v>
      </c>
      <c r="AN87" s="9">
        <v>0</v>
      </c>
      <c r="AO87" s="9">
        <v>0</v>
      </c>
      <c r="AP87" s="9">
        <v>0</v>
      </c>
      <c r="AQ87" s="9">
        <v>0</v>
      </c>
      <c r="AR87" s="9">
        <v>0</v>
      </c>
      <c r="AS87" s="9">
        <v>0</v>
      </c>
      <c r="AT87" s="9">
        <v>0</v>
      </c>
      <c r="AU87" s="9">
        <v>0</v>
      </c>
      <c r="AV87" s="9">
        <v>0</v>
      </c>
      <c r="AW87" s="9">
        <v>0</v>
      </c>
      <c r="AX87" s="9">
        <v>0</v>
      </c>
      <c r="AY87" s="9">
        <v>0</v>
      </c>
      <c r="AZ87" s="9">
        <v>0</v>
      </c>
      <c r="BA87" s="9">
        <v>2</v>
      </c>
      <c r="BB87" s="9">
        <v>0</v>
      </c>
      <c r="BC87" s="9">
        <v>0</v>
      </c>
      <c r="BD87" s="9">
        <v>0</v>
      </c>
      <c r="BE87" s="9">
        <v>0</v>
      </c>
      <c r="BF87" s="9">
        <v>0</v>
      </c>
      <c r="BG87" s="9">
        <v>0</v>
      </c>
      <c r="BH87" s="9">
        <v>9</v>
      </c>
      <c r="BI87" s="9">
        <v>0</v>
      </c>
      <c r="BJ87" s="9">
        <v>0</v>
      </c>
      <c r="BK87" s="9">
        <v>0</v>
      </c>
      <c r="BL87" s="9">
        <v>0</v>
      </c>
      <c r="BM87" s="9">
        <v>0</v>
      </c>
      <c r="BN87" s="9">
        <v>0</v>
      </c>
      <c r="BO87" s="9">
        <v>0</v>
      </c>
      <c r="BP87" s="9">
        <v>0</v>
      </c>
      <c r="BQ87" s="9">
        <v>0</v>
      </c>
      <c r="BR87" s="9">
        <v>0</v>
      </c>
      <c r="BS87" s="9">
        <v>0</v>
      </c>
      <c r="BT87" s="9">
        <v>0</v>
      </c>
      <c r="BU87" s="9">
        <v>0</v>
      </c>
      <c r="BV87" s="9">
        <v>0</v>
      </c>
      <c r="BW87" s="9">
        <v>0</v>
      </c>
      <c r="BX87" s="9">
        <v>0</v>
      </c>
      <c r="BY87" s="9">
        <v>0</v>
      </c>
      <c r="BZ87" s="9">
        <v>0</v>
      </c>
      <c r="CA87" s="9">
        <v>0</v>
      </c>
      <c r="CB87" s="9">
        <v>0</v>
      </c>
      <c r="CC87" s="9">
        <v>0</v>
      </c>
      <c r="CD87" s="9">
        <v>0</v>
      </c>
      <c r="CE87" s="9">
        <v>0</v>
      </c>
      <c r="CF87" s="9">
        <v>0</v>
      </c>
      <c r="CG87" s="9">
        <v>0</v>
      </c>
      <c r="CH87" s="9">
        <v>0</v>
      </c>
      <c r="CI87" s="9">
        <v>0</v>
      </c>
      <c r="CJ87" s="9">
        <v>0</v>
      </c>
      <c r="CK87" s="9">
        <v>0</v>
      </c>
      <c r="CL87" s="9">
        <v>0</v>
      </c>
      <c r="CM87" s="9">
        <v>0</v>
      </c>
      <c r="CN87" s="9">
        <v>0</v>
      </c>
      <c r="CO87" s="9">
        <v>0</v>
      </c>
      <c r="CP87" s="9">
        <v>0</v>
      </c>
      <c r="CQ87" s="9">
        <v>0</v>
      </c>
      <c r="CR87" s="9">
        <v>0</v>
      </c>
      <c r="CS87" s="9">
        <v>0</v>
      </c>
      <c r="CT87" s="9">
        <v>0</v>
      </c>
      <c r="CU87" s="9">
        <v>0</v>
      </c>
      <c r="CV87" s="9">
        <v>0</v>
      </c>
      <c r="CW87" s="9">
        <v>0</v>
      </c>
      <c r="CX87" s="9">
        <v>0</v>
      </c>
      <c r="CY87" s="9">
        <v>0</v>
      </c>
      <c r="CZ87" s="9">
        <v>0</v>
      </c>
      <c r="DA87" s="9">
        <v>0</v>
      </c>
      <c r="DB87" s="9">
        <v>0</v>
      </c>
      <c r="DC87" s="9">
        <v>0</v>
      </c>
      <c r="DD87" s="9">
        <v>0</v>
      </c>
      <c r="DE87" s="9">
        <v>0</v>
      </c>
      <c r="DF87" s="9">
        <v>0</v>
      </c>
      <c r="DG87" s="9">
        <v>0</v>
      </c>
      <c r="DH87" s="9">
        <v>0</v>
      </c>
      <c r="DI87" s="9">
        <v>0</v>
      </c>
      <c r="DJ87" s="9">
        <v>0</v>
      </c>
      <c r="DK87" s="9">
        <v>0</v>
      </c>
      <c r="DL87" s="9">
        <v>0</v>
      </c>
      <c r="DM87" s="9">
        <v>0</v>
      </c>
      <c r="DN87" s="9">
        <v>0</v>
      </c>
      <c r="DO87" s="9">
        <v>0</v>
      </c>
      <c r="DP87" s="9">
        <v>0</v>
      </c>
      <c r="DQ87" s="9">
        <v>0</v>
      </c>
      <c r="DR87" s="9">
        <v>0</v>
      </c>
      <c r="DS87" s="9">
        <v>0</v>
      </c>
      <c r="DT87" s="9">
        <v>0</v>
      </c>
      <c r="DU87" s="9">
        <v>0</v>
      </c>
      <c r="DV87" s="9">
        <v>0</v>
      </c>
      <c r="DW87" s="9">
        <v>0</v>
      </c>
      <c r="DX87" s="9">
        <v>0</v>
      </c>
      <c r="DY87" s="9">
        <v>0</v>
      </c>
      <c r="DZ87" s="9">
        <v>0</v>
      </c>
      <c r="EA87" s="9">
        <v>0</v>
      </c>
      <c r="EB87" s="9">
        <v>0</v>
      </c>
      <c r="EC87" s="9">
        <v>0</v>
      </c>
      <c r="ED87" s="9">
        <v>0</v>
      </c>
      <c r="EE87" s="9">
        <v>0</v>
      </c>
      <c r="EF87" s="9">
        <v>0</v>
      </c>
      <c r="EG87" s="9">
        <v>0</v>
      </c>
      <c r="EH87" s="9">
        <v>0</v>
      </c>
      <c r="EI87" s="10">
        <v>0</v>
      </c>
    </row>
    <row r="88" spans="1:139" x14ac:dyDescent="0.35">
      <c r="A88" s="8" t="s">
        <v>73</v>
      </c>
      <c r="B88" s="9" t="s">
        <v>162</v>
      </c>
      <c r="C88" s="9" t="s">
        <v>163</v>
      </c>
      <c r="D88" s="9">
        <f t="shared" si="1"/>
        <v>22</v>
      </c>
      <c r="E88" s="9">
        <v>1</v>
      </c>
      <c r="F88" s="9">
        <v>1</v>
      </c>
      <c r="G88" s="9">
        <v>0</v>
      </c>
      <c r="H88" s="9">
        <v>0</v>
      </c>
      <c r="I88" s="9">
        <v>0</v>
      </c>
      <c r="J88" s="9">
        <v>0</v>
      </c>
      <c r="K88" s="9">
        <v>0</v>
      </c>
      <c r="L88" s="9">
        <v>0</v>
      </c>
      <c r="M88" s="9">
        <v>0</v>
      </c>
      <c r="N88" s="9">
        <v>0</v>
      </c>
      <c r="O88" s="9">
        <v>0</v>
      </c>
      <c r="P88" s="9">
        <v>0</v>
      </c>
      <c r="Q88" s="9">
        <v>0</v>
      </c>
      <c r="R88" s="9">
        <v>0</v>
      </c>
      <c r="S88" s="9">
        <v>0</v>
      </c>
      <c r="T88" s="9">
        <v>0</v>
      </c>
      <c r="U88" s="9">
        <v>0</v>
      </c>
      <c r="V88" s="9">
        <v>0</v>
      </c>
      <c r="W88" s="9">
        <v>0</v>
      </c>
      <c r="X88" s="9">
        <v>0</v>
      </c>
      <c r="Y88" s="9">
        <v>1</v>
      </c>
      <c r="Z88" s="9">
        <v>1</v>
      </c>
      <c r="AA88" s="9">
        <v>1</v>
      </c>
      <c r="AB88" s="9">
        <v>1</v>
      </c>
      <c r="AC88" s="9">
        <v>2</v>
      </c>
      <c r="AD88" s="9">
        <v>0</v>
      </c>
      <c r="AE88" s="9">
        <v>1</v>
      </c>
      <c r="AF88" s="9">
        <v>1</v>
      </c>
      <c r="AG88" s="9">
        <v>0</v>
      </c>
      <c r="AH88" s="9">
        <v>2</v>
      </c>
      <c r="AI88" s="9">
        <v>0</v>
      </c>
      <c r="AJ88" s="9">
        <v>0</v>
      </c>
      <c r="AK88" s="9">
        <v>1</v>
      </c>
      <c r="AL88" s="9">
        <v>1</v>
      </c>
      <c r="AM88" s="9">
        <v>0</v>
      </c>
      <c r="AN88" s="9">
        <v>0</v>
      </c>
      <c r="AO88" s="9">
        <v>0</v>
      </c>
      <c r="AP88" s="9">
        <v>1</v>
      </c>
      <c r="AQ88" s="9">
        <v>0</v>
      </c>
      <c r="AR88" s="9">
        <v>0</v>
      </c>
      <c r="AS88" s="9">
        <v>1</v>
      </c>
      <c r="AT88" s="9">
        <v>2</v>
      </c>
      <c r="AU88" s="9">
        <v>0</v>
      </c>
      <c r="AV88" s="9">
        <v>0</v>
      </c>
      <c r="AW88" s="9">
        <v>0</v>
      </c>
      <c r="AX88" s="9">
        <v>0</v>
      </c>
      <c r="AY88" s="9">
        <v>0</v>
      </c>
      <c r="AZ88" s="9">
        <v>0</v>
      </c>
      <c r="BA88" s="9">
        <v>0</v>
      </c>
      <c r="BB88" s="9">
        <v>0</v>
      </c>
      <c r="BC88" s="9">
        <v>0</v>
      </c>
      <c r="BD88" s="9">
        <v>0</v>
      </c>
      <c r="BE88" s="9">
        <v>0</v>
      </c>
      <c r="BF88" s="9">
        <v>0</v>
      </c>
      <c r="BG88" s="9">
        <v>0</v>
      </c>
      <c r="BH88" s="9">
        <v>0</v>
      </c>
      <c r="BI88" s="9">
        <v>0</v>
      </c>
      <c r="BJ88" s="9">
        <v>0</v>
      </c>
      <c r="BK88" s="9">
        <v>0</v>
      </c>
      <c r="BL88" s="9">
        <v>0</v>
      </c>
      <c r="BM88" s="9">
        <v>1</v>
      </c>
      <c r="BN88" s="9">
        <v>0</v>
      </c>
      <c r="BO88" s="9">
        <v>0</v>
      </c>
      <c r="BP88" s="9">
        <v>0</v>
      </c>
      <c r="BQ88" s="9">
        <v>0</v>
      </c>
      <c r="BR88" s="9">
        <v>0</v>
      </c>
      <c r="BS88" s="9">
        <v>0</v>
      </c>
      <c r="BT88" s="9">
        <v>0</v>
      </c>
      <c r="BU88" s="9">
        <v>0</v>
      </c>
      <c r="BV88" s="9">
        <v>0</v>
      </c>
      <c r="BW88" s="9">
        <v>0</v>
      </c>
      <c r="BX88" s="9">
        <v>0</v>
      </c>
      <c r="BY88" s="9">
        <v>0</v>
      </c>
      <c r="BZ88" s="9">
        <v>0</v>
      </c>
      <c r="CA88" s="9">
        <v>0</v>
      </c>
      <c r="CB88" s="9">
        <v>0</v>
      </c>
      <c r="CC88" s="9">
        <v>1</v>
      </c>
      <c r="CD88" s="9">
        <v>0</v>
      </c>
      <c r="CE88" s="9">
        <v>0</v>
      </c>
      <c r="CF88" s="9">
        <v>0</v>
      </c>
      <c r="CG88" s="9">
        <v>0</v>
      </c>
      <c r="CH88" s="9">
        <v>0</v>
      </c>
      <c r="CI88" s="9">
        <v>0</v>
      </c>
      <c r="CJ88" s="9">
        <v>0</v>
      </c>
      <c r="CK88" s="9">
        <v>1</v>
      </c>
      <c r="CL88" s="9">
        <v>0</v>
      </c>
      <c r="CM88" s="9">
        <v>0</v>
      </c>
      <c r="CN88" s="9">
        <v>0</v>
      </c>
      <c r="CO88" s="9">
        <v>0</v>
      </c>
      <c r="CP88" s="9">
        <v>0</v>
      </c>
      <c r="CQ88" s="9">
        <v>0</v>
      </c>
      <c r="CR88" s="9">
        <v>0</v>
      </c>
      <c r="CS88" s="9">
        <v>0</v>
      </c>
      <c r="CT88" s="9">
        <v>0</v>
      </c>
      <c r="CU88" s="9">
        <v>0</v>
      </c>
      <c r="CV88" s="9">
        <v>0</v>
      </c>
      <c r="CW88" s="9">
        <v>0</v>
      </c>
      <c r="CX88" s="9">
        <v>0</v>
      </c>
      <c r="CY88" s="9">
        <v>0</v>
      </c>
      <c r="CZ88" s="9">
        <v>0</v>
      </c>
      <c r="DA88" s="9">
        <v>0</v>
      </c>
      <c r="DB88" s="9">
        <v>0</v>
      </c>
      <c r="DC88" s="9">
        <v>0</v>
      </c>
      <c r="DD88" s="9">
        <v>0</v>
      </c>
      <c r="DE88" s="9">
        <v>0</v>
      </c>
      <c r="DF88" s="9">
        <v>0</v>
      </c>
      <c r="DG88" s="9">
        <v>0</v>
      </c>
      <c r="DH88" s="9">
        <v>0</v>
      </c>
      <c r="DI88" s="9">
        <v>0</v>
      </c>
      <c r="DJ88" s="9">
        <v>0</v>
      </c>
      <c r="DK88" s="9">
        <v>0</v>
      </c>
      <c r="DL88" s="9">
        <v>0</v>
      </c>
      <c r="DM88" s="9">
        <v>0</v>
      </c>
      <c r="DN88" s="9">
        <v>0</v>
      </c>
      <c r="DO88" s="9">
        <v>0</v>
      </c>
      <c r="DP88" s="9">
        <v>0</v>
      </c>
      <c r="DQ88" s="9">
        <v>1</v>
      </c>
      <c r="DR88" s="9">
        <v>0</v>
      </c>
      <c r="DS88" s="9">
        <v>0</v>
      </c>
      <c r="DT88" s="9">
        <v>0</v>
      </c>
      <c r="DU88" s="9">
        <v>0</v>
      </c>
      <c r="DV88" s="9">
        <v>0</v>
      </c>
      <c r="DW88" s="9">
        <v>0</v>
      </c>
      <c r="DX88" s="9">
        <v>0</v>
      </c>
      <c r="DY88" s="9">
        <v>0</v>
      </c>
      <c r="DZ88" s="9">
        <v>0</v>
      </c>
      <c r="EA88" s="9">
        <v>0</v>
      </c>
      <c r="EB88" s="9">
        <v>0</v>
      </c>
      <c r="EC88" s="9">
        <v>0</v>
      </c>
      <c r="ED88" s="9">
        <v>0</v>
      </c>
      <c r="EE88" s="9">
        <v>0</v>
      </c>
      <c r="EF88" s="9">
        <v>0</v>
      </c>
      <c r="EG88" s="9">
        <v>0</v>
      </c>
      <c r="EH88" s="9">
        <v>0</v>
      </c>
      <c r="EI88" s="10">
        <v>0</v>
      </c>
    </row>
    <row r="89" spans="1:139" x14ac:dyDescent="0.35">
      <c r="A89" s="8" t="s">
        <v>73</v>
      </c>
      <c r="B89" s="9" t="s">
        <v>164</v>
      </c>
      <c r="C89" s="9" t="s">
        <v>165</v>
      </c>
      <c r="D89" s="9">
        <f t="shared" si="1"/>
        <v>9</v>
      </c>
      <c r="E89" s="9">
        <v>1</v>
      </c>
      <c r="F89" s="9">
        <v>0</v>
      </c>
      <c r="G89" s="9">
        <v>0</v>
      </c>
      <c r="H89" s="9">
        <v>0</v>
      </c>
      <c r="I89" s="9">
        <v>0</v>
      </c>
      <c r="J89" s="9">
        <v>0</v>
      </c>
      <c r="K89" s="9">
        <v>0</v>
      </c>
      <c r="L89" s="9">
        <v>0</v>
      </c>
      <c r="M89" s="9">
        <v>0</v>
      </c>
      <c r="N89" s="9">
        <v>0</v>
      </c>
      <c r="O89" s="9">
        <v>0</v>
      </c>
      <c r="P89" s="9">
        <v>0</v>
      </c>
      <c r="Q89" s="9">
        <v>0</v>
      </c>
      <c r="R89" s="9">
        <v>0</v>
      </c>
      <c r="S89" s="9">
        <v>0</v>
      </c>
      <c r="T89" s="9">
        <v>0</v>
      </c>
      <c r="U89" s="9">
        <v>0</v>
      </c>
      <c r="V89" s="9">
        <v>0</v>
      </c>
      <c r="W89" s="9">
        <v>0</v>
      </c>
      <c r="X89" s="9">
        <v>4</v>
      </c>
      <c r="Y89" s="9">
        <v>0</v>
      </c>
      <c r="Z89" s="9">
        <v>0</v>
      </c>
      <c r="AA89" s="9">
        <v>0</v>
      </c>
      <c r="AB89" s="9">
        <v>0</v>
      </c>
      <c r="AC89" s="9">
        <v>0</v>
      </c>
      <c r="AD89" s="9">
        <v>0</v>
      </c>
      <c r="AE89" s="9">
        <v>0</v>
      </c>
      <c r="AF89" s="9">
        <v>2</v>
      </c>
      <c r="AG89" s="9">
        <v>0</v>
      </c>
      <c r="AH89" s="9">
        <v>1</v>
      </c>
      <c r="AI89" s="9">
        <v>0</v>
      </c>
      <c r="AJ89" s="9">
        <v>0</v>
      </c>
      <c r="AK89" s="9">
        <v>0</v>
      </c>
      <c r="AL89" s="9">
        <v>0</v>
      </c>
      <c r="AM89" s="9">
        <v>0</v>
      </c>
      <c r="AN89" s="9">
        <v>0</v>
      </c>
      <c r="AO89" s="9">
        <v>0</v>
      </c>
      <c r="AP89" s="9">
        <v>0</v>
      </c>
      <c r="AQ89" s="9">
        <v>0</v>
      </c>
      <c r="AR89" s="9">
        <v>0</v>
      </c>
      <c r="AS89" s="9">
        <v>0</v>
      </c>
      <c r="AT89" s="9">
        <v>0</v>
      </c>
      <c r="AU89" s="9">
        <v>0</v>
      </c>
      <c r="AV89" s="9">
        <v>0</v>
      </c>
      <c r="AW89" s="9">
        <v>0</v>
      </c>
      <c r="AX89" s="9">
        <v>0</v>
      </c>
      <c r="AY89" s="9">
        <v>1</v>
      </c>
      <c r="AZ89" s="9">
        <v>0</v>
      </c>
      <c r="BA89" s="9">
        <v>0</v>
      </c>
      <c r="BB89" s="9">
        <v>0</v>
      </c>
      <c r="BC89" s="9">
        <v>0</v>
      </c>
      <c r="BD89" s="9">
        <v>0</v>
      </c>
      <c r="BE89" s="9">
        <v>0</v>
      </c>
      <c r="BF89" s="9">
        <v>0</v>
      </c>
      <c r="BG89" s="9">
        <v>0</v>
      </c>
      <c r="BH89" s="9">
        <v>0</v>
      </c>
      <c r="BI89" s="9">
        <v>0</v>
      </c>
      <c r="BJ89" s="9">
        <v>0</v>
      </c>
      <c r="BK89" s="9">
        <v>0</v>
      </c>
      <c r="BL89" s="9">
        <v>0</v>
      </c>
      <c r="BM89" s="9">
        <v>0</v>
      </c>
      <c r="BN89" s="9">
        <v>0</v>
      </c>
      <c r="BO89" s="9">
        <v>0</v>
      </c>
      <c r="BP89" s="9">
        <v>0</v>
      </c>
      <c r="BQ89" s="9">
        <v>0</v>
      </c>
      <c r="BR89" s="9">
        <v>0</v>
      </c>
      <c r="BS89" s="9">
        <v>0</v>
      </c>
      <c r="BT89" s="9">
        <v>0</v>
      </c>
      <c r="BU89" s="9">
        <v>0</v>
      </c>
      <c r="BV89" s="9">
        <v>0</v>
      </c>
      <c r="BW89" s="9">
        <v>0</v>
      </c>
      <c r="BX89" s="9">
        <v>0</v>
      </c>
      <c r="BY89" s="9">
        <v>0</v>
      </c>
      <c r="BZ89" s="9">
        <v>0</v>
      </c>
      <c r="CA89" s="9">
        <v>0</v>
      </c>
      <c r="CB89" s="9">
        <v>0</v>
      </c>
      <c r="CC89" s="9">
        <v>0</v>
      </c>
      <c r="CD89" s="9">
        <v>0</v>
      </c>
      <c r="CE89" s="9">
        <v>0</v>
      </c>
      <c r="CF89" s="9">
        <v>0</v>
      </c>
      <c r="CG89" s="9">
        <v>0</v>
      </c>
      <c r="CH89" s="9">
        <v>0</v>
      </c>
      <c r="CI89" s="9">
        <v>0</v>
      </c>
      <c r="CJ89" s="9">
        <v>0</v>
      </c>
      <c r="CK89" s="9">
        <v>0</v>
      </c>
      <c r="CL89" s="9">
        <v>0</v>
      </c>
      <c r="CM89" s="9">
        <v>0</v>
      </c>
      <c r="CN89" s="9">
        <v>0</v>
      </c>
      <c r="CO89" s="9">
        <v>0</v>
      </c>
      <c r="CP89" s="9">
        <v>0</v>
      </c>
      <c r="CQ89" s="9">
        <v>0</v>
      </c>
      <c r="CR89" s="9">
        <v>0</v>
      </c>
      <c r="CS89" s="9">
        <v>0</v>
      </c>
      <c r="CT89" s="9">
        <v>0</v>
      </c>
      <c r="CU89" s="9">
        <v>0</v>
      </c>
      <c r="CV89" s="9">
        <v>0</v>
      </c>
      <c r="CW89" s="9">
        <v>0</v>
      </c>
      <c r="CX89" s="9">
        <v>0</v>
      </c>
      <c r="CY89" s="9">
        <v>0</v>
      </c>
      <c r="CZ89" s="9">
        <v>0</v>
      </c>
      <c r="DA89" s="9">
        <v>0</v>
      </c>
      <c r="DB89" s="9">
        <v>0</v>
      </c>
      <c r="DC89" s="9">
        <v>0</v>
      </c>
      <c r="DD89" s="9">
        <v>0</v>
      </c>
      <c r="DE89" s="9">
        <v>0</v>
      </c>
      <c r="DF89" s="9">
        <v>0</v>
      </c>
      <c r="DG89" s="9">
        <v>0</v>
      </c>
      <c r="DH89" s="9">
        <v>0</v>
      </c>
      <c r="DI89" s="9">
        <v>0</v>
      </c>
      <c r="DJ89" s="9">
        <v>0</v>
      </c>
      <c r="DK89" s="9">
        <v>0</v>
      </c>
      <c r="DL89" s="9">
        <v>0</v>
      </c>
      <c r="DM89" s="9">
        <v>0</v>
      </c>
      <c r="DN89" s="9">
        <v>0</v>
      </c>
      <c r="DO89" s="9">
        <v>0</v>
      </c>
      <c r="DP89" s="9">
        <v>0</v>
      </c>
      <c r="DQ89" s="9">
        <v>0</v>
      </c>
      <c r="DR89" s="9">
        <v>0</v>
      </c>
      <c r="DS89" s="9">
        <v>0</v>
      </c>
      <c r="DT89" s="9">
        <v>0</v>
      </c>
      <c r="DU89" s="9">
        <v>0</v>
      </c>
      <c r="DV89" s="9">
        <v>0</v>
      </c>
      <c r="DW89" s="9">
        <v>0</v>
      </c>
      <c r="DX89" s="9">
        <v>0</v>
      </c>
      <c r="DY89" s="9">
        <v>0</v>
      </c>
      <c r="DZ89" s="9">
        <v>0</v>
      </c>
      <c r="EA89" s="9">
        <v>0</v>
      </c>
      <c r="EB89" s="9">
        <v>0</v>
      </c>
      <c r="EC89" s="9">
        <v>0</v>
      </c>
      <c r="ED89" s="9">
        <v>0</v>
      </c>
      <c r="EE89" s="9">
        <v>0</v>
      </c>
      <c r="EF89" s="9">
        <v>0</v>
      </c>
      <c r="EG89" s="9">
        <v>0</v>
      </c>
      <c r="EH89" s="9">
        <v>0</v>
      </c>
      <c r="EI89" s="10">
        <v>0</v>
      </c>
    </row>
    <row r="90" spans="1:139" x14ac:dyDescent="0.35">
      <c r="A90" s="8" t="s">
        <v>73</v>
      </c>
      <c r="B90" s="9" t="s">
        <v>166</v>
      </c>
      <c r="C90" s="9" t="s">
        <v>167</v>
      </c>
      <c r="D90" s="9">
        <f t="shared" si="1"/>
        <v>44</v>
      </c>
      <c r="E90" s="9">
        <v>0</v>
      </c>
      <c r="F90" s="9">
        <v>0</v>
      </c>
      <c r="G90" s="9">
        <v>0</v>
      </c>
      <c r="H90" s="9">
        <v>0</v>
      </c>
      <c r="I90" s="9">
        <v>0</v>
      </c>
      <c r="J90" s="9">
        <v>0</v>
      </c>
      <c r="K90" s="9">
        <v>0</v>
      </c>
      <c r="L90" s="9">
        <v>0</v>
      </c>
      <c r="M90" s="9">
        <v>0</v>
      </c>
      <c r="N90" s="9">
        <v>0</v>
      </c>
      <c r="O90" s="9">
        <v>0</v>
      </c>
      <c r="P90" s="9">
        <v>0</v>
      </c>
      <c r="Q90" s="9">
        <v>0</v>
      </c>
      <c r="R90" s="9">
        <v>0</v>
      </c>
      <c r="S90" s="9">
        <v>0</v>
      </c>
      <c r="T90" s="9">
        <v>0</v>
      </c>
      <c r="U90" s="9">
        <v>0</v>
      </c>
      <c r="V90" s="9">
        <v>0</v>
      </c>
      <c r="W90" s="9">
        <v>0</v>
      </c>
      <c r="X90" s="9">
        <v>6</v>
      </c>
      <c r="Y90" s="9">
        <v>5</v>
      </c>
      <c r="Z90" s="9">
        <v>2</v>
      </c>
      <c r="AA90" s="9">
        <v>2</v>
      </c>
      <c r="AB90" s="9">
        <v>3</v>
      </c>
      <c r="AC90" s="9">
        <v>0</v>
      </c>
      <c r="AD90" s="9">
        <v>2</v>
      </c>
      <c r="AE90" s="9">
        <v>3</v>
      </c>
      <c r="AF90" s="9">
        <v>2</v>
      </c>
      <c r="AG90" s="9">
        <v>0</v>
      </c>
      <c r="AH90" s="9">
        <v>0</v>
      </c>
      <c r="AI90" s="9">
        <v>0</v>
      </c>
      <c r="AJ90" s="9">
        <v>0</v>
      </c>
      <c r="AK90" s="9">
        <v>0</v>
      </c>
      <c r="AL90" s="9">
        <v>2</v>
      </c>
      <c r="AM90" s="9">
        <v>2</v>
      </c>
      <c r="AN90" s="9">
        <v>3</v>
      </c>
      <c r="AO90" s="9">
        <v>3</v>
      </c>
      <c r="AP90" s="9">
        <v>3</v>
      </c>
      <c r="AQ90" s="9">
        <v>0</v>
      </c>
      <c r="AR90" s="9">
        <v>0</v>
      </c>
      <c r="AS90" s="9">
        <v>0</v>
      </c>
      <c r="AT90" s="9">
        <v>0</v>
      </c>
      <c r="AU90" s="9">
        <v>0</v>
      </c>
      <c r="AV90" s="9">
        <v>0</v>
      </c>
      <c r="AW90" s="9">
        <v>0</v>
      </c>
      <c r="AX90" s="9">
        <v>0</v>
      </c>
      <c r="AY90" s="9">
        <v>2</v>
      </c>
      <c r="AZ90" s="9">
        <v>1</v>
      </c>
      <c r="BA90" s="9">
        <v>0</v>
      </c>
      <c r="BB90" s="9">
        <v>0</v>
      </c>
      <c r="BC90" s="9">
        <v>0</v>
      </c>
      <c r="BD90" s="9">
        <v>0</v>
      </c>
      <c r="BE90" s="9">
        <v>0</v>
      </c>
      <c r="BF90" s="9">
        <v>0</v>
      </c>
      <c r="BG90" s="9">
        <v>1</v>
      </c>
      <c r="BH90" s="9">
        <v>1</v>
      </c>
      <c r="BI90" s="9">
        <v>0</v>
      </c>
      <c r="BJ90" s="9">
        <v>0</v>
      </c>
      <c r="BK90" s="9">
        <v>0</v>
      </c>
      <c r="BL90" s="9">
        <v>1</v>
      </c>
      <c r="BM90" s="9">
        <v>0</v>
      </c>
      <c r="BN90" s="9">
        <v>0</v>
      </c>
      <c r="BO90" s="9">
        <v>0</v>
      </c>
      <c r="BP90" s="9">
        <v>0</v>
      </c>
      <c r="BQ90" s="9">
        <v>0</v>
      </c>
      <c r="BR90" s="9">
        <v>0</v>
      </c>
      <c r="BS90" s="9">
        <v>0</v>
      </c>
      <c r="BT90" s="9">
        <v>0</v>
      </c>
      <c r="BU90" s="9">
        <v>0</v>
      </c>
      <c r="BV90" s="9">
        <v>0</v>
      </c>
      <c r="BW90" s="9">
        <v>0</v>
      </c>
      <c r="BX90" s="9">
        <v>0</v>
      </c>
      <c r="BY90" s="9">
        <v>0</v>
      </c>
      <c r="BZ90" s="9">
        <v>0</v>
      </c>
      <c r="CA90" s="9">
        <v>0</v>
      </c>
      <c r="CB90" s="9">
        <v>0</v>
      </c>
      <c r="CC90" s="9">
        <v>0</v>
      </c>
      <c r="CD90" s="9">
        <v>0</v>
      </c>
      <c r="CE90" s="9">
        <v>0</v>
      </c>
      <c r="CF90" s="9">
        <v>0</v>
      </c>
      <c r="CG90" s="9">
        <v>0</v>
      </c>
      <c r="CH90" s="9">
        <v>0</v>
      </c>
      <c r="CI90" s="9">
        <v>0</v>
      </c>
      <c r="CJ90" s="9">
        <v>0</v>
      </c>
      <c r="CK90" s="9">
        <v>0</v>
      </c>
      <c r="CL90" s="9">
        <v>0</v>
      </c>
      <c r="CM90" s="9">
        <v>0</v>
      </c>
      <c r="CN90" s="9">
        <v>0</v>
      </c>
      <c r="CO90" s="9">
        <v>0</v>
      </c>
      <c r="CP90" s="9">
        <v>0</v>
      </c>
      <c r="CQ90" s="9">
        <v>0</v>
      </c>
      <c r="CR90" s="9">
        <v>0</v>
      </c>
      <c r="CS90" s="9">
        <v>0</v>
      </c>
      <c r="CT90" s="9">
        <v>0</v>
      </c>
      <c r="CU90" s="9">
        <v>0</v>
      </c>
      <c r="CV90" s="9">
        <v>0</v>
      </c>
      <c r="CW90" s="9">
        <v>0</v>
      </c>
      <c r="CX90" s="9">
        <v>0</v>
      </c>
      <c r="CY90" s="9">
        <v>0</v>
      </c>
      <c r="CZ90" s="9">
        <v>0</v>
      </c>
      <c r="DA90" s="9">
        <v>0</v>
      </c>
      <c r="DB90" s="9">
        <v>0</v>
      </c>
      <c r="DC90" s="9">
        <v>0</v>
      </c>
      <c r="DD90" s="9">
        <v>0</v>
      </c>
      <c r="DE90" s="9">
        <v>0</v>
      </c>
      <c r="DF90" s="9">
        <v>0</v>
      </c>
      <c r="DG90" s="9">
        <v>0</v>
      </c>
      <c r="DH90" s="9">
        <v>0</v>
      </c>
      <c r="DI90" s="9">
        <v>0</v>
      </c>
      <c r="DJ90" s="9">
        <v>0</v>
      </c>
      <c r="DK90" s="9">
        <v>0</v>
      </c>
      <c r="DL90" s="9">
        <v>0</v>
      </c>
      <c r="DM90" s="9">
        <v>0</v>
      </c>
      <c r="DN90" s="9">
        <v>0</v>
      </c>
      <c r="DO90" s="9">
        <v>0</v>
      </c>
      <c r="DP90" s="9">
        <v>0</v>
      </c>
      <c r="DQ90" s="9">
        <v>0</v>
      </c>
      <c r="DR90" s="9">
        <v>0</v>
      </c>
      <c r="DS90" s="9">
        <v>0</v>
      </c>
      <c r="DT90" s="9">
        <v>0</v>
      </c>
      <c r="DU90" s="9">
        <v>0</v>
      </c>
      <c r="DV90" s="9">
        <v>0</v>
      </c>
      <c r="DW90" s="9">
        <v>0</v>
      </c>
      <c r="DX90" s="9">
        <v>0</v>
      </c>
      <c r="DY90" s="9">
        <v>0</v>
      </c>
      <c r="DZ90" s="9">
        <v>0</v>
      </c>
      <c r="EA90" s="9">
        <v>0</v>
      </c>
      <c r="EB90" s="9">
        <v>0</v>
      </c>
      <c r="EC90" s="9">
        <v>0</v>
      </c>
      <c r="ED90" s="9">
        <v>0</v>
      </c>
      <c r="EE90" s="9">
        <v>0</v>
      </c>
      <c r="EF90" s="9">
        <v>0</v>
      </c>
      <c r="EG90" s="9">
        <v>0</v>
      </c>
      <c r="EH90" s="9">
        <v>0</v>
      </c>
      <c r="EI90" s="10">
        <v>0</v>
      </c>
    </row>
    <row r="91" spans="1:139" x14ac:dyDescent="0.35">
      <c r="A91" s="8" t="s">
        <v>73</v>
      </c>
      <c r="B91" s="9" t="s">
        <v>168</v>
      </c>
      <c r="C91" s="9" t="s">
        <v>169</v>
      </c>
      <c r="D91" s="9">
        <f t="shared" si="1"/>
        <v>481</v>
      </c>
      <c r="E91" s="9">
        <v>1</v>
      </c>
      <c r="F91" s="9">
        <v>2</v>
      </c>
      <c r="G91" s="9">
        <v>0</v>
      </c>
      <c r="H91" s="9">
        <v>0</v>
      </c>
      <c r="I91" s="9">
        <v>0</v>
      </c>
      <c r="J91" s="9">
        <v>0</v>
      </c>
      <c r="K91" s="9">
        <v>0</v>
      </c>
      <c r="L91" s="9">
        <v>0</v>
      </c>
      <c r="M91" s="9">
        <v>0</v>
      </c>
      <c r="N91" s="9">
        <v>0</v>
      </c>
      <c r="O91" s="9">
        <v>0</v>
      </c>
      <c r="P91" s="9">
        <v>0</v>
      </c>
      <c r="Q91" s="9">
        <v>0</v>
      </c>
      <c r="R91" s="9">
        <v>0</v>
      </c>
      <c r="S91" s="9">
        <v>12</v>
      </c>
      <c r="T91" s="9">
        <v>3</v>
      </c>
      <c r="U91" s="9">
        <v>10</v>
      </c>
      <c r="V91" s="9">
        <v>10</v>
      </c>
      <c r="W91" s="9">
        <v>19</v>
      </c>
      <c r="X91" s="9">
        <v>19</v>
      </c>
      <c r="Y91" s="9">
        <v>16</v>
      </c>
      <c r="Z91" s="9">
        <v>23</v>
      </c>
      <c r="AA91" s="9">
        <v>20</v>
      </c>
      <c r="AB91" s="9">
        <v>14</v>
      </c>
      <c r="AC91" s="9">
        <v>15</v>
      </c>
      <c r="AD91" s="9">
        <v>13</v>
      </c>
      <c r="AE91" s="9">
        <v>11</v>
      </c>
      <c r="AF91" s="9">
        <v>9</v>
      </c>
      <c r="AG91" s="9">
        <v>9</v>
      </c>
      <c r="AH91" s="9">
        <v>15</v>
      </c>
      <c r="AI91" s="9">
        <v>7</v>
      </c>
      <c r="AJ91" s="9">
        <v>7</v>
      </c>
      <c r="AK91" s="9">
        <v>11</v>
      </c>
      <c r="AL91" s="9">
        <v>8</v>
      </c>
      <c r="AM91" s="9">
        <v>10</v>
      </c>
      <c r="AN91" s="9">
        <v>4</v>
      </c>
      <c r="AO91" s="9">
        <v>7</v>
      </c>
      <c r="AP91" s="9">
        <v>7</v>
      </c>
      <c r="AQ91" s="9">
        <v>6</v>
      </c>
      <c r="AR91" s="9">
        <v>8</v>
      </c>
      <c r="AS91" s="9">
        <v>3</v>
      </c>
      <c r="AT91" s="9">
        <v>3</v>
      </c>
      <c r="AU91" s="9">
        <v>3</v>
      </c>
      <c r="AV91" s="9">
        <v>4</v>
      </c>
      <c r="AW91" s="9">
        <v>3</v>
      </c>
      <c r="AX91" s="9">
        <v>6</v>
      </c>
      <c r="AY91" s="9">
        <v>2</v>
      </c>
      <c r="AZ91" s="9">
        <v>4</v>
      </c>
      <c r="BA91" s="9">
        <v>0</v>
      </c>
      <c r="BB91" s="9">
        <v>3</v>
      </c>
      <c r="BC91" s="9">
        <v>2</v>
      </c>
      <c r="BD91" s="9">
        <v>2</v>
      </c>
      <c r="BE91" s="9">
        <v>4</v>
      </c>
      <c r="BF91" s="9">
        <v>6</v>
      </c>
      <c r="BG91" s="9">
        <v>4</v>
      </c>
      <c r="BH91" s="9">
        <v>6</v>
      </c>
      <c r="BI91" s="9">
        <v>2</v>
      </c>
      <c r="BJ91" s="9">
        <v>2</v>
      </c>
      <c r="BK91" s="9">
        <v>2</v>
      </c>
      <c r="BL91" s="9">
        <v>1</v>
      </c>
      <c r="BM91" s="9">
        <v>3</v>
      </c>
      <c r="BN91" s="9">
        <v>3</v>
      </c>
      <c r="BO91" s="9">
        <v>4</v>
      </c>
      <c r="BP91" s="9">
        <v>5</v>
      </c>
      <c r="BQ91" s="9">
        <v>5</v>
      </c>
      <c r="BR91" s="9">
        <v>5</v>
      </c>
      <c r="BS91" s="9">
        <v>7</v>
      </c>
      <c r="BT91" s="9">
        <v>2</v>
      </c>
      <c r="BU91" s="9">
        <v>0</v>
      </c>
      <c r="BV91" s="9">
        <v>1</v>
      </c>
      <c r="BW91" s="9">
        <v>0</v>
      </c>
      <c r="BX91" s="9">
        <v>1</v>
      </c>
      <c r="BY91" s="9">
        <v>4</v>
      </c>
      <c r="BZ91" s="9">
        <v>2</v>
      </c>
      <c r="CA91" s="9">
        <v>0</v>
      </c>
      <c r="CB91" s="9">
        <v>0</v>
      </c>
      <c r="CC91" s="9">
        <v>0</v>
      </c>
      <c r="CD91" s="9">
        <v>0</v>
      </c>
      <c r="CE91" s="9">
        <v>0</v>
      </c>
      <c r="CF91" s="9">
        <v>0</v>
      </c>
      <c r="CG91" s="9">
        <v>2</v>
      </c>
      <c r="CH91" s="9">
        <v>6</v>
      </c>
      <c r="CI91" s="9">
        <v>2</v>
      </c>
      <c r="CJ91" s="9">
        <v>1</v>
      </c>
      <c r="CK91" s="9">
        <v>0</v>
      </c>
      <c r="CL91" s="9">
        <v>2</v>
      </c>
      <c r="CM91" s="9">
        <v>0</v>
      </c>
      <c r="CN91" s="9">
        <v>0</v>
      </c>
      <c r="CO91" s="9">
        <v>2</v>
      </c>
      <c r="CP91" s="9">
        <v>0</v>
      </c>
      <c r="CQ91" s="9">
        <v>4</v>
      </c>
      <c r="CR91" s="9">
        <v>2</v>
      </c>
      <c r="CS91" s="9">
        <v>2</v>
      </c>
      <c r="CT91" s="9">
        <v>3</v>
      </c>
      <c r="CU91" s="9">
        <v>0</v>
      </c>
      <c r="CV91" s="9">
        <v>2</v>
      </c>
      <c r="CW91" s="9">
        <v>6</v>
      </c>
      <c r="CX91" s="9">
        <v>10</v>
      </c>
      <c r="CY91" s="9">
        <v>5</v>
      </c>
      <c r="CZ91" s="9">
        <v>0</v>
      </c>
      <c r="DA91" s="9">
        <v>0</v>
      </c>
      <c r="DB91" s="9">
        <v>1</v>
      </c>
      <c r="DC91" s="9">
        <v>0</v>
      </c>
      <c r="DD91" s="9">
        <v>0</v>
      </c>
      <c r="DE91" s="9">
        <v>1</v>
      </c>
      <c r="DF91" s="9">
        <v>0</v>
      </c>
      <c r="DG91" s="9">
        <v>1</v>
      </c>
      <c r="DH91" s="9">
        <v>0</v>
      </c>
      <c r="DI91" s="9">
        <v>1</v>
      </c>
      <c r="DJ91" s="9">
        <v>2</v>
      </c>
      <c r="DK91" s="9">
        <v>1</v>
      </c>
      <c r="DL91" s="9">
        <v>4</v>
      </c>
      <c r="DM91" s="9">
        <v>2</v>
      </c>
      <c r="DN91" s="9">
        <v>0</v>
      </c>
      <c r="DO91" s="9">
        <v>1</v>
      </c>
      <c r="DP91" s="9">
        <v>2</v>
      </c>
      <c r="DQ91" s="9">
        <v>1</v>
      </c>
      <c r="DR91" s="9">
        <v>2</v>
      </c>
      <c r="DS91" s="9">
        <v>0</v>
      </c>
      <c r="DT91" s="9">
        <v>2</v>
      </c>
      <c r="DU91" s="9">
        <v>1</v>
      </c>
      <c r="DV91" s="9">
        <v>0</v>
      </c>
      <c r="DW91" s="9">
        <v>0</v>
      </c>
      <c r="DX91" s="9">
        <v>0</v>
      </c>
      <c r="DY91" s="9">
        <v>0</v>
      </c>
      <c r="DZ91" s="9">
        <v>0</v>
      </c>
      <c r="EA91" s="9">
        <v>4</v>
      </c>
      <c r="EB91" s="9">
        <v>0</v>
      </c>
      <c r="EC91" s="9">
        <v>1</v>
      </c>
      <c r="ED91" s="9">
        <v>2</v>
      </c>
      <c r="EE91" s="9">
        <v>0</v>
      </c>
      <c r="EF91" s="9">
        <v>0</v>
      </c>
      <c r="EG91" s="9">
        <v>3</v>
      </c>
      <c r="EH91" s="9">
        <v>0</v>
      </c>
      <c r="EI91" s="10">
        <v>0</v>
      </c>
    </row>
    <row r="92" spans="1:139" x14ac:dyDescent="0.35">
      <c r="A92" s="8" t="s">
        <v>73</v>
      </c>
      <c r="B92" s="9" t="s">
        <v>170</v>
      </c>
      <c r="C92" s="9" t="s">
        <v>171</v>
      </c>
      <c r="D92" s="9">
        <f t="shared" si="1"/>
        <v>131</v>
      </c>
      <c r="E92" s="9">
        <v>0</v>
      </c>
      <c r="F92" s="9">
        <v>0</v>
      </c>
      <c r="G92" s="9">
        <v>0</v>
      </c>
      <c r="H92" s="9">
        <v>0</v>
      </c>
      <c r="I92" s="9">
        <v>1</v>
      </c>
      <c r="J92" s="9">
        <v>0</v>
      </c>
      <c r="K92" s="9">
        <v>0</v>
      </c>
      <c r="L92" s="9">
        <v>0</v>
      </c>
      <c r="M92" s="9">
        <v>0</v>
      </c>
      <c r="N92" s="9">
        <v>0</v>
      </c>
      <c r="O92" s="9">
        <v>0</v>
      </c>
      <c r="P92" s="9">
        <v>0</v>
      </c>
      <c r="Q92" s="9">
        <v>3</v>
      </c>
      <c r="R92" s="9">
        <v>0</v>
      </c>
      <c r="S92" s="9">
        <v>0</v>
      </c>
      <c r="T92" s="9">
        <v>2</v>
      </c>
      <c r="U92" s="9">
        <v>1</v>
      </c>
      <c r="V92" s="9">
        <v>0</v>
      </c>
      <c r="W92" s="9">
        <v>0</v>
      </c>
      <c r="X92" s="9">
        <v>3</v>
      </c>
      <c r="Y92" s="9">
        <v>7</v>
      </c>
      <c r="Z92" s="9">
        <v>7</v>
      </c>
      <c r="AA92" s="9">
        <v>0</v>
      </c>
      <c r="AB92" s="9">
        <v>1</v>
      </c>
      <c r="AC92" s="9">
        <v>6</v>
      </c>
      <c r="AD92" s="9">
        <v>4</v>
      </c>
      <c r="AE92" s="9">
        <v>1</v>
      </c>
      <c r="AF92" s="9">
        <v>3</v>
      </c>
      <c r="AG92" s="9">
        <v>4</v>
      </c>
      <c r="AH92" s="9">
        <v>0</v>
      </c>
      <c r="AI92" s="9">
        <v>1</v>
      </c>
      <c r="AJ92" s="9">
        <v>3</v>
      </c>
      <c r="AK92" s="9">
        <v>3</v>
      </c>
      <c r="AL92" s="9">
        <v>1</v>
      </c>
      <c r="AM92" s="9">
        <v>2</v>
      </c>
      <c r="AN92" s="9">
        <v>2</v>
      </c>
      <c r="AO92" s="9">
        <v>0</v>
      </c>
      <c r="AP92" s="9">
        <v>0</v>
      </c>
      <c r="AQ92" s="9">
        <v>0</v>
      </c>
      <c r="AR92" s="9">
        <v>3</v>
      </c>
      <c r="AS92" s="9">
        <v>3</v>
      </c>
      <c r="AT92" s="9">
        <v>8</v>
      </c>
      <c r="AU92" s="9">
        <v>3</v>
      </c>
      <c r="AV92" s="9">
        <v>3</v>
      </c>
      <c r="AW92" s="9">
        <v>2</v>
      </c>
      <c r="AX92" s="9">
        <v>0</v>
      </c>
      <c r="AY92" s="9">
        <v>0</v>
      </c>
      <c r="AZ92" s="9">
        <v>2</v>
      </c>
      <c r="BA92" s="9">
        <v>6</v>
      </c>
      <c r="BB92" s="9">
        <v>3</v>
      </c>
      <c r="BC92" s="9">
        <v>4</v>
      </c>
      <c r="BD92" s="9">
        <v>4</v>
      </c>
      <c r="BE92" s="9">
        <v>3</v>
      </c>
      <c r="BF92" s="9">
        <v>2</v>
      </c>
      <c r="BG92" s="9">
        <v>1</v>
      </c>
      <c r="BH92" s="9">
        <v>1</v>
      </c>
      <c r="BI92" s="9">
        <v>1</v>
      </c>
      <c r="BJ92" s="9">
        <v>1</v>
      </c>
      <c r="BK92" s="9">
        <v>1</v>
      </c>
      <c r="BL92" s="9">
        <v>1</v>
      </c>
      <c r="BM92" s="9">
        <v>0</v>
      </c>
      <c r="BN92" s="9">
        <v>0</v>
      </c>
      <c r="BO92" s="9">
        <v>4</v>
      </c>
      <c r="BP92" s="9">
        <v>2</v>
      </c>
      <c r="BQ92" s="9">
        <v>1</v>
      </c>
      <c r="BR92" s="9">
        <v>1</v>
      </c>
      <c r="BS92" s="9">
        <v>1</v>
      </c>
      <c r="BT92" s="9">
        <v>1</v>
      </c>
      <c r="BU92" s="9">
        <v>0</v>
      </c>
      <c r="BV92" s="9">
        <v>0</v>
      </c>
      <c r="BW92" s="9">
        <v>0</v>
      </c>
      <c r="BX92" s="9">
        <v>0</v>
      </c>
      <c r="BY92" s="9">
        <v>1</v>
      </c>
      <c r="BZ92" s="9">
        <v>0</v>
      </c>
      <c r="CA92" s="9">
        <v>0</v>
      </c>
      <c r="CB92" s="9">
        <v>1</v>
      </c>
      <c r="CC92" s="9">
        <v>0</v>
      </c>
      <c r="CD92" s="9">
        <v>1</v>
      </c>
      <c r="CE92" s="9">
        <v>1</v>
      </c>
      <c r="CF92" s="9">
        <v>1</v>
      </c>
      <c r="CG92" s="9">
        <v>1</v>
      </c>
      <c r="CH92" s="9">
        <v>1</v>
      </c>
      <c r="CI92" s="9">
        <v>1</v>
      </c>
      <c r="CJ92" s="9">
        <v>2</v>
      </c>
      <c r="CK92" s="9">
        <v>0</v>
      </c>
      <c r="CL92" s="9">
        <v>0</v>
      </c>
      <c r="CM92" s="9">
        <v>0</v>
      </c>
      <c r="CN92" s="9">
        <v>0</v>
      </c>
      <c r="CO92" s="9">
        <v>0</v>
      </c>
      <c r="CP92" s="9">
        <v>0</v>
      </c>
      <c r="CQ92" s="9">
        <v>0</v>
      </c>
      <c r="CR92" s="9">
        <v>0</v>
      </c>
      <c r="CS92" s="9">
        <v>0</v>
      </c>
      <c r="CT92" s="9">
        <v>0</v>
      </c>
      <c r="CU92" s="9">
        <v>0</v>
      </c>
      <c r="CV92" s="9">
        <v>0</v>
      </c>
      <c r="CW92" s="9">
        <v>0</v>
      </c>
      <c r="CX92" s="9">
        <v>0</v>
      </c>
      <c r="CY92" s="9">
        <v>0</v>
      </c>
      <c r="CZ92" s="9">
        <v>1</v>
      </c>
      <c r="DA92" s="9">
        <v>1</v>
      </c>
      <c r="DB92" s="9">
        <v>1</v>
      </c>
      <c r="DC92" s="9">
        <v>0</v>
      </c>
      <c r="DD92" s="9">
        <v>0</v>
      </c>
      <c r="DE92" s="9">
        <v>0</v>
      </c>
      <c r="DF92" s="9">
        <v>0</v>
      </c>
      <c r="DG92" s="9">
        <v>0</v>
      </c>
      <c r="DH92" s="9">
        <v>0</v>
      </c>
      <c r="DI92" s="9">
        <v>0</v>
      </c>
      <c r="DJ92" s="9">
        <v>0</v>
      </c>
      <c r="DK92" s="9">
        <v>0</v>
      </c>
      <c r="DL92" s="9">
        <v>0</v>
      </c>
      <c r="DM92" s="9">
        <v>0</v>
      </c>
      <c r="DN92" s="9">
        <v>0</v>
      </c>
      <c r="DO92" s="9">
        <v>0</v>
      </c>
      <c r="DP92" s="9">
        <v>0</v>
      </c>
      <c r="DQ92" s="9">
        <v>0</v>
      </c>
      <c r="DR92" s="9">
        <v>0</v>
      </c>
      <c r="DS92" s="9">
        <v>0</v>
      </c>
      <c r="DT92" s="9">
        <v>0</v>
      </c>
      <c r="DU92" s="9">
        <v>0</v>
      </c>
      <c r="DV92" s="9">
        <v>0</v>
      </c>
      <c r="DW92" s="9">
        <v>0</v>
      </c>
      <c r="DX92" s="9">
        <v>1</v>
      </c>
      <c r="DY92" s="9">
        <v>0</v>
      </c>
      <c r="DZ92" s="9">
        <v>0</v>
      </c>
      <c r="EA92" s="9">
        <v>0</v>
      </c>
      <c r="EB92" s="9">
        <v>0</v>
      </c>
      <c r="EC92" s="9">
        <v>0</v>
      </c>
      <c r="ED92" s="9">
        <v>0</v>
      </c>
      <c r="EE92" s="9">
        <v>0</v>
      </c>
      <c r="EF92" s="9">
        <v>0</v>
      </c>
      <c r="EG92" s="9">
        <v>0</v>
      </c>
      <c r="EH92" s="9">
        <v>0</v>
      </c>
      <c r="EI92" s="10">
        <v>0</v>
      </c>
    </row>
    <row r="93" spans="1:139" x14ac:dyDescent="0.35">
      <c r="A93" s="8" t="s">
        <v>73</v>
      </c>
      <c r="B93" s="9" t="s">
        <v>172</v>
      </c>
      <c r="C93" s="9" t="s">
        <v>173</v>
      </c>
      <c r="D93" s="9">
        <f t="shared" si="1"/>
        <v>7</v>
      </c>
      <c r="E93" s="9">
        <v>1</v>
      </c>
      <c r="F93" s="9">
        <v>0</v>
      </c>
      <c r="G93" s="9">
        <v>0</v>
      </c>
      <c r="H93" s="9">
        <v>0</v>
      </c>
      <c r="I93" s="9">
        <v>0</v>
      </c>
      <c r="J93" s="9">
        <v>0</v>
      </c>
      <c r="K93" s="9">
        <v>0</v>
      </c>
      <c r="L93" s="9">
        <v>0</v>
      </c>
      <c r="M93" s="9">
        <v>0</v>
      </c>
      <c r="N93" s="9">
        <v>0</v>
      </c>
      <c r="O93" s="9">
        <v>0</v>
      </c>
      <c r="P93" s="9">
        <v>0</v>
      </c>
      <c r="Q93" s="9">
        <v>0</v>
      </c>
      <c r="R93" s="9">
        <v>0</v>
      </c>
      <c r="S93" s="9">
        <v>0</v>
      </c>
      <c r="T93" s="9">
        <v>0</v>
      </c>
      <c r="U93" s="9">
        <v>0</v>
      </c>
      <c r="V93" s="9">
        <v>0</v>
      </c>
      <c r="W93" s="9">
        <v>0</v>
      </c>
      <c r="X93" s="9">
        <v>1</v>
      </c>
      <c r="Y93" s="9">
        <v>0</v>
      </c>
      <c r="Z93" s="9">
        <v>1</v>
      </c>
      <c r="AA93" s="9">
        <v>0</v>
      </c>
      <c r="AB93" s="9">
        <v>0</v>
      </c>
      <c r="AC93" s="9">
        <v>1</v>
      </c>
      <c r="AD93" s="9">
        <v>1</v>
      </c>
      <c r="AE93" s="9">
        <v>1</v>
      </c>
      <c r="AF93" s="9">
        <v>0</v>
      </c>
      <c r="AG93" s="9">
        <v>0</v>
      </c>
      <c r="AH93" s="9">
        <v>0</v>
      </c>
      <c r="AI93" s="9">
        <v>0</v>
      </c>
      <c r="AJ93" s="9">
        <v>0</v>
      </c>
      <c r="AK93" s="9">
        <v>0</v>
      </c>
      <c r="AL93" s="9">
        <v>0</v>
      </c>
      <c r="AM93" s="9">
        <v>0</v>
      </c>
      <c r="AN93" s="9">
        <v>0</v>
      </c>
      <c r="AO93" s="9">
        <v>0</v>
      </c>
      <c r="AP93" s="9">
        <v>0</v>
      </c>
      <c r="AQ93" s="9">
        <v>0</v>
      </c>
      <c r="AR93" s="9">
        <v>0</v>
      </c>
      <c r="AS93" s="9">
        <v>0</v>
      </c>
      <c r="AT93" s="9">
        <v>0</v>
      </c>
      <c r="AU93" s="9">
        <v>0</v>
      </c>
      <c r="AV93" s="9">
        <v>0</v>
      </c>
      <c r="AW93" s="9">
        <v>0</v>
      </c>
      <c r="AX93" s="9">
        <v>0</v>
      </c>
      <c r="AY93" s="9">
        <v>0</v>
      </c>
      <c r="AZ93" s="9">
        <v>0</v>
      </c>
      <c r="BA93" s="9">
        <v>0</v>
      </c>
      <c r="BB93" s="9">
        <v>0</v>
      </c>
      <c r="BC93" s="9">
        <v>1</v>
      </c>
      <c r="BD93" s="9">
        <v>0</v>
      </c>
      <c r="BE93" s="9">
        <v>0</v>
      </c>
      <c r="BF93" s="9">
        <v>0</v>
      </c>
      <c r="BG93" s="9">
        <v>0</v>
      </c>
      <c r="BH93" s="9">
        <v>0</v>
      </c>
      <c r="BI93" s="9">
        <v>0</v>
      </c>
      <c r="BJ93" s="9">
        <v>0</v>
      </c>
      <c r="BK93" s="9">
        <v>0</v>
      </c>
      <c r="BL93" s="9">
        <v>0</v>
      </c>
      <c r="BM93" s="9">
        <v>0</v>
      </c>
      <c r="BN93" s="9">
        <v>0</v>
      </c>
      <c r="BO93" s="9">
        <v>0</v>
      </c>
      <c r="BP93" s="9">
        <v>0</v>
      </c>
      <c r="BQ93" s="9">
        <v>0</v>
      </c>
      <c r="BR93" s="9">
        <v>0</v>
      </c>
      <c r="BS93" s="9">
        <v>0</v>
      </c>
      <c r="BT93" s="9">
        <v>0</v>
      </c>
      <c r="BU93" s="9">
        <v>0</v>
      </c>
      <c r="BV93" s="9">
        <v>0</v>
      </c>
      <c r="BW93" s="9">
        <v>0</v>
      </c>
      <c r="BX93" s="9">
        <v>0</v>
      </c>
      <c r="BY93" s="9">
        <v>0</v>
      </c>
      <c r="BZ93" s="9">
        <v>0</v>
      </c>
      <c r="CA93" s="9">
        <v>0</v>
      </c>
      <c r="CB93" s="9">
        <v>0</v>
      </c>
      <c r="CC93" s="9">
        <v>0</v>
      </c>
      <c r="CD93" s="9">
        <v>0</v>
      </c>
      <c r="CE93" s="9">
        <v>0</v>
      </c>
      <c r="CF93" s="9">
        <v>0</v>
      </c>
      <c r="CG93" s="9">
        <v>0</v>
      </c>
      <c r="CH93" s="9">
        <v>0</v>
      </c>
      <c r="CI93" s="9">
        <v>0</v>
      </c>
      <c r="CJ93" s="9">
        <v>0</v>
      </c>
      <c r="CK93" s="9">
        <v>0</v>
      </c>
      <c r="CL93" s="9">
        <v>0</v>
      </c>
      <c r="CM93" s="9">
        <v>0</v>
      </c>
      <c r="CN93" s="9">
        <v>0</v>
      </c>
      <c r="CO93" s="9">
        <v>0</v>
      </c>
      <c r="CP93" s="9">
        <v>0</v>
      </c>
      <c r="CQ93" s="9">
        <v>0</v>
      </c>
      <c r="CR93" s="9">
        <v>0</v>
      </c>
      <c r="CS93" s="9">
        <v>0</v>
      </c>
      <c r="CT93" s="9">
        <v>0</v>
      </c>
      <c r="CU93" s="9">
        <v>0</v>
      </c>
      <c r="CV93" s="9">
        <v>0</v>
      </c>
      <c r="CW93" s="9">
        <v>0</v>
      </c>
      <c r="CX93" s="9">
        <v>0</v>
      </c>
      <c r="CY93" s="9">
        <v>0</v>
      </c>
      <c r="CZ93" s="9">
        <v>0</v>
      </c>
      <c r="DA93" s="9">
        <v>0</v>
      </c>
      <c r="DB93" s="9">
        <v>0</v>
      </c>
      <c r="DC93" s="9">
        <v>0</v>
      </c>
      <c r="DD93" s="9">
        <v>0</v>
      </c>
      <c r="DE93" s="9">
        <v>0</v>
      </c>
      <c r="DF93" s="9">
        <v>0</v>
      </c>
      <c r="DG93" s="9">
        <v>0</v>
      </c>
      <c r="DH93" s="9">
        <v>0</v>
      </c>
      <c r="DI93" s="9">
        <v>0</v>
      </c>
      <c r="DJ93" s="9">
        <v>0</v>
      </c>
      <c r="DK93" s="9">
        <v>0</v>
      </c>
      <c r="DL93" s="9">
        <v>0</v>
      </c>
      <c r="DM93" s="9">
        <v>0</v>
      </c>
      <c r="DN93" s="9">
        <v>0</v>
      </c>
      <c r="DO93" s="9">
        <v>0</v>
      </c>
      <c r="DP93" s="9">
        <v>0</v>
      </c>
      <c r="DQ93" s="9">
        <v>0</v>
      </c>
      <c r="DR93" s="9">
        <v>0</v>
      </c>
      <c r="DS93" s="9">
        <v>0</v>
      </c>
      <c r="DT93" s="9">
        <v>0</v>
      </c>
      <c r="DU93" s="9">
        <v>0</v>
      </c>
      <c r="DV93" s="9">
        <v>0</v>
      </c>
      <c r="DW93" s="9">
        <v>0</v>
      </c>
      <c r="DX93" s="9">
        <v>0</v>
      </c>
      <c r="DY93" s="9">
        <v>0</v>
      </c>
      <c r="DZ93" s="9">
        <v>0</v>
      </c>
      <c r="EA93" s="9">
        <v>0</v>
      </c>
      <c r="EB93" s="9">
        <v>0</v>
      </c>
      <c r="EC93" s="9">
        <v>0</v>
      </c>
      <c r="ED93" s="9">
        <v>0</v>
      </c>
      <c r="EE93" s="9">
        <v>0</v>
      </c>
      <c r="EF93" s="9">
        <v>0</v>
      </c>
      <c r="EG93" s="9">
        <v>0</v>
      </c>
      <c r="EH93" s="9">
        <v>0</v>
      </c>
      <c r="EI93" s="10">
        <v>0</v>
      </c>
    </row>
    <row r="94" spans="1:139" x14ac:dyDescent="0.35">
      <c r="A94" s="8" t="s">
        <v>174</v>
      </c>
      <c r="B94" s="9" t="s">
        <v>175</v>
      </c>
      <c r="C94" s="9" t="s">
        <v>176</v>
      </c>
      <c r="D94" s="9">
        <f t="shared" si="1"/>
        <v>0</v>
      </c>
      <c r="E94" s="9">
        <v>0</v>
      </c>
      <c r="F94" s="9">
        <v>0</v>
      </c>
      <c r="G94" s="9">
        <v>0</v>
      </c>
      <c r="H94" s="9">
        <v>0</v>
      </c>
      <c r="I94" s="9">
        <v>0</v>
      </c>
      <c r="J94" s="9">
        <v>0</v>
      </c>
      <c r="K94" s="9">
        <v>0</v>
      </c>
      <c r="L94" s="9">
        <v>0</v>
      </c>
      <c r="M94" s="9">
        <v>0</v>
      </c>
      <c r="N94" s="9">
        <v>0</v>
      </c>
      <c r="O94" s="9">
        <v>0</v>
      </c>
      <c r="P94" s="9">
        <v>0</v>
      </c>
      <c r="Q94" s="9">
        <v>0</v>
      </c>
      <c r="R94" s="9">
        <v>0</v>
      </c>
      <c r="S94" s="9">
        <v>0</v>
      </c>
      <c r="T94" s="9">
        <v>0</v>
      </c>
      <c r="U94" s="9">
        <v>0</v>
      </c>
      <c r="V94" s="9">
        <v>0</v>
      </c>
      <c r="W94" s="9">
        <v>0</v>
      </c>
      <c r="X94" s="9">
        <v>0</v>
      </c>
      <c r="Y94" s="9">
        <v>0</v>
      </c>
      <c r="Z94" s="9">
        <v>0</v>
      </c>
      <c r="AA94" s="9">
        <v>0</v>
      </c>
      <c r="AB94" s="9">
        <v>0</v>
      </c>
      <c r="AC94" s="9">
        <v>0</v>
      </c>
      <c r="AD94" s="9">
        <v>0</v>
      </c>
      <c r="AE94" s="9">
        <v>0</v>
      </c>
      <c r="AF94" s="9">
        <v>0</v>
      </c>
      <c r="AG94" s="9">
        <v>0</v>
      </c>
      <c r="AH94" s="9">
        <v>0</v>
      </c>
      <c r="AI94" s="9">
        <v>0</v>
      </c>
      <c r="AJ94" s="9">
        <v>0</v>
      </c>
      <c r="AK94" s="9">
        <v>0</v>
      </c>
      <c r="AL94" s="9">
        <v>0</v>
      </c>
      <c r="AM94" s="9">
        <v>0</v>
      </c>
      <c r="AN94" s="9">
        <v>0</v>
      </c>
      <c r="AO94" s="9">
        <v>0</v>
      </c>
      <c r="AP94" s="9">
        <v>0</v>
      </c>
      <c r="AQ94" s="9">
        <v>0</v>
      </c>
      <c r="AR94" s="9">
        <v>0</v>
      </c>
      <c r="AS94" s="9">
        <v>0</v>
      </c>
      <c r="AT94" s="9">
        <v>0</v>
      </c>
      <c r="AU94" s="9">
        <v>0</v>
      </c>
      <c r="AV94" s="9">
        <v>0</v>
      </c>
      <c r="AW94" s="9">
        <v>0</v>
      </c>
      <c r="AX94" s="9">
        <v>0</v>
      </c>
      <c r="AY94" s="9">
        <v>0</v>
      </c>
      <c r="AZ94" s="9">
        <v>0</v>
      </c>
      <c r="BA94" s="9">
        <v>0</v>
      </c>
      <c r="BB94" s="9">
        <v>0</v>
      </c>
      <c r="BC94" s="9">
        <v>0</v>
      </c>
      <c r="BD94" s="9">
        <v>0</v>
      </c>
      <c r="BE94" s="9">
        <v>0</v>
      </c>
      <c r="BF94" s="9">
        <v>0</v>
      </c>
      <c r="BG94" s="9">
        <v>0</v>
      </c>
      <c r="BH94" s="9">
        <v>0</v>
      </c>
      <c r="BI94" s="9">
        <v>0</v>
      </c>
      <c r="BJ94" s="9">
        <v>0</v>
      </c>
      <c r="BK94" s="9">
        <v>0</v>
      </c>
      <c r="BL94" s="9">
        <v>0</v>
      </c>
      <c r="BM94" s="9">
        <v>0</v>
      </c>
      <c r="BN94" s="9">
        <v>0</v>
      </c>
      <c r="BO94" s="9">
        <v>0</v>
      </c>
      <c r="BP94" s="9">
        <v>0</v>
      </c>
      <c r="BQ94" s="9">
        <v>0</v>
      </c>
      <c r="BR94" s="9">
        <v>0</v>
      </c>
      <c r="BS94" s="9">
        <v>0</v>
      </c>
      <c r="BT94" s="9">
        <v>0</v>
      </c>
      <c r="BU94" s="9">
        <v>0</v>
      </c>
      <c r="BV94" s="9">
        <v>0</v>
      </c>
      <c r="BW94" s="9">
        <v>0</v>
      </c>
      <c r="BX94" s="9">
        <v>0</v>
      </c>
      <c r="BY94" s="9">
        <v>0</v>
      </c>
      <c r="BZ94" s="9">
        <v>0</v>
      </c>
      <c r="CA94" s="9">
        <v>0</v>
      </c>
      <c r="CB94" s="9">
        <v>0</v>
      </c>
      <c r="CC94" s="9">
        <v>0</v>
      </c>
      <c r="CD94" s="9">
        <v>0</v>
      </c>
      <c r="CE94" s="9">
        <v>0</v>
      </c>
      <c r="CF94" s="9">
        <v>0</v>
      </c>
      <c r="CG94" s="9">
        <v>0</v>
      </c>
      <c r="CH94" s="9">
        <v>0</v>
      </c>
      <c r="CI94" s="9">
        <v>0</v>
      </c>
      <c r="CJ94" s="9">
        <v>0</v>
      </c>
      <c r="CK94" s="9">
        <v>0</v>
      </c>
      <c r="CL94" s="9">
        <v>0</v>
      </c>
      <c r="CM94" s="9">
        <v>0</v>
      </c>
      <c r="CN94" s="9">
        <v>0</v>
      </c>
      <c r="CO94" s="9">
        <v>0</v>
      </c>
      <c r="CP94" s="9">
        <v>0</v>
      </c>
      <c r="CQ94" s="9">
        <v>0</v>
      </c>
      <c r="CR94" s="9">
        <v>0</v>
      </c>
      <c r="CS94" s="9">
        <v>0</v>
      </c>
      <c r="CT94" s="9">
        <v>0</v>
      </c>
      <c r="CU94" s="9">
        <v>0</v>
      </c>
      <c r="CV94" s="9">
        <v>0</v>
      </c>
      <c r="CW94" s="9">
        <v>0</v>
      </c>
      <c r="CX94" s="9">
        <v>0</v>
      </c>
      <c r="CY94" s="9">
        <v>0</v>
      </c>
      <c r="CZ94" s="9">
        <v>0</v>
      </c>
      <c r="DA94" s="9">
        <v>0</v>
      </c>
      <c r="DB94" s="9">
        <v>0</v>
      </c>
      <c r="DC94" s="9">
        <v>0</v>
      </c>
      <c r="DD94" s="9">
        <v>0</v>
      </c>
      <c r="DE94" s="9">
        <v>0</v>
      </c>
      <c r="DF94" s="9">
        <v>0</v>
      </c>
      <c r="DG94" s="9">
        <v>0</v>
      </c>
      <c r="DH94" s="9">
        <v>0</v>
      </c>
      <c r="DI94" s="9">
        <v>0</v>
      </c>
      <c r="DJ94" s="9">
        <v>0</v>
      </c>
      <c r="DK94" s="9">
        <v>0</v>
      </c>
      <c r="DL94" s="9">
        <v>0</v>
      </c>
      <c r="DM94" s="9">
        <v>0</v>
      </c>
      <c r="DN94" s="9">
        <v>0</v>
      </c>
      <c r="DO94" s="9">
        <v>0</v>
      </c>
      <c r="DP94" s="9">
        <v>0</v>
      </c>
      <c r="DQ94" s="9">
        <v>0</v>
      </c>
      <c r="DR94" s="9">
        <v>0</v>
      </c>
      <c r="DS94" s="9">
        <v>0</v>
      </c>
      <c r="DT94" s="9">
        <v>0</v>
      </c>
      <c r="DU94" s="9">
        <v>0</v>
      </c>
      <c r="DV94" s="9">
        <v>0</v>
      </c>
      <c r="DW94" s="9">
        <v>0</v>
      </c>
      <c r="DX94" s="9">
        <v>0</v>
      </c>
      <c r="DY94" s="9">
        <v>0</v>
      </c>
      <c r="DZ94" s="9">
        <v>0</v>
      </c>
      <c r="EA94" s="9">
        <v>0</v>
      </c>
      <c r="EB94" s="9">
        <v>0</v>
      </c>
      <c r="EC94" s="9">
        <v>0</v>
      </c>
      <c r="ED94" s="9">
        <v>0</v>
      </c>
      <c r="EE94" s="9">
        <v>0</v>
      </c>
      <c r="EF94" s="9">
        <v>0</v>
      </c>
      <c r="EG94" s="9">
        <v>0</v>
      </c>
      <c r="EH94" s="9">
        <v>0</v>
      </c>
      <c r="EI94" s="10">
        <v>0</v>
      </c>
    </row>
    <row r="95" spans="1:139" x14ac:dyDescent="0.35">
      <c r="A95" s="8" t="s">
        <v>174</v>
      </c>
      <c r="B95" s="9" t="s">
        <v>177</v>
      </c>
      <c r="C95" s="9" t="s">
        <v>178</v>
      </c>
      <c r="D95" s="9">
        <f t="shared" si="1"/>
        <v>0</v>
      </c>
      <c r="E95" s="9">
        <v>0</v>
      </c>
      <c r="F95" s="9">
        <v>0</v>
      </c>
      <c r="G95" s="9">
        <v>0</v>
      </c>
      <c r="H95" s="9">
        <v>0</v>
      </c>
      <c r="I95" s="9">
        <v>0</v>
      </c>
      <c r="J95" s="9">
        <v>0</v>
      </c>
      <c r="K95" s="9">
        <v>0</v>
      </c>
      <c r="L95" s="9">
        <v>0</v>
      </c>
      <c r="M95" s="9">
        <v>0</v>
      </c>
      <c r="N95" s="9">
        <v>0</v>
      </c>
      <c r="O95" s="9">
        <v>0</v>
      </c>
      <c r="P95" s="9">
        <v>0</v>
      </c>
      <c r="Q95" s="9">
        <v>0</v>
      </c>
      <c r="R95" s="9">
        <v>0</v>
      </c>
      <c r="S95" s="9">
        <v>0</v>
      </c>
      <c r="T95" s="9">
        <v>0</v>
      </c>
      <c r="U95" s="9">
        <v>0</v>
      </c>
      <c r="V95" s="9">
        <v>0</v>
      </c>
      <c r="W95" s="9">
        <v>0</v>
      </c>
      <c r="X95" s="9">
        <v>0</v>
      </c>
      <c r="Y95" s="9">
        <v>0</v>
      </c>
      <c r="Z95" s="9">
        <v>0</v>
      </c>
      <c r="AA95" s="9">
        <v>0</v>
      </c>
      <c r="AB95" s="9">
        <v>0</v>
      </c>
      <c r="AC95" s="9">
        <v>0</v>
      </c>
      <c r="AD95" s="9">
        <v>0</v>
      </c>
      <c r="AE95" s="9">
        <v>0</v>
      </c>
      <c r="AF95" s="9">
        <v>0</v>
      </c>
      <c r="AG95" s="9">
        <v>0</v>
      </c>
      <c r="AH95" s="9">
        <v>0</v>
      </c>
      <c r="AI95" s="9">
        <v>0</v>
      </c>
      <c r="AJ95" s="9">
        <v>0</v>
      </c>
      <c r="AK95" s="9">
        <v>0</v>
      </c>
      <c r="AL95" s="9">
        <v>0</v>
      </c>
      <c r="AM95" s="9">
        <v>0</v>
      </c>
      <c r="AN95" s="9">
        <v>0</v>
      </c>
      <c r="AO95" s="9">
        <v>0</v>
      </c>
      <c r="AP95" s="9">
        <v>0</v>
      </c>
      <c r="AQ95" s="9">
        <v>0</v>
      </c>
      <c r="AR95" s="9">
        <v>0</v>
      </c>
      <c r="AS95" s="9">
        <v>0</v>
      </c>
      <c r="AT95" s="9">
        <v>0</v>
      </c>
      <c r="AU95" s="9">
        <v>0</v>
      </c>
      <c r="AV95" s="9">
        <v>0</v>
      </c>
      <c r="AW95" s="9">
        <v>0</v>
      </c>
      <c r="AX95" s="9">
        <v>0</v>
      </c>
      <c r="AY95" s="9">
        <v>0</v>
      </c>
      <c r="AZ95" s="9">
        <v>0</v>
      </c>
      <c r="BA95" s="9">
        <v>0</v>
      </c>
      <c r="BB95" s="9">
        <v>0</v>
      </c>
      <c r="BC95" s="9">
        <v>0</v>
      </c>
      <c r="BD95" s="9">
        <v>0</v>
      </c>
      <c r="BE95" s="9">
        <v>0</v>
      </c>
      <c r="BF95" s="9">
        <v>0</v>
      </c>
      <c r="BG95" s="9">
        <v>0</v>
      </c>
      <c r="BH95" s="9">
        <v>0</v>
      </c>
      <c r="BI95" s="9">
        <v>0</v>
      </c>
      <c r="BJ95" s="9">
        <v>0</v>
      </c>
      <c r="BK95" s="9">
        <v>0</v>
      </c>
      <c r="BL95" s="9">
        <v>0</v>
      </c>
      <c r="BM95" s="9">
        <v>0</v>
      </c>
      <c r="BN95" s="9">
        <v>0</v>
      </c>
      <c r="BO95" s="9">
        <v>0</v>
      </c>
      <c r="BP95" s="9">
        <v>0</v>
      </c>
      <c r="BQ95" s="9">
        <v>0</v>
      </c>
      <c r="BR95" s="9">
        <v>0</v>
      </c>
      <c r="BS95" s="9">
        <v>0</v>
      </c>
      <c r="BT95" s="9">
        <v>0</v>
      </c>
      <c r="BU95" s="9">
        <v>0</v>
      </c>
      <c r="BV95" s="9">
        <v>0</v>
      </c>
      <c r="BW95" s="9">
        <v>0</v>
      </c>
      <c r="BX95" s="9">
        <v>0</v>
      </c>
      <c r="BY95" s="9">
        <v>0</v>
      </c>
      <c r="BZ95" s="9">
        <v>0</v>
      </c>
      <c r="CA95" s="9">
        <v>0</v>
      </c>
      <c r="CB95" s="9">
        <v>0</v>
      </c>
      <c r="CC95" s="9">
        <v>0</v>
      </c>
      <c r="CD95" s="9">
        <v>0</v>
      </c>
      <c r="CE95" s="9">
        <v>0</v>
      </c>
      <c r="CF95" s="9">
        <v>0</v>
      </c>
      <c r="CG95" s="9">
        <v>0</v>
      </c>
      <c r="CH95" s="9">
        <v>0</v>
      </c>
      <c r="CI95" s="9">
        <v>0</v>
      </c>
      <c r="CJ95" s="9">
        <v>0</v>
      </c>
      <c r="CK95" s="9">
        <v>0</v>
      </c>
      <c r="CL95" s="9">
        <v>0</v>
      </c>
      <c r="CM95" s="9">
        <v>0</v>
      </c>
      <c r="CN95" s="9">
        <v>0</v>
      </c>
      <c r="CO95" s="9">
        <v>0</v>
      </c>
      <c r="CP95" s="9">
        <v>0</v>
      </c>
      <c r="CQ95" s="9">
        <v>0</v>
      </c>
      <c r="CR95" s="9">
        <v>0</v>
      </c>
      <c r="CS95" s="9">
        <v>0</v>
      </c>
      <c r="CT95" s="9">
        <v>0</v>
      </c>
      <c r="CU95" s="9">
        <v>0</v>
      </c>
      <c r="CV95" s="9">
        <v>0</v>
      </c>
      <c r="CW95" s="9">
        <v>0</v>
      </c>
      <c r="CX95" s="9">
        <v>0</v>
      </c>
      <c r="CY95" s="9">
        <v>0</v>
      </c>
      <c r="CZ95" s="9">
        <v>0</v>
      </c>
      <c r="DA95" s="9">
        <v>0</v>
      </c>
      <c r="DB95" s="9">
        <v>0</v>
      </c>
      <c r="DC95" s="9">
        <v>0</v>
      </c>
      <c r="DD95" s="9">
        <v>0</v>
      </c>
      <c r="DE95" s="9">
        <v>0</v>
      </c>
      <c r="DF95" s="9">
        <v>0</v>
      </c>
      <c r="DG95" s="9">
        <v>0</v>
      </c>
      <c r="DH95" s="9">
        <v>0</v>
      </c>
      <c r="DI95" s="9">
        <v>0</v>
      </c>
      <c r="DJ95" s="9">
        <v>0</v>
      </c>
      <c r="DK95" s="9">
        <v>0</v>
      </c>
      <c r="DL95" s="9">
        <v>0</v>
      </c>
      <c r="DM95" s="9">
        <v>0</v>
      </c>
      <c r="DN95" s="9">
        <v>0</v>
      </c>
      <c r="DO95" s="9">
        <v>0</v>
      </c>
      <c r="DP95" s="9">
        <v>0</v>
      </c>
      <c r="DQ95" s="9">
        <v>0</v>
      </c>
      <c r="DR95" s="9">
        <v>0</v>
      </c>
      <c r="DS95" s="9">
        <v>0</v>
      </c>
      <c r="DT95" s="9">
        <v>0</v>
      </c>
      <c r="DU95" s="9">
        <v>0</v>
      </c>
      <c r="DV95" s="9">
        <v>0</v>
      </c>
      <c r="DW95" s="9">
        <v>0</v>
      </c>
      <c r="DX95" s="9">
        <v>0</v>
      </c>
      <c r="DY95" s="9">
        <v>0</v>
      </c>
      <c r="DZ95" s="9">
        <v>0</v>
      </c>
      <c r="EA95" s="9">
        <v>0</v>
      </c>
      <c r="EB95" s="9">
        <v>0</v>
      </c>
      <c r="EC95" s="9">
        <v>0</v>
      </c>
      <c r="ED95" s="9">
        <v>0</v>
      </c>
      <c r="EE95" s="9">
        <v>0</v>
      </c>
      <c r="EF95" s="9">
        <v>0</v>
      </c>
      <c r="EG95" s="9">
        <v>0</v>
      </c>
      <c r="EH95" s="9">
        <v>0</v>
      </c>
      <c r="EI95" s="10">
        <v>0</v>
      </c>
    </row>
    <row r="96" spans="1:139" x14ac:dyDescent="0.35">
      <c r="A96" s="8" t="s">
        <v>174</v>
      </c>
      <c r="B96" s="9" t="s">
        <v>7</v>
      </c>
      <c r="C96" s="9" t="s">
        <v>8</v>
      </c>
      <c r="D96" s="9">
        <f t="shared" si="1"/>
        <v>0</v>
      </c>
      <c r="E96" s="9">
        <v>0</v>
      </c>
      <c r="F96" s="9">
        <v>0</v>
      </c>
      <c r="G96" s="9">
        <v>0</v>
      </c>
      <c r="H96" s="9">
        <v>0</v>
      </c>
      <c r="I96" s="9">
        <v>0</v>
      </c>
      <c r="J96" s="9">
        <v>0</v>
      </c>
      <c r="K96" s="9">
        <v>0</v>
      </c>
      <c r="L96" s="9">
        <v>0</v>
      </c>
      <c r="M96" s="9">
        <v>0</v>
      </c>
      <c r="N96" s="9">
        <v>0</v>
      </c>
      <c r="O96" s="9">
        <v>0</v>
      </c>
      <c r="P96" s="9">
        <v>0</v>
      </c>
      <c r="Q96" s="9">
        <v>0</v>
      </c>
      <c r="R96" s="9">
        <v>0</v>
      </c>
      <c r="S96" s="9">
        <v>0</v>
      </c>
      <c r="T96" s="9">
        <v>0</v>
      </c>
      <c r="U96" s="9">
        <v>0</v>
      </c>
      <c r="V96" s="9">
        <v>0</v>
      </c>
      <c r="W96" s="9">
        <v>0</v>
      </c>
      <c r="X96" s="9">
        <v>0</v>
      </c>
      <c r="Y96" s="9">
        <v>0</v>
      </c>
      <c r="Z96" s="9">
        <v>0</v>
      </c>
      <c r="AA96" s="9">
        <v>0</v>
      </c>
      <c r="AB96" s="9">
        <v>0</v>
      </c>
      <c r="AC96" s="9">
        <v>0</v>
      </c>
      <c r="AD96" s="9">
        <v>0</v>
      </c>
      <c r="AE96" s="9">
        <v>0</v>
      </c>
      <c r="AF96" s="9">
        <v>0</v>
      </c>
      <c r="AG96" s="9">
        <v>0</v>
      </c>
      <c r="AH96" s="9">
        <v>0</v>
      </c>
      <c r="AI96" s="9">
        <v>0</v>
      </c>
      <c r="AJ96" s="9">
        <v>0</v>
      </c>
      <c r="AK96" s="9">
        <v>0</v>
      </c>
      <c r="AL96" s="9">
        <v>0</v>
      </c>
      <c r="AM96" s="9">
        <v>0</v>
      </c>
      <c r="AN96" s="9">
        <v>0</v>
      </c>
      <c r="AO96" s="9">
        <v>0</v>
      </c>
      <c r="AP96" s="9">
        <v>0</v>
      </c>
      <c r="AQ96" s="9">
        <v>0</v>
      </c>
      <c r="AR96" s="9">
        <v>0</v>
      </c>
      <c r="AS96" s="9">
        <v>0</v>
      </c>
      <c r="AT96" s="9">
        <v>0</v>
      </c>
      <c r="AU96" s="9">
        <v>0</v>
      </c>
      <c r="AV96" s="9">
        <v>0</v>
      </c>
      <c r="AW96" s="9">
        <v>0</v>
      </c>
      <c r="AX96" s="9">
        <v>0</v>
      </c>
      <c r="AY96" s="9">
        <v>0</v>
      </c>
      <c r="AZ96" s="9">
        <v>0</v>
      </c>
      <c r="BA96" s="9">
        <v>0</v>
      </c>
      <c r="BB96" s="9">
        <v>0</v>
      </c>
      <c r="BC96" s="9">
        <v>0</v>
      </c>
      <c r="BD96" s="9">
        <v>0</v>
      </c>
      <c r="BE96" s="9">
        <v>0</v>
      </c>
      <c r="BF96" s="9">
        <v>0</v>
      </c>
      <c r="BG96" s="9">
        <v>0</v>
      </c>
      <c r="BH96" s="9">
        <v>0</v>
      </c>
      <c r="BI96" s="9">
        <v>0</v>
      </c>
      <c r="BJ96" s="9">
        <v>0</v>
      </c>
      <c r="BK96" s="9">
        <v>0</v>
      </c>
      <c r="BL96" s="9">
        <v>0</v>
      </c>
      <c r="BM96" s="9">
        <v>0</v>
      </c>
      <c r="BN96" s="9">
        <v>0</v>
      </c>
      <c r="BO96" s="9">
        <v>0</v>
      </c>
      <c r="BP96" s="9">
        <v>0</v>
      </c>
      <c r="BQ96" s="9">
        <v>0</v>
      </c>
      <c r="BR96" s="9">
        <v>0</v>
      </c>
      <c r="BS96" s="9">
        <v>0</v>
      </c>
      <c r="BT96" s="9">
        <v>0</v>
      </c>
      <c r="BU96" s="9">
        <v>0</v>
      </c>
      <c r="BV96" s="9">
        <v>0</v>
      </c>
      <c r="BW96" s="9">
        <v>0</v>
      </c>
      <c r="BX96" s="9">
        <v>0</v>
      </c>
      <c r="BY96" s="9">
        <v>0</v>
      </c>
      <c r="BZ96" s="9">
        <v>0</v>
      </c>
      <c r="CA96" s="9">
        <v>0</v>
      </c>
      <c r="CB96" s="9">
        <v>0</v>
      </c>
      <c r="CC96" s="9">
        <v>0</v>
      </c>
      <c r="CD96" s="9">
        <v>0</v>
      </c>
      <c r="CE96" s="9">
        <v>0</v>
      </c>
      <c r="CF96" s="9">
        <v>0</v>
      </c>
      <c r="CG96" s="9">
        <v>0</v>
      </c>
      <c r="CH96" s="9">
        <v>0</v>
      </c>
      <c r="CI96" s="9">
        <v>0</v>
      </c>
      <c r="CJ96" s="9">
        <v>0</v>
      </c>
      <c r="CK96" s="9">
        <v>0</v>
      </c>
      <c r="CL96" s="9">
        <v>0</v>
      </c>
      <c r="CM96" s="9">
        <v>0</v>
      </c>
      <c r="CN96" s="9">
        <v>0</v>
      </c>
      <c r="CO96" s="9">
        <v>0</v>
      </c>
      <c r="CP96" s="9">
        <v>0</v>
      </c>
      <c r="CQ96" s="9">
        <v>0</v>
      </c>
      <c r="CR96" s="9">
        <v>0</v>
      </c>
      <c r="CS96" s="9">
        <v>0</v>
      </c>
      <c r="CT96" s="9">
        <v>0</v>
      </c>
      <c r="CU96" s="9">
        <v>0</v>
      </c>
      <c r="CV96" s="9">
        <v>0</v>
      </c>
      <c r="CW96" s="9">
        <v>0</v>
      </c>
      <c r="CX96" s="9">
        <v>0</v>
      </c>
      <c r="CY96" s="9">
        <v>0</v>
      </c>
      <c r="CZ96" s="9">
        <v>0</v>
      </c>
      <c r="DA96" s="9">
        <v>0</v>
      </c>
      <c r="DB96" s="9">
        <v>0</v>
      </c>
      <c r="DC96" s="9">
        <v>0</v>
      </c>
      <c r="DD96" s="9">
        <v>0</v>
      </c>
      <c r="DE96" s="9">
        <v>0</v>
      </c>
      <c r="DF96" s="9">
        <v>0</v>
      </c>
      <c r="DG96" s="9">
        <v>0</v>
      </c>
      <c r="DH96" s="9">
        <v>0</v>
      </c>
      <c r="DI96" s="9">
        <v>0</v>
      </c>
      <c r="DJ96" s="9">
        <v>0</v>
      </c>
      <c r="DK96" s="9">
        <v>0</v>
      </c>
      <c r="DL96" s="9">
        <v>0</v>
      </c>
      <c r="DM96" s="9">
        <v>0</v>
      </c>
      <c r="DN96" s="9">
        <v>0</v>
      </c>
      <c r="DO96" s="9">
        <v>0</v>
      </c>
      <c r="DP96" s="9">
        <v>0</v>
      </c>
      <c r="DQ96" s="9">
        <v>0</v>
      </c>
      <c r="DR96" s="9">
        <v>0</v>
      </c>
      <c r="DS96" s="9">
        <v>0</v>
      </c>
      <c r="DT96" s="9">
        <v>0</v>
      </c>
      <c r="DU96" s="9">
        <v>0</v>
      </c>
      <c r="DV96" s="9">
        <v>0</v>
      </c>
      <c r="DW96" s="9">
        <v>0</v>
      </c>
      <c r="DX96" s="9">
        <v>0</v>
      </c>
      <c r="DY96" s="9">
        <v>0</v>
      </c>
      <c r="DZ96" s="9">
        <v>0</v>
      </c>
      <c r="EA96" s="9">
        <v>0</v>
      </c>
      <c r="EB96" s="9">
        <v>0</v>
      </c>
      <c r="EC96" s="9">
        <v>0</v>
      </c>
      <c r="ED96" s="9">
        <v>0</v>
      </c>
      <c r="EE96" s="9">
        <v>0</v>
      </c>
      <c r="EF96" s="9">
        <v>0</v>
      </c>
      <c r="EG96" s="9">
        <v>0</v>
      </c>
      <c r="EH96" s="9">
        <v>0</v>
      </c>
      <c r="EI96" s="10">
        <v>0</v>
      </c>
    </row>
    <row r="97" spans="1:139" x14ac:dyDescent="0.35">
      <c r="A97" s="8" t="s">
        <v>174</v>
      </c>
      <c r="B97" s="9" t="s">
        <v>179</v>
      </c>
      <c r="C97" s="9" t="s">
        <v>180</v>
      </c>
      <c r="D97" s="9">
        <f t="shared" si="1"/>
        <v>0</v>
      </c>
      <c r="E97" s="9">
        <v>0</v>
      </c>
      <c r="F97" s="9">
        <v>0</v>
      </c>
      <c r="G97" s="9">
        <v>0</v>
      </c>
      <c r="H97" s="9">
        <v>0</v>
      </c>
      <c r="I97" s="9">
        <v>0</v>
      </c>
      <c r="J97" s="9">
        <v>0</v>
      </c>
      <c r="K97" s="9">
        <v>0</v>
      </c>
      <c r="L97" s="9">
        <v>0</v>
      </c>
      <c r="M97" s="9">
        <v>0</v>
      </c>
      <c r="N97" s="9">
        <v>0</v>
      </c>
      <c r="O97" s="9">
        <v>0</v>
      </c>
      <c r="P97" s="9">
        <v>0</v>
      </c>
      <c r="Q97" s="9">
        <v>0</v>
      </c>
      <c r="R97" s="9">
        <v>0</v>
      </c>
      <c r="S97" s="9">
        <v>0</v>
      </c>
      <c r="T97" s="9">
        <v>0</v>
      </c>
      <c r="U97" s="9">
        <v>0</v>
      </c>
      <c r="V97" s="9">
        <v>0</v>
      </c>
      <c r="W97" s="9">
        <v>0</v>
      </c>
      <c r="X97" s="9">
        <v>0</v>
      </c>
      <c r="Y97" s="9">
        <v>0</v>
      </c>
      <c r="Z97" s="9">
        <v>0</v>
      </c>
      <c r="AA97" s="9">
        <v>0</v>
      </c>
      <c r="AB97" s="9">
        <v>0</v>
      </c>
      <c r="AC97" s="9">
        <v>0</v>
      </c>
      <c r="AD97" s="9">
        <v>0</v>
      </c>
      <c r="AE97" s="9">
        <v>0</v>
      </c>
      <c r="AF97" s="9">
        <v>0</v>
      </c>
      <c r="AG97" s="9">
        <v>0</v>
      </c>
      <c r="AH97" s="9">
        <v>0</v>
      </c>
      <c r="AI97" s="9">
        <v>0</v>
      </c>
      <c r="AJ97" s="9">
        <v>0</v>
      </c>
      <c r="AK97" s="9">
        <v>0</v>
      </c>
      <c r="AL97" s="9">
        <v>0</v>
      </c>
      <c r="AM97" s="9">
        <v>0</v>
      </c>
      <c r="AN97" s="9">
        <v>0</v>
      </c>
      <c r="AO97" s="9">
        <v>0</v>
      </c>
      <c r="AP97" s="9">
        <v>0</v>
      </c>
      <c r="AQ97" s="9">
        <v>0</v>
      </c>
      <c r="AR97" s="9">
        <v>0</v>
      </c>
      <c r="AS97" s="9">
        <v>0</v>
      </c>
      <c r="AT97" s="9">
        <v>0</v>
      </c>
      <c r="AU97" s="9">
        <v>0</v>
      </c>
      <c r="AV97" s="9">
        <v>0</v>
      </c>
      <c r="AW97" s="9">
        <v>0</v>
      </c>
      <c r="AX97" s="9">
        <v>0</v>
      </c>
      <c r="AY97" s="9">
        <v>0</v>
      </c>
      <c r="AZ97" s="9">
        <v>0</v>
      </c>
      <c r="BA97" s="9">
        <v>0</v>
      </c>
      <c r="BB97" s="9">
        <v>0</v>
      </c>
      <c r="BC97" s="9">
        <v>0</v>
      </c>
      <c r="BD97" s="9">
        <v>0</v>
      </c>
      <c r="BE97" s="9">
        <v>0</v>
      </c>
      <c r="BF97" s="9">
        <v>0</v>
      </c>
      <c r="BG97" s="9">
        <v>0</v>
      </c>
      <c r="BH97" s="9">
        <v>0</v>
      </c>
      <c r="BI97" s="9">
        <v>0</v>
      </c>
      <c r="BJ97" s="9">
        <v>0</v>
      </c>
      <c r="BK97" s="9">
        <v>0</v>
      </c>
      <c r="BL97" s="9">
        <v>0</v>
      </c>
      <c r="BM97" s="9">
        <v>0</v>
      </c>
      <c r="BN97" s="9">
        <v>0</v>
      </c>
      <c r="BO97" s="9">
        <v>0</v>
      </c>
      <c r="BP97" s="9">
        <v>0</v>
      </c>
      <c r="BQ97" s="9">
        <v>0</v>
      </c>
      <c r="BR97" s="9">
        <v>0</v>
      </c>
      <c r="BS97" s="9">
        <v>0</v>
      </c>
      <c r="BT97" s="9">
        <v>0</v>
      </c>
      <c r="BU97" s="9">
        <v>0</v>
      </c>
      <c r="BV97" s="9">
        <v>0</v>
      </c>
      <c r="BW97" s="9">
        <v>0</v>
      </c>
      <c r="BX97" s="9">
        <v>0</v>
      </c>
      <c r="BY97" s="9">
        <v>0</v>
      </c>
      <c r="BZ97" s="9">
        <v>0</v>
      </c>
      <c r="CA97" s="9">
        <v>0</v>
      </c>
      <c r="CB97" s="9">
        <v>0</v>
      </c>
      <c r="CC97" s="9">
        <v>0</v>
      </c>
      <c r="CD97" s="9">
        <v>0</v>
      </c>
      <c r="CE97" s="9">
        <v>0</v>
      </c>
      <c r="CF97" s="9">
        <v>0</v>
      </c>
      <c r="CG97" s="9">
        <v>0</v>
      </c>
      <c r="CH97" s="9">
        <v>0</v>
      </c>
      <c r="CI97" s="9">
        <v>0</v>
      </c>
      <c r="CJ97" s="9">
        <v>0</v>
      </c>
      <c r="CK97" s="9">
        <v>0</v>
      </c>
      <c r="CL97" s="9">
        <v>0</v>
      </c>
      <c r="CM97" s="9">
        <v>0</v>
      </c>
      <c r="CN97" s="9">
        <v>0</v>
      </c>
      <c r="CO97" s="9">
        <v>0</v>
      </c>
      <c r="CP97" s="9">
        <v>0</v>
      </c>
      <c r="CQ97" s="9">
        <v>0</v>
      </c>
      <c r="CR97" s="9">
        <v>0</v>
      </c>
      <c r="CS97" s="9">
        <v>0</v>
      </c>
      <c r="CT97" s="9">
        <v>0</v>
      </c>
      <c r="CU97" s="9">
        <v>0</v>
      </c>
      <c r="CV97" s="9">
        <v>0</v>
      </c>
      <c r="CW97" s="9">
        <v>0</v>
      </c>
      <c r="CX97" s="9">
        <v>0</v>
      </c>
      <c r="CY97" s="9">
        <v>0</v>
      </c>
      <c r="CZ97" s="9">
        <v>0</v>
      </c>
      <c r="DA97" s="9">
        <v>0</v>
      </c>
      <c r="DB97" s="9">
        <v>0</v>
      </c>
      <c r="DC97" s="9">
        <v>0</v>
      </c>
      <c r="DD97" s="9">
        <v>0</v>
      </c>
      <c r="DE97" s="9">
        <v>0</v>
      </c>
      <c r="DF97" s="9">
        <v>0</v>
      </c>
      <c r="DG97" s="9">
        <v>0</v>
      </c>
      <c r="DH97" s="9">
        <v>0</v>
      </c>
      <c r="DI97" s="9">
        <v>0</v>
      </c>
      <c r="DJ97" s="9">
        <v>0</v>
      </c>
      <c r="DK97" s="9">
        <v>0</v>
      </c>
      <c r="DL97" s="9">
        <v>0</v>
      </c>
      <c r="DM97" s="9">
        <v>0</v>
      </c>
      <c r="DN97" s="9">
        <v>0</v>
      </c>
      <c r="DO97" s="9">
        <v>0</v>
      </c>
      <c r="DP97" s="9">
        <v>0</v>
      </c>
      <c r="DQ97" s="9">
        <v>0</v>
      </c>
      <c r="DR97" s="9">
        <v>0</v>
      </c>
      <c r="DS97" s="9">
        <v>0</v>
      </c>
      <c r="DT97" s="9">
        <v>0</v>
      </c>
      <c r="DU97" s="9">
        <v>0</v>
      </c>
      <c r="DV97" s="9">
        <v>0</v>
      </c>
      <c r="DW97" s="9">
        <v>0</v>
      </c>
      <c r="DX97" s="9">
        <v>0</v>
      </c>
      <c r="DY97" s="9">
        <v>0</v>
      </c>
      <c r="DZ97" s="9">
        <v>0</v>
      </c>
      <c r="EA97" s="9">
        <v>0</v>
      </c>
      <c r="EB97" s="9">
        <v>0</v>
      </c>
      <c r="EC97" s="9">
        <v>0</v>
      </c>
      <c r="ED97" s="9">
        <v>0</v>
      </c>
      <c r="EE97" s="9">
        <v>0</v>
      </c>
      <c r="EF97" s="9">
        <v>0</v>
      </c>
      <c r="EG97" s="9">
        <v>0</v>
      </c>
      <c r="EH97" s="9">
        <v>0</v>
      </c>
      <c r="EI97" s="10">
        <v>0</v>
      </c>
    </row>
    <row r="98" spans="1:139" x14ac:dyDescent="0.35">
      <c r="A98" s="8" t="s">
        <v>174</v>
      </c>
      <c r="B98" s="9" t="s">
        <v>13</v>
      </c>
      <c r="C98" s="9" t="s">
        <v>14</v>
      </c>
      <c r="D98" s="9">
        <f t="shared" si="1"/>
        <v>0</v>
      </c>
      <c r="E98" s="9">
        <v>0</v>
      </c>
      <c r="F98" s="9">
        <v>0</v>
      </c>
      <c r="G98" s="9">
        <v>0</v>
      </c>
      <c r="H98" s="9">
        <v>0</v>
      </c>
      <c r="I98" s="9">
        <v>0</v>
      </c>
      <c r="J98" s="9">
        <v>0</v>
      </c>
      <c r="K98" s="9">
        <v>0</v>
      </c>
      <c r="L98" s="9">
        <v>0</v>
      </c>
      <c r="M98" s="9">
        <v>0</v>
      </c>
      <c r="N98" s="9">
        <v>0</v>
      </c>
      <c r="O98" s="9">
        <v>0</v>
      </c>
      <c r="P98" s="9">
        <v>0</v>
      </c>
      <c r="Q98" s="9">
        <v>0</v>
      </c>
      <c r="R98" s="9">
        <v>0</v>
      </c>
      <c r="S98" s="9">
        <v>0</v>
      </c>
      <c r="T98" s="9">
        <v>0</v>
      </c>
      <c r="U98" s="9">
        <v>0</v>
      </c>
      <c r="V98" s="9">
        <v>0</v>
      </c>
      <c r="W98" s="9">
        <v>0</v>
      </c>
      <c r="X98" s="9">
        <v>0</v>
      </c>
      <c r="Y98" s="9">
        <v>0</v>
      </c>
      <c r="Z98" s="9">
        <v>0</v>
      </c>
      <c r="AA98" s="9">
        <v>0</v>
      </c>
      <c r="AB98" s="9">
        <v>0</v>
      </c>
      <c r="AC98" s="9">
        <v>0</v>
      </c>
      <c r="AD98" s="9">
        <v>0</v>
      </c>
      <c r="AE98" s="9">
        <v>0</v>
      </c>
      <c r="AF98" s="9">
        <v>0</v>
      </c>
      <c r="AG98" s="9">
        <v>0</v>
      </c>
      <c r="AH98" s="9">
        <v>0</v>
      </c>
      <c r="AI98" s="9">
        <v>0</v>
      </c>
      <c r="AJ98" s="9">
        <v>0</v>
      </c>
      <c r="AK98" s="9">
        <v>0</v>
      </c>
      <c r="AL98" s="9">
        <v>0</v>
      </c>
      <c r="AM98" s="9">
        <v>0</v>
      </c>
      <c r="AN98" s="9">
        <v>0</v>
      </c>
      <c r="AO98" s="9">
        <v>0</v>
      </c>
      <c r="AP98" s="9">
        <v>0</v>
      </c>
      <c r="AQ98" s="9">
        <v>0</v>
      </c>
      <c r="AR98" s="9">
        <v>0</v>
      </c>
      <c r="AS98" s="9">
        <v>0</v>
      </c>
      <c r="AT98" s="9">
        <v>0</v>
      </c>
      <c r="AU98" s="9">
        <v>0</v>
      </c>
      <c r="AV98" s="9">
        <v>0</v>
      </c>
      <c r="AW98" s="9">
        <v>0</v>
      </c>
      <c r="AX98" s="9">
        <v>0</v>
      </c>
      <c r="AY98" s="9">
        <v>0</v>
      </c>
      <c r="AZ98" s="9">
        <v>0</v>
      </c>
      <c r="BA98" s="9">
        <v>0</v>
      </c>
      <c r="BB98" s="9">
        <v>0</v>
      </c>
      <c r="BC98" s="9">
        <v>0</v>
      </c>
      <c r="BD98" s="9">
        <v>0</v>
      </c>
      <c r="BE98" s="9">
        <v>0</v>
      </c>
      <c r="BF98" s="9">
        <v>0</v>
      </c>
      <c r="BG98" s="9">
        <v>0</v>
      </c>
      <c r="BH98" s="9">
        <v>0</v>
      </c>
      <c r="BI98" s="9">
        <v>0</v>
      </c>
      <c r="BJ98" s="9">
        <v>0</v>
      </c>
      <c r="BK98" s="9">
        <v>0</v>
      </c>
      <c r="BL98" s="9">
        <v>0</v>
      </c>
      <c r="BM98" s="9">
        <v>0</v>
      </c>
      <c r="BN98" s="9">
        <v>0</v>
      </c>
      <c r="BO98" s="9">
        <v>0</v>
      </c>
      <c r="BP98" s="9">
        <v>0</v>
      </c>
      <c r="BQ98" s="9">
        <v>0</v>
      </c>
      <c r="BR98" s="9">
        <v>0</v>
      </c>
      <c r="BS98" s="9">
        <v>0</v>
      </c>
      <c r="BT98" s="9">
        <v>0</v>
      </c>
      <c r="BU98" s="9">
        <v>0</v>
      </c>
      <c r="BV98" s="9">
        <v>0</v>
      </c>
      <c r="BW98" s="9">
        <v>0</v>
      </c>
      <c r="BX98" s="9">
        <v>0</v>
      </c>
      <c r="BY98" s="9">
        <v>0</v>
      </c>
      <c r="BZ98" s="9">
        <v>0</v>
      </c>
      <c r="CA98" s="9">
        <v>0</v>
      </c>
      <c r="CB98" s="9">
        <v>0</v>
      </c>
      <c r="CC98" s="9">
        <v>0</v>
      </c>
      <c r="CD98" s="9">
        <v>0</v>
      </c>
      <c r="CE98" s="9">
        <v>0</v>
      </c>
      <c r="CF98" s="9">
        <v>0</v>
      </c>
      <c r="CG98" s="9">
        <v>0</v>
      </c>
      <c r="CH98" s="9">
        <v>0</v>
      </c>
      <c r="CI98" s="9">
        <v>0</v>
      </c>
      <c r="CJ98" s="9">
        <v>0</v>
      </c>
      <c r="CK98" s="9">
        <v>0</v>
      </c>
      <c r="CL98" s="9">
        <v>0</v>
      </c>
      <c r="CM98" s="9">
        <v>0</v>
      </c>
      <c r="CN98" s="9">
        <v>0</v>
      </c>
      <c r="CO98" s="9">
        <v>0</v>
      </c>
      <c r="CP98" s="9">
        <v>0</v>
      </c>
      <c r="CQ98" s="9">
        <v>0</v>
      </c>
      <c r="CR98" s="9">
        <v>0</v>
      </c>
      <c r="CS98" s="9">
        <v>0</v>
      </c>
      <c r="CT98" s="9">
        <v>0</v>
      </c>
      <c r="CU98" s="9">
        <v>0</v>
      </c>
      <c r="CV98" s="9">
        <v>0</v>
      </c>
      <c r="CW98" s="9">
        <v>0</v>
      </c>
      <c r="CX98" s="9">
        <v>0</v>
      </c>
      <c r="CY98" s="9">
        <v>0</v>
      </c>
      <c r="CZ98" s="9">
        <v>0</v>
      </c>
      <c r="DA98" s="9">
        <v>0</v>
      </c>
      <c r="DB98" s="9">
        <v>0</v>
      </c>
      <c r="DC98" s="9">
        <v>0</v>
      </c>
      <c r="DD98" s="9">
        <v>0</v>
      </c>
      <c r="DE98" s="9">
        <v>0</v>
      </c>
      <c r="DF98" s="9">
        <v>0</v>
      </c>
      <c r="DG98" s="9">
        <v>0</v>
      </c>
      <c r="DH98" s="9">
        <v>0</v>
      </c>
      <c r="DI98" s="9">
        <v>0</v>
      </c>
      <c r="DJ98" s="9">
        <v>0</v>
      </c>
      <c r="DK98" s="9">
        <v>0</v>
      </c>
      <c r="DL98" s="9">
        <v>0</v>
      </c>
      <c r="DM98" s="9">
        <v>0</v>
      </c>
      <c r="DN98" s="9">
        <v>0</v>
      </c>
      <c r="DO98" s="9">
        <v>0</v>
      </c>
      <c r="DP98" s="9">
        <v>0</v>
      </c>
      <c r="DQ98" s="9">
        <v>0</v>
      </c>
      <c r="DR98" s="9">
        <v>0</v>
      </c>
      <c r="DS98" s="9">
        <v>0</v>
      </c>
      <c r="DT98" s="9">
        <v>0</v>
      </c>
      <c r="DU98" s="9">
        <v>0</v>
      </c>
      <c r="DV98" s="9">
        <v>0</v>
      </c>
      <c r="DW98" s="9">
        <v>0</v>
      </c>
      <c r="DX98" s="9">
        <v>0</v>
      </c>
      <c r="DY98" s="9">
        <v>0</v>
      </c>
      <c r="DZ98" s="9">
        <v>0</v>
      </c>
      <c r="EA98" s="9">
        <v>0</v>
      </c>
      <c r="EB98" s="9">
        <v>0</v>
      </c>
      <c r="EC98" s="9">
        <v>0</v>
      </c>
      <c r="ED98" s="9">
        <v>0</v>
      </c>
      <c r="EE98" s="9">
        <v>0</v>
      </c>
      <c r="EF98" s="9">
        <v>0</v>
      </c>
      <c r="EG98" s="9">
        <v>0</v>
      </c>
      <c r="EH98" s="9">
        <v>0</v>
      </c>
      <c r="EI98" s="10">
        <v>0</v>
      </c>
    </row>
    <row r="99" spans="1:139" x14ac:dyDescent="0.35">
      <c r="A99" s="8" t="s">
        <v>174</v>
      </c>
      <c r="B99" s="9" t="s">
        <v>181</v>
      </c>
      <c r="C99" s="9" t="s">
        <v>182</v>
      </c>
      <c r="D99" s="9">
        <f t="shared" si="1"/>
        <v>0</v>
      </c>
      <c r="E99" s="9">
        <v>0</v>
      </c>
      <c r="F99" s="9">
        <v>0</v>
      </c>
      <c r="G99" s="9">
        <v>0</v>
      </c>
      <c r="H99" s="9">
        <v>0</v>
      </c>
      <c r="I99" s="9">
        <v>0</v>
      </c>
      <c r="J99" s="9">
        <v>0</v>
      </c>
      <c r="K99" s="9">
        <v>0</v>
      </c>
      <c r="L99" s="9">
        <v>0</v>
      </c>
      <c r="M99" s="9">
        <v>0</v>
      </c>
      <c r="N99" s="9">
        <v>0</v>
      </c>
      <c r="O99" s="9">
        <v>0</v>
      </c>
      <c r="P99" s="9">
        <v>0</v>
      </c>
      <c r="Q99" s="9">
        <v>0</v>
      </c>
      <c r="R99" s="9">
        <v>0</v>
      </c>
      <c r="S99" s="9">
        <v>0</v>
      </c>
      <c r="T99" s="9">
        <v>0</v>
      </c>
      <c r="U99" s="9">
        <v>0</v>
      </c>
      <c r="V99" s="9">
        <v>0</v>
      </c>
      <c r="W99" s="9">
        <v>0</v>
      </c>
      <c r="X99" s="9">
        <v>0</v>
      </c>
      <c r="Y99" s="9">
        <v>0</v>
      </c>
      <c r="Z99" s="9">
        <v>0</v>
      </c>
      <c r="AA99" s="9">
        <v>0</v>
      </c>
      <c r="AB99" s="9">
        <v>0</v>
      </c>
      <c r="AC99" s="9">
        <v>0</v>
      </c>
      <c r="AD99" s="9">
        <v>0</v>
      </c>
      <c r="AE99" s="9">
        <v>0</v>
      </c>
      <c r="AF99" s="9">
        <v>0</v>
      </c>
      <c r="AG99" s="9">
        <v>0</v>
      </c>
      <c r="AH99" s="9">
        <v>0</v>
      </c>
      <c r="AI99" s="9">
        <v>0</v>
      </c>
      <c r="AJ99" s="9">
        <v>0</v>
      </c>
      <c r="AK99" s="9">
        <v>0</v>
      </c>
      <c r="AL99" s="9">
        <v>0</v>
      </c>
      <c r="AM99" s="9">
        <v>0</v>
      </c>
      <c r="AN99" s="9">
        <v>0</v>
      </c>
      <c r="AO99" s="9">
        <v>0</v>
      </c>
      <c r="AP99" s="9">
        <v>0</v>
      </c>
      <c r="AQ99" s="9">
        <v>0</v>
      </c>
      <c r="AR99" s="9">
        <v>0</v>
      </c>
      <c r="AS99" s="9">
        <v>0</v>
      </c>
      <c r="AT99" s="9">
        <v>0</v>
      </c>
      <c r="AU99" s="9">
        <v>0</v>
      </c>
      <c r="AV99" s="9">
        <v>0</v>
      </c>
      <c r="AW99" s="9">
        <v>0</v>
      </c>
      <c r="AX99" s="9">
        <v>0</v>
      </c>
      <c r="AY99" s="9">
        <v>0</v>
      </c>
      <c r="AZ99" s="9">
        <v>0</v>
      </c>
      <c r="BA99" s="9">
        <v>0</v>
      </c>
      <c r="BB99" s="9">
        <v>0</v>
      </c>
      <c r="BC99" s="9">
        <v>0</v>
      </c>
      <c r="BD99" s="9">
        <v>0</v>
      </c>
      <c r="BE99" s="9">
        <v>0</v>
      </c>
      <c r="BF99" s="9">
        <v>0</v>
      </c>
      <c r="BG99" s="9">
        <v>0</v>
      </c>
      <c r="BH99" s="9">
        <v>0</v>
      </c>
      <c r="BI99" s="9">
        <v>0</v>
      </c>
      <c r="BJ99" s="9">
        <v>0</v>
      </c>
      <c r="BK99" s="9">
        <v>0</v>
      </c>
      <c r="BL99" s="9">
        <v>0</v>
      </c>
      <c r="BM99" s="9">
        <v>0</v>
      </c>
      <c r="BN99" s="9">
        <v>0</v>
      </c>
      <c r="BO99" s="9">
        <v>0</v>
      </c>
      <c r="BP99" s="9">
        <v>0</v>
      </c>
      <c r="BQ99" s="9">
        <v>0</v>
      </c>
      <c r="BR99" s="9">
        <v>0</v>
      </c>
      <c r="BS99" s="9">
        <v>0</v>
      </c>
      <c r="BT99" s="9">
        <v>0</v>
      </c>
      <c r="BU99" s="9">
        <v>0</v>
      </c>
      <c r="BV99" s="9">
        <v>0</v>
      </c>
      <c r="BW99" s="9">
        <v>0</v>
      </c>
      <c r="BX99" s="9">
        <v>0</v>
      </c>
      <c r="BY99" s="9">
        <v>0</v>
      </c>
      <c r="BZ99" s="9">
        <v>0</v>
      </c>
      <c r="CA99" s="9">
        <v>0</v>
      </c>
      <c r="CB99" s="9">
        <v>0</v>
      </c>
      <c r="CC99" s="9">
        <v>0</v>
      </c>
      <c r="CD99" s="9">
        <v>0</v>
      </c>
      <c r="CE99" s="9">
        <v>0</v>
      </c>
      <c r="CF99" s="9">
        <v>0</v>
      </c>
      <c r="CG99" s="9">
        <v>0</v>
      </c>
      <c r="CH99" s="9">
        <v>0</v>
      </c>
      <c r="CI99" s="9">
        <v>0</v>
      </c>
      <c r="CJ99" s="9">
        <v>0</v>
      </c>
      <c r="CK99" s="9">
        <v>0</v>
      </c>
      <c r="CL99" s="9">
        <v>0</v>
      </c>
      <c r="CM99" s="9">
        <v>0</v>
      </c>
      <c r="CN99" s="9">
        <v>0</v>
      </c>
      <c r="CO99" s="9">
        <v>0</v>
      </c>
      <c r="CP99" s="9">
        <v>0</v>
      </c>
      <c r="CQ99" s="9">
        <v>0</v>
      </c>
      <c r="CR99" s="9">
        <v>0</v>
      </c>
      <c r="CS99" s="9">
        <v>0</v>
      </c>
      <c r="CT99" s="9">
        <v>0</v>
      </c>
      <c r="CU99" s="9">
        <v>0</v>
      </c>
      <c r="CV99" s="9">
        <v>0</v>
      </c>
      <c r="CW99" s="9">
        <v>0</v>
      </c>
      <c r="CX99" s="9">
        <v>0</v>
      </c>
      <c r="CY99" s="9">
        <v>0</v>
      </c>
      <c r="CZ99" s="9">
        <v>0</v>
      </c>
      <c r="DA99" s="9">
        <v>0</v>
      </c>
      <c r="DB99" s="9">
        <v>0</v>
      </c>
      <c r="DC99" s="9">
        <v>0</v>
      </c>
      <c r="DD99" s="9">
        <v>0</v>
      </c>
      <c r="DE99" s="9">
        <v>0</v>
      </c>
      <c r="DF99" s="9">
        <v>0</v>
      </c>
      <c r="DG99" s="9">
        <v>0</v>
      </c>
      <c r="DH99" s="9">
        <v>0</v>
      </c>
      <c r="DI99" s="9">
        <v>0</v>
      </c>
      <c r="DJ99" s="9">
        <v>0</v>
      </c>
      <c r="DK99" s="9">
        <v>0</v>
      </c>
      <c r="DL99" s="9">
        <v>0</v>
      </c>
      <c r="DM99" s="9">
        <v>0</v>
      </c>
      <c r="DN99" s="9">
        <v>0</v>
      </c>
      <c r="DO99" s="9">
        <v>0</v>
      </c>
      <c r="DP99" s="9">
        <v>0</v>
      </c>
      <c r="DQ99" s="9">
        <v>0</v>
      </c>
      <c r="DR99" s="9">
        <v>0</v>
      </c>
      <c r="DS99" s="9">
        <v>0</v>
      </c>
      <c r="DT99" s="9">
        <v>0</v>
      </c>
      <c r="DU99" s="9">
        <v>0</v>
      </c>
      <c r="DV99" s="9">
        <v>0</v>
      </c>
      <c r="DW99" s="9">
        <v>0</v>
      </c>
      <c r="DX99" s="9">
        <v>0</v>
      </c>
      <c r="DY99" s="9">
        <v>0</v>
      </c>
      <c r="DZ99" s="9">
        <v>0</v>
      </c>
      <c r="EA99" s="9">
        <v>0</v>
      </c>
      <c r="EB99" s="9">
        <v>0</v>
      </c>
      <c r="EC99" s="9">
        <v>0</v>
      </c>
      <c r="ED99" s="9">
        <v>0</v>
      </c>
      <c r="EE99" s="9">
        <v>0</v>
      </c>
      <c r="EF99" s="9">
        <v>0</v>
      </c>
      <c r="EG99" s="9">
        <v>0</v>
      </c>
      <c r="EH99" s="9">
        <v>0</v>
      </c>
      <c r="EI99" s="10">
        <v>0</v>
      </c>
    </row>
    <row r="100" spans="1:139" x14ac:dyDescent="0.35">
      <c r="A100" s="8" t="s">
        <v>174</v>
      </c>
      <c r="B100" s="9" t="s">
        <v>19</v>
      </c>
      <c r="C100" s="9" t="s">
        <v>20</v>
      </c>
      <c r="D100" s="9">
        <f t="shared" si="1"/>
        <v>8</v>
      </c>
      <c r="E100" s="9">
        <v>0</v>
      </c>
      <c r="F100" s="9">
        <v>0</v>
      </c>
      <c r="G100" s="9">
        <v>0</v>
      </c>
      <c r="H100" s="9">
        <v>0</v>
      </c>
      <c r="I100" s="9">
        <v>0</v>
      </c>
      <c r="J100" s="9">
        <v>0</v>
      </c>
      <c r="K100" s="9">
        <v>0</v>
      </c>
      <c r="L100" s="9">
        <v>0</v>
      </c>
      <c r="M100" s="9">
        <v>0</v>
      </c>
      <c r="N100" s="9">
        <v>0</v>
      </c>
      <c r="O100" s="9">
        <v>0</v>
      </c>
      <c r="P100" s="9">
        <v>0</v>
      </c>
      <c r="Q100" s="9">
        <v>0</v>
      </c>
      <c r="R100" s="9">
        <v>0</v>
      </c>
      <c r="S100" s="9">
        <v>0</v>
      </c>
      <c r="T100" s="9">
        <v>0</v>
      </c>
      <c r="U100" s="9">
        <v>0</v>
      </c>
      <c r="V100" s="9">
        <v>0</v>
      </c>
      <c r="W100" s="9">
        <v>0</v>
      </c>
      <c r="X100" s="9">
        <v>0</v>
      </c>
      <c r="Y100" s="9">
        <v>0</v>
      </c>
      <c r="Z100" s="9">
        <v>0</v>
      </c>
      <c r="AA100" s="9">
        <v>0</v>
      </c>
      <c r="AB100" s="9">
        <v>0</v>
      </c>
      <c r="AC100" s="9">
        <v>0</v>
      </c>
      <c r="AD100" s="9">
        <v>0</v>
      </c>
      <c r="AE100" s="9">
        <v>0</v>
      </c>
      <c r="AF100" s="9">
        <v>0</v>
      </c>
      <c r="AG100" s="9">
        <v>0</v>
      </c>
      <c r="AH100" s="9">
        <v>0</v>
      </c>
      <c r="AI100" s="9">
        <v>0</v>
      </c>
      <c r="AJ100" s="9">
        <v>0</v>
      </c>
      <c r="AK100" s="9">
        <v>0</v>
      </c>
      <c r="AL100" s="9">
        <v>0</v>
      </c>
      <c r="AM100" s="9">
        <v>0</v>
      </c>
      <c r="AN100" s="9">
        <v>0</v>
      </c>
      <c r="AO100" s="9">
        <v>0</v>
      </c>
      <c r="AP100" s="9">
        <v>0</v>
      </c>
      <c r="AQ100" s="9">
        <v>0</v>
      </c>
      <c r="AR100" s="9">
        <v>0</v>
      </c>
      <c r="AS100" s="9">
        <v>0</v>
      </c>
      <c r="AT100" s="9">
        <v>0</v>
      </c>
      <c r="AU100" s="9">
        <v>0</v>
      </c>
      <c r="AV100" s="9">
        <v>1</v>
      </c>
      <c r="AW100" s="9">
        <v>1</v>
      </c>
      <c r="AX100" s="9">
        <v>1</v>
      </c>
      <c r="AY100" s="9">
        <v>1</v>
      </c>
      <c r="AZ100" s="9">
        <v>1</v>
      </c>
      <c r="BA100" s="9">
        <v>0</v>
      </c>
      <c r="BB100" s="9">
        <v>0</v>
      </c>
      <c r="BC100" s="9">
        <v>0</v>
      </c>
      <c r="BD100" s="9">
        <v>0</v>
      </c>
      <c r="BE100" s="9">
        <v>0</v>
      </c>
      <c r="BF100" s="9">
        <v>1</v>
      </c>
      <c r="BG100" s="9">
        <v>1</v>
      </c>
      <c r="BH100" s="9">
        <v>1</v>
      </c>
      <c r="BI100" s="9">
        <v>0</v>
      </c>
      <c r="BJ100" s="9">
        <v>0</v>
      </c>
      <c r="BK100" s="9">
        <v>0</v>
      </c>
      <c r="BL100" s="9">
        <v>0</v>
      </c>
      <c r="BM100" s="9">
        <v>0</v>
      </c>
      <c r="BN100" s="9">
        <v>0</v>
      </c>
      <c r="BO100" s="9">
        <v>0</v>
      </c>
      <c r="BP100" s="9">
        <v>0</v>
      </c>
      <c r="BQ100" s="9">
        <v>0</v>
      </c>
      <c r="BR100" s="9">
        <v>0</v>
      </c>
      <c r="BS100" s="9">
        <v>0</v>
      </c>
      <c r="BT100" s="9">
        <v>0</v>
      </c>
      <c r="BU100" s="9">
        <v>0</v>
      </c>
      <c r="BV100" s="9">
        <v>0</v>
      </c>
      <c r="BW100" s="9">
        <v>0</v>
      </c>
      <c r="BX100" s="9">
        <v>0</v>
      </c>
      <c r="BY100" s="9">
        <v>0</v>
      </c>
      <c r="BZ100" s="9">
        <v>0</v>
      </c>
      <c r="CA100" s="9">
        <v>0</v>
      </c>
      <c r="CB100" s="9">
        <v>0</v>
      </c>
      <c r="CC100" s="9">
        <v>0</v>
      </c>
      <c r="CD100" s="9">
        <v>0</v>
      </c>
      <c r="CE100" s="9">
        <v>0</v>
      </c>
      <c r="CF100" s="9">
        <v>0</v>
      </c>
      <c r="CG100" s="9">
        <v>0</v>
      </c>
      <c r="CH100" s="9">
        <v>0</v>
      </c>
      <c r="CI100" s="9">
        <v>0</v>
      </c>
      <c r="CJ100" s="9">
        <v>0</v>
      </c>
      <c r="CK100" s="9">
        <v>0</v>
      </c>
      <c r="CL100" s="9">
        <v>0</v>
      </c>
      <c r="CM100" s="9">
        <v>0</v>
      </c>
      <c r="CN100" s="9">
        <v>0</v>
      </c>
      <c r="CO100" s="9">
        <v>0</v>
      </c>
      <c r="CP100" s="9">
        <v>0</v>
      </c>
      <c r="CQ100" s="9">
        <v>0</v>
      </c>
      <c r="CR100" s="9">
        <v>0</v>
      </c>
      <c r="CS100" s="9">
        <v>0</v>
      </c>
      <c r="CT100" s="9">
        <v>0</v>
      </c>
      <c r="CU100" s="9">
        <v>0</v>
      </c>
      <c r="CV100" s="9">
        <v>0</v>
      </c>
      <c r="CW100" s="9">
        <v>0</v>
      </c>
      <c r="CX100" s="9">
        <v>0</v>
      </c>
      <c r="CY100" s="9">
        <v>0</v>
      </c>
      <c r="CZ100" s="9">
        <v>0</v>
      </c>
      <c r="DA100" s="9">
        <v>0</v>
      </c>
      <c r="DB100" s="9">
        <v>0</v>
      </c>
      <c r="DC100" s="9">
        <v>0</v>
      </c>
      <c r="DD100" s="9">
        <v>0</v>
      </c>
      <c r="DE100" s="9">
        <v>0</v>
      </c>
      <c r="DF100" s="9">
        <v>0</v>
      </c>
      <c r="DG100" s="9">
        <v>0</v>
      </c>
      <c r="DH100" s="9">
        <v>0</v>
      </c>
      <c r="DI100" s="9">
        <v>0</v>
      </c>
      <c r="DJ100" s="9">
        <v>0</v>
      </c>
      <c r="DK100" s="9">
        <v>0</v>
      </c>
      <c r="DL100" s="9">
        <v>0</v>
      </c>
      <c r="DM100" s="9">
        <v>0</v>
      </c>
      <c r="DN100" s="9">
        <v>0</v>
      </c>
      <c r="DO100" s="9">
        <v>0</v>
      </c>
      <c r="DP100" s="9">
        <v>0</v>
      </c>
      <c r="DQ100" s="9">
        <v>0</v>
      </c>
      <c r="DR100" s="9">
        <v>0</v>
      </c>
      <c r="DS100" s="9">
        <v>0</v>
      </c>
      <c r="DT100" s="9">
        <v>0</v>
      </c>
      <c r="DU100" s="9">
        <v>0</v>
      </c>
      <c r="DV100" s="9">
        <v>0</v>
      </c>
      <c r="DW100" s="9">
        <v>0</v>
      </c>
      <c r="DX100" s="9">
        <v>0</v>
      </c>
      <c r="DY100" s="9">
        <v>0</v>
      </c>
      <c r="DZ100" s="9">
        <v>0</v>
      </c>
      <c r="EA100" s="9">
        <v>0</v>
      </c>
      <c r="EB100" s="9">
        <v>0</v>
      </c>
      <c r="EC100" s="9">
        <v>0</v>
      </c>
      <c r="ED100" s="9">
        <v>0</v>
      </c>
      <c r="EE100" s="9">
        <v>0</v>
      </c>
      <c r="EF100" s="9">
        <v>0</v>
      </c>
      <c r="EG100" s="9">
        <v>0</v>
      </c>
      <c r="EH100" s="9">
        <v>0</v>
      </c>
      <c r="EI100" s="10">
        <v>0</v>
      </c>
    </row>
    <row r="101" spans="1:139" x14ac:dyDescent="0.35">
      <c r="A101" s="8" t="s">
        <v>174</v>
      </c>
      <c r="B101" s="9" t="s">
        <v>21</v>
      </c>
      <c r="C101" s="9" t="s">
        <v>22</v>
      </c>
      <c r="D101" s="9">
        <f t="shared" si="1"/>
        <v>0</v>
      </c>
      <c r="E101" s="9">
        <v>0</v>
      </c>
      <c r="F101" s="9">
        <v>0</v>
      </c>
      <c r="G101" s="9">
        <v>0</v>
      </c>
      <c r="H101" s="9">
        <v>0</v>
      </c>
      <c r="I101" s="9">
        <v>0</v>
      </c>
      <c r="J101" s="9">
        <v>0</v>
      </c>
      <c r="K101" s="9">
        <v>0</v>
      </c>
      <c r="L101" s="9">
        <v>0</v>
      </c>
      <c r="M101" s="9">
        <v>0</v>
      </c>
      <c r="N101" s="9">
        <v>0</v>
      </c>
      <c r="O101" s="9">
        <v>0</v>
      </c>
      <c r="P101" s="9">
        <v>0</v>
      </c>
      <c r="Q101" s="9">
        <v>0</v>
      </c>
      <c r="R101" s="9">
        <v>0</v>
      </c>
      <c r="S101" s="9">
        <v>0</v>
      </c>
      <c r="T101" s="9">
        <v>0</v>
      </c>
      <c r="U101" s="9">
        <v>0</v>
      </c>
      <c r="V101" s="9">
        <v>0</v>
      </c>
      <c r="W101" s="9">
        <v>0</v>
      </c>
      <c r="X101" s="9">
        <v>0</v>
      </c>
      <c r="Y101" s="9">
        <v>0</v>
      </c>
      <c r="Z101" s="9">
        <v>0</v>
      </c>
      <c r="AA101" s="9">
        <v>0</v>
      </c>
      <c r="AB101" s="9">
        <v>0</v>
      </c>
      <c r="AC101" s="9">
        <v>0</v>
      </c>
      <c r="AD101" s="9">
        <v>0</v>
      </c>
      <c r="AE101" s="9">
        <v>0</v>
      </c>
      <c r="AF101" s="9">
        <v>0</v>
      </c>
      <c r="AG101" s="9">
        <v>0</v>
      </c>
      <c r="AH101" s="9">
        <v>0</v>
      </c>
      <c r="AI101" s="9">
        <v>0</v>
      </c>
      <c r="AJ101" s="9">
        <v>0</v>
      </c>
      <c r="AK101" s="9">
        <v>0</v>
      </c>
      <c r="AL101" s="9">
        <v>0</v>
      </c>
      <c r="AM101" s="9">
        <v>0</v>
      </c>
      <c r="AN101" s="9">
        <v>0</v>
      </c>
      <c r="AO101" s="9">
        <v>0</v>
      </c>
      <c r="AP101" s="9">
        <v>0</v>
      </c>
      <c r="AQ101" s="9">
        <v>0</v>
      </c>
      <c r="AR101" s="9">
        <v>0</v>
      </c>
      <c r="AS101" s="9">
        <v>0</v>
      </c>
      <c r="AT101" s="9">
        <v>0</v>
      </c>
      <c r="AU101" s="9">
        <v>0</v>
      </c>
      <c r="AV101" s="9">
        <v>0</v>
      </c>
      <c r="AW101" s="9">
        <v>0</v>
      </c>
      <c r="AX101" s="9">
        <v>0</v>
      </c>
      <c r="AY101" s="9">
        <v>0</v>
      </c>
      <c r="AZ101" s="9">
        <v>0</v>
      </c>
      <c r="BA101" s="9">
        <v>0</v>
      </c>
      <c r="BB101" s="9">
        <v>0</v>
      </c>
      <c r="BC101" s="9">
        <v>0</v>
      </c>
      <c r="BD101" s="9">
        <v>0</v>
      </c>
      <c r="BE101" s="9">
        <v>0</v>
      </c>
      <c r="BF101" s="9">
        <v>0</v>
      </c>
      <c r="BG101" s="9">
        <v>0</v>
      </c>
      <c r="BH101" s="9">
        <v>0</v>
      </c>
      <c r="BI101" s="9">
        <v>0</v>
      </c>
      <c r="BJ101" s="9">
        <v>0</v>
      </c>
      <c r="BK101" s="9">
        <v>0</v>
      </c>
      <c r="BL101" s="9">
        <v>0</v>
      </c>
      <c r="BM101" s="9">
        <v>0</v>
      </c>
      <c r="BN101" s="9">
        <v>0</v>
      </c>
      <c r="BO101" s="9">
        <v>0</v>
      </c>
      <c r="BP101" s="9">
        <v>0</v>
      </c>
      <c r="BQ101" s="9">
        <v>0</v>
      </c>
      <c r="BR101" s="9">
        <v>0</v>
      </c>
      <c r="BS101" s="9">
        <v>0</v>
      </c>
      <c r="BT101" s="9">
        <v>0</v>
      </c>
      <c r="BU101" s="9">
        <v>0</v>
      </c>
      <c r="BV101" s="9">
        <v>0</v>
      </c>
      <c r="BW101" s="9">
        <v>0</v>
      </c>
      <c r="BX101" s="9">
        <v>0</v>
      </c>
      <c r="BY101" s="9">
        <v>0</v>
      </c>
      <c r="BZ101" s="9">
        <v>0</v>
      </c>
      <c r="CA101" s="9">
        <v>0</v>
      </c>
      <c r="CB101" s="9">
        <v>0</v>
      </c>
      <c r="CC101" s="9">
        <v>0</v>
      </c>
      <c r="CD101" s="9">
        <v>0</v>
      </c>
      <c r="CE101" s="9">
        <v>0</v>
      </c>
      <c r="CF101" s="9">
        <v>0</v>
      </c>
      <c r="CG101" s="9">
        <v>0</v>
      </c>
      <c r="CH101" s="9">
        <v>0</v>
      </c>
      <c r="CI101" s="9">
        <v>0</v>
      </c>
      <c r="CJ101" s="9">
        <v>0</v>
      </c>
      <c r="CK101" s="9">
        <v>0</v>
      </c>
      <c r="CL101" s="9">
        <v>0</v>
      </c>
      <c r="CM101" s="9">
        <v>0</v>
      </c>
      <c r="CN101" s="9">
        <v>0</v>
      </c>
      <c r="CO101" s="9">
        <v>0</v>
      </c>
      <c r="CP101" s="9">
        <v>0</v>
      </c>
      <c r="CQ101" s="9">
        <v>0</v>
      </c>
      <c r="CR101" s="9">
        <v>0</v>
      </c>
      <c r="CS101" s="9">
        <v>0</v>
      </c>
      <c r="CT101" s="9">
        <v>0</v>
      </c>
      <c r="CU101" s="9">
        <v>0</v>
      </c>
      <c r="CV101" s="9">
        <v>0</v>
      </c>
      <c r="CW101" s="9">
        <v>0</v>
      </c>
      <c r="CX101" s="9">
        <v>0</v>
      </c>
      <c r="CY101" s="9">
        <v>0</v>
      </c>
      <c r="CZ101" s="9">
        <v>0</v>
      </c>
      <c r="DA101" s="9">
        <v>0</v>
      </c>
      <c r="DB101" s="9">
        <v>0</v>
      </c>
      <c r="DC101" s="9">
        <v>0</v>
      </c>
      <c r="DD101" s="9">
        <v>0</v>
      </c>
      <c r="DE101" s="9">
        <v>0</v>
      </c>
      <c r="DF101" s="9">
        <v>0</v>
      </c>
      <c r="DG101" s="9">
        <v>0</v>
      </c>
      <c r="DH101" s="9">
        <v>0</v>
      </c>
      <c r="DI101" s="9">
        <v>0</v>
      </c>
      <c r="DJ101" s="9">
        <v>0</v>
      </c>
      <c r="DK101" s="9">
        <v>0</v>
      </c>
      <c r="DL101" s="9">
        <v>0</v>
      </c>
      <c r="DM101" s="9">
        <v>0</v>
      </c>
      <c r="DN101" s="9">
        <v>0</v>
      </c>
      <c r="DO101" s="9">
        <v>0</v>
      </c>
      <c r="DP101" s="9">
        <v>0</v>
      </c>
      <c r="DQ101" s="9">
        <v>0</v>
      </c>
      <c r="DR101" s="9">
        <v>0</v>
      </c>
      <c r="DS101" s="9">
        <v>0</v>
      </c>
      <c r="DT101" s="9">
        <v>0</v>
      </c>
      <c r="DU101" s="9">
        <v>0</v>
      </c>
      <c r="DV101" s="9">
        <v>0</v>
      </c>
      <c r="DW101" s="9">
        <v>0</v>
      </c>
      <c r="DX101" s="9">
        <v>0</v>
      </c>
      <c r="DY101" s="9">
        <v>0</v>
      </c>
      <c r="DZ101" s="9">
        <v>0</v>
      </c>
      <c r="EA101" s="9">
        <v>0</v>
      </c>
      <c r="EB101" s="9">
        <v>0</v>
      </c>
      <c r="EC101" s="9">
        <v>0</v>
      </c>
      <c r="ED101" s="9">
        <v>0</v>
      </c>
      <c r="EE101" s="9">
        <v>0</v>
      </c>
      <c r="EF101" s="9">
        <v>0</v>
      </c>
      <c r="EG101" s="9">
        <v>0</v>
      </c>
      <c r="EH101" s="9">
        <v>0</v>
      </c>
      <c r="EI101" s="10">
        <v>0</v>
      </c>
    </row>
    <row r="102" spans="1:139" x14ac:dyDescent="0.35">
      <c r="A102" s="8" t="s">
        <v>174</v>
      </c>
      <c r="B102" s="9" t="s">
        <v>23</v>
      </c>
      <c r="C102" s="9" t="s">
        <v>24</v>
      </c>
      <c r="D102" s="9">
        <f t="shared" si="1"/>
        <v>0</v>
      </c>
      <c r="E102" s="9">
        <v>0</v>
      </c>
      <c r="F102" s="9">
        <v>0</v>
      </c>
      <c r="G102" s="9">
        <v>0</v>
      </c>
      <c r="H102" s="9">
        <v>0</v>
      </c>
      <c r="I102" s="9">
        <v>0</v>
      </c>
      <c r="J102" s="9">
        <v>0</v>
      </c>
      <c r="K102" s="9">
        <v>0</v>
      </c>
      <c r="L102" s="9">
        <v>0</v>
      </c>
      <c r="M102" s="9">
        <v>0</v>
      </c>
      <c r="N102" s="9">
        <v>0</v>
      </c>
      <c r="O102" s="9">
        <v>0</v>
      </c>
      <c r="P102" s="9">
        <v>0</v>
      </c>
      <c r="Q102" s="9">
        <v>0</v>
      </c>
      <c r="R102" s="9">
        <v>0</v>
      </c>
      <c r="S102" s="9">
        <v>0</v>
      </c>
      <c r="T102" s="9">
        <v>0</v>
      </c>
      <c r="U102" s="9">
        <v>0</v>
      </c>
      <c r="V102" s="9">
        <v>0</v>
      </c>
      <c r="W102" s="9">
        <v>0</v>
      </c>
      <c r="X102" s="9">
        <v>0</v>
      </c>
      <c r="Y102" s="9">
        <v>0</v>
      </c>
      <c r="Z102" s="9">
        <v>0</v>
      </c>
      <c r="AA102" s="9">
        <v>0</v>
      </c>
      <c r="AB102" s="9">
        <v>0</v>
      </c>
      <c r="AC102" s="9">
        <v>0</v>
      </c>
      <c r="AD102" s="9">
        <v>0</v>
      </c>
      <c r="AE102" s="9">
        <v>0</v>
      </c>
      <c r="AF102" s="9">
        <v>0</v>
      </c>
      <c r="AG102" s="9">
        <v>0</v>
      </c>
      <c r="AH102" s="9">
        <v>0</v>
      </c>
      <c r="AI102" s="9">
        <v>0</v>
      </c>
      <c r="AJ102" s="9">
        <v>0</v>
      </c>
      <c r="AK102" s="9">
        <v>0</v>
      </c>
      <c r="AL102" s="9">
        <v>0</v>
      </c>
      <c r="AM102" s="9">
        <v>0</v>
      </c>
      <c r="AN102" s="9">
        <v>0</v>
      </c>
      <c r="AO102" s="9">
        <v>0</v>
      </c>
      <c r="AP102" s="9">
        <v>0</v>
      </c>
      <c r="AQ102" s="9">
        <v>0</v>
      </c>
      <c r="AR102" s="9">
        <v>0</v>
      </c>
      <c r="AS102" s="9">
        <v>0</v>
      </c>
      <c r="AT102" s="9">
        <v>0</v>
      </c>
      <c r="AU102" s="9">
        <v>0</v>
      </c>
      <c r="AV102" s="9">
        <v>0</v>
      </c>
      <c r="AW102" s="9">
        <v>0</v>
      </c>
      <c r="AX102" s="9">
        <v>0</v>
      </c>
      <c r="AY102" s="9">
        <v>0</v>
      </c>
      <c r="AZ102" s="9">
        <v>0</v>
      </c>
      <c r="BA102" s="9">
        <v>0</v>
      </c>
      <c r="BB102" s="9">
        <v>0</v>
      </c>
      <c r="BC102" s="9">
        <v>0</v>
      </c>
      <c r="BD102" s="9">
        <v>0</v>
      </c>
      <c r="BE102" s="9">
        <v>0</v>
      </c>
      <c r="BF102" s="9">
        <v>0</v>
      </c>
      <c r="BG102" s="9">
        <v>0</v>
      </c>
      <c r="BH102" s="9">
        <v>0</v>
      </c>
      <c r="BI102" s="9">
        <v>0</v>
      </c>
      <c r="BJ102" s="9">
        <v>0</v>
      </c>
      <c r="BK102" s="9">
        <v>0</v>
      </c>
      <c r="BL102" s="9">
        <v>0</v>
      </c>
      <c r="BM102" s="9">
        <v>0</v>
      </c>
      <c r="BN102" s="9">
        <v>0</v>
      </c>
      <c r="BO102" s="9">
        <v>0</v>
      </c>
      <c r="BP102" s="9">
        <v>0</v>
      </c>
      <c r="BQ102" s="9">
        <v>0</v>
      </c>
      <c r="BR102" s="9">
        <v>0</v>
      </c>
      <c r="BS102" s="9">
        <v>0</v>
      </c>
      <c r="BT102" s="9">
        <v>0</v>
      </c>
      <c r="BU102" s="9">
        <v>0</v>
      </c>
      <c r="BV102" s="9">
        <v>0</v>
      </c>
      <c r="BW102" s="9">
        <v>0</v>
      </c>
      <c r="BX102" s="9">
        <v>0</v>
      </c>
      <c r="BY102" s="9">
        <v>0</v>
      </c>
      <c r="BZ102" s="9">
        <v>0</v>
      </c>
      <c r="CA102" s="9">
        <v>0</v>
      </c>
      <c r="CB102" s="9">
        <v>0</v>
      </c>
      <c r="CC102" s="9">
        <v>0</v>
      </c>
      <c r="CD102" s="9">
        <v>0</v>
      </c>
      <c r="CE102" s="9">
        <v>0</v>
      </c>
      <c r="CF102" s="9">
        <v>0</v>
      </c>
      <c r="CG102" s="9">
        <v>0</v>
      </c>
      <c r="CH102" s="9">
        <v>0</v>
      </c>
      <c r="CI102" s="9">
        <v>0</v>
      </c>
      <c r="CJ102" s="9">
        <v>0</v>
      </c>
      <c r="CK102" s="9">
        <v>0</v>
      </c>
      <c r="CL102" s="9">
        <v>0</v>
      </c>
      <c r="CM102" s="9">
        <v>0</v>
      </c>
      <c r="CN102" s="9">
        <v>0</v>
      </c>
      <c r="CO102" s="9">
        <v>0</v>
      </c>
      <c r="CP102" s="9">
        <v>0</v>
      </c>
      <c r="CQ102" s="9">
        <v>0</v>
      </c>
      <c r="CR102" s="9">
        <v>0</v>
      </c>
      <c r="CS102" s="9">
        <v>0</v>
      </c>
      <c r="CT102" s="9">
        <v>0</v>
      </c>
      <c r="CU102" s="9">
        <v>0</v>
      </c>
      <c r="CV102" s="9">
        <v>0</v>
      </c>
      <c r="CW102" s="9">
        <v>0</v>
      </c>
      <c r="CX102" s="9">
        <v>0</v>
      </c>
      <c r="CY102" s="9">
        <v>0</v>
      </c>
      <c r="CZ102" s="9">
        <v>0</v>
      </c>
      <c r="DA102" s="9">
        <v>0</v>
      </c>
      <c r="DB102" s="9">
        <v>0</v>
      </c>
      <c r="DC102" s="9">
        <v>0</v>
      </c>
      <c r="DD102" s="9">
        <v>0</v>
      </c>
      <c r="DE102" s="9">
        <v>0</v>
      </c>
      <c r="DF102" s="9">
        <v>0</v>
      </c>
      <c r="DG102" s="9">
        <v>0</v>
      </c>
      <c r="DH102" s="9">
        <v>0</v>
      </c>
      <c r="DI102" s="9">
        <v>0</v>
      </c>
      <c r="DJ102" s="9">
        <v>0</v>
      </c>
      <c r="DK102" s="9">
        <v>0</v>
      </c>
      <c r="DL102" s="9">
        <v>0</v>
      </c>
      <c r="DM102" s="9">
        <v>0</v>
      </c>
      <c r="DN102" s="9">
        <v>0</v>
      </c>
      <c r="DO102" s="9">
        <v>0</v>
      </c>
      <c r="DP102" s="9">
        <v>0</v>
      </c>
      <c r="DQ102" s="9">
        <v>0</v>
      </c>
      <c r="DR102" s="9">
        <v>0</v>
      </c>
      <c r="DS102" s="9">
        <v>0</v>
      </c>
      <c r="DT102" s="9">
        <v>0</v>
      </c>
      <c r="DU102" s="9">
        <v>0</v>
      </c>
      <c r="DV102" s="9">
        <v>0</v>
      </c>
      <c r="DW102" s="9">
        <v>0</v>
      </c>
      <c r="DX102" s="9">
        <v>0</v>
      </c>
      <c r="DY102" s="9">
        <v>0</v>
      </c>
      <c r="DZ102" s="9">
        <v>0</v>
      </c>
      <c r="EA102" s="9">
        <v>0</v>
      </c>
      <c r="EB102" s="9">
        <v>0</v>
      </c>
      <c r="EC102" s="9">
        <v>0</v>
      </c>
      <c r="ED102" s="9">
        <v>0</v>
      </c>
      <c r="EE102" s="9">
        <v>0</v>
      </c>
      <c r="EF102" s="9">
        <v>0</v>
      </c>
      <c r="EG102" s="9">
        <v>0</v>
      </c>
      <c r="EH102" s="9">
        <v>0</v>
      </c>
      <c r="EI102" s="10">
        <v>0</v>
      </c>
    </row>
    <row r="103" spans="1:139" x14ac:dyDescent="0.35">
      <c r="A103" s="8" t="s">
        <v>174</v>
      </c>
      <c r="B103" s="9" t="s">
        <v>98</v>
      </c>
      <c r="C103" s="9" t="s">
        <v>99</v>
      </c>
      <c r="D103" s="9">
        <f t="shared" si="1"/>
        <v>0</v>
      </c>
      <c r="E103" s="9">
        <v>0</v>
      </c>
      <c r="F103" s="9">
        <v>0</v>
      </c>
      <c r="G103" s="9">
        <v>0</v>
      </c>
      <c r="H103" s="9">
        <v>0</v>
      </c>
      <c r="I103" s="9">
        <v>0</v>
      </c>
      <c r="J103" s="9">
        <v>0</v>
      </c>
      <c r="K103" s="9">
        <v>0</v>
      </c>
      <c r="L103" s="9">
        <v>0</v>
      </c>
      <c r="M103" s="9">
        <v>0</v>
      </c>
      <c r="N103" s="9">
        <v>0</v>
      </c>
      <c r="O103" s="9">
        <v>0</v>
      </c>
      <c r="P103" s="9">
        <v>0</v>
      </c>
      <c r="Q103" s="9">
        <v>0</v>
      </c>
      <c r="R103" s="9">
        <v>0</v>
      </c>
      <c r="S103" s="9">
        <v>0</v>
      </c>
      <c r="T103" s="9">
        <v>0</v>
      </c>
      <c r="U103" s="9">
        <v>0</v>
      </c>
      <c r="V103" s="9">
        <v>0</v>
      </c>
      <c r="W103" s="9">
        <v>0</v>
      </c>
      <c r="X103" s="9">
        <v>0</v>
      </c>
      <c r="Y103" s="9">
        <v>0</v>
      </c>
      <c r="Z103" s="9">
        <v>0</v>
      </c>
      <c r="AA103" s="9">
        <v>0</v>
      </c>
      <c r="AB103" s="9">
        <v>0</v>
      </c>
      <c r="AC103" s="9">
        <v>0</v>
      </c>
      <c r="AD103" s="9">
        <v>0</v>
      </c>
      <c r="AE103" s="9">
        <v>0</v>
      </c>
      <c r="AF103" s="9">
        <v>0</v>
      </c>
      <c r="AG103" s="9">
        <v>0</v>
      </c>
      <c r="AH103" s="9">
        <v>0</v>
      </c>
      <c r="AI103" s="9">
        <v>0</v>
      </c>
      <c r="AJ103" s="9">
        <v>0</v>
      </c>
      <c r="AK103" s="9">
        <v>0</v>
      </c>
      <c r="AL103" s="9">
        <v>0</v>
      </c>
      <c r="AM103" s="9">
        <v>0</v>
      </c>
      <c r="AN103" s="9">
        <v>0</v>
      </c>
      <c r="AO103" s="9">
        <v>0</v>
      </c>
      <c r="AP103" s="9">
        <v>0</v>
      </c>
      <c r="AQ103" s="9">
        <v>0</v>
      </c>
      <c r="AR103" s="9">
        <v>0</v>
      </c>
      <c r="AS103" s="9">
        <v>0</v>
      </c>
      <c r="AT103" s="9">
        <v>0</v>
      </c>
      <c r="AU103" s="9">
        <v>0</v>
      </c>
      <c r="AV103" s="9">
        <v>0</v>
      </c>
      <c r="AW103" s="9">
        <v>0</v>
      </c>
      <c r="AX103" s="9">
        <v>0</v>
      </c>
      <c r="AY103" s="9">
        <v>0</v>
      </c>
      <c r="AZ103" s="9">
        <v>0</v>
      </c>
      <c r="BA103" s="9">
        <v>0</v>
      </c>
      <c r="BB103" s="9">
        <v>0</v>
      </c>
      <c r="BC103" s="9">
        <v>0</v>
      </c>
      <c r="BD103" s="9">
        <v>0</v>
      </c>
      <c r="BE103" s="9">
        <v>0</v>
      </c>
      <c r="BF103" s="9">
        <v>0</v>
      </c>
      <c r="BG103" s="9">
        <v>0</v>
      </c>
      <c r="BH103" s="9">
        <v>0</v>
      </c>
      <c r="BI103" s="9">
        <v>0</v>
      </c>
      <c r="BJ103" s="9">
        <v>0</v>
      </c>
      <c r="BK103" s="9">
        <v>0</v>
      </c>
      <c r="BL103" s="9">
        <v>0</v>
      </c>
      <c r="BM103" s="9">
        <v>0</v>
      </c>
      <c r="BN103" s="9">
        <v>0</v>
      </c>
      <c r="BO103" s="9">
        <v>0</v>
      </c>
      <c r="BP103" s="9">
        <v>0</v>
      </c>
      <c r="BQ103" s="9">
        <v>0</v>
      </c>
      <c r="BR103" s="9">
        <v>0</v>
      </c>
      <c r="BS103" s="9">
        <v>0</v>
      </c>
      <c r="BT103" s="9">
        <v>0</v>
      </c>
      <c r="BU103" s="9">
        <v>0</v>
      </c>
      <c r="BV103" s="9">
        <v>0</v>
      </c>
      <c r="BW103" s="9">
        <v>0</v>
      </c>
      <c r="BX103" s="9">
        <v>0</v>
      </c>
      <c r="BY103" s="9">
        <v>0</v>
      </c>
      <c r="BZ103" s="9">
        <v>0</v>
      </c>
      <c r="CA103" s="9">
        <v>0</v>
      </c>
      <c r="CB103" s="9">
        <v>0</v>
      </c>
      <c r="CC103" s="9">
        <v>0</v>
      </c>
      <c r="CD103" s="9">
        <v>0</v>
      </c>
      <c r="CE103" s="9">
        <v>0</v>
      </c>
      <c r="CF103" s="9">
        <v>0</v>
      </c>
      <c r="CG103" s="9">
        <v>0</v>
      </c>
      <c r="CH103" s="9">
        <v>0</v>
      </c>
      <c r="CI103" s="9">
        <v>0</v>
      </c>
      <c r="CJ103" s="9">
        <v>0</v>
      </c>
      <c r="CK103" s="9">
        <v>0</v>
      </c>
      <c r="CL103" s="9">
        <v>0</v>
      </c>
      <c r="CM103" s="9">
        <v>0</v>
      </c>
      <c r="CN103" s="9">
        <v>0</v>
      </c>
      <c r="CO103" s="9">
        <v>0</v>
      </c>
      <c r="CP103" s="9">
        <v>0</v>
      </c>
      <c r="CQ103" s="9">
        <v>0</v>
      </c>
      <c r="CR103" s="9">
        <v>0</v>
      </c>
      <c r="CS103" s="9">
        <v>0</v>
      </c>
      <c r="CT103" s="9">
        <v>0</v>
      </c>
      <c r="CU103" s="9">
        <v>0</v>
      </c>
      <c r="CV103" s="9">
        <v>0</v>
      </c>
      <c r="CW103" s="9">
        <v>0</v>
      </c>
      <c r="CX103" s="9">
        <v>0</v>
      </c>
      <c r="CY103" s="9">
        <v>0</v>
      </c>
      <c r="CZ103" s="9">
        <v>0</v>
      </c>
      <c r="DA103" s="9">
        <v>0</v>
      </c>
      <c r="DB103" s="9">
        <v>0</v>
      </c>
      <c r="DC103" s="9">
        <v>0</v>
      </c>
      <c r="DD103" s="9">
        <v>0</v>
      </c>
      <c r="DE103" s="9">
        <v>0</v>
      </c>
      <c r="DF103" s="9">
        <v>0</v>
      </c>
      <c r="DG103" s="9">
        <v>0</v>
      </c>
      <c r="DH103" s="9">
        <v>0</v>
      </c>
      <c r="DI103" s="9">
        <v>0</v>
      </c>
      <c r="DJ103" s="9">
        <v>0</v>
      </c>
      <c r="DK103" s="9">
        <v>0</v>
      </c>
      <c r="DL103" s="9">
        <v>0</v>
      </c>
      <c r="DM103" s="9">
        <v>0</v>
      </c>
      <c r="DN103" s="9">
        <v>0</v>
      </c>
      <c r="DO103" s="9">
        <v>0</v>
      </c>
      <c r="DP103" s="9">
        <v>0</v>
      </c>
      <c r="DQ103" s="9">
        <v>0</v>
      </c>
      <c r="DR103" s="9">
        <v>0</v>
      </c>
      <c r="DS103" s="9">
        <v>0</v>
      </c>
      <c r="DT103" s="9">
        <v>0</v>
      </c>
      <c r="DU103" s="9">
        <v>0</v>
      </c>
      <c r="DV103" s="9">
        <v>0</v>
      </c>
      <c r="DW103" s="9">
        <v>0</v>
      </c>
      <c r="DX103" s="9">
        <v>0</v>
      </c>
      <c r="DY103" s="9">
        <v>0</v>
      </c>
      <c r="DZ103" s="9">
        <v>0</v>
      </c>
      <c r="EA103" s="9">
        <v>0</v>
      </c>
      <c r="EB103" s="9">
        <v>0</v>
      </c>
      <c r="EC103" s="9">
        <v>0</v>
      </c>
      <c r="ED103" s="9">
        <v>0</v>
      </c>
      <c r="EE103" s="9">
        <v>0</v>
      </c>
      <c r="EF103" s="9">
        <v>0</v>
      </c>
      <c r="EG103" s="9">
        <v>0</v>
      </c>
      <c r="EH103" s="9">
        <v>0</v>
      </c>
      <c r="EI103" s="10">
        <v>0</v>
      </c>
    </row>
    <row r="104" spans="1:139" x14ac:dyDescent="0.35">
      <c r="A104" s="8" t="s">
        <v>174</v>
      </c>
      <c r="B104" s="9" t="s">
        <v>183</v>
      </c>
      <c r="C104" s="9" t="s">
        <v>184</v>
      </c>
      <c r="D104" s="9">
        <f t="shared" si="1"/>
        <v>0</v>
      </c>
      <c r="E104" s="9">
        <v>0</v>
      </c>
      <c r="F104" s="9">
        <v>0</v>
      </c>
      <c r="G104" s="9">
        <v>0</v>
      </c>
      <c r="H104" s="9">
        <v>0</v>
      </c>
      <c r="I104" s="9">
        <v>0</v>
      </c>
      <c r="J104" s="9">
        <v>0</v>
      </c>
      <c r="K104" s="9">
        <v>0</v>
      </c>
      <c r="L104" s="9">
        <v>0</v>
      </c>
      <c r="M104" s="9">
        <v>0</v>
      </c>
      <c r="N104" s="9">
        <v>0</v>
      </c>
      <c r="O104" s="9">
        <v>0</v>
      </c>
      <c r="P104" s="9">
        <v>0</v>
      </c>
      <c r="Q104" s="9">
        <v>0</v>
      </c>
      <c r="R104" s="9">
        <v>0</v>
      </c>
      <c r="S104" s="9">
        <v>0</v>
      </c>
      <c r="T104" s="9">
        <v>0</v>
      </c>
      <c r="U104" s="9">
        <v>0</v>
      </c>
      <c r="V104" s="9">
        <v>0</v>
      </c>
      <c r="W104" s="9">
        <v>0</v>
      </c>
      <c r="X104" s="9">
        <v>0</v>
      </c>
      <c r="Y104" s="9">
        <v>0</v>
      </c>
      <c r="Z104" s="9">
        <v>0</v>
      </c>
      <c r="AA104" s="9">
        <v>0</v>
      </c>
      <c r="AB104" s="9">
        <v>0</v>
      </c>
      <c r="AC104" s="9">
        <v>0</v>
      </c>
      <c r="AD104" s="9">
        <v>0</v>
      </c>
      <c r="AE104" s="9">
        <v>0</v>
      </c>
      <c r="AF104" s="9">
        <v>0</v>
      </c>
      <c r="AG104" s="9">
        <v>0</v>
      </c>
      <c r="AH104" s="9">
        <v>0</v>
      </c>
      <c r="AI104" s="9">
        <v>0</v>
      </c>
      <c r="AJ104" s="9">
        <v>0</v>
      </c>
      <c r="AK104" s="9">
        <v>0</v>
      </c>
      <c r="AL104" s="9">
        <v>0</v>
      </c>
      <c r="AM104" s="9">
        <v>0</v>
      </c>
      <c r="AN104" s="9">
        <v>0</v>
      </c>
      <c r="AO104" s="9">
        <v>0</v>
      </c>
      <c r="AP104" s="9">
        <v>0</v>
      </c>
      <c r="AQ104" s="9">
        <v>0</v>
      </c>
      <c r="AR104" s="9">
        <v>0</v>
      </c>
      <c r="AS104" s="9">
        <v>0</v>
      </c>
      <c r="AT104" s="9">
        <v>0</v>
      </c>
      <c r="AU104" s="9">
        <v>0</v>
      </c>
      <c r="AV104" s="9">
        <v>0</v>
      </c>
      <c r="AW104" s="9">
        <v>0</v>
      </c>
      <c r="AX104" s="9">
        <v>0</v>
      </c>
      <c r="AY104" s="9">
        <v>0</v>
      </c>
      <c r="AZ104" s="9">
        <v>0</v>
      </c>
      <c r="BA104" s="9">
        <v>0</v>
      </c>
      <c r="BB104" s="9">
        <v>0</v>
      </c>
      <c r="BC104" s="9">
        <v>0</v>
      </c>
      <c r="BD104" s="9">
        <v>0</v>
      </c>
      <c r="BE104" s="9">
        <v>0</v>
      </c>
      <c r="BF104" s="9">
        <v>0</v>
      </c>
      <c r="BG104" s="9">
        <v>0</v>
      </c>
      <c r="BH104" s="9">
        <v>0</v>
      </c>
      <c r="BI104" s="9">
        <v>0</v>
      </c>
      <c r="BJ104" s="9">
        <v>0</v>
      </c>
      <c r="BK104" s="9">
        <v>0</v>
      </c>
      <c r="BL104" s="9">
        <v>0</v>
      </c>
      <c r="BM104" s="9">
        <v>0</v>
      </c>
      <c r="BN104" s="9">
        <v>0</v>
      </c>
      <c r="BO104" s="9">
        <v>0</v>
      </c>
      <c r="BP104" s="9">
        <v>0</v>
      </c>
      <c r="BQ104" s="9">
        <v>0</v>
      </c>
      <c r="BR104" s="9">
        <v>0</v>
      </c>
      <c r="BS104" s="9">
        <v>0</v>
      </c>
      <c r="BT104" s="9">
        <v>0</v>
      </c>
      <c r="BU104" s="9">
        <v>0</v>
      </c>
      <c r="BV104" s="9">
        <v>0</v>
      </c>
      <c r="BW104" s="9">
        <v>0</v>
      </c>
      <c r="BX104" s="9">
        <v>0</v>
      </c>
      <c r="BY104" s="9">
        <v>0</v>
      </c>
      <c r="BZ104" s="9">
        <v>0</v>
      </c>
      <c r="CA104" s="9">
        <v>0</v>
      </c>
      <c r="CB104" s="9">
        <v>0</v>
      </c>
      <c r="CC104" s="9">
        <v>0</v>
      </c>
      <c r="CD104" s="9">
        <v>0</v>
      </c>
      <c r="CE104" s="9">
        <v>0</v>
      </c>
      <c r="CF104" s="9">
        <v>0</v>
      </c>
      <c r="CG104" s="9">
        <v>0</v>
      </c>
      <c r="CH104" s="9">
        <v>0</v>
      </c>
      <c r="CI104" s="9">
        <v>0</v>
      </c>
      <c r="CJ104" s="9">
        <v>0</v>
      </c>
      <c r="CK104" s="9">
        <v>0</v>
      </c>
      <c r="CL104" s="9">
        <v>0</v>
      </c>
      <c r="CM104" s="9">
        <v>0</v>
      </c>
      <c r="CN104" s="9">
        <v>0</v>
      </c>
      <c r="CO104" s="9">
        <v>0</v>
      </c>
      <c r="CP104" s="9">
        <v>0</v>
      </c>
      <c r="CQ104" s="9">
        <v>0</v>
      </c>
      <c r="CR104" s="9">
        <v>0</v>
      </c>
      <c r="CS104" s="9">
        <v>0</v>
      </c>
      <c r="CT104" s="9">
        <v>0</v>
      </c>
      <c r="CU104" s="9">
        <v>0</v>
      </c>
      <c r="CV104" s="9">
        <v>0</v>
      </c>
      <c r="CW104" s="9">
        <v>0</v>
      </c>
      <c r="CX104" s="9">
        <v>0</v>
      </c>
      <c r="CY104" s="9">
        <v>0</v>
      </c>
      <c r="CZ104" s="9">
        <v>0</v>
      </c>
      <c r="DA104" s="9">
        <v>0</v>
      </c>
      <c r="DB104" s="9">
        <v>0</v>
      </c>
      <c r="DC104" s="9">
        <v>0</v>
      </c>
      <c r="DD104" s="9">
        <v>0</v>
      </c>
      <c r="DE104" s="9">
        <v>0</v>
      </c>
      <c r="DF104" s="9">
        <v>0</v>
      </c>
      <c r="DG104" s="9">
        <v>0</v>
      </c>
      <c r="DH104" s="9">
        <v>0</v>
      </c>
      <c r="DI104" s="9">
        <v>0</v>
      </c>
      <c r="DJ104" s="9">
        <v>0</v>
      </c>
      <c r="DK104" s="9">
        <v>0</v>
      </c>
      <c r="DL104" s="9">
        <v>0</v>
      </c>
      <c r="DM104" s="9">
        <v>0</v>
      </c>
      <c r="DN104" s="9">
        <v>0</v>
      </c>
      <c r="DO104" s="9">
        <v>0</v>
      </c>
      <c r="DP104" s="9">
        <v>0</v>
      </c>
      <c r="DQ104" s="9">
        <v>0</v>
      </c>
      <c r="DR104" s="9">
        <v>0</v>
      </c>
      <c r="DS104" s="9">
        <v>0</v>
      </c>
      <c r="DT104" s="9">
        <v>0</v>
      </c>
      <c r="DU104" s="9">
        <v>0</v>
      </c>
      <c r="DV104" s="9">
        <v>0</v>
      </c>
      <c r="DW104" s="9">
        <v>0</v>
      </c>
      <c r="DX104" s="9">
        <v>0</v>
      </c>
      <c r="DY104" s="9">
        <v>0</v>
      </c>
      <c r="DZ104" s="9">
        <v>0</v>
      </c>
      <c r="EA104" s="9">
        <v>0</v>
      </c>
      <c r="EB104" s="9">
        <v>0</v>
      </c>
      <c r="EC104" s="9">
        <v>0</v>
      </c>
      <c r="ED104" s="9">
        <v>0</v>
      </c>
      <c r="EE104" s="9">
        <v>0</v>
      </c>
      <c r="EF104" s="9">
        <v>0</v>
      </c>
      <c r="EG104" s="9">
        <v>0</v>
      </c>
      <c r="EH104" s="9">
        <v>0</v>
      </c>
      <c r="EI104" s="10">
        <v>0</v>
      </c>
    </row>
    <row r="105" spans="1:139" x14ac:dyDescent="0.35">
      <c r="A105" s="8" t="s">
        <v>174</v>
      </c>
      <c r="B105" s="9" t="s">
        <v>25</v>
      </c>
      <c r="C105" s="9" t="s">
        <v>26</v>
      </c>
      <c r="D105" s="9">
        <f t="shared" si="1"/>
        <v>0</v>
      </c>
      <c r="E105" s="9">
        <v>0</v>
      </c>
      <c r="F105" s="9">
        <v>0</v>
      </c>
      <c r="G105" s="9">
        <v>0</v>
      </c>
      <c r="H105" s="9">
        <v>0</v>
      </c>
      <c r="I105" s="9">
        <v>0</v>
      </c>
      <c r="J105" s="9">
        <v>0</v>
      </c>
      <c r="K105" s="9">
        <v>0</v>
      </c>
      <c r="L105" s="9">
        <v>0</v>
      </c>
      <c r="M105" s="9">
        <v>0</v>
      </c>
      <c r="N105" s="9">
        <v>0</v>
      </c>
      <c r="O105" s="9">
        <v>0</v>
      </c>
      <c r="P105" s="9">
        <v>0</v>
      </c>
      <c r="Q105" s="9">
        <v>0</v>
      </c>
      <c r="R105" s="9">
        <v>0</v>
      </c>
      <c r="S105" s="9">
        <v>0</v>
      </c>
      <c r="T105" s="9">
        <v>0</v>
      </c>
      <c r="U105" s="9">
        <v>0</v>
      </c>
      <c r="V105" s="9">
        <v>0</v>
      </c>
      <c r="W105" s="9">
        <v>0</v>
      </c>
      <c r="X105" s="9">
        <v>0</v>
      </c>
      <c r="Y105" s="9">
        <v>0</v>
      </c>
      <c r="Z105" s="9">
        <v>0</v>
      </c>
      <c r="AA105" s="9">
        <v>0</v>
      </c>
      <c r="AB105" s="9">
        <v>0</v>
      </c>
      <c r="AC105" s="9">
        <v>0</v>
      </c>
      <c r="AD105" s="9">
        <v>0</v>
      </c>
      <c r="AE105" s="9">
        <v>0</v>
      </c>
      <c r="AF105" s="9">
        <v>0</v>
      </c>
      <c r="AG105" s="9">
        <v>0</v>
      </c>
      <c r="AH105" s="9">
        <v>0</v>
      </c>
      <c r="AI105" s="9">
        <v>0</v>
      </c>
      <c r="AJ105" s="9">
        <v>0</v>
      </c>
      <c r="AK105" s="9">
        <v>0</v>
      </c>
      <c r="AL105" s="9">
        <v>0</v>
      </c>
      <c r="AM105" s="9">
        <v>0</v>
      </c>
      <c r="AN105" s="9">
        <v>0</v>
      </c>
      <c r="AO105" s="9">
        <v>0</v>
      </c>
      <c r="AP105" s="9">
        <v>0</v>
      </c>
      <c r="AQ105" s="9">
        <v>0</v>
      </c>
      <c r="AR105" s="9">
        <v>0</v>
      </c>
      <c r="AS105" s="9">
        <v>0</v>
      </c>
      <c r="AT105" s="9">
        <v>0</v>
      </c>
      <c r="AU105" s="9">
        <v>0</v>
      </c>
      <c r="AV105" s="9">
        <v>0</v>
      </c>
      <c r="AW105" s="9">
        <v>0</v>
      </c>
      <c r="AX105" s="9">
        <v>0</v>
      </c>
      <c r="AY105" s="9">
        <v>0</v>
      </c>
      <c r="AZ105" s="9">
        <v>0</v>
      </c>
      <c r="BA105" s="9">
        <v>0</v>
      </c>
      <c r="BB105" s="9">
        <v>0</v>
      </c>
      <c r="BC105" s="9">
        <v>0</v>
      </c>
      <c r="BD105" s="9">
        <v>0</v>
      </c>
      <c r="BE105" s="9">
        <v>0</v>
      </c>
      <c r="BF105" s="9">
        <v>0</v>
      </c>
      <c r="BG105" s="9">
        <v>0</v>
      </c>
      <c r="BH105" s="9">
        <v>0</v>
      </c>
      <c r="BI105" s="9">
        <v>0</v>
      </c>
      <c r="BJ105" s="9">
        <v>0</v>
      </c>
      <c r="BK105" s="9">
        <v>0</v>
      </c>
      <c r="BL105" s="9">
        <v>0</v>
      </c>
      <c r="BM105" s="9">
        <v>0</v>
      </c>
      <c r="BN105" s="9">
        <v>0</v>
      </c>
      <c r="BO105" s="9">
        <v>0</v>
      </c>
      <c r="BP105" s="9">
        <v>0</v>
      </c>
      <c r="BQ105" s="9">
        <v>0</v>
      </c>
      <c r="BR105" s="9">
        <v>0</v>
      </c>
      <c r="BS105" s="9">
        <v>0</v>
      </c>
      <c r="BT105" s="9">
        <v>0</v>
      </c>
      <c r="BU105" s="9">
        <v>0</v>
      </c>
      <c r="BV105" s="9">
        <v>0</v>
      </c>
      <c r="BW105" s="9">
        <v>0</v>
      </c>
      <c r="BX105" s="9">
        <v>0</v>
      </c>
      <c r="BY105" s="9">
        <v>0</v>
      </c>
      <c r="BZ105" s="9">
        <v>0</v>
      </c>
      <c r="CA105" s="9">
        <v>0</v>
      </c>
      <c r="CB105" s="9">
        <v>0</v>
      </c>
      <c r="CC105" s="9">
        <v>0</v>
      </c>
      <c r="CD105" s="9">
        <v>0</v>
      </c>
      <c r="CE105" s="9">
        <v>0</v>
      </c>
      <c r="CF105" s="9">
        <v>0</v>
      </c>
      <c r="CG105" s="9">
        <v>0</v>
      </c>
      <c r="CH105" s="9">
        <v>0</v>
      </c>
      <c r="CI105" s="9">
        <v>0</v>
      </c>
      <c r="CJ105" s="9">
        <v>0</v>
      </c>
      <c r="CK105" s="9">
        <v>0</v>
      </c>
      <c r="CL105" s="9">
        <v>0</v>
      </c>
      <c r="CM105" s="9">
        <v>0</v>
      </c>
      <c r="CN105" s="9">
        <v>0</v>
      </c>
      <c r="CO105" s="9">
        <v>0</v>
      </c>
      <c r="CP105" s="9">
        <v>0</v>
      </c>
      <c r="CQ105" s="9">
        <v>0</v>
      </c>
      <c r="CR105" s="9">
        <v>0</v>
      </c>
      <c r="CS105" s="9">
        <v>0</v>
      </c>
      <c r="CT105" s="9">
        <v>0</v>
      </c>
      <c r="CU105" s="9">
        <v>0</v>
      </c>
      <c r="CV105" s="9">
        <v>0</v>
      </c>
      <c r="CW105" s="9">
        <v>0</v>
      </c>
      <c r="CX105" s="9">
        <v>0</v>
      </c>
      <c r="CY105" s="9">
        <v>0</v>
      </c>
      <c r="CZ105" s="9">
        <v>0</v>
      </c>
      <c r="DA105" s="9">
        <v>0</v>
      </c>
      <c r="DB105" s="9">
        <v>0</v>
      </c>
      <c r="DC105" s="9">
        <v>0</v>
      </c>
      <c r="DD105" s="9">
        <v>0</v>
      </c>
      <c r="DE105" s="9">
        <v>0</v>
      </c>
      <c r="DF105" s="9">
        <v>0</v>
      </c>
      <c r="DG105" s="9">
        <v>0</v>
      </c>
      <c r="DH105" s="9">
        <v>0</v>
      </c>
      <c r="DI105" s="9">
        <v>0</v>
      </c>
      <c r="DJ105" s="9">
        <v>0</v>
      </c>
      <c r="DK105" s="9">
        <v>0</v>
      </c>
      <c r="DL105" s="9">
        <v>0</v>
      </c>
      <c r="DM105" s="9">
        <v>0</v>
      </c>
      <c r="DN105" s="9">
        <v>0</v>
      </c>
      <c r="DO105" s="9">
        <v>0</v>
      </c>
      <c r="DP105" s="9">
        <v>0</v>
      </c>
      <c r="DQ105" s="9">
        <v>0</v>
      </c>
      <c r="DR105" s="9">
        <v>0</v>
      </c>
      <c r="DS105" s="9">
        <v>0</v>
      </c>
      <c r="DT105" s="9">
        <v>0</v>
      </c>
      <c r="DU105" s="9">
        <v>0</v>
      </c>
      <c r="DV105" s="9">
        <v>0</v>
      </c>
      <c r="DW105" s="9">
        <v>0</v>
      </c>
      <c r="DX105" s="9">
        <v>0</v>
      </c>
      <c r="DY105" s="9">
        <v>0</v>
      </c>
      <c r="DZ105" s="9">
        <v>0</v>
      </c>
      <c r="EA105" s="9">
        <v>0</v>
      </c>
      <c r="EB105" s="9">
        <v>0</v>
      </c>
      <c r="EC105" s="9">
        <v>0</v>
      </c>
      <c r="ED105" s="9">
        <v>0</v>
      </c>
      <c r="EE105" s="9">
        <v>0</v>
      </c>
      <c r="EF105" s="9">
        <v>0</v>
      </c>
      <c r="EG105" s="9">
        <v>0</v>
      </c>
      <c r="EH105" s="9">
        <v>0</v>
      </c>
      <c r="EI105" s="10">
        <v>0</v>
      </c>
    </row>
    <row r="106" spans="1:139" x14ac:dyDescent="0.35">
      <c r="A106" s="8" t="s">
        <v>174</v>
      </c>
      <c r="B106" s="9" t="s">
        <v>27</v>
      </c>
      <c r="C106" s="9" t="s">
        <v>28</v>
      </c>
      <c r="D106" s="9">
        <f t="shared" si="1"/>
        <v>0</v>
      </c>
      <c r="E106" s="9">
        <v>0</v>
      </c>
      <c r="F106" s="9">
        <v>0</v>
      </c>
      <c r="G106" s="9">
        <v>0</v>
      </c>
      <c r="H106" s="9">
        <v>0</v>
      </c>
      <c r="I106" s="9">
        <v>0</v>
      </c>
      <c r="J106" s="9">
        <v>0</v>
      </c>
      <c r="K106" s="9">
        <v>0</v>
      </c>
      <c r="L106" s="9">
        <v>0</v>
      </c>
      <c r="M106" s="9">
        <v>0</v>
      </c>
      <c r="N106" s="9">
        <v>0</v>
      </c>
      <c r="O106" s="9">
        <v>0</v>
      </c>
      <c r="P106" s="9">
        <v>0</v>
      </c>
      <c r="Q106" s="9">
        <v>0</v>
      </c>
      <c r="R106" s="9">
        <v>0</v>
      </c>
      <c r="S106" s="9">
        <v>0</v>
      </c>
      <c r="T106" s="9">
        <v>0</v>
      </c>
      <c r="U106" s="9">
        <v>0</v>
      </c>
      <c r="V106" s="9">
        <v>0</v>
      </c>
      <c r="W106" s="9">
        <v>0</v>
      </c>
      <c r="X106" s="9">
        <v>0</v>
      </c>
      <c r="Y106" s="9">
        <v>0</v>
      </c>
      <c r="Z106" s="9">
        <v>0</v>
      </c>
      <c r="AA106" s="9">
        <v>0</v>
      </c>
      <c r="AB106" s="9">
        <v>0</v>
      </c>
      <c r="AC106" s="9">
        <v>0</v>
      </c>
      <c r="AD106" s="9">
        <v>0</v>
      </c>
      <c r="AE106" s="9">
        <v>0</v>
      </c>
      <c r="AF106" s="9">
        <v>0</v>
      </c>
      <c r="AG106" s="9">
        <v>0</v>
      </c>
      <c r="AH106" s="9">
        <v>0</v>
      </c>
      <c r="AI106" s="9">
        <v>0</v>
      </c>
      <c r="AJ106" s="9">
        <v>0</v>
      </c>
      <c r="AK106" s="9">
        <v>0</v>
      </c>
      <c r="AL106" s="9">
        <v>0</v>
      </c>
      <c r="AM106" s="9">
        <v>0</v>
      </c>
      <c r="AN106" s="9">
        <v>0</v>
      </c>
      <c r="AO106" s="9">
        <v>0</v>
      </c>
      <c r="AP106" s="9">
        <v>0</v>
      </c>
      <c r="AQ106" s="9">
        <v>0</v>
      </c>
      <c r="AR106" s="9">
        <v>0</v>
      </c>
      <c r="AS106" s="9">
        <v>0</v>
      </c>
      <c r="AT106" s="9">
        <v>0</v>
      </c>
      <c r="AU106" s="9">
        <v>0</v>
      </c>
      <c r="AV106" s="9">
        <v>0</v>
      </c>
      <c r="AW106" s="9">
        <v>0</v>
      </c>
      <c r="AX106" s="9">
        <v>0</v>
      </c>
      <c r="AY106" s="9">
        <v>0</v>
      </c>
      <c r="AZ106" s="9">
        <v>0</v>
      </c>
      <c r="BA106" s="9">
        <v>0</v>
      </c>
      <c r="BB106" s="9">
        <v>0</v>
      </c>
      <c r="BC106" s="9">
        <v>0</v>
      </c>
      <c r="BD106" s="9">
        <v>0</v>
      </c>
      <c r="BE106" s="9">
        <v>0</v>
      </c>
      <c r="BF106" s="9">
        <v>0</v>
      </c>
      <c r="BG106" s="9">
        <v>0</v>
      </c>
      <c r="BH106" s="9">
        <v>0</v>
      </c>
      <c r="BI106" s="9">
        <v>0</v>
      </c>
      <c r="BJ106" s="9">
        <v>0</v>
      </c>
      <c r="BK106" s="9">
        <v>0</v>
      </c>
      <c r="BL106" s="9">
        <v>0</v>
      </c>
      <c r="BM106" s="9">
        <v>0</v>
      </c>
      <c r="BN106" s="9">
        <v>0</v>
      </c>
      <c r="BO106" s="9">
        <v>0</v>
      </c>
      <c r="BP106" s="9">
        <v>0</v>
      </c>
      <c r="BQ106" s="9">
        <v>0</v>
      </c>
      <c r="BR106" s="9">
        <v>0</v>
      </c>
      <c r="BS106" s="9">
        <v>0</v>
      </c>
      <c r="BT106" s="9">
        <v>0</v>
      </c>
      <c r="BU106" s="9">
        <v>0</v>
      </c>
      <c r="BV106" s="9">
        <v>0</v>
      </c>
      <c r="BW106" s="9">
        <v>0</v>
      </c>
      <c r="BX106" s="9">
        <v>0</v>
      </c>
      <c r="BY106" s="9">
        <v>0</v>
      </c>
      <c r="BZ106" s="9">
        <v>0</v>
      </c>
      <c r="CA106" s="9">
        <v>0</v>
      </c>
      <c r="CB106" s="9">
        <v>0</v>
      </c>
      <c r="CC106" s="9">
        <v>0</v>
      </c>
      <c r="CD106" s="9">
        <v>0</v>
      </c>
      <c r="CE106" s="9">
        <v>0</v>
      </c>
      <c r="CF106" s="9">
        <v>0</v>
      </c>
      <c r="CG106" s="9">
        <v>0</v>
      </c>
      <c r="CH106" s="9">
        <v>0</v>
      </c>
      <c r="CI106" s="9">
        <v>0</v>
      </c>
      <c r="CJ106" s="9">
        <v>0</v>
      </c>
      <c r="CK106" s="9">
        <v>0</v>
      </c>
      <c r="CL106" s="9">
        <v>0</v>
      </c>
      <c r="CM106" s="9">
        <v>0</v>
      </c>
      <c r="CN106" s="9">
        <v>0</v>
      </c>
      <c r="CO106" s="9">
        <v>0</v>
      </c>
      <c r="CP106" s="9">
        <v>0</v>
      </c>
      <c r="CQ106" s="9">
        <v>0</v>
      </c>
      <c r="CR106" s="9">
        <v>0</v>
      </c>
      <c r="CS106" s="9">
        <v>0</v>
      </c>
      <c r="CT106" s="9">
        <v>0</v>
      </c>
      <c r="CU106" s="9">
        <v>0</v>
      </c>
      <c r="CV106" s="9">
        <v>0</v>
      </c>
      <c r="CW106" s="9">
        <v>0</v>
      </c>
      <c r="CX106" s="9">
        <v>0</v>
      </c>
      <c r="CY106" s="9">
        <v>0</v>
      </c>
      <c r="CZ106" s="9">
        <v>0</v>
      </c>
      <c r="DA106" s="9">
        <v>0</v>
      </c>
      <c r="DB106" s="9">
        <v>0</v>
      </c>
      <c r="DC106" s="9">
        <v>0</v>
      </c>
      <c r="DD106" s="9">
        <v>0</v>
      </c>
      <c r="DE106" s="9">
        <v>0</v>
      </c>
      <c r="DF106" s="9">
        <v>0</v>
      </c>
      <c r="DG106" s="9">
        <v>0</v>
      </c>
      <c r="DH106" s="9">
        <v>0</v>
      </c>
      <c r="DI106" s="9">
        <v>0</v>
      </c>
      <c r="DJ106" s="9">
        <v>0</v>
      </c>
      <c r="DK106" s="9">
        <v>0</v>
      </c>
      <c r="DL106" s="9">
        <v>0</v>
      </c>
      <c r="DM106" s="9">
        <v>0</v>
      </c>
      <c r="DN106" s="9">
        <v>0</v>
      </c>
      <c r="DO106" s="9">
        <v>0</v>
      </c>
      <c r="DP106" s="9">
        <v>0</v>
      </c>
      <c r="DQ106" s="9">
        <v>0</v>
      </c>
      <c r="DR106" s="9">
        <v>0</v>
      </c>
      <c r="DS106" s="9">
        <v>0</v>
      </c>
      <c r="DT106" s="9">
        <v>0</v>
      </c>
      <c r="DU106" s="9">
        <v>0</v>
      </c>
      <c r="DV106" s="9">
        <v>0</v>
      </c>
      <c r="DW106" s="9">
        <v>0</v>
      </c>
      <c r="DX106" s="9">
        <v>0</v>
      </c>
      <c r="DY106" s="9">
        <v>0</v>
      </c>
      <c r="DZ106" s="9">
        <v>0</v>
      </c>
      <c r="EA106" s="9">
        <v>0</v>
      </c>
      <c r="EB106" s="9">
        <v>0</v>
      </c>
      <c r="EC106" s="9">
        <v>0</v>
      </c>
      <c r="ED106" s="9">
        <v>0</v>
      </c>
      <c r="EE106" s="9">
        <v>0</v>
      </c>
      <c r="EF106" s="9">
        <v>0</v>
      </c>
      <c r="EG106" s="9">
        <v>0</v>
      </c>
      <c r="EH106" s="9">
        <v>0</v>
      </c>
      <c r="EI106" s="10">
        <v>0</v>
      </c>
    </row>
    <row r="107" spans="1:139" x14ac:dyDescent="0.35">
      <c r="A107" s="8" t="s">
        <v>174</v>
      </c>
      <c r="B107" s="9" t="s">
        <v>185</v>
      </c>
      <c r="C107" s="9" t="s">
        <v>186</v>
      </c>
      <c r="D107" s="9">
        <f t="shared" si="1"/>
        <v>73</v>
      </c>
      <c r="E107" s="9">
        <v>0</v>
      </c>
      <c r="F107" s="9">
        <v>0</v>
      </c>
      <c r="G107" s="9">
        <v>0</v>
      </c>
      <c r="H107" s="9">
        <v>0</v>
      </c>
      <c r="I107" s="9">
        <v>0</v>
      </c>
      <c r="J107" s="9">
        <v>0</v>
      </c>
      <c r="K107" s="9">
        <v>0</v>
      </c>
      <c r="L107" s="9">
        <v>0</v>
      </c>
      <c r="M107" s="9">
        <v>0</v>
      </c>
      <c r="N107" s="9">
        <v>0</v>
      </c>
      <c r="O107" s="9">
        <v>0</v>
      </c>
      <c r="P107" s="9">
        <v>0</v>
      </c>
      <c r="Q107" s="9">
        <v>0</v>
      </c>
      <c r="R107" s="9">
        <v>0</v>
      </c>
      <c r="S107" s="9">
        <v>0</v>
      </c>
      <c r="T107" s="9">
        <v>0</v>
      </c>
      <c r="U107" s="9">
        <v>5</v>
      </c>
      <c r="V107" s="9">
        <v>1</v>
      </c>
      <c r="W107" s="9">
        <v>1</v>
      </c>
      <c r="X107" s="9">
        <v>1</v>
      </c>
      <c r="Y107" s="9">
        <v>2</v>
      </c>
      <c r="Z107" s="9">
        <v>4</v>
      </c>
      <c r="AA107" s="9">
        <v>1</v>
      </c>
      <c r="AB107" s="9">
        <v>1</v>
      </c>
      <c r="AC107" s="9">
        <v>0</v>
      </c>
      <c r="AD107" s="9">
        <v>1</v>
      </c>
      <c r="AE107" s="9">
        <v>2</v>
      </c>
      <c r="AF107" s="9">
        <v>1</v>
      </c>
      <c r="AG107" s="9">
        <v>2</v>
      </c>
      <c r="AH107" s="9">
        <v>2</v>
      </c>
      <c r="AI107" s="9">
        <v>0</v>
      </c>
      <c r="AJ107" s="9">
        <v>0</v>
      </c>
      <c r="AK107" s="9">
        <v>0</v>
      </c>
      <c r="AL107" s="9">
        <v>1</v>
      </c>
      <c r="AM107" s="9">
        <v>1</v>
      </c>
      <c r="AN107" s="9">
        <v>2</v>
      </c>
      <c r="AO107" s="9">
        <v>3</v>
      </c>
      <c r="AP107" s="9">
        <v>3</v>
      </c>
      <c r="AQ107" s="9">
        <v>1</v>
      </c>
      <c r="AR107" s="9">
        <v>1</v>
      </c>
      <c r="AS107" s="9">
        <v>2</v>
      </c>
      <c r="AT107" s="9">
        <v>2</v>
      </c>
      <c r="AU107" s="9">
        <v>1</v>
      </c>
      <c r="AV107" s="9">
        <v>0</v>
      </c>
      <c r="AW107" s="9">
        <v>1</v>
      </c>
      <c r="AX107" s="9">
        <v>0</v>
      </c>
      <c r="AY107" s="9">
        <v>0</v>
      </c>
      <c r="AZ107" s="9">
        <v>0</v>
      </c>
      <c r="BA107" s="9">
        <v>1</v>
      </c>
      <c r="BB107" s="9">
        <v>0</v>
      </c>
      <c r="BC107" s="9">
        <v>1</v>
      </c>
      <c r="BD107" s="9">
        <v>1</v>
      </c>
      <c r="BE107" s="9">
        <v>1</v>
      </c>
      <c r="BF107" s="9">
        <v>1</v>
      </c>
      <c r="BG107" s="9">
        <v>0</v>
      </c>
      <c r="BH107" s="9">
        <v>1</v>
      </c>
      <c r="BI107" s="9">
        <v>0</v>
      </c>
      <c r="BJ107" s="9">
        <v>0</v>
      </c>
      <c r="BK107" s="9">
        <v>1</v>
      </c>
      <c r="BL107" s="9">
        <v>1</v>
      </c>
      <c r="BM107" s="9">
        <v>0</v>
      </c>
      <c r="BN107" s="9">
        <v>1</v>
      </c>
      <c r="BO107" s="9">
        <v>1</v>
      </c>
      <c r="BP107" s="9">
        <v>1</v>
      </c>
      <c r="BQ107" s="9">
        <v>2</v>
      </c>
      <c r="BR107" s="9">
        <v>0</v>
      </c>
      <c r="BS107" s="9">
        <v>0</v>
      </c>
      <c r="BT107" s="9">
        <v>0</v>
      </c>
      <c r="BU107" s="9">
        <v>0</v>
      </c>
      <c r="BV107" s="9">
        <v>0</v>
      </c>
      <c r="BW107" s="9">
        <v>0</v>
      </c>
      <c r="BX107" s="9">
        <v>0</v>
      </c>
      <c r="BY107" s="9">
        <v>2</v>
      </c>
      <c r="BZ107" s="9">
        <v>0</v>
      </c>
      <c r="CA107" s="9">
        <v>0</v>
      </c>
      <c r="CB107" s="9">
        <v>0</v>
      </c>
      <c r="CC107" s="9">
        <v>0</v>
      </c>
      <c r="CD107" s="9">
        <v>1</v>
      </c>
      <c r="CE107" s="9">
        <v>0</v>
      </c>
      <c r="CF107" s="9">
        <v>0</v>
      </c>
      <c r="CG107" s="9">
        <v>0</v>
      </c>
      <c r="CH107" s="9">
        <v>0</v>
      </c>
      <c r="CI107" s="9">
        <v>0</v>
      </c>
      <c r="CJ107" s="9">
        <v>0</v>
      </c>
      <c r="CK107" s="9">
        <v>1</v>
      </c>
      <c r="CL107" s="9">
        <v>0</v>
      </c>
      <c r="CM107" s="9">
        <v>1</v>
      </c>
      <c r="CN107" s="9">
        <v>0</v>
      </c>
      <c r="CO107" s="9">
        <v>0</v>
      </c>
      <c r="CP107" s="9">
        <v>1</v>
      </c>
      <c r="CQ107" s="9">
        <v>0</v>
      </c>
      <c r="CR107" s="9">
        <v>0</v>
      </c>
      <c r="CS107" s="9">
        <v>0</v>
      </c>
      <c r="CT107" s="9">
        <v>0</v>
      </c>
      <c r="CU107" s="9">
        <v>1</v>
      </c>
      <c r="CV107" s="9">
        <v>1</v>
      </c>
      <c r="CW107" s="9">
        <v>0</v>
      </c>
      <c r="CX107" s="9">
        <v>0</v>
      </c>
      <c r="CY107" s="9">
        <v>0</v>
      </c>
      <c r="CZ107" s="9">
        <v>0</v>
      </c>
      <c r="DA107" s="9">
        <v>0</v>
      </c>
      <c r="DB107" s="9">
        <v>0</v>
      </c>
      <c r="DC107" s="9">
        <v>0</v>
      </c>
      <c r="DD107" s="9">
        <v>0</v>
      </c>
      <c r="DE107" s="9">
        <v>0</v>
      </c>
      <c r="DF107" s="9">
        <v>0</v>
      </c>
      <c r="DG107" s="9">
        <v>0</v>
      </c>
      <c r="DH107" s="9">
        <v>0</v>
      </c>
      <c r="DI107" s="9">
        <v>0</v>
      </c>
      <c r="DJ107" s="9">
        <v>9</v>
      </c>
      <c r="DK107" s="9">
        <v>0</v>
      </c>
      <c r="DL107" s="9">
        <v>0</v>
      </c>
      <c r="DM107" s="9">
        <v>0</v>
      </c>
      <c r="DN107" s="9">
        <v>0</v>
      </c>
      <c r="DO107" s="9">
        <v>0</v>
      </c>
      <c r="DP107" s="9">
        <v>0</v>
      </c>
      <c r="DQ107" s="9">
        <v>0</v>
      </c>
      <c r="DR107" s="9">
        <v>0</v>
      </c>
      <c r="DS107" s="9">
        <v>0</v>
      </c>
      <c r="DT107" s="9">
        <v>0</v>
      </c>
      <c r="DU107" s="9">
        <v>0</v>
      </c>
      <c r="DV107" s="9">
        <v>0</v>
      </c>
      <c r="DW107" s="9">
        <v>0</v>
      </c>
      <c r="DX107" s="9">
        <v>0</v>
      </c>
      <c r="DY107" s="9">
        <v>0</v>
      </c>
      <c r="DZ107" s="9">
        <v>0</v>
      </c>
      <c r="EA107" s="9">
        <v>0</v>
      </c>
      <c r="EB107" s="9">
        <v>0</v>
      </c>
      <c r="EC107" s="9">
        <v>0</v>
      </c>
      <c r="ED107" s="9">
        <v>0</v>
      </c>
      <c r="EE107" s="9">
        <v>0</v>
      </c>
      <c r="EF107" s="9">
        <v>0</v>
      </c>
      <c r="EG107" s="9">
        <v>0</v>
      </c>
      <c r="EH107" s="9">
        <v>1</v>
      </c>
      <c r="EI107" s="10">
        <v>0</v>
      </c>
    </row>
    <row r="108" spans="1:139" x14ac:dyDescent="0.35">
      <c r="A108" s="8" t="s">
        <v>174</v>
      </c>
      <c r="B108" s="9" t="s">
        <v>187</v>
      </c>
      <c r="C108" s="9" t="s">
        <v>188</v>
      </c>
      <c r="D108" s="9">
        <f t="shared" si="1"/>
        <v>75</v>
      </c>
      <c r="E108" s="9">
        <v>0</v>
      </c>
      <c r="F108" s="9">
        <v>0</v>
      </c>
      <c r="G108" s="9">
        <v>0</v>
      </c>
      <c r="H108" s="9">
        <v>0</v>
      </c>
      <c r="I108" s="9">
        <v>0</v>
      </c>
      <c r="J108" s="9">
        <v>0</v>
      </c>
      <c r="K108" s="9">
        <v>0</v>
      </c>
      <c r="L108" s="9">
        <v>0</v>
      </c>
      <c r="M108" s="9">
        <v>0</v>
      </c>
      <c r="N108" s="9">
        <v>0</v>
      </c>
      <c r="O108" s="9">
        <v>0</v>
      </c>
      <c r="P108" s="9">
        <v>0</v>
      </c>
      <c r="Q108" s="9">
        <v>0</v>
      </c>
      <c r="R108" s="9">
        <v>0</v>
      </c>
      <c r="S108" s="9">
        <v>1</v>
      </c>
      <c r="T108" s="9">
        <v>0</v>
      </c>
      <c r="U108" s="9">
        <v>1</v>
      </c>
      <c r="V108" s="9">
        <v>0</v>
      </c>
      <c r="W108" s="9">
        <v>1</v>
      </c>
      <c r="X108" s="9">
        <v>0</v>
      </c>
      <c r="Y108" s="9">
        <v>2</v>
      </c>
      <c r="Z108" s="9">
        <v>0</v>
      </c>
      <c r="AA108" s="9">
        <v>2</v>
      </c>
      <c r="AB108" s="9">
        <v>0</v>
      </c>
      <c r="AC108" s="9">
        <v>1</v>
      </c>
      <c r="AD108" s="9">
        <v>2</v>
      </c>
      <c r="AE108" s="9">
        <v>5</v>
      </c>
      <c r="AF108" s="9">
        <v>0</v>
      </c>
      <c r="AG108" s="9">
        <v>0</v>
      </c>
      <c r="AH108" s="9">
        <v>2</v>
      </c>
      <c r="AI108" s="9">
        <v>2</v>
      </c>
      <c r="AJ108" s="9">
        <v>2</v>
      </c>
      <c r="AK108" s="9">
        <v>3</v>
      </c>
      <c r="AL108" s="9">
        <v>3</v>
      </c>
      <c r="AM108" s="9">
        <v>4</v>
      </c>
      <c r="AN108" s="9">
        <v>2</v>
      </c>
      <c r="AO108" s="9">
        <v>2</v>
      </c>
      <c r="AP108" s="9">
        <v>1</v>
      </c>
      <c r="AQ108" s="9">
        <v>1</v>
      </c>
      <c r="AR108" s="9">
        <v>0</v>
      </c>
      <c r="AS108" s="9">
        <v>2</v>
      </c>
      <c r="AT108" s="9">
        <v>0</v>
      </c>
      <c r="AU108" s="9">
        <v>1</v>
      </c>
      <c r="AV108" s="9">
        <v>2</v>
      </c>
      <c r="AW108" s="9">
        <v>0</v>
      </c>
      <c r="AX108" s="9">
        <v>0</v>
      </c>
      <c r="AY108" s="9">
        <v>3</v>
      </c>
      <c r="AZ108" s="9">
        <v>0</v>
      </c>
      <c r="BA108" s="9">
        <v>1</v>
      </c>
      <c r="BB108" s="9">
        <v>0</v>
      </c>
      <c r="BC108" s="9">
        <v>1</v>
      </c>
      <c r="BD108" s="9">
        <v>1</v>
      </c>
      <c r="BE108" s="9">
        <v>0</v>
      </c>
      <c r="BF108" s="9">
        <v>4</v>
      </c>
      <c r="BG108" s="9">
        <v>1</v>
      </c>
      <c r="BH108" s="9">
        <v>0</v>
      </c>
      <c r="BI108" s="9">
        <v>0</v>
      </c>
      <c r="BJ108" s="9">
        <v>7</v>
      </c>
      <c r="BK108" s="9">
        <v>1</v>
      </c>
      <c r="BL108" s="9">
        <v>0</v>
      </c>
      <c r="BM108" s="9">
        <v>0</v>
      </c>
      <c r="BN108" s="9">
        <v>1</v>
      </c>
      <c r="BO108" s="9">
        <v>1</v>
      </c>
      <c r="BP108" s="9">
        <v>1</v>
      </c>
      <c r="BQ108" s="9">
        <v>0</v>
      </c>
      <c r="BR108" s="9">
        <v>1</v>
      </c>
      <c r="BS108" s="9">
        <v>0</v>
      </c>
      <c r="BT108" s="9">
        <v>0</v>
      </c>
      <c r="BU108" s="9">
        <v>0</v>
      </c>
      <c r="BV108" s="9">
        <v>0</v>
      </c>
      <c r="BW108" s="9">
        <v>1</v>
      </c>
      <c r="BX108" s="9">
        <v>1</v>
      </c>
      <c r="BY108" s="9">
        <v>0</v>
      </c>
      <c r="BZ108" s="9">
        <v>0</v>
      </c>
      <c r="CA108" s="9">
        <v>1</v>
      </c>
      <c r="CB108" s="9">
        <v>0</v>
      </c>
      <c r="CC108" s="9">
        <v>0</v>
      </c>
      <c r="CD108" s="9">
        <v>0</v>
      </c>
      <c r="CE108" s="9">
        <v>0</v>
      </c>
      <c r="CF108" s="9">
        <v>0</v>
      </c>
      <c r="CG108" s="9">
        <v>1</v>
      </c>
      <c r="CH108" s="9">
        <v>0</v>
      </c>
      <c r="CI108" s="9">
        <v>0</v>
      </c>
      <c r="CJ108" s="9">
        <v>0</v>
      </c>
      <c r="CK108" s="9">
        <v>1</v>
      </c>
      <c r="CL108" s="9">
        <v>1</v>
      </c>
      <c r="CM108" s="9">
        <v>0</v>
      </c>
      <c r="CN108" s="9">
        <v>0</v>
      </c>
      <c r="CO108" s="9">
        <v>0</v>
      </c>
      <c r="CP108" s="9">
        <v>0</v>
      </c>
      <c r="CQ108" s="9">
        <v>0</v>
      </c>
      <c r="CR108" s="9">
        <v>0</v>
      </c>
      <c r="CS108" s="9">
        <v>0</v>
      </c>
      <c r="CT108" s="9">
        <v>1</v>
      </c>
      <c r="CU108" s="9">
        <v>0</v>
      </c>
      <c r="CV108" s="9">
        <v>0</v>
      </c>
      <c r="CW108" s="9">
        <v>0</v>
      </c>
      <c r="CX108" s="9">
        <v>0</v>
      </c>
      <c r="CY108" s="9">
        <v>0</v>
      </c>
      <c r="CZ108" s="9">
        <v>0</v>
      </c>
      <c r="DA108" s="9">
        <v>0</v>
      </c>
      <c r="DB108" s="9">
        <v>0</v>
      </c>
      <c r="DC108" s="9">
        <v>0</v>
      </c>
      <c r="DD108" s="9">
        <v>2</v>
      </c>
      <c r="DE108" s="9">
        <v>0</v>
      </c>
      <c r="DF108" s="9">
        <v>1</v>
      </c>
      <c r="DG108" s="9">
        <v>0</v>
      </c>
      <c r="DH108" s="9">
        <v>0</v>
      </c>
      <c r="DI108" s="9">
        <v>0</v>
      </c>
      <c r="DJ108" s="9">
        <v>0</v>
      </c>
      <c r="DK108" s="9">
        <v>0</v>
      </c>
      <c r="DL108" s="9">
        <v>0</v>
      </c>
      <c r="DM108" s="9">
        <v>0</v>
      </c>
      <c r="DN108" s="9">
        <v>0</v>
      </c>
      <c r="DO108" s="9">
        <v>0</v>
      </c>
      <c r="DP108" s="9">
        <v>0</v>
      </c>
      <c r="DQ108" s="9">
        <v>0</v>
      </c>
      <c r="DR108" s="9">
        <v>0</v>
      </c>
      <c r="DS108" s="9">
        <v>0</v>
      </c>
      <c r="DT108" s="9">
        <v>0</v>
      </c>
      <c r="DU108" s="9">
        <v>0</v>
      </c>
      <c r="DV108" s="9">
        <v>0</v>
      </c>
      <c r="DW108" s="9">
        <v>0</v>
      </c>
      <c r="DX108" s="9">
        <v>0</v>
      </c>
      <c r="DY108" s="9">
        <v>0</v>
      </c>
      <c r="DZ108" s="9">
        <v>0</v>
      </c>
      <c r="EA108" s="9">
        <v>0</v>
      </c>
      <c r="EB108" s="9">
        <v>0</v>
      </c>
      <c r="EC108" s="9">
        <v>0</v>
      </c>
      <c r="ED108" s="9">
        <v>0</v>
      </c>
      <c r="EE108" s="9">
        <v>0</v>
      </c>
      <c r="EF108" s="9">
        <v>0</v>
      </c>
      <c r="EG108" s="9">
        <v>0</v>
      </c>
      <c r="EH108" s="9">
        <v>0</v>
      </c>
      <c r="EI108" s="10">
        <v>0</v>
      </c>
    </row>
    <row r="109" spans="1:139" x14ac:dyDescent="0.35">
      <c r="A109" s="8" t="s">
        <v>174</v>
      </c>
      <c r="B109" s="9" t="s">
        <v>189</v>
      </c>
      <c r="C109" s="9" t="s">
        <v>190</v>
      </c>
      <c r="D109" s="9">
        <f t="shared" si="1"/>
        <v>159</v>
      </c>
      <c r="E109" s="9">
        <v>0</v>
      </c>
      <c r="F109" s="9">
        <v>16</v>
      </c>
      <c r="G109" s="9">
        <v>7</v>
      </c>
      <c r="H109" s="9">
        <v>0</v>
      </c>
      <c r="I109" s="9">
        <v>0</v>
      </c>
      <c r="J109" s="9">
        <v>0</v>
      </c>
      <c r="K109" s="9">
        <v>0</v>
      </c>
      <c r="L109" s="9">
        <v>0</v>
      </c>
      <c r="M109" s="9">
        <v>0</v>
      </c>
      <c r="N109" s="9">
        <v>1</v>
      </c>
      <c r="O109" s="9">
        <v>2</v>
      </c>
      <c r="P109" s="9">
        <v>0</v>
      </c>
      <c r="Q109" s="9">
        <v>0</v>
      </c>
      <c r="R109" s="9">
        <v>30</v>
      </c>
      <c r="S109" s="9">
        <v>12</v>
      </c>
      <c r="T109" s="9">
        <v>7</v>
      </c>
      <c r="U109" s="9">
        <v>7</v>
      </c>
      <c r="V109" s="9">
        <v>0</v>
      </c>
      <c r="W109" s="9">
        <v>0</v>
      </c>
      <c r="X109" s="9">
        <v>5</v>
      </c>
      <c r="Y109" s="9">
        <v>0</v>
      </c>
      <c r="Z109" s="9">
        <v>0</v>
      </c>
      <c r="AA109" s="9">
        <v>0</v>
      </c>
      <c r="AB109" s="9">
        <v>1</v>
      </c>
      <c r="AC109" s="9">
        <v>5</v>
      </c>
      <c r="AD109" s="9">
        <v>4</v>
      </c>
      <c r="AE109" s="9">
        <v>2</v>
      </c>
      <c r="AF109" s="9">
        <v>3</v>
      </c>
      <c r="AG109" s="9">
        <v>1</v>
      </c>
      <c r="AH109" s="9">
        <v>1</v>
      </c>
      <c r="AI109" s="9">
        <v>1</v>
      </c>
      <c r="AJ109" s="9">
        <v>2</v>
      </c>
      <c r="AK109" s="9">
        <v>3</v>
      </c>
      <c r="AL109" s="9">
        <v>1</v>
      </c>
      <c r="AM109" s="9">
        <v>4</v>
      </c>
      <c r="AN109" s="9">
        <v>2</v>
      </c>
      <c r="AO109" s="9">
        <v>0</v>
      </c>
      <c r="AP109" s="9">
        <v>0</v>
      </c>
      <c r="AQ109" s="9">
        <v>1</v>
      </c>
      <c r="AR109" s="9">
        <v>0</v>
      </c>
      <c r="AS109" s="9">
        <v>2</v>
      </c>
      <c r="AT109" s="9">
        <v>0</v>
      </c>
      <c r="AU109" s="9">
        <v>2</v>
      </c>
      <c r="AV109" s="9">
        <v>1</v>
      </c>
      <c r="AW109" s="9">
        <v>1</v>
      </c>
      <c r="AX109" s="9">
        <v>0</v>
      </c>
      <c r="AY109" s="9">
        <v>1</v>
      </c>
      <c r="AZ109" s="9">
        <v>0</v>
      </c>
      <c r="BA109" s="9">
        <v>2</v>
      </c>
      <c r="BB109" s="9">
        <v>1</v>
      </c>
      <c r="BC109" s="9">
        <v>0</v>
      </c>
      <c r="BD109" s="9">
        <v>1</v>
      </c>
      <c r="BE109" s="9">
        <v>0</v>
      </c>
      <c r="BF109" s="9">
        <v>1</v>
      </c>
      <c r="BG109" s="9">
        <v>1</v>
      </c>
      <c r="BH109" s="9">
        <v>0</v>
      </c>
      <c r="BI109" s="9">
        <v>1</v>
      </c>
      <c r="BJ109" s="9">
        <v>1</v>
      </c>
      <c r="BK109" s="9">
        <v>0</v>
      </c>
      <c r="BL109" s="9">
        <v>0</v>
      </c>
      <c r="BM109" s="9">
        <v>2</v>
      </c>
      <c r="BN109" s="9">
        <v>1</v>
      </c>
      <c r="BO109" s="9">
        <v>0</v>
      </c>
      <c r="BP109" s="9">
        <v>1</v>
      </c>
      <c r="BQ109" s="9">
        <v>1</v>
      </c>
      <c r="BR109" s="9">
        <v>0</v>
      </c>
      <c r="BS109" s="9">
        <v>1</v>
      </c>
      <c r="BT109" s="9">
        <v>0</v>
      </c>
      <c r="BU109" s="9">
        <v>1</v>
      </c>
      <c r="BV109" s="9">
        <v>1</v>
      </c>
      <c r="BW109" s="9">
        <v>0</v>
      </c>
      <c r="BX109" s="9">
        <v>0</v>
      </c>
      <c r="BY109" s="9">
        <v>0</v>
      </c>
      <c r="BZ109" s="9">
        <v>2</v>
      </c>
      <c r="CA109" s="9">
        <v>0</v>
      </c>
      <c r="CB109" s="9">
        <v>0</v>
      </c>
      <c r="CC109" s="9">
        <v>0</v>
      </c>
      <c r="CD109" s="9">
        <v>0</v>
      </c>
      <c r="CE109" s="9">
        <v>0</v>
      </c>
      <c r="CF109" s="9">
        <v>0</v>
      </c>
      <c r="CG109" s="9">
        <v>0</v>
      </c>
      <c r="CH109" s="9">
        <v>0</v>
      </c>
      <c r="CI109" s="9">
        <v>1</v>
      </c>
      <c r="CJ109" s="9">
        <v>1</v>
      </c>
      <c r="CK109" s="9">
        <v>0</v>
      </c>
      <c r="CL109" s="9">
        <v>0</v>
      </c>
      <c r="CM109" s="9">
        <v>2</v>
      </c>
      <c r="CN109" s="9">
        <v>0</v>
      </c>
      <c r="CO109" s="9">
        <v>1</v>
      </c>
      <c r="CP109" s="9">
        <v>0</v>
      </c>
      <c r="CQ109" s="9">
        <v>0</v>
      </c>
      <c r="CR109" s="9">
        <v>1</v>
      </c>
      <c r="CS109" s="9">
        <v>0</v>
      </c>
      <c r="CT109" s="9">
        <v>0</v>
      </c>
      <c r="CU109" s="9">
        <v>0</v>
      </c>
      <c r="CV109" s="9">
        <v>0</v>
      </c>
      <c r="CW109" s="9">
        <v>0</v>
      </c>
      <c r="CX109" s="9">
        <v>2</v>
      </c>
      <c r="CY109" s="9">
        <v>0</v>
      </c>
      <c r="CZ109" s="9">
        <v>0</v>
      </c>
      <c r="DA109" s="9">
        <v>0</v>
      </c>
      <c r="DB109" s="9">
        <v>0</v>
      </c>
      <c r="DC109" s="9">
        <v>0</v>
      </c>
      <c r="DD109" s="9">
        <v>0</v>
      </c>
      <c r="DE109" s="9">
        <v>1</v>
      </c>
      <c r="DF109" s="9">
        <v>0</v>
      </c>
      <c r="DG109" s="9">
        <v>0</v>
      </c>
      <c r="DH109" s="9">
        <v>0</v>
      </c>
      <c r="DI109" s="9">
        <v>0</v>
      </c>
      <c r="DJ109" s="9">
        <v>1</v>
      </c>
      <c r="DK109" s="9">
        <v>0</v>
      </c>
      <c r="DL109" s="9">
        <v>1</v>
      </c>
      <c r="DM109" s="9">
        <v>1</v>
      </c>
      <c r="DN109" s="9">
        <v>0</v>
      </c>
      <c r="DO109" s="9">
        <v>0</v>
      </c>
      <c r="DP109" s="9">
        <v>0</v>
      </c>
      <c r="DQ109" s="9">
        <v>0</v>
      </c>
      <c r="DR109" s="9">
        <v>0</v>
      </c>
      <c r="DS109" s="9">
        <v>0</v>
      </c>
      <c r="DT109" s="9">
        <v>0</v>
      </c>
      <c r="DU109" s="9">
        <v>0</v>
      </c>
      <c r="DV109" s="9">
        <v>0</v>
      </c>
      <c r="DW109" s="9">
        <v>0</v>
      </c>
      <c r="DX109" s="9">
        <v>0</v>
      </c>
      <c r="DY109" s="9">
        <v>1</v>
      </c>
      <c r="DZ109" s="9">
        <v>1</v>
      </c>
      <c r="EA109" s="9">
        <v>0</v>
      </c>
      <c r="EB109" s="9">
        <v>0</v>
      </c>
      <c r="EC109" s="9">
        <v>0</v>
      </c>
      <c r="ED109" s="9">
        <v>0</v>
      </c>
      <c r="EE109" s="9">
        <v>0</v>
      </c>
      <c r="EF109" s="9">
        <v>0</v>
      </c>
      <c r="EG109" s="9">
        <v>0</v>
      </c>
      <c r="EH109" s="9">
        <v>1</v>
      </c>
      <c r="EI109" s="10">
        <v>1</v>
      </c>
    </row>
    <row r="110" spans="1:139" x14ac:dyDescent="0.35">
      <c r="A110" s="8" t="s">
        <v>174</v>
      </c>
      <c r="B110" s="9" t="s">
        <v>191</v>
      </c>
      <c r="C110" s="9" t="s">
        <v>192</v>
      </c>
      <c r="D110" s="9">
        <f t="shared" si="1"/>
        <v>106</v>
      </c>
      <c r="E110" s="9">
        <v>0</v>
      </c>
      <c r="F110" s="9">
        <v>0</v>
      </c>
      <c r="G110" s="9">
        <v>0</v>
      </c>
      <c r="H110" s="9">
        <v>0</v>
      </c>
      <c r="I110" s="9">
        <v>0</v>
      </c>
      <c r="J110" s="9">
        <v>0</v>
      </c>
      <c r="K110" s="9">
        <v>7</v>
      </c>
      <c r="L110" s="9">
        <v>1</v>
      </c>
      <c r="M110" s="9">
        <v>0</v>
      </c>
      <c r="N110" s="9">
        <v>0</v>
      </c>
      <c r="O110" s="9">
        <v>0</v>
      </c>
      <c r="P110" s="9">
        <v>8</v>
      </c>
      <c r="Q110" s="9">
        <v>5</v>
      </c>
      <c r="R110" s="9">
        <v>2</v>
      </c>
      <c r="S110" s="9">
        <v>4</v>
      </c>
      <c r="T110" s="9">
        <v>0</v>
      </c>
      <c r="U110" s="9">
        <v>0</v>
      </c>
      <c r="V110" s="9">
        <v>1</v>
      </c>
      <c r="W110" s="9">
        <v>0</v>
      </c>
      <c r="X110" s="9">
        <v>1</v>
      </c>
      <c r="Y110" s="9">
        <v>0</v>
      </c>
      <c r="Z110" s="9">
        <v>0</v>
      </c>
      <c r="AA110" s="9">
        <v>2</v>
      </c>
      <c r="AB110" s="9">
        <v>1</v>
      </c>
      <c r="AC110" s="9">
        <v>0</v>
      </c>
      <c r="AD110" s="9">
        <v>1</v>
      </c>
      <c r="AE110" s="9">
        <v>1</v>
      </c>
      <c r="AF110" s="9">
        <v>0</v>
      </c>
      <c r="AG110" s="9">
        <v>2</v>
      </c>
      <c r="AH110" s="9">
        <v>1</v>
      </c>
      <c r="AI110" s="9">
        <v>0</v>
      </c>
      <c r="AJ110" s="9">
        <v>1</v>
      </c>
      <c r="AK110" s="9">
        <v>1</v>
      </c>
      <c r="AL110" s="9">
        <v>0</v>
      </c>
      <c r="AM110" s="9">
        <v>1</v>
      </c>
      <c r="AN110" s="9">
        <v>1</v>
      </c>
      <c r="AO110" s="9">
        <v>2</v>
      </c>
      <c r="AP110" s="9">
        <v>1</v>
      </c>
      <c r="AQ110" s="9">
        <v>0</v>
      </c>
      <c r="AR110" s="9">
        <v>3</v>
      </c>
      <c r="AS110" s="9">
        <v>25</v>
      </c>
      <c r="AT110" s="9">
        <v>2</v>
      </c>
      <c r="AU110" s="9">
        <v>0</v>
      </c>
      <c r="AV110" s="9">
        <v>2</v>
      </c>
      <c r="AW110" s="9">
        <v>2</v>
      </c>
      <c r="AX110" s="9">
        <v>0</v>
      </c>
      <c r="AY110" s="9">
        <v>1</v>
      </c>
      <c r="AZ110" s="9">
        <v>0</v>
      </c>
      <c r="BA110" s="9">
        <v>1</v>
      </c>
      <c r="BB110" s="9">
        <v>1</v>
      </c>
      <c r="BC110" s="9">
        <v>0</v>
      </c>
      <c r="BD110" s="9">
        <v>0</v>
      </c>
      <c r="BE110" s="9">
        <v>1</v>
      </c>
      <c r="BF110" s="9">
        <v>0</v>
      </c>
      <c r="BG110" s="9">
        <v>0</v>
      </c>
      <c r="BH110" s="9">
        <v>1</v>
      </c>
      <c r="BI110" s="9">
        <v>0</v>
      </c>
      <c r="BJ110" s="9">
        <v>3</v>
      </c>
      <c r="BK110" s="9">
        <v>0</v>
      </c>
      <c r="BL110" s="9">
        <v>0</v>
      </c>
      <c r="BM110" s="9">
        <v>2</v>
      </c>
      <c r="BN110" s="9">
        <v>1</v>
      </c>
      <c r="BO110" s="9">
        <v>2</v>
      </c>
      <c r="BP110" s="9">
        <v>0</v>
      </c>
      <c r="BQ110" s="9">
        <v>2</v>
      </c>
      <c r="BR110" s="9">
        <v>2</v>
      </c>
      <c r="BS110" s="9">
        <v>1</v>
      </c>
      <c r="BT110" s="9">
        <v>0</v>
      </c>
      <c r="BU110" s="9">
        <v>0</v>
      </c>
      <c r="BV110" s="9">
        <v>0</v>
      </c>
      <c r="BW110" s="9">
        <v>1</v>
      </c>
      <c r="BX110" s="9">
        <v>0</v>
      </c>
      <c r="BY110" s="9">
        <v>0</v>
      </c>
      <c r="BZ110" s="9">
        <v>1</v>
      </c>
      <c r="CA110" s="9">
        <v>0</v>
      </c>
      <c r="CB110" s="9">
        <v>0</v>
      </c>
      <c r="CC110" s="9">
        <v>2</v>
      </c>
      <c r="CD110" s="9">
        <v>0</v>
      </c>
      <c r="CE110" s="9">
        <v>1</v>
      </c>
      <c r="CF110" s="9">
        <v>0</v>
      </c>
      <c r="CG110" s="9">
        <v>0</v>
      </c>
      <c r="CH110" s="9">
        <v>0</v>
      </c>
      <c r="CI110" s="9">
        <v>1</v>
      </c>
      <c r="CJ110" s="9">
        <v>0</v>
      </c>
      <c r="CK110" s="9">
        <v>0</v>
      </c>
      <c r="CL110" s="9">
        <v>0</v>
      </c>
      <c r="CM110" s="9">
        <v>0</v>
      </c>
      <c r="CN110" s="9">
        <v>0</v>
      </c>
      <c r="CO110" s="9">
        <v>0</v>
      </c>
      <c r="CP110" s="9">
        <v>0</v>
      </c>
      <c r="CQ110" s="9">
        <v>0</v>
      </c>
      <c r="CR110" s="9">
        <v>0</v>
      </c>
      <c r="CS110" s="9">
        <v>0</v>
      </c>
      <c r="CT110" s="9">
        <v>0</v>
      </c>
      <c r="CU110" s="9">
        <v>0</v>
      </c>
      <c r="CV110" s="9">
        <v>0</v>
      </c>
      <c r="CW110" s="9">
        <v>0</v>
      </c>
      <c r="CX110" s="9">
        <v>0</v>
      </c>
      <c r="CY110" s="9">
        <v>1</v>
      </c>
      <c r="CZ110" s="9">
        <v>0</v>
      </c>
      <c r="DA110" s="9">
        <v>0</v>
      </c>
      <c r="DB110" s="9">
        <v>0</v>
      </c>
      <c r="DC110" s="9">
        <v>0</v>
      </c>
      <c r="DD110" s="9">
        <v>0</v>
      </c>
      <c r="DE110" s="9">
        <v>0</v>
      </c>
      <c r="DF110" s="9">
        <v>0</v>
      </c>
      <c r="DG110" s="9">
        <v>0</v>
      </c>
      <c r="DH110" s="9">
        <v>0</v>
      </c>
      <c r="DI110" s="9">
        <v>0</v>
      </c>
      <c r="DJ110" s="9">
        <v>0</v>
      </c>
      <c r="DK110" s="9">
        <v>0</v>
      </c>
      <c r="DL110" s="9">
        <v>1</v>
      </c>
      <c r="DM110" s="9">
        <v>0</v>
      </c>
      <c r="DN110" s="9">
        <v>1</v>
      </c>
      <c r="DO110" s="9">
        <v>0</v>
      </c>
      <c r="DP110" s="9">
        <v>0</v>
      </c>
      <c r="DQ110" s="9">
        <v>0</v>
      </c>
      <c r="DR110" s="9">
        <v>0</v>
      </c>
      <c r="DS110" s="9">
        <v>0</v>
      </c>
      <c r="DT110" s="9">
        <v>0</v>
      </c>
      <c r="DU110" s="9">
        <v>0</v>
      </c>
      <c r="DV110" s="9">
        <v>0</v>
      </c>
      <c r="DW110" s="9">
        <v>0</v>
      </c>
      <c r="DX110" s="9">
        <v>0</v>
      </c>
      <c r="DY110" s="9">
        <v>0</v>
      </c>
      <c r="DZ110" s="9">
        <v>0</v>
      </c>
      <c r="EA110" s="9">
        <v>0</v>
      </c>
      <c r="EB110" s="9">
        <v>0</v>
      </c>
      <c r="EC110" s="9">
        <v>0</v>
      </c>
      <c r="ED110" s="9">
        <v>0</v>
      </c>
      <c r="EE110" s="9">
        <v>1</v>
      </c>
      <c r="EF110" s="9">
        <v>0</v>
      </c>
      <c r="EG110" s="9">
        <v>0</v>
      </c>
      <c r="EH110" s="9">
        <v>0</v>
      </c>
      <c r="EI110" s="10">
        <v>0</v>
      </c>
    </row>
    <row r="111" spans="1:139" x14ac:dyDescent="0.35">
      <c r="A111" s="8" t="s">
        <v>174</v>
      </c>
      <c r="B111" s="9" t="s">
        <v>193</v>
      </c>
      <c r="C111" s="9" t="s">
        <v>194</v>
      </c>
      <c r="D111" s="9">
        <f t="shared" si="1"/>
        <v>2</v>
      </c>
      <c r="E111" s="9">
        <v>0</v>
      </c>
      <c r="F111" s="9">
        <v>0</v>
      </c>
      <c r="G111" s="9">
        <v>0</v>
      </c>
      <c r="H111" s="9">
        <v>0</v>
      </c>
      <c r="I111" s="9">
        <v>0</v>
      </c>
      <c r="J111" s="9">
        <v>0</v>
      </c>
      <c r="K111" s="9">
        <v>0</v>
      </c>
      <c r="L111" s="9">
        <v>0</v>
      </c>
      <c r="M111" s="9">
        <v>0</v>
      </c>
      <c r="N111" s="9">
        <v>0</v>
      </c>
      <c r="O111" s="9">
        <v>0</v>
      </c>
      <c r="P111" s="9">
        <v>0</v>
      </c>
      <c r="Q111" s="9">
        <v>0</v>
      </c>
      <c r="R111" s="9">
        <v>0</v>
      </c>
      <c r="S111" s="9">
        <v>0</v>
      </c>
      <c r="T111" s="9">
        <v>0</v>
      </c>
      <c r="U111" s="9">
        <v>0</v>
      </c>
      <c r="V111" s="9">
        <v>0</v>
      </c>
      <c r="W111" s="9">
        <v>0</v>
      </c>
      <c r="X111" s="9">
        <v>0</v>
      </c>
      <c r="Y111" s="9">
        <v>1</v>
      </c>
      <c r="Z111" s="9">
        <v>0</v>
      </c>
      <c r="AA111" s="9">
        <v>0</v>
      </c>
      <c r="AB111" s="9">
        <v>0</v>
      </c>
      <c r="AC111" s="9">
        <v>0</v>
      </c>
      <c r="AD111" s="9">
        <v>0</v>
      </c>
      <c r="AE111" s="9">
        <v>0</v>
      </c>
      <c r="AF111" s="9">
        <v>0</v>
      </c>
      <c r="AG111" s="9">
        <v>0</v>
      </c>
      <c r="AH111" s="9">
        <v>1</v>
      </c>
      <c r="AI111" s="9">
        <v>0</v>
      </c>
      <c r="AJ111" s="9">
        <v>0</v>
      </c>
      <c r="AK111" s="9">
        <v>0</v>
      </c>
      <c r="AL111" s="9">
        <v>0</v>
      </c>
      <c r="AM111" s="9">
        <v>0</v>
      </c>
      <c r="AN111" s="9">
        <v>0</v>
      </c>
      <c r="AO111" s="9">
        <v>0</v>
      </c>
      <c r="AP111" s="9">
        <v>0</v>
      </c>
      <c r="AQ111" s="9">
        <v>0</v>
      </c>
      <c r="AR111" s="9">
        <v>0</v>
      </c>
      <c r="AS111" s="9">
        <v>0</v>
      </c>
      <c r="AT111" s="9">
        <v>0</v>
      </c>
      <c r="AU111" s="9">
        <v>0</v>
      </c>
      <c r="AV111" s="9">
        <v>0</v>
      </c>
      <c r="AW111" s="9">
        <v>0</v>
      </c>
      <c r="AX111" s="9">
        <v>0</v>
      </c>
      <c r="AY111" s="9">
        <v>0</v>
      </c>
      <c r="AZ111" s="9">
        <v>0</v>
      </c>
      <c r="BA111" s="9">
        <v>0</v>
      </c>
      <c r="BB111" s="9">
        <v>0</v>
      </c>
      <c r="BC111" s="9">
        <v>0</v>
      </c>
      <c r="BD111" s="9">
        <v>0</v>
      </c>
      <c r="BE111" s="9">
        <v>0</v>
      </c>
      <c r="BF111" s="9">
        <v>0</v>
      </c>
      <c r="BG111" s="9">
        <v>0</v>
      </c>
      <c r="BH111" s="9">
        <v>0</v>
      </c>
      <c r="BI111" s="9">
        <v>0</v>
      </c>
      <c r="BJ111" s="9">
        <v>0</v>
      </c>
      <c r="BK111" s="9">
        <v>0</v>
      </c>
      <c r="BL111" s="9">
        <v>0</v>
      </c>
      <c r="BM111" s="9">
        <v>0</v>
      </c>
      <c r="BN111" s="9">
        <v>0</v>
      </c>
      <c r="BO111" s="9">
        <v>0</v>
      </c>
      <c r="BP111" s="9">
        <v>0</v>
      </c>
      <c r="BQ111" s="9">
        <v>0</v>
      </c>
      <c r="BR111" s="9">
        <v>0</v>
      </c>
      <c r="BS111" s="9">
        <v>0</v>
      </c>
      <c r="BT111" s="9">
        <v>0</v>
      </c>
      <c r="BU111" s="9">
        <v>0</v>
      </c>
      <c r="BV111" s="9">
        <v>0</v>
      </c>
      <c r="BW111" s="9">
        <v>0</v>
      </c>
      <c r="BX111" s="9">
        <v>0</v>
      </c>
      <c r="BY111" s="9">
        <v>0</v>
      </c>
      <c r="BZ111" s="9">
        <v>0</v>
      </c>
      <c r="CA111" s="9">
        <v>0</v>
      </c>
      <c r="CB111" s="9">
        <v>0</v>
      </c>
      <c r="CC111" s="9">
        <v>0</v>
      </c>
      <c r="CD111" s="9">
        <v>0</v>
      </c>
      <c r="CE111" s="9">
        <v>0</v>
      </c>
      <c r="CF111" s="9">
        <v>0</v>
      </c>
      <c r="CG111" s="9">
        <v>0</v>
      </c>
      <c r="CH111" s="9">
        <v>0</v>
      </c>
      <c r="CI111" s="9">
        <v>0</v>
      </c>
      <c r="CJ111" s="9">
        <v>0</v>
      </c>
      <c r="CK111" s="9">
        <v>0</v>
      </c>
      <c r="CL111" s="9">
        <v>0</v>
      </c>
      <c r="CM111" s="9">
        <v>0</v>
      </c>
      <c r="CN111" s="9">
        <v>0</v>
      </c>
      <c r="CO111" s="9">
        <v>0</v>
      </c>
      <c r="CP111" s="9">
        <v>0</v>
      </c>
      <c r="CQ111" s="9">
        <v>0</v>
      </c>
      <c r="CR111" s="9">
        <v>0</v>
      </c>
      <c r="CS111" s="9">
        <v>0</v>
      </c>
      <c r="CT111" s="9">
        <v>0</v>
      </c>
      <c r="CU111" s="9">
        <v>0</v>
      </c>
      <c r="CV111" s="9">
        <v>0</v>
      </c>
      <c r="CW111" s="9">
        <v>0</v>
      </c>
      <c r="CX111" s="9">
        <v>0</v>
      </c>
      <c r="CY111" s="9">
        <v>0</v>
      </c>
      <c r="CZ111" s="9">
        <v>0</v>
      </c>
      <c r="DA111" s="9">
        <v>0</v>
      </c>
      <c r="DB111" s="9">
        <v>0</v>
      </c>
      <c r="DC111" s="9">
        <v>0</v>
      </c>
      <c r="DD111" s="9">
        <v>0</v>
      </c>
      <c r="DE111" s="9">
        <v>0</v>
      </c>
      <c r="DF111" s="9">
        <v>0</v>
      </c>
      <c r="DG111" s="9">
        <v>0</v>
      </c>
      <c r="DH111" s="9">
        <v>0</v>
      </c>
      <c r="DI111" s="9">
        <v>0</v>
      </c>
      <c r="DJ111" s="9">
        <v>0</v>
      </c>
      <c r="DK111" s="9">
        <v>0</v>
      </c>
      <c r="DL111" s="9">
        <v>0</v>
      </c>
      <c r="DM111" s="9">
        <v>0</v>
      </c>
      <c r="DN111" s="9">
        <v>0</v>
      </c>
      <c r="DO111" s="9">
        <v>0</v>
      </c>
      <c r="DP111" s="9">
        <v>0</v>
      </c>
      <c r="DQ111" s="9">
        <v>0</v>
      </c>
      <c r="DR111" s="9">
        <v>0</v>
      </c>
      <c r="DS111" s="9">
        <v>0</v>
      </c>
      <c r="DT111" s="9">
        <v>0</v>
      </c>
      <c r="DU111" s="9">
        <v>0</v>
      </c>
      <c r="DV111" s="9">
        <v>0</v>
      </c>
      <c r="DW111" s="9">
        <v>0</v>
      </c>
      <c r="DX111" s="9">
        <v>0</v>
      </c>
      <c r="DY111" s="9">
        <v>0</v>
      </c>
      <c r="DZ111" s="9">
        <v>0</v>
      </c>
      <c r="EA111" s="9">
        <v>0</v>
      </c>
      <c r="EB111" s="9">
        <v>0</v>
      </c>
      <c r="EC111" s="9">
        <v>0</v>
      </c>
      <c r="ED111" s="9">
        <v>0</v>
      </c>
      <c r="EE111" s="9">
        <v>0</v>
      </c>
      <c r="EF111" s="9">
        <v>0</v>
      </c>
      <c r="EG111" s="9">
        <v>0</v>
      </c>
      <c r="EH111" s="9">
        <v>0</v>
      </c>
      <c r="EI111" s="10">
        <v>0</v>
      </c>
    </row>
    <row r="112" spans="1:139" x14ac:dyDescent="0.35">
      <c r="A112" s="8" t="s">
        <v>174</v>
      </c>
      <c r="B112" s="9" t="s">
        <v>195</v>
      </c>
      <c r="C112" s="9" t="s">
        <v>196</v>
      </c>
      <c r="D112" s="9">
        <f t="shared" si="1"/>
        <v>69</v>
      </c>
      <c r="E112" s="9">
        <v>1</v>
      </c>
      <c r="F112" s="9">
        <v>0</v>
      </c>
      <c r="G112" s="9">
        <v>1</v>
      </c>
      <c r="H112" s="9">
        <v>0</v>
      </c>
      <c r="I112" s="9">
        <v>1</v>
      </c>
      <c r="J112" s="9">
        <v>0</v>
      </c>
      <c r="K112" s="9">
        <v>2</v>
      </c>
      <c r="L112" s="9">
        <v>0</v>
      </c>
      <c r="M112" s="9">
        <v>3</v>
      </c>
      <c r="N112" s="9">
        <v>1</v>
      </c>
      <c r="O112" s="9">
        <v>3</v>
      </c>
      <c r="P112" s="9">
        <v>7</v>
      </c>
      <c r="Q112" s="9">
        <v>0</v>
      </c>
      <c r="R112" s="9">
        <v>0</v>
      </c>
      <c r="S112" s="9">
        <v>0</v>
      </c>
      <c r="T112" s="9">
        <v>41</v>
      </c>
      <c r="U112" s="9">
        <v>0</v>
      </c>
      <c r="V112" s="9">
        <v>0</v>
      </c>
      <c r="W112" s="9">
        <v>0</v>
      </c>
      <c r="X112" s="9">
        <v>0</v>
      </c>
      <c r="Y112" s="9">
        <v>0</v>
      </c>
      <c r="Z112" s="9">
        <v>0</v>
      </c>
      <c r="AA112" s="9">
        <v>0</v>
      </c>
      <c r="AB112" s="9">
        <v>0</v>
      </c>
      <c r="AC112" s="9">
        <v>0</v>
      </c>
      <c r="AD112" s="9">
        <v>0</v>
      </c>
      <c r="AE112" s="9">
        <v>0</v>
      </c>
      <c r="AF112" s="9">
        <v>0</v>
      </c>
      <c r="AG112" s="9">
        <v>0</v>
      </c>
      <c r="AH112" s="9">
        <v>0</v>
      </c>
      <c r="AI112" s="9">
        <v>0</v>
      </c>
      <c r="AJ112" s="9">
        <v>0</v>
      </c>
      <c r="AK112" s="9">
        <v>0</v>
      </c>
      <c r="AL112" s="9">
        <v>0</v>
      </c>
      <c r="AM112" s="9">
        <v>0</v>
      </c>
      <c r="AN112" s="9">
        <v>0</v>
      </c>
      <c r="AO112" s="9">
        <v>0</v>
      </c>
      <c r="AP112" s="9">
        <v>0</v>
      </c>
      <c r="AQ112" s="9">
        <v>0</v>
      </c>
      <c r="AR112" s="9">
        <v>0</v>
      </c>
      <c r="AS112" s="9">
        <v>0</v>
      </c>
      <c r="AT112" s="9">
        <v>0</v>
      </c>
      <c r="AU112" s="9">
        <v>0</v>
      </c>
      <c r="AV112" s="9">
        <v>0</v>
      </c>
      <c r="AW112" s="9">
        <v>0</v>
      </c>
      <c r="AX112" s="9">
        <v>0</v>
      </c>
      <c r="AY112" s="9">
        <v>0</v>
      </c>
      <c r="AZ112" s="9">
        <v>5</v>
      </c>
      <c r="BA112" s="9">
        <v>0</v>
      </c>
      <c r="BB112" s="9">
        <v>0</v>
      </c>
      <c r="BC112" s="9">
        <v>0</v>
      </c>
      <c r="BD112" s="9">
        <v>0</v>
      </c>
      <c r="BE112" s="9">
        <v>0</v>
      </c>
      <c r="BF112" s="9">
        <v>0</v>
      </c>
      <c r="BG112" s="9">
        <v>0</v>
      </c>
      <c r="BH112" s="9">
        <v>0</v>
      </c>
      <c r="BI112" s="9">
        <v>0</v>
      </c>
      <c r="BJ112" s="9">
        <v>0</v>
      </c>
      <c r="BK112" s="9">
        <v>0</v>
      </c>
      <c r="BL112" s="9">
        <v>0</v>
      </c>
      <c r="BM112" s="9">
        <v>0</v>
      </c>
      <c r="BN112" s="9">
        <v>0</v>
      </c>
      <c r="BO112" s="9">
        <v>0</v>
      </c>
      <c r="BP112" s="9">
        <v>0</v>
      </c>
      <c r="BQ112" s="9">
        <v>0</v>
      </c>
      <c r="BR112" s="9">
        <v>0</v>
      </c>
      <c r="BS112" s="9">
        <v>0</v>
      </c>
      <c r="BT112" s="9">
        <v>0</v>
      </c>
      <c r="BU112" s="9">
        <v>0</v>
      </c>
      <c r="BV112" s="9">
        <v>0</v>
      </c>
      <c r="BW112" s="9">
        <v>0</v>
      </c>
      <c r="BX112" s="9">
        <v>0</v>
      </c>
      <c r="BY112" s="9">
        <v>0</v>
      </c>
      <c r="BZ112" s="9">
        <v>0</v>
      </c>
      <c r="CA112" s="9">
        <v>2</v>
      </c>
      <c r="CB112" s="9">
        <v>0</v>
      </c>
      <c r="CC112" s="9">
        <v>0</v>
      </c>
      <c r="CD112" s="9">
        <v>0</v>
      </c>
      <c r="CE112" s="9">
        <v>0</v>
      </c>
      <c r="CF112" s="9">
        <v>0</v>
      </c>
      <c r="CG112" s="9">
        <v>0</v>
      </c>
      <c r="CH112" s="9">
        <v>0</v>
      </c>
      <c r="CI112" s="9">
        <v>0</v>
      </c>
      <c r="CJ112" s="9">
        <v>0</v>
      </c>
      <c r="CK112" s="9">
        <v>0</v>
      </c>
      <c r="CL112" s="9">
        <v>0</v>
      </c>
      <c r="CM112" s="9">
        <v>0</v>
      </c>
      <c r="CN112" s="9">
        <v>0</v>
      </c>
      <c r="CO112" s="9">
        <v>0</v>
      </c>
      <c r="CP112" s="9">
        <v>0</v>
      </c>
      <c r="CQ112" s="9">
        <v>0</v>
      </c>
      <c r="CR112" s="9">
        <v>0</v>
      </c>
      <c r="CS112" s="9">
        <v>0</v>
      </c>
      <c r="CT112" s="9">
        <v>0</v>
      </c>
      <c r="CU112" s="9">
        <v>0</v>
      </c>
      <c r="CV112" s="9">
        <v>0</v>
      </c>
      <c r="CW112" s="9">
        <v>0</v>
      </c>
      <c r="CX112" s="9">
        <v>0</v>
      </c>
      <c r="CY112" s="9">
        <v>0</v>
      </c>
      <c r="CZ112" s="9">
        <v>0</v>
      </c>
      <c r="DA112" s="9">
        <v>0</v>
      </c>
      <c r="DB112" s="9">
        <v>0</v>
      </c>
      <c r="DC112" s="9">
        <v>0</v>
      </c>
      <c r="DD112" s="9">
        <v>0</v>
      </c>
      <c r="DE112" s="9">
        <v>0</v>
      </c>
      <c r="DF112" s="9">
        <v>0</v>
      </c>
      <c r="DG112" s="9">
        <v>0</v>
      </c>
      <c r="DH112" s="9">
        <v>0</v>
      </c>
      <c r="DI112" s="9">
        <v>0</v>
      </c>
      <c r="DJ112" s="9">
        <v>0</v>
      </c>
      <c r="DK112" s="9">
        <v>0</v>
      </c>
      <c r="DL112" s="9">
        <v>2</v>
      </c>
      <c r="DM112" s="9">
        <v>0</v>
      </c>
      <c r="DN112" s="9">
        <v>0</v>
      </c>
      <c r="DO112" s="9">
        <v>0</v>
      </c>
      <c r="DP112" s="9">
        <v>0</v>
      </c>
      <c r="DQ112" s="9">
        <v>0</v>
      </c>
      <c r="DR112" s="9">
        <v>0</v>
      </c>
      <c r="DS112" s="9">
        <v>0</v>
      </c>
      <c r="DT112" s="9">
        <v>0</v>
      </c>
      <c r="DU112" s="9">
        <v>0</v>
      </c>
      <c r="DV112" s="9">
        <v>0</v>
      </c>
      <c r="DW112" s="9">
        <v>0</v>
      </c>
      <c r="DX112" s="9">
        <v>0</v>
      </c>
      <c r="DY112" s="9">
        <v>0</v>
      </c>
      <c r="DZ112" s="9">
        <v>0</v>
      </c>
      <c r="EA112" s="9">
        <v>0</v>
      </c>
      <c r="EB112" s="9">
        <v>0</v>
      </c>
      <c r="EC112" s="9">
        <v>0</v>
      </c>
      <c r="ED112" s="9">
        <v>0</v>
      </c>
      <c r="EE112" s="9">
        <v>0</v>
      </c>
      <c r="EF112" s="9">
        <v>0</v>
      </c>
      <c r="EG112" s="9">
        <v>0</v>
      </c>
      <c r="EH112" s="9">
        <v>0</v>
      </c>
      <c r="EI112" s="10">
        <v>0</v>
      </c>
    </row>
    <row r="113" spans="1:139" x14ac:dyDescent="0.35">
      <c r="A113" s="8" t="s">
        <v>174</v>
      </c>
      <c r="B113" s="9" t="s">
        <v>197</v>
      </c>
      <c r="C113" s="9" t="s">
        <v>198</v>
      </c>
      <c r="D113" s="9">
        <f t="shared" si="1"/>
        <v>571</v>
      </c>
      <c r="E113" s="9">
        <v>1</v>
      </c>
      <c r="F113" s="9">
        <v>0</v>
      </c>
      <c r="G113" s="9">
        <v>0</v>
      </c>
      <c r="H113" s="9">
        <v>7</v>
      </c>
      <c r="I113" s="9">
        <v>6</v>
      </c>
      <c r="J113" s="9">
        <v>6</v>
      </c>
      <c r="K113" s="9">
        <v>9</v>
      </c>
      <c r="L113" s="9">
        <v>9</v>
      </c>
      <c r="M113" s="9">
        <v>8</v>
      </c>
      <c r="N113" s="9">
        <v>0</v>
      </c>
      <c r="O113" s="9">
        <v>12</v>
      </c>
      <c r="P113" s="9">
        <v>6</v>
      </c>
      <c r="Q113" s="9">
        <v>6</v>
      </c>
      <c r="R113" s="9">
        <v>21</v>
      </c>
      <c r="S113" s="9">
        <v>13</v>
      </c>
      <c r="T113" s="9">
        <v>12</v>
      </c>
      <c r="U113" s="9">
        <v>11</v>
      </c>
      <c r="V113" s="9">
        <v>12</v>
      </c>
      <c r="W113" s="9">
        <v>6</v>
      </c>
      <c r="X113" s="9">
        <v>6</v>
      </c>
      <c r="Y113" s="9">
        <v>2</v>
      </c>
      <c r="Z113" s="9">
        <v>6</v>
      </c>
      <c r="AA113" s="9">
        <v>10</v>
      </c>
      <c r="AB113" s="9">
        <v>5</v>
      </c>
      <c r="AC113" s="9">
        <v>5</v>
      </c>
      <c r="AD113" s="9">
        <v>11</v>
      </c>
      <c r="AE113" s="9">
        <v>15</v>
      </c>
      <c r="AF113" s="9">
        <v>2</v>
      </c>
      <c r="AG113" s="9">
        <v>9</v>
      </c>
      <c r="AH113" s="9">
        <v>9</v>
      </c>
      <c r="AI113" s="9">
        <v>16</v>
      </c>
      <c r="AJ113" s="9">
        <v>9</v>
      </c>
      <c r="AK113" s="9">
        <v>18</v>
      </c>
      <c r="AL113" s="9">
        <v>6</v>
      </c>
      <c r="AM113" s="9">
        <v>12</v>
      </c>
      <c r="AN113" s="9">
        <v>7</v>
      </c>
      <c r="AO113" s="9">
        <v>4</v>
      </c>
      <c r="AP113" s="9">
        <v>3</v>
      </c>
      <c r="AQ113" s="9">
        <v>7</v>
      </c>
      <c r="AR113" s="9">
        <v>2</v>
      </c>
      <c r="AS113" s="9">
        <v>4</v>
      </c>
      <c r="AT113" s="9">
        <v>7</v>
      </c>
      <c r="AU113" s="9">
        <v>1</v>
      </c>
      <c r="AV113" s="9">
        <v>17</v>
      </c>
      <c r="AW113" s="9">
        <v>5</v>
      </c>
      <c r="AX113" s="9">
        <v>8</v>
      </c>
      <c r="AY113" s="9">
        <v>7</v>
      </c>
      <c r="AZ113" s="9">
        <v>11</v>
      </c>
      <c r="BA113" s="9">
        <v>6</v>
      </c>
      <c r="BB113" s="9">
        <v>1</v>
      </c>
      <c r="BC113" s="9">
        <v>14</v>
      </c>
      <c r="BD113" s="9">
        <v>2</v>
      </c>
      <c r="BE113" s="9">
        <v>10</v>
      </c>
      <c r="BF113" s="9">
        <v>3</v>
      </c>
      <c r="BG113" s="9">
        <v>17</v>
      </c>
      <c r="BH113" s="9">
        <v>9</v>
      </c>
      <c r="BI113" s="9">
        <v>2</v>
      </c>
      <c r="BJ113" s="9">
        <v>6</v>
      </c>
      <c r="BK113" s="9">
        <v>2</v>
      </c>
      <c r="BL113" s="9">
        <v>5</v>
      </c>
      <c r="BM113" s="9">
        <v>3</v>
      </c>
      <c r="BN113" s="9">
        <v>3</v>
      </c>
      <c r="BO113" s="9">
        <v>4</v>
      </c>
      <c r="BP113" s="9">
        <v>7</v>
      </c>
      <c r="BQ113" s="9">
        <v>3</v>
      </c>
      <c r="BR113" s="9">
        <v>7</v>
      </c>
      <c r="BS113" s="9">
        <v>1</v>
      </c>
      <c r="BT113" s="9">
        <v>0</v>
      </c>
      <c r="BU113" s="9">
        <v>3</v>
      </c>
      <c r="BV113" s="9">
        <v>2</v>
      </c>
      <c r="BW113" s="9">
        <v>3</v>
      </c>
      <c r="BX113" s="9">
        <v>2</v>
      </c>
      <c r="BY113" s="9">
        <v>2</v>
      </c>
      <c r="BZ113" s="9">
        <v>3</v>
      </c>
      <c r="CA113" s="9">
        <v>3</v>
      </c>
      <c r="CB113" s="9">
        <v>3</v>
      </c>
      <c r="CC113" s="9">
        <v>2</v>
      </c>
      <c r="CD113" s="9">
        <v>2</v>
      </c>
      <c r="CE113" s="9">
        <v>1</v>
      </c>
      <c r="CF113" s="9">
        <v>2</v>
      </c>
      <c r="CG113" s="9">
        <v>3</v>
      </c>
      <c r="CH113" s="9">
        <v>2</v>
      </c>
      <c r="CI113" s="9">
        <v>1</v>
      </c>
      <c r="CJ113" s="9">
        <v>2</v>
      </c>
      <c r="CK113" s="9">
        <v>3</v>
      </c>
      <c r="CL113" s="9">
        <v>1</v>
      </c>
      <c r="CM113" s="9">
        <v>0</v>
      </c>
      <c r="CN113" s="9">
        <v>1</v>
      </c>
      <c r="CO113" s="9">
        <v>3</v>
      </c>
      <c r="CP113" s="9">
        <v>2</v>
      </c>
      <c r="CQ113" s="9">
        <v>2</v>
      </c>
      <c r="CR113" s="9">
        <v>3</v>
      </c>
      <c r="CS113" s="9">
        <v>1</v>
      </c>
      <c r="CT113" s="9">
        <v>1</v>
      </c>
      <c r="CU113" s="9">
        <v>3</v>
      </c>
      <c r="CV113" s="9">
        <v>3</v>
      </c>
      <c r="CW113" s="9">
        <v>0</v>
      </c>
      <c r="CX113" s="9">
        <v>6</v>
      </c>
      <c r="CY113" s="9">
        <v>1</v>
      </c>
      <c r="CZ113" s="9">
        <v>2</v>
      </c>
      <c r="DA113" s="9">
        <v>1</v>
      </c>
      <c r="DB113" s="9">
        <v>0</v>
      </c>
      <c r="DC113" s="9">
        <v>2</v>
      </c>
      <c r="DD113" s="9">
        <v>1</v>
      </c>
      <c r="DE113" s="9">
        <v>3</v>
      </c>
      <c r="DF113" s="9">
        <v>1</v>
      </c>
      <c r="DG113" s="9">
        <v>1</v>
      </c>
      <c r="DH113" s="9">
        <v>2</v>
      </c>
      <c r="DI113" s="9">
        <v>0</v>
      </c>
      <c r="DJ113" s="9">
        <v>1</v>
      </c>
      <c r="DK113" s="9">
        <v>0</v>
      </c>
      <c r="DL113" s="9">
        <v>1</v>
      </c>
      <c r="DM113" s="9">
        <v>2</v>
      </c>
      <c r="DN113" s="9">
        <v>0</v>
      </c>
      <c r="DO113" s="9">
        <v>0</v>
      </c>
      <c r="DP113" s="9">
        <v>0</v>
      </c>
      <c r="DQ113" s="9">
        <v>0</v>
      </c>
      <c r="DR113" s="9">
        <v>1</v>
      </c>
      <c r="DS113" s="9">
        <v>3</v>
      </c>
      <c r="DT113" s="9">
        <v>0</v>
      </c>
      <c r="DU113" s="9">
        <v>0</v>
      </c>
      <c r="DV113" s="9">
        <v>1</v>
      </c>
      <c r="DW113" s="9">
        <v>1</v>
      </c>
      <c r="DX113" s="9">
        <v>2</v>
      </c>
      <c r="DY113" s="9">
        <v>2</v>
      </c>
      <c r="DZ113" s="9">
        <v>0</v>
      </c>
      <c r="EA113" s="9">
        <v>1</v>
      </c>
      <c r="EB113" s="9">
        <v>2</v>
      </c>
      <c r="EC113" s="9">
        <v>1</v>
      </c>
      <c r="ED113" s="9">
        <v>0</v>
      </c>
      <c r="EE113" s="9">
        <v>0</v>
      </c>
      <c r="EF113" s="9">
        <v>0</v>
      </c>
      <c r="EG113" s="9">
        <v>0</v>
      </c>
      <c r="EH113" s="9">
        <v>0</v>
      </c>
      <c r="EI113" s="10">
        <v>0</v>
      </c>
    </row>
    <row r="114" spans="1:139" x14ac:dyDescent="0.35">
      <c r="A114" s="8" t="s">
        <v>174</v>
      </c>
      <c r="B114" s="9" t="s">
        <v>199</v>
      </c>
      <c r="C114" s="9" t="s">
        <v>200</v>
      </c>
      <c r="D114" s="9">
        <f t="shared" si="1"/>
        <v>3</v>
      </c>
      <c r="E114" s="9">
        <v>0</v>
      </c>
      <c r="F114" s="9">
        <v>0</v>
      </c>
      <c r="G114" s="9">
        <v>0</v>
      </c>
      <c r="H114" s="9">
        <v>0</v>
      </c>
      <c r="I114" s="9">
        <v>0</v>
      </c>
      <c r="J114" s="9">
        <v>0</v>
      </c>
      <c r="K114" s="9">
        <v>0</v>
      </c>
      <c r="L114" s="9">
        <v>0</v>
      </c>
      <c r="M114" s="9">
        <v>0</v>
      </c>
      <c r="N114" s="9">
        <v>0</v>
      </c>
      <c r="O114" s="9">
        <v>0</v>
      </c>
      <c r="P114" s="9">
        <v>0</v>
      </c>
      <c r="Q114" s="9">
        <v>0</v>
      </c>
      <c r="R114" s="9">
        <v>0</v>
      </c>
      <c r="S114" s="9">
        <v>0</v>
      </c>
      <c r="T114" s="9">
        <v>0</v>
      </c>
      <c r="U114" s="9">
        <v>0</v>
      </c>
      <c r="V114" s="9">
        <v>0</v>
      </c>
      <c r="W114" s="9">
        <v>0</v>
      </c>
      <c r="X114" s="9">
        <v>0</v>
      </c>
      <c r="Y114" s="9">
        <v>0</v>
      </c>
      <c r="Z114" s="9">
        <v>0</v>
      </c>
      <c r="AA114" s="9">
        <v>0</v>
      </c>
      <c r="AB114" s="9">
        <v>0</v>
      </c>
      <c r="AC114" s="9">
        <v>0</v>
      </c>
      <c r="AD114" s="9">
        <v>0</v>
      </c>
      <c r="AE114" s="9">
        <v>0</v>
      </c>
      <c r="AF114" s="9">
        <v>0</v>
      </c>
      <c r="AG114" s="9">
        <v>0</v>
      </c>
      <c r="AH114" s="9">
        <v>0</v>
      </c>
      <c r="AI114" s="9">
        <v>0</v>
      </c>
      <c r="AJ114" s="9">
        <v>0</v>
      </c>
      <c r="AK114" s="9">
        <v>0</v>
      </c>
      <c r="AL114" s="9">
        <v>0</v>
      </c>
      <c r="AM114" s="9">
        <v>0</v>
      </c>
      <c r="AN114" s="9">
        <v>0</v>
      </c>
      <c r="AO114" s="9">
        <v>0</v>
      </c>
      <c r="AP114" s="9">
        <v>0</v>
      </c>
      <c r="AQ114" s="9">
        <v>0</v>
      </c>
      <c r="AR114" s="9">
        <v>0</v>
      </c>
      <c r="AS114" s="9">
        <v>0</v>
      </c>
      <c r="AT114" s="9">
        <v>0</v>
      </c>
      <c r="AU114" s="9">
        <v>0</v>
      </c>
      <c r="AV114" s="9">
        <v>0</v>
      </c>
      <c r="AW114" s="9">
        <v>0</v>
      </c>
      <c r="AX114" s="9">
        <v>0</v>
      </c>
      <c r="AY114" s="9">
        <v>0</v>
      </c>
      <c r="AZ114" s="9">
        <v>0</v>
      </c>
      <c r="BA114" s="9">
        <v>0</v>
      </c>
      <c r="BB114" s="9">
        <v>0</v>
      </c>
      <c r="BC114" s="9">
        <v>0</v>
      </c>
      <c r="BD114" s="9">
        <v>0</v>
      </c>
      <c r="BE114" s="9">
        <v>0</v>
      </c>
      <c r="BF114" s="9">
        <v>0</v>
      </c>
      <c r="BG114" s="9">
        <v>0</v>
      </c>
      <c r="BH114" s="9">
        <v>0</v>
      </c>
      <c r="BI114" s="9">
        <v>0</v>
      </c>
      <c r="BJ114" s="9">
        <v>0</v>
      </c>
      <c r="BK114" s="9">
        <v>0</v>
      </c>
      <c r="BL114" s="9">
        <v>0</v>
      </c>
      <c r="BM114" s="9">
        <v>0</v>
      </c>
      <c r="BN114" s="9">
        <v>0</v>
      </c>
      <c r="BO114" s="9">
        <v>0</v>
      </c>
      <c r="BP114" s="9">
        <v>0</v>
      </c>
      <c r="BQ114" s="9">
        <v>0</v>
      </c>
      <c r="BR114" s="9">
        <v>0</v>
      </c>
      <c r="BS114" s="9">
        <v>0</v>
      </c>
      <c r="BT114" s="9">
        <v>0</v>
      </c>
      <c r="BU114" s="9">
        <v>0</v>
      </c>
      <c r="BV114" s="9">
        <v>0</v>
      </c>
      <c r="BW114" s="9">
        <v>0</v>
      </c>
      <c r="BX114" s="9">
        <v>0</v>
      </c>
      <c r="BY114" s="9">
        <v>0</v>
      </c>
      <c r="BZ114" s="9">
        <v>0</v>
      </c>
      <c r="CA114" s="9">
        <v>0</v>
      </c>
      <c r="CB114" s="9">
        <v>0</v>
      </c>
      <c r="CC114" s="9">
        <v>0</v>
      </c>
      <c r="CD114" s="9">
        <v>0</v>
      </c>
      <c r="CE114" s="9">
        <v>0</v>
      </c>
      <c r="CF114" s="9">
        <v>0</v>
      </c>
      <c r="CG114" s="9">
        <v>0</v>
      </c>
      <c r="CH114" s="9">
        <v>0</v>
      </c>
      <c r="CI114" s="9">
        <v>0</v>
      </c>
      <c r="CJ114" s="9">
        <v>0</v>
      </c>
      <c r="CK114" s="9">
        <v>0</v>
      </c>
      <c r="CL114" s="9">
        <v>0</v>
      </c>
      <c r="CM114" s="9">
        <v>0</v>
      </c>
      <c r="CN114" s="9">
        <v>0</v>
      </c>
      <c r="CO114" s="9">
        <v>0</v>
      </c>
      <c r="CP114" s="9">
        <v>0</v>
      </c>
      <c r="CQ114" s="9">
        <v>0</v>
      </c>
      <c r="CR114" s="9">
        <v>0</v>
      </c>
      <c r="CS114" s="9">
        <v>0</v>
      </c>
      <c r="CT114" s="9">
        <v>0</v>
      </c>
      <c r="CU114" s="9">
        <v>0</v>
      </c>
      <c r="CV114" s="9">
        <v>0</v>
      </c>
      <c r="CW114" s="9">
        <v>0</v>
      </c>
      <c r="CX114" s="9">
        <v>0</v>
      </c>
      <c r="CY114" s="9">
        <v>0</v>
      </c>
      <c r="CZ114" s="9">
        <v>0</v>
      </c>
      <c r="DA114" s="9">
        <v>0</v>
      </c>
      <c r="DB114" s="9">
        <v>0</v>
      </c>
      <c r="DC114" s="9">
        <v>0</v>
      </c>
      <c r="DD114" s="9">
        <v>0</v>
      </c>
      <c r="DE114" s="9">
        <v>0</v>
      </c>
      <c r="DF114" s="9">
        <v>0</v>
      </c>
      <c r="DG114" s="9">
        <v>0</v>
      </c>
      <c r="DH114" s="9">
        <v>0</v>
      </c>
      <c r="DI114" s="9">
        <v>0</v>
      </c>
      <c r="DJ114" s="9">
        <v>0</v>
      </c>
      <c r="DK114" s="9">
        <v>0</v>
      </c>
      <c r="DL114" s="9">
        <v>0</v>
      </c>
      <c r="DM114" s="9">
        <v>0</v>
      </c>
      <c r="DN114" s="9">
        <v>0</v>
      </c>
      <c r="DO114" s="9">
        <v>0</v>
      </c>
      <c r="DP114" s="9">
        <v>1</v>
      </c>
      <c r="DQ114" s="9">
        <v>0</v>
      </c>
      <c r="DR114" s="9">
        <v>0</v>
      </c>
      <c r="DS114" s="9">
        <v>0</v>
      </c>
      <c r="DT114" s="9">
        <v>0</v>
      </c>
      <c r="DU114" s="9">
        <v>0</v>
      </c>
      <c r="DV114" s="9">
        <v>0</v>
      </c>
      <c r="DW114" s="9">
        <v>0</v>
      </c>
      <c r="DX114" s="9">
        <v>0</v>
      </c>
      <c r="DY114" s="9">
        <v>0</v>
      </c>
      <c r="DZ114" s="9">
        <v>1</v>
      </c>
      <c r="EA114" s="9">
        <v>0</v>
      </c>
      <c r="EB114" s="9">
        <v>0</v>
      </c>
      <c r="EC114" s="9">
        <v>0</v>
      </c>
      <c r="ED114" s="9">
        <v>0</v>
      </c>
      <c r="EE114" s="9">
        <v>0</v>
      </c>
      <c r="EF114" s="9">
        <v>1</v>
      </c>
      <c r="EG114" s="9">
        <v>0</v>
      </c>
      <c r="EH114" s="9">
        <v>0</v>
      </c>
      <c r="EI114" s="10">
        <v>0</v>
      </c>
    </row>
    <row r="115" spans="1:139" x14ac:dyDescent="0.35">
      <c r="A115" s="8" t="s">
        <v>174</v>
      </c>
      <c r="B115" s="9" t="s">
        <v>201</v>
      </c>
      <c r="C115" s="9" t="s">
        <v>202</v>
      </c>
      <c r="D115" s="9">
        <f t="shared" si="1"/>
        <v>78</v>
      </c>
      <c r="E115" s="9">
        <v>0</v>
      </c>
      <c r="F115" s="9">
        <v>0</v>
      </c>
      <c r="G115" s="9">
        <v>0</v>
      </c>
      <c r="H115" s="9">
        <v>0</v>
      </c>
      <c r="I115" s="9">
        <v>0</v>
      </c>
      <c r="J115" s="9">
        <v>0</v>
      </c>
      <c r="K115" s="9">
        <v>0</v>
      </c>
      <c r="L115" s="9">
        <v>0</v>
      </c>
      <c r="M115" s="9">
        <v>0</v>
      </c>
      <c r="N115" s="9">
        <v>0</v>
      </c>
      <c r="O115" s="9">
        <v>0</v>
      </c>
      <c r="P115" s="9">
        <v>0</v>
      </c>
      <c r="Q115" s="9">
        <v>0</v>
      </c>
      <c r="R115" s="9">
        <v>0</v>
      </c>
      <c r="S115" s="9">
        <v>0</v>
      </c>
      <c r="T115" s="9">
        <v>0</v>
      </c>
      <c r="U115" s="9">
        <v>0</v>
      </c>
      <c r="V115" s="9">
        <v>0</v>
      </c>
      <c r="W115" s="9">
        <v>0</v>
      </c>
      <c r="X115" s="9">
        <v>0</v>
      </c>
      <c r="Y115" s="9">
        <v>1</v>
      </c>
      <c r="Z115" s="9">
        <v>0</v>
      </c>
      <c r="AA115" s="9">
        <v>1</v>
      </c>
      <c r="AB115" s="9">
        <v>1</v>
      </c>
      <c r="AC115" s="9">
        <v>3</v>
      </c>
      <c r="AD115" s="9">
        <v>1</v>
      </c>
      <c r="AE115" s="9">
        <v>1</v>
      </c>
      <c r="AF115" s="9">
        <v>2</v>
      </c>
      <c r="AG115" s="9">
        <v>2</v>
      </c>
      <c r="AH115" s="9">
        <v>0</v>
      </c>
      <c r="AI115" s="9">
        <v>1</v>
      </c>
      <c r="AJ115" s="9">
        <v>0</v>
      </c>
      <c r="AK115" s="9">
        <v>3</v>
      </c>
      <c r="AL115" s="9">
        <v>2</v>
      </c>
      <c r="AM115" s="9">
        <v>2</v>
      </c>
      <c r="AN115" s="9">
        <v>0</v>
      </c>
      <c r="AO115" s="9">
        <v>4</v>
      </c>
      <c r="AP115" s="9">
        <v>2</v>
      </c>
      <c r="AQ115" s="9">
        <v>1</v>
      </c>
      <c r="AR115" s="9">
        <v>4</v>
      </c>
      <c r="AS115" s="9">
        <v>2</v>
      </c>
      <c r="AT115" s="9">
        <v>1</v>
      </c>
      <c r="AU115" s="9">
        <v>0</v>
      </c>
      <c r="AV115" s="9">
        <v>0</v>
      </c>
      <c r="AW115" s="9">
        <v>2</v>
      </c>
      <c r="AX115" s="9">
        <v>1</v>
      </c>
      <c r="AY115" s="9">
        <v>1</v>
      </c>
      <c r="AZ115" s="9">
        <v>2</v>
      </c>
      <c r="BA115" s="9">
        <v>2</v>
      </c>
      <c r="BB115" s="9">
        <v>0</v>
      </c>
      <c r="BC115" s="9">
        <v>1</v>
      </c>
      <c r="BD115" s="9">
        <v>1</v>
      </c>
      <c r="BE115" s="9">
        <v>2</v>
      </c>
      <c r="BF115" s="9">
        <v>2</v>
      </c>
      <c r="BG115" s="9">
        <v>4</v>
      </c>
      <c r="BH115" s="9">
        <v>1</v>
      </c>
      <c r="BI115" s="9">
        <v>2</v>
      </c>
      <c r="BJ115" s="9">
        <v>1</v>
      </c>
      <c r="BK115" s="9">
        <v>3</v>
      </c>
      <c r="BL115" s="9">
        <v>0</v>
      </c>
      <c r="BM115" s="9">
        <v>1</v>
      </c>
      <c r="BN115" s="9">
        <v>0</v>
      </c>
      <c r="BO115" s="9">
        <v>2</v>
      </c>
      <c r="BP115" s="9">
        <v>1</v>
      </c>
      <c r="BQ115" s="9">
        <v>2</v>
      </c>
      <c r="BR115" s="9">
        <v>2</v>
      </c>
      <c r="BS115" s="9">
        <v>1</v>
      </c>
      <c r="BT115" s="9">
        <v>3</v>
      </c>
      <c r="BU115" s="9">
        <v>3</v>
      </c>
      <c r="BV115" s="9">
        <v>0</v>
      </c>
      <c r="BW115" s="9">
        <v>0</v>
      </c>
      <c r="BX115" s="9">
        <v>0</v>
      </c>
      <c r="BY115" s="9">
        <v>0</v>
      </c>
      <c r="BZ115" s="9">
        <v>0</v>
      </c>
      <c r="CA115" s="9">
        <v>1</v>
      </c>
      <c r="CB115" s="9">
        <v>0</v>
      </c>
      <c r="CC115" s="9">
        <v>0</v>
      </c>
      <c r="CD115" s="9">
        <v>0</v>
      </c>
      <c r="CE115" s="9">
        <v>0</v>
      </c>
      <c r="CF115" s="9">
        <v>0</v>
      </c>
      <c r="CG115" s="9">
        <v>0</v>
      </c>
      <c r="CH115" s="9">
        <v>0</v>
      </c>
      <c r="CI115" s="9">
        <v>1</v>
      </c>
      <c r="CJ115" s="9">
        <v>0</v>
      </c>
      <c r="CK115" s="9">
        <v>0</v>
      </c>
      <c r="CL115" s="9">
        <v>0</v>
      </c>
      <c r="CM115" s="9">
        <v>0</v>
      </c>
      <c r="CN115" s="9">
        <v>0</v>
      </c>
      <c r="CO115" s="9">
        <v>0</v>
      </c>
      <c r="CP115" s="9">
        <v>0</v>
      </c>
      <c r="CQ115" s="9">
        <v>0</v>
      </c>
      <c r="CR115" s="9">
        <v>0</v>
      </c>
      <c r="CS115" s="9">
        <v>0</v>
      </c>
      <c r="CT115" s="9">
        <v>0</v>
      </c>
      <c r="CU115" s="9">
        <v>0</v>
      </c>
      <c r="CV115" s="9">
        <v>0</v>
      </c>
      <c r="CW115" s="9">
        <v>0</v>
      </c>
      <c r="CX115" s="9">
        <v>0</v>
      </c>
      <c r="CY115" s="9">
        <v>0</v>
      </c>
      <c r="CZ115" s="9">
        <v>0</v>
      </c>
      <c r="DA115" s="9">
        <v>0</v>
      </c>
      <c r="DB115" s="9">
        <v>0</v>
      </c>
      <c r="DC115" s="9">
        <v>0</v>
      </c>
      <c r="DD115" s="9">
        <v>0</v>
      </c>
      <c r="DE115" s="9">
        <v>0</v>
      </c>
      <c r="DF115" s="9">
        <v>1</v>
      </c>
      <c r="DG115" s="9">
        <v>0</v>
      </c>
      <c r="DH115" s="9">
        <v>0</v>
      </c>
      <c r="DI115" s="9">
        <v>0</v>
      </c>
      <c r="DJ115" s="9">
        <v>0</v>
      </c>
      <c r="DK115" s="9">
        <v>0</v>
      </c>
      <c r="DL115" s="9">
        <v>0</v>
      </c>
      <c r="DM115" s="9">
        <v>0</v>
      </c>
      <c r="DN115" s="9">
        <v>0</v>
      </c>
      <c r="DO115" s="9">
        <v>0</v>
      </c>
      <c r="DP115" s="9">
        <v>0</v>
      </c>
      <c r="DQ115" s="9">
        <v>1</v>
      </c>
      <c r="DR115" s="9">
        <v>0</v>
      </c>
      <c r="DS115" s="9">
        <v>0</v>
      </c>
      <c r="DT115" s="9">
        <v>0</v>
      </c>
      <c r="DU115" s="9">
        <v>0</v>
      </c>
      <c r="DV115" s="9">
        <v>0</v>
      </c>
      <c r="DW115" s="9">
        <v>0</v>
      </c>
      <c r="DX115" s="9">
        <v>0</v>
      </c>
      <c r="DY115" s="9">
        <v>0</v>
      </c>
      <c r="DZ115" s="9">
        <v>0</v>
      </c>
      <c r="EA115" s="9">
        <v>0</v>
      </c>
      <c r="EB115" s="9">
        <v>0</v>
      </c>
      <c r="EC115" s="9">
        <v>0</v>
      </c>
      <c r="ED115" s="9">
        <v>0</v>
      </c>
      <c r="EE115" s="9">
        <v>0</v>
      </c>
      <c r="EF115" s="9">
        <v>0</v>
      </c>
      <c r="EG115" s="9">
        <v>0</v>
      </c>
      <c r="EH115" s="9">
        <v>0</v>
      </c>
      <c r="EI115" s="10">
        <v>0</v>
      </c>
    </row>
    <row r="116" spans="1:139" x14ac:dyDescent="0.35">
      <c r="A116" s="8" t="s">
        <v>174</v>
      </c>
      <c r="B116" s="9" t="s">
        <v>203</v>
      </c>
      <c r="C116" s="9" t="s">
        <v>204</v>
      </c>
      <c r="D116" s="9">
        <f t="shared" si="1"/>
        <v>0</v>
      </c>
      <c r="E116" s="9">
        <v>0</v>
      </c>
      <c r="F116" s="9">
        <v>0</v>
      </c>
      <c r="G116" s="9">
        <v>0</v>
      </c>
      <c r="H116" s="9">
        <v>0</v>
      </c>
      <c r="I116" s="9">
        <v>0</v>
      </c>
      <c r="J116" s="9">
        <v>0</v>
      </c>
      <c r="K116" s="9">
        <v>0</v>
      </c>
      <c r="L116" s="9">
        <v>0</v>
      </c>
      <c r="M116" s="9">
        <v>0</v>
      </c>
      <c r="N116" s="9">
        <v>0</v>
      </c>
      <c r="O116" s="9">
        <v>0</v>
      </c>
      <c r="P116" s="9">
        <v>0</v>
      </c>
      <c r="Q116" s="9">
        <v>0</v>
      </c>
      <c r="R116" s="9">
        <v>0</v>
      </c>
      <c r="S116" s="9">
        <v>0</v>
      </c>
      <c r="T116" s="9">
        <v>0</v>
      </c>
      <c r="U116" s="9">
        <v>0</v>
      </c>
      <c r="V116" s="9">
        <v>0</v>
      </c>
      <c r="W116" s="9">
        <v>0</v>
      </c>
      <c r="X116" s="9">
        <v>0</v>
      </c>
      <c r="Y116" s="9">
        <v>0</v>
      </c>
      <c r="Z116" s="9">
        <v>0</v>
      </c>
      <c r="AA116" s="9">
        <v>0</v>
      </c>
      <c r="AB116" s="9">
        <v>0</v>
      </c>
      <c r="AC116" s="9">
        <v>0</v>
      </c>
      <c r="AD116" s="9">
        <v>0</v>
      </c>
      <c r="AE116" s="9">
        <v>0</v>
      </c>
      <c r="AF116" s="9">
        <v>0</v>
      </c>
      <c r="AG116" s="9">
        <v>0</v>
      </c>
      <c r="AH116" s="9">
        <v>0</v>
      </c>
      <c r="AI116" s="9">
        <v>0</v>
      </c>
      <c r="AJ116" s="9">
        <v>0</v>
      </c>
      <c r="AK116" s="9">
        <v>0</v>
      </c>
      <c r="AL116" s="9">
        <v>0</v>
      </c>
      <c r="AM116" s="9">
        <v>0</v>
      </c>
      <c r="AN116" s="9">
        <v>0</v>
      </c>
      <c r="AO116" s="9">
        <v>0</v>
      </c>
      <c r="AP116" s="9">
        <v>0</v>
      </c>
      <c r="AQ116" s="9">
        <v>0</v>
      </c>
      <c r="AR116" s="9">
        <v>0</v>
      </c>
      <c r="AS116" s="9">
        <v>0</v>
      </c>
      <c r="AT116" s="9">
        <v>0</v>
      </c>
      <c r="AU116" s="9">
        <v>0</v>
      </c>
      <c r="AV116" s="9">
        <v>0</v>
      </c>
      <c r="AW116" s="9">
        <v>0</v>
      </c>
      <c r="AX116" s="9">
        <v>0</v>
      </c>
      <c r="AY116" s="9">
        <v>0</v>
      </c>
      <c r="AZ116" s="9">
        <v>0</v>
      </c>
      <c r="BA116" s="9">
        <v>0</v>
      </c>
      <c r="BB116" s="9">
        <v>0</v>
      </c>
      <c r="BC116" s="9">
        <v>0</v>
      </c>
      <c r="BD116" s="9">
        <v>0</v>
      </c>
      <c r="BE116" s="9">
        <v>0</v>
      </c>
      <c r="BF116" s="9">
        <v>0</v>
      </c>
      <c r="BG116" s="9">
        <v>0</v>
      </c>
      <c r="BH116" s="9">
        <v>0</v>
      </c>
      <c r="BI116" s="9">
        <v>0</v>
      </c>
      <c r="BJ116" s="9">
        <v>0</v>
      </c>
      <c r="BK116" s="9">
        <v>0</v>
      </c>
      <c r="BL116" s="9">
        <v>0</v>
      </c>
      <c r="BM116" s="9">
        <v>0</v>
      </c>
      <c r="BN116" s="9">
        <v>0</v>
      </c>
      <c r="BO116" s="9">
        <v>0</v>
      </c>
      <c r="BP116" s="9">
        <v>0</v>
      </c>
      <c r="BQ116" s="9">
        <v>0</v>
      </c>
      <c r="BR116" s="9">
        <v>0</v>
      </c>
      <c r="BS116" s="9">
        <v>0</v>
      </c>
      <c r="BT116" s="9">
        <v>0</v>
      </c>
      <c r="BU116" s="9">
        <v>0</v>
      </c>
      <c r="BV116" s="9">
        <v>0</v>
      </c>
      <c r="BW116" s="9">
        <v>0</v>
      </c>
      <c r="BX116" s="9">
        <v>0</v>
      </c>
      <c r="BY116" s="9">
        <v>0</v>
      </c>
      <c r="BZ116" s="9">
        <v>0</v>
      </c>
      <c r="CA116" s="9">
        <v>0</v>
      </c>
      <c r="CB116" s="9">
        <v>0</v>
      </c>
      <c r="CC116" s="9">
        <v>0</v>
      </c>
      <c r="CD116" s="9">
        <v>0</v>
      </c>
      <c r="CE116" s="9">
        <v>0</v>
      </c>
      <c r="CF116" s="9">
        <v>0</v>
      </c>
      <c r="CG116" s="9">
        <v>0</v>
      </c>
      <c r="CH116" s="9">
        <v>0</v>
      </c>
      <c r="CI116" s="9">
        <v>0</v>
      </c>
      <c r="CJ116" s="9">
        <v>0</v>
      </c>
      <c r="CK116" s="9">
        <v>0</v>
      </c>
      <c r="CL116" s="9">
        <v>0</v>
      </c>
      <c r="CM116" s="9">
        <v>0</v>
      </c>
      <c r="CN116" s="9">
        <v>0</v>
      </c>
      <c r="CO116" s="9">
        <v>0</v>
      </c>
      <c r="CP116" s="9">
        <v>0</v>
      </c>
      <c r="CQ116" s="9">
        <v>0</v>
      </c>
      <c r="CR116" s="9">
        <v>0</v>
      </c>
      <c r="CS116" s="9">
        <v>0</v>
      </c>
      <c r="CT116" s="9">
        <v>0</v>
      </c>
      <c r="CU116" s="9">
        <v>0</v>
      </c>
      <c r="CV116" s="9">
        <v>0</v>
      </c>
      <c r="CW116" s="9">
        <v>0</v>
      </c>
      <c r="CX116" s="9">
        <v>0</v>
      </c>
      <c r="CY116" s="9">
        <v>0</v>
      </c>
      <c r="CZ116" s="9">
        <v>0</v>
      </c>
      <c r="DA116" s="9">
        <v>0</v>
      </c>
      <c r="DB116" s="9">
        <v>0</v>
      </c>
      <c r="DC116" s="9">
        <v>0</v>
      </c>
      <c r="DD116" s="9">
        <v>0</v>
      </c>
      <c r="DE116" s="9">
        <v>0</v>
      </c>
      <c r="DF116" s="9">
        <v>0</v>
      </c>
      <c r="DG116" s="9">
        <v>0</v>
      </c>
      <c r="DH116" s="9">
        <v>0</v>
      </c>
      <c r="DI116" s="9">
        <v>0</v>
      </c>
      <c r="DJ116" s="9">
        <v>0</v>
      </c>
      <c r="DK116" s="9">
        <v>0</v>
      </c>
      <c r="DL116" s="9">
        <v>0</v>
      </c>
      <c r="DM116" s="9">
        <v>0</v>
      </c>
      <c r="DN116" s="9">
        <v>0</v>
      </c>
      <c r="DO116" s="9">
        <v>0</v>
      </c>
      <c r="DP116" s="9">
        <v>0</v>
      </c>
      <c r="DQ116" s="9">
        <v>0</v>
      </c>
      <c r="DR116" s="9">
        <v>0</v>
      </c>
      <c r="DS116" s="9">
        <v>0</v>
      </c>
      <c r="DT116" s="9">
        <v>0</v>
      </c>
      <c r="DU116" s="9">
        <v>0</v>
      </c>
      <c r="DV116" s="9">
        <v>0</v>
      </c>
      <c r="DW116" s="9">
        <v>0</v>
      </c>
      <c r="DX116" s="9">
        <v>0</v>
      </c>
      <c r="DY116" s="9">
        <v>0</v>
      </c>
      <c r="DZ116" s="9">
        <v>0</v>
      </c>
      <c r="EA116" s="9">
        <v>0</v>
      </c>
      <c r="EB116" s="9">
        <v>0</v>
      </c>
      <c r="EC116" s="9">
        <v>0</v>
      </c>
      <c r="ED116" s="9">
        <v>0</v>
      </c>
      <c r="EE116" s="9">
        <v>0</v>
      </c>
      <c r="EF116" s="9">
        <v>0</v>
      </c>
      <c r="EG116" s="9">
        <v>0</v>
      </c>
      <c r="EH116" s="9">
        <v>0</v>
      </c>
      <c r="EI116" s="10">
        <v>0</v>
      </c>
    </row>
    <row r="117" spans="1:139" x14ac:dyDescent="0.35">
      <c r="A117" s="8" t="s">
        <v>174</v>
      </c>
      <c r="B117" s="9" t="s">
        <v>205</v>
      </c>
      <c r="C117" s="9" t="s">
        <v>206</v>
      </c>
      <c r="D117" s="9">
        <f t="shared" si="1"/>
        <v>191</v>
      </c>
      <c r="E117" s="9">
        <v>0</v>
      </c>
      <c r="F117" s="9">
        <v>0</v>
      </c>
      <c r="G117" s="9">
        <v>0</v>
      </c>
      <c r="H117" s="9">
        <v>0</v>
      </c>
      <c r="I117" s="9">
        <v>0</v>
      </c>
      <c r="J117" s="9">
        <v>0</v>
      </c>
      <c r="K117" s="9">
        <v>0</v>
      </c>
      <c r="L117" s="9">
        <v>0</v>
      </c>
      <c r="M117" s="9">
        <v>0</v>
      </c>
      <c r="N117" s="9">
        <v>0</v>
      </c>
      <c r="O117" s="9">
        <v>0</v>
      </c>
      <c r="P117" s="9">
        <v>0</v>
      </c>
      <c r="Q117" s="9">
        <v>0</v>
      </c>
      <c r="R117" s="9">
        <v>0</v>
      </c>
      <c r="S117" s="9">
        <v>0</v>
      </c>
      <c r="T117" s="9">
        <v>0</v>
      </c>
      <c r="U117" s="9">
        <v>0</v>
      </c>
      <c r="V117" s="9">
        <v>0</v>
      </c>
      <c r="W117" s="9">
        <v>0</v>
      </c>
      <c r="X117" s="9">
        <v>0</v>
      </c>
      <c r="Y117" s="9">
        <v>0</v>
      </c>
      <c r="Z117" s="9">
        <v>0</v>
      </c>
      <c r="AA117" s="9">
        <v>0</v>
      </c>
      <c r="AB117" s="9">
        <v>0</v>
      </c>
      <c r="AC117" s="9">
        <v>0</v>
      </c>
      <c r="AD117" s="9">
        <v>0</v>
      </c>
      <c r="AE117" s="9">
        <v>0</v>
      </c>
      <c r="AF117" s="9">
        <v>0</v>
      </c>
      <c r="AG117" s="9">
        <v>0</v>
      </c>
      <c r="AH117" s="9">
        <v>0</v>
      </c>
      <c r="AI117" s="9">
        <v>0</v>
      </c>
      <c r="AJ117" s="9">
        <v>1</v>
      </c>
      <c r="AK117" s="9">
        <v>0</v>
      </c>
      <c r="AL117" s="9">
        <v>1</v>
      </c>
      <c r="AM117" s="9">
        <v>1</v>
      </c>
      <c r="AN117" s="9">
        <v>2</v>
      </c>
      <c r="AO117" s="9">
        <v>4</v>
      </c>
      <c r="AP117" s="9">
        <v>3</v>
      </c>
      <c r="AQ117" s="9">
        <v>3</v>
      </c>
      <c r="AR117" s="9">
        <v>6</v>
      </c>
      <c r="AS117" s="9">
        <v>1</v>
      </c>
      <c r="AT117" s="9">
        <v>2</v>
      </c>
      <c r="AU117" s="9">
        <v>7</v>
      </c>
      <c r="AV117" s="9">
        <v>2</v>
      </c>
      <c r="AW117" s="9">
        <v>4</v>
      </c>
      <c r="AX117" s="9">
        <v>1</v>
      </c>
      <c r="AY117" s="9">
        <v>3</v>
      </c>
      <c r="AZ117" s="9">
        <v>3</v>
      </c>
      <c r="BA117" s="9">
        <v>1</v>
      </c>
      <c r="BB117" s="9">
        <v>2</v>
      </c>
      <c r="BC117" s="9">
        <v>0</v>
      </c>
      <c r="BD117" s="9">
        <v>2</v>
      </c>
      <c r="BE117" s="9">
        <v>1</v>
      </c>
      <c r="BF117" s="9">
        <v>5</v>
      </c>
      <c r="BG117" s="9">
        <v>2</v>
      </c>
      <c r="BH117" s="9">
        <v>4</v>
      </c>
      <c r="BI117" s="9">
        <v>2</v>
      </c>
      <c r="BJ117" s="9">
        <v>2</v>
      </c>
      <c r="BK117" s="9">
        <v>3</v>
      </c>
      <c r="BL117" s="9">
        <v>3</v>
      </c>
      <c r="BM117" s="9">
        <v>0</v>
      </c>
      <c r="BN117" s="9">
        <v>4</v>
      </c>
      <c r="BO117" s="9">
        <v>3</v>
      </c>
      <c r="BP117" s="9">
        <v>6</v>
      </c>
      <c r="BQ117" s="9">
        <v>2</v>
      </c>
      <c r="BR117" s="9">
        <v>4</v>
      </c>
      <c r="BS117" s="9">
        <v>3</v>
      </c>
      <c r="BT117" s="9">
        <v>2</v>
      </c>
      <c r="BU117" s="9">
        <v>3</v>
      </c>
      <c r="BV117" s="9">
        <v>2</v>
      </c>
      <c r="BW117" s="9">
        <v>2</v>
      </c>
      <c r="BX117" s="9">
        <v>3</v>
      </c>
      <c r="BY117" s="9">
        <v>0</v>
      </c>
      <c r="BZ117" s="9">
        <v>0</v>
      </c>
      <c r="CA117" s="9">
        <v>1</v>
      </c>
      <c r="CB117" s="9">
        <v>4</v>
      </c>
      <c r="CC117" s="9">
        <v>5</v>
      </c>
      <c r="CD117" s="9">
        <v>4</v>
      </c>
      <c r="CE117" s="9">
        <v>4</v>
      </c>
      <c r="CF117" s="9">
        <v>2</v>
      </c>
      <c r="CG117" s="9">
        <v>2</v>
      </c>
      <c r="CH117" s="9">
        <v>3</v>
      </c>
      <c r="CI117" s="9">
        <v>5</v>
      </c>
      <c r="CJ117" s="9">
        <v>4</v>
      </c>
      <c r="CK117" s="9">
        <v>8</v>
      </c>
      <c r="CL117" s="9">
        <v>4</v>
      </c>
      <c r="CM117" s="9">
        <v>2</v>
      </c>
      <c r="CN117" s="9">
        <v>2</v>
      </c>
      <c r="CO117" s="9">
        <v>9</v>
      </c>
      <c r="CP117" s="9">
        <v>3</v>
      </c>
      <c r="CQ117" s="9">
        <v>3</v>
      </c>
      <c r="CR117" s="9">
        <v>2</v>
      </c>
      <c r="CS117" s="9">
        <v>1</v>
      </c>
      <c r="CT117" s="9">
        <v>2</v>
      </c>
      <c r="CU117" s="9">
        <v>0</v>
      </c>
      <c r="CV117" s="9">
        <v>1</v>
      </c>
      <c r="CW117" s="9">
        <v>1</v>
      </c>
      <c r="CX117" s="9">
        <v>0</v>
      </c>
      <c r="CY117" s="9">
        <v>1</v>
      </c>
      <c r="CZ117" s="9">
        <v>0</v>
      </c>
      <c r="DA117" s="9">
        <v>4</v>
      </c>
      <c r="DB117" s="9">
        <v>0</v>
      </c>
      <c r="DC117" s="9">
        <v>3</v>
      </c>
      <c r="DD117" s="9">
        <v>0</v>
      </c>
      <c r="DE117" s="9">
        <v>0</v>
      </c>
      <c r="DF117" s="9">
        <v>0</v>
      </c>
      <c r="DG117" s="9">
        <v>0</v>
      </c>
      <c r="DH117" s="9">
        <v>0</v>
      </c>
      <c r="DI117" s="9">
        <v>0</v>
      </c>
      <c r="DJ117" s="9">
        <v>0</v>
      </c>
      <c r="DK117" s="9">
        <v>0</v>
      </c>
      <c r="DL117" s="9">
        <v>0</v>
      </c>
      <c r="DM117" s="9">
        <v>0</v>
      </c>
      <c r="DN117" s="9">
        <v>0</v>
      </c>
      <c r="DO117" s="9">
        <v>0</v>
      </c>
      <c r="DP117" s="9">
        <v>0</v>
      </c>
      <c r="DQ117" s="9">
        <v>0</v>
      </c>
      <c r="DR117" s="9">
        <v>0</v>
      </c>
      <c r="DS117" s="9">
        <v>0</v>
      </c>
      <c r="DT117" s="9">
        <v>0</v>
      </c>
      <c r="DU117" s="9">
        <v>0</v>
      </c>
      <c r="DV117" s="9">
        <v>0</v>
      </c>
      <c r="DW117" s="9">
        <v>0</v>
      </c>
      <c r="DX117" s="9">
        <v>5</v>
      </c>
      <c r="DY117" s="9">
        <v>0</v>
      </c>
      <c r="DZ117" s="9">
        <v>0</v>
      </c>
      <c r="EA117" s="9">
        <v>0</v>
      </c>
      <c r="EB117" s="9">
        <v>0</v>
      </c>
      <c r="EC117" s="9">
        <v>0</v>
      </c>
      <c r="ED117" s="9">
        <v>0</v>
      </c>
      <c r="EE117" s="9">
        <v>0</v>
      </c>
      <c r="EF117" s="9">
        <v>0</v>
      </c>
      <c r="EG117" s="9">
        <v>0</v>
      </c>
      <c r="EH117" s="9">
        <v>0</v>
      </c>
      <c r="EI117" s="10">
        <v>1</v>
      </c>
    </row>
    <row r="118" spans="1:139" x14ac:dyDescent="0.35">
      <c r="A118" s="8" t="s">
        <v>174</v>
      </c>
      <c r="B118" s="9" t="s">
        <v>207</v>
      </c>
      <c r="C118" s="9" t="s">
        <v>208</v>
      </c>
      <c r="D118" s="9">
        <f t="shared" si="1"/>
        <v>117</v>
      </c>
      <c r="E118" s="9">
        <v>0</v>
      </c>
      <c r="F118" s="9">
        <v>0</v>
      </c>
      <c r="G118" s="9">
        <v>0</v>
      </c>
      <c r="H118" s="9">
        <v>3</v>
      </c>
      <c r="I118" s="9">
        <v>0</v>
      </c>
      <c r="J118" s="9">
        <v>1</v>
      </c>
      <c r="K118" s="9">
        <v>4</v>
      </c>
      <c r="L118" s="9">
        <v>0</v>
      </c>
      <c r="M118" s="9">
        <v>0</v>
      </c>
      <c r="N118" s="9">
        <v>4</v>
      </c>
      <c r="O118" s="9">
        <v>2</v>
      </c>
      <c r="P118" s="9">
        <v>3</v>
      </c>
      <c r="Q118" s="9">
        <v>5</v>
      </c>
      <c r="R118" s="9">
        <v>3</v>
      </c>
      <c r="S118" s="9">
        <v>1</v>
      </c>
      <c r="T118" s="9">
        <v>1</v>
      </c>
      <c r="U118" s="9">
        <v>2</v>
      </c>
      <c r="V118" s="9">
        <v>1</v>
      </c>
      <c r="W118" s="9">
        <v>1</v>
      </c>
      <c r="X118" s="9">
        <v>1</v>
      </c>
      <c r="Y118" s="9">
        <v>0</v>
      </c>
      <c r="Z118" s="9">
        <v>2</v>
      </c>
      <c r="AA118" s="9">
        <v>1</v>
      </c>
      <c r="AB118" s="9">
        <v>2</v>
      </c>
      <c r="AC118" s="9">
        <v>1</v>
      </c>
      <c r="AD118" s="9">
        <v>0</v>
      </c>
      <c r="AE118" s="9">
        <v>0</v>
      </c>
      <c r="AF118" s="9">
        <v>1</v>
      </c>
      <c r="AG118" s="9">
        <v>0</v>
      </c>
      <c r="AH118" s="9">
        <v>1</v>
      </c>
      <c r="AI118" s="9">
        <v>1</v>
      </c>
      <c r="AJ118" s="9">
        <v>0</v>
      </c>
      <c r="AK118" s="9">
        <v>1</v>
      </c>
      <c r="AL118" s="9">
        <v>2</v>
      </c>
      <c r="AM118" s="9">
        <v>2</v>
      </c>
      <c r="AN118" s="9">
        <v>2</v>
      </c>
      <c r="AO118" s="9">
        <v>1</v>
      </c>
      <c r="AP118" s="9">
        <v>2</v>
      </c>
      <c r="AQ118" s="9">
        <v>1</v>
      </c>
      <c r="AR118" s="9">
        <v>0</v>
      </c>
      <c r="AS118" s="9">
        <v>2</v>
      </c>
      <c r="AT118" s="9">
        <v>2</v>
      </c>
      <c r="AU118" s="9">
        <v>0</v>
      </c>
      <c r="AV118" s="9">
        <v>4</v>
      </c>
      <c r="AW118" s="9">
        <v>0</v>
      </c>
      <c r="AX118" s="9">
        <v>2</v>
      </c>
      <c r="AY118" s="9">
        <v>3</v>
      </c>
      <c r="AZ118" s="9">
        <v>1</v>
      </c>
      <c r="BA118" s="9">
        <v>2</v>
      </c>
      <c r="BB118" s="9">
        <v>2</v>
      </c>
      <c r="BC118" s="9">
        <v>0</v>
      </c>
      <c r="BD118" s="9">
        <v>2</v>
      </c>
      <c r="BE118" s="9">
        <v>0</v>
      </c>
      <c r="BF118" s="9">
        <v>1</v>
      </c>
      <c r="BG118" s="9">
        <v>3</v>
      </c>
      <c r="BH118" s="9">
        <v>1</v>
      </c>
      <c r="BI118" s="9">
        <v>3</v>
      </c>
      <c r="BJ118" s="9">
        <v>2</v>
      </c>
      <c r="BK118" s="9">
        <v>0</v>
      </c>
      <c r="BL118" s="9">
        <v>0</v>
      </c>
      <c r="BM118" s="9">
        <v>0</v>
      </c>
      <c r="BN118" s="9">
        <v>0</v>
      </c>
      <c r="BO118" s="9">
        <v>2</v>
      </c>
      <c r="BP118" s="9">
        <v>1</v>
      </c>
      <c r="BQ118" s="9">
        <v>0</v>
      </c>
      <c r="BR118" s="9">
        <v>0</v>
      </c>
      <c r="BS118" s="9">
        <v>1</v>
      </c>
      <c r="BT118" s="9">
        <v>1</v>
      </c>
      <c r="BU118" s="9">
        <v>0</v>
      </c>
      <c r="BV118" s="9">
        <v>0</v>
      </c>
      <c r="BW118" s="9">
        <v>0</v>
      </c>
      <c r="BX118" s="9">
        <v>1</v>
      </c>
      <c r="BY118" s="9">
        <v>2</v>
      </c>
      <c r="BZ118" s="9">
        <v>1</v>
      </c>
      <c r="CA118" s="9">
        <v>0</v>
      </c>
      <c r="CB118" s="9">
        <v>0</v>
      </c>
      <c r="CC118" s="9">
        <v>1</v>
      </c>
      <c r="CD118" s="9">
        <v>0</v>
      </c>
      <c r="CE118" s="9">
        <v>2</v>
      </c>
      <c r="CF118" s="9">
        <v>1</v>
      </c>
      <c r="CG118" s="9">
        <v>1</v>
      </c>
      <c r="CH118" s="9">
        <v>4</v>
      </c>
      <c r="CI118" s="9">
        <v>1</v>
      </c>
      <c r="CJ118" s="9">
        <v>2</v>
      </c>
      <c r="CK118" s="9">
        <v>0</v>
      </c>
      <c r="CL118" s="9">
        <v>0</v>
      </c>
      <c r="CM118" s="9">
        <v>1</v>
      </c>
      <c r="CN118" s="9">
        <v>3</v>
      </c>
      <c r="CO118" s="9">
        <v>3</v>
      </c>
      <c r="CP118" s="9">
        <v>1</v>
      </c>
      <c r="CQ118" s="9">
        <v>0</v>
      </c>
      <c r="CR118" s="9">
        <v>0</v>
      </c>
      <c r="CS118" s="9">
        <v>0</v>
      </c>
      <c r="CT118" s="9">
        <v>1</v>
      </c>
      <c r="CU118" s="9">
        <v>0</v>
      </c>
      <c r="CV118" s="9">
        <v>0</v>
      </c>
      <c r="CW118" s="9">
        <v>0</v>
      </c>
      <c r="CX118" s="9">
        <v>0</v>
      </c>
      <c r="CY118" s="9">
        <v>2</v>
      </c>
      <c r="CZ118" s="9">
        <v>0</v>
      </c>
      <c r="DA118" s="9">
        <v>0</v>
      </c>
      <c r="DB118" s="9">
        <v>0</v>
      </c>
      <c r="DC118" s="9">
        <v>0</v>
      </c>
      <c r="DD118" s="9">
        <v>0</v>
      </c>
      <c r="DE118" s="9">
        <v>1</v>
      </c>
      <c r="DF118" s="9">
        <v>0</v>
      </c>
      <c r="DG118" s="9">
        <v>2</v>
      </c>
      <c r="DH118" s="9">
        <v>0</v>
      </c>
      <c r="DI118" s="9">
        <v>0</v>
      </c>
      <c r="DJ118" s="9">
        <v>0</v>
      </c>
      <c r="DK118" s="9">
        <v>0</v>
      </c>
      <c r="DL118" s="9">
        <v>0</v>
      </c>
      <c r="DM118" s="9">
        <v>0</v>
      </c>
      <c r="DN118" s="9">
        <v>0</v>
      </c>
      <c r="DO118" s="9">
        <v>0</v>
      </c>
      <c r="DP118" s="9">
        <v>0</v>
      </c>
      <c r="DQ118" s="9">
        <v>0</v>
      </c>
      <c r="DR118" s="9">
        <v>0</v>
      </c>
      <c r="DS118" s="9">
        <v>0</v>
      </c>
      <c r="DT118" s="9">
        <v>0</v>
      </c>
      <c r="DU118" s="9">
        <v>0</v>
      </c>
      <c r="DV118" s="9">
        <v>0</v>
      </c>
      <c r="DW118" s="9">
        <v>0</v>
      </c>
      <c r="DX118" s="9">
        <v>0</v>
      </c>
      <c r="DY118" s="9">
        <v>0</v>
      </c>
      <c r="DZ118" s="9">
        <v>0</v>
      </c>
      <c r="EA118" s="9">
        <v>0</v>
      </c>
      <c r="EB118" s="9">
        <v>0</v>
      </c>
      <c r="EC118" s="9">
        <v>0</v>
      </c>
      <c r="ED118" s="9">
        <v>0</v>
      </c>
      <c r="EE118" s="9">
        <v>0</v>
      </c>
      <c r="EF118" s="9">
        <v>0</v>
      </c>
      <c r="EG118" s="9">
        <v>0</v>
      </c>
      <c r="EH118" s="9">
        <v>0</v>
      </c>
      <c r="EI118" s="10">
        <v>0</v>
      </c>
    </row>
    <row r="119" spans="1:139" x14ac:dyDescent="0.35">
      <c r="A119" s="8" t="s">
        <v>174</v>
      </c>
      <c r="B119" s="9" t="s">
        <v>209</v>
      </c>
      <c r="C119" s="9" t="s">
        <v>210</v>
      </c>
      <c r="D119" s="9">
        <f t="shared" si="1"/>
        <v>53</v>
      </c>
      <c r="E119" s="9">
        <v>0</v>
      </c>
      <c r="F119" s="9">
        <v>0</v>
      </c>
      <c r="G119" s="9">
        <v>1</v>
      </c>
      <c r="H119" s="9">
        <v>0</v>
      </c>
      <c r="I119" s="9">
        <v>0</v>
      </c>
      <c r="J119" s="9">
        <v>0</v>
      </c>
      <c r="K119" s="9">
        <v>0</v>
      </c>
      <c r="L119" s="9">
        <v>0</v>
      </c>
      <c r="M119" s="9">
        <v>0</v>
      </c>
      <c r="N119" s="9">
        <v>0</v>
      </c>
      <c r="O119" s="9">
        <v>0</v>
      </c>
      <c r="P119" s="9">
        <v>0</v>
      </c>
      <c r="Q119" s="9">
        <v>0</v>
      </c>
      <c r="R119" s="9">
        <v>0</v>
      </c>
      <c r="S119" s="9">
        <v>0</v>
      </c>
      <c r="T119" s="9">
        <v>0</v>
      </c>
      <c r="U119" s="9">
        <v>1</v>
      </c>
      <c r="V119" s="9">
        <v>0</v>
      </c>
      <c r="W119" s="9">
        <v>1</v>
      </c>
      <c r="X119" s="9">
        <v>1</v>
      </c>
      <c r="Y119" s="9">
        <v>0</v>
      </c>
      <c r="Z119" s="9">
        <v>0</v>
      </c>
      <c r="AA119" s="9">
        <v>0</v>
      </c>
      <c r="AB119" s="9">
        <v>0</v>
      </c>
      <c r="AC119" s="9">
        <v>0</v>
      </c>
      <c r="AD119" s="9">
        <v>0</v>
      </c>
      <c r="AE119" s="9">
        <v>0</v>
      </c>
      <c r="AF119" s="9">
        <v>1</v>
      </c>
      <c r="AG119" s="9">
        <v>1</v>
      </c>
      <c r="AH119" s="9">
        <v>2</v>
      </c>
      <c r="AI119" s="9">
        <v>0</v>
      </c>
      <c r="AJ119" s="9">
        <v>0</v>
      </c>
      <c r="AK119" s="9">
        <v>0</v>
      </c>
      <c r="AL119" s="9">
        <v>6</v>
      </c>
      <c r="AM119" s="9">
        <v>1</v>
      </c>
      <c r="AN119" s="9">
        <v>0</v>
      </c>
      <c r="AO119" s="9">
        <v>0</v>
      </c>
      <c r="AP119" s="9">
        <v>0</v>
      </c>
      <c r="AQ119" s="9">
        <v>15</v>
      </c>
      <c r="AR119" s="9">
        <v>0</v>
      </c>
      <c r="AS119" s="9">
        <v>1</v>
      </c>
      <c r="AT119" s="9">
        <v>0</v>
      </c>
      <c r="AU119" s="9">
        <v>1</v>
      </c>
      <c r="AV119" s="9">
        <v>0</v>
      </c>
      <c r="AW119" s="9">
        <v>0</v>
      </c>
      <c r="AX119" s="9">
        <v>0</v>
      </c>
      <c r="AY119" s="9">
        <v>0</v>
      </c>
      <c r="AZ119" s="9">
        <v>0</v>
      </c>
      <c r="BA119" s="9">
        <v>0</v>
      </c>
      <c r="BB119" s="9">
        <v>0</v>
      </c>
      <c r="BC119" s="9">
        <v>0</v>
      </c>
      <c r="BD119" s="9">
        <v>1</v>
      </c>
      <c r="BE119" s="9">
        <v>0</v>
      </c>
      <c r="BF119" s="9">
        <v>0</v>
      </c>
      <c r="BG119" s="9">
        <v>1</v>
      </c>
      <c r="BH119" s="9">
        <v>0</v>
      </c>
      <c r="BI119" s="9">
        <v>0</v>
      </c>
      <c r="BJ119" s="9">
        <v>0</v>
      </c>
      <c r="BK119" s="9">
        <v>0</v>
      </c>
      <c r="BL119" s="9">
        <v>0</v>
      </c>
      <c r="BM119" s="9">
        <v>0</v>
      </c>
      <c r="BN119" s="9">
        <v>0</v>
      </c>
      <c r="BO119" s="9">
        <v>0</v>
      </c>
      <c r="BP119" s="9">
        <v>0</v>
      </c>
      <c r="BQ119" s="9">
        <v>0</v>
      </c>
      <c r="BR119" s="9">
        <v>0</v>
      </c>
      <c r="BS119" s="9">
        <v>0</v>
      </c>
      <c r="BT119" s="9">
        <v>1</v>
      </c>
      <c r="BU119" s="9">
        <v>0</v>
      </c>
      <c r="BV119" s="9">
        <v>0</v>
      </c>
      <c r="BW119" s="9">
        <v>0</v>
      </c>
      <c r="BX119" s="9">
        <v>0</v>
      </c>
      <c r="BY119" s="9">
        <v>2</v>
      </c>
      <c r="BZ119" s="9">
        <v>1</v>
      </c>
      <c r="CA119" s="9">
        <v>0</v>
      </c>
      <c r="CB119" s="9">
        <v>0</v>
      </c>
      <c r="CC119" s="9">
        <v>0</v>
      </c>
      <c r="CD119" s="9">
        <v>1</v>
      </c>
      <c r="CE119" s="9">
        <v>0</v>
      </c>
      <c r="CF119" s="9">
        <v>0</v>
      </c>
      <c r="CG119" s="9">
        <v>0</v>
      </c>
      <c r="CH119" s="9">
        <v>0</v>
      </c>
      <c r="CI119" s="9">
        <v>0</v>
      </c>
      <c r="CJ119" s="9">
        <v>0</v>
      </c>
      <c r="CK119" s="9">
        <v>0</v>
      </c>
      <c r="CL119" s="9">
        <v>0</v>
      </c>
      <c r="CM119" s="9">
        <v>0</v>
      </c>
      <c r="CN119" s="9">
        <v>0</v>
      </c>
      <c r="CO119" s="9">
        <v>2</v>
      </c>
      <c r="CP119" s="9">
        <v>0</v>
      </c>
      <c r="CQ119" s="9">
        <v>0</v>
      </c>
      <c r="CR119" s="9">
        <v>0</v>
      </c>
      <c r="CS119" s="9">
        <v>0</v>
      </c>
      <c r="CT119" s="9">
        <v>0</v>
      </c>
      <c r="CU119" s="9">
        <v>0</v>
      </c>
      <c r="CV119" s="9">
        <v>0</v>
      </c>
      <c r="CW119" s="9">
        <v>1</v>
      </c>
      <c r="CX119" s="9">
        <v>0</v>
      </c>
      <c r="CY119" s="9">
        <v>0</v>
      </c>
      <c r="CZ119" s="9">
        <v>0</v>
      </c>
      <c r="DA119" s="9">
        <v>0</v>
      </c>
      <c r="DB119" s="9">
        <v>0</v>
      </c>
      <c r="DC119" s="9">
        <v>0</v>
      </c>
      <c r="DD119" s="9">
        <v>0</v>
      </c>
      <c r="DE119" s="9">
        <v>0</v>
      </c>
      <c r="DF119" s="9">
        <v>0</v>
      </c>
      <c r="DG119" s="9">
        <v>1</v>
      </c>
      <c r="DH119" s="9">
        <v>0</v>
      </c>
      <c r="DI119" s="9">
        <v>0</v>
      </c>
      <c r="DJ119" s="9">
        <v>0</v>
      </c>
      <c r="DK119" s="9">
        <v>0</v>
      </c>
      <c r="DL119" s="9">
        <v>1</v>
      </c>
      <c r="DM119" s="9">
        <v>2</v>
      </c>
      <c r="DN119" s="9">
        <v>1</v>
      </c>
      <c r="DO119" s="9">
        <v>0</v>
      </c>
      <c r="DP119" s="9">
        <v>1</v>
      </c>
      <c r="DQ119" s="9">
        <v>0</v>
      </c>
      <c r="DR119" s="9">
        <v>0</v>
      </c>
      <c r="DS119" s="9">
        <v>2</v>
      </c>
      <c r="DT119" s="9">
        <v>0</v>
      </c>
      <c r="DU119" s="9">
        <v>0</v>
      </c>
      <c r="DV119" s="9">
        <v>0</v>
      </c>
      <c r="DW119" s="9">
        <v>0</v>
      </c>
      <c r="DX119" s="9">
        <v>0</v>
      </c>
      <c r="DY119" s="9">
        <v>1</v>
      </c>
      <c r="DZ119" s="9">
        <v>0</v>
      </c>
      <c r="EA119" s="9">
        <v>0</v>
      </c>
      <c r="EB119" s="9">
        <v>0</v>
      </c>
      <c r="EC119" s="9">
        <v>0</v>
      </c>
      <c r="ED119" s="9">
        <v>0</v>
      </c>
      <c r="EE119" s="9">
        <v>1</v>
      </c>
      <c r="EF119" s="9">
        <v>0</v>
      </c>
      <c r="EG119" s="9">
        <v>1</v>
      </c>
      <c r="EH119" s="9">
        <v>0</v>
      </c>
      <c r="EI119" s="10">
        <v>0</v>
      </c>
    </row>
    <row r="120" spans="1:139" x14ac:dyDescent="0.35">
      <c r="A120" s="8" t="s">
        <v>174</v>
      </c>
      <c r="B120" s="9" t="s">
        <v>211</v>
      </c>
      <c r="C120" s="9" t="s">
        <v>212</v>
      </c>
      <c r="D120" s="9">
        <f t="shared" si="1"/>
        <v>5</v>
      </c>
      <c r="E120" s="9">
        <v>0</v>
      </c>
      <c r="F120" s="9">
        <v>0</v>
      </c>
      <c r="G120" s="9">
        <v>0</v>
      </c>
      <c r="H120" s="9">
        <v>0</v>
      </c>
      <c r="I120" s="9">
        <v>0</v>
      </c>
      <c r="J120" s="9">
        <v>0</v>
      </c>
      <c r="K120" s="9">
        <v>0</v>
      </c>
      <c r="L120" s="9">
        <v>0</v>
      </c>
      <c r="M120" s="9">
        <v>0</v>
      </c>
      <c r="N120" s="9">
        <v>0</v>
      </c>
      <c r="O120" s="9">
        <v>0</v>
      </c>
      <c r="P120" s="9">
        <v>0</v>
      </c>
      <c r="Q120" s="9">
        <v>0</v>
      </c>
      <c r="R120" s="9">
        <v>1</v>
      </c>
      <c r="S120" s="9">
        <v>0</v>
      </c>
      <c r="T120" s="9">
        <v>0</v>
      </c>
      <c r="U120" s="9">
        <v>0</v>
      </c>
      <c r="V120" s="9">
        <v>0</v>
      </c>
      <c r="W120" s="9">
        <v>0</v>
      </c>
      <c r="X120" s="9">
        <v>0</v>
      </c>
      <c r="Y120" s="9">
        <v>0</v>
      </c>
      <c r="Z120" s="9">
        <v>0</v>
      </c>
      <c r="AA120" s="9">
        <v>0</v>
      </c>
      <c r="AB120" s="9">
        <v>0</v>
      </c>
      <c r="AC120" s="9">
        <v>0</v>
      </c>
      <c r="AD120" s="9">
        <v>0</v>
      </c>
      <c r="AE120" s="9">
        <v>0</v>
      </c>
      <c r="AF120" s="9">
        <v>0</v>
      </c>
      <c r="AG120" s="9">
        <v>0</v>
      </c>
      <c r="AH120" s="9">
        <v>0</v>
      </c>
      <c r="AI120" s="9">
        <v>0</v>
      </c>
      <c r="AJ120" s="9">
        <v>0</v>
      </c>
      <c r="AK120" s="9">
        <v>0</v>
      </c>
      <c r="AL120" s="9">
        <v>0</v>
      </c>
      <c r="AM120" s="9">
        <v>0</v>
      </c>
      <c r="AN120" s="9">
        <v>0</v>
      </c>
      <c r="AO120" s="9">
        <v>0</v>
      </c>
      <c r="AP120" s="9">
        <v>1</v>
      </c>
      <c r="AQ120" s="9">
        <v>0</v>
      </c>
      <c r="AR120" s="9">
        <v>0</v>
      </c>
      <c r="AS120" s="9">
        <v>0</v>
      </c>
      <c r="AT120" s="9">
        <v>0</v>
      </c>
      <c r="AU120" s="9">
        <v>0</v>
      </c>
      <c r="AV120" s="9">
        <v>0</v>
      </c>
      <c r="AW120" s="9">
        <v>0</v>
      </c>
      <c r="AX120" s="9">
        <v>0</v>
      </c>
      <c r="AY120" s="9">
        <v>0</v>
      </c>
      <c r="AZ120" s="9">
        <v>0</v>
      </c>
      <c r="BA120" s="9">
        <v>0</v>
      </c>
      <c r="BB120" s="9">
        <v>0</v>
      </c>
      <c r="BC120" s="9">
        <v>0</v>
      </c>
      <c r="BD120" s="9">
        <v>1</v>
      </c>
      <c r="BE120" s="9">
        <v>0</v>
      </c>
      <c r="BF120" s="9">
        <v>0</v>
      </c>
      <c r="BG120" s="9">
        <v>0</v>
      </c>
      <c r="BH120" s="9">
        <v>0</v>
      </c>
      <c r="BI120" s="9">
        <v>0</v>
      </c>
      <c r="BJ120" s="9">
        <v>0</v>
      </c>
      <c r="BK120" s="9">
        <v>0</v>
      </c>
      <c r="BL120" s="9">
        <v>0</v>
      </c>
      <c r="BM120" s="9">
        <v>0</v>
      </c>
      <c r="BN120" s="9">
        <v>0</v>
      </c>
      <c r="BO120" s="9">
        <v>0</v>
      </c>
      <c r="BP120" s="9">
        <v>0</v>
      </c>
      <c r="BQ120" s="9">
        <v>0</v>
      </c>
      <c r="BR120" s="9">
        <v>0</v>
      </c>
      <c r="BS120" s="9">
        <v>0</v>
      </c>
      <c r="BT120" s="9">
        <v>0</v>
      </c>
      <c r="BU120" s="9">
        <v>0</v>
      </c>
      <c r="BV120" s="9">
        <v>0</v>
      </c>
      <c r="BW120" s="9">
        <v>0</v>
      </c>
      <c r="BX120" s="9">
        <v>0</v>
      </c>
      <c r="BY120" s="9">
        <v>0</v>
      </c>
      <c r="BZ120" s="9">
        <v>0</v>
      </c>
      <c r="CA120" s="9">
        <v>0</v>
      </c>
      <c r="CB120" s="9">
        <v>0</v>
      </c>
      <c r="CC120" s="9">
        <v>0</v>
      </c>
      <c r="CD120" s="9">
        <v>0</v>
      </c>
      <c r="CE120" s="9">
        <v>0</v>
      </c>
      <c r="CF120" s="9">
        <v>0</v>
      </c>
      <c r="CG120" s="9">
        <v>0</v>
      </c>
      <c r="CH120" s="9">
        <v>0</v>
      </c>
      <c r="CI120" s="9">
        <v>0</v>
      </c>
      <c r="CJ120" s="9">
        <v>2</v>
      </c>
      <c r="CK120" s="9">
        <v>0</v>
      </c>
      <c r="CL120" s="9">
        <v>0</v>
      </c>
      <c r="CM120" s="9">
        <v>0</v>
      </c>
      <c r="CN120" s="9">
        <v>0</v>
      </c>
      <c r="CO120" s="9">
        <v>0</v>
      </c>
      <c r="CP120" s="9">
        <v>0</v>
      </c>
      <c r="CQ120" s="9">
        <v>0</v>
      </c>
      <c r="CR120" s="9">
        <v>0</v>
      </c>
      <c r="CS120" s="9">
        <v>0</v>
      </c>
      <c r="CT120" s="9">
        <v>0</v>
      </c>
      <c r="CU120" s="9">
        <v>0</v>
      </c>
      <c r="CV120" s="9">
        <v>0</v>
      </c>
      <c r="CW120" s="9">
        <v>0</v>
      </c>
      <c r="CX120" s="9">
        <v>0</v>
      </c>
      <c r="CY120" s="9">
        <v>0</v>
      </c>
      <c r="CZ120" s="9">
        <v>0</v>
      </c>
      <c r="DA120" s="9">
        <v>0</v>
      </c>
      <c r="DB120" s="9">
        <v>0</v>
      </c>
      <c r="DC120" s="9">
        <v>0</v>
      </c>
      <c r="DD120" s="9">
        <v>0</v>
      </c>
      <c r="DE120" s="9">
        <v>0</v>
      </c>
      <c r="DF120" s="9">
        <v>0</v>
      </c>
      <c r="DG120" s="9">
        <v>0</v>
      </c>
      <c r="DH120" s="9">
        <v>0</v>
      </c>
      <c r="DI120" s="9">
        <v>0</v>
      </c>
      <c r="DJ120" s="9">
        <v>0</v>
      </c>
      <c r="DK120" s="9">
        <v>0</v>
      </c>
      <c r="DL120" s="9">
        <v>0</v>
      </c>
      <c r="DM120" s="9">
        <v>0</v>
      </c>
      <c r="DN120" s="9">
        <v>0</v>
      </c>
      <c r="DO120" s="9">
        <v>0</v>
      </c>
      <c r="DP120" s="9">
        <v>0</v>
      </c>
      <c r="DQ120" s="9">
        <v>0</v>
      </c>
      <c r="DR120" s="9">
        <v>0</v>
      </c>
      <c r="DS120" s="9">
        <v>0</v>
      </c>
      <c r="DT120" s="9">
        <v>0</v>
      </c>
      <c r="DU120" s="9">
        <v>0</v>
      </c>
      <c r="DV120" s="9">
        <v>0</v>
      </c>
      <c r="DW120" s="9">
        <v>0</v>
      </c>
      <c r="DX120" s="9">
        <v>0</v>
      </c>
      <c r="DY120" s="9">
        <v>0</v>
      </c>
      <c r="DZ120" s="9">
        <v>0</v>
      </c>
      <c r="EA120" s="9">
        <v>0</v>
      </c>
      <c r="EB120" s="9">
        <v>0</v>
      </c>
      <c r="EC120" s="9">
        <v>0</v>
      </c>
      <c r="ED120" s="9">
        <v>0</v>
      </c>
      <c r="EE120" s="9">
        <v>0</v>
      </c>
      <c r="EF120" s="9">
        <v>0</v>
      </c>
      <c r="EG120" s="9">
        <v>0</v>
      </c>
      <c r="EH120" s="9">
        <v>0</v>
      </c>
      <c r="EI120" s="10">
        <v>0</v>
      </c>
    </row>
    <row r="121" spans="1:139" x14ac:dyDescent="0.35">
      <c r="A121" s="8" t="s">
        <v>174</v>
      </c>
      <c r="B121" s="9" t="s">
        <v>213</v>
      </c>
      <c r="C121" s="9" t="s">
        <v>214</v>
      </c>
      <c r="D121" s="9">
        <f t="shared" si="1"/>
        <v>108</v>
      </c>
      <c r="E121" s="9">
        <v>1</v>
      </c>
      <c r="F121" s="9">
        <v>4</v>
      </c>
      <c r="G121" s="9">
        <v>0</v>
      </c>
      <c r="H121" s="9">
        <v>0</v>
      </c>
      <c r="I121" s="9">
        <v>0</v>
      </c>
      <c r="J121" s="9">
        <v>0</v>
      </c>
      <c r="K121" s="9">
        <v>0</v>
      </c>
      <c r="L121" s="9">
        <v>0</v>
      </c>
      <c r="M121" s="9">
        <v>0</v>
      </c>
      <c r="N121" s="9">
        <v>0</v>
      </c>
      <c r="O121" s="9">
        <v>0</v>
      </c>
      <c r="P121" s="9">
        <v>0</v>
      </c>
      <c r="Q121" s="9">
        <v>0</v>
      </c>
      <c r="R121" s="9">
        <v>0</v>
      </c>
      <c r="S121" s="9">
        <v>0</v>
      </c>
      <c r="T121" s="9">
        <v>0</v>
      </c>
      <c r="U121" s="9">
        <v>0</v>
      </c>
      <c r="V121" s="9">
        <v>0</v>
      </c>
      <c r="W121" s="9">
        <v>1</v>
      </c>
      <c r="X121" s="9">
        <v>0</v>
      </c>
      <c r="Y121" s="9">
        <v>2</v>
      </c>
      <c r="Z121" s="9">
        <v>2</v>
      </c>
      <c r="AA121" s="9">
        <v>3</v>
      </c>
      <c r="AB121" s="9">
        <v>1</v>
      </c>
      <c r="AC121" s="9">
        <v>0</v>
      </c>
      <c r="AD121" s="9">
        <v>1</v>
      </c>
      <c r="AE121" s="9">
        <v>0</v>
      </c>
      <c r="AF121" s="9">
        <v>0</v>
      </c>
      <c r="AG121" s="9">
        <v>0</v>
      </c>
      <c r="AH121" s="9">
        <v>1</v>
      </c>
      <c r="AI121" s="9">
        <v>2</v>
      </c>
      <c r="AJ121" s="9">
        <v>1</v>
      </c>
      <c r="AK121" s="9">
        <v>1</v>
      </c>
      <c r="AL121" s="9">
        <v>1</v>
      </c>
      <c r="AM121" s="9">
        <v>1</v>
      </c>
      <c r="AN121" s="9">
        <v>3</v>
      </c>
      <c r="AO121" s="9">
        <v>1</v>
      </c>
      <c r="AP121" s="9">
        <v>0</v>
      </c>
      <c r="AQ121" s="9">
        <v>1</v>
      </c>
      <c r="AR121" s="9">
        <v>2</v>
      </c>
      <c r="AS121" s="9">
        <v>2</v>
      </c>
      <c r="AT121" s="9">
        <v>2</v>
      </c>
      <c r="AU121" s="9">
        <v>2</v>
      </c>
      <c r="AV121" s="9">
        <v>2</v>
      </c>
      <c r="AW121" s="9">
        <v>1</v>
      </c>
      <c r="AX121" s="9">
        <v>0</v>
      </c>
      <c r="AY121" s="9">
        <v>2</v>
      </c>
      <c r="AZ121" s="9">
        <v>1</v>
      </c>
      <c r="BA121" s="9">
        <v>0</v>
      </c>
      <c r="BB121" s="9">
        <v>2</v>
      </c>
      <c r="BC121" s="9">
        <v>1</v>
      </c>
      <c r="BD121" s="9">
        <v>1</v>
      </c>
      <c r="BE121" s="9">
        <v>0</v>
      </c>
      <c r="BF121" s="9">
        <v>1</v>
      </c>
      <c r="BG121" s="9">
        <v>1</v>
      </c>
      <c r="BH121" s="9">
        <v>3</v>
      </c>
      <c r="BI121" s="9">
        <v>1</v>
      </c>
      <c r="BJ121" s="9">
        <v>0</v>
      </c>
      <c r="BK121" s="9">
        <v>0</v>
      </c>
      <c r="BL121" s="9">
        <v>3</v>
      </c>
      <c r="BM121" s="9">
        <v>0</v>
      </c>
      <c r="BN121" s="9">
        <v>0</v>
      </c>
      <c r="BO121" s="9">
        <v>0</v>
      </c>
      <c r="BP121" s="9">
        <v>3</v>
      </c>
      <c r="BQ121" s="9">
        <v>4</v>
      </c>
      <c r="BR121" s="9">
        <v>0</v>
      </c>
      <c r="BS121" s="9">
        <v>1</v>
      </c>
      <c r="BT121" s="9">
        <v>0</v>
      </c>
      <c r="BU121" s="9">
        <v>0</v>
      </c>
      <c r="BV121" s="9">
        <v>0</v>
      </c>
      <c r="BW121" s="9">
        <v>2</v>
      </c>
      <c r="BX121" s="9">
        <v>1</v>
      </c>
      <c r="BY121" s="9">
        <v>1</v>
      </c>
      <c r="BZ121" s="9">
        <v>2</v>
      </c>
      <c r="CA121" s="9">
        <v>1</v>
      </c>
      <c r="CB121" s="9">
        <v>1</v>
      </c>
      <c r="CC121" s="9">
        <v>2</v>
      </c>
      <c r="CD121" s="9">
        <v>3</v>
      </c>
      <c r="CE121" s="9">
        <v>0</v>
      </c>
      <c r="CF121" s="9">
        <v>1</v>
      </c>
      <c r="CG121" s="9">
        <v>0</v>
      </c>
      <c r="CH121" s="9">
        <v>1</v>
      </c>
      <c r="CI121" s="9">
        <v>1</v>
      </c>
      <c r="CJ121" s="9">
        <v>0</v>
      </c>
      <c r="CK121" s="9">
        <v>1</v>
      </c>
      <c r="CL121" s="9">
        <v>0</v>
      </c>
      <c r="CM121" s="9">
        <v>0</v>
      </c>
      <c r="CN121" s="9">
        <v>0</v>
      </c>
      <c r="CO121" s="9">
        <v>1</v>
      </c>
      <c r="CP121" s="9">
        <v>2</v>
      </c>
      <c r="CQ121" s="9">
        <v>0</v>
      </c>
      <c r="CR121" s="9">
        <v>1</v>
      </c>
      <c r="CS121" s="9">
        <v>2</v>
      </c>
      <c r="CT121" s="9">
        <v>0</v>
      </c>
      <c r="CU121" s="9">
        <v>1</v>
      </c>
      <c r="CV121" s="9">
        <v>3</v>
      </c>
      <c r="CW121" s="9">
        <v>0</v>
      </c>
      <c r="CX121" s="9">
        <v>0</v>
      </c>
      <c r="CY121" s="9">
        <v>3</v>
      </c>
      <c r="CZ121" s="9">
        <v>0</v>
      </c>
      <c r="DA121" s="9">
        <v>2</v>
      </c>
      <c r="DB121" s="9">
        <v>0</v>
      </c>
      <c r="DC121" s="9">
        <v>0</v>
      </c>
      <c r="DD121" s="9">
        <v>0</v>
      </c>
      <c r="DE121" s="9">
        <v>0</v>
      </c>
      <c r="DF121" s="9">
        <v>0</v>
      </c>
      <c r="DG121" s="9">
        <v>0</v>
      </c>
      <c r="DH121" s="9">
        <v>0</v>
      </c>
      <c r="DI121" s="9">
        <v>0</v>
      </c>
      <c r="DJ121" s="9">
        <v>0</v>
      </c>
      <c r="DK121" s="9">
        <v>0</v>
      </c>
      <c r="DL121" s="9">
        <v>0</v>
      </c>
      <c r="DM121" s="9">
        <v>3</v>
      </c>
      <c r="DN121" s="9">
        <v>1</v>
      </c>
      <c r="DO121" s="9">
        <v>0</v>
      </c>
      <c r="DP121" s="9">
        <v>0</v>
      </c>
      <c r="DQ121" s="9">
        <v>0</v>
      </c>
      <c r="DR121" s="9">
        <v>3</v>
      </c>
      <c r="DS121" s="9">
        <v>0</v>
      </c>
      <c r="DT121" s="9">
        <v>1</v>
      </c>
      <c r="DU121" s="9">
        <v>2</v>
      </c>
      <c r="DV121" s="9">
        <v>0</v>
      </c>
      <c r="DW121" s="9">
        <v>1</v>
      </c>
      <c r="DX121" s="9">
        <v>2</v>
      </c>
      <c r="DY121" s="9">
        <v>0</v>
      </c>
      <c r="DZ121" s="9">
        <v>0</v>
      </c>
      <c r="EA121" s="9">
        <v>0</v>
      </c>
      <c r="EB121" s="9">
        <v>0</v>
      </c>
      <c r="EC121" s="9">
        <v>0</v>
      </c>
      <c r="ED121" s="9">
        <v>0</v>
      </c>
      <c r="EE121" s="9">
        <v>0</v>
      </c>
      <c r="EF121" s="9">
        <v>0</v>
      </c>
      <c r="EG121" s="9">
        <v>1</v>
      </c>
      <c r="EH121" s="9">
        <v>0</v>
      </c>
      <c r="EI121" s="10">
        <v>0</v>
      </c>
    </row>
    <row r="122" spans="1:139" x14ac:dyDescent="0.35">
      <c r="A122" s="8" t="s">
        <v>174</v>
      </c>
      <c r="B122" s="9" t="s">
        <v>215</v>
      </c>
      <c r="C122" s="9" t="s">
        <v>216</v>
      </c>
      <c r="D122" s="9">
        <f t="shared" si="1"/>
        <v>111</v>
      </c>
      <c r="E122" s="9">
        <v>0</v>
      </c>
      <c r="F122" s="9">
        <v>0</v>
      </c>
      <c r="G122" s="9">
        <v>0</v>
      </c>
      <c r="H122" s="9">
        <v>1</v>
      </c>
      <c r="I122" s="9">
        <v>0</v>
      </c>
      <c r="J122" s="9">
        <v>0</v>
      </c>
      <c r="K122" s="9">
        <v>1</v>
      </c>
      <c r="L122" s="9">
        <v>0</v>
      </c>
      <c r="M122" s="9">
        <v>2</v>
      </c>
      <c r="N122" s="9">
        <v>1</v>
      </c>
      <c r="O122" s="9">
        <v>0</v>
      </c>
      <c r="P122" s="9">
        <v>0</v>
      </c>
      <c r="Q122" s="9">
        <v>0</v>
      </c>
      <c r="R122" s="9">
        <v>0</v>
      </c>
      <c r="S122" s="9">
        <v>0</v>
      </c>
      <c r="T122" s="9">
        <v>9</v>
      </c>
      <c r="U122" s="9">
        <v>8</v>
      </c>
      <c r="V122" s="9">
        <v>0</v>
      </c>
      <c r="W122" s="9">
        <v>0</v>
      </c>
      <c r="X122" s="9">
        <v>0</v>
      </c>
      <c r="Y122" s="9">
        <v>0</v>
      </c>
      <c r="Z122" s="9">
        <v>0</v>
      </c>
      <c r="AA122" s="9">
        <v>0</v>
      </c>
      <c r="AB122" s="9">
        <v>0</v>
      </c>
      <c r="AC122" s="9">
        <v>0</v>
      </c>
      <c r="AD122" s="9">
        <v>0</v>
      </c>
      <c r="AE122" s="9">
        <v>0</v>
      </c>
      <c r="AF122" s="9">
        <v>0</v>
      </c>
      <c r="AG122" s="9">
        <v>0</v>
      </c>
      <c r="AH122" s="9">
        <v>0</v>
      </c>
      <c r="AI122" s="9">
        <v>0</v>
      </c>
      <c r="AJ122" s="9">
        <v>0</v>
      </c>
      <c r="AK122" s="9">
        <v>0</v>
      </c>
      <c r="AL122" s="9">
        <v>0</v>
      </c>
      <c r="AM122" s="9">
        <v>2</v>
      </c>
      <c r="AN122" s="9">
        <v>2</v>
      </c>
      <c r="AO122" s="9">
        <v>1</v>
      </c>
      <c r="AP122" s="9">
        <v>3</v>
      </c>
      <c r="AQ122" s="9">
        <v>1</v>
      </c>
      <c r="AR122" s="9">
        <v>1</v>
      </c>
      <c r="AS122" s="9">
        <v>0</v>
      </c>
      <c r="AT122" s="9">
        <v>2</v>
      </c>
      <c r="AU122" s="9">
        <v>2</v>
      </c>
      <c r="AV122" s="9">
        <v>1</v>
      </c>
      <c r="AW122" s="9">
        <v>1</v>
      </c>
      <c r="AX122" s="9">
        <v>0</v>
      </c>
      <c r="AY122" s="9">
        <v>0</v>
      </c>
      <c r="AZ122" s="9">
        <v>2</v>
      </c>
      <c r="BA122" s="9">
        <v>1</v>
      </c>
      <c r="BB122" s="9">
        <v>1</v>
      </c>
      <c r="BC122" s="9">
        <v>2</v>
      </c>
      <c r="BD122" s="9">
        <v>3</v>
      </c>
      <c r="BE122" s="9">
        <v>2</v>
      </c>
      <c r="BF122" s="9">
        <v>0</v>
      </c>
      <c r="BG122" s="9">
        <v>2</v>
      </c>
      <c r="BH122" s="9">
        <v>3</v>
      </c>
      <c r="BI122" s="9">
        <v>2</v>
      </c>
      <c r="BJ122" s="9">
        <v>0</v>
      </c>
      <c r="BK122" s="9">
        <v>2</v>
      </c>
      <c r="BL122" s="9">
        <v>0</v>
      </c>
      <c r="BM122" s="9">
        <v>0</v>
      </c>
      <c r="BN122" s="9">
        <v>1</v>
      </c>
      <c r="BO122" s="9">
        <v>0</v>
      </c>
      <c r="BP122" s="9">
        <v>1</v>
      </c>
      <c r="BQ122" s="9">
        <v>4</v>
      </c>
      <c r="BR122" s="9">
        <v>1</v>
      </c>
      <c r="BS122" s="9">
        <v>2</v>
      </c>
      <c r="BT122" s="9">
        <v>3</v>
      </c>
      <c r="BU122" s="9">
        <v>2</v>
      </c>
      <c r="BV122" s="9">
        <v>0</v>
      </c>
      <c r="BW122" s="9">
        <v>2</v>
      </c>
      <c r="BX122" s="9">
        <v>4</v>
      </c>
      <c r="BY122" s="9">
        <v>1</v>
      </c>
      <c r="BZ122" s="9">
        <v>1</v>
      </c>
      <c r="CA122" s="9">
        <v>3</v>
      </c>
      <c r="CB122" s="9">
        <v>1</v>
      </c>
      <c r="CC122" s="9">
        <v>0</v>
      </c>
      <c r="CD122" s="9">
        <v>0</v>
      </c>
      <c r="CE122" s="9">
        <v>2</v>
      </c>
      <c r="CF122" s="9">
        <v>1</v>
      </c>
      <c r="CG122" s="9">
        <v>0</v>
      </c>
      <c r="CH122" s="9">
        <v>0</v>
      </c>
      <c r="CI122" s="9">
        <v>5</v>
      </c>
      <c r="CJ122" s="9">
        <v>0</v>
      </c>
      <c r="CK122" s="9">
        <v>0</v>
      </c>
      <c r="CL122" s="9">
        <v>2</v>
      </c>
      <c r="CM122" s="9">
        <v>1</v>
      </c>
      <c r="CN122" s="9">
        <v>1</v>
      </c>
      <c r="CO122" s="9">
        <v>0</v>
      </c>
      <c r="CP122" s="9">
        <v>0</v>
      </c>
      <c r="CQ122" s="9">
        <v>0</v>
      </c>
      <c r="CR122" s="9">
        <v>2</v>
      </c>
      <c r="CS122" s="9">
        <v>1</v>
      </c>
      <c r="CT122" s="9">
        <v>0</v>
      </c>
      <c r="CU122" s="9">
        <v>2</v>
      </c>
      <c r="CV122" s="9">
        <v>0</v>
      </c>
      <c r="CW122" s="9">
        <v>0</v>
      </c>
      <c r="CX122" s="9">
        <v>1</v>
      </c>
      <c r="CY122" s="9">
        <v>0</v>
      </c>
      <c r="CZ122" s="9">
        <v>2</v>
      </c>
      <c r="DA122" s="9">
        <v>1</v>
      </c>
      <c r="DB122" s="9">
        <v>1</v>
      </c>
      <c r="DC122" s="9">
        <v>3</v>
      </c>
      <c r="DD122" s="9">
        <v>1</v>
      </c>
      <c r="DE122" s="9">
        <v>0</v>
      </c>
      <c r="DF122" s="9">
        <v>0</v>
      </c>
      <c r="DG122" s="9">
        <v>0</v>
      </c>
      <c r="DH122" s="9">
        <v>0</v>
      </c>
      <c r="DI122" s="9">
        <v>0</v>
      </c>
      <c r="DJ122" s="9">
        <v>0</v>
      </c>
      <c r="DK122" s="9">
        <v>0</v>
      </c>
      <c r="DL122" s="9">
        <v>0</v>
      </c>
      <c r="DM122" s="9">
        <v>0</v>
      </c>
      <c r="DN122" s="9">
        <v>0</v>
      </c>
      <c r="DO122" s="9">
        <v>0</v>
      </c>
      <c r="DP122" s="9">
        <v>0</v>
      </c>
      <c r="DQ122" s="9">
        <v>0</v>
      </c>
      <c r="DR122" s="9">
        <v>0</v>
      </c>
      <c r="DS122" s="9">
        <v>0</v>
      </c>
      <c r="DT122" s="9">
        <v>0</v>
      </c>
      <c r="DU122" s="9">
        <v>0</v>
      </c>
      <c r="DV122" s="9">
        <v>0</v>
      </c>
      <c r="DW122" s="9">
        <v>0</v>
      </c>
      <c r="DX122" s="9">
        <v>0</v>
      </c>
      <c r="DY122" s="9">
        <v>0</v>
      </c>
      <c r="DZ122" s="9">
        <v>0</v>
      </c>
      <c r="EA122" s="9">
        <v>1</v>
      </c>
      <c r="EB122" s="9">
        <v>0</v>
      </c>
      <c r="EC122" s="9">
        <v>0</v>
      </c>
      <c r="ED122" s="9">
        <v>0</v>
      </c>
      <c r="EE122" s="9">
        <v>0</v>
      </c>
      <c r="EF122" s="9">
        <v>0</v>
      </c>
      <c r="EG122" s="9">
        <v>0</v>
      </c>
      <c r="EH122" s="9">
        <v>0</v>
      </c>
      <c r="EI122" s="10">
        <v>0</v>
      </c>
    </row>
    <row r="123" spans="1:139" x14ac:dyDescent="0.35">
      <c r="A123" s="8" t="s">
        <v>174</v>
      </c>
      <c r="B123" s="9" t="s">
        <v>217</v>
      </c>
      <c r="C123" s="9" t="s">
        <v>218</v>
      </c>
      <c r="D123" s="9">
        <f t="shared" si="1"/>
        <v>231</v>
      </c>
      <c r="E123" s="9">
        <v>0</v>
      </c>
      <c r="F123" s="9">
        <v>0</v>
      </c>
      <c r="G123" s="9">
        <v>0</v>
      </c>
      <c r="H123" s="9">
        <v>0</v>
      </c>
      <c r="I123" s="9">
        <v>0</v>
      </c>
      <c r="J123" s="9">
        <v>0</v>
      </c>
      <c r="K123" s="9">
        <v>0</v>
      </c>
      <c r="L123" s="9">
        <v>0</v>
      </c>
      <c r="M123" s="9">
        <v>0</v>
      </c>
      <c r="N123" s="9">
        <v>0</v>
      </c>
      <c r="O123" s="9">
        <v>0</v>
      </c>
      <c r="P123" s="9">
        <v>0</v>
      </c>
      <c r="Q123" s="9">
        <v>0</v>
      </c>
      <c r="R123" s="9">
        <v>0</v>
      </c>
      <c r="S123" s="9">
        <v>0</v>
      </c>
      <c r="T123" s="9">
        <v>5</v>
      </c>
      <c r="U123" s="9">
        <v>11</v>
      </c>
      <c r="V123" s="9">
        <v>0</v>
      </c>
      <c r="W123" s="9">
        <v>0</v>
      </c>
      <c r="X123" s="9">
        <v>2</v>
      </c>
      <c r="Y123" s="9">
        <v>4</v>
      </c>
      <c r="Z123" s="9">
        <v>2</v>
      </c>
      <c r="AA123" s="9">
        <v>3</v>
      </c>
      <c r="AB123" s="9">
        <v>0</v>
      </c>
      <c r="AC123" s="9">
        <v>1</v>
      </c>
      <c r="AD123" s="9">
        <v>1</v>
      </c>
      <c r="AE123" s="9">
        <v>6</v>
      </c>
      <c r="AF123" s="9">
        <v>1</v>
      </c>
      <c r="AG123" s="9">
        <v>5</v>
      </c>
      <c r="AH123" s="9">
        <v>5</v>
      </c>
      <c r="AI123" s="9">
        <v>3</v>
      </c>
      <c r="AJ123" s="9">
        <v>1</v>
      </c>
      <c r="AK123" s="9">
        <v>0</v>
      </c>
      <c r="AL123" s="9">
        <v>4</v>
      </c>
      <c r="AM123" s="9">
        <v>2</v>
      </c>
      <c r="AN123" s="9">
        <v>2</v>
      </c>
      <c r="AO123" s="9">
        <v>3</v>
      </c>
      <c r="AP123" s="9">
        <v>0</v>
      </c>
      <c r="AQ123" s="9">
        <v>2</v>
      </c>
      <c r="AR123" s="9">
        <v>4</v>
      </c>
      <c r="AS123" s="9">
        <v>7</v>
      </c>
      <c r="AT123" s="9">
        <v>2</v>
      </c>
      <c r="AU123" s="9">
        <v>2</v>
      </c>
      <c r="AV123" s="9">
        <v>2</v>
      </c>
      <c r="AW123" s="9">
        <v>0</v>
      </c>
      <c r="AX123" s="9">
        <v>0</v>
      </c>
      <c r="AY123" s="9">
        <v>3</v>
      </c>
      <c r="AZ123" s="9">
        <v>1</v>
      </c>
      <c r="BA123" s="9">
        <v>3</v>
      </c>
      <c r="BB123" s="9">
        <v>2</v>
      </c>
      <c r="BC123" s="9">
        <v>2</v>
      </c>
      <c r="BD123" s="9">
        <v>15</v>
      </c>
      <c r="BE123" s="9">
        <v>0</v>
      </c>
      <c r="BF123" s="9">
        <v>1</v>
      </c>
      <c r="BG123" s="9">
        <v>1</v>
      </c>
      <c r="BH123" s="9">
        <v>1</v>
      </c>
      <c r="BI123" s="9">
        <v>2</v>
      </c>
      <c r="BJ123" s="9">
        <v>1</v>
      </c>
      <c r="BK123" s="9">
        <v>1</v>
      </c>
      <c r="BL123" s="9">
        <v>1</v>
      </c>
      <c r="BM123" s="9">
        <v>2</v>
      </c>
      <c r="BN123" s="9">
        <v>2</v>
      </c>
      <c r="BO123" s="9">
        <v>2</v>
      </c>
      <c r="BP123" s="9">
        <v>1</v>
      </c>
      <c r="BQ123" s="9">
        <v>1</v>
      </c>
      <c r="BR123" s="9">
        <v>1</v>
      </c>
      <c r="BS123" s="9">
        <v>1</v>
      </c>
      <c r="BT123" s="9">
        <v>0</v>
      </c>
      <c r="BU123" s="9">
        <v>4</v>
      </c>
      <c r="BV123" s="9">
        <v>3</v>
      </c>
      <c r="BW123" s="9">
        <v>2</v>
      </c>
      <c r="BX123" s="9">
        <v>2</v>
      </c>
      <c r="BY123" s="9">
        <v>2</v>
      </c>
      <c r="BZ123" s="9">
        <v>3</v>
      </c>
      <c r="CA123" s="9">
        <v>6</v>
      </c>
      <c r="CB123" s="9">
        <v>3</v>
      </c>
      <c r="CC123" s="9">
        <v>4</v>
      </c>
      <c r="CD123" s="9">
        <v>1</v>
      </c>
      <c r="CE123" s="9">
        <v>3</v>
      </c>
      <c r="CF123" s="9">
        <v>0</v>
      </c>
      <c r="CG123" s="9">
        <v>3</v>
      </c>
      <c r="CH123" s="9">
        <v>2</v>
      </c>
      <c r="CI123" s="9">
        <v>2</v>
      </c>
      <c r="CJ123" s="9">
        <v>4</v>
      </c>
      <c r="CK123" s="9">
        <v>4</v>
      </c>
      <c r="CL123" s="9">
        <v>3</v>
      </c>
      <c r="CM123" s="9">
        <v>3</v>
      </c>
      <c r="CN123" s="9">
        <v>5</v>
      </c>
      <c r="CO123" s="9">
        <v>3</v>
      </c>
      <c r="CP123" s="9">
        <v>2</v>
      </c>
      <c r="CQ123" s="9">
        <v>4</v>
      </c>
      <c r="CR123" s="9">
        <v>5</v>
      </c>
      <c r="CS123" s="9">
        <v>2</v>
      </c>
      <c r="CT123" s="9">
        <v>0</v>
      </c>
      <c r="CU123" s="9">
        <v>1</v>
      </c>
      <c r="CV123" s="9">
        <v>0</v>
      </c>
      <c r="CW123" s="9">
        <v>3</v>
      </c>
      <c r="CX123" s="9">
        <v>1</v>
      </c>
      <c r="CY123" s="9">
        <v>1</v>
      </c>
      <c r="CZ123" s="9">
        <v>1</v>
      </c>
      <c r="DA123" s="9">
        <v>1</v>
      </c>
      <c r="DB123" s="9">
        <v>0</v>
      </c>
      <c r="DC123" s="9">
        <v>1</v>
      </c>
      <c r="DD123" s="9">
        <v>3</v>
      </c>
      <c r="DE123" s="9">
        <v>2</v>
      </c>
      <c r="DF123" s="9">
        <v>2</v>
      </c>
      <c r="DG123" s="9">
        <v>2</v>
      </c>
      <c r="DH123" s="9">
        <v>1</v>
      </c>
      <c r="DI123" s="9">
        <v>0</v>
      </c>
      <c r="DJ123" s="9">
        <v>0</v>
      </c>
      <c r="DK123" s="9">
        <v>1</v>
      </c>
      <c r="DL123" s="9">
        <v>0</v>
      </c>
      <c r="DM123" s="9">
        <v>2</v>
      </c>
      <c r="DN123" s="9">
        <v>0</v>
      </c>
      <c r="DO123" s="9">
        <v>2</v>
      </c>
      <c r="DP123" s="9">
        <v>0</v>
      </c>
      <c r="DQ123" s="9">
        <v>1</v>
      </c>
      <c r="DR123" s="9">
        <v>1</v>
      </c>
      <c r="DS123" s="9">
        <v>0</v>
      </c>
      <c r="DT123" s="9">
        <v>1</v>
      </c>
      <c r="DU123" s="9">
        <v>0</v>
      </c>
      <c r="DV123" s="9">
        <v>0</v>
      </c>
      <c r="DW123" s="9">
        <v>1</v>
      </c>
      <c r="DX123" s="9">
        <v>0</v>
      </c>
      <c r="DY123" s="9">
        <v>1</v>
      </c>
      <c r="DZ123" s="9">
        <v>0</v>
      </c>
      <c r="EA123" s="9">
        <v>1</v>
      </c>
      <c r="EB123" s="9">
        <v>0</v>
      </c>
      <c r="EC123" s="9">
        <v>1</v>
      </c>
      <c r="ED123" s="9">
        <v>1</v>
      </c>
      <c r="EE123" s="9">
        <v>0</v>
      </c>
      <c r="EF123" s="9">
        <v>0</v>
      </c>
      <c r="EG123" s="9">
        <v>0</v>
      </c>
      <c r="EH123" s="9">
        <v>0</v>
      </c>
      <c r="EI123" s="10">
        <v>0</v>
      </c>
    </row>
    <row r="124" spans="1:139" x14ac:dyDescent="0.35">
      <c r="A124" s="8" t="s">
        <v>174</v>
      </c>
      <c r="B124" s="9" t="s">
        <v>219</v>
      </c>
      <c r="C124" s="9" t="s">
        <v>220</v>
      </c>
      <c r="D124" s="9">
        <f t="shared" si="1"/>
        <v>68</v>
      </c>
      <c r="E124" s="9">
        <v>0</v>
      </c>
      <c r="F124" s="9">
        <v>0</v>
      </c>
      <c r="G124" s="9">
        <v>0</v>
      </c>
      <c r="H124" s="9">
        <v>0</v>
      </c>
      <c r="I124" s="9">
        <v>0</v>
      </c>
      <c r="J124" s="9">
        <v>0</v>
      </c>
      <c r="K124" s="9">
        <v>0</v>
      </c>
      <c r="L124" s="9">
        <v>0</v>
      </c>
      <c r="M124" s="9">
        <v>0</v>
      </c>
      <c r="N124" s="9">
        <v>0</v>
      </c>
      <c r="O124" s="9">
        <v>0</v>
      </c>
      <c r="P124" s="9">
        <v>0</v>
      </c>
      <c r="Q124" s="9">
        <v>0</v>
      </c>
      <c r="R124" s="9">
        <v>0</v>
      </c>
      <c r="S124" s="9">
        <v>0</v>
      </c>
      <c r="T124" s="9">
        <v>0</v>
      </c>
      <c r="U124" s="9">
        <v>0</v>
      </c>
      <c r="V124" s="9">
        <v>0</v>
      </c>
      <c r="W124" s="9">
        <v>0</v>
      </c>
      <c r="X124" s="9">
        <v>0</v>
      </c>
      <c r="Y124" s="9">
        <v>0</v>
      </c>
      <c r="Z124" s="9">
        <v>0</v>
      </c>
      <c r="AA124" s="9">
        <v>1</v>
      </c>
      <c r="AB124" s="9">
        <v>1</v>
      </c>
      <c r="AC124" s="9">
        <v>2</v>
      </c>
      <c r="AD124" s="9">
        <v>0</v>
      </c>
      <c r="AE124" s="9">
        <v>0</v>
      </c>
      <c r="AF124" s="9">
        <v>0</v>
      </c>
      <c r="AG124" s="9">
        <v>1</v>
      </c>
      <c r="AH124" s="9">
        <v>0</v>
      </c>
      <c r="AI124" s="9">
        <v>1</v>
      </c>
      <c r="AJ124" s="9">
        <v>0</v>
      </c>
      <c r="AK124" s="9">
        <v>0</v>
      </c>
      <c r="AL124" s="9">
        <v>0</v>
      </c>
      <c r="AM124" s="9">
        <v>0</v>
      </c>
      <c r="AN124" s="9">
        <v>0</v>
      </c>
      <c r="AO124" s="9">
        <v>0</v>
      </c>
      <c r="AP124" s="9">
        <v>1</v>
      </c>
      <c r="AQ124" s="9">
        <v>1</v>
      </c>
      <c r="AR124" s="9">
        <v>0</v>
      </c>
      <c r="AS124" s="9">
        <v>0</v>
      </c>
      <c r="AT124" s="9">
        <v>1</v>
      </c>
      <c r="AU124" s="9">
        <v>0</v>
      </c>
      <c r="AV124" s="9">
        <v>2</v>
      </c>
      <c r="AW124" s="9">
        <v>1</v>
      </c>
      <c r="AX124" s="9">
        <v>1</v>
      </c>
      <c r="AY124" s="9">
        <v>1</v>
      </c>
      <c r="AZ124" s="9">
        <v>0</v>
      </c>
      <c r="BA124" s="9">
        <v>0</v>
      </c>
      <c r="BB124" s="9">
        <v>0</v>
      </c>
      <c r="BC124" s="9">
        <v>1</v>
      </c>
      <c r="BD124" s="9">
        <v>0</v>
      </c>
      <c r="BE124" s="9">
        <v>1</v>
      </c>
      <c r="BF124" s="9">
        <v>0</v>
      </c>
      <c r="BG124" s="9">
        <v>0</v>
      </c>
      <c r="BH124" s="9">
        <v>0</v>
      </c>
      <c r="BI124" s="9">
        <v>1</v>
      </c>
      <c r="BJ124" s="9">
        <v>1</v>
      </c>
      <c r="BK124" s="9">
        <v>1</v>
      </c>
      <c r="BL124" s="9">
        <v>0</v>
      </c>
      <c r="BM124" s="9">
        <v>2</v>
      </c>
      <c r="BN124" s="9">
        <v>1</v>
      </c>
      <c r="BO124" s="9">
        <v>3</v>
      </c>
      <c r="BP124" s="9">
        <v>0</v>
      </c>
      <c r="BQ124" s="9">
        <v>0</v>
      </c>
      <c r="BR124" s="9">
        <v>0</v>
      </c>
      <c r="BS124" s="9">
        <v>0</v>
      </c>
      <c r="BT124" s="9">
        <v>0</v>
      </c>
      <c r="BU124" s="9">
        <v>2</v>
      </c>
      <c r="BV124" s="9">
        <v>1</v>
      </c>
      <c r="BW124" s="9">
        <v>4</v>
      </c>
      <c r="BX124" s="9">
        <v>0</v>
      </c>
      <c r="BY124" s="9">
        <v>1</v>
      </c>
      <c r="BZ124" s="9">
        <v>2</v>
      </c>
      <c r="CA124" s="9">
        <v>1</v>
      </c>
      <c r="CB124" s="9">
        <v>4</v>
      </c>
      <c r="CC124" s="9">
        <v>3</v>
      </c>
      <c r="CD124" s="9">
        <v>3</v>
      </c>
      <c r="CE124" s="9">
        <v>0</v>
      </c>
      <c r="CF124" s="9">
        <v>0</v>
      </c>
      <c r="CG124" s="9">
        <v>0</v>
      </c>
      <c r="CH124" s="9">
        <v>3</v>
      </c>
      <c r="CI124" s="9">
        <v>0</v>
      </c>
      <c r="CJ124" s="9">
        <v>0</v>
      </c>
      <c r="CK124" s="9">
        <v>2</v>
      </c>
      <c r="CL124" s="9">
        <v>1</v>
      </c>
      <c r="CM124" s="9">
        <v>0</v>
      </c>
      <c r="CN124" s="9">
        <v>0</v>
      </c>
      <c r="CO124" s="9">
        <v>0</v>
      </c>
      <c r="CP124" s="9">
        <v>3</v>
      </c>
      <c r="CQ124" s="9">
        <v>1</v>
      </c>
      <c r="CR124" s="9">
        <v>1</v>
      </c>
      <c r="CS124" s="9">
        <v>2</v>
      </c>
      <c r="CT124" s="9">
        <v>0</v>
      </c>
      <c r="CU124" s="9">
        <v>0</v>
      </c>
      <c r="CV124" s="9">
        <v>2</v>
      </c>
      <c r="CW124" s="9">
        <v>0</v>
      </c>
      <c r="CX124" s="9">
        <v>1</v>
      </c>
      <c r="CY124" s="9">
        <v>0</v>
      </c>
      <c r="CZ124" s="9">
        <v>2</v>
      </c>
      <c r="DA124" s="9">
        <v>0</v>
      </c>
      <c r="DB124" s="9">
        <v>1</v>
      </c>
      <c r="DC124" s="9">
        <v>0</v>
      </c>
      <c r="DD124" s="9">
        <v>2</v>
      </c>
      <c r="DE124" s="9">
        <v>1</v>
      </c>
      <c r="DF124" s="9">
        <v>0</v>
      </c>
      <c r="DG124" s="9">
        <v>0</v>
      </c>
      <c r="DH124" s="9">
        <v>0</v>
      </c>
      <c r="DI124" s="9">
        <v>0</v>
      </c>
      <c r="DJ124" s="9">
        <v>0</v>
      </c>
      <c r="DK124" s="9">
        <v>0</v>
      </c>
      <c r="DL124" s="9">
        <v>0</v>
      </c>
      <c r="DM124" s="9">
        <v>0</v>
      </c>
      <c r="DN124" s="9">
        <v>0</v>
      </c>
      <c r="DO124" s="9">
        <v>0</v>
      </c>
      <c r="DP124" s="9">
        <v>0</v>
      </c>
      <c r="DQ124" s="9">
        <v>0</v>
      </c>
      <c r="DR124" s="9">
        <v>0</v>
      </c>
      <c r="DS124" s="9">
        <v>0</v>
      </c>
      <c r="DT124" s="9">
        <v>0</v>
      </c>
      <c r="DU124" s="9">
        <v>0</v>
      </c>
      <c r="DV124" s="9">
        <v>0</v>
      </c>
      <c r="DW124" s="9">
        <v>0</v>
      </c>
      <c r="DX124" s="9">
        <v>0</v>
      </c>
      <c r="DY124" s="9">
        <v>0</v>
      </c>
      <c r="DZ124" s="9">
        <v>0</v>
      </c>
      <c r="EA124" s="9">
        <v>0</v>
      </c>
      <c r="EB124" s="9">
        <v>0</v>
      </c>
      <c r="EC124" s="9">
        <v>0</v>
      </c>
      <c r="ED124" s="9">
        <v>0</v>
      </c>
      <c r="EE124" s="9">
        <v>0</v>
      </c>
      <c r="EF124" s="9">
        <v>0</v>
      </c>
      <c r="EG124" s="9">
        <v>0</v>
      </c>
      <c r="EH124" s="9">
        <v>0</v>
      </c>
      <c r="EI124" s="10">
        <v>0</v>
      </c>
    </row>
    <row r="125" spans="1:139" x14ac:dyDescent="0.35">
      <c r="A125" s="8" t="s">
        <v>174</v>
      </c>
      <c r="B125" s="9" t="s">
        <v>221</v>
      </c>
      <c r="C125" s="9" t="s">
        <v>222</v>
      </c>
      <c r="D125" s="9">
        <f t="shared" si="1"/>
        <v>0</v>
      </c>
      <c r="E125" s="9">
        <v>0</v>
      </c>
      <c r="F125" s="9">
        <v>0</v>
      </c>
      <c r="G125" s="9">
        <v>0</v>
      </c>
      <c r="H125" s="9">
        <v>0</v>
      </c>
      <c r="I125" s="9">
        <v>0</v>
      </c>
      <c r="J125" s="9">
        <v>0</v>
      </c>
      <c r="K125" s="9">
        <v>0</v>
      </c>
      <c r="L125" s="9">
        <v>0</v>
      </c>
      <c r="M125" s="9">
        <v>0</v>
      </c>
      <c r="N125" s="9">
        <v>0</v>
      </c>
      <c r="O125" s="9">
        <v>0</v>
      </c>
      <c r="P125" s="9">
        <v>0</v>
      </c>
      <c r="Q125" s="9">
        <v>0</v>
      </c>
      <c r="R125" s="9">
        <v>0</v>
      </c>
      <c r="S125" s="9">
        <v>0</v>
      </c>
      <c r="T125" s="9">
        <v>0</v>
      </c>
      <c r="U125" s="9">
        <v>0</v>
      </c>
      <c r="V125" s="9">
        <v>0</v>
      </c>
      <c r="W125" s="9">
        <v>0</v>
      </c>
      <c r="X125" s="9">
        <v>0</v>
      </c>
      <c r="Y125" s="9">
        <v>0</v>
      </c>
      <c r="Z125" s="9">
        <v>0</v>
      </c>
      <c r="AA125" s="9">
        <v>0</v>
      </c>
      <c r="AB125" s="9">
        <v>0</v>
      </c>
      <c r="AC125" s="9">
        <v>0</v>
      </c>
      <c r="AD125" s="9">
        <v>0</v>
      </c>
      <c r="AE125" s="9">
        <v>0</v>
      </c>
      <c r="AF125" s="9">
        <v>0</v>
      </c>
      <c r="AG125" s="9">
        <v>0</v>
      </c>
      <c r="AH125" s="9">
        <v>0</v>
      </c>
      <c r="AI125" s="9">
        <v>0</v>
      </c>
      <c r="AJ125" s="9">
        <v>0</v>
      </c>
      <c r="AK125" s="9">
        <v>0</v>
      </c>
      <c r="AL125" s="9">
        <v>0</v>
      </c>
      <c r="AM125" s="9">
        <v>0</v>
      </c>
      <c r="AN125" s="9">
        <v>0</v>
      </c>
      <c r="AO125" s="9">
        <v>0</v>
      </c>
      <c r="AP125" s="9">
        <v>0</v>
      </c>
      <c r="AQ125" s="9">
        <v>0</v>
      </c>
      <c r="AR125" s="9">
        <v>0</v>
      </c>
      <c r="AS125" s="9">
        <v>0</v>
      </c>
      <c r="AT125" s="9">
        <v>0</v>
      </c>
      <c r="AU125" s="9">
        <v>0</v>
      </c>
      <c r="AV125" s="9">
        <v>0</v>
      </c>
      <c r="AW125" s="9">
        <v>0</v>
      </c>
      <c r="AX125" s="9">
        <v>0</v>
      </c>
      <c r="AY125" s="9">
        <v>0</v>
      </c>
      <c r="AZ125" s="9">
        <v>0</v>
      </c>
      <c r="BA125" s="9">
        <v>0</v>
      </c>
      <c r="BB125" s="9">
        <v>0</v>
      </c>
      <c r="BC125" s="9">
        <v>0</v>
      </c>
      <c r="BD125" s="9">
        <v>0</v>
      </c>
      <c r="BE125" s="9">
        <v>0</v>
      </c>
      <c r="BF125" s="9">
        <v>0</v>
      </c>
      <c r="BG125" s="9">
        <v>0</v>
      </c>
      <c r="BH125" s="9">
        <v>0</v>
      </c>
      <c r="BI125" s="9">
        <v>0</v>
      </c>
      <c r="BJ125" s="9">
        <v>0</v>
      </c>
      <c r="BK125" s="9">
        <v>0</v>
      </c>
      <c r="BL125" s="9">
        <v>0</v>
      </c>
      <c r="BM125" s="9">
        <v>0</v>
      </c>
      <c r="BN125" s="9">
        <v>0</v>
      </c>
      <c r="BO125" s="9">
        <v>0</v>
      </c>
      <c r="BP125" s="9">
        <v>0</v>
      </c>
      <c r="BQ125" s="9">
        <v>0</v>
      </c>
      <c r="BR125" s="9">
        <v>0</v>
      </c>
      <c r="BS125" s="9">
        <v>0</v>
      </c>
      <c r="BT125" s="9">
        <v>0</v>
      </c>
      <c r="BU125" s="9">
        <v>0</v>
      </c>
      <c r="BV125" s="9">
        <v>0</v>
      </c>
      <c r="BW125" s="9">
        <v>0</v>
      </c>
      <c r="BX125" s="9">
        <v>0</v>
      </c>
      <c r="BY125" s="9">
        <v>0</v>
      </c>
      <c r="BZ125" s="9">
        <v>0</v>
      </c>
      <c r="CA125" s="9">
        <v>0</v>
      </c>
      <c r="CB125" s="9">
        <v>0</v>
      </c>
      <c r="CC125" s="9">
        <v>0</v>
      </c>
      <c r="CD125" s="9">
        <v>0</v>
      </c>
      <c r="CE125" s="9">
        <v>0</v>
      </c>
      <c r="CF125" s="9">
        <v>0</v>
      </c>
      <c r="CG125" s="9">
        <v>0</v>
      </c>
      <c r="CH125" s="9">
        <v>0</v>
      </c>
      <c r="CI125" s="9">
        <v>0</v>
      </c>
      <c r="CJ125" s="9">
        <v>0</v>
      </c>
      <c r="CK125" s="9">
        <v>0</v>
      </c>
      <c r="CL125" s="9">
        <v>0</v>
      </c>
      <c r="CM125" s="9">
        <v>0</v>
      </c>
      <c r="CN125" s="9">
        <v>0</v>
      </c>
      <c r="CO125" s="9">
        <v>0</v>
      </c>
      <c r="CP125" s="9">
        <v>0</v>
      </c>
      <c r="CQ125" s="9">
        <v>0</v>
      </c>
      <c r="CR125" s="9">
        <v>0</v>
      </c>
      <c r="CS125" s="9">
        <v>0</v>
      </c>
      <c r="CT125" s="9">
        <v>0</v>
      </c>
      <c r="CU125" s="9">
        <v>0</v>
      </c>
      <c r="CV125" s="9">
        <v>0</v>
      </c>
      <c r="CW125" s="9">
        <v>0</v>
      </c>
      <c r="CX125" s="9">
        <v>0</v>
      </c>
      <c r="CY125" s="9">
        <v>0</v>
      </c>
      <c r="CZ125" s="9">
        <v>0</v>
      </c>
      <c r="DA125" s="9">
        <v>0</v>
      </c>
      <c r="DB125" s="9">
        <v>0</v>
      </c>
      <c r="DC125" s="9">
        <v>0</v>
      </c>
      <c r="DD125" s="9">
        <v>0</v>
      </c>
      <c r="DE125" s="9">
        <v>0</v>
      </c>
      <c r="DF125" s="9">
        <v>0</v>
      </c>
      <c r="DG125" s="9">
        <v>0</v>
      </c>
      <c r="DH125" s="9">
        <v>0</v>
      </c>
      <c r="DI125" s="9">
        <v>0</v>
      </c>
      <c r="DJ125" s="9">
        <v>0</v>
      </c>
      <c r="DK125" s="9">
        <v>0</v>
      </c>
      <c r="DL125" s="9">
        <v>0</v>
      </c>
      <c r="DM125" s="9">
        <v>0</v>
      </c>
      <c r="DN125" s="9">
        <v>0</v>
      </c>
      <c r="DO125" s="9">
        <v>0</v>
      </c>
      <c r="DP125" s="9">
        <v>0</v>
      </c>
      <c r="DQ125" s="9">
        <v>0</v>
      </c>
      <c r="DR125" s="9">
        <v>0</v>
      </c>
      <c r="DS125" s="9">
        <v>0</v>
      </c>
      <c r="DT125" s="9">
        <v>0</v>
      </c>
      <c r="DU125" s="9">
        <v>0</v>
      </c>
      <c r="DV125" s="9">
        <v>0</v>
      </c>
      <c r="DW125" s="9">
        <v>0</v>
      </c>
      <c r="DX125" s="9">
        <v>0</v>
      </c>
      <c r="DY125" s="9">
        <v>0</v>
      </c>
      <c r="DZ125" s="9">
        <v>0</v>
      </c>
      <c r="EA125" s="9">
        <v>0</v>
      </c>
      <c r="EB125" s="9">
        <v>0</v>
      </c>
      <c r="EC125" s="9">
        <v>0</v>
      </c>
      <c r="ED125" s="9">
        <v>0</v>
      </c>
      <c r="EE125" s="9">
        <v>0</v>
      </c>
      <c r="EF125" s="9">
        <v>0</v>
      </c>
      <c r="EG125" s="9">
        <v>0</v>
      </c>
      <c r="EH125" s="9">
        <v>0</v>
      </c>
      <c r="EI125" s="10">
        <v>0</v>
      </c>
    </row>
    <row r="126" spans="1:139" x14ac:dyDescent="0.35">
      <c r="A126" s="8" t="s">
        <v>174</v>
      </c>
      <c r="B126" s="9" t="s">
        <v>223</v>
      </c>
      <c r="C126" s="9" t="s">
        <v>224</v>
      </c>
      <c r="D126" s="9">
        <f t="shared" si="1"/>
        <v>8</v>
      </c>
      <c r="E126" s="9">
        <v>0</v>
      </c>
      <c r="F126" s="9">
        <v>0</v>
      </c>
      <c r="G126" s="9">
        <v>0</v>
      </c>
      <c r="H126" s="9">
        <v>0</v>
      </c>
      <c r="I126" s="9">
        <v>0</v>
      </c>
      <c r="J126" s="9">
        <v>0</v>
      </c>
      <c r="K126" s="9">
        <v>0</v>
      </c>
      <c r="L126" s="9">
        <v>0</v>
      </c>
      <c r="M126" s="9">
        <v>0</v>
      </c>
      <c r="N126" s="9">
        <v>0</v>
      </c>
      <c r="O126" s="9">
        <v>0</v>
      </c>
      <c r="P126" s="9">
        <v>0</v>
      </c>
      <c r="Q126" s="9">
        <v>0</v>
      </c>
      <c r="R126" s="9">
        <v>0</v>
      </c>
      <c r="S126" s="9">
        <v>0</v>
      </c>
      <c r="T126" s="9">
        <v>0</v>
      </c>
      <c r="U126" s="9">
        <v>0</v>
      </c>
      <c r="V126" s="9">
        <v>0</v>
      </c>
      <c r="W126" s="9">
        <v>0</v>
      </c>
      <c r="X126" s="9">
        <v>0</v>
      </c>
      <c r="Y126" s="9">
        <v>0</v>
      </c>
      <c r="Z126" s="9">
        <v>0</v>
      </c>
      <c r="AA126" s="9">
        <v>0</v>
      </c>
      <c r="AB126" s="9">
        <v>0</v>
      </c>
      <c r="AC126" s="9">
        <v>0</v>
      </c>
      <c r="AD126" s="9">
        <v>0</v>
      </c>
      <c r="AE126" s="9">
        <v>0</v>
      </c>
      <c r="AF126" s="9">
        <v>0</v>
      </c>
      <c r="AG126" s="9">
        <v>0</v>
      </c>
      <c r="AH126" s="9">
        <v>0</v>
      </c>
      <c r="AI126" s="9">
        <v>0</v>
      </c>
      <c r="AJ126" s="9">
        <v>0</v>
      </c>
      <c r="AK126" s="9">
        <v>0</v>
      </c>
      <c r="AL126" s="9">
        <v>0</v>
      </c>
      <c r="AM126" s="9">
        <v>0</v>
      </c>
      <c r="AN126" s="9">
        <v>1</v>
      </c>
      <c r="AO126" s="9">
        <v>0</v>
      </c>
      <c r="AP126" s="9">
        <v>1</v>
      </c>
      <c r="AQ126" s="9">
        <v>0</v>
      </c>
      <c r="AR126" s="9">
        <v>1</v>
      </c>
      <c r="AS126" s="9">
        <v>0</v>
      </c>
      <c r="AT126" s="9">
        <v>0</v>
      </c>
      <c r="AU126" s="9">
        <v>0</v>
      </c>
      <c r="AV126" s="9">
        <v>0</v>
      </c>
      <c r="AW126" s="9">
        <v>0</v>
      </c>
      <c r="AX126" s="9">
        <v>0</v>
      </c>
      <c r="AY126" s="9">
        <v>0</v>
      </c>
      <c r="AZ126" s="9">
        <v>0</v>
      </c>
      <c r="BA126" s="9">
        <v>0</v>
      </c>
      <c r="BB126" s="9">
        <v>1</v>
      </c>
      <c r="BC126" s="9">
        <v>0</v>
      </c>
      <c r="BD126" s="9">
        <v>1</v>
      </c>
      <c r="BE126" s="9">
        <v>1</v>
      </c>
      <c r="BF126" s="9">
        <v>0</v>
      </c>
      <c r="BG126" s="9">
        <v>0</v>
      </c>
      <c r="BH126" s="9">
        <v>0</v>
      </c>
      <c r="BI126" s="9">
        <v>0</v>
      </c>
      <c r="BJ126" s="9">
        <v>0</v>
      </c>
      <c r="BK126" s="9">
        <v>0</v>
      </c>
      <c r="BL126" s="9">
        <v>0</v>
      </c>
      <c r="BM126" s="9">
        <v>0</v>
      </c>
      <c r="BN126" s="9">
        <v>0</v>
      </c>
      <c r="BO126" s="9">
        <v>0</v>
      </c>
      <c r="BP126" s="9">
        <v>0</v>
      </c>
      <c r="BQ126" s="9">
        <v>0</v>
      </c>
      <c r="BR126" s="9">
        <v>0</v>
      </c>
      <c r="BS126" s="9">
        <v>0</v>
      </c>
      <c r="BT126" s="9">
        <v>0</v>
      </c>
      <c r="BU126" s="9">
        <v>0</v>
      </c>
      <c r="BV126" s="9">
        <v>0</v>
      </c>
      <c r="BW126" s="9">
        <v>0</v>
      </c>
      <c r="BX126" s="9">
        <v>0</v>
      </c>
      <c r="BY126" s="9">
        <v>0</v>
      </c>
      <c r="BZ126" s="9">
        <v>0</v>
      </c>
      <c r="CA126" s="9">
        <v>0</v>
      </c>
      <c r="CB126" s="9">
        <v>0</v>
      </c>
      <c r="CC126" s="9">
        <v>0</v>
      </c>
      <c r="CD126" s="9">
        <v>0</v>
      </c>
      <c r="CE126" s="9">
        <v>0</v>
      </c>
      <c r="CF126" s="9">
        <v>0</v>
      </c>
      <c r="CG126" s="9">
        <v>1</v>
      </c>
      <c r="CH126" s="9">
        <v>0</v>
      </c>
      <c r="CI126" s="9">
        <v>0</v>
      </c>
      <c r="CJ126" s="9">
        <v>0</v>
      </c>
      <c r="CK126" s="9">
        <v>0</v>
      </c>
      <c r="CL126" s="9">
        <v>0</v>
      </c>
      <c r="CM126" s="9">
        <v>0</v>
      </c>
      <c r="CN126" s="9">
        <v>0</v>
      </c>
      <c r="CO126" s="9">
        <v>0</v>
      </c>
      <c r="CP126" s="9">
        <v>0</v>
      </c>
      <c r="CQ126" s="9">
        <v>0</v>
      </c>
      <c r="CR126" s="9">
        <v>0</v>
      </c>
      <c r="CS126" s="9">
        <v>0</v>
      </c>
      <c r="CT126" s="9">
        <v>0</v>
      </c>
      <c r="CU126" s="9">
        <v>0</v>
      </c>
      <c r="CV126" s="9">
        <v>0</v>
      </c>
      <c r="CW126" s="9">
        <v>0</v>
      </c>
      <c r="CX126" s="9">
        <v>0</v>
      </c>
      <c r="CY126" s="9">
        <v>0</v>
      </c>
      <c r="CZ126" s="9">
        <v>0</v>
      </c>
      <c r="DA126" s="9">
        <v>0</v>
      </c>
      <c r="DB126" s="9">
        <v>0</v>
      </c>
      <c r="DC126" s="9">
        <v>0</v>
      </c>
      <c r="DD126" s="9">
        <v>0</v>
      </c>
      <c r="DE126" s="9">
        <v>0</v>
      </c>
      <c r="DF126" s="9">
        <v>0</v>
      </c>
      <c r="DG126" s="9">
        <v>0</v>
      </c>
      <c r="DH126" s="9">
        <v>0</v>
      </c>
      <c r="DI126" s="9">
        <v>0</v>
      </c>
      <c r="DJ126" s="9">
        <v>0</v>
      </c>
      <c r="DK126" s="9">
        <v>0</v>
      </c>
      <c r="DL126" s="9">
        <v>0</v>
      </c>
      <c r="DM126" s="9">
        <v>0</v>
      </c>
      <c r="DN126" s="9">
        <v>0</v>
      </c>
      <c r="DO126" s="9">
        <v>0</v>
      </c>
      <c r="DP126" s="9">
        <v>0</v>
      </c>
      <c r="DQ126" s="9">
        <v>0</v>
      </c>
      <c r="DR126" s="9">
        <v>0</v>
      </c>
      <c r="DS126" s="9">
        <v>0</v>
      </c>
      <c r="DT126" s="9">
        <v>0</v>
      </c>
      <c r="DU126" s="9">
        <v>0</v>
      </c>
      <c r="DV126" s="9">
        <v>0</v>
      </c>
      <c r="DW126" s="9">
        <v>0</v>
      </c>
      <c r="DX126" s="9">
        <v>0</v>
      </c>
      <c r="DY126" s="9">
        <v>0</v>
      </c>
      <c r="DZ126" s="9">
        <v>0</v>
      </c>
      <c r="EA126" s="9">
        <v>0</v>
      </c>
      <c r="EB126" s="9">
        <v>1</v>
      </c>
      <c r="EC126" s="9">
        <v>0</v>
      </c>
      <c r="ED126" s="9">
        <v>0</v>
      </c>
      <c r="EE126" s="9">
        <v>0</v>
      </c>
      <c r="EF126" s="9">
        <v>0</v>
      </c>
      <c r="EG126" s="9">
        <v>0</v>
      </c>
      <c r="EH126" s="9">
        <v>0</v>
      </c>
      <c r="EI126" s="10">
        <v>0</v>
      </c>
    </row>
    <row r="127" spans="1:139" x14ac:dyDescent="0.35">
      <c r="A127" s="8" t="s">
        <v>174</v>
      </c>
      <c r="B127" s="9" t="s">
        <v>225</v>
      </c>
      <c r="C127" s="9" t="s">
        <v>226</v>
      </c>
      <c r="D127" s="9">
        <f t="shared" si="1"/>
        <v>20</v>
      </c>
      <c r="E127" s="9">
        <v>0</v>
      </c>
      <c r="F127" s="9">
        <v>0</v>
      </c>
      <c r="G127" s="9">
        <v>0</v>
      </c>
      <c r="H127" s="9">
        <v>0</v>
      </c>
      <c r="I127" s="9">
        <v>0</v>
      </c>
      <c r="J127" s="9">
        <v>0</v>
      </c>
      <c r="K127" s="9">
        <v>0</v>
      </c>
      <c r="L127" s="9">
        <v>0</v>
      </c>
      <c r="M127" s="9">
        <v>0</v>
      </c>
      <c r="N127" s="9">
        <v>0</v>
      </c>
      <c r="O127" s="9">
        <v>0</v>
      </c>
      <c r="P127" s="9">
        <v>0</v>
      </c>
      <c r="Q127" s="9">
        <v>0</v>
      </c>
      <c r="R127" s="9">
        <v>2</v>
      </c>
      <c r="S127" s="9">
        <v>1</v>
      </c>
      <c r="T127" s="9">
        <v>0</v>
      </c>
      <c r="U127" s="9">
        <v>0</v>
      </c>
      <c r="V127" s="9">
        <v>0</v>
      </c>
      <c r="W127" s="9">
        <v>0</v>
      </c>
      <c r="X127" s="9">
        <v>0</v>
      </c>
      <c r="Y127" s="9">
        <v>0</v>
      </c>
      <c r="Z127" s="9">
        <v>0</v>
      </c>
      <c r="AA127" s="9">
        <v>0</v>
      </c>
      <c r="AB127" s="9">
        <v>1</v>
      </c>
      <c r="AC127" s="9">
        <v>0</v>
      </c>
      <c r="AD127" s="9">
        <v>1</v>
      </c>
      <c r="AE127" s="9">
        <v>0</v>
      </c>
      <c r="AF127" s="9">
        <v>1</v>
      </c>
      <c r="AG127" s="9">
        <v>0</v>
      </c>
      <c r="AH127" s="9">
        <v>0</v>
      </c>
      <c r="AI127" s="9">
        <v>0</v>
      </c>
      <c r="AJ127" s="9">
        <v>0</v>
      </c>
      <c r="AK127" s="9">
        <v>0</v>
      </c>
      <c r="AL127" s="9">
        <v>0</v>
      </c>
      <c r="AM127" s="9">
        <v>0</v>
      </c>
      <c r="AN127" s="9">
        <v>1</v>
      </c>
      <c r="AO127" s="9">
        <v>3</v>
      </c>
      <c r="AP127" s="9">
        <v>1</v>
      </c>
      <c r="AQ127" s="9">
        <v>1</v>
      </c>
      <c r="AR127" s="9">
        <v>1</v>
      </c>
      <c r="AS127" s="9">
        <v>0</v>
      </c>
      <c r="AT127" s="9">
        <v>0</v>
      </c>
      <c r="AU127" s="9">
        <v>0</v>
      </c>
      <c r="AV127" s="9">
        <v>0</v>
      </c>
      <c r="AW127" s="9">
        <v>0</v>
      </c>
      <c r="AX127" s="9">
        <v>0</v>
      </c>
      <c r="AY127" s="9">
        <v>0</v>
      </c>
      <c r="AZ127" s="9">
        <v>0</v>
      </c>
      <c r="BA127" s="9">
        <v>0</v>
      </c>
      <c r="BB127" s="9">
        <v>0</v>
      </c>
      <c r="BC127" s="9">
        <v>0</v>
      </c>
      <c r="BD127" s="9">
        <v>0</v>
      </c>
      <c r="BE127" s="9">
        <v>0</v>
      </c>
      <c r="BF127" s="9">
        <v>0</v>
      </c>
      <c r="BG127" s="9">
        <v>0</v>
      </c>
      <c r="BH127" s="9">
        <v>0</v>
      </c>
      <c r="BI127" s="9">
        <v>0</v>
      </c>
      <c r="BJ127" s="9">
        <v>0</v>
      </c>
      <c r="BK127" s="9">
        <v>0</v>
      </c>
      <c r="BL127" s="9">
        <v>0</v>
      </c>
      <c r="BM127" s="9">
        <v>0</v>
      </c>
      <c r="BN127" s="9">
        <v>0</v>
      </c>
      <c r="BO127" s="9">
        <v>0</v>
      </c>
      <c r="BP127" s="9">
        <v>0</v>
      </c>
      <c r="BQ127" s="9">
        <v>0</v>
      </c>
      <c r="BR127" s="9">
        <v>0</v>
      </c>
      <c r="BS127" s="9">
        <v>0</v>
      </c>
      <c r="BT127" s="9">
        <v>0</v>
      </c>
      <c r="BU127" s="9">
        <v>1</v>
      </c>
      <c r="BV127" s="9">
        <v>0</v>
      </c>
      <c r="BW127" s="9">
        <v>0</v>
      </c>
      <c r="BX127" s="9">
        <v>0</v>
      </c>
      <c r="BY127" s="9">
        <v>0</v>
      </c>
      <c r="BZ127" s="9">
        <v>0</v>
      </c>
      <c r="CA127" s="9">
        <v>0</v>
      </c>
      <c r="CB127" s="9">
        <v>0</v>
      </c>
      <c r="CC127" s="9">
        <v>0</v>
      </c>
      <c r="CD127" s="9">
        <v>0</v>
      </c>
      <c r="CE127" s="9">
        <v>0</v>
      </c>
      <c r="CF127" s="9">
        <v>0</v>
      </c>
      <c r="CG127" s="9">
        <v>0</v>
      </c>
      <c r="CH127" s="9">
        <v>0</v>
      </c>
      <c r="CI127" s="9">
        <v>0</v>
      </c>
      <c r="CJ127" s="9">
        <v>0</v>
      </c>
      <c r="CK127" s="9">
        <v>0</v>
      </c>
      <c r="CL127" s="9">
        <v>0</v>
      </c>
      <c r="CM127" s="9">
        <v>1</v>
      </c>
      <c r="CN127" s="9">
        <v>0</v>
      </c>
      <c r="CO127" s="9">
        <v>0</v>
      </c>
      <c r="CP127" s="9">
        <v>0</v>
      </c>
      <c r="CQ127" s="9">
        <v>2</v>
      </c>
      <c r="CR127" s="9">
        <v>0</v>
      </c>
      <c r="CS127" s="9">
        <v>0</v>
      </c>
      <c r="CT127" s="9">
        <v>1</v>
      </c>
      <c r="CU127" s="9">
        <v>1</v>
      </c>
      <c r="CV127" s="9">
        <v>1</v>
      </c>
      <c r="CW127" s="9">
        <v>0</v>
      </c>
      <c r="CX127" s="9">
        <v>0</v>
      </c>
      <c r="CY127" s="9">
        <v>0</v>
      </c>
      <c r="CZ127" s="9">
        <v>0</v>
      </c>
      <c r="DA127" s="9">
        <v>0</v>
      </c>
      <c r="DB127" s="9">
        <v>0</v>
      </c>
      <c r="DC127" s="9">
        <v>0</v>
      </c>
      <c r="DD127" s="9">
        <v>0</v>
      </c>
      <c r="DE127" s="9">
        <v>0</v>
      </c>
      <c r="DF127" s="9">
        <v>0</v>
      </c>
      <c r="DG127" s="9">
        <v>0</v>
      </c>
      <c r="DH127" s="9">
        <v>0</v>
      </c>
      <c r="DI127" s="9">
        <v>0</v>
      </c>
      <c r="DJ127" s="9">
        <v>0</v>
      </c>
      <c r="DK127" s="9">
        <v>0</v>
      </c>
      <c r="DL127" s="9">
        <v>0</v>
      </c>
      <c r="DM127" s="9">
        <v>0</v>
      </c>
      <c r="DN127" s="9">
        <v>0</v>
      </c>
      <c r="DO127" s="9">
        <v>0</v>
      </c>
      <c r="DP127" s="9">
        <v>0</v>
      </c>
      <c r="DQ127" s="9">
        <v>0</v>
      </c>
      <c r="DR127" s="9">
        <v>0</v>
      </c>
      <c r="DS127" s="9">
        <v>0</v>
      </c>
      <c r="DT127" s="9">
        <v>0</v>
      </c>
      <c r="DU127" s="9">
        <v>0</v>
      </c>
      <c r="DV127" s="9">
        <v>0</v>
      </c>
      <c r="DW127" s="9">
        <v>0</v>
      </c>
      <c r="DX127" s="9">
        <v>0</v>
      </c>
      <c r="DY127" s="9">
        <v>0</v>
      </c>
      <c r="DZ127" s="9">
        <v>0</v>
      </c>
      <c r="EA127" s="9">
        <v>0</v>
      </c>
      <c r="EB127" s="9">
        <v>0</v>
      </c>
      <c r="EC127" s="9">
        <v>0</v>
      </c>
      <c r="ED127" s="9">
        <v>0</v>
      </c>
      <c r="EE127" s="9">
        <v>0</v>
      </c>
      <c r="EF127" s="9">
        <v>0</v>
      </c>
      <c r="EG127" s="9">
        <v>0</v>
      </c>
      <c r="EH127" s="9">
        <v>0</v>
      </c>
      <c r="EI127" s="10">
        <v>0</v>
      </c>
    </row>
    <row r="128" spans="1:139" x14ac:dyDescent="0.35">
      <c r="A128" s="8" t="s">
        <v>174</v>
      </c>
      <c r="B128" s="9" t="s">
        <v>227</v>
      </c>
      <c r="C128" s="9" t="s">
        <v>228</v>
      </c>
      <c r="D128" s="9">
        <f t="shared" si="1"/>
        <v>4</v>
      </c>
      <c r="E128" s="9">
        <v>0</v>
      </c>
      <c r="F128" s="9">
        <v>0</v>
      </c>
      <c r="G128" s="9">
        <v>0</v>
      </c>
      <c r="H128" s="9">
        <v>0</v>
      </c>
      <c r="I128" s="9">
        <v>0</v>
      </c>
      <c r="J128" s="9">
        <v>0</v>
      </c>
      <c r="K128" s="9">
        <v>0</v>
      </c>
      <c r="L128" s="9">
        <v>0</v>
      </c>
      <c r="M128" s="9">
        <v>0</v>
      </c>
      <c r="N128" s="9">
        <v>0</v>
      </c>
      <c r="O128" s="9">
        <v>0</v>
      </c>
      <c r="P128" s="9">
        <v>0</v>
      </c>
      <c r="Q128" s="9">
        <v>0</v>
      </c>
      <c r="R128" s="9">
        <v>0</v>
      </c>
      <c r="S128" s="9">
        <v>0</v>
      </c>
      <c r="T128" s="9">
        <v>0</v>
      </c>
      <c r="U128" s="9">
        <v>0</v>
      </c>
      <c r="V128" s="9">
        <v>0</v>
      </c>
      <c r="W128" s="9">
        <v>0</v>
      </c>
      <c r="X128" s="9">
        <v>0</v>
      </c>
      <c r="Y128" s="9">
        <v>1</v>
      </c>
      <c r="Z128" s="9">
        <v>0</v>
      </c>
      <c r="AA128" s="9">
        <v>0</v>
      </c>
      <c r="AB128" s="9">
        <v>0</v>
      </c>
      <c r="AC128" s="9">
        <v>0</v>
      </c>
      <c r="AD128" s="9">
        <v>0</v>
      </c>
      <c r="AE128" s="9">
        <v>0</v>
      </c>
      <c r="AF128" s="9">
        <v>1</v>
      </c>
      <c r="AG128" s="9">
        <v>0</v>
      </c>
      <c r="AH128" s="9">
        <v>0</v>
      </c>
      <c r="AI128" s="9">
        <v>0</v>
      </c>
      <c r="AJ128" s="9">
        <v>0</v>
      </c>
      <c r="AK128" s="9">
        <v>0</v>
      </c>
      <c r="AL128" s="9">
        <v>0</v>
      </c>
      <c r="AM128" s="9">
        <v>0</v>
      </c>
      <c r="AN128" s="9">
        <v>0</v>
      </c>
      <c r="AO128" s="9">
        <v>0</v>
      </c>
      <c r="AP128" s="9">
        <v>0</v>
      </c>
      <c r="AQ128" s="9">
        <v>0</v>
      </c>
      <c r="AR128" s="9">
        <v>0</v>
      </c>
      <c r="AS128" s="9">
        <v>0</v>
      </c>
      <c r="AT128" s="9">
        <v>0</v>
      </c>
      <c r="AU128" s="9">
        <v>0</v>
      </c>
      <c r="AV128" s="9">
        <v>0</v>
      </c>
      <c r="AW128" s="9">
        <v>0</v>
      </c>
      <c r="AX128" s="9">
        <v>0</v>
      </c>
      <c r="AY128" s="9">
        <v>0</v>
      </c>
      <c r="AZ128" s="9">
        <v>2</v>
      </c>
      <c r="BA128" s="9">
        <v>0</v>
      </c>
      <c r="BB128" s="9">
        <v>0</v>
      </c>
      <c r="BC128" s="9">
        <v>0</v>
      </c>
      <c r="BD128" s="9">
        <v>0</v>
      </c>
      <c r="BE128" s="9">
        <v>0</v>
      </c>
      <c r="BF128" s="9">
        <v>0</v>
      </c>
      <c r="BG128" s="9">
        <v>0</v>
      </c>
      <c r="BH128" s="9">
        <v>0</v>
      </c>
      <c r="BI128" s="9">
        <v>0</v>
      </c>
      <c r="BJ128" s="9">
        <v>0</v>
      </c>
      <c r="BK128" s="9">
        <v>0</v>
      </c>
      <c r="BL128" s="9">
        <v>0</v>
      </c>
      <c r="BM128" s="9">
        <v>0</v>
      </c>
      <c r="BN128" s="9">
        <v>0</v>
      </c>
      <c r="BO128" s="9">
        <v>0</v>
      </c>
      <c r="BP128" s="9">
        <v>0</v>
      </c>
      <c r="BQ128" s="9">
        <v>0</v>
      </c>
      <c r="BR128" s="9">
        <v>0</v>
      </c>
      <c r="BS128" s="9">
        <v>0</v>
      </c>
      <c r="BT128" s="9">
        <v>0</v>
      </c>
      <c r="BU128" s="9">
        <v>0</v>
      </c>
      <c r="BV128" s="9">
        <v>0</v>
      </c>
      <c r="BW128" s="9">
        <v>0</v>
      </c>
      <c r="BX128" s="9">
        <v>0</v>
      </c>
      <c r="BY128" s="9">
        <v>0</v>
      </c>
      <c r="BZ128" s="9">
        <v>0</v>
      </c>
      <c r="CA128" s="9">
        <v>0</v>
      </c>
      <c r="CB128" s="9">
        <v>0</v>
      </c>
      <c r="CC128" s="9">
        <v>0</v>
      </c>
      <c r="CD128" s="9">
        <v>0</v>
      </c>
      <c r="CE128" s="9">
        <v>0</v>
      </c>
      <c r="CF128" s="9">
        <v>0</v>
      </c>
      <c r="CG128" s="9">
        <v>0</v>
      </c>
      <c r="CH128" s="9">
        <v>0</v>
      </c>
      <c r="CI128" s="9">
        <v>0</v>
      </c>
      <c r="CJ128" s="9">
        <v>0</v>
      </c>
      <c r="CK128" s="9">
        <v>0</v>
      </c>
      <c r="CL128" s="9">
        <v>0</v>
      </c>
      <c r="CM128" s="9">
        <v>0</v>
      </c>
      <c r="CN128" s="9">
        <v>0</v>
      </c>
      <c r="CO128" s="9">
        <v>0</v>
      </c>
      <c r="CP128" s="9">
        <v>0</v>
      </c>
      <c r="CQ128" s="9">
        <v>0</v>
      </c>
      <c r="CR128" s="9">
        <v>0</v>
      </c>
      <c r="CS128" s="9">
        <v>0</v>
      </c>
      <c r="CT128" s="9">
        <v>0</v>
      </c>
      <c r="CU128" s="9">
        <v>0</v>
      </c>
      <c r="CV128" s="9">
        <v>0</v>
      </c>
      <c r="CW128" s="9">
        <v>0</v>
      </c>
      <c r="CX128" s="9">
        <v>0</v>
      </c>
      <c r="CY128" s="9">
        <v>0</v>
      </c>
      <c r="CZ128" s="9">
        <v>0</v>
      </c>
      <c r="DA128" s="9">
        <v>0</v>
      </c>
      <c r="DB128" s="9">
        <v>0</v>
      </c>
      <c r="DC128" s="9">
        <v>0</v>
      </c>
      <c r="DD128" s="9">
        <v>0</v>
      </c>
      <c r="DE128" s="9">
        <v>0</v>
      </c>
      <c r="DF128" s="9">
        <v>0</v>
      </c>
      <c r="DG128" s="9">
        <v>0</v>
      </c>
      <c r="DH128" s="9">
        <v>0</v>
      </c>
      <c r="DI128" s="9">
        <v>0</v>
      </c>
      <c r="DJ128" s="9">
        <v>0</v>
      </c>
      <c r="DK128" s="9">
        <v>0</v>
      </c>
      <c r="DL128" s="9">
        <v>0</v>
      </c>
      <c r="DM128" s="9">
        <v>0</v>
      </c>
      <c r="DN128" s="9">
        <v>0</v>
      </c>
      <c r="DO128" s="9">
        <v>0</v>
      </c>
      <c r="DP128" s="9">
        <v>0</v>
      </c>
      <c r="DQ128" s="9">
        <v>0</v>
      </c>
      <c r="DR128" s="9">
        <v>0</v>
      </c>
      <c r="DS128" s="9">
        <v>0</v>
      </c>
      <c r="DT128" s="9">
        <v>0</v>
      </c>
      <c r="DU128" s="9">
        <v>0</v>
      </c>
      <c r="DV128" s="9">
        <v>0</v>
      </c>
      <c r="DW128" s="9">
        <v>0</v>
      </c>
      <c r="DX128" s="9">
        <v>0</v>
      </c>
      <c r="DY128" s="9">
        <v>0</v>
      </c>
      <c r="DZ128" s="9">
        <v>0</v>
      </c>
      <c r="EA128" s="9">
        <v>0</v>
      </c>
      <c r="EB128" s="9">
        <v>0</v>
      </c>
      <c r="EC128" s="9">
        <v>0</v>
      </c>
      <c r="ED128" s="9">
        <v>0</v>
      </c>
      <c r="EE128" s="9">
        <v>0</v>
      </c>
      <c r="EF128" s="9">
        <v>0</v>
      </c>
      <c r="EG128" s="9">
        <v>0</v>
      </c>
      <c r="EH128" s="9">
        <v>0</v>
      </c>
      <c r="EI128" s="10">
        <v>0</v>
      </c>
    </row>
    <row r="129" spans="1:139" x14ac:dyDescent="0.35">
      <c r="A129" s="8" t="s">
        <v>174</v>
      </c>
      <c r="B129" s="9" t="s">
        <v>229</v>
      </c>
      <c r="C129" s="9" t="s">
        <v>230</v>
      </c>
      <c r="D129" s="9">
        <f t="shared" si="1"/>
        <v>1339</v>
      </c>
      <c r="E129" s="9">
        <v>0</v>
      </c>
      <c r="F129" s="9">
        <v>1</v>
      </c>
      <c r="G129" s="9">
        <v>32</v>
      </c>
      <c r="H129" s="9">
        <v>1</v>
      </c>
      <c r="I129" s="9">
        <v>0</v>
      </c>
      <c r="J129" s="9">
        <v>0</v>
      </c>
      <c r="K129" s="9">
        <v>1</v>
      </c>
      <c r="L129" s="9">
        <v>9</v>
      </c>
      <c r="M129" s="9">
        <v>1</v>
      </c>
      <c r="N129" s="9">
        <v>34</v>
      </c>
      <c r="O129" s="9">
        <v>89</v>
      </c>
      <c r="P129" s="9">
        <v>81</v>
      </c>
      <c r="Q129" s="9">
        <v>30</v>
      </c>
      <c r="R129" s="9">
        <v>152</v>
      </c>
      <c r="S129" s="9">
        <v>89</v>
      </c>
      <c r="T129" s="9">
        <v>16</v>
      </c>
      <c r="U129" s="9">
        <v>65</v>
      </c>
      <c r="V129" s="9">
        <v>70</v>
      </c>
      <c r="W129" s="9">
        <v>67</v>
      </c>
      <c r="X129" s="9">
        <v>70</v>
      </c>
      <c r="Y129" s="9">
        <v>64</v>
      </c>
      <c r="Z129" s="9">
        <v>0</v>
      </c>
      <c r="AA129" s="9">
        <v>11</v>
      </c>
      <c r="AB129" s="9">
        <v>10</v>
      </c>
      <c r="AC129" s="9">
        <v>19</v>
      </c>
      <c r="AD129" s="9">
        <v>51</v>
      </c>
      <c r="AE129" s="9">
        <v>5</v>
      </c>
      <c r="AF129" s="9">
        <v>6</v>
      </c>
      <c r="AG129" s="9">
        <v>15</v>
      </c>
      <c r="AH129" s="9">
        <v>4</v>
      </c>
      <c r="AI129" s="9">
        <v>1</v>
      </c>
      <c r="AJ129" s="9">
        <v>5</v>
      </c>
      <c r="AK129" s="9">
        <v>5</v>
      </c>
      <c r="AL129" s="9">
        <v>7</v>
      </c>
      <c r="AM129" s="9">
        <v>4</v>
      </c>
      <c r="AN129" s="9">
        <v>4</v>
      </c>
      <c r="AO129" s="9">
        <v>4</v>
      </c>
      <c r="AP129" s="9">
        <v>4</v>
      </c>
      <c r="AQ129" s="9">
        <v>2</v>
      </c>
      <c r="AR129" s="9">
        <v>5</v>
      </c>
      <c r="AS129" s="9">
        <v>4</v>
      </c>
      <c r="AT129" s="9">
        <v>2</v>
      </c>
      <c r="AU129" s="9">
        <v>3</v>
      </c>
      <c r="AV129" s="9">
        <v>3</v>
      </c>
      <c r="AW129" s="9">
        <v>6</v>
      </c>
      <c r="AX129" s="9">
        <v>4</v>
      </c>
      <c r="AY129" s="9">
        <v>2</v>
      </c>
      <c r="AZ129" s="9">
        <v>5</v>
      </c>
      <c r="BA129" s="9">
        <v>4</v>
      </c>
      <c r="BB129" s="9">
        <v>6</v>
      </c>
      <c r="BC129" s="9">
        <v>6</v>
      </c>
      <c r="BD129" s="9">
        <v>5</v>
      </c>
      <c r="BE129" s="9">
        <v>6</v>
      </c>
      <c r="BF129" s="9">
        <v>1</v>
      </c>
      <c r="BG129" s="9">
        <v>2</v>
      </c>
      <c r="BH129" s="9">
        <v>6</v>
      </c>
      <c r="BI129" s="9">
        <v>7</v>
      </c>
      <c r="BJ129" s="9">
        <v>4</v>
      </c>
      <c r="BK129" s="9">
        <v>4</v>
      </c>
      <c r="BL129" s="9">
        <v>2</v>
      </c>
      <c r="BM129" s="9">
        <v>4</v>
      </c>
      <c r="BN129" s="9">
        <v>8</v>
      </c>
      <c r="BO129" s="9">
        <v>5</v>
      </c>
      <c r="BP129" s="9">
        <v>3</v>
      </c>
      <c r="BQ129" s="9">
        <v>4</v>
      </c>
      <c r="BR129" s="9">
        <v>1</v>
      </c>
      <c r="BS129" s="9">
        <v>3</v>
      </c>
      <c r="BT129" s="9">
        <v>3</v>
      </c>
      <c r="BU129" s="9">
        <v>5</v>
      </c>
      <c r="BV129" s="9">
        <v>2</v>
      </c>
      <c r="BW129" s="9">
        <v>3</v>
      </c>
      <c r="BX129" s="9">
        <v>8</v>
      </c>
      <c r="BY129" s="9">
        <v>4</v>
      </c>
      <c r="BZ129" s="9">
        <v>3</v>
      </c>
      <c r="CA129" s="9">
        <v>5</v>
      </c>
      <c r="CB129" s="9">
        <v>3</v>
      </c>
      <c r="CC129" s="9">
        <v>3</v>
      </c>
      <c r="CD129" s="9">
        <v>4</v>
      </c>
      <c r="CE129" s="9">
        <v>4</v>
      </c>
      <c r="CF129" s="9">
        <v>6</v>
      </c>
      <c r="CG129" s="9">
        <v>3</v>
      </c>
      <c r="CH129" s="9">
        <v>4</v>
      </c>
      <c r="CI129" s="9">
        <v>6</v>
      </c>
      <c r="CJ129" s="9">
        <v>5</v>
      </c>
      <c r="CK129" s="9">
        <v>6</v>
      </c>
      <c r="CL129" s="9">
        <v>2</v>
      </c>
      <c r="CM129" s="9">
        <v>5</v>
      </c>
      <c r="CN129" s="9">
        <v>1</v>
      </c>
      <c r="CO129" s="9">
        <v>5</v>
      </c>
      <c r="CP129" s="9">
        <v>5</v>
      </c>
      <c r="CQ129" s="9">
        <v>4</v>
      </c>
      <c r="CR129" s="9">
        <v>4</v>
      </c>
      <c r="CS129" s="9">
        <v>3</v>
      </c>
      <c r="CT129" s="9">
        <v>2</v>
      </c>
      <c r="CU129" s="9">
        <v>3</v>
      </c>
      <c r="CV129" s="9">
        <v>3</v>
      </c>
      <c r="CW129" s="9">
        <v>7</v>
      </c>
      <c r="CX129" s="9">
        <v>5</v>
      </c>
      <c r="CY129" s="9">
        <v>3</v>
      </c>
      <c r="CZ129" s="9">
        <v>5</v>
      </c>
      <c r="DA129" s="9">
        <v>8</v>
      </c>
      <c r="DB129" s="9">
        <v>0</v>
      </c>
      <c r="DC129" s="9">
        <v>7</v>
      </c>
      <c r="DD129" s="9">
        <v>6</v>
      </c>
      <c r="DE129" s="9">
        <v>8</v>
      </c>
      <c r="DF129" s="9">
        <v>3</v>
      </c>
      <c r="DG129" s="9">
        <v>6</v>
      </c>
      <c r="DH129" s="9">
        <v>6</v>
      </c>
      <c r="DI129" s="9">
        <v>4</v>
      </c>
      <c r="DJ129" s="9">
        <v>1</v>
      </c>
      <c r="DK129" s="9">
        <v>1</v>
      </c>
      <c r="DL129" s="9">
        <v>0</v>
      </c>
      <c r="DM129" s="9">
        <v>0</v>
      </c>
      <c r="DN129" s="9">
        <v>1</v>
      </c>
      <c r="DO129" s="9">
        <v>1</v>
      </c>
      <c r="DP129" s="9">
        <v>0</v>
      </c>
      <c r="DQ129" s="9">
        <v>0</v>
      </c>
      <c r="DR129" s="9">
        <v>1</v>
      </c>
      <c r="DS129" s="9">
        <v>1</v>
      </c>
      <c r="DT129" s="9">
        <v>0</v>
      </c>
      <c r="DU129" s="9">
        <v>1</v>
      </c>
      <c r="DV129" s="9">
        <v>0</v>
      </c>
      <c r="DW129" s="9">
        <v>0</v>
      </c>
      <c r="DX129" s="9">
        <v>0</v>
      </c>
      <c r="DY129" s="9">
        <v>1</v>
      </c>
      <c r="DZ129" s="9">
        <v>0</v>
      </c>
      <c r="EA129" s="9">
        <v>0</v>
      </c>
      <c r="EB129" s="9">
        <v>0</v>
      </c>
      <c r="EC129" s="9">
        <v>0</v>
      </c>
      <c r="ED129" s="9">
        <v>1</v>
      </c>
      <c r="EE129" s="9">
        <v>0</v>
      </c>
      <c r="EF129" s="9">
        <v>0</v>
      </c>
      <c r="EG129" s="9">
        <v>1</v>
      </c>
      <c r="EH129" s="9">
        <v>2</v>
      </c>
      <c r="EI129" s="10">
        <v>1</v>
      </c>
    </row>
    <row r="130" spans="1:139" x14ac:dyDescent="0.35">
      <c r="A130" s="8" t="s">
        <v>174</v>
      </c>
      <c r="B130" s="9" t="s">
        <v>231</v>
      </c>
      <c r="C130" s="9" t="s">
        <v>232</v>
      </c>
      <c r="D130" s="9">
        <f t="shared" si="1"/>
        <v>103</v>
      </c>
      <c r="E130" s="9">
        <v>0</v>
      </c>
      <c r="F130" s="9">
        <v>0</v>
      </c>
      <c r="G130" s="9">
        <v>0</v>
      </c>
      <c r="H130" s="9">
        <v>0</v>
      </c>
      <c r="I130" s="9">
        <v>0</v>
      </c>
      <c r="J130" s="9">
        <v>0</v>
      </c>
      <c r="K130" s="9">
        <v>0</v>
      </c>
      <c r="L130" s="9">
        <v>0</v>
      </c>
      <c r="M130" s="9">
        <v>0</v>
      </c>
      <c r="N130" s="9">
        <v>0</v>
      </c>
      <c r="O130" s="9">
        <v>0</v>
      </c>
      <c r="P130" s="9">
        <v>0</v>
      </c>
      <c r="Q130" s="9">
        <v>0</v>
      </c>
      <c r="R130" s="9">
        <v>0</v>
      </c>
      <c r="S130" s="9">
        <v>0</v>
      </c>
      <c r="T130" s="9">
        <v>4</v>
      </c>
      <c r="U130" s="9">
        <v>0</v>
      </c>
      <c r="V130" s="9">
        <v>0</v>
      </c>
      <c r="W130" s="9">
        <v>1</v>
      </c>
      <c r="X130" s="9">
        <v>0</v>
      </c>
      <c r="Y130" s="9">
        <v>3</v>
      </c>
      <c r="Z130" s="9">
        <v>3</v>
      </c>
      <c r="AA130" s="9">
        <v>4</v>
      </c>
      <c r="AB130" s="9">
        <v>3</v>
      </c>
      <c r="AC130" s="9">
        <v>0</v>
      </c>
      <c r="AD130" s="9">
        <v>2</v>
      </c>
      <c r="AE130" s="9">
        <v>1</v>
      </c>
      <c r="AF130" s="9">
        <v>0</v>
      </c>
      <c r="AG130" s="9">
        <v>0</v>
      </c>
      <c r="AH130" s="9">
        <v>5</v>
      </c>
      <c r="AI130" s="9">
        <v>4</v>
      </c>
      <c r="AJ130" s="9">
        <v>1</v>
      </c>
      <c r="AK130" s="9">
        <v>0</v>
      </c>
      <c r="AL130" s="9">
        <v>0</v>
      </c>
      <c r="AM130" s="9">
        <v>3</v>
      </c>
      <c r="AN130" s="9">
        <v>2</v>
      </c>
      <c r="AO130" s="9">
        <v>0</v>
      </c>
      <c r="AP130" s="9">
        <v>1</v>
      </c>
      <c r="AQ130" s="9">
        <v>1</v>
      </c>
      <c r="AR130" s="9">
        <v>2</v>
      </c>
      <c r="AS130" s="9">
        <v>5</v>
      </c>
      <c r="AT130" s="9">
        <v>3</v>
      </c>
      <c r="AU130" s="9">
        <v>2</v>
      </c>
      <c r="AV130" s="9">
        <v>2</v>
      </c>
      <c r="AW130" s="9">
        <v>4</v>
      </c>
      <c r="AX130" s="9">
        <v>1</v>
      </c>
      <c r="AY130" s="9">
        <v>1</v>
      </c>
      <c r="AZ130" s="9">
        <v>1</v>
      </c>
      <c r="BA130" s="9">
        <v>1</v>
      </c>
      <c r="BB130" s="9">
        <v>0</v>
      </c>
      <c r="BC130" s="9">
        <v>1</v>
      </c>
      <c r="BD130" s="9">
        <v>0</v>
      </c>
      <c r="BE130" s="9">
        <v>0</v>
      </c>
      <c r="BF130" s="9">
        <v>0</v>
      </c>
      <c r="BG130" s="9">
        <v>1</v>
      </c>
      <c r="BH130" s="9">
        <v>7</v>
      </c>
      <c r="BI130" s="9">
        <v>0</v>
      </c>
      <c r="BJ130" s="9">
        <v>3</v>
      </c>
      <c r="BK130" s="9">
        <v>1</v>
      </c>
      <c r="BL130" s="9">
        <v>1</v>
      </c>
      <c r="BM130" s="9">
        <v>0</v>
      </c>
      <c r="BN130" s="9">
        <v>0</v>
      </c>
      <c r="BO130" s="9">
        <v>2</v>
      </c>
      <c r="BP130" s="9">
        <v>0</v>
      </c>
      <c r="BQ130" s="9">
        <v>0</v>
      </c>
      <c r="BR130" s="9">
        <v>2</v>
      </c>
      <c r="BS130" s="9">
        <v>0</v>
      </c>
      <c r="BT130" s="9">
        <v>1</v>
      </c>
      <c r="BU130" s="9">
        <v>1</v>
      </c>
      <c r="BV130" s="9">
        <v>1</v>
      </c>
      <c r="BW130" s="9">
        <v>3</v>
      </c>
      <c r="BX130" s="9">
        <v>0</v>
      </c>
      <c r="BY130" s="9">
        <v>0</v>
      </c>
      <c r="BZ130" s="9">
        <v>1</v>
      </c>
      <c r="CA130" s="9">
        <v>0</v>
      </c>
      <c r="CB130" s="9">
        <v>2</v>
      </c>
      <c r="CC130" s="9">
        <v>0</v>
      </c>
      <c r="CD130" s="9">
        <v>1</v>
      </c>
      <c r="CE130" s="9">
        <v>0</v>
      </c>
      <c r="CF130" s="9">
        <v>0</v>
      </c>
      <c r="CG130" s="9">
        <v>0</v>
      </c>
      <c r="CH130" s="9">
        <v>0</v>
      </c>
      <c r="CI130" s="9">
        <v>0</v>
      </c>
      <c r="CJ130" s="9">
        <v>0</v>
      </c>
      <c r="CK130" s="9">
        <v>0</v>
      </c>
      <c r="CL130" s="9">
        <v>0</v>
      </c>
      <c r="CM130" s="9">
        <v>0</v>
      </c>
      <c r="CN130" s="9">
        <v>0</v>
      </c>
      <c r="CO130" s="9">
        <v>0</v>
      </c>
      <c r="CP130" s="9">
        <v>2</v>
      </c>
      <c r="CQ130" s="9">
        <v>0</v>
      </c>
      <c r="CR130" s="9">
        <v>2</v>
      </c>
      <c r="CS130" s="9">
        <v>1</v>
      </c>
      <c r="CT130" s="9">
        <v>1</v>
      </c>
      <c r="CU130" s="9">
        <v>0</v>
      </c>
      <c r="CV130" s="9">
        <v>0</v>
      </c>
      <c r="CW130" s="9">
        <v>0</v>
      </c>
      <c r="CX130" s="9">
        <v>0</v>
      </c>
      <c r="CY130" s="9">
        <v>0</v>
      </c>
      <c r="CZ130" s="9">
        <v>1</v>
      </c>
      <c r="DA130" s="9">
        <v>0</v>
      </c>
      <c r="DB130" s="9">
        <v>0</v>
      </c>
      <c r="DC130" s="9">
        <v>0</v>
      </c>
      <c r="DD130" s="9">
        <v>0</v>
      </c>
      <c r="DE130" s="9">
        <v>0</v>
      </c>
      <c r="DF130" s="9">
        <v>0</v>
      </c>
      <c r="DG130" s="9">
        <v>2</v>
      </c>
      <c r="DH130" s="9">
        <v>0</v>
      </c>
      <c r="DI130" s="9">
        <v>0</v>
      </c>
      <c r="DJ130" s="9">
        <v>0</v>
      </c>
      <c r="DK130" s="9">
        <v>1</v>
      </c>
      <c r="DL130" s="9">
        <v>1</v>
      </c>
      <c r="DM130" s="9">
        <v>0</v>
      </c>
      <c r="DN130" s="9">
        <v>0</v>
      </c>
      <c r="DO130" s="9">
        <v>0</v>
      </c>
      <c r="DP130" s="9">
        <v>0</v>
      </c>
      <c r="DQ130" s="9">
        <v>0</v>
      </c>
      <c r="DR130" s="9">
        <v>1</v>
      </c>
      <c r="DS130" s="9">
        <v>0</v>
      </c>
      <c r="DT130" s="9">
        <v>1</v>
      </c>
      <c r="DU130" s="9">
        <v>1</v>
      </c>
      <c r="DV130" s="9">
        <v>0</v>
      </c>
      <c r="DW130" s="9">
        <v>0</v>
      </c>
      <c r="DX130" s="9">
        <v>0</v>
      </c>
      <c r="DY130" s="9">
        <v>0</v>
      </c>
      <c r="DZ130" s="9">
        <v>0</v>
      </c>
      <c r="EA130" s="9">
        <v>1</v>
      </c>
      <c r="EB130" s="9">
        <v>0</v>
      </c>
      <c r="EC130" s="9">
        <v>0</v>
      </c>
      <c r="ED130" s="9">
        <v>0</v>
      </c>
      <c r="EE130" s="9">
        <v>0</v>
      </c>
      <c r="EF130" s="9">
        <v>0</v>
      </c>
      <c r="EG130" s="9">
        <v>0</v>
      </c>
      <c r="EH130" s="9">
        <v>0</v>
      </c>
      <c r="EI130" s="10">
        <v>0</v>
      </c>
    </row>
    <row r="131" spans="1:139" x14ac:dyDescent="0.35">
      <c r="A131" s="8" t="s">
        <v>174</v>
      </c>
      <c r="B131" s="9" t="s">
        <v>233</v>
      </c>
      <c r="C131" s="9" t="s">
        <v>234</v>
      </c>
      <c r="D131" s="9">
        <f t="shared" ref="D131:D194" si="2">SUM(E131:EI131)</f>
        <v>186</v>
      </c>
      <c r="E131" s="9">
        <v>9</v>
      </c>
      <c r="F131" s="9">
        <v>12</v>
      </c>
      <c r="G131" s="9">
        <v>0</v>
      </c>
      <c r="H131" s="9">
        <v>0</v>
      </c>
      <c r="I131" s="9">
        <v>0</v>
      </c>
      <c r="J131" s="9">
        <v>0</v>
      </c>
      <c r="K131" s="9">
        <v>0</v>
      </c>
      <c r="L131" s="9">
        <v>0</v>
      </c>
      <c r="M131" s="9">
        <v>0</v>
      </c>
      <c r="N131" s="9">
        <v>0</v>
      </c>
      <c r="O131" s="9">
        <v>1</v>
      </c>
      <c r="P131" s="9">
        <v>0</v>
      </c>
      <c r="Q131" s="9">
        <v>0</v>
      </c>
      <c r="R131" s="9">
        <v>0</v>
      </c>
      <c r="S131" s="9">
        <v>0</v>
      </c>
      <c r="T131" s="9">
        <v>0</v>
      </c>
      <c r="U131" s="9">
        <v>0</v>
      </c>
      <c r="V131" s="9">
        <v>0</v>
      </c>
      <c r="W131" s="9">
        <v>0</v>
      </c>
      <c r="X131" s="9">
        <v>0</v>
      </c>
      <c r="Y131" s="9">
        <v>0</v>
      </c>
      <c r="Z131" s="9">
        <v>0</v>
      </c>
      <c r="AA131" s="9">
        <v>0</v>
      </c>
      <c r="AB131" s="9">
        <v>0</v>
      </c>
      <c r="AC131" s="9">
        <v>0</v>
      </c>
      <c r="AD131" s="9">
        <v>0</v>
      </c>
      <c r="AE131" s="9">
        <v>0</v>
      </c>
      <c r="AF131" s="9">
        <v>0</v>
      </c>
      <c r="AG131" s="9">
        <v>0</v>
      </c>
      <c r="AH131" s="9">
        <v>0</v>
      </c>
      <c r="AI131" s="9">
        <v>0</v>
      </c>
      <c r="AJ131" s="9">
        <v>0</v>
      </c>
      <c r="AK131" s="9">
        <v>0</v>
      </c>
      <c r="AL131" s="9">
        <v>2</v>
      </c>
      <c r="AM131" s="9">
        <v>2</v>
      </c>
      <c r="AN131" s="9">
        <v>0</v>
      </c>
      <c r="AO131" s="9">
        <v>0</v>
      </c>
      <c r="AP131" s="9">
        <v>0</v>
      </c>
      <c r="AQ131" s="9">
        <v>0</v>
      </c>
      <c r="AR131" s="9">
        <v>0</v>
      </c>
      <c r="AS131" s="9">
        <v>0</v>
      </c>
      <c r="AT131" s="9">
        <v>0</v>
      </c>
      <c r="AU131" s="9">
        <v>0</v>
      </c>
      <c r="AV131" s="9">
        <v>0</v>
      </c>
      <c r="AW131" s="9">
        <v>9</v>
      </c>
      <c r="AX131" s="9">
        <v>0</v>
      </c>
      <c r="AY131" s="9">
        <v>0</v>
      </c>
      <c r="AZ131" s="9">
        <v>3</v>
      </c>
      <c r="BA131" s="9">
        <v>2</v>
      </c>
      <c r="BB131" s="9">
        <v>1</v>
      </c>
      <c r="BC131" s="9">
        <v>0</v>
      </c>
      <c r="BD131" s="9">
        <v>2</v>
      </c>
      <c r="BE131" s="9">
        <v>2</v>
      </c>
      <c r="BF131" s="9">
        <v>1</v>
      </c>
      <c r="BG131" s="9">
        <v>1</v>
      </c>
      <c r="BH131" s="9">
        <v>1</v>
      </c>
      <c r="BI131" s="9">
        <v>8</v>
      </c>
      <c r="BJ131" s="9">
        <v>3</v>
      </c>
      <c r="BK131" s="9">
        <v>1</v>
      </c>
      <c r="BL131" s="9">
        <v>1</v>
      </c>
      <c r="BM131" s="9">
        <v>2</v>
      </c>
      <c r="BN131" s="9">
        <v>6</v>
      </c>
      <c r="BO131" s="9">
        <v>4</v>
      </c>
      <c r="BP131" s="9">
        <v>2</v>
      </c>
      <c r="BQ131" s="9">
        <v>4</v>
      </c>
      <c r="BR131" s="9">
        <v>3</v>
      </c>
      <c r="BS131" s="9">
        <v>0</v>
      </c>
      <c r="BT131" s="9">
        <v>2</v>
      </c>
      <c r="BU131" s="9">
        <v>4</v>
      </c>
      <c r="BV131" s="9">
        <v>2</v>
      </c>
      <c r="BW131" s="9">
        <v>0</v>
      </c>
      <c r="BX131" s="9">
        <v>1</v>
      </c>
      <c r="BY131" s="9">
        <v>2</v>
      </c>
      <c r="BZ131" s="9">
        <v>2</v>
      </c>
      <c r="CA131" s="9">
        <v>1</v>
      </c>
      <c r="CB131" s="9">
        <v>2</v>
      </c>
      <c r="CC131" s="9">
        <v>4</v>
      </c>
      <c r="CD131" s="9">
        <v>2</v>
      </c>
      <c r="CE131" s="9">
        <v>1</v>
      </c>
      <c r="CF131" s="9">
        <v>1</v>
      </c>
      <c r="CG131" s="9">
        <v>0</v>
      </c>
      <c r="CH131" s="9">
        <v>1</v>
      </c>
      <c r="CI131" s="9">
        <v>2</v>
      </c>
      <c r="CJ131" s="9">
        <v>2</v>
      </c>
      <c r="CK131" s="9">
        <v>3</v>
      </c>
      <c r="CL131" s="9">
        <v>3</v>
      </c>
      <c r="CM131" s="9">
        <v>3</v>
      </c>
      <c r="CN131" s="9">
        <v>2</v>
      </c>
      <c r="CO131" s="9">
        <v>0</v>
      </c>
      <c r="CP131" s="9">
        <v>1</v>
      </c>
      <c r="CQ131" s="9">
        <v>1</v>
      </c>
      <c r="CR131" s="9">
        <v>1</v>
      </c>
      <c r="CS131" s="9">
        <v>5</v>
      </c>
      <c r="CT131" s="9">
        <v>0</v>
      </c>
      <c r="CU131" s="9">
        <v>2</v>
      </c>
      <c r="CV131" s="9">
        <v>1</v>
      </c>
      <c r="CW131" s="9">
        <v>3</v>
      </c>
      <c r="CX131" s="9">
        <v>3</v>
      </c>
      <c r="CY131" s="9">
        <v>1</v>
      </c>
      <c r="CZ131" s="9">
        <v>5</v>
      </c>
      <c r="DA131" s="9">
        <v>0</v>
      </c>
      <c r="DB131" s="9">
        <v>1</v>
      </c>
      <c r="DC131" s="9">
        <v>1</v>
      </c>
      <c r="DD131" s="9">
        <v>2</v>
      </c>
      <c r="DE131" s="9">
        <v>2</v>
      </c>
      <c r="DF131" s="9">
        <v>2</v>
      </c>
      <c r="DG131" s="9">
        <v>2</v>
      </c>
      <c r="DH131" s="9">
        <v>1</v>
      </c>
      <c r="DI131" s="9">
        <v>3</v>
      </c>
      <c r="DJ131" s="9">
        <v>0</v>
      </c>
      <c r="DK131" s="9">
        <v>2</v>
      </c>
      <c r="DL131" s="9">
        <v>2</v>
      </c>
      <c r="DM131" s="9">
        <v>0</v>
      </c>
      <c r="DN131" s="9">
        <v>2</v>
      </c>
      <c r="DO131" s="9">
        <v>2</v>
      </c>
      <c r="DP131" s="9">
        <v>0</v>
      </c>
      <c r="DQ131" s="9">
        <v>1</v>
      </c>
      <c r="DR131" s="9">
        <v>1</v>
      </c>
      <c r="DS131" s="9">
        <v>1</v>
      </c>
      <c r="DT131" s="9">
        <v>1</v>
      </c>
      <c r="DU131" s="9">
        <v>1</v>
      </c>
      <c r="DV131" s="9">
        <v>1</v>
      </c>
      <c r="DW131" s="9">
        <v>0</v>
      </c>
      <c r="DX131" s="9">
        <v>0</v>
      </c>
      <c r="DY131" s="9">
        <v>1</v>
      </c>
      <c r="DZ131" s="9">
        <v>1</v>
      </c>
      <c r="EA131" s="9">
        <v>2</v>
      </c>
      <c r="EB131" s="9">
        <v>2</v>
      </c>
      <c r="EC131" s="9">
        <v>0</v>
      </c>
      <c r="ED131" s="9">
        <v>0</v>
      </c>
      <c r="EE131" s="9">
        <v>1</v>
      </c>
      <c r="EF131" s="9">
        <v>1</v>
      </c>
      <c r="EG131" s="9">
        <v>1</v>
      </c>
      <c r="EH131" s="9">
        <v>1</v>
      </c>
      <c r="EI131" s="10">
        <v>3</v>
      </c>
    </row>
    <row r="132" spans="1:139" x14ac:dyDescent="0.35">
      <c r="A132" s="8" t="s">
        <v>174</v>
      </c>
      <c r="B132" s="9" t="s">
        <v>235</v>
      </c>
      <c r="C132" s="9" t="s">
        <v>236</v>
      </c>
      <c r="D132" s="9">
        <f t="shared" si="2"/>
        <v>49</v>
      </c>
      <c r="E132" s="9">
        <v>0</v>
      </c>
      <c r="F132" s="9">
        <v>0</v>
      </c>
      <c r="G132" s="9">
        <v>0</v>
      </c>
      <c r="H132" s="9">
        <v>0</v>
      </c>
      <c r="I132" s="9">
        <v>0</v>
      </c>
      <c r="J132" s="9">
        <v>0</v>
      </c>
      <c r="K132" s="9">
        <v>0</v>
      </c>
      <c r="L132" s="9">
        <v>0</v>
      </c>
      <c r="M132" s="9">
        <v>0</v>
      </c>
      <c r="N132" s="9">
        <v>0</v>
      </c>
      <c r="O132" s="9">
        <v>0</v>
      </c>
      <c r="P132" s="9">
        <v>1</v>
      </c>
      <c r="Q132" s="9">
        <v>0</v>
      </c>
      <c r="R132" s="9">
        <v>1</v>
      </c>
      <c r="S132" s="9">
        <v>1</v>
      </c>
      <c r="T132" s="9">
        <v>0</v>
      </c>
      <c r="U132" s="9">
        <v>0</v>
      </c>
      <c r="V132" s="9">
        <v>1</v>
      </c>
      <c r="W132" s="9">
        <v>0</v>
      </c>
      <c r="X132" s="9">
        <v>0</v>
      </c>
      <c r="Y132" s="9">
        <v>3</v>
      </c>
      <c r="Z132" s="9">
        <v>0</v>
      </c>
      <c r="AA132" s="9">
        <v>2</v>
      </c>
      <c r="AB132" s="9">
        <v>0</v>
      </c>
      <c r="AC132" s="9">
        <v>1</v>
      </c>
      <c r="AD132" s="9">
        <v>1</v>
      </c>
      <c r="AE132" s="9">
        <v>1</v>
      </c>
      <c r="AF132" s="9">
        <v>2</v>
      </c>
      <c r="AG132" s="9">
        <v>1</v>
      </c>
      <c r="AH132" s="9">
        <v>0</v>
      </c>
      <c r="AI132" s="9">
        <v>1</v>
      </c>
      <c r="AJ132" s="9">
        <v>0</v>
      </c>
      <c r="AK132" s="9">
        <v>0</v>
      </c>
      <c r="AL132" s="9">
        <v>0</v>
      </c>
      <c r="AM132" s="9">
        <v>0</v>
      </c>
      <c r="AN132" s="9">
        <v>2</v>
      </c>
      <c r="AO132" s="9">
        <v>0</v>
      </c>
      <c r="AP132" s="9">
        <v>1</v>
      </c>
      <c r="AQ132" s="9">
        <v>1</v>
      </c>
      <c r="AR132" s="9">
        <v>2</v>
      </c>
      <c r="AS132" s="9">
        <v>0</v>
      </c>
      <c r="AT132" s="9">
        <v>0</v>
      </c>
      <c r="AU132" s="9">
        <v>0</v>
      </c>
      <c r="AV132" s="9">
        <v>2</v>
      </c>
      <c r="AW132" s="9">
        <v>4</v>
      </c>
      <c r="AX132" s="9">
        <v>0</v>
      </c>
      <c r="AY132" s="9">
        <v>0</v>
      </c>
      <c r="AZ132" s="9">
        <v>0</v>
      </c>
      <c r="BA132" s="9">
        <v>1</v>
      </c>
      <c r="BB132" s="9">
        <v>0</v>
      </c>
      <c r="BC132" s="9">
        <v>0</v>
      </c>
      <c r="BD132" s="9">
        <v>0</v>
      </c>
      <c r="BE132" s="9">
        <v>0</v>
      </c>
      <c r="BF132" s="9">
        <v>1</v>
      </c>
      <c r="BG132" s="9">
        <v>1</v>
      </c>
      <c r="BH132" s="9">
        <v>0</v>
      </c>
      <c r="BI132" s="9">
        <v>0</v>
      </c>
      <c r="BJ132" s="9">
        <v>3</v>
      </c>
      <c r="BK132" s="9">
        <v>0</v>
      </c>
      <c r="BL132" s="9">
        <v>1</v>
      </c>
      <c r="BM132" s="9">
        <v>0</v>
      </c>
      <c r="BN132" s="9">
        <v>0</v>
      </c>
      <c r="BO132" s="9">
        <v>0</v>
      </c>
      <c r="BP132" s="9">
        <v>2</v>
      </c>
      <c r="BQ132" s="9">
        <v>0</v>
      </c>
      <c r="BR132" s="9">
        <v>0</v>
      </c>
      <c r="BS132" s="9">
        <v>0</v>
      </c>
      <c r="BT132" s="9">
        <v>0</v>
      </c>
      <c r="BU132" s="9">
        <v>1</v>
      </c>
      <c r="BV132" s="9">
        <v>1</v>
      </c>
      <c r="BW132" s="9">
        <v>0</v>
      </c>
      <c r="BX132" s="9">
        <v>1</v>
      </c>
      <c r="BY132" s="9">
        <v>0</v>
      </c>
      <c r="BZ132" s="9">
        <v>0</v>
      </c>
      <c r="CA132" s="9">
        <v>0</v>
      </c>
      <c r="CB132" s="9">
        <v>0</v>
      </c>
      <c r="CC132" s="9">
        <v>0</v>
      </c>
      <c r="CD132" s="9">
        <v>0</v>
      </c>
      <c r="CE132" s="9">
        <v>0</v>
      </c>
      <c r="CF132" s="9">
        <v>0</v>
      </c>
      <c r="CG132" s="9">
        <v>1</v>
      </c>
      <c r="CH132" s="9">
        <v>0</v>
      </c>
      <c r="CI132" s="9">
        <v>1</v>
      </c>
      <c r="CJ132" s="9">
        <v>0</v>
      </c>
      <c r="CK132" s="9">
        <v>0</v>
      </c>
      <c r="CL132" s="9">
        <v>0</v>
      </c>
      <c r="CM132" s="9">
        <v>0</v>
      </c>
      <c r="CN132" s="9">
        <v>0</v>
      </c>
      <c r="CO132" s="9">
        <v>0</v>
      </c>
      <c r="CP132" s="9">
        <v>0</v>
      </c>
      <c r="CQ132" s="9">
        <v>0</v>
      </c>
      <c r="CR132" s="9">
        <v>1</v>
      </c>
      <c r="CS132" s="9">
        <v>0</v>
      </c>
      <c r="CT132" s="9">
        <v>0</v>
      </c>
      <c r="CU132" s="9">
        <v>0</v>
      </c>
      <c r="CV132" s="9">
        <v>0</v>
      </c>
      <c r="CW132" s="9">
        <v>0</v>
      </c>
      <c r="CX132" s="9">
        <v>1</v>
      </c>
      <c r="CY132" s="9">
        <v>0</v>
      </c>
      <c r="CZ132" s="9">
        <v>0</v>
      </c>
      <c r="DA132" s="9">
        <v>0</v>
      </c>
      <c r="DB132" s="9">
        <v>0</v>
      </c>
      <c r="DC132" s="9">
        <v>0</v>
      </c>
      <c r="DD132" s="9">
        <v>0</v>
      </c>
      <c r="DE132" s="9">
        <v>0</v>
      </c>
      <c r="DF132" s="9">
        <v>0</v>
      </c>
      <c r="DG132" s="9">
        <v>0</v>
      </c>
      <c r="DH132" s="9">
        <v>0</v>
      </c>
      <c r="DI132" s="9">
        <v>0</v>
      </c>
      <c r="DJ132" s="9">
        <v>0</v>
      </c>
      <c r="DK132" s="9">
        <v>0</v>
      </c>
      <c r="DL132" s="9">
        <v>0</v>
      </c>
      <c r="DM132" s="9">
        <v>1</v>
      </c>
      <c r="DN132" s="9">
        <v>0</v>
      </c>
      <c r="DO132" s="9">
        <v>0</v>
      </c>
      <c r="DP132" s="9">
        <v>1</v>
      </c>
      <c r="DQ132" s="9">
        <v>0</v>
      </c>
      <c r="DR132" s="9">
        <v>0</v>
      </c>
      <c r="DS132" s="9">
        <v>1</v>
      </c>
      <c r="DT132" s="9">
        <v>2</v>
      </c>
      <c r="DU132" s="9">
        <v>0</v>
      </c>
      <c r="DV132" s="9">
        <v>0</v>
      </c>
      <c r="DW132" s="9">
        <v>0</v>
      </c>
      <c r="DX132" s="9">
        <v>0</v>
      </c>
      <c r="DY132" s="9">
        <v>0</v>
      </c>
      <c r="DZ132" s="9">
        <v>0</v>
      </c>
      <c r="EA132" s="9">
        <v>0</v>
      </c>
      <c r="EB132" s="9">
        <v>0</v>
      </c>
      <c r="EC132" s="9">
        <v>0</v>
      </c>
      <c r="ED132" s="9">
        <v>0</v>
      </c>
      <c r="EE132" s="9">
        <v>0</v>
      </c>
      <c r="EF132" s="9">
        <v>0</v>
      </c>
      <c r="EG132" s="9">
        <v>0</v>
      </c>
      <c r="EH132" s="9">
        <v>0</v>
      </c>
      <c r="EI132" s="10">
        <v>0</v>
      </c>
    </row>
    <row r="133" spans="1:139" x14ac:dyDescent="0.35">
      <c r="A133" s="8" t="s">
        <v>174</v>
      </c>
      <c r="B133" s="9" t="s">
        <v>237</v>
      </c>
      <c r="C133" s="9" t="s">
        <v>238</v>
      </c>
      <c r="D133" s="9">
        <f t="shared" si="2"/>
        <v>94</v>
      </c>
      <c r="E133" s="9">
        <v>0</v>
      </c>
      <c r="F133" s="9">
        <v>0</v>
      </c>
      <c r="G133" s="9">
        <v>0</v>
      </c>
      <c r="H133" s="9">
        <v>0</v>
      </c>
      <c r="I133" s="9">
        <v>0</v>
      </c>
      <c r="J133" s="9">
        <v>0</v>
      </c>
      <c r="K133" s="9">
        <v>0</v>
      </c>
      <c r="L133" s="9">
        <v>0</v>
      </c>
      <c r="M133" s="9">
        <v>0</v>
      </c>
      <c r="N133" s="9">
        <v>0</v>
      </c>
      <c r="O133" s="9">
        <v>0</v>
      </c>
      <c r="P133" s="9">
        <v>0</v>
      </c>
      <c r="Q133" s="9">
        <v>0</v>
      </c>
      <c r="R133" s="9">
        <v>0</v>
      </c>
      <c r="S133" s="9">
        <v>0</v>
      </c>
      <c r="T133" s="9">
        <v>0</v>
      </c>
      <c r="U133" s="9">
        <v>0</v>
      </c>
      <c r="V133" s="9">
        <v>12</v>
      </c>
      <c r="W133" s="9">
        <v>0</v>
      </c>
      <c r="X133" s="9">
        <v>0</v>
      </c>
      <c r="Y133" s="9">
        <v>0</v>
      </c>
      <c r="Z133" s="9">
        <v>0</v>
      </c>
      <c r="AA133" s="9">
        <v>0</v>
      </c>
      <c r="AB133" s="9">
        <v>0</v>
      </c>
      <c r="AC133" s="9">
        <v>0</v>
      </c>
      <c r="AD133" s="9">
        <v>0</v>
      </c>
      <c r="AE133" s="9">
        <v>0</v>
      </c>
      <c r="AF133" s="9">
        <v>0</v>
      </c>
      <c r="AG133" s="9">
        <v>0</v>
      </c>
      <c r="AH133" s="9">
        <v>0</v>
      </c>
      <c r="AI133" s="9">
        <v>0</v>
      </c>
      <c r="AJ133" s="9">
        <v>0</v>
      </c>
      <c r="AK133" s="9">
        <v>0</v>
      </c>
      <c r="AL133" s="9">
        <v>0</v>
      </c>
      <c r="AM133" s="9">
        <v>0</v>
      </c>
      <c r="AN133" s="9">
        <v>0</v>
      </c>
      <c r="AO133" s="9">
        <v>0</v>
      </c>
      <c r="AP133" s="9">
        <v>0</v>
      </c>
      <c r="AQ133" s="9">
        <v>0</v>
      </c>
      <c r="AR133" s="9">
        <v>0</v>
      </c>
      <c r="AS133" s="9">
        <v>0</v>
      </c>
      <c r="AT133" s="9">
        <v>0</v>
      </c>
      <c r="AU133" s="9">
        <v>0</v>
      </c>
      <c r="AV133" s="9">
        <v>0</v>
      </c>
      <c r="AW133" s="9">
        <v>0</v>
      </c>
      <c r="AX133" s="9">
        <v>0</v>
      </c>
      <c r="AY133" s="9">
        <v>0</v>
      </c>
      <c r="AZ133" s="9">
        <v>0</v>
      </c>
      <c r="BA133" s="9">
        <v>0</v>
      </c>
      <c r="BB133" s="9">
        <v>0</v>
      </c>
      <c r="BC133" s="9">
        <v>0</v>
      </c>
      <c r="BD133" s="9">
        <v>0</v>
      </c>
      <c r="BE133" s="9">
        <v>0</v>
      </c>
      <c r="BF133" s="9">
        <v>0</v>
      </c>
      <c r="BG133" s="9">
        <v>0</v>
      </c>
      <c r="BH133" s="9">
        <v>0</v>
      </c>
      <c r="BI133" s="9">
        <v>0</v>
      </c>
      <c r="BJ133" s="9">
        <v>0</v>
      </c>
      <c r="BK133" s="9">
        <v>2</v>
      </c>
      <c r="BL133" s="9">
        <v>1</v>
      </c>
      <c r="BM133" s="9">
        <v>0</v>
      </c>
      <c r="BN133" s="9">
        <v>1</v>
      </c>
      <c r="BO133" s="9">
        <v>1</v>
      </c>
      <c r="BP133" s="9">
        <v>3</v>
      </c>
      <c r="BQ133" s="9">
        <v>2</v>
      </c>
      <c r="BR133" s="9">
        <v>5</v>
      </c>
      <c r="BS133" s="9">
        <v>2</v>
      </c>
      <c r="BT133" s="9">
        <v>5</v>
      </c>
      <c r="BU133" s="9">
        <v>3</v>
      </c>
      <c r="BV133" s="9">
        <v>4</v>
      </c>
      <c r="BW133" s="9">
        <v>0</v>
      </c>
      <c r="BX133" s="9">
        <v>0</v>
      </c>
      <c r="BY133" s="9">
        <v>1</v>
      </c>
      <c r="BZ133" s="9">
        <v>1</v>
      </c>
      <c r="CA133" s="9">
        <v>1</v>
      </c>
      <c r="CB133" s="9">
        <v>0</v>
      </c>
      <c r="CC133" s="9">
        <v>0</v>
      </c>
      <c r="CD133" s="9">
        <v>1</v>
      </c>
      <c r="CE133" s="9">
        <v>1</v>
      </c>
      <c r="CF133" s="9">
        <v>2</v>
      </c>
      <c r="CG133" s="9">
        <v>4</v>
      </c>
      <c r="CH133" s="9">
        <v>2</v>
      </c>
      <c r="CI133" s="9">
        <v>1</v>
      </c>
      <c r="CJ133" s="9">
        <v>2</v>
      </c>
      <c r="CK133" s="9">
        <v>0</v>
      </c>
      <c r="CL133" s="9">
        <v>1</v>
      </c>
      <c r="CM133" s="9">
        <v>3</v>
      </c>
      <c r="CN133" s="9">
        <v>2</v>
      </c>
      <c r="CO133" s="9">
        <v>2</v>
      </c>
      <c r="CP133" s="9">
        <v>0</v>
      </c>
      <c r="CQ133" s="9">
        <v>2</v>
      </c>
      <c r="CR133" s="9">
        <v>0</v>
      </c>
      <c r="CS133" s="9">
        <v>2</v>
      </c>
      <c r="CT133" s="9">
        <v>1</v>
      </c>
      <c r="CU133" s="9">
        <v>2</v>
      </c>
      <c r="CV133" s="9">
        <v>1</v>
      </c>
      <c r="CW133" s="9">
        <v>2</v>
      </c>
      <c r="CX133" s="9">
        <v>1</v>
      </c>
      <c r="CY133" s="9">
        <v>3</v>
      </c>
      <c r="CZ133" s="9">
        <v>4</v>
      </c>
      <c r="DA133" s="9">
        <v>0</v>
      </c>
      <c r="DB133" s="9">
        <v>3</v>
      </c>
      <c r="DC133" s="9">
        <v>1</v>
      </c>
      <c r="DD133" s="9">
        <v>0</v>
      </c>
      <c r="DE133" s="9">
        <v>0</v>
      </c>
      <c r="DF133" s="9">
        <v>1</v>
      </c>
      <c r="DG133" s="9">
        <v>0</v>
      </c>
      <c r="DH133" s="9">
        <v>0</v>
      </c>
      <c r="DI133" s="9">
        <v>0</v>
      </c>
      <c r="DJ133" s="9">
        <v>0</v>
      </c>
      <c r="DK133" s="9">
        <v>1</v>
      </c>
      <c r="DL133" s="9">
        <v>1</v>
      </c>
      <c r="DM133" s="9">
        <v>0</v>
      </c>
      <c r="DN133" s="9">
        <v>0</v>
      </c>
      <c r="DO133" s="9">
        <v>0</v>
      </c>
      <c r="DP133" s="9">
        <v>0</v>
      </c>
      <c r="DQ133" s="9">
        <v>0</v>
      </c>
      <c r="DR133" s="9">
        <v>0</v>
      </c>
      <c r="DS133" s="9">
        <v>0</v>
      </c>
      <c r="DT133" s="9">
        <v>1</v>
      </c>
      <c r="DU133" s="9">
        <v>0</v>
      </c>
      <c r="DV133" s="9">
        <v>0</v>
      </c>
      <c r="DW133" s="9">
        <v>0</v>
      </c>
      <c r="DX133" s="9">
        <v>1</v>
      </c>
      <c r="DY133" s="9">
        <v>0</v>
      </c>
      <c r="DZ133" s="9">
        <v>0</v>
      </c>
      <c r="EA133" s="9">
        <v>0</v>
      </c>
      <c r="EB133" s="9">
        <v>0</v>
      </c>
      <c r="EC133" s="9">
        <v>0</v>
      </c>
      <c r="ED133" s="9">
        <v>0</v>
      </c>
      <c r="EE133" s="9">
        <v>0</v>
      </c>
      <c r="EF133" s="9">
        <v>2</v>
      </c>
      <c r="EG133" s="9">
        <v>0</v>
      </c>
      <c r="EH133" s="9">
        <v>0</v>
      </c>
      <c r="EI133" s="10">
        <v>0</v>
      </c>
    </row>
    <row r="134" spans="1:139" x14ac:dyDescent="0.35">
      <c r="A134" s="8" t="s">
        <v>174</v>
      </c>
      <c r="B134" s="9" t="s">
        <v>239</v>
      </c>
      <c r="C134" s="9" t="s">
        <v>240</v>
      </c>
      <c r="D134" s="9">
        <f t="shared" si="2"/>
        <v>78</v>
      </c>
      <c r="E134" s="9">
        <v>0</v>
      </c>
      <c r="F134" s="9">
        <v>0</v>
      </c>
      <c r="G134" s="9">
        <v>0</v>
      </c>
      <c r="H134" s="9">
        <v>0</v>
      </c>
      <c r="I134" s="9">
        <v>1</v>
      </c>
      <c r="J134" s="9">
        <v>0</v>
      </c>
      <c r="K134" s="9">
        <v>0</v>
      </c>
      <c r="L134" s="9">
        <v>0</v>
      </c>
      <c r="M134" s="9">
        <v>0</v>
      </c>
      <c r="N134" s="9">
        <v>0</v>
      </c>
      <c r="O134" s="9">
        <v>0</v>
      </c>
      <c r="P134" s="9">
        <v>0</v>
      </c>
      <c r="Q134" s="9">
        <v>0</v>
      </c>
      <c r="R134" s="9">
        <v>0</v>
      </c>
      <c r="S134" s="9">
        <v>0</v>
      </c>
      <c r="T134" s="9">
        <v>0</v>
      </c>
      <c r="U134" s="9">
        <v>0</v>
      </c>
      <c r="V134" s="9">
        <v>0</v>
      </c>
      <c r="W134" s="9">
        <v>0</v>
      </c>
      <c r="X134" s="9">
        <v>0</v>
      </c>
      <c r="Y134" s="9">
        <v>0</v>
      </c>
      <c r="Z134" s="9">
        <v>0</v>
      </c>
      <c r="AA134" s="9">
        <v>1</v>
      </c>
      <c r="AB134" s="9">
        <v>0</v>
      </c>
      <c r="AC134" s="9">
        <v>0</v>
      </c>
      <c r="AD134" s="9">
        <v>0</v>
      </c>
      <c r="AE134" s="9">
        <v>0</v>
      </c>
      <c r="AF134" s="9">
        <v>3</v>
      </c>
      <c r="AG134" s="9">
        <v>2</v>
      </c>
      <c r="AH134" s="9">
        <v>0</v>
      </c>
      <c r="AI134" s="9">
        <v>0</v>
      </c>
      <c r="AJ134" s="9">
        <v>2</v>
      </c>
      <c r="AK134" s="9">
        <v>0</v>
      </c>
      <c r="AL134" s="9">
        <v>2</v>
      </c>
      <c r="AM134" s="9">
        <v>1</v>
      </c>
      <c r="AN134" s="9">
        <v>4</v>
      </c>
      <c r="AO134" s="9">
        <v>0</v>
      </c>
      <c r="AP134" s="9">
        <v>4</v>
      </c>
      <c r="AQ134" s="9">
        <v>0</v>
      </c>
      <c r="AR134" s="9">
        <v>1</v>
      </c>
      <c r="AS134" s="9">
        <v>1</v>
      </c>
      <c r="AT134" s="9">
        <v>2</v>
      </c>
      <c r="AU134" s="9">
        <v>2</v>
      </c>
      <c r="AV134" s="9">
        <v>2</v>
      </c>
      <c r="AW134" s="9">
        <v>0</v>
      </c>
      <c r="AX134" s="9">
        <v>1</v>
      </c>
      <c r="AY134" s="9">
        <v>4</v>
      </c>
      <c r="AZ134" s="9">
        <v>2</v>
      </c>
      <c r="BA134" s="9">
        <v>3</v>
      </c>
      <c r="BB134" s="9">
        <v>2</v>
      </c>
      <c r="BC134" s="9">
        <v>4</v>
      </c>
      <c r="BD134" s="9">
        <v>4</v>
      </c>
      <c r="BE134" s="9">
        <v>1</v>
      </c>
      <c r="BF134" s="9">
        <v>2</v>
      </c>
      <c r="BG134" s="9">
        <v>2</v>
      </c>
      <c r="BH134" s="9">
        <v>0</v>
      </c>
      <c r="BI134" s="9">
        <v>3</v>
      </c>
      <c r="BJ134" s="9">
        <v>0</v>
      </c>
      <c r="BK134" s="9">
        <v>0</v>
      </c>
      <c r="BL134" s="9">
        <v>1</v>
      </c>
      <c r="BM134" s="9">
        <v>1</v>
      </c>
      <c r="BN134" s="9">
        <v>1</v>
      </c>
      <c r="BO134" s="9">
        <v>1</v>
      </c>
      <c r="BP134" s="9">
        <v>4</v>
      </c>
      <c r="BQ134" s="9">
        <v>2</v>
      </c>
      <c r="BR134" s="9">
        <v>0</v>
      </c>
      <c r="BS134" s="9">
        <v>1</v>
      </c>
      <c r="BT134" s="9">
        <v>0</v>
      </c>
      <c r="BU134" s="9">
        <v>0</v>
      </c>
      <c r="BV134" s="9">
        <v>1</v>
      </c>
      <c r="BW134" s="9">
        <v>2</v>
      </c>
      <c r="BX134" s="9">
        <v>0</v>
      </c>
      <c r="BY134" s="9">
        <v>0</v>
      </c>
      <c r="BZ134" s="9">
        <v>0</v>
      </c>
      <c r="CA134" s="9">
        <v>0</v>
      </c>
      <c r="CB134" s="9">
        <v>1</v>
      </c>
      <c r="CC134" s="9">
        <v>0</v>
      </c>
      <c r="CD134" s="9">
        <v>0</v>
      </c>
      <c r="CE134" s="9">
        <v>1</v>
      </c>
      <c r="CF134" s="9">
        <v>0</v>
      </c>
      <c r="CG134" s="9">
        <v>0</v>
      </c>
      <c r="CH134" s="9">
        <v>2</v>
      </c>
      <c r="CI134" s="9">
        <v>0</v>
      </c>
      <c r="CJ134" s="9">
        <v>0</v>
      </c>
      <c r="CK134" s="9">
        <v>0</v>
      </c>
      <c r="CL134" s="9">
        <v>0</v>
      </c>
      <c r="CM134" s="9">
        <v>0</v>
      </c>
      <c r="CN134" s="9">
        <v>0</v>
      </c>
      <c r="CO134" s="9">
        <v>0</v>
      </c>
      <c r="CP134" s="9">
        <v>0</v>
      </c>
      <c r="CQ134" s="9">
        <v>0</v>
      </c>
      <c r="CR134" s="9">
        <v>0</v>
      </c>
      <c r="CS134" s="9">
        <v>0</v>
      </c>
      <c r="CT134" s="9">
        <v>0</v>
      </c>
      <c r="CU134" s="9">
        <v>1</v>
      </c>
      <c r="CV134" s="9">
        <v>0</v>
      </c>
      <c r="CW134" s="9">
        <v>0</v>
      </c>
      <c r="CX134" s="9">
        <v>0</v>
      </c>
      <c r="CY134" s="9">
        <v>1</v>
      </c>
      <c r="CZ134" s="9">
        <v>0</v>
      </c>
      <c r="DA134" s="9">
        <v>0</v>
      </c>
      <c r="DB134" s="9">
        <v>0</v>
      </c>
      <c r="DC134" s="9">
        <v>0</v>
      </c>
      <c r="DD134" s="9">
        <v>0</v>
      </c>
      <c r="DE134" s="9">
        <v>0</v>
      </c>
      <c r="DF134" s="9">
        <v>0</v>
      </c>
      <c r="DG134" s="9">
        <v>0</v>
      </c>
      <c r="DH134" s="9">
        <v>0</v>
      </c>
      <c r="DI134" s="9">
        <v>0</v>
      </c>
      <c r="DJ134" s="9">
        <v>0</v>
      </c>
      <c r="DK134" s="9">
        <v>1</v>
      </c>
      <c r="DL134" s="9">
        <v>0</v>
      </c>
      <c r="DM134" s="9">
        <v>0</v>
      </c>
      <c r="DN134" s="9">
        <v>0</v>
      </c>
      <c r="DO134" s="9">
        <v>0</v>
      </c>
      <c r="DP134" s="9">
        <v>0</v>
      </c>
      <c r="DQ134" s="9">
        <v>0</v>
      </c>
      <c r="DR134" s="9">
        <v>0</v>
      </c>
      <c r="DS134" s="9">
        <v>0</v>
      </c>
      <c r="DT134" s="9">
        <v>0</v>
      </c>
      <c r="DU134" s="9">
        <v>0</v>
      </c>
      <c r="DV134" s="9">
        <v>0</v>
      </c>
      <c r="DW134" s="9">
        <v>0</v>
      </c>
      <c r="DX134" s="9">
        <v>0</v>
      </c>
      <c r="DY134" s="9">
        <v>0</v>
      </c>
      <c r="DZ134" s="9">
        <v>0</v>
      </c>
      <c r="EA134" s="9">
        <v>0</v>
      </c>
      <c r="EB134" s="9">
        <v>0</v>
      </c>
      <c r="EC134" s="9">
        <v>0</v>
      </c>
      <c r="ED134" s="9">
        <v>0</v>
      </c>
      <c r="EE134" s="9">
        <v>0</v>
      </c>
      <c r="EF134" s="9">
        <v>0</v>
      </c>
      <c r="EG134" s="9">
        <v>1</v>
      </c>
      <c r="EH134" s="9">
        <v>0</v>
      </c>
      <c r="EI134" s="10">
        <v>0</v>
      </c>
    </row>
    <row r="135" spans="1:139" x14ac:dyDescent="0.35">
      <c r="A135" s="8" t="s">
        <v>174</v>
      </c>
      <c r="B135" s="9" t="s">
        <v>241</v>
      </c>
      <c r="C135" s="9" t="s">
        <v>242</v>
      </c>
      <c r="D135" s="9">
        <f t="shared" si="2"/>
        <v>635</v>
      </c>
      <c r="E135" s="9">
        <v>2</v>
      </c>
      <c r="F135" s="9">
        <v>2</v>
      </c>
      <c r="G135" s="9">
        <v>3</v>
      </c>
      <c r="H135" s="9">
        <v>2</v>
      </c>
      <c r="I135" s="9">
        <v>4</v>
      </c>
      <c r="J135" s="9">
        <v>9</v>
      </c>
      <c r="K135" s="9">
        <v>7</v>
      </c>
      <c r="L135" s="9">
        <v>15</v>
      </c>
      <c r="M135" s="9">
        <v>3</v>
      </c>
      <c r="N135" s="9">
        <v>6</v>
      </c>
      <c r="O135" s="9">
        <v>9</v>
      </c>
      <c r="P135" s="9">
        <v>12</v>
      </c>
      <c r="Q135" s="9">
        <v>14</v>
      </c>
      <c r="R135" s="9">
        <v>19</v>
      </c>
      <c r="S135" s="9">
        <v>14</v>
      </c>
      <c r="T135" s="9">
        <v>15</v>
      </c>
      <c r="U135" s="9">
        <v>15</v>
      </c>
      <c r="V135" s="9">
        <v>20</v>
      </c>
      <c r="W135" s="9">
        <v>9</v>
      </c>
      <c r="X135" s="9">
        <v>14</v>
      </c>
      <c r="Y135" s="9">
        <v>12</v>
      </c>
      <c r="Z135" s="9">
        <v>18</v>
      </c>
      <c r="AA135" s="9">
        <v>13</v>
      </c>
      <c r="AB135" s="9">
        <v>16</v>
      </c>
      <c r="AC135" s="9">
        <v>12</v>
      </c>
      <c r="AD135" s="9">
        <v>16</v>
      </c>
      <c r="AE135" s="9">
        <v>8</v>
      </c>
      <c r="AF135" s="9">
        <v>6</v>
      </c>
      <c r="AG135" s="9">
        <v>9</v>
      </c>
      <c r="AH135" s="9">
        <v>3</v>
      </c>
      <c r="AI135" s="9">
        <v>8</v>
      </c>
      <c r="AJ135" s="9">
        <v>12</v>
      </c>
      <c r="AK135" s="9">
        <v>11</v>
      </c>
      <c r="AL135" s="9">
        <v>2</v>
      </c>
      <c r="AM135" s="9">
        <v>6</v>
      </c>
      <c r="AN135" s="9">
        <v>8</v>
      </c>
      <c r="AO135" s="9">
        <v>6</v>
      </c>
      <c r="AP135" s="9">
        <v>7</v>
      </c>
      <c r="AQ135" s="9">
        <v>4</v>
      </c>
      <c r="AR135" s="9">
        <v>11</v>
      </c>
      <c r="AS135" s="9">
        <v>6</v>
      </c>
      <c r="AT135" s="9">
        <v>6</v>
      </c>
      <c r="AU135" s="9">
        <v>4</v>
      </c>
      <c r="AV135" s="9">
        <v>4</v>
      </c>
      <c r="AW135" s="9">
        <v>10</v>
      </c>
      <c r="AX135" s="9">
        <v>3</v>
      </c>
      <c r="AY135" s="9">
        <v>8</v>
      </c>
      <c r="AZ135" s="9">
        <v>5</v>
      </c>
      <c r="BA135" s="9">
        <v>3</v>
      </c>
      <c r="BB135" s="9">
        <v>7</v>
      </c>
      <c r="BC135" s="9">
        <v>5</v>
      </c>
      <c r="BD135" s="9">
        <v>6</v>
      </c>
      <c r="BE135" s="9">
        <v>4</v>
      </c>
      <c r="BF135" s="9">
        <v>7</v>
      </c>
      <c r="BG135" s="9">
        <v>6</v>
      </c>
      <c r="BH135" s="9">
        <v>3</v>
      </c>
      <c r="BI135" s="9">
        <v>5</v>
      </c>
      <c r="BJ135" s="9">
        <v>7</v>
      </c>
      <c r="BK135" s="9">
        <v>6</v>
      </c>
      <c r="BL135" s="9">
        <v>5</v>
      </c>
      <c r="BM135" s="9">
        <v>10</v>
      </c>
      <c r="BN135" s="9">
        <v>4</v>
      </c>
      <c r="BO135" s="9">
        <v>3</v>
      </c>
      <c r="BP135" s="9">
        <v>3</v>
      </c>
      <c r="BQ135" s="9">
        <v>8</v>
      </c>
      <c r="BR135" s="9">
        <v>1</v>
      </c>
      <c r="BS135" s="9">
        <v>3</v>
      </c>
      <c r="BT135" s="9">
        <v>3</v>
      </c>
      <c r="BU135" s="9">
        <v>2</v>
      </c>
      <c r="BV135" s="9">
        <v>5</v>
      </c>
      <c r="BW135" s="9">
        <v>1</v>
      </c>
      <c r="BX135" s="9">
        <v>4</v>
      </c>
      <c r="BY135" s="9">
        <v>2</v>
      </c>
      <c r="BZ135" s="9">
        <v>4</v>
      </c>
      <c r="CA135" s="9">
        <v>4</v>
      </c>
      <c r="CB135" s="9">
        <v>4</v>
      </c>
      <c r="CC135" s="9">
        <v>7</v>
      </c>
      <c r="CD135" s="9">
        <v>2</v>
      </c>
      <c r="CE135" s="9">
        <v>5</v>
      </c>
      <c r="CF135" s="9">
        <v>1</v>
      </c>
      <c r="CG135" s="9">
        <v>0</v>
      </c>
      <c r="CH135" s="9">
        <v>4</v>
      </c>
      <c r="CI135" s="9">
        <v>5</v>
      </c>
      <c r="CJ135" s="9">
        <v>3</v>
      </c>
      <c r="CK135" s="9">
        <v>5</v>
      </c>
      <c r="CL135" s="9">
        <v>4</v>
      </c>
      <c r="CM135" s="9">
        <v>0</v>
      </c>
      <c r="CN135" s="9">
        <v>1</v>
      </c>
      <c r="CO135" s="9">
        <v>3</v>
      </c>
      <c r="CP135" s="9">
        <v>1</v>
      </c>
      <c r="CQ135" s="9">
        <v>0</v>
      </c>
      <c r="CR135" s="9">
        <v>4</v>
      </c>
      <c r="CS135" s="9">
        <v>4</v>
      </c>
      <c r="CT135" s="9">
        <v>3</v>
      </c>
      <c r="CU135" s="9">
        <v>3</v>
      </c>
      <c r="CV135" s="9">
        <v>7</v>
      </c>
      <c r="CW135" s="9">
        <v>5</v>
      </c>
      <c r="CX135" s="9">
        <v>1</v>
      </c>
      <c r="CY135" s="9">
        <v>2</v>
      </c>
      <c r="CZ135" s="9">
        <v>3</v>
      </c>
      <c r="DA135" s="9">
        <v>2</v>
      </c>
      <c r="DB135" s="9">
        <v>2</v>
      </c>
      <c r="DC135" s="9">
        <v>2</v>
      </c>
      <c r="DD135" s="9">
        <v>3</v>
      </c>
      <c r="DE135" s="9">
        <v>0</v>
      </c>
      <c r="DF135" s="9">
        <v>0</v>
      </c>
      <c r="DG135" s="9">
        <v>0</v>
      </c>
      <c r="DH135" s="9">
        <v>0</v>
      </c>
      <c r="DI135" s="9">
        <v>0</v>
      </c>
      <c r="DJ135" s="9">
        <v>0</v>
      </c>
      <c r="DK135" s="9">
        <v>0</v>
      </c>
      <c r="DL135" s="9">
        <v>0</v>
      </c>
      <c r="DM135" s="9">
        <v>0</v>
      </c>
      <c r="DN135" s="9">
        <v>0</v>
      </c>
      <c r="DO135" s="9">
        <v>0</v>
      </c>
      <c r="DP135" s="9">
        <v>0</v>
      </c>
      <c r="DQ135" s="9">
        <v>0</v>
      </c>
      <c r="DR135" s="9">
        <v>0</v>
      </c>
      <c r="DS135" s="9">
        <v>0</v>
      </c>
      <c r="DT135" s="9">
        <v>0</v>
      </c>
      <c r="DU135" s="9">
        <v>0</v>
      </c>
      <c r="DV135" s="9">
        <v>0</v>
      </c>
      <c r="DW135" s="9">
        <v>0</v>
      </c>
      <c r="DX135" s="9">
        <v>0</v>
      </c>
      <c r="DY135" s="9">
        <v>0</v>
      </c>
      <c r="DZ135" s="9">
        <v>0</v>
      </c>
      <c r="EA135" s="9">
        <v>0</v>
      </c>
      <c r="EB135" s="9">
        <v>0</v>
      </c>
      <c r="EC135" s="9">
        <v>0</v>
      </c>
      <c r="ED135" s="9">
        <v>0</v>
      </c>
      <c r="EE135" s="9">
        <v>0</v>
      </c>
      <c r="EF135" s="9">
        <v>0</v>
      </c>
      <c r="EG135" s="9">
        <v>0</v>
      </c>
      <c r="EH135" s="9">
        <v>0</v>
      </c>
      <c r="EI135" s="10">
        <v>0</v>
      </c>
    </row>
    <row r="136" spans="1:139" x14ac:dyDescent="0.35">
      <c r="A136" s="8" t="s">
        <v>174</v>
      </c>
      <c r="B136" s="9" t="s">
        <v>243</v>
      </c>
      <c r="C136" s="9" t="s">
        <v>244</v>
      </c>
      <c r="D136" s="9">
        <f t="shared" si="2"/>
        <v>157</v>
      </c>
      <c r="E136" s="9">
        <v>0</v>
      </c>
      <c r="F136" s="9">
        <v>0</v>
      </c>
      <c r="G136" s="9">
        <v>0</v>
      </c>
      <c r="H136" s="9">
        <v>0</v>
      </c>
      <c r="I136" s="9">
        <v>0</v>
      </c>
      <c r="J136" s="9">
        <v>0</v>
      </c>
      <c r="K136" s="9">
        <v>0</v>
      </c>
      <c r="L136" s="9">
        <v>0</v>
      </c>
      <c r="M136" s="9">
        <v>0</v>
      </c>
      <c r="N136" s="9">
        <v>0</v>
      </c>
      <c r="O136" s="9">
        <v>0</v>
      </c>
      <c r="P136" s="9">
        <v>0</v>
      </c>
      <c r="Q136" s="9">
        <v>0</v>
      </c>
      <c r="R136" s="9">
        <v>0</v>
      </c>
      <c r="S136" s="9">
        <v>0</v>
      </c>
      <c r="T136" s="9">
        <v>0</v>
      </c>
      <c r="U136" s="9">
        <v>0</v>
      </c>
      <c r="V136" s="9">
        <v>0</v>
      </c>
      <c r="W136" s="9">
        <v>0</v>
      </c>
      <c r="X136" s="9">
        <v>0</v>
      </c>
      <c r="Y136" s="9">
        <v>0</v>
      </c>
      <c r="Z136" s="9">
        <v>0</v>
      </c>
      <c r="AA136" s="9">
        <v>0</v>
      </c>
      <c r="AB136" s="9">
        <v>0</v>
      </c>
      <c r="AC136" s="9">
        <v>0</v>
      </c>
      <c r="AD136" s="9">
        <v>0</v>
      </c>
      <c r="AE136" s="9">
        <v>19</v>
      </c>
      <c r="AF136" s="9">
        <v>0</v>
      </c>
      <c r="AG136" s="9">
        <v>2</v>
      </c>
      <c r="AH136" s="9">
        <v>1</v>
      </c>
      <c r="AI136" s="9">
        <v>2</v>
      </c>
      <c r="AJ136" s="9">
        <v>0</v>
      </c>
      <c r="AK136" s="9">
        <v>3</v>
      </c>
      <c r="AL136" s="9">
        <v>4</v>
      </c>
      <c r="AM136" s="9">
        <v>3</v>
      </c>
      <c r="AN136" s="9">
        <v>0</v>
      </c>
      <c r="AO136" s="9">
        <v>2</v>
      </c>
      <c r="AP136" s="9">
        <v>1</v>
      </c>
      <c r="AQ136" s="9">
        <v>3</v>
      </c>
      <c r="AR136" s="9">
        <v>2</v>
      </c>
      <c r="AS136" s="9">
        <v>0</v>
      </c>
      <c r="AT136" s="9">
        <v>4</v>
      </c>
      <c r="AU136" s="9">
        <v>5</v>
      </c>
      <c r="AV136" s="9">
        <v>1</v>
      </c>
      <c r="AW136" s="9">
        <v>1</v>
      </c>
      <c r="AX136" s="9">
        <v>2</v>
      </c>
      <c r="AY136" s="9">
        <v>4</v>
      </c>
      <c r="AZ136" s="9">
        <v>3</v>
      </c>
      <c r="BA136" s="9">
        <v>2</v>
      </c>
      <c r="BB136" s="9">
        <v>0</v>
      </c>
      <c r="BC136" s="9">
        <v>2</v>
      </c>
      <c r="BD136" s="9">
        <v>3</v>
      </c>
      <c r="BE136" s="9">
        <v>2</v>
      </c>
      <c r="BF136" s="9">
        <v>3</v>
      </c>
      <c r="BG136" s="9">
        <v>1</v>
      </c>
      <c r="BH136" s="9">
        <v>3</v>
      </c>
      <c r="BI136" s="9">
        <v>1</v>
      </c>
      <c r="BJ136" s="9">
        <v>1</v>
      </c>
      <c r="BK136" s="9">
        <v>1</v>
      </c>
      <c r="BL136" s="9">
        <v>4</v>
      </c>
      <c r="BM136" s="9">
        <v>4</v>
      </c>
      <c r="BN136" s="9">
        <v>2</v>
      </c>
      <c r="BO136" s="9">
        <v>6</v>
      </c>
      <c r="BP136" s="9">
        <v>2</v>
      </c>
      <c r="BQ136" s="9">
        <v>0</v>
      </c>
      <c r="BR136" s="9">
        <v>1</v>
      </c>
      <c r="BS136" s="9">
        <v>1</v>
      </c>
      <c r="BT136" s="9">
        <v>2</v>
      </c>
      <c r="BU136" s="9">
        <v>3</v>
      </c>
      <c r="BV136" s="9">
        <v>0</v>
      </c>
      <c r="BW136" s="9">
        <v>2</v>
      </c>
      <c r="BX136" s="9">
        <v>2</v>
      </c>
      <c r="BY136" s="9">
        <v>1</v>
      </c>
      <c r="BZ136" s="9">
        <v>0</v>
      </c>
      <c r="CA136" s="9">
        <v>4</v>
      </c>
      <c r="CB136" s="9">
        <v>4</v>
      </c>
      <c r="CC136" s="9">
        <v>4</v>
      </c>
      <c r="CD136" s="9">
        <v>2</v>
      </c>
      <c r="CE136" s="9">
        <v>1</v>
      </c>
      <c r="CF136" s="9">
        <v>1</v>
      </c>
      <c r="CG136" s="9">
        <v>1</v>
      </c>
      <c r="CH136" s="9">
        <v>2</v>
      </c>
      <c r="CI136" s="9">
        <v>0</v>
      </c>
      <c r="CJ136" s="9">
        <v>2</v>
      </c>
      <c r="CK136" s="9">
        <v>2</v>
      </c>
      <c r="CL136" s="9">
        <v>3</v>
      </c>
      <c r="CM136" s="9">
        <v>1</v>
      </c>
      <c r="CN136" s="9">
        <v>4</v>
      </c>
      <c r="CO136" s="9">
        <v>4</v>
      </c>
      <c r="CP136" s="9">
        <v>2</v>
      </c>
      <c r="CQ136" s="9">
        <v>3</v>
      </c>
      <c r="CR136" s="9">
        <v>1</v>
      </c>
      <c r="CS136" s="9">
        <v>3</v>
      </c>
      <c r="CT136" s="9">
        <v>1</v>
      </c>
      <c r="CU136" s="9">
        <v>1</v>
      </c>
      <c r="CV136" s="9">
        <v>0</v>
      </c>
      <c r="CW136" s="9">
        <v>0</v>
      </c>
      <c r="CX136" s="9">
        <v>0</v>
      </c>
      <c r="CY136" s="9">
        <v>0</v>
      </c>
      <c r="CZ136" s="9">
        <v>0</v>
      </c>
      <c r="DA136" s="9">
        <v>0</v>
      </c>
      <c r="DB136" s="9">
        <v>0</v>
      </c>
      <c r="DC136" s="9">
        <v>0</v>
      </c>
      <c r="DD136" s="9">
        <v>0</v>
      </c>
      <c r="DE136" s="9">
        <v>0</v>
      </c>
      <c r="DF136" s="9">
        <v>0</v>
      </c>
      <c r="DG136" s="9">
        <v>0</v>
      </c>
      <c r="DH136" s="9">
        <v>0</v>
      </c>
      <c r="DI136" s="9">
        <v>0</v>
      </c>
      <c r="DJ136" s="9">
        <v>0</v>
      </c>
      <c r="DK136" s="9">
        <v>0</v>
      </c>
      <c r="DL136" s="9">
        <v>0</v>
      </c>
      <c r="DM136" s="9">
        <v>0</v>
      </c>
      <c r="DN136" s="9">
        <v>0</v>
      </c>
      <c r="DO136" s="9">
        <v>0</v>
      </c>
      <c r="DP136" s="9">
        <v>0</v>
      </c>
      <c r="DQ136" s="9">
        <v>0</v>
      </c>
      <c r="DR136" s="9">
        <v>0</v>
      </c>
      <c r="DS136" s="9">
        <v>0</v>
      </c>
      <c r="DT136" s="9">
        <v>0</v>
      </c>
      <c r="DU136" s="9">
        <v>0</v>
      </c>
      <c r="DV136" s="9">
        <v>0</v>
      </c>
      <c r="DW136" s="9">
        <v>0</v>
      </c>
      <c r="DX136" s="9">
        <v>0</v>
      </c>
      <c r="DY136" s="9">
        <v>0</v>
      </c>
      <c r="DZ136" s="9">
        <v>0</v>
      </c>
      <c r="EA136" s="9">
        <v>0</v>
      </c>
      <c r="EB136" s="9">
        <v>0</v>
      </c>
      <c r="EC136" s="9">
        <v>0</v>
      </c>
      <c r="ED136" s="9">
        <v>0</v>
      </c>
      <c r="EE136" s="9">
        <v>0</v>
      </c>
      <c r="EF136" s="9">
        <v>0</v>
      </c>
      <c r="EG136" s="9">
        <v>0</v>
      </c>
      <c r="EH136" s="9">
        <v>0</v>
      </c>
      <c r="EI136" s="10">
        <v>0</v>
      </c>
    </row>
    <row r="137" spans="1:139" x14ac:dyDescent="0.35">
      <c r="A137" s="8" t="s">
        <v>174</v>
      </c>
      <c r="B137" s="9" t="s">
        <v>245</v>
      </c>
      <c r="C137" s="9" t="s">
        <v>246</v>
      </c>
      <c r="D137" s="9">
        <f t="shared" si="2"/>
        <v>2</v>
      </c>
      <c r="E137" s="9">
        <v>0</v>
      </c>
      <c r="F137" s="9">
        <v>0</v>
      </c>
      <c r="G137" s="9">
        <v>0</v>
      </c>
      <c r="H137" s="9">
        <v>0</v>
      </c>
      <c r="I137" s="9">
        <v>0</v>
      </c>
      <c r="J137" s="9">
        <v>0</v>
      </c>
      <c r="K137" s="9">
        <v>0</v>
      </c>
      <c r="L137" s="9">
        <v>0</v>
      </c>
      <c r="M137" s="9">
        <v>0</v>
      </c>
      <c r="N137" s="9">
        <v>0</v>
      </c>
      <c r="O137" s="9">
        <v>0</v>
      </c>
      <c r="P137" s="9">
        <v>0</v>
      </c>
      <c r="Q137" s="9">
        <v>0</v>
      </c>
      <c r="R137" s="9">
        <v>0</v>
      </c>
      <c r="S137" s="9">
        <v>0</v>
      </c>
      <c r="T137" s="9">
        <v>0</v>
      </c>
      <c r="U137" s="9">
        <v>0</v>
      </c>
      <c r="V137" s="9">
        <v>0</v>
      </c>
      <c r="W137" s="9">
        <v>0</v>
      </c>
      <c r="X137" s="9">
        <v>0</v>
      </c>
      <c r="Y137" s="9">
        <v>0</v>
      </c>
      <c r="Z137" s="9">
        <v>0</v>
      </c>
      <c r="AA137" s="9">
        <v>0</v>
      </c>
      <c r="AB137" s="9">
        <v>0</v>
      </c>
      <c r="AC137" s="9">
        <v>0</v>
      </c>
      <c r="AD137" s="9">
        <v>0</v>
      </c>
      <c r="AE137" s="9">
        <v>0</v>
      </c>
      <c r="AF137" s="9">
        <v>0</v>
      </c>
      <c r="AG137" s="9">
        <v>0</v>
      </c>
      <c r="AH137" s="9">
        <v>0</v>
      </c>
      <c r="AI137" s="9">
        <v>0</v>
      </c>
      <c r="AJ137" s="9">
        <v>0</v>
      </c>
      <c r="AK137" s="9">
        <v>0</v>
      </c>
      <c r="AL137" s="9">
        <v>0</v>
      </c>
      <c r="AM137" s="9">
        <v>0</v>
      </c>
      <c r="AN137" s="9">
        <v>0</v>
      </c>
      <c r="AO137" s="9">
        <v>0</v>
      </c>
      <c r="AP137" s="9">
        <v>0</v>
      </c>
      <c r="AQ137" s="9">
        <v>0</v>
      </c>
      <c r="AR137" s="9">
        <v>0</v>
      </c>
      <c r="AS137" s="9">
        <v>0</v>
      </c>
      <c r="AT137" s="9">
        <v>0</v>
      </c>
      <c r="AU137" s="9">
        <v>0</v>
      </c>
      <c r="AV137" s="9">
        <v>0</v>
      </c>
      <c r="AW137" s="9">
        <v>0</v>
      </c>
      <c r="AX137" s="9">
        <v>0</v>
      </c>
      <c r="AY137" s="9">
        <v>0</v>
      </c>
      <c r="AZ137" s="9">
        <v>0</v>
      </c>
      <c r="BA137" s="9">
        <v>0</v>
      </c>
      <c r="BB137" s="9">
        <v>0</v>
      </c>
      <c r="BC137" s="9">
        <v>0</v>
      </c>
      <c r="BD137" s="9">
        <v>0</v>
      </c>
      <c r="BE137" s="9">
        <v>0</v>
      </c>
      <c r="BF137" s="9">
        <v>0</v>
      </c>
      <c r="BG137" s="9">
        <v>0</v>
      </c>
      <c r="BH137" s="9">
        <v>0</v>
      </c>
      <c r="BI137" s="9">
        <v>0</v>
      </c>
      <c r="BJ137" s="9">
        <v>0</v>
      </c>
      <c r="BK137" s="9">
        <v>0</v>
      </c>
      <c r="BL137" s="9">
        <v>0</v>
      </c>
      <c r="BM137" s="9">
        <v>0</v>
      </c>
      <c r="BN137" s="9">
        <v>0</v>
      </c>
      <c r="BO137" s="9">
        <v>0</v>
      </c>
      <c r="BP137" s="9">
        <v>0</v>
      </c>
      <c r="BQ137" s="9">
        <v>0</v>
      </c>
      <c r="BR137" s="9">
        <v>0</v>
      </c>
      <c r="BS137" s="9">
        <v>0</v>
      </c>
      <c r="BT137" s="9">
        <v>0</v>
      </c>
      <c r="BU137" s="9">
        <v>0</v>
      </c>
      <c r="BV137" s="9">
        <v>0</v>
      </c>
      <c r="BW137" s="9">
        <v>0</v>
      </c>
      <c r="BX137" s="9">
        <v>0</v>
      </c>
      <c r="BY137" s="9">
        <v>0</v>
      </c>
      <c r="BZ137" s="9">
        <v>0</v>
      </c>
      <c r="CA137" s="9">
        <v>0</v>
      </c>
      <c r="CB137" s="9">
        <v>0</v>
      </c>
      <c r="CC137" s="9">
        <v>0</v>
      </c>
      <c r="CD137" s="9">
        <v>0</v>
      </c>
      <c r="CE137" s="9">
        <v>0</v>
      </c>
      <c r="CF137" s="9">
        <v>0</v>
      </c>
      <c r="CG137" s="9">
        <v>1</v>
      </c>
      <c r="CH137" s="9">
        <v>0</v>
      </c>
      <c r="CI137" s="9">
        <v>0</v>
      </c>
      <c r="CJ137" s="9">
        <v>0</v>
      </c>
      <c r="CK137" s="9">
        <v>0</v>
      </c>
      <c r="CL137" s="9">
        <v>0</v>
      </c>
      <c r="CM137" s="9">
        <v>0</v>
      </c>
      <c r="CN137" s="9">
        <v>0</v>
      </c>
      <c r="CO137" s="9">
        <v>0</v>
      </c>
      <c r="CP137" s="9">
        <v>0</v>
      </c>
      <c r="CQ137" s="9">
        <v>0</v>
      </c>
      <c r="CR137" s="9">
        <v>0</v>
      </c>
      <c r="CS137" s="9">
        <v>0</v>
      </c>
      <c r="CT137" s="9">
        <v>0</v>
      </c>
      <c r="CU137" s="9">
        <v>0</v>
      </c>
      <c r="CV137" s="9">
        <v>0</v>
      </c>
      <c r="CW137" s="9">
        <v>0</v>
      </c>
      <c r="CX137" s="9">
        <v>0</v>
      </c>
      <c r="CY137" s="9">
        <v>0</v>
      </c>
      <c r="CZ137" s="9">
        <v>0</v>
      </c>
      <c r="DA137" s="9">
        <v>0</v>
      </c>
      <c r="DB137" s="9">
        <v>0</v>
      </c>
      <c r="DC137" s="9">
        <v>0</v>
      </c>
      <c r="DD137" s="9">
        <v>0</v>
      </c>
      <c r="DE137" s="9">
        <v>0</v>
      </c>
      <c r="DF137" s="9">
        <v>0</v>
      </c>
      <c r="DG137" s="9">
        <v>0</v>
      </c>
      <c r="DH137" s="9">
        <v>0</v>
      </c>
      <c r="DI137" s="9">
        <v>0</v>
      </c>
      <c r="DJ137" s="9">
        <v>0</v>
      </c>
      <c r="DK137" s="9">
        <v>0</v>
      </c>
      <c r="DL137" s="9">
        <v>1</v>
      </c>
      <c r="DM137" s="9">
        <v>0</v>
      </c>
      <c r="DN137" s="9">
        <v>0</v>
      </c>
      <c r="DO137" s="9">
        <v>0</v>
      </c>
      <c r="DP137" s="9">
        <v>0</v>
      </c>
      <c r="DQ137" s="9">
        <v>0</v>
      </c>
      <c r="DR137" s="9">
        <v>0</v>
      </c>
      <c r="DS137" s="9">
        <v>0</v>
      </c>
      <c r="DT137" s="9">
        <v>0</v>
      </c>
      <c r="DU137" s="9">
        <v>0</v>
      </c>
      <c r="DV137" s="9">
        <v>0</v>
      </c>
      <c r="DW137" s="9">
        <v>0</v>
      </c>
      <c r="DX137" s="9">
        <v>0</v>
      </c>
      <c r="DY137" s="9">
        <v>0</v>
      </c>
      <c r="DZ137" s="9">
        <v>0</v>
      </c>
      <c r="EA137" s="9">
        <v>0</v>
      </c>
      <c r="EB137" s="9">
        <v>0</v>
      </c>
      <c r="EC137" s="9">
        <v>0</v>
      </c>
      <c r="ED137" s="9">
        <v>0</v>
      </c>
      <c r="EE137" s="9">
        <v>0</v>
      </c>
      <c r="EF137" s="9">
        <v>0</v>
      </c>
      <c r="EG137" s="9">
        <v>0</v>
      </c>
      <c r="EH137" s="9">
        <v>0</v>
      </c>
      <c r="EI137" s="10">
        <v>0</v>
      </c>
    </row>
    <row r="138" spans="1:139" x14ac:dyDescent="0.35">
      <c r="A138" s="8" t="s">
        <v>174</v>
      </c>
      <c r="B138" s="9" t="s">
        <v>247</v>
      </c>
      <c r="C138" s="9" t="s">
        <v>248</v>
      </c>
      <c r="D138" s="9">
        <f t="shared" si="2"/>
        <v>0</v>
      </c>
      <c r="E138" s="9">
        <v>0</v>
      </c>
      <c r="F138" s="9">
        <v>0</v>
      </c>
      <c r="G138" s="9">
        <v>0</v>
      </c>
      <c r="H138" s="9">
        <v>0</v>
      </c>
      <c r="I138" s="9">
        <v>0</v>
      </c>
      <c r="J138" s="9">
        <v>0</v>
      </c>
      <c r="K138" s="9">
        <v>0</v>
      </c>
      <c r="L138" s="9">
        <v>0</v>
      </c>
      <c r="M138" s="9">
        <v>0</v>
      </c>
      <c r="N138" s="9">
        <v>0</v>
      </c>
      <c r="O138" s="9">
        <v>0</v>
      </c>
      <c r="P138" s="9">
        <v>0</v>
      </c>
      <c r="Q138" s="9">
        <v>0</v>
      </c>
      <c r="R138" s="9">
        <v>0</v>
      </c>
      <c r="S138" s="9">
        <v>0</v>
      </c>
      <c r="T138" s="9">
        <v>0</v>
      </c>
      <c r="U138" s="9">
        <v>0</v>
      </c>
      <c r="V138" s="9">
        <v>0</v>
      </c>
      <c r="W138" s="9">
        <v>0</v>
      </c>
      <c r="X138" s="9">
        <v>0</v>
      </c>
      <c r="Y138" s="9">
        <v>0</v>
      </c>
      <c r="Z138" s="9">
        <v>0</v>
      </c>
      <c r="AA138" s="9">
        <v>0</v>
      </c>
      <c r="AB138" s="9">
        <v>0</v>
      </c>
      <c r="AC138" s="9">
        <v>0</v>
      </c>
      <c r="AD138" s="9">
        <v>0</v>
      </c>
      <c r="AE138" s="9">
        <v>0</v>
      </c>
      <c r="AF138" s="9">
        <v>0</v>
      </c>
      <c r="AG138" s="9">
        <v>0</v>
      </c>
      <c r="AH138" s="9">
        <v>0</v>
      </c>
      <c r="AI138" s="9">
        <v>0</v>
      </c>
      <c r="AJ138" s="9">
        <v>0</v>
      </c>
      <c r="AK138" s="9">
        <v>0</v>
      </c>
      <c r="AL138" s="9">
        <v>0</v>
      </c>
      <c r="AM138" s="9">
        <v>0</v>
      </c>
      <c r="AN138" s="9">
        <v>0</v>
      </c>
      <c r="AO138" s="9">
        <v>0</v>
      </c>
      <c r="AP138" s="9">
        <v>0</v>
      </c>
      <c r="AQ138" s="9">
        <v>0</v>
      </c>
      <c r="AR138" s="9">
        <v>0</v>
      </c>
      <c r="AS138" s="9">
        <v>0</v>
      </c>
      <c r="AT138" s="9">
        <v>0</v>
      </c>
      <c r="AU138" s="9">
        <v>0</v>
      </c>
      <c r="AV138" s="9">
        <v>0</v>
      </c>
      <c r="AW138" s="9">
        <v>0</v>
      </c>
      <c r="AX138" s="9">
        <v>0</v>
      </c>
      <c r="AY138" s="9">
        <v>0</v>
      </c>
      <c r="AZ138" s="9">
        <v>0</v>
      </c>
      <c r="BA138" s="9">
        <v>0</v>
      </c>
      <c r="BB138" s="9">
        <v>0</v>
      </c>
      <c r="BC138" s="9">
        <v>0</v>
      </c>
      <c r="BD138" s="9">
        <v>0</v>
      </c>
      <c r="BE138" s="9">
        <v>0</v>
      </c>
      <c r="BF138" s="9">
        <v>0</v>
      </c>
      <c r="BG138" s="9">
        <v>0</v>
      </c>
      <c r="BH138" s="9">
        <v>0</v>
      </c>
      <c r="BI138" s="9">
        <v>0</v>
      </c>
      <c r="BJ138" s="9">
        <v>0</v>
      </c>
      <c r="BK138" s="9">
        <v>0</v>
      </c>
      <c r="BL138" s="9">
        <v>0</v>
      </c>
      <c r="BM138" s="9">
        <v>0</v>
      </c>
      <c r="BN138" s="9">
        <v>0</v>
      </c>
      <c r="BO138" s="9">
        <v>0</v>
      </c>
      <c r="BP138" s="9">
        <v>0</v>
      </c>
      <c r="BQ138" s="9">
        <v>0</v>
      </c>
      <c r="BR138" s="9">
        <v>0</v>
      </c>
      <c r="BS138" s="9">
        <v>0</v>
      </c>
      <c r="BT138" s="9">
        <v>0</v>
      </c>
      <c r="BU138" s="9">
        <v>0</v>
      </c>
      <c r="BV138" s="9">
        <v>0</v>
      </c>
      <c r="BW138" s="9">
        <v>0</v>
      </c>
      <c r="BX138" s="9">
        <v>0</v>
      </c>
      <c r="BY138" s="9">
        <v>0</v>
      </c>
      <c r="BZ138" s="9">
        <v>0</v>
      </c>
      <c r="CA138" s="9">
        <v>0</v>
      </c>
      <c r="CB138" s="9">
        <v>0</v>
      </c>
      <c r="CC138" s="9">
        <v>0</v>
      </c>
      <c r="CD138" s="9">
        <v>0</v>
      </c>
      <c r="CE138" s="9">
        <v>0</v>
      </c>
      <c r="CF138" s="9">
        <v>0</v>
      </c>
      <c r="CG138" s="9">
        <v>0</v>
      </c>
      <c r="CH138" s="9">
        <v>0</v>
      </c>
      <c r="CI138" s="9">
        <v>0</v>
      </c>
      <c r="CJ138" s="9">
        <v>0</v>
      </c>
      <c r="CK138" s="9">
        <v>0</v>
      </c>
      <c r="CL138" s="9">
        <v>0</v>
      </c>
      <c r="CM138" s="9">
        <v>0</v>
      </c>
      <c r="CN138" s="9">
        <v>0</v>
      </c>
      <c r="CO138" s="9">
        <v>0</v>
      </c>
      <c r="CP138" s="9">
        <v>0</v>
      </c>
      <c r="CQ138" s="9">
        <v>0</v>
      </c>
      <c r="CR138" s="9">
        <v>0</v>
      </c>
      <c r="CS138" s="9">
        <v>0</v>
      </c>
      <c r="CT138" s="9">
        <v>0</v>
      </c>
      <c r="CU138" s="9">
        <v>0</v>
      </c>
      <c r="CV138" s="9">
        <v>0</v>
      </c>
      <c r="CW138" s="9">
        <v>0</v>
      </c>
      <c r="CX138" s="9">
        <v>0</v>
      </c>
      <c r="CY138" s="9">
        <v>0</v>
      </c>
      <c r="CZ138" s="9">
        <v>0</v>
      </c>
      <c r="DA138" s="9">
        <v>0</v>
      </c>
      <c r="DB138" s="9">
        <v>0</v>
      </c>
      <c r="DC138" s="9">
        <v>0</v>
      </c>
      <c r="DD138" s="9">
        <v>0</v>
      </c>
      <c r="DE138" s="9">
        <v>0</v>
      </c>
      <c r="DF138" s="9">
        <v>0</v>
      </c>
      <c r="DG138" s="9">
        <v>0</v>
      </c>
      <c r="DH138" s="9">
        <v>0</v>
      </c>
      <c r="DI138" s="9">
        <v>0</v>
      </c>
      <c r="DJ138" s="9">
        <v>0</v>
      </c>
      <c r="DK138" s="9">
        <v>0</v>
      </c>
      <c r="DL138" s="9">
        <v>0</v>
      </c>
      <c r="DM138" s="9">
        <v>0</v>
      </c>
      <c r="DN138" s="9">
        <v>0</v>
      </c>
      <c r="DO138" s="9">
        <v>0</v>
      </c>
      <c r="DP138" s="9">
        <v>0</v>
      </c>
      <c r="DQ138" s="9">
        <v>0</v>
      </c>
      <c r="DR138" s="9">
        <v>0</v>
      </c>
      <c r="DS138" s="9">
        <v>0</v>
      </c>
      <c r="DT138" s="9">
        <v>0</v>
      </c>
      <c r="DU138" s="9">
        <v>0</v>
      </c>
      <c r="DV138" s="9">
        <v>0</v>
      </c>
      <c r="DW138" s="9">
        <v>0</v>
      </c>
      <c r="DX138" s="9">
        <v>0</v>
      </c>
      <c r="DY138" s="9">
        <v>0</v>
      </c>
      <c r="DZ138" s="9">
        <v>0</v>
      </c>
      <c r="EA138" s="9">
        <v>0</v>
      </c>
      <c r="EB138" s="9">
        <v>0</v>
      </c>
      <c r="EC138" s="9">
        <v>0</v>
      </c>
      <c r="ED138" s="9">
        <v>0</v>
      </c>
      <c r="EE138" s="9">
        <v>0</v>
      </c>
      <c r="EF138" s="9">
        <v>0</v>
      </c>
      <c r="EG138" s="9">
        <v>0</v>
      </c>
      <c r="EH138" s="9">
        <v>0</v>
      </c>
      <c r="EI138" s="10">
        <v>0</v>
      </c>
    </row>
    <row r="139" spans="1:139" x14ac:dyDescent="0.35">
      <c r="A139" s="8" t="s">
        <v>174</v>
      </c>
      <c r="B139" s="9" t="s">
        <v>249</v>
      </c>
      <c r="C139" s="9" t="s">
        <v>250</v>
      </c>
      <c r="D139" s="9">
        <f t="shared" si="2"/>
        <v>11</v>
      </c>
      <c r="E139" s="9">
        <v>0</v>
      </c>
      <c r="F139" s="9">
        <v>0</v>
      </c>
      <c r="G139" s="9">
        <v>0</v>
      </c>
      <c r="H139" s="9">
        <v>0</v>
      </c>
      <c r="I139" s="9">
        <v>0</v>
      </c>
      <c r="J139" s="9">
        <v>0</v>
      </c>
      <c r="K139" s="9">
        <v>0</v>
      </c>
      <c r="L139" s="9">
        <v>0</v>
      </c>
      <c r="M139" s="9">
        <v>0</v>
      </c>
      <c r="N139" s="9">
        <v>0</v>
      </c>
      <c r="O139" s="9">
        <v>0</v>
      </c>
      <c r="P139" s="9">
        <v>0</v>
      </c>
      <c r="Q139" s="9">
        <v>0</v>
      </c>
      <c r="R139" s="9">
        <v>0</v>
      </c>
      <c r="S139" s="9">
        <v>0</v>
      </c>
      <c r="T139" s="9">
        <v>0</v>
      </c>
      <c r="U139" s="9">
        <v>0</v>
      </c>
      <c r="V139" s="9">
        <v>0</v>
      </c>
      <c r="W139" s="9">
        <v>0</v>
      </c>
      <c r="X139" s="9">
        <v>0</v>
      </c>
      <c r="Y139" s="9">
        <v>0</v>
      </c>
      <c r="Z139" s="9">
        <v>0</v>
      </c>
      <c r="AA139" s="9">
        <v>0</v>
      </c>
      <c r="AB139" s="9">
        <v>0</v>
      </c>
      <c r="AC139" s="9">
        <v>0</v>
      </c>
      <c r="AD139" s="9">
        <v>0</v>
      </c>
      <c r="AE139" s="9">
        <v>0</v>
      </c>
      <c r="AF139" s="9">
        <v>0</v>
      </c>
      <c r="AG139" s="9">
        <v>0</v>
      </c>
      <c r="AH139" s="9">
        <v>0</v>
      </c>
      <c r="AI139" s="9">
        <v>0</v>
      </c>
      <c r="AJ139" s="9">
        <v>0</v>
      </c>
      <c r="AK139" s="9">
        <v>0</v>
      </c>
      <c r="AL139" s="9">
        <v>0</v>
      </c>
      <c r="AM139" s="9">
        <v>0</v>
      </c>
      <c r="AN139" s="9">
        <v>0</v>
      </c>
      <c r="AO139" s="9">
        <v>0</v>
      </c>
      <c r="AP139" s="9">
        <v>0</v>
      </c>
      <c r="AQ139" s="9">
        <v>0</v>
      </c>
      <c r="AR139" s="9">
        <v>0</v>
      </c>
      <c r="AS139" s="9">
        <v>0</v>
      </c>
      <c r="AT139" s="9">
        <v>0</v>
      </c>
      <c r="AU139" s="9">
        <v>0</v>
      </c>
      <c r="AV139" s="9">
        <v>7</v>
      </c>
      <c r="AW139" s="9">
        <v>1</v>
      </c>
      <c r="AX139" s="9">
        <v>0</v>
      </c>
      <c r="AY139" s="9">
        <v>1</v>
      </c>
      <c r="AZ139" s="9">
        <v>0</v>
      </c>
      <c r="BA139" s="9">
        <v>0</v>
      </c>
      <c r="BB139" s="9">
        <v>1</v>
      </c>
      <c r="BC139" s="9">
        <v>0</v>
      </c>
      <c r="BD139" s="9">
        <v>0</v>
      </c>
      <c r="BE139" s="9">
        <v>0</v>
      </c>
      <c r="BF139" s="9">
        <v>0</v>
      </c>
      <c r="BG139" s="9">
        <v>0</v>
      </c>
      <c r="BH139" s="9">
        <v>0</v>
      </c>
      <c r="BI139" s="9">
        <v>0</v>
      </c>
      <c r="BJ139" s="9">
        <v>0</v>
      </c>
      <c r="BK139" s="9">
        <v>0</v>
      </c>
      <c r="BL139" s="9">
        <v>0</v>
      </c>
      <c r="BM139" s="9">
        <v>0</v>
      </c>
      <c r="BN139" s="9">
        <v>0</v>
      </c>
      <c r="BO139" s="9">
        <v>0</v>
      </c>
      <c r="BP139" s="9">
        <v>0</v>
      </c>
      <c r="BQ139" s="9">
        <v>0</v>
      </c>
      <c r="BR139" s="9">
        <v>0</v>
      </c>
      <c r="BS139" s="9">
        <v>0</v>
      </c>
      <c r="BT139" s="9">
        <v>0</v>
      </c>
      <c r="BU139" s="9">
        <v>0</v>
      </c>
      <c r="BV139" s="9">
        <v>0</v>
      </c>
      <c r="BW139" s="9">
        <v>0</v>
      </c>
      <c r="BX139" s="9">
        <v>0</v>
      </c>
      <c r="BY139" s="9">
        <v>0</v>
      </c>
      <c r="BZ139" s="9">
        <v>0</v>
      </c>
      <c r="CA139" s="9">
        <v>0</v>
      </c>
      <c r="CB139" s="9">
        <v>0</v>
      </c>
      <c r="CC139" s="9">
        <v>0</v>
      </c>
      <c r="CD139" s="9">
        <v>0</v>
      </c>
      <c r="CE139" s="9">
        <v>0</v>
      </c>
      <c r="CF139" s="9">
        <v>0</v>
      </c>
      <c r="CG139" s="9">
        <v>0</v>
      </c>
      <c r="CH139" s="9">
        <v>0</v>
      </c>
      <c r="CI139" s="9">
        <v>0</v>
      </c>
      <c r="CJ139" s="9">
        <v>0</v>
      </c>
      <c r="CK139" s="9">
        <v>0</v>
      </c>
      <c r="CL139" s="9">
        <v>0</v>
      </c>
      <c r="CM139" s="9">
        <v>1</v>
      </c>
      <c r="CN139" s="9">
        <v>0</v>
      </c>
      <c r="CO139" s="9">
        <v>0</v>
      </c>
      <c r="CP139" s="9">
        <v>0</v>
      </c>
      <c r="CQ139" s="9">
        <v>0</v>
      </c>
      <c r="CR139" s="9">
        <v>0</v>
      </c>
      <c r="CS139" s="9">
        <v>0</v>
      </c>
      <c r="CT139" s="9">
        <v>0</v>
      </c>
      <c r="CU139" s="9">
        <v>0</v>
      </c>
      <c r="CV139" s="9">
        <v>0</v>
      </c>
      <c r="CW139" s="9">
        <v>0</v>
      </c>
      <c r="CX139" s="9">
        <v>0</v>
      </c>
      <c r="CY139" s="9">
        <v>0</v>
      </c>
      <c r="CZ139" s="9">
        <v>0</v>
      </c>
      <c r="DA139" s="9">
        <v>0</v>
      </c>
      <c r="DB139" s="9">
        <v>0</v>
      </c>
      <c r="DC139" s="9">
        <v>0</v>
      </c>
      <c r="DD139" s="9">
        <v>0</v>
      </c>
      <c r="DE139" s="9">
        <v>0</v>
      </c>
      <c r="DF139" s="9">
        <v>0</v>
      </c>
      <c r="DG139" s="9">
        <v>0</v>
      </c>
      <c r="DH139" s="9">
        <v>0</v>
      </c>
      <c r="DI139" s="9">
        <v>0</v>
      </c>
      <c r="DJ139" s="9">
        <v>0</v>
      </c>
      <c r="DK139" s="9">
        <v>0</v>
      </c>
      <c r="DL139" s="9">
        <v>0</v>
      </c>
      <c r="DM139" s="9">
        <v>0</v>
      </c>
      <c r="DN139" s="9">
        <v>0</v>
      </c>
      <c r="DO139" s="9">
        <v>0</v>
      </c>
      <c r="DP139" s="9">
        <v>0</v>
      </c>
      <c r="DQ139" s="9">
        <v>0</v>
      </c>
      <c r="DR139" s="9">
        <v>0</v>
      </c>
      <c r="DS139" s="9">
        <v>0</v>
      </c>
      <c r="DT139" s="9">
        <v>0</v>
      </c>
      <c r="DU139" s="9">
        <v>0</v>
      </c>
      <c r="DV139" s="9">
        <v>0</v>
      </c>
      <c r="DW139" s="9">
        <v>0</v>
      </c>
      <c r="DX139" s="9">
        <v>0</v>
      </c>
      <c r="DY139" s="9">
        <v>0</v>
      </c>
      <c r="DZ139" s="9">
        <v>0</v>
      </c>
      <c r="EA139" s="9">
        <v>0</v>
      </c>
      <c r="EB139" s="9">
        <v>0</v>
      </c>
      <c r="EC139" s="9">
        <v>0</v>
      </c>
      <c r="ED139" s="9">
        <v>0</v>
      </c>
      <c r="EE139" s="9">
        <v>0</v>
      </c>
      <c r="EF139" s="9">
        <v>0</v>
      </c>
      <c r="EG139" s="9">
        <v>0</v>
      </c>
      <c r="EH139" s="9">
        <v>0</v>
      </c>
      <c r="EI139" s="10">
        <v>0</v>
      </c>
    </row>
    <row r="140" spans="1:139" x14ac:dyDescent="0.35">
      <c r="A140" s="8" t="s">
        <v>174</v>
      </c>
      <c r="B140" s="9" t="s">
        <v>251</v>
      </c>
      <c r="C140" s="9" t="s">
        <v>252</v>
      </c>
      <c r="D140" s="9">
        <f t="shared" si="2"/>
        <v>25</v>
      </c>
      <c r="E140" s="9">
        <v>0</v>
      </c>
      <c r="F140" s="9">
        <v>0</v>
      </c>
      <c r="G140" s="9">
        <v>0</v>
      </c>
      <c r="H140" s="9">
        <v>0</v>
      </c>
      <c r="I140" s="9">
        <v>0</v>
      </c>
      <c r="J140" s="9">
        <v>0</v>
      </c>
      <c r="K140" s="9">
        <v>0</v>
      </c>
      <c r="L140" s="9">
        <v>0</v>
      </c>
      <c r="M140" s="9">
        <v>1</v>
      </c>
      <c r="N140" s="9">
        <v>0</v>
      </c>
      <c r="O140" s="9">
        <v>0</v>
      </c>
      <c r="P140" s="9">
        <v>0</v>
      </c>
      <c r="Q140" s="9">
        <v>1</v>
      </c>
      <c r="R140" s="9">
        <v>0</v>
      </c>
      <c r="S140" s="9">
        <v>1</v>
      </c>
      <c r="T140" s="9">
        <v>0</v>
      </c>
      <c r="U140" s="9">
        <v>3</v>
      </c>
      <c r="V140" s="9">
        <v>3</v>
      </c>
      <c r="W140" s="9">
        <v>0</v>
      </c>
      <c r="X140" s="9">
        <v>0</v>
      </c>
      <c r="Y140" s="9">
        <v>0</v>
      </c>
      <c r="Z140" s="9">
        <v>1</v>
      </c>
      <c r="AA140" s="9">
        <v>1</v>
      </c>
      <c r="AB140" s="9">
        <v>2</v>
      </c>
      <c r="AC140" s="9">
        <v>0</v>
      </c>
      <c r="AD140" s="9">
        <v>0</v>
      </c>
      <c r="AE140" s="9">
        <v>0</v>
      </c>
      <c r="AF140" s="9">
        <v>1</v>
      </c>
      <c r="AG140" s="9">
        <v>0</v>
      </c>
      <c r="AH140" s="9">
        <v>0</v>
      </c>
      <c r="AI140" s="9">
        <v>0</v>
      </c>
      <c r="AJ140" s="9">
        <v>0</v>
      </c>
      <c r="AK140" s="9">
        <v>0</v>
      </c>
      <c r="AL140" s="9">
        <v>0</v>
      </c>
      <c r="AM140" s="9">
        <v>1</v>
      </c>
      <c r="AN140" s="9">
        <v>0</v>
      </c>
      <c r="AO140" s="9">
        <v>0</v>
      </c>
      <c r="AP140" s="9">
        <v>0</v>
      </c>
      <c r="AQ140" s="9">
        <v>1</v>
      </c>
      <c r="AR140" s="9">
        <v>0</v>
      </c>
      <c r="AS140" s="9">
        <v>0</v>
      </c>
      <c r="AT140" s="9">
        <v>0</v>
      </c>
      <c r="AU140" s="9">
        <v>2</v>
      </c>
      <c r="AV140" s="9">
        <v>0</v>
      </c>
      <c r="AW140" s="9">
        <v>0</v>
      </c>
      <c r="AX140" s="9">
        <v>0</v>
      </c>
      <c r="AY140" s="9">
        <v>0</v>
      </c>
      <c r="AZ140" s="9">
        <v>1</v>
      </c>
      <c r="BA140" s="9">
        <v>0</v>
      </c>
      <c r="BB140" s="9">
        <v>1</v>
      </c>
      <c r="BC140" s="9">
        <v>0</v>
      </c>
      <c r="BD140" s="9">
        <v>1</v>
      </c>
      <c r="BE140" s="9">
        <v>0</v>
      </c>
      <c r="BF140" s="9">
        <v>0</v>
      </c>
      <c r="BG140" s="9">
        <v>0</v>
      </c>
      <c r="BH140" s="9">
        <v>0</v>
      </c>
      <c r="BI140" s="9">
        <v>0</v>
      </c>
      <c r="BJ140" s="9">
        <v>0</v>
      </c>
      <c r="BK140" s="9">
        <v>0</v>
      </c>
      <c r="BL140" s="9">
        <v>0</v>
      </c>
      <c r="BM140" s="9">
        <v>0</v>
      </c>
      <c r="BN140" s="9">
        <v>0</v>
      </c>
      <c r="BO140" s="9">
        <v>0</v>
      </c>
      <c r="BP140" s="9">
        <v>0</v>
      </c>
      <c r="BQ140" s="9">
        <v>1</v>
      </c>
      <c r="BR140" s="9">
        <v>0</v>
      </c>
      <c r="BS140" s="9">
        <v>0</v>
      </c>
      <c r="BT140" s="9">
        <v>0</v>
      </c>
      <c r="BU140" s="9">
        <v>0</v>
      </c>
      <c r="BV140" s="9">
        <v>0</v>
      </c>
      <c r="BW140" s="9">
        <v>0</v>
      </c>
      <c r="BX140" s="9">
        <v>0</v>
      </c>
      <c r="BY140" s="9">
        <v>0</v>
      </c>
      <c r="BZ140" s="9">
        <v>0</v>
      </c>
      <c r="CA140" s="9">
        <v>0</v>
      </c>
      <c r="CB140" s="9">
        <v>0</v>
      </c>
      <c r="CC140" s="9">
        <v>0</v>
      </c>
      <c r="CD140" s="9">
        <v>0</v>
      </c>
      <c r="CE140" s="9">
        <v>0</v>
      </c>
      <c r="CF140" s="9">
        <v>0</v>
      </c>
      <c r="CG140" s="9">
        <v>1</v>
      </c>
      <c r="CH140" s="9">
        <v>0</v>
      </c>
      <c r="CI140" s="9">
        <v>0</v>
      </c>
      <c r="CJ140" s="9">
        <v>1</v>
      </c>
      <c r="CK140" s="9">
        <v>0</v>
      </c>
      <c r="CL140" s="9">
        <v>0</v>
      </c>
      <c r="CM140" s="9">
        <v>1</v>
      </c>
      <c r="CN140" s="9">
        <v>0</v>
      </c>
      <c r="CO140" s="9">
        <v>0</v>
      </c>
      <c r="CP140" s="9">
        <v>0</v>
      </c>
      <c r="CQ140" s="9">
        <v>0</v>
      </c>
      <c r="CR140" s="9">
        <v>0</v>
      </c>
      <c r="CS140" s="9">
        <v>0</v>
      </c>
      <c r="CT140" s="9">
        <v>0</v>
      </c>
      <c r="CU140" s="9">
        <v>0</v>
      </c>
      <c r="CV140" s="9">
        <v>0</v>
      </c>
      <c r="CW140" s="9">
        <v>0</v>
      </c>
      <c r="CX140" s="9">
        <v>0</v>
      </c>
      <c r="CY140" s="9">
        <v>0</v>
      </c>
      <c r="CZ140" s="9">
        <v>0</v>
      </c>
      <c r="DA140" s="9">
        <v>0</v>
      </c>
      <c r="DB140" s="9">
        <v>0</v>
      </c>
      <c r="DC140" s="9">
        <v>0</v>
      </c>
      <c r="DD140" s="9">
        <v>0</v>
      </c>
      <c r="DE140" s="9">
        <v>0</v>
      </c>
      <c r="DF140" s="9">
        <v>0</v>
      </c>
      <c r="DG140" s="9">
        <v>0</v>
      </c>
      <c r="DH140" s="9">
        <v>0</v>
      </c>
      <c r="DI140" s="9">
        <v>0</v>
      </c>
      <c r="DJ140" s="9">
        <v>0</v>
      </c>
      <c r="DK140" s="9">
        <v>0</v>
      </c>
      <c r="DL140" s="9">
        <v>0</v>
      </c>
      <c r="DM140" s="9">
        <v>0</v>
      </c>
      <c r="DN140" s="9">
        <v>0</v>
      </c>
      <c r="DO140" s="9">
        <v>0</v>
      </c>
      <c r="DP140" s="9">
        <v>0</v>
      </c>
      <c r="DQ140" s="9">
        <v>0</v>
      </c>
      <c r="DR140" s="9">
        <v>0</v>
      </c>
      <c r="DS140" s="9">
        <v>0</v>
      </c>
      <c r="DT140" s="9">
        <v>0</v>
      </c>
      <c r="DU140" s="9">
        <v>0</v>
      </c>
      <c r="DV140" s="9">
        <v>0</v>
      </c>
      <c r="DW140" s="9">
        <v>0</v>
      </c>
      <c r="DX140" s="9">
        <v>0</v>
      </c>
      <c r="DY140" s="9">
        <v>0</v>
      </c>
      <c r="DZ140" s="9">
        <v>0</v>
      </c>
      <c r="EA140" s="9">
        <v>0</v>
      </c>
      <c r="EB140" s="9">
        <v>0</v>
      </c>
      <c r="EC140" s="9">
        <v>0</v>
      </c>
      <c r="ED140" s="9">
        <v>0</v>
      </c>
      <c r="EE140" s="9">
        <v>0</v>
      </c>
      <c r="EF140" s="9">
        <v>0</v>
      </c>
      <c r="EG140" s="9">
        <v>0</v>
      </c>
      <c r="EH140" s="9">
        <v>0</v>
      </c>
      <c r="EI140" s="10">
        <v>0</v>
      </c>
    </row>
    <row r="141" spans="1:139" x14ac:dyDescent="0.35">
      <c r="A141" s="8" t="s">
        <v>174</v>
      </c>
      <c r="B141" s="9" t="s">
        <v>253</v>
      </c>
      <c r="C141" s="9" t="s">
        <v>254</v>
      </c>
      <c r="D141" s="9">
        <f t="shared" si="2"/>
        <v>227</v>
      </c>
      <c r="E141" s="9">
        <v>0</v>
      </c>
      <c r="F141" s="9">
        <v>0</v>
      </c>
      <c r="G141" s="9">
        <v>0</v>
      </c>
      <c r="H141" s="9">
        <v>0</v>
      </c>
      <c r="I141" s="9">
        <v>0</v>
      </c>
      <c r="J141" s="9">
        <v>0</v>
      </c>
      <c r="K141" s="9">
        <v>0</v>
      </c>
      <c r="L141" s="9">
        <v>0</v>
      </c>
      <c r="M141" s="9">
        <v>0</v>
      </c>
      <c r="N141" s="9">
        <v>0</v>
      </c>
      <c r="O141" s="9">
        <v>0</v>
      </c>
      <c r="P141" s="9">
        <v>0</v>
      </c>
      <c r="Q141" s="9">
        <v>0</v>
      </c>
      <c r="R141" s="9">
        <v>0</v>
      </c>
      <c r="S141" s="9">
        <v>0</v>
      </c>
      <c r="T141" s="9">
        <v>0</v>
      </c>
      <c r="U141" s="9">
        <v>2</v>
      </c>
      <c r="V141" s="9">
        <v>2</v>
      </c>
      <c r="W141" s="9">
        <v>0</v>
      </c>
      <c r="X141" s="9">
        <v>0</v>
      </c>
      <c r="Y141" s="9">
        <v>2</v>
      </c>
      <c r="Z141" s="9">
        <v>0</v>
      </c>
      <c r="AA141" s="9">
        <v>0</v>
      </c>
      <c r="AB141" s="9">
        <v>0</v>
      </c>
      <c r="AC141" s="9">
        <v>0</v>
      </c>
      <c r="AD141" s="9">
        <v>1</v>
      </c>
      <c r="AE141" s="9">
        <v>0</v>
      </c>
      <c r="AF141" s="9">
        <v>0</v>
      </c>
      <c r="AG141" s="9">
        <v>2</v>
      </c>
      <c r="AH141" s="9">
        <v>0</v>
      </c>
      <c r="AI141" s="9">
        <v>1</v>
      </c>
      <c r="AJ141" s="9">
        <v>0</v>
      </c>
      <c r="AK141" s="9">
        <v>3</v>
      </c>
      <c r="AL141" s="9">
        <v>0</v>
      </c>
      <c r="AM141" s="9">
        <v>0</v>
      </c>
      <c r="AN141" s="9">
        <v>0</v>
      </c>
      <c r="AO141" s="9">
        <v>4</v>
      </c>
      <c r="AP141" s="9">
        <v>1</v>
      </c>
      <c r="AQ141" s="9">
        <v>0</v>
      </c>
      <c r="AR141" s="9">
        <v>0</v>
      </c>
      <c r="AS141" s="9">
        <v>0</v>
      </c>
      <c r="AT141" s="9">
        <v>8</v>
      </c>
      <c r="AU141" s="9">
        <v>7</v>
      </c>
      <c r="AV141" s="9">
        <v>7</v>
      </c>
      <c r="AW141" s="9">
        <v>8</v>
      </c>
      <c r="AX141" s="9">
        <v>1</v>
      </c>
      <c r="AY141" s="9">
        <v>7</v>
      </c>
      <c r="AZ141" s="9">
        <v>7</v>
      </c>
      <c r="BA141" s="9">
        <v>9</v>
      </c>
      <c r="BB141" s="9">
        <v>8</v>
      </c>
      <c r="BC141" s="9">
        <v>5</v>
      </c>
      <c r="BD141" s="9">
        <v>2</v>
      </c>
      <c r="BE141" s="9">
        <v>0</v>
      </c>
      <c r="BF141" s="9">
        <v>3</v>
      </c>
      <c r="BG141" s="9">
        <v>0</v>
      </c>
      <c r="BH141" s="9">
        <v>2</v>
      </c>
      <c r="BI141" s="9">
        <v>6</v>
      </c>
      <c r="BJ141" s="9">
        <v>7</v>
      </c>
      <c r="BK141" s="9">
        <v>5</v>
      </c>
      <c r="BL141" s="9">
        <v>2</v>
      </c>
      <c r="BM141" s="9">
        <v>2</v>
      </c>
      <c r="BN141" s="9">
        <v>7</v>
      </c>
      <c r="BO141" s="9">
        <v>7</v>
      </c>
      <c r="BP141" s="9">
        <v>10</v>
      </c>
      <c r="BQ141" s="9">
        <v>11</v>
      </c>
      <c r="BR141" s="9">
        <v>2</v>
      </c>
      <c r="BS141" s="9">
        <v>4</v>
      </c>
      <c r="BT141" s="9">
        <v>4</v>
      </c>
      <c r="BU141" s="9">
        <v>2</v>
      </c>
      <c r="BV141" s="9">
        <v>5</v>
      </c>
      <c r="BW141" s="9">
        <v>3</v>
      </c>
      <c r="BX141" s="9">
        <v>6</v>
      </c>
      <c r="BY141" s="9">
        <v>4</v>
      </c>
      <c r="BZ141" s="9">
        <v>1</v>
      </c>
      <c r="CA141" s="9">
        <v>3</v>
      </c>
      <c r="CB141" s="9">
        <v>4</v>
      </c>
      <c r="CC141" s="9">
        <v>1</v>
      </c>
      <c r="CD141" s="9">
        <v>7</v>
      </c>
      <c r="CE141" s="9">
        <v>6</v>
      </c>
      <c r="CF141" s="9">
        <v>0</v>
      </c>
      <c r="CG141" s="9">
        <v>2</v>
      </c>
      <c r="CH141" s="9">
        <v>2</v>
      </c>
      <c r="CI141" s="9">
        <v>3</v>
      </c>
      <c r="CJ141" s="9">
        <v>4</v>
      </c>
      <c r="CK141" s="9">
        <v>0</v>
      </c>
      <c r="CL141" s="9">
        <v>0</v>
      </c>
      <c r="CM141" s="9">
        <v>0</v>
      </c>
      <c r="CN141" s="9">
        <v>0</v>
      </c>
      <c r="CO141" s="9">
        <v>0</v>
      </c>
      <c r="CP141" s="9">
        <v>0</v>
      </c>
      <c r="CQ141" s="9">
        <v>0</v>
      </c>
      <c r="CR141" s="9">
        <v>2</v>
      </c>
      <c r="CS141" s="9">
        <v>2</v>
      </c>
      <c r="CT141" s="9">
        <v>0</v>
      </c>
      <c r="CU141" s="9">
        <v>0</v>
      </c>
      <c r="CV141" s="9">
        <v>0</v>
      </c>
      <c r="CW141" s="9">
        <v>0</v>
      </c>
      <c r="CX141" s="9">
        <v>1</v>
      </c>
      <c r="CY141" s="9">
        <v>1</v>
      </c>
      <c r="CZ141" s="9">
        <v>0</v>
      </c>
      <c r="DA141" s="9">
        <v>0</v>
      </c>
      <c r="DB141" s="9">
        <v>1</v>
      </c>
      <c r="DC141" s="9">
        <v>0</v>
      </c>
      <c r="DD141" s="9">
        <v>2</v>
      </c>
      <c r="DE141" s="9">
        <v>0</v>
      </c>
      <c r="DF141" s="9">
        <v>2</v>
      </c>
      <c r="DG141" s="9">
        <v>2</v>
      </c>
      <c r="DH141" s="9">
        <v>0</v>
      </c>
      <c r="DI141" s="9">
        <v>0</v>
      </c>
      <c r="DJ141" s="9">
        <v>1</v>
      </c>
      <c r="DK141" s="9">
        <v>0</v>
      </c>
      <c r="DL141" s="9">
        <v>0</v>
      </c>
      <c r="DM141" s="9">
        <v>0</v>
      </c>
      <c r="DN141" s="9">
        <v>0</v>
      </c>
      <c r="DO141" s="9">
        <v>0</v>
      </c>
      <c r="DP141" s="9">
        <v>0</v>
      </c>
      <c r="DQ141" s="9">
        <v>0</v>
      </c>
      <c r="DR141" s="9">
        <v>0</v>
      </c>
      <c r="DS141" s="9">
        <v>0</v>
      </c>
      <c r="DT141" s="9">
        <v>0</v>
      </c>
      <c r="DU141" s="9">
        <v>0</v>
      </c>
      <c r="DV141" s="9">
        <v>0</v>
      </c>
      <c r="DW141" s="9">
        <v>0</v>
      </c>
      <c r="DX141" s="9">
        <v>0</v>
      </c>
      <c r="DY141" s="9">
        <v>0</v>
      </c>
      <c r="DZ141" s="9">
        <v>0</v>
      </c>
      <c r="EA141" s="9">
        <v>1</v>
      </c>
      <c r="EB141" s="9">
        <v>0</v>
      </c>
      <c r="EC141" s="9">
        <v>0</v>
      </c>
      <c r="ED141" s="9">
        <v>0</v>
      </c>
      <c r="EE141" s="9">
        <v>0</v>
      </c>
      <c r="EF141" s="9">
        <v>0</v>
      </c>
      <c r="EG141" s="9">
        <v>0</v>
      </c>
      <c r="EH141" s="9">
        <v>0</v>
      </c>
      <c r="EI141" s="10">
        <v>0</v>
      </c>
    </row>
    <row r="142" spans="1:139" x14ac:dyDescent="0.35">
      <c r="A142" s="8" t="s">
        <v>174</v>
      </c>
      <c r="B142" s="9" t="s">
        <v>255</v>
      </c>
      <c r="C142" s="9" t="s">
        <v>256</v>
      </c>
      <c r="D142" s="9">
        <f t="shared" si="2"/>
        <v>0</v>
      </c>
      <c r="E142" s="9">
        <v>0</v>
      </c>
      <c r="F142" s="9">
        <v>0</v>
      </c>
      <c r="G142" s="9">
        <v>0</v>
      </c>
      <c r="H142" s="9">
        <v>0</v>
      </c>
      <c r="I142" s="9">
        <v>0</v>
      </c>
      <c r="J142" s="9">
        <v>0</v>
      </c>
      <c r="K142" s="9">
        <v>0</v>
      </c>
      <c r="L142" s="9">
        <v>0</v>
      </c>
      <c r="M142" s="9">
        <v>0</v>
      </c>
      <c r="N142" s="9">
        <v>0</v>
      </c>
      <c r="O142" s="9">
        <v>0</v>
      </c>
      <c r="P142" s="9">
        <v>0</v>
      </c>
      <c r="Q142" s="9">
        <v>0</v>
      </c>
      <c r="R142" s="9">
        <v>0</v>
      </c>
      <c r="S142" s="9">
        <v>0</v>
      </c>
      <c r="T142" s="9">
        <v>0</v>
      </c>
      <c r="U142" s="9">
        <v>0</v>
      </c>
      <c r="V142" s="9">
        <v>0</v>
      </c>
      <c r="W142" s="9">
        <v>0</v>
      </c>
      <c r="X142" s="9">
        <v>0</v>
      </c>
      <c r="Y142" s="9">
        <v>0</v>
      </c>
      <c r="Z142" s="9">
        <v>0</v>
      </c>
      <c r="AA142" s="9">
        <v>0</v>
      </c>
      <c r="AB142" s="9">
        <v>0</v>
      </c>
      <c r="AC142" s="9">
        <v>0</v>
      </c>
      <c r="AD142" s="9">
        <v>0</v>
      </c>
      <c r="AE142" s="9">
        <v>0</v>
      </c>
      <c r="AF142" s="9">
        <v>0</v>
      </c>
      <c r="AG142" s="9">
        <v>0</v>
      </c>
      <c r="AH142" s="9">
        <v>0</v>
      </c>
      <c r="AI142" s="9">
        <v>0</v>
      </c>
      <c r="AJ142" s="9">
        <v>0</v>
      </c>
      <c r="AK142" s="9">
        <v>0</v>
      </c>
      <c r="AL142" s="9">
        <v>0</v>
      </c>
      <c r="AM142" s="9">
        <v>0</v>
      </c>
      <c r="AN142" s="9">
        <v>0</v>
      </c>
      <c r="AO142" s="9">
        <v>0</v>
      </c>
      <c r="AP142" s="9">
        <v>0</v>
      </c>
      <c r="AQ142" s="9">
        <v>0</v>
      </c>
      <c r="AR142" s="9">
        <v>0</v>
      </c>
      <c r="AS142" s="9">
        <v>0</v>
      </c>
      <c r="AT142" s="9">
        <v>0</v>
      </c>
      <c r="AU142" s="9">
        <v>0</v>
      </c>
      <c r="AV142" s="9">
        <v>0</v>
      </c>
      <c r="AW142" s="9">
        <v>0</v>
      </c>
      <c r="AX142" s="9">
        <v>0</v>
      </c>
      <c r="AY142" s="9">
        <v>0</v>
      </c>
      <c r="AZ142" s="9">
        <v>0</v>
      </c>
      <c r="BA142" s="9">
        <v>0</v>
      </c>
      <c r="BB142" s="9">
        <v>0</v>
      </c>
      <c r="BC142" s="9">
        <v>0</v>
      </c>
      <c r="BD142" s="9">
        <v>0</v>
      </c>
      <c r="BE142" s="9">
        <v>0</v>
      </c>
      <c r="BF142" s="9">
        <v>0</v>
      </c>
      <c r="BG142" s="9">
        <v>0</v>
      </c>
      <c r="BH142" s="9">
        <v>0</v>
      </c>
      <c r="BI142" s="9">
        <v>0</v>
      </c>
      <c r="BJ142" s="9">
        <v>0</v>
      </c>
      <c r="BK142" s="9">
        <v>0</v>
      </c>
      <c r="BL142" s="9">
        <v>0</v>
      </c>
      <c r="BM142" s="9">
        <v>0</v>
      </c>
      <c r="BN142" s="9">
        <v>0</v>
      </c>
      <c r="BO142" s="9">
        <v>0</v>
      </c>
      <c r="BP142" s="9">
        <v>0</v>
      </c>
      <c r="BQ142" s="9">
        <v>0</v>
      </c>
      <c r="BR142" s="9">
        <v>0</v>
      </c>
      <c r="BS142" s="9">
        <v>0</v>
      </c>
      <c r="BT142" s="9">
        <v>0</v>
      </c>
      <c r="BU142" s="9">
        <v>0</v>
      </c>
      <c r="BV142" s="9">
        <v>0</v>
      </c>
      <c r="BW142" s="9">
        <v>0</v>
      </c>
      <c r="BX142" s="9">
        <v>0</v>
      </c>
      <c r="BY142" s="9">
        <v>0</v>
      </c>
      <c r="BZ142" s="9">
        <v>0</v>
      </c>
      <c r="CA142" s="9">
        <v>0</v>
      </c>
      <c r="CB142" s="9">
        <v>0</v>
      </c>
      <c r="CC142" s="9">
        <v>0</v>
      </c>
      <c r="CD142" s="9">
        <v>0</v>
      </c>
      <c r="CE142" s="9">
        <v>0</v>
      </c>
      <c r="CF142" s="9">
        <v>0</v>
      </c>
      <c r="CG142" s="9">
        <v>0</v>
      </c>
      <c r="CH142" s="9">
        <v>0</v>
      </c>
      <c r="CI142" s="9">
        <v>0</v>
      </c>
      <c r="CJ142" s="9">
        <v>0</v>
      </c>
      <c r="CK142" s="9">
        <v>0</v>
      </c>
      <c r="CL142" s="9">
        <v>0</v>
      </c>
      <c r="CM142" s="9">
        <v>0</v>
      </c>
      <c r="CN142" s="9">
        <v>0</v>
      </c>
      <c r="CO142" s="9">
        <v>0</v>
      </c>
      <c r="CP142" s="9">
        <v>0</v>
      </c>
      <c r="CQ142" s="9">
        <v>0</v>
      </c>
      <c r="CR142" s="9">
        <v>0</v>
      </c>
      <c r="CS142" s="9">
        <v>0</v>
      </c>
      <c r="CT142" s="9">
        <v>0</v>
      </c>
      <c r="CU142" s="9">
        <v>0</v>
      </c>
      <c r="CV142" s="9">
        <v>0</v>
      </c>
      <c r="CW142" s="9">
        <v>0</v>
      </c>
      <c r="CX142" s="9">
        <v>0</v>
      </c>
      <c r="CY142" s="9">
        <v>0</v>
      </c>
      <c r="CZ142" s="9">
        <v>0</v>
      </c>
      <c r="DA142" s="9">
        <v>0</v>
      </c>
      <c r="DB142" s="9">
        <v>0</v>
      </c>
      <c r="DC142" s="9">
        <v>0</v>
      </c>
      <c r="DD142" s="9">
        <v>0</v>
      </c>
      <c r="DE142" s="9">
        <v>0</v>
      </c>
      <c r="DF142" s="9">
        <v>0</v>
      </c>
      <c r="DG142" s="9">
        <v>0</v>
      </c>
      <c r="DH142" s="9">
        <v>0</v>
      </c>
      <c r="DI142" s="9">
        <v>0</v>
      </c>
      <c r="DJ142" s="9">
        <v>0</v>
      </c>
      <c r="DK142" s="9">
        <v>0</v>
      </c>
      <c r="DL142" s="9">
        <v>0</v>
      </c>
      <c r="DM142" s="9">
        <v>0</v>
      </c>
      <c r="DN142" s="9">
        <v>0</v>
      </c>
      <c r="DO142" s="9">
        <v>0</v>
      </c>
      <c r="DP142" s="9">
        <v>0</v>
      </c>
      <c r="DQ142" s="9">
        <v>0</v>
      </c>
      <c r="DR142" s="9">
        <v>0</v>
      </c>
      <c r="DS142" s="9">
        <v>0</v>
      </c>
      <c r="DT142" s="9">
        <v>0</v>
      </c>
      <c r="DU142" s="9">
        <v>0</v>
      </c>
      <c r="DV142" s="9">
        <v>0</v>
      </c>
      <c r="DW142" s="9">
        <v>0</v>
      </c>
      <c r="DX142" s="9">
        <v>0</v>
      </c>
      <c r="DY142" s="9">
        <v>0</v>
      </c>
      <c r="DZ142" s="9">
        <v>0</v>
      </c>
      <c r="EA142" s="9">
        <v>0</v>
      </c>
      <c r="EB142" s="9">
        <v>0</v>
      </c>
      <c r="EC142" s="9">
        <v>0</v>
      </c>
      <c r="ED142" s="9">
        <v>0</v>
      </c>
      <c r="EE142" s="9">
        <v>0</v>
      </c>
      <c r="EF142" s="9">
        <v>0</v>
      </c>
      <c r="EG142" s="9">
        <v>0</v>
      </c>
      <c r="EH142" s="9">
        <v>0</v>
      </c>
      <c r="EI142" s="10">
        <v>0</v>
      </c>
    </row>
    <row r="143" spans="1:139" x14ac:dyDescent="0.35">
      <c r="A143" s="8" t="s">
        <v>174</v>
      </c>
      <c r="B143" s="9" t="s">
        <v>257</v>
      </c>
      <c r="C143" s="9" t="s">
        <v>258</v>
      </c>
      <c r="D143" s="9">
        <f t="shared" si="2"/>
        <v>90</v>
      </c>
      <c r="E143" s="9">
        <v>0</v>
      </c>
      <c r="F143" s="9">
        <v>0</v>
      </c>
      <c r="G143" s="9">
        <v>0</v>
      </c>
      <c r="H143" s="9">
        <v>0</v>
      </c>
      <c r="I143" s="9">
        <v>0</v>
      </c>
      <c r="J143" s="9">
        <v>0</v>
      </c>
      <c r="K143" s="9">
        <v>0</v>
      </c>
      <c r="L143" s="9">
        <v>0</v>
      </c>
      <c r="M143" s="9">
        <v>0</v>
      </c>
      <c r="N143" s="9">
        <v>0</v>
      </c>
      <c r="O143" s="9">
        <v>0</v>
      </c>
      <c r="P143" s="9">
        <v>0</v>
      </c>
      <c r="Q143" s="9">
        <v>0</v>
      </c>
      <c r="R143" s="9">
        <v>0</v>
      </c>
      <c r="S143" s="9">
        <v>1</v>
      </c>
      <c r="T143" s="9">
        <v>1</v>
      </c>
      <c r="U143" s="9">
        <v>1</v>
      </c>
      <c r="V143" s="9">
        <v>0</v>
      </c>
      <c r="W143" s="9">
        <v>6</v>
      </c>
      <c r="X143" s="9">
        <v>2</v>
      </c>
      <c r="Y143" s="9">
        <v>4</v>
      </c>
      <c r="Z143" s="9">
        <v>0</v>
      </c>
      <c r="AA143" s="9">
        <v>0</v>
      </c>
      <c r="AB143" s="9">
        <v>3</v>
      </c>
      <c r="AC143" s="9">
        <v>0</v>
      </c>
      <c r="AD143" s="9">
        <v>4</v>
      </c>
      <c r="AE143" s="9">
        <v>0</v>
      </c>
      <c r="AF143" s="9">
        <v>4</v>
      </c>
      <c r="AG143" s="9">
        <v>0</v>
      </c>
      <c r="AH143" s="9">
        <v>8</v>
      </c>
      <c r="AI143" s="9">
        <v>9</v>
      </c>
      <c r="AJ143" s="9">
        <v>0</v>
      </c>
      <c r="AK143" s="9">
        <v>1</v>
      </c>
      <c r="AL143" s="9">
        <v>1</v>
      </c>
      <c r="AM143" s="9">
        <v>1</v>
      </c>
      <c r="AN143" s="9">
        <v>0</v>
      </c>
      <c r="AO143" s="9">
        <v>1</v>
      </c>
      <c r="AP143" s="9">
        <v>2</v>
      </c>
      <c r="AQ143" s="9">
        <v>0</v>
      </c>
      <c r="AR143" s="9">
        <v>2</v>
      </c>
      <c r="AS143" s="9">
        <v>2</v>
      </c>
      <c r="AT143" s="9">
        <v>2</v>
      </c>
      <c r="AU143" s="9">
        <v>0</v>
      </c>
      <c r="AV143" s="9">
        <v>1</v>
      </c>
      <c r="AW143" s="9">
        <v>0</v>
      </c>
      <c r="AX143" s="9">
        <v>0</v>
      </c>
      <c r="AY143" s="9">
        <v>0</v>
      </c>
      <c r="AZ143" s="9">
        <v>0</v>
      </c>
      <c r="BA143" s="9">
        <v>0</v>
      </c>
      <c r="BB143" s="9">
        <v>0</v>
      </c>
      <c r="BC143" s="9">
        <v>0</v>
      </c>
      <c r="BD143" s="9">
        <v>0</v>
      </c>
      <c r="BE143" s="9">
        <v>0</v>
      </c>
      <c r="BF143" s="9">
        <v>1</v>
      </c>
      <c r="BG143" s="9">
        <v>2</v>
      </c>
      <c r="BH143" s="9">
        <v>0</v>
      </c>
      <c r="BI143" s="9">
        <v>0</v>
      </c>
      <c r="BJ143" s="9">
        <v>0</v>
      </c>
      <c r="BK143" s="9">
        <v>0</v>
      </c>
      <c r="BL143" s="9">
        <v>0</v>
      </c>
      <c r="BM143" s="9">
        <v>0</v>
      </c>
      <c r="BN143" s="9">
        <v>0</v>
      </c>
      <c r="BO143" s="9">
        <v>1</v>
      </c>
      <c r="BP143" s="9">
        <v>1</v>
      </c>
      <c r="BQ143" s="9">
        <v>0</v>
      </c>
      <c r="BR143" s="9">
        <v>2</v>
      </c>
      <c r="BS143" s="9">
        <v>0</v>
      </c>
      <c r="BT143" s="9">
        <v>1</v>
      </c>
      <c r="BU143" s="9">
        <v>0</v>
      </c>
      <c r="BV143" s="9">
        <v>1</v>
      </c>
      <c r="BW143" s="9">
        <v>1</v>
      </c>
      <c r="BX143" s="9">
        <v>1</v>
      </c>
      <c r="BY143" s="9">
        <v>1</v>
      </c>
      <c r="BZ143" s="9">
        <v>0</v>
      </c>
      <c r="CA143" s="9">
        <v>0</v>
      </c>
      <c r="CB143" s="9">
        <v>0</v>
      </c>
      <c r="CC143" s="9">
        <v>2</v>
      </c>
      <c r="CD143" s="9">
        <v>0</v>
      </c>
      <c r="CE143" s="9">
        <v>0</v>
      </c>
      <c r="CF143" s="9">
        <v>0</v>
      </c>
      <c r="CG143" s="9">
        <v>0</v>
      </c>
      <c r="CH143" s="9">
        <v>0</v>
      </c>
      <c r="CI143" s="9">
        <v>0</v>
      </c>
      <c r="CJ143" s="9">
        <v>0</v>
      </c>
      <c r="CK143" s="9">
        <v>0</v>
      </c>
      <c r="CL143" s="9">
        <v>0</v>
      </c>
      <c r="CM143" s="9">
        <v>0</v>
      </c>
      <c r="CN143" s="9">
        <v>0</v>
      </c>
      <c r="CO143" s="9">
        <v>0</v>
      </c>
      <c r="CP143" s="9">
        <v>0</v>
      </c>
      <c r="CQ143" s="9">
        <v>0</v>
      </c>
      <c r="CR143" s="9">
        <v>3</v>
      </c>
      <c r="CS143" s="9">
        <v>0</v>
      </c>
      <c r="CT143" s="9">
        <v>0</v>
      </c>
      <c r="CU143" s="9">
        <v>0</v>
      </c>
      <c r="CV143" s="9">
        <v>0</v>
      </c>
      <c r="CW143" s="9">
        <v>0</v>
      </c>
      <c r="CX143" s="9">
        <v>0</v>
      </c>
      <c r="CY143" s="9">
        <v>0</v>
      </c>
      <c r="CZ143" s="9">
        <v>3</v>
      </c>
      <c r="DA143" s="9">
        <v>3</v>
      </c>
      <c r="DB143" s="9">
        <v>0</v>
      </c>
      <c r="DC143" s="9">
        <v>0</v>
      </c>
      <c r="DD143" s="9">
        <v>0</v>
      </c>
      <c r="DE143" s="9">
        <v>1</v>
      </c>
      <c r="DF143" s="9">
        <v>0</v>
      </c>
      <c r="DG143" s="9">
        <v>0</v>
      </c>
      <c r="DH143" s="9">
        <v>1</v>
      </c>
      <c r="DI143" s="9">
        <v>1</v>
      </c>
      <c r="DJ143" s="9">
        <v>0</v>
      </c>
      <c r="DK143" s="9">
        <v>0</v>
      </c>
      <c r="DL143" s="9">
        <v>2</v>
      </c>
      <c r="DM143" s="9">
        <v>0</v>
      </c>
      <c r="DN143" s="9">
        <v>0</v>
      </c>
      <c r="DO143" s="9">
        <v>0</v>
      </c>
      <c r="DP143" s="9">
        <v>0</v>
      </c>
      <c r="DQ143" s="9">
        <v>0</v>
      </c>
      <c r="DR143" s="9">
        <v>0</v>
      </c>
      <c r="DS143" s="9">
        <v>0</v>
      </c>
      <c r="DT143" s="9">
        <v>0</v>
      </c>
      <c r="DU143" s="9">
        <v>0</v>
      </c>
      <c r="DV143" s="9">
        <v>0</v>
      </c>
      <c r="DW143" s="9">
        <v>0</v>
      </c>
      <c r="DX143" s="9">
        <v>0</v>
      </c>
      <c r="DY143" s="9">
        <v>0</v>
      </c>
      <c r="DZ143" s="9">
        <v>2</v>
      </c>
      <c r="EA143" s="9">
        <v>1</v>
      </c>
      <c r="EB143" s="9">
        <v>0</v>
      </c>
      <c r="EC143" s="9">
        <v>0</v>
      </c>
      <c r="ED143" s="9">
        <v>0</v>
      </c>
      <c r="EE143" s="9">
        <v>0</v>
      </c>
      <c r="EF143" s="9">
        <v>1</v>
      </c>
      <c r="EG143" s="9">
        <v>1</v>
      </c>
      <c r="EH143" s="9">
        <v>1</v>
      </c>
      <c r="EI143" s="10">
        <v>0</v>
      </c>
    </row>
    <row r="144" spans="1:139" x14ac:dyDescent="0.35">
      <c r="A144" s="8" t="s">
        <v>174</v>
      </c>
      <c r="B144" s="9" t="s">
        <v>259</v>
      </c>
      <c r="C144" s="9" t="s">
        <v>260</v>
      </c>
      <c r="D144" s="9">
        <f t="shared" si="2"/>
        <v>0</v>
      </c>
      <c r="E144" s="9">
        <v>0</v>
      </c>
      <c r="F144" s="9">
        <v>0</v>
      </c>
      <c r="G144" s="9">
        <v>0</v>
      </c>
      <c r="H144" s="9">
        <v>0</v>
      </c>
      <c r="I144" s="9">
        <v>0</v>
      </c>
      <c r="J144" s="9">
        <v>0</v>
      </c>
      <c r="K144" s="9">
        <v>0</v>
      </c>
      <c r="L144" s="9">
        <v>0</v>
      </c>
      <c r="M144" s="9">
        <v>0</v>
      </c>
      <c r="N144" s="9">
        <v>0</v>
      </c>
      <c r="O144" s="9">
        <v>0</v>
      </c>
      <c r="P144" s="9">
        <v>0</v>
      </c>
      <c r="Q144" s="9">
        <v>0</v>
      </c>
      <c r="R144" s="9">
        <v>0</v>
      </c>
      <c r="S144" s="9">
        <v>0</v>
      </c>
      <c r="T144" s="9">
        <v>0</v>
      </c>
      <c r="U144" s="9">
        <v>0</v>
      </c>
      <c r="V144" s="9">
        <v>0</v>
      </c>
      <c r="W144" s="9">
        <v>0</v>
      </c>
      <c r="X144" s="9">
        <v>0</v>
      </c>
      <c r="Y144" s="9">
        <v>0</v>
      </c>
      <c r="Z144" s="9">
        <v>0</v>
      </c>
      <c r="AA144" s="9">
        <v>0</v>
      </c>
      <c r="AB144" s="9">
        <v>0</v>
      </c>
      <c r="AC144" s="9">
        <v>0</v>
      </c>
      <c r="AD144" s="9">
        <v>0</v>
      </c>
      <c r="AE144" s="9">
        <v>0</v>
      </c>
      <c r="AF144" s="9">
        <v>0</v>
      </c>
      <c r="AG144" s="9">
        <v>0</v>
      </c>
      <c r="AH144" s="9">
        <v>0</v>
      </c>
      <c r="AI144" s="9">
        <v>0</v>
      </c>
      <c r="AJ144" s="9">
        <v>0</v>
      </c>
      <c r="AK144" s="9">
        <v>0</v>
      </c>
      <c r="AL144" s="9">
        <v>0</v>
      </c>
      <c r="AM144" s="9">
        <v>0</v>
      </c>
      <c r="AN144" s="9">
        <v>0</v>
      </c>
      <c r="AO144" s="9">
        <v>0</v>
      </c>
      <c r="AP144" s="9">
        <v>0</v>
      </c>
      <c r="AQ144" s="9">
        <v>0</v>
      </c>
      <c r="AR144" s="9">
        <v>0</v>
      </c>
      <c r="AS144" s="9">
        <v>0</v>
      </c>
      <c r="AT144" s="9">
        <v>0</v>
      </c>
      <c r="AU144" s="9">
        <v>0</v>
      </c>
      <c r="AV144" s="9">
        <v>0</v>
      </c>
      <c r="AW144" s="9">
        <v>0</v>
      </c>
      <c r="AX144" s="9">
        <v>0</v>
      </c>
      <c r="AY144" s="9">
        <v>0</v>
      </c>
      <c r="AZ144" s="9">
        <v>0</v>
      </c>
      <c r="BA144" s="9">
        <v>0</v>
      </c>
      <c r="BB144" s="9">
        <v>0</v>
      </c>
      <c r="BC144" s="9">
        <v>0</v>
      </c>
      <c r="BD144" s="9">
        <v>0</v>
      </c>
      <c r="BE144" s="9">
        <v>0</v>
      </c>
      <c r="BF144" s="9">
        <v>0</v>
      </c>
      <c r="BG144" s="9">
        <v>0</v>
      </c>
      <c r="BH144" s="9">
        <v>0</v>
      </c>
      <c r="BI144" s="9">
        <v>0</v>
      </c>
      <c r="BJ144" s="9">
        <v>0</v>
      </c>
      <c r="BK144" s="9">
        <v>0</v>
      </c>
      <c r="BL144" s="9">
        <v>0</v>
      </c>
      <c r="BM144" s="9">
        <v>0</v>
      </c>
      <c r="BN144" s="9">
        <v>0</v>
      </c>
      <c r="BO144" s="9">
        <v>0</v>
      </c>
      <c r="BP144" s="9">
        <v>0</v>
      </c>
      <c r="BQ144" s="9">
        <v>0</v>
      </c>
      <c r="BR144" s="9">
        <v>0</v>
      </c>
      <c r="BS144" s="9">
        <v>0</v>
      </c>
      <c r="BT144" s="9">
        <v>0</v>
      </c>
      <c r="BU144" s="9">
        <v>0</v>
      </c>
      <c r="BV144" s="9">
        <v>0</v>
      </c>
      <c r="BW144" s="9">
        <v>0</v>
      </c>
      <c r="BX144" s="9">
        <v>0</v>
      </c>
      <c r="BY144" s="9">
        <v>0</v>
      </c>
      <c r="BZ144" s="9">
        <v>0</v>
      </c>
      <c r="CA144" s="9">
        <v>0</v>
      </c>
      <c r="CB144" s="9">
        <v>0</v>
      </c>
      <c r="CC144" s="9">
        <v>0</v>
      </c>
      <c r="CD144" s="9">
        <v>0</v>
      </c>
      <c r="CE144" s="9">
        <v>0</v>
      </c>
      <c r="CF144" s="9">
        <v>0</v>
      </c>
      <c r="CG144" s="9">
        <v>0</v>
      </c>
      <c r="CH144" s="9">
        <v>0</v>
      </c>
      <c r="CI144" s="9">
        <v>0</v>
      </c>
      <c r="CJ144" s="9">
        <v>0</v>
      </c>
      <c r="CK144" s="9">
        <v>0</v>
      </c>
      <c r="CL144" s="9">
        <v>0</v>
      </c>
      <c r="CM144" s="9">
        <v>0</v>
      </c>
      <c r="CN144" s="9">
        <v>0</v>
      </c>
      <c r="CO144" s="9">
        <v>0</v>
      </c>
      <c r="CP144" s="9">
        <v>0</v>
      </c>
      <c r="CQ144" s="9">
        <v>0</v>
      </c>
      <c r="CR144" s="9">
        <v>0</v>
      </c>
      <c r="CS144" s="9">
        <v>0</v>
      </c>
      <c r="CT144" s="9">
        <v>0</v>
      </c>
      <c r="CU144" s="9">
        <v>0</v>
      </c>
      <c r="CV144" s="9">
        <v>0</v>
      </c>
      <c r="CW144" s="9">
        <v>0</v>
      </c>
      <c r="CX144" s="9">
        <v>0</v>
      </c>
      <c r="CY144" s="9">
        <v>0</v>
      </c>
      <c r="CZ144" s="9">
        <v>0</v>
      </c>
      <c r="DA144" s="9">
        <v>0</v>
      </c>
      <c r="DB144" s="9">
        <v>0</v>
      </c>
      <c r="DC144" s="9">
        <v>0</v>
      </c>
      <c r="DD144" s="9">
        <v>0</v>
      </c>
      <c r="DE144" s="9">
        <v>0</v>
      </c>
      <c r="DF144" s="9">
        <v>0</v>
      </c>
      <c r="DG144" s="9">
        <v>0</v>
      </c>
      <c r="DH144" s="9">
        <v>0</v>
      </c>
      <c r="DI144" s="9">
        <v>0</v>
      </c>
      <c r="DJ144" s="9">
        <v>0</v>
      </c>
      <c r="DK144" s="9">
        <v>0</v>
      </c>
      <c r="DL144" s="9">
        <v>0</v>
      </c>
      <c r="DM144" s="9">
        <v>0</v>
      </c>
      <c r="DN144" s="9">
        <v>0</v>
      </c>
      <c r="DO144" s="9">
        <v>0</v>
      </c>
      <c r="DP144" s="9">
        <v>0</v>
      </c>
      <c r="DQ144" s="9">
        <v>0</v>
      </c>
      <c r="DR144" s="9">
        <v>0</v>
      </c>
      <c r="DS144" s="9">
        <v>0</v>
      </c>
      <c r="DT144" s="9">
        <v>0</v>
      </c>
      <c r="DU144" s="9">
        <v>0</v>
      </c>
      <c r="DV144" s="9">
        <v>0</v>
      </c>
      <c r="DW144" s="9">
        <v>0</v>
      </c>
      <c r="DX144" s="9">
        <v>0</v>
      </c>
      <c r="DY144" s="9">
        <v>0</v>
      </c>
      <c r="DZ144" s="9">
        <v>0</v>
      </c>
      <c r="EA144" s="9">
        <v>0</v>
      </c>
      <c r="EB144" s="9">
        <v>0</v>
      </c>
      <c r="EC144" s="9">
        <v>0</v>
      </c>
      <c r="ED144" s="9">
        <v>0</v>
      </c>
      <c r="EE144" s="9">
        <v>0</v>
      </c>
      <c r="EF144" s="9">
        <v>0</v>
      </c>
      <c r="EG144" s="9">
        <v>0</v>
      </c>
      <c r="EH144" s="9">
        <v>0</v>
      </c>
      <c r="EI144" s="10">
        <v>0</v>
      </c>
    </row>
    <row r="145" spans="1:139" x14ac:dyDescent="0.35">
      <c r="A145" s="8" t="s">
        <v>261</v>
      </c>
      <c r="B145" s="9" t="s">
        <v>175</v>
      </c>
      <c r="C145" s="9" t="s">
        <v>176</v>
      </c>
      <c r="D145" s="9">
        <f t="shared" si="2"/>
        <v>0</v>
      </c>
      <c r="E145" s="9">
        <v>0</v>
      </c>
      <c r="F145" s="9">
        <v>0</v>
      </c>
      <c r="G145" s="9">
        <v>0</v>
      </c>
      <c r="H145" s="9">
        <v>0</v>
      </c>
      <c r="I145" s="9">
        <v>0</v>
      </c>
      <c r="J145" s="9">
        <v>0</v>
      </c>
      <c r="K145" s="9">
        <v>0</v>
      </c>
      <c r="L145" s="9">
        <v>0</v>
      </c>
      <c r="M145" s="9">
        <v>0</v>
      </c>
      <c r="N145" s="9">
        <v>0</v>
      </c>
      <c r="O145" s="9">
        <v>0</v>
      </c>
      <c r="P145" s="9">
        <v>0</v>
      </c>
      <c r="Q145" s="9">
        <v>0</v>
      </c>
      <c r="R145" s="9">
        <v>0</v>
      </c>
      <c r="S145" s="9">
        <v>0</v>
      </c>
      <c r="T145" s="9">
        <v>0</v>
      </c>
      <c r="U145" s="9">
        <v>0</v>
      </c>
      <c r="V145" s="9">
        <v>0</v>
      </c>
      <c r="W145" s="9">
        <v>0</v>
      </c>
      <c r="X145" s="9">
        <v>0</v>
      </c>
      <c r="Y145" s="9">
        <v>0</v>
      </c>
      <c r="Z145" s="9">
        <v>0</v>
      </c>
      <c r="AA145" s="9">
        <v>0</v>
      </c>
      <c r="AB145" s="9">
        <v>0</v>
      </c>
      <c r="AC145" s="9">
        <v>0</v>
      </c>
      <c r="AD145" s="9">
        <v>0</v>
      </c>
      <c r="AE145" s="9">
        <v>0</v>
      </c>
      <c r="AF145" s="9">
        <v>0</v>
      </c>
      <c r="AG145" s="9">
        <v>0</v>
      </c>
      <c r="AH145" s="9">
        <v>0</v>
      </c>
      <c r="AI145" s="9">
        <v>0</v>
      </c>
      <c r="AJ145" s="9">
        <v>0</v>
      </c>
      <c r="AK145" s="9">
        <v>0</v>
      </c>
      <c r="AL145" s="9">
        <v>0</v>
      </c>
      <c r="AM145" s="9">
        <v>0</v>
      </c>
      <c r="AN145" s="9">
        <v>0</v>
      </c>
      <c r="AO145" s="9">
        <v>0</v>
      </c>
      <c r="AP145" s="9">
        <v>0</v>
      </c>
      <c r="AQ145" s="9">
        <v>0</v>
      </c>
      <c r="AR145" s="9">
        <v>0</v>
      </c>
      <c r="AS145" s="9">
        <v>0</v>
      </c>
      <c r="AT145" s="9">
        <v>0</v>
      </c>
      <c r="AU145" s="9">
        <v>0</v>
      </c>
      <c r="AV145" s="9">
        <v>0</v>
      </c>
      <c r="AW145" s="9">
        <v>0</v>
      </c>
      <c r="AX145" s="9">
        <v>0</v>
      </c>
      <c r="AY145" s="9">
        <v>0</v>
      </c>
      <c r="AZ145" s="9">
        <v>0</v>
      </c>
      <c r="BA145" s="9">
        <v>0</v>
      </c>
      <c r="BB145" s="9">
        <v>0</v>
      </c>
      <c r="BC145" s="9">
        <v>0</v>
      </c>
      <c r="BD145" s="9">
        <v>0</v>
      </c>
      <c r="BE145" s="9">
        <v>0</v>
      </c>
      <c r="BF145" s="9">
        <v>0</v>
      </c>
      <c r="BG145" s="9">
        <v>0</v>
      </c>
      <c r="BH145" s="9">
        <v>0</v>
      </c>
      <c r="BI145" s="9">
        <v>0</v>
      </c>
      <c r="BJ145" s="9">
        <v>0</v>
      </c>
      <c r="BK145" s="9">
        <v>0</v>
      </c>
      <c r="BL145" s="9">
        <v>0</v>
      </c>
      <c r="BM145" s="9">
        <v>0</v>
      </c>
      <c r="BN145" s="9">
        <v>0</v>
      </c>
      <c r="BO145" s="9">
        <v>0</v>
      </c>
      <c r="BP145" s="9">
        <v>0</v>
      </c>
      <c r="BQ145" s="9">
        <v>0</v>
      </c>
      <c r="BR145" s="9">
        <v>0</v>
      </c>
      <c r="BS145" s="9">
        <v>0</v>
      </c>
      <c r="BT145" s="9">
        <v>0</v>
      </c>
      <c r="BU145" s="9">
        <v>0</v>
      </c>
      <c r="BV145" s="9">
        <v>0</v>
      </c>
      <c r="BW145" s="9">
        <v>0</v>
      </c>
      <c r="BX145" s="9">
        <v>0</v>
      </c>
      <c r="BY145" s="9">
        <v>0</v>
      </c>
      <c r="BZ145" s="9">
        <v>0</v>
      </c>
      <c r="CA145" s="9">
        <v>0</v>
      </c>
      <c r="CB145" s="9">
        <v>0</v>
      </c>
      <c r="CC145" s="9">
        <v>0</v>
      </c>
      <c r="CD145" s="9">
        <v>0</v>
      </c>
      <c r="CE145" s="9">
        <v>0</v>
      </c>
      <c r="CF145" s="9">
        <v>0</v>
      </c>
      <c r="CG145" s="9">
        <v>0</v>
      </c>
      <c r="CH145" s="9">
        <v>0</v>
      </c>
      <c r="CI145" s="9">
        <v>0</v>
      </c>
      <c r="CJ145" s="9">
        <v>0</v>
      </c>
      <c r="CK145" s="9">
        <v>0</v>
      </c>
      <c r="CL145" s="9">
        <v>0</v>
      </c>
      <c r="CM145" s="9">
        <v>0</v>
      </c>
      <c r="CN145" s="9">
        <v>0</v>
      </c>
      <c r="CO145" s="9">
        <v>0</v>
      </c>
      <c r="CP145" s="9">
        <v>0</v>
      </c>
      <c r="CQ145" s="9">
        <v>0</v>
      </c>
      <c r="CR145" s="9">
        <v>0</v>
      </c>
      <c r="CS145" s="9">
        <v>0</v>
      </c>
      <c r="CT145" s="9">
        <v>0</v>
      </c>
      <c r="CU145" s="9">
        <v>0</v>
      </c>
      <c r="CV145" s="9">
        <v>0</v>
      </c>
      <c r="CW145" s="9">
        <v>0</v>
      </c>
      <c r="CX145" s="9">
        <v>0</v>
      </c>
      <c r="CY145" s="9">
        <v>0</v>
      </c>
      <c r="CZ145" s="9">
        <v>0</v>
      </c>
      <c r="DA145" s="9">
        <v>0</v>
      </c>
      <c r="DB145" s="9">
        <v>0</v>
      </c>
      <c r="DC145" s="9">
        <v>0</v>
      </c>
      <c r="DD145" s="9">
        <v>0</v>
      </c>
      <c r="DE145" s="9">
        <v>0</v>
      </c>
      <c r="DF145" s="9">
        <v>0</v>
      </c>
      <c r="DG145" s="9">
        <v>0</v>
      </c>
      <c r="DH145" s="9">
        <v>0</v>
      </c>
      <c r="DI145" s="9">
        <v>0</v>
      </c>
      <c r="DJ145" s="9">
        <v>0</v>
      </c>
      <c r="DK145" s="9">
        <v>0</v>
      </c>
      <c r="DL145" s="9">
        <v>0</v>
      </c>
      <c r="DM145" s="9">
        <v>0</v>
      </c>
      <c r="DN145" s="9">
        <v>0</v>
      </c>
      <c r="DO145" s="9">
        <v>0</v>
      </c>
      <c r="DP145" s="9">
        <v>0</v>
      </c>
      <c r="DQ145" s="9">
        <v>0</v>
      </c>
      <c r="DR145" s="9">
        <v>0</v>
      </c>
      <c r="DS145" s="9">
        <v>0</v>
      </c>
      <c r="DT145" s="9">
        <v>0</v>
      </c>
      <c r="DU145" s="9">
        <v>0</v>
      </c>
      <c r="DV145" s="9">
        <v>0</v>
      </c>
      <c r="DW145" s="9">
        <v>0</v>
      </c>
      <c r="DX145" s="9">
        <v>0</v>
      </c>
      <c r="DY145" s="9">
        <v>0</v>
      </c>
      <c r="DZ145" s="9">
        <v>0</v>
      </c>
      <c r="EA145" s="9">
        <v>0</v>
      </c>
      <c r="EB145" s="9">
        <v>0</v>
      </c>
      <c r="EC145" s="9">
        <v>0</v>
      </c>
      <c r="ED145" s="9">
        <v>0</v>
      </c>
      <c r="EE145" s="9">
        <v>0</v>
      </c>
      <c r="EF145" s="9">
        <v>0</v>
      </c>
      <c r="EG145" s="9">
        <v>0</v>
      </c>
      <c r="EH145" s="9">
        <v>0</v>
      </c>
      <c r="EI145" s="10">
        <v>0</v>
      </c>
    </row>
    <row r="146" spans="1:139" x14ac:dyDescent="0.35">
      <c r="A146" s="8" t="s">
        <v>261</v>
      </c>
      <c r="B146" s="9" t="s">
        <v>7</v>
      </c>
      <c r="C146" s="9" t="s">
        <v>8</v>
      </c>
      <c r="D146" s="9">
        <f t="shared" si="2"/>
        <v>0</v>
      </c>
      <c r="E146" s="9">
        <v>0</v>
      </c>
      <c r="F146" s="9">
        <v>0</v>
      </c>
      <c r="G146" s="9">
        <v>0</v>
      </c>
      <c r="H146" s="9">
        <v>0</v>
      </c>
      <c r="I146" s="9">
        <v>0</v>
      </c>
      <c r="J146" s="9">
        <v>0</v>
      </c>
      <c r="K146" s="9">
        <v>0</v>
      </c>
      <c r="L146" s="9">
        <v>0</v>
      </c>
      <c r="M146" s="9">
        <v>0</v>
      </c>
      <c r="N146" s="9">
        <v>0</v>
      </c>
      <c r="O146" s="9">
        <v>0</v>
      </c>
      <c r="P146" s="9">
        <v>0</v>
      </c>
      <c r="Q146" s="9">
        <v>0</v>
      </c>
      <c r="R146" s="9">
        <v>0</v>
      </c>
      <c r="S146" s="9">
        <v>0</v>
      </c>
      <c r="T146" s="9">
        <v>0</v>
      </c>
      <c r="U146" s="9">
        <v>0</v>
      </c>
      <c r="V146" s="9">
        <v>0</v>
      </c>
      <c r="W146" s="9">
        <v>0</v>
      </c>
      <c r="X146" s="9">
        <v>0</v>
      </c>
      <c r="Y146" s="9">
        <v>0</v>
      </c>
      <c r="Z146" s="9">
        <v>0</v>
      </c>
      <c r="AA146" s="9">
        <v>0</v>
      </c>
      <c r="AB146" s="9">
        <v>0</v>
      </c>
      <c r="AC146" s="9">
        <v>0</v>
      </c>
      <c r="AD146" s="9">
        <v>0</v>
      </c>
      <c r="AE146" s="9">
        <v>0</v>
      </c>
      <c r="AF146" s="9">
        <v>0</v>
      </c>
      <c r="AG146" s="9">
        <v>0</v>
      </c>
      <c r="AH146" s="9">
        <v>0</v>
      </c>
      <c r="AI146" s="9">
        <v>0</v>
      </c>
      <c r="AJ146" s="9">
        <v>0</v>
      </c>
      <c r="AK146" s="9">
        <v>0</v>
      </c>
      <c r="AL146" s="9">
        <v>0</v>
      </c>
      <c r="AM146" s="9">
        <v>0</v>
      </c>
      <c r="AN146" s="9">
        <v>0</v>
      </c>
      <c r="AO146" s="9">
        <v>0</v>
      </c>
      <c r="AP146" s="9">
        <v>0</v>
      </c>
      <c r="AQ146" s="9">
        <v>0</v>
      </c>
      <c r="AR146" s="9">
        <v>0</v>
      </c>
      <c r="AS146" s="9">
        <v>0</v>
      </c>
      <c r="AT146" s="9">
        <v>0</v>
      </c>
      <c r="AU146" s="9">
        <v>0</v>
      </c>
      <c r="AV146" s="9">
        <v>0</v>
      </c>
      <c r="AW146" s="9">
        <v>0</v>
      </c>
      <c r="AX146" s="9">
        <v>0</v>
      </c>
      <c r="AY146" s="9">
        <v>0</v>
      </c>
      <c r="AZ146" s="9">
        <v>0</v>
      </c>
      <c r="BA146" s="9">
        <v>0</v>
      </c>
      <c r="BB146" s="9">
        <v>0</v>
      </c>
      <c r="BC146" s="9">
        <v>0</v>
      </c>
      <c r="BD146" s="9">
        <v>0</v>
      </c>
      <c r="BE146" s="9">
        <v>0</v>
      </c>
      <c r="BF146" s="9">
        <v>0</v>
      </c>
      <c r="BG146" s="9">
        <v>0</v>
      </c>
      <c r="BH146" s="9">
        <v>0</v>
      </c>
      <c r="BI146" s="9">
        <v>0</v>
      </c>
      <c r="BJ146" s="9">
        <v>0</v>
      </c>
      <c r="BK146" s="9">
        <v>0</v>
      </c>
      <c r="BL146" s="9">
        <v>0</v>
      </c>
      <c r="BM146" s="9">
        <v>0</v>
      </c>
      <c r="BN146" s="9">
        <v>0</v>
      </c>
      <c r="BO146" s="9">
        <v>0</v>
      </c>
      <c r="BP146" s="9">
        <v>0</v>
      </c>
      <c r="BQ146" s="9">
        <v>0</v>
      </c>
      <c r="BR146" s="9">
        <v>0</v>
      </c>
      <c r="BS146" s="9">
        <v>0</v>
      </c>
      <c r="BT146" s="9">
        <v>0</v>
      </c>
      <c r="BU146" s="9">
        <v>0</v>
      </c>
      <c r="BV146" s="9">
        <v>0</v>
      </c>
      <c r="BW146" s="9">
        <v>0</v>
      </c>
      <c r="BX146" s="9">
        <v>0</v>
      </c>
      <c r="BY146" s="9">
        <v>0</v>
      </c>
      <c r="BZ146" s="9">
        <v>0</v>
      </c>
      <c r="CA146" s="9">
        <v>0</v>
      </c>
      <c r="CB146" s="9">
        <v>0</v>
      </c>
      <c r="CC146" s="9">
        <v>0</v>
      </c>
      <c r="CD146" s="9">
        <v>0</v>
      </c>
      <c r="CE146" s="9">
        <v>0</v>
      </c>
      <c r="CF146" s="9">
        <v>0</v>
      </c>
      <c r="CG146" s="9">
        <v>0</v>
      </c>
      <c r="CH146" s="9">
        <v>0</v>
      </c>
      <c r="CI146" s="9">
        <v>0</v>
      </c>
      <c r="CJ146" s="9">
        <v>0</v>
      </c>
      <c r="CK146" s="9">
        <v>0</v>
      </c>
      <c r="CL146" s="9">
        <v>0</v>
      </c>
      <c r="CM146" s="9">
        <v>0</v>
      </c>
      <c r="CN146" s="9">
        <v>0</v>
      </c>
      <c r="CO146" s="9">
        <v>0</v>
      </c>
      <c r="CP146" s="9">
        <v>0</v>
      </c>
      <c r="CQ146" s="9">
        <v>0</v>
      </c>
      <c r="CR146" s="9">
        <v>0</v>
      </c>
      <c r="CS146" s="9">
        <v>0</v>
      </c>
      <c r="CT146" s="9">
        <v>0</v>
      </c>
      <c r="CU146" s="9">
        <v>0</v>
      </c>
      <c r="CV146" s="9">
        <v>0</v>
      </c>
      <c r="CW146" s="9">
        <v>0</v>
      </c>
      <c r="CX146" s="9">
        <v>0</v>
      </c>
      <c r="CY146" s="9">
        <v>0</v>
      </c>
      <c r="CZ146" s="9">
        <v>0</v>
      </c>
      <c r="DA146" s="9">
        <v>0</v>
      </c>
      <c r="DB146" s="9">
        <v>0</v>
      </c>
      <c r="DC146" s="9">
        <v>0</v>
      </c>
      <c r="DD146" s="9">
        <v>0</v>
      </c>
      <c r="DE146" s="9">
        <v>0</v>
      </c>
      <c r="DF146" s="9">
        <v>0</v>
      </c>
      <c r="DG146" s="9">
        <v>0</v>
      </c>
      <c r="DH146" s="9">
        <v>0</v>
      </c>
      <c r="DI146" s="9">
        <v>0</v>
      </c>
      <c r="DJ146" s="9">
        <v>0</v>
      </c>
      <c r="DK146" s="9">
        <v>0</v>
      </c>
      <c r="DL146" s="9">
        <v>0</v>
      </c>
      <c r="DM146" s="9">
        <v>0</v>
      </c>
      <c r="DN146" s="9">
        <v>0</v>
      </c>
      <c r="DO146" s="9">
        <v>0</v>
      </c>
      <c r="DP146" s="9">
        <v>0</v>
      </c>
      <c r="DQ146" s="9">
        <v>0</v>
      </c>
      <c r="DR146" s="9">
        <v>0</v>
      </c>
      <c r="DS146" s="9">
        <v>0</v>
      </c>
      <c r="DT146" s="9">
        <v>0</v>
      </c>
      <c r="DU146" s="9">
        <v>0</v>
      </c>
      <c r="DV146" s="9">
        <v>0</v>
      </c>
      <c r="DW146" s="9">
        <v>0</v>
      </c>
      <c r="DX146" s="9">
        <v>0</v>
      </c>
      <c r="DY146" s="9">
        <v>0</v>
      </c>
      <c r="DZ146" s="9">
        <v>0</v>
      </c>
      <c r="EA146" s="9">
        <v>0</v>
      </c>
      <c r="EB146" s="9">
        <v>0</v>
      </c>
      <c r="EC146" s="9">
        <v>0</v>
      </c>
      <c r="ED146" s="9">
        <v>0</v>
      </c>
      <c r="EE146" s="9">
        <v>0</v>
      </c>
      <c r="EF146" s="9">
        <v>0</v>
      </c>
      <c r="EG146" s="9">
        <v>0</v>
      </c>
      <c r="EH146" s="9">
        <v>0</v>
      </c>
      <c r="EI146" s="10">
        <v>0</v>
      </c>
    </row>
    <row r="147" spans="1:139" x14ac:dyDescent="0.35">
      <c r="A147" s="8" t="s">
        <v>261</v>
      </c>
      <c r="B147" s="9" t="s">
        <v>262</v>
      </c>
      <c r="C147" s="9" t="s">
        <v>263</v>
      </c>
      <c r="D147" s="9">
        <f t="shared" si="2"/>
        <v>0</v>
      </c>
      <c r="E147" s="9">
        <v>0</v>
      </c>
      <c r="F147" s="9">
        <v>0</v>
      </c>
      <c r="G147" s="9">
        <v>0</v>
      </c>
      <c r="H147" s="9">
        <v>0</v>
      </c>
      <c r="I147" s="9">
        <v>0</v>
      </c>
      <c r="J147" s="9">
        <v>0</v>
      </c>
      <c r="K147" s="9">
        <v>0</v>
      </c>
      <c r="L147" s="9">
        <v>0</v>
      </c>
      <c r="M147" s="9">
        <v>0</v>
      </c>
      <c r="N147" s="9">
        <v>0</v>
      </c>
      <c r="O147" s="9">
        <v>0</v>
      </c>
      <c r="P147" s="9">
        <v>0</v>
      </c>
      <c r="Q147" s="9">
        <v>0</v>
      </c>
      <c r="R147" s="9">
        <v>0</v>
      </c>
      <c r="S147" s="9">
        <v>0</v>
      </c>
      <c r="T147" s="9">
        <v>0</v>
      </c>
      <c r="U147" s="9">
        <v>0</v>
      </c>
      <c r="V147" s="9">
        <v>0</v>
      </c>
      <c r="W147" s="9">
        <v>0</v>
      </c>
      <c r="X147" s="9">
        <v>0</v>
      </c>
      <c r="Y147" s="9">
        <v>0</v>
      </c>
      <c r="Z147" s="9">
        <v>0</v>
      </c>
      <c r="AA147" s="9">
        <v>0</v>
      </c>
      <c r="AB147" s="9">
        <v>0</v>
      </c>
      <c r="AC147" s="9">
        <v>0</v>
      </c>
      <c r="AD147" s="9">
        <v>0</v>
      </c>
      <c r="AE147" s="9">
        <v>0</v>
      </c>
      <c r="AF147" s="9">
        <v>0</v>
      </c>
      <c r="AG147" s="9">
        <v>0</v>
      </c>
      <c r="AH147" s="9">
        <v>0</v>
      </c>
      <c r="AI147" s="9">
        <v>0</v>
      </c>
      <c r="AJ147" s="9">
        <v>0</v>
      </c>
      <c r="AK147" s="9">
        <v>0</v>
      </c>
      <c r="AL147" s="9">
        <v>0</v>
      </c>
      <c r="AM147" s="9">
        <v>0</v>
      </c>
      <c r="AN147" s="9">
        <v>0</v>
      </c>
      <c r="AO147" s="9">
        <v>0</v>
      </c>
      <c r="AP147" s="9">
        <v>0</v>
      </c>
      <c r="AQ147" s="9">
        <v>0</v>
      </c>
      <c r="AR147" s="9">
        <v>0</v>
      </c>
      <c r="AS147" s="9">
        <v>0</v>
      </c>
      <c r="AT147" s="9">
        <v>0</v>
      </c>
      <c r="AU147" s="9">
        <v>0</v>
      </c>
      <c r="AV147" s="9">
        <v>0</v>
      </c>
      <c r="AW147" s="9">
        <v>0</v>
      </c>
      <c r="AX147" s="9">
        <v>0</v>
      </c>
      <c r="AY147" s="9">
        <v>0</v>
      </c>
      <c r="AZ147" s="9">
        <v>0</v>
      </c>
      <c r="BA147" s="9">
        <v>0</v>
      </c>
      <c r="BB147" s="9">
        <v>0</v>
      </c>
      <c r="BC147" s="9">
        <v>0</v>
      </c>
      <c r="BD147" s="9">
        <v>0</v>
      </c>
      <c r="BE147" s="9">
        <v>0</v>
      </c>
      <c r="BF147" s="9">
        <v>0</v>
      </c>
      <c r="BG147" s="9">
        <v>0</v>
      </c>
      <c r="BH147" s="9">
        <v>0</v>
      </c>
      <c r="BI147" s="9">
        <v>0</v>
      </c>
      <c r="BJ147" s="9">
        <v>0</v>
      </c>
      <c r="BK147" s="9">
        <v>0</v>
      </c>
      <c r="BL147" s="9">
        <v>0</v>
      </c>
      <c r="BM147" s="9">
        <v>0</v>
      </c>
      <c r="BN147" s="9">
        <v>0</v>
      </c>
      <c r="BO147" s="9">
        <v>0</v>
      </c>
      <c r="BP147" s="9">
        <v>0</v>
      </c>
      <c r="BQ147" s="9">
        <v>0</v>
      </c>
      <c r="BR147" s="9">
        <v>0</v>
      </c>
      <c r="BS147" s="9">
        <v>0</v>
      </c>
      <c r="BT147" s="9">
        <v>0</v>
      </c>
      <c r="BU147" s="9">
        <v>0</v>
      </c>
      <c r="BV147" s="9">
        <v>0</v>
      </c>
      <c r="BW147" s="9">
        <v>0</v>
      </c>
      <c r="BX147" s="9">
        <v>0</v>
      </c>
      <c r="BY147" s="9">
        <v>0</v>
      </c>
      <c r="BZ147" s="9">
        <v>0</v>
      </c>
      <c r="CA147" s="9">
        <v>0</v>
      </c>
      <c r="CB147" s="9">
        <v>0</v>
      </c>
      <c r="CC147" s="9">
        <v>0</v>
      </c>
      <c r="CD147" s="9">
        <v>0</v>
      </c>
      <c r="CE147" s="9">
        <v>0</v>
      </c>
      <c r="CF147" s="9">
        <v>0</v>
      </c>
      <c r="CG147" s="9">
        <v>0</v>
      </c>
      <c r="CH147" s="9">
        <v>0</v>
      </c>
      <c r="CI147" s="9">
        <v>0</v>
      </c>
      <c r="CJ147" s="9">
        <v>0</v>
      </c>
      <c r="CK147" s="9">
        <v>0</v>
      </c>
      <c r="CL147" s="9">
        <v>0</v>
      </c>
      <c r="CM147" s="9">
        <v>0</v>
      </c>
      <c r="CN147" s="9">
        <v>0</v>
      </c>
      <c r="CO147" s="9">
        <v>0</v>
      </c>
      <c r="CP147" s="9">
        <v>0</v>
      </c>
      <c r="CQ147" s="9">
        <v>0</v>
      </c>
      <c r="CR147" s="9">
        <v>0</v>
      </c>
      <c r="CS147" s="9">
        <v>0</v>
      </c>
      <c r="CT147" s="9">
        <v>0</v>
      </c>
      <c r="CU147" s="9">
        <v>0</v>
      </c>
      <c r="CV147" s="9">
        <v>0</v>
      </c>
      <c r="CW147" s="9">
        <v>0</v>
      </c>
      <c r="CX147" s="9">
        <v>0</v>
      </c>
      <c r="CY147" s="9">
        <v>0</v>
      </c>
      <c r="CZ147" s="9">
        <v>0</v>
      </c>
      <c r="DA147" s="9">
        <v>0</v>
      </c>
      <c r="DB147" s="9">
        <v>0</v>
      </c>
      <c r="DC147" s="9">
        <v>0</v>
      </c>
      <c r="DD147" s="9">
        <v>0</v>
      </c>
      <c r="DE147" s="9">
        <v>0</v>
      </c>
      <c r="DF147" s="9">
        <v>0</v>
      </c>
      <c r="DG147" s="9">
        <v>0</v>
      </c>
      <c r="DH147" s="9">
        <v>0</v>
      </c>
      <c r="DI147" s="9">
        <v>0</v>
      </c>
      <c r="DJ147" s="9">
        <v>0</v>
      </c>
      <c r="DK147" s="9">
        <v>0</v>
      </c>
      <c r="DL147" s="9">
        <v>0</v>
      </c>
      <c r="DM147" s="9">
        <v>0</v>
      </c>
      <c r="DN147" s="9">
        <v>0</v>
      </c>
      <c r="DO147" s="9">
        <v>0</v>
      </c>
      <c r="DP147" s="9">
        <v>0</v>
      </c>
      <c r="DQ147" s="9">
        <v>0</v>
      </c>
      <c r="DR147" s="9">
        <v>0</v>
      </c>
      <c r="DS147" s="9">
        <v>0</v>
      </c>
      <c r="DT147" s="9">
        <v>0</v>
      </c>
      <c r="DU147" s="9">
        <v>0</v>
      </c>
      <c r="DV147" s="9">
        <v>0</v>
      </c>
      <c r="DW147" s="9">
        <v>0</v>
      </c>
      <c r="DX147" s="9">
        <v>0</v>
      </c>
      <c r="DY147" s="9">
        <v>0</v>
      </c>
      <c r="DZ147" s="9">
        <v>0</v>
      </c>
      <c r="EA147" s="9">
        <v>0</v>
      </c>
      <c r="EB147" s="9">
        <v>0</v>
      </c>
      <c r="EC147" s="9">
        <v>0</v>
      </c>
      <c r="ED147" s="9">
        <v>0</v>
      </c>
      <c r="EE147" s="9">
        <v>0</v>
      </c>
      <c r="EF147" s="9">
        <v>0</v>
      </c>
      <c r="EG147" s="9">
        <v>0</v>
      </c>
      <c r="EH147" s="9">
        <v>0</v>
      </c>
      <c r="EI147" s="10">
        <v>0</v>
      </c>
    </row>
    <row r="148" spans="1:139" x14ac:dyDescent="0.35">
      <c r="A148" s="8" t="s">
        <v>261</v>
      </c>
      <c r="B148" s="9" t="s">
        <v>264</v>
      </c>
      <c r="C148" s="9" t="s">
        <v>265</v>
      </c>
      <c r="D148" s="9">
        <f t="shared" si="2"/>
        <v>0</v>
      </c>
      <c r="E148" s="9">
        <v>0</v>
      </c>
      <c r="F148" s="9">
        <v>0</v>
      </c>
      <c r="G148" s="9">
        <v>0</v>
      </c>
      <c r="H148" s="9">
        <v>0</v>
      </c>
      <c r="I148" s="9">
        <v>0</v>
      </c>
      <c r="J148" s="9">
        <v>0</v>
      </c>
      <c r="K148" s="9">
        <v>0</v>
      </c>
      <c r="L148" s="9">
        <v>0</v>
      </c>
      <c r="M148" s="9">
        <v>0</v>
      </c>
      <c r="N148" s="9">
        <v>0</v>
      </c>
      <c r="O148" s="9">
        <v>0</v>
      </c>
      <c r="P148" s="9">
        <v>0</v>
      </c>
      <c r="Q148" s="9">
        <v>0</v>
      </c>
      <c r="R148" s="9">
        <v>0</v>
      </c>
      <c r="S148" s="9">
        <v>0</v>
      </c>
      <c r="T148" s="9">
        <v>0</v>
      </c>
      <c r="U148" s="9">
        <v>0</v>
      </c>
      <c r="V148" s="9">
        <v>0</v>
      </c>
      <c r="W148" s="9">
        <v>0</v>
      </c>
      <c r="X148" s="9">
        <v>0</v>
      </c>
      <c r="Y148" s="9">
        <v>0</v>
      </c>
      <c r="Z148" s="9">
        <v>0</v>
      </c>
      <c r="AA148" s="9">
        <v>0</v>
      </c>
      <c r="AB148" s="9">
        <v>0</v>
      </c>
      <c r="AC148" s="9">
        <v>0</v>
      </c>
      <c r="AD148" s="9">
        <v>0</v>
      </c>
      <c r="AE148" s="9">
        <v>0</v>
      </c>
      <c r="AF148" s="9">
        <v>0</v>
      </c>
      <c r="AG148" s="9">
        <v>0</v>
      </c>
      <c r="AH148" s="9">
        <v>0</v>
      </c>
      <c r="AI148" s="9">
        <v>0</v>
      </c>
      <c r="AJ148" s="9">
        <v>0</v>
      </c>
      <c r="AK148" s="9">
        <v>0</v>
      </c>
      <c r="AL148" s="9">
        <v>0</v>
      </c>
      <c r="AM148" s="9">
        <v>0</v>
      </c>
      <c r="AN148" s="9">
        <v>0</v>
      </c>
      <c r="AO148" s="9">
        <v>0</v>
      </c>
      <c r="AP148" s="9">
        <v>0</v>
      </c>
      <c r="AQ148" s="9">
        <v>0</v>
      </c>
      <c r="AR148" s="9">
        <v>0</v>
      </c>
      <c r="AS148" s="9">
        <v>0</v>
      </c>
      <c r="AT148" s="9">
        <v>0</v>
      </c>
      <c r="AU148" s="9">
        <v>0</v>
      </c>
      <c r="AV148" s="9">
        <v>0</v>
      </c>
      <c r="AW148" s="9">
        <v>0</v>
      </c>
      <c r="AX148" s="9">
        <v>0</v>
      </c>
      <c r="AY148" s="9">
        <v>0</v>
      </c>
      <c r="AZ148" s="9">
        <v>0</v>
      </c>
      <c r="BA148" s="9">
        <v>0</v>
      </c>
      <c r="BB148" s="9">
        <v>0</v>
      </c>
      <c r="BC148" s="9">
        <v>0</v>
      </c>
      <c r="BD148" s="9">
        <v>0</v>
      </c>
      <c r="BE148" s="9">
        <v>0</v>
      </c>
      <c r="BF148" s="9">
        <v>0</v>
      </c>
      <c r="BG148" s="9">
        <v>0</v>
      </c>
      <c r="BH148" s="9">
        <v>0</v>
      </c>
      <c r="BI148" s="9">
        <v>0</v>
      </c>
      <c r="BJ148" s="9">
        <v>0</v>
      </c>
      <c r="BK148" s="9">
        <v>0</v>
      </c>
      <c r="BL148" s="9">
        <v>0</v>
      </c>
      <c r="BM148" s="9">
        <v>0</v>
      </c>
      <c r="BN148" s="9">
        <v>0</v>
      </c>
      <c r="BO148" s="9">
        <v>0</v>
      </c>
      <c r="BP148" s="9">
        <v>0</v>
      </c>
      <c r="BQ148" s="9">
        <v>0</v>
      </c>
      <c r="BR148" s="9">
        <v>0</v>
      </c>
      <c r="BS148" s="9">
        <v>0</v>
      </c>
      <c r="BT148" s="9">
        <v>0</v>
      </c>
      <c r="BU148" s="9">
        <v>0</v>
      </c>
      <c r="BV148" s="9">
        <v>0</v>
      </c>
      <c r="BW148" s="9">
        <v>0</v>
      </c>
      <c r="BX148" s="9">
        <v>0</v>
      </c>
      <c r="BY148" s="9">
        <v>0</v>
      </c>
      <c r="BZ148" s="9">
        <v>0</v>
      </c>
      <c r="CA148" s="9">
        <v>0</v>
      </c>
      <c r="CB148" s="9">
        <v>0</v>
      </c>
      <c r="CC148" s="9">
        <v>0</v>
      </c>
      <c r="CD148" s="9">
        <v>0</v>
      </c>
      <c r="CE148" s="9">
        <v>0</v>
      </c>
      <c r="CF148" s="9">
        <v>0</v>
      </c>
      <c r="CG148" s="9">
        <v>0</v>
      </c>
      <c r="CH148" s="9">
        <v>0</v>
      </c>
      <c r="CI148" s="9">
        <v>0</v>
      </c>
      <c r="CJ148" s="9">
        <v>0</v>
      </c>
      <c r="CK148" s="9">
        <v>0</v>
      </c>
      <c r="CL148" s="9">
        <v>0</v>
      </c>
      <c r="CM148" s="9">
        <v>0</v>
      </c>
      <c r="CN148" s="9">
        <v>0</v>
      </c>
      <c r="CO148" s="9">
        <v>0</v>
      </c>
      <c r="CP148" s="9">
        <v>0</v>
      </c>
      <c r="CQ148" s="9">
        <v>0</v>
      </c>
      <c r="CR148" s="9">
        <v>0</v>
      </c>
      <c r="CS148" s="9">
        <v>0</v>
      </c>
      <c r="CT148" s="9">
        <v>0</v>
      </c>
      <c r="CU148" s="9">
        <v>0</v>
      </c>
      <c r="CV148" s="9">
        <v>0</v>
      </c>
      <c r="CW148" s="9">
        <v>0</v>
      </c>
      <c r="CX148" s="9">
        <v>0</v>
      </c>
      <c r="CY148" s="9">
        <v>0</v>
      </c>
      <c r="CZ148" s="9">
        <v>0</v>
      </c>
      <c r="DA148" s="9">
        <v>0</v>
      </c>
      <c r="DB148" s="9">
        <v>0</v>
      </c>
      <c r="DC148" s="9">
        <v>0</v>
      </c>
      <c r="DD148" s="9">
        <v>0</v>
      </c>
      <c r="DE148" s="9">
        <v>0</v>
      </c>
      <c r="DF148" s="9">
        <v>0</v>
      </c>
      <c r="DG148" s="9">
        <v>0</v>
      </c>
      <c r="DH148" s="9">
        <v>0</v>
      </c>
      <c r="DI148" s="9">
        <v>0</v>
      </c>
      <c r="DJ148" s="9">
        <v>0</v>
      </c>
      <c r="DK148" s="9">
        <v>0</v>
      </c>
      <c r="DL148" s="9">
        <v>0</v>
      </c>
      <c r="DM148" s="9">
        <v>0</v>
      </c>
      <c r="DN148" s="9">
        <v>0</v>
      </c>
      <c r="DO148" s="9">
        <v>0</v>
      </c>
      <c r="DP148" s="9">
        <v>0</v>
      </c>
      <c r="DQ148" s="9">
        <v>0</v>
      </c>
      <c r="DR148" s="9">
        <v>0</v>
      </c>
      <c r="DS148" s="9">
        <v>0</v>
      </c>
      <c r="DT148" s="9">
        <v>0</v>
      </c>
      <c r="DU148" s="9">
        <v>0</v>
      </c>
      <c r="DV148" s="9">
        <v>0</v>
      </c>
      <c r="DW148" s="9">
        <v>0</v>
      </c>
      <c r="DX148" s="9">
        <v>0</v>
      </c>
      <c r="DY148" s="9">
        <v>0</v>
      </c>
      <c r="DZ148" s="9">
        <v>0</v>
      </c>
      <c r="EA148" s="9">
        <v>0</v>
      </c>
      <c r="EB148" s="9">
        <v>0</v>
      </c>
      <c r="EC148" s="9">
        <v>0</v>
      </c>
      <c r="ED148" s="9">
        <v>0</v>
      </c>
      <c r="EE148" s="9">
        <v>0</v>
      </c>
      <c r="EF148" s="9">
        <v>0</v>
      </c>
      <c r="EG148" s="9">
        <v>0</v>
      </c>
      <c r="EH148" s="9">
        <v>0</v>
      </c>
      <c r="EI148" s="10">
        <v>0</v>
      </c>
    </row>
    <row r="149" spans="1:139" x14ac:dyDescent="0.35">
      <c r="A149" s="8" t="s">
        <v>261</v>
      </c>
      <c r="B149" s="9" t="s">
        <v>266</v>
      </c>
      <c r="C149" s="9" t="s">
        <v>267</v>
      </c>
      <c r="D149" s="9">
        <f t="shared" si="2"/>
        <v>0</v>
      </c>
      <c r="E149" s="9">
        <v>0</v>
      </c>
      <c r="F149" s="9">
        <v>0</v>
      </c>
      <c r="G149" s="9">
        <v>0</v>
      </c>
      <c r="H149" s="9">
        <v>0</v>
      </c>
      <c r="I149" s="9">
        <v>0</v>
      </c>
      <c r="J149" s="9">
        <v>0</v>
      </c>
      <c r="K149" s="9">
        <v>0</v>
      </c>
      <c r="L149" s="9">
        <v>0</v>
      </c>
      <c r="M149" s="9">
        <v>0</v>
      </c>
      <c r="N149" s="9">
        <v>0</v>
      </c>
      <c r="O149" s="9">
        <v>0</v>
      </c>
      <c r="P149" s="9">
        <v>0</v>
      </c>
      <c r="Q149" s="9">
        <v>0</v>
      </c>
      <c r="R149" s="9">
        <v>0</v>
      </c>
      <c r="S149" s="9">
        <v>0</v>
      </c>
      <c r="T149" s="9">
        <v>0</v>
      </c>
      <c r="U149" s="9">
        <v>0</v>
      </c>
      <c r="V149" s="9">
        <v>0</v>
      </c>
      <c r="W149" s="9">
        <v>0</v>
      </c>
      <c r="X149" s="9">
        <v>0</v>
      </c>
      <c r="Y149" s="9">
        <v>0</v>
      </c>
      <c r="Z149" s="9">
        <v>0</v>
      </c>
      <c r="AA149" s="9">
        <v>0</v>
      </c>
      <c r="AB149" s="9">
        <v>0</v>
      </c>
      <c r="AC149" s="9">
        <v>0</v>
      </c>
      <c r="AD149" s="9">
        <v>0</v>
      </c>
      <c r="AE149" s="9">
        <v>0</v>
      </c>
      <c r="AF149" s="9">
        <v>0</v>
      </c>
      <c r="AG149" s="9">
        <v>0</v>
      </c>
      <c r="AH149" s="9">
        <v>0</v>
      </c>
      <c r="AI149" s="9">
        <v>0</v>
      </c>
      <c r="AJ149" s="9">
        <v>0</v>
      </c>
      <c r="AK149" s="9">
        <v>0</v>
      </c>
      <c r="AL149" s="9">
        <v>0</v>
      </c>
      <c r="AM149" s="9">
        <v>0</v>
      </c>
      <c r="AN149" s="9">
        <v>0</v>
      </c>
      <c r="AO149" s="9">
        <v>0</v>
      </c>
      <c r="AP149" s="9">
        <v>0</v>
      </c>
      <c r="AQ149" s="9">
        <v>0</v>
      </c>
      <c r="AR149" s="9">
        <v>0</v>
      </c>
      <c r="AS149" s="9">
        <v>0</v>
      </c>
      <c r="AT149" s="9">
        <v>0</v>
      </c>
      <c r="AU149" s="9">
        <v>0</v>
      </c>
      <c r="AV149" s="9">
        <v>0</v>
      </c>
      <c r="AW149" s="9">
        <v>0</v>
      </c>
      <c r="AX149" s="9">
        <v>0</v>
      </c>
      <c r="AY149" s="9">
        <v>0</v>
      </c>
      <c r="AZ149" s="9">
        <v>0</v>
      </c>
      <c r="BA149" s="9">
        <v>0</v>
      </c>
      <c r="BB149" s="9">
        <v>0</v>
      </c>
      <c r="BC149" s="9">
        <v>0</v>
      </c>
      <c r="BD149" s="9">
        <v>0</v>
      </c>
      <c r="BE149" s="9">
        <v>0</v>
      </c>
      <c r="BF149" s="9">
        <v>0</v>
      </c>
      <c r="BG149" s="9">
        <v>0</v>
      </c>
      <c r="BH149" s="9">
        <v>0</v>
      </c>
      <c r="BI149" s="9">
        <v>0</v>
      </c>
      <c r="BJ149" s="9">
        <v>0</v>
      </c>
      <c r="BK149" s="9">
        <v>0</v>
      </c>
      <c r="BL149" s="9">
        <v>0</v>
      </c>
      <c r="BM149" s="9">
        <v>0</v>
      </c>
      <c r="BN149" s="9">
        <v>0</v>
      </c>
      <c r="BO149" s="9">
        <v>0</v>
      </c>
      <c r="BP149" s="9">
        <v>0</v>
      </c>
      <c r="BQ149" s="9">
        <v>0</v>
      </c>
      <c r="BR149" s="9">
        <v>0</v>
      </c>
      <c r="BS149" s="9">
        <v>0</v>
      </c>
      <c r="BT149" s="9">
        <v>0</v>
      </c>
      <c r="BU149" s="9">
        <v>0</v>
      </c>
      <c r="BV149" s="9">
        <v>0</v>
      </c>
      <c r="BW149" s="9">
        <v>0</v>
      </c>
      <c r="BX149" s="9">
        <v>0</v>
      </c>
      <c r="BY149" s="9">
        <v>0</v>
      </c>
      <c r="BZ149" s="9">
        <v>0</v>
      </c>
      <c r="CA149" s="9">
        <v>0</v>
      </c>
      <c r="CB149" s="9">
        <v>0</v>
      </c>
      <c r="CC149" s="9">
        <v>0</v>
      </c>
      <c r="CD149" s="9">
        <v>0</v>
      </c>
      <c r="CE149" s="9">
        <v>0</v>
      </c>
      <c r="CF149" s="9">
        <v>0</v>
      </c>
      <c r="CG149" s="9">
        <v>0</v>
      </c>
      <c r="CH149" s="9">
        <v>0</v>
      </c>
      <c r="CI149" s="9">
        <v>0</v>
      </c>
      <c r="CJ149" s="9">
        <v>0</v>
      </c>
      <c r="CK149" s="9">
        <v>0</v>
      </c>
      <c r="CL149" s="9">
        <v>0</v>
      </c>
      <c r="CM149" s="9">
        <v>0</v>
      </c>
      <c r="CN149" s="9">
        <v>0</v>
      </c>
      <c r="CO149" s="9">
        <v>0</v>
      </c>
      <c r="CP149" s="9">
        <v>0</v>
      </c>
      <c r="CQ149" s="9">
        <v>0</v>
      </c>
      <c r="CR149" s="9">
        <v>0</v>
      </c>
      <c r="CS149" s="9">
        <v>0</v>
      </c>
      <c r="CT149" s="9">
        <v>0</v>
      </c>
      <c r="CU149" s="9">
        <v>0</v>
      </c>
      <c r="CV149" s="9">
        <v>0</v>
      </c>
      <c r="CW149" s="9">
        <v>0</v>
      </c>
      <c r="CX149" s="9">
        <v>0</v>
      </c>
      <c r="CY149" s="9">
        <v>0</v>
      </c>
      <c r="CZ149" s="9">
        <v>0</v>
      </c>
      <c r="DA149" s="9">
        <v>0</v>
      </c>
      <c r="DB149" s="9">
        <v>0</v>
      </c>
      <c r="DC149" s="9">
        <v>0</v>
      </c>
      <c r="DD149" s="9">
        <v>0</v>
      </c>
      <c r="DE149" s="9">
        <v>0</v>
      </c>
      <c r="DF149" s="9">
        <v>0</v>
      </c>
      <c r="DG149" s="9">
        <v>0</v>
      </c>
      <c r="DH149" s="9">
        <v>0</v>
      </c>
      <c r="DI149" s="9">
        <v>0</v>
      </c>
      <c r="DJ149" s="9">
        <v>0</v>
      </c>
      <c r="DK149" s="9">
        <v>0</v>
      </c>
      <c r="DL149" s="9">
        <v>0</v>
      </c>
      <c r="DM149" s="9">
        <v>0</v>
      </c>
      <c r="DN149" s="9">
        <v>0</v>
      </c>
      <c r="DO149" s="9">
        <v>0</v>
      </c>
      <c r="DP149" s="9">
        <v>0</v>
      </c>
      <c r="DQ149" s="9">
        <v>0</v>
      </c>
      <c r="DR149" s="9">
        <v>0</v>
      </c>
      <c r="DS149" s="9">
        <v>0</v>
      </c>
      <c r="DT149" s="9">
        <v>0</v>
      </c>
      <c r="DU149" s="9">
        <v>0</v>
      </c>
      <c r="DV149" s="9">
        <v>0</v>
      </c>
      <c r="DW149" s="9">
        <v>0</v>
      </c>
      <c r="DX149" s="9">
        <v>0</v>
      </c>
      <c r="DY149" s="9">
        <v>0</v>
      </c>
      <c r="DZ149" s="9">
        <v>0</v>
      </c>
      <c r="EA149" s="9">
        <v>0</v>
      </c>
      <c r="EB149" s="9">
        <v>0</v>
      </c>
      <c r="EC149" s="9">
        <v>0</v>
      </c>
      <c r="ED149" s="9">
        <v>0</v>
      </c>
      <c r="EE149" s="9">
        <v>0</v>
      </c>
      <c r="EF149" s="9">
        <v>0</v>
      </c>
      <c r="EG149" s="9">
        <v>0</v>
      </c>
      <c r="EH149" s="9">
        <v>0</v>
      </c>
      <c r="EI149" s="10">
        <v>0</v>
      </c>
    </row>
    <row r="150" spans="1:139" x14ac:dyDescent="0.35">
      <c r="A150" s="8" t="s">
        <v>261</v>
      </c>
      <c r="B150" s="9" t="s">
        <v>268</v>
      </c>
      <c r="C150" s="9" t="s">
        <v>269</v>
      </c>
      <c r="D150" s="9">
        <f t="shared" si="2"/>
        <v>17</v>
      </c>
      <c r="E150" s="9">
        <v>0</v>
      </c>
      <c r="F150" s="9">
        <v>0</v>
      </c>
      <c r="G150" s="9">
        <v>0</v>
      </c>
      <c r="H150" s="9">
        <v>0</v>
      </c>
      <c r="I150" s="9">
        <v>0</v>
      </c>
      <c r="J150" s="9">
        <v>0</v>
      </c>
      <c r="K150" s="9">
        <v>0</v>
      </c>
      <c r="L150" s="9">
        <v>0</v>
      </c>
      <c r="M150" s="9">
        <v>0</v>
      </c>
      <c r="N150" s="9">
        <v>0</v>
      </c>
      <c r="O150" s="9">
        <v>0</v>
      </c>
      <c r="P150" s="9">
        <v>0</v>
      </c>
      <c r="Q150" s="9">
        <v>0</v>
      </c>
      <c r="R150" s="9">
        <v>0</v>
      </c>
      <c r="S150" s="9">
        <v>0</v>
      </c>
      <c r="T150" s="9">
        <v>0</v>
      </c>
      <c r="U150" s="9">
        <v>0</v>
      </c>
      <c r="V150" s="9">
        <v>0</v>
      </c>
      <c r="W150" s="9">
        <v>0</v>
      </c>
      <c r="X150" s="9">
        <v>0</v>
      </c>
      <c r="Y150" s="9">
        <v>0</v>
      </c>
      <c r="Z150" s="9">
        <v>0</v>
      </c>
      <c r="AA150" s="9">
        <v>0</v>
      </c>
      <c r="AB150" s="9">
        <v>0</v>
      </c>
      <c r="AC150" s="9">
        <v>0</v>
      </c>
      <c r="AD150" s="9">
        <v>0</v>
      </c>
      <c r="AE150" s="9">
        <v>0</v>
      </c>
      <c r="AF150" s="9">
        <v>0</v>
      </c>
      <c r="AG150" s="9">
        <v>0</v>
      </c>
      <c r="AH150" s="9">
        <v>0</v>
      </c>
      <c r="AI150" s="9">
        <v>0</v>
      </c>
      <c r="AJ150" s="9">
        <v>0</v>
      </c>
      <c r="AK150" s="9">
        <v>0</v>
      </c>
      <c r="AL150" s="9">
        <v>0</v>
      </c>
      <c r="AM150" s="9">
        <v>0</v>
      </c>
      <c r="AN150" s="9">
        <v>0</v>
      </c>
      <c r="AO150" s="9">
        <v>7</v>
      </c>
      <c r="AP150" s="9">
        <v>0</v>
      </c>
      <c r="AQ150" s="9">
        <v>0</v>
      </c>
      <c r="AR150" s="9">
        <v>0</v>
      </c>
      <c r="AS150" s="9">
        <v>2</v>
      </c>
      <c r="AT150" s="9">
        <v>0</v>
      </c>
      <c r="AU150" s="9">
        <v>2</v>
      </c>
      <c r="AV150" s="9">
        <v>0</v>
      </c>
      <c r="AW150" s="9">
        <v>0</v>
      </c>
      <c r="AX150" s="9">
        <v>0</v>
      </c>
      <c r="AY150" s="9">
        <v>0</v>
      </c>
      <c r="AZ150" s="9">
        <v>0</v>
      </c>
      <c r="BA150" s="9">
        <v>0</v>
      </c>
      <c r="BB150" s="9">
        <v>0</v>
      </c>
      <c r="BC150" s="9">
        <v>0</v>
      </c>
      <c r="BD150" s="9">
        <v>1</v>
      </c>
      <c r="BE150" s="9">
        <v>0</v>
      </c>
      <c r="BF150" s="9">
        <v>0</v>
      </c>
      <c r="BG150" s="9">
        <v>0</v>
      </c>
      <c r="BH150" s="9">
        <v>0</v>
      </c>
      <c r="BI150" s="9">
        <v>1</v>
      </c>
      <c r="BJ150" s="9">
        <v>0</v>
      </c>
      <c r="BK150" s="9">
        <v>0</v>
      </c>
      <c r="BL150" s="9">
        <v>0</v>
      </c>
      <c r="BM150" s="9">
        <v>0</v>
      </c>
      <c r="BN150" s="9">
        <v>0</v>
      </c>
      <c r="BO150" s="9">
        <v>1</v>
      </c>
      <c r="BP150" s="9">
        <v>0</v>
      </c>
      <c r="BQ150" s="9">
        <v>0</v>
      </c>
      <c r="BR150" s="9">
        <v>0</v>
      </c>
      <c r="BS150" s="9">
        <v>0</v>
      </c>
      <c r="BT150" s="9">
        <v>0</v>
      </c>
      <c r="BU150" s="9">
        <v>1</v>
      </c>
      <c r="BV150" s="9">
        <v>1</v>
      </c>
      <c r="BW150" s="9">
        <v>0</v>
      </c>
      <c r="BX150" s="9">
        <v>0</v>
      </c>
      <c r="BY150" s="9">
        <v>0</v>
      </c>
      <c r="BZ150" s="9">
        <v>0</v>
      </c>
      <c r="CA150" s="9">
        <v>0</v>
      </c>
      <c r="CB150" s="9">
        <v>0</v>
      </c>
      <c r="CC150" s="9">
        <v>1</v>
      </c>
      <c r="CD150" s="9">
        <v>0</v>
      </c>
      <c r="CE150" s="9">
        <v>0</v>
      </c>
      <c r="CF150" s="9">
        <v>0</v>
      </c>
      <c r="CG150" s="9">
        <v>0</v>
      </c>
      <c r="CH150" s="9">
        <v>0</v>
      </c>
      <c r="CI150" s="9">
        <v>0</v>
      </c>
      <c r="CJ150" s="9">
        <v>0</v>
      </c>
      <c r="CK150" s="9">
        <v>0</v>
      </c>
      <c r="CL150" s="9">
        <v>0</v>
      </c>
      <c r="CM150" s="9">
        <v>0</v>
      </c>
      <c r="CN150" s="9">
        <v>0</v>
      </c>
      <c r="CO150" s="9">
        <v>0</v>
      </c>
      <c r="CP150" s="9">
        <v>0</v>
      </c>
      <c r="CQ150" s="9">
        <v>0</v>
      </c>
      <c r="CR150" s="9">
        <v>0</v>
      </c>
      <c r="CS150" s="9">
        <v>0</v>
      </c>
      <c r="CT150" s="9">
        <v>0</v>
      </c>
      <c r="CU150" s="9">
        <v>0</v>
      </c>
      <c r="CV150" s="9">
        <v>0</v>
      </c>
      <c r="CW150" s="9">
        <v>0</v>
      </c>
      <c r="CX150" s="9">
        <v>0</v>
      </c>
      <c r="CY150" s="9">
        <v>0</v>
      </c>
      <c r="CZ150" s="9">
        <v>0</v>
      </c>
      <c r="DA150" s="9">
        <v>0</v>
      </c>
      <c r="DB150" s="9">
        <v>0</v>
      </c>
      <c r="DC150" s="9">
        <v>0</v>
      </c>
      <c r="DD150" s="9">
        <v>0</v>
      </c>
      <c r="DE150" s="9">
        <v>0</v>
      </c>
      <c r="DF150" s="9">
        <v>0</v>
      </c>
      <c r="DG150" s="9">
        <v>0</v>
      </c>
      <c r="DH150" s="9">
        <v>0</v>
      </c>
      <c r="DI150" s="9">
        <v>0</v>
      </c>
      <c r="DJ150" s="9">
        <v>0</v>
      </c>
      <c r="DK150" s="9">
        <v>0</v>
      </c>
      <c r="DL150" s="9">
        <v>0</v>
      </c>
      <c r="DM150" s="9">
        <v>0</v>
      </c>
      <c r="DN150" s="9">
        <v>0</v>
      </c>
      <c r="DO150" s="9">
        <v>0</v>
      </c>
      <c r="DP150" s="9">
        <v>0</v>
      </c>
      <c r="DQ150" s="9">
        <v>0</v>
      </c>
      <c r="DR150" s="9">
        <v>0</v>
      </c>
      <c r="DS150" s="9">
        <v>0</v>
      </c>
      <c r="DT150" s="9">
        <v>0</v>
      </c>
      <c r="DU150" s="9">
        <v>0</v>
      </c>
      <c r="DV150" s="9">
        <v>0</v>
      </c>
      <c r="DW150" s="9">
        <v>0</v>
      </c>
      <c r="DX150" s="9">
        <v>0</v>
      </c>
      <c r="DY150" s="9">
        <v>0</v>
      </c>
      <c r="DZ150" s="9">
        <v>0</v>
      </c>
      <c r="EA150" s="9">
        <v>0</v>
      </c>
      <c r="EB150" s="9">
        <v>0</v>
      </c>
      <c r="EC150" s="9">
        <v>0</v>
      </c>
      <c r="ED150" s="9">
        <v>0</v>
      </c>
      <c r="EE150" s="9">
        <v>0</v>
      </c>
      <c r="EF150" s="9">
        <v>0</v>
      </c>
      <c r="EG150" s="9">
        <v>0</v>
      </c>
      <c r="EH150" s="9">
        <v>0</v>
      </c>
      <c r="EI150" s="10">
        <v>0</v>
      </c>
    </row>
    <row r="151" spans="1:139" x14ac:dyDescent="0.35">
      <c r="A151" s="8" t="s">
        <v>261</v>
      </c>
      <c r="B151" s="9" t="s">
        <v>13</v>
      </c>
      <c r="C151" s="9" t="s">
        <v>14</v>
      </c>
      <c r="D151" s="9">
        <f t="shared" si="2"/>
        <v>1</v>
      </c>
      <c r="E151" s="9">
        <v>0</v>
      </c>
      <c r="F151" s="9">
        <v>0</v>
      </c>
      <c r="G151" s="9">
        <v>0</v>
      </c>
      <c r="H151" s="9">
        <v>0</v>
      </c>
      <c r="I151" s="9">
        <v>0</v>
      </c>
      <c r="J151" s="9">
        <v>0</v>
      </c>
      <c r="K151" s="9">
        <v>0</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s="9">
        <v>0</v>
      </c>
      <c r="AT151" s="9">
        <v>0</v>
      </c>
      <c r="AU151" s="9">
        <v>0</v>
      </c>
      <c r="AV151" s="9">
        <v>0</v>
      </c>
      <c r="AW151" s="9">
        <v>0</v>
      </c>
      <c r="AX151" s="9">
        <v>0</v>
      </c>
      <c r="AY151" s="9">
        <v>0</v>
      </c>
      <c r="AZ151" s="9">
        <v>0</v>
      </c>
      <c r="BA151" s="9">
        <v>0</v>
      </c>
      <c r="BB151" s="9">
        <v>0</v>
      </c>
      <c r="BC151" s="9">
        <v>0</v>
      </c>
      <c r="BD151" s="9">
        <v>0</v>
      </c>
      <c r="BE151" s="9">
        <v>0</v>
      </c>
      <c r="BF151" s="9">
        <v>0</v>
      </c>
      <c r="BG151" s="9">
        <v>0</v>
      </c>
      <c r="BH151" s="9">
        <v>0</v>
      </c>
      <c r="BI151" s="9">
        <v>0</v>
      </c>
      <c r="BJ151" s="9">
        <v>0</v>
      </c>
      <c r="BK151" s="9">
        <v>0</v>
      </c>
      <c r="BL151" s="9">
        <v>0</v>
      </c>
      <c r="BM151" s="9">
        <v>0</v>
      </c>
      <c r="BN151" s="9">
        <v>0</v>
      </c>
      <c r="BO151" s="9">
        <v>0</v>
      </c>
      <c r="BP151" s="9">
        <v>0</v>
      </c>
      <c r="BQ151" s="9">
        <v>0</v>
      </c>
      <c r="BR151" s="9">
        <v>0</v>
      </c>
      <c r="BS151" s="9">
        <v>0</v>
      </c>
      <c r="BT151" s="9">
        <v>0</v>
      </c>
      <c r="BU151" s="9">
        <v>0</v>
      </c>
      <c r="BV151" s="9">
        <v>0</v>
      </c>
      <c r="BW151" s="9">
        <v>0</v>
      </c>
      <c r="BX151" s="9">
        <v>0</v>
      </c>
      <c r="BY151" s="9">
        <v>0</v>
      </c>
      <c r="BZ151" s="9">
        <v>0</v>
      </c>
      <c r="CA151" s="9">
        <v>0</v>
      </c>
      <c r="CB151" s="9">
        <v>0</v>
      </c>
      <c r="CC151" s="9">
        <v>0</v>
      </c>
      <c r="CD151" s="9">
        <v>0</v>
      </c>
      <c r="CE151" s="9">
        <v>0</v>
      </c>
      <c r="CF151" s="9">
        <v>0</v>
      </c>
      <c r="CG151" s="9">
        <v>0</v>
      </c>
      <c r="CH151" s="9">
        <v>1</v>
      </c>
      <c r="CI151" s="9">
        <v>0</v>
      </c>
      <c r="CJ151" s="9">
        <v>0</v>
      </c>
      <c r="CK151" s="9">
        <v>0</v>
      </c>
      <c r="CL151" s="9">
        <v>0</v>
      </c>
      <c r="CM151" s="9">
        <v>0</v>
      </c>
      <c r="CN151" s="9">
        <v>0</v>
      </c>
      <c r="CO151" s="9">
        <v>0</v>
      </c>
      <c r="CP151" s="9">
        <v>0</v>
      </c>
      <c r="CQ151" s="9">
        <v>0</v>
      </c>
      <c r="CR151" s="9">
        <v>0</v>
      </c>
      <c r="CS151" s="9">
        <v>0</v>
      </c>
      <c r="CT151" s="9">
        <v>0</v>
      </c>
      <c r="CU151" s="9">
        <v>0</v>
      </c>
      <c r="CV151" s="9">
        <v>0</v>
      </c>
      <c r="CW151" s="9">
        <v>0</v>
      </c>
      <c r="CX151" s="9">
        <v>0</v>
      </c>
      <c r="CY151" s="9">
        <v>0</v>
      </c>
      <c r="CZ151" s="9">
        <v>0</v>
      </c>
      <c r="DA151" s="9">
        <v>0</v>
      </c>
      <c r="DB151" s="9">
        <v>0</v>
      </c>
      <c r="DC151" s="9">
        <v>0</v>
      </c>
      <c r="DD151" s="9">
        <v>0</v>
      </c>
      <c r="DE151" s="9">
        <v>0</v>
      </c>
      <c r="DF151" s="9">
        <v>0</v>
      </c>
      <c r="DG151" s="9">
        <v>0</v>
      </c>
      <c r="DH151" s="9">
        <v>0</v>
      </c>
      <c r="DI151" s="9">
        <v>0</v>
      </c>
      <c r="DJ151" s="9">
        <v>0</v>
      </c>
      <c r="DK151" s="9">
        <v>0</v>
      </c>
      <c r="DL151" s="9">
        <v>0</v>
      </c>
      <c r="DM151" s="9">
        <v>0</v>
      </c>
      <c r="DN151" s="9">
        <v>0</v>
      </c>
      <c r="DO151" s="9">
        <v>0</v>
      </c>
      <c r="DP151" s="9">
        <v>0</v>
      </c>
      <c r="DQ151" s="9">
        <v>0</v>
      </c>
      <c r="DR151" s="9">
        <v>0</v>
      </c>
      <c r="DS151" s="9">
        <v>0</v>
      </c>
      <c r="DT151" s="9">
        <v>0</v>
      </c>
      <c r="DU151" s="9">
        <v>0</v>
      </c>
      <c r="DV151" s="9">
        <v>0</v>
      </c>
      <c r="DW151" s="9">
        <v>0</v>
      </c>
      <c r="DX151" s="9">
        <v>0</v>
      </c>
      <c r="DY151" s="9">
        <v>0</v>
      </c>
      <c r="DZ151" s="9">
        <v>0</v>
      </c>
      <c r="EA151" s="9">
        <v>0</v>
      </c>
      <c r="EB151" s="9">
        <v>0</v>
      </c>
      <c r="EC151" s="9">
        <v>0</v>
      </c>
      <c r="ED151" s="9">
        <v>0</v>
      </c>
      <c r="EE151" s="9">
        <v>0</v>
      </c>
      <c r="EF151" s="9">
        <v>0</v>
      </c>
      <c r="EG151" s="9">
        <v>0</v>
      </c>
      <c r="EH151" s="9">
        <v>0</v>
      </c>
      <c r="EI151" s="10">
        <v>0</v>
      </c>
    </row>
    <row r="152" spans="1:139" x14ac:dyDescent="0.35">
      <c r="A152" s="8" t="s">
        <v>261</v>
      </c>
      <c r="B152" s="9" t="s">
        <v>270</v>
      </c>
      <c r="C152" s="9" t="s">
        <v>271</v>
      </c>
      <c r="D152" s="9">
        <f t="shared" si="2"/>
        <v>86</v>
      </c>
      <c r="E152" s="9">
        <v>0</v>
      </c>
      <c r="F152" s="9">
        <v>0</v>
      </c>
      <c r="G152" s="9">
        <v>0</v>
      </c>
      <c r="H152" s="9">
        <v>0</v>
      </c>
      <c r="I152" s="9">
        <v>0</v>
      </c>
      <c r="J152" s="9">
        <v>0</v>
      </c>
      <c r="K152" s="9">
        <v>0</v>
      </c>
      <c r="L152" s="9">
        <v>0</v>
      </c>
      <c r="M152" s="9">
        <v>0</v>
      </c>
      <c r="N152" s="9">
        <v>0</v>
      </c>
      <c r="O152" s="9">
        <v>0</v>
      </c>
      <c r="P152" s="9">
        <v>0</v>
      </c>
      <c r="Q152" s="9">
        <v>0</v>
      </c>
      <c r="R152" s="9">
        <v>0</v>
      </c>
      <c r="S152" s="9">
        <v>0</v>
      </c>
      <c r="T152" s="9">
        <v>1</v>
      </c>
      <c r="U152" s="9">
        <v>0</v>
      </c>
      <c r="V152" s="9">
        <v>0</v>
      </c>
      <c r="W152" s="9">
        <v>1</v>
      </c>
      <c r="X152" s="9">
        <v>1</v>
      </c>
      <c r="Y152" s="9">
        <v>4</v>
      </c>
      <c r="Z152" s="9">
        <v>1</v>
      </c>
      <c r="AA152" s="9">
        <v>1</v>
      </c>
      <c r="AB152" s="9">
        <v>0</v>
      </c>
      <c r="AC152" s="9">
        <v>0</v>
      </c>
      <c r="AD152" s="9">
        <v>0</v>
      </c>
      <c r="AE152" s="9">
        <v>2</v>
      </c>
      <c r="AF152" s="9">
        <v>0</v>
      </c>
      <c r="AG152" s="9">
        <v>0</v>
      </c>
      <c r="AH152" s="9">
        <v>0</v>
      </c>
      <c r="AI152" s="9">
        <v>1</v>
      </c>
      <c r="AJ152" s="9">
        <v>1</v>
      </c>
      <c r="AK152" s="9">
        <v>1</v>
      </c>
      <c r="AL152" s="9">
        <v>0</v>
      </c>
      <c r="AM152" s="9">
        <v>3</v>
      </c>
      <c r="AN152" s="9">
        <v>0</v>
      </c>
      <c r="AO152" s="9">
        <v>1</v>
      </c>
      <c r="AP152" s="9">
        <v>1</v>
      </c>
      <c r="AQ152" s="9">
        <v>1</v>
      </c>
      <c r="AR152" s="9">
        <v>1</v>
      </c>
      <c r="AS152" s="9">
        <v>5</v>
      </c>
      <c r="AT152" s="9">
        <v>2</v>
      </c>
      <c r="AU152" s="9">
        <v>2</v>
      </c>
      <c r="AV152" s="9">
        <v>0</v>
      </c>
      <c r="AW152" s="9">
        <v>2</v>
      </c>
      <c r="AX152" s="9">
        <v>0</v>
      </c>
      <c r="AY152" s="9">
        <v>2</v>
      </c>
      <c r="AZ152" s="9">
        <v>0</v>
      </c>
      <c r="BA152" s="9">
        <v>2</v>
      </c>
      <c r="BB152" s="9">
        <v>1</v>
      </c>
      <c r="BC152" s="9">
        <v>0</v>
      </c>
      <c r="BD152" s="9">
        <v>0</v>
      </c>
      <c r="BE152" s="9">
        <v>0</v>
      </c>
      <c r="BF152" s="9">
        <v>5</v>
      </c>
      <c r="BG152" s="9">
        <v>3</v>
      </c>
      <c r="BH152" s="9">
        <v>1</v>
      </c>
      <c r="BI152" s="9">
        <v>2</v>
      </c>
      <c r="BJ152" s="9">
        <v>2</v>
      </c>
      <c r="BK152" s="9">
        <v>0</v>
      </c>
      <c r="BL152" s="9">
        <v>1</v>
      </c>
      <c r="BM152" s="9">
        <v>0</v>
      </c>
      <c r="BN152" s="9">
        <v>1</v>
      </c>
      <c r="BO152" s="9">
        <v>1</v>
      </c>
      <c r="BP152" s="9">
        <v>0</v>
      </c>
      <c r="BQ152" s="9">
        <v>0</v>
      </c>
      <c r="BR152" s="9">
        <v>0</v>
      </c>
      <c r="BS152" s="9">
        <v>4</v>
      </c>
      <c r="BT152" s="9">
        <v>1</v>
      </c>
      <c r="BU152" s="9">
        <v>3</v>
      </c>
      <c r="BV152" s="9">
        <v>1</v>
      </c>
      <c r="BW152" s="9">
        <v>3</v>
      </c>
      <c r="BX152" s="9">
        <v>0</v>
      </c>
      <c r="BY152" s="9">
        <v>0</v>
      </c>
      <c r="BZ152" s="9">
        <v>0</v>
      </c>
      <c r="CA152" s="9">
        <v>1</v>
      </c>
      <c r="CB152" s="9">
        <v>1</v>
      </c>
      <c r="CC152" s="9">
        <v>0</v>
      </c>
      <c r="CD152" s="9">
        <v>2</v>
      </c>
      <c r="CE152" s="9">
        <v>3</v>
      </c>
      <c r="CF152" s="9">
        <v>0</v>
      </c>
      <c r="CG152" s="9">
        <v>0</v>
      </c>
      <c r="CH152" s="9">
        <v>0</v>
      </c>
      <c r="CI152" s="9">
        <v>2</v>
      </c>
      <c r="CJ152" s="9">
        <v>4</v>
      </c>
      <c r="CK152" s="9">
        <v>1</v>
      </c>
      <c r="CL152" s="9">
        <v>0</v>
      </c>
      <c r="CM152" s="9">
        <v>0</v>
      </c>
      <c r="CN152" s="9">
        <v>0</v>
      </c>
      <c r="CO152" s="9">
        <v>0</v>
      </c>
      <c r="CP152" s="9">
        <v>5</v>
      </c>
      <c r="CQ152" s="9">
        <v>1</v>
      </c>
      <c r="CR152" s="9">
        <v>1</v>
      </c>
      <c r="CS152" s="9">
        <v>0</v>
      </c>
      <c r="CT152" s="9">
        <v>0</v>
      </c>
      <c r="CU152" s="9">
        <v>0</v>
      </c>
      <c r="CV152" s="9">
        <v>0</v>
      </c>
      <c r="CW152" s="9">
        <v>0</v>
      </c>
      <c r="CX152" s="9">
        <v>0</v>
      </c>
      <c r="CY152" s="9">
        <v>0</v>
      </c>
      <c r="CZ152" s="9">
        <v>0</v>
      </c>
      <c r="DA152" s="9">
        <v>0</v>
      </c>
      <c r="DB152" s="9">
        <v>0</v>
      </c>
      <c r="DC152" s="9">
        <v>0</v>
      </c>
      <c r="DD152" s="9">
        <v>0</v>
      </c>
      <c r="DE152" s="9">
        <v>0</v>
      </c>
      <c r="DF152" s="9">
        <v>0</v>
      </c>
      <c r="DG152" s="9">
        <v>0</v>
      </c>
      <c r="DH152" s="9">
        <v>0</v>
      </c>
      <c r="DI152" s="9">
        <v>0</v>
      </c>
      <c r="DJ152" s="9">
        <v>0</v>
      </c>
      <c r="DK152" s="9">
        <v>0</v>
      </c>
      <c r="DL152" s="9">
        <v>0</v>
      </c>
      <c r="DM152" s="9">
        <v>0</v>
      </c>
      <c r="DN152" s="9">
        <v>0</v>
      </c>
      <c r="DO152" s="9">
        <v>0</v>
      </c>
      <c r="DP152" s="9">
        <v>0</v>
      </c>
      <c r="DQ152" s="9">
        <v>0</v>
      </c>
      <c r="DR152" s="9">
        <v>0</v>
      </c>
      <c r="DS152" s="9">
        <v>0</v>
      </c>
      <c r="DT152" s="9">
        <v>0</v>
      </c>
      <c r="DU152" s="9">
        <v>0</v>
      </c>
      <c r="DV152" s="9">
        <v>0</v>
      </c>
      <c r="DW152" s="9">
        <v>0</v>
      </c>
      <c r="DX152" s="9">
        <v>0</v>
      </c>
      <c r="DY152" s="9">
        <v>0</v>
      </c>
      <c r="DZ152" s="9">
        <v>0</v>
      </c>
      <c r="EA152" s="9">
        <v>0</v>
      </c>
      <c r="EB152" s="9">
        <v>0</v>
      </c>
      <c r="EC152" s="9">
        <v>0</v>
      </c>
      <c r="ED152" s="9">
        <v>0</v>
      </c>
      <c r="EE152" s="9">
        <v>0</v>
      </c>
      <c r="EF152" s="9">
        <v>0</v>
      </c>
      <c r="EG152" s="9">
        <v>0</v>
      </c>
      <c r="EH152" s="9">
        <v>0</v>
      </c>
      <c r="EI152" s="10">
        <v>0</v>
      </c>
    </row>
    <row r="153" spans="1:139" x14ac:dyDescent="0.35">
      <c r="A153" s="8" t="s">
        <v>261</v>
      </c>
      <c r="B153" s="9" t="s">
        <v>272</v>
      </c>
      <c r="C153" s="9" t="s">
        <v>273</v>
      </c>
      <c r="D153" s="9">
        <f t="shared" si="2"/>
        <v>0</v>
      </c>
      <c r="E153" s="9">
        <v>0</v>
      </c>
      <c r="F153" s="9">
        <v>0</v>
      </c>
      <c r="G153" s="9">
        <v>0</v>
      </c>
      <c r="H153" s="9">
        <v>0</v>
      </c>
      <c r="I153" s="9">
        <v>0</v>
      </c>
      <c r="J153" s="9">
        <v>0</v>
      </c>
      <c r="K153" s="9">
        <v>0</v>
      </c>
      <c r="L153" s="9">
        <v>0</v>
      </c>
      <c r="M153" s="9">
        <v>0</v>
      </c>
      <c r="N153" s="9">
        <v>0</v>
      </c>
      <c r="O153" s="9">
        <v>0</v>
      </c>
      <c r="P153" s="9">
        <v>0</v>
      </c>
      <c r="Q153" s="9">
        <v>0</v>
      </c>
      <c r="R153" s="9">
        <v>0</v>
      </c>
      <c r="S153" s="9">
        <v>0</v>
      </c>
      <c r="T153" s="9">
        <v>0</v>
      </c>
      <c r="U153" s="9">
        <v>0</v>
      </c>
      <c r="V153" s="9">
        <v>0</v>
      </c>
      <c r="W153" s="9">
        <v>0</v>
      </c>
      <c r="X153" s="9">
        <v>0</v>
      </c>
      <c r="Y153" s="9">
        <v>0</v>
      </c>
      <c r="Z153" s="9">
        <v>0</v>
      </c>
      <c r="AA153" s="9">
        <v>0</v>
      </c>
      <c r="AB153" s="9">
        <v>0</v>
      </c>
      <c r="AC153" s="9">
        <v>0</v>
      </c>
      <c r="AD153" s="9">
        <v>0</v>
      </c>
      <c r="AE153" s="9">
        <v>0</v>
      </c>
      <c r="AF153" s="9">
        <v>0</v>
      </c>
      <c r="AG153" s="9">
        <v>0</v>
      </c>
      <c r="AH153" s="9">
        <v>0</v>
      </c>
      <c r="AI153" s="9">
        <v>0</v>
      </c>
      <c r="AJ153" s="9">
        <v>0</v>
      </c>
      <c r="AK153" s="9">
        <v>0</v>
      </c>
      <c r="AL153" s="9">
        <v>0</v>
      </c>
      <c r="AM153" s="9">
        <v>0</v>
      </c>
      <c r="AN153" s="9">
        <v>0</v>
      </c>
      <c r="AO153" s="9">
        <v>0</v>
      </c>
      <c r="AP153" s="9">
        <v>0</v>
      </c>
      <c r="AQ153" s="9">
        <v>0</v>
      </c>
      <c r="AR153" s="9">
        <v>0</v>
      </c>
      <c r="AS153" s="9">
        <v>0</v>
      </c>
      <c r="AT153" s="9">
        <v>0</v>
      </c>
      <c r="AU153" s="9">
        <v>0</v>
      </c>
      <c r="AV153" s="9">
        <v>0</v>
      </c>
      <c r="AW153" s="9">
        <v>0</v>
      </c>
      <c r="AX153" s="9">
        <v>0</v>
      </c>
      <c r="AY153" s="9">
        <v>0</v>
      </c>
      <c r="AZ153" s="9">
        <v>0</v>
      </c>
      <c r="BA153" s="9">
        <v>0</v>
      </c>
      <c r="BB153" s="9">
        <v>0</v>
      </c>
      <c r="BC153" s="9">
        <v>0</v>
      </c>
      <c r="BD153" s="9">
        <v>0</v>
      </c>
      <c r="BE153" s="9">
        <v>0</v>
      </c>
      <c r="BF153" s="9">
        <v>0</v>
      </c>
      <c r="BG153" s="9">
        <v>0</v>
      </c>
      <c r="BH153" s="9">
        <v>0</v>
      </c>
      <c r="BI153" s="9">
        <v>0</v>
      </c>
      <c r="BJ153" s="9">
        <v>0</v>
      </c>
      <c r="BK153" s="9">
        <v>0</v>
      </c>
      <c r="BL153" s="9">
        <v>0</v>
      </c>
      <c r="BM153" s="9">
        <v>0</v>
      </c>
      <c r="BN153" s="9">
        <v>0</v>
      </c>
      <c r="BO153" s="9">
        <v>0</v>
      </c>
      <c r="BP153" s="9">
        <v>0</v>
      </c>
      <c r="BQ153" s="9">
        <v>0</v>
      </c>
      <c r="BR153" s="9">
        <v>0</v>
      </c>
      <c r="BS153" s="9">
        <v>0</v>
      </c>
      <c r="BT153" s="9">
        <v>0</v>
      </c>
      <c r="BU153" s="9">
        <v>0</v>
      </c>
      <c r="BV153" s="9">
        <v>0</v>
      </c>
      <c r="BW153" s="9">
        <v>0</v>
      </c>
      <c r="BX153" s="9">
        <v>0</v>
      </c>
      <c r="BY153" s="9">
        <v>0</v>
      </c>
      <c r="BZ153" s="9">
        <v>0</v>
      </c>
      <c r="CA153" s="9">
        <v>0</v>
      </c>
      <c r="CB153" s="9">
        <v>0</v>
      </c>
      <c r="CC153" s="9">
        <v>0</v>
      </c>
      <c r="CD153" s="9">
        <v>0</v>
      </c>
      <c r="CE153" s="9">
        <v>0</v>
      </c>
      <c r="CF153" s="9">
        <v>0</v>
      </c>
      <c r="CG153" s="9">
        <v>0</v>
      </c>
      <c r="CH153" s="9">
        <v>0</v>
      </c>
      <c r="CI153" s="9">
        <v>0</v>
      </c>
      <c r="CJ153" s="9">
        <v>0</v>
      </c>
      <c r="CK153" s="9">
        <v>0</v>
      </c>
      <c r="CL153" s="9">
        <v>0</v>
      </c>
      <c r="CM153" s="9">
        <v>0</v>
      </c>
      <c r="CN153" s="9">
        <v>0</v>
      </c>
      <c r="CO153" s="9">
        <v>0</v>
      </c>
      <c r="CP153" s="9">
        <v>0</v>
      </c>
      <c r="CQ153" s="9">
        <v>0</v>
      </c>
      <c r="CR153" s="9">
        <v>0</v>
      </c>
      <c r="CS153" s="9">
        <v>0</v>
      </c>
      <c r="CT153" s="9">
        <v>0</v>
      </c>
      <c r="CU153" s="9">
        <v>0</v>
      </c>
      <c r="CV153" s="9">
        <v>0</v>
      </c>
      <c r="CW153" s="9">
        <v>0</v>
      </c>
      <c r="CX153" s="9">
        <v>0</v>
      </c>
      <c r="CY153" s="9">
        <v>0</v>
      </c>
      <c r="CZ153" s="9">
        <v>0</v>
      </c>
      <c r="DA153" s="9">
        <v>0</v>
      </c>
      <c r="DB153" s="9">
        <v>0</v>
      </c>
      <c r="DC153" s="9">
        <v>0</v>
      </c>
      <c r="DD153" s="9">
        <v>0</v>
      </c>
      <c r="DE153" s="9">
        <v>0</v>
      </c>
      <c r="DF153" s="9">
        <v>0</v>
      </c>
      <c r="DG153" s="9">
        <v>0</v>
      </c>
      <c r="DH153" s="9">
        <v>0</v>
      </c>
      <c r="DI153" s="9">
        <v>0</v>
      </c>
      <c r="DJ153" s="9">
        <v>0</v>
      </c>
      <c r="DK153" s="9">
        <v>0</v>
      </c>
      <c r="DL153" s="9">
        <v>0</v>
      </c>
      <c r="DM153" s="9">
        <v>0</v>
      </c>
      <c r="DN153" s="9">
        <v>0</v>
      </c>
      <c r="DO153" s="9">
        <v>0</v>
      </c>
      <c r="DP153" s="9">
        <v>0</v>
      </c>
      <c r="DQ153" s="9">
        <v>0</v>
      </c>
      <c r="DR153" s="9">
        <v>0</v>
      </c>
      <c r="DS153" s="9">
        <v>0</v>
      </c>
      <c r="DT153" s="9">
        <v>0</v>
      </c>
      <c r="DU153" s="9">
        <v>0</v>
      </c>
      <c r="DV153" s="9">
        <v>0</v>
      </c>
      <c r="DW153" s="9">
        <v>0</v>
      </c>
      <c r="DX153" s="9">
        <v>0</v>
      </c>
      <c r="DY153" s="9">
        <v>0</v>
      </c>
      <c r="DZ153" s="9">
        <v>0</v>
      </c>
      <c r="EA153" s="9">
        <v>0</v>
      </c>
      <c r="EB153" s="9">
        <v>0</v>
      </c>
      <c r="EC153" s="9">
        <v>0</v>
      </c>
      <c r="ED153" s="9">
        <v>0</v>
      </c>
      <c r="EE153" s="9">
        <v>0</v>
      </c>
      <c r="EF153" s="9">
        <v>0</v>
      </c>
      <c r="EG153" s="9">
        <v>0</v>
      </c>
      <c r="EH153" s="9">
        <v>0</v>
      </c>
      <c r="EI153" s="10">
        <v>0</v>
      </c>
    </row>
    <row r="154" spans="1:139" x14ac:dyDescent="0.35">
      <c r="A154" s="8" t="s">
        <v>261</v>
      </c>
      <c r="B154" s="9" t="s">
        <v>274</v>
      </c>
      <c r="C154" s="9" t="s">
        <v>275</v>
      </c>
      <c r="D154" s="9">
        <f t="shared" si="2"/>
        <v>0</v>
      </c>
      <c r="E154" s="9">
        <v>0</v>
      </c>
      <c r="F154" s="9">
        <v>0</v>
      </c>
      <c r="G154" s="9">
        <v>0</v>
      </c>
      <c r="H154" s="9">
        <v>0</v>
      </c>
      <c r="I154" s="9">
        <v>0</v>
      </c>
      <c r="J154" s="9">
        <v>0</v>
      </c>
      <c r="K154" s="9">
        <v>0</v>
      </c>
      <c r="L154" s="9">
        <v>0</v>
      </c>
      <c r="M154" s="9">
        <v>0</v>
      </c>
      <c r="N154" s="9">
        <v>0</v>
      </c>
      <c r="O154" s="9">
        <v>0</v>
      </c>
      <c r="P154" s="9">
        <v>0</v>
      </c>
      <c r="Q154" s="9">
        <v>0</v>
      </c>
      <c r="R154" s="9">
        <v>0</v>
      </c>
      <c r="S154" s="9">
        <v>0</v>
      </c>
      <c r="T154" s="9">
        <v>0</v>
      </c>
      <c r="U154" s="9">
        <v>0</v>
      </c>
      <c r="V154" s="9">
        <v>0</v>
      </c>
      <c r="W154" s="9">
        <v>0</v>
      </c>
      <c r="X154" s="9">
        <v>0</v>
      </c>
      <c r="Y154" s="9">
        <v>0</v>
      </c>
      <c r="Z154" s="9">
        <v>0</v>
      </c>
      <c r="AA154" s="9">
        <v>0</v>
      </c>
      <c r="AB154" s="9">
        <v>0</v>
      </c>
      <c r="AC154" s="9">
        <v>0</v>
      </c>
      <c r="AD154" s="9">
        <v>0</v>
      </c>
      <c r="AE154" s="9">
        <v>0</v>
      </c>
      <c r="AF154" s="9">
        <v>0</v>
      </c>
      <c r="AG154" s="9">
        <v>0</v>
      </c>
      <c r="AH154" s="9">
        <v>0</v>
      </c>
      <c r="AI154" s="9">
        <v>0</v>
      </c>
      <c r="AJ154" s="9">
        <v>0</v>
      </c>
      <c r="AK154" s="9">
        <v>0</v>
      </c>
      <c r="AL154" s="9">
        <v>0</v>
      </c>
      <c r="AM154" s="9">
        <v>0</v>
      </c>
      <c r="AN154" s="9">
        <v>0</v>
      </c>
      <c r="AO154" s="9">
        <v>0</v>
      </c>
      <c r="AP154" s="9">
        <v>0</v>
      </c>
      <c r="AQ154" s="9">
        <v>0</v>
      </c>
      <c r="AR154" s="9">
        <v>0</v>
      </c>
      <c r="AS154" s="9">
        <v>0</v>
      </c>
      <c r="AT154" s="9">
        <v>0</v>
      </c>
      <c r="AU154" s="9">
        <v>0</v>
      </c>
      <c r="AV154" s="9">
        <v>0</v>
      </c>
      <c r="AW154" s="9">
        <v>0</v>
      </c>
      <c r="AX154" s="9">
        <v>0</v>
      </c>
      <c r="AY154" s="9">
        <v>0</v>
      </c>
      <c r="AZ154" s="9">
        <v>0</v>
      </c>
      <c r="BA154" s="9">
        <v>0</v>
      </c>
      <c r="BB154" s="9">
        <v>0</v>
      </c>
      <c r="BC154" s="9">
        <v>0</v>
      </c>
      <c r="BD154" s="9">
        <v>0</v>
      </c>
      <c r="BE154" s="9">
        <v>0</v>
      </c>
      <c r="BF154" s="9">
        <v>0</v>
      </c>
      <c r="BG154" s="9">
        <v>0</v>
      </c>
      <c r="BH154" s="9">
        <v>0</v>
      </c>
      <c r="BI154" s="9">
        <v>0</v>
      </c>
      <c r="BJ154" s="9">
        <v>0</v>
      </c>
      <c r="BK154" s="9">
        <v>0</v>
      </c>
      <c r="BL154" s="9">
        <v>0</v>
      </c>
      <c r="BM154" s="9">
        <v>0</v>
      </c>
      <c r="BN154" s="9">
        <v>0</v>
      </c>
      <c r="BO154" s="9">
        <v>0</v>
      </c>
      <c r="BP154" s="9">
        <v>0</v>
      </c>
      <c r="BQ154" s="9">
        <v>0</v>
      </c>
      <c r="BR154" s="9">
        <v>0</v>
      </c>
      <c r="BS154" s="9">
        <v>0</v>
      </c>
      <c r="BT154" s="9">
        <v>0</v>
      </c>
      <c r="BU154" s="9">
        <v>0</v>
      </c>
      <c r="BV154" s="9">
        <v>0</v>
      </c>
      <c r="BW154" s="9">
        <v>0</v>
      </c>
      <c r="BX154" s="9">
        <v>0</v>
      </c>
      <c r="BY154" s="9">
        <v>0</v>
      </c>
      <c r="BZ154" s="9">
        <v>0</v>
      </c>
      <c r="CA154" s="9">
        <v>0</v>
      </c>
      <c r="CB154" s="9">
        <v>0</v>
      </c>
      <c r="CC154" s="9">
        <v>0</v>
      </c>
      <c r="CD154" s="9">
        <v>0</v>
      </c>
      <c r="CE154" s="9">
        <v>0</v>
      </c>
      <c r="CF154" s="9">
        <v>0</v>
      </c>
      <c r="CG154" s="9">
        <v>0</v>
      </c>
      <c r="CH154" s="9">
        <v>0</v>
      </c>
      <c r="CI154" s="9">
        <v>0</v>
      </c>
      <c r="CJ154" s="9">
        <v>0</v>
      </c>
      <c r="CK154" s="9">
        <v>0</v>
      </c>
      <c r="CL154" s="9">
        <v>0</v>
      </c>
      <c r="CM154" s="9">
        <v>0</v>
      </c>
      <c r="CN154" s="9">
        <v>0</v>
      </c>
      <c r="CO154" s="9">
        <v>0</v>
      </c>
      <c r="CP154" s="9">
        <v>0</v>
      </c>
      <c r="CQ154" s="9">
        <v>0</v>
      </c>
      <c r="CR154" s="9">
        <v>0</v>
      </c>
      <c r="CS154" s="9">
        <v>0</v>
      </c>
      <c r="CT154" s="9">
        <v>0</v>
      </c>
      <c r="CU154" s="9">
        <v>0</v>
      </c>
      <c r="CV154" s="9">
        <v>0</v>
      </c>
      <c r="CW154" s="9">
        <v>0</v>
      </c>
      <c r="CX154" s="9">
        <v>0</v>
      </c>
      <c r="CY154" s="9">
        <v>0</v>
      </c>
      <c r="CZ154" s="9">
        <v>0</v>
      </c>
      <c r="DA154" s="9">
        <v>0</v>
      </c>
      <c r="DB154" s="9">
        <v>0</v>
      </c>
      <c r="DC154" s="9">
        <v>0</v>
      </c>
      <c r="DD154" s="9">
        <v>0</v>
      </c>
      <c r="DE154" s="9">
        <v>0</v>
      </c>
      <c r="DF154" s="9">
        <v>0</v>
      </c>
      <c r="DG154" s="9">
        <v>0</v>
      </c>
      <c r="DH154" s="9">
        <v>0</v>
      </c>
      <c r="DI154" s="9">
        <v>0</v>
      </c>
      <c r="DJ154" s="9">
        <v>0</v>
      </c>
      <c r="DK154" s="9">
        <v>0</v>
      </c>
      <c r="DL154" s="9">
        <v>0</v>
      </c>
      <c r="DM154" s="9">
        <v>0</v>
      </c>
      <c r="DN154" s="9">
        <v>0</v>
      </c>
      <c r="DO154" s="9">
        <v>0</v>
      </c>
      <c r="DP154" s="9">
        <v>0</v>
      </c>
      <c r="DQ154" s="9">
        <v>0</v>
      </c>
      <c r="DR154" s="9">
        <v>0</v>
      </c>
      <c r="DS154" s="9">
        <v>0</v>
      </c>
      <c r="DT154" s="9">
        <v>0</v>
      </c>
      <c r="DU154" s="9">
        <v>0</v>
      </c>
      <c r="DV154" s="9">
        <v>0</v>
      </c>
      <c r="DW154" s="9">
        <v>0</v>
      </c>
      <c r="DX154" s="9">
        <v>0</v>
      </c>
      <c r="DY154" s="9">
        <v>0</v>
      </c>
      <c r="DZ154" s="9">
        <v>0</v>
      </c>
      <c r="EA154" s="9">
        <v>0</v>
      </c>
      <c r="EB154" s="9">
        <v>0</v>
      </c>
      <c r="EC154" s="9">
        <v>0</v>
      </c>
      <c r="ED154" s="9">
        <v>0</v>
      </c>
      <c r="EE154" s="9">
        <v>0</v>
      </c>
      <c r="EF154" s="9">
        <v>0</v>
      </c>
      <c r="EG154" s="9">
        <v>0</v>
      </c>
      <c r="EH154" s="9">
        <v>0</v>
      </c>
      <c r="EI154" s="10">
        <v>0</v>
      </c>
    </row>
    <row r="155" spans="1:139" x14ac:dyDescent="0.35">
      <c r="A155" s="8" t="s">
        <v>261</v>
      </c>
      <c r="B155" s="9" t="s">
        <v>276</v>
      </c>
      <c r="C155" s="9" t="s">
        <v>277</v>
      </c>
      <c r="D155" s="9">
        <f t="shared" si="2"/>
        <v>0</v>
      </c>
      <c r="E155" s="9">
        <v>0</v>
      </c>
      <c r="F155" s="9">
        <v>0</v>
      </c>
      <c r="G155" s="9">
        <v>0</v>
      </c>
      <c r="H155" s="9">
        <v>0</v>
      </c>
      <c r="I155" s="9">
        <v>0</v>
      </c>
      <c r="J155" s="9">
        <v>0</v>
      </c>
      <c r="K155" s="9">
        <v>0</v>
      </c>
      <c r="L155" s="9">
        <v>0</v>
      </c>
      <c r="M155" s="9">
        <v>0</v>
      </c>
      <c r="N155" s="9">
        <v>0</v>
      </c>
      <c r="O155" s="9">
        <v>0</v>
      </c>
      <c r="P155" s="9">
        <v>0</v>
      </c>
      <c r="Q155" s="9">
        <v>0</v>
      </c>
      <c r="R155" s="9">
        <v>0</v>
      </c>
      <c r="S155" s="9">
        <v>0</v>
      </c>
      <c r="T155" s="9">
        <v>0</v>
      </c>
      <c r="U155" s="9">
        <v>0</v>
      </c>
      <c r="V155" s="9">
        <v>0</v>
      </c>
      <c r="W155" s="9">
        <v>0</v>
      </c>
      <c r="X155" s="9">
        <v>0</v>
      </c>
      <c r="Y155" s="9">
        <v>0</v>
      </c>
      <c r="Z155" s="9">
        <v>0</v>
      </c>
      <c r="AA155" s="9">
        <v>0</v>
      </c>
      <c r="AB155" s="9">
        <v>0</v>
      </c>
      <c r="AC155" s="9">
        <v>0</v>
      </c>
      <c r="AD155" s="9">
        <v>0</v>
      </c>
      <c r="AE155" s="9">
        <v>0</v>
      </c>
      <c r="AF155" s="9">
        <v>0</v>
      </c>
      <c r="AG155" s="9">
        <v>0</v>
      </c>
      <c r="AH155" s="9">
        <v>0</v>
      </c>
      <c r="AI155" s="9">
        <v>0</v>
      </c>
      <c r="AJ155" s="9">
        <v>0</v>
      </c>
      <c r="AK155" s="9">
        <v>0</v>
      </c>
      <c r="AL155" s="9">
        <v>0</v>
      </c>
      <c r="AM155" s="9">
        <v>0</v>
      </c>
      <c r="AN155" s="9">
        <v>0</v>
      </c>
      <c r="AO155" s="9">
        <v>0</v>
      </c>
      <c r="AP155" s="9">
        <v>0</v>
      </c>
      <c r="AQ155" s="9">
        <v>0</v>
      </c>
      <c r="AR155" s="9">
        <v>0</v>
      </c>
      <c r="AS155" s="9">
        <v>0</v>
      </c>
      <c r="AT155" s="9">
        <v>0</v>
      </c>
      <c r="AU155" s="9">
        <v>0</v>
      </c>
      <c r="AV155" s="9">
        <v>0</v>
      </c>
      <c r="AW155" s="9">
        <v>0</v>
      </c>
      <c r="AX155" s="9">
        <v>0</v>
      </c>
      <c r="AY155" s="9">
        <v>0</v>
      </c>
      <c r="AZ155" s="9">
        <v>0</v>
      </c>
      <c r="BA155" s="9">
        <v>0</v>
      </c>
      <c r="BB155" s="9">
        <v>0</v>
      </c>
      <c r="BC155" s="9">
        <v>0</v>
      </c>
      <c r="BD155" s="9">
        <v>0</v>
      </c>
      <c r="BE155" s="9">
        <v>0</v>
      </c>
      <c r="BF155" s="9">
        <v>0</v>
      </c>
      <c r="BG155" s="9">
        <v>0</v>
      </c>
      <c r="BH155" s="9">
        <v>0</v>
      </c>
      <c r="BI155" s="9">
        <v>0</v>
      </c>
      <c r="BJ155" s="9">
        <v>0</v>
      </c>
      <c r="BK155" s="9">
        <v>0</v>
      </c>
      <c r="BL155" s="9">
        <v>0</v>
      </c>
      <c r="BM155" s="9">
        <v>0</v>
      </c>
      <c r="BN155" s="9">
        <v>0</v>
      </c>
      <c r="BO155" s="9">
        <v>0</v>
      </c>
      <c r="BP155" s="9">
        <v>0</v>
      </c>
      <c r="BQ155" s="9">
        <v>0</v>
      </c>
      <c r="BR155" s="9">
        <v>0</v>
      </c>
      <c r="BS155" s="9">
        <v>0</v>
      </c>
      <c r="BT155" s="9">
        <v>0</v>
      </c>
      <c r="BU155" s="9">
        <v>0</v>
      </c>
      <c r="BV155" s="9">
        <v>0</v>
      </c>
      <c r="BW155" s="9">
        <v>0</v>
      </c>
      <c r="BX155" s="9">
        <v>0</v>
      </c>
      <c r="BY155" s="9">
        <v>0</v>
      </c>
      <c r="BZ155" s="9">
        <v>0</v>
      </c>
      <c r="CA155" s="9">
        <v>0</v>
      </c>
      <c r="CB155" s="9">
        <v>0</v>
      </c>
      <c r="CC155" s="9">
        <v>0</v>
      </c>
      <c r="CD155" s="9">
        <v>0</v>
      </c>
      <c r="CE155" s="9">
        <v>0</v>
      </c>
      <c r="CF155" s="9">
        <v>0</v>
      </c>
      <c r="CG155" s="9">
        <v>0</v>
      </c>
      <c r="CH155" s="9">
        <v>0</v>
      </c>
      <c r="CI155" s="9">
        <v>0</v>
      </c>
      <c r="CJ155" s="9">
        <v>0</v>
      </c>
      <c r="CK155" s="9">
        <v>0</v>
      </c>
      <c r="CL155" s="9">
        <v>0</v>
      </c>
      <c r="CM155" s="9">
        <v>0</v>
      </c>
      <c r="CN155" s="9">
        <v>0</v>
      </c>
      <c r="CO155" s="9">
        <v>0</v>
      </c>
      <c r="CP155" s="9">
        <v>0</v>
      </c>
      <c r="CQ155" s="9">
        <v>0</v>
      </c>
      <c r="CR155" s="9">
        <v>0</v>
      </c>
      <c r="CS155" s="9">
        <v>0</v>
      </c>
      <c r="CT155" s="9">
        <v>0</v>
      </c>
      <c r="CU155" s="9">
        <v>0</v>
      </c>
      <c r="CV155" s="9">
        <v>0</v>
      </c>
      <c r="CW155" s="9">
        <v>0</v>
      </c>
      <c r="CX155" s="9">
        <v>0</v>
      </c>
      <c r="CY155" s="9">
        <v>0</v>
      </c>
      <c r="CZ155" s="9">
        <v>0</v>
      </c>
      <c r="DA155" s="9">
        <v>0</v>
      </c>
      <c r="DB155" s="9">
        <v>0</v>
      </c>
      <c r="DC155" s="9">
        <v>0</v>
      </c>
      <c r="DD155" s="9">
        <v>0</v>
      </c>
      <c r="DE155" s="9">
        <v>0</v>
      </c>
      <c r="DF155" s="9">
        <v>0</v>
      </c>
      <c r="DG155" s="9">
        <v>0</v>
      </c>
      <c r="DH155" s="9">
        <v>0</v>
      </c>
      <c r="DI155" s="9">
        <v>0</v>
      </c>
      <c r="DJ155" s="9">
        <v>0</v>
      </c>
      <c r="DK155" s="9">
        <v>0</v>
      </c>
      <c r="DL155" s="9">
        <v>0</v>
      </c>
      <c r="DM155" s="9">
        <v>0</v>
      </c>
      <c r="DN155" s="9">
        <v>0</v>
      </c>
      <c r="DO155" s="9">
        <v>0</v>
      </c>
      <c r="DP155" s="9">
        <v>0</v>
      </c>
      <c r="DQ155" s="9">
        <v>0</v>
      </c>
      <c r="DR155" s="9">
        <v>0</v>
      </c>
      <c r="DS155" s="9">
        <v>0</v>
      </c>
      <c r="DT155" s="9">
        <v>0</v>
      </c>
      <c r="DU155" s="9">
        <v>0</v>
      </c>
      <c r="DV155" s="9">
        <v>0</v>
      </c>
      <c r="DW155" s="9">
        <v>0</v>
      </c>
      <c r="DX155" s="9">
        <v>0</v>
      </c>
      <c r="DY155" s="9">
        <v>0</v>
      </c>
      <c r="DZ155" s="9">
        <v>0</v>
      </c>
      <c r="EA155" s="9">
        <v>0</v>
      </c>
      <c r="EB155" s="9">
        <v>0</v>
      </c>
      <c r="EC155" s="9">
        <v>0</v>
      </c>
      <c r="ED155" s="9">
        <v>0</v>
      </c>
      <c r="EE155" s="9">
        <v>0</v>
      </c>
      <c r="EF155" s="9">
        <v>0</v>
      </c>
      <c r="EG155" s="9">
        <v>0</v>
      </c>
      <c r="EH155" s="9">
        <v>0</v>
      </c>
      <c r="EI155" s="10">
        <v>0</v>
      </c>
    </row>
    <row r="156" spans="1:139" x14ac:dyDescent="0.35">
      <c r="A156" s="8" t="s">
        <v>261</v>
      </c>
      <c r="B156" s="9" t="s">
        <v>19</v>
      </c>
      <c r="C156" s="9" t="s">
        <v>20</v>
      </c>
      <c r="D156" s="9">
        <f t="shared" si="2"/>
        <v>0</v>
      </c>
      <c r="E156" s="9">
        <v>0</v>
      </c>
      <c r="F156" s="9">
        <v>0</v>
      </c>
      <c r="G156" s="9">
        <v>0</v>
      </c>
      <c r="H156" s="9">
        <v>0</v>
      </c>
      <c r="I156" s="9">
        <v>0</v>
      </c>
      <c r="J156" s="9">
        <v>0</v>
      </c>
      <c r="K156" s="9">
        <v>0</v>
      </c>
      <c r="L156" s="9">
        <v>0</v>
      </c>
      <c r="M156" s="9">
        <v>0</v>
      </c>
      <c r="N156" s="9">
        <v>0</v>
      </c>
      <c r="O156" s="9">
        <v>0</v>
      </c>
      <c r="P156" s="9">
        <v>0</v>
      </c>
      <c r="Q156" s="9">
        <v>0</v>
      </c>
      <c r="R156" s="9">
        <v>0</v>
      </c>
      <c r="S156" s="9">
        <v>0</v>
      </c>
      <c r="T156" s="9">
        <v>0</v>
      </c>
      <c r="U156" s="9">
        <v>0</v>
      </c>
      <c r="V156" s="9">
        <v>0</v>
      </c>
      <c r="W156" s="9">
        <v>0</v>
      </c>
      <c r="X156" s="9">
        <v>0</v>
      </c>
      <c r="Y156" s="9">
        <v>0</v>
      </c>
      <c r="Z156" s="9">
        <v>0</v>
      </c>
      <c r="AA156" s="9">
        <v>0</v>
      </c>
      <c r="AB156" s="9">
        <v>0</v>
      </c>
      <c r="AC156" s="9">
        <v>0</v>
      </c>
      <c r="AD156" s="9">
        <v>0</v>
      </c>
      <c r="AE156" s="9">
        <v>0</v>
      </c>
      <c r="AF156" s="9">
        <v>0</v>
      </c>
      <c r="AG156" s="9">
        <v>0</v>
      </c>
      <c r="AH156" s="9">
        <v>0</v>
      </c>
      <c r="AI156" s="9">
        <v>0</v>
      </c>
      <c r="AJ156" s="9">
        <v>0</v>
      </c>
      <c r="AK156" s="9">
        <v>0</v>
      </c>
      <c r="AL156" s="9">
        <v>0</v>
      </c>
      <c r="AM156" s="9">
        <v>0</v>
      </c>
      <c r="AN156" s="9">
        <v>0</v>
      </c>
      <c r="AO156" s="9">
        <v>0</v>
      </c>
      <c r="AP156" s="9">
        <v>0</v>
      </c>
      <c r="AQ156" s="9">
        <v>0</v>
      </c>
      <c r="AR156" s="9">
        <v>0</v>
      </c>
      <c r="AS156" s="9">
        <v>0</v>
      </c>
      <c r="AT156" s="9">
        <v>0</v>
      </c>
      <c r="AU156" s="9">
        <v>0</v>
      </c>
      <c r="AV156" s="9">
        <v>0</v>
      </c>
      <c r="AW156" s="9">
        <v>0</v>
      </c>
      <c r="AX156" s="9">
        <v>0</v>
      </c>
      <c r="AY156" s="9">
        <v>0</v>
      </c>
      <c r="AZ156" s="9">
        <v>0</v>
      </c>
      <c r="BA156" s="9">
        <v>0</v>
      </c>
      <c r="BB156" s="9">
        <v>0</v>
      </c>
      <c r="BC156" s="9">
        <v>0</v>
      </c>
      <c r="BD156" s="9">
        <v>0</v>
      </c>
      <c r="BE156" s="9">
        <v>0</v>
      </c>
      <c r="BF156" s="9">
        <v>0</v>
      </c>
      <c r="BG156" s="9">
        <v>0</v>
      </c>
      <c r="BH156" s="9">
        <v>0</v>
      </c>
      <c r="BI156" s="9">
        <v>0</v>
      </c>
      <c r="BJ156" s="9">
        <v>0</v>
      </c>
      <c r="BK156" s="9">
        <v>0</v>
      </c>
      <c r="BL156" s="9">
        <v>0</v>
      </c>
      <c r="BM156" s="9">
        <v>0</v>
      </c>
      <c r="BN156" s="9">
        <v>0</v>
      </c>
      <c r="BO156" s="9">
        <v>0</v>
      </c>
      <c r="BP156" s="9">
        <v>0</v>
      </c>
      <c r="BQ156" s="9">
        <v>0</v>
      </c>
      <c r="BR156" s="9">
        <v>0</v>
      </c>
      <c r="BS156" s="9">
        <v>0</v>
      </c>
      <c r="BT156" s="9">
        <v>0</v>
      </c>
      <c r="BU156" s="9">
        <v>0</v>
      </c>
      <c r="BV156" s="9">
        <v>0</v>
      </c>
      <c r="BW156" s="9">
        <v>0</v>
      </c>
      <c r="BX156" s="9">
        <v>0</v>
      </c>
      <c r="BY156" s="9">
        <v>0</v>
      </c>
      <c r="BZ156" s="9">
        <v>0</v>
      </c>
      <c r="CA156" s="9">
        <v>0</v>
      </c>
      <c r="CB156" s="9">
        <v>0</v>
      </c>
      <c r="CC156" s="9">
        <v>0</v>
      </c>
      <c r="CD156" s="9">
        <v>0</v>
      </c>
      <c r="CE156" s="9">
        <v>0</v>
      </c>
      <c r="CF156" s="9">
        <v>0</v>
      </c>
      <c r="CG156" s="9">
        <v>0</v>
      </c>
      <c r="CH156" s="9">
        <v>0</v>
      </c>
      <c r="CI156" s="9">
        <v>0</v>
      </c>
      <c r="CJ156" s="9">
        <v>0</v>
      </c>
      <c r="CK156" s="9">
        <v>0</v>
      </c>
      <c r="CL156" s="9">
        <v>0</v>
      </c>
      <c r="CM156" s="9">
        <v>0</v>
      </c>
      <c r="CN156" s="9">
        <v>0</v>
      </c>
      <c r="CO156" s="9">
        <v>0</v>
      </c>
      <c r="CP156" s="9">
        <v>0</v>
      </c>
      <c r="CQ156" s="9">
        <v>0</v>
      </c>
      <c r="CR156" s="9">
        <v>0</v>
      </c>
      <c r="CS156" s="9">
        <v>0</v>
      </c>
      <c r="CT156" s="9">
        <v>0</v>
      </c>
      <c r="CU156" s="9">
        <v>0</v>
      </c>
      <c r="CV156" s="9">
        <v>0</v>
      </c>
      <c r="CW156" s="9">
        <v>0</v>
      </c>
      <c r="CX156" s="9">
        <v>0</v>
      </c>
      <c r="CY156" s="9">
        <v>0</v>
      </c>
      <c r="CZ156" s="9">
        <v>0</v>
      </c>
      <c r="DA156" s="9">
        <v>0</v>
      </c>
      <c r="DB156" s="9">
        <v>0</v>
      </c>
      <c r="DC156" s="9">
        <v>0</v>
      </c>
      <c r="DD156" s="9">
        <v>0</v>
      </c>
      <c r="DE156" s="9">
        <v>0</v>
      </c>
      <c r="DF156" s="9">
        <v>0</v>
      </c>
      <c r="DG156" s="9">
        <v>0</v>
      </c>
      <c r="DH156" s="9">
        <v>0</v>
      </c>
      <c r="DI156" s="9">
        <v>0</v>
      </c>
      <c r="DJ156" s="9">
        <v>0</v>
      </c>
      <c r="DK156" s="9">
        <v>0</v>
      </c>
      <c r="DL156" s="9">
        <v>0</v>
      </c>
      <c r="DM156" s="9">
        <v>0</v>
      </c>
      <c r="DN156" s="9">
        <v>0</v>
      </c>
      <c r="DO156" s="9">
        <v>0</v>
      </c>
      <c r="DP156" s="9">
        <v>0</v>
      </c>
      <c r="DQ156" s="9">
        <v>0</v>
      </c>
      <c r="DR156" s="9">
        <v>0</v>
      </c>
      <c r="DS156" s="9">
        <v>0</v>
      </c>
      <c r="DT156" s="9">
        <v>0</v>
      </c>
      <c r="DU156" s="9">
        <v>0</v>
      </c>
      <c r="DV156" s="9">
        <v>0</v>
      </c>
      <c r="DW156" s="9">
        <v>0</v>
      </c>
      <c r="DX156" s="9">
        <v>0</v>
      </c>
      <c r="DY156" s="9">
        <v>0</v>
      </c>
      <c r="DZ156" s="9">
        <v>0</v>
      </c>
      <c r="EA156" s="9">
        <v>0</v>
      </c>
      <c r="EB156" s="9">
        <v>0</v>
      </c>
      <c r="EC156" s="9">
        <v>0</v>
      </c>
      <c r="ED156" s="9">
        <v>0</v>
      </c>
      <c r="EE156" s="9">
        <v>0</v>
      </c>
      <c r="EF156" s="9">
        <v>0</v>
      </c>
      <c r="EG156" s="9">
        <v>0</v>
      </c>
      <c r="EH156" s="9">
        <v>0</v>
      </c>
      <c r="EI156" s="10">
        <v>0</v>
      </c>
    </row>
    <row r="157" spans="1:139" x14ac:dyDescent="0.35">
      <c r="A157" s="8" t="s">
        <v>261</v>
      </c>
      <c r="B157" s="9" t="s">
        <v>21</v>
      </c>
      <c r="C157" s="9" t="s">
        <v>22</v>
      </c>
      <c r="D157" s="9">
        <f t="shared" si="2"/>
        <v>9</v>
      </c>
      <c r="E157" s="9">
        <v>0</v>
      </c>
      <c r="F157" s="9">
        <v>0</v>
      </c>
      <c r="G157" s="9">
        <v>0</v>
      </c>
      <c r="H157" s="9">
        <v>0</v>
      </c>
      <c r="I157" s="9">
        <v>0</v>
      </c>
      <c r="J157" s="9">
        <v>0</v>
      </c>
      <c r="K157" s="9">
        <v>0</v>
      </c>
      <c r="L157" s="9">
        <v>0</v>
      </c>
      <c r="M157" s="9">
        <v>0</v>
      </c>
      <c r="N157" s="9">
        <v>0</v>
      </c>
      <c r="O157" s="9">
        <v>0</v>
      </c>
      <c r="P157" s="9">
        <v>0</v>
      </c>
      <c r="Q157" s="9">
        <v>0</v>
      </c>
      <c r="R157" s="9">
        <v>0</v>
      </c>
      <c r="S157" s="9">
        <v>0</v>
      </c>
      <c r="T157" s="9">
        <v>0</v>
      </c>
      <c r="U157" s="9">
        <v>0</v>
      </c>
      <c r="V157" s="9">
        <v>0</v>
      </c>
      <c r="W157" s="9">
        <v>0</v>
      </c>
      <c r="X157" s="9">
        <v>0</v>
      </c>
      <c r="Y157" s="9">
        <v>0</v>
      </c>
      <c r="Z157" s="9">
        <v>1</v>
      </c>
      <c r="AA157" s="9">
        <v>1</v>
      </c>
      <c r="AB157" s="9">
        <v>1</v>
      </c>
      <c r="AC157" s="9">
        <v>1</v>
      </c>
      <c r="AD157" s="9">
        <v>0</v>
      </c>
      <c r="AE157" s="9">
        <v>1</v>
      </c>
      <c r="AF157" s="9">
        <v>0</v>
      </c>
      <c r="AG157" s="9">
        <v>0</v>
      </c>
      <c r="AH157" s="9">
        <v>0</v>
      </c>
      <c r="AI157" s="9">
        <v>0</v>
      </c>
      <c r="AJ157" s="9">
        <v>0</v>
      </c>
      <c r="AK157" s="9">
        <v>0</v>
      </c>
      <c r="AL157" s="9">
        <v>1</v>
      </c>
      <c r="AM157" s="9">
        <v>0</v>
      </c>
      <c r="AN157" s="9">
        <v>0</v>
      </c>
      <c r="AO157" s="9">
        <v>0</v>
      </c>
      <c r="AP157" s="9">
        <v>0</v>
      </c>
      <c r="AQ157" s="9">
        <v>0</v>
      </c>
      <c r="AR157" s="9">
        <v>0</v>
      </c>
      <c r="AS157" s="9">
        <v>2</v>
      </c>
      <c r="AT157" s="9">
        <v>1</v>
      </c>
      <c r="AU157" s="9">
        <v>0</v>
      </c>
      <c r="AV157" s="9">
        <v>0</v>
      </c>
      <c r="AW157" s="9">
        <v>0</v>
      </c>
      <c r="AX157" s="9">
        <v>0</v>
      </c>
      <c r="AY157" s="9">
        <v>0</v>
      </c>
      <c r="AZ157" s="9">
        <v>0</v>
      </c>
      <c r="BA157" s="9">
        <v>0</v>
      </c>
      <c r="BB157" s="9">
        <v>0</v>
      </c>
      <c r="BC157" s="9">
        <v>0</v>
      </c>
      <c r="BD157" s="9">
        <v>0</v>
      </c>
      <c r="BE157" s="9">
        <v>0</v>
      </c>
      <c r="BF157" s="9">
        <v>0</v>
      </c>
      <c r="BG157" s="9">
        <v>0</v>
      </c>
      <c r="BH157" s="9">
        <v>0</v>
      </c>
      <c r="BI157" s="9">
        <v>0</v>
      </c>
      <c r="BJ157" s="9">
        <v>0</v>
      </c>
      <c r="BK157" s="9">
        <v>0</v>
      </c>
      <c r="BL157" s="9">
        <v>0</v>
      </c>
      <c r="BM157" s="9">
        <v>0</v>
      </c>
      <c r="BN157" s="9">
        <v>0</v>
      </c>
      <c r="BO157" s="9">
        <v>0</v>
      </c>
      <c r="BP157" s="9">
        <v>0</v>
      </c>
      <c r="BQ157" s="9">
        <v>0</v>
      </c>
      <c r="BR157" s="9">
        <v>0</v>
      </c>
      <c r="BS157" s="9">
        <v>0</v>
      </c>
      <c r="BT157" s="9">
        <v>0</v>
      </c>
      <c r="BU157" s="9">
        <v>0</v>
      </c>
      <c r="BV157" s="9">
        <v>0</v>
      </c>
      <c r="BW157" s="9">
        <v>0</v>
      </c>
      <c r="BX157" s="9">
        <v>0</v>
      </c>
      <c r="BY157" s="9">
        <v>0</v>
      </c>
      <c r="BZ157" s="9">
        <v>0</v>
      </c>
      <c r="CA157" s="9">
        <v>0</v>
      </c>
      <c r="CB157" s="9">
        <v>0</v>
      </c>
      <c r="CC157" s="9">
        <v>0</v>
      </c>
      <c r="CD157" s="9">
        <v>0</v>
      </c>
      <c r="CE157" s="9">
        <v>0</v>
      </c>
      <c r="CF157" s="9">
        <v>0</v>
      </c>
      <c r="CG157" s="9">
        <v>0</v>
      </c>
      <c r="CH157" s="9">
        <v>0</v>
      </c>
      <c r="CI157" s="9">
        <v>0</v>
      </c>
      <c r="CJ157" s="9">
        <v>0</v>
      </c>
      <c r="CK157" s="9">
        <v>0</v>
      </c>
      <c r="CL157" s="9">
        <v>0</v>
      </c>
      <c r="CM157" s="9">
        <v>0</v>
      </c>
      <c r="CN157" s="9">
        <v>0</v>
      </c>
      <c r="CO157" s="9">
        <v>0</v>
      </c>
      <c r="CP157" s="9">
        <v>0</v>
      </c>
      <c r="CQ157" s="9">
        <v>0</v>
      </c>
      <c r="CR157" s="9">
        <v>0</v>
      </c>
      <c r="CS157" s="9">
        <v>0</v>
      </c>
      <c r="CT157" s="9">
        <v>0</v>
      </c>
      <c r="CU157" s="9">
        <v>0</v>
      </c>
      <c r="CV157" s="9">
        <v>0</v>
      </c>
      <c r="CW157" s="9">
        <v>0</v>
      </c>
      <c r="CX157" s="9">
        <v>0</v>
      </c>
      <c r="CY157" s="9">
        <v>0</v>
      </c>
      <c r="CZ157" s="9">
        <v>0</v>
      </c>
      <c r="DA157" s="9">
        <v>0</v>
      </c>
      <c r="DB157" s="9">
        <v>0</v>
      </c>
      <c r="DC157" s="9">
        <v>0</v>
      </c>
      <c r="DD157" s="9">
        <v>0</v>
      </c>
      <c r="DE157" s="9">
        <v>0</v>
      </c>
      <c r="DF157" s="9">
        <v>0</v>
      </c>
      <c r="DG157" s="9">
        <v>0</v>
      </c>
      <c r="DH157" s="9">
        <v>0</v>
      </c>
      <c r="DI157" s="9">
        <v>0</v>
      </c>
      <c r="DJ157" s="9">
        <v>0</v>
      </c>
      <c r="DK157" s="9">
        <v>0</v>
      </c>
      <c r="DL157" s="9">
        <v>0</v>
      </c>
      <c r="DM157" s="9">
        <v>0</v>
      </c>
      <c r="DN157" s="9">
        <v>0</v>
      </c>
      <c r="DO157" s="9">
        <v>0</v>
      </c>
      <c r="DP157" s="9">
        <v>0</v>
      </c>
      <c r="DQ157" s="9">
        <v>0</v>
      </c>
      <c r="DR157" s="9">
        <v>0</v>
      </c>
      <c r="DS157" s="9">
        <v>0</v>
      </c>
      <c r="DT157" s="9">
        <v>0</v>
      </c>
      <c r="DU157" s="9">
        <v>0</v>
      </c>
      <c r="DV157" s="9">
        <v>0</v>
      </c>
      <c r="DW157" s="9">
        <v>0</v>
      </c>
      <c r="DX157" s="9">
        <v>0</v>
      </c>
      <c r="DY157" s="9">
        <v>0</v>
      </c>
      <c r="DZ157" s="9">
        <v>0</v>
      </c>
      <c r="EA157" s="9">
        <v>0</v>
      </c>
      <c r="EB157" s="9">
        <v>0</v>
      </c>
      <c r="EC157" s="9">
        <v>0</v>
      </c>
      <c r="ED157" s="9">
        <v>0</v>
      </c>
      <c r="EE157" s="9">
        <v>0</v>
      </c>
      <c r="EF157" s="9">
        <v>0</v>
      </c>
      <c r="EG157" s="9">
        <v>0</v>
      </c>
      <c r="EH157" s="9">
        <v>0</v>
      </c>
      <c r="EI157" s="10">
        <v>0</v>
      </c>
    </row>
    <row r="158" spans="1:139" x14ac:dyDescent="0.35">
      <c r="A158" s="8" t="s">
        <v>261</v>
      </c>
      <c r="B158" s="9" t="s">
        <v>23</v>
      </c>
      <c r="C158" s="9" t="s">
        <v>24</v>
      </c>
      <c r="D158" s="9">
        <f t="shared" si="2"/>
        <v>29</v>
      </c>
      <c r="E158" s="9">
        <v>0</v>
      </c>
      <c r="F158" s="9">
        <v>0</v>
      </c>
      <c r="G158" s="9">
        <v>0</v>
      </c>
      <c r="H158" s="9">
        <v>0</v>
      </c>
      <c r="I158" s="9">
        <v>0</v>
      </c>
      <c r="J158" s="9">
        <v>0</v>
      </c>
      <c r="K158" s="9">
        <v>0</v>
      </c>
      <c r="L158" s="9">
        <v>0</v>
      </c>
      <c r="M158" s="9">
        <v>0</v>
      </c>
      <c r="N158" s="9">
        <v>0</v>
      </c>
      <c r="O158" s="9">
        <v>0</v>
      </c>
      <c r="P158" s="9">
        <v>0</v>
      </c>
      <c r="Q158" s="9">
        <v>0</v>
      </c>
      <c r="R158" s="9">
        <v>0</v>
      </c>
      <c r="S158" s="9">
        <v>0</v>
      </c>
      <c r="T158" s="9">
        <v>0</v>
      </c>
      <c r="U158" s="9">
        <v>0</v>
      </c>
      <c r="V158" s="9">
        <v>0</v>
      </c>
      <c r="W158" s="9">
        <v>0</v>
      </c>
      <c r="X158" s="9">
        <v>0</v>
      </c>
      <c r="Y158" s="9">
        <v>0</v>
      </c>
      <c r="Z158" s="9">
        <v>0</v>
      </c>
      <c r="AA158" s="9">
        <v>0</v>
      </c>
      <c r="AB158" s="9">
        <v>0</v>
      </c>
      <c r="AC158" s="9">
        <v>0</v>
      </c>
      <c r="AD158" s="9">
        <v>0</v>
      </c>
      <c r="AE158" s="9">
        <v>1</v>
      </c>
      <c r="AF158" s="9">
        <v>1</v>
      </c>
      <c r="AG158" s="9">
        <v>1</v>
      </c>
      <c r="AH158" s="9">
        <v>0</v>
      </c>
      <c r="AI158" s="9">
        <v>0</v>
      </c>
      <c r="AJ158" s="9">
        <v>0</v>
      </c>
      <c r="AK158" s="9">
        <v>0</v>
      </c>
      <c r="AL158" s="9">
        <v>1</v>
      </c>
      <c r="AM158" s="9">
        <v>1</v>
      </c>
      <c r="AN158" s="9">
        <v>1</v>
      </c>
      <c r="AO158" s="9">
        <v>1</v>
      </c>
      <c r="AP158" s="9">
        <v>2</v>
      </c>
      <c r="AQ158" s="9">
        <v>1</v>
      </c>
      <c r="AR158" s="9">
        <v>0</v>
      </c>
      <c r="AS158" s="9">
        <v>0</v>
      </c>
      <c r="AT158" s="9">
        <v>0</v>
      </c>
      <c r="AU158" s="9">
        <v>0</v>
      </c>
      <c r="AV158" s="9">
        <v>1</v>
      </c>
      <c r="AW158" s="9">
        <v>1</v>
      </c>
      <c r="AX158" s="9">
        <v>0</v>
      </c>
      <c r="AY158" s="9">
        <v>0</v>
      </c>
      <c r="AZ158" s="9">
        <v>0</v>
      </c>
      <c r="BA158" s="9">
        <v>0</v>
      </c>
      <c r="BB158" s="9">
        <v>0</v>
      </c>
      <c r="BC158" s="9">
        <v>0</v>
      </c>
      <c r="BD158" s="9">
        <v>0</v>
      </c>
      <c r="BE158" s="9">
        <v>2</v>
      </c>
      <c r="BF158" s="9">
        <v>2</v>
      </c>
      <c r="BG158" s="9">
        <v>2</v>
      </c>
      <c r="BH158" s="9">
        <v>2</v>
      </c>
      <c r="BI158" s="9">
        <v>2</v>
      </c>
      <c r="BJ158" s="9">
        <v>1</v>
      </c>
      <c r="BK158" s="9">
        <v>1</v>
      </c>
      <c r="BL158" s="9">
        <v>1</v>
      </c>
      <c r="BM158" s="9">
        <v>1</v>
      </c>
      <c r="BN158" s="9">
        <v>1</v>
      </c>
      <c r="BO158" s="9">
        <v>1</v>
      </c>
      <c r="BP158" s="9">
        <v>1</v>
      </c>
      <c r="BQ158" s="9">
        <v>0</v>
      </c>
      <c r="BR158" s="9">
        <v>0</v>
      </c>
      <c r="BS158" s="9">
        <v>0</v>
      </c>
      <c r="BT158" s="9">
        <v>0</v>
      </c>
      <c r="BU158" s="9">
        <v>0</v>
      </c>
      <c r="BV158" s="9">
        <v>0</v>
      </c>
      <c r="BW158" s="9">
        <v>0</v>
      </c>
      <c r="BX158" s="9">
        <v>0</v>
      </c>
      <c r="BY158" s="9">
        <v>0</v>
      </c>
      <c r="BZ158" s="9">
        <v>0</v>
      </c>
      <c r="CA158" s="9">
        <v>0</v>
      </c>
      <c r="CB158" s="9">
        <v>0</v>
      </c>
      <c r="CC158" s="9">
        <v>0</v>
      </c>
      <c r="CD158" s="9">
        <v>0</v>
      </c>
      <c r="CE158" s="9">
        <v>0</v>
      </c>
      <c r="CF158" s="9">
        <v>0</v>
      </c>
      <c r="CG158" s="9">
        <v>0</v>
      </c>
      <c r="CH158" s="9">
        <v>0</v>
      </c>
      <c r="CI158" s="9">
        <v>0</v>
      </c>
      <c r="CJ158" s="9">
        <v>0</v>
      </c>
      <c r="CK158" s="9">
        <v>0</v>
      </c>
      <c r="CL158" s="9">
        <v>0</v>
      </c>
      <c r="CM158" s="9">
        <v>0</v>
      </c>
      <c r="CN158" s="9">
        <v>0</v>
      </c>
      <c r="CO158" s="9">
        <v>0</v>
      </c>
      <c r="CP158" s="9">
        <v>0</v>
      </c>
      <c r="CQ158" s="9">
        <v>0</v>
      </c>
      <c r="CR158" s="9">
        <v>0</v>
      </c>
      <c r="CS158" s="9">
        <v>0</v>
      </c>
      <c r="CT158" s="9">
        <v>0</v>
      </c>
      <c r="CU158" s="9">
        <v>0</v>
      </c>
      <c r="CV158" s="9">
        <v>0</v>
      </c>
      <c r="CW158" s="9">
        <v>0</v>
      </c>
      <c r="CX158" s="9">
        <v>0</v>
      </c>
      <c r="CY158" s="9">
        <v>0</v>
      </c>
      <c r="CZ158" s="9">
        <v>0</v>
      </c>
      <c r="DA158" s="9">
        <v>0</v>
      </c>
      <c r="DB158" s="9">
        <v>0</v>
      </c>
      <c r="DC158" s="9">
        <v>0</v>
      </c>
      <c r="DD158" s="9">
        <v>0</v>
      </c>
      <c r="DE158" s="9">
        <v>0</v>
      </c>
      <c r="DF158" s="9">
        <v>0</v>
      </c>
      <c r="DG158" s="9">
        <v>0</v>
      </c>
      <c r="DH158" s="9">
        <v>0</v>
      </c>
      <c r="DI158" s="9">
        <v>0</v>
      </c>
      <c r="DJ158" s="9">
        <v>0</v>
      </c>
      <c r="DK158" s="9">
        <v>0</v>
      </c>
      <c r="DL158" s="9">
        <v>0</v>
      </c>
      <c r="DM158" s="9">
        <v>0</v>
      </c>
      <c r="DN158" s="9">
        <v>0</v>
      </c>
      <c r="DO158" s="9">
        <v>0</v>
      </c>
      <c r="DP158" s="9">
        <v>0</v>
      </c>
      <c r="DQ158" s="9">
        <v>0</v>
      </c>
      <c r="DR158" s="9">
        <v>0</v>
      </c>
      <c r="DS158" s="9">
        <v>0</v>
      </c>
      <c r="DT158" s="9">
        <v>0</v>
      </c>
      <c r="DU158" s="9">
        <v>0</v>
      </c>
      <c r="DV158" s="9">
        <v>0</v>
      </c>
      <c r="DW158" s="9">
        <v>0</v>
      </c>
      <c r="DX158" s="9">
        <v>0</v>
      </c>
      <c r="DY158" s="9">
        <v>0</v>
      </c>
      <c r="DZ158" s="9">
        <v>0</v>
      </c>
      <c r="EA158" s="9">
        <v>0</v>
      </c>
      <c r="EB158" s="9">
        <v>0</v>
      </c>
      <c r="EC158" s="9">
        <v>0</v>
      </c>
      <c r="ED158" s="9">
        <v>0</v>
      </c>
      <c r="EE158" s="9">
        <v>0</v>
      </c>
      <c r="EF158" s="9">
        <v>0</v>
      </c>
      <c r="EG158" s="9">
        <v>0</v>
      </c>
      <c r="EH158" s="9">
        <v>0</v>
      </c>
      <c r="EI158" s="10">
        <v>0</v>
      </c>
    </row>
    <row r="159" spans="1:139" x14ac:dyDescent="0.35">
      <c r="A159" s="8" t="s">
        <v>261</v>
      </c>
      <c r="B159" s="9" t="s">
        <v>278</v>
      </c>
      <c r="C159" s="9" t="s">
        <v>279</v>
      </c>
      <c r="D159" s="9">
        <f t="shared" si="2"/>
        <v>0</v>
      </c>
      <c r="E159" s="9">
        <v>0</v>
      </c>
      <c r="F159" s="9">
        <v>0</v>
      </c>
      <c r="G159" s="9">
        <v>0</v>
      </c>
      <c r="H159" s="9">
        <v>0</v>
      </c>
      <c r="I159" s="9">
        <v>0</v>
      </c>
      <c r="J159" s="9">
        <v>0</v>
      </c>
      <c r="K159" s="9">
        <v>0</v>
      </c>
      <c r="L159" s="9">
        <v>0</v>
      </c>
      <c r="M159" s="9">
        <v>0</v>
      </c>
      <c r="N159" s="9">
        <v>0</v>
      </c>
      <c r="O159" s="9">
        <v>0</v>
      </c>
      <c r="P159" s="9">
        <v>0</v>
      </c>
      <c r="Q159" s="9">
        <v>0</v>
      </c>
      <c r="R159" s="9">
        <v>0</v>
      </c>
      <c r="S159" s="9">
        <v>0</v>
      </c>
      <c r="T159" s="9">
        <v>0</v>
      </c>
      <c r="U159" s="9">
        <v>0</v>
      </c>
      <c r="V159" s="9">
        <v>0</v>
      </c>
      <c r="W159" s="9">
        <v>0</v>
      </c>
      <c r="X159" s="9">
        <v>0</v>
      </c>
      <c r="Y159" s="9">
        <v>0</v>
      </c>
      <c r="Z159" s="9">
        <v>0</v>
      </c>
      <c r="AA159" s="9">
        <v>0</v>
      </c>
      <c r="AB159" s="9">
        <v>0</v>
      </c>
      <c r="AC159" s="9">
        <v>0</v>
      </c>
      <c r="AD159" s="9">
        <v>0</v>
      </c>
      <c r="AE159" s="9">
        <v>0</v>
      </c>
      <c r="AF159" s="9">
        <v>0</v>
      </c>
      <c r="AG159" s="9">
        <v>0</v>
      </c>
      <c r="AH159" s="9">
        <v>0</v>
      </c>
      <c r="AI159" s="9">
        <v>0</v>
      </c>
      <c r="AJ159" s="9">
        <v>0</v>
      </c>
      <c r="AK159" s="9">
        <v>0</v>
      </c>
      <c r="AL159" s="9">
        <v>0</v>
      </c>
      <c r="AM159" s="9">
        <v>0</v>
      </c>
      <c r="AN159" s="9">
        <v>0</v>
      </c>
      <c r="AO159" s="9">
        <v>0</v>
      </c>
      <c r="AP159" s="9">
        <v>0</v>
      </c>
      <c r="AQ159" s="9">
        <v>0</v>
      </c>
      <c r="AR159" s="9">
        <v>0</v>
      </c>
      <c r="AS159" s="9">
        <v>0</v>
      </c>
      <c r="AT159" s="9">
        <v>0</v>
      </c>
      <c r="AU159" s="9">
        <v>0</v>
      </c>
      <c r="AV159" s="9">
        <v>0</v>
      </c>
      <c r="AW159" s="9">
        <v>0</v>
      </c>
      <c r="AX159" s="9">
        <v>0</v>
      </c>
      <c r="AY159" s="9">
        <v>0</v>
      </c>
      <c r="AZ159" s="9">
        <v>0</v>
      </c>
      <c r="BA159" s="9">
        <v>0</v>
      </c>
      <c r="BB159" s="9">
        <v>0</v>
      </c>
      <c r="BC159" s="9">
        <v>0</v>
      </c>
      <c r="BD159" s="9">
        <v>0</v>
      </c>
      <c r="BE159" s="9">
        <v>0</v>
      </c>
      <c r="BF159" s="9">
        <v>0</v>
      </c>
      <c r="BG159" s="9">
        <v>0</v>
      </c>
      <c r="BH159" s="9">
        <v>0</v>
      </c>
      <c r="BI159" s="9">
        <v>0</v>
      </c>
      <c r="BJ159" s="9">
        <v>0</v>
      </c>
      <c r="BK159" s="9">
        <v>0</v>
      </c>
      <c r="BL159" s="9">
        <v>0</v>
      </c>
      <c r="BM159" s="9">
        <v>0</v>
      </c>
      <c r="BN159" s="9">
        <v>0</v>
      </c>
      <c r="BO159" s="9">
        <v>0</v>
      </c>
      <c r="BP159" s="9">
        <v>0</v>
      </c>
      <c r="BQ159" s="9">
        <v>0</v>
      </c>
      <c r="BR159" s="9">
        <v>0</v>
      </c>
      <c r="BS159" s="9">
        <v>0</v>
      </c>
      <c r="BT159" s="9">
        <v>0</v>
      </c>
      <c r="BU159" s="9">
        <v>0</v>
      </c>
      <c r="BV159" s="9">
        <v>0</v>
      </c>
      <c r="BW159" s="9">
        <v>0</v>
      </c>
      <c r="BX159" s="9">
        <v>0</v>
      </c>
      <c r="BY159" s="9">
        <v>0</v>
      </c>
      <c r="BZ159" s="9">
        <v>0</v>
      </c>
      <c r="CA159" s="9">
        <v>0</v>
      </c>
      <c r="CB159" s="9">
        <v>0</v>
      </c>
      <c r="CC159" s="9">
        <v>0</v>
      </c>
      <c r="CD159" s="9">
        <v>0</v>
      </c>
      <c r="CE159" s="9">
        <v>0</v>
      </c>
      <c r="CF159" s="9">
        <v>0</v>
      </c>
      <c r="CG159" s="9">
        <v>0</v>
      </c>
      <c r="CH159" s="9">
        <v>0</v>
      </c>
      <c r="CI159" s="9">
        <v>0</v>
      </c>
      <c r="CJ159" s="9">
        <v>0</v>
      </c>
      <c r="CK159" s="9">
        <v>0</v>
      </c>
      <c r="CL159" s="9">
        <v>0</v>
      </c>
      <c r="CM159" s="9">
        <v>0</v>
      </c>
      <c r="CN159" s="9">
        <v>0</v>
      </c>
      <c r="CO159" s="9">
        <v>0</v>
      </c>
      <c r="CP159" s="9">
        <v>0</v>
      </c>
      <c r="CQ159" s="9">
        <v>0</v>
      </c>
      <c r="CR159" s="9">
        <v>0</v>
      </c>
      <c r="CS159" s="9">
        <v>0</v>
      </c>
      <c r="CT159" s="9">
        <v>0</v>
      </c>
      <c r="CU159" s="9">
        <v>0</v>
      </c>
      <c r="CV159" s="9">
        <v>0</v>
      </c>
      <c r="CW159" s="9">
        <v>0</v>
      </c>
      <c r="CX159" s="9">
        <v>0</v>
      </c>
      <c r="CY159" s="9">
        <v>0</v>
      </c>
      <c r="CZ159" s="9">
        <v>0</v>
      </c>
      <c r="DA159" s="9">
        <v>0</v>
      </c>
      <c r="DB159" s="9">
        <v>0</v>
      </c>
      <c r="DC159" s="9">
        <v>0</v>
      </c>
      <c r="DD159" s="9">
        <v>0</v>
      </c>
      <c r="DE159" s="9">
        <v>0</v>
      </c>
      <c r="DF159" s="9">
        <v>0</v>
      </c>
      <c r="DG159" s="9">
        <v>0</v>
      </c>
      <c r="DH159" s="9">
        <v>0</v>
      </c>
      <c r="DI159" s="9">
        <v>0</v>
      </c>
      <c r="DJ159" s="9">
        <v>0</v>
      </c>
      <c r="DK159" s="9">
        <v>0</v>
      </c>
      <c r="DL159" s="9">
        <v>0</v>
      </c>
      <c r="DM159" s="9">
        <v>0</v>
      </c>
      <c r="DN159" s="9">
        <v>0</v>
      </c>
      <c r="DO159" s="9">
        <v>0</v>
      </c>
      <c r="DP159" s="9">
        <v>0</v>
      </c>
      <c r="DQ159" s="9">
        <v>0</v>
      </c>
      <c r="DR159" s="9">
        <v>0</v>
      </c>
      <c r="DS159" s="9">
        <v>0</v>
      </c>
      <c r="DT159" s="9">
        <v>0</v>
      </c>
      <c r="DU159" s="9">
        <v>0</v>
      </c>
      <c r="DV159" s="9">
        <v>0</v>
      </c>
      <c r="DW159" s="9">
        <v>0</v>
      </c>
      <c r="DX159" s="9">
        <v>0</v>
      </c>
      <c r="DY159" s="9">
        <v>0</v>
      </c>
      <c r="DZ159" s="9">
        <v>0</v>
      </c>
      <c r="EA159" s="9">
        <v>0</v>
      </c>
      <c r="EB159" s="9">
        <v>0</v>
      </c>
      <c r="EC159" s="9">
        <v>0</v>
      </c>
      <c r="ED159" s="9">
        <v>0</v>
      </c>
      <c r="EE159" s="9">
        <v>0</v>
      </c>
      <c r="EF159" s="9">
        <v>0</v>
      </c>
      <c r="EG159" s="9">
        <v>0</v>
      </c>
      <c r="EH159" s="9">
        <v>0</v>
      </c>
      <c r="EI159" s="10">
        <v>0</v>
      </c>
    </row>
    <row r="160" spans="1:139" x14ac:dyDescent="0.35">
      <c r="A160" s="8" t="s">
        <v>261</v>
      </c>
      <c r="B160" s="9" t="s">
        <v>25</v>
      </c>
      <c r="C160" s="9" t="s">
        <v>26</v>
      </c>
      <c r="D160" s="9">
        <f t="shared" si="2"/>
        <v>0</v>
      </c>
      <c r="E160" s="9">
        <v>0</v>
      </c>
      <c r="F160" s="9">
        <v>0</v>
      </c>
      <c r="G160" s="9">
        <v>0</v>
      </c>
      <c r="H160" s="9">
        <v>0</v>
      </c>
      <c r="I160" s="9">
        <v>0</v>
      </c>
      <c r="J160" s="9">
        <v>0</v>
      </c>
      <c r="K160" s="9">
        <v>0</v>
      </c>
      <c r="L160" s="9">
        <v>0</v>
      </c>
      <c r="M160" s="9">
        <v>0</v>
      </c>
      <c r="N160" s="9">
        <v>0</v>
      </c>
      <c r="O160" s="9">
        <v>0</v>
      </c>
      <c r="P160" s="9">
        <v>0</v>
      </c>
      <c r="Q160" s="9">
        <v>0</v>
      </c>
      <c r="R160" s="9">
        <v>0</v>
      </c>
      <c r="S160" s="9">
        <v>0</v>
      </c>
      <c r="T160" s="9">
        <v>0</v>
      </c>
      <c r="U160" s="9">
        <v>0</v>
      </c>
      <c r="V160" s="9">
        <v>0</v>
      </c>
      <c r="W160" s="9">
        <v>0</v>
      </c>
      <c r="X160" s="9">
        <v>0</v>
      </c>
      <c r="Y160" s="9">
        <v>0</v>
      </c>
      <c r="Z160" s="9">
        <v>0</v>
      </c>
      <c r="AA160" s="9">
        <v>0</v>
      </c>
      <c r="AB160" s="9">
        <v>0</v>
      </c>
      <c r="AC160" s="9">
        <v>0</v>
      </c>
      <c r="AD160" s="9">
        <v>0</v>
      </c>
      <c r="AE160" s="9">
        <v>0</v>
      </c>
      <c r="AF160" s="9">
        <v>0</v>
      </c>
      <c r="AG160" s="9">
        <v>0</v>
      </c>
      <c r="AH160" s="9">
        <v>0</v>
      </c>
      <c r="AI160" s="9">
        <v>0</v>
      </c>
      <c r="AJ160" s="9">
        <v>0</v>
      </c>
      <c r="AK160" s="9">
        <v>0</v>
      </c>
      <c r="AL160" s="9">
        <v>0</v>
      </c>
      <c r="AM160" s="9">
        <v>0</v>
      </c>
      <c r="AN160" s="9">
        <v>0</v>
      </c>
      <c r="AO160" s="9">
        <v>0</v>
      </c>
      <c r="AP160" s="9">
        <v>0</v>
      </c>
      <c r="AQ160" s="9">
        <v>0</v>
      </c>
      <c r="AR160" s="9">
        <v>0</v>
      </c>
      <c r="AS160" s="9">
        <v>0</v>
      </c>
      <c r="AT160" s="9">
        <v>0</v>
      </c>
      <c r="AU160" s="9">
        <v>0</v>
      </c>
      <c r="AV160" s="9">
        <v>0</v>
      </c>
      <c r="AW160" s="9">
        <v>0</v>
      </c>
      <c r="AX160" s="9">
        <v>0</v>
      </c>
      <c r="AY160" s="9">
        <v>0</v>
      </c>
      <c r="AZ160" s="9">
        <v>0</v>
      </c>
      <c r="BA160" s="9">
        <v>0</v>
      </c>
      <c r="BB160" s="9">
        <v>0</v>
      </c>
      <c r="BC160" s="9">
        <v>0</v>
      </c>
      <c r="BD160" s="9">
        <v>0</v>
      </c>
      <c r="BE160" s="9">
        <v>0</v>
      </c>
      <c r="BF160" s="9">
        <v>0</v>
      </c>
      <c r="BG160" s="9">
        <v>0</v>
      </c>
      <c r="BH160" s="9">
        <v>0</v>
      </c>
      <c r="BI160" s="9">
        <v>0</v>
      </c>
      <c r="BJ160" s="9">
        <v>0</v>
      </c>
      <c r="BK160" s="9">
        <v>0</v>
      </c>
      <c r="BL160" s="9">
        <v>0</v>
      </c>
      <c r="BM160" s="9">
        <v>0</v>
      </c>
      <c r="BN160" s="9">
        <v>0</v>
      </c>
      <c r="BO160" s="9">
        <v>0</v>
      </c>
      <c r="BP160" s="9">
        <v>0</v>
      </c>
      <c r="BQ160" s="9">
        <v>0</v>
      </c>
      <c r="BR160" s="9">
        <v>0</v>
      </c>
      <c r="BS160" s="9">
        <v>0</v>
      </c>
      <c r="BT160" s="9">
        <v>0</v>
      </c>
      <c r="BU160" s="9">
        <v>0</v>
      </c>
      <c r="BV160" s="9">
        <v>0</v>
      </c>
      <c r="BW160" s="9">
        <v>0</v>
      </c>
      <c r="BX160" s="9">
        <v>0</v>
      </c>
      <c r="BY160" s="9">
        <v>0</v>
      </c>
      <c r="BZ160" s="9">
        <v>0</v>
      </c>
      <c r="CA160" s="9">
        <v>0</v>
      </c>
      <c r="CB160" s="9">
        <v>0</v>
      </c>
      <c r="CC160" s="9">
        <v>0</v>
      </c>
      <c r="CD160" s="9">
        <v>0</v>
      </c>
      <c r="CE160" s="9">
        <v>0</v>
      </c>
      <c r="CF160" s="9">
        <v>0</v>
      </c>
      <c r="CG160" s="9">
        <v>0</v>
      </c>
      <c r="CH160" s="9">
        <v>0</v>
      </c>
      <c r="CI160" s="9">
        <v>0</v>
      </c>
      <c r="CJ160" s="9">
        <v>0</v>
      </c>
      <c r="CK160" s="9">
        <v>0</v>
      </c>
      <c r="CL160" s="9">
        <v>0</v>
      </c>
      <c r="CM160" s="9">
        <v>0</v>
      </c>
      <c r="CN160" s="9">
        <v>0</v>
      </c>
      <c r="CO160" s="9">
        <v>0</v>
      </c>
      <c r="CP160" s="9">
        <v>0</v>
      </c>
      <c r="CQ160" s="9">
        <v>0</v>
      </c>
      <c r="CR160" s="9">
        <v>0</v>
      </c>
      <c r="CS160" s="9">
        <v>0</v>
      </c>
      <c r="CT160" s="9">
        <v>0</v>
      </c>
      <c r="CU160" s="9">
        <v>0</v>
      </c>
      <c r="CV160" s="9">
        <v>0</v>
      </c>
      <c r="CW160" s="9">
        <v>0</v>
      </c>
      <c r="CX160" s="9">
        <v>0</v>
      </c>
      <c r="CY160" s="9">
        <v>0</v>
      </c>
      <c r="CZ160" s="9">
        <v>0</v>
      </c>
      <c r="DA160" s="9">
        <v>0</v>
      </c>
      <c r="DB160" s="9">
        <v>0</v>
      </c>
      <c r="DC160" s="9">
        <v>0</v>
      </c>
      <c r="DD160" s="9">
        <v>0</v>
      </c>
      <c r="DE160" s="9">
        <v>0</v>
      </c>
      <c r="DF160" s="9">
        <v>0</v>
      </c>
      <c r="DG160" s="9">
        <v>0</v>
      </c>
      <c r="DH160" s="9">
        <v>0</v>
      </c>
      <c r="DI160" s="9">
        <v>0</v>
      </c>
      <c r="DJ160" s="9">
        <v>0</v>
      </c>
      <c r="DK160" s="9">
        <v>0</v>
      </c>
      <c r="DL160" s="9">
        <v>0</v>
      </c>
      <c r="DM160" s="9">
        <v>0</v>
      </c>
      <c r="DN160" s="9">
        <v>0</v>
      </c>
      <c r="DO160" s="9">
        <v>0</v>
      </c>
      <c r="DP160" s="9">
        <v>0</v>
      </c>
      <c r="DQ160" s="9">
        <v>0</v>
      </c>
      <c r="DR160" s="9">
        <v>0</v>
      </c>
      <c r="DS160" s="9">
        <v>0</v>
      </c>
      <c r="DT160" s="9">
        <v>0</v>
      </c>
      <c r="DU160" s="9">
        <v>0</v>
      </c>
      <c r="DV160" s="9">
        <v>0</v>
      </c>
      <c r="DW160" s="9">
        <v>0</v>
      </c>
      <c r="DX160" s="9">
        <v>0</v>
      </c>
      <c r="DY160" s="9">
        <v>0</v>
      </c>
      <c r="DZ160" s="9">
        <v>0</v>
      </c>
      <c r="EA160" s="9">
        <v>0</v>
      </c>
      <c r="EB160" s="9">
        <v>0</v>
      </c>
      <c r="EC160" s="9">
        <v>0</v>
      </c>
      <c r="ED160" s="9">
        <v>0</v>
      </c>
      <c r="EE160" s="9">
        <v>0</v>
      </c>
      <c r="EF160" s="9">
        <v>0</v>
      </c>
      <c r="EG160" s="9">
        <v>0</v>
      </c>
      <c r="EH160" s="9">
        <v>0</v>
      </c>
      <c r="EI160" s="10">
        <v>0</v>
      </c>
    </row>
    <row r="161" spans="1:139" x14ac:dyDescent="0.35">
      <c r="A161" s="8" t="s">
        <v>261</v>
      </c>
      <c r="B161" s="9" t="s">
        <v>29</v>
      </c>
      <c r="C161" s="9" t="s">
        <v>30</v>
      </c>
      <c r="D161" s="9">
        <f t="shared" si="2"/>
        <v>0</v>
      </c>
      <c r="E161" s="9">
        <v>0</v>
      </c>
      <c r="F161" s="9">
        <v>0</v>
      </c>
      <c r="G161" s="9">
        <v>0</v>
      </c>
      <c r="H161" s="9">
        <v>0</v>
      </c>
      <c r="I161" s="9">
        <v>0</v>
      </c>
      <c r="J161" s="9">
        <v>0</v>
      </c>
      <c r="K161" s="9">
        <v>0</v>
      </c>
      <c r="L161" s="9">
        <v>0</v>
      </c>
      <c r="M161" s="9">
        <v>0</v>
      </c>
      <c r="N161" s="9">
        <v>0</v>
      </c>
      <c r="O161" s="9">
        <v>0</v>
      </c>
      <c r="P161" s="9">
        <v>0</v>
      </c>
      <c r="Q161" s="9">
        <v>0</v>
      </c>
      <c r="R161" s="9">
        <v>0</v>
      </c>
      <c r="S161" s="9">
        <v>0</v>
      </c>
      <c r="T161" s="9">
        <v>0</v>
      </c>
      <c r="U161" s="9">
        <v>0</v>
      </c>
      <c r="V161" s="9">
        <v>0</v>
      </c>
      <c r="W161" s="9">
        <v>0</v>
      </c>
      <c r="X161" s="9">
        <v>0</v>
      </c>
      <c r="Y161" s="9">
        <v>0</v>
      </c>
      <c r="Z161" s="9">
        <v>0</v>
      </c>
      <c r="AA161" s="9">
        <v>0</v>
      </c>
      <c r="AB161" s="9">
        <v>0</v>
      </c>
      <c r="AC161" s="9">
        <v>0</v>
      </c>
      <c r="AD161" s="9">
        <v>0</v>
      </c>
      <c r="AE161" s="9">
        <v>0</v>
      </c>
      <c r="AF161" s="9">
        <v>0</v>
      </c>
      <c r="AG161" s="9">
        <v>0</v>
      </c>
      <c r="AH161" s="9">
        <v>0</v>
      </c>
      <c r="AI161" s="9">
        <v>0</v>
      </c>
      <c r="AJ161" s="9">
        <v>0</v>
      </c>
      <c r="AK161" s="9">
        <v>0</v>
      </c>
      <c r="AL161" s="9">
        <v>0</v>
      </c>
      <c r="AM161" s="9">
        <v>0</v>
      </c>
      <c r="AN161" s="9">
        <v>0</v>
      </c>
      <c r="AO161" s="9">
        <v>0</v>
      </c>
      <c r="AP161" s="9">
        <v>0</v>
      </c>
      <c r="AQ161" s="9">
        <v>0</v>
      </c>
      <c r="AR161" s="9">
        <v>0</v>
      </c>
      <c r="AS161" s="9">
        <v>0</v>
      </c>
      <c r="AT161" s="9">
        <v>0</v>
      </c>
      <c r="AU161" s="9">
        <v>0</v>
      </c>
      <c r="AV161" s="9">
        <v>0</v>
      </c>
      <c r="AW161" s="9">
        <v>0</v>
      </c>
      <c r="AX161" s="9">
        <v>0</v>
      </c>
      <c r="AY161" s="9">
        <v>0</v>
      </c>
      <c r="AZ161" s="9">
        <v>0</v>
      </c>
      <c r="BA161" s="9">
        <v>0</v>
      </c>
      <c r="BB161" s="9">
        <v>0</v>
      </c>
      <c r="BC161" s="9">
        <v>0</v>
      </c>
      <c r="BD161" s="9">
        <v>0</v>
      </c>
      <c r="BE161" s="9">
        <v>0</v>
      </c>
      <c r="BF161" s="9">
        <v>0</v>
      </c>
      <c r="BG161" s="9">
        <v>0</v>
      </c>
      <c r="BH161" s="9">
        <v>0</v>
      </c>
      <c r="BI161" s="9">
        <v>0</v>
      </c>
      <c r="BJ161" s="9">
        <v>0</v>
      </c>
      <c r="BK161" s="9">
        <v>0</v>
      </c>
      <c r="BL161" s="9">
        <v>0</v>
      </c>
      <c r="BM161" s="9">
        <v>0</v>
      </c>
      <c r="BN161" s="9">
        <v>0</v>
      </c>
      <c r="BO161" s="9">
        <v>0</v>
      </c>
      <c r="BP161" s="9">
        <v>0</v>
      </c>
      <c r="BQ161" s="9">
        <v>0</v>
      </c>
      <c r="BR161" s="9">
        <v>0</v>
      </c>
      <c r="BS161" s="9">
        <v>0</v>
      </c>
      <c r="BT161" s="9">
        <v>0</v>
      </c>
      <c r="BU161" s="9">
        <v>0</v>
      </c>
      <c r="BV161" s="9">
        <v>0</v>
      </c>
      <c r="BW161" s="9">
        <v>0</v>
      </c>
      <c r="BX161" s="9">
        <v>0</v>
      </c>
      <c r="BY161" s="9">
        <v>0</v>
      </c>
      <c r="BZ161" s="9">
        <v>0</v>
      </c>
      <c r="CA161" s="9">
        <v>0</v>
      </c>
      <c r="CB161" s="9">
        <v>0</v>
      </c>
      <c r="CC161" s="9">
        <v>0</v>
      </c>
      <c r="CD161" s="9">
        <v>0</v>
      </c>
      <c r="CE161" s="9">
        <v>0</v>
      </c>
      <c r="CF161" s="9">
        <v>0</v>
      </c>
      <c r="CG161" s="9">
        <v>0</v>
      </c>
      <c r="CH161" s="9">
        <v>0</v>
      </c>
      <c r="CI161" s="9">
        <v>0</v>
      </c>
      <c r="CJ161" s="9">
        <v>0</v>
      </c>
      <c r="CK161" s="9">
        <v>0</v>
      </c>
      <c r="CL161" s="9">
        <v>0</v>
      </c>
      <c r="CM161" s="9">
        <v>0</v>
      </c>
      <c r="CN161" s="9">
        <v>0</v>
      </c>
      <c r="CO161" s="9">
        <v>0</v>
      </c>
      <c r="CP161" s="9">
        <v>0</v>
      </c>
      <c r="CQ161" s="9">
        <v>0</v>
      </c>
      <c r="CR161" s="9">
        <v>0</v>
      </c>
      <c r="CS161" s="9">
        <v>0</v>
      </c>
      <c r="CT161" s="9">
        <v>0</v>
      </c>
      <c r="CU161" s="9">
        <v>0</v>
      </c>
      <c r="CV161" s="9">
        <v>0</v>
      </c>
      <c r="CW161" s="9">
        <v>0</v>
      </c>
      <c r="CX161" s="9">
        <v>0</v>
      </c>
      <c r="CY161" s="9">
        <v>0</v>
      </c>
      <c r="CZ161" s="9">
        <v>0</v>
      </c>
      <c r="DA161" s="9">
        <v>0</v>
      </c>
      <c r="DB161" s="9">
        <v>0</v>
      </c>
      <c r="DC161" s="9">
        <v>0</v>
      </c>
      <c r="DD161" s="9">
        <v>0</v>
      </c>
      <c r="DE161" s="9">
        <v>0</v>
      </c>
      <c r="DF161" s="9">
        <v>0</v>
      </c>
      <c r="DG161" s="9">
        <v>0</v>
      </c>
      <c r="DH161" s="9">
        <v>0</v>
      </c>
      <c r="DI161" s="9">
        <v>0</v>
      </c>
      <c r="DJ161" s="9">
        <v>0</v>
      </c>
      <c r="DK161" s="9">
        <v>0</v>
      </c>
      <c r="DL161" s="9">
        <v>0</v>
      </c>
      <c r="DM161" s="9">
        <v>0</v>
      </c>
      <c r="DN161" s="9">
        <v>0</v>
      </c>
      <c r="DO161" s="9">
        <v>0</v>
      </c>
      <c r="DP161" s="9">
        <v>0</v>
      </c>
      <c r="DQ161" s="9">
        <v>0</v>
      </c>
      <c r="DR161" s="9">
        <v>0</v>
      </c>
      <c r="DS161" s="9">
        <v>0</v>
      </c>
      <c r="DT161" s="9">
        <v>0</v>
      </c>
      <c r="DU161" s="9">
        <v>0</v>
      </c>
      <c r="DV161" s="9">
        <v>0</v>
      </c>
      <c r="DW161" s="9">
        <v>0</v>
      </c>
      <c r="DX161" s="9">
        <v>0</v>
      </c>
      <c r="DY161" s="9">
        <v>0</v>
      </c>
      <c r="DZ161" s="9">
        <v>0</v>
      </c>
      <c r="EA161" s="9">
        <v>0</v>
      </c>
      <c r="EB161" s="9">
        <v>0</v>
      </c>
      <c r="EC161" s="9">
        <v>0</v>
      </c>
      <c r="ED161" s="9">
        <v>0</v>
      </c>
      <c r="EE161" s="9">
        <v>0</v>
      </c>
      <c r="EF161" s="9">
        <v>0</v>
      </c>
      <c r="EG161" s="9">
        <v>0</v>
      </c>
      <c r="EH161" s="9">
        <v>0</v>
      </c>
      <c r="EI161" s="10">
        <v>0</v>
      </c>
    </row>
    <row r="162" spans="1:139" x14ac:dyDescent="0.35">
      <c r="A162" s="8" t="s">
        <v>261</v>
      </c>
      <c r="B162" s="9" t="s">
        <v>280</v>
      </c>
      <c r="C162" s="9" t="s">
        <v>281</v>
      </c>
      <c r="D162" s="9">
        <f t="shared" si="2"/>
        <v>110</v>
      </c>
      <c r="E162" s="9">
        <v>0</v>
      </c>
      <c r="F162" s="9">
        <v>0</v>
      </c>
      <c r="G162" s="9">
        <v>0</v>
      </c>
      <c r="H162" s="9">
        <v>0</v>
      </c>
      <c r="I162" s="9">
        <v>0</v>
      </c>
      <c r="J162" s="9">
        <v>0</v>
      </c>
      <c r="K162" s="9">
        <v>0</v>
      </c>
      <c r="L162" s="9">
        <v>0</v>
      </c>
      <c r="M162" s="9">
        <v>0</v>
      </c>
      <c r="N162" s="9">
        <v>0</v>
      </c>
      <c r="O162" s="9">
        <v>0</v>
      </c>
      <c r="P162" s="9">
        <v>1</v>
      </c>
      <c r="Q162" s="9">
        <v>0</v>
      </c>
      <c r="R162" s="9">
        <v>0</v>
      </c>
      <c r="S162" s="9">
        <v>0</v>
      </c>
      <c r="T162" s="9">
        <v>1</v>
      </c>
      <c r="U162" s="9">
        <v>2</v>
      </c>
      <c r="V162" s="9">
        <v>2</v>
      </c>
      <c r="W162" s="9">
        <v>1</v>
      </c>
      <c r="X162" s="9">
        <v>1</v>
      </c>
      <c r="Y162" s="9">
        <v>1</v>
      </c>
      <c r="Z162" s="9">
        <v>3</v>
      </c>
      <c r="AA162" s="9">
        <v>3</v>
      </c>
      <c r="AB162" s="9">
        <v>2</v>
      </c>
      <c r="AC162" s="9">
        <v>0</v>
      </c>
      <c r="AD162" s="9">
        <v>1</v>
      </c>
      <c r="AE162" s="9">
        <v>3</v>
      </c>
      <c r="AF162" s="9">
        <v>5</v>
      </c>
      <c r="AG162" s="9">
        <v>7</v>
      </c>
      <c r="AH162" s="9">
        <v>3</v>
      </c>
      <c r="AI162" s="9">
        <v>3</v>
      </c>
      <c r="AJ162" s="9">
        <v>1</v>
      </c>
      <c r="AK162" s="9">
        <v>3</v>
      </c>
      <c r="AL162" s="9">
        <v>1</v>
      </c>
      <c r="AM162" s="9">
        <v>3</v>
      </c>
      <c r="AN162" s="9">
        <v>0</v>
      </c>
      <c r="AO162" s="9">
        <v>1</v>
      </c>
      <c r="AP162" s="9">
        <v>3</v>
      </c>
      <c r="AQ162" s="9">
        <v>0</v>
      </c>
      <c r="AR162" s="9">
        <v>5</v>
      </c>
      <c r="AS162" s="9">
        <v>5</v>
      </c>
      <c r="AT162" s="9">
        <v>3</v>
      </c>
      <c r="AU162" s="9">
        <v>3</v>
      </c>
      <c r="AV162" s="9">
        <v>1</v>
      </c>
      <c r="AW162" s="9">
        <v>0</v>
      </c>
      <c r="AX162" s="9">
        <v>3</v>
      </c>
      <c r="AY162" s="9">
        <v>3</v>
      </c>
      <c r="AZ162" s="9">
        <v>2</v>
      </c>
      <c r="BA162" s="9">
        <v>2</v>
      </c>
      <c r="BB162" s="9">
        <v>2</v>
      </c>
      <c r="BC162" s="9">
        <v>2</v>
      </c>
      <c r="BD162" s="9">
        <v>0</v>
      </c>
      <c r="BE162" s="9">
        <v>0</v>
      </c>
      <c r="BF162" s="9">
        <v>2</v>
      </c>
      <c r="BG162" s="9">
        <v>3</v>
      </c>
      <c r="BH162" s="9">
        <v>3</v>
      </c>
      <c r="BI162" s="9">
        <v>3</v>
      </c>
      <c r="BJ162" s="9">
        <v>0</v>
      </c>
      <c r="BK162" s="9">
        <v>1</v>
      </c>
      <c r="BL162" s="9">
        <v>1</v>
      </c>
      <c r="BM162" s="9">
        <v>0</v>
      </c>
      <c r="BN162" s="9">
        <v>1</v>
      </c>
      <c r="BO162" s="9">
        <v>0</v>
      </c>
      <c r="BP162" s="9">
        <v>2</v>
      </c>
      <c r="BQ162" s="9">
        <v>2</v>
      </c>
      <c r="BR162" s="9">
        <v>1</v>
      </c>
      <c r="BS162" s="9">
        <v>0</v>
      </c>
      <c r="BT162" s="9">
        <v>0</v>
      </c>
      <c r="BU162" s="9">
        <v>1</v>
      </c>
      <c r="BV162" s="9">
        <v>0</v>
      </c>
      <c r="BW162" s="9">
        <v>0</v>
      </c>
      <c r="BX162" s="9">
        <v>1</v>
      </c>
      <c r="BY162" s="9">
        <v>1</v>
      </c>
      <c r="BZ162" s="9">
        <v>0</v>
      </c>
      <c r="CA162" s="9">
        <v>0</v>
      </c>
      <c r="CB162" s="9">
        <v>0</v>
      </c>
      <c r="CC162" s="9">
        <v>0</v>
      </c>
      <c r="CD162" s="9">
        <v>0</v>
      </c>
      <c r="CE162" s="9">
        <v>0</v>
      </c>
      <c r="CF162" s="9">
        <v>0</v>
      </c>
      <c r="CG162" s="9">
        <v>0</v>
      </c>
      <c r="CH162" s="9">
        <v>0</v>
      </c>
      <c r="CI162" s="9">
        <v>0</v>
      </c>
      <c r="CJ162" s="9">
        <v>0</v>
      </c>
      <c r="CK162" s="9">
        <v>0</v>
      </c>
      <c r="CL162" s="9">
        <v>0</v>
      </c>
      <c r="CM162" s="9">
        <v>0</v>
      </c>
      <c r="CN162" s="9">
        <v>0</v>
      </c>
      <c r="CO162" s="9">
        <v>0</v>
      </c>
      <c r="CP162" s="9">
        <v>2</v>
      </c>
      <c r="CQ162" s="9">
        <v>0</v>
      </c>
      <c r="CR162" s="9">
        <v>0</v>
      </c>
      <c r="CS162" s="9">
        <v>0</v>
      </c>
      <c r="CT162" s="9">
        <v>1</v>
      </c>
      <c r="CU162" s="9">
        <v>1</v>
      </c>
      <c r="CV162" s="9">
        <v>0</v>
      </c>
      <c r="CW162" s="9">
        <v>0</v>
      </c>
      <c r="CX162" s="9">
        <v>0</v>
      </c>
      <c r="CY162" s="9">
        <v>0</v>
      </c>
      <c r="CZ162" s="9">
        <v>0</v>
      </c>
      <c r="DA162" s="9">
        <v>0</v>
      </c>
      <c r="DB162" s="9">
        <v>1</v>
      </c>
      <c r="DC162" s="9">
        <v>0</v>
      </c>
      <c r="DD162" s="9">
        <v>1</v>
      </c>
      <c r="DE162" s="9">
        <v>0</v>
      </c>
      <c r="DF162" s="9">
        <v>0</v>
      </c>
      <c r="DG162" s="9">
        <v>0</v>
      </c>
      <c r="DH162" s="9">
        <v>0</v>
      </c>
      <c r="DI162" s="9">
        <v>0</v>
      </c>
      <c r="DJ162" s="9">
        <v>0</v>
      </c>
      <c r="DK162" s="9">
        <v>0</v>
      </c>
      <c r="DL162" s="9">
        <v>0</v>
      </c>
      <c r="DM162" s="9">
        <v>0</v>
      </c>
      <c r="DN162" s="9">
        <v>0</v>
      </c>
      <c r="DO162" s="9">
        <v>0</v>
      </c>
      <c r="DP162" s="9">
        <v>0</v>
      </c>
      <c r="DQ162" s="9">
        <v>0</v>
      </c>
      <c r="DR162" s="9">
        <v>0</v>
      </c>
      <c r="DS162" s="9">
        <v>0</v>
      </c>
      <c r="DT162" s="9">
        <v>0</v>
      </c>
      <c r="DU162" s="9">
        <v>0</v>
      </c>
      <c r="DV162" s="9">
        <v>0</v>
      </c>
      <c r="DW162" s="9">
        <v>0</v>
      </c>
      <c r="DX162" s="9">
        <v>0</v>
      </c>
      <c r="DY162" s="9">
        <v>0</v>
      </c>
      <c r="DZ162" s="9">
        <v>0</v>
      </c>
      <c r="EA162" s="9">
        <v>0</v>
      </c>
      <c r="EB162" s="9">
        <v>0</v>
      </c>
      <c r="EC162" s="9">
        <v>0</v>
      </c>
      <c r="ED162" s="9">
        <v>0</v>
      </c>
      <c r="EE162" s="9">
        <v>0</v>
      </c>
      <c r="EF162" s="9">
        <v>0</v>
      </c>
      <c r="EG162" s="9">
        <v>0</v>
      </c>
      <c r="EH162" s="9">
        <v>0</v>
      </c>
      <c r="EI162" s="10">
        <v>0</v>
      </c>
    </row>
    <row r="163" spans="1:139" x14ac:dyDescent="0.35">
      <c r="A163" s="8" t="s">
        <v>261</v>
      </c>
      <c r="B163" s="9" t="s">
        <v>282</v>
      </c>
      <c r="C163" s="9" t="s">
        <v>283</v>
      </c>
      <c r="D163" s="9">
        <f t="shared" si="2"/>
        <v>221</v>
      </c>
      <c r="E163" s="9">
        <v>0</v>
      </c>
      <c r="F163" s="9">
        <v>0</v>
      </c>
      <c r="G163" s="9">
        <v>20</v>
      </c>
      <c r="H163" s="9">
        <v>0</v>
      </c>
      <c r="I163" s="9">
        <v>0</v>
      </c>
      <c r="J163" s="9">
        <v>1</v>
      </c>
      <c r="K163" s="9">
        <v>0</v>
      </c>
      <c r="L163" s="9">
        <v>0</v>
      </c>
      <c r="M163" s="9">
        <v>2</v>
      </c>
      <c r="N163" s="9">
        <v>0</v>
      </c>
      <c r="O163" s="9">
        <v>0</v>
      </c>
      <c r="P163" s="9">
        <v>0</v>
      </c>
      <c r="Q163" s="9">
        <v>12</v>
      </c>
      <c r="R163" s="9">
        <v>0</v>
      </c>
      <c r="S163" s="9">
        <v>0</v>
      </c>
      <c r="T163" s="9">
        <v>2</v>
      </c>
      <c r="U163" s="9">
        <v>0</v>
      </c>
      <c r="V163" s="9">
        <v>0</v>
      </c>
      <c r="W163" s="9">
        <v>0</v>
      </c>
      <c r="X163" s="9">
        <v>2</v>
      </c>
      <c r="Y163" s="9">
        <v>2</v>
      </c>
      <c r="Z163" s="9">
        <v>1</v>
      </c>
      <c r="AA163" s="9">
        <v>0</v>
      </c>
      <c r="AB163" s="9">
        <v>0</v>
      </c>
      <c r="AC163" s="9">
        <v>0</v>
      </c>
      <c r="AD163" s="9">
        <v>0</v>
      </c>
      <c r="AE163" s="9">
        <v>1</v>
      </c>
      <c r="AF163" s="9">
        <v>3</v>
      </c>
      <c r="AG163" s="9">
        <v>0</v>
      </c>
      <c r="AH163" s="9">
        <v>0</v>
      </c>
      <c r="AI163" s="9">
        <v>0</v>
      </c>
      <c r="AJ163" s="9">
        <v>0</v>
      </c>
      <c r="AK163" s="9">
        <v>0</v>
      </c>
      <c r="AL163" s="9">
        <v>0</v>
      </c>
      <c r="AM163" s="9">
        <v>0</v>
      </c>
      <c r="AN163" s="9">
        <v>1</v>
      </c>
      <c r="AO163" s="9">
        <v>4</v>
      </c>
      <c r="AP163" s="9">
        <v>0</v>
      </c>
      <c r="AQ163" s="9">
        <v>9</v>
      </c>
      <c r="AR163" s="9">
        <v>4</v>
      </c>
      <c r="AS163" s="9">
        <v>2</v>
      </c>
      <c r="AT163" s="9">
        <v>5</v>
      </c>
      <c r="AU163" s="9">
        <v>3</v>
      </c>
      <c r="AV163" s="9">
        <v>4</v>
      </c>
      <c r="AW163" s="9">
        <v>1</v>
      </c>
      <c r="AX163" s="9">
        <v>7</v>
      </c>
      <c r="AY163" s="9">
        <v>7</v>
      </c>
      <c r="AZ163" s="9">
        <v>3</v>
      </c>
      <c r="BA163" s="9">
        <v>3</v>
      </c>
      <c r="BB163" s="9">
        <v>6</v>
      </c>
      <c r="BC163" s="9">
        <v>1</v>
      </c>
      <c r="BD163" s="9">
        <v>2</v>
      </c>
      <c r="BE163" s="9">
        <v>3</v>
      </c>
      <c r="BF163" s="9">
        <v>0</v>
      </c>
      <c r="BG163" s="9">
        <v>3</v>
      </c>
      <c r="BH163" s="9">
        <v>5</v>
      </c>
      <c r="BI163" s="9">
        <v>0</v>
      </c>
      <c r="BJ163" s="9">
        <v>4</v>
      </c>
      <c r="BK163" s="9">
        <v>3</v>
      </c>
      <c r="BL163" s="9">
        <v>1</v>
      </c>
      <c r="BM163" s="9">
        <v>3</v>
      </c>
      <c r="BN163" s="9">
        <v>6</v>
      </c>
      <c r="BO163" s="9">
        <v>2</v>
      </c>
      <c r="BP163" s="9">
        <v>2</v>
      </c>
      <c r="BQ163" s="9">
        <v>1</v>
      </c>
      <c r="BR163" s="9">
        <v>3</v>
      </c>
      <c r="BS163" s="9">
        <v>2</v>
      </c>
      <c r="BT163" s="9">
        <v>3</v>
      </c>
      <c r="BU163" s="9">
        <v>0</v>
      </c>
      <c r="BV163" s="9">
        <v>5</v>
      </c>
      <c r="BW163" s="9">
        <v>2</v>
      </c>
      <c r="BX163" s="9">
        <v>5</v>
      </c>
      <c r="BY163" s="9">
        <v>2</v>
      </c>
      <c r="BZ163" s="9">
        <v>3</v>
      </c>
      <c r="CA163" s="9">
        <v>2</v>
      </c>
      <c r="CB163" s="9">
        <v>3</v>
      </c>
      <c r="CC163" s="9">
        <v>3</v>
      </c>
      <c r="CD163" s="9">
        <v>0</v>
      </c>
      <c r="CE163" s="9">
        <v>0</v>
      </c>
      <c r="CF163" s="9">
        <v>1</v>
      </c>
      <c r="CG163" s="9">
        <v>1</v>
      </c>
      <c r="CH163" s="9">
        <v>2</v>
      </c>
      <c r="CI163" s="9">
        <v>2</v>
      </c>
      <c r="CJ163" s="9">
        <v>0</v>
      </c>
      <c r="CK163" s="9">
        <v>2</v>
      </c>
      <c r="CL163" s="9">
        <v>2</v>
      </c>
      <c r="CM163" s="9">
        <v>2</v>
      </c>
      <c r="CN163" s="9">
        <v>0</v>
      </c>
      <c r="CO163" s="9">
        <v>4</v>
      </c>
      <c r="CP163" s="9">
        <v>1</v>
      </c>
      <c r="CQ163" s="9">
        <v>2</v>
      </c>
      <c r="CR163" s="9">
        <v>1</v>
      </c>
      <c r="CS163" s="9">
        <v>1</v>
      </c>
      <c r="CT163" s="9">
        <v>1</v>
      </c>
      <c r="CU163" s="9">
        <v>3</v>
      </c>
      <c r="CV163" s="9">
        <v>2</v>
      </c>
      <c r="CW163" s="9">
        <v>0</v>
      </c>
      <c r="CX163" s="9">
        <v>0</v>
      </c>
      <c r="CY163" s="9">
        <v>3</v>
      </c>
      <c r="CZ163" s="9">
        <v>1</v>
      </c>
      <c r="DA163" s="9">
        <v>1</v>
      </c>
      <c r="DB163" s="9">
        <v>0</v>
      </c>
      <c r="DC163" s="9">
        <v>3</v>
      </c>
      <c r="DD163" s="9">
        <v>0</v>
      </c>
      <c r="DE163" s="9">
        <v>2</v>
      </c>
      <c r="DF163" s="9">
        <v>2</v>
      </c>
      <c r="DG163" s="9">
        <v>2</v>
      </c>
      <c r="DH163" s="9">
        <v>1</v>
      </c>
      <c r="DI163" s="9">
        <v>0</v>
      </c>
      <c r="DJ163" s="9">
        <v>0</v>
      </c>
      <c r="DK163" s="9">
        <v>1</v>
      </c>
      <c r="DL163" s="9">
        <v>0</v>
      </c>
      <c r="DM163" s="9">
        <v>1</v>
      </c>
      <c r="DN163" s="9">
        <v>0</v>
      </c>
      <c r="DO163" s="9">
        <v>0</v>
      </c>
      <c r="DP163" s="9">
        <v>0</v>
      </c>
      <c r="DQ163" s="9">
        <v>0</v>
      </c>
      <c r="DR163" s="9">
        <v>0</v>
      </c>
      <c r="DS163" s="9">
        <v>0</v>
      </c>
      <c r="DT163" s="9">
        <v>2</v>
      </c>
      <c r="DU163" s="9">
        <v>0</v>
      </c>
      <c r="DV163" s="9">
        <v>0</v>
      </c>
      <c r="DW163" s="9">
        <v>0</v>
      </c>
      <c r="DX163" s="9">
        <v>0</v>
      </c>
      <c r="DY163" s="9">
        <v>1</v>
      </c>
      <c r="DZ163" s="9">
        <v>0</v>
      </c>
      <c r="EA163" s="9">
        <v>0</v>
      </c>
      <c r="EB163" s="9">
        <v>0</v>
      </c>
      <c r="EC163" s="9">
        <v>0</v>
      </c>
      <c r="ED163" s="9">
        <v>0</v>
      </c>
      <c r="EE163" s="9">
        <v>0</v>
      </c>
      <c r="EF163" s="9">
        <v>0</v>
      </c>
      <c r="EG163" s="9">
        <v>0</v>
      </c>
      <c r="EH163" s="9">
        <v>0</v>
      </c>
      <c r="EI163" s="10">
        <v>0</v>
      </c>
    </row>
    <row r="164" spans="1:139" x14ac:dyDescent="0.35">
      <c r="A164" s="8" t="s">
        <v>261</v>
      </c>
      <c r="B164" s="9" t="s">
        <v>284</v>
      </c>
      <c r="C164" s="9" t="s">
        <v>285</v>
      </c>
      <c r="D164" s="9">
        <f t="shared" si="2"/>
        <v>332</v>
      </c>
      <c r="E164" s="9">
        <v>0</v>
      </c>
      <c r="F164" s="9">
        <v>0</v>
      </c>
      <c r="G164" s="9">
        <v>0</v>
      </c>
      <c r="H164" s="9">
        <v>3</v>
      </c>
      <c r="I164" s="9">
        <v>0</v>
      </c>
      <c r="J164" s="9">
        <v>2</v>
      </c>
      <c r="K164" s="9">
        <v>0</v>
      </c>
      <c r="L164" s="9">
        <v>1</v>
      </c>
      <c r="M164" s="9">
        <v>1</v>
      </c>
      <c r="N164" s="9">
        <v>0</v>
      </c>
      <c r="O164" s="9">
        <v>2</v>
      </c>
      <c r="P164" s="9">
        <v>4</v>
      </c>
      <c r="Q164" s="9">
        <v>2</v>
      </c>
      <c r="R164" s="9">
        <v>12</v>
      </c>
      <c r="S164" s="9">
        <v>4</v>
      </c>
      <c r="T164" s="9">
        <v>4</v>
      </c>
      <c r="U164" s="9">
        <v>4</v>
      </c>
      <c r="V164" s="9">
        <v>9</v>
      </c>
      <c r="W164" s="9">
        <v>8</v>
      </c>
      <c r="X164" s="9">
        <v>6</v>
      </c>
      <c r="Y164" s="9">
        <v>11</v>
      </c>
      <c r="Z164" s="9">
        <v>4</v>
      </c>
      <c r="AA164" s="9">
        <v>5</v>
      </c>
      <c r="AB164" s="9">
        <v>2</v>
      </c>
      <c r="AC164" s="9">
        <v>7</v>
      </c>
      <c r="AD164" s="9">
        <v>7</v>
      </c>
      <c r="AE164" s="9">
        <v>5</v>
      </c>
      <c r="AF164" s="9">
        <v>2</v>
      </c>
      <c r="AG164" s="9">
        <v>10</v>
      </c>
      <c r="AH164" s="9">
        <v>2</v>
      </c>
      <c r="AI164" s="9">
        <v>4</v>
      </c>
      <c r="AJ164" s="9">
        <v>3</v>
      </c>
      <c r="AK164" s="9">
        <v>7</v>
      </c>
      <c r="AL164" s="9">
        <v>8</v>
      </c>
      <c r="AM164" s="9">
        <v>7</v>
      </c>
      <c r="AN164" s="9">
        <v>4</v>
      </c>
      <c r="AO164" s="9">
        <v>4</v>
      </c>
      <c r="AP164" s="9">
        <v>5</v>
      </c>
      <c r="AQ164" s="9">
        <v>11</v>
      </c>
      <c r="AR164" s="9">
        <v>5</v>
      </c>
      <c r="AS164" s="9">
        <v>7</v>
      </c>
      <c r="AT164" s="9">
        <v>6</v>
      </c>
      <c r="AU164" s="9">
        <v>5</v>
      </c>
      <c r="AV164" s="9">
        <v>1</v>
      </c>
      <c r="AW164" s="9">
        <v>5</v>
      </c>
      <c r="AX164" s="9">
        <v>8</v>
      </c>
      <c r="AY164" s="9">
        <v>6</v>
      </c>
      <c r="AZ164" s="9">
        <v>7</v>
      </c>
      <c r="BA164" s="9">
        <v>8</v>
      </c>
      <c r="BB164" s="9">
        <v>8</v>
      </c>
      <c r="BC164" s="9">
        <v>4</v>
      </c>
      <c r="BD164" s="9">
        <v>1</v>
      </c>
      <c r="BE164" s="9">
        <v>3</v>
      </c>
      <c r="BF164" s="9">
        <v>3</v>
      </c>
      <c r="BG164" s="9">
        <v>11</v>
      </c>
      <c r="BH164" s="9">
        <v>6</v>
      </c>
      <c r="BI164" s="9">
        <v>9</v>
      </c>
      <c r="BJ164" s="9">
        <v>5</v>
      </c>
      <c r="BK164" s="9">
        <v>4</v>
      </c>
      <c r="BL164" s="9">
        <v>3</v>
      </c>
      <c r="BM164" s="9">
        <v>1</v>
      </c>
      <c r="BN164" s="9">
        <v>3</v>
      </c>
      <c r="BO164" s="9">
        <v>0</v>
      </c>
      <c r="BP164" s="9">
        <v>3</v>
      </c>
      <c r="BQ164" s="9">
        <v>2</v>
      </c>
      <c r="BR164" s="9">
        <v>0</v>
      </c>
      <c r="BS164" s="9">
        <v>3</v>
      </c>
      <c r="BT164" s="9">
        <v>3</v>
      </c>
      <c r="BU164" s="9">
        <v>0</v>
      </c>
      <c r="BV164" s="9">
        <v>1</v>
      </c>
      <c r="BW164" s="9">
        <v>0</v>
      </c>
      <c r="BX164" s="9">
        <v>3</v>
      </c>
      <c r="BY164" s="9">
        <v>1</v>
      </c>
      <c r="BZ164" s="9">
        <v>0</v>
      </c>
      <c r="CA164" s="9">
        <v>1</v>
      </c>
      <c r="CB164" s="9">
        <v>4</v>
      </c>
      <c r="CC164" s="9">
        <v>1</v>
      </c>
      <c r="CD164" s="9">
        <v>1</v>
      </c>
      <c r="CE164" s="9">
        <v>4</v>
      </c>
      <c r="CF164" s="9">
        <v>1</v>
      </c>
      <c r="CG164" s="9">
        <v>0</v>
      </c>
      <c r="CH164" s="9">
        <v>0</v>
      </c>
      <c r="CI164" s="9">
        <v>0</v>
      </c>
      <c r="CJ164" s="9">
        <v>1</v>
      </c>
      <c r="CK164" s="9">
        <v>1</v>
      </c>
      <c r="CL164" s="9">
        <v>2</v>
      </c>
      <c r="CM164" s="9">
        <v>2</v>
      </c>
      <c r="CN164" s="9">
        <v>1</v>
      </c>
      <c r="CO164" s="9">
        <v>1</v>
      </c>
      <c r="CP164" s="9">
        <v>1</v>
      </c>
      <c r="CQ164" s="9">
        <v>1</v>
      </c>
      <c r="CR164" s="9">
        <v>0</v>
      </c>
      <c r="CS164" s="9">
        <v>0</v>
      </c>
      <c r="CT164" s="9">
        <v>0</v>
      </c>
      <c r="CU164" s="9">
        <v>2</v>
      </c>
      <c r="CV164" s="9">
        <v>1</v>
      </c>
      <c r="CW164" s="9">
        <v>0</v>
      </c>
      <c r="CX164" s="9">
        <v>0</v>
      </c>
      <c r="CY164" s="9">
        <v>0</v>
      </c>
      <c r="CZ164" s="9">
        <v>1</v>
      </c>
      <c r="DA164" s="9">
        <v>1</v>
      </c>
      <c r="DB164" s="9">
        <v>0</v>
      </c>
      <c r="DC164" s="9">
        <v>0</v>
      </c>
      <c r="DD164" s="9">
        <v>0</v>
      </c>
      <c r="DE164" s="9">
        <v>0</v>
      </c>
      <c r="DF164" s="9">
        <v>0</v>
      </c>
      <c r="DG164" s="9">
        <v>0</v>
      </c>
      <c r="DH164" s="9">
        <v>0</v>
      </c>
      <c r="DI164" s="9">
        <v>0</v>
      </c>
      <c r="DJ164" s="9">
        <v>0</v>
      </c>
      <c r="DK164" s="9">
        <v>0</v>
      </c>
      <c r="DL164" s="9">
        <v>0</v>
      </c>
      <c r="DM164" s="9">
        <v>0</v>
      </c>
      <c r="DN164" s="9">
        <v>0</v>
      </c>
      <c r="DO164" s="9">
        <v>0</v>
      </c>
      <c r="DP164" s="9">
        <v>0</v>
      </c>
      <c r="DQ164" s="9">
        <v>0</v>
      </c>
      <c r="DR164" s="9">
        <v>0</v>
      </c>
      <c r="DS164" s="9">
        <v>0</v>
      </c>
      <c r="DT164" s="9">
        <v>0</v>
      </c>
      <c r="DU164" s="9">
        <v>0</v>
      </c>
      <c r="DV164" s="9">
        <v>0</v>
      </c>
      <c r="DW164" s="9">
        <v>0</v>
      </c>
      <c r="DX164" s="9">
        <v>0</v>
      </c>
      <c r="DY164" s="9">
        <v>0</v>
      </c>
      <c r="DZ164" s="9">
        <v>0</v>
      </c>
      <c r="EA164" s="9">
        <v>0</v>
      </c>
      <c r="EB164" s="9">
        <v>0</v>
      </c>
      <c r="EC164" s="9">
        <v>0</v>
      </c>
      <c r="ED164" s="9">
        <v>0</v>
      </c>
      <c r="EE164" s="9">
        <v>0</v>
      </c>
      <c r="EF164" s="9">
        <v>0</v>
      </c>
      <c r="EG164" s="9">
        <v>0</v>
      </c>
      <c r="EH164" s="9">
        <v>0</v>
      </c>
      <c r="EI164" s="10">
        <v>0</v>
      </c>
    </row>
    <row r="165" spans="1:139" x14ac:dyDescent="0.35">
      <c r="A165" s="8" t="s">
        <v>261</v>
      </c>
      <c r="B165" s="9" t="s">
        <v>286</v>
      </c>
      <c r="C165" s="9" t="s">
        <v>287</v>
      </c>
      <c r="D165" s="9">
        <f t="shared" si="2"/>
        <v>17</v>
      </c>
      <c r="E165" s="9">
        <v>0</v>
      </c>
      <c r="F165" s="9">
        <v>1</v>
      </c>
      <c r="G165" s="9">
        <v>0</v>
      </c>
      <c r="H165" s="9">
        <v>0</v>
      </c>
      <c r="I165" s="9">
        <v>0</v>
      </c>
      <c r="J165" s="9">
        <v>0</v>
      </c>
      <c r="K165" s="9">
        <v>0</v>
      </c>
      <c r="L165" s="9">
        <v>0</v>
      </c>
      <c r="M165" s="9">
        <v>0</v>
      </c>
      <c r="N165" s="9">
        <v>0</v>
      </c>
      <c r="O165" s="9">
        <v>0</v>
      </c>
      <c r="P165" s="9">
        <v>0</v>
      </c>
      <c r="Q165" s="9">
        <v>1</v>
      </c>
      <c r="R165" s="9">
        <v>0</v>
      </c>
      <c r="S165" s="9">
        <v>0</v>
      </c>
      <c r="T165" s="9">
        <v>0</v>
      </c>
      <c r="U165" s="9">
        <v>0</v>
      </c>
      <c r="V165" s="9">
        <v>0</v>
      </c>
      <c r="W165" s="9">
        <v>1</v>
      </c>
      <c r="X165" s="9">
        <v>0</v>
      </c>
      <c r="Y165" s="9">
        <v>0</v>
      </c>
      <c r="Z165" s="9">
        <v>0</v>
      </c>
      <c r="AA165" s="9">
        <v>0</v>
      </c>
      <c r="AB165" s="9">
        <v>0</v>
      </c>
      <c r="AC165" s="9">
        <v>0</v>
      </c>
      <c r="AD165" s="9">
        <v>1</v>
      </c>
      <c r="AE165" s="9">
        <v>0</v>
      </c>
      <c r="AF165" s="9">
        <v>0</v>
      </c>
      <c r="AG165" s="9">
        <v>1</v>
      </c>
      <c r="AH165" s="9">
        <v>0</v>
      </c>
      <c r="AI165" s="9">
        <v>2</v>
      </c>
      <c r="AJ165" s="9">
        <v>0</v>
      </c>
      <c r="AK165" s="9">
        <v>0</v>
      </c>
      <c r="AL165" s="9">
        <v>0</v>
      </c>
      <c r="AM165" s="9">
        <v>1</v>
      </c>
      <c r="AN165" s="9">
        <v>0</v>
      </c>
      <c r="AO165" s="9">
        <v>1</v>
      </c>
      <c r="AP165" s="9">
        <v>0</v>
      </c>
      <c r="AQ165" s="9">
        <v>0</v>
      </c>
      <c r="AR165" s="9">
        <v>0</v>
      </c>
      <c r="AS165" s="9">
        <v>1</v>
      </c>
      <c r="AT165" s="9">
        <v>1</v>
      </c>
      <c r="AU165" s="9">
        <v>1</v>
      </c>
      <c r="AV165" s="9">
        <v>0</v>
      </c>
      <c r="AW165" s="9">
        <v>0</v>
      </c>
      <c r="AX165" s="9">
        <v>1</v>
      </c>
      <c r="AY165" s="9">
        <v>0</v>
      </c>
      <c r="AZ165" s="9">
        <v>0</v>
      </c>
      <c r="BA165" s="9">
        <v>0</v>
      </c>
      <c r="BB165" s="9">
        <v>0</v>
      </c>
      <c r="BC165" s="9">
        <v>0</v>
      </c>
      <c r="BD165" s="9">
        <v>0</v>
      </c>
      <c r="BE165" s="9">
        <v>0</v>
      </c>
      <c r="BF165" s="9">
        <v>0</v>
      </c>
      <c r="BG165" s="9">
        <v>0</v>
      </c>
      <c r="BH165" s="9">
        <v>0</v>
      </c>
      <c r="BI165" s="9">
        <v>0</v>
      </c>
      <c r="BJ165" s="9">
        <v>0</v>
      </c>
      <c r="BK165" s="9">
        <v>0</v>
      </c>
      <c r="BL165" s="9">
        <v>0</v>
      </c>
      <c r="BM165" s="9">
        <v>0</v>
      </c>
      <c r="BN165" s="9">
        <v>0</v>
      </c>
      <c r="BO165" s="9">
        <v>0</v>
      </c>
      <c r="BP165" s="9">
        <v>1</v>
      </c>
      <c r="BQ165" s="9">
        <v>0</v>
      </c>
      <c r="BR165" s="9">
        <v>0</v>
      </c>
      <c r="BS165" s="9">
        <v>0</v>
      </c>
      <c r="BT165" s="9">
        <v>0</v>
      </c>
      <c r="BU165" s="9">
        <v>0</v>
      </c>
      <c r="BV165" s="9">
        <v>0</v>
      </c>
      <c r="BW165" s="9">
        <v>0</v>
      </c>
      <c r="BX165" s="9">
        <v>0</v>
      </c>
      <c r="BY165" s="9">
        <v>0</v>
      </c>
      <c r="BZ165" s="9">
        <v>0</v>
      </c>
      <c r="CA165" s="9">
        <v>1</v>
      </c>
      <c r="CB165" s="9">
        <v>0</v>
      </c>
      <c r="CC165" s="9">
        <v>0</v>
      </c>
      <c r="CD165" s="9">
        <v>0</v>
      </c>
      <c r="CE165" s="9">
        <v>1</v>
      </c>
      <c r="CF165" s="9">
        <v>0</v>
      </c>
      <c r="CG165" s="9">
        <v>0</v>
      </c>
      <c r="CH165" s="9">
        <v>0</v>
      </c>
      <c r="CI165" s="9">
        <v>0</v>
      </c>
      <c r="CJ165" s="9">
        <v>0</v>
      </c>
      <c r="CK165" s="9">
        <v>0</v>
      </c>
      <c r="CL165" s="9">
        <v>0</v>
      </c>
      <c r="CM165" s="9">
        <v>1</v>
      </c>
      <c r="CN165" s="9">
        <v>0</v>
      </c>
      <c r="CO165" s="9">
        <v>0</v>
      </c>
      <c r="CP165" s="9">
        <v>0</v>
      </c>
      <c r="CQ165" s="9">
        <v>0</v>
      </c>
      <c r="CR165" s="9">
        <v>0</v>
      </c>
      <c r="CS165" s="9">
        <v>0</v>
      </c>
      <c r="CT165" s="9">
        <v>0</v>
      </c>
      <c r="CU165" s="9">
        <v>0</v>
      </c>
      <c r="CV165" s="9">
        <v>0</v>
      </c>
      <c r="CW165" s="9">
        <v>0</v>
      </c>
      <c r="CX165" s="9">
        <v>0</v>
      </c>
      <c r="CY165" s="9">
        <v>0</v>
      </c>
      <c r="CZ165" s="9">
        <v>0</v>
      </c>
      <c r="DA165" s="9">
        <v>0</v>
      </c>
      <c r="DB165" s="9">
        <v>0</v>
      </c>
      <c r="DC165" s="9">
        <v>0</v>
      </c>
      <c r="DD165" s="9">
        <v>0</v>
      </c>
      <c r="DE165" s="9">
        <v>0</v>
      </c>
      <c r="DF165" s="9">
        <v>0</v>
      </c>
      <c r="DG165" s="9">
        <v>0</v>
      </c>
      <c r="DH165" s="9">
        <v>0</v>
      </c>
      <c r="DI165" s="9">
        <v>0</v>
      </c>
      <c r="DJ165" s="9">
        <v>0</v>
      </c>
      <c r="DK165" s="9">
        <v>0</v>
      </c>
      <c r="DL165" s="9">
        <v>0</v>
      </c>
      <c r="DM165" s="9">
        <v>0</v>
      </c>
      <c r="DN165" s="9">
        <v>0</v>
      </c>
      <c r="DO165" s="9">
        <v>0</v>
      </c>
      <c r="DP165" s="9">
        <v>0</v>
      </c>
      <c r="DQ165" s="9">
        <v>0</v>
      </c>
      <c r="DR165" s="9">
        <v>0</v>
      </c>
      <c r="DS165" s="9">
        <v>0</v>
      </c>
      <c r="DT165" s="9">
        <v>0</v>
      </c>
      <c r="DU165" s="9">
        <v>0</v>
      </c>
      <c r="DV165" s="9">
        <v>0</v>
      </c>
      <c r="DW165" s="9">
        <v>0</v>
      </c>
      <c r="DX165" s="9">
        <v>0</v>
      </c>
      <c r="DY165" s="9">
        <v>0</v>
      </c>
      <c r="DZ165" s="9">
        <v>0</v>
      </c>
      <c r="EA165" s="9">
        <v>0</v>
      </c>
      <c r="EB165" s="9">
        <v>0</v>
      </c>
      <c r="EC165" s="9">
        <v>0</v>
      </c>
      <c r="ED165" s="9">
        <v>0</v>
      </c>
      <c r="EE165" s="9">
        <v>0</v>
      </c>
      <c r="EF165" s="9">
        <v>0</v>
      </c>
      <c r="EG165" s="9">
        <v>0</v>
      </c>
      <c r="EH165" s="9">
        <v>0</v>
      </c>
      <c r="EI165" s="10">
        <v>0</v>
      </c>
    </row>
    <row r="166" spans="1:139" x14ac:dyDescent="0.35">
      <c r="A166" s="8" t="s">
        <v>261</v>
      </c>
      <c r="B166" s="9" t="s">
        <v>288</v>
      </c>
      <c r="C166" s="9" t="s">
        <v>289</v>
      </c>
      <c r="D166" s="9">
        <f t="shared" si="2"/>
        <v>108</v>
      </c>
      <c r="E166" s="9">
        <v>0</v>
      </c>
      <c r="F166" s="9">
        <v>0</v>
      </c>
      <c r="G166" s="9">
        <v>0</v>
      </c>
      <c r="H166" s="9">
        <v>0</v>
      </c>
      <c r="I166" s="9">
        <v>0</v>
      </c>
      <c r="J166" s="9">
        <v>0</v>
      </c>
      <c r="K166" s="9">
        <v>0</v>
      </c>
      <c r="L166" s="9">
        <v>0</v>
      </c>
      <c r="M166" s="9">
        <v>0</v>
      </c>
      <c r="N166" s="9">
        <v>0</v>
      </c>
      <c r="O166" s="9">
        <v>0</v>
      </c>
      <c r="P166" s="9">
        <v>0</v>
      </c>
      <c r="Q166" s="9">
        <v>0</v>
      </c>
      <c r="R166" s="9">
        <v>0</v>
      </c>
      <c r="S166" s="9">
        <v>0</v>
      </c>
      <c r="T166" s="9">
        <v>0</v>
      </c>
      <c r="U166" s="9">
        <v>0</v>
      </c>
      <c r="V166" s="9">
        <v>0</v>
      </c>
      <c r="W166" s="9">
        <v>0</v>
      </c>
      <c r="X166" s="9">
        <v>1</v>
      </c>
      <c r="Y166" s="9">
        <v>0</v>
      </c>
      <c r="Z166" s="9">
        <v>0</v>
      </c>
      <c r="AA166" s="9">
        <v>0</v>
      </c>
      <c r="AB166" s="9">
        <v>0</v>
      </c>
      <c r="AC166" s="9">
        <v>0</v>
      </c>
      <c r="AD166" s="9">
        <v>0</v>
      </c>
      <c r="AE166" s="9">
        <v>0</v>
      </c>
      <c r="AF166" s="9">
        <v>0</v>
      </c>
      <c r="AG166" s="9">
        <v>0</v>
      </c>
      <c r="AH166" s="9">
        <v>0</v>
      </c>
      <c r="AI166" s="9">
        <v>0</v>
      </c>
      <c r="AJ166" s="9">
        <v>0</v>
      </c>
      <c r="AK166" s="9">
        <v>0</v>
      </c>
      <c r="AL166" s="9">
        <v>1</v>
      </c>
      <c r="AM166" s="9">
        <v>0</v>
      </c>
      <c r="AN166" s="9">
        <v>4</v>
      </c>
      <c r="AO166" s="9">
        <v>1</v>
      </c>
      <c r="AP166" s="9">
        <v>1</v>
      </c>
      <c r="AQ166" s="9">
        <v>1</v>
      </c>
      <c r="AR166" s="9">
        <v>2</v>
      </c>
      <c r="AS166" s="9">
        <v>4</v>
      </c>
      <c r="AT166" s="9">
        <v>0</v>
      </c>
      <c r="AU166" s="9">
        <v>1</v>
      </c>
      <c r="AV166" s="9">
        <v>2</v>
      </c>
      <c r="AW166" s="9">
        <v>2</v>
      </c>
      <c r="AX166" s="9">
        <v>0</v>
      </c>
      <c r="AY166" s="9">
        <v>0</v>
      </c>
      <c r="AZ166" s="9">
        <v>3</v>
      </c>
      <c r="BA166" s="9">
        <v>0</v>
      </c>
      <c r="BB166" s="9">
        <v>2</v>
      </c>
      <c r="BC166" s="9">
        <v>4</v>
      </c>
      <c r="BD166" s="9">
        <v>4</v>
      </c>
      <c r="BE166" s="9">
        <v>1</v>
      </c>
      <c r="BF166" s="9">
        <v>2</v>
      </c>
      <c r="BG166" s="9">
        <v>4</v>
      </c>
      <c r="BH166" s="9">
        <v>0</v>
      </c>
      <c r="BI166" s="9">
        <v>1</v>
      </c>
      <c r="BJ166" s="9">
        <v>0</v>
      </c>
      <c r="BK166" s="9">
        <v>2</v>
      </c>
      <c r="BL166" s="9">
        <v>2</v>
      </c>
      <c r="BM166" s="9">
        <v>1</v>
      </c>
      <c r="BN166" s="9">
        <v>5</v>
      </c>
      <c r="BO166" s="9">
        <v>5</v>
      </c>
      <c r="BP166" s="9">
        <v>3</v>
      </c>
      <c r="BQ166" s="9">
        <v>2</v>
      </c>
      <c r="BR166" s="9">
        <v>0</v>
      </c>
      <c r="BS166" s="9">
        <v>1</v>
      </c>
      <c r="BT166" s="9">
        <v>0</v>
      </c>
      <c r="BU166" s="9">
        <v>2</v>
      </c>
      <c r="BV166" s="9">
        <v>2</v>
      </c>
      <c r="BW166" s="9">
        <v>0</v>
      </c>
      <c r="BX166" s="9">
        <v>1</v>
      </c>
      <c r="BY166" s="9">
        <v>1</v>
      </c>
      <c r="BZ166" s="9">
        <v>0</v>
      </c>
      <c r="CA166" s="9">
        <v>1</v>
      </c>
      <c r="CB166" s="9">
        <v>1</v>
      </c>
      <c r="CC166" s="9">
        <v>1</v>
      </c>
      <c r="CD166" s="9">
        <v>0</v>
      </c>
      <c r="CE166" s="9">
        <v>2</v>
      </c>
      <c r="CF166" s="9">
        <v>0</v>
      </c>
      <c r="CG166" s="9">
        <v>0</v>
      </c>
      <c r="CH166" s="9">
        <v>0</v>
      </c>
      <c r="CI166" s="9">
        <v>2</v>
      </c>
      <c r="CJ166" s="9">
        <v>2</v>
      </c>
      <c r="CK166" s="9">
        <v>0</v>
      </c>
      <c r="CL166" s="9">
        <v>0</v>
      </c>
      <c r="CM166" s="9">
        <v>0</v>
      </c>
      <c r="CN166" s="9">
        <v>1</v>
      </c>
      <c r="CO166" s="9">
        <v>2</v>
      </c>
      <c r="CP166" s="9">
        <v>3</v>
      </c>
      <c r="CQ166" s="9">
        <v>0</v>
      </c>
      <c r="CR166" s="9">
        <v>2</v>
      </c>
      <c r="CS166" s="9">
        <v>1</v>
      </c>
      <c r="CT166" s="9">
        <v>0</v>
      </c>
      <c r="CU166" s="9">
        <v>0</v>
      </c>
      <c r="CV166" s="9">
        <v>0</v>
      </c>
      <c r="CW166" s="9">
        <v>0</v>
      </c>
      <c r="CX166" s="9">
        <v>1</v>
      </c>
      <c r="CY166" s="9">
        <v>1</v>
      </c>
      <c r="CZ166" s="9">
        <v>1</v>
      </c>
      <c r="DA166" s="9">
        <v>0</v>
      </c>
      <c r="DB166" s="9">
        <v>0</v>
      </c>
      <c r="DC166" s="9">
        <v>2</v>
      </c>
      <c r="DD166" s="9">
        <v>1</v>
      </c>
      <c r="DE166" s="9">
        <v>0</v>
      </c>
      <c r="DF166" s="9">
        <v>0</v>
      </c>
      <c r="DG166" s="9">
        <v>2</v>
      </c>
      <c r="DH166" s="9">
        <v>0</v>
      </c>
      <c r="DI166" s="9">
        <v>0</v>
      </c>
      <c r="DJ166" s="9">
        <v>0</v>
      </c>
      <c r="DK166" s="9">
        <v>1</v>
      </c>
      <c r="DL166" s="9">
        <v>0</v>
      </c>
      <c r="DM166" s="9">
        <v>0</v>
      </c>
      <c r="DN166" s="9">
        <v>1</v>
      </c>
      <c r="DO166" s="9">
        <v>0</v>
      </c>
      <c r="DP166" s="9">
        <v>0</v>
      </c>
      <c r="DQ166" s="9">
        <v>3</v>
      </c>
      <c r="DR166" s="9">
        <v>0</v>
      </c>
      <c r="DS166" s="9">
        <v>0</v>
      </c>
      <c r="DT166" s="9">
        <v>1</v>
      </c>
      <c r="DU166" s="9">
        <v>1</v>
      </c>
      <c r="DV166" s="9">
        <v>0</v>
      </c>
      <c r="DW166" s="9">
        <v>0</v>
      </c>
      <c r="DX166" s="9">
        <v>2</v>
      </c>
      <c r="DY166" s="9">
        <v>0</v>
      </c>
      <c r="DZ166" s="9">
        <v>0</v>
      </c>
      <c r="EA166" s="9">
        <v>1</v>
      </c>
      <c r="EB166" s="9">
        <v>1</v>
      </c>
      <c r="EC166" s="9">
        <v>0</v>
      </c>
      <c r="ED166" s="9">
        <v>0</v>
      </c>
      <c r="EE166" s="9">
        <v>1</v>
      </c>
      <c r="EF166" s="9">
        <v>1</v>
      </c>
      <c r="EG166" s="9">
        <v>0</v>
      </c>
      <c r="EH166" s="9">
        <v>1</v>
      </c>
      <c r="EI166" s="10">
        <v>0</v>
      </c>
    </row>
    <row r="167" spans="1:139" x14ac:dyDescent="0.35">
      <c r="A167" s="8" t="s">
        <v>261</v>
      </c>
      <c r="B167" s="9" t="s">
        <v>290</v>
      </c>
      <c r="C167" s="9" t="s">
        <v>291</v>
      </c>
      <c r="D167" s="9">
        <f t="shared" si="2"/>
        <v>1</v>
      </c>
      <c r="E167" s="9">
        <v>0</v>
      </c>
      <c r="F167" s="9">
        <v>0</v>
      </c>
      <c r="G167" s="9">
        <v>0</v>
      </c>
      <c r="H167" s="9">
        <v>0</v>
      </c>
      <c r="I167" s="9">
        <v>0</v>
      </c>
      <c r="J167" s="9">
        <v>0</v>
      </c>
      <c r="K167" s="9">
        <v>0</v>
      </c>
      <c r="L167" s="9">
        <v>0</v>
      </c>
      <c r="M167" s="9">
        <v>0</v>
      </c>
      <c r="N167" s="9">
        <v>0</v>
      </c>
      <c r="O167" s="9">
        <v>0</v>
      </c>
      <c r="P167" s="9">
        <v>0</v>
      </c>
      <c r="Q167" s="9">
        <v>0</v>
      </c>
      <c r="R167" s="9">
        <v>0</v>
      </c>
      <c r="S167" s="9">
        <v>0</v>
      </c>
      <c r="T167" s="9">
        <v>0</v>
      </c>
      <c r="U167" s="9">
        <v>0</v>
      </c>
      <c r="V167" s="9">
        <v>0</v>
      </c>
      <c r="W167" s="9">
        <v>0</v>
      </c>
      <c r="X167" s="9">
        <v>0</v>
      </c>
      <c r="Y167" s="9">
        <v>0</v>
      </c>
      <c r="Z167" s="9">
        <v>0</v>
      </c>
      <c r="AA167" s="9">
        <v>0</v>
      </c>
      <c r="AB167" s="9">
        <v>0</v>
      </c>
      <c r="AC167" s="9">
        <v>0</v>
      </c>
      <c r="AD167" s="9">
        <v>0</v>
      </c>
      <c r="AE167" s="9">
        <v>0</v>
      </c>
      <c r="AF167" s="9">
        <v>0</v>
      </c>
      <c r="AG167" s="9">
        <v>0</v>
      </c>
      <c r="AH167" s="9">
        <v>0</v>
      </c>
      <c r="AI167" s="9">
        <v>0</v>
      </c>
      <c r="AJ167" s="9">
        <v>0</v>
      </c>
      <c r="AK167" s="9">
        <v>0</v>
      </c>
      <c r="AL167" s="9">
        <v>0</v>
      </c>
      <c r="AM167" s="9">
        <v>0</v>
      </c>
      <c r="AN167" s="9">
        <v>0</v>
      </c>
      <c r="AO167" s="9">
        <v>0</v>
      </c>
      <c r="AP167" s="9">
        <v>0</v>
      </c>
      <c r="AQ167" s="9">
        <v>0</v>
      </c>
      <c r="AR167" s="9">
        <v>0</v>
      </c>
      <c r="AS167" s="9">
        <v>0</v>
      </c>
      <c r="AT167" s="9">
        <v>0</v>
      </c>
      <c r="AU167" s="9">
        <v>0</v>
      </c>
      <c r="AV167" s="9">
        <v>0</v>
      </c>
      <c r="AW167" s="9">
        <v>0</v>
      </c>
      <c r="AX167" s="9">
        <v>0</v>
      </c>
      <c r="AY167" s="9">
        <v>0</v>
      </c>
      <c r="AZ167" s="9">
        <v>0</v>
      </c>
      <c r="BA167" s="9">
        <v>0</v>
      </c>
      <c r="BB167" s="9">
        <v>0</v>
      </c>
      <c r="BC167" s="9">
        <v>0</v>
      </c>
      <c r="BD167" s="9">
        <v>0</v>
      </c>
      <c r="BE167" s="9">
        <v>0</v>
      </c>
      <c r="BF167" s="9">
        <v>0</v>
      </c>
      <c r="BG167" s="9">
        <v>0</v>
      </c>
      <c r="BH167" s="9">
        <v>0</v>
      </c>
      <c r="BI167" s="9">
        <v>0</v>
      </c>
      <c r="BJ167" s="9">
        <v>0</v>
      </c>
      <c r="BK167" s="9">
        <v>0</v>
      </c>
      <c r="BL167" s="9">
        <v>0</v>
      </c>
      <c r="BM167" s="9">
        <v>0</v>
      </c>
      <c r="BN167" s="9">
        <v>0</v>
      </c>
      <c r="BO167" s="9">
        <v>0</v>
      </c>
      <c r="BP167" s="9">
        <v>0</v>
      </c>
      <c r="BQ167" s="9">
        <v>0</v>
      </c>
      <c r="BR167" s="9">
        <v>0</v>
      </c>
      <c r="BS167" s="9">
        <v>0</v>
      </c>
      <c r="BT167" s="9">
        <v>0</v>
      </c>
      <c r="BU167" s="9">
        <v>0</v>
      </c>
      <c r="BV167" s="9">
        <v>0</v>
      </c>
      <c r="BW167" s="9">
        <v>0</v>
      </c>
      <c r="BX167" s="9">
        <v>0</v>
      </c>
      <c r="BY167" s="9">
        <v>0</v>
      </c>
      <c r="BZ167" s="9">
        <v>0</v>
      </c>
      <c r="CA167" s="9">
        <v>0</v>
      </c>
      <c r="CB167" s="9">
        <v>0</v>
      </c>
      <c r="CC167" s="9">
        <v>0</v>
      </c>
      <c r="CD167" s="9">
        <v>0</v>
      </c>
      <c r="CE167" s="9">
        <v>0</v>
      </c>
      <c r="CF167" s="9">
        <v>0</v>
      </c>
      <c r="CG167" s="9">
        <v>0</v>
      </c>
      <c r="CH167" s="9">
        <v>0</v>
      </c>
      <c r="CI167" s="9">
        <v>0</v>
      </c>
      <c r="CJ167" s="9">
        <v>0</v>
      </c>
      <c r="CK167" s="9">
        <v>0</v>
      </c>
      <c r="CL167" s="9">
        <v>0</v>
      </c>
      <c r="CM167" s="9">
        <v>0</v>
      </c>
      <c r="CN167" s="9">
        <v>0</v>
      </c>
      <c r="CO167" s="9">
        <v>0</v>
      </c>
      <c r="CP167" s="9">
        <v>0</v>
      </c>
      <c r="CQ167" s="9">
        <v>1</v>
      </c>
      <c r="CR167" s="9">
        <v>0</v>
      </c>
      <c r="CS167" s="9">
        <v>0</v>
      </c>
      <c r="CT167" s="9">
        <v>0</v>
      </c>
      <c r="CU167" s="9">
        <v>0</v>
      </c>
      <c r="CV167" s="9">
        <v>0</v>
      </c>
      <c r="CW167" s="9">
        <v>0</v>
      </c>
      <c r="CX167" s="9">
        <v>0</v>
      </c>
      <c r="CY167" s="9">
        <v>0</v>
      </c>
      <c r="CZ167" s="9">
        <v>0</v>
      </c>
      <c r="DA167" s="9">
        <v>0</v>
      </c>
      <c r="DB167" s="9">
        <v>0</v>
      </c>
      <c r="DC167" s="9">
        <v>0</v>
      </c>
      <c r="DD167" s="9">
        <v>0</v>
      </c>
      <c r="DE167" s="9">
        <v>0</v>
      </c>
      <c r="DF167" s="9">
        <v>0</v>
      </c>
      <c r="DG167" s="9">
        <v>0</v>
      </c>
      <c r="DH167" s="9">
        <v>0</v>
      </c>
      <c r="DI167" s="9">
        <v>0</v>
      </c>
      <c r="DJ167" s="9">
        <v>0</v>
      </c>
      <c r="DK167" s="9">
        <v>0</v>
      </c>
      <c r="DL167" s="9">
        <v>0</v>
      </c>
      <c r="DM167" s="9">
        <v>0</v>
      </c>
      <c r="DN167" s="9">
        <v>0</v>
      </c>
      <c r="DO167" s="9">
        <v>0</v>
      </c>
      <c r="DP167" s="9">
        <v>0</v>
      </c>
      <c r="DQ167" s="9">
        <v>0</v>
      </c>
      <c r="DR167" s="9">
        <v>0</v>
      </c>
      <c r="DS167" s="9">
        <v>0</v>
      </c>
      <c r="DT167" s="9">
        <v>0</v>
      </c>
      <c r="DU167" s="9">
        <v>0</v>
      </c>
      <c r="DV167" s="9">
        <v>0</v>
      </c>
      <c r="DW167" s="9">
        <v>0</v>
      </c>
      <c r="DX167" s="9">
        <v>0</v>
      </c>
      <c r="DY167" s="9">
        <v>0</v>
      </c>
      <c r="DZ167" s="9">
        <v>0</v>
      </c>
      <c r="EA167" s="9">
        <v>0</v>
      </c>
      <c r="EB167" s="9">
        <v>0</v>
      </c>
      <c r="EC167" s="9">
        <v>0</v>
      </c>
      <c r="ED167" s="9">
        <v>0</v>
      </c>
      <c r="EE167" s="9">
        <v>0</v>
      </c>
      <c r="EF167" s="9">
        <v>0</v>
      </c>
      <c r="EG167" s="9">
        <v>0</v>
      </c>
      <c r="EH167" s="9">
        <v>0</v>
      </c>
      <c r="EI167" s="10">
        <v>0</v>
      </c>
    </row>
    <row r="168" spans="1:139" x14ac:dyDescent="0.35">
      <c r="A168" s="8" t="s">
        <v>261</v>
      </c>
      <c r="B168" s="9" t="s">
        <v>292</v>
      </c>
      <c r="C168" s="9" t="s">
        <v>293</v>
      </c>
      <c r="D168" s="9">
        <f t="shared" si="2"/>
        <v>26</v>
      </c>
      <c r="E168" s="9">
        <v>0</v>
      </c>
      <c r="F168" s="9">
        <v>0</v>
      </c>
      <c r="G168" s="9">
        <v>0</v>
      </c>
      <c r="H168" s="9">
        <v>0</v>
      </c>
      <c r="I168" s="9">
        <v>0</v>
      </c>
      <c r="J168" s="9">
        <v>0</v>
      </c>
      <c r="K168" s="9">
        <v>0</v>
      </c>
      <c r="L168" s="9">
        <v>0</v>
      </c>
      <c r="M168" s="9">
        <v>1</v>
      </c>
      <c r="N168" s="9">
        <v>0</v>
      </c>
      <c r="O168" s="9">
        <v>0</v>
      </c>
      <c r="P168" s="9">
        <v>0</v>
      </c>
      <c r="Q168" s="9">
        <v>0</v>
      </c>
      <c r="R168" s="9">
        <v>0</v>
      </c>
      <c r="S168" s="9">
        <v>0</v>
      </c>
      <c r="T168" s="9">
        <v>0</v>
      </c>
      <c r="U168" s="9">
        <v>0</v>
      </c>
      <c r="V168" s="9">
        <v>0</v>
      </c>
      <c r="W168" s="9">
        <v>0</v>
      </c>
      <c r="X168" s="9">
        <v>0</v>
      </c>
      <c r="Y168" s="9">
        <v>6</v>
      </c>
      <c r="Z168" s="9">
        <v>1</v>
      </c>
      <c r="AA168" s="9">
        <v>0</v>
      </c>
      <c r="AB168" s="9">
        <v>0</v>
      </c>
      <c r="AC168" s="9">
        <v>0</v>
      </c>
      <c r="AD168" s="9">
        <v>0</v>
      </c>
      <c r="AE168" s="9">
        <v>0</v>
      </c>
      <c r="AF168" s="9">
        <v>0</v>
      </c>
      <c r="AG168" s="9">
        <v>0</v>
      </c>
      <c r="AH168" s="9">
        <v>0</v>
      </c>
      <c r="AI168" s="9">
        <v>1</v>
      </c>
      <c r="AJ168" s="9">
        <v>0</v>
      </c>
      <c r="AK168" s="9">
        <v>0</v>
      </c>
      <c r="AL168" s="9">
        <v>0</v>
      </c>
      <c r="AM168" s="9">
        <v>0</v>
      </c>
      <c r="AN168" s="9">
        <v>0</v>
      </c>
      <c r="AO168" s="9">
        <v>1</v>
      </c>
      <c r="AP168" s="9">
        <v>0</v>
      </c>
      <c r="AQ168" s="9">
        <v>0</v>
      </c>
      <c r="AR168" s="9">
        <v>0</v>
      </c>
      <c r="AS168" s="9">
        <v>0</v>
      </c>
      <c r="AT168" s="9">
        <v>0</v>
      </c>
      <c r="AU168" s="9">
        <v>0</v>
      </c>
      <c r="AV168" s="9">
        <v>0</v>
      </c>
      <c r="AW168" s="9">
        <v>0</v>
      </c>
      <c r="AX168" s="9">
        <v>2</v>
      </c>
      <c r="AY168" s="9">
        <v>0</v>
      </c>
      <c r="AZ168" s="9">
        <v>0</v>
      </c>
      <c r="BA168" s="9">
        <v>0</v>
      </c>
      <c r="BB168" s="9">
        <v>0</v>
      </c>
      <c r="BC168" s="9">
        <v>0</v>
      </c>
      <c r="BD168" s="9">
        <v>0</v>
      </c>
      <c r="BE168" s="9">
        <v>0</v>
      </c>
      <c r="BF168" s="9">
        <v>0</v>
      </c>
      <c r="BG168" s="9">
        <v>0</v>
      </c>
      <c r="BH168" s="9">
        <v>2</v>
      </c>
      <c r="BI168" s="9">
        <v>0</v>
      </c>
      <c r="BJ168" s="9">
        <v>2</v>
      </c>
      <c r="BK168" s="9">
        <v>0</v>
      </c>
      <c r="BL168" s="9">
        <v>0</v>
      </c>
      <c r="BM168" s="9">
        <v>0</v>
      </c>
      <c r="BN168" s="9">
        <v>0</v>
      </c>
      <c r="BO168" s="9">
        <v>0</v>
      </c>
      <c r="BP168" s="9">
        <v>1</v>
      </c>
      <c r="BQ168" s="9">
        <v>0</v>
      </c>
      <c r="BR168" s="9">
        <v>2</v>
      </c>
      <c r="BS168" s="9">
        <v>1</v>
      </c>
      <c r="BT168" s="9">
        <v>0</v>
      </c>
      <c r="BU168" s="9">
        <v>0</v>
      </c>
      <c r="BV168" s="9">
        <v>0</v>
      </c>
      <c r="BW168" s="9">
        <v>0</v>
      </c>
      <c r="BX168" s="9">
        <v>0</v>
      </c>
      <c r="BY168" s="9">
        <v>0</v>
      </c>
      <c r="BZ168" s="9">
        <v>0</v>
      </c>
      <c r="CA168" s="9">
        <v>0</v>
      </c>
      <c r="CB168" s="9">
        <v>0</v>
      </c>
      <c r="CC168" s="9">
        <v>0</v>
      </c>
      <c r="CD168" s="9">
        <v>0</v>
      </c>
      <c r="CE168" s="9">
        <v>0</v>
      </c>
      <c r="CF168" s="9">
        <v>0</v>
      </c>
      <c r="CG168" s="9">
        <v>0</v>
      </c>
      <c r="CH168" s="9">
        <v>0</v>
      </c>
      <c r="CI168" s="9">
        <v>0</v>
      </c>
      <c r="CJ168" s="9">
        <v>0</v>
      </c>
      <c r="CK168" s="9">
        <v>0</v>
      </c>
      <c r="CL168" s="9">
        <v>0</v>
      </c>
      <c r="CM168" s="9">
        <v>0</v>
      </c>
      <c r="CN168" s="9">
        <v>0</v>
      </c>
      <c r="CO168" s="9">
        <v>0</v>
      </c>
      <c r="CP168" s="9">
        <v>0</v>
      </c>
      <c r="CQ168" s="9">
        <v>0</v>
      </c>
      <c r="CR168" s="9">
        <v>1</v>
      </c>
      <c r="CS168" s="9">
        <v>0</v>
      </c>
      <c r="CT168" s="9">
        <v>1</v>
      </c>
      <c r="CU168" s="9">
        <v>0</v>
      </c>
      <c r="CV168" s="9">
        <v>0</v>
      </c>
      <c r="CW168" s="9">
        <v>1</v>
      </c>
      <c r="CX168" s="9">
        <v>0</v>
      </c>
      <c r="CY168" s="9">
        <v>1</v>
      </c>
      <c r="CZ168" s="9">
        <v>0</v>
      </c>
      <c r="DA168" s="9">
        <v>0</v>
      </c>
      <c r="DB168" s="9">
        <v>0</v>
      </c>
      <c r="DC168" s="9">
        <v>0</v>
      </c>
      <c r="DD168" s="9">
        <v>0</v>
      </c>
      <c r="DE168" s="9">
        <v>1</v>
      </c>
      <c r="DF168" s="9">
        <v>0</v>
      </c>
      <c r="DG168" s="9">
        <v>0</v>
      </c>
      <c r="DH168" s="9">
        <v>0</v>
      </c>
      <c r="DI168" s="9">
        <v>0</v>
      </c>
      <c r="DJ168" s="9">
        <v>0</v>
      </c>
      <c r="DK168" s="9">
        <v>1</v>
      </c>
      <c r="DL168" s="9">
        <v>0</v>
      </c>
      <c r="DM168" s="9">
        <v>0</v>
      </c>
      <c r="DN168" s="9">
        <v>0</v>
      </c>
      <c r="DO168" s="9">
        <v>0</v>
      </c>
      <c r="DP168" s="9">
        <v>0</v>
      </c>
      <c r="DQ168" s="9">
        <v>0</v>
      </c>
      <c r="DR168" s="9">
        <v>0</v>
      </c>
      <c r="DS168" s="9">
        <v>0</v>
      </c>
      <c r="DT168" s="9">
        <v>0</v>
      </c>
      <c r="DU168" s="9">
        <v>0</v>
      </c>
      <c r="DV168" s="9">
        <v>0</v>
      </c>
      <c r="DW168" s="9">
        <v>0</v>
      </c>
      <c r="DX168" s="9">
        <v>0</v>
      </c>
      <c r="DY168" s="9">
        <v>0</v>
      </c>
      <c r="DZ168" s="9">
        <v>0</v>
      </c>
      <c r="EA168" s="9">
        <v>0</v>
      </c>
      <c r="EB168" s="9">
        <v>0</v>
      </c>
      <c r="EC168" s="9">
        <v>0</v>
      </c>
      <c r="ED168" s="9">
        <v>0</v>
      </c>
      <c r="EE168" s="9">
        <v>0</v>
      </c>
      <c r="EF168" s="9">
        <v>0</v>
      </c>
      <c r="EG168" s="9">
        <v>0</v>
      </c>
      <c r="EH168" s="9">
        <v>0</v>
      </c>
      <c r="EI168" s="10">
        <v>0</v>
      </c>
    </row>
    <row r="169" spans="1:139" x14ac:dyDescent="0.35">
      <c r="A169" s="8" t="s">
        <v>261</v>
      </c>
      <c r="B169" s="9" t="s">
        <v>294</v>
      </c>
      <c r="C169" s="9" t="s">
        <v>295</v>
      </c>
      <c r="D169" s="9">
        <f t="shared" si="2"/>
        <v>61</v>
      </c>
      <c r="E169" s="9">
        <v>0</v>
      </c>
      <c r="F169" s="9">
        <v>0</v>
      </c>
      <c r="G169" s="9">
        <v>0</v>
      </c>
      <c r="H169" s="9">
        <v>0</v>
      </c>
      <c r="I169" s="9">
        <v>0</v>
      </c>
      <c r="J169" s="9">
        <v>0</v>
      </c>
      <c r="K169" s="9">
        <v>0</v>
      </c>
      <c r="L169" s="9">
        <v>0</v>
      </c>
      <c r="M169" s="9">
        <v>0</v>
      </c>
      <c r="N169" s="9">
        <v>0</v>
      </c>
      <c r="O169" s="9">
        <v>0</v>
      </c>
      <c r="P169" s="9">
        <v>0</v>
      </c>
      <c r="Q169" s="9">
        <v>0</v>
      </c>
      <c r="R169" s="9">
        <v>0</v>
      </c>
      <c r="S169" s="9">
        <v>0</v>
      </c>
      <c r="T169" s="9">
        <v>0</v>
      </c>
      <c r="U169" s="9">
        <v>0</v>
      </c>
      <c r="V169" s="9">
        <v>0</v>
      </c>
      <c r="W169" s="9">
        <v>0</v>
      </c>
      <c r="X169" s="9">
        <v>0</v>
      </c>
      <c r="Y169" s="9">
        <v>0</v>
      </c>
      <c r="Z169" s="9">
        <v>0</v>
      </c>
      <c r="AA169" s="9">
        <v>0</v>
      </c>
      <c r="AB169" s="9">
        <v>0</v>
      </c>
      <c r="AC169" s="9">
        <v>10</v>
      </c>
      <c r="AD169" s="9">
        <v>0</v>
      </c>
      <c r="AE169" s="9">
        <v>0</v>
      </c>
      <c r="AF169" s="9">
        <v>0</v>
      </c>
      <c r="AG169" s="9">
        <v>1</v>
      </c>
      <c r="AH169" s="9">
        <v>0</v>
      </c>
      <c r="AI169" s="9">
        <v>2</v>
      </c>
      <c r="AJ169" s="9">
        <v>1</v>
      </c>
      <c r="AK169" s="9">
        <v>0</v>
      </c>
      <c r="AL169" s="9">
        <v>1</v>
      </c>
      <c r="AM169" s="9">
        <v>2</v>
      </c>
      <c r="AN169" s="9">
        <v>2</v>
      </c>
      <c r="AO169" s="9">
        <v>0</v>
      </c>
      <c r="AP169" s="9">
        <v>1</v>
      </c>
      <c r="AQ169" s="9">
        <v>0</v>
      </c>
      <c r="AR169" s="9">
        <v>2</v>
      </c>
      <c r="AS169" s="9">
        <v>0</v>
      </c>
      <c r="AT169" s="9">
        <v>0</v>
      </c>
      <c r="AU169" s="9">
        <v>0</v>
      </c>
      <c r="AV169" s="9">
        <v>1</v>
      </c>
      <c r="AW169" s="9">
        <v>1</v>
      </c>
      <c r="AX169" s="9">
        <v>1</v>
      </c>
      <c r="AY169" s="9">
        <v>1</v>
      </c>
      <c r="AZ169" s="9">
        <v>0</v>
      </c>
      <c r="BA169" s="9">
        <v>2</v>
      </c>
      <c r="BB169" s="9">
        <v>1</v>
      </c>
      <c r="BC169" s="9">
        <v>0</v>
      </c>
      <c r="BD169" s="9">
        <v>1</v>
      </c>
      <c r="BE169" s="9">
        <v>3</v>
      </c>
      <c r="BF169" s="9">
        <v>0</v>
      </c>
      <c r="BG169" s="9">
        <v>0</v>
      </c>
      <c r="BH169" s="9">
        <v>2</v>
      </c>
      <c r="BI169" s="9">
        <v>1</v>
      </c>
      <c r="BJ169" s="9">
        <v>1</v>
      </c>
      <c r="BK169" s="9">
        <v>1</v>
      </c>
      <c r="BL169" s="9">
        <v>0</v>
      </c>
      <c r="BM169" s="9">
        <v>0</v>
      </c>
      <c r="BN169" s="9">
        <v>0</v>
      </c>
      <c r="BO169" s="9">
        <v>0</v>
      </c>
      <c r="BP169" s="9">
        <v>1</v>
      </c>
      <c r="BQ169" s="9">
        <v>1</v>
      </c>
      <c r="BR169" s="9">
        <v>1</v>
      </c>
      <c r="BS169" s="9">
        <v>4</v>
      </c>
      <c r="BT169" s="9">
        <v>0</v>
      </c>
      <c r="BU169" s="9">
        <v>1</v>
      </c>
      <c r="BV169" s="9">
        <v>0</v>
      </c>
      <c r="BW169" s="9">
        <v>0</v>
      </c>
      <c r="BX169" s="9">
        <v>1</v>
      </c>
      <c r="BY169" s="9">
        <v>0</v>
      </c>
      <c r="BZ169" s="9">
        <v>0</v>
      </c>
      <c r="CA169" s="9">
        <v>0</v>
      </c>
      <c r="CB169" s="9">
        <v>1</v>
      </c>
      <c r="CC169" s="9">
        <v>0</v>
      </c>
      <c r="CD169" s="9">
        <v>0</v>
      </c>
      <c r="CE169" s="9">
        <v>0</v>
      </c>
      <c r="CF169" s="9">
        <v>1</v>
      </c>
      <c r="CG169" s="9">
        <v>0</v>
      </c>
      <c r="CH169" s="9">
        <v>0</v>
      </c>
      <c r="CI169" s="9">
        <v>0</v>
      </c>
      <c r="CJ169" s="9">
        <v>1</v>
      </c>
      <c r="CK169" s="9">
        <v>0</v>
      </c>
      <c r="CL169" s="9">
        <v>0</v>
      </c>
      <c r="CM169" s="9">
        <v>0</v>
      </c>
      <c r="CN169" s="9">
        <v>0</v>
      </c>
      <c r="CO169" s="9">
        <v>0</v>
      </c>
      <c r="CP169" s="9">
        <v>0</v>
      </c>
      <c r="CQ169" s="9">
        <v>0</v>
      </c>
      <c r="CR169" s="9">
        <v>0</v>
      </c>
      <c r="CS169" s="9">
        <v>0</v>
      </c>
      <c r="CT169" s="9">
        <v>1</v>
      </c>
      <c r="CU169" s="9">
        <v>0</v>
      </c>
      <c r="CV169" s="9">
        <v>0</v>
      </c>
      <c r="CW169" s="9">
        <v>0</v>
      </c>
      <c r="CX169" s="9">
        <v>1</v>
      </c>
      <c r="CY169" s="9">
        <v>0</v>
      </c>
      <c r="CZ169" s="9">
        <v>0</v>
      </c>
      <c r="DA169" s="9">
        <v>0</v>
      </c>
      <c r="DB169" s="9">
        <v>0</v>
      </c>
      <c r="DC169" s="9">
        <v>0</v>
      </c>
      <c r="DD169" s="9">
        <v>0</v>
      </c>
      <c r="DE169" s="9">
        <v>0</v>
      </c>
      <c r="DF169" s="9">
        <v>1</v>
      </c>
      <c r="DG169" s="9">
        <v>0</v>
      </c>
      <c r="DH169" s="9">
        <v>1</v>
      </c>
      <c r="DI169" s="9">
        <v>0</v>
      </c>
      <c r="DJ169" s="9">
        <v>1</v>
      </c>
      <c r="DK169" s="9">
        <v>0</v>
      </c>
      <c r="DL169" s="9">
        <v>0</v>
      </c>
      <c r="DM169" s="9">
        <v>1</v>
      </c>
      <c r="DN169" s="9">
        <v>0</v>
      </c>
      <c r="DO169" s="9">
        <v>0</v>
      </c>
      <c r="DP169" s="9">
        <v>0</v>
      </c>
      <c r="DQ169" s="9">
        <v>1</v>
      </c>
      <c r="DR169" s="9">
        <v>0</v>
      </c>
      <c r="DS169" s="9">
        <v>2</v>
      </c>
      <c r="DT169" s="9">
        <v>0</v>
      </c>
      <c r="DU169" s="9">
        <v>0</v>
      </c>
      <c r="DV169" s="9">
        <v>0</v>
      </c>
      <c r="DW169" s="9">
        <v>0</v>
      </c>
      <c r="DX169" s="9">
        <v>0</v>
      </c>
      <c r="DY169" s="9">
        <v>0</v>
      </c>
      <c r="DZ169" s="9">
        <v>0</v>
      </c>
      <c r="EA169" s="9">
        <v>0</v>
      </c>
      <c r="EB169" s="9">
        <v>0</v>
      </c>
      <c r="EC169" s="9">
        <v>0</v>
      </c>
      <c r="ED169" s="9">
        <v>0</v>
      </c>
      <c r="EE169" s="9">
        <v>0</v>
      </c>
      <c r="EF169" s="9">
        <v>0</v>
      </c>
      <c r="EG169" s="9">
        <v>0</v>
      </c>
      <c r="EH169" s="9">
        <v>1</v>
      </c>
      <c r="EI169" s="10">
        <v>1</v>
      </c>
    </row>
    <row r="170" spans="1:139" x14ac:dyDescent="0.35">
      <c r="A170" s="8" t="s">
        <v>261</v>
      </c>
      <c r="B170" s="9" t="s">
        <v>296</v>
      </c>
      <c r="C170" s="9" t="s">
        <v>297</v>
      </c>
      <c r="D170" s="9">
        <f t="shared" si="2"/>
        <v>4</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1</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1</v>
      </c>
      <c r="BG170" s="9">
        <v>1</v>
      </c>
      <c r="BH170" s="9">
        <v>0</v>
      </c>
      <c r="BI170" s="9">
        <v>0</v>
      </c>
      <c r="BJ170" s="9">
        <v>0</v>
      </c>
      <c r="BK170" s="9">
        <v>0</v>
      </c>
      <c r="BL170" s="9">
        <v>0</v>
      </c>
      <c r="BM170" s="9">
        <v>0</v>
      </c>
      <c r="BN170" s="9">
        <v>0</v>
      </c>
      <c r="BO170" s="9">
        <v>1</v>
      </c>
      <c r="BP170" s="9">
        <v>0</v>
      </c>
      <c r="BQ170" s="9">
        <v>0</v>
      </c>
      <c r="BR170" s="9">
        <v>0</v>
      </c>
      <c r="BS170" s="9">
        <v>0</v>
      </c>
      <c r="BT170" s="9">
        <v>0</v>
      </c>
      <c r="BU170" s="9">
        <v>0</v>
      </c>
      <c r="BV170" s="9">
        <v>0</v>
      </c>
      <c r="BW170" s="9">
        <v>0</v>
      </c>
      <c r="BX170" s="9">
        <v>0</v>
      </c>
      <c r="BY170" s="9">
        <v>0</v>
      </c>
      <c r="BZ170" s="9">
        <v>0</v>
      </c>
      <c r="CA170" s="9">
        <v>0</v>
      </c>
      <c r="CB170" s="9">
        <v>0</v>
      </c>
      <c r="CC170" s="9">
        <v>0</v>
      </c>
      <c r="CD170" s="9">
        <v>0</v>
      </c>
      <c r="CE170" s="9">
        <v>0</v>
      </c>
      <c r="CF170" s="9">
        <v>0</v>
      </c>
      <c r="CG170" s="9">
        <v>0</v>
      </c>
      <c r="CH170" s="9">
        <v>0</v>
      </c>
      <c r="CI170" s="9">
        <v>0</v>
      </c>
      <c r="CJ170" s="9">
        <v>0</v>
      </c>
      <c r="CK170" s="9">
        <v>0</v>
      </c>
      <c r="CL170" s="9">
        <v>0</v>
      </c>
      <c r="CM170" s="9">
        <v>0</v>
      </c>
      <c r="CN170" s="9">
        <v>0</v>
      </c>
      <c r="CO170" s="9">
        <v>0</v>
      </c>
      <c r="CP170" s="9">
        <v>0</v>
      </c>
      <c r="CQ170" s="9">
        <v>0</v>
      </c>
      <c r="CR170" s="9">
        <v>0</v>
      </c>
      <c r="CS170" s="9">
        <v>0</v>
      </c>
      <c r="CT170" s="9">
        <v>0</v>
      </c>
      <c r="CU170" s="9">
        <v>0</v>
      </c>
      <c r="CV170" s="9">
        <v>0</v>
      </c>
      <c r="CW170" s="9">
        <v>0</v>
      </c>
      <c r="CX170" s="9">
        <v>0</v>
      </c>
      <c r="CY170" s="9">
        <v>0</v>
      </c>
      <c r="CZ170" s="9">
        <v>0</v>
      </c>
      <c r="DA170" s="9">
        <v>0</v>
      </c>
      <c r="DB170" s="9">
        <v>0</v>
      </c>
      <c r="DC170" s="9">
        <v>0</v>
      </c>
      <c r="DD170" s="9">
        <v>0</v>
      </c>
      <c r="DE170" s="9">
        <v>0</v>
      </c>
      <c r="DF170" s="9">
        <v>0</v>
      </c>
      <c r="DG170" s="9">
        <v>0</v>
      </c>
      <c r="DH170" s="9">
        <v>0</v>
      </c>
      <c r="DI170" s="9">
        <v>0</v>
      </c>
      <c r="DJ170" s="9">
        <v>0</v>
      </c>
      <c r="DK170" s="9">
        <v>0</v>
      </c>
      <c r="DL170" s="9">
        <v>0</v>
      </c>
      <c r="DM170" s="9">
        <v>0</v>
      </c>
      <c r="DN170" s="9">
        <v>0</v>
      </c>
      <c r="DO170" s="9">
        <v>0</v>
      </c>
      <c r="DP170" s="9">
        <v>0</v>
      </c>
      <c r="DQ170" s="9">
        <v>0</v>
      </c>
      <c r="DR170" s="9">
        <v>0</v>
      </c>
      <c r="DS170" s="9">
        <v>0</v>
      </c>
      <c r="DT170" s="9">
        <v>0</v>
      </c>
      <c r="DU170" s="9">
        <v>0</v>
      </c>
      <c r="DV170" s="9">
        <v>0</v>
      </c>
      <c r="DW170" s="9">
        <v>0</v>
      </c>
      <c r="DX170" s="9">
        <v>0</v>
      </c>
      <c r="DY170" s="9">
        <v>0</v>
      </c>
      <c r="DZ170" s="9">
        <v>0</v>
      </c>
      <c r="EA170" s="9">
        <v>0</v>
      </c>
      <c r="EB170" s="9">
        <v>0</v>
      </c>
      <c r="EC170" s="9">
        <v>0</v>
      </c>
      <c r="ED170" s="9">
        <v>0</v>
      </c>
      <c r="EE170" s="9">
        <v>0</v>
      </c>
      <c r="EF170" s="9">
        <v>0</v>
      </c>
      <c r="EG170" s="9">
        <v>0</v>
      </c>
      <c r="EH170" s="9">
        <v>0</v>
      </c>
      <c r="EI170" s="10">
        <v>0</v>
      </c>
    </row>
    <row r="171" spans="1:139" x14ac:dyDescent="0.35">
      <c r="A171" s="8" t="s">
        <v>261</v>
      </c>
      <c r="B171" s="9" t="s">
        <v>298</v>
      </c>
      <c r="C171" s="9" t="s">
        <v>299</v>
      </c>
      <c r="D171" s="9">
        <f t="shared" si="2"/>
        <v>325</v>
      </c>
      <c r="E171" s="9">
        <v>3</v>
      </c>
      <c r="F171" s="9">
        <v>0</v>
      </c>
      <c r="G171" s="9">
        <v>0</v>
      </c>
      <c r="H171" s="9">
        <v>0</v>
      </c>
      <c r="I171" s="9">
        <v>2</v>
      </c>
      <c r="J171" s="9">
        <v>1</v>
      </c>
      <c r="K171" s="9">
        <v>0</v>
      </c>
      <c r="L171" s="9">
        <v>3</v>
      </c>
      <c r="M171" s="9">
        <v>14</v>
      </c>
      <c r="N171" s="9">
        <v>0</v>
      </c>
      <c r="O171" s="9">
        <v>1</v>
      </c>
      <c r="P171" s="9">
        <v>7</v>
      </c>
      <c r="Q171" s="9">
        <v>4</v>
      </c>
      <c r="R171" s="9">
        <v>8</v>
      </c>
      <c r="S171" s="9">
        <v>8</v>
      </c>
      <c r="T171" s="9">
        <v>4</v>
      </c>
      <c r="U171" s="9">
        <v>9</v>
      </c>
      <c r="V171" s="9">
        <v>1</v>
      </c>
      <c r="W171" s="9">
        <v>4</v>
      </c>
      <c r="X171" s="9">
        <v>2</v>
      </c>
      <c r="Y171" s="9">
        <v>4</v>
      </c>
      <c r="Z171" s="9">
        <v>8</v>
      </c>
      <c r="AA171" s="9">
        <v>6</v>
      </c>
      <c r="AB171" s="9">
        <v>3</v>
      </c>
      <c r="AC171" s="9">
        <v>3</v>
      </c>
      <c r="AD171" s="9">
        <v>5</v>
      </c>
      <c r="AE171" s="9">
        <v>5</v>
      </c>
      <c r="AF171" s="9">
        <v>4</v>
      </c>
      <c r="AG171" s="9">
        <v>6</v>
      </c>
      <c r="AH171" s="9">
        <v>3</v>
      </c>
      <c r="AI171" s="9">
        <v>7</v>
      </c>
      <c r="AJ171" s="9">
        <v>2</v>
      </c>
      <c r="AK171" s="9">
        <v>8</v>
      </c>
      <c r="AL171" s="9">
        <v>3</v>
      </c>
      <c r="AM171" s="9">
        <v>4</v>
      </c>
      <c r="AN171" s="9">
        <v>8</v>
      </c>
      <c r="AO171" s="9">
        <v>4</v>
      </c>
      <c r="AP171" s="9">
        <v>3</v>
      </c>
      <c r="AQ171" s="9">
        <v>5</v>
      </c>
      <c r="AR171" s="9">
        <v>2</v>
      </c>
      <c r="AS171" s="9">
        <v>6</v>
      </c>
      <c r="AT171" s="9">
        <v>7</v>
      </c>
      <c r="AU171" s="9">
        <v>2</v>
      </c>
      <c r="AV171" s="9">
        <v>6</v>
      </c>
      <c r="AW171" s="9">
        <v>4</v>
      </c>
      <c r="AX171" s="9">
        <v>5</v>
      </c>
      <c r="AY171" s="9">
        <v>10</v>
      </c>
      <c r="AZ171" s="9">
        <v>4</v>
      </c>
      <c r="BA171" s="9">
        <v>2</v>
      </c>
      <c r="BB171" s="9">
        <v>4</v>
      </c>
      <c r="BC171" s="9">
        <v>4</v>
      </c>
      <c r="BD171" s="9">
        <v>0</v>
      </c>
      <c r="BE171" s="9">
        <v>3</v>
      </c>
      <c r="BF171" s="9">
        <v>2</v>
      </c>
      <c r="BG171" s="9">
        <v>8</v>
      </c>
      <c r="BH171" s="9">
        <v>2</v>
      </c>
      <c r="BI171" s="9">
        <v>1</v>
      </c>
      <c r="BJ171" s="9">
        <v>2</v>
      </c>
      <c r="BK171" s="9">
        <v>1</v>
      </c>
      <c r="BL171" s="9">
        <v>1</v>
      </c>
      <c r="BM171" s="9">
        <v>5</v>
      </c>
      <c r="BN171" s="9">
        <v>3</v>
      </c>
      <c r="BO171" s="9">
        <v>4</v>
      </c>
      <c r="BP171" s="9">
        <v>2</v>
      </c>
      <c r="BQ171" s="9">
        <v>5</v>
      </c>
      <c r="BR171" s="9">
        <v>1</v>
      </c>
      <c r="BS171" s="9">
        <v>0</v>
      </c>
      <c r="BT171" s="9">
        <v>1</v>
      </c>
      <c r="BU171" s="9">
        <v>5</v>
      </c>
      <c r="BV171" s="9">
        <v>5</v>
      </c>
      <c r="BW171" s="9">
        <v>2</v>
      </c>
      <c r="BX171" s="9">
        <v>2</v>
      </c>
      <c r="BY171" s="9">
        <v>0</v>
      </c>
      <c r="BZ171" s="9">
        <v>1</v>
      </c>
      <c r="CA171" s="9">
        <v>3</v>
      </c>
      <c r="CB171" s="9">
        <v>1</v>
      </c>
      <c r="CC171" s="9">
        <v>2</v>
      </c>
      <c r="CD171" s="9">
        <v>3</v>
      </c>
      <c r="CE171" s="9">
        <v>2</v>
      </c>
      <c r="CF171" s="9">
        <v>1</v>
      </c>
      <c r="CG171" s="9">
        <v>2</v>
      </c>
      <c r="CH171" s="9">
        <v>1</v>
      </c>
      <c r="CI171" s="9">
        <v>1</v>
      </c>
      <c r="CJ171" s="9">
        <v>1</v>
      </c>
      <c r="CK171" s="9">
        <v>2</v>
      </c>
      <c r="CL171" s="9">
        <v>2</v>
      </c>
      <c r="CM171" s="9">
        <v>2</v>
      </c>
      <c r="CN171" s="9">
        <v>0</v>
      </c>
      <c r="CO171" s="9">
        <v>0</v>
      </c>
      <c r="CP171" s="9">
        <v>1</v>
      </c>
      <c r="CQ171" s="9">
        <v>0</v>
      </c>
      <c r="CR171" s="9">
        <v>2</v>
      </c>
      <c r="CS171" s="9">
        <v>3</v>
      </c>
      <c r="CT171" s="9">
        <v>0</v>
      </c>
      <c r="CU171" s="9">
        <v>1</v>
      </c>
      <c r="CV171" s="9">
        <v>3</v>
      </c>
      <c r="CW171" s="9">
        <v>1</v>
      </c>
      <c r="CX171" s="9">
        <v>1</v>
      </c>
      <c r="CY171" s="9">
        <v>1</v>
      </c>
      <c r="CZ171" s="9">
        <v>1</v>
      </c>
      <c r="DA171" s="9">
        <v>0</v>
      </c>
      <c r="DB171" s="9">
        <v>0</v>
      </c>
      <c r="DC171" s="9">
        <v>1</v>
      </c>
      <c r="DD171" s="9">
        <v>3</v>
      </c>
      <c r="DE171" s="9">
        <v>0</v>
      </c>
      <c r="DF171" s="9">
        <v>0</v>
      </c>
      <c r="DG171" s="9">
        <v>0</v>
      </c>
      <c r="DH171" s="9">
        <v>0</v>
      </c>
      <c r="DI171" s="9">
        <v>0</v>
      </c>
      <c r="DJ171" s="9">
        <v>1</v>
      </c>
      <c r="DK171" s="9">
        <v>2</v>
      </c>
      <c r="DL171" s="9">
        <v>0</v>
      </c>
      <c r="DM171" s="9">
        <v>0</v>
      </c>
      <c r="DN171" s="9">
        <v>0</v>
      </c>
      <c r="DO171" s="9">
        <v>0</v>
      </c>
      <c r="DP171" s="9">
        <v>0</v>
      </c>
      <c r="DQ171" s="9">
        <v>1</v>
      </c>
      <c r="DR171" s="9">
        <v>0</v>
      </c>
      <c r="DS171" s="9">
        <v>0</v>
      </c>
      <c r="DT171" s="9">
        <v>1</v>
      </c>
      <c r="DU171" s="9">
        <v>0</v>
      </c>
      <c r="DV171" s="9">
        <v>1</v>
      </c>
      <c r="DW171" s="9">
        <v>1</v>
      </c>
      <c r="DX171" s="9">
        <v>0</v>
      </c>
      <c r="DY171" s="9">
        <v>0</v>
      </c>
      <c r="DZ171" s="9">
        <v>0</v>
      </c>
      <c r="EA171" s="9">
        <v>0</v>
      </c>
      <c r="EB171" s="9">
        <v>1</v>
      </c>
      <c r="EC171" s="9">
        <v>0</v>
      </c>
      <c r="ED171" s="9">
        <v>0</v>
      </c>
      <c r="EE171" s="9">
        <v>0</v>
      </c>
      <c r="EF171" s="9">
        <v>1</v>
      </c>
      <c r="EG171" s="9">
        <v>0</v>
      </c>
      <c r="EH171" s="9">
        <v>1</v>
      </c>
      <c r="EI171" s="10">
        <v>0</v>
      </c>
    </row>
    <row r="172" spans="1:139" x14ac:dyDescent="0.35">
      <c r="A172" s="8" t="s">
        <v>261</v>
      </c>
      <c r="B172" s="9" t="s">
        <v>300</v>
      </c>
      <c r="C172" s="9" t="s">
        <v>301</v>
      </c>
      <c r="D172" s="9">
        <f t="shared" si="2"/>
        <v>49</v>
      </c>
      <c r="E172" s="9">
        <v>0</v>
      </c>
      <c r="F172" s="9">
        <v>0</v>
      </c>
      <c r="G172" s="9">
        <v>0</v>
      </c>
      <c r="H172" s="9">
        <v>0</v>
      </c>
      <c r="I172" s="9">
        <v>0</v>
      </c>
      <c r="J172" s="9">
        <v>3</v>
      </c>
      <c r="K172" s="9">
        <v>0</v>
      </c>
      <c r="L172" s="9">
        <v>0</v>
      </c>
      <c r="M172" s="9">
        <v>1</v>
      </c>
      <c r="N172" s="9">
        <v>0</v>
      </c>
      <c r="O172" s="9">
        <v>0</v>
      </c>
      <c r="P172" s="9">
        <v>0</v>
      </c>
      <c r="Q172" s="9">
        <v>0</v>
      </c>
      <c r="R172" s="9">
        <v>0</v>
      </c>
      <c r="S172" s="9">
        <v>0</v>
      </c>
      <c r="T172" s="9">
        <v>0</v>
      </c>
      <c r="U172" s="9">
        <v>0</v>
      </c>
      <c r="V172" s="9">
        <v>0</v>
      </c>
      <c r="W172" s="9">
        <v>0</v>
      </c>
      <c r="X172" s="9">
        <v>0</v>
      </c>
      <c r="Y172" s="9">
        <v>1</v>
      </c>
      <c r="Z172" s="9">
        <v>1</v>
      </c>
      <c r="AA172" s="9">
        <v>0</v>
      </c>
      <c r="AB172" s="9">
        <v>0</v>
      </c>
      <c r="AC172" s="9">
        <v>0</v>
      </c>
      <c r="AD172" s="9">
        <v>2</v>
      </c>
      <c r="AE172" s="9">
        <v>0</v>
      </c>
      <c r="AF172" s="9">
        <v>0</v>
      </c>
      <c r="AG172" s="9">
        <v>2</v>
      </c>
      <c r="AH172" s="9">
        <v>1</v>
      </c>
      <c r="AI172" s="9">
        <v>1</v>
      </c>
      <c r="AJ172" s="9">
        <v>1</v>
      </c>
      <c r="AK172" s="9">
        <v>2</v>
      </c>
      <c r="AL172" s="9">
        <v>1</v>
      </c>
      <c r="AM172" s="9">
        <v>2</v>
      </c>
      <c r="AN172" s="9">
        <v>0</v>
      </c>
      <c r="AO172" s="9">
        <v>0</v>
      </c>
      <c r="AP172" s="9">
        <v>0</v>
      </c>
      <c r="AQ172" s="9">
        <v>0</v>
      </c>
      <c r="AR172" s="9">
        <v>2</v>
      </c>
      <c r="AS172" s="9">
        <v>1</v>
      </c>
      <c r="AT172" s="9">
        <v>2</v>
      </c>
      <c r="AU172" s="9">
        <v>1</v>
      </c>
      <c r="AV172" s="9">
        <v>1</v>
      </c>
      <c r="AW172" s="9">
        <v>0</v>
      </c>
      <c r="AX172" s="9">
        <v>0</v>
      </c>
      <c r="AY172" s="9">
        <v>1</v>
      </c>
      <c r="AZ172" s="9">
        <v>0</v>
      </c>
      <c r="BA172" s="9">
        <v>1</v>
      </c>
      <c r="BB172" s="9">
        <v>0</v>
      </c>
      <c r="BC172" s="9">
        <v>0</v>
      </c>
      <c r="BD172" s="9">
        <v>0</v>
      </c>
      <c r="BE172" s="9">
        <v>0</v>
      </c>
      <c r="BF172" s="9">
        <v>0</v>
      </c>
      <c r="BG172" s="9">
        <v>1</v>
      </c>
      <c r="BH172" s="9">
        <v>0</v>
      </c>
      <c r="BI172" s="9">
        <v>0</v>
      </c>
      <c r="BJ172" s="9">
        <v>0</v>
      </c>
      <c r="BK172" s="9">
        <v>0</v>
      </c>
      <c r="BL172" s="9">
        <v>0</v>
      </c>
      <c r="BM172" s="9">
        <v>0</v>
      </c>
      <c r="BN172" s="9">
        <v>1</v>
      </c>
      <c r="BO172" s="9">
        <v>1</v>
      </c>
      <c r="BP172" s="9">
        <v>0</v>
      </c>
      <c r="BQ172" s="9">
        <v>0</v>
      </c>
      <c r="BR172" s="9">
        <v>0</v>
      </c>
      <c r="BS172" s="9">
        <v>0</v>
      </c>
      <c r="BT172" s="9">
        <v>0</v>
      </c>
      <c r="BU172" s="9">
        <v>1</v>
      </c>
      <c r="BV172" s="9">
        <v>0</v>
      </c>
      <c r="BW172" s="9">
        <v>0</v>
      </c>
      <c r="BX172" s="9">
        <v>0</v>
      </c>
      <c r="BY172" s="9">
        <v>0</v>
      </c>
      <c r="BZ172" s="9">
        <v>0</v>
      </c>
      <c r="CA172" s="9">
        <v>1</v>
      </c>
      <c r="CB172" s="9">
        <v>1</v>
      </c>
      <c r="CC172" s="9">
        <v>1</v>
      </c>
      <c r="CD172" s="9">
        <v>0</v>
      </c>
      <c r="CE172" s="9">
        <v>1</v>
      </c>
      <c r="CF172" s="9">
        <v>1</v>
      </c>
      <c r="CG172" s="9">
        <v>0</v>
      </c>
      <c r="CH172" s="9">
        <v>0</v>
      </c>
      <c r="CI172" s="9">
        <v>0</v>
      </c>
      <c r="CJ172" s="9">
        <v>0</v>
      </c>
      <c r="CK172" s="9">
        <v>0</v>
      </c>
      <c r="CL172" s="9">
        <v>0</v>
      </c>
      <c r="CM172" s="9">
        <v>0</v>
      </c>
      <c r="CN172" s="9">
        <v>0</v>
      </c>
      <c r="CO172" s="9">
        <v>0</v>
      </c>
      <c r="CP172" s="9">
        <v>0</v>
      </c>
      <c r="CQ172" s="9">
        <v>1</v>
      </c>
      <c r="CR172" s="9">
        <v>1</v>
      </c>
      <c r="CS172" s="9">
        <v>0</v>
      </c>
      <c r="CT172" s="9">
        <v>1</v>
      </c>
      <c r="CU172" s="9">
        <v>0</v>
      </c>
      <c r="CV172" s="9">
        <v>0</v>
      </c>
      <c r="CW172" s="9">
        <v>1</v>
      </c>
      <c r="CX172" s="9">
        <v>0</v>
      </c>
      <c r="CY172" s="9">
        <v>2</v>
      </c>
      <c r="CZ172" s="9">
        <v>0</v>
      </c>
      <c r="DA172" s="9">
        <v>0</v>
      </c>
      <c r="DB172" s="9">
        <v>0</v>
      </c>
      <c r="DC172" s="9">
        <v>0</v>
      </c>
      <c r="DD172" s="9">
        <v>0</v>
      </c>
      <c r="DE172" s="9">
        <v>0</v>
      </c>
      <c r="DF172" s="9">
        <v>0</v>
      </c>
      <c r="DG172" s="9">
        <v>0</v>
      </c>
      <c r="DH172" s="9">
        <v>1</v>
      </c>
      <c r="DI172" s="9">
        <v>1</v>
      </c>
      <c r="DJ172" s="9">
        <v>0</v>
      </c>
      <c r="DK172" s="9">
        <v>0</v>
      </c>
      <c r="DL172" s="9">
        <v>2</v>
      </c>
      <c r="DM172" s="9">
        <v>2</v>
      </c>
      <c r="DN172" s="9">
        <v>0</v>
      </c>
      <c r="DO172" s="9">
        <v>0</v>
      </c>
      <c r="DP172" s="9">
        <v>0</v>
      </c>
      <c r="DQ172" s="9">
        <v>0</v>
      </c>
      <c r="DR172" s="9">
        <v>0</v>
      </c>
      <c r="DS172" s="9">
        <v>0</v>
      </c>
      <c r="DT172" s="9">
        <v>0</v>
      </c>
      <c r="DU172" s="9">
        <v>0</v>
      </c>
      <c r="DV172" s="9">
        <v>1</v>
      </c>
      <c r="DW172" s="9">
        <v>0</v>
      </c>
      <c r="DX172" s="9">
        <v>0</v>
      </c>
      <c r="DY172" s="9">
        <v>0</v>
      </c>
      <c r="DZ172" s="9">
        <v>0</v>
      </c>
      <c r="EA172" s="9">
        <v>0</v>
      </c>
      <c r="EB172" s="9">
        <v>0</v>
      </c>
      <c r="EC172" s="9">
        <v>0</v>
      </c>
      <c r="ED172" s="9">
        <v>0</v>
      </c>
      <c r="EE172" s="9">
        <v>0</v>
      </c>
      <c r="EF172" s="9">
        <v>0</v>
      </c>
      <c r="EG172" s="9">
        <v>0</v>
      </c>
      <c r="EH172" s="9">
        <v>0</v>
      </c>
      <c r="EI172" s="10">
        <v>0</v>
      </c>
    </row>
    <row r="173" spans="1:139" x14ac:dyDescent="0.35">
      <c r="A173" s="8" t="s">
        <v>261</v>
      </c>
      <c r="B173" s="9" t="s">
        <v>302</v>
      </c>
      <c r="C173" s="9" t="s">
        <v>303</v>
      </c>
      <c r="D173" s="9">
        <f t="shared" si="2"/>
        <v>188</v>
      </c>
      <c r="E173" s="9">
        <v>0</v>
      </c>
      <c r="F173" s="9">
        <v>0</v>
      </c>
      <c r="G173" s="9">
        <v>0</v>
      </c>
      <c r="H173" s="9">
        <v>0</v>
      </c>
      <c r="I173" s="9">
        <v>0</v>
      </c>
      <c r="J173" s="9">
        <v>0</v>
      </c>
      <c r="K173" s="9">
        <v>0</v>
      </c>
      <c r="L173" s="9">
        <v>0</v>
      </c>
      <c r="M173" s="9">
        <v>0</v>
      </c>
      <c r="N173" s="9">
        <v>0</v>
      </c>
      <c r="O173" s="9">
        <v>0</v>
      </c>
      <c r="P173" s="9">
        <v>0</v>
      </c>
      <c r="Q173" s="9">
        <v>0</v>
      </c>
      <c r="R173" s="9">
        <v>2</v>
      </c>
      <c r="S173" s="9">
        <v>4</v>
      </c>
      <c r="T173" s="9">
        <v>3</v>
      </c>
      <c r="U173" s="9">
        <v>3</v>
      </c>
      <c r="V173" s="9">
        <v>2</v>
      </c>
      <c r="W173" s="9">
        <v>2</v>
      </c>
      <c r="X173" s="9">
        <v>7</v>
      </c>
      <c r="Y173" s="9">
        <v>8</v>
      </c>
      <c r="Z173" s="9">
        <v>2</v>
      </c>
      <c r="AA173" s="9">
        <v>2</v>
      </c>
      <c r="AB173" s="9">
        <v>0</v>
      </c>
      <c r="AC173" s="9">
        <v>1</v>
      </c>
      <c r="AD173" s="9">
        <v>2</v>
      </c>
      <c r="AE173" s="9">
        <v>2</v>
      </c>
      <c r="AF173" s="9">
        <v>2</v>
      </c>
      <c r="AG173" s="9">
        <v>1</v>
      </c>
      <c r="AH173" s="9">
        <v>6</v>
      </c>
      <c r="AI173" s="9">
        <v>4</v>
      </c>
      <c r="AJ173" s="9">
        <v>0</v>
      </c>
      <c r="AK173" s="9">
        <v>2</v>
      </c>
      <c r="AL173" s="9">
        <v>2</v>
      </c>
      <c r="AM173" s="9">
        <v>6</v>
      </c>
      <c r="AN173" s="9">
        <v>0</v>
      </c>
      <c r="AO173" s="9">
        <v>2</v>
      </c>
      <c r="AP173" s="9">
        <v>0</v>
      </c>
      <c r="AQ173" s="9">
        <v>3</v>
      </c>
      <c r="AR173" s="9">
        <v>1</v>
      </c>
      <c r="AS173" s="9">
        <v>3</v>
      </c>
      <c r="AT173" s="9">
        <v>1</v>
      </c>
      <c r="AU173" s="9">
        <v>3</v>
      </c>
      <c r="AV173" s="9">
        <v>3</v>
      </c>
      <c r="AW173" s="9">
        <v>0</v>
      </c>
      <c r="AX173" s="9">
        <v>0</v>
      </c>
      <c r="AY173" s="9">
        <v>3</v>
      </c>
      <c r="AZ173" s="9">
        <v>0</v>
      </c>
      <c r="BA173" s="9">
        <v>3</v>
      </c>
      <c r="BB173" s="9">
        <v>4</v>
      </c>
      <c r="BC173" s="9">
        <v>0</v>
      </c>
      <c r="BD173" s="9">
        <v>1</v>
      </c>
      <c r="BE173" s="9">
        <v>1</v>
      </c>
      <c r="BF173" s="9">
        <v>0</v>
      </c>
      <c r="BG173" s="9">
        <v>5</v>
      </c>
      <c r="BH173" s="9">
        <v>2</v>
      </c>
      <c r="BI173" s="9">
        <v>0</v>
      </c>
      <c r="BJ173" s="9">
        <v>4</v>
      </c>
      <c r="BK173" s="9">
        <v>1</v>
      </c>
      <c r="BL173" s="9">
        <v>1</v>
      </c>
      <c r="BM173" s="9">
        <v>3</v>
      </c>
      <c r="BN173" s="9">
        <v>4</v>
      </c>
      <c r="BO173" s="9">
        <v>1</v>
      </c>
      <c r="BP173" s="9">
        <v>1</v>
      </c>
      <c r="BQ173" s="9">
        <v>3</v>
      </c>
      <c r="BR173" s="9">
        <v>3</v>
      </c>
      <c r="BS173" s="9">
        <v>1</v>
      </c>
      <c r="BT173" s="9">
        <v>0</v>
      </c>
      <c r="BU173" s="9">
        <v>3</v>
      </c>
      <c r="BV173" s="9">
        <v>0</v>
      </c>
      <c r="BW173" s="9">
        <v>1</v>
      </c>
      <c r="BX173" s="9">
        <v>0</v>
      </c>
      <c r="BY173" s="9">
        <v>2</v>
      </c>
      <c r="BZ173" s="9">
        <v>3</v>
      </c>
      <c r="CA173" s="9">
        <v>0</v>
      </c>
      <c r="CB173" s="9">
        <v>1</v>
      </c>
      <c r="CC173" s="9">
        <v>0</v>
      </c>
      <c r="CD173" s="9">
        <v>4</v>
      </c>
      <c r="CE173" s="9">
        <v>2</v>
      </c>
      <c r="CF173" s="9">
        <v>1</v>
      </c>
      <c r="CG173" s="9">
        <v>0</v>
      </c>
      <c r="CH173" s="9">
        <v>2</v>
      </c>
      <c r="CI173" s="9">
        <v>0</v>
      </c>
      <c r="CJ173" s="9">
        <v>2</v>
      </c>
      <c r="CK173" s="9">
        <v>0</v>
      </c>
      <c r="CL173" s="9">
        <v>1</v>
      </c>
      <c r="CM173" s="9">
        <v>2</v>
      </c>
      <c r="CN173" s="9">
        <v>2</v>
      </c>
      <c r="CO173" s="9">
        <v>1</v>
      </c>
      <c r="CP173" s="9">
        <v>1</v>
      </c>
      <c r="CQ173" s="9">
        <v>2</v>
      </c>
      <c r="CR173" s="9">
        <v>3</v>
      </c>
      <c r="CS173" s="9">
        <v>2</v>
      </c>
      <c r="CT173" s="9">
        <v>0</v>
      </c>
      <c r="CU173" s="9">
        <v>1</v>
      </c>
      <c r="CV173" s="9">
        <v>2</v>
      </c>
      <c r="CW173" s="9">
        <v>1</v>
      </c>
      <c r="CX173" s="9">
        <v>2</v>
      </c>
      <c r="CY173" s="9">
        <v>1</v>
      </c>
      <c r="CZ173" s="9">
        <v>2</v>
      </c>
      <c r="DA173" s="9">
        <v>3</v>
      </c>
      <c r="DB173" s="9">
        <v>0</v>
      </c>
      <c r="DC173" s="9">
        <v>1</v>
      </c>
      <c r="DD173" s="9">
        <v>0</v>
      </c>
      <c r="DE173" s="9">
        <v>2</v>
      </c>
      <c r="DF173" s="9">
        <v>1</v>
      </c>
      <c r="DG173" s="9">
        <v>5</v>
      </c>
      <c r="DH173" s="9">
        <v>4</v>
      </c>
      <c r="DI173" s="9">
        <v>2</v>
      </c>
      <c r="DJ173" s="9">
        <v>3</v>
      </c>
      <c r="DK173" s="9">
        <v>0</v>
      </c>
      <c r="DL173" s="9">
        <v>1</v>
      </c>
      <c r="DM173" s="9">
        <v>0</v>
      </c>
      <c r="DN173" s="9">
        <v>0</v>
      </c>
      <c r="DO173" s="9">
        <v>0</v>
      </c>
      <c r="DP173" s="9">
        <v>0</v>
      </c>
      <c r="DQ173" s="9">
        <v>0</v>
      </c>
      <c r="DR173" s="9">
        <v>0</v>
      </c>
      <c r="DS173" s="9">
        <v>0</v>
      </c>
      <c r="DT173" s="9">
        <v>0</v>
      </c>
      <c r="DU173" s="9">
        <v>0</v>
      </c>
      <c r="DV173" s="9">
        <v>1</v>
      </c>
      <c r="DW173" s="9">
        <v>0</v>
      </c>
      <c r="DX173" s="9">
        <v>0</v>
      </c>
      <c r="DY173" s="9">
        <v>0</v>
      </c>
      <c r="DZ173" s="9">
        <v>0</v>
      </c>
      <c r="EA173" s="9">
        <v>0</v>
      </c>
      <c r="EB173" s="9">
        <v>0</v>
      </c>
      <c r="EC173" s="9">
        <v>0</v>
      </c>
      <c r="ED173" s="9">
        <v>0</v>
      </c>
      <c r="EE173" s="9">
        <v>0</v>
      </c>
      <c r="EF173" s="9">
        <v>0</v>
      </c>
      <c r="EG173" s="9">
        <v>0</v>
      </c>
      <c r="EH173" s="9">
        <v>1</v>
      </c>
      <c r="EI173" s="10">
        <v>0</v>
      </c>
    </row>
    <row r="174" spans="1:139" x14ac:dyDescent="0.35">
      <c r="A174" s="8" t="s">
        <v>261</v>
      </c>
      <c r="B174" s="9" t="s">
        <v>304</v>
      </c>
      <c r="C174" s="9" t="s">
        <v>305</v>
      </c>
      <c r="D174" s="9">
        <f t="shared" si="2"/>
        <v>130</v>
      </c>
      <c r="E174" s="9">
        <v>0</v>
      </c>
      <c r="F174" s="9">
        <v>0</v>
      </c>
      <c r="G174" s="9">
        <v>0</v>
      </c>
      <c r="H174" s="9">
        <v>0</v>
      </c>
      <c r="I174" s="9">
        <v>0</v>
      </c>
      <c r="J174" s="9">
        <v>0</v>
      </c>
      <c r="K174" s="9">
        <v>0</v>
      </c>
      <c r="L174" s="9">
        <v>0</v>
      </c>
      <c r="M174" s="9">
        <v>0</v>
      </c>
      <c r="N174" s="9">
        <v>0</v>
      </c>
      <c r="O174" s="9">
        <v>0</v>
      </c>
      <c r="P174" s="9">
        <v>0</v>
      </c>
      <c r="Q174" s="9">
        <v>2</v>
      </c>
      <c r="R174" s="9">
        <v>2</v>
      </c>
      <c r="S174" s="9">
        <v>2</v>
      </c>
      <c r="T174" s="9">
        <v>6</v>
      </c>
      <c r="U174" s="9">
        <v>1</v>
      </c>
      <c r="V174" s="9">
        <v>1</v>
      </c>
      <c r="W174" s="9">
        <v>1</v>
      </c>
      <c r="X174" s="9">
        <v>1</v>
      </c>
      <c r="Y174" s="9">
        <v>1</v>
      </c>
      <c r="Z174" s="9">
        <v>1</v>
      </c>
      <c r="AA174" s="9">
        <v>1</v>
      </c>
      <c r="AB174" s="9">
        <v>3</v>
      </c>
      <c r="AC174" s="9">
        <v>4</v>
      </c>
      <c r="AD174" s="9">
        <v>4</v>
      </c>
      <c r="AE174" s="9">
        <v>4</v>
      </c>
      <c r="AF174" s="9">
        <v>4</v>
      </c>
      <c r="AG174" s="9">
        <v>4</v>
      </c>
      <c r="AH174" s="9">
        <v>4</v>
      </c>
      <c r="AI174" s="9">
        <v>4</v>
      </c>
      <c r="AJ174" s="9">
        <v>4</v>
      </c>
      <c r="AK174" s="9">
        <v>5</v>
      </c>
      <c r="AL174" s="9">
        <v>4</v>
      </c>
      <c r="AM174" s="9">
        <v>4</v>
      </c>
      <c r="AN174" s="9">
        <v>4</v>
      </c>
      <c r="AO174" s="9">
        <v>4</v>
      </c>
      <c r="AP174" s="9">
        <v>4</v>
      </c>
      <c r="AQ174" s="9">
        <v>4</v>
      </c>
      <c r="AR174" s="9">
        <v>4</v>
      </c>
      <c r="AS174" s="9">
        <v>4</v>
      </c>
      <c r="AT174" s="9">
        <v>5</v>
      </c>
      <c r="AU174" s="9">
        <v>4</v>
      </c>
      <c r="AV174" s="9">
        <v>0</v>
      </c>
      <c r="AW174" s="9">
        <v>3</v>
      </c>
      <c r="AX174" s="9">
        <v>0</v>
      </c>
      <c r="AY174" s="9">
        <v>0</v>
      </c>
      <c r="AZ174" s="9">
        <v>1</v>
      </c>
      <c r="BA174" s="9">
        <v>0</v>
      </c>
      <c r="BB174" s="9">
        <v>0</v>
      </c>
      <c r="BC174" s="9">
        <v>0</v>
      </c>
      <c r="BD174" s="9">
        <v>1</v>
      </c>
      <c r="BE174" s="9">
        <v>0</v>
      </c>
      <c r="BF174" s="9">
        <v>2</v>
      </c>
      <c r="BG174" s="9">
        <v>0</v>
      </c>
      <c r="BH174" s="9">
        <v>1</v>
      </c>
      <c r="BI174" s="9">
        <v>3</v>
      </c>
      <c r="BJ174" s="9">
        <v>1</v>
      </c>
      <c r="BK174" s="9">
        <v>0</v>
      </c>
      <c r="BL174" s="9">
        <v>1</v>
      </c>
      <c r="BM174" s="9">
        <v>0</v>
      </c>
      <c r="BN174" s="9">
        <v>0</v>
      </c>
      <c r="BO174" s="9">
        <v>0</v>
      </c>
      <c r="BP174" s="9">
        <v>3</v>
      </c>
      <c r="BQ174" s="9">
        <v>0</v>
      </c>
      <c r="BR174" s="9">
        <v>0</v>
      </c>
      <c r="BS174" s="9">
        <v>0</v>
      </c>
      <c r="BT174" s="9">
        <v>1</v>
      </c>
      <c r="BU174" s="9">
        <v>0</v>
      </c>
      <c r="BV174" s="9">
        <v>0</v>
      </c>
      <c r="BW174" s="9">
        <v>0</v>
      </c>
      <c r="BX174" s="9">
        <v>0</v>
      </c>
      <c r="BY174" s="9">
        <v>0</v>
      </c>
      <c r="BZ174" s="9">
        <v>1</v>
      </c>
      <c r="CA174" s="9">
        <v>2</v>
      </c>
      <c r="CB174" s="9">
        <v>0</v>
      </c>
      <c r="CC174" s="9">
        <v>0</v>
      </c>
      <c r="CD174" s="9">
        <v>1</v>
      </c>
      <c r="CE174" s="9">
        <v>0</v>
      </c>
      <c r="CF174" s="9">
        <v>0</v>
      </c>
      <c r="CG174" s="9">
        <v>1</v>
      </c>
      <c r="CH174" s="9">
        <v>0</v>
      </c>
      <c r="CI174" s="9">
        <v>0</v>
      </c>
      <c r="CJ174" s="9">
        <v>0</v>
      </c>
      <c r="CK174" s="9">
        <v>0</v>
      </c>
      <c r="CL174" s="9">
        <v>1</v>
      </c>
      <c r="CM174" s="9">
        <v>0</v>
      </c>
      <c r="CN174" s="9">
        <v>1</v>
      </c>
      <c r="CO174" s="9">
        <v>0</v>
      </c>
      <c r="CP174" s="9">
        <v>0</v>
      </c>
      <c r="CQ174" s="9">
        <v>1</v>
      </c>
      <c r="CR174" s="9">
        <v>1</v>
      </c>
      <c r="CS174" s="9">
        <v>0</v>
      </c>
      <c r="CT174" s="9">
        <v>0</v>
      </c>
      <c r="CU174" s="9">
        <v>1</v>
      </c>
      <c r="CV174" s="9">
        <v>0</v>
      </c>
      <c r="CW174" s="9">
        <v>0</v>
      </c>
      <c r="CX174" s="9">
        <v>0</v>
      </c>
      <c r="CY174" s="9">
        <v>0</v>
      </c>
      <c r="CZ174" s="9">
        <v>0</v>
      </c>
      <c r="DA174" s="9">
        <v>0</v>
      </c>
      <c r="DB174" s="9">
        <v>0</v>
      </c>
      <c r="DC174" s="9">
        <v>0</v>
      </c>
      <c r="DD174" s="9">
        <v>0</v>
      </c>
      <c r="DE174" s="9">
        <v>0</v>
      </c>
      <c r="DF174" s="9">
        <v>0</v>
      </c>
      <c r="DG174" s="9">
        <v>0</v>
      </c>
      <c r="DH174" s="9">
        <v>0</v>
      </c>
      <c r="DI174" s="9">
        <v>0</v>
      </c>
      <c r="DJ174" s="9">
        <v>0</v>
      </c>
      <c r="DK174" s="9">
        <v>0</v>
      </c>
      <c r="DL174" s="9">
        <v>0</v>
      </c>
      <c r="DM174" s="9">
        <v>0</v>
      </c>
      <c r="DN174" s="9">
        <v>1</v>
      </c>
      <c r="DO174" s="9">
        <v>1</v>
      </c>
      <c r="DP174" s="9">
        <v>0</v>
      </c>
      <c r="DQ174" s="9">
        <v>0</v>
      </c>
      <c r="DR174" s="9">
        <v>0</v>
      </c>
      <c r="DS174" s="9">
        <v>0</v>
      </c>
      <c r="DT174" s="9">
        <v>0</v>
      </c>
      <c r="DU174" s="9">
        <v>0</v>
      </c>
      <c r="DV174" s="9">
        <v>0</v>
      </c>
      <c r="DW174" s="9">
        <v>0</v>
      </c>
      <c r="DX174" s="9">
        <v>0</v>
      </c>
      <c r="DY174" s="9">
        <v>1</v>
      </c>
      <c r="DZ174" s="9">
        <v>0</v>
      </c>
      <c r="EA174" s="9">
        <v>0</v>
      </c>
      <c r="EB174" s="9">
        <v>0</v>
      </c>
      <c r="EC174" s="9">
        <v>0</v>
      </c>
      <c r="ED174" s="9">
        <v>0</v>
      </c>
      <c r="EE174" s="9">
        <v>0</v>
      </c>
      <c r="EF174" s="9">
        <v>0</v>
      </c>
      <c r="EG174" s="9">
        <v>0</v>
      </c>
      <c r="EH174" s="9">
        <v>0</v>
      </c>
      <c r="EI174" s="10">
        <v>0</v>
      </c>
    </row>
    <row r="175" spans="1:139" x14ac:dyDescent="0.35">
      <c r="A175" s="8" t="s">
        <v>261</v>
      </c>
      <c r="B175" s="9" t="s">
        <v>306</v>
      </c>
      <c r="C175" s="9" t="s">
        <v>307</v>
      </c>
      <c r="D175" s="9">
        <f t="shared" si="2"/>
        <v>113</v>
      </c>
      <c r="E175" s="9">
        <v>0</v>
      </c>
      <c r="F175" s="9">
        <v>0</v>
      </c>
      <c r="G175" s="9">
        <v>0</v>
      </c>
      <c r="H175" s="9">
        <v>0</v>
      </c>
      <c r="I175" s="9">
        <v>0</v>
      </c>
      <c r="J175" s="9">
        <v>0</v>
      </c>
      <c r="K175" s="9">
        <v>0</v>
      </c>
      <c r="L175" s="9">
        <v>0</v>
      </c>
      <c r="M175" s="9">
        <v>0</v>
      </c>
      <c r="N175" s="9">
        <v>0</v>
      </c>
      <c r="O175" s="9">
        <v>0</v>
      </c>
      <c r="P175" s="9">
        <v>0</v>
      </c>
      <c r="Q175" s="9">
        <v>0</v>
      </c>
      <c r="R175" s="9">
        <v>0</v>
      </c>
      <c r="S175" s="9">
        <v>0</v>
      </c>
      <c r="T175" s="9">
        <v>1</v>
      </c>
      <c r="U175" s="9">
        <v>1</v>
      </c>
      <c r="V175" s="9">
        <v>1</v>
      </c>
      <c r="W175" s="9">
        <v>0</v>
      </c>
      <c r="X175" s="9">
        <v>0</v>
      </c>
      <c r="Y175" s="9">
        <v>0</v>
      </c>
      <c r="Z175" s="9">
        <v>1</v>
      </c>
      <c r="AA175" s="9">
        <v>1</v>
      </c>
      <c r="AB175" s="9">
        <v>0</v>
      </c>
      <c r="AC175" s="9">
        <v>0</v>
      </c>
      <c r="AD175" s="9">
        <v>0</v>
      </c>
      <c r="AE175" s="9">
        <v>0</v>
      </c>
      <c r="AF175" s="9">
        <v>0</v>
      </c>
      <c r="AG175" s="9">
        <v>1</v>
      </c>
      <c r="AH175" s="9">
        <v>0</v>
      </c>
      <c r="AI175" s="9">
        <v>3</v>
      </c>
      <c r="AJ175" s="9">
        <v>0</v>
      </c>
      <c r="AK175" s="9">
        <v>0</v>
      </c>
      <c r="AL175" s="9">
        <v>1</v>
      </c>
      <c r="AM175" s="9">
        <v>2</v>
      </c>
      <c r="AN175" s="9">
        <v>3</v>
      </c>
      <c r="AO175" s="9">
        <v>0</v>
      </c>
      <c r="AP175" s="9">
        <v>2</v>
      </c>
      <c r="AQ175" s="9">
        <v>3</v>
      </c>
      <c r="AR175" s="9">
        <v>2</v>
      </c>
      <c r="AS175" s="9">
        <v>2</v>
      </c>
      <c r="AT175" s="9">
        <v>4</v>
      </c>
      <c r="AU175" s="9">
        <v>2</v>
      </c>
      <c r="AV175" s="9">
        <v>4</v>
      </c>
      <c r="AW175" s="9">
        <v>2</v>
      </c>
      <c r="AX175" s="9">
        <v>6</v>
      </c>
      <c r="AY175" s="9">
        <v>5</v>
      </c>
      <c r="AZ175" s="9">
        <v>5</v>
      </c>
      <c r="BA175" s="9">
        <v>3</v>
      </c>
      <c r="BB175" s="9">
        <v>5</v>
      </c>
      <c r="BC175" s="9">
        <v>4</v>
      </c>
      <c r="BD175" s="9">
        <v>1</v>
      </c>
      <c r="BE175" s="9">
        <v>2</v>
      </c>
      <c r="BF175" s="9">
        <v>3</v>
      </c>
      <c r="BG175" s="9">
        <v>1</v>
      </c>
      <c r="BH175" s="9">
        <v>3</v>
      </c>
      <c r="BI175" s="9">
        <v>2</v>
      </c>
      <c r="BJ175" s="9">
        <v>1</v>
      </c>
      <c r="BK175" s="9">
        <v>0</v>
      </c>
      <c r="BL175" s="9">
        <v>1</v>
      </c>
      <c r="BM175" s="9">
        <v>3</v>
      </c>
      <c r="BN175" s="9">
        <v>1</v>
      </c>
      <c r="BO175" s="9">
        <v>0</v>
      </c>
      <c r="BP175" s="9">
        <v>3</v>
      </c>
      <c r="BQ175" s="9">
        <v>5</v>
      </c>
      <c r="BR175" s="9">
        <v>3</v>
      </c>
      <c r="BS175" s="9">
        <v>2</v>
      </c>
      <c r="BT175" s="9">
        <v>0</v>
      </c>
      <c r="BU175" s="9">
        <v>2</v>
      </c>
      <c r="BV175" s="9">
        <v>3</v>
      </c>
      <c r="BW175" s="9">
        <v>3</v>
      </c>
      <c r="BX175" s="9">
        <v>4</v>
      </c>
      <c r="BY175" s="9">
        <v>1</v>
      </c>
      <c r="BZ175" s="9">
        <v>3</v>
      </c>
      <c r="CA175" s="9">
        <v>0</v>
      </c>
      <c r="CB175" s="9">
        <v>0</v>
      </c>
      <c r="CC175" s="9">
        <v>0</v>
      </c>
      <c r="CD175" s="9">
        <v>0</v>
      </c>
      <c r="CE175" s="9">
        <v>1</v>
      </c>
      <c r="CF175" s="9">
        <v>0</v>
      </c>
      <c r="CG175" s="9">
        <v>0</v>
      </c>
      <c r="CH175" s="9">
        <v>0</v>
      </c>
      <c r="CI175" s="9">
        <v>0</v>
      </c>
      <c r="CJ175" s="9">
        <v>1</v>
      </c>
      <c r="CK175" s="9">
        <v>0</v>
      </c>
      <c r="CL175" s="9">
        <v>0</v>
      </c>
      <c r="CM175" s="9">
        <v>0</v>
      </c>
      <c r="CN175" s="9">
        <v>0</v>
      </c>
      <c r="CO175" s="9">
        <v>0</v>
      </c>
      <c r="CP175" s="9">
        <v>0</v>
      </c>
      <c r="CQ175" s="9">
        <v>0</v>
      </c>
      <c r="CR175" s="9">
        <v>0</v>
      </c>
      <c r="CS175" s="9">
        <v>0</v>
      </c>
      <c r="CT175" s="9">
        <v>0</v>
      </c>
      <c r="CU175" s="9">
        <v>0</v>
      </c>
      <c r="CV175" s="9">
        <v>0</v>
      </c>
      <c r="CW175" s="9">
        <v>0</v>
      </c>
      <c r="CX175" s="9">
        <v>0</v>
      </c>
      <c r="CY175" s="9">
        <v>0</v>
      </c>
      <c r="CZ175" s="9">
        <v>0</v>
      </c>
      <c r="DA175" s="9">
        <v>0</v>
      </c>
      <c r="DB175" s="9">
        <v>0</v>
      </c>
      <c r="DC175" s="9">
        <v>0</v>
      </c>
      <c r="DD175" s="9">
        <v>0</v>
      </c>
      <c r="DE175" s="9">
        <v>0</v>
      </c>
      <c r="DF175" s="9">
        <v>0</v>
      </c>
      <c r="DG175" s="9">
        <v>0</v>
      </c>
      <c r="DH175" s="9">
        <v>0</v>
      </c>
      <c r="DI175" s="9">
        <v>0</v>
      </c>
      <c r="DJ175" s="9">
        <v>0</v>
      </c>
      <c r="DK175" s="9">
        <v>0</v>
      </c>
      <c r="DL175" s="9">
        <v>0</v>
      </c>
      <c r="DM175" s="9">
        <v>0</v>
      </c>
      <c r="DN175" s="9">
        <v>0</v>
      </c>
      <c r="DO175" s="9">
        <v>0</v>
      </c>
      <c r="DP175" s="9">
        <v>0</v>
      </c>
      <c r="DQ175" s="9">
        <v>0</v>
      </c>
      <c r="DR175" s="9">
        <v>0</v>
      </c>
      <c r="DS175" s="9">
        <v>0</v>
      </c>
      <c r="DT175" s="9">
        <v>0</v>
      </c>
      <c r="DU175" s="9">
        <v>0</v>
      </c>
      <c r="DV175" s="9">
        <v>0</v>
      </c>
      <c r="DW175" s="9">
        <v>0</v>
      </c>
      <c r="DX175" s="9">
        <v>0</v>
      </c>
      <c r="DY175" s="9">
        <v>0</v>
      </c>
      <c r="DZ175" s="9">
        <v>0</v>
      </c>
      <c r="EA175" s="9">
        <v>0</v>
      </c>
      <c r="EB175" s="9">
        <v>0</v>
      </c>
      <c r="EC175" s="9">
        <v>0</v>
      </c>
      <c r="ED175" s="9">
        <v>0</v>
      </c>
      <c r="EE175" s="9">
        <v>0</v>
      </c>
      <c r="EF175" s="9">
        <v>0</v>
      </c>
      <c r="EG175" s="9">
        <v>0</v>
      </c>
      <c r="EH175" s="9">
        <v>0</v>
      </c>
      <c r="EI175" s="10">
        <v>0</v>
      </c>
    </row>
    <row r="176" spans="1:139" x14ac:dyDescent="0.35">
      <c r="A176" s="8" t="s">
        <v>261</v>
      </c>
      <c r="B176" s="9" t="s">
        <v>308</v>
      </c>
      <c r="C176" s="9" t="s">
        <v>309</v>
      </c>
      <c r="D176" s="9">
        <f t="shared" si="2"/>
        <v>357</v>
      </c>
      <c r="E176" s="9">
        <v>1</v>
      </c>
      <c r="F176" s="9">
        <v>0</v>
      </c>
      <c r="G176" s="9">
        <v>0</v>
      </c>
      <c r="H176" s="9">
        <v>2</v>
      </c>
      <c r="I176" s="9">
        <v>0</v>
      </c>
      <c r="J176" s="9">
        <v>0</v>
      </c>
      <c r="K176" s="9">
        <v>0</v>
      </c>
      <c r="L176" s="9">
        <v>0</v>
      </c>
      <c r="M176" s="9">
        <v>1</v>
      </c>
      <c r="N176" s="9">
        <v>0</v>
      </c>
      <c r="O176" s="9">
        <v>0</v>
      </c>
      <c r="P176" s="9">
        <v>0</v>
      </c>
      <c r="Q176" s="9">
        <v>0</v>
      </c>
      <c r="R176" s="9">
        <v>2</v>
      </c>
      <c r="S176" s="9">
        <v>1</v>
      </c>
      <c r="T176" s="9">
        <v>1</v>
      </c>
      <c r="U176" s="9">
        <v>0</v>
      </c>
      <c r="V176" s="9">
        <v>0</v>
      </c>
      <c r="W176" s="9">
        <v>1</v>
      </c>
      <c r="X176" s="9">
        <v>0</v>
      </c>
      <c r="Y176" s="9">
        <v>1</v>
      </c>
      <c r="Z176" s="9">
        <v>1</v>
      </c>
      <c r="AA176" s="9">
        <v>1</v>
      </c>
      <c r="AB176" s="9">
        <v>0</v>
      </c>
      <c r="AC176" s="9">
        <v>0</v>
      </c>
      <c r="AD176" s="9">
        <v>0</v>
      </c>
      <c r="AE176" s="9">
        <v>1</v>
      </c>
      <c r="AF176" s="9">
        <v>1</v>
      </c>
      <c r="AG176" s="9">
        <v>2</v>
      </c>
      <c r="AH176" s="9">
        <v>5</v>
      </c>
      <c r="AI176" s="9">
        <v>3</v>
      </c>
      <c r="AJ176" s="9">
        <v>1</v>
      </c>
      <c r="AK176" s="9">
        <v>3</v>
      </c>
      <c r="AL176" s="9">
        <v>5</v>
      </c>
      <c r="AM176" s="9">
        <v>9</v>
      </c>
      <c r="AN176" s="9">
        <v>1</v>
      </c>
      <c r="AO176" s="9">
        <v>2</v>
      </c>
      <c r="AP176" s="9">
        <v>2</v>
      </c>
      <c r="AQ176" s="9">
        <v>3</v>
      </c>
      <c r="AR176" s="9">
        <v>9</v>
      </c>
      <c r="AS176" s="9">
        <v>1</v>
      </c>
      <c r="AT176" s="9">
        <v>4</v>
      </c>
      <c r="AU176" s="9">
        <v>8</v>
      </c>
      <c r="AV176" s="9">
        <v>6</v>
      </c>
      <c r="AW176" s="9">
        <v>2</v>
      </c>
      <c r="AX176" s="9">
        <v>3</v>
      </c>
      <c r="AY176" s="9">
        <v>1</v>
      </c>
      <c r="AZ176" s="9">
        <v>3</v>
      </c>
      <c r="BA176" s="9">
        <v>4</v>
      </c>
      <c r="BB176" s="9">
        <v>3</v>
      </c>
      <c r="BC176" s="9">
        <v>7</v>
      </c>
      <c r="BD176" s="9">
        <v>3</v>
      </c>
      <c r="BE176" s="9">
        <v>2</v>
      </c>
      <c r="BF176" s="9">
        <v>5</v>
      </c>
      <c r="BG176" s="9">
        <v>5</v>
      </c>
      <c r="BH176" s="9">
        <v>5</v>
      </c>
      <c r="BI176" s="9">
        <v>3</v>
      </c>
      <c r="BJ176" s="9">
        <v>8</v>
      </c>
      <c r="BK176" s="9">
        <v>2</v>
      </c>
      <c r="BL176" s="9">
        <v>3</v>
      </c>
      <c r="BM176" s="9">
        <v>1</v>
      </c>
      <c r="BN176" s="9">
        <v>2</v>
      </c>
      <c r="BO176" s="9">
        <v>3</v>
      </c>
      <c r="BP176" s="9">
        <v>4</v>
      </c>
      <c r="BQ176" s="9">
        <v>6</v>
      </c>
      <c r="BR176" s="9">
        <v>3</v>
      </c>
      <c r="BS176" s="9">
        <v>1</v>
      </c>
      <c r="BT176" s="9">
        <v>3</v>
      </c>
      <c r="BU176" s="9">
        <v>3</v>
      </c>
      <c r="BV176" s="9">
        <v>3</v>
      </c>
      <c r="BW176" s="9">
        <v>6</v>
      </c>
      <c r="BX176" s="9">
        <v>5</v>
      </c>
      <c r="BY176" s="9">
        <v>4</v>
      </c>
      <c r="BZ176" s="9">
        <v>1</v>
      </c>
      <c r="CA176" s="9">
        <v>2</v>
      </c>
      <c r="CB176" s="9">
        <v>7</v>
      </c>
      <c r="CC176" s="9">
        <v>1</v>
      </c>
      <c r="CD176" s="9">
        <v>2</v>
      </c>
      <c r="CE176" s="9">
        <v>6</v>
      </c>
      <c r="CF176" s="9">
        <v>3</v>
      </c>
      <c r="CG176" s="9">
        <v>4</v>
      </c>
      <c r="CH176" s="9">
        <v>5</v>
      </c>
      <c r="CI176" s="9">
        <v>10</v>
      </c>
      <c r="CJ176" s="9">
        <v>0</v>
      </c>
      <c r="CK176" s="9">
        <v>2</v>
      </c>
      <c r="CL176" s="9">
        <v>8</v>
      </c>
      <c r="CM176" s="9">
        <v>4</v>
      </c>
      <c r="CN176" s="9">
        <v>1</v>
      </c>
      <c r="CO176" s="9">
        <v>4</v>
      </c>
      <c r="CP176" s="9">
        <v>6</v>
      </c>
      <c r="CQ176" s="9">
        <v>10</v>
      </c>
      <c r="CR176" s="9">
        <v>1</v>
      </c>
      <c r="CS176" s="9">
        <v>3</v>
      </c>
      <c r="CT176" s="9">
        <v>0</v>
      </c>
      <c r="CU176" s="9">
        <v>0</v>
      </c>
      <c r="CV176" s="9">
        <v>9</v>
      </c>
      <c r="CW176" s="9">
        <v>6</v>
      </c>
      <c r="CX176" s="9">
        <v>4</v>
      </c>
      <c r="CY176" s="9">
        <v>4</v>
      </c>
      <c r="CZ176" s="9">
        <v>5</v>
      </c>
      <c r="DA176" s="9">
        <v>1</v>
      </c>
      <c r="DB176" s="9">
        <v>2</v>
      </c>
      <c r="DC176" s="9">
        <v>3</v>
      </c>
      <c r="DD176" s="9">
        <v>2</v>
      </c>
      <c r="DE176" s="9">
        <v>1</v>
      </c>
      <c r="DF176" s="9">
        <v>5</v>
      </c>
      <c r="DG176" s="9">
        <v>1</v>
      </c>
      <c r="DH176" s="9">
        <v>1</v>
      </c>
      <c r="DI176" s="9">
        <v>2</v>
      </c>
      <c r="DJ176" s="9">
        <v>1</v>
      </c>
      <c r="DK176" s="9">
        <v>6</v>
      </c>
      <c r="DL176" s="9">
        <v>2</v>
      </c>
      <c r="DM176" s="9">
        <v>7</v>
      </c>
      <c r="DN176" s="9">
        <v>6</v>
      </c>
      <c r="DO176" s="9">
        <v>3</v>
      </c>
      <c r="DP176" s="9">
        <v>2</v>
      </c>
      <c r="DQ176" s="9">
        <v>3</v>
      </c>
      <c r="DR176" s="9">
        <v>4</v>
      </c>
      <c r="DS176" s="9">
        <v>4</v>
      </c>
      <c r="DT176" s="9">
        <v>3</v>
      </c>
      <c r="DU176" s="9">
        <v>4</v>
      </c>
      <c r="DV176" s="9">
        <v>1</v>
      </c>
      <c r="DW176" s="9">
        <v>3</v>
      </c>
      <c r="DX176" s="9">
        <v>0</v>
      </c>
      <c r="DY176" s="9">
        <v>0</v>
      </c>
      <c r="DZ176" s="9">
        <v>0</v>
      </c>
      <c r="EA176" s="9">
        <v>0</v>
      </c>
      <c r="EB176" s="9">
        <v>1</v>
      </c>
      <c r="EC176" s="9">
        <v>0</v>
      </c>
      <c r="ED176" s="9">
        <v>0</v>
      </c>
      <c r="EE176" s="9">
        <v>0</v>
      </c>
      <c r="EF176" s="9">
        <v>0</v>
      </c>
      <c r="EG176" s="9">
        <v>0</v>
      </c>
      <c r="EH176" s="9">
        <v>0</v>
      </c>
      <c r="EI176" s="10">
        <v>0</v>
      </c>
    </row>
    <row r="177" spans="1:139" x14ac:dyDescent="0.35">
      <c r="A177" s="8" t="s">
        <v>261</v>
      </c>
      <c r="B177" s="9" t="s">
        <v>310</v>
      </c>
      <c r="C177" s="9" t="s">
        <v>311</v>
      </c>
      <c r="D177" s="9">
        <f t="shared" si="2"/>
        <v>301</v>
      </c>
      <c r="E177" s="9">
        <v>0</v>
      </c>
      <c r="F177" s="9">
        <v>0</v>
      </c>
      <c r="G177" s="9">
        <v>0</v>
      </c>
      <c r="H177" s="9">
        <v>0</v>
      </c>
      <c r="I177" s="9">
        <v>0</v>
      </c>
      <c r="J177" s="9">
        <v>0</v>
      </c>
      <c r="K177" s="9">
        <v>0</v>
      </c>
      <c r="L177" s="9">
        <v>1</v>
      </c>
      <c r="M177" s="9">
        <v>3</v>
      </c>
      <c r="N177" s="9">
        <v>0</v>
      </c>
      <c r="O177" s="9">
        <v>3</v>
      </c>
      <c r="P177" s="9">
        <v>5</v>
      </c>
      <c r="Q177" s="9">
        <v>6</v>
      </c>
      <c r="R177" s="9">
        <v>1</v>
      </c>
      <c r="S177" s="9">
        <v>3</v>
      </c>
      <c r="T177" s="9">
        <v>1</v>
      </c>
      <c r="U177" s="9">
        <v>0</v>
      </c>
      <c r="V177" s="9">
        <v>0</v>
      </c>
      <c r="W177" s="9">
        <v>0</v>
      </c>
      <c r="X177" s="9">
        <v>3</v>
      </c>
      <c r="Y177" s="9">
        <v>4</v>
      </c>
      <c r="Z177" s="9">
        <v>2</v>
      </c>
      <c r="AA177" s="9">
        <v>1</v>
      </c>
      <c r="AB177" s="9">
        <v>4</v>
      </c>
      <c r="AC177" s="9">
        <v>3</v>
      </c>
      <c r="AD177" s="9">
        <v>3</v>
      </c>
      <c r="AE177" s="9">
        <v>0</v>
      </c>
      <c r="AF177" s="9">
        <v>5</v>
      </c>
      <c r="AG177" s="9">
        <v>0</v>
      </c>
      <c r="AH177" s="9">
        <v>1</v>
      </c>
      <c r="AI177" s="9">
        <v>3</v>
      </c>
      <c r="AJ177" s="9">
        <v>4</v>
      </c>
      <c r="AK177" s="9">
        <v>5</v>
      </c>
      <c r="AL177" s="9">
        <v>2</v>
      </c>
      <c r="AM177" s="9">
        <v>4</v>
      </c>
      <c r="AN177" s="9">
        <v>2</v>
      </c>
      <c r="AO177" s="9">
        <v>4</v>
      </c>
      <c r="AP177" s="9">
        <v>1</v>
      </c>
      <c r="AQ177" s="9">
        <v>1</v>
      </c>
      <c r="AR177" s="9">
        <v>3</v>
      </c>
      <c r="AS177" s="9">
        <v>4</v>
      </c>
      <c r="AT177" s="9">
        <v>7</v>
      </c>
      <c r="AU177" s="9">
        <v>1</v>
      </c>
      <c r="AV177" s="9">
        <v>3</v>
      </c>
      <c r="AW177" s="9">
        <v>1</v>
      </c>
      <c r="AX177" s="9">
        <v>1</v>
      </c>
      <c r="AY177" s="9">
        <v>3</v>
      </c>
      <c r="AZ177" s="9">
        <v>5</v>
      </c>
      <c r="BA177" s="9">
        <v>3</v>
      </c>
      <c r="BB177" s="9">
        <v>7</v>
      </c>
      <c r="BC177" s="9">
        <v>1</v>
      </c>
      <c r="BD177" s="9">
        <v>3</v>
      </c>
      <c r="BE177" s="9">
        <v>1</v>
      </c>
      <c r="BF177" s="9">
        <v>4</v>
      </c>
      <c r="BG177" s="9">
        <v>2</v>
      </c>
      <c r="BH177" s="9">
        <v>5</v>
      </c>
      <c r="BI177" s="9">
        <v>4</v>
      </c>
      <c r="BJ177" s="9">
        <v>3</v>
      </c>
      <c r="BK177" s="9">
        <v>2</v>
      </c>
      <c r="BL177" s="9">
        <v>0</v>
      </c>
      <c r="BM177" s="9">
        <v>3</v>
      </c>
      <c r="BN177" s="9">
        <v>1</v>
      </c>
      <c r="BO177" s="9">
        <v>4</v>
      </c>
      <c r="BP177" s="9">
        <v>4</v>
      </c>
      <c r="BQ177" s="9">
        <v>4</v>
      </c>
      <c r="BR177" s="9">
        <v>2</v>
      </c>
      <c r="BS177" s="9">
        <v>1</v>
      </c>
      <c r="BT177" s="9">
        <v>1</v>
      </c>
      <c r="BU177" s="9">
        <v>0</v>
      </c>
      <c r="BV177" s="9">
        <v>1</v>
      </c>
      <c r="BW177" s="9">
        <v>2</v>
      </c>
      <c r="BX177" s="9">
        <v>5</v>
      </c>
      <c r="BY177" s="9">
        <v>3</v>
      </c>
      <c r="BZ177" s="9">
        <v>2</v>
      </c>
      <c r="CA177" s="9">
        <v>5</v>
      </c>
      <c r="CB177" s="9">
        <v>4</v>
      </c>
      <c r="CC177" s="9">
        <v>5</v>
      </c>
      <c r="CD177" s="9">
        <v>0</v>
      </c>
      <c r="CE177" s="9">
        <v>6</v>
      </c>
      <c r="CF177" s="9">
        <v>1</v>
      </c>
      <c r="CG177" s="9">
        <v>2</v>
      </c>
      <c r="CH177" s="9">
        <v>4</v>
      </c>
      <c r="CI177" s="9">
        <v>4</v>
      </c>
      <c r="CJ177" s="9">
        <v>3</v>
      </c>
      <c r="CK177" s="9">
        <v>2</v>
      </c>
      <c r="CL177" s="9">
        <v>3</v>
      </c>
      <c r="CM177" s="9">
        <v>1</v>
      </c>
      <c r="CN177" s="9">
        <v>2</v>
      </c>
      <c r="CO177" s="9">
        <v>4</v>
      </c>
      <c r="CP177" s="9">
        <v>2</v>
      </c>
      <c r="CQ177" s="9">
        <v>3</v>
      </c>
      <c r="CR177" s="9">
        <v>7</v>
      </c>
      <c r="CS177" s="9">
        <v>2</v>
      </c>
      <c r="CT177" s="9">
        <v>2</v>
      </c>
      <c r="CU177" s="9">
        <v>1</v>
      </c>
      <c r="CV177" s="9">
        <v>8</v>
      </c>
      <c r="CW177" s="9">
        <v>3</v>
      </c>
      <c r="CX177" s="9">
        <v>2</v>
      </c>
      <c r="CY177" s="9">
        <v>2</v>
      </c>
      <c r="CZ177" s="9">
        <v>4</v>
      </c>
      <c r="DA177" s="9">
        <v>4</v>
      </c>
      <c r="DB177" s="9">
        <v>1</v>
      </c>
      <c r="DC177" s="9">
        <v>0</v>
      </c>
      <c r="DD177" s="9">
        <v>2</v>
      </c>
      <c r="DE177" s="9">
        <v>4</v>
      </c>
      <c r="DF177" s="9">
        <v>5</v>
      </c>
      <c r="DG177" s="9">
        <v>1</v>
      </c>
      <c r="DH177" s="9">
        <v>0</v>
      </c>
      <c r="DI177" s="9">
        <v>0</v>
      </c>
      <c r="DJ177" s="9">
        <v>4</v>
      </c>
      <c r="DK177" s="9">
        <v>4</v>
      </c>
      <c r="DL177" s="9">
        <v>2</v>
      </c>
      <c r="DM177" s="9">
        <v>1</v>
      </c>
      <c r="DN177" s="9">
        <v>1</v>
      </c>
      <c r="DO177" s="9">
        <v>1</v>
      </c>
      <c r="DP177" s="9">
        <v>2</v>
      </c>
      <c r="DQ177" s="9">
        <v>2</v>
      </c>
      <c r="DR177" s="9">
        <v>1</v>
      </c>
      <c r="DS177" s="9">
        <v>3</v>
      </c>
      <c r="DT177" s="9">
        <v>1</v>
      </c>
      <c r="DU177" s="9">
        <v>1</v>
      </c>
      <c r="DV177" s="9">
        <v>0</v>
      </c>
      <c r="DW177" s="9">
        <v>3</v>
      </c>
      <c r="DX177" s="9">
        <v>0</v>
      </c>
      <c r="DY177" s="9">
        <v>0</v>
      </c>
      <c r="DZ177" s="9">
        <v>0</v>
      </c>
      <c r="EA177" s="9">
        <v>1</v>
      </c>
      <c r="EB177" s="9">
        <v>2</v>
      </c>
      <c r="EC177" s="9">
        <v>0</v>
      </c>
      <c r="ED177" s="9">
        <v>0</v>
      </c>
      <c r="EE177" s="9">
        <v>2</v>
      </c>
      <c r="EF177" s="9">
        <v>0</v>
      </c>
      <c r="EG177" s="9">
        <v>0</v>
      </c>
      <c r="EH177" s="9">
        <v>0</v>
      </c>
      <c r="EI177" s="10">
        <v>0</v>
      </c>
    </row>
    <row r="178" spans="1:139" x14ac:dyDescent="0.35">
      <c r="A178" s="8" t="s">
        <v>261</v>
      </c>
      <c r="B178" s="9" t="s">
        <v>312</v>
      </c>
      <c r="C178" s="9" t="s">
        <v>313</v>
      </c>
      <c r="D178" s="9">
        <f t="shared" si="2"/>
        <v>53</v>
      </c>
      <c r="E178" s="9">
        <v>0</v>
      </c>
      <c r="F178" s="9">
        <v>0</v>
      </c>
      <c r="G178" s="9">
        <v>0</v>
      </c>
      <c r="H178" s="9">
        <v>0</v>
      </c>
      <c r="I178" s="9">
        <v>0</v>
      </c>
      <c r="J178" s="9">
        <v>0</v>
      </c>
      <c r="K178" s="9">
        <v>0</v>
      </c>
      <c r="L178" s="9">
        <v>0</v>
      </c>
      <c r="M178" s="9">
        <v>0</v>
      </c>
      <c r="N178" s="9">
        <v>0</v>
      </c>
      <c r="O178" s="9">
        <v>0</v>
      </c>
      <c r="P178" s="9">
        <v>0</v>
      </c>
      <c r="Q178" s="9">
        <v>0</v>
      </c>
      <c r="R178" s="9">
        <v>0</v>
      </c>
      <c r="S178" s="9">
        <v>0</v>
      </c>
      <c r="T178" s="9">
        <v>0</v>
      </c>
      <c r="U178" s="9">
        <v>0</v>
      </c>
      <c r="V178" s="9">
        <v>1</v>
      </c>
      <c r="W178" s="9">
        <v>1</v>
      </c>
      <c r="X178" s="9">
        <v>0</v>
      </c>
      <c r="Y178" s="9">
        <v>1</v>
      </c>
      <c r="Z178" s="9">
        <v>0</v>
      </c>
      <c r="AA178" s="9">
        <v>3</v>
      </c>
      <c r="AB178" s="9">
        <v>2</v>
      </c>
      <c r="AC178" s="9">
        <v>2</v>
      </c>
      <c r="AD178" s="9">
        <v>0</v>
      </c>
      <c r="AE178" s="9">
        <v>0</v>
      </c>
      <c r="AF178" s="9">
        <v>1</v>
      </c>
      <c r="AG178" s="9">
        <v>0</v>
      </c>
      <c r="AH178" s="9">
        <v>4</v>
      </c>
      <c r="AI178" s="9">
        <v>1</v>
      </c>
      <c r="AJ178" s="9">
        <v>3</v>
      </c>
      <c r="AK178" s="9">
        <v>0</v>
      </c>
      <c r="AL178" s="9">
        <v>1</v>
      </c>
      <c r="AM178" s="9">
        <v>2</v>
      </c>
      <c r="AN178" s="9">
        <v>1</v>
      </c>
      <c r="AO178" s="9">
        <v>1</v>
      </c>
      <c r="AP178" s="9">
        <v>0</v>
      </c>
      <c r="AQ178" s="9">
        <v>0</v>
      </c>
      <c r="AR178" s="9">
        <v>3</v>
      </c>
      <c r="AS178" s="9">
        <v>1</v>
      </c>
      <c r="AT178" s="9">
        <v>0</v>
      </c>
      <c r="AU178" s="9">
        <v>0</v>
      </c>
      <c r="AV178" s="9">
        <v>0</v>
      </c>
      <c r="AW178" s="9">
        <v>0</v>
      </c>
      <c r="AX178" s="9">
        <v>1</v>
      </c>
      <c r="AY178" s="9">
        <v>1</v>
      </c>
      <c r="AZ178" s="9">
        <v>1</v>
      </c>
      <c r="BA178" s="9">
        <v>0</v>
      </c>
      <c r="BB178" s="9">
        <v>0</v>
      </c>
      <c r="BC178" s="9">
        <v>0</v>
      </c>
      <c r="BD178" s="9">
        <v>0</v>
      </c>
      <c r="BE178" s="9">
        <v>0</v>
      </c>
      <c r="BF178" s="9">
        <v>1</v>
      </c>
      <c r="BG178" s="9">
        <v>0</v>
      </c>
      <c r="BH178" s="9">
        <v>1</v>
      </c>
      <c r="BI178" s="9">
        <v>5</v>
      </c>
      <c r="BJ178" s="9">
        <v>2</v>
      </c>
      <c r="BK178" s="9">
        <v>1</v>
      </c>
      <c r="BL178" s="9">
        <v>0</v>
      </c>
      <c r="BM178" s="9">
        <v>1</v>
      </c>
      <c r="BN178" s="9">
        <v>1</v>
      </c>
      <c r="BO178" s="9">
        <v>0</v>
      </c>
      <c r="BP178" s="9">
        <v>0</v>
      </c>
      <c r="BQ178" s="9">
        <v>0</v>
      </c>
      <c r="BR178" s="9">
        <v>1</v>
      </c>
      <c r="BS178" s="9">
        <v>0</v>
      </c>
      <c r="BT178" s="9">
        <v>0</v>
      </c>
      <c r="BU178" s="9">
        <v>1</v>
      </c>
      <c r="BV178" s="9">
        <v>0</v>
      </c>
      <c r="BW178" s="9">
        <v>2</v>
      </c>
      <c r="BX178" s="9">
        <v>1</v>
      </c>
      <c r="BY178" s="9">
        <v>0</v>
      </c>
      <c r="BZ178" s="9">
        <v>1</v>
      </c>
      <c r="CA178" s="9">
        <v>0</v>
      </c>
      <c r="CB178" s="9">
        <v>1</v>
      </c>
      <c r="CC178" s="9">
        <v>0</v>
      </c>
      <c r="CD178" s="9">
        <v>1</v>
      </c>
      <c r="CE178" s="9">
        <v>0</v>
      </c>
      <c r="CF178" s="9">
        <v>1</v>
      </c>
      <c r="CG178" s="9">
        <v>0</v>
      </c>
      <c r="CH178" s="9">
        <v>0</v>
      </c>
      <c r="CI178" s="9">
        <v>0</v>
      </c>
      <c r="CJ178" s="9">
        <v>0</v>
      </c>
      <c r="CK178" s="9">
        <v>1</v>
      </c>
      <c r="CL178" s="9">
        <v>0</v>
      </c>
      <c r="CM178" s="9">
        <v>0</v>
      </c>
      <c r="CN178" s="9">
        <v>0</v>
      </c>
      <c r="CO178" s="9">
        <v>0</v>
      </c>
      <c r="CP178" s="9">
        <v>0</v>
      </c>
      <c r="CQ178" s="9">
        <v>0</v>
      </c>
      <c r="CR178" s="9">
        <v>0</v>
      </c>
      <c r="CS178" s="9">
        <v>0</v>
      </c>
      <c r="CT178" s="9">
        <v>0</v>
      </c>
      <c r="CU178" s="9">
        <v>0</v>
      </c>
      <c r="CV178" s="9">
        <v>0</v>
      </c>
      <c r="CW178" s="9">
        <v>0</v>
      </c>
      <c r="CX178" s="9">
        <v>0</v>
      </c>
      <c r="CY178" s="9">
        <v>0</v>
      </c>
      <c r="CZ178" s="9">
        <v>0</v>
      </c>
      <c r="DA178" s="9">
        <v>0</v>
      </c>
      <c r="DB178" s="9">
        <v>0</v>
      </c>
      <c r="DC178" s="9">
        <v>0</v>
      </c>
      <c r="DD178" s="9">
        <v>0</v>
      </c>
      <c r="DE178" s="9">
        <v>0</v>
      </c>
      <c r="DF178" s="9">
        <v>0</v>
      </c>
      <c r="DG178" s="9">
        <v>0</v>
      </c>
      <c r="DH178" s="9">
        <v>0</v>
      </c>
      <c r="DI178" s="9">
        <v>0</v>
      </c>
      <c r="DJ178" s="9">
        <v>0</v>
      </c>
      <c r="DK178" s="9">
        <v>0</v>
      </c>
      <c r="DL178" s="9">
        <v>0</v>
      </c>
      <c r="DM178" s="9">
        <v>0</v>
      </c>
      <c r="DN178" s="9">
        <v>0</v>
      </c>
      <c r="DO178" s="9">
        <v>0</v>
      </c>
      <c r="DP178" s="9">
        <v>0</v>
      </c>
      <c r="DQ178" s="9">
        <v>0</v>
      </c>
      <c r="DR178" s="9">
        <v>0</v>
      </c>
      <c r="DS178" s="9">
        <v>0</v>
      </c>
      <c r="DT178" s="9">
        <v>0</v>
      </c>
      <c r="DU178" s="9">
        <v>0</v>
      </c>
      <c r="DV178" s="9">
        <v>0</v>
      </c>
      <c r="DW178" s="9">
        <v>0</v>
      </c>
      <c r="DX178" s="9">
        <v>0</v>
      </c>
      <c r="DY178" s="9">
        <v>0</v>
      </c>
      <c r="DZ178" s="9">
        <v>0</v>
      </c>
      <c r="EA178" s="9">
        <v>0</v>
      </c>
      <c r="EB178" s="9">
        <v>0</v>
      </c>
      <c r="EC178" s="9">
        <v>0</v>
      </c>
      <c r="ED178" s="9">
        <v>0</v>
      </c>
      <c r="EE178" s="9">
        <v>0</v>
      </c>
      <c r="EF178" s="9">
        <v>0</v>
      </c>
      <c r="EG178" s="9">
        <v>0</v>
      </c>
      <c r="EH178" s="9">
        <v>0</v>
      </c>
      <c r="EI178" s="10">
        <v>0</v>
      </c>
    </row>
    <row r="179" spans="1:139" x14ac:dyDescent="0.35">
      <c r="A179" s="8" t="s">
        <v>261</v>
      </c>
      <c r="B179" s="9" t="s">
        <v>314</v>
      </c>
      <c r="C179" s="9" t="s">
        <v>315</v>
      </c>
      <c r="D179" s="9">
        <f t="shared" si="2"/>
        <v>646</v>
      </c>
      <c r="E179" s="9">
        <v>0</v>
      </c>
      <c r="F179" s="9">
        <v>0</v>
      </c>
      <c r="G179" s="9">
        <v>1</v>
      </c>
      <c r="H179" s="9">
        <v>3</v>
      </c>
      <c r="I179" s="9">
        <v>1</v>
      </c>
      <c r="J179" s="9">
        <v>3</v>
      </c>
      <c r="K179" s="9">
        <v>3</v>
      </c>
      <c r="L179" s="9">
        <v>6</v>
      </c>
      <c r="M179" s="9">
        <v>3</v>
      </c>
      <c r="N179" s="9">
        <v>10</v>
      </c>
      <c r="O179" s="9">
        <v>13</v>
      </c>
      <c r="P179" s="9">
        <v>10</v>
      </c>
      <c r="Q179" s="9">
        <v>8</v>
      </c>
      <c r="R179" s="9">
        <v>0</v>
      </c>
      <c r="S179" s="9">
        <v>12</v>
      </c>
      <c r="T179" s="9">
        <v>18</v>
      </c>
      <c r="U179" s="9">
        <v>19</v>
      </c>
      <c r="V179" s="9">
        <v>13</v>
      </c>
      <c r="W179" s="9">
        <v>12</v>
      </c>
      <c r="X179" s="9">
        <v>22</v>
      </c>
      <c r="Y179" s="9">
        <v>22</v>
      </c>
      <c r="Z179" s="9">
        <v>17</v>
      </c>
      <c r="AA179" s="9">
        <v>15</v>
      </c>
      <c r="AB179" s="9">
        <v>16</v>
      </c>
      <c r="AC179" s="9">
        <v>17</v>
      </c>
      <c r="AD179" s="9">
        <v>13</v>
      </c>
      <c r="AE179" s="9">
        <v>20</v>
      </c>
      <c r="AF179" s="9">
        <v>9</v>
      </c>
      <c r="AG179" s="9">
        <v>11</v>
      </c>
      <c r="AH179" s="9">
        <v>15</v>
      </c>
      <c r="AI179" s="9">
        <v>8</v>
      </c>
      <c r="AJ179" s="9">
        <v>13</v>
      </c>
      <c r="AK179" s="9">
        <v>14</v>
      </c>
      <c r="AL179" s="9">
        <v>10</v>
      </c>
      <c r="AM179" s="9">
        <v>14</v>
      </c>
      <c r="AN179" s="9">
        <v>8</v>
      </c>
      <c r="AO179" s="9">
        <v>14</v>
      </c>
      <c r="AP179" s="9">
        <v>11</v>
      </c>
      <c r="AQ179" s="9">
        <v>6</v>
      </c>
      <c r="AR179" s="9">
        <v>18</v>
      </c>
      <c r="AS179" s="9">
        <v>10</v>
      </c>
      <c r="AT179" s="9">
        <v>11</v>
      </c>
      <c r="AU179" s="9">
        <v>5</v>
      </c>
      <c r="AV179" s="9">
        <v>7</v>
      </c>
      <c r="AW179" s="9">
        <v>7</v>
      </c>
      <c r="AX179" s="9">
        <v>8</v>
      </c>
      <c r="AY179" s="9">
        <v>4</v>
      </c>
      <c r="AZ179" s="9">
        <v>8</v>
      </c>
      <c r="BA179" s="9">
        <v>8</v>
      </c>
      <c r="BB179" s="9">
        <v>7</v>
      </c>
      <c r="BC179" s="9">
        <v>3</v>
      </c>
      <c r="BD179" s="9">
        <v>9</v>
      </c>
      <c r="BE179" s="9">
        <v>4</v>
      </c>
      <c r="BF179" s="9">
        <v>6</v>
      </c>
      <c r="BG179" s="9">
        <v>3</v>
      </c>
      <c r="BH179" s="9">
        <v>1</v>
      </c>
      <c r="BI179" s="9">
        <v>6</v>
      </c>
      <c r="BJ179" s="9">
        <v>2</v>
      </c>
      <c r="BK179" s="9">
        <v>3</v>
      </c>
      <c r="BL179" s="9">
        <v>3</v>
      </c>
      <c r="BM179" s="9">
        <v>6</v>
      </c>
      <c r="BN179" s="9">
        <v>5</v>
      </c>
      <c r="BO179" s="9">
        <v>1</v>
      </c>
      <c r="BP179" s="9">
        <v>2</v>
      </c>
      <c r="BQ179" s="9">
        <v>1</v>
      </c>
      <c r="BR179" s="9">
        <v>1</v>
      </c>
      <c r="BS179" s="9">
        <v>7</v>
      </c>
      <c r="BT179" s="9">
        <v>3</v>
      </c>
      <c r="BU179" s="9">
        <v>5</v>
      </c>
      <c r="BV179" s="9">
        <v>5</v>
      </c>
      <c r="BW179" s="9">
        <v>4</v>
      </c>
      <c r="BX179" s="9">
        <v>2</v>
      </c>
      <c r="BY179" s="9">
        <v>3</v>
      </c>
      <c r="BZ179" s="9">
        <v>2</v>
      </c>
      <c r="CA179" s="9">
        <v>3</v>
      </c>
      <c r="CB179" s="9">
        <v>6</v>
      </c>
      <c r="CC179" s="9">
        <v>2</v>
      </c>
      <c r="CD179" s="9">
        <v>1</v>
      </c>
      <c r="CE179" s="9">
        <v>4</v>
      </c>
      <c r="CF179" s="9">
        <v>1</v>
      </c>
      <c r="CG179" s="9">
        <v>2</v>
      </c>
      <c r="CH179" s="9">
        <v>2</v>
      </c>
      <c r="CI179" s="9">
        <v>1</v>
      </c>
      <c r="CJ179" s="9">
        <v>2</v>
      </c>
      <c r="CK179" s="9">
        <v>2</v>
      </c>
      <c r="CL179" s="9">
        <v>0</v>
      </c>
      <c r="CM179" s="9">
        <v>0</v>
      </c>
      <c r="CN179" s="9">
        <v>0</v>
      </c>
      <c r="CO179" s="9">
        <v>1</v>
      </c>
      <c r="CP179" s="9">
        <v>0</v>
      </c>
      <c r="CQ179" s="9">
        <v>2</v>
      </c>
      <c r="CR179" s="9">
        <v>0</v>
      </c>
      <c r="CS179" s="9">
        <v>1</v>
      </c>
      <c r="CT179" s="9">
        <v>0</v>
      </c>
      <c r="CU179" s="9">
        <v>0</v>
      </c>
      <c r="CV179" s="9">
        <v>2</v>
      </c>
      <c r="CW179" s="9">
        <v>0</v>
      </c>
      <c r="CX179" s="9">
        <v>0</v>
      </c>
      <c r="CY179" s="9">
        <v>0</v>
      </c>
      <c r="CZ179" s="9">
        <v>3</v>
      </c>
      <c r="DA179" s="9">
        <v>3</v>
      </c>
      <c r="DB179" s="9">
        <v>0</v>
      </c>
      <c r="DC179" s="9">
        <v>1</v>
      </c>
      <c r="DD179" s="9">
        <v>0</v>
      </c>
      <c r="DE179" s="9">
        <v>1</v>
      </c>
      <c r="DF179" s="9">
        <v>0</v>
      </c>
      <c r="DG179" s="9">
        <v>0</v>
      </c>
      <c r="DH179" s="9">
        <v>2</v>
      </c>
      <c r="DI179" s="9">
        <v>1</v>
      </c>
      <c r="DJ179" s="9">
        <v>1</v>
      </c>
      <c r="DK179" s="9">
        <v>0</v>
      </c>
      <c r="DL179" s="9">
        <v>1</v>
      </c>
      <c r="DM179" s="9">
        <v>2</v>
      </c>
      <c r="DN179" s="9">
        <v>0</v>
      </c>
      <c r="DO179" s="9">
        <v>0</v>
      </c>
      <c r="DP179" s="9">
        <v>1</v>
      </c>
      <c r="DQ179" s="9">
        <v>0</v>
      </c>
      <c r="DR179" s="9">
        <v>1</v>
      </c>
      <c r="DS179" s="9">
        <v>1</v>
      </c>
      <c r="DT179" s="9">
        <v>0</v>
      </c>
      <c r="DU179" s="9">
        <v>3</v>
      </c>
      <c r="DV179" s="9">
        <v>0</v>
      </c>
      <c r="DW179" s="9">
        <v>2</v>
      </c>
      <c r="DX179" s="9">
        <v>0</v>
      </c>
      <c r="DY179" s="9">
        <v>0</v>
      </c>
      <c r="DZ179" s="9">
        <v>0</v>
      </c>
      <c r="EA179" s="9">
        <v>0</v>
      </c>
      <c r="EB179" s="9">
        <v>0</v>
      </c>
      <c r="EC179" s="9">
        <v>0</v>
      </c>
      <c r="ED179" s="9">
        <v>0</v>
      </c>
      <c r="EE179" s="9">
        <v>1</v>
      </c>
      <c r="EF179" s="9">
        <v>0</v>
      </c>
      <c r="EG179" s="9">
        <v>0</v>
      </c>
      <c r="EH179" s="9">
        <v>0</v>
      </c>
      <c r="EI179" s="10">
        <v>0</v>
      </c>
    </row>
    <row r="180" spans="1:139" x14ac:dyDescent="0.35">
      <c r="A180" s="8" t="s">
        <v>261</v>
      </c>
      <c r="B180" s="9" t="s">
        <v>316</v>
      </c>
      <c r="C180" s="9" t="s">
        <v>317</v>
      </c>
      <c r="D180" s="9">
        <f t="shared" si="2"/>
        <v>13</v>
      </c>
      <c r="E180" s="9">
        <v>0</v>
      </c>
      <c r="F180" s="9">
        <v>0</v>
      </c>
      <c r="G180" s="9">
        <v>0</v>
      </c>
      <c r="H180" s="9">
        <v>0</v>
      </c>
      <c r="I180" s="9">
        <v>0</v>
      </c>
      <c r="J180" s="9">
        <v>0</v>
      </c>
      <c r="K180" s="9">
        <v>0</v>
      </c>
      <c r="L180" s="9">
        <v>0</v>
      </c>
      <c r="M180" s="9">
        <v>0</v>
      </c>
      <c r="N180" s="9">
        <v>0</v>
      </c>
      <c r="O180" s="9">
        <v>0</v>
      </c>
      <c r="P180" s="9">
        <v>0</v>
      </c>
      <c r="Q180" s="9">
        <v>0</v>
      </c>
      <c r="R180" s="9">
        <v>0</v>
      </c>
      <c r="S180" s="9">
        <v>0</v>
      </c>
      <c r="T180" s="9">
        <v>0</v>
      </c>
      <c r="U180" s="9">
        <v>0</v>
      </c>
      <c r="V180" s="9">
        <v>0</v>
      </c>
      <c r="W180" s="9">
        <v>0</v>
      </c>
      <c r="X180" s="9">
        <v>0</v>
      </c>
      <c r="Y180" s="9">
        <v>0</v>
      </c>
      <c r="Z180" s="9">
        <v>0</v>
      </c>
      <c r="AA180" s="9">
        <v>0</v>
      </c>
      <c r="AB180" s="9">
        <v>0</v>
      </c>
      <c r="AC180" s="9">
        <v>0</v>
      </c>
      <c r="AD180" s="9">
        <v>1</v>
      </c>
      <c r="AE180" s="9">
        <v>1</v>
      </c>
      <c r="AF180" s="9">
        <v>0</v>
      </c>
      <c r="AG180" s="9">
        <v>1</v>
      </c>
      <c r="AH180" s="9">
        <v>0</v>
      </c>
      <c r="AI180" s="9">
        <v>0</v>
      </c>
      <c r="AJ180" s="9">
        <v>0</v>
      </c>
      <c r="AK180" s="9">
        <v>0</v>
      </c>
      <c r="AL180" s="9">
        <v>0</v>
      </c>
      <c r="AM180" s="9">
        <v>0</v>
      </c>
      <c r="AN180" s="9">
        <v>0</v>
      </c>
      <c r="AO180" s="9">
        <v>0</v>
      </c>
      <c r="AP180" s="9">
        <v>1</v>
      </c>
      <c r="AQ180" s="9">
        <v>1</v>
      </c>
      <c r="AR180" s="9">
        <v>0</v>
      </c>
      <c r="AS180" s="9">
        <v>1</v>
      </c>
      <c r="AT180" s="9">
        <v>3</v>
      </c>
      <c r="AU180" s="9">
        <v>0</v>
      </c>
      <c r="AV180" s="9">
        <v>0</v>
      </c>
      <c r="AW180" s="9">
        <v>0</v>
      </c>
      <c r="AX180" s="9">
        <v>0</v>
      </c>
      <c r="AY180" s="9">
        <v>0</v>
      </c>
      <c r="AZ180" s="9">
        <v>0</v>
      </c>
      <c r="BA180" s="9">
        <v>0</v>
      </c>
      <c r="BB180" s="9">
        <v>0</v>
      </c>
      <c r="BC180" s="9">
        <v>1</v>
      </c>
      <c r="BD180" s="9">
        <v>0</v>
      </c>
      <c r="BE180" s="9">
        <v>1</v>
      </c>
      <c r="BF180" s="9">
        <v>0</v>
      </c>
      <c r="BG180" s="9">
        <v>1</v>
      </c>
      <c r="BH180" s="9">
        <v>0</v>
      </c>
      <c r="BI180" s="9">
        <v>0</v>
      </c>
      <c r="BJ180" s="9">
        <v>0</v>
      </c>
      <c r="BK180" s="9">
        <v>0</v>
      </c>
      <c r="BL180" s="9">
        <v>0</v>
      </c>
      <c r="BM180" s="9">
        <v>0</v>
      </c>
      <c r="BN180" s="9">
        <v>1</v>
      </c>
      <c r="BO180" s="9">
        <v>0</v>
      </c>
      <c r="BP180" s="9">
        <v>0</v>
      </c>
      <c r="BQ180" s="9">
        <v>0</v>
      </c>
      <c r="BR180" s="9">
        <v>0</v>
      </c>
      <c r="BS180" s="9">
        <v>0</v>
      </c>
      <c r="BT180" s="9">
        <v>0</v>
      </c>
      <c r="BU180" s="9">
        <v>0</v>
      </c>
      <c r="BV180" s="9">
        <v>0</v>
      </c>
      <c r="BW180" s="9">
        <v>0</v>
      </c>
      <c r="BX180" s="9">
        <v>0</v>
      </c>
      <c r="BY180" s="9">
        <v>0</v>
      </c>
      <c r="BZ180" s="9">
        <v>0</v>
      </c>
      <c r="CA180" s="9">
        <v>0</v>
      </c>
      <c r="CB180" s="9">
        <v>0</v>
      </c>
      <c r="CC180" s="9">
        <v>0</v>
      </c>
      <c r="CD180" s="9">
        <v>0</v>
      </c>
      <c r="CE180" s="9">
        <v>0</v>
      </c>
      <c r="CF180" s="9">
        <v>0</v>
      </c>
      <c r="CG180" s="9">
        <v>0</v>
      </c>
      <c r="CH180" s="9">
        <v>0</v>
      </c>
      <c r="CI180" s="9">
        <v>0</v>
      </c>
      <c r="CJ180" s="9">
        <v>0</v>
      </c>
      <c r="CK180" s="9">
        <v>0</v>
      </c>
      <c r="CL180" s="9">
        <v>0</v>
      </c>
      <c r="CM180" s="9">
        <v>0</v>
      </c>
      <c r="CN180" s="9">
        <v>0</v>
      </c>
      <c r="CO180" s="9">
        <v>0</v>
      </c>
      <c r="CP180" s="9">
        <v>0</v>
      </c>
      <c r="CQ180" s="9">
        <v>0</v>
      </c>
      <c r="CR180" s="9">
        <v>0</v>
      </c>
      <c r="CS180" s="9">
        <v>0</v>
      </c>
      <c r="CT180" s="9">
        <v>0</v>
      </c>
      <c r="CU180" s="9">
        <v>0</v>
      </c>
      <c r="CV180" s="9">
        <v>0</v>
      </c>
      <c r="CW180" s="9">
        <v>0</v>
      </c>
      <c r="CX180" s="9">
        <v>0</v>
      </c>
      <c r="CY180" s="9">
        <v>0</v>
      </c>
      <c r="CZ180" s="9">
        <v>0</v>
      </c>
      <c r="DA180" s="9">
        <v>0</v>
      </c>
      <c r="DB180" s="9">
        <v>0</v>
      </c>
      <c r="DC180" s="9">
        <v>0</v>
      </c>
      <c r="DD180" s="9">
        <v>0</v>
      </c>
      <c r="DE180" s="9">
        <v>0</v>
      </c>
      <c r="DF180" s="9">
        <v>0</v>
      </c>
      <c r="DG180" s="9">
        <v>0</v>
      </c>
      <c r="DH180" s="9">
        <v>0</v>
      </c>
      <c r="DI180" s="9">
        <v>0</v>
      </c>
      <c r="DJ180" s="9">
        <v>0</v>
      </c>
      <c r="DK180" s="9">
        <v>0</v>
      </c>
      <c r="DL180" s="9">
        <v>0</v>
      </c>
      <c r="DM180" s="9">
        <v>0</v>
      </c>
      <c r="DN180" s="9">
        <v>0</v>
      </c>
      <c r="DO180" s="9">
        <v>0</v>
      </c>
      <c r="DP180" s="9">
        <v>0</v>
      </c>
      <c r="DQ180" s="9">
        <v>0</v>
      </c>
      <c r="DR180" s="9">
        <v>0</v>
      </c>
      <c r="DS180" s="9">
        <v>0</v>
      </c>
      <c r="DT180" s="9">
        <v>0</v>
      </c>
      <c r="DU180" s="9">
        <v>0</v>
      </c>
      <c r="DV180" s="9">
        <v>0</v>
      </c>
      <c r="DW180" s="9">
        <v>0</v>
      </c>
      <c r="DX180" s="9">
        <v>0</v>
      </c>
      <c r="DY180" s="9">
        <v>0</v>
      </c>
      <c r="DZ180" s="9">
        <v>0</v>
      </c>
      <c r="EA180" s="9">
        <v>0</v>
      </c>
      <c r="EB180" s="9">
        <v>0</v>
      </c>
      <c r="EC180" s="9">
        <v>0</v>
      </c>
      <c r="ED180" s="9">
        <v>0</v>
      </c>
      <c r="EE180" s="9">
        <v>0</v>
      </c>
      <c r="EF180" s="9">
        <v>0</v>
      </c>
      <c r="EG180" s="9">
        <v>0</v>
      </c>
      <c r="EH180" s="9">
        <v>0</v>
      </c>
      <c r="EI180" s="10">
        <v>0</v>
      </c>
    </row>
    <row r="181" spans="1:139" x14ac:dyDescent="0.35">
      <c r="A181" s="8" t="s">
        <v>261</v>
      </c>
      <c r="B181" s="9" t="s">
        <v>318</v>
      </c>
      <c r="C181" s="9" t="s">
        <v>319</v>
      </c>
      <c r="D181" s="9">
        <f t="shared" si="2"/>
        <v>7</v>
      </c>
      <c r="E181" s="9">
        <v>0</v>
      </c>
      <c r="F181" s="9">
        <v>0</v>
      </c>
      <c r="G181" s="9">
        <v>0</v>
      </c>
      <c r="H181" s="9">
        <v>0</v>
      </c>
      <c r="I181" s="9">
        <v>0</v>
      </c>
      <c r="J181" s="9">
        <v>2</v>
      </c>
      <c r="K181" s="9">
        <v>0</v>
      </c>
      <c r="L181" s="9">
        <v>0</v>
      </c>
      <c r="M181" s="9">
        <v>0</v>
      </c>
      <c r="N181" s="9">
        <v>0</v>
      </c>
      <c r="O181" s="9">
        <v>0</v>
      </c>
      <c r="P181" s="9">
        <v>0</v>
      </c>
      <c r="Q181" s="9">
        <v>0</v>
      </c>
      <c r="R181" s="9">
        <v>0</v>
      </c>
      <c r="S181" s="9">
        <v>0</v>
      </c>
      <c r="T181" s="9">
        <v>0</v>
      </c>
      <c r="U181" s="9">
        <v>0</v>
      </c>
      <c r="V181" s="9">
        <v>0</v>
      </c>
      <c r="W181" s="9">
        <v>0</v>
      </c>
      <c r="X181" s="9">
        <v>0</v>
      </c>
      <c r="Y181" s="9">
        <v>0</v>
      </c>
      <c r="Z181" s="9">
        <v>0</v>
      </c>
      <c r="AA181" s="9">
        <v>0</v>
      </c>
      <c r="AB181" s="9">
        <v>0</v>
      </c>
      <c r="AC181" s="9">
        <v>0</v>
      </c>
      <c r="AD181" s="9">
        <v>0</v>
      </c>
      <c r="AE181" s="9">
        <v>0</v>
      </c>
      <c r="AF181" s="9">
        <v>0</v>
      </c>
      <c r="AG181" s="9">
        <v>0</v>
      </c>
      <c r="AH181" s="9">
        <v>0</v>
      </c>
      <c r="AI181" s="9">
        <v>0</v>
      </c>
      <c r="AJ181" s="9">
        <v>0</v>
      </c>
      <c r="AK181" s="9">
        <v>0</v>
      </c>
      <c r="AL181" s="9">
        <v>0</v>
      </c>
      <c r="AM181" s="9">
        <v>0</v>
      </c>
      <c r="AN181" s="9">
        <v>0</v>
      </c>
      <c r="AO181" s="9">
        <v>0</v>
      </c>
      <c r="AP181" s="9">
        <v>0</v>
      </c>
      <c r="AQ181" s="9">
        <v>0</v>
      </c>
      <c r="AR181" s="9">
        <v>0</v>
      </c>
      <c r="AS181" s="9">
        <v>0</v>
      </c>
      <c r="AT181" s="9">
        <v>0</v>
      </c>
      <c r="AU181" s="9">
        <v>0</v>
      </c>
      <c r="AV181" s="9">
        <v>0</v>
      </c>
      <c r="AW181" s="9">
        <v>0</v>
      </c>
      <c r="AX181" s="9">
        <v>0</v>
      </c>
      <c r="AY181" s="9">
        <v>0</v>
      </c>
      <c r="AZ181" s="9">
        <v>0</v>
      </c>
      <c r="BA181" s="9">
        <v>0</v>
      </c>
      <c r="BB181" s="9">
        <v>0</v>
      </c>
      <c r="BC181" s="9">
        <v>0</v>
      </c>
      <c r="BD181" s="9">
        <v>0</v>
      </c>
      <c r="BE181" s="9">
        <v>0</v>
      </c>
      <c r="BF181" s="9">
        <v>0</v>
      </c>
      <c r="BG181" s="9">
        <v>0</v>
      </c>
      <c r="BH181" s="9">
        <v>0</v>
      </c>
      <c r="BI181" s="9">
        <v>0</v>
      </c>
      <c r="BJ181" s="9">
        <v>0</v>
      </c>
      <c r="BK181" s="9">
        <v>0</v>
      </c>
      <c r="BL181" s="9">
        <v>0</v>
      </c>
      <c r="BM181" s="9">
        <v>0</v>
      </c>
      <c r="BN181" s="9">
        <v>0</v>
      </c>
      <c r="BO181" s="9">
        <v>0</v>
      </c>
      <c r="BP181" s="9">
        <v>0</v>
      </c>
      <c r="BQ181" s="9">
        <v>0</v>
      </c>
      <c r="BR181" s="9">
        <v>0</v>
      </c>
      <c r="BS181" s="9">
        <v>0</v>
      </c>
      <c r="BT181" s="9">
        <v>0</v>
      </c>
      <c r="BU181" s="9">
        <v>0</v>
      </c>
      <c r="BV181" s="9">
        <v>0</v>
      </c>
      <c r="BW181" s="9">
        <v>0</v>
      </c>
      <c r="BX181" s="9">
        <v>0</v>
      </c>
      <c r="BY181" s="9">
        <v>0</v>
      </c>
      <c r="BZ181" s="9">
        <v>0</v>
      </c>
      <c r="CA181" s="9">
        <v>0</v>
      </c>
      <c r="CB181" s="9">
        <v>0</v>
      </c>
      <c r="CC181" s="9">
        <v>0</v>
      </c>
      <c r="CD181" s="9">
        <v>0</v>
      </c>
      <c r="CE181" s="9">
        <v>0</v>
      </c>
      <c r="CF181" s="9">
        <v>1</v>
      </c>
      <c r="CG181" s="9">
        <v>2</v>
      </c>
      <c r="CH181" s="9">
        <v>0</v>
      </c>
      <c r="CI181" s="9">
        <v>0</v>
      </c>
      <c r="CJ181" s="9">
        <v>0</v>
      </c>
      <c r="CK181" s="9">
        <v>0</v>
      </c>
      <c r="CL181" s="9">
        <v>0</v>
      </c>
      <c r="CM181" s="9">
        <v>0</v>
      </c>
      <c r="CN181" s="9">
        <v>0</v>
      </c>
      <c r="CO181" s="9">
        <v>0</v>
      </c>
      <c r="CP181" s="9">
        <v>0</v>
      </c>
      <c r="CQ181" s="9">
        <v>0</v>
      </c>
      <c r="CR181" s="9">
        <v>0</v>
      </c>
      <c r="CS181" s="9">
        <v>0</v>
      </c>
      <c r="CT181" s="9">
        <v>0</v>
      </c>
      <c r="CU181" s="9">
        <v>0</v>
      </c>
      <c r="CV181" s="9">
        <v>0</v>
      </c>
      <c r="CW181" s="9">
        <v>0</v>
      </c>
      <c r="CX181" s="9">
        <v>1</v>
      </c>
      <c r="CY181" s="9">
        <v>0</v>
      </c>
      <c r="CZ181" s="9">
        <v>0</v>
      </c>
      <c r="DA181" s="9">
        <v>0</v>
      </c>
      <c r="DB181" s="9">
        <v>0</v>
      </c>
      <c r="DC181" s="9">
        <v>0</v>
      </c>
      <c r="DD181" s="9">
        <v>0</v>
      </c>
      <c r="DE181" s="9">
        <v>0</v>
      </c>
      <c r="DF181" s="9">
        <v>0</v>
      </c>
      <c r="DG181" s="9">
        <v>0</v>
      </c>
      <c r="DH181" s="9">
        <v>0</v>
      </c>
      <c r="DI181" s="9">
        <v>0</v>
      </c>
      <c r="DJ181" s="9">
        <v>0</v>
      </c>
      <c r="DK181" s="9">
        <v>0</v>
      </c>
      <c r="DL181" s="9">
        <v>0</v>
      </c>
      <c r="DM181" s="9">
        <v>0</v>
      </c>
      <c r="DN181" s="9">
        <v>0</v>
      </c>
      <c r="DO181" s="9">
        <v>0</v>
      </c>
      <c r="DP181" s="9">
        <v>0</v>
      </c>
      <c r="DQ181" s="9">
        <v>0</v>
      </c>
      <c r="DR181" s="9">
        <v>0</v>
      </c>
      <c r="DS181" s="9">
        <v>0</v>
      </c>
      <c r="DT181" s="9">
        <v>0</v>
      </c>
      <c r="DU181" s="9">
        <v>0</v>
      </c>
      <c r="DV181" s="9">
        <v>0</v>
      </c>
      <c r="DW181" s="9">
        <v>0</v>
      </c>
      <c r="DX181" s="9">
        <v>0</v>
      </c>
      <c r="DY181" s="9">
        <v>0</v>
      </c>
      <c r="DZ181" s="9">
        <v>0</v>
      </c>
      <c r="EA181" s="9">
        <v>0</v>
      </c>
      <c r="EB181" s="9">
        <v>1</v>
      </c>
      <c r="EC181" s="9">
        <v>0</v>
      </c>
      <c r="ED181" s="9">
        <v>0</v>
      </c>
      <c r="EE181" s="9">
        <v>0</v>
      </c>
      <c r="EF181" s="9">
        <v>0</v>
      </c>
      <c r="EG181" s="9">
        <v>0</v>
      </c>
      <c r="EH181" s="9">
        <v>0</v>
      </c>
      <c r="EI181" s="10">
        <v>0</v>
      </c>
    </row>
    <row r="182" spans="1:139" x14ac:dyDescent="0.35">
      <c r="A182" s="8" t="s">
        <v>261</v>
      </c>
      <c r="B182" s="9" t="s">
        <v>320</v>
      </c>
      <c r="C182" s="9" t="s">
        <v>321</v>
      </c>
      <c r="D182" s="9">
        <f t="shared" si="2"/>
        <v>106</v>
      </c>
      <c r="E182" s="9">
        <v>0</v>
      </c>
      <c r="F182" s="9">
        <v>0</v>
      </c>
      <c r="G182" s="9">
        <v>0</v>
      </c>
      <c r="H182" s="9">
        <v>0</v>
      </c>
      <c r="I182" s="9">
        <v>0</v>
      </c>
      <c r="J182" s="9">
        <v>0</v>
      </c>
      <c r="K182" s="9">
        <v>0</v>
      </c>
      <c r="L182" s="9">
        <v>0</v>
      </c>
      <c r="M182" s="9">
        <v>1</v>
      </c>
      <c r="N182" s="9">
        <v>0</v>
      </c>
      <c r="O182" s="9">
        <v>0</v>
      </c>
      <c r="P182" s="9">
        <v>0</v>
      </c>
      <c r="Q182" s="9">
        <v>0</v>
      </c>
      <c r="R182" s="9">
        <v>0</v>
      </c>
      <c r="S182" s="9">
        <v>0</v>
      </c>
      <c r="T182" s="9">
        <v>0</v>
      </c>
      <c r="U182" s="9">
        <v>0</v>
      </c>
      <c r="V182" s="9">
        <v>0</v>
      </c>
      <c r="W182" s="9">
        <v>0</v>
      </c>
      <c r="X182" s="9">
        <v>0</v>
      </c>
      <c r="Y182" s="9">
        <v>0</v>
      </c>
      <c r="Z182" s="9">
        <v>0</v>
      </c>
      <c r="AA182" s="9">
        <v>0</v>
      </c>
      <c r="AB182" s="9">
        <v>0</v>
      </c>
      <c r="AC182" s="9">
        <v>0</v>
      </c>
      <c r="AD182" s="9">
        <v>0</v>
      </c>
      <c r="AE182" s="9">
        <v>0</v>
      </c>
      <c r="AF182" s="9">
        <v>0</v>
      </c>
      <c r="AG182" s="9">
        <v>0</v>
      </c>
      <c r="AH182" s="9">
        <v>0</v>
      </c>
      <c r="AI182" s="9">
        <v>0</v>
      </c>
      <c r="AJ182" s="9">
        <v>0</v>
      </c>
      <c r="AK182" s="9">
        <v>5</v>
      </c>
      <c r="AL182" s="9">
        <v>1</v>
      </c>
      <c r="AM182" s="9">
        <v>5</v>
      </c>
      <c r="AN182" s="9">
        <v>4</v>
      </c>
      <c r="AO182" s="9">
        <v>4</v>
      </c>
      <c r="AP182" s="9">
        <v>7</v>
      </c>
      <c r="AQ182" s="9">
        <v>3</v>
      </c>
      <c r="AR182" s="9">
        <v>3</v>
      </c>
      <c r="AS182" s="9">
        <v>6</v>
      </c>
      <c r="AT182" s="9">
        <v>1</v>
      </c>
      <c r="AU182" s="9">
        <v>0</v>
      </c>
      <c r="AV182" s="9">
        <v>0</v>
      </c>
      <c r="AW182" s="9">
        <v>4</v>
      </c>
      <c r="AX182" s="9">
        <v>4</v>
      </c>
      <c r="AY182" s="9">
        <v>2</v>
      </c>
      <c r="AZ182" s="9">
        <v>1</v>
      </c>
      <c r="BA182" s="9">
        <v>2</v>
      </c>
      <c r="BB182" s="9">
        <v>2</v>
      </c>
      <c r="BC182" s="9">
        <v>1</v>
      </c>
      <c r="BD182" s="9">
        <v>1</v>
      </c>
      <c r="BE182" s="9">
        <v>4</v>
      </c>
      <c r="BF182" s="9">
        <v>1</v>
      </c>
      <c r="BG182" s="9">
        <v>3</v>
      </c>
      <c r="BH182" s="9">
        <v>3</v>
      </c>
      <c r="BI182" s="9">
        <v>5</v>
      </c>
      <c r="BJ182" s="9">
        <v>1</v>
      </c>
      <c r="BK182" s="9">
        <v>2</v>
      </c>
      <c r="BL182" s="9">
        <v>2</v>
      </c>
      <c r="BM182" s="9">
        <v>1</v>
      </c>
      <c r="BN182" s="9">
        <v>0</v>
      </c>
      <c r="BO182" s="9">
        <v>0</v>
      </c>
      <c r="BP182" s="9">
        <v>3</v>
      </c>
      <c r="BQ182" s="9">
        <v>1</v>
      </c>
      <c r="BR182" s="9">
        <v>1</v>
      </c>
      <c r="BS182" s="9">
        <v>2</v>
      </c>
      <c r="BT182" s="9">
        <v>3</v>
      </c>
      <c r="BU182" s="9">
        <v>1</v>
      </c>
      <c r="BV182" s="9">
        <v>1</v>
      </c>
      <c r="BW182" s="9">
        <v>0</v>
      </c>
      <c r="BX182" s="9">
        <v>2</v>
      </c>
      <c r="BY182" s="9">
        <v>2</v>
      </c>
      <c r="BZ182" s="9">
        <v>1</v>
      </c>
      <c r="CA182" s="9">
        <v>0</v>
      </c>
      <c r="CB182" s="9">
        <v>0</v>
      </c>
      <c r="CC182" s="9">
        <v>0</v>
      </c>
      <c r="CD182" s="9">
        <v>0</v>
      </c>
      <c r="CE182" s="9">
        <v>0</v>
      </c>
      <c r="CF182" s="9">
        <v>1</v>
      </c>
      <c r="CG182" s="9">
        <v>0</v>
      </c>
      <c r="CH182" s="9">
        <v>1</v>
      </c>
      <c r="CI182" s="9">
        <v>2</v>
      </c>
      <c r="CJ182" s="9">
        <v>1</v>
      </c>
      <c r="CK182" s="9">
        <v>0</v>
      </c>
      <c r="CL182" s="9">
        <v>1</v>
      </c>
      <c r="CM182" s="9">
        <v>0</v>
      </c>
      <c r="CN182" s="9">
        <v>0</v>
      </c>
      <c r="CO182" s="9">
        <v>0</v>
      </c>
      <c r="CP182" s="9">
        <v>1</v>
      </c>
      <c r="CQ182" s="9">
        <v>0</v>
      </c>
      <c r="CR182" s="9">
        <v>0</v>
      </c>
      <c r="CS182" s="9">
        <v>0</v>
      </c>
      <c r="CT182" s="9">
        <v>0</v>
      </c>
      <c r="CU182" s="9">
        <v>0</v>
      </c>
      <c r="CV182" s="9">
        <v>0</v>
      </c>
      <c r="CW182" s="9">
        <v>1</v>
      </c>
      <c r="CX182" s="9">
        <v>1</v>
      </c>
      <c r="CY182" s="9">
        <v>0</v>
      </c>
      <c r="CZ182" s="9">
        <v>0</v>
      </c>
      <c r="DA182" s="9">
        <v>0</v>
      </c>
      <c r="DB182" s="9">
        <v>0</v>
      </c>
      <c r="DC182" s="9">
        <v>0</v>
      </c>
      <c r="DD182" s="9">
        <v>0</v>
      </c>
      <c r="DE182" s="9">
        <v>1</v>
      </c>
      <c r="DF182" s="9">
        <v>0</v>
      </c>
      <c r="DG182" s="9">
        <v>0</v>
      </c>
      <c r="DH182" s="9">
        <v>0</v>
      </c>
      <c r="DI182" s="9">
        <v>0</v>
      </c>
      <c r="DJ182" s="9">
        <v>0</v>
      </c>
      <c r="DK182" s="9">
        <v>0</v>
      </c>
      <c r="DL182" s="9">
        <v>0</v>
      </c>
      <c r="DM182" s="9">
        <v>0</v>
      </c>
      <c r="DN182" s="9">
        <v>0</v>
      </c>
      <c r="DO182" s="9">
        <v>0</v>
      </c>
      <c r="DP182" s="9">
        <v>0</v>
      </c>
      <c r="DQ182" s="9">
        <v>0</v>
      </c>
      <c r="DR182" s="9">
        <v>0</v>
      </c>
      <c r="DS182" s="9">
        <v>0</v>
      </c>
      <c r="DT182" s="9">
        <v>0</v>
      </c>
      <c r="DU182" s="9">
        <v>0</v>
      </c>
      <c r="DV182" s="9">
        <v>0</v>
      </c>
      <c r="DW182" s="9">
        <v>0</v>
      </c>
      <c r="DX182" s="9">
        <v>0</v>
      </c>
      <c r="DY182" s="9">
        <v>0</v>
      </c>
      <c r="DZ182" s="9">
        <v>0</v>
      </c>
      <c r="EA182" s="9">
        <v>0</v>
      </c>
      <c r="EB182" s="9">
        <v>0</v>
      </c>
      <c r="EC182" s="9">
        <v>0</v>
      </c>
      <c r="ED182" s="9">
        <v>0</v>
      </c>
      <c r="EE182" s="9">
        <v>0</v>
      </c>
      <c r="EF182" s="9">
        <v>0</v>
      </c>
      <c r="EG182" s="9">
        <v>0</v>
      </c>
      <c r="EH182" s="9">
        <v>0</v>
      </c>
      <c r="EI182" s="10">
        <v>0</v>
      </c>
    </row>
    <row r="183" spans="1:139" x14ac:dyDescent="0.35">
      <c r="A183" s="8" t="s">
        <v>261</v>
      </c>
      <c r="B183" s="9" t="s">
        <v>322</v>
      </c>
      <c r="C183" s="9" t="s">
        <v>323</v>
      </c>
      <c r="D183" s="9">
        <f t="shared" si="2"/>
        <v>127</v>
      </c>
      <c r="E183" s="9">
        <v>0</v>
      </c>
      <c r="F183" s="9">
        <v>2</v>
      </c>
      <c r="G183" s="9">
        <v>0</v>
      </c>
      <c r="H183" s="9">
        <v>0</v>
      </c>
      <c r="I183" s="9">
        <v>0</v>
      </c>
      <c r="J183" s="9">
        <v>4</v>
      </c>
      <c r="K183" s="9">
        <v>6</v>
      </c>
      <c r="L183" s="9">
        <v>0</v>
      </c>
      <c r="M183" s="9">
        <v>0</v>
      </c>
      <c r="N183" s="9">
        <v>1</v>
      </c>
      <c r="O183" s="9">
        <v>1</v>
      </c>
      <c r="P183" s="9">
        <v>1</v>
      </c>
      <c r="Q183" s="9">
        <v>3</v>
      </c>
      <c r="R183" s="9">
        <v>2</v>
      </c>
      <c r="S183" s="9">
        <v>4</v>
      </c>
      <c r="T183" s="9">
        <v>2</v>
      </c>
      <c r="U183" s="9">
        <v>1</v>
      </c>
      <c r="V183" s="9">
        <v>0</v>
      </c>
      <c r="W183" s="9">
        <v>4</v>
      </c>
      <c r="X183" s="9">
        <v>2</v>
      </c>
      <c r="Y183" s="9">
        <v>4</v>
      </c>
      <c r="Z183" s="9">
        <v>3</v>
      </c>
      <c r="AA183" s="9">
        <v>7</v>
      </c>
      <c r="AB183" s="9">
        <v>4</v>
      </c>
      <c r="AC183" s="9">
        <v>3</v>
      </c>
      <c r="AD183" s="9">
        <v>1</v>
      </c>
      <c r="AE183" s="9">
        <v>4</v>
      </c>
      <c r="AF183" s="9">
        <v>3</v>
      </c>
      <c r="AG183" s="9">
        <v>2</v>
      </c>
      <c r="AH183" s="9">
        <v>1</v>
      </c>
      <c r="AI183" s="9">
        <v>2</v>
      </c>
      <c r="AJ183" s="9">
        <v>1</v>
      </c>
      <c r="AK183" s="9">
        <v>3</v>
      </c>
      <c r="AL183" s="9">
        <v>3</v>
      </c>
      <c r="AM183" s="9">
        <v>2</v>
      </c>
      <c r="AN183" s="9">
        <v>2</v>
      </c>
      <c r="AO183" s="9">
        <v>1</v>
      </c>
      <c r="AP183" s="9">
        <v>1</v>
      </c>
      <c r="AQ183" s="9">
        <v>1</v>
      </c>
      <c r="AR183" s="9">
        <v>1</v>
      </c>
      <c r="AS183" s="9">
        <v>0</v>
      </c>
      <c r="AT183" s="9">
        <v>1</v>
      </c>
      <c r="AU183" s="9">
        <v>0</v>
      </c>
      <c r="AV183" s="9">
        <v>0</v>
      </c>
      <c r="AW183" s="9">
        <v>2</v>
      </c>
      <c r="AX183" s="9">
        <v>1</v>
      </c>
      <c r="AY183" s="9">
        <v>4</v>
      </c>
      <c r="AZ183" s="9">
        <v>3</v>
      </c>
      <c r="BA183" s="9">
        <v>2</v>
      </c>
      <c r="BB183" s="9">
        <v>0</v>
      </c>
      <c r="BC183" s="9">
        <v>1</v>
      </c>
      <c r="BD183" s="9">
        <v>0</v>
      </c>
      <c r="BE183" s="9">
        <v>2</v>
      </c>
      <c r="BF183" s="9">
        <v>2</v>
      </c>
      <c r="BG183" s="9">
        <v>2</v>
      </c>
      <c r="BH183" s="9">
        <v>0</v>
      </c>
      <c r="BI183" s="9">
        <v>1</v>
      </c>
      <c r="BJ183" s="9">
        <v>2</v>
      </c>
      <c r="BK183" s="9">
        <v>0</v>
      </c>
      <c r="BL183" s="9">
        <v>1</v>
      </c>
      <c r="BM183" s="9">
        <v>3</v>
      </c>
      <c r="BN183" s="9">
        <v>1</v>
      </c>
      <c r="BO183" s="9">
        <v>0</v>
      </c>
      <c r="BP183" s="9">
        <v>2</v>
      </c>
      <c r="BQ183" s="9">
        <v>0</v>
      </c>
      <c r="BR183" s="9">
        <v>0</v>
      </c>
      <c r="BS183" s="9">
        <v>1</v>
      </c>
      <c r="BT183" s="9">
        <v>1</v>
      </c>
      <c r="BU183" s="9">
        <v>0</v>
      </c>
      <c r="BV183" s="9">
        <v>0</v>
      </c>
      <c r="BW183" s="9">
        <v>0</v>
      </c>
      <c r="BX183" s="9">
        <v>0</v>
      </c>
      <c r="BY183" s="9">
        <v>0</v>
      </c>
      <c r="BZ183" s="9">
        <v>1</v>
      </c>
      <c r="CA183" s="9">
        <v>0</v>
      </c>
      <c r="CB183" s="9">
        <v>0</v>
      </c>
      <c r="CC183" s="9">
        <v>1</v>
      </c>
      <c r="CD183" s="9">
        <v>0</v>
      </c>
      <c r="CE183" s="9">
        <v>0</v>
      </c>
      <c r="CF183" s="9">
        <v>0</v>
      </c>
      <c r="CG183" s="9">
        <v>0</v>
      </c>
      <c r="CH183" s="9">
        <v>0</v>
      </c>
      <c r="CI183" s="9">
        <v>0</v>
      </c>
      <c r="CJ183" s="9">
        <v>0</v>
      </c>
      <c r="CK183" s="9">
        <v>0</v>
      </c>
      <c r="CL183" s="9">
        <v>0</v>
      </c>
      <c r="CM183" s="9">
        <v>1</v>
      </c>
      <c r="CN183" s="9">
        <v>0</v>
      </c>
      <c r="CO183" s="9">
        <v>0</v>
      </c>
      <c r="CP183" s="9">
        <v>0</v>
      </c>
      <c r="CQ183" s="9">
        <v>0</v>
      </c>
      <c r="CR183" s="9">
        <v>0</v>
      </c>
      <c r="CS183" s="9">
        <v>0</v>
      </c>
      <c r="CT183" s="9">
        <v>0</v>
      </c>
      <c r="CU183" s="9">
        <v>1</v>
      </c>
      <c r="CV183" s="9">
        <v>1</v>
      </c>
      <c r="CW183" s="9">
        <v>1</v>
      </c>
      <c r="CX183" s="9">
        <v>0</v>
      </c>
      <c r="CY183" s="9">
        <v>1</v>
      </c>
      <c r="CZ183" s="9">
        <v>1</v>
      </c>
      <c r="DA183" s="9">
        <v>0</v>
      </c>
      <c r="DB183" s="9">
        <v>1</v>
      </c>
      <c r="DC183" s="9">
        <v>0</v>
      </c>
      <c r="DD183" s="9">
        <v>0</v>
      </c>
      <c r="DE183" s="9">
        <v>0</v>
      </c>
      <c r="DF183" s="9">
        <v>0</v>
      </c>
      <c r="DG183" s="9">
        <v>0</v>
      </c>
      <c r="DH183" s="9">
        <v>0</v>
      </c>
      <c r="DI183" s="9">
        <v>0</v>
      </c>
      <c r="DJ183" s="9">
        <v>1</v>
      </c>
      <c r="DK183" s="9">
        <v>1</v>
      </c>
      <c r="DL183" s="9">
        <v>0</v>
      </c>
      <c r="DM183" s="9">
        <v>0</v>
      </c>
      <c r="DN183" s="9">
        <v>0</v>
      </c>
      <c r="DO183" s="9">
        <v>0</v>
      </c>
      <c r="DP183" s="9">
        <v>0</v>
      </c>
      <c r="DQ183" s="9">
        <v>0</v>
      </c>
      <c r="DR183" s="9">
        <v>0</v>
      </c>
      <c r="DS183" s="9">
        <v>0</v>
      </c>
      <c r="DT183" s="9">
        <v>0</v>
      </c>
      <c r="DU183" s="9">
        <v>0</v>
      </c>
      <c r="DV183" s="9">
        <v>0</v>
      </c>
      <c r="DW183" s="9">
        <v>1</v>
      </c>
      <c r="DX183" s="9">
        <v>0</v>
      </c>
      <c r="DY183" s="9">
        <v>0</v>
      </c>
      <c r="DZ183" s="9">
        <v>0</v>
      </c>
      <c r="EA183" s="9">
        <v>0</v>
      </c>
      <c r="EB183" s="9">
        <v>0</v>
      </c>
      <c r="EC183" s="9">
        <v>0</v>
      </c>
      <c r="ED183" s="9">
        <v>1</v>
      </c>
      <c r="EE183" s="9">
        <v>0</v>
      </c>
      <c r="EF183" s="9">
        <v>0</v>
      </c>
      <c r="EG183" s="9">
        <v>0</v>
      </c>
      <c r="EH183" s="9">
        <v>0</v>
      </c>
      <c r="EI183" s="10">
        <v>0</v>
      </c>
    </row>
    <row r="184" spans="1:139" x14ac:dyDescent="0.35">
      <c r="A184" s="8" t="s">
        <v>261</v>
      </c>
      <c r="B184" s="9" t="s">
        <v>324</v>
      </c>
      <c r="C184" s="9" t="s">
        <v>325</v>
      </c>
      <c r="D184" s="9">
        <f t="shared" si="2"/>
        <v>4</v>
      </c>
      <c r="E184" s="9">
        <v>0</v>
      </c>
      <c r="F184" s="9">
        <v>0</v>
      </c>
      <c r="G184" s="9">
        <v>0</v>
      </c>
      <c r="H184" s="9">
        <v>0</v>
      </c>
      <c r="I184" s="9">
        <v>0</v>
      </c>
      <c r="J184" s="9">
        <v>0</v>
      </c>
      <c r="K184" s="9">
        <v>0</v>
      </c>
      <c r="L184" s="9">
        <v>0</v>
      </c>
      <c r="M184" s="9">
        <v>0</v>
      </c>
      <c r="N184" s="9">
        <v>0</v>
      </c>
      <c r="O184" s="9">
        <v>0</v>
      </c>
      <c r="P184" s="9">
        <v>0</v>
      </c>
      <c r="Q184" s="9">
        <v>0</v>
      </c>
      <c r="R184" s="9">
        <v>0</v>
      </c>
      <c r="S184" s="9">
        <v>0</v>
      </c>
      <c r="T184" s="9">
        <v>0</v>
      </c>
      <c r="U184" s="9">
        <v>0</v>
      </c>
      <c r="V184" s="9">
        <v>0</v>
      </c>
      <c r="W184" s="9">
        <v>0</v>
      </c>
      <c r="X184" s="9">
        <v>0</v>
      </c>
      <c r="Y184" s="9">
        <v>0</v>
      </c>
      <c r="Z184" s="9">
        <v>0</v>
      </c>
      <c r="AA184" s="9">
        <v>0</v>
      </c>
      <c r="AB184" s="9">
        <v>0</v>
      </c>
      <c r="AC184" s="9">
        <v>0</v>
      </c>
      <c r="AD184" s="9">
        <v>0</v>
      </c>
      <c r="AE184" s="9">
        <v>0</v>
      </c>
      <c r="AF184" s="9">
        <v>0</v>
      </c>
      <c r="AG184" s="9">
        <v>0</v>
      </c>
      <c r="AH184" s="9">
        <v>0</v>
      </c>
      <c r="AI184" s="9">
        <v>0</v>
      </c>
      <c r="AJ184" s="9">
        <v>0</v>
      </c>
      <c r="AK184" s="9">
        <v>0</v>
      </c>
      <c r="AL184" s="9">
        <v>0</v>
      </c>
      <c r="AM184" s="9">
        <v>0</v>
      </c>
      <c r="AN184" s="9">
        <v>0</v>
      </c>
      <c r="AO184" s="9">
        <v>0</v>
      </c>
      <c r="AP184" s="9">
        <v>0</v>
      </c>
      <c r="AQ184" s="9">
        <v>0</v>
      </c>
      <c r="AR184" s="9">
        <v>0</v>
      </c>
      <c r="AS184" s="9">
        <v>0</v>
      </c>
      <c r="AT184" s="9">
        <v>0</v>
      </c>
      <c r="AU184" s="9">
        <v>0</v>
      </c>
      <c r="AV184" s="9">
        <v>0</v>
      </c>
      <c r="AW184" s="9">
        <v>0</v>
      </c>
      <c r="AX184" s="9">
        <v>0</v>
      </c>
      <c r="AY184" s="9">
        <v>0</v>
      </c>
      <c r="AZ184" s="9">
        <v>0</v>
      </c>
      <c r="BA184" s="9">
        <v>0</v>
      </c>
      <c r="BB184" s="9">
        <v>0</v>
      </c>
      <c r="BC184" s="9">
        <v>0</v>
      </c>
      <c r="BD184" s="9">
        <v>0</v>
      </c>
      <c r="BE184" s="9">
        <v>0</v>
      </c>
      <c r="BF184" s="9">
        <v>0</v>
      </c>
      <c r="BG184" s="9">
        <v>0</v>
      </c>
      <c r="BH184" s="9">
        <v>0</v>
      </c>
      <c r="BI184" s="9">
        <v>1</v>
      </c>
      <c r="BJ184" s="9">
        <v>0</v>
      </c>
      <c r="BK184" s="9">
        <v>0</v>
      </c>
      <c r="BL184" s="9">
        <v>0</v>
      </c>
      <c r="BM184" s="9">
        <v>0</v>
      </c>
      <c r="BN184" s="9">
        <v>0</v>
      </c>
      <c r="BO184" s="9">
        <v>1</v>
      </c>
      <c r="BP184" s="9">
        <v>0</v>
      </c>
      <c r="BQ184" s="9">
        <v>0</v>
      </c>
      <c r="BR184" s="9">
        <v>0</v>
      </c>
      <c r="BS184" s="9">
        <v>0</v>
      </c>
      <c r="BT184" s="9">
        <v>0</v>
      </c>
      <c r="BU184" s="9">
        <v>1</v>
      </c>
      <c r="BV184" s="9">
        <v>0</v>
      </c>
      <c r="BW184" s="9">
        <v>0</v>
      </c>
      <c r="BX184" s="9">
        <v>0</v>
      </c>
      <c r="BY184" s="9">
        <v>0</v>
      </c>
      <c r="BZ184" s="9">
        <v>0</v>
      </c>
      <c r="CA184" s="9">
        <v>0</v>
      </c>
      <c r="CB184" s="9">
        <v>1</v>
      </c>
      <c r="CC184" s="9">
        <v>0</v>
      </c>
      <c r="CD184" s="9">
        <v>0</v>
      </c>
      <c r="CE184" s="9">
        <v>0</v>
      </c>
      <c r="CF184" s="9">
        <v>0</v>
      </c>
      <c r="CG184" s="9">
        <v>0</v>
      </c>
      <c r="CH184" s="9">
        <v>0</v>
      </c>
      <c r="CI184" s="9">
        <v>0</v>
      </c>
      <c r="CJ184" s="9">
        <v>0</v>
      </c>
      <c r="CK184" s="9">
        <v>0</v>
      </c>
      <c r="CL184" s="9">
        <v>0</v>
      </c>
      <c r="CM184" s="9">
        <v>0</v>
      </c>
      <c r="CN184" s="9">
        <v>0</v>
      </c>
      <c r="CO184" s="9">
        <v>0</v>
      </c>
      <c r="CP184" s="9">
        <v>0</v>
      </c>
      <c r="CQ184" s="9">
        <v>0</v>
      </c>
      <c r="CR184" s="9">
        <v>0</v>
      </c>
      <c r="CS184" s="9">
        <v>0</v>
      </c>
      <c r="CT184" s="9">
        <v>0</v>
      </c>
      <c r="CU184" s="9">
        <v>0</v>
      </c>
      <c r="CV184" s="9">
        <v>0</v>
      </c>
      <c r="CW184" s="9">
        <v>0</v>
      </c>
      <c r="CX184" s="9">
        <v>0</v>
      </c>
      <c r="CY184" s="9">
        <v>0</v>
      </c>
      <c r="CZ184" s="9">
        <v>0</v>
      </c>
      <c r="DA184" s="9">
        <v>0</v>
      </c>
      <c r="DB184" s="9">
        <v>0</v>
      </c>
      <c r="DC184" s="9">
        <v>0</v>
      </c>
      <c r="DD184" s="9">
        <v>0</v>
      </c>
      <c r="DE184" s="9">
        <v>0</v>
      </c>
      <c r="DF184" s="9">
        <v>0</v>
      </c>
      <c r="DG184" s="9">
        <v>0</v>
      </c>
      <c r="DH184" s="9">
        <v>0</v>
      </c>
      <c r="DI184" s="9">
        <v>0</v>
      </c>
      <c r="DJ184" s="9">
        <v>0</v>
      </c>
      <c r="DK184" s="9">
        <v>0</v>
      </c>
      <c r="DL184" s="9">
        <v>0</v>
      </c>
      <c r="DM184" s="9">
        <v>0</v>
      </c>
      <c r="DN184" s="9">
        <v>0</v>
      </c>
      <c r="DO184" s="9">
        <v>0</v>
      </c>
      <c r="DP184" s="9">
        <v>0</v>
      </c>
      <c r="DQ184" s="9">
        <v>0</v>
      </c>
      <c r="DR184" s="9">
        <v>0</v>
      </c>
      <c r="DS184" s="9">
        <v>0</v>
      </c>
      <c r="DT184" s="9">
        <v>0</v>
      </c>
      <c r="DU184" s="9">
        <v>0</v>
      </c>
      <c r="DV184" s="9">
        <v>0</v>
      </c>
      <c r="DW184" s="9">
        <v>0</v>
      </c>
      <c r="DX184" s="9">
        <v>0</v>
      </c>
      <c r="DY184" s="9">
        <v>0</v>
      </c>
      <c r="DZ184" s="9">
        <v>0</v>
      </c>
      <c r="EA184" s="9">
        <v>0</v>
      </c>
      <c r="EB184" s="9">
        <v>0</v>
      </c>
      <c r="EC184" s="9">
        <v>0</v>
      </c>
      <c r="ED184" s="9">
        <v>0</v>
      </c>
      <c r="EE184" s="9">
        <v>0</v>
      </c>
      <c r="EF184" s="9">
        <v>0</v>
      </c>
      <c r="EG184" s="9">
        <v>0</v>
      </c>
      <c r="EH184" s="9">
        <v>0</v>
      </c>
      <c r="EI184" s="10">
        <v>0</v>
      </c>
    </row>
    <row r="185" spans="1:139" x14ac:dyDescent="0.35">
      <c r="A185" s="8" t="s">
        <v>261</v>
      </c>
      <c r="B185" s="9" t="s">
        <v>326</v>
      </c>
      <c r="C185" s="9" t="s">
        <v>327</v>
      </c>
      <c r="D185" s="9">
        <f t="shared" si="2"/>
        <v>7</v>
      </c>
      <c r="E185" s="9">
        <v>0</v>
      </c>
      <c r="F185" s="9">
        <v>0</v>
      </c>
      <c r="G185" s="9">
        <v>0</v>
      </c>
      <c r="H185" s="9">
        <v>0</v>
      </c>
      <c r="I185" s="9">
        <v>0</v>
      </c>
      <c r="J185" s="9">
        <v>0</v>
      </c>
      <c r="K185" s="9">
        <v>0</v>
      </c>
      <c r="L185" s="9">
        <v>0</v>
      </c>
      <c r="M185" s="9">
        <v>0</v>
      </c>
      <c r="N185" s="9">
        <v>0</v>
      </c>
      <c r="O185" s="9">
        <v>0</v>
      </c>
      <c r="P185" s="9">
        <v>0</v>
      </c>
      <c r="Q185" s="9">
        <v>0</v>
      </c>
      <c r="R185" s="9">
        <v>0</v>
      </c>
      <c r="S185" s="9">
        <v>0</v>
      </c>
      <c r="T185" s="9">
        <v>0</v>
      </c>
      <c r="U185" s="9">
        <v>1</v>
      </c>
      <c r="V185" s="9">
        <v>0</v>
      </c>
      <c r="W185" s="9">
        <v>0</v>
      </c>
      <c r="X185" s="9">
        <v>0</v>
      </c>
      <c r="Y185" s="9">
        <v>0</v>
      </c>
      <c r="Z185" s="9">
        <v>0</v>
      </c>
      <c r="AA185" s="9">
        <v>1</v>
      </c>
      <c r="AB185" s="9">
        <v>0</v>
      </c>
      <c r="AC185" s="9">
        <v>0</v>
      </c>
      <c r="AD185" s="9">
        <v>0</v>
      </c>
      <c r="AE185" s="9">
        <v>0</v>
      </c>
      <c r="AF185" s="9">
        <v>0</v>
      </c>
      <c r="AG185" s="9">
        <v>0</v>
      </c>
      <c r="AH185" s="9">
        <v>0</v>
      </c>
      <c r="AI185" s="9">
        <v>0</v>
      </c>
      <c r="AJ185" s="9">
        <v>0</v>
      </c>
      <c r="AK185" s="9">
        <v>0</v>
      </c>
      <c r="AL185" s="9">
        <v>0</v>
      </c>
      <c r="AM185" s="9">
        <v>0</v>
      </c>
      <c r="AN185" s="9">
        <v>0</v>
      </c>
      <c r="AO185" s="9">
        <v>0</v>
      </c>
      <c r="AP185" s="9">
        <v>0</v>
      </c>
      <c r="AQ185" s="9">
        <v>1</v>
      </c>
      <c r="AR185" s="9">
        <v>0</v>
      </c>
      <c r="AS185" s="9">
        <v>1</v>
      </c>
      <c r="AT185" s="9">
        <v>0</v>
      </c>
      <c r="AU185" s="9">
        <v>1</v>
      </c>
      <c r="AV185" s="9">
        <v>0</v>
      </c>
      <c r="AW185" s="9">
        <v>0</v>
      </c>
      <c r="AX185" s="9">
        <v>0</v>
      </c>
      <c r="AY185" s="9">
        <v>0</v>
      </c>
      <c r="AZ185" s="9">
        <v>0</v>
      </c>
      <c r="BA185" s="9">
        <v>0</v>
      </c>
      <c r="BB185" s="9">
        <v>0</v>
      </c>
      <c r="BC185" s="9">
        <v>0</v>
      </c>
      <c r="BD185" s="9">
        <v>0</v>
      </c>
      <c r="BE185" s="9">
        <v>0</v>
      </c>
      <c r="BF185" s="9">
        <v>0</v>
      </c>
      <c r="BG185" s="9">
        <v>0</v>
      </c>
      <c r="BH185" s="9">
        <v>1</v>
      </c>
      <c r="BI185" s="9">
        <v>0</v>
      </c>
      <c r="BJ185" s="9">
        <v>0</v>
      </c>
      <c r="BK185" s="9">
        <v>0</v>
      </c>
      <c r="BL185" s="9">
        <v>0</v>
      </c>
      <c r="BM185" s="9">
        <v>0</v>
      </c>
      <c r="BN185" s="9">
        <v>0</v>
      </c>
      <c r="BO185" s="9">
        <v>0</v>
      </c>
      <c r="BP185" s="9">
        <v>0</v>
      </c>
      <c r="BQ185" s="9">
        <v>0</v>
      </c>
      <c r="BR185" s="9">
        <v>0</v>
      </c>
      <c r="BS185" s="9">
        <v>0</v>
      </c>
      <c r="BT185" s="9">
        <v>0</v>
      </c>
      <c r="BU185" s="9">
        <v>0</v>
      </c>
      <c r="BV185" s="9">
        <v>0</v>
      </c>
      <c r="BW185" s="9">
        <v>0</v>
      </c>
      <c r="BX185" s="9">
        <v>0</v>
      </c>
      <c r="BY185" s="9">
        <v>0</v>
      </c>
      <c r="BZ185" s="9">
        <v>0</v>
      </c>
      <c r="CA185" s="9">
        <v>0</v>
      </c>
      <c r="CB185" s="9">
        <v>0</v>
      </c>
      <c r="CC185" s="9">
        <v>0</v>
      </c>
      <c r="CD185" s="9">
        <v>0</v>
      </c>
      <c r="CE185" s="9">
        <v>0</v>
      </c>
      <c r="CF185" s="9">
        <v>1</v>
      </c>
      <c r="CG185" s="9">
        <v>0</v>
      </c>
      <c r="CH185" s="9">
        <v>0</v>
      </c>
      <c r="CI185" s="9">
        <v>0</v>
      </c>
      <c r="CJ185" s="9">
        <v>0</v>
      </c>
      <c r="CK185" s="9">
        <v>0</v>
      </c>
      <c r="CL185" s="9">
        <v>0</v>
      </c>
      <c r="CM185" s="9">
        <v>0</v>
      </c>
      <c r="CN185" s="9">
        <v>0</v>
      </c>
      <c r="CO185" s="9">
        <v>0</v>
      </c>
      <c r="CP185" s="9">
        <v>0</v>
      </c>
      <c r="CQ185" s="9">
        <v>0</v>
      </c>
      <c r="CR185" s="9">
        <v>0</v>
      </c>
      <c r="CS185" s="9">
        <v>0</v>
      </c>
      <c r="CT185" s="9">
        <v>0</v>
      </c>
      <c r="CU185" s="9">
        <v>0</v>
      </c>
      <c r="CV185" s="9">
        <v>0</v>
      </c>
      <c r="CW185" s="9">
        <v>0</v>
      </c>
      <c r="CX185" s="9">
        <v>0</v>
      </c>
      <c r="CY185" s="9">
        <v>0</v>
      </c>
      <c r="CZ185" s="9">
        <v>0</v>
      </c>
      <c r="DA185" s="9">
        <v>0</v>
      </c>
      <c r="DB185" s="9">
        <v>0</v>
      </c>
      <c r="DC185" s="9">
        <v>0</v>
      </c>
      <c r="DD185" s="9">
        <v>0</v>
      </c>
      <c r="DE185" s="9">
        <v>0</v>
      </c>
      <c r="DF185" s="9">
        <v>0</v>
      </c>
      <c r="DG185" s="9">
        <v>0</v>
      </c>
      <c r="DH185" s="9">
        <v>0</v>
      </c>
      <c r="DI185" s="9">
        <v>0</v>
      </c>
      <c r="DJ185" s="9">
        <v>0</v>
      </c>
      <c r="DK185" s="9">
        <v>0</v>
      </c>
      <c r="DL185" s="9">
        <v>0</v>
      </c>
      <c r="DM185" s="9">
        <v>0</v>
      </c>
      <c r="DN185" s="9">
        <v>0</v>
      </c>
      <c r="DO185" s="9">
        <v>0</v>
      </c>
      <c r="DP185" s="9">
        <v>0</v>
      </c>
      <c r="DQ185" s="9">
        <v>0</v>
      </c>
      <c r="DR185" s="9">
        <v>0</v>
      </c>
      <c r="DS185" s="9">
        <v>0</v>
      </c>
      <c r="DT185" s="9">
        <v>0</v>
      </c>
      <c r="DU185" s="9">
        <v>0</v>
      </c>
      <c r="DV185" s="9">
        <v>0</v>
      </c>
      <c r="DW185" s="9">
        <v>0</v>
      </c>
      <c r="DX185" s="9">
        <v>0</v>
      </c>
      <c r="DY185" s="9">
        <v>0</v>
      </c>
      <c r="DZ185" s="9">
        <v>0</v>
      </c>
      <c r="EA185" s="9">
        <v>0</v>
      </c>
      <c r="EB185" s="9">
        <v>0</v>
      </c>
      <c r="EC185" s="9">
        <v>0</v>
      </c>
      <c r="ED185" s="9">
        <v>0</v>
      </c>
      <c r="EE185" s="9">
        <v>0</v>
      </c>
      <c r="EF185" s="9">
        <v>0</v>
      </c>
      <c r="EG185" s="9">
        <v>0</v>
      </c>
      <c r="EH185" s="9">
        <v>0</v>
      </c>
      <c r="EI185" s="10">
        <v>0</v>
      </c>
    </row>
    <row r="186" spans="1:139" x14ac:dyDescent="0.35">
      <c r="A186" s="8" t="s">
        <v>261</v>
      </c>
      <c r="B186" s="9" t="s">
        <v>328</v>
      </c>
      <c r="C186" s="9" t="s">
        <v>329</v>
      </c>
      <c r="D186" s="9">
        <f t="shared" si="2"/>
        <v>19</v>
      </c>
      <c r="E186" s="9">
        <v>0</v>
      </c>
      <c r="F186" s="9">
        <v>0</v>
      </c>
      <c r="G186" s="9">
        <v>0</v>
      </c>
      <c r="H186" s="9">
        <v>0</v>
      </c>
      <c r="I186" s="9">
        <v>0</v>
      </c>
      <c r="J186" s="9">
        <v>0</v>
      </c>
      <c r="K186" s="9">
        <v>0</v>
      </c>
      <c r="L186" s="9">
        <v>0</v>
      </c>
      <c r="M186" s="9">
        <v>0</v>
      </c>
      <c r="N186" s="9">
        <v>0</v>
      </c>
      <c r="O186" s="9">
        <v>0</v>
      </c>
      <c r="P186" s="9">
        <v>0</v>
      </c>
      <c r="Q186" s="9">
        <v>0</v>
      </c>
      <c r="R186" s="9">
        <v>0</v>
      </c>
      <c r="S186" s="9">
        <v>0</v>
      </c>
      <c r="T186" s="9">
        <v>0</v>
      </c>
      <c r="U186" s="9">
        <v>0</v>
      </c>
      <c r="V186" s="9">
        <v>0</v>
      </c>
      <c r="W186" s="9">
        <v>0</v>
      </c>
      <c r="X186" s="9">
        <v>0</v>
      </c>
      <c r="Y186" s="9">
        <v>0</v>
      </c>
      <c r="Z186" s="9">
        <v>0</v>
      </c>
      <c r="AA186" s="9">
        <v>0</v>
      </c>
      <c r="AB186" s="9">
        <v>0</v>
      </c>
      <c r="AC186" s="9">
        <v>1</v>
      </c>
      <c r="AD186" s="9">
        <v>0</v>
      </c>
      <c r="AE186" s="9">
        <v>0</v>
      </c>
      <c r="AF186" s="9">
        <v>1</v>
      </c>
      <c r="AG186" s="9">
        <v>0</v>
      </c>
      <c r="AH186" s="9">
        <v>1</v>
      </c>
      <c r="AI186" s="9">
        <v>0</v>
      </c>
      <c r="AJ186" s="9">
        <v>0</v>
      </c>
      <c r="AK186" s="9">
        <v>0</v>
      </c>
      <c r="AL186" s="9">
        <v>0</v>
      </c>
      <c r="AM186" s="9">
        <v>1</v>
      </c>
      <c r="AN186" s="9">
        <v>0</v>
      </c>
      <c r="AO186" s="9">
        <v>0</v>
      </c>
      <c r="AP186" s="9">
        <v>0</v>
      </c>
      <c r="AQ186" s="9">
        <v>0</v>
      </c>
      <c r="AR186" s="9">
        <v>0</v>
      </c>
      <c r="AS186" s="9">
        <v>0</v>
      </c>
      <c r="AT186" s="9">
        <v>0</v>
      </c>
      <c r="AU186" s="9">
        <v>0</v>
      </c>
      <c r="AV186" s="9">
        <v>0</v>
      </c>
      <c r="AW186" s="9">
        <v>0</v>
      </c>
      <c r="AX186" s="9">
        <v>1</v>
      </c>
      <c r="AY186" s="9">
        <v>0</v>
      </c>
      <c r="AZ186" s="9">
        <v>0</v>
      </c>
      <c r="BA186" s="9">
        <v>0</v>
      </c>
      <c r="BB186" s="9">
        <v>0</v>
      </c>
      <c r="BC186" s="9">
        <v>0</v>
      </c>
      <c r="BD186" s="9">
        <v>0</v>
      </c>
      <c r="BE186" s="9">
        <v>0</v>
      </c>
      <c r="BF186" s="9">
        <v>1</v>
      </c>
      <c r="BG186" s="9">
        <v>0</v>
      </c>
      <c r="BH186" s="9">
        <v>1</v>
      </c>
      <c r="BI186" s="9">
        <v>0</v>
      </c>
      <c r="BJ186" s="9">
        <v>2</v>
      </c>
      <c r="BK186" s="9">
        <v>1</v>
      </c>
      <c r="BL186" s="9">
        <v>1</v>
      </c>
      <c r="BM186" s="9">
        <v>0</v>
      </c>
      <c r="BN186" s="9">
        <v>0</v>
      </c>
      <c r="BO186" s="9">
        <v>1</v>
      </c>
      <c r="BP186" s="9">
        <v>0</v>
      </c>
      <c r="BQ186" s="9">
        <v>0</v>
      </c>
      <c r="BR186" s="9">
        <v>0</v>
      </c>
      <c r="BS186" s="9">
        <v>0</v>
      </c>
      <c r="BT186" s="9">
        <v>0</v>
      </c>
      <c r="BU186" s="9">
        <v>0</v>
      </c>
      <c r="BV186" s="9">
        <v>0</v>
      </c>
      <c r="BW186" s="9">
        <v>0</v>
      </c>
      <c r="BX186" s="9">
        <v>0</v>
      </c>
      <c r="BY186" s="9">
        <v>0</v>
      </c>
      <c r="BZ186" s="9">
        <v>0</v>
      </c>
      <c r="CA186" s="9">
        <v>0</v>
      </c>
      <c r="CB186" s="9">
        <v>0</v>
      </c>
      <c r="CC186" s="9">
        <v>0</v>
      </c>
      <c r="CD186" s="9">
        <v>0</v>
      </c>
      <c r="CE186" s="9">
        <v>0</v>
      </c>
      <c r="CF186" s="9">
        <v>0</v>
      </c>
      <c r="CG186" s="9">
        <v>1</v>
      </c>
      <c r="CH186" s="9">
        <v>0</v>
      </c>
      <c r="CI186" s="9">
        <v>0</v>
      </c>
      <c r="CJ186" s="9">
        <v>0</v>
      </c>
      <c r="CK186" s="9">
        <v>1</v>
      </c>
      <c r="CL186" s="9">
        <v>0</v>
      </c>
      <c r="CM186" s="9">
        <v>0</v>
      </c>
      <c r="CN186" s="9">
        <v>2</v>
      </c>
      <c r="CO186" s="9">
        <v>2</v>
      </c>
      <c r="CP186" s="9">
        <v>0</v>
      </c>
      <c r="CQ186" s="9">
        <v>0</v>
      </c>
      <c r="CR186" s="9">
        <v>0</v>
      </c>
      <c r="CS186" s="9">
        <v>0</v>
      </c>
      <c r="CT186" s="9">
        <v>0</v>
      </c>
      <c r="CU186" s="9">
        <v>0</v>
      </c>
      <c r="CV186" s="9">
        <v>0</v>
      </c>
      <c r="CW186" s="9">
        <v>0</v>
      </c>
      <c r="CX186" s="9">
        <v>0</v>
      </c>
      <c r="CY186" s="9">
        <v>0</v>
      </c>
      <c r="CZ186" s="9">
        <v>0</v>
      </c>
      <c r="DA186" s="9">
        <v>0</v>
      </c>
      <c r="DB186" s="9">
        <v>0</v>
      </c>
      <c r="DC186" s="9">
        <v>0</v>
      </c>
      <c r="DD186" s="9">
        <v>1</v>
      </c>
      <c r="DE186" s="9">
        <v>0</v>
      </c>
      <c r="DF186" s="9">
        <v>0</v>
      </c>
      <c r="DG186" s="9">
        <v>0</v>
      </c>
      <c r="DH186" s="9">
        <v>0</v>
      </c>
      <c r="DI186" s="9">
        <v>0</v>
      </c>
      <c r="DJ186" s="9">
        <v>0</v>
      </c>
      <c r="DK186" s="9">
        <v>0</v>
      </c>
      <c r="DL186" s="9">
        <v>0</v>
      </c>
      <c r="DM186" s="9">
        <v>0</v>
      </c>
      <c r="DN186" s="9">
        <v>0</v>
      </c>
      <c r="DO186" s="9">
        <v>0</v>
      </c>
      <c r="DP186" s="9">
        <v>0</v>
      </c>
      <c r="DQ186" s="9">
        <v>0</v>
      </c>
      <c r="DR186" s="9">
        <v>0</v>
      </c>
      <c r="DS186" s="9">
        <v>0</v>
      </c>
      <c r="DT186" s="9">
        <v>0</v>
      </c>
      <c r="DU186" s="9">
        <v>0</v>
      </c>
      <c r="DV186" s="9">
        <v>0</v>
      </c>
      <c r="DW186" s="9">
        <v>0</v>
      </c>
      <c r="DX186" s="9">
        <v>0</v>
      </c>
      <c r="DY186" s="9">
        <v>0</v>
      </c>
      <c r="DZ186" s="9">
        <v>0</v>
      </c>
      <c r="EA186" s="9">
        <v>0</v>
      </c>
      <c r="EB186" s="9">
        <v>0</v>
      </c>
      <c r="EC186" s="9">
        <v>0</v>
      </c>
      <c r="ED186" s="9">
        <v>0</v>
      </c>
      <c r="EE186" s="9">
        <v>0</v>
      </c>
      <c r="EF186" s="9">
        <v>0</v>
      </c>
      <c r="EG186" s="9">
        <v>0</v>
      </c>
      <c r="EH186" s="9">
        <v>0</v>
      </c>
      <c r="EI186" s="10">
        <v>0</v>
      </c>
    </row>
    <row r="187" spans="1:139" x14ac:dyDescent="0.35">
      <c r="A187" s="8" t="s">
        <v>261</v>
      </c>
      <c r="B187" s="9" t="s">
        <v>330</v>
      </c>
      <c r="C187" s="9" t="s">
        <v>331</v>
      </c>
      <c r="D187" s="9">
        <f t="shared" si="2"/>
        <v>38</v>
      </c>
      <c r="E187" s="9">
        <v>0</v>
      </c>
      <c r="F187" s="9">
        <v>0</v>
      </c>
      <c r="G187" s="9">
        <v>0</v>
      </c>
      <c r="H187" s="9">
        <v>0</v>
      </c>
      <c r="I187" s="9">
        <v>0</v>
      </c>
      <c r="J187" s="9">
        <v>0</v>
      </c>
      <c r="K187" s="9">
        <v>0</v>
      </c>
      <c r="L187" s="9">
        <v>0</v>
      </c>
      <c r="M187" s="9">
        <v>11</v>
      </c>
      <c r="N187" s="9">
        <v>6</v>
      </c>
      <c r="O187" s="9">
        <v>0</v>
      </c>
      <c r="P187" s="9">
        <v>0</v>
      </c>
      <c r="Q187" s="9">
        <v>0</v>
      </c>
      <c r="R187" s="9">
        <v>0</v>
      </c>
      <c r="S187" s="9">
        <v>0</v>
      </c>
      <c r="T187" s="9">
        <v>0</v>
      </c>
      <c r="U187" s="9">
        <v>0</v>
      </c>
      <c r="V187" s="9">
        <v>0</v>
      </c>
      <c r="W187" s="9">
        <v>3</v>
      </c>
      <c r="X187" s="9">
        <v>0</v>
      </c>
      <c r="Y187" s="9">
        <v>0</v>
      </c>
      <c r="Z187" s="9">
        <v>0</v>
      </c>
      <c r="AA187" s="9">
        <v>0</v>
      </c>
      <c r="AB187" s="9">
        <v>17</v>
      </c>
      <c r="AC187" s="9">
        <v>0</v>
      </c>
      <c r="AD187" s="9">
        <v>0</v>
      </c>
      <c r="AE187" s="9">
        <v>0</v>
      </c>
      <c r="AF187" s="9">
        <v>0</v>
      </c>
      <c r="AG187" s="9">
        <v>0</v>
      </c>
      <c r="AH187" s="9">
        <v>0</v>
      </c>
      <c r="AI187" s="9">
        <v>0</v>
      </c>
      <c r="AJ187" s="9">
        <v>0</v>
      </c>
      <c r="AK187" s="9">
        <v>0</v>
      </c>
      <c r="AL187" s="9">
        <v>0</v>
      </c>
      <c r="AM187" s="9">
        <v>0</v>
      </c>
      <c r="AN187" s="9">
        <v>0</v>
      </c>
      <c r="AO187" s="9">
        <v>0</v>
      </c>
      <c r="AP187" s="9">
        <v>0</v>
      </c>
      <c r="AQ187" s="9">
        <v>0</v>
      </c>
      <c r="AR187" s="9">
        <v>0</v>
      </c>
      <c r="AS187" s="9">
        <v>0</v>
      </c>
      <c r="AT187" s="9">
        <v>0</v>
      </c>
      <c r="AU187" s="9">
        <v>0</v>
      </c>
      <c r="AV187" s="9">
        <v>0</v>
      </c>
      <c r="AW187" s="9">
        <v>0</v>
      </c>
      <c r="AX187" s="9">
        <v>0</v>
      </c>
      <c r="AY187" s="9">
        <v>0</v>
      </c>
      <c r="AZ187" s="9">
        <v>1</v>
      </c>
      <c r="BA187" s="9">
        <v>0</v>
      </c>
      <c r="BB187" s="9">
        <v>0</v>
      </c>
      <c r="BC187" s="9">
        <v>0</v>
      </c>
      <c r="BD187" s="9">
        <v>0</v>
      </c>
      <c r="BE187" s="9">
        <v>0</v>
      </c>
      <c r="BF187" s="9">
        <v>0</v>
      </c>
      <c r="BG187" s="9">
        <v>0</v>
      </c>
      <c r="BH187" s="9">
        <v>0</v>
      </c>
      <c r="BI187" s="9">
        <v>0</v>
      </c>
      <c r="BJ187" s="9">
        <v>0</v>
      </c>
      <c r="BK187" s="9">
        <v>0</v>
      </c>
      <c r="BL187" s="9">
        <v>0</v>
      </c>
      <c r="BM187" s="9">
        <v>0</v>
      </c>
      <c r="BN187" s="9">
        <v>0</v>
      </c>
      <c r="BO187" s="9">
        <v>0</v>
      </c>
      <c r="BP187" s="9">
        <v>0</v>
      </c>
      <c r="BQ187" s="9">
        <v>0</v>
      </c>
      <c r="BR187" s="9">
        <v>0</v>
      </c>
      <c r="BS187" s="9">
        <v>0</v>
      </c>
      <c r="BT187" s="9">
        <v>0</v>
      </c>
      <c r="BU187" s="9">
        <v>0</v>
      </c>
      <c r="BV187" s="9">
        <v>0</v>
      </c>
      <c r="BW187" s="9">
        <v>0</v>
      </c>
      <c r="BX187" s="9">
        <v>0</v>
      </c>
      <c r="BY187" s="9">
        <v>0</v>
      </c>
      <c r="BZ187" s="9">
        <v>0</v>
      </c>
      <c r="CA187" s="9">
        <v>0</v>
      </c>
      <c r="CB187" s="9">
        <v>0</v>
      </c>
      <c r="CC187" s="9">
        <v>0</v>
      </c>
      <c r="CD187" s="9">
        <v>0</v>
      </c>
      <c r="CE187" s="9">
        <v>0</v>
      </c>
      <c r="CF187" s="9">
        <v>0</v>
      </c>
      <c r="CG187" s="9">
        <v>0</v>
      </c>
      <c r="CH187" s="9">
        <v>0</v>
      </c>
      <c r="CI187" s="9">
        <v>0</v>
      </c>
      <c r="CJ187" s="9">
        <v>0</v>
      </c>
      <c r="CK187" s="9">
        <v>0</v>
      </c>
      <c r="CL187" s="9">
        <v>0</v>
      </c>
      <c r="CM187" s="9">
        <v>0</v>
      </c>
      <c r="CN187" s="9">
        <v>0</v>
      </c>
      <c r="CO187" s="9">
        <v>0</v>
      </c>
      <c r="CP187" s="9">
        <v>0</v>
      </c>
      <c r="CQ187" s="9">
        <v>0</v>
      </c>
      <c r="CR187" s="9">
        <v>0</v>
      </c>
      <c r="CS187" s="9">
        <v>0</v>
      </c>
      <c r="CT187" s="9">
        <v>0</v>
      </c>
      <c r="CU187" s="9">
        <v>0</v>
      </c>
      <c r="CV187" s="9">
        <v>0</v>
      </c>
      <c r="CW187" s="9">
        <v>0</v>
      </c>
      <c r="CX187" s="9">
        <v>0</v>
      </c>
      <c r="CY187" s="9">
        <v>0</v>
      </c>
      <c r="CZ187" s="9">
        <v>0</v>
      </c>
      <c r="DA187" s="9">
        <v>0</v>
      </c>
      <c r="DB187" s="9">
        <v>0</v>
      </c>
      <c r="DC187" s="9">
        <v>0</v>
      </c>
      <c r="DD187" s="9">
        <v>0</v>
      </c>
      <c r="DE187" s="9">
        <v>0</v>
      </c>
      <c r="DF187" s="9">
        <v>0</v>
      </c>
      <c r="DG187" s="9">
        <v>0</v>
      </c>
      <c r="DH187" s="9">
        <v>0</v>
      </c>
      <c r="DI187" s="9">
        <v>0</v>
      </c>
      <c r="DJ187" s="9">
        <v>0</v>
      </c>
      <c r="DK187" s="9">
        <v>0</v>
      </c>
      <c r="DL187" s="9">
        <v>0</v>
      </c>
      <c r="DM187" s="9">
        <v>0</v>
      </c>
      <c r="DN187" s="9">
        <v>0</v>
      </c>
      <c r="DO187" s="9">
        <v>0</v>
      </c>
      <c r="DP187" s="9">
        <v>0</v>
      </c>
      <c r="DQ187" s="9">
        <v>0</v>
      </c>
      <c r="DR187" s="9">
        <v>0</v>
      </c>
      <c r="DS187" s="9">
        <v>0</v>
      </c>
      <c r="DT187" s="9">
        <v>0</v>
      </c>
      <c r="DU187" s="9">
        <v>0</v>
      </c>
      <c r="DV187" s="9">
        <v>0</v>
      </c>
      <c r="DW187" s="9">
        <v>0</v>
      </c>
      <c r="DX187" s="9">
        <v>0</v>
      </c>
      <c r="DY187" s="9">
        <v>0</v>
      </c>
      <c r="DZ187" s="9">
        <v>0</v>
      </c>
      <c r="EA187" s="9">
        <v>0</v>
      </c>
      <c r="EB187" s="9">
        <v>0</v>
      </c>
      <c r="EC187" s="9">
        <v>0</v>
      </c>
      <c r="ED187" s="9">
        <v>0</v>
      </c>
      <c r="EE187" s="9">
        <v>0</v>
      </c>
      <c r="EF187" s="9">
        <v>0</v>
      </c>
      <c r="EG187" s="9">
        <v>0</v>
      </c>
      <c r="EH187" s="9">
        <v>0</v>
      </c>
      <c r="EI187" s="10">
        <v>0</v>
      </c>
    </row>
    <row r="188" spans="1:139" x14ac:dyDescent="0.35">
      <c r="A188" s="8" t="s">
        <v>261</v>
      </c>
      <c r="B188" s="9" t="s">
        <v>332</v>
      </c>
      <c r="C188" s="9" t="s">
        <v>333</v>
      </c>
      <c r="D188" s="9">
        <f t="shared" si="2"/>
        <v>1</v>
      </c>
      <c r="E188" s="9">
        <v>0</v>
      </c>
      <c r="F188" s="9">
        <v>0</v>
      </c>
      <c r="G188" s="9">
        <v>0</v>
      </c>
      <c r="H188" s="9">
        <v>0</v>
      </c>
      <c r="I188" s="9">
        <v>0</v>
      </c>
      <c r="J188" s="9">
        <v>0</v>
      </c>
      <c r="K188" s="9">
        <v>0</v>
      </c>
      <c r="L188" s="9">
        <v>0</v>
      </c>
      <c r="M188" s="9">
        <v>0</v>
      </c>
      <c r="N188" s="9">
        <v>0</v>
      </c>
      <c r="O188" s="9">
        <v>0</v>
      </c>
      <c r="P188" s="9">
        <v>0</v>
      </c>
      <c r="Q188" s="9">
        <v>0</v>
      </c>
      <c r="R188" s="9">
        <v>0</v>
      </c>
      <c r="S188" s="9">
        <v>0</v>
      </c>
      <c r="T188" s="9">
        <v>0</v>
      </c>
      <c r="U188" s="9">
        <v>0</v>
      </c>
      <c r="V188" s="9">
        <v>0</v>
      </c>
      <c r="W188" s="9">
        <v>0</v>
      </c>
      <c r="X188" s="9">
        <v>1</v>
      </c>
      <c r="Y188" s="9">
        <v>0</v>
      </c>
      <c r="Z188" s="9">
        <v>0</v>
      </c>
      <c r="AA188" s="9">
        <v>0</v>
      </c>
      <c r="AB188" s="9">
        <v>0</v>
      </c>
      <c r="AC188" s="9">
        <v>0</v>
      </c>
      <c r="AD188" s="9">
        <v>0</v>
      </c>
      <c r="AE188" s="9">
        <v>0</v>
      </c>
      <c r="AF188" s="9">
        <v>0</v>
      </c>
      <c r="AG188" s="9">
        <v>0</v>
      </c>
      <c r="AH188" s="9">
        <v>0</v>
      </c>
      <c r="AI188" s="9">
        <v>0</v>
      </c>
      <c r="AJ188" s="9">
        <v>0</v>
      </c>
      <c r="AK188" s="9">
        <v>0</v>
      </c>
      <c r="AL188" s="9">
        <v>0</v>
      </c>
      <c r="AM188" s="9">
        <v>0</v>
      </c>
      <c r="AN188" s="9">
        <v>0</v>
      </c>
      <c r="AO188" s="9">
        <v>0</v>
      </c>
      <c r="AP188" s="9">
        <v>0</v>
      </c>
      <c r="AQ188" s="9">
        <v>0</v>
      </c>
      <c r="AR188" s="9">
        <v>0</v>
      </c>
      <c r="AS188" s="9">
        <v>0</v>
      </c>
      <c r="AT188" s="9">
        <v>0</v>
      </c>
      <c r="AU188" s="9">
        <v>0</v>
      </c>
      <c r="AV188" s="9">
        <v>0</v>
      </c>
      <c r="AW188" s="9">
        <v>0</v>
      </c>
      <c r="AX188" s="9">
        <v>0</v>
      </c>
      <c r="AY188" s="9">
        <v>0</v>
      </c>
      <c r="AZ188" s="9">
        <v>0</v>
      </c>
      <c r="BA188" s="9">
        <v>0</v>
      </c>
      <c r="BB188" s="9">
        <v>0</v>
      </c>
      <c r="BC188" s="9">
        <v>0</v>
      </c>
      <c r="BD188" s="9">
        <v>0</v>
      </c>
      <c r="BE188" s="9">
        <v>0</v>
      </c>
      <c r="BF188" s="9">
        <v>0</v>
      </c>
      <c r="BG188" s="9">
        <v>0</v>
      </c>
      <c r="BH188" s="9">
        <v>0</v>
      </c>
      <c r="BI188" s="9">
        <v>0</v>
      </c>
      <c r="BJ188" s="9">
        <v>0</v>
      </c>
      <c r="BK188" s="9">
        <v>0</v>
      </c>
      <c r="BL188" s="9">
        <v>0</v>
      </c>
      <c r="BM188" s="9">
        <v>0</v>
      </c>
      <c r="BN188" s="9">
        <v>0</v>
      </c>
      <c r="BO188" s="9">
        <v>0</v>
      </c>
      <c r="BP188" s="9">
        <v>0</v>
      </c>
      <c r="BQ188" s="9">
        <v>0</v>
      </c>
      <c r="BR188" s="9">
        <v>0</v>
      </c>
      <c r="BS188" s="9">
        <v>0</v>
      </c>
      <c r="BT188" s="9">
        <v>0</v>
      </c>
      <c r="BU188" s="9">
        <v>0</v>
      </c>
      <c r="BV188" s="9">
        <v>0</v>
      </c>
      <c r="BW188" s="9">
        <v>0</v>
      </c>
      <c r="BX188" s="9">
        <v>0</v>
      </c>
      <c r="BY188" s="9">
        <v>0</v>
      </c>
      <c r="BZ188" s="9">
        <v>0</v>
      </c>
      <c r="CA188" s="9">
        <v>0</v>
      </c>
      <c r="CB188" s="9">
        <v>0</v>
      </c>
      <c r="CC188" s="9">
        <v>0</v>
      </c>
      <c r="CD188" s="9">
        <v>0</v>
      </c>
      <c r="CE188" s="9">
        <v>0</v>
      </c>
      <c r="CF188" s="9">
        <v>0</v>
      </c>
      <c r="CG188" s="9">
        <v>0</v>
      </c>
      <c r="CH188" s="9">
        <v>0</v>
      </c>
      <c r="CI188" s="9">
        <v>0</v>
      </c>
      <c r="CJ188" s="9">
        <v>0</v>
      </c>
      <c r="CK188" s="9">
        <v>0</v>
      </c>
      <c r="CL188" s="9">
        <v>0</v>
      </c>
      <c r="CM188" s="9">
        <v>0</v>
      </c>
      <c r="CN188" s="9">
        <v>0</v>
      </c>
      <c r="CO188" s="9">
        <v>0</v>
      </c>
      <c r="CP188" s="9">
        <v>0</v>
      </c>
      <c r="CQ188" s="9">
        <v>0</v>
      </c>
      <c r="CR188" s="9">
        <v>0</v>
      </c>
      <c r="CS188" s="9">
        <v>0</v>
      </c>
      <c r="CT188" s="9">
        <v>0</v>
      </c>
      <c r="CU188" s="9">
        <v>0</v>
      </c>
      <c r="CV188" s="9">
        <v>0</v>
      </c>
      <c r="CW188" s="9">
        <v>0</v>
      </c>
      <c r="CX188" s="9">
        <v>0</v>
      </c>
      <c r="CY188" s="9">
        <v>0</v>
      </c>
      <c r="CZ188" s="9">
        <v>0</v>
      </c>
      <c r="DA188" s="9">
        <v>0</v>
      </c>
      <c r="DB188" s="9">
        <v>0</v>
      </c>
      <c r="DC188" s="9">
        <v>0</v>
      </c>
      <c r="DD188" s="9">
        <v>0</v>
      </c>
      <c r="DE188" s="9">
        <v>0</v>
      </c>
      <c r="DF188" s="9">
        <v>0</v>
      </c>
      <c r="DG188" s="9">
        <v>0</v>
      </c>
      <c r="DH188" s="9">
        <v>0</v>
      </c>
      <c r="DI188" s="9">
        <v>0</v>
      </c>
      <c r="DJ188" s="9">
        <v>0</v>
      </c>
      <c r="DK188" s="9">
        <v>0</v>
      </c>
      <c r="DL188" s="9">
        <v>0</v>
      </c>
      <c r="DM188" s="9">
        <v>0</v>
      </c>
      <c r="DN188" s="9">
        <v>0</v>
      </c>
      <c r="DO188" s="9">
        <v>0</v>
      </c>
      <c r="DP188" s="9">
        <v>0</v>
      </c>
      <c r="DQ188" s="9">
        <v>0</v>
      </c>
      <c r="DR188" s="9">
        <v>0</v>
      </c>
      <c r="DS188" s="9">
        <v>0</v>
      </c>
      <c r="DT188" s="9">
        <v>0</v>
      </c>
      <c r="DU188" s="9">
        <v>0</v>
      </c>
      <c r="DV188" s="9">
        <v>0</v>
      </c>
      <c r="DW188" s="9">
        <v>0</v>
      </c>
      <c r="DX188" s="9">
        <v>0</v>
      </c>
      <c r="DY188" s="9">
        <v>0</v>
      </c>
      <c r="DZ188" s="9">
        <v>0</v>
      </c>
      <c r="EA188" s="9">
        <v>0</v>
      </c>
      <c r="EB188" s="9">
        <v>0</v>
      </c>
      <c r="EC188" s="9">
        <v>0</v>
      </c>
      <c r="ED188" s="9">
        <v>0</v>
      </c>
      <c r="EE188" s="9">
        <v>0</v>
      </c>
      <c r="EF188" s="9">
        <v>0</v>
      </c>
      <c r="EG188" s="9">
        <v>0</v>
      </c>
      <c r="EH188" s="9">
        <v>0</v>
      </c>
      <c r="EI188" s="10">
        <v>0</v>
      </c>
    </row>
    <row r="189" spans="1:139" x14ac:dyDescent="0.35">
      <c r="A189" s="8" t="s">
        <v>261</v>
      </c>
      <c r="B189" s="9" t="s">
        <v>334</v>
      </c>
      <c r="C189" s="9" t="s">
        <v>335</v>
      </c>
      <c r="D189" s="9">
        <f t="shared" si="2"/>
        <v>128</v>
      </c>
      <c r="E189" s="9">
        <v>0</v>
      </c>
      <c r="F189" s="9">
        <v>0</v>
      </c>
      <c r="G189" s="9">
        <v>0</v>
      </c>
      <c r="H189" s="9">
        <v>1</v>
      </c>
      <c r="I189" s="9">
        <v>0</v>
      </c>
      <c r="J189" s="9">
        <v>6</v>
      </c>
      <c r="K189" s="9">
        <v>0</v>
      </c>
      <c r="L189" s="9">
        <v>0</v>
      </c>
      <c r="M189" s="9">
        <v>0</v>
      </c>
      <c r="N189" s="9">
        <v>0</v>
      </c>
      <c r="O189" s="9">
        <v>0</v>
      </c>
      <c r="P189" s="9">
        <v>3</v>
      </c>
      <c r="Q189" s="9">
        <v>0</v>
      </c>
      <c r="R189" s="9">
        <v>1</v>
      </c>
      <c r="S189" s="9">
        <v>0</v>
      </c>
      <c r="T189" s="9">
        <v>1</v>
      </c>
      <c r="U189" s="9">
        <v>2</v>
      </c>
      <c r="V189" s="9">
        <v>1</v>
      </c>
      <c r="W189" s="9">
        <v>1</v>
      </c>
      <c r="X189" s="9">
        <v>0</v>
      </c>
      <c r="Y189" s="9">
        <v>6</v>
      </c>
      <c r="Z189" s="9">
        <v>0</v>
      </c>
      <c r="AA189" s="9">
        <v>0</v>
      </c>
      <c r="AB189" s="9">
        <v>3</v>
      </c>
      <c r="AC189" s="9">
        <v>1</v>
      </c>
      <c r="AD189" s="9">
        <v>1</v>
      </c>
      <c r="AE189" s="9">
        <v>0</v>
      </c>
      <c r="AF189" s="9">
        <v>0</v>
      </c>
      <c r="AG189" s="9">
        <v>0</v>
      </c>
      <c r="AH189" s="9">
        <v>1</v>
      </c>
      <c r="AI189" s="9">
        <v>0</v>
      </c>
      <c r="AJ189" s="9">
        <v>0</v>
      </c>
      <c r="AK189" s="9">
        <v>2</v>
      </c>
      <c r="AL189" s="9">
        <v>4</v>
      </c>
      <c r="AM189" s="9">
        <v>2</v>
      </c>
      <c r="AN189" s="9">
        <v>4</v>
      </c>
      <c r="AO189" s="9">
        <v>4</v>
      </c>
      <c r="AP189" s="9">
        <v>2</v>
      </c>
      <c r="AQ189" s="9">
        <v>4</v>
      </c>
      <c r="AR189" s="9">
        <v>2</v>
      </c>
      <c r="AS189" s="9">
        <v>0</v>
      </c>
      <c r="AT189" s="9">
        <v>6</v>
      </c>
      <c r="AU189" s="9">
        <v>4</v>
      </c>
      <c r="AV189" s="9">
        <v>6</v>
      </c>
      <c r="AW189" s="9">
        <v>3</v>
      </c>
      <c r="AX189" s="9">
        <v>0</v>
      </c>
      <c r="AY189" s="9">
        <v>1</v>
      </c>
      <c r="AZ189" s="9">
        <v>4</v>
      </c>
      <c r="BA189" s="9">
        <v>2</v>
      </c>
      <c r="BB189" s="9">
        <v>2</v>
      </c>
      <c r="BC189" s="9">
        <v>0</v>
      </c>
      <c r="BD189" s="9">
        <v>2</v>
      </c>
      <c r="BE189" s="9">
        <v>1</v>
      </c>
      <c r="BF189" s="9">
        <v>2</v>
      </c>
      <c r="BG189" s="9">
        <v>1</v>
      </c>
      <c r="BH189" s="9">
        <v>1</v>
      </c>
      <c r="BI189" s="9">
        <v>2</v>
      </c>
      <c r="BJ189" s="9">
        <v>3</v>
      </c>
      <c r="BK189" s="9">
        <v>0</v>
      </c>
      <c r="BL189" s="9">
        <v>1</v>
      </c>
      <c r="BM189" s="9">
        <v>1</v>
      </c>
      <c r="BN189" s="9">
        <v>5</v>
      </c>
      <c r="BO189" s="9">
        <v>0</v>
      </c>
      <c r="BP189" s="9">
        <v>1</v>
      </c>
      <c r="BQ189" s="9">
        <v>2</v>
      </c>
      <c r="BR189" s="9">
        <v>3</v>
      </c>
      <c r="BS189" s="9">
        <v>1</v>
      </c>
      <c r="BT189" s="9">
        <v>1</v>
      </c>
      <c r="BU189" s="9">
        <v>0</v>
      </c>
      <c r="BV189" s="9">
        <v>1</v>
      </c>
      <c r="BW189" s="9">
        <v>1</v>
      </c>
      <c r="BX189" s="9">
        <v>3</v>
      </c>
      <c r="BY189" s="9">
        <v>0</v>
      </c>
      <c r="BZ189" s="9">
        <v>1</v>
      </c>
      <c r="CA189" s="9">
        <v>1</v>
      </c>
      <c r="CB189" s="9">
        <v>0</v>
      </c>
      <c r="CC189" s="9">
        <v>1</v>
      </c>
      <c r="CD189" s="9">
        <v>0</v>
      </c>
      <c r="CE189" s="9">
        <v>1</v>
      </c>
      <c r="CF189" s="9">
        <v>0</v>
      </c>
      <c r="CG189" s="9">
        <v>0</v>
      </c>
      <c r="CH189" s="9">
        <v>0</v>
      </c>
      <c r="CI189" s="9">
        <v>0</v>
      </c>
      <c r="CJ189" s="9">
        <v>1</v>
      </c>
      <c r="CK189" s="9">
        <v>1</v>
      </c>
      <c r="CL189" s="9">
        <v>1</v>
      </c>
      <c r="CM189" s="9">
        <v>1</v>
      </c>
      <c r="CN189" s="9">
        <v>3</v>
      </c>
      <c r="CO189" s="9">
        <v>0</v>
      </c>
      <c r="CP189" s="9">
        <v>1</v>
      </c>
      <c r="CQ189" s="9">
        <v>0</v>
      </c>
      <c r="CR189" s="9">
        <v>0</v>
      </c>
      <c r="CS189" s="9">
        <v>1</v>
      </c>
      <c r="CT189" s="9">
        <v>1</v>
      </c>
      <c r="CU189" s="9">
        <v>0</v>
      </c>
      <c r="CV189" s="9">
        <v>0</v>
      </c>
      <c r="CW189" s="9">
        <v>0</v>
      </c>
      <c r="CX189" s="9">
        <v>0</v>
      </c>
      <c r="CY189" s="9">
        <v>0</v>
      </c>
      <c r="CZ189" s="9">
        <v>0</v>
      </c>
      <c r="DA189" s="9">
        <v>0</v>
      </c>
      <c r="DB189" s="9">
        <v>1</v>
      </c>
      <c r="DC189" s="9">
        <v>0</v>
      </c>
      <c r="DD189" s="9">
        <v>0</v>
      </c>
      <c r="DE189" s="9">
        <v>0</v>
      </c>
      <c r="DF189" s="9">
        <v>0</v>
      </c>
      <c r="DG189" s="9">
        <v>0</v>
      </c>
      <c r="DH189" s="9">
        <v>0</v>
      </c>
      <c r="DI189" s="9">
        <v>0</v>
      </c>
      <c r="DJ189" s="9">
        <v>0</v>
      </c>
      <c r="DK189" s="9">
        <v>1</v>
      </c>
      <c r="DL189" s="9">
        <v>0</v>
      </c>
      <c r="DM189" s="9">
        <v>0</v>
      </c>
      <c r="DN189" s="9">
        <v>0</v>
      </c>
      <c r="DO189" s="9">
        <v>0</v>
      </c>
      <c r="DP189" s="9">
        <v>0</v>
      </c>
      <c r="DQ189" s="9">
        <v>0</v>
      </c>
      <c r="DR189" s="9">
        <v>0</v>
      </c>
      <c r="DS189" s="9">
        <v>0</v>
      </c>
      <c r="DT189" s="9">
        <v>0</v>
      </c>
      <c r="DU189" s="9">
        <v>0</v>
      </c>
      <c r="DV189" s="9">
        <v>0</v>
      </c>
      <c r="DW189" s="9">
        <v>0</v>
      </c>
      <c r="DX189" s="9">
        <v>0</v>
      </c>
      <c r="DY189" s="9">
        <v>0</v>
      </c>
      <c r="DZ189" s="9">
        <v>0</v>
      </c>
      <c r="EA189" s="9">
        <v>0</v>
      </c>
      <c r="EB189" s="9">
        <v>0</v>
      </c>
      <c r="EC189" s="9">
        <v>0</v>
      </c>
      <c r="ED189" s="9">
        <v>0</v>
      </c>
      <c r="EE189" s="9">
        <v>0</v>
      </c>
      <c r="EF189" s="9">
        <v>0</v>
      </c>
      <c r="EG189" s="9">
        <v>0</v>
      </c>
      <c r="EH189" s="9">
        <v>0</v>
      </c>
      <c r="EI189" s="10">
        <v>0</v>
      </c>
    </row>
    <row r="190" spans="1:139" x14ac:dyDescent="0.35">
      <c r="A190" s="8" t="s">
        <v>261</v>
      </c>
      <c r="B190" s="9" t="s">
        <v>336</v>
      </c>
      <c r="C190" s="9" t="s">
        <v>337</v>
      </c>
      <c r="D190" s="9">
        <f t="shared" si="2"/>
        <v>0</v>
      </c>
      <c r="E190" s="9">
        <v>0</v>
      </c>
      <c r="F190" s="9">
        <v>0</v>
      </c>
      <c r="G190" s="9">
        <v>0</v>
      </c>
      <c r="H190" s="9">
        <v>0</v>
      </c>
      <c r="I190" s="9">
        <v>0</v>
      </c>
      <c r="J190" s="9">
        <v>0</v>
      </c>
      <c r="K190" s="9">
        <v>0</v>
      </c>
      <c r="L190" s="9">
        <v>0</v>
      </c>
      <c r="M190" s="9">
        <v>0</v>
      </c>
      <c r="N190" s="9">
        <v>0</v>
      </c>
      <c r="O190" s="9">
        <v>0</v>
      </c>
      <c r="P190" s="9">
        <v>0</v>
      </c>
      <c r="Q190" s="9">
        <v>0</v>
      </c>
      <c r="R190" s="9">
        <v>0</v>
      </c>
      <c r="S190" s="9">
        <v>0</v>
      </c>
      <c r="T190" s="9">
        <v>0</v>
      </c>
      <c r="U190" s="9">
        <v>0</v>
      </c>
      <c r="V190" s="9">
        <v>0</v>
      </c>
      <c r="W190" s="9">
        <v>0</v>
      </c>
      <c r="X190" s="9">
        <v>0</v>
      </c>
      <c r="Y190" s="9">
        <v>0</v>
      </c>
      <c r="Z190" s="9">
        <v>0</v>
      </c>
      <c r="AA190" s="9">
        <v>0</v>
      </c>
      <c r="AB190" s="9">
        <v>0</v>
      </c>
      <c r="AC190" s="9">
        <v>0</v>
      </c>
      <c r="AD190" s="9">
        <v>0</v>
      </c>
      <c r="AE190" s="9">
        <v>0</v>
      </c>
      <c r="AF190" s="9">
        <v>0</v>
      </c>
      <c r="AG190" s="9">
        <v>0</v>
      </c>
      <c r="AH190" s="9">
        <v>0</v>
      </c>
      <c r="AI190" s="9">
        <v>0</v>
      </c>
      <c r="AJ190" s="9">
        <v>0</v>
      </c>
      <c r="AK190" s="9">
        <v>0</v>
      </c>
      <c r="AL190" s="9">
        <v>0</v>
      </c>
      <c r="AM190" s="9">
        <v>0</v>
      </c>
      <c r="AN190" s="9">
        <v>0</v>
      </c>
      <c r="AO190" s="9">
        <v>0</v>
      </c>
      <c r="AP190" s="9">
        <v>0</v>
      </c>
      <c r="AQ190" s="9">
        <v>0</v>
      </c>
      <c r="AR190" s="9">
        <v>0</v>
      </c>
      <c r="AS190" s="9">
        <v>0</v>
      </c>
      <c r="AT190" s="9">
        <v>0</v>
      </c>
      <c r="AU190" s="9">
        <v>0</v>
      </c>
      <c r="AV190" s="9">
        <v>0</v>
      </c>
      <c r="AW190" s="9">
        <v>0</v>
      </c>
      <c r="AX190" s="9">
        <v>0</v>
      </c>
      <c r="AY190" s="9">
        <v>0</v>
      </c>
      <c r="AZ190" s="9">
        <v>0</v>
      </c>
      <c r="BA190" s="9">
        <v>0</v>
      </c>
      <c r="BB190" s="9">
        <v>0</v>
      </c>
      <c r="BC190" s="9">
        <v>0</v>
      </c>
      <c r="BD190" s="9">
        <v>0</v>
      </c>
      <c r="BE190" s="9">
        <v>0</v>
      </c>
      <c r="BF190" s="9">
        <v>0</v>
      </c>
      <c r="BG190" s="9">
        <v>0</v>
      </c>
      <c r="BH190" s="9">
        <v>0</v>
      </c>
      <c r="BI190" s="9">
        <v>0</v>
      </c>
      <c r="BJ190" s="9">
        <v>0</v>
      </c>
      <c r="BK190" s="9">
        <v>0</v>
      </c>
      <c r="BL190" s="9">
        <v>0</v>
      </c>
      <c r="BM190" s="9">
        <v>0</v>
      </c>
      <c r="BN190" s="9">
        <v>0</v>
      </c>
      <c r="BO190" s="9">
        <v>0</v>
      </c>
      <c r="BP190" s="9">
        <v>0</v>
      </c>
      <c r="BQ190" s="9">
        <v>0</v>
      </c>
      <c r="BR190" s="9">
        <v>0</v>
      </c>
      <c r="BS190" s="9">
        <v>0</v>
      </c>
      <c r="BT190" s="9">
        <v>0</v>
      </c>
      <c r="BU190" s="9">
        <v>0</v>
      </c>
      <c r="BV190" s="9">
        <v>0</v>
      </c>
      <c r="BW190" s="9">
        <v>0</v>
      </c>
      <c r="BX190" s="9">
        <v>0</v>
      </c>
      <c r="BY190" s="9">
        <v>0</v>
      </c>
      <c r="BZ190" s="9">
        <v>0</v>
      </c>
      <c r="CA190" s="9">
        <v>0</v>
      </c>
      <c r="CB190" s="9">
        <v>0</v>
      </c>
      <c r="CC190" s="9">
        <v>0</v>
      </c>
      <c r="CD190" s="9">
        <v>0</v>
      </c>
      <c r="CE190" s="9">
        <v>0</v>
      </c>
      <c r="CF190" s="9">
        <v>0</v>
      </c>
      <c r="CG190" s="9">
        <v>0</v>
      </c>
      <c r="CH190" s="9">
        <v>0</v>
      </c>
      <c r="CI190" s="9">
        <v>0</v>
      </c>
      <c r="CJ190" s="9">
        <v>0</v>
      </c>
      <c r="CK190" s="9">
        <v>0</v>
      </c>
      <c r="CL190" s="9">
        <v>0</v>
      </c>
      <c r="CM190" s="9">
        <v>0</v>
      </c>
      <c r="CN190" s="9">
        <v>0</v>
      </c>
      <c r="CO190" s="9">
        <v>0</v>
      </c>
      <c r="CP190" s="9">
        <v>0</v>
      </c>
      <c r="CQ190" s="9">
        <v>0</v>
      </c>
      <c r="CR190" s="9">
        <v>0</v>
      </c>
      <c r="CS190" s="9">
        <v>0</v>
      </c>
      <c r="CT190" s="9">
        <v>0</v>
      </c>
      <c r="CU190" s="9">
        <v>0</v>
      </c>
      <c r="CV190" s="9">
        <v>0</v>
      </c>
      <c r="CW190" s="9">
        <v>0</v>
      </c>
      <c r="CX190" s="9">
        <v>0</v>
      </c>
      <c r="CY190" s="9">
        <v>0</v>
      </c>
      <c r="CZ190" s="9">
        <v>0</v>
      </c>
      <c r="DA190" s="9">
        <v>0</v>
      </c>
      <c r="DB190" s="9">
        <v>0</v>
      </c>
      <c r="DC190" s="9">
        <v>0</v>
      </c>
      <c r="DD190" s="9">
        <v>0</v>
      </c>
      <c r="DE190" s="9">
        <v>0</v>
      </c>
      <c r="DF190" s="9">
        <v>0</v>
      </c>
      <c r="DG190" s="9">
        <v>0</v>
      </c>
      <c r="DH190" s="9">
        <v>0</v>
      </c>
      <c r="DI190" s="9">
        <v>0</v>
      </c>
      <c r="DJ190" s="9">
        <v>0</v>
      </c>
      <c r="DK190" s="9">
        <v>0</v>
      </c>
      <c r="DL190" s="9">
        <v>0</v>
      </c>
      <c r="DM190" s="9">
        <v>0</v>
      </c>
      <c r="DN190" s="9">
        <v>0</v>
      </c>
      <c r="DO190" s="9">
        <v>0</v>
      </c>
      <c r="DP190" s="9">
        <v>0</v>
      </c>
      <c r="DQ190" s="9">
        <v>0</v>
      </c>
      <c r="DR190" s="9">
        <v>0</v>
      </c>
      <c r="DS190" s="9">
        <v>0</v>
      </c>
      <c r="DT190" s="9">
        <v>0</v>
      </c>
      <c r="DU190" s="9">
        <v>0</v>
      </c>
      <c r="DV190" s="9">
        <v>0</v>
      </c>
      <c r="DW190" s="9">
        <v>0</v>
      </c>
      <c r="DX190" s="9">
        <v>0</v>
      </c>
      <c r="DY190" s="9">
        <v>0</v>
      </c>
      <c r="DZ190" s="9">
        <v>0</v>
      </c>
      <c r="EA190" s="9">
        <v>0</v>
      </c>
      <c r="EB190" s="9">
        <v>0</v>
      </c>
      <c r="EC190" s="9">
        <v>0</v>
      </c>
      <c r="ED190" s="9">
        <v>0</v>
      </c>
      <c r="EE190" s="9">
        <v>0</v>
      </c>
      <c r="EF190" s="9">
        <v>0</v>
      </c>
      <c r="EG190" s="9">
        <v>0</v>
      </c>
      <c r="EH190" s="9">
        <v>0</v>
      </c>
      <c r="EI190" s="10">
        <v>0</v>
      </c>
    </row>
    <row r="191" spans="1:139" x14ac:dyDescent="0.35">
      <c r="A191" s="8" t="s">
        <v>261</v>
      </c>
      <c r="B191" s="9" t="s">
        <v>338</v>
      </c>
      <c r="C191" s="9" t="s">
        <v>339</v>
      </c>
      <c r="D191" s="9">
        <f t="shared" si="2"/>
        <v>1</v>
      </c>
      <c r="E191" s="9">
        <v>0</v>
      </c>
      <c r="F191" s="9">
        <v>0</v>
      </c>
      <c r="G191" s="9">
        <v>0</v>
      </c>
      <c r="H191" s="9">
        <v>0</v>
      </c>
      <c r="I191" s="9">
        <v>0</v>
      </c>
      <c r="J191" s="9">
        <v>0</v>
      </c>
      <c r="K191" s="9">
        <v>0</v>
      </c>
      <c r="L191" s="9">
        <v>0</v>
      </c>
      <c r="M191" s="9">
        <v>0</v>
      </c>
      <c r="N191" s="9">
        <v>0</v>
      </c>
      <c r="O191" s="9">
        <v>0</v>
      </c>
      <c r="P191" s="9">
        <v>0</v>
      </c>
      <c r="Q191" s="9">
        <v>0</v>
      </c>
      <c r="R191" s="9">
        <v>0</v>
      </c>
      <c r="S191" s="9">
        <v>0</v>
      </c>
      <c r="T191" s="9">
        <v>0</v>
      </c>
      <c r="U191" s="9">
        <v>0</v>
      </c>
      <c r="V191" s="9">
        <v>0</v>
      </c>
      <c r="W191" s="9">
        <v>0</v>
      </c>
      <c r="X191" s="9">
        <v>0</v>
      </c>
      <c r="Y191" s="9">
        <v>0</v>
      </c>
      <c r="Z191" s="9">
        <v>0</v>
      </c>
      <c r="AA191" s="9">
        <v>0</v>
      </c>
      <c r="AB191" s="9">
        <v>0</v>
      </c>
      <c r="AC191" s="9">
        <v>0</v>
      </c>
      <c r="AD191" s="9">
        <v>0</v>
      </c>
      <c r="AE191" s="9">
        <v>0</v>
      </c>
      <c r="AF191" s="9">
        <v>0</v>
      </c>
      <c r="AG191" s="9">
        <v>0</v>
      </c>
      <c r="AH191" s="9">
        <v>0</v>
      </c>
      <c r="AI191" s="9">
        <v>0</v>
      </c>
      <c r="AJ191" s="9">
        <v>0</v>
      </c>
      <c r="AK191" s="9">
        <v>0</v>
      </c>
      <c r="AL191" s="9">
        <v>0</v>
      </c>
      <c r="AM191" s="9">
        <v>0</v>
      </c>
      <c r="AN191" s="9">
        <v>0</v>
      </c>
      <c r="AO191" s="9">
        <v>0</v>
      </c>
      <c r="AP191" s="9">
        <v>0</v>
      </c>
      <c r="AQ191" s="9">
        <v>0</v>
      </c>
      <c r="AR191" s="9">
        <v>0</v>
      </c>
      <c r="AS191" s="9">
        <v>0</v>
      </c>
      <c r="AT191" s="9">
        <v>0</v>
      </c>
      <c r="AU191" s="9">
        <v>0</v>
      </c>
      <c r="AV191" s="9">
        <v>0</v>
      </c>
      <c r="AW191" s="9">
        <v>0</v>
      </c>
      <c r="AX191" s="9">
        <v>0</v>
      </c>
      <c r="AY191" s="9">
        <v>0</v>
      </c>
      <c r="AZ191" s="9">
        <v>1</v>
      </c>
      <c r="BA191" s="9">
        <v>0</v>
      </c>
      <c r="BB191" s="9">
        <v>0</v>
      </c>
      <c r="BC191" s="9">
        <v>0</v>
      </c>
      <c r="BD191" s="9">
        <v>0</v>
      </c>
      <c r="BE191" s="9">
        <v>0</v>
      </c>
      <c r="BF191" s="9">
        <v>0</v>
      </c>
      <c r="BG191" s="9">
        <v>0</v>
      </c>
      <c r="BH191" s="9">
        <v>0</v>
      </c>
      <c r="BI191" s="9">
        <v>0</v>
      </c>
      <c r="BJ191" s="9">
        <v>0</v>
      </c>
      <c r="BK191" s="9">
        <v>0</v>
      </c>
      <c r="BL191" s="9">
        <v>0</v>
      </c>
      <c r="BM191" s="9">
        <v>0</v>
      </c>
      <c r="BN191" s="9">
        <v>0</v>
      </c>
      <c r="BO191" s="9">
        <v>0</v>
      </c>
      <c r="BP191" s="9">
        <v>0</v>
      </c>
      <c r="BQ191" s="9">
        <v>0</v>
      </c>
      <c r="BR191" s="9">
        <v>0</v>
      </c>
      <c r="BS191" s="9">
        <v>0</v>
      </c>
      <c r="BT191" s="9">
        <v>0</v>
      </c>
      <c r="BU191" s="9">
        <v>0</v>
      </c>
      <c r="BV191" s="9">
        <v>0</v>
      </c>
      <c r="BW191" s="9">
        <v>0</v>
      </c>
      <c r="BX191" s="9">
        <v>0</v>
      </c>
      <c r="BY191" s="9">
        <v>0</v>
      </c>
      <c r="BZ191" s="9">
        <v>0</v>
      </c>
      <c r="CA191" s="9">
        <v>0</v>
      </c>
      <c r="CB191" s="9">
        <v>0</v>
      </c>
      <c r="CC191" s="9">
        <v>0</v>
      </c>
      <c r="CD191" s="9">
        <v>0</v>
      </c>
      <c r="CE191" s="9">
        <v>0</v>
      </c>
      <c r="CF191" s="9">
        <v>0</v>
      </c>
      <c r="CG191" s="9">
        <v>0</v>
      </c>
      <c r="CH191" s="9">
        <v>0</v>
      </c>
      <c r="CI191" s="9">
        <v>0</v>
      </c>
      <c r="CJ191" s="9">
        <v>0</v>
      </c>
      <c r="CK191" s="9">
        <v>0</v>
      </c>
      <c r="CL191" s="9">
        <v>0</v>
      </c>
      <c r="CM191" s="9">
        <v>0</v>
      </c>
      <c r="CN191" s="9">
        <v>0</v>
      </c>
      <c r="CO191" s="9">
        <v>0</v>
      </c>
      <c r="CP191" s="9">
        <v>0</v>
      </c>
      <c r="CQ191" s="9">
        <v>0</v>
      </c>
      <c r="CR191" s="9">
        <v>0</v>
      </c>
      <c r="CS191" s="9">
        <v>0</v>
      </c>
      <c r="CT191" s="9">
        <v>0</v>
      </c>
      <c r="CU191" s="9">
        <v>0</v>
      </c>
      <c r="CV191" s="9">
        <v>0</v>
      </c>
      <c r="CW191" s="9">
        <v>0</v>
      </c>
      <c r="CX191" s="9">
        <v>0</v>
      </c>
      <c r="CY191" s="9">
        <v>0</v>
      </c>
      <c r="CZ191" s="9">
        <v>0</v>
      </c>
      <c r="DA191" s="9">
        <v>0</v>
      </c>
      <c r="DB191" s="9">
        <v>0</v>
      </c>
      <c r="DC191" s="9">
        <v>0</v>
      </c>
      <c r="DD191" s="9">
        <v>0</v>
      </c>
      <c r="DE191" s="9">
        <v>0</v>
      </c>
      <c r="DF191" s="9">
        <v>0</v>
      </c>
      <c r="DG191" s="9">
        <v>0</v>
      </c>
      <c r="DH191" s="9">
        <v>0</v>
      </c>
      <c r="DI191" s="9">
        <v>0</v>
      </c>
      <c r="DJ191" s="9">
        <v>0</v>
      </c>
      <c r="DK191" s="9">
        <v>0</v>
      </c>
      <c r="DL191" s="9">
        <v>0</v>
      </c>
      <c r="DM191" s="9">
        <v>0</v>
      </c>
      <c r="DN191" s="9">
        <v>0</v>
      </c>
      <c r="DO191" s="9">
        <v>0</v>
      </c>
      <c r="DP191" s="9">
        <v>0</v>
      </c>
      <c r="DQ191" s="9">
        <v>0</v>
      </c>
      <c r="DR191" s="9">
        <v>0</v>
      </c>
      <c r="DS191" s="9">
        <v>0</v>
      </c>
      <c r="DT191" s="9">
        <v>0</v>
      </c>
      <c r="DU191" s="9">
        <v>0</v>
      </c>
      <c r="DV191" s="9">
        <v>0</v>
      </c>
      <c r="DW191" s="9">
        <v>0</v>
      </c>
      <c r="DX191" s="9">
        <v>0</v>
      </c>
      <c r="DY191" s="9">
        <v>0</v>
      </c>
      <c r="DZ191" s="9">
        <v>0</v>
      </c>
      <c r="EA191" s="9">
        <v>0</v>
      </c>
      <c r="EB191" s="9">
        <v>0</v>
      </c>
      <c r="EC191" s="9">
        <v>0</v>
      </c>
      <c r="ED191" s="9">
        <v>0</v>
      </c>
      <c r="EE191" s="9">
        <v>0</v>
      </c>
      <c r="EF191" s="9">
        <v>0</v>
      </c>
      <c r="EG191" s="9">
        <v>0</v>
      </c>
      <c r="EH191" s="9">
        <v>0</v>
      </c>
      <c r="EI191" s="10">
        <v>0</v>
      </c>
    </row>
    <row r="192" spans="1:139" x14ac:dyDescent="0.35">
      <c r="A192" s="8" t="s">
        <v>261</v>
      </c>
      <c r="B192" s="9" t="s">
        <v>340</v>
      </c>
      <c r="C192" s="9" t="s">
        <v>341</v>
      </c>
      <c r="D192" s="9">
        <f t="shared" si="2"/>
        <v>1</v>
      </c>
      <c r="E192" s="9">
        <v>0</v>
      </c>
      <c r="F192" s="9">
        <v>0</v>
      </c>
      <c r="G192" s="9">
        <v>0</v>
      </c>
      <c r="H192" s="9">
        <v>0</v>
      </c>
      <c r="I192" s="9">
        <v>0</v>
      </c>
      <c r="J192" s="9">
        <v>0</v>
      </c>
      <c r="K192" s="9">
        <v>0</v>
      </c>
      <c r="L192" s="9">
        <v>0</v>
      </c>
      <c r="M192" s="9">
        <v>0</v>
      </c>
      <c r="N192" s="9">
        <v>0</v>
      </c>
      <c r="O192" s="9">
        <v>0</v>
      </c>
      <c r="P192" s="9">
        <v>0</v>
      </c>
      <c r="Q192" s="9">
        <v>0</v>
      </c>
      <c r="R192" s="9">
        <v>0</v>
      </c>
      <c r="S192" s="9">
        <v>1</v>
      </c>
      <c r="T192" s="9">
        <v>0</v>
      </c>
      <c r="U192" s="9">
        <v>0</v>
      </c>
      <c r="V192" s="9">
        <v>0</v>
      </c>
      <c r="W192" s="9">
        <v>0</v>
      </c>
      <c r="X192" s="9">
        <v>0</v>
      </c>
      <c r="Y192" s="9">
        <v>0</v>
      </c>
      <c r="Z192" s="9">
        <v>0</v>
      </c>
      <c r="AA192" s="9">
        <v>0</v>
      </c>
      <c r="AB192" s="9">
        <v>0</v>
      </c>
      <c r="AC192" s="9">
        <v>0</v>
      </c>
      <c r="AD192" s="9">
        <v>0</v>
      </c>
      <c r="AE192" s="9">
        <v>0</v>
      </c>
      <c r="AF192" s="9">
        <v>0</v>
      </c>
      <c r="AG192" s="9">
        <v>0</v>
      </c>
      <c r="AH192" s="9">
        <v>0</v>
      </c>
      <c r="AI192" s="9">
        <v>0</v>
      </c>
      <c r="AJ192" s="9">
        <v>0</v>
      </c>
      <c r="AK192" s="9">
        <v>0</v>
      </c>
      <c r="AL192" s="9">
        <v>0</v>
      </c>
      <c r="AM192" s="9">
        <v>0</v>
      </c>
      <c r="AN192" s="9">
        <v>0</v>
      </c>
      <c r="AO192" s="9">
        <v>0</v>
      </c>
      <c r="AP192" s="9">
        <v>0</v>
      </c>
      <c r="AQ192" s="9">
        <v>0</v>
      </c>
      <c r="AR192" s="9">
        <v>0</v>
      </c>
      <c r="AS192" s="9">
        <v>0</v>
      </c>
      <c r="AT192" s="9">
        <v>0</v>
      </c>
      <c r="AU192" s="9">
        <v>0</v>
      </c>
      <c r="AV192" s="9">
        <v>0</v>
      </c>
      <c r="AW192" s="9">
        <v>0</v>
      </c>
      <c r="AX192" s="9">
        <v>0</v>
      </c>
      <c r="AY192" s="9">
        <v>0</v>
      </c>
      <c r="AZ192" s="9">
        <v>0</v>
      </c>
      <c r="BA192" s="9">
        <v>0</v>
      </c>
      <c r="BB192" s="9">
        <v>0</v>
      </c>
      <c r="BC192" s="9">
        <v>0</v>
      </c>
      <c r="BD192" s="9">
        <v>0</v>
      </c>
      <c r="BE192" s="9">
        <v>0</v>
      </c>
      <c r="BF192" s="9">
        <v>0</v>
      </c>
      <c r="BG192" s="9">
        <v>0</v>
      </c>
      <c r="BH192" s="9">
        <v>0</v>
      </c>
      <c r="BI192" s="9">
        <v>0</v>
      </c>
      <c r="BJ192" s="9">
        <v>0</v>
      </c>
      <c r="BK192" s="9">
        <v>0</v>
      </c>
      <c r="BL192" s="9">
        <v>0</v>
      </c>
      <c r="BM192" s="9">
        <v>0</v>
      </c>
      <c r="BN192" s="9">
        <v>0</v>
      </c>
      <c r="BO192" s="9">
        <v>0</v>
      </c>
      <c r="BP192" s="9">
        <v>0</v>
      </c>
      <c r="BQ192" s="9">
        <v>0</v>
      </c>
      <c r="BR192" s="9">
        <v>0</v>
      </c>
      <c r="BS192" s="9">
        <v>0</v>
      </c>
      <c r="BT192" s="9">
        <v>0</v>
      </c>
      <c r="BU192" s="9">
        <v>0</v>
      </c>
      <c r="BV192" s="9">
        <v>0</v>
      </c>
      <c r="BW192" s="9">
        <v>0</v>
      </c>
      <c r="BX192" s="9">
        <v>0</v>
      </c>
      <c r="BY192" s="9">
        <v>0</v>
      </c>
      <c r="BZ192" s="9">
        <v>0</v>
      </c>
      <c r="CA192" s="9">
        <v>0</v>
      </c>
      <c r="CB192" s="9">
        <v>0</v>
      </c>
      <c r="CC192" s="9">
        <v>0</v>
      </c>
      <c r="CD192" s="9">
        <v>0</v>
      </c>
      <c r="CE192" s="9">
        <v>0</v>
      </c>
      <c r="CF192" s="9">
        <v>0</v>
      </c>
      <c r="CG192" s="9">
        <v>0</v>
      </c>
      <c r="CH192" s="9">
        <v>0</v>
      </c>
      <c r="CI192" s="9">
        <v>0</v>
      </c>
      <c r="CJ192" s="9">
        <v>0</v>
      </c>
      <c r="CK192" s="9">
        <v>0</v>
      </c>
      <c r="CL192" s="9">
        <v>0</v>
      </c>
      <c r="CM192" s="9">
        <v>0</v>
      </c>
      <c r="CN192" s="9">
        <v>0</v>
      </c>
      <c r="CO192" s="9">
        <v>0</v>
      </c>
      <c r="CP192" s="9">
        <v>0</v>
      </c>
      <c r="CQ192" s="9">
        <v>0</v>
      </c>
      <c r="CR192" s="9">
        <v>0</v>
      </c>
      <c r="CS192" s="9">
        <v>0</v>
      </c>
      <c r="CT192" s="9">
        <v>0</v>
      </c>
      <c r="CU192" s="9">
        <v>0</v>
      </c>
      <c r="CV192" s="9">
        <v>0</v>
      </c>
      <c r="CW192" s="9">
        <v>0</v>
      </c>
      <c r="CX192" s="9">
        <v>0</v>
      </c>
      <c r="CY192" s="9">
        <v>0</v>
      </c>
      <c r="CZ192" s="9">
        <v>0</v>
      </c>
      <c r="DA192" s="9">
        <v>0</v>
      </c>
      <c r="DB192" s="9">
        <v>0</v>
      </c>
      <c r="DC192" s="9">
        <v>0</v>
      </c>
      <c r="DD192" s="9">
        <v>0</v>
      </c>
      <c r="DE192" s="9">
        <v>0</v>
      </c>
      <c r="DF192" s="9">
        <v>0</v>
      </c>
      <c r="DG192" s="9">
        <v>0</v>
      </c>
      <c r="DH192" s="9">
        <v>0</v>
      </c>
      <c r="DI192" s="9">
        <v>0</v>
      </c>
      <c r="DJ192" s="9">
        <v>0</v>
      </c>
      <c r="DK192" s="9">
        <v>0</v>
      </c>
      <c r="DL192" s="9">
        <v>0</v>
      </c>
      <c r="DM192" s="9">
        <v>0</v>
      </c>
      <c r="DN192" s="9">
        <v>0</v>
      </c>
      <c r="DO192" s="9">
        <v>0</v>
      </c>
      <c r="DP192" s="9">
        <v>0</v>
      </c>
      <c r="DQ192" s="9">
        <v>0</v>
      </c>
      <c r="DR192" s="9">
        <v>0</v>
      </c>
      <c r="DS192" s="9">
        <v>0</v>
      </c>
      <c r="DT192" s="9">
        <v>0</v>
      </c>
      <c r="DU192" s="9">
        <v>0</v>
      </c>
      <c r="DV192" s="9">
        <v>0</v>
      </c>
      <c r="DW192" s="9">
        <v>0</v>
      </c>
      <c r="DX192" s="9">
        <v>0</v>
      </c>
      <c r="DY192" s="9">
        <v>0</v>
      </c>
      <c r="DZ192" s="9">
        <v>0</v>
      </c>
      <c r="EA192" s="9">
        <v>0</v>
      </c>
      <c r="EB192" s="9">
        <v>0</v>
      </c>
      <c r="EC192" s="9">
        <v>0</v>
      </c>
      <c r="ED192" s="9">
        <v>0</v>
      </c>
      <c r="EE192" s="9">
        <v>0</v>
      </c>
      <c r="EF192" s="9">
        <v>0</v>
      </c>
      <c r="EG192" s="9">
        <v>0</v>
      </c>
      <c r="EH192" s="9">
        <v>0</v>
      </c>
      <c r="EI192" s="10">
        <v>0</v>
      </c>
    </row>
    <row r="193" spans="1:139" x14ac:dyDescent="0.35">
      <c r="A193" s="8" t="s">
        <v>342</v>
      </c>
      <c r="B193" s="9" t="s">
        <v>343</v>
      </c>
      <c r="C193" s="9" t="s">
        <v>344</v>
      </c>
      <c r="D193" s="9">
        <f t="shared" si="2"/>
        <v>0</v>
      </c>
      <c r="E193" s="9">
        <v>0</v>
      </c>
      <c r="F193" s="9">
        <v>0</v>
      </c>
      <c r="G193" s="9">
        <v>0</v>
      </c>
      <c r="H193" s="9">
        <v>0</v>
      </c>
      <c r="I193" s="9">
        <v>0</v>
      </c>
      <c r="J193" s="9">
        <v>0</v>
      </c>
      <c r="K193" s="9">
        <v>0</v>
      </c>
      <c r="L193" s="9">
        <v>0</v>
      </c>
      <c r="M193" s="9">
        <v>0</v>
      </c>
      <c r="N193" s="9">
        <v>0</v>
      </c>
      <c r="O193" s="9">
        <v>0</v>
      </c>
      <c r="P193" s="9">
        <v>0</v>
      </c>
      <c r="Q193" s="9">
        <v>0</v>
      </c>
      <c r="R193" s="9">
        <v>0</v>
      </c>
      <c r="S193" s="9">
        <v>0</v>
      </c>
      <c r="T193" s="9">
        <v>0</v>
      </c>
      <c r="U193" s="9">
        <v>0</v>
      </c>
      <c r="V193" s="9">
        <v>0</v>
      </c>
      <c r="W193" s="9">
        <v>0</v>
      </c>
      <c r="X193" s="9">
        <v>0</v>
      </c>
      <c r="Y193" s="9">
        <v>0</v>
      </c>
      <c r="Z193" s="9">
        <v>0</v>
      </c>
      <c r="AA193" s="9">
        <v>0</v>
      </c>
      <c r="AB193" s="9">
        <v>0</v>
      </c>
      <c r="AC193" s="9">
        <v>0</v>
      </c>
      <c r="AD193" s="9">
        <v>0</v>
      </c>
      <c r="AE193" s="9">
        <v>0</v>
      </c>
      <c r="AF193" s="9">
        <v>0</v>
      </c>
      <c r="AG193" s="9">
        <v>0</v>
      </c>
      <c r="AH193" s="9">
        <v>0</v>
      </c>
      <c r="AI193" s="9">
        <v>0</v>
      </c>
      <c r="AJ193" s="9">
        <v>0</v>
      </c>
      <c r="AK193" s="9">
        <v>0</v>
      </c>
      <c r="AL193" s="9">
        <v>0</v>
      </c>
      <c r="AM193" s="9">
        <v>0</v>
      </c>
      <c r="AN193" s="9">
        <v>0</v>
      </c>
      <c r="AO193" s="9">
        <v>0</v>
      </c>
      <c r="AP193" s="9">
        <v>0</v>
      </c>
      <c r="AQ193" s="9">
        <v>0</v>
      </c>
      <c r="AR193" s="9">
        <v>0</v>
      </c>
      <c r="AS193" s="9">
        <v>0</v>
      </c>
      <c r="AT193" s="9">
        <v>0</v>
      </c>
      <c r="AU193" s="9">
        <v>0</v>
      </c>
      <c r="AV193" s="9">
        <v>0</v>
      </c>
      <c r="AW193" s="9">
        <v>0</v>
      </c>
      <c r="AX193" s="9">
        <v>0</v>
      </c>
      <c r="AY193" s="9">
        <v>0</v>
      </c>
      <c r="AZ193" s="9">
        <v>0</v>
      </c>
      <c r="BA193" s="9">
        <v>0</v>
      </c>
      <c r="BB193" s="9">
        <v>0</v>
      </c>
      <c r="BC193" s="9">
        <v>0</v>
      </c>
      <c r="BD193" s="9">
        <v>0</v>
      </c>
      <c r="BE193" s="9">
        <v>0</v>
      </c>
      <c r="BF193" s="9">
        <v>0</v>
      </c>
      <c r="BG193" s="9">
        <v>0</v>
      </c>
      <c r="BH193" s="9">
        <v>0</v>
      </c>
      <c r="BI193" s="9">
        <v>0</v>
      </c>
      <c r="BJ193" s="9">
        <v>0</v>
      </c>
      <c r="BK193" s="9">
        <v>0</v>
      </c>
      <c r="BL193" s="9">
        <v>0</v>
      </c>
      <c r="BM193" s="9">
        <v>0</v>
      </c>
      <c r="BN193" s="9">
        <v>0</v>
      </c>
      <c r="BO193" s="9">
        <v>0</v>
      </c>
      <c r="BP193" s="9">
        <v>0</v>
      </c>
      <c r="BQ193" s="9">
        <v>0</v>
      </c>
      <c r="BR193" s="9">
        <v>0</v>
      </c>
      <c r="BS193" s="9">
        <v>0</v>
      </c>
      <c r="BT193" s="9">
        <v>0</v>
      </c>
      <c r="BU193" s="9">
        <v>0</v>
      </c>
      <c r="BV193" s="9">
        <v>0</v>
      </c>
      <c r="BW193" s="9">
        <v>0</v>
      </c>
      <c r="BX193" s="9">
        <v>0</v>
      </c>
      <c r="BY193" s="9">
        <v>0</v>
      </c>
      <c r="BZ193" s="9">
        <v>0</v>
      </c>
      <c r="CA193" s="9">
        <v>0</v>
      </c>
      <c r="CB193" s="9">
        <v>0</v>
      </c>
      <c r="CC193" s="9">
        <v>0</v>
      </c>
      <c r="CD193" s="9">
        <v>0</v>
      </c>
      <c r="CE193" s="9">
        <v>0</v>
      </c>
      <c r="CF193" s="9">
        <v>0</v>
      </c>
      <c r="CG193" s="9">
        <v>0</v>
      </c>
      <c r="CH193" s="9">
        <v>0</v>
      </c>
      <c r="CI193" s="9">
        <v>0</v>
      </c>
      <c r="CJ193" s="9">
        <v>0</v>
      </c>
      <c r="CK193" s="9">
        <v>0</v>
      </c>
      <c r="CL193" s="9">
        <v>0</v>
      </c>
      <c r="CM193" s="9">
        <v>0</v>
      </c>
      <c r="CN193" s="9">
        <v>0</v>
      </c>
      <c r="CO193" s="9">
        <v>0</v>
      </c>
      <c r="CP193" s="9">
        <v>0</v>
      </c>
      <c r="CQ193" s="9">
        <v>0</v>
      </c>
      <c r="CR193" s="9">
        <v>0</v>
      </c>
      <c r="CS193" s="9">
        <v>0</v>
      </c>
      <c r="CT193" s="9">
        <v>0</v>
      </c>
      <c r="CU193" s="9">
        <v>0</v>
      </c>
      <c r="CV193" s="9">
        <v>0</v>
      </c>
      <c r="CW193" s="9">
        <v>0</v>
      </c>
      <c r="CX193" s="9">
        <v>0</v>
      </c>
      <c r="CY193" s="9">
        <v>0</v>
      </c>
      <c r="CZ193" s="9">
        <v>0</v>
      </c>
      <c r="DA193" s="9">
        <v>0</v>
      </c>
      <c r="DB193" s="9">
        <v>0</v>
      </c>
      <c r="DC193" s="9">
        <v>0</v>
      </c>
      <c r="DD193" s="9">
        <v>0</v>
      </c>
      <c r="DE193" s="9">
        <v>0</v>
      </c>
      <c r="DF193" s="9">
        <v>0</v>
      </c>
      <c r="DG193" s="9">
        <v>0</v>
      </c>
      <c r="DH193" s="9">
        <v>0</v>
      </c>
      <c r="DI193" s="9">
        <v>0</v>
      </c>
      <c r="DJ193" s="9">
        <v>0</v>
      </c>
      <c r="DK193" s="9">
        <v>0</v>
      </c>
      <c r="DL193" s="9">
        <v>0</v>
      </c>
      <c r="DM193" s="9">
        <v>0</v>
      </c>
      <c r="DN193" s="9">
        <v>0</v>
      </c>
      <c r="DO193" s="9">
        <v>0</v>
      </c>
      <c r="DP193" s="9">
        <v>0</v>
      </c>
      <c r="DQ193" s="9">
        <v>0</v>
      </c>
      <c r="DR193" s="9">
        <v>0</v>
      </c>
      <c r="DS193" s="9">
        <v>0</v>
      </c>
      <c r="DT193" s="9">
        <v>0</v>
      </c>
      <c r="DU193" s="9">
        <v>0</v>
      </c>
      <c r="DV193" s="9">
        <v>0</v>
      </c>
      <c r="DW193" s="9">
        <v>0</v>
      </c>
      <c r="DX193" s="9">
        <v>0</v>
      </c>
      <c r="DY193" s="9">
        <v>0</v>
      </c>
      <c r="DZ193" s="9">
        <v>0</v>
      </c>
      <c r="EA193" s="9">
        <v>0</v>
      </c>
      <c r="EB193" s="9">
        <v>0</v>
      </c>
      <c r="EC193" s="9">
        <v>0</v>
      </c>
      <c r="ED193" s="9">
        <v>0</v>
      </c>
      <c r="EE193" s="9">
        <v>0</v>
      </c>
      <c r="EF193" s="9">
        <v>0</v>
      </c>
      <c r="EG193" s="9">
        <v>0</v>
      </c>
      <c r="EH193" s="9">
        <v>0</v>
      </c>
      <c r="EI193" s="10">
        <v>0</v>
      </c>
    </row>
    <row r="194" spans="1:139" x14ac:dyDescent="0.35">
      <c r="A194" s="8" t="s">
        <v>342</v>
      </c>
      <c r="B194" s="9" t="s">
        <v>345</v>
      </c>
      <c r="C194" s="9" t="s">
        <v>346</v>
      </c>
      <c r="D194" s="9">
        <f t="shared" si="2"/>
        <v>0</v>
      </c>
      <c r="E194" s="9">
        <v>0</v>
      </c>
      <c r="F194" s="9">
        <v>0</v>
      </c>
      <c r="G194" s="9">
        <v>0</v>
      </c>
      <c r="H194" s="9">
        <v>0</v>
      </c>
      <c r="I194" s="9">
        <v>0</v>
      </c>
      <c r="J194" s="9">
        <v>0</v>
      </c>
      <c r="K194" s="9">
        <v>0</v>
      </c>
      <c r="L194" s="9">
        <v>0</v>
      </c>
      <c r="M194" s="9">
        <v>0</v>
      </c>
      <c r="N194" s="9">
        <v>0</v>
      </c>
      <c r="O194" s="9">
        <v>0</v>
      </c>
      <c r="P194" s="9">
        <v>0</v>
      </c>
      <c r="Q194" s="9">
        <v>0</v>
      </c>
      <c r="R194" s="9">
        <v>0</v>
      </c>
      <c r="S194" s="9">
        <v>0</v>
      </c>
      <c r="T194" s="9">
        <v>0</v>
      </c>
      <c r="U194" s="9">
        <v>0</v>
      </c>
      <c r="V194" s="9">
        <v>0</v>
      </c>
      <c r="W194" s="9">
        <v>0</v>
      </c>
      <c r="X194" s="9">
        <v>0</v>
      </c>
      <c r="Y194" s="9">
        <v>0</v>
      </c>
      <c r="Z194" s="9">
        <v>0</v>
      </c>
      <c r="AA194" s="9">
        <v>0</v>
      </c>
      <c r="AB194" s="9">
        <v>0</v>
      </c>
      <c r="AC194" s="9">
        <v>0</v>
      </c>
      <c r="AD194" s="9">
        <v>0</v>
      </c>
      <c r="AE194" s="9">
        <v>0</v>
      </c>
      <c r="AF194" s="9">
        <v>0</v>
      </c>
      <c r="AG194" s="9">
        <v>0</v>
      </c>
      <c r="AH194" s="9">
        <v>0</v>
      </c>
      <c r="AI194" s="9">
        <v>0</v>
      </c>
      <c r="AJ194" s="9">
        <v>0</v>
      </c>
      <c r="AK194" s="9">
        <v>0</v>
      </c>
      <c r="AL194" s="9">
        <v>0</v>
      </c>
      <c r="AM194" s="9">
        <v>0</v>
      </c>
      <c r="AN194" s="9">
        <v>0</v>
      </c>
      <c r="AO194" s="9">
        <v>0</v>
      </c>
      <c r="AP194" s="9">
        <v>0</v>
      </c>
      <c r="AQ194" s="9">
        <v>0</v>
      </c>
      <c r="AR194" s="9">
        <v>0</v>
      </c>
      <c r="AS194" s="9">
        <v>0</v>
      </c>
      <c r="AT194" s="9">
        <v>0</v>
      </c>
      <c r="AU194" s="9">
        <v>0</v>
      </c>
      <c r="AV194" s="9">
        <v>0</v>
      </c>
      <c r="AW194" s="9">
        <v>0</v>
      </c>
      <c r="AX194" s="9">
        <v>0</v>
      </c>
      <c r="AY194" s="9">
        <v>0</v>
      </c>
      <c r="AZ194" s="9">
        <v>0</v>
      </c>
      <c r="BA194" s="9">
        <v>0</v>
      </c>
      <c r="BB194" s="9">
        <v>0</v>
      </c>
      <c r="BC194" s="9">
        <v>0</v>
      </c>
      <c r="BD194" s="9">
        <v>0</v>
      </c>
      <c r="BE194" s="9">
        <v>0</v>
      </c>
      <c r="BF194" s="9">
        <v>0</v>
      </c>
      <c r="BG194" s="9">
        <v>0</v>
      </c>
      <c r="BH194" s="9">
        <v>0</v>
      </c>
      <c r="BI194" s="9">
        <v>0</v>
      </c>
      <c r="BJ194" s="9">
        <v>0</v>
      </c>
      <c r="BK194" s="9">
        <v>0</v>
      </c>
      <c r="BL194" s="9">
        <v>0</v>
      </c>
      <c r="BM194" s="9">
        <v>0</v>
      </c>
      <c r="BN194" s="9">
        <v>0</v>
      </c>
      <c r="BO194" s="9">
        <v>0</v>
      </c>
      <c r="BP194" s="9">
        <v>0</v>
      </c>
      <c r="BQ194" s="9">
        <v>0</v>
      </c>
      <c r="BR194" s="9">
        <v>0</v>
      </c>
      <c r="BS194" s="9">
        <v>0</v>
      </c>
      <c r="BT194" s="9">
        <v>0</v>
      </c>
      <c r="BU194" s="9">
        <v>0</v>
      </c>
      <c r="BV194" s="9">
        <v>0</v>
      </c>
      <c r="BW194" s="9">
        <v>0</v>
      </c>
      <c r="BX194" s="9">
        <v>0</v>
      </c>
      <c r="BY194" s="9">
        <v>0</v>
      </c>
      <c r="BZ194" s="9">
        <v>0</v>
      </c>
      <c r="CA194" s="9">
        <v>0</v>
      </c>
      <c r="CB194" s="9">
        <v>0</v>
      </c>
      <c r="CC194" s="9">
        <v>0</v>
      </c>
      <c r="CD194" s="9">
        <v>0</v>
      </c>
      <c r="CE194" s="9">
        <v>0</v>
      </c>
      <c r="CF194" s="9">
        <v>0</v>
      </c>
      <c r="CG194" s="9">
        <v>0</v>
      </c>
      <c r="CH194" s="9">
        <v>0</v>
      </c>
      <c r="CI194" s="9">
        <v>0</v>
      </c>
      <c r="CJ194" s="9">
        <v>0</v>
      </c>
      <c r="CK194" s="9">
        <v>0</v>
      </c>
      <c r="CL194" s="9">
        <v>0</v>
      </c>
      <c r="CM194" s="9">
        <v>0</v>
      </c>
      <c r="CN194" s="9">
        <v>0</v>
      </c>
      <c r="CO194" s="9">
        <v>0</v>
      </c>
      <c r="CP194" s="9">
        <v>0</v>
      </c>
      <c r="CQ194" s="9">
        <v>0</v>
      </c>
      <c r="CR194" s="9">
        <v>0</v>
      </c>
      <c r="CS194" s="9">
        <v>0</v>
      </c>
      <c r="CT194" s="9">
        <v>0</v>
      </c>
      <c r="CU194" s="9">
        <v>0</v>
      </c>
      <c r="CV194" s="9">
        <v>0</v>
      </c>
      <c r="CW194" s="9">
        <v>0</v>
      </c>
      <c r="CX194" s="9">
        <v>0</v>
      </c>
      <c r="CY194" s="9">
        <v>0</v>
      </c>
      <c r="CZ194" s="9">
        <v>0</v>
      </c>
      <c r="DA194" s="9">
        <v>0</v>
      </c>
      <c r="DB194" s="9">
        <v>0</v>
      </c>
      <c r="DC194" s="9">
        <v>0</v>
      </c>
      <c r="DD194" s="9">
        <v>0</v>
      </c>
      <c r="DE194" s="9">
        <v>0</v>
      </c>
      <c r="DF194" s="9">
        <v>0</v>
      </c>
      <c r="DG194" s="9">
        <v>0</v>
      </c>
      <c r="DH194" s="9">
        <v>0</v>
      </c>
      <c r="DI194" s="9">
        <v>0</v>
      </c>
      <c r="DJ194" s="9">
        <v>0</v>
      </c>
      <c r="DK194" s="9">
        <v>0</v>
      </c>
      <c r="DL194" s="9">
        <v>0</v>
      </c>
      <c r="DM194" s="9">
        <v>0</v>
      </c>
      <c r="DN194" s="9">
        <v>0</v>
      </c>
      <c r="DO194" s="9">
        <v>0</v>
      </c>
      <c r="DP194" s="9">
        <v>0</v>
      </c>
      <c r="DQ194" s="9">
        <v>0</v>
      </c>
      <c r="DR194" s="9">
        <v>0</v>
      </c>
      <c r="DS194" s="9">
        <v>0</v>
      </c>
      <c r="DT194" s="9">
        <v>0</v>
      </c>
      <c r="DU194" s="9">
        <v>0</v>
      </c>
      <c r="DV194" s="9">
        <v>0</v>
      </c>
      <c r="DW194" s="9">
        <v>0</v>
      </c>
      <c r="DX194" s="9">
        <v>0</v>
      </c>
      <c r="DY194" s="9">
        <v>0</v>
      </c>
      <c r="DZ194" s="9">
        <v>0</v>
      </c>
      <c r="EA194" s="9">
        <v>0</v>
      </c>
      <c r="EB194" s="9">
        <v>0</v>
      </c>
      <c r="EC194" s="9">
        <v>0</v>
      </c>
      <c r="ED194" s="9">
        <v>0</v>
      </c>
      <c r="EE194" s="9">
        <v>0</v>
      </c>
      <c r="EF194" s="9">
        <v>0</v>
      </c>
      <c r="EG194" s="9">
        <v>0</v>
      </c>
      <c r="EH194" s="9">
        <v>0</v>
      </c>
      <c r="EI194" s="10">
        <v>0</v>
      </c>
    </row>
    <row r="195" spans="1:139" x14ac:dyDescent="0.35">
      <c r="A195" s="8" t="s">
        <v>342</v>
      </c>
      <c r="B195" s="9" t="s">
        <v>7</v>
      </c>
      <c r="C195" s="9" t="s">
        <v>8</v>
      </c>
      <c r="D195" s="9">
        <f t="shared" ref="D195:D258" si="3">SUM(E195:EI195)</f>
        <v>0</v>
      </c>
      <c r="E195" s="9">
        <v>0</v>
      </c>
      <c r="F195" s="9">
        <v>0</v>
      </c>
      <c r="G195" s="9">
        <v>0</v>
      </c>
      <c r="H195" s="9">
        <v>0</v>
      </c>
      <c r="I195" s="9">
        <v>0</v>
      </c>
      <c r="J195" s="9">
        <v>0</v>
      </c>
      <c r="K195" s="9">
        <v>0</v>
      </c>
      <c r="L195" s="9">
        <v>0</v>
      </c>
      <c r="M195" s="9">
        <v>0</v>
      </c>
      <c r="N195" s="9">
        <v>0</v>
      </c>
      <c r="O195" s="9">
        <v>0</v>
      </c>
      <c r="P195" s="9">
        <v>0</v>
      </c>
      <c r="Q195" s="9">
        <v>0</v>
      </c>
      <c r="R195" s="9">
        <v>0</v>
      </c>
      <c r="S195" s="9">
        <v>0</v>
      </c>
      <c r="T195" s="9">
        <v>0</v>
      </c>
      <c r="U195" s="9">
        <v>0</v>
      </c>
      <c r="V195" s="9">
        <v>0</v>
      </c>
      <c r="W195" s="9">
        <v>0</v>
      </c>
      <c r="X195" s="9">
        <v>0</v>
      </c>
      <c r="Y195" s="9">
        <v>0</v>
      </c>
      <c r="Z195" s="9">
        <v>0</v>
      </c>
      <c r="AA195" s="9">
        <v>0</v>
      </c>
      <c r="AB195" s="9">
        <v>0</v>
      </c>
      <c r="AC195" s="9">
        <v>0</v>
      </c>
      <c r="AD195" s="9">
        <v>0</v>
      </c>
      <c r="AE195" s="9">
        <v>0</v>
      </c>
      <c r="AF195" s="9">
        <v>0</v>
      </c>
      <c r="AG195" s="9">
        <v>0</v>
      </c>
      <c r="AH195" s="9">
        <v>0</v>
      </c>
      <c r="AI195" s="9">
        <v>0</v>
      </c>
      <c r="AJ195" s="9">
        <v>0</v>
      </c>
      <c r="AK195" s="9">
        <v>0</v>
      </c>
      <c r="AL195" s="9">
        <v>0</v>
      </c>
      <c r="AM195" s="9">
        <v>0</v>
      </c>
      <c r="AN195" s="9">
        <v>0</v>
      </c>
      <c r="AO195" s="9">
        <v>0</v>
      </c>
      <c r="AP195" s="9">
        <v>0</v>
      </c>
      <c r="AQ195" s="9">
        <v>0</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0</v>
      </c>
      <c r="BK195" s="9">
        <v>0</v>
      </c>
      <c r="BL195" s="9">
        <v>0</v>
      </c>
      <c r="BM195" s="9">
        <v>0</v>
      </c>
      <c r="BN195" s="9">
        <v>0</v>
      </c>
      <c r="BO195" s="9">
        <v>0</v>
      </c>
      <c r="BP195" s="9">
        <v>0</v>
      </c>
      <c r="BQ195" s="9">
        <v>0</v>
      </c>
      <c r="BR195" s="9">
        <v>0</v>
      </c>
      <c r="BS195" s="9">
        <v>0</v>
      </c>
      <c r="BT195" s="9">
        <v>0</v>
      </c>
      <c r="BU195" s="9">
        <v>0</v>
      </c>
      <c r="BV195" s="9">
        <v>0</v>
      </c>
      <c r="BW195" s="9">
        <v>0</v>
      </c>
      <c r="BX195" s="9">
        <v>0</v>
      </c>
      <c r="BY195" s="9">
        <v>0</v>
      </c>
      <c r="BZ195" s="9">
        <v>0</v>
      </c>
      <c r="CA195" s="9">
        <v>0</v>
      </c>
      <c r="CB195" s="9">
        <v>0</v>
      </c>
      <c r="CC195" s="9">
        <v>0</v>
      </c>
      <c r="CD195" s="9">
        <v>0</v>
      </c>
      <c r="CE195" s="9">
        <v>0</v>
      </c>
      <c r="CF195" s="9">
        <v>0</v>
      </c>
      <c r="CG195" s="9">
        <v>0</v>
      </c>
      <c r="CH195" s="9">
        <v>0</v>
      </c>
      <c r="CI195" s="9">
        <v>0</v>
      </c>
      <c r="CJ195" s="9">
        <v>0</v>
      </c>
      <c r="CK195" s="9">
        <v>0</v>
      </c>
      <c r="CL195" s="9">
        <v>0</v>
      </c>
      <c r="CM195" s="9">
        <v>0</v>
      </c>
      <c r="CN195" s="9">
        <v>0</v>
      </c>
      <c r="CO195" s="9">
        <v>0</v>
      </c>
      <c r="CP195" s="9">
        <v>0</v>
      </c>
      <c r="CQ195" s="9">
        <v>0</v>
      </c>
      <c r="CR195" s="9">
        <v>0</v>
      </c>
      <c r="CS195" s="9">
        <v>0</v>
      </c>
      <c r="CT195" s="9">
        <v>0</v>
      </c>
      <c r="CU195" s="9">
        <v>0</v>
      </c>
      <c r="CV195" s="9">
        <v>0</v>
      </c>
      <c r="CW195" s="9">
        <v>0</v>
      </c>
      <c r="CX195" s="9">
        <v>0</v>
      </c>
      <c r="CY195" s="9">
        <v>0</v>
      </c>
      <c r="CZ195" s="9">
        <v>0</v>
      </c>
      <c r="DA195" s="9">
        <v>0</v>
      </c>
      <c r="DB195" s="9">
        <v>0</v>
      </c>
      <c r="DC195" s="9">
        <v>0</v>
      </c>
      <c r="DD195" s="9">
        <v>0</v>
      </c>
      <c r="DE195" s="9">
        <v>0</v>
      </c>
      <c r="DF195" s="9">
        <v>0</v>
      </c>
      <c r="DG195" s="9">
        <v>0</v>
      </c>
      <c r="DH195" s="9">
        <v>0</v>
      </c>
      <c r="DI195" s="9">
        <v>0</v>
      </c>
      <c r="DJ195" s="9">
        <v>0</v>
      </c>
      <c r="DK195" s="9">
        <v>0</v>
      </c>
      <c r="DL195" s="9">
        <v>0</v>
      </c>
      <c r="DM195" s="9">
        <v>0</v>
      </c>
      <c r="DN195" s="9">
        <v>0</v>
      </c>
      <c r="DO195" s="9">
        <v>0</v>
      </c>
      <c r="DP195" s="9">
        <v>0</v>
      </c>
      <c r="DQ195" s="9">
        <v>0</v>
      </c>
      <c r="DR195" s="9">
        <v>0</v>
      </c>
      <c r="DS195" s="9">
        <v>0</v>
      </c>
      <c r="DT195" s="9">
        <v>0</v>
      </c>
      <c r="DU195" s="9">
        <v>0</v>
      </c>
      <c r="DV195" s="9">
        <v>0</v>
      </c>
      <c r="DW195" s="9">
        <v>0</v>
      </c>
      <c r="DX195" s="9">
        <v>0</v>
      </c>
      <c r="DY195" s="9">
        <v>0</v>
      </c>
      <c r="DZ195" s="9">
        <v>0</v>
      </c>
      <c r="EA195" s="9">
        <v>0</v>
      </c>
      <c r="EB195" s="9">
        <v>0</v>
      </c>
      <c r="EC195" s="9">
        <v>0</v>
      </c>
      <c r="ED195" s="9">
        <v>0</v>
      </c>
      <c r="EE195" s="9">
        <v>0</v>
      </c>
      <c r="EF195" s="9">
        <v>0</v>
      </c>
      <c r="EG195" s="9">
        <v>0</v>
      </c>
      <c r="EH195" s="9">
        <v>0</v>
      </c>
      <c r="EI195" s="10">
        <v>0</v>
      </c>
    </row>
    <row r="196" spans="1:139" x14ac:dyDescent="0.35">
      <c r="A196" s="8" t="s">
        <v>342</v>
      </c>
      <c r="B196" s="9" t="s">
        <v>13</v>
      </c>
      <c r="C196" s="9" t="s">
        <v>14</v>
      </c>
      <c r="D196" s="9">
        <f t="shared" si="3"/>
        <v>0</v>
      </c>
      <c r="E196" s="9">
        <v>0</v>
      </c>
      <c r="F196" s="9">
        <v>0</v>
      </c>
      <c r="G196" s="9">
        <v>0</v>
      </c>
      <c r="H196" s="9">
        <v>0</v>
      </c>
      <c r="I196" s="9">
        <v>0</v>
      </c>
      <c r="J196" s="9">
        <v>0</v>
      </c>
      <c r="K196" s="9">
        <v>0</v>
      </c>
      <c r="L196" s="9">
        <v>0</v>
      </c>
      <c r="M196" s="9">
        <v>0</v>
      </c>
      <c r="N196" s="9">
        <v>0</v>
      </c>
      <c r="O196" s="9">
        <v>0</v>
      </c>
      <c r="P196" s="9">
        <v>0</v>
      </c>
      <c r="Q196" s="9">
        <v>0</v>
      </c>
      <c r="R196" s="9">
        <v>0</v>
      </c>
      <c r="S196" s="9">
        <v>0</v>
      </c>
      <c r="T196" s="9">
        <v>0</v>
      </c>
      <c r="U196" s="9">
        <v>0</v>
      </c>
      <c r="V196" s="9">
        <v>0</v>
      </c>
      <c r="W196" s="9">
        <v>0</v>
      </c>
      <c r="X196" s="9">
        <v>0</v>
      </c>
      <c r="Y196" s="9">
        <v>0</v>
      </c>
      <c r="Z196" s="9">
        <v>0</v>
      </c>
      <c r="AA196" s="9">
        <v>0</v>
      </c>
      <c r="AB196" s="9">
        <v>0</v>
      </c>
      <c r="AC196" s="9">
        <v>0</v>
      </c>
      <c r="AD196" s="9">
        <v>0</v>
      </c>
      <c r="AE196" s="9">
        <v>0</v>
      </c>
      <c r="AF196" s="9">
        <v>0</v>
      </c>
      <c r="AG196" s="9">
        <v>0</v>
      </c>
      <c r="AH196" s="9">
        <v>0</v>
      </c>
      <c r="AI196" s="9">
        <v>0</v>
      </c>
      <c r="AJ196" s="9">
        <v>0</v>
      </c>
      <c r="AK196" s="9">
        <v>0</v>
      </c>
      <c r="AL196" s="9">
        <v>0</v>
      </c>
      <c r="AM196" s="9">
        <v>0</v>
      </c>
      <c r="AN196" s="9">
        <v>0</v>
      </c>
      <c r="AO196" s="9">
        <v>0</v>
      </c>
      <c r="AP196" s="9">
        <v>0</v>
      </c>
      <c r="AQ196" s="9">
        <v>0</v>
      </c>
      <c r="AR196" s="9">
        <v>0</v>
      </c>
      <c r="AS196" s="9">
        <v>0</v>
      </c>
      <c r="AT196" s="9">
        <v>0</v>
      </c>
      <c r="AU196" s="9">
        <v>0</v>
      </c>
      <c r="AV196" s="9">
        <v>0</v>
      </c>
      <c r="AW196" s="9">
        <v>0</v>
      </c>
      <c r="AX196" s="9">
        <v>0</v>
      </c>
      <c r="AY196" s="9">
        <v>0</v>
      </c>
      <c r="AZ196" s="9">
        <v>0</v>
      </c>
      <c r="BA196" s="9">
        <v>0</v>
      </c>
      <c r="BB196" s="9">
        <v>0</v>
      </c>
      <c r="BC196" s="9">
        <v>0</v>
      </c>
      <c r="BD196" s="9">
        <v>0</v>
      </c>
      <c r="BE196" s="9">
        <v>0</v>
      </c>
      <c r="BF196" s="9">
        <v>0</v>
      </c>
      <c r="BG196" s="9">
        <v>0</v>
      </c>
      <c r="BH196" s="9">
        <v>0</v>
      </c>
      <c r="BI196" s="9">
        <v>0</v>
      </c>
      <c r="BJ196" s="9">
        <v>0</v>
      </c>
      <c r="BK196" s="9">
        <v>0</v>
      </c>
      <c r="BL196" s="9">
        <v>0</v>
      </c>
      <c r="BM196" s="9">
        <v>0</v>
      </c>
      <c r="BN196" s="9">
        <v>0</v>
      </c>
      <c r="BO196" s="9">
        <v>0</v>
      </c>
      <c r="BP196" s="9">
        <v>0</v>
      </c>
      <c r="BQ196" s="9">
        <v>0</v>
      </c>
      <c r="BR196" s="9">
        <v>0</v>
      </c>
      <c r="BS196" s="9">
        <v>0</v>
      </c>
      <c r="BT196" s="9">
        <v>0</v>
      </c>
      <c r="BU196" s="9">
        <v>0</v>
      </c>
      <c r="BV196" s="9">
        <v>0</v>
      </c>
      <c r="BW196" s="9">
        <v>0</v>
      </c>
      <c r="BX196" s="9">
        <v>0</v>
      </c>
      <c r="BY196" s="9">
        <v>0</v>
      </c>
      <c r="BZ196" s="9">
        <v>0</v>
      </c>
      <c r="CA196" s="9">
        <v>0</v>
      </c>
      <c r="CB196" s="9">
        <v>0</v>
      </c>
      <c r="CC196" s="9">
        <v>0</v>
      </c>
      <c r="CD196" s="9">
        <v>0</v>
      </c>
      <c r="CE196" s="9">
        <v>0</v>
      </c>
      <c r="CF196" s="9">
        <v>0</v>
      </c>
      <c r="CG196" s="9">
        <v>0</v>
      </c>
      <c r="CH196" s="9">
        <v>0</v>
      </c>
      <c r="CI196" s="9">
        <v>0</v>
      </c>
      <c r="CJ196" s="9">
        <v>0</v>
      </c>
      <c r="CK196" s="9">
        <v>0</v>
      </c>
      <c r="CL196" s="9">
        <v>0</v>
      </c>
      <c r="CM196" s="9">
        <v>0</v>
      </c>
      <c r="CN196" s="9">
        <v>0</v>
      </c>
      <c r="CO196" s="9">
        <v>0</v>
      </c>
      <c r="CP196" s="9">
        <v>0</v>
      </c>
      <c r="CQ196" s="9">
        <v>0</v>
      </c>
      <c r="CR196" s="9">
        <v>0</v>
      </c>
      <c r="CS196" s="9">
        <v>0</v>
      </c>
      <c r="CT196" s="9">
        <v>0</v>
      </c>
      <c r="CU196" s="9">
        <v>0</v>
      </c>
      <c r="CV196" s="9">
        <v>0</v>
      </c>
      <c r="CW196" s="9">
        <v>0</v>
      </c>
      <c r="CX196" s="9">
        <v>0</v>
      </c>
      <c r="CY196" s="9">
        <v>0</v>
      </c>
      <c r="CZ196" s="9">
        <v>0</v>
      </c>
      <c r="DA196" s="9">
        <v>0</v>
      </c>
      <c r="DB196" s="9">
        <v>0</v>
      </c>
      <c r="DC196" s="9">
        <v>0</v>
      </c>
      <c r="DD196" s="9">
        <v>0</v>
      </c>
      <c r="DE196" s="9">
        <v>0</v>
      </c>
      <c r="DF196" s="9">
        <v>0</v>
      </c>
      <c r="DG196" s="9">
        <v>0</v>
      </c>
      <c r="DH196" s="9">
        <v>0</v>
      </c>
      <c r="DI196" s="9">
        <v>0</v>
      </c>
      <c r="DJ196" s="9">
        <v>0</v>
      </c>
      <c r="DK196" s="9">
        <v>0</v>
      </c>
      <c r="DL196" s="9">
        <v>0</v>
      </c>
      <c r="DM196" s="9">
        <v>0</v>
      </c>
      <c r="DN196" s="9">
        <v>0</v>
      </c>
      <c r="DO196" s="9">
        <v>0</v>
      </c>
      <c r="DP196" s="9">
        <v>0</v>
      </c>
      <c r="DQ196" s="9">
        <v>0</v>
      </c>
      <c r="DR196" s="9">
        <v>0</v>
      </c>
      <c r="DS196" s="9">
        <v>0</v>
      </c>
      <c r="DT196" s="9">
        <v>0</v>
      </c>
      <c r="DU196" s="9">
        <v>0</v>
      </c>
      <c r="DV196" s="9">
        <v>0</v>
      </c>
      <c r="DW196" s="9">
        <v>0</v>
      </c>
      <c r="DX196" s="9">
        <v>0</v>
      </c>
      <c r="DY196" s="9">
        <v>0</v>
      </c>
      <c r="DZ196" s="9">
        <v>0</v>
      </c>
      <c r="EA196" s="9">
        <v>0</v>
      </c>
      <c r="EB196" s="9">
        <v>0</v>
      </c>
      <c r="EC196" s="9">
        <v>0</v>
      </c>
      <c r="ED196" s="9">
        <v>0</v>
      </c>
      <c r="EE196" s="9">
        <v>0</v>
      </c>
      <c r="EF196" s="9">
        <v>0</v>
      </c>
      <c r="EG196" s="9">
        <v>0</v>
      </c>
      <c r="EH196" s="9">
        <v>0</v>
      </c>
      <c r="EI196" s="10">
        <v>0</v>
      </c>
    </row>
    <row r="197" spans="1:139" x14ac:dyDescent="0.35">
      <c r="A197" s="8" t="s">
        <v>342</v>
      </c>
      <c r="B197" s="9" t="s">
        <v>19</v>
      </c>
      <c r="C197" s="9" t="s">
        <v>20</v>
      </c>
      <c r="D197" s="9">
        <f t="shared" si="3"/>
        <v>0</v>
      </c>
      <c r="E197" s="9">
        <v>0</v>
      </c>
      <c r="F197" s="9">
        <v>0</v>
      </c>
      <c r="G197" s="9">
        <v>0</v>
      </c>
      <c r="H197" s="9">
        <v>0</v>
      </c>
      <c r="I197" s="9">
        <v>0</v>
      </c>
      <c r="J197" s="9">
        <v>0</v>
      </c>
      <c r="K197" s="9">
        <v>0</v>
      </c>
      <c r="L197" s="9">
        <v>0</v>
      </c>
      <c r="M197" s="9">
        <v>0</v>
      </c>
      <c r="N197" s="9">
        <v>0</v>
      </c>
      <c r="O197" s="9">
        <v>0</v>
      </c>
      <c r="P197" s="9">
        <v>0</v>
      </c>
      <c r="Q197" s="9">
        <v>0</v>
      </c>
      <c r="R197" s="9">
        <v>0</v>
      </c>
      <c r="S197" s="9">
        <v>0</v>
      </c>
      <c r="T197" s="9">
        <v>0</v>
      </c>
      <c r="U197" s="9">
        <v>0</v>
      </c>
      <c r="V197" s="9">
        <v>0</v>
      </c>
      <c r="W197" s="9">
        <v>0</v>
      </c>
      <c r="X197" s="9">
        <v>0</v>
      </c>
      <c r="Y197" s="9">
        <v>0</v>
      </c>
      <c r="Z197" s="9">
        <v>0</v>
      </c>
      <c r="AA197" s="9">
        <v>0</v>
      </c>
      <c r="AB197" s="9">
        <v>0</v>
      </c>
      <c r="AC197" s="9">
        <v>0</v>
      </c>
      <c r="AD197" s="9">
        <v>0</v>
      </c>
      <c r="AE197" s="9">
        <v>0</v>
      </c>
      <c r="AF197" s="9">
        <v>0</v>
      </c>
      <c r="AG197" s="9">
        <v>0</v>
      </c>
      <c r="AH197" s="9">
        <v>0</v>
      </c>
      <c r="AI197" s="9">
        <v>0</v>
      </c>
      <c r="AJ197" s="9">
        <v>0</v>
      </c>
      <c r="AK197" s="9">
        <v>0</v>
      </c>
      <c r="AL197" s="9">
        <v>0</v>
      </c>
      <c r="AM197" s="9">
        <v>0</v>
      </c>
      <c r="AN197" s="9">
        <v>0</v>
      </c>
      <c r="AO197" s="9">
        <v>0</v>
      </c>
      <c r="AP197" s="9">
        <v>0</v>
      </c>
      <c r="AQ197" s="9">
        <v>0</v>
      </c>
      <c r="AR197" s="9">
        <v>0</v>
      </c>
      <c r="AS197" s="9">
        <v>0</v>
      </c>
      <c r="AT197" s="9">
        <v>0</v>
      </c>
      <c r="AU197" s="9">
        <v>0</v>
      </c>
      <c r="AV197" s="9">
        <v>0</v>
      </c>
      <c r="AW197" s="9">
        <v>0</v>
      </c>
      <c r="AX197" s="9">
        <v>0</v>
      </c>
      <c r="AY197" s="9">
        <v>0</v>
      </c>
      <c r="AZ197" s="9">
        <v>0</v>
      </c>
      <c r="BA197" s="9">
        <v>0</v>
      </c>
      <c r="BB197" s="9">
        <v>0</v>
      </c>
      <c r="BC197" s="9">
        <v>0</v>
      </c>
      <c r="BD197" s="9">
        <v>0</v>
      </c>
      <c r="BE197" s="9">
        <v>0</v>
      </c>
      <c r="BF197" s="9">
        <v>0</v>
      </c>
      <c r="BG197" s="9">
        <v>0</v>
      </c>
      <c r="BH197" s="9">
        <v>0</v>
      </c>
      <c r="BI197" s="9">
        <v>0</v>
      </c>
      <c r="BJ197" s="9">
        <v>0</v>
      </c>
      <c r="BK197" s="9">
        <v>0</v>
      </c>
      <c r="BL197" s="9">
        <v>0</v>
      </c>
      <c r="BM197" s="9">
        <v>0</v>
      </c>
      <c r="BN197" s="9">
        <v>0</v>
      </c>
      <c r="BO197" s="9">
        <v>0</v>
      </c>
      <c r="BP197" s="9">
        <v>0</v>
      </c>
      <c r="BQ197" s="9">
        <v>0</v>
      </c>
      <c r="BR197" s="9">
        <v>0</v>
      </c>
      <c r="BS197" s="9">
        <v>0</v>
      </c>
      <c r="BT197" s="9">
        <v>0</v>
      </c>
      <c r="BU197" s="9">
        <v>0</v>
      </c>
      <c r="BV197" s="9">
        <v>0</v>
      </c>
      <c r="BW197" s="9">
        <v>0</v>
      </c>
      <c r="BX197" s="9">
        <v>0</v>
      </c>
      <c r="BY197" s="9">
        <v>0</v>
      </c>
      <c r="BZ197" s="9">
        <v>0</v>
      </c>
      <c r="CA197" s="9">
        <v>0</v>
      </c>
      <c r="CB197" s="9">
        <v>0</v>
      </c>
      <c r="CC197" s="9">
        <v>0</v>
      </c>
      <c r="CD197" s="9">
        <v>0</v>
      </c>
      <c r="CE197" s="9">
        <v>0</v>
      </c>
      <c r="CF197" s="9">
        <v>0</v>
      </c>
      <c r="CG197" s="9">
        <v>0</v>
      </c>
      <c r="CH197" s="9">
        <v>0</v>
      </c>
      <c r="CI197" s="9">
        <v>0</v>
      </c>
      <c r="CJ197" s="9">
        <v>0</v>
      </c>
      <c r="CK197" s="9">
        <v>0</v>
      </c>
      <c r="CL197" s="9">
        <v>0</v>
      </c>
      <c r="CM197" s="9">
        <v>0</v>
      </c>
      <c r="CN197" s="9">
        <v>0</v>
      </c>
      <c r="CO197" s="9">
        <v>0</v>
      </c>
      <c r="CP197" s="9">
        <v>0</v>
      </c>
      <c r="CQ197" s="9">
        <v>0</v>
      </c>
      <c r="CR197" s="9">
        <v>0</v>
      </c>
      <c r="CS197" s="9">
        <v>0</v>
      </c>
      <c r="CT197" s="9">
        <v>0</v>
      </c>
      <c r="CU197" s="9">
        <v>0</v>
      </c>
      <c r="CV197" s="9">
        <v>0</v>
      </c>
      <c r="CW197" s="9">
        <v>0</v>
      </c>
      <c r="CX197" s="9">
        <v>0</v>
      </c>
      <c r="CY197" s="9">
        <v>0</v>
      </c>
      <c r="CZ197" s="9">
        <v>0</v>
      </c>
      <c r="DA197" s="9">
        <v>0</v>
      </c>
      <c r="DB197" s="9">
        <v>0</v>
      </c>
      <c r="DC197" s="9">
        <v>0</v>
      </c>
      <c r="DD197" s="9">
        <v>0</v>
      </c>
      <c r="DE197" s="9">
        <v>0</v>
      </c>
      <c r="DF197" s="9">
        <v>0</v>
      </c>
      <c r="DG197" s="9">
        <v>0</v>
      </c>
      <c r="DH197" s="9">
        <v>0</v>
      </c>
      <c r="DI197" s="9">
        <v>0</v>
      </c>
      <c r="DJ197" s="9">
        <v>0</v>
      </c>
      <c r="DK197" s="9">
        <v>0</v>
      </c>
      <c r="DL197" s="9">
        <v>0</v>
      </c>
      <c r="DM197" s="9">
        <v>0</v>
      </c>
      <c r="DN197" s="9">
        <v>0</v>
      </c>
      <c r="DO197" s="9">
        <v>0</v>
      </c>
      <c r="DP197" s="9">
        <v>0</v>
      </c>
      <c r="DQ197" s="9">
        <v>0</v>
      </c>
      <c r="DR197" s="9">
        <v>0</v>
      </c>
      <c r="DS197" s="9">
        <v>0</v>
      </c>
      <c r="DT197" s="9">
        <v>0</v>
      </c>
      <c r="DU197" s="9">
        <v>0</v>
      </c>
      <c r="DV197" s="9">
        <v>0</v>
      </c>
      <c r="DW197" s="9">
        <v>0</v>
      </c>
      <c r="DX197" s="9">
        <v>0</v>
      </c>
      <c r="DY197" s="9">
        <v>0</v>
      </c>
      <c r="DZ197" s="9">
        <v>0</v>
      </c>
      <c r="EA197" s="9">
        <v>0</v>
      </c>
      <c r="EB197" s="9">
        <v>0</v>
      </c>
      <c r="EC197" s="9">
        <v>0</v>
      </c>
      <c r="ED197" s="9">
        <v>0</v>
      </c>
      <c r="EE197" s="9">
        <v>0</v>
      </c>
      <c r="EF197" s="9">
        <v>0</v>
      </c>
      <c r="EG197" s="9">
        <v>0</v>
      </c>
      <c r="EH197" s="9">
        <v>0</v>
      </c>
      <c r="EI197" s="10">
        <v>0</v>
      </c>
    </row>
    <row r="198" spans="1:139" x14ac:dyDescent="0.35">
      <c r="A198" s="8" t="s">
        <v>342</v>
      </c>
      <c r="B198" s="9" t="s">
        <v>21</v>
      </c>
      <c r="C198" s="9" t="s">
        <v>22</v>
      </c>
      <c r="D198" s="9">
        <f t="shared" si="3"/>
        <v>0</v>
      </c>
      <c r="E198" s="9">
        <v>0</v>
      </c>
      <c r="F198" s="9">
        <v>0</v>
      </c>
      <c r="G198" s="9">
        <v>0</v>
      </c>
      <c r="H198" s="9">
        <v>0</v>
      </c>
      <c r="I198" s="9">
        <v>0</v>
      </c>
      <c r="J198" s="9">
        <v>0</v>
      </c>
      <c r="K198" s="9">
        <v>0</v>
      </c>
      <c r="L198" s="9">
        <v>0</v>
      </c>
      <c r="M198" s="9">
        <v>0</v>
      </c>
      <c r="N198" s="9">
        <v>0</v>
      </c>
      <c r="O198" s="9">
        <v>0</v>
      </c>
      <c r="P198" s="9">
        <v>0</v>
      </c>
      <c r="Q198" s="9">
        <v>0</v>
      </c>
      <c r="R198" s="9">
        <v>0</v>
      </c>
      <c r="S198" s="9">
        <v>0</v>
      </c>
      <c r="T198" s="9">
        <v>0</v>
      </c>
      <c r="U198" s="9">
        <v>0</v>
      </c>
      <c r="V198" s="9">
        <v>0</v>
      </c>
      <c r="W198" s="9">
        <v>0</v>
      </c>
      <c r="X198" s="9">
        <v>0</v>
      </c>
      <c r="Y198" s="9">
        <v>0</v>
      </c>
      <c r="Z198" s="9">
        <v>0</v>
      </c>
      <c r="AA198" s="9">
        <v>0</v>
      </c>
      <c r="AB198" s="9">
        <v>0</v>
      </c>
      <c r="AC198" s="9">
        <v>0</v>
      </c>
      <c r="AD198" s="9">
        <v>0</v>
      </c>
      <c r="AE198" s="9">
        <v>0</v>
      </c>
      <c r="AF198" s="9">
        <v>0</v>
      </c>
      <c r="AG198" s="9">
        <v>0</v>
      </c>
      <c r="AH198" s="9">
        <v>0</v>
      </c>
      <c r="AI198" s="9">
        <v>0</v>
      </c>
      <c r="AJ198" s="9">
        <v>0</v>
      </c>
      <c r="AK198" s="9">
        <v>0</v>
      </c>
      <c r="AL198" s="9">
        <v>0</v>
      </c>
      <c r="AM198" s="9">
        <v>0</v>
      </c>
      <c r="AN198" s="9">
        <v>0</v>
      </c>
      <c r="AO198" s="9">
        <v>0</v>
      </c>
      <c r="AP198" s="9">
        <v>0</v>
      </c>
      <c r="AQ198" s="9">
        <v>0</v>
      </c>
      <c r="AR198" s="9">
        <v>0</v>
      </c>
      <c r="AS198" s="9">
        <v>0</v>
      </c>
      <c r="AT198" s="9">
        <v>0</v>
      </c>
      <c r="AU198" s="9">
        <v>0</v>
      </c>
      <c r="AV198" s="9">
        <v>0</v>
      </c>
      <c r="AW198" s="9">
        <v>0</v>
      </c>
      <c r="AX198" s="9">
        <v>0</v>
      </c>
      <c r="AY198" s="9">
        <v>0</v>
      </c>
      <c r="AZ198" s="9">
        <v>0</v>
      </c>
      <c r="BA198" s="9">
        <v>0</v>
      </c>
      <c r="BB198" s="9">
        <v>0</v>
      </c>
      <c r="BC198" s="9">
        <v>0</v>
      </c>
      <c r="BD198" s="9">
        <v>0</v>
      </c>
      <c r="BE198" s="9">
        <v>0</v>
      </c>
      <c r="BF198" s="9">
        <v>0</v>
      </c>
      <c r="BG198" s="9">
        <v>0</v>
      </c>
      <c r="BH198" s="9">
        <v>0</v>
      </c>
      <c r="BI198" s="9">
        <v>0</v>
      </c>
      <c r="BJ198" s="9">
        <v>0</v>
      </c>
      <c r="BK198" s="9">
        <v>0</v>
      </c>
      <c r="BL198" s="9">
        <v>0</v>
      </c>
      <c r="BM198" s="9">
        <v>0</v>
      </c>
      <c r="BN198" s="9">
        <v>0</v>
      </c>
      <c r="BO198" s="9">
        <v>0</v>
      </c>
      <c r="BP198" s="9">
        <v>0</v>
      </c>
      <c r="BQ198" s="9">
        <v>0</v>
      </c>
      <c r="BR198" s="9">
        <v>0</v>
      </c>
      <c r="BS198" s="9">
        <v>0</v>
      </c>
      <c r="BT198" s="9">
        <v>0</v>
      </c>
      <c r="BU198" s="9">
        <v>0</v>
      </c>
      <c r="BV198" s="9">
        <v>0</v>
      </c>
      <c r="BW198" s="9">
        <v>0</v>
      </c>
      <c r="BX198" s="9">
        <v>0</v>
      </c>
      <c r="BY198" s="9">
        <v>0</v>
      </c>
      <c r="BZ198" s="9">
        <v>0</v>
      </c>
      <c r="CA198" s="9">
        <v>0</v>
      </c>
      <c r="CB198" s="9">
        <v>0</v>
      </c>
      <c r="CC198" s="9">
        <v>0</v>
      </c>
      <c r="CD198" s="9">
        <v>0</v>
      </c>
      <c r="CE198" s="9">
        <v>0</v>
      </c>
      <c r="CF198" s="9">
        <v>0</v>
      </c>
      <c r="CG198" s="9">
        <v>0</v>
      </c>
      <c r="CH198" s="9">
        <v>0</v>
      </c>
      <c r="CI198" s="9">
        <v>0</v>
      </c>
      <c r="CJ198" s="9">
        <v>0</v>
      </c>
      <c r="CK198" s="9">
        <v>0</v>
      </c>
      <c r="CL198" s="9">
        <v>0</v>
      </c>
      <c r="CM198" s="9">
        <v>0</v>
      </c>
      <c r="CN198" s="9">
        <v>0</v>
      </c>
      <c r="CO198" s="9">
        <v>0</v>
      </c>
      <c r="CP198" s="9">
        <v>0</v>
      </c>
      <c r="CQ198" s="9">
        <v>0</v>
      </c>
      <c r="CR198" s="9">
        <v>0</v>
      </c>
      <c r="CS198" s="9">
        <v>0</v>
      </c>
      <c r="CT198" s="9">
        <v>0</v>
      </c>
      <c r="CU198" s="9">
        <v>0</v>
      </c>
      <c r="CV198" s="9">
        <v>0</v>
      </c>
      <c r="CW198" s="9">
        <v>0</v>
      </c>
      <c r="CX198" s="9">
        <v>0</v>
      </c>
      <c r="CY198" s="9">
        <v>0</v>
      </c>
      <c r="CZ198" s="9">
        <v>0</v>
      </c>
      <c r="DA198" s="9">
        <v>0</v>
      </c>
      <c r="DB198" s="9">
        <v>0</v>
      </c>
      <c r="DC198" s="9">
        <v>0</v>
      </c>
      <c r="DD198" s="9">
        <v>0</v>
      </c>
      <c r="DE198" s="9">
        <v>0</v>
      </c>
      <c r="DF198" s="9">
        <v>0</v>
      </c>
      <c r="DG198" s="9">
        <v>0</v>
      </c>
      <c r="DH198" s="9">
        <v>0</v>
      </c>
      <c r="DI198" s="9">
        <v>0</v>
      </c>
      <c r="DJ198" s="9">
        <v>0</v>
      </c>
      <c r="DK198" s="9">
        <v>0</v>
      </c>
      <c r="DL198" s="9">
        <v>0</v>
      </c>
      <c r="DM198" s="9">
        <v>0</v>
      </c>
      <c r="DN198" s="9">
        <v>0</v>
      </c>
      <c r="DO198" s="9">
        <v>0</v>
      </c>
      <c r="DP198" s="9">
        <v>0</v>
      </c>
      <c r="DQ198" s="9">
        <v>0</v>
      </c>
      <c r="DR198" s="9">
        <v>0</v>
      </c>
      <c r="DS198" s="9">
        <v>0</v>
      </c>
      <c r="DT198" s="9">
        <v>0</v>
      </c>
      <c r="DU198" s="9">
        <v>0</v>
      </c>
      <c r="DV198" s="9">
        <v>0</v>
      </c>
      <c r="DW198" s="9">
        <v>0</v>
      </c>
      <c r="DX198" s="9">
        <v>0</v>
      </c>
      <c r="DY198" s="9">
        <v>0</v>
      </c>
      <c r="DZ198" s="9">
        <v>0</v>
      </c>
      <c r="EA198" s="9">
        <v>0</v>
      </c>
      <c r="EB198" s="9">
        <v>0</v>
      </c>
      <c r="EC198" s="9">
        <v>0</v>
      </c>
      <c r="ED198" s="9">
        <v>0</v>
      </c>
      <c r="EE198" s="9">
        <v>0</v>
      </c>
      <c r="EF198" s="9">
        <v>0</v>
      </c>
      <c r="EG198" s="9">
        <v>0</v>
      </c>
      <c r="EH198" s="9">
        <v>0</v>
      </c>
      <c r="EI198" s="10">
        <v>0</v>
      </c>
    </row>
    <row r="199" spans="1:139" x14ac:dyDescent="0.35">
      <c r="A199" s="8" t="s">
        <v>342</v>
      </c>
      <c r="B199" s="9" t="s">
        <v>23</v>
      </c>
      <c r="C199" s="9" t="s">
        <v>24</v>
      </c>
      <c r="D199" s="9">
        <f t="shared" si="3"/>
        <v>0</v>
      </c>
      <c r="E199" s="9">
        <v>0</v>
      </c>
      <c r="F199" s="9">
        <v>0</v>
      </c>
      <c r="G199" s="9">
        <v>0</v>
      </c>
      <c r="H199" s="9">
        <v>0</v>
      </c>
      <c r="I199" s="9">
        <v>0</v>
      </c>
      <c r="J199" s="9">
        <v>0</v>
      </c>
      <c r="K199" s="9">
        <v>0</v>
      </c>
      <c r="L199" s="9">
        <v>0</v>
      </c>
      <c r="M199" s="9">
        <v>0</v>
      </c>
      <c r="N199" s="9">
        <v>0</v>
      </c>
      <c r="O199" s="9">
        <v>0</v>
      </c>
      <c r="P199" s="9">
        <v>0</v>
      </c>
      <c r="Q199" s="9">
        <v>0</v>
      </c>
      <c r="R199" s="9">
        <v>0</v>
      </c>
      <c r="S199" s="9">
        <v>0</v>
      </c>
      <c r="T199" s="9">
        <v>0</v>
      </c>
      <c r="U199" s="9">
        <v>0</v>
      </c>
      <c r="V199" s="9">
        <v>0</v>
      </c>
      <c r="W199" s="9">
        <v>0</v>
      </c>
      <c r="X199" s="9">
        <v>0</v>
      </c>
      <c r="Y199" s="9">
        <v>0</v>
      </c>
      <c r="Z199" s="9">
        <v>0</v>
      </c>
      <c r="AA199" s="9">
        <v>0</v>
      </c>
      <c r="AB199" s="9">
        <v>0</v>
      </c>
      <c r="AC199" s="9">
        <v>0</v>
      </c>
      <c r="AD199" s="9">
        <v>0</v>
      </c>
      <c r="AE199" s="9">
        <v>0</v>
      </c>
      <c r="AF199" s="9">
        <v>0</v>
      </c>
      <c r="AG199" s="9">
        <v>0</v>
      </c>
      <c r="AH199" s="9">
        <v>0</v>
      </c>
      <c r="AI199" s="9">
        <v>0</v>
      </c>
      <c r="AJ199" s="9">
        <v>0</v>
      </c>
      <c r="AK199" s="9">
        <v>0</v>
      </c>
      <c r="AL199" s="9">
        <v>0</v>
      </c>
      <c r="AM199" s="9">
        <v>0</v>
      </c>
      <c r="AN199" s="9">
        <v>0</v>
      </c>
      <c r="AO199" s="9">
        <v>0</v>
      </c>
      <c r="AP199" s="9">
        <v>0</v>
      </c>
      <c r="AQ199" s="9">
        <v>0</v>
      </c>
      <c r="AR199" s="9">
        <v>0</v>
      </c>
      <c r="AS199" s="9">
        <v>0</v>
      </c>
      <c r="AT199" s="9">
        <v>0</v>
      </c>
      <c r="AU199" s="9">
        <v>0</v>
      </c>
      <c r="AV199" s="9">
        <v>0</v>
      </c>
      <c r="AW199" s="9">
        <v>0</v>
      </c>
      <c r="AX199" s="9">
        <v>0</v>
      </c>
      <c r="AY199" s="9">
        <v>0</v>
      </c>
      <c r="AZ199" s="9">
        <v>0</v>
      </c>
      <c r="BA199" s="9">
        <v>0</v>
      </c>
      <c r="BB199" s="9">
        <v>0</v>
      </c>
      <c r="BC199" s="9">
        <v>0</v>
      </c>
      <c r="BD199" s="9">
        <v>0</v>
      </c>
      <c r="BE199" s="9">
        <v>0</v>
      </c>
      <c r="BF199" s="9">
        <v>0</v>
      </c>
      <c r="BG199" s="9">
        <v>0</v>
      </c>
      <c r="BH199" s="9">
        <v>0</v>
      </c>
      <c r="BI199" s="9">
        <v>0</v>
      </c>
      <c r="BJ199" s="9">
        <v>0</v>
      </c>
      <c r="BK199" s="9">
        <v>0</v>
      </c>
      <c r="BL199" s="9">
        <v>0</v>
      </c>
      <c r="BM199" s="9">
        <v>0</v>
      </c>
      <c r="BN199" s="9">
        <v>0</v>
      </c>
      <c r="BO199" s="9">
        <v>0</v>
      </c>
      <c r="BP199" s="9">
        <v>0</v>
      </c>
      <c r="BQ199" s="9">
        <v>0</v>
      </c>
      <c r="BR199" s="9">
        <v>0</v>
      </c>
      <c r="BS199" s="9">
        <v>0</v>
      </c>
      <c r="BT199" s="9">
        <v>0</v>
      </c>
      <c r="BU199" s="9">
        <v>0</v>
      </c>
      <c r="BV199" s="9">
        <v>0</v>
      </c>
      <c r="BW199" s="9">
        <v>0</v>
      </c>
      <c r="BX199" s="9">
        <v>0</v>
      </c>
      <c r="BY199" s="9">
        <v>0</v>
      </c>
      <c r="BZ199" s="9">
        <v>0</v>
      </c>
      <c r="CA199" s="9">
        <v>0</v>
      </c>
      <c r="CB199" s="9">
        <v>0</v>
      </c>
      <c r="CC199" s="9">
        <v>0</v>
      </c>
      <c r="CD199" s="9">
        <v>0</v>
      </c>
      <c r="CE199" s="9">
        <v>0</v>
      </c>
      <c r="CF199" s="9">
        <v>0</v>
      </c>
      <c r="CG199" s="9">
        <v>0</v>
      </c>
      <c r="CH199" s="9">
        <v>0</v>
      </c>
      <c r="CI199" s="9">
        <v>0</v>
      </c>
      <c r="CJ199" s="9">
        <v>0</v>
      </c>
      <c r="CK199" s="9">
        <v>0</v>
      </c>
      <c r="CL199" s="9">
        <v>0</v>
      </c>
      <c r="CM199" s="9">
        <v>0</v>
      </c>
      <c r="CN199" s="9">
        <v>0</v>
      </c>
      <c r="CO199" s="9">
        <v>0</v>
      </c>
      <c r="CP199" s="9">
        <v>0</v>
      </c>
      <c r="CQ199" s="9">
        <v>0</v>
      </c>
      <c r="CR199" s="9">
        <v>0</v>
      </c>
      <c r="CS199" s="9">
        <v>0</v>
      </c>
      <c r="CT199" s="9">
        <v>0</v>
      </c>
      <c r="CU199" s="9">
        <v>0</v>
      </c>
      <c r="CV199" s="9">
        <v>0</v>
      </c>
      <c r="CW199" s="9">
        <v>0</v>
      </c>
      <c r="CX199" s="9">
        <v>0</v>
      </c>
      <c r="CY199" s="9">
        <v>0</v>
      </c>
      <c r="CZ199" s="9">
        <v>0</v>
      </c>
      <c r="DA199" s="9">
        <v>0</v>
      </c>
      <c r="DB199" s="9">
        <v>0</v>
      </c>
      <c r="DC199" s="9">
        <v>0</v>
      </c>
      <c r="DD199" s="9">
        <v>0</v>
      </c>
      <c r="DE199" s="9">
        <v>0</v>
      </c>
      <c r="DF199" s="9">
        <v>0</v>
      </c>
      <c r="DG199" s="9">
        <v>0</v>
      </c>
      <c r="DH199" s="9">
        <v>0</v>
      </c>
      <c r="DI199" s="9">
        <v>0</v>
      </c>
      <c r="DJ199" s="9">
        <v>0</v>
      </c>
      <c r="DK199" s="9">
        <v>0</v>
      </c>
      <c r="DL199" s="9">
        <v>0</v>
      </c>
      <c r="DM199" s="9">
        <v>0</v>
      </c>
      <c r="DN199" s="9">
        <v>0</v>
      </c>
      <c r="DO199" s="9">
        <v>0</v>
      </c>
      <c r="DP199" s="9">
        <v>0</v>
      </c>
      <c r="DQ199" s="9">
        <v>0</v>
      </c>
      <c r="DR199" s="9">
        <v>0</v>
      </c>
      <c r="DS199" s="9">
        <v>0</v>
      </c>
      <c r="DT199" s="9">
        <v>0</v>
      </c>
      <c r="DU199" s="9">
        <v>0</v>
      </c>
      <c r="DV199" s="9">
        <v>0</v>
      </c>
      <c r="DW199" s="9">
        <v>0</v>
      </c>
      <c r="DX199" s="9">
        <v>0</v>
      </c>
      <c r="DY199" s="9">
        <v>0</v>
      </c>
      <c r="DZ199" s="9">
        <v>0</v>
      </c>
      <c r="EA199" s="9">
        <v>0</v>
      </c>
      <c r="EB199" s="9">
        <v>0</v>
      </c>
      <c r="EC199" s="9">
        <v>0</v>
      </c>
      <c r="ED199" s="9">
        <v>0</v>
      </c>
      <c r="EE199" s="9">
        <v>0</v>
      </c>
      <c r="EF199" s="9">
        <v>0</v>
      </c>
      <c r="EG199" s="9">
        <v>0</v>
      </c>
      <c r="EH199" s="9">
        <v>0</v>
      </c>
      <c r="EI199" s="10">
        <v>0</v>
      </c>
    </row>
    <row r="200" spans="1:139" x14ac:dyDescent="0.35">
      <c r="A200" s="8" t="s">
        <v>342</v>
      </c>
      <c r="B200" s="9" t="s">
        <v>183</v>
      </c>
      <c r="C200" s="9" t="s">
        <v>184</v>
      </c>
      <c r="D200" s="9">
        <f t="shared" si="3"/>
        <v>0</v>
      </c>
      <c r="E200" s="9">
        <v>0</v>
      </c>
      <c r="F200" s="9">
        <v>0</v>
      </c>
      <c r="G200" s="9">
        <v>0</v>
      </c>
      <c r="H200" s="9">
        <v>0</v>
      </c>
      <c r="I200" s="9">
        <v>0</v>
      </c>
      <c r="J200" s="9">
        <v>0</v>
      </c>
      <c r="K200" s="9">
        <v>0</v>
      </c>
      <c r="L200" s="9">
        <v>0</v>
      </c>
      <c r="M200" s="9">
        <v>0</v>
      </c>
      <c r="N200" s="9">
        <v>0</v>
      </c>
      <c r="O200" s="9">
        <v>0</v>
      </c>
      <c r="P200" s="9">
        <v>0</v>
      </c>
      <c r="Q200" s="9">
        <v>0</v>
      </c>
      <c r="R200" s="9">
        <v>0</v>
      </c>
      <c r="S200" s="9">
        <v>0</v>
      </c>
      <c r="T200" s="9">
        <v>0</v>
      </c>
      <c r="U200" s="9">
        <v>0</v>
      </c>
      <c r="V200" s="9">
        <v>0</v>
      </c>
      <c r="W200" s="9">
        <v>0</v>
      </c>
      <c r="X200" s="9">
        <v>0</v>
      </c>
      <c r="Y200" s="9">
        <v>0</v>
      </c>
      <c r="Z200" s="9">
        <v>0</v>
      </c>
      <c r="AA200" s="9">
        <v>0</v>
      </c>
      <c r="AB200" s="9">
        <v>0</v>
      </c>
      <c r="AC200" s="9">
        <v>0</v>
      </c>
      <c r="AD200" s="9">
        <v>0</v>
      </c>
      <c r="AE200" s="9">
        <v>0</v>
      </c>
      <c r="AF200" s="9">
        <v>0</v>
      </c>
      <c r="AG200" s="9">
        <v>0</v>
      </c>
      <c r="AH200" s="9">
        <v>0</v>
      </c>
      <c r="AI200" s="9">
        <v>0</v>
      </c>
      <c r="AJ200" s="9">
        <v>0</v>
      </c>
      <c r="AK200" s="9">
        <v>0</v>
      </c>
      <c r="AL200" s="9">
        <v>0</v>
      </c>
      <c r="AM200" s="9">
        <v>0</v>
      </c>
      <c r="AN200" s="9">
        <v>0</v>
      </c>
      <c r="AO200" s="9">
        <v>0</v>
      </c>
      <c r="AP200" s="9">
        <v>0</v>
      </c>
      <c r="AQ200" s="9">
        <v>0</v>
      </c>
      <c r="AR200" s="9">
        <v>0</v>
      </c>
      <c r="AS200" s="9">
        <v>0</v>
      </c>
      <c r="AT200" s="9">
        <v>0</v>
      </c>
      <c r="AU200" s="9">
        <v>0</v>
      </c>
      <c r="AV200" s="9">
        <v>0</v>
      </c>
      <c r="AW200" s="9">
        <v>0</v>
      </c>
      <c r="AX200" s="9">
        <v>0</v>
      </c>
      <c r="AY200" s="9">
        <v>0</v>
      </c>
      <c r="AZ200" s="9">
        <v>0</v>
      </c>
      <c r="BA200" s="9">
        <v>0</v>
      </c>
      <c r="BB200" s="9">
        <v>0</v>
      </c>
      <c r="BC200" s="9">
        <v>0</v>
      </c>
      <c r="BD200" s="9">
        <v>0</v>
      </c>
      <c r="BE200" s="9">
        <v>0</v>
      </c>
      <c r="BF200" s="9">
        <v>0</v>
      </c>
      <c r="BG200" s="9">
        <v>0</v>
      </c>
      <c r="BH200" s="9">
        <v>0</v>
      </c>
      <c r="BI200" s="9">
        <v>0</v>
      </c>
      <c r="BJ200" s="9">
        <v>0</v>
      </c>
      <c r="BK200" s="9">
        <v>0</v>
      </c>
      <c r="BL200" s="9">
        <v>0</v>
      </c>
      <c r="BM200" s="9">
        <v>0</v>
      </c>
      <c r="BN200" s="9">
        <v>0</v>
      </c>
      <c r="BO200" s="9">
        <v>0</v>
      </c>
      <c r="BP200" s="9">
        <v>0</v>
      </c>
      <c r="BQ200" s="9">
        <v>0</v>
      </c>
      <c r="BR200" s="9">
        <v>0</v>
      </c>
      <c r="BS200" s="9">
        <v>0</v>
      </c>
      <c r="BT200" s="9">
        <v>0</v>
      </c>
      <c r="BU200" s="9">
        <v>0</v>
      </c>
      <c r="BV200" s="9">
        <v>0</v>
      </c>
      <c r="BW200" s="9">
        <v>0</v>
      </c>
      <c r="BX200" s="9">
        <v>0</v>
      </c>
      <c r="BY200" s="9">
        <v>0</v>
      </c>
      <c r="BZ200" s="9">
        <v>0</v>
      </c>
      <c r="CA200" s="9">
        <v>0</v>
      </c>
      <c r="CB200" s="9">
        <v>0</v>
      </c>
      <c r="CC200" s="9">
        <v>0</v>
      </c>
      <c r="CD200" s="9">
        <v>0</v>
      </c>
      <c r="CE200" s="9">
        <v>0</v>
      </c>
      <c r="CF200" s="9">
        <v>0</v>
      </c>
      <c r="CG200" s="9">
        <v>0</v>
      </c>
      <c r="CH200" s="9">
        <v>0</v>
      </c>
      <c r="CI200" s="9">
        <v>0</v>
      </c>
      <c r="CJ200" s="9">
        <v>0</v>
      </c>
      <c r="CK200" s="9">
        <v>0</v>
      </c>
      <c r="CL200" s="9">
        <v>0</v>
      </c>
      <c r="CM200" s="9">
        <v>0</v>
      </c>
      <c r="CN200" s="9">
        <v>0</v>
      </c>
      <c r="CO200" s="9">
        <v>0</v>
      </c>
      <c r="CP200" s="9">
        <v>0</v>
      </c>
      <c r="CQ200" s="9">
        <v>0</v>
      </c>
      <c r="CR200" s="9">
        <v>0</v>
      </c>
      <c r="CS200" s="9">
        <v>0</v>
      </c>
      <c r="CT200" s="9">
        <v>0</v>
      </c>
      <c r="CU200" s="9">
        <v>0</v>
      </c>
      <c r="CV200" s="9">
        <v>0</v>
      </c>
      <c r="CW200" s="9">
        <v>0</v>
      </c>
      <c r="CX200" s="9">
        <v>0</v>
      </c>
      <c r="CY200" s="9">
        <v>0</v>
      </c>
      <c r="CZ200" s="9">
        <v>0</v>
      </c>
      <c r="DA200" s="9">
        <v>0</v>
      </c>
      <c r="DB200" s="9">
        <v>0</v>
      </c>
      <c r="DC200" s="9">
        <v>0</v>
      </c>
      <c r="DD200" s="9">
        <v>0</v>
      </c>
      <c r="DE200" s="9">
        <v>0</v>
      </c>
      <c r="DF200" s="9">
        <v>0</v>
      </c>
      <c r="DG200" s="9">
        <v>0</v>
      </c>
      <c r="DH200" s="9">
        <v>0</v>
      </c>
      <c r="DI200" s="9">
        <v>0</v>
      </c>
      <c r="DJ200" s="9">
        <v>0</v>
      </c>
      <c r="DK200" s="9">
        <v>0</v>
      </c>
      <c r="DL200" s="9">
        <v>0</v>
      </c>
      <c r="DM200" s="9">
        <v>0</v>
      </c>
      <c r="DN200" s="9">
        <v>0</v>
      </c>
      <c r="DO200" s="9">
        <v>0</v>
      </c>
      <c r="DP200" s="9">
        <v>0</v>
      </c>
      <c r="DQ200" s="9">
        <v>0</v>
      </c>
      <c r="DR200" s="9">
        <v>0</v>
      </c>
      <c r="DS200" s="9">
        <v>0</v>
      </c>
      <c r="DT200" s="9">
        <v>0</v>
      </c>
      <c r="DU200" s="9">
        <v>0</v>
      </c>
      <c r="DV200" s="9">
        <v>0</v>
      </c>
      <c r="DW200" s="9">
        <v>0</v>
      </c>
      <c r="DX200" s="9">
        <v>0</v>
      </c>
      <c r="DY200" s="9">
        <v>0</v>
      </c>
      <c r="DZ200" s="9">
        <v>0</v>
      </c>
      <c r="EA200" s="9">
        <v>0</v>
      </c>
      <c r="EB200" s="9">
        <v>0</v>
      </c>
      <c r="EC200" s="9">
        <v>0</v>
      </c>
      <c r="ED200" s="9">
        <v>0</v>
      </c>
      <c r="EE200" s="9">
        <v>0</v>
      </c>
      <c r="EF200" s="9">
        <v>0</v>
      </c>
      <c r="EG200" s="9">
        <v>0</v>
      </c>
      <c r="EH200" s="9">
        <v>0</v>
      </c>
      <c r="EI200" s="10">
        <v>0</v>
      </c>
    </row>
    <row r="201" spans="1:139" x14ac:dyDescent="0.35">
      <c r="A201" s="8" t="s">
        <v>342</v>
      </c>
      <c r="B201" s="9" t="s">
        <v>25</v>
      </c>
      <c r="C201" s="9" t="s">
        <v>26</v>
      </c>
      <c r="D201" s="9">
        <f t="shared" si="3"/>
        <v>0</v>
      </c>
      <c r="E201" s="9">
        <v>0</v>
      </c>
      <c r="F201" s="9">
        <v>0</v>
      </c>
      <c r="G201" s="9">
        <v>0</v>
      </c>
      <c r="H201" s="9">
        <v>0</v>
      </c>
      <c r="I201" s="9">
        <v>0</v>
      </c>
      <c r="J201" s="9">
        <v>0</v>
      </c>
      <c r="K201" s="9">
        <v>0</v>
      </c>
      <c r="L201" s="9">
        <v>0</v>
      </c>
      <c r="M201" s="9">
        <v>0</v>
      </c>
      <c r="N201" s="9">
        <v>0</v>
      </c>
      <c r="O201" s="9">
        <v>0</v>
      </c>
      <c r="P201" s="9">
        <v>0</v>
      </c>
      <c r="Q201" s="9">
        <v>0</v>
      </c>
      <c r="R201" s="9">
        <v>0</v>
      </c>
      <c r="S201" s="9">
        <v>0</v>
      </c>
      <c r="T201" s="9">
        <v>0</v>
      </c>
      <c r="U201" s="9">
        <v>0</v>
      </c>
      <c r="V201" s="9">
        <v>0</v>
      </c>
      <c r="W201" s="9">
        <v>0</v>
      </c>
      <c r="X201" s="9">
        <v>0</v>
      </c>
      <c r="Y201" s="9">
        <v>0</v>
      </c>
      <c r="Z201" s="9">
        <v>0</v>
      </c>
      <c r="AA201" s="9">
        <v>0</v>
      </c>
      <c r="AB201" s="9">
        <v>0</v>
      </c>
      <c r="AC201" s="9">
        <v>0</v>
      </c>
      <c r="AD201" s="9">
        <v>0</v>
      </c>
      <c r="AE201" s="9">
        <v>0</v>
      </c>
      <c r="AF201" s="9">
        <v>0</v>
      </c>
      <c r="AG201" s="9">
        <v>0</v>
      </c>
      <c r="AH201" s="9">
        <v>0</v>
      </c>
      <c r="AI201" s="9">
        <v>0</v>
      </c>
      <c r="AJ201" s="9">
        <v>0</v>
      </c>
      <c r="AK201" s="9">
        <v>0</v>
      </c>
      <c r="AL201" s="9">
        <v>0</v>
      </c>
      <c r="AM201" s="9">
        <v>0</v>
      </c>
      <c r="AN201" s="9">
        <v>0</v>
      </c>
      <c r="AO201" s="9">
        <v>0</v>
      </c>
      <c r="AP201" s="9">
        <v>0</v>
      </c>
      <c r="AQ201" s="9">
        <v>0</v>
      </c>
      <c r="AR201" s="9">
        <v>0</v>
      </c>
      <c r="AS201" s="9">
        <v>0</v>
      </c>
      <c r="AT201" s="9">
        <v>0</v>
      </c>
      <c r="AU201" s="9">
        <v>0</v>
      </c>
      <c r="AV201" s="9">
        <v>0</v>
      </c>
      <c r="AW201" s="9">
        <v>0</v>
      </c>
      <c r="AX201" s="9">
        <v>0</v>
      </c>
      <c r="AY201" s="9">
        <v>0</v>
      </c>
      <c r="AZ201" s="9">
        <v>0</v>
      </c>
      <c r="BA201" s="9">
        <v>0</v>
      </c>
      <c r="BB201" s="9">
        <v>0</v>
      </c>
      <c r="BC201" s="9">
        <v>0</v>
      </c>
      <c r="BD201" s="9">
        <v>0</v>
      </c>
      <c r="BE201" s="9">
        <v>0</v>
      </c>
      <c r="BF201" s="9">
        <v>0</v>
      </c>
      <c r="BG201" s="9">
        <v>0</v>
      </c>
      <c r="BH201" s="9">
        <v>0</v>
      </c>
      <c r="BI201" s="9">
        <v>0</v>
      </c>
      <c r="BJ201" s="9">
        <v>0</v>
      </c>
      <c r="BK201" s="9">
        <v>0</v>
      </c>
      <c r="BL201" s="9">
        <v>0</v>
      </c>
      <c r="BM201" s="9">
        <v>0</v>
      </c>
      <c r="BN201" s="9">
        <v>0</v>
      </c>
      <c r="BO201" s="9">
        <v>0</v>
      </c>
      <c r="BP201" s="9">
        <v>0</v>
      </c>
      <c r="BQ201" s="9">
        <v>0</v>
      </c>
      <c r="BR201" s="9">
        <v>0</v>
      </c>
      <c r="BS201" s="9">
        <v>0</v>
      </c>
      <c r="BT201" s="9">
        <v>0</v>
      </c>
      <c r="BU201" s="9">
        <v>0</v>
      </c>
      <c r="BV201" s="9">
        <v>0</v>
      </c>
      <c r="BW201" s="9">
        <v>0</v>
      </c>
      <c r="BX201" s="9">
        <v>0</v>
      </c>
      <c r="BY201" s="9">
        <v>0</v>
      </c>
      <c r="BZ201" s="9">
        <v>0</v>
      </c>
      <c r="CA201" s="9">
        <v>0</v>
      </c>
      <c r="CB201" s="9">
        <v>0</v>
      </c>
      <c r="CC201" s="9">
        <v>0</v>
      </c>
      <c r="CD201" s="9">
        <v>0</v>
      </c>
      <c r="CE201" s="9">
        <v>0</v>
      </c>
      <c r="CF201" s="9">
        <v>0</v>
      </c>
      <c r="CG201" s="9">
        <v>0</v>
      </c>
      <c r="CH201" s="9">
        <v>0</v>
      </c>
      <c r="CI201" s="9">
        <v>0</v>
      </c>
      <c r="CJ201" s="9">
        <v>0</v>
      </c>
      <c r="CK201" s="9">
        <v>0</v>
      </c>
      <c r="CL201" s="9">
        <v>0</v>
      </c>
      <c r="CM201" s="9">
        <v>0</v>
      </c>
      <c r="CN201" s="9">
        <v>0</v>
      </c>
      <c r="CO201" s="9">
        <v>0</v>
      </c>
      <c r="CP201" s="9">
        <v>0</v>
      </c>
      <c r="CQ201" s="9">
        <v>0</v>
      </c>
      <c r="CR201" s="9">
        <v>0</v>
      </c>
      <c r="CS201" s="9">
        <v>0</v>
      </c>
      <c r="CT201" s="9">
        <v>0</v>
      </c>
      <c r="CU201" s="9">
        <v>0</v>
      </c>
      <c r="CV201" s="9">
        <v>0</v>
      </c>
      <c r="CW201" s="9">
        <v>0</v>
      </c>
      <c r="CX201" s="9">
        <v>0</v>
      </c>
      <c r="CY201" s="9">
        <v>0</v>
      </c>
      <c r="CZ201" s="9">
        <v>0</v>
      </c>
      <c r="DA201" s="9">
        <v>0</v>
      </c>
      <c r="DB201" s="9">
        <v>0</v>
      </c>
      <c r="DC201" s="9">
        <v>0</v>
      </c>
      <c r="DD201" s="9">
        <v>0</v>
      </c>
      <c r="DE201" s="9">
        <v>0</v>
      </c>
      <c r="DF201" s="9">
        <v>0</v>
      </c>
      <c r="DG201" s="9">
        <v>0</v>
      </c>
      <c r="DH201" s="9">
        <v>0</v>
      </c>
      <c r="DI201" s="9">
        <v>0</v>
      </c>
      <c r="DJ201" s="9">
        <v>0</v>
      </c>
      <c r="DK201" s="9">
        <v>0</v>
      </c>
      <c r="DL201" s="9">
        <v>0</v>
      </c>
      <c r="DM201" s="9">
        <v>0</v>
      </c>
      <c r="DN201" s="9">
        <v>0</v>
      </c>
      <c r="DO201" s="9">
        <v>0</v>
      </c>
      <c r="DP201" s="9">
        <v>0</v>
      </c>
      <c r="DQ201" s="9">
        <v>0</v>
      </c>
      <c r="DR201" s="9">
        <v>0</v>
      </c>
      <c r="DS201" s="9">
        <v>0</v>
      </c>
      <c r="DT201" s="9">
        <v>0</v>
      </c>
      <c r="DU201" s="9">
        <v>0</v>
      </c>
      <c r="DV201" s="9">
        <v>0</v>
      </c>
      <c r="DW201" s="9">
        <v>0</v>
      </c>
      <c r="DX201" s="9">
        <v>0</v>
      </c>
      <c r="DY201" s="9">
        <v>0</v>
      </c>
      <c r="DZ201" s="9">
        <v>0</v>
      </c>
      <c r="EA201" s="9">
        <v>0</v>
      </c>
      <c r="EB201" s="9">
        <v>0</v>
      </c>
      <c r="EC201" s="9">
        <v>0</v>
      </c>
      <c r="ED201" s="9">
        <v>0</v>
      </c>
      <c r="EE201" s="9">
        <v>0</v>
      </c>
      <c r="EF201" s="9">
        <v>0</v>
      </c>
      <c r="EG201" s="9">
        <v>0</v>
      </c>
      <c r="EH201" s="9">
        <v>0</v>
      </c>
      <c r="EI201" s="10">
        <v>0</v>
      </c>
    </row>
    <row r="202" spans="1:139" x14ac:dyDescent="0.35">
      <c r="A202" s="8" t="s">
        <v>342</v>
      </c>
      <c r="B202" s="9" t="s">
        <v>102</v>
      </c>
      <c r="C202" s="9" t="s">
        <v>103</v>
      </c>
      <c r="D202" s="9">
        <f t="shared" si="3"/>
        <v>7</v>
      </c>
      <c r="E202" s="9">
        <v>0</v>
      </c>
      <c r="F202" s="9">
        <v>0</v>
      </c>
      <c r="G202" s="9">
        <v>0</v>
      </c>
      <c r="H202" s="9">
        <v>0</v>
      </c>
      <c r="I202" s="9">
        <v>0</v>
      </c>
      <c r="J202" s="9">
        <v>0</v>
      </c>
      <c r="K202" s="9">
        <v>0</v>
      </c>
      <c r="L202" s="9">
        <v>0</v>
      </c>
      <c r="M202" s="9">
        <v>0</v>
      </c>
      <c r="N202" s="9">
        <v>0</v>
      </c>
      <c r="O202" s="9">
        <v>0</v>
      </c>
      <c r="P202" s="9">
        <v>0</v>
      </c>
      <c r="Q202" s="9">
        <v>0</v>
      </c>
      <c r="R202" s="9">
        <v>0</v>
      </c>
      <c r="S202" s="9">
        <v>0</v>
      </c>
      <c r="T202" s="9">
        <v>0</v>
      </c>
      <c r="U202" s="9">
        <v>0</v>
      </c>
      <c r="V202" s="9">
        <v>2</v>
      </c>
      <c r="W202" s="9">
        <v>1</v>
      </c>
      <c r="X202" s="9">
        <v>0</v>
      </c>
      <c r="Y202" s="9">
        <v>0</v>
      </c>
      <c r="Z202" s="9">
        <v>0</v>
      </c>
      <c r="AA202" s="9">
        <v>0</v>
      </c>
      <c r="AB202" s="9">
        <v>0</v>
      </c>
      <c r="AC202" s="9">
        <v>0</v>
      </c>
      <c r="AD202" s="9">
        <v>0</v>
      </c>
      <c r="AE202" s="9">
        <v>0</v>
      </c>
      <c r="AF202" s="9">
        <v>0</v>
      </c>
      <c r="AG202" s="9">
        <v>0</v>
      </c>
      <c r="AH202" s="9">
        <v>0</v>
      </c>
      <c r="AI202" s="9">
        <v>0</v>
      </c>
      <c r="AJ202" s="9">
        <v>0</v>
      </c>
      <c r="AK202" s="9">
        <v>0</v>
      </c>
      <c r="AL202" s="9">
        <v>0</v>
      </c>
      <c r="AM202" s="9">
        <v>0</v>
      </c>
      <c r="AN202" s="9">
        <v>0</v>
      </c>
      <c r="AO202" s="9">
        <v>0</v>
      </c>
      <c r="AP202" s="9">
        <v>0</v>
      </c>
      <c r="AQ202" s="9">
        <v>0</v>
      </c>
      <c r="AR202" s="9">
        <v>1</v>
      </c>
      <c r="AS202" s="9">
        <v>1</v>
      </c>
      <c r="AT202" s="9">
        <v>0</v>
      </c>
      <c r="AU202" s="9">
        <v>0</v>
      </c>
      <c r="AV202" s="9">
        <v>0</v>
      </c>
      <c r="AW202" s="9">
        <v>0</v>
      </c>
      <c r="AX202" s="9">
        <v>0</v>
      </c>
      <c r="AY202" s="9">
        <v>0</v>
      </c>
      <c r="AZ202" s="9">
        <v>0</v>
      </c>
      <c r="BA202" s="9">
        <v>0</v>
      </c>
      <c r="BB202" s="9">
        <v>0</v>
      </c>
      <c r="BC202" s="9">
        <v>0</v>
      </c>
      <c r="BD202" s="9">
        <v>0</v>
      </c>
      <c r="BE202" s="9">
        <v>0</v>
      </c>
      <c r="BF202" s="9">
        <v>0</v>
      </c>
      <c r="BG202" s="9">
        <v>0</v>
      </c>
      <c r="BH202" s="9">
        <v>0</v>
      </c>
      <c r="BI202" s="9">
        <v>0</v>
      </c>
      <c r="BJ202" s="9">
        <v>0</v>
      </c>
      <c r="BK202" s="9">
        <v>0</v>
      </c>
      <c r="BL202" s="9">
        <v>0</v>
      </c>
      <c r="BM202" s="9">
        <v>0</v>
      </c>
      <c r="BN202" s="9">
        <v>0</v>
      </c>
      <c r="BO202" s="9">
        <v>0</v>
      </c>
      <c r="BP202" s="9">
        <v>0</v>
      </c>
      <c r="BQ202" s="9">
        <v>1</v>
      </c>
      <c r="BR202" s="9">
        <v>0</v>
      </c>
      <c r="BS202" s="9">
        <v>1</v>
      </c>
      <c r="BT202" s="9">
        <v>0</v>
      </c>
      <c r="BU202" s="9">
        <v>0</v>
      </c>
      <c r="BV202" s="9">
        <v>0</v>
      </c>
      <c r="BW202" s="9">
        <v>0</v>
      </c>
      <c r="BX202" s="9">
        <v>0</v>
      </c>
      <c r="BY202" s="9">
        <v>0</v>
      </c>
      <c r="BZ202" s="9">
        <v>0</v>
      </c>
      <c r="CA202" s="9">
        <v>0</v>
      </c>
      <c r="CB202" s="9">
        <v>0</v>
      </c>
      <c r="CC202" s="9">
        <v>0</v>
      </c>
      <c r="CD202" s="9">
        <v>0</v>
      </c>
      <c r="CE202" s="9">
        <v>0</v>
      </c>
      <c r="CF202" s="9">
        <v>0</v>
      </c>
      <c r="CG202" s="9">
        <v>0</v>
      </c>
      <c r="CH202" s="9">
        <v>0</v>
      </c>
      <c r="CI202" s="9">
        <v>0</v>
      </c>
      <c r="CJ202" s="9">
        <v>0</v>
      </c>
      <c r="CK202" s="9">
        <v>0</v>
      </c>
      <c r="CL202" s="9">
        <v>0</v>
      </c>
      <c r="CM202" s="9">
        <v>0</v>
      </c>
      <c r="CN202" s="9">
        <v>0</v>
      </c>
      <c r="CO202" s="9">
        <v>0</v>
      </c>
      <c r="CP202" s="9">
        <v>0</v>
      </c>
      <c r="CQ202" s="9">
        <v>0</v>
      </c>
      <c r="CR202" s="9">
        <v>0</v>
      </c>
      <c r="CS202" s="9">
        <v>0</v>
      </c>
      <c r="CT202" s="9">
        <v>0</v>
      </c>
      <c r="CU202" s="9">
        <v>0</v>
      </c>
      <c r="CV202" s="9">
        <v>0</v>
      </c>
      <c r="CW202" s="9">
        <v>0</v>
      </c>
      <c r="CX202" s="9">
        <v>0</v>
      </c>
      <c r="CY202" s="9">
        <v>0</v>
      </c>
      <c r="CZ202" s="9">
        <v>0</v>
      </c>
      <c r="DA202" s="9">
        <v>0</v>
      </c>
      <c r="DB202" s="9">
        <v>0</v>
      </c>
      <c r="DC202" s="9">
        <v>0</v>
      </c>
      <c r="DD202" s="9">
        <v>0</v>
      </c>
      <c r="DE202" s="9">
        <v>0</v>
      </c>
      <c r="DF202" s="9">
        <v>0</v>
      </c>
      <c r="DG202" s="9">
        <v>0</v>
      </c>
      <c r="DH202" s="9">
        <v>0</v>
      </c>
      <c r="DI202" s="9">
        <v>0</v>
      </c>
      <c r="DJ202" s="9">
        <v>0</v>
      </c>
      <c r="DK202" s="9">
        <v>0</v>
      </c>
      <c r="DL202" s="9">
        <v>0</v>
      </c>
      <c r="DM202" s="9">
        <v>0</v>
      </c>
      <c r="DN202" s="9">
        <v>0</v>
      </c>
      <c r="DO202" s="9">
        <v>0</v>
      </c>
      <c r="DP202" s="9">
        <v>0</v>
      </c>
      <c r="DQ202" s="9">
        <v>0</v>
      </c>
      <c r="DR202" s="9">
        <v>0</v>
      </c>
      <c r="DS202" s="9">
        <v>0</v>
      </c>
      <c r="DT202" s="9">
        <v>0</v>
      </c>
      <c r="DU202" s="9">
        <v>0</v>
      </c>
      <c r="DV202" s="9">
        <v>0</v>
      </c>
      <c r="DW202" s="9">
        <v>0</v>
      </c>
      <c r="DX202" s="9">
        <v>0</v>
      </c>
      <c r="DY202" s="9">
        <v>0</v>
      </c>
      <c r="DZ202" s="9">
        <v>0</v>
      </c>
      <c r="EA202" s="9">
        <v>0</v>
      </c>
      <c r="EB202" s="9">
        <v>0</v>
      </c>
      <c r="EC202" s="9">
        <v>0</v>
      </c>
      <c r="ED202" s="9">
        <v>0</v>
      </c>
      <c r="EE202" s="9">
        <v>0</v>
      </c>
      <c r="EF202" s="9">
        <v>0</v>
      </c>
      <c r="EG202" s="9">
        <v>0</v>
      </c>
      <c r="EH202" s="9">
        <v>0</v>
      </c>
      <c r="EI202" s="10">
        <v>0</v>
      </c>
    </row>
    <row r="203" spans="1:139" x14ac:dyDescent="0.35">
      <c r="A203" s="8" t="s">
        <v>342</v>
      </c>
      <c r="B203" s="9" t="s">
        <v>347</v>
      </c>
      <c r="C203" s="9" t="s">
        <v>348</v>
      </c>
      <c r="D203" s="9">
        <f t="shared" si="3"/>
        <v>1918</v>
      </c>
      <c r="E203" s="9">
        <v>2</v>
      </c>
      <c r="F203" s="9">
        <v>5</v>
      </c>
      <c r="G203" s="9">
        <v>6</v>
      </c>
      <c r="H203" s="9">
        <v>4</v>
      </c>
      <c r="I203" s="9">
        <v>9</v>
      </c>
      <c r="J203" s="9">
        <v>8</v>
      </c>
      <c r="K203" s="9">
        <v>11</v>
      </c>
      <c r="L203" s="9">
        <v>12</v>
      </c>
      <c r="M203" s="9">
        <v>22</v>
      </c>
      <c r="N203" s="9">
        <v>13</v>
      </c>
      <c r="O203" s="9">
        <v>16</v>
      </c>
      <c r="P203" s="9">
        <v>28</v>
      </c>
      <c r="Q203" s="9">
        <v>24</v>
      </c>
      <c r="R203" s="9">
        <v>64</v>
      </c>
      <c r="S203" s="9">
        <v>50</v>
      </c>
      <c r="T203" s="9">
        <v>49</v>
      </c>
      <c r="U203" s="9">
        <v>26</v>
      </c>
      <c r="V203" s="9">
        <v>50</v>
      </c>
      <c r="W203" s="9">
        <v>32</v>
      </c>
      <c r="X203" s="9">
        <v>38</v>
      </c>
      <c r="Y203" s="9">
        <v>73</v>
      </c>
      <c r="Z203" s="9">
        <v>41</v>
      </c>
      <c r="AA203" s="9">
        <v>36</v>
      </c>
      <c r="AB203" s="9">
        <v>38</v>
      </c>
      <c r="AC203" s="9">
        <v>37</v>
      </c>
      <c r="AD203" s="9">
        <v>33</v>
      </c>
      <c r="AE203" s="9">
        <v>24</v>
      </c>
      <c r="AF203" s="9">
        <v>30</v>
      </c>
      <c r="AG203" s="9">
        <v>4</v>
      </c>
      <c r="AH203" s="9">
        <v>22</v>
      </c>
      <c r="AI203" s="9">
        <v>22</v>
      </c>
      <c r="AJ203" s="9">
        <v>21</v>
      </c>
      <c r="AK203" s="9">
        <v>25</v>
      </c>
      <c r="AL203" s="9">
        <v>27</v>
      </c>
      <c r="AM203" s="9">
        <v>23</v>
      </c>
      <c r="AN203" s="9">
        <v>18</v>
      </c>
      <c r="AO203" s="9">
        <v>15</v>
      </c>
      <c r="AP203" s="9">
        <v>16</v>
      </c>
      <c r="AQ203" s="9">
        <v>14</v>
      </c>
      <c r="AR203" s="9">
        <v>26</v>
      </c>
      <c r="AS203" s="9">
        <v>16</v>
      </c>
      <c r="AT203" s="9">
        <v>14</v>
      </c>
      <c r="AU203" s="9">
        <v>33</v>
      </c>
      <c r="AV203" s="9">
        <v>18</v>
      </c>
      <c r="AW203" s="9">
        <v>13</v>
      </c>
      <c r="AX203" s="9">
        <v>15</v>
      </c>
      <c r="AY203" s="9">
        <v>14</v>
      </c>
      <c r="AZ203" s="9">
        <v>33</v>
      </c>
      <c r="BA203" s="9">
        <v>21</v>
      </c>
      <c r="BB203" s="9">
        <v>20</v>
      </c>
      <c r="BC203" s="9">
        <v>16</v>
      </c>
      <c r="BD203" s="9">
        <v>11</v>
      </c>
      <c r="BE203" s="9">
        <v>18</v>
      </c>
      <c r="BF203" s="9">
        <v>18</v>
      </c>
      <c r="BG203" s="9">
        <v>23</v>
      </c>
      <c r="BH203" s="9">
        <v>27</v>
      </c>
      <c r="BI203" s="9">
        <v>19</v>
      </c>
      <c r="BJ203" s="9">
        <v>23</v>
      </c>
      <c r="BK203" s="9">
        <v>20</v>
      </c>
      <c r="BL203" s="9">
        <v>14</v>
      </c>
      <c r="BM203" s="9">
        <v>13</v>
      </c>
      <c r="BN203" s="9">
        <v>17</v>
      </c>
      <c r="BO203" s="9">
        <v>23</v>
      </c>
      <c r="BP203" s="9">
        <v>22</v>
      </c>
      <c r="BQ203" s="9">
        <v>25</v>
      </c>
      <c r="BR203" s="9">
        <v>22</v>
      </c>
      <c r="BS203" s="9">
        <v>15</v>
      </c>
      <c r="BT203" s="9">
        <v>19</v>
      </c>
      <c r="BU203" s="9">
        <v>11</v>
      </c>
      <c r="BV203" s="9">
        <v>17</v>
      </c>
      <c r="BW203" s="9">
        <v>21</v>
      </c>
      <c r="BX203" s="9">
        <v>22</v>
      </c>
      <c r="BY203" s="9">
        <v>13</v>
      </c>
      <c r="BZ203" s="9">
        <v>5</v>
      </c>
      <c r="CA203" s="9">
        <v>20</v>
      </c>
      <c r="CB203" s="9">
        <v>17</v>
      </c>
      <c r="CC203" s="9">
        <v>20</v>
      </c>
      <c r="CD203" s="9">
        <v>33</v>
      </c>
      <c r="CE203" s="9">
        <v>11</v>
      </c>
      <c r="CF203" s="9">
        <v>4</v>
      </c>
      <c r="CG203" s="9">
        <v>4</v>
      </c>
      <c r="CH203" s="9">
        <v>6</v>
      </c>
      <c r="CI203" s="9">
        <v>12</v>
      </c>
      <c r="CJ203" s="9">
        <v>8</v>
      </c>
      <c r="CK203" s="9">
        <v>9</v>
      </c>
      <c r="CL203" s="9">
        <v>11</v>
      </c>
      <c r="CM203" s="9">
        <v>7</v>
      </c>
      <c r="CN203" s="9">
        <v>2</v>
      </c>
      <c r="CO203" s="9">
        <v>7</v>
      </c>
      <c r="CP203" s="9">
        <v>3</v>
      </c>
      <c r="CQ203" s="9">
        <v>12</v>
      </c>
      <c r="CR203" s="9">
        <v>7</v>
      </c>
      <c r="CS203" s="9">
        <v>2</v>
      </c>
      <c r="CT203" s="9">
        <v>4</v>
      </c>
      <c r="CU203" s="9">
        <v>2</v>
      </c>
      <c r="CV203" s="9">
        <v>15</v>
      </c>
      <c r="CW203" s="9">
        <v>6</v>
      </c>
      <c r="CX203" s="9">
        <v>5</v>
      </c>
      <c r="CY203" s="9">
        <v>4</v>
      </c>
      <c r="CZ203" s="9">
        <v>2</v>
      </c>
      <c r="DA203" s="9">
        <v>2</v>
      </c>
      <c r="DB203" s="9">
        <v>0</v>
      </c>
      <c r="DC203" s="9">
        <v>3</v>
      </c>
      <c r="DD203" s="9">
        <v>2</v>
      </c>
      <c r="DE203" s="9">
        <v>1</v>
      </c>
      <c r="DF203" s="9">
        <v>2</v>
      </c>
      <c r="DG203" s="9">
        <v>2</v>
      </c>
      <c r="DH203" s="9">
        <v>2</v>
      </c>
      <c r="DI203" s="9">
        <v>0</v>
      </c>
      <c r="DJ203" s="9">
        <v>2</v>
      </c>
      <c r="DK203" s="9">
        <v>0</v>
      </c>
      <c r="DL203" s="9">
        <v>2</v>
      </c>
      <c r="DM203" s="9">
        <v>2</v>
      </c>
      <c r="DN203" s="9">
        <v>1</v>
      </c>
      <c r="DO203" s="9">
        <v>0</v>
      </c>
      <c r="DP203" s="9">
        <v>0</v>
      </c>
      <c r="DQ203" s="9">
        <v>0</v>
      </c>
      <c r="DR203" s="9">
        <v>0</v>
      </c>
      <c r="DS203" s="9">
        <v>0</v>
      </c>
      <c r="DT203" s="9">
        <v>1</v>
      </c>
      <c r="DU203" s="9">
        <v>2</v>
      </c>
      <c r="DV203" s="9">
        <v>1</v>
      </c>
      <c r="DW203" s="9">
        <v>3</v>
      </c>
      <c r="DX203" s="9">
        <v>2</v>
      </c>
      <c r="DY203" s="9">
        <v>0</v>
      </c>
      <c r="DZ203" s="9">
        <v>3</v>
      </c>
      <c r="EA203" s="9">
        <v>0</v>
      </c>
      <c r="EB203" s="9">
        <v>1</v>
      </c>
      <c r="EC203" s="9">
        <v>1</v>
      </c>
      <c r="ED203" s="9">
        <v>0</v>
      </c>
      <c r="EE203" s="9">
        <v>1</v>
      </c>
      <c r="EF203" s="9">
        <v>0</v>
      </c>
      <c r="EG203" s="9">
        <v>2</v>
      </c>
      <c r="EH203" s="9">
        <v>1</v>
      </c>
      <c r="EI203" s="10">
        <v>1</v>
      </c>
    </row>
    <row r="204" spans="1:139" x14ac:dyDescent="0.35">
      <c r="A204" s="8" t="s">
        <v>342</v>
      </c>
      <c r="B204" s="9" t="s">
        <v>349</v>
      </c>
      <c r="C204" s="9" t="s">
        <v>350</v>
      </c>
      <c r="D204" s="9">
        <f t="shared" si="3"/>
        <v>176</v>
      </c>
      <c r="E204" s="9">
        <v>0</v>
      </c>
      <c r="F204" s="9">
        <v>0</v>
      </c>
      <c r="G204" s="9">
        <v>0</v>
      </c>
      <c r="H204" s="9">
        <v>0</v>
      </c>
      <c r="I204" s="9">
        <v>0</v>
      </c>
      <c r="J204" s="9">
        <v>1</v>
      </c>
      <c r="K204" s="9">
        <v>0</v>
      </c>
      <c r="L204" s="9">
        <v>0</v>
      </c>
      <c r="M204" s="9">
        <v>0</v>
      </c>
      <c r="N204" s="9">
        <v>0</v>
      </c>
      <c r="O204" s="9">
        <v>0</v>
      </c>
      <c r="P204" s="9">
        <v>0</v>
      </c>
      <c r="Q204" s="9">
        <v>1</v>
      </c>
      <c r="R204" s="9">
        <v>0</v>
      </c>
      <c r="S204" s="9">
        <v>0</v>
      </c>
      <c r="T204" s="9">
        <v>1</v>
      </c>
      <c r="U204" s="9">
        <v>1</v>
      </c>
      <c r="V204" s="9">
        <v>0</v>
      </c>
      <c r="W204" s="9">
        <v>0</v>
      </c>
      <c r="X204" s="9">
        <v>1</v>
      </c>
      <c r="Y204" s="9">
        <v>0</v>
      </c>
      <c r="Z204" s="9">
        <v>0</v>
      </c>
      <c r="AA204" s="9">
        <v>0</v>
      </c>
      <c r="AB204" s="9">
        <v>0</v>
      </c>
      <c r="AC204" s="9">
        <v>0</v>
      </c>
      <c r="AD204" s="9">
        <v>1</v>
      </c>
      <c r="AE204" s="9">
        <v>0</v>
      </c>
      <c r="AF204" s="9">
        <v>1</v>
      </c>
      <c r="AG204" s="9">
        <v>0</v>
      </c>
      <c r="AH204" s="9">
        <v>0</v>
      </c>
      <c r="AI204" s="9">
        <v>1</v>
      </c>
      <c r="AJ204" s="9">
        <v>0</v>
      </c>
      <c r="AK204" s="9">
        <v>1</v>
      </c>
      <c r="AL204" s="9">
        <v>1</v>
      </c>
      <c r="AM204" s="9">
        <v>2</v>
      </c>
      <c r="AN204" s="9">
        <v>1</v>
      </c>
      <c r="AO204" s="9">
        <v>5</v>
      </c>
      <c r="AP204" s="9">
        <v>2</v>
      </c>
      <c r="AQ204" s="9">
        <v>0</v>
      </c>
      <c r="AR204" s="9">
        <v>3</v>
      </c>
      <c r="AS204" s="9">
        <v>1</v>
      </c>
      <c r="AT204" s="9">
        <v>2</v>
      </c>
      <c r="AU204" s="9">
        <v>1</v>
      </c>
      <c r="AV204" s="9">
        <v>0</v>
      </c>
      <c r="AW204" s="9">
        <v>2</v>
      </c>
      <c r="AX204" s="9">
        <v>3</v>
      </c>
      <c r="AY204" s="9">
        <v>1</v>
      </c>
      <c r="AZ204" s="9">
        <v>4</v>
      </c>
      <c r="BA204" s="9">
        <v>1</v>
      </c>
      <c r="BB204" s="9">
        <v>3</v>
      </c>
      <c r="BC204" s="9">
        <v>1</v>
      </c>
      <c r="BD204" s="9">
        <v>4</v>
      </c>
      <c r="BE204" s="9">
        <v>3</v>
      </c>
      <c r="BF204" s="9">
        <v>2</v>
      </c>
      <c r="BG204" s="9">
        <v>2</v>
      </c>
      <c r="BH204" s="9">
        <v>4</v>
      </c>
      <c r="BI204" s="9">
        <v>2</v>
      </c>
      <c r="BJ204" s="9">
        <v>1</v>
      </c>
      <c r="BK204" s="9">
        <v>3</v>
      </c>
      <c r="BL204" s="9">
        <v>2</v>
      </c>
      <c r="BM204" s="9">
        <v>1</v>
      </c>
      <c r="BN204" s="9">
        <v>5</v>
      </c>
      <c r="BO204" s="9">
        <v>1</v>
      </c>
      <c r="BP204" s="9">
        <v>3</v>
      </c>
      <c r="BQ204" s="9">
        <v>3</v>
      </c>
      <c r="BR204" s="9">
        <v>3</v>
      </c>
      <c r="BS204" s="9">
        <v>2</v>
      </c>
      <c r="BT204" s="9">
        <v>2</v>
      </c>
      <c r="BU204" s="9">
        <v>2</v>
      </c>
      <c r="BV204" s="9">
        <v>1</v>
      </c>
      <c r="BW204" s="9">
        <v>4</v>
      </c>
      <c r="BX204" s="9">
        <v>1</v>
      </c>
      <c r="BY204" s="9">
        <v>1</v>
      </c>
      <c r="BZ204" s="9">
        <v>0</v>
      </c>
      <c r="CA204" s="9">
        <v>5</v>
      </c>
      <c r="CB204" s="9">
        <v>4</v>
      </c>
      <c r="CC204" s="9">
        <v>4</v>
      </c>
      <c r="CD204" s="9">
        <v>2</v>
      </c>
      <c r="CE204" s="9">
        <v>0</v>
      </c>
      <c r="CF204" s="9">
        <v>1</v>
      </c>
      <c r="CG204" s="9">
        <v>4</v>
      </c>
      <c r="CH204" s="9">
        <v>0</v>
      </c>
      <c r="CI204" s="9">
        <v>3</v>
      </c>
      <c r="CJ204" s="9">
        <v>6</v>
      </c>
      <c r="CK204" s="9">
        <v>1</v>
      </c>
      <c r="CL204" s="9">
        <v>4</v>
      </c>
      <c r="CM204" s="9">
        <v>3</v>
      </c>
      <c r="CN204" s="9">
        <v>4</v>
      </c>
      <c r="CO204" s="9">
        <v>3</v>
      </c>
      <c r="CP204" s="9">
        <v>2</v>
      </c>
      <c r="CQ204" s="9">
        <v>3</v>
      </c>
      <c r="CR204" s="9">
        <v>0</v>
      </c>
      <c r="CS204" s="9">
        <v>0</v>
      </c>
      <c r="CT204" s="9">
        <v>1</v>
      </c>
      <c r="CU204" s="9">
        <v>3</v>
      </c>
      <c r="CV204" s="9">
        <v>3</v>
      </c>
      <c r="CW204" s="9">
        <v>2</v>
      </c>
      <c r="CX204" s="9">
        <v>3</v>
      </c>
      <c r="CY204" s="9">
        <v>1</v>
      </c>
      <c r="CZ204" s="9">
        <v>4</v>
      </c>
      <c r="DA204" s="9">
        <v>5</v>
      </c>
      <c r="DB204" s="9">
        <v>3</v>
      </c>
      <c r="DC204" s="9">
        <v>2</v>
      </c>
      <c r="DD204" s="9">
        <v>1</v>
      </c>
      <c r="DE204" s="9">
        <v>0</v>
      </c>
      <c r="DF204" s="9">
        <v>1</v>
      </c>
      <c r="DG204" s="9">
        <v>0</v>
      </c>
      <c r="DH204" s="9">
        <v>0</v>
      </c>
      <c r="DI204" s="9">
        <v>0</v>
      </c>
      <c r="DJ204" s="9">
        <v>0</v>
      </c>
      <c r="DK204" s="9">
        <v>0</v>
      </c>
      <c r="DL204" s="9">
        <v>1</v>
      </c>
      <c r="DM204" s="9">
        <v>0</v>
      </c>
      <c r="DN204" s="9">
        <v>0</v>
      </c>
      <c r="DO204" s="9">
        <v>0</v>
      </c>
      <c r="DP204" s="9">
        <v>0</v>
      </c>
      <c r="DQ204" s="9">
        <v>0</v>
      </c>
      <c r="DR204" s="9">
        <v>0</v>
      </c>
      <c r="DS204" s="9">
        <v>1</v>
      </c>
      <c r="DT204" s="9">
        <v>0</v>
      </c>
      <c r="DU204" s="9">
        <v>0</v>
      </c>
      <c r="DV204" s="9">
        <v>0</v>
      </c>
      <c r="DW204" s="9">
        <v>0</v>
      </c>
      <c r="DX204" s="9">
        <v>2</v>
      </c>
      <c r="DY204" s="9">
        <v>0</v>
      </c>
      <c r="DZ204" s="9">
        <v>0</v>
      </c>
      <c r="EA204" s="9">
        <v>0</v>
      </c>
      <c r="EB204" s="9">
        <v>0</v>
      </c>
      <c r="EC204" s="9">
        <v>0</v>
      </c>
      <c r="ED204" s="9">
        <v>0</v>
      </c>
      <c r="EE204" s="9">
        <v>0</v>
      </c>
      <c r="EF204" s="9">
        <v>0</v>
      </c>
      <c r="EG204" s="9">
        <v>0</v>
      </c>
      <c r="EH204" s="9">
        <v>0</v>
      </c>
      <c r="EI204" s="10">
        <v>0</v>
      </c>
    </row>
    <row r="205" spans="1:139" x14ac:dyDescent="0.35">
      <c r="A205" s="8" t="s">
        <v>342</v>
      </c>
      <c r="B205" s="9" t="s">
        <v>351</v>
      </c>
      <c r="C205" s="9" t="s">
        <v>352</v>
      </c>
      <c r="D205" s="9">
        <f t="shared" si="3"/>
        <v>4</v>
      </c>
      <c r="E205" s="9">
        <v>0</v>
      </c>
      <c r="F205" s="9">
        <v>0</v>
      </c>
      <c r="G205" s="9">
        <v>0</v>
      </c>
      <c r="H205" s="9">
        <v>0</v>
      </c>
      <c r="I205" s="9">
        <v>0</v>
      </c>
      <c r="J205" s="9">
        <v>0</v>
      </c>
      <c r="K205" s="9">
        <v>0</v>
      </c>
      <c r="L205" s="9">
        <v>0</v>
      </c>
      <c r="M205" s="9">
        <v>0</v>
      </c>
      <c r="N205" s="9">
        <v>0</v>
      </c>
      <c r="O205" s="9">
        <v>0</v>
      </c>
      <c r="P205" s="9">
        <v>0</v>
      </c>
      <c r="Q205" s="9">
        <v>0</v>
      </c>
      <c r="R205" s="9">
        <v>1</v>
      </c>
      <c r="S205" s="9">
        <v>0</v>
      </c>
      <c r="T205" s="9">
        <v>0</v>
      </c>
      <c r="U205" s="9">
        <v>0</v>
      </c>
      <c r="V205" s="9">
        <v>0</v>
      </c>
      <c r="W205" s="9">
        <v>0</v>
      </c>
      <c r="X205" s="9">
        <v>0</v>
      </c>
      <c r="Y205" s="9">
        <v>0</v>
      </c>
      <c r="Z205" s="9">
        <v>0</v>
      </c>
      <c r="AA205" s="9">
        <v>0</v>
      </c>
      <c r="AB205" s="9">
        <v>0</v>
      </c>
      <c r="AC205" s="9">
        <v>0</v>
      </c>
      <c r="AD205" s="9">
        <v>0</v>
      </c>
      <c r="AE205" s="9">
        <v>0</v>
      </c>
      <c r="AF205" s="9">
        <v>0</v>
      </c>
      <c r="AG205" s="9">
        <v>0</v>
      </c>
      <c r="AH205" s="9">
        <v>0</v>
      </c>
      <c r="AI205" s="9">
        <v>0</v>
      </c>
      <c r="AJ205" s="9">
        <v>0</v>
      </c>
      <c r="AK205" s="9">
        <v>0</v>
      </c>
      <c r="AL205" s="9">
        <v>0</v>
      </c>
      <c r="AM205" s="9">
        <v>0</v>
      </c>
      <c r="AN205" s="9">
        <v>0</v>
      </c>
      <c r="AO205" s="9">
        <v>0</v>
      </c>
      <c r="AP205" s="9">
        <v>0</v>
      </c>
      <c r="AQ205" s="9">
        <v>0</v>
      </c>
      <c r="AR205" s="9">
        <v>0</v>
      </c>
      <c r="AS205" s="9">
        <v>0</v>
      </c>
      <c r="AT205" s="9">
        <v>0</v>
      </c>
      <c r="AU205" s="9">
        <v>0</v>
      </c>
      <c r="AV205" s="9">
        <v>0</v>
      </c>
      <c r="AW205" s="9">
        <v>0</v>
      </c>
      <c r="AX205" s="9">
        <v>0</v>
      </c>
      <c r="AY205" s="9">
        <v>0</v>
      </c>
      <c r="AZ205" s="9">
        <v>0</v>
      </c>
      <c r="BA205" s="9">
        <v>0</v>
      </c>
      <c r="BB205" s="9">
        <v>0</v>
      </c>
      <c r="BC205" s="9">
        <v>0</v>
      </c>
      <c r="BD205" s="9">
        <v>0</v>
      </c>
      <c r="BE205" s="9">
        <v>0</v>
      </c>
      <c r="BF205" s="9">
        <v>0</v>
      </c>
      <c r="BG205" s="9">
        <v>0</v>
      </c>
      <c r="BH205" s="9">
        <v>0</v>
      </c>
      <c r="BI205" s="9">
        <v>0</v>
      </c>
      <c r="BJ205" s="9">
        <v>0</v>
      </c>
      <c r="BK205" s="9">
        <v>0</v>
      </c>
      <c r="BL205" s="9">
        <v>0</v>
      </c>
      <c r="BM205" s="9">
        <v>0</v>
      </c>
      <c r="BN205" s="9">
        <v>0</v>
      </c>
      <c r="BO205" s="9">
        <v>0</v>
      </c>
      <c r="BP205" s="9">
        <v>0</v>
      </c>
      <c r="BQ205" s="9">
        <v>0</v>
      </c>
      <c r="BR205" s="9">
        <v>0</v>
      </c>
      <c r="BS205" s="9">
        <v>0</v>
      </c>
      <c r="BT205" s="9">
        <v>0</v>
      </c>
      <c r="BU205" s="9">
        <v>0</v>
      </c>
      <c r="BV205" s="9">
        <v>0</v>
      </c>
      <c r="BW205" s="9">
        <v>0</v>
      </c>
      <c r="BX205" s="9">
        <v>0</v>
      </c>
      <c r="BY205" s="9">
        <v>0</v>
      </c>
      <c r="BZ205" s="9">
        <v>0</v>
      </c>
      <c r="CA205" s="9">
        <v>0</v>
      </c>
      <c r="CB205" s="9">
        <v>0</v>
      </c>
      <c r="CC205" s="9">
        <v>0</v>
      </c>
      <c r="CD205" s="9">
        <v>0</v>
      </c>
      <c r="CE205" s="9">
        <v>0</v>
      </c>
      <c r="CF205" s="9">
        <v>0</v>
      </c>
      <c r="CG205" s="9">
        <v>0</v>
      </c>
      <c r="CH205" s="9">
        <v>0</v>
      </c>
      <c r="CI205" s="9">
        <v>0</v>
      </c>
      <c r="CJ205" s="9">
        <v>0</v>
      </c>
      <c r="CK205" s="9">
        <v>1</v>
      </c>
      <c r="CL205" s="9">
        <v>0</v>
      </c>
      <c r="CM205" s="9">
        <v>0</v>
      </c>
      <c r="CN205" s="9">
        <v>0</v>
      </c>
      <c r="CO205" s="9">
        <v>0</v>
      </c>
      <c r="CP205" s="9">
        <v>0</v>
      </c>
      <c r="CQ205" s="9">
        <v>0</v>
      </c>
      <c r="CR205" s="9">
        <v>1</v>
      </c>
      <c r="CS205" s="9">
        <v>1</v>
      </c>
      <c r="CT205" s="9">
        <v>0</v>
      </c>
      <c r="CU205" s="9">
        <v>0</v>
      </c>
      <c r="CV205" s="9">
        <v>0</v>
      </c>
      <c r="CW205" s="9">
        <v>0</v>
      </c>
      <c r="CX205" s="9">
        <v>0</v>
      </c>
      <c r="CY205" s="9">
        <v>0</v>
      </c>
      <c r="CZ205" s="9">
        <v>0</v>
      </c>
      <c r="DA205" s="9">
        <v>0</v>
      </c>
      <c r="DB205" s="9">
        <v>0</v>
      </c>
      <c r="DC205" s="9">
        <v>0</v>
      </c>
      <c r="DD205" s="9">
        <v>0</v>
      </c>
      <c r="DE205" s="9">
        <v>0</v>
      </c>
      <c r="DF205" s="9">
        <v>0</v>
      </c>
      <c r="DG205" s="9">
        <v>0</v>
      </c>
      <c r="DH205" s="9">
        <v>0</v>
      </c>
      <c r="DI205" s="9">
        <v>0</v>
      </c>
      <c r="DJ205" s="9">
        <v>0</v>
      </c>
      <c r="DK205" s="9">
        <v>0</v>
      </c>
      <c r="DL205" s="9">
        <v>0</v>
      </c>
      <c r="DM205" s="9">
        <v>0</v>
      </c>
      <c r="DN205" s="9">
        <v>0</v>
      </c>
      <c r="DO205" s="9">
        <v>0</v>
      </c>
      <c r="DP205" s="9">
        <v>0</v>
      </c>
      <c r="DQ205" s="9">
        <v>0</v>
      </c>
      <c r="DR205" s="9">
        <v>0</v>
      </c>
      <c r="DS205" s="9">
        <v>0</v>
      </c>
      <c r="DT205" s="9">
        <v>0</v>
      </c>
      <c r="DU205" s="9">
        <v>0</v>
      </c>
      <c r="DV205" s="9">
        <v>0</v>
      </c>
      <c r="DW205" s="9">
        <v>0</v>
      </c>
      <c r="DX205" s="9">
        <v>0</v>
      </c>
      <c r="DY205" s="9">
        <v>0</v>
      </c>
      <c r="DZ205" s="9">
        <v>0</v>
      </c>
      <c r="EA205" s="9">
        <v>0</v>
      </c>
      <c r="EB205" s="9">
        <v>0</v>
      </c>
      <c r="EC205" s="9">
        <v>0</v>
      </c>
      <c r="ED205" s="9">
        <v>0</v>
      </c>
      <c r="EE205" s="9">
        <v>0</v>
      </c>
      <c r="EF205" s="9">
        <v>0</v>
      </c>
      <c r="EG205" s="9">
        <v>0</v>
      </c>
      <c r="EH205" s="9">
        <v>0</v>
      </c>
      <c r="EI205" s="10">
        <v>0</v>
      </c>
    </row>
    <row r="206" spans="1:139" x14ac:dyDescent="0.35">
      <c r="A206" s="8" t="s">
        <v>342</v>
      </c>
      <c r="B206" s="9" t="s">
        <v>353</v>
      </c>
      <c r="C206" s="9" t="s">
        <v>354</v>
      </c>
      <c r="D206" s="9">
        <f t="shared" si="3"/>
        <v>32</v>
      </c>
      <c r="E206" s="9">
        <v>0</v>
      </c>
      <c r="F206" s="9">
        <v>0</v>
      </c>
      <c r="G206" s="9">
        <v>0</v>
      </c>
      <c r="H206" s="9">
        <v>0</v>
      </c>
      <c r="I206" s="9">
        <v>0</v>
      </c>
      <c r="J206" s="9">
        <v>0</v>
      </c>
      <c r="K206" s="9">
        <v>0</v>
      </c>
      <c r="L206" s="9">
        <v>0</v>
      </c>
      <c r="M206" s="9">
        <v>0</v>
      </c>
      <c r="N206" s="9">
        <v>0</v>
      </c>
      <c r="O206" s="9">
        <v>0</v>
      </c>
      <c r="P206" s="9">
        <v>0</v>
      </c>
      <c r="Q206" s="9">
        <v>0</v>
      </c>
      <c r="R206" s="9">
        <v>0</v>
      </c>
      <c r="S206" s="9">
        <v>0</v>
      </c>
      <c r="T206" s="9">
        <v>0</v>
      </c>
      <c r="U206" s="9">
        <v>8</v>
      </c>
      <c r="V206" s="9">
        <v>4</v>
      </c>
      <c r="W206" s="9">
        <v>2</v>
      </c>
      <c r="X206" s="9">
        <v>0</v>
      </c>
      <c r="Y206" s="9">
        <v>2</v>
      </c>
      <c r="Z206" s="9">
        <v>2</v>
      </c>
      <c r="AA206" s="9">
        <v>2</v>
      </c>
      <c r="AB206" s="9">
        <v>2</v>
      </c>
      <c r="AC206" s="9">
        <v>0</v>
      </c>
      <c r="AD206" s="9">
        <v>2</v>
      </c>
      <c r="AE206" s="9">
        <v>0</v>
      </c>
      <c r="AF206" s="9">
        <v>2</v>
      </c>
      <c r="AG206" s="9">
        <v>0</v>
      </c>
      <c r="AH206" s="9">
        <v>0</v>
      </c>
      <c r="AI206" s="9">
        <v>0</v>
      </c>
      <c r="AJ206" s="9">
        <v>0</v>
      </c>
      <c r="AK206" s="9">
        <v>0</v>
      </c>
      <c r="AL206" s="9">
        <v>1</v>
      </c>
      <c r="AM206" s="9">
        <v>0</v>
      </c>
      <c r="AN206" s="9">
        <v>0</v>
      </c>
      <c r="AO206" s="9">
        <v>0</v>
      </c>
      <c r="AP206" s="9">
        <v>0</v>
      </c>
      <c r="AQ206" s="9">
        <v>0</v>
      </c>
      <c r="AR206" s="9">
        <v>0</v>
      </c>
      <c r="AS206" s="9">
        <v>0</v>
      </c>
      <c r="AT206" s="9">
        <v>1</v>
      </c>
      <c r="AU206" s="9">
        <v>0</v>
      </c>
      <c r="AV206" s="9">
        <v>0</v>
      </c>
      <c r="AW206" s="9">
        <v>0</v>
      </c>
      <c r="AX206" s="9">
        <v>0</v>
      </c>
      <c r="AY206" s="9">
        <v>0</v>
      </c>
      <c r="AZ206" s="9">
        <v>1</v>
      </c>
      <c r="BA206" s="9">
        <v>1</v>
      </c>
      <c r="BB206" s="9">
        <v>0</v>
      </c>
      <c r="BC206" s="9">
        <v>0</v>
      </c>
      <c r="BD206" s="9">
        <v>0</v>
      </c>
      <c r="BE206" s="9">
        <v>0</v>
      </c>
      <c r="BF206" s="9">
        <v>0</v>
      </c>
      <c r="BG206" s="9">
        <v>0</v>
      </c>
      <c r="BH206" s="9">
        <v>0</v>
      </c>
      <c r="BI206" s="9">
        <v>0</v>
      </c>
      <c r="BJ206" s="9">
        <v>0</v>
      </c>
      <c r="BK206" s="9">
        <v>0</v>
      </c>
      <c r="BL206" s="9">
        <v>0</v>
      </c>
      <c r="BM206" s="9">
        <v>0</v>
      </c>
      <c r="BN206" s="9">
        <v>0</v>
      </c>
      <c r="BO206" s="9">
        <v>0</v>
      </c>
      <c r="BP206" s="9">
        <v>0</v>
      </c>
      <c r="BQ206" s="9">
        <v>0</v>
      </c>
      <c r="BR206" s="9">
        <v>0</v>
      </c>
      <c r="BS206" s="9">
        <v>0</v>
      </c>
      <c r="BT206" s="9">
        <v>0</v>
      </c>
      <c r="BU206" s="9">
        <v>0</v>
      </c>
      <c r="BV206" s="9">
        <v>0</v>
      </c>
      <c r="BW206" s="9">
        <v>0</v>
      </c>
      <c r="BX206" s="9">
        <v>0</v>
      </c>
      <c r="BY206" s="9">
        <v>0</v>
      </c>
      <c r="BZ206" s="9">
        <v>0</v>
      </c>
      <c r="CA206" s="9">
        <v>0</v>
      </c>
      <c r="CB206" s="9">
        <v>0</v>
      </c>
      <c r="CC206" s="9">
        <v>0</v>
      </c>
      <c r="CD206" s="9">
        <v>0</v>
      </c>
      <c r="CE206" s="9">
        <v>0</v>
      </c>
      <c r="CF206" s="9">
        <v>0</v>
      </c>
      <c r="CG206" s="9">
        <v>0</v>
      </c>
      <c r="CH206" s="9">
        <v>0</v>
      </c>
      <c r="CI206" s="9">
        <v>0</v>
      </c>
      <c r="CJ206" s="9">
        <v>0</v>
      </c>
      <c r="CK206" s="9">
        <v>0</v>
      </c>
      <c r="CL206" s="9">
        <v>0</v>
      </c>
      <c r="CM206" s="9">
        <v>0</v>
      </c>
      <c r="CN206" s="9">
        <v>0</v>
      </c>
      <c r="CO206" s="9">
        <v>0</v>
      </c>
      <c r="CP206" s="9">
        <v>0</v>
      </c>
      <c r="CQ206" s="9">
        <v>0</v>
      </c>
      <c r="CR206" s="9">
        <v>0</v>
      </c>
      <c r="CS206" s="9">
        <v>0</v>
      </c>
      <c r="CT206" s="9">
        <v>1</v>
      </c>
      <c r="CU206" s="9">
        <v>0</v>
      </c>
      <c r="CV206" s="9">
        <v>0</v>
      </c>
      <c r="CW206" s="9">
        <v>0</v>
      </c>
      <c r="CX206" s="9">
        <v>0</v>
      </c>
      <c r="CY206" s="9">
        <v>1</v>
      </c>
      <c r="CZ206" s="9">
        <v>0</v>
      </c>
      <c r="DA206" s="9">
        <v>0</v>
      </c>
      <c r="DB206" s="9">
        <v>0</v>
      </c>
      <c r="DC206" s="9">
        <v>0</v>
      </c>
      <c r="DD206" s="9">
        <v>0</v>
      </c>
      <c r="DE206" s="9">
        <v>0</v>
      </c>
      <c r="DF206" s="9">
        <v>0</v>
      </c>
      <c r="DG206" s="9">
        <v>0</v>
      </c>
      <c r="DH206" s="9">
        <v>0</v>
      </c>
      <c r="DI206" s="9">
        <v>0</v>
      </c>
      <c r="DJ206" s="9">
        <v>0</v>
      </c>
      <c r="DK206" s="9">
        <v>0</v>
      </c>
      <c r="DL206" s="9">
        <v>0</v>
      </c>
      <c r="DM206" s="9">
        <v>0</v>
      </c>
      <c r="DN206" s="9">
        <v>0</v>
      </c>
      <c r="DO206" s="9">
        <v>0</v>
      </c>
      <c r="DP206" s="9">
        <v>0</v>
      </c>
      <c r="DQ206" s="9">
        <v>0</v>
      </c>
      <c r="DR206" s="9">
        <v>0</v>
      </c>
      <c r="DS206" s="9">
        <v>0</v>
      </c>
      <c r="DT206" s="9">
        <v>0</v>
      </c>
      <c r="DU206" s="9">
        <v>0</v>
      </c>
      <c r="DV206" s="9">
        <v>0</v>
      </c>
      <c r="DW206" s="9">
        <v>0</v>
      </c>
      <c r="DX206" s="9">
        <v>0</v>
      </c>
      <c r="DY206" s="9">
        <v>0</v>
      </c>
      <c r="DZ206" s="9">
        <v>0</v>
      </c>
      <c r="EA206" s="9">
        <v>0</v>
      </c>
      <c r="EB206" s="9">
        <v>0</v>
      </c>
      <c r="EC206" s="9">
        <v>0</v>
      </c>
      <c r="ED206" s="9">
        <v>0</v>
      </c>
      <c r="EE206" s="9">
        <v>0</v>
      </c>
      <c r="EF206" s="9">
        <v>0</v>
      </c>
      <c r="EG206" s="9">
        <v>0</v>
      </c>
      <c r="EH206" s="9">
        <v>0</v>
      </c>
      <c r="EI206" s="10">
        <v>0</v>
      </c>
    </row>
    <row r="207" spans="1:139" x14ac:dyDescent="0.35">
      <c r="A207" s="8" t="s">
        <v>342</v>
      </c>
      <c r="B207" s="9" t="s">
        <v>355</v>
      </c>
      <c r="C207" s="9" t="s">
        <v>356</v>
      </c>
      <c r="D207" s="9">
        <f t="shared" si="3"/>
        <v>14</v>
      </c>
      <c r="E207" s="9">
        <v>0</v>
      </c>
      <c r="F207" s="9">
        <v>0</v>
      </c>
      <c r="G207" s="9">
        <v>0</v>
      </c>
      <c r="H207" s="9">
        <v>0</v>
      </c>
      <c r="I207" s="9">
        <v>0</v>
      </c>
      <c r="J207" s="9">
        <v>0</v>
      </c>
      <c r="K207" s="9">
        <v>0</v>
      </c>
      <c r="L207" s="9">
        <v>0</v>
      </c>
      <c r="M207" s="9">
        <v>0</v>
      </c>
      <c r="N207" s="9">
        <v>0</v>
      </c>
      <c r="O207" s="9">
        <v>0</v>
      </c>
      <c r="P207" s="9">
        <v>0</v>
      </c>
      <c r="Q207" s="9">
        <v>0</v>
      </c>
      <c r="R207" s="9">
        <v>0</v>
      </c>
      <c r="S207" s="9">
        <v>0</v>
      </c>
      <c r="T207" s="9">
        <v>0</v>
      </c>
      <c r="U207" s="9">
        <v>0</v>
      </c>
      <c r="V207" s="9">
        <v>0</v>
      </c>
      <c r="W207" s="9">
        <v>0</v>
      </c>
      <c r="X207" s="9">
        <v>2</v>
      </c>
      <c r="Y207" s="9">
        <v>2</v>
      </c>
      <c r="Z207" s="9">
        <v>1</v>
      </c>
      <c r="AA207" s="9">
        <v>3</v>
      </c>
      <c r="AB207" s="9">
        <v>1</v>
      </c>
      <c r="AC207" s="9">
        <v>0</v>
      </c>
      <c r="AD207" s="9">
        <v>0</v>
      </c>
      <c r="AE207" s="9">
        <v>0</v>
      </c>
      <c r="AF207" s="9">
        <v>1</v>
      </c>
      <c r="AG207" s="9">
        <v>0</v>
      </c>
      <c r="AH207" s="9">
        <v>0</v>
      </c>
      <c r="AI207" s="9">
        <v>0</v>
      </c>
      <c r="AJ207" s="9">
        <v>0</v>
      </c>
      <c r="AK207" s="9">
        <v>0</v>
      </c>
      <c r="AL207" s="9">
        <v>0</v>
      </c>
      <c r="AM207" s="9">
        <v>0</v>
      </c>
      <c r="AN207" s="9">
        <v>0</v>
      </c>
      <c r="AO207" s="9">
        <v>0</v>
      </c>
      <c r="AP207" s="9">
        <v>0</v>
      </c>
      <c r="AQ207" s="9">
        <v>0</v>
      </c>
      <c r="AR207" s="9">
        <v>0</v>
      </c>
      <c r="AS207" s="9">
        <v>0</v>
      </c>
      <c r="AT207" s="9">
        <v>0</v>
      </c>
      <c r="AU207" s="9">
        <v>0</v>
      </c>
      <c r="AV207" s="9">
        <v>0</v>
      </c>
      <c r="AW207" s="9">
        <v>0</v>
      </c>
      <c r="AX207" s="9">
        <v>0</v>
      </c>
      <c r="AY207" s="9">
        <v>0</v>
      </c>
      <c r="AZ207" s="9">
        <v>0</v>
      </c>
      <c r="BA207" s="9">
        <v>0</v>
      </c>
      <c r="BB207" s="9">
        <v>0</v>
      </c>
      <c r="BC207" s="9">
        <v>0</v>
      </c>
      <c r="BD207" s="9">
        <v>0</v>
      </c>
      <c r="BE207" s="9">
        <v>0</v>
      </c>
      <c r="BF207" s="9">
        <v>0</v>
      </c>
      <c r="BG207" s="9">
        <v>0</v>
      </c>
      <c r="BH207" s="9">
        <v>0</v>
      </c>
      <c r="BI207" s="9">
        <v>0</v>
      </c>
      <c r="BJ207" s="9">
        <v>0</v>
      </c>
      <c r="BK207" s="9">
        <v>0</v>
      </c>
      <c r="BL207" s="9">
        <v>0</v>
      </c>
      <c r="BM207" s="9">
        <v>0</v>
      </c>
      <c r="BN207" s="9">
        <v>0</v>
      </c>
      <c r="BO207" s="9">
        <v>0</v>
      </c>
      <c r="BP207" s="9">
        <v>0</v>
      </c>
      <c r="BQ207" s="9">
        <v>0</v>
      </c>
      <c r="BR207" s="9">
        <v>0</v>
      </c>
      <c r="BS207" s="9">
        <v>0</v>
      </c>
      <c r="BT207" s="9">
        <v>0</v>
      </c>
      <c r="BU207" s="9">
        <v>0</v>
      </c>
      <c r="BV207" s="9">
        <v>0</v>
      </c>
      <c r="BW207" s="9">
        <v>0</v>
      </c>
      <c r="BX207" s="9">
        <v>0</v>
      </c>
      <c r="BY207" s="9">
        <v>0</v>
      </c>
      <c r="BZ207" s="9">
        <v>0</v>
      </c>
      <c r="CA207" s="9">
        <v>0</v>
      </c>
      <c r="CB207" s="9">
        <v>0</v>
      </c>
      <c r="CC207" s="9">
        <v>0</v>
      </c>
      <c r="CD207" s="9">
        <v>1</v>
      </c>
      <c r="CE207" s="9">
        <v>0</v>
      </c>
      <c r="CF207" s="9">
        <v>0</v>
      </c>
      <c r="CG207" s="9">
        <v>0</v>
      </c>
      <c r="CH207" s="9">
        <v>0</v>
      </c>
      <c r="CI207" s="9">
        <v>0</v>
      </c>
      <c r="CJ207" s="9">
        <v>0</v>
      </c>
      <c r="CK207" s="9">
        <v>0</v>
      </c>
      <c r="CL207" s="9">
        <v>0</v>
      </c>
      <c r="CM207" s="9">
        <v>0</v>
      </c>
      <c r="CN207" s="9">
        <v>0</v>
      </c>
      <c r="CO207" s="9">
        <v>0</v>
      </c>
      <c r="CP207" s="9">
        <v>0</v>
      </c>
      <c r="CQ207" s="9">
        <v>0</v>
      </c>
      <c r="CR207" s="9">
        <v>0</v>
      </c>
      <c r="CS207" s="9">
        <v>0</v>
      </c>
      <c r="CT207" s="9">
        <v>0</v>
      </c>
      <c r="CU207" s="9">
        <v>0</v>
      </c>
      <c r="CV207" s="9">
        <v>0</v>
      </c>
      <c r="CW207" s="9">
        <v>0</v>
      </c>
      <c r="CX207" s="9">
        <v>0</v>
      </c>
      <c r="CY207" s="9">
        <v>0</v>
      </c>
      <c r="CZ207" s="9">
        <v>0</v>
      </c>
      <c r="DA207" s="9">
        <v>1</v>
      </c>
      <c r="DB207" s="9">
        <v>0</v>
      </c>
      <c r="DC207" s="9">
        <v>0</v>
      </c>
      <c r="DD207" s="9">
        <v>0</v>
      </c>
      <c r="DE207" s="9">
        <v>1</v>
      </c>
      <c r="DF207" s="9">
        <v>0</v>
      </c>
      <c r="DG207" s="9">
        <v>0</v>
      </c>
      <c r="DH207" s="9">
        <v>0</v>
      </c>
      <c r="DI207" s="9">
        <v>1</v>
      </c>
      <c r="DJ207" s="9">
        <v>0</v>
      </c>
      <c r="DK207" s="9">
        <v>0</v>
      </c>
      <c r="DL207" s="9">
        <v>0</v>
      </c>
      <c r="DM207" s="9">
        <v>0</v>
      </c>
      <c r="DN207" s="9">
        <v>0</v>
      </c>
      <c r="DO207" s="9">
        <v>0</v>
      </c>
      <c r="DP207" s="9">
        <v>0</v>
      </c>
      <c r="DQ207" s="9">
        <v>0</v>
      </c>
      <c r="DR207" s="9">
        <v>0</v>
      </c>
      <c r="DS207" s="9">
        <v>0</v>
      </c>
      <c r="DT207" s="9">
        <v>0</v>
      </c>
      <c r="DU207" s="9">
        <v>0</v>
      </c>
      <c r="DV207" s="9">
        <v>0</v>
      </c>
      <c r="DW207" s="9">
        <v>0</v>
      </c>
      <c r="DX207" s="9">
        <v>0</v>
      </c>
      <c r="DY207" s="9">
        <v>0</v>
      </c>
      <c r="DZ207" s="9">
        <v>0</v>
      </c>
      <c r="EA207" s="9">
        <v>0</v>
      </c>
      <c r="EB207" s="9">
        <v>0</v>
      </c>
      <c r="EC207" s="9">
        <v>0</v>
      </c>
      <c r="ED207" s="9">
        <v>0</v>
      </c>
      <c r="EE207" s="9">
        <v>0</v>
      </c>
      <c r="EF207" s="9">
        <v>0</v>
      </c>
      <c r="EG207" s="9">
        <v>0</v>
      </c>
      <c r="EH207" s="9">
        <v>0</v>
      </c>
      <c r="EI207" s="10">
        <v>0</v>
      </c>
    </row>
    <row r="208" spans="1:139" x14ac:dyDescent="0.35">
      <c r="A208" s="8" t="s">
        <v>342</v>
      </c>
      <c r="B208" s="9" t="s">
        <v>357</v>
      </c>
      <c r="C208" s="9" t="s">
        <v>358</v>
      </c>
      <c r="D208" s="9">
        <f t="shared" si="3"/>
        <v>46</v>
      </c>
      <c r="E208" s="9">
        <v>0</v>
      </c>
      <c r="F208" s="9">
        <v>0</v>
      </c>
      <c r="G208" s="9">
        <v>0</v>
      </c>
      <c r="H208" s="9">
        <v>0</v>
      </c>
      <c r="I208" s="9">
        <v>0</v>
      </c>
      <c r="J208" s="9">
        <v>0</v>
      </c>
      <c r="K208" s="9">
        <v>0</v>
      </c>
      <c r="L208" s="9">
        <v>0</v>
      </c>
      <c r="M208" s="9">
        <v>0</v>
      </c>
      <c r="N208" s="9">
        <v>0</v>
      </c>
      <c r="O208" s="9">
        <v>0</v>
      </c>
      <c r="P208" s="9">
        <v>0</v>
      </c>
      <c r="Q208" s="9">
        <v>0</v>
      </c>
      <c r="R208" s="9">
        <v>0</v>
      </c>
      <c r="S208" s="9">
        <v>0</v>
      </c>
      <c r="T208" s="9">
        <v>0</v>
      </c>
      <c r="U208" s="9">
        <v>0</v>
      </c>
      <c r="V208" s="9">
        <v>0</v>
      </c>
      <c r="W208" s="9">
        <v>0</v>
      </c>
      <c r="X208" s="9">
        <v>0</v>
      </c>
      <c r="Y208" s="9">
        <v>0</v>
      </c>
      <c r="Z208" s="9">
        <v>0</v>
      </c>
      <c r="AA208" s="9">
        <v>0</v>
      </c>
      <c r="AB208" s="9">
        <v>0</v>
      </c>
      <c r="AC208" s="9">
        <v>0</v>
      </c>
      <c r="AD208" s="9">
        <v>0</v>
      </c>
      <c r="AE208" s="9">
        <v>0</v>
      </c>
      <c r="AF208" s="9">
        <v>0</v>
      </c>
      <c r="AG208" s="9">
        <v>0</v>
      </c>
      <c r="AH208" s="9">
        <v>0</v>
      </c>
      <c r="AI208" s="9">
        <v>0</v>
      </c>
      <c r="AJ208" s="9">
        <v>0</v>
      </c>
      <c r="AK208" s="9">
        <v>0</v>
      </c>
      <c r="AL208" s="9">
        <v>0</v>
      </c>
      <c r="AM208" s="9">
        <v>0</v>
      </c>
      <c r="AN208" s="9">
        <v>1</v>
      </c>
      <c r="AO208" s="9">
        <v>0</v>
      </c>
      <c r="AP208" s="9">
        <v>1</v>
      </c>
      <c r="AQ208" s="9">
        <v>0</v>
      </c>
      <c r="AR208" s="9">
        <v>0</v>
      </c>
      <c r="AS208" s="9">
        <v>0</v>
      </c>
      <c r="AT208" s="9">
        <v>0</v>
      </c>
      <c r="AU208" s="9">
        <v>0</v>
      </c>
      <c r="AV208" s="9">
        <v>0</v>
      </c>
      <c r="AW208" s="9">
        <v>0</v>
      </c>
      <c r="AX208" s="9">
        <v>1</v>
      </c>
      <c r="AY208" s="9">
        <v>1</v>
      </c>
      <c r="AZ208" s="9">
        <v>0</v>
      </c>
      <c r="BA208" s="9">
        <v>0</v>
      </c>
      <c r="BB208" s="9">
        <v>1</v>
      </c>
      <c r="BC208" s="9">
        <v>0</v>
      </c>
      <c r="BD208" s="9">
        <v>0</v>
      </c>
      <c r="BE208" s="9">
        <v>0</v>
      </c>
      <c r="BF208" s="9">
        <v>2</v>
      </c>
      <c r="BG208" s="9">
        <v>0</v>
      </c>
      <c r="BH208" s="9">
        <v>0</v>
      </c>
      <c r="BI208" s="9">
        <v>0</v>
      </c>
      <c r="BJ208" s="9">
        <v>1</v>
      </c>
      <c r="BK208" s="9">
        <v>0</v>
      </c>
      <c r="BL208" s="9">
        <v>1</v>
      </c>
      <c r="BM208" s="9">
        <v>0</v>
      </c>
      <c r="BN208" s="9">
        <v>1</v>
      </c>
      <c r="BO208" s="9">
        <v>0</v>
      </c>
      <c r="BP208" s="9">
        <v>0</v>
      </c>
      <c r="BQ208" s="9">
        <v>0</v>
      </c>
      <c r="BR208" s="9">
        <v>1</v>
      </c>
      <c r="BS208" s="9">
        <v>0</v>
      </c>
      <c r="BT208" s="9">
        <v>2</v>
      </c>
      <c r="BU208" s="9">
        <v>3</v>
      </c>
      <c r="BV208" s="9">
        <v>1</v>
      </c>
      <c r="BW208" s="9">
        <v>0</v>
      </c>
      <c r="BX208" s="9">
        <v>0</v>
      </c>
      <c r="BY208" s="9">
        <v>1</v>
      </c>
      <c r="BZ208" s="9">
        <v>0</v>
      </c>
      <c r="CA208" s="9">
        <v>0</v>
      </c>
      <c r="CB208" s="9">
        <v>1</v>
      </c>
      <c r="CC208" s="9">
        <v>1</v>
      </c>
      <c r="CD208" s="9">
        <v>1</v>
      </c>
      <c r="CE208" s="9">
        <v>2</v>
      </c>
      <c r="CF208" s="9">
        <v>2</v>
      </c>
      <c r="CG208" s="9">
        <v>0</v>
      </c>
      <c r="CH208" s="9">
        <v>1</v>
      </c>
      <c r="CI208" s="9">
        <v>1</v>
      </c>
      <c r="CJ208" s="9">
        <v>1</v>
      </c>
      <c r="CK208" s="9">
        <v>2</v>
      </c>
      <c r="CL208" s="9">
        <v>0</v>
      </c>
      <c r="CM208" s="9">
        <v>0</v>
      </c>
      <c r="CN208" s="9">
        <v>1</v>
      </c>
      <c r="CO208" s="9">
        <v>0</v>
      </c>
      <c r="CP208" s="9">
        <v>0</v>
      </c>
      <c r="CQ208" s="9">
        <v>2</v>
      </c>
      <c r="CR208" s="9">
        <v>2</v>
      </c>
      <c r="CS208" s="9">
        <v>0</v>
      </c>
      <c r="CT208" s="9">
        <v>0</v>
      </c>
      <c r="CU208" s="9">
        <v>1</v>
      </c>
      <c r="CV208" s="9">
        <v>0</v>
      </c>
      <c r="CW208" s="9">
        <v>0</v>
      </c>
      <c r="CX208" s="9">
        <v>0</v>
      </c>
      <c r="CY208" s="9">
        <v>2</v>
      </c>
      <c r="CZ208" s="9">
        <v>0</v>
      </c>
      <c r="DA208" s="9">
        <v>0</v>
      </c>
      <c r="DB208" s="9">
        <v>0</v>
      </c>
      <c r="DC208" s="9">
        <v>0</v>
      </c>
      <c r="DD208" s="9">
        <v>0</v>
      </c>
      <c r="DE208" s="9">
        <v>0</v>
      </c>
      <c r="DF208" s="9">
        <v>0</v>
      </c>
      <c r="DG208" s="9">
        <v>1</v>
      </c>
      <c r="DH208" s="9">
        <v>0</v>
      </c>
      <c r="DI208" s="9">
        <v>0</v>
      </c>
      <c r="DJ208" s="9">
        <v>0</v>
      </c>
      <c r="DK208" s="9">
        <v>0</v>
      </c>
      <c r="DL208" s="9">
        <v>0</v>
      </c>
      <c r="DM208" s="9">
        <v>0</v>
      </c>
      <c r="DN208" s="9">
        <v>0</v>
      </c>
      <c r="DO208" s="9">
        <v>1</v>
      </c>
      <c r="DP208" s="9">
        <v>1</v>
      </c>
      <c r="DQ208" s="9">
        <v>0</v>
      </c>
      <c r="DR208" s="9">
        <v>1</v>
      </c>
      <c r="DS208" s="9">
        <v>2</v>
      </c>
      <c r="DT208" s="9">
        <v>0</v>
      </c>
      <c r="DU208" s="9">
        <v>0</v>
      </c>
      <c r="DV208" s="9">
        <v>0</v>
      </c>
      <c r="DW208" s="9">
        <v>0</v>
      </c>
      <c r="DX208" s="9">
        <v>0</v>
      </c>
      <c r="DY208" s="9">
        <v>0</v>
      </c>
      <c r="DZ208" s="9">
        <v>0</v>
      </c>
      <c r="EA208" s="9">
        <v>1</v>
      </c>
      <c r="EB208" s="9">
        <v>0</v>
      </c>
      <c r="EC208" s="9">
        <v>0</v>
      </c>
      <c r="ED208" s="9">
        <v>0</v>
      </c>
      <c r="EE208" s="9">
        <v>0</v>
      </c>
      <c r="EF208" s="9">
        <v>0</v>
      </c>
      <c r="EG208" s="9">
        <v>0</v>
      </c>
      <c r="EH208" s="9">
        <v>0</v>
      </c>
      <c r="EI208" s="10">
        <v>1</v>
      </c>
    </row>
    <row r="209" spans="1:139" x14ac:dyDescent="0.35">
      <c r="A209" s="8" t="s">
        <v>342</v>
      </c>
      <c r="B209" s="9" t="s">
        <v>359</v>
      </c>
      <c r="C209" s="9" t="s">
        <v>360</v>
      </c>
      <c r="D209" s="9">
        <f t="shared" si="3"/>
        <v>31</v>
      </c>
      <c r="E209" s="9">
        <v>0</v>
      </c>
      <c r="F209" s="9">
        <v>0</v>
      </c>
      <c r="G209" s="9">
        <v>0</v>
      </c>
      <c r="H209" s="9">
        <v>0</v>
      </c>
      <c r="I209" s="9">
        <v>0</v>
      </c>
      <c r="J209" s="9">
        <v>0</v>
      </c>
      <c r="K209" s="9">
        <v>0</v>
      </c>
      <c r="L209" s="9">
        <v>0</v>
      </c>
      <c r="M209" s="9">
        <v>2</v>
      </c>
      <c r="N209" s="9">
        <v>0</v>
      </c>
      <c r="O209" s="9">
        <v>2</v>
      </c>
      <c r="P209" s="9">
        <v>0</v>
      </c>
      <c r="Q209" s="9">
        <v>0</v>
      </c>
      <c r="R209" s="9">
        <v>0</v>
      </c>
      <c r="S209" s="9">
        <v>1</v>
      </c>
      <c r="T209" s="9">
        <v>1</v>
      </c>
      <c r="U209" s="9">
        <v>0</v>
      </c>
      <c r="V209" s="9">
        <v>0</v>
      </c>
      <c r="W209" s="9">
        <v>0</v>
      </c>
      <c r="X209" s="9">
        <v>0</v>
      </c>
      <c r="Y209" s="9">
        <v>0</v>
      </c>
      <c r="Z209" s="9">
        <v>0</v>
      </c>
      <c r="AA209" s="9">
        <v>0</v>
      </c>
      <c r="AB209" s="9">
        <v>0</v>
      </c>
      <c r="AC209" s="9">
        <v>0</v>
      </c>
      <c r="AD209" s="9">
        <v>0</v>
      </c>
      <c r="AE209" s="9">
        <v>0</v>
      </c>
      <c r="AF209" s="9">
        <v>0</v>
      </c>
      <c r="AG209" s="9">
        <v>0</v>
      </c>
      <c r="AH209" s="9">
        <v>0</v>
      </c>
      <c r="AI209" s="9">
        <v>0</v>
      </c>
      <c r="AJ209" s="9">
        <v>1</v>
      </c>
      <c r="AK209" s="9">
        <v>0</v>
      </c>
      <c r="AL209" s="9">
        <v>0</v>
      </c>
      <c r="AM209" s="9">
        <v>0</v>
      </c>
      <c r="AN209" s="9">
        <v>2</v>
      </c>
      <c r="AO209" s="9">
        <v>0</v>
      </c>
      <c r="AP209" s="9">
        <v>0</v>
      </c>
      <c r="AQ209" s="9">
        <v>0</v>
      </c>
      <c r="AR209" s="9">
        <v>1</v>
      </c>
      <c r="AS209" s="9">
        <v>1</v>
      </c>
      <c r="AT209" s="9">
        <v>0</v>
      </c>
      <c r="AU209" s="9">
        <v>1</v>
      </c>
      <c r="AV209" s="9">
        <v>0</v>
      </c>
      <c r="AW209" s="9">
        <v>0</v>
      </c>
      <c r="AX209" s="9">
        <v>0</v>
      </c>
      <c r="AY209" s="9">
        <v>1</v>
      </c>
      <c r="AZ209" s="9">
        <v>1</v>
      </c>
      <c r="BA209" s="9">
        <v>0</v>
      </c>
      <c r="BB209" s="9">
        <v>1</v>
      </c>
      <c r="BC209" s="9">
        <v>0</v>
      </c>
      <c r="BD209" s="9">
        <v>1</v>
      </c>
      <c r="BE209" s="9">
        <v>0</v>
      </c>
      <c r="BF209" s="9">
        <v>1</v>
      </c>
      <c r="BG209" s="9">
        <v>0</v>
      </c>
      <c r="BH209" s="9">
        <v>1</v>
      </c>
      <c r="BI209" s="9">
        <v>0</v>
      </c>
      <c r="BJ209" s="9">
        <v>0</v>
      </c>
      <c r="BK209" s="9">
        <v>0</v>
      </c>
      <c r="BL209" s="9">
        <v>0</v>
      </c>
      <c r="BM209" s="9">
        <v>1</v>
      </c>
      <c r="BN209" s="9">
        <v>2</v>
      </c>
      <c r="BO209" s="9">
        <v>0</v>
      </c>
      <c r="BP209" s="9">
        <v>1</v>
      </c>
      <c r="BQ209" s="9">
        <v>1</v>
      </c>
      <c r="BR209" s="9">
        <v>0</v>
      </c>
      <c r="BS209" s="9">
        <v>0</v>
      </c>
      <c r="BT209" s="9">
        <v>1</v>
      </c>
      <c r="BU209" s="9">
        <v>0</v>
      </c>
      <c r="BV209" s="9">
        <v>0</v>
      </c>
      <c r="BW209" s="9">
        <v>0</v>
      </c>
      <c r="BX209" s="9">
        <v>0</v>
      </c>
      <c r="BY209" s="9">
        <v>0</v>
      </c>
      <c r="BZ209" s="9">
        <v>0</v>
      </c>
      <c r="CA209" s="9">
        <v>0</v>
      </c>
      <c r="CB209" s="9">
        <v>0</v>
      </c>
      <c r="CC209" s="9">
        <v>0</v>
      </c>
      <c r="CD209" s="9">
        <v>0</v>
      </c>
      <c r="CE209" s="9">
        <v>1</v>
      </c>
      <c r="CF209" s="9">
        <v>0</v>
      </c>
      <c r="CG209" s="9">
        <v>0</v>
      </c>
      <c r="CH209" s="9">
        <v>0</v>
      </c>
      <c r="CI209" s="9">
        <v>0</v>
      </c>
      <c r="CJ209" s="9">
        <v>0</v>
      </c>
      <c r="CK209" s="9">
        <v>0</v>
      </c>
      <c r="CL209" s="9">
        <v>0</v>
      </c>
      <c r="CM209" s="9">
        <v>0</v>
      </c>
      <c r="CN209" s="9">
        <v>1</v>
      </c>
      <c r="CO209" s="9">
        <v>0</v>
      </c>
      <c r="CP209" s="9">
        <v>0</v>
      </c>
      <c r="CQ209" s="9">
        <v>0</v>
      </c>
      <c r="CR209" s="9">
        <v>0</v>
      </c>
      <c r="CS209" s="9">
        <v>0</v>
      </c>
      <c r="CT209" s="9">
        <v>0</v>
      </c>
      <c r="CU209" s="9">
        <v>1</v>
      </c>
      <c r="CV209" s="9">
        <v>0</v>
      </c>
      <c r="CW209" s="9">
        <v>0</v>
      </c>
      <c r="CX209" s="9">
        <v>0</v>
      </c>
      <c r="CY209" s="9">
        <v>1</v>
      </c>
      <c r="CZ209" s="9">
        <v>0</v>
      </c>
      <c r="DA209" s="9">
        <v>0</v>
      </c>
      <c r="DB209" s="9">
        <v>0</v>
      </c>
      <c r="DC209" s="9">
        <v>0</v>
      </c>
      <c r="DD209" s="9">
        <v>0</v>
      </c>
      <c r="DE209" s="9">
        <v>0</v>
      </c>
      <c r="DF209" s="9">
        <v>0</v>
      </c>
      <c r="DG209" s="9">
        <v>0</v>
      </c>
      <c r="DH209" s="9">
        <v>0</v>
      </c>
      <c r="DI209" s="9">
        <v>0</v>
      </c>
      <c r="DJ209" s="9">
        <v>0</v>
      </c>
      <c r="DK209" s="9">
        <v>0</v>
      </c>
      <c r="DL209" s="9">
        <v>0</v>
      </c>
      <c r="DM209" s="9">
        <v>0</v>
      </c>
      <c r="DN209" s="9">
        <v>0</v>
      </c>
      <c r="DO209" s="9">
        <v>0</v>
      </c>
      <c r="DP209" s="9">
        <v>0</v>
      </c>
      <c r="DQ209" s="9">
        <v>1</v>
      </c>
      <c r="DR209" s="9">
        <v>0</v>
      </c>
      <c r="DS209" s="9">
        <v>1</v>
      </c>
      <c r="DT209" s="9">
        <v>0</v>
      </c>
      <c r="DU209" s="9">
        <v>0</v>
      </c>
      <c r="DV209" s="9">
        <v>0</v>
      </c>
      <c r="DW209" s="9">
        <v>0</v>
      </c>
      <c r="DX209" s="9">
        <v>0</v>
      </c>
      <c r="DY209" s="9">
        <v>0</v>
      </c>
      <c r="DZ209" s="9">
        <v>0</v>
      </c>
      <c r="EA209" s="9">
        <v>0</v>
      </c>
      <c r="EB209" s="9">
        <v>0</v>
      </c>
      <c r="EC209" s="9">
        <v>0</v>
      </c>
      <c r="ED209" s="9">
        <v>1</v>
      </c>
      <c r="EE209" s="9">
        <v>0</v>
      </c>
      <c r="EF209" s="9">
        <v>0</v>
      </c>
      <c r="EG209" s="9">
        <v>0</v>
      </c>
      <c r="EH209" s="9">
        <v>0</v>
      </c>
      <c r="EI209" s="10">
        <v>0</v>
      </c>
    </row>
    <row r="210" spans="1:139" x14ac:dyDescent="0.35">
      <c r="A210" s="8" t="s">
        <v>342</v>
      </c>
      <c r="B210" s="9" t="s">
        <v>361</v>
      </c>
      <c r="C210" s="9" t="s">
        <v>362</v>
      </c>
      <c r="D210" s="9">
        <f t="shared" si="3"/>
        <v>224</v>
      </c>
      <c r="E210" s="9">
        <v>0</v>
      </c>
      <c r="F210" s="9">
        <v>0</v>
      </c>
      <c r="G210" s="9">
        <v>0</v>
      </c>
      <c r="H210" s="9">
        <v>1</v>
      </c>
      <c r="I210" s="9">
        <v>0</v>
      </c>
      <c r="J210" s="9">
        <v>7</v>
      </c>
      <c r="K210" s="9">
        <v>4</v>
      </c>
      <c r="L210" s="9">
        <v>4</v>
      </c>
      <c r="M210" s="9">
        <v>11</v>
      </c>
      <c r="N210" s="9">
        <v>12</v>
      </c>
      <c r="O210" s="9">
        <v>4</v>
      </c>
      <c r="P210" s="9">
        <v>3</v>
      </c>
      <c r="Q210" s="9">
        <v>0</v>
      </c>
      <c r="R210" s="9">
        <v>3</v>
      </c>
      <c r="S210" s="9">
        <v>0</v>
      </c>
      <c r="T210" s="9">
        <v>6</v>
      </c>
      <c r="U210" s="9">
        <v>16</v>
      </c>
      <c r="V210" s="9">
        <v>1</v>
      </c>
      <c r="W210" s="9">
        <v>12</v>
      </c>
      <c r="X210" s="9">
        <v>0</v>
      </c>
      <c r="Y210" s="9">
        <v>10</v>
      </c>
      <c r="Z210" s="9">
        <v>3</v>
      </c>
      <c r="AA210" s="9">
        <v>3</v>
      </c>
      <c r="AB210" s="9">
        <v>0</v>
      </c>
      <c r="AC210" s="9">
        <v>7</v>
      </c>
      <c r="AD210" s="9">
        <v>5</v>
      </c>
      <c r="AE210" s="9">
        <v>0</v>
      </c>
      <c r="AF210" s="9">
        <v>1</v>
      </c>
      <c r="AG210" s="9">
        <v>2</v>
      </c>
      <c r="AH210" s="9">
        <v>46</v>
      </c>
      <c r="AI210" s="9">
        <v>4</v>
      </c>
      <c r="AJ210" s="9">
        <v>2</v>
      </c>
      <c r="AK210" s="9">
        <v>1</v>
      </c>
      <c r="AL210" s="9">
        <v>2</v>
      </c>
      <c r="AM210" s="9">
        <v>0</v>
      </c>
      <c r="AN210" s="9">
        <v>1</v>
      </c>
      <c r="AO210" s="9">
        <v>0</v>
      </c>
      <c r="AP210" s="9">
        <v>2</v>
      </c>
      <c r="AQ210" s="9">
        <v>0</v>
      </c>
      <c r="AR210" s="9">
        <v>2</v>
      </c>
      <c r="AS210" s="9">
        <v>1</v>
      </c>
      <c r="AT210" s="9">
        <v>1</v>
      </c>
      <c r="AU210" s="9">
        <v>3</v>
      </c>
      <c r="AV210" s="9">
        <v>0</v>
      </c>
      <c r="AW210" s="9">
        <v>1</v>
      </c>
      <c r="AX210" s="9">
        <v>2</v>
      </c>
      <c r="AY210" s="9">
        <v>4</v>
      </c>
      <c r="AZ210" s="9">
        <v>3</v>
      </c>
      <c r="BA210" s="9">
        <v>4</v>
      </c>
      <c r="BB210" s="9">
        <v>1</v>
      </c>
      <c r="BC210" s="9">
        <v>0</v>
      </c>
      <c r="BD210" s="9">
        <v>1</v>
      </c>
      <c r="BE210" s="9">
        <v>1</v>
      </c>
      <c r="BF210" s="9">
        <v>0</v>
      </c>
      <c r="BG210" s="9">
        <v>0</v>
      </c>
      <c r="BH210" s="9">
        <v>1</v>
      </c>
      <c r="BI210" s="9">
        <v>5</v>
      </c>
      <c r="BJ210" s="9">
        <v>2</v>
      </c>
      <c r="BK210" s="9">
        <v>0</v>
      </c>
      <c r="BL210" s="9">
        <v>0</v>
      </c>
      <c r="BM210" s="9">
        <v>0</v>
      </c>
      <c r="BN210" s="9">
        <v>0</v>
      </c>
      <c r="BO210" s="9">
        <v>1</v>
      </c>
      <c r="BP210" s="9">
        <v>1</v>
      </c>
      <c r="BQ210" s="9">
        <v>0</v>
      </c>
      <c r="BR210" s="9">
        <v>0</v>
      </c>
      <c r="BS210" s="9">
        <v>0</v>
      </c>
      <c r="BT210" s="9">
        <v>0</v>
      </c>
      <c r="BU210" s="9">
        <v>1</v>
      </c>
      <c r="BV210" s="9">
        <v>0</v>
      </c>
      <c r="BW210" s="9">
        <v>1</v>
      </c>
      <c r="BX210" s="9">
        <v>0</v>
      </c>
      <c r="BY210" s="9">
        <v>0</v>
      </c>
      <c r="BZ210" s="9">
        <v>0</v>
      </c>
      <c r="CA210" s="9">
        <v>2</v>
      </c>
      <c r="CB210" s="9">
        <v>1</v>
      </c>
      <c r="CC210" s="9">
        <v>0</v>
      </c>
      <c r="CD210" s="9">
        <v>1</v>
      </c>
      <c r="CE210" s="9">
        <v>0</v>
      </c>
      <c r="CF210" s="9">
        <v>1</v>
      </c>
      <c r="CG210" s="9">
        <v>0</v>
      </c>
      <c r="CH210" s="9">
        <v>0</v>
      </c>
      <c r="CI210" s="9">
        <v>0</v>
      </c>
      <c r="CJ210" s="9">
        <v>3</v>
      </c>
      <c r="CK210" s="9">
        <v>1</v>
      </c>
      <c r="CL210" s="9">
        <v>0</v>
      </c>
      <c r="CM210" s="9">
        <v>0</v>
      </c>
      <c r="CN210" s="9">
        <v>0</v>
      </c>
      <c r="CO210" s="9">
        <v>0</v>
      </c>
      <c r="CP210" s="9">
        <v>0</v>
      </c>
      <c r="CQ210" s="9">
        <v>0</v>
      </c>
      <c r="CR210" s="9">
        <v>0</v>
      </c>
      <c r="CS210" s="9">
        <v>0</v>
      </c>
      <c r="CT210" s="9">
        <v>1</v>
      </c>
      <c r="CU210" s="9">
        <v>0</v>
      </c>
      <c r="CV210" s="9">
        <v>1</v>
      </c>
      <c r="CW210" s="9">
        <v>1</v>
      </c>
      <c r="CX210" s="9">
        <v>0</v>
      </c>
      <c r="CY210" s="9">
        <v>0</v>
      </c>
      <c r="CZ210" s="9">
        <v>2</v>
      </c>
      <c r="DA210" s="9">
        <v>0</v>
      </c>
      <c r="DB210" s="9">
        <v>0</v>
      </c>
      <c r="DC210" s="9">
        <v>0</v>
      </c>
      <c r="DD210" s="9">
        <v>0</v>
      </c>
      <c r="DE210" s="9">
        <v>0</v>
      </c>
      <c r="DF210" s="9">
        <v>0</v>
      </c>
      <c r="DG210" s="9">
        <v>0</v>
      </c>
      <c r="DH210" s="9">
        <v>0</v>
      </c>
      <c r="DI210" s="9">
        <v>0</v>
      </c>
      <c r="DJ210" s="9">
        <v>0</v>
      </c>
      <c r="DK210" s="9">
        <v>0</v>
      </c>
      <c r="DL210" s="9">
        <v>0</v>
      </c>
      <c r="DM210" s="9">
        <v>0</v>
      </c>
      <c r="DN210" s="9">
        <v>0</v>
      </c>
      <c r="DO210" s="9">
        <v>0</v>
      </c>
      <c r="DP210" s="9">
        <v>0</v>
      </c>
      <c r="DQ210" s="9">
        <v>0</v>
      </c>
      <c r="DR210" s="9">
        <v>0</v>
      </c>
      <c r="DS210" s="9">
        <v>0</v>
      </c>
      <c r="DT210" s="9">
        <v>0</v>
      </c>
      <c r="DU210" s="9">
        <v>0</v>
      </c>
      <c r="DV210" s="9">
        <v>0</v>
      </c>
      <c r="DW210" s="9">
        <v>0</v>
      </c>
      <c r="DX210" s="9">
        <v>0</v>
      </c>
      <c r="DY210" s="9">
        <v>0</v>
      </c>
      <c r="DZ210" s="9">
        <v>0</v>
      </c>
      <c r="EA210" s="9">
        <v>0</v>
      </c>
      <c r="EB210" s="9">
        <v>0</v>
      </c>
      <c r="EC210" s="9">
        <v>1</v>
      </c>
      <c r="ED210" s="9">
        <v>0</v>
      </c>
      <c r="EE210" s="9">
        <v>0</v>
      </c>
      <c r="EF210" s="9">
        <v>0</v>
      </c>
      <c r="EG210" s="9">
        <v>0</v>
      </c>
      <c r="EH210" s="9">
        <v>0</v>
      </c>
      <c r="EI210" s="10">
        <v>0</v>
      </c>
    </row>
    <row r="211" spans="1:139" x14ac:dyDescent="0.35">
      <c r="A211" s="8" t="s">
        <v>342</v>
      </c>
      <c r="B211" s="9" t="s">
        <v>363</v>
      </c>
      <c r="C211" s="9" t="s">
        <v>364</v>
      </c>
      <c r="D211" s="9">
        <f t="shared" si="3"/>
        <v>2</v>
      </c>
      <c r="E211" s="9">
        <v>0</v>
      </c>
      <c r="F211" s="9">
        <v>0</v>
      </c>
      <c r="G211" s="9">
        <v>0</v>
      </c>
      <c r="H211" s="9">
        <v>0</v>
      </c>
      <c r="I211" s="9">
        <v>0</v>
      </c>
      <c r="J211" s="9">
        <v>0</v>
      </c>
      <c r="K211" s="9">
        <v>0</v>
      </c>
      <c r="L211" s="9">
        <v>0</v>
      </c>
      <c r="M211" s="9">
        <v>0</v>
      </c>
      <c r="N211" s="9">
        <v>0</v>
      </c>
      <c r="O211" s="9">
        <v>0</v>
      </c>
      <c r="P211" s="9">
        <v>0</v>
      </c>
      <c r="Q211" s="9">
        <v>0</v>
      </c>
      <c r="R211" s="9">
        <v>0</v>
      </c>
      <c r="S211" s="9">
        <v>0</v>
      </c>
      <c r="T211" s="9">
        <v>1</v>
      </c>
      <c r="U211" s="9">
        <v>0</v>
      </c>
      <c r="V211" s="9">
        <v>0</v>
      </c>
      <c r="W211" s="9">
        <v>0</v>
      </c>
      <c r="X211" s="9">
        <v>0</v>
      </c>
      <c r="Y211" s="9">
        <v>0</v>
      </c>
      <c r="Z211" s="9">
        <v>0</v>
      </c>
      <c r="AA211" s="9">
        <v>0</v>
      </c>
      <c r="AB211" s="9">
        <v>0</v>
      </c>
      <c r="AC211" s="9">
        <v>0</v>
      </c>
      <c r="AD211" s="9">
        <v>0</v>
      </c>
      <c r="AE211" s="9">
        <v>0</v>
      </c>
      <c r="AF211" s="9">
        <v>0</v>
      </c>
      <c r="AG211" s="9">
        <v>0</v>
      </c>
      <c r="AH211" s="9">
        <v>0</v>
      </c>
      <c r="AI211" s="9">
        <v>0</v>
      </c>
      <c r="AJ211" s="9">
        <v>0</v>
      </c>
      <c r="AK211" s="9">
        <v>0</v>
      </c>
      <c r="AL211" s="9">
        <v>0</v>
      </c>
      <c r="AM211" s="9">
        <v>0</v>
      </c>
      <c r="AN211" s="9">
        <v>0</v>
      </c>
      <c r="AO211" s="9">
        <v>0</v>
      </c>
      <c r="AP211" s="9">
        <v>0</v>
      </c>
      <c r="AQ211" s="9">
        <v>0</v>
      </c>
      <c r="AR211" s="9">
        <v>0</v>
      </c>
      <c r="AS211" s="9">
        <v>0</v>
      </c>
      <c r="AT211" s="9">
        <v>0</v>
      </c>
      <c r="AU211" s="9">
        <v>0</v>
      </c>
      <c r="AV211" s="9">
        <v>0</v>
      </c>
      <c r="AW211" s="9">
        <v>0</v>
      </c>
      <c r="AX211" s="9">
        <v>0</v>
      </c>
      <c r="AY211" s="9">
        <v>0</v>
      </c>
      <c r="AZ211" s="9">
        <v>0</v>
      </c>
      <c r="BA211" s="9">
        <v>0</v>
      </c>
      <c r="BB211" s="9">
        <v>0</v>
      </c>
      <c r="BC211" s="9">
        <v>0</v>
      </c>
      <c r="BD211" s="9">
        <v>0</v>
      </c>
      <c r="BE211" s="9">
        <v>0</v>
      </c>
      <c r="BF211" s="9">
        <v>0</v>
      </c>
      <c r="BG211" s="9">
        <v>0</v>
      </c>
      <c r="BH211" s="9">
        <v>0</v>
      </c>
      <c r="BI211" s="9">
        <v>0</v>
      </c>
      <c r="BJ211" s="9">
        <v>0</v>
      </c>
      <c r="BK211" s="9">
        <v>0</v>
      </c>
      <c r="BL211" s="9">
        <v>0</v>
      </c>
      <c r="BM211" s="9">
        <v>0</v>
      </c>
      <c r="BN211" s="9">
        <v>0</v>
      </c>
      <c r="BO211" s="9">
        <v>0</v>
      </c>
      <c r="BP211" s="9">
        <v>0</v>
      </c>
      <c r="BQ211" s="9">
        <v>0</v>
      </c>
      <c r="BR211" s="9">
        <v>0</v>
      </c>
      <c r="BS211" s="9">
        <v>0</v>
      </c>
      <c r="BT211" s="9">
        <v>0</v>
      </c>
      <c r="BU211" s="9">
        <v>0</v>
      </c>
      <c r="BV211" s="9">
        <v>0</v>
      </c>
      <c r="BW211" s="9">
        <v>0</v>
      </c>
      <c r="BX211" s="9">
        <v>0</v>
      </c>
      <c r="BY211" s="9">
        <v>0</v>
      </c>
      <c r="BZ211" s="9">
        <v>0</v>
      </c>
      <c r="CA211" s="9">
        <v>0</v>
      </c>
      <c r="CB211" s="9">
        <v>0</v>
      </c>
      <c r="CC211" s="9">
        <v>0</v>
      </c>
      <c r="CD211" s="9">
        <v>0</v>
      </c>
      <c r="CE211" s="9">
        <v>0</v>
      </c>
      <c r="CF211" s="9">
        <v>0</v>
      </c>
      <c r="CG211" s="9">
        <v>0</v>
      </c>
      <c r="CH211" s="9">
        <v>0</v>
      </c>
      <c r="CI211" s="9">
        <v>0</v>
      </c>
      <c r="CJ211" s="9">
        <v>0</v>
      </c>
      <c r="CK211" s="9">
        <v>0</v>
      </c>
      <c r="CL211" s="9">
        <v>0</v>
      </c>
      <c r="CM211" s="9">
        <v>0</v>
      </c>
      <c r="CN211" s="9">
        <v>0</v>
      </c>
      <c r="CO211" s="9">
        <v>0</v>
      </c>
      <c r="CP211" s="9">
        <v>0</v>
      </c>
      <c r="CQ211" s="9">
        <v>0</v>
      </c>
      <c r="CR211" s="9">
        <v>0</v>
      </c>
      <c r="CS211" s="9">
        <v>0</v>
      </c>
      <c r="CT211" s="9">
        <v>0</v>
      </c>
      <c r="CU211" s="9">
        <v>0</v>
      </c>
      <c r="CV211" s="9">
        <v>0</v>
      </c>
      <c r="CW211" s="9">
        <v>0</v>
      </c>
      <c r="CX211" s="9">
        <v>0</v>
      </c>
      <c r="CY211" s="9">
        <v>0</v>
      </c>
      <c r="CZ211" s="9">
        <v>0</v>
      </c>
      <c r="DA211" s="9">
        <v>0</v>
      </c>
      <c r="DB211" s="9">
        <v>0</v>
      </c>
      <c r="DC211" s="9">
        <v>0</v>
      </c>
      <c r="DD211" s="9">
        <v>0</v>
      </c>
      <c r="DE211" s="9">
        <v>0</v>
      </c>
      <c r="DF211" s="9">
        <v>0</v>
      </c>
      <c r="DG211" s="9">
        <v>0</v>
      </c>
      <c r="DH211" s="9">
        <v>0</v>
      </c>
      <c r="DI211" s="9">
        <v>0</v>
      </c>
      <c r="DJ211" s="9">
        <v>0</v>
      </c>
      <c r="DK211" s="9">
        <v>0</v>
      </c>
      <c r="DL211" s="9">
        <v>1</v>
      </c>
      <c r="DM211" s="9">
        <v>0</v>
      </c>
      <c r="DN211" s="9">
        <v>0</v>
      </c>
      <c r="DO211" s="9">
        <v>0</v>
      </c>
      <c r="DP211" s="9">
        <v>0</v>
      </c>
      <c r="DQ211" s="9">
        <v>0</v>
      </c>
      <c r="DR211" s="9">
        <v>0</v>
      </c>
      <c r="DS211" s="9">
        <v>0</v>
      </c>
      <c r="DT211" s="9">
        <v>0</v>
      </c>
      <c r="DU211" s="9">
        <v>0</v>
      </c>
      <c r="DV211" s="9">
        <v>0</v>
      </c>
      <c r="DW211" s="9">
        <v>0</v>
      </c>
      <c r="DX211" s="9">
        <v>0</v>
      </c>
      <c r="DY211" s="9">
        <v>0</v>
      </c>
      <c r="DZ211" s="9">
        <v>0</v>
      </c>
      <c r="EA211" s="9">
        <v>0</v>
      </c>
      <c r="EB211" s="9">
        <v>0</v>
      </c>
      <c r="EC211" s="9">
        <v>0</v>
      </c>
      <c r="ED211" s="9">
        <v>0</v>
      </c>
      <c r="EE211" s="9">
        <v>0</v>
      </c>
      <c r="EF211" s="9">
        <v>0</v>
      </c>
      <c r="EG211" s="9">
        <v>0</v>
      </c>
      <c r="EH211" s="9">
        <v>0</v>
      </c>
      <c r="EI211" s="10">
        <v>0</v>
      </c>
    </row>
    <row r="212" spans="1:139" x14ac:dyDescent="0.35">
      <c r="A212" s="8" t="s">
        <v>342</v>
      </c>
      <c r="B212" s="9" t="s">
        <v>365</v>
      </c>
      <c r="C212" s="9" t="s">
        <v>366</v>
      </c>
      <c r="D212" s="9">
        <f t="shared" si="3"/>
        <v>0</v>
      </c>
      <c r="E212" s="9">
        <v>0</v>
      </c>
      <c r="F212" s="9">
        <v>0</v>
      </c>
      <c r="G212" s="9">
        <v>0</v>
      </c>
      <c r="H212" s="9">
        <v>0</v>
      </c>
      <c r="I212" s="9">
        <v>0</v>
      </c>
      <c r="J212" s="9">
        <v>0</v>
      </c>
      <c r="K212" s="9">
        <v>0</v>
      </c>
      <c r="L212" s="9">
        <v>0</v>
      </c>
      <c r="M212" s="9">
        <v>0</v>
      </c>
      <c r="N212" s="9">
        <v>0</v>
      </c>
      <c r="O212" s="9">
        <v>0</v>
      </c>
      <c r="P212" s="9">
        <v>0</v>
      </c>
      <c r="Q212" s="9">
        <v>0</v>
      </c>
      <c r="R212" s="9">
        <v>0</v>
      </c>
      <c r="S212" s="9">
        <v>0</v>
      </c>
      <c r="T212" s="9">
        <v>0</v>
      </c>
      <c r="U212" s="9">
        <v>0</v>
      </c>
      <c r="V212" s="9">
        <v>0</v>
      </c>
      <c r="W212" s="9">
        <v>0</v>
      </c>
      <c r="X212" s="9">
        <v>0</v>
      </c>
      <c r="Y212" s="9">
        <v>0</v>
      </c>
      <c r="Z212" s="9">
        <v>0</v>
      </c>
      <c r="AA212" s="9">
        <v>0</v>
      </c>
      <c r="AB212" s="9">
        <v>0</v>
      </c>
      <c r="AC212" s="9">
        <v>0</v>
      </c>
      <c r="AD212" s="9">
        <v>0</v>
      </c>
      <c r="AE212" s="9">
        <v>0</v>
      </c>
      <c r="AF212" s="9">
        <v>0</v>
      </c>
      <c r="AG212" s="9">
        <v>0</v>
      </c>
      <c r="AH212" s="9">
        <v>0</v>
      </c>
      <c r="AI212" s="9">
        <v>0</v>
      </c>
      <c r="AJ212" s="9">
        <v>0</v>
      </c>
      <c r="AK212" s="9">
        <v>0</v>
      </c>
      <c r="AL212" s="9">
        <v>0</v>
      </c>
      <c r="AM212" s="9">
        <v>0</v>
      </c>
      <c r="AN212" s="9">
        <v>0</v>
      </c>
      <c r="AO212" s="9">
        <v>0</v>
      </c>
      <c r="AP212" s="9">
        <v>0</v>
      </c>
      <c r="AQ212" s="9">
        <v>0</v>
      </c>
      <c r="AR212" s="9">
        <v>0</v>
      </c>
      <c r="AS212" s="9">
        <v>0</v>
      </c>
      <c r="AT212" s="9">
        <v>0</v>
      </c>
      <c r="AU212" s="9">
        <v>0</v>
      </c>
      <c r="AV212" s="9">
        <v>0</v>
      </c>
      <c r="AW212" s="9">
        <v>0</v>
      </c>
      <c r="AX212" s="9">
        <v>0</v>
      </c>
      <c r="AY212" s="9">
        <v>0</v>
      </c>
      <c r="AZ212" s="9">
        <v>0</v>
      </c>
      <c r="BA212" s="9">
        <v>0</v>
      </c>
      <c r="BB212" s="9">
        <v>0</v>
      </c>
      <c r="BC212" s="9">
        <v>0</v>
      </c>
      <c r="BD212" s="9">
        <v>0</v>
      </c>
      <c r="BE212" s="9">
        <v>0</v>
      </c>
      <c r="BF212" s="9">
        <v>0</v>
      </c>
      <c r="BG212" s="9">
        <v>0</v>
      </c>
      <c r="BH212" s="9">
        <v>0</v>
      </c>
      <c r="BI212" s="9">
        <v>0</v>
      </c>
      <c r="BJ212" s="9">
        <v>0</v>
      </c>
      <c r="BK212" s="9">
        <v>0</v>
      </c>
      <c r="BL212" s="9">
        <v>0</v>
      </c>
      <c r="BM212" s="9">
        <v>0</v>
      </c>
      <c r="BN212" s="9">
        <v>0</v>
      </c>
      <c r="BO212" s="9">
        <v>0</v>
      </c>
      <c r="BP212" s="9">
        <v>0</v>
      </c>
      <c r="BQ212" s="9">
        <v>0</v>
      </c>
      <c r="BR212" s="9">
        <v>0</v>
      </c>
      <c r="BS212" s="9">
        <v>0</v>
      </c>
      <c r="BT212" s="9">
        <v>0</v>
      </c>
      <c r="BU212" s="9">
        <v>0</v>
      </c>
      <c r="BV212" s="9">
        <v>0</v>
      </c>
      <c r="BW212" s="9">
        <v>0</v>
      </c>
      <c r="BX212" s="9">
        <v>0</v>
      </c>
      <c r="BY212" s="9">
        <v>0</v>
      </c>
      <c r="BZ212" s="9">
        <v>0</v>
      </c>
      <c r="CA212" s="9">
        <v>0</v>
      </c>
      <c r="CB212" s="9">
        <v>0</v>
      </c>
      <c r="CC212" s="9">
        <v>0</v>
      </c>
      <c r="CD212" s="9">
        <v>0</v>
      </c>
      <c r="CE212" s="9">
        <v>0</v>
      </c>
      <c r="CF212" s="9">
        <v>0</v>
      </c>
      <c r="CG212" s="9">
        <v>0</v>
      </c>
      <c r="CH212" s="9">
        <v>0</v>
      </c>
      <c r="CI212" s="9">
        <v>0</v>
      </c>
      <c r="CJ212" s="9">
        <v>0</v>
      </c>
      <c r="CK212" s="9">
        <v>0</v>
      </c>
      <c r="CL212" s="9">
        <v>0</v>
      </c>
      <c r="CM212" s="9">
        <v>0</v>
      </c>
      <c r="CN212" s="9">
        <v>0</v>
      </c>
      <c r="CO212" s="9">
        <v>0</v>
      </c>
      <c r="CP212" s="9">
        <v>0</v>
      </c>
      <c r="CQ212" s="9">
        <v>0</v>
      </c>
      <c r="CR212" s="9">
        <v>0</v>
      </c>
      <c r="CS212" s="9">
        <v>0</v>
      </c>
      <c r="CT212" s="9">
        <v>0</v>
      </c>
      <c r="CU212" s="9">
        <v>0</v>
      </c>
      <c r="CV212" s="9">
        <v>0</v>
      </c>
      <c r="CW212" s="9">
        <v>0</v>
      </c>
      <c r="CX212" s="9">
        <v>0</v>
      </c>
      <c r="CY212" s="9">
        <v>0</v>
      </c>
      <c r="CZ212" s="9">
        <v>0</v>
      </c>
      <c r="DA212" s="9">
        <v>0</v>
      </c>
      <c r="DB212" s="9">
        <v>0</v>
      </c>
      <c r="DC212" s="9">
        <v>0</v>
      </c>
      <c r="DD212" s="9">
        <v>0</v>
      </c>
      <c r="DE212" s="9">
        <v>0</v>
      </c>
      <c r="DF212" s="9">
        <v>0</v>
      </c>
      <c r="DG212" s="9">
        <v>0</v>
      </c>
      <c r="DH212" s="9">
        <v>0</v>
      </c>
      <c r="DI212" s="9">
        <v>0</v>
      </c>
      <c r="DJ212" s="9">
        <v>0</v>
      </c>
      <c r="DK212" s="9">
        <v>0</v>
      </c>
      <c r="DL212" s="9">
        <v>0</v>
      </c>
      <c r="DM212" s="9">
        <v>0</v>
      </c>
      <c r="DN212" s="9">
        <v>0</v>
      </c>
      <c r="DO212" s="9">
        <v>0</v>
      </c>
      <c r="DP212" s="9">
        <v>0</v>
      </c>
      <c r="DQ212" s="9">
        <v>0</v>
      </c>
      <c r="DR212" s="9">
        <v>0</v>
      </c>
      <c r="DS212" s="9">
        <v>0</v>
      </c>
      <c r="DT212" s="9">
        <v>0</v>
      </c>
      <c r="DU212" s="9">
        <v>0</v>
      </c>
      <c r="DV212" s="9">
        <v>0</v>
      </c>
      <c r="DW212" s="9">
        <v>0</v>
      </c>
      <c r="DX212" s="9">
        <v>0</v>
      </c>
      <c r="DY212" s="9">
        <v>0</v>
      </c>
      <c r="DZ212" s="9">
        <v>0</v>
      </c>
      <c r="EA212" s="9">
        <v>0</v>
      </c>
      <c r="EB212" s="9">
        <v>0</v>
      </c>
      <c r="EC212" s="9">
        <v>0</v>
      </c>
      <c r="ED212" s="9">
        <v>0</v>
      </c>
      <c r="EE212" s="9">
        <v>0</v>
      </c>
      <c r="EF212" s="9">
        <v>0</v>
      </c>
      <c r="EG212" s="9">
        <v>0</v>
      </c>
      <c r="EH212" s="9">
        <v>0</v>
      </c>
      <c r="EI212" s="10">
        <v>0</v>
      </c>
    </row>
    <row r="213" spans="1:139" x14ac:dyDescent="0.35">
      <c r="A213" s="8" t="s">
        <v>342</v>
      </c>
      <c r="B213" s="9" t="s">
        <v>367</v>
      </c>
      <c r="C213" s="9" t="s">
        <v>368</v>
      </c>
      <c r="D213" s="9">
        <f t="shared" si="3"/>
        <v>13</v>
      </c>
      <c r="E213" s="9">
        <v>0</v>
      </c>
      <c r="F213" s="9">
        <v>0</v>
      </c>
      <c r="G213" s="9">
        <v>0</v>
      </c>
      <c r="H213" s="9">
        <v>0</v>
      </c>
      <c r="I213" s="9">
        <v>0</v>
      </c>
      <c r="J213" s="9">
        <v>0</v>
      </c>
      <c r="K213" s="9">
        <v>0</v>
      </c>
      <c r="L213" s="9">
        <v>0</v>
      </c>
      <c r="M213" s="9">
        <v>0</v>
      </c>
      <c r="N213" s="9">
        <v>0</v>
      </c>
      <c r="O213" s="9">
        <v>0</v>
      </c>
      <c r="P213" s="9">
        <v>0</v>
      </c>
      <c r="Q213" s="9">
        <v>0</v>
      </c>
      <c r="R213" s="9">
        <v>0</v>
      </c>
      <c r="S213" s="9">
        <v>0</v>
      </c>
      <c r="T213" s="9">
        <v>0</v>
      </c>
      <c r="U213" s="9">
        <v>2</v>
      </c>
      <c r="V213" s="9">
        <v>0</v>
      </c>
      <c r="W213" s="9">
        <v>0</v>
      </c>
      <c r="X213" s="9">
        <v>0</v>
      </c>
      <c r="Y213" s="9">
        <v>0</v>
      </c>
      <c r="Z213" s="9">
        <v>2</v>
      </c>
      <c r="AA213" s="9">
        <v>1</v>
      </c>
      <c r="AB213" s="9">
        <v>0</v>
      </c>
      <c r="AC213" s="9">
        <v>0</v>
      </c>
      <c r="AD213" s="9">
        <v>0</v>
      </c>
      <c r="AE213" s="9">
        <v>1</v>
      </c>
      <c r="AF213" s="9">
        <v>2</v>
      </c>
      <c r="AG213" s="9">
        <v>0</v>
      </c>
      <c r="AH213" s="9">
        <v>0</v>
      </c>
      <c r="AI213" s="9">
        <v>2</v>
      </c>
      <c r="AJ213" s="9">
        <v>0</v>
      </c>
      <c r="AK213" s="9">
        <v>0</v>
      </c>
      <c r="AL213" s="9">
        <v>0</v>
      </c>
      <c r="AM213" s="9">
        <v>1</v>
      </c>
      <c r="AN213" s="9">
        <v>0</v>
      </c>
      <c r="AO213" s="9">
        <v>0</v>
      </c>
      <c r="AP213" s="9">
        <v>0</v>
      </c>
      <c r="AQ213" s="9">
        <v>0</v>
      </c>
      <c r="AR213" s="9">
        <v>0</v>
      </c>
      <c r="AS213" s="9">
        <v>1</v>
      </c>
      <c r="AT213" s="9">
        <v>0</v>
      </c>
      <c r="AU213" s="9">
        <v>0</v>
      </c>
      <c r="AV213" s="9">
        <v>0</v>
      </c>
      <c r="AW213" s="9">
        <v>0</v>
      </c>
      <c r="AX213" s="9">
        <v>0</v>
      </c>
      <c r="AY213" s="9">
        <v>0</v>
      </c>
      <c r="AZ213" s="9">
        <v>0</v>
      </c>
      <c r="BA213" s="9">
        <v>0</v>
      </c>
      <c r="BB213" s="9">
        <v>0</v>
      </c>
      <c r="BC213" s="9">
        <v>0</v>
      </c>
      <c r="BD213" s="9">
        <v>0</v>
      </c>
      <c r="BE213" s="9">
        <v>0</v>
      </c>
      <c r="BF213" s="9">
        <v>0</v>
      </c>
      <c r="BG213" s="9">
        <v>0</v>
      </c>
      <c r="BH213" s="9">
        <v>0</v>
      </c>
      <c r="BI213" s="9">
        <v>0</v>
      </c>
      <c r="BJ213" s="9">
        <v>0</v>
      </c>
      <c r="BK213" s="9">
        <v>0</v>
      </c>
      <c r="BL213" s="9">
        <v>0</v>
      </c>
      <c r="BM213" s="9">
        <v>0</v>
      </c>
      <c r="BN213" s="9">
        <v>0</v>
      </c>
      <c r="BO213" s="9">
        <v>0</v>
      </c>
      <c r="BP213" s="9">
        <v>0</v>
      </c>
      <c r="BQ213" s="9">
        <v>0</v>
      </c>
      <c r="BR213" s="9">
        <v>0</v>
      </c>
      <c r="BS213" s="9">
        <v>0</v>
      </c>
      <c r="BT213" s="9">
        <v>0</v>
      </c>
      <c r="BU213" s="9">
        <v>0</v>
      </c>
      <c r="BV213" s="9">
        <v>0</v>
      </c>
      <c r="BW213" s="9">
        <v>0</v>
      </c>
      <c r="BX213" s="9">
        <v>0</v>
      </c>
      <c r="BY213" s="9">
        <v>0</v>
      </c>
      <c r="BZ213" s="9">
        <v>0</v>
      </c>
      <c r="CA213" s="9">
        <v>0</v>
      </c>
      <c r="CB213" s="9">
        <v>0</v>
      </c>
      <c r="CC213" s="9">
        <v>0</v>
      </c>
      <c r="CD213" s="9">
        <v>0</v>
      </c>
      <c r="CE213" s="9">
        <v>0</v>
      </c>
      <c r="CF213" s="9">
        <v>0</v>
      </c>
      <c r="CG213" s="9">
        <v>0</v>
      </c>
      <c r="CH213" s="9">
        <v>0</v>
      </c>
      <c r="CI213" s="9">
        <v>0</v>
      </c>
      <c r="CJ213" s="9">
        <v>0</v>
      </c>
      <c r="CK213" s="9">
        <v>0</v>
      </c>
      <c r="CL213" s="9">
        <v>0</v>
      </c>
      <c r="CM213" s="9">
        <v>0</v>
      </c>
      <c r="CN213" s="9">
        <v>0</v>
      </c>
      <c r="CO213" s="9">
        <v>0</v>
      </c>
      <c r="CP213" s="9">
        <v>0</v>
      </c>
      <c r="CQ213" s="9">
        <v>0</v>
      </c>
      <c r="CR213" s="9">
        <v>0</v>
      </c>
      <c r="CS213" s="9">
        <v>0</v>
      </c>
      <c r="CT213" s="9">
        <v>0</v>
      </c>
      <c r="CU213" s="9">
        <v>0</v>
      </c>
      <c r="CV213" s="9">
        <v>0</v>
      </c>
      <c r="CW213" s="9">
        <v>0</v>
      </c>
      <c r="CX213" s="9">
        <v>0</v>
      </c>
      <c r="CY213" s="9">
        <v>0</v>
      </c>
      <c r="CZ213" s="9">
        <v>0</v>
      </c>
      <c r="DA213" s="9">
        <v>0</v>
      </c>
      <c r="DB213" s="9">
        <v>0</v>
      </c>
      <c r="DC213" s="9">
        <v>0</v>
      </c>
      <c r="DD213" s="9">
        <v>0</v>
      </c>
      <c r="DE213" s="9">
        <v>0</v>
      </c>
      <c r="DF213" s="9">
        <v>0</v>
      </c>
      <c r="DG213" s="9">
        <v>0</v>
      </c>
      <c r="DH213" s="9">
        <v>0</v>
      </c>
      <c r="DI213" s="9">
        <v>0</v>
      </c>
      <c r="DJ213" s="9">
        <v>0</v>
      </c>
      <c r="DK213" s="9">
        <v>0</v>
      </c>
      <c r="DL213" s="9">
        <v>0</v>
      </c>
      <c r="DM213" s="9">
        <v>0</v>
      </c>
      <c r="DN213" s="9">
        <v>0</v>
      </c>
      <c r="DO213" s="9">
        <v>0</v>
      </c>
      <c r="DP213" s="9">
        <v>0</v>
      </c>
      <c r="DQ213" s="9">
        <v>0</v>
      </c>
      <c r="DR213" s="9">
        <v>0</v>
      </c>
      <c r="DS213" s="9">
        <v>0</v>
      </c>
      <c r="DT213" s="9">
        <v>0</v>
      </c>
      <c r="DU213" s="9">
        <v>0</v>
      </c>
      <c r="DV213" s="9">
        <v>0</v>
      </c>
      <c r="DW213" s="9">
        <v>0</v>
      </c>
      <c r="DX213" s="9">
        <v>0</v>
      </c>
      <c r="DY213" s="9">
        <v>0</v>
      </c>
      <c r="DZ213" s="9">
        <v>0</v>
      </c>
      <c r="EA213" s="9">
        <v>0</v>
      </c>
      <c r="EB213" s="9">
        <v>1</v>
      </c>
      <c r="EC213" s="9">
        <v>0</v>
      </c>
      <c r="ED213" s="9">
        <v>0</v>
      </c>
      <c r="EE213" s="9">
        <v>0</v>
      </c>
      <c r="EF213" s="9">
        <v>0</v>
      </c>
      <c r="EG213" s="9">
        <v>0</v>
      </c>
      <c r="EH213" s="9">
        <v>0</v>
      </c>
      <c r="EI213" s="10">
        <v>0</v>
      </c>
    </row>
    <row r="214" spans="1:139" x14ac:dyDescent="0.35">
      <c r="A214" s="8" t="s">
        <v>342</v>
      </c>
      <c r="B214" s="9" t="s">
        <v>369</v>
      </c>
      <c r="C214" s="9" t="s">
        <v>370</v>
      </c>
      <c r="D214" s="9">
        <f t="shared" si="3"/>
        <v>62</v>
      </c>
      <c r="E214" s="9">
        <v>1</v>
      </c>
      <c r="F214" s="9">
        <v>1</v>
      </c>
      <c r="G214" s="9">
        <v>0</v>
      </c>
      <c r="H214" s="9">
        <v>0</v>
      </c>
      <c r="I214" s="9">
        <v>0</v>
      </c>
      <c r="J214" s="9">
        <v>0</v>
      </c>
      <c r="K214" s="9">
        <v>0</v>
      </c>
      <c r="L214" s="9">
        <v>0</v>
      </c>
      <c r="M214" s="9">
        <v>0</v>
      </c>
      <c r="N214" s="9">
        <v>0</v>
      </c>
      <c r="O214" s="9">
        <v>1</v>
      </c>
      <c r="P214" s="9">
        <v>0</v>
      </c>
      <c r="Q214" s="9">
        <v>0</v>
      </c>
      <c r="R214" s="9">
        <v>0</v>
      </c>
      <c r="S214" s="9">
        <v>0</v>
      </c>
      <c r="T214" s="9">
        <v>0</v>
      </c>
      <c r="U214" s="9">
        <v>0</v>
      </c>
      <c r="V214" s="9">
        <v>3</v>
      </c>
      <c r="W214" s="9">
        <v>1</v>
      </c>
      <c r="X214" s="9">
        <v>0</v>
      </c>
      <c r="Y214" s="9">
        <v>0</v>
      </c>
      <c r="Z214" s="9">
        <v>0</v>
      </c>
      <c r="AA214" s="9">
        <v>0</v>
      </c>
      <c r="AB214" s="9">
        <v>0</v>
      </c>
      <c r="AC214" s="9">
        <v>1</v>
      </c>
      <c r="AD214" s="9">
        <v>1</v>
      </c>
      <c r="AE214" s="9">
        <v>1</v>
      </c>
      <c r="AF214" s="9">
        <v>1</v>
      </c>
      <c r="AG214" s="9">
        <v>0</v>
      </c>
      <c r="AH214" s="9">
        <v>1</v>
      </c>
      <c r="AI214" s="9">
        <v>2</v>
      </c>
      <c r="AJ214" s="9">
        <v>1</v>
      </c>
      <c r="AK214" s="9">
        <v>1</v>
      </c>
      <c r="AL214" s="9">
        <v>0</v>
      </c>
      <c r="AM214" s="9">
        <v>0</v>
      </c>
      <c r="AN214" s="9">
        <v>0</v>
      </c>
      <c r="AO214" s="9">
        <v>0</v>
      </c>
      <c r="AP214" s="9">
        <v>1</v>
      </c>
      <c r="AQ214" s="9">
        <v>0</v>
      </c>
      <c r="AR214" s="9">
        <v>0</v>
      </c>
      <c r="AS214" s="9">
        <v>1</v>
      </c>
      <c r="AT214" s="9">
        <v>3</v>
      </c>
      <c r="AU214" s="9">
        <v>0</v>
      </c>
      <c r="AV214" s="9">
        <v>0</v>
      </c>
      <c r="AW214" s="9">
        <v>0</v>
      </c>
      <c r="AX214" s="9">
        <v>1</v>
      </c>
      <c r="AY214" s="9">
        <v>0</v>
      </c>
      <c r="AZ214" s="9">
        <v>0</v>
      </c>
      <c r="BA214" s="9">
        <v>1</v>
      </c>
      <c r="BB214" s="9">
        <v>0</v>
      </c>
      <c r="BC214" s="9">
        <v>0</v>
      </c>
      <c r="BD214" s="9">
        <v>0</v>
      </c>
      <c r="BE214" s="9">
        <v>0</v>
      </c>
      <c r="BF214" s="9">
        <v>1</v>
      </c>
      <c r="BG214" s="9">
        <v>1</v>
      </c>
      <c r="BH214" s="9">
        <v>2</v>
      </c>
      <c r="BI214" s="9">
        <v>2</v>
      </c>
      <c r="BJ214" s="9">
        <v>1</v>
      </c>
      <c r="BK214" s="9">
        <v>0</v>
      </c>
      <c r="BL214" s="9">
        <v>0</v>
      </c>
      <c r="BM214" s="9">
        <v>4</v>
      </c>
      <c r="BN214" s="9">
        <v>0</v>
      </c>
      <c r="BO214" s="9">
        <v>1</v>
      </c>
      <c r="BP214" s="9">
        <v>1</v>
      </c>
      <c r="BQ214" s="9">
        <v>1</v>
      </c>
      <c r="BR214" s="9">
        <v>1</v>
      </c>
      <c r="BS214" s="9">
        <v>1</v>
      </c>
      <c r="BT214" s="9">
        <v>0</v>
      </c>
      <c r="BU214" s="9">
        <v>0</v>
      </c>
      <c r="BV214" s="9">
        <v>0</v>
      </c>
      <c r="BW214" s="9">
        <v>0</v>
      </c>
      <c r="BX214" s="9">
        <v>0</v>
      </c>
      <c r="BY214" s="9">
        <v>1</v>
      </c>
      <c r="BZ214" s="9">
        <v>0</v>
      </c>
      <c r="CA214" s="9">
        <v>0</v>
      </c>
      <c r="CB214" s="9">
        <v>0</v>
      </c>
      <c r="CC214" s="9">
        <v>0</v>
      </c>
      <c r="CD214" s="9">
        <v>0</v>
      </c>
      <c r="CE214" s="9">
        <v>0</v>
      </c>
      <c r="CF214" s="9">
        <v>0</v>
      </c>
      <c r="CG214" s="9">
        <v>0</v>
      </c>
      <c r="CH214" s="9">
        <v>0</v>
      </c>
      <c r="CI214" s="9">
        <v>0</v>
      </c>
      <c r="CJ214" s="9">
        <v>0</v>
      </c>
      <c r="CK214" s="9">
        <v>1</v>
      </c>
      <c r="CL214" s="9">
        <v>1</v>
      </c>
      <c r="CM214" s="9">
        <v>1</v>
      </c>
      <c r="CN214" s="9">
        <v>0</v>
      </c>
      <c r="CO214" s="9">
        <v>0</v>
      </c>
      <c r="CP214" s="9">
        <v>0</v>
      </c>
      <c r="CQ214" s="9">
        <v>8</v>
      </c>
      <c r="CR214" s="9">
        <v>0</v>
      </c>
      <c r="CS214" s="9">
        <v>0</v>
      </c>
      <c r="CT214" s="9">
        <v>0</v>
      </c>
      <c r="CU214" s="9">
        <v>0</v>
      </c>
      <c r="CV214" s="9">
        <v>1</v>
      </c>
      <c r="CW214" s="9">
        <v>0</v>
      </c>
      <c r="CX214" s="9">
        <v>1</v>
      </c>
      <c r="CY214" s="9">
        <v>1</v>
      </c>
      <c r="CZ214" s="9">
        <v>1</v>
      </c>
      <c r="DA214" s="9">
        <v>1</v>
      </c>
      <c r="DB214" s="9">
        <v>0</v>
      </c>
      <c r="DC214" s="9">
        <v>0</v>
      </c>
      <c r="DD214" s="9">
        <v>0</v>
      </c>
      <c r="DE214" s="9">
        <v>1</v>
      </c>
      <c r="DF214" s="9">
        <v>0</v>
      </c>
      <c r="DG214" s="9">
        <v>0</v>
      </c>
      <c r="DH214" s="9">
        <v>0</v>
      </c>
      <c r="DI214" s="9">
        <v>0</v>
      </c>
      <c r="DJ214" s="9">
        <v>1</v>
      </c>
      <c r="DK214" s="9">
        <v>0</v>
      </c>
      <c r="DL214" s="9">
        <v>0</v>
      </c>
      <c r="DM214" s="9">
        <v>1</v>
      </c>
      <c r="DN214" s="9">
        <v>0</v>
      </c>
      <c r="DO214" s="9">
        <v>0</v>
      </c>
      <c r="DP214" s="9">
        <v>0</v>
      </c>
      <c r="DQ214" s="9">
        <v>0</v>
      </c>
      <c r="DR214" s="9">
        <v>1</v>
      </c>
      <c r="DS214" s="9">
        <v>1</v>
      </c>
      <c r="DT214" s="9">
        <v>0</v>
      </c>
      <c r="DU214" s="9">
        <v>0</v>
      </c>
      <c r="DV214" s="9">
        <v>0</v>
      </c>
      <c r="DW214" s="9">
        <v>0</v>
      </c>
      <c r="DX214" s="9">
        <v>0</v>
      </c>
      <c r="DY214" s="9">
        <v>0</v>
      </c>
      <c r="DZ214" s="9">
        <v>0</v>
      </c>
      <c r="EA214" s="9">
        <v>0</v>
      </c>
      <c r="EB214" s="9">
        <v>0</v>
      </c>
      <c r="EC214" s="9">
        <v>1</v>
      </c>
      <c r="ED214" s="9">
        <v>0</v>
      </c>
      <c r="EE214" s="9">
        <v>0</v>
      </c>
      <c r="EF214" s="9">
        <v>0</v>
      </c>
      <c r="EG214" s="9">
        <v>0</v>
      </c>
      <c r="EH214" s="9">
        <v>0</v>
      </c>
      <c r="EI214" s="10">
        <v>0</v>
      </c>
    </row>
    <row r="215" spans="1:139" x14ac:dyDescent="0.35">
      <c r="A215" s="8" t="s">
        <v>342</v>
      </c>
      <c r="B215" s="9" t="s">
        <v>371</v>
      </c>
      <c r="C215" s="9" t="s">
        <v>372</v>
      </c>
      <c r="D215" s="9">
        <f t="shared" si="3"/>
        <v>26</v>
      </c>
      <c r="E215" s="9">
        <v>0</v>
      </c>
      <c r="F215" s="9">
        <v>0</v>
      </c>
      <c r="G215" s="9">
        <v>0</v>
      </c>
      <c r="H215" s="9">
        <v>0</v>
      </c>
      <c r="I215" s="9">
        <v>0</v>
      </c>
      <c r="J215" s="9">
        <v>0</v>
      </c>
      <c r="K215" s="9">
        <v>0</v>
      </c>
      <c r="L215" s="9">
        <v>0</v>
      </c>
      <c r="M215" s="9">
        <v>0</v>
      </c>
      <c r="N215" s="9">
        <v>0</v>
      </c>
      <c r="O215" s="9">
        <v>0</v>
      </c>
      <c r="P215" s="9">
        <v>0</v>
      </c>
      <c r="Q215" s="9">
        <v>0</v>
      </c>
      <c r="R215" s="9">
        <v>1</v>
      </c>
      <c r="S215" s="9">
        <v>0</v>
      </c>
      <c r="T215" s="9">
        <v>0</v>
      </c>
      <c r="U215" s="9">
        <v>0</v>
      </c>
      <c r="V215" s="9">
        <v>0</v>
      </c>
      <c r="W215" s="9">
        <v>0</v>
      </c>
      <c r="X215" s="9">
        <v>0</v>
      </c>
      <c r="Y215" s="9">
        <v>0</v>
      </c>
      <c r="Z215" s="9">
        <v>0</v>
      </c>
      <c r="AA215" s="9">
        <v>0</v>
      </c>
      <c r="AB215" s="9">
        <v>0</v>
      </c>
      <c r="AC215" s="9">
        <v>0</v>
      </c>
      <c r="AD215" s="9">
        <v>0</v>
      </c>
      <c r="AE215" s="9">
        <v>0</v>
      </c>
      <c r="AF215" s="9">
        <v>0</v>
      </c>
      <c r="AG215" s="9">
        <v>0</v>
      </c>
      <c r="AH215" s="9">
        <v>0</v>
      </c>
      <c r="AI215" s="9">
        <v>0</v>
      </c>
      <c r="AJ215" s="9">
        <v>0</v>
      </c>
      <c r="AK215" s="9">
        <v>0</v>
      </c>
      <c r="AL215" s="9">
        <v>0</v>
      </c>
      <c r="AM215" s="9">
        <v>0</v>
      </c>
      <c r="AN215" s="9">
        <v>0</v>
      </c>
      <c r="AO215" s="9">
        <v>0</v>
      </c>
      <c r="AP215" s="9">
        <v>0</v>
      </c>
      <c r="AQ215" s="9">
        <v>0</v>
      </c>
      <c r="AR215" s="9">
        <v>0</v>
      </c>
      <c r="AS215" s="9">
        <v>1</v>
      </c>
      <c r="AT215" s="9">
        <v>1</v>
      </c>
      <c r="AU215" s="9">
        <v>0</v>
      </c>
      <c r="AV215" s="9">
        <v>1</v>
      </c>
      <c r="AW215" s="9">
        <v>1</v>
      </c>
      <c r="AX215" s="9">
        <v>0</v>
      </c>
      <c r="AY215" s="9">
        <v>0</v>
      </c>
      <c r="AZ215" s="9">
        <v>0</v>
      </c>
      <c r="BA215" s="9">
        <v>0</v>
      </c>
      <c r="BB215" s="9">
        <v>0</v>
      </c>
      <c r="BC215" s="9">
        <v>0</v>
      </c>
      <c r="BD215" s="9">
        <v>0</v>
      </c>
      <c r="BE215" s="9">
        <v>1</v>
      </c>
      <c r="BF215" s="9">
        <v>1</v>
      </c>
      <c r="BG215" s="9">
        <v>0</v>
      </c>
      <c r="BH215" s="9">
        <v>1</v>
      </c>
      <c r="BI215" s="9">
        <v>1</v>
      </c>
      <c r="BJ215" s="9">
        <v>0</v>
      </c>
      <c r="BK215" s="9">
        <v>0</v>
      </c>
      <c r="BL215" s="9">
        <v>0</v>
      </c>
      <c r="BM215" s="9">
        <v>0</v>
      </c>
      <c r="BN215" s="9">
        <v>1</v>
      </c>
      <c r="BO215" s="9">
        <v>0</v>
      </c>
      <c r="BP215" s="9">
        <v>0</v>
      </c>
      <c r="BQ215" s="9">
        <v>1</v>
      </c>
      <c r="BR215" s="9">
        <v>0</v>
      </c>
      <c r="BS215" s="9">
        <v>1</v>
      </c>
      <c r="BT215" s="9">
        <v>0</v>
      </c>
      <c r="BU215" s="9">
        <v>0</v>
      </c>
      <c r="BV215" s="9">
        <v>0</v>
      </c>
      <c r="BW215" s="9">
        <v>1</v>
      </c>
      <c r="BX215" s="9">
        <v>1</v>
      </c>
      <c r="BY215" s="9">
        <v>0</v>
      </c>
      <c r="BZ215" s="9">
        <v>1</v>
      </c>
      <c r="CA215" s="9">
        <v>0</v>
      </c>
      <c r="CB215" s="9">
        <v>1</v>
      </c>
      <c r="CC215" s="9">
        <v>2</v>
      </c>
      <c r="CD215" s="9">
        <v>0</v>
      </c>
      <c r="CE215" s="9">
        <v>1</v>
      </c>
      <c r="CF215" s="9">
        <v>0</v>
      </c>
      <c r="CG215" s="9">
        <v>0</v>
      </c>
      <c r="CH215" s="9">
        <v>1</v>
      </c>
      <c r="CI215" s="9">
        <v>0</v>
      </c>
      <c r="CJ215" s="9">
        <v>0</v>
      </c>
      <c r="CK215" s="9">
        <v>0</v>
      </c>
      <c r="CL215" s="9">
        <v>0</v>
      </c>
      <c r="CM215" s="9">
        <v>1</v>
      </c>
      <c r="CN215" s="9">
        <v>0</v>
      </c>
      <c r="CO215" s="9">
        <v>0</v>
      </c>
      <c r="CP215" s="9">
        <v>1</v>
      </c>
      <c r="CQ215" s="9">
        <v>0</v>
      </c>
      <c r="CR215" s="9">
        <v>0</v>
      </c>
      <c r="CS215" s="9">
        <v>1</v>
      </c>
      <c r="CT215" s="9">
        <v>0</v>
      </c>
      <c r="CU215" s="9">
        <v>0</v>
      </c>
      <c r="CV215" s="9">
        <v>0</v>
      </c>
      <c r="CW215" s="9">
        <v>0</v>
      </c>
      <c r="CX215" s="9">
        <v>1</v>
      </c>
      <c r="CY215" s="9">
        <v>0</v>
      </c>
      <c r="CZ215" s="9">
        <v>0</v>
      </c>
      <c r="DA215" s="9">
        <v>1</v>
      </c>
      <c r="DB215" s="9">
        <v>0</v>
      </c>
      <c r="DC215" s="9">
        <v>0</v>
      </c>
      <c r="DD215" s="9">
        <v>0</v>
      </c>
      <c r="DE215" s="9">
        <v>0</v>
      </c>
      <c r="DF215" s="9">
        <v>0</v>
      </c>
      <c r="DG215" s="9">
        <v>0</v>
      </c>
      <c r="DH215" s="9">
        <v>0</v>
      </c>
      <c r="DI215" s="9">
        <v>0</v>
      </c>
      <c r="DJ215" s="9">
        <v>0</v>
      </c>
      <c r="DK215" s="9">
        <v>0</v>
      </c>
      <c r="DL215" s="9">
        <v>0</v>
      </c>
      <c r="DM215" s="9">
        <v>0</v>
      </c>
      <c r="DN215" s="9">
        <v>0</v>
      </c>
      <c r="DO215" s="9">
        <v>0</v>
      </c>
      <c r="DP215" s="9">
        <v>0</v>
      </c>
      <c r="DQ215" s="9">
        <v>0</v>
      </c>
      <c r="DR215" s="9">
        <v>0</v>
      </c>
      <c r="DS215" s="9">
        <v>0</v>
      </c>
      <c r="DT215" s="9">
        <v>0</v>
      </c>
      <c r="DU215" s="9">
        <v>0</v>
      </c>
      <c r="DV215" s="9">
        <v>0</v>
      </c>
      <c r="DW215" s="9">
        <v>0</v>
      </c>
      <c r="DX215" s="9">
        <v>1</v>
      </c>
      <c r="DY215" s="9">
        <v>0</v>
      </c>
      <c r="DZ215" s="9">
        <v>0</v>
      </c>
      <c r="EA215" s="9">
        <v>0</v>
      </c>
      <c r="EB215" s="9">
        <v>0</v>
      </c>
      <c r="EC215" s="9">
        <v>0</v>
      </c>
      <c r="ED215" s="9">
        <v>0</v>
      </c>
      <c r="EE215" s="9">
        <v>0</v>
      </c>
      <c r="EF215" s="9">
        <v>0</v>
      </c>
      <c r="EG215" s="9">
        <v>0</v>
      </c>
      <c r="EH215" s="9">
        <v>0</v>
      </c>
      <c r="EI215" s="10">
        <v>0</v>
      </c>
    </row>
    <row r="216" spans="1:139" x14ac:dyDescent="0.35">
      <c r="A216" s="8" t="s">
        <v>342</v>
      </c>
      <c r="B216" s="9" t="s">
        <v>373</v>
      </c>
      <c r="C216" s="9" t="s">
        <v>374</v>
      </c>
      <c r="D216" s="9">
        <f t="shared" si="3"/>
        <v>273</v>
      </c>
      <c r="E216" s="9">
        <v>0</v>
      </c>
      <c r="F216" s="9">
        <v>0</v>
      </c>
      <c r="G216" s="9">
        <v>0</v>
      </c>
      <c r="H216" s="9">
        <v>0</v>
      </c>
      <c r="I216" s="9">
        <v>0</v>
      </c>
      <c r="J216" s="9">
        <v>0</v>
      </c>
      <c r="K216" s="9">
        <v>0</v>
      </c>
      <c r="L216" s="9">
        <v>0</v>
      </c>
      <c r="M216" s="9">
        <v>0</v>
      </c>
      <c r="N216" s="9">
        <v>0</v>
      </c>
      <c r="O216" s="9">
        <v>0</v>
      </c>
      <c r="P216" s="9">
        <v>0</v>
      </c>
      <c r="Q216" s="9">
        <v>0</v>
      </c>
      <c r="R216" s="9">
        <v>0</v>
      </c>
      <c r="S216" s="9">
        <v>0</v>
      </c>
      <c r="T216" s="9">
        <v>0</v>
      </c>
      <c r="U216" s="9">
        <v>0</v>
      </c>
      <c r="V216" s="9">
        <v>0</v>
      </c>
      <c r="W216" s="9">
        <v>0</v>
      </c>
      <c r="X216" s="9">
        <v>0</v>
      </c>
      <c r="Y216" s="9">
        <v>0</v>
      </c>
      <c r="Z216" s="9">
        <v>0</v>
      </c>
      <c r="AA216" s="9">
        <v>0</v>
      </c>
      <c r="AB216" s="9">
        <v>0</v>
      </c>
      <c r="AC216" s="9">
        <v>0</v>
      </c>
      <c r="AD216" s="9">
        <v>0</v>
      </c>
      <c r="AE216" s="9">
        <v>0</v>
      </c>
      <c r="AF216" s="9">
        <v>0</v>
      </c>
      <c r="AG216" s="9">
        <v>0</v>
      </c>
      <c r="AH216" s="9">
        <v>0</v>
      </c>
      <c r="AI216" s="9">
        <v>0</v>
      </c>
      <c r="AJ216" s="9">
        <v>0</v>
      </c>
      <c r="AK216" s="9">
        <v>1</v>
      </c>
      <c r="AL216" s="9">
        <v>0</v>
      </c>
      <c r="AM216" s="9">
        <v>0</v>
      </c>
      <c r="AN216" s="9">
        <v>0</v>
      </c>
      <c r="AO216" s="9">
        <v>0</v>
      </c>
      <c r="AP216" s="9">
        <v>3</v>
      </c>
      <c r="AQ216" s="9">
        <v>4</v>
      </c>
      <c r="AR216" s="9">
        <v>3</v>
      </c>
      <c r="AS216" s="9">
        <v>1</v>
      </c>
      <c r="AT216" s="9">
        <v>1</v>
      </c>
      <c r="AU216" s="9">
        <v>1</v>
      </c>
      <c r="AV216" s="9">
        <v>3</v>
      </c>
      <c r="AW216" s="9">
        <v>2</v>
      </c>
      <c r="AX216" s="9">
        <v>2</v>
      </c>
      <c r="AY216" s="9">
        <v>3</v>
      </c>
      <c r="AZ216" s="9">
        <v>0</v>
      </c>
      <c r="BA216" s="9">
        <v>1</v>
      </c>
      <c r="BB216" s="9">
        <v>0</v>
      </c>
      <c r="BC216" s="9">
        <v>6</v>
      </c>
      <c r="BD216" s="9">
        <v>2</v>
      </c>
      <c r="BE216" s="9">
        <v>1</v>
      </c>
      <c r="BF216" s="9">
        <v>2</v>
      </c>
      <c r="BG216" s="9">
        <v>3</v>
      </c>
      <c r="BH216" s="9">
        <v>4</v>
      </c>
      <c r="BI216" s="9">
        <v>1</v>
      </c>
      <c r="BJ216" s="9">
        <v>5</v>
      </c>
      <c r="BK216" s="9">
        <v>18</v>
      </c>
      <c r="BL216" s="9">
        <v>4</v>
      </c>
      <c r="BM216" s="9">
        <v>2</v>
      </c>
      <c r="BN216" s="9">
        <v>2</v>
      </c>
      <c r="BO216" s="9">
        <v>5</v>
      </c>
      <c r="BP216" s="9">
        <v>3</v>
      </c>
      <c r="BQ216" s="9">
        <v>2</v>
      </c>
      <c r="BR216" s="9">
        <v>4</v>
      </c>
      <c r="BS216" s="9">
        <v>4</v>
      </c>
      <c r="BT216" s="9">
        <v>4</v>
      </c>
      <c r="BU216" s="9">
        <v>2</v>
      </c>
      <c r="BV216" s="9">
        <v>2</v>
      </c>
      <c r="BW216" s="9">
        <v>3</v>
      </c>
      <c r="BX216" s="9">
        <v>4</v>
      </c>
      <c r="BY216" s="9">
        <v>4</v>
      </c>
      <c r="BZ216" s="9">
        <v>1</v>
      </c>
      <c r="CA216" s="9">
        <v>5</v>
      </c>
      <c r="CB216" s="9">
        <v>4</v>
      </c>
      <c r="CC216" s="9">
        <v>6</v>
      </c>
      <c r="CD216" s="9">
        <v>2</v>
      </c>
      <c r="CE216" s="9">
        <v>5</v>
      </c>
      <c r="CF216" s="9">
        <v>3</v>
      </c>
      <c r="CG216" s="9">
        <v>1</v>
      </c>
      <c r="CH216" s="9">
        <v>1</v>
      </c>
      <c r="CI216" s="9">
        <v>3</v>
      </c>
      <c r="CJ216" s="9">
        <v>4</v>
      </c>
      <c r="CK216" s="9">
        <v>1</v>
      </c>
      <c r="CL216" s="9">
        <v>1</v>
      </c>
      <c r="CM216" s="9">
        <v>4</v>
      </c>
      <c r="CN216" s="9">
        <v>3</v>
      </c>
      <c r="CO216" s="9">
        <v>7</v>
      </c>
      <c r="CP216" s="9">
        <v>2</v>
      </c>
      <c r="CQ216" s="9">
        <v>3</v>
      </c>
      <c r="CR216" s="9">
        <v>3</v>
      </c>
      <c r="CS216" s="9">
        <v>1</v>
      </c>
      <c r="CT216" s="9">
        <v>1</v>
      </c>
      <c r="CU216" s="9">
        <v>0</v>
      </c>
      <c r="CV216" s="9">
        <v>5</v>
      </c>
      <c r="CW216" s="9">
        <v>4</v>
      </c>
      <c r="CX216" s="9">
        <v>3</v>
      </c>
      <c r="CY216" s="9">
        <v>2</v>
      </c>
      <c r="CZ216" s="9">
        <v>1</v>
      </c>
      <c r="DA216" s="9">
        <v>2</v>
      </c>
      <c r="DB216" s="9">
        <v>1</v>
      </c>
      <c r="DC216" s="9">
        <v>3</v>
      </c>
      <c r="DD216" s="9">
        <v>4</v>
      </c>
      <c r="DE216" s="9">
        <v>2</v>
      </c>
      <c r="DF216" s="9">
        <v>1</v>
      </c>
      <c r="DG216" s="9">
        <v>10</v>
      </c>
      <c r="DH216" s="9">
        <v>1</v>
      </c>
      <c r="DI216" s="9">
        <v>2</v>
      </c>
      <c r="DJ216" s="9">
        <v>1</v>
      </c>
      <c r="DK216" s="9">
        <v>2</v>
      </c>
      <c r="DL216" s="9">
        <v>0</v>
      </c>
      <c r="DM216" s="9">
        <v>2</v>
      </c>
      <c r="DN216" s="9">
        <v>1</v>
      </c>
      <c r="DO216" s="9">
        <v>3</v>
      </c>
      <c r="DP216" s="9">
        <v>2</v>
      </c>
      <c r="DQ216" s="9">
        <v>1</v>
      </c>
      <c r="DR216" s="9">
        <v>2</v>
      </c>
      <c r="DS216" s="9">
        <v>1</v>
      </c>
      <c r="DT216" s="9">
        <v>4</v>
      </c>
      <c r="DU216" s="9">
        <v>2</v>
      </c>
      <c r="DV216" s="9">
        <v>0</v>
      </c>
      <c r="DW216" s="9">
        <v>2</v>
      </c>
      <c r="DX216" s="9">
        <v>3</v>
      </c>
      <c r="DY216" s="9">
        <v>3</v>
      </c>
      <c r="DZ216" s="9">
        <v>7</v>
      </c>
      <c r="EA216" s="9">
        <v>4</v>
      </c>
      <c r="EB216" s="9">
        <v>6</v>
      </c>
      <c r="EC216" s="9">
        <v>1</v>
      </c>
      <c r="ED216" s="9">
        <v>1</v>
      </c>
      <c r="EE216" s="9">
        <v>1</v>
      </c>
      <c r="EF216" s="9">
        <v>3</v>
      </c>
      <c r="EG216" s="9">
        <v>3</v>
      </c>
      <c r="EH216" s="9">
        <v>2</v>
      </c>
      <c r="EI216" s="10">
        <v>2</v>
      </c>
    </row>
    <row r="217" spans="1:139" x14ac:dyDescent="0.35">
      <c r="A217" s="8" t="s">
        <v>342</v>
      </c>
      <c r="B217" s="9" t="s">
        <v>375</v>
      </c>
      <c r="C217" s="9" t="s">
        <v>376</v>
      </c>
      <c r="D217" s="9">
        <f t="shared" si="3"/>
        <v>78</v>
      </c>
      <c r="E217" s="9">
        <v>0</v>
      </c>
      <c r="F217" s="9">
        <v>0</v>
      </c>
      <c r="G217" s="9">
        <v>0</v>
      </c>
      <c r="H217" s="9">
        <v>0</v>
      </c>
      <c r="I217" s="9">
        <v>1</v>
      </c>
      <c r="J217" s="9">
        <v>0</v>
      </c>
      <c r="K217" s="9">
        <v>0</v>
      </c>
      <c r="L217" s="9">
        <v>0</v>
      </c>
      <c r="M217" s="9">
        <v>0</v>
      </c>
      <c r="N217" s="9">
        <v>0</v>
      </c>
      <c r="O217" s="9">
        <v>0</v>
      </c>
      <c r="P217" s="9">
        <v>0</v>
      </c>
      <c r="Q217" s="9">
        <v>0</v>
      </c>
      <c r="R217" s="9">
        <v>1</v>
      </c>
      <c r="S217" s="9">
        <v>0</v>
      </c>
      <c r="T217" s="9">
        <v>1</v>
      </c>
      <c r="U217" s="9">
        <v>0</v>
      </c>
      <c r="V217" s="9">
        <v>0</v>
      </c>
      <c r="W217" s="9">
        <v>2</v>
      </c>
      <c r="X217" s="9">
        <v>1</v>
      </c>
      <c r="Y217" s="9">
        <v>2</v>
      </c>
      <c r="Z217" s="9">
        <v>1</v>
      </c>
      <c r="AA217" s="9">
        <v>2</v>
      </c>
      <c r="AB217" s="9">
        <v>1</v>
      </c>
      <c r="AC217" s="9">
        <v>1</v>
      </c>
      <c r="AD217" s="9">
        <v>1</v>
      </c>
      <c r="AE217" s="9">
        <v>0</v>
      </c>
      <c r="AF217" s="9">
        <v>1</v>
      </c>
      <c r="AG217" s="9">
        <v>3</v>
      </c>
      <c r="AH217" s="9">
        <v>3</v>
      </c>
      <c r="AI217" s="9">
        <v>4</v>
      </c>
      <c r="AJ217" s="9">
        <v>0</v>
      </c>
      <c r="AK217" s="9">
        <v>1</v>
      </c>
      <c r="AL217" s="9">
        <v>2</v>
      </c>
      <c r="AM217" s="9">
        <v>2</v>
      </c>
      <c r="AN217" s="9">
        <v>0</v>
      </c>
      <c r="AO217" s="9">
        <v>2</v>
      </c>
      <c r="AP217" s="9">
        <v>3</v>
      </c>
      <c r="AQ217" s="9">
        <v>0</v>
      </c>
      <c r="AR217" s="9">
        <v>1</v>
      </c>
      <c r="AS217" s="9">
        <v>3</v>
      </c>
      <c r="AT217" s="9">
        <v>0</v>
      </c>
      <c r="AU217" s="9">
        <v>1</v>
      </c>
      <c r="AV217" s="9">
        <v>2</v>
      </c>
      <c r="AW217" s="9">
        <v>1</v>
      </c>
      <c r="AX217" s="9">
        <v>0</v>
      </c>
      <c r="AY217" s="9">
        <v>2</v>
      </c>
      <c r="AZ217" s="9">
        <v>1</v>
      </c>
      <c r="BA217" s="9">
        <v>0</v>
      </c>
      <c r="BB217" s="9">
        <v>0</v>
      </c>
      <c r="BC217" s="9">
        <v>2</v>
      </c>
      <c r="BD217" s="9">
        <v>1</v>
      </c>
      <c r="BE217" s="9">
        <v>0</v>
      </c>
      <c r="BF217" s="9">
        <v>2</v>
      </c>
      <c r="BG217" s="9">
        <v>3</v>
      </c>
      <c r="BH217" s="9">
        <v>3</v>
      </c>
      <c r="BI217" s="9">
        <v>3</v>
      </c>
      <c r="BJ217" s="9">
        <v>4</v>
      </c>
      <c r="BK217" s="9">
        <v>0</v>
      </c>
      <c r="BL217" s="9">
        <v>0</v>
      </c>
      <c r="BM217" s="9">
        <v>0</v>
      </c>
      <c r="BN217" s="9">
        <v>1</v>
      </c>
      <c r="BO217" s="9">
        <v>0</v>
      </c>
      <c r="BP217" s="9">
        <v>1</v>
      </c>
      <c r="BQ217" s="9">
        <v>0</v>
      </c>
      <c r="BR217" s="9">
        <v>1</v>
      </c>
      <c r="BS217" s="9">
        <v>2</v>
      </c>
      <c r="BT217" s="9">
        <v>0</v>
      </c>
      <c r="BU217" s="9">
        <v>0</v>
      </c>
      <c r="BV217" s="9">
        <v>0</v>
      </c>
      <c r="BW217" s="9">
        <v>1</v>
      </c>
      <c r="BX217" s="9">
        <v>1</v>
      </c>
      <c r="BY217" s="9">
        <v>0</v>
      </c>
      <c r="BZ217" s="9">
        <v>1</v>
      </c>
      <c r="CA217" s="9">
        <v>1</v>
      </c>
      <c r="CB217" s="9">
        <v>0</v>
      </c>
      <c r="CC217" s="9">
        <v>1</v>
      </c>
      <c r="CD217" s="9">
        <v>0</v>
      </c>
      <c r="CE217" s="9">
        <v>0</v>
      </c>
      <c r="CF217" s="9">
        <v>0</v>
      </c>
      <c r="CG217" s="9">
        <v>0</v>
      </c>
      <c r="CH217" s="9">
        <v>1</v>
      </c>
      <c r="CI217" s="9">
        <v>0</v>
      </c>
      <c r="CJ217" s="9">
        <v>0</v>
      </c>
      <c r="CK217" s="9">
        <v>0</v>
      </c>
      <c r="CL217" s="9">
        <v>0</v>
      </c>
      <c r="CM217" s="9">
        <v>0</v>
      </c>
      <c r="CN217" s="9">
        <v>0</v>
      </c>
      <c r="CO217" s="9">
        <v>0</v>
      </c>
      <c r="CP217" s="9">
        <v>0</v>
      </c>
      <c r="CQ217" s="9">
        <v>1</v>
      </c>
      <c r="CR217" s="9">
        <v>0</v>
      </c>
      <c r="CS217" s="9">
        <v>0</v>
      </c>
      <c r="CT217" s="9">
        <v>0</v>
      </c>
      <c r="CU217" s="9">
        <v>0</v>
      </c>
      <c r="CV217" s="9">
        <v>0</v>
      </c>
      <c r="CW217" s="9">
        <v>0</v>
      </c>
      <c r="CX217" s="9">
        <v>0</v>
      </c>
      <c r="CY217" s="9">
        <v>0</v>
      </c>
      <c r="CZ217" s="9">
        <v>0</v>
      </c>
      <c r="DA217" s="9">
        <v>0</v>
      </c>
      <c r="DB217" s="9">
        <v>0</v>
      </c>
      <c r="DC217" s="9">
        <v>0</v>
      </c>
      <c r="DD217" s="9">
        <v>0</v>
      </c>
      <c r="DE217" s="9">
        <v>0</v>
      </c>
      <c r="DF217" s="9">
        <v>0</v>
      </c>
      <c r="DG217" s="9">
        <v>1</v>
      </c>
      <c r="DH217" s="9">
        <v>0</v>
      </c>
      <c r="DI217" s="9">
        <v>0</v>
      </c>
      <c r="DJ217" s="9">
        <v>0</v>
      </c>
      <c r="DK217" s="9">
        <v>0</v>
      </c>
      <c r="DL217" s="9">
        <v>0</v>
      </c>
      <c r="DM217" s="9">
        <v>0</v>
      </c>
      <c r="DN217" s="9">
        <v>0</v>
      </c>
      <c r="DO217" s="9">
        <v>0</v>
      </c>
      <c r="DP217" s="9">
        <v>0</v>
      </c>
      <c r="DQ217" s="9">
        <v>0</v>
      </c>
      <c r="DR217" s="9">
        <v>0</v>
      </c>
      <c r="DS217" s="9">
        <v>0</v>
      </c>
      <c r="DT217" s="9">
        <v>0</v>
      </c>
      <c r="DU217" s="9">
        <v>0</v>
      </c>
      <c r="DV217" s="9">
        <v>0</v>
      </c>
      <c r="DW217" s="9">
        <v>0</v>
      </c>
      <c r="DX217" s="9">
        <v>0</v>
      </c>
      <c r="DY217" s="9">
        <v>0</v>
      </c>
      <c r="DZ217" s="9">
        <v>0</v>
      </c>
      <c r="EA217" s="9">
        <v>0</v>
      </c>
      <c r="EB217" s="9">
        <v>0</v>
      </c>
      <c r="EC217" s="9">
        <v>0</v>
      </c>
      <c r="ED217" s="9">
        <v>0</v>
      </c>
      <c r="EE217" s="9">
        <v>0</v>
      </c>
      <c r="EF217" s="9">
        <v>1</v>
      </c>
      <c r="EG217" s="9">
        <v>0</v>
      </c>
      <c r="EH217" s="9">
        <v>0</v>
      </c>
      <c r="EI217" s="10">
        <v>0</v>
      </c>
    </row>
    <row r="218" spans="1:139" x14ac:dyDescent="0.35">
      <c r="A218" s="8" t="s">
        <v>342</v>
      </c>
      <c r="B218" s="9" t="s">
        <v>377</v>
      </c>
      <c r="C218" s="9" t="s">
        <v>378</v>
      </c>
      <c r="D218" s="9">
        <f t="shared" si="3"/>
        <v>122</v>
      </c>
      <c r="E218" s="9">
        <v>0</v>
      </c>
      <c r="F218" s="9">
        <v>0</v>
      </c>
      <c r="G218" s="9">
        <v>0</v>
      </c>
      <c r="H218" s="9">
        <v>0</v>
      </c>
      <c r="I218" s="9">
        <v>0</v>
      </c>
      <c r="J218" s="9">
        <v>0</v>
      </c>
      <c r="K218" s="9">
        <v>0</v>
      </c>
      <c r="L218" s="9">
        <v>0</v>
      </c>
      <c r="M218" s="9">
        <v>0</v>
      </c>
      <c r="N218" s="9">
        <v>1</v>
      </c>
      <c r="O218" s="9">
        <v>0</v>
      </c>
      <c r="P218" s="9">
        <v>0</v>
      </c>
      <c r="Q218" s="9">
        <v>1</v>
      </c>
      <c r="R218" s="9">
        <v>0</v>
      </c>
      <c r="S218" s="9">
        <v>0</v>
      </c>
      <c r="T218" s="9">
        <v>0</v>
      </c>
      <c r="U218" s="9">
        <v>0</v>
      </c>
      <c r="V218" s="9">
        <v>0</v>
      </c>
      <c r="W218" s="9">
        <v>1</v>
      </c>
      <c r="X218" s="9">
        <v>1</v>
      </c>
      <c r="Y218" s="9">
        <v>1</v>
      </c>
      <c r="Z218" s="9">
        <v>0</v>
      </c>
      <c r="AA218" s="9">
        <v>2</v>
      </c>
      <c r="AB218" s="9">
        <v>1</v>
      </c>
      <c r="AC218" s="9">
        <v>0</v>
      </c>
      <c r="AD218" s="9">
        <v>1</v>
      </c>
      <c r="AE218" s="9">
        <v>0</v>
      </c>
      <c r="AF218" s="9">
        <v>5</v>
      </c>
      <c r="AG218" s="9">
        <v>4</v>
      </c>
      <c r="AH218" s="9">
        <v>0</v>
      </c>
      <c r="AI218" s="9">
        <v>3</v>
      </c>
      <c r="AJ218" s="9">
        <v>0</v>
      </c>
      <c r="AK218" s="9">
        <v>3</v>
      </c>
      <c r="AL218" s="9">
        <v>2</v>
      </c>
      <c r="AM218" s="9">
        <v>1</v>
      </c>
      <c r="AN218" s="9">
        <v>2</v>
      </c>
      <c r="AO218" s="9">
        <v>2</v>
      </c>
      <c r="AP218" s="9">
        <v>0</v>
      </c>
      <c r="AQ218" s="9">
        <v>0</v>
      </c>
      <c r="AR218" s="9">
        <v>2</v>
      </c>
      <c r="AS218" s="9">
        <v>2</v>
      </c>
      <c r="AT218" s="9">
        <v>0</v>
      </c>
      <c r="AU218" s="9">
        <v>1</v>
      </c>
      <c r="AV218" s="9">
        <v>0</v>
      </c>
      <c r="AW218" s="9">
        <v>0</v>
      </c>
      <c r="AX218" s="9">
        <v>0</v>
      </c>
      <c r="AY218" s="9">
        <v>0</v>
      </c>
      <c r="AZ218" s="9">
        <v>0</v>
      </c>
      <c r="BA218" s="9">
        <v>3</v>
      </c>
      <c r="BB218" s="9">
        <v>1</v>
      </c>
      <c r="BC218" s="9">
        <v>0</v>
      </c>
      <c r="BD218" s="9">
        <v>1</v>
      </c>
      <c r="BE218" s="9">
        <v>1</v>
      </c>
      <c r="BF218" s="9">
        <v>4</v>
      </c>
      <c r="BG218" s="9">
        <v>3</v>
      </c>
      <c r="BH218" s="9">
        <v>2</v>
      </c>
      <c r="BI218" s="9">
        <v>0</v>
      </c>
      <c r="BJ218" s="9">
        <v>0</v>
      </c>
      <c r="BK218" s="9">
        <v>1</v>
      </c>
      <c r="BL218" s="9">
        <v>1</v>
      </c>
      <c r="BM218" s="9">
        <v>1</v>
      </c>
      <c r="BN218" s="9">
        <v>2</v>
      </c>
      <c r="BO218" s="9">
        <v>1</v>
      </c>
      <c r="BP218" s="9">
        <v>1</v>
      </c>
      <c r="BQ218" s="9">
        <v>1</v>
      </c>
      <c r="BR218" s="9">
        <v>0</v>
      </c>
      <c r="BS218" s="9">
        <v>0</v>
      </c>
      <c r="BT218" s="9">
        <v>1</v>
      </c>
      <c r="BU218" s="9">
        <v>0</v>
      </c>
      <c r="BV218" s="9">
        <v>3</v>
      </c>
      <c r="BW218" s="9">
        <v>0</v>
      </c>
      <c r="BX218" s="9">
        <v>1</v>
      </c>
      <c r="BY218" s="9">
        <v>0</v>
      </c>
      <c r="BZ218" s="9">
        <v>5</v>
      </c>
      <c r="CA218" s="9">
        <v>3</v>
      </c>
      <c r="CB218" s="9">
        <v>2</v>
      </c>
      <c r="CC218" s="9">
        <v>3</v>
      </c>
      <c r="CD218" s="9">
        <v>3</v>
      </c>
      <c r="CE218" s="9">
        <v>1</v>
      </c>
      <c r="CF218" s="9">
        <v>0</v>
      </c>
      <c r="CG218" s="9">
        <v>1</v>
      </c>
      <c r="CH218" s="9">
        <v>3</v>
      </c>
      <c r="CI218" s="9">
        <v>1</v>
      </c>
      <c r="CJ218" s="9">
        <v>2</v>
      </c>
      <c r="CK218" s="9">
        <v>0</v>
      </c>
      <c r="CL218" s="9">
        <v>0</v>
      </c>
      <c r="CM218" s="9">
        <v>1</v>
      </c>
      <c r="CN218" s="9">
        <v>1</v>
      </c>
      <c r="CO218" s="9">
        <v>0</v>
      </c>
      <c r="CP218" s="9">
        <v>0</v>
      </c>
      <c r="CQ218" s="9">
        <v>2</v>
      </c>
      <c r="CR218" s="9">
        <v>1</v>
      </c>
      <c r="CS218" s="9">
        <v>2</v>
      </c>
      <c r="CT218" s="9">
        <v>3</v>
      </c>
      <c r="CU218" s="9">
        <v>2</v>
      </c>
      <c r="CV218" s="9">
        <v>2</v>
      </c>
      <c r="CW218" s="9">
        <v>1</v>
      </c>
      <c r="CX218" s="9">
        <v>3</v>
      </c>
      <c r="CY218" s="9">
        <v>0</v>
      </c>
      <c r="CZ218" s="9">
        <v>1</v>
      </c>
      <c r="DA218" s="9">
        <v>4</v>
      </c>
      <c r="DB218" s="9">
        <v>2</v>
      </c>
      <c r="DC218" s="9">
        <v>3</v>
      </c>
      <c r="DD218" s="9">
        <v>2</v>
      </c>
      <c r="DE218" s="9">
        <v>0</v>
      </c>
      <c r="DF218" s="9">
        <v>1</v>
      </c>
      <c r="DG218" s="9">
        <v>0</v>
      </c>
      <c r="DH218" s="9">
        <v>0</v>
      </c>
      <c r="DI218" s="9">
        <v>1</v>
      </c>
      <c r="DJ218" s="9">
        <v>1</v>
      </c>
      <c r="DK218" s="9">
        <v>0</v>
      </c>
      <c r="DL218" s="9">
        <v>0</v>
      </c>
      <c r="DM218" s="9">
        <v>0</v>
      </c>
      <c r="DN218" s="9">
        <v>0</v>
      </c>
      <c r="DO218" s="9">
        <v>0</v>
      </c>
      <c r="DP218" s="9">
        <v>0</v>
      </c>
      <c r="DQ218" s="9">
        <v>0</v>
      </c>
      <c r="DR218" s="9">
        <v>0</v>
      </c>
      <c r="DS218" s="9">
        <v>0</v>
      </c>
      <c r="DT218" s="9">
        <v>0</v>
      </c>
      <c r="DU218" s="9">
        <v>0</v>
      </c>
      <c r="DV218" s="9">
        <v>0</v>
      </c>
      <c r="DW218" s="9">
        <v>0</v>
      </c>
      <c r="DX218" s="9">
        <v>0</v>
      </c>
      <c r="DY218" s="9">
        <v>1</v>
      </c>
      <c r="DZ218" s="9">
        <v>0</v>
      </c>
      <c r="EA218" s="9">
        <v>0</v>
      </c>
      <c r="EB218" s="9">
        <v>0</v>
      </c>
      <c r="EC218" s="9">
        <v>0</v>
      </c>
      <c r="ED218" s="9">
        <v>0</v>
      </c>
      <c r="EE218" s="9">
        <v>0</v>
      </c>
      <c r="EF218" s="9">
        <v>0</v>
      </c>
      <c r="EG218" s="9">
        <v>0</v>
      </c>
      <c r="EH218" s="9">
        <v>0</v>
      </c>
      <c r="EI218" s="10">
        <v>0</v>
      </c>
    </row>
    <row r="219" spans="1:139" x14ac:dyDescent="0.35">
      <c r="A219" s="8" t="s">
        <v>342</v>
      </c>
      <c r="B219" s="9" t="s">
        <v>379</v>
      </c>
      <c r="C219" s="9" t="s">
        <v>380</v>
      </c>
      <c r="D219" s="9">
        <f t="shared" si="3"/>
        <v>62</v>
      </c>
      <c r="E219" s="9">
        <v>0</v>
      </c>
      <c r="F219" s="9">
        <v>0</v>
      </c>
      <c r="G219" s="9">
        <v>0</v>
      </c>
      <c r="H219" s="9">
        <v>0</v>
      </c>
      <c r="I219" s="9">
        <v>0</v>
      </c>
      <c r="J219" s="9">
        <v>0</v>
      </c>
      <c r="K219" s="9">
        <v>0</v>
      </c>
      <c r="L219" s="9">
        <v>0</v>
      </c>
      <c r="M219" s="9">
        <v>0</v>
      </c>
      <c r="N219" s="9">
        <v>1</v>
      </c>
      <c r="O219" s="9">
        <v>0</v>
      </c>
      <c r="P219" s="9">
        <v>0</v>
      </c>
      <c r="Q219" s="9">
        <v>0</v>
      </c>
      <c r="R219" s="9">
        <v>0</v>
      </c>
      <c r="S219" s="9">
        <v>0</v>
      </c>
      <c r="T219" s="9">
        <v>0</v>
      </c>
      <c r="U219" s="9">
        <v>0</v>
      </c>
      <c r="V219" s="9">
        <v>0</v>
      </c>
      <c r="W219" s="9">
        <v>13</v>
      </c>
      <c r="X219" s="9">
        <v>0</v>
      </c>
      <c r="Y219" s="9">
        <v>0</v>
      </c>
      <c r="Z219" s="9">
        <v>0</v>
      </c>
      <c r="AA219" s="9">
        <v>0</v>
      </c>
      <c r="AB219" s="9">
        <v>0</v>
      </c>
      <c r="AC219" s="9">
        <v>0</v>
      </c>
      <c r="AD219" s="9">
        <v>0</v>
      </c>
      <c r="AE219" s="9">
        <v>0</v>
      </c>
      <c r="AF219" s="9">
        <v>0</v>
      </c>
      <c r="AG219" s="9">
        <v>0</v>
      </c>
      <c r="AH219" s="9">
        <v>0</v>
      </c>
      <c r="AI219" s="9">
        <v>0</v>
      </c>
      <c r="AJ219" s="9">
        <v>0</v>
      </c>
      <c r="AK219" s="9">
        <v>0</v>
      </c>
      <c r="AL219" s="9">
        <v>0</v>
      </c>
      <c r="AM219" s="9">
        <v>0</v>
      </c>
      <c r="AN219" s="9">
        <v>0</v>
      </c>
      <c r="AO219" s="9">
        <v>0</v>
      </c>
      <c r="AP219" s="9">
        <v>3</v>
      </c>
      <c r="AQ219" s="9">
        <v>0</v>
      </c>
      <c r="AR219" s="9">
        <v>0</v>
      </c>
      <c r="AS219" s="9">
        <v>0</v>
      </c>
      <c r="AT219" s="9">
        <v>0</v>
      </c>
      <c r="AU219" s="9">
        <v>5</v>
      </c>
      <c r="AV219" s="9">
        <v>0</v>
      </c>
      <c r="AW219" s="9">
        <v>0</v>
      </c>
      <c r="AX219" s="9">
        <v>0</v>
      </c>
      <c r="AY219" s="9">
        <v>0</v>
      </c>
      <c r="AZ219" s="9">
        <v>0</v>
      </c>
      <c r="BA219" s="9">
        <v>0</v>
      </c>
      <c r="BB219" s="9">
        <v>10</v>
      </c>
      <c r="BC219" s="9">
        <v>11</v>
      </c>
      <c r="BD219" s="9">
        <v>0</v>
      </c>
      <c r="BE219" s="9">
        <v>0</v>
      </c>
      <c r="BF219" s="9">
        <v>0</v>
      </c>
      <c r="BG219" s="9">
        <v>9</v>
      </c>
      <c r="BH219" s="9">
        <v>0</v>
      </c>
      <c r="BI219" s="9">
        <v>0</v>
      </c>
      <c r="BJ219" s="9">
        <v>0</v>
      </c>
      <c r="BK219" s="9">
        <v>0</v>
      </c>
      <c r="BL219" s="9">
        <v>0</v>
      </c>
      <c r="BM219" s="9">
        <v>0</v>
      </c>
      <c r="BN219" s="9">
        <v>0</v>
      </c>
      <c r="BO219" s="9">
        <v>0</v>
      </c>
      <c r="BP219" s="9">
        <v>0</v>
      </c>
      <c r="BQ219" s="9">
        <v>4</v>
      </c>
      <c r="BR219" s="9">
        <v>1</v>
      </c>
      <c r="BS219" s="9">
        <v>1</v>
      </c>
      <c r="BT219" s="9">
        <v>0</v>
      </c>
      <c r="BU219" s="9">
        <v>0</v>
      </c>
      <c r="BV219" s="9">
        <v>0</v>
      </c>
      <c r="BW219" s="9">
        <v>0</v>
      </c>
      <c r="BX219" s="9">
        <v>0</v>
      </c>
      <c r="BY219" s="9">
        <v>0</v>
      </c>
      <c r="BZ219" s="9">
        <v>0</v>
      </c>
      <c r="CA219" s="9">
        <v>0</v>
      </c>
      <c r="CB219" s="9">
        <v>0</v>
      </c>
      <c r="CC219" s="9">
        <v>0</v>
      </c>
      <c r="CD219" s="9">
        <v>2</v>
      </c>
      <c r="CE219" s="9">
        <v>0</v>
      </c>
      <c r="CF219" s="9">
        <v>0</v>
      </c>
      <c r="CG219" s="9">
        <v>0</v>
      </c>
      <c r="CH219" s="9">
        <v>0</v>
      </c>
      <c r="CI219" s="9">
        <v>0</v>
      </c>
      <c r="CJ219" s="9">
        <v>0</v>
      </c>
      <c r="CK219" s="9">
        <v>0</v>
      </c>
      <c r="CL219" s="9">
        <v>0</v>
      </c>
      <c r="CM219" s="9">
        <v>1</v>
      </c>
      <c r="CN219" s="9">
        <v>0</v>
      </c>
      <c r="CO219" s="9">
        <v>0</v>
      </c>
      <c r="CP219" s="9">
        <v>1</v>
      </c>
      <c r="CQ219" s="9">
        <v>0</v>
      </c>
      <c r="CR219" s="9">
        <v>0</v>
      </c>
      <c r="CS219" s="9">
        <v>0</v>
      </c>
      <c r="CT219" s="9">
        <v>0</v>
      </c>
      <c r="CU219" s="9">
        <v>0</v>
      </c>
      <c r="CV219" s="9">
        <v>0</v>
      </c>
      <c r="CW219" s="9">
        <v>0</v>
      </c>
      <c r="CX219" s="9">
        <v>0</v>
      </c>
      <c r="CY219" s="9">
        <v>0</v>
      </c>
      <c r="CZ219" s="9">
        <v>0</v>
      </c>
      <c r="DA219" s="9">
        <v>0</v>
      </c>
      <c r="DB219" s="9">
        <v>0</v>
      </c>
      <c r="DC219" s="9">
        <v>0</v>
      </c>
      <c r="DD219" s="9">
        <v>0</v>
      </c>
      <c r="DE219" s="9">
        <v>0</v>
      </c>
      <c r="DF219" s="9">
        <v>0</v>
      </c>
      <c r="DG219" s="9">
        <v>0</v>
      </c>
      <c r="DH219" s="9">
        <v>0</v>
      </c>
      <c r="DI219" s="9">
        <v>0</v>
      </c>
      <c r="DJ219" s="9">
        <v>0</v>
      </c>
      <c r="DK219" s="9">
        <v>0</v>
      </c>
      <c r="DL219" s="9">
        <v>0</v>
      </c>
      <c r="DM219" s="9">
        <v>0</v>
      </c>
      <c r="DN219" s="9">
        <v>0</v>
      </c>
      <c r="DO219" s="9">
        <v>0</v>
      </c>
      <c r="DP219" s="9">
        <v>0</v>
      </c>
      <c r="DQ219" s="9">
        <v>0</v>
      </c>
      <c r="DR219" s="9">
        <v>0</v>
      </c>
      <c r="DS219" s="9">
        <v>0</v>
      </c>
      <c r="DT219" s="9">
        <v>0</v>
      </c>
      <c r="DU219" s="9">
        <v>0</v>
      </c>
      <c r="DV219" s="9">
        <v>0</v>
      </c>
      <c r="DW219" s="9">
        <v>0</v>
      </c>
      <c r="DX219" s="9">
        <v>0</v>
      </c>
      <c r="DY219" s="9">
        <v>0</v>
      </c>
      <c r="DZ219" s="9">
        <v>0</v>
      </c>
      <c r="EA219" s="9">
        <v>0</v>
      </c>
      <c r="EB219" s="9">
        <v>0</v>
      </c>
      <c r="EC219" s="9">
        <v>0</v>
      </c>
      <c r="ED219" s="9">
        <v>0</v>
      </c>
      <c r="EE219" s="9">
        <v>0</v>
      </c>
      <c r="EF219" s="9">
        <v>0</v>
      </c>
      <c r="EG219" s="9">
        <v>0</v>
      </c>
      <c r="EH219" s="9">
        <v>0</v>
      </c>
      <c r="EI219" s="10">
        <v>0</v>
      </c>
    </row>
    <row r="220" spans="1:139" x14ac:dyDescent="0.35">
      <c r="A220" s="8" t="s">
        <v>342</v>
      </c>
      <c r="B220" s="9" t="s">
        <v>381</v>
      </c>
      <c r="C220" s="9" t="s">
        <v>382</v>
      </c>
      <c r="D220" s="9">
        <f t="shared" si="3"/>
        <v>1</v>
      </c>
      <c r="E220" s="9">
        <v>0</v>
      </c>
      <c r="F220" s="9">
        <v>0</v>
      </c>
      <c r="G220" s="9">
        <v>0</v>
      </c>
      <c r="H220" s="9">
        <v>0</v>
      </c>
      <c r="I220" s="9">
        <v>0</v>
      </c>
      <c r="J220" s="9">
        <v>0</v>
      </c>
      <c r="K220" s="9">
        <v>0</v>
      </c>
      <c r="L220" s="9">
        <v>0</v>
      </c>
      <c r="M220" s="9">
        <v>0</v>
      </c>
      <c r="N220" s="9">
        <v>0</v>
      </c>
      <c r="O220" s="9">
        <v>0</v>
      </c>
      <c r="P220" s="9">
        <v>0</v>
      </c>
      <c r="Q220" s="9">
        <v>0</v>
      </c>
      <c r="R220" s="9">
        <v>0</v>
      </c>
      <c r="S220" s="9">
        <v>0</v>
      </c>
      <c r="T220" s="9">
        <v>0</v>
      </c>
      <c r="U220" s="9">
        <v>0</v>
      </c>
      <c r="V220" s="9">
        <v>0</v>
      </c>
      <c r="W220" s="9">
        <v>0</v>
      </c>
      <c r="X220" s="9">
        <v>0</v>
      </c>
      <c r="Y220" s="9">
        <v>0</v>
      </c>
      <c r="Z220" s="9">
        <v>0</v>
      </c>
      <c r="AA220" s="9">
        <v>0</v>
      </c>
      <c r="AB220" s="9">
        <v>0</v>
      </c>
      <c r="AC220" s="9">
        <v>0</v>
      </c>
      <c r="AD220" s="9">
        <v>0</v>
      </c>
      <c r="AE220" s="9">
        <v>0</v>
      </c>
      <c r="AF220" s="9">
        <v>0</v>
      </c>
      <c r="AG220" s="9">
        <v>0</v>
      </c>
      <c r="AH220" s="9">
        <v>0</v>
      </c>
      <c r="AI220" s="9">
        <v>0</v>
      </c>
      <c r="AJ220" s="9">
        <v>0</v>
      </c>
      <c r="AK220" s="9">
        <v>0</v>
      </c>
      <c r="AL220" s="9">
        <v>0</v>
      </c>
      <c r="AM220" s="9">
        <v>0</v>
      </c>
      <c r="AN220" s="9">
        <v>0</v>
      </c>
      <c r="AO220" s="9">
        <v>0</v>
      </c>
      <c r="AP220" s="9">
        <v>0</v>
      </c>
      <c r="AQ220" s="9">
        <v>0</v>
      </c>
      <c r="AR220" s="9">
        <v>0</v>
      </c>
      <c r="AS220" s="9">
        <v>0</v>
      </c>
      <c r="AT220" s="9">
        <v>0</v>
      </c>
      <c r="AU220" s="9">
        <v>0</v>
      </c>
      <c r="AV220" s="9">
        <v>0</v>
      </c>
      <c r="AW220" s="9">
        <v>0</v>
      </c>
      <c r="AX220" s="9">
        <v>0</v>
      </c>
      <c r="AY220" s="9">
        <v>0</v>
      </c>
      <c r="AZ220" s="9">
        <v>0</v>
      </c>
      <c r="BA220" s="9">
        <v>0</v>
      </c>
      <c r="BB220" s="9">
        <v>0</v>
      </c>
      <c r="BC220" s="9">
        <v>0</v>
      </c>
      <c r="BD220" s="9">
        <v>0</v>
      </c>
      <c r="BE220" s="9">
        <v>0</v>
      </c>
      <c r="BF220" s="9">
        <v>0</v>
      </c>
      <c r="BG220" s="9">
        <v>0</v>
      </c>
      <c r="BH220" s="9">
        <v>0</v>
      </c>
      <c r="BI220" s="9">
        <v>0</v>
      </c>
      <c r="BJ220" s="9">
        <v>0</v>
      </c>
      <c r="BK220" s="9">
        <v>0</v>
      </c>
      <c r="BL220" s="9">
        <v>0</v>
      </c>
      <c r="BM220" s="9">
        <v>0</v>
      </c>
      <c r="BN220" s="9">
        <v>0</v>
      </c>
      <c r="BO220" s="9">
        <v>0</v>
      </c>
      <c r="BP220" s="9">
        <v>0</v>
      </c>
      <c r="BQ220" s="9">
        <v>0</v>
      </c>
      <c r="BR220" s="9">
        <v>0</v>
      </c>
      <c r="BS220" s="9">
        <v>0</v>
      </c>
      <c r="BT220" s="9">
        <v>0</v>
      </c>
      <c r="BU220" s="9">
        <v>0</v>
      </c>
      <c r="BV220" s="9">
        <v>0</v>
      </c>
      <c r="BW220" s="9">
        <v>0</v>
      </c>
      <c r="BX220" s="9">
        <v>0</v>
      </c>
      <c r="BY220" s="9">
        <v>0</v>
      </c>
      <c r="BZ220" s="9">
        <v>0</v>
      </c>
      <c r="CA220" s="9">
        <v>0</v>
      </c>
      <c r="CB220" s="9">
        <v>0</v>
      </c>
      <c r="CC220" s="9">
        <v>0</v>
      </c>
      <c r="CD220" s="9">
        <v>0</v>
      </c>
      <c r="CE220" s="9">
        <v>0</v>
      </c>
      <c r="CF220" s="9">
        <v>0</v>
      </c>
      <c r="CG220" s="9">
        <v>0</v>
      </c>
      <c r="CH220" s="9">
        <v>0</v>
      </c>
      <c r="CI220" s="9">
        <v>0</v>
      </c>
      <c r="CJ220" s="9">
        <v>0</v>
      </c>
      <c r="CK220" s="9">
        <v>0</v>
      </c>
      <c r="CL220" s="9">
        <v>0</v>
      </c>
      <c r="CM220" s="9">
        <v>0</v>
      </c>
      <c r="CN220" s="9">
        <v>0</v>
      </c>
      <c r="CO220" s="9">
        <v>0</v>
      </c>
      <c r="CP220" s="9">
        <v>0</v>
      </c>
      <c r="CQ220" s="9">
        <v>0</v>
      </c>
      <c r="CR220" s="9">
        <v>0</v>
      </c>
      <c r="CS220" s="9">
        <v>0</v>
      </c>
      <c r="CT220" s="9">
        <v>0</v>
      </c>
      <c r="CU220" s="9">
        <v>0</v>
      </c>
      <c r="CV220" s="9">
        <v>0</v>
      </c>
      <c r="CW220" s="9">
        <v>0</v>
      </c>
      <c r="CX220" s="9">
        <v>0</v>
      </c>
      <c r="CY220" s="9">
        <v>0</v>
      </c>
      <c r="CZ220" s="9">
        <v>0</v>
      </c>
      <c r="DA220" s="9">
        <v>0</v>
      </c>
      <c r="DB220" s="9">
        <v>0</v>
      </c>
      <c r="DC220" s="9">
        <v>0</v>
      </c>
      <c r="DD220" s="9">
        <v>0</v>
      </c>
      <c r="DE220" s="9">
        <v>0</v>
      </c>
      <c r="DF220" s="9">
        <v>0</v>
      </c>
      <c r="DG220" s="9">
        <v>0</v>
      </c>
      <c r="DH220" s="9">
        <v>0</v>
      </c>
      <c r="DI220" s="9">
        <v>1</v>
      </c>
      <c r="DJ220" s="9">
        <v>0</v>
      </c>
      <c r="DK220" s="9">
        <v>0</v>
      </c>
      <c r="DL220" s="9">
        <v>0</v>
      </c>
      <c r="DM220" s="9">
        <v>0</v>
      </c>
      <c r="DN220" s="9">
        <v>0</v>
      </c>
      <c r="DO220" s="9">
        <v>0</v>
      </c>
      <c r="DP220" s="9">
        <v>0</v>
      </c>
      <c r="DQ220" s="9">
        <v>0</v>
      </c>
      <c r="DR220" s="9">
        <v>0</v>
      </c>
      <c r="DS220" s="9">
        <v>0</v>
      </c>
      <c r="DT220" s="9">
        <v>0</v>
      </c>
      <c r="DU220" s="9">
        <v>0</v>
      </c>
      <c r="DV220" s="9">
        <v>0</v>
      </c>
      <c r="DW220" s="9">
        <v>0</v>
      </c>
      <c r="DX220" s="9">
        <v>0</v>
      </c>
      <c r="DY220" s="9">
        <v>0</v>
      </c>
      <c r="DZ220" s="9">
        <v>0</v>
      </c>
      <c r="EA220" s="9">
        <v>0</v>
      </c>
      <c r="EB220" s="9">
        <v>0</v>
      </c>
      <c r="EC220" s="9">
        <v>0</v>
      </c>
      <c r="ED220" s="9">
        <v>0</v>
      </c>
      <c r="EE220" s="9">
        <v>0</v>
      </c>
      <c r="EF220" s="9">
        <v>0</v>
      </c>
      <c r="EG220" s="9">
        <v>0</v>
      </c>
      <c r="EH220" s="9">
        <v>0</v>
      </c>
      <c r="EI220" s="10">
        <v>0</v>
      </c>
    </row>
    <row r="221" spans="1:139" x14ac:dyDescent="0.35">
      <c r="A221" s="8" t="s">
        <v>342</v>
      </c>
      <c r="B221" s="9" t="s">
        <v>383</v>
      </c>
      <c r="C221" s="9" t="s">
        <v>384</v>
      </c>
      <c r="D221" s="9">
        <f t="shared" si="3"/>
        <v>8</v>
      </c>
      <c r="E221" s="9">
        <v>0</v>
      </c>
      <c r="F221" s="9">
        <v>0</v>
      </c>
      <c r="G221" s="9">
        <v>0</v>
      </c>
      <c r="H221" s="9">
        <v>0</v>
      </c>
      <c r="I221" s="9">
        <v>0</v>
      </c>
      <c r="J221" s="9">
        <v>0</v>
      </c>
      <c r="K221" s="9">
        <v>0</v>
      </c>
      <c r="L221" s="9">
        <v>0</v>
      </c>
      <c r="M221" s="9">
        <v>0</v>
      </c>
      <c r="N221" s="9">
        <v>0</v>
      </c>
      <c r="O221" s="9">
        <v>0</v>
      </c>
      <c r="P221" s="9">
        <v>0</v>
      </c>
      <c r="Q221" s="9">
        <v>0</v>
      </c>
      <c r="R221" s="9">
        <v>0</v>
      </c>
      <c r="S221" s="9">
        <v>0</v>
      </c>
      <c r="T221" s="9">
        <v>0</v>
      </c>
      <c r="U221" s="9">
        <v>0</v>
      </c>
      <c r="V221" s="9">
        <v>0</v>
      </c>
      <c r="W221" s="9">
        <v>0</v>
      </c>
      <c r="X221" s="9">
        <v>0</v>
      </c>
      <c r="Y221" s="9">
        <v>0</v>
      </c>
      <c r="Z221" s="9">
        <v>0</v>
      </c>
      <c r="AA221" s="9">
        <v>0</v>
      </c>
      <c r="AB221" s="9">
        <v>0</v>
      </c>
      <c r="AC221" s="9">
        <v>0</v>
      </c>
      <c r="AD221" s="9">
        <v>0</v>
      </c>
      <c r="AE221" s="9">
        <v>1</v>
      </c>
      <c r="AF221" s="9">
        <v>1</v>
      </c>
      <c r="AG221" s="9">
        <v>0</v>
      </c>
      <c r="AH221" s="9">
        <v>0</v>
      </c>
      <c r="AI221" s="9">
        <v>0</v>
      </c>
      <c r="AJ221" s="9">
        <v>0</v>
      </c>
      <c r="AK221" s="9">
        <v>0</v>
      </c>
      <c r="AL221" s="9">
        <v>0</v>
      </c>
      <c r="AM221" s="9">
        <v>0</v>
      </c>
      <c r="AN221" s="9">
        <v>0</v>
      </c>
      <c r="AO221" s="9">
        <v>0</v>
      </c>
      <c r="AP221" s="9">
        <v>0</v>
      </c>
      <c r="AQ221" s="9">
        <v>0</v>
      </c>
      <c r="AR221" s="9">
        <v>0</v>
      </c>
      <c r="AS221" s="9">
        <v>0</v>
      </c>
      <c r="AT221" s="9">
        <v>0</v>
      </c>
      <c r="AU221" s="9">
        <v>1</v>
      </c>
      <c r="AV221" s="9">
        <v>1</v>
      </c>
      <c r="AW221" s="9">
        <v>0</v>
      </c>
      <c r="AX221" s="9">
        <v>0</v>
      </c>
      <c r="AY221" s="9">
        <v>0</v>
      </c>
      <c r="AZ221" s="9">
        <v>0</v>
      </c>
      <c r="BA221" s="9">
        <v>0</v>
      </c>
      <c r="BB221" s="9">
        <v>0</v>
      </c>
      <c r="BC221" s="9">
        <v>0</v>
      </c>
      <c r="BD221" s="9">
        <v>1</v>
      </c>
      <c r="BE221" s="9">
        <v>0</v>
      </c>
      <c r="BF221" s="9">
        <v>0</v>
      </c>
      <c r="BG221" s="9">
        <v>0</v>
      </c>
      <c r="BH221" s="9">
        <v>1</v>
      </c>
      <c r="BI221" s="9">
        <v>0</v>
      </c>
      <c r="BJ221" s="9">
        <v>0</v>
      </c>
      <c r="BK221" s="9">
        <v>0</v>
      </c>
      <c r="BL221" s="9">
        <v>0</v>
      </c>
      <c r="BM221" s="9">
        <v>0</v>
      </c>
      <c r="BN221" s="9">
        <v>0</v>
      </c>
      <c r="BO221" s="9">
        <v>0</v>
      </c>
      <c r="BP221" s="9">
        <v>1</v>
      </c>
      <c r="BQ221" s="9">
        <v>0</v>
      </c>
      <c r="BR221" s="9">
        <v>0</v>
      </c>
      <c r="BS221" s="9">
        <v>0</v>
      </c>
      <c r="BT221" s="9">
        <v>0</v>
      </c>
      <c r="BU221" s="9">
        <v>0</v>
      </c>
      <c r="BV221" s="9">
        <v>0</v>
      </c>
      <c r="BW221" s="9">
        <v>0</v>
      </c>
      <c r="BX221" s="9">
        <v>0</v>
      </c>
      <c r="BY221" s="9">
        <v>0</v>
      </c>
      <c r="BZ221" s="9">
        <v>0</v>
      </c>
      <c r="CA221" s="9">
        <v>0</v>
      </c>
      <c r="CB221" s="9">
        <v>0</v>
      </c>
      <c r="CC221" s="9">
        <v>0</v>
      </c>
      <c r="CD221" s="9">
        <v>0</v>
      </c>
      <c r="CE221" s="9">
        <v>0</v>
      </c>
      <c r="CF221" s="9">
        <v>0</v>
      </c>
      <c r="CG221" s="9">
        <v>0</v>
      </c>
      <c r="CH221" s="9">
        <v>0</v>
      </c>
      <c r="CI221" s="9">
        <v>0</v>
      </c>
      <c r="CJ221" s="9">
        <v>0</v>
      </c>
      <c r="CK221" s="9">
        <v>0</v>
      </c>
      <c r="CL221" s="9">
        <v>0</v>
      </c>
      <c r="CM221" s="9">
        <v>0</v>
      </c>
      <c r="CN221" s="9">
        <v>0</v>
      </c>
      <c r="CO221" s="9">
        <v>0</v>
      </c>
      <c r="CP221" s="9">
        <v>0</v>
      </c>
      <c r="CQ221" s="9">
        <v>0</v>
      </c>
      <c r="CR221" s="9">
        <v>0</v>
      </c>
      <c r="CS221" s="9">
        <v>0</v>
      </c>
      <c r="CT221" s="9">
        <v>0</v>
      </c>
      <c r="CU221" s="9">
        <v>0</v>
      </c>
      <c r="CV221" s="9">
        <v>0</v>
      </c>
      <c r="CW221" s="9">
        <v>0</v>
      </c>
      <c r="CX221" s="9">
        <v>0</v>
      </c>
      <c r="CY221" s="9">
        <v>0</v>
      </c>
      <c r="CZ221" s="9">
        <v>0</v>
      </c>
      <c r="DA221" s="9">
        <v>0</v>
      </c>
      <c r="DB221" s="9">
        <v>0</v>
      </c>
      <c r="DC221" s="9">
        <v>0</v>
      </c>
      <c r="DD221" s="9">
        <v>0</v>
      </c>
      <c r="DE221" s="9">
        <v>0</v>
      </c>
      <c r="DF221" s="9">
        <v>0</v>
      </c>
      <c r="DG221" s="9">
        <v>0</v>
      </c>
      <c r="DH221" s="9">
        <v>0</v>
      </c>
      <c r="DI221" s="9">
        <v>0</v>
      </c>
      <c r="DJ221" s="9">
        <v>0</v>
      </c>
      <c r="DK221" s="9">
        <v>0</v>
      </c>
      <c r="DL221" s="9">
        <v>0</v>
      </c>
      <c r="DM221" s="9">
        <v>0</v>
      </c>
      <c r="DN221" s="9">
        <v>0</v>
      </c>
      <c r="DO221" s="9">
        <v>0</v>
      </c>
      <c r="DP221" s="9">
        <v>0</v>
      </c>
      <c r="DQ221" s="9">
        <v>0</v>
      </c>
      <c r="DR221" s="9">
        <v>0</v>
      </c>
      <c r="DS221" s="9">
        <v>0</v>
      </c>
      <c r="DT221" s="9">
        <v>0</v>
      </c>
      <c r="DU221" s="9">
        <v>0</v>
      </c>
      <c r="DV221" s="9">
        <v>1</v>
      </c>
      <c r="DW221" s="9">
        <v>0</v>
      </c>
      <c r="DX221" s="9">
        <v>0</v>
      </c>
      <c r="DY221" s="9">
        <v>0</v>
      </c>
      <c r="DZ221" s="9">
        <v>0</v>
      </c>
      <c r="EA221" s="9">
        <v>0</v>
      </c>
      <c r="EB221" s="9">
        <v>0</v>
      </c>
      <c r="EC221" s="9">
        <v>0</v>
      </c>
      <c r="ED221" s="9">
        <v>0</v>
      </c>
      <c r="EE221" s="9">
        <v>0</v>
      </c>
      <c r="EF221" s="9">
        <v>0</v>
      </c>
      <c r="EG221" s="9">
        <v>0</v>
      </c>
      <c r="EH221" s="9">
        <v>0</v>
      </c>
      <c r="EI221" s="10">
        <v>0</v>
      </c>
    </row>
    <row r="222" spans="1:139" x14ac:dyDescent="0.35">
      <c r="A222" s="8" t="s">
        <v>342</v>
      </c>
      <c r="B222" s="9" t="s">
        <v>385</v>
      </c>
      <c r="C222" s="9" t="s">
        <v>386</v>
      </c>
      <c r="D222" s="9">
        <f t="shared" si="3"/>
        <v>70</v>
      </c>
      <c r="E222" s="9">
        <v>0</v>
      </c>
      <c r="F222" s="9">
        <v>0</v>
      </c>
      <c r="G222" s="9">
        <v>0</v>
      </c>
      <c r="H222" s="9">
        <v>0</v>
      </c>
      <c r="I222" s="9">
        <v>0</v>
      </c>
      <c r="J222" s="9">
        <v>2</v>
      </c>
      <c r="K222" s="9">
        <v>0</v>
      </c>
      <c r="L222" s="9">
        <v>2</v>
      </c>
      <c r="M222" s="9">
        <v>0</v>
      </c>
      <c r="N222" s="9">
        <v>0</v>
      </c>
      <c r="O222" s="9">
        <v>0</v>
      </c>
      <c r="P222" s="9">
        <v>2</v>
      </c>
      <c r="Q222" s="9">
        <v>0</v>
      </c>
      <c r="R222" s="9">
        <v>0</v>
      </c>
      <c r="S222" s="9">
        <v>0</v>
      </c>
      <c r="T222" s="9">
        <v>1</v>
      </c>
      <c r="U222" s="9">
        <v>3</v>
      </c>
      <c r="V222" s="9">
        <v>2</v>
      </c>
      <c r="W222" s="9">
        <v>3</v>
      </c>
      <c r="X222" s="9">
        <v>0</v>
      </c>
      <c r="Y222" s="9">
        <v>1</v>
      </c>
      <c r="Z222" s="9">
        <v>1</v>
      </c>
      <c r="AA222" s="9">
        <v>3</v>
      </c>
      <c r="AB222" s="9">
        <v>1</v>
      </c>
      <c r="AC222" s="9">
        <v>1</v>
      </c>
      <c r="AD222" s="9">
        <v>1</v>
      </c>
      <c r="AE222" s="9">
        <v>2</v>
      </c>
      <c r="AF222" s="9">
        <v>2</v>
      </c>
      <c r="AG222" s="9">
        <v>2</v>
      </c>
      <c r="AH222" s="9">
        <v>2</v>
      </c>
      <c r="AI222" s="9">
        <v>2</v>
      </c>
      <c r="AJ222" s="9">
        <v>2</v>
      </c>
      <c r="AK222" s="9">
        <v>2</v>
      </c>
      <c r="AL222" s="9">
        <v>0</v>
      </c>
      <c r="AM222" s="9">
        <v>0</v>
      </c>
      <c r="AN222" s="9">
        <v>1</v>
      </c>
      <c r="AO222" s="9">
        <v>4</v>
      </c>
      <c r="AP222" s="9">
        <v>1</v>
      </c>
      <c r="AQ222" s="9">
        <v>3</v>
      </c>
      <c r="AR222" s="9">
        <v>0</v>
      </c>
      <c r="AS222" s="9">
        <v>1</v>
      </c>
      <c r="AT222" s="9">
        <v>2</v>
      </c>
      <c r="AU222" s="9">
        <v>2</v>
      </c>
      <c r="AV222" s="9">
        <v>3</v>
      </c>
      <c r="AW222" s="9">
        <v>0</v>
      </c>
      <c r="AX222" s="9">
        <v>0</v>
      </c>
      <c r="AY222" s="9">
        <v>0</v>
      </c>
      <c r="AZ222" s="9">
        <v>0</v>
      </c>
      <c r="BA222" s="9">
        <v>0</v>
      </c>
      <c r="BB222" s="9">
        <v>0</v>
      </c>
      <c r="BC222" s="9">
        <v>0</v>
      </c>
      <c r="BD222" s="9">
        <v>0</v>
      </c>
      <c r="BE222" s="9">
        <v>0</v>
      </c>
      <c r="BF222" s="9">
        <v>0</v>
      </c>
      <c r="BG222" s="9">
        <v>0</v>
      </c>
      <c r="BH222" s="9">
        <v>1</v>
      </c>
      <c r="BI222" s="9">
        <v>1</v>
      </c>
      <c r="BJ222" s="9">
        <v>0</v>
      </c>
      <c r="BK222" s="9">
        <v>0</v>
      </c>
      <c r="BL222" s="9">
        <v>0</v>
      </c>
      <c r="BM222" s="9">
        <v>0</v>
      </c>
      <c r="BN222" s="9">
        <v>0</v>
      </c>
      <c r="BO222" s="9">
        <v>0</v>
      </c>
      <c r="BP222" s="9">
        <v>0</v>
      </c>
      <c r="BQ222" s="9">
        <v>0</v>
      </c>
      <c r="BR222" s="9">
        <v>1</v>
      </c>
      <c r="BS222" s="9">
        <v>0</v>
      </c>
      <c r="BT222" s="9">
        <v>1</v>
      </c>
      <c r="BU222" s="9">
        <v>0</v>
      </c>
      <c r="BV222" s="9">
        <v>0</v>
      </c>
      <c r="BW222" s="9">
        <v>0</v>
      </c>
      <c r="BX222" s="9">
        <v>1</v>
      </c>
      <c r="BY222" s="9">
        <v>0</v>
      </c>
      <c r="BZ222" s="9">
        <v>0</v>
      </c>
      <c r="CA222" s="9">
        <v>1</v>
      </c>
      <c r="CB222" s="9">
        <v>1</v>
      </c>
      <c r="CC222" s="9">
        <v>1</v>
      </c>
      <c r="CD222" s="9">
        <v>1</v>
      </c>
      <c r="CE222" s="9">
        <v>0</v>
      </c>
      <c r="CF222" s="9">
        <v>1</v>
      </c>
      <c r="CG222" s="9">
        <v>1</v>
      </c>
      <c r="CH222" s="9">
        <v>0</v>
      </c>
      <c r="CI222" s="9">
        <v>0</v>
      </c>
      <c r="CJ222" s="9">
        <v>1</v>
      </c>
      <c r="CK222" s="9">
        <v>0</v>
      </c>
      <c r="CL222" s="9">
        <v>0</v>
      </c>
      <c r="CM222" s="9">
        <v>0</v>
      </c>
      <c r="CN222" s="9">
        <v>0</v>
      </c>
      <c r="CO222" s="9">
        <v>0</v>
      </c>
      <c r="CP222" s="9">
        <v>1</v>
      </c>
      <c r="CQ222" s="9">
        <v>1</v>
      </c>
      <c r="CR222" s="9">
        <v>1</v>
      </c>
      <c r="CS222" s="9">
        <v>0</v>
      </c>
      <c r="CT222" s="9">
        <v>0</v>
      </c>
      <c r="CU222" s="9">
        <v>0</v>
      </c>
      <c r="CV222" s="9">
        <v>0</v>
      </c>
      <c r="CW222" s="9">
        <v>0</v>
      </c>
      <c r="CX222" s="9">
        <v>0</v>
      </c>
      <c r="CY222" s="9">
        <v>0</v>
      </c>
      <c r="CZ222" s="9">
        <v>0</v>
      </c>
      <c r="DA222" s="9">
        <v>0</v>
      </c>
      <c r="DB222" s="9">
        <v>0</v>
      </c>
      <c r="DC222" s="9">
        <v>0</v>
      </c>
      <c r="DD222" s="9">
        <v>0</v>
      </c>
      <c r="DE222" s="9">
        <v>0</v>
      </c>
      <c r="DF222" s="9">
        <v>0</v>
      </c>
      <c r="DG222" s="9">
        <v>0</v>
      </c>
      <c r="DH222" s="9">
        <v>0</v>
      </c>
      <c r="DI222" s="9">
        <v>1</v>
      </c>
      <c r="DJ222" s="9">
        <v>0</v>
      </c>
      <c r="DK222" s="9">
        <v>0</v>
      </c>
      <c r="DL222" s="9">
        <v>0</v>
      </c>
      <c r="DM222" s="9">
        <v>0</v>
      </c>
      <c r="DN222" s="9">
        <v>0</v>
      </c>
      <c r="DO222" s="9">
        <v>0</v>
      </c>
      <c r="DP222" s="9">
        <v>0</v>
      </c>
      <c r="DQ222" s="9">
        <v>0</v>
      </c>
      <c r="DR222" s="9">
        <v>0</v>
      </c>
      <c r="DS222" s="9">
        <v>0</v>
      </c>
      <c r="DT222" s="9">
        <v>0</v>
      </c>
      <c r="DU222" s="9">
        <v>0</v>
      </c>
      <c r="DV222" s="9">
        <v>0</v>
      </c>
      <c r="DW222" s="9">
        <v>0</v>
      </c>
      <c r="DX222" s="9">
        <v>0</v>
      </c>
      <c r="DY222" s="9">
        <v>0</v>
      </c>
      <c r="DZ222" s="9">
        <v>0</v>
      </c>
      <c r="EA222" s="9">
        <v>0</v>
      </c>
      <c r="EB222" s="9">
        <v>0</v>
      </c>
      <c r="EC222" s="9">
        <v>0</v>
      </c>
      <c r="ED222" s="9">
        <v>0</v>
      </c>
      <c r="EE222" s="9">
        <v>0</v>
      </c>
      <c r="EF222" s="9">
        <v>0</v>
      </c>
      <c r="EG222" s="9">
        <v>0</v>
      </c>
      <c r="EH222" s="9">
        <v>0</v>
      </c>
      <c r="EI222" s="10">
        <v>0</v>
      </c>
    </row>
    <row r="223" spans="1:139" x14ac:dyDescent="0.35">
      <c r="A223" s="8" t="s">
        <v>342</v>
      </c>
      <c r="B223" s="9" t="s">
        <v>387</v>
      </c>
      <c r="C223" s="9" t="s">
        <v>388</v>
      </c>
      <c r="D223" s="9">
        <f t="shared" si="3"/>
        <v>74</v>
      </c>
      <c r="E223" s="9">
        <v>0</v>
      </c>
      <c r="F223" s="9">
        <v>0</v>
      </c>
      <c r="G223" s="9">
        <v>0</v>
      </c>
      <c r="H223" s="9">
        <v>0</v>
      </c>
      <c r="I223" s="9">
        <v>1</v>
      </c>
      <c r="J223" s="9">
        <v>0</v>
      </c>
      <c r="K223" s="9">
        <v>0</v>
      </c>
      <c r="L223" s="9">
        <v>1</v>
      </c>
      <c r="M223" s="9">
        <v>0</v>
      </c>
      <c r="N223" s="9">
        <v>0</v>
      </c>
      <c r="O223" s="9">
        <v>0</v>
      </c>
      <c r="P223" s="9">
        <v>0</v>
      </c>
      <c r="Q223" s="9">
        <v>0</v>
      </c>
      <c r="R223" s="9">
        <v>1</v>
      </c>
      <c r="S223" s="9">
        <v>0</v>
      </c>
      <c r="T223" s="9">
        <v>0</v>
      </c>
      <c r="U223" s="9">
        <v>0</v>
      </c>
      <c r="V223" s="9">
        <v>2</v>
      </c>
      <c r="W223" s="9">
        <v>2</v>
      </c>
      <c r="X223" s="9">
        <v>3</v>
      </c>
      <c r="Y223" s="9">
        <v>1</v>
      </c>
      <c r="Z223" s="9">
        <v>0</v>
      </c>
      <c r="AA223" s="9">
        <v>2</v>
      </c>
      <c r="AB223" s="9">
        <v>2</v>
      </c>
      <c r="AC223" s="9">
        <v>1</v>
      </c>
      <c r="AD223" s="9">
        <v>2</v>
      </c>
      <c r="AE223" s="9">
        <v>2</v>
      </c>
      <c r="AF223" s="9">
        <v>1</v>
      </c>
      <c r="AG223" s="9">
        <v>0</v>
      </c>
      <c r="AH223" s="9">
        <v>2</v>
      </c>
      <c r="AI223" s="9">
        <v>1</v>
      </c>
      <c r="AJ223" s="9">
        <v>6</v>
      </c>
      <c r="AK223" s="9">
        <v>2</v>
      </c>
      <c r="AL223" s="9">
        <v>0</v>
      </c>
      <c r="AM223" s="9">
        <v>1</v>
      </c>
      <c r="AN223" s="9">
        <v>2</v>
      </c>
      <c r="AO223" s="9">
        <v>2</v>
      </c>
      <c r="AP223" s="9">
        <v>0</v>
      </c>
      <c r="AQ223" s="9">
        <v>0</v>
      </c>
      <c r="AR223" s="9">
        <v>1</v>
      </c>
      <c r="AS223" s="9">
        <v>0</v>
      </c>
      <c r="AT223" s="9">
        <v>0</v>
      </c>
      <c r="AU223" s="9">
        <v>2</v>
      </c>
      <c r="AV223" s="9">
        <v>2</v>
      </c>
      <c r="AW223" s="9">
        <v>0</v>
      </c>
      <c r="AX223" s="9">
        <v>0</v>
      </c>
      <c r="AY223" s="9">
        <v>1</v>
      </c>
      <c r="AZ223" s="9">
        <v>3</v>
      </c>
      <c r="BA223" s="9">
        <v>1</v>
      </c>
      <c r="BB223" s="9">
        <v>2</v>
      </c>
      <c r="BC223" s="9">
        <v>2</v>
      </c>
      <c r="BD223" s="9">
        <v>0</v>
      </c>
      <c r="BE223" s="9">
        <v>0</v>
      </c>
      <c r="BF223" s="9">
        <v>1</v>
      </c>
      <c r="BG223" s="9">
        <v>0</v>
      </c>
      <c r="BH223" s="9">
        <v>4</v>
      </c>
      <c r="BI223" s="9">
        <v>0</v>
      </c>
      <c r="BJ223" s="9">
        <v>0</v>
      </c>
      <c r="BK223" s="9">
        <v>2</v>
      </c>
      <c r="BL223" s="9">
        <v>3</v>
      </c>
      <c r="BM223" s="9">
        <v>4</v>
      </c>
      <c r="BN223" s="9">
        <v>1</v>
      </c>
      <c r="BO223" s="9">
        <v>0</v>
      </c>
      <c r="BP223" s="9">
        <v>0</v>
      </c>
      <c r="BQ223" s="9">
        <v>0</v>
      </c>
      <c r="BR223" s="9">
        <v>2</v>
      </c>
      <c r="BS223" s="9">
        <v>0</v>
      </c>
      <c r="BT223" s="9">
        <v>0</v>
      </c>
      <c r="BU223" s="9">
        <v>0</v>
      </c>
      <c r="BV223" s="9">
        <v>0</v>
      </c>
      <c r="BW223" s="9">
        <v>0</v>
      </c>
      <c r="BX223" s="9">
        <v>0</v>
      </c>
      <c r="BY223" s="9">
        <v>0</v>
      </c>
      <c r="BZ223" s="9">
        <v>0</v>
      </c>
      <c r="CA223" s="9">
        <v>0</v>
      </c>
      <c r="CB223" s="9">
        <v>0</v>
      </c>
      <c r="CC223" s="9">
        <v>0</v>
      </c>
      <c r="CD223" s="9">
        <v>0</v>
      </c>
      <c r="CE223" s="9">
        <v>0</v>
      </c>
      <c r="CF223" s="9">
        <v>0</v>
      </c>
      <c r="CG223" s="9">
        <v>0</v>
      </c>
      <c r="CH223" s="9">
        <v>0</v>
      </c>
      <c r="CI223" s="9">
        <v>0</v>
      </c>
      <c r="CJ223" s="9">
        <v>0</v>
      </c>
      <c r="CK223" s="9">
        <v>0</v>
      </c>
      <c r="CL223" s="9">
        <v>0</v>
      </c>
      <c r="CM223" s="9">
        <v>0</v>
      </c>
      <c r="CN223" s="9">
        <v>0</v>
      </c>
      <c r="CO223" s="9">
        <v>0</v>
      </c>
      <c r="CP223" s="9">
        <v>0</v>
      </c>
      <c r="CQ223" s="9">
        <v>0</v>
      </c>
      <c r="CR223" s="9">
        <v>0</v>
      </c>
      <c r="CS223" s="9">
        <v>0</v>
      </c>
      <c r="CT223" s="9">
        <v>0</v>
      </c>
      <c r="CU223" s="9">
        <v>0</v>
      </c>
      <c r="CV223" s="9">
        <v>0</v>
      </c>
      <c r="CW223" s="9">
        <v>0</v>
      </c>
      <c r="CX223" s="9">
        <v>0</v>
      </c>
      <c r="CY223" s="9">
        <v>0</v>
      </c>
      <c r="CZ223" s="9">
        <v>0</v>
      </c>
      <c r="DA223" s="9">
        <v>0</v>
      </c>
      <c r="DB223" s="9">
        <v>0</v>
      </c>
      <c r="DC223" s="9">
        <v>0</v>
      </c>
      <c r="DD223" s="9">
        <v>0</v>
      </c>
      <c r="DE223" s="9">
        <v>1</v>
      </c>
      <c r="DF223" s="9">
        <v>0</v>
      </c>
      <c r="DG223" s="9">
        <v>0</v>
      </c>
      <c r="DH223" s="9">
        <v>0</v>
      </c>
      <c r="DI223" s="9">
        <v>0</v>
      </c>
      <c r="DJ223" s="9">
        <v>0</v>
      </c>
      <c r="DK223" s="9">
        <v>0</v>
      </c>
      <c r="DL223" s="9">
        <v>0</v>
      </c>
      <c r="DM223" s="9">
        <v>2</v>
      </c>
      <c r="DN223" s="9">
        <v>0</v>
      </c>
      <c r="DO223" s="9">
        <v>0</v>
      </c>
      <c r="DP223" s="9">
        <v>1</v>
      </c>
      <c r="DQ223" s="9">
        <v>0</v>
      </c>
      <c r="DR223" s="9">
        <v>0</v>
      </c>
      <c r="DS223" s="9">
        <v>0</v>
      </c>
      <c r="DT223" s="9">
        <v>0</v>
      </c>
      <c r="DU223" s="9">
        <v>0</v>
      </c>
      <c r="DV223" s="9">
        <v>0</v>
      </c>
      <c r="DW223" s="9">
        <v>0</v>
      </c>
      <c r="DX223" s="9">
        <v>0</v>
      </c>
      <c r="DY223" s="9">
        <v>0</v>
      </c>
      <c r="DZ223" s="9">
        <v>1</v>
      </c>
      <c r="EA223" s="9">
        <v>0</v>
      </c>
      <c r="EB223" s="9">
        <v>0</v>
      </c>
      <c r="EC223" s="9">
        <v>0</v>
      </c>
      <c r="ED223" s="9">
        <v>0</v>
      </c>
      <c r="EE223" s="9">
        <v>0</v>
      </c>
      <c r="EF223" s="9">
        <v>1</v>
      </c>
      <c r="EG223" s="9">
        <v>0</v>
      </c>
      <c r="EH223" s="9">
        <v>0</v>
      </c>
      <c r="EI223" s="10">
        <v>0</v>
      </c>
    </row>
    <row r="224" spans="1:139" x14ac:dyDescent="0.35">
      <c r="A224" s="8" t="s">
        <v>342</v>
      </c>
      <c r="B224" s="9" t="s">
        <v>389</v>
      </c>
      <c r="C224" s="9" t="s">
        <v>390</v>
      </c>
      <c r="D224" s="9">
        <f t="shared" si="3"/>
        <v>10</v>
      </c>
      <c r="E224" s="9">
        <v>0</v>
      </c>
      <c r="F224" s="9">
        <v>0</v>
      </c>
      <c r="G224" s="9">
        <v>0</v>
      </c>
      <c r="H224" s="9">
        <v>0</v>
      </c>
      <c r="I224" s="9">
        <v>0</v>
      </c>
      <c r="J224" s="9">
        <v>0</v>
      </c>
      <c r="K224" s="9">
        <v>0</v>
      </c>
      <c r="L224" s="9">
        <v>0</v>
      </c>
      <c r="M224" s="9">
        <v>0</v>
      </c>
      <c r="N224" s="9">
        <v>0</v>
      </c>
      <c r="O224" s="9">
        <v>0</v>
      </c>
      <c r="P224" s="9">
        <v>0</v>
      </c>
      <c r="Q224" s="9">
        <v>0</v>
      </c>
      <c r="R224" s="9">
        <v>0</v>
      </c>
      <c r="S224" s="9">
        <v>0</v>
      </c>
      <c r="T224" s="9">
        <v>1</v>
      </c>
      <c r="U224" s="9">
        <v>0</v>
      </c>
      <c r="V224" s="9">
        <v>0</v>
      </c>
      <c r="W224" s="9">
        <v>0</v>
      </c>
      <c r="X224" s="9">
        <v>0</v>
      </c>
      <c r="Y224" s="9">
        <v>0</v>
      </c>
      <c r="Z224" s="9">
        <v>0</v>
      </c>
      <c r="AA224" s="9">
        <v>0</v>
      </c>
      <c r="AB224" s="9">
        <v>0</v>
      </c>
      <c r="AC224" s="9">
        <v>0</v>
      </c>
      <c r="AD224" s="9">
        <v>0</v>
      </c>
      <c r="AE224" s="9">
        <v>0</v>
      </c>
      <c r="AF224" s="9">
        <v>0</v>
      </c>
      <c r="AG224" s="9">
        <v>0</v>
      </c>
      <c r="AH224" s="9">
        <v>0</v>
      </c>
      <c r="AI224" s="9">
        <v>0</v>
      </c>
      <c r="AJ224" s="9">
        <v>0</v>
      </c>
      <c r="AK224" s="9">
        <v>0</v>
      </c>
      <c r="AL224" s="9">
        <v>0</v>
      </c>
      <c r="AM224" s="9">
        <v>2</v>
      </c>
      <c r="AN224" s="9">
        <v>0</v>
      </c>
      <c r="AO224" s="9">
        <v>0</v>
      </c>
      <c r="AP224" s="9">
        <v>0</v>
      </c>
      <c r="AQ224" s="9">
        <v>0</v>
      </c>
      <c r="AR224" s="9">
        <v>0</v>
      </c>
      <c r="AS224" s="9">
        <v>0</v>
      </c>
      <c r="AT224" s="9">
        <v>0</v>
      </c>
      <c r="AU224" s="9">
        <v>0</v>
      </c>
      <c r="AV224" s="9">
        <v>0</v>
      </c>
      <c r="AW224" s="9">
        <v>0</v>
      </c>
      <c r="AX224" s="9">
        <v>0</v>
      </c>
      <c r="AY224" s="9">
        <v>0</v>
      </c>
      <c r="AZ224" s="9">
        <v>0</v>
      </c>
      <c r="BA224" s="9">
        <v>0</v>
      </c>
      <c r="BB224" s="9">
        <v>1</v>
      </c>
      <c r="BC224" s="9">
        <v>2</v>
      </c>
      <c r="BD224" s="9">
        <v>1</v>
      </c>
      <c r="BE224" s="9">
        <v>0</v>
      </c>
      <c r="BF224" s="9">
        <v>0</v>
      </c>
      <c r="BG224" s="9">
        <v>0</v>
      </c>
      <c r="BH224" s="9">
        <v>0</v>
      </c>
      <c r="BI224" s="9">
        <v>0</v>
      </c>
      <c r="BJ224" s="9">
        <v>0</v>
      </c>
      <c r="BK224" s="9">
        <v>0</v>
      </c>
      <c r="BL224" s="9">
        <v>0</v>
      </c>
      <c r="BM224" s="9">
        <v>0</v>
      </c>
      <c r="BN224" s="9">
        <v>1</v>
      </c>
      <c r="BO224" s="9">
        <v>1</v>
      </c>
      <c r="BP224" s="9">
        <v>0</v>
      </c>
      <c r="BQ224" s="9">
        <v>0</v>
      </c>
      <c r="BR224" s="9">
        <v>0</v>
      </c>
      <c r="BS224" s="9">
        <v>0</v>
      </c>
      <c r="BT224" s="9">
        <v>0</v>
      </c>
      <c r="BU224" s="9">
        <v>0</v>
      </c>
      <c r="BV224" s="9">
        <v>0</v>
      </c>
      <c r="BW224" s="9">
        <v>0</v>
      </c>
      <c r="BX224" s="9">
        <v>0</v>
      </c>
      <c r="BY224" s="9">
        <v>0</v>
      </c>
      <c r="BZ224" s="9">
        <v>0</v>
      </c>
      <c r="CA224" s="9">
        <v>0</v>
      </c>
      <c r="CB224" s="9">
        <v>0</v>
      </c>
      <c r="CC224" s="9">
        <v>0</v>
      </c>
      <c r="CD224" s="9">
        <v>0</v>
      </c>
      <c r="CE224" s="9">
        <v>0</v>
      </c>
      <c r="CF224" s="9">
        <v>0</v>
      </c>
      <c r="CG224" s="9">
        <v>0</v>
      </c>
      <c r="CH224" s="9">
        <v>0</v>
      </c>
      <c r="CI224" s="9">
        <v>0</v>
      </c>
      <c r="CJ224" s="9">
        <v>0</v>
      </c>
      <c r="CK224" s="9">
        <v>0</v>
      </c>
      <c r="CL224" s="9">
        <v>1</v>
      </c>
      <c r="CM224" s="9">
        <v>0</v>
      </c>
      <c r="CN224" s="9">
        <v>0</v>
      </c>
      <c r="CO224" s="9">
        <v>0</v>
      </c>
      <c r="CP224" s="9">
        <v>0</v>
      </c>
      <c r="CQ224" s="9">
        <v>0</v>
      </c>
      <c r="CR224" s="9">
        <v>0</v>
      </c>
      <c r="CS224" s="9">
        <v>0</v>
      </c>
      <c r="CT224" s="9">
        <v>0</v>
      </c>
      <c r="CU224" s="9">
        <v>0</v>
      </c>
      <c r="CV224" s="9">
        <v>0</v>
      </c>
      <c r="CW224" s="9">
        <v>0</v>
      </c>
      <c r="CX224" s="9">
        <v>0</v>
      </c>
      <c r="CY224" s="9">
        <v>0</v>
      </c>
      <c r="CZ224" s="9">
        <v>0</v>
      </c>
      <c r="DA224" s="9">
        <v>0</v>
      </c>
      <c r="DB224" s="9">
        <v>0</v>
      </c>
      <c r="DC224" s="9">
        <v>0</v>
      </c>
      <c r="DD224" s="9">
        <v>0</v>
      </c>
      <c r="DE224" s="9">
        <v>0</v>
      </c>
      <c r="DF224" s="9">
        <v>0</v>
      </c>
      <c r="DG224" s="9">
        <v>0</v>
      </c>
      <c r="DH224" s="9">
        <v>0</v>
      </c>
      <c r="DI224" s="9">
        <v>0</v>
      </c>
      <c r="DJ224" s="9">
        <v>0</v>
      </c>
      <c r="DK224" s="9">
        <v>0</v>
      </c>
      <c r="DL224" s="9">
        <v>0</v>
      </c>
      <c r="DM224" s="9">
        <v>0</v>
      </c>
      <c r="DN224" s="9">
        <v>0</v>
      </c>
      <c r="DO224" s="9">
        <v>0</v>
      </c>
      <c r="DP224" s="9">
        <v>0</v>
      </c>
      <c r="DQ224" s="9">
        <v>0</v>
      </c>
      <c r="DR224" s="9">
        <v>0</v>
      </c>
      <c r="DS224" s="9">
        <v>0</v>
      </c>
      <c r="DT224" s="9">
        <v>0</v>
      </c>
      <c r="DU224" s="9">
        <v>0</v>
      </c>
      <c r="DV224" s="9">
        <v>0</v>
      </c>
      <c r="DW224" s="9">
        <v>0</v>
      </c>
      <c r="DX224" s="9">
        <v>0</v>
      </c>
      <c r="DY224" s="9">
        <v>0</v>
      </c>
      <c r="DZ224" s="9">
        <v>0</v>
      </c>
      <c r="EA224" s="9">
        <v>0</v>
      </c>
      <c r="EB224" s="9">
        <v>0</v>
      </c>
      <c r="EC224" s="9">
        <v>0</v>
      </c>
      <c r="ED224" s="9">
        <v>0</v>
      </c>
      <c r="EE224" s="9">
        <v>0</v>
      </c>
      <c r="EF224" s="9">
        <v>0</v>
      </c>
      <c r="EG224" s="9">
        <v>0</v>
      </c>
      <c r="EH224" s="9">
        <v>0</v>
      </c>
      <c r="EI224" s="10">
        <v>0</v>
      </c>
    </row>
    <row r="225" spans="1:139" x14ac:dyDescent="0.35">
      <c r="A225" s="8" t="s">
        <v>342</v>
      </c>
      <c r="B225" s="9" t="s">
        <v>391</v>
      </c>
      <c r="C225" s="9" t="s">
        <v>392</v>
      </c>
      <c r="D225" s="9">
        <f t="shared" si="3"/>
        <v>8</v>
      </c>
      <c r="E225" s="9">
        <v>0</v>
      </c>
      <c r="F225" s="9">
        <v>0</v>
      </c>
      <c r="G225" s="9">
        <v>0</v>
      </c>
      <c r="H225" s="9">
        <v>0</v>
      </c>
      <c r="I225" s="9">
        <v>0</v>
      </c>
      <c r="J225" s="9">
        <v>0</v>
      </c>
      <c r="K225" s="9">
        <v>0</v>
      </c>
      <c r="L225" s="9">
        <v>0</v>
      </c>
      <c r="M225" s="9">
        <v>0</v>
      </c>
      <c r="N225" s="9">
        <v>0</v>
      </c>
      <c r="O225" s="9">
        <v>0</v>
      </c>
      <c r="P225" s="9">
        <v>0</v>
      </c>
      <c r="Q225" s="9">
        <v>0</v>
      </c>
      <c r="R225" s="9">
        <v>0</v>
      </c>
      <c r="S225" s="9">
        <v>0</v>
      </c>
      <c r="T225" s="9">
        <v>0</v>
      </c>
      <c r="U225" s="9">
        <v>0</v>
      </c>
      <c r="V225" s="9">
        <v>0</v>
      </c>
      <c r="W225" s="9">
        <v>0</v>
      </c>
      <c r="X225" s="9">
        <v>0</v>
      </c>
      <c r="Y225" s="9">
        <v>0</v>
      </c>
      <c r="Z225" s="9">
        <v>0</v>
      </c>
      <c r="AA225" s="9">
        <v>0</v>
      </c>
      <c r="AB225" s="9">
        <v>0</v>
      </c>
      <c r="AC225" s="9">
        <v>0</v>
      </c>
      <c r="AD225" s="9">
        <v>0</v>
      </c>
      <c r="AE225" s="9">
        <v>0</v>
      </c>
      <c r="AF225" s="9">
        <v>0</v>
      </c>
      <c r="AG225" s="9">
        <v>0</v>
      </c>
      <c r="AH225" s="9">
        <v>0</v>
      </c>
      <c r="AI225" s="9">
        <v>0</v>
      </c>
      <c r="AJ225" s="9">
        <v>0</v>
      </c>
      <c r="AK225" s="9">
        <v>0</v>
      </c>
      <c r="AL225" s="9">
        <v>0</v>
      </c>
      <c r="AM225" s="9">
        <v>0</v>
      </c>
      <c r="AN225" s="9">
        <v>0</v>
      </c>
      <c r="AO225" s="9">
        <v>0</v>
      </c>
      <c r="AP225" s="9">
        <v>0</v>
      </c>
      <c r="AQ225" s="9">
        <v>0</v>
      </c>
      <c r="AR225" s="9">
        <v>0</v>
      </c>
      <c r="AS225" s="9">
        <v>0</v>
      </c>
      <c r="AT225" s="9">
        <v>0</v>
      </c>
      <c r="AU225" s="9">
        <v>0</v>
      </c>
      <c r="AV225" s="9">
        <v>0</v>
      </c>
      <c r="AW225" s="9">
        <v>0</v>
      </c>
      <c r="AX225" s="9">
        <v>0</v>
      </c>
      <c r="AY225" s="9">
        <v>0</v>
      </c>
      <c r="AZ225" s="9">
        <v>0</v>
      </c>
      <c r="BA225" s="9">
        <v>0</v>
      </c>
      <c r="BB225" s="9">
        <v>0</v>
      </c>
      <c r="BC225" s="9">
        <v>0</v>
      </c>
      <c r="BD225" s="9">
        <v>0</v>
      </c>
      <c r="BE225" s="9">
        <v>0</v>
      </c>
      <c r="BF225" s="9">
        <v>0</v>
      </c>
      <c r="BG225" s="9">
        <v>0</v>
      </c>
      <c r="BH225" s="9">
        <v>0</v>
      </c>
      <c r="BI225" s="9">
        <v>0</v>
      </c>
      <c r="BJ225" s="9">
        <v>0</v>
      </c>
      <c r="BK225" s="9">
        <v>0</v>
      </c>
      <c r="BL225" s="9">
        <v>0</v>
      </c>
      <c r="BM225" s="9">
        <v>0</v>
      </c>
      <c r="BN225" s="9">
        <v>0</v>
      </c>
      <c r="BO225" s="9">
        <v>0</v>
      </c>
      <c r="BP225" s="9">
        <v>0</v>
      </c>
      <c r="BQ225" s="9">
        <v>0</v>
      </c>
      <c r="BR225" s="9">
        <v>0</v>
      </c>
      <c r="BS225" s="9">
        <v>0</v>
      </c>
      <c r="BT225" s="9">
        <v>0</v>
      </c>
      <c r="BU225" s="9">
        <v>0</v>
      </c>
      <c r="BV225" s="9">
        <v>0</v>
      </c>
      <c r="BW225" s="9">
        <v>0</v>
      </c>
      <c r="BX225" s="9">
        <v>0</v>
      </c>
      <c r="BY225" s="9">
        <v>0</v>
      </c>
      <c r="BZ225" s="9">
        <v>0</v>
      </c>
      <c r="CA225" s="9">
        <v>0</v>
      </c>
      <c r="CB225" s="9">
        <v>0</v>
      </c>
      <c r="CC225" s="9">
        <v>0</v>
      </c>
      <c r="CD225" s="9">
        <v>0</v>
      </c>
      <c r="CE225" s="9">
        <v>0</v>
      </c>
      <c r="CF225" s="9">
        <v>0</v>
      </c>
      <c r="CG225" s="9">
        <v>0</v>
      </c>
      <c r="CH225" s="9">
        <v>0</v>
      </c>
      <c r="CI225" s="9">
        <v>1</v>
      </c>
      <c r="CJ225" s="9">
        <v>0</v>
      </c>
      <c r="CK225" s="9">
        <v>0</v>
      </c>
      <c r="CL225" s="9">
        <v>0</v>
      </c>
      <c r="CM225" s="9">
        <v>0</v>
      </c>
      <c r="CN225" s="9">
        <v>0</v>
      </c>
      <c r="CO225" s="9">
        <v>1</v>
      </c>
      <c r="CP225" s="9">
        <v>0</v>
      </c>
      <c r="CQ225" s="9">
        <v>0</v>
      </c>
      <c r="CR225" s="9">
        <v>0</v>
      </c>
      <c r="CS225" s="9">
        <v>0</v>
      </c>
      <c r="CT225" s="9">
        <v>0</v>
      </c>
      <c r="CU225" s="9">
        <v>0</v>
      </c>
      <c r="CV225" s="9">
        <v>0</v>
      </c>
      <c r="CW225" s="9">
        <v>0</v>
      </c>
      <c r="CX225" s="9">
        <v>0</v>
      </c>
      <c r="CY225" s="9">
        <v>0</v>
      </c>
      <c r="CZ225" s="9">
        <v>0</v>
      </c>
      <c r="DA225" s="9">
        <v>0</v>
      </c>
      <c r="DB225" s="9">
        <v>0</v>
      </c>
      <c r="DC225" s="9">
        <v>0</v>
      </c>
      <c r="DD225" s="9">
        <v>0</v>
      </c>
      <c r="DE225" s="9">
        <v>1</v>
      </c>
      <c r="DF225" s="9">
        <v>0</v>
      </c>
      <c r="DG225" s="9">
        <v>0</v>
      </c>
      <c r="DH225" s="9">
        <v>2</v>
      </c>
      <c r="DI225" s="9">
        <v>0</v>
      </c>
      <c r="DJ225" s="9">
        <v>0</v>
      </c>
      <c r="DK225" s="9">
        <v>0</v>
      </c>
      <c r="DL225" s="9">
        <v>0</v>
      </c>
      <c r="DM225" s="9">
        <v>0</v>
      </c>
      <c r="DN225" s="9">
        <v>0</v>
      </c>
      <c r="DO225" s="9">
        <v>0</v>
      </c>
      <c r="DP225" s="9">
        <v>0</v>
      </c>
      <c r="DQ225" s="9">
        <v>0</v>
      </c>
      <c r="DR225" s="9">
        <v>2</v>
      </c>
      <c r="DS225" s="9">
        <v>1</v>
      </c>
      <c r="DT225" s="9">
        <v>0</v>
      </c>
      <c r="DU225" s="9">
        <v>0</v>
      </c>
      <c r="DV225" s="9">
        <v>0</v>
      </c>
      <c r="DW225" s="9">
        <v>0</v>
      </c>
      <c r="DX225" s="9">
        <v>0</v>
      </c>
      <c r="DY225" s="9">
        <v>0</v>
      </c>
      <c r="DZ225" s="9">
        <v>0</v>
      </c>
      <c r="EA225" s="9">
        <v>0</v>
      </c>
      <c r="EB225" s="9">
        <v>0</v>
      </c>
      <c r="EC225" s="9">
        <v>0</v>
      </c>
      <c r="ED225" s="9">
        <v>0</v>
      </c>
      <c r="EE225" s="9">
        <v>0</v>
      </c>
      <c r="EF225" s="9">
        <v>0</v>
      </c>
      <c r="EG225" s="9">
        <v>0</v>
      </c>
      <c r="EH225" s="9">
        <v>0</v>
      </c>
      <c r="EI225" s="10">
        <v>0</v>
      </c>
    </row>
    <row r="226" spans="1:139" x14ac:dyDescent="0.35">
      <c r="A226" s="8" t="s">
        <v>342</v>
      </c>
      <c r="B226" s="9" t="s">
        <v>393</v>
      </c>
      <c r="C226" s="9" t="s">
        <v>394</v>
      </c>
      <c r="D226" s="9">
        <f t="shared" si="3"/>
        <v>21</v>
      </c>
      <c r="E226" s="9">
        <v>0</v>
      </c>
      <c r="F226" s="9">
        <v>0</v>
      </c>
      <c r="G226" s="9">
        <v>0</v>
      </c>
      <c r="H226" s="9">
        <v>0</v>
      </c>
      <c r="I226" s="9">
        <v>0</v>
      </c>
      <c r="J226" s="9">
        <v>0</v>
      </c>
      <c r="K226" s="9">
        <v>0</v>
      </c>
      <c r="L226" s="9">
        <v>0</v>
      </c>
      <c r="M226" s="9">
        <v>0</v>
      </c>
      <c r="N226" s="9">
        <v>3</v>
      </c>
      <c r="O226" s="9">
        <v>0</v>
      </c>
      <c r="P226" s="9">
        <v>0</v>
      </c>
      <c r="Q226" s="9">
        <v>0</v>
      </c>
      <c r="R226" s="9">
        <v>0</v>
      </c>
      <c r="S226" s="9">
        <v>0</v>
      </c>
      <c r="T226" s="9">
        <v>0</v>
      </c>
      <c r="U226" s="9">
        <v>0</v>
      </c>
      <c r="V226" s="9">
        <v>0</v>
      </c>
      <c r="W226" s="9">
        <v>3</v>
      </c>
      <c r="X226" s="9">
        <v>0</v>
      </c>
      <c r="Y226" s="9">
        <v>0</v>
      </c>
      <c r="Z226" s="9">
        <v>0</v>
      </c>
      <c r="AA226" s="9">
        <v>0</v>
      </c>
      <c r="AB226" s="9">
        <v>0</v>
      </c>
      <c r="AC226" s="9">
        <v>0</v>
      </c>
      <c r="AD226" s="9">
        <v>2</v>
      </c>
      <c r="AE226" s="9">
        <v>0</v>
      </c>
      <c r="AF226" s="9">
        <v>0</v>
      </c>
      <c r="AG226" s="9">
        <v>0</v>
      </c>
      <c r="AH226" s="9">
        <v>0</v>
      </c>
      <c r="AI226" s="9">
        <v>0</v>
      </c>
      <c r="AJ226" s="9">
        <v>0</v>
      </c>
      <c r="AK226" s="9">
        <v>0</v>
      </c>
      <c r="AL226" s="9">
        <v>1</v>
      </c>
      <c r="AM226" s="9">
        <v>0</v>
      </c>
      <c r="AN226" s="9">
        <v>0</v>
      </c>
      <c r="AO226" s="9">
        <v>0</v>
      </c>
      <c r="AP226" s="9">
        <v>0</v>
      </c>
      <c r="AQ226" s="9">
        <v>0</v>
      </c>
      <c r="AR226" s="9">
        <v>4</v>
      </c>
      <c r="AS226" s="9">
        <v>0</v>
      </c>
      <c r="AT226" s="9">
        <v>0</v>
      </c>
      <c r="AU226" s="9">
        <v>0</v>
      </c>
      <c r="AV226" s="9">
        <v>0</v>
      </c>
      <c r="AW226" s="9">
        <v>2</v>
      </c>
      <c r="AX226" s="9">
        <v>0</v>
      </c>
      <c r="AY226" s="9">
        <v>0</v>
      </c>
      <c r="AZ226" s="9">
        <v>0</v>
      </c>
      <c r="BA226" s="9">
        <v>0</v>
      </c>
      <c r="BB226" s="9">
        <v>0</v>
      </c>
      <c r="BC226" s="9">
        <v>0</v>
      </c>
      <c r="BD226" s="9">
        <v>0</v>
      </c>
      <c r="BE226" s="9">
        <v>0</v>
      </c>
      <c r="BF226" s="9">
        <v>0</v>
      </c>
      <c r="BG226" s="9">
        <v>0</v>
      </c>
      <c r="BH226" s="9">
        <v>0</v>
      </c>
      <c r="BI226" s="9">
        <v>0</v>
      </c>
      <c r="BJ226" s="9">
        <v>2</v>
      </c>
      <c r="BK226" s="9">
        <v>1</v>
      </c>
      <c r="BL226" s="9">
        <v>0</v>
      </c>
      <c r="BM226" s="9">
        <v>1</v>
      </c>
      <c r="BN226" s="9">
        <v>0</v>
      </c>
      <c r="BO226" s="9">
        <v>0</v>
      </c>
      <c r="BP226" s="9">
        <v>1</v>
      </c>
      <c r="BQ226" s="9">
        <v>0</v>
      </c>
      <c r="BR226" s="9">
        <v>0</v>
      </c>
      <c r="BS226" s="9">
        <v>0</v>
      </c>
      <c r="BT226" s="9">
        <v>0</v>
      </c>
      <c r="BU226" s="9">
        <v>0</v>
      </c>
      <c r="BV226" s="9">
        <v>0</v>
      </c>
      <c r="BW226" s="9">
        <v>0</v>
      </c>
      <c r="BX226" s="9">
        <v>0</v>
      </c>
      <c r="BY226" s="9">
        <v>0</v>
      </c>
      <c r="BZ226" s="9">
        <v>0</v>
      </c>
      <c r="CA226" s="9">
        <v>0</v>
      </c>
      <c r="CB226" s="9">
        <v>0</v>
      </c>
      <c r="CC226" s="9">
        <v>0</v>
      </c>
      <c r="CD226" s="9">
        <v>0</v>
      </c>
      <c r="CE226" s="9">
        <v>0</v>
      </c>
      <c r="CF226" s="9">
        <v>0</v>
      </c>
      <c r="CG226" s="9">
        <v>0</v>
      </c>
      <c r="CH226" s="9">
        <v>0</v>
      </c>
      <c r="CI226" s="9">
        <v>0</v>
      </c>
      <c r="CJ226" s="9">
        <v>0</v>
      </c>
      <c r="CK226" s="9">
        <v>0</v>
      </c>
      <c r="CL226" s="9">
        <v>0</v>
      </c>
      <c r="CM226" s="9">
        <v>0</v>
      </c>
      <c r="CN226" s="9">
        <v>0</v>
      </c>
      <c r="CO226" s="9">
        <v>0</v>
      </c>
      <c r="CP226" s="9">
        <v>0</v>
      </c>
      <c r="CQ226" s="9">
        <v>0</v>
      </c>
      <c r="CR226" s="9">
        <v>0</v>
      </c>
      <c r="CS226" s="9">
        <v>0</v>
      </c>
      <c r="CT226" s="9">
        <v>0</v>
      </c>
      <c r="CU226" s="9">
        <v>0</v>
      </c>
      <c r="CV226" s="9">
        <v>1</v>
      </c>
      <c r="CW226" s="9">
        <v>0</v>
      </c>
      <c r="CX226" s="9">
        <v>0</v>
      </c>
      <c r="CY226" s="9">
        <v>0</v>
      </c>
      <c r="CZ226" s="9">
        <v>0</v>
      </c>
      <c r="DA226" s="9">
        <v>0</v>
      </c>
      <c r="DB226" s="9">
        <v>0</v>
      </c>
      <c r="DC226" s="9">
        <v>0</v>
      </c>
      <c r="DD226" s="9">
        <v>0</v>
      </c>
      <c r="DE226" s="9">
        <v>0</v>
      </c>
      <c r="DF226" s="9">
        <v>0</v>
      </c>
      <c r="DG226" s="9">
        <v>0</v>
      </c>
      <c r="DH226" s="9">
        <v>0</v>
      </c>
      <c r="DI226" s="9">
        <v>0</v>
      </c>
      <c r="DJ226" s="9">
        <v>0</v>
      </c>
      <c r="DK226" s="9">
        <v>0</v>
      </c>
      <c r="DL226" s="9">
        <v>0</v>
      </c>
      <c r="DM226" s="9">
        <v>0</v>
      </c>
      <c r="DN226" s="9">
        <v>0</v>
      </c>
      <c r="DO226" s="9">
        <v>0</v>
      </c>
      <c r="DP226" s="9">
        <v>0</v>
      </c>
      <c r="DQ226" s="9">
        <v>0</v>
      </c>
      <c r="DR226" s="9">
        <v>0</v>
      </c>
      <c r="DS226" s="9">
        <v>0</v>
      </c>
      <c r="DT226" s="9">
        <v>0</v>
      </c>
      <c r="DU226" s="9">
        <v>0</v>
      </c>
      <c r="DV226" s="9">
        <v>0</v>
      </c>
      <c r="DW226" s="9">
        <v>0</v>
      </c>
      <c r="DX226" s="9">
        <v>0</v>
      </c>
      <c r="DY226" s="9">
        <v>0</v>
      </c>
      <c r="DZ226" s="9">
        <v>0</v>
      </c>
      <c r="EA226" s="9">
        <v>0</v>
      </c>
      <c r="EB226" s="9">
        <v>0</v>
      </c>
      <c r="EC226" s="9">
        <v>0</v>
      </c>
      <c r="ED226" s="9">
        <v>0</v>
      </c>
      <c r="EE226" s="9">
        <v>0</v>
      </c>
      <c r="EF226" s="9">
        <v>0</v>
      </c>
      <c r="EG226" s="9">
        <v>0</v>
      </c>
      <c r="EH226" s="9">
        <v>0</v>
      </c>
      <c r="EI226" s="10">
        <v>0</v>
      </c>
    </row>
    <row r="227" spans="1:139" x14ac:dyDescent="0.35">
      <c r="A227" s="8" t="s">
        <v>342</v>
      </c>
      <c r="B227" s="9" t="s">
        <v>395</v>
      </c>
      <c r="C227" s="9" t="s">
        <v>396</v>
      </c>
      <c r="D227" s="9">
        <f t="shared" si="3"/>
        <v>63</v>
      </c>
      <c r="E227" s="9">
        <v>0</v>
      </c>
      <c r="F227" s="9">
        <v>1</v>
      </c>
      <c r="G227" s="9">
        <v>1</v>
      </c>
      <c r="H227" s="9">
        <v>1</v>
      </c>
      <c r="I227" s="9">
        <v>0</v>
      </c>
      <c r="J227" s="9">
        <v>1</v>
      </c>
      <c r="K227" s="9">
        <v>1</v>
      </c>
      <c r="L227" s="9">
        <v>2</v>
      </c>
      <c r="M227" s="9">
        <v>3</v>
      </c>
      <c r="N227" s="9">
        <v>2</v>
      </c>
      <c r="O227" s="9">
        <v>0</v>
      </c>
      <c r="P227" s="9">
        <v>0</v>
      </c>
      <c r="Q227" s="9">
        <v>0</v>
      </c>
      <c r="R227" s="9">
        <v>0</v>
      </c>
      <c r="S227" s="9">
        <v>0</v>
      </c>
      <c r="T227" s="9">
        <v>1</v>
      </c>
      <c r="U227" s="9">
        <v>0</v>
      </c>
      <c r="V227" s="9">
        <v>0</v>
      </c>
      <c r="W227" s="9">
        <v>1</v>
      </c>
      <c r="X227" s="9">
        <v>1</v>
      </c>
      <c r="Y227" s="9">
        <v>0</v>
      </c>
      <c r="Z227" s="9">
        <v>1</v>
      </c>
      <c r="AA227" s="9">
        <v>0</v>
      </c>
      <c r="AB227" s="9">
        <v>1</v>
      </c>
      <c r="AC227" s="9">
        <v>2</v>
      </c>
      <c r="AD227" s="9">
        <v>4</v>
      </c>
      <c r="AE227" s="9">
        <v>0</v>
      </c>
      <c r="AF227" s="9">
        <v>0</v>
      </c>
      <c r="AG227" s="9">
        <v>0</v>
      </c>
      <c r="AH227" s="9">
        <v>0</v>
      </c>
      <c r="AI227" s="9">
        <v>0</v>
      </c>
      <c r="AJ227" s="9">
        <v>0</v>
      </c>
      <c r="AK227" s="9">
        <v>0</v>
      </c>
      <c r="AL227" s="9">
        <v>0</v>
      </c>
      <c r="AM227" s="9">
        <v>0</v>
      </c>
      <c r="AN227" s="9">
        <v>1</v>
      </c>
      <c r="AO227" s="9">
        <v>0</v>
      </c>
      <c r="AP227" s="9">
        <v>0</v>
      </c>
      <c r="AQ227" s="9">
        <v>2</v>
      </c>
      <c r="AR227" s="9">
        <v>1</v>
      </c>
      <c r="AS227" s="9">
        <v>2</v>
      </c>
      <c r="AT227" s="9">
        <v>1</v>
      </c>
      <c r="AU227" s="9">
        <v>1</v>
      </c>
      <c r="AV227" s="9">
        <v>0</v>
      </c>
      <c r="AW227" s="9">
        <v>1</v>
      </c>
      <c r="AX227" s="9">
        <v>1</v>
      </c>
      <c r="AY227" s="9">
        <v>2</v>
      </c>
      <c r="AZ227" s="9">
        <v>2</v>
      </c>
      <c r="BA227" s="9">
        <v>2</v>
      </c>
      <c r="BB227" s="9">
        <v>0</v>
      </c>
      <c r="BC227" s="9">
        <v>2</v>
      </c>
      <c r="BD227" s="9">
        <v>0</v>
      </c>
      <c r="BE227" s="9">
        <v>0</v>
      </c>
      <c r="BF227" s="9">
        <v>1</v>
      </c>
      <c r="BG227" s="9">
        <v>2</v>
      </c>
      <c r="BH227" s="9">
        <v>1</v>
      </c>
      <c r="BI227" s="9">
        <v>2</v>
      </c>
      <c r="BJ227" s="9">
        <v>1</v>
      </c>
      <c r="BK227" s="9">
        <v>0</v>
      </c>
      <c r="BL227" s="9">
        <v>0</v>
      </c>
      <c r="BM227" s="9">
        <v>0</v>
      </c>
      <c r="BN227" s="9">
        <v>1</v>
      </c>
      <c r="BO227" s="9">
        <v>0</v>
      </c>
      <c r="BP227" s="9">
        <v>2</v>
      </c>
      <c r="BQ227" s="9">
        <v>1</v>
      </c>
      <c r="BR227" s="9">
        <v>0</v>
      </c>
      <c r="BS227" s="9">
        <v>0</v>
      </c>
      <c r="BT227" s="9">
        <v>0</v>
      </c>
      <c r="BU227" s="9">
        <v>1</v>
      </c>
      <c r="BV227" s="9">
        <v>0</v>
      </c>
      <c r="BW227" s="9">
        <v>0</v>
      </c>
      <c r="BX227" s="9">
        <v>1</v>
      </c>
      <c r="BY227" s="9">
        <v>0</v>
      </c>
      <c r="BZ227" s="9">
        <v>1</v>
      </c>
      <c r="CA227" s="9">
        <v>0</v>
      </c>
      <c r="CB227" s="9">
        <v>0</v>
      </c>
      <c r="CC227" s="9">
        <v>0</v>
      </c>
      <c r="CD227" s="9">
        <v>0</v>
      </c>
      <c r="CE227" s="9">
        <v>1</v>
      </c>
      <c r="CF227" s="9">
        <v>0</v>
      </c>
      <c r="CG227" s="9">
        <v>1</v>
      </c>
      <c r="CH227" s="9">
        <v>0</v>
      </c>
      <c r="CI227" s="9">
        <v>0</v>
      </c>
      <c r="CJ227" s="9">
        <v>0</v>
      </c>
      <c r="CK227" s="9">
        <v>0</v>
      </c>
      <c r="CL227" s="9">
        <v>0</v>
      </c>
      <c r="CM227" s="9">
        <v>1</v>
      </c>
      <c r="CN227" s="9">
        <v>0</v>
      </c>
      <c r="CO227" s="9">
        <v>0</v>
      </c>
      <c r="CP227" s="9">
        <v>1</v>
      </c>
      <c r="CQ227" s="9">
        <v>0</v>
      </c>
      <c r="CR227" s="9">
        <v>0</v>
      </c>
      <c r="CS227" s="9">
        <v>0</v>
      </c>
      <c r="CT227" s="9">
        <v>0</v>
      </c>
      <c r="CU227" s="9">
        <v>0</v>
      </c>
      <c r="CV227" s="9">
        <v>0</v>
      </c>
      <c r="CW227" s="9">
        <v>1</v>
      </c>
      <c r="CX227" s="9">
        <v>0</v>
      </c>
      <c r="CY227" s="9">
        <v>0</v>
      </c>
      <c r="CZ227" s="9">
        <v>0</v>
      </c>
      <c r="DA227" s="9">
        <v>1</v>
      </c>
      <c r="DB227" s="9">
        <v>0</v>
      </c>
      <c r="DC227" s="9">
        <v>0</v>
      </c>
      <c r="DD227" s="9">
        <v>0</v>
      </c>
      <c r="DE227" s="9">
        <v>0</v>
      </c>
      <c r="DF227" s="9">
        <v>0</v>
      </c>
      <c r="DG227" s="9">
        <v>0</v>
      </c>
      <c r="DH227" s="9">
        <v>0</v>
      </c>
      <c r="DI227" s="9">
        <v>0</v>
      </c>
      <c r="DJ227" s="9">
        <v>0</v>
      </c>
      <c r="DK227" s="9">
        <v>0</v>
      </c>
      <c r="DL227" s="9">
        <v>0</v>
      </c>
      <c r="DM227" s="9">
        <v>0</v>
      </c>
      <c r="DN227" s="9">
        <v>0</v>
      </c>
      <c r="DO227" s="9">
        <v>0</v>
      </c>
      <c r="DP227" s="9">
        <v>0</v>
      </c>
      <c r="DQ227" s="9">
        <v>1</v>
      </c>
      <c r="DR227" s="9">
        <v>0</v>
      </c>
      <c r="DS227" s="9">
        <v>0</v>
      </c>
      <c r="DT227" s="9">
        <v>0</v>
      </c>
      <c r="DU227" s="9">
        <v>0</v>
      </c>
      <c r="DV227" s="9">
        <v>1</v>
      </c>
      <c r="DW227" s="9">
        <v>0</v>
      </c>
      <c r="DX227" s="9">
        <v>0</v>
      </c>
      <c r="DY227" s="9">
        <v>0</v>
      </c>
      <c r="DZ227" s="9">
        <v>0</v>
      </c>
      <c r="EA227" s="9">
        <v>0</v>
      </c>
      <c r="EB227" s="9">
        <v>0</v>
      </c>
      <c r="EC227" s="9">
        <v>0</v>
      </c>
      <c r="ED227" s="9">
        <v>0</v>
      </c>
      <c r="EE227" s="9">
        <v>0</v>
      </c>
      <c r="EF227" s="9">
        <v>0</v>
      </c>
      <c r="EG227" s="9">
        <v>0</v>
      </c>
      <c r="EH227" s="9">
        <v>0</v>
      </c>
      <c r="EI227" s="10">
        <v>0</v>
      </c>
    </row>
    <row r="228" spans="1:139" x14ac:dyDescent="0.35">
      <c r="A228" s="8" t="s">
        <v>342</v>
      </c>
      <c r="B228" s="9" t="s">
        <v>397</v>
      </c>
      <c r="C228" s="9" t="s">
        <v>398</v>
      </c>
      <c r="D228" s="9">
        <f t="shared" si="3"/>
        <v>9</v>
      </c>
      <c r="E228" s="9">
        <v>0</v>
      </c>
      <c r="F228" s="9">
        <v>0</v>
      </c>
      <c r="G228" s="9">
        <v>0</v>
      </c>
      <c r="H228" s="9">
        <v>0</v>
      </c>
      <c r="I228" s="9">
        <v>0</v>
      </c>
      <c r="J228" s="9">
        <v>0</v>
      </c>
      <c r="K228" s="9">
        <v>0</v>
      </c>
      <c r="L228" s="9">
        <v>0</v>
      </c>
      <c r="M228" s="9">
        <v>0</v>
      </c>
      <c r="N228" s="9">
        <v>0</v>
      </c>
      <c r="O228" s="9">
        <v>2</v>
      </c>
      <c r="P228" s="9">
        <v>0</v>
      </c>
      <c r="Q228" s="9">
        <v>0</v>
      </c>
      <c r="R228" s="9">
        <v>0</v>
      </c>
      <c r="S228" s="9">
        <v>0</v>
      </c>
      <c r="T228" s="9">
        <v>0</v>
      </c>
      <c r="U228" s="9">
        <v>0</v>
      </c>
      <c r="V228" s="9">
        <v>0</v>
      </c>
      <c r="W228" s="9">
        <v>0</v>
      </c>
      <c r="X228" s="9">
        <v>0</v>
      </c>
      <c r="Y228" s="9">
        <v>0</v>
      </c>
      <c r="Z228" s="9">
        <v>0</v>
      </c>
      <c r="AA228" s="9">
        <v>0</v>
      </c>
      <c r="AB228" s="9">
        <v>0</v>
      </c>
      <c r="AC228" s="9">
        <v>0</v>
      </c>
      <c r="AD228" s="9">
        <v>0</v>
      </c>
      <c r="AE228" s="9">
        <v>0</v>
      </c>
      <c r="AF228" s="9">
        <v>0</v>
      </c>
      <c r="AG228" s="9">
        <v>0</v>
      </c>
      <c r="AH228" s="9">
        <v>0</v>
      </c>
      <c r="AI228" s="9">
        <v>0</v>
      </c>
      <c r="AJ228" s="9">
        <v>0</v>
      </c>
      <c r="AK228" s="9">
        <v>0</v>
      </c>
      <c r="AL228" s="9">
        <v>0</v>
      </c>
      <c r="AM228" s="9">
        <v>0</v>
      </c>
      <c r="AN228" s="9">
        <v>0</v>
      </c>
      <c r="AO228" s="9">
        <v>0</v>
      </c>
      <c r="AP228" s="9">
        <v>0</v>
      </c>
      <c r="AQ228" s="9">
        <v>0</v>
      </c>
      <c r="AR228" s="9">
        <v>0</v>
      </c>
      <c r="AS228" s="9">
        <v>0</v>
      </c>
      <c r="AT228" s="9">
        <v>0</v>
      </c>
      <c r="AU228" s="9">
        <v>0</v>
      </c>
      <c r="AV228" s="9">
        <v>0</v>
      </c>
      <c r="AW228" s="9">
        <v>0</v>
      </c>
      <c r="AX228" s="9">
        <v>0</v>
      </c>
      <c r="AY228" s="9">
        <v>0</v>
      </c>
      <c r="AZ228" s="9">
        <v>0</v>
      </c>
      <c r="BA228" s="9">
        <v>0</v>
      </c>
      <c r="BB228" s="9">
        <v>0</v>
      </c>
      <c r="BC228" s="9">
        <v>0</v>
      </c>
      <c r="BD228" s="9">
        <v>0</v>
      </c>
      <c r="BE228" s="9">
        <v>0</v>
      </c>
      <c r="BF228" s="9">
        <v>0</v>
      </c>
      <c r="BG228" s="9">
        <v>0</v>
      </c>
      <c r="BH228" s="9">
        <v>0</v>
      </c>
      <c r="BI228" s="9">
        <v>0</v>
      </c>
      <c r="BJ228" s="9">
        <v>0</v>
      </c>
      <c r="BK228" s="9">
        <v>0</v>
      </c>
      <c r="BL228" s="9">
        <v>0</v>
      </c>
      <c r="BM228" s="9">
        <v>0</v>
      </c>
      <c r="BN228" s="9">
        <v>0</v>
      </c>
      <c r="BO228" s="9">
        <v>0</v>
      </c>
      <c r="BP228" s="9">
        <v>0</v>
      </c>
      <c r="BQ228" s="9">
        <v>0</v>
      </c>
      <c r="BR228" s="9">
        <v>0</v>
      </c>
      <c r="BS228" s="9">
        <v>0</v>
      </c>
      <c r="BT228" s="9">
        <v>0</v>
      </c>
      <c r="BU228" s="9">
        <v>0</v>
      </c>
      <c r="BV228" s="9">
        <v>0</v>
      </c>
      <c r="BW228" s="9">
        <v>0</v>
      </c>
      <c r="BX228" s="9">
        <v>0</v>
      </c>
      <c r="BY228" s="9">
        <v>0</v>
      </c>
      <c r="BZ228" s="9">
        <v>0</v>
      </c>
      <c r="CA228" s="9">
        <v>0</v>
      </c>
      <c r="CB228" s="9">
        <v>0</v>
      </c>
      <c r="CC228" s="9">
        <v>1</v>
      </c>
      <c r="CD228" s="9">
        <v>0</v>
      </c>
      <c r="CE228" s="9">
        <v>0</v>
      </c>
      <c r="CF228" s="9">
        <v>0</v>
      </c>
      <c r="CG228" s="9">
        <v>0</v>
      </c>
      <c r="CH228" s="9">
        <v>0</v>
      </c>
      <c r="CI228" s="9">
        <v>0</v>
      </c>
      <c r="CJ228" s="9">
        <v>0</v>
      </c>
      <c r="CK228" s="9">
        <v>0</v>
      </c>
      <c r="CL228" s="9">
        <v>0</v>
      </c>
      <c r="CM228" s="9">
        <v>0</v>
      </c>
      <c r="CN228" s="9">
        <v>0</v>
      </c>
      <c r="CO228" s="9">
        <v>0</v>
      </c>
      <c r="CP228" s="9">
        <v>0</v>
      </c>
      <c r="CQ228" s="9">
        <v>0</v>
      </c>
      <c r="CR228" s="9">
        <v>0</v>
      </c>
      <c r="CS228" s="9">
        <v>0</v>
      </c>
      <c r="CT228" s="9">
        <v>0</v>
      </c>
      <c r="CU228" s="9">
        <v>0</v>
      </c>
      <c r="CV228" s="9">
        <v>0</v>
      </c>
      <c r="CW228" s="9">
        <v>0</v>
      </c>
      <c r="CX228" s="9">
        <v>0</v>
      </c>
      <c r="CY228" s="9">
        <v>0</v>
      </c>
      <c r="CZ228" s="9">
        <v>0</v>
      </c>
      <c r="DA228" s="9">
        <v>0</v>
      </c>
      <c r="DB228" s="9">
        <v>0</v>
      </c>
      <c r="DC228" s="9">
        <v>0</v>
      </c>
      <c r="DD228" s="9">
        <v>0</v>
      </c>
      <c r="DE228" s="9">
        <v>0</v>
      </c>
      <c r="DF228" s="9">
        <v>2</v>
      </c>
      <c r="DG228" s="9">
        <v>0</v>
      </c>
      <c r="DH228" s="9">
        <v>0</v>
      </c>
      <c r="DI228" s="9">
        <v>2</v>
      </c>
      <c r="DJ228" s="9">
        <v>0</v>
      </c>
      <c r="DK228" s="9">
        <v>0</v>
      </c>
      <c r="DL228" s="9">
        <v>0</v>
      </c>
      <c r="DM228" s="9">
        <v>0</v>
      </c>
      <c r="DN228" s="9">
        <v>0</v>
      </c>
      <c r="DO228" s="9">
        <v>0</v>
      </c>
      <c r="DP228" s="9">
        <v>0</v>
      </c>
      <c r="DQ228" s="9">
        <v>0</v>
      </c>
      <c r="DR228" s="9">
        <v>2</v>
      </c>
      <c r="DS228" s="9">
        <v>0</v>
      </c>
      <c r="DT228" s="9">
        <v>0</v>
      </c>
      <c r="DU228" s="9">
        <v>0</v>
      </c>
      <c r="DV228" s="9">
        <v>0</v>
      </c>
      <c r="DW228" s="9">
        <v>0</v>
      </c>
      <c r="DX228" s="9">
        <v>0</v>
      </c>
      <c r="DY228" s="9">
        <v>0</v>
      </c>
      <c r="DZ228" s="9">
        <v>0</v>
      </c>
      <c r="EA228" s="9">
        <v>0</v>
      </c>
      <c r="EB228" s="9">
        <v>0</v>
      </c>
      <c r="EC228" s="9">
        <v>0</v>
      </c>
      <c r="ED228" s="9">
        <v>0</v>
      </c>
      <c r="EE228" s="9">
        <v>0</v>
      </c>
      <c r="EF228" s="9">
        <v>0</v>
      </c>
      <c r="EG228" s="9">
        <v>0</v>
      </c>
      <c r="EH228" s="9">
        <v>0</v>
      </c>
      <c r="EI228" s="10">
        <v>0</v>
      </c>
    </row>
    <row r="229" spans="1:139" x14ac:dyDescent="0.35">
      <c r="A229" s="8" t="s">
        <v>342</v>
      </c>
      <c r="B229" s="9" t="s">
        <v>399</v>
      </c>
      <c r="C229" s="9" t="s">
        <v>400</v>
      </c>
      <c r="D229" s="9">
        <f t="shared" si="3"/>
        <v>1</v>
      </c>
      <c r="E229" s="9">
        <v>0</v>
      </c>
      <c r="F229" s="9">
        <v>0</v>
      </c>
      <c r="G229" s="9">
        <v>0</v>
      </c>
      <c r="H229" s="9">
        <v>0</v>
      </c>
      <c r="I229" s="9">
        <v>0</v>
      </c>
      <c r="J229" s="9">
        <v>0</v>
      </c>
      <c r="K229" s="9">
        <v>0</v>
      </c>
      <c r="L229" s="9">
        <v>0</v>
      </c>
      <c r="M229" s="9">
        <v>0</v>
      </c>
      <c r="N229" s="9">
        <v>0</v>
      </c>
      <c r="O229" s="9">
        <v>0</v>
      </c>
      <c r="P229" s="9">
        <v>0</v>
      </c>
      <c r="Q229" s="9">
        <v>0</v>
      </c>
      <c r="R229" s="9">
        <v>0</v>
      </c>
      <c r="S229" s="9">
        <v>0</v>
      </c>
      <c r="T229" s="9">
        <v>0</v>
      </c>
      <c r="U229" s="9">
        <v>0</v>
      </c>
      <c r="V229" s="9">
        <v>0</v>
      </c>
      <c r="W229" s="9">
        <v>0</v>
      </c>
      <c r="X229" s="9">
        <v>0</v>
      </c>
      <c r="Y229" s="9">
        <v>0</v>
      </c>
      <c r="Z229" s="9">
        <v>0</v>
      </c>
      <c r="AA229" s="9">
        <v>0</v>
      </c>
      <c r="AB229" s="9">
        <v>0</v>
      </c>
      <c r="AC229" s="9">
        <v>0</v>
      </c>
      <c r="AD229" s="9">
        <v>0</v>
      </c>
      <c r="AE229" s="9">
        <v>0</v>
      </c>
      <c r="AF229" s="9">
        <v>0</v>
      </c>
      <c r="AG229" s="9">
        <v>0</v>
      </c>
      <c r="AH229" s="9">
        <v>0</v>
      </c>
      <c r="AI229" s="9">
        <v>0</v>
      </c>
      <c r="AJ229" s="9">
        <v>0</v>
      </c>
      <c r="AK229" s="9">
        <v>0</v>
      </c>
      <c r="AL229" s="9">
        <v>0</v>
      </c>
      <c r="AM229" s="9">
        <v>0</v>
      </c>
      <c r="AN229" s="9">
        <v>0</v>
      </c>
      <c r="AO229" s="9">
        <v>1</v>
      </c>
      <c r="AP229" s="9">
        <v>0</v>
      </c>
      <c r="AQ229" s="9">
        <v>0</v>
      </c>
      <c r="AR229" s="9">
        <v>0</v>
      </c>
      <c r="AS229" s="9">
        <v>0</v>
      </c>
      <c r="AT229" s="9">
        <v>0</v>
      </c>
      <c r="AU229" s="9">
        <v>0</v>
      </c>
      <c r="AV229" s="9">
        <v>0</v>
      </c>
      <c r="AW229" s="9">
        <v>0</v>
      </c>
      <c r="AX229" s="9">
        <v>0</v>
      </c>
      <c r="AY229" s="9">
        <v>0</v>
      </c>
      <c r="AZ229" s="9">
        <v>0</v>
      </c>
      <c r="BA229" s="9">
        <v>0</v>
      </c>
      <c r="BB229" s="9">
        <v>0</v>
      </c>
      <c r="BC229" s="9">
        <v>0</v>
      </c>
      <c r="BD229" s="9">
        <v>0</v>
      </c>
      <c r="BE229" s="9">
        <v>0</v>
      </c>
      <c r="BF229" s="9">
        <v>0</v>
      </c>
      <c r="BG229" s="9">
        <v>0</v>
      </c>
      <c r="BH229" s="9">
        <v>0</v>
      </c>
      <c r="BI229" s="9">
        <v>0</v>
      </c>
      <c r="BJ229" s="9">
        <v>0</v>
      </c>
      <c r="BK229" s="9">
        <v>0</v>
      </c>
      <c r="BL229" s="9">
        <v>0</v>
      </c>
      <c r="BM229" s="9">
        <v>0</v>
      </c>
      <c r="BN229" s="9">
        <v>0</v>
      </c>
      <c r="BO229" s="9">
        <v>0</v>
      </c>
      <c r="BP229" s="9">
        <v>0</v>
      </c>
      <c r="BQ229" s="9">
        <v>0</v>
      </c>
      <c r="BR229" s="9">
        <v>0</v>
      </c>
      <c r="BS229" s="9">
        <v>0</v>
      </c>
      <c r="BT229" s="9">
        <v>0</v>
      </c>
      <c r="BU229" s="9">
        <v>0</v>
      </c>
      <c r="BV229" s="9">
        <v>0</v>
      </c>
      <c r="BW229" s="9">
        <v>0</v>
      </c>
      <c r="BX229" s="9">
        <v>0</v>
      </c>
      <c r="BY229" s="9">
        <v>0</v>
      </c>
      <c r="BZ229" s="9">
        <v>0</v>
      </c>
      <c r="CA229" s="9">
        <v>0</v>
      </c>
      <c r="CB229" s="9">
        <v>0</v>
      </c>
      <c r="CC229" s="9">
        <v>0</v>
      </c>
      <c r="CD229" s="9">
        <v>0</v>
      </c>
      <c r="CE229" s="9">
        <v>0</v>
      </c>
      <c r="CF229" s="9">
        <v>0</v>
      </c>
      <c r="CG229" s="9">
        <v>0</v>
      </c>
      <c r="CH229" s="9">
        <v>0</v>
      </c>
      <c r="CI229" s="9">
        <v>0</v>
      </c>
      <c r="CJ229" s="9">
        <v>0</v>
      </c>
      <c r="CK229" s="9">
        <v>0</v>
      </c>
      <c r="CL229" s="9">
        <v>0</v>
      </c>
      <c r="CM229" s="9">
        <v>0</v>
      </c>
      <c r="CN229" s="9">
        <v>0</v>
      </c>
      <c r="CO229" s="9">
        <v>0</v>
      </c>
      <c r="CP229" s="9">
        <v>0</v>
      </c>
      <c r="CQ229" s="9">
        <v>0</v>
      </c>
      <c r="CR229" s="9">
        <v>0</v>
      </c>
      <c r="CS229" s="9">
        <v>0</v>
      </c>
      <c r="CT229" s="9">
        <v>0</v>
      </c>
      <c r="CU229" s="9">
        <v>0</v>
      </c>
      <c r="CV229" s="9">
        <v>0</v>
      </c>
      <c r="CW229" s="9">
        <v>0</v>
      </c>
      <c r="CX229" s="9">
        <v>0</v>
      </c>
      <c r="CY229" s="9">
        <v>0</v>
      </c>
      <c r="CZ229" s="9">
        <v>0</v>
      </c>
      <c r="DA229" s="9">
        <v>0</v>
      </c>
      <c r="DB229" s="9">
        <v>0</v>
      </c>
      <c r="DC229" s="9">
        <v>0</v>
      </c>
      <c r="DD229" s="9">
        <v>0</v>
      </c>
      <c r="DE229" s="9">
        <v>0</v>
      </c>
      <c r="DF229" s="9">
        <v>0</v>
      </c>
      <c r="DG229" s="9">
        <v>0</v>
      </c>
      <c r="DH229" s="9">
        <v>0</v>
      </c>
      <c r="DI229" s="9">
        <v>0</v>
      </c>
      <c r="DJ229" s="9">
        <v>0</v>
      </c>
      <c r="DK229" s="9">
        <v>0</v>
      </c>
      <c r="DL229" s="9">
        <v>0</v>
      </c>
      <c r="DM229" s="9">
        <v>0</v>
      </c>
      <c r="DN229" s="9">
        <v>0</v>
      </c>
      <c r="DO229" s="9">
        <v>0</v>
      </c>
      <c r="DP229" s="9">
        <v>0</v>
      </c>
      <c r="DQ229" s="9">
        <v>0</v>
      </c>
      <c r="DR229" s="9">
        <v>0</v>
      </c>
      <c r="DS229" s="9">
        <v>0</v>
      </c>
      <c r="DT229" s="9">
        <v>0</v>
      </c>
      <c r="DU229" s="9">
        <v>0</v>
      </c>
      <c r="DV229" s="9">
        <v>0</v>
      </c>
      <c r="DW229" s="9">
        <v>0</v>
      </c>
      <c r="DX229" s="9">
        <v>0</v>
      </c>
      <c r="DY229" s="9">
        <v>0</v>
      </c>
      <c r="DZ229" s="9">
        <v>0</v>
      </c>
      <c r="EA229" s="9">
        <v>0</v>
      </c>
      <c r="EB229" s="9">
        <v>0</v>
      </c>
      <c r="EC229" s="9">
        <v>0</v>
      </c>
      <c r="ED229" s="9">
        <v>0</v>
      </c>
      <c r="EE229" s="9">
        <v>0</v>
      </c>
      <c r="EF229" s="9">
        <v>0</v>
      </c>
      <c r="EG229" s="9">
        <v>0</v>
      </c>
      <c r="EH229" s="9">
        <v>0</v>
      </c>
      <c r="EI229" s="10">
        <v>0</v>
      </c>
    </row>
    <row r="230" spans="1:139" x14ac:dyDescent="0.35">
      <c r="A230" s="8" t="s">
        <v>342</v>
      </c>
      <c r="B230" s="9" t="s">
        <v>401</v>
      </c>
      <c r="C230" s="9" t="s">
        <v>402</v>
      </c>
      <c r="D230" s="9">
        <f t="shared" si="3"/>
        <v>221</v>
      </c>
      <c r="E230" s="9">
        <v>0</v>
      </c>
      <c r="F230" s="9">
        <v>0</v>
      </c>
      <c r="G230" s="9">
        <v>0</v>
      </c>
      <c r="H230" s="9">
        <v>0</v>
      </c>
      <c r="I230" s="9">
        <v>0</v>
      </c>
      <c r="J230" s="9">
        <v>0</v>
      </c>
      <c r="K230" s="9">
        <v>0</v>
      </c>
      <c r="L230" s="9">
        <v>0</v>
      </c>
      <c r="M230" s="9">
        <v>2</v>
      </c>
      <c r="N230" s="9">
        <v>0</v>
      </c>
      <c r="O230" s="9">
        <v>9</v>
      </c>
      <c r="P230" s="9">
        <v>6</v>
      </c>
      <c r="Q230" s="9">
        <v>0</v>
      </c>
      <c r="R230" s="9">
        <v>0</v>
      </c>
      <c r="S230" s="9">
        <v>2</v>
      </c>
      <c r="T230" s="9">
        <v>1</v>
      </c>
      <c r="U230" s="9">
        <v>0</v>
      </c>
      <c r="V230" s="9">
        <v>18</v>
      </c>
      <c r="W230" s="9">
        <v>3</v>
      </c>
      <c r="X230" s="9">
        <v>1</v>
      </c>
      <c r="Y230" s="9">
        <v>4</v>
      </c>
      <c r="Z230" s="9">
        <v>3</v>
      </c>
      <c r="AA230" s="9">
        <v>3</v>
      </c>
      <c r="AB230" s="9">
        <v>4</v>
      </c>
      <c r="AC230" s="9">
        <v>2</v>
      </c>
      <c r="AD230" s="9">
        <v>5</v>
      </c>
      <c r="AE230" s="9">
        <v>2</v>
      </c>
      <c r="AF230" s="9">
        <v>1</v>
      </c>
      <c r="AG230" s="9">
        <v>5</v>
      </c>
      <c r="AH230" s="9">
        <v>5</v>
      </c>
      <c r="AI230" s="9">
        <v>2</v>
      </c>
      <c r="AJ230" s="9">
        <v>3</v>
      </c>
      <c r="AK230" s="9">
        <v>0</v>
      </c>
      <c r="AL230" s="9">
        <v>3</v>
      </c>
      <c r="AM230" s="9">
        <v>1</v>
      </c>
      <c r="AN230" s="9">
        <v>3</v>
      </c>
      <c r="AO230" s="9">
        <v>6</v>
      </c>
      <c r="AP230" s="9">
        <v>8</v>
      </c>
      <c r="AQ230" s="9">
        <v>1</v>
      </c>
      <c r="AR230" s="9">
        <v>7</v>
      </c>
      <c r="AS230" s="9">
        <v>2</v>
      </c>
      <c r="AT230" s="9">
        <v>6</v>
      </c>
      <c r="AU230" s="9">
        <v>3</v>
      </c>
      <c r="AV230" s="9">
        <v>2</v>
      </c>
      <c r="AW230" s="9">
        <v>4</v>
      </c>
      <c r="AX230" s="9">
        <v>8</v>
      </c>
      <c r="AY230" s="9">
        <v>6</v>
      </c>
      <c r="AZ230" s="9">
        <v>0</v>
      </c>
      <c r="BA230" s="9">
        <v>3</v>
      </c>
      <c r="BB230" s="9">
        <v>3</v>
      </c>
      <c r="BC230" s="9">
        <v>4</v>
      </c>
      <c r="BD230" s="9">
        <v>3</v>
      </c>
      <c r="BE230" s="9">
        <v>2</v>
      </c>
      <c r="BF230" s="9">
        <v>2</v>
      </c>
      <c r="BG230" s="9">
        <v>3</v>
      </c>
      <c r="BH230" s="9">
        <v>4</v>
      </c>
      <c r="BI230" s="9">
        <v>1</v>
      </c>
      <c r="BJ230" s="9">
        <v>1</v>
      </c>
      <c r="BK230" s="9">
        <v>2</v>
      </c>
      <c r="BL230" s="9">
        <v>1</v>
      </c>
      <c r="BM230" s="9">
        <v>1</v>
      </c>
      <c r="BN230" s="9">
        <v>2</v>
      </c>
      <c r="BO230" s="9">
        <v>0</v>
      </c>
      <c r="BP230" s="9">
        <v>1</v>
      </c>
      <c r="BQ230" s="9">
        <v>1</v>
      </c>
      <c r="BR230" s="9">
        <v>2</v>
      </c>
      <c r="BS230" s="9">
        <v>2</v>
      </c>
      <c r="BT230" s="9">
        <v>2</v>
      </c>
      <c r="BU230" s="9">
        <v>1</v>
      </c>
      <c r="BV230" s="9">
        <v>3</v>
      </c>
      <c r="BW230" s="9">
        <v>1</v>
      </c>
      <c r="BX230" s="9">
        <v>3</v>
      </c>
      <c r="BY230" s="9">
        <v>2</v>
      </c>
      <c r="BZ230" s="9">
        <v>3</v>
      </c>
      <c r="CA230" s="9">
        <v>0</v>
      </c>
      <c r="CB230" s="9">
        <v>0</v>
      </c>
      <c r="CC230" s="9">
        <v>0</v>
      </c>
      <c r="CD230" s="9">
        <v>1</v>
      </c>
      <c r="CE230" s="9">
        <v>0</v>
      </c>
      <c r="CF230" s="9">
        <v>0</v>
      </c>
      <c r="CG230" s="9">
        <v>2</v>
      </c>
      <c r="CH230" s="9">
        <v>1</v>
      </c>
      <c r="CI230" s="9">
        <v>2</v>
      </c>
      <c r="CJ230" s="9">
        <v>0</v>
      </c>
      <c r="CK230" s="9">
        <v>1</v>
      </c>
      <c r="CL230" s="9">
        <v>1</v>
      </c>
      <c r="CM230" s="9">
        <v>0</v>
      </c>
      <c r="CN230" s="9">
        <v>1</v>
      </c>
      <c r="CO230" s="9">
        <v>0</v>
      </c>
      <c r="CP230" s="9">
        <v>1</v>
      </c>
      <c r="CQ230" s="9">
        <v>0</v>
      </c>
      <c r="CR230" s="9">
        <v>2</v>
      </c>
      <c r="CS230" s="9">
        <v>0</v>
      </c>
      <c r="CT230" s="9">
        <v>1</v>
      </c>
      <c r="CU230" s="9">
        <v>2</v>
      </c>
      <c r="CV230" s="9">
        <v>1</v>
      </c>
      <c r="CW230" s="9">
        <v>0</v>
      </c>
      <c r="CX230" s="9">
        <v>0</v>
      </c>
      <c r="CY230" s="9">
        <v>0</v>
      </c>
      <c r="CZ230" s="9">
        <v>0</v>
      </c>
      <c r="DA230" s="9">
        <v>2</v>
      </c>
      <c r="DB230" s="9">
        <v>0</v>
      </c>
      <c r="DC230" s="9">
        <v>1</v>
      </c>
      <c r="DD230" s="9">
        <v>0</v>
      </c>
      <c r="DE230" s="9">
        <v>0</v>
      </c>
      <c r="DF230" s="9">
        <v>0</v>
      </c>
      <c r="DG230" s="9">
        <v>0</v>
      </c>
      <c r="DH230" s="9">
        <v>0</v>
      </c>
      <c r="DI230" s="9">
        <v>0</v>
      </c>
      <c r="DJ230" s="9">
        <v>0</v>
      </c>
      <c r="DK230" s="9">
        <v>0</v>
      </c>
      <c r="DL230" s="9">
        <v>0</v>
      </c>
      <c r="DM230" s="9">
        <v>0</v>
      </c>
      <c r="DN230" s="9">
        <v>0</v>
      </c>
      <c r="DO230" s="9">
        <v>0</v>
      </c>
      <c r="DP230" s="9">
        <v>0</v>
      </c>
      <c r="DQ230" s="9">
        <v>1</v>
      </c>
      <c r="DR230" s="9">
        <v>2</v>
      </c>
      <c r="DS230" s="9">
        <v>1</v>
      </c>
      <c r="DT230" s="9">
        <v>0</v>
      </c>
      <c r="DU230" s="9">
        <v>1</v>
      </c>
      <c r="DV230" s="9">
        <v>0</v>
      </c>
      <c r="DW230" s="9">
        <v>0</v>
      </c>
      <c r="DX230" s="9">
        <v>1</v>
      </c>
      <c r="DY230" s="9">
        <v>1</v>
      </c>
      <c r="DZ230" s="9">
        <v>0</v>
      </c>
      <c r="EA230" s="9">
        <v>0</v>
      </c>
      <c r="EB230" s="9">
        <v>0</v>
      </c>
      <c r="EC230" s="9">
        <v>0</v>
      </c>
      <c r="ED230" s="9">
        <v>0</v>
      </c>
      <c r="EE230" s="9">
        <v>0</v>
      </c>
      <c r="EF230" s="9">
        <v>1</v>
      </c>
      <c r="EG230" s="9">
        <v>0</v>
      </c>
      <c r="EH230" s="9">
        <v>0</v>
      </c>
      <c r="EI230" s="10">
        <v>0</v>
      </c>
    </row>
    <row r="231" spans="1:139" x14ac:dyDescent="0.35">
      <c r="A231" s="8" t="s">
        <v>342</v>
      </c>
      <c r="B231" s="9" t="s">
        <v>403</v>
      </c>
      <c r="C231" s="9" t="s">
        <v>404</v>
      </c>
      <c r="D231" s="9">
        <f t="shared" si="3"/>
        <v>268</v>
      </c>
      <c r="E231" s="9">
        <v>0</v>
      </c>
      <c r="F231" s="9">
        <v>0</v>
      </c>
      <c r="G231" s="9">
        <v>0</v>
      </c>
      <c r="H231" s="9">
        <v>0</v>
      </c>
      <c r="I231" s="9">
        <v>0</v>
      </c>
      <c r="J231" s="9">
        <v>0</v>
      </c>
      <c r="K231" s="9">
        <v>0</v>
      </c>
      <c r="L231" s="9">
        <v>0</v>
      </c>
      <c r="M231" s="9">
        <v>3</v>
      </c>
      <c r="N231" s="9">
        <v>0</v>
      </c>
      <c r="O231" s="9">
        <v>3</v>
      </c>
      <c r="P231" s="9">
        <v>4</v>
      </c>
      <c r="Q231" s="9">
        <v>5</v>
      </c>
      <c r="R231" s="9">
        <v>4</v>
      </c>
      <c r="S231" s="9">
        <v>8</v>
      </c>
      <c r="T231" s="9">
        <v>4</v>
      </c>
      <c r="U231" s="9">
        <v>7</v>
      </c>
      <c r="V231" s="9">
        <v>4</v>
      </c>
      <c r="W231" s="9">
        <v>3</v>
      </c>
      <c r="X231" s="9">
        <v>1</v>
      </c>
      <c r="Y231" s="9">
        <v>3</v>
      </c>
      <c r="Z231" s="9">
        <v>7</v>
      </c>
      <c r="AA231" s="9">
        <v>4</v>
      </c>
      <c r="AB231" s="9">
        <v>6</v>
      </c>
      <c r="AC231" s="9">
        <v>3</v>
      </c>
      <c r="AD231" s="9">
        <v>1</v>
      </c>
      <c r="AE231" s="9">
        <v>5</v>
      </c>
      <c r="AF231" s="9">
        <v>1</v>
      </c>
      <c r="AG231" s="9">
        <v>5</v>
      </c>
      <c r="AH231" s="9">
        <v>3</v>
      </c>
      <c r="AI231" s="9">
        <v>2</v>
      </c>
      <c r="AJ231" s="9">
        <v>2</v>
      </c>
      <c r="AK231" s="9">
        <v>2</v>
      </c>
      <c r="AL231" s="9">
        <v>4</v>
      </c>
      <c r="AM231" s="9">
        <v>4</v>
      </c>
      <c r="AN231" s="9">
        <v>3</v>
      </c>
      <c r="AO231" s="9">
        <v>1</v>
      </c>
      <c r="AP231" s="9">
        <v>4</v>
      </c>
      <c r="AQ231" s="9">
        <v>4</v>
      </c>
      <c r="AR231" s="9">
        <v>2</v>
      </c>
      <c r="AS231" s="9">
        <v>2</v>
      </c>
      <c r="AT231" s="9">
        <v>2</v>
      </c>
      <c r="AU231" s="9">
        <v>0</v>
      </c>
      <c r="AV231" s="9">
        <v>3</v>
      </c>
      <c r="AW231" s="9">
        <v>2</v>
      </c>
      <c r="AX231" s="9">
        <v>2</v>
      </c>
      <c r="AY231" s="9">
        <v>2</v>
      </c>
      <c r="AZ231" s="9">
        <v>1</v>
      </c>
      <c r="BA231" s="9">
        <v>0</v>
      </c>
      <c r="BB231" s="9">
        <v>1</v>
      </c>
      <c r="BC231" s="9">
        <v>3</v>
      </c>
      <c r="BD231" s="9">
        <v>3</v>
      </c>
      <c r="BE231" s="9">
        <v>5</v>
      </c>
      <c r="BF231" s="9">
        <v>1</v>
      </c>
      <c r="BG231" s="9">
        <v>4</v>
      </c>
      <c r="BH231" s="9">
        <v>6</v>
      </c>
      <c r="BI231" s="9">
        <v>3</v>
      </c>
      <c r="BJ231" s="9">
        <v>4</v>
      </c>
      <c r="BK231" s="9">
        <v>6</v>
      </c>
      <c r="BL231" s="9">
        <v>6</v>
      </c>
      <c r="BM231" s="9">
        <v>2</v>
      </c>
      <c r="BN231" s="9">
        <v>3</v>
      </c>
      <c r="BO231" s="9">
        <v>2</v>
      </c>
      <c r="BP231" s="9">
        <v>3</v>
      </c>
      <c r="BQ231" s="9">
        <v>3</v>
      </c>
      <c r="BR231" s="9">
        <v>4</v>
      </c>
      <c r="BS231" s="9">
        <v>3</v>
      </c>
      <c r="BT231" s="9">
        <v>2</v>
      </c>
      <c r="BU231" s="9">
        <v>3</v>
      </c>
      <c r="BV231" s="9">
        <v>3</v>
      </c>
      <c r="BW231" s="9">
        <v>2</v>
      </c>
      <c r="BX231" s="9">
        <v>7</v>
      </c>
      <c r="BY231" s="9">
        <v>1</v>
      </c>
      <c r="BZ231" s="9">
        <v>0</v>
      </c>
      <c r="CA231" s="9">
        <v>4</v>
      </c>
      <c r="CB231" s="9">
        <v>4</v>
      </c>
      <c r="CC231" s="9">
        <v>5</v>
      </c>
      <c r="CD231" s="9">
        <v>3</v>
      </c>
      <c r="CE231" s="9">
        <v>0</v>
      </c>
      <c r="CF231" s="9">
        <v>1</v>
      </c>
      <c r="CG231" s="9">
        <v>1</v>
      </c>
      <c r="CH231" s="9">
        <v>3</v>
      </c>
      <c r="CI231" s="9">
        <v>4</v>
      </c>
      <c r="CJ231" s="9">
        <v>5</v>
      </c>
      <c r="CK231" s="9">
        <v>4</v>
      </c>
      <c r="CL231" s="9">
        <v>2</v>
      </c>
      <c r="CM231" s="9">
        <v>1</v>
      </c>
      <c r="CN231" s="9">
        <v>4</v>
      </c>
      <c r="CO231" s="9">
        <v>2</v>
      </c>
      <c r="CP231" s="9">
        <v>1</v>
      </c>
      <c r="CQ231" s="9">
        <v>1</v>
      </c>
      <c r="CR231" s="9">
        <v>1</v>
      </c>
      <c r="CS231" s="9">
        <v>2</v>
      </c>
      <c r="CT231" s="9">
        <v>0</v>
      </c>
      <c r="CU231" s="9">
        <v>2</v>
      </c>
      <c r="CV231" s="9">
        <v>0</v>
      </c>
      <c r="CW231" s="9">
        <v>2</v>
      </c>
      <c r="CX231" s="9">
        <v>0</v>
      </c>
      <c r="CY231" s="9">
        <v>1</v>
      </c>
      <c r="CZ231" s="9">
        <v>1</v>
      </c>
      <c r="DA231" s="9">
        <v>3</v>
      </c>
      <c r="DB231" s="9">
        <v>1</v>
      </c>
      <c r="DC231" s="9">
        <v>0</v>
      </c>
      <c r="DD231" s="9">
        <v>0</v>
      </c>
      <c r="DE231" s="9">
        <v>0</v>
      </c>
      <c r="DF231" s="9">
        <v>0</v>
      </c>
      <c r="DG231" s="9">
        <v>0</v>
      </c>
      <c r="DH231" s="9">
        <v>0</v>
      </c>
      <c r="DI231" s="9">
        <v>0</v>
      </c>
      <c r="DJ231" s="9">
        <v>0</v>
      </c>
      <c r="DK231" s="9">
        <v>0</v>
      </c>
      <c r="DL231" s="9">
        <v>1</v>
      </c>
      <c r="DM231" s="9">
        <v>1</v>
      </c>
      <c r="DN231" s="9">
        <v>0</v>
      </c>
      <c r="DO231" s="9">
        <v>0</v>
      </c>
      <c r="DP231" s="9">
        <v>0</v>
      </c>
      <c r="DQ231" s="9">
        <v>0</v>
      </c>
      <c r="DR231" s="9">
        <v>0</v>
      </c>
      <c r="DS231" s="9">
        <v>0</v>
      </c>
      <c r="DT231" s="9">
        <v>1</v>
      </c>
      <c r="DU231" s="9">
        <v>0</v>
      </c>
      <c r="DV231" s="9">
        <v>1</v>
      </c>
      <c r="DW231" s="9">
        <v>0</v>
      </c>
      <c r="DX231" s="9">
        <v>0</v>
      </c>
      <c r="DY231" s="9">
        <v>0</v>
      </c>
      <c r="DZ231" s="9">
        <v>0</v>
      </c>
      <c r="EA231" s="9">
        <v>0</v>
      </c>
      <c r="EB231" s="9">
        <v>0</v>
      </c>
      <c r="EC231" s="9">
        <v>0</v>
      </c>
      <c r="ED231" s="9">
        <v>0</v>
      </c>
      <c r="EE231" s="9">
        <v>0</v>
      </c>
      <c r="EF231" s="9">
        <v>0</v>
      </c>
      <c r="EG231" s="9">
        <v>0</v>
      </c>
      <c r="EH231" s="9">
        <v>0</v>
      </c>
      <c r="EI231" s="10">
        <v>0</v>
      </c>
    </row>
    <row r="232" spans="1:139" x14ac:dyDescent="0.35">
      <c r="A232" s="8" t="s">
        <v>342</v>
      </c>
      <c r="B232" s="9" t="s">
        <v>405</v>
      </c>
      <c r="C232" s="9" t="s">
        <v>406</v>
      </c>
      <c r="D232" s="9">
        <f t="shared" si="3"/>
        <v>164</v>
      </c>
      <c r="E232" s="9">
        <v>0</v>
      </c>
      <c r="F232" s="9">
        <v>0</v>
      </c>
      <c r="G232" s="9">
        <v>0</v>
      </c>
      <c r="H232" s="9">
        <v>0</v>
      </c>
      <c r="I232" s="9">
        <v>0</v>
      </c>
      <c r="J232" s="9">
        <v>0</v>
      </c>
      <c r="K232" s="9">
        <v>0</v>
      </c>
      <c r="L232" s="9">
        <v>0</v>
      </c>
      <c r="M232" s="9">
        <v>0</v>
      </c>
      <c r="N232" s="9">
        <v>0</v>
      </c>
      <c r="O232" s="9">
        <v>0</v>
      </c>
      <c r="P232" s="9">
        <v>0</v>
      </c>
      <c r="Q232" s="9">
        <v>0</v>
      </c>
      <c r="R232" s="9">
        <v>0</v>
      </c>
      <c r="S232" s="9">
        <v>0</v>
      </c>
      <c r="T232" s="9">
        <v>0</v>
      </c>
      <c r="U232" s="9">
        <v>0</v>
      </c>
      <c r="V232" s="9">
        <v>0</v>
      </c>
      <c r="W232" s="9">
        <v>0</v>
      </c>
      <c r="X232" s="9">
        <v>0</v>
      </c>
      <c r="Y232" s="9">
        <v>0</v>
      </c>
      <c r="Z232" s="9">
        <v>0</v>
      </c>
      <c r="AA232" s="9">
        <v>0</v>
      </c>
      <c r="AB232" s="9">
        <v>0</v>
      </c>
      <c r="AC232" s="9">
        <v>0</v>
      </c>
      <c r="AD232" s="9">
        <v>0</v>
      </c>
      <c r="AE232" s="9">
        <v>0</v>
      </c>
      <c r="AF232" s="9">
        <v>0</v>
      </c>
      <c r="AG232" s="9">
        <v>0</v>
      </c>
      <c r="AH232" s="9">
        <v>0</v>
      </c>
      <c r="AI232" s="9">
        <v>0</v>
      </c>
      <c r="AJ232" s="9">
        <v>0</v>
      </c>
      <c r="AK232" s="9">
        <v>0</v>
      </c>
      <c r="AL232" s="9">
        <v>0</v>
      </c>
      <c r="AM232" s="9">
        <v>0</v>
      </c>
      <c r="AN232" s="9">
        <v>0</v>
      </c>
      <c r="AO232" s="9">
        <v>0</v>
      </c>
      <c r="AP232" s="9">
        <v>0</v>
      </c>
      <c r="AQ232" s="9">
        <v>0</v>
      </c>
      <c r="AR232" s="9">
        <v>0</v>
      </c>
      <c r="AS232" s="9">
        <v>4</v>
      </c>
      <c r="AT232" s="9">
        <v>4</v>
      </c>
      <c r="AU232" s="9">
        <v>1</v>
      </c>
      <c r="AV232" s="9">
        <v>3</v>
      </c>
      <c r="AW232" s="9">
        <v>6</v>
      </c>
      <c r="AX232" s="9">
        <v>3</v>
      </c>
      <c r="AY232" s="9">
        <v>5</v>
      </c>
      <c r="AZ232" s="9">
        <v>4</v>
      </c>
      <c r="BA232" s="9">
        <v>2</v>
      </c>
      <c r="BB232" s="9">
        <v>2</v>
      </c>
      <c r="BC232" s="9">
        <v>4</v>
      </c>
      <c r="BD232" s="9">
        <v>3</v>
      </c>
      <c r="BE232" s="9">
        <v>4</v>
      </c>
      <c r="BF232" s="9">
        <v>4</v>
      </c>
      <c r="BG232" s="9">
        <v>5</v>
      </c>
      <c r="BH232" s="9">
        <v>3</v>
      </c>
      <c r="BI232" s="9">
        <v>3</v>
      </c>
      <c r="BJ232" s="9">
        <v>2</v>
      </c>
      <c r="BK232" s="9">
        <v>5</v>
      </c>
      <c r="BL232" s="9">
        <v>2</v>
      </c>
      <c r="BM232" s="9">
        <v>2</v>
      </c>
      <c r="BN232" s="9">
        <v>0</v>
      </c>
      <c r="BO232" s="9">
        <v>3</v>
      </c>
      <c r="BP232" s="9">
        <v>3</v>
      </c>
      <c r="BQ232" s="9">
        <v>1</v>
      </c>
      <c r="BR232" s="9">
        <v>2</v>
      </c>
      <c r="BS232" s="9">
        <v>4</v>
      </c>
      <c r="BT232" s="9">
        <v>4</v>
      </c>
      <c r="BU232" s="9">
        <v>0</v>
      </c>
      <c r="BV232" s="9">
        <v>3</v>
      </c>
      <c r="BW232" s="9">
        <v>3</v>
      </c>
      <c r="BX232" s="9">
        <v>1</v>
      </c>
      <c r="BY232" s="9">
        <v>1</v>
      </c>
      <c r="BZ232" s="9">
        <v>0</v>
      </c>
      <c r="CA232" s="9">
        <v>1</v>
      </c>
      <c r="CB232" s="9">
        <v>2</v>
      </c>
      <c r="CC232" s="9">
        <v>2</v>
      </c>
      <c r="CD232" s="9">
        <v>2</v>
      </c>
      <c r="CE232" s="9">
        <v>2</v>
      </c>
      <c r="CF232" s="9">
        <v>2</v>
      </c>
      <c r="CG232" s="9">
        <v>1</v>
      </c>
      <c r="CH232" s="9">
        <v>1</v>
      </c>
      <c r="CI232" s="9">
        <v>1</v>
      </c>
      <c r="CJ232" s="9">
        <v>1</v>
      </c>
      <c r="CK232" s="9">
        <v>2</v>
      </c>
      <c r="CL232" s="9">
        <v>3</v>
      </c>
      <c r="CM232" s="9">
        <v>1</v>
      </c>
      <c r="CN232" s="9">
        <v>1</v>
      </c>
      <c r="CO232" s="9">
        <v>2</v>
      </c>
      <c r="CP232" s="9">
        <v>3</v>
      </c>
      <c r="CQ232" s="9">
        <v>2</v>
      </c>
      <c r="CR232" s="9">
        <v>3</v>
      </c>
      <c r="CS232" s="9">
        <v>4</v>
      </c>
      <c r="CT232" s="9">
        <v>1</v>
      </c>
      <c r="CU232" s="9">
        <v>2</v>
      </c>
      <c r="CV232" s="9">
        <v>1</v>
      </c>
      <c r="CW232" s="9">
        <v>0</v>
      </c>
      <c r="CX232" s="9">
        <v>0</v>
      </c>
      <c r="CY232" s="9">
        <v>3</v>
      </c>
      <c r="CZ232" s="9">
        <v>4</v>
      </c>
      <c r="DA232" s="9">
        <v>2</v>
      </c>
      <c r="DB232" s="9">
        <v>3</v>
      </c>
      <c r="DC232" s="9">
        <v>2</v>
      </c>
      <c r="DD232" s="9">
        <v>1</v>
      </c>
      <c r="DE232" s="9">
        <v>2</v>
      </c>
      <c r="DF232" s="9">
        <v>0</v>
      </c>
      <c r="DG232" s="9">
        <v>1</v>
      </c>
      <c r="DH232" s="9">
        <v>0</v>
      </c>
      <c r="DI232" s="9">
        <v>1</v>
      </c>
      <c r="DJ232" s="9">
        <v>0</v>
      </c>
      <c r="DK232" s="9">
        <v>0</v>
      </c>
      <c r="DL232" s="9">
        <v>1</v>
      </c>
      <c r="DM232" s="9">
        <v>0</v>
      </c>
      <c r="DN232" s="9">
        <v>0</v>
      </c>
      <c r="DO232" s="9">
        <v>0</v>
      </c>
      <c r="DP232" s="9">
        <v>0</v>
      </c>
      <c r="DQ232" s="9">
        <v>0</v>
      </c>
      <c r="DR232" s="9">
        <v>0</v>
      </c>
      <c r="DS232" s="9">
        <v>0</v>
      </c>
      <c r="DT232" s="9">
        <v>0</v>
      </c>
      <c r="DU232" s="9">
        <v>0</v>
      </c>
      <c r="DV232" s="9">
        <v>0</v>
      </c>
      <c r="DW232" s="9">
        <v>0</v>
      </c>
      <c r="DX232" s="9">
        <v>1</v>
      </c>
      <c r="DY232" s="9">
        <v>0</v>
      </c>
      <c r="DZ232" s="9">
        <v>0</v>
      </c>
      <c r="EA232" s="9">
        <v>0</v>
      </c>
      <c r="EB232" s="9">
        <v>0</v>
      </c>
      <c r="EC232" s="9">
        <v>1</v>
      </c>
      <c r="ED232" s="9">
        <v>2</v>
      </c>
      <c r="EE232" s="9">
        <v>3</v>
      </c>
      <c r="EF232" s="9">
        <v>0</v>
      </c>
      <c r="EG232" s="9">
        <v>0</v>
      </c>
      <c r="EH232" s="9">
        <v>0</v>
      </c>
      <c r="EI232" s="10">
        <v>1</v>
      </c>
    </row>
    <row r="233" spans="1:139" x14ac:dyDescent="0.35">
      <c r="A233" s="8" t="s">
        <v>342</v>
      </c>
      <c r="B233" s="9" t="s">
        <v>407</v>
      </c>
      <c r="C233" s="9" t="s">
        <v>408</v>
      </c>
      <c r="D233" s="9">
        <f t="shared" si="3"/>
        <v>13</v>
      </c>
      <c r="E233" s="9">
        <v>0</v>
      </c>
      <c r="F233" s="9">
        <v>0</v>
      </c>
      <c r="G233" s="9">
        <v>0</v>
      </c>
      <c r="H233" s="9">
        <v>0</v>
      </c>
      <c r="I233" s="9">
        <v>0</v>
      </c>
      <c r="J233" s="9">
        <v>0</v>
      </c>
      <c r="K233" s="9">
        <v>0</v>
      </c>
      <c r="L233" s="9">
        <v>0</v>
      </c>
      <c r="M233" s="9">
        <v>0</v>
      </c>
      <c r="N233" s="9">
        <v>0</v>
      </c>
      <c r="O233" s="9">
        <v>0</v>
      </c>
      <c r="P233" s="9">
        <v>0</v>
      </c>
      <c r="Q233" s="9">
        <v>0</v>
      </c>
      <c r="R233" s="9">
        <v>0</v>
      </c>
      <c r="S233" s="9">
        <v>0</v>
      </c>
      <c r="T233" s="9">
        <v>0</v>
      </c>
      <c r="U233" s="9">
        <v>0</v>
      </c>
      <c r="V233" s="9">
        <v>0</v>
      </c>
      <c r="W233" s="9">
        <v>0</v>
      </c>
      <c r="X233" s="9">
        <v>0</v>
      </c>
      <c r="Y233" s="9">
        <v>0</v>
      </c>
      <c r="Z233" s="9">
        <v>0</v>
      </c>
      <c r="AA233" s="9">
        <v>0</v>
      </c>
      <c r="AB233" s="9">
        <v>0</v>
      </c>
      <c r="AC233" s="9">
        <v>0</v>
      </c>
      <c r="AD233" s="9">
        <v>0</v>
      </c>
      <c r="AE233" s="9">
        <v>0</v>
      </c>
      <c r="AF233" s="9">
        <v>0</v>
      </c>
      <c r="AG233" s="9">
        <v>0</v>
      </c>
      <c r="AH233" s="9">
        <v>0</v>
      </c>
      <c r="AI233" s="9">
        <v>0</v>
      </c>
      <c r="AJ233" s="9">
        <v>0</v>
      </c>
      <c r="AK233" s="9">
        <v>0</v>
      </c>
      <c r="AL233" s="9">
        <v>0</v>
      </c>
      <c r="AM233" s="9">
        <v>0</v>
      </c>
      <c r="AN233" s="9">
        <v>1</v>
      </c>
      <c r="AO233" s="9">
        <v>0</v>
      </c>
      <c r="AP233" s="9">
        <v>1</v>
      </c>
      <c r="AQ233" s="9">
        <v>1</v>
      </c>
      <c r="AR233" s="9">
        <v>0</v>
      </c>
      <c r="AS233" s="9">
        <v>1</v>
      </c>
      <c r="AT233" s="9">
        <v>2</v>
      </c>
      <c r="AU233" s="9">
        <v>0</v>
      </c>
      <c r="AV233" s="9">
        <v>0</v>
      </c>
      <c r="AW233" s="9">
        <v>0</v>
      </c>
      <c r="AX233" s="9">
        <v>0</v>
      </c>
      <c r="AY233" s="9">
        <v>0</v>
      </c>
      <c r="AZ233" s="9">
        <v>1</v>
      </c>
      <c r="BA233" s="9">
        <v>0</v>
      </c>
      <c r="BB233" s="9">
        <v>0</v>
      </c>
      <c r="BC233" s="9">
        <v>1</v>
      </c>
      <c r="BD233" s="9">
        <v>0</v>
      </c>
      <c r="BE233" s="9">
        <v>0</v>
      </c>
      <c r="BF233" s="9">
        <v>0</v>
      </c>
      <c r="BG233" s="9">
        <v>0</v>
      </c>
      <c r="BH233" s="9">
        <v>1</v>
      </c>
      <c r="BI233" s="9">
        <v>0</v>
      </c>
      <c r="BJ233" s="9">
        <v>0</v>
      </c>
      <c r="BK233" s="9">
        <v>0</v>
      </c>
      <c r="BL233" s="9">
        <v>0</v>
      </c>
      <c r="BM233" s="9">
        <v>0</v>
      </c>
      <c r="BN233" s="9">
        <v>0</v>
      </c>
      <c r="BO233" s="9">
        <v>0</v>
      </c>
      <c r="BP233" s="9">
        <v>0</v>
      </c>
      <c r="BQ233" s="9">
        <v>0</v>
      </c>
      <c r="BR233" s="9">
        <v>0</v>
      </c>
      <c r="BS233" s="9">
        <v>0</v>
      </c>
      <c r="BT233" s="9">
        <v>0</v>
      </c>
      <c r="BU233" s="9">
        <v>0</v>
      </c>
      <c r="BV233" s="9">
        <v>0</v>
      </c>
      <c r="BW233" s="9">
        <v>0</v>
      </c>
      <c r="BX233" s="9">
        <v>0</v>
      </c>
      <c r="BY233" s="9">
        <v>0</v>
      </c>
      <c r="BZ233" s="9">
        <v>0</v>
      </c>
      <c r="CA233" s="9">
        <v>0</v>
      </c>
      <c r="CB233" s="9">
        <v>0</v>
      </c>
      <c r="CC233" s="9">
        <v>0</v>
      </c>
      <c r="CD233" s="9">
        <v>0</v>
      </c>
      <c r="CE233" s="9">
        <v>0</v>
      </c>
      <c r="CF233" s="9">
        <v>0</v>
      </c>
      <c r="CG233" s="9">
        <v>0</v>
      </c>
      <c r="CH233" s="9">
        <v>0</v>
      </c>
      <c r="CI233" s="9">
        <v>0</v>
      </c>
      <c r="CJ233" s="9">
        <v>0</v>
      </c>
      <c r="CK233" s="9">
        <v>0</v>
      </c>
      <c r="CL233" s="9">
        <v>0</v>
      </c>
      <c r="CM233" s="9">
        <v>0</v>
      </c>
      <c r="CN233" s="9">
        <v>0</v>
      </c>
      <c r="CO233" s="9">
        <v>0</v>
      </c>
      <c r="CP233" s="9">
        <v>0</v>
      </c>
      <c r="CQ233" s="9">
        <v>0</v>
      </c>
      <c r="CR233" s="9">
        <v>0</v>
      </c>
      <c r="CS233" s="9">
        <v>0</v>
      </c>
      <c r="CT233" s="9">
        <v>0</v>
      </c>
      <c r="CU233" s="9">
        <v>0</v>
      </c>
      <c r="CV233" s="9">
        <v>0</v>
      </c>
      <c r="CW233" s="9">
        <v>0</v>
      </c>
      <c r="CX233" s="9">
        <v>0</v>
      </c>
      <c r="CY233" s="9">
        <v>0</v>
      </c>
      <c r="CZ233" s="9">
        <v>0</v>
      </c>
      <c r="DA233" s="9">
        <v>0</v>
      </c>
      <c r="DB233" s="9">
        <v>0</v>
      </c>
      <c r="DC233" s="9">
        <v>0</v>
      </c>
      <c r="DD233" s="9">
        <v>0</v>
      </c>
      <c r="DE233" s="9">
        <v>0</v>
      </c>
      <c r="DF233" s="9">
        <v>0</v>
      </c>
      <c r="DG233" s="9">
        <v>0</v>
      </c>
      <c r="DH233" s="9">
        <v>0</v>
      </c>
      <c r="DI233" s="9">
        <v>0</v>
      </c>
      <c r="DJ233" s="9">
        <v>0</v>
      </c>
      <c r="DK233" s="9">
        <v>1</v>
      </c>
      <c r="DL233" s="9">
        <v>1</v>
      </c>
      <c r="DM233" s="9">
        <v>0</v>
      </c>
      <c r="DN233" s="9">
        <v>0</v>
      </c>
      <c r="DO233" s="9">
        <v>0</v>
      </c>
      <c r="DP233" s="9">
        <v>0</v>
      </c>
      <c r="DQ233" s="9">
        <v>0</v>
      </c>
      <c r="DR233" s="9">
        <v>0</v>
      </c>
      <c r="DS233" s="9">
        <v>0</v>
      </c>
      <c r="DT233" s="9">
        <v>0</v>
      </c>
      <c r="DU233" s="9">
        <v>0</v>
      </c>
      <c r="DV233" s="9">
        <v>0</v>
      </c>
      <c r="DW233" s="9">
        <v>0</v>
      </c>
      <c r="DX233" s="9">
        <v>1</v>
      </c>
      <c r="DY233" s="9">
        <v>0</v>
      </c>
      <c r="DZ233" s="9">
        <v>0</v>
      </c>
      <c r="EA233" s="9">
        <v>0</v>
      </c>
      <c r="EB233" s="9">
        <v>0</v>
      </c>
      <c r="EC233" s="9">
        <v>0</v>
      </c>
      <c r="ED233" s="9">
        <v>0</v>
      </c>
      <c r="EE233" s="9">
        <v>1</v>
      </c>
      <c r="EF233" s="9">
        <v>0</v>
      </c>
      <c r="EG233" s="9">
        <v>0</v>
      </c>
      <c r="EH233" s="9">
        <v>0</v>
      </c>
      <c r="EI233" s="10">
        <v>0</v>
      </c>
    </row>
    <row r="234" spans="1:139" x14ac:dyDescent="0.35">
      <c r="A234" s="8" t="s">
        <v>342</v>
      </c>
      <c r="B234" s="9" t="s">
        <v>409</v>
      </c>
      <c r="C234" s="9" t="s">
        <v>410</v>
      </c>
      <c r="D234" s="9">
        <f t="shared" si="3"/>
        <v>0</v>
      </c>
      <c r="E234" s="9">
        <v>0</v>
      </c>
      <c r="F234" s="9">
        <v>0</v>
      </c>
      <c r="G234" s="9">
        <v>0</v>
      </c>
      <c r="H234" s="9">
        <v>0</v>
      </c>
      <c r="I234" s="9">
        <v>0</v>
      </c>
      <c r="J234" s="9">
        <v>0</v>
      </c>
      <c r="K234" s="9">
        <v>0</v>
      </c>
      <c r="L234" s="9">
        <v>0</v>
      </c>
      <c r="M234" s="9">
        <v>0</v>
      </c>
      <c r="N234" s="9">
        <v>0</v>
      </c>
      <c r="O234" s="9">
        <v>0</v>
      </c>
      <c r="P234" s="9">
        <v>0</v>
      </c>
      <c r="Q234" s="9">
        <v>0</v>
      </c>
      <c r="R234" s="9">
        <v>0</v>
      </c>
      <c r="S234" s="9">
        <v>0</v>
      </c>
      <c r="T234" s="9">
        <v>0</v>
      </c>
      <c r="U234" s="9">
        <v>0</v>
      </c>
      <c r="V234" s="9">
        <v>0</v>
      </c>
      <c r="W234" s="9">
        <v>0</v>
      </c>
      <c r="X234" s="9">
        <v>0</v>
      </c>
      <c r="Y234" s="9">
        <v>0</v>
      </c>
      <c r="Z234" s="9">
        <v>0</v>
      </c>
      <c r="AA234" s="9">
        <v>0</v>
      </c>
      <c r="AB234" s="9">
        <v>0</v>
      </c>
      <c r="AC234" s="9">
        <v>0</v>
      </c>
      <c r="AD234" s="9">
        <v>0</v>
      </c>
      <c r="AE234" s="9">
        <v>0</v>
      </c>
      <c r="AF234" s="9">
        <v>0</v>
      </c>
      <c r="AG234" s="9">
        <v>0</v>
      </c>
      <c r="AH234" s="9">
        <v>0</v>
      </c>
      <c r="AI234" s="9">
        <v>0</v>
      </c>
      <c r="AJ234" s="9">
        <v>0</v>
      </c>
      <c r="AK234" s="9">
        <v>0</v>
      </c>
      <c r="AL234" s="9">
        <v>0</v>
      </c>
      <c r="AM234" s="9">
        <v>0</v>
      </c>
      <c r="AN234" s="9">
        <v>0</v>
      </c>
      <c r="AO234" s="9">
        <v>0</v>
      </c>
      <c r="AP234" s="9">
        <v>0</v>
      </c>
      <c r="AQ234" s="9">
        <v>0</v>
      </c>
      <c r="AR234" s="9">
        <v>0</v>
      </c>
      <c r="AS234" s="9">
        <v>0</v>
      </c>
      <c r="AT234" s="9">
        <v>0</v>
      </c>
      <c r="AU234" s="9">
        <v>0</v>
      </c>
      <c r="AV234" s="9">
        <v>0</v>
      </c>
      <c r="AW234" s="9">
        <v>0</v>
      </c>
      <c r="AX234" s="9">
        <v>0</v>
      </c>
      <c r="AY234" s="9">
        <v>0</v>
      </c>
      <c r="AZ234" s="9">
        <v>0</v>
      </c>
      <c r="BA234" s="9">
        <v>0</v>
      </c>
      <c r="BB234" s="9">
        <v>0</v>
      </c>
      <c r="BC234" s="9">
        <v>0</v>
      </c>
      <c r="BD234" s="9">
        <v>0</v>
      </c>
      <c r="BE234" s="9">
        <v>0</v>
      </c>
      <c r="BF234" s="9">
        <v>0</v>
      </c>
      <c r="BG234" s="9">
        <v>0</v>
      </c>
      <c r="BH234" s="9">
        <v>0</v>
      </c>
      <c r="BI234" s="9">
        <v>0</v>
      </c>
      <c r="BJ234" s="9">
        <v>0</v>
      </c>
      <c r="BK234" s="9">
        <v>0</v>
      </c>
      <c r="BL234" s="9">
        <v>0</v>
      </c>
      <c r="BM234" s="9">
        <v>0</v>
      </c>
      <c r="BN234" s="9">
        <v>0</v>
      </c>
      <c r="BO234" s="9">
        <v>0</v>
      </c>
      <c r="BP234" s="9">
        <v>0</v>
      </c>
      <c r="BQ234" s="9">
        <v>0</v>
      </c>
      <c r="BR234" s="9">
        <v>0</v>
      </c>
      <c r="BS234" s="9">
        <v>0</v>
      </c>
      <c r="BT234" s="9">
        <v>0</v>
      </c>
      <c r="BU234" s="9">
        <v>0</v>
      </c>
      <c r="BV234" s="9">
        <v>0</v>
      </c>
      <c r="BW234" s="9">
        <v>0</v>
      </c>
      <c r="BX234" s="9">
        <v>0</v>
      </c>
      <c r="BY234" s="9">
        <v>0</v>
      </c>
      <c r="BZ234" s="9">
        <v>0</v>
      </c>
      <c r="CA234" s="9">
        <v>0</v>
      </c>
      <c r="CB234" s="9">
        <v>0</v>
      </c>
      <c r="CC234" s="9">
        <v>0</v>
      </c>
      <c r="CD234" s="9">
        <v>0</v>
      </c>
      <c r="CE234" s="9">
        <v>0</v>
      </c>
      <c r="CF234" s="9">
        <v>0</v>
      </c>
      <c r="CG234" s="9">
        <v>0</v>
      </c>
      <c r="CH234" s="9">
        <v>0</v>
      </c>
      <c r="CI234" s="9">
        <v>0</v>
      </c>
      <c r="CJ234" s="9">
        <v>0</v>
      </c>
      <c r="CK234" s="9">
        <v>0</v>
      </c>
      <c r="CL234" s="9">
        <v>0</v>
      </c>
      <c r="CM234" s="9">
        <v>0</v>
      </c>
      <c r="CN234" s="9">
        <v>0</v>
      </c>
      <c r="CO234" s="9">
        <v>0</v>
      </c>
      <c r="CP234" s="9">
        <v>0</v>
      </c>
      <c r="CQ234" s="9">
        <v>0</v>
      </c>
      <c r="CR234" s="9">
        <v>0</v>
      </c>
      <c r="CS234" s="9">
        <v>0</v>
      </c>
      <c r="CT234" s="9">
        <v>0</v>
      </c>
      <c r="CU234" s="9">
        <v>0</v>
      </c>
      <c r="CV234" s="9">
        <v>0</v>
      </c>
      <c r="CW234" s="9">
        <v>0</v>
      </c>
      <c r="CX234" s="9">
        <v>0</v>
      </c>
      <c r="CY234" s="9">
        <v>0</v>
      </c>
      <c r="CZ234" s="9">
        <v>0</v>
      </c>
      <c r="DA234" s="9">
        <v>0</v>
      </c>
      <c r="DB234" s="9">
        <v>0</v>
      </c>
      <c r="DC234" s="9">
        <v>0</v>
      </c>
      <c r="DD234" s="9">
        <v>0</v>
      </c>
      <c r="DE234" s="9">
        <v>0</v>
      </c>
      <c r="DF234" s="9">
        <v>0</v>
      </c>
      <c r="DG234" s="9">
        <v>0</v>
      </c>
      <c r="DH234" s="9">
        <v>0</v>
      </c>
      <c r="DI234" s="9">
        <v>0</v>
      </c>
      <c r="DJ234" s="9">
        <v>0</v>
      </c>
      <c r="DK234" s="9">
        <v>0</v>
      </c>
      <c r="DL234" s="9">
        <v>0</v>
      </c>
      <c r="DM234" s="9">
        <v>0</v>
      </c>
      <c r="DN234" s="9">
        <v>0</v>
      </c>
      <c r="DO234" s="9">
        <v>0</v>
      </c>
      <c r="DP234" s="9">
        <v>0</v>
      </c>
      <c r="DQ234" s="9">
        <v>0</v>
      </c>
      <c r="DR234" s="9">
        <v>0</v>
      </c>
      <c r="DS234" s="9">
        <v>0</v>
      </c>
      <c r="DT234" s="9">
        <v>0</v>
      </c>
      <c r="DU234" s="9">
        <v>0</v>
      </c>
      <c r="DV234" s="9">
        <v>0</v>
      </c>
      <c r="DW234" s="9">
        <v>0</v>
      </c>
      <c r="DX234" s="9">
        <v>0</v>
      </c>
      <c r="DY234" s="9">
        <v>0</v>
      </c>
      <c r="DZ234" s="9">
        <v>0</v>
      </c>
      <c r="EA234" s="9">
        <v>0</v>
      </c>
      <c r="EB234" s="9">
        <v>0</v>
      </c>
      <c r="EC234" s="9">
        <v>0</v>
      </c>
      <c r="ED234" s="9">
        <v>0</v>
      </c>
      <c r="EE234" s="9">
        <v>0</v>
      </c>
      <c r="EF234" s="9">
        <v>0</v>
      </c>
      <c r="EG234" s="9">
        <v>0</v>
      </c>
      <c r="EH234" s="9">
        <v>0</v>
      </c>
      <c r="EI234" s="10">
        <v>0</v>
      </c>
    </row>
    <row r="235" spans="1:139" x14ac:dyDescent="0.35">
      <c r="A235" s="8" t="s">
        <v>342</v>
      </c>
      <c r="B235" s="9" t="s">
        <v>411</v>
      </c>
      <c r="C235" s="9" t="s">
        <v>412</v>
      </c>
      <c r="D235" s="9">
        <f t="shared" si="3"/>
        <v>0</v>
      </c>
      <c r="E235" s="9">
        <v>0</v>
      </c>
      <c r="F235" s="9">
        <v>0</v>
      </c>
      <c r="G235" s="9">
        <v>0</v>
      </c>
      <c r="H235" s="9">
        <v>0</v>
      </c>
      <c r="I235" s="9">
        <v>0</v>
      </c>
      <c r="J235" s="9">
        <v>0</v>
      </c>
      <c r="K235" s="9">
        <v>0</v>
      </c>
      <c r="L235" s="9">
        <v>0</v>
      </c>
      <c r="M235" s="9">
        <v>0</v>
      </c>
      <c r="N235" s="9">
        <v>0</v>
      </c>
      <c r="O235" s="9">
        <v>0</v>
      </c>
      <c r="P235" s="9">
        <v>0</v>
      </c>
      <c r="Q235" s="9">
        <v>0</v>
      </c>
      <c r="R235" s="9">
        <v>0</v>
      </c>
      <c r="S235" s="9">
        <v>0</v>
      </c>
      <c r="T235" s="9">
        <v>0</v>
      </c>
      <c r="U235" s="9">
        <v>0</v>
      </c>
      <c r="V235" s="9">
        <v>0</v>
      </c>
      <c r="W235" s="9">
        <v>0</v>
      </c>
      <c r="X235" s="9">
        <v>0</v>
      </c>
      <c r="Y235" s="9">
        <v>0</v>
      </c>
      <c r="Z235" s="9">
        <v>0</v>
      </c>
      <c r="AA235" s="9">
        <v>0</v>
      </c>
      <c r="AB235" s="9">
        <v>0</v>
      </c>
      <c r="AC235" s="9">
        <v>0</v>
      </c>
      <c r="AD235" s="9">
        <v>0</v>
      </c>
      <c r="AE235" s="9">
        <v>0</v>
      </c>
      <c r="AF235" s="9">
        <v>0</v>
      </c>
      <c r="AG235" s="9">
        <v>0</v>
      </c>
      <c r="AH235" s="9">
        <v>0</v>
      </c>
      <c r="AI235" s="9">
        <v>0</v>
      </c>
      <c r="AJ235" s="9">
        <v>0</v>
      </c>
      <c r="AK235" s="9">
        <v>0</v>
      </c>
      <c r="AL235" s="9">
        <v>0</v>
      </c>
      <c r="AM235" s="9">
        <v>0</v>
      </c>
      <c r="AN235" s="9">
        <v>0</v>
      </c>
      <c r="AO235" s="9">
        <v>0</v>
      </c>
      <c r="AP235" s="9">
        <v>0</v>
      </c>
      <c r="AQ235" s="9">
        <v>0</v>
      </c>
      <c r="AR235" s="9">
        <v>0</v>
      </c>
      <c r="AS235" s="9">
        <v>0</v>
      </c>
      <c r="AT235" s="9">
        <v>0</v>
      </c>
      <c r="AU235" s="9">
        <v>0</v>
      </c>
      <c r="AV235" s="9">
        <v>0</v>
      </c>
      <c r="AW235" s="9">
        <v>0</v>
      </c>
      <c r="AX235" s="9">
        <v>0</v>
      </c>
      <c r="AY235" s="9">
        <v>0</v>
      </c>
      <c r="AZ235" s="9">
        <v>0</v>
      </c>
      <c r="BA235" s="9">
        <v>0</v>
      </c>
      <c r="BB235" s="9">
        <v>0</v>
      </c>
      <c r="BC235" s="9">
        <v>0</v>
      </c>
      <c r="BD235" s="9">
        <v>0</v>
      </c>
      <c r="BE235" s="9">
        <v>0</v>
      </c>
      <c r="BF235" s="9">
        <v>0</v>
      </c>
      <c r="BG235" s="9">
        <v>0</v>
      </c>
      <c r="BH235" s="9">
        <v>0</v>
      </c>
      <c r="BI235" s="9">
        <v>0</v>
      </c>
      <c r="BJ235" s="9">
        <v>0</v>
      </c>
      <c r="BK235" s="9">
        <v>0</v>
      </c>
      <c r="BL235" s="9">
        <v>0</v>
      </c>
      <c r="BM235" s="9">
        <v>0</v>
      </c>
      <c r="BN235" s="9">
        <v>0</v>
      </c>
      <c r="BO235" s="9">
        <v>0</v>
      </c>
      <c r="BP235" s="9">
        <v>0</v>
      </c>
      <c r="BQ235" s="9">
        <v>0</v>
      </c>
      <c r="BR235" s="9">
        <v>0</v>
      </c>
      <c r="BS235" s="9">
        <v>0</v>
      </c>
      <c r="BT235" s="9">
        <v>0</v>
      </c>
      <c r="BU235" s="9">
        <v>0</v>
      </c>
      <c r="BV235" s="9">
        <v>0</v>
      </c>
      <c r="BW235" s="9">
        <v>0</v>
      </c>
      <c r="BX235" s="9">
        <v>0</v>
      </c>
      <c r="BY235" s="9">
        <v>0</v>
      </c>
      <c r="BZ235" s="9">
        <v>0</v>
      </c>
      <c r="CA235" s="9">
        <v>0</v>
      </c>
      <c r="CB235" s="9">
        <v>0</v>
      </c>
      <c r="CC235" s="9">
        <v>0</v>
      </c>
      <c r="CD235" s="9">
        <v>0</v>
      </c>
      <c r="CE235" s="9">
        <v>0</v>
      </c>
      <c r="CF235" s="9">
        <v>0</v>
      </c>
      <c r="CG235" s="9">
        <v>0</v>
      </c>
      <c r="CH235" s="9">
        <v>0</v>
      </c>
      <c r="CI235" s="9">
        <v>0</v>
      </c>
      <c r="CJ235" s="9">
        <v>0</v>
      </c>
      <c r="CK235" s="9">
        <v>0</v>
      </c>
      <c r="CL235" s="9">
        <v>0</v>
      </c>
      <c r="CM235" s="9">
        <v>0</v>
      </c>
      <c r="CN235" s="9">
        <v>0</v>
      </c>
      <c r="CO235" s="9">
        <v>0</v>
      </c>
      <c r="CP235" s="9">
        <v>0</v>
      </c>
      <c r="CQ235" s="9">
        <v>0</v>
      </c>
      <c r="CR235" s="9">
        <v>0</v>
      </c>
      <c r="CS235" s="9">
        <v>0</v>
      </c>
      <c r="CT235" s="9">
        <v>0</v>
      </c>
      <c r="CU235" s="9">
        <v>0</v>
      </c>
      <c r="CV235" s="9">
        <v>0</v>
      </c>
      <c r="CW235" s="9">
        <v>0</v>
      </c>
      <c r="CX235" s="9">
        <v>0</v>
      </c>
      <c r="CY235" s="9">
        <v>0</v>
      </c>
      <c r="CZ235" s="9">
        <v>0</v>
      </c>
      <c r="DA235" s="9">
        <v>0</v>
      </c>
      <c r="DB235" s="9">
        <v>0</v>
      </c>
      <c r="DC235" s="9">
        <v>0</v>
      </c>
      <c r="DD235" s="9">
        <v>0</v>
      </c>
      <c r="DE235" s="9">
        <v>0</v>
      </c>
      <c r="DF235" s="9">
        <v>0</v>
      </c>
      <c r="DG235" s="9">
        <v>0</v>
      </c>
      <c r="DH235" s="9">
        <v>0</v>
      </c>
      <c r="DI235" s="9">
        <v>0</v>
      </c>
      <c r="DJ235" s="9">
        <v>0</v>
      </c>
      <c r="DK235" s="9">
        <v>0</v>
      </c>
      <c r="DL235" s="9">
        <v>0</v>
      </c>
      <c r="DM235" s="9">
        <v>0</v>
      </c>
      <c r="DN235" s="9">
        <v>0</v>
      </c>
      <c r="DO235" s="9">
        <v>0</v>
      </c>
      <c r="DP235" s="9">
        <v>0</v>
      </c>
      <c r="DQ235" s="9">
        <v>0</v>
      </c>
      <c r="DR235" s="9">
        <v>0</v>
      </c>
      <c r="DS235" s="9">
        <v>0</v>
      </c>
      <c r="DT235" s="9">
        <v>0</v>
      </c>
      <c r="DU235" s="9">
        <v>0</v>
      </c>
      <c r="DV235" s="9">
        <v>0</v>
      </c>
      <c r="DW235" s="9">
        <v>0</v>
      </c>
      <c r="DX235" s="9">
        <v>0</v>
      </c>
      <c r="DY235" s="9">
        <v>0</v>
      </c>
      <c r="DZ235" s="9">
        <v>0</v>
      </c>
      <c r="EA235" s="9">
        <v>0</v>
      </c>
      <c r="EB235" s="9">
        <v>0</v>
      </c>
      <c r="EC235" s="9">
        <v>0</v>
      </c>
      <c r="ED235" s="9">
        <v>0</v>
      </c>
      <c r="EE235" s="9">
        <v>0</v>
      </c>
      <c r="EF235" s="9">
        <v>0</v>
      </c>
      <c r="EG235" s="9">
        <v>0</v>
      </c>
      <c r="EH235" s="9">
        <v>0</v>
      </c>
      <c r="EI235" s="10">
        <v>0</v>
      </c>
    </row>
    <row r="236" spans="1:139" x14ac:dyDescent="0.35">
      <c r="A236" s="8" t="s">
        <v>413</v>
      </c>
      <c r="B236" s="9" t="s">
        <v>414</v>
      </c>
      <c r="C236" s="9" t="s">
        <v>415</v>
      </c>
      <c r="D236" s="9">
        <f t="shared" si="3"/>
        <v>0</v>
      </c>
      <c r="E236" s="9">
        <v>0</v>
      </c>
      <c r="F236" s="9">
        <v>0</v>
      </c>
      <c r="G236" s="9">
        <v>0</v>
      </c>
      <c r="H236" s="9">
        <v>0</v>
      </c>
      <c r="I236" s="9">
        <v>0</v>
      </c>
      <c r="J236" s="9">
        <v>0</v>
      </c>
      <c r="K236" s="9">
        <v>0</v>
      </c>
      <c r="L236" s="9">
        <v>0</v>
      </c>
      <c r="M236" s="9">
        <v>0</v>
      </c>
      <c r="N236" s="9">
        <v>0</v>
      </c>
      <c r="O236" s="9">
        <v>0</v>
      </c>
      <c r="P236" s="9">
        <v>0</v>
      </c>
      <c r="Q236" s="9">
        <v>0</v>
      </c>
      <c r="R236" s="9">
        <v>0</v>
      </c>
      <c r="S236" s="9">
        <v>0</v>
      </c>
      <c r="T236" s="9">
        <v>0</v>
      </c>
      <c r="U236" s="9">
        <v>0</v>
      </c>
      <c r="V236" s="9">
        <v>0</v>
      </c>
      <c r="W236" s="9">
        <v>0</v>
      </c>
      <c r="X236" s="9">
        <v>0</v>
      </c>
      <c r="Y236" s="9">
        <v>0</v>
      </c>
      <c r="Z236" s="9">
        <v>0</v>
      </c>
      <c r="AA236" s="9">
        <v>0</v>
      </c>
      <c r="AB236" s="9">
        <v>0</v>
      </c>
      <c r="AC236" s="9">
        <v>0</v>
      </c>
      <c r="AD236" s="9">
        <v>0</v>
      </c>
      <c r="AE236" s="9">
        <v>0</v>
      </c>
      <c r="AF236" s="9">
        <v>0</v>
      </c>
      <c r="AG236" s="9">
        <v>0</v>
      </c>
      <c r="AH236" s="9">
        <v>0</v>
      </c>
      <c r="AI236" s="9">
        <v>0</v>
      </c>
      <c r="AJ236" s="9">
        <v>0</v>
      </c>
      <c r="AK236" s="9">
        <v>0</v>
      </c>
      <c r="AL236" s="9">
        <v>0</v>
      </c>
      <c r="AM236" s="9">
        <v>0</v>
      </c>
      <c r="AN236" s="9">
        <v>0</v>
      </c>
      <c r="AO236" s="9">
        <v>0</v>
      </c>
      <c r="AP236" s="9">
        <v>0</v>
      </c>
      <c r="AQ236" s="9">
        <v>0</v>
      </c>
      <c r="AR236" s="9">
        <v>0</v>
      </c>
      <c r="AS236" s="9">
        <v>0</v>
      </c>
      <c r="AT236" s="9">
        <v>0</v>
      </c>
      <c r="AU236" s="9">
        <v>0</v>
      </c>
      <c r="AV236" s="9">
        <v>0</v>
      </c>
      <c r="AW236" s="9">
        <v>0</v>
      </c>
      <c r="AX236" s="9">
        <v>0</v>
      </c>
      <c r="AY236" s="9">
        <v>0</v>
      </c>
      <c r="AZ236" s="9">
        <v>0</v>
      </c>
      <c r="BA236" s="9">
        <v>0</v>
      </c>
      <c r="BB236" s="9">
        <v>0</v>
      </c>
      <c r="BC236" s="9">
        <v>0</v>
      </c>
      <c r="BD236" s="9">
        <v>0</v>
      </c>
      <c r="BE236" s="9">
        <v>0</v>
      </c>
      <c r="BF236" s="9">
        <v>0</v>
      </c>
      <c r="BG236" s="9">
        <v>0</v>
      </c>
      <c r="BH236" s="9">
        <v>0</v>
      </c>
      <c r="BI236" s="9">
        <v>0</v>
      </c>
      <c r="BJ236" s="9">
        <v>0</v>
      </c>
      <c r="BK236" s="9">
        <v>0</v>
      </c>
      <c r="BL236" s="9">
        <v>0</v>
      </c>
      <c r="BM236" s="9">
        <v>0</v>
      </c>
      <c r="BN236" s="9">
        <v>0</v>
      </c>
      <c r="BO236" s="9">
        <v>0</v>
      </c>
      <c r="BP236" s="9">
        <v>0</v>
      </c>
      <c r="BQ236" s="9">
        <v>0</v>
      </c>
      <c r="BR236" s="9">
        <v>0</v>
      </c>
      <c r="BS236" s="9">
        <v>0</v>
      </c>
      <c r="BT236" s="9">
        <v>0</v>
      </c>
      <c r="BU236" s="9">
        <v>0</v>
      </c>
      <c r="BV236" s="9">
        <v>0</v>
      </c>
      <c r="BW236" s="9">
        <v>0</v>
      </c>
      <c r="BX236" s="9">
        <v>0</v>
      </c>
      <c r="BY236" s="9">
        <v>0</v>
      </c>
      <c r="BZ236" s="9">
        <v>0</v>
      </c>
      <c r="CA236" s="9">
        <v>0</v>
      </c>
      <c r="CB236" s="9">
        <v>0</v>
      </c>
      <c r="CC236" s="9">
        <v>0</v>
      </c>
      <c r="CD236" s="9">
        <v>0</v>
      </c>
      <c r="CE236" s="9">
        <v>0</v>
      </c>
      <c r="CF236" s="9">
        <v>0</v>
      </c>
      <c r="CG236" s="9">
        <v>0</v>
      </c>
      <c r="CH236" s="9">
        <v>0</v>
      </c>
      <c r="CI236" s="9">
        <v>0</v>
      </c>
      <c r="CJ236" s="9">
        <v>0</v>
      </c>
      <c r="CK236" s="9">
        <v>0</v>
      </c>
      <c r="CL236" s="9">
        <v>0</v>
      </c>
      <c r="CM236" s="9">
        <v>0</v>
      </c>
      <c r="CN236" s="9">
        <v>0</v>
      </c>
      <c r="CO236" s="9">
        <v>0</v>
      </c>
      <c r="CP236" s="9">
        <v>0</v>
      </c>
      <c r="CQ236" s="9">
        <v>0</v>
      </c>
      <c r="CR236" s="9">
        <v>0</v>
      </c>
      <c r="CS236" s="9">
        <v>0</v>
      </c>
      <c r="CT236" s="9">
        <v>0</v>
      </c>
      <c r="CU236" s="9">
        <v>0</v>
      </c>
      <c r="CV236" s="9">
        <v>0</v>
      </c>
      <c r="CW236" s="9">
        <v>0</v>
      </c>
      <c r="CX236" s="9">
        <v>0</v>
      </c>
      <c r="CY236" s="9">
        <v>0</v>
      </c>
      <c r="CZ236" s="9">
        <v>0</v>
      </c>
      <c r="DA236" s="9">
        <v>0</v>
      </c>
      <c r="DB236" s="9">
        <v>0</v>
      </c>
      <c r="DC236" s="9">
        <v>0</v>
      </c>
      <c r="DD236" s="9">
        <v>0</v>
      </c>
      <c r="DE236" s="9">
        <v>0</v>
      </c>
      <c r="DF236" s="9">
        <v>0</v>
      </c>
      <c r="DG236" s="9">
        <v>0</v>
      </c>
      <c r="DH236" s="9">
        <v>0</v>
      </c>
      <c r="DI236" s="9">
        <v>0</v>
      </c>
      <c r="DJ236" s="9">
        <v>0</v>
      </c>
      <c r="DK236" s="9">
        <v>0</v>
      </c>
      <c r="DL236" s="9">
        <v>0</v>
      </c>
      <c r="DM236" s="9">
        <v>0</v>
      </c>
      <c r="DN236" s="9">
        <v>0</v>
      </c>
      <c r="DO236" s="9">
        <v>0</v>
      </c>
      <c r="DP236" s="9">
        <v>0</v>
      </c>
      <c r="DQ236" s="9">
        <v>0</v>
      </c>
      <c r="DR236" s="9">
        <v>0</v>
      </c>
      <c r="DS236" s="9">
        <v>0</v>
      </c>
      <c r="DT236" s="9">
        <v>0</v>
      </c>
      <c r="DU236" s="9">
        <v>0</v>
      </c>
      <c r="DV236" s="9">
        <v>0</v>
      </c>
      <c r="DW236" s="9">
        <v>0</v>
      </c>
      <c r="DX236" s="9">
        <v>0</v>
      </c>
      <c r="DY236" s="9">
        <v>0</v>
      </c>
      <c r="DZ236" s="9">
        <v>0</v>
      </c>
      <c r="EA236" s="9">
        <v>0</v>
      </c>
      <c r="EB236" s="9">
        <v>0</v>
      </c>
      <c r="EC236" s="9">
        <v>0</v>
      </c>
      <c r="ED236" s="9">
        <v>0</v>
      </c>
      <c r="EE236" s="9">
        <v>0</v>
      </c>
      <c r="EF236" s="9">
        <v>0</v>
      </c>
      <c r="EG236" s="9">
        <v>0</v>
      </c>
      <c r="EH236" s="9">
        <v>0</v>
      </c>
      <c r="EI236" s="10">
        <v>0</v>
      </c>
    </row>
    <row r="237" spans="1:139" x14ac:dyDescent="0.35">
      <c r="A237" s="8" t="s">
        <v>413</v>
      </c>
      <c r="B237" s="9" t="s">
        <v>416</v>
      </c>
      <c r="C237" s="9" t="s">
        <v>417</v>
      </c>
      <c r="D237" s="9">
        <f t="shared" si="3"/>
        <v>0</v>
      </c>
      <c r="E237" s="9">
        <v>0</v>
      </c>
      <c r="F237" s="9">
        <v>0</v>
      </c>
      <c r="G237" s="9">
        <v>0</v>
      </c>
      <c r="H237" s="9">
        <v>0</v>
      </c>
      <c r="I237" s="9">
        <v>0</v>
      </c>
      <c r="J237" s="9">
        <v>0</v>
      </c>
      <c r="K237" s="9">
        <v>0</v>
      </c>
      <c r="L237" s="9">
        <v>0</v>
      </c>
      <c r="M237" s="9">
        <v>0</v>
      </c>
      <c r="N237" s="9">
        <v>0</v>
      </c>
      <c r="O237" s="9">
        <v>0</v>
      </c>
      <c r="P237" s="9">
        <v>0</v>
      </c>
      <c r="Q237" s="9">
        <v>0</v>
      </c>
      <c r="R237" s="9">
        <v>0</v>
      </c>
      <c r="S237" s="9">
        <v>0</v>
      </c>
      <c r="T237" s="9">
        <v>0</v>
      </c>
      <c r="U237" s="9">
        <v>0</v>
      </c>
      <c r="V237" s="9">
        <v>0</v>
      </c>
      <c r="W237" s="9">
        <v>0</v>
      </c>
      <c r="X237" s="9">
        <v>0</v>
      </c>
      <c r="Y237" s="9">
        <v>0</v>
      </c>
      <c r="Z237" s="9">
        <v>0</v>
      </c>
      <c r="AA237" s="9">
        <v>0</v>
      </c>
      <c r="AB237" s="9">
        <v>0</v>
      </c>
      <c r="AC237" s="9">
        <v>0</v>
      </c>
      <c r="AD237" s="9">
        <v>0</v>
      </c>
      <c r="AE237" s="9">
        <v>0</v>
      </c>
      <c r="AF237" s="9">
        <v>0</v>
      </c>
      <c r="AG237" s="9">
        <v>0</v>
      </c>
      <c r="AH237" s="9">
        <v>0</v>
      </c>
      <c r="AI237" s="9">
        <v>0</v>
      </c>
      <c r="AJ237" s="9">
        <v>0</v>
      </c>
      <c r="AK237" s="9">
        <v>0</v>
      </c>
      <c r="AL237" s="9">
        <v>0</v>
      </c>
      <c r="AM237" s="9">
        <v>0</v>
      </c>
      <c r="AN237" s="9">
        <v>0</v>
      </c>
      <c r="AO237" s="9">
        <v>0</v>
      </c>
      <c r="AP237" s="9">
        <v>0</v>
      </c>
      <c r="AQ237" s="9">
        <v>0</v>
      </c>
      <c r="AR237" s="9">
        <v>0</v>
      </c>
      <c r="AS237" s="9">
        <v>0</v>
      </c>
      <c r="AT237" s="9">
        <v>0</v>
      </c>
      <c r="AU237" s="9">
        <v>0</v>
      </c>
      <c r="AV237" s="9">
        <v>0</v>
      </c>
      <c r="AW237" s="9">
        <v>0</v>
      </c>
      <c r="AX237" s="9">
        <v>0</v>
      </c>
      <c r="AY237" s="9">
        <v>0</v>
      </c>
      <c r="AZ237" s="9">
        <v>0</v>
      </c>
      <c r="BA237" s="9">
        <v>0</v>
      </c>
      <c r="BB237" s="9">
        <v>0</v>
      </c>
      <c r="BC237" s="9">
        <v>0</v>
      </c>
      <c r="BD237" s="9">
        <v>0</v>
      </c>
      <c r="BE237" s="9">
        <v>0</v>
      </c>
      <c r="BF237" s="9">
        <v>0</v>
      </c>
      <c r="BG237" s="9">
        <v>0</v>
      </c>
      <c r="BH237" s="9">
        <v>0</v>
      </c>
      <c r="BI237" s="9">
        <v>0</v>
      </c>
      <c r="BJ237" s="9">
        <v>0</v>
      </c>
      <c r="BK237" s="9">
        <v>0</v>
      </c>
      <c r="BL237" s="9">
        <v>0</v>
      </c>
      <c r="BM237" s="9">
        <v>0</v>
      </c>
      <c r="BN237" s="9">
        <v>0</v>
      </c>
      <c r="BO237" s="9">
        <v>0</v>
      </c>
      <c r="BP237" s="9">
        <v>0</v>
      </c>
      <c r="BQ237" s="9">
        <v>0</v>
      </c>
      <c r="BR237" s="9">
        <v>0</v>
      </c>
      <c r="BS237" s="9">
        <v>0</v>
      </c>
      <c r="BT237" s="9">
        <v>0</v>
      </c>
      <c r="BU237" s="9">
        <v>0</v>
      </c>
      <c r="BV237" s="9">
        <v>0</v>
      </c>
      <c r="BW237" s="9">
        <v>0</v>
      </c>
      <c r="BX237" s="9">
        <v>0</v>
      </c>
      <c r="BY237" s="9">
        <v>0</v>
      </c>
      <c r="BZ237" s="9">
        <v>0</v>
      </c>
      <c r="CA237" s="9">
        <v>0</v>
      </c>
      <c r="CB237" s="9">
        <v>0</v>
      </c>
      <c r="CC237" s="9">
        <v>0</v>
      </c>
      <c r="CD237" s="9">
        <v>0</v>
      </c>
      <c r="CE237" s="9">
        <v>0</v>
      </c>
      <c r="CF237" s="9">
        <v>0</v>
      </c>
      <c r="CG237" s="9">
        <v>0</v>
      </c>
      <c r="CH237" s="9">
        <v>0</v>
      </c>
      <c r="CI237" s="9">
        <v>0</v>
      </c>
      <c r="CJ237" s="9">
        <v>0</v>
      </c>
      <c r="CK237" s="9">
        <v>0</v>
      </c>
      <c r="CL237" s="9">
        <v>0</v>
      </c>
      <c r="CM237" s="9">
        <v>0</v>
      </c>
      <c r="CN237" s="9">
        <v>0</v>
      </c>
      <c r="CO237" s="9">
        <v>0</v>
      </c>
      <c r="CP237" s="9">
        <v>0</v>
      </c>
      <c r="CQ237" s="9">
        <v>0</v>
      </c>
      <c r="CR237" s="9">
        <v>0</v>
      </c>
      <c r="CS237" s="9">
        <v>0</v>
      </c>
      <c r="CT237" s="9">
        <v>0</v>
      </c>
      <c r="CU237" s="9">
        <v>0</v>
      </c>
      <c r="CV237" s="9">
        <v>0</v>
      </c>
      <c r="CW237" s="9">
        <v>0</v>
      </c>
      <c r="CX237" s="9">
        <v>0</v>
      </c>
      <c r="CY237" s="9">
        <v>0</v>
      </c>
      <c r="CZ237" s="9">
        <v>0</v>
      </c>
      <c r="DA237" s="9">
        <v>0</v>
      </c>
      <c r="DB237" s="9">
        <v>0</v>
      </c>
      <c r="DC237" s="9">
        <v>0</v>
      </c>
      <c r="DD237" s="9">
        <v>0</v>
      </c>
      <c r="DE237" s="9">
        <v>0</v>
      </c>
      <c r="DF237" s="9">
        <v>0</v>
      </c>
      <c r="DG237" s="9">
        <v>0</v>
      </c>
      <c r="DH237" s="9">
        <v>0</v>
      </c>
      <c r="DI237" s="9">
        <v>0</v>
      </c>
      <c r="DJ237" s="9">
        <v>0</v>
      </c>
      <c r="DK237" s="9">
        <v>0</v>
      </c>
      <c r="DL237" s="9">
        <v>0</v>
      </c>
      <c r="DM237" s="9">
        <v>0</v>
      </c>
      <c r="DN237" s="9">
        <v>0</v>
      </c>
      <c r="DO237" s="9">
        <v>0</v>
      </c>
      <c r="DP237" s="9">
        <v>0</v>
      </c>
      <c r="DQ237" s="9">
        <v>0</v>
      </c>
      <c r="DR237" s="9">
        <v>0</v>
      </c>
      <c r="DS237" s="9">
        <v>0</v>
      </c>
      <c r="DT237" s="9">
        <v>0</v>
      </c>
      <c r="DU237" s="9">
        <v>0</v>
      </c>
      <c r="DV237" s="9">
        <v>0</v>
      </c>
      <c r="DW237" s="9">
        <v>0</v>
      </c>
      <c r="DX237" s="9">
        <v>0</v>
      </c>
      <c r="DY237" s="9">
        <v>0</v>
      </c>
      <c r="DZ237" s="9">
        <v>0</v>
      </c>
      <c r="EA237" s="9">
        <v>0</v>
      </c>
      <c r="EB237" s="9">
        <v>0</v>
      </c>
      <c r="EC237" s="9">
        <v>0</v>
      </c>
      <c r="ED237" s="9">
        <v>0</v>
      </c>
      <c r="EE237" s="9">
        <v>0</v>
      </c>
      <c r="EF237" s="9">
        <v>0</v>
      </c>
      <c r="EG237" s="9">
        <v>0</v>
      </c>
      <c r="EH237" s="9">
        <v>0</v>
      </c>
      <c r="EI237" s="10">
        <v>0</v>
      </c>
    </row>
    <row r="238" spans="1:139" x14ac:dyDescent="0.35">
      <c r="A238" s="8" t="s">
        <v>413</v>
      </c>
      <c r="B238" s="9" t="s">
        <v>3</v>
      </c>
      <c r="C238" s="9" t="s">
        <v>4</v>
      </c>
      <c r="D238" s="9">
        <f t="shared" si="3"/>
        <v>0</v>
      </c>
      <c r="E238" s="9">
        <v>0</v>
      </c>
      <c r="F238" s="9">
        <v>0</v>
      </c>
      <c r="G238" s="9">
        <v>0</v>
      </c>
      <c r="H238" s="9">
        <v>0</v>
      </c>
      <c r="I238" s="9">
        <v>0</v>
      </c>
      <c r="J238" s="9">
        <v>0</v>
      </c>
      <c r="K238" s="9">
        <v>0</v>
      </c>
      <c r="L238" s="9">
        <v>0</v>
      </c>
      <c r="M238" s="9">
        <v>0</v>
      </c>
      <c r="N238" s="9">
        <v>0</v>
      </c>
      <c r="O238" s="9">
        <v>0</v>
      </c>
      <c r="P238" s="9">
        <v>0</v>
      </c>
      <c r="Q238" s="9">
        <v>0</v>
      </c>
      <c r="R238" s="9">
        <v>0</v>
      </c>
      <c r="S238" s="9">
        <v>0</v>
      </c>
      <c r="T238" s="9">
        <v>0</v>
      </c>
      <c r="U238" s="9">
        <v>0</v>
      </c>
      <c r="V238" s="9">
        <v>0</v>
      </c>
      <c r="W238" s="9">
        <v>0</v>
      </c>
      <c r="X238" s="9">
        <v>0</v>
      </c>
      <c r="Y238" s="9">
        <v>0</v>
      </c>
      <c r="Z238" s="9">
        <v>0</v>
      </c>
      <c r="AA238" s="9">
        <v>0</v>
      </c>
      <c r="AB238" s="9">
        <v>0</v>
      </c>
      <c r="AC238" s="9">
        <v>0</v>
      </c>
      <c r="AD238" s="9">
        <v>0</v>
      </c>
      <c r="AE238" s="9">
        <v>0</v>
      </c>
      <c r="AF238" s="9">
        <v>0</v>
      </c>
      <c r="AG238" s="9">
        <v>0</v>
      </c>
      <c r="AH238" s="9">
        <v>0</v>
      </c>
      <c r="AI238" s="9">
        <v>0</v>
      </c>
      <c r="AJ238" s="9">
        <v>0</v>
      </c>
      <c r="AK238" s="9">
        <v>0</v>
      </c>
      <c r="AL238" s="9">
        <v>0</v>
      </c>
      <c r="AM238" s="9">
        <v>0</v>
      </c>
      <c r="AN238" s="9">
        <v>0</v>
      </c>
      <c r="AO238" s="9">
        <v>0</v>
      </c>
      <c r="AP238" s="9">
        <v>0</v>
      </c>
      <c r="AQ238" s="9">
        <v>0</v>
      </c>
      <c r="AR238" s="9">
        <v>0</v>
      </c>
      <c r="AS238" s="9">
        <v>0</v>
      </c>
      <c r="AT238" s="9">
        <v>0</v>
      </c>
      <c r="AU238" s="9">
        <v>0</v>
      </c>
      <c r="AV238" s="9">
        <v>0</v>
      </c>
      <c r="AW238" s="9">
        <v>0</v>
      </c>
      <c r="AX238" s="9">
        <v>0</v>
      </c>
      <c r="AY238" s="9">
        <v>0</v>
      </c>
      <c r="AZ238" s="9">
        <v>0</v>
      </c>
      <c r="BA238" s="9">
        <v>0</v>
      </c>
      <c r="BB238" s="9">
        <v>0</v>
      </c>
      <c r="BC238" s="9">
        <v>0</v>
      </c>
      <c r="BD238" s="9">
        <v>0</v>
      </c>
      <c r="BE238" s="9">
        <v>0</v>
      </c>
      <c r="BF238" s="9">
        <v>0</v>
      </c>
      <c r="BG238" s="9">
        <v>0</v>
      </c>
      <c r="BH238" s="9">
        <v>0</v>
      </c>
      <c r="BI238" s="9">
        <v>0</v>
      </c>
      <c r="BJ238" s="9">
        <v>0</v>
      </c>
      <c r="BK238" s="9">
        <v>0</v>
      </c>
      <c r="BL238" s="9">
        <v>0</v>
      </c>
      <c r="BM238" s="9">
        <v>0</v>
      </c>
      <c r="BN238" s="9">
        <v>0</v>
      </c>
      <c r="BO238" s="9">
        <v>0</v>
      </c>
      <c r="BP238" s="9">
        <v>0</v>
      </c>
      <c r="BQ238" s="9">
        <v>0</v>
      </c>
      <c r="BR238" s="9">
        <v>0</v>
      </c>
      <c r="BS238" s="9">
        <v>0</v>
      </c>
      <c r="BT238" s="9">
        <v>0</v>
      </c>
      <c r="BU238" s="9">
        <v>0</v>
      </c>
      <c r="BV238" s="9">
        <v>0</v>
      </c>
      <c r="BW238" s="9">
        <v>0</v>
      </c>
      <c r="BX238" s="9">
        <v>0</v>
      </c>
      <c r="BY238" s="9">
        <v>0</v>
      </c>
      <c r="BZ238" s="9">
        <v>0</v>
      </c>
      <c r="CA238" s="9">
        <v>0</v>
      </c>
      <c r="CB238" s="9">
        <v>0</v>
      </c>
      <c r="CC238" s="9">
        <v>0</v>
      </c>
      <c r="CD238" s="9">
        <v>0</v>
      </c>
      <c r="CE238" s="9">
        <v>0</v>
      </c>
      <c r="CF238" s="9">
        <v>0</v>
      </c>
      <c r="CG238" s="9">
        <v>0</v>
      </c>
      <c r="CH238" s="9">
        <v>0</v>
      </c>
      <c r="CI238" s="9">
        <v>0</v>
      </c>
      <c r="CJ238" s="9">
        <v>0</v>
      </c>
      <c r="CK238" s="9">
        <v>0</v>
      </c>
      <c r="CL238" s="9">
        <v>0</v>
      </c>
      <c r="CM238" s="9">
        <v>0</v>
      </c>
      <c r="CN238" s="9">
        <v>0</v>
      </c>
      <c r="CO238" s="9">
        <v>0</v>
      </c>
      <c r="CP238" s="9">
        <v>0</v>
      </c>
      <c r="CQ238" s="9">
        <v>0</v>
      </c>
      <c r="CR238" s="9">
        <v>0</v>
      </c>
      <c r="CS238" s="9">
        <v>0</v>
      </c>
      <c r="CT238" s="9">
        <v>0</v>
      </c>
      <c r="CU238" s="9">
        <v>0</v>
      </c>
      <c r="CV238" s="9">
        <v>0</v>
      </c>
      <c r="CW238" s="9">
        <v>0</v>
      </c>
      <c r="CX238" s="9">
        <v>0</v>
      </c>
      <c r="CY238" s="9">
        <v>0</v>
      </c>
      <c r="CZ238" s="9">
        <v>0</v>
      </c>
      <c r="DA238" s="9">
        <v>0</v>
      </c>
      <c r="DB238" s="9">
        <v>0</v>
      </c>
      <c r="DC238" s="9">
        <v>0</v>
      </c>
      <c r="DD238" s="9">
        <v>0</v>
      </c>
      <c r="DE238" s="9">
        <v>0</v>
      </c>
      <c r="DF238" s="9">
        <v>0</v>
      </c>
      <c r="DG238" s="9">
        <v>0</v>
      </c>
      <c r="DH238" s="9">
        <v>0</v>
      </c>
      <c r="DI238" s="9">
        <v>0</v>
      </c>
      <c r="DJ238" s="9">
        <v>0</v>
      </c>
      <c r="DK238" s="9">
        <v>0</v>
      </c>
      <c r="DL238" s="9">
        <v>0</v>
      </c>
      <c r="DM238" s="9">
        <v>0</v>
      </c>
      <c r="DN238" s="9">
        <v>0</v>
      </c>
      <c r="DO238" s="9">
        <v>0</v>
      </c>
      <c r="DP238" s="9">
        <v>0</v>
      </c>
      <c r="DQ238" s="9">
        <v>0</v>
      </c>
      <c r="DR238" s="9">
        <v>0</v>
      </c>
      <c r="DS238" s="9">
        <v>0</v>
      </c>
      <c r="DT238" s="9">
        <v>0</v>
      </c>
      <c r="DU238" s="9">
        <v>0</v>
      </c>
      <c r="DV238" s="9">
        <v>0</v>
      </c>
      <c r="DW238" s="9">
        <v>0</v>
      </c>
      <c r="DX238" s="9">
        <v>0</v>
      </c>
      <c r="DY238" s="9">
        <v>0</v>
      </c>
      <c r="DZ238" s="9">
        <v>0</v>
      </c>
      <c r="EA238" s="9">
        <v>0</v>
      </c>
      <c r="EB238" s="9">
        <v>0</v>
      </c>
      <c r="EC238" s="9">
        <v>0</v>
      </c>
      <c r="ED238" s="9">
        <v>0</v>
      </c>
      <c r="EE238" s="9">
        <v>0</v>
      </c>
      <c r="EF238" s="9">
        <v>0</v>
      </c>
      <c r="EG238" s="9">
        <v>0</v>
      </c>
      <c r="EH238" s="9">
        <v>0</v>
      </c>
      <c r="EI238" s="10">
        <v>0</v>
      </c>
    </row>
    <row r="239" spans="1:139" x14ac:dyDescent="0.35">
      <c r="A239" s="8" t="s">
        <v>413</v>
      </c>
      <c r="B239" s="9" t="s">
        <v>418</v>
      </c>
      <c r="C239" s="9" t="s">
        <v>419</v>
      </c>
      <c r="D239" s="9">
        <f t="shared" si="3"/>
        <v>0</v>
      </c>
      <c r="E239" s="9">
        <v>0</v>
      </c>
      <c r="F239" s="9">
        <v>0</v>
      </c>
      <c r="G239" s="9">
        <v>0</v>
      </c>
      <c r="H239" s="9">
        <v>0</v>
      </c>
      <c r="I239" s="9">
        <v>0</v>
      </c>
      <c r="J239" s="9">
        <v>0</v>
      </c>
      <c r="K239" s="9">
        <v>0</v>
      </c>
      <c r="L239" s="9">
        <v>0</v>
      </c>
      <c r="M239" s="9">
        <v>0</v>
      </c>
      <c r="N239" s="9">
        <v>0</v>
      </c>
      <c r="O239" s="9">
        <v>0</v>
      </c>
      <c r="P239" s="9">
        <v>0</v>
      </c>
      <c r="Q239" s="9">
        <v>0</v>
      </c>
      <c r="R239" s="9">
        <v>0</v>
      </c>
      <c r="S239" s="9">
        <v>0</v>
      </c>
      <c r="T239" s="9">
        <v>0</v>
      </c>
      <c r="U239" s="9">
        <v>0</v>
      </c>
      <c r="V239" s="9">
        <v>0</v>
      </c>
      <c r="W239" s="9">
        <v>0</v>
      </c>
      <c r="X239" s="9">
        <v>0</v>
      </c>
      <c r="Y239" s="9">
        <v>0</v>
      </c>
      <c r="Z239" s="9">
        <v>0</v>
      </c>
      <c r="AA239" s="9">
        <v>0</v>
      </c>
      <c r="AB239" s="9">
        <v>0</v>
      </c>
      <c r="AC239" s="9">
        <v>0</v>
      </c>
      <c r="AD239" s="9">
        <v>0</v>
      </c>
      <c r="AE239" s="9">
        <v>0</v>
      </c>
      <c r="AF239" s="9">
        <v>0</v>
      </c>
      <c r="AG239" s="9">
        <v>0</v>
      </c>
      <c r="AH239" s="9">
        <v>0</v>
      </c>
      <c r="AI239" s="9">
        <v>0</v>
      </c>
      <c r="AJ239" s="9">
        <v>0</v>
      </c>
      <c r="AK239" s="9">
        <v>0</v>
      </c>
      <c r="AL239" s="9">
        <v>0</v>
      </c>
      <c r="AM239" s="9">
        <v>0</v>
      </c>
      <c r="AN239" s="9">
        <v>0</v>
      </c>
      <c r="AO239" s="9">
        <v>0</v>
      </c>
      <c r="AP239" s="9">
        <v>0</v>
      </c>
      <c r="AQ239" s="9">
        <v>0</v>
      </c>
      <c r="AR239" s="9">
        <v>0</v>
      </c>
      <c r="AS239" s="9">
        <v>0</v>
      </c>
      <c r="AT239" s="9">
        <v>0</v>
      </c>
      <c r="AU239" s="9">
        <v>0</v>
      </c>
      <c r="AV239" s="9">
        <v>0</v>
      </c>
      <c r="AW239" s="9">
        <v>0</v>
      </c>
      <c r="AX239" s="9">
        <v>0</v>
      </c>
      <c r="AY239" s="9">
        <v>0</v>
      </c>
      <c r="AZ239" s="9">
        <v>0</v>
      </c>
      <c r="BA239" s="9">
        <v>0</v>
      </c>
      <c r="BB239" s="9">
        <v>0</v>
      </c>
      <c r="BC239" s="9">
        <v>0</v>
      </c>
      <c r="BD239" s="9">
        <v>0</v>
      </c>
      <c r="BE239" s="9">
        <v>0</v>
      </c>
      <c r="BF239" s="9">
        <v>0</v>
      </c>
      <c r="BG239" s="9">
        <v>0</v>
      </c>
      <c r="BH239" s="9">
        <v>0</v>
      </c>
      <c r="BI239" s="9">
        <v>0</v>
      </c>
      <c r="BJ239" s="9">
        <v>0</v>
      </c>
      <c r="BK239" s="9">
        <v>0</v>
      </c>
      <c r="BL239" s="9">
        <v>0</v>
      </c>
      <c r="BM239" s="9">
        <v>0</v>
      </c>
      <c r="BN239" s="9">
        <v>0</v>
      </c>
      <c r="BO239" s="9">
        <v>0</v>
      </c>
      <c r="BP239" s="9">
        <v>0</v>
      </c>
      <c r="BQ239" s="9">
        <v>0</v>
      </c>
      <c r="BR239" s="9">
        <v>0</v>
      </c>
      <c r="BS239" s="9">
        <v>0</v>
      </c>
      <c r="BT239" s="9">
        <v>0</v>
      </c>
      <c r="BU239" s="9">
        <v>0</v>
      </c>
      <c r="BV239" s="9">
        <v>0</v>
      </c>
      <c r="BW239" s="9">
        <v>0</v>
      </c>
      <c r="BX239" s="9">
        <v>0</v>
      </c>
      <c r="BY239" s="9">
        <v>0</v>
      </c>
      <c r="BZ239" s="9">
        <v>0</v>
      </c>
      <c r="CA239" s="9">
        <v>0</v>
      </c>
      <c r="CB239" s="9">
        <v>0</v>
      </c>
      <c r="CC239" s="9">
        <v>0</v>
      </c>
      <c r="CD239" s="9">
        <v>0</v>
      </c>
      <c r="CE239" s="9">
        <v>0</v>
      </c>
      <c r="CF239" s="9">
        <v>0</v>
      </c>
      <c r="CG239" s="9">
        <v>0</v>
      </c>
      <c r="CH239" s="9">
        <v>0</v>
      </c>
      <c r="CI239" s="9">
        <v>0</v>
      </c>
      <c r="CJ239" s="9">
        <v>0</v>
      </c>
      <c r="CK239" s="9">
        <v>0</v>
      </c>
      <c r="CL239" s="9">
        <v>0</v>
      </c>
      <c r="CM239" s="9">
        <v>0</v>
      </c>
      <c r="CN239" s="9">
        <v>0</v>
      </c>
      <c r="CO239" s="9">
        <v>0</v>
      </c>
      <c r="CP239" s="9">
        <v>0</v>
      </c>
      <c r="CQ239" s="9">
        <v>0</v>
      </c>
      <c r="CR239" s="9">
        <v>0</v>
      </c>
      <c r="CS239" s="9">
        <v>0</v>
      </c>
      <c r="CT239" s="9">
        <v>0</v>
      </c>
      <c r="CU239" s="9">
        <v>0</v>
      </c>
      <c r="CV239" s="9">
        <v>0</v>
      </c>
      <c r="CW239" s="9">
        <v>0</v>
      </c>
      <c r="CX239" s="9">
        <v>0</v>
      </c>
      <c r="CY239" s="9">
        <v>0</v>
      </c>
      <c r="CZ239" s="9">
        <v>0</v>
      </c>
      <c r="DA239" s="9">
        <v>0</v>
      </c>
      <c r="DB239" s="9">
        <v>0</v>
      </c>
      <c r="DC239" s="9">
        <v>0</v>
      </c>
      <c r="DD239" s="9">
        <v>0</v>
      </c>
      <c r="DE239" s="9">
        <v>0</v>
      </c>
      <c r="DF239" s="9">
        <v>0</v>
      </c>
      <c r="DG239" s="9">
        <v>0</v>
      </c>
      <c r="DH239" s="9">
        <v>0</v>
      </c>
      <c r="DI239" s="9">
        <v>0</v>
      </c>
      <c r="DJ239" s="9">
        <v>0</v>
      </c>
      <c r="DK239" s="9">
        <v>0</v>
      </c>
      <c r="DL239" s="9">
        <v>0</v>
      </c>
      <c r="DM239" s="9">
        <v>0</v>
      </c>
      <c r="DN239" s="9">
        <v>0</v>
      </c>
      <c r="DO239" s="9">
        <v>0</v>
      </c>
      <c r="DP239" s="9">
        <v>0</v>
      </c>
      <c r="DQ239" s="9">
        <v>0</v>
      </c>
      <c r="DR239" s="9">
        <v>0</v>
      </c>
      <c r="DS239" s="9">
        <v>0</v>
      </c>
      <c r="DT239" s="9">
        <v>0</v>
      </c>
      <c r="DU239" s="9">
        <v>0</v>
      </c>
      <c r="DV239" s="9">
        <v>0</v>
      </c>
      <c r="DW239" s="9">
        <v>0</v>
      </c>
      <c r="DX239" s="9">
        <v>0</v>
      </c>
      <c r="DY239" s="9">
        <v>0</v>
      </c>
      <c r="DZ239" s="9">
        <v>0</v>
      </c>
      <c r="EA239" s="9">
        <v>0</v>
      </c>
      <c r="EB239" s="9">
        <v>0</v>
      </c>
      <c r="EC239" s="9">
        <v>0</v>
      </c>
      <c r="ED239" s="9">
        <v>0</v>
      </c>
      <c r="EE239" s="9">
        <v>0</v>
      </c>
      <c r="EF239" s="9">
        <v>0</v>
      </c>
      <c r="EG239" s="9">
        <v>0</v>
      </c>
      <c r="EH239" s="9">
        <v>0</v>
      </c>
      <c r="EI239" s="10">
        <v>0</v>
      </c>
    </row>
    <row r="240" spans="1:139" x14ac:dyDescent="0.35">
      <c r="A240" s="8" t="s">
        <v>413</v>
      </c>
      <c r="B240" s="9" t="s">
        <v>420</v>
      </c>
      <c r="C240" s="9" t="s">
        <v>421</v>
      </c>
      <c r="D240" s="9">
        <f t="shared" si="3"/>
        <v>13</v>
      </c>
      <c r="E240" s="9">
        <v>0</v>
      </c>
      <c r="F240" s="9">
        <v>0</v>
      </c>
      <c r="G240" s="9">
        <v>0</v>
      </c>
      <c r="H240" s="9">
        <v>0</v>
      </c>
      <c r="I240" s="9">
        <v>0</v>
      </c>
      <c r="J240" s="9">
        <v>0</v>
      </c>
      <c r="K240" s="9">
        <v>0</v>
      </c>
      <c r="L240" s="9">
        <v>0</v>
      </c>
      <c r="M240" s="9">
        <v>0</v>
      </c>
      <c r="N240" s="9">
        <v>0</v>
      </c>
      <c r="O240" s="9">
        <v>0</v>
      </c>
      <c r="P240" s="9">
        <v>0</v>
      </c>
      <c r="Q240" s="9">
        <v>0</v>
      </c>
      <c r="R240" s="9">
        <v>0</v>
      </c>
      <c r="S240" s="9">
        <v>0</v>
      </c>
      <c r="T240" s="9">
        <v>0</v>
      </c>
      <c r="U240" s="9">
        <v>0</v>
      </c>
      <c r="V240" s="9">
        <v>0</v>
      </c>
      <c r="W240" s="9">
        <v>0</v>
      </c>
      <c r="X240" s="9">
        <v>0</v>
      </c>
      <c r="Y240" s="9">
        <v>0</v>
      </c>
      <c r="Z240" s="9">
        <v>0</v>
      </c>
      <c r="AA240" s="9">
        <v>0</v>
      </c>
      <c r="AB240" s="9">
        <v>0</v>
      </c>
      <c r="AC240" s="9">
        <v>0</v>
      </c>
      <c r="AD240" s="9">
        <v>0</v>
      </c>
      <c r="AE240" s="9">
        <v>0</v>
      </c>
      <c r="AF240" s="9">
        <v>0</v>
      </c>
      <c r="AG240" s="9">
        <v>0</v>
      </c>
      <c r="AH240" s="9">
        <v>0</v>
      </c>
      <c r="AI240" s="9">
        <v>0</v>
      </c>
      <c r="AJ240" s="9">
        <v>0</v>
      </c>
      <c r="AK240" s="9">
        <v>0</v>
      </c>
      <c r="AL240" s="9">
        <v>0</v>
      </c>
      <c r="AM240" s="9">
        <v>0</v>
      </c>
      <c r="AN240" s="9">
        <v>0</v>
      </c>
      <c r="AO240" s="9">
        <v>1</v>
      </c>
      <c r="AP240" s="9">
        <v>0</v>
      </c>
      <c r="AQ240" s="9">
        <v>0</v>
      </c>
      <c r="AR240" s="9">
        <v>0</v>
      </c>
      <c r="AS240" s="9">
        <v>0</v>
      </c>
      <c r="AT240" s="9">
        <v>0</v>
      </c>
      <c r="AU240" s="9">
        <v>1</v>
      </c>
      <c r="AV240" s="9">
        <v>1</v>
      </c>
      <c r="AW240" s="9">
        <v>1</v>
      </c>
      <c r="AX240" s="9">
        <v>0</v>
      </c>
      <c r="AY240" s="9">
        <v>0</v>
      </c>
      <c r="AZ240" s="9">
        <v>0</v>
      </c>
      <c r="BA240" s="9">
        <v>0</v>
      </c>
      <c r="BB240" s="9">
        <v>0</v>
      </c>
      <c r="BC240" s="9">
        <v>0</v>
      </c>
      <c r="BD240" s="9">
        <v>1</v>
      </c>
      <c r="BE240" s="9">
        <v>1</v>
      </c>
      <c r="BF240" s="9">
        <v>1</v>
      </c>
      <c r="BG240" s="9">
        <v>2</v>
      </c>
      <c r="BH240" s="9">
        <v>1</v>
      </c>
      <c r="BI240" s="9">
        <v>1</v>
      </c>
      <c r="BJ240" s="9">
        <v>1</v>
      </c>
      <c r="BK240" s="9">
        <v>0</v>
      </c>
      <c r="BL240" s="9">
        <v>0</v>
      </c>
      <c r="BM240" s="9">
        <v>0</v>
      </c>
      <c r="BN240" s="9">
        <v>0</v>
      </c>
      <c r="BO240" s="9">
        <v>0</v>
      </c>
      <c r="BP240" s="9">
        <v>0</v>
      </c>
      <c r="BQ240" s="9">
        <v>0</v>
      </c>
      <c r="BR240" s="9">
        <v>0</v>
      </c>
      <c r="BS240" s="9">
        <v>0</v>
      </c>
      <c r="BT240" s="9">
        <v>0</v>
      </c>
      <c r="BU240" s="9">
        <v>0</v>
      </c>
      <c r="BV240" s="9">
        <v>0</v>
      </c>
      <c r="BW240" s="9">
        <v>0</v>
      </c>
      <c r="BX240" s="9">
        <v>0</v>
      </c>
      <c r="BY240" s="9">
        <v>1</v>
      </c>
      <c r="BZ240" s="9">
        <v>0</v>
      </c>
      <c r="CA240" s="9">
        <v>0</v>
      </c>
      <c r="CB240" s="9">
        <v>0</v>
      </c>
      <c r="CC240" s="9">
        <v>0</v>
      </c>
      <c r="CD240" s="9">
        <v>0</v>
      </c>
      <c r="CE240" s="9">
        <v>0</v>
      </c>
      <c r="CF240" s="9">
        <v>0</v>
      </c>
      <c r="CG240" s="9">
        <v>0</v>
      </c>
      <c r="CH240" s="9">
        <v>0</v>
      </c>
      <c r="CI240" s="9">
        <v>0</v>
      </c>
      <c r="CJ240" s="9">
        <v>0</v>
      </c>
      <c r="CK240" s="9">
        <v>0</v>
      </c>
      <c r="CL240" s="9">
        <v>0</v>
      </c>
      <c r="CM240" s="9">
        <v>0</v>
      </c>
      <c r="CN240" s="9">
        <v>0</v>
      </c>
      <c r="CO240" s="9">
        <v>0</v>
      </c>
      <c r="CP240" s="9">
        <v>0</v>
      </c>
      <c r="CQ240" s="9">
        <v>0</v>
      </c>
      <c r="CR240" s="9">
        <v>0</v>
      </c>
      <c r="CS240" s="9">
        <v>0</v>
      </c>
      <c r="CT240" s="9">
        <v>0</v>
      </c>
      <c r="CU240" s="9">
        <v>0</v>
      </c>
      <c r="CV240" s="9">
        <v>0</v>
      </c>
      <c r="CW240" s="9">
        <v>0</v>
      </c>
      <c r="CX240" s="9">
        <v>0</v>
      </c>
      <c r="CY240" s="9">
        <v>0</v>
      </c>
      <c r="CZ240" s="9">
        <v>0</v>
      </c>
      <c r="DA240" s="9">
        <v>0</v>
      </c>
      <c r="DB240" s="9">
        <v>0</v>
      </c>
      <c r="DC240" s="9">
        <v>0</v>
      </c>
      <c r="DD240" s="9">
        <v>0</v>
      </c>
      <c r="DE240" s="9">
        <v>0</v>
      </c>
      <c r="DF240" s="9">
        <v>0</v>
      </c>
      <c r="DG240" s="9">
        <v>0</v>
      </c>
      <c r="DH240" s="9">
        <v>0</v>
      </c>
      <c r="DI240" s="9">
        <v>0</v>
      </c>
      <c r="DJ240" s="9">
        <v>0</v>
      </c>
      <c r="DK240" s="9">
        <v>0</v>
      </c>
      <c r="DL240" s="9">
        <v>0</v>
      </c>
      <c r="DM240" s="9">
        <v>0</v>
      </c>
      <c r="DN240" s="9">
        <v>0</v>
      </c>
      <c r="DO240" s="9">
        <v>0</v>
      </c>
      <c r="DP240" s="9">
        <v>0</v>
      </c>
      <c r="DQ240" s="9">
        <v>0</v>
      </c>
      <c r="DR240" s="9">
        <v>0</v>
      </c>
      <c r="DS240" s="9">
        <v>0</v>
      </c>
      <c r="DT240" s="9">
        <v>0</v>
      </c>
      <c r="DU240" s="9">
        <v>0</v>
      </c>
      <c r="DV240" s="9">
        <v>0</v>
      </c>
      <c r="DW240" s="9">
        <v>0</v>
      </c>
      <c r="DX240" s="9">
        <v>0</v>
      </c>
      <c r="DY240" s="9">
        <v>0</v>
      </c>
      <c r="DZ240" s="9">
        <v>0</v>
      </c>
      <c r="EA240" s="9">
        <v>0</v>
      </c>
      <c r="EB240" s="9">
        <v>0</v>
      </c>
      <c r="EC240" s="9">
        <v>0</v>
      </c>
      <c r="ED240" s="9">
        <v>0</v>
      </c>
      <c r="EE240" s="9">
        <v>0</v>
      </c>
      <c r="EF240" s="9">
        <v>0</v>
      </c>
      <c r="EG240" s="9">
        <v>0</v>
      </c>
      <c r="EH240" s="9">
        <v>0</v>
      </c>
      <c r="EI240" s="10">
        <v>0</v>
      </c>
    </row>
    <row r="241" spans="1:139" x14ac:dyDescent="0.35">
      <c r="A241" s="8" t="s">
        <v>413</v>
      </c>
      <c r="B241" s="9" t="s">
        <v>13</v>
      </c>
      <c r="C241" s="9" t="s">
        <v>14</v>
      </c>
      <c r="D241" s="9">
        <f t="shared" si="3"/>
        <v>0</v>
      </c>
      <c r="E241" s="9">
        <v>0</v>
      </c>
      <c r="F241" s="9">
        <v>0</v>
      </c>
      <c r="G241" s="9">
        <v>0</v>
      </c>
      <c r="H241" s="9">
        <v>0</v>
      </c>
      <c r="I241" s="9">
        <v>0</v>
      </c>
      <c r="J241" s="9">
        <v>0</v>
      </c>
      <c r="K241" s="9">
        <v>0</v>
      </c>
      <c r="L241" s="9">
        <v>0</v>
      </c>
      <c r="M241" s="9">
        <v>0</v>
      </c>
      <c r="N241" s="9">
        <v>0</v>
      </c>
      <c r="O241" s="9">
        <v>0</v>
      </c>
      <c r="P241" s="9">
        <v>0</v>
      </c>
      <c r="Q241" s="9">
        <v>0</v>
      </c>
      <c r="R241" s="9">
        <v>0</v>
      </c>
      <c r="S241" s="9">
        <v>0</v>
      </c>
      <c r="T241" s="9">
        <v>0</v>
      </c>
      <c r="U241" s="9">
        <v>0</v>
      </c>
      <c r="V241" s="9">
        <v>0</v>
      </c>
      <c r="W241" s="9">
        <v>0</v>
      </c>
      <c r="X241" s="9">
        <v>0</v>
      </c>
      <c r="Y241" s="9">
        <v>0</v>
      </c>
      <c r="Z241" s="9">
        <v>0</v>
      </c>
      <c r="AA241" s="9">
        <v>0</v>
      </c>
      <c r="AB241" s="9">
        <v>0</v>
      </c>
      <c r="AC241" s="9">
        <v>0</v>
      </c>
      <c r="AD241" s="9">
        <v>0</v>
      </c>
      <c r="AE241" s="9">
        <v>0</v>
      </c>
      <c r="AF241" s="9">
        <v>0</v>
      </c>
      <c r="AG241" s="9">
        <v>0</v>
      </c>
      <c r="AH241" s="9">
        <v>0</v>
      </c>
      <c r="AI241" s="9">
        <v>0</v>
      </c>
      <c r="AJ241" s="9">
        <v>0</v>
      </c>
      <c r="AK241" s="9">
        <v>0</v>
      </c>
      <c r="AL241" s="9">
        <v>0</v>
      </c>
      <c r="AM241" s="9">
        <v>0</v>
      </c>
      <c r="AN241" s="9">
        <v>0</v>
      </c>
      <c r="AO241" s="9">
        <v>0</v>
      </c>
      <c r="AP241" s="9">
        <v>0</v>
      </c>
      <c r="AQ241" s="9">
        <v>0</v>
      </c>
      <c r="AR241" s="9">
        <v>0</v>
      </c>
      <c r="AS241" s="9">
        <v>0</v>
      </c>
      <c r="AT241" s="9">
        <v>0</v>
      </c>
      <c r="AU241" s="9">
        <v>0</v>
      </c>
      <c r="AV241" s="9">
        <v>0</v>
      </c>
      <c r="AW241" s="9">
        <v>0</v>
      </c>
      <c r="AX241" s="9">
        <v>0</v>
      </c>
      <c r="AY241" s="9">
        <v>0</v>
      </c>
      <c r="AZ241" s="9">
        <v>0</v>
      </c>
      <c r="BA241" s="9">
        <v>0</v>
      </c>
      <c r="BB241" s="9">
        <v>0</v>
      </c>
      <c r="BC241" s="9">
        <v>0</v>
      </c>
      <c r="BD241" s="9">
        <v>0</v>
      </c>
      <c r="BE241" s="9">
        <v>0</v>
      </c>
      <c r="BF241" s="9">
        <v>0</v>
      </c>
      <c r="BG241" s="9">
        <v>0</v>
      </c>
      <c r="BH241" s="9">
        <v>0</v>
      </c>
      <c r="BI241" s="9">
        <v>0</v>
      </c>
      <c r="BJ241" s="9">
        <v>0</v>
      </c>
      <c r="BK241" s="9">
        <v>0</v>
      </c>
      <c r="BL241" s="9">
        <v>0</v>
      </c>
      <c r="BM241" s="9">
        <v>0</v>
      </c>
      <c r="BN241" s="9">
        <v>0</v>
      </c>
      <c r="BO241" s="9">
        <v>0</v>
      </c>
      <c r="BP241" s="9">
        <v>0</v>
      </c>
      <c r="BQ241" s="9">
        <v>0</v>
      </c>
      <c r="BR241" s="9">
        <v>0</v>
      </c>
      <c r="BS241" s="9">
        <v>0</v>
      </c>
      <c r="BT241" s="9">
        <v>0</v>
      </c>
      <c r="BU241" s="9">
        <v>0</v>
      </c>
      <c r="BV241" s="9">
        <v>0</v>
      </c>
      <c r="BW241" s="9">
        <v>0</v>
      </c>
      <c r="BX241" s="9">
        <v>0</v>
      </c>
      <c r="BY241" s="9">
        <v>0</v>
      </c>
      <c r="BZ241" s="9">
        <v>0</v>
      </c>
      <c r="CA241" s="9">
        <v>0</v>
      </c>
      <c r="CB241" s="9">
        <v>0</v>
      </c>
      <c r="CC241" s="9">
        <v>0</v>
      </c>
      <c r="CD241" s="9">
        <v>0</v>
      </c>
      <c r="CE241" s="9">
        <v>0</v>
      </c>
      <c r="CF241" s="9">
        <v>0</v>
      </c>
      <c r="CG241" s="9">
        <v>0</v>
      </c>
      <c r="CH241" s="9">
        <v>0</v>
      </c>
      <c r="CI241" s="9">
        <v>0</v>
      </c>
      <c r="CJ241" s="9">
        <v>0</v>
      </c>
      <c r="CK241" s="9">
        <v>0</v>
      </c>
      <c r="CL241" s="9">
        <v>0</v>
      </c>
      <c r="CM241" s="9">
        <v>0</v>
      </c>
      <c r="CN241" s="9">
        <v>0</v>
      </c>
      <c r="CO241" s="9">
        <v>0</v>
      </c>
      <c r="CP241" s="9">
        <v>0</v>
      </c>
      <c r="CQ241" s="9">
        <v>0</v>
      </c>
      <c r="CR241" s="9">
        <v>0</v>
      </c>
      <c r="CS241" s="9">
        <v>0</v>
      </c>
      <c r="CT241" s="9">
        <v>0</v>
      </c>
      <c r="CU241" s="9">
        <v>0</v>
      </c>
      <c r="CV241" s="9">
        <v>0</v>
      </c>
      <c r="CW241" s="9">
        <v>0</v>
      </c>
      <c r="CX241" s="9">
        <v>0</v>
      </c>
      <c r="CY241" s="9">
        <v>0</v>
      </c>
      <c r="CZ241" s="9">
        <v>0</v>
      </c>
      <c r="DA241" s="9">
        <v>0</v>
      </c>
      <c r="DB241" s="9">
        <v>0</v>
      </c>
      <c r="DC241" s="9">
        <v>0</v>
      </c>
      <c r="DD241" s="9">
        <v>0</v>
      </c>
      <c r="DE241" s="9">
        <v>0</v>
      </c>
      <c r="DF241" s="9">
        <v>0</v>
      </c>
      <c r="DG241" s="9">
        <v>0</v>
      </c>
      <c r="DH241" s="9">
        <v>0</v>
      </c>
      <c r="DI241" s="9">
        <v>0</v>
      </c>
      <c r="DJ241" s="9">
        <v>0</v>
      </c>
      <c r="DK241" s="9">
        <v>0</v>
      </c>
      <c r="DL241" s="9">
        <v>0</v>
      </c>
      <c r="DM241" s="9">
        <v>0</v>
      </c>
      <c r="DN241" s="9">
        <v>0</v>
      </c>
      <c r="DO241" s="9">
        <v>0</v>
      </c>
      <c r="DP241" s="9">
        <v>0</v>
      </c>
      <c r="DQ241" s="9">
        <v>0</v>
      </c>
      <c r="DR241" s="9">
        <v>0</v>
      </c>
      <c r="DS241" s="9">
        <v>0</v>
      </c>
      <c r="DT241" s="9">
        <v>0</v>
      </c>
      <c r="DU241" s="9">
        <v>0</v>
      </c>
      <c r="DV241" s="9">
        <v>0</v>
      </c>
      <c r="DW241" s="9">
        <v>0</v>
      </c>
      <c r="DX241" s="9">
        <v>0</v>
      </c>
      <c r="DY241" s="9">
        <v>0</v>
      </c>
      <c r="DZ241" s="9">
        <v>0</v>
      </c>
      <c r="EA241" s="9">
        <v>0</v>
      </c>
      <c r="EB241" s="9">
        <v>0</v>
      </c>
      <c r="EC241" s="9">
        <v>0</v>
      </c>
      <c r="ED241" s="9">
        <v>0</v>
      </c>
      <c r="EE241" s="9">
        <v>0</v>
      </c>
      <c r="EF241" s="9">
        <v>0</v>
      </c>
      <c r="EG241" s="9">
        <v>0</v>
      </c>
      <c r="EH241" s="9">
        <v>0</v>
      </c>
      <c r="EI241" s="10">
        <v>0</v>
      </c>
    </row>
    <row r="242" spans="1:139" x14ac:dyDescent="0.35">
      <c r="A242" s="8" t="s">
        <v>413</v>
      </c>
      <c r="B242" s="9" t="s">
        <v>422</v>
      </c>
      <c r="C242" s="9" t="s">
        <v>423</v>
      </c>
      <c r="D242" s="9">
        <f t="shared" si="3"/>
        <v>0</v>
      </c>
      <c r="E242" s="9">
        <v>0</v>
      </c>
      <c r="F242" s="9">
        <v>0</v>
      </c>
      <c r="G242" s="9">
        <v>0</v>
      </c>
      <c r="H242" s="9">
        <v>0</v>
      </c>
      <c r="I242" s="9">
        <v>0</v>
      </c>
      <c r="J242" s="9">
        <v>0</v>
      </c>
      <c r="K242" s="9">
        <v>0</v>
      </c>
      <c r="L242" s="9">
        <v>0</v>
      </c>
      <c r="M242" s="9">
        <v>0</v>
      </c>
      <c r="N242" s="9">
        <v>0</v>
      </c>
      <c r="O242" s="9">
        <v>0</v>
      </c>
      <c r="P242" s="9">
        <v>0</v>
      </c>
      <c r="Q242" s="9">
        <v>0</v>
      </c>
      <c r="R242" s="9">
        <v>0</v>
      </c>
      <c r="S242" s="9">
        <v>0</v>
      </c>
      <c r="T242" s="9">
        <v>0</v>
      </c>
      <c r="U242" s="9">
        <v>0</v>
      </c>
      <c r="V242" s="9">
        <v>0</v>
      </c>
      <c r="W242" s="9">
        <v>0</v>
      </c>
      <c r="X242" s="9">
        <v>0</v>
      </c>
      <c r="Y242" s="9">
        <v>0</v>
      </c>
      <c r="Z242" s="9">
        <v>0</v>
      </c>
      <c r="AA242" s="9">
        <v>0</v>
      </c>
      <c r="AB242" s="9">
        <v>0</v>
      </c>
      <c r="AC242" s="9">
        <v>0</v>
      </c>
      <c r="AD242" s="9">
        <v>0</v>
      </c>
      <c r="AE242" s="9">
        <v>0</v>
      </c>
      <c r="AF242" s="9">
        <v>0</v>
      </c>
      <c r="AG242" s="9">
        <v>0</v>
      </c>
      <c r="AH242" s="9">
        <v>0</v>
      </c>
      <c r="AI242" s="9">
        <v>0</v>
      </c>
      <c r="AJ242" s="9">
        <v>0</v>
      </c>
      <c r="AK242" s="9">
        <v>0</v>
      </c>
      <c r="AL242" s="9">
        <v>0</v>
      </c>
      <c r="AM242" s="9">
        <v>0</v>
      </c>
      <c r="AN242" s="9">
        <v>0</v>
      </c>
      <c r="AO242" s="9">
        <v>0</v>
      </c>
      <c r="AP242" s="9">
        <v>0</v>
      </c>
      <c r="AQ242" s="9">
        <v>0</v>
      </c>
      <c r="AR242" s="9">
        <v>0</v>
      </c>
      <c r="AS242" s="9">
        <v>0</v>
      </c>
      <c r="AT242" s="9">
        <v>0</v>
      </c>
      <c r="AU242" s="9">
        <v>0</v>
      </c>
      <c r="AV242" s="9">
        <v>0</v>
      </c>
      <c r="AW242" s="9">
        <v>0</v>
      </c>
      <c r="AX242" s="9">
        <v>0</v>
      </c>
      <c r="AY242" s="9">
        <v>0</v>
      </c>
      <c r="AZ242" s="9">
        <v>0</v>
      </c>
      <c r="BA242" s="9">
        <v>0</v>
      </c>
      <c r="BB242" s="9">
        <v>0</v>
      </c>
      <c r="BC242" s="9">
        <v>0</v>
      </c>
      <c r="BD242" s="9">
        <v>0</v>
      </c>
      <c r="BE242" s="9">
        <v>0</v>
      </c>
      <c r="BF242" s="9">
        <v>0</v>
      </c>
      <c r="BG242" s="9">
        <v>0</v>
      </c>
      <c r="BH242" s="9">
        <v>0</v>
      </c>
      <c r="BI242" s="9">
        <v>0</v>
      </c>
      <c r="BJ242" s="9">
        <v>0</v>
      </c>
      <c r="BK242" s="9">
        <v>0</v>
      </c>
      <c r="BL242" s="9">
        <v>0</v>
      </c>
      <c r="BM242" s="9">
        <v>0</v>
      </c>
      <c r="BN242" s="9">
        <v>0</v>
      </c>
      <c r="BO242" s="9">
        <v>0</v>
      </c>
      <c r="BP242" s="9">
        <v>0</v>
      </c>
      <c r="BQ242" s="9">
        <v>0</v>
      </c>
      <c r="BR242" s="9">
        <v>0</v>
      </c>
      <c r="BS242" s="9">
        <v>0</v>
      </c>
      <c r="BT242" s="9">
        <v>0</v>
      </c>
      <c r="BU242" s="9">
        <v>0</v>
      </c>
      <c r="BV242" s="9">
        <v>0</v>
      </c>
      <c r="BW242" s="9">
        <v>0</v>
      </c>
      <c r="BX242" s="9">
        <v>0</v>
      </c>
      <c r="BY242" s="9">
        <v>0</v>
      </c>
      <c r="BZ242" s="9">
        <v>0</v>
      </c>
      <c r="CA242" s="9">
        <v>0</v>
      </c>
      <c r="CB242" s="9">
        <v>0</v>
      </c>
      <c r="CC242" s="9">
        <v>0</v>
      </c>
      <c r="CD242" s="9">
        <v>0</v>
      </c>
      <c r="CE242" s="9">
        <v>0</v>
      </c>
      <c r="CF242" s="9">
        <v>0</v>
      </c>
      <c r="CG242" s="9">
        <v>0</v>
      </c>
      <c r="CH242" s="9">
        <v>0</v>
      </c>
      <c r="CI242" s="9">
        <v>0</v>
      </c>
      <c r="CJ242" s="9">
        <v>0</v>
      </c>
      <c r="CK242" s="9">
        <v>0</v>
      </c>
      <c r="CL242" s="9">
        <v>0</v>
      </c>
      <c r="CM242" s="9">
        <v>0</v>
      </c>
      <c r="CN242" s="9">
        <v>0</v>
      </c>
      <c r="CO242" s="9">
        <v>0</v>
      </c>
      <c r="CP242" s="9">
        <v>0</v>
      </c>
      <c r="CQ242" s="9">
        <v>0</v>
      </c>
      <c r="CR242" s="9">
        <v>0</v>
      </c>
      <c r="CS242" s="9">
        <v>0</v>
      </c>
      <c r="CT242" s="9">
        <v>0</v>
      </c>
      <c r="CU242" s="9">
        <v>0</v>
      </c>
      <c r="CV242" s="9">
        <v>0</v>
      </c>
      <c r="CW242" s="9">
        <v>0</v>
      </c>
      <c r="CX242" s="9">
        <v>0</v>
      </c>
      <c r="CY242" s="9">
        <v>0</v>
      </c>
      <c r="CZ242" s="9">
        <v>0</v>
      </c>
      <c r="DA242" s="9">
        <v>0</v>
      </c>
      <c r="DB242" s="9">
        <v>0</v>
      </c>
      <c r="DC242" s="9">
        <v>0</v>
      </c>
      <c r="DD242" s="9">
        <v>0</v>
      </c>
      <c r="DE242" s="9">
        <v>0</v>
      </c>
      <c r="DF242" s="9">
        <v>0</v>
      </c>
      <c r="DG242" s="9">
        <v>0</v>
      </c>
      <c r="DH242" s="9">
        <v>0</v>
      </c>
      <c r="DI242" s="9">
        <v>0</v>
      </c>
      <c r="DJ242" s="9">
        <v>0</v>
      </c>
      <c r="DK242" s="9">
        <v>0</v>
      </c>
      <c r="DL242" s="9">
        <v>0</v>
      </c>
      <c r="DM242" s="9">
        <v>0</v>
      </c>
      <c r="DN242" s="9">
        <v>0</v>
      </c>
      <c r="DO242" s="9">
        <v>0</v>
      </c>
      <c r="DP242" s="9">
        <v>0</v>
      </c>
      <c r="DQ242" s="9">
        <v>0</v>
      </c>
      <c r="DR242" s="9">
        <v>0</v>
      </c>
      <c r="DS242" s="9">
        <v>0</v>
      </c>
      <c r="DT242" s="9">
        <v>0</v>
      </c>
      <c r="DU242" s="9">
        <v>0</v>
      </c>
      <c r="DV242" s="9">
        <v>0</v>
      </c>
      <c r="DW242" s="9">
        <v>0</v>
      </c>
      <c r="DX242" s="9">
        <v>0</v>
      </c>
      <c r="DY242" s="9">
        <v>0</v>
      </c>
      <c r="DZ242" s="9">
        <v>0</v>
      </c>
      <c r="EA242" s="9">
        <v>0</v>
      </c>
      <c r="EB242" s="9">
        <v>0</v>
      </c>
      <c r="EC242" s="9">
        <v>0</v>
      </c>
      <c r="ED242" s="9">
        <v>0</v>
      </c>
      <c r="EE242" s="9">
        <v>0</v>
      </c>
      <c r="EF242" s="9">
        <v>0</v>
      </c>
      <c r="EG242" s="9">
        <v>0</v>
      </c>
      <c r="EH242" s="9">
        <v>0</v>
      </c>
      <c r="EI242" s="10">
        <v>0</v>
      </c>
    </row>
    <row r="243" spans="1:139" x14ac:dyDescent="0.35">
      <c r="A243" s="8" t="s">
        <v>413</v>
      </c>
      <c r="B243" s="9" t="s">
        <v>424</v>
      </c>
      <c r="C243" s="9" t="s">
        <v>425</v>
      </c>
      <c r="D243" s="9">
        <f t="shared" si="3"/>
        <v>17</v>
      </c>
      <c r="E243" s="9">
        <v>0</v>
      </c>
      <c r="F243" s="9">
        <v>0</v>
      </c>
      <c r="G243" s="9">
        <v>0</v>
      </c>
      <c r="H243" s="9">
        <v>0</v>
      </c>
      <c r="I243" s="9">
        <v>0</v>
      </c>
      <c r="J243" s="9">
        <v>0</v>
      </c>
      <c r="K243" s="9">
        <v>0</v>
      </c>
      <c r="L243" s="9">
        <v>0</v>
      </c>
      <c r="M243" s="9">
        <v>0</v>
      </c>
      <c r="N243" s="9">
        <v>0</v>
      </c>
      <c r="O243" s="9">
        <v>0</v>
      </c>
      <c r="P243" s="9">
        <v>0</v>
      </c>
      <c r="Q243" s="9">
        <v>0</v>
      </c>
      <c r="R243" s="9">
        <v>0</v>
      </c>
      <c r="S243" s="9">
        <v>0</v>
      </c>
      <c r="T243" s="9">
        <v>0</v>
      </c>
      <c r="U243" s="9">
        <v>0</v>
      </c>
      <c r="V243" s="9">
        <v>0</v>
      </c>
      <c r="W243" s="9">
        <v>0</v>
      </c>
      <c r="X243" s="9">
        <v>0</v>
      </c>
      <c r="Y243" s="9">
        <v>0</v>
      </c>
      <c r="Z243" s="9">
        <v>0</v>
      </c>
      <c r="AA243" s="9">
        <v>0</v>
      </c>
      <c r="AB243" s="9">
        <v>0</v>
      </c>
      <c r="AC243" s="9">
        <v>0</v>
      </c>
      <c r="AD243" s="9">
        <v>0</v>
      </c>
      <c r="AE243" s="9">
        <v>0</v>
      </c>
      <c r="AF243" s="9">
        <v>0</v>
      </c>
      <c r="AG243" s="9">
        <v>0</v>
      </c>
      <c r="AH243" s="9">
        <v>0</v>
      </c>
      <c r="AI243" s="9">
        <v>0</v>
      </c>
      <c r="AJ243" s="9">
        <v>0</v>
      </c>
      <c r="AK243" s="9">
        <v>0</v>
      </c>
      <c r="AL243" s="9">
        <v>0</v>
      </c>
      <c r="AM243" s="9">
        <v>1</v>
      </c>
      <c r="AN243" s="9">
        <v>1</v>
      </c>
      <c r="AO243" s="9">
        <v>2</v>
      </c>
      <c r="AP243" s="9">
        <v>0</v>
      </c>
      <c r="AQ243" s="9">
        <v>1</v>
      </c>
      <c r="AR243" s="9">
        <v>0</v>
      </c>
      <c r="AS243" s="9">
        <v>1</v>
      </c>
      <c r="AT243" s="9">
        <v>1</v>
      </c>
      <c r="AU243" s="9">
        <v>0</v>
      </c>
      <c r="AV243" s="9">
        <v>0</v>
      </c>
      <c r="AW243" s="9">
        <v>0</v>
      </c>
      <c r="AX243" s="9">
        <v>0</v>
      </c>
      <c r="AY243" s="9">
        <v>0</v>
      </c>
      <c r="AZ243" s="9">
        <v>0</v>
      </c>
      <c r="BA243" s="9">
        <v>0</v>
      </c>
      <c r="BB243" s="9">
        <v>1</v>
      </c>
      <c r="BC243" s="9">
        <v>0</v>
      </c>
      <c r="BD243" s="9">
        <v>0</v>
      </c>
      <c r="BE243" s="9">
        <v>0</v>
      </c>
      <c r="BF243" s="9">
        <v>0</v>
      </c>
      <c r="BG243" s="9">
        <v>0</v>
      </c>
      <c r="BH243" s="9">
        <v>0</v>
      </c>
      <c r="BI243" s="9">
        <v>1</v>
      </c>
      <c r="BJ243" s="9">
        <v>1</v>
      </c>
      <c r="BK243" s="9">
        <v>1</v>
      </c>
      <c r="BL243" s="9">
        <v>0</v>
      </c>
      <c r="BM243" s="9">
        <v>0</v>
      </c>
      <c r="BN243" s="9">
        <v>1</v>
      </c>
      <c r="BO243" s="9">
        <v>1</v>
      </c>
      <c r="BP243" s="9">
        <v>0</v>
      </c>
      <c r="BQ243" s="9">
        <v>0</v>
      </c>
      <c r="BR243" s="9">
        <v>0</v>
      </c>
      <c r="BS243" s="9">
        <v>0</v>
      </c>
      <c r="BT243" s="9">
        <v>1</v>
      </c>
      <c r="BU243" s="9">
        <v>0</v>
      </c>
      <c r="BV243" s="9">
        <v>1</v>
      </c>
      <c r="BW243" s="9">
        <v>0</v>
      </c>
      <c r="BX243" s="9">
        <v>0</v>
      </c>
      <c r="BY243" s="9">
        <v>0</v>
      </c>
      <c r="BZ243" s="9">
        <v>0</v>
      </c>
      <c r="CA243" s="9">
        <v>0</v>
      </c>
      <c r="CB243" s="9">
        <v>0</v>
      </c>
      <c r="CC243" s="9">
        <v>0</v>
      </c>
      <c r="CD243" s="9">
        <v>0</v>
      </c>
      <c r="CE243" s="9">
        <v>0</v>
      </c>
      <c r="CF243" s="9">
        <v>0</v>
      </c>
      <c r="CG243" s="9">
        <v>0</v>
      </c>
      <c r="CH243" s="9">
        <v>0</v>
      </c>
      <c r="CI243" s="9">
        <v>1</v>
      </c>
      <c r="CJ243" s="9">
        <v>0</v>
      </c>
      <c r="CK243" s="9">
        <v>0</v>
      </c>
      <c r="CL243" s="9">
        <v>0</v>
      </c>
      <c r="CM243" s="9">
        <v>0</v>
      </c>
      <c r="CN243" s="9">
        <v>0</v>
      </c>
      <c r="CO243" s="9">
        <v>0</v>
      </c>
      <c r="CP243" s="9">
        <v>0</v>
      </c>
      <c r="CQ243" s="9">
        <v>0</v>
      </c>
      <c r="CR243" s="9">
        <v>0</v>
      </c>
      <c r="CS243" s="9">
        <v>1</v>
      </c>
      <c r="CT243" s="9">
        <v>0</v>
      </c>
      <c r="CU243" s="9">
        <v>0</v>
      </c>
      <c r="CV243" s="9">
        <v>0</v>
      </c>
      <c r="CW243" s="9">
        <v>0</v>
      </c>
      <c r="CX243" s="9">
        <v>0</v>
      </c>
      <c r="CY243" s="9">
        <v>0</v>
      </c>
      <c r="CZ243" s="9">
        <v>0</v>
      </c>
      <c r="DA243" s="9">
        <v>0</v>
      </c>
      <c r="DB243" s="9">
        <v>0</v>
      </c>
      <c r="DC243" s="9">
        <v>0</v>
      </c>
      <c r="DD243" s="9">
        <v>0</v>
      </c>
      <c r="DE243" s="9">
        <v>0</v>
      </c>
      <c r="DF243" s="9">
        <v>0</v>
      </c>
      <c r="DG243" s="9">
        <v>0</v>
      </c>
      <c r="DH243" s="9">
        <v>0</v>
      </c>
      <c r="DI243" s="9">
        <v>0</v>
      </c>
      <c r="DJ243" s="9">
        <v>0</v>
      </c>
      <c r="DK243" s="9">
        <v>0</v>
      </c>
      <c r="DL243" s="9">
        <v>0</v>
      </c>
      <c r="DM243" s="9">
        <v>0</v>
      </c>
      <c r="DN243" s="9">
        <v>0</v>
      </c>
      <c r="DO243" s="9">
        <v>0</v>
      </c>
      <c r="DP243" s="9">
        <v>0</v>
      </c>
      <c r="DQ243" s="9">
        <v>0</v>
      </c>
      <c r="DR243" s="9">
        <v>0</v>
      </c>
      <c r="DS243" s="9">
        <v>0</v>
      </c>
      <c r="DT243" s="9">
        <v>0</v>
      </c>
      <c r="DU243" s="9">
        <v>0</v>
      </c>
      <c r="DV243" s="9">
        <v>0</v>
      </c>
      <c r="DW243" s="9">
        <v>0</v>
      </c>
      <c r="DX243" s="9">
        <v>0</v>
      </c>
      <c r="DY243" s="9">
        <v>0</v>
      </c>
      <c r="DZ243" s="9">
        <v>0</v>
      </c>
      <c r="EA243" s="9">
        <v>0</v>
      </c>
      <c r="EB243" s="9">
        <v>0</v>
      </c>
      <c r="EC243" s="9">
        <v>0</v>
      </c>
      <c r="ED243" s="9">
        <v>0</v>
      </c>
      <c r="EE243" s="9">
        <v>0</v>
      </c>
      <c r="EF243" s="9">
        <v>0</v>
      </c>
      <c r="EG243" s="9">
        <v>0</v>
      </c>
      <c r="EH243" s="9">
        <v>0</v>
      </c>
      <c r="EI243" s="10">
        <v>0</v>
      </c>
    </row>
    <row r="244" spans="1:139" x14ac:dyDescent="0.35">
      <c r="A244" s="8" t="s">
        <v>413</v>
      </c>
      <c r="B244" s="9" t="s">
        <v>19</v>
      </c>
      <c r="C244" s="9" t="s">
        <v>20</v>
      </c>
      <c r="D244" s="9">
        <f t="shared" si="3"/>
        <v>23</v>
      </c>
      <c r="E244" s="9">
        <v>0</v>
      </c>
      <c r="F244" s="9">
        <v>0</v>
      </c>
      <c r="G244" s="9">
        <v>0</v>
      </c>
      <c r="H244" s="9">
        <v>0</v>
      </c>
      <c r="I244" s="9">
        <v>0</v>
      </c>
      <c r="J244" s="9">
        <v>0</v>
      </c>
      <c r="K244" s="9">
        <v>0</v>
      </c>
      <c r="L244" s="9">
        <v>0</v>
      </c>
      <c r="M244" s="9">
        <v>0</v>
      </c>
      <c r="N244" s="9">
        <v>0</v>
      </c>
      <c r="O244" s="9">
        <v>0</v>
      </c>
      <c r="P244" s="9">
        <v>0</v>
      </c>
      <c r="Q244" s="9">
        <v>0</v>
      </c>
      <c r="R244" s="9">
        <v>0</v>
      </c>
      <c r="S244" s="9">
        <v>2</v>
      </c>
      <c r="T244" s="9">
        <v>0</v>
      </c>
      <c r="U244" s="9">
        <v>0</v>
      </c>
      <c r="V244" s="9">
        <v>0</v>
      </c>
      <c r="W244" s="9">
        <v>0</v>
      </c>
      <c r="X244" s="9">
        <v>3</v>
      </c>
      <c r="Y244" s="9">
        <v>2</v>
      </c>
      <c r="Z244" s="9">
        <v>0</v>
      </c>
      <c r="AA244" s="9">
        <v>1</v>
      </c>
      <c r="AB244" s="9">
        <v>1</v>
      </c>
      <c r="AC244" s="9">
        <v>0</v>
      </c>
      <c r="AD244" s="9">
        <v>0</v>
      </c>
      <c r="AE244" s="9">
        <v>0</v>
      </c>
      <c r="AF244" s="9">
        <v>0</v>
      </c>
      <c r="AG244" s="9">
        <v>0</v>
      </c>
      <c r="AH244" s="9">
        <v>0</v>
      </c>
      <c r="AI244" s="9">
        <v>0</v>
      </c>
      <c r="AJ244" s="9">
        <v>0</v>
      </c>
      <c r="AK244" s="9">
        <v>1</v>
      </c>
      <c r="AL244" s="9">
        <v>0</v>
      </c>
      <c r="AM244" s="9">
        <v>0</v>
      </c>
      <c r="AN244" s="9">
        <v>1</v>
      </c>
      <c r="AO244" s="9">
        <v>2</v>
      </c>
      <c r="AP244" s="9">
        <v>2</v>
      </c>
      <c r="AQ244" s="9">
        <v>2</v>
      </c>
      <c r="AR244" s="9">
        <v>0</v>
      </c>
      <c r="AS244" s="9">
        <v>0</v>
      </c>
      <c r="AT244" s="9">
        <v>0</v>
      </c>
      <c r="AU244" s="9">
        <v>2</v>
      </c>
      <c r="AV244" s="9">
        <v>2</v>
      </c>
      <c r="AW244" s="9">
        <v>0</v>
      </c>
      <c r="AX244" s="9">
        <v>0</v>
      </c>
      <c r="AY244" s="9">
        <v>0</v>
      </c>
      <c r="AZ244" s="9">
        <v>0</v>
      </c>
      <c r="BA244" s="9">
        <v>2</v>
      </c>
      <c r="BB244" s="9">
        <v>0</v>
      </c>
      <c r="BC244" s="9">
        <v>0</v>
      </c>
      <c r="BD244" s="9">
        <v>0</v>
      </c>
      <c r="BE244" s="9">
        <v>0</v>
      </c>
      <c r="BF244" s="9">
        <v>0</v>
      </c>
      <c r="BG244" s="9">
        <v>0</v>
      </c>
      <c r="BH244" s="9">
        <v>0</v>
      </c>
      <c r="BI244" s="9">
        <v>0</v>
      </c>
      <c r="BJ244" s="9">
        <v>0</v>
      </c>
      <c r="BK244" s="9">
        <v>0</v>
      </c>
      <c r="BL244" s="9">
        <v>0</v>
      </c>
      <c r="BM244" s="9">
        <v>0</v>
      </c>
      <c r="BN244" s="9">
        <v>0</v>
      </c>
      <c r="BO244" s="9">
        <v>0</v>
      </c>
      <c r="BP244" s="9">
        <v>0</v>
      </c>
      <c r="BQ244" s="9">
        <v>0</v>
      </c>
      <c r="BR244" s="9">
        <v>0</v>
      </c>
      <c r="BS244" s="9">
        <v>0</v>
      </c>
      <c r="BT244" s="9">
        <v>0</v>
      </c>
      <c r="BU244" s="9">
        <v>0</v>
      </c>
      <c r="BV244" s="9">
        <v>0</v>
      </c>
      <c r="BW244" s="9">
        <v>0</v>
      </c>
      <c r="BX244" s="9">
        <v>0</v>
      </c>
      <c r="BY244" s="9">
        <v>0</v>
      </c>
      <c r="BZ244" s="9">
        <v>0</v>
      </c>
      <c r="CA244" s="9">
        <v>0</v>
      </c>
      <c r="CB244" s="9">
        <v>0</v>
      </c>
      <c r="CC244" s="9">
        <v>0</v>
      </c>
      <c r="CD244" s="9">
        <v>0</v>
      </c>
      <c r="CE244" s="9">
        <v>0</v>
      </c>
      <c r="CF244" s="9">
        <v>0</v>
      </c>
      <c r="CG244" s="9">
        <v>0</v>
      </c>
      <c r="CH244" s="9">
        <v>0</v>
      </c>
      <c r="CI244" s="9">
        <v>0</v>
      </c>
      <c r="CJ244" s="9">
        <v>0</v>
      </c>
      <c r="CK244" s="9">
        <v>0</v>
      </c>
      <c r="CL244" s="9">
        <v>0</v>
      </c>
      <c r="CM244" s="9">
        <v>0</v>
      </c>
      <c r="CN244" s="9">
        <v>0</v>
      </c>
      <c r="CO244" s="9">
        <v>0</v>
      </c>
      <c r="CP244" s="9">
        <v>0</v>
      </c>
      <c r="CQ244" s="9">
        <v>0</v>
      </c>
      <c r="CR244" s="9">
        <v>0</v>
      </c>
      <c r="CS244" s="9">
        <v>0</v>
      </c>
      <c r="CT244" s="9">
        <v>0</v>
      </c>
      <c r="CU244" s="9">
        <v>0</v>
      </c>
      <c r="CV244" s="9">
        <v>0</v>
      </c>
      <c r="CW244" s="9">
        <v>0</v>
      </c>
      <c r="CX244" s="9">
        <v>0</v>
      </c>
      <c r="CY244" s="9">
        <v>0</v>
      </c>
      <c r="CZ244" s="9">
        <v>0</v>
      </c>
      <c r="DA244" s="9">
        <v>0</v>
      </c>
      <c r="DB244" s="9">
        <v>0</v>
      </c>
      <c r="DC244" s="9">
        <v>0</v>
      </c>
      <c r="DD244" s="9">
        <v>0</v>
      </c>
      <c r="DE244" s="9">
        <v>0</v>
      </c>
      <c r="DF244" s="9">
        <v>0</v>
      </c>
      <c r="DG244" s="9">
        <v>0</v>
      </c>
      <c r="DH244" s="9">
        <v>0</v>
      </c>
      <c r="DI244" s="9">
        <v>0</v>
      </c>
      <c r="DJ244" s="9">
        <v>0</v>
      </c>
      <c r="DK244" s="9">
        <v>0</v>
      </c>
      <c r="DL244" s="9">
        <v>0</v>
      </c>
      <c r="DM244" s="9">
        <v>0</v>
      </c>
      <c r="DN244" s="9">
        <v>0</v>
      </c>
      <c r="DO244" s="9">
        <v>0</v>
      </c>
      <c r="DP244" s="9">
        <v>0</v>
      </c>
      <c r="DQ244" s="9">
        <v>0</v>
      </c>
      <c r="DR244" s="9">
        <v>0</v>
      </c>
      <c r="DS244" s="9">
        <v>0</v>
      </c>
      <c r="DT244" s="9">
        <v>0</v>
      </c>
      <c r="DU244" s="9">
        <v>0</v>
      </c>
      <c r="DV244" s="9">
        <v>0</v>
      </c>
      <c r="DW244" s="9">
        <v>0</v>
      </c>
      <c r="DX244" s="9">
        <v>0</v>
      </c>
      <c r="DY244" s="9">
        <v>0</v>
      </c>
      <c r="DZ244" s="9">
        <v>0</v>
      </c>
      <c r="EA244" s="9">
        <v>0</v>
      </c>
      <c r="EB244" s="9">
        <v>0</v>
      </c>
      <c r="EC244" s="9">
        <v>0</v>
      </c>
      <c r="ED244" s="9">
        <v>0</v>
      </c>
      <c r="EE244" s="9">
        <v>0</v>
      </c>
      <c r="EF244" s="9">
        <v>0</v>
      </c>
      <c r="EG244" s="9">
        <v>0</v>
      </c>
      <c r="EH244" s="9">
        <v>0</v>
      </c>
      <c r="EI244" s="10">
        <v>0</v>
      </c>
    </row>
    <row r="245" spans="1:139" x14ac:dyDescent="0.35">
      <c r="A245" s="8" t="s">
        <v>413</v>
      </c>
      <c r="B245" s="9" t="s">
        <v>21</v>
      </c>
      <c r="C245" s="9" t="s">
        <v>22</v>
      </c>
      <c r="D245" s="9">
        <f t="shared" si="3"/>
        <v>0</v>
      </c>
      <c r="E245" s="9">
        <v>0</v>
      </c>
      <c r="F245" s="9">
        <v>0</v>
      </c>
      <c r="G245" s="9">
        <v>0</v>
      </c>
      <c r="H245" s="9">
        <v>0</v>
      </c>
      <c r="I245" s="9">
        <v>0</v>
      </c>
      <c r="J245" s="9">
        <v>0</v>
      </c>
      <c r="K245" s="9">
        <v>0</v>
      </c>
      <c r="L245" s="9">
        <v>0</v>
      </c>
      <c r="M245" s="9">
        <v>0</v>
      </c>
      <c r="N245" s="9">
        <v>0</v>
      </c>
      <c r="O245" s="9">
        <v>0</v>
      </c>
      <c r="P245" s="9">
        <v>0</v>
      </c>
      <c r="Q245" s="9">
        <v>0</v>
      </c>
      <c r="R245" s="9">
        <v>0</v>
      </c>
      <c r="S245" s="9">
        <v>0</v>
      </c>
      <c r="T245" s="9">
        <v>0</v>
      </c>
      <c r="U245" s="9">
        <v>0</v>
      </c>
      <c r="V245" s="9">
        <v>0</v>
      </c>
      <c r="W245" s="9">
        <v>0</v>
      </c>
      <c r="X245" s="9">
        <v>0</v>
      </c>
      <c r="Y245" s="9">
        <v>0</v>
      </c>
      <c r="Z245" s="9">
        <v>0</v>
      </c>
      <c r="AA245" s="9">
        <v>0</v>
      </c>
      <c r="AB245" s="9">
        <v>0</v>
      </c>
      <c r="AC245" s="9">
        <v>0</v>
      </c>
      <c r="AD245" s="9">
        <v>0</v>
      </c>
      <c r="AE245" s="9">
        <v>0</v>
      </c>
      <c r="AF245" s="9">
        <v>0</v>
      </c>
      <c r="AG245" s="9">
        <v>0</v>
      </c>
      <c r="AH245" s="9">
        <v>0</v>
      </c>
      <c r="AI245" s="9">
        <v>0</v>
      </c>
      <c r="AJ245" s="9">
        <v>0</v>
      </c>
      <c r="AK245" s="9">
        <v>0</v>
      </c>
      <c r="AL245" s="9">
        <v>0</v>
      </c>
      <c r="AM245" s="9">
        <v>0</v>
      </c>
      <c r="AN245" s="9">
        <v>0</v>
      </c>
      <c r="AO245" s="9">
        <v>0</v>
      </c>
      <c r="AP245" s="9">
        <v>0</v>
      </c>
      <c r="AQ245" s="9">
        <v>0</v>
      </c>
      <c r="AR245" s="9">
        <v>0</v>
      </c>
      <c r="AS245" s="9">
        <v>0</v>
      </c>
      <c r="AT245" s="9">
        <v>0</v>
      </c>
      <c r="AU245" s="9">
        <v>0</v>
      </c>
      <c r="AV245" s="9">
        <v>0</v>
      </c>
      <c r="AW245" s="9">
        <v>0</v>
      </c>
      <c r="AX245" s="9">
        <v>0</v>
      </c>
      <c r="AY245" s="9">
        <v>0</v>
      </c>
      <c r="AZ245" s="9">
        <v>0</v>
      </c>
      <c r="BA245" s="9">
        <v>0</v>
      </c>
      <c r="BB245" s="9">
        <v>0</v>
      </c>
      <c r="BC245" s="9">
        <v>0</v>
      </c>
      <c r="BD245" s="9">
        <v>0</v>
      </c>
      <c r="BE245" s="9">
        <v>0</v>
      </c>
      <c r="BF245" s="9">
        <v>0</v>
      </c>
      <c r="BG245" s="9">
        <v>0</v>
      </c>
      <c r="BH245" s="9">
        <v>0</v>
      </c>
      <c r="BI245" s="9">
        <v>0</v>
      </c>
      <c r="BJ245" s="9">
        <v>0</v>
      </c>
      <c r="BK245" s="9">
        <v>0</v>
      </c>
      <c r="BL245" s="9">
        <v>0</v>
      </c>
      <c r="BM245" s="9">
        <v>0</v>
      </c>
      <c r="BN245" s="9">
        <v>0</v>
      </c>
      <c r="BO245" s="9">
        <v>0</v>
      </c>
      <c r="BP245" s="9">
        <v>0</v>
      </c>
      <c r="BQ245" s="9">
        <v>0</v>
      </c>
      <c r="BR245" s="9">
        <v>0</v>
      </c>
      <c r="BS245" s="9">
        <v>0</v>
      </c>
      <c r="BT245" s="9">
        <v>0</v>
      </c>
      <c r="BU245" s="9">
        <v>0</v>
      </c>
      <c r="BV245" s="9">
        <v>0</v>
      </c>
      <c r="BW245" s="9">
        <v>0</v>
      </c>
      <c r="BX245" s="9">
        <v>0</v>
      </c>
      <c r="BY245" s="9">
        <v>0</v>
      </c>
      <c r="BZ245" s="9">
        <v>0</v>
      </c>
      <c r="CA245" s="9">
        <v>0</v>
      </c>
      <c r="CB245" s="9">
        <v>0</v>
      </c>
      <c r="CC245" s="9">
        <v>0</v>
      </c>
      <c r="CD245" s="9">
        <v>0</v>
      </c>
      <c r="CE245" s="9">
        <v>0</v>
      </c>
      <c r="CF245" s="9">
        <v>0</v>
      </c>
      <c r="CG245" s="9">
        <v>0</v>
      </c>
      <c r="CH245" s="9">
        <v>0</v>
      </c>
      <c r="CI245" s="9">
        <v>0</v>
      </c>
      <c r="CJ245" s="9">
        <v>0</v>
      </c>
      <c r="CK245" s="9">
        <v>0</v>
      </c>
      <c r="CL245" s="9">
        <v>0</v>
      </c>
      <c r="CM245" s="9">
        <v>0</v>
      </c>
      <c r="CN245" s="9">
        <v>0</v>
      </c>
      <c r="CO245" s="9">
        <v>0</v>
      </c>
      <c r="CP245" s="9">
        <v>0</v>
      </c>
      <c r="CQ245" s="9">
        <v>0</v>
      </c>
      <c r="CR245" s="9">
        <v>0</v>
      </c>
      <c r="CS245" s="9">
        <v>0</v>
      </c>
      <c r="CT245" s="9">
        <v>0</v>
      </c>
      <c r="CU245" s="9">
        <v>0</v>
      </c>
      <c r="CV245" s="9">
        <v>0</v>
      </c>
      <c r="CW245" s="9">
        <v>0</v>
      </c>
      <c r="CX245" s="9">
        <v>0</v>
      </c>
      <c r="CY245" s="9">
        <v>0</v>
      </c>
      <c r="CZ245" s="9">
        <v>0</v>
      </c>
      <c r="DA245" s="9">
        <v>0</v>
      </c>
      <c r="DB245" s="9">
        <v>0</v>
      </c>
      <c r="DC245" s="9">
        <v>0</v>
      </c>
      <c r="DD245" s="9">
        <v>0</v>
      </c>
      <c r="DE245" s="9">
        <v>0</v>
      </c>
      <c r="DF245" s="9">
        <v>0</v>
      </c>
      <c r="DG245" s="9">
        <v>0</v>
      </c>
      <c r="DH245" s="9">
        <v>0</v>
      </c>
      <c r="DI245" s="9">
        <v>0</v>
      </c>
      <c r="DJ245" s="9">
        <v>0</v>
      </c>
      <c r="DK245" s="9">
        <v>0</v>
      </c>
      <c r="DL245" s="9">
        <v>0</v>
      </c>
      <c r="DM245" s="9">
        <v>0</v>
      </c>
      <c r="DN245" s="9">
        <v>0</v>
      </c>
      <c r="DO245" s="9">
        <v>0</v>
      </c>
      <c r="DP245" s="9">
        <v>0</v>
      </c>
      <c r="DQ245" s="9">
        <v>0</v>
      </c>
      <c r="DR245" s="9">
        <v>0</v>
      </c>
      <c r="DS245" s="9">
        <v>0</v>
      </c>
      <c r="DT245" s="9">
        <v>0</v>
      </c>
      <c r="DU245" s="9">
        <v>0</v>
      </c>
      <c r="DV245" s="9">
        <v>0</v>
      </c>
      <c r="DW245" s="9">
        <v>0</v>
      </c>
      <c r="DX245" s="9">
        <v>0</v>
      </c>
      <c r="DY245" s="9">
        <v>0</v>
      </c>
      <c r="DZ245" s="9">
        <v>0</v>
      </c>
      <c r="EA245" s="9">
        <v>0</v>
      </c>
      <c r="EB245" s="9">
        <v>0</v>
      </c>
      <c r="EC245" s="9">
        <v>0</v>
      </c>
      <c r="ED245" s="9">
        <v>0</v>
      </c>
      <c r="EE245" s="9">
        <v>0</v>
      </c>
      <c r="EF245" s="9">
        <v>0</v>
      </c>
      <c r="EG245" s="9">
        <v>0</v>
      </c>
      <c r="EH245" s="9">
        <v>0</v>
      </c>
      <c r="EI245" s="10">
        <v>0</v>
      </c>
    </row>
    <row r="246" spans="1:139" x14ac:dyDescent="0.35">
      <c r="A246" s="8" t="s">
        <v>413</v>
      </c>
      <c r="B246" s="9" t="s">
        <v>23</v>
      </c>
      <c r="C246" s="9" t="s">
        <v>24</v>
      </c>
      <c r="D246" s="9">
        <f t="shared" si="3"/>
        <v>13</v>
      </c>
      <c r="E246" s="9">
        <v>0</v>
      </c>
      <c r="F246" s="9">
        <v>0</v>
      </c>
      <c r="G246" s="9">
        <v>0</v>
      </c>
      <c r="H246" s="9">
        <v>0</v>
      </c>
      <c r="I246" s="9">
        <v>0</v>
      </c>
      <c r="J246" s="9">
        <v>0</v>
      </c>
      <c r="K246" s="9">
        <v>0</v>
      </c>
      <c r="L246" s="9">
        <v>0</v>
      </c>
      <c r="M246" s="9">
        <v>0</v>
      </c>
      <c r="N246" s="9">
        <v>0</v>
      </c>
      <c r="O246" s="9">
        <v>0</v>
      </c>
      <c r="P246" s="9">
        <v>0</v>
      </c>
      <c r="Q246" s="9">
        <v>0</v>
      </c>
      <c r="R246" s="9">
        <v>0</v>
      </c>
      <c r="S246" s="9">
        <v>1</v>
      </c>
      <c r="T246" s="9">
        <v>1</v>
      </c>
      <c r="U246" s="9">
        <v>0</v>
      </c>
      <c r="V246" s="9">
        <v>0</v>
      </c>
      <c r="W246" s="9">
        <v>2</v>
      </c>
      <c r="X246" s="9">
        <v>0</v>
      </c>
      <c r="Y246" s="9">
        <v>1</v>
      </c>
      <c r="Z246" s="9">
        <v>0</v>
      </c>
      <c r="AA246" s="9">
        <v>0</v>
      </c>
      <c r="AB246" s="9">
        <v>0</v>
      </c>
      <c r="AC246" s="9">
        <v>0</v>
      </c>
      <c r="AD246" s="9">
        <v>2</v>
      </c>
      <c r="AE246" s="9">
        <v>0</v>
      </c>
      <c r="AF246" s="9">
        <v>1</v>
      </c>
      <c r="AG246" s="9">
        <v>0</v>
      </c>
      <c r="AH246" s="9">
        <v>1</v>
      </c>
      <c r="AI246" s="9">
        <v>0</v>
      </c>
      <c r="AJ246" s="9">
        <v>1</v>
      </c>
      <c r="AK246" s="9">
        <v>0</v>
      </c>
      <c r="AL246" s="9">
        <v>0</v>
      </c>
      <c r="AM246" s="9">
        <v>0</v>
      </c>
      <c r="AN246" s="9">
        <v>0</v>
      </c>
      <c r="AO246" s="9">
        <v>1</v>
      </c>
      <c r="AP246" s="9">
        <v>0</v>
      </c>
      <c r="AQ246" s="9">
        <v>0</v>
      </c>
      <c r="AR246" s="9">
        <v>0</v>
      </c>
      <c r="AS246" s="9">
        <v>1</v>
      </c>
      <c r="AT246" s="9">
        <v>1</v>
      </c>
      <c r="AU246" s="9">
        <v>0</v>
      </c>
      <c r="AV246" s="9">
        <v>0</v>
      </c>
      <c r="AW246" s="9">
        <v>0</v>
      </c>
      <c r="AX246" s="9">
        <v>0</v>
      </c>
      <c r="AY246" s="9">
        <v>0</v>
      </c>
      <c r="AZ246" s="9">
        <v>0</v>
      </c>
      <c r="BA246" s="9">
        <v>0</v>
      </c>
      <c r="BB246" s="9">
        <v>0</v>
      </c>
      <c r="BC246" s="9">
        <v>0</v>
      </c>
      <c r="BD246" s="9">
        <v>0</v>
      </c>
      <c r="BE246" s="9">
        <v>0</v>
      </c>
      <c r="BF246" s="9">
        <v>0</v>
      </c>
      <c r="BG246" s="9">
        <v>0</v>
      </c>
      <c r="BH246" s="9">
        <v>0</v>
      </c>
      <c r="BI246" s="9">
        <v>0</v>
      </c>
      <c r="BJ246" s="9">
        <v>0</v>
      </c>
      <c r="BK246" s="9">
        <v>0</v>
      </c>
      <c r="BL246" s="9">
        <v>0</v>
      </c>
      <c r="BM246" s="9">
        <v>0</v>
      </c>
      <c r="BN246" s="9">
        <v>0</v>
      </c>
      <c r="BO246" s="9">
        <v>0</v>
      </c>
      <c r="BP246" s="9">
        <v>0</v>
      </c>
      <c r="BQ246" s="9">
        <v>0</v>
      </c>
      <c r="BR246" s="9">
        <v>0</v>
      </c>
      <c r="BS246" s="9">
        <v>0</v>
      </c>
      <c r="BT246" s="9">
        <v>0</v>
      </c>
      <c r="BU246" s="9">
        <v>0</v>
      </c>
      <c r="BV246" s="9">
        <v>0</v>
      </c>
      <c r="BW246" s="9">
        <v>0</v>
      </c>
      <c r="BX246" s="9">
        <v>0</v>
      </c>
      <c r="BY246" s="9">
        <v>0</v>
      </c>
      <c r="BZ246" s="9">
        <v>0</v>
      </c>
      <c r="CA246" s="9">
        <v>0</v>
      </c>
      <c r="CB246" s="9">
        <v>0</v>
      </c>
      <c r="CC246" s="9">
        <v>0</v>
      </c>
      <c r="CD246" s="9">
        <v>0</v>
      </c>
      <c r="CE246" s="9">
        <v>0</v>
      </c>
      <c r="CF246" s="9">
        <v>0</v>
      </c>
      <c r="CG246" s="9">
        <v>0</v>
      </c>
      <c r="CH246" s="9">
        <v>0</v>
      </c>
      <c r="CI246" s="9">
        <v>0</v>
      </c>
      <c r="CJ246" s="9">
        <v>0</v>
      </c>
      <c r="CK246" s="9">
        <v>0</v>
      </c>
      <c r="CL246" s="9">
        <v>0</v>
      </c>
      <c r="CM246" s="9">
        <v>0</v>
      </c>
      <c r="CN246" s="9">
        <v>0</v>
      </c>
      <c r="CO246" s="9">
        <v>0</v>
      </c>
      <c r="CP246" s="9">
        <v>0</v>
      </c>
      <c r="CQ246" s="9">
        <v>0</v>
      </c>
      <c r="CR246" s="9">
        <v>0</v>
      </c>
      <c r="CS246" s="9">
        <v>0</v>
      </c>
      <c r="CT246" s="9">
        <v>0</v>
      </c>
      <c r="CU246" s="9">
        <v>0</v>
      </c>
      <c r="CV246" s="9">
        <v>0</v>
      </c>
      <c r="CW246" s="9">
        <v>0</v>
      </c>
      <c r="CX246" s="9">
        <v>0</v>
      </c>
      <c r="CY246" s="9">
        <v>0</v>
      </c>
      <c r="CZ246" s="9">
        <v>0</v>
      </c>
      <c r="DA246" s="9">
        <v>0</v>
      </c>
      <c r="DB246" s="9">
        <v>0</v>
      </c>
      <c r="DC246" s="9">
        <v>0</v>
      </c>
      <c r="DD246" s="9">
        <v>0</v>
      </c>
      <c r="DE246" s="9">
        <v>0</v>
      </c>
      <c r="DF246" s="9">
        <v>0</v>
      </c>
      <c r="DG246" s="9">
        <v>0</v>
      </c>
      <c r="DH246" s="9">
        <v>0</v>
      </c>
      <c r="DI246" s="9">
        <v>0</v>
      </c>
      <c r="DJ246" s="9">
        <v>0</v>
      </c>
      <c r="DK246" s="9">
        <v>0</v>
      </c>
      <c r="DL246" s="9">
        <v>0</v>
      </c>
      <c r="DM246" s="9">
        <v>0</v>
      </c>
      <c r="DN246" s="9">
        <v>0</v>
      </c>
      <c r="DO246" s="9">
        <v>0</v>
      </c>
      <c r="DP246" s="9">
        <v>0</v>
      </c>
      <c r="DQ246" s="9">
        <v>0</v>
      </c>
      <c r="DR246" s="9">
        <v>0</v>
      </c>
      <c r="DS246" s="9">
        <v>0</v>
      </c>
      <c r="DT246" s="9">
        <v>0</v>
      </c>
      <c r="DU246" s="9">
        <v>0</v>
      </c>
      <c r="DV246" s="9">
        <v>0</v>
      </c>
      <c r="DW246" s="9">
        <v>0</v>
      </c>
      <c r="DX246" s="9">
        <v>0</v>
      </c>
      <c r="DY246" s="9">
        <v>0</v>
      </c>
      <c r="DZ246" s="9">
        <v>0</v>
      </c>
      <c r="EA246" s="9">
        <v>0</v>
      </c>
      <c r="EB246" s="9">
        <v>0</v>
      </c>
      <c r="EC246" s="9">
        <v>0</v>
      </c>
      <c r="ED246" s="9">
        <v>0</v>
      </c>
      <c r="EE246" s="9">
        <v>0</v>
      </c>
      <c r="EF246" s="9">
        <v>0</v>
      </c>
      <c r="EG246" s="9">
        <v>0</v>
      </c>
      <c r="EH246" s="9">
        <v>0</v>
      </c>
      <c r="EI246" s="10">
        <v>0</v>
      </c>
    </row>
    <row r="247" spans="1:139" x14ac:dyDescent="0.35">
      <c r="A247" s="8" t="s">
        <v>413</v>
      </c>
      <c r="B247" s="9" t="s">
        <v>426</v>
      </c>
      <c r="C247" s="9" t="s">
        <v>427</v>
      </c>
      <c r="D247" s="9">
        <f t="shared" si="3"/>
        <v>0</v>
      </c>
      <c r="E247" s="9">
        <v>0</v>
      </c>
      <c r="F247" s="9">
        <v>0</v>
      </c>
      <c r="G247" s="9">
        <v>0</v>
      </c>
      <c r="H247" s="9">
        <v>0</v>
      </c>
      <c r="I247" s="9">
        <v>0</v>
      </c>
      <c r="J247" s="9">
        <v>0</v>
      </c>
      <c r="K247" s="9">
        <v>0</v>
      </c>
      <c r="L247" s="9">
        <v>0</v>
      </c>
      <c r="M247" s="9">
        <v>0</v>
      </c>
      <c r="N247" s="9">
        <v>0</v>
      </c>
      <c r="O247" s="9">
        <v>0</v>
      </c>
      <c r="P247" s="9">
        <v>0</v>
      </c>
      <c r="Q247" s="9">
        <v>0</v>
      </c>
      <c r="R247" s="9">
        <v>0</v>
      </c>
      <c r="S247" s="9">
        <v>0</v>
      </c>
      <c r="T247" s="9">
        <v>0</v>
      </c>
      <c r="U247" s="9">
        <v>0</v>
      </c>
      <c r="V247" s="9">
        <v>0</v>
      </c>
      <c r="W247" s="9">
        <v>0</v>
      </c>
      <c r="X247" s="9">
        <v>0</v>
      </c>
      <c r="Y247" s="9">
        <v>0</v>
      </c>
      <c r="Z247" s="9">
        <v>0</v>
      </c>
      <c r="AA247" s="9">
        <v>0</v>
      </c>
      <c r="AB247" s="9">
        <v>0</v>
      </c>
      <c r="AC247" s="9">
        <v>0</v>
      </c>
      <c r="AD247" s="9">
        <v>0</v>
      </c>
      <c r="AE247" s="9">
        <v>0</v>
      </c>
      <c r="AF247" s="9">
        <v>0</v>
      </c>
      <c r="AG247" s="9">
        <v>0</v>
      </c>
      <c r="AH247" s="9">
        <v>0</v>
      </c>
      <c r="AI247" s="9">
        <v>0</v>
      </c>
      <c r="AJ247" s="9">
        <v>0</v>
      </c>
      <c r="AK247" s="9">
        <v>0</v>
      </c>
      <c r="AL247" s="9">
        <v>0</v>
      </c>
      <c r="AM247" s="9">
        <v>0</v>
      </c>
      <c r="AN247" s="9">
        <v>0</v>
      </c>
      <c r="AO247" s="9">
        <v>0</v>
      </c>
      <c r="AP247" s="9">
        <v>0</v>
      </c>
      <c r="AQ247" s="9">
        <v>0</v>
      </c>
      <c r="AR247" s="9">
        <v>0</v>
      </c>
      <c r="AS247" s="9">
        <v>0</v>
      </c>
      <c r="AT247" s="9">
        <v>0</v>
      </c>
      <c r="AU247" s="9">
        <v>0</v>
      </c>
      <c r="AV247" s="9">
        <v>0</v>
      </c>
      <c r="AW247" s="9">
        <v>0</v>
      </c>
      <c r="AX247" s="9">
        <v>0</v>
      </c>
      <c r="AY247" s="9">
        <v>0</v>
      </c>
      <c r="AZ247" s="9">
        <v>0</v>
      </c>
      <c r="BA247" s="9">
        <v>0</v>
      </c>
      <c r="BB247" s="9">
        <v>0</v>
      </c>
      <c r="BC247" s="9">
        <v>0</v>
      </c>
      <c r="BD247" s="9">
        <v>0</v>
      </c>
      <c r="BE247" s="9">
        <v>0</v>
      </c>
      <c r="BF247" s="9">
        <v>0</v>
      </c>
      <c r="BG247" s="9">
        <v>0</v>
      </c>
      <c r="BH247" s="9">
        <v>0</v>
      </c>
      <c r="BI247" s="9">
        <v>0</v>
      </c>
      <c r="BJ247" s="9">
        <v>0</v>
      </c>
      <c r="BK247" s="9">
        <v>0</v>
      </c>
      <c r="BL247" s="9">
        <v>0</v>
      </c>
      <c r="BM247" s="9">
        <v>0</v>
      </c>
      <c r="BN247" s="9">
        <v>0</v>
      </c>
      <c r="BO247" s="9">
        <v>0</v>
      </c>
      <c r="BP247" s="9">
        <v>0</v>
      </c>
      <c r="BQ247" s="9">
        <v>0</v>
      </c>
      <c r="BR247" s="9">
        <v>0</v>
      </c>
      <c r="BS247" s="9">
        <v>0</v>
      </c>
      <c r="BT247" s="9">
        <v>0</v>
      </c>
      <c r="BU247" s="9">
        <v>0</v>
      </c>
      <c r="BV247" s="9">
        <v>0</v>
      </c>
      <c r="BW247" s="9">
        <v>0</v>
      </c>
      <c r="BX247" s="9">
        <v>0</v>
      </c>
      <c r="BY247" s="9">
        <v>0</v>
      </c>
      <c r="BZ247" s="9">
        <v>0</v>
      </c>
      <c r="CA247" s="9">
        <v>0</v>
      </c>
      <c r="CB247" s="9">
        <v>0</v>
      </c>
      <c r="CC247" s="9">
        <v>0</v>
      </c>
      <c r="CD247" s="9">
        <v>0</v>
      </c>
      <c r="CE247" s="9">
        <v>0</v>
      </c>
      <c r="CF247" s="9">
        <v>0</v>
      </c>
      <c r="CG247" s="9">
        <v>0</v>
      </c>
      <c r="CH247" s="9">
        <v>0</v>
      </c>
      <c r="CI247" s="9">
        <v>0</v>
      </c>
      <c r="CJ247" s="9">
        <v>0</v>
      </c>
      <c r="CK247" s="9">
        <v>0</v>
      </c>
      <c r="CL247" s="9">
        <v>0</v>
      </c>
      <c r="CM247" s="9">
        <v>0</v>
      </c>
      <c r="CN247" s="9">
        <v>0</v>
      </c>
      <c r="CO247" s="9">
        <v>0</v>
      </c>
      <c r="CP247" s="9">
        <v>0</v>
      </c>
      <c r="CQ247" s="9">
        <v>0</v>
      </c>
      <c r="CR247" s="9">
        <v>0</v>
      </c>
      <c r="CS247" s="9">
        <v>0</v>
      </c>
      <c r="CT247" s="9">
        <v>0</v>
      </c>
      <c r="CU247" s="9">
        <v>0</v>
      </c>
      <c r="CV247" s="9">
        <v>0</v>
      </c>
      <c r="CW247" s="9">
        <v>0</v>
      </c>
      <c r="CX247" s="9">
        <v>0</v>
      </c>
      <c r="CY247" s="9">
        <v>0</v>
      </c>
      <c r="CZ247" s="9">
        <v>0</v>
      </c>
      <c r="DA247" s="9">
        <v>0</v>
      </c>
      <c r="DB247" s="9">
        <v>0</v>
      </c>
      <c r="DC247" s="9">
        <v>0</v>
      </c>
      <c r="DD247" s="9">
        <v>0</v>
      </c>
      <c r="DE247" s="9">
        <v>0</v>
      </c>
      <c r="DF247" s="9">
        <v>0</v>
      </c>
      <c r="DG247" s="9">
        <v>0</v>
      </c>
      <c r="DH247" s="9">
        <v>0</v>
      </c>
      <c r="DI247" s="9">
        <v>0</v>
      </c>
      <c r="DJ247" s="9">
        <v>0</v>
      </c>
      <c r="DK247" s="9">
        <v>0</v>
      </c>
      <c r="DL247" s="9">
        <v>0</v>
      </c>
      <c r="DM247" s="9">
        <v>0</v>
      </c>
      <c r="DN247" s="9">
        <v>0</v>
      </c>
      <c r="DO247" s="9">
        <v>0</v>
      </c>
      <c r="DP247" s="9">
        <v>0</v>
      </c>
      <c r="DQ247" s="9">
        <v>0</v>
      </c>
      <c r="DR247" s="9">
        <v>0</v>
      </c>
      <c r="DS247" s="9">
        <v>0</v>
      </c>
      <c r="DT247" s="9">
        <v>0</v>
      </c>
      <c r="DU247" s="9">
        <v>0</v>
      </c>
      <c r="DV247" s="9">
        <v>0</v>
      </c>
      <c r="DW247" s="9">
        <v>0</v>
      </c>
      <c r="DX247" s="9">
        <v>0</v>
      </c>
      <c r="DY247" s="9">
        <v>0</v>
      </c>
      <c r="DZ247" s="9">
        <v>0</v>
      </c>
      <c r="EA247" s="9">
        <v>0</v>
      </c>
      <c r="EB247" s="9">
        <v>0</v>
      </c>
      <c r="EC247" s="9">
        <v>0</v>
      </c>
      <c r="ED247" s="9">
        <v>0</v>
      </c>
      <c r="EE247" s="9">
        <v>0</v>
      </c>
      <c r="EF247" s="9">
        <v>0</v>
      </c>
      <c r="EG247" s="9">
        <v>0</v>
      </c>
      <c r="EH247" s="9">
        <v>0</v>
      </c>
      <c r="EI247" s="10">
        <v>0</v>
      </c>
    </row>
    <row r="248" spans="1:139" x14ac:dyDescent="0.35">
      <c r="A248" s="8" t="s">
        <v>413</v>
      </c>
      <c r="B248" s="9" t="s">
        <v>98</v>
      </c>
      <c r="C248" s="9" t="s">
        <v>99</v>
      </c>
      <c r="D248" s="9">
        <f t="shared" si="3"/>
        <v>0</v>
      </c>
      <c r="E248" s="9">
        <v>0</v>
      </c>
      <c r="F248" s="9">
        <v>0</v>
      </c>
      <c r="G248" s="9">
        <v>0</v>
      </c>
      <c r="H248" s="9">
        <v>0</v>
      </c>
      <c r="I248" s="9">
        <v>0</v>
      </c>
      <c r="J248" s="9">
        <v>0</v>
      </c>
      <c r="K248" s="9">
        <v>0</v>
      </c>
      <c r="L248" s="9">
        <v>0</v>
      </c>
      <c r="M248" s="9">
        <v>0</v>
      </c>
      <c r="N248" s="9">
        <v>0</v>
      </c>
      <c r="O248" s="9">
        <v>0</v>
      </c>
      <c r="P248" s="9">
        <v>0</v>
      </c>
      <c r="Q248" s="9">
        <v>0</v>
      </c>
      <c r="R248" s="9">
        <v>0</v>
      </c>
      <c r="S248" s="9">
        <v>0</v>
      </c>
      <c r="T248" s="9">
        <v>0</v>
      </c>
      <c r="U248" s="9">
        <v>0</v>
      </c>
      <c r="V248" s="9">
        <v>0</v>
      </c>
      <c r="W248" s="9">
        <v>0</v>
      </c>
      <c r="X248" s="9">
        <v>0</v>
      </c>
      <c r="Y248" s="9">
        <v>0</v>
      </c>
      <c r="Z248" s="9">
        <v>0</v>
      </c>
      <c r="AA248" s="9">
        <v>0</v>
      </c>
      <c r="AB248" s="9">
        <v>0</v>
      </c>
      <c r="AC248" s="9">
        <v>0</v>
      </c>
      <c r="AD248" s="9">
        <v>0</v>
      </c>
      <c r="AE248" s="9">
        <v>0</v>
      </c>
      <c r="AF248" s="9">
        <v>0</v>
      </c>
      <c r="AG248" s="9">
        <v>0</v>
      </c>
      <c r="AH248" s="9">
        <v>0</v>
      </c>
      <c r="AI248" s="9">
        <v>0</v>
      </c>
      <c r="AJ248" s="9">
        <v>0</v>
      </c>
      <c r="AK248" s="9">
        <v>0</v>
      </c>
      <c r="AL248" s="9">
        <v>0</v>
      </c>
      <c r="AM248" s="9">
        <v>0</v>
      </c>
      <c r="AN248" s="9">
        <v>0</v>
      </c>
      <c r="AO248" s="9">
        <v>0</v>
      </c>
      <c r="AP248" s="9">
        <v>0</v>
      </c>
      <c r="AQ248" s="9">
        <v>0</v>
      </c>
      <c r="AR248" s="9">
        <v>0</v>
      </c>
      <c r="AS248" s="9">
        <v>0</v>
      </c>
      <c r="AT248" s="9">
        <v>0</v>
      </c>
      <c r="AU248" s="9">
        <v>0</v>
      </c>
      <c r="AV248" s="9">
        <v>0</v>
      </c>
      <c r="AW248" s="9">
        <v>0</v>
      </c>
      <c r="AX248" s="9">
        <v>0</v>
      </c>
      <c r="AY248" s="9">
        <v>0</v>
      </c>
      <c r="AZ248" s="9">
        <v>0</v>
      </c>
      <c r="BA248" s="9">
        <v>0</v>
      </c>
      <c r="BB248" s="9">
        <v>0</v>
      </c>
      <c r="BC248" s="9">
        <v>0</v>
      </c>
      <c r="BD248" s="9">
        <v>0</v>
      </c>
      <c r="BE248" s="9">
        <v>0</v>
      </c>
      <c r="BF248" s="9">
        <v>0</v>
      </c>
      <c r="BG248" s="9">
        <v>0</v>
      </c>
      <c r="BH248" s="9">
        <v>0</v>
      </c>
      <c r="BI248" s="9">
        <v>0</v>
      </c>
      <c r="BJ248" s="9">
        <v>0</v>
      </c>
      <c r="BK248" s="9">
        <v>0</v>
      </c>
      <c r="BL248" s="9">
        <v>0</v>
      </c>
      <c r="BM248" s="9">
        <v>0</v>
      </c>
      <c r="BN248" s="9">
        <v>0</v>
      </c>
      <c r="BO248" s="9">
        <v>0</v>
      </c>
      <c r="BP248" s="9">
        <v>0</v>
      </c>
      <c r="BQ248" s="9">
        <v>0</v>
      </c>
      <c r="BR248" s="9">
        <v>0</v>
      </c>
      <c r="BS248" s="9">
        <v>0</v>
      </c>
      <c r="BT248" s="9">
        <v>0</v>
      </c>
      <c r="BU248" s="9">
        <v>0</v>
      </c>
      <c r="BV248" s="9">
        <v>0</v>
      </c>
      <c r="BW248" s="9">
        <v>0</v>
      </c>
      <c r="BX248" s="9">
        <v>0</v>
      </c>
      <c r="BY248" s="9">
        <v>0</v>
      </c>
      <c r="BZ248" s="9">
        <v>0</v>
      </c>
      <c r="CA248" s="9">
        <v>0</v>
      </c>
      <c r="CB248" s="9">
        <v>0</v>
      </c>
      <c r="CC248" s="9">
        <v>0</v>
      </c>
      <c r="CD248" s="9">
        <v>0</v>
      </c>
      <c r="CE248" s="9">
        <v>0</v>
      </c>
      <c r="CF248" s="9">
        <v>0</v>
      </c>
      <c r="CG248" s="9">
        <v>0</v>
      </c>
      <c r="CH248" s="9">
        <v>0</v>
      </c>
      <c r="CI248" s="9">
        <v>0</v>
      </c>
      <c r="CJ248" s="9">
        <v>0</v>
      </c>
      <c r="CK248" s="9">
        <v>0</v>
      </c>
      <c r="CL248" s="9">
        <v>0</v>
      </c>
      <c r="CM248" s="9">
        <v>0</v>
      </c>
      <c r="CN248" s="9">
        <v>0</v>
      </c>
      <c r="CO248" s="9">
        <v>0</v>
      </c>
      <c r="CP248" s="9">
        <v>0</v>
      </c>
      <c r="CQ248" s="9">
        <v>0</v>
      </c>
      <c r="CR248" s="9">
        <v>0</v>
      </c>
      <c r="CS248" s="9">
        <v>0</v>
      </c>
      <c r="CT248" s="9">
        <v>0</v>
      </c>
      <c r="CU248" s="9">
        <v>0</v>
      </c>
      <c r="CV248" s="9">
        <v>0</v>
      </c>
      <c r="CW248" s="9">
        <v>0</v>
      </c>
      <c r="CX248" s="9">
        <v>0</v>
      </c>
      <c r="CY248" s="9">
        <v>0</v>
      </c>
      <c r="CZ248" s="9">
        <v>0</v>
      </c>
      <c r="DA248" s="9">
        <v>0</v>
      </c>
      <c r="DB248" s="9">
        <v>0</v>
      </c>
      <c r="DC248" s="9">
        <v>0</v>
      </c>
      <c r="DD248" s="9">
        <v>0</v>
      </c>
      <c r="DE248" s="9">
        <v>0</v>
      </c>
      <c r="DF248" s="9">
        <v>0</v>
      </c>
      <c r="DG248" s="9">
        <v>0</v>
      </c>
      <c r="DH248" s="9">
        <v>0</v>
      </c>
      <c r="DI248" s="9">
        <v>0</v>
      </c>
      <c r="DJ248" s="9">
        <v>0</v>
      </c>
      <c r="DK248" s="9">
        <v>0</v>
      </c>
      <c r="DL248" s="9">
        <v>0</v>
      </c>
      <c r="DM248" s="9">
        <v>0</v>
      </c>
      <c r="DN248" s="9">
        <v>0</v>
      </c>
      <c r="DO248" s="9">
        <v>0</v>
      </c>
      <c r="DP248" s="9">
        <v>0</v>
      </c>
      <c r="DQ248" s="9">
        <v>0</v>
      </c>
      <c r="DR248" s="9">
        <v>0</v>
      </c>
      <c r="DS248" s="9">
        <v>0</v>
      </c>
      <c r="DT248" s="9">
        <v>0</v>
      </c>
      <c r="DU248" s="9">
        <v>0</v>
      </c>
      <c r="DV248" s="9">
        <v>0</v>
      </c>
      <c r="DW248" s="9">
        <v>0</v>
      </c>
      <c r="DX248" s="9">
        <v>0</v>
      </c>
      <c r="DY248" s="9">
        <v>0</v>
      </c>
      <c r="DZ248" s="9">
        <v>0</v>
      </c>
      <c r="EA248" s="9">
        <v>0</v>
      </c>
      <c r="EB248" s="9">
        <v>0</v>
      </c>
      <c r="EC248" s="9">
        <v>0</v>
      </c>
      <c r="ED248" s="9">
        <v>0</v>
      </c>
      <c r="EE248" s="9">
        <v>0</v>
      </c>
      <c r="EF248" s="9">
        <v>0</v>
      </c>
      <c r="EG248" s="9">
        <v>0</v>
      </c>
      <c r="EH248" s="9">
        <v>0</v>
      </c>
      <c r="EI248" s="10">
        <v>0</v>
      </c>
    </row>
    <row r="249" spans="1:139" x14ac:dyDescent="0.35">
      <c r="A249" s="8" t="s">
        <v>413</v>
      </c>
      <c r="B249" s="9" t="s">
        <v>428</v>
      </c>
      <c r="C249" s="9" t="s">
        <v>429</v>
      </c>
      <c r="D249" s="9">
        <f t="shared" si="3"/>
        <v>40</v>
      </c>
      <c r="E249" s="9">
        <v>0</v>
      </c>
      <c r="F249" s="9">
        <v>0</v>
      </c>
      <c r="G249" s="9">
        <v>0</v>
      </c>
      <c r="H249" s="9">
        <v>0</v>
      </c>
      <c r="I249" s="9">
        <v>0</v>
      </c>
      <c r="J249" s="9">
        <v>0</v>
      </c>
      <c r="K249" s="9">
        <v>0</v>
      </c>
      <c r="L249" s="9">
        <v>0</v>
      </c>
      <c r="M249" s="9">
        <v>0</v>
      </c>
      <c r="N249" s="9">
        <v>0</v>
      </c>
      <c r="O249" s="9">
        <v>0</v>
      </c>
      <c r="P249" s="9">
        <v>0</v>
      </c>
      <c r="Q249" s="9">
        <v>0</v>
      </c>
      <c r="R249" s="9">
        <v>0</v>
      </c>
      <c r="S249" s="9">
        <v>0</v>
      </c>
      <c r="T249" s="9">
        <v>0</v>
      </c>
      <c r="U249" s="9">
        <v>5</v>
      </c>
      <c r="V249" s="9">
        <v>0</v>
      </c>
      <c r="W249" s="9">
        <v>0</v>
      </c>
      <c r="X249" s="9">
        <v>0</v>
      </c>
      <c r="Y249" s="9">
        <v>0</v>
      </c>
      <c r="Z249" s="9">
        <v>0</v>
      </c>
      <c r="AA249" s="9">
        <v>0</v>
      </c>
      <c r="AB249" s="9">
        <v>4</v>
      </c>
      <c r="AC249" s="9">
        <v>3</v>
      </c>
      <c r="AD249" s="9">
        <v>2</v>
      </c>
      <c r="AE249" s="9">
        <v>0</v>
      </c>
      <c r="AF249" s="9">
        <v>2</v>
      </c>
      <c r="AG249" s="9">
        <v>3</v>
      </c>
      <c r="AH249" s="9">
        <v>0</v>
      </c>
      <c r="AI249" s="9">
        <v>3</v>
      </c>
      <c r="AJ249" s="9">
        <v>2</v>
      </c>
      <c r="AK249" s="9">
        <v>1</v>
      </c>
      <c r="AL249" s="9">
        <v>1</v>
      </c>
      <c r="AM249" s="9">
        <v>0</v>
      </c>
      <c r="AN249" s="9">
        <v>2</v>
      </c>
      <c r="AO249" s="9">
        <v>2</v>
      </c>
      <c r="AP249" s="9">
        <v>1</v>
      </c>
      <c r="AQ249" s="9">
        <v>0</v>
      </c>
      <c r="AR249" s="9">
        <v>0</v>
      </c>
      <c r="AS249" s="9">
        <v>0</v>
      </c>
      <c r="AT249" s="9">
        <v>1</v>
      </c>
      <c r="AU249" s="9">
        <v>0</v>
      </c>
      <c r="AV249" s="9">
        <v>0</v>
      </c>
      <c r="AW249" s="9">
        <v>0</v>
      </c>
      <c r="AX249" s="9">
        <v>2</v>
      </c>
      <c r="AY249" s="9">
        <v>1</v>
      </c>
      <c r="AZ249" s="9">
        <v>1</v>
      </c>
      <c r="BA249" s="9">
        <v>0</v>
      </c>
      <c r="BB249" s="9">
        <v>0</v>
      </c>
      <c r="BC249" s="9">
        <v>1</v>
      </c>
      <c r="BD249" s="9">
        <v>1</v>
      </c>
      <c r="BE249" s="9">
        <v>1</v>
      </c>
      <c r="BF249" s="9">
        <v>0</v>
      </c>
      <c r="BG249" s="9">
        <v>0</v>
      </c>
      <c r="BH249" s="9">
        <v>0</v>
      </c>
      <c r="BI249" s="9">
        <v>0</v>
      </c>
      <c r="BJ249" s="9">
        <v>0</v>
      </c>
      <c r="BK249" s="9">
        <v>0</v>
      </c>
      <c r="BL249" s="9">
        <v>0</v>
      </c>
      <c r="BM249" s="9">
        <v>0</v>
      </c>
      <c r="BN249" s="9">
        <v>0</v>
      </c>
      <c r="BO249" s="9">
        <v>1</v>
      </c>
      <c r="BP249" s="9">
        <v>0</v>
      </c>
      <c r="BQ249" s="9">
        <v>0</v>
      </c>
      <c r="BR249" s="9">
        <v>0</v>
      </c>
      <c r="BS249" s="9">
        <v>0</v>
      </c>
      <c r="BT249" s="9">
        <v>0</v>
      </c>
      <c r="BU249" s="9">
        <v>0</v>
      </c>
      <c r="BV249" s="9">
        <v>0</v>
      </c>
      <c r="BW249" s="9">
        <v>0</v>
      </c>
      <c r="BX249" s="9">
        <v>0</v>
      </c>
      <c r="BY249" s="9">
        <v>0</v>
      </c>
      <c r="BZ249" s="9">
        <v>0</v>
      </c>
      <c r="CA249" s="9">
        <v>0</v>
      </c>
      <c r="CB249" s="9">
        <v>0</v>
      </c>
      <c r="CC249" s="9">
        <v>0</v>
      </c>
      <c r="CD249" s="9">
        <v>0</v>
      </c>
      <c r="CE249" s="9">
        <v>0</v>
      </c>
      <c r="CF249" s="9">
        <v>0</v>
      </c>
      <c r="CG249" s="9">
        <v>0</v>
      </c>
      <c r="CH249" s="9">
        <v>0</v>
      </c>
      <c r="CI249" s="9">
        <v>0</v>
      </c>
      <c r="CJ249" s="9">
        <v>0</v>
      </c>
      <c r="CK249" s="9">
        <v>0</v>
      </c>
      <c r="CL249" s="9">
        <v>0</v>
      </c>
      <c r="CM249" s="9">
        <v>0</v>
      </c>
      <c r="CN249" s="9">
        <v>0</v>
      </c>
      <c r="CO249" s="9">
        <v>0</v>
      </c>
      <c r="CP249" s="9">
        <v>0</v>
      </c>
      <c r="CQ249" s="9">
        <v>0</v>
      </c>
      <c r="CR249" s="9">
        <v>0</v>
      </c>
      <c r="CS249" s="9">
        <v>0</v>
      </c>
      <c r="CT249" s="9">
        <v>0</v>
      </c>
      <c r="CU249" s="9">
        <v>0</v>
      </c>
      <c r="CV249" s="9">
        <v>0</v>
      </c>
      <c r="CW249" s="9">
        <v>0</v>
      </c>
      <c r="CX249" s="9">
        <v>0</v>
      </c>
      <c r="CY249" s="9">
        <v>0</v>
      </c>
      <c r="CZ249" s="9">
        <v>0</v>
      </c>
      <c r="DA249" s="9">
        <v>0</v>
      </c>
      <c r="DB249" s="9">
        <v>0</v>
      </c>
      <c r="DC249" s="9">
        <v>0</v>
      </c>
      <c r="DD249" s="9">
        <v>0</v>
      </c>
      <c r="DE249" s="9">
        <v>0</v>
      </c>
      <c r="DF249" s="9">
        <v>0</v>
      </c>
      <c r="DG249" s="9">
        <v>0</v>
      </c>
      <c r="DH249" s="9">
        <v>0</v>
      </c>
      <c r="DI249" s="9">
        <v>0</v>
      </c>
      <c r="DJ249" s="9">
        <v>0</v>
      </c>
      <c r="DK249" s="9">
        <v>0</v>
      </c>
      <c r="DL249" s="9">
        <v>0</v>
      </c>
      <c r="DM249" s="9">
        <v>0</v>
      </c>
      <c r="DN249" s="9">
        <v>0</v>
      </c>
      <c r="DO249" s="9">
        <v>0</v>
      </c>
      <c r="DP249" s="9">
        <v>0</v>
      </c>
      <c r="DQ249" s="9">
        <v>0</v>
      </c>
      <c r="DR249" s="9">
        <v>0</v>
      </c>
      <c r="DS249" s="9">
        <v>0</v>
      </c>
      <c r="DT249" s="9">
        <v>0</v>
      </c>
      <c r="DU249" s="9">
        <v>0</v>
      </c>
      <c r="DV249" s="9">
        <v>0</v>
      </c>
      <c r="DW249" s="9">
        <v>0</v>
      </c>
      <c r="DX249" s="9">
        <v>0</v>
      </c>
      <c r="DY249" s="9">
        <v>0</v>
      </c>
      <c r="DZ249" s="9">
        <v>0</v>
      </c>
      <c r="EA249" s="9">
        <v>0</v>
      </c>
      <c r="EB249" s="9">
        <v>0</v>
      </c>
      <c r="EC249" s="9">
        <v>0</v>
      </c>
      <c r="ED249" s="9">
        <v>0</v>
      </c>
      <c r="EE249" s="9">
        <v>0</v>
      </c>
      <c r="EF249" s="9">
        <v>0</v>
      </c>
      <c r="EG249" s="9">
        <v>0</v>
      </c>
      <c r="EH249" s="9">
        <v>0</v>
      </c>
      <c r="EI249" s="10">
        <v>0</v>
      </c>
    </row>
    <row r="250" spans="1:139" x14ac:dyDescent="0.35">
      <c r="A250" s="8" t="s">
        <v>413</v>
      </c>
      <c r="B250" s="9" t="s">
        <v>183</v>
      </c>
      <c r="C250" s="9" t="s">
        <v>184</v>
      </c>
      <c r="D250" s="9">
        <f t="shared" si="3"/>
        <v>0</v>
      </c>
      <c r="E250" s="9">
        <v>0</v>
      </c>
      <c r="F250" s="9">
        <v>0</v>
      </c>
      <c r="G250" s="9">
        <v>0</v>
      </c>
      <c r="H250" s="9">
        <v>0</v>
      </c>
      <c r="I250" s="9">
        <v>0</v>
      </c>
      <c r="J250" s="9">
        <v>0</v>
      </c>
      <c r="K250" s="9">
        <v>0</v>
      </c>
      <c r="L250" s="9">
        <v>0</v>
      </c>
      <c r="M250" s="9">
        <v>0</v>
      </c>
      <c r="N250" s="9">
        <v>0</v>
      </c>
      <c r="O250" s="9">
        <v>0</v>
      </c>
      <c r="P250" s="9">
        <v>0</v>
      </c>
      <c r="Q250" s="9">
        <v>0</v>
      </c>
      <c r="R250" s="9">
        <v>0</v>
      </c>
      <c r="S250" s="9">
        <v>0</v>
      </c>
      <c r="T250" s="9">
        <v>0</v>
      </c>
      <c r="U250" s="9">
        <v>0</v>
      </c>
      <c r="V250" s="9">
        <v>0</v>
      </c>
      <c r="W250" s="9">
        <v>0</v>
      </c>
      <c r="X250" s="9">
        <v>0</v>
      </c>
      <c r="Y250" s="9">
        <v>0</v>
      </c>
      <c r="Z250" s="9">
        <v>0</v>
      </c>
      <c r="AA250" s="9">
        <v>0</v>
      </c>
      <c r="AB250" s="9">
        <v>0</v>
      </c>
      <c r="AC250" s="9">
        <v>0</v>
      </c>
      <c r="AD250" s="9">
        <v>0</v>
      </c>
      <c r="AE250" s="9">
        <v>0</v>
      </c>
      <c r="AF250" s="9">
        <v>0</v>
      </c>
      <c r="AG250" s="9">
        <v>0</v>
      </c>
      <c r="AH250" s="9">
        <v>0</v>
      </c>
      <c r="AI250" s="9">
        <v>0</v>
      </c>
      <c r="AJ250" s="9">
        <v>0</v>
      </c>
      <c r="AK250" s="9">
        <v>0</v>
      </c>
      <c r="AL250" s="9">
        <v>0</v>
      </c>
      <c r="AM250" s="9">
        <v>0</v>
      </c>
      <c r="AN250" s="9">
        <v>0</v>
      </c>
      <c r="AO250" s="9">
        <v>0</v>
      </c>
      <c r="AP250" s="9">
        <v>0</v>
      </c>
      <c r="AQ250" s="9">
        <v>0</v>
      </c>
      <c r="AR250" s="9">
        <v>0</v>
      </c>
      <c r="AS250" s="9">
        <v>0</v>
      </c>
      <c r="AT250" s="9">
        <v>0</v>
      </c>
      <c r="AU250" s="9">
        <v>0</v>
      </c>
      <c r="AV250" s="9">
        <v>0</v>
      </c>
      <c r="AW250" s="9">
        <v>0</v>
      </c>
      <c r="AX250" s="9">
        <v>0</v>
      </c>
      <c r="AY250" s="9">
        <v>0</v>
      </c>
      <c r="AZ250" s="9">
        <v>0</v>
      </c>
      <c r="BA250" s="9">
        <v>0</v>
      </c>
      <c r="BB250" s="9">
        <v>0</v>
      </c>
      <c r="BC250" s="9">
        <v>0</v>
      </c>
      <c r="BD250" s="9">
        <v>0</v>
      </c>
      <c r="BE250" s="9">
        <v>0</v>
      </c>
      <c r="BF250" s="9">
        <v>0</v>
      </c>
      <c r="BG250" s="9">
        <v>0</v>
      </c>
      <c r="BH250" s="9">
        <v>0</v>
      </c>
      <c r="BI250" s="9">
        <v>0</v>
      </c>
      <c r="BJ250" s="9">
        <v>0</v>
      </c>
      <c r="BK250" s="9">
        <v>0</v>
      </c>
      <c r="BL250" s="9">
        <v>0</v>
      </c>
      <c r="BM250" s="9">
        <v>0</v>
      </c>
      <c r="BN250" s="9">
        <v>0</v>
      </c>
      <c r="BO250" s="9">
        <v>0</v>
      </c>
      <c r="BP250" s="9">
        <v>0</v>
      </c>
      <c r="BQ250" s="9">
        <v>0</v>
      </c>
      <c r="BR250" s="9">
        <v>0</v>
      </c>
      <c r="BS250" s="9">
        <v>0</v>
      </c>
      <c r="BT250" s="9">
        <v>0</v>
      </c>
      <c r="BU250" s="9">
        <v>0</v>
      </c>
      <c r="BV250" s="9">
        <v>0</v>
      </c>
      <c r="BW250" s="9">
        <v>0</v>
      </c>
      <c r="BX250" s="9">
        <v>0</v>
      </c>
      <c r="BY250" s="9">
        <v>0</v>
      </c>
      <c r="BZ250" s="9">
        <v>0</v>
      </c>
      <c r="CA250" s="9">
        <v>0</v>
      </c>
      <c r="CB250" s="9">
        <v>0</v>
      </c>
      <c r="CC250" s="9">
        <v>0</v>
      </c>
      <c r="CD250" s="9">
        <v>0</v>
      </c>
      <c r="CE250" s="9">
        <v>0</v>
      </c>
      <c r="CF250" s="9">
        <v>0</v>
      </c>
      <c r="CG250" s="9">
        <v>0</v>
      </c>
      <c r="CH250" s="9">
        <v>0</v>
      </c>
      <c r="CI250" s="9">
        <v>0</v>
      </c>
      <c r="CJ250" s="9">
        <v>0</v>
      </c>
      <c r="CK250" s="9">
        <v>0</v>
      </c>
      <c r="CL250" s="9">
        <v>0</v>
      </c>
      <c r="CM250" s="9">
        <v>0</v>
      </c>
      <c r="CN250" s="9">
        <v>0</v>
      </c>
      <c r="CO250" s="9">
        <v>0</v>
      </c>
      <c r="CP250" s="9">
        <v>0</v>
      </c>
      <c r="CQ250" s="9">
        <v>0</v>
      </c>
      <c r="CR250" s="9">
        <v>0</v>
      </c>
      <c r="CS250" s="9">
        <v>0</v>
      </c>
      <c r="CT250" s="9">
        <v>0</v>
      </c>
      <c r="CU250" s="9">
        <v>0</v>
      </c>
      <c r="CV250" s="9">
        <v>0</v>
      </c>
      <c r="CW250" s="9">
        <v>0</v>
      </c>
      <c r="CX250" s="9">
        <v>0</v>
      </c>
      <c r="CY250" s="9">
        <v>0</v>
      </c>
      <c r="CZ250" s="9">
        <v>0</v>
      </c>
      <c r="DA250" s="9">
        <v>0</v>
      </c>
      <c r="DB250" s="9">
        <v>0</v>
      </c>
      <c r="DC250" s="9">
        <v>0</v>
      </c>
      <c r="DD250" s="9">
        <v>0</v>
      </c>
      <c r="DE250" s="9">
        <v>0</v>
      </c>
      <c r="DF250" s="9">
        <v>0</v>
      </c>
      <c r="DG250" s="9">
        <v>0</v>
      </c>
      <c r="DH250" s="9">
        <v>0</v>
      </c>
      <c r="DI250" s="9">
        <v>0</v>
      </c>
      <c r="DJ250" s="9">
        <v>0</v>
      </c>
      <c r="DK250" s="9">
        <v>0</v>
      </c>
      <c r="DL250" s="9">
        <v>0</v>
      </c>
      <c r="DM250" s="9">
        <v>0</v>
      </c>
      <c r="DN250" s="9">
        <v>0</v>
      </c>
      <c r="DO250" s="9">
        <v>0</v>
      </c>
      <c r="DP250" s="9">
        <v>0</v>
      </c>
      <c r="DQ250" s="9">
        <v>0</v>
      </c>
      <c r="DR250" s="9">
        <v>0</v>
      </c>
      <c r="DS250" s="9">
        <v>0</v>
      </c>
      <c r="DT250" s="9">
        <v>0</v>
      </c>
      <c r="DU250" s="9">
        <v>0</v>
      </c>
      <c r="DV250" s="9">
        <v>0</v>
      </c>
      <c r="DW250" s="9">
        <v>0</v>
      </c>
      <c r="DX250" s="9">
        <v>0</v>
      </c>
      <c r="DY250" s="9">
        <v>0</v>
      </c>
      <c r="DZ250" s="9">
        <v>0</v>
      </c>
      <c r="EA250" s="9">
        <v>0</v>
      </c>
      <c r="EB250" s="9">
        <v>0</v>
      </c>
      <c r="EC250" s="9">
        <v>0</v>
      </c>
      <c r="ED250" s="9">
        <v>0</v>
      </c>
      <c r="EE250" s="9">
        <v>0</v>
      </c>
      <c r="EF250" s="9">
        <v>0</v>
      </c>
      <c r="EG250" s="9">
        <v>0</v>
      </c>
      <c r="EH250" s="9">
        <v>0</v>
      </c>
      <c r="EI250" s="10">
        <v>0</v>
      </c>
    </row>
    <row r="251" spans="1:139" x14ac:dyDescent="0.35">
      <c r="A251" s="8" t="s">
        <v>413</v>
      </c>
      <c r="B251" s="9" t="s">
        <v>430</v>
      </c>
      <c r="C251" s="9" t="s">
        <v>431</v>
      </c>
      <c r="D251" s="9">
        <f t="shared" si="3"/>
        <v>0</v>
      </c>
      <c r="E251" s="9">
        <v>0</v>
      </c>
      <c r="F251" s="9">
        <v>0</v>
      </c>
      <c r="G251" s="9">
        <v>0</v>
      </c>
      <c r="H251" s="9">
        <v>0</v>
      </c>
      <c r="I251" s="9">
        <v>0</v>
      </c>
      <c r="J251" s="9">
        <v>0</v>
      </c>
      <c r="K251" s="9">
        <v>0</v>
      </c>
      <c r="L251" s="9">
        <v>0</v>
      </c>
      <c r="M251" s="9">
        <v>0</v>
      </c>
      <c r="N251" s="9">
        <v>0</v>
      </c>
      <c r="O251" s="9">
        <v>0</v>
      </c>
      <c r="P251" s="9">
        <v>0</v>
      </c>
      <c r="Q251" s="9">
        <v>0</v>
      </c>
      <c r="R251" s="9">
        <v>0</v>
      </c>
      <c r="S251" s="9">
        <v>0</v>
      </c>
      <c r="T251" s="9">
        <v>0</v>
      </c>
      <c r="U251" s="9">
        <v>0</v>
      </c>
      <c r="V251" s="9">
        <v>0</v>
      </c>
      <c r="W251" s="9">
        <v>0</v>
      </c>
      <c r="X251" s="9">
        <v>0</v>
      </c>
      <c r="Y251" s="9">
        <v>0</v>
      </c>
      <c r="Z251" s="9">
        <v>0</v>
      </c>
      <c r="AA251" s="9">
        <v>0</v>
      </c>
      <c r="AB251" s="9">
        <v>0</v>
      </c>
      <c r="AC251" s="9">
        <v>0</v>
      </c>
      <c r="AD251" s="9">
        <v>0</v>
      </c>
      <c r="AE251" s="9">
        <v>0</v>
      </c>
      <c r="AF251" s="9">
        <v>0</v>
      </c>
      <c r="AG251" s="9">
        <v>0</v>
      </c>
      <c r="AH251" s="9">
        <v>0</v>
      </c>
      <c r="AI251" s="9">
        <v>0</v>
      </c>
      <c r="AJ251" s="9">
        <v>0</v>
      </c>
      <c r="AK251" s="9">
        <v>0</v>
      </c>
      <c r="AL251" s="9">
        <v>0</v>
      </c>
      <c r="AM251" s="9">
        <v>0</v>
      </c>
      <c r="AN251" s="9">
        <v>0</v>
      </c>
      <c r="AO251" s="9">
        <v>0</v>
      </c>
      <c r="AP251" s="9">
        <v>0</v>
      </c>
      <c r="AQ251" s="9">
        <v>0</v>
      </c>
      <c r="AR251" s="9">
        <v>0</v>
      </c>
      <c r="AS251" s="9">
        <v>0</v>
      </c>
      <c r="AT251" s="9">
        <v>0</v>
      </c>
      <c r="AU251" s="9">
        <v>0</v>
      </c>
      <c r="AV251" s="9">
        <v>0</v>
      </c>
      <c r="AW251" s="9">
        <v>0</v>
      </c>
      <c r="AX251" s="9">
        <v>0</v>
      </c>
      <c r="AY251" s="9">
        <v>0</v>
      </c>
      <c r="AZ251" s="9">
        <v>0</v>
      </c>
      <c r="BA251" s="9">
        <v>0</v>
      </c>
      <c r="BB251" s="9">
        <v>0</v>
      </c>
      <c r="BC251" s="9">
        <v>0</v>
      </c>
      <c r="BD251" s="9">
        <v>0</v>
      </c>
      <c r="BE251" s="9">
        <v>0</v>
      </c>
      <c r="BF251" s="9">
        <v>0</v>
      </c>
      <c r="BG251" s="9">
        <v>0</v>
      </c>
      <c r="BH251" s="9">
        <v>0</v>
      </c>
      <c r="BI251" s="9">
        <v>0</v>
      </c>
      <c r="BJ251" s="9">
        <v>0</v>
      </c>
      <c r="BK251" s="9">
        <v>0</v>
      </c>
      <c r="BL251" s="9">
        <v>0</v>
      </c>
      <c r="BM251" s="9">
        <v>0</v>
      </c>
      <c r="BN251" s="9">
        <v>0</v>
      </c>
      <c r="BO251" s="9">
        <v>0</v>
      </c>
      <c r="BP251" s="9">
        <v>0</v>
      </c>
      <c r="BQ251" s="9">
        <v>0</v>
      </c>
      <c r="BR251" s="9">
        <v>0</v>
      </c>
      <c r="BS251" s="9">
        <v>0</v>
      </c>
      <c r="BT251" s="9">
        <v>0</v>
      </c>
      <c r="BU251" s="9">
        <v>0</v>
      </c>
      <c r="BV251" s="9">
        <v>0</v>
      </c>
      <c r="BW251" s="9">
        <v>0</v>
      </c>
      <c r="BX251" s="9">
        <v>0</v>
      </c>
      <c r="BY251" s="9">
        <v>0</v>
      </c>
      <c r="BZ251" s="9">
        <v>0</v>
      </c>
      <c r="CA251" s="9">
        <v>0</v>
      </c>
      <c r="CB251" s="9">
        <v>0</v>
      </c>
      <c r="CC251" s="9">
        <v>0</v>
      </c>
      <c r="CD251" s="9">
        <v>0</v>
      </c>
      <c r="CE251" s="9">
        <v>0</v>
      </c>
      <c r="CF251" s="9">
        <v>0</v>
      </c>
      <c r="CG251" s="9">
        <v>0</v>
      </c>
      <c r="CH251" s="9">
        <v>0</v>
      </c>
      <c r="CI251" s="9">
        <v>0</v>
      </c>
      <c r="CJ251" s="9">
        <v>0</v>
      </c>
      <c r="CK251" s="9">
        <v>0</v>
      </c>
      <c r="CL251" s="9">
        <v>0</v>
      </c>
      <c r="CM251" s="9">
        <v>0</v>
      </c>
      <c r="CN251" s="9">
        <v>0</v>
      </c>
      <c r="CO251" s="9">
        <v>0</v>
      </c>
      <c r="CP251" s="9">
        <v>0</v>
      </c>
      <c r="CQ251" s="9">
        <v>0</v>
      </c>
      <c r="CR251" s="9">
        <v>0</v>
      </c>
      <c r="CS251" s="9">
        <v>0</v>
      </c>
      <c r="CT251" s="9">
        <v>0</v>
      </c>
      <c r="CU251" s="9">
        <v>0</v>
      </c>
      <c r="CV251" s="9">
        <v>0</v>
      </c>
      <c r="CW251" s="9">
        <v>0</v>
      </c>
      <c r="CX251" s="9">
        <v>0</v>
      </c>
      <c r="CY251" s="9">
        <v>0</v>
      </c>
      <c r="CZ251" s="9">
        <v>0</v>
      </c>
      <c r="DA251" s="9">
        <v>0</v>
      </c>
      <c r="DB251" s="9">
        <v>0</v>
      </c>
      <c r="DC251" s="9">
        <v>0</v>
      </c>
      <c r="DD251" s="9">
        <v>0</v>
      </c>
      <c r="DE251" s="9">
        <v>0</v>
      </c>
      <c r="DF251" s="9">
        <v>0</v>
      </c>
      <c r="DG251" s="9">
        <v>0</v>
      </c>
      <c r="DH251" s="9">
        <v>0</v>
      </c>
      <c r="DI251" s="9">
        <v>0</v>
      </c>
      <c r="DJ251" s="9">
        <v>0</v>
      </c>
      <c r="DK251" s="9">
        <v>0</v>
      </c>
      <c r="DL251" s="9">
        <v>0</v>
      </c>
      <c r="DM251" s="9">
        <v>0</v>
      </c>
      <c r="DN251" s="9">
        <v>0</v>
      </c>
      <c r="DO251" s="9">
        <v>0</v>
      </c>
      <c r="DP251" s="9">
        <v>0</v>
      </c>
      <c r="DQ251" s="9">
        <v>0</v>
      </c>
      <c r="DR251" s="9">
        <v>0</v>
      </c>
      <c r="DS251" s="9">
        <v>0</v>
      </c>
      <c r="DT251" s="9">
        <v>0</v>
      </c>
      <c r="DU251" s="9">
        <v>0</v>
      </c>
      <c r="DV251" s="9">
        <v>0</v>
      </c>
      <c r="DW251" s="9">
        <v>0</v>
      </c>
      <c r="DX251" s="9">
        <v>0</v>
      </c>
      <c r="DY251" s="9">
        <v>0</v>
      </c>
      <c r="DZ251" s="9">
        <v>0</v>
      </c>
      <c r="EA251" s="9">
        <v>0</v>
      </c>
      <c r="EB251" s="9">
        <v>0</v>
      </c>
      <c r="EC251" s="9">
        <v>0</v>
      </c>
      <c r="ED251" s="9">
        <v>0</v>
      </c>
      <c r="EE251" s="9">
        <v>0</v>
      </c>
      <c r="EF251" s="9">
        <v>0</v>
      </c>
      <c r="EG251" s="9">
        <v>0</v>
      </c>
      <c r="EH251" s="9">
        <v>0</v>
      </c>
      <c r="EI251" s="10">
        <v>0</v>
      </c>
    </row>
    <row r="252" spans="1:139" x14ac:dyDescent="0.35">
      <c r="A252" s="8" t="s">
        <v>413</v>
      </c>
      <c r="B252" s="9" t="s">
        <v>25</v>
      </c>
      <c r="C252" s="9" t="s">
        <v>26</v>
      </c>
      <c r="D252" s="9">
        <f t="shared" si="3"/>
        <v>0</v>
      </c>
      <c r="E252" s="9">
        <v>0</v>
      </c>
      <c r="F252" s="9">
        <v>0</v>
      </c>
      <c r="G252" s="9">
        <v>0</v>
      </c>
      <c r="H252" s="9">
        <v>0</v>
      </c>
      <c r="I252" s="9">
        <v>0</v>
      </c>
      <c r="J252" s="9">
        <v>0</v>
      </c>
      <c r="K252" s="9">
        <v>0</v>
      </c>
      <c r="L252" s="9">
        <v>0</v>
      </c>
      <c r="M252" s="9">
        <v>0</v>
      </c>
      <c r="N252" s="9">
        <v>0</v>
      </c>
      <c r="O252" s="9">
        <v>0</v>
      </c>
      <c r="P252" s="9">
        <v>0</v>
      </c>
      <c r="Q252" s="9">
        <v>0</v>
      </c>
      <c r="R252" s="9">
        <v>0</v>
      </c>
      <c r="S252" s="9">
        <v>0</v>
      </c>
      <c r="T252" s="9">
        <v>0</v>
      </c>
      <c r="U252" s="9">
        <v>0</v>
      </c>
      <c r="V252" s="9">
        <v>0</v>
      </c>
      <c r="W252" s="9">
        <v>0</v>
      </c>
      <c r="X252" s="9">
        <v>0</v>
      </c>
      <c r="Y252" s="9">
        <v>0</v>
      </c>
      <c r="Z252" s="9">
        <v>0</v>
      </c>
      <c r="AA252" s="9">
        <v>0</v>
      </c>
      <c r="AB252" s="9">
        <v>0</v>
      </c>
      <c r="AC252" s="9">
        <v>0</v>
      </c>
      <c r="AD252" s="9">
        <v>0</v>
      </c>
      <c r="AE252" s="9">
        <v>0</v>
      </c>
      <c r="AF252" s="9">
        <v>0</v>
      </c>
      <c r="AG252" s="9">
        <v>0</v>
      </c>
      <c r="AH252" s="9">
        <v>0</v>
      </c>
      <c r="AI252" s="9">
        <v>0</v>
      </c>
      <c r="AJ252" s="9">
        <v>0</v>
      </c>
      <c r="AK252" s="9">
        <v>0</v>
      </c>
      <c r="AL252" s="9">
        <v>0</v>
      </c>
      <c r="AM252" s="9">
        <v>0</v>
      </c>
      <c r="AN252" s="9">
        <v>0</v>
      </c>
      <c r="AO252" s="9">
        <v>0</v>
      </c>
      <c r="AP252" s="9">
        <v>0</v>
      </c>
      <c r="AQ252" s="9">
        <v>0</v>
      </c>
      <c r="AR252" s="9">
        <v>0</v>
      </c>
      <c r="AS252" s="9">
        <v>0</v>
      </c>
      <c r="AT252" s="9">
        <v>0</v>
      </c>
      <c r="AU252" s="9">
        <v>0</v>
      </c>
      <c r="AV252" s="9">
        <v>0</v>
      </c>
      <c r="AW252" s="9">
        <v>0</v>
      </c>
      <c r="AX252" s="9">
        <v>0</v>
      </c>
      <c r="AY252" s="9">
        <v>0</v>
      </c>
      <c r="AZ252" s="9">
        <v>0</v>
      </c>
      <c r="BA252" s="9">
        <v>0</v>
      </c>
      <c r="BB252" s="9">
        <v>0</v>
      </c>
      <c r="BC252" s="9">
        <v>0</v>
      </c>
      <c r="BD252" s="9">
        <v>0</v>
      </c>
      <c r="BE252" s="9">
        <v>0</v>
      </c>
      <c r="BF252" s="9">
        <v>0</v>
      </c>
      <c r="BG252" s="9">
        <v>0</v>
      </c>
      <c r="BH252" s="9">
        <v>0</v>
      </c>
      <c r="BI252" s="9">
        <v>0</v>
      </c>
      <c r="BJ252" s="9">
        <v>0</v>
      </c>
      <c r="BK252" s="9">
        <v>0</v>
      </c>
      <c r="BL252" s="9">
        <v>0</v>
      </c>
      <c r="BM252" s="9">
        <v>0</v>
      </c>
      <c r="BN252" s="9">
        <v>0</v>
      </c>
      <c r="BO252" s="9">
        <v>0</v>
      </c>
      <c r="BP252" s="9">
        <v>0</v>
      </c>
      <c r="BQ252" s="9">
        <v>0</v>
      </c>
      <c r="BR252" s="9">
        <v>0</v>
      </c>
      <c r="BS252" s="9">
        <v>0</v>
      </c>
      <c r="BT252" s="9">
        <v>0</v>
      </c>
      <c r="BU252" s="9">
        <v>0</v>
      </c>
      <c r="BV252" s="9">
        <v>0</v>
      </c>
      <c r="BW252" s="9">
        <v>0</v>
      </c>
      <c r="BX252" s="9">
        <v>0</v>
      </c>
      <c r="BY252" s="9">
        <v>0</v>
      </c>
      <c r="BZ252" s="9">
        <v>0</v>
      </c>
      <c r="CA252" s="9">
        <v>0</v>
      </c>
      <c r="CB252" s="9">
        <v>0</v>
      </c>
      <c r="CC252" s="9">
        <v>0</v>
      </c>
      <c r="CD252" s="9">
        <v>0</v>
      </c>
      <c r="CE252" s="9">
        <v>0</v>
      </c>
      <c r="CF252" s="9">
        <v>0</v>
      </c>
      <c r="CG252" s="9">
        <v>0</v>
      </c>
      <c r="CH252" s="9">
        <v>0</v>
      </c>
      <c r="CI252" s="9">
        <v>0</v>
      </c>
      <c r="CJ252" s="9">
        <v>0</v>
      </c>
      <c r="CK252" s="9">
        <v>0</v>
      </c>
      <c r="CL252" s="9">
        <v>0</v>
      </c>
      <c r="CM252" s="9">
        <v>0</v>
      </c>
      <c r="CN252" s="9">
        <v>0</v>
      </c>
      <c r="CO252" s="9">
        <v>0</v>
      </c>
      <c r="CP252" s="9">
        <v>0</v>
      </c>
      <c r="CQ252" s="9">
        <v>0</v>
      </c>
      <c r="CR252" s="9">
        <v>0</v>
      </c>
      <c r="CS252" s="9">
        <v>0</v>
      </c>
      <c r="CT252" s="9">
        <v>0</v>
      </c>
      <c r="CU252" s="9">
        <v>0</v>
      </c>
      <c r="CV252" s="9">
        <v>0</v>
      </c>
      <c r="CW252" s="9">
        <v>0</v>
      </c>
      <c r="CX252" s="9">
        <v>0</v>
      </c>
      <c r="CY252" s="9">
        <v>0</v>
      </c>
      <c r="CZ252" s="9">
        <v>0</v>
      </c>
      <c r="DA252" s="9">
        <v>0</v>
      </c>
      <c r="DB252" s="9">
        <v>0</v>
      </c>
      <c r="DC252" s="9">
        <v>0</v>
      </c>
      <c r="DD252" s="9">
        <v>0</v>
      </c>
      <c r="DE252" s="9">
        <v>0</v>
      </c>
      <c r="DF252" s="9">
        <v>0</v>
      </c>
      <c r="DG252" s="9">
        <v>0</v>
      </c>
      <c r="DH252" s="9">
        <v>0</v>
      </c>
      <c r="DI252" s="9">
        <v>0</v>
      </c>
      <c r="DJ252" s="9">
        <v>0</v>
      </c>
      <c r="DK252" s="9">
        <v>0</v>
      </c>
      <c r="DL252" s="9">
        <v>0</v>
      </c>
      <c r="DM252" s="9">
        <v>0</v>
      </c>
      <c r="DN252" s="9">
        <v>0</v>
      </c>
      <c r="DO252" s="9">
        <v>0</v>
      </c>
      <c r="DP252" s="9">
        <v>0</v>
      </c>
      <c r="DQ252" s="9">
        <v>0</v>
      </c>
      <c r="DR252" s="9">
        <v>0</v>
      </c>
      <c r="DS252" s="9">
        <v>0</v>
      </c>
      <c r="DT252" s="9">
        <v>0</v>
      </c>
      <c r="DU252" s="9">
        <v>0</v>
      </c>
      <c r="DV252" s="9">
        <v>0</v>
      </c>
      <c r="DW252" s="9">
        <v>0</v>
      </c>
      <c r="DX252" s="9">
        <v>0</v>
      </c>
      <c r="DY252" s="9">
        <v>0</v>
      </c>
      <c r="DZ252" s="9">
        <v>0</v>
      </c>
      <c r="EA252" s="9">
        <v>0</v>
      </c>
      <c r="EB252" s="9">
        <v>0</v>
      </c>
      <c r="EC252" s="9">
        <v>0</v>
      </c>
      <c r="ED252" s="9">
        <v>0</v>
      </c>
      <c r="EE252" s="9">
        <v>0</v>
      </c>
      <c r="EF252" s="9">
        <v>0</v>
      </c>
      <c r="EG252" s="9">
        <v>0</v>
      </c>
      <c r="EH252" s="9">
        <v>0</v>
      </c>
      <c r="EI252" s="10">
        <v>0</v>
      </c>
    </row>
    <row r="253" spans="1:139" x14ac:dyDescent="0.35">
      <c r="A253" s="8" t="s">
        <v>413</v>
      </c>
      <c r="B253" s="9" t="s">
        <v>432</v>
      </c>
      <c r="C253" s="9" t="s">
        <v>433</v>
      </c>
      <c r="D253" s="9">
        <f t="shared" si="3"/>
        <v>0</v>
      </c>
      <c r="E253" s="9">
        <v>0</v>
      </c>
      <c r="F253" s="9">
        <v>0</v>
      </c>
      <c r="G253" s="9">
        <v>0</v>
      </c>
      <c r="H253" s="9">
        <v>0</v>
      </c>
      <c r="I253" s="9">
        <v>0</v>
      </c>
      <c r="J253" s="9">
        <v>0</v>
      </c>
      <c r="K253" s="9">
        <v>0</v>
      </c>
      <c r="L253" s="9">
        <v>0</v>
      </c>
      <c r="M253" s="9">
        <v>0</v>
      </c>
      <c r="N253" s="9">
        <v>0</v>
      </c>
      <c r="O253" s="9">
        <v>0</v>
      </c>
      <c r="P253" s="9">
        <v>0</v>
      </c>
      <c r="Q253" s="9">
        <v>0</v>
      </c>
      <c r="R253" s="9">
        <v>0</v>
      </c>
      <c r="S253" s="9">
        <v>0</v>
      </c>
      <c r="T253" s="9">
        <v>0</v>
      </c>
      <c r="U253" s="9">
        <v>0</v>
      </c>
      <c r="V253" s="9">
        <v>0</v>
      </c>
      <c r="W253" s="9">
        <v>0</v>
      </c>
      <c r="X253" s="9">
        <v>0</v>
      </c>
      <c r="Y253" s="9">
        <v>0</v>
      </c>
      <c r="Z253" s="9">
        <v>0</v>
      </c>
      <c r="AA253" s="9">
        <v>0</v>
      </c>
      <c r="AB253" s="9">
        <v>0</v>
      </c>
      <c r="AC253" s="9">
        <v>0</v>
      </c>
      <c r="AD253" s="9">
        <v>0</v>
      </c>
      <c r="AE253" s="9">
        <v>0</v>
      </c>
      <c r="AF253" s="9">
        <v>0</v>
      </c>
      <c r="AG253" s="9">
        <v>0</v>
      </c>
      <c r="AH253" s="9">
        <v>0</v>
      </c>
      <c r="AI253" s="9">
        <v>0</v>
      </c>
      <c r="AJ253" s="9">
        <v>0</v>
      </c>
      <c r="AK253" s="9">
        <v>0</v>
      </c>
      <c r="AL253" s="9">
        <v>0</v>
      </c>
      <c r="AM253" s="9">
        <v>0</v>
      </c>
      <c r="AN253" s="9">
        <v>0</v>
      </c>
      <c r="AO253" s="9">
        <v>0</v>
      </c>
      <c r="AP253" s="9">
        <v>0</v>
      </c>
      <c r="AQ253" s="9">
        <v>0</v>
      </c>
      <c r="AR253" s="9">
        <v>0</v>
      </c>
      <c r="AS253" s="9">
        <v>0</v>
      </c>
      <c r="AT253" s="9">
        <v>0</v>
      </c>
      <c r="AU253" s="9">
        <v>0</v>
      </c>
      <c r="AV253" s="9">
        <v>0</v>
      </c>
      <c r="AW253" s="9">
        <v>0</v>
      </c>
      <c r="AX253" s="9">
        <v>0</v>
      </c>
      <c r="AY253" s="9">
        <v>0</v>
      </c>
      <c r="AZ253" s="9">
        <v>0</v>
      </c>
      <c r="BA253" s="9">
        <v>0</v>
      </c>
      <c r="BB253" s="9">
        <v>0</v>
      </c>
      <c r="BC253" s="9">
        <v>0</v>
      </c>
      <c r="BD253" s="9">
        <v>0</v>
      </c>
      <c r="BE253" s="9">
        <v>0</v>
      </c>
      <c r="BF253" s="9">
        <v>0</v>
      </c>
      <c r="BG253" s="9">
        <v>0</v>
      </c>
      <c r="BH253" s="9">
        <v>0</v>
      </c>
      <c r="BI253" s="9">
        <v>0</v>
      </c>
      <c r="BJ253" s="9">
        <v>0</v>
      </c>
      <c r="BK253" s="9">
        <v>0</v>
      </c>
      <c r="BL253" s="9">
        <v>0</v>
      </c>
      <c r="BM253" s="9">
        <v>0</v>
      </c>
      <c r="BN253" s="9">
        <v>0</v>
      </c>
      <c r="BO253" s="9">
        <v>0</v>
      </c>
      <c r="BP253" s="9">
        <v>0</v>
      </c>
      <c r="BQ253" s="9">
        <v>0</v>
      </c>
      <c r="BR253" s="9">
        <v>0</v>
      </c>
      <c r="BS253" s="9">
        <v>0</v>
      </c>
      <c r="BT253" s="9">
        <v>0</v>
      </c>
      <c r="BU253" s="9">
        <v>0</v>
      </c>
      <c r="BV253" s="9">
        <v>0</v>
      </c>
      <c r="BW253" s="9">
        <v>0</v>
      </c>
      <c r="BX253" s="9">
        <v>0</v>
      </c>
      <c r="BY253" s="9">
        <v>0</v>
      </c>
      <c r="BZ253" s="9">
        <v>0</v>
      </c>
      <c r="CA253" s="9">
        <v>0</v>
      </c>
      <c r="CB253" s="9">
        <v>0</v>
      </c>
      <c r="CC253" s="9">
        <v>0</v>
      </c>
      <c r="CD253" s="9">
        <v>0</v>
      </c>
      <c r="CE253" s="9">
        <v>0</v>
      </c>
      <c r="CF253" s="9">
        <v>0</v>
      </c>
      <c r="CG253" s="9">
        <v>0</v>
      </c>
      <c r="CH253" s="9">
        <v>0</v>
      </c>
      <c r="CI253" s="9">
        <v>0</v>
      </c>
      <c r="CJ253" s="9">
        <v>0</v>
      </c>
      <c r="CK253" s="9">
        <v>0</v>
      </c>
      <c r="CL253" s="9">
        <v>0</v>
      </c>
      <c r="CM253" s="9">
        <v>0</v>
      </c>
      <c r="CN253" s="9">
        <v>0</v>
      </c>
      <c r="CO253" s="9">
        <v>0</v>
      </c>
      <c r="CP253" s="9">
        <v>0</v>
      </c>
      <c r="CQ253" s="9">
        <v>0</v>
      </c>
      <c r="CR253" s="9">
        <v>0</v>
      </c>
      <c r="CS253" s="9">
        <v>0</v>
      </c>
      <c r="CT253" s="9">
        <v>0</v>
      </c>
      <c r="CU253" s="9">
        <v>0</v>
      </c>
      <c r="CV253" s="9">
        <v>0</v>
      </c>
      <c r="CW253" s="9">
        <v>0</v>
      </c>
      <c r="CX253" s="9">
        <v>0</v>
      </c>
      <c r="CY253" s="9">
        <v>0</v>
      </c>
      <c r="CZ253" s="9">
        <v>0</v>
      </c>
      <c r="DA253" s="9">
        <v>0</v>
      </c>
      <c r="DB253" s="9">
        <v>0</v>
      </c>
      <c r="DC253" s="9">
        <v>0</v>
      </c>
      <c r="DD253" s="9">
        <v>0</v>
      </c>
      <c r="DE253" s="9">
        <v>0</v>
      </c>
      <c r="DF253" s="9">
        <v>0</v>
      </c>
      <c r="DG253" s="9">
        <v>0</v>
      </c>
      <c r="DH253" s="9">
        <v>0</v>
      </c>
      <c r="DI253" s="9">
        <v>0</v>
      </c>
      <c r="DJ253" s="9">
        <v>0</v>
      </c>
      <c r="DK253" s="9">
        <v>0</v>
      </c>
      <c r="DL253" s="9">
        <v>0</v>
      </c>
      <c r="DM253" s="9">
        <v>0</v>
      </c>
      <c r="DN253" s="9">
        <v>0</v>
      </c>
      <c r="DO253" s="9">
        <v>0</v>
      </c>
      <c r="DP253" s="9">
        <v>0</v>
      </c>
      <c r="DQ253" s="9">
        <v>0</v>
      </c>
      <c r="DR253" s="9">
        <v>0</v>
      </c>
      <c r="DS253" s="9">
        <v>0</v>
      </c>
      <c r="DT253" s="9">
        <v>0</v>
      </c>
      <c r="DU253" s="9">
        <v>0</v>
      </c>
      <c r="DV253" s="9">
        <v>0</v>
      </c>
      <c r="DW253" s="9">
        <v>0</v>
      </c>
      <c r="DX253" s="9">
        <v>0</v>
      </c>
      <c r="DY253" s="9">
        <v>0</v>
      </c>
      <c r="DZ253" s="9">
        <v>0</v>
      </c>
      <c r="EA253" s="9">
        <v>0</v>
      </c>
      <c r="EB253" s="9">
        <v>0</v>
      </c>
      <c r="EC253" s="9">
        <v>0</v>
      </c>
      <c r="ED253" s="9">
        <v>0</v>
      </c>
      <c r="EE253" s="9">
        <v>0</v>
      </c>
      <c r="EF253" s="9">
        <v>0</v>
      </c>
      <c r="EG253" s="9">
        <v>0</v>
      </c>
      <c r="EH253" s="9">
        <v>0</v>
      </c>
      <c r="EI253" s="10">
        <v>0</v>
      </c>
    </row>
    <row r="254" spans="1:139" x14ac:dyDescent="0.35">
      <c r="A254" s="8" t="s">
        <v>413</v>
      </c>
      <c r="B254" s="9" t="s">
        <v>434</v>
      </c>
      <c r="C254" s="9" t="s">
        <v>435</v>
      </c>
      <c r="D254" s="9">
        <f t="shared" si="3"/>
        <v>0</v>
      </c>
      <c r="E254" s="9">
        <v>0</v>
      </c>
      <c r="F254" s="9">
        <v>0</v>
      </c>
      <c r="G254" s="9">
        <v>0</v>
      </c>
      <c r="H254" s="9">
        <v>0</v>
      </c>
      <c r="I254" s="9">
        <v>0</v>
      </c>
      <c r="J254" s="9">
        <v>0</v>
      </c>
      <c r="K254" s="9">
        <v>0</v>
      </c>
      <c r="L254" s="9">
        <v>0</v>
      </c>
      <c r="M254" s="9">
        <v>0</v>
      </c>
      <c r="N254" s="9">
        <v>0</v>
      </c>
      <c r="O254" s="9">
        <v>0</v>
      </c>
      <c r="P254" s="9">
        <v>0</v>
      </c>
      <c r="Q254" s="9">
        <v>0</v>
      </c>
      <c r="R254" s="9">
        <v>0</v>
      </c>
      <c r="S254" s="9">
        <v>0</v>
      </c>
      <c r="T254" s="9">
        <v>0</v>
      </c>
      <c r="U254" s="9">
        <v>0</v>
      </c>
      <c r="V254" s="9">
        <v>0</v>
      </c>
      <c r="W254" s="9">
        <v>0</v>
      </c>
      <c r="X254" s="9">
        <v>0</v>
      </c>
      <c r="Y254" s="9">
        <v>0</v>
      </c>
      <c r="Z254" s="9">
        <v>0</v>
      </c>
      <c r="AA254" s="9">
        <v>0</v>
      </c>
      <c r="AB254" s="9">
        <v>0</v>
      </c>
      <c r="AC254" s="9">
        <v>0</v>
      </c>
      <c r="AD254" s="9">
        <v>0</v>
      </c>
      <c r="AE254" s="9">
        <v>0</v>
      </c>
      <c r="AF254" s="9">
        <v>0</v>
      </c>
      <c r="AG254" s="9">
        <v>0</v>
      </c>
      <c r="AH254" s="9">
        <v>0</v>
      </c>
      <c r="AI254" s="9">
        <v>0</v>
      </c>
      <c r="AJ254" s="9">
        <v>0</v>
      </c>
      <c r="AK254" s="9">
        <v>0</v>
      </c>
      <c r="AL254" s="9">
        <v>0</v>
      </c>
      <c r="AM254" s="9">
        <v>0</v>
      </c>
      <c r="AN254" s="9">
        <v>0</v>
      </c>
      <c r="AO254" s="9">
        <v>0</v>
      </c>
      <c r="AP254" s="9">
        <v>0</v>
      </c>
      <c r="AQ254" s="9">
        <v>0</v>
      </c>
      <c r="AR254" s="9">
        <v>0</v>
      </c>
      <c r="AS254" s="9">
        <v>0</v>
      </c>
      <c r="AT254" s="9">
        <v>0</v>
      </c>
      <c r="AU254" s="9">
        <v>0</v>
      </c>
      <c r="AV254" s="9">
        <v>0</v>
      </c>
      <c r="AW254" s="9">
        <v>0</v>
      </c>
      <c r="AX254" s="9">
        <v>0</v>
      </c>
      <c r="AY254" s="9">
        <v>0</v>
      </c>
      <c r="AZ254" s="9">
        <v>0</v>
      </c>
      <c r="BA254" s="9">
        <v>0</v>
      </c>
      <c r="BB254" s="9">
        <v>0</v>
      </c>
      <c r="BC254" s="9">
        <v>0</v>
      </c>
      <c r="BD254" s="9">
        <v>0</v>
      </c>
      <c r="BE254" s="9">
        <v>0</v>
      </c>
      <c r="BF254" s="9">
        <v>0</v>
      </c>
      <c r="BG254" s="9">
        <v>0</v>
      </c>
      <c r="BH254" s="9">
        <v>0</v>
      </c>
      <c r="BI254" s="9">
        <v>0</v>
      </c>
      <c r="BJ254" s="9">
        <v>0</v>
      </c>
      <c r="BK254" s="9">
        <v>0</v>
      </c>
      <c r="BL254" s="9">
        <v>0</v>
      </c>
      <c r="BM254" s="9">
        <v>0</v>
      </c>
      <c r="BN254" s="9">
        <v>0</v>
      </c>
      <c r="BO254" s="9">
        <v>0</v>
      </c>
      <c r="BP254" s="9">
        <v>0</v>
      </c>
      <c r="BQ254" s="9">
        <v>0</v>
      </c>
      <c r="BR254" s="9">
        <v>0</v>
      </c>
      <c r="BS254" s="9">
        <v>0</v>
      </c>
      <c r="BT254" s="9">
        <v>0</v>
      </c>
      <c r="BU254" s="9">
        <v>0</v>
      </c>
      <c r="BV254" s="9">
        <v>0</v>
      </c>
      <c r="BW254" s="9">
        <v>0</v>
      </c>
      <c r="BX254" s="9">
        <v>0</v>
      </c>
      <c r="BY254" s="9">
        <v>0</v>
      </c>
      <c r="BZ254" s="9">
        <v>0</v>
      </c>
      <c r="CA254" s="9">
        <v>0</v>
      </c>
      <c r="CB254" s="9">
        <v>0</v>
      </c>
      <c r="CC254" s="9">
        <v>0</v>
      </c>
      <c r="CD254" s="9">
        <v>0</v>
      </c>
      <c r="CE254" s="9">
        <v>0</v>
      </c>
      <c r="CF254" s="9">
        <v>0</v>
      </c>
      <c r="CG254" s="9">
        <v>0</v>
      </c>
      <c r="CH254" s="9">
        <v>0</v>
      </c>
      <c r="CI254" s="9">
        <v>0</v>
      </c>
      <c r="CJ254" s="9">
        <v>0</v>
      </c>
      <c r="CK254" s="9">
        <v>0</v>
      </c>
      <c r="CL254" s="9">
        <v>0</v>
      </c>
      <c r="CM254" s="9">
        <v>0</v>
      </c>
      <c r="CN254" s="9">
        <v>0</v>
      </c>
      <c r="CO254" s="9">
        <v>0</v>
      </c>
      <c r="CP254" s="9">
        <v>0</v>
      </c>
      <c r="CQ254" s="9">
        <v>0</v>
      </c>
      <c r="CR254" s="9">
        <v>0</v>
      </c>
      <c r="CS254" s="9">
        <v>0</v>
      </c>
      <c r="CT254" s="9">
        <v>0</v>
      </c>
      <c r="CU254" s="9">
        <v>0</v>
      </c>
      <c r="CV254" s="9">
        <v>0</v>
      </c>
      <c r="CW254" s="9">
        <v>0</v>
      </c>
      <c r="CX254" s="9">
        <v>0</v>
      </c>
      <c r="CY254" s="9">
        <v>0</v>
      </c>
      <c r="CZ254" s="9">
        <v>0</v>
      </c>
      <c r="DA254" s="9">
        <v>0</v>
      </c>
      <c r="DB254" s="9">
        <v>0</v>
      </c>
      <c r="DC254" s="9">
        <v>0</v>
      </c>
      <c r="DD254" s="9">
        <v>0</v>
      </c>
      <c r="DE254" s="9">
        <v>0</v>
      </c>
      <c r="DF254" s="9">
        <v>0</v>
      </c>
      <c r="DG254" s="9">
        <v>0</v>
      </c>
      <c r="DH254" s="9">
        <v>0</v>
      </c>
      <c r="DI254" s="9">
        <v>0</v>
      </c>
      <c r="DJ254" s="9">
        <v>0</v>
      </c>
      <c r="DK254" s="9">
        <v>0</v>
      </c>
      <c r="DL254" s="9">
        <v>0</v>
      </c>
      <c r="DM254" s="9">
        <v>0</v>
      </c>
      <c r="DN254" s="9">
        <v>0</v>
      </c>
      <c r="DO254" s="9">
        <v>0</v>
      </c>
      <c r="DP254" s="9">
        <v>0</v>
      </c>
      <c r="DQ254" s="9">
        <v>0</v>
      </c>
      <c r="DR254" s="9">
        <v>0</v>
      </c>
      <c r="DS254" s="9">
        <v>0</v>
      </c>
      <c r="DT254" s="9">
        <v>0</v>
      </c>
      <c r="DU254" s="9">
        <v>0</v>
      </c>
      <c r="DV254" s="9">
        <v>0</v>
      </c>
      <c r="DW254" s="9">
        <v>0</v>
      </c>
      <c r="DX254" s="9">
        <v>0</v>
      </c>
      <c r="DY254" s="9">
        <v>0</v>
      </c>
      <c r="DZ254" s="9">
        <v>0</v>
      </c>
      <c r="EA254" s="9">
        <v>0</v>
      </c>
      <c r="EB254" s="9">
        <v>0</v>
      </c>
      <c r="EC254" s="9">
        <v>0</v>
      </c>
      <c r="ED254" s="9">
        <v>0</v>
      </c>
      <c r="EE254" s="9">
        <v>0</v>
      </c>
      <c r="EF254" s="9">
        <v>0</v>
      </c>
      <c r="EG254" s="9">
        <v>0</v>
      </c>
      <c r="EH254" s="9">
        <v>0</v>
      </c>
      <c r="EI254" s="10">
        <v>0</v>
      </c>
    </row>
    <row r="255" spans="1:139" x14ac:dyDescent="0.35">
      <c r="A255" s="8" t="s">
        <v>413</v>
      </c>
      <c r="B255" s="9" t="s">
        <v>436</v>
      </c>
      <c r="C255" s="9" t="s">
        <v>437</v>
      </c>
      <c r="D255" s="9">
        <f t="shared" si="3"/>
        <v>0</v>
      </c>
      <c r="E255" s="9">
        <v>0</v>
      </c>
      <c r="F255" s="9">
        <v>0</v>
      </c>
      <c r="G255" s="9">
        <v>0</v>
      </c>
      <c r="H255" s="9">
        <v>0</v>
      </c>
      <c r="I255" s="9">
        <v>0</v>
      </c>
      <c r="J255" s="9">
        <v>0</v>
      </c>
      <c r="K255" s="9">
        <v>0</v>
      </c>
      <c r="L255" s="9">
        <v>0</v>
      </c>
      <c r="M255" s="9">
        <v>0</v>
      </c>
      <c r="N255" s="9">
        <v>0</v>
      </c>
      <c r="O255" s="9">
        <v>0</v>
      </c>
      <c r="P255" s="9">
        <v>0</v>
      </c>
      <c r="Q255" s="9">
        <v>0</v>
      </c>
      <c r="R255" s="9">
        <v>0</v>
      </c>
      <c r="S255" s="9">
        <v>0</v>
      </c>
      <c r="T255" s="9">
        <v>0</v>
      </c>
      <c r="U255" s="9">
        <v>0</v>
      </c>
      <c r="V255" s="9">
        <v>0</v>
      </c>
      <c r="W255" s="9">
        <v>0</v>
      </c>
      <c r="X255" s="9">
        <v>0</v>
      </c>
      <c r="Y255" s="9">
        <v>0</v>
      </c>
      <c r="Z255" s="9">
        <v>0</v>
      </c>
      <c r="AA255" s="9">
        <v>0</v>
      </c>
      <c r="AB255" s="9">
        <v>0</v>
      </c>
      <c r="AC255" s="9">
        <v>0</v>
      </c>
      <c r="AD255" s="9">
        <v>0</v>
      </c>
      <c r="AE255" s="9">
        <v>0</v>
      </c>
      <c r="AF255" s="9">
        <v>0</v>
      </c>
      <c r="AG255" s="9">
        <v>0</v>
      </c>
      <c r="AH255" s="9">
        <v>0</v>
      </c>
      <c r="AI255" s="9">
        <v>0</v>
      </c>
      <c r="AJ255" s="9">
        <v>0</v>
      </c>
      <c r="AK255" s="9">
        <v>0</v>
      </c>
      <c r="AL255" s="9">
        <v>0</v>
      </c>
      <c r="AM255" s="9">
        <v>0</v>
      </c>
      <c r="AN255" s="9">
        <v>0</v>
      </c>
      <c r="AO255" s="9">
        <v>0</v>
      </c>
      <c r="AP255" s="9">
        <v>0</v>
      </c>
      <c r="AQ255" s="9">
        <v>0</v>
      </c>
      <c r="AR255" s="9">
        <v>0</v>
      </c>
      <c r="AS255" s="9">
        <v>0</v>
      </c>
      <c r="AT255" s="9">
        <v>0</v>
      </c>
      <c r="AU255" s="9">
        <v>0</v>
      </c>
      <c r="AV255" s="9">
        <v>0</v>
      </c>
      <c r="AW255" s="9">
        <v>0</v>
      </c>
      <c r="AX255" s="9">
        <v>0</v>
      </c>
      <c r="AY255" s="9">
        <v>0</v>
      </c>
      <c r="AZ255" s="9">
        <v>0</v>
      </c>
      <c r="BA255" s="9">
        <v>0</v>
      </c>
      <c r="BB255" s="9">
        <v>0</v>
      </c>
      <c r="BC255" s="9">
        <v>0</v>
      </c>
      <c r="BD255" s="9">
        <v>0</v>
      </c>
      <c r="BE255" s="9">
        <v>0</v>
      </c>
      <c r="BF255" s="9">
        <v>0</v>
      </c>
      <c r="BG255" s="9">
        <v>0</v>
      </c>
      <c r="BH255" s="9">
        <v>0</v>
      </c>
      <c r="BI255" s="9">
        <v>0</v>
      </c>
      <c r="BJ255" s="9">
        <v>0</v>
      </c>
      <c r="BK255" s="9">
        <v>0</v>
      </c>
      <c r="BL255" s="9">
        <v>0</v>
      </c>
      <c r="BM255" s="9">
        <v>0</v>
      </c>
      <c r="BN255" s="9">
        <v>0</v>
      </c>
      <c r="BO255" s="9">
        <v>0</v>
      </c>
      <c r="BP255" s="9">
        <v>0</v>
      </c>
      <c r="BQ255" s="9">
        <v>0</v>
      </c>
      <c r="BR255" s="9">
        <v>0</v>
      </c>
      <c r="BS255" s="9">
        <v>0</v>
      </c>
      <c r="BT255" s="9">
        <v>0</v>
      </c>
      <c r="BU255" s="9">
        <v>0</v>
      </c>
      <c r="BV255" s="9">
        <v>0</v>
      </c>
      <c r="BW255" s="9">
        <v>0</v>
      </c>
      <c r="BX255" s="9">
        <v>0</v>
      </c>
      <c r="BY255" s="9">
        <v>0</v>
      </c>
      <c r="BZ255" s="9">
        <v>0</v>
      </c>
      <c r="CA255" s="9">
        <v>0</v>
      </c>
      <c r="CB255" s="9">
        <v>0</v>
      </c>
      <c r="CC255" s="9">
        <v>0</v>
      </c>
      <c r="CD255" s="9">
        <v>0</v>
      </c>
      <c r="CE255" s="9">
        <v>0</v>
      </c>
      <c r="CF255" s="9">
        <v>0</v>
      </c>
      <c r="CG255" s="9">
        <v>0</v>
      </c>
      <c r="CH255" s="9">
        <v>0</v>
      </c>
      <c r="CI255" s="9">
        <v>0</v>
      </c>
      <c r="CJ255" s="9">
        <v>0</v>
      </c>
      <c r="CK255" s="9">
        <v>0</v>
      </c>
      <c r="CL255" s="9">
        <v>0</v>
      </c>
      <c r="CM255" s="9">
        <v>0</v>
      </c>
      <c r="CN255" s="9">
        <v>0</v>
      </c>
      <c r="CO255" s="9">
        <v>0</v>
      </c>
      <c r="CP255" s="9">
        <v>0</v>
      </c>
      <c r="CQ255" s="9">
        <v>0</v>
      </c>
      <c r="CR255" s="9">
        <v>0</v>
      </c>
      <c r="CS255" s="9">
        <v>0</v>
      </c>
      <c r="CT255" s="9">
        <v>0</v>
      </c>
      <c r="CU255" s="9">
        <v>0</v>
      </c>
      <c r="CV255" s="9">
        <v>0</v>
      </c>
      <c r="CW255" s="9">
        <v>0</v>
      </c>
      <c r="CX255" s="9">
        <v>0</v>
      </c>
      <c r="CY255" s="9">
        <v>0</v>
      </c>
      <c r="CZ255" s="9">
        <v>0</v>
      </c>
      <c r="DA255" s="9">
        <v>0</v>
      </c>
      <c r="DB255" s="9">
        <v>0</v>
      </c>
      <c r="DC255" s="9">
        <v>0</v>
      </c>
      <c r="DD255" s="9">
        <v>0</v>
      </c>
      <c r="DE255" s="9">
        <v>0</v>
      </c>
      <c r="DF255" s="9">
        <v>0</v>
      </c>
      <c r="DG255" s="9">
        <v>0</v>
      </c>
      <c r="DH255" s="9">
        <v>0</v>
      </c>
      <c r="DI255" s="9">
        <v>0</v>
      </c>
      <c r="DJ255" s="9">
        <v>0</v>
      </c>
      <c r="DK255" s="9">
        <v>0</v>
      </c>
      <c r="DL255" s="9">
        <v>0</v>
      </c>
      <c r="DM255" s="9">
        <v>0</v>
      </c>
      <c r="DN255" s="9">
        <v>0</v>
      </c>
      <c r="DO255" s="9">
        <v>0</v>
      </c>
      <c r="DP255" s="9">
        <v>0</v>
      </c>
      <c r="DQ255" s="9">
        <v>0</v>
      </c>
      <c r="DR255" s="9">
        <v>0</v>
      </c>
      <c r="DS255" s="9">
        <v>0</v>
      </c>
      <c r="DT255" s="9">
        <v>0</v>
      </c>
      <c r="DU255" s="9">
        <v>0</v>
      </c>
      <c r="DV255" s="9">
        <v>0</v>
      </c>
      <c r="DW255" s="9">
        <v>0</v>
      </c>
      <c r="DX255" s="9">
        <v>0</v>
      </c>
      <c r="DY255" s="9">
        <v>0</v>
      </c>
      <c r="DZ255" s="9">
        <v>0</v>
      </c>
      <c r="EA255" s="9">
        <v>0</v>
      </c>
      <c r="EB255" s="9">
        <v>0</v>
      </c>
      <c r="EC255" s="9">
        <v>0</v>
      </c>
      <c r="ED255" s="9">
        <v>0</v>
      </c>
      <c r="EE255" s="9">
        <v>0</v>
      </c>
      <c r="EF255" s="9">
        <v>0</v>
      </c>
      <c r="EG255" s="9">
        <v>0</v>
      </c>
      <c r="EH255" s="9">
        <v>0</v>
      </c>
      <c r="EI255" s="10">
        <v>0</v>
      </c>
    </row>
    <row r="256" spans="1:139" x14ac:dyDescent="0.35">
      <c r="A256" s="8" t="s">
        <v>413</v>
      </c>
      <c r="B256" s="9" t="s">
        <v>438</v>
      </c>
      <c r="C256" s="9" t="s">
        <v>439</v>
      </c>
      <c r="D256" s="9">
        <f t="shared" si="3"/>
        <v>21</v>
      </c>
      <c r="E256" s="9">
        <v>0</v>
      </c>
      <c r="F256" s="9">
        <v>0</v>
      </c>
      <c r="G256" s="9">
        <v>0</v>
      </c>
      <c r="H256" s="9">
        <v>0</v>
      </c>
      <c r="I256" s="9">
        <v>0</v>
      </c>
      <c r="J256" s="9">
        <v>0</v>
      </c>
      <c r="K256" s="9">
        <v>0</v>
      </c>
      <c r="L256" s="9">
        <v>0</v>
      </c>
      <c r="M256" s="9">
        <v>0</v>
      </c>
      <c r="N256" s="9">
        <v>0</v>
      </c>
      <c r="O256" s="9">
        <v>0</v>
      </c>
      <c r="P256" s="9">
        <v>0</v>
      </c>
      <c r="Q256" s="9">
        <v>0</v>
      </c>
      <c r="R256" s="9">
        <v>0</v>
      </c>
      <c r="S256" s="9">
        <v>0</v>
      </c>
      <c r="T256" s="9">
        <v>1</v>
      </c>
      <c r="U256" s="9">
        <v>0</v>
      </c>
      <c r="V256" s="9">
        <v>0</v>
      </c>
      <c r="W256" s="9">
        <v>0</v>
      </c>
      <c r="X256" s="9">
        <v>0</v>
      </c>
      <c r="Y256" s="9">
        <v>0</v>
      </c>
      <c r="Z256" s="9">
        <v>0</v>
      </c>
      <c r="AA256" s="9">
        <v>0</v>
      </c>
      <c r="AB256" s="9">
        <v>0</v>
      </c>
      <c r="AC256" s="9">
        <v>0</v>
      </c>
      <c r="AD256" s="9">
        <v>0</v>
      </c>
      <c r="AE256" s="9">
        <v>0</v>
      </c>
      <c r="AF256" s="9">
        <v>0</v>
      </c>
      <c r="AG256" s="9">
        <v>0</v>
      </c>
      <c r="AH256" s="9">
        <v>0</v>
      </c>
      <c r="AI256" s="9">
        <v>0</v>
      </c>
      <c r="AJ256" s="9">
        <v>0</v>
      </c>
      <c r="AK256" s="9">
        <v>0</v>
      </c>
      <c r="AL256" s="9">
        <v>0</v>
      </c>
      <c r="AM256" s="9">
        <v>0</v>
      </c>
      <c r="AN256" s="9">
        <v>0</v>
      </c>
      <c r="AO256" s="9">
        <v>0</v>
      </c>
      <c r="AP256" s="9">
        <v>0</v>
      </c>
      <c r="AQ256" s="9">
        <v>0</v>
      </c>
      <c r="AR256" s="9">
        <v>0</v>
      </c>
      <c r="AS256" s="9">
        <v>0</v>
      </c>
      <c r="AT256" s="9">
        <v>1</v>
      </c>
      <c r="AU256" s="9">
        <v>1</v>
      </c>
      <c r="AV256" s="9">
        <v>1</v>
      </c>
      <c r="AW256" s="9">
        <v>1</v>
      </c>
      <c r="AX256" s="9">
        <v>1</v>
      </c>
      <c r="AY256" s="9">
        <v>1</v>
      </c>
      <c r="AZ256" s="9">
        <v>1</v>
      </c>
      <c r="BA256" s="9">
        <v>1</v>
      </c>
      <c r="BB256" s="9">
        <v>1</v>
      </c>
      <c r="BC256" s="9">
        <v>1</v>
      </c>
      <c r="BD256" s="9">
        <v>1</v>
      </c>
      <c r="BE256" s="9">
        <v>1</v>
      </c>
      <c r="BF256" s="9">
        <v>0</v>
      </c>
      <c r="BG256" s="9">
        <v>0</v>
      </c>
      <c r="BH256" s="9">
        <v>1</v>
      </c>
      <c r="BI256" s="9">
        <v>1</v>
      </c>
      <c r="BJ256" s="9">
        <v>1</v>
      </c>
      <c r="BK256" s="9">
        <v>1</v>
      </c>
      <c r="BL256" s="9">
        <v>1</v>
      </c>
      <c r="BM256" s="9">
        <v>0</v>
      </c>
      <c r="BN256" s="9">
        <v>0</v>
      </c>
      <c r="BO256" s="9">
        <v>0</v>
      </c>
      <c r="BP256" s="9">
        <v>0</v>
      </c>
      <c r="BQ256" s="9">
        <v>0</v>
      </c>
      <c r="BR256" s="9">
        <v>0</v>
      </c>
      <c r="BS256" s="9">
        <v>0</v>
      </c>
      <c r="BT256" s="9">
        <v>0</v>
      </c>
      <c r="BU256" s="9">
        <v>0</v>
      </c>
      <c r="BV256" s="9">
        <v>0</v>
      </c>
      <c r="BW256" s="9">
        <v>0</v>
      </c>
      <c r="BX256" s="9">
        <v>0</v>
      </c>
      <c r="BY256" s="9">
        <v>0</v>
      </c>
      <c r="BZ256" s="9">
        <v>0</v>
      </c>
      <c r="CA256" s="9">
        <v>1</v>
      </c>
      <c r="CB256" s="9">
        <v>1</v>
      </c>
      <c r="CC256" s="9">
        <v>1</v>
      </c>
      <c r="CD256" s="9">
        <v>0</v>
      </c>
      <c r="CE256" s="9">
        <v>0</v>
      </c>
      <c r="CF256" s="9">
        <v>0</v>
      </c>
      <c r="CG256" s="9">
        <v>0</v>
      </c>
      <c r="CH256" s="9">
        <v>0</v>
      </c>
      <c r="CI256" s="9">
        <v>0</v>
      </c>
      <c r="CJ256" s="9">
        <v>0</v>
      </c>
      <c r="CK256" s="9">
        <v>0</v>
      </c>
      <c r="CL256" s="9">
        <v>0</v>
      </c>
      <c r="CM256" s="9">
        <v>0</v>
      </c>
      <c r="CN256" s="9">
        <v>0</v>
      </c>
      <c r="CO256" s="9">
        <v>0</v>
      </c>
      <c r="CP256" s="9">
        <v>0</v>
      </c>
      <c r="CQ256" s="9">
        <v>0</v>
      </c>
      <c r="CR256" s="9">
        <v>0</v>
      </c>
      <c r="CS256" s="9">
        <v>0</v>
      </c>
      <c r="CT256" s="9">
        <v>0</v>
      </c>
      <c r="CU256" s="9">
        <v>0</v>
      </c>
      <c r="CV256" s="9">
        <v>0</v>
      </c>
      <c r="CW256" s="9">
        <v>0</v>
      </c>
      <c r="CX256" s="9">
        <v>0</v>
      </c>
      <c r="CY256" s="9">
        <v>0</v>
      </c>
      <c r="CZ256" s="9">
        <v>0</v>
      </c>
      <c r="DA256" s="9">
        <v>0</v>
      </c>
      <c r="DB256" s="9">
        <v>0</v>
      </c>
      <c r="DC256" s="9">
        <v>0</v>
      </c>
      <c r="DD256" s="9">
        <v>0</v>
      </c>
      <c r="DE256" s="9">
        <v>0</v>
      </c>
      <c r="DF256" s="9">
        <v>0</v>
      </c>
      <c r="DG256" s="9">
        <v>0</v>
      </c>
      <c r="DH256" s="9">
        <v>0</v>
      </c>
      <c r="DI256" s="9">
        <v>0</v>
      </c>
      <c r="DJ256" s="9">
        <v>0</v>
      </c>
      <c r="DK256" s="9">
        <v>0</v>
      </c>
      <c r="DL256" s="9">
        <v>0</v>
      </c>
      <c r="DM256" s="9">
        <v>0</v>
      </c>
      <c r="DN256" s="9">
        <v>0</v>
      </c>
      <c r="DO256" s="9">
        <v>0</v>
      </c>
      <c r="DP256" s="9">
        <v>0</v>
      </c>
      <c r="DQ256" s="9">
        <v>0</v>
      </c>
      <c r="DR256" s="9">
        <v>0</v>
      </c>
      <c r="DS256" s="9">
        <v>0</v>
      </c>
      <c r="DT256" s="9">
        <v>0</v>
      </c>
      <c r="DU256" s="9">
        <v>0</v>
      </c>
      <c r="DV256" s="9">
        <v>0</v>
      </c>
      <c r="DW256" s="9">
        <v>0</v>
      </c>
      <c r="DX256" s="9">
        <v>0</v>
      </c>
      <c r="DY256" s="9">
        <v>0</v>
      </c>
      <c r="DZ256" s="9">
        <v>0</v>
      </c>
      <c r="EA256" s="9">
        <v>0</v>
      </c>
      <c r="EB256" s="9">
        <v>0</v>
      </c>
      <c r="EC256" s="9">
        <v>0</v>
      </c>
      <c r="ED256" s="9">
        <v>0</v>
      </c>
      <c r="EE256" s="9">
        <v>0</v>
      </c>
      <c r="EF256" s="9">
        <v>0</v>
      </c>
      <c r="EG256" s="9">
        <v>0</v>
      </c>
      <c r="EH256" s="9">
        <v>0</v>
      </c>
      <c r="EI256" s="10">
        <v>0</v>
      </c>
    </row>
    <row r="257" spans="1:139" x14ac:dyDescent="0.35">
      <c r="A257" s="8" t="s">
        <v>413</v>
      </c>
      <c r="B257" s="9" t="s">
        <v>440</v>
      </c>
      <c r="C257" s="9" t="s">
        <v>441</v>
      </c>
      <c r="D257" s="9">
        <f t="shared" si="3"/>
        <v>38</v>
      </c>
      <c r="E257" s="9">
        <v>0</v>
      </c>
      <c r="F257" s="9">
        <v>0</v>
      </c>
      <c r="G257" s="9">
        <v>0</v>
      </c>
      <c r="H257" s="9">
        <v>0</v>
      </c>
      <c r="I257" s="9">
        <v>0</v>
      </c>
      <c r="J257" s="9">
        <v>0</v>
      </c>
      <c r="K257" s="9">
        <v>0</v>
      </c>
      <c r="L257" s="9">
        <v>0</v>
      </c>
      <c r="M257" s="9">
        <v>0</v>
      </c>
      <c r="N257" s="9">
        <v>0</v>
      </c>
      <c r="O257" s="9">
        <v>0</v>
      </c>
      <c r="P257" s="9">
        <v>0</v>
      </c>
      <c r="Q257" s="9">
        <v>0</v>
      </c>
      <c r="R257" s="9">
        <v>1</v>
      </c>
      <c r="S257" s="9">
        <v>0</v>
      </c>
      <c r="T257" s="9">
        <v>0</v>
      </c>
      <c r="U257" s="9">
        <v>0</v>
      </c>
      <c r="V257" s="9">
        <v>0</v>
      </c>
      <c r="W257" s="9">
        <v>0</v>
      </c>
      <c r="X257" s="9">
        <v>0</v>
      </c>
      <c r="Y257" s="9">
        <v>0</v>
      </c>
      <c r="Z257" s="9">
        <v>0</v>
      </c>
      <c r="AA257" s="9">
        <v>0</v>
      </c>
      <c r="AB257" s="9">
        <v>0</v>
      </c>
      <c r="AC257" s="9">
        <v>0</v>
      </c>
      <c r="AD257" s="9">
        <v>0</v>
      </c>
      <c r="AE257" s="9">
        <v>0</v>
      </c>
      <c r="AF257" s="9">
        <v>0</v>
      </c>
      <c r="AG257" s="9">
        <v>0</v>
      </c>
      <c r="AH257" s="9">
        <v>0</v>
      </c>
      <c r="AI257" s="9">
        <v>0</v>
      </c>
      <c r="AJ257" s="9">
        <v>0</v>
      </c>
      <c r="AK257" s="9">
        <v>0</v>
      </c>
      <c r="AL257" s="9">
        <v>0</v>
      </c>
      <c r="AM257" s="9">
        <v>1</v>
      </c>
      <c r="AN257" s="9">
        <v>1</v>
      </c>
      <c r="AO257" s="9">
        <v>1</v>
      </c>
      <c r="AP257" s="9">
        <v>1</v>
      </c>
      <c r="AQ257" s="9">
        <v>0</v>
      </c>
      <c r="AR257" s="9">
        <v>1</v>
      </c>
      <c r="AS257" s="9">
        <v>0</v>
      </c>
      <c r="AT257" s="9">
        <v>0</v>
      </c>
      <c r="AU257" s="9">
        <v>0</v>
      </c>
      <c r="AV257" s="9">
        <v>0</v>
      </c>
      <c r="AW257" s="9">
        <v>0</v>
      </c>
      <c r="AX257" s="9">
        <v>2</v>
      </c>
      <c r="AY257" s="9">
        <v>0</v>
      </c>
      <c r="AZ257" s="9">
        <v>2</v>
      </c>
      <c r="BA257" s="9">
        <v>1</v>
      </c>
      <c r="BB257" s="9">
        <v>0</v>
      </c>
      <c r="BC257" s="9">
        <v>0</v>
      </c>
      <c r="BD257" s="9">
        <v>1</v>
      </c>
      <c r="BE257" s="9">
        <v>1</v>
      </c>
      <c r="BF257" s="9">
        <v>1</v>
      </c>
      <c r="BG257" s="9">
        <v>0</v>
      </c>
      <c r="BH257" s="9">
        <v>2</v>
      </c>
      <c r="BI257" s="9">
        <v>0</v>
      </c>
      <c r="BJ257" s="9">
        <v>1</v>
      </c>
      <c r="BK257" s="9">
        <v>0</v>
      </c>
      <c r="BL257" s="9">
        <v>0</v>
      </c>
      <c r="BM257" s="9">
        <v>0</v>
      </c>
      <c r="BN257" s="9">
        <v>0</v>
      </c>
      <c r="BO257" s="9">
        <v>0</v>
      </c>
      <c r="BP257" s="9">
        <v>2</v>
      </c>
      <c r="BQ257" s="9">
        <v>0</v>
      </c>
      <c r="BR257" s="9">
        <v>1</v>
      </c>
      <c r="BS257" s="9">
        <v>2</v>
      </c>
      <c r="BT257" s="9">
        <v>1</v>
      </c>
      <c r="BU257" s="9">
        <v>0</v>
      </c>
      <c r="BV257" s="9">
        <v>0</v>
      </c>
      <c r="BW257" s="9">
        <v>0</v>
      </c>
      <c r="BX257" s="9">
        <v>0</v>
      </c>
      <c r="BY257" s="9">
        <v>0</v>
      </c>
      <c r="BZ257" s="9">
        <v>1</v>
      </c>
      <c r="CA257" s="9">
        <v>0</v>
      </c>
      <c r="CB257" s="9">
        <v>0</v>
      </c>
      <c r="CC257" s="9">
        <v>0</v>
      </c>
      <c r="CD257" s="9">
        <v>0</v>
      </c>
      <c r="CE257" s="9">
        <v>2</v>
      </c>
      <c r="CF257" s="9">
        <v>0</v>
      </c>
      <c r="CG257" s="9">
        <v>1</v>
      </c>
      <c r="CH257" s="9">
        <v>0</v>
      </c>
      <c r="CI257" s="9">
        <v>0</v>
      </c>
      <c r="CJ257" s="9">
        <v>0</v>
      </c>
      <c r="CK257" s="9">
        <v>0</v>
      </c>
      <c r="CL257" s="9">
        <v>1</v>
      </c>
      <c r="CM257" s="9">
        <v>0</v>
      </c>
      <c r="CN257" s="9">
        <v>0</v>
      </c>
      <c r="CO257" s="9">
        <v>0</v>
      </c>
      <c r="CP257" s="9">
        <v>0</v>
      </c>
      <c r="CQ257" s="9">
        <v>0</v>
      </c>
      <c r="CR257" s="9">
        <v>0</v>
      </c>
      <c r="CS257" s="9">
        <v>1</v>
      </c>
      <c r="CT257" s="9">
        <v>0</v>
      </c>
      <c r="CU257" s="9">
        <v>1</v>
      </c>
      <c r="CV257" s="9">
        <v>2</v>
      </c>
      <c r="CW257" s="9">
        <v>0</v>
      </c>
      <c r="CX257" s="9">
        <v>0</v>
      </c>
      <c r="CY257" s="9">
        <v>2</v>
      </c>
      <c r="CZ257" s="9">
        <v>0</v>
      </c>
      <c r="DA257" s="9">
        <v>0</v>
      </c>
      <c r="DB257" s="9">
        <v>0</v>
      </c>
      <c r="DC257" s="9">
        <v>0</v>
      </c>
      <c r="DD257" s="9">
        <v>0</v>
      </c>
      <c r="DE257" s="9">
        <v>0</v>
      </c>
      <c r="DF257" s="9">
        <v>0</v>
      </c>
      <c r="DG257" s="9">
        <v>1</v>
      </c>
      <c r="DH257" s="9">
        <v>0</v>
      </c>
      <c r="DI257" s="9">
        <v>0</v>
      </c>
      <c r="DJ257" s="9">
        <v>1</v>
      </c>
      <c r="DK257" s="9">
        <v>0</v>
      </c>
      <c r="DL257" s="9">
        <v>0</v>
      </c>
      <c r="DM257" s="9">
        <v>0</v>
      </c>
      <c r="DN257" s="9">
        <v>0</v>
      </c>
      <c r="DO257" s="9">
        <v>0</v>
      </c>
      <c r="DP257" s="9">
        <v>0</v>
      </c>
      <c r="DQ257" s="9">
        <v>0</v>
      </c>
      <c r="DR257" s="9">
        <v>0</v>
      </c>
      <c r="DS257" s="9">
        <v>0</v>
      </c>
      <c r="DT257" s="9">
        <v>0</v>
      </c>
      <c r="DU257" s="9">
        <v>0</v>
      </c>
      <c r="DV257" s="9">
        <v>0</v>
      </c>
      <c r="DW257" s="9">
        <v>0</v>
      </c>
      <c r="DX257" s="9">
        <v>0</v>
      </c>
      <c r="DY257" s="9">
        <v>0</v>
      </c>
      <c r="DZ257" s="9">
        <v>0</v>
      </c>
      <c r="EA257" s="9">
        <v>1</v>
      </c>
      <c r="EB257" s="9">
        <v>1</v>
      </c>
      <c r="EC257" s="9">
        <v>0</v>
      </c>
      <c r="ED257" s="9">
        <v>0</v>
      </c>
      <c r="EE257" s="9">
        <v>0</v>
      </c>
      <c r="EF257" s="9">
        <v>0</v>
      </c>
      <c r="EG257" s="9">
        <v>0</v>
      </c>
      <c r="EH257" s="9">
        <v>0</v>
      </c>
      <c r="EI257" s="10">
        <v>0</v>
      </c>
    </row>
    <row r="258" spans="1:139" x14ac:dyDescent="0.35">
      <c r="A258" s="8" t="s">
        <v>413</v>
      </c>
      <c r="B258" s="9" t="s">
        <v>442</v>
      </c>
      <c r="C258" s="9" t="s">
        <v>443</v>
      </c>
      <c r="D258" s="9">
        <f t="shared" si="3"/>
        <v>12</v>
      </c>
      <c r="E258" s="9">
        <v>0</v>
      </c>
      <c r="F258" s="9">
        <v>0</v>
      </c>
      <c r="G258" s="9">
        <v>0</v>
      </c>
      <c r="H258" s="9">
        <v>0</v>
      </c>
      <c r="I258" s="9">
        <v>0</v>
      </c>
      <c r="J258" s="9">
        <v>0</v>
      </c>
      <c r="K258" s="9">
        <v>0</v>
      </c>
      <c r="L258" s="9">
        <v>0</v>
      </c>
      <c r="M258" s="9">
        <v>0</v>
      </c>
      <c r="N258" s="9">
        <v>1</v>
      </c>
      <c r="O258" s="9">
        <v>0</v>
      </c>
      <c r="P258" s="9">
        <v>0</v>
      </c>
      <c r="Q258" s="9">
        <v>0</v>
      </c>
      <c r="R258" s="9">
        <v>0</v>
      </c>
      <c r="S258" s="9">
        <v>0</v>
      </c>
      <c r="T258" s="9">
        <v>0</v>
      </c>
      <c r="U258" s="9">
        <v>0</v>
      </c>
      <c r="V258" s="9">
        <v>0</v>
      </c>
      <c r="W258" s="9">
        <v>0</v>
      </c>
      <c r="X258" s="9">
        <v>0</v>
      </c>
      <c r="Y258" s="9">
        <v>0</v>
      </c>
      <c r="Z258" s="9">
        <v>1</v>
      </c>
      <c r="AA258" s="9">
        <v>0</v>
      </c>
      <c r="AB258" s="9">
        <v>0</v>
      </c>
      <c r="AC258" s="9">
        <v>0</v>
      </c>
      <c r="AD258" s="9">
        <v>0</v>
      </c>
      <c r="AE258" s="9">
        <v>0</v>
      </c>
      <c r="AF258" s="9">
        <v>0</v>
      </c>
      <c r="AG258" s="9">
        <v>2</v>
      </c>
      <c r="AH258" s="9">
        <v>0</v>
      </c>
      <c r="AI258" s="9">
        <v>0</v>
      </c>
      <c r="AJ258" s="9">
        <v>1</v>
      </c>
      <c r="AK258" s="9">
        <v>0</v>
      </c>
      <c r="AL258" s="9">
        <v>0</v>
      </c>
      <c r="AM258" s="9">
        <v>1</v>
      </c>
      <c r="AN258" s="9">
        <v>1</v>
      </c>
      <c r="AO258" s="9">
        <v>0</v>
      </c>
      <c r="AP258" s="9">
        <v>0</v>
      </c>
      <c r="AQ258" s="9">
        <v>0</v>
      </c>
      <c r="AR258" s="9">
        <v>0</v>
      </c>
      <c r="AS258" s="9">
        <v>0</v>
      </c>
      <c r="AT258" s="9">
        <v>1</v>
      </c>
      <c r="AU258" s="9">
        <v>0</v>
      </c>
      <c r="AV258" s="9">
        <v>1</v>
      </c>
      <c r="AW258" s="9">
        <v>1</v>
      </c>
      <c r="AX258" s="9">
        <v>0</v>
      </c>
      <c r="AY258" s="9">
        <v>1</v>
      </c>
      <c r="AZ258" s="9">
        <v>0</v>
      </c>
      <c r="BA258" s="9">
        <v>1</v>
      </c>
      <c r="BB258" s="9">
        <v>0</v>
      </c>
      <c r="BC258" s="9">
        <v>0</v>
      </c>
      <c r="BD258" s="9">
        <v>0</v>
      </c>
      <c r="BE258" s="9">
        <v>0</v>
      </c>
      <c r="BF258" s="9">
        <v>0</v>
      </c>
      <c r="BG258" s="9">
        <v>0</v>
      </c>
      <c r="BH258" s="9">
        <v>0</v>
      </c>
      <c r="BI258" s="9">
        <v>0</v>
      </c>
      <c r="BJ258" s="9">
        <v>0</v>
      </c>
      <c r="BK258" s="9">
        <v>0</v>
      </c>
      <c r="BL258" s="9">
        <v>0</v>
      </c>
      <c r="BM258" s="9">
        <v>0</v>
      </c>
      <c r="BN258" s="9">
        <v>0</v>
      </c>
      <c r="BO258" s="9">
        <v>0</v>
      </c>
      <c r="BP258" s="9">
        <v>0</v>
      </c>
      <c r="BQ258" s="9">
        <v>0</v>
      </c>
      <c r="BR258" s="9">
        <v>0</v>
      </c>
      <c r="BS258" s="9">
        <v>0</v>
      </c>
      <c r="BT258" s="9">
        <v>0</v>
      </c>
      <c r="BU258" s="9">
        <v>0</v>
      </c>
      <c r="BV258" s="9">
        <v>0</v>
      </c>
      <c r="BW258" s="9">
        <v>0</v>
      </c>
      <c r="BX258" s="9">
        <v>0</v>
      </c>
      <c r="BY258" s="9">
        <v>0</v>
      </c>
      <c r="BZ258" s="9">
        <v>0</v>
      </c>
      <c r="CA258" s="9">
        <v>0</v>
      </c>
      <c r="CB258" s="9">
        <v>0</v>
      </c>
      <c r="CC258" s="9">
        <v>0</v>
      </c>
      <c r="CD258" s="9">
        <v>0</v>
      </c>
      <c r="CE258" s="9">
        <v>0</v>
      </c>
      <c r="CF258" s="9">
        <v>0</v>
      </c>
      <c r="CG258" s="9">
        <v>0</v>
      </c>
      <c r="CH258" s="9">
        <v>0</v>
      </c>
      <c r="CI258" s="9">
        <v>0</v>
      </c>
      <c r="CJ258" s="9">
        <v>0</v>
      </c>
      <c r="CK258" s="9">
        <v>0</v>
      </c>
      <c r="CL258" s="9">
        <v>0</v>
      </c>
      <c r="CM258" s="9">
        <v>0</v>
      </c>
      <c r="CN258" s="9">
        <v>0</v>
      </c>
      <c r="CO258" s="9">
        <v>0</v>
      </c>
      <c r="CP258" s="9">
        <v>0</v>
      </c>
      <c r="CQ258" s="9">
        <v>0</v>
      </c>
      <c r="CR258" s="9">
        <v>0</v>
      </c>
      <c r="CS258" s="9">
        <v>0</v>
      </c>
      <c r="CT258" s="9">
        <v>0</v>
      </c>
      <c r="CU258" s="9">
        <v>0</v>
      </c>
      <c r="CV258" s="9">
        <v>0</v>
      </c>
      <c r="CW258" s="9">
        <v>0</v>
      </c>
      <c r="CX258" s="9">
        <v>0</v>
      </c>
      <c r="CY258" s="9">
        <v>0</v>
      </c>
      <c r="CZ258" s="9">
        <v>0</v>
      </c>
      <c r="DA258" s="9">
        <v>0</v>
      </c>
      <c r="DB258" s="9">
        <v>0</v>
      </c>
      <c r="DC258" s="9">
        <v>0</v>
      </c>
      <c r="DD258" s="9">
        <v>0</v>
      </c>
      <c r="DE258" s="9">
        <v>0</v>
      </c>
      <c r="DF258" s="9">
        <v>0</v>
      </c>
      <c r="DG258" s="9">
        <v>0</v>
      </c>
      <c r="DH258" s="9">
        <v>0</v>
      </c>
      <c r="DI258" s="9">
        <v>0</v>
      </c>
      <c r="DJ258" s="9">
        <v>0</v>
      </c>
      <c r="DK258" s="9">
        <v>0</v>
      </c>
      <c r="DL258" s="9">
        <v>0</v>
      </c>
      <c r="DM258" s="9">
        <v>0</v>
      </c>
      <c r="DN258" s="9">
        <v>0</v>
      </c>
      <c r="DO258" s="9">
        <v>0</v>
      </c>
      <c r="DP258" s="9">
        <v>0</v>
      </c>
      <c r="DQ258" s="9">
        <v>0</v>
      </c>
      <c r="DR258" s="9">
        <v>0</v>
      </c>
      <c r="DS258" s="9">
        <v>0</v>
      </c>
      <c r="DT258" s="9">
        <v>0</v>
      </c>
      <c r="DU258" s="9">
        <v>0</v>
      </c>
      <c r="DV258" s="9">
        <v>0</v>
      </c>
      <c r="DW258" s="9">
        <v>0</v>
      </c>
      <c r="DX258" s="9">
        <v>0</v>
      </c>
      <c r="DY258" s="9">
        <v>0</v>
      </c>
      <c r="DZ258" s="9">
        <v>0</v>
      </c>
      <c r="EA258" s="9">
        <v>0</v>
      </c>
      <c r="EB258" s="9">
        <v>0</v>
      </c>
      <c r="EC258" s="9">
        <v>0</v>
      </c>
      <c r="ED258" s="9">
        <v>0</v>
      </c>
      <c r="EE258" s="9">
        <v>0</v>
      </c>
      <c r="EF258" s="9">
        <v>0</v>
      </c>
      <c r="EG258" s="9">
        <v>0</v>
      </c>
      <c r="EH258" s="9">
        <v>0</v>
      </c>
      <c r="EI258" s="10">
        <v>0</v>
      </c>
    </row>
    <row r="259" spans="1:139" x14ac:dyDescent="0.35">
      <c r="A259" s="8" t="s">
        <v>413</v>
      </c>
      <c r="B259" s="9" t="s">
        <v>444</v>
      </c>
      <c r="C259" s="9" t="s">
        <v>445</v>
      </c>
      <c r="D259" s="9">
        <f t="shared" ref="D259:D315" si="4">SUM(E259:EI259)</f>
        <v>101</v>
      </c>
      <c r="E259" s="9">
        <v>0</v>
      </c>
      <c r="F259" s="9">
        <v>0</v>
      </c>
      <c r="G259" s="9">
        <v>0</v>
      </c>
      <c r="H259" s="9">
        <v>0</v>
      </c>
      <c r="I259" s="9">
        <v>0</v>
      </c>
      <c r="J259" s="9">
        <v>0</v>
      </c>
      <c r="K259" s="9">
        <v>0</v>
      </c>
      <c r="L259" s="9">
        <v>0</v>
      </c>
      <c r="M259" s="9">
        <v>0</v>
      </c>
      <c r="N259" s="9">
        <v>1</v>
      </c>
      <c r="O259" s="9">
        <v>0</v>
      </c>
      <c r="P259" s="9">
        <v>0</v>
      </c>
      <c r="Q259" s="9">
        <v>1</v>
      </c>
      <c r="R259" s="9">
        <v>0</v>
      </c>
      <c r="S259" s="9">
        <v>2</v>
      </c>
      <c r="T259" s="9">
        <v>1</v>
      </c>
      <c r="U259" s="9">
        <v>2</v>
      </c>
      <c r="V259" s="9">
        <v>0</v>
      </c>
      <c r="W259" s="9">
        <v>0</v>
      </c>
      <c r="X259" s="9">
        <v>1</v>
      </c>
      <c r="Y259" s="9">
        <v>6</v>
      </c>
      <c r="Z259" s="9">
        <v>3</v>
      </c>
      <c r="AA259" s="9">
        <v>3</v>
      </c>
      <c r="AB259" s="9">
        <v>2</v>
      </c>
      <c r="AC259" s="9">
        <v>6</v>
      </c>
      <c r="AD259" s="9">
        <v>3</v>
      </c>
      <c r="AE259" s="9">
        <v>2</v>
      </c>
      <c r="AF259" s="9">
        <v>2</v>
      </c>
      <c r="AG259" s="9">
        <v>4</v>
      </c>
      <c r="AH259" s="9">
        <v>2</v>
      </c>
      <c r="AI259" s="9">
        <v>2</v>
      </c>
      <c r="AJ259" s="9">
        <v>0</v>
      </c>
      <c r="AK259" s="9">
        <v>3</v>
      </c>
      <c r="AL259" s="9">
        <v>1</v>
      </c>
      <c r="AM259" s="9">
        <v>0</v>
      </c>
      <c r="AN259" s="9">
        <v>4</v>
      </c>
      <c r="AO259" s="9">
        <v>4</v>
      </c>
      <c r="AP259" s="9">
        <v>1</v>
      </c>
      <c r="AQ259" s="9">
        <v>4</v>
      </c>
      <c r="AR259" s="9">
        <v>0</v>
      </c>
      <c r="AS259" s="9">
        <v>0</v>
      </c>
      <c r="AT259" s="9">
        <v>4</v>
      </c>
      <c r="AU259" s="9">
        <v>5</v>
      </c>
      <c r="AV259" s="9">
        <v>0</v>
      </c>
      <c r="AW259" s="9">
        <v>1</v>
      </c>
      <c r="AX259" s="9">
        <v>0</v>
      </c>
      <c r="AY259" s="9">
        <v>0</v>
      </c>
      <c r="AZ259" s="9">
        <v>1</v>
      </c>
      <c r="BA259" s="9">
        <v>4</v>
      </c>
      <c r="BB259" s="9">
        <v>4</v>
      </c>
      <c r="BC259" s="9">
        <v>1</v>
      </c>
      <c r="BD259" s="9">
        <v>0</v>
      </c>
      <c r="BE259" s="9">
        <v>1</v>
      </c>
      <c r="BF259" s="9">
        <v>0</v>
      </c>
      <c r="BG259" s="9">
        <v>1</v>
      </c>
      <c r="BH259" s="9">
        <v>1</v>
      </c>
      <c r="BI259" s="9">
        <v>0</v>
      </c>
      <c r="BJ259" s="9">
        <v>0</v>
      </c>
      <c r="BK259" s="9">
        <v>0</v>
      </c>
      <c r="BL259" s="9">
        <v>0</v>
      </c>
      <c r="BM259" s="9">
        <v>0</v>
      </c>
      <c r="BN259" s="9">
        <v>0</v>
      </c>
      <c r="BO259" s="9">
        <v>0</v>
      </c>
      <c r="BP259" s="9">
        <v>0</v>
      </c>
      <c r="BQ259" s="9">
        <v>1</v>
      </c>
      <c r="BR259" s="9">
        <v>0</v>
      </c>
      <c r="BS259" s="9">
        <v>1</v>
      </c>
      <c r="BT259" s="9">
        <v>0</v>
      </c>
      <c r="BU259" s="9">
        <v>0</v>
      </c>
      <c r="BV259" s="9">
        <v>1</v>
      </c>
      <c r="BW259" s="9">
        <v>1</v>
      </c>
      <c r="BX259" s="9">
        <v>1</v>
      </c>
      <c r="BY259" s="9">
        <v>0</v>
      </c>
      <c r="BZ259" s="9">
        <v>0</v>
      </c>
      <c r="CA259" s="9">
        <v>0</v>
      </c>
      <c r="CB259" s="9">
        <v>0</v>
      </c>
      <c r="CC259" s="9">
        <v>1</v>
      </c>
      <c r="CD259" s="9">
        <v>2</v>
      </c>
      <c r="CE259" s="9">
        <v>0</v>
      </c>
      <c r="CF259" s="9">
        <v>1</v>
      </c>
      <c r="CG259" s="9">
        <v>1</v>
      </c>
      <c r="CH259" s="9">
        <v>0</v>
      </c>
      <c r="CI259" s="9">
        <v>1</v>
      </c>
      <c r="CJ259" s="9">
        <v>0</v>
      </c>
      <c r="CK259" s="9">
        <v>0</v>
      </c>
      <c r="CL259" s="9">
        <v>0</v>
      </c>
      <c r="CM259" s="9">
        <v>0</v>
      </c>
      <c r="CN259" s="9">
        <v>0</v>
      </c>
      <c r="CO259" s="9">
        <v>0</v>
      </c>
      <c r="CP259" s="9">
        <v>1</v>
      </c>
      <c r="CQ259" s="9">
        <v>0</v>
      </c>
      <c r="CR259" s="9">
        <v>0</v>
      </c>
      <c r="CS259" s="9">
        <v>2</v>
      </c>
      <c r="CT259" s="9">
        <v>0</v>
      </c>
      <c r="CU259" s="9">
        <v>0</v>
      </c>
      <c r="CV259" s="9">
        <v>0</v>
      </c>
      <c r="CW259" s="9">
        <v>1</v>
      </c>
      <c r="CX259" s="9">
        <v>1</v>
      </c>
      <c r="CY259" s="9">
        <v>0</v>
      </c>
      <c r="CZ259" s="9">
        <v>0</v>
      </c>
      <c r="DA259" s="9">
        <v>0</v>
      </c>
      <c r="DB259" s="9">
        <v>0</v>
      </c>
      <c r="DC259" s="9">
        <v>0</v>
      </c>
      <c r="DD259" s="9">
        <v>0</v>
      </c>
      <c r="DE259" s="9">
        <v>0</v>
      </c>
      <c r="DF259" s="9">
        <v>0</v>
      </c>
      <c r="DG259" s="9">
        <v>0</v>
      </c>
      <c r="DH259" s="9">
        <v>0</v>
      </c>
      <c r="DI259" s="9">
        <v>0</v>
      </c>
      <c r="DJ259" s="9">
        <v>1</v>
      </c>
      <c r="DK259" s="9">
        <v>0</v>
      </c>
      <c r="DL259" s="9">
        <v>0</v>
      </c>
      <c r="DM259" s="9">
        <v>0</v>
      </c>
      <c r="DN259" s="9">
        <v>0</v>
      </c>
      <c r="DO259" s="9">
        <v>0</v>
      </c>
      <c r="DP259" s="9">
        <v>0</v>
      </c>
      <c r="DQ259" s="9">
        <v>0</v>
      </c>
      <c r="DR259" s="9">
        <v>0</v>
      </c>
      <c r="DS259" s="9">
        <v>0</v>
      </c>
      <c r="DT259" s="9">
        <v>0</v>
      </c>
      <c r="DU259" s="9">
        <v>0</v>
      </c>
      <c r="DV259" s="9">
        <v>0</v>
      </c>
      <c r="DW259" s="9">
        <v>1</v>
      </c>
      <c r="DX259" s="9">
        <v>0</v>
      </c>
      <c r="DY259" s="9">
        <v>0</v>
      </c>
      <c r="DZ259" s="9">
        <v>0</v>
      </c>
      <c r="EA259" s="9">
        <v>0</v>
      </c>
      <c r="EB259" s="9">
        <v>0</v>
      </c>
      <c r="EC259" s="9">
        <v>0</v>
      </c>
      <c r="ED259" s="9">
        <v>0</v>
      </c>
      <c r="EE259" s="9">
        <v>0</v>
      </c>
      <c r="EF259" s="9">
        <v>0</v>
      </c>
      <c r="EG259" s="9">
        <v>0</v>
      </c>
      <c r="EH259" s="9">
        <v>0</v>
      </c>
      <c r="EI259" s="10">
        <v>0</v>
      </c>
    </row>
    <row r="260" spans="1:139" x14ac:dyDescent="0.35">
      <c r="A260" s="8" t="s">
        <v>413</v>
      </c>
      <c r="B260" s="9" t="s">
        <v>446</v>
      </c>
      <c r="C260" s="9" t="s">
        <v>447</v>
      </c>
      <c r="D260" s="9">
        <f t="shared" si="4"/>
        <v>112</v>
      </c>
      <c r="E260" s="9">
        <v>1</v>
      </c>
      <c r="F260" s="9">
        <v>1</v>
      </c>
      <c r="G260" s="9">
        <v>0</v>
      </c>
      <c r="H260" s="9">
        <v>0</v>
      </c>
      <c r="I260" s="9">
        <v>0</v>
      </c>
      <c r="J260" s="9">
        <v>0</v>
      </c>
      <c r="K260" s="9">
        <v>0</v>
      </c>
      <c r="L260" s="9">
        <v>0</v>
      </c>
      <c r="M260" s="9">
        <v>1</v>
      </c>
      <c r="N260" s="9">
        <v>0</v>
      </c>
      <c r="O260" s="9">
        <v>0</v>
      </c>
      <c r="P260" s="9">
        <v>2</v>
      </c>
      <c r="Q260" s="9">
        <v>0</v>
      </c>
      <c r="R260" s="9">
        <v>3</v>
      </c>
      <c r="S260" s="9">
        <v>0</v>
      </c>
      <c r="T260" s="9">
        <v>0</v>
      </c>
      <c r="U260" s="9">
        <v>3</v>
      </c>
      <c r="V260" s="9">
        <v>0</v>
      </c>
      <c r="W260" s="9">
        <v>5</v>
      </c>
      <c r="X260" s="9">
        <v>0</v>
      </c>
      <c r="Y260" s="9">
        <v>0</v>
      </c>
      <c r="Z260" s="9">
        <v>0</v>
      </c>
      <c r="AA260" s="9">
        <v>3</v>
      </c>
      <c r="AB260" s="9">
        <v>0</v>
      </c>
      <c r="AC260" s="9">
        <v>2</v>
      </c>
      <c r="AD260" s="9">
        <v>1</v>
      </c>
      <c r="AE260" s="9">
        <v>4</v>
      </c>
      <c r="AF260" s="9">
        <v>1</v>
      </c>
      <c r="AG260" s="9">
        <v>0</v>
      </c>
      <c r="AH260" s="9">
        <v>1</v>
      </c>
      <c r="AI260" s="9">
        <v>1</v>
      </c>
      <c r="AJ260" s="9">
        <v>0</v>
      </c>
      <c r="AK260" s="9">
        <v>1</v>
      </c>
      <c r="AL260" s="9">
        <v>1</v>
      </c>
      <c r="AM260" s="9">
        <v>1</v>
      </c>
      <c r="AN260" s="9">
        <v>2</v>
      </c>
      <c r="AO260" s="9">
        <v>1</v>
      </c>
      <c r="AP260" s="9">
        <v>0</v>
      </c>
      <c r="AQ260" s="9">
        <v>0</v>
      </c>
      <c r="AR260" s="9">
        <v>0</v>
      </c>
      <c r="AS260" s="9">
        <v>2</v>
      </c>
      <c r="AT260" s="9">
        <v>2</v>
      </c>
      <c r="AU260" s="9">
        <v>2</v>
      </c>
      <c r="AV260" s="9">
        <v>3</v>
      </c>
      <c r="AW260" s="9">
        <v>5</v>
      </c>
      <c r="AX260" s="9">
        <v>2</v>
      </c>
      <c r="AY260" s="9">
        <v>2</v>
      </c>
      <c r="AZ260" s="9">
        <v>5</v>
      </c>
      <c r="BA260" s="9">
        <v>2</v>
      </c>
      <c r="BB260" s="9">
        <v>3</v>
      </c>
      <c r="BC260" s="9">
        <v>1</v>
      </c>
      <c r="BD260" s="9">
        <v>2</v>
      </c>
      <c r="BE260" s="9">
        <v>2</v>
      </c>
      <c r="BF260" s="9">
        <v>0</v>
      </c>
      <c r="BG260" s="9">
        <v>2</v>
      </c>
      <c r="BH260" s="9">
        <v>0</v>
      </c>
      <c r="BI260" s="9">
        <v>0</v>
      </c>
      <c r="BJ260" s="9">
        <v>5</v>
      </c>
      <c r="BK260" s="9">
        <v>1</v>
      </c>
      <c r="BL260" s="9">
        <v>1</v>
      </c>
      <c r="BM260" s="9">
        <v>1</v>
      </c>
      <c r="BN260" s="9">
        <v>1</v>
      </c>
      <c r="BO260" s="9">
        <v>1</v>
      </c>
      <c r="BP260" s="9">
        <v>1</v>
      </c>
      <c r="BQ260" s="9">
        <v>2</v>
      </c>
      <c r="BR260" s="9">
        <v>1</v>
      </c>
      <c r="BS260" s="9">
        <v>0</v>
      </c>
      <c r="BT260" s="9">
        <v>0</v>
      </c>
      <c r="BU260" s="9">
        <v>0</v>
      </c>
      <c r="BV260" s="9">
        <v>1</v>
      </c>
      <c r="BW260" s="9">
        <v>0</v>
      </c>
      <c r="BX260" s="9">
        <v>4</v>
      </c>
      <c r="BY260" s="9">
        <v>0</v>
      </c>
      <c r="BZ260" s="9">
        <v>0</v>
      </c>
      <c r="CA260" s="9">
        <v>0</v>
      </c>
      <c r="CB260" s="9">
        <v>0</v>
      </c>
      <c r="CC260" s="9">
        <v>2</v>
      </c>
      <c r="CD260" s="9">
        <v>0</v>
      </c>
      <c r="CE260" s="9">
        <v>0</v>
      </c>
      <c r="CF260" s="9">
        <v>0</v>
      </c>
      <c r="CG260" s="9">
        <v>0</v>
      </c>
      <c r="CH260" s="9">
        <v>0</v>
      </c>
      <c r="CI260" s="9">
        <v>0</v>
      </c>
      <c r="CJ260" s="9">
        <v>1</v>
      </c>
      <c r="CK260" s="9">
        <v>1</v>
      </c>
      <c r="CL260" s="9">
        <v>0</v>
      </c>
      <c r="CM260" s="9">
        <v>0</v>
      </c>
      <c r="CN260" s="9">
        <v>0</v>
      </c>
      <c r="CO260" s="9">
        <v>0</v>
      </c>
      <c r="CP260" s="9">
        <v>0</v>
      </c>
      <c r="CQ260" s="9">
        <v>0</v>
      </c>
      <c r="CR260" s="9">
        <v>0</v>
      </c>
      <c r="CS260" s="9">
        <v>0</v>
      </c>
      <c r="CT260" s="9">
        <v>0</v>
      </c>
      <c r="CU260" s="9">
        <v>0</v>
      </c>
      <c r="CV260" s="9">
        <v>0</v>
      </c>
      <c r="CW260" s="9">
        <v>0</v>
      </c>
      <c r="CX260" s="9">
        <v>2</v>
      </c>
      <c r="CY260" s="9">
        <v>1</v>
      </c>
      <c r="CZ260" s="9">
        <v>0</v>
      </c>
      <c r="DA260" s="9">
        <v>0</v>
      </c>
      <c r="DB260" s="9">
        <v>0</v>
      </c>
      <c r="DC260" s="9">
        <v>0</v>
      </c>
      <c r="DD260" s="9">
        <v>1</v>
      </c>
      <c r="DE260" s="9">
        <v>0</v>
      </c>
      <c r="DF260" s="9">
        <v>0</v>
      </c>
      <c r="DG260" s="9">
        <v>2</v>
      </c>
      <c r="DH260" s="9">
        <v>0</v>
      </c>
      <c r="DI260" s="9">
        <v>0</v>
      </c>
      <c r="DJ260" s="9">
        <v>3</v>
      </c>
      <c r="DK260" s="9">
        <v>2</v>
      </c>
      <c r="DL260" s="9">
        <v>2</v>
      </c>
      <c r="DM260" s="9">
        <v>2</v>
      </c>
      <c r="DN260" s="9">
        <v>2</v>
      </c>
      <c r="DO260" s="9">
        <v>0</v>
      </c>
      <c r="DP260" s="9">
        <v>0</v>
      </c>
      <c r="DQ260" s="9">
        <v>1</v>
      </c>
      <c r="DR260" s="9">
        <v>0</v>
      </c>
      <c r="DS260" s="9">
        <v>0</v>
      </c>
      <c r="DT260" s="9">
        <v>0</v>
      </c>
      <c r="DU260" s="9">
        <v>0</v>
      </c>
      <c r="DV260" s="9">
        <v>0</v>
      </c>
      <c r="DW260" s="9">
        <v>0</v>
      </c>
      <c r="DX260" s="9">
        <v>0</v>
      </c>
      <c r="DY260" s="9">
        <v>0</v>
      </c>
      <c r="DZ260" s="9">
        <v>0</v>
      </c>
      <c r="EA260" s="9">
        <v>0</v>
      </c>
      <c r="EB260" s="9">
        <v>1</v>
      </c>
      <c r="EC260" s="9">
        <v>0</v>
      </c>
      <c r="ED260" s="9">
        <v>0</v>
      </c>
      <c r="EE260" s="9">
        <v>0</v>
      </c>
      <c r="EF260" s="9">
        <v>0</v>
      </c>
      <c r="EG260" s="9">
        <v>0</v>
      </c>
      <c r="EH260" s="9">
        <v>0</v>
      </c>
      <c r="EI260" s="10">
        <v>0</v>
      </c>
    </row>
    <row r="261" spans="1:139" x14ac:dyDescent="0.35">
      <c r="A261" s="8" t="s">
        <v>413</v>
      </c>
      <c r="B261" s="9" t="s">
        <v>448</v>
      </c>
      <c r="C261" s="9" t="s">
        <v>449</v>
      </c>
      <c r="D261" s="9">
        <f t="shared" si="4"/>
        <v>396</v>
      </c>
      <c r="E261" s="9">
        <v>0</v>
      </c>
      <c r="F261" s="9">
        <v>1</v>
      </c>
      <c r="G261" s="9">
        <v>1</v>
      </c>
      <c r="H261" s="9">
        <v>3</v>
      </c>
      <c r="I261" s="9">
        <v>3</v>
      </c>
      <c r="J261" s="9">
        <v>2</v>
      </c>
      <c r="K261" s="9">
        <v>4</v>
      </c>
      <c r="L261" s="9">
        <v>3</v>
      </c>
      <c r="M261" s="9">
        <v>0</v>
      </c>
      <c r="N261" s="9">
        <v>2</v>
      </c>
      <c r="O261" s="9">
        <v>3</v>
      </c>
      <c r="P261" s="9">
        <v>10</v>
      </c>
      <c r="Q261" s="9">
        <v>2</v>
      </c>
      <c r="R261" s="9">
        <v>5</v>
      </c>
      <c r="S261" s="9">
        <v>6</v>
      </c>
      <c r="T261" s="9">
        <v>5</v>
      </c>
      <c r="U261" s="9">
        <v>5</v>
      </c>
      <c r="V261" s="9">
        <v>4</v>
      </c>
      <c r="W261" s="9">
        <v>4</v>
      </c>
      <c r="X261" s="9">
        <v>7</v>
      </c>
      <c r="Y261" s="9">
        <v>4</v>
      </c>
      <c r="Z261" s="9">
        <v>3</v>
      </c>
      <c r="AA261" s="9">
        <v>3</v>
      </c>
      <c r="AB261" s="9">
        <v>1</v>
      </c>
      <c r="AC261" s="9">
        <v>6</v>
      </c>
      <c r="AD261" s="9">
        <v>3</v>
      </c>
      <c r="AE261" s="9">
        <v>5</v>
      </c>
      <c r="AF261" s="9">
        <v>8</v>
      </c>
      <c r="AG261" s="9">
        <v>7</v>
      </c>
      <c r="AH261" s="9">
        <v>15</v>
      </c>
      <c r="AI261" s="9">
        <v>10</v>
      </c>
      <c r="AJ261" s="9">
        <v>1</v>
      </c>
      <c r="AK261" s="9">
        <v>4</v>
      </c>
      <c r="AL261" s="9">
        <v>3</v>
      </c>
      <c r="AM261" s="9">
        <v>4</v>
      </c>
      <c r="AN261" s="9">
        <v>8</v>
      </c>
      <c r="AO261" s="9">
        <v>7</v>
      </c>
      <c r="AP261" s="9">
        <v>2</v>
      </c>
      <c r="AQ261" s="9">
        <v>6</v>
      </c>
      <c r="AR261" s="9">
        <v>3</v>
      </c>
      <c r="AS261" s="9">
        <v>6</v>
      </c>
      <c r="AT261" s="9">
        <v>5</v>
      </c>
      <c r="AU261" s="9">
        <v>8</v>
      </c>
      <c r="AV261" s="9">
        <v>2</v>
      </c>
      <c r="AW261" s="9">
        <v>5</v>
      </c>
      <c r="AX261" s="9">
        <v>4</v>
      </c>
      <c r="AY261" s="9">
        <v>9</v>
      </c>
      <c r="AZ261" s="9">
        <v>1</v>
      </c>
      <c r="BA261" s="9">
        <v>3</v>
      </c>
      <c r="BB261" s="9">
        <v>5</v>
      </c>
      <c r="BC261" s="9">
        <v>4</v>
      </c>
      <c r="BD261" s="9">
        <v>2</v>
      </c>
      <c r="BE261" s="9">
        <v>9</v>
      </c>
      <c r="BF261" s="9">
        <v>7</v>
      </c>
      <c r="BG261" s="9">
        <v>4</v>
      </c>
      <c r="BH261" s="9">
        <v>2</v>
      </c>
      <c r="BI261" s="9">
        <v>6</v>
      </c>
      <c r="BJ261" s="9">
        <v>4</v>
      </c>
      <c r="BK261" s="9">
        <v>6</v>
      </c>
      <c r="BL261" s="9">
        <v>6</v>
      </c>
      <c r="BM261" s="9">
        <v>9</v>
      </c>
      <c r="BN261" s="9">
        <v>5</v>
      </c>
      <c r="BO261" s="9">
        <v>9</v>
      </c>
      <c r="BP261" s="9">
        <v>5</v>
      </c>
      <c r="BQ261" s="9">
        <v>5</v>
      </c>
      <c r="BR261" s="9">
        <v>3</v>
      </c>
      <c r="BS261" s="9">
        <v>1</v>
      </c>
      <c r="BT261" s="9">
        <v>3</v>
      </c>
      <c r="BU261" s="9">
        <v>7</v>
      </c>
      <c r="BV261" s="9">
        <v>6</v>
      </c>
      <c r="BW261" s="9">
        <v>9</v>
      </c>
      <c r="BX261" s="9">
        <v>3</v>
      </c>
      <c r="BY261" s="9">
        <v>3</v>
      </c>
      <c r="BZ261" s="9">
        <v>2</v>
      </c>
      <c r="CA261" s="9">
        <v>6</v>
      </c>
      <c r="CB261" s="9">
        <v>7</v>
      </c>
      <c r="CC261" s="9">
        <v>9</v>
      </c>
      <c r="CD261" s="9">
        <v>7</v>
      </c>
      <c r="CE261" s="9">
        <v>7</v>
      </c>
      <c r="CF261" s="9">
        <v>4</v>
      </c>
      <c r="CG261" s="9">
        <v>2</v>
      </c>
      <c r="CH261" s="9">
        <v>0</v>
      </c>
      <c r="CI261" s="9">
        <v>1</v>
      </c>
      <c r="CJ261" s="9">
        <v>0</v>
      </c>
      <c r="CK261" s="9">
        <v>0</v>
      </c>
      <c r="CL261" s="9">
        <v>0</v>
      </c>
      <c r="CM261" s="9">
        <v>1</v>
      </c>
      <c r="CN261" s="9">
        <v>2</v>
      </c>
      <c r="CO261" s="9">
        <v>1</v>
      </c>
      <c r="CP261" s="9">
        <v>0</v>
      </c>
      <c r="CQ261" s="9">
        <v>0</v>
      </c>
      <c r="CR261" s="9">
        <v>0</v>
      </c>
      <c r="CS261" s="9">
        <v>2</v>
      </c>
      <c r="CT261" s="9">
        <v>0</v>
      </c>
      <c r="CU261" s="9">
        <v>0</v>
      </c>
      <c r="CV261" s="9">
        <v>1</v>
      </c>
      <c r="CW261" s="9">
        <v>0</v>
      </c>
      <c r="CX261" s="9">
        <v>1</v>
      </c>
      <c r="CY261" s="9">
        <v>0</v>
      </c>
      <c r="CZ261" s="9">
        <v>1</v>
      </c>
      <c r="DA261" s="9">
        <v>1</v>
      </c>
      <c r="DB261" s="9">
        <v>1</v>
      </c>
      <c r="DC261" s="9">
        <v>0</v>
      </c>
      <c r="DD261" s="9">
        <v>0</v>
      </c>
      <c r="DE261" s="9">
        <v>0</v>
      </c>
      <c r="DF261" s="9">
        <v>0</v>
      </c>
      <c r="DG261" s="9">
        <v>0</v>
      </c>
      <c r="DH261" s="9">
        <v>1</v>
      </c>
      <c r="DI261" s="9">
        <v>0</v>
      </c>
      <c r="DJ261" s="9">
        <v>0</v>
      </c>
      <c r="DK261" s="9">
        <v>0</v>
      </c>
      <c r="DL261" s="9">
        <v>0</v>
      </c>
      <c r="DM261" s="9">
        <v>0</v>
      </c>
      <c r="DN261" s="9">
        <v>0</v>
      </c>
      <c r="DO261" s="9">
        <v>0</v>
      </c>
      <c r="DP261" s="9">
        <v>0</v>
      </c>
      <c r="DQ261" s="9">
        <v>0</v>
      </c>
      <c r="DR261" s="9">
        <v>0</v>
      </c>
      <c r="DS261" s="9">
        <v>0</v>
      </c>
      <c r="DT261" s="9">
        <v>0</v>
      </c>
      <c r="DU261" s="9">
        <v>0</v>
      </c>
      <c r="DV261" s="9">
        <v>0</v>
      </c>
      <c r="DW261" s="9">
        <v>0</v>
      </c>
      <c r="DX261" s="9">
        <v>0</v>
      </c>
      <c r="DY261" s="9">
        <v>0</v>
      </c>
      <c r="DZ261" s="9">
        <v>0</v>
      </c>
      <c r="EA261" s="9">
        <v>0</v>
      </c>
      <c r="EB261" s="9">
        <v>0</v>
      </c>
      <c r="EC261" s="9">
        <v>0</v>
      </c>
      <c r="ED261" s="9">
        <v>0</v>
      </c>
      <c r="EE261" s="9">
        <v>0</v>
      </c>
      <c r="EF261" s="9">
        <v>0</v>
      </c>
      <c r="EG261" s="9">
        <v>0</v>
      </c>
      <c r="EH261" s="9">
        <v>0</v>
      </c>
      <c r="EI261" s="10">
        <v>0</v>
      </c>
    </row>
    <row r="262" spans="1:139" x14ac:dyDescent="0.35">
      <c r="A262" s="8" t="s">
        <v>413</v>
      </c>
      <c r="B262" s="9" t="s">
        <v>450</v>
      </c>
      <c r="C262" s="9" t="s">
        <v>451</v>
      </c>
      <c r="D262" s="9">
        <f t="shared" si="4"/>
        <v>40</v>
      </c>
      <c r="E262" s="9">
        <v>0</v>
      </c>
      <c r="F262" s="9">
        <v>0</v>
      </c>
      <c r="G262" s="9">
        <v>0</v>
      </c>
      <c r="H262" s="9">
        <v>2</v>
      </c>
      <c r="I262" s="9">
        <v>0</v>
      </c>
      <c r="J262" s="9">
        <v>0</v>
      </c>
      <c r="K262" s="9">
        <v>0</v>
      </c>
      <c r="L262" s="9">
        <v>2</v>
      </c>
      <c r="M262" s="9">
        <v>3</v>
      </c>
      <c r="N262" s="9">
        <v>0</v>
      </c>
      <c r="O262" s="9">
        <v>1</v>
      </c>
      <c r="P262" s="9">
        <v>2</v>
      </c>
      <c r="Q262" s="9">
        <v>3</v>
      </c>
      <c r="R262" s="9">
        <v>2</v>
      </c>
      <c r="S262" s="9">
        <v>0</v>
      </c>
      <c r="T262" s="9">
        <v>1</v>
      </c>
      <c r="U262" s="9">
        <v>0</v>
      </c>
      <c r="V262" s="9">
        <v>2</v>
      </c>
      <c r="W262" s="9">
        <v>3</v>
      </c>
      <c r="X262" s="9">
        <v>1</v>
      </c>
      <c r="Y262" s="9">
        <v>0</v>
      </c>
      <c r="Z262" s="9">
        <v>1</v>
      </c>
      <c r="AA262" s="9">
        <v>1</v>
      </c>
      <c r="AB262" s="9">
        <v>0</v>
      </c>
      <c r="AC262" s="9">
        <v>0</v>
      </c>
      <c r="AD262" s="9">
        <v>1</v>
      </c>
      <c r="AE262" s="9">
        <v>0</v>
      </c>
      <c r="AF262" s="9">
        <v>0</v>
      </c>
      <c r="AG262" s="9">
        <v>1</v>
      </c>
      <c r="AH262" s="9">
        <v>2</v>
      </c>
      <c r="AI262" s="9">
        <v>1</v>
      </c>
      <c r="AJ262" s="9">
        <v>2</v>
      </c>
      <c r="AK262" s="9">
        <v>4</v>
      </c>
      <c r="AL262" s="9">
        <v>0</v>
      </c>
      <c r="AM262" s="9">
        <v>1</v>
      </c>
      <c r="AN262" s="9">
        <v>0</v>
      </c>
      <c r="AO262" s="9">
        <v>0</v>
      </c>
      <c r="AP262" s="9">
        <v>0</v>
      </c>
      <c r="AQ262" s="9">
        <v>0</v>
      </c>
      <c r="AR262" s="9">
        <v>0</v>
      </c>
      <c r="AS262" s="9">
        <v>1</v>
      </c>
      <c r="AT262" s="9">
        <v>0</v>
      </c>
      <c r="AU262" s="9">
        <v>0</v>
      </c>
      <c r="AV262" s="9">
        <v>0</v>
      </c>
      <c r="AW262" s="9">
        <v>0</v>
      </c>
      <c r="AX262" s="9">
        <v>0</v>
      </c>
      <c r="AY262" s="9">
        <v>0</v>
      </c>
      <c r="AZ262" s="9">
        <v>0</v>
      </c>
      <c r="BA262" s="9">
        <v>0</v>
      </c>
      <c r="BB262" s="9">
        <v>0</v>
      </c>
      <c r="BC262" s="9">
        <v>1</v>
      </c>
      <c r="BD262" s="9">
        <v>1</v>
      </c>
      <c r="BE262" s="9">
        <v>0</v>
      </c>
      <c r="BF262" s="9">
        <v>0</v>
      </c>
      <c r="BG262" s="9">
        <v>0</v>
      </c>
      <c r="BH262" s="9">
        <v>0</v>
      </c>
      <c r="BI262" s="9">
        <v>0</v>
      </c>
      <c r="BJ262" s="9">
        <v>0</v>
      </c>
      <c r="BK262" s="9">
        <v>0</v>
      </c>
      <c r="BL262" s="9">
        <v>0</v>
      </c>
      <c r="BM262" s="9">
        <v>0</v>
      </c>
      <c r="BN262" s="9">
        <v>0</v>
      </c>
      <c r="BO262" s="9">
        <v>1</v>
      </c>
      <c r="BP262" s="9">
        <v>0</v>
      </c>
      <c r="BQ262" s="9">
        <v>0</v>
      </c>
      <c r="BR262" s="9">
        <v>0</v>
      </c>
      <c r="BS262" s="9">
        <v>0</v>
      </c>
      <c r="BT262" s="9">
        <v>0</v>
      </c>
      <c r="BU262" s="9">
        <v>0</v>
      </c>
      <c r="BV262" s="9">
        <v>0</v>
      </c>
      <c r="BW262" s="9">
        <v>0</v>
      </c>
      <c r="BX262" s="9">
        <v>0</v>
      </c>
      <c r="BY262" s="9">
        <v>0</v>
      </c>
      <c r="BZ262" s="9">
        <v>0</v>
      </c>
      <c r="CA262" s="9">
        <v>0</v>
      </c>
      <c r="CB262" s="9">
        <v>0</v>
      </c>
      <c r="CC262" s="9">
        <v>0</v>
      </c>
      <c r="CD262" s="9">
        <v>0</v>
      </c>
      <c r="CE262" s="9">
        <v>0</v>
      </c>
      <c r="CF262" s="9">
        <v>0</v>
      </c>
      <c r="CG262" s="9">
        <v>0</v>
      </c>
      <c r="CH262" s="9">
        <v>0</v>
      </c>
      <c r="CI262" s="9">
        <v>0</v>
      </c>
      <c r="CJ262" s="9">
        <v>0</v>
      </c>
      <c r="CK262" s="9">
        <v>0</v>
      </c>
      <c r="CL262" s="9">
        <v>0</v>
      </c>
      <c r="CM262" s="9">
        <v>0</v>
      </c>
      <c r="CN262" s="9">
        <v>0</v>
      </c>
      <c r="CO262" s="9">
        <v>0</v>
      </c>
      <c r="CP262" s="9">
        <v>0</v>
      </c>
      <c r="CQ262" s="9">
        <v>0</v>
      </c>
      <c r="CR262" s="9">
        <v>0</v>
      </c>
      <c r="CS262" s="9">
        <v>0</v>
      </c>
      <c r="CT262" s="9">
        <v>0</v>
      </c>
      <c r="CU262" s="9">
        <v>0</v>
      </c>
      <c r="CV262" s="9">
        <v>0</v>
      </c>
      <c r="CW262" s="9">
        <v>0</v>
      </c>
      <c r="CX262" s="9">
        <v>0</v>
      </c>
      <c r="CY262" s="9">
        <v>0</v>
      </c>
      <c r="CZ262" s="9">
        <v>0</v>
      </c>
      <c r="DA262" s="9">
        <v>0</v>
      </c>
      <c r="DB262" s="9">
        <v>0</v>
      </c>
      <c r="DC262" s="9">
        <v>0</v>
      </c>
      <c r="DD262" s="9">
        <v>0</v>
      </c>
      <c r="DE262" s="9">
        <v>0</v>
      </c>
      <c r="DF262" s="9">
        <v>0</v>
      </c>
      <c r="DG262" s="9">
        <v>0</v>
      </c>
      <c r="DH262" s="9">
        <v>0</v>
      </c>
      <c r="DI262" s="9">
        <v>0</v>
      </c>
      <c r="DJ262" s="9">
        <v>0</v>
      </c>
      <c r="DK262" s="9">
        <v>0</v>
      </c>
      <c r="DL262" s="9">
        <v>0</v>
      </c>
      <c r="DM262" s="9">
        <v>0</v>
      </c>
      <c r="DN262" s="9">
        <v>0</v>
      </c>
      <c r="DO262" s="9">
        <v>0</v>
      </c>
      <c r="DP262" s="9">
        <v>0</v>
      </c>
      <c r="DQ262" s="9">
        <v>0</v>
      </c>
      <c r="DR262" s="9">
        <v>0</v>
      </c>
      <c r="DS262" s="9">
        <v>0</v>
      </c>
      <c r="DT262" s="9">
        <v>0</v>
      </c>
      <c r="DU262" s="9">
        <v>0</v>
      </c>
      <c r="DV262" s="9">
        <v>0</v>
      </c>
      <c r="DW262" s="9">
        <v>0</v>
      </c>
      <c r="DX262" s="9">
        <v>0</v>
      </c>
      <c r="DY262" s="9">
        <v>0</v>
      </c>
      <c r="DZ262" s="9">
        <v>0</v>
      </c>
      <c r="EA262" s="9">
        <v>0</v>
      </c>
      <c r="EB262" s="9">
        <v>0</v>
      </c>
      <c r="EC262" s="9">
        <v>0</v>
      </c>
      <c r="ED262" s="9">
        <v>0</v>
      </c>
      <c r="EE262" s="9">
        <v>0</v>
      </c>
      <c r="EF262" s="9">
        <v>0</v>
      </c>
      <c r="EG262" s="9">
        <v>0</v>
      </c>
      <c r="EH262" s="9">
        <v>0</v>
      </c>
      <c r="EI262" s="10">
        <v>0</v>
      </c>
    </row>
    <row r="263" spans="1:139" x14ac:dyDescent="0.35">
      <c r="A263" s="8" t="s">
        <v>413</v>
      </c>
      <c r="B263" s="9" t="s">
        <v>452</v>
      </c>
      <c r="C263" s="9" t="s">
        <v>453</v>
      </c>
      <c r="D263" s="9">
        <f t="shared" si="4"/>
        <v>119</v>
      </c>
      <c r="E263" s="9">
        <v>5</v>
      </c>
      <c r="F263" s="9">
        <v>3</v>
      </c>
      <c r="G263" s="9">
        <v>6</v>
      </c>
      <c r="H263" s="9">
        <v>2</v>
      </c>
      <c r="I263" s="9">
        <v>2</v>
      </c>
      <c r="J263" s="9">
        <v>0</v>
      </c>
      <c r="K263" s="9">
        <v>0</v>
      </c>
      <c r="L263" s="9">
        <v>0</v>
      </c>
      <c r="M263" s="9">
        <v>0</v>
      </c>
      <c r="N263" s="9">
        <v>0</v>
      </c>
      <c r="O263" s="9">
        <v>0</v>
      </c>
      <c r="P263" s="9">
        <v>0</v>
      </c>
      <c r="Q263" s="9">
        <v>0</v>
      </c>
      <c r="R263" s="9">
        <v>2</v>
      </c>
      <c r="S263" s="9">
        <v>0</v>
      </c>
      <c r="T263" s="9">
        <v>4</v>
      </c>
      <c r="U263" s="9">
        <v>0</v>
      </c>
      <c r="V263" s="9">
        <v>8</v>
      </c>
      <c r="W263" s="9">
        <v>0</v>
      </c>
      <c r="X263" s="9">
        <v>7</v>
      </c>
      <c r="Y263" s="9">
        <v>0</v>
      </c>
      <c r="Z263" s="9">
        <v>0</v>
      </c>
      <c r="AA263" s="9">
        <v>0</v>
      </c>
      <c r="AB263" s="9">
        <v>0</v>
      </c>
      <c r="AC263" s="9">
        <v>0</v>
      </c>
      <c r="AD263" s="9">
        <v>0</v>
      </c>
      <c r="AE263" s="9">
        <v>0</v>
      </c>
      <c r="AF263" s="9">
        <v>0</v>
      </c>
      <c r="AG263" s="9">
        <v>0</v>
      </c>
      <c r="AH263" s="9">
        <v>0</v>
      </c>
      <c r="AI263" s="9">
        <v>0</v>
      </c>
      <c r="AJ263" s="9">
        <v>0</v>
      </c>
      <c r="AK263" s="9">
        <v>0</v>
      </c>
      <c r="AL263" s="9">
        <v>0</v>
      </c>
      <c r="AM263" s="9">
        <v>0</v>
      </c>
      <c r="AN263" s="9">
        <v>0</v>
      </c>
      <c r="AO263" s="9">
        <v>0</v>
      </c>
      <c r="AP263" s="9">
        <v>3</v>
      </c>
      <c r="AQ263" s="9">
        <v>1</v>
      </c>
      <c r="AR263" s="9">
        <v>3</v>
      </c>
      <c r="AS263" s="9">
        <v>4</v>
      </c>
      <c r="AT263" s="9">
        <v>1</v>
      </c>
      <c r="AU263" s="9">
        <v>7</v>
      </c>
      <c r="AV263" s="9">
        <v>6</v>
      </c>
      <c r="AW263" s="9">
        <v>1</v>
      </c>
      <c r="AX263" s="9">
        <v>3</v>
      </c>
      <c r="AY263" s="9">
        <v>2</v>
      </c>
      <c r="AZ263" s="9">
        <v>2</v>
      </c>
      <c r="BA263" s="9">
        <v>2</v>
      </c>
      <c r="BB263" s="9">
        <v>3</v>
      </c>
      <c r="BC263" s="9">
        <v>3</v>
      </c>
      <c r="BD263" s="9">
        <v>2</v>
      </c>
      <c r="BE263" s="9">
        <v>3</v>
      </c>
      <c r="BF263" s="9">
        <v>0</v>
      </c>
      <c r="BG263" s="9">
        <v>0</v>
      </c>
      <c r="BH263" s="9">
        <v>1</v>
      </c>
      <c r="BI263" s="9">
        <v>1</v>
      </c>
      <c r="BJ263" s="9">
        <v>2</v>
      </c>
      <c r="BK263" s="9">
        <v>1</v>
      </c>
      <c r="BL263" s="9">
        <v>2</v>
      </c>
      <c r="BM263" s="9">
        <v>5</v>
      </c>
      <c r="BN263" s="9">
        <v>1</v>
      </c>
      <c r="BO263" s="9">
        <v>2</v>
      </c>
      <c r="BP263" s="9">
        <v>2</v>
      </c>
      <c r="BQ263" s="9">
        <v>2</v>
      </c>
      <c r="BR263" s="9">
        <v>0</v>
      </c>
      <c r="BS263" s="9">
        <v>0</v>
      </c>
      <c r="BT263" s="9">
        <v>2</v>
      </c>
      <c r="BU263" s="9">
        <v>2</v>
      </c>
      <c r="BV263" s="9">
        <v>0</v>
      </c>
      <c r="BW263" s="9">
        <v>1</v>
      </c>
      <c r="BX263" s="9">
        <v>0</v>
      </c>
      <c r="BY263" s="9">
        <v>1</v>
      </c>
      <c r="BZ263" s="9">
        <v>1</v>
      </c>
      <c r="CA263" s="9">
        <v>0</v>
      </c>
      <c r="CB263" s="9">
        <v>2</v>
      </c>
      <c r="CC263" s="9">
        <v>0</v>
      </c>
      <c r="CD263" s="9">
        <v>0</v>
      </c>
      <c r="CE263" s="9">
        <v>0</v>
      </c>
      <c r="CF263" s="9">
        <v>1</v>
      </c>
      <c r="CG263" s="9">
        <v>0</v>
      </c>
      <c r="CH263" s="9">
        <v>0</v>
      </c>
      <c r="CI263" s="9">
        <v>1</v>
      </c>
      <c r="CJ263" s="9">
        <v>0</v>
      </c>
      <c r="CK263" s="9">
        <v>2</v>
      </c>
      <c r="CL263" s="9">
        <v>0</v>
      </c>
      <c r="CM263" s="9">
        <v>0</v>
      </c>
      <c r="CN263" s="9">
        <v>0</v>
      </c>
      <c r="CO263" s="9">
        <v>1</v>
      </c>
      <c r="CP263" s="9">
        <v>1</v>
      </c>
      <c r="CQ263" s="9">
        <v>0</v>
      </c>
      <c r="CR263" s="9">
        <v>0</v>
      </c>
      <c r="CS263" s="9">
        <v>0</v>
      </c>
      <c r="CT263" s="9">
        <v>0</v>
      </c>
      <c r="CU263" s="9">
        <v>0</v>
      </c>
      <c r="CV263" s="9">
        <v>0</v>
      </c>
      <c r="CW263" s="9">
        <v>0</v>
      </c>
      <c r="CX263" s="9">
        <v>0</v>
      </c>
      <c r="CY263" s="9">
        <v>0</v>
      </c>
      <c r="CZ263" s="9">
        <v>0</v>
      </c>
      <c r="DA263" s="9">
        <v>0</v>
      </c>
      <c r="DB263" s="9">
        <v>0</v>
      </c>
      <c r="DC263" s="9">
        <v>0</v>
      </c>
      <c r="DD263" s="9">
        <v>0</v>
      </c>
      <c r="DE263" s="9">
        <v>0</v>
      </c>
      <c r="DF263" s="9">
        <v>0</v>
      </c>
      <c r="DG263" s="9">
        <v>0</v>
      </c>
      <c r="DH263" s="9">
        <v>0</v>
      </c>
      <c r="DI263" s="9">
        <v>0</v>
      </c>
      <c r="DJ263" s="9">
        <v>0</v>
      </c>
      <c r="DK263" s="9">
        <v>0</v>
      </c>
      <c r="DL263" s="9">
        <v>0</v>
      </c>
      <c r="DM263" s="9">
        <v>0</v>
      </c>
      <c r="DN263" s="9">
        <v>0</v>
      </c>
      <c r="DO263" s="9">
        <v>0</v>
      </c>
      <c r="DP263" s="9">
        <v>0</v>
      </c>
      <c r="DQ263" s="9">
        <v>0</v>
      </c>
      <c r="DR263" s="9">
        <v>0</v>
      </c>
      <c r="DS263" s="9">
        <v>0</v>
      </c>
      <c r="DT263" s="9">
        <v>0</v>
      </c>
      <c r="DU263" s="9">
        <v>0</v>
      </c>
      <c r="DV263" s="9">
        <v>0</v>
      </c>
      <c r="DW263" s="9">
        <v>0</v>
      </c>
      <c r="DX263" s="9">
        <v>0</v>
      </c>
      <c r="DY263" s="9">
        <v>0</v>
      </c>
      <c r="DZ263" s="9">
        <v>0</v>
      </c>
      <c r="EA263" s="9">
        <v>0</v>
      </c>
      <c r="EB263" s="9">
        <v>0</v>
      </c>
      <c r="EC263" s="9">
        <v>0</v>
      </c>
      <c r="ED263" s="9">
        <v>0</v>
      </c>
      <c r="EE263" s="9">
        <v>0</v>
      </c>
      <c r="EF263" s="9">
        <v>0</v>
      </c>
      <c r="EG263" s="9">
        <v>0</v>
      </c>
      <c r="EH263" s="9">
        <v>0</v>
      </c>
      <c r="EI263" s="10">
        <v>0</v>
      </c>
    </row>
    <row r="264" spans="1:139" x14ac:dyDescent="0.35">
      <c r="A264" s="8" t="s">
        <v>413</v>
      </c>
      <c r="B264" s="9" t="s">
        <v>454</v>
      </c>
      <c r="C264" s="9" t="s">
        <v>455</v>
      </c>
      <c r="D264" s="9">
        <f t="shared" si="4"/>
        <v>50</v>
      </c>
      <c r="E264" s="9">
        <v>0</v>
      </c>
      <c r="F264" s="9">
        <v>0</v>
      </c>
      <c r="G264" s="9">
        <v>0</v>
      </c>
      <c r="H264" s="9">
        <v>0</v>
      </c>
      <c r="I264" s="9">
        <v>0</v>
      </c>
      <c r="J264" s="9">
        <v>0</v>
      </c>
      <c r="K264" s="9">
        <v>0</v>
      </c>
      <c r="L264" s="9">
        <v>0</v>
      </c>
      <c r="M264" s="9">
        <v>0</v>
      </c>
      <c r="N264" s="9">
        <v>0</v>
      </c>
      <c r="O264" s="9">
        <v>0</v>
      </c>
      <c r="P264" s="9">
        <v>0</v>
      </c>
      <c r="Q264" s="9">
        <v>0</v>
      </c>
      <c r="R264" s="9">
        <v>0</v>
      </c>
      <c r="S264" s="9">
        <v>0</v>
      </c>
      <c r="T264" s="9">
        <v>1</v>
      </c>
      <c r="U264" s="9">
        <v>0</v>
      </c>
      <c r="V264" s="9">
        <v>1</v>
      </c>
      <c r="W264" s="9">
        <v>3</v>
      </c>
      <c r="X264" s="9">
        <v>0</v>
      </c>
      <c r="Y264" s="9">
        <v>1</v>
      </c>
      <c r="Z264" s="9">
        <v>3</v>
      </c>
      <c r="AA264" s="9">
        <v>0</v>
      </c>
      <c r="AB264" s="9">
        <v>1</v>
      </c>
      <c r="AC264" s="9">
        <v>1</v>
      </c>
      <c r="AD264" s="9">
        <v>1</v>
      </c>
      <c r="AE264" s="9">
        <v>1</v>
      </c>
      <c r="AF264" s="9">
        <v>0</v>
      </c>
      <c r="AG264" s="9">
        <v>1</v>
      </c>
      <c r="AH264" s="9">
        <v>2</v>
      </c>
      <c r="AI264" s="9">
        <v>1</v>
      </c>
      <c r="AJ264" s="9">
        <v>1</v>
      </c>
      <c r="AK264" s="9">
        <v>2</v>
      </c>
      <c r="AL264" s="9">
        <v>1</v>
      </c>
      <c r="AM264" s="9">
        <v>1</v>
      </c>
      <c r="AN264" s="9">
        <v>2</v>
      </c>
      <c r="AO264" s="9">
        <v>2</v>
      </c>
      <c r="AP264" s="9">
        <v>1</v>
      </c>
      <c r="AQ264" s="9">
        <v>1</v>
      </c>
      <c r="AR264" s="9">
        <v>1</v>
      </c>
      <c r="AS264" s="9">
        <v>0</v>
      </c>
      <c r="AT264" s="9">
        <v>0</v>
      </c>
      <c r="AU264" s="9">
        <v>3</v>
      </c>
      <c r="AV264" s="9">
        <v>0</v>
      </c>
      <c r="AW264" s="9">
        <v>1</v>
      </c>
      <c r="AX264" s="9">
        <v>0</v>
      </c>
      <c r="AY264" s="9">
        <v>0</v>
      </c>
      <c r="AZ264" s="9">
        <v>1</v>
      </c>
      <c r="BA264" s="9">
        <v>1</v>
      </c>
      <c r="BB264" s="9">
        <v>1</v>
      </c>
      <c r="BC264" s="9">
        <v>0</v>
      </c>
      <c r="BD264" s="9">
        <v>0</v>
      </c>
      <c r="BE264" s="9">
        <v>0</v>
      </c>
      <c r="BF264" s="9">
        <v>1</v>
      </c>
      <c r="BG264" s="9">
        <v>1</v>
      </c>
      <c r="BH264" s="9">
        <v>1</v>
      </c>
      <c r="BI264" s="9">
        <v>0</v>
      </c>
      <c r="BJ264" s="9">
        <v>2</v>
      </c>
      <c r="BK264" s="9">
        <v>1</v>
      </c>
      <c r="BL264" s="9">
        <v>0</v>
      </c>
      <c r="BM264" s="9">
        <v>1</v>
      </c>
      <c r="BN264" s="9">
        <v>0</v>
      </c>
      <c r="BO264" s="9">
        <v>0</v>
      </c>
      <c r="BP264" s="9">
        <v>0</v>
      </c>
      <c r="BQ264" s="9">
        <v>0</v>
      </c>
      <c r="BR264" s="9">
        <v>1</v>
      </c>
      <c r="BS264" s="9">
        <v>0</v>
      </c>
      <c r="BT264" s="9">
        <v>0</v>
      </c>
      <c r="BU264" s="9">
        <v>0</v>
      </c>
      <c r="BV264" s="9">
        <v>1</v>
      </c>
      <c r="BW264" s="9">
        <v>0</v>
      </c>
      <c r="BX264" s="9">
        <v>0</v>
      </c>
      <c r="BY264" s="9">
        <v>0</v>
      </c>
      <c r="BZ264" s="9">
        <v>0</v>
      </c>
      <c r="CA264" s="9">
        <v>0</v>
      </c>
      <c r="CB264" s="9">
        <v>1</v>
      </c>
      <c r="CC264" s="9">
        <v>0</v>
      </c>
      <c r="CD264" s="9">
        <v>2</v>
      </c>
      <c r="CE264" s="9">
        <v>0</v>
      </c>
      <c r="CF264" s="9">
        <v>0</v>
      </c>
      <c r="CG264" s="9">
        <v>0</v>
      </c>
      <c r="CH264" s="9">
        <v>0</v>
      </c>
      <c r="CI264" s="9">
        <v>1</v>
      </c>
      <c r="CJ264" s="9">
        <v>0</v>
      </c>
      <c r="CK264" s="9">
        <v>0</v>
      </c>
      <c r="CL264" s="9">
        <v>0</v>
      </c>
      <c r="CM264" s="9">
        <v>0</v>
      </c>
      <c r="CN264" s="9">
        <v>0</v>
      </c>
      <c r="CO264" s="9">
        <v>0</v>
      </c>
      <c r="CP264" s="9">
        <v>0</v>
      </c>
      <c r="CQ264" s="9">
        <v>0</v>
      </c>
      <c r="CR264" s="9">
        <v>0</v>
      </c>
      <c r="CS264" s="9">
        <v>1</v>
      </c>
      <c r="CT264" s="9">
        <v>0</v>
      </c>
      <c r="CU264" s="9">
        <v>0</v>
      </c>
      <c r="CV264" s="9">
        <v>0</v>
      </c>
      <c r="CW264" s="9">
        <v>0</v>
      </c>
      <c r="CX264" s="9">
        <v>0</v>
      </c>
      <c r="CY264" s="9">
        <v>0</v>
      </c>
      <c r="CZ264" s="9">
        <v>0</v>
      </c>
      <c r="DA264" s="9">
        <v>0</v>
      </c>
      <c r="DB264" s="9">
        <v>0</v>
      </c>
      <c r="DC264" s="9">
        <v>0</v>
      </c>
      <c r="DD264" s="9">
        <v>0</v>
      </c>
      <c r="DE264" s="9">
        <v>0</v>
      </c>
      <c r="DF264" s="9">
        <v>0</v>
      </c>
      <c r="DG264" s="9">
        <v>0</v>
      </c>
      <c r="DH264" s="9">
        <v>0</v>
      </c>
      <c r="DI264" s="9">
        <v>0</v>
      </c>
      <c r="DJ264" s="9">
        <v>0</v>
      </c>
      <c r="DK264" s="9">
        <v>0</v>
      </c>
      <c r="DL264" s="9">
        <v>0</v>
      </c>
      <c r="DM264" s="9">
        <v>0</v>
      </c>
      <c r="DN264" s="9">
        <v>0</v>
      </c>
      <c r="DO264" s="9">
        <v>0</v>
      </c>
      <c r="DP264" s="9">
        <v>0</v>
      </c>
      <c r="DQ264" s="9">
        <v>0</v>
      </c>
      <c r="DR264" s="9">
        <v>0</v>
      </c>
      <c r="DS264" s="9">
        <v>0</v>
      </c>
      <c r="DT264" s="9">
        <v>0</v>
      </c>
      <c r="DU264" s="9">
        <v>0</v>
      </c>
      <c r="DV264" s="9">
        <v>0</v>
      </c>
      <c r="DW264" s="9">
        <v>0</v>
      </c>
      <c r="DX264" s="9">
        <v>0</v>
      </c>
      <c r="DY264" s="9">
        <v>0</v>
      </c>
      <c r="DZ264" s="9">
        <v>0</v>
      </c>
      <c r="EA264" s="9">
        <v>0</v>
      </c>
      <c r="EB264" s="9">
        <v>0</v>
      </c>
      <c r="EC264" s="9">
        <v>0</v>
      </c>
      <c r="ED264" s="9">
        <v>0</v>
      </c>
      <c r="EE264" s="9">
        <v>0</v>
      </c>
      <c r="EF264" s="9">
        <v>0</v>
      </c>
      <c r="EG264" s="9">
        <v>0</v>
      </c>
      <c r="EH264" s="9">
        <v>0</v>
      </c>
      <c r="EI264" s="10">
        <v>0</v>
      </c>
    </row>
    <row r="265" spans="1:139" x14ac:dyDescent="0.35">
      <c r="A265" s="8" t="s">
        <v>413</v>
      </c>
      <c r="B265" s="9" t="s">
        <v>456</v>
      </c>
      <c r="C265" s="9" t="s">
        <v>457</v>
      </c>
      <c r="D265" s="9">
        <f t="shared" si="4"/>
        <v>0</v>
      </c>
      <c r="E265" s="9">
        <v>0</v>
      </c>
      <c r="F265" s="9">
        <v>0</v>
      </c>
      <c r="G265" s="9">
        <v>0</v>
      </c>
      <c r="H265" s="9">
        <v>0</v>
      </c>
      <c r="I265" s="9">
        <v>0</v>
      </c>
      <c r="J265" s="9">
        <v>0</v>
      </c>
      <c r="K265" s="9">
        <v>0</v>
      </c>
      <c r="L265" s="9">
        <v>0</v>
      </c>
      <c r="M265" s="9">
        <v>0</v>
      </c>
      <c r="N265" s="9">
        <v>0</v>
      </c>
      <c r="O265" s="9">
        <v>0</v>
      </c>
      <c r="P265" s="9">
        <v>0</v>
      </c>
      <c r="Q265" s="9">
        <v>0</v>
      </c>
      <c r="R265" s="9">
        <v>0</v>
      </c>
      <c r="S265" s="9">
        <v>0</v>
      </c>
      <c r="T265" s="9">
        <v>0</v>
      </c>
      <c r="U265" s="9">
        <v>0</v>
      </c>
      <c r="V265" s="9">
        <v>0</v>
      </c>
      <c r="W265" s="9">
        <v>0</v>
      </c>
      <c r="X265" s="9">
        <v>0</v>
      </c>
      <c r="Y265" s="9">
        <v>0</v>
      </c>
      <c r="Z265" s="9">
        <v>0</v>
      </c>
      <c r="AA265" s="9">
        <v>0</v>
      </c>
      <c r="AB265" s="9">
        <v>0</v>
      </c>
      <c r="AC265" s="9">
        <v>0</v>
      </c>
      <c r="AD265" s="9">
        <v>0</v>
      </c>
      <c r="AE265" s="9">
        <v>0</v>
      </c>
      <c r="AF265" s="9">
        <v>0</v>
      </c>
      <c r="AG265" s="9">
        <v>0</v>
      </c>
      <c r="AH265" s="9">
        <v>0</v>
      </c>
      <c r="AI265" s="9">
        <v>0</v>
      </c>
      <c r="AJ265" s="9">
        <v>0</v>
      </c>
      <c r="AK265" s="9">
        <v>0</v>
      </c>
      <c r="AL265" s="9">
        <v>0</v>
      </c>
      <c r="AM265" s="9">
        <v>0</v>
      </c>
      <c r="AN265" s="9">
        <v>0</v>
      </c>
      <c r="AO265" s="9">
        <v>0</v>
      </c>
      <c r="AP265" s="9">
        <v>0</v>
      </c>
      <c r="AQ265" s="9">
        <v>0</v>
      </c>
      <c r="AR265" s="9">
        <v>0</v>
      </c>
      <c r="AS265" s="9">
        <v>0</v>
      </c>
      <c r="AT265" s="9">
        <v>0</v>
      </c>
      <c r="AU265" s="9">
        <v>0</v>
      </c>
      <c r="AV265" s="9">
        <v>0</v>
      </c>
      <c r="AW265" s="9">
        <v>0</v>
      </c>
      <c r="AX265" s="9">
        <v>0</v>
      </c>
      <c r="AY265" s="9">
        <v>0</v>
      </c>
      <c r="AZ265" s="9">
        <v>0</v>
      </c>
      <c r="BA265" s="9">
        <v>0</v>
      </c>
      <c r="BB265" s="9">
        <v>0</v>
      </c>
      <c r="BC265" s="9">
        <v>0</v>
      </c>
      <c r="BD265" s="9">
        <v>0</v>
      </c>
      <c r="BE265" s="9">
        <v>0</v>
      </c>
      <c r="BF265" s="9">
        <v>0</v>
      </c>
      <c r="BG265" s="9">
        <v>0</v>
      </c>
      <c r="BH265" s="9">
        <v>0</v>
      </c>
      <c r="BI265" s="9">
        <v>0</v>
      </c>
      <c r="BJ265" s="9">
        <v>0</v>
      </c>
      <c r="BK265" s="9">
        <v>0</v>
      </c>
      <c r="BL265" s="9">
        <v>0</v>
      </c>
      <c r="BM265" s="9">
        <v>0</v>
      </c>
      <c r="BN265" s="9">
        <v>0</v>
      </c>
      <c r="BO265" s="9">
        <v>0</v>
      </c>
      <c r="BP265" s="9">
        <v>0</v>
      </c>
      <c r="BQ265" s="9">
        <v>0</v>
      </c>
      <c r="BR265" s="9">
        <v>0</v>
      </c>
      <c r="BS265" s="9">
        <v>0</v>
      </c>
      <c r="BT265" s="9">
        <v>0</v>
      </c>
      <c r="BU265" s="9">
        <v>0</v>
      </c>
      <c r="BV265" s="9">
        <v>0</v>
      </c>
      <c r="BW265" s="9">
        <v>0</v>
      </c>
      <c r="BX265" s="9">
        <v>0</v>
      </c>
      <c r="BY265" s="9">
        <v>0</v>
      </c>
      <c r="BZ265" s="9">
        <v>0</v>
      </c>
      <c r="CA265" s="9">
        <v>0</v>
      </c>
      <c r="CB265" s="9">
        <v>0</v>
      </c>
      <c r="CC265" s="9">
        <v>0</v>
      </c>
      <c r="CD265" s="9">
        <v>0</v>
      </c>
      <c r="CE265" s="9">
        <v>0</v>
      </c>
      <c r="CF265" s="9">
        <v>0</v>
      </c>
      <c r="CG265" s="9">
        <v>0</v>
      </c>
      <c r="CH265" s="9">
        <v>0</v>
      </c>
      <c r="CI265" s="9">
        <v>0</v>
      </c>
      <c r="CJ265" s="9">
        <v>0</v>
      </c>
      <c r="CK265" s="9">
        <v>0</v>
      </c>
      <c r="CL265" s="9">
        <v>0</v>
      </c>
      <c r="CM265" s="9">
        <v>0</v>
      </c>
      <c r="CN265" s="9">
        <v>0</v>
      </c>
      <c r="CO265" s="9">
        <v>0</v>
      </c>
      <c r="CP265" s="9">
        <v>0</v>
      </c>
      <c r="CQ265" s="9">
        <v>0</v>
      </c>
      <c r="CR265" s="9">
        <v>0</v>
      </c>
      <c r="CS265" s="9">
        <v>0</v>
      </c>
      <c r="CT265" s="9">
        <v>0</v>
      </c>
      <c r="CU265" s="9">
        <v>0</v>
      </c>
      <c r="CV265" s="9">
        <v>0</v>
      </c>
      <c r="CW265" s="9">
        <v>0</v>
      </c>
      <c r="CX265" s="9">
        <v>0</v>
      </c>
      <c r="CY265" s="9">
        <v>0</v>
      </c>
      <c r="CZ265" s="9">
        <v>0</v>
      </c>
      <c r="DA265" s="9">
        <v>0</v>
      </c>
      <c r="DB265" s="9">
        <v>0</v>
      </c>
      <c r="DC265" s="9">
        <v>0</v>
      </c>
      <c r="DD265" s="9">
        <v>0</v>
      </c>
      <c r="DE265" s="9">
        <v>0</v>
      </c>
      <c r="DF265" s="9">
        <v>0</v>
      </c>
      <c r="DG265" s="9">
        <v>0</v>
      </c>
      <c r="DH265" s="9">
        <v>0</v>
      </c>
      <c r="DI265" s="9">
        <v>0</v>
      </c>
      <c r="DJ265" s="9">
        <v>0</v>
      </c>
      <c r="DK265" s="9">
        <v>0</v>
      </c>
      <c r="DL265" s="9">
        <v>0</v>
      </c>
      <c r="DM265" s="9">
        <v>0</v>
      </c>
      <c r="DN265" s="9">
        <v>0</v>
      </c>
      <c r="DO265" s="9">
        <v>0</v>
      </c>
      <c r="DP265" s="9">
        <v>0</v>
      </c>
      <c r="DQ265" s="9">
        <v>0</v>
      </c>
      <c r="DR265" s="9">
        <v>0</v>
      </c>
      <c r="DS265" s="9">
        <v>0</v>
      </c>
      <c r="DT265" s="9">
        <v>0</v>
      </c>
      <c r="DU265" s="9">
        <v>0</v>
      </c>
      <c r="DV265" s="9">
        <v>0</v>
      </c>
      <c r="DW265" s="9">
        <v>0</v>
      </c>
      <c r="DX265" s="9">
        <v>0</v>
      </c>
      <c r="DY265" s="9">
        <v>0</v>
      </c>
      <c r="DZ265" s="9">
        <v>0</v>
      </c>
      <c r="EA265" s="9">
        <v>0</v>
      </c>
      <c r="EB265" s="9">
        <v>0</v>
      </c>
      <c r="EC265" s="9">
        <v>0</v>
      </c>
      <c r="ED265" s="9">
        <v>0</v>
      </c>
      <c r="EE265" s="9">
        <v>0</v>
      </c>
      <c r="EF265" s="9">
        <v>0</v>
      </c>
      <c r="EG265" s="9">
        <v>0</v>
      </c>
      <c r="EH265" s="9">
        <v>0</v>
      </c>
      <c r="EI265" s="10">
        <v>0</v>
      </c>
    </row>
    <row r="266" spans="1:139" x14ac:dyDescent="0.35">
      <c r="A266" s="8" t="s">
        <v>413</v>
      </c>
      <c r="B266" s="9" t="s">
        <v>458</v>
      </c>
      <c r="C266" s="9" t="s">
        <v>459</v>
      </c>
      <c r="D266" s="9">
        <f t="shared" si="4"/>
        <v>3</v>
      </c>
      <c r="E266" s="9">
        <v>0</v>
      </c>
      <c r="F266" s="9">
        <v>1</v>
      </c>
      <c r="G266" s="9">
        <v>0</v>
      </c>
      <c r="H266" s="9">
        <v>0</v>
      </c>
      <c r="I266" s="9">
        <v>0</v>
      </c>
      <c r="J266" s="9">
        <v>0</v>
      </c>
      <c r="K266" s="9">
        <v>0</v>
      </c>
      <c r="L266" s="9">
        <v>0</v>
      </c>
      <c r="M266" s="9">
        <v>0</v>
      </c>
      <c r="N266" s="9">
        <v>0</v>
      </c>
      <c r="O266" s="9">
        <v>0</v>
      </c>
      <c r="P266" s="9">
        <v>0</v>
      </c>
      <c r="Q266" s="9">
        <v>0</v>
      </c>
      <c r="R266" s="9">
        <v>0</v>
      </c>
      <c r="S266" s="9">
        <v>0</v>
      </c>
      <c r="T266" s="9">
        <v>0</v>
      </c>
      <c r="U266" s="9">
        <v>0</v>
      </c>
      <c r="V266" s="9">
        <v>0</v>
      </c>
      <c r="W266" s="9">
        <v>0</v>
      </c>
      <c r="X266" s="9">
        <v>0</v>
      </c>
      <c r="Y266" s="9">
        <v>0</v>
      </c>
      <c r="Z266" s="9">
        <v>0</v>
      </c>
      <c r="AA266" s="9">
        <v>0</v>
      </c>
      <c r="AB266" s="9">
        <v>0</v>
      </c>
      <c r="AC266" s="9">
        <v>0</v>
      </c>
      <c r="AD266" s="9">
        <v>0</v>
      </c>
      <c r="AE266" s="9">
        <v>0</v>
      </c>
      <c r="AF266" s="9">
        <v>0</v>
      </c>
      <c r="AG266" s="9">
        <v>0</v>
      </c>
      <c r="AH266" s="9">
        <v>0</v>
      </c>
      <c r="AI266" s="9">
        <v>0</v>
      </c>
      <c r="AJ266" s="9">
        <v>0</v>
      </c>
      <c r="AK266" s="9">
        <v>0</v>
      </c>
      <c r="AL266" s="9">
        <v>0</v>
      </c>
      <c r="AM266" s="9">
        <v>0</v>
      </c>
      <c r="AN266" s="9">
        <v>0</v>
      </c>
      <c r="AO266" s="9">
        <v>1</v>
      </c>
      <c r="AP266" s="9">
        <v>0</v>
      </c>
      <c r="AQ266" s="9">
        <v>0</v>
      </c>
      <c r="AR266" s="9">
        <v>0</v>
      </c>
      <c r="AS266" s="9">
        <v>0</v>
      </c>
      <c r="AT266" s="9">
        <v>0</v>
      </c>
      <c r="AU266" s="9">
        <v>0</v>
      </c>
      <c r="AV266" s="9">
        <v>0</v>
      </c>
      <c r="AW266" s="9">
        <v>0</v>
      </c>
      <c r="AX266" s="9">
        <v>0</v>
      </c>
      <c r="AY266" s="9">
        <v>0</v>
      </c>
      <c r="AZ266" s="9">
        <v>0</v>
      </c>
      <c r="BA266" s="9">
        <v>0</v>
      </c>
      <c r="BB266" s="9">
        <v>0</v>
      </c>
      <c r="BC266" s="9">
        <v>0</v>
      </c>
      <c r="BD266" s="9">
        <v>0</v>
      </c>
      <c r="BE266" s="9">
        <v>0</v>
      </c>
      <c r="BF266" s="9">
        <v>0</v>
      </c>
      <c r="BG266" s="9">
        <v>1</v>
      </c>
      <c r="BH266" s="9">
        <v>0</v>
      </c>
      <c r="BI266" s="9">
        <v>0</v>
      </c>
      <c r="BJ266" s="9">
        <v>0</v>
      </c>
      <c r="BK266" s="9">
        <v>0</v>
      </c>
      <c r="BL266" s="9">
        <v>0</v>
      </c>
      <c r="BM266" s="9">
        <v>0</v>
      </c>
      <c r="BN266" s="9">
        <v>0</v>
      </c>
      <c r="BO266" s="9">
        <v>0</v>
      </c>
      <c r="BP266" s="9">
        <v>0</v>
      </c>
      <c r="BQ266" s="9">
        <v>0</v>
      </c>
      <c r="BR266" s="9">
        <v>0</v>
      </c>
      <c r="BS266" s="9">
        <v>0</v>
      </c>
      <c r="BT266" s="9">
        <v>0</v>
      </c>
      <c r="BU266" s="9">
        <v>0</v>
      </c>
      <c r="BV266" s="9">
        <v>0</v>
      </c>
      <c r="BW266" s="9">
        <v>0</v>
      </c>
      <c r="BX266" s="9">
        <v>0</v>
      </c>
      <c r="BY266" s="9">
        <v>0</v>
      </c>
      <c r="BZ266" s="9">
        <v>0</v>
      </c>
      <c r="CA266" s="9">
        <v>0</v>
      </c>
      <c r="CB266" s="9">
        <v>0</v>
      </c>
      <c r="CC266" s="9">
        <v>0</v>
      </c>
      <c r="CD266" s="9">
        <v>0</v>
      </c>
      <c r="CE266" s="9">
        <v>0</v>
      </c>
      <c r="CF266" s="9">
        <v>0</v>
      </c>
      <c r="CG266" s="9">
        <v>0</v>
      </c>
      <c r="CH266" s="9">
        <v>0</v>
      </c>
      <c r="CI266" s="9">
        <v>0</v>
      </c>
      <c r="CJ266" s="9">
        <v>0</v>
      </c>
      <c r="CK266" s="9">
        <v>0</v>
      </c>
      <c r="CL266" s="9">
        <v>0</v>
      </c>
      <c r="CM266" s="9">
        <v>0</v>
      </c>
      <c r="CN266" s="9">
        <v>0</v>
      </c>
      <c r="CO266" s="9">
        <v>0</v>
      </c>
      <c r="CP266" s="9">
        <v>0</v>
      </c>
      <c r="CQ266" s="9">
        <v>0</v>
      </c>
      <c r="CR266" s="9">
        <v>0</v>
      </c>
      <c r="CS266" s="9">
        <v>0</v>
      </c>
      <c r="CT266" s="9">
        <v>0</v>
      </c>
      <c r="CU266" s="9">
        <v>0</v>
      </c>
      <c r="CV266" s="9">
        <v>0</v>
      </c>
      <c r="CW266" s="9">
        <v>0</v>
      </c>
      <c r="CX266" s="9">
        <v>0</v>
      </c>
      <c r="CY266" s="9">
        <v>0</v>
      </c>
      <c r="CZ266" s="9">
        <v>0</v>
      </c>
      <c r="DA266" s="9">
        <v>0</v>
      </c>
      <c r="DB266" s="9">
        <v>0</v>
      </c>
      <c r="DC266" s="9">
        <v>0</v>
      </c>
      <c r="DD266" s="9">
        <v>0</v>
      </c>
      <c r="DE266" s="9">
        <v>0</v>
      </c>
      <c r="DF266" s="9">
        <v>0</v>
      </c>
      <c r="DG266" s="9">
        <v>0</v>
      </c>
      <c r="DH266" s="9">
        <v>0</v>
      </c>
      <c r="DI266" s="9">
        <v>0</v>
      </c>
      <c r="DJ266" s="9">
        <v>0</v>
      </c>
      <c r="DK266" s="9">
        <v>0</v>
      </c>
      <c r="DL266" s="9">
        <v>0</v>
      </c>
      <c r="DM266" s="9">
        <v>0</v>
      </c>
      <c r="DN266" s="9">
        <v>0</v>
      </c>
      <c r="DO266" s="9">
        <v>0</v>
      </c>
      <c r="DP266" s="9">
        <v>0</v>
      </c>
      <c r="DQ266" s="9">
        <v>0</v>
      </c>
      <c r="DR266" s="9">
        <v>0</v>
      </c>
      <c r="DS266" s="9">
        <v>0</v>
      </c>
      <c r="DT266" s="9">
        <v>0</v>
      </c>
      <c r="DU266" s="9">
        <v>0</v>
      </c>
      <c r="DV266" s="9">
        <v>0</v>
      </c>
      <c r="DW266" s="9">
        <v>0</v>
      </c>
      <c r="DX266" s="9">
        <v>0</v>
      </c>
      <c r="DY266" s="9">
        <v>0</v>
      </c>
      <c r="DZ266" s="9">
        <v>0</v>
      </c>
      <c r="EA266" s="9">
        <v>0</v>
      </c>
      <c r="EB266" s="9">
        <v>0</v>
      </c>
      <c r="EC266" s="9">
        <v>0</v>
      </c>
      <c r="ED266" s="9">
        <v>0</v>
      </c>
      <c r="EE266" s="9">
        <v>0</v>
      </c>
      <c r="EF266" s="9">
        <v>0</v>
      </c>
      <c r="EG266" s="9">
        <v>0</v>
      </c>
      <c r="EH266" s="9">
        <v>0</v>
      </c>
      <c r="EI266" s="10">
        <v>0</v>
      </c>
    </row>
    <row r="267" spans="1:139" x14ac:dyDescent="0.35">
      <c r="A267" s="8" t="s">
        <v>413</v>
      </c>
      <c r="B267" s="9" t="s">
        <v>460</v>
      </c>
      <c r="C267" s="9" t="s">
        <v>461</v>
      </c>
      <c r="D267" s="9">
        <f t="shared" si="4"/>
        <v>134</v>
      </c>
      <c r="E267" s="9">
        <v>0</v>
      </c>
      <c r="F267" s="9">
        <v>0</v>
      </c>
      <c r="G267" s="9">
        <v>0</v>
      </c>
      <c r="H267" s="9">
        <v>0</v>
      </c>
      <c r="I267" s="9">
        <v>0</v>
      </c>
      <c r="J267" s="9">
        <v>0</v>
      </c>
      <c r="K267" s="9">
        <v>0</v>
      </c>
      <c r="L267" s="9">
        <v>0</v>
      </c>
      <c r="M267" s="9">
        <v>0</v>
      </c>
      <c r="N267" s="9">
        <v>0</v>
      </c>
      <c r="O267" s="9">
        <v>0</v>
      </c>
      <c r="P267" s="9">
        <v>0</v>
      </c>
      <c r="Q267" s="9">
        <v>0</v>
      </c>
      <c r="R267" s="9">
        <v>0</v>
      </c>
      <c r="S267" s="9">
        <v>0</v>
      </c>
      <c r="T267" s="9">
        <v>0</v>
      </c>
      <c r="U267" s="9">
        <v>0</v>
      </c>
      <c r="V267" s="9">
        <v>2</v>
      </c>
      <c r="W267" s="9">
        <v>0</v>
      </c>
      <c r="X267" s="9">
        <v>11</v>
      </c>
      <c r="Y267" s="9">
        <v>0</v>
      </c>
      <c r="Z267" s="9">
        <v>0</v>
      </c>
      <c r="AA267" s="9">
        <v>0</v>
      </c>
      <c r="AB267" s="9">
        <v>0</v>
      </c>
      <c r="AC267" s="9">
        <v>0</v>
      </c>
      <c r="AD267" s="9">
        <v>0</v>
      </c>
      <c r="AE267" s="9">
        <v>2</v>
      </c>
      <c r="AF267" s="9">
        <v>2</v>
      </c>
      <c r="AG267" s="9">
        <v>3</v>
      </c>
      <c r="AH267" s="9">
        <v>4</v>
      </c>
      <c r="AI267" s="9">
        <v>1</v>
      </c>
      <c r="AJ267" s="9">
        <v>2</v>
      </c>
      <c r="AK267" s="9">
        <v>0</v>
      </c>
      <c r="AL267" s="9">
        <v>0</v>
      </c>
      <c r="AM267" s="9">
        <v>0</v>
      </c>
      <c r="AN267" s="9">
        <v>0</v>
      </c>
      <c r="AO267" s="9">
        <v>2</v>
      </c>
      <c r="AP267" s="9">
        <v>0</v>
      </c>
      <c r="AQ267" s="9">
        <v>1</v>
      </c>
      <c r="AR267" s="9">
        <v>2</v>
      </c>
      <c r="AS267" s="9">
        <v>1</v>
      </c>
      <c r="AT267" s="9">
        <v>3</v>
      </c>
      <c r="AU267" s="9">
        <v>3</v>
      </c>
      <c r="AV267" s="9">
        <v>0</v>
      </c>
      <c r="AW267" s="9">
        <v>1</v>
      </c>
      <c r="AX267" s="9">
        <v>0</v>
      </c>
      <c r="AY267" s="9">
        <v>2</v>
      </c>
      <c r="AZ267" s="9">
        <v>1</v>
      </c>
      <c r="BA267" s="9">
        <v>1</v>
      </c>
      <c r="BB267" s="9">
        <v>1</v>
      </c>
      <c r="BC267" s="9">
        <v>2</v>
      </c>
      <c r="BD267" s="9">
        <v>1</v>
      </c>
      <c r="BE267" s="9">
        <v>3</v>
      </c>
      <c r="BF267" s="9">
        <v>4</v>
      </c>
      <c r="BG267" s="9">
        <v>2</v>
      </c>
      <c r="BH267" s="9">
        <v>0</v>
      </c>
      <c r="BI267" s="9">
        <v>1</v>
      </c>
      <c r="BJ267" s="9">
        <v>0</v>
      </c>
      <c r="BK267" s="9">
        <v>1</v>
      </c>
      <c r="BL267" s="9">
        <v>1</v>
      </c>
      <c r="BM267" s="9">
        <v>0</v>
      </c>
      <c r="BN267" s="9">
        <v>0</v>
      </c>
      <c r="BO267" s="9">
        <v>4</v>
      </c>
      <c r="BP267" s="9">
        <v>2</v>
      </c>
      <c r="BQ267" s="9">
        <v>1</v>
      </c>
      <c r="BR267" s="9">
        <v>4</v>
      </c>
      <c r="BS267" s="9">
        <v>1</v>
      </c>
      <c r="BT267" s="9">
        <v>1</v>
      </c>
      <c r="BU267" s="9">
        <v>2</v>
      </c>
      <c r="BV267" s="9">
        <v>2</v>
      </c>
      <c r="BW267" s="9">
        <v>1</v>
      </c>
      <c r="BX267" s="9">
        <v>2</v>
      </c>
      <c r="BY267" s="9">
        <v>1</v>
      </c>
      <c r="BZ267" s="9">
        <v>1</v>
      </c>
      <c r="CA267" s="9">
        <v>0</v>
      </c>
      <c r="CB267" s="9">
        <v>2</v>
      </c>
      <c r="CC267" s="9">
        <v>0</v>
      </c>
      <c r="CD267" s="9">
        <v>0</v>
      </c>
      <c r="CE267" s="9">
        <v>0</v>
      </c>
      <c r="CF267" s="9">
        <v>1</v>
      </c>
      <c r="CG267" s="9">
        <v>0</v>
      </c>
      <c r="CH267" s="9">
        <v>0</v>
      </c>
      <c r="CI267" s="9">
        <v>3</v>
      </c>
      <c r="CJ267" s="9">
        <v>1</v>
      </c>
      <c r="CK267" s="9">
        <v>1</v>
      </c>
      <c r="CL267" s="9">
        <v>1</v>
      </c>
      <c r="CM267" s="9">
        <v>0</v>
      </c>
      <c r="CN267" s="9">
        <v>1</v>
      </c>
      <c r="CO267" s="9">
        <v>2</v>
      </c>
      <c r="CP267" s="9">
        <v>1</v>
      </c>
      <c r="CQ267" s="9">
        <v>2</v>
      </c>
      <c r="CR267" s="9">
        <v>0</v>
      </c>
      <c r="CS267" s="9">
        <v>1</v>
      </c>
      <c r="CT267" s="9">
        <v>2</v>
      </c>
      <c r="CU267" s="9">
        <v>0</v>
      </c>
      <c r="CV267" s="9">
        <v>0</v>
      </c>
      <c r="CW267" s="9">
        <v>1</v>
      </c>
      <c r="CX267" s="9">
        <v>1</v>
      </c>
      <c r="CY267" s="9">
        <v>1</v>
      </c>
      <c r="CZ267" s="9">
        <v>1</v>
      </c>
      <c r="DA267" s="9">
        <v>1</v>
      </c>
      <c r="DB267" s="9">
        <v>1</v>
      </c>
      <c r="DC267" s="9">
        <v>1</v>
      </c>
      <c r="DD267" s="9">
        <v>0</v>
      </c>
      <c r="DE267" s="9">
        <v>1</v>
      </c>
      <c r="DF267" s="9">
        <v>2</v>
      </c>
      <c r="DG267" s="9">
        <v>2</v>
      </c>
      <c r="DH267" s="9">
        <v>1</v>
      </c>
      <c r="DI267" s="9">
        <v>2</v>
      </c>
      <c r="DJ267" s="9">
        <v>2</v>
      </c>
      <c r="DK267" s="9">
        <v>0</v>
      </c>
      <c r="DL267" s="9">
        <v>1</v>
      </c>
      <c r="DM267" s="9">
        <v>1</v>
      </c>
      <c r="DN267" s="9">
        <v>0</v>
      </c>
      <c r="DO267" s="9">
        <v>1</v>
      </c>
      <c r="DP267" s="9">
        <v>0</v>
      </c>
      <c r="DQ267" s="9">
        <v>1</v>
      </c>
      <c r="DR267" s="9">
        <v>3</v>
      </c>
      <c r="DS267" s="9">
        <v>0</v>
      </c>
      <c r="DT267" s="9">
        <v>3</v>
      </c>
      <c r="DU267" s="9">
        <v>1</v>
      </c>
      <c r="DV267" s="9">
        <v>1</v>
      </c>
      <c r="DW267" s="9">
        <v>0</v>
      </c>
      <c r="DX267" s="9">
        <v>1</v>
      </c>
      <c r="DY267" s="9">
        <v>0</v>
      </c>
      <c r="DZ267" s="9">
        <v>1</v>
      </c>
      <c r="EA267" s="9">
        <v>1</v>
      </c>
      <c r="EB267" s="9">
        <v>1</v>
      </c>
      <c r="EC267" s="9">
        <v>0</v>
      </c>
      <c r="ED267" s="9">
        <v>0</v>
      </c>
      <c r="EE267" s="9">
        <v>0</v>
      </c>
      <c r="EF267" s="9">
        <v>0</v>
      </c>
      <c r="EG267" s="9">
        <v>0</v>
      </c>
      <c r="EH267" s="9">
        <v>0</v>
      </c>
      <c r="EI267" s="10">
        <v>1</v>
      </c>
    </row>
    <row r="268" spans="1:139" x14ac:dyDescent="0.35">
      <c r="A268" s="8" t="s">
        <v>413</v>
      </c>
      <c r="B268" s="9" t="s">
        <v>462</v>
      </c>
      <c r="C268" s="9" t="s">
        <v>463</v>
      </c>
      <c r="D268" s="9">
        <f t="shared" si="4"/>
        <v>0</v>
      </c>
      <c r="E268" s="9">
        <v>0</v>
      </c>
      <c r="F268" s="9">
        <v>0</v>
      </c>
      <c r="G268" s="9">
        <v>0</v>
      </c>
      <c r="H268" s="9">
        <v>0</v>
      </c>
      <c r="I268" s="9">
        <v>0</v>
      </c>
      <c r="J268" s="9">
        <v>0</v>
      </c>
      <c r="K268" s="9">
        <v>0</v>
      </c>
      <c r="L268" s="9">
        <v>0</v>
      </c>
      <c r="M268" s="9">
        <v>0</v>
      </c>
      <c r="N268" s="9">
        <v>0</v>
      </c>
      <c r="O268" s="9">
        <v>0</v>
      </c>
      <c r="P268" s="9">
        <v>0</v>
      </c>
      <c r="Q268" s="9">
        <v>0</v>
      </c>
      <c r="R268" s="9">
        <v>0</v>
      </c>
      <c r="S268" s="9">
        <v>0</v>
      </c>
      <c r="T268" s="9">
        <v>0</v>
      </c>
      <c r="U268" s="9">
        <v>0</v>
      </c>
      <c r="V268" s="9">
        <v>0</v>
      </c>
      <c r="W268" s="9">
        <v>0</v>
      </c>
      <c r="X268" s="9">
        <v>0</v>
      </c>
      <c r="Y268" s="9">
        <v>0</v>
      </c>
      <c r="Z268" s="9">
        <v>0</v>
      </c>
      <c r="AA268" s="9">
        <v>0</v>
      </c>
      <c r="AB268" s="9">
        <v>0</v>
      </c>
      <c r="AC268" s="9">
        <v>0</v>
      </c>
      <c r="AD268" s="9">
        <v>0</v>
      </c>
      <c r="AE268" s="9">
        <v>0</v>
      </c>
      <c r="AF268" s="9">
        <v>0</v>
      </c>
      <c r="AG268" s="9">
        <v>0</v>
      </c>
      <c r="AH268" s="9">
        <v>0</v>
      </c>
      <c r="AI268" s="9">
        <v>0</v>
      </c>
      <c r="AJ268" s="9">
        <v>0</v>
      </c>
      <c r="AK268" s="9">
        <v>0</v>
      </c>
      <c r="AL268" s="9">
        <v>0</v>
      </c>
      <c r="AM268" s="9">
        <v>0</v>
      </c>
      <c r="AN268" s="9">
        <v>0</v>
      </c>
      <c r="AO268" s="9">
        <v>0</v>
      </c>
      <c r="AP268" s="9">
        <v>0</v>
      </c>
      <c r="AQ268" s="9">
        <v>0</v>
      </c>
      <c r="AR268" s="9">
        <v>0</v>
      </c>
      <c r="AS268" s="9">
        <v>0</v>
      </c>
      <c r="AT268" s="9">
        <v>0</v>
      </c>
      <c r="AU268" s="9">
        <v>0</v>
      </c>
      <c r="AV268" s="9">
        <v>0</v>
      </c>
      <c r="AW268" s="9">
        <v>0</v>
      </c>
      <c r="AX268" s="9">
        <v>0</v>
      </c>
      <c r="AY268" s="9">
        <v>0</v>
      </c>
      <c r="AZ268" s="9">
        <v>0</v>
      </c>
      <c r="BA268" s="9">
        <v>0</v>
      </c>
      <c r="BB268" s="9">
        <v>0</v>
      </c>
      <c r="BC268" s="9">
        <v>0</v>
      </c>
      <c r="BD268" s="9">
        <v>0</v>
      </c>
      <c r="BE268" s="9">
        <v>0</v>
      </c>
      <c r="BF268" s="9">
        <v>0</v>
      </c>
      <c r="BG268" s="9">
        <v>0</v>
      </c>
      <c r="BH268" s="9">
        <v>0</v>
      </c>
      <c r="BI268" s="9">
        <v>0</v>
      </c>
      <c r="BJ268" s="9">
        <v>0</v>
      </c>
      <c r="BK268" s="9">
        <v>0</v>
      </c>
      <c r="BL268" s="9">
        <v>0</v>
      </c>
      <c r="BM268" s="9">
        <v>0</v>
      </c>
      <c r="BN268" s="9">
        <v>0</v>
      </c>
      <c r="BO268" s="9">
        <v>0</v>
      </c>
      <c r="BP268" s="9">
        <v>0</v>
      </c>
      <c r="BQ268" s="9">
        <v>0</v>
      </c>
      <c r="BR268" s="9">
        <v>0</v>
      </c>
      <c r="BS268" s="9">
        <v>0</v>
      </c>
      <c r="BT268" s="9">
        <v>0</v>
      </c>
      <c r="BU268" s="9">
        <v>0</v>
      </c>
      <c r="BV268" s="9">
        <v>0</v>
      </c>
      <c r="BW268" s="9">
        <v>0</v>
      </c>
      <c r="BX268" s="9">
        <v>0</v>
      </c>
      <c r="BY268" s="9">
        <v>0</v>
      </c>
      <c r="BZ268" s="9">
        <v>0</v>
      </c>
      <c r="CA268" s="9">
        <v>0</v>
      </c>
      <c r="CB268" s="9">
        <v>0</v>
      </c>
      <c r="CC268" s="9">
        <v>0</v>
      </c>
      <c r="CD268" s="9">
        <v>0</v>
      </c>
      <c r="CE268" s="9">
        <v>0</v>
      </c>
      <c r="CF268" s="9">
        <v>0</v>
      </c>
      <c r="CG268" s="9">
        <v>0</v>
      </c>
      <c r="CH268" s="9">
        <v>0</v>
      </c>
      <c r="CI268" s="9">
        <v>0</v>
      </c>
      <c r="CJ268" s="9">
        <v>0</v>
      </c>
      <c r="CK268" s="9">
        <v>0</v>
      </c>
      <c r="CL268" s="9">
        <v>0</v>
      </c>
      <c r="CM268" s="9">
        <v>0</v>
      </c>
      <c r="CN268" s="9">
        <v>0</v>
      </c>
      <c r="CO268" s="9">
        <v>0</v>
      </c>
      <c r="CP268" s="9">
        <v>0</v>
      </c>
      <c r="CQ268" s="9">
        <v>0</v>
      </c>
      <c r="CR268" s="9">
        <v>0</v>
      </c>
      <c r="CS268" s="9">
        <v>0</v>
      </c>
      <c r="CT268" s="9">
        <v>0</v>
      </c>
      <c r="CU268" s="9">
        <v>0</v>
      </c>
      <c r="CV268" s="9">
        <v>0</v>
      </c>
      <c r="CW268" s="9">
        <v>0</v>
      </c>
      <c r="CX268" s="9">
        <v>0</v>
      </c>
      <c r="CY268" s="9">
        <v>0</v>
      </c>
      <c r="CZ268" s="9">
        <v>0</v>
      </c>
      <c r="DA268" s="9">
        <v>0</v>
      </c>
      <c r="DB268" s="9">
        <v>0</v>
      </c>
      <c r="DC268" s="9">
        <v>0</v>
      </c>
      <c r="DD268" s="9">
        <v>0</v>
      </c>
      <c r="DE268" s="9">
        <v>0</v>
      </c>
      <c r="DF268" s="9">
        <v>0</v>
      </c>
      <c r="DG268" s="9">
        <v>0</v>
      </c>
      <c r="DH268" s="9">
        <v>0</v>
      </c>
      <c r="DI268" s="9">
        <v>0</v>
      </c>
      <c r="DJ268" s="9">
        <v>0</v>
      </c>
      <c r="DK268" s="9">
        <v>0</v>
      </c>
      <c r="DL268" s="9">
        <v>0</v>
      </c>
      <c r="DM268" s="9">
        <v>0</v>
      </c>
      <c r="DN268" s="9">
        <v>0</v>
      </c>
      <c r="DO268" s="9">
        <v>0</v>
      </c>
      <c r="DP268" s="9">
        <v>0</v>
      </c>
      <c r="DQ268" s="9">
        <v>0</v>
      </c>
      <c r="DR268" s="9">
        <v>0</v>
      </c>
      <c r="DS268" s="9">
        <v>0</v>
      </c>
      <c r="DT268" s="9">
        <v>0</v>
      </c>
      <c r="DU268" s="9">
        <v>0</v>
      </c>
      <c r="DV268" s="9">
        <v>0</v>
      </c>
      <c r="DW268" s="9">
        <v>0</v>
      </c>
      <c r="DX268" s="9">
        <v>0</v>
      </c>
      <c r="DY268" s="9">
        <v>0</v>
      </c>
      <c r="DZ268" s="9">
        <v>0</v>
      </c>
      <c r="EA268" s="9">
        <v>0</v>
      </c>
      <c r="EB268" s="9">
        <v>0</v>
      </c>
      <c r="EC268" s="9">
        <v>0</v>
      </c>
      <c r="ED268" s="9">
        <v>0</v>
      </c>
      <c r="EE268" s="9">
        <v>0</v>
      </c>
      <c r="EF268" s="9">
        <v>0</v>
      </c>
      <c r="EG268" s="9">
        <v>0</v>
      </c>
      <c r="EH268" s="9">
        <v>0</v>
      </c>
      <c r="EI268" s="10">
        <v>0</v>
      </c>
    </row>
    <row r="269" spans="1:139" x14ac:dyDescent="0.35">
      <c r="A269" s="8" t="s">
        <v>413</v>
      </c>
      <c r="B269" s="9" t="s">
        <v>464</v>
      </c>
      <c r="C269" s="9" t="s">
        <v>465</v>
      </c>
      <c r="D269" s="9">
        <f t="shared" si="4"/>
        <v>308</v>
      </c>
      <c r="E269" s="9">
        <v>0</v>
      </c>
      <c r="F269" s="9">
        <v>2</v>
      </c>
      <c r="G269" s="9">
        <v>1</v>
      </c>
      <c r="H269" s="9">
        <v>3</v>
      </c>
      <c r="I269" s="9">
        <v>6</v>
      </c>
      <c r="J269" s="9">
        <v>0</v>
      </c>
      <c r="K269" s="9">
        <v>0</v>
      </c>
      <c r="L269" s="9">
        <v>0</v>
      </c>
      <c r="M269" s="9">
        <v>5</v>
      </c>
      <c r="N269" s="9">
        <v>2</v>
      </c>
      <c r="O269" s="9">
        <v>4</v>
      </c>
      <c r="P269" s="9">
        <v>5</v>
      </c>
      <c r="Q269" s="9">
        <v>9</v>
      </c>
      <c r="R269" s="9">
        <v>2</v>
      </c>
      <c r="S269" s="9">
        <v>2</v>
      </c>
      <c r="T269" s="9">
        <v>4</v>
      </c>
      <c r="U269" s="9">
        <v>2</v>
      </c>
      <c r="V269" s="9">
        <v>2</v>
      </c>
      <c r="W269" s="9">
        <v>4</v>
      </c>
      <c r="X269" s="9">
        <v>3</v>
      </c>
      <c r="Y269" s="9">
        <v>0</v>
      </c>
      <c r="Z269" s="9">
        <v>4</v>
      </c>
      <c r="AA269" s="9">
        <v>7</v>
      </c>
      <c r="AB269" s="9">
        <v>1</v>
      </c>
      <c r="AC269" s="9">
        <v>10</v>
      </c>
      <c r="AD269" s="9">
        <v>2</v>
      </c>
      <c r="AE269" s="9">
        <v>7</v>
      </c>
      <c r="AF269" s="9">
        <v>1</v>
      </c>
      <c r="AG269" s="9">
        <v>7</v>
      </c>
      <c r="AH269" s="9">
        <v>6</v>
      </c>
      <c r="AI269" s="9">
        <v>0</v>
      </c>
      <c r="AJ269" s="9">
        <v>2</v>
      </c>
      <c r="AK269" s="9">
        <v>6</v>
      </c>
      <c r="AL269" s="9">
        <v>12</v>
      </c>
      <c r="AM269" s="9">
        <v>1</v>
      </c>
      <c r="AN269" s="9">
        <v>4</v>
      </c>
      <c r="AO269" s="9">
        <v>5</v>
      </c>
      <c r="AP269" s="9">
        <v>3</v>
      </c>
      <c r="AQ269" s="9">
        <v>1</v>
      </c>
      <c r="AR269" s="9">
        <v>5</v>
      </c>
      <c r="AS269" s="9">
        <v>5</v>
      </c>
      <c r="AT269" s="9">
        <v>7</v>
      </c>
      <c r="AU269" s="9">
        <v>7</v>
      </c>
      <c r="AV269" s="9">
        <v>2</v>
      </c>
      <c r="AW269" s="9">
        <v>3</v>
      </c>
      <c r="AX269" s="9">
        <v>2</v>
      </c>
      <c r="AY269" s="9">
        <v>4</v>
      </c>
      <c r="AZ269" s="9">
        <v>3</v>
      </c>
      <c r="BA269" s="9">
        <v>1</v>
      </c>
      <c r="BB269" s="9">
        <v>4</v>
      </c>
      <c r="BC269" s="9">
        <v>0</v>
      </c>
      <c r="BD269" s="9">
        <v>2</v>
      </c>
      <c r="BE269" s="9">
        <v>3</v>
      </c>
      <c r="BF269" s="9">
        <v>1</v>
      </c>
      <c r="BG269" s="9">
        <v>6</v>
      </c>
      <c r="BH269" s="9">
        <v>4</v>
      </c>
      <c r="BI269" s="9">
        <v>2</v>
      </c>
      <c r="BJ269" s="9">
        <v>3</v>
      </c>
      <c r="BK269" s="9">
        <v>2</v>
      </c>
      <c r="BL269" s="9">
        <v>5</v>
      </c>
      <c r="BM269" s="9">
        <v>7</v>
      </c>
      <c r="BN269" s="9">
        <v>2</v>
      </c>
      <c r="BO269" s="9">
        <v>2</v>
      </c>
      <c r="BP269" s="9">
        <v>3</v>
      </c>
      <c r="BQ269" s="9">
        <v>3</v>
      </c>
      <c r="BR269" s="9">
        <v>2</v>
      </c>
      <c r="BS269" s="9">
        <v>0</v>
      </c>
      <c r="BT269" s="9">
        <v>4</v>
      </c>
      <c r="BU269" s="9">
        <v>1</v>
      </c>
      <c r="BV269" s="9">
        <v>3</v>
      </c>
      <c r="BW269" s="9">
        <v>5</v>
      </c>
      <c r="BX269" s="9">
        <v>1</v>
      </c>
      <c r="BY269" s="9">
        <v>1</v>
      </c>
      <c r="BZ269" s="9">
        <v>2</v>
      </c>
      <c r="CA269" s="9">
        <v>1</v>
      </c>
      <c r="CB269" s="9">
        <v>1</v>
      </c>
      <c r="CC269" s="9">
        <v>3</v>
      </c>
      <c r="CD269" s="9">
        <v>3</v>
      </c>
      <c r="CE269" s="9">
        <v>0</v>
      </c>
      <c r="CF269" s="9">
        <v>2</v>
      </c>
      <c r="CG269" s="9">
        <v>2</v>
      </c>
      <c r="CH269" s="9">
        <v>2</v>
      </c>
      <c r="CI269" s="9">
        <v>1</v>
      </c>
      <c r="CJ269" s="9">
        <v>0</v>
      </c>
      <c r="CK269" s="9">
        <v>0</v>
      </c>
      <c r="CL269" s="9">
        <v>2</v>
      </c>
      <c r="CM269" s="9">
        <v>1</v>
      </c>
      <c r="CN269" s="9">
        <v>1</v>
      </c>
      <c r="CO269" s="9">
        <v>6</v>
      </c>
      <c r="CP269" s="9">
        <v>1</v>
      </c>
      <c r="CQ269" s="9">
        <v>2</v>
      </c>
      <c r="CR269" s="9">
        <v>0</v>
      </c>
      <c r="CS269" s="9">
        <v>3</v>
      </c>
      <c r="CT269" s="9">
        <v>1</v>
      </c>
      <c r="CU269" s="9">
        <v>0</v>
      </c>
      <c r="CV269" s="9">
        <v>3</v>
      </c>
      <c r="CW269" s="9">
        <v>2</v>
      </c>
      <c r="CX269" s="9">
        <v>0</v>
      </c>
      <c r="CY269" s="9">
        <v>4</v>
      </c>
      <c r="CZ269" s="9">
        <v>1</v>
      </c>
      <c r="DA269" s="9">
        <v>1</v>
      </c>
      <c r="DB269" s="9">
        <v>2</v>
      </c>
      <c r="DC269" s="9">
        <v>2</v>
      </c>
      <c r="DD269" s="9">
        <v>0</v>
      </c>
      <c r="DE269" s="9">
        <v>1</v>
      </c>
      <c r="DF269" s="9">
        <v>0</v>
      </c>
      <c r="DG269" s="9">
        <v>2</v>
      </c>
      <c r="DH269" s="9">
        <v>2</v>
      </c>
      <c r="DI269" s="9">
        <v>1</v>
      </c>
      <c r="DJ269" s="9">
        <v>0</v>
      </c>
      <c r="DK269" s="9">
        <v>0</v>
      </c>
      <c r="DL269" s="9">
        <v>0</v>
      </c>
      <c r="DM269" s="9">
        <v>0</v>
      </c>
      <c r="DN269" s="9">
        <v>0</v>
      </c>
      <c r="DO269" s="9">
        <v>0</v>
      </c>
      <c r="DP269" s="9">
        <v>0</v>
      </c>
      <c r="DQ269" s="9">
        <v>1</v>
      </c>
      <c r="DR269" s="9">
        <v>1</v>
      </c>
      <c r="DS269" s="9">
        <v>0</v>
      </c>
      <c r="DT269" s="9">
        <v>1</v>
      </c>
      <c r="DU269" s="9">
        <v>0</v>
      </c>
      <c r="DV269" s="9">
        <v>0</v>
      </c>
      <c r="DW269" s="9">
        <v>2</v>
      </c>
      <c r="DX269" s="9">
        <v>2</v>
      </c>
      <c r="DY269" s="9">
        <v>0</v>
      </c>
      <c r="DZ269" s="9">
        <v>0</v>
      </c>
      <c r="EA269" s="9">
        <v>0</v>
      </c>
      <c r="EB269" s="9">
        <v>0</v>
      </c>
      <c r="EC269" s="9">
        <v>1</v>
      </c>
      <c r="ED269" s="9">
        <v>0</v>
      </c>
      <c r="EE269" s="9">
        <v>1</v>
      </c>
      <c r="EF269" s="9">
        <v>0</v>
      </c>
      <c r="EG269" s="9">
        <v>2</v>
      </c>
      <c r="EH269" s="9">
        <v>2</v>
      </c>
      <c r="EI269" s="10">
        <v>0</v>
      </c>
    </row>
    <row r="270" spans="1:139" x14ac:dyDescent="0.35">
      <c r="A270" s="8" t="s">
        <v>413</v>
      </c>
      <c r="B270" s="9" t="s">
        <v>466</v>
      </c>
      <c r="C270" s="9" t="s">
        <v>467</v>
      </c>
      <c r="D270" s="9">
        <f t="shared" si="4"/>
        <v>90</v>
      </c>
      <c r="E270" s="9">
        <v>0</v>
      </c>
      <c r="F270" s="9">
        <v>1</v>
      </c>
      <c r="G270" s="9">
        <v>0</v>
      </c>
      <c r="H270" s="9">
        <v>2</v>
      </c>
      <c r="I270" s="9">
        <v>3</v>
      </c>
      <c r="J270" s="9">
        <v>0</v>
      </c>
      <c r="K270" s="9">
        <v>0</v>
      </c>
      <c r="L270" s="9">
        <v>0</v>
      </c>
      <c r="M270" s="9">
        <v>2</v>
      </c>
      <c r="N270" s="9">
        <v>2</v>
      </c>
      <c r="O270" s="9">
        <v>0</v>
      </c>
      <c r="P270" s="9">
        <v>2</v>
      </c>
      <c r="Q270" s="9">
        <v>0</v>
      </c>
      <c r="R270" s="9">
        <v>0</v>
      </c>
      <c r="S270" s="9">
        <v>0</v>
      </c>
      <c r="T270" s="9">
        <v>15</v>
      </c>
      <c r="U270" s="9">
        <v>15</v>
      </c>
      <c r="V270" s="9">
        <v>0</v>
      </c>
      <c r="W270" s="9">
        <v>0</v>
      </c>
      <c r="X270" s="9">
        <v>0</v>
      </c>
      <c r="Y270" s="9">
        <v>0</v>
      </c>
      <c r="Z270" s="9">
        <v>0</v>
      </c>
      <c r="AA270" s="9">
        <v>0</v>
      </c>
      <c r="AB270" s="9">
        <v>9</v>
      </c>
      <c r="AC270" s="9">
        <v>0</v>
      </c>
      <c r="AD270" s="9">
        <v>1</v>
      </c>
      <c r="AE270" s="9">
        <v>0</v>
      </c>
      <c r="AF270" s="9">
        <v>0</v>
      </c>
      <c r="AG270" s="9">
        <v>0</v>
      </c>
      <c r="AH270" s="9">
        <v>3</v>
      </c>
      <c r="AI270" s="9">
        <v>1</v>
      </c>
      <c r="AJ270" s="9">
        <v>0</v>
      </c>
      <c r="AK270" s="9">
        <v>0</v>
      </c>
      <c r="AL270" s="9">
        <v>0</v>
      </c>
      <c r="AM270" s="9">
        <v>0</v>
      </c>
      <c r="AN270" s="9">
        <v>0</v>
      </c>
      <c r="AO270" s="9">
        <v>0</v>
      </c>
      <c r="AP270" s="9">
        <v>0</v>
      </c>
      <c r="AQ270" s="9">
        <v>0</v>
      </c>
      <c r="AR270" s="9">
        <v>0</v>
      </c>
      <c r="AS270" s="9">
        <v>0</v>
      </c>
      <c r="AT270" s="9">
        <v>0</v>
      </c>
      <c r="AU270" s="9">
        <v>0</v>
      </c>
      <c r="AV270" s="9">
        <v>0</v>
      </c>
      <c r="AW270" s="9">
        <v>0</v>
      </c>
      <c r="AX270" s="9">
        <v>0</v>
      </c>
      <c r="AY270" s="9">
        <v>1</v>
      </c>
      <c r="AZ270" s="9">
        <v>0</v>
      </c>
      <c r="BA270" s="9">
        <v>0</v>
      </c>
      <c r="BB270" s="9">
        <v>0</v>
      </c>
      <c r="BC270" s="9">
        <v>0</v>
      </c>
      <c r="BD270" s="9">
        <v>0</v>
      </c>
      <c r="BE270" s="9">
        <v>0</v>
      </c>
      <c r="BF270" s="9">
        <v>0</v>
      </c>
      <c r="BG270" s="9">
        <v>1</v>
      </c>
      <c r="BH270" s="9">
        <v>0</v>
      </c>
      <c r="BI270" s="9">
        <v>0</v>
      </c>
      <c r="BJ270" s="9">
        <v>4</v>
      </c>
      <c r="BK270" s="9">
        <v>0</v>
      </c>
      <c r="BL270" s="9">
        <v>0</v>
      </c>
      <c r="BM270" s="9">
        <v>0</v>
      </c>
      <c r="BN270" s="9">
        <v>0</v>
      </c>
      <c r="BO270" s="9">
        <v>0</v>
      </c>
      <c r="BP270" s="9">
        <v>0</v>
      </c>
      <c r="BQ270" s="9">
        <v>0</v>
      </c>
      <c r="BR270" s="9">
        <v>0</v>
      </c>
      <c r="BS270" s="9">
        <v>0</v>
      </c>
      <c r="BT270" s="9">
        <v>0</v>
      </c>
      <c r="BU270" s="9">
        <v>0</v>
      </c>
      <c r="BV270" s="9">
        <v>0</v>
      </c>
      <c r="BW270" s="9">
        <v>0</v>
      </c>
      <c r="BX270" s="9">
        <v>0</v>
      </c>
      <c r="BY270" s="9">
        <v>0</v>
      </c>
      <c r="BZ270" s="9">
        <v>0</v>
      </c>
      <c r="CA270" s="9">
        <v>0</v>
      </c>
      <c r="CB270" s="9">
        <v>0</v>
      </c>
      <c r="CC270" s="9">
        <v>0</v>
      </c>
      <c r="CD270" s="9">
        <v>0</v>
      </c>
      <c r="CE270" s="9">
        <v>0</v>
      </c>
      <c r="CF270" s="9">
        <v>0</v>
      </c>
      <c r="CG270" s="9">
        <v>0</v>
      </c>
      <c r="CH270" s="9">
        <v>0</v>
      </c>
      <c r="CI270" s="9">
        <v>0</v>
      </c>
      <c r="CJ270" s="9">
        <v>1</v>
      </c>
      <c r="CK270" s="9">
        <v>0</v>
      </c>
      <c r="CL270" s="9">
        <v>0</v>
      </c>
      <c r="CM270" s="9">
        <v>1</v>
      </c>
      <c r="CN270" s="9">
        <v>0</v>
      </c>
      <c r="CO270" s="9">
        <v>0</v>
      </c>
      <c r="CP270" s="9">
        <v>0</v>
      </c>
      <c r="CQ270" s="9">
        <v>0</v>
      </c>
      <c r="CR270" s="9">
        <v>0</v>
      </c>
      <c r="CS270" s="9">
        <v>0</v>
      </c>
      <c r="CT270" s="9">
        <v>0</v>
      </c>
      <c r="CU270" s="9">
        <v>2</v>
      </c>
      <c r="CV270" s="9">
        <v>0</v>
      </c>
      <c r="CW270" s="9">
        <v>0</v>
      </c>
      <c r="CX270" s="9">
        <v>1</v>
      </c>
      <c r="CY270" s="9">
        <v>0</v>
      </c>
      <c r="CZ270" s="9">
        <v>2</v>
      </c>
      <c r="DA270" s="9">
        <v>0</v>
      </c>
      <c r="DB270" s="9">
        <v>0</v>
      </c>
      <c r="DC270" s="9">
        <v>0</v>
      </c>
      <c r="DD270" s="9">
        <v>1</v>
      </c>
      <c r="DE270" s="9">
        <v>0</v>
      </c>
      <c r="DF270" s="9">
        <v>1</v>
      </c>
      <c r="DG270" s="9">
        <v>0</v>
      </c>
      <c r="DH270" s="9">
        <v>0</v>
      </c>
      <c r="DI270" s="9">
        <v>0</v>
      </c>
      <c r="DJ270" s="9">
        <v>1</v>
      </c>
      <c r="DK270" s="9">
        <v>0</v>
      </c>
      <c r="DL270" s="9">
        <v>0</v>
      </c>
      <c r="DM270" s="9">
        <v>2</v>
      </c>
      <c r="DN270" s="9">
        <v>0</v>
      </c>
      <c r="DO270" s="9">
        <v>3</v>
      </c>
      <c r="DP270" s="9">
        <v>0</v>
      </c>
      <c r="DQ270" s="9">
        <v>1</v>
      </c>
      <c r="DR270" s="9">
        <v>0</v>
      </c>
      <c r="DS270" s="9">
        <v>1</v>
      </c>
      <c r="DT270" s="9">
        <v>1</v>
      </c>
      <c r="DU270" s="9">
        <v>2</v>
      </c>
      <c r="DV270" s="9">
        <v>0</v>
      </c>
      <c r="DW270" s="9">
        <v>1</v>
      </c>
      <c r="DX270" s="9">
        <v>0</v>
      </c>
      <c r="DY270" s="9">
        <v>0</v>
      </c>
      <c r="DZ270" s="9">
        <v>1</v>
      </c>
      <c r="EA270" s="9">
        <v>0</v>
      </c>
      <c r="EB270" s="9">
        <v>1</v>
      </c>
      <c r="EC270" s="9">
        <v>0</v>
      </c>
      <c r="ED270" s="9">
        <v>0</v>
      </c>
      <c r="EE270" s="9">
        <v>0</v>
      </c>
      <c r="EF270" s="9">
        <v>1</v>
      </c>
      <c r="EG270" s="9">
        <v>1</v>
      </c>
      <c r="EH270" s="9">
        <v>1</v>
      </c>
      <c r="EI270" s="10">
        <v>2</v>
      </c>
    </row>
    <row r="271" spans="1:139" x14ac:dyDescent="0.35">
      <c r="A271" s="8" t="s">
        <v>413</v>
      </c>
      <c r="B271" s="9" t="s">
        <v>468</v>
      </c>
      <c r="C271" s="9" t="s">
        <v>469</v>
      </c>
      <c r="D271" s="9">
        <f t="shared" si="4"/>
        <v>13</v>
      </c>
      <c r="E271" s="9">
        <v>0</v>
      </c>
      <c r="F271" s="9">
        <v>0</v>
      </c>
      <c r="G271" s="9">
        <v>0</v>
      </c>
      <c r="H271" s="9">
        <v>0</v>
      </c>
      <c r="I271" s="9">
        <v>0</v>
      </c>
      <c r="J271" s="9">
        <v>0</v>
      </c>
      <c r="K271" s="9">
        <v>0</v>
      </c>
      <c r="L271" s="9">
        <v>0</v>
      </c>
      <c r="M271" s="9">
        <v>0</v>
      </c>
      <c r="N271" s="9">
        <v>0</v>
      </c>
      <c r="O271" s="9">
        <v>0</v>
      </c>
      <c r="P271" s="9">
        <v>0</v>
      </c>
      <c r="Q271" s="9">
        <v>1</v>
      </c>
      <c r="R271" s="9">
        <v>0</v>
      </c>
      <c r="S271" s="9">
        <v>0</v>
      </c>
      <c r="T271" s="9">
        <v>0</v>
      </c>
      <c r="U271" s="9">
        <v>0</v>
      </c>
      <c r="V271" s="9">
        <v>0</v>
      </c>
      <c r="W271" s="9">
        <v>0</v>
      </c>
      <c r="X271" s="9">
        <v>0</v>
      </c>
      <c r="Y271" s="9">
        <v>0</v>
      </c>
      <c r="Z271" s="9">
        <v>0</v>
      </c>
      <c r="AA271" s="9">
        <v>0</v>
      </c>
      <c r="AB271" s="9">
        <v>0</v>
      </c>
      <c r="AC271" s="9">
        <v>0</v>
      </c>
      <c r="AD271" s="9">
        <v>0</v>
      </c>
      <c r="AE271" s="9">
        <v>0</v>
      </c>
      <c r="AF271" s="9">
        <v>0</v>
      </c>
      <c r="AG271" s="9">
        <v>0</v>
      </c>
      <c r="AH271" s="9">
        <v>0</v>
      </c>
      <c r="AI271" s="9">
        <v>0</v>
      </c>
      <c r="AJ271" s="9">
        <v>0</v>
      </c>
      <c r="AK271" s="9">
        <v>0</v>
      </c>
      <c r="AL271" s="9">
        <v>0</v>
      </c>
      <c r="AM271" s="9">
        <v>0</v>
      </c>
      <c r="AN271" s="9">
        <v>0</v>
      </c>
      <c r="AO271" s="9">
        <v>0</v>
      </c>
      <c r="AP271" s="9">
        <v>0</v>
      </c>
      <c r="AQ271" s="9">
        <v>0</v>
      </c>
      <c r="AR271" s="9">
        <v>0</v>
      </c>
      <c r="AS271" s="9">
        <v>0</v>
      </c>
      <c r="AT271" s="9">
        <v>0</v>
      </c>
      <c r="AU271" s="9">
        <v>0</v>
      </c>
      <c r="AV271" s="9">
        <v>0</v>
      </c>
      <c r="AW271" s="9">
        <v>0</v>
      </c>
      <c r="AX271" s="9">
        <v>0</v>
      </c>
      <c r="AY271" s="9">
        <v>0</v>
      </c>
      <c r="AZ271" s="9">
        <v>0</v>
      </c>
      <c r="BA271" s="9">
        <v>0</v>
      </c>
      <c r="BB271" s="9">
        <v>0</v>
      </c>
      <c r="BC271" s="9">
        <v>0</v>
      </c>
      <c r="BD271" s="9">
        <v>0</v>
      </c>
      <c r="BE271" s="9">
        <v>0</v>
      </c>
      <c r="BF271" s="9">
        <v>0</v>
      </c>
      <c r="BG271" s="9">
        <v>0</v>
      </c>
      <c r="BH271" s="9">
        <v>0</v>
      </c>
      <c r="BI271" s="9">
        <v>0</v>
      </c>
      <c r="BJ271" s="9">
        <v>0</v>
      </c>
      <c r="BK271" s="9">
        <v>0</v>
      </c>
      <c r="BL271" s="9">
        <v>0</v>
      </c>
      <c r="BM271" s="9">
        <v>0</v>
      </c>
      <c r="BN271" s="9">
        <v>0</v>
      </c>
      <c r="BO271" s="9">
        <v>0</v>
      </c>
      <c r="BP271" s="9">
        <v>0</v>
      </c>
      <c r="BQ271" s="9">
        <v>0</v>
      </c>
      <c r="BR271" s="9">
        <v>0</v>
      </c>
      <c r="BS271" s="9">
        <v>0</v>
      </c>
      <c r="BT271" s="9">
        <v>0</v>
      </c>
      <c r="BU271" s="9">
        <v>0</v>
      </c>
      <c r="BV271" s="9">
        <v>0</v>
      </c>
      <c r="BW271" s="9">
        <v>0</v>
      </c>
      <c r="BX271" s="9">
        <v>0</v>
      </c>
      <c r="BY271" s="9">
        <v>0</v>
      </c>
      <c r="BZ271" s="9">
        <v>0</v>
      </c>
      <c r="CA271" s="9">
        <v>0</v>
      </c>
      <c r="CB271" s="9">
        <v>0</v>
      </c>
      <c r="CC271" s="9">
        <v>0</v>
      </c>
      <c r="CD271" s="9">
        <v>0</v>
      </c>
      <c r="CE271" s="9">
        <v>0</v>
      </c>
      <c r="CF271" s="9">
        <v>0</v>
      </c>
      <c r="CG271" s="9">
        <v>0</v>
      </c>
      <c r="CH271" s="9">
        <v>0</v>
      </c>
      <c r="CI271" s="9">
        <v>0</v>
      </c>
      <c r="CJ271" s="9">
        <v>0</v>
      </c>
      <c r="CK271" s="9">
        <v>0</v>
      </c>
      <c r="CL271" s="9">
        <v>0</v>
      </c>
      <c r="CM271" s="9">
        <v>0</v>
      </c>
      <c r="CN271" s="9">
        <v>0</v>
      </c>
      <c r="CO271" s="9">
        <v>0</v>
      </c>
      <c r="CP271" s="9">
        <v>0</v>
      </c>
      <c r="CQ271" s="9">
        <v>0</v>
      </c>
      <c r="CR271" s="9">
        <v>0</v>
      </c>
      <c r="CS271" s="9">
        <v>0</v>
      </c>
      <c r="CT271" s="9">
        <v>0</v>
      </c>
      <c r="CU271" s="9">
        <v>0</v>
      </c>
      <c r="CV271" s="9">
        <v>0</v>
      </c>
      <c r="CW271" s="9">
        <v>0</v>
      </c>
      <c r="CX271" s="9">
        <v>0</v>
      </c>
      <c r="CY271" s="9">
        <v>0</v>
      </c>
      <c r="CZ271" s="9">
        <v>0</v>
      </c>
      <c r="DA271" s="9">
        <v>0</v>
      </c>
      <c r="DB271" s="9">
        <v>0</v>
      </c>
      <c r="DC271" s="9">
        <v>0</v>
      </c>
      <c r="DD271" s="9">
        <v>3</v>
      </c>
      <c r="DE271" s="9">
        <v>3</v>
      </c>
      <c r="DF271" s="9">
        <v>3</v>
      </c>
      <c r="DG271" s="9">
        <v>0</v>
      </c>
      <c r="DH271" s="9">
        <v>0</v>
      </c>
      <c r="DI271" s="9">
        <v>3</v>
      </c>
      <c r="DJ271" s="9">
        <v>0</v>
      </c>
      <c r="DK271" s="9">
        <v>0</v>
      </c>
      <c r="DL271" s="9">
        <v>0</v>
      </c>
      <c r="DM271" s="9">
        <v>0</v>
      </c>
      <c r="DN271" s="9">
        <v>0</v>
      </c>
      <c r="DO271" s="9">
        <v>0</v>
      </c>
      <c r="DP271" s="9">
        <v>0</v>
      </c>
      <c r="DQ271" s="9">
        <v>0</v>
      </c>
      <c r="DR271" s="9">
        <v>0</v>
      </c>
      <c r="DS271" s="9">
        <v>0</v>
      </c>
      <c r="DT271" s="9">
        <v>0</v>
      </c>
      <c r="DU271" s="9">
        <v>0</v>
      </c>
      <c r="DV271" s="9">
        <v>0</v>
      </c>
      <c r="DW271" s="9">
        <v>0</v>
      </c>
      <c r="DX271" s="9">
        <v>0</v>
      </c>
      <c r="DY271" s="9">
        <v>0</v>
      </c>
      <c r="DZ271" s="9">
        <v>0</v>
      </c>
      <c r="EA271" s="9">
        <v>0</v>
      </c>
      <c r="EB271" s="9">
        <v>0</v>
      </c>
      <c r="EC271" s="9">
        <v>0</v>
      </c>
      <c r="ED271" s="9">
        <v>0</v>
      </c>
      <c r="EE271" s="9">
        <v>0</v>
      </c>
      <c r="EF271" s="9">
        <v>0</v>
      </c>
      <c r="EG271" s="9">
        <v>0</v>
      </c>
      <c r="EH271" s="9">
        <v>0</v>
      </c>
      <c r="EI271" s="10">
        <v>0</v>
      </c>
    </row>
    <row r="272" spans="1:139" x14ac:dyDescent="0.35">
      <c r="A272" s="8" t="s">
        <v>413</v>
      </c>
      <c r="B272" s="9" t="s">
        <v>470</v>
      </c>
      <c r="C272" s="9" t="s">
        <v>471</v>
      </c>
      <c r="D272" s="9">
        <f t="shared" si="4"/>
        <v>128</v>
      </c>
      <c r="E272" s="9">
        <v>0</v>
      </c>
      <c r="F272" s="9">
        <v>0</v>
      </c>
      <c r="G272" s="9">
        <v>2</v>
      </c>
      <c r="H272" s="9">
        <v>0</v>
      </c>
      <c r="I272" s="9">
        <v>2</v>
      </c>
      <c r="J272" s="9">
        <v>5</v>
      </c>
      <c r="K272" s="9">
        <v>0</v>
      </c>
      <c r="L272" s="9">
        <v>0</v>
      </c>
      <c r="M272" s="9">
        <v>0</v>
      </c>
      <c r="N272" s="9">
        <v>0</v>
      </c>
      <c r="O272" s="9">
        <v>0</v>
      </c>
      <c r="P272" s="9">
        <v>0</v>
      </c>
      <c r="Q272" s="9">
        <v>1</v>
      </c>
      <c r="R272" s="9">
        <v>1</v>
      </c>
      <c r="S272" s="9">
        <v>2</v>
      </c>
      <c r="T272" s="9">
        <v>2</v>
      </c>
      <c r="U272" s="9">
        <v>0</v>
      </c>
      <c r="V272" s="9">
        <v>2</v>
      </c>
      <c r="W272" s="9">
        <v>1</v>
      </c>
      <c r="X272" s="9">
        <v>5</v>
      </c>
      <c r="Y272" s="9">
        <v>1</v>
      </c>
      <c r="Z272" s="9">
        <v>1</v>
      </c>
      <c r="AA272" s="9">
        <v>0</v>
      </c>
      <c r="AB272" s="9">
        <v>0</v>
      </c>
      <c r="AC272" s="9">
        <v>1</v>
      </c>
      <c r="AD272" s="9">
        <v>3</v>
      </c>
      <c r="AE272" s="9">
        <v>1</v>
      </c>
      <c r="AF272" s="9">
        <v>1</v>
      </c>
      <c r="AG272" s="9">
        <v>0</v>
      </c>
      <c r="AH272" s="9">
        <v>1</v>
      </c>
      <c r="AI272" s="9">
        <v>0</v>
      </c>
      <c r="AJ272" s="9">
        <v>1</v>
      </c>
      <c r="AK272" s="9">
        <v>4</v>
      </c>
      <c r="AL272" s="9">
        <v>1</v>
      </c>
      <c r="AM272" s="9">
        <v>3</v>
      </c>
      <c r="AN272" s="9">
        <v>0</v>
      </c>
      <c r="AO272" s="9">
        <v>0</v>
      </c>
      <c r="AP272" s="9">
        <v>1</v>
      </c>
      <c r="AQ272" s="9">
        <v>3</v>
      </c>
      <c r="AR272" s="9">
        <v>2</v>
      </c>
      <c r="AS272" s="9">
        <v>0</v>
      </c>
      <c r="AT272" s="9">
        <v>0</v>
      </c>
      <c r="AU272" s="9">
        <v>2</v>
      </c>
      <c r="AV272" s="9">
        <v>0</v>
      </c>
      <c r="AW272" s="9">
        <v>0</v>
      </c>
      <c r="AX272" s="9">
        <v>2</v>
      </c>
      <c r="AY272" s="9">
        <v>2</v>
      </c>
      <c r="AZ272" s="9">
        <v>3</v>
      </c>
      <c r="BA272" s="9">
        <v>2</v>
      </c>
      <c r="BB272" s="9">
        <v>4</v>
      </c>
      <c r="BC272" s="9">
        <v>0</v>
      </c>
      <c r="BD272" s="9">
        <v>0</v>
      </c>
      <c r="BE272" s="9">
        <v>0</v>
      </c>
      <c r="BF272" s="9">
        <v>0</v>
      </c>
      <c r="BG272" s="9">
        <v>2</v>
      </c>
      <c r="BH272" s="9">
        <v>1</v>
      </c>
      <c r="BI272" s="9">
        <v>3</v>
      </c>
      <c r="BJ272" s="9">
        <v>0</v>
      </c>
      <c r="BK272" s="9">
        <v>2</v>
      </c>
      <c r="BL272" s="9">
        <v>0</v>
      </c>
      <c r="BM272" s="9">
        <v>2</v>
      </c>
      <c r="BN272" s="9">
        <v>3</v>
      </c>
      <c r="BO272" s="9">
        <v>0</v>
      </c>
      <c r="BP272" s="9">
        <v>1</v>
      </c>
      <c r="BQ272" s="9">
        <v>1</v>
      </c>
      <c r="BR272" s="9">
        <v>1</v>
      </c>
      <c r="BS272" s="9">
        <v>0</v>
      </c>
      <c r="BT272" s="9">
        <v>1</v>
      </c>
      <c r="BU272" s="9">
        <v>2</v>
      </c>
      <c r="BV272" s="9">
        <v>0</v>
      </c>
      <c r="BW272" s="9">
        <v>2</v>
      </c>
      <c r="BX272" s="9">
        <v>1</v>
      </c>
      <c r="BY272" s="9">
        <v>0</v>
      </c>
      <c r="BZ272" s="9">
        <v>1</v>
      </c>
      <c r="CA272" s="9">
        <v>0</v>
      </c>
      <c r="CB272" s="9">
        <v>0</v>
      </c>
      <c r="CC272" s="9">
        <v>2</v>
      </c>
      <c r="CD272" s="9">
        <v>2</v>
      </c>
      <c r="CE272" s="9">
        <v>0</v>
      </c>
      <c r="CF272" s="9">
        <v>2</v>
      </c>
      <c r="CG272" s="9">
        <v>2</v>
      </c>
      <c r="CH272" s="9">
        <v>0</v>
      </c>
      <c r="CI272" s="9">
        <v>2</v>
      </c>
      <c r="CJ272" s="9">
        <v>1</v>
      </c>
      <c r="CK272" s="9">
        <v>0</v>
      </c>
      <c r="CL272" s="9">
        <v>0</v>
      </c>
      <c r="CM272" s="9">
        <v>0</v>
      </c>
      <c r="CN272" s="9">
        <v>0</v>
      </c>
      <c r="CO272" s="9">
        <v>2</v>
      </c>
      <c r="CP272" s="9">
        <v>2</v>
      </c>
      <c r="CQ272" s="9">
        <v>0</v>
      </c>
      <c r="CR272" s="9">
        <v>0</v>
      </c>
      <c r="CS272" s="9">
        <v>1</v>
      </c>
      <c r="CT272" s="9">
        <v>0</v>
      </c>
      <c r="CU272" s="9">
        <v>0</v>
      </c>
      <c r="CV272" s="9">
        <v>1</v>
      </c>
      <c r="CW272" s="9">
        <v>0</v>
      </c>
      <c r="CX272" s="9">
        <v>1</v>
      </c>
      <c r="CY272" s="9">
        <v>0</v>
      </c>
      <c r="CZ272" s="9">
        <v>2</v>
      </c>
      <c r="DA272" s="9">
        <v>1</v>
      </c>
      <c r="DB272" s="9">
        <v>1</v>
      </c>
      <c r="DC272" s="9">
        <v>0</v>
      </c>
      <c r="DD272" s="9">
        <v>3</v>
      </c>
      <c r="DE272" s="9">
        <v>1</v>
      </c>
      <c r="DF272" s="9">
        <v>0</v>
      </c>
      <c r="DG272" s="9">
        <v>0</v>
      </c>
      <c r="DH272" s="9">
        <v>0</v>
      </c>
      <c r="DI272" s="9">
        <v>0</v>
      </c>
      <c r="DJ272" s="9">
        <v>0</v>
      </c>
      <c r="DK272" s="9">
        <v>0</v>
      </c>
      <c r="DL272" s="9">
        <v>3</v>
      </c>
      <c r="DM272" s="9">
        <v>1</v>
      </c>
      <c r="DN272" s="9">
        <v>4</v>
      </c>
      <c r="DO272" s="9">
        <v>0</v>
      </c>
      <c r="DP272" s="9">
        <v>0</v>
      </c>
      <c r="DQ272" s="9">
        <v>0</v>
      </c>
      <c r="DR272" s="9">
        <v>0</v>
      </c>
      <c r="DS272" s="9">
        <v>0</v>
      </c>
      <c r="DT272" s="9">
        <v>0</v>
      </c>
      <c r="DU272" s="9">
        <v>0</v>
      </c>
      <c r="DV272" s="9">
        <v>1</v>
      </c>
      <c r="DW272" s="9">
        <v>0</v>
      </c>
      <c r="DX272" s="9">
        <v>1</v>
      </c>
      <c r="DY272" s="9">
        <v>0</v>
      </c>
      <c r="DZ272" s="9">
        <v>0</v>
      </c>
      <c r="EA272" s="9">
        <v>0</v>
      </c>
      <c r="EB272" s="9">
        <v>0</v>
      </c>
      <c r="EC272" s="9">
        <v>0</v>
      </c>
      <c r="ED272" s="9">
        <v>0</v>
      </c>
      <c r="EE272" s="9">
        <v>1</v>
      </c>
      <c r="EF272" s="9">
        <v>4</v>
      </c>
      <c r="EG272" s="9">
        <v>0</v>
      </c>
      <c r="EH272" s="9">
        <v>1</v>
      </c>
      <c r="EI272" s="10">
        <v>1</v>
      </c>
    </row>
    <row r="273" spans="1:139" x14ac:dyDescent="0.35">
      <c r="A273" s="8" t="s">
        <v>413</v>
      </c>
      <c r="B273" s="9" t="s">
        <v>472</v>
      </c>
      <c r="C273" s="9" t="s">
        <v>473</v>
      </c>
      <c r="D273" s="9">
        <f t="shared" si="4"/>
        <v>64</v>
      </c>
      <c r="E273" s="9">
        <v>0</v>
      </c>
      <c r="F273" s="9">
        <v>0</v>
      </c>
      <c r="G273" s="9">
        <v>0</v>
      </c>
      <c r="H273" s="9">
        <v>0</v>
      </c>
      <c r="I273" s="9">
        <v>0</v>
      </c>
      <c r="J273" s="9">
        <v>0</v>
      </c>
      <c r="K273" s="9">
        <v>0</v>
      </c>
      <c r="L273" s="9">
        <v>0</v>
      </c>
      <c r="M273" s="9">
        <v>0</v>
      </c>
      <c r="N273" s="9">
        <v>0</v>
      </c>
      <c r="O273" s="9">
        <v>0</v>
      </c>
      <c r="P273" s="9">
        <v>0</v>
      </c>
      <c r="Q273" s="9">
        <v>1</v>
      </c>
      <c r="R273" s="9">
        <v>3</v>
      </c>
      <c r="S273" s="9">
        <v>2</v>
      </c>
      <c r="T273" s="9">
        <v>0</v>
      </c>
      <c r="U273" s="9">
        <v>1</v>
      </c>
      <c r="V273" s="9">
        <v>4</v>
      </c>
      <c r="W273" s="9">
        <v>0</v>
      </c>
      <c r="X273" s="9">
        <v>0</v>
      </c>
      <c r="Y273" s="9">
        <v>1</v>
      </c>
      <c r="Z273" s="9">
        <v>5</v>
      </c>
      <c r="AA273" s="9">
        <v>7</v>
      </c>
      <c r="AB273" s="9">
        <v>0</v>
      </c>
      <c r="AC273" s="9">
        <v>0</v>
      </c>
      <c r="AD273" s="9">
        <v>2</v>
      </c>
      <c r="AE273" s="9">
        <v>5</v>
      </c>
      <c r="AF273" s="9">
        <v>2</v>
      </c>
      <c r="AG273" s="9">
        <v>6</v>
      </c>
      <c r="AH273" s="9">
        <v>4</v>
      </c>
      <c r="AI273" s="9">
        <v>4</v>
      </c>
      <c r="AJ273" s="9">
        <v>1</v>
      </c>
      <c r="AK273" s="9">
        <v>1</v>
      </c>
      <c r="AL273" s="9">
        <v>1</v>
      </c>
      <c r="AM273" s="9">
        <v>2</v>
      </c>
      <c r="AN273" s="9">
        <v>0</v>
      </c>
      <c r="AO273" s="9">
        <v>0</v>
      </c>
      <c r="AP273" s="9">
        <v>0</v>
      </c>
      <c r="AQ273" s="9">
        <v>0</v>
      </c>
      <c r="AR273" s="9">
        <v>0</v>
      </c>
      <c r="AS273" s="9">
        <v>0</v>
      </c>
      <c r="AT273" s="9">
        <v>2</v>
      </c>
      <c r="AU273" s="9">
        <v>0</v>
      </c>
      <c r="AV273" s="9">
        <v>1</v>
      </c>
      <c r="AW273" s="9">
        <v>0</v>
      </c>
      <c r="AX273" s="9">
        <v>0</v>
      </c>
      <c r="AY273" s="9">
        <v>0</v>
      </c>
      <c r="AZ273" s="9">
        <v>1</v>
      </c>
      <c r="BA273" s="9">
        <v>1</v>
      </c>
      <c r="BB273" s="9">
        <v>0</v>
      </c>
      <c r="BC273" s="9">
        <v>0</v>
      </c>
      <c r="BD273" s="9">
        <v>0</v>
      </c>
      <c r="BE273" s="9">
        <v>0</v>
      </c>
      <c r="BF273" s="9">
        <v>0</v>
      </c>
      <c r="BG273" s="9">
        <v>1</v>
      </c>
      <c r="BH273" s="9">
        <v>1</v>
      </c>
      <c r="BI273" s="9">
        <v>0</v>
      </c>
      <c r="BJ273" s="9">
        <v>0</v>
      </c>
      <c r="BK273" s="9">
        <v>0</v>
      </c>
      <c r="BL273" s="9">
        <v>0</v>
      </c>
      <c r="BM273" s="9">
        <v>0</v>
      </c>
      <c r="BN273" s="9">
        <v>0</v>
      </c>
      <c r="BO273" s="9">
        <v>2</v>
      </c>
      <c r="BP273" s="9">
        <v>0</v>
      </c>
      <c r="BQ273" s="9">
        <v>0</v>
      </c>
      <c r="BR273" s="9">
        <v>0</v>
      </c>
      <c r="BS273" s="9">
        <v>0</v>
      </c>
      <c r="BT273" s="9">
        <v>0</v>
      </c>
      <c r="BU273" s="9">
        <v>0</v>
      </c>
      <c r="BV273" s="9">
        <v>1</v>
      </c>
      <c r="BW273" s="9">
        <v>0</v>
      </c>
      <c r="BX273" s="9">
        <v>0</v>
      </c>
      <c r="BY273" s="9">
        <v>1</v>
      </c>
      <c r="BZ273" s="9">
        <v>0</v>
      </c>
      <c r="CA273" s="9">
        <v>0</v>
      </c>
      <c r="CB273" s="9">
        <v>0</v>
      </c>
      <c r="CC273" s="9">
        <v>0</v>
      </c>
      <c r="CD273" s="9">
        <v>0</v>
      </c>
      <c r="CE273" s="9">
        <v>0</v>
      </c>
      <c r="CF273" s="9">
        <v>0</v>
      </c>
      <c r="CG273" s="9">
        <v>0</v>
      </c>
      <c r="CH273" s="9">
        <v>0</v>
      </c>
      <c r="CI273" s="9">
        <v>0</v>
      </c>
      <c r="CJ273" s="9">
        <v>0</v>
      </c>
      <c r="CK273" s="9">
        <v>0</v>
      </c>
      <c r="CL273" s="9">
        <v>0</v>
      </c>
      <c r="CM273" s="9">
        <v>0</v>
      </c>
      <c r="CN273" s="9">
        <v>0</v>
      </c>
      <c r="CO273" s="9">
        <v>0</v>
      </c>
      <c r="CP273" s="9">
        <v>1</v>
      </c>
      <c r="CQ273" s="9">
        <v>0</v>
      </c>
      <c r="CR273" s="9">
        <v>0</v>
      </c>
      <c r="CS273" s="9">
        <v>0</v>
      </c>
      <c r="CT273" s="9">
        <v>0</v>
      </c>
      <c r="CU273" s="9">
        <v>0</v>
      </c>
      <c r="CV273" s="9">
        <v>0</v>
      </c>
      <c r="CW273" s="9">
        <v>0</v>
      </c>
      <c r="CX273" s="9">
        <v>0</v>
      </c>
      <c r="CY273" s="9">
        <v>0</v>
      </c>
      <c r="CZ273" s="9">
        <v>0</v>
      </c>
      <c r="DA273" s="9">
        <v>0</v>
      </c>
      <c r="DB273" s="9">
        <v>0</v>
      </c>
      <c r="DC273" s="9">
        <v>0</v>
      </c>
      <c r="DD273" s="9">
        <v>0</v>
      </c>
      <c r="DE273" s="9">
        <v>0</v>
      </c>
      <c r="DF273" s="9">
        <v>0</v>
      </c>
      <c r="DG273" s="9">
        <v>0</v>
      </c>
      <c r="DH273" s="9">
        <v>0</v>
      </c>
      <c r="DI273" s="9">
        <v>0</v>
      </c>
      <c r="DJ273" s="9">
        <v>0</v>
      </c>
      <c r="DK273" s="9">
        <v>0</v>
      </c>
      <c r="DL273" s="9">
        <v>0</v>
      </c>
      <c r="DM273" s="9">
        <v>0</v>
      </c>
      <c r="DN273" s="9">
        <v>0</v>
      </c>
      <c r="DO273" s="9">
        <v>0</v>
      </c>
      <c r="DP273" s="9">
        <v>0</v>
      </c>
      <c r="DQ273" s="9">
        <v>0</v>
      </c>
      <c r="DR273" s="9">
        <v>0</v>
      </c>
      <c r="DS273" s="9">
        <v>0</v>
      </c>
      <c r="DT273" s="9">
        <v>0</v>
      </c>
      <c r="DU273" s="9">
        <v>0</v>
      </c>
      <c r="DV273" s="9">
        <v>0</v>
      </c>
      <c r="DW273" s="9">
        <v>0</v>
      </c>
      <c r="DX273" s="9">
        <v>0</v>
      </c>
      <c r="DY273" s="9">
        <v>0</v>
      </c>
      <c r="DZ273" s="9">
        <v>0</v>
      </c>
      <c r="EA273" s="9">
        <v>0</v>
      </c>
      <c r="EB273" s="9">
        <v>0</v>
      </c>
      <c r="EC273" s="9">
        <v>0</v>
      </c>
      <c r="ED273" s="9">
        <v>0</v>
      </c>
      <c r="EE273" s="9">
        <v>0</v>
      </c>
      <c r="EF273" s="9">
        <v>0</v>
      </c>
      <c r="EG273" s="9">
        <v>0</v>
      </c>
      <c r="EH273" s="9">
        <v>0</v>
      </c>
      <c r="EI273" s="10">
        <v>0</v>
      </c>
    </row>
    <row r="274" spans="1:139" x14ac:dyDescent="0.35">
      <c r="A274" s="8" t="s">
        <v>413</v>
      </c>
      <c r="B274" s="9" t="s">
        <v>474</v>
      </c>
      <c r="C274" s="9" t="s">
        <v>475</v>
      </c>
      <c r="D274" s="9">
        <f t="shared" si="4"/>
        <v>106</v>
      </c>
      <c r="E274" s="9">
        <v>1</v>
      </c>
      <c r="F274" s="9">
        <v>0</v>
      </c>
      <c r="G274" s="9">
        <v>0</v>
      </c>
      <c r="H274" s="9">
        <v>0</v>
      </c>
      <c r="I274" s="9">
        <v>2</v>
      </c>
      <c r="J274" s="9">
        <v>5</v>
      </c>
      <c r="K274" s="9">
        <v>0</v>
      </c>
      <c r="L274" s="9">
        <v>1</v>
      </c>
      <c r="M274" s="9">
        <v>3</v>
      </c>
      <c r="N274" s="9">
        <v>3</v>
      </c>
      <c r="O274" s="9">
        <v>0</v>
      </c>
      <c r="P274" s="9">
        <v>3</v>
      </c>
      <c r="Q274" s="9">
        <v>0</v>
      </c>
      <c r="R274" s="9">
        <v>0</v>
      </c>
      <c r="S274" s="9">
        <v>0</v>
      </c>
      <c r="T274" s="9">
        <v>3</v>
      </c>
      <c r="U274" s="9">
        <v>3</v>
      </c>
      <c r="V274" s="9">
        <v>0</v>
      </c>
      <c r="W274" s="9">
        <v>4</v>
      </c>
      <c r="X274" s="9">
        <v>0</v>
      </c>
      <c r="Y274" s="9">
        <v>0</v>
      </c>
      <c r="Z274" s="9">
        <v>3</v>
      </c>
      <c r="AA274" s="9">
        <v>4</v>
      </c>
      <c r="AB274" s="9">
        <v>0</v>
      </c>
      <c r="AC274" s="9">
        <v>1</v>
      </c>
      <c r="AD274" s="9">
        <v>2</v>
      </c>
      <c r="AE274" s="9">
        <v>0</v>
      </c>
      <c r="AF274" s="9">
        <v>0</v>
      </c>
      <c r="AG274" s="9">
        <v>0</v>
      </c>
      <c r="AH274" s="9">
        <v>1</v>
      </c>
      <c r="AI274" s="9">
        <v>2</v>
      </c>
      <c r="AJ274" s="9">
        <v>0</v>
      </c>
      <c r="AK274" s="9">
        <v>0</v>
      </c>
      <c r="AL274" s="9">
        <v>1</v>
      </c>
      <c r="AM274" s="9">
        <v>4</v>
      </c>
      <c r="AN274" s="9">
        <v>3</v>
      </c>
      <c r="AO274" s="9">
        <v>0</v>
      </c>
      <c r="AP274" s="9">
        <v>0</v>
      </c>
      <c r="AQ274" s="9">
        <v>0</v>
      </c>
      <c r="AR274" s="9">
        <v>3</v>
      </c>
      <c r="AS274" s="9">
        <v>0</v>
      </c>
      <c r="AT274" s="9">
        <v>1</v>
      </c>
      <c r="AU274" s="9">
        <v>3</v>
      </c>
      <c r="AV274" s="9">
        <v>1</v>
      </c>
      <c r="AW274" s="9">
        <v>2</v>
      </c>
      <c r="AX274" s="9">
        <v>3</v>
      </c>
      <c r="AY274" s="9">
        <v>0</v>
      </c>
      <c r="AZ274" s="9">
        <v>0</v>
      </c>
      <c r="BA274" s="9">
        <v>2</v>
      </c>
      <c r="BB274" s="9">
        <v>1</v>
      </c>
      <c r="BC274" s="9">
        <v>0</v>
      </c>
      <c r="BD274" s="9">
        <v>3</v>
      </c>
      <c r="BE274" s="9">
        <v>1</v>
      </c>
      <c r="BF274" s="9">
        <v>0</v>
      </c>
      <c r="BG274" s="9">
        <v>0</v>
      </c>
      <c r="BH274" s="9">
        <v>1</v>
      </c>
      <c r="BI274" s="9">
        <v>5</v>
      </c>
      <c r="BJ274" s="9">
        <v>0</v>
      </c>
      <c r="BK274" s="9">
        <v>1</v>
      </c>
      <c r="BL274" s="9">
        <v>0</v>
      </c>
      <c r="BM274" s="9">
        <v>0</v>
      </c>
      <c r="BN274" s="9">
        <v>1</v>
      </c>
      <c r="BO274" s="9">
        <v>2</v>
      </c>
      <c r="BP274" s="9">
        <v>2</v>
      </c>
      <c r="BQ274" s="9">
        <v>0</v>
      </c>
      <c r="BR274" s="9">
        <v>1</v>
      </c>
      <c r="BS274" s="9">
        <v>0</v>
      </c>
      <c r="BT274" s="9">
        <v>0</v>
      </c>
      <c r="BU274" s="9">
        <v>3</v>
      </c>
      <c r="BV274" s="9">
        <v>1</v>
      </c>
      <c r="BW274" s="9">
        <v>0</v>
      </c>
      <c r="BX274" s="9">
        <v>0</v>
      </c>
      <c r="BY274" s="9">
        <v>2</v>
      </c>
      <c r="BZ274" s="9">
        <v>1</v>
      </c>
      <c r="CA274" s="9">
        <v>0</v>
      </c>
      <c r="CB274" s="9">
        <v>3</v>
      </c>
      <c r="CC274" s="9">
        <v>1</v>
      </c>
      <c r="CD274" s="9">
        <v>0</v>
      </c>
      <c r="CE274" s="9">
        <v>2</v>
      </c>
      <c r="CF274" s="9">
        <v>3</v>
      </c>
      <c r="CG274" s="9">
        <v>1</v>
      </c>
      <c r="CH274" s="9">
        <v>0</v>
      </c>
      <c r="CI274" s="9">
        <v>0</v>
      </c>
      <c r="CJ274" s="9">
        <v>0</v>
      </c>
      <c r="CK274" s="9">
        <v>1</v>
      </c>
      <c r="CL274" s="9">
        <v>0</v>
      </c>
      <c r="CM274" s="9">
        <v>1</v>
      </c>
      <c r="CN274" s="9">
        <v>1</v>
      </c>
      <c r="CO274" s="9">
        <v>1</v>
      </c>
      <c r="CP274" s="9">
        <v>0</v>
      </c>
      <c r="CQ274" s="9">
        <v>0</v>
      </c>
      <c r="CR274" s="9">
        <v>0</v>
      </c>
      <c r="CS274" s="9">
        <v>0</v>
      </c>
      <c r="CT274" s="9">
        <v>1</v>
      </c>
      <c r="CU274" s="9">
        <v>0</v>
      </c>
      <c r="CV274" s="9">
        <v>0</v>
      </c>
      <c r="CW274" s="9">
        <v>0</v>
      </c>
      <c r="CX274" s="9">
        <v>1</v>
      </c>
      <c r="CY274" s="9">
        <v>0</v>
      </c>
      <c r="CZ274" s="9">
        <v>0</v>
      </c>
      <c r="DA274" s="9">
        <v>0</v>
      </c>
      <c r="DB274" s="9">
        <v>0</v>
      </c>
      <c r="DC274" s="9">
        <v>0</v>
      </c>
      <c r="DD274" s="9">
        <v>0</v>
      </c>
      <c r="DE274" s="9">
        <v>1</v>
      </c>
      <c r="DF274" s="9">
        <v>0</v>
      </c>
      <c r="DG274" s="9">
        <v>0</v>
      </c>
      <c r="DH274" s="9">
        <v>0</v>
      </c>
      <c r="DI274" s="9">
        <v>0</v>
      </c>
      <c r="DJ274" s="9">
        <v>0</v>
      </c>
      <c r="DK274" s="9">
        <v>0</v>
      </c>
      <c r="DL274" s="9">
        <v>0</v>
      </c>
      <c r="DM274" s="9">
        <v>0</v>
      </c>
      <c r="DN274" s="9">
        <v>0</v>
      </c>
      <c r="DO274" s="9">
        <v>0</v>
      </c>
      <c r="DP274" s="9">
        <v>0</v>
      </c>
      <c r="DQ274" s="9">
        <v>0</v>
      </c>
      <c r="DR274" s="9">
        <v>0</v>
      </c>
      <c r="DS274" s="9">
        <v>0</v>
      </c>
      <c r="DT274" s="9">
        <v>0</v>
      </c>
      <c r="DU274" s="9">
        <v>0</v>
      </c>
      <c r="DV274" s="9">
        <v>0</v>
      </c>
      <c r="DW274" s="9">
        <v>0</v>
      </c>
      <c r="DX274" s="9">
        <v>0</v>
      </c>
      <c r="DY274" s="9">
        <v>0</v>
      </c>
      <c r="DZ274" s="9">
        <v>0</v>
      </c>
      <c r="EA274" s="9">
        <v>0</v>
      </c>
      <c r="EB274" s="9">
        <v>0</v>
      </c>
      <c r="EC274" s="9">
        <v>0</v>
      </c>
      <c r="ED274" s="9">
        <v>0</v>
      </c>
      <c r="EE274" s="9">
        <v>0</v>
      </c>
      <c r="EF274" s="9">
        <v>0</v>
      </c>
      <c r="EG274" s="9">
        <v>0</v>
      </c>
      <c r="EH274" s="9">
        <v>0</v>
      </c>
      <c r="EI274" s="10">
        <v>0</v>
      </c>
    </row>
    <row r="275" spans="1:139" x14ac:dyDescent="0.35">
      <c r="A275" s="8" t="s">
        <v>413</v>
      </c>
      <c r="B275" s="9" t="s">
        <v>476</v>
      </c>
      <c r="C275" s="9" t="s">
        <v>477</v>
      </c>
      <c r="D275" s="9">
        <f t="shared" si="4"/>
        <v>21</v>
      </c>
      <c r="E275" s="9">
        <v>0</v>
      </c>
      <c r="F275" s="9">
        <v>0</v>
      </c>
      <c r="G275" s="9">
        <v>0</v>
      </c>
      <c r="H275" s="9">
        <v>0</v>
      </c>
      <c r="I275" s="9">
        <v>0</v>
      </c>
      <c r="J275" s="9">
        <v>0</v>
      </c>
      <c r="K275" s="9">
        <v>1</v>
      </c>
      <c r="L275" s="9">
        <v>1</v>
      </c>
      <c r="M275" s="9">
        <v>0</v>
      </c>
      <c r="N275" s="9">
        <v>0</v>
      </c>
      <c r="O275" s="9">
        <v>0</v>
      </c>
      <c r="P275" s="9">
        <v>0</v>
      </c>
      <c r="Q275" s="9">
        <v>0</v>
      </c>
      <c r="R275" s="9">
        <v>0</v>
      </c>
      <c r="S275" s="9">
        <v>0</v>
      </c>
      <c r="T275" s="9">
        <v>1</v>
      </c>
      <c r="U275" s="9">
        <v>1</v>
      </c>
      <c r="V275" s="9">
        <v>0</v>
      </c>
      <c r="W275" s="9">
        <v>0</v>
      </c>
      <c r="X275" s="9">
        <v>0</v>
      </c>
      <c r="Y275" s="9">
        <v>0</v>
      </c>
      <c r="Z275" s="9">
        <v>0</v>
      </c>
      <c r="AA275" s="9">
        <v>0</v>
      </c>
      <c r="AB275" s="9">
        <v>0</v>
      </c>
      <c r="AC275" s="9">
        <v>0</v>
      </c>
      <c r="AD275" s="9">
        <v>0</v>
      </c>
      <c r="AE275" s="9">
        <v>0</v>
      </c>
      <c r="AF275" s="9">
        <v>0</v>
      </c>
      <c r="AG275" s="9">
        <v>0</v>
      </c>
      <c r="AH275" s="9">
        <v>2</v>
      </c>
      <c r="AI275" s="9">
        <v>0</v>
      </c>
      <c r="AJ275" s="9">
        <v>1</v>
      </c>
      <c r="AK275" s="9">
        <v>0</v>
      </c>
      <c r="AL275" s="9">
        <v>2</v>
      </c>
      <c r="AM275" s="9">
        <v>1</v>
      </c>
      <c r="AN275" s="9">
        <v>0</v>
      </c>
      <c r="AO275" s="9">
        <v>1</v>
      </c>
      <c r="AP275" s="9">
        <v>0</v>
      </c>
      <c r="AQ275" s="9">
        <v>0</v>
      </c>
      <c r="AR275" s="9">
        <v>0</v>
      </c>
      <c r="AS275" s="9">
        <v>2</v>
      </c>
      <c r="AT275" s="9">
        <v>0</v>
      </c>
      <c r="AU275" s="9">
        <v>0</v>
      </c>
      <c r="AV275" s="9">
        <v>3</v>
      </c>
      <c r="AW275" s="9">
        <v>0</v>
      </c>
      <c r="AX275" s="9">
        <v>0</v>
      </c>
      <c r="AY275" s="9">
        <v>0</v>
      </c>
      <c r="AZ275" s="9">
        <v>0</v>
      </c>
      <c r="BA275" s="9">
        <v>0</v>
      </c>
      <c r="BB275" s="9">
        <v>1</v>
      </c>
      <c r="BC275" s="9">
        <v>0</v>
      </c>
      <c r="BD275" s="9">
        <v>0</v>
      </c>
      <c r="BE275" s="9">
        <v>0</v>
      </c>
      <c r="BF275" s="9">
        <v>0</v>
      </c>
      <c r="BG275" s="9">
        <v>1</v>
      </c>
      <c r="BH275" s="9">
        <v>0</v>
      </c>
      <c r="BI275" s="9">
        <v>0</v>
      </c>
      <c r="BJ275" s="9">
        <v>0</v>
      </c>
      <c r="BK275" s="9">
        <v>0</v>
      </c>
      <c r="BL275" s="9">
        <v>0</v>
      </c>
      <c r="BM275" s="9">
        <v>0</v>
      </c>
      <c r="BN275" s="9">
        <v>0</v>
      </c>
      <c r="BO275" s="9">
        <v>1</v>
      </c>
      <c r="BP275" s="9">
        <v>1</v>
      </c>
      <c r="BQ275" s="9">
        <v>0</v>
      </c>
      <c r="BR275" s="9">
        <v>0</v>
      </c>
      <c r="BS275" s="9">
        <v>0</v>
      </c>
      <c r="BT275" s="9">
        <v>0</v>
      </c>
      <c r="BU275" s="9">
        <v>0</v>
      </c>
      <c r="BV275" s="9">
        <v>0</v>
      </c>
      <c r="BW275" s="9">
        <v>0</v>
      </c>
      <c r="BX275" s="9">
        <v>0</v>
      </c>
      <c r="BY275" s="9">
        <v>0</v>
      </c>
      <c r="BZ275" s="9">
        <v>0</v>
      </c>
      <c r="CA275" s="9">
        <v>0</v>
      </c>
      <c r="CB275" s="9">
        <v>0</v>
      </c>
      <c r="CC275" s="9">
        <v>0</v>
      </c>
      <c r="CD275" s="9">
        <v>0</v>
      </c>
      <c r="CE275" s="9">
        <v>0</v>
      </c>
      <c r="CF275" s="9">
        <v>0</v>
      </c>
      <c r="CG275" s="9">
        <v>0</v>
      </c>
      <c r="CH275" s="9">
        <v>0</v>
      </c>
      <c r="CI275" s="9">
        <v>0</v>
      </c>
      <c r="CJ275" s="9">
        <v>0</v>
      </c>
      <c r="CK275" s="9">
        <v>0</v>
      </c>
      <c r="CL275" s="9">
        <v>0</v>
      </c>
      <c r="CM275" s="9">
        <v>0</v>
      </c>
      <c r="CN275" s="9">
        <v>0</v>
      </c>
      <c r="CO275" s="9">
        <v>0</v>
      </c>
      <c r="CP275" s="9">
        <v>0</v>
      </c>
      <c r="CQ275" s="9">
        <v>0</v>
      </c>
      <c r="CR275" s="9">
        <v>0</v>
      </c>
      <c r="CS275" s="9">
        <v>0</v>
      </c>
      <c r="CT275" s="9">
        <v>0</v>
      </c>
      <c r="CU275" s="9">
        <v>0</v>
      </c>
      <c r="CV275" s="9">
        <v>0</v>
      </c>
      <c r="CW275" s="9">
        <v>0</v>
      </c>
      <c r="CX275" s="9">
        <v>0</v>
      </c>
      <c r="CY275" s="9">
        <v>0</v>
      </c>
      <c r="CZ275" s="9">
        <v>0</v>
      </c>
      <c r="DA275" s="9">
        <v>0</v>
      </c>
      <c r="DB275" s="9">
        <v>0</v>
      </c>
      <c r="DC275" s="9">
        <v>0</v>
      </c>
      <c r="DD275" s="9">
        <v>0</v>
      </c>
      <c r="DE275" s="9">
        <v>0</v>
      </c>
      <c r="DF275" s="9">
        <v>0</v>
      </c>
      <c r="DG275" s="9">
        <v>0</v>
      </c>
      <c r="DH275" s="9">
        <v>0</v>
      </c>
      <c r="DI275" s="9">
        <v>0</v>
      </c>
      <c r="DJ275" s="9">
        <v>0</v>
      </c>
      <c r="DK275" s="9">
        <v>0</v>
      </c>
      <c r="DL275" s="9">
        <v>0</v>
      </c>
      <c r="DM275" s="9">
        <v>0</v>
      </c>
      <c r="DN275" s="9">
        <v>0</v>
      </c>
      <c r="DO275" s="9">
        <v>0</v>
      </c>
      <c r="DP275" s="9">
        <v>0</v>
      </c>
      <c r="DQ275" s="9">
        <v>0</v>
      </c>
      <c r="DR275" s="9">
        <v>0</v>
      </c>
      <c r="DS275" s="9">
        <v>0</v>
      </c>
      <c r="DT275" s="9">
        <v>0</v>
      </c>
      <c r="DU275" s="9">
        <v>0</v>
      </c>
      <c r="DV275" s="9">
        <v>0</v>
      </c>
      <c r="DW275" s="9">
        <v>0</v>
      </c>
      <c r="DX275" s="9">
        <v>0</v>
      </c>
      <c r="DY275" s="9">
        <v>0</v>
      </c>
      <c r="DZ275" s="9">
        <v>0</v>
      </c>
      <c r="EA275" s="9">
        <v>0</v>
      </c>
      <c r="EB275" s="9">
        <v>0</v>
      </c>
      <c r="EC275" s="9">
        <v>0</v>
      </c>
      <c r="ED275" s="9">
        <v>0</v>
      </c>
      <c r="EE275" s="9">
        <v>0</v>
      </c>
      <c r="EF275" s="9">
        <v>1</v>
      </c>
      <c r="EG275" s="9">
        <v>0</v>
      </c>
      <c r="EH275" s="9">
        <v>0</v>
      </c>
      <c r="EI275" s="10">
        <v>0</v>
      </c>
    </row>
    <row r="276" spans="1:139" x14ac:dyDescent="0.35">
      <c r="A276" s="8" t="s">
        <v>413</v>
      </c>
      <c r="B276" s="9" t="s">
        <v>478</v>
      </c>
      <c r="C276" s="9" t="s">
        <v>479</v>
      </c>
      <c r="D276" s="9">
        <f t="shared" si="4"/>
        <v>22</v>
      </c>
      <c r="E276" s="9">
        <v>0</v>
      </c>
      <c r="F276" s="9">
        <v>0</v>
      </c>
      <c r="G276" s="9">
        <v>0</v>
      </c>
      <c r="H276" s="9">
        <v>0</v>
      </c>
      <c r="I276" s="9">
        <v>0</v>
      </c>
      <c r="J276" s="9">
        <v>0</v>
      </c>
      <c r="K276" s="9">
        <v>0</v>
      </c>
      <c r="L276" s="9">
        <v>0</v>
      </c>
      <c r="M276" s="9">
        <v>0</v>
      </c>
      <c r="N276" s="9">
        <v>0</v>
      </c>
      <c r="O276" s="9">
        <v>0</v>
      </c>
      <c r="P276" s="9">
        <v>0</v>
      </c>
      <c r="Q276" s="9">
        <v>0</v>
      </c>
      <c r="R276" s="9">
        <v>0</v>
      </c>
      <c r="S276" s="9">
        <v>0</v>
      </c>
      <c r="T276" s="9">
        <v>0</v>
      </c>
      <c r="U276" s="9">
        <v>0</v>
      </c>
      <c r="V276" s="9">
        <v>0</v>
      </c>
      <c r="W276" s="9">
        <v>0</v>
      </c>
      <c r="X276" s="9">
        <v>0</v>
      </c>
      <c r="Y276" s="9">
        <v>0</v>
      </c>
      <c r="Z276" s="9">
        <v>0</v>
      </c>
      <c r="AA276" s="9">
        <v>0</v>
      </c>
      <c r="AB276" s="9">
        <v>0</v>
      </c>
      <c r="AC276" s="9">
        <v>0</v>
      </c>
      <c r="AD276" s="9">
        <v>0</v>
      </c>
      <c r="AE276" s="9">
        <v>0</v>
      </c>
      <c r="AF276" s="9">
        <v>0</v>
      </c>
      <c r="AG276" s="9">
        <v>0</v>
      </c>
      <c r="AH276" s="9">
        <v>0</v>
      </c>
      <c r="AI276" s="9">
        <v>1</v>
      </c>
      <c r="AJ276" s="9">
        <v>1</v>
      </c>
      <c r="AK276" s="9">
        <v>0</v>
      </c>
      <c r="AL276" s="9">
        <v>0</v>
      </c>
      <c r="AM276" s="9">
        <v>0</v>
      </c>
      <c r="AN276" s="9">
        <v>0</v>
      </c>
      <c r="AO276" s="9">
        <v>0</v>
      </c>
      <c r="AP276" s="9">
        <v>0</v>
      </c>
      <c r="AQ276" s="9">
        <v>0</v>
      </c>
      <c r="AR276" s="9">
        <v>0</v>
      </c>
      <c r="AS276" s="9">
        <v>2</v>
      </c>
      <c r="AT276" s="9">
        <v>0</v>
      </c>
      <c r="AU276" s="9">
        <v>0</v>
      </c>
      <c r="AV276" s="9">
        <v>0</v>
      </c>
      <c r="AW276" s="9">
        <v>0</v>
      </c>
      <c r="AX276" s="9">
        <v>0</v>
      </c>
      <c r="AY276" s="9">
        <v>0</v>
      </c>
      <c r="AZ276" s="9">
        <v>0</v>
      </c>
      <c r="BA276" s="9">
        <v>0</v>
      </c>
      <c r="BB276" s="9">
        <v>0</v>
      </c>
      <c r="BC276" s="9">
        <v>0</v>
      </c>
      <c r="BD276" s="9">
        <v>0</v>
      </c>
      <c r="BE276" s="9">
        <v>0</v>
      </c>
      <c r="BF276" s="9">
        <v>0</v>
      </c>
      <c r="BG276" s="9">
        <v>0</v>
      </c>
      <c r="BH276" s="9">
        <v>0</v>
      </c>
      <c r="BI276" s="9">
        <v>0</v>
      </c>
      <c r="BJ276" s="9">
        <v>0</v>
      </c>
      <c r="BK276" s="9">
        <v>0</v>
      </c>
      <c r="BL276" s="9">
        <v>0</v>
      </c>
      <c r="BM276" s="9">
        <v>0</v>
      </c>
      <c r="BN276" s="9">
        <v>0</v>
      </c>
      <c r="BO276" s="9">
        <v>0</v>
      </c>
      <c r="BP276" s="9">
        <v>0</v>
      </c>
      <c r="BQ276" s="9">
        <v>0</v>
      </c>
      <c r="BR276" s="9">
        <v>0</v>
      </c>
      <c r="BS276" s="9">
        <v>0</v>
      </c>
      <c r="BT276" s="9">
        <v>0</v>
      </c>
      <c r="BU276" s="9">
        <v>0</v>
      </c>
      <c r="BV276" s="9">
        <v>0</v>
      </c>
      <c r="BW276" s="9">
        <v>0</v>
      </c>
      <c r="BX276" s="9">
        <v>0</v>
      </c>
      <c r="BY276" s="9">
        <v>0</v>
      </c>
      <c r="BZ276" s="9">
        <v>0</v>
      </c>
      <c r="CA276" s="9">
        <v>0</v>
      </c>
      <c r="CB276" s="9">
        <v>0</v>
      </c>
      <c r="CC276" s="9">
        <v>0</v>
      </c>
      <c r="CD276" s="9">
        <v>0</v>
      </c>
      <c r="CE276" s="9">
        <v>0</v>
      </c>
      <c r="CF276" s="9">
        <v>0</v>
      </c>
      <c r="CG276" s="9">
        <v>0</v>
      </c>
      <c r="CH276" s="9">
        <v>0</v>
      </c>
      <c r="CI276" s="9">
        <v>0</v>
      </c>
      <c r="CJ276" s="9">
        <v>0</v>
      </c>
      <c r="CK276" s="9">
        <v>0</v>
      </c>
      <c r="CL276" s="9">
        <v>0</v>
      </c>
      <c r="CM276" s="9">
        <v>0</v>
      </c>
      <c r="CN276" s="9">
        <v>0</v>
      </c>
      <c r="CO276" s="9">
        <v>0</v>
      </c>
      <c r="CP276" s="9">
        <v>0</v>
      </c>
      <c r="CQ276" s="9">
        <v>0</v>
      </c>
      <c r="CR276" s="9">
        <v>0</v>
      </c>
      <c r="CS276" s="9">
        <v>0</v>
      </c>
      <c r="CT276" s="9">
        <v>0</v>
      </c>
      <c r="CU276" s="9">
        <v>0</v>
      </c>
      <c r="CV276" s="9">
        <v>0</v>
      </c>
      <c r="CW276" s="9">
        <v>0</v>
      </c>
      <c r="CX276" s="9">
        <v>0</v>
      </c>
      <c r="CY276" s="9">
        <v>0</v>
      </c>
      <c r="CZ276" s="9">
        <v>0</v>
      </c>
      <c r="DA276" s="9">
        <v>0</v>
      </c>
      <c r="DB276" s="9">
        <v>0</v>
      </c>
      <c r="DC276" s="9">
        <v>1</v>
      </c>
      <c r="DD276" s="9">
        <v>1</v>
      </c>
      <c r="DE276" s="9">
        <v>0</v>
      </c>
      <c r="DF276" s="9">
        <v>2</v>
      </c>
      <c r="DG276" s="9">
        <v>1</v>
      </c>
      <c r="DH276" s="9">
        <v>1</v>
      </c>
      <c r="DI276" s="9">
        <v>0</v>
      </c>
      <c r="DJ276" s="9">
        <v>0</v>
      </c>
      <c r="DK276" s="9">
        <v>0</v>
      </c>
      <c r="DL276" s="9">
        <v>0</v>
      </c>
      <c r="DM276" s="9">
        <v>0</v>
      </c>
      <c r="DN276" s="9">
        <v>0</v>
      </c>
      <c r="DO276" s="9">
        <v>0</v>
      </c>
      <c r="DP276" s="9">
        <v>0</v>
      </c>
      <c r="DQ276" s="9">
        <v>0</v>
      </c>
      <c r="DR276" s="9">
        <v>0</v>
      </c>
      <c r="DS276" s="9">
        <v>0</v>
      </c>
      <c r="DT276" s="9">
        <v>0</v>
      </c>
      <c r="DU276" s="9">
        <v>0</v>
      </c>
      <c r="DV276" s="9">
        <v>0</v>
      </c>
      <c r="DW276" s="9">
        <v>0</v>
      </c>
      <c r="DX276" s="9">
        <v>0</v>
      </c>
      <c r="DY276" s="9">
        <v>0</v>
      </c>
      <c r="DZ276" s="9">
        <v>0</v>
      </c>
      <c r="EA276" s="9">
        <v>2</v>
      </c>
      <c r="EB276" s="9">
        <v>2</v>
      </c>
      <c r="EC276" s="9">
        <v>2</v>
      </c>
      <c r="ED276" s="9">
        <v>2</v>
      </c>
      <c r="EE276" s="9">
        <v>2</v>
      </c>
      <c r="EF276" s="9">
        <v>2</v>
      </c>
      <c r="EG276" s="9">
        <v>0</v>
      </c>
      <c r="EH276" s="9">
        <v>0</v>
      </c>
      <c r="EI276" s="10">
        <v>0</v>
      </c>
    </row>
    <row r="277" spans="1:139" x14ac:dyDescent="0.35">
      <c r="A277" s="8" t="s">
        <v>413</v>
      </c>
      <c r="B277" s="9" t="s">
        <v>480</v>
      </c>
      <c r="C277" s="9" t="s">
        <v>481</v>
      </c>
      <c r="D277" s="9">
        <f t="shared" si="4"/>
        <v>32</v>
      </c>
      <c r="E277" s="9">
        <v>0</v>
      </c>
      <c r="F277" s="9">
        <v>0</v>
      </c>
      <c r="G277" s="9">
        <v>0</v>
      </c>
      <c r="H277" s="9">
        <v>0</v>
      </c>
      <c r="I277" s="9">
        <v>0</v>
      </c>
      <c r="J277" s="9">
        <v>0</v>
      </c>
      <c r="K277" s="9">
        <v>0</v>
      </c>
      <c r="L277" s="9">
        <v>0</v>
      </c>
      <c r="M277" s="9">
        <v>0</v>
      </c>
      <c r="N277" s="9">
        <v>0</v>
      </c>
      <c r="O277" s="9">
        <v>0</v>
      </c>
      <c r="P277" s="9">
        <v>5</v>
      </c>
      <c r="Q277" s="9">
        <v>0</v>
      </c>
      <c r="R277" s="9">
        <v>0</v>
      </c>
      <c r="S277" s="9">
        <v>0</v>
      </c>
      <c r="T277" s="9">
        <v>0</v>
      </c>
      <c r="U277" s="9">
        <v>0</v>
      </c>
      <c r="V277" s="9">
        <v>0</v>
      </c>
      <c r="W277" s="9">
        <v>0</v>
      </c>
      <c r="X277" s="9">
        <v>0</v>
      </c>
      <c r="Y277" s="9">
        <v>0</v>
      </c>
      <c r="Z277" s="9">
        <v>2</v>
      </c>
      <c r="AA277" s="9">
        <v>0</v>
      </c>
      <c r="AB277" s="9">
        <v>0</v>
      </c>
      <c r="AC277" s="9">
        <v>0</v>
      </c>
      <c r="AD277" s="9">
        <v>0</v>
      </c>
      <c r="AE277" s="9">
        <v>0</v>
      </c>
      <c r="AF277" s="9">
        <v>0</v>
      </c>
      <c r="AG277" s="9">
        <v>0</v>
      </c>
      <c r="AH277" s="9">
        <v>1</v>
      </c>
      <c r="AI277" s="9">
        <v>0</v>
      </c>
      <c r="AJ277" s="9">
        <v>0</v>
      </c>
      <c r="AK277" s="9">
        <v>0</v>
      </c>
      <c r="AL277" s="9">
        <v>1</v>
      </c>
      <c r="AM277" s="9">
        <v>0</v>
      </c>
      <c r="AN277" s="9">
        <v>1</v>
      </c>
      <c r="AO277" s="9">
        <v>1</v>
      </c>
      <c r="AP277" s="9">
        <v>1</v>
      </c>
      <c r="AQ277" s="9">
        <v>1</v>
      </c>
      <c r="AR277" s="9">
        <v>1</v>
      </c>
      <c r="AS277" s="9">
        <v>0</v>
      </c>
      <c r="AT277" s="9">
        <v>0</v>
      </c>
      <c r="AU277" s="9">
        <v>0</v>
      </c>
      <c r="AV277" s="9">
        <v>2</v>
      </c>
      <c r="AW277" s="9">
        <v>1</v>
      </c>
      <c r="AX277" s="9">
        <v>0</v>
      </c>
      <c r="AY277" s="9">
        <v>0</v>
      </c>
      <c r="AZ277" s="9">
        <v>0</v>
      </c>
      <c r="BA277" s="9">
        <v>0</v>
      </c>
      <c r="BB277" s="9">
        <v>1</v>
      </c>
      <c r="BC277" s="9">
        <v>0</v>
      </c>
      <c r="BD277" s="9">
        <v>0</v>
      </c>
      <c r="BE277" s="9">
        <v>0</v>
      </c>
      <c r="BF277" s="9">
        <v>0</v>
      </c>
      <c r="BG277" s="9">
        <v>0</v>
      </c>
      <c r="BH277" s="9">
        <v>0</v>
      </c>
      <c r="BI277" s="9">
        <v>0</v>
      </c>
      <c r="BJ277" s="9">
        <v>1</v>
      </c>
      <c r="BK277" s="9">
        <v>0</v>
      </c>
      <c r="BL277" s="9">
        <v>0</v>
      </c>
      <c r="BM277" s="9">
        <v>0</v>
      </c>
      <c r="BN277" s="9">
        <v>0</v>
      </c>
      <c r="BO277" s="9">
        <v>0</v>
      </c>
      <c r="BP277" s="9">
        <v>0</v>
      </c>
      <c r="BQ277" s="9">
        <v>0</v>
      </c>
      <c r="BR277" s="9">
        <v>1</v>
      </c>
      <c r="BS277" s="9">
        <v>0</v>
      </c>
      <c r="BT277" s="9">
        <v>0</v>
      </c>
      <c r="BU277" s="9">
        <v>1</v>
      </c>
      <c r="BV277" s="9">
        <v>0</v>
      </c>
      <c r="BW277" s="9">
        <v>0</v>
      </c>
      <c r="BX277" s="9">
        <v>0</v>
      </c>
      <c r="BY277" s="9">
        <v>0</v>
      </c>
      <c r="BZ277" s="9">
        <v>0</v>
      </c>
      <c r="CA277" s="9">
        <v>1</v>
      </c>
      <c r="CB277" s="9">
        <v>1</v>
      </c>
      <c r="CC277" s="9">
        <v>1</v>
      </c>
      <c r="CD277" s="9">
        <v>1</v>
      </c>
      <c r="CE277" s="9">
        <v>0</v>
      </c>
      <c r="CF277" s="9">
        <v>1</v>
      </c>
      <c r="CG277" s="9">
        <v>0</v>
      </c>
      <c r="CH277" s="9">
        <v>0</v>
      </c>
      <c r="CI277" s="9">
        <v>0</v>
      </c>
      <c r="CJ277" s="9">
        <v>0</v>
      </c>
      <c r="CK277" s="9">
        <v>0</v>
      </c>
      <c r="CL277" s="9">
        <v>0</v>
      </c>
      <c r="CM277" s="9">
        <v>0</v>
      </c>
      <c r="CN277" s="9">
        <v>1</v>
      </c>
      <c r="CO277" s="9">
        <v>0</v>
      </c>
      <c r="CP277" s="9">
        <v>0</v>
      </c>
      <c r="CQ277" s="9">
        <v>0</v>
      </c>
      <c r="CR277" s="9">
        <v>0</v>
      </c>
      <c r="CS277" s="9">
        <v>0</v>
      </c>
      <c r="CT277" s="9">
        <v>1</v>
      </c>
      <c r="CU277" s="9">
        <v>0</v>
      </c>
      <c r="CV277" s="9">
        <v>0</v>
      </c>
      <c r="CW277" s="9">
        <v>0</v>
      </c>
      <c r="CX277" s="9">
        <v>0</v>
      </c>
      <c r="CY277" s="9">
        <v>0</v>
      </c>
      <c r="CZ277" s="9">
        <v>0</v>
      </c>
      <c r="DA277" s="9">
        <v>0</v>
      </c>
      <c r="DB277" s="9">
        <v>0</v>
      </c>
      <c r="DC277" s="9">
        <v>1</v>
      </c>
      <c r="DD277" s="9">
        <v>0</v>
      </c>
      <c r="DE277" s="9">
        <v>0</v>
      </c>
      <c r="DF277" s="9">
        <v>0</v>
      </c>
      <c r="DG277" s="9">
        <v>0</v>
      </c>
      <c r="DH277" s="9">
        <v>1</v>
      </c>
      <c r="DI277" s="9">
        <v>0</v>
      </c>
      <c r="DJ277" s="9">
        <v>0</v>
      </c>
      <c r="DK277" s="9">
        <v>0</v>
      </c>
      <c r="DL277" s="9">
        <v>0</v>
      </c>
      <c r="DM277" s="9">
        <v>1</v>
      </c>
      <c r="DN277" s="9">
        <v>0</v>
      </c>
      <c r="DO277" s="9">
        <v>0</v>
      </c>
      <c r="DP277" s="9">
        <v>0</v>
      </c>
      <c r="DQ277" s="9">
        <v>1</v>
      </c>
      <c r="DR277" s="9">
        <v>0</v>
      </c>
      <c r="DS277" s="9">
        <v>0</v>
      </c>
      <c r="DT277" s="9">
        <v>0</v>
      </c>
      <c r="DU277" s="9">
        <v>0</v>
      </c>
      <c r="DV277" s="9">
        <v>0</v>
      </c>
      <c r="DW277" s="9">
        <v>0</v>
      </c>
      <c r="DX277" s="9">
        <v>0</v>
      </c>
      <c r="DY277" s="9">
        <v>0</v>
      </c>
      <c r="DZ277" s="9">
        <v>0</v>
      </c>
      <c r="EA277" s="9">
        <v>0</v>
      </c>
      <c r="EB277" s="9">
        <v>0</v>
      </c>
      <c r="EC277" s="9">
        <v>0</v>
      </c>
      <c r="ED277" s="9">
        <v>0</v>
      </c>
      <c r="EE277" s="9">
        <v>0</v>
      </c>
      <c r="EF277" s="9">
        <v>0</v>
      </c>
      <c r="EG277" s="9">
        <v>0</v>
      </c>
      <c r="EH277" s="9">
        <v>0</v>
      </c>
      <c r="EI277" s="10">
        <v>0</v>
      </c>
    </row>
    <row r="278" spans="1:139" x14ac:dyDescent="0.35">
      <c r="A278" s="8" t="s">
        <v>413</v>
      </c>
      <c r="B278" s="9" t="s">
        <v>482</v>
      </c>
      <c r="C278" s="9" t="s">
        <v>483</v>
      </c>
      <c r="D278" s="9">
        <f t="shared" si="4"/>
        <v>147</v>
      </c>
      <c r="E278" s="9">
        <v>2</v>
      </c>
      <c r="F278" s="9">
        <v>0</v>
      </c>
      <c r="G278" s="9">
        <v>0</v>
      </c>
      <c r="H278" s="9">
        <v>0</v>
      </c>
      <c r="I278" s="9">
        <v>0</v>
      </c>
      <c r="J278" s="9">
        <v>0</v>
      </c>
      <c r="K278" s="9">
        <v>0</v>
      </c>
      <c r="L278" s="9">
        <v>22</v>
      </c>
      <c r="M278" s="9">
        <v>2</v>
      </c>
      <c r="N278" s="9">
        <v>2</v>
      </c>
      <c r="O278" s="9">
        <v>0</v>
      </c>
      <c r="P278" s="9">
        <v>0</v>
      </c>
      <c r="Q278" s="9">
        <v>18</v>
      </c>
      <c r="R278" s="9">
        <v>0</v>
      </c>
      <c r="S278" s="9">
        <v>2</v>
      </c>
      <c r="T278" s="9">
        <v>0</v>
      </c>
      <c r="U278" s="9">
        <v>4</v>
      </c>
      <c r="V278" s="9">
        <v>8</v>
      </c>
      <c r="W278" s="9">
        <v>3</v>
      </c>
      <c r="X278" s="9">
        <v>0</v>
      </c>
      <c r="Y278" s="9">
        <v>1</v>
      </c>
      <c r="Z278" s="9">
        <v>0</v>
      </c>
      <c r="AA278" s="9">
        <v>0</v>
      </c>
      <c r="AB278" s="9">
        <v>0</v>
      </c>
      <c r="AC278" s="9">
        <v>1</v>
      </c>
      <c r="AD278" s="9">
        <v>1</v>
      </c>
      <c r="AE278" s="9">
        <v>0</v>
      </c>
      <c r="AF278" s="9">
        <v>0</v>
      </c>
      <c r="AG278" s="9">
        <v>2</v>
      </c>
      <c r="AH278" s="9">
        <v>0</v>
      </c>
      <c r="AI278" s="9">
        <v>0</v>
      </c>
      <c r="AJ278" s="9">
        <v>0</v>
      </c>
      <c r="AK278" s="9">
        <v>0</v>
      </c>
      <c r="AL278" s="9">
        <v>6</v>
      </c>
      <c r="AM278" s="9">
        <v>0</v>
      </c>
      <c r="AN278" s="9">
        <v>1</v>
      </c>
      <c r="AO278" s="9">
        <v>1</v>
      </c>
      <c r="AP278" s="9">
        <v>0</v>
      </c>
      <c r="AQ278" s="9">
        <v>0</v>
      </c>
      <c r="AR278" s="9">
        <v>1</v>
      </c>
      <c r="AS278" s="9">
        <v>2</v>
      </c>
      <c r="AT278" s="9">
        <v>3</v>
      </c>
      <c r="AU278" s="9">
        <v>5</v>
      </c>
      <c r="AV278" s="9">
        <v>1</v>
      </c>
      <c r="AW278" s="9">
        <v>3</v>
      </c>
      <c r="AX278" s="9">
        <v>0</v>
      </c>
      <c r="AY278" s="9">
        <v>0</v>
      </c>
      <c r="AZ278" s="9">
        <v>3</v>
      </c>
      <c r="BA278" s="9">
        <v>0</v>
      </c>
      <c r="BB278" s="9">
        <v>0</v>
      </c>
      <c r="BC278" s="9">
        <v>0</v>
      </c>
      <c r="BD278" s="9">
        <v>1</v>
      </c>
      <c r="BE278" s="9">
        <v>2</v>
      </c>
      <c r="BF278" s="9">
        <v>0</v>
      </c>
      <c r="BG278" s="9">
        <v>0</v>
      </c>
      <c r="BH278" s="9">
        <v>3</v>
      </c>
      <c r="BI278" s="9">
        <v>1</v>
      </c>
      <c r="BJ278" s="9">
        <v>1</v>
      </c>
      <c r="BK278" s="9">
        <v>0</v>
      </c>
      <c r="BL278" s="9">
        <v>1</v>
      </c>
      <c r="BM278" s="9">
        <v>1</v>
      </c>
      <c r="BN278" s="9">
        <v>0</v>
      </c>
      <c r="BO278" s="9">
        <v>0</v>
      </c>
      <c r="BP278" s="9">
        <v>0</v>
      </c>
      <c r="BQ278" s="9">
        <v>1</v>
      </c>
      <c r="BR278" s="9">
        <v>0</v>
      </c>
      <c r="BS278" s="9">
        <v>1</v>
      </c>
      <c r="BT278" s="9">
        <v>2</v>
      </c>
      <c r="BU278" s="9">
        <v>2</v>
      </c>
      <c r="BV278" s="9">
        <v>2</v>
      </c>
      <c r="BW278" s="9">
        <v>4</v>
      </c>
      <c r="BX278" s="9">
        <v>3</v>
      </c>
      <c r="BY278" s="9">
        <v>1</v>
      </c>
      <c r="BZ278" s="9">
        <v>2</v>
      </c>
      <c r="CA278" s="9">
        <v>0</v>
      </c>
      <c r="CB278" s="9">
        <v>2</v>
      </c>
      <c r="CC278" s="9">
        <v>2</v>
      </c>
      <c r="CD278" s="9">
        <v>1</v>
      </c>
      <c r="CE278" s="9">
        <v>0</v>
      </c>
      <c r="CF278" s="9">
        <v>1</v>
      </c>
      <c r="CG278" s="9">
        <v>1</v>
      </c>
      <c r="CH278" s="9">
        <v>1</v>
      </c>
      <c r="CI278" s="9">
        <v>1</v>
      </c>
      <c r="CJ278" s="9">
        <v>0</v>
      </c>
      <c r="CK278" s="9">
        <v>1</v>
      </c>
      <c r="CL278" s="9">
        <v>1</v>
      </c>
      <c r="CM278" s="9">
        <v>2</v>
      </c>
      <c r="CN278" s="9">
        <v>3</v>
      </c>
      <c r="CO278" s="9">
        <v>2</v>
      </c>
      <c r="CP278" s="9">
        <v>1</v>
      </c>
      <c r="CQ278" s="9">
        <v>1</v>
      </c>
      <c r="CR278" s="9">
        <v>0</v>
      </c>
      <c r="CS278" s="9">
        <v>1</v>
      </c>
      <c r="CT278" s="9">
        <v>1</v>
      </c>
      <c r="CU278" s="9">
        <v>1</v>
      </c>
      <c r="CV278" s="9">
        <v>0</v>
      </c>
      <c r="CW278" s="9">
        <v>0</v>
      </c>
      <c r="CX278" s="9">
        <v>0</v>
      </c>
      <c r="CY278" s="9">
        <v>0</v>
      </c>
      <c r="CZ278" s="9">
        <v>0</v>
      </c>
      <c r="DA278" s="9">
        <v>1</v>
      </c>
      <c r="DB278" s="9">
        <v>0</v>
      </c>
      <c r="DC278" s="9">
        <v>0</v>
      </c>
      <c r="DD278" s="9">
        <v>0</v>
      </c>
      <c r="DE278" s="9">
        <v>0</v>
      </c>
      <c r="DF278" s="9">
        <v>0</v>
      </c>
      <c r="DG278" s="9">
        <v>0</v>
      </c>
      <c r="DH278" s="9">
        <v>0</v>
      </c>
      <c r="DI278" s="9">
        <v>0</v>
      </c>
      <c r="DJ278" s="9">
        <v>0</v>
      </c>
      <c r="DK278" s="9">
        <v>0</v>
      </c>
      <c r="DL278" s="9">
        <v>0</v>
      </c>
      <c r="DM278" s="9">
        <v>1</v>
      </c>
      <c r="DN278" s="9">
        <v>0</v>
      </c>
      <c r="DO278" s="9">
        <v>0</v>
      </c>
      <c r="DP278" s="9">
        <v>0</v>
      </c>
      <c r="DQ278" s="9">
        <v>0</v>
      </c>
      <c r="DR278" s="9">
        <v>0</v>
      </c>
      <c r="DS278" s="9">
        <v>0</v>
      </c>
      <c r="DT278" s="9">
        <v>0</v>
      </c>
      <c r="DU278" s="9">
        <v>0</v>
      </c>
      <c r="DV278" s="9">
        <v>0</v>
      </c>
      <c r="DW278" s="9">
        <v>0</v>
      </c>
      <c r="DX278" s="9">
        <v>0</v>
      </c>
      <c r="DY278" s="9">
        <v>0</v>
      </c>
      <c r="DZ278" s="9">
        <v>0</v>
      </c>
      <c r="EA278" s="9">
        <v>0</v>
      </c>
      <c r="EB278" s="9">
        <v>0</v>
      </c>
      <c r="EC278" s="9">
        <v>0</v>
      </c>
      <c r="ED278" s="9">
        <v>0</v>
      </c>
      <c r="EE278" s="9">
        <v>0</v>
      </c>
      <c r="EF278" s="9">
        <v>0</v>
      </c>
      <c r="EG278" s="9">
        <v>0</v>
      </c>
      <c r="EH278" s="9">
        <v>0</v>
      </c>
      <c r="EI278" s="10">
        <v>0</v>
      </c>
    </row>
    <row r="279" spans="1:139" x14ac:dyDescent="0.35">
      <c r="A279" s="8" t="s">
        <v>413</v>
      </c>
      <c r="B279" s="9" t="s">
        <v>484</v>
      </c>
      <c r="C279" s="9" t="s">
        <v>485</v>
      </c>
      <c r="D279" s="9">
        <f t="shared" si="4"/>
        <v>116</v>
      </c>
      <c r="E279" s="9">
        <v>0</v>
      </c>
      <c r="F279" s="9">
        <v>0</v>
      </c>
      <c r="G279" s="9">
        <v>0</v>
      </c>
      <c r="H279" s="9">
        <v>0</v>
      </c>
      <c r="I279" s="9">
        <v>0</v>
      </c>
      <c r="J279" s="9">
        <v>0</v>
      </c>
      <c r="K279" s="9">
        <v>0</v>
      </c>
      <c r="L279" s="9">
        <v>0</v>
      </c>
      <c r="M279" s="9">
        <v>0</v>
      </c>
      <c r="N279" s="9">
        <v>0</v>
      </c>
      <c r="O279" s="9">
        <v>0</v>
      </c>
      <c r="P279" s="9">
        <v>0</v>
      </c>
      <c r="Q279" s="9">
        <v>0</v>
      </c>
      <c r="R279" s="9">
        <v>9</v>
      </c>
      <c r="S279" s="9">
        <v>12</v>
      </c>
      <c r="T279" s="9">
        <v>11</v>
      </c>
      <c r="U279" s="9">
        <v>1</v>
      </c>
      <c r="V279" s="9">
        <v>8</v>
      </c>
      <c r="W279" s="9">
        <v>14</v>
      </c>
      <c r="X279" s="9">
        <v>8</v>
      </c>
      <c r="Y279" s="9">
        <v>1</v>
      </c>
      <c r="Z279" s="9">
        <v>6</v>
      </c>
      <c r="AA279" s="9">
        <v>8</v>
      </c>
      <c r="AB279" s="9">
        <v>9</v>
      </c>
      <c r="AC279" s="9">
        <v>1</v>
      </c>
      <c r="AD279" s="9">
        <v>5</v>
      </c>
      <c r="AE279" s="9">
        <v>0</v>
      </c>
      <c r="AF279" s="9">
        <v>0</v>
      </c>
      <c r="AG279" s="9">
        <v>2</v>
      </c>
      <c r="AH279" s="9">
        <v>0</v>
      </c>
      <c r="AI279" s="9">
        <v>0</v>
      </c>
      <c r="AJ279" s="9">
        <v>1</v>
      </c>
      <c r="AK279" s="9">
        <v>1</v>
      </c>
      <c r="AL279" s="9">
        <v>0</v>
      </c>
      <c r="AM279" s="9">
        <v>2</v>
      </c>
      <c r="AN279" s="9">
        <v>0</v>
      </c>
      <c r="AO279" s="9">
        <v>0</v>
      </c>
      <c r="AP279" s="9">
        <v>1</v>
      </c>
      <c r="AQ279" s="9">
        <v>0</v>
      </c>
      <c r="AR279" s="9">
        <v>0</v>
      </c>
      <c r="AS279" s="9">
        <v>0</v>
      </c>
      <c r="AT279" s="9">
        <v>1</v>
      </c>
      <c r="AU279" s="9">
        <v>1</v>
      </c>
      <c r="AV279" s="9">
        <v>2</v>
      </c>
      <c r="AW279" s="9">
        <v>0</v>
      </c>
      <c r="AX279" s="9">
        <v>0</v>
      </c>
      <c r="AY279" s="9">
        <v>0</v>
      </c>
      <c r="AZ279" s="9">
        <v>0</v>
      </c>
      <c r="BA279" s="9">
        <v>0</v>
      </c>
      <c r="BB279" s="9">
        <v>0</v>
      </c>
      <c r="BC279" s="9">
        <v>0</v>
      </c>
      <c r="BD279" s="9">
        <v>0</v>
      </c>
      <c r="BE279" s="9">
        <v>0</v>
      </c>
      <c r="BF279" s="9">
        <v>0</v>
      </c>
      <c r="BG279" s="9">
        <v>0</v>
      </c>
      <c r="BH279" s="9">
        <v>0</v>
      </c>
      <c r="BI279" s="9">
        <v>0</v>
      </c>
      <c r="BJ279" s="9">
        <v>0</v>
      </c>
      <c r="BK279" s="9">
        <v>0</v>
      </c>
      <c r="BL279" s="9">
        <v>0</v>
      </c>
      <c r="BM279" s="9">
        <v>0</v>
      </c>
      <c r="BN279" s="9">
        <v>0</v>
      </c>
      <c r="BO279" s="9">
        <v>0</v>
      </c>
      <c r="BP279" s="9">
        <v>0</v>
      </c>
      <c r="BQ279" s="9">
        <v>0</v>
      </c>
      <c r="BR279" s="9">
        <v>0</v>
      </c>
      <c r="BS279" s="9">
        <v>0</v>
      </c>
      <c r="BT279" s="9">
        <v>0</v>
      </c>
      <c r="BU279" s="9">
        <v>0</v>
      </c>
      <c r="BV279" s="9">
        <v>0</v>
      </c>
      <c r="BW279" s="9">
        <v>0</v>
      </c>
      <c r="BX279" s="9">
        <v>0</v>
      </c>
      <c r="BY279" s="9">
        <v>1</v>
      </c>
      <c r="BZ279" s="9">
        <v>0</v>
      </c>
      <c r="CA279" s="9">
        <v>0</v>
      </c>
      <c r="CB279" s="9">
        <v>0</v>
      </c>
      <c r="CC279" s="9">
        <v>0</v>
      </c>
      <c r="CD279" s="9">
        <v>0</v>
      </c>
      <c r="CE279" s="9">
        <v>0</v>
      </c>
      <c r="CF279" s="9">
        <v>0</v>
      </c>
      <c r="CG279" s="9">
        <v>0</v>
      </c>
      <c r="CH279" s="9">
        <v>0</v>
      </c>
      <c r="CI279" s="9">
        <v>0</v>
      </c>
      <c r="CJ279" s="9">
        <v>0</v>
      </c>
      <c r="CK279" s="9">
        <v>0</v>
      </c>
      <c r="CL279" s="9">
        <v>0</v>
      </c>
      <c r="CM279" s="9">
        <v>1</v>
      </c>
      <c r="CN279" s="9">
        <v>0</v>
      </c>
      <c r="CO279" s="9">
        <v>2</v>
      </c>
      <c r="CP279" s="9">
        <v>1</v>
      </c>
      <c r="CQ279" s="9">
        <v>1</v>
      </c>
      <c r="CR279" s="9">
        <v>0</v>
      </c>
      <c r="CS279" s="9">
        <v>0</v>
      </c>
      <c r="CT279" s="9">
        <v>1</v>
      </c>
      <c r="CU279" s="9">
        <v>0</v>
      </c>
      <c r="CV279" s="9">
        <v>1</v>
      </c>
      <c r="CW279" s="9">
        <v>0</v>
      </c>
      <c r="CX279" s="9">
        <v>0</v>
      </c>
      <c r="CY279" s="9">
        <v>1</v>
      </c>
      <c r="CZ279" s="9">
        <v>0</v>
      </c>
      <c r="DA279" s="9">
        <v>0</v>
      </c>
      <c r="DB279" s="9">
        <v>0</v>
      </c>
      <c r="DC279" s="9">
        <v>0</v>
      </c>
      <c r="DD279" s="9">
        <v>0</v>
      </c>
      <c r="DE279" s="9">
        <v>0</v>
      </c>
      <c r="DF279" s="9">
        <v>0</v>
      </c>
      <c r="DG279" s="9">
        <v>0</v>
      </c>
      <c r="DH279" s="9">
        <v>0</v>
      </c>
      <c r="DI279" s="9">
        <v>0</v>
      </c>
      <c r="DJ279" s="9">
        <v>0</v>
      </c>
      <c r="DK279" s="9">
        <v>0</v>
      </c>
      <c r="DL279" s="9">
        <v>0</v>
      </c>
      <c r="DM279" s="9">
        <v>0</v>
      </c>
      <c r="DN279" s="9">
        <v>0</v>
      </c>
      <c r="DO279" s="9">
        <v>0</v>
      </c>
      <c r="DP279" s="9">
        <v>0</v>
      </c>
      <c r="DQ279" s="9">
        <v>0</v>
      </c>
      <c r="DR279" s="9">
        <v>0</v>
      </c>
      <c r="DS279" s="9">
        <v>0</v>
      </c>
      <c r="DT279" s="9">
        <v>1</v>
      </c>
      <c r="DU279" s="9">
        <v>0</v>
      </c>
      <c r="DV279" s="9">
        <v>0</v>
      </c>
      <c r="DW279" s="9">
        <v>0</v>
      </c>
      <c r="DX279" s="9">
        <v>0</v>
      </c>
      <c r="DY279" s="9">
        <v>0</v>
      </c>
      <c r="DZ279" s="9">
        <v>0</v>
      </c>
      <c r="EA279" s="9">
        <v>1</v>
      </c>
      <c r="EB279" s="9">
        <v>0</v>
      </c>
      <c r="EC279" s="9">
        <v>0</v>
      </c>
      <c r="ED279" s="9">
        <v>0</v>
      </c>
      <c r="EE279" s="9">
        <v>0</v>
      </c>
      <c r="EF279" s="9">
        <v>0</v>
      </c>
      <c r="EG279" s="9">
        <v>0</v>
      </c>
      <c r="EH279" s="9">
        <v>0</v>
      </c>
      <c r="EI279" s="10">
        <v>1</v>
      </c>
    </row>
    <row r="280" spans="1:139" x14ac:dyDescent="0.35">
      <c r="A280" s="8" t="s">
        <v>413</v>
      </c>
      <c r="B280" s="9" t="s">
        <v>486</v>
      </c>
      <c r="C280" s="9" t="s">
        <v>487</v>
      </c>
      <c r="D280" s="9">
        <f t="shared" si="4"/>
        <v>1</v>
      </c>
      <c r="E280" s="9">
        <v>0</v>
      </c>
      <c r="F280" s="9">
        <v>0</v>
      </c>
      <c r="G280" s="9">
        <v>0</v>
      </c>
      <c r="H280" s="9">
        <v>0</v>
      </c>
      <c r="I280" s="9">
        <v>0</v>
      </c>
      <c r="J280" s="9">
        <v>0</v>
      </c>
      <c r="K280" s="9">
        <v>0</v>
      </c>
      <c r="L280" s="9">
        <v>0</v>
      </c>
      <c r="M280" s="9">
        <v>0</v>
      </c>
      <c r="N280" s="9">
        <v>0</v>
      </c>
      <c r="O280" s="9">
        <v>0</v>
      </c>
      <c r="P280" s="9">
        <v>0</v>
      </c>
      <c r="Q280" s="9">
        <v>0</v>
      </c>
      <c r="R280" s="9">
        <v>0</v>
      </c>
      <c r="S280" s="9">
        <v>0</v>
      </c>
      <c r="T280" s="9">
        <v>0</v>
      </c>
      <c r="U280" s="9">
        <v>1</v>
      </c>
      <c r="V280" s="9">
        <v>0</v>
      </c>
      <c r="W280" s="9">
        <v>0</v>
      </c>
      <c r="X280" s="9">
        <v>0</v>
      </c>
      <c r="Y280" s="9">
        <v>0</v>
      </c>
      <c r="Z280" s="9">
        <v>0</v>
      </c>
      <c r="AA280" s="9">
        <v>0</v>
      </c>
      <c r="AB280" s="9">
        <v>0</v>
      </c>
      <c r="AC280" s="9">
        <v>0</v>
      </c>
      <c r="AD280" s="9">
        <v>0</v>
      </c>
      <c r="AE280" s="9">
        <v>0</v>
      </c>
      <c r="AF280" s="9">
        <v>0</v>
      </c>
      <c r="AG280" s="9">
        <v>0</v>
      </c>
      <c r="AH280" s="9">
        <v>0</v>
      </c>
      <c r="AI280" s="9">
        <v>0</v>
      </c>
      <c r="AJ280" s="9">
        <v>0</v>
      </c>
      <c r="AK280" s="9">
        <v>0</v>
      </c>
      <c r="AL280" s="9">
        <v>0</v>
      </c>
      <c r="AM280" s="9">
        <v>0</v>
      </c>
      <c r="AN280" s="9">
        <v>0</v>
      </c>
      <c r="AO280" s="9">
        <v>0</v>
      </c>
      <c r="AP280" s="9">
        <v>0</v>
      </c>
      <c r="AQ280" s="9">
        <v>0</v>
      </c>
      <c r="AR280" s="9">
        <v>0</v>
      </c>
      <c r="AS280" s="9">
        <v>0</v>
      </c>
      <c r="AT280" s="9">
        <v>0</v>
      </c>
      <c r="AU280" s="9">
        <v>0</v>
      </c>
      <c r="AV280" s="9">
        <v>0</v>
      </c>
      <c r="AW280" s="9">
        <v>0</v>
      </c>
      <c r="AX280" s="9">
        <v>0</v>
      </c>
      <c r="AY280" s="9">
        <v>0</v>
      </c>
      <c r="AZ280" s="9">
        <v>0</v>
      </c>
      <c r="BA280" s="9">
        <v>0</v>
      </c>
      <c r="BB280" s="9">
        <v>0</v>
      </c>
      <c r="BC280" s="9">
        <v>0</v>
      </c>
      <c r="BD280" s="9">
        <v>0</v>
      </c>
      <c r="BE280" s="9">
        <v>0</v>
      </c>
      <c r="BF280" s="9">
        <v>0</v>
      </c>
      <c r="BG280" s="9">
        <v>0</v>
      </c>
      <c r="BH280" s="9">
        <v>0</v>
      </c>
      <c r="BI280" s="9">
        <v>0</v>
      </c>
      <c r="BJ280" s="9">
        <v>0</v>
      </c>
      <c r="BK280" s="9">
        <v>0</v>
      </c>
      <c r="BL280" s="9">
        <v>0</v>
      </c>
      <c r="BM280" s="9">
        <v>0</v>
      </c>
      <c r="BN280" s="9">
        <v>0</v>
      </c>
      <c r="BO280" s="9">
        <v>0</v>
      </c>
      <c r="BP280" s="9">
        <v>0</v>
      </c>
      <c r="BQ280" s="9">
        <v>0</v>
      </c>
      <c r="BR280" s="9">
        <v>0</v>
      </c>
      <c r="BS280" s="9">
        <v>0</v>
      </c>
      <c r="BT280" s="9">
        <v>0</v>
      </c>
      <c r="BU280" s="9">
        <v>0</v>
      </c>
      <c r="BV280" s="9">
        <v>0</v>
      </c>
      <c r="BW280" s="9">
        <v>0</v>
      </c>
      <c r="BX280" s="9">
        <v>0</v>
      </c>
      <c r="BY280" s="9">
        <v>0</v>
      </c>
      <c r="BZ280" s="9">
        <v>0</v>
      </c>
      <c r="CA280" s="9">
        <v>0</v>
      </c>
      <c r="CB280" s="9">
        <v>0</v>
      </c>
      <c r="CC280" s="9">
        <v>0</v>
      </c>
      <c r="CD280" s="9">
        <v>0</v>
      </c>
      <c r="CE280" s="9">
        <v>0</v>
      </c>
      <c r="CF280" s="9">
        <v>0</v>
      </c>
      <c r="CG280" s="9">
        <v>0</v>
      </c>
      <c r="CH280" s="9">
        <v>0</v>
      </c>
      <c r="CI280" s="9">
        <v>0</v>
      </c>
      <c r="CJ280" s="9">
        <v>0</v>
      </c>
      <c r="CK280" s="9">
        <v>0</v>
      </c>
      <c r="CL280" s="9">
        <v>0</v>
      </c>
      <c r="CM280" s="9">
        <v>0</v>
      </c>
      <c r="CN280" s="9">
        <v>0</v>
      </c>
      <c r="CO280" s="9">
        <v>0</v>
      </c>
      <c r="CP280" s="9">
        <v>0</v>
      </c>
      <c r="CQ280" s="9">
        <v>0</v>
      </c>
      <c r="CR280" s="9">
        <v>0</v>
      </c>
      <c r="CS280" s="9">
        <v>0</v>
      </c>
      <c r="CT280" s="9">
        <v>0</v>
      </c>
      <c r="CU280" s="9">
        <v>0</v>
      </c>
      <c r="CV280" s="9">
        <v>0</v>
      </c>
      <c r="CW280" s="9">
        <v>0</v>
      </c>
      <c r="CX280" s="9">
        <v>0</v>
      </c>
      <c r="CY280" s="9">
        <v>0</v>
      </c>
      <c r="CZ280" s="9">
        <v>0</v>
      </c>
      <c r="DA280" s="9">
        <v>0</v>
      </c>
      <c r="DB280" s="9">
        <v>0</v>
      </c>
      <c r="DC280" s="9">
        <v>0</v>
      </c>
      <c r="DD280" s="9">
        <v>0</v>
      </c>
      <c r="DE280" s="9">
        <v>0</v>
      </c>
      <c r="DF280" s="9">
        <v>0</v>
      </c>
      <c r="DG280" s="9">
        <v>0</v>
      </c>
      <c r="DH280" s="9">
        <v>0</v>
      </c>
      <c r="DI280" s="9">
        <v>0</v>
      </c>
      <c r="DJ280" s="9">
        <v>0</v>
      </c>
      <c r="DK280" s="9">
        <v>0</v>
      </c>
      <c r="DL280" s="9">
        <v>0</v>
      </c>
      <c r="DM280" s="9">
        <v>0</v>
      </c>
      <c r="DN280" s="9">
        <v>0</v>
      </c>
      <c r="DO280" s="9">
        <v>0</v>
      </c>
      <c r="DP280" s="9">
        <v>0</v>
      </c>
      <c r="DQ280" s="9">
        <v>0</v>
      </c>
      <c r="DR280" s="9">
        <v>0</v>
      </c>
      <c r="DS280" s="9">
        <v>0</v>
      </c>
      <c r="DT280" s="9">
        <v>0</v>
      </c>
      <c r="DU280" s="9">
        <v>0</v>
      </c>
      <c r="DV280" s="9">
        <v>0</v>
      </c>
      <c r="DW280" s="9">
        <v>0</v>
      </c>
      <c r="DX280" s="9">
        <v>0</v>
      </c>
      <c r="DY280" s="9">
        <v>0</v>
      </c>
      <c r="DZ280" s="9">
        <v>0</v>
      </c>
      <c r="EA280" s="9">
        <v>0</v>
      </c>
      <c r="EB280" s="9">
        <v>0</v>
      </c>
      <c r="EC280" s="9">
        <v>0</v>
      </c>
      <c r="ED280" s="9">
        <v>0</v>
      </c>
      <c r="EE280" s="9">
        <v>0</v>
      </c>
      <c r="EF280" s="9">
        <v>0</v>
      </c>
      <c r="EG280" s="9">
        <v>0</v>
      </c>
      <c r="EH280" s="9">
        <v>0</v>
      </c>
      <c r="EI280" s="10">
        <v>0</v>
      </c>
    </row>
    <row r="281" spans="1:139" x14ac:dyDescent="0.35">
      <c r="A281" s="8" t="s">
        <v>413</v>
      </c>
      <c r="B281" s="9" t="s">
        <v>488</v>
      </c>
      <c r="C281" s="9" t="s">
        <v>489</v>
      </c>
      <c r="D281" s="9">
        <f t="shared" si="4"/>
        <v>6</v>
      </c>
      <c r="E281" s="9">
        <v>0</v>
      </c>
      <c r="F281" s="9">
        <v>0</v>
      </c>
      <c r="G281" s="9">
        <v>0</v>
      </c>
      <c r="H281" s="9">
        <v>0</v>
      </c>
      <c r="I281" s="9">
        <v>0</v>
      </c>
      <c r="J281" s="9">
        <v>0</v>
      </c>
      <c r="K281" s="9">
        <v>0</v>
      </c>
      <c r="L281" s="9">
        <v>0</v>
      </c>
      <c r="M281" s="9">
        <v>0</v>
      </c>
      <c r="N281" s="9">
        <v>0</v>
      </c>
      <c r="O281" s="9">
        <v>0</v>
      </c>
      <c r="P281" s="9">
        <v>0</v>
      </c>
      <c r="Q281" s="9">
        <v>0</v>
      </c>
      <c r="R281" s="9">
        <v>0</v>
      </c>
      <c r="S281" s="9">
        <v>0</v>
      </c>
      <c r="T281" s="9">
        <v>0</v>
      </c>
      <c r="U281" s="9">
        <v>0</v>
      </c>
      <c r="V281" s="9">
        <v>0</v>
      </c>
      <c r="W281" s="9">
        <v>0</v>
      </c>
      <c r="X281" s="9">
        <v>1</v>
      </c>
      <c r="Y281" s="9">
        <v>1</v>
      </c>
      <c r="Z281" s="9">
        <v>1</v>
      </c>
      <c r="AA281" s="9">
        <v>0</v>
      </c>
      <c r="AB281" s="9">
        <v>0</v>
      </c>
      <c r="AC281" s="9">
        <v>0</v>
      </c>
      <c r="AD281" s="9">
        <v>0</v>
      </c>
      <c r="AE281" s="9">
        <v>0</v>
      </c>
      <c r="AF281" s="9">
        <v>0</v>
      </c>
      <c r="AG281" s="9">
        <v>0</v>
      </c>
      <c r="AH281" s="9">
        <v>0</v>
      </c>
      <c r="AI281" s="9">
        <v>0</v>
      </c>
      <c r="AJ281" s="9">
        <v>0</v>
      </c>
      <c r="AK281" s="9">
        <v>0</v>
      </c>
      <c r="AL281" s="9">
        <v>0</v>
      </c>
      <c r="AM281" s="9">
        <v>0</v>
      </c>
      <c r="AN281" s="9">
        <v>0</v>
      </c>
      <c r="AO281" s="9">
        <v>0</v>
      </c>
      <c r="AP281" s="9">
        <v>0</v>
      </c>
      <c r="AQ281" s="9">
        <v>0</v>
      </c>
      <c r="AR281" s="9">
        <v>0</v>
      </c>
      <c r="AS281" s="9">
        <v>0</v>
      </c>
      <c r="AT281" s="9">
        <v>0</v>
      </c>
      <c r="AU281" s="9">
        <v>0</v>
      </c>
      <c r="AV281" s="9">
        <v>0</v>
      </c>
      <c r="AW281" s="9">
        <v>0</v>
      </c>
      <c r="AX281" s="9">
        <v>0</v>
      </c>
      <c r="AY281" s="9">
        <v>0</v>
      </c>
      <c r="AZ281" s="9">
        <v>0</v>
      </c>
      <c r="BA281" s="9">
        <v>0</v>
      </c>
      <c r="BB281" s="9">
        <v>2</v>
      </c>
      <c r="BC281" s="9">
        <v>0</v>
      </c>
      <c r="BD281" s="9">
        <v>0</v>
      </c>
      <c r="BE281" s="9">
        <v>0</v>
      </c>
      <c r="BF281" s="9">
        <v>0</v>
      </c>
      <c r="BG281" s="9">
        <v>0</v>
      </c>
      <c r="BH281" s="9">
        <v>1</v>
      </c>
      <c r="BI281" s="9">
        <v>0</v>
      </c>
      <c r="BJ281" s="9">
        <v>0</v>
      </c>
      <c r="BK281" s="9">
        <v>0</v>
      </c>
      <c r="BL281" s="9">
        <v>0</v>
      </c>
      <c r="BM281" s="9">
        <v>0</v>
      </c>
      <c r="BN281" s="9">
        <v>0</v>
      </c>
      <c r="BO281" s="9">
        <v>0</v>
      </c>
      <c r="BP281" s="9">
        <v>0</v>
      </c>
      <c r="BQ281" s="9">
        <v>0</v>
      </c>
      <c r="BR281" s="9">
        <v>0</v>
      </c>
      <c r="BS281" s="9">
        <v>0</v>
      </c>
      <c r="BT281" s="9">
        <v>0</v>
      </c>
      <c r="BU281" s="9">
        <v>0</v>
      </c>
      <c r="BV281" s="9">
        <v>0</v>
      </c>
      <c r="BW281" s="9">
        <v>0</v>
      </c>
      <c r="BX281" s="9">
        <v>0</v>
      </c>
      <c r="BY281" s="9">
        <v>0</v>
      </c>
      <c r="BZ281" s="9">
        <v>0</v>
      </c>
      <c r="CA281" s="9">
        <v>0</v>
      </c>
      <c r="CB281" s="9">
        <v>0</v>
      </c>
      <c r="CC281" s="9">
        <v>0</v>
      </c>
      <c r="CD281" s="9">
        <v>0</v>
      </c>
      <c r="CE281" s="9">
        <v>0</v>
      </c>
      <c r="CF281" s="9">
        <v>0</v>
      </c>
      <c r="CG281" s="9">
        <v>0</v>
      </c>
      <c r="CH281" s="9">
        <v>0</v>
      </c>
      <c r="CI281" s="9">
        <v>0</v>
      </c>
      <c r="CJ281" s="9">
        <v>0</v>
      </c>
      <c r="CK281" s="9">
        <v>0</v>
      </c>
      <c r="CL281" s="9">
        <v>0</v>
      </c>
      <c r="CM281" s="9">
        <v>0</v>
      </c>
      <c r="CN281" s="9">
        <v>0</v>
      </c>
      <c r="CO281" s="9">
        <v>0</v>
      </c>
      <c r="CP281" s="9">
        <v>0</v>
      </c>
      <c r="CQ281" s="9">
        <v>0</v>
      </c>
      <c r="CR281" s="9">
        <v>0</v>
      </c>
      <c r="CS281" s="9">
        <v>0</v>
      </c>
      <c r="CT281" s="9">
        <v>0</v>
      </c>
      <c r="CU281" s="9">
        <v>0</v>
      </c>
      <c r="CV281" s="9">
        <v>0</v>
      </c>
      <c r="CW281" s="9">
        <v>0</v>
      </c>
      <c r="CX281" s="9">
        <v>0</v>
      </c>
      <c r="CY281" s="9">
        <v>0</v>
      </c>
      <c r="CZ281" s="9">
        <v>0</v>
      </c>
      <c r="DA281" s="9">
        <v>0</v>
      </c>
      <c r="DB281" s="9">
        <v>0</v>
      </c>
      <c r="DC281" s="9">
        <v>0</v>
      </c>
      <c r="DD281" s="9">
        <v>0</v>
      </c>
      <c r="DE281" s="9">
        <v>0</v>
      </c>
      <c r="DF281" s="9">
        <v>0</v>
      </c>
      <c r="DG281" s="9">
        <v>0</v>
      </c>
      <c r="DH281" s="9">
        <v>0</v>
      </c>
      <c r="DI281" s="9">
        <v>0</v>
      </c>
      <c r="DJ281" s="9">
        <v>0</v>
      </c>
      <c r="DK281" s="9">
        <v>0</v>
      </c>
      <c r="DL281" s="9">
        <v>0</v>
      </c>
      <c r="DM281" s="9">
        <v>0</v>
      </c>
      <c r="DN281" s="9">
        <v>0</v>
      </c>
      <c r="DO281" s="9">
        <v>0</v>
      </c>
      <c r="DP281" s="9">
        <v>0</v>
      </c>
      <c r="DQ281" s="9">
        <v>0</v>
      </c>
      <c r="DR281" s="9">
        <v>0</v>
      </c>
      <c r="DS281" s="9">
        <v>0</v>
      </c>
      <c r="DT281" s="9">
        <v>0</v>
      </c>
      <c r="DU281" s="9">
        <v>0</v>
      </c>
      <c r="DV281" s="9">
        <v>0</v>
      </c>
      <c r="DW281" s="9">
        <v>0</v>
      </c>
      <c r="DX281" s="9">
        <v>0</v>
      </c>
      <c r="DY281" s="9">
        <v>0</v>
      </c>
      <c r="DZ281" s="9">
        <v>0</v>
      </c>
      <c r="EA281" s="9">
        <v>0</v>
      </c>
      <c r="EB281" s="9">
        <v>0</v>
      </c>
      <c r="EC281" s="9">
        <v>0</v>
      </c>
      <c r="ED281" s="9">
        <v>0</v>
      </c>
      <c r="EE281" s="9">
        <v>0</v>
      </c>
      <c r="EF281" s="9">
        <v>0</v>
      </c>
      <c r="EG281" s="9">
        <v>0</v>
      </c>
      <c r="EH281" s="9">
        <v>0</v>
      </c>
      <c r="EI281" s="10">
        <v>0</v>
      </c>
    </row>
    <row r="282" spans="1:139" x14ac:dyDescent="0.35">
      <c r="A282" s="8" t="s">
        <v>413</v>
      </c>
      <c r="B282" s="9" t="s">
        <v>490</v>
      </c>
      <c r="C282" s="9" t="s">
        <v>491</v>
      </c>
      <c r="D282" s="9">
        <f t="shared" si="4"/>
        <v>52</v>
      </c>
      <c r="E282" s="9">
        <v>1</v>
      </c>
      <c r="F282" s="9">
        <v>0</v>
      </c>
      <c r="G282" s="9">
        <v>2</v>
      </c>
      <c r="H282" s="9">
        <v>0</v>
      </c>
      <c r="I282" s="9">
        <v>0</v>
      </c>
      <c r="J282" s="9">
        <v>0</v>
      </c>
      <c r="K282" s="9">
        <v>0</v>
      </c>
      <c r="L282" s="9">
        <v>1</v>
      </c>
      <c r="M282" s="9">
        <v>0</v>
      </c>
      <c r="N282" s="9">
        <v>1</v>
      </c>
      <c r="O282" s="9">
        <v>1</v>
      </c>
      <c r="P282" s="9">
        <v>4</v>
      </c>
      <c r="Q282" s="9">
        <v>2</v>
      </c>
      <c r="R282" s="9">
        <v>1</v>
      </c>
      <c r="S282" s="9">
        <v>0</v>
      </c>
      <c r="T282" s="9">
        <v>0</v>
      </c>
      <c r="U282" s="9">
        <v>2</v>
      </c>
      <c r="V282" s="9">
        <v>0</v>
      </c>
      <c r="W282" s="9">
        <v>5</v>
      </c>
      <c r="X282" s="9">
        <v>0</v>
      </c>
      <c r="Y282" s="9">
        <v>0</v>
      </c>
      <c r="Z282" s="9">
        <v>1</v>
      </c>
      <c r="AA282" s="9">
        <v>0</v>
      </c>
      <c r="AB282" s="9">
        <v>1</v>
      </c>
      <c r="AC282" s="9">
        <v>1</v>
      </c>
      <c r="AD282" s="9">
        <v>1</v>
      </c>
      <c r="AE282" s="9">
        <v>3</v>
      </c>
      <c r="AF282" s="9">
        <v>1</v>
      </c>
      <c r="AG282" s="9">
        <v>0</v>
      </c>
      <c r="AH282" s="9">
        <v>0</v>
      </c>
      <c r="AI282" s="9">
        <v>2</v>
      </c>
      <c r="AJ282" s="9">
        <v>0</v>
      </c>
      <c r="AK282" s="9">
        <v>1</v>
      </c>
      <c r="AL282" s="9">
        <v>2</v>
      </c>
      <c r="AM282" s="9">
        <v>0</v>
      </c>
      <c r="AN282" s="9">
        <v>1</v>
      </c>
      <c r="AO282" s="9">
        <v>1</v>
      </c>
      <c r="AP282" s="9">
        <v>0</v>
      </c>
      <c r="AQ282" s="9">
        <v>0</v>
      </c>
      <c r="AR282" s="9">
        <v>0</v>
      </c>
      <c r="AS282" s="9">
        <v>3</v>
      </c>
      <c r="AT282" s="9">
        <v>0</v>
      </c>
      <c r="AU282" s="9">
        <v>1</v>
      </c>
      <c r="AV282" s="9">
        <v>0</v>
      </c>
      <c r="AW282" s="9">
        <v>0</v>
      </c>
      <c r="AX282" s="9">
        <v>0</v>
      </c>
      <c r="AY282" s="9">
        <v>0</v>
      </c>
      <c r="AZ282" s="9">
        <v>0</v>
      </c>
      <c r="BA282" s="9">
        <v>1</v>
      </c>
      <c r="BB282" s="9">
        <v>2</v>
      </c>
      <c r="BC282" s="9">
        <v>0</v>
      </c>
      <c r="BD282" s="9">
        <v>0</v>
      </c>
      <c r="BE282" s="9">
        <v>2</v>
      </c>
      <c r="BF282" s="9">
        <v>0</v>
      </c>
      <c r="BG282" s="9">
        <v>0</v>
      </c>
      <c r="BH282" s="9">
        <v>0</v>
      </c>
      <c r="BI282" s="9">
        <v>1</v>
      </c>
      <c r="BJ282" s="9">
        <v>0</v>
      </c>
      <c r="BK282" s="9">
        <v>1</v>
      </c>
      <c r="BL282" s="9">
        <v>0</v>
      </c>
      <c r="BM282" s="9">
        <v>0</v>
      </c>
      <c r="BN282" s="9">
        <v>0</v>
      </c>
      <c r="BO282" s="9">
        <v>0</v>
      </c>
      <c r="BP282" s="9">
        <v>0</v>
      </c>
      <c r="BQ282" s="9">
        <v>0</v>
      </c>
      <c r="BR282" s="9">
        <v>1</v>
      </c>
      <c r="BS282" s="9">
        <v>0</v>
      </c>
      <c r="BT282" s="9">
        <v>1</v>
      </c>
      <c r="BU282" s="9">
        <v>1</v>
      </c>
      <c r="BV282" s="9">
        <v>0</v>
      </c>
      <c r="BW282" s="9">
        <v>0</v>
      </c>
      <c r="BX282" s="9">
        <v>0</v>
      </c>
      <c r="BY282" s="9">
        <v>0</v>
      </c>
      <c r="BZ282" s="9">
        <v>1</v>
      </c>
      <c r="CA282" s="9">
        <v>0</v>
      </c>
      <c r="CB282" s="9">
        <v>1</v>
      </c>
      <c r="CC282" s="9">
        <v>0</v>
      </c>
      <c r="CD282" s="9">
        <v>0</v>
      </c>
      <c r="CE282" s="9">
        <v>0</v>
      </c>
      <c r="CF282" s="9">
        <v>0</v>
      </c>
      <c r="CG282" s="9">
        <v>0</v>
      </c>
      <c r="CH282" s="9">
        <v>0</v>
      </c>
      <c r="CI282" s="9">
        <v>0</v>
      </c>
      <c r="CJ282" s="9">
        <v>0</v>
      </c>
      <c r="CK282" s="9">
        <v>0</v>
      </c>
      <c r="CL282" s="9">
        <v>0</v>
      </c>
      <c r="CM282" s="9">
        <v>0</v>
      </c>
      <c r="CN282" s="9">
        <v>0</v>
      </c>
      <c r="CO282" s="9">
        <v>0</v>
      </c>
      <c r="CP282" s="9">
        <v>0</v>
      </c>
      <c r="CQ282" s="9">
        <v>0</v>
      </c>
      <c r="CR282" s="9">
        <v>0</v>
      </c>
      <c r="CS282" s="9">
        <v>0</v>
      </c>
      <c r="CT282" s="9">
        <v>0</v>
      </c>
      <c r="CU282" s="9">
        <v>0</v>
      </c>
      <c r="CV282" s="9">
        <v>0</v>
      </c>
      <c r="CW282" s="9">
        <v>0</v>
      </c>
      <c r="CX282" s="9">
        <v>0</v>
      </c>
      <c r="CY282" s="9">
        <v>0</v>
      </c>
      <c r="CZ282" s="9">
        <v>0</v>
      </c>
      <c r="DA282" s="9">
        <v>0</v>
      </c>
      <c r="DB282" s="9">
        <v>0</v>
      </c>
      <c r="DC282" s="9">
        <v>0</v>
      </c>
      <c r="DD282" s="9">
        <v>1</v>
      </c>
      <c r="DE282" s="9">
        <v>0</v>
      </c>
      <c r="DF282" s="9">
        <v>0</v>
      </c>
      <c r="DG282" s="9">
        <v>0</v>
      </c>
      <c r="DH282" s="9">
        <v>0</v>
      </c>
      <c r="DI282" s="9">
        <v>0</v>
      </c>
      <c r="DJ282" s="9">
        <v>0</v>
      </c>
      <c r="DK282" s="9">
        <v>0</v>
      </c>
      <c r="DL282" s="9">
        <v>0</v>
      </c>
      <c r="DM282" s="9">
        <v>0</v>
      </c>
      <c r="DN282" s="9">
        <v>0</v>
      </c>
      <c r="DO282" s="9">
        <v>0</v>
      </c>
      <c r="DP282" s="9">
        <v>0</v>
      </c>
      <c r="DQ282" s="9">
        <v>0</v>
      </c>
      <c r="DR282" s="9">
        <v>0</v>
      </c>
      <c r="DS282" s="9">
        <v>0</v>
      </c>
      <c r="DT282" s="9">
        <v>0</v>
      </c>
      <c r="DU282" s="9">
        <v>0</v>
      </c>
      <c r="DV282" s="9">
        <v>0</v>
      </c>
      <c r="DW282" s="9">
        <v>0</v>
      </c>
      <c r="DX282" s="9">
        <v>0</v>
      </c>
      <c r="DY282" s="9">
        <v>0</v>
      </c>
      <c r="DZ282" s="9">
        <v>0</v>
      </c>
      <c r="EA282" s="9">
        <v>0</v>
      </c>
      <c r="EB282" s="9">
        <v>0</v>
      </c>
      <c r="EC282" s="9">
        <v>0</v>
      </c>
      <c r="ED282" s="9">
        <v>0</v>
      </c>
      <c r="EE282" s="9">
        <v>0</v>
      </c>
      <c r="EF282" s="9">
        <v>0</v>
      </c>
      <c r="EG282" s="9">
        <v>0</v>
      </c>
      <c r="EH282" s="9">
        <v>0</v>
      </c>
      <c r="EI282" s="10">
        <v>0</v>
      </c>
    </row>
    <row r="283" spans="1:139" x14ac:dyDescent="0.35">
      <c r="A283" s="8" t="s">
        <v>413</v>
      </c>
      <c r="B283" s="9" t="s">
        <v>492</v>
      </c>
      <c r="C283" s="9" t="s">
        <v>493</v>
      </c>
      <c r="D283" s="9">
        <f t="shared" si="4"/>
        <v>174</v>
      </c>
      <c r="E283" s="9">
        <v>0</v>
      </c>
      <c r="F283" s="9">
        <v>0</v>
      </c>
      <c r="G283" s="9">
        <v>0</v>
      </c>
      <c r="H283" s="9">
        <v>0</v>
      </c>
      <c r="I283" s="9">
        <v>0</v>
      </c>
      <c r="J283" s="9">
        <v>0</v>
      </c>
      <c r="K283" s="9">
        <v>0</v>
      </c>
      <c r="L283" s="9">
        <v>0</v>
      </c>
      <c r="M283" s="9">
        <v>0</v>
      </c>
      <c r="N283" s="9">
        <v>0</v>
      </c>
      <c r="O283" s="9">
        <v>0</v>
      </c>
      <c r="P283" s="9">
        <v>0</v>
      </c>
      <c r="Q283" s="9">
        <v>0</v>
      </c>
      <c r="R283" s="9">
        <v>0</v>
      </c>
      <c r="S283" s="9">
        <v>0</v>
      </c>
      <c r="T283" s="9">
        <v>2</v>
      </c>
      <c r="U283" s="9">
        <v>5</v>
      </c>
      <c r="V283" s="9">
        <v>0</v>
      </c>
      <c r="W283" s="9">
        <v>0</v>
      </c>
      <c r="X283" s="9">
        <v>1</v>
      </c>
      <c r="Y283" s="9">
        <v>3</v>
      </c>
      <c r="Z283" s="9">
        <v>4</v>
      </c>
      <c r="AA283" s="9">
        <v>2</v>
      </c>
      <c r="AB283" s="9">
        <v>2</v>
      </c>
      <c r="AC283" s="9">
        <v>0</v>
      </c>
      <c r="AD283" s="9">
        <v>0</v>
      </c>
      <c r="AE283" s="9">
        <v>2</v>
      </c>
      <c r="AF283" s="9">
        <v>2</v>
      </c>
      <c r="AG283" s="9">
        <v>0</v>
      </c>
      <c r="AH283" s="9">
        <v>7</v>
      </c>
      <c r="AI283" s="9">
        <v>3</v>
      </c>
      <c r="AJ283" s="9">
        <v>1</v>
      </c>
      <c r="AK283" s="9">
        <v>0</v>
      </c>
      <c r="AL283" s="9">
        <v>0</v>
      </c>
      <c r="AM283" s="9">
        <v>1</v>
      </c>
      <c r="AN283" s="9">
        <v>4</v>
      </c>
      <c r="AO283" s="9">
        <v>3</v>
      </c>
      <c r="AP283" s="9">
        <v>5</v>
      </c>
      <c r="AQ283" s="9">
        <v>1</v>
      </c>
      <c r="AR283" s="9">
        <v>2</v>
      </c>
      <c r="AS283" s="9">
        <v>0</v>
      </c>
      <c r="AT283" s="9">
        <v>2</v>
      </c>
      <c r="AU283" s="9">
        <v>2</v>
      </c>
      <c r="AV283" s="9">
        <v>2</v>
      </c>
      <c r="AW283" s="9">
        <v>3</v>
      </c>
      <c r="AX283" s="9">
        <v>3</v>
      </c>
      <c r="AY283" s="9">
        <v>0</v>
      </c>
      <c r="AZ283" s="9">
        <v>3</v>
      </c>
      <c r="BA283" s="9">
        <v>2</v>
      </c>
      <c r="BB283" s="9">
        <v>2</v>
      </c>
      <c r="BC283" s="9">
        <v>1</v>
      </c>
      <c r="BD283" s="9">
        <v>2</v>
      </c>
      <c r="BE283" s="9">
        <v>2</v>
      </c>
      <c r="BF283" s="9">
        <v>3</v>
      </c>
      <c r="BG283" s="9">
        <v>3</v>
      </c>
      <c r="BH283" s="9">
        <v>6</v>
      </c>
      <c r="BI283" s="9">
        <v>2</v>
      </c>
      <c r="BJ283" s="9">
        <v>4</v>
      </c>
      <c r="BK283" s="9">
        <v>1</v>
      </c>
      <c r="BL283" s="9">
        <v>6</v>
      </c>
      <c r="BM283" s="9">
        <v>4</v>
      </c>
      <c r="BN283" s="9">
        <v>2</v>
      </c>
      <c r="BO283" s="9">
        <v>1</v>
      </c>
      <c r="BP283" s="9">
        <v>1</v>
      </c>
      <c r="BQ283" s="9">
        <v>2</v>
      </c>
      <c r="BR283" s="9">
        <v>2</v>
      </c>
      <c r="BS283" s="9">
        <v>3</v>
      </c>
      <c r="BT283" s="9">
        <v>3</v>
      </c>
      <c r="BU283" s="9">
        <v>1</v>
      </c>
      <c r="BV283" s="9">
        <v>0</v>
      </c>
      <c r="BW283" s="9">
        <v>0</v>
      </c>
      <c r="BX283" s="9">
        <v>1</v>
      </c>
      <c r="BY283" s="9">
        <v>5</v>
      </c>
      <c r="BZ283" s="9">
        <v>0</v>
      </c>
      <c r="CA283" s="9">
        <v>2</v>
      </c>
      <c r="CB283" s="9">
        <v>1</v>
      </c>
      <c r="CC283" s="9">
        <v>0</v>
      </c>
      <c r="CD283" s="9">
        <v>1</v>
      </c>
      <c r="CE283" s="9">
        <v>1</v>
      </c>
      <c r="CF283" s="9">
        <v>3</v>
      </c>
      <c r="CG283" s="9">
        <v>2</v>
      </c>
      <c r="CH283" s="9">
        <v>1</v>
      </c>
      <c r="CI283" s="9">
        <v>0</v>
      </c>
      <c r="CJ283" s="9">
        <v>1</v>
      </c>
      <c r="CK283" s="9">
        <v>0</v>
      </c>
      <c r="CL283" s="9">
        <v>0</v>
      </c>
      <c r="CM283" s="9">
        <v>0</v>
      </c>
      <c r="CN283" s="9">
        <v>3</v>
      </c>
      <c r="CO283" s="9">
        <v>0</v>
      </c>
      <c r="CP283" s="9">
        <v>2</v>
      </c>
      <c r="CQ283" s="9">
        <v>1</v>
      </c>
      <c r="CR283" s="9">
        <v>1</v>
      </c>
      <c r="CS283" s="9">
        <v>0</v>
      </c>
      <c r="CT283" s="9">
        <v>1</v>
      </c>
      <c r="CU283" s="9">
        <v>1</v>
      </c>
      <c r="CV283" s="9">
        <v>0</v>
      </c>
      <c r="CW283" s="9">
        <v>0</v>
      </c>
      <c r="CX283" s="9">
        <v>0</v>
      </c>
      <c r="CY283" s="9">
        <v>3</v>
      </c>
      <c r="CZ283" s="9">
        <v>4</v>
      </c>
      <c r="DA283" s="9">
        <v>2</v>
      </c>
      <c r="DB283" s="9">
        <v>2</v>
      </c>
      <c r="DC283" s="9">
        <v>0</v>
      </c>
      <c r="DD283" s="9">
        <v>0</v>
      </c>
      <c r="DE283" s="9">
        <v>1</v>
      </c>
      <c r="DF283" s="9">
        <v>2</v>
      </c>
      <c r="DG283" s="9">
        <v>0</v>
      </c>
      <c r="DH283" s="9">
        <v>0</v>
      </c>
      <c r="DI283" s="9">
        <v>0</v>
      </c>
      <c r="DJ283" s="9">
        <v>1</v>
      </c>
      <c r="DK283" s="9">
        <v>1</v>
      </c>
      <c r="DL283" s="9">
        <v>0</v>
      </c>
      <c r="DM283" s="9">
        <v>0</v>
      </c>
      <c r="DN283" s="9">
        <v>2</v>
      </c>
      <c r="DO283" s="9">
        <v>0</v>
      </c>
      <c r="DP283" s="9">
        <v>0</v>
      </c>
      <c r="DQ283" s="9">
        <v>0</v>
      </c>
      <c r="DR283" s="9">
        <v>0</v>
      </c>
      <c r="DS283" s="9">
        <v>3</v>
      </c>
      <c r="DT283" s="9">
        <v>0</v>
      </c>
      <c r="DU283" s="9">
        <v>0</v>
      </c>
      <c r="DV283" s="9">
        <v>1</v>
      </c>
      <c r="DW283" s="9">
        <v>2</v>
      </c>
      <c r="DX283" s="9">
        <v>0</v>
      </c>
      <c r="DY283" s="9">
        <v>0</v>
      </c>
      <c r="DZ283" s="9">
        <v>0</v>
      </c>
      <c r="EA283" s="9">
        <v>2</v>
      </c>
      <c r="EB283" s="9">
        <v>2</v>
      </c>
      <c r="EC283" s="9">
        <v>0</v>
      </c>
      <c r="ED283" s="9">
        <v>0</v>
      </c>
      <c r="EE283" s="9">
        <v>0</v>
      </c>
      <c r="EF283" s="9">
        <v>0</v>
      </c>
      <c r="EG283" s="9">
        <v>0</v>
      </c>
      <c r="EH283" s="9">
        <v>0</v>
      </c>
      <c r="EI283" s="10">
        <v>1</v>
      </c>
    </row>
    <row r="284" spans="1:139" x14ac:dyDescent="0.35">
      <c r="A284" s="8" t="s">
        <v>494</v>
      </c>
      <c r="B284" s="9" t="s">
        <v>495</v>
      </c>
      <c r="C284" s="9" t="s">
        <v>496</v>
      </c>
      <c r="D284" s="9">
        <f t="shared" si="4"/>
        <v>7</v>
      </c>
      <c r="E284" s="9">
        <v>0</v>
      </c>
      <c r="F284" s="9">
        <v>0</v>
      </c>
      <c r="G284" s="9">
        <v>0</v>
      </c>
      <c r="H284" s="9">
        <v>0</v>
      </c>
      <c r="I284" s="9">
        <v>0</v>
      </c>
      <c r="J284" s="9">
        <v>0</v>
      </c>
      <c r="K284" s="9">
        <v>0</v>
      </c>
      <c r="L284" s="9">
        <v>0</v>
      </c>
      <c r="M284" s="9">
        <v>0</v>
      </c>
      <c r="N284" s="9">
        <v>0</v>
      </c>
      <c r="O284" s="9">
        <v>0</v>
      </c>
      <c r="P284" s="9">
        <v>0</v>
      </c>
      <c r="Q284" s="9">
        <v>0</v>
      </c>
      <c r="R284" s="9">
        <v>0</v>
      </c>
      <c r="S284" s="9">
        <v>0</v>
      </c>
      <c r="T284" s="9">
        <v>0</v>
      </c>
      <c r="U284" s="9">
        <v>0</v>
      </c>
      <c r="V284" s="9">
        <v>0</v>
      </c>
      <c r="W284" s="9">
        <v>0</v>
      </c>
      <c r="X284" s="9">
        <v>0</v>
      </c>
      <c r="Y284" s="9">
        <v>0</v>
      </c>
      <c r="Z284" s="9">
        <v>0</v>
      </c>
      <c r="AA284" s="9">
        <v>0</v>
      </c>
      <c r="AB284" s="9">
        <v>0</v>
      </c>
      <c r="AC284" s="9">
        <v>0</v>
      </c>
      <c r="AD284" s="9">
        <v>1</v>
      </c>
      <c r="AE284" s="9">
        <v>1</v>
      </c>
      <c r="AF284" s="9">
        <v>0</v>
      </c>
      <c r="AG284" s="9">
        <v>0</v>
      </c>
      <c r="AH284" s="9">
        <v>0</v>
      </c>
      <c r="AI284" s="9">
        <v>0</v>
      </c>
      <c r="AJ284" s="9">
        <v>0</v>
      </c>
      <c r="AK284" s="9">
        <v>1</v>
      </c>
      <c r="AL284" s="9">
        <v>1</v>
      </c>
      <c r="AM284" s="9">
        <v>0</v>
      </c>
      <c r="AN284" s="9">
        <v>0</v>
      </c>
      <c r="AO284" s="9">
        <v>0</v>
      </c>
      <c r="AP284" s="9">
        <v>0</v>
      </c>
      <c r="AQ284" s="9">
        <v>0</v>
      </c>
      <c r="AR284" s="9">
        <v>0</v>
      </c>
      <c r="AS284" s="9">
        <v>0</v>
      </c>
      <c r="AT284" s="9">
        <v>1</v>
      </c>
      <c r="AU284" s="9">
        <v>0</v>
      </c>
      <c r="AV284" s="9">
        <v>0</v>
      </c>
      <c r="AW284" s="9">
        <v>0</v>
      </c>
      <c r="AX284" s="9">
        <v>0</v>
      </c>
      <c r="AY284" s="9">
        <v>0</v>
      </c>
      <c r="AZ284" s="9">
        <v>0</v>
      </c>
      <c r="BA284" s="9">
        <v>0</v>
      </c>
      <c r="BB284" s="9">
        <v>0</v>
      </c>
      <c r="BC284" s="9">
        <v>0</v>
      </c>
      <c r="BD284" s="9">
        <v>0</v>
      </c>
      <c r="BE284" s="9">
        <v>0</v>
      </c>
      <c r="BF284" s="9">
        <v>0</v>
      </c>
      <c r="BG284" s="9">
        <v>1</v>
      </c>
      <c r="BH284" s="9">
        <v>0</v>
      </c>
      <c r="BI284" s="9">
        <v>0</v>
      </c>
      <c r="BJ284" s="9">
        <v>0</v>
      </c>
      <c r="BK284" s="9">
        <v>0</v>
      </c>
      <c r="BL284" s="9">
        <v>0</v>
      </c>
      <c r="BM284" s="9">
        <v>0</v>
      </c>
      <c r="BN284" s="9">
        <v>0</v>
      </c>
      <c r="BO284" s="9">
        <v>1</v>
      </c>
      <c r="BP284" s="9">
        <v>0</v>
      </c>
      <c r="BQ284" s="9">
        <v>0</v>
      </c>
      <c r="BR284" s="9">
        <v>0</v>
      </c>
      <c r="BS284" s="9">
        <v>0</v>
      </c>
      <c r="BT284" s="9">
        <v>0</v>
      </c>
      <c r="BU284" s="9">
        <v>0</v>
      </c>
      <c r="BV284" s="9">
        <v>0</v>
      </c>
      <c r="BW284" s="9">
        <v>0</v>
      </c>
      <c r="BX284" s="9">
        <v>0</v>
      </c>
      <c r="BY284" s="9">
        <v>0</v>
      </c>
      <c r="BZ284" s="9">
        <v>0</v>
      </c>
      <c r="CA284" s="9">
        <v>0</v>
      </c>
      <c r="CB284" s="9">
        <v>0</v>
      </c>
      <c r="CC284" s="9">
        <v>0</v>
      </c>
      <c r="CD284" s="9">
        <v>0</v>
      </c>
      <c r="CE284" s="9">
        <v>0</v>
      </c>
      <c r="CF284" s="9">
        <v>0</v>
      </c>
      <c r="CG284" s="9">
        <v>0</v>
      </c>
      <c r="CH284" s="9">
        <v>0</v>
      </c>
      <c r="CI284" s="9">
        <v>0</v>
      </c>
      <c r="CJ284" s="9">
        <v>0</v>
      </c>
      <c r="CK284" s="9">
        <v>0</v>
      </c>
      <c r="CL284" s="9">
        <v>0</v>
      </c>
      <c r="CM284" s="9">
        <v>0</v>
      </c>
      <c r="CN284" s="9">
        <v>0</v>
      </c>
      <c r="CO284" s="9">
        <v>0</v>
      </c>
      <c r="CP284" s="9">
        <v>0</v>
      </c>
      <c r="CQ284" s="9">
        <v>0</v>
      </c>
      <c r="CR284" s="9">
        <v>0</v>
      </c>
      <c r="CS284" s="9">
        <v>0</v>
      </c>
      <c r="CT284" s="9">
        <v>0</v>
      </c>
      <c r="CU284" s="9">
        <v>0</v>
      </c>
      <c r="CV284" s="9">
        <v>0</v>
      </c>
      <c r="CW284" s="9">
        <v>0</v>
      </c>
      <c r="CX284" s="9">
        <v>0</v>
      </c>
      <c r="CY284" s="9">
        <v>0</v>
      </c>
      <c r="CZ284" s="9">
        <v>0</v>
      </c>
      <c r="DA284" s="9">
        <v>0</v>
      </c>
      <c r="DB284" s="9">
        <v>0</v>
      </c>
      <c r="DC284" s="9">
        <v>0</v>
      </c>
      <c r="DD284" s="9">
        <v>0</v>
      </c>
      <c r="DE284" s="9">
        <v>0</v>
      </c>
      <c r="DF284" s="9">
        <v>0</v>
      </c>
      <c r="DG284" s="9">
        <v>0</v>
      </c>
      <c r="DH284" s="9">
        <v>0</v>
      </c>
      <c r="DI284" s="9">
        <v>0</v>
      </c>
      <c r="DJ284" s="9">
        <v>0</v>
      </c>
      <c r="DK284" s="9">
        <v>0</v>
      </c>
      <c r="DL284" s="9">
        <v>0</v>
      </c>
      <c r="DM284" s="9">
        <v>0</v>
      </c>
      <c r="DN284" s="9">
        <v>0</v>
      </c>
      <c r="DO284" s="9">
        <v>0</v>
      </c>
      <c r="DP284" s="9">
        <v>0</v>
      </c>
      <c r="DQ284" s="9">
        <v>0</v>
      </c>
      <c r="DR284" s="9">
        <v>0</v>
      </c>
      <c r="DS284" s="9">
        <v>0</v>
      </c>
      <c r="DT284" s="9">
        <v>0</v>
      </c>
      <c r="DU284" s="9">
        <v>0</v>
      </c>
      <c r="DV284" s="9">
        <v>0</v>
      </c>
      <c r="DW284" s="9">
        <v>0</v>
      </c>
      <c r="DX284" s="9">
        <v>0</v>
      </c>
      <c r="DY284" s="9">
        <v>0</v>
      </c>
      <c r="DZ284" s="9">
        <v>0</v>
      </c>
      <c r="EA284" s="9">
        <v>0</v>
      </c>
      <c r="EB284" s="9">
        <v>0</v>
      </c>
      <c r="EC284" s="9">
        <v>0</v>
      </c>
      <c r="ED284" s="9">
        <v>0</v>
      </c>
      <c r="EE284" s="9">
        <v>0</v>
      </c>
      <c r="EF284" s="9">
        <v>0</v>
      </c>
      <c r="EG284" s="9">
        <v>0</v>
      </c>
      <c r="EH284" s="9">
        <v>0</v>
      </c>
      <c r="EI284" s="10">
        <v>0</v>
      </c>
    </row>
    <row r="285" spans="1:139" x14ac:dyDescent="0.35">
      <c r="A285" s="8" t="s">
        <v>494</v>
      </c>
      <c r="B285" s="9" t="s">
        <v>7</v>
      </c>
      <c r="C285" s="9" t="s">
        <v>8</v>
      </c>
      <c r="D285" s="9">
        <f t="shared" si="4"/>
        <v>0</v>
      </c>
      <c r="E285" s="9">
        <v>0</v>
      </c>
      <c r="F285" s="9">
        <v>0</v>
      </c>
      <c r="G285" s="9">
        <v>0</v>
      </c>
      <c r="H285" s="9">
        <v>0</v>
      </c>
      <c r="I285" s="9">
        <v>0</v>
      </c>
      <c r="J285" s="9">
        <v>0</v>
      </c>
      <c r="K285" s="9">
        <v>0</v>
      </c>
      <c r="L285" s="9">
        <v>0</v>
      </c>
      <c r="M285" s="9">
        <v>0</v>
      </c>
      <c r="N285" s="9">
        <v>0</v>
      </c>
      <c r="O285" s="9">
        <v>0</v>
      </c>
      <c r="P285" s="9">
        <v>0</v>
      </c>
      <c r="Q285" s="9">
        <v>0</v>
      </c>
      <c r="R285" s="9">
        <v>0</v>
      </c>
      <c r="S285" s="9">
        <v>0</v>
      </c>
      <c r="T285" s="9">
        <v>0</v>
      </c>
      <c r="U285" s="9">
        <v>0</v>
      </c>
      <c r="V285" s="9">
        <v>0</v>
      </c>
      <c r="W285" s="9">
        <v>0</v>
      </c>
      <c r="X285" s="9">
        <v>0</v>
      </c>
      <c r="Y285" s="9">
        <v>0</v>
      </c>
      <c r="Z285" s="9">
        <v>0</v>
      </c>
      <c r="AA285" s="9">
        <v>0</v>
      </c>
      <c r="AB285" s="9">
        <v>0</v>
      </c>
      <c r="AC285" s="9">
        <v>0</v>
      </c>
      <c r="AD285" s="9">
        <v>0</v>
      </c>
      <c r="AE285" s="9">
        <v>0</v>
      </c>
      <c r="AF285" s="9">
        <v>0</v>
      </c>
      <c r="AG285" s="9">
        <v>0</v>
      </c>
      <c r="AH285" s="9">
        <v>0</v>
      </c>
      <c r="AI285" s="9">
        <v>0</v>
      </c>
      <c r="AJ285" s="9">
        <v>0</v>
      </c>
      <c r="AK285" s="9">
        <v>0</v>
      </c>
      <c r="AL285" s="9">
        <v>0</v>
      </c>
      <c r="AM285" s="9">
        <v>0</v>
      </c>
      <c r="AN285" s="9">
        <v>0</v>
      </c>
      <c r="AO285" s="9">
        <v>0</v>
      </c>
      <c r="AP285" s="9">
        <v>0</v>
      </c>
      <c r="AQ285" s="9">
        <v>0</v>
      </c>
      <c r="AR285" s="9">
        <v>0</v>
      </c>
      <c r="AS285" s="9">
        <v>0</v>
      </c>
      <c r="AT285" s="9">
        <v>0</v>
      </c>
      <c r="AU285" s="9">
        <v>0</v>
      </c>
      <c r="AV285" s="9">
        <v>0</v>
      </c>
      <c r="AW285" s="9">
        <v>0</v>
      </c>
      <c r="AX285" s="9">
        <v>0</v>
      </c>
      <c r="AY285" s="9">
        <v>0</v>
      </c>
      <c r="AZ285" s="9">
        <v>0</v>
      </c>
      <c r="BA285" s="9">
        <v>0</v>
      </c>
      <c r="BB285" s="9">
        <v>0</v>
      </c>
      <c r="BC285" s="9">
        <v>0</v>
      </c>
      <c r="BD285" s="9">
        <v>0</v>
      </c>
      <c r="BE285" s="9">
        <v>0</v>
      </c>
      <c r="BF285" s="9">
        <v>0</v>
      </c>
      <c r="BG285" s="9">
        <v>0</v>
      </c>
      <c r="BH285" s="9">
        <v>0</v>
      </c>
      <c r="BI285" s="9">
        <v>0</v>
      </c>
      <c r="BJ285" s="9">
        <v>0</v>
      </c>
      <c r="BK285" s="9">
        <v>0</v>
      </c>
      <c r="BL285" s="9">
        <v>0</v>
      </c>
      <c r="BM285" s="9">
        <v>0</v>
      </c>
      <c r="BN285" s="9">
        <v>0</v>
      </c>
      <c r="BO285" s="9">
        <v>0</v>
      </c>
      <c r="BP285" s="9">
        <v>0</v>
      </c>
      <c r="BQ285" s="9">
        <v>0</v>
      </c>
      <c r="BR285" s="9">
        <v>0</v>
      </c>
      <c r="BS285" s="9">
        <v>0</v>
      </c>
      <c r="BT285" s="9">
        <v>0</v>
      </c>
      <c r="BU285" s="9">
        <v>0</v>
      </c>
      <c r="BV285" s="9">
        <v>0</v>
      </c>
      <c r="BW285" s="9">
        <v>0</v>
      </c>
      <c r="BX285" s="9">
        <v>0</v>
      </c>
      <c r="BY285" s="9">
        <v>0</v>
      </c>
      <c r="BZ285" s="9">
        <v>0</v>
      </c>
      <c r="CA285" s="9">
        <v>0</v>
      </c>
      <c r="CB285" s="9">
        <v>0</v>
      </c>
      <c r="CC285" s="9">
        <v>0</v>
      </c>
      <c r="CD285" s="9">
        <v>0</v>
      </c>
      <c r="CE285" s="9">
        <v>0</v>
      </c>
      <c r="CF285" s="9">
        <v>0</v>
      </c>
      <c r="CG285" s="9">
        <v>0</v>
      </c>
      <c r="CH285" s="9">
        <v>0</v>
      </c>
      <c r="CI285" s="9">
        <v>0</v>
      </c>
      <c r="CJ285" s="9">
        <v>0</v>
      </c>
      <c r="CK285" s="9">
        <v>0</v>
      </c>
      <c r="CL285" s="9">
        <v>0</v>
      </c>
      <c r="CM285" s="9">
        <v>0</v>
      </c>
      <c r="CN285" s="9">
        <v>0</v>
      </c>
      <c r="CO285" s="9">
        <v>0</v>
      </c>
      <c r="CP285" s="9">
        <v>0</v>
      </c>
      <c r="CQ285" s="9">
        <v>0</v>
      </c>
      <c r="CR285" s="9">
        <v>0</v>
      </c>
      <c r="CS285" s="9">
        <v>0</v>
      </c>
      <c r="CT285" s="9">
        <v>0</v>
      </c>
      <c r="CU285" s="9">
        <v>0</v>
      </c>
      <c r="CV285" s="9">
        <v>0</v>
      </c>
      <c r="CW285" s="9">
        <v>0</v>
      </c>
      <c r="CX285" s="9">
        <v>0</v>
      </c>
      <c r="CY285" s="9">
        <v>0</v>
      </c>
      <c r="CZ285" s="9">
        <v>0</v>
      </c>
      <c r="DA285" s="9">
        <v>0</v>
      </c>
      <c r="DB285" s="9">
        <v>0</v>
      </c>
      <c r="DC285" s="9">
        <v>0</v>
      </c>
      <c r="DD285" s="9">
        <v>0</v>
      </c>
      <c r="DE285" s="9">
        <v>0</v>
      </c>
      <c r="DF285" s="9">
        <v>0</v>
      </c>
      <c r="DG285" s="9">
        <v>0</v>
      </c>
      <c r="DH285" s="9">
        <v>0</v>
      </c>
      <c r="DI285" s="9">
        <v>0</v>
      </c>
      <c r="DJ285" s="9">
        <v>0</v>
      </c>
      <c r="DK285" s="9">
        <v>0</v>
      </c>
      <c r="DL285" s="9">
        <v>0</v>
      </c>
      <c r="DM285" s="9">
        <v>0</v>
      </c>
      <c r="DN285" s="9">
        <v>0</v>
      </c>
      <c r="DO285" s="9">
        <v>0</v>
      </c>
      <c r="DP285" s="9">
        <v>0</v>
      </c>
      <c r="DQ285" s="9">
        <v>0</v>
      </c>
      <c r="DR285" s="9">
        <v>0</v>
      </c>
      <c r="DS285" s="9">
        <v>0</v>
      </c>
      <c r="DT285" s="9">
        <v>0</v>
      </c>
      <c r="DU285" s="9">
        <v>0</v>
      </c>
      <c r="DV285" s="9">
        <v>0</v>
      </c>
      <c r="DW285" s="9">
        <v>0</v>
      </c>
      <c r="DX285" s="9">
        <v>0</v>
      </c>
      <c r="DY285" s="9">
        <v>0</v>
      </c>
      <c r="DZ285" s="9">
        <v>0</v>
      </c>
      <c r="EA285" s="9">
        <v>0</v>
      </c>
      <c r="EB285" s="9">
        <v>0</v>
      </c>
      <c r="EC285" s="9">
        <v>0</v>
      </c>
      <c r="ED285" s="9">
        <v>0</v>
      </c>
      <c r="EE285" s="9">
        <v>0</v>
      </c>
      <c r="EF285" s="9">
        <v>0</v>
      </c>
      <c r="EG285" s="9">
        <v>0</v>
      </c>
      <c r="EH285" s="9">
        <v>0</v>
      </c>
      <c r="EI285" s="10">
        <v>0</v>
      </c>
    </row>
    <row r="286" spans="1:139" x14ac:dyDescent="0.35">
      <c r="A286" s="8" t="s">
        <v>494</v>
      </c>
      <c r="B286" s="9" t="s">
        <v>497</v>
      </c>
      <c r="C286" s="9" t="s">
        <v>498</v>
      </c>
      <c r="D286" s="9">
        <f t="shared" si="4"/>
        <v>0</v>
      </c>
      <c r="E286" s="9">
        <v>0</v>
      </c>
      <c r="F286" s="9">
        <v>0</v>
      </c>
      <c r="G286" s="9">
        <v>0</v>
      </c>
      <c r="H286" s="9">
        <v>0</v>
      </c>
      <c r="I286" s="9">
        <v>0</v>
      </c>
      <c r="J286" s="9">
        <v>0</v>
      </c>
      <c r="K286" s="9">
        <v>0</v>
      </c>
      <c r="L286" s="9">
        <v>0</v>
      </c>
      <c r="M286" s="9">
        <v>0</v>
      </c>
      <c r="N286" s="9">
        <v>0</v>
      </c>
      <c r="O286" s="9">
        <v>0</v>
      </c>
      <c r="P286" s="9">
        <v>0</v>
      </c>
      <c r="Q286" s="9">
        <v>0</v>
      </c>
      <c r="R286" s="9">
        <v>0</v>
      </c>
      <c r="S286" s="9">
        <v>0</v>
      </c>
      <c r="T286" s="9">
        <v>0</v>
      </c>
      <c r="U286" s="9">
        <v>0</v>
      </c>
      <c r="V286" s="9">
        <v>0</v>
      </c>
      <c r="W286" s="9">
        <v>0</v>
      </c>
      <c r="X286" s="9">
        <v>0</v>
      </c>
      <c r="Y286" s="9">
        <v>0</v>
      </c>
      <c r="Z286" s="9">
        <v>0</v>
      </c>
      <c r="AA286" s="9">
        <v>0</v>
      </c>
      <c r="AB286" s="9">
        <v>0</v>
      </c>
      <c r="AC286" s="9">
        <v>0</v>
      </c>
      <c r="AD286" s="9">
        <v>0</v>
      </c>
      <c r="AE286" s="9">
        <v>0</v>
      </c>
      <c r="AF286" s="9">
        <v>0</v>
      </c>
      <c r="AG286" s="9">
        <v>0</v>
      </c>
      <c r="AH286" s="9">
        <v>0</v>
      </c>
      <c r="AI286" s="9">
        <v>0</v>
      </c>
      <c r="AJ286" s="9">
        <v>0</v>
      </c>
      <c r="AK286" s="9">
        <v>0</v>
      </c>
      <c r="AL286" s="9">
        <v>0</v>
      </c>
      <c r="AM286" s="9">
        <v>0</v>
      </c>
      <c r="AN286" s="9">
        <v>0</v>
      </c>
      <c r="AO286" s="9">
        <v>0</v>
      </c>
      <c r="AP286" s="9">
        <v>0</v>
      </c>
      <c r="AQ286" s="9">
        <v>0</v>
      </c>
      <c r="AR286" s="9">
        <v>0</v>
      </c>
      <c r="AS286" s="9">
        <v>0</v>
      </c>
      <c r="AT286" s="9">
        <v>0</v>
      </c>
      <c r="AU286" s="9">
        <v>0</v>
      </c>
      <c r="AV286" s="9">
        <v>0</v>
      </c>
      <c r="AW286" s="9">
        <v>0</v>
      </c>
      <c r="AX286" s="9">
        <v>0</v>
      </c>
      <c r="AY286" s="9">
        <v>0</v>
      </c>
      <c r="AZ286" s="9">
        <v>0</v>
      </c>
      <c r="BA286" s="9">
        <v>0</v>
      </c>
      <c r="BB286" s="9">
        <v>0</v>
      </c>
      <c r="BC286" s="9">
        <v>0</v>
      </c>
      <c r="BD286" s="9">
        <v>0</v>
      </c>
      <c r="BE286" s="9">
        <v>0</v>
      </c>
      <c r="BF286" s="9">
        <v>0</v>
      </c>
      <c r="BG286" s="9">
        <v>0</v>
      </c>
      <c r="BH286" s="9">
        <v>0</v>
      </c>
      <c r="BI286" s="9">
        <v>0</v>
      </c>
      <c r="BJ286" s="9">
        <v>0</v>
      </c>
      <c r="BK286" s="9">
        <v>0</v>
      </c>
      <c r="BL286" s="9">
        <v>0</v>
      </c>
      <c r="BM286" s="9">
        <v>0</v>
      </c>
      <c r="BN286" s="9">
        <v>0</v>
      </c>
      <c r="BO286" s="9">
        <v>0</v>
      </c>
      <c r="BP286" s="9">
        <v>0</v>
      </c>
      <c r="BQ286" s="9">
        <v>0</v>
      </c>
      <c r="BR286" s="9">
        <v>0</v>
      </c>
      <c r="BS286" s="9">
        <v>0</v>
      </c>
      <c r="BT286" s="9">
        <v>0</v>
      </c>
      <c r="BU286" s="9">
        <v>0</v>
      </c>
      <c r="BV286" s="9">
        <v>0</v>
      </c>
      <c r="BW286" s="9">
        <v>0</v>
      </c>
      <c r="BX286" s="9">
        <v>0</v>
      </c>
      <c r="BY286" s="9">
        <v>0</v>
      </c>
      <c r="BZ286" s="9">
        <v>0</v>
      </c>
      <c r="CA286" s="9">
        <v>0</v>
      </c>
      <c r="CB286" s="9">
        <v>0</v>
      </c>
      <c r="CC286" s="9">
        <v>0</v>
      </c>
      <c r="CD286" s="9">
        <v>0</v>
      </c>
      <c r="CE286" s="9">
        <v>0</v>
      </c>
      <c r="CF286" s="9">
        <v>0</v>
      </c>
      <c r="CG286" s="9">
        <v>0</v>
      </c>
      <c r="CH286" s="9">
        <v>0</v>
      </c>
      <c r="CI286" s="9">
        <v>0</v>
      </c>
      <c r="CJ286" s="9">
        <v>0</v>
      </c>
      <c r="CK286" s="9">
        <v>0</v>
      </c>
      <c r="CL286" s="9">
        <v>0</v>
      </c>
      <c r="CM286" s="9">
        <v>0</v>
      </c>
      <c r="CN286" s="9">
        <v>0</v>
      </c>
      <c r="CO286" s="9">
        <v>0</v>
      </c>
      <c r="CP286" s="9">
        <v>0</v>
      </c>
      <c r="CQ286" s="9">
        <v>0</v>
      </c>
      <c r="CR286" s="9">
        <v>0</v>
      </c>
      <c r="CS286" s="9">
        <v>0</v>
      </c>
      <c r="CT286" s="9">
        <v>0</v>
      </c>
      <c r="CU286" s="9">
        <v>0</v>
      </c>
      <c r="CV286" s="9">
        <v>0</v>
      </c>
      <c r="CW286" s="9">
        <v>0</v>
      </c>
      <c r="CX286" s="9">
        <v>0</v>
      </c>
      <c r="CY286" s="9">
        <v>0</v>
      </c>
      <c r="CZ286" s="9">
        <v>0</v>
      </c>
      <c r="DA286" s="9">
        <v>0</v>
      </c>
      <c r="DB286" s="9">
        <v>0</v>
      </c>
      <c r="DC286" s="9">
        <v>0</v>
      </c>
      <c r="DD286" s="9">
        <v>0</v>
      </c>
      <c r="DE286" s="9">
        <v>0</v>
      </c>
      <c r="DF286" s="9">
        <v>0</v>
      </c>
      <c r="DG286" s="9">
        <v>0</v>
      </c>
      <c r="DH286" s="9">
        <v>0</v>
      </c>
      <c r="DI286" s="9">
        <v>0</v>
      </c>
      <c r="DJ286" s="9">
        <v>0</v>
      </c>
      <c r="DK286" s="9">
        <v>0</v>
      </c>
      <c r="DL286" s="9">
        <v>0</v>
      </c>
      <c r="DM286" s="9">
        <v>0</v>
      </c>
      <c r="DN286" s="9">
        <v>0</v>
      </c>
      <c r="DO286" s="9">
        <v>0</v>
      </c>
      <c r="DP286" s="9">
        <v>0</v>
      </c>
      <c r="DQ286" s="9">
        <v>0</v>
      </c>
      <c r="DR286" s="9">
        <v>0</v>
      </c>
      <c r="DS286" s="9">
        <v>0</v>
      </c>
      <c r="DT286" s="9">
        <v>0</v>
      </c>
      <c r="DU286" s="9">
        <v>0</v>
      </c>
      <c r="DV286" s="9">
        <v>0</v>
      </c>
      <c r="DW286" s="9">
        <v>0</v>
      </c>
      <c r="DX286" s="9">
        <v>0</v>
      </c>
      <c r="DY286" s="9">
        <v>0</v>
      </c>
      <c r="DZ286" s="9">
        <v>0</v>
      </c>
      <c r="EA286" s="9">
        <v>0</v>
      </c>
      <c r="EB286" s="9">
        <v>0</v>
      </c>
      <c r="EC286" s="9">
        <v>0</v>
      </c>
      <c r="ED286" s="9">
        <v>0</v>
      </c>
      <c r="EE286" s="9">
        <v>0</v>
      </c>
      <c r="EF286" s="9">
        <v>0</v>
      </c>
      <c r="EG286" s="9">
        <v>0</v>
      </c>
      <c r="EH286" s="9">
        <v>0</v>
      </c>
      <c r="EI286" s="10">
        <v>0</v>
      </c>
    </row>
    <row r="287" spans="1:139" x14ac:dyDescent="0.35">
      <c r="A287" s="8" t="s">
        <v>494</v>
      </c>
      <c r="B287" s="9" t="s">
        <v>499</v>
      </c>
      <c r="C287" s="9" t="s">
        <v>500</v>
      </c>
      <c r="D287" s="9">
        <f t="shared" si="4"/>
        <v>4</v>
      </c>
      <c r="E287" s="9">
        <v>0</v>
      </c>
      <c r="F287" s="9">
        <v>0</v>
      </c>
      <c r="G287" s="9">
        <v>0</v>
      </c>
      <c r="H287" s="9">
        <v>0</v>
      </c>
      <c r="I287" s="9">
        <v>0</v>
      </c>
      <c r="J287" s="9">
        <v>0</v>
      </c>
      <c r="K287" s="9">
        <v>0</v>
      </c>
      <c r="L287" s="9">
        <v>0</v>
      </c>
      <c r="M287" s="9">
        <v>0</v>
      </c>
      <c r="N287" s="9">
        <v>0</v>
      </c>
      <c r="O287" s="9">
        <v>0</v>
      </c>
      <c r="P287" s="9">
        <v>0</v>
      </c>
      <c r="Q287" s="9">
        <v>0</v>
      </c>
      <c r="R287" s="9">
        <v>0</v>
      </c>
      <c r="S287" s="9">
        <v>0</v>
      </c>
      <c r="T287" s="9">
        <v>0</v>
      </c>
      <c r="U287" s="9">
        <v>0</v>
      </c>
      <c r="V287" s="9">
        <v>0</v>
      </c>
      <c r="W287" s="9">
        <v>0</v>
      </c>
      <c r="X287" s="9">
        <v>0</v>
      </c>
      <c r="Y287" s="9">
        <v>0</v>
      </c>
      <c r="Z287" s="9">
        <v>0</v>
      </c>
      <c r="AA287" s="9">
        <v>0</v>
      </c>
      <c r="AB287" s="9">
        <v>0</v>
      </c>
      <c r="AC287" s="9">
        <v>0</v>
      </c>
      <c r="AD287" s="9">
        <v>0</v>
      </c>
      <c r="AE287" s="9">
        <v>0</v>
      </c>
      <c r="AF287" s="9">
        <v>0</v>
      </c>
      <c r="AG287" s="9">
        <v>0</v>
      </c>
      <c r="AH287" s="9">
        <v>0</v>
      </c>
      <c r="AI287" s="9">
        <v>0</v>
      </c>
      <c r="AJ287" s="9">
        <v>0</v>
      </c>
      <c r="AK287" s="9">
        <v>0</v>
      </c>
      <c r="AL287" s="9">
        <v>1</v>
      </c>
      <c r="AM287" s="9">
        <v>2</v>
      </c>
      <c r="AN287" s="9">
        <v>0</v>
      </c>
      <c r="AO287" s="9">
        <v>0</v>
      </c>
      <c r="AP287" s="9">
        <v>0</v>
      </c>
      <c r="AQ287" s="9">
        <v>0</v>
      </c>
      <c r="AR287" s="9">
        <v>0</v>
      </c>
      <c r="AS287" s="9">
        <v>0</v>
      </c>
      <c r="AT287" s="9">
        <v>0</v>
      </c>
      <c r="AU287" s="9">
        <v>0</v>
      </c>
      <c r="AV287" s="9">
        <v>0</v>
      </c>
      <c r="AW287" s="9">
        <v>0</v>
      </c>
      <c r="AX287" s="9">
        <v>0</v>
      </c>
      <c r="AY287" s="9">
        <v>0</v>
      </c>
      <c r="AZ287" s="9">
        <v>0</v>
      </c>
      <c r="BA287" s="9">
        <v>0</v>
      </c>
      <c r="BB287" s="9">
        <v>0</v>
      </c>
      <c r="BC287" s="9">
        <v>0</v>
      </c>
      <c r="BD287" s="9">
        <v>0</v>
      </c>
      <c r="BE287" s="9">
        <v>0</v>
      </c>
      <c r="BF287" s="9">
        <v>0</v>
      </c>
      <c r="BG287" s="9">
        <v>0</v>
      </c>
      <c r="BH287" s="9">
        <v>0</v>
      </c>
      <c r="BI287" s="9">
        <v>0</v>
      </c>
      <c r="BJ287" s="9">
        <v>0</v>
      </c>
      <c r="BK287" s="9">
        <v>0</v>
      </c>
      <c r="BL287" s="9">
        <v>0</v>
      </c>
      <c r="BM287" s="9">
        <v>0</v>
      </c>
      <c r="BN287" s="9">
        <v>0</v>
      </c>
      <c r="BO287" s="9">
        <v>0</v>
      </c>
      <c r="BP287" s="9">
        <v>0</v>
      </c>
      <c r="BQ287" s="9">
        <v>0</v>
      </c>
      <c r="BR287" s="9">
        <v>0</v>
      </c>
      <c r="BS287" s="9">
        <v>0</v>
      </c>
      <c r="BT287" s="9">
        <v>0</v>
      </c>
      <c r="BU287" s="9">
        <v>0</v>
      </c>
      <c r="BV287" s="9">
        <v>0</v>
      </c>
      <c r="BW287" s="9">
        <v>0</v>
      </c>
      <c r="BX287" s="9">
        <v>0</v>
      </c>
      <c r="BY287" s="9">
        <v>0</v>
      </c>
      <c r="BZ287" s="9">
        <v>0</v>
      </c>
      <c r="CA287" s="9">
        <v>0</v>
      </c>
      <c r="CB287" s="9">
        <v>0</v>
      </c>
      <c r="CC287" s="9">
        <v>0</v>
      </c>
      <c r="CD287" s="9">
        <v>0</v>
      </c>
      <c r="CE287" s="9">
        <v>0</v>
      </c>
      <c r="CF287" s="9">
        <v>0</v>
      </c>
      <c r="CG287" s="9">
        <v>0</v>
      </c>
      <c r="CH287" s="9">
        <v>0</v>
      </c>
      <c r="CI287" s="9">
        <v>0</v>
      </c>
      <c r="CJ287" s="9">
        <v>0</v>
      </c>
      <c r="CK287" s="9">
        <v>0</v>
      </c>
      <c r="CL287" s="9">
        <v>0</v>
      </c>
      <c r="CM287" s="9">
        <v>0</v>
      </c>
      <c r="CN287" s="9">
        <v>0</v>
      </c>
      <c r="CO287" s="9">
        <v>0</v>
      </c>
      <c r="CP287" s="9">
        <v>0</v>
      </c>
      <c r="CQ287" s="9">
        <v>1</v>
      </c>
      <c r="CR287" s="9">
        <v>0</v>
      </c>
      <c r="CS287" s="9">
        <v>0</v>
      </c>
      <c r="CT287" s="9">
        <v>0</v>
      </c>
      <c r="CU287" s="9">
        <v>0</v>
      </c>
      <c r="CV287" s="9">
        <v>0</v>
      </c>
      <c r="CW287" s="9">
        <v>0</v>
      </c>
      <c r="CX287" s="9">
        <v>0</v>
      </c>
      <c r="CY287" s="9">
        <v>0</v>
      </c>
      <c r="CZ287" s="9">
        <v>0</v>
      </c>
      <c r="DA287" s="9">
        <v>0</v>
      </c>
      <c r="DB287" s="9">
        <v>0</v>
      </c>
      <c r="DC287" s="9">
        <v>0</v>
      </c>
      <c r="DD287" s="9">
        <v>0</v>
      </c>
      <c r="DE287" s="9">
        <v>0</v>
      </c>
      <c r="DF287" s="9">
        <v>0</v>
      </c>
      <c r="DG287" s="9">
        <v>0</v>
      </c>
      <c r="DH287" s="9">
        <v>0</v>
      </c>
      <c r="DI287" s="9">
        <v>0</v>
      </c>
      <c r="DJ287" s="9">
        <v>0</v>
      </c>
      <c r="DK287" s="9">
        <v>0</v>
      </c>
      <c r="DL287" s="9">
        <v>0</v>
      </c>
      <c r="DM287" s="9">
        <v>0</v>
      </c>
      <c r="DN287" s="9">
        <v>0</v>
      </c>
      <c r="DO287" s="9">
        <v>0</v>
      </c>
      <c r="DP287" s="9">
        <v>0</v>
      </c>
      <c r="DQ287" s="9">
        <v>0</v>
      </c>
      <c r="DR287" s="9">
        <v>0</v>
      </c>
      <c r="DS287" s="9">
        <v>0</v>
      </c>
      <c r="DT287" s="9">
        <v>0</v>
      </c>
      <c r="DU287" s="9">
        <v>0</v>
      </c>
      <c r="DV287" s="9">
        <v>0</v>
      </c>
      <c r="DW287" s="9">
        <v>0</v>
      </c>
      <c r="DX287" s="9">
        <v>0</v>
      </c>
      <c r="DY287" s="9">
        <v>0</v>
      </c>
      <c r="DZ287" s="9">
        <v>0</v>
      </c>
      <c r="EA287" s="9">
        <v>0</v>
      </c>
      <c r="EB287" s="9">
        <v>0</v>
      </c>
      <c r="EC287" s="9">
        <v>0</v>
      </c>
      <c r="ED287" s="9">
        <v>0</v>
      </c>
      <c r="EE287" s="9">
        <v>0</v>
      </c>
      <c r="EF287" s="9">
        <v>0</v>
      </c>
      <c r="EG287" s="9">
        <v>0</v>
      </c>
      <c r="EH287" s="9">
        <v>0</v>
      </c>
      <c r="EI287" s="10">
        <v>0</v>
      </c>
    </row>
    <row r="288" spans="1:139" x14ac:dyDescent="0.35">
      <c r="A288" s="8" t="s">
        <v>494</v>
      </c>
      <c r="B288" s="9" t="s">
        <v>13</v>
      </c>
      <c r="C288" s="9" t="s">
        <v>14</v>
      </c>
      <c r="D288" s="9">
        <f t="shared" si="4"/>
        <v>0</v>
      </c>
      <c r="E288" s="9">
        <v>0</v>
      </c>
      <c r="F288" s="9">
        <v>0</v>
      </c>
      <c r="G288" s="9">
        <v>0</v>
      </c>
      <c r="H288" s="9">
        <v>0</v>
      </c>
      <c r="I288" s="9">
        <v>0</v>
      </c>
      <c r="J288" s="9">
        <v>0</v>
      </c>
      <c r="K288" s="9">
        <v>0</v>
      </c>
      <c r="L288" s="9">
        <v>0</v>
      </c>
      <c r="M288" s="9">
        <v>0</v>
      </c>
      <c r="N288" s="9">
        <v>0</v>
      </c>
      <c r="O288" s="9">
        <v>0</v>
      </c>
      <c r="P288" s="9">
        <v>0</v>
      </c>
      <c r="Q288" s="9">
        <v>0</v>
      </c>
      <c r="R288" s="9">
        <v>0</v>
      </c>
      <c r="S288" s="9">
        <v>0</v>
      </c>
      <c r="T288" s="9">
        <v>0</v>
      </c>
      <c r="U288" s="9">
        <v>0</v>
      </c>
      <c r="V288" s="9">
        <v>0</v>
      </c>
      <c r="W288" s="9">
        <v>0</v>
      </c>
      <c r="X288" s="9">
        <v>0</v>
      </c>
      <c r="Y288" s="9">
        <v>0</v>
      </c>
      <c r="Z288" s="9">
        <v>0</v>
      </c>
      <c r="AA288" s="9">
        <v>0</v>
      </c>
      <c r="AB288" s="9">
        <v>0</v>
      </c>
      <c r="AC288" s="9">
        <v>0</v>
      </c>
      <c r="AD288" s="9">
        <v>0</v>
      </c>
      <c r="AE288" s="9">
        <v>0</v>
      </c>
      <c r="AF288" s="9">
        <v>0</v>
      </c>
      <c r="AG288" s="9">
        <v>0</v>
      </c>
      <c r="AH288" s="9">
        <v>0</v>
      </c>
      <c r="AI288" s="9">
        <v>0</v>
      </c>
      <c r="AJ288" s="9">
        <v>0</v>
      </c>
      <c r="AK288" s="9">
        <v>0</v>
      </c>
      <c r="AL288" s="9">
        <v>0</v>
      </c>
      <c r="AM288" s="9">
        <v>0</v>
      </c>
      <c r="AN288" s="9">
        <v>0</v>
      </c>
      <c r="AO288" s="9">
        <v>0</v>
      </c>
      <c r="AP288" s="9">
        <v>0</v>
      </c>
      <c r="AQ288" s="9">
        <v>0</v>
      </c>
      <c r="AR288" s="9">
        <v>0</v>
      </c>
      <c r="AS288" s="9">
        <v>0</v>
      </c>
      <c r="AT288" s="9">
        <v>0</v>
      </c>
      <c r="AU288" s="9">
        <v>0</v>
      </c>
      <c r="AV288" s="9">
        <v>0</v>
      </c>
      <c r="AW288" s="9">
        <v>0</v>
      </c>
      <c r="AX288" s="9">
        <v>0</v>
      </c>
      <c r="AY288" s="9">
        <v>0</v>
      </c>
      <c r="AZ288" s="9">
        <v>0</v>
      </c>
      <c r="BA288" s="9">
        <v>0</v>
      </c>
      <c r="BB288" s="9">
        <v>0</v>
      </c>
      <c r="BC288" s="9">
        <v>0</v>
      </c>
      <c r="BD288" s="9">
        <v>0</v>
      </c>
      <c r="BE288" s="9">
        <v>0</v>
      </c>
      <c r="BF288" s="9">
        <v>0</v>
      </c>
      <c r="BG288" s="9">
        <v>0</v>
      </c>
      <c r="BH288" s="9">
        <v>0</v>
      </c>
      <c r="BI288" s="9">
        <v>0</v>
      </c>
      <c r="BJ288" s="9">
        <v>0</v>
      </c>
      <c r="BK288" s="9">
        <v>0</v>
      </c>
      <c r="BL288" s="9">
        <v>0</v>
      </c>
      <c r="BM288" s="9">
        <v>0</v>
      </c>
      <c r="BN288" s="9">
        <v>0</v>
      </c>
      <c r="BO288" s="9">
        <v>0</v>
      </c>
      <c r="BP288" s="9">
        <v>0</v>
      </c>
      <c r="BQ288" s="9">
        <v>0</v>
      </c>
      <c r="BR288" s="9">
        <v>0</v>
      </c>
      <c r="BS288" s="9">
        <v>0</v>
      </c>
      <c r="BT288" s="9">
        <v>0</v>
      </c>
      <c r="BU288" s="9">
        <v>0</v>
      </c>
      <c r="BV288" s="9">
        <v>0</v>
      </c>
      <c r="BW288" s="9">
        <v>0</v>
      </c>
      <c r="BX288" s="9">
        <v>0</v>
      </c>
      <c r="BY288" s="9">
        <v>0</v>
      </c>
      <c r="BZ288" s="9">
        <v>0</v>
      </c>
      <c r="CA288" s="9">
        <v>0</v>
      </c>
      <c r="CB288" s="9">
        <v>0</v>
      </c>
      <c r="CC288" s="9">
        <v>0</v>
      </c>
      <c r="CD288" s="9">
        <v>0</v>
      </c>
      <c r="CE288" s="9">
        <v>0</v>
      </c>
      <c r="CF288" s="9">
        <v>0</v>
      </c>
      <c r="CG288" s="9">
        <v>0</v>
      </c>
      <c r="CH288" s="9">
        <v>0</v>
      </c>
      <c r="CI288" s="9">
        <v>0</v>
      </c>
      <c r="CJ288" s="9">
        <v>0</v>
      </c>
      <c r="CK288" s="9">
        <v>0</v>
      </c>
      <c r="CL288" s="9">
        <v>0</v>
      </c>
      <c r="CM288" s="9">
        <v>0</v>
      </c>
      <c r="CN288" s="9">
        <v>0</v>
      </c>
      <c r="CO288" s="9">
        <v>0</v>
      </c>
      <c r="CP288" s="9">
        <v>0</v>
      </c>
      <c r="CQ288" s="9">
        <v>0</v>
      </c>
      <c r="CR288" s="9">
        <v>0</v>
      </c>
      <c r="CS288" s="9">
        <v>0</v>
      </c>
      <c r="CT288" s="9">
        <v>0</v>
      </c>
      <c r="CU288" s="9">
        <v>0</v>
      </c>
      <c r="CV288" s="9">
        <v>0</v>
      </c>
      <c r="CW288" s="9">
        <v>0</v>
      </c>
      <c r="CX288" s="9">
        <v>0</v>
      </c>
      <c r="CY288" s="9">
        <v>0</v>
      </c>
      <c r="CZ288" s="9">
        <v>0</v>
      </c>
      <c r="DA288" s="9">
        <v>0</v>
      </c>
      <c r="DB288" s="9">
        <v>0</v>
      </c>
      <c r="DC288" s="9">
        <v>0</v>
      </c>
      <c r="DD288" s="9">
        <v>0</v>
      </c>
      <c r="DE288" s="9">
        <v>0</v>
      </c>
      <c r="DF288" s="9">
        <v>0</v>
      </c>
      <c r="DG288" s="9">
        <v>0</v>
      </c>
      <c r="DH288" s="9">
        <v>0</v>
      </c>
      <c r="DI288" s="9">
        <v>0</v>
      </c>
      <c r="DJ288" s="9">
        <v>0</v>
      </c>
      <c r="DK288" s="9">
        <v>0</v>
      </c>
      <c r="DL288" s="9">
        <v>0</v>
      </c>
      <c r="DM288" s="9">
        <v>0</v>
      </c>
      <c r="DN288" s="9">
        <v>0</v>
      </c>
      <c r="DO288" s="9">
        <v>0</v>
      </c>
      <c r="DP288" s="9">
        <v>0</v>
      </c>
      <c r="DQ288" s="9">
        <v>0</v>
      </c>
      <c r="DR288" s="9">
        <v>0</v>
      </c>
      <c r="DS288" s="9">
        <v>0</v>
      </c>
      <c r="DT288" s="9">
        <v>0</v>
      </c>
      <c r="DU288" s="9">
        <v>0</v>
      </c>
      <c r="DV288" s="9">
        <v>0</v>
      </c>
      <c r="DW288" s="9">
        <v>0</v>
      </c>
      <c r="DX288" s="9">
        <v>0</v>
      </c>
      <c r="DY288" s="9">
        <v>0</v>
      </c>
      <c r="DZ288" s="9">
        <v>0</v>
      </c>
      <c r="EA288" s="9">
        <v>0</v>
      </c>
      <c r="EB288" s="9">
        <v>0</v>
      </c>
      <c r="EC288" s="9">
        <v>0</v>
      </c>
      <c r="ED288" s="9">
        <v>0</v>
      </c>
      <c r="EE288" s="9">
        <v>0</v>
      </c>
      <c r="EF288" s="9">
        <v>0</v>
      </c>
      <c r="EG288" s="9">
        <v>0</v>
      </c>
      <c r="EH288" s="9">
        <v>0</v>
      </c>
      <c r="EI288" s="10">
        <v>0</v>
      </c>
    </row>
    <row r="289" spans="1:139" x14ac:dyDescent="0.35">
      <c r="A289" s="8" t="s">
        <v>494</v>
      </c>
      <c r="B289" s="9" t="s">
        <v>501</v>
      </c>
      <c r="C289" s="9" t="s">
        <v>502</v>
      </c>
      <c r="D289" s="9">
        <f t="shared" si="4"/>
        <v>31</v>
      </c>
      <c r="E289" s="9">
        <v>0</v>
      </c>
      <c r="F289" s="9">
        <v>0</v>
      </c>
      <c r="G289" s="9">
        <v>0</v>
      </c>
      <c r="H289" s="9">
        <v>0</v>
      </c>
      <c r="I289" s="9">
        <v>0</v>
      </c>
      <c r="J289" s="9">
        <v>0</v>
      </c>
      <c r="K289" s="9">
        <v>0</v>
      </c>
      <c r="L289" s="9">
        <v>0</v>
      </c>
      <c r="M289" s="9">
        <v>0</v>
      </c>
      <c r="N289" s="9">
        <v>0</v>
      </c>
      <c r="O289" s="9">
        <v>0</v>
      </c>
      <c r="P289" s="9">
        <v>0</v>
      </c>
      <c r="Q289" s="9">
        <v>0</v>
      </c>
      <c r="R289" s="9">
        <v>0</v>
      </c>
      <c r="S289" s="9">
        <v>0</v>
      </c>
      <c r="T289" s="9">
        <v>2</v>
      </c>
      <c r="U289" s="9">
        <v>2</v>
      </c>
      <c r="V289" s="9">
        <v>0</v>
      </c>
      <c r="W289" s="9">
        <v>0</v>
      </c>
      <c r="X289" s="9">
        <v>0</v>
      </c>
      <c r="Y289" s="9">
        <v>0</v>
      </c>
      <c r="Z289" s="9">
        <v>0</v>
      </c>
      <c r="AA289" s="9">
        <v>0</v>
      </c>
      <c r="AB289" s="9">
        <v>0</v>
      </c>
      <c r="AC289" s="9">
        <v>3</v>
      </c>
      <c r="AD289" s="9">
        <v>1</v>
      </c>
      <c r="AE289" s="9">
        <v>0</v>
      </c>
      <c r="AF289" s="9">
        <v>0</v>
      </c>
      <c r="AG289" s="9">
        <v>0</v>
      </c>
      <c r="AH289" s="9">
        <v>0</v>
      </c>
      <c r="AI289" s="9">
        <v>0</v>
      </c>
      <c r="AJ289" s="9">
        <v>1</v>
      </c>
      <c r="AK289" s="9">
        <v>0</v>
      </c>
      <c r="AL289" s="9">
        <v>0</v>
      </c>
      <c r="AM289" s="9">
        <v>0</v>
      </c>
      <c r="AN289" s="9">
        <v>0</v>
      </c>
      <c r="AO289" s="9">
        <v>0</v>
      </c>
      <c r="AP289" s="9">
        <v>0</v>
      </c>
      <c r="AQ289" s="9">
        <v>1</v>
      </c>
      <c r="AR289" s="9">
        <v>1</v>
      </c>
      <c r="AS289" s="9">
        <v>3</v>
      </c>
      <c r="AT289" s="9">
        <v>0</v>
      </c>
      <c r="AU289" s="9">
        <v>1</v>
      </c>
      <c r="AV289" s="9">
        <v>2</v>
      </c>
      <c r="AW289" s="9">
        <v>0</v>
      </c>
      <c r="AX289" s="9">
        <v>0</v>
      </c>
      <c r="AY289" s="9">
        <v>3</v>
      </c>
      <c r="AZ289" s="9">
        <v>0</v>
      </c>
      <c r="BA289" s="9">
        <v>0</v>
      </c>
      <c r="BB289" s="9">
        <v>1</v>
      </c>
      <c r="BC289" s="9">
        <v>0</v>
      </c>
      <c r="BD289" s="9">
        <v>0</v>
      </c>
      <c r="BE289" s="9">
        <v>0</v>
      </c>
      <c r="BF289" s="9">
        <v>0</v>
      </c>
      <c r="BG289" s="9">
        <v>1</v>
      </c>
      <c r="BH289" s="9">
        <v>0</v>
      </c>
      <c r="BI289" s="9">
        <v>0</v>
      </c>
      <c r="BJ289" s="9">
        <v>0</v>
      </c>
      <c r="BK289" s="9">
        <v>0</v>
      </c>
      <c r="BL289" s="9">
        <v>0</v>
      </c>
      <c r="BM289" s="9">
        <v>3</v>
      </c>
      <c r="BN289" s="9">
        <v>0</v>
      </c>
      <c r="BO289" s="9">
        <v>1</v>
      </c>
      <c r="BP289" s="9">
        <v>1</v>
      </c>
      <c r="BQ289" s="9">
        <v>0</v>
      </c>
      <c r="BR289" s="9">
        <v>0</v>
      </c>
      <c r="BS289" s="9">
        <v>0</v>
      </c>
      <c r="BT289" s="9">
        <v>0</v>
      </c>
      <c r="BU289" s="9">
        <v>0</v>
      </c>
      <c r="BV289" s="9">
        <v>0</v>
      </c>
      <c r="BW289" s="9">
        <v>0</v>
      </c>
      <c r="BX289" s="9">
        <v>0</v>
      </c>
      <c r="BY289" s="9">
        <v>2</v>
      </c>
      <c r="BZ289" s="9">
        <v>0</v>
      </c>
      <c r="CA289" s="9">
        <v>0</v>
      </c>
      <c r="CB289" s="9">
        <v>0</v>
      </c>
      <c r="CC289" s="9">
        <v>0</v>
      </c>
      <c r="CD289" s="9">
        <v>0</v>
      </c>
      <c r="CE289" s="9">
        <v>2</v>
      </c>
      <c r="CF289" s="9">
        <v>0</v>
      </c>
      <c r="CG289" s="9">
        <v>0</v>
      </c>
      <c r="CH289" s="9">
        <v>0</v>
      </c>
      <c r="CI289" s="9">
        <v>0</v>
      </c>
      <c r="CJ289" s="9">
        <v>0</v>
      </c>
      <c r="CK289" s="9">
        <v>0</v>
      </c>
      <c r="CL289" s="9">
        <v>0</v>
      </c>
      <c r="CM289" s="9">
        <v>0</v>
      </c>
      <c r="CN289" s="9">
        <v>0</v>
      </c>
      <c r="CO289" s="9">
        <v>0</v>
      </c>
      <c r="CP289" s="9">
        <v>0</v>
      </c>
      <c r="CQ289" s="9">
        <v>0</v>
      </c>
      <c r="CR289" s="9">
        <v>0</v>
      </c>
      <c r="CS289" s="9">
        <v>0</v>
      </c>
      <c r="CT289" s="9">
        <v>0</v>
      </c>
      <c r="CU289" s="9">
        <v>0</v>
      </c>
      <c r="CV289" s="9">
        <v>0</v>
      </c>
      <c r="CW289" s="9">
        <v>0</v>
      </c>
      <c r="CX289" s="9">
        <v>0</v>
      </c>
      <c r="CY289" s="9">
        <v>0</v>
      </c>
      <c r="CZ289" s="9">
        <v>0</v>
      </c>
      <c r="DA289" s="9">
        <v>0</v>
      </c>
      <c r="DB289" s="9">
        <v>0</v>
      </c>
      <c r="DC289" s="9">
        <v>0</v>
      </c>
      <c r="DD289" s="9">
        <v>0</v>
      </c>
      <c r="DE289" s="9">
        <v>0</v>
      </c>
      <c r="DF289" s="9">
        <v>0</v>
      </c>
      <c r="DG289" s="9">
        <v>0</v>
      </c>
      <c r="DH289" s="9">
        <v>0</v>
      </c>
      <c r="DI289" s="9">
        <v>0</v>
      </c>
      <c r="DJ289" s="9">
        <v>0</v>
      </c>
      <c r="DK289" s="9">
        <v>0</v>
      </c>
      <c r="DL289" s="9">
        <v>0</v>
      </c>
      <c r="DM289" s="9">
        <v>0</v>
      </c>
      <c r="DN289" s="9">
        <v>0</v>
      </c>
      <c r="DO289" s="9">
        <v>0</v>
      </c>
      <c r="DP289" s="9">
        <v>0</v>
      </c>
      <c r="DQ289" s="9">
        <v>0</v>
      </c>
      <c r="DR289" s="9">
        <v>0</v>
      </c>
      <c r="DS289" s="9">
        <v>0</v>
      </c>
      <c r="DT289" s="9">
        <v>0</v>
      </c>
      <c r="DU289" s="9">
        <v>0</v>
      </c>
      <c r="DV289" s="9">
        <v>0</v>
      </c>
      <c r="DW289" s="9">
        <v>0</v>
      </c>
      <c r="DX289" s="9">
        <v>0</v>
      </c>
      <c r="DY289" s="9">
        <v>0</v>
      </c>
      <c r="DZ289" s="9">
        <v>0</v>
      </c>
      <c r="EA289" s="9">
        <v>0</v>
      </c>
      <c r="EB289" s="9">
        <v>0</v>
      </c>
      <c r="EC289" s="9">
        <v>0</v>
      </c>
      <c r="ED289" s="9">
        <v>0</v>
      </c>
      <c r="EE289" s="9">
        <v>0</v>
      </c>
      <c r="EF289" s="9">
        <v>0</v>
      </c>
      <c r="EG289" s="9">
        <v>0</v>
      </c>
      <c r="EH289" s="9">
        <v>0</v>
      </c>
      <c r="EI289" s="10">
        <v>0</v>
      </c>
    </row>
    <row r="290" spans="1:139" x14ac:dyDescent="0.35">
      <c r="A290" s="8" t="s">
        <v>494</v>
      </c>
      <c r="B290" s="9" t="s">
        <v>19</v>
      </c>
      <c r="C290" s="9" t="s">
        <v>20</v>
      </c>
      <c r="D290" s="9">
        <f t="shared" si="4"/>
        <v>29</v>
      </c>
      <c r="E290" s="9">
        <v>0</v>
      </c>
      <c r="F290" s="9">
        <v>0</v>
      </c>
      <c r="G290" s="9">
        <v>0</v>
      </c>
      <c r="H290" s="9">
        <v>0</v>
      </c>
      <c r="I290" s="9">
        <v>0</v>
      </c>
      <c r="J290" s="9">
        <v>0</v>
      </c>
      <c r="K290" s="9">
        <v>0</v>
      </c>
      <c r="L290" s="9">
        <v>0</v>
      </c>
      <c r="M290" s="9">
        <v>0</v>
      </c>
      <c r="N290" s="9">
        <v>0</v>
      </c>
      <c r="O290" s="9">
        <v>0</v>
      </c>
      <c r="P290" s="9">
        <v>0</v>
      </c>
      <c r="Q290" s="9">
        <v>0</v>
      </c>
      <c r="R290" s="9">
        <v>0</v>
      </c>
      <c r="S290" s="9">
        <v>0</v>
      </c>
      <c r="T290" s="9">
        <v>0</v>
      </c>
      <c r="U290" s="9">
        <v>0</v>
      </c>
      <c r="V290" s="9">
        <v>0</v>
      </c>
      <c r="W290" s="9">
        <v>0</v>
      </c>
      <c r="X290" s="9">
        <v>4</v>
      </c>
      <c r="Y290" s="9">
        <v>3</v>
      </c>
      <c r="Z290" s="9">
        <v>2</v>
      </c>
      <c r="AA290" s="9">
        <v>1</v>
      </c>
      <c r="AB290" s="9">
        <v>0</v>
      </c>
      <c r="AC290" s="9">
        <v>0</v>
      </c>
      <c r="AD290" s="9">
        <v>0</v>
      </c>
      <c r="AE290" s="9">
        <v>0</v>
      </c>
      <c r="AF290" s="9">
        <v>1</v>
      </c>
      <c r="AG290" s="9">
        <v>3</v>
      </c>
      <c r="AH290" s="9">
        <v>2</v>
      </c>
      <c r="AI290" s="9">
        <v>0</v>
      </c>
      <c r="AJ290" s="9">
        <v>0</v>
      </c>
      <c r="AK290" s="9">
        <v>5</v>
      </c>
      <c r="AL290" s="9">
        <v>3</v>
      </c>
      <c r="AM290" s="9">
        <v>0</v>
      </c>
      <c r="AN290" s="9">
        <v>0</v>
      </c>
      <c r="AO290" s="9">
        <v>0</v>
      </c>
      <c r="AP290" s="9">
        <v>0</v>
      </c>
      <c r="AQ290" s="9">
        <v>0</v>
      </c>
      <c r="AR290" s="9">
        <v>1</v>
      </c>
      <c r="AS290" s="9">
        <v>1</v>
      </c>
      <c r="AT290" s="9">
        <v>0</v>
      </c>
      <c r="AU290" s="9">
        <v>1</v>
      </c>
      <c r="AV290" s="9">
        <v>1</v>
      </c>
      <c r="AW290" s="9">
        <v>0</v>
      </c>
      <c r="AX290" s="9">
        <v>0</v>
      </c>
      <c r="AY290" s="9">
        <v>0</v>
      </c>
      <c r="AZ290" s="9">
        <v>0</v>
      </c>
      <c r="BA290" s="9">
        <v>0</v>
      </c>
      <c r="BB290" s="9">
        <v>0</v>
      </c>
      <c r="BC290" s="9">
        <v>0</v>
      </c>
      <c r="BD290" s="9">
        <v>0</v>
      </c>
      <c r="BE290" s="9">
        <v>0</v>
      </c>
      <c r="BF290" s="9">
        <v>0</v>
      </c>
      <c r="BG290" s="9">
        <v>0</v>
      </c>
      <c r="BH290" s="9">
        <v>1</v>
      </c>
      <c r="BI290" s="9">
        <v>0</v>
      </c>
      <c r="BJ290" s="9">
        <v>0</v>
      </c>
      <c r="BK290" s="9">
        <v>0</v>
      </c>
      <c r="BL290" s="9">
        <v>0</v>
      </c>
      <c r="BM290" s="9">
        <v>0</v>
      </c>
      <c r="BN290" s="9">
        <v>0</v>
      </c>
      <c r="BO290" s="9">
        <v>0</v>
      </c>
      <c r="BP290" s="9">
        <v>0</v>
      </c>
      <c r="BQ290" s="9">
        <v>0</v>
      </c>
      <c r="BR290" s="9">
        <v>0</v>
      </c>
      <c r="BS290" s="9">
        <v>0</v>
      </c>
      <c r="BT290" s="9">
        <v>0</v>
      </c>
      <c r="BU290" s="9">
        <v>0</v>
      </c>
      <c r="BV290" s="9">
        <v>0</v>
      </c>
      <c r="BW290" s="9">
        <v>0</v>
      </c>
      <c r="BX290" s="9">
        <v>0</v>
      </c>
      <c r="BY290" s="9">
        <v>0</v>
      </c>
      <c r="BZ290" s="9">
        <v>0</v>
      </c>
      <c r="CA290" s="9">
        <v>0</v>
      </c>
      <c r="CB290" s="9">
        <v>0</v>
      </c>
      <c r="CC290" s="9">
        <v>0</v>
      </c>
      <c r="CD290" s="9">
        <v>0</v>
      </c>
      <c r="CE290" s="9">
        <v>0</v>
      </c>
      <c r="CF290" s="9">
        <v>0</v>
      </c>
      <c r="CG290" s="9">
        <v>0</v>
      </c>
      <c r="CH290" s="9">
        <v>0</v>
      </c>
      <c r="CI290" s="9">
        <v>0</v>
      </c>
      <c r="CJ290" s="9">
        <v>0</v>
      </c>
      <c r="CK290" s="9">
        <v>0</v>
      </c>
      <c r="CL290" s="9">
        <v>0</v>
      </c>
      <c r="CM290" s="9">
        <v>0</v>
      </c>
      <c r="CN290" s="9">
        <v>0</v>
      </c>
      <c r="CO290" s="9">
        <v>0</v>
      </c>
      <c r="CP290" s="9">
        <v>0</v>
      </c>
      <c r="CQ290" s="9">
        <v>0</v>
      </c>
      <c r="CR290" s="9">
        <v>0</v>
      </c>
      <c r="CS290" s="9">
        <v>0</v>
      </c>
      <c r="CT290" s="9">
        <v>0</v>
      </c>
      <c r="CU290" s="9">
        <v>0</v>
      </c>
      <c r="CV290" s="9">
        <v>0</v>
      </c>
      <c r="CW290" s="9">
        <v>0</v>
      </c>
      <c r="CX290" s="9">
        <v>0</v>
      </c>
      <c r="CY290" s="9">
        <v>0</v>
      </c>
      <c r="CZ290" s="9">
        <v>0</v>
      </c>
      <c r="DA290" s="9">
        <v>0</v>
      </c>
      <c r="DB290" s="9">
        <v>0</v>
      </c>
      <c r="DC290" s="9">
        <v>0</v>
      </c>
      <c r="DD290" s="9">
        <v>0</v>
      </c>
      <c r="DE290" s="9">
        <v>0</v>
      </c>
      <c r="DF290" s="9">
        <v>0</v>
      </c>
      <c r="DG290" s="9">
        <v>0</v>
      </c>
      <c r="DH290" s="9">
        <v>0</v>
      </c>
      <c r="DI290" s="9">
        <v>0</v>
      </c>
      <c r="DJ290" s="9">
        <v>0</v>
      </c>
      <c r="DK290" s="9">
        <v>0</v>
      </c>
      <c r="DL290" s="9">
        <v>0</v>
      </c>
      <c r="DM290" s="9">
        <v>0</v>
      </c>
      <c r="DN290" s="9">
        <v>0</v>
      </c>
      <c r="DO290" s="9">
        <v>0</v>
      </c>
      <c r="DP290" s="9">
        <v>0</v>
      </c>
      <c r="DQ290" s="9">
        <v>0</v>
      </c>
      <c r="DR290" s="9">
        <v>0</v>
      </c>
      <c r="DS290" s="9">
        <v>0</v>
      </c>
      <c r="DT290" s="9">
        <v>0</v>
      </c>
      <c r="DU290" s="9">
        <v>0</v>
      </c>
      <c r="DV290" s="9">
        <v>0</v>
      </c>
      <c r="DW290" s="9">
        <v>0</v>
      </c>
      <c r="DX290" s="9">
        <v>0</v>
      </c>
      <c r="DY290" s="9">
        <v>0</v>
      </c>
      <c r="DZ290" s="9">
        <v>0</v>
      </c>
      <c r="EA290" s="9">
        <v>0</v>
      </c>
      <c r="EB290" s="9">
        <v>0</v>
      </c>
      <c r="EC290" s="9">
        <v>0</v>
      </c>
      <c r="ED290" s="9">
        <v>0</v>
      </c>
      <c r="EE290" s="9">
        <v>0</v>
      </c>
      <c r="EF290" s="9">
        <v>0</v>
      </c>
      <c r="EG290" s="9">
        <v>0</v>
      </c>
      <c r="EH290" s="9">
        <v>0</v>
      </c>
      <c r="EI290" s="10">
        <v>0</v>
      </c>
    </row>
    <row r="291" spans="1:139" x14ac:dyDescent="0.35">
      <c r="A291" s="8" t="s">
        <v>494</v>
      </c>
      <c r="B291" s="9" t="s">
        <v>21</v>
      </c>
      <c r="C291" s="9" t="s">
        <v>22</v>
      </c>
      <c r="D291" s="9">
        <f t="shared" si="4"/>
        <v>0</v>
      </c>
      <c r="E291" s="9">
        <v>0</v>
      </c>
      <c r="F291" s="9">
        <v>0</v>
      </c>
      <c r="G291" s="9">
        <v>0</v>
      </c>
      <c r="H291" s="9">
        <v>0</v>
      </c>
      <c r="I291" s="9">
        <v>0</v>
      </c>
      <c r="J291" s="9">
        <v>0</v>
      </c>
      <c r="K291" s="9">
        <v>0</v>
      </c>
      <c r="L291" s="9">
        <v>0</v>
      </c>
      <c r="M291" s="9">
        <v>0</v>
      </c>
      <c r="N291" s="9">
        <v>0</v>
      </c>
      <c r="O291" s="9">
        <v>0</v>
      </c>
      <c r="P291" s="9">
        <v>0</v>
      </c>
      <c r="Q291" s="9">
        <v>0</v>
      </c>
      <c r="R291" s="9">
        <v>0</v>
      </c>
      <c r="S291" s="9">
        <v>0</v>
      </c>
      <c r="T291" s="9">
        <v>0</v>
      </c>
      <c r="U291" s="9">
        <v>0</v>
      </c>
      <c r="V291" s="9">
        <v>0</v>
      </c>
      <c r="W291" s="9">
        <v>0</v>
      </c>
      <c r="X291" s="9">
        <v>0</v>
      </c>
      <c r="Y291" s="9">
        <v>0</v>
      </c>
      <c r="Z291" s="9">
        <v>0</v>
      </c>
      <c r="AA291" s="9">
        <v>0</v>
      </c>
      <c r="AB291" s="9">
        <v>0</v>
      </c>
      <c r="AC291" s="9">
        <v>0</v>
      </c>
      <c r="AD291" s="9">
        <v>0</v>
      </c>
      <c r="AE291" s="9">
        <v>0</v>
      </c>
      <c r="AF291" s="9">
        <v>0</v>
      </c>
      <c r="AG291" s="9">
        <v>0</v>
      </c>
      <c r="AH291" s="9">
        <v>0</v>
      </c>
      <c r="AI291" s="9">
        <v>0</v>
      </c>
      <c r="AJ291" s="9">
        <v>0</v>
      </c>
      <c r="AK291" s="9">
        <v>0</v>
      </c>
      <c r="AL291" s="9">
        <v>0</v>
      </c>
      <c r="AM291" s="9">
        <v>0</v>
      </c>
      <c r="AN291" s="9">
        <v>0</v>
      </c>
      <c r="AO291" s="9">
        <v>0</v>
      </c>
      <c r="AP291" s="9">
        <v>0</v>
      </c>
      <c r="AQ291" s="9">
        <v>0</v>
      </c>
      <c r="AR291" s="9">
        <v>0</v>
      </c>
      <c r="AS291" s="9">
        <v>0</v>
      </c>
      <c r="AT291" s="9">
        <v>0</v>
      </c>
      <c r="AU291" s="9">
        <v>0</v>
      </c>
      <c r="AV291" s="9">
        <v>0</v>
      </c>
      <c r="AW291" s="9">
        <v>0</v>
      </c>
      <c r="AX291" s="9">
        <v>0</v>
      </c>
      <c r="AY291" s="9">
        <v>0</v>
      </c>
      <c r="AZ291" s="9">
        <v>0</v>
      </c>
      <c r="BA291" s="9">
        <v>0</v>
      </c>
      <c r="BB291" s="9">
        <v>0</v>
      </c>
      <c r="BC291" s="9">
        <v>0</v>
      </c>
      <c r="BD291" s="9">
        <v>0</v>
      </c>
      <c r="BE291" s="9">
        <v>0</v>
      </c>
      <c r="BF291" s="9">
        <v>0</v>
      </c>
      <c r="BG291" s="9">
        <v>0</v>
      </c>
      <c r="BH291" s="9">
        <v>0</v>
      </c>
      <c r="BI291" s="9">
        <v>0</v>
      </c>
      <c r="BJ291" s="9">
        <v>0</v>
      </c>
      <c r="BK291" s="9">
        <v>0</v>
      </c>
      <c r="BL291" s="9">
        <v>0</v>
      </c>
      <c r="BM291" s="9">
        <v>0</v>
      </c>
      <c r="BN291" s="9">
        <v>0</v>
      </c>
      <c r="BO291" s="9">
        <v>0</v>
      </c>
      <c r="BP291" s="9">
        <v>0</v>
      </c>
      <c r="BQ291" s="9">
        <v>0</v>
      </c>
      <c r="BR291" s="9">
        <v>0</v>
      </c>
      <c r="BS291" s="9">
        <v>0</v>
      </c>
      <c r="BT291" s="9">
        <v>0</v>
      </c>
      <c r="BU291" s="9">
        <v>0</v>
      </c>
      <c r="BV291" s="9">
        <v>0</v>
      </c>
      <c r="BW291" s="9">
        <v>0</v>
      </c>
      <c r="BX291" s="9">
        <v>0</v>
      </c>
      <c r="BY291" s="9">
        <v>0</v>
      </c>
      <c r="BZ291" s="9">
        <v>0</v>
      </c>
      <c r="CA291" s="9">
        <v>0</v>
      </c>
      <c r="CB291" s="9">
        <v>0</v>
      </c>
      <c r="CC291" s="9">
        <v>0</v>
      </c>
      <c r="CD291" s="9">
        <v>0</v>
      </c>
      <c r="CE291" s="9">
        <v>0</v>
      </c>
      <c r="CF291" s="9">
        <v>0</v>
      </c>
      <c r="CG291" s="9">
        <v>0</v>
      </c>
      <c r="CH291" s="9">
        <v>0</v>
      </c>
      <c r="CI291" s="9">
        <v>0</v>
      </c>
      <c r="CJ291" s="9">
        <v>0</v>
      </c>
      <c r="CK291" s="9">
        <v>0</v>
      </c>
      <c r="CL291" s="9">
        <v>0</v>
      </c>
      <c r="CM291" s="9">
        <v>0</v>
      </c>
      <c r="CN291" s="9">
        <v>0</v>
      </c>
      <c r="CO291" s="9">
        <v>0</v>
      </c>
      <c r="CP291" s="9">
        <v>0</v>
      </c>
      <c r="CQ291" s="9">
        <v>0</v>
      </c>
      <c r="CR291" s="9">
        <v>0</v>
      </c>
      <c r="CS291" s="9">
        <v>0</v>
      </c>
      <c r="CT291" s="9">
        <v>0</v>
      </c>
      <c r="CU291" s="9">
        <v>0</v>
      </c>
      <c r="CV291" s="9">
        <v>0</v>
      </c>
      <c r="CW291" s="9">
        <v>0</v>
      </c>
      <c r="CX291" s="9">
        <v>0</v>
      </c>
      <c r="CY291" s="9">
        <v>0</v>
      </c>
      <c r="CZ291" s="9">
        <v>0</v>
      </c>
      <c r="DA291" s="9">
        <v>0</v>
      </c>
      <c r="DB291" s="9">
        <v>0</v>
      </c>
      <c r="DC291" s="9">
        <v>0</v>
      </c>
      <c r="DD291" s="9">
        <v>0</v>
      </c>
      <c r="DE291" s="9">
        <v>0</v>
      </c>
      <c r="DF291" s="9">
        <v>0</v>
      </c>
      <c r="DG291" s="9">
        <v>0</v>
      </c>
      <c r="DH291" s="9">
        <v>0</v>
      </c>
      <c r="DI291" s="9">
        <v>0</v>
      </c>
      <c r="DJ291" s="9">
        <v>0</v>
      </c>
      <c r="DK291" s="9">
        <v>0</v>
      </c>
      <c r="DL291" s="9">
        <v>0</v>
      </c>
      <c r="DM291" s="9">
        <v>0</v>
      </c>
      <c r="DN291" s="9">
        <v>0</v>
      </c>
      <c r="DO291" s="9">
        <v>0</v>
      </c>
      <c r="DP291" s="9">
        <v>0</v>
      </c>
      <c r="DQ291" s="9">
        <v>0</v>
      </c>
      <c r="DR291" s="9">
        <v>0</v>
      </c>
      <c r="DS291" s="9">
        <v>0</v>
      </c>
      <c r="DT291" s="9">
        <v>0</v>
      </c>
      <c r="DU291" s="9">
        <v>0</v>
      </c>
      <c r="DV291" s="9">
        <v>0</v>
      </c>
      <c r="DW291" s="9">
        <v>0</v>
      </c>
      <c r="DX291" s="9">
        <v>0</v>
      </c>
      <c r="DY291" s="9">
        <v>0</v>
      </c>
      <c r="DZ291" s="9">
        <v>0</v>
      </c>
      <c r="EA291" s="9">
        <v>0</v>
      </c>
      <c r="EB291" s="9">
        <v>0</v>
      </c>
      <c r="EC291" s="9">
        <v>0</v>
      </c>
      <c r="ED291" s="9">
        <v>0</v>
      </c>
      <c r="EE291" s="9">
        <v>0</v>
      </c>
      <c r="EF291" s="9">
        <v>0</v>
      </c>
      <c r="EG291" s="9">
        <v>0</v>
      </c>
      <c r="EH291" s="9">
        <v>0</v>
      </c>
      <c r="EI291" s="10">
        <v>0</v>
      </c>
    </row>
    <row r="292" spans="1:139" x14ac:dyDescent="0.35">
      <c r="A292" s="8" t="s">
        <v>494</v>
      </c>
      <c r="B292" s="9" t="s">
        <v>23</v>
      </c>
      <c r="C292" s="9" t="s">
        <v>24</v>
      </c>
      <c r="D292" s="9">
        <f t="shared" si="4"/>
        <v>0</v>
      </c>
      <c r="E292" s="9">
        <v>0</v>
      </c>
      <c r="F292" s="9">
        <v>0</v>
      </c>
      <c r="G292" s="9">
        <v>0</v>
      </c>
      <c r="H292" s="9">
        <v>0</v>
      </c>
      <c r="I292" s="9">
        <v>0</v>
      </c>
      <c r="J292" s="9">
        <v>0</v>
      </c>
      <c r="K292" s="9">
        <v>0</v>
      </c>
      <c r="L292" s="9">
        <v>0</v>
      </c>
      <c r="M292" s="9">
        <v>0</v>
      </c>
      <c r="N292" s="9">
        <v>0</v>
      </c>
      <c r="O292" s="9">
        <v>0</v>
      </c>
      <c r="P292" s="9">
        <v>0</v>
      </c>
      <c r="Q292" s="9">
        <v>0</v>
      </c>
      <c r="R292" s="9">
        <v>0</v>
      </c>
      <c r="S292" s="9">
        <v>0</v>
      </c>
      <c r="T292" s="9">
        <v>0</v>
      </c>
      <c r="U292" s="9">
        <v>0</v>
      </c>
      <c r="V292" s="9">
        <v>0</v>
      </c>
      <c r="W292" s="9">
        <v>0</v>
      </c>
      <c r="X292" s="9">
        <v>0</v>
      </c>
      <c r="Y292" s="9">
        <v>0</v>
      </c>
      <c r="Z292" s="9">
        <v>0</v>
      </c>
      <c r="AA292" s="9">
        <v>0</v>
      </c>
      <c r="AB292" s="9">
        <v>0</v>
      </c>
      <c r="AC292" s="9">
        <v>0</v>
      </c>
      <c r="AD292" s="9">
        <v>0</v>
      </c>
      <c r="AE292" s="9">
        <v>0</v>
      </c>
      <c r="AF292" s="9">
        <v>0</v>
      </c>
      <c r="AG292" s="9">
        <v>0</v>
      </c>
      <c r="AH292" s="9">
        <v>0</v>
      </c>
      <c r="AI292" s="9">
        <v>0</v>
      </c>
      <c r="AJ292" s="9">
        <v>0</v>
      </c>
      <c r="AK292" s="9">
        <v>0</v>
      </c>
      <c r="AL292" s="9">
        <v>0</v>
      </c>
      <c r="AM292" s="9">
        <v>0</v>
      </c>
      <c r="AN292" s="9">
        <v>0</v>
      </c>
      <c r="AO292" s="9">
        <v>0</v>
      </c>
      <c r="AP292" s="9">
        <v>0</v>
      </c>
      <c r="AQ292" s="9">
        <v>0</v>
      </c>
      <c r="AR292" s="9">
        <v>0</v>
      </c>
      <c r="AS292" s="9">
        <v>0</v>
      </c>
      <c r="AT292" s="9">
        <v>0</v>
      </c>
      <c r="AU292" s="9">
        <v>0</v>
      </c>
      <c r="AV292" s="9">
        <v>0</v>
      </c>
      <c r="AW292" s="9">
        <v>0</v>
      </c>
      <c r="AX292" s="9">
        <v>0</v>
      </c>
      <c r="AY292" s="9">
        <v>0</v>
      </c>
      <c r="AZ292" s="9">
        <v>0</v>
      </c>
      <c r="BA292" s="9">
        <v>0</v>
      </c>
      <c r="BB292" s="9">
        <v>0</v>
      </c>
      <c r="BC292" s="9">
        <v>0</v>
      </c>
      <c r="BD292" s="9">
        <v>0</v>
      </c>
      <c r="BE292" s="9">
        <v>0</v>
      </c>
      <c r="BF292" s="9">
        <v>0</v>
      </c>
      <c r="BG292" s="9">
        <v>0</v>
      </c>
      <c r="BH292" s="9">
        <v>0</v>
      </c>
      <c r="BI292" s="9">
        <v>0</v>
      </c>
      <c r="BJ292" s="9">
        <v>0</v>
      </c>
      <c r="BK292" s="9">
        <v>0</v>
      </c>
      <c r="BL292" s="9">
        <v>0</v>
      </c>
      <c r="BM292" s="9">
        <v>0</v>
      </c>
      <c r="BN292" s="9">
        <v>0</v>
      </c>
      <c r="BO292" s="9">
        <v>0</v>
      </c>
      <c r="BP292" s="9">
        <v>0</v>
      </c>
      <c r="BQ292" s="9">
        <v>0</v>
      </c>
      <c r="BR292" s="9">
        <v>0</v>
      </c>
      <c r="BS292" s="9">
        <v>0</v>
      </c>
      <c r="BT292" s="9">
        <v>0</v>
      </c>
      <c r="BU292" s="9">
        <v>0</v>
      </c>
      <c r="BV292" s="9">
        <v>0</v>
      </c>
      <c r="BW292" s="9">
        <v>0</v>
      </c>
      <c r="BX292" s="9">
        <v>0</v>
      </c>
      <c r="BY292" s="9">
        <v>0</v>
      </c>
      <c r="BZ292" s="9">
        <v>0</v>
      </c>
      <c r="CA292" s="9">
        <v>0</v>
      </c>
      <c r="CB292" s="9">
        <v>0</v>
      </c>
      <c r="CC292" s="9">
        <v>0</v>
      </c>
      <c r="CD292" s="9">
        <v>0</v>
      </c>
      <c r="CE292" s="9">
        <v>0</v>
      </c>
      <c r="CF292" s="9">
        <v>0</v>
      </c>
      <c r="CG292" s="9">
        <v>0</v>
      </c>
      <c r="CH292" s="9">
        <v>0</v>
      </c>
      <c r="CI292" s="9">
        <v>0</v>
      </c>
      <c r="CJ292" s="9">
        <v>0</v>
      </c>
      <c r="CK292" s="9">
        <v>0</v>
      </c>
      <c r="CL292" s="9">
        <v>0</v>
      </c>
      <c r="CM292" s="9">
        <v>0</v>
      </c>
      <c r="CN292" s="9">
        <v>0</v>
      </c>
      <c r="CO292" s="9">
        <v>0</v>
      </c>
      <c r="CP292" s="9">
        <v>0</v>
      </c>
      <c r="CQ292" s="9">
        <v>0</v>
      </c>
      <c r="CR292" s="9">
        <v>0</v>
      </c>
      <c r="CS292" s="9">
        <v>0</v>
      </c>
      <c r="CT292" s="9">
        <v>0</v>
      </c>
      <c r="CU292" s="9">
        <v>0</v>
      </c>
      <c r="CV292" s="9">
        <v>0</v>
      </c>
      <c r="CW292" s="9">
        <v>0</v>
      </c>
      <c r="CX292" s="9">
        <v>0</v>
      </c>
      <c r="CY292" s="9">
        <v>0</v>
      </c>
      <c r="CZ292" s="9">
        <v>0</v>
      </c>
      <c r="DA292" s="9">
        <v>0</v>
      </c>
      <c r="DB292" s="9">
        <v>0</v>
      </c>
      <c r="DC292" s="9">
        <v>0</v>
      </c>
      <c r="DD292" s="9">
        <v>0</v>
      </c>
      <c r="DE292" s="9">
        <v>0</v>
      </c>
      <c r="DF292" s="9">
        <v>0</v>
      </c>
      <c r="DG292" s="9">
        <v>0</v>
      </c>
      <c r="DH292" s="9">
        <v>0</v>
      </c>
      <c r="DI292" s="9">
        <v>0</v>
      </c>
      <c r="DJ292" s="9">
        <v>0</v>
      </c>
      <c r="DK292" s="9">
        <v>0</v>
      </c>
      <c r="DL292" s="9">
        <v>0</v>
      </c>
      <c r="DM292" s="9">
        <v>0</v>
      </c>
      <c r="DN292" s="9">
        <v>0</v>
      </c>
      <c r="DO292" s="9">
        <v>0</v>
      </c>
      <c r="DP292" s="9">
        <v>0</v>
      </c>
      <c r="DQ292" s="9">
        <v>0</v>
      </c>
      <c r="DR292" s="9">
        <v>0</v>
      </c>
      <c r="DS292" s="9">
        <v>0</v>
      </c>
      <c r="DT292" s="9">
        <v>0</v>
      </c>
      <c r="DU292" s="9">
        <v>0</v>
      </c>
      <c r="DV292" s="9">
        <v>0</v>
      </c>
      <c r="DW292" s="9">
        <v>0</v>
      </c>
      <c r="DX292" s="9">
        <v>0</v>
      </c>
      <c r="DY292" s="9">
        <v>0</v>
      </c>
      <c r="DZ292" s="9">
        <v>0</v>
      </c>
      <c r="EA292" s="9">
        <v>0</v>
      </c>
      <c r="EB292" s="9">
        <v>0</v>
      </c>
      <c r="EC292" s="9">
        <v>0</v>
      </c>
      <c r="ED292" s="9">
        <v>0</v>
      </c>
      <c r="EE292" s="9">
        <v>0</v>
      </c>
      <c r="EF292" s="9">
        <v>0</v>
      </c>
      <c r="EG292" s="9">
        <v>0</v>
      </c>
      <c r="EH292" s="9">
        <v>0</v>
      </c>
      <c r="EI292" s="10">
        <v>0</v>
      </c>
    </row>
    <row r="293" spans="1:139" x14ac:dyDescent="0.35">
      <c r="A293" s="8" t="s">
        <v>494</v>
      </c>
      <c r="B293" s="9" t="s">
        <v>98</v>
      </c>
      <c r="C293" s="9" t="s">
        <v>99</v>
      </c>
      <c r="D293" s="9">
        <f t="shared" si="4"/>
        <v>0</v>
      </c>
      <c r="E293" s="9">
        <v>0</v>
      </c>
      <c r="F293" s="9">
        <v>0</v>
      </c>
      <c r="G293" s="9">
        <v>0</v>
      </c>
      <c r="H293" s="9">
        <v>0</v>
      </c>
      <c r="I293" s="9">
        <v>0</v>
      </c>
      <c r="J293" s="9">
        <v>0</v>
      </c>
      <c r="K293" s="9">
        <v>0</v>
      </c>
      <c r="L293" s="9">
        <v>0</v>
      </c>
      <c r="M293" s="9">
        <v>0</v>
      </c>
      <c r="N293" s="9">
        <v>0</v>
      </c>
      <c r="O293" s="9">
        <v>0</v>
      </c>
      <c r="P293" s="9">
        <v>0</v>
      </c>
      <c r="Q293" s="9">
        <v>0</v>
      </c>
      <c r="R293" s="9">
        <v>0</v>
      </c>
      <c r="S293" s="9">
        <v>0</v>
      </c>
      <c r="T293" s="9">
        <v>0</v>
      </c>
      <c r="U293" s="9">
        <v>0</v>
      </c>
      <c r="V293" s="9">
        <v>0</v>
      </c>
      <c r="W293" s="9">
        <v>0</v>
      </c>
      <c r="X293" s="9">
        <v>0</v>
      </c>
      <c r="Y293" s="9">
        <v>0</v>
      </c>
      <c r="Z293" s="9">
        <v>0</v>
      </c>
      <c r="AA293" s="9">
        <v>0</v>
      </c>
      <c r="AB293" s="9">
        <v>0</v>
      </c>
      <c r="AC293" s="9">
        <v>0</v>
      </c>
      <c r="AD293" s="9">
        <v>0</v>
      </c>
      <c r="AE293" s="9">
        <v>0</v>
      </c>
      <c r="AF293" s="9">
        <v>0</v>
      </c>
      <c r="AG293" s="9">
        <v>0</v>
      </c>
      <c r="AH293" s="9">
        <v>0</v>
      </c>
      <c r="AI293" s="9">
        <v>0</v>
      </c>
      <c r="AJ293" s="9">
        <v>0</v>
      </c>
      <c r="AK293" s="9">
        <v>0</v>
      </c>
      <c r="AL293" s="9">
        <v>0</v>
      </c>
      <c r="AM293" s="9">
        <v>0</v>
      </c>
      <c r="AN293" s="9">
        <v>0</v>
      </c>
      <c r="AO293" s="9">
        <v>0</v>
      </c>
      <c r="AP293" s="9">
        <v>0</v>
      </c>
      <c r="AQ293" s="9">
        <v>0</v>
      </c>
      <c r="AR293" s="9">
        <v>0</v>
      </c>
      <c r="AS293" s="9">
        <v>0</v>
      </c>
      <c r="AT293" s="9">
        <v>0</v>
      </c>
      <c r="AU293" s="9">
        <v>0</v>
      </c>
      <c r="AV293" s="9">
        <v>0</v>
      </c>
      <c r="AW293" s="9">
        <v>0</v>
      </c>
      <c r="AX293" s="9">
        <v>0</v>
      </c>
      <c r="AY293" s="9">
        <v>0</v>
      </c>
      <c r="AZ293" s="9">
        <v>0</v>
      </c>
      <c r="BA293" s="9">
        <v>0</v>
      </c>
      <c r="BB293" s="9">
        <v>0</v>
      </c>
      <c r="BC293" s="9">
        <v>0</v>
      </c>
      <c r="BD293" s="9">
        <v>0</v>
      </c>
      <c r="BE293" s="9">
        <v>0</v>
      </c>
      <c r="BF293" s="9">
        <v>0</v>
      </c>
      <c r="BG293" s="9">
        <v>0</v>
      </c>
      <c r="BH293" s="9">
        <v>0</v>
      </c>
      <c r="BI293" s="9">
        <v>0</v>
      </c>
      <c r="BJ293" s="9">
        <v>0</v>
      </c>
      <c r="BK293" s="9">
        <v>0</v>
      </c>
      <c r="BL293" s="9">
        <v>0</v>
      </c>
      <c r="BM293" s="9">
        <v>0</v>
      </c>
      <c r="BN293" s="9">
        <v>0</v>
      </c>
      <c r="BO293" s="9">
        <v>0</v>
      </c>
      <c r="BP293" s="9">
        <v>0</v>
      </c>
      <c r="BQ293" s="9">
        <v>0</v>
      </c>
      <c r="BR293" s="9">
        <v>0</v>
      </c>
      <c r="BS293" s="9">
        <v>0</v>
      </c>
      <c r="BT293" s="9">
        <v>0</v>
      </c>
      <c r="BU293" s="9">
        <v>0</v>
      </c>
      <c r="BV293" s="9">
        <v>0</v>
      </c>
      <c r="BW293" s="9">
        <v>0</v>
      </c>
      <c r="BX293" s="9">
        <v>0</v>
      </c>
      <c r="BY293" s="9">
        <v>0</v>
      </c>
      <c r="BZ293" s="9">
        <v>0</v>
      </c>
      <c r="CA293" s="9">
        <v>0</v>
      </c>
      <c r="CB293" s="9">
        <v>0</v>
      </c>
      <c r="CC293" s="9">
        <v>0</v>
      </c>
      <c r="CD293" s="9">
        <v>0</v>
      </c>
      <c r="CE293" s="9">
        <v>0</v>
      </c>
      <c r="CF293" s="9">
        <v>0</v>
      </c>
      <c r="CG293" s="9">
        <v>0</v>
      </c>
      <c r="CH293" s="9">
        <v>0</v>
      </c>
      <c r="CI293" s="9">
        <v>0</v>
      </c>
      <c r="CJ293" s="9">
        <v>0</v>
      </c>
      <c r="CK293" s="9">
        <v>0</v>
      </c>
      <c r="CL293" s="9">
        <v>0</v>
      </c>
      <c r="CM293" s="9">
        <v>0</v>
      </c>
      <c r="CN293" s="9">
        <v>0</v>
      </c>
      <c r="CO293" s="9">
        <v>0</v>
      </c>
      <c r="CP293" s="9">
        <v>0</v>
      </c>
      <c r="CQ293" s="9">
        <v>0</v>
      </c>
      <c r="CR293" s="9">
        <v>0</v>
      </c>
      <c r="CS293" s="9">
        <v>0</v>
      </c>
      <c r="CT293" s="9">
        <v>0</v>
      </c>
      <c r="CU293" s="9">
        <v>0</v>
      </c>
      <c r="CV293" s="9">
        <v>0</v>
      </c>
      <c r="CW293" s="9">
        <v>0</v>
      </c>
      <c r="CX293" s="9">
        <v>0</v>
      </c>
      <c r="CY293" s="9">
        <v>0</v>
      </c>
      <c r="CZ293" s="9">
        <v>0</v>
      </c>
      <c r="DA293" s="9">
        <v>0</v>
      </c>
      <c r="DB293" s="9">
        <v>0</v>
      </c>
      <c r="DC293" s="9">
        <v>0</v>
      </c>
      <c r="DD293" s="9">
        <v>0</v>
      </c>
      <c r="DE293" s="9">
        <v>0</v>
      </c>
      <c r="DF293" s="9">
        <v>0</v>
      </c>
      <c r="DG293" s="9">
        <v>0</v>
      </c>
      <c r="DH293" s="9">
        <v>0</v>
      </c>
      <c r="DI293" s="9">
        <v>0</v>
      </c>
      <c r="DJ293" s="9">
        <v>0</v>
      </c>
      <c r="DK293" s="9">
        <v>0</v>
      </c>
      <c r="DL293" s="9">
        <v>0</v>
      </c>
      <c r="DM293" s="9">
        <v>0</v>
      </c>
      <c r="DN293" s="9">
        <v>0</v>
      </c>
      <c r="DO293" s="9">
        <v>0</v>
      </c>
      <c r="DP293" s="9">
        <v>0</v>
      </c>
      <c r="DQ293" s="9">
        <v>0</v>
      </c>
      <c r="DR293" s="9">
        <v>0</v>
      </c>
      <c r="DS293" s="9">
        <v>0</v>
      </c>
      <c r="DT293" s="9">
        <v>0</v>
      </c>
      <c r="DU293" s="9">
        <v>0</v>
      </c>
      <c r="DV293" s="9">
        <v>0</v>
      </c>
      <c r="DW293" s="9">
        <v>0</v>
      </c>
      <c r="DX293" s="9">
        <v>0</v>
      </c>
      <c r="DY293" s="9">
        <v>0</v>
      </c>
      <c r="DZ293" s="9">
        <v>0</v>
      </c>
      <c r="EA293" s="9">
        <v>0</v>
      </c>
      <c r="EB293" s="9">
        <v>0</v>
      </c>
      <c r="EC293" s="9">
        <v>0</v>
      </c>
      <c r="ED293" s="9">
        <v>0</v>
      </c>
      <c r="EE293" s="9">
        <v>0</v>
      </c>
      <c r="EF293" s="9">
        <v>0</v>
      </c>
      <c r="EG293" s="9">
        <v>0</v>
      </c>
      <c r="EH293" s="9">
        <v>0</v>
      </c>
      <c r="EI293" s="10">
        <v>0</v>
      </c>
    </row>
    <row r="294" spans="1:139" x14ac:dyDescent="0.35">
      <c r="A294" s="8" t="s">
        <v>494</v>
      </c>
      <c r="B294" s="9" t="s">
        <v>430</v>
      </c>
      <c r="C294" s="9" t="s">
        <v>431</v>
      </c>
      <c r="D294" s="9">
        <f t="shared" si="4"/>
        <v>2</v>
      </c>
      <c r="E294" s="9">
        <v>0</v>
      </c>
      <c r="F294" s="9">
        <v>0</v>
      </c>
      <c r="G294" s="9">
        <v>0</v>
      </c>
      <c r="H294" s="9">
        <v>0</v>
      </c>
      <c r="I294" s="9">
        <v>0</v>
      </c>
      <c r="J294" s="9">
        <v>0</v>
      </c>
      <c r="K294" s="9">
        <v>0</v>
      </c>
      <c r="L294" s="9">
        <v>0</v>
      </c>
      <c r="M294" s="9">
        <v>0</v>
      </c>
      <c r="N294" s="9">
        <v>0</v>
      </c>
      <c r="O294" s="9">
        <v>0</v>
      </c>
      <c r="P294" s="9">
        <v>0</v>
      </c>
      <c r="Q294" s="9">
        <v>0</v>
      </c>
      <c r="R294" s="9">
        <v>0</v>
      </c>
      <c r="S294" s="9">
        <v>0</v>
      </c>
      <c r="T294" s="9">
        <v>0</v>
      </c>
      <c r="U294" s="9">
        <v>0</v>
      </c>
      <c r="V294" s="9">
        <v>0</v>
      </c>
      <c r="W294" s="9">
        <v>0</v>
      </c>
      <c r="X294" s="9">
        <v>0</v>
      </c>
      <c r="Y294" s="9">
        <v>0</v>
      </c>
      <c r="Z294" s="9">
        <v>0</v>
      </c>
      <c r="AA294" s="9">
        <v>0</v>
      </c>
      <c r="AB294" s="9">
        <v>0</v>
      </c>
      <c r="AC294" s="9">
        <v>0</v>
      </c>
      <c r="AD294" s="9">
        <v>0</v>
      </c>
      <c r="AE294" s="9">
        <v>0</v>
      </c>
      <c r="AF294" s="9">
        <v>0</v>
      </c>
      <c r="AG294" s="9">
        <v>0</v>
      </c>
      <c r="AH294" s="9">
        <v>0</v>
      </c>
      <c r="AI294" s="9">
        <v>0</v>
      </c>
      <c r="AJ294" s="9">
        <v>0</v>
      </c>
      <c r="AK294" s="9">
        <v>0</v>
      </c>
      <c r="AL294" s="9">
        <v>0</v>
      </c>
      <c r="AM294" s="9">
        <v>0</v>
      </c>
      <c r="AN294" s="9">
        <v>0</v>
      </c>
      <c r="AO294" s="9">
        <v>0</v>
      </c>
      <c r="AP294" s="9">
        <v>0</v>
      </c>
      <c r="AQ294" s="9">
        <v>0</v>
      </c>
      <c r="AR294" s="9">
        <v>0</v>
      </c>
      <c r="AS294" s="9">
        <v>0</v>
      </c>
      <c r="AT294" s="9">
        <v>1</v>
      </c>
      <c r="AU294" s="9">
        <v>0</v>
      </c>
      <c r="AV294" s="9">
        <v>0</v>
      </c>
      <c r="AW294" s="9">
        <v>0</v>
      </c>
      <c r="AX294" s="9">
        <v>0</v>
      </c>
      <c r="AY294" s="9">
        <v>1</v>
      </c>
      <c r="AZ294" s="9">
        <v>0</v>
      </c>
      <c r="BA294" s="9">
        <v>0</v>
      </c>
      <c r="BB294" s="9">
        <v>0</v>
      </c>
      <c r="BC294" s="9">
        <v>0</v>
      </c>
      <c r="BD294" s="9">
        <v>0</v>
      </c>
      <c r="BE294" s="9">
        <v>0</v>
      </c>
      <c r="BF294" s="9">
        <v>0</v>
      </c>
      <c r="BG294" s="9">
        <v>0</v>
      </c>
      <c r="BH294" s="9">
        <v>0</v>
      </c>
      <c r="BI294" s="9">
        <v>0</v>
      </c>
      <c r="BJ294" s="9">
        <v>0</v>
      </c>
      <c r="BK294" s="9">
        <v>0</v>
      </c>
      <c r="BL294" s="9">
        <v>0</v>
      </c>
      <c r="BM294" s="9">
        <v>0</v>
      </c>
      <c r="BN294" s="9">
        <v>0</v>
      </c>
      <c r="BO294" s="9">
        <v>0</v>
      </c>
      <c r="BP294" s="9">
        <v>0</v>
      </c>
      <c r="BQ294" s="9">
        <v>0</v>
      </c>
      <c r="BR294" s="9">
        <v>0</v>
      </c>
      <c r="BS294" s="9">
        <v>0</v>
      </c>
      <c r="BT294" s="9">
        <v>0</v>
      </c>
      <c r="BU294" s="9">
        <v>0</v>
      </c>
      <c r="BV294" s="9">
        <v>0</v>
      </c>
      <c r="BW294" s="9">
        <v>0</v>
      </c>
      <c r="BX294" s="9">
        <v>0</v>
      </c>
      <c r="BY294" s="9">
        <v>0</v>
      </c>
      <c r="BZ294" s="9">
        <v>0</v>
      </c>
      <c r="CA294" s="9">
        <v>0</v>
      </c>
      <c r="CB294" s="9">
        <v>0</v>
      </c>
      <c r="CC294" s="9">
        <v>0</v>
      </c>
      <c r="CD294" s="9">
        <v>0</v>
      </c>
      <c r="CE294" s="9">
        <v>0</v>
      </c>
      <c r="CF294" s="9">
        <v>0</v>
      </c>
      <c r="CG294" s="9">
        <v>0</v>
      </c>
      <c r="CH294" s="9">
        <v>0</v>
      </c>
      <c r="CI294" s="9">
        <v>0</v>
      </c>
      <c r="CJ294" s="9">
        <v>0</v>
      </c>
      <c r="CK294" s="9">
        <v>0</v>
      </c>
      <c r="CL294" s="9">
        <v>0</v>
      </c>
      <c r="CM294" s="9">
        <v>0</v>
      </c>
      <c r="CN294" s="9">
        <v>0</v>
      </c>
      <c r="CO294" s="9">
        <v>0</v>
      </c>
      <c r="CP294" s="9">
        <v>0</v>
      </c>
      <c r="CQ294" s="9">
        <v>0</v>
      </c>
      <c r="CR294" s="9">
        <v>0</v>
      </c>
      <c r="CS294" s="9">
        <v>0</v>
      </c>
      <c r="CT294" s="9">
        <v>0</v>
      </c>
      <c r="CU294" s="9">
        <v>0</v>
      </c>
      <c r="CV294" s="9">
        <v>0</v>
      </c>
      <c r="CW294" s="9">
        <v>0</v>
      </c>
      <c r="CX294" s="9">
        <v>0</v>
      </c>
      <c r="CY294" s="9">
        <v>0</v>
      </c>
      <c r="CZ294" s="9">
        <v>0</v>
      </c>
      <c r="DA294" s="9">
        <v>0</v>
      </c>
      <c r="DB294" s="9">
        <v>0</v>
      </c>
      <c r="DC294" s="9">
        <v>0</v>
      </c>
      <c r="DD294" s="9">
        <v>0</v>
      </c>
      <c r="DE294" s="9">
        <v>0</v>
      </c>
      <c r="DF294" s="9">
        <v>0</v>
      </c>
      <c r="DG294" s="9">
        <v>0</v>
      </c>
      <c r="DH294" s="9">
        <v>0</v>
      </c>
      <c r="DI294" s="9">
        <v>0</v>
      </c>
      <c r="DJ294" s="9">
        <v>0</v>
      </c>
      <c r="DK294" s="9">
        <v>0</v>
      </c>
      <c r="DL294" s="9">
        <v>0</v>
      </c>
      <c r="DM294" s="9">
        <v>0</v>
      </c>
      <c r="DN294" s="9">
        <v>0</v>
      </c>
      <c r="DO294" s="9">
        <v>0</v>
      </c>
      <c r="DP294" s="9">
        <v>0</v>
      </c>
      <c r="DQ294" s="9">
        <v>0</v>
      </c>
      <c r="DR294" s="9">
        <v>0</v>
      </c>
      <c r="DS294" s="9">
        <v>0</v>
      </c>
      <c r="DT294" s="9">
        <v>0</v>
      </c>
      <c r="DU294" s="9">
        <v>0</v>
      </c>
      <c r="DV294" s="9">
        <v>0</v>
      </c>
      <c r="DW294" s="9">
        <v>0</v>
      </c>
      <c r="DX294" s="9">
        <v>0</v>
      </c>
      <c r="DY294" s="9">
        <v>0</v>
      </c>
      <c r="DZ294" s="9">
        <v>0</v>
      </c>
      <c r="EA294" s="9">
        <v>0</v>
      </c>
      <c r="EB294" s="9">
        <v>0</v>
      </c>
      <c r="EC294" s="9">
        <v>0</v>
      </c>
      <c r="ED294" s="9">
        <v>0</v>
      </c>
      <c r="EE294" s="9">
        <v>0</v>
      </c>
      <c r="EF294" s="9">
        <v>0</v>
      </c>
      <c r="EG294" s="9">
        <v>0</v>
      </c>
      <c r="EH294" s="9">
        <v>0</v>
      </c>
      <c r="EI294" s="10">
        <v>0</v>
      </c>
    </row>
    <row r="295" spans="1:139" x14ac:dyDescent="0.35">
      <c r="A295" s="8" t="s">
        <v>494</v>
      </c>
      <c r="B295" s="9" t="s">
        <v>25</v>
      </c>
      <c r="C295" s="9" t="s">
        <v>26</v>
      </c>
      <c r="D295" s="9">
        <f t="shared" si="4"/>
        <v>0</v>
      </c>
      <c r="E295" s="9">
        <v>0</v>
      </c>
      <c r="F295" s="9">
        <v>0</v>
      </c>
      <c r="G295" s="9">
        <v>0</v>
      </c>
      <c r="H295" s="9">
        <v>0</v>
      </c>
      <c r="I295" s="9">
        <v>0</v>
      </c>
      <c r="J295" s="9">
        <v>0</v>
      </c>
      <c r="K295" s="9">
        <v>0</v>
      </c>
      <c r="L295" s="9">
        <v>0</v>
      </c>
      <c r="M295" s="9">
        <v>0</v>
      </c>
      <c r="N295" s="9">
        <v>0</v>
      </c>
      <c r="O295" s="9">
        <v>0</v>
      </c>
      <c r="P295" s="9">
        <v>0</v>
      </c>
      <c r="Q295" s="9">
        <v>0</v>
      </c>
      <c r="R295" s="9">
        <v>0</v>
      </c>
      <c r="S295" s="9">
        <v>0</v>
      </c>
      <c r="T295" s="9">
        <v>0</v>
      </c>
      <c r="U295" s="9">
        <v>0</v>
      </c>
      <c r="V295" s="9">
        <v>0</v>
      </c>
      <c r="W295" s="9">
        <v>0</v>
      </c>
      <c r="X295" s="9">
        <v>0</v>
      </c>
      <c r="Y295" s="9">
        <v>0</v>
      </c>
      <c r="Z295" s="9">
        <v>0</v>
      </c>
      <c r="AA295" s="9">
        <v>0</v>
      </c>
      <c r="AB295" s="9">
        <v>0</v>
      </c>
      <c r="AC295" s="9">
        <v>0</v>
      </c>
      <c r="AD295" s="9">
        <v>0</v>
      </c>
      <c r="AE295" s="9">
        <v>0</v>
      </c>
      <c r="AF295" s="9">
        <v>0</v>
      </c>
      <c r="AG295" s="9">
        <v>0</v>
      </c>
      <c r="AH295" s="9">
        <v>0</v>
      </c>
      <c r="AI295" s="9">
        <v>0</v>
      </c>
      <c r="AJ295" s="9">
        <v>0</v>
      </c>
      <c r="AK295" s="9">
        <v>0</v>
      </c>
      <c r="AL295" s="9">
        <v>0</v>
      </c>
      <c r="AM295" s="9">
        <v>0</v>
      </c>
      <c r="AN295" s="9">
        <v>0</v>
      </c>
      <c r="AO295" s="9">
        <v>0</v>
      </c>
      <c r="AP295" s="9">
        <v>0</v>
      </c>
      <c r="AQ295" s="9">
        <v>0</v>
      </c>
      <c r="AR295" s="9">
        <v>0</v>
      </c>
      <c r="AS295" s="9">
        <v>0</v>
      </c>
      <c r="AT295" s="9">
        <v>0</v>
      </c>
      <c r="AU295" s="9">
        <v>0</v>
      </c>
      <c r="AV295" s="9">
        <v>0</v>
      </c>
      <c r="AW295" s="9">
        <v>0</v>
      </c>
      <c r="AX295" s="9">
        <v>0</v>
      </c>
      <c r="AY295" s="9">
        <v>0</v>
      </c>
      <c r="AZ295" s="9">
        <v>0</v>
      </c>
      <c r="BA295" s="9">
        <v>0</v>
      </c>
      <c r="BB295" s="9">
        <v>0</v>
      </c>
      <c r="BC295" s="9">
        <v>0</v>
      </c>
      <c r="BD295" s="9">
        <v>0</v>
      </c>
      <c r="BE295" s="9">
        <v>0</v>
      </c>
      <c r="BF295" s="9">
        <v>0</v>
      </c>
      <c r="BG295" s="9">
        <v>0</v>
      </c>
      <c r="BH295" s="9">
        <v>0</v>
      </c>
      <c r="BI295" s="9">
        <v>0</v>
      </c>
      <c r="BJ295" s="9">
        <v>0</v>
      </c>
      <c r="BK295" s="9">
        <v>0</v>
      </c>
      <c r="BL295" s="9">
        <v>0</v>
      </c>
      <c r="BM295" s="9">
        <v>0</v>
      </c>
      <c r="BN295" s="9">
        <v>0</v>
      </c>
      <c r="BO295" s="9">
        <v>0</v>
      </c>
      <c r="BP295" s="9">
        <v>0</v>
      </c>
      <c r="BQ295" s="9">
        <v>0</v>
      </c>
      <c r="BR295" s="9">
        <v>0</v>
      </c>
      <c r="BS295" s="9">
        <v>0</v>
      </c>
      <c r="BT295" s="9">
        <v>0</v>
      </c>
      <c r="BU295" s="9">
        <v>0</v>
      </c>
      <c r="BV295" s="9">
        <v>0</v>
      </c>
      <c r="BW295" s="9">
        <v>0</v>
      </c>
      <c r="BX295" s="9">
        <v>0</v>
      </c>
      <c r="BY295" s="9">
        <v>0</v>
      </c>
      <c r="BZ295" s="9">
        <v>0</v>
      </c>
      <c r="CA295" s="9">
        <v>0</v>
      </c>
      <c r="CB295" s="9">
        <v>0</v>
      </c>
      <c r="CC295" s="9">
        <v>0</v>
      </c>
      <c r="CD295" s="9">
        <v>0</v>
      </c>
      <c r="CE295" s="9">
        <v>0</v>
      </c>
      <c r="CF295" s="9">
        <v>0</v>
      </c>
      <c r="CG295" s="9">
        <v>0</v>
      </c>
      <c r="CH295" s="9">
        <v>0</v>
      </c>
      <c r="CI295" s="9">
        <v>0</v>
      </c>
      <c r="CJ295" s="9">
        <v>0</v>
      </c>
      <c r="CK295" s="9">
        <v>0</v>
      </c>
      <c r="CL295" s="9">
        <v>0</v>
      </c>
      <c r="CM295" s="9">
        <v>0</v>
      </c>
      <c r="CN295" s="9">
        <v>0</v>
      </c>
      <c r="CO295" s="9">
        <v>0</v>
      </c>
      <c r="CP295" s="9">
        <v>0</v>
      </c>
      <c r="CQ295" s="9">
        <v>0</v>
      </c>
      <c r="CR295" s="9">
        <v>0</v>
      </c>
      <c r="CS295" s="9">
        <v>0</v>
      </c>
      <c r="CT295" s="9">
        <v>0</v>
      </c>
      <c r="CU295" s="9">
        <v>0</v>
      </c>
      <c r="CV295" s="9">
        <v>0</v>
      </c>
      <c r="CW295" s="9">
        <v>0</v>
      </c>
      <c r="CX295" s="9">
        <v>0</v>
      </c>
      <c r="CY295" s="9">
        <v>0</v>
      </c>
      <c r="CZ295" s="9">
        <v>0</v>
      </c>
      <c r="DA295" s="9">
        <v>0</v>
      </c>
      <c r="DB295" s="9">
        <v>0</v>
      </c>
      <c r="DC295" s="9">
        <v>0</v>
      </c>
      <c r="DD295" s="9">
        <v>0</v>
      </c>
      <c r="DE295" s="9">
        <v>0</v>
      </c>
      <c r="DF295" s="9">
        <v>0</v>
      </c>
      <c r="DG295" s="9">
        <v>0</v>
      </c>
      <c r="DH295" s="9">
        <v>0</v>
      </c>
      <c r="DI295" s="9">
        <v>0</v>
      </c>
      <c r="DJ295" s="9">
        <v>0</v>
      </c>
      <c r="DK295" s="9">
        <v>0</v>
      </c>
      <c r="DL295" s="9">
        <v>0</v>
      </c>
      <c r="DM295" s="9">
        <v>0</v>
      </c>
      <c r="DN295" s="9">
        <v>0</v>
      </c>
      <c r="DO295" s="9">
        <v>0</v>
      </c>
      <c r="DP295" s="9">
        <v>0</v>
      </c>
      <c r="DQ295" s="9">
        <v>0</v>
      </c>
      <c r="DR295" s="9">
        <v>0</v>
      </c>
      <c r="DS295" s="9">
        <v>0</v>
      </c>
      <c r="DT295" s="9">
        <v>0</v>
      </c>
      <c r="DU295" s="9">
        <v>0</v>
      </c>
      <c r="DV295" s="9">
        <v>0</v>
      </c>
      <c r="DW295" s="9">
        <v>0</v>
      </c>
      <c r="DX295" s="9">
        <v>0</v>
      </c>
      <c r="DY295" s="9">
        <v>0</v>
      </c>
      <c r="DZ295" s="9">
        <v>0</v>
      </c>
      <c r="EA295" s="9">
        <v>0</v>
      </c>
      <c r="EB295" s="9">
        <v>0</v>
      </c>
      <c r="EC295" s="9">
        <v>0</v>
      </c>
      <c r="ED295" s="9">
        <v>0</v>
      </c>
      <c r="EE295" s="9">
        <v>0</v>
      </c>
      <c r="EF295" s="9">
        <v>0</v>
      </c>
      <c r="EG295" s="9">
        <v>0</v>
      </c>
      <c r="EH295" s="9">
        <v>0</v>
      </c>
      <c r="EI295" s="10">
        <v>0</v>
      </c>
    </row>
    <row r="296" spans="1:139" x14ac:dyDescent="0.35">
      <c r="A296" s="8" t="s">
        <v>494</v>
      </c>
      <c r="B296" s="9" t="s">
        <v>503</v>
      </c>
      <c r="C296" s="9" t="s">
        <v>504</v>
      </c>
      <c r="D296" s="9">
        <f t="shared" si="4"/>
        <v>17</v>
      </c>
      <c r="E296" s="9">
        <v>0</v>
      </c>
      <c r="F296" s="9">
        <v>0</v>
      </c>
      <c r="G296" s="9">
        <v>0</v>
      </c>
      <c r="H296" s="9">
        <v>0</v>
      </c>
      <c r="I296" s="9">
        <v>0</v>
      </c>
      <c r="J296" s="9">
        <v>0</v>
      </c>
      <c r="K296" s="9">
        <v>0</v>
      </c>
      <c r="L296" s="9">
        <v>0</v>
      </c>
      <c r="M296" s="9">
        <v>0</v>
      </c>
      <c r="N296" s="9">
        <v>0</v>
      </c>
      <c r="O296" s="9">
        <v>0</v>
      </c>
      <c r="P296" s="9">
        <v>1</v>
      </c>
      <c r="Q296" s="9">
        <v>0</v>
      </c>
      <c r="R296" s="9">
        <v>0</v>
      </c>
      <c r="S296" s="9">
        <v>0</v>
      </c>
      <c r="T296" s="9">
        <v>0</v>
      </c>
      <c r="U296" s="9">
        <v>1</v>
      </c>
      <c r="V296" s="9">
        <v>0</v>
      </c>
      <c r="W296" s="9">
        <v>0</v>
      </c>
      <c r="X296" s="9">
        <v>0</v>
      </c>
      <c r="Y296" s="9">
        <v>0</v>
      </c>
      <c r="Z296" s="9">
        <v>0</v>
      </c>
      <c r="AA296" s="9">
        <v>0</v>
      </c>
      <c r="AB296" s="9">
        <v>0</v>
      </c>
      <c r="AC296" s="9">
        <v>0</v>
      </c>
      <c r="AD296" s="9">
        <v>0</v>
      </c>
      <c r="AE296" s="9">
        <v>0</v>
      </c>
      <c r="AF296" s="9">
        <v>0</v>
      </c>
      <c r="AG296" s="9">
        <v>0</v>
      </c>
      <c r="AH296" s="9">
        <v>0</v>
      </c>
      <c r="AI296" s="9">
        <v>0</v>
      </c>
      <c r="AJ296" s="9">
        <v>0</v>
      </c>
      <c r="AK296" s="9">
        <v>1</v>
      </c>
      <c r="AL296" s="9">
        <v>0</v>
      </c>
      <c r="AM296" s="9">
        <v>0</v>
      </c>
      <c r="AN296" s="9">
        <v>0</v>
      </c>
      <c r="AO296" s="9">
        <v>0</v>
      </c>
      <c r="AP296" s="9">
        <v>0</v>
      </c>
      <c r="AQ296" s="9">
        <v>0</v>
      </c>
      <c r="AR296" s="9">
        <v>0</v>
      </c>
      <c r="AS296" s="9">
        <v>0</v>
      </c>
      <c r="AT296" s="9">
        <v>0</v>
      </c>
      <c r="AU296" s="9">
        <v>0</v>
      </c>
      <c r="AV296" s="9">
        <v>0</v>
      </c>
      <c r="AW296" s="9">
        <v>1</v>
      </c>
      <c r="AX296" s="9">
        <v>0</v>
      </c>
      <c r="AY296" s="9">
        <v>0</v>
      </c>
      <c r="AZ296" s="9">
        <v>0</v>
      </c>
      <c r="BA296" s="9">
        <v>0</v>
      </c>
      <c r="BB296" s="9">
        <v>0</v>
      </c>
      <c r="BC296" s="9">
        <v>2</v>
      </c>
      <c r="BD296" s="9">
        <v>2</v>
      </c>
      <c r="BE296" s="9">
        <v>0</v>
      </c>
      <c r="BF296" s="9">
        <v>0</v>
      </c>
      <c r="BG296" s="9">
        <v>1</v>
      </c>
      <c r="BH296" s="9">
        <v>1</v>
      </c>
      <c r="BI296" s="9">
        <v>0</v>
      </c>
      <c r="BJ296" s="9">
        <v>0</v>
      </c>
      <c r="BK296" s="9">
        <v>0</v>
      </c>
      <c r="BL296" s="9">
        <v>0</v>
      </c>
      <c r="BM296" s="9">
        <v>1</v>
      </c>
      <c r="BN296" s="9">
        <v>0</v>
      </c>
      <c r="BO296" s="9">
        <v>0</v>
      </c>
      <c r="BP296" s="9">
        <v>0</v>
      </c>
      <c r="BQ296" s="9">
        <v>2</v>
      </c>
      <c r="BR296" s="9">
        <v>0</v>
      </c>
      <c r="BS296" s="9">
        <v>0</v>
      </c>
      <c r="BT296" s="9">
        <v>0</v>
      </c>
      <c r="BU296" s="9">
        <v>0</v>
      </c>
      <c r="BV296" s="9">
        <v>2</v>
      </c>
      <c r="BW296" s="9">
        <v>0</v>
      </c>
      <c r="BX296" s="9">
        <v>0</v>
      </c>
      <c r="BY296" s="9">
        <v>0</v>
      </c>
      <c r="BZ296" s="9">
        <v>0</v>
      </c>
      <c r="CA296" s="9">
        <v>0</v>
      </c>
      <c r="CB296" s="9">
        <v>0</v>
      </c>
      <c r="CC296" s="9">
        <v>0</v>
      </c>
      <c r="CD296" s="9">
        <v>0</v>
      </c>
      <c r="CE296" s="9">
        <v>0</v>
      </c>
      <c r="CF296" s="9">
        <v>1</v>
      </c>
      <c r="CG296" s="9">
        <v>1</v>
      </c>
      <c r="CH296" s="9">
        <v>0</v>
      </c>
      <c r="CI296" s="9">
        <v>0</v>
      </c>
      <c r="CJ296" s="9">
        <v>0</v>
      </c>
      <c r="CK296" s="9">
        <v>0</v>
      </c>
      <c r="CL296" s="9">
        <v>0</v>
      </c>
      <c r="CM296" s="9">
        <v>0</v>
      </c>
      <c r="CN296" s="9">
        <v>0</v>
      </c>
      <c r="CO296" s="9">
        <v>0</v>
      </c>
      <c r="CP296" s="9">
        <v>0</v>
      </c>
      <c r="CQ296" s="9">
        <v>0</v>
      </c>
      <c r="CR296" s="9">
        <v>0</v>
      </c>
      <c r="CS296" s="9">
        <v>0</v>
      </c>
      <c r="CT296" s="9">
        <v>0</v>
      </c>
      <c r="CU296" s="9">
        <v>0</v>
      </c>
      <c r="CV296" s="9">
        <v>0</v>
      </c>
      <c r="CW296" s="9">
        <v>0</v>
      </c>
      <c r="CX296" s="9">
        <v>0</v>
      </c>
      <c r="CY296" s="9">
        <v>0</v>
      </c>
      <c r="CZ296" s="9">
        <v>0</v>
      </c>
      <c r="DA296" s="9">
        <v>0</v>
      </c>
      <c r="DB296" s="9">
        <v>0</v>
      </c>
      <c r="DC296" s="9">
        <v>0</v>
      </c>
      <c r="DD296" s="9">
        <v>0</v>
      </c>
      <c r="DE296" s="9">
        <v>0</v>
      </c>
      <c r="DF296" s="9">
        <v>0</v>
      </c>
      <c r="DG296" s="9">
        <v>0</v>
      </c>
      <c r="DH296" s="9">
        <v>0</v>
      </c>
      <c r="DI296" s="9">
        <v>0</v>
      </c>
      <c r="DJ296" s="9">
        <v>0</v>
      </c>
      <c r="DK296" s="9">
        <v>0</v>
      </c>
      <c r="DL296" s="9">
        <v>0</v>
      </c>
      <c r="DM296" s="9">
        <v>0</v>
      </c>
      <c r="DN296" s="9">
        <v>0</v>
      </c>
      <c r="DO296" s="9">
        <v>0</v>
      </c>
      <c r="DP296" s="9">
        <v>0</v>
      </c>
      <c r="DQ296" s="9">
        <v>0</v>
      </c>
      <c r="DR296" s="9">
        <v>0</v>
      </c>
      <c r="DS296" s="9">
        <v>0</v>
      </c>
      <c r="DT296" s="9">
        <v>0</v>
      </c>
      <c r="DU296" s="9">
        <v>0</v>
      </c>
      <c r="DV296" s="9">
        <v>0</v>
      </c>
      <c r="DW296" s="9">
        <v>0</v>
      </c>
      <c r="DX296" s="9">
        <v>0</v>
      </c>
      <c r="DY296" s="9">
        <v>0</v>
      </c>
      <c r="DZ296" s="9">
        <v>0</v>
      </c>
      <c r="EA296" s="9">
        <v>0</v>
      </c>
      <c r="EB296" s="9">
        <v>0</v>
      </c>
      <c r="EC296" s="9">
        <v>0</v>
      </c>
      <c r="ED296" s="9">
        <v>0</v>
      </c>
      <c r="EE296" s="9">
        <v>0</v>
      </c>
      <c r="EF296" s="9">
        <v>0</v>
      </c>
      <c r="EG296" s="9">
        <v>0</v>
      </c>
      <c r="EH296" s="9">
        <v>0</v>
      </c>
      <c r="EI296" s="10">
        <v>0</v>
      </c>
    </row>
    <row r="297" spans="1:139" x14ac:dyDescent="0.35">
      <c r="A297" s="8" t="s">
        <v>494</v>
      </c>
      <c r="B297" s="9" t="s">
        <v>505</v>
      </c>
      <c r="C297" s="9" t="s">
        <v>506</v>
      </c>
      <c r="D297" s="9">
        <f t="shared" si="4"/>
        <v>106</v>
      </c>
      <c r="E297" s="9">
        <v>1</v>
      </c>
      <c r="F297" s="9">
        <v>0</v>
      </c>
      <c r="G297" s="9">
        <v>2</v>
      </c>
      <c r="H297" s="9">
        <v>0</v>
      </c>
      <c r="I297" s="9">
        <v>2</v>
      </c>
      <c r="J297" s="9">
        <v>0</v>
      </c>
      <c r="K297" s="9">
        <v>1</v>
      </c>
      <c r="L297" s="9">
        <v>0</v>
      </c>
      <c r="M297" s="9">
        <v>1</v>
      </c>
      <c r="N297" s="9">
        <v>2</v>
      </c>
      <c r="O297" s="9">
        <v>0</v>
      </c>
      <c r="P297" s="9">
        <v>1</v>
      </c>
      <c r="Q297" s="9">
        <v>7</v>
      </c>
      <c r="R297" s="9">
        <v>1</v>
      </c>
      <c r="S297" s="9">
        <v>0</v>
      </c>
      <c r="T297" s="9">
        <v>1</v>
      </c>
      <c r="U297" s="9">
        <v>0</v>
      </c>
      <c r="V297" s="9">
        <v>0</v>
      </c>
      <c r="W297" s="9">
        <v>2</v>
      </c>
      <c r="X297" s="9">
        <v>3</v>
      </c>
      <c r="Y297" s="9">
        <v>0</v>
      </c>
      <c r="Z297" s="9">
        <v>3</v>
      </c>
      <c r="AA297" s="9">
        <v>0</v>
      </c>
      <c r="AB297" s="9">
        <v>0</v>
      </c>
      <c r="AC297" s="9">
        <v>1</v>
      </c>
      <c r="AD297" s="9">
        <v>0</v>
      </c>
      <c r="AE297" s="9">
        <v>1</v>
      </c>
      <c r="AF297" s="9">
        <v>0</v>
      </c>
      <c r="AG297" s="9">
        <v>4</v>
      </c>
      <c r="AH297" s="9">
        <v>2</v>
      </c>
      <c r="AI297" s="9">
        <v>2</v>
      </c>
      <c r="AJ297" s="9">
        <v>1</v>
      </c>
      <c r="AK297" s="9">
        <v>1</v>
      </c>
      <c r="AL297" s="9">
        <v>2</v>
      </c>
      <c r="AM297" s="9">
        <v>0</v>
      </c>
      <c r="AN297" s="9">
        <v>1</v>
      </c>
      <c r="AO297" s="9">
        <v>1</v>
      </c>
      <c r="AP297" s="9">
        <v>1</v>
      </c>
      <c r="AQ297" s="9">
        <v>0</v>
      </c>
      <c r="AR297" s="9">
        <v>0</v>
      </c>
      <c r="AS297" s="9">
        <v>2</v>
      </c>
      <c r="AT297" s="9">
        <v>0</v>
      </c>
      <c r="AU297" s="9">
        <v>0</v>
      </c>
      <c r="AV297" s="9">
        <v>4</v>
      </c>
      <c r="AW297" s="9">
        <v>2</v>
      </c>
      <c r="AX297" s="9">
        <v>1</v>
      </c>
      <c r="AY297" s="9">
        <v>1</v>
      </c>
      <c r="AZ297" s="9">
        <v>1</v>
      </c>
      <c r="BA297" s="9">
        <v>1</v>
      </c>
      <c r="BB297" s="9">
        <v>1</v>
      </c>
      <c r="BC297" s="9">
        <v>0</v>
      </c>
      <c r="BD297" s="9">
        <v>3</v>
      </c>
      <c r="BE297" s="9">
        <v>0</v>
      </c>
      <c r="BF297" s="9">
        <v>1</v>
      </c>
      <c r="BG297" s="9">
        <v>0</v>
      </c>
      <c r="BH297" s="9">
        <v>0</v>
      </c>
      <c r="BI297" s="9">
        <v>0</v>
      </c>
      <c r="BJ297" s="9">
        <v>2</v>
      </c>
      <c r="BK297" s="9">
        <v>0</v>
      </c>
      <c r="BL297" s="9">
        <v>0</v>
      </c>
      <c r="BM297" s="9">
        <v>1</v>
      </c>
      <c r="BN297" s="9">
        <v>1</v>
      </c>
      <c r="BO297" s="9">
        <v>1</v>
      </c>
      <c r="BP297" s="9">
        <v>1</v>
      </c>
      <c r="BQ297" s="9">
        <v>6</v>
      </c>
      <c r="BR297" s="9">
        <v>2</v>
      </c>
      <c r="BS297" s="9">
        <v>1</v>
      </c>
      <c r="BT297" s="9">
        <v>1</v>
      </c>
      <c r="BU297" s="9">
        <v>1</v>
      </c>
      <c r="BV297" s="9">
        <v>0</v>
      </c>
      <c r="BW297" s="9">
        <v>3</v>
      </c>
      <c r="BX297" s="9">
        <v>0</v>
      </c>
      <c r="BY297" s="9">
        <v>2</v>
      </c>
      <c r="BZ297" s="9">
        <v>2</v>
      </c>
      <c r="CA297" s="9">
        <v>1</v>
      </c>
      <c r="CB297" s="9">
        <v>1</v>
      </c>
      <c r="CC297" s="9">
        <v>1</v>
      </c>
      <c r="CD297" s="9">
        <v>0</v>
      </c>
      <c r="CE297" s="9">
        <v>2</v>
      </c>
      <c r="CF297" s="9">
        <v>0</v>
      </c>
      <c r="CG297" s="9">
        <v>1</v>
      </c>
      <c r="CH297" s="9">
        <v>0</v>
      </c>
      <c r="CI297" s="9">
        <v>2</v>
      </c>
      <c r="CJ297" s="9">
        <v>0</v>
      </c>
      <c r="CK297" s="9">
        <v>1</v>
      </c>
      <c r="CL297" s="9">
        <v>0</v>
      </c>
      <c r="CM297" s="9">
        <v>0</v>
      </c>
      <c r="CN297" s="9">
        <v>0</v>
      </c>
      <c r="CO297" s="9">
        <v>1</v>
      </c>
      <c r="CP297" s="9">
        <v>0</v>
      </c>
      <c r="CQ297" s="9">
        <v>0</v>
      </c>
      <c r="CR297" s="9">
        <v>1</v>
      </c>
      <c r="CS297" s="9">
        <v>1</v>
      </c>
      <c r="CT297" s="9">
        <v>0</v>
      </c>
      <c r="CU297" s="9">
        <v>0</v>
      </c>
      <c r="CV297" s="9">
        <v>0</v>
      </c>
      <c r="CW297" s="9">
        <v>0</v>
      </c>
      <c r="CX297" s="9">
        <v>0</v>
      </c>
      <c r="CY297" s="9">
        <v>0</v>
      </c>
      <c r="CZ297" s="9">
        <v>1</v>
      </c>
      <c r="DA297" s="9">
        <v>1</v>
      </c>
      <c r="DB297" s="9">
        <v>0</v>
      </c>
      <c r="DC297" s="9">
        <v>0</v>
      </c>
      <c r="DD297" s="9">
        <v>1</v>
      </c>
      <c r="DE297" s="9">
        <v>0</v>
      </c>
      <c r="DF297" s="9">
        <v>0</v>
      </c>
      <c r="DG297" s="9">
        <v>0</v>
      </c>
      <c r="DH297" s="9">
        <v>0</v>
      </c>
      <c r="DI297" s="9">
        <v>0</v>
      </c>
      <c r="DJ297" s="9">
        <v>0</v>
      </c>
      <c r="DK297" s="9">
        <v>0</v>
      </c>
      <c r="DL297" s="9">
        <v>0</v>
      </c>
      <c r="DM297" s="9">
        <v>0</v>
      </c>
      <c r="DN297" s="9">
        <v>0</v>
      </c>
      <c r="DO297" s="9">
        <v>0</v>
      </c>
      <c r="DP297" s="9">
        <v>0</v>
      </c>
      <c r="DQ297" s="9">
        <v>0</v>
      </c>
      <c r="DR297" s="9">
        <v>0</v>
      </c>
      <c r="DS297" s="9">
        <v>1</v>
      </c>
      <c r="DT297" s="9">
        <v>0</v>
      </c>
      <c r="DU297" s="9">
        <v>4</v>
      </c>
      <c r="DV297" s="9">
        <v>0</v>
      </c>
      <c r="DW297" s="9">
        <v>0</v>
      </c>
      <c r="DX297" s="9">
        <v>0</v>
      </c>
      <c r="DY297" s="9">
        <v>0</v>
      </c>
      <c r="DZ297" s="9">
        <v>0</v>
      </c>
      <c r="EA297" s="9">
        <v>0</v>
      </c>
      <c r="EB297" s="9">
        <v>0</v>
      </c>
      <c r="EC297" s="9">
        <v>0</v>
      </c>
      <c r="ED297" s="9">
        <v>0</v>
      </c>
      <c r="EE297" s="9">
        <v>0</v>
      </c>
      <c r="EF297" s="9">
        <v>0</v>
      </c>
      <c r="EG297" s="9">
        <v>0</v>
      </c>
      <c r="EH297" s="9">
        <v>0</v>
      </c>
      <c r="EI297" s="10">
        <v>1</v>
      </c>
    </row>
    <row r="298" spans="1:139" x14ac:dyDescent="0.35">
      <c r="A298" s="8" t="s">
        <v>494</v>
      </c>
      <c r="B298" s="9" t="s">
        <v>507</v>
      </c>
      <c r="C298" s="9" t="s">
        <v>508</v>
      </c>
      <c r="D298" s="9">
        <f t="shared" si="4"/>
        <v>17</v>
      </c>
      <c r="E298" s="9">
        <v>0</v>
      </c>
      <c r="F298" s="9">
        <v>3</v>
      </c>
      <c r="G298" s="9">
        <v>2</v>
      </c>
      <c r="H298" s="9">
        <v>0</v>
      </c>
      <c r="I298" s="9">
        <v>0</v>
      </c>
      <c r="J298" s="9">
        <v>0</v>
      </c>
      <c r="K298" s="9">
        <v>0</v>
      </c>
      <c r="L298" s="9">
        <v>0</v>
      </c>
      <c r="M298" s="9">
        <v>0</v>
      </c>
      <c r="N298" s="9">
        <v>0</v>
      </c>
      <c r="O298" s="9">
        <v>0</v>
      </c>
      <c r="P298" s="9">
        <v>0</v>
      </c>
      <c r="Q298" s="9">
        <v>0</v>
      </c>
      <c r="R298" s="9">
        <v>0</v>
      </c>
      <c r="S298" s="9">
        <v>0</v>
      </c>
      <c r="T298" s="9">
        <v>0</v>
      </c>
      <c r="U298" s="9">
        <v>0</v>
      </c>
      <c r="V298" s="9">
        <v>0</v>
      </c>
      <c r="W298" s="9">
        <v>0</v>
      </c>
      <c r="X298" s="9">
        <v>0</v>
      </c>
      <c r="Y298" s="9">
        <v>0</v>
      </c>
      <c r="Z298" s="9">
        <v>0</v>
      </c>
      <c r="AA298" s="9">
        <v>0</v>
      </c>
      <c r="AB298" s="9">
        <v>1</v>
      </c>
      <c r="AC298" s="9">
        <v>0</v>
      </c>
      <c r="AD298" s="9">
        <v>0</v>
      </c>
      <c r="AE298" s="9">
        <v>0</v>
      </c>
      <c r="AF298" s="9">
        <v>1</v>
      </c>
      <c r="AG298" s="9">
        <v>0</v>
      </c>
      <c r="AH298" s="9">
        <v>0</v>
      </c>
      <c r="AI298" s="9">
        <v>0</v>
      </c>
      <c r="AJ298" s="9">
        <v>0</v>
      </c>
      <c r="AK298" s="9">
        <v>0</v>
      </c>
      <c r="AL298" s="9">
        <v>0</v>
      </c>
      <c r="AM298" s="9">
        <v>0</v>
      </c>
      <c r="AN298" s="9">
        <v>0</v>
      </c>
      <c r="AO298" s="9">
        <v>0</v>
      </c>
      <c r="AP298" s="9">
        <v>0</v>
      </c>
      <c r="AQ298" s="9">
        <v>1</v>
      </c>
      <c r="AR298" s="9">
        <v>0</v>
      </c>
      <c r="AS298" s="9">
        <v>1</v>
      </c>
      <c r="AT298" s="9">
        <v>0</v>
      </c>
      <c r="AU298" s="9">
        <v>0</v>
      </c>
      <c r="AV298" s="9">
        <v>0</v>
      </c>
      <c r="AW298" s="9">
        <v>0</v>
      </c>
      <c r="AX298" s="9">
        <v>0</v>
      </c>
      <c r="AY298" s="9">
        <v>0</v>
      </c>
      <c r="AZ298" s="9">
        <v>0</v>
      </c>
      <c r="BA298" s="9">
        <v>0</v>
      </c>
      <c r="BB298" s="9">
        <v>0</v>
      </c>
      <c r="BC298" s="9">
        <v>1</v>
      </c>
      <c r="BD298" s="9">
        <v>0</v>
      </c>
      <c r="BE298" s="9">
        <v>0</v>
      </c>
      <c r="BF298" s="9">
        <v>1</v>
      </c>
      <c r="BG298" s="9">
        <v>0</v>
      </c>
      <c r="BH298" s="9">
        <v>1</v>
      </c>
      <c r="BI298" s="9">
        <v>0</v>
      </c>
      <c r="BJ298" s="9">
        <v>1</v>
      </c>
      <c r="BK298" s="9">
        <v>0</v>
      </c>
      <c r="BL298" s="9">
        <v>0</v>
      </c>
      <c r="BM298" s="9">
        <v>0</v>
      </c>
      <c r="BN298" s="9">
        <v>0</v>
      </c>
      <c r="BO298" s="9">
        <v>0</v>
      </c>
      <c r="BP298" s="9">
        <v>0</v>
      </c>
      <c r="BQ298" s="9">
        <v>0</v>
      </c>
      <c r="BR298" s="9">
        <v>0</v>
      </c>
      <c r="BS298" s="9">
        <v>0</v>
      </c>
      <c r="BT298" s="9">
        <v>1</v>
      </c>
      <c r="BU298" s="9">
        <v>1</v>
      </c>
      <c r="BV298" s="9">
        <v>0</v>
      </c>
      <c r="BW298" s="9">
        <v>0</v>
      </c>
      <c r="BX298" s="9">
        <v>0</v>
      </c>
      <c r="BY298" s="9">
        <v>0</v>
      </c>
      <c r="BZ298" s="9">
        <v>0</v>
      </c>
      <c r="CA298" s="9">
        <v>1</v>
      </c>
      <c r="CB298" s="9">
        <v>0</v>
      </c>
      <c r="CC298" s="9">
        <v>0</v>
      </c>
      <c r="CD298" s="9">
        <v>0</v>
      </c>
      <c r="CE298" s="9">
        <v>0</v>
      </c>
      <c r="CF298" s="9">
        <v>0</v>
      </c>
      <c r="CG298" s="9">
        <v>1</v>
      </c>
      <c r="CH298" s="9">
        <v>0</v>
      </c>
      <c r="CI298" s="9">
        <v>0</v>
      </c>
      <c r="CJ298" s="9">
        <v>0</v>
      </c>
      <c r="CK298" s="9">
        <v>0</v>
      </c>
      <c r="CL298" s="9">
        <v>0</v>
      </c>
      <c r="CM298" s="9">
        <v>0</v>
      </c>
      <c r="CN298" s="9">
        <v>0</v>
      </c>
      <c r="CO298" s="9">
        <v>0</v>
      </c>
      <c r="CP298" s="9">
        <v>0</v>
      </c>
      <c r="CQ298" s="9">
        <v>0</v>
      </c>
      <c r="CR298" s="9">
        <v>0</v>
      </c>
      <c r="CS298" s="9">
        <v>0</v>
      </c>
      <c r="CT298" s="9">
        <v>0</v>
      </c>
      <c r="CU298" s="9">
        <v>0</v>
      </c>
      <c r="CV298" s="9">
        <v>0</v>
      </c>
      <c r="CW298" s="9">
        <v>0</v>
      </c>
      <c r="CX298" s="9">
        <v>0</v>
      </c>
      <c r="CY298" s="9">
        <v>0</v>
      </c>
      <c r="CZ298" s="9">
        <v>0</v>
      </c>
      <c r="DA298" s="9">
        <v>0</v>
      </c>
      <c r="DB298" s="9">
        <v>0</v>
      </c>
      <c r="DC298" s="9">
        <v>0</v>
      </c>
      <c r="DD298" s="9">
        <v>0</v>
      </c>
      <c r="DE298" s="9">
        <v>0</v>
      </c>
      <c r="DF298" s="9">
        <v>0</v>
      </c>
      <c r="DG298" s="9">
        <v>0</v>
      </c>
      <c r="DH298" s="9">
        <v>0</v>
      </c>
      <c r="DI298" s="9">
        <v>0</v>
      </c>
      <c r="DJ298" s="9">
        <v>0</v>
      </c>
      <c r="DK298" s="9">
        <v>0</v>
      </c>
      <c r="DL298" s="9">
        <v>0</v>
      </c>
      <c r="DM298" s="9">
        <v>0</v>
      </c>
      <c r="DN298" s="9">
        <v>0</v>
      </c>
      <c r="DO298" s="9">
        <v>0</v>
      </c>
      <c r="DP298" s="9">
        <v>0</v>
      </c>
      <c r="DQ298" s="9">
        <v>0</v>
      </c>
      <c r="DR298" s="9">
        <v>0</v>
      </c>
      <c r="DS298" s="9">
        <v>0</v>
      </c>
      <c r="DT298" s="9">
        <v>0</v>
      </c>
      <c r="DU298" s="9">
        <v>0</v>
      </c>
      <c r="DV298" s="9">
        <v>0</v>
      </c>
      <c r="DW298" s="9">
        <v>0</v>
      </c>
      <c r="DX298" s="9">
        <v>0</v>
      </c>
      <c r="DY298" s="9">
        <v>0</v>
      </c>
      <c r="DZ298" s="9">
        <v>0</v>
      </c>
      <c r="EA298" s="9">
        <v>0</v>
      </c>
      <c r="EB298" s="9">
        <v>0</v>
      </c>
      <c r="EC298" s="9">
        <v>0</v>
      </c>
      <c r="ED298" s="9">
        <v>0</v>
      </c>
      <c r="EE298" s="9">
        <v>0</v>
      </c>
      <c r="EF298" s="9">
        <v>0</v>
      </c>
      <c r="EG298" s="9">
        <v>0</v>
      </c>
      <c r="EH298" s="9">
        <v>0</v>
      </c>
      <c r="EI298" s="10">
        <v>0</v>
      </c>
    </row>
    <row r="299" spans="1:139" x14ac:dyDescent="0.35">
      <c r="A299" s="8" t="s">
        <v>494</v>
      </c>
      <c r="B299" s="9" t="s">
        <v>509</v>
      </c>
      <c r="C299" s="9" t="s">
        <v>510</v>
      </c>
      <c r="D299" s="9">
        <f t="shared" si="4"/>
        <v>17</v>
      </c>
      <c r="E299" s="9">
        <v>0</v>
      </c>
      <c r="F299" s="9">
        <v>0</v>
      </c>
      <c r="G299" s="9">
        <v>0</v>
      </c>
      <c r="H299" s="9">
        <v>0</v>
      </c>
      <c r="I299" s="9">
        <v>0</v>
      </c>
      <c r="J299" s="9">
        <v>0</v>
      </c>
      <c r="K299" s="9">
        <v>0</v>
      </c>
      <c r="L299" s="9">
        <v>0</v>
      </c>
      <c r="M299" s="9">
        <v>0</v>
      </c>
      <c r="N299" s="9">
        <v>0</v>
      </c>
      <c r="O299" s="9">
        <v>0</v>
      </c>
      <c r="P299" s="9">
        <v>0</v>
      </c>
      <c r="Q299" s="9">
        <v>0</v>
      </c>
      <c r="R299" s="9">
        <v>0</v>
      </c>
      <c r="S299" s="9">
        <v>0</v>
      </c>
      <c r="T299" s="9">
        <v>0</v>
      </c>
      <c r="U299" s="9">
        <v>0</v>
      </c>
      <c r="V299" s="9">
        <v>0</v>
      </c>
      <c r="W299" s="9">
        <v>0</v>
      </c>
      <c r="X299" s="9">
        <v>0</v>
      </c>
      <c r="Y299" s="9">
        <v>0</v>
      </c>
      <c r="Z299" s="9">
        <v>1</v>
      </c>
      <c r="AA299" s="9">
        <v>0</v>
      </c>
      <c r="AB299" s="9">
        <v>1</v>
      </c>
      <c r="AC299" s="9">
        <v>0</v>
      </c>
      <c r="AD299" s="9">
        <v>0</v>
      </c>
      <c r="AE299" s="9">
        <v>0</v>
      </c>
      <c r="AF299" s="9">
        <v>2</v>
      </c>
      <c r="AG299" s="9">
        <v>0</v>
      </c>
      <c r="AH299" s="9">
        <v>0</v>
      </c>
      <c r="AI299" s="9">
        <v>0</v>
      </c>
      <c r="AJ299" s="9">
        <v>0</v>
      </c>
      <c r="AK299" s="9">
        <v>1</v>
      </c>
      <c r="AL299" s="9">
        <v>0</v>
      </c>
      <c r="AM299" s="9">
        <v>0</v>
      </c>
      <c r="AN299" s="9">
        <v>0</v>
      </c>
      <c r="AO299" s="9">
        <v>0</v>
      </c>
      <c r="AP299" s="9">
        <v>0</v>
      </c>
      <c r="AQ299" s="9">
        <v>0</v>
      </c>
      <c r="AR299" s="9">
        <v>0</v>
      </c>
      <c r="AS299" s="9">
        <v>0</v>
      </c>
      <c r="AT299" s="9">
        <v>0</v>
      </c>
      <c r="AU299" s="9">
        <v>0</v>
      </c>
      <c r="AV299" s="9">
        <v>0</v>
      </c>
      <c r="AW299" s="9">
        <v>0</v>
      </c>
      <c r="AX299" s="9">
        <v>0</v>
      </c>
      <c r="AY299" s="9">
        <v>0</v>
      </c>
      <c r="AZ299" s="9">
        <v>0</v>
      </c>
      <c r="BA299" s="9">
        <v>1</v>
      </c>
      <c r="BB299" s="9">
        <v>1</v>
      </c>
      <c r="BC299" s="9">
        <v>0</v>
      </c>
      <c r="BD299" s="9">
        <v>0</v>
      </c>
      <c r="BE299" s="9">
        <v>0</v>
      </c>
      <c r="BF299" s="9">
        <v>0</v>
      </c>
      <c r="BG299" s="9">
        <v>0</v>
      </c>
      <c r="BH299" s="9">
        <v>0</v>
      </c>
      <c r="BI299" s="9">
        <v>0</v>
      </c>
      <c r="BJ299" s="9">
        <v>0</v>
      </c>
      <c r="BK299" s="9">
        <v>0</v>
      </c>
      <c r="BL299" s="9">
        <v>0</v>
      </c>
      <c r="BM299" s="9">
        <v>0</v>
      </c>
      <c r="BN299" s="9">
        <v>1</v>
      </c>
      <c r="BO299" s="9">
        <v>0</v>
      </c>
      <c r="BP299" s="9">
        <v>0</v>
      </c>
      <c r="BQ299" s="9">
        <v>0</v>
      </c>
      <c r="BR299" s="9">
        <v>0</v>
      </c>
      <c r="BS299" s="9">
        <v>0</v>
      </c>
      <c r="BT299" s="9">
        <v>0</v>
      </c>
      <c r="BU299" s="9">
        <v>1</v>
      </c>
      <c r="BV299" s="9">
        <v>0</v>
      </c>
      <c r="BW299" s="9">
        <v>0</v>
      </c>
      <c r="BX299" s="9">
        <v>0</v>
      </c>
      <c r="BY299" s="9">
        <v>0</v>
      </c>
      <c r="BZ299" s="9">
        <v>0</v>
      </c>
      <c r="CA299" s="9">
        <v>1</v>
      </c>
      <c r="CB299" s="9">
        <v>0</v>
      </c>
      <c r="CC299" s="9">
        <v>0</v>
      </c>
      <c r="CD299" s="9">
        <v>0</v>
      </c>
      <c r="CE299" s="9">
        <v>0</v>
      </c>
      <c r="CF299" s="9">
        <v>0</v>
      </c>
      <c r="CG299" s="9">
        <v>1</v>
      </c>
      <c r="CH299" s="9">
        <v>1</v>
      </c>
      <c r="CI299" s="9">
        <v>0</v>
      </c>
      <c r="CJ299" s="9">
        <v>1</v>
      </c>
      <c r="CK299" s="9">
        <v>0</v>
      </c>
      <c r="CL299" s="9">
        <v>0</v>
      </c>
      <c r="CM299" s="9">
        <v>0</v>
      </c>
      <c r="CN299" s="9">
        <v>0</v>
      </c>
      <c r="CO299" s="9">
        <v>1</v>
      </c>
      <c r="CP299" s="9">
        <v>1</v>
      </c>
      <c r="CQ299" s="9">
        <v>0</v>
      </c>
      <c r="CR299" s="9">
        <v>0</v>
      </c>
      <c r="CS299" s="9">
        <v>0</v>
      </c>
      <c r="CT299" s="9">
        <v>0</v>
      </c>
      <c r="CU299" s="9">
        <v>0</v>
      </c>
      <c r="CV299" s="9">
        <v>0</v>
      </c>
      <c r="CW299" s="9">
        <v>0</v>
      </c>
      <c r="CX299" s="9">
        <v>0</v>
      </c>
      <c r="CY299" s="9">
        <v>0</v>
      </c>
      <c r="CZ299" s="9">
        <v>0</v>
      </c>
      <c r="DA299" s="9">
        <v>0</v>
      </c>
      <c r="DB299" s="9">
        <v>1</v>
      </c>
      <c r="DC299" s="9">
        <v>0</v>
      </c>
      <c r="DD299" s="9">
        <v>0</v>
      </c>
      <c r="DE299" s="9">
        <v>0</v>
      </c>
      <c r="DF299" s="9">
        <v>0</v>
      </c>
      <c r="DG299" s="9">
        <v>0</v>
      </c>
      <c r="DH299" s="9">
        <v>0</v>
      </c>
      <c r="DI299" s="9">
        <v>0</v>
      </c>
      <c r="DJ299" s="9">
        <v>0</v>
      </c>
      <c r="DK299" s="9">
        <v>0</v>
      </c>
      <c r="DL299" s="9">
        <v>0</v>
      </c>
      <c r="DM299" s="9">
        <v>1</v>
      </c>
      <c r="DN299" s="9">
        <v>0</v>
      </c>
      <c r="DO299" s="9">
        <v>0</v>
      </c>
      <c r="DP299" s="9">
        <v>0</v>
      </c>
      <c r="DQ299" s="9">
        <v>0</v>
      </c>
      <c r="DR299" s="9">
        <v>0</v>
      </c>
      <c r="DS299" s="9">
        <v>0</v>
      </c>
      <c r="DT299" s="9">
        <v>0</v>
      </c>
      <c r="DU299" s="9">
        <v>0</v>
      </c>
      <c r="DV299" s="9">
        <v>0</v>
      </c>
      <c r="DW299" s="9">
        <v>0</v>
      </c>
      <c r="DX299" s="9">
        <v>0</v>
      </c>
      <c r="DY299" s="9">
        <v>0</v>
      </c>
      <c r="DZ299" s="9">
        <v>0</v>
      </c>
      <c r="EA299" s="9">
        <v>0</v>
      </c>
      <c r="EB299" s="9">
        <v>0</v>
      </c>
      <c r="EC299" s="9">
        <v>0</v>
      </c>
      <c r="ED299" s="9">
        <v>0</v>
      </c>
      <c r="EE299" s="9">
        <v>0</v>
      </c>
      <c r="EF299" s="9">
        <v>0</v>
      </c>
      <c r="EG299" s="9">
        <v>0</v>
      </c>
      <c r="EH299" s="9">
        <v>0</v>
      </c>
      <c r="EI299" s="10">
        <v>0</v>
      </c>
    </row>
    <row r="300" spans="1:139" x14ac:dyDescent="0.35">
      <c r="A300" s="8" t="s">
        <v>494</v>
      </c>
      <c r="B300" s="9" t="s">
        <v>511</v>
      </c>
      <c r="C300" s="9" t="s">
        <v>512</v>
      </c>
      <c r="D300" s="9">
        <f t="shared" si="4"/>
        <v>36</v>
      </c>
      <c r="E300" s="9">
        <v>0</v>
      </c>
      <c r="F300" s="9">
        <v>0</v>
      </c>
      <c r="G300" s="9">
        <v>0</v>
      </c>
      <c r="H300" s="9">
        <v>0</v>
      </c>
      <c r="I300" s="9">
        <v>0</v>
      </c>
      <c r="J300" s="9">
        <v>0</v>
      </c>
      <c r="K300" s="9">
        <v>0</v>
      </c>
      <c r="L300" s="9">
        <v>0</v>
      </c>
      <c r="M300" s="9">
        <v>0</v>
      </c>
      <c r="N300" s="9">
        <v>2</v>
      </c>
      <c r="O300" s="9">
        <v>0</v>
      </c>
      <c r="P300" s="9">
        <v>0</v>
      </c>
      <c r="Q300" s="9">
        <v>0</v>
      </c>
      <c r="R300" s="9">
        <v>0</v>
      </c>
      <c r="S300" s="9">
        <v>0</v>
      </c>
      <c r="T300" s="9">
        <v>0</v>
      </c>
      <c r="U300" s="9">
        <v>0</v>
      </c>
      <c r="V300" s="9">
        <v>0</v>
      </c>
      <c r="W300" s="9">
        <v>0</v>
      </c>
      <c r="X300" s="9">
        <v>0</v>
      </c>
      <c r="Y300" s="9">
        <v>0</v>
      </c>
      <c r="Z300" s="9">
        <v>1</v>
      </c>
      <c r="AA300" s="9">
        <v>0</v>
      </c>
      <c r="AB300" s="9">
        <v>0</v>
      </c>
      <c r="AC300" s="9">
        <v>0</v>
      </c>
      <c r="AD300" s="9">
        <v>0</v>
      </c>
      <c r="AE300" s="9">
        <v>0</v>
      </c>
      <c r="AF300" s="9">
        <v>0</v>
      </c>
      <c r="AG300" s="9">
        <v>1</v>
      </c>
      <c r="AH300" s="9">
        <v>2</v>
      </c>
      <c r="AI300" s="9">
        <v>3</v>
      </c>
      <c r="AJ300" s="9">
        <v>3</v>
      </c>
      <c r="AK300" s="9">
        <v>1</v>
      </c>
      <c r="AL300" s="9">
        <v>1</v>
      </c>
      <c r="AM300" s="9">
        <v>3</v>
      </c>
      <c r="AN300" s="9">
        <v>0</v>
      </c>
      <c r="AO300" s="9">
        <v>1</v>
      </c>
      <c r="AP300" s="9">
        <v>1</v>
      </c>
      <c r="AQ300" s="9">
        <v>1</v>
      </c>
      <c r="AR300" s="9">
        <v>0</v>
      </c>
      <c r="AS300" s="9">
        <v>2</v>
      </c>
      <c r="AT300" s="9">
        <v>0</v>
      </c>
      <c r="AU300" s="9">
        <v>0</v>
      </c>
      <c r="AV300" s="9">
        <v>0</v>
      </c>
      <c r="AW300" s="9">
        <v>1</v>
      </c>
      <c r="AX300" s="9">
        <v>0</v>
      </c>
      <c r="AY300" s="9">
        <v>0</v>
      </c>
      <c r="AZ300" s="9">
        <v>2</v>
      </c>
      <c r="BA300" s="9">
        <v>0</v>
      </c>
      <c r="BB300" s="9">
        <v>0</v>
      </c>
      <c r="BC300" s="9">
        <v>2</v>
      </c>
      <c r="BD300" s="9">
        <v>0</v>
      </c>
      <c r="BE300" s="9">
        <v>1</v>
      </c>
      <c r="BF300" s="9">
        <v>0</v>
      </c>
      <c r="BG300" s="9">
        <v>1</v>
      </c>
      <c r="BH300" s="9">
        <v>1</v>
      </c>
      <c r="BI300" s="9">
        <v>0</v>
      </c>
      <c r="BJ300" s="9">
        <v>0</v>
      </c>
      <c r="BK300" s="9">
        <v>0</v>
      </c>
      <c r="BL300" s="9">
        <v>0</v>
      </c>
      <c r="BM300" s="9">
        <v>1</v>
      </c>
      <c r="BN300" s="9">
        <v>0</v>
      </c>
      <c r="BO300" s="9">
        <v>1</v>
      </c>
      <c r="BP300" s="9">
        <v>0</v>
      </c>
      <c r="BQ300" s="9">
        <v>1</v>
      </c>
      <c r="BR300" s="9">
        <v>0</v>
      </c>
      <c r="BS300" s="9">
        <v>0</v>
      </c>
      <c r="BT300" s="9">
        <v>0</v>
      </c>
      <c r="BU300" s="9">
        <v>0</v>
      </c>
      <c r="BV300" s="9">
        <v>0</v>
      </c>
      <c r="BW300" s="9">
        <v>0</v>
      </c>
      <c r="BX300" s="9">
        <v>0</v>
      </c>
      <c r="BY300" s="9">
        <v>0</v>
      </c>
      <c r="BZ300" s="9">
        <v>0</v>
      </c>
      <c r="CA300" s="9">
        <v>0</v>
      </c>
      <c r="CB300" s="9">
        <v>0</v>
      </c>
      <c r="CC300" s="9">
        <v>1</v>
      </c>
      <c r="CD300" s="9">
        <v>0</v>
      </c>
      <c r="CE300" s="9">
        <v>0</v>
      </c>
      <c r="CF300" s="9">
        <v>1</v>
      </c>
      <c r="CG300" s="9">
        <v>0</v>
      </c>
      <c r="CH300" s="9">
        <v>0</v>
      </c>
      <c r="CI300" s="9">
        <v>0</v>
      </c>
      <c r="CJ300" s="9">
        <v>0</v>
      </c>
      <c r="CK300" s="9">
        <v>0</v>
      </c>
      <c r="CL300" s="9">
        <v>0</v>
      </c>
      <c r="CM300" s="9">
        <v>1</v>
      </c>
      <c r="CN300" s="9">
        <v>0</v>
      </c>
      <c r="CO300" s="9">
        <v>0</v>
      </c>
      <c r="CP300" s="9">
        <v>0</v>
      </c>
      <c r="CQ300" s="9">
        <v>0</v>
      </c>
      <c r="CR300" s="9">
        <v>0</v>
      </c>
      <c r="CS300" s="9">
        <v>0</v>
      </c>
      <c r="CT300" s="9">
        <v>0</v>
      </c>
      <c r="CU300" s="9">
        <v>0</v>
      </c>
      <c r="CV300" s="9">
        <v>0</v>
      </c>
      <c r="CW300" s="9">
        <v>0</v>
      </c>
      <c r="CX300" s="9">
        <v>0</v>
      </c>
      <c r="CY300" s="9">
        <v>0</v>
      </c>
      <c r="CZ300" s="9">
        <v>0</v>
      </c>
      <c r="DA300" s="9">
        <v>0</v>
      </c>
      <c r="DB300" s="9">
        <v>0</v>
      </c>
      <c r="DC300" s="9">
        <v>0</v>
      </c>
      <c r="DD300" s="9">
        <v>0</v>
      </c>
      <c r="DE300" s="9">
        <v>0</v>
      </c>
      <c r="DF300" s="9">
        <v>0</v>
      </c>
      <c r="DG300" s="9">
        <v>0</v>
      </c>
      <c r="DH300" s="9">
        <v>0</v>
      </c>
      <c r="DI300" s="9">
        <v>0</v>
      </c>
      <c r="DJ300" s="9">
        <v>0</v>
      </c>
      <c r="DK300" s="9">
        <v>0</v>
      </c>
      <c r="DL300" s="9">
        <v>0</v>
      </c>
      <c r="DM300" s="9">
        <v>0</v>
      </c>
      <c r="DN300" s="9">
        <v>0</v>
      </c>
      <c r="DO300" s="9">
        <v>0</v>
      </c>
      <c r="DP300" s="9">
        <v>0</v>
      </c>
      <c r="DQ300" s="9">
        <v>0</v>
      </c>
      <c r="DR300" s="9">
        <v>0</v>
      </c>
      <c r="DS300" s="9">
        <v>0</v>
      </c>
      <c r="DT300" s="9">
        <v>0</v>
      </c>
      <c r="DU300" s="9">
        <v>0</v>
      </c>
      <c r="DV300" s="9">
        <v>0</v>
      </c>
      <c r="DW300" s="9">
        <v>0</v>
      </c>
      <c r="DX300" s="9">
        <v>0</v>
      </c>
      <c r="DY300" s="9">
        <v>0</v>
      </c>
      <c r="DZ300" s="9">
        <v>0</v>
      </c>
      <c r="EA300" s="9">
        <v>0</v>
      </c>
      <c r="EB300" s="9">
        <v>0</v>
      </c>
      <c r="EC300" s="9">
        <v>0</v>
      </c>
      <c r="ED300" s="9">
        <v>0</v>
      </c>
      <c r="EE300" s="9">
        <v>0</v>
      </c>
      <c r="EF300" s="9">
        <v>0</v>
      </c>
      <c r="EG300" s="9">
        <v>0</v>
      </c>
      <c r="EH300" s="9">
        <v>0</v>
      </c>
      <c r="EI300" s="10">
        <v>0</v>
      </c>
    </row>
    <row r="301" spans="1:139" x14ac:dyDescent="0.35">
      <c r="A301" s="8" t="s">
        <v>494</v>
      </c>
      <c r="B301" s="9" t="s">
        <v>513</v>
      </c>
      <c r="C301" s="9" t="s">
        <v>514</v>
      </c>
      <c r="D301" s="9">
        <f t="shared" si="4"/>
        <v>59</v>
      </c>
      <c r="E301" s="9">
        <v>0</v>
      </c>
      <c r="F301" s="9">
        <v>0</v>
      </c>
      <c r="G301" s="9">
        <v>0</v>
      </c>
      <c r="H301" s="9">
        <v>0</v>
      </c>
      <c r="I301" s="9">
        <v>0</v>
      </c>
      <c r="J301" s="9">
        <v>1</v>
      </c>
      <c r="K301" s="9">
        <v>0</v>
      </c>
      <c r="L301" s="9">
        <v>2</v>
      </c>
      <c r="M301" s="9">
        <v>2</v>
      </c>
      <c r="N301" s="9">
        <v>6</v>
      </c>
      <c r="O301" s="9">
        <v>0</v>
      </c>
      <c r="P301" s="9">
        <v>0</v>
      </c>
      <c r="Q301" s="9">
        <v>0</v>
      </c>
      <c r="R301" s="9">
        <v>0</v>
      </c>
      <c r="S301" s="9">
        <v>0</v>
      </c>
      <c r="T301" s="9">
        <v>0</v>
      </c>
      <c r="U301" s="9">
        <v>0</v>
      </c>
      <c r="V301" s="9">
        <v>0</v>
      </c>
      <c r="W301" s="9">
        <v>1</v>
      </c>
      <c r="X301" s="9">
        <v>1</v>
      </c>
      <c r="Y301" s="9">
        <v>1</v>
      </c>
      <c r="Z301" s="9">
        <v>1</v>
      </c>
      <c r="AA301" s="9">
        <v>0</v>
      </c>
      <c r="AB301" s="9">
        <v>0</v>
      </c>
      <c r="AC301" s="9">
        <v>0</v>
      </c>
      <c r="AD301" s="9">
        <v>0</v>
      </c>
      <c r="AE301" s="9">
        <v>0</v>
      </c>
      <c r="AF301" s="9">
        <v>0</v>
      </c>
      <c r="AG301" s="9">
        <v>0</v>
      </c>
      <c r="AH301" s="9">
        <v>1</v>
      </c>
      <c r="AI301" s="9">
        <v>1</v>
      </c>
      <c r="AJ301" s="9">
        <v>0</v>
      </c>
      <c r="AK301" s="9">
        <v>2</v>
      </c>
      <c r="AL301" s="9">
        <v>1</v>
      </c>
      <c r="AM301" s="9">
        <v>0</v>
      </c>
      <c r="AN301" s="9">
        <v>2</v>
      </c>
      <c r="AO301" s="9">
        <v>3</v>
      </c>
      <c r="AP301" s="9">
        <v>0</v>
      </c>
      <c r="AQ301" s="9">
        <v>0</v>
      </c>
      <c r="AR301" s="9">
        <v>0</v>
      </c>
      <c r="AS301" s="9">
        <v>0</v>
      </c>
      <c r="AT301" s="9">
        <v>0</v>
      </c>
      <c r="AU301" s="9">
        <v>0</v>
      </c>
      <c r="AV301" s="9">
        <v>2</v>
      </c>
      <c r="AW301" s="9">
        <v>1</v>
      </c>
      <c r="AX301" s="9">
        <v>3</v>
      </c>
      <c r="AY301" s="9">
        <v>0</v>
      </c>
      <c r="AZ301" s="9">
        <v>4</v>
      </c>
      <c r="BA301" s="9">
        <v>1</v>
      </c>
      <c r="BB301" s="9">
        <v>0</v>
      </c>
      <c r="BC301" s="9">
        <v>0</v>
      </c>
      <c r="BD301" s="9">
        <v>0</v>
      </c>
      <c r="BE301" s="9">
        <v>0</v>
      </c>
      <c r="BF301" s="9">
        <v>0</v>
      </c>
      <c r="BG301" s="9">
        <v>1</v>
      </c>
      <c r="BH301" s="9">
        <v>1</v>
      </c>
      <c r="BI301" s="9">
        <v>0</v>
      </c>
      <c r="BJ301" s="9">
        <v>4</v>
      </c>
      <c r="BK301" s="9">
        <v>2</v>
      </c>
      <c r="BL301" s="9">
        <v>1</v>
      </c>
      <c r="BM301" s="9">
        <v>0</v>
      </c>
      <c r="BN301" s="9">
        <v>0</v>
      </c>
      <c r="BO301" s="9">
        <v>0</v>
      </c>
      <c r="BP301" s="9">
        <v>0</v>
      </c>
      <c r="BQ301" s="9">
        <v>1</v>
      </c>
      <c r="BR301" s="9">
        <v>0</v>
      </c>
      <c r="BS301" s="9">
        <v>0</v>
      </c>
      <c r="BT301" s="9">
        <v>1</v>
      </c>
      <c r="BU301" s="9">
        <v>1</v>
      </c>
      <c r="BV301" s="9">
        <v>1</v>
      </c>
      <c r="BW301" s="9">
        <v>0</v>
      </c>
      <c r="BX301" s="9">
        <v>0</v>
      </c>
      <c r="BY301" s="9">
        <v>1</v>
      </c>
      <c r="BZ301" s="9">
        <v>2</v>
      </c>
      <c r="CA301" s="9">
        <v>0</v>
      </c>
      <c r="CB301" s="9">
        <v>0</v>
      </c>
      <c r="CC301" s="9">
        <v>0</v>
      </c>
      <c r="CD301" s="9">
        <v>0</v>
      </c>
      <c r="CE301" s="9">
        <v>0</v>
      </c>
      <c r="CF301" s="9">
        <v>0</v>
      </c>
      <c r="CG301" s="9">
        <v>0</v>
      </c>
      <c r="CH301" s="9">
        <v>0</v>
      </c>
      <c r="CI301" s="9">
        <v>1</v>
      </c>
      <c r="CJ301" s="9">
        <v>1</v>
      </c>
      <c r="CK301" s="9">
        <v>0</v>
      </c>
      <c r="CL301" s="9">
        <v>0</v>
      </c>
      <c r="CM301" s="9">
        <v>0</v>
      </c>
      <c r="CN301" s="9">
        <v>0</v>
      </c>
      <c r="CO301" s="9">
        <v>0</v>
      </c>
      <c r="CP301" s="9">
        <v>0</v>
      </c>
      <c r="CQ301" s="9">
        <v>0</v>
      </c>
      <c r="CR301" s="9">
        <v>0</v>
      </c>
      <c r="CS301" s="9">
        <v>0</v>
      </c>
      <c r="CT301" s="9">
        <v>0</v>
      </c>
      <c r="CU301" s="9">
        <v>0</v>
      </c>
      <c r="CV301" s="9">
        <v>0</v>
      </c>
      <c r="CW301" s="9">
        <v>0</v>
      </c>
      <c r="CX301" s="9">
        <v>1</v>
      </c>
      <c r="CY301" s="9">
        <v>1</v>
      </c>
      <c r="CZ301" s="9">
        <v>0</v>
      </c>
      <c r="DA301" s="9">
        <v>0</v>
      </c>
      <c r="DB301" s="9">
        <v>0</v>
      </c>
      <c r="DC301" s="9">
        <v>0</v>
      </c>
      <c r="DD301" s="9">
        <v>0</v>
      </c>
      <c r="DE301" s="9">
        <v>0</v>
      </c>
      <c r="DF301" s="9">
        <v>0</v>
      </c>
      <c r="DG301" s="9">
        <v>0</v>
      </c>
      <c r="DH301" s="9">
        <v>0</v>
      </c>
      <c r="DI301" s="9">
        <v>0</v>
      </c>
      <c r="DJ301" s="9">
        <v>0</v>
      </c>
      <c r="DK301" s="9">
        <v>0</v>
      </c>
      <c r="DL301" s="9">
        <v>0</v>
      </c>
      <c r="DM301" s="9">
        <v>0</v>
      </c>
      <c r="DN301" s="9">
        <v>0</v>
      </c>
      <c r="DO301" s="9">
        <v>0</v>
      </c>
      <c r="DP301" s="9">
        <v>0</v>
      </c>
      <c r="DQ301" s="9">
        <v>0</v>
      </c>
      <c r="DR301" s="9">
        <v>2</v>
      </c>
      <c r="DS301" s="9">
        <v>0</v>
      </c>
      <c r="DT301" s="9">
        <v>0</v>
      </c>
      <c r="DU301" s="9">
        <v>0</v>
      </c>
      <c r="DV301" s="9">
        <v>0</v>
      </c>
      <c r="DW301" s="9">
        <v>0</v>
      </c>
      <c r="DX301" s="9">
        <v>0</v>
      </c>
      <c r="DY301" s="9">
        <v>0</v>
      </c>
      <c r="DZ301" s="9">
        <v>0</v>
      </c>
      <c r="EA301" s="9">
        <v>0</v>
      </c>
      <c r="EB301" s="9">
        <v>0</v>
      </c>
      <c r="EC301" s="9">
        <v>0</v>
      </c>
      <c r="ED301" s="9">
        <v>0</v>
      </c>
      <c r="EE301" s="9">
        <v>0</v>
      </c>
      <c r="EF301" s="9">
        <v>0</v>
      </c>
      <c r="EG301" s="9">
        <v>0</v>
      </c>
      <c r="EH301" s="9">
        <v>0</v>
      </c>
      <c r="EI301" s="10">
        <v>1</v>
      </c>
    </row>
    <row r="302" spans="1:139" x14ac:dyDescent="0.35">
      <c r="A302" s="8" t="s">
        <v>494</v>
      </c>
      <c r="B302" s="9" t="s">
        <v>531</v>
      </c>
      <c r="C302" s="9" t="s">
        <v>532</v>
      </c>
      <c r="D302" s="9">
        <f t="shared" si="4"/>
        <v>91</v>
      </c>
      <c r="E302" s="9">
        <v>0</v>
      </c>
      <c r="F302" s="9">
        <v>0</v>
      </c>
      <c r="G302" s="9">
        <v>1</v>
      </c>
      <c r="H302" s="9">
        <v>0</v>
      </c>
      <c r="I302" s="9">
        <v>0</v>
      </c>
      <c r="J302" s="9">
        <v>0</v>
      </c>
      <c r="K302" s="9">
        <v>0</v>
      </c>
      <c r="L302" s="9">
        <v>0</v>
      </c>
      <c r="M302" s="9">
        <v>1</v>
      </c>
      <c r="N302" s="9">
        <v>0</v>
      </c>
      <c r="O302" s="9">
        <v>1</v>
      </c>
      <c r="P302" s="9">
        <v>0</v>
      </c>
      <c r="Q302" s="9">
        <v>0</v>
      </c>
      <c r="R302" s="9">
        <v>0</v>
      </c>
      <c r="S302" s="9">
        <v>0</v>
      </c>
      <c r="T302" s="9">
        <v>0</v>
      </c>
      <c r="U302" s="9">
        <v>0</v>
      </c>
      <c r="V302" s="9">
        <v>0</v>
      </c>
      <c r="W302" s="9">
        <v>2</v>
      </c>
      <c r="X302" s="9">
        <v>3</v>
      </c>
      <c r="Y302" s="9">
        <v>2</v>
      </c>
      <c r="Z302" s="9">
        <v>1</v>
      </c>
      <c r="AA302" s="9">
        <v>2</v>
      </c>
      <c r="AB302" s="9">
        <v>4</v>
      </c>
      <c r="AC302" s="9">
        <v>1</v>
      </c>
      <c r="AD302" s="9">
        <v>0</v>
      </c>
      <c r="AE302" s="9">
        <v>4</v>
      </c>
      <c r="AF302" s="9">
        <v>3</v>
      </c>
      <c r="AG302" s="9">
        <v>1</v>
      </c>
      <c r="AH302" s="9">
        <v>2</v>
      </c>
      <c r="AI302" s="9">
        <v>0</v>
      </c>
      <c r="AJ302" s="9">
        <v>0</v>
      </c>
      <c r="AK302" s="9">
        <v>1</v>
      </c>
      <c r="AL302" s="9">
        <v>1</v>
      </c>
      <c r="AM302" s="9">
        <v>1</v>
      </c>
      <c r="AN302" s="9">
        <v>5</v>
      </c>
      <c r="AO302" s="9">
        <v>1</v>
      </c>
      <c r="AP302" s="9">
        <v>0</v>
      </c>
      <c r="AQ302" s="9">
        <v>2</v>
      </c>
      <c r="AR302" s="9">
        <v>3</v>
      </c>
      <c r="AS302" s="9">
        <v>2</v>
      </c>
      <c r="AT302" s="9">
        <v>1</v>
      </c>
      <c r="AU302" s="9">
        <v>0</v>
      </c>
      <c r="AV302" s="9">
        <v>3</v>
      </c>
      <c r="AW302" s="9">
        <v>0</v>
      </c>
      <c r="AX302" s="9">
        <v>1</v>
      </c>
      <c r="AY302" s="9">
        <v>4</v>
      </c>
      <c r="AZ302" s="9">
        <v>2</v>
      </c>
      <c r="BA302" s="9">
        <v>1</v>
      </c>
      <c r="BB302" s="9">
        <v>3</v>
      </c>
      <c r="BC302" s="9">
        <v>2</v>
      </c>
      <c r="BD302" s="9">
        <v>1</v>
      </c>
      <c r="BE302" s="9">
        <v>1</v>
      </c>
      <c r="BF302" s="9">
        <v>1</v>
      </c>
      <c r="BG302" s="9">
        <v>3</v>
      </c>
      <c r="BH302" s="9">
        <v>1</v>
      </c>
      <c r="BI302" s="9">
        <v>2</v>
      </c>
      <c r="BJ302" s="9">
        <v>0</v>
      </c>
      <c r="BK302" s="9">
        <v>2</v>
      </c>
      <c r="BL302" s="9">
        <v>1</v>
      </c>
      <c r="BM302" s="9">
        <v>1</v>
      </c>
      <c r="BN302" s="9">
        <v>1</v>
      </c>
      <c r="BO302" s="9">
        <v>2</v>
      </c>
      <c r="BP302" s="9">
        <v>0</v>
      </c>
      <c r="BQ302" s="9">
        <v>1</v>
      </c>
      <c r="BR302" s="9">
        <v>0</v>
      </c>
      <c r="BS302" s="9">
        <v>2</v>
      </c>
      <c r="BT302" s="9">
        <v>0</v>
      </c>
      <c r="BU302" s="9">
        <v>1</v>
      </c>
      <c r="BV302" s="9">
        <v>1</v>
      </c>
      <c r="BW302" s="9">
        <v>2</v>
      </c>
      <c r="BX302" s="9">
        <v>2</v>
      </c>
      <c r="BY302" s="9">
        <v>0</v>
      </c>
      <c r="BZ302" s="9">
        <v>1</v>
      </c>
      <c r="CA302" s="9">
        <v>0</v>
      </c>
      <c r="CB302" s="9">
        <v>0</v>
      </c>
      <c r="CC302" s="9">
        <v>0</v>
      </c>
      <c r="CD302" s="9">
        <v>1</v>
      </c>
      <c r="CE302" s="9">
        <v>0</v>
      </c>
      <c r="CF302" s="9">
        <v>1</v>
      </c>
      <c r="CG302" s="9">
        <v>0</v>
      </c>
      <c r="CH302" s="9">
        <v>0</v>
      </c>
      <c r="CI302" s="9">
        <v>1</v>
      </c>
      <c r="CJ302" s="9">
        <v>0</v>
      </c>
      <c r="CK302" s="9">
        <v>0</v>
      </c>
      <c r="CL302" s="9">
        <v>0</v>
      </c>
      <c r="CM302" s="9">
        <v>0</v>
      </c>
      <c r="CN302" s="9">
        <v>0</v>
      </c>
      <c r="CO302" s="9">
        <v>0</v>
      </c>
      <c r="CP302" s="9">
        <v>0</v>
      </c>
      <c r="CQ302" s="9">
        <v>0</v>
      </c>
      <c r="CR302" s="9">
        <v>0</v>
      </c>
      <c r="CS302" s="9">
        <v>0</v>
      </c>
      <c r="CT302" s="9">
        <v>0</v>
      </c>
      <c r="CU302" s="9">
        <v>0</v>
      </c>
      <c r="CV302" s="9">
        <v>0</v>
      </c>
      <c r="CW302" s="9">
        <v>0</v>
      </c>
      <c r="CX302" s="9">
        <v>0</v>
      </c>
      <c r="CY302" s="9">
        <v>0</v>
      </c>
      <c r="CZ302" s="9">
        <v>0</v>
      </c>
      <c r="DA302" s="9">
        <v>0</v>
      </c>
      <c r="DB302" s="9">
        <v>0</v>
      </c>
      <c r="DC302" s="9">
        <v>0</v>
      </c>
      <c r="DD302" s="9">
        <v>0</v>
      </c>
      <c r="DE302" s="9">
        <v>0</v>
      </c>
      <c r="DF302" s="9">
        <v>0</v>
      </c>
      <c r="DG302" s="9">
        <v>0</v>
      </c>
      <c r="DH302" s="9">
        <v>0</v>
      </c>
      <c r="DI302" s="9">
        <v>0</v>
      </c>
      <c r="DJ302" s="9">
        <v>0</v>
      </c>
      <c r="DK302" s="9">
        <v>0</v>
      </c>
      <c r="DL302" s="9">
        <v>0</v>
      </c>
      <c r="DM302" s="9">
        <v>0</v>
      </c>
      <c r="DN302" s="9">
        <v>0</v>
      </c>
      <c r="DO302" s="9">
        <v>0</v>
      </c>
      <c r="DP302" s="9">
        <v>0</v>
      </c>
      <c r="DQ302" s="9">
        <v>0</v>
      </c>
      <c r="DR302" s="9">
        <v>0</v>
      </c>
      <c r="DS302" s="9">
        <v>1</v>
      </c>
      <c r="DT302" s="9">
        <v>0</v>
      </c>
      <c r="DU302" s="9">
        <v>0</v>
      </c>
      <c r="DV302" s="9">
        <v>0</v>
      </c>
      <c r="DW302" s="9">
        <v>0</v>
      </c>
      <c r="DX302" s="9">
        <v>0</v>
      </c>
      <c r="DY302" s="9">
        <v>0</v>
      </c>
      <c r="DZ302" s="9">
        <v>0</v>
      </c>
      <c r="EA302" s="9">
        <v>0</v>
      </c>
      <c r="EB302" s="9">
        <v>0</v>
      </c>
      <c r="EC302" s="9">
        <v>0</v>
      </c>
      <c r="ED302" s="9">
        <v>0</v>
      </c>
      <c r="EE302" s="9">
        <v>0</v>
      </c>
      <c r="EF302" s="9">
        <v>0</v>
      </c>
      <c r="EG302" s="9">
        <v>0</v>
      </c>
      <c r="EH302" s="9">
        <v>0</v>
      </c>
      <c r="EI302" s="10">
        <v>0</v>
      </c>
    </row>
    <row r="303" spans="1:139" x14ac:dyDescent="0.35">
      <c r="A303" s="8" t="s">
        <v>494</v>
      </c>
      <c r="B303" s="9" t="s">
        <v>515</v>
      </c>
      <c r="C303" s="9" t="s">
        <v>516</v>
      </c>
      <c r="D303" s="9">
        <f t="shared" si="4"/>
        <v>60</v>
      </c>
      <c r="E303" s="9">
        <v>0</v>
      </c>
      <c r="F303" s="9">
        <v>0</v>
      </c>
      <c r="G303" s="9">
        <v>0</v>
      </c>
      <c r="H303" s="9">
        <v>0</v>
      </c>
      <c r="I303" s="9">
        <v>0</v>
      </c>
      <c r="J303" s="9">
        <v>0</v>
      </c>
      <c r="K303" s="9">
        <v>0</v>
      </c>
      <c r="L303" s="9">
        <v>0</v>
      </c>
      <c r="M303" s="9">
        <v>0</v>
      </c>
      <c r="N303" s="9">
        <v>0</v>
      </c>
      <c r="O303" s="9">
        <v>0</v>
      </c>
      <c r="P303" s="9">
        <v>0</v>
      </c>
      <c r="Q303" s="9">
        <v>0</v>
      </c>
      <c r="R303" s="9">
        <v>0</v>
      </c>
      <c r="S303" s="9">
        <v>0</v>
      </c>
      <c r="T303" s="9">
        <v>0</v>
      </c>
      <c r="U303" s="9">
        <v>0</v>
      </c>
      <c r="V303" s="9">
        <v>1</v>
      </c>
      <c r="W303" s="9">
        <v>2</v>
      </c>
      <c r="X303" s="9">
        <v>1</v>
      </c>
      <c r="Y303" s="9">
        <v>1</v>
      </c>
      <c r="Z303" s="9">
        <v>1</v>
      </c>
      <c r="AA303" s="9">
        <v>0</v>
      </c>
      <c r="AB303" s="9">
        <v>0</v>
      </c>
      <c r="AC303" s="9">
        <v>1</v>
      </c>
      <c r="AD303" s="9">
        <v>2</v>
      </c>
      <c r="AE303" s="9">
        <v>0</v>
      </c>
      <c r="AF303" s="9">
        <v>3</v>
      </c>
      <c r="AG303" s="9">
        <v>5</v>
      </c>
      <c r="AH303" s="9">
        <v>2</v>
      </c>
      <c r="AI303" s="9">
        <v>1</v>
      </c>
      <c r="AJ303" s="9">
        <v>6</v>
      </c>
      <c r="AK303" s="9">
        <v>1</v>
      </c>
      <c r="AL303" s="9">
        <v>6</v>
      </c>
      <c r="AM303" s="9">
        <v>5</v>
      </c>
      <c r="AN303" s="9">
        <v>1</v>
      </c>
      <c r="AO303" s="9">
        <v>0</v>
      </c>
      <c r="AP303" s="9">
        <v>0</v>
      </c>
      <c r="AQ303" s="9">
        <v>0</v>
      </c>
      <c r="AR303" s="9">
        <v>1</v>
      </c>
      <c r="AS303" s="9">
        <v>0</v>
      </c>
      <c r="AT303" s="9">
        <v>2</v>
      </c>
      <c r="AU303" s="9">
        <v>0</v>
      </c>
      <c r="AV303" s="9">
        <v>0</v>
      </c>
      <c r="AW303" s="9">
        <v>0</v>
      </c>
      <c r="AX303" s="9">
        <v>0</v>
      </c>
      <c r="AY303" s="9">
        <v>0</v>
      </c>
      <c r="AZ303" s="9">
        <v>0</v>
      </c>
      <c r="BA303" s="9">
        <v>0</v>
      </c>
      <c r="BB303" s="9">
        <v>0</v>
      </c>
      <c r="BC303" s="9">
        <v>1</v>
      </c>
      <c r="BD303" s="9">
        <v>0</v>
      </c>
      <c r="BE303" s="9">
        <v>2</v>
      </c>
      <c r="BF303" s="9">
        <v>0</v>
      </c>
      <c r="BG303" s="9">
        <v>0</v>
      </c>
      <c r="BH303" s="9">
        <v>1</v>
      </c>
      <c r="BI303" s="9">
        <v>0</v>
      </c>
      <c r="BJ303" s="9">
        <v>1</v>
      </c>
      <c r="BK303" s="9">
        <v>1</v>
      </c>
      <c r="BL303" s="9">
        <v>1</v>
      </c>
      <c r="BM303" s="9">
        <v>0</v>
      </c>
      <c r="BN303" s="9">
        <v>0</v>
      </c>
      <c r="BO303" s="9">
        <v>0</v>
      </c>
      <c r="BP303" s="9">
        <v>0</v>
      </c>
      <c r="BQ303" s="9">
        <v>1</v>
      </c>
      <c r="BR303" s="9">
        <v>2</v>
      </c>
      <c r="BS303" s="9">
        <v>0</v>
      </c>
      <c r="BT303" s="9">
        <v>0</v>
      </c>
      <c r="BU303" s="9">
        <v>1</v>
      </c>
      <c r="BV303" s="9">
        <v>0</v>
      </c>
      <c r="BW303" s="9">
        <v>1</v>
      </c>
      <c r="BX303" s="9">
        <v>1</v>
      </c>
      <c r="BY303" s="9">
        <v>1</v>
      </c>
      <c r="BZ303" s="9">
        <v>0</v>
      </c>
      <c r="CA303" s="9">
        <v>0</v>
      </c>
      <c r="CB303" s="9">
        <v>1</v>
      </c>
      <c r="CC303" s="9">
        <v>0</v>
      </c>
      <c r="CD303" s="9">
        <v>0</v>
      </c>
      <c r="CE303" s="9">
        <v>0</v>
      </c>
      <c r="CF303" s="9">
        <v>0</v>
      </c>
      <c r="CG303" s="9">
        <v>0</v>
      </c>
      <c r="CH303" s="9">
        <v>0</v>
      </c>
      <c r="CI303" s="9">
        <v>0</v>
      </c>
      <c r="CJ303" s="9">
        <v>0</v>
      </c>
      <c r="CK303" s="9">
        <v>1</v>
      </c>
      <c r="CL303" s="9">
        <v>0</v>
      </c>
      <c r="CM303" s="9">
        <v>0</v>
      </c>
      <c r="CN303" s="9">
        <v>0</v>
      </c>
      <c r="CO303" s="9">
        <v>0</v>
      </c>
      <c r="CP303" s="9">
        <v>1</v>
      </c>
      <c r="CQ303" s="9">
        <v>0</v>
      </c>
      <c r="CR303" s="9">
        <v>0</v>
      </c>
      <c r="CS303" s="9">
        <v>0</v>
      </c>
      <c r="CT303" s="9">
        <v>0</v>
      </c>
      <c r="CU303" s="9">
        <v>0</v>
      </c>
      <c r="CV303" s="9">
        <v>0</v>
      </c>
      <c r="CW303" s="9">
        <v>0</v>
      </c>
      <c r="CX303" s="9">
        <v>0</v>
      </c>
      <c r="CY303" s="9">
        <v>0</v>
      </c>
      <c r="CZ303" s="9">
        <v>0</v>
      </c>
      <c r="DA303" s="9">
        <v>0</v>
      </c>
      <c r="DB303" s="9">
        <v>0</v>
      </c>
      <c r="DC303" s="9">
        <v>0</v>
      </c>
      <c r="DD303" s="9">
        <v>0</v>
      </c>
      <c r="DE303" s="9">
        <v>0</v>
      </c>
      <c r="DF303" s="9">
        <v>0</v>
      </c>
      <c r="DG303" s="9">
        <v>0</v>
      </c>
      <c r="DH303" s="9">
        <v>0</v>
      </c>
      <c r="DI303" s="9">
        <v>0</v>
      </c>
      <c r="DJ303" s="9">
        <v>0</v>
      </c>
      <c r="DK303" s="9">
        <v>0</v>
      </c>
      <c r="DL303" s="9">
        <v>0</v>
      </c>
      <c r="DM303" s="9">
        <v>0</v>
      </c>
      <c r="DN303" s="9">
        <v>0</v>
      </c>
      <c r="DO303" s="9">
        <v>0</v>
      </c>
      <c r="DP303" s="9">
        <v>0</v>
      </c>
      <c r="DQ303" s="9">
        <v>0</v>
      </c>
      <c r="DR303" s="9">
        <v>0</v>
      </c>
      <c r="DS303" s="9">
        <v>0</v>
      </c>
      <c r="DT303" s="9">
        <v>0</v>
      </c>
      <c r="DU303" s="9">
        <v>0</v>
      </c>
      <c r="DV303" s="9">
        <v>0</v>
      </c>
      <c r="DW303" s="9">
        <v>0</v>
      </c>
      <c r="DX303" s="9">
        <v>0</v>
      </c>
      <c r="DY303" s="9">
        <v>0</v>
      </c>
      <c r="DZ303" s="9">
        <v>0</v>
      </c>
      <c r="EA303" s="9">
        <v>0</v>
      </c>
      <c r="EB303" s="9">
        <v>0</v>
      </c>
      <c r="EC303" s="9">
        <v>0</v>
      </c>
      <c r="ED303" s="9">
        <v>0</v>
      </c>
      <c r="EE303" s="9">
        <v>0</v>
      </c>
      <c r="EF303" s="9">
        <v>0</v>
      </c>
      <c r="EG303" s="9">
        <v>0</v>
      </c>
      <c r="EH303" s="9">
        <v>0</v>
      </c>
      <c r="EI303" s="10">
        <v>1</v>
      </c>
    </row>
    <row r="304" spans="1:139" x14ac:dyDescent="0.35">
      <c r="A304" s="8" t="s">
        <v>494</v>
      </c>
      <c r="B304" s="9" t="s">
        <v>517</v>
      </c>
      <c r="C304" s="9" t="s">
        <v>518</v>
      </c>
      <c r="D304" s="9">
        <f t="shared" si="4"/>
        <v>23</v>
      </c>
      <c r="E304" s="9">
        <v>0</v>
      </c>
      <c r="F304" s="9">
        <v>4</v>
      </c>
      <c r="G304" s="9">
        <v>0</v>
      </c>
      <c r="H304" s="9">
        <v>0</v>
      </c>
      <c r="I304" s="9">
        <v>1</v>
      </c>
      <c r="J304" s="9">
        <v>0</v>
      </c>
      <c r="K304" s="9">
        <v>0</v>
      </c>
      <c r="L304" s="9">
        <v>0</v>
      </c>
      <c r="M304" s="9">
        <v>1</v>
      </c>
      <c r="N304" s="9">
        <v>0</v>
      </c>
      <c r="O304" s="9">
        <v>1</v>
      </c>
      <c r="P304" s="9">
        <v>0</v>
      </c>
      <c r="Q304" s="9">
        <v>0</v>
      </c>
      <c r="R304" s="9">
        <v>0</v>
      </c>
      <c r="S304" s="9">
        <v>1</v>
      </c>
      <c r="T304" s="9">
        <v>2</v>
      </c>
      <c r="U304" s="9">
        <v>0</v>
      </c>
      <c r="V304" s="9">
        <v>2</v>
      </c>
      <c r="W304" s="9">
        <v>0</v>
      </c>
      <c r="X304" s="9">
        <v>0</v>
      </c>
      <c r="Y304" s="9">
        <v>0</v>
      </c>
      <c r="Z304" s="9">
        <v>0</v>
      </c>
      <c r="AA304" s="9">
        <v>0</v>
      </c>
      <c r="AB304" s="9">
        <v>0</v>
      </c>
      <c r="AC304" s="9">
        <v>0</v>
      </c>
      <c r="AD304" s="9">
        <v>0</v>
      </c>
      <c r="AE304" s="9">
        <v>0</v>
      </c>
      <c r="AF304" s="9">
        <v>0</v>
      </c>
      <c r="AG304" s="9">
        <v>0</v>
      </c>
      <c r="AH304" s="9">
        <v>0</v>
      </c>
      <c r="AI304" s="9">
        <v>0</v>
      </c>
      <c r="AJ304" s="9">
        <v>0</v>
      </c>
      <c r="AK304" s="9">
        <v>0</v>
      </c>
      <c r="AL304" s="9">
        <v>0</v>
      </c>
      <c r="AM304" s="9">
        <v>0</v>
      </c>
      <c r="AN304" s="9">
        <v>0</v>
      </c>
      <c r="AO304" s="9">
        <v>0</v>
      </c>
      <c r="AP304" s="9">
        <v>0</v>
      </c>
      <c r="AQ304" s="9">
        <v>0</v>
      </c>
      <c r="AR304" s="9">
        <v>0</v>
      </c>
      <c r="AS304" s="9">
        <v>0</v>
      </c>
      <c r="AT304" s="9">
        <v>0</v>
      </c>
      <c r="AU304" s="9">
        <v>0</v>
      </c>
      <c r="AV304" s="9">
        <v>1</v>
      </c>
      <c r="AW304" s="9">
        <v>0</v>
      </c>
      <c r="AX304" s="9">
        <v>0</v>
      </c>
      <c r="AY304" s="9">
        <v>0</v>
      </c>
      <c r="AZ304" s="9">
        <v>1</v>
      </c>
      <c r="BA304" s="9">
        <v>0</v>
      </c>
      <c r="BB304" s="9">
        <v>0</v>
      </c>
      <c r="BC304" s="9">
        <v>0</v>
      </c>
      <c r="BD304" s="9">
        <v>0</v>
      </c>
      <c r="BE304" s="9">
        <v>0</v>
      </c>
      <c r="BF304" s="9">
        <v>1</v>
      </c>
      <c r="BG304" s="9">
        <v>0</v>
      </c>
      <c r="BH304" s="9">
        <v>1</v>
      </c>
      <c r="BI304" s="9">
        <v>0</v>
      </c>
      <c r="BJ304" s="9">
        <v>0</v>
      </c>
      <c r="BK304" s="9">
        <v>0</v>
      </c>
      <c r="BL304" s="9">
        <v>0</v>
      </c>
      <c r="BM304" s="9">
        <v>0</v>
      </c>
      <c r="BN304" s="9">
        <v>2</v>
      </c>
      <c r="BO304" s="9">
        <v>0</v>
      </c>
      <c r="BP304" s="9">
        <v>0</v>
      </c>
      <c r="BQ304" s="9">
        <v>0</v>
      </c>
      <c r="BR304" s="9">
        <v>0</v>
      </c>
      <c r="BS304" s="9">
        <v>0</v>
      </c>
      <c r="BT304" s="9">
        <v>1</v>
      </c>
      <c r="BU304" s="9">
        <v>0</v>
      </c>
      <c r="BV304" s="9">
        <v>0</v>
      </c>
      <c r="BW304" s="9">
        <v>0</v>
      </c>
      <c r="BX304" s="9">
        <v>0</v>
      </c>
      <c r="BY304" s="9">
        <v>0</v>
      </c>
      <c r="BZ304" s="9">
        <v>1</v>
      </c>
      <c r="CA304" s="9">
        <v>0</v>
      </c>
      <c r="CB304" s="9">
        <v>0</v>
      </c>
      <c r="CC304" s="9">
        <v>0</v>
      </c>
      <c r="CD304" s="9">
        <v>0</v>
      </c>
      <c r="CE304" s="9">
        <v>0</v>
      </c>
      <c r="CF304" s="9">
        <v>0</v>
      </c>
      <c r="CG304" s="9">
        <v>0</v>
      </c>
      <c r="CH304" s="9">
        <v>0</v>
      </c>
      <c r="CI304" s="9">
        <v>0</v>
      </c>
      <c r="CJ304" s="9">
        <v>0</v>
      </c>
      <c r="CK304" s="9">
        <v>0</v>
      </c>
      <c r="CL304" s="9">
        <v>0</v>
      </c>
      <c r="CM304" s="9">
        <v>0</v>
      </c>
      <c r="CN304" s="9">
        <v>0</v>
      </c>
      <c r="CO304" s="9">
        <v>0</v>
      </c>
      <c r="CP304" s="9">
        <v>0</v>
      </c>
      <c r="CQ304" s="9">
        <v>0</v>
      </c>
      <c r="CR304" s="9">
        <v>0</v>
      </c>
      <c r="CS304" s="9">
        <v>0</v>
      </c>
      <c r="CT304" s="9">
        <v>0</v>
      </c>
      <c r="CU304" s="9">
        <v>0</v>
      </c>
      <c r="CV304" s="9">
        <v>0</v>
      </c>
      <c r="CW304" s="9">
        <v>0</v>
      </c>
      <c r="CX304" s="9">
        <v>1</v>
      </c>
      <c r="CY304" s="9">
        <v>1</v>
      </c>
      <c r="CZ304" s="9">
        <v>0</v>
      </c>
      <c r="DA304" s="9">
        <v>0</v>
      </c>
      <c r="DB304" s="9">
        <v>0</v>
      </c>
      <c r="DC304" s="9">
        <v>0</v>
      </c>
      <c r="DD304" s="9">
        <v>0</v>
      </c>
      <c r="DE304" s="9">
        <v>1</v>
      </c>
      <c r="DF304" s="9">
        <v>0</v>
      </c>
      <c r="DG304" s="9">
        <v>0</v>
      </c>
      <c r="DH304" s="9">
        <v>0</v>
      </c>
      <c r="DI304" s="9">
        <v>0</v>
      </c>
      <c r="DJ304" s="9">
        <v>0</v>
      </c>
      <c r="DK304" s="9">
        <v>0</v>
      </c>
      <c r="DL304" s="9">
        <v>0</v>
      </c>
      <c r="DM304" s="9">
        <v>0</v>
      </c>
      <c r="DN304" s="9">
        <v>0</v>
      </c>
      <c r="DO304" s="9">
        <v>0</v>
      </c>
      <c r="DP304" s="9">
        <v>0</v>
      </c>
      <c r="DQ304" s="9">
        <v>0</v>
      </c>
      <c r="DR304" s="9">
        <v>0</v>
      </c>
      <c r="DS304" s="9">
        <v>0</v>
      </c>
      <c r="DT304" s="9">
        <v>0</v>
      </c>
      <c r="DU304" s="9">
        <v>0</v>
      </c>
      <c r="DV304" s="9">
        <v>0</v>
      </c>
      <c r="DW304" s="9">
        <v>0</v>
      </c>
      <c r="DX304" s="9">
        <v>0</v>
      </c>
      <c r="DY304" s="9">
        <v>0</v>
      </c>
      <c r="DZ304" s="9">
        <v>0</v>
      </c>
      <c r="EA304" s="9">
        <v>0</v>
      </c>
      <c r="EB304" s="9">
        <v>0</v>
      </c>
      <c r="EC304" s="9">
        <v>0</v>
      </c>
      <c r="ED304" s="9">
        <v>0</v>
      </c>
      <c r="EE304" s="9">
        <v>0</v>
      </c>
      <c r="EF304" s="9">
        <v>0</v>
      </c>
      <c r="EG304" s="9">
        <v>0</v>
      </c>
      <c r="EH304" s="9">
        <v>0</v>
      </c>
      <c r="EI304" s="10">
        <v>0</v>
      </c>
    </row>
    <row r="305" spans="1:139" x14ac:dyDescent="0.35">
      <c r="A305" s="8" t="s">
        <v>494</v>
      </c>
      <c r="B305" s="9" t="s">
        <v>519</v>
      </c>
      <c r="C305" s="9" t="s">
        <v>520</v>
      </c>
      <c r="D305" s="9">
        <f t="shared" si="4"/>
        <v>84</v>
      </c>
      <c r="E305" s="9">
        <v>0</v>
      </c>
      <c r="F305" s="9">
        <v>0</v>
      </c>
      <c r="G305" s="9">
        <v>0</v>
      </c>
      <c r="H305" s="9">
        <v>0</v>
      </c>
      <c r="I305" s="9">
        <v>1</v>
      </c>
      <c r="J305" s="9">
        <v>0</v>
      </c>
      <c r="K305" s="9">
        <v>0</v>
      </c>
      <c r="L305" s="9">
        <v>0</v>
      </c>
      <c r="M305" s="9">
        <v>0</v>
      </c>
      <c r="N305" s="9">
        <v>0</v>
      </c>
      <c r="O305" s="9">
        <v>0</v>
      </c>
      <c r="P305" s="9">
        <v>0</v>
      </c>
      <c r="Q305" s="9">
        <v>0</v>
      </c>
      <c r="R305" s="9">
        <v>0</v>
      </c>
      <c r="S305" s="9">
        <v>0</v>
      </c>
      <c r="T305" s="9">
        <v>0</v>
      </c>
      <c r="U305" s="9">
        <v>0</v>
      </c>
      <c r="V305" s="9">
        <v>0</v>
      </c>
      <c r="W305" s="9">
        <v>0</v>
      </c>
      <c r="X305" s="9">
        <v>0</v>
      </c>
      <c r="Y305" s="9">
        <v>0</v>
      </c>
      <c r="Z305" s="9">
        <v>0</v>
      </c>
      <c r="AA305" s="9">
        <v>0</v>
      </c>
      <c r="AB305" s="9">
        <v>0</v>
      </c>
      <c r="AC305" s="9">
        <v>0</v>
      </c>
      <c r="AD305" s="9">
        <v>0</v>
      </c>
      <c r="AE305" s="9">
        <v>0</v>
      </c>
      <c r="AF305" s="9">
        <v>0</v>
      </c>
      <c r="AG305" s="9">
        <v>0</v>
      </c>
      <c r="AH305" s="9">
        <v>1</v>
      </c>
      <c r="AI305" s="9">
        <v>0</v>
      </c>
      <c r="AJ305" s="9">
        <v>2</v>
      </c>
      <c r="AK305" s="9">
        <v>0</v>
      </c>
      <c r="AL305" s="9">
        <v>0</v>
      </c>
      <c r="AM305" s="9">
        <v>2</v>
      </c>
      <c r="AN305" s="9">
        <v>0</v>
      </c>
      <c r="AO305" s="9">
        <v>2</v>
      </c>
      <c r="AP305" s="9">
        <v>3</v>
      </c>
      <c r="AQ305" s="9">
        <v>2</v>
      </c>
      <c r="AR305" s="9">
        <v>1</v>
      </c>
      <c r="AS305" s="9">
        <v>1</v>
      </c>
      <c r="AT305" s="9">
        <v>1</v>
      </c>
      <c r="AU305" s="9">
        <v>1</v>
      </c>
      <c r="AV305" s="9">
        <v>3</v>
      </c>
      <c r="AW305" s="9">
        <v>0</v>
      </c>
      <c r="AX305" s="9">
        <v>0</v>
      </c>
      <c r="AY305" s="9">
        <v>0</v>
      </c>
      <c r="AZ305" s="9">
        <v>1</v>
      </c>
      <c r="BA305" s="9">
        <v>2</v>
      </c>
      <c r="BB305" s="9">
        <v>0</v>
      </c>
      <c r="BC305" s="9">
        <v>0</v>
      </c>
      <c r="BD305" s="9">
        <v>1</v>
      </c>
      <c r="BE305" s="9">
        <v>0</v>
      </c>
      <c r="BF305" s="9">
        <v>0</v>
      </c>
      <c r="BG305" s="9">
        <v>0</v>
      </c>
      <c r="BH305" s="9">
        <v>0</v>
      </c>
      <c r="BI305" s="9">
        <v>1</v>
      </c>
      <c r="BJ305" s="9">
        <v>2</v>
      </c>
      <c r="BK305" s="9">
        <v>2</v>
      </c>
      <c r="BL305" s="9">
        <v>1</v>
      </c>
      <c r="BM305" s="9">
        <v>2</v>
      </c>
      <c r="BN305" s="9">
        <v>0</v>
      </c>
      <c r="BO305" s="9">
        <v>3</v>
      </c>
      <c r="BP305" s="9">
        <v>1</v>
      </c>
      <c r="BQ305" s="9">
        <v>1</v>
      </c>
      <c r="BR305" s="9">
        <v>3</v>
      </c>
      <c r="BS305" s="9">
        <v>7</v>
      </c>
      <c r="BT305" s="9">
        <v>1</v>
      </c>
      <c r="BU305" s="9">
        <v>2</v>
      </c>
      <c r="BV305" s="9">
        <v>2</v>
      </c>
      <c r="BW305" s="9">
        <v>2</v>
      </c>
      <c r="BX305" s="9">
        <v>3</v>
      </c>
      <c r="BY305" s="9">
        <v>2</v>
      </c>
      <c r="BZ305" s="9">
        <v>0</v>
      </c>
      <c r="CA305" s="9">
        <v>1</v>
      </c>
      <c r="CB305" s="9">
        <v>4</v>
      </c>
      <c r="CC305" s="9">
        <v>4</v>
      </c>
      <c r="CD305" s="9">
        <v>0</v>
      </c>
      <c r="CE305" s="9">
        <v>2</v>
      </c>
      <c r="CF305" s="9">
        <v>0</v>
      </c>
      <c r="CG305" s="9">
        <v>3</v>
      </c>
      <c r="CH305" s="9">
        <v>0</v>
      </c>
      <c r="CI305" s="9">
        <v>1</v>
      </c>
      <c r="CJ305" s="9">
        <v>0</v>
      </c>
      <c r="CK305" s="9">
        <v>0</v>
      </c>
      <c r="CL305" s="9">
        <v>0</v>
      </c>
      <c r="CM305" s="9">
        <v>1</v>
      </c>
      <c r="CN305" s="9">
        <v>1</v>
      </c>
      <c r="CO305" s="9">
        <v>0</v>
      </c>
      <c r="CP305" s="9">
        <v>0</v>
      </c>
      <c r="CQ305" s="9">
        <v>1</v>
      </c>
      <c r="CR305" s="9">
        <v>0</v>
      </c>
      <c r="CS305" s="9">
        <v>0</v>
      </c>
      <c r="CT305" s="9">
        <v>1</v>
      </c>
      <c r="CU305" s="9">
        <v>0</v>
      </c>
      <c r="CV305" s="9">
        <v>0</v>
      </c>
      <c r="CW305" s="9">
        <v>0</v>
      </c>
      <c r="CX305" s="9">
        <v>0</v>
      </c>
      <c r="CY305" s="9">
        <v>1</v>
      </c>
      <c r="CZ305" s="9">
        <v>1</v>
      </c>
      <c r="DA305" s="9">
        <v>0</v>
      </c>
      <c r="DB305" s="9">
        <v>0</v>
      </c>
      <c r="DC305" s="9">
        <v>1</v>
      </c>
      <c r="DD305" s="9">
        <v>1</v>
      </c>
      <c r="DE305" s="9">
        <v>0</v>
      </c>
      <c r="DF305" s="9">
        <v>0</v>
      </c>
      <c r="DG305" s="9">
        <v>0</v>
      </c>
      <c r="DH305" s="9">
        <v>0</v>
      </c>
      <c r="DI305" s="9">
        <v>0</v>
      </c>
      <c r="DJ305" s="9">
        <v>0</v>
      </c>
      <c r="DK305" s="9">
        <v>0</v>
      </c>
      <c r="DL305" s="9">
        <v>0</v>
      </c>
      <c r="DM305" s="9">
        <v>0</v>
      </c>
      <c r="DN305" s="9">
        <v>0</v>
      </c>
      <c r="DO305" s="9">
        <v>1</v>
      </c>
      <c r="DP305" s="9">
        <v>0</v>
      </c>
      <c r="DQ305" s="9">
        <v>0</v>
      </c>
      <c r="DR305" s="9">
        <v>0</v>
      </c>
      <c r="DS305" s="9">
        <v>0</v>
      </c>
      <c r="DT305" s="9">
        <v>0</v>
      </c>
      <c r="DU305" s="9">
        <v>0</v>
      </c>
      <c r="DV305" s="9">
        <v>0</v>
      </c>
      <c r="DW305" s="9">
        <v>0</v>
      </c>
      <c r="DX305" s="9">
        <v>0</v>
      </c>
      <c r="DY305" s="9">
        <v>0</v>
      </c>
      <c r="DZ305" s="9">
        <v>1</v>
      </c>
      <c r="EA305" s="9">
        <v>0</v>
      </c>
      <c r="EB305" s="9">
        <v>0</v>
      </c>
      <c r="EC305" s="9">
        <v>0</v>
      </c>
      <c r="ED305" s="9">
        <v>0</v>
      </c>
      <c r="EE305" s="9">
        <v>0</v>
      </c>
      <c r="EF305" s="9">
        <v>0</v>
      </c>
      <c r="EG305" s="9">
        <v>0</v>
      </c>
      <c r="EH305" s="9">
        <v>0</v>
      </c>
      <c r="EI305" s="10">
        <v>0</v>
      </c>
    </row>
    <row r="306" spans="1:139" x14ac:dyDescent="0.35">
      <c r="A306" s="8" t="s">
        <v>494</v>
      </c>
      <c r="B306" s="9" t="s">
        <v>521</v>
      </c>
      <c r="C306" s="9" t="s">
        <v>522</v>
      </c>
      <c r="D306" s="9">
        <f t="shared" si="4"/>
        <v>181</v>
      </c>
      <c r="E306" s="9">
        <v>0</v>
      </c>
      <c r="F306" s="9">
        <v>0</v>
      </c>
      <c r="G306" s="9">
        <v>0</v>
      </c>
      <c r="H306" s="9">
        <v>2</v>
      </c>
      <c r="I306" s="9">
        <v>3</v>
      </c>
      <c r="J306" s="9">
        <v>0</v>
      </c>
      <c r="K306" s="9">
        <v>8</v>
      </c>
      <c r="L306" s="9">
        <v>5</v>
      </c>
      <c r="M306" s="9">
        <v>3</v>
      </c>
      <c r="N306" s="9">
        <v>8</v>
      </c>
      <c r="O306" s="9">
        <v>6</v>
      </c>
      <c r="P306" s="9">
        <v>4</v>
      </c>
      <c r="Q306" s="9">
        <v>5</v>
      </c>
      <c r="R306" s="9">
        <v>8</v>
      </c>
      <c r="S306" s="9">
        <v>6</v>
      </c>
      <c r="T306" s="9">
        <v>3</v>
      </c>
      <c r="U306" s="9">
        <v>5</v>
      </c>
      <c r="V306" s="9">
        <v>3</v>
      </c>
      <c r="W306" s="9">
        <v>0</v>
      </c>
      <c r="X306" s="9">
        <v>4</v>
      </c>
      <c r="Y306" s="9">
        <v>1</v>
      </c>
      <c r="Z306" s="9">
        <v>3</v>
      </c>
      <c r="AA306" s="9">
        <v>3</v>
      </c>
      <c r="AB306" s="9">
        <v>3</v>
      </c>
      <c r="AC306" s="9">
        <v>4</v>
      </c>
      <c r="AD306" s="9">
        <v>5</v>
      </c>
      <c r="AE306" s="9">
        <v>3</v>
      </c>
      <c r="AF306" s="9">
        <v>4</v>
      </c>
      <c r="AG306" s="9">
        <v>5</v>
      </c>
      <c r="AH306" s="9">
        <v>3</v>
      </c>
      <c r="AI306" s="9">
        <v>3</v>
      </c>
      <c r="AJ306" s="9">
        <v>3</v>
      </c>
      <c r="AK306" s="9">
        <v>4</v>
      </c>
      <c r="AL306" s="9">
        <v>2</v>
      </c>
      <c r="AM306" s="9">
        <v>1</v>
      </c>
      <c r="AN306" s="9">
        <v>1</v>
      </c>
      <c r="AO306" s="9">
        <v>1</v>
      </c>
      <c r="AP306" s="9">
        <v>1</v>
      </c>
      <c r="AQ306" s="9">
        <v>1</v>
      </c>
      <c r="AR306" s="9">
        <v>3</v>
      </c>
      <c r="AS306" s="9">
        <v>2</v>
      </c>
      <c r="AT306" s="9">
        <v>1</v>
      </c>
      <c r="AU306" s="9">
        <v>1</v>
      </c>
      <c r="AV306" s="9">
        <v>1</v>
      </c>
      <c r="AW306" s="9">
        <v>0</v>
      </c>
      <c r="AX306" s="9">
        <v>5</v>
      </c>
      <c r="AY306" s="9">
        <v>3</v>
      </c>
      <c r="AZ306" s="9">
        <v>1</v>
      </c>
      <c r="BA306" s="9">
        <v>2</v>
      </c>
      <c r="BB306" s="9">
        <v>2</v>
      </c>
      <c r="BC306" s="9">
        <v>0</v>
      </c>
      <c r="BD306" s="9">
        <v>2</v>
      </c>
      <c r="BE306" s="9">
        <v>2</v>
      </c>
      <c r="BF306" s="9">
        <v>1</v>
      </c>
      <c r="BG306" s="9">
        <v>0</v>
      </c>
      <c r="BH306" s="9">
        <v>3</v>
      </c>
      <c r="BI306" s="9">
        <v>1</v>
      </c>
      <c r="BJ306" s="9">
        <v>1</v>
      </c>
      <c r="BK306" s="9">
        <v>0</v>
      </c>
      <c r="BL306" s="9">
        <v>0</v>
      </c>
      <c r="BM306" s="9">
        <v>1</v>
      </c>
      <c r="BN306" s="9">
        <v>1</v>
      </c>
      <c r="BO306" s="9">
        <v>2</v>
      </c>
      <c r="BP306" s="9">
        <v>0</v>
      </c>
      <c r="BQ306" s="9">
        <v>1</v>
      </c>
      <c r="BR306" s="9">
        <v>0</v>
      </c>
      <c r="BS306" s="9">
        <v>0</v>
      </c>
      <c r="BT306" s="9">
        <v>1</v>
      </c>
      <c r="BU306" s="9">
        <v>1</v>
      </c>
      <c r="BV306" s="9">
        <v>0</v>
      </c>
      <c r="BW306" s="9">
        <v>1</v>
      </c>
      <c r="BX306" s="9">
        <v>0</v>
      </c>
      <c r="BY306" s="9">
        <v>1</v>
      </c>
      <c r="BZ306" s="9">
        <v>1</v>
      </c>
      <c r="CA306" s="9">
        <v>0</v>
      </c>
      <c r="CB306" s="9">
        <v>0</v>
      </c>
      <c r="CC306" s="9">
        <v>3</v>
      </c>
      <c r="CD306" s="9">
        <v>0</v>
      </c>
      <c r="CE306" s="9">
        <v>0</v>
      </c>
      <c r="CF306" s="9">
        <v>0</v>
      </c>
      <c r="CG306" s="9">
        <v>2</v>
      </c>
      <c r="CH306" s="9">
        <v>0</v>
      </c>
      <c r="CI306" s="9">
        <v>0</v>
      </c>
      <c r="CJ306" s="9">
        <v>0</v>
      </c>
      <c r="CK306" s="9">
        <v>0</v>
      </c>
      <c r="CL306" s="9">
        <v>0</v>
      </c>
      <c r="CM306" s="9">
        <v>1</v>
      </c>
      <c r="CN306" s="9">
        <v>0</v>
      </c>
      <c r="CO306" s="9">
        <v>1</v>
      </c>
      <c r="CP306" s="9">
        <v>0</v>
      </c>
      <c r="CQ306" s="9">
        <v>0</v>
      </c>
      <c r="CR306" s="9">
        <v>0</v>
      </c>
      <c r="CS306" s="9">
        <v>0</v>
      </c>
      <c r="CT306" s="9">
        <v>0</v>
      </c>
      <c r="CU306" s="9">
        <v>0</v>
      </c>
      <c r="CV306" s="9">
        <v>0</v>
      </c>
      <c r="CW306" s="9">
        <v>0</v>
      </c>
      <c r="CX306" s="9">
        <v>0</v>
      </c>
      <c r="CY306" s="9">
        <v>0</v>
      </c>
      <c r="CZ306" s="9">
        <v>1</v>
      </c>
      <c r="DA306" s="9">
        <v>0</v>
      </c>
      <c r="DB306" s="9">
        <v>0</v>
      </c>
      <c r="DC306" s="9">
        <v>0</v>
      </c>
      <c r="DD306" s="9">
        <v>0</v>
      </c>
      <c r="DE306" s="9">
        <v>0</v>
      </c>
      <c r="DF306" s="9">
        <v>0</v>
      </c>
      <c r="DG306" s="9">
        <v>0</v>
      </c>
      <c r="DH306" s="9">
        <v>0</v>
      </c>
      <c r="DI306" s="9">
        <v>0</v>
      </c>
      <c r="DJ306" s="9">
        <v>0</v>
      </c>
      <c r="DK306" s="9">
        <v>0</v>
      </c>
      <c r="DL306" s="9">
        <v>0</v>
      </c>
      <c r="DM306" s="9">
        <v>0</v>
      </c>
      <c r="DN306" s="9">
        <v>1</v>
      </c>
      <c r="DO306" s="9">
        <v>0</v>
      </c>
      <c r="DP306" s="9">
        <v>1</v>
      </c>
      <c r="DQ306" s="9">
        <v>0</v>
      </c>
      <c r="DR306" s="9">
        <v>0</v>
      </c>
      <c r="DS306" s="9">
        <v>1</v>
      </c>
      <c r="DT306" s="9">
        <v>0</v>
      </c>
      <c r="DU306" s="9">
        <v>1</v>
      </c>
      <c r="DV306" s="9">
        <v>1</v>
      </c>
      <c r="DW306" s="9">
        <v>0</v>
      </c>
      <c r="DX306" s="9">
        <v>0</v>
      </c>
      <c r="DY306" s="9">
        <v>0</v>
      </c>
      <c r="DZ306" s="9">
        <v>1</v>
      </c>
      <c r="EA306" s="9">
        <v>0</v>
      </c>
      <c r="EB306" s="9">
        <v>0</v>
      </c>
      <c r="EC306" s="9">
        <v>1</v>
      </c>
      <c r="ED306" s="9">
        <v>0</v>
      </c>
      <c r="EE306" s="9">
        <v>1</v>
      </c>
      <c r="EF306" s="9">
        <v>0</v>
      </c>
      <c r="EG306" s="9">
        <v>0</v>
      </c>
      <c r="EH306" s="9">
        <v>0</v>
      </c>
      <c r="EI306" s="10">
        <v>0</v>
      </c>
    </row>
    <row r="307" spans="1:139" x14ac:dyDescent="0.35">
      <c r="A307" s="8" t="s">
        <v>494</v>
      </c>
      <c r="B307" s="9" t="s">
        <v>523</v>
      </c>
      <c r="C307" s="9" t="s">
        <v>524</v>
      </c>
      <c r="D307" s="9">
        <f t="shared" si="4"/>
        <v>51</v>
      </c>
      <c r="E307" s="9">
        <v>0</v>
      </c>
      <c r="F307" s="9">
        <v>0</v>
      </c>
      <c r="G307" s="9">
        <v>0</v>
      </c>
      <c r="H307" s="9">
        <v>0</v>
      </c>
      <c r="I307" s="9">
        <v>0</v>
      </c>
      <c r="J307" s="9">
        <v>0</v>
      </c>
      <c r="K307" s="9">
        <v>0</v>
      </c>
      <c r="L307" s="9">
        <v>0</v>
      </c>
      <c r="M307" s="9">
        <v>0</v>
      </c>
      <c r="N307" s="9">
        <v>0</v>
      </c>
      <c r="O307" s="9">
        <v>0</v>
      </c>
      <c r="P307" s="9">
        <v>0</v>
      </c>
      <c r="Q307" s="9">
        <v>3</v>
      </c>
      <c r="R307" s="9">
        <v>2</v>
      </c>
      <c r="S307" s="9">
        <v>1</v>
      </c>
      <c r="T307" s="9">
        <v>0</v>
      </c>
      <c r="U307" s="9">
        <v>0</v>
      </c>
      <c r="V307" s="9">
        <v>3</v>
      </c>
      <c r="W307" s="9">
        <v>0</v>
      </c>
      <c r="X307" s="9">
        <v>3</v>
      </c>
      <c r="Y307" s="9">
        <v>1</v>
      </c>
      <c r="Z307" s="9">
        <v>0</v>
      </c>
      <c r="AA307" s="9">
        <v>0</v>
      </c>
      <c r="AB307" s="9">
        <v>0</v>
      </c>
      <c r="AC307" s="9">
        <v>1</v>
      </c>
      <c r="AD307" s="9">
        <v>1</v>
      </c>
      <c r="AE307" s="9">
        <v>1</v>
      </c>
      <c r="AF307" s="9">
        <v>2</v>
      </c>
      <c r="AG307" s="9">
        <v>3</v>
      </c>
      <c r="AH307" s="9">
        <v>5</v>
      </c>
      <c r="AI307" s="9">
        <v>0</v>
      </c>
      <c r="AJ307" s="9">
        <v>0</v>
      </c>
      <c r="AK307" s="9">
        <v>0</v>
      </c>
      <c r="AL307" s="9">
        <v>1</v>
      </c>
      <c r="AM307" s="9">
        <v>2</v>
      </c>
      <c r="AN307" s="9">
        <v>3</v>
      </c>
      <c r="AO307" s="9">
        <v>3</v>
      </c>
      <c r="AP307" s="9">
        <v>3</v>
      </c>
      <c r="AQ307" s="9">
        <v>0</v>
      </c>
      <c r="AR307" s="9">
        <v>0</v>
      </c>
      <c r="AS307" s="9">
        <v>2</v>
      </c>
      <c r="AT307" s="9">
        <v>0</v>
      </c>
      <c r="AU307" s="9">
        <v>0</v>
      </c>
      <c r="AV307" s="9">
        <v>0</v>
      </c>
      <c r="AW307" s="9">
        <v>0</v>
      </c>
      <c r="AX307" s="9">
        <v>1</v>
      </c>
      <c r="AY307" s="9">
        <v>2</v>
      </c>
      <c r="AZ307" s="9">
        <v>1</v>
      </c>
      <c r="BA307" s="9">
        <v>0</v>
      </c>
      <c r="BB307" s="9">
        <v>0</v>
      </c>
      <c r="BC307" s="9">
        <v>0</v>
      </c>
      <c r="BD307" s="9">
        <v>0</v>
      </c>
      <c r="BE307" s="9">
        <v>3</v>
      </c>
      <c r="BF307" s="9">
        <v>0</v>
      </c>
      <c r="BG307" s="9">
        <v>1</v>
      </c>
      <c r="BH307" s="9">
        <v>0</v>
      </c>
      <c r="BI307" s="9">
        <v>0</v>
      </c>
      <c r="BJ307" s="9">
        <v>0</v>
      </c>
      <c r="BK307" s="9">
        <v>0</v>
      </c>
      <c r="BL307" s="9">
        <v>0</v>
      </c>
      <c r="BM307" s="9">
        <v>0</v>
      </c>
      <c r="BN307" s="9">
        <v>0</v>
      </c>
      <c r="BO307" s="9">
        <v>0</v>
      </c>
      <c r="BP307" s="9">
        <v>0</v>
      </c>
      <c r="BQ307" s="9">
        <v>1</v>
      </c>
      <c r="BR307" s="9">
        <v>0</v>
      </c>
      <c r="BS307" s="9">
        <v>1</v>
      </c>
      <c r="BT307" s="9">
        <v>1</v>
      </c>
      <c r="BU307" s="9">
        <v>0</v>
      </c>
      <c r="BV307" s="9">
        <v>0</v>
      </c>
      <c r="BW307" s="9">
        <v>0</v>
      </c>
      <c r="BX307" s="9">
        <v>0</v>
      </c>
      <c r="BY307" s="9">
        <v>0</v>
      </c>
      <c r="BZ307" s="9">
        <v>0</v>
      </c>
      <c r="CA307" s="9">
        <v>0</v>
      </c>
      <c r="CB307" s="9">
        <v>0</v>
      </c>
      <c r="CC307" s="9">
        <v>0</v>
      </c>
      <c r="CD307" s="9">
        <v>0</v>
      </c>
      <c r="CE307" s="9">
        <v>0</v>
      </c>
      <c r="CF307" s="9">
        <v>0</v>
      </c>
      <c r="CG307" s="9">
        <v>0</v>
      </c>
      <c r="CH307" s="9">
        <v>0</v>
      </c>
      <c r="CI307" s="9">
        <v>0</v>
      </c>
      <c r="CJ307" s="9">
        <v>0</v>
      </c>
      <c r="CK307" s="9">
        <v>0</v>
      </c>
      <c r="CL307" s="9">
        <v>0</v>
      </c>
      <c r="CM307" s="9">
        <v>0</v>
      </c>
      <c r="CN307" s="9">
        <v>0</v>
      </c>
      <c r="CO307" s="9">
        <v>0</v>
      </c>
      <c r="CP307" s="9">
        <v>0</v>
      </c>
      <c r="CQ307" s="9">
        <v>0</v>
      </c>
      <c r="CR307" s="9">
        <v>0</v>
      </c>
      <c r="CS307" s="9">
        <v>0</v>
      </c>
      <c r="CT307" s="9">
        <v>0</v>
      </c>
      <c r="CU307" s="9">
        <v>0</v>
      </c>
      <c r="CV307" s="9">
        <v>0</v>
      </c>
      <c r="CW307" s="9">
        <v>0</v>
      </c>
      <c r="CX307" s="9">
        <v>0</v>
      </c>
      <c r="CY307" s="9">
        <v>0</v>
      </c>
      <c r="CZ307" s="9">
        <v>0</v>
      </c>
      <c r="DA307" s="9">
        <v>0</v>
      </c>
      <c r="DB307" s="9">
        <v>0</v>
      </c>
      <c r="DC307" s="9">
        <v>0</v>
      </c>
      <c r="DD307" s="9">
        <v>0</v>
      </c>
      <c r="DE307" s="9">
        <v>0</v>
      </c>
      <c r="DF307" s="9">
        <v>0</v>
      </c>
      <c r="DG307" s="9">
        <v>0</v>
      </c>
      <c r="DH307" s="9">
        <v>0</v>
      </c>
      <c r="DI307" s="9">
        <v>0</v>
      </c>
      <c r="DJ307" s="9">
        <v>0</v>
      </c>
      <c r="DK307" s="9">
        <v>0</v>
      </c>
      <c r="DL307" s="9">
        <v>0</v>
      </c>
      <c r="DM307" s="9">
        <v>0</v>
      </c>
      <c r="DN307" s="9">
        <v>0</v>
      </c>
      <c r="DO307" s="9">
        <v>0</v>
      </c>
      <c r="DP307" s="9">
        <v>0</v>
      </c>
      <c r="DQ307" s="9">
        <v>0</v>
      </c>
      <c r="DR307" s="9">
        <v>0</v>
      </c>
      <c r="DS307" s="9">
        <v>0</v>
      </c>
      <c r="DT307" s="9">
        <v>0</v>
      </c>
      <c r="DU307" s="9">
        <v>0</v>
      </c>
      <c r="DV307" s="9">
        <v>0</v>
      </c>
      <c r="DW307" s="9">
        <v>0</v>
      </c>
      <c r="DX307" s="9">
        <v>0</v>
      </c>
      <c r="DY307" s="9">
        <v>0</v>
      </c>
      <c r="DZ307" s="9">
        <v>0</v>
      </c>
      <c r="EA307" s="9">
        <v>0</v>
      </c>
      <c r="EB307" s="9">
        <v>0</v>
      </c>
      <c r="EC307" s="9">
        <v>0</v>
      </c>
      <c r="ED307" s="9">
        <v>0</v>
      </c>
      <c r="EE307" s="9">
        <v>0</v>
      </c>
      <c r="EF307" s="9">
        <v>0</v>
      </c>
      <c r="EG307" s="9">
        <v>0</v>
      </c>
      <c r="EH307" s="9">
        <v>0</v>
      </c>
      <c r="EI307" s="10">
        <v>0</v>
      </c>
    </row>
    <row r="308" spans="1:139" x14ac:dyDescent="0.35">
      <c r="A308" s="8" t="s">
        <v>494</v>
      </c>
      <c r="B308" s="9" t="s">
        <v>525</v>
      </c>
      <c r="C308" s="9" t="s">
        <v>526</v>
      </c>
      <c r="D308" s="9">
        <f t="shared" si="4"/>
        <v>129</v>
      </c>
      <c r="E308" s="9">
        <v>0</v>
      </c>
      <c r="F308" s="9">
        <v>0</v>
      </c>
      <c r="G308" s="9">
        <v>0</v>
      </c>
      <c r="H308" s="9">
        <v>0</v>
      </c>
      <c r="I308" s="9">
        <v>0</v>
      </c>
      <c r="J308" s="9">
        <v>0</v>
      </c>
      <c r="K308" s="9">
        <v>1</v>
      </c>
      <c r="L308" s="9">
        <v>2</v>
      </c>
      <c r="M308" s="9">
        <v>1</v>
      </c>
      <c r="N308" s="9">
        <v>1</v>
      </c>
      <c r="O308" s="9">
        <v>2</v>
      </c>
      <c r="P308" s="9">
        <v>3</v>
      </c>
      <c r="Q308" s="9">
        <v>0</v>
      </c>
      <c r="R308" s="9">
        <v>2</v>
      </c>
      <c r="S308" s="9">
        <v>2</v>
      </c>
      <c r="T308" s="9">
        <v>2</v>
      </c>
      <c r="U308" s="9">
        <v>8</v>
      </c>
      <c r="V308" s="9">
        <v>2</v>
      </c>
      <c r="W308" s="9">
        <v>1</v>
      </c>
      <c r="X308" s="9">
        <v>4</v>
      </c>
      <c r="Y308" s="9">
        <v>2</v>
      </c>
      <c r="Z308" s="9">
        <v>4</v>
      </c>
      <c r="AA308" s="9">
        <v>1</v>
      </c>
      <c r="AB308" s="9">
        <v>2</v>
      </c>
      <c r="AC308" s="9">
        <v>3</v>
      </c>
      <c r="AD308" s="9">
        <v>2</v>
      </c>
      <c r="AE308" s="9">
        <v>4</v>
      </c>
      <c r="AF308" s="9">
        <v>1</v>
      </c>
      <c r="AG308" s="9">
        <v>4</v>
      </c>
      <c r="AH308" s="9">
        <v>0</v>
      </c>
      <c r="AI308" s="9">
        <v>4</v>
      </c>
      <c r="AJ308" s="9">
        <v>2</v>
      </c>
      <c r="AK308" s="9">
        <v>4</v>
      </c>
      <c r="AL308" s="9">
        <v>2</v>
      </c>
      <c r="AM308" s="9">
        <v>5</v>
      </c>
      <c r="AN308" s="9">
        <v>3</v>
      </c>
      <c r="AO308" s="9">
        <v>2</v>
      </c>
      <c r="AP308" s="9">
        <v>1</v>
      </c>
      <c r="AQ308" s="9">
        <v>1</v>
      </c>
      <c r="AR308" s="9">
        <v>0</v>
      </c>
      <c r="AS308" s="9">
        <v>1</v>
      </c>
      <c r="AT308" s="9">
        <v>4</v>
      </c>
      <c r="AU308" s="9">
        <v>3</v>
      </c>
      <c r="AV308" s="9">
        <v>1</v>
      </c>
      <c r="AW308" s="9">
        <v>1</v>
      </c>
      <c r="AX308" s="9">
        <v>6</v>
      </c>
      <c r="AY308" s="9">
        <v>2</v>
      </c>
      <c r="AZ308" s="9">
        <v>0</v>
      </c>
      <c r="BA308" s="9">
        <v>2</v>
      </c>
      <c r="BB308" s="9">
        <v>2</v>
      </c>
      <c r="BC308" s="9">
        <v>2</v>
      </c>
      <c r="BD308" s="9">
        <v>1</v>
      </c>
      <c r="BE308" s="9">
        <v>0</v>
      </c>
      <c r="BF308" s="9">
        <v>1</v>
      </c>
      <c r="BG308" s="9">
        <v>0</v>
      </c>
      <c r="BH308" s="9">
        <v>2</v>
      </c>
      <c r="BI308" s="9">
        <v>1</v>
      </c>
      <c r="BJ308" s="9">
        <v>1</v>
      </c>
      <c r="BK308" s="9">
        <v>1</v>
      </c>
      <c r="BL308" s="9">
        <v>1</v>
      </c>
      <c r="BM308" s="9">
        <v>1</v>
      </c>
      <c r="BN308" s="9">
        <v>2</v>
      </c>
      <c r="BO308" s="9">
        <v>0</v>
      </c>
      <c r="BP308" s="9">
        <v>1</v>
      </c>
      <c r="BQ308" s="9">
        <v>1</v>
      </c>
      <c r="BR308" s="9">
        <v>1</v>
      </c>
      <c r="BS308" s="9">
        <v>1</v>
      </c>
      <c r="BT308" s="9">
        <v>0</v>
      </c>
      <c r="BU308" s="9">
        <v>0</v>
      </c>
      <c r="BV308" s="9">
        <v>0</v>
      </c>
      <c r="BW308" s="9">
        <v>0</v>
      </c>
      <c r="BX308" s="9">
        <v>0</v>
      </c>
      <c r="BY308" s="9">
        <v>0</v>
      </c>
      <c r="BZ308" s="9">
        <v>0</v>
      </c>
      <c r="CA308" s="9">
        <v>0</v>
      </c>
      <c r="CB308" s="9">
        <v>2</v>
      </c>
      <c r="CC308" s="9">
        <v>0</v>
      </c>
      <c r="CD308" s="9">
        <v>0</v>
      </c>
      <c r="CE308" s="9">
        <v>1</v>
      </c>
      <c r="CF308" s="9">
        <v>2</v>
      </c>
      <c r="CG308" s="9">
        <v>2</v>
      </c>
      <c r="CH308" s="9">
        <v>0</v>
      </c>
      <c r="CI308" s="9">
        <v>0</v>
      </c>
      <c r="CJ308" s="9">
        <v>0</v>
      </c>
      <c r="CK308" s="9">
        <v>1</v>
      </c>
      <c r="CL308" s="9">
        <v>0</v>
      </c>
      <c r="CM308" s="9">
        <v>0</v>
      </c>
      <c r="CN308" s="9">
        <v>0</v>
      </c>
      <c r="CO308" s="9">
        <v>0</v>
      </c>
      <c r="CP308" s="9">
        <v>0</v>
      </c>
      <c r="CQ308" s="9">
        <v>0</v>
      </c>
      <c r="CR308" s="9">
        <v>1</v>
      </c>
      <c r="CS308" s="9">
        <v>1</v>
      </c>
      <c r="CT308" s="9">
        <v>1</v>
      </c>
      <c r="CU308" s="9">
        <v>0</v>
      </c>
      <c r="CV308" s="9">
        <v>0</v>
      </c>
      <c r="CW308" s="9">
        <v>0</v>
      </c>
      <c r="CX308" s="9">
        <v>0</v>
      </c>
      <c r="CY308" s="9">
        <v>0</v>
      </c>
      <c r="CZ308" s="9">
        <v>0</v>
      </c>
      <c r="DA308" s="9">
        <v>1</v>
      </c>
      <c r="DB308" s="9">
        <v>0</v>
      </c>
      <c r="DC308" s="9">
        <v>0</v>
      </c>
      <c r="DD308" s="9">
        <v>0</v>
      </c>
      <c r="DE308" s="9">
        <v>0</v>
      </c>
      <c r="DF308" s="9">
        <v>0</v>
      </c>
      <c r="DG308" s="9">
        <v>0</v>
      </c>
      <c r="DH308" s="9">
        <v>0</v>
      </c>
      <c r="DI308" s="9">
        <v>0</v>
      </c>
      <c r="DJ308" s="9">
        <v>0</v>
      </c>
      <c r="DK308" s="9">
        <v>0</v>
      </c>
      <c r="DL308" s="9">
        <v>0</v>
      </c>
      <c r="DM308" s="9">
        <v>0</v>
      </c>
      <c r="DN308" s="9">
        <v>0</v>
      </c>
      <c r="DO308" s="9">
        <v>0</v>
      </c>
      <c r="DP308" s="9">
        <v>0</v>
      </c>
      <c r="DQ308" s="9">
        <v>0</v>
      </c>
      <c r="DR308" s="9">
        <v>0</v>
      </c>
      <c r="DS308" s="9">
        <v>0</v>
      </c>
      <c r="DT308" s="9">
        <v>0</v>
      </c>
      <c r="DU308" s="9">
        <v>0</v>
      </c>
      <c r="DV308" s="9">
        <v>0</v>
      </c>
      <c r="DW308" s="9">
        <v>0</v>
      </c>
      <c r="DX308" s="9">
        <v>0</v>
      </c>
      <c r="DY308" s="9">
        <v>0</v>
      </c>
      <c r="DZ308" s="9">
        <v>0</v>
      </c>
      <c r="EA308" s="9">
        <v>0</v>
      </c>
      <c r="EB308" s="9">
        <v>0</v>
      </c>
      <c r="EC308" s="9">
        <v>0</v>
      </c>
      <c r="ED308" s="9">
        <v>0</v>
      </c>
      <c r="EE308" s="9">
        <v>0</v>
      </c>
      <c r="EF308" s="9">
        <v>0</v>
      </c>
      <c r="EG308" s="9">
        <v>0</v>
      </c>
      <c r="EH308" s="9">
        <v>0</v>
      </c>
      <c r="EI308" s="10">
        <v>0</v>
      </c>
    </row>
    <row r="309" spans="1:139" x14ac:dyDescent="0.35">
      <c r="A309" s="8" t="s">
        <v>494</v>
      </c>
      <c r="B309" s="9" t="s">
        <v>527</v>
      </c>
      <c r="C309" s="9" t="s">
        <v>528</v>
      </c>
      <c r="D309" s="9">
        <f t="shared" si="4"/>
        <v>108</v>
      </c>
      <c r="E309" s="9">
        <v>0</v>
      </c>
      <c r="F309" s="9">
        <v>0</v>
      </c>
      <c r="G309" s="9">
        <v>0</v>
      </c>
      <c r="H309" s="9">
        <v>0</v>
      </c>
      <c r="I309" s="9">
        <v>0</v>
      </c>
      <c r="J309" s="9">
        <v>0</v>
      </c>
      <c r="K309" s="9">
        <v>1</v>
      </c>
      <c r="L309" s="9">
        <v>0</v>
      </c>
      <c r="M309" s="9">
        <v>0</v>
      </c>
      <c r="N309" s="9">
        <v>1</v>
      </c>
      <c r="O309" s="9">
        <v>0</v>
      </c>
      <c r="P309" s="9">
        <v>0</v>
      </c>
      <c r="Q309" s="9">
        <v>0</v>
      </c>
      <c r="R309" s="9">
        <v>0</v>
      </c>
      <c r="S309" s="9">
        <v>0</v>
      </c>
      <c r="T309" s="9">
        <v>1</v>
      </c>
      <c r="U309" s="9">
        <v>0</v>
      </c>
      <c r="V309" s="9">
        <v>1</v>
      </c>
      <c r="W309" s="9">
        <v>0</v>
      </c>
      <c r="X309" s="9">
        <v>2</v>
      </c>
      <c r="Y309" s="9">
        <v>2</v>
      </c>
      <c r="Z309" s="9">
        <v>2</v>
      </c>
      <c r="AA309" s="9">
        <v>0</v>
      </c>
      <c r="AB309" s="9">
        <v>1</v>
      </c>
      <c r="AC309" s="9">
        <v>2</v>
      </c>
      <c r="AD309" s="9">
        <v>2</v>
      </c>
      <c r="AE309" s="9">
        <v>3</v>
      </c>
      <c r="AF309" s="9">
        <v>0</v>
      </c>
      <c r="AG309" s="9">
        <v>5</v>
      </c>
      <c r="AH309" s="9">
        <v>3</v>
      </c>
      <c r="AI309" s="9">
        <v>2</v>
      </c>
      <c r="AJ309" s="9">
        <v>1</v>
      </c>
      <c r="AK309" s="9">
        <v>2</v>
      </c>
      <c r="AL309" s="9">
        <v>5</v>
      </c>
      <c r="AM309" s="9">
        <v>3</v>
      </c>
      <c r="AN309" s="9">
        <v>1</v>
      </c>
      <c r="AO309" s="9">
        <v>1</v>
      </c>
      <c r="AP309" s="9">
        <v>2</v>
      </c>
      <c r="AQ309" s="9">
        <v>0</v>
      </c>
      <c r="AR309" s="9">
        <v>2</v>
      </c>
      <c r="AS309" s="9">
        <v>1</v>
      </c>
      <c r="AT309" s="9">
        <v>3</v>
      </c>
      <c r="AU309" s="9">
        <v>2</v>
      </c>
      <c r="AV309" s="9">
        <v>0</v>
      </c>
      <c r="AW309" s="9">
        <v>1</v>
      </c>
      <c r="AX309" s="9">
        <v>1</v>
      </c>
      <c r="AY309" s="9">
        <v>4</v>
      </c>
      <c r="AZ309" s="9">
        <v>0</v>
      </c>
      <c r="BA309" s="9">
        <v>0</v>
      </c>
      <c r="BB309" s="9">
        <v>1</v>
      </c>
      <c r="BC309" s="9">
        <v>0</v>
      </c>
      <c r="BD309" s="9">
        <v>1</v>
      </c>
      <c r="BE309" s="9">
        <v>2</v>
      </c>
      <c r="BF309" s="9">
        <v>1</v>
      </c>
      <c r="BG309" s="9">
        <v>2</v>
      </c>
      <c r="BH309" s="9">
        <v>0</v>
      </c>
      <c r="BI309" s="9">
        <v>1</v>
      </c>
      <c r="BJ309" s="9">
        <v>1</v>
      </c>
      <c r="BK309" s="9">
        <v>1</v>
      </c>
      <c r="BL309" s="9">
        <v>2</v>
      </c>
      <c r="BM309" s="9">
        <v>2</v>
      </c>
      <c r="BN309" s="9">
        <v>3</v>
      </c>
      <c r="BO309" s="9">
        <v>0</v>
      </c>
      <c r="BP309" s="9">
        <v>1</v>
      </c>
      <c r="BQ309" s="9">
        <v>2</v>
      </c>
      <c r="BR309" s="9">
        <v>1</v>
      </c>
      <c r="BS309" s="9">
        <v>0</v>
      </c>
      <c r="BT309" s="9">
        <v>2</v>
      </c>
      <c r="BU309" s="9">
        <v>2</v>
      </c>
      <c r="BV309" s="9">
        <v>2</v>
      </c>
      <c r="BW309" s="9">
        <v>4</v>
      </c>
      <c r="BX309" s="9">
        <v>1</v>
      </c>
      <c r="BY309" s="9">
        <v>1</v>
      </c>
      <c r="BZ309" s="9">
        <v>0</v>
      </c>
      <c r="CA309" s="9">
        <v>2</v>
      </c>
      <c r="CB309" s="9">
        <v>0</v>
      </c>
      <c r="CC309" s="9">
        <v>0</v>
      </c>
      <c r="CD309" s="9">
        <v>0</v>
      </c>
      <c r="CE309" s="9">
        <v>3</v>
      </c>
      <c r="CF309" s="9">
        <v>2</v>
      </c>
      <c r="CG309" s="9">
        <v>0</v>
      </c>
      <c r="CH309" s="9">
        <v>0</v>
      </c>
      <c r="CI309" s="9">
        <v>0</v>
      </c>
      <c r="CJ309" s="9">
        <v>0</v>
      </c>
      <c r="CK309" s="9">
        <v>0</v>
      </c>
      <c r="CL309" s="9">
        <v>0</v>
      </c>
      <c r="CM309" s="9">
        <v>0</v>
      </c>
      <c r="CN309" s="9">
        <v>0</v>
      </c>
      <c r="CO309" s="9">
        <v>0</v>
      </c>
      <c r="CP309" s="9">
        <v>0</v>
      </c>
      <c r="CQ309" s="9">
        <v>0</v>
      </c>
      <c r="CR309" s="9">
        <v>6</v>
      </c>
      <c r="CS309" s="9">
        <v>0</v>
      </c>
      <c r="CT309" s="9">
        <v>0</v>
      </c>
      <c r="CU309" s="9">
        <v>0</v>
      </c>
      <c r="CV309" s="9">
        <v>0</v>
      </c>
      <c r="CW309" s="9">
        <v>0</v>
      </c>
      <c r="CX309" s="9">
        <v>0</v>
      </c>
      <c r="CY309" s="9">
        <v>0</v>
      </c>
      <c r="CZ309" s="9">
        <v>0</v>
      </c>
      <c r="DA309" s="9">
        <v>0</v>
      </c>
      <c r="DB309" s="9">
        <v>1</v>
      </c>
      <c r="DC309" s="9">
        <v>1</v>
      </c>
      <c r="DD309" s="9">
        <v>0</v>
      </c>
      <c r="DE309" s="9">
        <v>0</v>
      </c>
      <c r="DF309" s="9">
        <v>0</v>
      </c>
      <c r="DG309" s="9">
        <v>0</v>
      </c>
      <c r="DH309" s="9">
        <v>2</v>
      </c>
      <c r="DI309" s="9">
        <v>0</v>
      </c>
      <c r="DJ309" s="9">
        <v>0</v>
      </c>
      <c r="DK309" s="9">
        <v>0</v>
      </c>
      <c r="DL309" s="9">
        <v>0</v>
      </c>
      <c r="DM309" s="9">
        <v>0</v>
      </c>
      <c r="DN309" s="9">
        <v>0</v>
      </c>
      <c r="DO309" s="9">
        <v>0</v>
      </c>
      <c r="DP309" s="9">
        <v>0</v>
      </c>
      <c r="DQ309" s="9">
        <v>0</v>
      </c>
      <c r="DR309" s="9">
        <v>0</v>
      </c>
      <c r="DS309" s="9">
        <v>0</v>
      </c>
      <c r="DT309" s="9">
        <v>0</v>
      </c>
      <c r="DU309" s="9">
        <v>1</v>
      </c>
      <c r="DV309" s="9">
        <v>0</v>
      </c>
      <c r="DW309" s="9">
        <v>0</v>
      </c>
      <c r="DX309" s="9">
        <v>0</v>
      </c>
      <c r="DY309" s="9">
        <v>0</v>
      </c>
      <c r="DZ309" s="9">
        <v>0</v>
      </c>
      <c r="EA309" s="9">
        <v>0</v>
      </c>
      <c r="EB309" s="9">
        <v>0</v>
      </c>
      <c r="EC309" s="9">
        <v>0</v>
      </c>
      <c r="ED309" s="9">
        <v>0</v>
      </c>
      <c r="EE309" s="9">
        <v>0</v>
      </c>
      <c r="EF309" s="9">
        <v>0</v>
      </c>
      <c r="EG309" s="9">
        <v>0</v>
      </c>
      <c r="EH309" s="9">
        <v>0</v>
      </c>
      <c r="EI309" s="10">
        <v>0</v>
      </c>
    </row>
    <row r="310" spans="1:139" x14ac:dyDescent="0.35">
      <c r="A310" s="8" t="s">
        <v>494</v>
      </c>
      <c r="B310" s="9" t="s">
        <v>529</v>
      </c>
      <c r="C310" s="9" t="s">
        <v>530</v>
      </c>
      <c r="D310" s="9">
        <f t="shared" si="4"/>
        <v>30</v>
      </c>
      <c r="E310" s="9">
        <v>0</v>
      </c>
      <c r="F310" s="9">
        <v>0</v>
      </c>
      <c r="G310" s="9">
        <v>0</v>
      </c>
      <c r="H310" s="9">
        <v>0</v>
      </c>
      <c r="I310" s="9">
        <v>0</v>
      </c>
      <c r="J310" s="9">
        <v>0</v>
      </c>
      <c r="K310" s="9">
        <v>2</v>
      </c>
      <c r="L310" s="9">
        <v>0</v>
      </c>
      <c r="M310" s="9">
        <v>0</v>
      </c>
      <c r="N310" s="9">
        <v>0</v>
      </c>
      <c r="O310" s="9">
        <v>0</v>
      </c>
      <c r="P310" s="9">
        <v>0</v>
      </c>
      <c r="Q310" s="9">
        <v>0</v>
      </c>
      <c r="R310" s="9">
        <v>0</v>
      </c>
      <c r="S310" s="9">
        <v>0</v>
      </c>
      <c r="T310" s="9">
        <v>6</v>
      </c>
      <c r="U310" s="9">
        <v>0</v>
      </c>
      <c r="V310" s="9">
        <v>0</v>
      </c>
      <c r="W310" s="9">
        <v>0</v>
      </c>
      <c r="X310" s="9">
        <v>1</v>
      </c>
      <c r="Y310" s="9">
        <v>0</v>
      </c>
      <c r="Z310" s="9">
        <v>0</v>
      </c>
      <c r="AA310" s="9">
        <v>0</v>
      </c>
      <c r="AB310" s="9">
        <v>1</v>
      </c>
      <c r="AC310" s="9">
        <v>0</v>
      </c>
      <c r="AD310" s="9">
        <v>1</v>
      </c>
      <c r="AE310" s="9">
        <v>0</v>
      </c>
      <c r="AF310" s="9">
        <v>0</v>
      </c>
      <c r="AG310" s="9">
        <v>0</v>
      </c>
      <c r="AH310" s="9">
        <v>0</v>
      </c>
      <c r="AI310" s="9">
        <v>2</v>
      </c>
      <c r="AJ310" s="9">
        <v>0</v>
      </c>
      <c r="AK310" s="9">
        <v>1</v>
      </c>
      <c r="AL310" s="9">
        <v>2</v>
      </c>
      <c r="AM310" s="9">
        <v>0</v>
      </c>
      <c r="AN310" s="9">
        <v>0</v>
      </c>
      <c r="AO310" s="9">
        <v>0</v>
      </c>
      <c r="AP310" s="9">
        <v>0</v>
      </c>
      <c r="AQ310" s="9">
        <v>0</v>
      </c>
      <c r="AR310" s="9">
        <v>0</v>
      </c>
      <c r="AS310" s="9">
        <v>0</v>
      </c>
      <c r="AT310" s="9">
        <v>1</v>
      </c>
      <c r="AU310" s="9">
        <v>3</v>
      </c>
      <c r="AV310" s="9">
        <v>0</v>
      </c>
      <c r="AW310" s="9">
        <v>0</v>
      </c>
      <c r="AX310" s="9">
        <v>0</v>
      </c>
      <c r="AY310" s="9">
        <v>0</v>
      </c>
      <c r="AZ310" s="9">
        <v>1</v>
      </c>
      <c r="BA310" s="9">
        <v>0</v>
      </c>
      <c r="BB310" s="9">
        <v>0</v>
      </c>
      <c r="BC310" s="9">
        <v>0</v>
      </c>
      <c r="BD310" s="9">
        <v>0</v>
      </c>
      <c r="BE310" s="9">
        <v>0</v>
      </c>
      <c r="BF310" s="9">
        <v>0</v>
      </c>
      <c r="BG310" s="9">
        <v>0</v>
      </c>
      <c r="BH310" s="9">
        <v>0</v>
      </c>
      <c r="BI310" s="9">
        <v>1</v>
      </c>
      <c r="BJ310" s="9">
        <v>0</v>
      </c>
      <c r="BK310" s="9">
        <v>0</v>
      </c>
      <c r="BL310" s="9">
        <v>0</v>
      </c>
      <c r="BM310" s="9">
        <v>1</v>
      </c>
      <c r="BN310" s="9">
        <v>0</v>
      </c>
      <c r="BO310" s="9">
        <v>2</v>
      </c>
      <c r="BP310" s="9">
        <v>1</v>
      </c>
      <c r="BQ310" s="9">
        <v>0</v>
      </c>
      <c r="BR310" s="9">
        <v>1</v>
      </c>
      <c r="BS310" s="9">
        <v>0</v>
      </c>
      <c r="BT310" s="9">
        <v>0</v>
      </c>
      <c r="BU310" s="9">
        <v>0</v>
      </c>
      <c r="BV310" s="9">
        <v>0</v>
      </c>
      <c r="BW310" s="9">
        <v>0</v>
      </c>
      <c r="BX310" s="9">
        <v>0</v>
      </c>
      <c r="BY310" s="9">
        <v>0</v>
      </c>
      <c r="BZ310" s="9">
        <v>0</v>
      </c>
      <c r="CA310" s="9">
        <v>0</v>
      </c>
      <c r="CB310" s="9">
        <v>0</v>
      </c>
      <c r="CC310" s="9">
        <v>0</v>
      </c>
      <c r="CD310" s="9">
        <v>0</v>
      </c>
      <c r="CE310" s="9">
        <v>0</v>
      </c>
      <c r="CF310" s="9">
        <v>0</v>
      </c>
      <c r="CG310" s="9">
        <v>0</v>
      </c>
      <c r="CH310" s="9">
        <v>0</v>
      </c>
      <c r="CI310" s="9">
        <v>0</v>
      </c>
      <c r="CJ310" s="9">
        <v>0</v>
      </c>
      <c r="CK310" s="9">
        <v>0</v>
      </c>
      <c r="CL310" s="9">
        <v>1</v>
      </c>
      <c r="CM310" s="9">
        <v>0</v>
      </c>
      <c r="CN310" s="9">
        <v>0</v>
      </c>
      <c r="CO310" s="9">
        <v>0</v>
      </c>
      <c r="CP310" s="9">
        <v>2</v>
      </c>
      <c r="CQ310" s="9">
        <v>0</v>
      </c>
      <c r="CR310" s="9">
        <v>0</v>
      </c>
      <c r="CS310" s="9">
        <v>0</v>
      </c>
      <c r="CT310" s="9">
        <v>0</v>
      </c>
      <c r="CU310" s="9">
        <v>0</v>
      </c>
      <c r="CV310" s="9">
        <v>0</v>
      </c>
      <c r="CW310" s="9">
        <v>0</v>
      </c>
      <c r="CX310" s="9">
        <v>0</v>
      </c>
      <c r="CY310" s="9">
        <v>0</v>
      </c>
      <c r="CZ310" s="9">
        <v>0</v>
      </c>
      <c r="DA310" s="9">
        <v>0</v>
      </c>
      <c r="DB310" s="9">
        <v>0</v>
      </c>
      <c r="DC310" s="9">
        <v>0</v>
      </c>
      <c r="DD310" s="9">
        <v>0</v>
      </c>
      <c r="DE310" s="9">
        <v>0</v>
      </c>
      <c r="DF310" s="9">
        <v>0</v>
      </c>
      <c r="DG310" s="9">
        <v>0</v>
      </c>
      <c r="DH310" s="9">
        <v>0</v>
      </c>
      <c r="DI310" s="9">
        <v>0</v>
      </c>
      <c r="DJ310" s="9">
        <v>0</v>
      </c>
      <c r="DK310" s="9">
        <v>0</v>
      </c>
      <c r="DL310" s="9">
        <v>0</v>
      </c>
      <c r="DM310" s="9">
        <v>0</v>
      </c>
      <c r="DN310" s="9">
        <v>0</v>
      </c>
      <c r="DO310" s="9">
        <v>0</v>
      </c>
      <c r="DP310" s="9">
        <v>0</v>
      </c>
      <c r="DQ310" s="9">
        <v>0</v>
      </c>
      <c r="DR310" s="9">
        <v>0</v>
      </c>
      <c r="DS310" s="9">
        <v>0</v>
      </c>
      <c r="DT310" s="9">
        <v>0</v>
      </c>
      <c r="DU310" s="9">
        <v>0</v>
      </c>
      <c r="DV310" s="9">
        <v>0</v>
      </c>
      <c r="DW310" s="9">
        <v>0</v>
      </c>
      <c r="DX310" s="9">
        <v>0</v>
      </c>
      <c r="DY310" s="9">
        <v>0</v>
      </c>
      <c r="DZ310" s="9">
        <v>0</v>
      </c>
      <c r="EA310" s="9">
        <v>0</v>
      </c>
      <c r="EB310" s="9">
        <v>0</v>
      </c>
      <c r="EC310" s="9">
        <v>0</v>
      </c>
      <c r="ED310" s="9">
        <v>0</v>
      </c>
      <c r="EE310" s="9">
        <v>0</v>
      </c>
      <c r="EF310" s="9">
        <v>0</v>
      </c>
      <c r="EG310" s="9">
        <v>0</v>
      </c>
      <c r="EH310" s="9">
        <v>0</v>
      </c>
      <c r="EI310" s="10">
        <v>0</v>
      </c>
    </row>
    <row r="311" spans="1:139" x14ac:dyDescent="0.35">
      <c r="A311" s="8" t="s">
        <v>494</v>
      </c>
      <c r="B311" s="9" t="s">
        <v>533</v>
      </c>
      <c r="C311" s="9" t="s">
        <v>534</v>
      </c>
      <c r="D311" s="9">
        <f t="shared" si="4"/>
        <v>308</v>
      </c>
      <c r="E311" s="9">
        <v>0</v>
      </c>
      <c r="F311" s="9">
        <v>0</v>
      </c>
      <c r="G311" s="9">
        <v>0</v>
      </c>
      <c r="H311" s="9">
        <v>1</v>
      </c>
      <c r="I311" s="9">
        <v>2</v>
      </c>
      <c r="J311" s="9">
        <v>2</v>
      </c>
      <c r="K311" s="9">
        <v>6</v>
      </c>
      <c r="L311" s="9">
        <v>8</v>
      </c>
      <c r="M311" s="9">
        <v>6</v>
      </c>
      <c r="N311" s="9">
        <v>9</v>
      </c>
      <c r="O311" s="9">
        <v>6</v>
      </c>
      <c r="P311" s="9">
        <v>3</v>
      </c>
      <c r="Q311" s="9">
        <v>5</v>
      </c>
      <c r="R311" s="9">
        <v>7</v>
      </c>
      <c r="S311" s="9">
        <v>1</v>
      </c>
      <c r="T311" s="9">
        <v>8</v>
      </c>
      <c r="U311" s="9">
        <v>6</v>
      </c>
      <c r="V311" s="9">
        <v>2</v>
      </c>
      <c r="W311" s="9">
        <v>7</v>
      </c>
      <c r="X311" s="9">
        <v>10</v>
      </c>
      <c r="Y311" s="9">
        <v>4</v>
      </c>
      <c r="Z311" s="9">
        <v>3</v>
      </c>
      <c r="AA311" s="9">
        <v>5</v>
      </c>
      <c r="AB311" s="9">
        <v>8</v>
      </c>
      <c r="AC311" s="9">
        <v>10</v>
      </c>
      <c r="AD311" s="9">
        <v>6</v>
      </c>
      <c r="AE311" s="9">
        <v>3</v>
      </c>
      <c r="AF311" s="9">
        <v>1</v>
      </c>
      <c r="AG311" s="9">
        <v>3</v>
      </c>
      <c r="AH311" s="9">
        <v>0</v>
      </c>
      <c r="AI311" s="9">
        <v>0</v>
      </c>
      <c r="AJ311" s="9">
        <v>0</v>
      </c>
      <c r="AK311" s="9">
        <v>3</v>
      </c>
      <c r="AL311" s="9">
        <v>1</v>
      </c>
      <c r="AM311" s="9">
        <v>1</v>
      </c>
      <c r="AN311" s="9">
        <v>5</v>
      </c>
      <c r="AO311" s="9">
        <v>6</v>
      </c>
      <c r="AP311" s="9">
        <v>0</v>
      </c>
      <c r="AQ311" s="9">
        <v>0</v>
      </c>
      <c r="AR311" s="9">
        <v>0</v>
      </c>
      <c r="AS311" s="9">
        <v>1</v>
      </c>
      <c r="AT311" s="9">
        <v>1</v>
      </c>
      <c r="AU311" s="9">
        <v>4</v>
      </c>
      <c r="AV311" s="9">
        <v>2</v>
      </c>
      <c r="AW311" s="9">
        <v>3</v>
      </c>
      <c r="AX311" s="9">
        <v>2</v>
      </c>
      <c r="AY311" s="9">
        <v>4</v>
      </c>
      <c r="AZ311" s="9">
        <v>3</v>
      </c>
      <c r="BA311" s="9">
        <v>3</v>
      </c>
      <c r="BB311" s="9">
        <v>1</v>
      </c>
      <c r="BC311" s="9">
        <v>2</v>
      </c>
      <c r="BD311" s="9">
        <v>5</v>
      </c>
      <c r="BE311" s="9">
        <v>0</v>
      </c>
      <c r="BF311" s="9">
        <v>3</v>
      </c>
      <c r="BG311" s="9">
        <v>1</v>
      </c>
      <c r="BH311" s="9">
        <v>3</v>
      </c>
      <c r="BI311" s="9">
        <v>2</v>
      </c>
      <c r="BJ311" s="9">
        <v>3</v>
      </c>
      <c r="BK311" s="9">
        <v>0</v>
      </c>
      <c r="BL311" s="9">
        <v>1</v>
      </c>
      <c r="BM311" s="9">
        <v>1</v>
      </c>
      <c r="BN311" s="9">
        <v>4</v>
      </c>
      <c r="BO311" s="9">
        <v>3</v>
      </c>
      <c r="BP311" s="9">
        <v>3</v>
      </c>
      <c r="BQ311" s="9">
        <v>3</v>
      </c>
      <c r="BR311" s="9">
        <v>0</v>
      </c>
      <c r="BS311" s="9">
        <v>0</v>
      </c>
      <c r="BT311" s="9">
        <v>0</v>
      </c>
      <c r="BU311" s="9">
        <v>3</v>
      </c>
      <c r="BV311" s="9">
        <v>3</v>
      </c>
      <c r="BW311" s="9">
        <v>3</v>
      </c>
      <c r="BX311" s="9">
        <v>3</v>
      </c>
      <c r="BY311" s="9">
        <v>1</v>
      </c>
      <c r="BZ311" s="9">
        <v>2</v>
      </c>
      <c r="CA311" s="9">
        <v>2</v>
      </c>
      <c r="CB311" s="9">
        <v>3</v>
      </c>
      <c r="CC311" s="9">
        <v>3</v>
      </c>
      <c r="CD311" s="9">
        <v>3</v>
      </c>
      <c r="CE311" s="9">
        <v>2</v>
      </c>
      <c r="CF311" s="9">
        <v>3</v>
      </c>
      <c r="CG311" s="9">
        <v>1</v>
      </c>
      <c r="CH311" s="9">
        <v>3</v>
      </c>
      <c r="CI311" s="9">
        <v>6</v>
      </c>
      <c r="CJ311" s="9">
        <v>5</v>
      </c>
      <c r="CK311" s="9">
        <v>2</v>
      </c>
      <c r="CL311" s="9">
        <v>1</v>
      </c>
      <c r="CM311" s="9">
        <v>2</v>
      </c>
      <c r="CN311" s="9">
        <v>0</v>
      </c>
      <c r="CO311" s="9">
        <v>1</v>
      </c>
      <c r="CP311" s="9">
        <v>5</v>
      </c>
      <c r="CQ311" s="9">
        <v>2</v>
      </c>
      <c r="CR311" s="9">
        <v>1</v>
      </c>
      <c r="CS311" s="9">
        <v>2</v>
      </c>
      <c r="CT311" s="9">
        <v>1</v>
      </c>
      <c r="CU311" s="9">
        <v>0</v>
      </c>
      <c r="CV311" s="9">
        <v>1</v>
      </c>
      <c r="CW311" s="9">
        <v>1</v>
      </c>
      <c r="CX311" s="9">
        <v>1</v>
      </c>
      <c r="CY311" s="9">
        <v>3</v>
      </c>
      <c r="CZ311" s="9">
        <v>2</v>
      </c>
      <c r="DA311" s="9">
        <v>2</v>
      </c>
      <c r="DB311" s="9">
        <v>0</v>
      </c>
      <c r="DC311" s="9">
        <v>1</v>
      </c>
      <c r="DD311" s="9">
        <v>2</v>
      </c>
      <c r="DE311" s="9">
        <v>1</v>
      </c>
      <c r="DF311" s="9">
        <v>1</v>
      </c>
      <c r="DG311" s="9">
        <v>3</v>
      </c>
      <c r="DH311" s="9">
        <v>3</v>
      </c>
      <c r="DI311" s="9">
        <v>2</v>
      </c>
      <c r="DJ311" s="9">
        <v>1</v>
      </c>
      <c r="DK311" s="9">
        <v>0</v>
      </c>
      <c r="DL311" s="9">
        <v>0</v>
      </c>
      <c r="DM311" s="9">
        <v>2</v>
      </c>
      <c r="DN311" s="9">
        <v>2</v>
      </c>
      <c r="DO311" s="9">
        <v>3</v>
      </c>
      <c r="DP311" s="9">
        <v>0</v>
      </c>
      <c r="DQ311" s="9">
        <v>3</v>
      </c>
      <c r="DR311" s="9">
        <v>1</v>
      </c>
      <c r="DS311" s="9">
        <v>0</v>
      </c>
      <c r="DT311" s="9">
        <v>0</v>
      </c>
      <c r="DU311" s="9">
        <v>0</v>
      </c>
      <c r="DV311" s="9">
        <v>0</v>
      </c>
      <c r="DW311" s="9">
        <v>0</v>
      </c>
      <c r="DX311" s="9">
        <v>0</v>
      </c>
      <c r="DY311" s="9">
        <v>0</v>
      </c>
      <c r="DZ311" s="9">
        <v>0</v>
      </c>
      <c r="EA311" s="9">
        <v>0</v>
      </c>
      <c r="EB311" s="9">
        <v>0</v>
      </c>
      <c r="EC311" s="9">
        <v>0</v>
      </c>
      <c r="ED311" s="9">
        <v>0</v>
      </c>
      <c r="EE311" s="9">
        <v>1</v>
      </c>
      <c r="EF311" s="9">
        <v>1</v>
      </c>
      <c r="EG311" s="9">
        <v>0</v>
      </c>
      <c r="EH311" s="9">
        <v>1</v>
      </c>
      <c r="EI311" s="10">
        <v>1</v>
      </c>
    </row>
    <row r="312" spans="1:139" x14ac:dyDescent="0.35">
      <c r="A312" s="8" t="s">
        <v>494</v>
      </c>
      <c r="B312" s="9" t="s">
        <v>535</v>
      </c>
      <c r="C312" s="9" t="s">
        <v>536</v>
      </c>
      <c r="D312" s="9">
        <f t="shared" si="4"/>
        <v>67</v>
      </c>
      <c r="E312" s="9">
        <v>0</v>
      </c>
      <c r="F312" s="9">
        <v>0</v>
      </c>
      <c r="G312" s="9">
        <v>0</v>
      </c>
      <c r="H312" s="9">
        <v>0</v>
      </c>
      <c r="I312" s="9">
        <v>0</v>
      </c>
      <c r="J312" s="9">
        <v>0</v>
      </c>
      <c r="K312" s="9">
        <v>0</v>
      </c>
      <c r="L312" s="9">
        <v>0</v>
      </c>
      <c r="M312" s="9">
        <v>0</v>
      </c>
      <c r="N312" s="9">
        <v>0</v>
      </c>
      <c r="O312" s="9">
        <v>0</v>
      </c>
      <c r="P312" s="9">
        <v>0</v>
      </c>
      <c r="Q312" s="9">
        <v>0</v>
      </c>
      <c r="R312" s="9">
        <v>0</v>
      </c>
      <c r="S312" s="9">
        <v>0</v>
      </c>
      <c r="T312" s="9">
        <v>0</v>
      </c>
      <c r="U312" s="9">
        <v>0</v>
      </c>
      <c r="V312" s="9">
        <v>0</v>
      </c>
      <c r="W312" s="9">
        <v>0</v>
      </c>
      <c r="X312" s="9">
        <v>0</v>
      </c>
      <c r="Y312" s="9">
        <v>0</v>
      </c>
      <c r="Z312" s="9">
        <v>0</v>
      </c>
      <c r="AA312" s="9">
        <v>3</v>
      </c>
      <c r="AB312" s="9">
        <v>6</v>
      </c>
      <c r="AC312" s="9">
        <v>1</v>
      </c>
      <c r="AD312" s="9">
        <v>1</v>
      </c>
      <c r="AE312" s="9">
        <v>1</v>
      </c>
      <c r="AF312" s="9">
        <v>0</v>
      </c>
      <c r="AG312" s="9">
        <v>0</v>
      </c>
      <c r="AH312" s="9">
        <v>5</v>
      </c>
      <c r="AI312" s="9">
        <v>5</v>
      </c>
      <c r="AJ312" s="9">
        <v>0</v>
      </c>
      <c r="AK312" s="9">
        <v>0</v>
      </c>
      <c r="AL312" s="9">
        <v>0</v>
      </c>
      <c r="AM312" s="9">
        <v>0</v>
      </c>
      <c r="AN312" s="9">
        <v>2</v>
      </c>
      <c r="AO312" s="9">
        <v>4</v>
      </c>
      <c r="AP312" s="9">
        <v>3</v>
      </c>
      <c r="AQ312" s="9">
        <v>1</v>
      </c>
      <c r="AR312" s="9">
        <v>1</v>
      </c>
      <c r="AS312" s="9">
        <v>1</v>
      </c>
      <c r="AT312" s="9">
        <v>2</v>
      </c>
      <c r="AU312" s="9">
        <v>1</v>
      </c>
      <c r="AV312" s="9">
        <v>1</v>
      </c>
      <c r="AW312" s="9">
        <v>1</v>
      </c>
      <c r="AX312" s="9">
        <v>1</v>
      </c>
      <c r="AY312" s="9">
        <v>1</v>
      </c>
      <c r="AZ312" s="9">
        <v>1</v>
      </c>
      <c r="BA312" s="9">
        <v>1</v>
      </c>
      <c r="BB312" s="9">
        <v>0</v>
      </c>
      <c r="BC312" s="9">
        <v>1</v>
      </c>
      <c r="BD312" s="9">
        <v>3</v>
      </c>
      <c r="BE312" s="9">
        <v>3</v>
      </c>
      <c r="BF312" s="9">
        <v>0</v>
      </c>
      <c r="BG312" s="9">
        <v>1</v>
      </c>
      <c r="BH312" s="9">
        <v>3</v>
      </c>
      <c r="BI312" s="9">
        <v>0</v>
      </c>
      <c r="BJ312" s="9">
        <v>0</v>
      </c>
      <c r="BK312" s="9">
        <v>1</v>
      </c>
      <c r="BL312" s="9">
        <v>0</v>
      </c>
      <c r="BM312" s="9">
        <v>0</v>
      </c>
      <c r="BN312" s="9">
        <v>0</v>
      </c>
      <c r="BO312" s="9">
        <v>3</v>
      </c>
      <c r="BP312" s="9">
        <v>0</v>
      </c>
      <c r="BQ312" s="9">
        <v>0</v>
      </c>
      <c r="BR312" s="9">
        <v>0</v>
      </c>
      <c r="BS312" s="9">
        <v>0</v>
      </c>
      <c r="BT312" s="9">
        <v>2</v>
      </c>
      <c r="BU312" s="9">
        <v>0</v>
      </c>
      <c r="BV312" s="9">
        <v>0</v>
      </c>
      <c r="BW312" s="9">
        <v>0</v>
      </c>
      <c r="BX312" s="9">
        <v>0</v>
      </c>
      <c r="BY312" s="9">
        <v>0</v>
      </c>
      <c r="BZ312" s="9">
        <v>0</v>
      </c>
      <c r="CA312" s="9">
        <v>0</v>
      </c>
      <c r="CB312" s="9">
        <v>0</v>
      </c>
      <c r="CC312" s="9">
        <v>0</v>
      </c>
      <c r="CD312" s="9">
        <v>0</v>
      </c>
      <c r="CE312" s="9">
        <v>0</v>
      </c>
      <c r="CF312" s="9">
        <v>0</v>
      </c>
      <c r="CG312" s="9">
        <v>0</v>
      </c>
      <c r="CH312" s="9">
        <v>0</v>
      </c>
      <c r="CI312" s="9">
        <v>0</v>
      </c>
      <c r="CJ312" s="9">
        <v>7</v>
      </c>
      <c r="CK312" s="9">
        <v>0</v>
      </c>
      <c r="CL312" s="9">
        <v>0</v>
      </c>
      <c r="CM312" s="9">
        <v>0</v>
      </c>
      <c r="CN312" s="9">
        <v>0</v>
      </c>
      <c r="CO312" s="9">
        <v>0</v>
      </c>
      <c r="CP312" s="9">
        <v>0</v>
      </c>
      <c r="CQ312" s="9">
        <v>0</v>
      </c>
      <c r="CR312" s="9">
        <v>0</v>
      </c>
      <c r="CS312" s="9">
        <v>0</v>
      </c>
      <c r="CT312" s="9">
        <v>0</v>
      </c>
      <c r="CU312" s="9">
        <v>0</v>
      </c>
      <c r="CV312" s="9">
        <v>0</v>
      </c>
      <c r="CW312" s="9">
        <v>0</v>
      </c>
      <c r="CX312" s="9">
        <v>0</v>
      </c>
      <c r="CY312" s="9">
        <v>0</v>
      </c>
      <c r="CZ312" s="9">
        <v>0</v>
      </c>
      <c r="DA312" s="9">
        <v>0</v>
      </c>
      <c r="DB312" s="9">
        <v>0</v>
      </c>
      <c r="DC312" s="9">
        <v>0</v>
      </c>
      <c r="DD312" s="9">
        <v>0</v>
      </c>
      <c r="DE312" s="9">
        <v>0</v>
      </c>
      <c r="DF312" s="9">
        <v>0</v>
      </c>
      <c r="DG312" s="9">
        <v>0</v>
      </c>
      <c r="DH312" s="9">
        <v>0</v>
      </c>
      <c r="DI312" s="9">
        <v>0</v>
      </c>
      <c r="DJ312" s="9">
        <v>0</v>
      </c>
      <c r="DK312" s="9">
        <v>0</v>
      </c>
      <c r="DL312" s="9">
        <v>0</v>
      </c>
      <c r="DM312" s="9">
        <v>0</v>
      </c>
      <c r="DN312" s="9">
        <v>0</v>
      </c>
      <c r="DO312" s="9">
        <v>0</v>
      </c>
      <c r="DP312" s="9">
        <v>0</v>
      </c>
      <c r="DQ312" s="9">
        <v>0</v>
      </c>
      <c r="DR312" s="9">
        <v>0</v>
      </c>
      <c r="DS312" s="9">
        <v>0</v>
      </c>
      <c r="DT312" s="9">
        <v>0</v>
      </c>
      <c r="DU312" s="9">
        <v>0</v>
      </c>
      <c r="DV312" s="9">
        <v>0</v>
      </c>
      <c r="DW312" s="9">
        <v>0</v>
      </c>
      <c r="DX312" s="9">
        <v>0</v>
      </c>
      <c r="DY312" s="9">
        <v>0</v>
      </c>
      <c r="DZ312" s="9">
        <v>0</v>
      </c>
      <c r="EA312" s="9">
        <v>0</v>
      </c>
      <c r="EB312" s="9">
        <v>0</v>
      </c>
      <c r="EC312" s="9">
        <v>0</v>
      </c>
      <c r="ED312" s="9">
        <v>0</v>
      </c>
      <c r="EE312" s="9">
        <v>0</v>
      </c>
      <c r="EF312" s="9">
        <v>0</v>
      </c>
      <c r="EG312" s="9">
        <v>0</v>
      </c>
      <c r="EH312" s="9">
        <v>0</v>
      </c>
      <c r="EI312" s="10">
        <v>0</v>
      </c>
    </row>
    <row r="313" spans="1:139" x14ac:dyDescent="0.35">
      <c r="A313" s="8" t="s">
        <v>494</v>
      </c>
      <c r="B313" s="9" t="s">
        <v>537</v>
      </c>
      <c r="C313" s="9" t="s">
        <v>538</v>
      </c>
      <c r="D313" s="9">
        <f t="shared" si="4"/>
        <v>238</v>
      </c>
      <c r="E313" s="9">
        <v>0</v>
      </c>
      <c r="F313" s="9">
        <v>0</v>
      </c>
      <c r="G313" s="9">
        <v>0</v>
      </c>
      <c r="H313" s="9">
        <v>0</v>
      </c>
      <c r="I313" s="9">
        <v>1</v>
      </c>
      <c r="J313" s="9">
        <v>1</v>
      </c>
      <c r="K313" s="9">
        <v>1</v>
      </c>
      <c r="L313" s="9">
        <v>2</v>
      </c>
      <c r="M313" s="9">
        <v>8</v>
      </c>
      <c r="N313" s="9">
        <v>25</v>
      </c>
      <c r="O313" s="9">
        <v>2</v>
      </c>
      <c r="P313" s="9">
        <v>3</v>
      </c>
      <c r="Q313" s="9">
        <v>3</v>
      </c>
      <c r="R313" s="9">
        <v>7</v>
      </c>
      <c r="S313" s="9">
        <v>4</v>
      </c>
      <c r="T313" s="9">
        <v>3</v>
      </c>
      <c r="U313" s="9">
        <v>3</v>
      </c>
      <c r="V313" s="9">
        <v>5</v>
      </c>
      <c r="W313" s="9">
        <v>2</v>
      </c>
      <c r="X313" s="9">
        <v>3</v>
      </c>
      <c r="Y313" s="9">
        <v>4</v>
      </c>
      <c r="Z313" s="9">
        <v>10</v>
      </c>
      <c r="AA313" s="9">
        <v>6</v>
      </c>
      <c r="AB313" s="9">
        <v>4</v>
      </c>
      <c r="AC313" s="9">
        <v>4</v>
      </c>
      <c r="AD313" s="9">
        <v>3</v>
      </c>
      <c r="AE313" s="9">
        <v>2</v>
      </c>
      <c r="AF313" s="9">
        <v>3</v>
      </c>
      <c r="AG313" s="9">
        <v>7</v>
      </c>
      <c r="AH313" s="9">
        <v>2</v>
      </c>
      <c r="AI313" s="9">
        <v>4</v>
      </c>
      <c r="AJ313" s="9">
        <v>0</v>
      </c>
      <c r="AK313" s="9">
        <v>0</v>
      </c>
      <c r="AL313" s="9">
        <v>4</v>
      </c>
      <c r="AM313" s="9">
        <v>5</v>
      </c>
      <c r="AN313" s="9">
        <v>3</v>
      </c>
      <c r="AO313" s="9">
        <v>1</v>
      </c>
      <c r="AP313" s="9">
        <v>0</v>
      </c>
      <c r="AQ313" s="9">
        <v>4</v>
      </c>
      <c r="AR313" s="9">
        <v>2</v>
      </c>
      <c r="AS313" s="9">
        <v>2</v>
      </c>
      <c r="AT313" s="9">
        <v>0</v>
      </c>
      <c r="AU313" s="9">
        <v>2</v>
      </c>
      <c r="AV313" s="9">
        <v>3</v>
      </c>
      <c r="AW313" s="9">
        <v>2</v>
      </c>
      <c r="AX313" s="9">
        <v>3</v>
      </c>
      <c r="AY313" s="9">
        <v>1</v>
      </c>
      <c r="AZ313" s="9">
        <v>1</v>
      </c>
      <c r="BA313" s="9">
        <v>1</v>
      </c>
      <c r="BB313" s="9">
        <v>3</v>
      </c>
      <c r="BC313" s="9">
        <v>4</v>
      </c>
      <c r="BD313" s="9">
        <v>2</v>
      </c>
      <c r="BE313" s="9">
        <v>0</v>
      </c>
      <c r="BF313" s="9">
        <v>5</v>
      </c>
      <c r="BG313" s="9">
        <v>1</v>
      </c>
      <c r="BH313" s="9">
        <v>4</v>
      </c>
      <c r="BI313" s="9">
        <v>2</v>
      </c>
      <c r="BJ313" s="9">
        <v>4</v>
      </c>
      <c r="BK313" s="9">
        <v>5</v>
      </c>
      <c r="BL313" s="9">
        <v>0</v>
      </c>
      <c r="BM313" s="9">
        <v>3</v>
      </c>
      <c r="BN313" s="9">
        <v>6</v>
      </c>
      <c r="BO313" s="9">
        <v>2</v>
      </c>
      <c r="BP313" s="9">
        <v>2</v>
      </c>
      <c r="BQ313" s="9">
        <v>0</v>
      </c>
      <c r="BR313" s="9">
        <v>0</v>
      </c>
      <c r="BS313" s="9">
        <v>1</v>
      </c>
      <c r="BT313" s="9">
        <v>3</v>
      </c>
      <c r="BU313" s="9">
        <v>0</v>
      </c>
      <c r="BV313" s="9">
        <v>6</v>
      </c>
      <c r="BW313" s="9">
        <v>4</v>
      </c>
      <c r="BX313" s="9">
        <v>3</v>
      </c>
      <c r="BY313" s="9">
        <v>2</v>
      </c>
      <c r="BZ313" s="9">
        <v>0</v>
      </c>
      <c r="CA313" s="9">
        <v>2</v>
      </c>
      <c r="CB313" s="9">
        <v>4</v>
      </c>
      <c r="CC313" s="9">
        <v>2</v>
      </c>
      <c r="CD313" s="9">
        <v>3</v>
      </c>
      <c r="CE313" s="9">
        <v>1</v>
      </c>
      <c r="CF313" s="9">
        <v>1</v>
      </c>
      <c r="CG313" s="9">
        <v>1</v>
      </c>
      <c r="CH313" s="9">
        <v>0</v>
      </c>
      <c r="CI313" s="9">
        <v>0</v>
      </c>
      <c r="CJ313" s="9">
        <v>0</v>
      </c>
      <c r="CK313" s="9">
        <v>0</v>
      </c>
      <c r="CL313" s="9">
        <v>0</v>
      </c>
      <c r="CM313" s="9">
        <v>2</v>
      </c>
      <c r="CN313" s="9">
        <v>1</v>
      </c>
      <c r="CO313" s="9">
        <v>0</v>
      </c>
      <c r="CP313" s="9">
        <v>0</v>
      </c>
      <c r="CQ313" s="9">
        <v>1</v>
      </c>
      <c r="CR313" s="9">
        <v>0</v>
      </c>
      <c r="CS313" s="9">
        <v>1</v>
      </c>
      <c r="CT313" s="9">
        <v>0</v>
      </c>
      <c r="CU313" s="9">
        <v>0</v>
      </c>
      <c r="CV313" s="9">
        <v>0</v>
      </c>
      <c r="CW313" s="9">
        <v>0</v>
      </c>
      <c r="CX313" s="9">
        <v>0</v>
      </c>
      <c r="CY313" s="9">
        <v>0</v>
      </c>
      <c r="CZ313" s="9">
        <v>0</v>
      </c>
      <c r="DA313" s="9">
        <v>0</v>
      </c>
      <c r="DB313" s="9">
        <v>0</v>
      </c>
      <c r="DC313" s="9">
        <v>1</v>
      </c>
      <c r="DD313" s="9">
        <v>0</v>
      </c>
      <c r="DE313" s="9">
        <v>0</v>
      </c>
      <c r="DF313" s="9">
        <v>0</v>
      </c>
      <c r="DG313" s="9">
        <v>0</v>
      </c>
      <c r="DH313" s="9">
        <v>0</v>
      </c>
      <c r="DI313" s="9">
        <v>0</v>
      </c>
      <c r="DJ313" s="9">
        <v>0</v>
      </c>
      <c r="DK313" s="9">
        <v>0</v>
      </c>
      <c r="DL313" s="9">
        <v>0</v>
      </c>
      <c r="DM313" s="9">
        <v>0</v>
      </c>
      <c r="DN313" s="9">
        <v>0</v>
      </c>
      <c r="DO313" s="9">
        <v>0</v>
      </c>
      <c r="DP313" s="9">
        <v>0</v>
      </c>
      <c r="DQ313" s="9">
        <v>0</v>
      </c>
      <c r="DR313" s="9">
        <v>0</v>
      </c>
      <c r="DS313" s="9">
        <v>0</v>
      </c>
      <c r="DT313" s="9">
        <v>0</v>
      </c>
      <c r="DU313" s="9">
        <v>0</v>
      </c>
      <c r="DV313" s="9">
        <v>0</v>
      </c>
      <c r="DW313" s="9">
        <v>0</v>
      </c>
      <c r="DX313" s="9">
        <v>0</v>
      </c>
      <c r="DY313" s="9">
        <v>0</v>
      </c>
      <c r="DZ313" s="9">
        <v>0</v>
      </c>
      <c r="EA313" s="9">
        <v>0</v>
      </c>
      <c r="EB313" s="9">
        <v>0</v>
      </c>
      <c r="EC313" s="9">
        <v>0</v>
      </c>
      <c r="ED313" s="9">
        <v>0</v>
      </c>
      <c r="EE313" s="9">
        <v>0</v>
      </c>
      <c r="EF313" s="9">
        <v>0</v>
      </c>
      <c r="EG313" s="9">
        <v>0</v>
      </c>
      <c r="EH313" s="9">
        <v>0</v>
      </c>
      <c r="EI313" s="10">
        <v>0</v>
      </c>
    </row>
    <row r="314" spans="1:139" x14ac:dyDescent="0.35">
      <c r="A314" s="8" t="s">
        <v>494</v>
      </c>
      <c r="B314" s="9" t="s">
        <v>539</v>
      </c>
      <c r="C314" s="9" t="s">
        <v>540</v>
      </c>
      <c r="D314" s="9">
        <f t="shared" si="4"/>
        <v>0</v>
      </c>
      <c r="E314" s="9">
        <v>0</v>
      </c>
      <c r="F314" s="9">
        <v>0</v>
      </c>
      <c r="G314" s="9">
        <v>0</v>
      </c>
      <c r="H314" s="9">
        <v>0</v>
      </c>
      <c r="I314" s="9">
        <v>0</v>
      </c>
      <c r="J314" s="9">
        <v>0</v>
      </c>
      <c r="K314" s="9">
        <v>0</v>
      </c>
      <c r="L314" s="9">
        <v>0</v>
      </c>
      <c r="M314" s="9">
        <v>0</v>
      </c>
      <c r="N314" s="9">
        <v>0</v>
      </c>
      <c r="O314" s="9">
        <v>0</v>
      </c>
      <c r="P314" s="9">
        <v>0</v>
      </c>
      <c r="Q314" s="9">
        <v>0</v>
      </c>
      <c r="R314" s="9">
        <v>0</v>
      </c>
      <c r="S314" s="9">
        <v>0</v>
      </c>
      <c r="T314" s="9">
        <v>0</v>
      </c>
      <c r="U314" s="9">
        <v>0</v>
      </c>
      <c r="V314" s="9">
        <v>0</v>
      </c>
      <c r="W314" s="9">
        <v>0</v>
      </c>
      <c r="X314" s="9">
        <v>0</v>
      </c>
      <c r="Y314" s="9">
        <v>0</v>
      </c>
      <c r="Z314" s="9">
        <v>0</v>
      </c>
      <c r="AA314" s="9">
        <v>0</v>
      </c>
      <c r="AB314" s="9">
        <v>0</v>
      </c>
      <c r="AC314" s="9">
        <v>0</v>
      </c>
      <c r="AD314" s="9">
        <v>0</v>
      </c>
      <c r="AE314" s="9">
        <v>0</v>
      </c>
      <c r="AF314" s="9">
        <v>0</v>
      </c>
      <c r="AG314" s="9">
        <v>0</v>
      </c>
      <c r="AH314" s="9">
        <v>0</v>
      </c>
      <c r="AI314" s="9">
        <v>0</v>
      </c>
      <c r="AJ314" s="9">
        <v>0</v>
      </c>
      <c r="AK314" s="9">
        <v>0</v>
      </c>
      <c r="AL314" s="9">
        <v>0</v>
      </c>
      <c r="AM314" s="9">
        <v>0</v>
      </c>
      <c r="AN314" s="9">
        <v>0</v>
      </c>
      <c r="AO314" s="9">
        <v>0</v>
      </c>
      <c r="AP314" s="9">
        <v>0</v>
      </c>
      <c r="AQ314" s="9">
        <v>0</v>
      </c>
      <c r="AR314" s="9">
        <v>0</v>
      </c>
      <c r="AS314" s="9">
        <v>0</v>
      </c>
      <c r="AT314" s="9">
        <v>0</v>
      </c>
      <c r="AU314" s="9">
        <v>0</v>
      </c>
      <c r="AV314" s="9">
        <v>0</v>
      </c>
      <c r="AW314" s="9">
        <v>0</v>
      </c>
      <c r="AX314" s="9">
        <v>0</v>
      </c>
      <c r="AY314" s="9">
        <v>0</v>
      </c>
      <c r="AZ314" s="9">
        <v>0</v>
      </c>
      <c r="BA314" s="9">
        <v>0</v>
      </c>
      <c r="BB314" s="9">
        <v>0</v>
      </c>
      <c r="BC314" s="9">
        <v>0</v>
      </c>
      <c r="BD314" s="9">
        <v>0</v>
      </c>
      <c r="BE314" s="9">
        <v>0</v>
      </c>
      <c r="BF314" s="9">
        <v>0</v>
      </c>
      <c r="BG314" s="9">
        <v>0</v>
      </c>
      <c r="BH314" s="9">
        <v>0</v>
      </c>
      <c r="BI314" s="9">
        <v>0</v>
      </c>
      <c r="BJ314" s="9">
        <v>0</v>
      </c>
      <c r="BK314" s="9">
        <v>0</v>
      </c>
      <c r="BL314" s="9">
        <v>0</v>
      </c>
      <c r="BM314" s="9">
        <v>0</v>
      </c>
      <c r="BN314" s="9">
        <v>0</v>
      </c>
      <c r="BO314" s="9">
        <v>0</v>
      </c>
      <c r="BP314" s="9">
        <v>0</v>
      </c>
      <c r="BQ314" s="9">
        <v>0</v>
      </c>
      <c r="BR314" s="9">
        <v>0</v>
      </c>
      <c r="BS314" s="9">
        <v>0</v>
      </c>
      <c r="BT314" s="9">
        <v>0</v>
      </c>
      <c r="BU314" s="9">
        <v>0</v>
      </c>
      <c r="BV314" s="9">
        <v>0</v>
      </c>
      <c r="BW314" s="9">
        <v>0</v>
      </c>
      <c r="BX314" s="9">
        <v>0</v>
      </c>
      <c r="BY314" s="9">
        <v>0</v>
      </c>
      <c r="BZ314" s="9">
        <v>0</v>
      </c>
      <c r="CA314" s="9">
        <v>0</v>
      </c>
      <c r="CB314" s="9">
        <v>0</v>
      </c>
      <c r="CC314" s="9">
        <v>0</v>
      </c>
      <c r="CD314" s="9">
        <v>0</v>
      </c>
      <c r="CE314" s="9">
        <v>0</v>
      </c>
      <c r="CF314" s="9">
        <v>0</v>
      </c>
      <c r="CG314" s="9">
        <v>0</v>
      </c>
      <c r="CH314" s="9">
        <v>0</v>
      </c>
      <c r="CI314" s="9">
        <v>0</v>
      </c>
      <c r="CJ314" s="9">
        <v>0</v>
      </c>
      <c r="CK314" s="9">
        <v>0</v>
      </c>
      <c r="CL314" s="9">
        <v>0</v>
      </c>
      <c r="CM314" s="9">
        <v>0</v>
      </c>
      <c r="CN314" s="9">
        <v>0</v>
      </c>
      <c r="CO314" s="9">
        <v>0</v>
      </c>
      <c r="CP314" s="9">
        <v>0</v>
      </c>
      <c r="CQ314" s="9">
        <v>0</v>
      </c>
      <c r="CR314" s="9">
        <v>0</v>
      </c>
      <c r="CS314" s="9">
        <v>0</v>
      </c>
      <c r="CT314" s="9">
        <v>0</v>
      </c>
      <c r="CU314" s="9">
        <v>0</v>
      </c>
      <c r="CV314" s="9">
        <v>0</v>
      </c>
      <c r="CW314" s="9">
        <v>0</v>
      </c>
      <c r="CX314" s="9">
        <v>0</v>
      </c>
      <c r="CY314" s="9">
        <v>0</v>
      </c>
      <c r="CZ314" s="9">
        <v>0</v>
      </c>
      <c r="DA314" s="9">
        <v>0</v>
      </c>
      <c r="DB314" s="9">
        <v>0</v>
      </c>
      <c r="DC314" s="9">
        <v>0</v>
      </c>
      <c r="DD314" s="9">
        <v>0</v>
      </c>
      <c r="DE314" s="9">
        <v>0</v>
      </c>
      <c r="DF314" s="9">
        <v>0</v>
      </c>
      <c r="DG314" s="9">
        <v>0</v>
      </c>
      <c r="DH314" s="9">
        <v>0</v>
      </c>
      <c r="DI314" s="9">
        <v>0</v>
      </c>
      <c r="DJ314" s="9">
        <v>0</v>
      </c>
      <c r="DK314" s="9">
        <v>0</v>
      </c>
      <c r="DL314" s="9">
        <v>0</v>
      </c>
      <c r="DM314" s="9">
        <v>0</v>
      </c>
      <c r="DN314" s="9">
        <v>0</v>
      </c>
      <c r="DO314" s="9">
        <v>0</v>
      </c>
      <c r="DP314" s="9">
        <v>0</v>
      </c>
      <c r="DQ314" s="9">
        <v>0</v>
      </c>
      <c r="DR314" s="9">
        <v>0</v>
      </c>
      <c r="DS314" s="9">
        <v>0</v>
      </c>
      <c r="DT314" s="9">
        <v>0</v>
      </c>
      <c r="DU314" s="9">
        <v>0</v>
      </c>
      <c r="DV314" s="9">
        <v>0</v>
      </c>
      <c r="DW314" s="9">
        <v>0</v>
      </c>
      <c r="DX314" s="9">
        <v>0</v>
      </c>
      <c r="DY314" s="9">
        <v>0</v>
      </c>
      <c r="DZ314" s="9">
        <v>0</v>
      </c>
      <c r="EA314" s="9">
        <v>0</v>
      </c>
      <c r="EB314" s="9">
        <v>0</v>
      </c>
      <c r="EC314" s="9">
        <v>0</v>
      </c>
      <c r="ED314" s="9">
        <v>0</v>
      </c>
      <c r="EE314" s="9">
        <v>0</v>
      </c>
      <c r="EF314" s="9">
        <v>0</v>
      </c>
      <c r="EG314" s="9">
        <v>0</v>
      </c>
      <c r="EH314" s="9">
        <v>0</v>
      </c>
      <c r="EI314" s="10">
        <v>0</v>
      </c>
    </row>
    <row r="315" spans="1:139" x14ac:dyDescent="0.35">
      <c r="A315" s="11" t="s">
        <v>494</v>
      </c>
      <c r="B315" s="12" t="s">
        <v>541</v>
      </c>
      <c r="C315" s="12" t="s">
        <v>542</v>
      </c>
      <c r="D315" s="12">
        <f t="shared" si="4"/>
        <v>0</v>
      </c>
      <c r="E315" s="12">
        <v>0</v>
      </c>
      <c r="F315" s="12">
        <v>0</v>
      </c>
      <c r="G315" s="12">
        <v>0</v>
      </c>
      <c r="H315" s="12">
        <v>0</v>
      </c>
      <c r="I315" s="12">
        <v>0</v>
      </c>
      <c r="J315" s="12">
        <v>0</v>
      </c>
      <c r="K315" s="12">
        <v>0</v>
      </c>
      <c r="L315" s="12">
        <v>0</v>
      </c>
      <c r="M315" s="12">
        <v>0</v>
      </c>
      <c r="N315" s="12">
        <v>0</v>
      </c>
      <c r="O315" s="12">
        <v>0</v>
      </c>
      <c r="P315" s="12">
        <v>0</v>
      </c>
      <c r="Q315" s="12">
        <v>0</v>
      </c>
      <c r="R315" s="12">
        <v>0</v>
      </c>
      <c r="S315" s="12">
        <v>0</v>
      </c>
      <c r="T315" s="12">
        <v>0</v>
      </c>
      <c r="U315" s="12">
        <v>0</v>
      </c>
      <c r="V315" s="12">
        <v>0</v>
      </c>
      <c r="W315" s="12">
        <v>0</v>
      </c>
      <c r="X315" s="12">
        <v>0</v>
      </c>
      <c r="Y315" s="12">
        <v>0</v>
      </c>
      <c r="Z315" s="12">
        <v>0</v>
      </c>
      <c r="AA315" s="12">
        <v>0</v>
      </c>
      <c r="AB315" s="12">
        <v>0</v>
      </c>
      <c r="AC315" s="12">
        <v>0</v>
      </c>
      <c r="AD315" s="12">
        <v>0</v>
      </c>
      <c r="AE315" s="12">
        <v>0</v>
      </c>
      <c r="AF315" s="12">
        <v>0</v>
      </c>
      <c r="AG315" s="12">
        <v>0</v>
      </c>
      <c r="AH315" s="12">
        <v>0</v>
      </c>
      <c r="AI315" s="12">
        <v>0</v>
      </c>
      <c r="AJ315" s="12">
        <v>0</v>
      </c>
      <c r="AK315" s="12">
        <v>0</v>
      </c>
      <c r="AL315" s="12">
        <v>0</v>
      </c>
      <c r="AM315" s="12">
        <v>0</v>
      </c>
      <c r="AN315" s="12">
        <v>0</v>
      </c>
      <c r="AO315" s="12">
        <v>0</v>
      </c>
      <c r="AP315" s="12">
        <v>0</v>
      </c>
      <c r="AQ315" s="12">
        <v>0</v>
      </c>
      <c r="AR315" s="12">
        <v>0</v>
      </c>
      <c r="AS315" s="12">
        <v>0</v>
      </c>
      <c r="AT315" s="12">
        <v>0</v>
      </c>
      <c r="AU315" s="12">
        <v>0</v>
      </c>
      <c r="AV315" s="12">
        <v>0</v>
      </c>
      <c r="AW315" s="12">
        <v>0</v>
      </c>
      <c r="AX315" s="12">
        <v>0</v>
      </c>
      <c r="AY315" s="12">
        <v>0</v>
      </c>
      <c r="AZ315" s="12">
        <v>0</v>
      </c>
      <c r="BA315" s="12">
        <v>0</v>
      </c>
      <c r="BB315" s="12">
        <v>0</v>
      </c>
      <c r="BC315" s="12">
        <v>0</v>
      </c>
      <c r="BD315" s="12">
        <v>0</v>
      </c>
      <c r="BE315" s="12">
        <v>0</v>
      </c>
      <c r="BF315" s="12">
        <v>0</v>
      </c>
      <c r="BG315" s="12">
        <v>0</v>
      </c>
      <c r="BH315" s="12">
        <v>0</v>
      </c>
      <c r="BI315" s="12">
        <v>0</v>
      </c>
      <c r="BJ315" s="12">
        <v>0</v>
      </c>
      <c r="BK315" s="12">
        <v>0</v>
      </c>
      <c r="BL315" s="12">
        <v>0</v>
      </c>
      <c r="BM315" s="12">
        <v>0</v>
      </c>
      <c r="BN315" s="12">
        <v>0</v>
      </c>
      <c r="BO315" s="12">
        <v>0</v>
      </c>
      <c r="BP315" s="12">
        <v>0</v>
      </c>
      <c r="BQ315" s="12">
        <v>0</v>
      </c>
      <c r="BR315" s="12">
        <v>0</v>
      </c>
      <c r="BS315" s="12">
        <v>0</v>
      </c>
      <c r="BT315" s="12">
        <v>0</v>
      </c>
      <c r="BU315" s="12">
        <v>0</v>
      </c>
      <c r="BV315" s="12">
        <v>0</v>
      </c>
      <c r="BW315" s="12">
        <v>0</v>
      </c>
      <c r="BX315" s="12">
        <v>0</v>
      </c>
      <c r="BY315" s="12">
        <v>0</v>
      </c>
      <c r="BZ315" s="12">
        <v>0</v>
      </c>
      <c r="CA315" s="12">
        <v>0</v>
      </c>
      <c r="CB315" s="12">
        <v>0</v>
      </c>
      <c r="CC315" s="12">
        <v>0</v>
      </c>
      <c r="CD315" s="12">
        <v>0</v>
      </c>
      <c r="CE315" s="12">
        <v>0</v>
      </c>
      <c r="CF315" s="12">
        <v>0</v>
      </c>
      <c r="CG315" s="12">
        <v>0</v>
      </c>
      <c r="CH315" s="12">
        <v>0</v>
      </c>
      <c r="CI315" s="12">
        <v>0</v>
      </c>
      <c r="CJ315" s="12">
        <v>0</v>
      </c>
      <c r="CK315" s="12">
        <v>0</v>
      </c>
      <c r="CL315" s="12">
        <v>0</v>
      </c>
      <c r="CM315" s="12">
        <v>0</v>
      </c>
      <c r="CN315" s="12">
        <v>0</v>
      </c>
      <c r="CO315" s="12">
        <v>0</v>
      </c>
      <c r="CP315" s="12">
        <v>0</v>
      </c>
      <c r="CQ315" s="12">
        <v>0</v>
      </c>
      <c r="CR315" s="12">
        <v>0</v>
      </c>
      <c r="CS315" s="12">
        <v>0</v>
      </c>
      <c r="CT315" s="12">
        <v>0</v>
      </c>
      <c r="CU315" s="12">
        <v>0</v>
      </c>
      <c r="CV315" s="12">
        <v>0</v>
      </c>
      <c r="CW315" s="12">
        <v>0</v>
      </c>
      <c r="CX315" s="12">
        <v>0</v>
      </c>
      <c r="CY315" s="12">
        <v>0</v>
      </c>
      <c r="CZ315" s="12">
        <v>0</v>
      </c>
      <c r="DA315" s="12">
        <v>0</v>
      </c>
      <c r="DB315" s="12">
        <v>0</v>
      </c>
      <c r="DC315" s="12">
        <v>0</v>
      </c>
      <c r="DD315" s="12">
        <v>0</v>
      </c>
      <c r="DE315" s="12">
        <v>0</v>
      </c>
      <c r="DF315" s="12">
        <v>0</v>
      </c>
      <c r="DG315" s="12">
        <v>0</v>
      </c>
      <c r="DH315" s="12">
        <v>0</v>
      </c>
      <c r="DI315" s="12">
        <v>0</v>
      </c>
      <c r="DJ315" s="12">
        <v>0</v>
      </c>
      <c r="DK315" s="12">
        <v>0</v>
      </c>
      <c r="DL315" s="12">
        <v>0</v>
      </c>
      <c r="DM315" s="12">
        <v>0</v>
      </c>
      <c r="DN315" s="12">
        <v>0</v>
      </c>
      <c r="DO315" s="12">
        <v>0</v>
      </c>
      <c r="DP315" s="12">
        <v>0</v>
      </c>
      <c r="DQ315" s="12">
        <v>0</v>
      </c>
      <c r="DR315" s="12">
        <v>0</v>
      </c>
      <c r="DS315" s="12">
        <v>0</v>
      </c>
      <c r="DT315" s="12">
        <v>0</v>
      </c>
      <c r="DU315" s="12">
        <v>0</v>
      </c>
      <c r="DV315" s="12">
        <v>0</v>
      </c>
      <c r="DW315" s="12">
        <v>0</v>
      </c>
      <c r="DX315" s="12">
        <v>0</v>
      </c>
      <c r="DY315" s="12">
        <v>0</v>
      </c>
      <c r="DZ315" s="12">
        <v>0</v>
      </c>
      <c r="EA315" s="12">
        <v>0</v>
      </c>
      <c r="EB315" s="12">
        <v>0</v>
      </c>
      <c r="EC315" s="12">
        <v>0</v>
      </c>
      <c r="ED315" s="12">
        <v>0</v>
      </c>
      <c r="EE315" s="12">
        <v>0</v>
      </c>
      <c r="EF315" s="12">
        <v>0</v>
      </c>
      <c r="EG315" s="12">
        <v>0</v>
      </c>
      <c r="EH315" s="12">
        <v>0</v>
      </c>
      <c r="EI315" s="13">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33620-199D-40FB-ABEA-7F052351EC37}">
  <sheetPr>
    <tabColor theme="7" tint="0.79998168889431442"/>
  </sheetPr>
  <dimension ref="A1:GO497"/>
  <sheetViews>
    <sheetView topLeftCell="A448" workbookViewId="0">
      <selection activeCell="D458" sqref="D458"/>
    </sheetView>
  </sheetViews>
  <sheetFormatPr defaultRowHeight="14.5" x14ac:dyDescent="0.35"/>
  <cols>
    <col min="1" max="1" width="10.54296875" customWidth="1"/>
    <col min="2" max="2" width="10.453125" bestFit="1" customWidth="1"/>
    <col min="3" max="3" width="52.6328125" customWidth="1"/>
    <col min="4" max="4" width="49.81640625" customWidth="1"/>
    <col min="5" max="198" width="10.453125" bestFit="1" customWidth="1"/>
  </cols>
  <sheetData>
    <row r="1" spans="1:197" x14ac:dyDescent="0.35">
      <c r="A1" s="14" t="s">
        <v>543</v>
      </c>
      <c r="B1" s="15" t="s">
        <v>544</v>
      </c>
      <c r="C1" s="15" t="s">
        <v>545</v>
      </c>
      <c r="D1" s="15" t="s">
        <v>1318</v>
      </c>
      <c r="E1" s="15">
        <v>44044</v>
      </c>
      <c r="F1" s="15">
        <v>44045</v>
      </c>
      <c r="G1" s="15">
        <v>44046</v>
      </c>
      <c r="H1" s="15">
        <v>44047</v>
      </c>
      <c r="I1" s="15">
        <v>44048</v>
      </c>
      <c r="J1" s="15">
        <v>44049</v>
      </c>
      <c r="K1" s="15">
        <v>44050</v>
      </c>
      <c r="L1" s="15">
        <v>44051</v>
      </c>
      <c r="M1" s="15">
        <v>44052</v>
      </c>
      <c r="N1" s="15">
        <v>44053</v>
      </c>
      <c r="O1" s="15">
        <v>44054</v>
      </c>
      <c r="P1" s="15">
        <v>44055</v>
      </c>
      <c r="Q1" s="15">
        <v>44056</v>
      </c>
      <c r="R1" s="15">
        <v>44057</v>
      </c>
      <c r="S1" s="15">
        <v>44058</v>
      </c>
      <c r="T1" s="15">
        <v>44059</v>
      </c>
      <c r="U1" s="15">
        <v>44060</v>
      </c>
      <c r="V1" s="15">
        <v>44061</v>
      </c>
      <c r="W1" s="15">
        <v>44062</v>
      </c>
      <c r="X1" s="15">
        <v>44063</v>
      </c>
      <c r="Y1" s="15">
        <v>44064</v>
      </c>
      <c r="Z1" s="15">
        <v>44065</v>
      </c>
      <c r="AA1" s="15">
        <v>44066</v>
      </c>
      <c r="AB1" s="15">
        <v>44067</v>
      </c>
      <c r="AC1" s="15">
        <v>44068</v>
      </c>
      <c r="AD1" s="15">
        <v>44069</v>
      </c>
      <c r="AE1" s="15">
        <v>44070</v>
      </c>
      <c r="AF1" s="15">
        <v>44071</v>
      </c>
      <c r="AG1" s="15">
        <v>44072</v>
      </c>
      <c r="AH1" s="15">
        <v>44073</v>
      </c>
      <c r="AI1" s="15">
        <v>44074</v>
      </c>
      <c r="AJ1" s="15">
        <v>44075</v>
      </c>
      <c r="AK1" s="15">
        <v>44076</v>
      </c>
      <c r="AL1" s="15">
        <v>44077</v>
      </c>
      <c r="AM1" s="15">
        <v>44078</v>
      </c>
      <c r="AN1" s="15">
        <v>44079</v>
      </c>
      <c r="AO1" s="15">
        <v>44080</v>
      </c>
      <c r="AP1" s="15">
        <v>44081</v>
      </c>
      <c r="AQ1" s="15">
        <v>44082</v>
      </c>
      <c r="AR1" s="15">
        <v>44083</v>
      </c>
      <c r="AS1" s="15">
        <v>44084</v>
      </c>
      <c r="AT1" s="15">
        <v>44085</v>
      </c>
      <c r="AU1" s="15">
        <v>44086</v>
      </c>
      <c r="AV1" s="15">
        <v>44087</v>
      </c>
      <c r="AW1" s="15">
        <v>44088</v>
      </c>
      <c r="AX1" s="15">
        <v>44089</v>
      </c>
      <c r="AY1" s="15">
        <v>44090</v>
      </c>
      <c r="AZ1" s="15">
        <v>44091</v>
      </c>
      <c r="BA1" s="15">
        <v>44092</v>
      </c>
      <c r="BB1" s="15">
        <v>44093</v>
      </c>
      <c r="BC1" s="15">
        <v>44094</v>
      </c>
      <c r="BD1" s="15">
        <v>44095</v>
      </c>
      <c r="BE1" s="15">
        <v>44096</v>
      </c>
      <c r="BF1" s="15">
        <v>44097</v>
      </c>
      <c r="BG1" s="15">
        <v>44098</v>
      </c>
      <c r="BH1" s="15">
        <v>44099</v>
      </c>
      <c r="BI1" s="15">
        <v>44100</v>
      </c>
      <c r="BJ1" s="15">
        <v>44101</v>
      </c>
      <c r="BK1" s="15">
        <v>44102</v>
      </c>
      <c r="BL1" s="15">
        <v>44103</v>
      </c>
      <c r="BM1" s="15">
        <v>44104</v>
      </c>
      <c r="BN1" s="15">
        <v>44105</v>
      </c>
      <c r="BO1" s="15">
        <v>44106</v>
      </c>
      <c r="BP1" s="15">
        <v>44107</v>
      </c>
      <c r="BQ1" s="15">
        <v>44108</v>
      </c>
      <c r="BR1" s="15">
        <v>44109</v>
      </c>
      <c r="BS1" s="15">
        <v>44110</v>
      </c>
      <c r="BT1" s="15">
        <v>44111</v>
      </c>
      <c r="BU1" s="15">
        <v>44112</v>
      </c>
      <c r="BV1" s="15">
        <v>44113</v>
      </c>
      <c r="BW1" s="15">
        <v>44114</v>
      </c>
      <c r="BX1" s="15">
        <v>44115</v>
      </c>
      <c r="BY1" s="15">
        <v>44116</v>
      </c>
      <c r="BZ1" s="15">
        <v>44117</v>
      </c>
      <c r="CA1" s="15">
        <v>44118</v>
      </c>
      <c r="CB1" s="15">
        <v>44119</v>
      </c>
      <c r="CC1" s="15">
        <v>44120</v>
      </c>
      <c r="CD1" s="15">
        <v>44121</v>
      </c>
      <c r="CE1" s="15">
        <v>44122</v>
      </c>
      <c r="CF1" s="15">
        <v>44123</v>
      </c>
      <c r="CG1" s="15">
        <v>44124</v>
      </c>
      <c r="CH1" s="15">
        <v>44125</v>
      </c>
      <c r="CI1" s="15">
        <v>44126</v>
      </c>
      <c r="CJ1" s="15">
        <v>44127</v>
      </c>
      <c r="CK1" s="15">
        <v>44128</v>
      </c>
      <c r="CL1" s="15">
        <v>44129</v>
      </c>
      <c r="CM1" s="15">
        <v>44130</v>
      </c>
      <c r="CN1" s="15">
        <v>44131</v>
      </c>
      <c r="CO1" s="15">
        <v>44132</v>
      </c>
      <c r="CP1" s="15">
        <v>44133</v>
      </c>
      <c r="CQ1" s="15">
        <v>44134</v>
      </c>
      <c r="CR1" s="15">
        <v>44135</v>
      </c>
      <c r="CS1" s="16">
        <v>44136</v>
      </c>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row>
    <row r="2" spans="1:197" x14ac:dyDescent="0.35">
      <c r="A2" s="8" t="s">
        <v>0</v>
      </c>
      <c r="B2" s="9" t="s">
        <v>549</v>
      </c>
      <c r="C2" s="9" t="s">
        <v>550</v>
      </c>
      <c r="D2" s="9">
        <f>SUM(E2:CS2)</f>
        <v>0</v>
      </c>
      <c r="E2" s="9">
        <v>0</v>
      </c>
      <c r="F2" s="9">
        <v>0</v>
      </c>
      <c r="G2" s="9">
        <v>0</v>
      </c>
      <c r="H2" s="9">
        <v>0</v>
      </c>
      <c r="I2" s="9">
        <v>0</v>
      </c>
      <c r="J2" s="9">
        <v>0</v>
      </c>
      <c r="K2" s="9">
        <v>0</v>
      </c>
      <c r="L2" s="9">
        <v>0</v>
      </c>
      <c r="M2" s="9">
        <v>0</v>
      </c>
      <c r="N2" s="9">
        <v>0</v>
      </c>
      <c r="O2" s="9">
        <v>0</v>
      </c>
      <c r="P2" s="9">
        <v>0</v>
      </c>
      <c r="Q2" s="9">
        <v>0</v>
      </c>
      <c r="R2" s="9">
        <v>0</v>
      </c>
      <c r="S2" s="9">
        <v>0</v>
      </c>
      <c r="T2" s="9">
        <v>0</v>
      </c>
      <c r="U2" s="9">
        <v>0</v>
      </c>
      <c r="V2" s="9">
        <v>0</v>
      </c>
      <c r="W2" s="9">
        <v>0</v>
      </c>
      <c r="X2" s="9">
        <v>0</v>
      </c>
      <c r="Y2" s="9">
        <v>0</v>
      </c>
      <c r="Z2" s="9">
        <v>0</v>
      </c>
      <c r="AA2" s="9">
        <v>0</v>
      </c>
      <c r="AB2" s="9">
        <v>0</v>
      </c>
      <c r="AC2" s="9">
        <v>0</v>
      </c>
      <c r="AD2" s="9">
        <v>0</v>
      </c>
      <c r="AE2" s="9">
        <v>0</v>
      </c>
      <c r="AF2" s="9">
        <v>0</v>
      </c>
      <c r="AG2" s="9">
        <v>0</v>
      </c>
      <c r="AH2" s="9">
        <v>0</v>
      </c>
      <c r="AI2" s="9">
        <v>0</v>
      </c>
      <c r="AJ2" s="9">
        <v>0</v>
      </c>
      <c r="AK2" s="9">
        <v>0</v>
      </c>
      <c r="AL2" s="9">
        <v>0</v>
      </c>
      <c r="AM2" s="9">
        <v>0</v>
      </c>
      <c r="AN2" s="9">
        <v>0</v>
      </c>
      <c r="AO2" s="9">
        <v>0</v>
      </c>
      <c r="AP2" s="9">
        <v>0</v>
      </c>
      <c r="AQ2" s="9">
        <v>0</v>
      </c>
      <c r="AR2" s="9">
        <v>0</v>
      </c>
      <c r="AS2" s="9">
        <v>0</v>
      </c>
      <c r="AT2" s="9">
        <v>0</v>
      </c>
      <c r="AU2" s="9">
        <v>0</v>
      </c>
      <c r="AV2" s="9">
        <v>0</v>
      </c>
      <c r="AW2" s="9">
        <v>0</v>
      </c>
      <c r="AX2" s="9">
        <v>0</v>
      </c>
      <c r="AY2" s="9">
        <v>0</v>
      </c>
      <c r="AZ2" s="9">
        <v>0</v>
      </c>
      <c r="BA2" s="9">
        <v>0</v>
      </c>
      <c r="BB2" s="9">
        <v>0</v>
      </c>
      <c r="BC2" s="9">
        <v>0</v>
      </c>
      <c r="BD2" s="9">
        <v>0</v>
      </c>
      <c r="BE2" s="9">
        <v>0</v>
      </c>
      <c r="BF2" s="9">
        <v>0</v>
      </c>
      <c r="BG2" s="9">
        <v>0</v>
      </c>
      <c r="BH2" s="9">
        <v>0</v>
      </c>
      <c r="BI2" s="9">
        <v>0</v>
      </c>
      <c r="BJ2" s="9">
        <v>0</v>
      </c>
      <c r="BK2" s="9">
        <v>0</v>
      </c>
      <c r="BL2" s="9">
        <v>0</v>
      </c>
      <c r="BM2" s="9">
        <v>0</v>
      </c>
      <c r="BN2" s="9">
        <v>0</v>
      </c>
      <c r="BO2" s="9">
        <v>0</v>
      </c>
      <c r="BP2" s="9">
        <v>0</v>
      </c>
      <c r="BQ2" s="9">
        <v>0</v>
      </c>
      <c r="BR2" s="9">
        <v>0</v>
      </c>
      <c r="BS2" s="9">
        <v>0</v>
      </c>
      <c r="BT2" s="9">
        <v>0</v>
      </c>
      <c r="BU2" s="9">
        <v>0</v>
      </c>
      <c r="BV2" s="9">
        <v>0</v>
      </c>
      <c r="BW2" s="9">
        <v>0</v>
      </c>
      <c r="BX2" s="9">
        <v>0</v>
      </c>
      <c r="BY2" s="9">
        <v>0</v>
      </c>
      <c r="BZ2" s="9">
        <v>0</v>
      </c>
      <c r="CA2" s="9">
        <v>0</v>
      </c>
      <c r="CB2" s="9">
        <v>0</v>
      </c>
      <c r="CC2" s="9">
        <v>0</v>
      </c>
      <c r="CD2" s="9">
        <v>0</v>
      </c>
      <c r="CE2" s="9">
        <v>0</v>
      </c>
      <c r="CF2" s="9">
        <v>0</v>
      </c>
      <c r="CG2" s="9">
        <v>0</v>
      </c>
      <c r="CH2" s="9">
        <v>0</v>
      </c>
      <c r="CI2" s="9">
        <v>0</v>
      </c>
      <c r="CJ2" s="9">
        <v>0</v>
      </c>
      <c r="CK2" s="9">
        <v>0</v>
      </c>
      <c r="CL2" s="9">
        <v>0</v>
      </c>
      <c r="CM2" s="9">
        <v>0</v>
      </c>
      <c r="CN2" s="9">
        <v>0</v>
      </c>
      <c r="CO2" s="9">
        <v>0</v>
      </c>
      <c r="CP2" s="9">
        <v>0</v>
      </c>
      <c r="CQ2" s="9">
        <v>0</v>
      </c>
      <c r="CR2" s="9">
        <v>0</v>
      </c>
      <c r="CS2" s="10">
        <v>0</v>
      </c>
    </row>
    <row r="3" spans="1:197" x14ac:dyDescent="0.35">
      <c r="A3" s="8" t="s">
        <v>0</v>
      </c>
      <c r="B3" s="9" t="s">
        <v>551</v>
      </c>
      <c r="C3" s="9" t="s">
        <v>552</v>
      </c>
      <c r="D3" s="9">
        <f t="shared" ref="D3:D66" si="0">SUM(E3:CS3)</f>
        <v>0</v>
      </c>
      <c r="E3" s="9">
        <v>0</v>
      </c>
      <c r="F3" s="9">
        <v>0</v>
      </c>
      <c r="G3" s="9">
        <v>0</v>
      </c>
      <c r="H3" s="9">
        <v>0</v>
      </c>
      <c r="I3" s="9">
        <v>0</v>
      </c>
      <c r="J3" s="9">
        <v>0</v>
      </c>
      <c r="K3" s="9">
        <v>0</v>
      </c>
      <c r="L3" s="9">
        <v>0</v>
      </c>
      <c r="M3" s="9">
        <v>0</v>
      </c>
      <c r="N3" s="9">
        <v>0</v>
      </c>
      <c r="O3" s="9">
        <v>0</v>
      </c>
      <c r="P3" s="9">
        <v>0</v>
      </c>
      <c r="Q3" s="9">
        <v>0</v>
      </c>
      <c r="R3" s="9">
        <v>0</v>
      </c>
      <c r="S3" s="9">
        <v>0</v>
      </c>
      <c r="T3" s="9">
        <v>0</v>
      </c>
      <c r="U3" s="9">
        <v>0</v>
      </c>
      <c r="V3" s="9">
        <v>0</v>
      </c>
      <c r="W3" s="9">
        <v>0</v>
      </c>
      <c r="X3" s="9">
        <v>0</v>
      </c>
      <c r="Y3" s="9">
        <v>0</v>
      </c>
      <c r="Z3" s="9">
        <v>0</v>
      </c>
      <c r="AA3" s="9">
        <v>0</v>
      </c>
      <c r="AB3" s="9">
        <v>0</v>
      </c>
      <c r="AC3" s="9">
        <v>0</v>
      </c>
      <c r="AD3" s="9">
        <v>0</v>
      </c>
      <c r="AE3" s="9">
        <v>0</v>
      </c>
      <c r="AF3" s="9">
        <v>0</v>
      </c>
      <c r="AG3" s="9">
        <v>0</v>
      </c>
      <c r="AH3" s="9">
        <v>0</v>
      </c>
      <c r="AI3" s="9">
        <v>0</v>
      </c>
      <c r="AJ3" s="9">
        <v>0</v>
      </c>
      <c r="AK3" s="9">
        <v>0</v>
      </c>
      <c r="AL3" s="9">
        <v>0</v>
      </c>
      <c r="AM3" s="9">
        <v>0</v>
      </c>
      <c r="AN3" s="9">
        <v>0</v>
      </c>
      <c r="AO3" s="9">
        <v>0</v>
      </c>
      <c r="AP3" s="9">
        <v>0</v>
      </c>
      <c r="AQ3" s="9">
        <v>0</v>
      </c>
      <c r="AR3" s="9">
        <v>0</v>
      </c>
      <c r="AS3" s="9">
        <v>0</v>
      </c>
      <c r="AT3" s="9">
        <v>0</v>
      </c>
      <c r="AU3" s="9">
        <v>0</v>
      </c>
      <c r="AV3" s="9">
        <v>0</v>
      </c>
      <c r="AW3" s="9">
        <v>0</v>
      </c>
      <c r="AX3" s="9">
        <v>0</v>
      </c>
      <c r="AY3" s="9">
        <v>0</v>
      </c>
      <c r="AZ3" s="9">
        <v>0</v>
      </c>
      <c r="BA3" s="9">
        <v>0</v>
      </c>
      <c r="BB3" s="9">
        <v>0</v>
      </c>
      <c r="BC3" s="9">
        <v>0</v>
      </c>
      <c r="BD3" s="9">
        <v>0</v>
      </c>
      <c r="BE3" s="9">
        <v>0</v>
      </c>
      <c r="BF3" s="9">
        <v>0</v>
      </c>
      <c r="BG3" s="9">
        <v>0</v>
      </c>
      <c r="BH3" s="9">
        <v>0</v>
      </c>
      <c r="BI3" s="9">
        <v>0</v>
      </c>
      <c r="BJ3" s="9">
        <v>0</v>
      </c>
      <c r="BK3" s="9">
        <v>0</v>
      </c>
      <c r="BL3" s="9">
        <v>0</v>
      </c>
      <c r="BM3" s="9">
        <v>0</v>
      </c>
      <c r="BN3" s="9">
        <v>0</v>
      </c>
      <c r="BO3" s="9">
        <v>0</v>
      </c>
      <c r="BP3" s="9">
        <v>0</v>
      </c>
      <c r="BQ3" s="9">
        <v>0</v>
      </c>
      <c r="BR3" s="9">
        <v>0</v>
      </c>
      <c r="BS3" s="9">
        <v>0</v>
      </c>
      <c r="BT3" s="9">
        <v>0</v>
      </c>
      <c r="BU3" s="9">
        <v>0</v>
      </c>
      <c r="BV3" s="9">
        <v>0</v>
      </c>
      <c r="BW3" s="9">
        <v>0</v>
      </c>
      <c r="BX3" s="9">
        <v>0</v>
      </c>
      <c r="BY3" s="9">
        <v>0</v>
      </c>
      <c r="BZ3" s="9">
        <v>0</v>
      </c>
      <c r="CA3" s="9">
        <v>0</v>
      </c>
      <c r="CB3" s="9">
        <v>0</v>
      </c>
      <c r="CC3" s="9">
        <v>0</v>
      </c>
      <c r="CD3" s="9">
        <v>0</v>
      </c>
      <c r="CE3" s="9">
        <v>0</v>
      </c>
      <c r="CF3" s="9">
        <v>0</v>
      </c>
      <c r="CG3" s="9">
        <v>0</v>
      </c>
      <c r="CH3" s="9">
        <v>0</v>
      </c>
      <c r="CI3" s="9">
        <v>0</v>
      </c>
      <c r="CJ3" s="9">
        <v>0</v>
      </c>
      <c r="CK3" s="9">
        <v>0</v>
      </c>
      <c r="CL3" s="9">
        <v>0</v>
      </c>
      <c r="CM3" s="9">
        <v>0</v>
      </c>
      <c r="CN3" s="9">
        <v>0</v>
      </c>
      <c r="CO3" s="9">
        <v>0</v>
      </c>
      <c r="CP3" s="9">
        <v>0</v>
      </c>
      <c r="CQ3" s="9">
        <v>0</v>
      </c>
      <c r="CR3" s="9">
        <v>0</v>
      </c>
      <c r="CS3" s="10">
        <v>0</v>
      </c>
    </row>
    <row r="4" spans="1:197" x14ac:dyDescent="0.35">
      <c r="A4" s="8" t="s">
        <v>0</v>
      </c>
      <c r="B4" s="9" t="s">
        <v>553</v>
      </c>
      <c r="C4" s="9" t="s">
        <v>554</v>
      </c>
      <c r="D4" s="9">
        <f t="shared" si="0"/>
        <v>0</v>
      </c>
      <c r="E4" s="9">
        <v>0</v>
      </c>
      <c r="F4" s="9">
        <v>0</v>
      </c>
      <c r="G4" s="9">
        <v>0</v>
      </c>
      <c r="H4" s="9">
        <v>0</v>
      </c>
      <c r="I4" s="9">
        <v>0</v>
      </c>
      <c r="J4" s="9">
        <v>0</v>
      </c>
      <c r="K4" s="9">
        <v>0</v>
      </c>
      <c r="L4" s="9">
        <v>0</v>
      </c>
      <c r="M4" s="9">
        <v>0</v>
      </c>
      <c r="N4" s="9">
        <v>0</v>
      </c>
      <c r="O4" s="9">
        <v>0</v>
      </c>
      <c r="P4" s="9">
        <v>0</v>
      </c>
      <c r="Q4" s="9">
        <v>0</v>
      </c>
      <c r="R4" s="9">
        <v>0</v>
      </c>
      <c r="S4" s="9">
        <v>0</v>
      </c>
      <c r="T4" s="9">
        <v>0</v>
      </c>
      <c r="U4" s="9">
        <v>0</v>
      </c>
      <c r="V4" s="9">
        <v>0</v>
      </c>
      <c r="W4" s="9">
        <v>0</v>
      </c>
      <c r="X4" s="9">
        <v>0</v>
      </c>
      <c r="Y4" s="9">
        <v>0</v>
      </c>
      <c r="Z4" s="9">
        <v>0</v>
      </c>
      <c r="AA4" s="9">
        <v>0</v>
      </c>
      <c r="AB4" s="9">
        <v>0</v>
      </c>
      <c r="AC4" s="9">
        <v>0</v>
      </c>
      <c r="AD4" s="9">
        <v>0</v>
      </c>
      <c r="AE4" s="9">
        <v>0</v>
      </c>
      <c r="AF4" s="9">
        <v>0</v>
      </c>
      <c r="AG4" s="9">
        <v>0</v>
      </c>
      <c r="AH4" s="9">
        <v>0</v>
      </c>
      <c r="AI4" s="9">
        <v>0</v>
      </c>
      <c r="AJ4" s="9">
        <v>0</v>
      </c>
      <c r="AK4" s="9">
        <v>0</v>
      </c>
      <c r="AL4" s="9">
        <v>0</v>
      </c>
      <c r="AM4" s="9">
        <v>0</v>
      </c>
      <c r="AN4" s="9">
        <v>0</v>
      </c>
      <c r="AO4" s="9">
        <v>0</v>
      </c>
      <c r="AP4" s="9">
        <v>0</v>
      </c>
      <c r="AQ4" s="9">
        <v>0</v>
      </c>
      <c r="AR4" s="9">
        <v>0</v>
      </c>
      <c r="AS4" s="9">
        <v>0</v>
      </c>
      <c r="AT4" s="9">
        <v>0</v>
      </c>
      <c r="AU4" s="9">
        <v>0</v>
      </c>
      <c r="AV4" s="9">
        <v>0</v>
      </c>
      <c r="AW4" s="9">
        <v>0</v>
      </c>
      <c r="AX4" s="9">
        <v>0</v>
      </c>
      <c r="AY4" s="9">
        <v>0</v>
      </c>
      <c r="AZ4" s="9">
        <v>0</v>
      </c>
      <c r="BA4" s="9">
        <v>0</v>
      </c>
      <c r="BB4" s="9">
        <v>0</v>
      </c>
      <c r="BC4" s="9">
        <v>0</v>
      </c>
      <c r="BD4" s="9">
        <v>0</v>
      </c>
      <c r="BE4" s="9">
        <v>0</v>
      </c>
      <c r="BF4" s="9">
        <v>0</v>
      </c>
      <c r="BG4" s="9">
        <v>0</v>
      </c>
      <c r="BH4" s="9">
        <v>0</v>
      </c>
      <c r="BI4" s="9">
        <v>0</v>
      </c>
      <c r="BJ4" s="9">
        <v>0</v>
      </c>
      <c r="BK4" s="9">
        <v>0</v>
      </c>
      <c r="BL4" s="9">
        <v>0</v>
      </c>
      <c r="BM4" s="9">
        <v>0</v>
      </c>
      <c r="BN4" s="9">
        <v>0</v>
      </c>
      <c r="BO4" s="9">
        <v>0</v>
      </c>
      <c r="BP4" s="9">
        <v>0</v>
      </c>
      <c r="BQ4" s="9">
        <v>0</v>
      </c>
      <c r="BR4" s="9">
        <v>0</v>
      </c>
      <c r="BS4" s="9">
        <v>0</v>
      </c>
      <c r="BT4" s="9">
        <v>0</v>
      </c>
      <c r="BU4" s="9">
        <v>0</v>
      </c>
      <c r="BV4" s="9">
        <v>0</v>
      </c>
      <c r="BW4" s="9">
        <v>0</v>
      </c>
      <c r="BX4" s="9">
        <v>0</v>
      </c>
      <c r="BY4" s="9">
        <v>0</v>
      </c>
      <c r="BZ4" s="9">
        <v>0</v>
      </c>
      <c r="CA4" s="9">
        <v>0</v>
      </c>
      <c r="CB4" s="9">
        <v>0</v>
      </c>
      <c r="CC4" s="9">
        <v>0</v>
      </c>
      <c r="CD4" s="9">
        <v>0</v>
      </c>
      <c r="CE4" s="9">
        <v>0</v>
      </c>
      <c r="CF4" s="9">
        <v>0</v>
      </c>
      <c r="CG4" s="9">
        <v>0</v>
      </c>
      <c r="CH4" s="9">
        <v>0</v>
      </c>
      <c r="CI4" s="9">
        <v>0</v>
      </c>
      <c r="CJ4" s="9">
        <v>0</v>
      </c>
      <c r="CK4" s="9">
        <v>0</v>
      </c>
      <c r="CL4" s="9">
        <v>0</v>
      </c>
      <c r="CM4" s="9">
        <v>0</v>
      </c>
      <c r="CN4" s="9">
        <v>0</v>
      </c>
      <c r="CO4" s="9">
        <v>0</v>
      </c>
      <c r="CP4" s="9">
        <v>0</v>
      </c>
      <c r="CQ4" s="9">
        <v>0</v>
      </c>
      <c r="CR4" s="9">
        <v>0</v>
      </c>
      <c r="CS4" s="10">
        <v>0</v>
      </c>
    </row>
    <row r="5" spans="1:197" x14ac:dyDescent="0.35">
      <c r="A5" s="8" t="s">
        <v>0</v>
      </c>
      <c r="B5" s="9" t="s">
        <v>7</v>
      </c>
      <c r="C5" s="9" t="s">
        <v>555</v>
      </c>
      <c r="D5" s="9">
        <f t="shared" si="0"/>
        <v>0</v>
      </c>
      <c r="E5" s="9">
        <v>0</v>
      </c>
      <c r="F5" s="9">
        <v>0</v>
      </c>
      <c r="G5" s="9">
        <v>0</v>
      </c>
      <c r="H5" s="9">
        <v>0</v>
      </c>
      <c r="I5" s="9">
        <v>0</v>
      </c>
      <c r="J5" s="9">
        <v>0</v>
      </c>
      <c r="K5" s="9">
        <v>0</v>
      </c>
      <c r="L5" s="9">
        <v>0</v>
      </c>
      <c r="M5" s="9">
        <v>0</v>
      </c>
      <c r="N5" s="9">
        <v>0</v>
      </c>
      <c r="O5" s="9">
        <v>0</v>
      </c>
      <c r="P5" s="9">
        <v>0</v>
      </c>
      <c r="Q5" s="9">
        <v>0</v>
      </c>
      <c r="R5" s="9">
        <v>0</v>
      </c>
      <c r="S5" s="9">
        <v>0</v>
      </c>
      <c r="T5" s="9">
        <v>0</v>
      </c>
      <c r="U5" s="9">
        <v>0</v>
      </c>
      <c r="V5" s="9">
        <v>0</v>
      </c>
      <c r="W5" s="9">
        <v>0</v>
      </c>
      <c r="X5" s="9">
        <v>0</v>
      </c>
      <c r="Y5" s="9">
        <v>0</v>
      </c>
      <c r="Z5" s="9">
        <v>0</v>
      </c>
      <c r="AA5" s="9">
        <v>0</v>
      </c>
      <c r="AB5" s="9">
        <v>0</v>
      </c>
      <c r="AC5" s="9">
        <v>0</v>
      </c>
      <c r="AD5" s="9">
        <v>0</v>
      </c>
      <c r="AE5" s="9">
        <v>0</v>
      </c>
      <c r="AF5" s="9">
        <v>0</v>
      </c>
      <c r="AG5" s="9">
        <v>0</v>
      </c>
      <c r="AH5" s="9">
        <v>0</v>
      </c>
      <c r="AI5" s="9">
        <v>0</v>
      </c>
      <c r="AJ5" s="9">
        <v>0</v>
      </c>
      <c r="AK5" s="9">
        <v>0</v>
      </c>
      <c r="AL5" s="9">
        <v>0</v>
      </c>
      <c r="AM5" s="9">
        <v>0</v>
      </c>
      <c r="AN5" s="9">
        <v>0</v>
      </c>
      <c r="AO5" s="9">
        <v>0</v>
      </c>
      <c r="AP5" s="9">
        <v>0</v>
      </c>
      <c r="AQ5" s="9">
        <v>0</v>
      </c>
      <c r="AR5" s="9">
        <v>0</v>
      </c>
      <c r="AS5" s="9">
        <v>0</v>
      </c>
      <c r="AT5" s="9">
        <v>0</v>
      </c>
      <c r="AU5" s="9">
        <v>0</v>
      </c>
      <c r="AV5" s="9">
        <v>0</v>
      </c>
      <c r="AW5" s="9">
        <v>0</v>
      </c>
      <c r="AX5" s="9">
        <v>0</v>
      </c>
      <c r="AY5" s="9">
        <v>0</v>
      </c>
      <c r="AZ5" s="9">
        <v>0</v>
      </c>
      <c r="BA5" s="9">
        <v>0</v>
      </c>
      <c r="BB5" s="9">
        <v>0</v>
      </c>
      <c r="BC5" s="9">
        <v>0</v>
      </c>
      <c r="BD5" s="9">
        <v>0</v>
      </c>
      <c r="BE5" s="9">
        <v>0</v>
      </c>
      <c r="BF5" s="9">
        <v>0</v>
      </c>
      <c r="BG5" s="9">
        <v>0</v>
      </c>
      <c r="BH5" s="9">
        <v>0</v>
      </c>
      <c r="BI5" s="9">
        <v>0</v>
      </c>
      <c r="BJ5" s="9">
        <v>0</v>
      </c>
      <c r="BK5" s="9">
        <v>0</v>
      </c>
      <c r="BL5" s="9">
        <v>0</v>
      </c>
      <c r="BM5" s="9">
        <v>0</v>
      </c>
      <c r="BN5" s="9">
        <v>0</v>
      </c>
      <c r="BO5" s="9">
        <v>0</v>
      </c>
      <c r="BP5" s="9">
        <v>0</v>
      </c>
      <c r="BQ5" s="9">
        <v>0</v>
      </c>
      <c r="BR5" s="9">
        <v>0</v>
      </c>
      <c r="BS5" s="9">
        <v>0</v>
      </c>
      <c r="BT5" s="9">
        <v>0</v>
      </c>
      <c r="BU5" s="9">
        <v>0</v>
      </c>
      <c r="BV5" s="9">
        <v>0</v>
      </c>
      <c r="BW5" s="9">
        <v>0</v>
      </c>
      <c r="BX5" s="9">
        <v>0</v>
      </c>
      <c r="BY5" s="9">
        <v>0</v>
      </c>
      <c r="BZ5" s="9">
        <v>0</v>
      </c>
      <c r="CA5" s="9">
        <v>0</v>
      </c>
      <c r="CB5" s="9">
        <v>0</v>
      </c>
      <c r="CC5" s="9">
        <v>0</v>
      </c>
      <c r="CD5" s="9">
        <v>0</v>
      </c>
      <c r="CE5" s="9">
        <v>0</v>
      </c>
      <c r="CF5" s="9">
        <v>0</v>
      </c>
      <c r="CG5" s="9">
        <v>0</v>
      </c>
      <c r="CH5" s="9">
        <v>0</v>
      </c>
      <c r="CI5" s="9">
        <v>0</v>
      </c>
      <c r="CJ5" s="9">
        <v>0</v>
      </c>
      <c r="CK5" s="9">
        <v>0</v>
      </c>
      <c r="CL5" s="9">
        <v>0</v>
      </c>
      <c r="CM5" s="9">
        <v>0</v>
      </c>
      <c r="CN5" s="9">
        <v>0</v>
      </c>
      <c r="CO5" s="9">
        <v>0</v>
      </c>
      <c r="CP5" s="9">
        <v>0</v>
      </c>
      <c r="CQ5" s="9">
        <v>0</v>
      </c>
      <c r="CR5" s="9">
        <v>0</v>
      </c>
      <c r="CS5" s="10">
        <v>0</v>
      </c>
    </row>
    <row r="6" spans="1:197" x14ac:dyDescent="0.35">
      <c r="A6" s="8" t="s">
        <v>0</v>
      </c>
      <c r="B6" s="9" t="s">
        <v>556</v>
      </c>
      <c r="C6" s="9" t="s">
        <v>557</v>
      </c>
      <c r="D6" s="9">
        <f t="shared" si="0"/>
        <v>0</v>
      </c>
      <c r="E6" s="9">
        <v>0</v>
      </c>
      <c r="F6" s="9">
        <v>0</v>
      </c>
      <c r="G6" s="9">
        <v>0</v>
      </c>
      <c r="H6" s="9">
        <v>0</v>
      </c>
      <c r="I6" s="9">
        <v>0</v>
      </c>
      <c r="J6" s="9">
        <v>0</v>
      </c>
      <c r="K6" s="9">
        <v>0</v>
      </c>
      <c r="L6" s="9">
        <v>0</v>
      </c>
      <c r="M6" s="9">
        <v>0</v>
      </c>
      <c r="N6" s="9">
        <v>0</v>
      </c>
      <c r="O6" s="9">
        <v>0</v>
      </c>
      <c r="P6" s="9">
        <v>0</v>
      </c>
      <c r="Q6" s="9">
        <v>0</v>
      </c>
      <c r="R6" s="9">
        <v>0</v>
      </c>
      <c r="S6" s="9">
        <v>0</v>
      </c>
      <c r="T6" s="9">
        <v>0</v>
      </c>
      <c r="U6" s="9">
        <v>0</v>
      </c>
      <c r="V6" s="9">
        <v>0</v>
      </c>
      <c r="W6" s="9">
        <v>0</v>
      </c>
      <c r="X6" s="9">
        <v>0</v>
      </c>
      <c r="Y6" s="9">
        <v>0</v>
      </c>
      <c r="Z6" s="9">
        <v>0</v>
      </c>
      <c r="AA6" s="9">
        <v>0</v>
      </c>
      <c r="AB6" s="9">
        <v>0</v>
      </c>
      <c r="AC6" s="9">
        <v>0</v>
      </c>
      <c r="AD6" s="9">
        <v>0</v>
      </c>
      <c r="AE6" s="9">
        <v>0</v>
      </c>
      <c r="AF6" s="9">
        <v>0</v>
      </c>
      <c r="AG6" s="9">
        <v>0</v>
      </c>
      <c r="AH6" s="9">
        <v>0</v>
      </c>
      <c r="AI6" s="9">
        <v>0</v>
      </c>
      <c r="AJ6" s="9">
        <v>0</v>
      </c>
      <c r="AK6" s="9">
        <v>0</v>
      </c>
      <c r="AL6" s="9">
        <v>0</v>
      </c>
      <c r="AM6" s="9">
        <v>0</v>
      </c>
      <c r="AN6" s="9">
        <v>0</v>
      </c>
      <c r="AO6" s="9">
        <v>0</v>
      </c>
      <c r="AP6" s="9">
        <v>0</v>
      </c>
      <c r="AQ6" s="9">
        <v>0</v>
      </c>
      <c r="AR6" s="9">
        <v>0</v>
      </c>
      <c r="AS6" s="9">
        <v>0</v>
      </c>
      <c r="AT6" s="9">
        <v>0</v>
      </c>
      <c r="AU6" s="9">
        <v>0</v>
      </c>
      <c r="AV6" s="9">
        <v>0</v>
      </c>
      <c r="AW6" s="9">
        <v>0</v>
      </c>
      <c r="AX6" s="9">
        <v>0</v>
      </c>
      <c r="AY6" s="9">
        <v>0</v>
      </c>
      <c r="AZ6" s="9">
        <v>0</v>
      </c>
      <c r="BA6" s="9">
        <v>0</v>
      </c>
      <c r="BB6" s="9">
        <v>0</v>
      </c>
      <c r="BC6" s="9">
        <v>0</v>
      </c>
      <c r="BD6" s="9">
        <v>0</v>
      </c>
      <c r="BE6" s="9">
        <v>0</v>
      </c>
      <c r="BF6" s="9">
        <v>0</v>
      </c>
      <c r="BG6" s="9">
        <v>0</v>
      </c>
      <c r="BH6" s="9">
        <v>0</v>
      </c>
      <c r="BI6" s="9">
        <v>0</v>
      </c>
      <c r="BJ6" s="9">
        <v>0</v>
      </c>
      <c r="BK6" s="9">
        <v>0</v>
      </c>
      <c r="BL6" s="9">
        <v>0</v>
      </c>
      <c r="BM6" s="9">
        <v>0</v>
      </c>
      <c r="BN6" s="9">
        <v>0</v>
      </c>
      <c r="BO6" s="9">
        <v>0</v>
      </c>
      <c r="BP6" s="9">
        <v>0</v>
      </c>
      <c r="BQ6" s="9">
        <v>0</v>
      </c>
      <c r="BR6" s="9">
        <v>0</v>
      </c>
      <c r="BS6" s="9">
        <v>0</v>
      </c>
      <c r="BT6" s="9">
        <v>0</v>
      </c>
      <c r="BU6" s="9">
        <v>0</v>
      </c>
      <c r="BV6" s="9">
        <v>0</v>
      </c>
      <c r="BW6" s="9">
        <v>0</v>
      </c>
      <c r="BX6" s="9">
        <v>0</v>
      </c>
      <c r="BY6" s="9">
        <v>0</v>
      </c>
      <c r="BZ6" s="9">
        <v>0</v>
      </c>
      <c r="CA6" s="9">
        <v>0</v>
      </c>
      <c r="CB6" s="9">
        <v>0</v>
      </c>
      <c r="CC6" s="9">
        <v>0</v>
      </c>
      <c r="CD6" s="9">
        <v>0</v>
      </c>
      <c r="CE6" s="9">
        <v>0</v>
      </c>
      <c r="CF6" s="9">
        <v>0</v>
      </c>
      <c r="CG6" s="9">
        <v>0</v>
      </c>
      <c r="CH6" s="9">
        <v>0</v>
      </c>
      <c r="CI6" s="9">
        <v>0</v>
      </c>
      <c r="CJ6" s="9">
        <v>0</v>
      </c>
      <c r="CK6" s="9">
        <v>0</v>
      </c>
      <c r="CL6" s="9">
        <v>0</v>
      </c>
      <c r="CM6" s="9">
        <v>0</v>
      </c>
      <c r="CN6" s="9">
        <v>0</v>
      </c>
      <c r="CO6" s="9">
        <v>0</v>
      </c>
      <c r="CP6" s="9">
        <v>0</v>
      </c>
      <c r="CQ6" s="9">
        <v>0</v>
      </c>
      <c r="CR6" s="9">
        <v>0</v>
      </c>
      <c r="CS6" s="10">
        <v>0</v>
      </c>
    </row>
    <row r="7" spans="1:197" x14ac:dyDescent="0.35">
      <c r="A7" s="8" t="s">
        <v>0</v>
      </c>
      <c r="B7" s="9" t="s">
        <v>558</v>
      </c>
      <c r="C7" s="9" t="s">
        <v>559</v>
      </c>
      <c r="D7" s="9">
        <f t="shared" si="0"/>
        <v>0</v>
      </c>
      <c r="E7" s="9">
        <v>0</v>
      </c>
      <c r="F7" s="9">
        <v>0</v>
      </c>
      <c r="G7" s="9">
        <v>0</v>
      </c>
      <c r="H7" s="9">
        <v>0</v>
      </c>
      <c r="I7" s="9">
        <v>0</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c r="AH7" s="9">
        <v>0</v>
      </c>
      <c r="AI7" s="9">
        <v>0</v>
      </c>
      <c r="AJ7" s="9">
        <v>0</v>
      </c>
      <c r="AK7" s="9">
        <v>0</v>
      </c>
      <c r="AL7" s="9">
        <v>0</v>
      </c>
      <c r="AM7" s="9">
        <v>0</v>
      </c>
      <c r="AN7" s="9">
        <v>0</v>
      </c>
      <c r="AO7" s="9">
        <v>0</v>
      </c>
      <c r="AP7" s="9">
        <v>0</v>
      </c>
      <c r="AQ7" s="9">
        <v>0</v>
      </c>
      <c r="AR7" s="9">
        <v>0</v>
      </c>
      <c r="AS7" s="9">
        <v>0</v>
      </c>
      <c r="AT7" s="9">
        <v>0</v>
      </c>
      <c r="AU7" s="9">
        <v>0</v>
      </c>
      <c r="AV7" s="9">
        <v>0</v>
      </c>
      <c r="AW7" s="9">
        <v>0</v>
      </c>
      <c r="AX7" s="9">
        <v>0</v>
      </c>
      <c r="AY7" s="9">
        <v>0</v>
      </c>
      <c r="AZ7" s="9">
        <v>0</v>
      </c>
      <c r="BA7" s="9">
        <v>0</v>
      </c>
      <c r="BB7" s="9">
        <v>0</v>
      </c>
      <c r="BC7" s="9">
        <v>0</v>
      </c>
      <c r="BD7" s="9">
        <v>0</v>
      </c>
      <c r="BE7" s="9">
        <v>0</v>
      </c>
      <c r="BF7" s="9">
        <v>0</v>
      </c>
      <c r="BG7" s="9">
        <v>0</v>
      </c>
      <c r="BH7" s="9">
        <v>0</v>
      </c>
      <c r="BI7" s="9">
        <v>0</v>
      </c>
      <c r="BJ7" s="9">
        <v>0</v>
      </c>
      <c r="BK7" s="9">
        <v>0</v>
      </c>
      <c r="BL7" s="9">
        <v>0</v>
      </c>
      <c r="BM7" s="9">
        <v>0</v>
      </c>
      <c r="BN7" s="9">
        <v>0</v>
      </c>
      <c r="BO7" s="9">
        <v>0</v>
      </c>
      <c r="BP7" s="9">
        <v>0</v>
      </c>
      <c r="BQ7" s="9">
        <v>0</v>
      </c>
      <c r="BR7" s="9">
        <v>0</v>
      </c>
      <c r="BS7" s="9">
        <v>0</v>
      </c>
      <c r="BT7" s="9">
        <v>0</v>
      </c>
      <c r="BU7" s="9">
        <v>0</v>
      </c>
      <c r="BV7" s="9">
        <v>0</v>
      </c>
      <c r="BW7" s="9">
        <v>0</v>
      </c>
      <c r="BX7" s="9">
        <v>0</v>
      </c>
      <c r="BY7" s="9">
        <v>0</v>
      </c>
      <c r="BZ7" s="9">
        <v>0</v>
      </c>
      <c r="CA7" s="9">
        <v>0</v>
      </c>
      <c r="CB7" s="9">
        <v>0</v>
      </c>
      <c r="CC7" s="9">
        <v>0</v>
      </c>
      <c r="CD7" s="9">
        <v>0</v>
      </c>
      <c r="CE7" s="9">
        <v>0</v>
      </c>
      <c r="CF7" s="9">
        <v>0</v>
      </c>
      <c r="CG7" s="9">
        <v>0</v>
      </c>
      <c r="CH7" s="9">
        <v>0</v>
      </c>
      <c r="CI7" s="9">
        <v>0</v>
      </c>
      <c r="CJ7" s="9">
        <v>0</v>
      </c>
      <c r="CK7" s="9">
        <v>0</v>
      </c>
      <c r="CL7" s="9">
        <v>0</v>
      </c>
      <c r="CM7" s="9">
        <v>0</v>
      </c>
      <c r="CN7" s="9">
        <v>0</v>
      </c>
      <c r="CO7" s="9">
        <v>0</v>
      </c>
      <c r="CP7" s="9">
        <v>0</v>
      </c>
      <c r="CQ7" s="9">
        <v>0</v>
      </c>
      <c r="CR7" s="9">
        <v>0</v>
      </c>
      <c r="CS7" s="10">
        <v>0</v>
      </c>
    </row>
    <row r="8" spans="1:197" x14ac:dyDescent="0.35">
      <c r="A8" s="8" t="s">
        <v>0</v>
      </c>
      <c r="B8" s="9" t="s">
        <v>9</v>
      </c>
      <c r="C8" s="9" t="s">
        <v>560</v>
      </c>
      <c r="D8" s="9">
        <f t="shared" si="0"/>
        <v>0</v>
      </c>
      <c r="E8" s="9">
        <v>0</v>
      </c>
      <c r="F8" s="9">
        <v>0</v>
      </c>
      <c r="G8" s="9">
        <v>0</v>
      </c>
      <c r="H8" s="9">
        <v>0</v>
      </c>
      <c r="I8" s="9">
        <v>0</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c r="AH8" s="9">
        <v>0</v>
      </c>
      <c r="AI8" s="9">
        <v>0</v>
      </c>
      <c r="AJ8" s="9">
        <v>0</v>
      </c>
      <c r="AK8" s="9">
        <v>0</v>
      </c>
      <c r="AL8" s="9">
        <v>0</v>
      </c>
      <c r="AM8" s="9">
        <v>0</v>
      </c>
      <c r="AN8" s="9">
        <v>0</v>
      </c>
      <c r="AO8" s="9">
        <v>0</v>
      </c>
      <c r="AP8" s="9">
        <v>0</v>
      </c>
      <c r="AQ8" s="9">
        <v>0</v>
      </c>
      <c r="AR8" s="9">
        <v>0</v>
      </c>
      <c r="AS8" s="9">
        <v>0</v>
      </c>
      <c r="AT8" s="9">
        <v>0</v>
      </c>
      <c r="AU8" s="9">
        <v>0</v>
      </c>
      <c r="AV8" s="9">
        <v>0</v>
      </c>
      <c r="AW8" s="9">
        <v>0</v>
      </c>
      <c r="AX8" s="9">
        <v>0</v>
      </c>
      <c r="AY8" s="9">
        <v>0</v>
      </c>
      <c r="AZ8" s="9">
        <v>0</v>
      </c>
      <c r="BA8" s="9">
        <v>0</v>
      </c>
      <c r="BB8" s="9">
        <v>0</v>
      </c>
      <c r="BC8" s="9">
        <v>0</v>
      </c>
      <c r="BD8" s="9">
        <v>0</v>
      </c>
      <c r="BE8" s="9">
        <v>0</v>
      </c>
      <c r="BF8" s="9">
        <v>0</v>
      </c>
      <c r="BG8" s="9">
        <v>0</v>
      </c>
      <c r="BH8" s="9">
        <v>0</v>
      </c>
      <c r="BI8" s="9">
        <v>0</v>
      </c>
      <c r="BJ8" s="9">
        <v>0</v>
      </c>
      <c r="BK8" s="9">
        <v>0</v>
      </c>
      <c r="BL8" s="9">
        <v>0</v>
      </c>
      <c r="BM8" s="9">
        <v>0</v>
      </c>
      <c r="BN8" s="9">
        <v>0</v>
      </c>
      <c r="BO8" s="9">
        <v>0</v>
      </c>
      <c r="BP8" s="9">
        <v>0</v>
      </c>
      <c r="BQ8" s="9">
        <v>0</v>
      </c>
      <c r="BR8" s="9">
        <v>0</v>
      </c>
      <c r="BS8" s="9">
        <v>0</v>
      </c>
      <c r="BT8" s="9">
        <v>0</v>
      </c>
      <c r="BU8" s="9">
        <v>0</v>
      </c>
      <c r="BV8" s="9">
        <v>0</v>
      </c>
      <c r="BW8" s="9">
        <v>0</v>
      </c>
      <c r="BX8" s="9">
        <v>0</v>
      </c>
      <c r="BY8" s="9">
        <v>0</v>
      </c>
      <c r="BZ8" s="9">
        <v>0</v>
      </c>
      <c r="CA8" s="9">
        <v>0</v>
      </c>
      <c r="CB8" s="9">
        <v>0</v>
      </c>
      <c r="CC8" s="9">
        <v>0</v>
      </c>
      <c r="CD8" s="9">
        <v>0</v>
      </c>
      <c r="CE8" s="9">
        <v>0</v>
      </c>
      <c r="CF8" s="9">
        <v>0</v>
      </c>
      <c r="CG8" s="9">
        <v>0</v>
      </c>
      <c r="CH8" s="9">
        <v>0</v>
      </c>
      <c r="CI8" s="9">
        <v>0</v>
      </c>
      <c r="CJ8" s="9">
        <v>0</v>
      </c>
      <c r="CK8" s="9">
        <v>0</v>
      </c>
      <c r="CL8" s="9">
        <v>0</v>
      </c>
      <c r="CM8" s="9">
        <v>0</v>
      </c>
      <c r="CN8" s="9">
        <v>0</v>
      </c>
      <c r="CO8" s="9">
        <v>0</v>
      </c>
      <c r="CP8" s="9">
        <v>0</v>
      </c>
      <c r="CQ8" s="9">
        <v>0</v>
      </c>
      <c r="CR8" s="9">
        <v>0</v>
      </c>
      <c r="CS8" s="10">
        <v>0</v>
      </c>
    </row>
    <row r="9" spans="1:197" x14ac:dyDescent="0.35">
      <c r="A9" s="8" t="s">
        <v>0</v>
      </c>
      <c r="B9" s="9" t="s">
        <v>11</v>
      </c>
      <c r="C9" s="9" t="s">
        <v>561</v>
      </c>
      <c r="D9" s="9">
        <f t="shared" si="0"/>
        <v>0</v>
      </c>
      <c r="E9" s="9">
        <v>0</v>
      </c>
      <c r="F9" s="9">
        <v>0</v>
      </c>
      <c r="G9" s="9">
        <v>0</v>
      </c>
      <c r="H9" s="9">
        <v>0</v>
      </c>
      <c r="I9" s="9">
        <v>0</v>
      </c>
      <c r="J9" s="9">
        <v>0</v>
      </c>
      <c r="K9" s="9">
        <v>0</v>
      </c>
      <c r="L9" s="9">
        <v>0</v>
      </c>
      <c r="M9" s="9">
        <v>0</v>
      </c>
      <c r="N9" s="9">
        <v>0</v>
      </c>
      <c r="O9" s="9">
        <v>0</v>
      </c>
      <c r="P9" s="9">
        <v>0</v>
      </c>
      <c r="Q9" s="9">
        <v>0</v>
      </c>
      <c r="R9" s="9">
        <v>0</v>
      </c>
      <c r="S9" s="9">
        <v>0</v>
      </c>
      <c r="T9" s="9">
        <v>0</v>
      </c>
      <c r="U9" s="9">
        <v>0</v>
      </c>
      <c r="V9" s="9">
        <v>0</v>
      </c>
      <c r="W9" s="9">
        <v>0</v>
      </c>
      <c r="X9" s="9">
        <v>0</v>
      </c>
      <c r="Y9" s="9">
        <v>0</v>
      </c>
      <c r="Z9" s="9">
        <v>0</v>
      </c>
      <c r="AA9" s="9">
        <v>0</v>
      </c>
      <c r="AB9" s="9">
        <v>0</v>
      </c>
      <c r="AC9" s="9">
        <v>0</v>
      </c>
      <c r="AD9" s="9">
        <v>0</v>
      </c>
      <c r="AE9" s="9">
        <v>0</v>
      </c>
      <c r="AF9" s="9">
        <v>0</v>
      </c>
      <c r="AG9" s="9">
        <v>0</v>
      </c>
      <c r="AH9" s="9">
        <v>0</v>
      </c>
      <c r="AI9" s="9">
        <v>0</v>
      </c>
      <c r="AJ9" s="9">
        <v>0</v>
      </c>
      <c r="AK9" s="9">
        <v>0</v>
      </c>
      <c r="AL9" s="9">
        <v>0</v>
      </c>
      <c r="AM9" s="9">
        <v>0</v>
      </c>
      <c r="AN9" s="9">
        <v>0</v>
      </c>
      <c r="AO9" s="9">
        <v>0</v>
      </c>
      <c r="AP9" s="9">
        <v>0</v>
      </c>
      <c r="AQ9" s="9">
        <v>0</v>
      </c>
      <c r="AR9" s="9">
        <v>0</v>
      </c>
      <c r="AS9" s="9">
        <v>0</v>
      </c>
      <c r="AT9" s="9">
        <v>0</v>
      </c>
      <c r="AU9" s="9">
        <v>0</v>
      </c>
      <c r="AV9" s="9">
        <v>0</v>
      </c>
      <c r="AW9" s="9">
        <v>0</v>
      </c>
      <c r="AX9" s="9">
        <v>0</v>
      </c>
      <c r="AY9" s="9">
        <v>0</v>
      </c>
      <c r="AZ9" s="9">
        <v>0</v>
      </c>
      <c r="BA9" s="9">
        <v>0</v>
      </c>
      <c r="BB9" s="9">
        <v>0</v>
      </c>
      <c r="BC9" s="9">
        <v>0</v>
      </c>
      <c r="BD9" s="9">
        <v>0</v>
      </c>
      <c r="BE9" s="9">
        <v>0</v>
      </c>
      <c r="BF9" s="9">
        <v>0</v>
      </c>
      <c r="BG9" s="9">
        <v>0</v>
      </c>
      <c r="BH9" s="9">
        <v>0</v>
      </c>
      <c r="BI9" s="9">
        <v>0</v>
      </c>
      <c r="BJ9" s="9">
        <v>0</v>
      </c>
      <c r="BK9" s="9">
        <v>0</v>
      </c>
      <c r="BL9" s="9">
        <v>0</v>
      </c>
      <c r="BM9" s="9">
        <v>0</v>
      </c>
      <c r="BN9" s="9">
        <v>0</v>
      </c>
      <c r="BO9" s="9">
        <v>0</v>
      </c>
      <c r="BP9" s="9">
        <v>0</v>
      </c>
      <c r="BQ9" s="9">
        <v>0</v>
      </c>
      <c r="BR9" s="9">
        <v>0</v>
      </c>
      <c r="BS9" s="9">
        <v>0</v>
      </c>
      <c r="BT9" s="9">
        <v>0</v>
      </c>
      <c r="BU9" s="9">
        <v>0</v>
      </c>
      <c r="BV9" s="9">
        <v>0</v>
      </c>
      <c r="BW9" s="9">
        <v>0</v>
      </c>
      <c r="BX9" s="9">
        <v>0</v>
      </c>
      <c r="BY9" s="9">
        <v>0</v>
      </c>
      <c r="BZ9" s="9">
        <v>0</v>
      </c>
      <c r="CA9" s="9">
        <v>0</v>
      </c>
      <c r="CB9" s="9">
        <v>0</v>
      </c>
      <c r="CC9" s="9">
        <v>0</v>
      </c>
      <c r="CD9" s="9">
        <v>0</v>
      </c>
      <c r="CE9" s="9">
        <v>0</v>
      </c>
      <c r="CF9" s="9">
        <v>0</v>
      </c>
      <c r="CG9" s="9">
        <v>0</v>
      </c>
      <c r="CH9" s="9">
        <v>0</v>
      </c>
      <c r="CI9" s="9">
        <v>0</v>
      </c>
      <c r="CJ9" s="9">
        <v>0</v>
      </c>
      <c r="CK9" s="9">
        <v>0</v>
      </c>
      <c r="CL9" s="9">
        <v>0</v>
      </c>
      <c r="CM9" s="9">
        <v>0</v>
      </c>
      <c r="CN9" s="9">
        <v>0</v>
      </c>
      <c r="CO9" s="9">
        <v>0</v>
      </c>
      <c r="CP9" s="9">
        <v>0</v>
      </c>
      <c r="CQ9" s="9">
        <v>0</v>
      </c>
      <c r="CR9" s="9">
        <v>0</v>
      </c>
      <c r="CS9" s="10">
        <v>0</v>
      </c>
    </row>
    <row r="10" spans="1:197" x14ac:dyDescent="0.35">
      <c r="A10" s="8" t="s">
        <v>0</v>
      </c>
      <c r="B10" s="9" t="s">
        <v>562</v>
      </c>
      <c r="C10" s="9" t="s">
        <v>563</v>
      </c>
      <c r="D10" s="9">
        <f t="shared" si="0"/>
        <v>0</v>
      </c>
      <c r="E10" s="9">
        <v>0</v>
      </c>
      <c r="F10" s="9">
        <v>0</v>
      </c>
      <c r="G10" s="9">
        <v>0</v>
      </c>
      <c r="H10" s="9">
        <v>0</v>
      </c>
      <c r="I10" s="9">
        <v>0</v>
      </c>
      <c r="J10" s="9">
        <v>0</v>
      </c>
      <c r="K10" s="9">
        <v>0</v>
      </c>
      <c r="L10" s="9">
        <v>0</v>
      </c>
      <c r="M10" s="9">
        <v>0</v>
      </c>
      <c r="N10" s="9">
        <v>0</v>
      </c>
      <c r="O10" s="9">
        <v>0</v>
      </c>
      <c r="P10" s="9">
        <v>0</v>
      </c>
      <c r="Q10" s="9">
        <v>0</v>
      </c>
      <c r="R10" s="9">
        <v>0</v>
      </c>
      <c r="S10" s="9">
        <v>0</v>
      </c>
      <c r="T10" s="9">
        <v>0</v>
      </c>
      <c r="U10" s="9">
        <v>0</v>
      </c>
      <c r="V10" s="9">
        <v>0</v>
      </c>
      <c r="W10" s="9">
        <v>0</v>
      </c>
      <c r="X10" s="9">
        <v>0</v>
      </c>
      <c r="Y10" s="9">
        <v>0</v>
      </c>
      <c r="Z10" s="9">
        <v>0</v>
      </c>
      <c r="AA10" s="9">
        <v>0</v>
      </c>
      <c r="AB10" s="9">
        <v>0</v>
      </c>
      <c r="AC10" s="9">
        <v>0</v>
      </c>
      <c r="AD10" s="9">
        <v>0</v>
      </c>
      <c r="AE10" s="9">
        <v>0</v>
      </c>
      <c r="AF10" s="9">
        <v>0</v>
      </c>
      <c r="AG10" s="9">
        <v>0</v>
      </c>
      <c r="AH10" s="9">
        <v>0</v>
      </c>
      <c r="AI10" s="9">
        <v>0</v>
      </c>
      <c r="AJ10" s="9">
        <v>0</v>
      </c>
      <c r="AK10" s="9">
        <v>0</v>
      </c>
      <c r="AL10" s="9">
        <v>0</v>
      </c>
      <c r="AM10" s="9">
        <v>0</v>
      </c>
      <c r="AN10" s="9">
        <v>0</v>
      </c>
      <c r="AO10" s="9">
        <v>0</v>
      </c>
      <c r="AP10" s="9">
        <v>0</v>
      </c>
      <c r="AQ10" s="9">
        <v>0</v>
      </c>
      <c r="AR10" s="9">
        <v>0</v>
      </c>
      <c r="AS10" s="9">
        <v>0</v>
      </c>
      <c r="AT10" s="9">
        <v>0</v>
      </c>
      <c r="AU10" s="9">
        <v>0</v>
      </c>
      <c r="AV10" s="9">
        <v>0</v>
      </c>
      <c r="AW10" s="9">
        <v>0</v>
      </c>
      <c r="AX10" s="9">
        <v>0</v>
      </c>
      <c r="AY10" s="9">
        <v>0</v>
      </c>
      <c r="AZ10" s="9">
        <v>0</v>
      </c>
      <c r="BA10" s="9">
        <v>0</v>
      </c>
      <c r="BB10" s="9">
        <v>0</v>
      </c>
      <c r="BC10" s="9">
        <v>0</v>
      </c>
      <c r="BD10" s="9">
        <v>0</v>
      </c>
      <c r="BE10" s="9">
        <v>0</v>
      </c>
      <c r="BF10" s="9">
        <v>0</v>
      </c>
      <c r="BG10" s="9">
        <v>0</v>
      </c>
      <c r="BH10" s="9">
        <v>0</v>
      </c>
      <c r="BI10" s="9">
        <v>0</v>
      </c>
      <c r="BJ10" s="9">
        <v>0</v>
      </c>
      <c r="BK10" s="9">
        <v>0</v>
      </c>
      <c r="BL10" s="9">
        <v>0</v>
      </c>
      <c r="BM10" s="9">
        <v>0</v>
      </c>
      <c r="BN10" s="9">
        <v>0</v>
      </c>
      <c r="BO10" s="9">
        <v>0</v>
      </c>
      <c r="BP10" s="9">
        <v>0</v>
      </c>
      <c r="BQ10" s="9">
        <v>0</v>
      </c>
      <c r="BR10" s="9">
        <v>0</v>
      </c>
      <c r="BS10" s="9">
        <v>0</v>
      </c>
      <c r="BT10" s="9">
        <v>0</v>
      </c>
      <c r="BU10" s="9">
        <v>0</v>
      </c>
      <c r="BV10" s="9">
        <v>0</v>
      </c>
      <c r="BW10" s="9">
        <v>0</v>
      </c>
      <c r="BX10" s="9">
        <v>0</v>
      </c>
      <c r="BY10" s="9">
        <v>0</v>
      </c>
      <c r="BZ10" s="9">
        <v>0</v>
      </c>
      <c r="CA10" s="9">
        <v>0</v>
      </c>
      <c r="CB10" s="9">
        <v>0</v>
      </c>
      <c r="CC10" s="9">
        <v>0</v>
      </c>
      <c r="CD10" s="9">
        <v>0</v>
      </c>
      <c r="CE10" s="9">
        <v>0</v>
      </c>
      <c r="CF10" s="9">
        <v>0</v>
      </c>
      <c r="CG10" s="9">
        <v>0</v>
      </c>
      <c r="CH10" s="9">
        <v>0</v>
      </c>
      <c r="CI10" s="9">
        <v>0</v>
      </c>
      <c r="CJ10" s="9">
        <v>0</v>
      </c>
      <c r="CK10" s="9">
        <v>0</v>
      </c>
      <c r="CL10" s="9">
        <v>0</v>
      </c>
      <c r="CM10" s="9">
        <v>0</v>
      </c>
      <c r="CN10" s="9">
        <v>0</v>
      </c>
      <c r="CO10" s="9">
        <v>0</v>
      </c>
      <c r="CP10" s="9">
        <v>0</v>
      </c>
      <c r="CQ10" s="9">
        <v>0</v>
      </c>
      <c r="CR10" s="9">
        <v>0</v>
      </c>
      <c r="CS10" s="10">
        <v>0</v>
      </c>
    </row>
    <row r="11" spans="1:197" x14ac:dyDescent="0.35">
      <c r="A11" s="8" t="s">
        <v>0</v>
      </c>
      <c r="B11" s="9" t="s">
        <v>564</v>
      </c>
      <c r="C11" s="9" t="s">
        <v>565</v>
      </c>
      <c r="D11" s="9">
        <f t="shared" si="0"/>
        <v>0</v>
      </c>
      <c r="E11" s="9">
        <v>0</v>
      </c>
      <c r="F11" s="9">
        <v>0</v>
      </c>
      <c r="G11" s="9">
        <v>0</v>
      </c>
      <c r="H11" s="9">
        <v>0</v>
      </c>
      <c r="I11" s="9">
        <v>0</v>
      </c>
      <c r="J11" s="9">
        <v>0</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c r="AH11" s="9">
        <v>0</v>
      </c>
      <c r="AI11" s="9">
        <v>0</v>
      </c>
      <c r="AJ11" s="9">
        <v>0</v>
      </c>
      <c r="AK11" s="9">
        <v>0</v>
      </c>
      <c r="AL11" s="9">
        <v>0</v>
      </c>
      <c r="AM11" s="9">
        <v>0</v>
      </c>
      <c r="AN11" s="9">
        <v>0</v>
      </c>
      <c r="AO11" s="9">
        <v>0</v>
      </c>
      <c r="AP11" s="9">
        <v>0</v>
      </c>
      <c r="AQ11" s="9">
        <v>0</v>
      </c>
      <c r="AR11" s="9">
        <v>0</v>
      </c>
      <c r="AS11" s="9">
        <v>0</v>
      </c>
      <c r="AT11" s="9">
        <v>0</v>
      </c>
      <c r="AU11" s="9">
        <v>0</v>
      </c>
      <c r="AV11" s="9">
        <v>0</v>
      </c>
      <c r="AW11" s="9">
        <v>0</v>
      </c>
      <c r="AX11" s="9">
        <v>0</v>
      </c>
      <c r="AY11" s="9">
        <v>0</v>
      </c>
      <c r="AZ11" s="9">
        <v>0</v>
      </c>
      <c r="BA11" s="9">
        <v>0</v>
      </c>
      <c r="BB11" s="9">
        <v>0</v>
      </c>
      <c r="BC11" s="9">
        <v>0</v>
      </c>
      <c r="BD11" s="9">
        <v>0</v>
      </c>
      <c r="BE11" s="9">
        <v>0</v>
      </c>
      <c r="BF11" s="9">
        <v>0</v>
      </c>
      <c r="BG11" s="9">
        <v>0</v>
      </c>
      <c r="BH11" s="9">
        <v>0</v>
      </c>
      <c r="BI11" s="9">
        <v>0</v>
      </c>
      <c r="BJ11" s="9">
        <v>0</v>
      </c>
      <c r="BK11" s="9">
        <v>0</v>
      </c>
      <c r="BL11" s="9">
        <v>0</v>
      </c>
      <c r="BM11" s="9">
        <v>0</v>
      </c>
      <c r="BN11" s="9">
        <v>0</v>
      </c>
      <c r="BO11" s="9">
        <v>0</v>
      </c>
      <c r="BP11" s="9">
        <v>0</v>
      </c>
      <c r="BQ11" s="9">
        <v>0</v>
      </c>
      <c r="BR11" s="9">
        <v>0</v>
      </c>
      <c r="BS11" s="9">
        <v>0</v>
      </c>
      <c r="BT11" s="9">
        <v>0</v>
      </c>
      <c r="BU11" s="9">
        <v>0</v>
      </c>
      <c r="BV11" s="9">
        <v>0</v>
      </c>
      <c r="BW11" s="9">
        <v>0</v>
      </c>
      <c r="BX11" s="9">
        <v>0</v>
      </c>
      <c r="BY11" s="9">
        <v>0</v>
      </c>
      <c r="BZ11" s="9">
        <v>0</v>
      </c>
      <c r="CA11" s="9">
        <v>0</v>
      </c>
      <c r="CB11" s="9">
        <v>0</v>
      </c>
      <c r="CC11" s="9">
        <v>0</v>
      </c>
      <c r="CD11" s="9">
        <v>0</v>
      </c>
      <c r="CE11" s="9">
        <v>0</v>
      </c>
      <c r="CF11" s="9">
        <v>0</v>
      </c>
      <c r="CG11" s="9">
        <v>0</v>
      </c>
      <c r="CH11" s="9">
        <v>0</v>
      </c>
      <c r="CI11" s="9">
        <v>0</v>
      </c>
      <c r="CJ11" s="9">
        <v>0</v>
      </c>
      <c r="CK11" s="9">
        <v>0</v>
      </c>
      <c r="CL11" s="9">
        <v>0</v>
      </c>
      <c r="CM11" s="9">
        <v>0</v>
      </c>
      <c r="CN11" s="9">
        <v>0</v>
      </c>
      <c r="CO11" s="9">
        <v>0</v>
      </c>
      <c r="CP11" s="9">
        <v>0</v>
      </c>
      <c r="CQ11" s="9">
        <v>0</v>
      </c>
      <c r="CR11" s="9">
        <v>0</v>
      </c>
      <c r="CS11" s="10">
        <v>0</v>
      </c>
    </row>
    <row r="12" spans="1:197" x14ac:dyDescent="0.35">
      <c r="A12" s="8" t="s">
        <v>0</v>
      </c>
      <c r="B12" s="9" t="s">
        <v>566</v>
      </c>
      <c r="C12" s="9" t="s">
        <v>567</v>
      </c>
      <c r="D12" s="9">
        <f t="shared" si="0"/>
        <v>0</v>
      </c>
      <c r="E12" s="9">
        <v>0</v>
      </c>
      <c r="F12" s="9">
        <v>0</v>
      </c>
      <c r="G12" s="9">
        <v>0</v>
      </c>
      <c r="H12" s="9">
        <v>0</v>
      </c>
      <c r="I12" s="9">
        <v>0</v>
      </c>
      <c r="J12" s="9">
        <v>0</v>
      </c>
      <c r="K12" s="9">
        <v>0</v>
      </c>
      <c r="L12" s="9">
        <v>0</v>
      </c>
      <c r="M12" s="9">
        <v>0</v>
      </c>
      <c r="N12" s="9">
        <v>0</v>
      </c>
      <c r="O12" s="9">
        <v>0</v>
      </c>
      <c r="P12" s="9">
        <v>0</v>
      </c>
      <c r="Q12" s="9">
        <v>0</v>
      </c>
      <c r="R12" s="9">
        <v>0</v>
      </c>
      <c r="S12" s="9">
        <v>0</v>
      </c>
      <c r="T12" s="9">
        <v>0</v>
      </c>
      <c r="U12" s="9">
        <v>0</v>
      </c>
      <c r="V12" s="9">
        <v>0</v>
      </c>
      <c r="W12" s="9">
        <v>0</v>
      </c>
      <c r="X12" s="9">
        <v>0</v>
      </c>
      <c r="Y12" s="9">
        <v>0</v>
      </c>
      <c r="Z12" s="9">
        <v>0</v>
      </c>
      <c r="AA12" s="9">
        <v>0</v>
      </c>
      <c r="AB12" s="9">
        <v>0</v>
      </c>
      <c r="AC12" s="9">
        <v>0</v>
      </c>
      <c r="AD12" s="9">
        <v>0</v>
      </c>
      <c r="AE12" s="9">
        <v>0</v>
      </c>
      <c r="AF12" s="9">
        <v>0</v>
      </c>
      <c r="AG12" s="9">
        <v>0</v>
      </c>
      <c r="AH12" s="9">
        <v>0</v>
      </c>
      <c r="AI12" s="9">
        <v>0</v>
      </c>
      <c r="AJ12" s="9">
        <v>0</v>
      </c>
      <c r="AK12" s="9">
        <v>0</v>
      </c>
      <c r="AL12" s="9">
        <v>0</v>
      </c>
      <c r="AM12" s="9">
        <v>0</v>
      </c>
      <c r="AN12" s="9">
        <v>0</v>
      </c>
      <c r="AO12" s="9">
        <v>0</v>
      </c>
      <c r="AP12" s="9">
        <v>0</v>
      </c>
      <c r="AQ12" s="9">
        <v>0</v>
      </c>
      <c r="AR12" s="9">
        <v>0</v>
      </c>
      <c r="AS12" s="9">
        <v>0</v>
      </c>
      <c r="AT12" s="9">
        <v>0</v>
      </c>
      <c r="AU12" s="9">
        <v>0</v>
      </c>
      <c r="AV12" s="9">
        <v>0</v>
      </c>
      <c r="AW12" s="9">
        <v>0</v>
      </c>
      <c r="AX12" s="9">
        <v>0</v>
      </c>
      <c r="AY12" s="9">
        <v>0</v>
      </c>
      <c r="AZ12" s="9">
        <v>0</v>
      </c>
      <c r="BA12" s="9">
        <v>0</v>
      </c>
      <c r="BB12" s="9">
        <v>0</v>
      </c>
      <c r="BC12" s="9">
        <v>0</v>
      </c>
      <c r="BD12" s="9">
        <v>0</v>
      </c>
      <c r="BE12" s="9">
        <v>0</v>
      </c>
      <c r="BF12" s="9">
        <v>0</v>
      </c>
      <c r="BG12" s="9">
        <v>0</v>
      </c>
      <c r="BH12" s="9">
        <v>0</v>
      </c>
      <c r="BI12" s="9">
        <v>0</v>
      </c>
      <c r="BJ12" s="9">
        <v>0</v>
      </c>
      <c r="BK12" s="9">
        <v>0</v>
      </c>
      <c r="BL12" s="9">
        <v>0</v>
      </c>
      <c r="BM12" s="9">
        <v>0</v>
      </c>
      <c r="BN12" s="9">
        <v>0</v>
      </c>
      <c r="BO12" s="9">
        <v>0</v>
      </c>
      <c r="BP12" s="9">
        <v>0</v>
      </c>
      <c r="BQ12" s="9">
        <v>0</v>
      </c>
      <c r="BR12" s="9">
        <v>0</v>
      </c>
      <c r="BS12" s="9">
        <v>0</v>
      </c>
      <c r="BT12" s="9">
        <v>0</v>
      </c>
      <c r="BU12" s="9">
        <v>0</v>
      </c>
      <c r="BV12" s="9">
        <v>0</v>
      </c>
      <c r="BW12" s="9">
        <v>0</v>
      </c>
      <c r="BX12" s="9">
        <v>0</v>
      </c>
      <c r="BY12" s="9">
        <v>0</v>
      </c>
      <c r="BZ12" s="9">
        <v>0</v>
      </c>
      <c r="CA12" s="9">
        <v>0</v>
      </c>
      <c r="CB12" s="9">
        <v>0</v>
      </c>
      <c r="CC12" s="9">
        <v>0</v>
      </c>
      <c r="CD12" s="9">
        <v>0</v>
      </c>
      <c r="CE12" s="9">
        <v>0</v>
      </c>
      <c r="CF12" s="9">
        <v>0</v>
      </c>
      <c r="CG12" s="9">
        <v>0</v>
      </c>
      <c r="CH12" s="9">
        <v>0</v>
      </c>
      <c r="CI12" s="9">
        <v>0</v>
      </c>
      <c r="CJ12" s="9">
        <v>0</v>
      </c>
      <c r="CK12" s="9">
        <v>0</v>
      </c>
      <c r="CL12" s="9">
        <v>0</v>
      </c>
      <c r="CM12" s="9">
        <v>0</v>
      </c>
      <c r="CN12" s="9">
        <v>0</v>
      </c>
      <c r="CO12" s="9">
        <v>0</v>
      </c>
      <c r="CP12" s="9">
        <v>0</v>
      </c>
      <c r="CQ12" s="9">
        <v>0</v>
      </c>
      <c r="CR12" s="9">
        <v>0</v>
      </c>
      <c r="CS12" s="10">
        <v>0</v>
      </c>
    </row>
    <row r="13" spans="1:197" x14ac:dyDescent="0.35">
      <c r="A13" s="8" t="s">
        <v>0</v>
      </c>
      <c r="B13" s="9" t="s">
        <v>568</v>
      </c>
      <c r="C13" s="9" t="s">
        <v>569</v>
      </c>
      <c r="D13" s="9">
        <f t="shared" si="0"/>
        <v>0</v>
      </c>
      <c r="E13" s="9">
        <v>0</v>
      </c>
      <c r="F13" s="9">
        <v>0</v>
      </c>
      <c r="G13" s="9">
        <v>0</v>
      </c>
      <c r="H13" s="9">
        <v>0</v>
      </c>
      <c r="I13" s="9">
        <v>0</v>
      </c>
      <c r="J13" s="9">
        <v>0</v>
      </c>
      <c r="K13" s="9">
        <v>0</v>
      </c>
      <c r="L13" s="9">
        <v>0</v>
      </c>
      <c r="M13" s="9">
        <v>0</v>
      </c>
      <c r="N13" s="9">
        <v>0</v>
      </c>
      <c r="O13" s="9">
        <v>0</v>
      </c>
      <c r="P13" s="9">
        <v>0</v>
      </c>
      <c r="Q13" s="9">
        <v>0</v>
      </c>
      <c r="R13" s="9">
        <v>0</v>
      </c>
      <c r="S13" s="9">
        <v>0</v>
      </c>
      <c r="T13" s="9">
        <v>0</v>
      </c>
      <c r="U13" s="9">
        <v>0</v>
      </c>
      <c r="V13" s="9">
        <v>0</v>
      </c>
      <c r="W13" s="9">
        <v>0</v>
      </c>
      <c r="X13" s="9">
        <v>0</v>
      </c>
      <c r="Y13" s="9">
        <v>0</v>
      </c>
      <c r="Z13" s="9">
        <v>0</v>
      </c>
      <c r="AA13" s="9">
        <v>0</v>
      </c>
      <c r="AB13" s="9">
        <v>0</v>
      </c>
      <c r="AC13" s="9">
        <v>0</v>
      </c>
      <c r="AD13" s="9">
        <v>0</v>
      </c>
      <c r="AE13" s="9">
        <v>0</v>
      </c>
      <c r="AF13" s="9">
        <v>0</v>
      </c>
      <c r="AG13" s="9">
        <v>0</v>
      </c>
      <c r="AH13" s="9">
        <v>0</v>
      </c>
      <c r="AI13" s="9">
        <v>0</v>
      </c>
      <c r="AJ13" s="9">
        <v>0</v>
      </c>
      <c r="AK13" s="9">
        <v>0</v>
      </c>
      <c r="AL13" s="9">
        <v>0</v>
      </c>
      <c r="AM13" s="9">
        <v>0</v>
      </c>
      <c r="AN13" s="9">
        <v>0</v>
      </c>
      <c r="AO13" s="9">
        <v>0</v>
      </c>
      <c r="AP13" s="9">
        <v>0</v>
      </c>
      <c r="AQ13" s="9">
        <v>0</v>
      </c>
      <c r="AR13" s="9">
        <v>0</v>
      </c>
      <c r="AS13" s="9">
        <v>0</v>
      </c>
      <c r="AT13" s="9">
        <v>0</v>
      </c>
      <c r="AU13" s="9">
        <v>0</v>
      </c>
      <c r="AV13" s="9">
        <v>0</v>
      </c>
      <c r="AW13" s="9">
        <v>0</v>
      </c>
      <c r="AX13" s="9">
        <v>0</v>
      </c>
      <c r="AY13" s="9">
        <v>0</v>
      </c>
      <c r="AZ13" s="9">
        <v>0</v>
      </c>
      <c r="BA13" s="9">
        <v>0</v>
      </c>
      <c r="BB13" s="9">
        <v>0</v>
      </c>
      <c r="BC13" s="9">
        <v>0</v>
      </c>
      <c r="BD13" s="9">
        <v>0</v>
      </c>
      <c r="BE13" s="9">
        <v>0</v>
      </c>
      <c r="BF13" s="9">
        <v>0</v>
      </c>
      <c r="BG13" s="9">
        <v>0</v>
      </c>
      <c r="BH13" s="9">
        <v>0</v>
      </c>
      <c r="BI13" s="9">
        <v>0</v>
      </c>
      <c r="BJ13" s="9">
        <v>0</v>
      </c>
      <c r="BK13" s="9">
        <v>0</v>
      </c>
      <c r="BL13" s="9">
        <v>0</v>
      </c>
      <c r="BM13" s="9">
        <v>0</v>
      </c>
      <c r="BN13" s="9">
        <v>0</v>
      </c>
      <c r="BO13" s="9">
        <v>0</v>
      </c>
      <c r="BP13" s="9">
        <v>0</v>
      </c>
      <c r="BQ13" s="9">
        <v>0</v>
      </c>
      <c r="BR13" s="9">
        <v>0</v>
      </c>
      <c r="BS13" s="9">
        <v>0</v>
      </c>
      <c r="BT13" s="9">
        <v>0</v>
      </c>
      <c r="BU13" s="9">
        <v>0</v>
      </c>
      <c r="BV13" s="9">
        <v>0</v>
      </c>
      <c r="BW13" s="9">
        <v>0</v>
      </c>
      <c r="BX13" s="9">
        <v>0</v>
      </c>
      <c r="BY13" s="9">
        <v>0</v>
      </c>
      <c r="BZ13" s="9">
        <v>0</v>
      </c>
      <c r="CA13" s="9">
        <v>0</v>
      </c>
      <c r="CB13" s="9">
        <v>0</v>
      </c>
      <c r="CC13" s="9">
        <v>0</v>
      </c>
      <c r="CD13" s="9">
        <v>0</v>
      </c>
      <c r="CE13" s="9">
        <v>0</v>
      </c>
      <c r="CF13" s="9">
        <v>0</v>
      </c>
      <c r="CG13" s="9">
        <v>0</v>
      </c>
      <c r="CH13" s="9">
        <v>0</v>
      </c>
      <c r="CI13" s="9">
        <v>0</v>
      </c>
      <c r="CJ13" s="9">
        <v>0</v>
      </c>
      <c r="CK13" s="9">
        <v>0</v>
      </c>
      <c r="CL13" s="9">
        <v>0</v>
      </c>
      <c r="CM13" s="9">
        <v>0</v>
      </c>
      <c r="CN13" s="9">
        <v>0</v>
      </c>
      <c r="CO13" s="9">
        <v>0</v>
      </c>
      <c r="CP13" s="9">
        <v>0</v>
      </c>
      <c r="CQ13" s="9">
        <v>0</v>
      </c>
      <c r="CR13" s="9">
        <v>0</v>
      </c>
      <c r="CS13" s="10">
        <v>0</v>
      </c>
    </row>
    <row r="14" spans="1:197" x14ac:dyDescent="0.35">
      <c r="A14" s="8" t="s">
        <v>0</v>
      </c>
      <c r="B14" s="9" t="s">
        <v>15</v>
      </c>
      <c r="C14" s="9" t="s">
        <v>570</v>
      </c>
      <c r="D14" s="9">
        <f t="shared" si="0"/>
        <v>5</v>
      </c>
      <c r="E14" s="9">
        <v>0</v>
      </c>
      <c r="F14" s="9">
        <v>0</v>
      </c>
      <c r="G14" s="9">
        <v>0</v>
      </c>
      <c r="H14" s="9">
        <v>0</v>
      </c>
      <c r="I14" s="9">
        <v>0</v>
      </c>
      <c r="J14" s="9">
        <v>0</v>
      </c>
      <c r="K14" s="9">
        <v>0</v>
      </c>
      <c r="L14" s="9">
        <v>0</v>
      </c>
      <c r="M14" s="9">
        <v>0</v>
      </c>
      <c r="N14" s="9">
        <v>0</v>
      </c>
      <c r="O14" s="9">
        <v>0</v>
      </c>
      <c r="P14" s="9">
        <v>0</v>
      </c>
      <c r="Q14" s="9">
        <v>0</v>
      </c>
      <c r="R14" s="9">
        <v>0</v>
      </c>
      <c r="S14" s="9">
        <v>0</v>
      </c>
      <c r="T14" s="9">
        <v>0</v>
      </c>
      <c r="U14" s="9">
        <v>0</v>
      </c>
      <c r="V14" s="9">
        <v>0</v>
      </c>
      <c r="W14" s="9">
        <v>0</v>
      </c>
      <c r="X14" s="9">
        <v>0</v>
      </c>
      <c r="Y14" s="9">
        <v>0</v>
      </c>
      <c r="Z14" s="9">
        <v>0</v>
      </c>
      <c r="AA14" s="9">
        <v>0</v>
      </c>
      <c r="AB14" s="9">
        <v>0</v>
      </c>
      <c r="AC14" s="9">
        <v>0</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c r="AU14" s="9">
        <v>0</v>
      </c>
      <c r="AV14" s="9">
        <v>0</v>
      </c>
      <c r="AW14" s="9">
        <v>0</v>
      </c>
      <c r="AX14" s="9">
        <v>0</v>
      </c>
      <c r="AY14" s="9">
        <v>0</v>
      </c>
      <c r="AZ14" s="9">
        <v>0</v>
      </c>
      <c r="BA14" s="9">
        <v>0</v>
      </c>
      <c r="BB14" s="9">
        <v>0</v>
      </c>
      <c r="BC14" s="9">
        <v>0</v>
      </c>
      <c r="BD14" s="9">
        <v>0</v>
      </c>
      <c r="BE14" s="9">
        <v>0</v>
      </c>
      <c r="BF14" s="9">
        <v>0</v>
      </c>
      <c r="BG14" s="9">
        <v>0</v>
      </c>
      <c r="BH14" s="9">
        <v>0</v>
      </c>
      <c r="BI14" s="9">
        <v>0</v>
      </c>
      <c r="BJ14" s="9">
        <v>0</v>
      </c>
      <c r="BK14" s="9">
        <v>0</v>
      </c>
      <c r="BL14" s="9">
        <v>0</v>
      </c>
      <c r="BM14" s="9">
        <v>0</v>
      </c>
      <c r="BN14" s="9">
        <v>0</v>
      </c>
      <c r="BO14" s="9">
        <v>0</v>
      </c>
      <c r="BP14" s="9">
        <v>0</v>
      </c>
      <c r="BQ14" s="9">
        <v>0</v>
      </c>
      <c r="BR14" s="9">
        <v>0</v>
      </c>
      <c r="BS14" s="9">
        <v>0</v>
      </c>
      <c r="BT14" s="9">
        <v>0</v>
      </c>
      <c r="BU14" s="9">
        <v>0</v>
      </c>
      <c r="BV14" s="9">
        <v>0</v>
      </c>
      <c r="BW14" s="9">
        <v>0</v>
      </c>
      <c r="BX14" s="9">
        <v>0</v>
      </c>
      <c r="BY14" s="9">
        <v>0</v>
      </c>
      <c r="BZ14" s="9">
        <v>0</v>
      </c>
      <c r="CA14" s="9">
        <v>0</v>
      </c>
      <c r="CB14" s="9">
        <v>0</v>
      </c>
      <c r="CC14" s="9">
        <v>0</v>
      </c>
      <c r="CD14" s="9">
        <v>0</v>
      </c>
      <c r="CE14" s="9">
        <v>0</v>
      </c>
      <c r="CF14" s="9">
        <v>1</v>
      </c>
      <c r="CG14" s="9">
        <v>0</v>
      </c>
      <c r="CH14" s="9">
        <v>1</v>
      </c>
      <c r="CI14" s="9">
        <v>1</v>
      </c>
      <c r="CJ14" s="9">
        <v>0</v>
      </c>
      <c r="CK14" s="9">
        <v>0</v>
      </c>
      <c r="CL14" s="9">
        <v>2</v>
      </c>
      <c r="CM14" s="9">
        <v>0</v>
      </c>
      <c r="CN14" s="9">
        <v>0</v>
      </c>
      <c r="CO14" s="9">
        <v>0</v>
      </c>
      <c r="CP14" s="9">
        <v>0</v>
      </c>
      <c r="CQ14" s="9">
        <v>0</v>
      </c>
      <c r="CR14" s="9">
        <v>0</v>
      </c>
      <c r="CS14" s="10">
        <v>0</v>
      </c>
    </row>
    <row r="15" spans="1:197" x14ac:dyDescent="0.35">
      <c r="A15" s="8" t="s">
        <v>0</v>
      </c>
      <c r="B15" s="9" t="s">
        <v>17</v>
      </c>
      <c r="C15" s="9" t="s">
        <v>571</v>
      </c>
      <c r="D15" s="9">
        <f t="shared" si="0"/>
        <v>0</v>
      </c>
      <c r="E15" s="9">
        <v>0</v>
      </c>
      <c r="F15" s="9">
        <v>0</v>
      </c>
      <c r="G15" s="9">
        <v>0</v>
      </c>
      <c r="H15" s="9">
        <v>0</v>
      </c>
      <c r="I15" s="9">
        <v>0</v>
      </c>
      <c r="J15" s="9">
        <v>0</v>
      </c>
      <c r="K15" s="9">
        <v>0</v>
      </c>
      <c r="L15" s="9">
        <v>0</v>
      </c>
      <c r="M15" s="9">
        <v>0</v>
      </c>
      <c r="N15" s="9">
        <v>0</v>
      </c>
      <c r="O15" s="9">
        <v>0</v>
      </c>
      <c r="P15" s="9">
        <v>0</v>
      </c>
      <c r="Q15" s="9">
        <v>0</v>
      </c>
      <c r="R15" s="9">
        <v>0</v>
      </c>
      <c r="S15" s="9">
        <v>0</v>
      </c>
      <c r="T15" s="9">
        <v>0</v>
      </c>
      <c r="U15" s="9">
        <v>0</v>
      </c>
      <c r="V15" s="9">
        <v>0</v>
      </c>
      <c r="W15" s="9">
        <v>0</v>
      </c>
      <c r="X15" s="9">
        <v>0</v>
      </c>
      <c r="Y15" s="9">
        <v>0</v>
      </c>
      <c r="Z15" s="9">
        <v>0</v>
      </c>
      <c r="AA15" s="9">
        <v>0</v>
      </c>
      <c r="AB15" s="9">
        <v>0</v>
      </c>
      <c r="AC15" s="9">
        <v>0</v>
      </c>
      <c r="AD15" s="9">
        <v>0</v>
      </c>
      <c r="AE15" s="9">
        <v>0</v>
      </c>
      <c r="AF15" s="9">
        <v>0</v>
      </c>
      <c r="AG15" s="9">
        <v>0</v>
      </c>
      <c r="AH15" s="9">
        <v>0</v>
      </c>
      <c r="AI15" s="9">
        <v>0</v>
      </c>
      <c r="AJ15" s="9">
        <v>0</v>
      </c>
      <c r="AK15" s="9">
        <v>0</v>
      </c>
      <c r="AL15" s="9">
        <v>0</v>
      </c>
      <c r="AM15" s="9">
        <v>0</v>
      </c>
      <c r="AN15" s="9">
        <v>0</v>
      </c>
      <c r="AO15" s="9">
        <v>0</v>
      </c>
      <c r="AP15" s="9">
        <v>0</v>
      </c>
      <c r="AQ15" s="9">
        <v>0</v>
      </c>
      <c r="AR15" s="9">
        <v>0</v>
      </c>
      <c r="AS15" s="9">
        <v>0</v>
      </c>
      <c r="AT15" s="9">
        <v>0</v>
      </c>
      <c r="AU15" s="9">
        <v>0</v>
      </c>
      <c r="AV15" s="9">
        <v>0</v>
      </c>
      <c r="AW15" s="9">
        <v>0</v>
      </c>
      <c r="AX15" s="9">
        <v>0</v>
      </c>
      <c r="AY15" s="9">
        <v>0</v>
      </c>
      <c r="AZ15" s="9">
        <v>0</v>
      </c>
      <c r="BA15" s="9">
        <v>0</v>
      </c>
      <c r="BB15" s="9">
        <v>0</v>
      </c>
      <c r="BC15" s="9">
        <v>0</v>
      </c>
      <c r="BD15" s="9">
        <v>0</v>
      </c>
      <c r="BE15" s="9">
        <v>0</v>
      </c>
      <c r="BF15" s="9">
        <v>0</v>
      </c>
      <c r="BG15" s="9">
        <v>0</v>
      </c>
      <c r="BH15" s="9">
        <v>0</v>
      </c>
      <c r="BI15" s="9">
        <v>0</v>
      </c>
      <c r="BJ15" s="9">
        <v>0</v>
      </c>
      <c r="BK15" s="9">
        <v>0</v>
      </c>
      <c r="BL15" s="9">
        <v>0</v>
      </c>
      <c r="BM15" s="9">
        <v>0</v>
      </c>
      <c r="BN15" s="9">
        <v>0</v>
      </c>
      <c r="BO15" s="9">
        <v>0</v>
      </c>
      <c r="BP15" s="9">
        <v>0</v>
      </c>
      <c r="BQ15" s="9">
        <v>0</v>
      </c>
      <c r="BR15" s="9">
        <v>0</v>
      </c>
      <c r="BS15" s="9">
        <v>0</v>
      </c>
      <c r="BT15" s="9">
        <v>0</v>
      </c>
      <c r="BU15" s="9">
        <v>0</v>
      </c>
      <c r="BV15" s="9">
        <v>0</v>
      </c>
      <c r="BW15" s="9">
        <v>0</v>
      </c>
      <c r="BX15" s="9">
        <v>0</v>
      </c>
      <c r="BY15" s="9">
        <v>0</v>
      </c>
      <c r="BZ15" s="9">
        <v>0</v>
      </c>
      <c r="CA15" s="9">
        <v>0</v>
      </c>
      <c r="CB15" s="9">
        <v>0</v>
      </c>
      <c r="CC15" s="9">
        <v>0</v>
      </c>
      <c r="CD15" s="9">
        <v>0</v>
      </c>
      <c r="CE15" s="9">
        <v>0</v>
      </c>
      <c r="CF15" s="9">
        <v>0</v>
      </c>
      <c r="CG15" s="9">
        <v>0</v>
      </c>
      <c r="CH15" s="9">
        <v>0</v>
      </c>
      <c r="CI15" s="9">
        <v>0</v>
      </c>
      <c r="CJ15" s="9">
        <v>0</v>
      </c>
      <c r="CK15" s="9">
        <v>0</v>
      </c>
      <c r="CL15" s="9">
        <v>0</v>
      </c>
      <c r="CM15" s="9">
        <v>0</v>
      </c>
      <c r="CN15" s="9">
        <v>0</v>
      </c>
      <c r="CO15" s="9">
        <v>0</v>
      </c>
      <c r="CP15" s="9">
        <v>0</v>
      </c>
      <c r="CQ15" s="9">
        <v>0</v>
      </c>
      <c r="CR15" s="9">
        <v>0</v>
      </c>
      <c r="CS15" s="10">
        <v>0</v>
      </c>
    </row>
    <row r="16" spans="1:197" x14ac:dyDescent="0.35">
      <c r="A16" s="8" t="s">
        <v>0</v>
      </c>
      <c r="B16" s="9" t="s">
        <v>572</v>
      </c>
      <c r="C16" s="9" t="s">
        <v>573</v>
      </c>
      <c r="D16" s="9">
        <f t="shared" si="0"/>
        <v>0</v>
      </c>
      <c r="E16" s="9">
        <v>0</v>
      </c>
      <c r="F16" s="9">
        <v>0</v>
      </c>
      <c r="G16" s="9">
        <v>0</v>
      </c>
      <c r="H16" s="9">
        <v>0</v>
      </c>
      <c r="I16" s="9">
        <v>0</v>
      </c>
      <c r="J16" s="9">
        <v>0</v>
      </c>
      <c r="K16" s="9">
        <v>0</v>
      </c>
      <c r="L16" s="9">
        <v>0</v>
      </c>
      <c r="M16" s="9">
        <v>0</v>
      </c>
      <c r="N16" s="9">
        <v>0</v>
      </c>
      <c r="O16" s="9">
        <v>0</v>
      </c>
      <c r="P16" s="9">
        <v>0</v>
      </c>
      <c r="Q16" s="9">
        <v>0</v>
      </c>
      <c r="R16" s="9">
        <v>0</v>
      </c>
      <c r="S16" s="9">
        <v>0</v>
      </c>
      <c r="T16" s="9">
        <v>0</v>
      </c>
      <c r="U16" s="9">
        <v>0</v>
      </c>
      <c r="V16" s="9">
        <v>0</v>
      </c>
      <c r="W16" s="9">
        <v>0</v>
      </c>
      <c r="X16" s="9">
        <v>0</v>
      </c>
      <c r="Y16" s="9">
        <v>0</v>
      </c>
      <c r="Z16" s="9">
        <v>0</v>
      </c>
      <c r="AA16" s="9">
        <v>0</v>
      </c>
      <c r="AB16" s="9">
        <v>0</v>
      </c>
      <c r="AC16" s="9">
        <v>0</v>
      </c>
      <c r="AD16" s="9">
        <v>0</v>
      </c>
      <c r="AE16" s="9">
        <v>0</v>
      </c>
      <c r="AF16" s="9">
        <v>0</v>
      </c>
      <c r="AG16" s="9">
        <v>0</v>
      </c>
      <c r="AH16" s="9">
        <v>0</v>
      </c>
      <c r="AI16" s="9">
        <v>0</v>
      </c>
      <c r="AJ16" s="9">
        <v>0</v>
      </c>
      <c r="AK16" s="9">
        <v>0</v>
      </c>
      <c r="AL16" s="9">
        <v>0</v>
      </c>
      <c r="AM16" s="9">
        <v>0</v>
      </c>
      <c r="AN16" s="9">
        <v>0</v>
      </c>
      <c r="AO16" s="9">
        <v>0</v>
      </c>
      <c r="AP16" s="9">
        <v>0</v>
      </c>
      <c r="AQ16" s="9">
        <v>0</v>
      </c>
      <c r="AR16" s="9">
        <v>0</v>
      </c>
      <c r="AS16" s="9">
        <v>0</v>
      </c>
      <c r="AT16" s="9">
        <v>0</v>
      </c>
      <c r="AU16" s="9">
        <v>0</v>
      </c>
      <c r="AV16" s="9">
        <v>0</v>
      </c>
      <c r="AW16" s="9">
        <v>0</v>
      </c>
      <c r="AX16" s="9">
        <v>0</v>
      </c>
      <c r="AY16" s="9">
        <v>0</v>
      </c>
      <c r="AZ16" s="9">
        <v>0</v>
      </c>
      <c r="BA16" s="9">
        <v>0</v>
      </c>
      <c r="BB16" s="9">
        <v>0</v>
      </c>
      <c r="BC16" s="9">
        <v>0</v>
      </c>
      <c r="BD16" s="9">
        <v>0</v>
      </c>
      <c r="BE16" s="9">
        <v>0</v>
      </c>
      <c r="BF16" s="9">
        <v>0</v>
      </c>
      <c r="BG16" s="9">
        <v>0</v>
      </c>
      <c r="BH16" s="9">
        <v>0</v>
      </c>
      <c r="BI16" s="9">
        <v>0</v>
      </c>
      <c r="BJ16" s="9">
        <v>0</v>
      </c>
      <c r="BK16" s="9">
        <v>0</v>
      </c>
      <c r="BL16" s="9">
        <v>0</v>
      </c>
      <c r="BM16" s="9">
        <v>0</v>
      </c>
      <c r="BN16" s="9">
        <v>0</v>
      </c>
      <c r="BO16" s="9">
        <v>0</v>
      </c>
      <c r="BP16" s="9">
        <v>0</v>
      </c>
      <c r="BQ16" s="9">
        <v>0</v>
      </c>
      <c r="BR16" s="9">
        <v>0</v>
      </c>
      <c r="BS16" s="9">
        <v>0</v>
      </c>
      <c r="BT16" s="9">
        <v>0</v>
      </c>
      <c r="BU16" s="9">
        <v>0</v>
      </c>
      <c r="BV16" s="9">
        <v>0</v>
      </c>
      <c r="BW16" s="9">
        <v>0</v>
      </c>
      <c r="BX16" s="9">
        <v>0</v>
      </c>
      <c r="BY16" s="9">
        <v>0</v>
      </c>
      <c r="BZ16" s="9">
        <v>0</v>
      </c>
      <c r="CA16" s="9">
        <v>0</v>
      </c>
      <c r="CB16" s="9">
        <v>0</v>
      </c>
      <c r="CC16" s="9">
        <v>0</v>
      </c>
      <c r="CD16" s="9">
        <v>0</v>
      </c>
      <c r="CE16" s="9">
        <v>0</v>
      </c>
      <c r="CF16" s="9">
        <v>0</v>
      </c>
      <c r="CG16" s="9">
        <v>0</v>
      </c>
      <c r="CH16" s="9">
        <v>0</v>
      </c>
      <c r="CI16" s="9">
        <v>0</v>
      </c>
      <c r="CJ16" s="9">
        <v>0</v>
      </c>
      <c r="CK16" s="9">
        <v>0</v>
      </c>
      <c r="CL16" s="9">
        <v>0</v>
      </c>
      <c r="CM16" s="9">
        <v>0</v>
      </c>
      <c r="CN16" s="9">
        <v>0</v>
      </c>
      <c r="CO16" s="9">
        <v>0</v>
      </c>
      <c r="CP16" s="9">
        <v>0</v>
      </c>
      <c r="CQ16" s="9">
        <v>0</v>
      </c>
      <c r="CR16" s="9">
        <v>0</v>
      </c>
      <c r="CS16" s="10">
        <v>0</v>
      </c>
    </row>
    <row r="17" spans="1:97" x14ac:dyDescent="0.35">
      <c r="A17" s="8" t="s">
        <v>0</v>
      </c>
      <c r="B17" s="9" t="s">
        <v>574</v>
      </c>
      <c r="C17" s="9" t="s">
        <v>575</v>
      </c>
      <c r="D17" s="9">
        <f t="shared" si="0"/>
        <v>0</v>
      </c>
      <c r="E17" s="9">
        <v>0</v>
      </c>
      <c r="F17" s="9">
        <v>0</v>
      </c>
      <c r="G17" s="9">
        <v>0</v>
      </c>
      <c r="H17" s="9">
        <v>0</v>
      </c>
      <c r="I17" s="9">
        <v>0</v>
      </c>
      <c r="J17" s="9">
        <v>0</v>
      </c>
      <c r="K17" s="9">
        <v>0</v>
      </c>
      <c r="L17" s="9">
        <v>0</v>
      </c>
      <c r="M17" s="9">
        <v>0</v>
      </c>
      <c r="N17" s="9">
        <v>0</v>
      </c>
      <c r="O17" s="9">
        <v>0</v>
      </c>
      <c r="P17" s="9">
        <v>0</v>
      </c>
      <c r="Q17" s="9">
        <v>0</v>
      </c>
      <c r="R17" s="9">
        <v>0</v>
      </c>
      <c r="S17" s="9">
        <v>0</v>
      </c>
      <c r="T17" s="9">
        <v>0</v>
      </c>
      <c r="U17" s="9">
        <v>0</v>
      </c>
      <c r="V17" s="9">
        <v>0</v>
      </c>
      <c r="W17" s="9">
        <v>0</v>
      </c>
      <c r="X17" s="9">
        <v>0</v>
      </c>
      <c r="Y17" s="9">
        <v>0</v>
      </c>
      <c r="Z17" s="9">
        <v>0</v>
      </c>
      <c r="AA17" s="9">
        <v>0</v>
      </c>
      <c r="AB17" s="9">
        <v>0</v>
      </c>
      <c r="AC17" s="9">
        <v>0</v>
      </c>
      <c r="AD17" s="9">
        <v>0</v>
      </c>
      <c r="AE17" s="9">
        <v>0</v>
      </c>
      <c r="AF17" s="9">
        <v>0</v>
      </c>
      <c r="AG17" s="9">
        <v>0</v>
      </c>
      <c r="AH17" s="9">
        <v>0</v>
      </c>
      <c r="AI17" s="9">
        <v>0</v>
      </c>
      <c r="AJ17" s="9">
        <v>0</v>
      </c>
      <c r="AK17" s="9">
        <v>0</v>
      </c>
      <c r="AL17" s="9">
        <v>0</v>
      </c>
      <c r="AM17" s="9">
        <v>0</v>
      </c>
      <c r="AN17" s="9">
        <v>0</v>
      </c>
      <c r="AO17" s="9">
        <v>0</v>
      </c>
      <c r="AP17" s="9">
        <v>0</v>
      </c>
      <c r="AQ17" s="9">
        <v>0</v>
      </c>
      <c r="AR17" s="9">
        <v>0</v>
      </c>
      <c r="AS17" s="9">
        <v>0</v>
      </c>
      <c r="AT17" s="9">
        <v>0</v>
      </c>
      <c r="AU17" s="9">
        <v>0</v>
      </c>
      <c r="AV17" s="9">
        <v>0</v>
      </c>
      <c r="AW17" s="9">
        <v>0</v>
      </c>
      <c r="AX17" s="9">
        <v>0</v>
      </c>
      <c r="AY17" s="9">
        <v>0</v>
      </c>
      <c r="AZ17" s="9">
        <v>0</v>
      </c>
      <c r="BA17" s="9">
        <v>0</v>
      </c>
      <c r="BB17" s="9">
        <v>0</v>
      </c>
      <c r="BC17" s="9">
        <v>0</v>
      </c>
      <c r="BD17" s="9">
        <v>0</v>
      </c>
      <c r="BE17" s="9">
        <v>0</v>
      </c>
      <c r="BF17" s="9">
        <v>0</v>
      </c>
      <c r="BG17" s="9">
        <v>0</v>
      </c>
      <c r="BH17" s="9">
        <v>0</v>
      </c>
      <c r="BI17" s="9">
        <v>0</v>
      </c>
      <c r="BJ17" s="9">
        <v>0</v>
      </c>
      <c r="BK17" s="9">
        <v>0</v>
      </c>
      <c r="BL17" s="9">
        <v>0</v>
      </c>
      <c r="BM17" s="9">
        <v>0</v>
      </c>
      <c r="BN17" s="9">
        <v>0</v>
      </c>
      <c r="BO17" s="9">
        <v>0</v>
      </c>
      <c r="BP17" s="9">
        <v>0</v>
      </c>
      <c r="BQ17" s="9">
        <v>0</v>
      </c>
      <c r="BR17" s="9">
        <v>0</v>
      </c>
      <c r="BS17" s="9">
        <v>0</v>
      </c>
      <c r="BT17" s="9">
        <v>0</v>
      </c>
      <c r="BU17" s="9">
        <v>0</v>
      </c>
      <c r="BV17" s="9">
        <v>0</v>
      </c>
      <c r="BW17" s="9">
        <v>0</v>
      </c>
      <c r="BX17" s="9">
        <v>0</v>
      </c>
      <c r="BY17" s="9">
        <v>0</v>
      </c>
      <c r="BZ17" s="9">
        <v>0</v>
      </c>
      <c r="CA17" s="9">
        <v>0</v>
      </c>
      <c r="CB17" s="9">
        <v>0</v>
      </c>
      <c r="CC17" s="9">
        <v>0</v>
      </c>
      <c r="CD17" s="9">
        <v>0</v>
      </c>
      <c r="CE17" s="9">
        <v>0</v>
      </c>
      <c r="CF17" s="9">
        <v>0</v>
      </c>
      <c r="CG17" s="9">
        <v>0</v>
      </c>
      <c r="CH17" s="9">
        <v>0</v>
      </c>
      <c r="CI17" s="9">
        <v>0</v>
      </c>
      <c r="CJ17" s="9">
        <v>0</v>
      </c>
      <c r="CK17" s="9">
        <v>0</v>
      </c>
      <c r="CL17" s="9">
        <v>0</v>
      </c>
      <c r="CM17" s="9">
        <v>0</v>
      </c>
      <c r="CN17" s="9">
        <v>0</v>
      </c>
      <c r="CO17" s="9">
        <v>0</v>
      </c>
      <c r="CP17" s="9">
        <v>0</v>
      </c>
      <c r="CQ17" s="9">
        <v>0</v>
      </c>
      <c r="CR17" s="9">
        <v>0</v>
      </c>
      <c r="CS17" s="10">
        <v>0</v>
      </c>
    </row>
    <row r="18" spans="1:97" x14ac:dyDescent="0.35">
      <c r="A18" s="8" t="s">
        <v>0</v>
      </c>
      <c r="B18" s="9" t="s">
        <v>576</v>
      </c>
      <c r="C18" s="9" t="s">
        <v>577</v>
      </c>
      <c r="D18" s="9">
        <f t="shared" si="0"/>
        <v>0</v>
      </c>
      <c r="E18" s="9">
        <v>0</v>
      </c>
      <c r="F18" s="9">
        <v>0</v>
      </c>
      <c r="G18" s="9">
        <v>0</v>
      </c>
      <c r="H18" s="9">
        <v>0</v>
      </c>
      <c r="I18" s="9">
        <v>0</v>
      </c>
      <c r="J18" s="9">
        <v>0</v>
      </c>
      <c r="K18" s="9">
        <v>0</v>
      </c>
      <c r="L18" s="9">
        <v>0</v>
      </c>
      <c r="M18" s="9">
        <v>0</v>
      </c>
      <c r="N18" s="9">
        <v>0</v>
      </c>
      <c r="O18" s="9">
        <v>0</v>
      </c>
      <c r="P18" s="9">
        <v>0</v>
      </c>
      <c r="Q18" s="9">
        <v>0</v>
      </c>
      <c r="R18" s="9">
        <v>0</v>
      </c>
      <c r="S18" s="9">
        <v>0</v>
      </c>
      <c r="T18" s="9">
        <v>0</v>
      </c>
      <c r="U18" s="9">
        <v>0</v>
      </c>
      <c r="V18" s="9">
        <v>0</v>
      </c>
      <c r="W18" s="9">
        <v>0</v>
      </c>
      <c r="X18" s="9">
        <v>0</v>
      </c>
      <c r="Y18" s="9">
        <v>0</v>
      </c>
      <c r="Z18" s="9">
        <v>0</v>
      </c>
      <c r="AA18" s="9">
        <v>0</v>
      </c>
      <c r="AB18" s="9">
        <v>0</v>
      </c>
      <c r="AC18" s="9">
        <v>0</v>
      </c>
      <c r="AD18" s="9">
        <v>0</v>
      </c>
      <c r="AE18" s="9">
        <v>0</v>
      </c>
      <c r="AF18" s="9">
        <v>0</v>
      </c>
      <c r="AG18" s="9">
        <v>0</v>
      </c>
      <c r="AH18" s="9">
        <v>0</v>
      </c>
      <c r="AI18" s="9">
        <v>0</v>
      </c>
      <c r="AJ18" s="9">
        <v>0</v>
      </c>
      <c r="AK18" s="9">
        <v>0</v>
      </c>
      <c r="AL18" s="9">
        <v>0</v>
      </c>
      <c r="AM18" s="9">
        <v>0</v>
      </c>
      <c r="AN18" s="9">
        <v>0</v>
      </c>
      <c r="AO18" s="9">
        <v>0</v>
      </c>
      <c r="AP18" s="9">
        <v>0</v>
      </c>
      <c r="AQ18" s="9">
        <v>0</v>
      </c>
      <c r="AR18" s="9">
        <v>0</v>
      </c>
      <c r="AS18" s="9">
        <v>0</v>
      </c>
      <c r="AT18" s="9">
        <v>0</v>
      </c>
      <c r="AU18" s="9">
        <v>0</v>
      </c>
      <c r="AV18" s="9">
        <v>0</v>
      </c>
      <c r="AW18" s="9">
        <v>0</v>
      </c>
      <c r="AX18" s="9">
        <v>0</v>
      </c>
      <c r="AY18" s="9">
        <v>0</v>
      </c>
      <c r="AZ18" s="9">
        <v>0</v>
      </c>
      <c r="BA18" s="9">
        <v>0</v>
      </c>
      <c r="BB18" s="9">
        <v>0</v>
      </c>
      <c r="BC18" s="9">
        <v>0</v>
      </c>
      <c r="BD18" s="9">
        <v>0</v>
      </c>
      <c r="BE18" s="9">
        <v>0</v>
      </c>
      <c r="BF18" s="9">
        <v>0</v>
      </c>
      <c r="BG18" s="9">
        <v>0</v>
      </c>
      <c r="BH18" s="9">
        <v>0</v>
      </c>
      <c r="BI18" s="9">
        <v>0</v>
      </c>
      <c r="BJ18" s="9">
        <v>0</v>
      </c>
      <c r="BK18" s="9">
        <v>0</v>
      </c>
      <c r="BL18" s="9">
        <v>0</v>
      </c>
      <c r="BM18" s="9">
        <v>0</v>
      </c>
      <c r="BN18" s="9">
        <v>0</v>
      </c>
      <c r="BO18" s="9">
        <v>0</v>
      </c>
      <c r="BP18" s="9">
        <v>0</v>
      </c>
      <c r="BQ18" s="9">
        <v>0</v>
      </c>
      <c r="BR18" s="9">
        <v>0</v>
      </c>
      <c r="BS18" s="9">
        <v>0</v>
      </c>
      <c r="BT18" s="9">
        <v>0</v>
      </c>
      <c r="BU18" s="9">
        <v>0</v>
      </c>
      <c r="BV18" s="9">
        <v>0</v>
      </c>
      <c r="BW18" s="9">
        <v>0</v>
      </c>
      <c r="BX18" s="9">
        <v>0</v>
      </c>
      <c r="BY18" s="9">
        <v>0</v>
      </c>
      <c r="BZ18" s="9">
        <v>0</v>
      </c>
      <c r="CA18" s="9">
        <v>0</v>
      </c>
      <c r="CB18" s="9">
        <v>0</v>
      </c>
      <c r="CC18" s="9">
        <v>0</v>
      </c>
      <c r="CD18" s="9">
        <v>0</v>
      </c>
      <c r="CE18" s="9">
        <v>0</v>
      </c>
      <c r="CF18" s="9">
        <v>0</v>
      </c>
      <c r="CG18" s="9">
        <v>0</v>
      </c>
      <c r="CH18" s="9">
        <v>0</v>
      </c>
      <c r="CI18" s="9">
        <v>0</v>
      </c>
      <c r="CJ18" s="9">
        <v>0</v>
      </c>
      <c r="CK18" s="9">
        <v>0</v>
      </c>
      <c r="CL18" s="9">
        <v>0</v>
      </c>
      <c r="CM18" s="9">
        <v>0</v>
      </c>
      <c r="CN18" s="9">
        <v>0</v>
      </c>
      <c r="CO18" s="9">
        <v>0</v>
      </c>
      <c r="CP18" s="9">
        <v>0</v>
      </c>
      <c r="CQ18" s="9">
        <v>0</v>
      </c>
      <c r="CR18" s="9">
        <v>0</v>
      </c>
      <c r="CS18" s="10">
        <v>0</v>
      </c>
    </row>
    <row r="19" spans="1:97" x14ac:dyDescent="0.35">
      <c r="A19" s="8" t="s">
        <v>0</v>
      </c>
      <c r="B19" s="9" t="s">
        <v>578</v>
      </c>
      <c r="C19" s="9" t="s">
        <v>579</v>
      </c>
      <c r="D19" s="9">
        <f t="shared" si="0"/>
        <v>0</v>
      </c>
      <c r="E19" s="9">
        <v>0</v>
      </c>
      <c r="F19" s="9">
        <v>0</v>
      </c>
      <c r="G19" s="9">
        <v>0</v>
      </c>
      <c r="H19" s="9">
        <v>0</v>
      </c>
      <c r="I19" s="9">
        <v>0</v>
      </c>
      <c r="J19" s="9">
        <v>0</v>
      </c>
      <c r="K19" s="9">
        <v>0</v>
      </c>
      <c r="L19" s="9">
        <v>0</v>
      </c>
      <c r="M19" s="9">
        <v>0</v>
      </c>
      <c r="N19" s="9">
        <v>0</v>
      </c>
      <c r="O19" s="9">
        <v>0</v>
      </c>
      <c r="P19" s="9">
        <v>0</v>
      </c>
      <c r="Q19" s="9">
        <v>0</v>
      </c>
      <c r="R19" s="9">
        <v>0</v>
      </c>
      <c r="S19" s="9">
        <v>0</v>
      </c>
      <c r="T19" s="9">
        <v>0</v>
      </c>
      <c r="U19" s="9">
        <v>0</v>
      </c>
      <c r="V19" s="9">
        <v>0</v>
      </c>
      <c r="W19" s="9">
        <v>0</v>
      </c>
      <c r="X19" s="9">
        <v>0</v>
      </c>
      <c r="Y19" s="9">
        <v>0</v>
      </c>
      <c r="Z19" s="9">
        <v>0</v>
      </c>
      <c r="AA19" s="9">
        <v>0</v>
      </c>
      <c r="AB19" s="9">
        <v>0</v>
      </c>
      <c r="AC19" s="9">
        <v>0</v>
      </c>
      <c r="AD19" s="9">
        <v>0</v>
      </c>
      <c r="AE19" s="9">
        <v>0</v>
      </c>
      <c r="AF19" s="9">
        <v>0</v>
      </c>
      <c r="AG19" s="9">
        <v>0</v>
      </c>
      <c r="AH19" s="9">
        <v>0</v>
      </c>
      <c r="AI19" s="9">
        <v>0</v>
      </c>
      <c r="AJ19" s="9">
        <v>0</v>
      </c>
      <c r="AK19" s="9">
        <v>0</v>
      </c>
      <c r="AL19" s="9">
        <v>0</v>
      </c>
      <c r="AM19" s="9">
        <v>0</v>
      </c>
      <c r="AN19" s="9">
        <v>0</v>
      </c>
      <c r="AO19" s="9">
        <v>0</v>
      </c>
      <c r="AP19" s="9">
        <v>0</v>
      </c>
      <c r="AQ19" s="9">
        <v>0</v>
      </c>
      <c r="AR19" s="9">
        <v>0</v>
      </c>
      <c r="AS19" s="9">
        <v>0</v>
      </c>
      <c r="AT19" s="9">
        <v>0</v>
      </c>
      <c r="AU19" s="9">
        <v>0</v>
      </c>
      <c r="AV19" s="9">
        <v>0</v>
      </c>
      <c r="AW19" s="9">
        <v>0</v>
      </c>
      <c r="AX19" s="9">
        <v>0</v>
      </c>
      <c r="AY19" s="9">
        <v>0</v>
      </c>
      <c r="AZ19" s="9">
        <v>0</v>
      </c>
      <c r="BA19" s="9">
        <v>0</v>
      </c>
      <c r="BB19" s="9">
        <v>0</v>
      </c>
      <c r="BC19" s="9">
        <v>0</v>
      </c>
      <c r="BD19" s="9">
        <v>0</v>
      </c>
      <c r="BE19" s="9">
        <v>0</v>
      </c>
      <c r="BF19" s="9">
        <v>0</v>
      </c>
      <c r="BG19" s="9">
        <v>0</v>
      </c>
      <c r="BH19" s="9">
        <v>0</v>
      </c>
      <c r="BI19" s="9">
        <v>0</v>
      </c>
      <c r="BJ19" s="9">
        <v>0</v>
      </c>
      <c r="BK19" s="9">
        <v>0</v>
      </c>
      <c r="BL19" s="9">
        <v>0</v>
      </c>
      <c r="BM19" s="9">
        <v>0</v>
      </c>
      <c r="BN19" s="9">
        <v>0</v>
      </c>
      <c r="BO19" s="9">
        <v>0</v>
      </c>
      <c r="BP19" s="9">
        <v>0</v>
      </c>
      <c r="BQ19" s="9">
        <v>0</v>
      </c>
      <c r="BR19" s="9">
        <v>0</v>
      </c>
      <c r="BS19" s="9">
        <v>0</v>
      </c>
      <c r="BT19" s="9">
        <v>0</v>
      </c>
      <c r="BU19" s="9">
        <v>0</v>
      </c>
      <c r="BV19" s="9">
        <v>0</v>
      </c>
      <c r="BW19" s="9">
        <v>0</v>
      </c>
      <c r="BX19" s="9">
        <v>0</v>
      </c>
      <c r="BY19" s="9">
        <v>0</v>
      </c>
      <c r="BZ19" s="9">
        <v>0</v>
      </c>
      <c r="CA19" s="9">
        <v>0</v>
      </c>
      <c r="CB19" s="9">
        <v>0</v>
      </c>
      <c r="CC19" s="9">
        <v>0</v>
      </c>
      <c r="CD19" s="9">
        <v>0</v>
      </c>
      <c r="CE19" s="9">
        <v>0</v>
      </c>
      <c r="CF19" s="9">
        <v>0</v>
      </c>
      <c r="CG19" s="9">
        <v>0</v>
      </c>
      <c r="CH19" s="9">
        <v>0</v>
      </c>
      <c r="CI19" s="9">
        <v>0</v>
      </c>
      <c r="CJ19" s="9">
        <v>0</v>
      </c>
      <c r="CK19" s="9">
        <v>0</v>
      </c>
      <c r="CL19" s="9">
        <v>0</v>
      </c>
      <c r="CM19" s="9">
        <v>0</v>
      </c>
      <c r="CN19" s="9">
        <v>0</v>
      </c>
      <c r="CO19" s="9">
        <v>0</v>
      </c>
      <c r="CP19" s="9">
        <v>0</v>
      </c>
      <c r="CQ19" s="9">
        <v>0</v>
      </c>
      <c r="CR19" s="9">
        <v>0</v>
      </c>
      <c r="CS19" s="10">
        <v>0</v>
      </c>
    </row>
    <row r="20" spans="1:97" x14ac:dyDescent="0.35">
      <c r="A20" s="8" t="s">
        <v>0</v>
      </c>
      <c r="B20" s="9" t="s">
        <v>580</v>
      </c>
      <c r="C20" s="9" t="s">
        <v>581</v>
      </c>
      <c r="D20" s="9">
        <f t="shared" si="0"/>
        <v>0</v>
      </c>
      <c r="E20" s="9">
        <v>0</v>
      </c>
      <c r="F20" s="9">
        <v>0</v>
      </c>
      <c r="G20" s="9">
        <v>0</v>
      </c>
      <c r="H20" s="9">
        <v>0</v>
      </c>
      <c r="I20" s="9">
        <v>0</v>
      </c>
      <c r="J20" s="9">
        <v>0</v>
      </c>
      <c r="K20" s="9">
        <v>0</v>
      </c>
      <c r="L20" s="9">
        <v>0</v>
      </c>
      <c r="M20" s="9">
        <v>0</v>
      </c>
      <c r="N20" s="9">
        <v>0</v>
      </c>
      <c r="O20" s="9">
        <v>0</v>
      </c>
      <c r="P20" s="9">
        <v>0</v>
      </c>
      <c r="Q20" s="9">
        <v>0</v>
      </c>
      <c r="R20" s="9">
        <v>0</v>
      </c>
      <c r="S20" s="9">
        <v>0</v>
      </c>
      <c r="T20" s="9">
        <v>0</v>
      </c>
      <c r="U20" s="9">
        <v>0</v>
      </c>
      <c r="V20" s="9">
        <v>0</v>
      </c>
      <c r="W20" s="9">
        <v>0</v>
      </c>
      <c r="X20" s="9">
        <v>0</v>
      </c>
      <c r="Y20" s="9">
        <v>0</v>
      </c>
      <c r="Z20" s="9">
        <v>0</v>
      </c>
      <c r="AA20" s="9">
        <v>0</v>
      </c>
      <c r="AB20" s="9">
        <v>0</v>
      </c>
      <c r="AC20" s="9">
        <v>0</v>
      </c>
      <c r="AD20" s="9">
        <v>0</v>
      </c>
      <c r="AE20" s="9">
        <v>0</v>
      </c>
      <c r="AF20" s="9">
        <v>0</v>
      </c>
      <c r="AG20" s="9">
        <v>0</v>
      </c>
      <c r="AH20" s="9">
        <v>0</v>
      </c>
      <c r="AI20" s="9">
        <v>0</v>
      </c>
      <c r="AJ20" s="9">
        <v>0</v>
      </c>
      <c r="AK20" s="9">
        <v>0</v>
      </c>
      <c r="AL20" s="9">
        <v>0</v>
      </c>
      <c r="AM20" s="9">
        <v>0</v>
      </c>
      <c r="AN20" s="9">
        <v>0</v>
      </c>
      <c r="AO20" s="9">
        <v>0</v>
      </c>
      <c r="AP20" s="9">
        <v>0</v>
      </c>
      <c r="AQ20" s="9">
        <v>0</v>
      </c>
      <c r="AR20" s="9">
        <v>0</v>
      </c>
      <c r="AS20" s="9">
        <v>0</v>
      </c>
      <c r="AT20" s="9">
        <v>0</v>
      </c>
      <c r="AU20" s="9">
        <v>0</v>
      </c>
      <c r="AV20" s="9">
        <v>0</v>
      </c>
      <c r="AW20" s="9">
        <v>0</v>
      </c>
      <c r="AX20" s="9">
        <v>0</v>
      </c>
      <c r="AY20" s="9">
        <v>0</v>
      </c>
      <c r="AZ20" s="9">
        <v>0</v>
      </c>
      <c r="BA20" s="9">
        <v>0</v>
      </c>
      <c r="BB20" s="9">
        <v>0</v>
      </c>
      <c r="BC20" s="9">
        <v>0</v>
      </c>
      <c r="BD20" s="9">
        <v>0</v>
      </c>
      <c r="BE20" s="9">
        <v>0</v>
      </c>
      <c r="BF20" s="9">
        <v>0</v>
      </c>
      <c r="BG20" s="9">
        <v>0</v>
      </c>
      <c r="BH20" s="9">
        <v>0</v>
      </c>
      <c r="BI20" s="9">
        <v>0</v>
      </c>
      <c r="BJ20" s="9">
        <v>0</v>
      </c>
      <c r="BK20" s="9">
        <v>0</v>
      </c>
      <c r="BL20" s="9">
        <v>0</v>
      </c>
      <c r="BM20" s="9">
        <v>0</v>
      </c>
      <c r="BN20" s="9">
        <v>0</v>
      </c>
      <c r="BO20" s="9">
        <v>0</v>
      </c>
      <c r="BP20" s="9">
        <v>0</v>
      </c>
      <c r="BQ20" s="9">
        <v>0</v>
      </c>
      <c r="BR20" s="9">
        <v>0</v>
      </c>
      <c r="BS20" s="9">
        <v>0</v>
      </c>
      <c r="BT20" s="9">
        <v>0</v>
      </c>
      <c r="BU20" s="9">
        <v>0</v>
      </c>
      <c r="BV20" s="9">
        <v>0</v>
      </c>
      <c r="BW20" s="9">
        <v>0</v>
      </c>
      <c r="BX20" s="9">
        <v>0</v>
      </c>
      <c r="BY20" s="9">
        <v>0</v>
      </c>
      <c r="BZ20" s="9">
        <v>0</v>
      </c>
      <c r="CA20" s="9">
        <v>0</v>
      </c>
      <c r="CB20" s="9">
        <v>0</v>
      </c>
      <c r="CC20" s="9">
        <v>0</v>
      </c>
      <c r="CD20" s="9">
        <v>0</v>
      </c>
      <c r="CE20" s="9">
        <v>0</v>
      </c>
      <c r="CF20" s="9">
        <v>0</v>
      </c>
      <c r="CG20" s="9">
        <v>0</v>
      </c>
      <c r="CH20" s="9">
        <v>0</v>
      </c>
      <c r="CI20" s="9">
        <v>0</v>
      </c>
      <c r="CJ20" s="9">
        <v>0</v>
      </c>
      <c r="CK20" s="9">
        <v>0</v>
      </c>
      <c r="CL20" s="9">
        <v>0</v>
      </c>
      <c r="CM20" s="9">
        <v>0</v>
      </c>
      <c r="CN20" s="9">
        <v>0</v>
      </c>
      <c r="CO20" s="9">
        <v>0</v>
      </c>
      <c r="CP20" s="9">
        <v>0</v>
      </c>
      <c r="CQ20" s="9">
        <v>0</v>
      </c>
      <c r="CR20" s="9">
        <v>0</v>
      </c>
      <c r="CS20" s="10">
        <v>0</v>
      </c>
    </row>
    <row r="21" spans="1:97" x14ac:dyDescent="0.35">
      <c r="A21" s="8" t="s">
        <v>0</v>
      </c>
      <c r="B21" s="9" t="s">
        <v>582</v>
      </c>
      <c r="C21" s="9" t="s">
        <v>583</v>
      </c>
      <c r="D21" s="9">
        <f t="shared" si="0"/>
        <v>0</v>
      </c>
      <c r="E21" s="9">
        <v>0</v>
      </c>
      <c r="F21" s="9">
        <v>0</v>
      </c>
      <c r="G21" s="9">
        <v>0</v>
      </c>
      <c r="H21" s="9">
        <v>0</v>
      </c>
      <c r="I21" s="9">
        <v>0</v>
      </c>
      <c r="J21" s="9">
        <v>0</v>
      </c>
      <c r="K21" s="9">
        <v>0</v>
      </c>
      <c r="L21" s="9">
        <v>0</v>
      </c>
      <c r="M21" s="9">
        <v>0</v>
      </c>
      <c r="N21" s="9">
        <v>0</v>
      </c>
      <c r="O21" s="9">
        <v>0</v>
      </c>
      <c r="P21" s="9">
        <v>0</v>
      </c>
      <c r="Q21" s="9">
        <v>0</v>
      </c>
      <c r="R21" s="9">
        <v>0</v>
      </c>
      <c r="S21" s="9">
        <v>0</v>
      </c>
      <c r="T21" s="9">
        <v>0</v>
      </c>
      <c r="U21" s="9">
        <v>0</v>
      </c>
      <c r="V21" s="9">
        <v>0</v>
      </c>
      <c r="W21" s="9">
        <v>0</v>
      </c>
      <c r="X21" s="9">
        <v>0</v>
      </c>
      <c r="Y21" s="9">
        <v>0</v>
      </c>
      <c r="Z21" s="9">
        <v>0</v>
      </c>
      <c r="AA21" s="9">
        <v>0</v>
      </c>
      <c r="AB21" s="9">
        <v>0</v>
      </c>
      <c r="AC21" s="9">
        <v>0</v>
      </c>
      <c r="AD21" s="9">
        <v>0</v>
      </c>
      <c r="AE21" s="9">
        <v>0</v>
      </c>
      <c r="AF21" s="9">
        <v>0</v>
      </c>
      <c r="AG21" s="9">
        <v>0</v>
      </c>
      <c r="AH21" s="9">
        <v>0</v>
      </c>
      <c r="AI21" s="9">
        <v>0</v>
      </c>
      <c r="AJ21" s="9">
        <v>0</v>
      </c>
      <c r="AK21" s="9">
        <v>0</v>
      </c>
      <c r="AL21" s="9">
        <v>0</v>
      </c>
      <c r="AM21" s="9">
        <v>0</v>
      </c>
      <c r="AN21" s="9">
        <v>0</v>
      </c>
      <c r="AO21" s="9">
        <v>0</v>
      </c>
      <c r="AP21" s="9">
        <v>0</v>
      </c>
      <c r="AQ21" s="9">
        <v>0</v>
      </c>
      <c r="AR21" s="9">
        <v>0</v>
      </c>
      <c r="AS21" s="9">
        <v>0</v>
      </c>
      <c r="AT21" s="9">
        <v>0</v>
      </c>
      <c r="AU21" s="9">
        <v>0</v>
      </c>
      <c r="AV21" s="9">
        <v>0</v>
      </c>
      <c r="AW21" s="9">
        <v>0</v>
      </c>
      <c r="AX21" s="9">
        <v>0</v>
      </c>
      <c r="AY21" s="9">
        <v>0</v>
      </c>
      <c r="AZ21" s="9">
        <v>0</v>
      </c>
      <c r="BA21" s="9">
        <v>0</v>
      </c>
      <c r="BB21" s="9">
        <v>0</v>
      </c>
      <c r="BC21" s="9">
        <v>0</v>
      </c>
      <c r="BD21" s="9">
        <v>0</v>
      </c>
      <c r="BE21" s="9">
        <v>0</v>
      </c>
      <c r="BF21" s="9">
        <v>0</v>
      </c>
      <c r="BG21" s="9">
        <v>0</v>
      </c>
      <c r="BH21" s="9">
        <v>0</v>
      </c>
      <c r="BI21" s="9">
        <v>0</v>
      </c>
      <c r="BJ21" s="9">
        <v>0</v>
      </c>
      <c r="BK21" s="9">
        <v>0</v>
      </c>
      <c r="BL21" s="9">
        <v>0</v>
      </c>
      <c r="BM21" s="9">
        <v>0</v>
      </c>
      <c r="BN21" s="9">
        <v>0</v>
      </c>
      <c r="BO21" s="9">
        <v>0</v>
      </c>
      <c r="BP21" s="9">
        <v>0</v>
      </c>
      <c r="BQ21" s="9">
        <v>0</v>
      </c>
      <c r="BR21" s="9">
        <v>0</v>
      </c>
      <c r="BS21" s="9">
        <v>0</v>
      </c>
      <c r="BT21" s="9">
        <v>0</v>
      </c>
      <c r="BU21" s="9">
        <v>0</v>
      </c>
      <c r="BV21" s="9">
        <v>0</v>
      </c>
      <c r="BW21" s="9">
        <v>0</v>
      </c>
      <c r="BX21" s="9">
        <v>0</v>
      </c>
      <c r="BY21" s="9">
        <v>0</v>
      </c>
      <c r="BZ21" s="9">
        <v>0</v>
      </c>
      <c r="CA21" s="9">
        <v>0</v>
      </c>
      <c r="CB21" s="9">
        <v>0</v>
      </c>
      <c r="CC21" s="9">
        <v>0</v>
      </c>
      <c r="CD21" s="9">
        <v>0</v>
      </c>
      <c r="CE21" s="9">
        <v>0</v>
      </c>
      <c r="CF21" s="9">
        <v>0</v>
      </c>
      <c r="CG21" s="9">
        <v>0</v>
      </c>
      <c r="CH21" s="9">
        <v>0</v>
      </c>
      <c r="CI21" s="9">
        <v>0</v>
      </c>
      <c r="CJ21" s="9">
        <v>0</v>
      </c>
      <c r="CK21" s="9">
        <v>0</v>
      </c>
      <c r="CL21" s="9">
        <v>0</v>
      </c>
      <c r="CM21" s="9">
        <v>0</v>
      </c>
      <c r="CN21" s="9">
        <v>0</v>
      </c>
      <c r="CO21" s="9">
        <v>0</v>
      </c>
      <c r="CP21" s="9">
        <v>0</v>
      </c>
      <c r="CQ21" s="9">
        <v>0</v>
      </c>
      <c r="CR21" s="9">
        <v>0</v>
      </c>
      <c r="CS21" s="10">
        <v>0</v>
      </c>
    </row>
    <row r="22" spans="1:97" x14ac:dyDescent="0.35">
      <c r="A22" s="8" t="s">
        <v>0</v>
      </c>
      <c r="B22" s="9" t="s">
        <v>584</v>
      </c>
      <c r="C22" s="9" t="s">
        <v>585</v>
      </c>
      <c r="D22" s="9">
        <f t="shared" si="0"/>
        <v>0</v>
      </c>
      <c r="E22" s="9">
        <v>0</v>
      </c>
      <c r="F22" s="9">
        <v>0</v>
      </c>
      <c r="G22" s="9">
        <v>0</v>
      </c>
      <c r="H22" s="9">
        <v>0</v>
      </c>
      <c r="I22" s="9">
        <v>0</v>
      </c>
      <c r="J22" s="9">
        <v>0</v>
      </c>
      <c r="K22" s="9">
        <v>0</v>
      </c>
      <c r="L22" s="9">
        <v>0</v>
      </c>
      <c r="M22" s="9">
        <v>0</v>
      </c>
      <c r="N22" s="9">
        <v>0</v>
      </c>
      <c r="O22" s="9">
        <v>0</v>
      </c>
      <c r="P22" s="9">
        <v>0</v>
      </c>
      <c r="Q22" s="9">
        <v>0</v>
      </c>
      <c r="R22" s="9">
        <v>0</v>
      </c>
      <c r="S22" s="9">
        <v>0</v>
      </c>
      <c r="T22" s="9">
        <v>0</v>
      </c>
      <c r="U22" s="9">
        <v>0</v>
      </c>
      <c r="V22" s="9">
        <v>0</v>
      </c>
      <c r="W22" s="9">
        <v>0</v>
      </c>
      <c r="X22" s="9">
        <v>0</v>
      </c>
      <c r="Y22" s="9">
        <v>0</v>
      </c>
      <c r="Z22" s="9">
        <v>0</v>
      </c>
      <c r="AA22" s="9">
        <v>0</v>
      </c>
      <c r="AB22" s="9">
        <v>0</v>
      </c>
      <c r="AC22" s="9">
        <v>0</v>
      </c>
      <c r="AD22" s="9">
        <v>0</v>
      </c>
      <c r="AE22" s="9">
        <v>0</v>
      </c>
      <c r="AF22" s="9">
        <v>0</v>
      </c>
      <c r="AG22" s="9">
        <v>0</v>
      </c>
      <c r="AH22" s="9">
        <v>0</v>
      </c>
      <c r="AI22" s="9">
        <v>0</v>
      </c>
      <c r="AJ22" s="9">
        <v>0</v>
      </c>
      <c r="AK22" s="9">
        <v>0</v>
      </c>
      <c r="AL22" s="9">
        <v>0</v>
      </c>
      <c r="AM22" s="9">
        <v>0</v>
      </c>
      <c r="AN22" s="9">
        <v>0</v>
      </c>
      <c r="AO22" s="9">
        <v>0</v>
      </c>
      <c r="AP22" s="9">
        <v>0</v>
      </c>
      <c r="AQ22" s="9">
        <v>0</v>
      </c>
      <c r="AR22" s="9">
        <v>0</v>
      </c>
      <c r="AS22" s="9">
        <v>0</v>
      </c>
      <c r="AT22" s="9">
        <v>0</v>
      </c>
      <c r="AU22" s="9">
        <v>0</v>
      </c>
      <c r="AV22" s="9">
        <v>0</v>
      </c>
      <c r="AW22" s="9">
        <v>0</v>
      </c>
      <c r="AX22" s="9">
        <v>0</v>
      </c>
      <c r="AY22" s="9">
        <v>0</v>
      </c>
      <c r="AZ22" s="9">
        <v>0</v>
      </c>
      <c r="BA22" s="9">
        <v>0</v>
      </c>
      <c r="BB22" s="9">
        <v>0</v>
      </c>
      <c r="BC22" s="9">
        <v>0</v>
      </c>
      <c r="BD22" s="9">
        <v>0</v>
      </c>
      <c r="BE22" s="9">
        <v>0</v>
      </c>
      <c r="BF22" s="9">
        <v>0</v>
      </c>
      <c r="BG22" s="9">
        <v>0</v>
      </c>
      <c r="BH22" s="9">
        <v>0</v>
      </c>
      <c r="BI22" s="9">
        <v>0</v>
      </c>
      <c r="BJ22" s="9">
        <v>0</v>
      </c>
      <c r="BK22" s="9">
        <v>0</v>
      </c>
      <c r="BL22" s="9">
        <v>0</v>
      </c>
      <c r="BM22" s="9">
        <v>0</v>
      </c>
      <c r="BN22" s="9">
        <v>0</v>
      </c>
      <c r="BO22" s="9">
        <v>0</v>
      </c>
      <c r="BP22" s="9">
        <v>0</v>
      </c>
      <c r="BQ22" s="9">
        <v>0</v>
      </c>
      <c r="BR22" s="9">
        <v>0</v>
      </c>
      <c r="BS22" s="9">
        <v>0</v>
      </c>
      <c r="BT22" s="9">
        <v>0</v>
      </c>
      <c r="BU22" s="9">
        <v>0</v>
      </c>
      <c r="BV22" s="9">
        <v>0</v>
      </c>
      <c r="BW22" s="9">
        <v>0</v>
      </c>
      <c r="BX22" s="9">
        <v>0</v>
      </c>
      <c r="BY22" s="9">
        <v>0</v>
      </c>
      <c r="BZ22" s="9">
        <v>0</v>
      </c>
      <c r="CA22" s="9">
        <v>0</v>
      </c>
      <c r="CB22" s="9">
        <v>0</v>
      </c>
      <c r="CC22" s="9">
        <v>0</v>
      </c>
      <c r="CD22" s="9">
        <v>0</v>
      </c>
      <c r="CE22" s="9">
        <v>0</v>
      </c>
      <c r="CF22" s="9">
        <v>0</v>
      </c>
      <c r="CG22" s="9">
        <v>0</v>
      </c>
      <c r="CH22" s="9">
        <v>0</v>
      </c>
      <c r="CI22" s="9">
        <v>0</v>
      </c>
      <c r="CJ22" s="9">
        <v>0</v>
      </c>
      <c r="CK22" s="9">
        <v>0</v>
      </c>
      <c r="CL22" s="9">
        <v>0</v>
      </c>
      <c r="CM22" s="9">
        <v>0</v>
      </c>
      <c r="CN22" s="9">
        <v>0</v>
      </c>
      <c r="CO22" s="9">
        <v>0</v>
      </c>
      <c r="CP22" s="9">
        <v>0</v>
      </c>
      <c r="CQ22" s="9">
        <v>0</v>
      </c>
      <c r="CR22" s="9">
        <v>0</v>
      </c>
      <c r="CS22" s="10">
        <v>0</v>
      </c>
    </row>
    <row r="23" spans="1:97" x14ac:dyDescent="0.35">
      <c r="A23" s="8" t="s">
        <v>0</v>
      </c>
      <c r="B23" s="9" t="s">
        <v>586</v>
      </c>
      <c r="C23" s="9" t="s">
        <v>587</v>
      </c>
      <c r="D23" s="9">
        <f t="shared" si="0"/>
        <v>0</v>
      </c>
      <c r="E23" s="9">
        <v>0</v>
      </c>
      <c r="F23" s="9">
        <v>0</v>
      </c>
      <c r="G23" s="9">
        <v>0</v>
      </c>
      <c r="H23" s="9">
        <v>0</v>
      </c>
      <c r="I23" s="9">
        <v>0</v>
      </c>
      <c r="J23" s="9">
        <v>0</v>
      </c>
      <c r="K23" s="9">
        <v>0</v>
      </c>
      <c r="L23" s="9">
        <v>0</v>
      </c>
      <c r="M23" s="9">
        <v>0</v>
      </c>
      <c r="N23" s="9">
        <v>0</v>
      </c>
      <c r="O23" s="9">
        <v>0</v>
      </c>
      <c r="P23" s="9">
        <v>0</v>
      </c>
      <c r="Q23" s="9">
        <v>0</v>
      </c>
      <c r="R23" s="9">
        <v>0</v>
      </c>
      <c r="S23" s="9">
        <v>0</v>
      </c>
      <c r="T23" s="9">
        <v>0</v>
      </c>
      <c r="U23" s="9">
        <v>0</v>
      </c>
      <c r="V23" s="9">
        <v>0</v>
      </c>
      <c r="W23" s="9">
        <v>0</v>
      </c>
      <c r="X23" s="9">
        <v>0</v>
      </c>
      <c r="Y23" s="9">
        <v>0</v>
      </c>
      <c r="Z23" s="9">
        <v>0</v>
      </c>
      <c r="AA23" s="9">
        <v>0</v>
      </c>
      <c r="AB23" s="9">
        <v>0</v>
      </c>
      <c r="AC23" s="9">
        <v>0</v>
      </c>
      <c r="AD23" s="9">
        <v>0</v>
      </c>
      <c r="AE23" s="9">
        <v>0</v>
      </c>
      <c r="AF23" s="9">
        <v>0</v>
      </c>
      <c r="AG23" s="9">
        <v>0</v>
      </c>
      <c r="AH23" s="9">
        <v>0</v>
      </c>
      <c r="AI23" s="9">
        <v>0</v>
      </c>
      <c r="AJ23" s="9">
        <v>0</v>
      </c>
      <c r="AK23" s="9">
        <v>0</v>
      </c>
      <c r="AL23" s="9">
        <v>0</v>
      </c>
      <c r="AM23" s="9">
        <v>0</v>
      </c>
      <c r="AN23" s="9">
        <v>0</v>
      </c>
      <c r="AO23" s="9">
        <v>0</v>
      </c>
      <c r="AP23" s="9">
        <v>0</v>
      </c>
      <c r="AQ23" s="9">
        <v>0</v>
      </c>
      <c r="AR23" s="9">
        <v>0</v>
      </c>
      <c r="AS23" s="9">
        <v>0</v>
      </c>
      <c r="AT23" s="9">
        <v>0</v>
      </c>
      <c r="AU23" s="9">
        <v>0</v>
      </c>
      <c r="AV23" s="9">
        <v>0</v>
      </c>
      <c r="AW23" s="9">
        <v>0</v>
      </c>
      <c r="AX23" s="9">
        <v>0</v>
      </c>
      <c r="AY23" s="9">
        <v>0</v>
      </c>
      <c r="AZ23" s="9">
        <v>0</v>
      </c>
      <c r="BA23" s="9">
        <v>0</v>
      </c>
      <c r="BB23" s="9">
        <v>0</v>
      </c>
      <c r="BC23" s="9">
        <v>0</v>
      </c>
      <c r="BD23" s="9">
        <v>0</v>
      </c>
      <c r="BE23" s="9">
        <v>0</v>
      </c>
      <c r="BF23" s="9">
        <v>0</v>
      </c>
      <c r="BG23" s="9">
        <v>0</v>
      </c>
      <c r="BH23" s="9">
        <v>0</v>
      </c>
      <c r="BI23" s="9">
        <v>0</v>
      </c>
      <c r="BJ23" s="9">
        <v>0</v>
      </c>
      <c r="BK23" s="9">
        <v>0</v>
      </c>
      <c r="BL23" s="9">
        <v>0</v>
      </c>
      <c r="BM23" s="9">
        <v>0</v>
      </c>
      <c r="BN23" s="9">
        <v>0</v>
      </c>
      <c r="BO23" s="9">
        <v>0</v>
      </c>
      <c r="BP23" s="9">
        <v>0</v>
      </c>
      <c r="BQ23" s="9">
        <v>0</v>
      </c>
      <c r="BR23" s="9">
        <v>0</v>
      </c>
      <c r="BS23" s="9">
        <v>0</v>
      </c>
      <c r="BT23" s="9">
        <v>0</v>
      </c>
      <c r="BU23" s="9">
        <v>0</v>
      </c>
      <c r="BV23" s="9">
        <v>0</v>
      </c>
      <c r="BW23" s="9">
        <v>0</v>
      </c>
      <c r="BX23" s="9">
        <v>0</v>
      </c>
      <c r="BY23" s="9">
        <v>0</v>
      </c>
      <c r="BZ23" s="9">
        <v>0</v>
      </c>
      <c r="CA23" s="9">
        <v>0</v>
      </c>
      <c r="CB23" s="9">
        <v>0</v>
      </c>
      <c r="CC23" s="9">
        <v>0</v>
      </c>
      <c r="CD23" s="9">
        <v>0</v>
      </c>
      <c r="CE23" s="9">
        <v>0</v>
      </c>
      <c r="CF23" s="9">
        <v>0</v>
      </c>
      <c r="CG23" s="9">
        <v>0</v>
      </c>
      <c r="CH23" s="9">
        <v>0</v>
      </c>
      <c r="CI23" s="9">
        <v>0</v>
      </c>
      <c r="CJ23" s="9">
        <v>0</v>
      </c>
      <c r="CK23" s="9">
        <v>0</v>
      </c>
      <c r="CL23" s="9">
        <v>0</v>
      </c>
      <c r="CM23" s="9">
        <v>0</v>
      </c>
      <c r="CN23" s="9">
        <v>0</v>
      </c>
      <c r="CO23" s="9">
        <v>0</v>
      </c>
      <c r="CP23" s="9">
        <v>0</v>
      </c>
      <c r="CQ23" s="9">
        <v>0</v>
      </c>
      <c r="CR23" s="9">
        <v>0</v>
      </c>
      <c r="CS23" s="10">
        <v>0</v>
      </c>
    </row>
    <row r="24" spans="1:97" x14ac:dyDescent="0.35">
      <c r="A24" s="8" t="s">
        <v>0</v>
      </c>
      <c r="B24" s="9" t="s">
        <v>588</v>
      </c>
      <c r="C24" s="9" t="s">
        <v>589</v>
      </c>
      <c r="D24" s="9">
        <f t="shared" si="0"/>
        <v>0</v>
      </c>
      <c r="E24" s="9">
        <v>0</v>
      </c>
      <c r="F24" s="9">
        <v>0</v>
      </c>
      <c r="G24" s="9">
        <v>0</v>
      </c>
      <c r="H24" s="9">
        <v>0</v>
      </c>
      <c r="I24" s="9">
        <v>0</v>
      </c>
      <c r="J24" s="9">
        <v>0</v>
      </c>
      <c r="K24" s="9">
        <v>0</v>
      </c>
      <c r="L24" s="9">
        <v>0</v>
      </c>
      <c r="M24" s="9">
        <v>0</v>
      </c>
      <c r="N24" s="9">
        <v>0</v>
      </c>
      <c r="O24" s="9">
        <v>0</v>
      </c>
      <c r="P24" s="9">
        <v>0</v>
      </c>
      <c r="Q24" s="9">
        <v>0</v>
      </c>
      <c r="R24" s="9">
        <v>0</v>
      </c>
      <c r="S24" s="9">
        <v>0</v>
      </c>
      <c r="T24" s="9">
        <v>0</v>
      </c>
      <c r="U24" s="9">
        <v>0</v>
      </c>
      <c r="V24" s="9">
        <v>0</v>
      </c>
      <c r="W24" s="9">
        <v>0</v>
      </c>
      <c r="X24" s="9">
        <v>0</v>
      </c>
      <c r="Y24" s="9">
        <v>0</v>
      </c>
      <c r="Z24" s="9">
        <v>0</v>
      </c>
      <c r="AA24" s="9">
        <v>0</v>
      </c>
      <c r="AB24" s="9">
        <v>0</v>
      </c>
      <c r="AC24" s="9">
        <v>0</v>
      </c>
      <c r="AD24" s="9">
        <v>0</v>
      </c>
      <c r="AE24" s="9">
        <v>0</v>
      </c>
      <c r="AF24" s="9">
        <v>0</v>
      </c>
      <c r="AG24" s="9">
        <v>0</v>
      </c>
      <c r="AH24" s="9">
        <v>0</v>
      </c>
      <c r="AI24" s="9">
        <v>0</v>
      </c>
      <c r="AJ24" s="9">
        <v>0</v>
      </c>
      <c r="AK24" s="9">
        <v>0</v>
      </c>
      <c r="AL24" s="9">
        <v>0</v>
      </c>
      <c r="AM24" s="9">
        <v>0</v>
      </c>
      <c r="AN24" s="9">
        <v>0</v>
      </c>
      <c r="AO24" s="9">
        <v>0</v>
      </c>
      <c r="AP24" s="9">
        <v>0</v>
      </c>
      <c r="AQ24" s="9">
        <v>0</v>
      </c>
      <c r="AR24" s="9">
        <v>0</v>
      </c>
      <c r="AS24" s="9">
        <v>0</v>
      </c>
      <c r="AT24" s="9">
        <v>0</v>
      </c>
      <c r="AU24" s="9">
        <v>0</v>
      </c>
      <c r="AV24" s="9">
        <v>0</v>
      </c>
      <c r="AW24" s="9">
        <v>0</v>
      </c>
      <c r="AX24" s="9">
        <v>0</v>
      </c>
      <c r="AY24" s="9">
        <v>0</v>
      </c>
      <c r="AZ24" s="9">
        <v>0</v>
      </c>
      <c r="BA24" s="9">
        <v>0</v>
      </c>
      <c r="BB24" s="9">
        <v>0</v>
      </c>
      <c r="BC24" s="9">
        <v>0</v>
      </c>
      <c r="BD24" s="9">
        <v>0</v>
      </c>
      <c r="BE24" s="9">
        <v>0</v>
      </c>
      <c r="BF24" s="9">
        <v>0</v>
      </c>
      <c r="BG24" s="9">
        <v>0</v>
      </c>
      <c r="BH24" s="9">
        <v>0</v>
      </c>
      <c r="BI24" s="9">
        <v>0</v>
      </c>
      <c r="BJ24" s="9">
        <v>0</v>
      </c>
      <c r="BK24" s="9">
        <v>0</v>
      </c>
      <c r="BL24" s="9">
        <v>0</v>
      </c>
      <c r="BM24" s="9">
        <v>0</v>
      </c>
      <c r="BN24" s="9">
        <v>0</v>
      </c>
      <c r="BO24" s="9">
        <v>0</v>
      </c>
      <c r="BP24" s="9">
        <v>0</v>
      </c>
      <c r="BQ24" s="9">
        <v>0</v>
      </c>
      <c r="BR24" s="9">
        <v>0</v>
      </c>
      <c r="BS24" s="9">
        <v>0</v>
      </c>
      <c r="BT24" s="9">
        <v>0</v>
      </c>
      <c r="BU24" s="9">
        <v>0</v>
      </c>
      <c r="BV24" s="9">
        <v>0</v>
      </c>
      <c r="BW24" s="9">
        <v>0</v>
      </c>
      <c r="BX24" s="9">
        <v>0</v>
      </c>
      <c r="BY24" s="9">
        <v>0</v>
      </c>
      <c r="BZ24" s="9">
        <v>0</v>
      </c>
      <c r="CA24" s="9">
        <v>0</v>
      </c>
      <c r="CB24" s="9">
        <v>0</v>
      </c>
      <c r="CC24" s="9">
        <v>0</v>
      </c>
      <c r="CD24" s="9">
        <v>0</v>
      </c>
      <c r="CE24" s="9">
        <v>0</v>
      </c>
      <c r="CF24" s="9">
        <v>0</v>
      </c>
      <c r="CG24" s="9">
        <v>0</v>
      </c>
      <c r="CH24" s="9">
        <v>0</v>
      </c>
      <c r="CI24" s="9">
        <v>0</v>
      </c>
      <c r="CJ24" s="9">
        <v>0</v>
      </c>
      <c r="CK24" s="9">
        <v>0</v>
      </c>
      <c r="CL24" s="9">
        <v>0</v>
      </c>
      <c r="CM24" s="9">
        <v>0</v>
      </c>
      <c r="CN24" s="9">
        <v>0</v>
      </c>
      <c r="CO24" s="9">
        <v>0</v>
      </c>
      <c r="CP24" s="9">
        <v>0</v>
      </c>
      <c r="CQ24" s="9">
        <v>0</v>
      </c>
      <c r="CR24" s="9">
        <v>0</v>
      </c>
      <c r="CS24" s="10">
        <v>0</v>
      </c>
    </row>
    <row r="25" spans="1:97" x14ac:dyDescent="0.35">
      <c r="A25" s="8" t="s">
        <v>0</v>
      </c>
      <c r="B25" s="9" t="s">
        <v>590</v>
      </c>
      <c r="C25" s="9" t="s">
        <v>591</v>
      </c>
      <c r="D25" s="9">
        <f t="shared" si="0"/>
        <v>0</v>
      </c>
      <c r="E25" s="9">
        <v>0</v>
      </c>
      <c r="F25" s="9">
        <v>0</v>
      </c>
      <c r="G25" s="9">
        <v>0</v>
      </c>
      <c r="H25" s="9">
        <v>0</v>
      </c>
      <c r="I25" s="9">
        <v>0</v>
      </c>
      <c r="J25" s="9">
        <v>0</v>
      </c>
      <c r="K25" s="9">
        <v>0</v>
      </c>
      <c r="L25" s="9">
        <v>0</v>
      </c>
      <c r="M25" s="9">
        <v>0</v>
      </c>
      <c r="N25" s="9">
        <v>0</v>
      </c>
      <c r="O25" s="9">
        <v>0</v>
      </c>
      <c r="P25" s="9">
        <v>0</v>
      </c>
      <c r="Q25" s="9">
        <v>0</v>
      </c>
      <c r="R25" s="9">
        <v>0</v>
      </c>
      <c r="S25" s="9">
        <v>0</v>
      </c>
      <c r="T25" s="9">
        <v>0</v>
      </c>
      <c r="U25" s="9">
        <v>0</v>
      </c>
      <c r="V25" s="9">
        <v>0</v>
      </c>
      <c r="W25" s="9">
        <v>0</v>
      </c>
      <c r="X25" s="9">
        <v>0</v>
      </c>
      <c r="Y25" s="9">
        <v>0</v>
      </c>
      <c r="Z25" s="9">
        <v>0</v>
      </c>
      <c r="AA25" s="9">
        <v>0</v>
      </c>
      <c r="AB25" s="9">
        <v>0</v>
      </c>
      <c r="AC25" s="9">
        <v>0</v>
      </c>
      <c r="AD25" s="9">
        <v>0</v>
      </c>
      <c r="AE25" s="9">
        <v>0</v>
      </c>
      <c r="AF25" s="9">
        <v>0</v>
      </c>
      <c r="AG25" s="9">
        <v>0</v>
      </c>
      <c r="AH25" s="9">
        <v>0</v>
      </c>
      <c r="AI25" s="9">
        <v>0</v>
      </c>
      <c r="AJ25" s="9">
        <v>0</v>
      </c>
      <c r="AK25" s="9">
        <v>0</v>
      </c>
      <c r="AL25" s="9">
        <v>0</v>
      </c>
      <c r="AM25" s="9">
        <v>0</v>
      </c>
      <c r="AN25" s="9">
        <v>0</v>
      </c>
      <c r="AO25" s="9">
        <v>0</v>
      </c>
      <c r="AP25" s="9">
        <v>0</v>
      </c>
      <c r="AQ25" s="9">
        <v>0</v>
      </c>
      <c r="AR25" s="9">
        <v>0</v>
      </c>
      <c r="AS25" s="9">
        <v>0</v>
      </c>
      <c r="AT25" s="9">
        <v>0</v>
      </c>
      <c r="AU25" s="9">
        <v>0</v>
      </c>
      <c r="AV25" s="9">
        <v>0</v>
      </c>
      <c r="AW25" s="9">
        <v>0</v>
      </c>
      <c r="AX25" s="9">
        <v>0</v>
      </c>
      <c r="AY25" s="9">
        <v>0</v>
      </c>
      <c r="AZ25" s="9">
        <v>0</v>
      </c>
      <c r="BA25" s="9">
        <v>0</v>
      </c>
      <c r="BB25" s="9">
        <v>0</v>
      </c>
      <c r="BC25" s="9">
        <v>0</v>
      </c>
      <c r="BD25" s="9">
        <v>0</v>
      </c>
      <c r="BE25" s="9">
        <v>0</v>
      </c>
      <c r="BF25" s="9">
        <v>0</v>
      </c>
      <c r="BG25" s="9">
        <v>0</v>
      </c>
      <c r="BH25" s="9">
        <v>0</v>
      </c>
      <c r="BI25" s="9">
        <v>0</v>
      </c>
      <c r="BJ25" s="9">
        <v>0</v>
      </c>
      <c r="BK25" s="9">
        <v>0</v>
      </c>
      <c r="BL25" s="9">
        <v>0</v>
      </c>
      <c r="BM25" s="9">
        <v>0</v>
      </c>
      <c r="BN25" s="9">
        <v>0</v>
      </c>
      <c r="BO25" s="9">
        <v>0</v>
      </c>
      <c r="BP25" s="9">
        <v>0</v>
      </c>
      <c r="BQ25" s="9">
        <v>0</v>
      </c>
      <c r="BR25" s="9">
        <v>0</v>
      </c>
      <c r="BS25" s="9">
        <v>0</v>
      </c>
      <c r="BT25" s="9">
        <v>0</v>
      </c>
      <c r="BU25" s="9">
        <v>0</v>
      </c>
      <c r="BV25" s="9">
        <v>0</v>
      </c>
      <c r="BW25" s="9">
        <v>0</v>
      </c>
      <c r="BX25" s="9">
        <v>0</v>
      </c>
      <c r="BY25" s="9">
        <v>0</v>
      </c>
      <c r="BZ25" s="9">
        <v>0</v>
      </c>
      <c r="CA25" s="9">
        <v>0</v>
      </c>
      <c r="CB25" s="9">
        <v>0</v>
      </c>
      <c r="CC25" s="9">
        <v>0</v>
      </c>
      <c r="CD25" s="9">
        <v>0</v>
      </c>
      <c r="CE25" s="9">
        <v>0</v>
      </c>
      <c r="CF25" s="9">
        <v>0</v>
      </c>
      <c r="CG25" s="9">
        <v>0</v>
      </c>
      <c r="CH25" s="9">
        <v>0</v>
      </c>
      <c r="CI25" s="9">
        <v>0</v>
      </c>
      <c r="CJ25" s="9">
        <v>0</v>
      </c>
      <c r="CK25" s="9">
        <v>0</v>
      </c>
      <c r="CL25" s="9">
        <v>0</v>
      </c>
      <c r="CM25" s="9">
        <v>0</v>
      </c>
      <c r="CN25" s="9">
        <v>0</v>
      </c>
      <c r="CO25" s="9">
        <v>0</v>
      </c>
      <c r="CP25" s="9">
        <v>0</v>
      </c>
      <c r="CQ25" s="9">
        <v>0</v>
      </c>
      <c r="CR25" s="9">
        <v>0</v>
      </c>
      <c r="CS25" s="10">
        <v>0</v>
      </c>
    </row>
    <row r="26" spans="1:97" x14ac:dyDescent="0.35">
      <c r="A26" s="8" t="s">
        <v>0</v>
      </c>
      <c r="B26" s="9" t="s">
        <v>592</v>
      </c>
      <c r="C26" s="9" t="s">
        <v>593</v>
      </c>
      <c r="D26" s="9">
        <f t="shared" si="0"/>
        <v>0</v>
      </c>
      <c r="E26" s="9">
        <v>0</v>
      </c>
      <c r="F26" s="9">
        <v>0</v>
      </c>
      <c r="G26" s="9">
        <v>0</v>
      </c>
      <c r="H26" s="9">
        <v>0</v>
      </c>
      <c r="I26" s="9">
        <v>0</v>
      </c>
      <c r="J26" s="9">
        <v>0</v>
      </c>
      <c r="K26" s="9">
        <v>0</v>
      </c>
      <c r="L26" s="9">
        <v>0</v>
      </c>
      <c r="M26" s="9">
        <v>0</v>
      </c>
      <c r="N26" s="9">
        <v>0</v>
      </c>
      <c r="O26" s="9">
        <v>0</v>
      </c>
      <c r="P26" s="9">
        <v>0</v>
      </c>
      <c r="Q26" s="9">
        <v>0</v>
      </c>
      <c r="R26" s="9">
        <v>0</v>
      </c>
      <c r="S26" s="9">
        <v>0</v>
      </c>
      <c r="T26" s="9">
        <v>0</v>
      </c>
      <c r="U26" s="9">
        <v>0</v>
      </c>
      <c r="V26" s="9">
        <v>0</v>
      </c>
      <c r="W26" s="9">
        <v>0</v>
      </c>
      <c r="X26" s="9">
        <v>0</v>
      </c>
      <c r="Y26" s="9">
        <v>0</v>
      </c>
      <c r="Z26" s="9">
        <v>0</v>
      </c>
      <c r="AA26" s="9">
        <v>0</v>
      </c>
      <c r="AB26" s="9">
        <v>0</v>
      </c>
      <c r="AC26" s="9">
        <v>0</v>
      </c>
      <c r="AD26" s="9">
        <v>0</v>
      </c>
      <c r="AE26" s="9">
        <v>0</v>
      </c>
      <c r="AF26" s="9">
        <v>0</v>
      </c>
      <c r="AG26" s="9">
        <v>0</v>
      </c>
      <c r="AH26" s="9">
        <v>0</v>
      </c>
      <c r="AI26" s="9">
        <v>0</v>
      </c>
      <c r="AJ26" s="9">
        <v>0</v>
      </c>
      <c r="AK26" s="9">
        <v>0</v>
      </c>
      <c r="AL26" s="9">
        <v>0</v>
      </c>
      <c r="AM26" s="9">
        <v>0</v>
      </c>
      <c r="AN26" s="9">
        <v>0</v>
      </c>
      <c r="AO26" s="9">
        <v>0</v>
      </c>
      <c r="AP26" s="9">
        <v>0</v>
      </c>
      <c r="AQ26" s="9">
        <v>0</v>
      </c>
      <c r="AR26" s="9">
        <v>0</v>
      </c>
      <c r="AS26" s="9">
        <v>0</v>
      </c>
      <c r="AT26" s="9">
        <v>0</v>
      </c>
      <c r="AU26" s="9">
        <v>0</v>
      </c>
      <c r="AV26" s="9">
        <v>0</v>
      </c>
      <c r="AW26" s="9">
        <v>0</v>
      </c>
      <c r="AX26" s="9">
        <v>0</v>
      </c>
      <c r="AY26" s="9">
        <v>0</v>
      </c>
      <c r="AZ26" s="9">
        <v>0</v>
      </c>
      <c r="BA26" s="9">
        <v>0</v>
      </c>
      <c r="BB26" s="9">
        <v>0</v>
      </c>
      <c r="BC26" s="9">
        <v>0</v>
      </c>
      <c r="BD26" s="9">
        <v>0</v>
      </c>
      <c r="BE26" s="9">
        <v>0</v>
      </c>
      <c r="BF26" s="9">
        <v>0</v>
      </c>
      <c r="BG26" s="9">
        <v>0</v>
      </c>
      <c r="BH26" s="9">
        <v>0</v>
      </c>
      <c r="BI26" s="9">
        <v>0</v>
      </c>
      <c r="BJ26" s="9">
        <v>0</v>
      </c>
      <c r="BK26" s="9">
        <v>0</v>
      </c>
      <c r="BL26" s="9">
        <v>0</v>
      </c>
      <c r="BM26" s="9">
        <v>0</v>
      </c>
      <c r="BN26" s="9">
        <v>0</v>
      </c>
      <c r="BO26" s="9">
        <v>0</v>
      </c>
      <c r="BP26" s="9">
        <v>0</v>
      </c>
      <c r="BQ26" s="9">
        <v>0</v>
      </c>
      <c r="BR26" s="9">
        <v>0</v>
      </c>
      <c r="BS26" s="9">
        <v>0</v>
      </c>
      <c r="BT26" s="9">
        <v>0</v>
      </c>
      <c r="BU26" s="9">
        <v>0</v>
      </c>
      <c r="BV26" s="9">
        <v>0</v>
      </c>
      <c r="BW26" s="9">
        <v>0</v>
      </c>
      <c r="BX26" s="9">
        <v>0</v>
      </c>
      <c r="BY26" s="9">
        <v>0</v>
      </c>
      <c r="BZ26" s="9">
        <v>0</v>
      </c>
      <c r="CA26" s="9">
        <v>0</v>
      </c>
      <c r="CB26" s="9">
        <v>0</v>
      </c>
      <c r="CC26" s="9">
        <v>0</v>
      </c>
      <c r="CD26" s="9">
        <v>0</v>
      </c>
      <c r="CE26" s="9">
        <v>0</v>
      </c>
      <c r="CF26" s="9">
        <v>0</v>
      </c>
      <c r="CG26" s="9">
        <v>0</v>
      </c>
      <c r="CH26" s="9">
        <v>0</v>
      </c>
      <c r="CI26" s="9">
        <v>0</v>
      </c>
      <c r="CJ26" s="9">
        <v>0</v>
      </c>
      <c r="CK26" s="9">
        <v>0</v>
      </c>
      <c r="CL26" s="9">
        <v>0</v>
      </c>
      <c r="CM26" s="9">
        <v>0</v>
      </c>
      <c r="CN26" s="9">
        <v>0</v>
      </c>
      <c r="CO26" s="9">
        <v>0</v>
      </c>
      <c r="CP26" s="9">
        <v>0</v>
      </c>
      <c r="CQ26" s="9">
        <v>0</v>
      </c>
      <c r="CR26" s="9">
        <v>0</v>
      </c>
      <c r="CS26" s="10">
        <v>0</v>
      </c>
    </row>
    <row r="27" spans="1:97" x14ac:dyDescent="0.35">
      <c r="A27" s="8" t="s">
        <v>0</v>
      </c>
      <c r="B27" s="9" t="s">
        <v>594</v>
      </c>
      <c r="C27" s="9" t="s">
        <v>595</v>
      </c>
      <c r="D27" s="9">
        <f t="shared" si="0"/>
        <v>0</v>
      </c>
      <c r="E27" s="9">
        <v>0</v>
      </c>
      <c r="F27" s="9">
        <v>0</v>
      </c>
      <c r="G27" s="9">
        <v>0</v>
      </c>
      <c r="H27" s="9">
        <v>0</v>
      </c>
      <c r="I27" s="9">
        <v>0</v>
      </c>
      <c r="J27" s="9">
        <v>0</v>
      </c>
      <c r="K27" s="9">
        <v>0</v>
      </c>
      <c r="L27" s="9">
        <v>0</v>
      </c>
      <c r="M27" s="9">
        <v>0</v>
      </c>
      <c r="N27" s="9">
        <v>0</v>
      </c>
      <c r="O27" s="9">
        <v>0</v>
      </c>
      <c r="P27" s="9">
        <v>0</v>
      </c>
      <c r="Q27" s="9">
        <v>0</v>
      </c>
      <c r="R27" s="9">
        <v>0</v>
      </c>
      <c r="S27" s="9">
        <v>0</v>
      </c>
      <c r="T27" s="9">
        <v>0</v>
      </c>
      <c r="U27" s="9">
        <v>0</v>
      </c>
      <c r="V27" s="9">
        <v>0</v>
      </c>
      <c r="W27" s="9">
        <v>0</v>
      </c>
      <c r="X27" s="9">
        <v>0</v>
      </c>
      <c r="Y27" s="9">
        <v>0</v>
      </c>
      <c r="Z27" s="9">
        <v>0</v>
      </c>
      <c r="AA27" s="9">
        <v>0</v>
      </c>
      <c r="AB27" s="9">
        <v>0</v>
      </c>
      <c r="AC27" s="9">
        <v>0</v>
      </c>
      <c r="AD27" s="9">
        <v>0</v>
      </c>
      <c r="AE27" s="9">
        <v>0</v>
      </c>
      <c r="AF27" s="9">
        <v>0</v>
      </c>
      <c r="AG27" s="9">
        <v>0</v>
      </c>
      <c r="AH27" s="9">
        <v>0</v>
      </c>
      <c r="AI27" s="9">
        <v>0</v>
      </c>
      <c r="AJ27" s="9">
        <v>0</v>
      </c>
      <c r="AK27" s="9">
        <v>0</v>
      </c>
      <c r="AL27" s="9">
        <v>0</v>
      </c>
      <c r="AM27" s="9">
        <v>0</v>
      </c>
      <c r="AN27" s="9">
        <v>0</v>
      </c>
      <c r="AO27" s="9">
        <v>0</v>
      </c>
      <c r="AP27" s="9">
        <v>0</v>
      </c>
      <c r="AQ27" s="9">
        <v>0</v>
      </c>
      <c r="AR27" s="9">
        <v>0</v>
      </c>
      <c r="AS27" s="9">
        <v>0</v>
      </c>
      <c r="AT27" s="9">
        <v>0</v>
      </c>
      <c r="AU27" s="9">
        <v>0</v>
      </c>
      <c r="AV27" s="9">
        <v>0</v>
      </c>
      <c r="AW27" s="9">
        <v>0</v>
      </c>
      <c r="AX27" s="9">
        <v>0</v>
      </c>
      <c r="AY27" s="9">
        <v>0</v>
      </c>
      <c r="AZ27" s="9">
        <v>0</v>
      </c>
      <c r="BA27" s="9">
        <v>0</v>
      </c>
      <c r="BB27" s="9">
        <v>0</v>
      </c>
      <c r="BC27" s="9">
        <v>0</v>
      </c>
      <c r="BD27" s="9">
        <v>0</v>
      </c>
      <c r="BE27" s="9">
        <v>0</v>
      </c>
      <c r="BF27" s="9">
        <v>0</v>
      </c>
      <c r="BG27" s="9">
        <v>0</v>
      </c>
      <c r="BH27" s="9">
        <v>0</v>
      </c>
      <c r="BI27" s="9">
        <v>0</v>
      </c>
      <c r="BJ27" s="9">
        <v>0</v>
      </c>
      <c r="BK27" s="9">
        <v>0</v>
      </c>
      <c r="BL27" s="9">
        <v>0</v>
      </c>
      <c r="BM27" s="9">
        <v>0</v>
      </c>
      <c r="BN27" s="9">
        <v>0</v>
      </c>
      <c r="BO27" s="9">
        <v>0</v>
      </c>
      <c r="BP27" s="9">
        <v>0</v>
      </c>
      <c r="BQ27" s="9">
        <v>0</v>
      </c>
      <c r="BR27" s="9">
        <v>0</v>
      </c>
      <c r="BS27" s="9">
        <v>0</v>
      </c>
      <c r="BT27" s="9">
        <v>0</v>
      </c>
      <c r="BU27" s="9">
        <v>0</v>
      </c>
      <c r="BV27" s="9">
        <v>0</v>
      </c>
      <c r="BW27" s="9">
        <v>0</v>
      </c>
      <c r="BX27" s="9">
        <v>0</v>
      </c>
      <c r="BY27" s="9">
        <v>0</v>
      </c>
      <c r="BZ27" s="9">
        <v>0</v>
      </c>
      <c r="CA27" s="9">
        <v>0</v>
      </c>
      <c r="CB27" s="9">
        <v>0</v>
      </c>
      <c r="CC27" s="9">
        <v>0</v>
      </c>
      <c r="CD27" s="9">
        <v>0</v>
      </c>
      <c r="CE27" s="9">
        <v>0</v>
      </c>
      <c r="CF27" s="9">
        <v>0</v>
      </c>
      <c r="CG27" s="9">
        <v>0</v>
      </c>
      <c r="CH27" s="9">
        <v>0</v>
      </c>
      <c r="CI27" s="9">
        <v>0</v>
      </c>
      <c r="CJ27" s="9">
        <v>0</v>
      </c>
      <c r="CK27" s="9">
        <v>0</v>
      </c>
      <c r="CL27" s="9">
        <v>0</v>
      </c>
      <c r="CM27" s="9">
        <v>0</v>
      </c>
      <c r="CN27" s="9">
        <v>0</v>
      </c>
      <c r="CO27" s="9">
        <v>0</v>
      </c>
      <c r="CP27" s="9">
        <v>0</v>
      </c>
      <c r="CQ27" s="9">
        <v>0</v>
      </c>
      <c r="CR27" s="9">
        <v>0</v>
      </c>
      <c r="CS27" s="10">
        <v>0</v>
      </c>
    </row>
    <row r="28" spans="1:97" x14ac:dyDescent="0.35">
      <c r="A28" s="8" t="s">
        <v>0</v>
      </c>
      <c r="B28" s="9" t="s">
        <v>596</v>
      </c>
      <c r="C28" s="9" t="s">
        <v>597</v>
      </c>
      <c r="D28" s="9">
        <f t="shared" si="0"/>
        <v>0</v>
      </c>
      <c r="E28" s="9">
        <v>0</v>
      </c>
      <c r="F28" s="9">
        <v>0</v>
      </c>
      <c r="G28" s="9">
        <v>0</v>
      </c>
      <c r="H28" s="9">
        <v>0</v>
      </c>
      <c r="I28" s="9">
        <v>0</v>
      </c>
      <c r="J28" s="9">
        <v>0</v>
      </c>
      <c r="K28" s="9">
        <v>0</v>
      </c>
      <c r="L28" s="9">
        <v>0</v>
      </c>
      <c r="M28" s="9">
        <v>0</v>
      </c>
      <c r="N28" s="9">
        <v>0</v>
      </c>
      <c r="O28" s="9">
        <v>0</v>
      </c>
      <c r="P28" s="9">
        <v>0</v>
      </c>
      <c r="Q28" s="9">
        <v>0</v>
      </c>
      <c r="R28" s="9">
        <v>0</v>
      </c>
      <c r="S28" s="9">
        <v>0</v>
      </c>
      <c r="T28" s="9">
        <v>0</v>
      </c>
      <c r="U28" s="9">
        <v>0</v>
      </c>
      <c r="V28" s="9">
        <v>0</v>
      </c>
      <c r="W28" s="9">
        <v>0</v>
      </c>
      <c r="X28" s="9">
        <v>0</v>
      </c>
      <c r="Y28" s="9">
        <v>0</v>
      </c>
      <c r="Z28" s="9">
        <v>0</v>
      </c>
      <c r="AA28" s="9">
        <v>0</v>
      </c>
      <c r="AB28" s="9">
        <v>0</v>
      </c>
      <c r="AC28" s="9">
        <v>0</v>
      </c>
      <c r="AD28" s="9">
        <v>0</v>
      </c>
      <c r="AE28" s="9">
        <v>0</v>
      </c>
      <c r="AF28" s="9">
        <v>0</v>
      </c>
      <c r="AG28" s="9">
        <v>0</v>
      </c>
      <c r="AH28" s="9">
        <v>0</v>
      </c>
      <c r="AI28" s="9">
        <v>0</v>
      </c>
      <c r="AJ28" s="9">
        <v>0</v>
      </c>
      <c r="AK28" s="9">
        <v>0</v>
      </c>
      <c r="AL28" s="9">
        <v>0</v>
      </c>
      <c r="AM28" s="9">
        <v>0</v>
      </c>
      <c r="AN28" s="9">
        <v>0</v>
      </c>
      <c r="AO28" s="9">
        <v>0</v>
      </c>
      <c r="AP28" s="9">
        <v>0</v>
      </c>
      <c r="AQ28" s="9">
        <v>0</v>
      </c>
      <c r="AR28" s="9">
        <v>0</v>
      </c>
      <c r="AS28" s="9">
        <v>0</v>
      </c>
      <c r="AT28" s="9">
        <v>0</v>
      </c>
      <c r="AU28" s="9">
        <v>0</v>
      </c>
      <c r="AV28" s="9">
        <v>0</v>
      </c>
      <c r="AW28" s="9">
        <v>0</v>
      </c>
      <c r="AX28" s="9">
        <v>0</v>
      </c>
      <c r="AY28" s="9">
        <v>0</v>
      </c>
      <c r="AZ28" s="9">
        <v>0</v>
      </c>
      <c r="BA28" s="9">
        <v>0</v>
      </c>
      <c r="BB28" s="9">
        <v>0</v>
      </c>
      <c r="BC28" s="9">
        <v>0</v>
      </c>
      <c r="BD28" s="9">
        <v>0</v>
      </c>
      <c r="BE28" s="9">
        <v>0</v>
      </c>
      <c r="BF28" s="9">
        <v>0</v>
      </c>
      <c r="BG28" s="9">
        <v>0</v>
      </c>
      <c r="BH28" s="9">
        <v>0</v>
      </c>
      <c r="BI28" s="9">
        <v>0</v>
      </c>
      <c r="BJ28" s="9">
        <v>0</v>
      </c>
      <c r="BK28" s="9">
        <v>0</v>
      </c>
      <c r="BL28" s="9">
        <v>0</v>
      </c>
      <c r="BM28" s="9">
        <v>0</v>
      </c>
      <c r="BN28" s="9">
        <v>0</v>
      </c>
      <c r="BO28" s="9">
        <v>0</v>
      </c>
      <c r="BP28" s="9">
        <v>0</v>
      </c>
      <c r="BQ28" s="9">
        <v>0</v>
      </c>
      <c r="BR28" s="9">
        <v>0</v>
      </c>
      <c r="BS28" s="9">
        <v>0</v>
      </c>
      <c r="BT28" s="9">
        <v>0</v>
      </c>
      <c r="BU28" s="9">
        <v>0</v>
      </c>
      <c r="BV28" s="9">
        <v>0</v>
      </c>
      <c r="BW28" s="9">
        <v>0</v>
      </c>
      <c r="BX28" s="9">
        <v>0</v>
      </c>
      <c r="BY28" s="9">
        <v>0</v>
      </c>
      <c r="BZ28" s="9">
        <v>0</v>
      </c>
      <c r="CA28" s="9">
        <v>0</v>
      </c>
      <c r="CB28" s="9">
        <v>0</v>
      </c>
      <c r="CC28" s="9">
        <v>0</v>
      </c>
      <c r="CD28" s="9">
        <v>0</v>
      </c>
      <c r="CE28" s="9">
        <v>0</v>
      </c>
      <c r="CF28" s="9">
        <v>0</v>
      </c>
      <c r="CG28" s="9">
        <v>0</v>
      </c>
      <c r="CH28" s="9">
        <v>0</v>
      </c>
      <c r="CI28" s="9">
        <v>0</v>
      </c>
      <c r="CJ28" s="9">
        <v>0</v>
      </c>
      <c r="CK28" s="9">
        <v>0</v>
      </c>
      <c r="CL28" s="9">
        <v>0</v>
      </c>
      <c r="CM28" s="9">
        <v>0</v>
      </c>
      <c r="CN28" s="9">
        <v>0</v>
      </c>
      <c r="CO28" s="9">
        <v>0</v>
      </c>
      <c r="CP28" s="9">
        <v>0</v>
      </c>
      <c r="CQ28" s="9">
        <v>0</v>
      </c>
      <c r="CR28" s="9">
        <v>0</v>
      </c>
      <c r="CS28" s="10">
        <v>0</v>
      </c>
    </row>
    <row r="29" spans="1:97" x14ac:dyDescent="0.35">
      <c r="A29" s="8" t="s">
        <v>0</v>
      </c>
      <c r="B29" s="9" t="s">
        <v>598</v>
      </c>
      <c r="C29" s="9" t="s">
        <v>599</v>
      </c>
      <c r="D29" s="9">
        <f t="shared" si="0"/>
        <v>0</v>
      </c>
      <c r="E29" s="9">
        <v>0</v>
      </c>
      <c r="F29" s="9">
        <v>0</v>
      </c>
      <c r="G29" s="9">
        <v>0</v>
      </c>
      <c r="H29" s="9">
        <v>0</v>
      </c>
      <c r="I29" s="9">
        <v>0</v>
      </c>
      <c r="J29" s="9">
        <v>0</v>
      </c>
      <c r="K29" s="9">
        <v>0</v>
      </c>
      <c r="L29" s="9">
        <v>0</v>
      </c>
      <c r="M29" s="9">
        <v>0</v>
      </c>
      <c r="N29" s="9">
        <v>0</v>
      </c>
      <c r="O29" s="9">
        <v>0</v>
      </c>
      <c r="P29" s="9">
        <v>0</v>
      </c>
      <c r="Q29" s="9">
        <v>0</v>
      </c>
      <c r="R29" s="9">
        <v>0</v>
      </c>
      <c r="S29" s="9">
        <v>0</v>
      </c>
      <c r="T29" s="9">
        <v>0</v>
      </c>
      <c r="U29" s="9">
        <v>0</v>
      </c>
      <c r="V29" s="9">
        <v>0</v>
      </c>
      <c r="W29" s="9">
        <v>0</v>
      </c>
      <c r="X29" s="9">
        <v>0</v>
      </c>
      <c r="Y29" s="9">
        <v>0</v>
      </c>
      <c r="Z29" s="9">
        <v>0</v>
      </c>
      <c r="AA29" s="9">
        <v>0</v>
      </c>
      <c r="AB29" s="9">
        <v>0</v>
      </c>
      <c r="AC29" s="9">
        <v>0</v>
      </c>
      <c r="AD29" s="9">
        <v>0</v>
      </c>
      <c r="AE29" s="9">
        <v>0</v>
      </c>
      <c r="AF29" s="9">
        <v>0</v>
      </c>
      <c r="AG29" s="9">
        <v>0</v>
      </c>
      <c r="AH29" s="9">
        <v>0</v>
      </c>
      <c r="AI29" s="9">
        <v>0</v>
      </c>
      <c r="AJ29" s="9">
        <v>0</v>
      </c>
      <c r="AK29" s="9">
        <v>0</v>
      </c>
      <c r="AL29" s="9">
        <v>0</v>
      </c>
      <c r="AM29" s="9">
        <v>0</v>
      </c>
      <c r="AN29" s="9">
        <v>0</v>
      </c>
      <c r="AO29" s="9">
        <v>0</v>
      </c>
      <c r="AP29" s="9">
        <v>0</v>
      </c>
      <c r="AQ29" s="9">
        <v>0</v>
      </c>
      <c r="AR29" s="9">
        <v>0</v>
      </c>
      <c r="AS29" s="9">
        <v>0</v>
      </c>
      <c r="AT29" s="9">
        <v>0</v>
      </c>
      <c r="AU29" s="9">
        <v>0</v>
      </c>
      <c r="AV29" s="9">
        <v>0</v>
      </c>
      <c r="AW29" s="9">
        <v>0</v>
      </c>
      <c r="AX29" s="9">
        <v>0</v>
      </c>
      <c r="AY29" s="9">
        <v>0</v>
      </c>
      <c r="AZ29" s="9">
        <v>0</v>
      </c>
      <c r="BA29" s="9">
        <v>0</v>
      </c>
      <c r="BB29" s="9">
        <v>0</v>
      </c>
      <c r="BC29" s="9">
        <v>0</v>
      </c>
      <c r="BD29" s="9">
        <v>0</v>
      </c>
      <c r="BE29" s="9">
        <v>0</v>
      </c>
      <c r="BF29" s="9">
        <v>0</v>
      </c>
      <c r="BG29" s="9">
        <v>0</v>
      </c>
      <c r="BH29" s="9">
        <v>0</v>
      </c>
      <c r="BI29" s="9">
        <v>0</v>
      </c>
      <c r="BJ29" s="9">
        <v>0</v>
      </c>
      <c r="BK29" s="9">
        <v>0</v>
      </c>
      <c r="BL29" s="9">
        <v>0</v>
      </c>
      <c r="BM29" s="9">
        <v>0</v>
      </c>
      <c r="BN29" s="9">
        <v>0</v>
      </c>
      <c r="BO29" s="9">
        <v>0</v>
      </c>
      <c r="BP29" s="9">
        <v>0</v>
      </c>
      <c r="BQ29" s="9">
        <v>0</v>
      </c>
      <c r="BR29" s="9">
        <v>0</v>
      </c>
      <c r="BS29" s="9">
        <v>0</v>
      </c>
      <c r="BT29" s="9">
        <v>0</v>
      </c>
      <c r="BU29" s="9">
        <v>0</v>
      </c>
      <c r="BV29" s="9">
        <v>0</v>
      </c>
      <c r="BW29" s="9">
        <v>0</v>
      </c>
      <c r="BX29" s="9">
        <v>0</v>
      </c>
      <c r="BY29" s="9">
        <v>0</v>
      </c>
      <c r="BZ29" s="9">
        <v>0</v>
      </c>
      <c r="CA29" s="9">
        <v>0</v>
      </c>
      <c r="CB29" s="9">
        <v>0</v>
      </c>
      <c r="CC29" s="9">
        <v>0</v>
      </c>
      <c r="CD29" s="9">
        <v>0</v>
      </c>
      <c r="CE29" s="9">
        <v>0</v>
      </c>
      <c r="CF29" s="9">
        <v>0</v>
      </c>
      <c r="CG29" s="9">
        <v>0</v>
      </c>
      <c r="CH29" s="9">
        <v>0</v>
      </c>
      <c r="CI29" s="9">
        <v>0</v>
      </c>
      <c r="CJ29" s="9">
        <v>0</v>
      </c>
      <c r="CK29" s="9">
        <v>0</v>
      </c>
      <c r="CL29" s="9">
        <v>0</v>
      </c>
      <c r="CM29" s="9">
        <v>0</v>
      </c>
      <c r="CN29" s="9">
        <v>0</v>
      </c>
      <c r="CO29" s="9">
        <v>0</v>
      </c>
      <c r="CP29" s="9">
        <v>0</v>
      </c>
      <c r="CQ29" s="9">
        <v>0</v>
      </c>
      <c r="CR29" s="9">
        <v>0</v>
      </c>
      <c r="CS29" s="10">
        <v>0</v>
      </c>
    </row>
    <row r="30" spans="1:97" x14ac:dyDescent="0.35">
      <c r="A30" s="8" t="s">
        <v>0</v>
      </c>
      <c r="B30" s="9" t="s">
        <v>600</v>
      </c>
      <c r="C30" s="9" t="s">
        <v>601</v>
      </c>
      <c r="D30" s="9">
        <f t="shared" si="0"/>
        <v>0</v>
      </c>
      <c r="E30" s="9">
        <v>0</v>
      </c>
      <c r="F30" s="9">
        <v>0</v>
      </c>
      <c r="G30" s="9">
        <v>0</v>
      </c>
      <c r="H30" s="9">
        <v>0</v>
      </c>
      <c r="I30" s="9">
        <v>0</v>
      </c>
      <c r="J30" s="9">
        <v>0</v>
      </c>
      <c r="K30" s="9">
        <v>0</v>
      </c>
      <c r="L30" s="9">
        <v>0</v>
      </c>
      <c r="M30" s="9">
        <v>0</v>
      </c>
      <c r="N30" s="9">
        <v>0</v>
      </c>
      <c r="O30" s="9">
        <v>0</v>
      </c>
      <c r="P30" s="9">
        <v>0</v>
      </c>
      <c r="Q30" s="9">
        <v>0</v>
      </c>
      <c r="R30" s="9">
        <v>0</v>
      </c>
      <c r="S30" s="9">
        <v>0</v>
      </c>
      <c r="T30" s="9">
        <v>0</v>
      </c>
      <c r="U30" s="9">
        <v>0</v>
      </c>
      <c r="V30" s="9">
        <v>0</v>
      </c>
      <c r="W30" s="9">
        <v>0</v>
      </c>
      <c r="X30" s="9">
        <v>0</v>
      </c>
      <c r="Y30" s="9">
        <v>0</v>
      </c>
      <c r="Z30" s="9">
        <v>0</v>
      </c>
      <c r="AA30" s="9">
        <v>0</v>
      </c>
      <c r="AB30" s="9">
        <v>0</v>
      </c>
      <c r="AC30" s="9">
        <v>0</v>
      </c>
      <c r="AD30" s="9">
        <v>0</v>
      </c>
      <c r="AE30" s="9">
        <v>0</v>
      </c>
      <c r="AF30" s="9">
        <v>0</v>
      </c>
      <c r="AG30" s="9">
        <v>0</v>
      </c>
      <c r="AH30" s="9">
        <v>0</v>
      </c>
      <c r="AI30" s="9">
        <v>0</v>
      </c>
      <c r="AJ30" s="9">
        <v>0</v>
      </c>
      <c r="AK30" s="9">
        <v>0</v>
      </c>
      <c r="AL30" s="9">
        <v>0</v>
      </c>
      <c r="AM30" s="9">
        <v>0</v>
      </c>
      <c r="AN30" s="9">
        <v>0</v>
      </c>
      <c r="AO30" s="9">
        <v>0</v>
      </c>
      <c r="AP30" s="9">
        <v>0</v>
      </c>
      <c r="AQ30" s="9">
        <v>0</v>
      </c>
      <c r="AR30" s="9">
        <v>0</v>
      </c>
      <c r="AS30" s="9">
        <v>0</v>
      </c>
      <c r="AT30" s="9">
        <v>0</v>
      </c>
      <c r="AU30" s="9">
        <v>0</v>
      </c>
      <c r="AV30" s="9">
        <v>0</v>
      </c>
      <c r="AW30" s="9">
        <v>0</v>
      </c>
      <c r="AX30" s="9">
        <v>0</v>
      </c>
      <c r="AY30" s="9">
        <v>0</v>
      </c>
      <c r="AZ30" s="9">
        <v>0</v>
      </c>
      <c r="BA30" s="9">
        <v>0</v>
      </c>
      <c r="BB30" s="9">
        <v>0</v>
      </c>
      <c r="BC30" s="9">
        <v>0</v>
      </c>
      <c r="BD30" s="9">
        <v>0</v>
      </c>
      <c r="BE30" s="9">
        <v>0</v>
      </c>
      <c r="BF30" s="9">
        <v>0</v>
      </c>
      <c r="BG30" s="9">
        <v>0</v>
      </c>
      <c r="BH30" s="9">
        <v>0</v>
      </c>
      <c r="BI30" s="9">
        <v>0</v>
      </c>
      <c r="BJ30" s="9">
        <v>0</v>
      </c>
      <c r="BK30" s="9">
        <v>0</v>
      </c>
      <c r="BL30" s="9">
        <v>0</v>
      </c>
      <c r="BM30" s="9">
        <v>0</v>
      </c>
      <c r="BN30" s="9">
        <v>0</v>
      </c>
      <c r="BO30" s="9">
        <v>0</v>
      </c>
      <c r="BP30" s="9">
        <v>0</v>
      </c>
      <c r="BQ30" s="9">
        <v>0</v>
      </c>
      <c r="BR30" s="9">
        <v>0</v>
      </c>
      <c r="BS30" s="9">
        <v>0</v>
      </c>
      <c r="BT30" s="9">
        <v>0</v>
      </c>
      <c r="BU30" s="9">
        <v>0</v>
      </c>
      <c r="BV30" s="9">
        <v>0</v>
      </c>
      <c r="BW30" s="9">
        <v>0</v>
      </c>
      <c r="BX30" s="9">
        <v>0</v>
      </c>
      <c r="BY30" s="9">
        <v>0</v>
      </c>
      <c r="BZ30" s="9">
        <v>0</v>
      </c>
      <c r="CA30" s="9">
        <v>0</v>
      </c>
      <c r="CB30" s="9">
        <v>0</v>
      </c>
      <c r="CC30" s="9">
        <v>0</v>
      </c>
      <c r="CD30" s="9">
        <v>0</v>
      </c>
      <c r="CE30" s="9">
        <v>0</v>
      </c>
      <c r="CF30" s="9">
        <v>0</v>
      </c>
      <c r="CG30" s="9">
        <v>0</v>
      </c>
      <c r="CH30" s="9">
        <v>0</v>
      </c>
      <c r="CI30" s="9">
        <v>0</v>
      </c>
      <c r="CJ30" s="9">
        <v>0</v>
      </c>
      <c r="CK30" s="9">
        <v>0</v>
      </c>
      <c r="CL30" s="9">
        <v>0</v>
      </c>
      <c r="CM30" s="9">
        <v>0</v>
      </c>
      <c r="CN30" s="9">
        <v>0</v>
      </c>
      <c r="CO30" s="9">
        <v>0</v>
      </c>
      <c r="CP30" s="9">
        <v>0</v>
      </c>
      <c r="CQ30" s="9">
        <v>0</v>
      </c>
      <c r="CR30" s="9">
        <v>0</v>
      </c>
      <c r="CS30" s="10">
        <v>0</v>
      </c>
    </row>
    <row r="31" spans="1:97" x14ac:dyDescent="0.35">
      <c r="A31" s="8" t="s">
        <v>0</v>
      </c>
      <c r="B31" s="9" t="s">
        <v>602</v>
      </c>
      <c r="C31" s="9" t="s">
        <v>603</v>
      </c>
      <c r="D31" s="9">
        <f t="shared" si="0"/>
        <v>0</v>
      </c>
      <c r="E31" s="9">
        <v>0</v>
      </c>
      <c r="F31" s="9">
        <v>0</v>
      </c>
      <c r="G31" s="9">
        <v>0</v>
      </c>
      <c r="H31" s="9">
        <v>0</v>
      </c>
      <c r="I31" s="9">
        <v>0</v>
      </c>
      <c r="J31" s="9">
        <v>0</v>
      </c>
      <c r="K31" s="9">
        <v>0</v>
      </c>
      <c r="L31" s="9">
        <v>0</v>
      </c>
      <c r="M31" s="9">
        <v>0</v>
      </c>
      <c r="N31" s="9">
        <v>0</v>
      </c>
      <c r="O31" s="9">
        <v>0</v>
      </c>
      <c r="P31" s="9">
        <v>0</v>
      </c>
      <c r="Q31" s="9">
        <v>0</v>
      </c>
      <c r="R31" s="9">
        <v>0</v>
      </c>
      <c r="S31" s="9">
        <v>0</v>
      </c>
      <c r="T31" s="9">
        <v>0</v>
      </c>
      <c r="U31" s="9">
        <v>0</v>
      </c>
      <c r="V31" s="9">
        <v>0</v>
      </c>
      <c r="W31" s="9">
        <v>0</v>
      </c>
      <c r="X31" s="9">
        <v>0</v>
      </c>
      <c r="Y31" s="9">
        <v>0</v>
      </c>
      <c r="Z31" s="9">
        <v>0</v>
      </c>
      <c r="AA31" s="9">
        <v>0</v>
      </c>
      <c r="AB31" s="9">
        <v>0</v>
      </c>
      <c r="AC31" s="9">
        <v>0</v>
      </c>
      <c r="AD31" s="9">
        <v>0</v>
      </c>
      <c r="AE31" s="9">
        <v>0</v>
      </c>
      <c r="AF31" s="9">
        <v>0</v>
      </c>
      <c r="AG31" s="9">
        <v>0</v>
      </c>
      <c r="AH31" s="9">
        <v>0</v>
      </c>
      <c r="AI31" s="9">
        <v>0</v>
      </c>
      <c r="AJ31" s="9">
        <v>0</v>
      </c>
      <c r="AK31" s="9">
        <v>0</v>
      </c>
      <c r="AL31" s="9">
        <v>0</v>
      </c>
      <c r="AM31" s="9">
        <v>0</v>
      </c>
      <c r="AN31" s="9">
        <v>0</v>
      </c>
      <c r="AO31" s="9">
        <v>0</v>
      </c>
      <c r="AP31" s="9">
        <v>0</v>
      </c>
      <c r="AQ31" s="9">
        <v>0</v>
      </c>
      <c r="AR31" s="9">
        <v>0</v>
      </c>
      <c r="AS31" s="9">
        <v>0</v>
      </c>
      <c r="AT31" s="9">
        <v>0</v>
      </c>
      <c r="AU31" s="9">
        <v>0</v>
      </c>
      <c r="AV31" s="9">
        <v>0</v>
      </c>
      <c r="AW31" s="9">
        <v>0</v>
      </c>
      <c r="AX31" s="9">
        <v>0</v>
      </c>
      <c r="AY31" s="9">
        <v>0</v>
      </c>
      <c r="AZ31" s="9">
        <v>0</v>
      </c>
      <c r="BA31" s="9">
        <v>0</v>
      </c>
      <c r="BB31" s="9">
        <v>0</v>
      </c>
      <c r="BC31" s="9">
        <v>0</v>
      </c>
      <c r="BD31" s="9">
        <v>0</v>
      </c>
      <c r="BE31" s="9">
        <v>0</v>
      </c>
      <c r="BF31" s="9">
        <v>0</v>
      </c>
      <c r="BG31" s="9">
        <v>0</v>
      </c>
      <c r="BH31" s="9">
        <v>0</v>
      </c>
      <c r="BI31" s="9">
        <v>0</v>
      </c>
      <c r="BJ31" s="9">
        <v>0</v>
      </c>
      <c r="BK31" s="9">
        <v>0</v>
      </c>
      <c r="BL31" s="9">
        <v>0</v>
      </c>
      <c r="BM31" s="9">
        <v>0</v>
      </c>
      <c r="BN31" s="9">
        <v>0</v>
      </c>
      <c r="BO31" s="9">
        <v>0</v>
      </c>
      <c r="BP31" s="9">
        <v>0</v>
      </c>
      <c r="BQ31" s="9">
        <v>0</v>
      </c>
      <c r="BR31" s="9">
        <v>0</v>
      </c>
      <c r="BS31" s="9">
        <v>0</v>
      </c>
      <c r="BT31" s="9">
        <v>0</v>
      </c>
      <c r="BU31" s="9">
        <v>0</v>
      </c>
      <c r="BV31" s="9">
        <v>0</v>
      </c>
      <c r="BW31" s="9">
        <v>0</v>
      </c>
      <c r="BX31" s="9">
        <v>0</v>
      </c>
      <c r="BY31" s="9">
        <v>0</v>
      </c>
      <c r="BZ31" s="9">
        <v>0</v>
      </c>
      <c r="CA31" s="9">
        <v>0</v>
      </c>
      <c r="CB31" s="9">
        <v>0</v>
      </c>
      <c r="CC31" s="9">
        <v>0</v>
      </c>
      <c r="CD31" s="9">
        <v>0</v>
      </c>
      <c r="CE31" s="9">
        <v>0</v>
      </c>
      <c r="CF31" s="9">
        <v>0</v>
      </c>
      <c r="CG31" s="9">
        <v>0</v>
      </c>
      <c r="CH31" s="9">
        <v>0</v>
      </c>
      <c r="CI31" s="9">
        <v>0</v>
      </c>
      <c r="CJ31" s="9">
        <v>0</v>
      </c>
      <c r="CK31" s="9">
        <v>0</v>
      </c>
      <c r="CL31" s="9">
        <v>0</v>
      </c>
      <c r="CM31" s="9">
        <v>0</v>
      </c>
      <c r="CN31" s="9">
        <v>0</v>
      </c>
      <c r="CO31" s="9">
        <v>0</v>
      </c>
      <c r="CP31" s="9">
        <v>0</v>
      </c>
      <c r="CQ31" s="9">
        <v>0</v>
      </c>
      <c r="CR31" s="9">
        <v>0</v>
      </c>
      <c r="CS31" s="10">
        <v>0</v>
      </c>
    </row>
    <row r="32" spans="1:97" x14ac:dyDescent="0.35">
      <c r="A32" s="8" t="s">
        <v>0</v>
      </c>
      <c r="B32" s="9" t="s">
        <v>604</v>
      </c>
      <c r="C32" s="9" t="s">
        <v>605</v>
      </c>
      <c r="D32" s="9">
        <f t="shared" si="0"/>
        <v>0</v>
      </c>
      <c r="E32" s="9">
        <v>0</v>
      </c>
      <c r="F32" s="9">
        <v>0</v>
      </c>
      <c r="G32" s="9">
        <v>0</v>
      </c>
      <c r="H32" s="9">
        <v>0</v>
      </c>
      <c r="I32" s="9">
        <v>0</v>
      </c>
      <c r="J32" s="9">
        <v>0</v>
      </c>
      <c r="K32" s="9">
        <v>0</v>
      </c>
      <c r="L32" s="9">
        <v>0</v>
      </c>
      <c r="M32" s="9">
        <v>0</v>
      </c>
      <c r="N32" s="9">
        <v>0</v>
      </c>
      <c r="O32" s="9">
        <v>0</v>
      </c>
      <c r="P32" s="9">
        <v>0</v>
      </c>
      <c r="Q32" s="9">
        <v>0</v>
      </c>
      <c r="R32" s="9">
        <v>0</v>
      </c>
      <c r="S32" s="9">
        <v>0</v>
      </c>
      <c r="T32" s="9">
        <v>0</v>
      </c>
      <c r="U32" s="9">
        <v>0</v>
      </c>
      <c r="V32" s="9">
        <v>0</v>
      </c>
      <c r="W32" s="9">
        <v>0</v>
      </c>
      <c r="X32" s="9">
        <v>0</v>
      </c>
      <c r="Y32" s="9">
        <v>0</v>
      </c>
      <c r="Z32" s="9">
        <v>0</v>
      </c>
      <c r="AA32" s="9">
        <v>0</v>
      </c>
      <c r="AB32" s="9">
        <v>0</v>
      </c>
      <c r="AC32" s="9">
        <v>0</v>
      </c>
      <c r="AD32" s="9">
        <v>0</v>
      </c>
      <c r="AE32" s="9">
        <v>0</v>
      </c>
      <c r="AF32" s="9">
        <v>0</v>
      </c>
      <c r="AG32" s="9">
        <v>0</v>
      </c>
      <c r="AH32" s="9">
        <v>0</v>
      </c>
      <c r="AI32" s="9">
        <v>0</v>
      </c>
      <c r="AJ32" s="9">
        <v>0</v>
      </c>
      <c r="AK32" s="9">
        <v>0</v>
      </c>
      <c r="AL32" s="9">
        <v>0</v>
      </c>
      <c r="AM32" s="9">
        <v>0</v>
      </c>
      <c r="AN32" s="9">
        <v>0</v>
      </c>
      <c r="AO32" s="9">
        <v>0</v>
      </c>
      <c r="AP32" s="9">
        <v>0</v>
      </c>
      <c r="AQ32" s="9">
        <v>0</v>
      </c>
      <c r="AR32" s="9">
        <v>0</v>
      </c>
      <c r="AS32" s="9">
        <v>0</v>
      </c>
      <c r="AT32" s="9">
        <v>0</v>
      </c>
      <c r="AU32" s="9">
        <v>0</v>
      </c>
      <c r="AV32" s="9">
        <v>0</v>
      </c>
      <c r="AW32" s="9">
        <v>0</v>
      </c>
      <c r="AX32" s="9">
        <v>0</v>
      </c>
      <c r="AY32" s="9">
        <v>0</v>
      </c>
      <c r="AZ32" s="9">
        <v>0</v>
      </c>
      <c r="BA32" s="9">
        <v>0</v>
      </c>
      <c r="BB32" s="9">
        <v>0</v>
      </c>
      <c r="BC32" s="9">
        <v>0</v>
      </c>
      <c r="BD32" s="9">
        <v>0</v>
      </c>
      <c r="BE32" s="9">
        <v>0</v>
      </c>
      <c r="BF32" s="9">
        <v>0</v>
      </c>
      <c r="BG32" s="9">
        <v>0</v>
      </c>
      <c r="BH32" s="9">
        <v>0</v>
      </c>
      <c r="BI32" s="9">
        <v>0</v>
      </c>
      <c r="BJ32" s="9">
        <v>0</v>
      </c>
      <c r="BK32" s="9">
        <v>0</v>
      </c>
      <c r="BL32" s="9">
        <v>0</v>
      </c>
      <c r="BM32" s="9">
        <v>0</v>
      </c>
      <c r="BN32" s="9">
        <v>0</v>
      </c>
      <c r="BO32" s="9">
        <v>0</v>
      </c>
      <c r="BP32" s="9">
        <v>0</v>
      </c>
      <c r="BQ32" s="9">
        <v>0</v>
      </c>
      <c r="BR32" s="9">
        <v>0</v>
      </c>
      <c r="BS32" s="9">
        <v>0</v>
      </c>
      <c r="BT32" s="9">
        <v>0</v>
      </c>
      <c r="BU32" s="9">
        <v>0</v>
      </c>
      <c r="BV32" s="9">
        <v>0</v>
      </c>
      <c r="BW32" s="9">
        <v>0</v>
      </c>
      <c r="BX32" s="9">
        <v>0</v>
      </c>
      <c r="BY32" s="9">
        <v>0</v>
      </c>
      <c r="BZ32" s="9">
        <v>0</v>
      </c>
      <c r="CA32" s="9">
        <v>0</v>
      </c>
      <c r="CB32" s="9">
        <v>0</v>
      </c>
      <c r="CC32" s="9">
        <v>0</v>
      </c>
      <c r="CD32" s="9">
        <v>0</v>
      </c>
      <c r="CE32" s="9">
        <v>0</v>
      </c>
      <c r="CF32" s="9">
        <v>0</v>
      </c>
      <c r="CG32" s="9">
        <v>0</v>
      </c>
      <c r="CH32" s="9">
        <v>0</v>
      </c>
      <c r="CI32" s="9">
        <v>0</v>
      </c>
      <c r="CJ32" s="9">
        <v>0</v>
      </c>
      <c r="CK32" s="9">
        <v>0</v>
      </c>
      <c r="CL32" s="9">
        <v>0</v>
      </c>
      <c r="CM32" s="9">
        <v>0</v>
      </c>
      <c r="CN32" s="9">
        <v>0</v>
      </c>
      <c r="CO32" s="9">
        <v>0</v>
      </c>
      <c r="CP32" s="9">
        <v>0</v>
      </c>
      <c r="CQ32" s="9">
        <v>0</v>
      </c>
      <c r="CR32" s="9">
        <v>0</v>
      </c>
      <c r="CS32" s="10">
        <v>0</v>
      </c>
    </row>
    <row r="33" spans="1:97" x14ac:dyDescent="0.35">
      <c r="A33" s="8" t="s">
        <v>0</v>
      </c>
      <c r="B33" s="9" t="s">
        <v>606</v>
      </c>
      <c r="C33" s="9" t="s">
        <v>607</v>
      </c>
      <c r="D33" s="9">
        <f t="shared" si="0"/>
        <v>0</v>
      </c>
      <c r="E33" s="9">
        <v>0</v>
      </c>
      <c r="F33" s="9">
        <v>0</v>
      </c>
      <c r="G33" s="9">
        <v>0</v>
      </c>
      <c r="H33" s="9">
        <v>0</v>
      </c>
      <c r="I33" s="9">
        <v>0</v>
      </c>
      <c r="J33" s="9">
        <v>0</v>
      </c>
      <c r="K33" s="9">
        <v>0</v>
      </c>
      <c r="L33" s="9">
        <v>0</v>
      </c>
      <c r="M33" s="9">
        <v>0</v>
      </c>
      <c r="N33" s="9">
        <v>0</v>
      </c>
      <c r="O33" s="9">
        <v>0</v>
      </c>
      <c r="P33" s="9">
        <v>0</v>
      </c>
      <c r="Q33" s="9">
        <v>0</v>
      </c>
      <c r="R33" s="9">
        <v>0</v>
      </c>
      <c r="S33" s="9">
        <v>0</v>
      </c>
      <c r="T33" s="9">
        <v>0</v>
      </c>
      <c r="U33" s="9">
        <v>0</v>
      </c>
      <c r="V33" s="9">
        <v>0</v>
      </c>
      <c r="W33" s="9">
        <v>0</v>
      </c>
      <c r="X33" s="9">
        <v>0</v>
      </c>
      <c r="Y33" s="9">
        <v>0</v>
      </c>
      <c r="Z33" s="9">
        <v>0</v>
      </c>
      <c r="AA33" s="9">
        <v>0</v>
      </c>
      <c r="AB33" s="9">
        <v>0</v>
      </c>
      <c r="AC33" s="9">
        <v>0</v>
      </c>
      <c r="AD33" s="9">
        <v>0</v>
      </c>
      <c r="AE33" s="9">
        <v>0</v>
      </c>
      <c r="AF33" s="9">
        <v>0</v>
      </c>
      <c r="AG33" s="9">
        <v>0</v>
      </c>
      <c r="AH33" s="9">
        <v>0</v>
      </c>
      <c r="AI33" s="9">
        <v>0</v>
      </c>
      <c r="AJ33" s="9">
        <v>0</v>
      </c>
      <c r="AK33" s="9">
        <v>0</v>
      </c>
      <c r="AL33" s="9">
        <v>0</v>
      </c>
      <c r="AM33" s="9">
        <v>0</v>
      </c>
      <c r="AN33" s="9">
        <v>0</v>
      </c>
      <c r="AO33" s="9">
        <v>0</v>
      </c>
      <c r="AP33" s="9">
        <v>0</v>
      </c>
      <c r="AQ33" s="9">
        <v>0</v>
      </c>
      <c r="AR33" s="9">
        <v>0</v>
      </c>
      <c r="AS33" s="9">
        <v>0</v>
      </c>
      <c r="AT33" s="9">
        <v>0</v>
      </c>
      <c r="AU33" s="9">
        <v>0</v>
      </c>
      <c r="AV33" s="9">
        <v>0</v>
      </c>
      <c r="AW33" s="9">
        <v>0</v>
      </c>
      <c r="AX33" s="9">
        <v>0</v>
      </c>
      <c r="AY33" s="9">
        <v>0</v>
      </c>
      <c r="AZ33" s="9">
        <v>0</v>
      </c>
      <c r="BA33" s="9">
        <v>0</v>
      </c>
      <c r="BB33" s="9">
        <v>0</v>
      </c>
      <c r="BC33" s="9">
        <v>0</v>
      </c>
      <c r="BD33" s="9">
        <v>0</v>
      </c>
      <c r="BE33" s="9">
        <v>0</v>
      </c>
      <c r="BF33" s="9">
        <v>0</v>
      </c>
      <c r="BG33" s="9">
        <v>0</v>
      </c>
      <c r="BH33" s="9">
        <v>0</v>
      </c>
      <c r="BI33" s="9">
        <v>0</v>
      </c>
      <c r="BJ33" s="9">
        <v>0</v>
      </c>
      <c r="BK33" s="9">
        <v>0</v>
      </c>
      <c r="BL33" s="9">
        <v>0</v>
      </c>
      <c r="BM33" s="9">
        <v>0</v>
      </c>
      <c r="BN33" s="9">
        <v>0</v>
      </c>
      <c r="BO33" s="9">
        <v>0</v>
      </c>
      <c r="BP33" s="9">
        <v>0</v>
      </c>
      <c r="BQ33" s="9">
        <v>0</v>
      </c>
      <c r="BR33" s="9">
        <v>0</v>
      </c>
      <c r="BS33" s="9">
        <v>0</v>
      </c>
      <c r="BT33" s="9">
        <v>0</v>
      </c>
      <c r="BU33" s="9">
        <v>0</v>
      </c>
      <c r="BV33" s="9">
        <v>0</v>
      </c>
      <c r="BW33" s="9">
        <v>0</v>
      </c>
      <c r="BX33" s="9">
        <v>0</v>
      </c>
      <c r="BY33" s="9">
        <v>0</v>
      </c>
      <c r="BZ33" s="9">
        <v>0</v>
      </c>
      <c r="CA33" s="9">
        <v>0</v>
      </c>
      <c r="CB33" s="9">
        <v>0</v>
      </c>
      <c r="CC33" s="9">
        <v>0</v>
      </c>
      <c r="CD33" s="9">
        <v>0</v>
      </c>
      <c r="CE33" s="9">
        <v>0</v>
      </c>
      <c r="CF33" s="9">
        <v>0</v>
      </c>
      <c r="CG33" s="9">
        <v>0</v>
      </c>
      <c r="CH33" s="9">
        <v>0</v>
      </c>
      <c r="CI33" s="9">
        <v>0</v>
      </c>
      <c r="CJ33" s="9">
        <v>0</v>
      </c>
      <c r="CK33" s="9">
        <v>0</v>
      </c>
      <c r="CL33" s="9">
        <v>0</v>
      </c>
      <c r="CM33" s="9">
        <v>0</v>
      </c>
      <c r="CN33" s="9">
        <v>0</v>
      </c>
      <c r="CO33" s="9">
        <v>0</v>
      </c>
      <c r="CP33" s="9">
        <v>0</v>
      </c>
      <c r="CQ33" s="9">
        <v>0</v>
      </c>
      <c r="CR33" s="9">
        <v>0</v>
      </c>
      <c r="CS33" s="10">
        <v>0</v>
      </c>
    </row>
    <row r="34" spans="1:97" x14ac:dyDescent="0.35">
      <c r="A34" s="8" t="s">
        <v>0</v>
      </c>
      <c r="B34" s="9" t="s">
        <v>608</v>
      </c>
      <c r="C34" s="9" t="s">
        <v>609</v>
      </c>
      <c r="D34" s="9">
        <f t="shared" si="0"/>
        <v>0</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0</v>
      </c>
      <c r="W34" s="9">
        <v>0</v>
      </c>
      <c r="X34" s="9">
        <v>0</v>
      </c>
      <c r="Y34" s="9">
        <v>0</v>
      </c>
      <c r="Z34" s="9">
        <v>0</v>
      </c>
      <c r="AA34" s="9">
        <v>0</v>
      </c>
      <c r="AB34" s="9">
        <v>0</v>
      </c>
      <c r="AC34" s="9">
        <v>0</v>
      </c>
      <c r="AD34" s="9">
        <v>0</v>
      </c>
      <c r="AE34" s="9">
        <v>0</v>
      </c>
      <c r="AF34" s="9">
        <v>0</v>
      </c>
      <c r="AG34" s="9">
        <v>0</v>
      </c>
      <c r="AH34" s="9">
        <v>0</v>
      </c>
      <c r="AI34" s="9">
        <v>0</v>
      </c>
      <c r="AJ34" s="9">
        <v>0</v>
      </c>
      <c r="AK34" s="9">
        <v>0</v>
      </c>
      <c r="AL34" s="9">
        <v>0</v>
      </c>
      <c r="AM34" s="9">
        <v>0</v>
      </c>
      <c r="AN34" s="9">
        <v>0</v>
      </c>
      <c r="AO34" s="9">
        <v>0</v>
      </c>
      <c r="AP34" s="9">
        <v>0</v>
      </c>
      <c r="AQ34" s="9">
        <v>0</v>
      </c>
      <c r="AR34" s="9">
        <v>0</v>
      </c>
      <c r="AS34" s="9">
        <v>0</v>
      </c>
      <c r="AT34" s="9">
        <v>0</v>
      </c>
      <c r="AU34" s="9">
        <v>0</v>
      </c>
      <c r="AV34" s="9">
        <v>0</v>
      </c>
      <c r="AW34" s="9">
        <v>0</v>
      </c>
      <c r="AX34" s="9">
        <v>0</v>
      </c>
      <c r="AY34" s="9">
        <v>0</v>
      </c>
      <c r="AZ34" s="9">
        <v>0</v>
      </c>
      <c r="BA34" s="9">
        <v>0</v>
      </c>
      <c r="BB34" s="9">
        <v>0</v>
      </c>
      <c r="BC34" s="9">
        <v>0</v>
      </c>
      <c r="BD34" s="9">
        <v>0</v>
      </c>
      <c r="BE34" s="9">
        <v>0</v>
      </c>
      <c r="BF34" s="9">
        <v>0</v>
      </c>
      <c r="BG34" s="9">
        <v>0</v>
      </c>
      <c r="BH34" s="9">
        <v>0</v>
      </c>
      <c r="BI34" s="9">
        <v>0</v>
      </c>
      <c r="BJ34" s="9">
        <v>0</v>
      </c>
      <c r="BK34" s="9">
        <v>0</v>
      </c>
      <c r="BL34" s="9">
        <v>0</v>
      </c>
      <c r="BM34" s="9">
        <v>0</v>
      </c>
      <c r="BN34" s="9">
        <v>0</v>
      </c>
      <c r="BO34" s="9">
        <v>0</v>
      </c>
      <c r="BP34" s="9">
        <v>0</v>
      </c>
      <c r="BQ34" s="9">
        <v>0</v>
      </c>
      <c r="BR34" s="9">
        <v>0</v>
      </c>
      <c r="BS34" s="9">
        <v>0</v>
      </c>
      <c r="BT34" s="9">
        <v>0</v>
      </c>
      <c r="BU34" s="9">
        <v>0</v>
      </c>
      <c r="BV34" s="9">
        <v>0</v>
      </c>
      <c r="BW34" s="9">
        <v>0</v>
      </c>
      <c r="BX34" s="9">
        <v>0</v>
      </c>
      <c r="BY34" s="9">
        <v>0</v>
      </c>
      <c r="BZ34" s="9">
        <v>0</v>
      </c>
      <c r="CA34" s="9">
        <v>0</v>
      </c>
      <c r="CB34" s="9">
        <v>0</v>
      </c>
      <c r="CC34" s="9">
        <v>0</v>
      </c>
      <c r="CD34" s="9">
        <v>0</v>
      </c>
      <c r="CE34" s="9">
        <v>0</v>
      </c>
      <c r="CF34" s="9">
        <v>0</v>
      </c>
      <c r="CG34" s="9">
        <v>0</v>
      </c>
      <c r="CH34" s="9">
        <v>0</v>
      </c>
      <c r="CI34" s="9">
        <v>0</v>
      </c>
      <c r="CJ34" s="9">
        <v>0</v>
      </c>
      <c r="CK34" s="9">
        <v>0</v>
      </c>
      <c r="CL34" s="9">
        <v>0</v>
      </c>
      <c r="CM34" s="9">
        <v>0</v>
      </c>
      <c r="CN34" s="9">
        <v>0</v>
      </c>
      <c r="CO34" s="9">
        <v>0</v>
      </c>
      <c r="CP34" s="9">
        <v>0</v>
      </c>
      <c r="CQ34" s="9">
        <v>0</v>
      </c>
      <c r="CR34" s="9">
        <v>0</v>
      </c>
      <c r="CS34" s="10">
        <v>0</v>
      </c>
    </row>
    <row r="35" spans="1:97" x14ac:dyDescent="0.35">
      <c r="A35" s="8" t="s">
        <v>0</v>
      </c>
      <c r="B35" s="9" t="s">
        <v>610</v>
      </c>
      <c r="C35" s="9" t="s">
        <v>611</v>
      </c>
      <c r="D35" s="9">
        <f t="shared" si="0"/>
        <v>0</v>
      </c>
      <c r="E35" s="9">
        <v>0</v>
      </c>
      <c r="F35" s="9">
        <v>0</v>
      </c>
      <c r="G35" s="9">
        <v>0</v>
      </c>
      <c r="H35" s="9">
        <v>0</v>
      </c>
      <c r="I35" s="9">
        <v>0</v>
      </c>
      <c r="J35" s="9">
        <v>0</v>
      </c>
      <c r="K35" s="9">
        <v>0</v>
      </c>
      <c r="L35" s="9">
        <v>0</v>
      </c>
      <c r="M35" s="9">
        <v>0</v>
      </c>
      <c r="N35" s="9">
        <v>0</v>
      </c>
      <c r="O35" s="9">
        <v>0</v>
      </c>
      <c r="P35" s="9">
        <v>0</v>
      </c>
      <c r="Q35" s="9">
        <v>0</v>
      </c>
      <c r="R35" s="9">
        <v>0</v>
      </c>
      <c r="S35" s="9">
        <v>0</v>
      </c>
      <c r="T35" s="9">
        <v>0</v>
      </c>
      <c r="U35" s="9">
        <v>0</v>
      </c>
      <c r="V35" s="9">
        <v>0</v>
      </c>
      <c r="W35" s="9">
        <v>0</v>
      </c>
      <c r="X35" s="9">
        <v>0</v>
      </c>
      <c r="Y35" s="9">
        <v>0</v>
      </c>
      <c r="Z35" s="9">
        <v>0</v>
      </c>
      <c r="AA35" s="9">
        <v>0</v>
      </c>
      <c r="AB35" s="9">
        <v>0</v>
      </c>
      <c r="AC35" s="9">
        <v>0</v>
      </c>
      <c r="AD35" s="9">
        <v>0</v>
      </c>
      <c r="AE35" s="9">
        <v>0</v>
      </c>
      <c r="AF35" s="9">
        <v>0</v>
      </c>
      <c r="AG35" s="9">
        <v>0</v>
      </c>
      <c r="AH35" s="9">
        <v>0</v>
      </c>
      <c r="AI35" s="9">
        <v>0</v>
      </c>
      <c r="AJ35" s="9">
        <v>0</v>
      </c>
      <c r="AK35" s="9">
        <v>0</v>
      </c>
      <c r="AL35" s="9">
        <v>0</v>
      </c>
      <c r="AM35" s="9">
        <v>0</v>
      </c>
      <c r="AN35" s="9">
        <v>0</v>
      </c>
      <c r="AO35" s="9">
        <v>0</v>
      </c>
      <c r="AP35" s="9">
        <v>0</v>
      </c>
      <c r="AQ35" s="9">
        <v>0</v>
      </c>
      <c r="AR35" s="9">
        <v>0</v>
      </c>
      <c r="AS35" s="9">
        <v>0</v>
      </c>
      <c r="AT35" s="9">
        <v>0</v>
      </c>
      <c r="AU35" s="9">
        <v>0</v>
      </c>
      <c r="AV35" s="9">
        <v>0</v>
      </c>
      <c r="AW35" s="9">
        <v>0</v>
      </c>
      <c r="AX35" s="9">
        <v>0</v>
      </c>
      <c r="AY35" s="9">
        <v>0</v>
      </c>
      <c r="AZ35" s="9">
        <v>0</v>
      </c>
      <c r="BA35" s="9">
        <v>0</v>
      </c>
      <c r="BB35" s="9">
        <v>0</v>
      </c>
      <c r="BC35" s="9">
        <v>0</v>
      </c>
      <c r="BD35" s="9">
        <v>0</v>
      </c>
      <c r="BE35" s="9">
        <v>0</v>
      </c>
      <c r="BF35" s="9">
        <v>0</v>
      </c>
      <c r="BG35" s="9">
        <v>0</v>
      </c>
      <c r="BH35" s="9">
        <v>0</v>
      </c>
      <c r="BI35" s="9">
        <v>0</v>
      </c>
      <c r="BJ35" s="9">
        <v>0</v>
      </c>
      <c r="BK35" s="9">
        <v>0</v>
      </c>
      <c r="BL35" s="9">
        <v>0</v>
      </c>
      <c r="BM35" s="9">
        <v>0</v>
      </c>
      <c r="BN35" s="9">
        <v>0</v>
      </c>
      <c r="BO35" s="9">
        <v>0</v>
      </c>
      <c r="BP35" s="9">
        <v>0</v>
      </c>
      <c r="BQ35" s="9">
        <v>0</v>
      </c>
      <c r="BR35" s="9">
        <v>0</v>
      </c>
      <c r="BS35" s="9">
        <v>0</v>
      </c>
      <c r="BT35" s="9">
        <v>0</v>
      </c>
      <c r="BU35" s="9">
        <v>0</v>
      </c>
      <c r="BV35" s="9">
        <v>0</v>
      </c>
      <c r="BW35" s="9">
        <v>0</v>
      </c>
      <c r="BX35" s="9">
        <v>0</v>
      </c>
      <c r="BY35" s="9">
        <v>0</v>
      </c>
      <c r="BZ35" s="9">
        <v>0</v>
      </c>
      <c r="CA35" s="9">
        <v>0</v>
      </c>
      <c r="CB35" s="9">
        <v>0</v>
      </c>
      <c r="CC35" s="9">
        <v>0</v>
      </c>
      <c r="CD35" s="9">
        <v>0</v>
      </c>
      <c r="CE35" s="9">
        <v>0</v>
      </c>
      <c r="CF35" s="9">
        <v>0</v>
      </c>
      <c r="CG35" s="9">
        <v>0</v>
      </c>
      <c r="CH35" s="9">
        <v>0</v>
      </c>
      <c r="CI35" s="9">
        <v>0</v>
      </c>
      <c r="CJ35" s="9">
        <v>0</v>
      </c>
      <c r="CK35" s="9">
        <v>0</v>
      </c>
      <c r="CL35" s="9">
        <v>0</v>
      </c>
      <c r="CM35" s="9">
        <v>0</v>
      </c>
      <c r="CN35" s="9">
        <v>0</v>
      </c>
      <c r="CO35" s="9">
        <v>0</v>
      </c>
      <c r="CP35" s="9">
        <v>0</v>
      </c>
      <c r="CQ35" s="9">
        <v>0</v>
      </c>
      <c r="CR35" s="9">
        <v>0</v>
      </c>
      <c r="CS35" s="10">
        <v>0</v>
      </c>
    </row>
    <row r="36" spans="1:97" x14ac:dyDescent="0.35">
      <c r="A36" s="8" t="s">
        <v>0</v>
      </c>
      <c r="B36" s="9" t="s">
        <v>612</v>
      </c>
      <c r="C36" s="9" t="s">
        <v>613</v>
      </c>
      <c r="D36" s="9">
        <f t="shared" si="0"/>
        <v>0</v>
      </c>
      <c r="E36" s="9">
        <v>0</v>
      </c>
      <c r="F36" s="9">
        <v>0</v>
      </c>
      <c r="G36" s="9">
        <v>0</v>
      </c>
      <c r="H36" s="9">
        <v>0</v>
      </c>
      <c r="I36" s="9">
        <v>0</v>
      </c>
      <c r="J36" s="9">
        <v>0</v>
      </c>
      <c r="K36" s="9">
        <v>0</v>
      </c>
      <c r="L36" s="9">
        <v>0</v>
      </c>
      <c r="M36" s="9">
        <v>0</v>
      </c>
      <c r="N36" s="9">
        <v>0</v>
      </c>
      <c r="O36" s="9">
        <v>0</v>
      </c>
      <c r="P36" s="9">
        <v>0</v>
      </c>
      <c r="Q36" s="9">
        <v>0</v>
      </c>
      <c r="R36" s="9">
        <v>0</v>
      </c>
      <c r="S36" s="9">
        <v>0</v>
      </c>
      <c r="T36" s="9">
        <v>0</v>
      </c>
      <c r="U36" s="9">
        <v>0</v>
      </c>
      <c r="V36" s="9">
        <v>0</v>
      </c>
      <c r="W36" s="9">
        <v>0</v>
      </c>
      <c r="X36" s="9">
        <v>0</v>
      </c>
      <c r="Y36" s="9">
        <v>0</v>
      </c>
      <c r="Z36" s="9">
        <v>0</v>
      </c>
      <c r="AA36" s="9">
        <v>0</v>
      </c>
      <c r="AB36" s="9">
        <v>0</v>
      </c>
      <c r="AC36" s="9">
        <v>0</v>
      </c>
      <c r="AD36" s="9">
        <v>0</v>
      </c>
      <c r="AE36" s="9">
        <v>0</v>
      </c>
      <c r="AF36" s="9">
        <v>0</v>
      </c>
      <c r="AG36" s="9">
        <v>0</v>
      </c>
      <c r="AH36" s="9">
        <v>0</v>
      </c>
      <c r="AI36" s="9">
        <v>0</v>
      </c>
      <c r="AJ36" s="9">
        <v>0</v>
      </c>
      <c r="AK36" s="9">
        <v>0</v>
      </c>
      <c r="AL36" s="9">
        <v>0</v>
      </c>
      <c r="AM36" s="9">
        <v>0</v>
      </c>
      <c r="AN36" s="9">
        <v>0</v>
      </c>
      <c r="AO36" s="9">
        <v>0</v>
      </c>
      <c r="AP36" s="9">
        <v>0</v>
      </c>
      <c r="AQ36" s="9">
        <v>0</v>
      </c>
      <c r="AR36" s="9">
        <v>0</v>
      </c>
      <c r="AS36" s="9">
        <v>0</v>
      </c>
      <c r="AT36" s="9">
        <v>0</v>
      </c>
      <c r="AU36" s="9">
        <v>0</v>
      </c>
      <c r="AV36" s="9">
        <v>0</v>
      </c>
      <c r="AW36" s="9">
        <v>0</v>
      </c>
      <c r="AX36" s="9">
        <v>0</v>
      </c>
      <c r="AY36" s="9">
        <v>0</v>
      </c>
      <c r="AZ36" s="9">
        <v>0</v>
      </c>
      <c r="BA36" s="9">
        <v>0</v>
      </c>
      <c r="BB36" s="9">
        <v>0</v>
      </c>
      <c r="BC36" s="9">
        <v>0</v>
      </c>
      <c r="BD36" s="9">
        <v>0</v>
      </c>
      <c r="BE36" s="9">
        <v>0</v>
      </c>
      <c r="BF36" s="9">
        <v>0</v>
      </c>
      <c r="BG36" s="9">
        <v>0</v>
      </c>
      <c r="BH36" s="9">
        <v>0</v>
      </c>
      <c r="BI36" s="9">
        <v>0</v>
      </c>
      <c r="BJ36" s="9">
        <v>0</v>
      </c>
      <c r="BK36" s="9">
        <v>0</v>
      </c>
      <c r="BL36" s="9">
        <v>0</v>
      </c>
      <c r="BM36" s="9">
        <v>0</v>
      </c>
      <c r="BN36" s="9">
        <v>0</v>
      </c>
      <c r="BO36" s="9">
        <v>0</v>
      </c>
      <c r="BP36" s="9">
        <v>0</v>
      </c>
      <c r="BQ36" s="9">
        <v>0</v>
      </c>
      <c r="BR36" s="9">
        <v>0</v>
      </c>
      <c r="BS36" s="9">
        <v>0</v>
      </c>
      <c r="BT36" s="9">
        <v>0</v>
      </c>
      <c r="BU36" s="9">
        <v>0</v>
      </c>
      <c r="BV36" s="9">
        <v>0</v>
      </c>
      <c r="BW36" s="9">
        <v>0</v>
      </c>
      <c r="BX36" s="9">
        <v>0</v>
      </c>
      <c r="BY36" s="9">
        <v>0</v>
      </c>
      <c r="BZ36" s="9">
        <v>0</v>
      </c>
      <c r="CA36" s="9">
        <v>0</v>
      </c>
      <c r="CB36" s="9">
        <v>0</v>
      </c>
      <c r="CC36" s="9">
        <v>0</v>
      </c>
      <c r="CD36" s="9">
        <v>0</v>
      </c>
      <c r="CE36" s="9">
        <v>0</v>
      </c>
      <c r="CF36" s="9">
        <v>0</v>
      </c>
      <c r="CG36" s="9">
        <v>0</v>
      </c>
      <c r="CH36" s="9">
        <v>0</v>
      </c>
      <c r="CI36" s="9">
        <v>0</v>
      </c>
      <c r="CJ36" s="9">
        <v>0</v>
      </c>
      <c r="CK36" s="9">
        <v>0</v>
      </c>
      <c r="CL36" s="9">
        <v>0</v>
      </c>
      <c r="CM36" s="9">
        <v>0</v>
      </c>
      <c r="CN36" s="9">
        <v>0</v>
      </c>
      <c r="CO36" s="9">
        <v>0</v>
      </c>
      <c r="CP36" s="9">
        <v>0</v>
      </c>
      <c r="CQ36" s="9">
        <v>0</v>
      </c>
      <c r="CR36" s="9">
        <v>0</v>
      </c>
      <c r="CS36" s="10">
        <v>0</v>
      </c>
    </row>
    <row r="37" spans="1:97" x14ac:dyDescent="0.35">
      <c r="A37" s="8" t="s">
        <v>0</v>
      </c>
      <c r="B37" s="9" t="s">
        <v>614</v>
      </c>
      <c r="C37" s="9" t="s">
        <v>615</v>
      </c>
      <c r="D37" s="9">
        <f t="shared" si="0"/>
        <v>0</v>
      </c>
      <c r="E37" s="9">
        <v>0</v>
      </c>
      <c r="F37" s="9">
        <v>0</v>
      </c>
      <c r="G37" s="9">
        <v>0</v>
      </c>
      <c r="H37" s="9">
        <v>0</v>
      </c>
      <c r="I37" s="9">
        <v>0</v>
      </c>
      <c r="J37" s="9">
        <v>0</v>
      </c>
      <c r="K37" s="9">
        <v>0</v>
      </c>
      <c r="L37" s="9">
        <v>0</v>
      </c>
      <c r="M37" s="9">
        <v>0</v>
      </c>
      <c r="N37" s="9">
        <v>0</v>
      </c>
      <c r="O37" s="9">
        <v>0</v>
      </c>
      <c r="P37" s="9">
        <v>0</v>
      </c>
      <c r="Q37" s="9">
        <v>0</v>
      </c>
      <c r="R37" s="9">
        <v>0</v>
      </c>
      <c r="S37" s="9">
        <v>0</v>
      </c>
      <c r="T37" s="9">
        <v>0</v>
      </c>
      <c r="U37" s="9">
        <v>0</v>
      </c>
      <c r="V37" s="9">
        <v>0</v>
      </c>
      <c r="W37" s="9">
        <v>0</v>
      </c>
      <c r="X37" s="9">
        <v>0</v>
      </c>
      <c r="Y37" s="9">
        <v>0</v>
      </c>
      <c r="Z37" s="9">
        <v>0</v>
      </c>
      <c r="AA37" s="9">
        <v>0</v>
      </c>
      <c r="AB37" s="9">
        <v>0</v>
      </c>
      <c r="AC37" s="9">
        <v>0</v>
      </c>
      <c r="AD37" s="9">
        <v>0</v>
      </c>
      <c r="AE37" s="9">
        <v>0</v>
      </c>
      <c r="AF37" s="9">
        <v>0</v>
      </c>
      <c r="AG37" s="9">
        <v>0</v>
      </c>
      <c r="AH37" s="9">
        <v>0</v>
      </c>
      <c r="AI37" s="9">
        <v>0</v>
      </c>
      <c r="AJ37" s="9">
        <v>0</v>
      </c>
      <c r="AK37" s="9">
        <v>0</v>
      </c>
      <c r="AL37" s="9">
        <v>0</v>
      </c>
      <c r="AM37" s="9">
        <v>0</v>
      </c>
      <c r="AN37" s="9">
        <v>0</v>
      </c>
      <c r="AO37" s="9">
        <v>0</v>
      </c>
      <c r="AP37" s="9">
        <v>0</v>
      </c>
      <c r="AQ37" s="9">
        <v>0</v>
      </c>
      <c r="AR37" s="9">
        <v>0</v>
      </c>
      <c r="AS37" s="9">
        <v>0</v>
      </c>
      <c r="AT37" s="9">
        <v>0</v>
      </c>
      <c r="AU37" s="9">
        <v>0</v>
      </c>
      <c r="AV37" s="9">
        <v>0</v>
      </c>
      <c r="AW37" s="9">
        <v>0</v>
      </c>
      <c r="AX37" s="9">
        <v>0</v>
      </c>
      <c r="AY37" s="9">
        <v>0</v>
      </c>
      <c r="AZ37" s="9">
        <v>0</v>
      </c>
      <c r="BA37" s="9">
        <v>0</v>
      </c>
      <c r="BB37" s="9">
        <v>0</v>
      </c>
      <c r="BC37" s="9">
        <v>0</v>
      </c>
      <c r="BD37" s="9">
        <v>0</v>
      </c>
      <c r="BE37" s="9">
        <v>0</v>
      </c>
      <c r="BF37" s="9">
        <v>0</v>
      </c>
      <c r="BG37" s="9">
        <v>0</v>
      </c>
      <c r="BH37" s="9">
        <v>0</v>
      </c>
      <c r="BI37" s="9">
        <v>0</v>
      </c>
      <c r="BJ37" s="9">
        <v>0</v>
      </c>
      <c r="BK37" s="9">
        <v>0</v>
      </c>
      <c r="BL37" s="9">
        <v>0</v>
      </c>
      <c r="BM37" s="9">
        <v>0</v>
      </c>
      <c r="BN37" s="9">
        <v>0</v>
      </c>
      <c r="BO37" s="9">
        <v>0</v>
      </c>
      <c r="BP37" s="9">
        <v>0</v>
      </c>
      <c r="BQ37" s="9">
        <v>0</v>
      </c>
      <c r="BR37" s="9">
        <v>0</v>
      </c>
      <c r="BS37" s="9">
        <v>0</v>
      </c>
      <c r="BT37" s="9">
        <v>0</v>
      </c>
      <c r="BU37" s="9">
        <v>0</v>
      </c>
      <c r="BV37" s="9">
        <v>0</v>
      </c>
      <c r="BW37" s="9">
        <v>0</v>
      </c>
      <c r="BX37" s="9">
        <v>0</v>
      </c>
      <c r="BY37" s="9">
        <v>0</v>
      </c>
      <c r="BZ37" s="9">
        <v>0</v>
      </c>
      <c r="CA37" s="9">
        <v>0</v>
      </c>
      <c r="CB37" s="9">
        <v>0</v>
      </c>
      <c r="CC37" s="9">
        <v>0</v>
      </c>
      <c r="CD37" s="9">
        <v>0</v>
      </c>
      <c r="CE37" s="9">
        <v>0</v>
      </c>
      <c r="CF37" s="9">
        <v>0</v>
      </c>
      <c r="CG37" s="9">
        <v>0</v>
      </c>
      <c r="CH37" s="9">
        <v>0</v>
      </c>
      <c r="CI37" s="9">
        <v>0</v>
      </c>
      <c r="CJ37" s="9">
        <v>0</v>
      </c>
      <c r="CK37" s="9">
        <v>0</v>
      </c>
      <c r="CL37" s="9">
        <v>0</v>
      </c>
      <c r="CM37" s="9">
        <v>0</v>
      </c>
      <c r="CN37" s="9">
        <v>0</v>
      </c>
      <c r="CO37" s="9">
        <v>0</v>
      </c>
      <c r="CP37" s="9">
        <v>0</v>
      </c>
      <c r="CQ37" s="9">
        <v>0</v>
      </c>
      <c r="CR37" s="9">
        <v>0</v>
      </c>
      <c r="CS37" s="10">
        <v>0</v>
      </c>
    </row>
    <row r="38" spans="1:97" x14ac:dyDescent="0.35">
      <c r="A38" s="8" t="s">
        <v>0</v>
      </c>
      <c r="B38" s="9" t="s">
        <v>31</v>
      </c>
      <c r="C38" s="9" t="s">
        <v>616</v>
      </c>
      <c r="D38" s="9">
        <f t="shared" si="0"/>
        <v>6</v>
      </c>
      <c r="E38" s="9">
        <v>0</v>
      </c>
      <c r="F38" s="9">
        <v>0</v>
      </c>
      <c r="G38" s="9">
        <v>0</v>
      </c>
      <c r="H38" s="9">
        <v>0</v>
      </c>
      <c r="I38" s="9">
        <v>0</v>
      </c>
      <c r="J38" s="9">
        <v>0</v>
      </c>
      <c r="K38" s="9">
        <v>0</v>
      </c>
      <c r="L38" s="9">
        <v>0</v>
      </c>
      <c r="M38" s="9">
        <v>0</v>
      </c>
      <c r="N38" s="9">
        <v>0</v>
      </c>
      <c r="O38" s="9">
        <v>0</v>
      </c>
      <c r="P38" s="9">
        <v>0</v>
      </c>
      <c r="Q38" s="9">
        <v>0</v>
      </c>
      <c r="R38" s="9">
        <v>0</v>
      </c>
      <c r="S38" s="9">
        <v>0</v>
      </c>
      <c r="T38" s="9">
        <v>0</v>
      </c>
      <c r="U38" s="9">
        <v>0</v>
      </c>
      <c r="V38" s="9">
        <v>0</v>
      </c>
      <c r="W38" s="9">
        <v>0</v>
      </c>
      <c r="X38" s="9">
        <v>0</v>
      </c>
      <c r="Y38" s="9">
        <v>0</v>
      </c>
      <c r="Z38" s="9">
        <v>0</v>
      </c>
      <c r="AA38" s="9">
        <v>0</v>
      </c>
      <c r="AB38" s="9">
        <v>0</v>
      </c>
      <c r="AC38" s="9">
        <v>0</v>
      </c>
      <c r="AD38" s="9">
        <v>0</v>
      </c>
      <c r="AE38" s="9">
        <v>0</v>
      </c>
      <c r="AF38" s="9">
        <v>0</v>
      </c>
      <c r="AG38" s="9">
        <v>0</v>
      </c>
      <c r="AH38" s="9">
        <v>0</v>
      </c>
      <c r="AI38" s="9">
        <v>0</v>
      </c>
      <c r="AJ38" s="9">
        <v>0</v>
      </c>
      <c r="AK38" s="9">
        <v>0</v>
      </c>
      <c r="AL38" s="9">
        <v>0</v>
      </c>
      <c r="AM38" s="9">
        <v>0</v>
      </c>
      <c r="AN38" s="9">
        <v>0</v>
      </c>
      <c r="AO38" s="9">
        <v>0</v>
      </c>
      <c r="AP38" s="9">
        <v>0</v>
      </c>
      <c r="AQ38" s="9">
        <v>0</v>
      </c>
      <c r="AR38" s="9">
        <v>0</v>
      </c>
      <c r="AS38" s="9">
        <v>0</v>
      </c>
      <c r="AT38" s="9">
        <v>0</v>
      </c>
      <c r="AU38" s="9">
        <v>0</v>
      </c>
      <c r="AV38" s="9">
        <v>0</v>
      </c>
      <c r="AW38" s="9">
        <v>0</v>
      </c>
      <c r="AX38" s="9">
        <v>0</v>
      </c>
      <c r="AY38" s="9">
        <v>0</v>
      </c>
      <c r="AZ38" s="9">
        <v>0</v>
      </c>
      <c r="BA38" s="9">
        <v>0</v>
      </c>
      <c r="BB38" s="9">
        <v>0</v>
      </c>
      <c r="BC38" s="9">
        <v>0</v>
      </c>
      <c r="BD38" s="9">
        <v>0</v>
      </c>
      <c r="BE38" s="9">
        <v>1</v>
      </c>
      <c r="BF38" s="9">
        <v>0</v>
      </c>
      <c r="BG38" s="9">
        <v>0</v>
      </c>
      <c r="BH38" s="9">
        <v>0</v>
      </c>
      <c r="BI38" s="9">
        <v>0</v>
      </c>
      <c r="BJ38" s="9">
        <v>0</v>
      </c>
      <c r="BK38" s="9">
        <v>0</v>
      </c>
      <c r="BL38" s="9">
        <v>0</v>
      </c>
      <c r="BM38" s="9">
        <v>0</v>
      </c>
      <c r="BN38" s="9">
        <v>0</v>
      </c>
      <c r="BO38" s="9">
        <v>0</v>
      </c>
      <c r="BP38" s="9">
        <v>0</v>
      </c>
      <c r="BQ38" s="9">
        <v>0</v>
      </c>
      <c r="BR38" s="9">
        <v>0</v>
      </c>
      <c r="BS38" s="9">
        <v>0</v>
      </c>
      <c r="BT38" s="9">
        <v>0</v>
      </c>
      <c r="BU38" s="9">
        <v>0</v>
      </c>
      <c r="BV38" s="9">
        <v>0</v>
      </c>
      <c r="BW38" s="9">
        <v>0</v>
      </c>
      <c r="BX38" s="9">
        <v>0</v>
      </c>
      <c r="BY38" s="9">
        <v>0</v>
      </c>
      <c r="BZ38" s="9">
        <v>0</v>
      </c>
      <c r="CA38" s="9">
        <v>0</v>
      </c>
      <c r="CB38" s="9">
        <v>0</v>
      </c>
      <c r="CC38" s="9">
        <v>0</v>
      </c>
      <c r="CD38" s="9">
        <v>2</v>
      </c>
      <c r="CE38" s="9">
        <v>0</v>
      </c>
      <c r="CF38" s="9">
        <v>0</v>
      </c>
      <c r="CG38" s="9">
        <v>0</v>
      </c>
      <c r="CH38" s="9">
        <v>0</v>
      </c>
      <c r="CI38" s="9">
        <v>1</v>
      </c>
      <c r="CJ38" s="9">
        <v>1</v>
      </c>
      <c r="CK38" s="9">
        <v>0</v>
      </c>
      <c r="CL38" s="9">
        <v>0</v>
      </c>
      <c r="CM38" s="9">
        <v>0</v>
      </c>
      <c r="CN38" s="9">
        <v>0</v>
      </c>
      <c r="CO38" s="9">
        <v>0</v>
      </c>
      <c r="CP38" s="9">
        <v>1</v>
      </c>
      <c r="CQ38" s="9">
        <v>0</v>
      </c>
      <c r="CR38" s="9">
        <v>0</v>
      </c>
      <c r="CS38" s="10">
        <v>0</v>
      </c>
    </row>
    <row r="39" spans="1:97" x14ac:dyDescent="0.35">
      <c r="A39" s="8" t="s">
        <v>0</v>
      </c>
      <c r="B39" s="9" t="s">
        <v>33</v>
      </c>
      <c r="C39" s="9" t="s">
        <v>617</v>
      </c>
      <c r="D39" s="9">
        <f t="shared" si="0"/>
        <v>278</v>
      </c>
      <c r="E39" s="9">
        <v>0</v>
      </c>
      <c r="F39" s="9">
        <v>1</v>
      </c>
      <c r="G39" s="9">
        <v>1</v>
      </c>
      <c r="H39" s="9">
        <v>0</v>
      </c>
      <c r="I39" s="9">
        <v>0</v>
      </c>
      <c r="J39" s="9">
        <v>0</v>
      </c>
      <c r="K39" s="9">
        <v>0</v>
      </c>
      <c r="L39" s="9">
        <v>1</v>
      </c>
      <c r="M39" s="9">
        <v>0</v>
      </c>
      <c r="N39" s="9">
        <v>0</v>
      </c>
      <c r="O39" s="9">
        <v>0</v>
      </c>
      <c r="P39" s="9">
        <v>0</v>
      </c>
      <c r="Q39" s="9">
        <v>0</v>
      </c>
      <c r="R39" s="9">
        <v>0</v>
      </c>
      <c r="S39" s="9">
        <v>0</v>
      </c>
      <c r="T39" s="9">
        <v>0</v>
      </c>
      <c r="U39" s="9">
        <v>0</v>
      </c>
      <c r="V39" s="9">
        <v>0</v>
      </c>
      <c r="W39" s="9">
        <v>0</v>
      </c>
      <c r="X39" s="9">
        <v>0</v>
      </c>
      <c r="Y39" s="9">
        <v>1</v>
      </c>
      <c r="Z39" s="9">
        <v>0</v>
      </c>
      <c r="AA39" s="9">
        <v>0</v>
      </c>
      <c r="AB39" s="9">
        <v>0</v>
      </c>
      <c r="AC39" s="9">
        <v>1</v>
      </c>
      <c r="AD39" s="9">
        <v>0</v>
      </c>
      <c r="AE39" s="9">
        <v>0</v>
      </c>
      <c r="AF39" s="9">
        <v>0</v>
      </c>
      <c r="AG39" s="9">
        <v>0</v>
      </c>
      <c r="AH39" s="9">
        <v>0</v>
      </c>
      <c r="AI39" s="9">
        <v>0</v>
      </c>
      <c r="AJ39" s="9">
        <v>0</v>
      </c>
      <c r="AK39" s="9">
        <v>1</v>
      </c>
      <c r="AL39" s="9">
        <v>0</v>
      </c>
      <c r="AM39" s="9">
        <v>1</v>
      </c>
      <c r="AN39" s="9">
        <v>1</v>
      </c>
      <c r="AO39" s="9">
        <v>1</v>
      </c>
      <c r="AP39" s="9">
        <v>1</v>
      </c>
      <c r="AQ39" s="9">
        <v>0</v>
      </c>
      <c r="AR39" s="9">
        <v>0</v>
      </c>
      <c r="AS39" s="9">
        <v>0</v>
      </c>
      <c r="AT39" s="9">
        <v>2</v>
      </c>
      <c r="AU39" s="9">
        <v>0</v>
      </c>
      <c r="AV39" s="9">
        <v>1</v>
      </c>
      <c r="AW39" s="9">
        <v>1</v>
      </c>
      <c r="AX39" s="9">
        <v>2</v>
      </c>
      <c r="AY39" s="9">
        <v>1</v>
      </c>
      <c r="AZ39" s="9">
        <v>1</v>
      </c>
      <c r="BA39" s="9">
        <v>0</v>
      </c>
      <c r="BB39" s="9">
        <v>1</v>
      </c>
      <c r="BC39" s="9">
        <v>1</v>
      </c>
      <c r="BD39" s="9">
        <v>0</v>
      </c>
      <c r="BE39" s="9">
        <v>0</v>
      </c>
      <c r="BF39" s="9">
        <v>0</v>
      </c>
      <c r="BG39" s="9">
        <v>3</v>
      </c>
      <c r="BH39" s="9">
        <v>5</v>
      </c>
      <c r="BI39" s="9">
        <v>2</v>
      </c>
      <c r="BJ39" s="9">
        <v>4</v>
      </c>
      <c r="BK39" s="9">
        <v>7</v>
      </c>
      <c r="BL39" s="9">
        <v>3</v>
      </c>
      <c r="BM39" s="9">
        <v>2</v>
      </c>
      <c r="BN39" s="9">
        <v>2</v>
      </c>
      <c r="BO39" s="9">
        <v>5</v>
      </c>
      <c r="BP39" s="9">
        <v>5</v>
      </c>
      <c r="BQ39" s="9">
        <v>3</v>
      </c>
      <c r="BR39" s="9">
        <v>5</v>
      </c>
      <c r="BS39" s="9">
        <v>1</v>
      </c>
      <c r="BT39" s="9">
        <v>1</v>
      </c>
      <c r="BU39" s="9">
        <v>4</v>
      </c>
      <c r="BV39" s="9">
        <v>7</v>
      </c>
      <c r="BW39" s="9">
        <v>3</v>
      </c>
      <c r="BX39" s="9">
        <v>11</v>
      </c>
      <c r="BY39" s="9">
        <v>8</v>
      </c>
      <c r="BZ39" s="9">
        <v>5</v>
      </c>
      <c r="CA39" s="9">
        <v>3</v>
      </c>
      <c r="CB39" s="9">
        <v>4</v>
      </c>
      <c r="CC39" s="9">
        <v>1</v>
      </c>
      <c r="CD39" s="9">
        <v>11</v>
      </c>
      <c r="CE39" s="9">
        <v>5</v>
      </c>
      <c r="CF39" s="9">
        <v>0</v>
      </c>
      <c r="CG39" s="9">
        <v>0</v>
      </c>
      <c r="CH39" s="9">
        <v>18</v>
      </c>
      <c r="CI39" s="9">
        <v>15</v>
      </c>
      <c r="CJ39" s="9">
        <v>11</v>
      </c>
      <c r="CK39" s="9">
        <v>11</v>
      </c>
      <c r="CL39" s="9">
        <v>1</v>
      </c>
      <c r="CM39" s="9">
        <v>13</v>
      </c>
      <c r="CN39" s="9">
        <v>15</v>
      </c>
      <c r="CO39" s="9">
        <v>12</v>
      </c>
      <c r="CP39" s="9">
        <v>11</v>
      </c>
      <c r="CQ39" s="9">
        <v>15</v>
      </c>
      <c r="CR39" s="9">
        <v>13</v>
      </c>
      <c r="CS39" s="10">
        <v>13</v>
      </c>
    </row>
    <row r="40" spans="1:97" x14ac:dyDescent="0.35">
      <c r="A40" s="8" t="s">
        <v>0</v>
      </c>
      <c r="B40" s="9" t="s">
        <v>35</v>
      </c>
      <c r="C40" s="9" t="s">
        <v>618</v>
      </c>
      <c r="D40" s="9">
        <f t="shared" si="0"/>
        <v>154</v>
      </c>
      <c r="E40" s="9">
        <v>0</v>
      </c>
      <c r="F40" s="9">
        <v>1</v>
      </c>
      <c r="G40" s="9">
        <v>1</v>
      </c>
      <c r="H40" s="9">
        <v>0</v>
      </c>
      <c r="I40" s="9">
        <v>0</v>
      </c>
      <c r="J40" s="9">
        <v>2</v>
      </c>
      <c r="K40" s="9">
        <v>2</v>
      </c>
      <c r="L40" s="9">
        <v>0</v>
      </c>
      <c r="M40" s="9">
        <v>0</v>
      </c>
      <c r="N40" s="9">
        <v>1</v>
      </c>
      <c r="O40" s="9">
        <v>0</v>
      </c>
      <c r="P40" s="9">
        <v>0</v>
      </c>
      <c r="Q40" s="9">
        <v>0</v>
      </c>
      <c r="R40" s="9">
        <v>0</v>
      </c>
      <c r="S40" s="9">
        <v>1</v>
      </c>
      <c r="T40" s="9">
        <v>0</v>
      </c>
      <c r="U40" s="9">
        <v>1</v>
      </c>
      <c r="V40" s="9">
        <v>0</v>
      </c>
      <c r="W40" s="9">
        <v>0</v>
      </c>
      <c r="X40" s="9">
        <v>0</v>
      </c>
      <c r="Y40" s="9">
        <v>0</v>
      </c>
      <c r="Z40" s="9">
        <v>0</v>
      </c>
      <c r="AA40" s="9">
        <v>0</v>
      </c>
      <c r="AB40" s="9">
        <v>0</v>
      </c>
      <c r="AC40" s="9">
        <v>0</v>
      </c>
      <c r="AD40" s="9">
        <v>1</v>
      </c>
      <c r="AE40" s="9">
        <v>0</v>
      </c>
      <c r="AF40" s="9">
        <v>0</v>
      </c>
      <c r="AG40" s="9">
        <v>0</v>
      </c>
      <c r="AH40" s="9">
        <v>0</v>
      </c>
      <c r="AI40" s="9">
        <v>0</v>
      </c>
      <c r="AJ40" s="9">
        <v>0</v>
      </c>
      <c r="AK40" s="9">
        <v>0</v>
      </c>
      <c r="AL40" s="9">
        <v>5</v>
      </c>
      <c r="AM40" s="9">
        <v>0</v>
      </c>
      <c r="AN40" s="9">
        <v>0</v>
      </c>
      <c r="AO40" s="9">
        <v>0</v>
      </c>
      <c r="AP40" s="9">
        <v>1</v>
      </c>
      <c r="AQ40" s="9">
        <v>0</v>
      </c>
      <c r="AR40" s="9">
        <v>0</v>
      </c>
      <c r="AS40" s="9">
        <v>1</v>
      </c>
      <c r="AT40" s="9">
        <v>0</v>
      </c>
      <c r="AU40" s="9">
        <v>0</v>
      </c>
      <c r="AV40" s="9">
        <v>0</v>
      </c>
      <c r="AW40" s="9">
        <v>1</v>
      </c>
      <c r="AX40" s="9">
        <v>2</v>
      </c>
      <c r="AY40" s="9">
        <v>0</v>
      </c>
      <c r="AZ40" s="9">
        <v>1</v>
      </c>
      <c r="BA40" s="9">
        <v>1</v>
      </c>
      <c r="BB40" s="9">
        <v>0</v>
      </c>
      <c r="BC40" s="9">
        <v>1</v>
      </c>
      <c r="BD40" s="9">
        <v>3</v>
      </c>
      <c r="BE40" s="9">
        <v>3</v>
      </c>
      <c r="BF40" s="9">
        <v>2</v>
      </c>
      <c r="BG40" s="9">
        <v>0</v>
      </c>
      <c r="BH40" s="9">
        <v>0</v>
      </c>
      <c r="BI40" s="9">
        <v>0</v>
      </c>
      <c r="BJ40" s="9">
        <v>0</v>
      </c>
      <c r="BK40" s="9">
        <v>0</v>
      </c>
      <c r="BL40" s="9">
        <v>0</v>
      </c>
      <c r="BM40" s="9">
        <v>0</v>
      </c>
      <c r="BN40" s="9">
        <v>0</v>
      </c>
      <c r="BO40" s="9">
        <v>1</v>
      </c>
      <c r="BP40" s="9">
        <v>0</v>
      </c>
      <c r="BQ40" s="9">
        <v>1</v>
      </c>
      <c r="BR40" s="9">
        <v>0</v>
      </c>
      <c r="BS40" s="9">
        <v>1</v>
      </c>
      <c r="BT40" s="9">
        <v>0</v>
      </c>
      <c r="BU40" s="9">
        <v>0</v>
      </c>
      <c r="BV40" s="9">
        <v>0</v>
      </c>
      <c r="BW40" s="9">
        <v>0</v>
      </c>
      <c r="BX40" s="9">
        <v>0</v>
      </c>
      <c r="BY40" s="9">
        <v>2</v>
      </c>
      <c r="BZ40" s="9">
        <v>1</v>
      </c>
      <c r="CA40" s="9">
        <v>4</v>
      </c>
      <c r="CB40" s="9">
        <v>9</v>
      </c>
      <c r="CC40" s="9">
        <v>6</v>
      </c>
      <c r="CD40" s="9">
        <v>1</v>
      </c>
      <c r="CE40" s="9">
        <v>11</v>
      </c>
      <c r="CF40" s="9">
        <v>7</v>
      </c>
      <c r="CG40" s="9">
        <v>3</v>
      </c>
      <c r="CH40" s="9">
        <v>4</v>
      </c>
      <c r="CI40" s="9">
        <v>4</v>
      </c>
      <c r="CJ40" s="9">
        <v>3</v>
      </c>
      <c r="CK40" s="9">
        <v>1</v>
      </c>
      <c r="CL40" s="9">
        <v>3</v>
      </c>
      <c r="CM40" s="9">
        <v>2</v>
      </c>
      <c r="CN40" s="9">
        <v>5</v>
      </c>
      <c r="CO40" s="9">
        <v>11</v>
      </c>
      <c r="CP40" s="9">
        <v>14</v>
      </c>
      <c r="CQ40" s="9">
        <v>6</v>
      </c>
      <c r="CR40" s="9">
        <v>6</v>
      </c>
      <c r="CS40" s="10">
        <v>17</v>
      </c>
    </row>
    <row r="41" spans="1:97" x14ac:dyDescent="0.35">
      <c r="A41" s="8" t="s">
        <v>0</v>
      </c>
      <c r="B41" s="9" t="s">
        <v>37</v>
      </c>
      <c r="C41" s="9" t="s">
        <v>619</v>
      </c>
      <c r="D41" s="9">
        <f t="shared" si="0"/>
        <v>53</v>
      </c>
      <c r="E41" s="9">
        <v>0</v>
      </c>
      <c r="F41" s="9">
        <v>0</v>
      </c>
      <c r="G41" s="9">
        <v>0</v>
      </c>
      <c r="H41" s="9">
        <v>0</v>
      </c>
      <c r="I41" s="9">
        <v>0</v>
      </c>
      <c r="J41" s="9">
        <v>0</v>
      </c>
      <c r="K41" s="9">
        <v>0</v>
      </c>
      <c r="L41" s="9">
        <v>0</v>
      </c>
      <c r="M41" s="9">
        <v>0</v>
      </c>
      <c r="N41" s="9">
        <v>0</v>
      </c>
      <c r="O41" s="9">
        <v>0</v>
      </c>
      <c r="P41" s="9">
        <v>0</v>
      </c>
      <c r="Q41" s="9">
        <v>1</v>
      </c>
      <c r="R41" s="9">
        <v>0</v>
      </c>
      <c r="S41" s="9">
        <v>0</v>
      </c>
      <c r="T41" s="9">
        <v>0</v>
      </c>
      <c r="U41" s="9">
        <v>0</v>
      </c>
      <c r="V41" s="9">
        <v>0</v>
      </c>
      <c r="W41" s="9">
        <v>0</v>
      </c>
      <c r="X41" s="9">
        <v>0</v>
      </c>
      <c r="Y41" s="9">
        <v>0</v>
      </c>
      <c r="Z41" s="9">
        <v>0</v>
      </c>
      <c r="AA41" s="9">
        <v>0</v>
      </c>
      <c r="AB41" s="9">
        <v>0</v>
      </c>
      <c r="AC41" s="9">
        <v>0</v>
      </c>
      <c r="AD41" s="9">
        <v>0</v>
      </c>
      <c r="AE41" s="9">
        <v>0</v>
      </c>
      <c r="AF41" s="9">
        <v>0</v>
      </c>
      <c r="AG41" s="9">
        <v>0</v>
      </c>
      <c r="AH41" s="9">
        <v>0</v>
      </c>
      <c r="AI41" s="9">
        <v>0</v>
      </c>
      <c r="AJ41" s="9">
        <v>0</v>
      </c>
      <c r="AK41" s="9">
        <v>0</v>
      </c>
      <c r="AL41" s="9">
        <v>0</v>
      </c>
      <c r="AM41" s="9">
        <v>0</v>
      </c>
      <c r="AN41" s="9">
        <v>0</v>
      </c>
      <c r="AO41" s="9">
        <v>0</v>
      </c>
      <c r="AP41" s="9">
        <v>0</v>
      </c>
      <c r="AQ41" s="9">
        <v>0</v>
      </c>
      <c r="AR41" s="9">
        <v>0</v>
      </c>
      <c r="AS41" s="9">
        <v>0</v>
      </c>
      <c r="AT41" s="9">
        <v>0</v>
      </c>
      <c r="AU41" s="9">
        <v>1</v>
      </c>
      <c r="AV41" s="9">
        <v>0</v>
      </c>
      <c r="AW41" s="9">
        <v>0</v>
      </c>
      <c r="AX41" s="9">
        <v>0</v>
      </c>
      <c r="AY41" s="9">
        <v>0</v>
      </c>
      <c r="AZ41" s="9">
        <v>0</v>
      </c>
      <c r="BA41" s="9">
        <v>0</v>
      </c>
      <c r="BB41" s="9">
        <v>1</v>
      </c>
      <c r="BC41" s="9">
        <v>2</v>
      </c>
      <c r="BD41" s="9">
        <v>0</v>
      </c>
      <c r="BE41" s="9">
        <v>1</v>
      </c>
      <c r="BF41" s="9">
        <v>0</v>
      </c>
      <c r="BG41" s="9">
        <v>1</v>
      </c>
      <c r="BH41" s="9">
        <v>0</v>
      </c>
      <c r="BI41" s="9">
        <v>0</v>
      </c>
      <c r="BJ41" s="9">
        <v>1</v>
      </c>
      <c r="BK41" s="9">
        <v>1</v>
      </c>
      <c r="BL41" s="9">
        <v>1</v>
      </c>
      <c r="BM41" s="9">
        <v>0</v>
      </c>
      <c r="BN41" s="9">
        <v>0</v>
      </c>
      <c r="BO41" s="9">
        <v>0</v>
      </c>
      <c r="BP41" s="9">
        <v>1</v>
      </c>
      <c r="BQ41" s="9">
        <v>0</v>
      </c>
      <c r="BR41" s="9">
        <v>5</v>
      </c>
      <c r="BS41" s="9">
        <v>0</v>
      </c>
      <c r="BT41" s="9">
        <v>0</v>
      </c>
      <c r="BU41" s="9">
        <v>0</v>
      </c>
      <c r="BV41" s="9">
        <v>0</v>
      </c>
      <c r="BW41" s="9">
        <v>0</v>
      </c>
      <c r="BX41" s="9">
        <v>3</v>
      </c>
      <c r="BY41" s="9">
        <v>0</v>
      </c>
      <c r="BZ41" s="9">
        <v>2</v>
      </c>
      <c r="CA41" s="9">
        <v>3</v>
      </c>
      <c r="CB41" s="9">
        <v>1</v>
      </c>
      <c r="CC41" s="9">
        <v>1</v>
      </c>
      <c r="CD41" s="9">
        <v>3</v>
      </c>
      <c r="CE41" s="9">
        <v>0</v>
      </c>
      <c r="CF41" s="9">
        <v>1</v>
      </c>
      <c r="CG41" s="9">
        <v>1</v>
      </c>
      <c r="CH41" s="9">
        <v>2</v>
      </c>
      <c r="CI41" s="9">
        <v>1</v>
      </c>
      <c r="CJ41" s="9">
        <v>2</v>
      </c>
      <c r="CK41" s="9">
        <v>0</v>
      </c>
      <c r="CL41" s="9">
        <v>3</v>
      </c>
      <c r="CM41" s="9">
        <v>2</v>
      </c>
      <c r="CN41" s="9">
        <v>0</v>
      </c>
      <c r="CO41" s="9">
        <v>4</v>
      </c>
      <c r="CP41" s="9">
        <v>1</v>
      </c>
      <c r="CQ41" s="9">
        <v>2</v>
      </c>
      <c r="CR41" s="9">
        <v>5</v>
      </c>
      <c r="CS41" s="10">
        <v>0</v>
      </c>
    </row>
    <row r="42" spans="1:97" x14ac:dyDescent="0.35">
      <c r="A42" s="8" t="s">
        <v>0</v>
      </c>
      <c r="B42" s="9" t="s">
        <v>39</v>
      </c>
      <c r="C42" s="9" t="s">
        <v>620</v>
      </c>
      <c r="D42" s="9">
        <f t="shared" si="0"/>
        <v>36</v>
      </c>
      <c r="E42" s="9">
        <v>0</v>
      </c>
      <c r="F42" s="9">
        <v>0</v>
      </c>
      <c r="G42" s="9">
        <v>0</v>
      </c>
      <c r="H42" s="9">
        <v>0</v>
      </c>
      <c r="I42" s="9">
        <v>0</v>
      </c>
      <c r="J42" s="9">
        <v>0</v>
      </c>
      <c r="K42" s="9">
        <v>0</v>
      </c>
      <c r="L42" s="9">
        <v>0</v>
      </c>
      <c r="M42" s="9">
        <v>0</v>
      </c>
      <c r="N42" s="9">
        <v>0</v>
      </c>
      <c r="O42" s="9">
        <v>0</v>
      </c>
      <c r="P42" s="9">
        <v>0</v>
      </c>
      <c r="Q42" s="9">
        <v>0</v>
      </c>
      <c r="R42" s="9">
        <v>0</v>
      </c>
      <c r="S42" s="9">
        <v>0</v>
      </c>
      <c r="T42" s="9">
        <v>0</v>
      </c>
      <c r="U42" s="9">
        <v>0</v>
      </c>
      <c r="V42" s="9">
        <v>0</v>
      </c>
      <c r="W42" s="9">
        <v>1</v>
      </c>
      <c r="X42" s="9">
        <v>0</v>
      </c>
      <c r="Y42" s="9">
        <v>0</v>
      </c>
      <c r="Z42" s="9">
        <v>0</v>
      </c>
      <c r="AA42" s="9">
        <v>0</v>
      </c>
      <c r="AB42" s="9">
        <v>0</v>
      </c>
      <c r="AC42" s="9">
        <v>0</v>
      </c>
      <c r="AD42" s="9">
        <v>0</v>
      </c>
      <c r="AE42" s="9">
        <v>0</v>
      </c>
      <c r="AF42" s="9">
        <v>0</v>
      </c>
      <c r="AG42" s="9">
        <v>0</v>
      </c>
      <c r="AH42" s="9">
        <v>0</v>
      </c>
      <c r="AI42" s="9">
        <v>0</v>
      </c>
      <c r="AJ42" s="9">
        <v>0</v>
      </c>
      <c r="AK42" s="9">
        <v>1</v>
      </c>
      <c r="AL42" s="9">
        <v>0</v>
      </c>
      <c r="AM42" s="9">
        <v>0</v>
      </c>
      <c r="AN42" s="9">
        <v>0</v>
      </c>
      <c r="AO42" s="9">
        <v>0</v>
      </c>
      <c r="AP42" s="9">
        <v>0</v>
      </c>
      <c r="AQ42" s="9">
        <v>0</v>
      </c>
      <c r="AR42" s="9">
        <v>0</v>
      </c>
      <c r="AS42" s="9">
        <v>0</v>
      </c>
      <c r="AT42" s="9">
        <v>0</v>
      </c>
      <c r="AU42" s="9">
        <v>0</v>
      </c>
      <c r="AV42" s="9">
        <v>0</v>
      </c>
      <c r="AW42" s="9">
        <v>0</v>
      </c>
      <c r="AX42" s="9">
        <v>0</v>
      </c>
      <c r="AY42" s="9">
        <v>0</v>
      </c>
      <c r="AZ42" s="9">
        <v>1</v>
      </c>
      <c r="BA42" s="9">
        <v>0</v>
      </c>
      <c r="BB42" s="9">
        <v>0</v>
      </c>
      <c r="BC42" s="9">
        <v>0</v>
      </c>
      <c r="BD42" s="9">
        <v>0</v>
      </c>
      <c r="BE42" s="9">
        <v>1</v>
      </c>
      <c r="BF42" s="9">
        <v>0</v>
      </c>
      <c r="BG42" s="9">
        <v>2</v>
      </c>
      <c r="BH42" s="9">
        <v>0</v>
      </c>
      <c r="BI42" s="9">
        <v>0</v>
      </c>
      <c r="BJ42" s="9">
        <v>0</v>
      </c>
      <c r="BK42" s="9">
        <v>0</v>
      </c>
      <c r="BL42" s="9">
        <v>0</v>
      </c>
      <c r="BM42" s="9">
        <v>1</v>
      </c>
      <c r="BN42" s="9">
        <v>1</v>
      </c>
      <c r="BO42" s="9">
        <v>0</v>
      </c>
      <c r="BP42" s="9">
        <v>1</v>
      </c>
      <c r="BQ42" s="9">
        <v>0</v>
      </c>
      <c r="BR42" s="9">
        <v>0</v>
      </c>
      <c r="BS42" s="9">
        <v>0</v>
      </c>
      <c r="BT42" s="9">
        <v>1</v>
      </c>
      <c r="BU42" s="9">
        <v>1</v>
      </c>
      <c r="BV42" s="9">
        <v>0</v>
      </c>
      <c r="BW42" s="9">
        <v>0</v>
      </c>
      <c r="BX42" s="9">
        <v>1</v>
      </c>
      <c r="BY42" s="9">
        <v>0</v>
      </c>
      <c r="BZ42" s="9">
        <v>0</v>
      </c>
      <c r="CA42" s="9">
        <v>1</v>
      </c>
      <c r="CB42" s="9">
        <v>0</v>
      </c>
      <c r="CC42" s="9">
        <v>1</v>
      </c>
      <c r="CD42" s="9">
        <v>0</v>
      </c>
      <c r="CE42" s="9">
        <v>1</v>
      </c>
      <c r="CF42" s="9">
        <v>1</v>
      </c>
      <c r="CG42" s="9">
        <v>0</v>
      </c>
      <c r="CH42" s="9">
        <v>0</v>
      </c>
      <c r="CI42" s="9">
        <v>0</v>
      </c>
      <c r="CJ42" s="9">
        <v>1</v>
      </c>
      <c r="CK42" s="9">
        <v>0</v>
      </c>
      <c r="CL42" s="9">
        <v>4</v>
      </c>
      <c r="CM42" s="9">
        <v>2</v>
      </c>
      <c r="CN42" s="9">
        <v>0</v>
      </c>
      <c r="CO42" s="9">
        <v>1</v>
      </c>
      <c r="CP42" s="9">
        <v>1</v>
      </c>
      <c r="CQ42" s="9">
        <v>1</v>
      </c>
      <c r="CR42" s="9">
        <v>6</v>
      </c>
      <c r="CS42" s="10">
        <v>4</v>
      </c>
    </row>
    <row r="43" spans="1:97" x14ac:dyDescent="0.35">
      <c r="A43" s="8" t="s">
        <v>0</v>
      </c>
      <c r="B43" s="9" t="s">
        <v>41</v>
      </c>
      <c r="C43" s="9" t="s">
        <v>621</v>
      </c>
      <c r="D43" s="9">
        <f t="shared" si="0"/>
        <v>201</v>
      </c>
      <c r="E43" s="9">
        <v>1</v>
      </c>
      <c r="F43" s="9">
        <v>0</v>
      </c>
      <c r="G43" s="9">
        <v>2</v>
      </c>
      <c r="H43" s="9">
        <v>0</v>
      </c>
      <c r="I43" s="9">
        <v>0</v>
      </c>
      <c r="J43" s="9">
        <v>1</v>
      </c>
      <c r="K43" s="9">
        <v>0</v>
      </c>
      <c r="L43" s="9">
        <v>1</v>
      </c>
      <c r="M43" s="9">
        <v>0</v>
      </c>
      <c r="N43" s="9">
        <v>0</v>
      </c>
      <c r="O43" s="9">
        <v>0</v>
      </c>
      <c r="P43" s="9">
        <v>0</v>
      </c>
      <c r="Q43" s="9">
        <v>1</v>
      </c>
      <c r="R43" s="9">
        <v>0</v>
      </c>
      <c r="S43" s="9">
        <v>0</v>
      </c>
      <c r="T43" s="9">
        <v>0</v>
      </c>
      <c r="U43" s="9">
        <v>0</v>
      </c>
      <c r="V43" s="9">
        <v>0</v>
      </c>
      <c r="W43" s="9">
        <v>0</v>
      </c>
      <c r="X43" s="9">
        <v>0</v>
      </c>
      <c r="Y43" s="9">
        <v>0</v>
      </c>
      <c r="Z43" s="9">
        <v>0</v>
      </c>
      <c r="AA43" s="9">
        <v>0</v>
      </c>
      <c r="AB43" s="9">
        <v>0</v>
      </c>
      <c r="AC43" s="9">
        <v>0</v>
      </c>
      <c r="AD43" s="9">
        <v>0</v>
      </c>
      <c r="AE43" s="9">
        <v>0</v>
      </c>
      <c r="AF43" s="9">
        <v>0</v>
      </c>
      <c r="AG43" s="9">
        <v>0</v>
      </c>
      <c r="AH43" s="9">
        <v>1</v>
      </c>
      <c r="AI43" s="9">
        <v>0</v>
      </c>
      <c r="AJ43" s="9">
        <v>0</v>
      </c>
      <c r="AK43" s="9">
        <v>0</v>
      </c>
      <c r="AL43" s="9">
        <v>0</v>
      </c>
      <c r="AM43" s="9">
        <v>0</v>
      </c>
      <c r="AN43" s="9">
        <v>0</v>
      </c>
      <c r="AO43" s="9">
        <v>0</v>
      </c>
      <c r="AP43" s="9">
        <v>0</v>
      </c>
      <c r="AQ43" s="9">
        <v>0</v>
      </c>
      <c r="AR43" s="9">
        <v>0</v>
      </c>
      <c r="AS43" s="9">
        <v>0</v>
      </c>
      <c r="AT43" s="9">
        <v>0</v>
      </c>
      <c r="AU43" s="9">
        <v>1</v>
      </c>
      <c r="AV43" s="9">
        <v>0</v>
      </c>
      <c r="AW43" s="9">
        <v>1</v>
      </c>
      <c r="AX43" s="9">
        <v>2</v>
      </c>
      <c r="AY43" s="9">
        <v>1</v>
      </c>
      <c r="AZ43" s="9">
        <v>0</v>
      </c>
      <c r="BA43" s="9">
        <v>0</v>
      </c>
      <c r="BB43" s="9">
        <v>0</v>
      </c>
      <c r="BC43" s="9">
        <v>0</v>
      </c>
      <c r="BD43" s="9">
        <v>0</v>
      </c>
      <c r="BE43" s="9">
        <v>0</v>
      </c>
      <c r="BF43" s="9">
        <v>2</v>
      </c>
      <c r="BG43" s="9">
        <v>0</v>
      </c>
      <c r="BH43" s="9">
        <v>1</v>
      </c>
      <c r="BI43" s="9">
        <v>1</v>
      </c>
      <c r="BJ43" s="9">
        <v>0</v>
      </c>
      <c r="BK43" s="9">
        <v>0</v>
      </c>
      <c r="BL43" s="9">
        <v>0</v>
      </c>
      <c r="BM43" s="9">
        <v>1</v>
      </c>
      <c r="BN43" s="9">
        <v>0</v>
      </c>
      <c r="BO43" s="9">
        <v>0</v>
      </c>
      <c r="BP43" s="9">
        <v>3</v>
      </c>
      <c r="BQ43" s="9">
        <v>8</v>
      </c>
      <c r="BR43" s="9">
        <v>2</v>
      </c>
      <c r="BS43" s="9">
        <v>0</v>
      </c>
      <c r="BT43" s="9">
        <v>1</v>
      </c>
      <c r="BU43" s="9">
        <v>3</v>
      </c>
      <c r="BV43" s="9">
        <v>2</v>
      </c>
      <c r="BW43" s="9">
        <v>3</v>
      </c>
      <c r="BX43" s="9">
        <v>0</v>
      </c>
      <c r="BY43" s="9">
        <v>4</v>
      </c>
      <c r="BZ43" s="9">
        <v>4</v>
      </c>
      <c r="CA43" s="9">
        <v>5</v>
      </c>
      <c r="CB43" s="9">
        <v>11</v>
      </c>
      <c r="CC43" s="9">
        <v>5</v>
      </c>
      <c r="CD43" s="9">
        <v>6</v>
      </c>
      <c r="CE43" s="9">
        <v>8</v>
      </c>
      <c r="CF43" s="9">
        <v>11</v>
      </c>
      <c r="CG43" s="9">
        <v>12</v>
      </c>
      <c r="CH43" s="9">
        <v>7</v>
      </c>
      <c r="CI43" s="9">
        <v>4</v>
      </c>
      <c r="CJ43" s="9">
        <v>5</v>
      </c>
      <c r="CK43" s="9">
        <v>4</v>
      </c>
      <c r="CL43" s="9">
        <v>20</v>
      </c>
      <c r="CM43" s="9">
        <v>8</v>
      </c>
      <c r="CN43" s="9">
        <v>6</v>
      </c>
      <c r="CO43" s="9">
        <v>10</v>
      </c>
      <c r="CP43" s="9">
        <v>13</v>
      </c>
      <c r="CQ43" s="9">
        <v>8</v>
      </c>
      <c r="CR43" s="9">
        <v>2</v>
      </c>
      <c r="CS43" s="10">
        <v>9</v>
      </c>
    </row>
    <row r="44" spans="1:97" x14ac:dyDescent="0.35">
      <c r="A44" s="8" t="s">
        <v>0</v>
      </c>
      <c r="B44" s="9" t="s">
        <v>43</v>
      </c>
      <c r="C44" s="9" t="s">
        <v>622</v>
      </c>
      <c r="D44" s="9">
        <f t="shared" si="0"/>
        <v>8</v>
      </c>
      <c r="E44" s="9">
        <v>0</v>
      </c>
      <c r="F44" s="9">
        <v>0</v>
      </c>
      <c r="G44" s="9">
        <v>0</v>
      </c>
      <c r="H44" s="9">
        <v>0</v>
      </c>
      <c r="I44" s="9">
        <v>0</v>
      </c>
      <c r="J44" s="9">
        <v>0</v>
      </c>
      <c r="K44" s="9">
        <v>0</v>
      </c>
      <c r="L44" s="9">
        <v>0</v>
      </c>
      <c r="M44" s="9">
        <v>0</v>
      </c>
      <c r="N44" s="9">
        <v>0</v>
      </c>
      <c r="O44" s="9">
        <v>0</v>
      </c>
      <c r="P44" s="9">
        <v>0</v>
      </c>
      <c r="Q44" s="9">
        <v>0</v>
      </c>
      <c r="R44" s="9">
        <v>0</v>
      </c>
      <c r="S44" s="9">
        <v>0</v>
      </c>
      <c r="T44" s="9">
        <v>0</v>
      </c>
      <c r="U44" s="9">
        <v>0</v>
      </c>
      <c r="V44" s="9">
        <v>0</v>
      </c>
      <c r="W44" s="9">
        <v>0</v>
      </c>
      <c r="X44" s="9">
        <v>0</v>
      </c>
      <c r="Y44" s="9">
        <v>0</v>
      </c>
      <c r="Z44" s="9">
        <v>0</v>
      </c>
      <c r="AA44" s="9">
        <v>0</v>
      </c>
      <c r="AB44" s="9">
        <v>0</v>
      </c>
      <c r="AC44" s="9">
        <v>0</v>
      </c>
      <c r="AD44" s="9">
        <v>0</v>
      </c>
      <c r="AE44" s="9">
        <v>0</v>
      </c>
      <c r="AF44" s="9">
        <v>0</v>
      </c>
      <c r="AG44" s="9">
        <v>0</v>
      </c>
      <c r="AH44" s="9">
        <v>0</v>
      </c>
      <c r="AI44" s="9">
        <v>0</v>
      </c>
      <c r="AJ44" s="9">
        <v>0</v>
      </c>
      <c r="AK44" s="9">
        <v>0</v>
      </c>
      <c r="AL44" s="9">
        <v>0</v>
      </c>
      <c r="AM44" s="9">
        <v>0</v>
      </c>
      <c r="AN44" s="9">
        <v>0</v>
      </c>
      <c r="AO44" s="9">
        <v>0</v>
      </c>
      <c r="AP44" s="9">
        <v>1</v>
      </c>
      <c r="AQ44" s="9">
        <v>0</v>
      </c>
      <c r="AR44" s="9">
        <v>0</v>
      </c>
      <c r="AS44" s="9">
        <v>0</v>
      </c>
      <c r="AT44" s="9">
        <v>0</v>
      </c>
      <c r="AU44" s="9">
        <v>0</v>
      </c>
      <c r="AV44" s="9">
        <v>0</v>
      </c>
      <c r="AW44" s="9">
        <v>0</v>
      </c>
      <c r="AX44" s="9">
        <v>0</v>
      </c>
      <c r="AY44" s="9">
        <v>0</v>
      </c>
      <c r="AZ44" s="9">
        <v>0</v>
      </c>
      <c r="BA44" s="9">
        <v>0</v>
      </c>
      <c r="BB44" s="9">
        <v>0</v>
      </c>
      <c r="BC44" s="9">
        <v>0</v>
      </c>
      <c r="BD44" s="9">
        <v>0</v>
      </c>
      <c r="BE44" s="9">
        <v>0</v>
      </c>
      <c r="BF44" s="9">
        <v>0</v>
      </c>
      <c r="BG44" s="9">
        <v>0</v>
      </c>
      <c r="BH44" s="9">
        <v>0</v>
      </c>
      <c r="BI44" s="9">
        <v>0</v>
      </c>
      <c r="BJ44" s="9">
        <v>0</v>
      </c>
      <c r="BK44" s="9">
        <v>1</v>
      </c>
      <c r="BL44" s="9">
        <v>0</v>
      </c>
      <c r="BM44" s="9">
        <v>1</v>
      </c>
      <c r="BN44" s="9">
        <v>0</v>
      </c>
      <c r="BO44" s="9">
        <v>1</v>
      </c>
      <c r="BP44" s="9">
        <v>0</v>
      </c>
      <c r="BQ44" s="9">
        <v>0</v>
      </c>
      <c r="BR44" s="9">
        <v>0</v>
      </c>
      <c r="BS44" s="9">
        <v>0</v>
      </c>
      <c r="BT44" s="9">
        <v>0</v>
      </c>
      <c r="BU44" s="9">
        <v>0</v>
      </c>
      <c r="BV44" s="9">
        <v>0</v>
      </c>
      <c r="BW44" s="9">
        <v>0</v>
      </c>
      <c r="BX44" s="9">
        <v>0</v>
      </c>
      <c r="BY44" s="9">
        <v>1</v>
      </c>
      <c r="BZ44" s="9">
        <v>0</v>
      </c>
      <c r="CA44" s="9">
        <v>0</v>
      </c>
      <c r="CB44" s="9">
        <v>0</v>
      </c>
      <c r="CC44" s="9">
        <v>1</v>
      </c>
      <c r="CD44" s="9">
        <v>0</v>
      </c>
      <c r="CE44" s="9">
        <v>0</v>
      </c>
      <c r="CF44" s="9">
        <v>1</v>
      </c>
      <c r="CG44" s="9">
        <v>0</v>
      </c>
      <c r="CH44" s="9">
        <v>0</v>
      </c>
      <c r="CI44" s="9">
        <v>0</v>
      </c>
      <c r="CJ44" s="9">
        <v>0</v>
      </c>
      <c r="CK44" s="9">
        <v>0</v>
      </c>
      <c r="CL44" s="9">
        <v>0</v>
      </c>
      <c r="CM44" s="9">
        <v>0</v>
      </c>
      <c r="CN44" s="9">
        <v>0</v>
      </c>
      <c r="CO44" s="9">
        <v>0</v>
      </c>
      <c r="CP44" s="9">
        <v>0</v>
      </c>
      <c r="CQ44" s="9">
        <v>0</v>
      </c>
      <c r="CR44" s="9">
        <v>1</v>
      </c>
      <c r="CS44" s="10">
        <v>0</v>
      </c>
    </row>
    <row r="45" spans="1:97" x14ac:dyDescent="0.35">
      <c r="A45" s="8" t="s">
        <v>0</v>
      </c>
      <c r="B45" s="9" t="s">
        <v>45</v>
      </c>
      <c r="C45" s="9" t="s">
        <v>623</v>
      </c>
      <c r="D45" s="9">
        <f t="shared" si="0"/>
        <v>137</v>
      </c>
      <c r="E45" s="9">
        <v>0</v>
      </c>
      <c r="F45" s="9">
        <v>1</v>
      </c>
      <c r="G45" s="9">
        <v>1</v>
      </c>
      <c r="H45" s="9">
        <v>2</v>
      </c>
      <c r="I45" s="9">
        <v>0</v>
      </c>
      <c r="J45" s="9">
        <v>0</v>
      </c>
      <c r="K45" s="9">
        <v>5</v>
      </c>
      <c r="L45" s="9">
        <v>3</v>
      </c>
      <c r="M45" s="9">
        <v>2</v>
      </c>
      <c r="N45" s="9">
        <v>1</v>
      </c>
      <c r="O45" s="9">
        <v>3</v>
      </c>
      <c r="P45" s="9">
        <v>0</v>
      </c>
      <c r="Q45" s="9">
        <v>0</v>
      </c>
      <c r="R45" s="9">
        <v>1</v>
      </c>
      <c r="S45" s="9">
        <v>1</v>
      </c>
      <c r="T45" s="9">
        <v>2</v>
      </c>
      <c r="U45" s="9">
        <v>1</v>
      </c>
      <c r="V45" s="9">
        <v>0</v>
      </c>
      <c r="W45" s="9">
        <v>0</v>
      </c>
      <c r="X45" s="9">
        <v>0</v>
      </c>
      <c r="Y45" s="9">
        <v>0</v>
      </c>
      <c r="Z45" s="9">
        <v>0</v>
      </c>
      <c r="AA45" s="9">
        <v>0</v>
      </c>
      <c r="AB45" s="9">
        <v>0</v>
      </c>
      <c r="AC45" s="9">
        <v>3</v>
      </c>
      <c r="AD45" s="9">
        <v>0</v>
      </c>
      <c r="AE45" s="9">
        <v>0</v>
      </c>
      <c r="AF45" s="9">
        <v>0</v>
      </c>
      <c r="AG45" s="9">
        <v>0</v>
      </c>
      <c r="AH45" s="9">
        <v>0</v>
      </c>
      <c r="AI45" s="9">
        <v>0</v>
      </c>
      <c r="AJ45" s="9">
        <v>0</v>
      </c>
      <c r="AK45" s="9">
        <v>1</v>
      </c>
      <c r="AL45" s="9">
        <v>0</v>
      </c>
      <c r="AM45" s="9">
        <v>0</v>
      </c>
      <c r="AN45" s="9">
        <v>0</v>
      </c>
      <c r="AO45" s="9">
        <v>0</v>
      </c>
      <c r="AP45" s="9">
        <v>0</v>
      </c>
      <c r="AQ45" s="9">
        <v>1</v>
      </c>
      <c r="AR45" s="9">
        <v>0</v>
      </c>
      <c r="AS45" s="9">
        <v>0</v>
      </c>
      <c r="AT45" s="9">
        <v>0</v>
      </c>
      <c r="AU45" s="9">
        <v>1</v>
      </c>
      <c r="AV45" s="9">
        <v>0</v>
      </c>
      <c r="AW45" s="9">
        <v>0</v>
      </c>
      <c r="AX45" s="9">
        <v>1</v>
      </c>
      <c r="AY45" s="9">
        <v>4</v>
      </c>
      <c r="AZ45" s="9">
        <v>1</v>
      </c>
      <c r="BA45" s="9">
        <v>0</v>
      </c>
      <c r="BB45" s="9">
        <v>0</v>
      </c>
      <c r="BC45" s="9">
        <v>0</v>
      </c>
      <c r="BD45" s="9">
        <v>1</v>
      </c>
      <c r="BE45" s="9">
        <v>0</v>
      </c>
      <c r="BF45" s="9">
        <v>0</v>
      </c>
      <c r="BG45" s="9">
        <v>0</v>
      </c>
      <c r="BH45" s="9">
        <v>0</v>
      </c>
      <c r="BI45" s="9">
        <v>1</v>
      </c>
      <c r="BJ45" s="9">
        <v>2</v>
      </c>
      <c r="BK45" s="9">
        <v>0</v>
      </c>
      <c r="BL45" s="9">
        <v>0</v>
      </c>
      <c r="BM45" s="9">
        <v>3</v>
      </c>
      <c r="BN45" s="9">
        <v>0</v>
      </c>
      <c r="BO45" s="9">
        <v>0</v>
      </c>
      <c r="BP45" s="9">
        <v>3</v>
      </c>
      <c r="BQ45" s="9">
        <v>0</v>
      </c>
      <c r="BR45" s="9">
        <v>0</v>
      </c>
      <c r="BS45" s="9">
        <v>2</v>
      </c>
      <c r="BT45" s="9">
        <v>0</v>
      </c>
      <c r="BU45" s="9">
        <v>1</v>
      </c>
      <c r="BV45" s="9">
        <v>0</v>
      </c>
      <c r="BW45" s="9">
        <v>1</v>
      </c>
      <c r="BX45" s="9">
        <v>2</v>
      </c>
      <c r="BY45" s="9">
        <v>1</v>
      </c>
      <c r="BZ45" s="9">
        <v>4</v>
      </c>
      <c r="CA45" s="9">
        <v>2</v>
      </c>
      <c r="CB45" s="9">
        <v>1</v>
      </c>
      <c r="CC45" s="9">
        <v>1</v>
      </c>
      <c r="CD45" s="9">
        <v>3</v>
      </c>
      <c r="CE45" s="9">
        <v>6</v>
      </c>
      <c r="CF45" s="9">
        <v>1</v>
      </c>
      <c r="CG45" s="9">
        <v>3</v>
      </c>
      <c r="CH45" s="9">
        <v>3</v>
      </c>
      <c r="CI45" s="9">
        <v>1</v>
      </c>
      <c r="CJ45" s="9">
        <v>3</v>
      </c>
      <c r="CK45" s="9">
        <v>1</v>
      </c>
      <c r="CL45" s="9">
        <v>2</v>
      </c>
      <c r="CM45" s="9">
        <v>3</v>
      </c>
      <c r="CN45" s="9">
        <v>7</v>
      </c>
      <c r="CO45" s="9">
        <v>8</v>
      </c>
      <c r="CP45" s="9">
        <v>10</v>
      </c>
      <c r="CQ45" s="9">
        <v>11</v>
      </c>
      <c r="CR45" s="9">
        <v>5</v>
      </c>
      <c r="CS45" s="10">
        <v>10</v>
      </c>
    </row>
    <row r="46" spans="1:97" x14ac:dyDescent="0.35">
      <c r="A46" s="8" t="s">
        <v>0</v>
      </c>
      <c r="B46" s="9" t="s">
        <v>47</v>
      </c>
      <c r="C46" s="9" t="s">
        <v>624</v>
      </c>
      <c r="D46" s="9">
        <f t="shared" si="0"/>
        <v>115</v>
      </c>
      <c r="E46" s="9">
        <v>0</v>
      </c>
      <c r="F46" s="9">
        <v>0</v>
      </c>
      <c r="G46" s="9">
        <v>0</v>
      </c>
      <c r="H46" s="9">
        <v>0</v>
      </c>
      <c r="I46" s="9">
        <v>0</v>
      </c>
      <c r="J46" s="9">
        <v>0</v>
      </c>
      <c r="K46" s="9">
        <v>0</v>
      </c>
      <c r="L46" s="9">
        <v>0</v>
      </c>
      <c r="M46" s="9">
        <v>0</v>
      </c>
      <c r="N46" s="9">
        <v>0</v>
      </c>
      <c r="O46" s="9">
        <v>0</v>
      </c>
      <c r="P46" s="9">
        <v>0</v>
      </c>
      <c r="Q46" s="9">
        <v>0</v>
      </c>
      <c r="R46" s="9">
        <v>0</v>
      </c>
      <c r="S46" s="9">
        <v>0</v>
      </c>
      <c r="T46" s="9">
        <v>0</v>
      </c>
      <c r="U46" s="9">
        <v>0</v>
      </c>
      <c r="V46" s="9">
        <v>0</v>
      </c>
      <c r="W46" s="9">
        <v>0</v>
      </c>
      <c r="X46" s="9">
        <v>0</v>
      </c>
      <c r="Y46" s="9">
        <v>0</v>
      </c>
      <c r="Z46" s="9">
        <v>0</v>
      </c>
      <c r="AA46" s="9">
        <v>0</v>
      </c>
      <c r="AB46" s="9">
        <v>0</v>
      </c>
      <c r="AC46" s="9">
        <v>0</v>
      </c>
      <c r="AD46" s="9">
        <v>0</v>
      </c>
      <c r="AE46" s="9">
        <v>0</v>
      </c>
      <c r="AF46" s="9">
        <v>1</v>
      </c>
      <c r="AG46" s="9">
        <v>2</v>
      </c>
      <c r="AH46" s="9">
        <v>0</v>
      </c>
      <c r="AI46" s="9">
        <v>0</v>
      </c>
      <c r="AJ46" s="9">
        <v>0</v>
      </c>
      <c r="AK46" s="9">
        <v>0</v>
      </c>
      <c r="AL46" s="9">
        <v>0</v>
      </c>
      <c r="AM46" s="9">
        <v>0</v>
      </c>
      <c r="AN46" s="9">
        <v>0</v>
      </c>
      <c r="AO46" s="9">
        <v>0</v>
      </c>
      <c r="AP46" s="9">
        <v>0</v>
      </c>
      <c r="AQ46" s="9">
        <v>0</v>
      </c>
      <c r="AR46" s="9">
        <v>0</v>
      </c>
      <c r="AS46" s="9">
        <v>0</v>
      </c>
      <c r="AT46" s="9">
        <v>0</v>
      </c>
      <c r="AU46" s="9">
        <v>2</v>
      </c>
      <c r="AV46" s="9">
        <v>3</v>
      </c>
      <c r="AW46" s="9">
        <v>2</v>
      </c>
      <c r="AX46" s="9">
        <v>1</v>
      </c>
      <c r="AY46" s="9">
        <v>0</v>
      </c>
      <c r="AZ46" s="9">
        <v>0</v>
      </c>
      <c r="BA46" s="9">
        <v>0</v>
      </c>
      <c r="BB46" s="9">
        <v>0</v>
      </c>
      <c r="BC46" s="9">
        <v>0</v>
      </c>
      <c r="BD46" s="9">
        <v>0</v>
      </c>
      <c r="BE46" s="9">
        <v>0</v>
      </c>
      <c r="BF46" s="9">
        <v>0</v>
      </c>
      <c r="BG46" s="9">
        <v>1</v>
      </c>
      <c r="BH46" s="9">
        <v>2</v>
      </c>
      <c r="BI46" s="9">
        <v>3</v>
      </c>
      <c r="BJ46" s="9">
        <v>2</v>
      </c>
      <c r="BK46" s="9">
        <v>0</v>
      </c>
      <c r="BL46" s="9">
        <v>0</v>
      </c>
      <c r="BM46" s="9">
        <v>1</v>
      </c>
      <c r="BN46" s="9">
        <v>0</v>
      </c>
      <c r="BO46" s="9">
        <v>0</v>
      </c>
      <c r="BP46" s="9">
        <v>1</v>
      </c>
      <c r="BQ46" s="9">
        <v>0</v>
      </c>
      <c r="BR46" s="9">
        <v>2</v>
      </c>
      <c r="BS46" s="9">
        <v>2</v>
      </c>
      <c r="BT46" s="9">
        <v>5</v>
      </c>
      <c r="BU46" s="9">
        <v>5</v>
      </c>
      <c r="BV46" s="9">
        <v>3</v>
      </c>
      <c r="BW46" s="9">
        <v>3</v>
      </c>
      <c r="BX46" s="9">
        <v>1</v>
      </c>
      <c r="BY46" s="9">
        <v>1</v>
      </c>
      <c r="BZ46" s="9">
        <v>3</v>
      </c>
      <c r="CA46" s="9">
        <v>1</v>
      </c>
      <c r="CB46" s="9">
        <v>3</v>
      </c>
      <c r="CC46" s="9">
        <v>0</v>
      </c>
      <c r="CD46" s="9">
        <v>2</v>
      </c>
      <c r="CE46" s="9">
        <v>1</v>
      </c>
      <c r="CF46" s="9">
        <v>7</v>
      </c>
      <c r="CG46" s="9">
        <v>1</v>
      </c>
      <c r="CH46" s="9">
        <v>4</v>
      </c>
      <c r="CI46" s="9">
        <v>6</v>
      </c>
      <c r="CJ46" s="9">
        <v>9</v>
      </c>
      <c r="CK46" s="9">
        <v>4</v>
      </c>
      <c r="CL46" s="9">
        <v>6</v>
      </c>
      <c r="CM46" s="9">
        <v>3</v>
      </c>
      <c r="CN46" s="9">
        <v>3</v>
      </c>
      <c r="CO46" s="9">
        <v>5</v>
      </c>
      <c r="CP46" s="9">
        <v>3</v>
      </c>
      <c r="CQ46" s="9">
        <v>5</v>
      </c>
      <c r="CR46" s="9">
        <v>3</v>
      </c>
      <c r="CS46" s="10">
        <v>3</v>
      </c>
    </row>
    <row r="47" spans="1:97" x14ac:dyDescent="0.35">
      <c r="A47" s="8" t="s">
        <v>0</v>
      </c>
      <c r="B47" s="9" t="s">
        <v>49</v>
      </c>
      <c r="C47" s="9" t="s">
        <v>625</v>
      </c>
      <c r="D47" s="9">
        <f t="shared" si="0"/>
        <v>40</v>
      </c>
      <c r="E47" s="9">
        <v>0</v>
      </c>
      <c r="F47" s="9">
        <v>1</v>
      </c>
      <c r="G47" s="9">
        <v>0</v>
      </c>
      <c r="H47" s="9">
        <v>0</v>
      </c>
      <c r="I47" s="9">
        <v>0</v>
      </c>
      <c r="J47" s="9">
        <v>0</v>
      </c>
      <c r="K47" s="9">
        <v>0</v>
      </c>
      <c r="L47" s="9">
        <v>0</v>
      </c>
      <c r="M47" s="9">
        <v>0</v>
      </c>
      <c r="N47" s="9">
        <v>0</v>
      </c>
      <c r="O47" s="9">
        <v>0</v>
      </c>
      <c r="P47" s="9">
        <v>0</v>
      </c>
      <c r="Q47" s="9">
        <v>0</v>
      </c>
      <c r="R47" s="9">
        <v>1</v>
      </c>
      <c r="S47" s="9">
        <v>0</v>
      </c>
      <c r="T47" s="9">
        <v>1</v>
      </c>
      <c r="U47" s="9">
        <v>1</v>
      </c>
      <c r="V47" s="9">
        <v>0</v>
      </c>
      <c r="W47" s="9">
        <v>0</v>
      </c>
      <c r="X47" s="9">
        <v>0</v>
      </c>
      <c r="Y47" s="9">
        <v>1</v>
      </c>
      <c r="Z47" s="9">
        <v>0</v>
      </c>
      <c r="AA47" s="9">
        <v>0</v>
      </c>
      <c r="AB47" s="9">
        <v>0</v>
      </c>
      <c r="AC47" s="9">
        <v>0</v>
      </c>
      <c r="AD47" s="9">
        <v>0</v>
      </c>
      <c r="AE47" s="9">
        <v>0</v>
      </c>
      <c r="AF47" s="9">
        <v>0</v>
      </c>
      <c r="AG47" s="9">
        <v>0</v>
      </c>
      <c r="AH47" s="9">
        <v>0</v>
      </c>
      <c r="AI47" s="9">
        <v>0</v>
      </c>
      <c r="AJ47" s="9">
        <v>1</v>
      </c>
      <c r="AK47" s="9">
        <v>0</v>
      </c>
      <c r="AL47" s="9">
        <v>0</v>
      </c>
      <c r="AM47" s="9">
        <v>0</v>
      </c>
      <c r="AN47" s="9">
        <v>3</v>
      </c>
      <c r="AO47" s="9">
        <v>0</v>
      </c>
      <c r="AP47" s="9">
        <v>0</v>
      </c>
      <c r="AQ47" s="9">
        <v>0</v>
      </c>
      <c r="AR47" s="9">
        <v>1</v>
      </c>
      <c r="AS47" s="9">
        <v>0</v>
      </c>
      <c r="AT47" s="9">
        <v>0</v>
      </c>
      <c r="AU47" s="9">
        <v>1</v>
      </c>
      <c r="AV47" s="9">
        <v>0</v>
      </c>
      <c r="AW47" s="9">
        <v>0</v>
      </c>
      <c r="AX47" s="9">
        <v>0</v>
      </c>
      <c r="AY47" s="9">
        <v>0</v>
      </c>
      <c r="AZ47" s="9">
        <v>1</v>
      </c>
      <c r="BA47" s="9">
        <v>1</v>
      </c>
      <c r="BB47" s="9">
        <v>0</v>
      </c>
      <c r="BC47" s="9">
        <v>0</v>
      </c>
      <c r="BD47" s="9">
        <v>0</v>
      </c>
      <c r="BE47" s="9">
        <v>1</v>
      </c>
      <c r="BF47" s="9">
        <v>0</v>
      </c>
      <c r="BG47" s="9">
        <v>0</v>
      </c>
      <c r="BH47" s="9">
        <v>0</v>
      </c>
      <c r="BI47" s="9">
        <v>0</v>
      </c>
      <c r="BJ47" s="9">
        <v>0</v>
      </c>
      <c r="BK47" s="9">
        <v>0</v>
      </c>
      <c r="BL47" s="9">
        <v>1</v>
      </c>
      <c r="BM47" s="9">
        <v>0</v>
      </c>
      <c r="BN47" s="9">
        <v>1</v>
      </c>
      <c r="BO47" s="9">
        <v>0</v>
      </c>
      <c r="BP47" s="9">
        <v>0</v>
      </c>
      <c r="BQ47" s="9">
        <v>0</v>
      </c>
      <c r="BR47" s="9">
        <v>0</v>
      </c>
      <c r="BS47" s="9">
        <v>0</v>
      </c>
      <c r="BT47" s="9">
        <v>1</v>
      </c>
      <c r="BU47" s="9">
        <v>0</v>
      </c>
      <c r="BV47" s="9">
        <v>1</v>
      </c>
      <c r="BW47" s="9">
        <v>1</v>
      </c>
      <c r="BX47" s="9">
        <v>0</v>
      </c>
      <c r="BY47" s="9">
        <v>0</v>
      </c>
      <c r="BZ47" s="9">
        <v>1</v>
      </c>
      <c r="CA47" s="9">
        <v>0</v>
      </c>
      <c r="CB47" s="9">
        <v>1</v>
      </c>
      <c r="CC47" s="9">
        <v>0</v>
      </c>
      <c r="CD47" s="9">
        <v>2</v>
      </c>
      <c r="CE47" s="9">
        <v>1</v>
      </c>
      <c r="CF47" s="9">
        <v>0</v>
      </c>
      <c r="CG47" s="9">
        <v>0</v>
      </c>
      <c r="CH47" s="9">
        <v>1</v>
      </c>
      <c r="CI47" s="9">
        <v>0</v>
      </c>
      <c r="CJ47" s="9">
        <v>5</v>
      </c>
      <c r="CK47" s="9">
        <v>3</v>
      </c>
      <c r="CL47" s="9">
        <v>0</v>
      </c>
      <c r="CM47" s="9">
        <v>2</v>
      </c>
      <c r="CN47" s="9">
        <v>0</v>
      </c>
      <c r="CO47" s="9">
        <v>3</v>
      </c>
      <c r="CP47" s="9">
        <v>1</v>
      </c>
      <c r="CQ47" s="9">
        <v>1</v>
      </c>
      <c r="CR47" s="9">
        <v>0</v>
      </c>
      <c r="CS47" s="10">
        <v>0</v>
      </c>
    </row>
    <row r="48" spans="1:97" x14ac:dyDescent="0.35">
      <c r="A48" s="8" t="s">
        <v>0</v>
      </c>
      <c r="B48" s="9" t="s">
        <v>51</v>
      </c>
      <c r="C48" s="9" t="s">
        <v>626</v>
      </c>
      <c r="D48" s="9">
        <f t="shared" si="0"/>
        <v>67</v>
      </c>
      <c r="E48" s="9">
        <v>0</v>
      </c>
      <c r="F48" s="9">
        <v>0</v>
      </c>
      <c r="G48" s="9">
        <v>0</v>
      </c>
      <c r="H48" s="9">
        <v>0</v>
      </c>
      <c r="I48" s="9">
        <v>1</v>
      </c>
      <c r="J48" s="9">
        <v>0</v>
      </c>
      <c r="K48" s="9">
        <v>0</v>
      </c>
      <c r="L48" s="9">
        <v>0</v>
      </c>
      <c r="M48" s="9">
        <v>0</v>
      </c>
      <c r="N48" s="9">
        <v>0</v>
      </c>
      <c r="O48" s="9">
        <v>0</v>
      </c>
      <c r="P48" s="9">
        <v>0</v>
      </c>
      <c r="Q48" s="9">
        <v>1</v>
      </c>
      <c r="R48" s="9">
        <v>1</v>
      </c>
      <c r="S48" s="9">
        <v>0</v>
      </c>
      <c r="T48" s="9">
        <v>0</v>
      </c>
      <c r="U48" s="9">
        <v>0</v>
      </c>
      <c r="V48" s="9">
        <v>1</v>
      </c>
      <c r="W48" s="9">
        <v>1</v>
      </c>
      <c r="X48" s="9">
        <v>1</v>
      </c>
      <c r="Y48" s="9">
        <v>0</v>
      </c>
      <c r="Z48" s="9">
        <v>0</v>
      </c>
      <c r="AA48" s="9">
        <v>2</v>
      </c>
      <c r="AB48" s="9">
        <v>0</v>
      </c>
      <c r="AC48" s="9">
        <v>0</v>
      </c>
      <c r="AD48" s="9">
        <v>0</v>
      </c>
      <c r="AE48" s="9">
        <v>1</v>
      </c>
      <c r="AF48" s="9">
        <v>1</v>
      </c>
      <c r="AG48" s="9">
        <v>2</v>
      </c>
      <c r="AH48" s="9">
        <v>0</v>
      </c>
      <c r="AI48" s="9">
        <v>0</v>
      </c>
      <c r="AJ48" s="9">
        <v>0</v>
      </c>
      <c r="AK48" s="9">
        <v>1</v>
      </c>
      <c r="AL48" s="9">
        <v>0</v>
      </c>
      <c r="AM48" s="9">
        <v>0</v>
      </c>
      <c r="AN48" s="9">
        <v>0</v>
      </c>
      <c r="AO48" s="9">
        <v>0</v>
      </c>
      <c r="AP48" s="9">
        <v>0</v>
      </c>
      <c r="AQ48" s="9">
        <v>0</v>
      </c>
      <c r="AR48" s="9">
        <v>0</v>
      </c>
      <c r="AS48" s="9">
        <v>1</v>
      </c>
      <c r="AT48" s="9">
        <v>1</v>
      </c>
      <c r="AU48" s="9">
        <v>0</v>
      </c>
      <c r="AV48" s="9">
        <v>0</v>
      </c>
      <c r="AW48" s="9">
        <v>0</v>
      </c>
      <c r="AX48" s="9">
        <v>0</v>
      </c>
      <c r="AY48" s="9">
        <v>0</v>
      </c>
      <c r="AZ48" s="9">
        <v>0</v>
      </c>
      <c r="BA48" s="9">
        <v>0</v>
      </c>
      <c r="BB48" s="9">
        <v>0</v>
      </c>
      <c r="BC48" s="9">
        <v>1</v>
      </c>
      <c r="BD48" s="9">
        <v>1</v>
      </c>
      <c r="BE48" s="9">
        <v>0</v>
      </c>
      <c r="BF48" s="9">
        <v>0</v>
      </c>
      <c r="BG48" s="9">
        <v>0</v>
      </c>
      <c r="BH48" s="9">
        <v>1</v>
      </c>
      <c r="BI48" s="9">
        <v>1</v>
      </c>
      <c r="BJ48" s="9">
        <v>1</v>
      </c>
      <c r="BK48" s="9">
        <v>0</v>
      </c>
      <c r="BL48" s="9">
        <v>1</v>
      </c>
      <c r="BM48" s="9">
        <v>3</v>
      </c>
      <c r="BN48" s="9">
        <v>3</v>
      </c>
      <c r="BO48" s="9">
        <v>0</v>
      </c>
      <c r="BP48" s="9">
        <v>0</v>
      </c>
      <c r="BQ48" s="9">
        <v>1</v>
      </c>
      <c r="BR48" s="9">
        <v>0</v>
      </c>
      <c r="BS48" s="9">
        <v>0</v>
      </c>
      <c r="BT48" s="9">
        <v>0</v>
      </c>
      <c r="BU48" s="9">
        <v>0</v>
      </c>
      <c r="BV48" s="9">
        <v>0</v>
      </c>
      <c r="BW48" s="9">
        <v>0</v>
      </c>
      <c r="BX48" s="9">
        <v>2</v>
      </c>
      <c r="BY48" s="9">
        <v>3</v>
      </c>
      <c r="BZ48" s="9">
        <v>1</v>
      </c>
      <c r="CA48" s="9">
        <v>2</v>
      </c>
      <c r="CB48" s="9">
        <v>0</v>
      </c>
      <c r="CC48" s="9">
        <v>0</v>
      </c>
      <c r="CD48" s="9">
        <v>1</v>
      </c>
      <c r="CE48" s="9">
        <v>2</v>
      </c>
      <c r="CF48" s="9">
        <v>3</v>
      </c>
      <c r="CG48" s="9">
        <v>0</v>
      </c>
      <c r="CH48" s="9">
        <v>0</v>
      </c>
      <c r="CI48" s="9">
        <v>1</v>
      </c>
      <c r="CJ48" s="9">
        <v>1</v>
      </c>
      <c r="CK48" s="9">
        <v>4</v>
      </c>
      <c r="CL48" s="9">
        <v>3</v>
      </c>
      <c r="CM48" s="9">
        <v>4</v>
      </c>
      <c r="CN48" s="9">
        <v>1</v>
      </c>
      <c r="CO48" s="9">
        <v>6</v>
      </c>
      <c r="CP48" s="9">
        <v>0</v>
      </c>
      <c r="CQ48" s="9">
        <v>1</v>
      </c>
      <c r="CR48" s="9">
        <v>2</v>
      </c>
      <c r="CS48" s="10">
        <v>2</v>
      </c>
    </row>
    <row r="49" spans="1:97" x14ac:dyDescent="0.35">
      <c r="A49" s="8" t="s">
        <v>0</v>
      </c>
      <c r="B49" s="9" t="s">
        <v>53</v>
      </c>
      <c r="C49" s="9" t="s">
        <v>627</v>
      </c>
      <c r="D49" s="9">
        <f t="shared" si="0"/>
        <v>44</v>
      </c>
      <c r="E49" s="9">
        <v>0</v>
      </c>
      <c r="F49" s="9">
        <v>0</v>
      </c>
      <c r="G49" s="9">
        <v>0</v>
      </c>
      <c r="H49" s="9">
        <v>0</v>
      </c>
      <c r="I49" s="9">
        <v>0</v>
      </c>
      <c r="J49" s="9">
        <v>0</v>
      </c>
      <c r="K49" s="9">
        <v>0</v>
      </c>
      <c r="L49" s="9">
        <v>0</v>
      </c>
      <c r="M49" s="9">
        <v>0</v>
      </c>
      <c r="N49" s="9">
        <v>0</v>
      </c>
      <c r="O49" s="9">
        <v>0</v>
      </c>
      <c r="P49" s="9">
        <v>0</v>
      </c>
      <c r="Q49" s="9">
        <v>0</v>
      </c>
      <c r="R49" s="9">
        <v>0</v>
      </c>
      <c r="S49" s="9">
        <v>0</v>
      </c>
      <c r="T49" s="9">
        <v>0</v>
      </c>
      <c r="U49" s="9">
        <v>0</v>
      </c>
      <c r="V49" s="9">
        <v>0</v>
      </c>
      <c r="W49" s="9">
        <v>0</v>
      </c>
      <c r="X49" s="9">
        <v>0</v>
      </c>
      <c r="Y49" s="9">
        <v>0</v>
      </c>
      <c r="Z49" s="9">
        <v>1</v>
      </c>
      <c r="AA49" s="9">
        <v>0</v>
      </c>
      <c r="AB49" s="9">
        <v>0</v>
      </c>
      <c r="AC49" s="9">
        <v>0</v>
      </c>
      <c r="AD49" s="9">
        <v>0</v>
      </c>
      <c r="AE49" s="9">
        <v>0</v>
      </c>
      <c r="AF49" s="9">
        <v>0</v>
      </c>
      <c r="AG49" s="9">
        <v>0</v>
      </c>
      <c r="AH49" s="9">
        <v>0</v>
      </c>
      <c r="AI49" s="9">
        <v>0</v>
      </c>
      <c r="AJ49" s="9">
        <v>0</v>
      </c>
      <c r="AK49" s="9">
        <v>1</v>
      </c>
      <c r="AL49" s="9">
        <v>0</v>
      </c>
      <c r="AM49" s="9">
        <v>0</v>
      </c>
      <c r="AN49" s="9">
        <v>1</v>
      </c>
      <c r="AO49" s="9">
        <v>0</v>
      </c>
      <c r="AP49" s="9">
        <v>1</v>
      </c>
      <c r="AQ49" s="9">
        <v>0</v>
      </c>
      <c r="AR49" s="9">
        <v>0</v>
      </c>
      <c r="AS49" s="9">
        <v>0</v>
      </c>
      <c r="AT49" s="9">
        <v>1</v>
      </c>
      <c r="AU49" s="9">
        <v>1</v>
      </c>
      <c r="AV49" s="9">
        <v>0</v>
      </c>
      <c r="AW49" s="9">
        <v>0</v>
      </c>
      <c r="AX49" s="9">
        <v>0</v>
      </c>
      <c r="AY49" s="9">
        <v>1</v>
      </c>
      <c r="AZ49" s="9">
        <v>0</v>
      </c>
      <c r="BA49" s="9">
        <v>0</v>
      </c>
      <c r="BB49" s="9">
        <v>0</v>
      </c>
      <c r="BC49" s="9">
        <v>0</v>
      </c>
      <c r="BD49" s="9">
        <v>0</v>
      </c>
      <c r="BE49" s="9">
        <v>0</v>
      </c>
      <c r="BF49" s="9">
        <v>0</v>
      </c>
      <c r="BG49" s="9">
        <v>0</v>
      </c>
      <c r="BH49" s="9">
        <v>1</v>
      </c>
      <c r="BI49" s="9">
        <v>0</v>
      </c>
      <c r="BJ49" s="9">
        <v>0</v>
      </c>
      <c r="BK49" s="9">
        <v>0</v>
      </c>
      <c r="BL49" s="9">
        <v>0</v>
      </c>
      <c r="BM49" s="9">
        <v>0</v>
      </c>
      <c r="BN49" s="9">
        <v>0</v>
      </c>
      <c r="BO49" s="9">
        <v>0</v>
      </c>
      <c r="BP49" s="9">
        <v>1</v>
      </c>
      <c r="BQ49" s="9">
        <v>0</v>
      </c>
      <c r="BR49" s="9">
        <v>1</v>
      </c>
      <c r="BS49" s="9">
        <v>0</v>
      </c>
      <c r="BT49" s="9">
        <v>0</v>
      </c>
      <c r="BU49" s="9">
        <v>1</v>
      </c>
      <c r="BV49" s="9">
        <v>2</v>
      </c>
      <c r="BW49" s="9">
        <v>0</v>
      </c>
      <c r="BX49" s="9">
        <v>0</v>
      </c>
      <c r="BY49" s="9">
        <v>1</v>
      </c>
      <c r="BZ49" s="9">
        <v>0</v>
      </c>
      <c r="CA49" s="9">
        <v>2</v>
      </c>
      <c r="CB49" s="9">
        <v>0</v>
      </c>
      <c r="CC49" s="9">
        <v>1</v>
      </c>
      <c r="CD49" s="9">
        <v>1</v>
      </c>
      <c r="CE49" s="9">
        <v>0</v>
      </c>
      <c r="CF49" s="9">
        <v>2</v>
      </c>
      <c r="CG49" s="9">
        <v>2</v>
      </c>
      <c r="CH49" s="9">
        <v>2</v>
      </c>
      <c r="CI49" s="9">
        <v>1</v>
      </c>
      <c r="CJ49" s="9">
        <v>5</v>
      </c>
      <c r="CK49" s="9">
        <v>1</v>
      </c>
      <c r="CL49" s="9">
        <v>2</v>
      </c>
      <c r="CM49" s="9">
        <v>2</v>
      </c>
      <c r="CN49" s="9">
        <v>0</v>
      </c>
      <c r="CO49" s="9">
        <v>0</v>
      </c>
      <c r="CP49" s="9">
        <v>0</v>
      </c>
      <c r="CQ49" s="9">
        <v>2</v>
      </c>
      <c r="CR49" s="9">
        <v>4</v>
      </c>
      <c r="CS49" s="10">
        <v>3</v>
      </c>
    </row>
    <row r="50" spans="1:97" x14ac:dyDescent="0.35">
      <c r="A50" s="8" t="s">
        <v>0</v>
      </c>
      <c r="B50" s="9" t="s">
        <v>55</v>
      </c>
      <c r="C50" s="9" t="s">
        <v>628</v>
      </c>
      <c r="D50" s="9">
        <f t="shared" si="0"/>
        <v>1</v>
      </c>
      <c r="E50" s="9">
        <v>0</v>
      </c>
      <c r="F50" s="9">
        <v>0</v>
      </c>
      <c r="G50" s="9">
        <v>0</v>
      </c>
      <c r="H50" s="9">
        <v>0</v>
      </c>
      <c r="I50" s="9">
        <v>0</v>
      </c>
      <c r="J50" s="9">
        <v>0</v>
      </c>
      <c r="K50" s="9">
        <v>0</v>
      </c>
      <c r="L50" s="9">
        <v>0</v>
      </c>
      <c r="M50" s="9">
        <v>0</v>
      </c>
      <c r="N50" s="9">
        <v>0</v>
      </c>
      <c r="O50" s="9">
        <v>0</v>
      </c>
      <c r="P50" s="9">
        <v>0</v>
      </c>
      <c r="Q50" s="9">
        <v>0</v>
      </c>
      <c r="R50" s="9">
        <v>0</v>
      </c>
      <c r="S50" s="9">
        <v>0</v>
      </c>
      <c r="T50" s="9">
        <v>0</v>
      </c>
      <c r="U50" s="9">
        <v>0</v>
      </c>
      <c r="V50" s="9">
        <v>0</v>
      </c>
      <c r="W50" s="9">
        <v>0</v>
      </c>
      <c r="X50" s="9">
        <v>0</v>
      </c>
      <c r="Y50" s="9">
        <v>0</v>
      </c>
      <c r="Z50" s="9">
        <v>0</v>
      </c>
      <c r="AA50" s="9">
        <v>0</v>
      </c>
      <c r="AB50" s="9">
        <v>0</v>
      </c>
      <c r="AC50" s="9">
        <v>0</v>
      </c>
      <c r="AD50" s="9">
        <v>0</v>
      </c>
      <c r="AE50" s="9">
        <v>0</v>
      </c>
      <c r="AF50" s="9">
        <v>0</v>
      </c>
      <c r="AG50" s="9">
        <v>0</v>
      </c>
      <c r="AH50" s="9">
        <v>0</v>
      </c>
      <c r="AI50" s="9">
        <v>0</v>
      </c>
      <c r="AJ50" s="9">
        <v>0</v>
      </c>
      <c r="AK50" s="9">
        <v>0</v>
      </c>
      <c r="AL50" s="9">
        <v>0</v>
      </c>
      <c r="AM50" s="9">
        <v>0</v>
      </c>
      <c r="AN50" s="9">
        <v>0</v>
      </c>
      <c r="AO50" s="9">
        <v>0</v>
      </c>
      <c r="AP50" s="9">
        <v>0</v>
      </c>
      <c r="AQ50" s="9">
        <v>0</v>
      </c>
      <c r="AR50" s="9">
        <v>0</v>
      </c>
      <c r="AS50" s="9">
        <v>0</v>
      </c>
      <c r="AT50" s="9">
        <v>0</v>
      </c>
      <c r="AU50" s="9">
        <v>0</v>
      </c>
      <c r="AV50" s="9">
        <v>0</v>
      </c>
      <c r="AW50" s="9">
        <v>0</v>
      </c>
      <c r="AX50" s="9">
        <v>0</v>
      </c>
      <c r="AY50" s="9">
        <v>0</v>
      </c>
      <c r="AZ50" s="9">
        <v>0</v>
      </c>
      <c r="BA50" s="9">
        <v>0</v>
      </c>
      <c r="BB50" s="9">
        <v>0</v>
      </c>
      <c r="BC50" s="9">
        <v>0</v>
      </c>
      <c r="BD50" s="9">
        <v>0</v>
      </c>
      <c r="BE50" s="9">
        <v>0</v>
      </c>
      <c r="BF50" s="9">
        <v>0</v>
      </c>
      <c r="BG50" s="9">
        <v>0</v>
      </c>
      <c r="BH50" s="9">
        <v>0</v>
      </c>
      <c r="BI50" s="9">
        <v>0</v>
      </c>
      <c r="BJ50" s="9">
        <v>0</v>
      </c>
      <c r="BK50" s="9">
        <v>0</v>
      </c>
      <c r="BL50" s="9">
        <v>0</v>
      </c>
      <c r="BM50" s="9">
        <v>0</v>
      </c>
      <c r="BN50" s="9">
        <v>0</v>
      </c>
      <c r="BO50" s="9">
        <v>0</v>
      </c>
      <c r="BP50" s="9">
        <v>0</v>
      </c>
      <c r="BQ50" s="9">
        <v>0</v>
      </c>
      <c r="BR50" s="9">
        <v>0</v>
      </c>
      <c r="BS50" s="9">
        <v>0</v>
      </c>
      <c r="BT50" s="9">
        <v>0</v>
      </c>
      <c r="BU50" s="9">
        <v>0</v>
      </c>
      <c r="BV50" s="9">
        <v>0</v>
      </c>
      <c r="BW50" s="9">
        <v>0</v>
      </c>
      <c r="BX50" s="9">
        <v>0</v>
      </c>
      <c r="BY50" s="9">
        <v>0</v>
      </c>
      <c r="BZ50" s="9">
        <v>0</v>
      </c>
      <c r="CA50" s="9">
        <v>0</v>
      </c>
      <c r="CB50" s="9">
        <v>0</v>
      </c>
      <c r="CC50" s="9">
        <v>0</v>
      </c>
      <c r="CD50" s="9">
        <v>0</v>
      </c>
      <c r="CE50" s="9">
        <v>1</v>
      </c>
      <c r="CF50" s="9">
        <v>0</v>
      </c>
      <c r="CG50" s="9">
        <v>0</v>
      </c>
      <c r="CH50" s="9">
        <v>0</v>
      </c>
      <c r="CI50" s="9">
        <v>0</v>
      </c>
      <c r="CJ50" s="9">
        <v>0</v>
      </c>
      <c r="CK50" s="9">
        <v>0</v>
      </c>
      <c r="CL50" s="9">
        <v>0</v>
      </c>
      <c r="CM50" s="9">
        <v>0</v>
      </c>
      <c r="CN50" s="9">
        <v>0</v>
      </c>
      <c r="CO50" s="9">
        <v>0</v>
      </c>
      <c r="CP50" s="9">
        <v>0</v>
      </c>
      <c r="CQ50" s="9">
        <v>0</v>
      </c>
      <c r="CR50" s="9">
        <v>0</v>
      </c>
      <c r="CS50" s="10">
        <v>0</v>
      </c>
    </row>
    <row r="51" spans="1:97" x14ac:dyDescent="0.35">
      <c r="A51" s="8" t="s">
        <v>0</v>
      </c>
      <c r="B51" s="9" t="s">
        <v>57</v>
      </c>
      <c r="C51" s="9" t="s">
        <v>629</v>
      </c>
      <c r="D51" s="9">
        <f t="shared" si="0"/>
        <v>37</v>
      </c>
      <c r="E51" s="9">
        <v>0</v>
      </c>
      <c r="F51" s="9">
        <v>0</v>
      </c>
      <c r="G51" s="9">
        <v>0</v>
      </c>
      <c r="H51" s="9">
        <v>0</v>
      </c>
      <c r="I51" s="9">
        <v>0</v>
      </c>
      <c r="J51" s="9">
        <v>0</v>
      </c>
      <c r="K51" s="9">
        <v>0</v>
      </c>
      <c r="L51" s="9">
        <v>0</v>
      </c>
      <c r="M51" s="9">
        <v>0</v>
      </c>
      <c r="N51" s="9">
        <v>0</v>
      </c>
      <c r="O51" s="9">
        <v>0</v>
      </c>
      <c r="P51" s="9">
        <v>0</v>
      </c>
      <c r="Q51" s="9">
        <v>0</v>
      </c>
      <c r="R51" s="9">
        <v>0</v>
      </c>
      <c r="S51" s="9">
        <v>0</v>
      </c>
      <c r="T51" s="9">
        <v>0</v>
      </c>
      <c r="U51" s="9">
        <v>0</v>
      </c>
      <c r="V51" s="9">
        <v>0</v>
      </c>
      <c r="W51" s="9">
        <v>0</v>
      </c>
      <c r="X51" s="9">
        <v>0</v>
      </c>
      <c r="Y51" s="9">
        <v>0</v>
      </c>
      <c r="Z51" s="9">
        <v>0</v>
      </c>
      <c r="AA51" s="9">
        <v>0</v>
      </c>
      <c r="AB51" s="9">
        <v>0</v>
      </c>
      <c r="AC51" s="9">
        <v>0</v>
      </c>
      <c r="AD51" s="9">
        <v>0</v>
      </c>
      <c r="AE51" s="9">
        <v>0</v>
      </c>
      <c r="AF51" s="9">
        <v>0</v>
      </c>
      <c r="AG51" s="9">
        <v>0</v>
      </c>
      <c r="AH51" s="9">
        <v>0</v>
      </c>
      <c r="AI51" s="9">
        <v>0</v>
      </c>
      <c r="AJ51" s="9">
        <v>0</v>
      </c>
      <c r="AK51" s="9">
        <v>0</v>
      </c>
      <c r="AL51" s="9">
        <v>0</v>
      </c>
      <c r="AM51" s="9">
        <v>0</v>
      </c>
      <c r="AN51" s="9">
        <v>0</v>
      </c>
      <c r="AO51" s="9">
        <v>0</v>
      </c>
      <c r="AP51" s="9">
        <v>0</v>
      </c>
      <c r="AQ51" s="9">
        <v>0</v>
      </c>
      <c r="AR51" s="9">
        <v>1</v>
      </c>
      <c r="AS51" s="9">
        <v>1</v>
      </c>
      <c r="AT51" s="9">
        <v>0</v>
      </c>
      <c r="AU51" s="9">
        <v>2</v>
      </c>
      <c r="AV51" s="9">
        <v>0</v>
      </c>
      <c r="AW51" s="9">
        <v>2</v>
      </c>
      <c r="AX51" s="9">
        <v>2</v>
      </c>
      <c r="AY51" s="9">
        <v>0</v>
      </c>
      <c r="AZ51" s="9">
        <v>0</v>
      </c>
      <c r="BA51" s="9">
        <v>0</v>
      </c>
      <c r="BB51" s="9">
        <v>0</v>
      </c>
      <c r="BC51" s="9">
        <v>0</v>
      </c>
      <c r="BD51" s="9">
        <v>0</v>
      </c>
      <c r="BE51" s="9">
        <v>2</v>
      </c>
      <c r="BF51" s="9">
        <v>0</v>
      </c>
      <c r="BG51" s="9">
        <v>2</v>
      </c>
      <c r="BH51" s="9">
        <v>3</v>
      </c>
      <c r="BI51" s="9">
        <v>0</v>
      </c>
      <c r="BJ51" s="9">
        <v>0</v>
      </c>
      <c r="BK51" s="9">
        <v>0</v>
      </c>
      <c r="BL51" s="9">
        <v>0</v>
      </c>
      <c r="BM51" s="9">
        <v>1</v>
      </c>
      <c r="BN51" s="9">
        <v>0</v>
      </c>
      <c r="BO51" s="9">
        <v>0</v>
      </c>
      <c r="BP51" s="9">
        <v>0</v>
      </c>
      <c r="BQ51" s="9">
        <v>0</v>
      </c>
      <c r="BR51" s="9">
        <v>0</v>
      </c>
      <c r="BS51" s="9">
        <v>0</v>
      </c>
      <c r="BT51" s="9">
        <v>0</v>
      </c>
      <c r="BU51" s="9">
        <v>1</v>
      </c>
      <c r="BV51" s="9">
        <v>1</v>
      </c>
      <c r="BW51" s="9">
        <v>1</v>
      </c>
      <c r="BX51" s="9">
        <v>0</v>
      </c>
      <c r="BY51" s="9">
        <v>0</v>
      </c>
      <c r="BZ51" s="9">
        <v>1</v>
      </c>
      <c r="CA51" s="9">
        <v>0</v>
      </c>
      <c r="CB51" s="9">
        <v>3</v>
      </c>
      <c r="CC51" s="9">
        <v>0</v>
      </c>
      <c r="CD51" s="9">
        <v>0</v>
      </c>
      <c r="CE51" s="9">
        <v>0</v>
      </c>
      <c r="CF51" s="9">
        <v>1</v>
      </c>
      <c r="CG51" s="9">
        <v>1</v>
      </c>
      <c r="CH51" s="9">
        <v>0</v>
      </c>
      <c r="CI51" s="9">
        <v>1</v>
      </c>
      <c r="CJ51" s="9">
        <v>0</v>
      </c>
      <c r="CK51" s="9">
        <v>0</v>
      </c>
      <c r="CL51" s="9">
        <v>0</v>
      </c>
      <c r="CM51" s="9">
        <v>3</v>
      </c>
      <c r="CN51" s="9">
        <v>2</v>
      </c>
      <c r="CO51" s="9">
        <v>0</v>
      </c>
      <c r="CP51" s="9">
        <v>3</v>
      </c>
      <c r="CQ51" s="9">
        <v>2</v>
      </c>
      <c r="CR51" s="9">
        <v>0</v>
      </c>
      <c r="CS51" s="10">
        <v>1</v>
      </c>
    </row>
    <row r="52" spans="1:97" x14ac:dyDescent="0.35">
      <c r="A52" s="8" t="s">
        <v>0</v>
      </c>
      <c r="B52" s="9" t="s">
        <v>59</v>
      </c>
      <c r="C52" s="9" t="s">
        <v>630</v>
      </c>
      <c r="D52" s="9">
        <f t="shared" si="0"/>
        <v>1</v>
      </c>
      <c r="E52" s="9">
        <v>0</v>
      </c>
      <c r="F52" s="9">
        <v>0</v>
      </c>
      <c r="G52" s="9">
        <v>0</v>
      </c>
      <c r="H52" s="9">
        <v>0</v>
      </c>
      <c r="I52" s="9">
        <v>0</v>
      </c>
      <c r="J52" s="9">
        <v>0</v>
      </c>
      <c r="K52" s="9">
        <v>0</v>
      </c>
      <c r="L52" s="9">
        <v>0</v>
      </c>
      <c r="M52" s="9">
        <v>0</v>
      </c>
      <c r="N52" s="9">
        <v>0</v>
      </c>
      <c r="O52" s="9">
        <v>0</v>
      </c>
      <c r="P52" s="9">
        <v>0</v>
      </c>
      <c r="Q52" s="9">
        <v>0</v>
      </c>
      <c r="R52" s="9">
        <v>0</v>
      </c>
      <c r="S52" s="9">
        <v>0</v>
      </c>
      <c r="T52" s="9">
        <v>0</v>
      </c>
      <c r="U52" s="9">
        <v>0</v>
      </c>
      <c r="V52" s="9">
        <v>0</v>
      </c>
      <c r="W52" s="9">
        <v>0</v>
      </c>
      <c r="X52" s="9">
        <v>0</v>
      </c>
      <c r="Y52" s="9">
        <v>0</v>
      </c>
      <c r="Z52" s="9">
        <v>0</v>
      </c>
      <c r="AA52" s="9">
        <v>0</v>
      </c>
      <c r="AB52" s="9">
        <v>0</v>
      </c>
      <c r="AC52" s="9">
        <v>0</v>
      </c>
      <c r="AD52" s="9">
        <v>1</v>
      </c>
      <c r="AE52" s="9">
        <v>0</v>
      </c>
      <c r="AF52" s="9">
        <v>0</v>
      </c>
      <c r="AG52" s="9">
        <v>0</v>
      </c>
      <c r="AH52" s="9">
        <v>0</v>
      </c>
      <c r="AI52" s="9">
        <v>0</v>
      </c>
      <c r="AJ52" s="9">
        <v>0</v>
      </c>
      <c r="AK52" s="9">
        <v>0</v>
      </c>
      <c r="AL52" s="9">
        <v>0</v>
      </c>
      <c r="AM52" s="9">
        <v>0</v>
      </c>
      <c r="AN52" s="9">
        <v>0</v>
      </c>
      <c r="AO52" s="9">
        <v>0</v>
      </c>
      <c r="AP52" s="9">
        <v>0</v>
      </c>
      <c r="AQ52" s="9">
        <v>0</v>
      </c>
      <c r="AR52" s="9">
        <v>0</v>
      </c>
      <c r="AS52" s="9">
        <v>0</v>
      </c>
      <c r="AT52" s="9">
        <v>0</v>
      </c>
      <c r="AU52" s="9">
        <v>0</v>
      </c>
      <c r="AV52" s="9">
        <v>0</v>
      </c>
      <c r="AW52" s="9">
        <v>0</v>
      </c>
      <c r="AX52" s="9">
        <v>0</v>
      </c>
      <c r="AY52" s="9">
        <v>0</v>
      </c>
      <c r="AZ52" s="9">
        <v>0</v>
      </c>
      <c r="BA52" s="9">
        <v>0</v>
      </c>
      <c r="BB52" s="9">
        <v>0</v>
      </c>
      <c r="BC52" s="9">
        <v>0</v>
      </c>
      <c r="BD52" s="9">
        <v>0</v>
      </c>
      <c r="BE52" s="9">
        <v>0</v>
      </c>
      <c r="BF52" s="9">
        <v>0</v>
      </c>
      <c r="BG52" s="9">
        <v>0</v>
      </c>
      <c r="BH52" s="9">
        <v>0</v>
      </c>
      <c r="BI52" s="9">
        <v>0</v>
      </c>
      <c r="BJ52" s="9">
        <v>0</v>
      </c>
      <c r="BK52" s="9">
        <v>0</v>
      </c>
      <c r="BL52" s="9">
        <v>0</v>
      </c>
      <c r="BM52" s="9">
        <v>0</v>
      </c>
      <c r="BN52" s="9">
        <v>0</v>
      </c>
      <c r="BO52" s="9">
        <v>0</v>
      </c>
      <c r="BP52" s="9">
        <v>0</v>
      </c>
      <c r="BQ52" s="9">
        <v>0</v>
      </c>
      <c r="BR52" s="9">
        <v>0</v>
      </c>
      <c r="BS52" s="9">
        <v>0</v>
      </c>
      <c r="BT52" s="9">
        <v>0</v>
      </c>
      <c r="BU52" s="9">
        <v>0</v>
      </c>
      <c r="BV52" s="9">
        <v>0</v>
      </c>
      <c r="BW52" s="9">
        <v>0</v>
      </c>
      <c r="BX52" s="9">
        <v>0</v>
      </c>
      <c r="BY52" s="9">
        <v>0</v>
      </c>
      <c r="BZ52" s="9">
        <v>0</v>
      </c>
      <c r="CA52" s="9">
        <v>0</v>
      </c>
      <c r="CB52" s="9">
        <v>0</v>
      </c>
      <c r="CC52" s="9">
        <v>0</v>
      </c>
      <c r="CD52" s="9">
        <v>0</v>
      </c>
      <c r="CE52" s="9">
        <v>0</v>
      </c>
      <c r="CF52" s="9">
        <v>0</v>
      </c>
      <c r="CG52" s="9">
        <v>0</v>
      </c>
      <c r="CH52" s="9">
        <v>0</v>
      </c>
      <c r="CI52" s="9">
        <v>0</v>
      </c>
      <c r="CJ52" s="9">
        <v>0</v>
      </c>
      <c r="CK52" s="9">
        <v>0</v>
      </c>
      <c r="CL52" s="9">
        <v>0</v>
      </c>
      <c r="CM52" s="9">
        <v>0</v>
      </c>
      <c r="CN52" s="9">
        <v>0</v>
      </c>
      <c r="CO52" s="9">
        <v>0</v>
      </c>
      <c r="CP52" s="9">
        <v>0</v>
      </c>
      <c r="CQ52" s="9">
        <v>0</v>
      </c>
      <c r="CR52" s="9">
        <v>0</v>
      </c>
      <c r="CS52" s="10">
        <v>0</v>
      </c>
    </row>
    <row r="53" spans="1:97" x14ac:dyDescent="0.35">
      <c r="A53" s="8" t="s">
        <v>0</v>
      </c>
      <c r="B53" s="9" t="s">
        <v>61</v>
      </c>
      <c r="C53" s="9" t="s">
        <v>631</v>
      </c>
      <c r="D53" s="9">
        <f t="shared" si="0"/>
        <v>178</v>
      </c>
      <c r="E53" s="9">
        <v>0</v>
      </c>
      <c r="F53" s="9">
        <v>1</v>
      </c>
      <c r="G53" s="9">
        <v>1</v>
      </c>
      <c r="H53" s="9">
        <v>3</v>
      </c>
      <c r="I53" s="9">
        <v>3</v>
      </c>
      <c r="J53" s="9">
        <v>0</v>
      </c>
      <c r="K53" s="9">
        <v>0</v>
      </c>
      <c r="L53" s="9">
        <v>1</v>
      </c>
      <c r="M53" s="9">
        <v>0</v>
      </c>
      <c r="N53" s="9">
        <v>2</v>
      </c>
      <c r="O53" s="9">
        <v>2</v>
      </c>
      <c r="P53" s="9">
        <v>1</v>
      </c>
      <c r="Q53" s="9">
        <v>1</v>
      </c>
      <c r="R53" s="9">
        <v>2</v>
      </c>
      <c r="S53" s="9">
        <v>0</v>
      </c>
      <c r="T53" s="9">
        <v>0</v>
      </c>
      <c r="U53" s="9">
        <v>2</v>
      </c>
      <c r="V53" s="9">
        <v>1</v>
      </c>
      <c r="W53" s="9">
        <v>1</v>
      </c>
      <c r="X53" s="9">
        <v>1</v>
      </c>
      <c r="Y53" s="9">
        <v>1</v>
      </c>
      <c r="Z53" s="9">
        <v>0</v>
      </c>
      <c r="AA53" s="9">
        <v>0</v>
      </c>
      <c r="AB53" s="9">
        <v>0</v>
      </c>
      <c r="AC53" s="9">
        <v>1</v>
      </c>
      <c r="AD53" s="9">
        <v>2</v>
      </c>
      <c r="AE53" s="9">
        <v>0</v>
      </c>
      <c r="AF53" s="9">
        <v>0</v>
      </c>
      <c r="AG53" s="9">
        <v>0</v>
      </c>
      <c r="AH53" s="9">
        <v>0</v>
      </c>
      <c r="AI53" s="9">
        <v>0</v>
      </c>
      <c r="AJ53" s="9">
        <v>1</v>
      </c>
      <c r="AK53" s="9">
        <v>3</v>
      </c>
      <c r="AL53" s="9">
        <v>0</v>
      </c>
      <c r="AM53" s="9">
        <v>1</v>
      </c>
      <c r="AN53" s="9">
        <v>0</v>
      </c>
      <c r="AO53" s="9">
        <v>0</v>
      </c>
      <c r="AP53" s="9">
        <v>0</v>
      </c>
      <c r="AQ53" s="9">
        <v>0</v>
      </c>
      <c r="AR53" s="9">
        <v>1</v>
      </c>
      <c r="AS53" s="9">
        <v>2</v>
      </c>
      <c r="AT53" s="9">
        <v>2</v>
      </c>
      <c r="AU53" s="9">
        <v>1</v>
      </c>
      <c r="AV53" s="9">
        <v>0</v>
      </c>
      <c r="AW53" s="9">
        <v>3</v>
      </c>
      <c r="AX53" s="9">
        <v>2</v>
      </c>
      <c r="AY53" s="9">
        <v>1</v>
      </c>
      <c r="AZ53" s="9">
        <v>1</v>
      </c>
      <c r="BA53" s="9">
        <v>0</v>
      </c>
      <c r="BB53" s="9">
        <v>0</v>
      </c>
      <c r="BC53" s="9">
        <v>0</v>
      </c>
      <c r="BD53" s="9">
        <v>0</v>
      </c>
      <c r="BE53" s="9">
        <v>0</v>
      </c>
      <c r="BF53" s="9">
        <v>2</v>
      </c>
      <c r="BG53" s="9">
        <v>4</v>
      </c>
      <c r="BH53" s="9">
        <v>2</v>
      </c>
      <c r="BI53" s="9">
        <v>2</v>
      </c>
      <c r="BJ53" s="9">
        <v>5</v>
      </c>
      <c r="BK53" s="9">
        <v>2</v>
      </c>
      <c r="BL53" s="9">
        <v>1</v>
      </c>
      <c r="BM53" s="9">
        <v>4</v>
      </c>
      <c r="BN53" s="9">
        <v>4</v>
      </c>
      <c r="BO53" s="9">
        <v>6</v>
      </c>
      <c r="BP53" s="9">
        <v>2</v>
      </c>
      <c r="BQ53" s="9">
        <v>1</v>
      </c>
      <c r="BR53" s="9">
        <v>3</v>
      </c>
      <c r="BS53" s="9">
        <v>2</v>
      </c>
      <c r="BT53" s="9">
        <v>5</v>
      </c>
      <c r="BU53" s="9">
        <v>2</v>
      </c>
      <c r="BV53" s="9">
        <v>1</v>
      </c>
      <c r="BW53" s="9">
        <v>3</v>
      </c>
      <c r="BX53" s="9">
        <v>4</v>
      </c>
      <c r="BY53" s="9">
        <v>2</v>
      </c>
      <c r="BZ53" s="9">
        <v>4</v>
      </c>
      <c r="CA53" s="9">
        <v>1</v>
      </c>
      <c r="CB53" s="9">
        <v>2</v>
      </c>
      <c r="CC53" s="9">
        <v>0</v>
      </c>
      <c r="CD53" s="9">
        <v>1</v>
      </c>
      <c r="CE53" s="9">
        <v>2</v>
      </c>
      <c r="CF53" s="9">
        <v>2</v>
      </c>
      <c r="CG53" s="9">
        <v>2</v>
      </c>
      <c r="CH53" s="9">
        <v>5</v>
      </c>
      <c r="CI53" s="9">
        <v>7</v>
      </c>
      <c r="CJ53" s="9">
        <v>4</v>
      </c>
      <c r="CK53" s="9">
        <v>6</v>
      </c>
      <c r="CL53" s="9">
        <v>6</v>
      </c>
      <c r="CM53" s="9">
        <v>6</v>
      </c>
      <c r="CN53" s="9">
        <v>3</v>
      </c>
      <c r="CO53" s="9">
        <v>6</v>
      </c>
      <c r="CP53" s="9">
        <v>7</v>
      </c>
      <c r="CQ53" s="9">
        <v>6</v>
      </c>
      <c r="CR53" s="9">
        <v>5</v>
      </c>
      <c r="CS53" s="10">
        <v>2</v>
      </c>
    </row>
    <row r="54" spans="1:97" x14ac:dyDescent="0.35">
      <c r="A54" s="8" t="s">
        <v>0</v>
      </c>
      <c r="B54" s="9" t="s">
        <v>63</v>
      </c>
      <c r="C54" s="9" t="s">
        <v>632</v>
      </c>
      <c r="D54" s="9">
        <f t="shared" si="0"/>
        <v>50</v>
      </c>
      <c r="E54" s="9">
        <v>0</v>
      </c>
      <c r="F54" s="9">
        <v>0</v>
      </c>
      <c r="G54" s="9">
        <v>0</v>
      </c>
      <c r="H54" s="9">
        <v>0</v>
      </c>
      <c r="I54" s="9">
        <v>0</v>
      </c>
      <c r="J54" s="9">
        <v>0</v>
      </c>
      <c r="K54" s="9">
        <v>1</v>
      </c>
      <c r="L54" s="9">
        <v>0</v>
      </c>
      <c r="M54" s="9">
        <v>0</v>
      </c>
      <c r="N54" s="9">
        <v>0</v>
      </c>
      <c r="O54" s="9">
        <v>0</v>
      </c>
      <c r="P54" s="9">
        <v>0</v>
      </c>
      <c r="Q54" s="9">
        <v>0</v>
      </c>
      <c r="R54" s="9">
        <v>0</v>
      </c>
      <c r="S54" s="9">
        <v>0</v>
      </c>
      <c r="T54" s="9">
        <v>0</v>
      </c>
      <c r="U54" s="9">
        <v>0</v>
      </c>
      <c r="V54" s="9">
        <v>0</v>
      </c>
      <c r="W54" s="9">
        <v>0</v>
      </c>
      <c r="X54" s="9">
        <v>0</v>
      </c>
      <c r="Y54" s="9">
        <v>0</v>
      </c>
      <c r="Z54" s="9">
        <v>0</v>
      </c>
      <c r="AA54" s="9">
        <v>0</v>
      </c>
      <c r="AB54" s="9">
        <v>0</v>
      </c>
      <c r="AC54" s="9">
        <v>0</v>
      </c>
      <c r="AD54" s="9">
        <v>0</v>
      </c>
      <c r="AE54" s="9">
        <v>0</v>
      </c>
      <c r="AF54" s="9">
        <v>0</v>
      </c>
      <c r="AG54" s="9">
        <v>0</v>
      </c>
      <c r="AH54" s="9">
        <v>0</v>
      </c>
      <c r="AI54" s="9">
        <v>0</v>
      </c>
      <c r="AJ54" s="9">
        <v>0</v>
      </c>
      <c r="AK54" s="9">
        <v>0</v>
      </c>
      <c r="AL54" s="9">
        <v>0</v>
      </c>
      <c r="AM54" s="9">
        <v>0</v>
      </c>
      <c r="AN54" s="9">
        <v>0</v>
      </c>
      <c r="AO54" s="9">
        <v>0</v>
      </c>
      <c r="AP54" s="9">
        <v>1</v>
      </c>
      <c r="AQ54" s="9">
        <v>0</v>
      </c>
      <c r="AR54" s="9">
        <v>0</v>
      </c>
      <c r="AS54" s="9">
        <v>0</v>
      </c>
      <c r="AT54" s="9">
        <v>0</v>
      </c>
      <c r="AU54" s="9">
        <v>0</v>
      </c>
      <c r="AV54" s="9">
        <v>0</v>
      </c>
      <c r="AW54" s="9">
        <v>1</v>
      </c>
      <c r="AX54" s="9">
        <v>0</v>
      </c>
      <c r="AY54" s="9">
        <v>0</v>
      </c>
      <c r="AZ54" s="9">
        <v>0</v>
      </c>
      <c r="BA54" s="9">
        <v>0</v>
      </c>
      <c r="BB54" s="9">
        <v>2</v>
      </c>
      <c r="BC54" s="9">
        <v>1</v>
      </c>
      <c r="BD54" s="9">
        <v>0</v>
      </c>
      <c r="BE54" s="9">
        <v>1</v>
      </c>
      <c r="BF54" s="9">
        <v>1</v>
      </c>
      <c r="BG54" s="9">
        <v>0</v>
      </c>
      <c r="BH54" s="9">
        <v>0</v>
      </c>
      <c r="BI54" s="9">
        <v>1</v>
      </c>
      <c r="BJ54" s="9">
        <v>0</v>
      </c>
      <c r="BK54" s="9">
        <v>0</v>
      </c>
      <c r="BL54" s="9">
        <v>0</v>
      </c>
      <c r="BM54" s="9">
        <v>0</v>
      </c>
      <c r="BN54" s="9">
        <v>0</v>
      </c>
      <c r="BO54" s="9">
        <v>0</v>
      </c>
      <c r="BP54" s="9">
        <v>0</v>
      </c>
      <c r="BQ54" s="9">
        <v>1</v>
      </c>
      <c r="BR54" s="9">
        <v>0</v>
      </c>
      <c r="BS54" s="9">
        <v>0</v>
      </c>
      <c r="BT54" s="9">
        <v>0</v>
      </c>
      <c r="BU54" s="9">
        <v>0</v>
      </c>
      <c r="BV54" s="9">
        <v>0</v>
      </c>
      <c r="BW54" s="9">
        <v>0</v>
      </c>
      <c r="BX54" s="9">
        <v>2</v>
      </c>
      <c r="BY54" s="9">
        <v>0</v>
      </c>
      <c r="BZ54" s="9">
        <v>0</v>
      </c>
      <c r="CA54" s="9">
        <v>3</v>
      </c>
      <c r="CB54" s="9">
        <v>2</v>
      </c>
      <c r="CC54" s="9">
        <v>2</v>
      </c>
      <c r="CD54" s="9">
        <v>1</v>
      </c>
      <c r="CE54" s="9">
        <v>2</v>
      </c>
      <c r="CF54" s="9">
        <v>1</v>
      </c>
      <c r="CG54" s="9">
        <v>3</v>
      </c>
      <c r="CH54" s="9">
        <v>2</v>
      </c>
      <c r="CI54" s="9">
        <v>4</v>
      </c>
      <c r="CJ54" s="9">
        <v>0</v>
      </c>
      <c r="CK54" s="9">
        <v>1</v>
      </c>
      <c r="CL54" s="9">
        <v>6</v>
      </c>
      <c r="CM54" s="9">
        <v>0</v>
      </c>
      <c r="CN54" s="9">
        <v>5</v>
      </c>
      <c r="CO54" s="9">
        <v>1</v>
      </c>
      <c r="CP54" s="9">
        <v>1</v>
      </c>
      <c r="CQ54" s="9">
        <v>1</v>
      </c>
      <c r="CR54" s="9">
        <v>2</v>
      </c>
      <c r="CS54" s="10">
        <v>1</v>
      </c>
    </row>
    <row r="55" spans="1:97" x14ac:dyDescent="0.35">
      <c r="A55" s="8" t="s">
        <v>0</v>
      </c>
      <c r="B55" s="9" t="s">
        <v>65</v>
      </c>
      <c r="C55" s="9" t="s">
        <v>633</v>
      </c>
      <c r="D55" s="9">
        <f t="shared" si="0"/>
        <v>1</v>
      </c>
      <c r="E55" s="9">
        <v>0</v>
      </c>
      <c r="F55" s="9">
        <v>0</v>
      </c>
      <c r="G55" s="9">
        <v>0</v>
      </c>
      <c r="H55" s="9">
        <v>0</v>
      </c>
      <c r="I55" s="9">
        <v>0</v>
      </c>
      <c r="J55" s="9">
        <v>0</v>
      </c>
      <c r="K55" s="9">
        <v>0</v>
      </c>
      <c r="L55" s="9">
        <v>0</v>
      </c>
      <c r="M55" s="9">
        <v>0</v>
      </c>
      <c r="N55" s="9">
        <v>0</v>
      </c>
      <c r="O55" s="9">
        <v>0</v>
      </c>
      <c r="P55" s="9">
        <v>0</v>
      </c>
      <c r="Q55" s="9">
        <v>0</v>
      </c>
      <c r="R55" s="9">
        <v>0</v>
      </c>
      <c r="S55" s="9">
        <v>0</v>
      </c>
      <c r="T55" s="9">
        <v>0</v>
      </c>
      <c r="U55" s="9">
        <v>0</v>
      </c>
      <c r="V55" s="9">
        <v>0</v>
      </c>
      <c r="W55" s="9">
        <v>0</v>
      </c>
      <c r="X55" s="9">
        <v>0</v>
      </c>
      <c r="Y55" s="9">
        <v>0</v>
      </c>
      <c r="Z55" s="9">
        <v>0</v>
      </c>
      <c r="AA55" s="9">
        <v>0</v>
      </c>
      <c r="AB55" s="9">
        <v>0</v>
      </c>
      <c r="AC55" s="9">
        <v>0</v>
      </c>
      <c r="AD55" s="9">
        <v>0</v>
      </c>
      <c r="AE55" s="9">
        <v>0</v>
      </c>
      <c r="AF55" s="9">
        <v>0</v>
      </c>
      <c r="AG55" s="9">
        <v>0</v>
      </c>
      <c r="AH55" s="9">
        <v>0</v>
      </c>
      <c r="AI55" s="9">
        <v>0</v>
      </c>
      <c r="AJ55" s="9">
        <v>0</v>
      </c>
      <c r="AK55" s="9">
        <v>0</v>
      </c>
      <c r="AL55" s="9">
        <v>0</v>
      </c>
      <c r="AM55" s="9">
        <v>0</v>
      </c>
      <c r="AN55" s="9">
        <v>0</v>
      </c>
      <c r="AO55" s="9">
        <v>0</v>
      </c>
      <c r="AP55" s="9">
        <v>0</v>
      </c>
      <c r="AQ55" s="9">
        <v>0</v>
      </c>
      <c r="AR55" s="9">
        <v>0</v>
      </c>
      <c r="AS55" s="9">
        <v>0</v>
      </c>
      <c r="AT55" s="9">
        <v>0</v>
      </c>
      <c r="AU55" s="9">
        <v>0</v>
      </c>
      <c r="AV55" s="9">
        <v>0</v>
      </c>
      <c r="AW55" s="9">
        <v>0</v>
      </c>
      <c r="AX55" s="9">
        <v>0</v>
      </c>
      <c r="AY55" s="9">
        <v>0</v>
      </c>
      <c r="AZ55" s="9">
        <v>0</v>
      </c>
      <c r="BA55" s="9">
        <v>0</v>
      </c>
      <c r="BB55" s="9">
        <v>0</v>
      </c>
      <c r="BC55" s="9">
        <v>0</v>
      </c>
      <c r="BD55" s="9">
        <v>0</v>
      </c>
      <c r="BE55" s="9">
        <v>0</v>
      </c>
      <c r="BF55" s="9">
        <v>0</v>
      </c>
      <c r="BG55" s="9">
        <v>0</v>
      </c>
      <c r="BH55" s="9">
        <v>0</v>
      </c>
      <c r="BI55" s="9">
        <v>0</v>
      </c>
      <c r="BJ55" s="9">
        <v>0</v>
      </c>
      <c r="BK55" s="9">
        <v>0</v>
      </c>
      <c r="BL55" s="9">
        <v>0</v>
      </c>
      <c r="BM55" s="9">
        <v>0</v>
      </c>
      <c r="BN55" s="9">
        <v>0</v>
      </c>
      <c r="BO55" s="9">
        <v>0</v>
      </c>
      <c r="BP55" s="9">
        <v>0</v>
      </c>
      <c r="BQ55" s="9">
        <v>0</v>
      </c>
      <c r="BR55" s="9">
        <v>0</v>
      </c>
      <c r="BS55" s="9">
        <v>0</v>
      </c>
      <c r="BT55" s="9">
        <v>0</v>
      </c>
      <c r="BU55" s="9">
        <v>0</v>
      </c>
      <c r="BV55" s="9">
        <v>0</v>
      </c>
      <c r="BW55" s="9">
        <v>0</v>
      </c>
      <c r="BX55" s="9">
        <v>0</v>
      </c>
      <c r="BY55" s="9">
        <v>0</v>
      </c>
      <c r="BZ55" s="9">
        <v>0</v>
      </c>
      <c r="CA55" s="9">
        <v>0</v>
      </c>
      <c r="CB55" s="9">
        <v>0</v>
      </c>
      <c r="CC55" s="9">
        <v>0</v>
      </c>
      <c r="CD55" s="9">
        <v>0</v>
      </c>
      <c r="CE55" s="9">
        <v>0</v>
      </c>
      <c r="CF55" s="9">
        <v>0</v>
      </c>
      <c r="CG55" s="9">
        <v>0</v>
      </c>
      <c r="CH55" s="9">
        <v>0</v>
      </c>
      <c r="CI55" s="9">
        <v>0</v>
      </c>
      <c r="CJ55" s="9">
        <v>0</v>
      </c>
      <c r="CK55" s="9">
        <v>0</v>
      </c>
      <c r="CL55" s="9">
        <v>0</v>
      </c>
      <c r="CM55" s="9">
        <v>0</v>
      </c>
      <c r="CN55" s="9">
        <v>0</v>
      </c>
      <c r="CO55" s="9">
        <v>0</v>
      </c>
      <c r="CP55" s="9">
        <v>0</v>
      </c>
      <c r="CQ55" s="9">
        <v>0</v>
      </c>
      <c r="CR55" s="9">
        <v>0</v>
      </c>
      <c r="CS55" s="10">
        <v>1</v>
      </c>
    </row>
    <row r="56" spans="1:97" x14ac:dyDescent="0.35">
      <c r="A56" s="8" t="s">
        <v>0</v>
      </c>
      <c r="B56" s="9" t="s">
        <v>67</v>
      </c>
      <c r="C56" s="9" t="s">
        <v>634</v>
      </c>
      <c r="D56" s="9">
        <f t="shared" si="0"/>
        <v>20</v>
      </c>
      <c r="E56" s="9">
        <v>0</v>
      </c>
      <c r="F56" s="9">
        <v>0</v>
      </c>
      <c r="G56" s="9">
        <v>0</v>
      </c>
      <c r="H56" s="9">
        <v>0</v>
      </c>
      <c r="I56" s="9">
        <v>0</v>
      </c>
      <c r="J56" s="9">
        <v>0</v>
      </c>
      <c r="K56" s="9">
        <v>0</v>
      </c>
      <c r="L56" s="9">
        <v>0</v>
      </c>
      <c r="M56" s="9">
        <v>0</v>
      </c>
      <c r="N56" s="9">
        <v>0</v>
      </c>
      <c r="O56" s="9">
        <v>0</v>
      </c>
      <c r="P56" s="9">
        <v>0</v>
      </c>
      <c r="Q56" s="9">
        <v>0</v>
      </c>
      <c r="R56" s="9">
        <v>0</v>
      </c>
      <c r="S56" s="9">
        <v>0</v>
      </c>
      <c r="T56" s="9">
        <v>0</v>
      </c>
      <c r="U56" s="9">
        <v>0</v>
      </c>
      <c r="V56" s="9">
        <v>0</v>
      </c>
      <c r="W56" s="9">
        <v>0</v>
      </c>
      <c r="X56" s="9">
        <v>0</v>
      </c>
      <c r="Y56" s="9">
        <v>0</v>
      </c>
      <c r="Z56" s="9">
        <v>0</v>
      </c>
      <c r="AA56" s="9">
        <v>0</v>
      </c>
      <c r="AB56" s="9">
        <v>0</v>
      </c>
      <c r="AC56" s="9">
        <v>0</v>
      </c>
      <c r="AD56" s="9">
        <v>0</v>
      </c>
      <c r="AE56" s="9">
        <v>0</v>
      </c>
      <c r="AF56" s="9">
        <v>0</v>
      </c>
      <c r="AG56" s="9">
        <v>0</v>
      </c>
      <c r="AH56" s="9">
        <v>0</v>
      </c>
      <c r="AI56" s="9">
        <v>0</v>
      </c>
      <c r="AJ56" s="9">
        <v>0</v>
      </c>
      <c r="AK56" s="9">
        <v>0</v>
      </c>
      <c r="AL56" s="9">
        <v>0</v>
      </c>
      <c r="AM56" s="9">
        <v>0</v>
      </c>
      <c r="AN56" s="9">
        <v>0</v>
      </c>
      <c r="AO56" s="9">
        <v>0</v>
      </c>
      <c r="AP56" s="9">
        <v>0</v>
      </c>
      <c r="AQ56" s="9">
        <v>0</v>
      </c>
      <c r="AR56" s="9">
        <v>0</v>
      </c>
      <c r="AS56" s="9">
        <v>0</v>
      </c>
      <c r="AT56" s="9">
        <v>0</v>
      </c>
      <c r="AU56" s="9">
        <v>0</v>
      </c>
      <c r="AV56" s="9">
        <v>0</v>
      </c>
      <c r="AW56" s="9">
        <v>0</v>
      </c>
      <c r="AX56" s="9">
        <v>0</v>
      </c>
      <c r="AY56" s="9">
        <v>0</v>
      </c>
      <c r="AZ56" s="9">
        <v>0</v>
      </c>
      <c r="BA56" s="9">
        <v>0</v>
      </c>
      <c r="BB56" s="9">
        <v>0</v>
      </c>
      <c r="BC56" s="9">
        <v>0</v>
      </c>
      <c r="BD56" s="9">
        <v>0</v>
      </c>
      <c r="BE56" s="9">
        <v>0</v>
      </c>
      <c r="BF56" s="9">
        <v>0</v>
      </c>
      <c r="BG56" s="9">
        <v>0</v>
      </c>
      <c r="BH56" s="9">
        <v>0</v>
      </c>
      <c r="BI56" s="9">
        <v>0</v>
      </c>
      <c r="BJ56" s="9">
        <v>0</v>
      </c>
      <c r="BK56" s="9">
        <v>0</v>
      </c>
      <c r="BL56" s="9">
        <v>0</v>
      </c>
      <c r="BM56" s="9">
        <v>0</v>
      </c>
      <c r="BN56" s="9">
        <v>0</v>
      </c>
      <c r="BO56" s="9">
        <v>0</v>
      </c>
      <c r="BP56" s="9">
        <v>0</v>
      </c>
      <c r="BQ56" s="9">
        <v>0</v>
      </c>
      <c r="BR56" s="9">
        <v>0</v>
      </c>
      <c r="BS56" s="9">
        <v>0</v>
      </c>
      <c r="BT56" s="9">
        <v>0</v>
      </c>
      <c r="BU56" s="9">
        <v>0</v>
      </c>
      <c r="BV56" s="9">
        <v>0</v>
      </c>
      <c r="BW56" s="9">
        <v>0</v>
      </c>
      <c r="BX56" s="9">
        <v>0</v>
      </c>
      <c r="BY56" s="9">
        <v>0</v>
      </c>
      <c r="BZ56" s="9">
        <v>0</v>
      </c>
      <c r="CA56" s="9">
        <v>0</v>
      </c>
      <c r="CB56" s="9">
        <v>2</v>
      </c>
      <c r="CC56" s="9">
        <v>0</v>
      </c>
      <c r="CD56" s="9">
        <v>0</v>
      </c>
      <c r="CE56" s="9">
        <v>0</v>
      </c>
      <c r="CF56" s="9">
        <v>1</v>
      </c>
      <c r="CG56" s="9">
        <v>1</v>
      </c>
      <c r="CH56" s="9">
        <v>0</v>
      </c>
      <c r="CI56" s="9">
        <v>2</v>
      </c>
      <c r="CJ56" s="9">
        <v>2</v>
      </c>
      <c r="CK56" s="9">
        <v>1</v>
      </c>
      <c r="CL56" s="9">
        <v>3</v>
      </c>
      <c r="CM56" s="9">
        <v>0</v>
      </c>
      <c r="CN56" s="9">
        <v>2</v>
      </c>
      <c r="CO56" s="9">
        <v>1</v>
      </c>
      <c r="CP56" s="9">
        <v>2</v>
      </c>
      <c r="CQ56" s="9">
        <v>3</v>
      </c>
      <c r="CR56" s="9">
        <v>0</v>
      </c>
      <c r="CS56" s="10">
        <v>0</v>
      </c>
    </row>
    <row r="57" spans="1:97" x14ac:dyDescent="0.35">
      <c r="A57" s="8" t="s">
        <v>0</v>
      </c>
      <c r="B57" s="9" t="s">
        <v>69</v>
      </c>
      <c r="C57" s="9" t="s">
        <v>635</v>
      </c>
      <c r="D57" s="9">
        <f t="shared" si="0"/>
        <v>9</v>
      </c>
      <c r="E57" s="9">
        <v>0</v>
      </c>
      <c r="F57" s="9">
        <v>1</v>
      </c>
      <c r="G57" s="9">
        <v>0</v>
      </c>
      <c r="H57" s="9">
        <v>0</v>
      </c>
      <c r="I57" s="9">
        <v>0</v>
      </c>
      <c r="J57" s="9">
        <v>0</v>
      </c>
      <c r="K57" s="9">
        <v>0</v>
      </c>
      <c r="L57" s="9">
        <v>0</v>
      </c>
      <c r="M57" s="9">
        <v>1</v>
      </c>
      <c r="N57" s="9">
        <v>0</v>
      </c>
      <c r="O57" s="9">
        <v>0</v>
      </c>
      <c r="P57" s="9">
        <v>0</v>
      </c>
      <c r="Q57" s="9">
        <v>0</v>
      </c>
      <c r="R57" s="9">
        <v>0</v>
      </c>
      <c r="S57" s="9">
        <v>0</v>
      </c>
      <c r="T57" s="9">
        <v>0</v>
      </c>
      <c r="U57" s="9">
        <v>0</v>
      </c>
      <c r="V57" s="9">
        <v>0</v>
      </c>
      <c r="W57" s="9">
        <v>0</v>
      </c>
      <c r="X57" s="9">
        <v>0</v>
      </c>
      <c r="Y57" s="9">
        <v>0</v>
      </c>
      <c r="Z57" s="9">
        <v>0</v>
      </c>
      <c r="AA57" s="9">
        <v>0</v>
      </c>
      <c r="AB57" s="9">
        <v>0</v>
      </c>
      <c r="AC57" s="9">
        <v>0</v>
      </c>
      <c r="AD57" s="9">
        <v>0</v>
      </c>
      <c r="AE57" s="9">
        <v>1</v>
      </c>
      <c r="AF57" s="9">
        <v>0</v>
      </c>
      <c r="AG57" s="9">
        <v>0</v>
      </c>
      <c r="AH57" s="9">
        <v>0</v>
      </c>
      <c r="AI57" s="9">
        <v>0</v>
      </c>
      <c r="AJ57" s="9">
        <v>0</v>
      </c>
      <c r="AK57" s="9">
        <v>0</v>
      </c>
      <c r="AL57" s="9">
        <v>0</v>
      </c>
      <c r="AM57" s="9">
        <v>0</v>
      </c>
      <c r="AN57" s="9">
        <v>0</v>
      </c>
      <c r="AO57" s="9">
        <v>0</v>
      </c>
      <c r="AP57" s="9">
        <v>0</v>
      </c>
      <c r="AQ57" s="9">
        <v>0</v>
      </c>
      <c r="AR57" s="9">
        <v>0</v>
      </c>
      <c r="AS57" s="9">
        <v>0</v>
      </c>
      <c r="AT57" s="9">
        <v>0</v>
      </c>
      <c r="AU57" s="9">
        <v>0</v>
      </c>
      <c r="AV57" s="9">
        <v>0</v>
      </c>
      <c r="AW57" s="9">
        <v>0</v>
      </c>
      <c r="AX57" s="9">
        <v>0</v>
      </c>
      <c r="AY57" s="9">
        <v>0</v>
      </c>
      <c r="AZ57" s="9">
        <v>0</v>
      </c>
      <c r="BA57" s="9">
        <v>0</v>
      </c>
      <c r="BB57" s="9">
        <v>0</v>
      </c>
      <c r="BC57" s="9">
        <v>0</v>
      </c>
      <c r="BD57" s="9">
        <v>0</v>
      </c>
      <c r="BE57" s="9">
        <v>0</v>
      </c>
      <c r="BF57" s="9">
        <v>0</v>
      </c>
      <c r="BG57" s="9">
        <v>0</v>
      </c>
      <c r="BH57" s="9">
        <v>0</v>
      </c>
      <c r="BI57" s="9">
        <v>0</v>
      </c>
      <c r="BJ57" s="9">
        <v>0</v>
      </c>
      <c r="BK57" s="9">
        <v>0</v>
      </c>
      <c r="BL57" s="9">
        <v>0</v>
      </c>
      <c r="BM57" s="9">
        <v>0</v>
      </c>
      <c r="BN57" s="9">
        <v>0</v>
      </c>
      <c r="BO57" s="9">
        <v>0</v>
      </c>
      <c r="BP57" s="9">
        <v>0</v>
      </c>
      <c r="BQ57" s="9">
        <v>0</v>
      </c>
      <c r="BR57" s="9">
        <v>0</v>
      </c>
      <c r="BS57" s="9">
        <v>0</v>
      </c>
      <c r="BT57" s="9">
        <v>0</v>
      </c>
      <c r="BU57" s="9">
        <v>0</v>
      </c>
      <c r="BV57" s="9">
        <v>0</v>
      </c>
      <c r="BW57" s="9">
        <v>0</v>
      </c>
      <c r="BX57" s="9">
        <v>0</v>
      </c>
      <c r="BY57" s="9">
        <v>0</v>
      </c>
      <c r="BZ57" s="9">
        <v>0</v>
      </c>
      <c r="CA57" s="9">
        <v>0</v>
      </c>
      <c r="CB57" s="9">
        <v>0</v>
      </c>
      <c r="CC57" s="9">
        <v>1</v>
      </c>
      <c r="CD57" s="9">
        <v>0</v>
      </c>
      <c r="CE57" s="9">
        <v>0</v>
      </c>
      <c r="CF57" s="9">
        <v>0</v>
      </c>
      <c r="CG57" s="9">
        <v>0</v>
      </c>
      <c r="CH57" s="9">
        <v>0</v>
      </c>
      <c r="CI57" s="9">
        <v>0</v>
      </c>
      <c r="CJ57" s="9">
        <v>0</v>
      </c>
      <c r="CK57" s="9">
        <v>1</v>
      </c>
      <c r="CL57" s="9">
        <v>0</v>
      </c>
      <c r="CM57" s="9">
        <v>1</v>
      </c>
      <c r="CN57" s="9">
        <v>1</v>
      </c>
      <c r="CO57" s="9">
        <v>0</v>
      </c>
      <c r="CP57" s="9">
        <v>0</v>
      </c>
      <c r="CQ57" s="9">
        <v>2</v>
      </c>
      <c r="CR57" s="9">
        <v>0</v>
      </c>
      <c r="CS57" s="10">
        <v>0</v>
      </c>
    </row>
    <row r="58" spans="1:97" x14ac:dyDescent="0.35">
      <c r="A58" s="8" t="s">
        <v>0</v>
      </c>
      <c r="B58" s="9" t="s">
        <v>71</v>
      </c>
      <c r="C58" s="9" t="s">
        <v>636</v>
      </c>
      <c r="D58" s="9">
        <f t="shared" si="0"/>
        <v>0</v>
      </c>
      <c r="E58" s="9">
        <v>0</v>
      </c>
      <c r="F58" s="9">
        <v>0</v>
      </c>
      <c r="G58" s="9">
        <v>0</v>
      </c>
      <c r="H58" s="9">
        <v>0</v>
      </c>
      <c r="I58" s="9">
        <v>0</v>
      </c>
      <c r="J58" s="9">
        <v>0</v>
      </c>
      <c r="K58" s="9">
        <v>0</v>
      </c>
      <c r="L58" s="9">
        <v>0</v>
      </c>
      <c r="M58" s="9">
        <v>0</v>
      </c>
      <c r="N58" s="9">
        <v>0</v>
      </c>
      <c r="O58" s="9">
        <v>0</v>
      </c>
      <c r="P58" s="9">
        <v>0</v>
      </c>
      <c r="Q58" s="9">
        <v>0</v>
      </c>
      <c r="R58" s="9">
        <v>0</v>
      </c>
      <c r="S58" s="9">
        <v>0</v>
      </c>
      <c r="T58" s="9">
        <v>0</v>
      </c>
      <c r="U58" s="9">
        <v>0</v>
      </c>
      <c r="V58" s="9">
        <v>0</v>
      </c>
      <c r="W58" s="9">
        <v>0</v>
      </c>
      <c r="X58" s="9">
        <v>0</v>
      </c>
      <c r="Y58" s="9">
        <v>0</v>
      </c>
      <c r="Z58" s="9">
        <v>0</v>
      </c>
      <c r="AA58" s="9">
        <v>0</v>
      </c>
      <c r="AB58" s="9">
        <v>0</v>
      </c>
      <c r="AC58" s="9">
        <v>0</v>
      </c>
      <c r="AD58" s="9">
        <v>0</v>
      </c>
      <c r="AE58" s="9">
        <v>0</v>
      </c>
      <c r="AF58" s="9">
        <v>0</v>
      </c>
      <c r="AG58" s="9">
        <v>0</v>
      </c>
      <c r="AH58" s="9">
        <v>0</v>
      </c>
      <c r="AI58" s="9">
        <v>0</v>
      </c>
      <c r="AJ58" s="9">
        <v>0</v>
      </c>
      <c r="AK58" s="9">
        <v>0</v>
      </c>
      <c r="AL58" s="9">
        <v>0</v>
      </c>
      <c r="AM58" s="9">
        <v>0</v>
      </c>
      <c r="AN58" s="9">
        <v>0</v>
      </c>
      <c r="AO58" s="9">
        <v>0</v>
      </c>
      <c r="AP58" s="9">
        <v>0</v>
      </c>
      <c r="AQ58" s="9">
        <v>0</v>
      </c>
      <c r="AR58" s="9">
        <v>0</v>
      </c>
      <c r="AS58" s="9">
        <v>0</v>
      </c>
      <c r="AT58" s="9">
        <v>0</v>
      </c>
      <c r="AU58" s="9">
        <v>0</v>
      </c>
      <c r="AV58" s="9">
        <v>0</v>
      </c>
      <c r="AW58" s="9">
        <v>0</v>
      </c>
      <c r="AX58" s="9">
        <v>0</v>
      </c>
      <c r="AY58" s="9">
        <v>0</v>
      </c>
      <c r="AZ58" s="9">
        <v>0</v>
      </c>
      <c r="BA58" s="9">
        <v>0</v>
      </c>
      <c r="BB58" s="9">
        <v>0</v>
      </c>
      <c r="BC58" s="9">
        <v>0</v>
      </c>
      <c r="BD58" s="9">
        <v>0</v>
      </c>
      <c r="BE58" s="9">
        <v>0</v>
      </c>
      <c r="BF58" s="9">
        <v>0</v>
      </c>
      <c r="BG58" s="9">
        <v>0</v>
      </c>
      <c r="BH58" s="9">
        <v>0</v>
      </c>
      <c r="BI58" s="9">
        <v>0</v>
      </c>
      <c r="BJ58" s="9">
        <v>0</v>
      </c>
      <c r="BK58" s="9">
        <v>0</v>
      </c>
      <c r="BL58" s="9">
        <v>0</v>
      </c>
      <c r="BM58" s="9">
        <v>0</v>
      </c>
      <c r="BN58" s="9">
        <v>0</v>
      </c>
      <c r="BO58" s="9">
        <v>0</v>
      </c>
      <c r="BP58" s="9">
        <v>0</v>
      </c>
      <c r="BQ58" s="9">
        <v>0</v>
      </c>
      <c r="BR58" s="9">
        <v>0</v>
      </c>
      <c r="BS58" s="9">
        <v>0</v>
      </c>
      <c r="BT58" s="9">
        <v>0</v>
      </c>
      <c r="BU58" s="9">
        <v>0</v>
      </c>
      <c r="BV58" s="9">
        <v>0</v>
      </c>
      <c r="BW58" s="9">
        <v>0</v>
      </c>
      <c r="BX58" s="9">
        <v>0</v>
      </c>
      <c r="BY58" s="9">
        <v>0</v>
      </c>
      <c r="BZ58" s="9">
        <v>0</v>
      </c>
      <c r="CA58" s="9">
        <v>0</v>
      </c>
      <c r="CB58" s="9">
        <v>0</v>
      </c>
      <c r="CC58" s="9">
        <v>0</v>
      </c>
      <c r="CD58" s="9">
        <v>0</v>
      </c>
      <c r="CE58" s="9">
        <v>0</v>
      </c>
      <c r="CF58" s="9">
        <v>0</v>
      </c>
      <c r="CG58" s="9">
        <v>0</v>
      </c>
      <c r="CH58" s="9">
        <v>0</v>
      </c>
      <c r="CI58" s="9">
        <v>0</v>
      </c>
      <c r="CJ58" s="9">
        <v>0</v>
      </c>
      <c r="CK58" s="9">
        <v>0</v>
      </c>
      <c r="CL58" s="9">
        <v>0</v>
      </c>
      <c r="CM58" s="9">
        <v>0</v>
      </c>
      <c r="CN58" s="9">
        <v>0</v>
      </c>
      <c r="CO58" s="9">
        <v>0</v>
      </c>
      <c r="CP58" s="9">
        <v>0</v>
      </c>
      <c r="CQ58" s="9">
        <v>0</v>
      </c>
      <c r="CR58" s="9">
        <v>0</v>
      </c>
      <c r="CS58" s="10">
        <v>0</v>
      </c>
    </row>
    <row r="59" spans="1:97" x14ac:dyDescent="0.35">
      <c r="A59" s="8" t="s">
        <v>73</v>
      </c>
      <c r="B59" s="9" t="s">
        <v>74</v>
      </c>
      <c r="C59" s="9" t="s">
        <v>637</v>
      </c>
      <c r="D59" s="9">
        <f t="shared" si="0"/>
        <v>0</v>
      </c>
      <c r="E59" s="9">
        <v>0</v>
      </c>
      <c r="F59" s="9">
        <v>0</v>
      </c>
      <c r="G59" s="9">
        <v>0</v>
      </c>
      <c r="H59" s="9">
        <v>0</v>
      </c>
      <c r="I59" s="9">
        <v>0</v>
      </c>
      <c r="J59" s="9">
        <v>0</v>
      </c>
      <c r="K59" s="9">
        <v>0</v>
      </c>
      <c r="L59" s="9">
        <v>0</v>
      </c>
      <c r="M59" s="9">
        <v>0</v>
      </c>
      <c r="N59" s="9">
        <v>0</v>
      </c>
      <c r="O59" s="9">
        <v>0</v>
      </c>
      <c r="P59" s="9">
        <v>0</v>
      </c>
      <c r="Q59" s="9">
        <v>0</v>
      </c>
      <c r="R59" s="9">
        <v>0</v>
      </c>
      <c r="S59" s="9">
        <v>0</v>
      </c>
      <c r="T59" s="9">
        <v>0</v>
      </c>
      <c r="U59" s="9">
        <v>0</v>
      </c>
      <c r="V59" s="9">
        <v>0</v>
      </c>
      <c r="W59" s="9">
        <v>0</v>
      </c>
      <c r="X59" s="9">
        <v>0</v>
      </c>
      <c r="Y59" s="9">
        <v>0</v>
      </c>
      <c r="Z59" s="9">
        <v>0</v>
      </c>
      <c r="AA59" s="9">
        <v>0</v>
      </c>
      <c r="AB59" s="9">
        <v>0</v>
      </c>
      <c r="AC59" s="9">
        <v>0</v>
      </c>
      <c r="AD59" s="9">
        <v>0</v>
      </c>
      <c r="AE59" s="9">
        <v>0</v>
      </c>
      <c r="AF59" s="9">
        <v>0</v>
      </c>
      <c r="AG59" s="9">
        <v>0</v>
      </c>
      <c r="AH59" s="9">
        <v>0</v>
      </c>
      <c r="AI59" s="9">
        <v>0</v>
      </c>
      <c r="AJ59" s="9">
        <v>0</v>
      </c>
      <c r="AK59" s="9">
        <v>0</v>
      </c>
      <c r="AL59" s="9">
        <v>0</v>
      </c>
      <c r="AM59" s="9">
        <v>0</v>
      </c>
      <c r="AN59" s="9">
        <v>0</v>
      </c>
      <c r="AO59" s="9">
        <v>0</v>
      </c>
      <c r="AP59" s="9">
        <v>0</v>
      </c>
      <c r="AQ59" s="9">
        <v>0</v>
      </c>
      <c r="AR59" s="9">
        <v>0</v>
      </c>
      <c r="AS59" s="9">
        <v>0</v>
      </c>
      <c r="AT59" s="9">
        <v>0</v>
      </c>
      <c r="AU59" s="9">
        <v>0</v>
      </c>
      <c r="AV59" s="9">
        <v>0</v>
      </c>
      <c r="AW59" s="9">
        <v>0</v>
      </c>
      <c r="AX59" s="9">
        <v>0</v>
      </c>
      <c r="AY59" s="9">
        <v>0</v>
      </c>
      <c r="AZ59" s="9">
        <v>0</v>
      </c>
      <c r="BA59" s="9">
        <v>0</v>
      </c>
      <c r="BB59" s="9">
        <v>0</v>
      </c>
      <c r="BC59" s="9">
        <v>0</v>
      </c>
      <c r="BD59" s="9">
        <v>0</v>
      </c>
      <c r="BE59" s="9">
        <v>0</v>
      </c>
      <c r="BF59" s="9">
        <v>0</v>
      </c>
      <c r="BG59" s="9">
        <v>0</v>
      </c>
      <c r="BH59" s="9">
        <v>0</v>
      </c>
      <c r="BI59" s="9">
        <v>0</v>
      </c>
      <c r="BJ59" s="9">
        <v>0</v>
      </c>
      <c r="BK59" s="9">
        <v>0</v>
      </c>
      <c r="BL59" s="9">
        <v>0</v>
      </c>
      <c r="BM59" s="9">
        <v>0</v>
      </c>
      <c r="BN59" s="9">
        <v>0</v>
      </c>
      <c r="BO59" s="9">
        <v>0</v>
      </c>
      <c r="BP59" s="9">
        <v>0</v>
      </c>
      <c r="BQ59" s="9">
        <v>0</v>
      </c>
      <c r="BR59" s="9">
        <v>0</v>
      </c>
      <c r="BS59" s="9">
        <v>0</v>
      </c>
      <c r="BT59" s="9">
        <v>0</v>
      </c>
      <c r="BU59" s="9">
        <v>0</v>
      </c>
      <c r="BV59" s="9">
        <v>0</v>
      </c>
      <c r="BW59" s="9">
        <v>0</v>
      </c>
      <c r="BX59" s="9">
        <v>0</v>
      </c>
      <c r="BY59" s="9">
        <v>0</v>
      </c>
      <c r="BZ59" s="9">
        <v>0</v>
      </c>
      <c r="CA59" s="9">
        <v>0</v>
      </c>
      <c r="CB59" s="9">
        <v>0</v>
      </c>
      <c r="CC59" s="9">
        <v>0</v>
      </c>
      <c r="CD59" s="9">
        <v>0</v>
      </c>
      <c r="CE59" s="9">
        <v>0</v>
      </c>
      <c r="CF59" s="9">
        <v>0</v>
      </c>
      <c r="CG59" s="9">
        <v>0</v>
      </c>
      <c r="CH59" s="9">
        <v>0</v>
      </c>
      <c r="CI59" s="9">
        <v>0</v>
      </c>
      <c r="CJ59" s="9">
        <v>0</v>
      </c>
      <c r="CK59" s="9">
        <v>0</v>
      </c>
      <c r="CL59" s="9">
        <v>0</v>
      </c>
      <c r="CM59" s="9">
        <v>0</v>
      </c>
      <c r="CN59" s="9">
        <v>0</v>
      </c>
      <c r="CO59" s="9">
        <v>0</v>
      </c>
      <c r="CP59" s="9">
        <v>0</v>
      </c>
      <c r="CQ59" s="9">
        <v>0</v>
      </c>
      <c r="CR59" s="9">
        <v>0</v>
      </c>
      <c r="CS59" s="10">
        <v>0</v>
      </c>
    </row>
    <row r="60" spans="1:97" x14ac:dyDescent="0.35">
      <c r="A60" s="8" t="s">
        <v>73</v>
      </c>
      <c r="B60" s="9" t="s">
        <v>76</v>
      </c>
      <c r="C60" s="9" t="s">
        <v>638</v>
      </c>
      <c r="D60" s="9">
        <f t="shared" si="0"/>
        <v>0</v>
      </c>
      <c r="E60" s="9">
        <v>0</v>
      </c>
      <c r="F60" s="9">
        <v>0</v>
      </c>
      <c r="G60" s="9">
        <v>0</v>
      </c>
      <c r="H60" s="9">
        <v>0</v>
      </c>
      <c r="I60" s="9">
        <v>0</v>
      </c>
      <c r="J60" s="9">
        <v>0</v>
      </c>
      <c r="K60" s="9">
        <v>0</v>
      </c>
      <c r="L60" s="9">
        <v>0</v>
      </c>
      <c r="M60" s="9">
        <v>0</v>
      </c>
      <c r="N60" s="9">
        <v>0</v>
      </c>
      <c r="O60" s="9">
        <v>0</v>
      </c>
      <c r="P60" s="9">
        <v>0</v>
      </c>
      <c r="Q60" s="9">
        <v>0</v>
      </c>
      <c r="R60" s="9">
        <v>0</v>
      </c>
      <c r="S60" s="9">
        <v>0</v>
      </c>
      <c r="T60" s="9">
        <v>0</v>
      </c>
      <c r="U60" s="9">
        <v>0</v>
      </c>
      <c r="V60" s="9">
        <v>0</v>
      </c>
      <c r="W60" s="9">
        <v>0</v>
      </c>
      <c r="X60" s="9">
        <v>0</v>
      </c>
      <c r="Y60" s="9">
        <v>0</v>
      </c>
      <c r="Z60" s="9">
        <v>0</v>
      </c>
      <c r="AA60" s="9">
        <v>0</v>
      </c>
      <c r="AB60" s="9">
        <v>0</v>
      </c>
      <c r="AC60" s="9">
        <v>0</v>
      </c>
      <c r="AD60" s="9">
        <v>0</v>
      </c>
      <c r="AE60" s="9">
        <v>0</v>
      </c>
      <c r="AF60" s="9">
        <v>0</v>
      </c>
      <c r="AG60" s="9">
        <v>0</v>
      </c>
      <c r="AH60" s="9">
        <v>0</v>
      </c>
      <c r="AI60" s="9">
        <v>0</v>
      </c>
      <c r="AJ60" s="9">
        <v>0</v>
      </c>
      <c r="AK60" s="9">
        <v>0</v>
      </c>
      <c r="AL60" s="9">
        <v>0</v>
      </c>
      <c r="AM60" s="9">
        <v>0</v>
      </c>
      <c r="AN60" s="9">
        <v>0</v>
      </c>
      <c r="AO60" s="9">
        <v>0</v>
      </c>
      <c r="AP60" s="9">
        <v>0</v>
      </c>
      <c r="AQ60" s="9">
        <v>0</v>
      </c>
      <c r="AR60" s="9">
        <v>0</v>
      </c>
      <c r="AS60" s="9">
        <v>0</v>
      </c>
      <c r="AT60" s="9">
        <v>0</v>
      </c>
      <c r="AU60" s="9">
        <v>0</v>
      </c>
      <c r="AV60" s="9">
        <v>0</v>
      </c>
      <c r="AW60" s="9">
        <v>0</v>
      </c>
      <c r="AX60" s="9">
        <v>0</v>
      </c>
      <c r="AY60" s="9">
        <v>0</v>
      </c>
      <c r="AZ60" s="9">
        <v>0</v>
      </c>
      <c r="BA60" s="9">
        <v>0</v>
      </c>
      <c r="BB60" s="9">
        <v>0</v>
      </c>
      <c r="BC60" s="9">
        <v>0</v>
      </c>
      <c r="BD60" s="9">
        <v>0</v>
      </c>
      <c r="BE60" s="9">
        <v>0</v>
      </c>
      <c r="BF60" s="9">
        <v>0</v>
      </c>
      <c r="BG60" s="9">
        <v>0</v>
      </c>
      <c r="BH60" s="9">
        <v>0</v>
      </c>
      <c r="BI60" s="9">
        <v>0</v>
      </c>
      <c r="BJ60" s="9">
        <v>0</v>
      </c>
      <c r="BK60" s="9">
        <v>0</v>
      </c>
      <c r="BL60" s="9">
        <v>0</v>
      </c>
      <c r="BM60" s="9">
        <v>0</v>
      </c>
      <c r="BN60" s="9">
        <v>0</v>
      </c>
      <c r="BO60" s="9">
        <v>0</v>
      </c>
      <c r="BP60" s="9">
        <v>0</v>
      </c>
      <c r="BQ60" s="9">
        <v>0</v>
      </c>
      <c r="BR60" s="9">
        <v>0</v>
      </c>
      <c r="BS60" s="9">
        <v>0</v>
      </c>
      <c r="BT60" s="9">
        <v>0</v>
      </c>
      <c r="BU60" s="9">
        <v>0</v>
      </c>
      <c r="BV60" s="9">
        <v>0</v>
      </c>
      <c r="BW60" s="9">
        <v>0</v>
      </c>
      <c r="BX60" s="9">
        <v>0</v>
      </c>
      <c r="BY60" s="9">
        <v>0</v>
      </c>
      <c r="BZ60" s="9">
        <v>0</v>
      </c>
      <c r="CA60" s="9">
        <v>0</v>
      </c>
      <c r="CB60" s="9">
        <v>0</v>
      </c>
      <c r="CC60" s="9">
        <v>0</v>
      </c>
      <c r="CD60" s="9">
        <v>0</v>
      </c>
      <c r="CE60" s="9">
        <v>0</v>
      </c>
      <c r="CF60" s="9">
        <v>0</v>
      </c>
      <c r="CG60" s="9">
        <v>0</v>
      </c>
      <c r="CH60" s="9">
        <v>0</v>
      </c>
      <c r="CI60" s="9">
        <v>0</v>
      </c>
      <c r="CJ60" s="9">
        <v>0</v>
      </c>
      <c r="CK60" s="9">
        <v>0</v>
      </c>
      <c r="CL60" s="9">
        <v>0</v>
      </c>
      <c r="CM60" s="9">
        <v>0</v>
      </c>
      <c r="CN60" s="9">
        <v>0</v>
      </c>
      <c r="CO60" s="9">
        <v>0</v>
      </c>
      <c r="CP60" s="9">
        <v>0</v>
      </c>
      <c r="CQ60" s="9">
        <v>0</v>
      </c>
      <c r="CR60" s="9">
        <v>0</v>
      </c>
      <c r="CS60" s="10">
        <v>0</v>
      </c>
    </row>
    <row r="61" spans="1:97" x14ac:dyDescent="0.35">
      <c r="A61" s="8" t="s">
        <v>73</v>
      </c>
      <c r="B61" s="9" t="s">
        <v>639</v>
      </c>
      <c r="C61" s="9" t="s">
        <v>640</v>
      </c>
      <c r="D61" s="9">
        <f t="shared" si="0"/>
        <v>1</v>
      </c>
      <c r="E61" s="9">
        <v>0</v>
      </c>
      <c r="F61" s="9">
        <v>0</v>
      </c>
      <c r="G61" s="9">
        <v>0</v>
      </c>
      <c r="H61" s="9">
        <v>0</v>
      </c>
      <c r="I61" s="9">
        <v>0</v>
      </c>
      <c r="J61" s="9">
        <v>0</v>
      </c>
      <c r="K61" s="9">
        <v>0</v>
      </c>
      <c r="L61" s="9">
        <v>0</v>
      </c>
      <c r="M61" s="9">
        <v>1</v>
      </c>
      <c r="N61" s="9">
        <v>0</v>
      </c>
      <c r="O61" s="9">
        <v>0</v>
      </c>
      <c r="P61" s="9">
        <v>0</v>
      </c>
      <c r="Q61" s="9">
        <v>0</v>
      </c>
      <c r="R61" s="9">
        <v>0</v>
      </c>
      <c r="S61" s="9">
        <v>0</v>
      </c>
      <c r="T61" s="9">
        <v>0</v>
      </c>
      <c r="U61" s="9">
        <v>0</v>
      </c>
      <c r="V61" s="9">
        <v>0</v>
      </c>
      <c r="W61" s="9">
        <v>0</v>
      </c>
      <c r="X61" s="9">
        <v>0</v>
      </c>
      <c r="Y61" s="9">
        <v>0</v>
      </c>
      <c r="Z61" s="9">
        <v>0</v>
      </c>
      <c r="AA61" s="9">
        <v>0</v>
      </c>
      <c r="AB61" s="9">
        <v>0</v>
      </c>
      <c r="AC61" s="9">
        <v>0</v>
      </c>
      <c r="AD61" s="9">
        <v>0</v>
      </c>
      <c r="AE61" s="9">
        <v>0</v>
      </c>
      <c r="AF61" s="9">
        <v>0</v>
      </c>
      <c r="AG61" s="9">
        <v>0</v>
      </c>
      <c r="AH61" s="9">
        <v>0</v>
      </c>
      <c r="AI61" s="9">
        <v>0</v>
      </c>
      <c r="AJ61" s="9">
        <v>0</v>
      </c>
      <c r="AK61" s="9">
        <v>0</v>
      </c>
      <c r="AL61" s="9">
        <v>0</v>
      </c>
      <c r="AM61" s="9">
        <v>0</v>
      </c>
      <c r="AN61" s="9">
        <v>0</v>
      </c>
      <c r="AO61" s="9">
        <v>0</v>
      </c>
      <c r="AP61" s="9">
        <v>0</v>
      </c>
      <c r="AQ61" s="9">
        <v>0</v>
      </c>
      <c r="AR61" s="9">
        <v>0</v>
      </c>
      <c r="AS61" s="9">
        <v>0</v>
      </c>
      <c r="AT61" s="9">
        <v>0</v>
      </c>
      <c r="AU61" s="9">
        <v>0</v>
      </c>
      <c r="AV61" s="9">
        <v>0</v>
      </c>
      <c r="AW61" s="9">
        <v>0</v>
      </c>
      <c r="AX61" s="9">
        <v>0</v>
      </c>
      <c r="AY61" s="9">
        <v>0</v>
      </c>
      <c r="AZ61" s="9">
        <v>0</v>
      </c>
      <c r="BA61" s="9">
        <v>0</v>
      </c>
      <c r="BB61" s="9">
        <v>0</v>
      </c>
      <c r="BC61" s="9">
        <v>0</v>
      </c>
      <c r="BD61" s="9">
        <v>0</v>
      </c>
      <c r="BE61" s="9">
        <v>0</v>
      </c>
      <c r="BF61" s="9">
        <v>0</v>
      </c>
      <c r="BG61" s="9">
        <v>0</v>
      </c>
      <c r="BH61" s="9">
        <v>0</v>
      </c>
      <c r="BI61" s="9">
        <v>0</v>
      </c>
      <c r="BJ61" s="9">
        <v>0</v>
      </c>
      <c r="BK61" s="9">
        <v>0</v>
      </c>
      <c r="BL61" s="9">
        <v>0</v>
      </c>
      <c r="BM61" s="9">
        <v>0</v>
      </c>
      <c r="BN61" s="9">
        <v>0</v>
      </c>
      <c r="BO61" s="9">
        <v>0</v>
      </c>
      <c r="BP61" s="9">
        <v>0</v>
      </c>
      <c r="BQ61" s="9">
        <v>0</v>
      </c>
      <c r="BR61" s="9">
        <v>0</v>
      </c>
      <c r="BS61" s="9">
        <v>0</v>
      </c>
      <c r="BT61" s="9">
        <v>0</v>
      </c>
      <c r="BU61" s="9">
        <v>0</v>
      </c>
      <c r="BV61" s="9">
        <v>0</v>
      </c>
      <c r="BW61" s="9">
        <v>0</v>
      </c>
      <c r="BX61" s="9">
        <v>0</v>
      </c>
      <c r="BY61" s="9">
        <v>0</v>
      </c>
      <c r="BZ61" s="9">
        <v>0</v>
      </c>
      <c r="CA61" s="9">
        <v>0</v>
      </c>
      <c r="CB61" s="9">
        <v>0</v>
      </c>
      <c r="CC61" s="9">
        <v>0</v>
      </c>
      <c r="CD61" s="9">
        <v>0</v>
      </c>
      <c r="CE61" s="9">
        <v>0</v>
      </c>
      <c r="CF61" s="9">
        <v>0</v>
      </c>
      <c r="CG61" s="9">
        <v>0</v>
      </c>
      <c r="CH61" s="9">
        <v>0</v>
      </c>
      <c r="CI61" s="9">
        <v>0</v>
      </c>
      <c r="CJ61" s="9">
        <v>0</v>
      </c>
      <c r="CK61" s="9">
        <v>0</v>
      </c>
      <c r="CL61" s="9">
        <v>0</v>
      </c>
      <c r="CM61" s="9">
        <v>0</v>
      </c>
      <c r="CN61" s="9">
        <v>0</v>
      </c>
      <c r="CO61" s="9">
        <v>0</v>
      </c>
      <c r="CP61" s="9">
        <v>0</v>
      </c>
      <c r="CQ61" s="9">
        <v>0</v>
      </c>
      <c r="CR61" s="9">
        <v>0</v>
      </c>
      <c r="CS61" s="10">
        <v>0</v>
      </c>
    </row>
    <row r="62" spans="1:97" x14ac:dyDescent="0.35">
      <c r="A62" s="8" t="s">
        <v>73</v>
      </c>
      <c r="B62" s="9" t="s">
        <v>78</v>
      </c>
      <c r="C62" s="9" t="s">
        <v>641</v>
      </c>
      <c r="D62" s="9">
        <f t="shared" si="0"/>
        <v>0</v>
      </c>
      <c r="E62" s="9">
        <v>0</v>
      </c>
      <c r="F62" s="9">
        <v>0</v>
      </c>
      <c r="G62" s="9">
        <v>0</v>
      </c>
      <c r="H62" s="9">
        <v>0</v>
      </c>
      <c r="I62" s="9">
        <v>0</v>
      </c>
      <c r="J62" s="9">
        <v>0</v>
      </c>
      <c r="K62" s="9">
        <v>0</v>
      </c>
      <c r="L62" s="9">
        <v>0</v>
      </c>
      <c r="M62" s="9">
        <v>0</v>
      </c>
      <c r="N62" s="9">
        <v>0</v>
      </c>
      <c r="O62" s="9">
        <v>0</v>
      </c>
      <c r="P62" s="9">
        <v>0</v>
      </c>
      <c r="Q62" s="9">
        <v>0</v>
      </c>
      <c r="R62" s="9">
        <v>0</v>
      </c>
      <c r="S62" s="9">
        <v>0</v>
      </c>
      <c r="T62" s="9">
        <v>0</v>
      </c>
      <c r="U62" s="9">
        <v>0</v>
      </c>
      <c r="V62" s="9">
        <v>0</v>
      </c>
      <c r="W62" s="9">
        <v>0</v>
      </c>
      <c r="X62" s="9">
        <v>0</v>
      </c>
      <c r="Y62" s="9">
        <v>0</v>
      </c>
      <c r="Z62" s="9">
        <v>0</v>
      </c>
      <c r="AA62" s="9">
        <v>0</v>
      </c>
      <c r="AB62" s="9">
        <v>0</v>
      </c>
      <c r="AC62" s="9">
        <v>0</v>
      </c>
      <c r="AD62" s="9">
        <v>0</v>
      </c>
      <c r="AE62" s="9">
        <v>0</v>
      </c>
      <c r="AF62" s="9">
        <v>0</v>
      </c>
      <c r="AG62" s="9">
        <v>0</v>
      </c>
      <c r="AH62" s="9">
        <v>0</v>
      </c>
      <c r="AI62" s="9">
        <v>0</v>
      </c>
      <c r="AJ62" s="9">
        <v>0</v>
      </c>
      <c r="AK62" s="9">
        <v>0</v>
      </c>
      <c r="AL62" s="9">
        <v>0</v>
      </c>
      <c r="AM62" s="9">
        <v>0</v>
      </c>
      <c r="AN62" s="9">
        <v>0</v>
      </c>
      <c r="AO62" s="9">
        <v>0</v>
      </c>
      <c r="AP62" s="9">
        <v>0</v>
      </c>
      <c r="AQ62" s="9">
        <v>0</v>
      </c>
      <c r="AR62" s="9">
        <v>0</v>
      </c>
      <c r="AS62" s="9">
        <v>0</v>
      </c>
      <c r="AT62" s="9">
        <v>0</v>
      </c>
      <c r="AU62" s="9">
        <v>0</v>
      </c>
      <c r="AV62" s="9">
        <v>0</v>
      </c>
      <c r="AW62" s="9">
        <v>0</v>
      </c>
      <c r="AX62" s="9">
        <v>0</v>
      </c>
      <c r="AY62" s="9">
        <v>0</v>
      </c>
      <c r="AZ62" s="9">
        <v>0</v>
      </c>
      <c r="BA62" s="9">
        <v>0</v>
      </c>
      <c r="BB62" s="9">
        <v>0</v>
      </c>
      <c r="BC62" s="9">
        <v>0</v>
      </c>
      <c r="BD62" s="9">
        <v>0</v>
      </c>
      <c r="BE62" s="9">
        <v>0</v>
      </c>
      <c r="BF62" s="9">
        <v>0</v>
      </c>
      <c r="BG62" s="9">
        <v>0</v>
      </c>
      <c r="BH62" s="9">
        <v>0</v>
      </c>
      <c r="BI62" s="9">
        <v>0</v>
      </c>
      <c r="BJ62" s="9">
        <v>0</v>
      </c>
      <c r="BK62" s="9">
        <v>0</v>
      </c>
      <c r="BL62" s="9">
        <v>0</v>
      </c>
      <c r="BM62" s="9">
        <v>0</v>
      </c>
      <c r="BN62" s="9">
        <v>0</v>
      </c>
      <c r="BO62" s="9">
        <v>0</v>
      </c>
      <c r="BP62" s="9">
        <v>0</v>
      </c>
      <c r="BQ62" s="9">
        <v>0</v>
      </c>
      <c r="BR62" s="9">
        <v>0</v>
      </c>
      <c r="BS62" s="9">
        <v>0</v>
      </c>
      <c r="BT62" s="9">
        <v>0</v>
      </c>
      <c r="BU62" s="9">
        <v>0</v>
      </c>
      <c r="BV62" s="9">
        <v>0</v>
      </c>
      <c r="BW62" s="9">
        <v>0</v>
      </c>
      <c r="BX62" s="9">
        <v>0</v>
      </c>
      <c r="BY62" s="9">
        <v>0</v>
      </c>
      <c r="BZ62" s="9">
        <v>0</v>
      </c>
      <c r="CA62" s="9">
        <v>0</v>
      </c>
      <c r="CB62" s="9">
        <v>0</v>
      </c>
      <c r="CC62" s="9">
        <v>0</v>
      </c>
      <c r="CD62" s="9">
        <v>0</v>
      </c>
      <c r="CE62" s="9">
        <v>0</v>
      </c>
      <c r="CF62" s="9">
        <v>0</v>
      </c>
      <c r="CG62" s="9">
        <v>0</v>
      </c>
      <c r="CH62" s="9">
        <v>0</v>
      </c>
      <c r="CI62" s="9">
        <v>0</v>
      </c>
      <c r="CJ62" s="9">
        <v>0</v>
      </c>
      <c r="CK62" s="9">
        <v>0</v>
      </c>
      <c r="CL62" s="9">
        <v>0</v>
      </c>
      <c r="CM62" s="9">
        <v>0</v>
      </c>
      <c r="CN62" s="9">
        <v>0</v>
      </c>
      <c r="CO62" s="9">
        <v>0</v>
      </c>
      <c r="CP62" s="9">
        <v>0</v>
      </c>
      <c r="CQ62" s="9">
        <v>0</v>
      </c>
      <c r="CR62" s="9">
        <v>0</v>
      </c>
      <c r="CS62" s="10">
        <v>0</v>
      </c>
    </row>
    <row r="63" spans="1:97" x14ac:dyDescent="0.35">
      <c r="A63" s="8" t="s">
        <v>73</v>
      </c>
      <c r="B63" s="9" t="s">
        <v>642</v>
      </c>
      <c r="C63" s="9" t="s">
        <v>643</v>
      </c>
      <c r="D63" s="9">
        <f t="shared" si="0"/>
        <v>0</v>
      </c>
      <c r="E63" s="9">
        <v>0</v>
      </c>
      <c r="F63" s="9">
        <v>0</v>
      </c>
      <c r="G63" s="9">
        <v>0</v>
      </c>
      <c r="H63" s="9">
        <v>0</v>
      </c>
      <c r="I63" s="9">
        <v>0</v>
      </c>
      <c r="J63" s="9">
        <v>0</v>
      </c>
      <c r="K63" s="9">
        <v>0</v>
      </c>
      <c r="L63" s="9">
        <v>0</v>
      </c>
      <c r="M63" s="9">
        <v>0</v>
      </c>
      <c r="N63" s="9">
        <v>0</v>
      </c>
      <c r="O63" s="9">
        <v>0</v>
      </c>
      <c r="P63" s="9">
        <v>0</v>
      </c>
      <c r="Q63" s="9">
        <v>0</v>
      </c>
      <c r="R63" s="9">
        <v>0</v>
      </c>
      <c r="S63" s="9">
        <v>0</v>
      </c>
      <c r="T63" s="9">
        <v>0</v>
      </c>
      <c r="U63" s="9">
        <v>0</v>
      </c>
      <c r="V63" s="9">
        <v>0</v>
      </c>
      <c r="W63" s="9">
        <v>0</v>
      </c>
      <c r="X63" s="9">
        <v>0</v>
      </c>
      <c r="Y63" s="9">
        <v>0</v>
      </c>
      <c r="Z63" s="9">
        <v>0</v>
      </c>
      <c r="AA63" s="9">
        <v>0</v>
      </c>
      <c r="AB63" s="9">
        <v>0</v>
      </c>
      <c r="AC63" s="9">
        <v>0</v>
      </c>
      <c r="AD63" s="9">
        <v>0</v>
      </c>
      <c r="AE63" s="9">
        <v>0</v>
      </c>
      <c r="AF63" s="9">
        <v>0</v>
      </c>
      <c r="AG63" s="9">
        <v>0</v>
      </c>
      <c r="AH63" s="9">
        <v>0</v>
      </c>
      <c r="AI63" s="9">
        <v>0</v>
      </c>
      <c r="AJ63" s="9">
        <v>0</v>
      </c>
      <c r="AK63" s="9">
        <v>0</v>
      </c>
      <c r="AL63" s="9">
        <v>0</v>
      </c>
      <c r="AM63" s="9">
        <v>0</v>
      </c>
      <c r="AN63" s="9">
        <v>0</v>
      </c>
      <c r="AO63" s="9">
        <v>0</v>
      </c>
      <c r="AP63" s="9">
        <v>0</v>
      </c>
      <c r="AQ63" s="9">
        <v>0</v>
      </c>
      <c r="AR63" s="9">
        <v>0</v>
      </c>
      <c r="AS63" s="9">
        <v>0</v>
      </c>
      <c r="AT63" s="9">
        <v>0</v>
      </c>
      <c r="AU63" s="9">
        <v>0</v>
      </c>
      <c r="AV63" s="9">
        <v>0</v>
      </c>
      <c r="AW63" s="9">
        <v>0</v>
      </c>
      <c r="AX63" s="9">
        <v>0</v>
      </c>
      <c r="AY63" s="9">
        <v>0</v>
      </c>
      <c r="AZ63" s="9">
        <v>0</v>
      </c>
      <c r="BA63" s="9">
        <v>0</v>
      </c>
      <c r="BB63" s="9">
        <v>0</v>
      </c>
      <c r="BC63" s="9">
        <v>0</v>
      </c>
      <c r="BD63" s="9">
        <v>0</v>
      </c>
      <c r="BE63" s="9">
        <v>0</v>
      </c>
      <c r="BF63" s="9">
        <v>0</v>
      </c>
      <c r="BG63" s="9">
        <v>0</v>
      </c>
      <c r="BH63" s="9">
        <v>0</v>
      </c>
      <c r="BI63" s="9">
        <v>0</v>
      </c>
      <c r="BJ63" s="9">
        <v>0</v>
      </c>
      <c r="BK63" s="9">
        <v>0</v>
      </c>
      <c r="BL63" s="9">
        <v>0</v>
      </c>
      <c r="BM63" s="9">
        <v>0</v>
      </c>
      <c r="BN63" s="9">
        <v>0</v>
      </c>
      <c r="BO63" s="9">
        <v>0</v>
      </c>
      <c r="BP63" s="9">
        <v>0</v>
      </c>
      <c r="BQ63" s="9">
        <v>0</v>
      </c>
      <c r="BR63" s="9">
        <v>0</v>
      </c>
      <c r="BS63" s="9">
        <v>0</v>
      </c>
      <c r="BT63" s="9">
        <v>0</v>
      </c>
      <c r="BU63" s="9">
        <v>0</v>
      </c>
      <c r="BV63" s="9">
        <v>0</v>
      </c>
      <c r="BW63" s="9">
        <v>0</v>
      </c>
      <c r="BX63" s="9">
        <v>0</v>
      </c>
      <c r="BY63" s="9">
        <v>0</v>
      </c>
      <c r="BZ63" s="9">
        <v>0</v>
      </c>
      <c r="CA63" s="9">
        <v>0</v>
      </c>
      <c r="CB63" s="9">
        <v>0</v>
      </c>
      <c r="CC63" s="9">
        <v>0</v>
      </c>
      <c r="CD63" s="9">
        <v>0</v>
      </c>
      <c r="CE63" s="9">
        <v>0</v>
      </c>
      <c r="CF63" s="9">
        <v>0</v>
      </c>
      <c r="CG63" s="9">
        <v>0</v>
      </c>
      <c r="CH63" s="9">
        <v>0</v>
      </c>
      <c r="CI63" s="9">
        <v>0</v>
      </c>
      <c r="CJ63" s="9">
        <v>0</v>
      </c>
      <c r="CK63" s="9">
        <v>0</v>
      </c>
      <c r="CL63" s="9">
        <v>0</v>
      </c>
      <c r="CM63" s="9">
        <v>0</v>
      </c>
      <c r="CN63" s="9">
        <v>0</v>
      </c>
      <c r="CO63" s="9">
        <v>0</v>
      </c>
      <c r="CP63" s="9">
        <v>0</v>
      </c>
      <c r="CQ63" s="9">
        <v>0</v>
      </c>
      <c r="CR63" s="9">
        <v>0</v>
      </c>
      <c r="CS63" s="10">
        <v>0</v>
      </c>
    </row>
    <row r="64" spans="1:97" x14ac:dyDescent="0.35">
      <c r="A64" s="8" t="s">
        <v>73</v>
      </c>
      <c r="B64" s="9" t="s">
        <v>644</v>
      </c>
      <c r="C64" s="9" t="s">
        <v>645</v>
      </c>
      <c r="D64" s="9">
        <f t="shared" si="0"/>
        <v>0</v>
      </c>
      <c r="E64" s="9">
        <v>0</v>
      </c>
      <c r="F64" s="9">
        <v>0</v>
      </c>
      <c r="G64" s="9">
        <v>0</v>
      </c>
      <c r="H64" s="9">
        <v>0</v>
      </c>
      <c r="I64" s="9">
        <v>0</v>
      </c>
      <c r="J64" s="9">
        <v>0</v>
      </c>
      <c r="K64" s="9">
        <v>0</v>
      </c>
      <c r="L64" s="9">
        <v>0</v>
      </c>
      <c r="M64" s="9">
        <v>0</v>
      </c>
      <c r="N64" s="9">
        <v>0</v>
      </c>
      <c r="O64" s="9">
        <v>0</v>
      </c>
      <c r="P64" s="9">
        <v>0</v>
      </c>
      <c r="Q64" s="9">
        <v>0</v>
      </c>
      <c r="R64" s="9">
        <v>0</v>
      </c>
      <c r="S64" s="9">
        <v>0</v>
      </c>
      <c r="T64" s="9">
        <v>0</v>
      </c>
      <c r="U64" s="9">
        <v>0</v>
      </c>
      <c r="V64" s="9">
        <v>0</v>
      </c>
      <c r="W64" s="9">
        <v>0</v>
      </c>
      <c r="X64" s="9">
        <v>0</v>
      </c>
      <c r="Y64" s="9">
        <v>0</v>
      </c>
      <c r="Z64" s="9">
        <v>0</v>
      </c>
      <c r="AA64" s="9">
        <v>0</v>
      </c>
      <c r="AB64" s="9">
        <v>0</v>
      </c>
      <c r="AC64" s="9">
        <v>0</v>
      </c>
      <c r="AD64" s="9">
        <v>0</v>
      </c>
      <c r="AE64" s="9">
        <v>0</v>
      </c>
      <c r="AF64" s="9">
        <v>0</v>
      </c>
      <c r="AG64" s="9">
        <v>0</v>
      </c>
      <c r="AH64" s="9">
        <v>0</v>
      </c>
      <c r="AI64" s="9">
        <v>0</v>
      </c>
      <c r="AJ64" s="9">
        <v>0</v>
      </c>
      <c r="AK64" s="9">
        <v>0</v>
      </c>
      <c r="AL64" s="9">
        <v>0</v>
      </c>
      <c r="AM64" s="9">
        <v>0</v>
      </c>
      <c r="AN64" s="9">
        <v>0</v>
      </c>
      <c r="AO64" s="9">
        <v>0</v>
      </c>
      <c r="AP64" s="9">
        <v>0</v>
      </c>
      <c r="AQ64" s="9">
        <v>0</v>
      </c>
      <c r="AR64" s="9">
        <v>0</v>
      </c>
      <c r="AS64" s="9">
        <v>0</v>
      </c>
      <c r="AT64" s="9">
        <v>0</v>
      </c>
      <c r="AU64" s="9">
        <v>0</v>
      </c>
      <c r="AV64" s="9">
        <v>0</v>
      </c>
      <c r="AW64" s="9">
        <v>0</v>
      </c>
      <c r="AX64" s="9">
        <v>0</v>
      </c>
      <c r="AY64" s="9">
        <v>0</v>
      </c>
      <c r="AZ64" s="9">
        <v>0</v>
      </c>
      <c r="BA64" s="9">
        <v>0</v>
      </c>
      <c r="BB64" s="9">
        <v>0</v>
      </c>
      <c r="BC64" s="9">
        <v>0</v>
      </c>
      <c r="BD64" s="9">
        <v>0</v>
      </c>
      <c r="BE64" s="9">
        <v>0</v>
      </c>
      <c r="BF64" s="9">
        <v>0</v>
      </c>
      <c r="BG64" s="9">
        <v>0</v>
      </c>
      <c r="BH64" s="9">
        <v>0</v>
      </c>
      <c r="BI64" s="9">
        <v>0</v>
      </c>
      <c r="BJ64" s="9">
        <v>0</v>
      </c>
      <c r="BK64" s="9">
        <v>0</v>
      </c>
      <c r="BL64" s="9">
        <v>0</v>
      </c>
      <c r="BM64" s="9">
        <v>0</v>
      </c>
      <c r="BN64" s="9">
        <v>0</v>
      </c>
      <c r="BO64" s="9">
        <v>0</v>
      </c>
      <c r="BP64" s="9">
        <v>0</v>
      </c>
      <c r="BQ64" s="9">
        <v>0</v>
      </c>
      <c r="BR64" s="9">
        <v>0</v>
      </c>
      <c r="BS64" s="9">
        <v>0</v>
      </c>
      <c r="BT64" s="9">
        <v>0</v>
      </c>
      <c r="BU64" s="9">
        <v>0</v>
      </c>
      <c r="BV64" s="9">
        <v>0</v>
      </c>
      <c r="BW64" s="9">
        <v>0</v>
      </c>
      <c r="BX64" s="9">
        <v>0</v>
      </c>
      <c r="BY64" s="9">
        <v>0</v>
      </c>
      <c r="BZ64" s="9">
        <v>0</v>
      </c>
      <c r="CA64" s="9">
        <v>0</v>
      </c>
      <c r="CB64" s="9">
        <v>0</v>
      </c>
      <c r="CC64" s="9">
        <v>0</v>
      </c>
      <c r="CD64" s="9">
        <v>0</v>
      </c>
      <c r="CE64" s="9">
        <v>0</v>
      </c>
      <c r="CF64" s="9">
        <v>0</v>
      </c>
      <c r="CG64" s="9">
        <v>0</v>
      </c>
      <c r="CH64" s="9">
        <v>0</v>
      </c>
      <c r="CI64" s="9">
        <v>0</v>
      </c>
      <c r="CJ64" s="9">
        <v>0</v>
      </c>
      <c r="CK64" s="9">
        <v>0</v>
      </c>
      <c r="CL64" s="9">
        <v>0</v>
      </c>
      <c r="CM64" s="9">
        <v>0</v>
      </c>
      <c r="CN64" s="9">
        <v>0</v>
      </c>
      <c r="CO64" s="9">
        <v>0</v>
      </c>
      <c r="CP64" s="9">
        <v>0</v>
      </c>
      <c r="CQ64" s="9">
        <v>0</v>
      </c>
      <c r="CR64" s="9">
        <v>0</v>
      </c>
      <c r="CS64" s="10">
        <v>0</v>
      </c>
    </row>
    <row r="65" spans="1:97" x14ac:dyDescent="0.35">
      <c r="A65" s="8" t="s">
        <v>73</v>
      </c>
      <c r="B65" s="9" t="s">
        <v>646</v>
      </c>
      <c r="C65" s="9" t="s">
        <v>647</v>
      </c>
      <c r="D65" s="9">
        <f t="shared" si="0"/>
        <v>0</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c r="CA65" s="9">
        <v>0</v>
      </c>
      <c r="CB65" s="9">
        <v>0</v>
      </c>
      <c r="CC65" s="9">
        <v>0</v>
      </c>
      <c r="CD65" s="9">
        <v>0</v>
      </c>
      <c r="CE65" s="9">
        <v>0</v>
      </c>
      <c r="CF65" s="9">
        <v>0</v>
      </c>
      <c r="CG65" s="9">
        <v>0</v>
      </c>
      <c r="CH65" s="9">
        <v>0</v>
      </c>
      <c r="CI65" s="9">
        <v>0</v>
      </c>
      <c r="CJ65" s="9">
        <v>0</v>
      </c>
      <c r="CK65" s="9">
        <v>0</v>
      </c>
      <c r="CL65" s="9">
        <v>0</v>
      </c>
      <c r="CM65" s="9">
        <v>0</v>
      </c>
      <c r="CN65" s="9">
        <v>0</v>
      </c>
      <c r="CO65" s="9">
        <v>0</v>
      </c>
      <c r="CP65" s="9">
        <v>0</v>
      </c>
      <c r="CQ65" s="9">
        <v>0</v>
      </c>
      <c r="CR65" s="9">
        <v>0</v>
      </c>
      <c r="CS65" s="10">
        <v>0</v>
      </c>
    </row>
    <row r="66" spans="1:97" x14ac:dyDescent="0.35">
      <c r="A66" s="8" t="s">
        <v>73</v>
      </c>
      <c r="B66" s="9" t="s">
        <v>648</v>
      </c>
      <c r="C66" s="9" t="s">
        <v>649</v>
      </c>
      <c r="D66" s="9">
        <f t="shared" si="0"/>
        <v>0</v>
      </c>
      <c r="E66" s="9">
        <v>0</v>
      </c>
      <c r="F66" s="9">
        <v>0</v>
      </c>
      <c r="G66" s="9">
        <v>0</v>
      </c>
      <c r="H66" s="9">
        <v>0</v>
      </c>
      <c r="I66" s="9">
        <v>0</v>
      </c>
      <c r="J66" s="9">
        <v>0</v>
      </c>
      <c r="K66" s="9">
        <v>0</v>
      </c>
      <c r="L66" s="9">
        <v>0</v>
      </c>
      <c r="M66" s="9">
        <v>0</v>
      </c>
      <c r="N66" s="9">
        <v>0</v>
      </c>
      <c r="O66" s="9">
        <v>0</v>
      </c>
      <c r="P66" s="9">
        <v>0</v>
      </c>
      <c r="Q66" s="9">
        <v>0</v>
      </c>
      <c r="R66" s="9">
        <v>0</v>
      </c>
      <c r="S66" s="9">
        <v>0</v>
      </c>
      <c r="T66" s="9">
        <v>0</v>
      </c>
      <c r="U66" s="9">
        <v>0</v>
      </c>
      <c r="V66" s="9">
        <v>0</v>
      </c>
      <c r="W66" s="9">
        <v>0</v>
      </c>
      <c r="X66" s="9">
        <v>0</v>
      </c>
      <c r="Y66" s="9">
        <v>0</v>
      </c>
      <c r="Z66" s="9">
        <v>0</v>
      </c>
      <c r="AA66" s="9">
        <v>0</v>
      </c>
      <c r="AB66" s="9">
        <v>0</v>
      </c>
      <c r="AC66" s="9">
        <v>0</v>
      </c>
      <c r="AD66" s="9">
        <v>0</v>
      </c>
      <c r="AE66" s="9">
        <v>0</v>
      </c>
      <c r="AF66" s="9">
        <v>0</v>
      </c>
      <c r="AG66" s="9">
        <v>0</v>
      </c>
      <c r="AH66" s="9">
        <v>0</v>
      </c>
      <c r="AI66" s="9">
        <v>0</v>
      </c>
      <c r="AJ66" s="9">
        <v>0</v>
      </c>
      <c r="AK66" s="9">
        <v>0</v>
      </c>
      <c r="AL66" s="9">
        <v>0</v>
      </c>
      <c r="AM66" s="9">
        <v>0</v>
      </c>
      <c r="AN66" s="9">
        <v>0</v>
      </c>
      <c r="AO66" s="9">
        <v>0</v>
      </c>
      <c r="AP66" s="9">
        <v>0</v>
      </c>
      <c r="AQ66" s="9">
        <v>0</v>
      </c>
      <c r="AR66" s="9">
        <v>0</v>
      </c>
      <c r="AS66" s="9">
        <v>0</v>
      </c>
      <c r="AT66" s="9">
        <v>0</v>
      </c>
      <c r="AU66" s="9">
        <v>0</v>
      </c>
      <c r="AV66" s="9">
        <v>0</v>
      </c>
      <c r="AW66" s="9">
        <v>0</v>
      </c>
      <c r="AX66" s="9">
        <v>0</v>
      </c>
      <c r="AY66" s="9">
        <v>0</v>
      </c>
      <c r="AZ66" s="9">
        <v>0</v>
      </c>
      <c r="BA66" s="9">
        <v>0</v>
      </c>
      <c r="BB66" s="9">
        <v>0</v>
      </c>
      <c r="BC66" s="9">
        <v>0</v>
      </c>
      <c r="BD66" s="9">
        <v>0</v>
      </c>
      <c r="BE66" s="9">
        <v>0</v>
      </c>
      <c r="BF66" s="9">
        <v>0</v>
      </c>
      <c r="BG66" s="9">
        <v>0</v>
      </c>
      <c r="BH66" s="9">
        <v>0</v>
      </c>
      <c r="BI66" s="9">
        <v>0</v>
      </c>
      <c r="BJ66" s="9">
        <v>0</v>
      </c>
      <c r="BK66" s="9">
        <v>0</v>
      </c>
      <c r="BL66" s="9">
        <v>0</v>
      </c>
      <c r="BM66" s="9">
        <v>0</v>
      </c>
      <c r="BN66" s="9">
        <v>0</v>
      </c>
      <c r="BO66" s="9">
        <v>0</v>
      </c>
      <c r="BP66" s="9">
        <v>0</v>
      </c>
      <c r="BQ66" s="9">
        <v>0</v>
      </c>
      <c r="BR66" s="9">
        <v>0</v>
      </c>
      <c r="BS66" s="9">
        <v>0</v>
      </c>
      <c r="BT66" s="9">
        <v>0</v>
      </c>
      <c r="BU66" s="9">
        <v>0</v>
      </c>
      <c r="BV66" s="9">
        <v>0</v>
      </c>
      <c r="BW66" s="9">
        <v>0</v>
      </c>
      <c r="BX66" s="9">
        <v>0</v>
      </c>
      <c r="BY66" s="9">
        <v>0</v>
      </c>
      <c r="BZ66" s="9">
        <v>0</v>
      </c>
      <c r="CA66" s="9">
        <v>0</v>
      </c>
      <c r="CB66" s="9">
        <v>0</v>
      </c>
      <c r="CC66" s="9">
        <v>0</v>
      </c>
      <c r="CD66" s="9">
        <v>0</v>
      </c>
      <c r="CE66" s="9">
        <v>0</v>
      </c>
      <c r="CF66" s="9">
        <v>0</v>
      </c>
      <c r="CG66" s="9">
        <v>0</v>
      </c>
      <c r="CH66" s="9">
        <v>0</v>
      </c>
      <c r="CI66" s="9">
        <v>0</v>
      </c>
      <c r="CJ66" s="9">
        <v>0</v>
      </c>
      <c r="CK66" s="9">
        <v>0</v>
      </c>
      <c r="CL66" s="9">
        <v>0</v>
      </c>
      <c r="CM66" s="9">
        <v>0</v>
      </c>
      <c r="CN66" s="9">
        <v>0</v>
      </c>
      <c r="CO66" s="9">
        <v>0</v>
      </c>
      <c r="CP66" s="9">
        <v>0</v>
      </c>
      <c r="CQ66" s="9">
        <v>0</v>
      </c>
      <c r="CR66" s="9">
        <v>0</v>
      </c>
      <c r="CS66" s="10">
        <v>0</v>
      </c>
    </row>
    <row r="67" spans="1:97" x14ac:dyDescent="0.35">
      <c r="A67" s="8" t="s">
        <v>73</v>
      </c>
      <c r="B67" s="9" t="s">
        <v>650</v>
      </c>
      <c r="C67" s="9" t="s">
        <v>651</v>
      </c>
      <c r="D67" s="9">
        <f t="shared" ref="D67:D130" si="1">SUM(E67:CS67)</f>
        <v>0</v>
      </c>
      <c r="E67" s="9">
        <v>0</v>
      </c>
      <c r="F67" s="9">
        <v>0</v>
      </c>
      <c r="G67" s="9">
        <v>0</v>
      </c>
      <c r="H67" s="9">
        <v>0</v>
      </c>
      <c r="I67" s="9">
        <v>0</v>
      </c>
      <c r="J67" s="9">
        <v>0</v>
      </c>
      <c r="K67" s="9">
        <v>0</v>
      </c>
      <c r="L67" s="9">
        <v>0</v>
      </c>
      <c r="M67" s="9">
        <v>0</v>
      </c>
      <c r="N67" s="9">
        <v>0</v>
      </c>
      <c r="O67" s="9">
        <v>0</v>
      </c>
      <c r="P67" s="9">
        <v>0</v>
      </c>
      <c r="Q67" s="9">
        <v>0</v>
      </c>
      <c r="R67" s="9">
        <v>0</v>
      </c>
      <c r="S67" s="9">
        <v>0</v>
      </c>
      <c r="T67" s="9">
        <v>0</v>
      </c>
      <c r="U67" s="9">
        <v>0</v>
      </c>
      <c r="V67" s="9">
        <v>0</v>
      </c>
      <c r="W67" s="9">
        <v>0</v>
      </c>
      <c r="X67" s="9">
        <v>0</v>
      </c>
      <c r="Y67" s="9">
        <v>0</v>
      </c>
      <c r="Z67" s="9">
        <v>0</v>
      </c>
      <c r="AA67" s="9">
        <v>0</v>
      </c>
      <c r="AB67" s="9">
        <v>0</v>
      </c>
      <c r="AC67" s="9">
        <v>0</v>
      </c>
      <c r="AD67" s="9">
        <v>0</v>
      </c>
      <c r="AE67" s="9">
        <v>0</v>
      </c>
      <c r="AF67" s="9">
        <v>0</v>
      </c>
      <c r="AG67" s="9">
        <v>0</v>
      </c>
      <c r="AH67" s="9">
        <v>0</v>
      </c>
      <c r="AI67" s="9">
        <v>0</v>
      </c>
      <c r="AJ67" s="9">
        <v>0</v>
      </c>
      <c r="AK67" s="9">
        <v>0</v>
      </c>
      <c r="AL67" s="9">
        <v>0</v>
      </c>
      <c r="AM67" s="9">
        <v>0</v>
      </c>
      <c r="AN67" s="9">
        <v>0</v>
      </c>
      <c r="AO67" s="9">
        <v>0</v>
      </c>
      <c r="AP67" s="9">
        <v>0</v>
      </c>
      <c r="AQ67" s="9">
        <v>0</v>
      </c>
      <c r="AR67" s="9">
        <v>0</v>
      </c>
      <c r="AS67" s="9">
        <v>0</v>
      </c>
      <c r="AT67" s="9">
        <v>0</v>
      </c>
      <c r="AU67" s="9">
        <v>0</v>
      </c>
      <c r="AV67" s="9">
        <v>0</v>
      </c>
      <c r="AW67" s="9">
        <v>0</v>
      </c>
      <c r="AX67" s="9">
        <v>0</v>
      </c>
      <c r="AY67" s="9">
        <v>0</v>
      </c>
      <c r="AZ67" s="9">
        <v>0</v>
      </c>
      <c r="BA67" s="9">
        <v>0</v>
      </c>
      <c r="BB67" s="9">
        <v>0</v>
      </c>
      <c r="BC67" s="9">
        <v>0</v>
      </c>
      <c r="BD67" s="9">
        <v>0</v>
      </c>
      <c r="BE67" s="9">
        <v>0</v>
      </c>
      <c r="BF67" s="9">
        <v>0</v>
      </c>
      <c r="BG67" s="9">
        <v>0</v>
      </c>
      <c r="BH67" s="9">
        <v>0</v>
      </c>
      <c r="BI67" s="9">
        <v>0</v>
      </c>
      <c r="BJ67" s="9">
        <v>0</v>
      </c>
      <c r="BK67" s="9">
        <v>0</v>
      </c>
      <c r="BL67" s="9">
        <v>0</v>
      </c>
      <c r="BM67" s="9">
        <v>0</v>
      </c>
      <c r="BN67" s="9">
        <v>0</v>
      </c>
      <c r="BO67" s="9">
        <v>0</v>
      </c>
      <c r="BP67" s="9">
        <v>0</v>
      </c>
      <c r="BQ67" s="9">
        <v>0</v>
      </c>
      <c r="BR67" s="9">
        <v>0</v>
      </c>
      <c r="BS67" s="9">
        <v>0</v>
      </c>
      <c r="BT67" s="9">
        <v>0</v>
      </c>
      <c r="BU67" s="9">
        <v>0</v>
      </c>
      <c r="BV67" s="9">
        <v>0</v>
      </c>
      <c r="BW67" s="9">
        <v>0</v>
      </c>
      <c r="BX67" s="9">
        <v>0</v>
      </c>
      <c r="BY67" s="9">
        <v>0</v>
      </c>
      <c r="BZ67" s="9">
        <v>0</v>
      </c>
      <c r="CA67" s="9">
        <v>0</v>
      </c>
      <c r="CB67" s="9">
        <v>0</v>
      </c>
      <c r="CC67" s="9">
        <v>0</v>
      </c>
      <c r="CD67" s="9">
        <v>0</v>
      </c>
      <c r="CE67" s="9">
        <v>0</v>
      </c>
      <c r="CF67" s="9">
        <v>0</v>
      </c>
      <c r="CG67" s="9">
        <v>0</v>
      </c>
      <c r="CH67" s="9">
        <v>0</v>
      </c>
      <c r="CI67" s="9">
        <v>0</v>
      </c>
      <c r="CJ67" s="9">
        <v>0</v>
      </c>
      <c r="CK67" s="9">
        <v>0</v>
      </c>
      <c r="CL67" s="9">
        <v>0</v>
      </c>
      <c r="CM67" s="9">
        <v>0</v>
      </c>
      <c r="CN67" s="9">
        <v>0</v>
      </c>
      <c r="CO67" s="9">
        <v>0</v>
      </c>
      <c r="CP67" s="9">
        <v>0</v>
      </c>
      <c r="CQ67" s="9">
        <v>0</v>
      </c>
      <c r="CR67" s="9">
        <v>0</v>
      </c>
      <c r="CS67" s="10">
        <v>0</v>
      </c>
    </row>
    <row r="68" spans="1:97" x14ac:dyDescent="0.35">
      <c r="A68" s="8" t="s">
        <v>73</v>
      </c>
      <c r="B68" s="9" t="s">
        <v>652</v>
      </c>
      <c r="C68" s="9" t="s">
        <v>653</v>
      </c>
      <c r="D68" s="9">
        <f t="shared" si="1"/>
        <v>0</v>
      </c>
      <c r="E68" s="9">
        <v>0</v>
      </c>
      <c r="F68" s="9">
        <v>0</v>
      </c>
      <c r="G68" s="9">
        <v>0</v>
      </c>
      <c r="H68" s="9">
        <v>0</v>
      </c>
      <c r="I68" s="9">
        <v>0</v>
      </c>
      <c r="J68" s="9">
        <v>0</v>
      </c>
      <c r="K68" s="9">
        <v>0</v>
      </c>
      <c r="L68" s="9">
        <v>0</v>
      </c>
      <c r="M68" s="9">
        <v>0</v>
      </c>
      <c r="N68" s="9">
        <v>0</v>
      </c>
      <c r="O68" s="9">
        <v>0</v>
      </c>
      <c r="P68" s="9">
        <v>0</v>
      </c>
      <c r="Q68" s="9">
        <v>0</v>
      </c>
      <c r="R68" s="9">
        <v>0</v>
      </c>
      <c r="S68" s="9">
        <v>0</v>
      </c>
      <c r="T68" s="9">
        <v>0</v>
      </c>
      <c r="U68" s="9">
        <v>0</v>
      </c>
      <c r="V68" s="9">
        <v>0</v>
      </c>
      <c r="W68" s="9">
        <v>0</v>
      </c>
      <c r="X68" s="9">
        <v>0</v>
      </c>
      <c r="Y68" s="9">
        <v>0</v>
      </c>
      <c r="Z68" s="9">
        <v>0</v>
      </c>
      <c r="AA68" s="9">
        <v>0</v>
      </c>
      <c r="AB68" s="9">
        <v>0</v>
      </c>
      <c r="AC68" s="9">
        <v>0</v>
      </c>
      <c r="AD68" s="9">
        <v>0</v>
      </c>
      <c r="AE68" s="9">
        <v>0</v>
      </c>
      <c r="AF68" s="9">
        <v>0</v>
      </c>
      <c r="AG68" s="9">
        <v>0</v>
      </c>
      <c r="AH68" s="9">
        <v>0</v>
      </c>
      <c r="AI68" s="9">
        <v>0</v>
      </c>
      <c r="AJ68" s="9">
        <v>0</v>
      </c>
      <c r="AK68" s="9">
        <v>0</v>
      </c>
      <c r="AL68" s="9">
        <v>0</v>
      </c>
      <c r="AM68" s="9">
        <v>0</v>
      </c>
      <c r="AN68" s="9">
        <v>0</v>
      </c>
      <c r="AO68" s="9">
        <v>0</v>
      </c>
      <c r="AP68" s="9">
        <v>0</v>
      </c>
      <c r="AQ68" s="9">
        <v>0</v>
      </c>
      <c r="AR68" s="9">
        <v>0</v>
      </c>
      <c r="AS68" s="9">
        <v>0</v>
      </c>
      <c r="AT68" s="9">
        <v>0</v>
      </c>
      <c r="AU68" s="9">
        <v>0</v>
      </c>
      <c r="AV68" s="9">
        <v>0</v>
      </c>
      <c r="AW68" s="9">
        <v>0</v>
      </c>
      <c r="AX68" s="9">
        <v>0</v>
      </c>
      <c r="AY68" s="9">
        <v>0</v>
      </c>
      <c r="AZ68" s="9">
        <v>0</v>
      </c>
      <c r="BA68" s="9">
        <v>0</v>
      </c>
      <c r="BB68" s="9">
        <v>0</v>
      </c>
      <c r="BC68" s="9">
        <v>0</v>
      </c>
      <c r="BD68" s="9">
        <v>0</v>
      </c>
      <c r="BE68" s="9">
        <v>0</v>
      </c>
      <c r="BF68" s="9">
        <v>0</v>
      </c>
      <c r="BG68" s="9">
        <v>0</v>
      </c>
      <c r="BH68" s="9">
        <v>0</v>
      </c>
      <c r="BI68" s="9">
        <v>0</v>
      </c>
      <c r="BJ68" s="9">
        <v>0</v>
      </c>
      <c r="BK68" s="9">
        <v>0</v>
      </c>
      <c r="BL68" s="9">
        <v>0</v>
      </c>
      <c r="BM68" s="9">
        <v>0</v>
      </c>
      <c r="BN68" s="9">
        <v>0</v>
      </c>
      <c r="BO68" s="9">
        <v>0</v>
      </c>
      <c r="BP68" s="9">
        <v>0</v>
      </c>
      <c r="BQ68" s="9">
        <v>0</v>
      </c>
      <c r="BR68" s="9">
        <v>0</v>
      </c>
      <c r="BS68" s="9">
        <v>0</v>
      </c>
      <c r="BT68" s="9">
        <v>0</v>
      </c>
      <c r="BU68" s="9">
        <v>0</v>
      </c>
      <c r="BV68" s="9">
        <v>0</v>
      </c>
      <c r="BW68" s="9">
        <v>0</v>
      </c>
      <c r="BX68" s="9">
        <v>0</v>
      </c>
      <c r="BY68" s="9">
        <v>0</v>
      </c>
      <c r="BZ68" s="9">
        <v>0</v>
      </c>
      <c r="CA68" s="9">
        <v>0</v>
      </c>
      <c r="CB68" s="9">
        <v>0</v>
      </c>
      <c r="CC68" s="9">
        <v>0</v>
      </c>
      <c r="CD68" s="9">
        <v>0</v>
      </c>
      <c r="CE68" s="9">
        <v>0</v>
      </c>
      <c r="CF68" s="9">
        <v>0</v>
      </c>
      <c r="CG68" s="9">
        <v>0</v>
      </c>
      <c r="CH68" s="9">
        <v>0</v>
      </c>
      <c r="CI68" s="9">
        <v>0</v>
      </c>
      <c r="CJ68" s="9">
        <v>0</v>
      </c>
      <c r="CK68" s="9">
        <v>0</v>
      </c>
      <c r="CL68" s="9">
        <v>0</v>
      </c>
      <c r="CM68" s="9">
        <v>0</v>
      </c>
      <c r="CN68" s="9">
        <v>0</v>
      </c>
      <c r="CO68" s="9">
        <v>0</v>
      </c>
      <c r="CP68" s="9">
        <v>0</v>
      </c>
      <c r="CQ68" s="9">
        <v>0</v>
      </c>
      <c r="CR68" s="9">
        <v>0</v>
      </c>
      <c r="CS68" s="10">
        <v>0</v>
      </c>
    </row>
    <row r="69" spans="1:97" x14ac:dyDescent="0.35">
      <c r="A69" s="8" t="s">
        <v>73</v>
      </c>
      <c r="B69" s="9" t="s">
        <v>654</v>
      </c>
      <c r="C69" s="9" t="s">
        <v>655</v>
      </c>
      <c r="D69" s="9">
        <f t="shared" si="1"/>
        <v>0</v>
      </c>
      <c r="E69" s="9">
        <v>0</v>
      </c>
      <c r="F69" s="9">
        <v>0</v>
      </c>
      <c r="G69" s="9">
        <v>0</v>
      </c>
      <c r="H69" s="9">
        <v>0</v>
      </c>
      <c r="I69" s="9">
        <v>0</v>
      </c>
      <c r="J69" s="9">
        <v>0</v>
      </c>
      <c r="K69" s="9">
        <v>0</v>
      </c>
      <c r="L69" s="9">
        <v>0</v>
      </c>
      <c r="M69" s="9">
        <v>0</v>
      </c>
      <c r="N69" s="9">
        <v>0</v>
      </c>
      <c r="O69" s="9">
        <v>0</v>
      </c>
      <c r="P69" s="9">
        <v>0</v>
      </c>
      <c r="Q69" s="9">
        <v>0</v>
      </c>
      <c r="R69" s="9">
        <v>0</v>
      </c>
      <c r="S69" s="9">
        <v>0</v>
      </c>
      <c r="T69" s="9">
        <v>0</v>
      </c>
      <c r="U69" s="9">
        <v>0</v>
      </c>
      <c r="V69" s="9">
        <v>0</v>
      </c>
      <c r="W69" s="9">
        <v>0</v>
      </c>
      <c r="X69" s="9">
        <v>0</v>
      </c>
      <c r="Y69" s="9">
        <v>0</v>
      </c>
      <c r="Z69" s="9">
        <v>0</v>
      </c>
      <c r="AA69" s="9">
        <v>0</v>
      </c>
      <c r="AB69" s="9">
        <v>0</v>
      </c>
      <c r="AC69" s="9">
        <v>0</v>
      </c>
      <c r="AD69" s="9">
        <v>0</v>
      </c>
      <c r="AE69" s="9">
        <v>0</v>
      </c>
      <c r="AF69" s="9">
        <v>0</v>
      </c>
      <c r="AG69" s="9">
        <v>0</v>
      </c>
      <c r="AH69" s="9">
        <v>0</v>
      </c>
      <c r="AI69" s="9">
        <v>0</v>
      </c>
      <c r="AJ69" s="9">
        <v>0</v>
      </c>
      <c r="AK69" s="9">
        <v>0</v>
      </c>
      <c r="AL69" s="9">
        <v>0</v>
      </c>
      <c r="AM69" s="9">
        <v>0</v>
      </c>
      <c r="AN69" s="9">
        <v>0</v>
      </c>
      <c r="AO69" s="9">
        <v>0</v>
      </c>
      <c r="AP69" s="9">
        <v>0</v>
      </c>
      <c r="AQ69" s="9">
        <v>0</v>
      </c>
      <c r="AR69" s="9">
        <v>0</v>
      </c>
      <c r="AS69" s="9">
        <v>0</v>
      </c>
      <c r="AT69" s="9">
        <v>0</v>
      </c>
      <c r="AU69" s="9">
        <v>0</v>
      </c>
      <c r="AV69" s="9">
        <v>0</v>
      </c>
      <c r="AW69" s="9">
        <v>0</v>
      </c>
      <c r="AX69" s="9">
        <v>0</v>
      </c>
      <c r="AY69" s="9">
        <v>0</v>
      </c>
      <c r="AZ69" s="9">
        <v>0</v>
      </c>
      <c r="BA69" s="9">
        <v>0</v>
      </c>
      <c r="BB69" s="9">
        <v>0</v>
      </c>
      <c r="BC69" s="9">
        <v>0</v>
      </c>
      <c r="BD69" s="9">
        <v>0</v>
      </c>
      <c r="BE69" s="9">
        <v>0</v>
      </c>
      <c r="BF69" s="9">
        <v>0</v>
      </c>
      <c r="BG69" s="9">
        <v>0</v>
      </c>
      <c r="BH69" s="9">
        <v>0</v>
      </c>
      <c r="BI69" s="9">
        <v>0</v>
      </c>
      <c r="BJ69" s="9">
        <v>0</v>
      </c>
      <c r="BK69" s="9">
        <v>0</v>
      </c>
      <c r="BL69" s="9">
        <v>0</v>
      </c>
      <c r="BM69" s="9">
        <v>0</v>
      </c>
      <c r="BN69" s="9">
        <v>0</v>
      </c>
      <c r="BO69" s="9">
        <v>0</v>
      </c>
      <c r="BP69" s="9">
        <v>0</v>
      </c>
      <c r="BQ69" s="9">
        <v>0</v>
      </c>
      <c r="BR69" s="9">
        <v>0</v>
      </c>
      <c r="BS69" s="9">
        <v>0</v>
      </c>
      <c r="BT69" s="9">
        <v>0</v>
      </c>
      <c r="BU69" s="9">
        <v>0</v>
      </c>
      <c r="BV69" s="9">
        <v>0</v>
      </c>
      <c r="BW69" s="9">
        <v>0</v>
      </c>
      <c r="BX69" s="9">
        <v>0</v>
      </c>
      <c r="BY69" s="9">
        <v>0</v>
      </c>
      <c r="BZ69" s="9">
        <v>0</v>
      </c>
      <c r="CA69" s="9">
        <v>0</v>
      </c>
      <c r="CB69" s="9">
        <v>0</v>
      </c>
      <c r="CC69" s="9">
        <v>0</v>
      </c>
      <c r="CD69" s="9">
        <v>0</v>
      </c>
      <c r="CE69" s="9">
        <v>0</v>
      </c>
      <c r="CF69" s="9">
        <v>0</v>
      </c>
      <c r="CG69" s="9">
        <v>0</v>
      </c>
      <c r="CH69" s="9">
        <v>0</v>
      </c>
      <c r="CI69" s="9">
        <v>0</v>
      </c>
      <c r="CJ69" s="9">
        <v>0</v>
      </c>
      <c r="CK69" s="9">
        <v>0</v>
      </c>
      <c r="CL69" s="9">
        <v>0</v>
      </c>
      <c r="CM69" s="9">
        <v>0</v>
      </c>
      <c r="CN69" s="9">
        <v>0</v>
      </c>
      <c r="CO69" s="9">
        <v>0</v>
      </c>
      <c r="CP69" s="9">
        <v>0</v>
      </c>
      <c r="CQ69" s="9">
        <v>0</v>
      </c>
      <c r="CR69" s="9">
        <v>0</v>
      </c>
      <c r="CS69" s="10">
        <v>0</v>
      </c>
    </row>
    <row r="70" spans="1:97" x14ac:dyDescent="0.35">
      <c r="A70" s="8" t="s">
        <v>73</v>
      </c>
      <c r="B70" s="9" t="s">
        <v>656</v>
      </c>
      <c r="C70" s="9" t="s">
        <v>657</v>
      </c>
      <c r="D70" s="9">
        <f t="shared" si="1"/>
        <v>0</v>
      </c>
      <c r="E70" s="9">
        <v>0</v>
      </c>
      <c r="F70" s="9">
        <v>0</v>
      </c>
      <c r="G70" s="9">
        <v>0</v>
      </c>
      <c r="H70" s="9">
        <v>0</v>
      </c>
      <c r="I70" s="9">
        <v>0</v>
      </c>
      <c r="J70" s="9">
        <v>0</v>
      </c>
      <c r="K70" s="9">
        <v>0</v>
      </c>
      <c r="L70" s="9">
        <v>0</v>
      </c>
      <c r="M70" s="9">
        <v>0</v>
      </c>
      <c r="N70" s="9">
        <v>0</v>
      </c>
      <c r="O70" s="9">
        <v>0</v>
      </c>
      <c r="P70" s="9">
        <v>0</v>
      </c>
      <c r="Q70" s="9">
        <v>0</v>
      </c>
      <c r="R70" s="9">
        <v>0</v>
      </c>
      <c r="S70" s="9">
        <v>0</v>
      </c>
      <c r="T70" s="9">
        <v>0</v>
      </c>
      <c r="U70" s="9">
        <v>0</v>
      </c>
      <c r="V70" s="9">
        <v>0</v>
      </c>
      <c r="W70" s="9">
        <v>0</v>
      </c>
      <c r="X70" s="9">
        <v>0</v>
      </c>
      <c r="Y70" s="9">
        <v>0</v>
      </c>
      <c r="Z70" s="9">
        <v>0</v>
      </c>
      <c r="AA70" s="9">
        <v>0</v>
      </c>
      <c r="AB70" s="9">
        <v>0</v>
      </c>
      <c r="AC70" s="9">
        <v>0</v>
      </c>
      <c r="AD70" s="9">
        <v>0</v>
      </c>
      <c r="AE70" s="9">
        <v>0</v>
      </c>
      <c r="AF70" s="9">
        <v>0</v>
      </c>
      <c r="AG70" s="9">
        <v>0</v>
      </c>
      <c r="AH70" s="9">
        <v>0</v>
      </c>
      <c r="AI70" s="9">
        <v>0</v>
      </c>
      <c r="AJ70" s="9">
        <v>0</v>
      </c>
      <c r="AK70" s="9">
        <v>0</v>
      </c>
      <c r="AL70" s="9">
        <v>0</v>
      </c>
      <c r="AM70" s="9">
        <v>0</v>
      </c>
      <c r="AN70" s="9">
        <v>0</v>
      </c>
      <c r="AO70" s="9">
        <v>0</v>
      </c>
      <c r="AP70" s="9">
        <v>0</v>
      </c>
      <c r="AQ70" s="9">
        <v>0</v>
      </c>
      <c r="AR70" s="9">
        <v>0</v>
      </c>
      <c r="AS70" s="9">
        <v>0</v>
      </c>
      <c r="AT70" s="9">
        <v>0</v>
      </c>
      <c r="AU70" s="9">
        <v>0</v>
      </c>
      <c r="AV70" s="9">
        <v>0</v>
      </c>
      <c r="AW70" s="9">
        <v>0</v>
      </c>
      <c r="AX70" s="9">
        <v>0</v>
      </c>
      <c r="AY70" s="9">
        <v>0</v>
      </c>
      <c r="AZ70" s="9">
        <v>0</v>
      </c>
      <c r="BA70" s="9">
        <v>0</v>
      </c>
      <c r="BB70" s="9">
        <v>0</v>
      </c>
      <c r="BC70" s="9">
        <v>0</v>
      </c>
      <c r="BD70" s="9">
        <v>0</v>
      </c>
      <c r="BE70" s="9">
        <v>0</v>
      </c>
      <c r="BF70" s="9">
        <v>0</v>
      </c>
      <c r="BG70" s="9">
        <v>0</v>
      </c>
      <c r="BH70" s="9">
        <v>0</v>
      </c>
      <c r="BI70" s="9">
        <v>0</v>
      </c>
      <c r="BJ70" s="9">
        <v>0</v>
      </c>
      <c r="BK70" s="9">
        <v>0</v>
      </c>
      <c r="BL70" s="9">
        <v>0</v>
      </c>
      <c r="BM70" s="9">
        <v>0</v>
      </c>
      <c r="BN70" s="9">
        <v>0</v>
      </c>
      <c r="BO70" s="9">
        <v>0</v>
      </c>
      <c r="BP70" s="9">
        <v>0</v>
      </c>
      <c r="BQ70" s="9">
        <v>0</v>
      </c>
      <c r="BR70" s="9">
        <v>0</v>
      </c>
      <c r="BS70" s="9">
        <v>0</v>
      </c>
      <c r="BT70" s="9">
        <v>0</v>
      </c>
      <c r="BU70" s="9">
        <v>0</v>
      </c>
      <c r="BV70" s="9">
        <v>0</v>
      </c>
      <c r="BW70" s="9">
        <v>0</v>
      </c>
      <c r="BX70" s="9">
        <v>0</v>
      </c>
      <c r="BY70" s="9">
        <v>0</v>
      </c>
      <c r="BZ70" s="9">
        <v>0</v>
      </c>
      <c r="CA70" s="9">
        <v>0</v>
      </c>
      <c r="CB70" s="9">
        <v>0</v>
      </c>
      <c r="CC70" s="9">
        <v>0</v>
      </c>
      <c r="CD70" s="9">
        <v>0</v>
      </c>
      <c r="CE70" s="9">
        <v>0</v>
      </c>
      <c r="CF70" s="9">
        <v>0</v>
      </c>
      <c r="CG70" s="9">
        <v>0</v>
      </c>
      <c r="CH70" s="9">
        <v>0</v>
      </c>
      <c r="CI70" s="9">
        <v>0</v>
      </c>
      <c r="CJ70" s="9">
        <v>0</v>
      </c>
      <c r="CK70" s="9">
        <v>0</v>
      </c>
      <c r="CL70" s="9">
        <v>0</v>
      </c>
      <c r="CM70" s="9">
        <v>0</v>
      </c>
      <c r="CN70" s="9">
        <v>0</v>
      </c>
      <c r="CO70" s="9">
        <v>0</v>
      </c>
      <c r="CP70" s="9">
        <v>0</v>
      </c>
      <c r="CQ70" s="9">
        <v>0</v>
      </c>
      <c r="CR70" s="9">
        <v>0</v>
      </c>
      <c r="CS70" s="10">
        <v>0</v>
      </c>
    </row>
    <row r="71" spans="1:97" x14ac:dyDescent="0.35">
      <c r="A71" s="8" t="s">
        <v>73</v>
      </c>
      <c r="B71" s="9" t="s">
        <v>658</v>
      </c>
      <c r="C71" s="9" t="s">
        <v>659</v>
      </c>
      <c r="D71" s="9">
        <f t="shared" si="1"/>
        <v>0</v>
      </c>
      <c r="E71" s="9">
        <v>0</v>
      </c>
      <c r="F71" s="9">
        <v>0</v>
      </c>
      <c r="G71" s="9">
        <v>0</v>
      </c>
      <c r="H71" s="9">
        <v>0</v>
      </c>
      <c r="I71" s="9">
        <v>0</v>
      </c>
      <c r="J71" s="9">
        <v>0</v>
      </c>
      <c r="K71" s="9">
        <v>0</v>
      </c>
      <c r="L71" s="9">
        <v>0</v>
      </c>
      <c r="M71" s="9">
        <v>0</v>
      </c>
      <c r="N71" s="9">
        <v>0</v>
      </c>
      <c r="O71" s="9">
        <v>0</v>
      </c>
      <c r="P71" s="9">
        <v>0</v>
      </c>
      <c r="Q71" s="9">
        <v>0</v>
      </c>
      <c r="R71" s="9">
        <v>0</v>
      </c>
      <c r="S71" s="9">
        <v>0</v>
      </c>
      <c r="T71" s="9">
        <v>0</v>
      </c>
      <c r="U71" s="9">
        <v>0</v>
      </c>
      <c r="V71" s="9">
        <v>0</v>
      </c>
      <c r="W71" s="9">
        <v>0</v>
      </c>
      <c r="X71" s="9">
        <v>0</v>
      </c>
      <c r="Y71" s="9">
        <v>0</v>
      </c>
      <c r="Z71" s="9">
        <v>0</v>
      </c>
      <c r="AA71" s="9">
        <v>0</v>
      </c>
      <c r="AB71" s="9">
        <v>0</v>
      </c>
      <c r="AC71" s="9">
        <v>0</v>
      </c>
      <c r="AD71" s="9">
        <v>0</v>
      </c>
      <c r="AE71" s="9">
        <v>0</v>
      </c>
      <c r="AF71" s="9">
        <v>0</v>
      </c>
      <c r="AG71" s="9">
        <v>0</v>
      </c>
      <c r="AH71" s="9">
        <v>0</v>
      </c>
      <c r="AI71" s="9">
        <v>0</v>
      </c>
      <c r="AJ71" s="9">
        <v>0</v>
      </c>
      <c r="AK71" s="9">
        <v>0</v>
      </c>
      <c r="AL71" s="9">
        <v>0</v>
      </c>
      <c r="AM71" s="9">
        <v>0</v>
      </c>
      <c r="AN71" s="9">
        <v>0</v>
      </c>
      <c r="AO71" s="9">
        <v>0</v>
      </c>
      <c r="AP71" s="9">
        <v>0</v>
      </c>
      <c r="AQ71" s="9">
        <v>0</v>
      </c>
      <c r="AR71" s="9">
        <v>0</v>
      </c>
      <c r="AS71" s="9">
        <v>0</v>
      </c>
      <c r="AT71" s="9">
        <v>0</v>
      </c>
      <c r="AU71" s="9">
        <v>0</v>
      </c>
      <c r="AV71" s="9">
        <v>0</v>
      </c>
      <c r="AW71" s="9">
        <v>0</v>
      </c>
      <c r="AX71" s="9">
        <v>0</v>
      </c>
      <c r="AY71" s="9">
        <v>0</v>
      </c>
      <c r="AZ71" s="9">
        <v>0</v>
      </c>
      <c r="BA71" s="9">
        <v>0</v>
      </c>
      <c r="BB71" s="9">
        <v>0</v>
      </c>
      <c r="BC71" s="9">
        <v>0</v>
      </c>
      <c r="BD71" s="9">
        <v>0</v>
      </c>
      <c r="BE71" s="9">
        <v>0</v>
      </c>
      <c r="BF71" s="9">
        <v>0</v>
      </c>
      <c r="BG71" s="9">
        <v>0</v>
      </c>
      <c r="BH71" s="9">
        <v>0</v>
      </c>
      <c r="BI71" s="9">
        <v>0</v>
      </c>
      <c r="BJ71" s="9">
        <v>0</v>
      </c>
      <c r="BK71" s="9">
        <v>0</v>
      </c>
      <c r="BL71" s="9">
        <v>0</v>
      </c>
      <c r="BM71" s="9">
        <v>0</v>
      </c>
      <c r="BN71" s="9">
        <v>0</v>
      </c>
      <c r="BO71" s="9">
        <v>0</v>
      </c>
      <c r="BP71" s="9">
        <v>0</v>
      </c>
      <c r="BQ71" s="9">
        <v>0</v>
      </c>
      <c r="BR71" s="9">
        <v>0</v>
      </c>
      <c r="BS71" s="9">
        <v>0</v>
      </c>
      <c r="BT71" s="9">
        <v>0</v>
      </c>
      <c r="BU71" s="9">
        <v>0</v>
      </c>
      <c r="BV71" s="9">
        <v>0</v>
      </c>
      <c r="BW71" s="9">
        <v>0</v>
      </c>
      <c r="BX71" s="9">
        <v>0</v>
      </c>
      <c r="BY71" s="9">
        <v>0</v>
      </c>
      <c r="BZ71" s="9">
        <v>0</v>
      </c>
      <c r="CA71" s="9">
        <v>0</v>
      </c>
      <c r="CB71" s="9">
        <v>0</v>
      </c>
      <c r="CC71" s="9">
        <v>0</v>
      </c>
      <c r="CD71" s="9">
        <v>0</v>
      </c>
      <c r="CE71" s="9">
        <v>0</v>
      </c>
      <c r="CF71" s="9">
        <v>0</v>
      </c>
      <c r="CG71" s="9">
        <v>0</v>
      </c>
      <c r="CH71" s="9">
        <v>0</v>
      </c>
      <c r="CI71" s="9">
        <v>0</v>
      </c>
      <c r="CJ71" s="9">
        <v>0</v>
      </c>
      <c r="CK71" s="9">
        <v>0</v>
      </c>
      <c r="CL71" s="9">
        <v>0</v>
      </c>
      <c r="CM71" s="9">
        <v>0</v>
      </c>
      <c r="CN71" s="9">
        <v>0</v>
      </c>
      <c r="CO71" s="9">
        <v>0</v>
      </c>
      <c r="CP71" s="9">
        <v>0</v>
      </c>
      <c r="CQ71" s="9">
        <v>0</v>
      </c>
      <c r="CR71" s="9">
        <v>0</v>
      </c>
      <c r="CS71" s="10">
        <v>0</v>
      </c>
    </row>
    <row r="72" spans="1:97" x14ac:dyDescent="0.35">
      <c r="A72" s="8" t="s">
        <v>73</v>
      </c>
      <c r="B72" s="9" t="s">
        <v>660</v>
      </c>
      <c r="C72" s="9" t="s">
        <v>661</v>
      </c>
      <c r="D72" s="9">
        <f t="shared" si="1"/>
        <v>0</v>
      </c>
      <c r="E72" s="9">
        <v>0</v>
      </c>
      <c r="F72" s="9">
        <v>0</v>
      </c>
      <c r="G72" s="9">
        <v>0</v>
      </c>
      <c r="H72" s="9">
        <v>0</v>
      </c>
      <c r="I72" s="9">
        <v>0</v>
      </c>
      <c r="J72" s="9">
        <v>0</v>
      </c>
      <c r="K72" s="9">
        <v>0</v>
      </c>
      <c r="L72" s="9">
        <v>0</v>
      </c>
      <c r="M72" s="9">
        <v>0</v>
      </c>
      <c r="N72" s="9">
        <v>0</v>
      </c>
      <c r="O72" s="9">
        <v>0</v>
      </c>
      <c r="P72" s="9">
        <v>0</v>
      </c>
      <c r="Q72" s="9">
        <v>0</v>
      </c>
      <c r="R72" s="9">
        <v>0</v>
      </c>
      <c r="S72" s="9">
        <v>0</v>
      </c>
      <c r="T72" s="9">
        <v>0</v>
      </c>
      <c r="U72" s="9">
        <v>0</v>
      </c>
      <c r="V72" s="9">
        <v>0</v>
      </c>
      <c r="W72" s="9">
        <v>0</v>
      </c>
      <c r="X72" s="9">
        <v>0</v>
      </c>
      <c r="Y72" s="9">
        <v>0</v>
      </c>
      <c r="Z72" s="9">
        <v>0</v>
      </c>
      <c r="AA72" s="9">
        <v>0</v>
      </c>
      <c r="AB72" s="9">
        <v>0</v>
      </c>
      <c r="AC72" s="9">
        <v>0</v>
      </c>
      <c r="AD72" s="9">
        <v>0</v>
      </c>
      <c r="AE72" s="9">
        <v>0</v>
      </c>
      <c r="AF72" s="9">
        <v>0</v>
      </c>
      <c r="AG72" s="9">
        <v>0</v>
      </c>
      <c r="AH72" s="9">
        <v>0</v>
      </c>
      <c r="AI72" s="9">
        <v>0</v>
      </c>
      <c r="AJ72" s="9">
        <v>0</v>
      </c>
      <c r="AK72" s="9">
        <v>0</v>
      </c>
      <c r="AL72" s="9">
        <v>0</v>
      </c>
      <c r="AM72" s="9">
        <v>0</v>
      </c>
      <c r="AN72" s="9">
        <v>0</v>
      </c>
      <c r="AO72" s="9">
        <v>0</v>
      </c>
      <c r="AP72" s="9">
        <v>0</v>
      </c>
      <c r="AQ72" s="9">
        <v>0</v>
      </c>
      <c r="AR72" s="9">
        <v>0</v>
      </c>
      <c r="AS72" s="9">
        <v>0</v>
      </c>
      <c r="AT72" s="9">
        <v>0</v>
      </c>
      <c r="AU72" s="9">
        <v>0</v>
      </c>
      <c r="AV72" s="9">
        <v>0</v>
      </c>
      <c r="AW72" s="9">
        <v>0</v>
      </c>
      <c r="AX72" s="9">
        <v>0</v>
      </c>
      <c r="AY72" s="9">
        <v>0</v>
      </c>
      <c r="AZ72" s="9">
        <v>0</v>
      </c>
      <c r="BA72" s="9">
        <v>0</v>
      </c>
      <c r="BB72" s="9">
        <v>0</v>
      </c>
      <c r="BC72" s="9">
        <v>0</v>
      </c>
      <c r="BD72" s="9">
        <v>0</v>
      </c>
      <c r="BE72" s="9">
        <v>0</v>
      </c>
      <c r="BF72" s="9">
        <v>0</v>
      </c>
      <c r="BG72" s="9">
        <v>0</v>
      </c>
      <c r="BH72" s="9">
        <v>0</v>
      </c>
      <c r="BI72" s="9">
        <v>0</v>
      </c>
      <c r="BJ72" s="9">
        <v>0</v>
      </c>
      <c r="BK72" s="9">
        <v>0</v>
      </c>
      <c r="BL72" s="9">
        <v>0</v>
      </c>
      <c r="BM72" s="9">
        <v>0</v>
      </c>
      <c r="BN72" s="9">
        <v>0</v>
      </c>
      <c r="BO72" s="9">
        <v>0</v>
      </c>
      <c r="BP72" s="9">
        <v>0</v>
      </c>
      <c r="BQ72" s="9">
        <v>0</v>
      </c>
      <c r="BR72" s="9">
        <v>0</v>
      </c>
      <c r="BS72" s="9">
        <v>0</v>
      </c>
      <c r="BT72" s="9">
        <v>0</v>
      </c>
      <c r="BU72" s="9">
        <v>0</v>
      </c>
      <c r="BV72" s="9">
        <v>0</v>
      </c>
      <c r="BW72" s="9">
        <v>0</v>
      </c>
      <c r="BX72" s="9">
        <v>0</v>
      </c>
      <c r="BY72" s="9">
        <v>0</v>
      </c>
      <c r="BZ72" s="9">
        <v>0</v>
      </c>
      <c r="CA72" s="9">
        <v>0</v>
      </c>
      <c r="CB72" s="9">
        <v>0</v>
      </c>
      <c r="CC72" s="9">
        <v>0</v>
      </c>
      <c r="CD72" s="9">
        <v>0</v>
      </c>
      <c r="CE72" s="9">
        <v>0</v>
      </c>
      <c r="CF72" s="9">
        <v>0</v>
      </c>
      <c r="CG72" s="9">
        <v>0</v>
      </c>
      <c r="CH72" s="9">
        <v>0</v>
      </c>
      <c r="CI72" s="9">
        <v>0</v>
      </c>
      <c r="CJ72" s="9">
        <v>0</v>
      </c>
      <c r="CK72" s="9">
        <v>0</v>
      </c>
      <c r="CL72" s="9">
        <v>0</v>
      </c>
      <c r="CM72" s="9">
        <v>0</v>
      </c>
      <c r="CN72" s="9">
        <v>0</v>
      </c>
      <c r="CO72" s="9">
        <v>0</v>
      </c>
      <c r="CP72" s="9">
        <v>0</v>
      </c>
      <c r="CQ72" s="9">
        <v>0</v>
      </c>
      <c r="CR72" s="9">
        <v>0</v>
      </c>
      <c r="CS72" s="10">
        <v>0</v>
      </c>
    </row>
    <row r="73" spans="1:97" x14ac:dyDescent="0.35">
      <c r="A73" s="8" t="s">
        <v>73</v>
      </c>
      <c r="B73" s="9" t="s">
        <v>662</v>
      </c>
      <c r="C73" s="9" t="s">
        <v>663</v>
      </c>
      <c r="D73" s="9">
        <f t="shared" si="1"/>
        <v>0</v>
      </c>
      <c r="E73" s="9">
        <v>0</v>
      </c>
      <c r="F73" s="9">
        <v>0</v>
      </c>
      <c r="G73" s="9">
        <v>0</v>
      </c>
      <c r="H73" s="9">
        <v>0</v>
      </c>
      <c r="I73" s="9">
        <v>0</v>
      </c>
      <c r="J73" s="9">
        <v>0</v>
      </c>
      <c r="K73" s="9">
        <v>0</v>
      </c>
      <c r="L73" s="9">
        <v>0</v>
      </c>
      <c r="M73" s="9">
        <v>0</v>
      </c>
      <c r="N73" s="9">
        <v>0</v>
      </c>
      <c r="O73" s="9">
        <v>0</v>
      </c>
      <c r="P73" s="9">
        <v>0</v>
      </c>
      <c r="Q73" s="9">
        <v>0</v>
      </c>
      <c r="R73" s="9">
        <v>0</v>
      </c>
      <c r="S73" s="9">
        <v>0</v>
      </c>
      <c r="T73" s="9">
        <v>0</v>
      </c>
      <c r="U73" s="9">
        <v>0</v>
      </c>
      <c r="V73" s="9">
        <v>0</v>
      </c>
      <c r="W73" s="9">
        <v>0</v>
      </c>
      <c r="X73" s="9">
        <v>0</v>
      </c>
      <c r="Y73" s="9">
        <v>0</v>
      </c>
      <c r="Z73" s="9">
        <v>0</v>
      </c>
      <c r="AA73" s="9">
        <v>0</v>
      </c>
      <c r="AB73" s="9">
        <v>0</v>
      </c>
      <c r="AC73" s="9">
        <v>0</v>
      </c>
      <c r="AD73" s="9">
        <v>0</v>
      </c>
      <c r="AE73" s="9">
        <v>0</v>
      </c>
      <c r="AF73" s="9">
        <v>0</v>
      </c>
      <c r="AG73" s="9">
        <v>0</v>
      </c>
      <c r="AH73" s="9">
        <v>0</v>
      </c>
      <c r="AI73" s="9">
        <v>0</v>
      </c>
      <c r="AJ73" s="9">
        <v>0</v>
      </c>
      <c r="AK73" s="9">
        <v>0</v>
      </c>
      <c r="AL73" s="9">
        <v>0</v>
      </c>
      <c r="AM73" s="9">
        <v>0</v>
      </c>
      <c r="AN73" s="9">
        <v>0</v>
      </c>
      <c r="AO73" s="9">
        <v>0</v>
      </c>
      <c r="AP73" s="9">
        <v>0</v>
      </c>
      <c r="AQ73" s="9">
        <v>0</v>
      </c>
      <c r="AR73" s="9">
        <v>0</v>
      </c>
      <c r="AS73" s="9">
        <v>0</v>
      </c>
      <c r="AT73" s="9">
        <v>0</v>
      </c>
      <c r="AU73" s="9">
        <v>0</v>
      </c>
      <c r="AV73" s="9">
        <v>0</v>
      </c>
      <c r="AW73" s="9">
        <v>0</v>
      </c>
      <c r="AX73" s="9">
        <v>0</v>
      </c>
      <c r="AY73" s="9">
        <v>0</v>
      </c>
      <c r="AZ73" s="9">
        <v>0</v>
      </c>
      <c r="BA73" s="9">
        <v>0</v>
      </c>
      <c r="BB73" s="9">
        <v>0</v>
      </c>
      <c r="BC73" s="9">
        <v>0</v>
      </c>
      <c r="BD73" s="9">
        <v>0</v>
      </c>
      <c r="BE73" s="9">
        <v>0</v>
      </c>
      <c r="BF73" s="9">
        <v>0</v>
      </c>
      <c r="BG73" s="9">
        <v>0</v>
      </c>
      <c r="BH73" s="9">
        <v>0</v>
      </c>
      <c r="BI73" s="9">
        <v>0</v>
      </c>
      <c r="BJ73" s="9">
        <v>0</v>
      </c>
      <c r="BK73" s="9">
        <v>0</v>
      </c>
      <c r="BL73" s="9">
        <v>0</v>
      </c>
      <c r="BM73" s="9">
        <v>0</v>
      </c>
      <c r="BN73" s="9">
        <v>0</v>
      </c>
      <c r="BO73" s="9">
        <v>0</v>
      </c>
      <c r="BP73" s="9">
        <v>0</v>
      </c>
      <c r="BQ73" s="9">
        <v>0</v>
      </c>
      <c r="BR73" s="9">
        <v>0</v>
      </c>
      <c r="BS73" s="9">
        <v>0</v>
      </c>
      <c r="BT73" s="9">
        <v>0</v>
      </c>
      <c r="BU73" s="9">
        <v>0</v>
      </c>
      <c r="BV73" s="9">
        <v>0</v>
      </c>
      <c r="BW73" s="9">
        <v>0</v>
      </c>
      <c r="BX73" s="9">
        <v>0</v>
      </c>
      <c r="BY73" s="9">
        <v>0</v>
      </c>
      <c r="BZ73" s="9">
        <v>0</v>
      </c>
      <c r="CA73" s="9">
        <v>0</v>
      </c>
      <c r="CB73" s="9">
        <v>0</v>
      </c>
      <c r="CC73" s="9">
        <v>0</v>
      </c>
      <c r="CD73" s="9">
        <v>0</v>
      </c>
      <c r="CE73" s="9">
        <v>0</v>
      </c>
      <c r="CF73" s="9">
        <v>0</v>
      </c>
      <c r="CG73" s="9">
        <v>0</v>
      </c>
      <c r="CH73" s="9">
        <v>0</v>
      </c>
      <c r="CI73" s="9">
        <v>0</v>
      </c>
      <c r="CJ73" s="9">
        <v>0</v>
      </c>
      <c r="CK73" s="9">
        <v>0</v>
      </c>
      <c r="CL73" s="9">
        <v>0</v>
      </c>
      <c r="CM73" s="9">
        <v>0</v>
      </c>
      <c r="CN73" s="9">
        <v>0</v>
      </c>
      <c r="CO73" s="9">
        <v>0</v>
      </c>
      <c r="CP73" s="9">
        <v>0</v>
      </c>
      <c r="CQ73" s="9">
        <v>0</v>
      </c>
      <c r="CR73" s="9">
        <v>0</v>
      </c>
      <c r="CS73" s="10">
        <v>0</v>
      </c>
    </row>
    <row r="74" spans="1:97" x14ac:dyDescent="0.35">
      <c r="A74" s="8" t="s">
        <v>73</v>
      </c>
      <c r="B74" s="9" t="s">
        <v>664</v>
      </c>
      <c r="C74" s="9" t="s">
        <v>665</v>
      </c>
      <c r="D74" s="9">
        <f t="shared" si="1"/>
        <v>0</v>
      </c>
      <c r="E74" s="9">
        <v>0</v>
      </c>
      <c r="F74" s="9">
        <v>0</v>
      </c>
      <c r="G74" s="9">
        <v>0</v>
      </c>
      <c r="H74" s="9">
        <v>0</v>
      </c>
      <c r="I74" s="9">
        <v>0</v>
      </c>
      <c r="J74" s="9">
        <v>0</v>
      </c>
      <c r="K74" s="9">
        <v>0</v>
      </c>
      <c r="L74" s="9">
        <v>0</v>
      </c>
      <c r="M74" s="9">
        <v>0</v>
      </c>
      <c r="N74" s="9">
        <v>0</v>
      </c>
      <c r="O74" s="9">
        <v>0</v>
      </c>
      <c r="P74" s="9">
        <v>0</v>
      </c>
      <c r="Q74" s="9">
        <v>0</v>
      </c>
      <c r="R74" s="9">
        <v>0</v>
      </c>
      <c r="S74" s="9">
        <v>0</v>
      </c>
      <c r="T74" s="9">
        <v>0</v>
      </c>
      <c r="U74" s="9">
        <v>0</v>
      </c>
      <c r="V74" s="9">
        <v>0</v>
      </c>
      <c r="W74" s="9">
        <v>0</v>
      </c>
      <c r="X74" s="9">
        <v>0</v>
      </c>
      <c r="Y74" s="9">
        <v>0</v>
      </c>
      <c r="Z74" s="9">
        <v>0</v>
      </c>
      <c r="AA74" s="9">
        <v>0</v>
      </c>
      <c r="AB74" s="9">
        <v>0</v>
      </c>
      <c r="AC74" s="9">
        <v>0</v>
      </c>
      <c r="AD74" s="9">
        <v>0</v>
      </c>
      <c r="AE74" s="9">
        <v>0</v>
      </c>
      <c r="AF74" s="9">
        <v>0</v>
      </c>
      <c r="AG74" s="9">
        <v>0</v>
      </c>
      <c r="AH74" s="9">
        <v>0</v>
      </c>
      <c r="AI74" s="9">
        <v>0</v>
      </c>
      <c r="AJ74" s="9">
        <v>0</v>
      </c>
      <c r="AK74" s="9">
        <v>0</v>
      </c>
      <c r="AL74" s="9">
        <v>0</v>
      </c>
      <c r="AM74" s="9">
        <v>0</v>
      </c>
      <c r="AN74" s="9">
        <v>0</v>
      </c>
      <c r="AO74" s="9">
        <v>0</v>
      </c>
      <c r="AP74" s="9">
        <v>0</v>
      </c>
      <c r="AQ74" s="9">
        <v>0</v>
      </c>
      <c r="AR74" s="9">
        <v>0</v>
      </c>
      <c r="AS74" s="9">
        <v>0</v>
      </c>
      <c r="AT74" s="9">
        <v>0</v>
      </c>
      <c r="AU74" s="9">
        <v>0</v>
      </c>
      <c r="AV74" s="9">
        <v>0</v>
      </c>
      <c r="AW74" s="9">
        <v>0</v>
      </c>
      <c r="AX74" s="9">
        <v>0</v>
      </c>
      <c r="AY74" s="9">
        <v>0</v>
      </c>
      <c r="AZ74" s="9">
        <v>0</v>
      </c>
      <c r="BA74" s="9">
        <v>0</v>
      </c>
      <c r="BB74" s="9">
        <v>0</v>
      </c>
      <c r="BC74" s="9">
        <v>0</v>
      </c>
      <c r="BD74" s="9">
        <v>0</v>
      </c>
      <c r="BE74" s="9">
        <v>0</v>
      </c>
      <c r="BF74" s="9">
        <v>0</v>
      </c>
      <c r="BG74" s="9">
        <v>0</v>
      </c>
      <c r="BH74" s="9">
        <v>0</v>
      </c>
      <c r="BI74" s="9">
        <v>0</v>
      </c>
      <c r="BJ74" s="9">
        <v>0</v>
      </c>
      <c r="BK74" s="9">
        <v>0</v>
      </c>
      <c r="BL74" s="9">
        <v>0</v>
      </c>
      <c r="BM74" s="9">
        <v>0</v>
      </c>
      <c r="BN74" s="9">
        <v>0</v>
      </c>
      <c r="BO74" s="9">
        <v>0</v>
      </c>
      <c r="BP74" s="9">
        <v>0</v>
      </c>
      <c r="BQ74" s="9">
        <v>0</v>
      </c>
      <c r="BR74" s="9">
        <v>0</v>
      </c>
      <c r="BS74" s="9">
        <v>0</v>
      </c>
      <c r="BT74" s="9">
        <v>0</v>
      </c>
      <c r="BU74" s="9">
        <v>0</v>
      </c>
      <c r="BV74" s="9">
        <v>0</v>
      </c>
      <c r="BW74" s="9">
        <v>0</v>
      </c>
      <c r="BX74" s="9">
        <v>0</v>
      </c>
      <c r="BY74" s="9">
        <v>0</v>
      </c>
      <c r="BZ74" s="9">
        <v>0</v>
      </c>
      <c r="CA74" s="9">
        <v>0</v>
      </c>
      <c r="CB74" s="9">
        <v>0</v>
      </c>
      <c r="CC74" s="9">
        <v>0</v>
      </c>
      <c r="CD74" s="9">
        <v>0</v>
      </c>
      <c r="CE74" s="9">
        <v>0</v>
      </c>
      <c r="CF74" s="9">
        <v>0</v>
      </c>
      <c r="CG74" s="9">
        <v>0</v>
      </c>
      <c r="CH74" s="9">
        <v>0</v>
      </c>
      <c r="CI74" s="9">
        <v>0</v>
      </c>
      <c r="CJ74" s="9">
        <v>0</v>
      </c>
      <c r="CK74" s="9">
        <v>0</v>
      </c>
      <c r="CL74" s="9">
        <v>0</v>
      </c>
      <c r="CM74" s="9">
        <v>0</v>
      </c>
      <c r="CN74" s="9">
        <v>0</v>
      </c>
      <c r="CO74" s="9">
        <v>0</v>
      </c>
      <c r="CP74" s="9">
        <v>0</v>
      </c>
      <c r="CQ74" s="9">
        <v>0</v>
      </c>
      <c r="CR74" s="9">
        <v>0</v>
      </c>
      <c r="CS74" s="10">
        <v>0</v>
      </c>
    </row>
    <row r="75" spans="1:97" x14ac:dyDescent="0.35">
      <c r="A75" s="8" t="s">
        <v>73</v>
      </c>
      <c r="B75" s="9" t="s">
        <v>666</v>
      </c>
      <c r="C75" s="9" t="s">
        <v>667</v>
      </c>
      <c r="D75" s="9">
        <f t="shared" si="1"/>
        <v>0</v>
      </c>
      <c r="E75" s="9">
        <v>0</v>
      </c>
      <c r="F75" s="9">
        <v>0</v>
      </c>
      <c r="G75" s="9">
        <v>0</v>
      </c>
      <c r="H75" s="9">
        <v>0</v>
      </c>
      <c r="I75" s="9">
        <v>0</v>
      </c>
      <c r="J75" s="9">
        <v>0</v>
      </c>
      <c r="K75" s="9">
        <v>0</v>
      </c>
      <c r="L75" s="9">
        <v>0</v>
      </c>
      <c r="M75" s="9">
        <v>0</v>
      </c>
      <c r="N75" s="9">
        <v>0</v>
      </c>
      <c r="O75" s="9">
        <v>0</v>
      </c>
      <c r="P75" s="9">
        <v>0</v>
      </c>
      <c r="Q75" s="9">
        <v>0</v>
      </c>
      <c r="R75" s="9">
        <v>0</v>
      </c>
      <c r="S75" s="9">
        <v>0</v>
      </c>
      <c r="T75" s="9">
        <v>0</v>
      </c>
      <c r="U75" s="9">
        <v>0</v>
      </c>
      <c r="V75" s="9">
        <v>0</v>
      </c>
      <c r="W75" s="9">
        <v>0</v>
      </c>
      <c r="X75" s="9">
        <v>0</v>
      </c>
      <c r="Y75" s="9">
        <v>0</v>
      </c>
      <c r="Z75" s="9">
        <v>0</v>
      </c>
      <c r="AA75" s="9">
        <v>0</v>
      </c>
      <c r="AB75" s="9">
        <v>0</v>
      </c>
      <c r="AC75" s="9">
        <v>0</v>
      </c>
      <c r="AD75" s="9">
        <v>0</v>
      </c>
      <c r="AE75" s="9">
        <v>0</v>
      </c>
      <c r="AF75" s="9">
        <v>0</v>
      </c>
      <c r="AG75" s="9">
        <v>0</v>
      </c>
      <c r="AH75" s="9">
        <v>0</v>
      </c>
      <c r="AI75" s="9">
        <v>0</v>
      </c>
      <c r="AJ75" s="9">
        <v>0</v>
      </c>
      <c r="AK75" s="9">
        <v>0</v>
      </c>
      <c r="AL75" s="9">
        <v>0</v>
      </c>
      <c r="AM75" s="9">
        <v>0</v>
      </c>
      <c r="AN75" s="9">
        <v>0</v>
      </c>
      <c r="AO75" s="9">
        <v>0</v>
      </c>
      <c r="AP75" s="9">
        <v>0</v>
      </c>
      <c r="AQ75" s="9">
        <v>0</v>
      </c>
      <c r="AR75" s="9">
        <v>0</v>
      </c>
      <c r="AS75" s="9">
        <v>0</v>
      </c>
      <c r="AT75" s="9">
        <v>0</v>
      </c>
      <c r="AU75" s="9">
        <v>0</v>
      </c>
      <c r="AV75" s="9">
        <v>0</v>
      </c>
      <c r="AW75" s="9">
        <v>0</v>
      </c>
      <c r="AX75" s="9">
        <v>0</v>
      </c>
      <c r="AY75" s="9">
        <v>0</v>
      </c>
      <c r="AZ75" s="9">
        <v>0</v>
      </c>
      <c r="BA75" s="9">
        <v>0</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c r="CB75" s="9">
        <v>0</v>
      </c>
      <c r="CC75" s="9">
        <v>0</v>
      </c>
      <c r="CD75" s="9">
        <v>0</v>
      </c>
      <c r="CE75" s="9">
        <v>0</v>
      </c>
      <c r="CF75" s="9">
        <v>0</v>
      </c>
      <c r="CG75" s="9">
        <v>0</v>
      </c>
      <c r="CH75" s="9">
        <v>0</v>
      </c>
      <c r="CI75" s="9">
        <v>0</v>
      </c>
      <c r="CJ75" s="9">
        <v>0</v>
      </c>
      <c r="CK75" s="9">
        <v>0</v>
      </c>
      <c r="CL75" s="9">
        <v>0</v>
      </c>
      <c r="CM75" s="9">
        <v>0</v>
      </c>
      <c r="CN75" s="9">
        <v>0</v>
      </c>
      <c r="CO75" s="9">
        <v>0</v>
      </c>
      <c r="CP75" s="9">
        <v>0</v>
      </c>
      <c r="CQ75" s="9">
        <v>0</v>
      </c>
      <c r="CR75" s="9">
        <v>0</v>
      </c>
      <c r="CS75" s="10">
        <v>0</v>
      </c>
    </row>
    <row r="76" spans="1:97" x14ac:dyDescent="0.35">
      <c r="A76" s="8" t="s">
        <v>73</v>
      </c>
      <c r="B76" s="9" t="s">
        <v>668</v>
      </c>
      <c r="C76" s="9" t="s">
        <v>669</v>
      </c>
      <c r="D76" s="9">
        <f t="shared" si="1"/>
        <v>0</v>
      </c>
      <c r="E76" s="9">
        <v>0</v>
      </c>
      <c r="F76" s="9">
        <v>0</v>
      </c>
      <c r="G76" s="9">
        <v>0</v>
      </c>
      <c r="H76" s="9">
        <v>0</v>
      </c>
      <c r="I76" s="9">
        <v>0</v>
      </c>
      <c r="J76" s="9">
        <v>0</v>
      </c>
      <c r="K76" s="9">
        <v>0</v>
      </c>
      <c r="L76" s="9">
        <v>0</v>
      </c>
      <c r="M76" s="9">
        <v>0</v>
      </c>
      <c r="N76" s="9">
        <v>0</v>
      </c>
      <c r="O76" s="9">
        <v>0</v>
      </c>
      <c r="P76" s="9">
        <v>0</v>
      </c>
      <c r="Q76" s="9">
        <v>0</v>
      </c>
      <c r="R76" s="9">
        <v>0</v>
      </c>
      <c r="S76" s="9">
        <v>0</v>
      </c>
      <c r="T76" s="9">
        <v>0</v>
      </c>
      <c r="U76" s="9">
        <v>0</v>
      </c>
      <c r="V76" s="9">
        <v>0</v>
      </c>
      <c r="W76" s="9">
        <v>0</v>
      </c>
      <c r="X76" s="9">
        <v>0</v>
      </c>
      <c r="Y76" s="9">
        <v>0</v>
      </c>
      <c r="Z76" s="9">
        <v>0</v>
      </c>
      <c r="AA76" s="9">
        <v>0</v>
      </c>
      <c r="AB76" s="9">
        <v>0</v>
      </c>
      <c r="AC76" s="9">
        <v>0</v>
      </c>
      <c r="AD76" s="9">
        <v>0</v>
      </c>
      <c r="AE76" s="9">
        <v>0</v>
      </c>
      <c r="AF76" s="9">
        <v>0</v>
      </c>
      <c r="AG76" s="9">
        <v>0</v>
      </c>
      <c r="AH76" s="9">
        <v>0</v>
      </c>
      <c r="AI76" s="9">
        <v>0</v>
      </c>
      <c r="AJ76" s="9">
        <v>0</v>
      </c>
      <c r="AK76" s="9">
        <v>0</v>
      </c>
      <c r="AL76" s="9">
        <v>0</v>
      </c>
      <c r="AM76" s="9">
        <v>0</v>
      </c>
      <c r="AN76" s="9">
        <v>0</v>
      </c>
      <c r="AO76" s="9">
        <v>0</v>
      </c>
      <c r="AP76" s="9">
        <v>0</v>
      </c>
      <c r="AQ76" s="9">
        <v>0</v>
      </c>
      <c r="AR76" s="9">
        <v>0</v>
      </c>
      <c r="AS76" s="9">
        <v>0</v>
      </c>
      <c r="AT76" s="9">
        <v>0</v>
      </c>
      <c r="AU76" s="9">
        <v>0</v>
      </c>
      <c r="AV76" s="9">
        <v>0</v>
      </c>
      <c r="AW76" s="9">
        <v>0</v>
      </c>
      <c r="AX76" s="9">
        <v>0</v>
      </c>
      <c r="AY76" s="9">
        <v>0</v>
      </c>
      <c r="AZ76" s="9">
        <v>0</v>
      </c>
      <c r="BA76" s="9">
        <v>0</v>
      </c>
      <c r="BB76" s="9">
        <v>0</v>
      </c>
      <c r="BC76" s="9">
        <v>0</v>
      </c>
      <c r="BD76" s="9">
        <v>0</v>
      </c>
      <c r="BE76" s="9">
        <v>0</v>
      </c>
      <c r="BF76" s="9">
        <v>0</v>
      </c>
      <c r="BG76" s="9">
        <v>0</v>
      </c>
      <c r="BH76" s="9">
        <v>0</v>
      </c>
      <c r="BI76" s="9">
        <v>0</v>
      </c>
      <c r="BJ76" s="9">
        <v>0</v>
      </c>
      <c r="BK76" s="9">
        <v>0</v>
      </c>
      <c r="BL76" s="9">
        <v>0</v>
      </c>
      <c r="BM76" s="9">
        <v>0</v>
      </c>
      <c r="BN76" s="9">
        <v>0</v>
      </c>
      <c r="BO76" s="9">
        <v>0</v>
      </c>
      <c r="BP76" s="9">
        <v>0</v>
      </c>
      <c r="BQ76" s="9">
        <v>0</v>
      </c>
      <c r="BR76" s="9">
        <v>0</v>
      </c>
      <c r="BS76" s="9">
        <v>0</v>
      </c>
      <c r="BT76" s="9">
        <v>0</v>
      </c>
      <c r="BU76" s="9">
        <v>0</v>
      </c>
      <c r="BV76" s="9">
        <v>0</v>
      </c>
      <c r="BW76" s="9">
        <v>0</v>
      </c>
      <c r="BX76" s="9">
        <v>0</v>
      </c>
      <c r="BY76" s="9">
        <v>0</v>
      </c>
      <c r="BZ76" s="9">
        <v>0</v>
      </c>
      <c r="CA76" s="9">
        <v>0</v>
      </c>
      <c r="CB76" s="9">
        <v>0</v>
      </c>
      <c r="CC76" s="9">
        <v>0</v>
      </c>
      <c r="CD76" s="9">
        <v>0</v>
      </c>
      <c r="CE76" s="9">
        <v>0</v>
      </c>
      <c r="CF76" s="9">
        <v>0</v>
      </c>
      <c r="CG76" s="9">
        <v>0</v>
      </c>
      <c r="CH76" s="9">
        <v>0</v>
      </c>
      <c r="CI76" s="9">
        <v>0</v>
      </c>
      <c r="CJ76" s="9">
        <v>0</v>
      </c>
      <c r="CK76" s="9">
        <v>0</v>
      </c>
      <c r="CL76" s="9">
        <v>0</v>
      </c>
      <c r="CM76" s="9">
        <v>0</v>
      </c>
      <c r="CN76" s="9">
        <v>0</v>
      </c>
      <c r="CO76" s="9">
        <v>0</v>
      </c>
      <c r="CP76" s="9">
        <v>0</v>
      </c>
      <c r="CQ76" s="9">
        <v>0</v>
      </c>
      <c r="CR76" s="9">
        <v>0</v>
      </c>
      <c r="CS76" s="10">
        <v>0</v>
      </c>
    </row>
    <row r="77" spans="1:97" x14ac:dyDescent="0.35">
      <c r="A77" s="8" t="s">
        <v>73</v>
      </c>
      <c r="B77" s="9" t="s">
        <v>670</v>
      </c>
      <c r="C77" s="9" t="s">
        <v>671</v>
      </c>
      <c r="D77" s="9">
        <f t="shared" si="1"/>
        <v>0</v>
      </c>
      <c r="E77" s="9">
        <v>0</v>
      </c>
      <c r="F77" s="9">
        <v>0</v>
      </c>
      <c r="G77" s="9">
        <v>0</v>
      </c>
      <c r="H77" s="9">
        <v>0</v>
      </c>
      <c r="I77" s="9">
        <v>0</v>
      </c>
      <c r="J77" s="9">
        <v>0</v>
      </c>
      <c r="K77" s="9">
        <v>0</v>
      </c>
      <c r="L77" s="9">
        <v>0</v>
      </c>
      <c r="M77" s="9">
        <v>0</v>
      </c>
      <c r="N77" s="9">
        <v>0</v>
      </c>
      <c r="O77" s="9">
        <v>0</v>
      </c>
      <c r="P77" s="9">
        <v>0</v>
      </c>
      <c r="Q77" s="9">
        <v>0</v>
      </c>
      <c r="R77" s="9">
        <v>0</v>
      </c>
      <c r="S77" s="9">
        <v>0</v>
      </c>
      <c r="T77" s="9">
        <v>0</v>
      </c>
      <c r="U77" s="9">
        <v>0</v>
      </c>
      <c r="V77" s="9">
        <v>0</v>
      </c>
      <c r="W77" s="9">
        <v>0</v>
      </c>
      <c r="X77" s="9">
        <v>0</v>
      </c>
      <c r="Y77" s="9">
        <v>0</v>
      </c>
      <c r="Z77" s="9">
        <v>0</v>
      </c>
      <c r="AA77" s="9">
        <v>0</v>
      </c>
      <c r="AB77" s="9">
        <v>0</v>
      </c>
      <c r="AC77" s="9">
        <v>0</v>
      </c>
      <c r="AD77" s="9">
        <v>0</v>
      </c>
      <c r="AE77" s="9">
        <v>0</v>
      </c>
      <c r="AF77" s="9">
        <v>0</v>
      </c>
      <c r="AG77" s="9">
        <v>0</v>
      </c>
      <c r="AH77" s="9">
        <v>0</v>
      </c>
      <c r="AI77" s="9">
        <v>0</v>
      </c>
      <c r="AJ77" s="9">
        <v>0</v>
      </c>
      <c r="AK77" s="9">
        <v>0</v>
      </c>
      <c r="AL77" s="9">
        <v>0</v>
      </c>
      <c r="AM77" s="9">
        <v>0</v>
      </c>
      <c r="AN77" s="9">
        <v>0</v>
      </c>
      <c r="AO77" s="9">
        <v>0</v>
      </c>
      <c r="AP77" s="9">
        <v>0</v>
      </c>
      <c r="AQ77" s="9">
        <v>0</v>
      </c>
      <c r="AR77" s="9">
        <v>0</v>
      </c>
      <c r="AS77" s="9">
        <v>0</v>
      </c>
      <c r="AT77" s="9">
        <v>0</v>
      </c>
      <c r="AU77" s="9">
        <v>0</v>
      </c>
      <c r="AV77" s="9">
        <v>0</v>
      </c>
      <c r="AW77" s="9">
        <v>0</v>
      </c>
      <c r="AX77" s="9">
        <v>0</v>
      </c>
      <c r="AY77" s="9">
        <v>0</v>
      </c>
      <c r="AZ77" s="9">
        <v>0</v>
      </c>
      <c r="BA77" s="9">
        <v>0</v>
      </c>
      <c r="BB77" s="9">
        <v>0</v>
      </c>
      <c r="BC77" s="9">
        <v>0</v>
      </c>
      <c r="BD77" s="9">
        <v>0</v>
      </c>
      <c r="BE77" s="9">
        <v>0</v>
      </c>
      <c r="BF77" s="9">
        <v>0</v>
      </c>
      <c r="BG77" s="9">
        <v>0</v>
      </c>
      <c r="BH77" s="9">
        <v>0</v>
      </c>
      <c r="BI77" s="9">
        <v>0</v>
      </c>
      <c r="BJ77" s="9">
        <v>0</v>
      </c>
      <c r="BK77" s="9">
        <v>0</v>
      </c>
      <c r="BL77" s="9">
        <v>0</v>
      </c>
      <c r="BM77" s="9">
        <v>0</v>
      </c>
      <c r="BN77" s="9">
        <v>0</v>
      </c>
      <c r="BO77" s="9">
        <v>0</v>
      </c>
      <c r="BP77" s="9">
        <v>0</v>
      </c>
      <c r="BQ77" s="9">
        <v>0</v>
      </c>
      <c r="BR77" s="9">
        <v>0</v>
      </c>
      <c r="BS77" s="9">
        <v>0</v>
      </c>
      <c r="BT77" s="9">
        <v>0</v>
      </c>
      <c r="BU77" s="9">
        <v>0</v>
      </c>
      <c r="BV77" s="9">
        <v>0</v>
      </c>
      <c r="BW77" s="9">
        <v>0</v>
      </c>
      <c r="BX77" s="9">
        <v>0</v>
      </c>
      <c r="BY77" s="9">
        <v>0</v>
      </c>
      <c r="BZ77" s="9">
        <v>0</v>
      </c>
      <c r="CA77" s="9">
        <v>0</v>
      </c>
      <c r="CB77" s="9">
        <v>0</v>
      </c>
      <c r="CC77" s="9">
        <v>0</v>
      </c>
      <c r="CD77" s="9">
        <v>0</v>
      </c>
      <c r="CE77" s="9">
        <v>0</v>
      </c>
      <c r="CF77" s="9">
        <v>0</v>
      </c>
      <c r="CG77" s="9">
        <v>0</v>
      </c>
      <c r="CH77" s="9">
        <v>0</v>
      </c>
      <c r="CI77" s="9">
        <v>0</v>
      </c>
      <c r="CJ77" s="9">
        <v>0</v>
      </c>
      <c r="CK77" s="9">
        <v>0</v>
      </c>
      <c r="CL77" s="9">
        <v>0</v>
      </c>
      <c r="CM77" s="9">
        <v>0</v>
      </c>
      <c r="CN77" s="9">
        <v>0</v>
      </c>
      <c r="CO77" s="9">
        <v>0</v>
      </c>
      <c r="CP77" s="9">
        <v>0</v>
      </c>
      <c r="CQ77" s="9">
        <v>0</v>
      </c>
      <c r="CR77" s="9">
        <v>0</v>
      </c>
      <c r="CS77" s="10">
        <v>0</v>
      </c>
    </row>
    <row r="78" spans="1:97" x14ac:dyDescent="0.35">
      <c r="A78" s="8" t="s">
        <v>73</v>
      </c>
      <c r="B78" s="9" t="s">
        <v>672</v>
      </c>
      <c r="C78" s="9" t="s">
        <v>673</v>
      </c>
      <c r="D78" s="9">
        <f t="shared" si="1"/>
        <v>0</v>
      </c>
      <c r="E78" s="9">
        <v>0</v>
      </c>
      <c r="F78" s="9">
        <v>0</v>
      </c>
      <c r="G78" s="9">
        <v>0</v>
      </c>
      <c r="H78" s="9">
        <v>0</v>
      </c>
      <c r="I78" s="9">
        <v>0</v>
      </c>
      <c r="J78" s="9">
        <v>0</v>
      </c>
      <c r="K78" s="9">
        <v>0</v>
      </c>
      <c r="L78" s="9">
        <v>0</v>
      </c>
      <c r="M78" s="9">
        <v>0</v>
      </c>
      <c r="N78" s="9">
        <v>0</v>
      </c>
      <c r="O78" s="9">
        <v>0</v>
      </c>
      <c r="P78" s="9">
        <v>0</v>
      </c>
      <c r="Q78" s="9">
        <v>0</v>
      </c>
      <c r="R78" s="9">
        <v>0</v>
      </c>
      <c r="S78" s="9">
        <v>0</v>
      </c>
      <c r="T78" s="9">
        <v>0</v>
      </c>
      <c r="U78" s="9">
        <v>0</v>
      </c>
      <c r="V78" s="9">
        <v>0</v>
      </c>
      <c r="W78" s="9">
        <v>0</v>
      </c>
      <c r="X78" s="9">
        <v>0</v>
      </c>
      <c r="Y78" s="9">
        <v>0</v>
      </c>
      <c r="Z78" s="9">
        <v>0</v>
      </c>
      <c r="AA78" s="9">
        <v>0</v>
      </c>
      <c r="AB78" s="9">
        <v>0</v>
      </c>
      <c r="AC78" s="9">
        <v>0</v>
      </c>
      <c r="AD78" s="9">
        <v>0</v>
      </c>
      <c r="AE78" s="9">
        <v>0</v>
      </c>
      <c r="AF78" s="9">
        <v>0</v>
      </c>
      <c r="AG78" s="9">
        <v>0</v>
      </c>
      <c r="AH78" s="9">
        <v>0</v>
      </c>
      <c r="AI78" s="9">
        <v>0</v>
      </c>
      <c r="AJ78" s="9">
        <v>0</v>
      </c>
      <c r="AK78" s="9">
        <v>0</v>
      </c>
      <c r="AL78" s="9">
        <v>0</v>
      </c>
      <c r="AM78" s="9">
        <v>0</v>
      </c>
      <c r="AN78" s="9">
        <v>0</v>
      </c>
      <c r="AO78" s="9">
        <v>0</v>
      </c>
      <c r="AP78" s="9">
        <v>0</v>
      </c>
      <c r="AQ78" s="9">
        <v>0</v>
      </c>
      <c r="AR78" s="9">
        <v>0</v>
      </c>
      <c r="AS78" s="9">
        <v>0</v>
      </c>
      <c r="AT78" s="9">
        <v>0</v>
      </c>
      <c r="AU78" s="9">
        <v>0</v>
      </c>
      <c r="AV78" s="9">
        <v>0</v>
      </c>
      <c r="AW78" s="9">
        <v>0</v>
      </c>
      <c r="AX78" s="9">
        <v>0</v>
      </c>
      <c r="AY78" s="9">
        <v>0</v>
      </c>
      <c r="AZ78" s="9">
        <v>0</v>
      </c>
      <c r="BA78" s="9">
        <v>0</v>
      </c>
      <c r="BB78" s="9">
        <v>0</v>
      </c>
      <c r="BC78" s="9">
        <v>0</v>
      </c>
      <c r="BD78" s="9">
        <v>0</v>
      </c>
      <c r="BE78" s="9">
        <v>0</v>
      </c>
      <c r="BF78" s="9">
        <v>0</v>
      </c>
      <c r="BG78" s="9">
        <v>0</v>
      </c>
      <c r="BH78" s="9">
        <v>0</v>
      </c>
      <c r="BI78" s="9">
        <v>0</v>
      </c>
      <c r="BJ78" s="9">
        <v>0</v>
      </c>
      <c r="BK78" s="9">
        <v>0</v>
      </c>
      <c r="BL78" s="9">
        <v>0</v>
      </c>
      <c r="BM78" s="9">
        <v>0</v>
      </c>
      <c r="BN78" s="9">
        <v>0</v>
      </c>
      <c r="BO78" s="9">
        <v>0</v>
      </c>
      <c r="BP78" s="9">
        <v>0</v>
      </c>
      <c r="BQ78" s="9">
        <v>0</v>
      </c>
      <c r="BR78" s="9">
        <v>0</v>
      </c>
      <c r="BS78" s="9">
        <v>0</v>
      </c>
      <c r="BT78" s="9">
        <v>0</v>
      </c>
      <c r="BU78" s="9">
        <v>0</v>
      </c>
      <c r="BV78" s="9">
        <v>0</v>
      </c>
      <c r="BW78" s="9">
        <v>0</v>
      </c>
      <c r="BX78" s="9">
        <v>0</v>
      </c>
      <c r="BY78" s="9">
        <v>0</v>
      </c>
      <c r="BZ78" s="9">
        <v>0</v>
      </c>
      <c r="CA78" s="9">
        <v>0</v>
      </c>
      <c r="CB78" s="9">
        <v>0</v>
      </c>
      <c r="CC78" s="9">
        <v>0</v>
      </c>
      <c r="CD78" s="9">
        <v>0</v>
      </c>
      <c r="CE78" s="9">
        <v>0</v>
      </c>
      <c r="CF78" s="9">
        <v>0</v>
      </c>
      <c r="CG78" s="9">
        <v>0</v>
      </c>
      <c r="CH78" s="9">
        <v>0</v>
      </c>
      <c r="CI78" s="9">
        <v>0</v>
      </c>
      <c r="CJ78" s="9">
        <v>0</v>
      </c>
      <c r="CK78" s="9">
        <v>0</v>
      </c>
      <c r="CL78" s="9">
        <v>0</v>
      </c>
      <c r="CM78" s="9">
        <v>0</v>
      </c>
      <c r="CN78" s="9">
        <v>0</v>
      </c>
      <c r="CO78" s="9">
        <v>0</v>
      </c>
      <c r="CP78" s="9">
        <v>0</v>
      </c>
      <c r="CQ78" s="9">
        <v>0</v>
      </c>
      <c r="CR78" s="9">
        <v>0</v>
      </c>
      <c r="CS78" s="10">
        <v>0</v>
      </c>
    </row>
    <row r="79" spans="1:97" x14ac:dyDescent="0.35">
      <c r="A79" s="8" t="s">
        <v>73</v>
      </c>
      <c r="B79" s="9" t="s">
        <v>94</v>
      </c>
      <c r="C79" s="9" t="s">
        <v>674</v>
      </c>
      <c r="D79" s="9">
        <f t="shared" si="1"/>
        <v>0</v>
      </c>
      <c r="E79" s="9">
        <v>0</v>
      </c>
      <c r="F79" s="9">
        <v>0</v>
      </c>
      <c r="G79" s="9">
        <v>0</v>
      </c>
      <c r="H79" s="9">
        <v>0</v>
      </c>
      <c r="I79" s="9">
        <v>0</v>
      </c>
      <c r="J79" s="9">
        <v>0</v>
      </c>
      <c r="K79" s="9">
        <v>0</v>
      </c>
      <c r="L79" s="9">
        <v>0</v>
      </c>
      <c r="M79" s="9">
        <v>0</v>
      </c>
      <c r="N79" s="9">
        <v>0</v>
      </c>
      <c r="O79" s="9">
        <v>0</v>
      </c>
      <c r="P79" s="9">
        <v>0</v>
      </c>
      <c r="Q79" s="9">
        <v>0</v>
      </c>
      <c r="R79" s="9">
        <v>0</v>
      </c>
      <c r="S79" s="9">
        <v>0</v>
      </c>
      <c r="T79" s="9">
        <v>0</v>
      </c>
      <c r="U79" s="9">
        <v>0</v>
      </c>
      <c r="V79" s="9">
        <v>0</v>
      </c>
      <c r="W79" s="9">
        <v>0</v>
      </c>
      <c r="X79" s="9">
        <v>0</v>
      </c>
      <c r="Y79" s="9">
        <v>0</v>
      </c>
      <c r="Z79" s="9">
        <v>0</v>
      </c>
      <c r="AA79" s="9">
        <v>0</v>
      </c>
      <c r="AB79" s="9">
        <v>0</v>
      </c>
      <c r="AC79" s="9">
        <v>0</v>
      </c>
      <c r="AD79" s="9">
        <v>0</v>
      </c>
      <c r="AE79" s="9">
        <v>0</v>
      </c>
      <c r="AF79" s="9">
        <v>0</v>
      </c>
      <c r="AG79" s="9">
        <v>0</v>
      </c>
      <c r="AH79" s="9">
        <v>0</v>
      </c>
      <c r="AI79" s="9">
        <v>0</v>
      </c>
      <c r="AJ79" s="9">
        <v>0</v>
      </c>
      <c r="AK79" s="9">
        <v>0</v>
      </c>
      <c r="AL79" s="9">
        <v>0</v>
      </c>
      <c r="AM79" s="9">
        <v>0</v>
      </c>
      <c r="AN79" s="9">
        <v>0</v>
      </c>
      <c r="AO79" s="9">
        <v>0</v>
      </c>
      <c r="AP79" s="9">
        <v>0</v>
      </c>
      <c r="AQ79" s="9">
        <v>0</v>
      </c>
      <c r="AR79" s="9">
        <v>0</v>
      </c>
      <c r="AS79" s="9">
        <v>0</v>
      </c>
      <c r="AT79" s="9">
        <v>0</v>
      </c>
      <c r="AU79" s="9">
        <v>0</v>
      </c>
      <c r="AV79" s="9">
        <v>0</v>
      </c>
      <c r="AW79" s="9">
        <v>0</v>
      </c>
      <c r="AX79" s="9">
        <v>0</v>
      </c>
      <c r="AY79" s="9">
        <v>0</v>
      </c>
      <c r="AZ79" s="9">
        <v>0</v>
      </c>
      <c r="BA79" s="9">
        <v>0</v>
      </c>
      <c r="BB79" s="9">
        <v>0</v>
      </c>
      <c r="BC79" s="9">
        <v>0</v>
      </c>
      <c r="BD79" s="9">
        <v>0</v>
      </c>
      <c r="BE79" s="9">
        <v>0</v>
      </c>
      <c r="BF79" s="9">
        <v>0</v>
      </c>
      <c r="BG79" s="9">
        <v>0</v>
      </c>
      <c r="BH79" s="9">
        <v>0</v>
      </c>
      <c r="BI79" s="9">
        <v>0</v>
      </c>
      <c r="BJ79" s="9">
        <v>0</v>
      </c>
      <c r="BK79" s="9">
        <v>0</v>
      </c>
      <c r="BL79" s="9">
        <v>0</v>
      </c>
      <c r="BM79" s="9">
        <v>0</v>
      </c>
      <c r="BN79" s="9">
        <v>0</v>
      </c>
      <c r="BO79" s="9">
        <v>0</v>
      </c>
      <c r="BP79" s="9">
        <v>0</v>
      </c>
      <c r="BQ79" s="9">
        <v>0</v>
      </c>
      <c r="BR79" s="9">
        <v>0</v>
      </c>
      <c r="BS79" s="9">
        <v>0</v>
      </c>
      <c r="BT79" s="9">
        <v>0</v>
      </c>
      <c r="BU79" s="9">
        <v>0</v>
      </c>
      <c r="BV79" s="9">
        <v>0</v>
      </c>
      <c r="BW79" s="9">
        <v>0</v>
      </c>
      <c r="BX79" s="9">
        <v>0</v>
      </c>
      <c r="BY79" s="9">
        <v>0</v>
      </c>
      <c r="BZ79" s="9">
        <v>0</v>
      </c>
      <c r="CA79" s="9">
        <v>0</v>
      </c>
      <c r="CB79" s="9">
        <v>0</v>
      </c>
      <c r="CC79" s="9">
        <v>0</v>
      </c>
      <c r="CD79" s="9">
        <v>0</v>
      </c>
      <c r="CE79" s="9">
        <v>0</v>
      </c>
      <c r="CF79" s="9">
        <v>0</v>
      </c>
      <c r="CG79" s="9">
        <v>0</v>
      </c>
      <c r="CH79" s="9">
        <v>0</v>
      </c>
      <c r="CI79" s="9">
        <v>0</v>
      </c>
      <c r="CJ79" s="9">
        <v>0</v>
      </c>
      <c r="CK79" s="9">
        <v>0</v>
      </c>
      <c r="CL79" s="9">
        <v>0</v>
      </c>
      <c r="CM79" s="9">
        <v>0</v>
      </c>
      <c r="CN79" s="9">
        <v>0</v>
      </c>
      <c r="CO79" s="9">
        <v>0</v>
      </c>
      <c r="CP79" s="9">
        <v>0</v>
      </c>
      <c r="CQ79" s="9">
        <v>0</v>
      </c>
      <c r="CR79" s="9">
        <v>0</v>
      </c>
      <c r="CS79" s="10">
        <v>0</v>
      </c>
    </row>
    <row r="80" spans="1:97" x14ac:dyDescent="0.35">
      <c r="A80" s="8" t="s">
        <v>73</v>
      </c>
      <c r="B80" s="9" t="s">
        <v>96</v>
      </c>
      <c r="C80" s="9" t="s">
        <v>675</v>
      </c>
      <c r="D80" s="9">
        <f t="shared" si="1"/>
        <v>0</v>
      </c>
      <c r="E80" s="9">
        <v>0</v>
      </c>
      <c r="F80" s="9">
        <v>0</v>
      </c>
      <c r="G80" s="9">
        <v>0</v>
      </c>
      <c r="H80" s="9">
        <v>0</v>
      </c>
      <c r="I80" s="9">
        <v>0</v>
      </c>
      <c r="J80" s="9">
        <v>0</v>
      </c>
      <c r="K80" s="9">
        <v>0</v>
      </c>
      <c r="L80" s="9">
        <v>0</v>
      </c>
      <c r="M80" s="9">
        <v>0</v>
      </c>
      <c r="N80" s="9">
        <v>0</v>
      </c>
      <c r="O80" s="9">
        <v>0</v>
      </c>
      <c r="P80" s="9">
        <v>0</v>
      </c>
      <c r="Q80" s="9">
        <v>0</v>
      </c>
      <c r="R80" s="9">
        <v>0</v>
      </c>
      <c r="S80" s="9">
        <v>0</v>
      </c>
      <c r="T80" s="9">
        <v>0</v>
      </c>
      <c r="U80" s="9">
        <v>0</v>
      </c>
      <c r="V80" s="9">
        <v>0</v>
      </c>
      <c r="W80" s="9">
        <v>0</v>
      </c>
      <c r="X80" s="9">
        <v>0</v>
      </c>
      <c r="Y80" s="9">
        <v>0</v>
      </c>
      <c r="Z80" s="9">
        <v>0</v>
      </c>
      <c r="AA80" s="9">
        <v>0</v>
      </c>
      <c r="AB80" s="9">
        <v>0</v>
      </c>
      <c r="AC80" s="9">
        <v>0</v>
      </c>
      <c r="AD80" s="9">
        <v>0</v>
      </c>
      <c r="AE80" s="9">
        <v>0</v>
      </c>
      <c r="AF80" s="9">
        <v>0</v>
      </c>
      <c r="AG80" s="9">
        <v>0</v>
      </c>
      <c r="AH80" s="9">
        <v>0</v>
      </c>
      <c r="AI80" s="9">
        <v>0</v>
      </c>
      <c r="AJ80" s="9">
        <v>0</v>
      </c>
      <c r="AK80" s="9">
        <v>0</v>
      </c>
      <c r="AL80" s="9">
        <v>0</v>
      </c>
      <c r="AM80" s="9">
        <v>0</v>
      </c>
      <c r="AN80" s="9">
        <v>0</v>
      </c>
      <c r="AO80" s="9">
        <v>0</v>
      </c>
      <c r="AP80" s="9">
        <v>0</v>
      </c>
      <c r="AQ80" s="9">
        <v>0</v>
      </c>
      <c r="AR80" s="9">
        <v>0</v>
      </c>
      <c r="AS80" s="9">
        <v>0</v>
      </c>
      <c r="AT80" s="9">
        <v>0</v>
      </c>
      <c r="AU80" s="9">
        <v>0</v>
      </c>
      <c r="AV80" s="9">
        <v>0</v>
      </c>
      <c r="AW80" s="9">
        <v>0</v>
      </c>
      <c r="AX80" s="9">
        <v>0</v>
      </c>
      <c r="AY80" s="9">
        <v>0</v>
      </c>
      <c r="AZ80" s="9">
        <v>0</v>
      </c>
      <c r="BA80" s="9">
        <v>0</v>
      </c>
      <c r="BB80" s="9">
        <v>0</v>
      </c>
      <c r="BC80" s="9">
        <v>0</v>
      </c>
      <c r="BD80" s="9">
        <v>0</v>
      </c>
      <c r="BE80" s="9">
        <v>0</v>
      </c>
      <c r="BF80" s="9">
        <v>0</v>
      </c>
      <c r="BG80" s="9">
        <v>0</v>
      </c>
      <c r="BH80" s="9">
        <v>0</v>
      </c>
      <c r="BI80" s="9">
        <v>0</v>
      </c>
      <c r="BJ80" s="9">
        <v>0</v>
      </c>
      <c r="BK80" s="9">
        <v>0</v>
      </c>
      <c r="BL80" s="9">
        <v>0</v>
      </c>
      <c r="BM80" s="9">
        <v>0</v>
      </c>
      <c r="BN80" s="9">
        <v>0</v>
      </c>
      <c r="BO80" s="9">
        <v>0</v>
      </c>
      <c r="BP80" s="9">
        <v>0</v>
      </c>
      <c r="BQ80" s="9">
        <v>0</v>
      </c>
      <c r="BR80" s="9">
        <v>0</v>
      </c>
      <c r="BS80" s="9">
        <v>0</v>
      </c>
      <c r="BT80" s="9">
        <v>0</v>
      </c>
      <c r="BU80" s="9">
        <v>0</v>
      </c>
      <c r="BV80" s="9">
        <v>0</v>
      </c>
      <c r="BW80" s="9">
        <v>0</v>
      </c>
      <c r="BX80" s="9">
        <v>0</v>
      </c>
      <c r="BY80" s="9">
        <v>0</v>
      </c>
      <c r="BZ80" s="9">
        <v>0</v>
      </c>
      <c r="CA80" s="9">
        <v>0</v>
      </c>
      <c r="CB80" s="9">
        <v>0</v>
      </c>
      <c r="CC80" s="9">
        <v>0</v>
      </c>
      <c r="CD80" s="9">
        <v>0</v>
      </c>
      <c r="CE80" s="9">
        <v>0</v>
      </c>
      <c r="CF80" s="9">
        <v>0</v>
      </c>
      <c r="CG80" s="9">
        <v>0</v>
      </c>
      <c r="CH80" s="9">
        <v>0</v>
      </c>
      <c r="CI80" s="9">
        <v>0</v>
      </c>
      <c r="CJ80" s="9">
        <v>0</v>
      </c>
      <c r="CK80" s="9">
        <v>0</v>
      </c>
      <c r="CL80" s="9">
        <v>0</v>
      </c>
      <c r="CM80" s="9">
        <v>0</v>
      </c>
      <c r="CN80" s="9">
        <v>0</v>
      </c>
      <c r="CO80" s="9">
        <v>0</v>
      </c>
      <c r="CP80" s="9">
        <v>0</v>
      </c>
      <c r="CQ80" s="9">
        <v>0</v>
      </c>
      <c r="CR80" s="9">
        <v>0</v>
      </c>
      <c r="CS80" s="10">
        <v>0</v>
      </c>
    </row>
    <row r="81" spans="1:97" x14ac:dyDescent="0.35">
      <c r="A81" s="8" t="s">
        <v>73</v>
      </c>
      <c r="B81" s="9" t="s">
        <v>676</v>
      </c>
      <c r="C81" s="9" t="s">
        <v>677</v>
      </c>
      <c r="D81" s="9">
        <f t="shared" si="1"/>
        <v>0</v>
      </c>
      <c r="E81" s="9">
        <v>0</v>
      </c>
      <c r="F81" s="9">
        <v>0</v>
      </c>
      <c r="G81" s="9">
        <v>0</v>
      </c>
      <c r="H81" s="9">
        <v>0</v>
      </c>
      <c r="I81" s="9">
        <v>0</v>
      </c>
      <c r="J81" s="9">
        <v>0</v>
      </c>
      <c r="K81" s="9">
        <v>0</v>
      </c>
      <c r="L81" s="9">
        <v>0</v>
      </c>
      <c r="M81" s="9">
        <v>0</v>
      </c>
      <c r="N81" s="9">
        <v>0</v>
      </c>
      <c r="O81" s="9">
        <v>0</v>
      </c>
      <c r="P81" s="9">
        <v>0</v>
      </c>
      <c r="Q81" s="9">
        <v>0</v>
      </c>
      <c r="R81" s="9">
        <v>0</v>
      </c>
      <c r="S81" s="9">
        <v>0</v>
      </c>
      <c r="T81" s="9">
        <v>0</v>
      </c>
      <c r="U81" s="9">
        <v>0</v>
      </c>
      <c r="V81" s="9">
        <v>0</v>
      </c>
      <c r="W81" s="9">
        <v>0</v>
      </c>
      <c r="X81" s="9">
        <v>0</v>
      </c>
      <c r="Y81" s="9">
        <v>0</v>
      </c>
      <c r="Z81" s="9">
        <v>0</v>
      </c>
      <c r="AA81" s="9">
        <v>0</v>
      </c>
      <c r="AB81" s="9">
        <v>0</v>
      </c>
      <c r="AC81" s="9">
        <v>0</v>
      </c>
      <c r="AD81" s="9">
        <v>0</v>
      </c>
      <c r="AE81" s="9">
        <v>0</v>
      </c>
      <c r="AF81" s="9">
        <v>0</v>
      </c>
      <c r="AG81" s="9">
        <v>0</v>
      </c>
      <c r="AH81" s="9">
        <v>0</v>
      </c>
      <c r="AI81" s="9">
        <v>0</v>
      </c>
      <c r="AJ81" s="9">
        <v>0</v>
      </c>
      <c r="AK81" s="9">
        <v>0</v>
      </c>
      <c r="AL81" s="9">
        <v>0</v>
      </c>
      <c r="AM81" s="9">
        <v>0</v>
      </c>
      <c r="AN81" s="9">
        <v>0</v>
      </c>
      <c r="AO81" s="9">
        <v>0</v>
      </c>
      <c r="AP81" s="9">
        <v>0</v>
      </c>
      <c r="AQ81" s="9">
        <v>0</v>
      </c>
      <c r="AR81" s="9">
        <v>0</v>
      </c>
      <c r="AS81" s="9">
        <v>0</v>
      </c>
      <c r="AT81" s="9">
        <v>0</v>
      </c>
      <c r="AU81" s="9">
        <v>0</v>
      </c>
      <c r="AV81" s="9">
        <v>0</v>
      </c>
      <c r="AW81" s="9">
        <v>0</v>
      </c>
      <c r="AX81" s="9">
        <v>0</v>
      </c>
      <c r="AY81" s="9">
        <v>0</v>
      </c>
      <c r="AZ81" s="9">
        <v>0</v>
      </c>
      <c r="BA81" s="9">
        <v>0</v>
      </c>
      <c r="BB81" s="9">
        <v>0</v>
      </c>
      <c r="BC81" s="9">
        <v>0</v>
      </c>
      <c r="BD81" s="9">
        <v>0</v>
      </c>
      <c r="BE81" s="9">
        <v>0</v>
      </c>
      <c r="BF81" s="9">
        <v>0</v>
      </c>
      <c r="BG81" s="9">
        <v>0</v>
      </c>
      <c r="BH81" s="9">
        <v>0</v>
      </c>
      <c r="BI81" s="9">
        <v>0</v>
      </c>
      <c r="BJ81" s="9">
        <v>0</v>
      </c>
      <c r="BK81" s="9">
        <v>0</v>
      </c>
      <c r="BL81" s="9">
        <v>0</v>
      </c>
      <c r="BM81" s="9">
        <v>0</v>
      </c>
      <c r="BN81" s="9">
        <v>0</v>
      </c>
      <c r="BO81" s="9">
        <v>0</v>
      </c>
      <c r="BP81" s="9">
        <v>0</v>
      </c>
      <c r="BQ81" s="9">
        <v>0</v>
      </c>
      <c r="BR81" s="9">
        <v>0</v>
      </c>
      <c r="BS81" s="9">
        <v>0</v>
      </c>
      <c r="BT81" s="9">
        <v>0</v>
      </c>
      <c r="BU81" s="9">
        <v>0</v>
      </c>
      <c r="BV81" s="9">
        <v>0</v>
      </c>
      <c r="BW81" s="9">
        <v>0</v>
      </c>
      <c r="BX81" s="9">
        <v>0</v>
      </c>
      <c r="BY81" s="9">
        <v>0</v>
      </c>
      <c r="BZ81" s="9">
        <v>0</v>
      </c>
      <c r="CA81" s="9">
        <v>0</v>
      </c>
      <c r="CB81" s="9">
        <v>0</v>
      </c>
      <c r="CC81" s="9">
        <v>0</v>
      </c>
      <c r="CD81" s="9">
        <v>0</v>
      </c>
      <c r="CE81" s="9">
        <v>0</v>
      </c>
      <c r="CF81" s="9">
        <v>0</v>
      </c>
      <c r="CG81" s="9">
        <v>0</v>
      </c>
      <c r="CH81" s="9">
        <v>0</v>
      </c>
      <c r="CI81" s="9">
        <v>0</v>
      </c>
      <c r="CJ81" s="9">
        <v>0</v>
      </c>
      <c r="CK81" s="9">
        <v>0</v>
      </c>
      <c r="CL81" s="9">
        <v>0</v>
      </c>
      <c r="CM81" s="9">
        <v>0</v>
      </c>
      <c r="CN81" s="9">
        <v>0</v>
      </c>
      <c r="CO81" s="9">
        <v>0</v>
      </c>
      <c r="CP81" s="9">
        <v>0</v>
      </c>
      <c r="CQ81" s="9">
        <v>0</v>
      </c>
      <c r="CR81" s="9">
        <v>0</v>
      </c>
      <c r="CS81" s="10">
        <v>0</v>
      </c>
    </row>
    <row r="82" spans="1:97" x14ac:dyDescent="0.35">
      <c r="A82" s="8" t="s">
        <v>73</v>
      </c>
      <c r="B82" s="9" t="s">
        <v>678</v>
      </c>
      <c r="C82" s="9" t="s">
        <v>679</v>
      </c>
      <c r="D82" s="9">
        <f t="shared" si="1"/>
        <v>0</v>
      </c>
      <c r="E82" s="9">
        <v>0</v>
      </c>
      <c r="F82" s="9">
        <v>0</v>
      </c>
      <c r="G82" s="9">
        <v>0</v>
      </c>
      <c r="H82" s="9">
        <v>0</v>
      </c>
      <c r="I82" s="9">
        <v>0</v>
      </c>
      <c r="J82" s="9">
        <v>0</v>
      </c>
      <c r="K82" s="9">
        <v>0</v>
      </c>
      <c r="L82" s="9">
        <v>0</v>
      </c>
      <c r="M82" s="9">
        <v>0</v>
      </c>
      <c r="N82" s="9">
        <v>0</v>
      </c>
      <c r="O82" s="9">
        <v>0</v>
      </c>
      <c r="P82" s="9">
        <v>0</v>
      </c>
      <c r="Q82" s="9">
        <v>0</v>
      </c>
      <c r="R82" s="9">
        <v>0</v>
      </c>
      <c r="S82" s="9">
        <v>0</v>
      </c>
      <c r="T82" s="9">
        <v>0</v>
      </c>
      <c r="U82" s="9">
        <v>0</v>
      </c>
      <c r="V82" s="9">
        <v>0</v>
      </c>
      <c r="W82" s="9">
        <v>0</v>
      </c>
      <c r="X82" s="9">
        <v>0</v>
      </c>
      <c r="Y82" s="9">
        <v>0</v>
      </c>
      <c r="Z82" s="9">
        <v>0</v>
      </c>
      <c r="AA82" s="9">
        <v>0</v>
      </c>
      <c r="AB82" s="9">
        <v>0</v>
      </c>
      <c r="AC82" s="9">
        <v>0</v>
      </c>
      <c r="AD82" s="9">
        <v>0</v>
      </c>
      <c r="AE82" s="9">
        <v>0</v>
      </c>
      <c r="AF82" s="9">
        <v>0</v>
      </c>
      <c r="AG82" s="9">
        <v>0</v>
      </c>
      <c r="AH82" s="9">
        <v>0</v>
      </c>
      <c r="AI82" s="9">
        <v>0</v>
      </c>
      <c r="AJ82" s="9">
        <v>0</v>
      </c>
      <c r="AK82" s="9">
        <v>0</v>
      </c>
      <c r="AL82" s="9">
        <v>0</v>
      </c>
      <c r="AM82" s="9">
        <v>0</v>
      </c>
      <c r="AN82" s="9">
        <v>0</v>
      </c>
      <c r="AO82" s="9">
        <v>0</v>
      </c>
      <c r="AP82" s="9">
        <v>0</v>
      </c>
      <c r="AQ82" s="9">
        <v>0</v>
      </c>
      <c r="AR82" s="9">
        <v>0</v>
      </c>
      <c r="AS82" s="9">
        <v>0</v>
      </c>
      <c r="AT82" s="9">
        <v>0</v>
      </c>
      <c r="AU82" s="9">
        <v>0</v>
      </c>
      <c r="AV82" s="9">
        <v>0</v>
      </c>
      <c r="AW82" s="9">
        <v>0</v>
      </c>
      <c r="AX82" s="9">
        <v>0</v>
      </c>
      <c r="AY82" s="9">
        <v>0</v>
      </c>
      <c r="AZ82" s="9">
        <v>0</v>
      </c>
      <c r="BA82" s="9">
        <v>0</v>
      </c>
      <c r="BB82" s="9">
        <v>0</v>
      </c>
      <c r="BC82" s="9">
        <v>0</v>
      </c>
      <c r="BD82" s="9">
        <v>0</v>
      </c>
      <c r="BE82" s="9">
        <v>0</v>
      </c>
      <c r="BF82" s="9">
        <v>0</v>
      </c>
      <c r="BG82" s="9">
        <v>0</v>
      </c>
      <c r="BH82" s="9">
        <v>0</v>
      </c>
      <c r="BI82" s="9">
        <v>0</v>
      </c>
      <c r="BJ82" s="9">
        <v>0</v>
      </c>
      <c r="BK82" s="9">
        <v>0</v>
      </c>
      <c r="BL82" s="9">
        <v>0</v>
      </c>
      <c r="BM82" s="9">
        <v>0</v>
      </c>
      <c r="BN82" s="9">
        <v>0</v>
      </c>
      <c r="BO82" s="9">
        <v>0</v>
      </c>
      <c r="BP82" s="9">
        <v>0</v>
      </c>
      <c r="BQ82" s="9">
        <v>0</v>
      </c>
      <c r="BR82" s="9">
        <v>0</v>
      </c>
      <c r="BS82" s="9">
        <v>0</v>
      </c>
      <c r="BT82" s="9">
        <v>0</v>
      </c>
      <c r="BU82" s="9">
        <v>0</v>
      </c>
      <c r="BV82" s="9">
        <v>0</v>
      </c>
      <c r="BW82" s="9">
        <v>0</v>
      </c>
      <c r="BX82" s="9">
        <v>0</v>
      </c>
      <c r="BY82" s="9">
        <v>0</v>
      </c>
      <c r="BZ82" s="9">
        <v>0</v>
      </c>
      <c r="CA82" s="9">
        <v>0</v>
      </c>
      <c r="CB82" s="9">
        <v>0</v>
      </c>
      <c r="CC82" s="9">
        <v>0</v>
      </c>
      <c r="CD82" s="9">
        <v>0</v>
      </c>
      <c r="CE82" s="9">
        <v>0</v>
      </c>
      <c r="CF82" s="9">
        <v>0</v>
      </c>
      <c r="CG82" s="9">
        <v>0</v>
      </c>
      <c r="CH82" s="9">
        <v>0</v>
      </c>
      <c r="CI82" s="9">
        <v>0</v>
      </c>
      <c r="CJ82" s="9">
        <v>0</v>
      </c>
      <c r="CK82" s="9">
        <v>0</v>
      </c>
      <c r="CL82" s="9">
        <v>0</v>
      </c>
      <c r="CM82" s="9">
        <v>0</v>
      </c>
      <c r="CN82" s="9">
        <v>0</v>
      </c>
      <c r="CO82" s="9">
        <v>0</v>
      </c>
      <c r="CP82" s="9">
        <v>0</v>
      </c>
      <c r="CQ82" s="9">
        <v>0</v>
      </c>
      <c r="CR82" s="9">
        <v>0</v>
      </c>
      <c r="CS82" s="10">
        <v>0</v>
      </c>
    </row>
    <row r="83" spans="1:97" x14ac:dyDescent="0.35">
      <c r="A83" s="8" t="s">
        <v>73</v>
      </c>
      <c r="B83" s="9" t="s">
        <v>680</v>
      </c>
      <c r="C83" s="9" t="s">
        <v>681</v>
      </c>
      <c r="D83" s="9">
        <f t="shared" si="1"/>
        <v>0</v>
      </c>
      <c r="E83" s="9">
        <v>0</v>
      </c>
      <c r="F83" s="9">
        <v>0</v>
      </c>
      <c r="G83" s="9">
        <v>0</v>
      </c>
      <c r="H83" s="9">
        <v>0</v>
      </c>
      <c r="I83" s="9">
        <v>0</v>
      </c>
      <c r="J83" s="9">
        <v>0</v>
      </c>
      <c r="K83" s="9">
        <v>0</v>
      </c>
      <c r="L83" s="9">
        <v>0</v>
      </c>
      <c r="M83" s="9">
        <v>0</v>
      </c>
      <c r="N83" s="9">
        <v>0</v>
      </c>
      <c r="O83" s="9">
        <v>0</v>
      </c>
      <c r="P83" s="9">
        <v>0</v>
      </c>
      <c r="Q83" s="9">
        <v>0</v>
      </c>
      <c r="R83" s="9">
        <v>0</v>
      </c>
      <c r="S83" s="9">
        <v>0</v>
      </c>
      <c r="T83" s="9">
        <v>0</v>
      </c>
      <c r="U83" s="9">
        <v>0</v>
      </c>
      <c r="V83" s="9">
        <v>0</v>
      </c>
      <c r="W83" s="9">
        <v>0</v>
      </c>
      <c r="X83" s="9">
        <v>0</v>
      </c>
      <c r="Y83" s="9">
        <v>0</v>
      </c>
      <c r="Z83" s="9">
        <v>0</v>
      </c>
      <c r="AA83" s="9">
        <v>0</v>
      </c>
      <c r="AB83" s="9">
        <v>0</v>
      </c>
      <c r="AC83" s="9">
        <v>0</v>
      </c>
      <c r="AD83" s="9">
        <v>0</v>
      </c>
      <c r="AE83" s="9">
        <v>0</v>
      </c>
      <c r="AF83" s="9">
        <v>0</v>
      </c>
      <c r="AG83" s="9">
        <v>0</v>
      </c>
      <c r="AH83" s="9">
        <v>0</v>
      </c>
      <c r="AI83" s="9">
        <v>0</v>
      </c>
      <c r="AJ83" s="9">
        <v>0</v>
      </c>
      <c r="AK83" s="9">
        <v>0</v>
      </c>
      <c r="AL83" s="9">
        <v>0</v>
      </c>
      <c r="AM83" s="9">
        <v>0</v>
      </c>
      <c r="AN83" s="9">
        <v>0</v>
      </c>
      <c r="AO83" s="9">
        <v>0</v>
      </c>
      <c r="AP83" s="9">
        <v>0</v>
      </c>
      <c r="AQ83" s="9">
        <v>0</v>
      </c>
      <c r="AR83" s="9">
        <v>0</v>
      </c>
      <c r="AS83" s="9">
        <v>0</v>
      </c>
      <c r="AT83" s="9">
        <v>0</v>
      </c>
      <c r="AU83" s="9">
        <v>0</v>
      </c>
      <c r="AV83" s="9">
        <v>0</v>
      </c>
      <c r="AW83" s="9">
        <v>0</v>
      </c>
      <c r="AX83" s="9">
        <v>0</v>
      </c>
      <c r="AY83" s="9">
        <v>0</v>
      </c>
      <c r="AZ83" s="9">
        <v>0</v>
      </c>
      <c r="BA83" s="9">
        <v>0</v>
      </c>
      <c r="BB83" s="9">
        <v>0</v>
      </c>
      <c r="BC83" s="9">
        <v>0</v>
      </c>
      <c r="BD83" s="9">
        <v>0</v>
      </c>
      <c r="BE83" s="9">
        <v>0</v>
      </c>
      <c r="BF83" s="9">
        <v>0</v>
      </c>
      <c r="BG83" s="9">
        <v>0</v>
      </c>
      <c r="BH83" s="9">
        <v>0</v>
      </c>
      <c r="BI83" s="9">
        <v>0</v>
      </c>
      <c r="BJ83" s="9">
        <v>0</v>
      </c>
      <c r="BK83" s="9">
        <v>0</v>
      </c>
      <c r="BL83" s="9">
        <v>0</v>
      </c>
      <c r="BM83" s="9">
        <v>0</v>
      </c>
      <c r="BN83" s="9">
        <v>0</v>
      </c>
      <c r="BO83" s="9">
        <v>0</v>
      </c>
      <c r="BP83" s="9">
        <v>0</v>
      </c>
      <c r="BQ83" s="9">
        <v>0</v>
      </c>
      <c r="BR83" s="9">
        <v>0</v>
      </c>
      <c r="BS83" s="9">
        <v>0</v>
      </c>
      <c r="BT83" s="9">
        <v>0</v>
      </c>
      <c r="BU83" s="9">
        <v>0</v>
      </c>
      <c r="BV83" s="9">
        <v>0</v>
      </c>
      <c r="BW83" s="9">
        <v>0</v>
      </c>
      <c r="BX83" s="9">
        <v>0</v>
      </c>
      <c r="BY83" s="9">
        <v>0</v>
      </c>
      <c r="BZ83" s="9">
        <v>0</v>
      </c>
      <c r="CA83" s="9">
        <v>0</v>
      </c>
      <c r="CB83" s="9">
        <v>0</v>
      </c>
      <c r="CC83" s="9">
        <v>0</v>
      </c>
      <c r="CD83" s="9">
        <v>0</v>
      </c>
      <c r="CE83" s="9">
        <v>0</v>
      </c>
      <c r="CF83" s="9">
        <v>0</v>
      </c>
      <c r="CG83" s="9">
        <v>0</v>
      </c>
      <c r="CH83" s="9">
        <v>0</v>
      </c>
      <c r="CI83" s="9">
        <v>0</v>
      </c>
      <c r="CJ83" s="9">
        <v>0</v>
      </c>
      <c r="CK83" s="9">
        <v>0</v>
      </c>
      <c r="CL83" s="9">
        <v>0</v>
      </c>
      <c r="CM83" s="9">
        <v>0</v>
      </c>
      <c r="CN83" s="9">
        <v>0</v>
      </c>
      <c r="CO83" s="9">
        <v>0</v>
      </c>
      <c r="CP83" s="9">
        <v>0</v>
      </c>
      <c r="CQ83" s="9">
        <v>0</v>
      </c>
      <c r="CR83" s="9">
        <v>0</v>
      </c>
      <c r="CS83" s="10">
        <v>0</v>
      </c>
    </row>
    <row r="84" spans="1:97" x14ac:dyDescent="0.35">
      <c r="A84" s="8" t="s">
        <v>73</v>
      </c>
      <c r="B84" s="9" t="s">
        <v>682</v>
      </c>
      <c r="C84" s="9" t="s">
        <v>683</v>
      </c>
      <c r="D84" s="9">
        <f t="shared" si="1"/>
        <v>0</v>
      </c>
      <c r="E84" s="9">
        <v>0</v>
      </c>
      <c r="F84" s="9">
        <v>0</v>
      </c>
      <c r="G84" s="9">
        <v>0</v>
      </c>
      <c r="H84" s="9">
        <v>0</v>
      </c>
      <c r="I84" s="9">
        <v>0</v>
      </c>
      <c r="J84" s="9">
        <v>0</v>
      </c>
      <c r="K84" s="9">
        <v>0</v>
      </c>
      <c r="L84" s="9">
        <v>0</v>
      </c>
      <c r="M84" s="9">
        <v>0</v>
      </c>
      <c r="N84" s="9">
        <v>0</v>
      </c>
      <c r="O84" s="9">
        <v>0</v>
      </c>
      <c r="P84" s="9">
        <v>0</v>
      </c>
      <c r="Q84" s="9">
        <v>0</v>
      </c>
      <c r="R84" s="9">
        <v>0</v>
      </c>
      <c r="S84" s="9">
        <v>0</v>
      </c>
      <c r="T84" s="9">
        <v>0</v>
      </c>
      <c r="U84" s="9">
        <v>0</v>
      </c>
      <c r="V84" s="9">
        <v>0</v>
      </c>
      <c r="W84" s="9">
        <v>0</v>
      </c>
      <c r="X84" s="9">
        <v>0</v>
      </c>
      <c r="Y84" s="9">
        <v>0</v>
      </c>
      <c r="Z84" s="9">
        <v>0</v>
      </c>
      <c r="AA84" s="9">
        <v>0</v>
      </c>
      <c r="AB84" s="9">
        <v>0</v>
      </c>
      <c r="AC84" s="9">
        <v>0</v>
      </c>
      <c r="AD84" s="9">
        <v>0</v>
      </c>
      <c r="AE84" s="9">
        <v>0</v>
      </c>
      <c r="AF84" s="9">
        <v>0</v>
      </c>
      <c r="AG84" s="9">
        <v>0</v>
      </c>
      <c r="AH84" s="9">
        <v>0</v>
      </c>
      <c r="AI84" s="9">
        <v>0</v>
      </c>
      <c r="AJ84" s="9">
        <v>0</v>
      </c>
      <c r="AK84" s="9">
        <v>0</v>
      </c>
      <c r="AL84" s="9">
        <v>0</v>
      </c>
      <c r="AM84" s="9">
        <v>0</v>
      </c>
      <c r="AN84" s="9">
        <v>0</v>
      </c>
      <c r="AO84" s="9">
        <v>0</v>
      </c>
      <c r="AP84" s="9">
        <v>0</v>
      </c>
      <c r="AQ84" s="9">
        <v>0</v>
      </c>
      <c r="AR84" s="9">
        <v>0</v>
      </c>
      <c r="AS84" s="9">
        <v>0</v>
      </c>
      <c r="AT84" s="9">
        <v>0</v>
      </c>
      <c r="AU84" s="9">
        <v>0</v>
      </c>
      <c r="AV84" s="9">
        <v>0</v>
      </c>
      <c r="AW84" s="9">
        <v>0</v>
      </c>
      <c r="AX84" s="9">
        <v>0</v>
      </c>
      <c r="AY84" s="9">
        <v>0</v>
      </c>
      <c r="AZ84" s="9">
        <v>0</v>
      </c>
      <c r="BA84" s="9">
        <v>0</v>
      </c>
      <c r="BB84" s="9">
        <v>0</v>
      </c>
      <c r="BC84" s="9">
        <v>0</v>
      </c>
      <c r="BD84" s="9">
        <v>0</v>
      </c>
      <c r="BE84" s="9">
        <v>0</v>
      </c>
      <c r="BF84" s="9">
        <v>0</v>
      </c>
      <c r="BG84" s="9">
        <v>0</v>
      </c>
      <c r="BH84" s="9">
        <v>0</v>
      </c>
      <c r="BI84" s="9">
        <v>0</v>
      </c>
      <c r="BJ84" s="9">
        <v>0</v>
      </c>
      <c r="BK84" s="9">
        <v>0</v>
      </c>
      <c r="BL84" s="9">
        <v>0</v>
      </c>
      <c r="BM84" s="9">
        <v>0</v>
      </c>
      <c r="BN84" s="9">
        <v>0</v>
      </c>
      <c r="BO84" s="9">
        <v>0</v>
      </c>
      <c r="BP84" s="9">
        <v>0</v>
      </c>
      <c r="BQ84" s="9">
        <v>0</v>
      </c>
      <c r="BR84" s="9">
        <v>0</v>
      </c>
      <c r="BS84" s="9">
        <v>0</v>
      </c>
      <c r="BT84" s="9">
        <v>0</v>
      </c>
      <c r="BU84" s="9">
        <v>0</v>
      </c>
      <c r="BV84" s="9">
        <v>0</v>
      </c>
      <c r="BW84" s="9">
        <v>0</v>
      </c>
      <c r="BX84" s="9">
        <v>0</v>
      </c>
      <c r="BY84" s="9">
        <v>0</v>
      </c>
      <c r="BZ84" s="9">
        <v>0</v>
      </c>
      <c r="CA84" s="9">
        <v>0</v>
      </c>
      <c r="CB84" s="9">
        <v>0</v>
      </c>
      <c r="CC84" s="9">
        <v>0</v>
      </c>
      <c r="CD84" s="9">
        <v>0</v>
      </c>
      <c r="CE84" s="9">
        <v>0</v>
      </c>
      <c r="CF84" s="9">
        <v>0</v>
      </c>
      <c r="CG84" s="9">
        <v>0</v>
      </c>
      <c r="CH84" s="9">
        <v>0</v>
      </c>
      <c r="CI84" s="9">
        <v>0</v>
      </c>
      <c r="CJ84" s="9">
        <v>0</v>
      </c>
      <c r="CK84" s="9">
        <v>0</v>
      </c>
      <c r="CL84" s="9">
        <v>0</v>
      </c>
      <c r="CM84" s="9">
        <v>0</v>
      </c>
      <c r="CN84" s="9">
        <v>0</v>
      </c>
      <c r="CO84" s="9">
        <v>0</v>
      </c>
      <c r="CP84" s="9">
        <v>0</v>
      </c>
      <c r="CQ84" s="9">
        <v>0</v>
      </c>
      <c r="CR84" s="9">
        <v>0</v>
      </c>
      <c r="CS84" s="10">
        <v>0</v>
      </c>
    </row>
    <row r="85" spans="1:97" x14ac:dyDescent="0.35">
      <c r="A85" s="8" t="s">
        <v>73</v>
      </c>
      <c r="B85" s="9" t="s">
        <v>684</v>
      </c>
      <c r="C85" s="9" t="s">
        <v>685</v>
      </c>
      <c r="D85" s="9">
        <f t="shared" si="1"/>
        <v>0</v>
      </c>
      <c r="E85" s="9">
        <v>0</v>
      </c>
      <c r="F85" s="9">
        <v>0</v>
      </c>
      <c r="G85" s="9">
        <v>0</v>
      </c>
      <c r="H85" s="9">
        <v>0</v>
      </c>
      <c r="I85" s="9">
        <v>0</v>
      </c>
      <c r="J85" s="9">
        <v>0</v>
      </c>
      <c r="K85" s="9">
        <v>0</v>
      </c>
      <c r="L85" s="9">
        <v>0</v>
      </c>
      <c r="M85" s="9">
        <v>0</v>
      </c>
      <c r="N85" s="9">
        <v>0</v>
      </c>
      <c r="O85" s="9">
        <v>0</v>
      </c>
      <c r="P85" s="9">
        <v>0</v>
      </c>
      <c r="Q85" s="9">
        <v>0</v>
      </c>
      <c r="R85" s="9">
        <v>0</v>
      </c>
      <c r="S85" s="9">
        <v>0</v>
      </c>
      <c r="T85" s="9">
        <v>0</v>
      </c>
      <c r="U85" s="9">
        <v>0</v>
      </c>
      <c r="V85" s="9">
        <v>0</v>
      </c>
      <c r="W85" s="9">
        <v>0</v>
      </c>
      <c r="X85" s="9">
        <v>0</v>
      </c>
      <c r="Y85" s="9">
        <v>0</v>
      </c>
      <c r="Z85" s="9">
        <v>0</v>
      </c>
      <c r="AA85" s="9">
        <v>0</v>
      </c>
      <c r="AB85" s="9">
        <v>0</v>
      </c>
      <c r="AC85" s="9">
        <v>0</v>
      </c>
      <c r="AD85" s="9">
        <v>0</v>
      </c>
      <c r="AE85" s="9">
        <v>0</v>
      </c>
      <c r="AF85" s="9">
        <v>0</v>
      </c>
      <c r="AG85" s="9">
        <v>0</v>
      </c>
      <c r="AH85" s="9">
        <v>0</v>
      </c>
      <c r="AI85" s="9">
        <v>0</v>
      </c>
      <c r="AJ85" s="9">
        <v>0</v>
      </c>
      <c r="AK85" s="9">
        <v>0</v>
      </c>
      <c r="AL85" s="9">
        <v>0</v>
      </c>
      <c r="AM85" s="9">
        <v>0</v>
      </c>
      <c r="AN85" s="9">
        <v>0</v>
      </c>
      <c r="AO85" s="9">
        <v>0</v>
      </c>
      <c r="AP85" s="9">
        <v>0</v>
      </c>
      <c r="AQ85" s="9">
        <v>0</v>
      </c>
      <c r="AR85" s="9">
        <v>0</v>
      </c>
      <c r="AS85" s="9">
        <v>0</v>
      </c>
      <c r="AT85" s="9">
        <v>0</v>
      </c>
      <c r="AU85" s="9">
        <v>0</v>
      </c>
      <c r="AV85" s="9">
        <v>0</v>
      </c>
      <c r="AW85" s="9">
        <v>0</v>
      </c>
      <c r="AX85" s="9">
        <v>0</v>
      </c>
      <c r="AY85" s="9">
        <v>0</v>
      </c>
      <c r="AZ85" s="9">
        <v>0</v>
      </c>
      <c r="BA85" s="9">
        <v>0</v>
      </c>
      <c r="BB85" s="9">
        <v>0</v>
      </c>
      <c r="BC85" s="9">
        <v>0</v>
      </c>
      <c r="BD85" s="9">
        <v>0</v>
      </c>
      <c r="BE85" s="9">
        <v>0</v>
      </c>
      <c r="BF85" s="9">
        <v>0</v>
      </c>
      <c r="BG85" s="9">
        <v>0</v>
      </c>
      <c r="BH85" s="9">
        <v>0</v>
      </c>
      <c r="BI85" s="9">
        <v>0</v>
      </c>
      <c r="BJ85" s="9">
        <v>0</v>
      </c>
      <c r="BK85" s="9">
        <v>0</v>
      </c>
      <c r="BL85" s="9">
        <v>0</v>
      </c>
      <c r="BM85" s="9">
        <v>0</v>
      </c>
      <c r="BN85" s="9">
        <v>0</v>
      </c>
      <c r="BO85" s="9">
        <v>0</v>
      </c>
      <c r="BP85" s="9">
        <v>0</v>
      </c>
      <c r="BQ85" s="9">
        <v>0</v>
      </c>
      <c r="BR85" s="9">
        <v>0</v>
      </c>
      <c r="BS85" s="9">
        <v>0</v>
      </c>
      <c r="BT85" s="9">
        <v>0</v>
      </c>
      <c r="BU85" s="9">
        <v>0</v>
      </c>
      <c r="BV85" s="9">
        <v>0</v>
      </c>
      <c r="BW85" s="9">
        <v>0</v>
      </c>
      <c r="BX85" s="9">
        <v>0</v>
      </c>
      <c r="BY85" s="9">
        <v>0</v>
      </c>
      <c r="BZ85" s="9">
        <v>0</v>
      </c>
      <c r="CA85" s="9">
        <v>0</v>
      </c>
      <c r="CB85" s="9">
        <v>0</v>
      </c>
      <c r="CC85" s="9">
        <v>0</v>
      </c>
      <c r="CD85" s="9">
        <v>0</v>
      </c>
      <c r="CE85" s="9">
        <v>0</v>
      </c>
      <c r="CF85" s="9">
        <v>0</v>
      </c>
      <c r="CG85" s="9">
        <v>0</v>
      </c>
      <c r="CH85" s="9">
        <v>0</v>
      </c>
      <c r="CI85" s="9">
        <v>0</v>
      </c>
      <c r="CJ85" s="9">
        <v>0</v>
      </c>
      <c r="CK85" s="9">
        <v>0</v>
      </c>
      <c r="CL85" s="9">
        <v>0</v>
      </c>
      <c r="CM85" s="9">
        <v>0</v>
      </c>
      <c r="CN85" s="9">
        <v>0</v>
      </c>
      <c r="CO85" s="9">
        <v>0</v>
      </c>
      <c r="CP85" s="9">
        <v>0</v>
      </c>
      <c r="CQ85" s="9">
        <v>0</v>
      </c>
      <c r="CR85" s="9">
        <v>0</v>
      </c>
      <c r="CS85" s="10">
        <v>0</v>
      </c>
    </row>
    <row r="86" spans="1:97" x14ac:dyDescent="0.35">
      <c r="A86" s="8" t="s">
        <v>73</v>
      </c>
      <c r="B86" s="9" t="s">
        <v>686</v>
      </c>
      <c r="C86" s="9" t="s">
        <v>687</v>
      </c>
      <c r="D86" s="9">
        <f t="shared" si="1"/>
        <v>0</v>
      </c>
      <c r="E86" s="9">
        <v>0</v>
      </c>
      <c r="F86" s="9">
        <v>0</v>
      </c>
      <c r="G86" s="9">
        <v>0</v>
      </c>
      <c r="H86" s="9">
        <v>0</v>
      </c>
      <c r="I86" s="9">
        <v>0</v>
      </c>
      <c r="J86" s="9">
        <v>0</v>
      </c>
      <c r="K86" s="9">
        <v>0</v>
      </c>
      <c r="L86" s="9">
        <v>0</v>
      </c>
      <c r="M86" s="9">
        <v>0</v>
      </c>
      <c r="N86" s="9">
        <v>0</v>
      </c>
      <c r="O86" s="9">
        <v>0</v>
      </c>
      <c r="P86" s="9">
        <v>0</v>
      </c>
      <c r="Q86" s="9">
        <v>0</v>
      </c>
      <c r="R86" s="9">
        <v>0</v>
      </c>
      <c r="S86" s="9">
        <v>0</v>
      </c>
      <c r="T86" s="9">
        <v>0</v>
      </c>
      <c r="U86" s="9">
        <v>0</v>
      </c>
      <c r="V86" s="9">
        <v>0</v>
      </c>
      <c r="W86" s="9">
        <v>0</v>
      </c>
      <c r="X86" s="9">
        <v>0</v>
      </c>
      <c r="Y86" s="9">
        <v>0</v>
      </c>
      <c r="Z86" s="9">
        <v>0</v>
      </c>
      <c r="AA86" s="9">
        <v>0</v>
      </c>
      <c r="AB86" s="9">
        <v>0</v>
      </c>
      <c r="AC86" s="9">
        <v>0</v>
      </c>
      <c r="AD86" s="9">
        <v>0</v>
      </c>
      <c r="AE86" s="9">
        <v>0</v>
      </c>
      <c r="AF86" s="9">
        <v>0</v>
      </c>
      <c r="AG86" s="9">
        <v>0</v>
      </c>
      <c r="AH86" s="9">
        <v>0</v>
      </c>
      <c r="AI86" s="9">
        <v>0</v>
      </c>
      <c r="AJ86" s="9">
        <v>0</v>
      </c>
      <c r="AK86" s="9">
        <v>0</v>
      </c>
      <c r="AL86" s="9">
        <v>0</v>
      </c>
      <c r="AM86" s="9">
        <v>0</v>
      </c>
      <c r="AN86" s="9">
        <v>0</v>
      </c>
      <c r="AO86" s="9">
        <v>0</v>
      </c>
      <c r="AP86" s="9">
        <v>0</v>
      </c>
      <c r="AQ86" s="9">
        <v>0</v>
      </c>
      <c r="AR86" s="9">
        <v>0</v>
      </c>
      <c r="AS86" s="9">
        <v>0</v>
      </c>
      <c r="AT86" s="9">
        <v>0</v>
      </c>
      <c r="AU86" s="9">
        <v>0</v>
      </c>
      <c r="AV86" s="9">
        <v>0</v>
      </c>
      <c r="AW86" s="9">
        <v>0</v>
      </c>
      <c r="AX86" s="9">
        <v>0</v>
      </c>
      <c r="AY86" s="9">
        <v>0</v>
      </c>
      <c r="AZ86" s="9">
        <v>0</v>
      </c>
      <c r="BA86" s="9">
        <v>0</v>
      </c>
      <c r="BB86" s="9">
        <v>0</v>
      </c>
      <c r="BC86" s="9">
        <v>0</v>
      </c>
      <c r="BD86" s="9">
        <v>0</v>
      </c>
      <c r="BE86" s="9">
        <v>0</v>
      </c>
      <c r="BF86" s="9">
        <v>0</v>
      </c>
      <c r="BG86" s="9">
        <v>0</v>
      </c>
      <c r="BH86" s="9">
        <v>0</v>
      </c>
      <c r="BI86" s="9">
        <v>0</v>
      </c>
      <c r="BJ86" s="9">
        <v>0</v>
      </c>
      <c r="BK86" s="9">
        <v>0</v>
      </c>
      <c r="BL86" s="9">
        <v>0</v>
      </c>
      <c r="BM86" s="9">
        <v>0</v>
      </c>
      <c r="BN86" s="9">
        <v>0</v>
      </c>
      <c r="BO86" s="9">
        <v>0</v>
      </c>
      <c r="BP86" s="9">
        <v>0</v>
      </c>
      <c r="BQ86" s="9">
        <v>0</v>
      </c>
      <c r="BR86" s="9">
        <v>0</v>
      </c>
      <c r="BS86" s="9">
        <v>0</v>
      </c>
      <c r="BT86" s="9">
        <v>0</v>
      </c>
      <c r="BU86" s="9">
        <v>0</v>
      </c>
      <c r="BV86" s="9">
        <v>0</v>
      </c>
      <c r="BW86" s="9">
        <v>0</v>
      </c>
      <c r="BX86" s="9">
        <v>0</v>
      </c>
      <c r="BY86" s="9">
        <v>0</v>
      </c>
      <c r="BZ86" s="9">
        <v>0</v>
      </c>
      <c r="CA86" s="9">
        <v>0</v>
      </c>
      <c r="CB86" s="9">
        <v>0</v>
      </c>
      <c r="CC86" s="9">
        <v>0</v>
      </c>
      <c r="CD86" s="9">
        <v>0</v>
      </c>
      <c r="CE86" s="9">
        <v>0</v>
      </c>
      <c r="CF86" s="9">
        <v>0</v>
      </c>
      <c r="CG86" s="9">
        <v>0</v>
      </c>
      <c r="CH86" s="9">
        <v>0</v>
      </c>
      <c r="CI86" s="9">
        <v>0</v>
      </c>
      <c r="CJ86" s="9">
        <v>0</v>
      </c>
      <c r="CK86" s="9">
        <v>0</v>
      </c>
      <c r="CL86" s="9">
        <v>0</v>
      </c>
      <c r="CM86" s="9">
        <v>0</v>
      </c>
      <c r="CN86" s="9">
        <v>0</v>
      </c>
      <c r="CO86" s="9">
        <v>0</v>
      </c>
      <c r="CP86" s="9">
        <v>0</v>
      </c>
      <c r="CQ86" s="9">
        <v>0</v>
      </c>
      <c r="CR86" s="9">
        <v>0</v>
      </c>
      <c r="CS86" s="10">
        <v>0</v>
      </c>
    </row>
    <row r="87" spans="1:97" x14ac:dyDescent="0.35">
      <c r="A87" s="8" t="s">
        <v>73</v>
      </c>
      <c r="B87" s="9" t="s">
        <v>688</v>
      </c>
      <c r="C87" s="9" t="s">
        <v>689</v>
      </c>
      <c r="D87" s="9">
        <f t="shared" si="1"/>
        <v>0</v>
      </c>
      <c r="E87" s="9">
        <v>0</v>
      </c>
      <c r="F87" s="9">
        <v>0</v>
      </c>
      <c r="G87" s="9">
        <v>0</v>
      </c>
      <c r="H87" s="9">
        <v>0</v>
      </c>
      <c r="I87" s="9">
        <v>0</v>
      </c>
      <c r="J87" s="9">
        <v>0</v>
      </c>
      <c r="K87" s="9">
        <v>0</v>
      </c>
      <c r="L87" s="9">
        <v>0</v>
      </c>
      <c r="M87" s="9">
        <v>0</v>
      </c>
      <c r="N87" s="9">
        <v>0</v>
      </c>
      <c r="O87" s="9">
        <v>0</v>
      </c>
      <c r="P87" s="9">
        <v>0</v>
      </c>
      <c r="Q87" s="9">
        <v>0</v>
      </c>
      <c r="R87" s="9">
        <v>0</v>
      </c>
      <c r="S87" s="9">
        <v>0</v>
      </c>
      <c r="T87" s="9">
        <v>0</v>
      </c>
      <c r="U87" s="9">
        <v>0</v>
      </c>
      <c r="V87" s="9">
        <v>0</v>
      </c>
      <c r="W87" s="9">
        <v>0</v>
      </c>
      <c r="X87" s="9">
        <v>0</v>
      </c>
      <c r="Y87" s="9">
        <v>0</v>
      </c>
      <c r="Z87" s="9">
        <v>0</v>
      </c>
      <c r="AA87" s="9">
        <v>0</v>
      </c>
      <c r="AB87" s="9">
        <v>0</v>
      </c>
      <c r="AC87" s="9">
        <v>0</v>
      </c>
      <c r="AD87" s="9">
        <v>0</v>
      </c>
      <c r="AE87" s="9">
        <v>0</v>
      </c>
      <c r="AF87" s="9">
        <v>0</v>
      </c>
      <c r="AG87" s="9">
        <v>0</v>
      </c>
      <c r="AH87" s="9">
        <v>0</v>
      </c>
      <c r="AI87" s="9">
        <v>0</v>
      </c>
      <c r="AJ87" s="9">
        <v>0</v>
      </c>
      <c r="AK87" s="9">
        <v>0</v>
      </c>
      <c r="AL87" s="9">
        <v>0</v>
      </c>
      <c r="AM87" s="9">
        <v>0</v>
      </c>
      <c r="AN87" s="9">
        <v>0</v>
      </c>
      <c r="AO87" s="9">
        <v>0</v>
      </c>
      <c r="AP87" s="9">
        <v>0</v>
      </c>
      <c r="AQ87" s="9">
        <v>0</v>
      </c>
      <c r="AR87" s="9">
        <v>0</v>
      </c>
      <c r="AS87" s="9">
        <v>0</v>
      </c>
      <c r="AT87" s="9">
        <v>0</v>
      </c>
      <c r="AU87" s="9">
        <v>0</v>
      </c>
      <c r="AV87" s="9">
        <v>0</v>
      </c>
      <c r="AW87" s="9">
        <v>0</v>
      </c>
      <c r="AX87" s="9">
        <v>0</v>
      </c>
      <c r="AY87" s="9">
        <v>0</v>
      </c>
      <c r="AZ87" s="9">
        <v>0</v>
      </c>
      <c r="BA87" s="9">
        <v>0</v>
      </c>
      <c r="BB87" s="9">
        <v>0</v>
      </c>
      <c r="BC87" s="9">
        <v>0</v>
      </c>
      <c r="BD87" s="9">
        <v>0</v>
      </c>
      <c r="BE87" s="9">
        <v>0</v>
      </c>
      <c r="BF87" s="9">
        <v>0</v>
      </c>
      <c r="BG87" s="9">
        <v>0</v>
      </c>
      <c r="BH87" s="9">
        <v>0</v>
      </c>
      <c r="BI87" s="9">
        <v>0</v>
      </c>
      <c r="BJ87" s="9">
        <v>0</v>
      </c>
      <c r="BK87" s="9">
        <v>0</v>
      </c>
      <c r="BL87" s="9">
        <v>0</v>
      </c>
      <c r="BM87" s="9">
        <v>0</v>
      </c>
      <c r="BN87" s="9">
        <v>0</v>
      </c>
      <c r="BO87" s="9">
        <v>0</v>
      </c>
      <c r="BP87" s="9">
        <v>0</v>
      </c>
      <c r="BQ87" s="9">
        <v>0</v>
      </c>
      <c r="BR87" s="9">
        <v>0</v>
      </c>
      <c r="BS87" s="9">
        <v>0</v>
      </c>
      <c r="BT87" s="9">
        <v>0</v>
      </c>
      <c r="BU87" s="9">
        <v>0</v>
      </c>
      <c r="BV87" s="9">
        <v>0</v>
      </c>
      <c r="BW87" s="9">
        <v>0</v>
      </c>
      <c r="BX87" s="9">
        <v>0</v>
      </c>
      <c r="BY87" s="9">
        <v>0</v>
      </c>
      <c r="BZ87" s="9">
        <v>0</v>
      </c>
      <c r="CA87" s="9">
        <v>0</v>
      </c>
      <c r="CB87" s="9">
        <v>0</v>
      </c>
      <c r="CC87" s="9">
        <v>0</v>
      </c>
      <c r="CD87" s="9">
        <v>0</v>
      </c>
      <c r="CE87" s="9">
        <v>0</v>
      </c>
      <c r="CF87" s="9">
        <v>0</v>
      </c>
      <c r="CG87" s="9">
        <v>0</v>
      </c>
      <c r="CH87" s="9">
        <v>0</v>
      </c>
      <c r="CI87" s="9">
        <v>0</v>
      </c>
      <c r="CJ87" s="9">
        <v>0</v>
      </c>
      <c r="CK87" s="9">
        <v>0</v>
      </c>
      <c r="CL87" s="9">
        <v>0</v>
      </c>
      <c r="CM87" s="9">
        <v>0</v>
      </c>
      <c r="CN87" s="9">
        <v>0</v>
      </c>
      <c r="CO87" s="9">
        <v>0</v>
      </c>
      <c r="CP87" s="9">
        <v>0</v>
      </c>
      <c r="CQ87" s="9">
        <v>0</v>
      </c>
      <c r="CR87" s="9">
        <v>0</v>
      </c>
      <c r="CS87" s="10">
        <v>0</v>
      </c>
    </row>
    <row r="88" spans="1:97" x14ac:dyDescent="0.35">
      <c r="A88" s="8" t="s">
        <v>73</v>
      </c>
      <c r="B88" s="9" t="s">
        <v>690</v>
      </c>
      <c r="C88" s="9" t="s">
        <v>691</v>
      </c>
      <c r="D88" s="9">
        <f t="shared" si="1"/>
        <v>0</v>
      </c>
      <c r="E88" s="9">
        <v>0</v>
      </c>
      <c r="F88" s="9">
        <v>0</v>
      </c>
      <c r="G88" s="9">
        <v>0</v>
      </c>
      <c r="H88" s="9">
        <v>0</v>
      </c>
      <c r="I88" s="9">
        <v>0</v>
      </c>
      <c r="J88" s="9">
        <v>0</v>
      </c>
      <c r="K88" s="9">
        <v>0</v>
      </c>
      <c r="L88" s="9">
        <v>0</v>
      </c>
      <c r="M88" s="9">
        <v>0</v>
      </c>
      <c r="N88" s="9">
        <v>0</v>
      </c>
      <c r="O88" s="9">
        <v>0</v>
      </c>
      <c r="P88" s="9">
        <v>0</v>
      </c>
      <c r="Q88" s="9">
        <v>0</v>
      </c>
      <c r="R88" s="9">
        <v>0</v>
      </c>
      <c r="S88" s="9">
        <v>0</v>
      </c>
      <c r="T88" s="9">
        <v>0</v>
      </c>
      <c r="U88" s="9">
        <v>0</v>
      </c>
      <c r="V88" s="9">
        <v>0</v>
      </c>
      <c r="W88" s="9">
        <v>0</v>
      </c>
      <c r="X88" s="9">
        <v>0</v>
      </c>
      <c r="Y88" s="9">
        <v>0</v>
      </c>
      <c r="Z88" s="9">
        <v>0</v>
      </c>
      <c r="AA88" s="9">
        <v>0</v>
      </c>
      <c r="AB88" s="9">
        <v>0</v>
      </c>
      <c r="AC88" s="9">
        <v>0</v>
      </c>
      <c r="AD88" s="9">
        <v>0</v>
      </c>
      <c r="AE88" s="9">
        <v>0</v>
      </c>
      <c r="AF88" s="9">
        <v>0</v>
      </c>
      <c r="AG88" s="9">
        <v>0</v>
      </c>
      <c r="AH88" s="9">
        <v>0</v>
      </c>
      <c r="AI88" s="9">
        <v>0</v>
      </c>
      <c r="AJ88" s="9">
        <v>0</v>
      </c>
      <c r="AK88" s="9">
        <v>0</v>
      </c>
      <c r="AL88" s="9">
        <v>0</v>
      </c>
      <c r="AM88" s="9">
        <v>0</v>
      </c>
      <c r="AN88" s="9">
        <v>0</v>
      </c>
      <c r="AO88" s="9">
        <v>0</v>
      </c>
      <c r="AP88" s="9">
        <v>0</v>
      </c>
      <c r="AQ88" s="9">
        <v>0</v>
      </c>
      <c r="AR88" s="9">
        <v>0</v>
      </c>
      <c r="AS88" s="9">
        <v>0</v>
      </c>
      <c r="AT88" s="9">
        <v>0</v>
      </c>
      <c r="AU88" s="9">
        <v>0</v>
      </c>
      <c r="AV88" s="9">
        <v>0</v>
      </c>
      <c r="AW88" s="9">
        <v>0</v>
      </c>
      <c r="AX88" s="9">
        <v>0</v>
      </c>
      <c r="AY88" s="9">
        <v>0</v>
      </c>
      <c r="AZ88" s="9">
        <v>0</v>
      </c>
      <c r="BA88" s="9">
        <v>0</v>
      </c>
      <c r="BB88" s="9">
        <v>0</v>
      </c>
      <c r="BC88" s="9">
        <v>0</v>
      </c>
      <c r="BD88" s="9">
        <v>0</v>
      </c>
      <c r="BE88" s="9">
        <v>0</v>
      </c>
      <c r="BF88" s="9">
        <v>0</v>
      </c>
      <c r="BG88" s="9">
        <v>0</v>
      </c>
      <c r="BH88" s="9">
        <v>0</v>
      </c>
      <c r="BI88" s="9">
        <v>0</v>
      </c>
      <c r="BJ88" s="9">
        <v>0</v>
      </c>
      <c r="BK88" s="9">
        <v>0</v>
      </c>
      <c r="BL88" s="9">
        <v>0</v>
      </c>
      <c r="BM88" s="9">
        <v>0</v>
      </c>
      <c r="BN88" s="9">
        <v>0</v>
      </c>
      <c r="BO88" s="9">
        <v>0</v>
      </c>
      <c r="BP88" s="9">
        <v>0</v>
      </c>
      <c r="BQ88" s="9">
        <v>0</v>
      </c>
      <c r="BR88" s="9">
        <v>0</v>
      </c>
      <c r="BS88" s="9">
        <v>0</v>
      </c>
      <c r="BT88" s="9">
        <v>0</v>
      </c>
      <c r="BU88" s="9">
        <v>0</v>
      </c>
      <c r="BV88" s="9">
        <v>0</v>
      </c>
      <c r="BW88" s="9">
        <v>0</v>
      </c>
      <c r="BX88" s="9">
        <v>0</v>
      </c>
      <c r="BY88" s="9">
        <v>0</v>
      </c>
      <c r="BZ88" s="9">
        <v>0</v>
      </c>
      <c r="CA88" s="9">
        <v>0</v>
      </c>
      <c r="CB88" s="9">
        <v>0</v>
      </c>
      <c r="CC88" s="9">
        <v>0</v>
      </c>
      <c r="CD88" s="9">
        <v>0</v>
      </c>
      <c r="CE88" s="9">
        <v>0</v>
      </c>
      <c r="CF88" s="9">
        <v>0</v>
      </c>
      <c r="CG88" s="9">
        <v>0</v>
      </c>
      <c r="CH88" s="9">
        <v>0</v>
      </c>
      <c r="CI88" s="9">
        <v>0</v>
      </c>
      <c r="CJ88" s="9">
        <v>0</v>
      </c>
      <c r="CK88" s="9">
        <v>0</v>
      </c>
      <c r="CL88" s="9">
        <v>0</v>
      </c>
      <c r="CM88" s="9">
        <v>0</v>
      </c>
      <c r="CN88" s="9">
        <v>0</v>
      </c>
      <c r="CO88" s="9">
        <v>0</v>
      </c>
      <c r="CP88" s="9">
        <v>0</v>
      </c>
      <c r="CQ88" s="9">
        <v>0</v>
      </c>
      <c r="CR88" s="9">
        <v>0</v>
      </c>
      <c r="CS88" s="10">
        <v>0</v>
      </c>
    </row>
    <row r="89" spans="1:97" x14ac:dyDescent="0.35">
      <c r="A89" s="8" t="s">
        <v>73</v>
      </c>
      <c r="B89" s="9" t="s">
        <v>692</v>
      </c>
      <c r="C89" s="9" t="s">
        <v>693</v>
      </c>
      <c r="D89" s="9">
        <f t="shared" si="1"/>
        <v>0</v>
      </c>
      <c r="E89" s="9">
        <v>0</v>
      </c>
      <c r="F89" s="9">
        <v>0</v>
      </c>
      <c r="G89" s="9">
        <v>0</v>
      </c>
      <c r="H89" s="9">
        <v>0</v>
      </c>
      <c r="I89" s="9">
        <v>0</v>
      </c>
      <c r="J89" s="9">
        <v>0</v>
      </c>
      <c r="K89" s="9">
        <v>0</v>
      </c>
      <c r="L89" s="9">
        <v>0</v>
      </c>
      <c r="M89" s="9">
        <v>0</v>
      </c>
      <c r="N89" s="9">
        <v>0</v>
      </c>
      <c r="O89" s="9">
        <v>0</v>
      </c>
      <c r="P89" s="9">
        <v>0</v>
      </c>
      <c r="Q89" s="9">
        <v>0</v>
      </c>
      <c r="R89" s="9">
        <v>0</v>
      </c>
      <c r="S89" s="9">
        <v>0</v>
      </c>
      <c r="T89" s="9">
        <v>0</v>
      </c>
      <c r="U89" s="9">
        <v>0</v>
      </c>
      <c r="V89" s="9">
        <v>0</v>
      </c>
      <c r="W89" s="9">
        <v>0</v>
      </c>
      <c r="X89" s="9">
        <v>0</v>
      </c>
      <c r="Y89" s="9">
        <v>0</v>
      </c>
      <c r="Z89" s="9">
        <v>0</v>
      </c>
      <c r="AA89" s="9">
        <v>0</v>
      </c>
      <c r="AB89" s="9">
        <v>0</v>
      </c>
      <c r="AC89" s="9">
        <v>0</v>
      </c>
      <c r="AD89" s="9">
        <v>0</v>
      </c>
      <c r="AE89" s="9">
        <v>0</v>
      </c>
      <c r="AF89" s="9">
        <v>0</v>
      </c>
      <c r="AG89" s="9">
        <v>0</v>
      </c>
      <c r="AH89" s="9">
        <v>0</v>
      </c>
      <c r="AI89" s="9">
        <v>0</v>
      </c>
      <c r="AJ89" s="9">
        <v>0</v>
      </c>
      <c r="AK89" s="9">
        <v>0</v>
      </c>
      <c r="AL89" s="9">
        <v>0</v>
      </c>
      <c r="AM89" s="9">
        <v>0</v>
      </c>
      <c r="AN89" s="9">
        <v>0</v>
      </c>
      <c r="AO89" s="9">
        <v>0</v>
      </c>
      <c r="AP89" s="9">
        <v>0</v>
      </c>
      <c r="AQ89" s="9">
        <v>0</v>
      </c>
      <c r="AR89" s="9">
        <v>0</v>
      </c>
      <c r="AS89" s="9">
        <v>0</v>
      </c>
      <c r="AT89" s="9">
        <v>0</v>
      </c>
      <c r="AU89" s="9">
        <v>0</v>
      </c>
      <c r="AV89" s="9">
        <v>0</v>
      </c>
      <c r="AW89" s="9">
        <v>0</v>
      </c>
      <c r="AX89" s="9">
        <v>0</v>
      </c>
      <c r="AY89" s="9">
        <v>0</v>
      </c>
      <c r="AZ89" s="9">
        <v>0</v>
      </c>
      <c r="BA89" s="9">
        <v>0</v>
      </c>
      <c r="BB89" s="9">
        <v>0</v>
      </c>
      <c r="BC89" s="9">
        <v>0</v>
      </c>
      <c r="BD89" s="9">
        <v>0</v>
      </c>
      <c r="BE89" s="9">
        <v>0</v>
      </c>
      <c r="BF89" s="9">
        <v>0</v>
      </c>
      <c r="BG89" s="9">
        <v>0</v>
      </c>
      <c r="BH89" s="9">
        <v>0</v>
      </c>
      <c r="BI89" s="9">
        <v>0</v>
      </c>
      <c r="BJ89" s="9">
        <v>0</v>
      </c>
      <c r="BK89" s="9">
        <v>0</v>
      </c>
      <c r="BL89" s="9">
        <v>0</v>
      </c>
      <c r="BM89" s="9">
        <v>0</v>
      </c>
      <c r="BN89" s="9">
        <v>0</v>
      </c>
      <c r="BO89" s="9">
        <v>0</v>
      </c>
      <c r="BP89" s="9">
        <v>0</v>
      </c>
      <c r="BQ89" s="9">
        <v>0</v>
      </c>
      <c r="BR89" s="9">
        <v>0</v>
      </c>
      <c r="BS89" s="9">
        <v>0</v>
      </c>
      <c r="BT89" s="9">
        <v>0</v>
      </c>
      <c r="BU89" s="9">
        <v>0</v>
      </c>
      <c r="BV89" s="9">
        <v>0</v>
      </c>
      <c r="BW89" s="9">
        <v>0</v>
      </c>
      <c r="BX89" s="9">
        <v>0</v>
      </c>
      <c r="BY89" s="9">
        <v>0</v>
      </c>
      <c r="BZ89" s="9">
        <v>0</v>
      </c>
      <c r="CA89" s="9">
        <v>0</v>
      </c>
      <c r="CB89" s="9">
        <v>0</v>
      </c>
      <c r="CC89" s="9">
        <v>0</v>
      </c>
      <c r="CD89" s="9">
        <v>0</v>
      </c>
      <c r="CE89" s="9">
        <v>0</v>
      </c>
      <c r="CF89" s="9">
        <v>0</v>
      </c>
      <c r="CG89" s="9">
        <v>0</v>
      </c>
      <c r="CH89" s="9">
        <v>0</v>
      </c>
      <c r="CI89" s="9">
        <v>0</v>
      </c>
      <c r="CJ89" s="9">
        <v>0</v>
      </c>
      <c r="CK89" s="9">
        <v>0</v>
      </c>
      <c r="CL89" s="9">
        <v>0</v>
      </c>
      <c r="CM89" s="9">
        <v>0</v>
      </c>
      <c r="CN89" s="9">
        <v>0</v>
      </c>
      <c r="CO89" s="9">
        <v>0</v>
      </c>
      <c r="CP89" s="9">
        <v>0</v>
      </c>
      <c r="CQ89" s="9">
        <v>0</v>
      </c>
      <c r="CR89" s="9">
        <v>0</v>
      </c>
      <c r="CS89" s="10">
        <v>0</v>
      </c>
    </row>
    <row r="90" spans="1:97" x14ac:dyDescent="0.35">
      <c r="A90" s="8" t="s">
        <v>73</v>
      </c>
      <c r="B90" s="9" t="s">
        <v>694</v>
      </c>
      <c r="C90" s="9" t="s">
        <v>695</v>
      </c>
      <c r="D90" s="9">
        <f t="shared" si="1"/>
        <v>0</v>
      </c>
      <c r="E90" s="9">
        <v>0</v>
      </c>
      <c r="F90" s="9">
        <v>0</v>
      </c>
      <c r="G90" s="9">
        <v>0</v>
      </c>
      <c r="H90" s="9">
        <v>0</v>
      </c>
      <c r="I90" s="9">
        <v>0</v>
      </c>
      <c r="J90" s="9">
        <v>0</v>
      </c>
      <c r="K90" s="9">
        <v>0</v>
      </c>
      <c r="L90" s="9">
        <v>0</v>
      </c>
      <c r="M90" s="9">
        <v>0</v>
      </c>
      <c r="N90" s="9">
        <v>0</v>
      </c>
      <c r="O90" s="9">
        <v>0</v>
      </c>
      <c r="P90" s="9">
        <v>0</v>
      </c>
      <c r="Q90" s="9">
        <v>0</v>
      </c>
      <c r="R90" s="9">
        <v>0</v>
      </c>
      <c r="S90" s="9">
        <v>0</v>
      </c>
      <c r="T90" s="9">
        <v>0</v>
      </c>
      <c r="U90" s="9">
        <v>0</v>
      </c>
      <c r="V90" s="9">
        <v>0</v>
      </c>
      <c r="W90" s="9">
        <v>0</v>
      </c>
      <c r="X90" s="9">
        <v>0</v>
      </c>
      <c r="Y90" s="9">
        <v>0</v>
      </c>
      <c r="Z90" s="9">
        <v>0</v>
      </c>
      <c r="AA90" s="9">
        <v>0</v>
      </c>
      <c r="AB90" s="9">
        <v>0</v>
      </c>
      <c r="AC90" s="9">
        <v>0</v>
      </c>
      <c r="AD90" s="9">
        <v>0</v>
      </c>
      <c r="AE90" s="9">
        <v>0</v>
      </c>
      <c r="AF90" s="9">
        <v>0</v>
      </c>
      <c r="AG90" s="9">
        <v>0</v>
      </c>
      <c r="AH90" s="9">
        <v>0</v>
      </c>
      <c r="AI90" s="9">
        <v>0</v>
      </c>
      <c r="AJ90" s="9">
        <v>0</v>
      </c>
      <c r="AK90" s="9">
        <v>0</v>
      </c>
      <c r="AL90" s="9">
        <v>0</v>
      </c>
      <c r="AM90" s="9">
        <v>0</v>
      </c>
      <c r="AN90" s="9">
        <v>0</v>
      </c>
      <c r="AO90" s="9">
        <v>0</v>
      </c>
      <c r="AP90" s="9">
        <v>0</v>
      </c>
      <c r="AQ90" s="9">
        <v>0</v>
      </c>
      <c r="AR90" s="9">
        <v>0</v>
      </c>
      <c r="AS90" s="9">
        <v>0</v>
      </c>
      <c r="AT90" s="9">
        <v>0</v>
      </c>
      <c r="AU90" s="9">
        <v>0</v>
      </c>
      <c r="AV90" s="9">
        <v>0</v>
      </c>
      <c r="AW90" s="9">
        <v>0</v>
      </c>
      <c r="AX90" s="9">
        <v>0</v>
      </c>
      <c r="AY90" s="9">
        <v>0</v>
      </c>
      <c r="AZ90" s="9">
        <v>0</v>
      </c>
      <c r="BA90" s="9">
        <v>0</v>
      </c>
      <c r="BB90" s="9">
        <v>0</v>
      </c>
      <c r="BC90" s="9">
        <v>0</v>
      </c>
      <c r="BD90" s="9">
        <v>0</v>
      </c>
      <c r="BE90" s="9">
        <v>0</v>
      </c>
      <c r="BF90" s="9">
        <v>0</v>
      </c>
      <c r="BG90" s="9">
        <v>0</v>
      </c>
      <c r="BH90" s="9">
        <v>0</v>
      </c>
      <c r="BI90" s="9">
        <v>0</v>
      </c>
      <c r="BJ90" s="9">
        <v>0</v>
      </c>
      <c r="BK90" s="9">
        <v>0</v>
      </c>
      <c r="BL90" s="9">
        <v>0</v>
      </c>
      <c r="BM90" s="9">
        <v>0</v>
      </c>
      <c r="BN90" s="9">
        <v>0</v>
      </c>
      <c r="BO90" s="9">
        <v>0</v>
      </c>
      <c r="BP90" s="9">
        <v>0</v>
      </c>
      <c r="BQ90" s="9">
        <v>0</v>
      </c>
      <c r="BR90" s="9">
        <v>0</v>
      </c>
      <c r="BS90" s="9">
        <v>0</v>
      </c>
      <c r="BT90" s="9">
        <v>0</v>
      </c>
      <c r="BU90" s="9">
        <v>0</v>
      </c>
      <c r="BV90" s="9">
        <v>0</v>
      </c>
      <c r="BW90" s="9">
        <v>0</v>
      </c>
      <c r="BX90" s="9">
        <v>0</v>
      </c>
      <c r="BY90" s="9">
        <v>0</v>
      </c>
      <c r="BZ90" s="9">
        <v>0</v>
      </c>
      <c r="CA90" s="9">
        <v>0</v>
      </c>
      <c r="CB90" s="9">
        <v>0</v>
      </c>
      <c r="CC90" s="9">
        <v>0</v>
      </c>
      <c r="CD90" s="9">
        <v>0</v>
      </c>
      <c r="CE90" s="9">
        <v>0</v>
      </c>
      <c r="CF90" s="9">
        <v>0</v>
      </c>
      <c r="CG90" s="9">
        <v>0</v>
      </c>
      <c r="CH90" s="9">
        <v>0</v>
      </c>
      <c r="CI90" s="9">
        <v>0</v>
      </c>
      <c r="CJ90" s="9">
        <v>0</v>
      </c>
      <c r="CK90" s="9">
        <v>0</v>
      </c>
      <c r="CL90" s="9">
        <v>0</v>
      </c>
      <c r="CM90" s="9">
        <v>0</v>
      </c>
      <c r="CN90" s="9">
        <v>0</v>
      </c>
      <c r="CO90" s="9">
        <v>0</v>
      </c>
      <c r="CP90" s="9">
        <v>0</v>
      </c>
      <c r="CQ90" s="9">
        <v>0</v>
      </c>
      <c r="CR90" s="9">
        <v>0</v>
      </c>
      <c r="CS90" s="10">
        <v>0</v>
      </c>
    </row>
    <row r="91" spans="1:97" x14ac:dyDescent="0.35">
      <c r="A91" s="8" t="s">
        <v>73</v>
      </c>
      <c r="B91" s="9" t="s">
        <v>696</v>
      </c>
      <c r="C91" s="9" t="s">
        <v>697</v>
      </c>
      <c r="D91" s="9">
        <f t="shared" si="1"/>
        <v>0</v>
      </c>
      <c r="E91" s="9">
        <v>0</v>
      </c>
      <c r="F91" s="9">
        <v>0</v>
      </c>
      <c r="G91" s="9">
        <v>0</v>
      </c>
      <c r="H91" s="9">
        <v>0</v>
      </c>
      <c r="I91" s="9">
        <v>0</v>
      </c>
      <c r="J91" s="9">
        <v>0</v>
      </c>
      <c r="K91" s="9">
        <v>0</v>
      </c>
      <c r="L91" s="9">
        <v>0</v>
      </c>
      <c r="M91" s="9">
        <v>0</v>
      </c>
      <c r="N91" s="9">
        <v>0</v>
      </c>
      <c r="O91" s="9">
        <v>0</v>
      </c>
      <c r="P91" s="9">
        <v>0</v>
      </c>
      <c r="Q91" s="9">
        <v>0</v>
      </c>
      <c r="R91" s="9">
        <v>0</v>
      </c>
      <c r="S91" s="9">
        <v>0</v>
      </c>
      <c r="T91" s="9">
        <v>0</v>
      </c>
      <c r="U91" s="9">
        <v>0</v>
      </c>
      <c r="V91" s="9">
        <v>0</v>
      </c>
      <c r="W91" s="9">
        <v>0</v>
      </c>
      <c r="X91" s="9">
        <v>0</v>
      </c>
      <c r="Y91" s="9">
        <v>0</v>
      </c>
      <c r="Z91" s="9">
        <v>0</v>
      </c>
      <c r="AA91" s="9">
        <v>0</v>
      </c>
      <c r="AB91" s="9">
        <v>0</v>
      </c>
      <c r="AC91" s="9">
        <v>0</v>
      </c>
      <c r="AD91" s="9">
        <v>0</v>
      </c>
      <c r="AE91" s="9">
        <v>0</v>
      </c>
      <c r="AF91" s="9">
        <v>0</v>
      </c>
      <c r="AG91" s="9">
        <v>0</v>
      </c>
      <c r="AH91" s="9">
        <v>0</v>
      </c>
      <c r="AI91" s="9">
        <v>0</v>
      </c>
      <c r="AJ91" s="9">
        <v>0</v>
      </c>
      <c r="AK91" s="9">
        <v>0</v>
      </c>
      <c r="AL91" s="9">
        <v>0</v>
      </c>
      <c r="AM91" s="9">
        <v>0</v>
      </c>
      <c r="AN91" s="9">
        <v>0</v>
      </c>
      <c r="AO91" s="9">
        <v>0</v>
      </c>
      <c r="AP91" s="9">
        <v>0</v>
      </c>
      <c r="AQ91" s="9">
        <v>0</v>
      </c>
      <c r="AR91" s="9">
        <v>0</v>
      </c>
      <c r="AS91" s="9">
        <v>0</v>
      </c>
      <c r="AT91" s="9">
        <v>0</v>
      </c>
      <c r="AU91" s="9">
        <v>0</v>
      </c>
      <c r="AV91" s="9">
        <v>0</v>
      </c>
      <c r="AW91" s="9">
        <v>0</v>
      </c>
      <c r="AX91" s="9">
        <v>0</v>
      </c>
      <c r="AY91" s="9">
        <v>0</v>
      </c>
      <c r="AZ91" s="9">
        <v>0</v>
      </c>
      <c r="BA91" s="9">
        <v>0</v>
      </c>
      <c r="BB91" s="9">
        <v>0</v>
      </c>
      <c r="BC91" s="9">
        <v>0</v>
      </c>
      <c r="BD91" s="9">
        <v>0</v>
      </c>
      <c r="BE91" s="9">
        <v>0</v>
      </c>
      <c r="BF91" s="9">
        <v>0</v>
      </c>
      <c r="BG91" s="9">
        <v>0</v>
      </c>
      <c r="BH91" s="9">
        <v>0</v>
      </c>
      <c r="BI91" s="9">
        <v>0</v>
      </c>
      <c r="BJ91" s="9">
        <v>0</v>
      </c>
      <c r="BK91" s="9">
        <v>0</v>
      </c>
      <c r="BL91" s="9">
        <v>0</v>
      </c>
      <c r="BM91" s="9">
        <v>0</v>
      </c>
      <c r="BN91" s="9">
        <v>0</v>
      </c>
      <c r="BO91" s="9">
        <v>0</v>
      </c>
      <c r="BP91" s="9">
        <v>0</v>
      </c>
      <c r="BQ91" s="9">
        <v>0</v>
      </c>
      <c r="BR91" s="9">
        <v>0</v>
      </c>
      <c r="BS91" s="9">
        <v>0</v>
      </c>
      <c r="BT91" s="9">
        <v>0</v>
      </c>
      <c r="BU91" s="9">
        <v>0</v>
      </c>
      <c r="BV91" s="9">
        <v>0</v>
      </c>
      <c r="BW91" s="9">
        <v>0</v>
      </c>
      <c r="BX91" s="9">
        <v>0</v>
      </c>
      <c r="BY91" s="9">
        <v>0</v>
      </c>
      <c r="BZ91" s="9">
        <v>0</v>
      </c>
      <c r="CA91" s="9">
        <v>0</v>
      </c>
      <c r="CB91" s="9">
        <v>0</v>
      </c>
      <c r="CC91" s="9">
        <v>0</v>
      </c>
      <c r="CD91" s="9">
        <v>0</v>
      </c>
      <c r="CE91" s="9">
        <v>0</v>
      </c>
      <c r="CF91" s="9">
        <v>0</v>
      </c>
      <c r="CG91" s="9">
        <v>0</v>
      </c>
      <c r="CH91" s="9">
        <v>0</v>
      </c>
      <c r="CI91" s="9">
        <v>0</v>
      </c>
      <c r="CJ91" s="9">
        <v>0</v>
      </c>
      <c r="CK91" s="9">
        <v>0</v>
      </c>
      <c r="CL91" s="9">
        <v>0</v>
      </c>
      <c r="CM91" s="9">
        <v>0</v>
      </c>
      <c r="CN91" s="9">
        <v>0</v>
      </c>
      <c r="CO91" s="9">
        <v>0</v>
      </c>
      <c r="CP91" s="9">
        <v>0</v>
      </c>
      <c r="CQ91" s="9">
        <v>0</v>
      </c>
      <c r="CR91" s="9">
        <v>0</v>
      </c>
      <c r="CS91" s="10">
        <v>0</v>
      </c>
    </row>
    <row r="92" spans="1:97" x14ac:dyDescent="0.35">
      <c r="A92" s="8" t="s">
        <v>73</v>
      </c>
      <c r="B92" s="9" t="s">
        <v>698</v>
      </c>
      <c r="C92" s="9" t="s">
        <v>699</v>
      </c>
      <c r="D92" s="9">
        <f t="shared" si="1"/>
        <v>0</v>
      </c>
      <c r="E92" s="9">
        <v>0</v>
      </c>
      <c r="F92" s="9">
        <v>0</v>
      </c>
      <c r="G92" s="9">
        <v>0</v>
      </c>
      <c r="H92" s="9">
        <v>0</v>
      </c>
      <c r="I92" s="9">
        <v>0</v>
      </c>
      <c r="J92" s="9">
        <v>0</v>
      </c>
      <c r="K92" s="9">
        <v>0</v>
      </c>
      <c r="L92" s="9">
        <v>0</v>
      </c>
      <c r="M92" s="9">
        <v>0</v>
      </c>
      <c r="N92" s="9">
        <v>0</v>
      </c>
      <c r="O92" s="9">
        <v>0</v>
      </c>
      <c r="P92" s="9">
        <v>0</v>
      </c>
      <c r="Q92" s="9">
        <v>0</v>
      </c>
      <c r="R92" s="9">
        <v>0</v>
      </c>
      <c r="S92" s="9">
        <v>0</v>
      </c>
      <c r="T92" s="9">
        <v>0</v>
      </c>
      <c r="U92" s="9">
        <v>0</v>
      </c>
      <c r="V92" s="9">
        <v>0</v>
      </c>
      <c r="W92" s="9">
        <v>0</v>
      </c>
      <c r="X92" s="9">
        <v>0</v>
      </c>
      <c r="Y92" s="9">
        <v>0</v>
      </c>
      <c r="Z92" s="9">
        <v>0</v>
      </c>
      <c r="AA92" s="9">
        <v>0</v>
      </c>
      <c r="AB92" s="9">
        <v>0</v>
      </c>
      <c r="AC92" s="9">
        <v>0</v>
      </c>
      <c r="AD92" s="9">
        <v>0</v>
      </c>
      <c r="AE92" s="9">
        <v>0</v>
      </c>
      <c r="AF92" s="9">
        <v>0</v>
      </c>
      <c r="AG92" s="9">
        <v>0</v>
      </c>
      <c r="AH92" s="9">
        <v>0</v>
      </c>
      <c r="AI92" s="9">
        <v>0</v>
      </c>
      <c r="AJ92" s="9">
        <v>0</v>
      </c>
      <c r="AK92" s="9">
        <v>0</v>
      </c>
      <c r="AL92" s="9">
        <v>0</v>
      </c>
      <c r="AM92" s="9">
        <v>0</v>
      </c>
      <c r="AN92" s="9">
        <v>0</v>
      </c>
      <c r="AO92" s="9">
        <v>0</v>
      </c>
      <c r="AP92" s="9">
        <v>0</v>
      </c>
      <c r="AQ92" s="9">
        <v>0</v>
      </c>
      <c r="AR92" s="9">
        <v>0</v>
      </c>
      <c r="AS92" s="9">
        <v>0</v>
      </c>
      <c r="AT92" s="9">
        <v>0</v>
      </c>
      <c r="AU92" s="9">
        <v>0</v>
      </c>
      <c r="AV92" s="9">
        <v>0</v>
      </c>
      <c r="AW92" s="9">
        <v>0</v>
      </c>
      <c r="AX92" s="9">
        <v>0</v>
      </c>
      <c r="AY92" s="9">
        <v>0</v>
      </c>
      <c r="AZ92" s="9">
        <v>0</v>
      </c>
      <c r="BA92" s="9">
        <v>0</v>
      </c>
      <c r="BB92" s="9">
        <v>0</v>
      </c>
      <c r="BC92" s="9">
        <v>0</v>
      </c>
      <c r="BD92" s="9">
        <v>0</v>
      </c>
      <c r="BE92" s="9">
        <v>0</v>
      </c>
      <c r="BF92" s="9">
        <v>0</v>
      </c>
      <c r="BG92" s="9">
        <v>0</v>
      </c>
      <c r="BH92" s="9">
        <v>0</v>
      </c>
      <c r="BI92" s="9">
        <v>0</v>
      </c>
      <c r="BJ92" s="9">
        <v>0</v>
      </c>
      <c r="BK92" s="9">
        <v>0</v>
      </c>
      <c r="BL92" s="9">
        <v>0</v>
      </c>
      <c r="BM92" s="9">
        <v>0</v>
      </c>
      <c r="BN92" s="9">
        <v>0</v>
      </c>
      <c r="BO92" s="9">
        <v>0</v>
      </c>
      <c r="BP92" s="9">
        <v>0</v>
      </c>
      <c r="BQ92" s="9">
        <v>0</v>
      </c>
      <c r="BR92" s="9">
        <v>0</v>
      </c>
      <c r="BS92" s="9">
        <v>0</v>
      </c>
      <c r="BT92" s="9">
        <v>0</v>
      </c>
      <c r="BU92" s="9">
        <v>0</v>
      </c>
      <c r="BV92" s="9">
        <v>0</v>
      </c>
      <c r="BW92" s="9">
        <v>0</v>
      </c>
      <c r="BX92" s="9">
        <v>0</v>
      </c>
      <c r="BY92" s="9">
        <v>0</v>
      </c>
      <c r="BZ92" s="9">
        <v>0</v>
      </c>
      <c r="CA92" s="9">
        <v>0</v>
      </c>
      <c r="CB92" s="9">
        <v>0</v>
      </c>
      <c r="CC92" s="9">
        <v>0</v>
      </c>
      <c r="CD92" s="9">
        <v>0</v>
      </c>
      <c r="CE92" s="9">
        <v>0</v>
      </c>
      <c r="CF92" s="9">
        <v>0</v>
      </c>
      <c r="CG92" s="9">
        <v>0</v>
      </c>
      <c r="CH92" s="9">
        <v>0</v>
      </c>
      <c r="CI92" s="9">
        <v>0</v>
      </c>
      <c r="CJ92" s="9">
        <v>0</v>
      </c>
      <c r="CK92" s="9">
        <v>0</v>
      </c>
      <c r="CL92" s="9">
        <v>0</v>
      </c>
      <c r="CM92" s="9">
        <v>0</v>
      </c>
      <c r="CN92" s="9">
        <v>0</v>
      </c>
      <c r="CO92" s="9">
        <v>0</v>
      </c>
      <c r="CP92" s="9">
        <v>0</v>
      </c>
      <c r="CQ92" s="9">
        <v>0</v>
      </c>
      <c r="CR92" s="9">
        <v>0</v>
      </c>
      <c r="CS92" s="10">
        <v>0</v>
      </c>
    </row>
    <row r="93" spans="1:97" x14ac:dyDescent="0.35">
      <c r="A93" s="8" t="s">
        <v>73</v>
      </c>
      <c r="B93" s="9" t="s">
        <v>700</v>
      </c>
      <c r="C93" s="9" t="s">
        <v>701</v>
      </c>
      <c r="D93" s="9">
        <f t="shared" si="1"/>
        <v>0</v>
      </c>
      <c r="E93" s="9">
        <v>0</v>
      </c>
      <c r="F93" s="9">
        <v>0</v>
      </c>
      <c r="G93" s="9">
        <v>0</v>
      </c>
      <c r="H93" s="9">
        <v>0</v>
      </c>
      <c r="I93" s="9">
        <v>0</v>
      </c>
      <c r="J93" s="9">
        <v>0</v>
      </c>
      <c r="K93" s="9">
        <v>0</v>
      </c>
      <c r="L93" s="9">
        <v>0</v>
      </c>
      <c r="M93" s="9">
        <v>0</v>
      </c>
      <c r="N93" s="9">
        <v>0</v>
      </c>
      <c r="O93" s="9">
        <v>0</v>
      </c>
      <c r="P93" s="9">
        <v>0</v>
      </c>
      <c r="Q93" s="9">
        <v>0</v>
      </c>
      <c r="R93" s="9">
        <v>0</v>
      </c>
      <c r="S93" s="9">
        <v>0</v>
      </c>
      <c r="T93" s="9">
        <v>0</v>
      </c>
      <c r="U93" s="9">
        <v>0</v>
      </c>
      <c r="V93" s="9">
        <v>0</v>
      </c>
      <c r="W93" s="9">
        <v>0</v>
      </c>
      <c r="X93" s="9">
        <v>0</v>
      </c>
      <c r="Y93" s="9">
        <v>0</v>
      </c>
      <c r="Z93" s="9">
        <v>0</v>
      </c>
      <c r="AA93" s="9">
        <v>0</v>
      </c>
      <c r="AB93" s="9">
        <v>0</v>
      </c>
      <c r="AC93" s="9">
        <v>0</v>
      </c>
      <c r="AD93" s="9">
        <v>0</v>
      </c>
      <c r="AE93" s="9">
        <v>0</v>
      </c>
      <c r="AF93" s="9">
        <v>0</v>
      </c>
      <c r="AG93" s="9">
        <v>0</v>
      </c>
      <c r="AH93" s="9">
        <v>0</v>
      </c>
      <c r="AI93" s="9">
        <v>0</v>
      </c>
      <c r="AJ93" s="9">
        <v>0</v>
      </c>
      <c r="AK93" s="9">
        <v>0</v>
      </c>
      <c r="AL93" s="9">
        <v>0</v>
      </c>
      <c r="AM93" s="9">
        <v>0</v>
      </c>
      <c r="AN93" s="9">
        <v>0</v>
      </c>
      <c r="AO93" s="9">
        <v>0</v>
      </c>
      <c r="AP93" s="9">
        <v>0</v>
      </c>
      <c r="AQ93" s="9">
        <v>0</v>
      </c>
      <c r="AR93" s="9">
        <v>0</v>
      </c>
      <c r="AS93" s="9">
        <v>0</v>
      </c>
      <c r="AT93" s="9">
        <v>0</v>
      </c>
      <c r="AU93" s="9">
        <v>0</v>
      </c>
      <c r="AV93" s="9">
        <v>0</v>
      </c>
      <c r="AW93" s="9">
        <v>0</v>
      </c>
      <c r="AX93" s="9">
        <v>0</v>
      </c>
      <c r="AY93" s="9">
        <v>0</v>
      </c>
      <c r="AZ93" s="9">
        <v>0</v>
      </c>
      <c r="BA93" s="9">
        <v>0</v>
      </c>
      <c r="BB93" s="9">
        <v>0</v>
      </c>
      <c r="BC93" s="9">
        <v>0</v>
      </c>
      <c r="BD93" s="9">
        <v>0</v>
      </c>
      <c r="BE93" s="9">
        <v>0</v>
      </c>
      <c r="BF93" s="9">
        <v>0</v>
      </c>
      <c r="BG93" s="9">
        <v>0</v>
      </c>
      <c r="BH93" s="9">
        <v>0</v>
      </c>
      <c r="BI93" s="9">
        <v>0</v>
      </c>
      <c r="BJ93" s="9">
        <v>0</v>
      </c>
      <c r="BK93" s="9">
        <v>0</v>
      </c>
      <c r="BL93" s="9">
        <v>0</v>
      </c>
      <c r="BM93" s="9">
        <v>0</v>
      </c>
      <c r="BN93" s="9">
        <v>0</v>
      </c>
      <c r="BO93" s="9">
        <v>0</v>
      </c>
      <c r="BP93" s="9">
        <v>0</v>
      </c>
      <c r="BQ93" s="9">
        <v>0</v>
      </c>
      <c r="BR93" s="9">
        <v>0</v>
      </c>
      <c r="BS93" s="9">
        <v>0</v>
      </c>
      <c r="BT93" s="9">
        <v>0</v>
      </c>
      <c r="BU93" s="9">
        <v>0</v>
      </c>
      <c r="BV93" s="9">
        <v>0</v>
      </c>
      <c r="BW93" s="9">
        <v>0</v>
      </c>
      <c r="BX93" s="9">
        <v>0</v>
      </c>
      <c r="BY93" s="9">
        <v>0</v>
      </c>
      <c r="BZ93" s="9">
        <v>0</v>
      </c>
      <c r="CA93" s="9">
        <v>0</v>
      </c>
      <c r="CB93" s="9">
        <v>0</v>
      </c>
      <c r="CC93" s="9">
        <v>0</v>
      </c>
      <c r="CD93" s="9">
        <v>0</v>
      </c>
      <c r="CE93" s="9">
        <v>0</v>
      </c>
      <c r="CF93" s="9">
        <v>0</v>
      </c>
      <c r="CG93" s="9">
        <v>0</v>
      </c>
      <c r="CH93" s="9">
        <v>0</v>
      </c>
      <c r="CI93" s="9">
        <v>0</v>
      </c>
      <c r="CJ93" s="9">
        <v>0</v>
      </c>
      <c r="CK93" s="9">
        <v>0</v>
      </c>
      <c r="CL93" s="9">
        <v>0</v>
      </c>
      <c r="CM93" s="9">
        <v>0</v>
      </c>
      <c r="CN93" s="9">
        <v>0</v>
      </c>
      <c r="CO93" s="9">
        <v>0</v>
      </c>
      <c r="CP93" s="9">
        <v>0</v>
      </c>
      <c r="CQ93" s="9">
        <v>0</v>
      </c>
      <c r="CR93" s="9">
        <v>0</v>
      </c>
      <c r="CS93" s="10">
        <v>0</v>
      </c>
    </row>
    <row r="94" spans="1:97" x14ac:dyDescent="0.35">
      <c r="A94" s="8" t="s">
        <v>73</v>
      </c>
      <c r="B94" s="9" t="s">
        <v>702</v>
      </c>
      <c r="C94" s="9" t="s">
        <v>703</v>
      </c>
      <c r="D94" s="9">
        <f t="shared" si="1"/>
        <v>0</v>
      </c>
      <c r="E94" s="9">
        <v>0</v>
      </c>
      <c r="F94" s="9">
        <v>0</v>
      </c>
      <c r="G94" s="9">
        <v>0</v>
      </c>
      <c r="H94" s="9">
        <v>0</v>
      </c>
      <c r="I94" s="9">
        <v>0</v>
      </c>
      <c r="J94" s="9">
        <v>0</v>
      </c>
      <c r="K94" s="9">
        <v>0</v>
      </c>
      <c r="L94" s="9">
        <v>0</v>
      </c>
      <c r="M94" s="9">
        <v>0</v>
      </c>
      <c r="N94" s="9">
        <v>0</v>
      </c>
      <c r="O94" s="9">
        <v>0</v>
      </c>
      <c r="P94" s="9">
        <v>0</v>
      </c>
      <c r="Q94" s="9">
        <v>0</v>
      </c>
      <c r="R94" s="9">
        <v>0</v>
      </c>
      <c r="S94" s="9">
        <v>0</v>
      </c>
      <c r="T94" s="9">
        <v>0</v>
      </c>
      <c r="U94" s="9">
        <v>0</v>
      </c>
      <c r="V94" s="9">
        <v>0</v>
      </c>
      <c r="W94" s="9">
        <v>0</v>
      </c>
      <c r="X94" s="9">
        <v>0</v>
      </c>
      <c r="Y94" s="9">
        <v>0</v>
      </c>
      <c r="Z94" s="9">
        <v>0</v>
      </c>
      <c r="AA94" s="9">
        <v>0</v>
      </c>
      <c r="AB94" s="9">
        <v>0</v>
      </c>
      <c r="AC94" s="9">
        <v>0</v>
      </c>
      <c r="AD94" s="9">
        <v>0</v>
      </c>
      <c r="AE94" s="9">
        <v>0</v>
      </c>
      <c r="AF94" s="9">
        <v>0</v>
      </c>
      <c r="AG94" s="9">
        <v>0</v>
      </c>
      <c r="AH94" s="9">
        <v>0</v>
      </c>
      <c r="AI94" s="9">
        <v>0</v>
      </c>
      <c r="AJ94" s="9">
        <v>0</v>
      </c>
      <c r="AK94" s="9">
        <v>0</v>
      </c>
      <c r="AL94" s="9">
        <v>0</v>
      </c>
      <c r="AM94" s="9">
        <v>0</v>
      </c>
      <c r="AN94" s="9">
        <v>0</v>
      </c>
      <c r="AO94" s="9">
        <v>0</v>
      </c>
      <c r="AP94" s="9">
        <v>0</v>
      </c>
      <c r="AQ94" s="9">
        <v>0</v>
      </c>
      <c r="AR94" s="9">
        <v>0</v>
      </c>
      <c r="AS94" s="9">
        <v>0</v>
      </c>
      <c r="AT94" s="9">
        <v>0</v>
      </c>
      <c r="AU94" s="9">
        <v>0</v>
      </c>
      <c r="AV94" s="9">
        <v>0</v>
      </c>
      <c r="AW94" s="9">
        <v>0</v>
      </c>
      <c r="AX94" s="9">
        <v>0</v>
      </c>
      <c r="AY94" s="9">
        <v>0</v>
      </c>
      <c r="AZ94" s="9">
        <v>0</v>
      </c>
      <c r="BA94" s="9">
        <v>0</v>
      </c>
      <c r="BB94" s="9">
        <v>0</v>
      </c>
      <c r="BC94" s="9">
        <v>0</v>
      </c>
      <c r="BD94" s="9">
        <v>0</v>
      </c>
      <c r="BE94" s="9">
        <v>0</v>
      </c>
      <c r="BF94" s="9">
        <v>0</v>
      </c>
      <c r="BG94" s="9">
        <v>0</v>
      </c>
      <c r="BH94" s="9">
        <v>0</v>
      </c>
      <c r="BI94" s="9">
        <v>0</v>
      </c>
      <c r="BJ94" s="9">
        <v>0</v>
      </c>
      <c r="BK94" s="9">
        <v>0</v>
      </c>
      <c r="BL94" s="9">
        <v>0</v>
      </c>
      <c r="BM94" s="9">
        <v>0</v>
      </c>
      <c r="BN94" s="9">
        <v>0</v>
      </c>
      <c r="BO94" s="9">
        <v>0</v>
      </c>
      <c r="BP94" s="9">
        <v>0</v>
      </c>
      <c r="BQ94" s="9">
        <v>0</v>
      </c>
      <c r="BR94" s="9">
        <v>0</v>
      </c>
      <c r="BS94" s="9">
        <v>0</v>
      </c>
      <c r="BT94" s="9">
        <v>0</v>
      </c>
      <c r="BU94" s="9">
        <v>0</v>
      </c>
      <c r="BV94" s="9">
        <v>0</v>
      </c>
      <c r="BW94" s="9">
        <v>0</v>
      </c>
      <c r="BX94" s="9">
        <v>0</v>
      </c>
      <c r="BY94" s="9">
        <v>0</v>
      </c>
      <c r="BZ94" s="9">
        <v>0</v>
      </c>
      <c r="CA94" s="9">
        <v>0</v>
      </c>
      <c r="CB94" s="9">
        <v>0</v>
      </c>
      <c r="CC94" s="9">
        <v>0</v>
      </c>
      <c r="CD94" s="9">
        <v>0</v>
      </c>
      <c r="CE94" s="9">
        <v>0</v>
      </c>
      <c r="CF94" s="9">
        <v>0</v>
      </c>
      <c r="CG94" s="9">
        <v>0</v>
      </c>
      <c r="CH94" s="9">
        <v>0</v>
      </c>
      <c r="CI94" s="9">
        <v>0</v>
      </c>
      <c r="CJ94" s="9">
        <v>0</v>
      </c>
      <c r="CK94" s="9">
        <v>0</v>
      </c>
      <c r="CL94" s="9">
        <v>0</v>
      </c>
      <c r="CM94" s="9">
        <v>0</v>
      </c>
      <c r="CN94" s="9">
        <v>0</v>
      </c>
      <c r="CO94" s="9">
        <v>0</v>
      </c>
      <c r="CP94" s="9">
        <v>0</v>
      </c>
      <c r="CQ94" s="9">
        <v>0</v>
      </c>
      <c r="CR94" s="9">
        <v>0</v>
      </c>
      <c r="CS94" s="10">
        <v>0</v>
      </c>
    </row>
    <row r="95" spans="1:97" x14ac:dyDescent="0.35">
      <c r="A95" s="8" t="s">
        <v>73</v>
      </c>
      <c r="B95" s="9" t="s">
        <v>704</v>
      </c>
      <c r="C95" s="9" t="s">
        <v>705</v>
      </c>
      <c r="D95" s="9">
        <f t="shared" si="1"/>
        <v>0</v>
      </c>
      <c r="E95" s="9">
        <v>0</v>
      </c>
      <c r="F95" s="9">
        <v>0</v>
      </c>
      <c r="G95" s="9">
        <v>0</v>
      </c>
      <c r="H95" s="9">
        <v>0</v>
      </c>
      <c r="I95" s="9">
        <v>0</v>
      </c>
      <c r="J95" s="9">
        <v>0</v>
      </c>
      <c r="K95" s="9">
        <v>0</v>
      </c>
      <c r="L95" s="9">
        <v>0</v>
      </c>
      <c r="M95" s="9">
        <v>0</v>
      </c>
      <c r="N95" s="9">
        <v>0</v>
      </c>
      <c r="O95" s="9">
        <v>0</v>
      </c>
      <c r="P95" s="9">
        <v>0</v>
      </c>
      <c r="Q95" s="9">
        <v>0</v>
      </c>
      <c r="R95" s="9">
        <v>0</v>
      </c>
      <c r="S95" s="9">
        <v>0</v>
      </c>
      <c r="T95" s="9">
        <v>0</v>
      </c>
      <c r="U95" s="9">
        <v>0</v>
      </c>
      <c r="V95" s="9">
        <v>0</v>
      </c>
      <c r="W95" s="9">
        <v>0</v>
      </c>
      <c r="X95" s="9">
        <v>0</v>
      </c>
      <c r="Y95" s="9">
        <v>0</v>
      </c>
      <c r="Z95" s="9">
        <v>0</v>
      </c>
      <c r="AA95" s="9">
        <v>0</v>
      </c>
      <c r="AB95" s="9">
        <v>0</v>
      </c>
      <c r="AC95" s="9">
        <v>0</v>
      </c>
      <c r="AD95" s="9">
        <v>0</v>
      </c>
      <c r="AE95" s="9">
        <v>0</v>
      </c>
      <c r="AF95" s="9">
        <v>0</v>
      </c>
      <c r="AG95" s="9">
        <v>0</v>
      </c>
      <c r="AH95" s="9">
        <v>0</v>
      </c>
      <c r="AI95" s="9">
        <v>0</v>
      </c>
      <c r="AJ95" s="9">
        <v>0</v>
      </c>
      <c r="AK95" s="9">
        <v>0</v>
      </c>
      <c r="AL95" s="9">
        <v>0</v>
      </c>
      <c r="AM95" s="9">
        <v>0</v>
      </c>
      <c r="AN95" s="9">
        <v>0</v>
      </c>
      <c r="AO95" s="9">
        <v>0</v>
      </c>
      <c r="AP95" s="9">
        <v>0</v>
      </c>
      <c r="AQ95" s="9">
        <v>0</v>
      </c>
      <c r="AR95" s="9">
        <v>0</v>
      </c>
      <c r="AS95" s="9">
        <v>0</v>
      </c>
      <c r="AT95" s="9">
        <v>0</v>
      </c>
      <c r="AU95" s="9">
        <v>0</v>
      </c>
      <c r="AV95" s="9">
        <v>0</v>
      </c>
      <c r="AW95" s="9">
        <v>0</v>
      </c>
      <c r="AX95" s="9">
        <v>0</v>
      </c>
      <c r="AY95" s="9">
        <v>0</v>
      </c>
      <c r="AZ95" s="9">
        <v>0</v>
      </c>
      <c r="BA95" s="9">
        <v>0</v>
      </c>
      <c r="BB95" s="9">
        <v>0</v>
      </c>
      <c r="BC95" s="9">
        <v>0</v>
      </c>
      <c r="BD95" s="9">
        <v>0</v>
      </c>
      <c r="BE95" s="9">
        <v>0</v>
      </c>
      <c r="BF95" s="9">
        <v>0</v>
      </c>
      <c r="BG95" s="9">
        <v>0</v>
      </c>
      <c r="BH95" s="9">
        <v>0</v>
      </c>
      <c r="BI95" s="9">
        <v>0</v>
      </c>
      <c r="BJ95" s="9">
        <v>0</v>
      </c>
      <c r="BK95" s="9">
        <v>0</v>
      </c>
      <c r="BL95" s="9">
        <v>0</v>
      </c>
      <c r="BM95" s="9">
        <v>0</v>
      </c>
      <c r="BN95" s="9">
        <v>0</v>
      </c>
      <c r="BO95" s="9">
        <v>0</v>
      </c>
      <c r="BP95" s="9">
        <v>0</v>
      </c>
      <c r="BQ95" s="9">
        <v>0</v>
      </c>
      <c r="BR95" s="9">
        <v>0</v>
      </c>
      <c r="BS95" s="9">
        <v>0</v>
      </c>
      <c r="BT95" s="9">
        <v>0</v>
      </c>
      <c r="BU95" s="9">
        <v>0</v>
      </c>
      <c r="BV95" s="9">
        <v>0</v>
      </c>
      <c r="BW95" s="9">
        <v>0</v>
      </c>
      <c r="BX95" s="9">
        <v>0</v>
      </c>
      <c r="BY95" s="9">
        <v>0</v>
      </c>
      <c r="BZ95" s="9">
        <v>0</v>
      </c>
      <c r="CA95" s="9">
        <v>0</v>
      </c>
      <c r="CB95" s="9">
        <v>0</v>
      </c>
      <c r="CC95" s="9">
        <v>0</v>
      </c>
      <c r="CD95" s="9">
        <v>0</v>
      </c>
      <c r="CE95" s="9">
        <v>0</v>
      </c>
      <c r="CF95" s="9">
        <v>0</v>
      </c>
      <c r="CG95" s="9">
        <v>0</v>
      </c>
      <c r="CH95" s="9">
        <v>0</v>
      </c>
      <c r="CI95" s="9">
        <v>0</v>
      </c>
      <c r="CJ95" s="9">
        <v>0</v>
      </c>
      <c r="CK95" s="9">
        <v>0</v>
      </c>
      <c r="CL95" s="9">
        <v>0</v>
      </c>
      <c r="CM95" s="9">
        <v>0</v>
      </c>
      <c r="CN95" s="9">
        <v>0</v>
      </c>
      <c r="CO95" s="9">
        <v>0</v>
      </c>
      <c r="CP95" s="9">
        <v>0</v>
      </c>
      <c r="CQ95" s="9">
        <v>0</v>
      </c>
      <c r="CR95" s="9">
        <v>0</v>
      </c>
      <c r="CS95" s="10">
        <v>0</v>
      </c>
    </row>
    <row r="96" spans="1:97" x14ac:dyDescent="0.35">
      <c r="A96" s="8" t="s">
        <v>73</v>
      </c>
      <c r="B96" s="9" t="s">
        <v>706</v>
      </c>
      <c r="C96" s="9" t="s">
        <v>707</v>
      </c>
      <c r="D96" s="9">
        <f t="shared" si="1"/>
        <v>0</v>
      </c>
      <c r="E96" s="9">
        <v>0</v>
      </c>
      <c r="F96" s="9">
        <v>0</v>
      </c>
      <c r="G96" s="9">
        <v>0</v>
      </c>
      <c r="H96" s="9">
        <v>0</v>
      </c>
      <c r="I96" s="9">
        <v>0</v>
      </c>
      <c r="J96" s="9">
        <v>0</v>
      </c>
      <c r="K96" s="9">
        <v>0</v>
      </c>
      <c r="L96" s="9">
        <v>0</v>
      </c>
      <c r="M96" s="9">
        <v>0</v>
      </c>
      <c r="N96" s="9">
        <v>0</v>
      </c>
      <c r="O96" s="9">
        <v>0</v>
      </c>
      <c r="P96" s="9">
        <v>0</v>
      </c>
      <c r="Q96" s="9">
        <v>0</v>
      </c>
      <c r="R96" s="9">
        <v>0</v>
      </c>
      <c r="S96" s="9">
        <v>0</v>
      </c>
      <c r="T96" s="9">
        <v>0</v>
      </c>
      <c r="U96" s="9">
        <v>0</v>
      </c>
      <c r="V96" s="9">
        <v>0</v>
      </c>
      <c r="W96" s="9">
        <v>0</v>
      </c>
      <c r="X96" s="9">
        <v>0</v>
      </c>
      <c r="Y96" s="9">
        <v>0</v>
      </c>
      <c r="Z96" s="9">
        <v>0</v>
      </c>
      <c r="AA96" s="9">
        <v>0</v>
      </c>
      <c r="AB96" s="9">
        <v>0</v>
      </c>
      <c r="AC96" s="9">
        <v>0</v>
      </c>
      <c r="AD96" s="9">
        <v>0</v>
      </c>
      <c r="AE96" s="9">
        <v>0</v>
      </c>
      <c r="AF96" s="9">
        <v>0</v>
      </c>
      <c r="AG96" s="9">
        <v>0</v>
      </c>
      <c r="AH96" s="9">
        <v>0</v>
      </c>
      <c r="AI96" s="9">
        <v>0</v>
      </c>
      <c r="AJ96" s="9">
        <v>0</v>
      </c>
      <c r="AK96" s="9">
        <v>0</v>
      </c>
      <c r="AL96" s="9">
        <v>0</v>
      </c>
      <c r="AM96" s="9">
        <v>0</v>
      </c>
      <c r="AN96" s="9">
        <v>0</v>
      </c>
      <c r="AO96" s="9">
        <v>0</v>
      </c>
      <c r="AP96" s="9">
        <v>0</v>
      </c>
      <c r="AQ96" s="9">
        <v>0</v>
      </c>
      <c r="AR96" s="9">
        <v>0</v>
      </c>
      <c r="AS96" s="9">
        <v>0</v>
      </c>
      <c r="AT96" s="9">
        <v>0</v>
      </c>
      <c r="AU96" s="9">
        <v>0</v>
      </c>
      <c r="AV96" s="9">
        <v>0</v>
      </c>
      <c r="AW96" s="9">
        <v>0</v>
      </c>
      <c r="AX96" s="9">
        <v>0</v>
      </c>
      <c r="AY96" s="9">
        <v>0</v>
      </c>
      <c r="AZ96" s="9">
        <v>0</v>
      </c>
      <c r="BA96" s="9">
        <v>0</v>
      </c>
      <c r="BB96" s="9">
        <v>0</v>
      </c>
      <c r="BC96" s="9">
        <v>0</v>
      </c>
      <c r="BD96" s="9">
        <v>0</v>
      </c>
      <c r="BE96" s="9">
        <v>0</v>
      </c>
      <c r="BF96" s="9">
        <v>0</v>
      </c>
      <c r="BG96" s="9">
        <v>0</v>
      </c>
      <c r="BH96" s="9">
        <v>0</v>
      </c>
      <c r="BI96" s="9">
        <v>0</v>
      </c>
      <c r="BJ96" s="9">
        <v>0</v>
      </c>
      <c r="BK96" s="9">
        <v>0</v>
      </c>
      <c r="BL96" s="9">
        <v>0</v>
      </c>
      <c r="BM96" s="9">
        <v>0</v>
      </c>
      <c r="BN96" s="9">
        <v>0</v>
      </c>
      <c r="BO96" s="9">
        <v>0</v>
      </c>
      <c r="BP96" s="9">
        <v>0</v>
      </c>
      <c r="BQ96" s="9">
        <v>0</v>
      </c>
      <c r="BR96" s="9">
        <v>0</v>
      </c>
      <c r="BS96" s="9">
        <v>0</v>
      </c>
      <c r="BT96" s="9">
        <v>0</v>
      </c>
      <c r="BU96" s="9">
        <v>0</v>
      </c>
      <c r="BV96" s="9">
        <v>0</v>
      </c>
      <c r="BW96" s="9">
        <v>0</v>
      </c>
      <c r="BX96" s="9">
        <v>0</v>
      </c>
      <c r="BY96" s="9">
        <v>0</v>
      </c>
      <c r="BZ96" s="9">
        <v>0</v>
      </c>
      <c r="CA96" s="9">
        <v>0</v>
      </c>
      <c r="CB96" s="9">
        <v>0</v>
      </c>
      <c r="CC96" s="9">
        <v>0</v>
      </c>
      <c r="CD96" s="9">
        <v>0</v>
      </c>
      <c r="CE96" s="9">
        <v>0</v>
      </c>
      <c r="CF96" s="9">
        <v>0</v>
      </c>
      <c r="CG96" s="9">
        <v>0</v>
      </c>
      <c r="CH96" s="9">
        <v>0</v>
      </c>
      <c r="CI96" s="9">
        <v>0</v>
      </c>
      <c r="CJ96" s="9">
        <v>0</v>
      </c>
      <c r="CK96" s="9">
        <v>0</v>
      </c>
      <c r="CL96" s="9">
        <v>0</v>
      </c>
      <c r="CM96" s="9">
        <v>0</v>
      </c>
      <c r="CN96" s="9">
        <v>0</v>
      </c>
      <c r="CO96" s="9">
        <v>0</v>
      </c>
      <c r="CP96" s="9">
        <v>0</v>
      </c>
      <c r="CQ96" s="9">
        <v>0</v>
      </c>
      <c r="CR96" s="9">
        <v>0</v>
      </c>
      <c r="CS96" s="10">
        <v>0</v>
      </c>
    </row>
    <row r="97" spans="1:97" x14ac:dyDescent="0.35">
      <c r="A97" s="8" t="s">
        <v>73</v>
      </c>
      <c r="B97" s="9" t="s">
        <v>708</v>
      </c>
      <c r="C97" s="9" t="s">
        <v>709</v>
      </c>
      <c r="D97" s="9">
        <f t="shared" si="1"/>
        <v>0</v>
      </c>
      <c r="E97" s="9">
        <v>0</v>
      </c>
      <c r="F97" s="9">
        <v>0</v>
      </c>
      <c r="G97" s="9">
        <v>0</v>
      </c>
      <c r="H97" s="9">
        <v>0</v>
      </c>
      <c r="I97" s="9">
        <v>0</v>
      </c>
      <c r="J97" s="9">
        <v>0</v>
      </c>
      <c r="K97" s="9">
        <v>0</v>
      </c>
      <c r="L97" s="9">
        <v>0</v>
      </c>
      <c r="M97" s="9">
        <v>0</v>
      </c>
      <c r="N97" s="9">
        <v>0</v>
      </c>
      <c r="O97" s="9">
        <v>0</v>
      </c>
      <c r="P97" s="9">
        <v>0</v>
      </c>
      <c r="Q97" s="9">
        <v>0</v>
      </c>
      <c r="R97" s="9">
        <v>0</v>
      </c>
      <c r="S97" s="9">
        <v>0</v>
      </c>
      <c r="T97" s="9">
        <v>0</v>
      </c>
      <c r="U97" s="9">
        <v>0</v>
      </c>
      <c r="V97" s="9">
        <v>0</v>
      </c>
      <c r="W97" s="9">
        <v>0</v>
      </c>
      <c r="X97" s="9">
        <v>0</v>
      </c>
      <c r="Y97" s="9">
        <v>0</v>
      </c>
      <c r="Z97" s="9">
        <v>0</v>
      </c>
      <c r="AA97" s="9">
        <v>0</v>
      </c>
      <c r="AB97" s="9">
        <v>0</v>
      </c>
      <c r="AC97" s="9">
        <v>0</v>
      </c>
      <c r="AD97" s="9">
        <v>0</v>
      </c>
      <c r="AE97" s="9">
        <v>0</v>
      </c>
      <c r="AF97" s="9">
        <v>0</v>
      </c>
      <c r="AG97" s="9">
        <v>0</v>
      </c>
      <c r="AH97" s="9">
        <v>0</v>
      </c>
      <c r="AI97" s="9">
        <v>0</v>
      </c>
      <c r="AJ97" s="9">
        <v>0</v>
      </c>
      <c r="AK97" s="9">
        <v>0</v>
      </c>
      <c r="AL97" s="9">
        <v>0</v>
      </c>
      <c r="AM97" s="9">
        <v>0</v>
      </c>
      <c r="AN97" s="9">
        <v>0</v>
      </c>
      <c r="AO97" s="9">
        <v>0</v>
      </c>
      <c r="AP97" s="9">
        <v>0</v>
      </c>
      <c r="AQ97" s="9">
        <v>0</v>
      </c>
      <c r="AR97" s="9">
        <v>0</v>
      </c>
      <c r="AS97" s="9">
        <v>0</v>
      </c>
      <c r="AT97" s="9">
        <v>0</v>
      </c>
      <c r="AU97" s="9">
        <v>0</v>
      </c>
      <c r="AV97" s="9">
        <v>0</v>
      </c>
      <c r="AW97" s="9">
        <v>0</v>
      </c>
      <c r="AX97" s="9">
        <v>0</v>
      </c>
      <c r="AY97" s="9">
        <v>0</v>
      </c>
      <c r="AZ97" s="9">
        <v>0</v>
      </c>
      <c r="BA97" s="9">
        <v>0</v>
      </c>
      <c r="BB97" s="9">
        <v>0</v>
      </c>
      <c r="BC97" s="9">
        <v>0</v>
      </c>
      <c r="BD97" s="9">
        <v>0</v>
      </c>
      <c r="BE97" s="9">
        <v>0</v>
      </c>
      <c r="BF97" s="9">
        <v>0</v>
      </c>
      <c r="BG97" s="9">
        <v>0</v>
      </c>
      <c r="BH97" s="9">
        <v>0</v>
      </c>
      <c r="BI97" s="9">
        <v>0</v>
      </c>
      <c r="BJ97" s="9">
        <v>0</v>
      </c>
      <c r="BK97" s="9">
        <v>0</v>
      </c>
      <c r="BL97" s="9">
        <v>0</v>
      </c>
      <c r="BM97" s="9">
        <v>0</v>
      </c>
      <c r="BN97" s="9">
        <v>0</v>
      </c>
      <c r="BO97" s="9">
        <v>0</v>
      </c>
      <c r="BP97" s="9">
        <v>0</v>
      </c>
      <c r="BQ97" s="9">
        <v>0</v>
      </c>
      <c r="BR97" s="9">
        <v>0</v>
      </c>
      <c r="BS97" s="9">
        <v>0</v>
      </c>
      <c r="BT97" s="9">
        <v>0</v>
      </c>
      <c r="BU97" s="9">
        <v>0</v>
      </c>
      <c r="BV97" s="9">
        <v>0</v>
      </c>
      <c r="BW97" s="9">
        <v>0</v>
      </c>
      <c r="BX97" s="9">
        <v>0</v>
      </c>
      <c r="BY97" s="9">
        <v>0</v>
      </c>
      <c r="BZ97" s="9">
        <v>0</v>
      </c>
      <c r="CA97" s="9">
        <v>0</v>
      </c>
      <c r="CB97" s="9">
        <v>0</v>
      </c>
      <c r="CC97" s="9">
        <v>0</v>
      </c>
      <c r="CD97" s="9">
        <v>0</v>
      </c>
      <c r="CE97" s="9">
        <v>0</v>
      </c>
      <c r="CF97" s="9">
        <v>0</v>
      </c>
      <c r="CG97" s="9">
        <v>0</v>
      </c>
      <c r="CH97" s="9">
        <v>0</v>
      </c>
      <c r="CI97" s="9">
        <v>0</v>
      </c>
      <c r="CJ97" s="9">
        <v>0</v>
      </c>
      <c r="CK97" s="9">
        <v>0</v>
      </c>
      <c r="CL97" s="9">
        <v>0</v>
      </c>
      <c r="CM97" s="9">
        <v>0</v>
      </c>
      <c r="CN97" s="9">
        <v>0</v>
      </c>
      <c r="CO97" s="9">
        <v>0</v>
      </c>
      <c r="CP97" s="9">
        <v>0</v>
      </c>
      <c r="CQ97" s="9">
        <v>0</v>
      </c>
      <c r="CR97" s="9">
        <v>0</v>
      </c>
      <c r="CS97" s="10">
        <v>0</v>
      </c>
    </row>
    <row r="98" spans="1:97" x14ac:dyDescent="0.35">
      <c r="A98" s="8" t="s">
        <v>73</v>
      </c>
      <c r="B98" s="9" t="s">
        <v>710</v>
      </c>
      <c r="C98" s="9" t="s">
        <v>711</v>
      </c>
      <c r="D98" s="9">
        <f t="shared" si="1"/>
        <v>0</v>
      </c>
      <c r="E98" s="9">
        <v>0</v>
      </c>
      <c r="F98" s="9">
        <v>0</v>
      </c>
      <c r="G98" s="9">
        <v>0</v>
      </c>
      <c r="H98" s="9">
        <v>0</v>
      </c>
      <c r="I98" s="9">
        <v>0</v>
      </c>
      <c r="J98" s="9">
        <v>0</v>
      </c>
      <c r="K98" s="9">
        <v>0</v>
      </c>
      <c r="L98" s="9">
        <v>0</v>
      </c>
      <c r="M98" s="9">
        <v>0</v>
      </c>
      <c r="N98" s="9">
        <v>0</v>
      </c>
      <c r="O98" s="9">
        <v>0</v>
      </c>
      <c r="P98" s="9">
        <v>0</v>
      </c>
      <c r="Q98" s="9">
        <v>0</v>
      </c>
      <c r="R98" s="9">
        <v>0</v>
      </c>
      <c r="S98" s="9">
        <v>0</v>
      </c>
      <c r="T98" s="9">
        <v>0</v>
      </c>
      <c r="U98" s="9">
        <v>0</v>
      </c>
      <c r="V98" s="9">
        <v>0</v>
      </c>
      <c r="W98" s="9">
        <v>0</v>
      </c>
      <c r="X98" s="9">
        <v>0</v>
      </c>
      <c r="Y98" s="9">
        <v>0</v>
      </c>
      <c r="Z98" s="9">
        <v>0</v>
      </c>
      <c r="AA98" s="9">
        <v>0</v>
      </c>
      <c r="AB98" s="9">
        <v>0</v>
      </c>
      <c r="AC98" s="9">
        <v>0</v>
      </c>
      <c r="AD98" s="9">
        <v>0</v>
      </c>
      <c r="AE98" s="9">
        <v>0</v>
      </c>
      <c r="AF98" s="9">
        <v>0</v>
      </c>
      <c r="AG98" s="9">
        <v>0</v>
      </c>
      <c r="AH98" s="9">
        <v>0</v>
      </c>
      <c r="AI98" s="9">
        <v>0</v>
      </c>
      <c r="AJ98" s="9">
        <v>0</v>
      </c>
      <c r="AK98" s="9">
        <v>0</v>
      </c>
      <c r="AL98" s="9">
        <v>0</v>
      </c>
      <c r="AM98" s="9">
        <v>0</v>
      </c>
      <c r="AN98" s="9">
        <v>0</v>
      </c>
      <c r="AO98" s="9">
        <v>0</v>
      </c>
      <c r="AP98" s="9">
        <v>0</v>
      </c>
      <c r="AQ98" s="9">
        <v>0</v>
      </c>
      <c r="AR98" s="9">
        <v>0</v>
      </c>
      <c r="AS98" s="9">
        <v>0</v>
      </c>
      <c r="AT98" s="9">
        <v>0</v>
      </c>
      <c r="AU98" s="9">
        <v>0</v>
      </c>
      <c r="AV98" s="9">
        <v>0</v>
      </c>
      <c r="AW98" s="9">
        <v>0</v>
      </c>
      <c r="AX98" s="9">
        <v>0</v>
      </c>
      <c r="AY98" s="9">
        <v>0</v>
      </c>
      <c r="AZ98" s="9">
        <v>0</v>
      </c>
      <c r="BA98" s="9">
        <v>0</v>
      </c>
      <c r="BB98" s="9">
        <v>0</v>
      </c>
      <c r="BC98" s="9">
        <v>0</v>
      </c>
      <c r="BD98" s="9">
        <v>0</v>
      </c>
      <c r="BE98" s="9">
        <v>0</v>
      </c>
      <c r="BF98" s="9">
        <v>0</v>
      </c>
      <c r="BG98" s="9">
        <v>0</v>
      </c>
      <c r="BH98" s="9">
        <v>0</v>
      </c>
      <c r="BI98" s="9">
        <v>0</v>
      </c>
      <c r="BJ98" s="9">
        <v>0</v>
      </c>
      <c r="BK98" s="9">
        <v>0</v>
      </c>
      <c r="BL98" s="9">
        <v>0</v>
      </c>
      <c r="BM98" s="9">
        <v>0</v>
      </c>
      <c r="BN98" s="9">
        <v>0</v>
      </c>
      <c r="BO98" s="9">
        <v>0</v>
      </c>
      <c r="BP98" s="9">
        <v>0</v>
      </c>
      <c r="BQ98" s="9">
        <v>0</v>
      </c>
      <c r="BR98" s="9">
        <v>0</v>
      </c>
      <c r="BS98" s="9">
        <v>0</v>
      </c>
      <c r="BT98" s="9">
        <v>0</v>
      </c>
      <c r="BU98" s="9">
        <v>0</v>
      </c>
      <c r="BV98" s="9">
        <v>0</v>
      </c>
      <c r="BW98" s="9">
        <v>0</v>
      </c>
      <c r="BX98" s="9">
        <v>0</v>
      </c>
      <c r="BY98" s="9">
        <v>0</v>
      </c>
      <c r="BZ98" s="9">
        <v>0</v>
      </c>
      <c r="CA98" s="9">
        <v>0</v>
      </c>
      <c r="CB98" s="9">
        <v>0</v>
      </c>
      <c r="CC98" s="9">
        <v>0</v>
      </c>
      <c r="CD98" s="9">
        <v>0</v>
      </c>
      <c r="CE98" s="9">
        <v>0</v>
      </c>
      <c r="CF98" s="9">
        <v>0</v>
      </c>
      <c r="CG98" s="9">
        <v>0</v>
      </c>
      <c r="CH98" s="9">
        <v>0</v>
      </c>
      <c r="CI98" s="9">
        <v>0</v>
      </c>
      <c r="CJ98" s="9">
        <v>0</v>
      </c>
      <c r="CK98" s="9">
        <v>0</v>
      </c>
      <c r="CL98" s="9">
        <v>0</v>
      </c>
      <c r="CM98" s="9">
        <v>0</v>
      </c>
      <c r="CN98" s="9">
        <v>0</v>
      </c>
      <c r="CO98" s="9">
        <v>0</v>
      </c>
      <c r="CP98" s="9">
        <v>0</v>
      </c>
      <c r="CQ98" s="9">
        <v>0</v>
      </c>
      <c r="CR98" s="9">
        <v>0</v>
      </c>
      <c r="CS98" s="10">
        <v>0</v>
      </c>
    </row>
    <row r="99" spans="1:97" x14ac:dyDescent="0.35">
      <c r="A99" s="8" t="s">
        <v>73</v>
      </c>
      <c r="B99" s="9" t="s">
        <v>712</v>
      </c>
      <c r="C99" s="9" t="s">
        <v>713</v>
      </c>
      <c r="D99" s="9">
        <f t="shared" si="1"/>
        <v>0</v>
      </c>
      <c r="E99" s="9">
        <v>0</v>
      </c>
      <c r="F99" s="9">
        <v>0</v>
      </c>
      <c r="G99" s="9">
        <v>0</v>
      </c>
      <c r="H99" s="9">
        <v>0</v>
      </c>
      <c r="I99" s="9">
        <v>0</v>
      </c>
      <c r="J99" s="9">
        <v>0</v>
      </c>
      <c r="K99" s="9">
        <v>0</v>
      </c>
      <c r="L99" s="9">
        <v>0</v>
      </c>
      <c r="M99" s="9">
        <v>0</v>
      </c>
      <c r="N99" s="9">
        <v>0</v>
      </c>
      <c r="O99" s="9">
        <v>0</v>
      </c>
      <c r="P99" s="9">
        <v>0</v>
      </c>
      <c r="Q99" s="9">
        <v>0</v>
      </c>
      <c r="R99" s="9">
        <v>0</v>
      </c>
      <c r="S99" s="9">
        <v>0</v>
      </c>
      <c r="T99" s="9">
        <v>0</v>
      </c>
      <c r="U99" s="9">
        <v>0</v>
      </c>
      <c r="V99" s="9">
        <v>0</v>
      </c>
      <c r="W99" s="9">
        <v>0</v>
      </c>
      <c r="X99" s="9">
        <v>0</v>
      </c>
      <c r="Y99" s="9">
        <v>0</v>
      </c>
      <c r="Z99" s="9">
        <v>0</v>
      </c>
      <c r="AA99" s="9">
        <v>0</v>
      </c>
      <c r="AB99" s="9">
        <v>0</v>
      </c>
      <c r="AC99" s="9">
        <v>0</v>
      </c>
      <c r="AD99" s="9">
        <v>0</v>
      </c>
      <c r="AE99" s="9">
        <v>0</v>
      </c>
      <c r="AF99" s="9">
        <v>0</v>
      </c>
      <c r="AG99" s="9">
        <v>0</v>
      </c>
      <c r="AH99" s="9">
        <v>0</v>
      </c>
      <c r="AI99" s="9">
        <v>0</v>
      </c>
      <c r="AJ99" s="9">
        <v>0</v>
      </c>
      <c r="AK99" s="9">
        <v>0</v>
      </c>
      <c r="AL99" s="9">
        <v>0</v>
      </c>
      <c r="AM99" s="9">
        <v>0</v>
      </c>
      <c r="AN99" s="9">
        <v>0</v>
      </c>
      <c r="AO99" s="9">
        <v>0</v>
      </c>
      <c r="AP99" s="9">
        <v>0</v>
      </c>
      <c r="AQ99" s="9">
        <v>0</v>
      </c>
      <c r="AR99" s="9">
        <v>0</v>
      </c>
      <c r="AS99" s="9">
        <v>0</v>
      </c>
      <c r="AT99" s="9">
        <v>0</v>
      </c>
      <c r="AU99" s="9">
        <v>0</v>
      </c>
      <c r="AV99" s="9">
        <v>0</v>
      </c>
      <c r="AW99" s="9">
        <v>0</v>
      </c>
      <c r="AX99" s="9">
        <v>0</v>
      </c>
      <c r="AY99" s="9">
        <v>0</v>
      </c>
      <c r="AZ99" s="9">
        <v>0</v>
      </c>
      <c r="BA99" s="9">
        <v>0</v>
      </c>
      <c r="BB99" s="9">
        <v>0</v>
      </c>
      <c r="BC99" s="9">
        <v>0</v>
      </c>
      <c r="BD99" s="9">
        <v>0</v>
      </c>
      <c r="BE99" s="9">
        <v>0</v>
      </c>
      <c r="BF99" s="9">
        <v>0</v>
      </c>
      <c r="BG99" s="9">
        <v>0</v>
      </c>
      <c r="BH99" s="9">
        <v>0</v>
      </c>
      <c r="BI99" s="9">
        <v>0</v>
      </c>
      <c r="BJ99" s="9">
        <v>0</v>
      </c>
      <c r="BK99" s="9">
        <v>0</v>
      </c>
      <c r="BL99" s="9">
        <v>0</v>
      </c>
      <c r="BM99" s="9">
        <v>0</v>
      </c>
      <c r="BN99" s="9">
        <v>0</v>
      </c>
      <c r="BO99" s="9">
        <v>0</v>
      </c>
      <c r="BP99" s="9">
        <v>0</v>
      </c>
      <c r="BQ99" s="9">
        <v>0</v>
      </c>
      <c r="BR99" s="9">
        <v>0</v>
      </c>
      <c r="BS99" s="9">
        <v>0</v>
      </c>
      <c r="BT99" s="9">
        <v>0</v>
      </c>
      <c r="BU99" s="9">
        <v>0</v>
      </c>
      <c r="BV99" s="9">
        <v>0</v>
      </c>
      <c r="BW99" s="9">
        <v>0</v>
      </c>
      <c r="BX99" s="9">
        <v>0</v>
      </c>
      <c r="BY99" s="9">
        <v>0</v>
      </c>
      <c r="BZ99" s="9">
        <v>0</v>
      </c>
      <c r="CA99" s="9">
        <v>0</v>
      </c>
      <c r="CB99" s="9">
        <v>0</v>
      </c>
      <c r="CC99" s="9">
        <v>0</v>
      </c>
      <c r="CD99" s="9">
        <v>0</v>
      </c>
      <c r="CE99" s="9">
        <v>0</v>
      </c>
      <c r="CF99" s="9">
        <v>0</v>
      </c>
      <c r="CG99" s="9">
        <v>0</v>
      </c>
      <c r="CH99" s="9">
        <v>0</v>
      </c>
      <c r="CI99" s="9">
        <v>0</v>
      </c>
      <c r="CJ99" s="9">
        <v>0</v>
      </c>
      <c r="CK99" s="9">
        <v>0</v>
      </c>
      <c r="CL99" s="9">
        <v>0</v>
      </c>
      <c r="CM99" s="9">
        <v>0</v>
      </c>
      <c r="CN99" s="9">
        <v>0</v>
      </c>
      <c r="CO99" s="9">
        <v>0</v>
      </c>
      <c r="CP99" s="9">
        <v>0</v>
      </c>
      <c r="CQ99" s="9">
        <v>0</v>
      </c>
      <c r="CR99" s="9">
        <v>0</v>
      </c>
      <c r="CS99" s="10">
        <v>0</v>
      </c>
    </row>
    <row r="100" spans="1:97" x14ac:dyDescent="0.35">
      <c r="A100" s="8" t="s">
        <v>73</v>
      </c>
      <c r="B100" s="9" t="s">
        <v>714</v>
      </c>
      <c r="C100" s="9" t="s">
        <v>715</v>
      </c>
      <c r="D100" s="9">
        <f t="shared" si="1"/>
        <v>0</v>
      </c>
      <c r="E100" s="9">
        <v>0</v>
      </c>
      <c r="F100" s="9">
        <v>0</v>
      </c>
      <c r="G100" s="9">
        <v>0</v>
      </c>
      <c r="H100" s="9">
        <v>0</v>
      </c>
      <c r="I100" s="9">
        <v>0</v>
      </c>
      <c r="J100" s="9">
        <v>0</v>
      </c>
      <c r="K100" s="9">
        <v>0</v>
      </c>
      <c r="L100" s="9">
        <v>0</v>
      </c>
      <c r="M100" s="9">
        <v>0</v>
      </c>
      <c r="N100" s="9">
        <v>0</v>
      </c>
      <c r="O100" s="9">
        <v>0</v>
      </c>
      <c r="P100" s="9">
        <v>0</v>
      </c>
      <c r="Q100" s="9">
        <v>0</v>
      </c>
      <c r="R100" s="9">
        <v>0</v>
      </c>
      <c r="S100" s="9">
        <v>0</v>
      </c>
      <c r="T100" s="9">
        <v>0</v>
      </c>
      <c r="U100" s="9">
        <v>0</v>
      </c>
      <c r="V100" s="9">
        <v>0</v>
      </c>
      <c r="W100" s="9">
        <v>0</v>
      </c>
      <c r="X100" s="9">
        <v>0</v>
      </c>
      <c r="Y100" s="9">
        <v>0</v>
      </c>
      <c r="Z100" s="9">
        <v>0</v>
      </c>
      <c r="AA100" s="9">
        <v>0</v>
      </c>
      <c r="AB100" s="9">
        <v>0</v>
      </c>
      <c r="AC100" s="9">
        <v>0</v>
      </c>
      <c r="AD100" s="9">
        <v>0</v>
      </c>
      <c r="AE100" s="9">
        <v>0</v>
      </c>
      <c r="AF100" s="9">
        <v>0</v>
      </c>
      <c r="AG100" s="9">
        <v>0</v>
      </c>
      <c r="AH100" s="9">
        <v>0</v>
      </c>
      <c r="AI100" s="9">
        <v>0</v>
      </c>
      <c r="AJ100" s="9">
        <v>0</v>
      </c>
      <c r="AK100" s="9">
        <v>0</v>
      </c>
      <c r="AL100" s="9">
        <v>0</v>
      </c>
      <c r="AM100" s="9">
        <v>0</v>
      </c>
      <c r="AN100" s="9">
        <v>0</v>
      </c>
      <c r="AO100" s="9">
        <v>0</v>
      </c>
      <c r="AP100" s="9">
        <v>0</v>
      </c>
      <c r="AQ100" s="9">
        <v>0</v>
      </c>
      <c r="AR100" s="9">
        <v>0</v>
      </c>
      <c r="AS100" s="9">
        <v>0</v>
      </c>
      <c r="AT100" s="9">
        <v>0</v>
      </c>
      <c r="AU100" s="9">
        <v>0</v>
      </c>
      <c r="AV100" s="9">
        <v>0</v>
      </c>
      <c r="AW100" s="9">
        <v>0</v>
      </c>
      <c r="AX100" s="9">
        <v>0</v>
      </c>
      <c r="AY100" s="9">
        <v>0</v>
      </c>
      <c r="AZ100" s="9">
        <v>0</v>
      </c>
      <c r="BA100" s="9">
        <v>0</v>
      </c>
      <c r="BB100" s="9">
        <v>0</v>
      </c>
      <c r="BC100" s="9">
        <v>0</v>
      </c>
      <c r="BD100" s="9">
        <v>0</v>
      </c>
      <c r="BE100" s="9">
        <v>0</v>
      </c>
      <c r="BF100" s="9">
        <v>0</v>
      </c>
      <c r="BG100" s="9">
        <v>0</v>
      </c>
      <c r="BH100" s="9">
        <v>0</v>
      </c>
      <c r="BI100" s="9">
        <v>0</v>
      </c>
      <c r="BJ100" s="9">
        <v>0</v>
      </c>
      <c r="BK100" s="9">
        <v>0</v>
      </c>
      <c r="BL100" s="9">
        <v>0</v>
      </c>
      <c r="BM100" s="9">
        <v>0</v>
      </c>
      <c r="BN100" s="9">
        <v>0</v>
      </c>
      <c r="BO100" s="9">
        <v>0</v>
      </c>
      <c r="BP100" s="9">
        <v>0</v>
      </c>
      <c r="BQ100" s="9">
        <v>0</v>
      </c>
      <c r="BR100" s="9">
        <v>0</v>
      </c>
      <c r="BS100" s="9">
        <v>0</v>
      </c>
      <c r="BT100" s="9">
        <v>0</v>
      </c>
      <c r="BU100" s="9">
        <v>0</v>
      </c>
      <c r="BV100" s="9">
        <v>0</v>
      </c>
      <c r="BW100" s="9">
        <v>0</v>
      </c>
      <c r="BX100" s="9">
        <v>0</v>
      </c>
      <c r="BY100" s="9">
        <v>0</v>
      </c>
      <c r="BZ100" s="9">
        <v>0</v>
      </c>
      <c r="CA100" s="9">
        <v>0</v>
      </c>
      <c r="CB100" s="9">
        <v>0</v>
      </c>
      <c r="CC100" s="9">
        <v>0</v>
      </c>
      <c r="CD100" s="9">
        <v>0</v>
      </c>
      <c r="CE100" s="9">
        <v>0</v>
      </c>
      <c r="CF100" s="9">
        <v>0</v>
      </c>
      <c r="CG100" s="9">
        <v>0</v>
      </c>
      <c r="CH100" s="9">
        <v>0</v>
      </c>
      <c r="CI100" s="9">
        <v>0</v>
      </c>
      <c r="CJ100" s="9">
        <v>0</v>
      </c>
      <c r="CK100" s="9">
        <v>0</v>
      </c>
      <c r="CL100" s="9">
        <v>0</v>
      </c>
      <c r="CM100" s="9">
        <v>0</v>
      </c>
      <c r="CN100" s="9">
        <v>0</v>
      </c>
      <c r="CO100" s="9">
        <v>0</v>
      </c>
      <c r="CP100" s="9">
        <v>0</v>
      </c>
      <c r="CQ100" s="9">
        <v>0</v>
      </c>
      <c r="CR100" s="9">
        <v>0</v>
      </c>
      <c r="CS100" s="10">
        <v>0</v>
      </c>
    </row>
    <row r="101" spans="1:97" x14ac:dyDescent="0.35">
      <c r="A101" s="8" t="s">
        <v>73</v>
      </c>
      <c r="B101" s="9" t="s">
        <v>716</v>
      </c>
      <c r="C101" s="9" t="s">
        <v>717</v>
      </c>
      <c r="D101" s="9">
        <f t="shared" si="1"/>
        <v>0</v>
      </c>
      <c r="E101" s="9">
        <v>0</v>
      </c>
      <c r="F101" s="9">
        <v>0</v>
      </c>
      <c r="G101" s="9">
        <v>0</v>
      </c>
      <c r="H101" s="9">
        <v>0</v>
      </c>
      <c r="I101" s="9">
        <v>0</v>
      </c>
      <c r="J101" s="9">
        <v>0</v>
      </c>
      <c r="K101" s="9">
        <v>0</v>
      </c>
      <c r="L101" s="9">
        <v>0</v>
      </c>
      <c r="M101" s="9">
        <v>0</v>
      </c>
      <c r="N101" s="9">
        <v>0</v>
      </c>
      <c r="O101" s="9">
        <v>0</v>
      </c>
      <c r="P101" s="9">
        <v>0</v>
      </c>
      <c r="Q101" s="9">
        <v>0</v>
      </c>
      <c r="R101" s="9">
        <v>0</v>
      </c>
      <c r="S101" s="9">
        <v>0</v>
      </c>
      <c r="T101" s="9">
        <v>0</v>
      </c>
      <c r="U101" s="9">
        <v>0</v>
      </c>
      <c r="V101" s="9">
        <v>0</v>
      </c>
      <c r="W101" s="9">
        <v>0</v>
      </c>
      <c r="X101" s="9">
        <v>0</v>
      </c>
      <c r="Y101" s="9">
        <v>0</v>
      </c>
      <c r="Z101" s="9">
        <v>0</v>
      </c>
      <c r="AA101" s="9">
        <v>0</v>
      </c>
      <c r="AB101" s="9">
        <v>0</v>
      </c>
      <c r="AC101" s="9">
        <v>0</v>
      </c>
      <c r="AD101" s="9">
        <v>0</v>
      </c>
      <c r="AE101" s="9">
        <v>0</v>
      </c>
      <c r="AF101" s="9">
        <v>0</v>
      </c>
      <c r="AG101" s="9">
        <v>0</v>
      </c>
      <c r="AH101" s="9">
        <v>0</v>
      </c>
      <c r="AI101" s="9">
        <v>0</v>
      </c>
      <c r="AJ101" s="9">
        <v>0</v>
      </c>
      <c r="AK101" s="9">
        <v>0</v>
      </c>
      <c r="AL101" s="9">
        <v>0</v>
      </c>
      <c r="AM101" s="9">
        <v>0</v>
      </c>
      <c r="AN101" s="9">
        <v>0</v>
      </c>
      <c r="AO101" s="9">
        <v>0</v>
      </c>
      <c r="AP101" s="9">
        <v>0</v>
      </c>
      <c r="AQ101" s="9">
        <v>0</v>
      </c>
      <c r="AR101" s="9">
        <v>0</v>
      </c>
      <c r="AS101" s="9">
        <v>0</v>
      </c>
      <c r="AT101" s="9">
        <v>0</v>
      </c>
      <c r="AU101" s="9">
        <v>0</v>
      </c>
      <c r="AV101" s="9">
        <v>0</v>
      </c>
      <c r="AW101" s="9">
        <v>0</v>
      </c>
      <c r="AX101" s="9">
        <v>0</v>
      </c>
      <c r="AY101" s="9">
        <v>0</v>
      </c>
      <c r="AZ101" s="9">
        <v>0</v>
      </c>
      <c r="BA101" s="9">
        <v>0</v>
      </c>
      <c r="BB101" s="9">
        <v>0</v>
      </c>
      <c r="BC101" s="9">
        <v>0</v>
      </c>
      <c r="BD101" s="9">
        <v>0</v>
      </c>
      <c r="BE101" s="9">
        <v>0</v>
      </c>
      <c r="BF101" s="9">
        <v>0</v>
      </c>
      <c r="BG101" s="9">
        <v>0</v>
      </c>
      <c r="BH101" s="9">
        <v>0</v>
      </c>
      <c r="BI101" s="9">
        <v>0</v>
      </c>
      <c r="BJ101" s="9">
        <v>0</v>
      </c>
      <c r="BK101" s="9">
        <v>0</v>
      </c>
      <c r="BL101" s="9">
        <v>0</v>
      </c>
      <c r="BM101" s="9">
        <v>0</v>
      </c>
      <c r="BN101" s="9">
        <v>0</v>
      </c>
      <c r="BO101" s="9">
        <v>0</v>
      </c>
      <c r="BP101" s="9">
        <v>0</v>
      </c>
      <c r="BQ101" s="9">
        <v>0</v>
      </c>
      <c r="BR101" s="9">
        <v>0</v>
      </c>
      <c r="BS101" s="9">
        <v>0</v>
      </c>
      <c r="BT101" s="9">
        <v>0</v>
      </c>
      <c r="BU101" s="9">
        <v>0</v>
      </c>
      <c r="BV101" s="9">
        <v>0</v>
      </c>
      <c r="BW101" s="9">
        <v>0</v>
      </c>
      <c r="BX101" s="9">
        <v>0</v>
      </c>
      <c r="BY101" s="9">
        <v>0</v>
      </c>
      <c r="BZ101" s="9">
        <v>0</v>
      </c>
      <c r="CA101" s="9">
        <v>0</v>
      </c>
      <c r="CB101" s="9">
        <v>0</v>
      </c>
      <c r="CC101" s="9">
        <v>0</v>
      </c>
      <c r="CD101" s="9">
        <v>0</v>
      </c>
      <c r="CE101" s="9">
        <v>0</v>
      </c>
      <c r="CF101" s="9">
        <v>0</v>
      </c>
      <c r="CG101" s="9">
        <v>0</v>
      </c>
      <c r="CH101" s="9">
        <v>0</v>
      </c>
      <c r="CI101" s="9">
        <v>0</v>
      </c>
      <c r="CJ101" s="9">
        <v>0</v>
      </c>
      <c r="CK101" s="9">
        <v>0</v>
      </c>
      <c r="CL101" s="9">
        <v>0</v>
      </c>
      <c r="CM101" s="9">
        <v>0</v>
      </c>
      <c r="CN101" s="9">
        <v>0</v>
      </c>
      <c r="CO101" s="9">
        <v>0</v>
      </c>
      <c r="CP101" s="9">
        <v>0</v>
      </c>
      <c r="CQ101" s="9">
        <v>0</v>
      </c>
      <c r="CR101" s="9">
        <v>0</v>
      </c>
      <c r="CS101" s="10">
        <v>0</v>
      </c>
    </row>
    <row r="102" spans="1:97" x14ac:dyDescent="0.35">
      <c r="A102" s="8" t="s">
        <v>73</v>
      </c>
      <c r="B102" s="9" t="s">
        <v>718</v>
      </c>
      <c r="C102" s="9" t="s">
        <v>719</v>
      </c>
      <c r="D102" s="9">
        <f t="shared" si="1"/>
        <v>0</v>
      </c>
      <c r="E102" s="9">
        <v>0</v>
      </c>
      <c r="F102" s="9">
        <v>0</v>
      </c>
      <c r="G102" s="9">
        <v>0</v>
      </c>
      <c r="H102" s="9">
        <v>0</v>
      </c>
      <c r="I102" s="9">
        <v>0</v>
      </c>
      <c r="J102" s="9">
        <v>0</v>
      </c>
      <c r="K102" s="9">
        <v>0</v>
      </c>
      <c r="L102" s="9">
        <v>0</v>
      </c>
      <c r="M102" s="9">
        <v>0</v>
      </c>
      <c r="N102" s="9">
        <v>0</v>
      </c>
      <c r="O102" s="9">
        <v>0</v>
      </c>
      <c r="P102" s="9">
        <v>0</v>
      </c>
      <c r="Q102" s="9">
        <v>0</v>
      </c>
      <c r="R102" s="9">
        <v>0</v>
      </c>
      <c r="S102" s="9">
        <v>0</v>
      </c>
      <c r="T102" s="9">
        <v>0</v>
      </c>
      <c r="U102" s="9">
        <v>0</v>
      </c>
      <c r="V102" s="9">
        <v>0</v>
      </c>
      <c r="W102" s="9">
        <v>0</v>
      </c>
      <c r="X102" s="9">
        <v>0</v>
      </c>
      <c r="Y102" s="9">
        <v>0</v>
      </c>
      <c r="Z102" s="9">
        <v>0</v>
      </c>
      <c r="AA102" s="9">
        <v>0</v>
      </c>
      <c r="AB102" s="9">
        <v>0</v>
      </c>
      <c r="AC102" s="9">
        <v>0</v>
      </c>
      <c r="AD102" s="9">
        <v>0</v>
      </c>
      <c r="AE102" s="9">
        <v>0</v>
      </c>
      <c r="AF102" s="9">
        <v>0</v>
      </c>
      <c r="AG102" s="9">
        <v>0</v>
      </c>
      <c r="AH102" s="9">
        <v>0</v>
      </c>
      <c r="AI102" s="9">
        <v>0</v>
      </c>
      <c r="AJ102" s="9">
        <v>0</v>
      </c>
      <c r="AK102" s="9">
        <v>0</v>
      </c>
      <c r="AL102" s="9">
        <v>0</v>
      </c>
      <c r="AM102" s="9">
        <v>0</v>
      </c>
      <c r="AN102" s="9">
        <v>0</v>
      </c>
      <c r="AO102" s="9">
        <v>0</v>
      </c>
      <c r="AP102" s="9">
        <v>0</v>
      </c>
      <c r="AQ102" s="9">
        <v>0</v>
      </c>
      <c r="AR102" s="9">
        <v>0</v>
      </c>
      <c r="AS102" s="9">
        <v>0</v>
      </c>
      <c r="AT102" s="9">
        <v>0</v>
      </c>
      <c r="AU102" s="9">
        <v>0</v>
      </c>
      <c r="AV102" s="9">
        <v>0</v>
      </c>
      <c r="AW102" s="9">
        <v>0</v>
      </c>
      <c r="AX102" s="9">
        <v>0</v>
      </c>
      <c r="AY102" s="9">
        <v>0</v>
      </c>
      <c r="AZ102" s="9">
        <v>0</v>
      </c>
      <c r="BA102" s="9">
        <v>0</v>
      </c>
      <c r="BB102" s="9">
        <v>0</v>
      </c>
      <c r="BC102" s="9">
        <v>0</v>
      </c>
      <c r="BD102" s="9">
        <v>0</v>
      </c>
      <c r="BE102" s="9">
        <v>0</v>
      </c>
      <c r="BF102" s="9">
        <v>0</v>
      </c>
      <c r="BG102" s="9">
        <v>0</v>
      </c>
      <c r="BH102" s="9">
        <v>0</v>
      </c>
      <c r="BI102" s="9">
        <v>0</v>
      </c>
      <c r="BJ102" s="9">
        <v>0</v>
      </c>
      <c r="BK102" s="9">
        <v>0</v>
      </c>
      <c r="BL102" s="9">
        <v>0</v>
      </c>
      <c r="BM102" s="9">
        <v>0</v>
      </c>
      <c r="BN102" s="9">
        <v>0</v>
      </c>
      <c r="BO102" s="9">
        <v>0</v>
      </c>
      <c r="BP102" s="9">
        <v>0</v>
      </c>
      <c r="BQ102" s="9">
        <v>0</v>
      </c>
      <c r="BR102" s="9">
        <v>0</v>
      </c>
      <c r="BS102" s="9">
        <v>0</v>
      </c>
      <c r="BT102" s="9">
        <v>0</v>
      </c>
      <c r="BU102" s="9">
        <v>0</v>
      </c>
      <c r="BV102" s="9">
        <v>0</v>
      </c>
      <c r="BW102" s="9">
        <v>0</v>
      </c>
      <c r="BX102" s="9">
        <v>0</v>
      </c>
      <c r="BY102" s="9">
        <v>0</v>
      </c>
      <c r="BZ102" s="9">
        <v>0</v>
      </c>
      <c r="CA102" s="9">
        <v>0</v>
      </c>
      <c r="CB102" s="9">
        <v>0</v>
      </c>
      <c r="CC102" s="9">
        <v>0</v>
      </c>
      <c r="CD102" s="9">
        <v>0</v>
      </c>
      <c r="CE102" s="9">
        <v>0</v>
      </c>
      <c r="CF102" s="9">
        <v>0</v>
      </c>
      <c r="CG102" s="9">
        <v>0</v>
      </c>
      <c r="CH102" s="9">
        <v>0</v>
      </c>
      <c r="CI102" s="9">
        <v>0</v>
      </c>
      <c r="CJ102" s="9">
        <v>0</v>
      </c>
      <c r="CK102" s="9">
        <v>0</v>
      </c>
      <c r="CL102" s="9">
        <v>0</v>
      </c>
      <c r="CM102" s="9">
        <v>0</v>
      </c>
      <c r="CN102" s="9">
        <v>0</v>
      </c>
      <c r="CO102" s="9">
        <v>0</v>
      </c>
      <c r="CP102" s="9">
        <v>0</v>
      </c>
      <c r="CQ102" s="9">
        <v>0</v>
      </c>
      <c r="CR102" s="9">
        <v>0</v>
      </c>
      <c r="CS102" s="10">
        <v>0</v>
      </c>
    </row>
    <row r="103" spans="1:97" x14ac:dyDescent="0.35">
      <c r="A103" s="8" t="s">
        <v>73</v>
      </c>
      <c r="B103" s="9" t="s">
        <v>720</v>
      </c>
      <c r="C103" s="9" t="s">
        <v>721</v>
      </c>
      <c r="D103" s="9">
        <f t="shared" si="1"/>
        <v>0</v>
      </c>
      <c r="E103" s="9">
        <v>0</v>
      </c>
      <c r="F103" s="9">
        <v>0</v>
      </c>
      <c r="G103" s="9">
        <v>0</v>
      </c>
      <c r="H103" s="9">
        <v>0</v>
      </c>
      <c r="I103" s="9">
        <v>0</v>
      </c>
      <c r="J103" s="9">
        <v>0</v>
      </c>
      <c r="K103" s="9">
        <v>0</v>
      </c>
      <c r="L103" s="9">
        <v>0</v>
      </c>
      <c r="M103" s="9">
        <v>0</v>
      </c>
      <c r="N103" s="9">
        <v>0</v>
      </c>
      <c r="O103" s="9">
        <v>0</v>
      </c>
      <c r="P103" s="9">
        <v>0</v>
      </c>
      <c r="Q103" s="9">
        <v>0</v>
      </c>
      <c r="R103" s="9">
        <v>0</v>
      </c>
      <c r="S103" s="9">
        <v>0</v>
      </c>
      <c r="T103" s="9">
        <v>0</v>
      </c>
      <c r="U103" s="9">
        <v>0</v>
      </c>
      <c r="V103" s="9">
        <v>0</v>
      </c>
      <c r="W103" s="9">
        <v>0</v>
      </c>
      <c r="X103" s="9">
        <v>0</v>
      </c>
      <c r="Y103" s="9">
        <v>0</v>
      </c>
      <c r="Z103" s="9">
        <v>0</v>
      </c>
      <c r="AA103" s="9">
        <v>0</v>
      </c>
      <c r="AB103" s="9">
        <v>0</v>
      </c>
      <c r="AC103" s="9">
        <v>0</v>
      </c>
      <c r="AD103" s="9">
        <v>0</v>
      </c>
      <c r="AE103" s="9">
        <v>0</v>
      </c>
      <c r="AF103" s="9">
        <v>0</v>
      </c>
      <c r="AG103" s="9">
        <v>0</v>
      </c>
      <c r="AH103" s="9">
        <v>0</v>
      </c>
      <c r="AI103" s="9">
        <v>0</v>
      </c>
      <c r="AJ103" s="9">
        <v>0</v>
      </c>
      <c r="AK103" s="9">
        <v>0</v>
      </c>
      <c r="AL103" s="9">
        <v>0</v>
      </c>
      <c r="AM103" s="9">
        <v>0</v>
      </c>
      <c r="AN103" s="9">
        <v>0</v>
      </c>
      <c r="AO103" s="9">
        <v>0</v>
      </c>
      <c r="AP103" s="9">
        <v>0</v>
      </c>
      <c r="AQ103" s="9">
        <v>0</v>
      </c>
      <c r="AR103" s="9">
        <v>0</v>
      </c>
      <c r="AS103" s="9">
        <v>0</v>
      </c>
      <c r="AT103" s="9">
        <v>0</v>
      </c>
      <c r="AU103" s="9">
        <v>0</v>
      </c>
      <c r="AV103" s="9">
        <v>0</v>
      </c>
      <c r="AW103" s="9">
        <v>0</v>
      </c>
      <c r="AX103" s="9">
        <v>0</v>
      </c>
      <c r="AY103" s="9">
        <v>0</v>
      </c>
      <c r="AZ103" s="9">
        <v>0</v>
      </c>
      <c r="BA103" s="9">
        <v>0</v>
      </c>
      <c r="BB103" s="9">
        <v>0</v>
      </c>
      <c r="BC103" s="9">
        <v>0</v>
      </c>
      <c r="BD103" s="9">
        <v>0</v>
      </c>
      <c r="BE103" s="9">
        <v>0</v>
      </c>
      <c r="BF103" s="9">
        <v>0</v>
      </c>
      <c r="BG103" s="9">
        <v>0</v>
      </c>
      <c r="BH103" s="9">
        <v>0</v>
      </c>
      <c r="BI103" s="9">
        <v>0</v>
      </c>
      <c r="BJ103" s="9">
        <v>0</v>
      </c>
      <c r="BK103" s="9">
        <v>0</v>
      </c>
      <c r="BL103" s="9">
        <v>0</v>
      </c>
      <c r="BM103" s="9">
        <v>0</v>
      </c>
      <c r="BN103" s="9">
        <v>0</v>
      </c>
      <c r="BO103" s="9">
        <v>0</v>
      </c>
      <c r="BP103" s="9">
        <v>0</v>
      </c>
      <c r="BQ103" s="9">
        <v>0</v>
      </c>
      <c r="BR103" s="9">
        <v>0</v>
      </c>
      <c r="BS103" s="9">
        <v>0</v>
      </c>
      <c r="BT103" s="9">
        <v>0</v>
      </c>
      <c r="BU103" s="9">
        <v>0</v>
      </c>
      <c r="BV103" s="9">
        <v>0</v>
      </c>
      <c r="BW103" s="9">
        <v>0</v>
      </c>
      <c r="BX103" s="9">
        <v>0</v>
      </c>
      <c r="BY103" s="9">
        <v>0</v>
      </c>
      <c r="BZ103" s="9">
        <v>0</v>
      </c>
      <c r="CA103" s="9">
        <v>0</v>
      </c>
      <c r="CB103" s="9">
        <v>0</v>
      </c>
      <c r="CC103" s="9">
        <v>0</v>
      </c>
      <c r="CD103" s="9">
        <v>0</v>
      </c>
      <c r="CE103" s="9">
        <v>0</v>
      </c>
      <c r="CF103" s="9">
        <v>0</v>
      </c>
      <c r="CG103" s="9">
        <v>0</v>
      </c>
      <c r="CH103" s="9">
        <v>0</v>
      </c>
      <c r="CI103" s="9">
        <v>0</v>
      </c>
      <c r="CJ103" s="9">
        <v>0</v>
      </c>
      <c r="CK103" s="9">
        <v>0</v>
      </c>
      <c r="CL103" s="9">
        <v>0</v>
      </c>
      <c r="CM103" s="9">
        <v>0</v>
      </c>
      <c r="CN103" s="9">
        <v>0</v>
      </c>
      <c r="CO103" s="9">
        <v>0</v>
      </c>
      <c r="CP103" s="9">
        <v>0</v>
      </c>
      <c r="CQ103" s="9">
        <v>0</v>
      </c>
      <c r="CR103" s="9">
        <v>0</v>
      </c>
      <c r="CS103" s="10">
        <v>0</v>
      </c>
    </row>
    <row r="104" spans="1:97" x14ac:dyDescent="0.35">
      <c r="A104" s="8" t="s">
        <v>73</v>
      </c>
      <c r="B104" s="9" t="s">
        <v>722</v>
      </c>
      <c r="C104" s="9" t="s">
        <v>723</v>
      </c>
      <c r="D104" s="9">
        <f t="shared" si="1"/>
        <v>0</v>
      </c>
      <c r="E104" s="9">
        <v>0</v>
      </c>
      <c r="F104" s="9">
        <v>0</v>
      </c>
      <c r="G104" s="9">
        <v>0</v>
      </c>
      <c r="H104" s="9">
        <v>0</v>
      </c>
      <c r="I104" s="9">
        <v>0</v>
      </c>
      <c r="J104" s="9">
        <v>0</v>
      </c>
      <c r="K104" s="9">
        <v>0</v>
      </c>
      <c r="L104" s="9">
        <v>0</v>
      </c>
      <c r="M104" s="9">
        <v>0</v>
      </c>
      <c r="N104" s="9">
        <v>0</v>
      </c>
      <c r="O104" s="9">
        <v>0</v>
      </c>
      <c r="P104" s="9">
        <v>0</v>
      </c>
      <c r="Q104" s="9">
        <v>0</v>
      </c>
      <c r="R104" s="9">
        <v>0</v>
      </c>
      <c r="S104" s="9">
        <v>0</v>
      </c>
      <c r="T104" s="9">
        <v>0</v>
      </c>
      <c r="U104" s="9">
        <v>0</v>
      </c>
      <c r="V104" s="9">
        <v>0</v>
      </c>
      <c r="W104" s="9">
        <v>0</v>
      </c>
      <c r="X104" s="9">
        <v>0</v>
      </c>
      <c r="Y104" s="9">
        <v>0</v>
      </c>
      <c r="Z104" s="9">
        <v>0</v>
      </c>
      <c r="AA104" s="9">
        <v>0</v>
      </c>
      <c r="AB104" s="9">
        <v>0</v>
      </c>
      <c r="AC104" s="9">
        <v>0</v>
      </c>
      <c r="AD104" s="9">
        <v>0</v>
      </c>
      <c r="AE104" s="9">
        <v>0</v>
      </c>
      <c r="AF104" s="9">
        <v>0</v>
      </c>
      <c r="AG104" s="9">
        <v>0</v>
      </c>
      <c r="AH104" s="9">
        <v>0</v>
      </c>
      <c r="AI104" s="9">
        <v>0</v>
      </c>
      <c r="AJ104" s="9">
        <v>0</v>
      </c>
      <c r="AK104" s="9">
        <v>0</v>
      </c>
      <c r="AL104" s="9">
        <v>0</v>
      </c>
      <c r="AM104" s="9">
        <v>0</v>
      </c>
      <c r="AN104" s="9">
        <v>0</v>
      </c>
      <c r="AO104" s="9">
        <v>0</v>
      </c>
      <c r="AP104" s="9">
        <v>0</v>
      </c>
      <c r="AQ104" s="9">
        <v>0</v>
      </c>
      <c r="AR104" s="9">
        <v>0</v>
      </c>
      <c r="AS104" s="9">
        <v>0</v>
      </c>
      <c r="AT104" s="9">
        <v>0</v>
      </c>
      <c r="AU104" s="9">
        <v>0</v>
      </c>
      <c r="AV104" s="9">
        <v>0</v>
      </c>
      <c r="AW104" s="9">
        <v>0</v>
      </c>
      <c r="AX104" s="9">
        <v>0</v>
      </c>
      <c r="AY104" s="9">
        <v>0</v>
      </c>
      <c r="AZ104" s="9">
        <v>0</v>
      </c>
      <c r="BA104" s="9">
        <v>0</v>
      </c>
      <c r="BB104" s="9">
        <v>0</v>
      </c>
      <c r="BC104" s="9">
        <v>0</v>
      </c>
      <c r="BD104" s="9">
        <v>0</v>
      </c>
      <c r="BE104" s="9">
        <v>0</v>
      </c>
      <c r="BF104" s="9">
        <v>0</v>
      </c>
      <c r="BG104" s="9">
        <v>0</v>
      </c>
      <c r="BH104" s="9">
        <v>0</v>
      </c>
      <c r="BI104" s="9">
        <v>0</v>
      </c>
      <c r="BJ104" s="9">
        <v>0</v>
      </c>
      <c r="BK104" s="9">
        <v>0</v>
      </c>
      <c r="BL104" s="9">
        <v>0</v>
      </c>
      <c r="BM104" s="9">
        <v>0</v>
      </c>
      <c r="BN104" s="9">
        <v>0</v>
      </c>
      <c r="BO104" s="9">
        <v>0</v>
      </c>
      <c r="BP104" s="9">
        <v>0</v>
      </c>
      <c r="BQ104" s="9">
        <v>0</v>
      </c>
      <c r="BR104" s="9">
        <v>0</v>
      </c>
      <c r="BS104" s="9">
        <v>0</v>
      </c>
      <c r="BT104" s="9">
        <v>0</v>
      </c>
      <c r="BU104" s="9">
        <v>0</v>
      </c>
      <c r="BV104" s="9">
        <v>0</v>
      </c>
      <c r="BW104" s="9">
        <v>0</v>
      </c>
      <c r="BX104" s="9">
        <v>0</v>
      </c>
      <c r="BY104" s="9">
        <v>0</v>
      </c>
      <c r="BZ104" s="9">
        <v>0</v>
      </c>
      <c r="CA104" s="9">
        <v>0</v>
      </c>
      <c r="CB104" s="9">
        <v>0</v>
      </c>
      <c r="CC104" s="9">
        <v>0</v>
      </c>
      <c r="CD104" s="9">
        <v>0</v>
      </c>
      <c r="CE104" s="9">
        <v>0</v>
      </c>
      <c r="CF104" s="9">
        <v>0</v>
      </c>
      <c r="CG104" s="9">
        <v>0</v>
      </c>
      <c r="CH104" s="9">
        <v>0</v>
      </c>
      <c r="CI104" s="9">
        <v>0</v>
      </c>
      <c r="CJ104" s="9">
        <v>0</v>
      </c>
      <c r="CK104" s="9">
        <v>0</v>
      </c>
      <c r="CL104" s="9">
        <v>0</v>
      </c>
      <c r="CM104" s="9">
        <v>0</v>
      </c>
      <c r="CN104" s="9">
        <v>0</v>
      </c>
      <c r="CO104" s="9">
        <v>0</v>
      </c>
      <c r="CP104" s="9">
        <v>0</v>
      </c>
      <c r="CQ104" s="9">
        <v>0</v>
      </c>
      <c r="CR104" s="9">
        <v>0</v>
      </c>
      <c r="CS104" s="10">
        <v>0</v>
      </c>
    </row>
    <row r="105" spans="1:97" x14ac:dyDescent="0.35">
      <c r="A105" s="8" t="s">
        <v>73</v>
      </c>
      <c r="B105" s="9" t="s">
        <v>724</v>
      </c>
      <c r="C105" s="9" t="s">
        <v>725</v>
      </c>
      <c r="D105" s="9">
        <f t="shared" si="1"/>
        <v>0</v>
      </c>
      <c r="E105" s="9">
        <v>0</v>
      </c>
      <c r="F105" s="9">
        <v>0</v>
      </c>
      <c r="G105" s="9">
        <v>0</v>
      </c>
      <c r="H105" s="9">
        <v>0</v>
      </c>
      <c r="I105" s="9">
        <v>0</v>
      </c>
      <c r="J105" s="9">
        <v>0</v>
      </c>
      <c r="K105" s="9">
        <v>0</v>
      </c>
      <c r="L105" s="9">
        <v>0</v>
      </c>
      <c r="M105" s="9">
        <v>0</v>
      </c>
      <c r="N105" s="9">
        <v>0</v>
      </c>
      <c r="O105" s="9">
        <v>0</v>
      </c>
      <c r="P105" s="9">
        <v>0</v>
      </c>
      <c r="Q105" s="9">
        <v>0</v>
      </c>
      <c r="R105" s="9">
        <v>0</v>
      </c>
      <c r="S105" s="9">
        <v>0</v>
      </c>
      <c r="T105" s="9">
        <v>0</v>
      </c>
      <c r="U105" s="9">
        <v>0</v>
      </c>
      <c r="V105" s="9">
        <v>0</v>
      </c>
      <c r="W105" s="9">
        <v>0</v>
      </c>
      <c r="X105" s="9">
        <v>0</v>
      </c>
      <c r="Y105" s="9">
        <v>0</v>
      </c>
      <c r="Z105" s="9">
        <v>0</v>
      </c>
      <c r="AA105" s="9">
        <v>0</v>
      </c>
      <c r="AB105" s="9">
        <v>0</v>
      </c>
      <c r="AC105" s="9">
        <v>0</v>
      </c>
      <c r="AD105" s="9">
        <v>0</v>
      </c>
      <c r="AE105" s="9">
        <v>0</v>
      </c>
      <c r="AF105" s="9">
        <v>0</v>
      </c>
      <c r="AG105" s="9">
        <v>0</v>
      </c>
      <c r="AH105" s="9">
        <v>0</v>
      </c>
      <c r="AI105" s="9">
        <v>0</v>
      </c>
      <c r="AJ105" s="9">
        <v>0</v>
      </c>
      <c r="AK105" s="9">
        <v>0</v>
      </c>
      <c r="AL105" s="9">
        <v>0</v>
      </c>
      <c r="AM105" s="9">
        <v>0</v>
      </c>
      <c r="AN105" s="9">
        <v>0</v>
      </c>
      <c r="AO105" s="9">
        <v>0</v>
      </c>
      <c r="AP105" s="9">
        <v>0</v>
      </c>
      <c r="AQ105" s="9">
        <v>0</v>
      </c>
      <c r="AR105" s="9">
        <v>0</v>
      </c>
      <c r="AS105" s="9">
        <v>0</v>
      </c>
      <c r="AT105" s="9">
        <v>0</v>
      </c>
      <c r="AU105" s="9">
        <v>0</v>
      </c>
      <c r="AV105" s="9">
        <v>0</v>
      </c>
      <c r="AW105" s="9">
        <v>0</v>
      </c>
      <c r="AX105" s="9">
        <v>0</v>
      </c>
      <c r="AY105" s="9">
        <v>0</v>
      </c>
      <c r="AZ105" s="9">
        <v>0</v>
      </c>
      <c r="BA105" s="9">
        <v>0</v>
      </c>
      <c r="BB105" s="9">
        <v>0</v>
      </c>
      <c r="BC105" s="9">
        <v>0</v>
      </c>
      <c r="BD105" s="9">
        <v>0</v>
      </c>
      <c r="BE105" s="9">
        <v>0</v>
      </c>
      <c r="BF105" s="9">
        <v>0</v>
      </c>
      <c r="BG105" s="9">
        <v>0</v>
      </c>
      <c r="BH105" s="9">
        <v>0</v>
      </c>
      <c r="BI105" s="9">
        <v>0</v>
      </c>
      <c r="BJ105" s="9">
        <v>0</v>
      </c>
      <c r="BK105" s="9">
        <v>0</v>
      </c>
      <c r="BL105" s="9">
        <v>0</v>
      </c>
      <c r="BM105" s="9">
        <v>0</v>
      </c>
      <c r="BN105" s="9">
        <v>0</v>
      </c>
      <c r="BO105" s="9">
        <v>0</v>
      </c>
      <c r="BP105" s="9">
        <v>0</v>
      </c>
      <c r="BQ105" s="9">
        <v>0</v>
      </c>
      <c r="BR105" s="9">
        <v>0</v>
      </c>
      <c r="BS105" s="9">
        <v>0</v>
      </c>
      <c r="BT105" s="9">
        <v>0</v>
      </c>
      <c r="BU105" s="9">
        <v>0</v>
      </c>
      <c r="BV105" s="9">
        <v>0</v>
      </c>
      <c r="BW105" s="9">
        <v>0</v>
      </c>
      <c r="BX105" s="9">
        <v>0</v>
      </c>
      <c r="BY105" s="9">
        <v>0</v>
      </c>
      <c r="BZ105" s="9">
        <v>0</v>
      </c>
      <c r="CA105" s="9">
        <v>0</v>
      </c>
      <c r="CB105" s="9">
        <v>0</v>
      </c>
      <c r="CC105" s="9">
        <v>0</v>
      </c>
      <c r="CD105" s="9">
        <v>0</v>
      </c>
      <c r="CE105" s="9">
        <v>0</v>
      </c>
      <c r="CF105" s="9">
        <v>0</v>
      </c>
      <c r="CG105" s="9">
        <v>0</v>
      </c>
      <c r="CH105" s="9">
        <v>0</v>
      </c>
      <c r="CI105" s="9">
        <v>0</v>
      </c>
      <c r="CJ105" s="9">
        <v>0</v>
      </c>
      <c r="CK105" s="9">
        <v>0</v>
      </c>
      <c r="CL105" s="9">
        <v>0</v>
      </c>
      <c r="CM105" s="9">
        <v>0</v>
      </c>
      <c r="CN105" s="9">
        <v>0</v>
      </c>
      <c r="CO105" s="9">
        <v>0</v>
      </c>
      <c r="CP105" s="9">
        <v>0</v>
      </c>
      <c r="CQ105" s="9">
        <v>0</v>
      </c>
      <c r="CR105" s="9">
        <v>0</v>
      </c>
      <c r="CS105" s="10">
        <v>0</v>
      </c>
    </row>
    <row r="106" spans="1:97" x14ac:dyDescent="0.35">
      <c r="A106" s="8" t="s">
        <v>73</v>
      </c>
      <c r="B106" s="9" t="s">
        <v>726</v>
      </c>
      <c r="C106" s="9" t="s">
        <v>727</v>
      </c>
      <c r="D106" s="9">
        <f t="shared" si="1"/>
        <v>0</v>
      </c>
      <c r="E106" s="9">
        <v>0</v>
      </c>
      <c r="F106" s="9">
        <v>0</v>
      </c>
      <c r="G106" s="9">
        <v>0</v>
      </c>
      <c r="H106" s="9">
        <v>0</v>
      </c>
      <c r="I106" s="9">
        <v>0</v>
      </c>
      <c r="J106" s="9">
        <v>0</v>
      </c>
      <c r="K106" s="9">
        <v>0</v>
      </c>
      <c r="L106" s="9">
        <v>0</v>
      </c>
      <c r="M106" s="9">
        <v>0</v>
      </c>
      <c r="N106" s="9">
        <v>0</v>
      </c>
      <c r="O106" s="9">
        <v>0</v>
      </c>
      <c r="P106" s="9">
        <v>0</v>
      </c>
      <c r="Q106" s="9">
        <v>0</v>
      </c>
      <c r="R106" s="9">
        <v>0</v>
      </c>
      <c r="S106" s="9">
        <v>0</v>
      </c>
      <c r="T106" s="9">
        <v>0</v>
      </c>
      <c r="U106" s="9">
        <v>0</v>
      </c>
      <c r="V106" s="9">
        <v>0</v>
      </c>
      <c r="W106" s="9">
        <v>0</v>
      </c>
      <c r="X106" s="9">
        <v>0</v>
      </c>
      <c r="Y106" s="9">
        <v>0</v>
      </c>
      <c r="Z106" s="9">
        <v>0</v>
      </c>
      <c r="AA106" s="9">
        <v>0</v>
      </c>
      <c r="AB106" s="9">
        <v>0</v>
      </c>
      <c r="AC106" s="9">
        <v>0</v>
      </c>
      <c r="AD106" s="9">
        <v>0</v>
      </c>
      <c r="AE106" s="9">
        <v>0</v>
      </c>
      <c r="AF106" s="9">
        <v>0</v>
      </c>
      <c r="AG106" s="9">
        <v>0</v>
      </c>
      <c r="AH106" s="9">
        <v>0</v>
      </c>
      <c r="AI106" s="9">
        <v>0</v>
      </c>
      <c r="AJ106" s="9">
        <v>0</v>
      </c>
      <c r="AK106" s="9">
        <v>0</v>
      </c>
      <c r="AL106" s="9">
        <v>0</v>
      </c>
      <c r="AM106" s="9">
        <v>0</v>
      </c>
      <c r="AN106" s="9">
        <v>0</v>
      </c>
      <c r="AO106" s="9">
        <v>0</v>
      </c>
      <c r="AP106" s="9">
        <v>0</v>
      </c>
      <c r="AQ106" s="9">
        <v>0</v>
      </c>
      <c r="AR106" s="9">
        <v>0</v>
      </c>
      <c r="AS106" s="9">
        <v>0</v>
      </c>
      <c r="AT106" s="9">
        <v>0</v>
      </c>
      <c r="AU106" s="9">
        <v>0</v>
      </c>
      <c r="AV106" s="9">
        <v>0</v>
      </c>
      <c r="AW106" s="9">
        <v>0</v>
      </c>
      <c r="AX106" s="9">
        <v>0</v>
      </c>
      <c r="AY106" s="9">
        <v>0</v>
      </c>
      <c r="AZ106" s="9">
        <v>0</v>
      </c>
      <c r="BA106" s="9">
        <v>0</v>
      </c>
      <c r="BB106" s="9">
        <v>0</v>
      </c>
      <c r="BC106" s="9">
        <v>0</v>
      </c>
      <c r="BD106" s="9">
        <v>0</v>
      </c>
      <c r="BE106" s="9">
        <v>0</v>
      </c>
      <c r="BF106" s="9">
        <v>0</v>
      </c>
      <c r="BG106" s="9">
        <v>0</v>
      </c>
      <c r="BH106" s="9">
        <v>0</v>
      </c>
      <c r="BI106" s="9">
        <v>0</v>
      </c>
      <c r="BJ106" s="9">
        <v>0</v>
      </c>
      <c r="BK106" s="9">
        <v>0</v>
      </c>
      <c r="BL106" s="9">
        <v>0</v>
      </c>
      <c r="BM106" s="9">
        <v>0</v>
      </c>
      <c r="BN106" s="9">
        <v>0</v>
      </c>
      <c r="BO106" s="9">
        <v>0</v>
      </c>
      <c r="BP106" s="9">
        <v>0</v>
      </c>
      <c r="BQ106" s="9">
        <v>0</v>
      </c>
      <c r="BR106" s="9">
        <v>0</v>
      </c>
      <c r="BS106" s="9">
        <v>0</v>
      </c>
      <c r="BT106" s="9">
        <v>0</v>
      </c>
      <c r="BU106" s="9">
        <v>0</v>
      </c>
      <c r="BV106" s="9">
        <v>0</v>
      </c>
      <c r="BW106" s="9">
        <v>0</v>
      </c>
      <c r="BX106" s="9">
        <v>0</v>
      </c>
      <c r="BY106" s="9">
        <v>0</v>
      </c>
      <c r="BZ106" s="9">
        <v>0</v>
      </c>
      <c r="CA106" s="9">
        <v>0</v>
      </c>
      <c r="CB106" s="9">
        <v>0</v>
      </c>
      <c r="CC106" s="9">
        <v>0</v>
      </c>
      <c r="CD106" s="9">
        <v>0</v>
      </c>
      <c r="CE106" s="9">
        <v>0</v>
      </c>
      <c r="CF106" s="9">
        <v>0</v>
      </c>
      <c r="CG106" s="9">
        <v>0</v>
      </c>
      <c r="CH106" s="9">
        <v>0</v>
      </c>
      <c r="CI106" s="9">
        <v>0</v>
      </c>
      <c r="CJ106" s="9">
        <v>0</v>
      </c>
      <c r="CK106" s="9">
        <v>0</v>
      </c>
      <c r="CL106" s="9">
        <v>0</v>
      </c>
      <c r="CM106" s="9">
        <v>0</v>
      </c>
      <c r="CN106" s="9">
        <v>0</v>
      </c>
      <c r="CO106" s="9">
        <v>0</v>
      </c>
      <c r="CP106" s="9">
        <v>0</v>
      </c>
      <c r="CQ106" s="9">
        <v>0</v>
      </c>
      <c r="CR106" s="9">
        <v>0</v>
      </c>
      <c r="CS106" s="10">
        <v>0</v>
      </c>
    </row>
    <row r="107" spans="1:97" x14ac:dyDescent="0.35">
      <c r="A107" s="8" t="s">
        <v>73</v>
      </c>
      <c r="B107" s="9" t="s">
        <v>104</v>
      </c>
      <c r="C107" s="9" t="s">
        <v>728</v>
      </c>
      <c r="D107" s="9">
        <f t="shared" si="1"/>
        <v>427</v>
      </c>
      <c r="E107" s="9">
        <v>1</v>
      </c>
      <c r="F107" s="9">
        <v>0</v>
      </c>
      <c r="G107" s="9">
        <v>0</v>
      </c>
      <c r="H107" s="9">
        <v>1</v>
      </c>
      <c r="I107" s="9">
        <v>1</v>
      </c>
      <c r="J107" s="9">
        <v>0</v>
      </c>
      <c r="K107" s="9">
        <v>1</v>
      </c>
      <c r="L107" s="9">
        <v>0</v>
      </c>
      <c r="M107" s="9">
        <v>1</v>
      </c>
      <c r="N107" s="9">
        <v>0</v>
      </c>
      <c r="O107" s="9">
        <v>1</v>
      </c>
      <c r="P107" s="9">
        <v>0</v>
      </c>
      <c r="Q107" s="9">
        <v>1</v>
      </c>
      <c r="R107" s="9">
        <v>1</v>
      </c>
      <c r="S107" s="9">
        <v>0</v>
      </c>
      <c r="T107" s="9">
        <v>1</v>
      </c>
      <c r="U107" s="9">
        <v>0</v>
      </c>
      <c r="V107" s="9">
        <v>1</v>
      </c>
      <c r="W107" s="9">
        <v>0</v>
      </c>
      <c r="X107" s="9">
        <v>1</v>
      </c>
      <c r="Y107" s="9">
        <v>0</v>
      </c>
      <c r="Z107" s="9">
        <v>1</v>
      </c>
      <c r="AA107" s="9">
        <v>1</v>
      </c>
      <c r="AB107" s="9">
        <v>0</v>
      </c>
      <c r="AC107" s="9">
        <v>0</v>
      </c>
      <c r="AD107" s="9">
        <v>0</v>
      </c>
      <c r="AE107" s="9">
        <v>0</v>
      </c>
      <c r="AF107" s="9">
        <v>2</v>
      </c>
      <c r="AG107" s="9">
        <v>0</v>
      </c>
      <c r="AH107" s="9">
        <v>0</v>
      </c>
      <c r="AI107" s="9">
        <v>1</v>
      </c>
      <c r="AJ107" s="9">
        <v>0</v>
      </c>
      <c r="AK107" s="9">
        <v>0</v>
      </c>
      <c r="AL107" s="9">
        <v>3</v>
      </c>
      <c r="AM107" s="9">
        <v>1</v>
      </c>
      <c r="AN107" s="9">
        <v>0</v>
      </c>
      <c r="AO107" s="9">
        <v>2</v>
      </c>
      <c r="AP107" s="9">
        <v>1</v>
      </c>
      <c r="AQ107" s="9">
        <v>2</v>
      </c>
      <c r="AR107" s="9">
        <v>3</v>
      </c>
      <c r="AS107" s="9">
        <v>2</v>
      </c>
      <c r="AT107" s="9">
        <v>0</v>
      </c>
      <c r="AU107" s="9">
        <v>2</v>
      </c>
      <c r="AV107" s="9">
        <v>3</v>
      </c>
      <c r="AW107" s="9">
        <v>11</v>
      </c>
      <c r="AX107" s="9">
        <v>3</v>
      </c>
      <c r="AY107" s="9">
        <v>4</v>
      </c>
      <c r="AZ107" s="9">
        <v>3</v>
      </c>
      <c r="BA107" s="9">
        <v>8</v>
      </c>
      <c r="BB107" s="9">
        <v>9</v>
      </c>
      <c r="BC107" s="9">
        <v>7</v>
      </c>
      <c r="BD107" s="9">
        <v>6</v>
      </c>
      <c r="BE107" s="9">
        <v>6</v>
      </c>
      <c r="BF107" s="9">
        <v>5</v>
      </c>
      <c r="BG107" s="9">
        <v>11</v>
      </c>
      <c r="BH107" s="9">
        <v>7</v>
      </c>
      <c r="BI107" s="9">
        <v>5</v>
      </c>
      <c r="BJ107" s="9">
        <v>2</v>
      </c>
      <c r="BK107" s="9">
        <v>5</v>
      </c>
      <c r="BL107" s="9">
        <v>3</v>
      </c>
      <c r="BM107" s="9">
        <v>4</v>
      </c>
      <c r="BN107" s="9">
        <v>11</v>
      </c>
      <c r="BO107" s="9">
        <v>5</v>
      </c>
      <c r="BP107" s="9">
        <v>7</v>
      </c>
      <c r="BQ107" s="9">
        <v>4</v>
      </c>
      <c r="BR107" s="9">
        <v>5</v>
      </c>
      <c r="BS107" s="9">
        <v>4</v>
      </c>
      <c r="BT107" s="9">
        <v>3</v>
      </c>
      <c r="BU107" s="9">
        <v>4</v>
      </c>
      <c r="BV107" s="9">
        <v>13</v>
      </c>
      <c r="BW107" s="9">
        <v>7</v>
      </c>
      <c r="BX107" s="9">
        <v>7</v>
      </c>
      <c r="BY107" s="9">
        <v>6</v>
      </c>
      <c r="BZ107" s="9">
        <v>10</v>
      </c>
      <c r="CA107" s="9">
        <v>2</v>
      </c>
      <c r="CB107" s="9">
        <v>10</v>
      </c>
      <c r="CC107" s="9">
        <v>6</v>
      </c>
      <c r="CD107" s="9">
        <v>12</v>
      </c>
      <c r="CE107" s="9">
        <v>7</v>
      </c>
      <c r="CF107" s="9">
        <v>8</v>
      </c>
      <c r="CG107" s="9">
        <v>4</v>
      </c>
      <c r="CH107" s="9">
        <v>16</v>
      </c>
      <c r="CI107" s="9">
        <v>4</v>
      </c>
      <c r="CJ107" s="9">
        <v>12</v>
      </c>
      <c r="CK107" s="9">
        <v>13</v>
      </c>
      <c r="CL107" s="9">
        <v>14</v>
      </c>
      <c r="CM107" s="9">
        <v>17</v>
      </c>
      <c r="CN107" s="9">
        <v>19</v>
      </c>
      <c r="CO107" s="9">
        <v>8</v>
      </c>
      <c r="CP107" s="9">
        <v>9</v>
      </c>
      <c r="CQ107" s="9">
        <v>15</v>
      </c>
      <c r="CR107" s="9">
        <v>13</v>
      </c>
      <c r="CS107" s="10">
        <v>18</v>
      </c>
    </row>
    <row r="108" spans="1:97" x14ac:dyDescent="0.35">
      <c r="A108" s="8" t="s">
        <v>73</v>
      </c>
      <c r="B108" s="9" t="s">
        <v>106</v>
      </c>
      <c r="C108" s="9" t="s">
        <v>729</v>
      </c>
      <c r="D108" s="9">
        <f t="shared" si="1"/>
        <v>279</v>
      </c>
      <c r="E108" s="9">
        <v>1</v>
      </c>
      <c r="F108" s="9">
        <v>0</v>
      </c>
      <c r="G108" s="9">
        <v>0</v>
      </c>
      <c r="H108" s="9">
        <v>0</v>
      </c>
      <c r="I108" s="9">
        <v>1</v>
      </c>
      <c r="J108" s="9">
        <v>1</v>
      </c>
      <c r="K108" s="9">
        <v>0</v>
      </c>
      <c r="L108" s="9">
        <v>0</v>
      </c>
      <c r="M108" s="9">
        <v>0</v>
      </c>
      <c r="N108" s="9">
        <v>1</v>
      </c>
      <c r="O108" s="9">
        <v>2</v>
      </c>
      <c r="P108" s="9">
        <v>0</v>
      </c>
      <c r="Q108" s="9">
        <v>2</v>
      </c>
      <c r="R108" s="9">
        <v>0</v>
      </c>
      <c r="S108" s="9">
        <v>0</v>
      </c>
      <c r="T108" s="9">
        <v>0</v>
      </c>
      <c r="U108" s="9">
        <v>0</v>
      </c>
      <c r="V108" s="9">
        <v>0</v>
      </c>
      <c r="W108" s="9">
        <v>2</v>
      </c>
      <c r="X108" s="9">
        <v>0</v>
      </c>
      <c r="Y108" s="9">
        <v>0</v>
      </c>
      <c r="Z108" s="9">
        <v>0</v>
      </c>
      <c r="AA108" s="9">
        <v>0</v>
      </c>
      <c r="AB108" s="9">
        <v>0</v>
      </c>
      <c r="AC108" s="9">
        <v>0</v>
      </c>
      <c r="AD108" s="9">
        <v>0</v>
      </c>
      <c r="AE108" s="9">
        <v>0</v>
      </c>
      <c r="AF108" s="9">
        <v>2</v>
      </c>
      <c r="AG108" s="9">
        <v>0</v>
      </c>
      <c r="AH108" s="9">
        <v>1</v>
      </c>
      <c r="AI108" s="9">
        <v>0</v>
      </c>
      <c r="AJ108" s="9">
        <v>0</v>
      </c>
      <c r="AK108" s="9">
        <v>1</v>
      </c>
      <c r="AL108" s="9">
        <v>2</v>
      </c>
      <c r="AM108" s="9">
        <v>0</v>
      </c>
      <c r="AN108" s="9">
        <v>3</v>
      </c>
      <c r="AO108" s="9">
        <v>2</v>
      </c>
      <c r="AP108" s="9">
        <v>2</v>
      </c>
      <c r="AQ108" s="9">
        <v>1</v>
      </c>
      <c r="AR108" s="9">
        <v>2</v>
      </c>
      <c r="AS108" s="9">
        <v>0</v>
      </c>
      <c r="AT108" s="9">
        <v>2</v>
      </c>
      <c r="AU108" s="9">
        <v>3</v>
      </c>
      <c r="AV108" s="9">
        <v>1</v>
      </c>
      <c r="AW108" s="9">
        <v>1</v>
      </c>
      <c r="AX108" s="9">
        <v>1</v>
      </c>
      <c r="AY108" s="9">
        <v>0</v>
      </c>
      <c r="AZ108" s="9">
        <v>3</v>
      </c>
      <c r="BA108" s="9">
        <v>0</v>
      </c>
      <c r="BB108" s="9">
        <v>1</v>
      </c>
      <c r="BC108" s="9">
        <v>5</v>
      </c>
      <c r="BD108" s="9">
        <v>1</v>
      </c>
      <c r="BE108" s="9">
        <v>5</v>
      </c>
      <c r="BF108" s="9">
        <v>4</v>
      </c>
      <c r="BG108" s="9">
        <v>5</v>
      </c>
      <c r="BH108" s="9">
        <v>3</v>
      </c>
      <c r="BI108" s="9">
        <v>2</v>
      </c>
      <c r="BJ108" s="9">
        <v>1</v>
      </c>
      <c r="BK108" s="9">
        <v>2</v>
      </c>
      <c r="BL108" s="9">
        <v>4</v>
      </c>
      <c r="BM108" s="9">
        <v>1</v>
      </c>
      <c r="BN108" s="9">
        <v>4</v>
      </c>
      <c r="BO108" s="9">
        <v>4</v>
      </c>
      <c r="BP108" s="9">
        <v>4</v>
      </c>
      <c r="BQ108" s="9">
        <v>2</v>
      </c>
      <c r="BR108" s="9">
        <v>3</v>
      </c>
      <c r="BS108" s="9">
        <v>4</v>
      </c>
      <c r="BT108" s="9">
        <v>2</v>
      </c>
      <c r="BU108" s="9">
        <v>1</v>
      </c>
      <c r="BV108" s="9">
        <v>5</v>
      </c>
      <c r="BW108" s="9">
        <v>8</v>
      </c>
      <c r="BX108" s="9">
        <v>3</v>
      </c>
      <c r="BY108" s="9">
        <v>13</v>
      </c>
      <c r="BZ108" s="9">
        <v>6</v>
      </c>
      <c r="CA108" s="9">
        <v>8</v>
      </c>
      <c r="CB108" s="9">
        <v>2</v>
      </c>
      <c r="CC108" s="9">
        <v>8</v>
      </c>
      <c r="CD108" s="9">
        <v>10</v>
      </c>
      <c r="CE108" s="9">
        <v>11</v>
      </c>
      <c r="CF108" s="9">
        <v>9</v>
      </c>
      <c r="CG108" s="9">
        <v>1</v>
      </c>
      <c r="CH108" s="9">
        <v>6</v>
      </c>
      <c r="CI108" s="9">
        <v>7</v>
      </c>
      <c r="CJ108" s="9">
        <v>6</v>
      </c>
      <c r="CK108" s="9">
        <v>8</v>
      </c>
      <c r="CL108" s="9">
        <v>6</v>
      </c>
      <c r="CM108" s="9">
        <v>8</v>
      </c>
      <c r="CN108" s="9">
        <v>9</v>
      </c>
      <c r="CO108" s="9">
        <v>9</v>
      </c>
      <c r="CP108" s="9">
        <v>7</v>
      </c>
      <c r="CQ108" s="9">
        <v>8</v>
      </c>
      <c r="CR108" s="9">
        <v>14</v>
      </c>
      <c r="CS108" s="10">
        <v>12</v>
      </c>
    </row>
    <row r="109" spans="1:97" x14ac:dyDescent="0.35">
      <c r="A109" s="8" t="s">
        <v>73</v>
      </c>
      <c r="B109" s="9" t="s">
        <v>108</v>
      </c>
      <c r="C109" s="9" t="s">
        <v>730</v>
      </c>
      <c r="D109" s="9">
        <f t="shared" si="1"/>
        <v>145</v>
      </c>
      <c r="E109" s="9">
        <v>0</v>
      </c>
      <c r="F109" s="9">
        <v>0</v>
      </c>
      <c r="G109" s="9">
        <v>0</v>
      </c>
      <c r="H109" s="9">
        <v>0</v>
      </c>
      <c r="I109" s="9">
        <v>0</v>
      </c>
      <c r="J109" s="9">
        <v>1</v>
      </c>
      <c r="K109" s="9">
        <v>0</v>
      </c>
      <c r="L109" s="9">
        <v>0</v>
      </c>
      <c r="M109" s="9">
        <v>1</v>
      </c>
      <c r="N109" s="9">
        <v>0</v>
      </c>
      <c r="O109" s="9">
        <v>1</v>
      </c>
      <c r="P109" s="9">
        <v>0</v>
      </c>
      <c r="Q109" s="9">
        <v>1</v>
      </c>
      <c r="R109" s="9">
        <v>0</v>
      </c>
      <c r="S109" s="9">
        <v>0</v>
      </c>
      <c r="T109" s="9">
        <v>0</v>
      </c>
      <c r="U109" s="9">
        <v>0</v>
      </c>
      <c r="V109" s="9">
        <v>1</v>
      </c>
      <c r="W109" s="9">
        <v>0</v>
      </c>
      <c r="X109" s="9">
        <v>0</v>
      </c>
      <c r="Y109" s="9">
        <v>0</v>
      </c>
      <c r="Z109" s="9">
        <v>0</v>
      </c>
      <c r="AA109" s="9">
        <v>0</v>
      </c>
      <c r="AB109" s="9">
        <v>0</v>
      </c>
      <c r="AC109" s="9">
        <v>0</v>
      </c>
      <c r="AD109" s="9">
        <v>0</v>
      </c>
      <c r="AE109" s="9">
        <v>0</v>
      </c>
      <c r="AF109" s="9">
        <v>0</v>
      </c>
      <c r="AG109" s="9">
        <v>0</v>
      </c>
      <c r="AH109" s="9">
        <v>0</v>
      </c>
      <c r="AI109" s="9">
        <v>0</v>
      </c>
      <c r="AJ109" s="9">
        <v>0</v>
      </c>
      <c r="AK109" s="9">
        <v>2</v>
      </c>
      <c r="AL109" s="9">
        <v>0</v>
      </c>
      <c r="AM109" s="9">
        <v>0</v>
      </c>
      <c r="AN109" s="9">
        <v>0</v>
      </c>
      <c r="AO109" s="9">
        <v>0</v>
      </c>
      <c r="AP109" s="9">
        <v>1</v>
      </c>
      <c r="AQ109" s="9">
        <v>1</v>
      </c>
      <c r="AR109" s="9">
        <v>2</v>
      </c>
      <c r="AS109" s="9">
        <v>1</v>
      </c>
      <c r="AT109" s="9">
        <v>2</v>
      </c>
      <c r="AU109" s="9">
        <v>1</v>
      </c>
      <c r="AV109" s="9">
        <v>1</v>
      </c>
      <c r="AW109" s="9">
        <v>0</v>
      </c>
      <c r="AX109" s="9">
        <v>2</v>
      </c>
      <c r="AY109" s="9">
        <v>0</v>
      </c>
      <c r="AZ109" s="9">
        <v>0</v>
      </c>
      <c r="BA109" s="9">
        <v>2</v>
      </c>
      <c r="BB109" s="9">
        <v>0</v>
      </c>
      <c r="BC109" s="9">
        <v>0</v>
      </c>
      <c r="BD109" s="9">
        <v>4</v>
      </c>
      <c r="BE109" s="9">
        <v>1</v>
      </c>
      <c r="BF109" s="9">
        <v>1</v>
      </c>
      <c r="BG109" s="9">
        <v>2</v>
      </c>
      <c r="BH109" s="9">
        <v>3</v>
      </c>
      <c r="BI109" s="9">
        <v>2</v>
      </c>
      <c r="BJ109" s="9">
        <v>0</v>
      </c>
      <c r="BK109" s="9">
        <v>0</v>
      </c>
      <c r="BL109" s="9">
        <v>0</v>
      </c>
      <c r="BM109" s="9">
        <v>1</v>
      </c>
      <c r="BN109" s="9">
        <v>3</v>
      </c>
      <c r="BO109" s="9">
        <v>4</v>
      </c>
      <c r="BP109" s="9">
        <v>1</v>
      </c>
      <c r="BQ109" s="9">
        <v>1</v>
      </c>
      <c r="BR109" s="9">
        <v>3</v>
      </c>
      <c r="BS109" s="9">
        <v>2</v>
      </c>
      <c r="BT109" s="9">
        <v>2</v>
      </c>
      <c r="BU109" s="9">
        <v>1</v>
      </c>
      <c r="BV109" s="9">
        <v>4</v>
      </c>
      <c r="BW109" s="9">
        <v>3</v>
      </c>
      <c r="BX109" s="9">
        <v>3</v>
      </c>
      <c r="BY109" s="9">
        <v>2</v>
      </c>
      <c r="BZ109" s="9">
        <v>6</v>
      </c>
      <c r="CA109" s="9">
        <v>1</v>
      </c>
      <c r="CB109" s="9">
        <v>1</v>
      </c>
      <c r="CC109" s="9">
        <v>1</v>
      </c>
      <c r="CD109" s="9">
        <v>4</v>
      </c>
      <c r="CE109" s="9">
        <v>4</v>
      </c>
      <c r="CF109" s="9">
        <v>4</v>
      </c>
      <c r="CG109" s="9">
        <v>2</v>
      </c>
      <c r="CH109" s="9">
        <v>9</v>
      </c>
      <c r="CI109" s="9">
        <v>4</v>
      </c>
      <c r="CJ109" s="9">
        <v>6</v>
      </c>
      <c r="CK109" s="9">
        <v>6</v>
      </c>
      <c r="CL109" s="9">
        <v>5</v>
      </c>
      <c r="CM109" s="9">
        <v>2</v>
      </c>
      <c r="CN109" s="9">
        <v>3</v>
      </c>
      <c r="CO109" s="9">
        <v>3</v>
      </c>
      <c r="CP109" s="9">
        <v>7</v>
      </c>
      <c r="CQ109" s="9">
        <v>3</v>
      </c>
      <c r="CR109" s="9">
        <v>4</v>
      </c>
      <c r="CS109" s="10">
        <v>7</v>
      </c>
    </row>
    <row r="110" spans="1:97" x14ac:dyDescent="0.35">
      <c r="A110" s="8" t="s">
        <v>73</v>
      </c>
      <c r="B110" s="9" t="s">
        <v>110</v>
      </c>
      <c r="C110" s="9" t="s">
        <v>731</v>
      </c>
      <c r="D110" s="9">
        <f t="shared" si="1"/>
        <v>1</v>
      </c>
      <c r="E110" s="9">
        <v>0</v>
      </c>
      <c r="F110" s="9">
        <v>0</v>
      </c>
      <c r="G110" s="9">
        <v>0</v>
      </c>
      <c r="H110" s="9">
        <v>0</v>
      </c>
      <c r="I110" s="9">
        <v>0</v>
      </c>
      <c r="J110" s="9">
        <v>0</v>
      </c>
      <c r="K110" s="9">
        <v>0</v>
      </c>
      <c r="L110" s="9">
        <v>0</v>
      </c>
      <c r="M110" s="9">
        <v>0</v>
      </c>
      <c r="N110" s="9">
        <v>0</v>
      </c>
      <c r="O110" s="9">
        <v>0</v>
      </c>
      <c r="P110" s="9">
        <v>0</v>
      </c>
      <c r="Q110" s="9">
        <v>0</v>
      </c>
      <c r="R110" s="9">
        <v>0</v>
      </c>
      <c r="S110" s="9">
        <v>0</v>
      </c>
      <c r="T110" s="9">
        <v>1</v>
      </c>
      <c r="U110" s="9">
        <v>0</v>
      </c>
      <c r="V110" s="9">
        <v>0</v>
      </c>
      <c r="W110" s="9">
        <v>0</v>
      </c>
      <c r="X110" s="9">
        <v>0</v>
      </c>
      <c r="Y110" s="9">
        <v>0</v>
      </c>
      <c r="Z110" s="9">
        <v>0</v>
      </c>
      <c r="AA110" s="9">
        <v>0</v>
      </c>
      <c r="AB110" s="9">
        <v>0</v>
      </c>
      <c r="AC110" s="9">
        <v>0</v>
      </c>
      <c r="AD110" s="9">
        <v>0</v>
      </c>
      <c r="AE110" s="9">
        <v>0</v>
      </c>
      <c r="AF110" s="9">
        <v>0</v>
      </c>
      <c r="AG110" s="9">
        <v>0</v>
      </c>
      <c r="AH110" s="9">
        <v>0</v>
      </c>
      <c r="AI110" s="9">
        <v>0</v>
      </c>
      <c r="AJ110" s="9">
        <v>0</v>
      </c>
      <c r="AK110" s="9">
        <v>0</v>
      </c>
      <c r="AL110" s="9">
        <v>0</v>
      </c>
      <c r="AM110" s="9">
        <v>0</v>
      </c>
      <c r="AN110" s="9">
        <v>0</v>
      </c>
      <c r="AO110" s="9">
        <v>0</v>
      </c>
      <c r="AP110" s="9">
        <v>0</v>
      </c>
      <c r="AQ110" s="9">
        <v>0</v>
      </c>
      <c r="AR110" s="9">
        <v>0</v>
      </c>
      <c r="AS110" s="9">
        <v>0</v>
      </c>
      <c r="AT110" s="9">
        <v>0</v>
      </c>
      <c r="AU110" s="9">
        <v>0</v>
      </c>
      <c r="AV110" s="9">
        <v>0</v>
      </c>
      <c r="AW110" s="9">
        <v>0</v>
      </c>
      <c r="AX110" s="9">
        <v>0</v>
      </c>
      <c r="AY110" s="9">
        <v>0</v>
      </c>
      <c r="AZ110" s="9">
        <v>0</v>
      </c>
      <c r="BA110" s="9">
        <v>0</v>
      </c>
      <c r="BB110" s="9">
        <v>0</v>
      </c>
      <c r="BC110" s="9">
        <v>0</v>
      </c>
      <c r="BD110" s="9">
        <v>0</v>
      </c>
      <c r="BE110" s="9">
        <v>0</v>
      </c>
      <c r="BF110" s="9">
        <v>0</v>
      </c>
      <c r="BG110" s="9">
        <v>0</v>
      </c>
      <c r="BH110" s="9">
        <v>0</v>
      </c>
      <c r="BI110" s="9">
        <v>0</v>
      </c>
      <c r="BJ110" s="9">
        <v>0</v>
      </c>
      <c r="BK110" s="9">
        <v>0</v>
      </c>
      <c r="BL110" s="9">
        <v>0</v>
      </c>
      <c r="BM110" s="9">
        <v>0</v>
      </c>
      <c r="BN110" s="9">
        <v>0</v>
      </c>
      <c r="BO110" s="9">
        <v>0</v>
      </c>
      <c r="BP110" s="9">
        <v>0</v>
      </c>
      <c r="BQ110" s="9">
        <v>0</v>
      </c>
      <c r="BR110" s="9">
        <v>0</v>
      </c>
      <c r="BS110" s="9">
        <v>0</v>
      </c>
      <c r="BT110" s="9">
        <v>0</v>
      </c>
      <c r="BU110" s="9">
        <v>0</v>
      </c>
      <c r="BV110" s="9">
        <v>0</v>
      </c>
      <c r="BW110" s="9">
        <v>0</v>
      </c>
      <c r="BX110" s="9">
        <v>0</v>
      </c>
      <c r="BY110" s="9">
        <v>0</v>
      </c>
      <c r="BZ110" s="9">
        <v>0</v>
      </c>
      <c r="CA110" s="9">
        <v>0</v>
      </c>
      <c r="CB110" s="9">
        <v>0</v>
      </c>
      <c r="CC110" s="9">
        <v>0</v>
      </c>
      <c r="CD110" s="9">
        <v>0</v>
      </c>
      <c r="CE110" s="9">
        <v>0</v>
      </c>
      <c r="CF110" s="9">
        <v>0</v>
      </c>
      <c r="CG110" s="9">
        <v>0</v>
      </c>
      <c r="CH110" s="9">
        <v>0</v>
      </c>
      <c r="CI110" s="9">
        <v>0</v>
      </c>
      <c r="CJ110" s="9">
        <v>0</v>
      </c>
      <c r="CK110" s="9">
        <v>0</v>
      </c>
      <c r="CL110" s="9">
        <v>0</v>
      </c>
      <c r="CM110" s="9">
        <v>0</v>
      </c>
      <c r="CN110" s="9">
        <v>0</v>
      </c>
      <c r="CO110" s="9">
        <v>0</v>
      </c>
      <c r="CP110" s="9">
        <v>0</v>
      </c>
      <c r="CQ110" s="9">
        <v>0</v>
      </c>
      <c r="CR110" s="9">
        <v>0</v>
      </c>
      <c r="CS110" s="10">
        <v>0</v>
      </c>
    </row>
    <row r="111" spans="1:97" x14ac:dyDescent="0.35">
      <c r="A111" s="8" t="s">
        <v>73</v>
      </c>
      <c r="B111" s="9" t="s">
        <v>112</v>
      </c>
      <c r="C111" s="9" t="s">
        <v>732</v>
      </c>
      <c r="D111" s="9">
        <f t="shared" si="1"/>
        <v>167</v>
      </c>
      <c r="E111" s="9">
        <v>0</v>
      </c>
      <c r="F111" s="9">
        <v>0</v>
      </c>
      <c r="G111" s="9">
        <v>0</v>
      </c>
      <c r="H111" s="9">
        <v>0</v>
      </c>
      <c r="I111" s="9">
        <v>0</v>
      </c>
      <c r="J111" s="9">
        <v>0</v>
      </c>
      <c r="K111" s="9">
        <v>0</v>
      </c>
      <c r="L111" s="9">
        <v>0</v>
      </c>
      <c r="M111" s="9">
        <v>0</v>
      </c>
      <c r="N111" s="9">
        <v>0</v>
      </c>
      <c r="O111" s="9">
        <v>0</v>
      </c>
      <c r="P111" s="9">
        <v>0</v>
      </c>
      <c r="Q111" s="9">
        <v>0</v>
      </c>
      <c r="R111" s="9">
        <v>0</v>
      </c>
      <c r="S111" s="9">
        <v>1</v>
      </c>
      <c r="T111" s="9">
        <v>0</v>
      </c>
      <c r="U111" s="9">
        <v>0</v>
      </c>
      <c r="V111" s="9">
        <v>0</v>
      </c>
      <c r="W111" s="9">
        <v>0</v>
      </c>
      <c r="X111" s="9">
        <v>0</v>
      </c>
      <c r="Y111" s="9">
        <v>0</v>
      </c>
      <c r="Z111" s="9">
        <v>0</v>
      </c>
      <c r="AA111" s="9">
        <v>0</v>
      </c>
      <c r="AB111" s="9">
        <v>0</v>
      </c>
      <c r="AC111" s="9">
        <v>2</v>
      </c>
      <c r="AD111" s="9">
        <v>1</v>
      </c>
      <c r="AE111" s="9">
        <v>0</v>
      </c>
      <c r="AF111" s="9">
        <v>0</v>
      </c>
      <c r="AG111" s="9">
        <v>0</v>
      </c>
      <c r="AH111" s="9">
        <v>1</v>
      </c>
      <c r="AI111" s="9">
        <v>0</v>
      </c>
      <c r="AJ111" s="9">
        <v>0</v>
      </c>
      <c r="AK111" s="9">
        <v>0</v>
      </c>
      <c r="AL111" s="9">
        <v>0</v>
      </c>
      <c r="AM111" s="9">
        <v>0</v>
      </c>
      <c r="AN111" s="9">
        <v>3</v>
      </c>
      <c r="AO111" s="9">
        <v>0</v>
      </c>
      <c r="AP111" s="9">
        <v>0</v>
      </c>
      <c r="AQ111" s="9">
        <v>0</v>
      </c>
      <c r="AR111" s="9">
        <v>0</v>
      </c>
      <c r="AS111" s="9">
        <v>0</v>
      </c>
      <c r="AT111" s="9">
        <v>0</v>
      </c>
      <c r="AU111" s="9">
        <v>0</v>
      </c>
      <c r="AV111" s="9">
        <v>4</v>
      </c>
      <c r="AW111" s="9">
        <v>0</v>
      </c>
      <c r="AX111" s="9">
        <v>1</v>
      </c>
      <c r="AY111" s="9">
        <v>2</v>
      </c>
      <c r="AZ111" s="9">
        <v>1</v>
      </c>
      <c r="BA111" s="9">
        <v>0</v>
      </c>
      <c r="BB111" s="9">
        <v>1</v>
      </c>
      <c r="BC111" s="9">
        <v>6</v>
      </c>
      <c r="BD111" s="9">
        <v>3</v>
      </c>
      <c r="BE111" s="9">
        <v>3</v>
      </c>
      <c r="BF111" s="9">
        <v>2</v>
      </c>
      <c r="BG111" s="9">
        <v>1</v>
      </c>
      <c r="BH111" s="9">
        <v>0</v>
      </c>
      <c r="BI111" s="9">
        <v>3</v>
      </c>
      <c r="BJ111" s="9">
        <v>0</v>
      </c>
      <c r="BK111" s="9">
        <v>0</v>
      </c>
      <c r="BL111" s="9">
        <v>1</v>
      </c>
      <c r="BM111" s="9">
        <v>0</v>
      </c>
      <c r="BN111" s="9">
        <v>2</v>
      </c>
      <c r="BO111" s="9">
        <v>0</v>
      </c>
      <c r="BP111" s="9">
        <v>0</v>
      </c>
      <c r="BQ111" s="9">
        <v>0</v>
      </c>
      <c r="BR111" s="9">
        <v>4</v>
      </c>
      <c r="BS111" s="9">
        <v>1</v>
      </c>
      <c r="BT111" s="9">
        <v>14</v>
      </c>
      <c r="BU111" s="9">
        <v>7</v>
      </c>
      <c r="BV111" s="9">
        <v>2</v>
      </c>
      <c r="BW111" s="9">
        <v>5</v>
      </c>
      <c r="BX111" s="9">
        <v>5</v>
      </c>
      <c r="BY111" s="9">
        <v>3</v>
      </c>
      <c r="BZ111" s="9">
        <v>3</v>
      </c>
      <c r="CA111" s="9">
        <v>6</v>
      </c>
      <c r="CB111" s="9">
        <v>4</v>
      </c>
      <c r="CC111" s="9">
        <v>2</v>
      </c>
      <c r="CD111" s="9">
        <v>2</v>
      </c>
      <c r="CE111" s="9">
        <v>3</v>
      </c>
      <c r="CF111" s="9">
        <v>0</v>
      </c>
      <c r="CG111" s="9">
        <v>8</v>
      </c>
      <c r="CH111" s="9">
        <v>5</v>
      </c>
      <c r="CI111" s="9">
        <v>0</v>
      </c>
      <c r="CJ111" s="9">
        <v>8</v>
      </c>
      <c r="CK111" s="9">
        <v>2</v>
      </c>
      <c r="CL111" s="9">
        <v>4</v>
      </c>
      <c r="CM111" s="9">
        <v>4</v>
      </c>
      <c r="CN111" s="9">
        <v>1</v>
      </c>
      <c r="CO111" s="9">
        <v>8</v>
      </c>
      <c r="CP111" s="9">
        <v>16</v>
      </c>
      <c r="CQ111" s="9">
        <v>9</v>
      </c>
      <c r="CR111" s="9">
        <v>2</v>
      </c>
      <c r="CS111" s="10">
        <v>1</v>
      </c>
    </row>
    <row r="112" spans="1:97" x14ac:dyDescent="0.35">
      <c r="A112" s="8" t="s">
        <v>73</v>
      </c>
      <c r="B112" s="9" t="s">
        <v>114</v>
      </c>
      <c r="C112" s="9" t="s">
        <v>733</v>
      </c>
      <c r="D112" s="9">
        <f t="shared" si="1"/>
        <v>101</v>
      </c>
      <c r="E112" s="9">
        <v>0</v>
      </c>
      <c r="F112" s="9">
        <v>2</v>
      </c>
      <c r="G112" s="9">
        <v>0</v>
      </c>
      <c r="H112" s="9">
        <v>0</v>
      </c>
      <c r="I112" s="9">
        <v>1</v>
      </c>
      <c r="J112" s="9">
        <v>0</v>
      </c>
      <c r="K112" s="9">
        <v>0</v>
      </c>
      <c r="L112" s="9">
        <v>1</v>
      </c>
      <c r="M112" s="9">
        <v>1</v>
      </c>
      <c r="N112" s="9">
        <v>0</v>
      </c>
      <c r="O112" s="9">
        <v>2</v>
      </c>
      <c r="P112" s="9">
        <v>0</v>
      </c>
      <c r="Q112" s="9">
        <v>0</v>
      </c>
      <c r="R112" s="9">
        <v>0</v>
      </c>
      <c r="S112" s="9">
        <v>0</v>
      </c>
      <c r="T112" s="9">
        <v>0</v>
      </c>
      <c r="U112" s="9">
        <v>0</v>
      </c>
      <c r="V112" s="9">
        <v>0</v>
      </c>
      <c r="W112" s="9">
        <v>0</v>
      </c>
      <c r="X112" s="9">
        <v>3</v>
      </c>
      <c r="Y112" s="9">
        <v>0</v>
      </c>
      <c r="Z112" s="9">
        <v>0</v>
      </c>
      <c r="AA112" s="9">
        <v>0</v>
      </c>
      <c r="AB112" s="9">
        <v>0</v>
      </c>
      <c r="AC112" s="9">
        <v>0</v>
      </c>
      <c r="AD112" s="9">
        <v>0</v>
      </c>
      <c r="AE112" s="9">
        <v>0</v>
      </c>
      <c r="AF112" s="9">
        <v>1</v>
      </c>
      <c r="AG112" s="9">
        <v>1</v>
      </c>
      <c r="AH112" s="9">
        <v>0</v>
      </c>
      <c r="AI112" s="9">
        <v>0</v>
      </c>
      <c r="AJ112" s="9">
        <v>0</v>
      </c>
      <c r="AK112" s="9">
        <v>0</v>
      </c>
      <c r="AL112" s="9">
        <v>1</v>
      </c>
      <c r="AM112" s="9">
        <v>1</v>
      </c>
      <c r="AN112" s="9">
        <v>0</v>
      </c>
      <c r="AO112" s="9">
        <v>2</v>
      </c>
      <c r="AP112" s="9">
        <v>0</v>
      </c>
      <c r="AQ112" s="9">
        <v>1</v>
      </c>
      <c r="AR112" s="9">
        <v>0</v>
      </c>
      <c r="AS112" s="9">
        <v>0</v>
      </c>
      <c r="AT112" s="9">
        <v>0</v>
      </c>
      <c r="AU112" s="9">
        <v>0</v>
      </c>
      <c r="AV112" s="9">
        <v>0</v>
      </c>
      <c r="AW112" s="9">
        <v>0</v>
      </c>
      <c r="AX112" s="9">
        <v>0</v>
      </c>
      <c r="AY112" s="9">
        <v>0</v>
      </c>
      <c r="AZ112" s="9">
        <v>0</v>
      </c>
      <c r="BA112" s="9">
        <v>0</v>
      </c>
      <c r="BB112" s="9">
        <v>0</v>
      </c>
      <c r="BC112" s="9">
        <v>3</v>
      </c>
      <c r="BD112" s="9">
        <v>1</v>
      </c>
      <c r="BE112" s="9">
        <v>0</v>
      </c>
      <c r="BF112" s="9">
        <v>0</v>
      </c>
      <c r="BG112" s="9">
        <v>1</v>
      </c>
      <c r="BH112" s="9">
        <v>3</v>
      </c>
      <c r="BI112" s="9">
        <v>0</v>
      </c>
      <c r="BJ112" s="9">
        <v>1</v>
      </c>
      <c r="BK112" s="9">
        <v>0</v>
      </c>
      <c r="BL112" s="9">
        <v>2</v>
      </c>
      <c r="BM112" s="9">
        <v>2</v>
      </c>
      <c r="BN112" s="9">
        <v>1</v>
      </c>
      <c r="BO112" s="9">
        <v>0</v>
      </c>
      <c r="BP112" s="9">
        <v>2</v>
      </c>
      <c r="BQ112" s="9">
        <v>0</v>
      </c>
      <c r="BR112" s="9">
        <v>0</v>
      </c>
      <c r="BS112" s="9">
        <v>0</v>
      </c>
      <c r="BT112" s="9">
        <v>0</v>
      </c>
      <c r="BU112" s="9">
        <v>1</v>
      </c>
      <c r="BV112" s="9">
        <v>1</v>
      </c>
      <c r="BW112" s="9">
        <v>1</v>
      </c>
      <c r="BX112" s="9">
        <v>2</v>
      </c>
      <c r="BY112" s="9">
        <v>2</v>
      </c>
      <c r="BZ112" s="9">
        <v>3</v>
      </c>
      <c r="CA112" s="9">
        <v>3</v>
      </c>
      <c r="CB112" s="9">
        <v>1</v>
      </c>
      <c r="CC112" s="9">
        <v>1</v>
      </c>
      <c r="CD112" s="9">
        <v>1</v>
      </c>
      <c r="CE112" s="9">
        <v>3</v>
      </c>
      <c r="CF112" s="9">
        <v>0</v>
      </c>
      <c r="CG112" s="9">
        <v>0</v>
      </c>
      <c r="CH112" s="9">
        <v>0</v>
      </c>
      <c r="CI112" s="9">
        <v>1</v>
      </c>
      <c r="CJ112" s="9">
        <v>4</v>
      </c>
      <c r="CK112" s="9">
        <v>3</v>
      </c>
      <c r="CL112" s="9">
        <v>3</v>
      </c>
      <c r="CM112" s="9">
        <v>7</v>
      </c>
      <c r="CN112" s="9">
        <v>6</v>
      </c>
      <c r="CO112" s="9">
        <v>3</v>
      </c>
      <c r="CP112" s="9">
        <v>8</v>
      </c>
      <c r="CQ112" s="9">
        <v>2</v>
      </c>
      <c r="CR112" s="9">
        <v>7</v>
      </c>
      <c r="CS112" s="10">
        <v>5</v>
      </c>
    </row>
    <row r="113" spans="1:97" x14ac:dyDescent="0.35">
      <c r="A113" s="8" t="s">
        <v>73</v>
      </c>
      <c r="B113" s="9" t="s">
        <v>116</v>
      </c>
      <c r="C113" s="9" t="s">
        <v>734</v>
      </c>
      <c r="D113" s="9">
        <f t="shared" si="1"/>
        <v>70</v>
      </c>
      <c r="E113" s="9">
        <v>0</v>
      </c>
      <c r="F113" s="9">
        <v>0</v>
      </c>
      <c r="G113" s="9">
        <v>0</v>
      </c>
      <c r="H113" s="9">
        <v>0</v>
      </c>
      <c r="I113" s="9">
        <v>0</v>
      </c>
      <c r="J113" s="9">
        <v>0</v>
      </c>
      <c r="K113" s="9">
        <v>0</v>
      </c>
      <c r="L113" s="9">
        <v>0</v>
      </c>
      <c r="M113" s="9">
        <v>0</v>
      </c>
      <c r="N113" s="9">
        <v>0</v>
      </c>
      <c r="O113" s="9">
        <v>0</v>
      </c>
      <c r="P113" s="9">
        <v>0</v>
      </c>
      <c r="Q113" s="9">
        <v>0</v>
      </c>
      <c r="R113" s="9">
        <v>0</v>
      </c>
      <c r="S113" s="9">
        <v>0</v>
      </c>
      <c r="T113" s="9">
        <v>0</v>
      </c>
      <c r="U113" s="9">
        <v>0</v>
      </c>
      <c r="V113" s="9">
        <v>0</v>
      </c>
      <c r="W113" s="9">
        <v>0</v>
      </c>
      <c r="X113" s="9">
        <v>0</v>
      </c>
      <c r="Y113" s="9">
        <v>0</v>
      </c>
      <c r="Z113" s="9">
        <v>0</v>
      </c>
      <c r="AA113" s="9">
        <v>1</v>
      </c>
      <c r="AB113" s="9">
        <v>0</v>
      </c>
      <c r="AC113" s="9">
        <v>0</v>
      </c>
      <c r="AD113" s="9">
        <v>0</v>
      </c>
      <c r="AE113" s="9">
        <v>0</v>
      </c>
      <c r="AF113" s="9">
        <v>0</v>
      </c>
      <c r="AG113" s="9">
        <v>0</v>
      </c>
      <c r="AH113" s="9">
        <v>0</v>
      </c>
      <c r="AI113" s="9">
        <v>0</v>
      </c>
      <c r="AJ113" s="9">
        <v>0</v>
      </c>
      <c r="AK113" s="9">
        <v>0</v>
      </c>
      <c r="AL113" s="9">
        <v>0</v>
      </c>
      <c r="AM113" s="9">
        <v>0</v>
      </c>
      <c r="AN113" s="9">
        <v>0</v>
      </c>
      <c r="AO113" s="9">
        <v>0</v>
      </c>
      <c r="AP113" s="9">
        <v>0</v>
      </c>
      <c r="AQ113" s="9">
        <v>0</v>
      </c>
      <c r="AR113" s="9">
        <v>0</v>
      </c>
      <c r="AS113" s="9">
        <v>1</v>
      </c>
      <c r="AT113" s="9">
        <v>0</v>
      </c>
      <c r="AU113" s="9">
        <v>0</v>
      </c>
      <c r="AV113" s="9">
        <v>0</v>
      </c>
      <c r="AW113" s="9">
        <v>0</v>
      </c>
      <c r="AX113" s="9">
        <v>0</v>
      </c>
      <c r="AY113" s="9">
        <v>0</v>
      </c>
      <c r="AZ113" s="9">
        <v>0</v>
      </c>
      <c r="BA113" s="9">
        <v>0</v>
      </c>
      <c r="BB113" s="9">
        <v>0</v>
      </c>
      <c r="BC113" s="9">
        <v>0</v>
      </c>
      <c r="BD113" s="9">
        <v>0</v>
      </c>
      <c r="BE113" s="9">
        <v>0</v>
      </c>
      <c r="BF113" s="9">
        <v>0</v>
      </c>
      <c r="BG113" s="9">
        <v>0</v>
      </c>
      <c r="BH113" s="9">
        <v>0</v>
      </c>
      <c r="BI113" s="9">
        <v>0</v>
      </c>
      <c r="BJ113" s="9">
        <v>0</v>
      </c>
      <c r="BK113" s="9">
        <v>0</v>
      </c>
      <c r="BL113" s="9">
        <v>0</v>
      </c>
      <c r="BM113" s="9">
        <v>0</v>
      </c>
      <c r="BN113" s="9">
        <v>0</v>
      </c>
      <c r="BO113" s="9">
        <v>0</v>
      </c>
      <c r="BP113" s="9">
        <v>0</v>
      </c>
      <c r="BQ113" s="9">
        <v>0</v>
      </c>
      <c r="BR113" s="9">
        <v>0</v>
      </c>
      <c r="BS113" s="9">
        <v>0</v>
      </c>
      <c r="BT113" s="9">
        <v>0</v>
      </c>
      <c r="BU113" s="9">
        <v>0</v>
      </c>
      <c r="BV113" s="9">
        <v>0</v>
      </c>
      <c r="BW113" s="9">
        <v>0</v>
      </c>
      <c r="BX113" s="9">
        <v>0</v>
      </c>
      <c r="BY113" s="9">
        <v>1</v>
      </c>
      <c r="BZ113" s="9">
        <v>1</v>
      </c>
      <c r="CA113" s="9">
        <v>0</v>
      </c>
      <c r="CB113" s="9">
        <v>0</v>
      </c>
      <c r="CC113" s="9">
        <v>4</v>
      </c>
      <c r="CD113" s="9">
        <v>6</v>
      </c>
      <c r="CE113" s="9">
        <v>5</v>
      </c>
      <c r="CF113" s="9">
        <v>3</v>
      </c>
      <c r="CG113" s="9">
        <v>5</v>
      </c>
      <c r="CH113" s="9">
        <v>13</v>
      </c>
      <c r="CI113" s="9">
        <v>5</v>
      </c>
      <c r="CJ113" s="9">
        <v>5</v>
      </c>
      <c r="CK113" s="9">
        <v>6</v>
      </c>
      <c r="CL113" s="9">
        <v>0</v>
      </c>
      <c r="CM113" s="9">
        <v>3</v>
      </c>
      <c r="CN113" s="9">
        <v>2</v>
      </c>
      <c r="CO113" s="9">
        <v>0</v>
      </c>
      <c r="CP113" s="9">
        <v>0</v>
      </c>
      <c r="CQ113" s="9">
        <v>5</v>
      </c>
      <c r="CR113" s="9">
        <v>3</v>
      </c>
      <c r="CS113" s="10">
        <v>1</v>
      </c>
    </row>
    <row r="114" spans="1:97" x14ac:dyDescent="0.35">
      <c r="A114" s="8" t="s">
        <v>73</v>
      </c>
      <c r="B114" s="9" t="s">
        <v>118</v>
      </c>
      <c r="C114" s="9" t="s">
        <v>735</v>
      </c>
      <c r="D114" s="9">
        <f t="shared" si="1"/>
        <v>88</v>
      </c>
      <c r="E114" s="9">
        <v>0</v>
      </c>
      <c r="F114" s="9">
        <v>1</v>
      </c>
      <c r="G114" s="9">
        <v>0</v>
      </c>
      <c r="H114" s="9">
        <v>0</v>
      </c>
      <c r="I114" s="9">
        <v>1</v>
      </c>
      <c r="J114" s="9">
        <v>0</v>
      </c>
      <c r="K114" s="9">
        <v>0</v>
      </c>
      <c r="L114" s="9">
        <v>0</v>
      </c>
      <c r="M114" s="9">
        <v>1</v>
      </c>
      <c r="N114" s="9">
        <v>0</v>
      </c>
      <c r="O114" s="9">
        <v>0</v>
      </c>
      <c r="P114" s="9">
        <v>0</v>
      </c>
      <c r="Q114" s="9">
        <v>0</v>
      </c>
      <c r="R114" s="9">
        <v>0</v>
      </c>
      <c r="S114" s="9">
        <v>0</v>
      </c>
      <c r="T114" s="9">
        <v>0</v>
      </c>
      <c r="U114" s="9">
        <v>0</v>
      </c>
      <c r="V114" s="9">
        <v>0</v>
      </c>
      <c r="W114" s="9">
        <v>0</v>
      </c>
      <c r="X114" s="9">
        <v>0</v>
      </c>
      <c r="Y114" s="9">
        <v>0</v>
      </c>
      <c r="Z114" s="9">
        <v>0</v>
      </c>
      <c r="AA114" s="9">
        <v>0</v>
      </c>
      <c r="AB114" s="9">
        <v>0</v>
      </c>
      <c r="AC114" s="9">
        <v>0</v>
      </c>
      <c r="AD114" s="9">
        <v>0</v>
      </c>
      <c r="AE114" s="9">
        <v>0</v>
      </c>
      <c r="AF114" s="9">
        <v>0</v>
      </c>
      <c r="AG114" s="9">
        <v>0</v>
      </c>
      <c r="AH114" s="9">
        <v>0</v>
      </c>
      <c r="AI114" s="9">
        <v>0</v>
      </c>
      <c r="AJ114" s="9">
        <v>0</v>
      </c>
      <c r="AK114" s="9">
        <v>0</v>
      </c>
      <c r="AL114" s="9">
        <v>0</v>
      </c>
      <c r="AM114" s="9">
        <v>0</v>
      </c>
      <c r="AN114" s="9">
        <v>2</v>
      </c>
      <c r="AO114" s="9">
        <v>0</v>
      </c>
      <c r="AP114" s="9">
        <v>1</v>
      </c>
      <c r="AQ114" s="9">
        <v>1</v>
      </c>
      <c r="AR114" s="9">
        <v>0</v>
      </c>
      <c r="AS114" s="9">
        <v>0</v>
      </c>
      <c r="AT114" s="9">
        <v>0</v>
      </c>
      <c r="AU114" s="9">
        <v>0</v>
      </c>
      <c r="AV114" s="9">
        <v>0</v>
      </c>
      <c r="AW114" s="9">
        <v>0</v>
      </c>
      <c r="AX114" s="9">
        <v>0</v>
      </c>
      <c r="AY114" s="9">
        <v>0</v>
      </c>
      <c r="AZ114" s="9">
        <v>1</v>
      </c>
      <c r="BA114" s="9">
        <v>0</v>
      </c>
      <c r="BB114" s="9">
        <v>1</v>
      </c>
      <c r="BC114" s="9">
        <v>0</v>
      </c>
      <c r="BD114" s="9">
        <v>3</v>
      </c>
      <c r="BE114" s="9">
        <v>2</v>
      </c>
      <c r="BF114" s="9">
        <v>3</v>
      </c>
      <c r="BG114" s="9">
        <v>2</v>
      </c>
      <c r="BH114" s="9">
        <v>1</v>
      </c>
      <c r="BI114" s="9">
        <v>0</v>
      </c>
      <c r="BJ114" s="9">
        <v>0</v>
      </c>
      <c r="BK114" s="9">
        <v>0</v>
      </c>
      <c r="BL114" s="9">
        <v>1</v>
      </c>
      <c r="BM114" s="9">
        <v>0</v>
      </c>
      <c r="BN114" s="9">
        <v>0</v>
      </c>
      <c r="BO114" s="9">
        <v>0</v>
      </c>
      <c r="BP114" s="9">
        <v>2</v>
      </c>
      <c r="BQ114" s="9">
        <v>0</v>
      </c>
      <c r="BR114" s="9">
        <v>1</v>
      </c>
      <c r="BS114" s="9">
        <v>0</v>
      </c>
      <c r="BT114" s="9">
        <v>0</v>
      </c>
      <c r="BU114" s="9">
        <v>0</v>
      </c>
      <c r="BV114" s="9">
        <v>0</v>
      </c>
      <c r="BW114" s="9">
        <v>1</v>
      </c>
      <c r="BX114" s="9">
        <v>1</v>
      </c>
      <c r="BY114" s="9">
        <v>0</v>
      </c>
      <c r="BZ114" s="9">
        <v>1</v>
      </c>
      <c r="CA114" s="9">
        <v>3</v>
      </c>
      <c r="CB114" s="9">
        <v>3</v>
      </c>
      <c r="CC114" s="9">
        <v>0</v>
      </c>
      <c r="CD114" s="9">
        <v>1</v>
      </c>
      <c r="CE114" s="9">
        <v>2</v>
      </c>
      <c r="CF114" s="9">
        <v>0</v>
      </c>
      <c r="CG114" s="9">
        <v>2</v>
      </c>
      <c r="CH114" s="9">
        <v>2</v>
      </c>
      <c r="CI114" s="9">
        <v>3</v>
      </c>
      <c r="CJ114" s="9">
        <v>0</v>
      </c>
      <c r="CK114" s="9">
        <v>2</v>
      </c>
      <c r="CL114" s="9">
        <v>4</v>
      </c>
      <c r="CM114" s="9">
        <v>3</v>
      </c>
      <c r="CN114" s="9">
        <v>4</v>
      </c>
      <c r="CO114" s="9">
        <v>4</v>
      </c>
      <c r="CP114" s="9">
        <v>9</v>
      </c>
      <c r="CQ114" s="9">
        <v>4</v>
      </c>
      <c r="CR114" s="9">
        <v>11</v>
      </c>
      <c r="CS114" s="10">
        <v>4</v>
      </c>
    </row>
    <row r="115" spans="1:97" x14ac:dyDescent="0.35">
      <c r="A115" s="8" t="s">
        <v>73</v>
      </c>
      <c r="B115" s="9" t="s">
        <v>120</v>
      </c>
      <c r="C115" s="9" t="s">
        <v>736</v>
      </c>
      <c r="D115" s="9">
        <f t="shared" si="1"/>
        <v>476</v>
      </c>
      <c r="E115" s="9">
        <v>1</v>
      </c>
      <c r="F115" s="9">
        <v>2</v>
      </c>
      <c r="G115" s="9">
        <v>1</v>
      </c>
      <c r="H115" s="9">
        <v>0</v>
      </c>
      <c r="I115" s="9">
        <v>0</v>
      </c>
      <c r="J115" s="9">
        <v>0</v>
      </c>
      <c r="K115" s="9">
        <v>0</v>
      </c>
      <c r="L115" s="9">
        <v>1</v>
      </c>
      <c r="M115" s="9">
        <v>2</v>
      </c>
      <c r="N115" s="9">
        <v>1</v>
      </c>
      <c r="O115" s="9">
        <v>2</v>
      </c>
      <c r="P115" s="9">
        <v>0</v>
      </c>
      <c r="Q115" s="9">
        <v>1</v>
      </c>
      <c r="R115" s="9">
        <v>1</v>
      </c>
      <c r="S115" s="9">
        <v>0</v>
      </c>
      <c r="T115" s="9">
        <v>1</v>
      </c>
      <c r="U115" s="9">
        <v>0</v>
      </c>
      <c r="V115" s="9">
        <v>1</v>
      </c>
      <c r="W115" s="9">
        <v>1</v>
      </c>
      <c r="X115" s="9">
        <v>2</v>
      </c>
      <c r="Y115" s="9">
        <v>0</v>
      </c>
      <c r="Z115" s="9">
        <v>0</v>
      </c>
      <c r="AA115" s="9">
        <v>2</v>
      </c>
      <c r="AB115" s="9">
        <v>0</v>
      </c>
      <c r="AC115" s="9">
        <v>2</v>
      </c>
      <c r="AD115" s="9">
        <v>0</v>
      </c>
      <c r="AE115" s="9">
        <v>0</v>
      </c>
      <c r="AF115" s="9">
        <v>4</v>
      </c>
      <c r="AG115" s="9">
        <v>4</v>
      </c>
      <c r="AH115" s="9">
        <v>0</v>
      </c>
      <c r="AI115" s="9">
        <v>2</v>
      </c>
      <c r="AJ115" s="9">
        <v>1</v>
      </c>
      <c r="AK115" s="9">
        <v>4</v>
      </c>
      <c r="AL115" s="9">
        <v>2</v>
      </c>
      <c r="AM115" s="9">
        <v>0</v>
      </c>
      <c r="AN115" s="9">
        <v>4</v>
      </c>
      <c r="AO115" s="9">
        <v>2</v>
      </c>
      <c r="AP115" s="9">
        <v>0</v>
      </c>
      <c r="AQ115" s="9">
        <v>0</v>
      </c>
      <c r="AR115" s="9">
        <v>1</v>
      </c>
      <c r="AS115" s="9">
        <v>2</v>
      </c>
      <c r="AT115" s="9">
        <v>1</v>
      </c>
      <c r="AU115" s="9">
        <v>3</v>
      </c>
      <c r="AV115" s="9">
        <v>7</v>
      </c>
      <c r="AW115" s="9">
        <v>4</v>
      </c>
      <c r="AX115" s="9">
        <v>6</v>
      </c>
      <c r="AY115" s="9">
        <v>3</v>
      </c>
      <c r="AZ115" s="9">
        <v>3</v>
      </c>
      <c r="BA115" s="9">
        <v>13</v>
      </c>
      <c r="BB115" s="9">
        <v>4</v>
      </c>
      <c r="BC115" s="9">
        <v>4</v>
      </c>
      <c r="BD115" s="9">
        <v>5</v>
      </c>
      <c r="BE115" s="9">
        <v>5</v>
      </c>
      <c r="BF115" s="9">
        <v>5</v>
      </c>
      <c r="BG115" s="9">
        <v>6</v>
      </c>
      <c r="BH115" s="9">
        <v>7</v>
      </c>
      <c r="BI115" s="9">
        <v>3</v>
      </c>
      <c r="BJ115" s="9">
        <v>6</v>
      </c>
      <c r="BK115" s="9">
        <v>2</v>
      </c>
      <c r="BL115" s="9">
        <v>8</v>
      </c>
      <c r="BM115" s="9">
        <v>7</v>
      </c>
      <c r="BN115" s="9">
        <v>5</v>
      </c>
      <c r="BO115" s="9">
        <v>4</v>
      </c>
      <c r="BP115" s="9">
        <v>7</v>
      </c>
      <c r="BQ115" s="9">
        <v>0</v>
      </c>
      <c r="BR115" s="9">
        <v>7</v>
      </c>
      <c r="BS115" s="9">
        <v>2</v>
      </c>
      <c r="BT115" s="9">
        <v>3</v>
      </c>
      <c r="BU115" s="9">
        <v>5</v>
      </c>
      <c r="BV115" s="9">
        <v>8</v>
      </c>
      <c r="BW115" s="9">
        <v>8</v>
      </c>
      <c r="BX115" s="9">
        <v>8</v>
      </c>
      <c r="BY115" s="9">
        <v>11</v>
      </c>
      <c r="BZ115" s="9">
        <v>3</v>
      </c>
      <c r="CA115" s="9">
        <v>14</v>
      </c>
      <c r="CB115" s="9">
        <v>12</v>
      </c>
      <c r="CC115" s="9">
        <v>6</v>
      </c>
      <c r="CD115" s="9">
        <v>10</v>
      </c>
      <c r="CE115" s="9">
        <v>3</v>
      </c>
      <c r="CF115" s="9">
        <v>7</v>
      </c>
      <c r="CG115" s="9">
        <v>13</v>
      </c>
      <c r="CH115" s="9">
        <v>15</v>
      </c>
      <c r="CI115" s="9">
        <v>21</v>
      </c>
      <c r="CJ115" s="9">
        <v>15</v>
      </c>
      <c r="CK115" s="9">
        <v>14</v>
      </c>
      <c r="CL115" s="9">
        <v>11</v>
      </c>
      <c r="CM115" s="9">
        <v>31</v>
      </c>
      <c r="CN115" s="9">
        <v>13</v>
      </c>
      <c r="CO115" s="9">
        <v>11</v>
      </c>
      <c r="CP115" s="9">
        <v>12</v>
      </c>
      <c r="CQ115" s="9">
        <v>13</v>
      </c>
      <c r="CR115" s="9">
        <v>11</v>
      </c>
      <c r="CS115" s="10">
        <v>24</v>
      </c>
    </row>
    <row r="116" spans="1:97" x14ac:dyDescent="0.35">
      <c r="A116" s="8" t="s">
        <v>73</v>
      </c>
      <c r="B116" s="9" t="s">
        <v>122</v>
      </c>
      <c r="C116" s="9" t="s">
        <v>737</v>
      </c>
      <c r="D116" s="9">
        <f t="shared" si="1"/>
        <v>95</v>
      </c>
      <c r="E116" s="9">
        <v>0</v>
      </c>
      <c r="F116" s="9">
        <v>1</v>
      </c>
      <c r="G116" s="9">
        <v>0</v>
      </c>
      <c r="H116" s="9">
        <v>0</v>
      </c>
      <c r="I116" s="9">
        <v>1</v>
      </c>
      <c r="J116" s="9">
        <v>1</v>
      </c>
      <c r="K116" s="9">
        <v>1</v>
      </c>
      <c r="L116" s="9">
        <v>0</v>
      </c>
      <c r="M116" s="9">
        <v>0</v>
      </c>
      <c r="N116" s="9">
        <v>0</v>
      </c>
      <c r="O116" s="9">
        <v>1</v>
      </c>
      <c r="P116" s="9">
        <v>1</v>
      </c>
      <c r="Q116" s="9">
        <v>0</v>
      </c>
      <c r="R116" s="9">
        <v>0</v>
      </c>
      <c r="S116" s="9">
        <v>1</v>
      </c>
      <c r="T116" s="9">
        <v>2</v>
      </c>
      <c r="U116" s="9">
        <v>1</v>
      </c>
      <c r="V116" s="9">
        <v>0</v>
      </c>
      <c r="W116" s="9">
        <v>0</v>
      </c>
      <c r="X116" s="9">
        <v>0</v>
      </c>
      <c r="Y116" s="9">
        <v>0</v>
      </c>
      <c r="Z116" s="9">
        <v>0</v>
      </c>
      <c r="AA116" s="9">
        <v>1</v>
      </c>
      <c r="AB116" s="9">
        <v>0</v>
      </c>
      <c r="AC116" s="9">
        <v>0</v>
      </c>
      <c r="AD116" s="9">
        <v>1</v>
      </c>
      <c r="AE116" s="9">
        <v>0</v>
      </c>
      <c r="AF116" s="9">
        <v>0</v>
      </c>
      <c r="AG116" s="9">
        <v>0</v>
      </c>
      <c r="AH116" s="9">
        <v>0</v>
      </c>
      <c r="AI116" s="9">
        <v>0</v>
      </c>
      <c r="AJ116" s="9">
        <v>0</v>
      </c>
      <c r="AK116" s="9">
        <v>0</v>
      </c>
      <c r="AL116" s="9">
        <v>1</v>
      </c>
      <c r="AM116" s="9">
        <v>3</v>
      </c>
      <c r="AN116" s="9">
        <v>3</v>
      </c>
      <c r="AO116" s="9">
        <v>0</v>
      </c>
      <c r="AP116" s="9">
        <v>0</v>
      </c>
      <c r="AQ116" s="9">
        <v>0</v>
      </c>
      <c r="AR116" s="9">
        <v>0</v>
      </c>
      <c r="AS116" s="9">
        <v>0</v>
      </c>
      <c r="AT116" s="9">
        <v>0</v>
      </c>
      <c r="AU116" s="9">
        <v>0</v>
      </c>
      <c r="AV116" s="9">
        <v>0</v>
      </c>
      <c r="AW116" s="9">
        <v>0</v>
      </c>
      <c r="AX116" s="9">
        <v>0</v>
      </c>
      <c r="AY116" s="9">
        <v>0</v>
      </c>
      <c r="AZ116" s="9">
        <v>1</v>
      </c>
      <c r="BA116" s="9">
        <v>4</v>
      </c>
      <c r="BB116" s="9">
        <v>0</v>
      </c>
      <c r="BC116" s="9">
        <v>0</v>
      </c>
      <c r="BD116" s="9">
        <v>2</v>
      </c>
      <c r="BE116" s="9">
        <v>2</v>
      </c>
      <c r="BF116" s="9">
        <v>1</v>
      </c>
      <c r="BG116" s="9">
        <v>0</v>
      </c>
      <c r="BH116" s="9">
        <v>0</v>
      </c>
      <c r="BI116" s="9">
        <v>0</v>
      </c>
      <c r="BJ116" s="9">
        <v>0</v>
      </c>
      <c r="BK116" s="9">
        <v>1</v>
      </c>
      <c r="BL116" s="9">
        <v>0</v>
      </c>
      <c r="BM116" s="9">
        <v>0</v>
      </c>
      <c r="BN116" s="9">
        <v>3</v>
      </c>
      <c r="BO116" s="9">
        <v>0</v>
      </c>
      <c r="BP116" s="9">
        <v>1</v>
      </c>
      <c r="BQ116" s="9">
        <v>1</v>
      </c>
      <c r="BR116" s="9">
        <v>2</v>
      </c>
      <c r="BS116" s="9">
        <v>0</v>
      </c>
      <c r="BT116" s="9">
        <v>0</v>
      </c>
      <c r="BU116" s="9">
        <v>1</v>
      </c>
      <c r="BV116" s="9">
        <v>0</v>
      </c>
      <c r="BW116" s="9">
        <v>1</v>
      </c>
      <c r="BX116" s="9">
        <v>0</v>
      </c>
      <c r="BY116" s="9">
        <v>1</v>
      </c>
      <c r="BZ116" s="9">
        <v>3</v>
      </c>
      <c r="CA116" s="9">
        <v>5</v>
      </c>
      <c r="CB116" s="9">
        <v>2</v>
      </c>
      <c r="CC116" s="9">
        <v>0</v>
      </c>
      <c r="CD116" s="9">
        <v>1</v>
      </c>
      <c r="CE116" s="9">
        <v>2</v>
      </c>
      <c r="CF116" s="9">
        <v>3</v>
      </c>
      <c r="CG116" s="9">
        <v>3</v>
      </c>
      <c r="CH116" s="9">
        <v>8</v>
      </c>
      <c r="CI116" s="9">
        <v>12</v>
      </c>
      <c r="CJ116" s="9">
        <v>5</v>
      </c>
      <c r="CK116" s="9">
        <v>1</v>
      </c>
      <c r="CL116" s="9">
        <v>3</v>
      </c>
      <c r="CM116" s="9">
        <v>2</v>
      </c>
      <c r="CN116" s="9">
        <v>0</v>
      </c>
      <c r="CO116" s="9">
        <v>1</v>
      </c>
      <c r="CP116" s="9">
        <v>1</v>
      </c>
      <c r="CQ116" s="9">
        <v>0</v>
      </c>
      <c r="CR116" s="9">
        <v>0</v>
      </c>
      <c r="CS116" s="10">
        <v>3</v>
      </c>
    </row>
    <row r="117" spans="1:97" x14ac:dyDescent="0.35">
      <c r="A117" s="8" t="s">
        <v>73</v>
      </c>
      <c r="B117" s="9" t="s">
        <v>124</v>
      </c>
      <c r="C117" s="9" t="s">
        <v>738</v>
      </c>
      <c r="D117" s="9">
        <f t="shared" si="1"/>
        <v>161</v>
      </c>
      <c r="E117" s="9">
        <v>0</v>
      </c>
      <c r="F117" s="9">
        <v>0</v>
      </c>
      <c r="G117" s="9">
        <v>0</v>
      </c>
      <c r="H117" s="9">
        <v>1</v>
      </c>
      <c r="I117" s="9">
        <v>0</v>
      </c>
      <c r="J117" s="9">
        <v>0</v>
      </c>
      <c r="K117" s="9">
        <v>0</v>
      </c>
      <c r="L117" s="9">
        <v>0</v>
      </c>
      <c r="M117" s="9">
        <v>0</v>
      </c>
      <c r="N117" s="9">
        <v>1</v>
      </c>
      <c r="O117" s="9">
        <v>2</v>
      </c>
      <c r="P117" s="9">
        <v>0</v>
      </c>
      <c r="Q117" s="9">
        <v>0</v>
      </c>
      <c r="R117" s="9">
        <v>0</v>
      </c>
      <c r="S117" s="9">
        <v>0</v>
      </c>
      <c r="T117" s="9">
        <v>1</v>
      </c>
      <c r="U117" s="9">
        <v>0</v>
      </c>
      <c r="V117" s="9">
        <v>1</v>
      </c>
      <c r="W117" s="9">
        <v>0</v>
      </c>
      <c r="X117" s="9">
        <v>0</v>
      </c>
      <c r="Y117" s="9">
        <v>0</v>
      </c>
      <c r="Z117" s="9">
        <v>0</v>
      </c>
      <c r="AA117" s="9">
        <v>0</v>
      </c>
      <c r="AB117" s="9">
        <v>1</v>
      </c>
      <c r="AC117" s="9">
        <v>1</v>
      </c>
      <c r="AD117" s="9">
        <v>1</v>
      </c>
      <c r="AE117" s="9">
        <v>0</v>
      </c>
      <c r="AF117" s="9">
        <v>0</v>
      </c>
      <c r="AG117" s="9">
        <v>0</v>
      </c>
      <c r="AH117" s="9">
        <v>0</v>
      </c>
      <c r="AI117" s="9">
        <v>0</v>
      </c>
      <c r="AJ117" s="9">
        <v>0</v>
      </c>
      <c r="AK117" s="9">
        <v>2</v>
      </c>
      <c r="AL117" s="9">
        <v>0</v>
      </c>
      <c r="AM117" s="9">
        <v>0</v>
      </c>
      <c r="AN117" s="9">
        <v>1</v>
      </c>
      <c r="AO117" s="9">
        <v>0</v>
      </c>
      <c r="AP117" s="9">
        <v>0</v>
      </c>
      <c r="AQ117" s="9">
        <v>0</v>
      </c>
      <c r="AR117" s="9">
        <v>4</v>
      </c>
      <c r="AS117" s="9">
        <v>2</v>
      </c>
      <c r="AT117" s="9">
        <v>1</v>
      </c>
      <c r="AU117" s="9">
        <v>5</v>
      </c>
      <c r="AV117" s="9">
        <v>0</v>
      </c>
      <c r="AW117" s="9">
        <v>2</v>
      </c>
      <c r="AX117" s="9">
        <v>1</v>
      </c>
      <c r="AY117" s="9">
        <v>0</v>
      </c>
      <c r="AZ117" s="9">
        <v>1</v>
      </c>
      <c r="BA117" s="9">
        <v>2</v>
      </c>
      <c r="BB117" s="9">
        <v>1</v>
      </c>
      <c r="BC117" s="9">
        <v>3</v>
      </c>
      <c r="BD117" s="9">
        <v>2</v>
      </c>
      <c r="BE117" s="9">
        <v>1</v>
      </c>
      <c r="BF117" s="9">
        <v>0</v>
      </c>
      <c r="BG117" s="9">
        <v>2</v>
      </c>
      <c r="BH117" s="9">
        <v>1</v>
      </c>
      <c r="BI117" s="9">
        <v>2</v>
      </c>
      <c r="BJ117" s="9">
        <v>2</v>
      </c>
      <c r="BK117" s="9">
        <v>0</v>
      </c>
      <c r="BL117" s="9">
        <v>3</v>
      </c>
      <c r="BM117" s="9">
        <v>3</v>
      </c>
      <c r="BN117" s="9">
        <v>2</v>
      </c>
      <c r="BO117" s="9">
        <v>1</v>
      </c>
      <c r="BP117" s="9">
        <v>2</v>
      </c>
      <c r="BQ117" s="9">
        <v>0</v>
      </c>
      <c r="BR117" s="9">
        <v>1</v>
      </c>
      <c r="BS117" s="9">
        <v>3</v>
      </c>
      <c r="BT117" s="9">
        <v>0</v>
      </c>
      <c r="BU117" s="9">
        <v>2</v>
      </c>
      <c r="BV117" s="9">
        <v>0</v>
      </c>
      <c r="BW117" s="9">
        <v>4</v>
      </c>
      <c r="BX117" s="9">
        <v>1</v>
      </c>
      <c r="BY117" s="9">
        <v>1</v>
      </c>
      <c r="BZ117" s="9">
        <v>5</v>
      </c>
      <c r="CA117" s="9">
        <v>3</v>
      </c>
      <c r="CB117" s="9">
        <v>3</v>
      </c>
      <c r="CC117" s="9">
        <v>4</v>
      </c>
      <c r="CD117" s="9">
        <v>7</v>
      </c>
      <c r="CE117" s="9">
        <v>3</v>
      </c>
      <c r="CF117" s="9">
        <v>2</v>
      </c>
      <c r="CG117" s="9">
        <v>7</v>
      </c>
      <c r="CH117" s="9">
        <v>1</v>
      </c>
      <c r="CI117" s="9">
        <v>8</v>
      </c>
      <c r="CJ117" s="9">
        <v>7</v>
      </c>
      <c r="CK117" s="9">
        <v>4</v>
      </c>
      <c r="CL117" s="9">
        <v>2</v>
      </c>
      <c r="CM117" s="9">
        <v>10</v>
      </c>
      <c r="CN117" s="9">
        <v>5</v>
      </c>
      <c r="CO117" s="9">
        <v>6</v>
      </c>
      <c r="CP117" s="9">
        <v>6</v>
      </c>
      <c r="CQ117" s="9">
        <v>2</v>
      </c>
      <c r="CR117" s="9">
        <v>3</v>
      </c>
      <c r="CS117" s="10">
        <v>6</v>
      </c>
    </row>
    <row r="118" spans="1:97" x14ac:dyDescent="0.35">
      <c r="A118" s="8" t="s">
        <v>73</v>
      </c>
      <c r="B118" s="9" t="s">
        <v>126</v>
      </c>
      <c r="C118" s="9" t="s">
        <v>739</v>
      </c>
      <c r="D118" s="9">
        <f t="shared" si="1"/>
        <v>74</v>
      </c>
      <c r="E118" s="9">
        <v>0</v>
      </c>
      <c r="F118" s="9">
        <v>0</v>
      </c>
      <c r="G118" s="9">
        <v>0</v>
      </c>
      <c r="H118" s="9">
        <v>0</v>
      </c>
      <c r="I118" s="9">
        <v>0</v>
      </c>
      <c r="J118" s="9">
        <v>0</v>
      </c>
      <c r="K118" s="9">
        <v>0</v>
      </c>
      <c r="L118" s="9">
        <v>0</v>
      </c>
      <c r="M118" s="9">
        <v>0</v>
      </c>
      <c r="N118" s="9">
        <v>0</v>
      </c>
      <c r="O118" s="9">
        <v>0</v>
      </c>
      <c r="P118" s="9">
        <v>0</v>
      </c>
      <c r="Q118" s="9">
        <v>0</v>
      </c>
      <c r="R118" s="9">
        <v>1</v>
      </c>
      <c r="S118" s="9">
        <v>0</v>
      </c>
      <c r="T118" s="9">
        <v>0</v>
      </c>
      <c r="U118" s="9">
        <v>0</v>
      </c>
      <c r="V118" s="9">
        <v>0</v>
      </c>
      <c r="W118" s="9">
        <v>0</v>
      </c>
      <c r="X118" s="9">
        <v>0</v>
      </c>
      <c r="Y118" s="9">
        <v>0</v>
      </c>
      <c r="Z118" s="9">
        <v>0</v>
      </c>
      <c r="AA118" s="9">
        <v>0</v>
      </c>
      <c r="AB118" s="9">
        <v>0</v>
      </c>
      <c r="AC118" s="9">
        <v>0</v>
      </c>
      <c r="AD118" s="9">
        <v>0</v>
      </c>
      <c r="AE118" s="9">
        <v>0</v>
      </c>
      <c r="AF118" s="9">
        <v>0</v>
      </c>
      <c r="AG118" s="9">
        <v>0</v>
      </c>
      <c r="AH118" s="9">
        <v>0</v>
      </c>
      <c r="AI118" s="9">
        <v>1</v>
      </c>
      <c r="AJ118" s="9">
        <v>0</v>
      </c>
      <c r="AK118" s="9">
        <v>0</v>
      </c>
      <c r="AL118" s="9">
        <v>0</v>
      </c>
      <c r="AM118" s="9">
        <v>0</v>
      </c>
      <c r="AN118" s="9">
        <v>0</v>
      </c>
      <c r="AO118" s="9">
        <v>0</v>
      </c>
      <c r="AP118" s="9">
        <v>0</v>
      </c>
      <c r="AQ118" s="9">
        <v>0</v>
      </c>
      <c r="AR118" s="9">
        <v>0</v>
      </c>
      <c r="AS118" s="9">
        <v>0</v>
      </c>
      <c r="AT118" s="9">
        <v>0</v>
      </c>
      <c r="AU118" s="9">
        <v>0</v>
      </c>
      <c r="AV118" s="9">
        <v>0</v>
      </c>
      <c r="AW118" s="9">
        <v>3</v>
      </c>
      <c r="AX118" s="9">
        <v>2</v>
      </c>
      <c r="AY118" s="9">
        <v>0</v>
      </c>
      <c r="AZ118" s="9">
        <v>1</v>
      </c>
      <c r="BA118" s="9">
        <v>0</v>
      </c>
      <c r="BB118" s="9">
        <v>1</v>
      </c>
      <c r="BC118" s="9">
        <v>0</v>
      </c>
      <c r="BD118" s="9">
        <v>0</v>
      </c>
      <c r="BE118" s="9">
        <v>2</v>
      </c>
      <c r="BF118" s="9">
        <v>0</v>
      </c>
      <c r="BG118" s="9">
        <v>0</v>
      </c>
      <c r="BH118" s="9">
        <v>1</v>
      </c>
      <c r="BI118" s="9">
        <v>1</v>
      </c>
      <c r="BJ118" s="9">
        <v>0</v>
      </c>
      <c r="BK118" s="9">
        <v>0</v>
      </c>
      <c r="BL118" s="9">
        <v>0</v>
      </c>
      <c r="BM118" s="9">
        <v>2</v>
      </c>
      <c r="BN118" s="9">
        <v>1</v>
      </c>
      <c r="BO118" s="9">
        <v>2</v>
      </c>
      <c r="BP118" s="9">
        <v>1</v>
      </c>
      <c r="BQ118" s="9">
        <v>0</v>
      </c>
      <c r="BR118" s="9">
        <v>0</v>
      </c>
      <c r="BS118" s="9">
        <v>0</v>
      </c>
      <c r="BT118" s="9">
        <v>2</v>
      </c>
      <c r="BU118" s="9">
        <v>2</v>
      </c>
      <c r="BV118" s="9">
        <v>3</v>
      </c>
      <c r="BW118" s="9">
        <v>0</v>
      </c>
      <c r="BX118" s="9">
        <v>0</v>
      </c>
      <c r="BY118" s="9">
        <v>1</v>
      </c>
      <c r="BZ118" s="9">
        <v>1</v>
      </c>
      <c r="CA118" s="9">
        <v>3</v>
      </c>
      <c r="CB118" s="9">
        <v>3</v>
      </c>
      <c r="CC118" s="9">
        <v>1</v>
      </c>
      <c r="CD118" s="9">
        <v>0</v>
      </c>
      <c r="CE118" s="9">
        <v>0</v>
      </c>
      <c r="CF118" s="9">
        <v>1</v>
      </c>
      <c r="CG118" s="9">
        <v>2</v>
      </c>
      <c r="CH118" s="9">
        <v>4</v>
      </c>
      <c r="CI118" s="9">
        <v>0</v>
      </c>
      <c r="CJ118" s="9">
        <v>0</v>
      </c>
      <c r="CK118" s="9">
        <v>1</v>
      </c>
      <c r="CL118" s="9">
        <v>4</v>
      </c>
      <c r="CM118" s="9">
        <v>4</v>
      </c>
      <c r="CN118" s="9">
        <v>6</v>
      </c>
      <c r="CO118" s="9">
        <v>5</v>
      </c>
      <c r="CP118" s="9">
        <v>1</v>
      </c>
      <c r="CQ118" s="9">
        <v>5</v>
      </c>
      <c r="CR118" s="9">
        <v>3</v>
      </c>
      <c r="CS118" s="10">
        <v>3</v>
      </c>
    </row>
    <row r="119" spans="1:97" x14ac:dyDescent="0.35">
      <c r="A119" s="8" t="s">
        <v>73</v>
      </c>
      <c r="B119" s="9" t="s">
        <v>128</v>
      </c>
      <c r="C119" s="9" t="s">
        <v>740</v>
      </c>
      <c r="D119" s="9">
        <f t="shared" si="1"/>
        <v>89</v>
      </c>
      <c r="E119" s="9">
        <v>0</v>
      </c>
      <c r="F119" s="9">
        <v>1</v>
      </c>
      <c r="G119" s="9">
        <v>1</v>
      </c>
      <c r="H119" s="9">
        <v>0</v>
      </c>
      <c r="I119" s="9">
        <v>0</v>
      </c>
      <c r="J119" s="9">
        <v>0</v>
      </c>
      <c r="K119" s="9">
        <v>0</v>
      </c>
      <c r="L119" s="9">
        <v>0</v>
      </c>
      <c r="M119" s="9">
        <v>0</v>
      </c>
      <c r="N119" s="9">
        <v>0</v>
      </c>
      <c r="O119" s="9">
        <v>0</v>
      </c>
      <c r="P119" s="9">
        <v>0</v>
      </c>
      <c r="Q119" s="9">
        <v>0</v>
      </c>
      <c r="R119" s="9">
        <v>1</v>
      </c>
      <c r="S119" s="9">
        <v>0</v>
      </c>
      <c r="T119" s="9">
        <v>0</v>
      </c>
      <c r="U119" s="9">
        <v>0</v>
      </c>
      <c r="V119" s="9">
        <v>1</v>
      </c>
      <c r="W119" s="9">
        <v>0</v>
      </c>
      <c r="X119" s="9">
        <v>0</v>
      </c>
      <c r="Y119" s="9">
        <v>1</v>
      </c>
      <c r="Z119" s="9">
        <v>0</v>
      </c>
      <c r="AA119" s="9">
        <v>0</v>
      </c>
      <c r="AB119" s="9">
        <v>0</v>
      </c>
      <c r="AC119" s="9">
        <v>0</v>
      </c>
      <c r="AD119" s="9">
        <v>0</v>
      </c>
      <c r="AE119" s="9">
        <v>0</v>
      </c>
      <c r="AF119" s="9">
        <v>0</v>
      </c>
      <c r="AG119" s="9">
        <v>0</v>
      </c>
      <c r="AH119" s="9">
        <v>0</v>
      </c>
      <c r="AI119" s="9">
        <v>0</v>
      </c>
      <c r="AJ119" s="9">
        <v>0</v>
      </c>
      <c r="AK119" s="9">
        <v>0</v>
      </c>
      <c r="AL119" s="9">
        <v>0</v>
      </c>
      <c r="AM119" s="9">
        <v>0</v>
      </c>
      <c r="AN119" s="9">
        <v>0</v>
      </c>
      <c r="AO119" s="9">
        <v>0</v>
      </c>
      <c r="AP119" s="9">
        <v>0</v>
      </c>
      <c r="AQ119" s="9">
        <v>0</v>
      </c>
      <c r="AR119" s="9">
        <v>0</v>
      </c>
      <c r="AS119" s="9">
        <v>0</v>
      </c>
      <c r="AT119" s="9">
        <v>0</v>
      </c>
      <c r="AU119" s="9">
        <v>0</v>
      </c>
      <c r="AV119" s="9">
        <v>0</v>
      </c>
      <c r="AW119" s="9">
        <v>1</v>
      </c>
      <c r="AX119" s="9">
        <v>0</v>
      </c>
      <c r="AY119" s="9">
        <v>0</v>
      </c>
      <c r="AZ119" s="9">
        <v>0</v>
      </c>
      <c r="BA119" s="9">
        <v>1</v>
      </c>
      <c r="BB119" s="9">
        <v>0</v>
      </c>
      <c r="BC119" s="9">
        <v>0</v>
      </c>
      <c r="BD119" s="9">
        <v>0</v>
      </c>
      <c r="BE119" s="9">
        <v>1</v>
      </c>
      <c r="BF119" s="9">
        <v>0</v>
      </c>
      <c r="BG119" s="9">
        <v>1</v>
      </c>
      <c r="BH119" s="9">
        <v>0</v>
      </c>
      <c r="BI119" s="9">
        <v>1</v>
      </c>
      <c r="BJ119" s="9">
        <v>0</v>
      </c>
      <c r="BK119" s="9">
        <v>2</v>
      </c>
      <c r="BL119" s="9">
        <v>0</v>
      </c>
      <c r="BM119" s="9">
        <v>1</v>
      </c>
      <c r="BN119" s="9">
        <v>1</v>
      </c>
      <c r="BO119" s="9">
        <v>1</v>
      </c>
      <c r="BP119" s="9">
        <v>0</v>
      </c>
      <c r="BQ119" s="9">
        <v>0</v>
      </c>
      <c r="BR119" s="9">
        <v>0</v>
      </c>
      <c r="BS119" s="9">
        <v>0</v>
      </c>
      <c r="BT119" s="9">
        <v>1</v>
      </c>
      <c r="BU119" s="9">
        <v>2</v>
      </c>
      <c r="BV119" s="9">
        <v>0</v>
      </c>
      <c r="BW119" s="9">
        <v>0</v>
      </c>
      <c r="BX119" s="9">
        <v>0</v>
      </c>
      <c r="BY119" s="9">
        <v>2</v>
      </c>
      <c r="BZ119" s="9">
        <v>3</v>
      </c>
      <c r="CA119" s="9">
        <v>0</v>
      </c>
      <c r="CB119" s="9">
        <v>3</v>
      </c>
      <c r="CC119" s="9">
        <v>1</v>
      </c>
      <c r="CD119" s="9">
        <v>3</v>
      </c>
      <c r="CE119" s="9">
        <v>2</v>
      </c>
      <c r="CF119" s="9">
        <v>3</v>
      </c>
      <c r="CG119" s="9">
        <v>2</v>
      </c>
      <c r="CH119" s="9">
        <v>2</v>
      </c>
      <c r="CI119" s="9">
        <v>5</v>
      </c>
      <c r="CJ119" s="9">
        <v>6</v>
      </c>
      <c r="CK119" s="9">
        <v>4</v>
      </c>
      <c r="CL119" s="9">
        <v>7</v>
      </c>
      <c r="CM119" s="9">
        <v>5</v>
      </c>
      <c r="CN119" s="9">
        <v>5</v>
      </c>
      <c r="CO119" s="9">
        <v>2</v>
      </c>
      <c r="CP119" s="9">
        <v>4</v>
      </c>
      <c r="CQ119" s="9">
        <v>4</v>
      </c>
      <c r="CR119" s="9">
        <v>3</v>
      </c>
      <c r="CS119" s="10">
        <v>5</v>
      </c>
    </row>
    <row r="120" spans="1:97" x14ac:dyDescent="0.35">
      <c r="A120" s="8" t="s">
        <v>73</v>
      </c>
      <c r="B120" s="9" t="s">
        <v>130</v>
      </c>
      <c r="C120" s="9" t="s">
        <v>741</v>
      </c>
      <c r="D120" s="9">
        <f t="shared" si="1"/>
        <v>213</v>
      </c>
      <c r="E120" s="9">
        <v>0</v>
      </c>
      <c r="F120" s="9">
        <v>0</v>
      </c>
      <c r="G120" s="9">
        <v>0</v>
      </c>
      <c r="H120" s="9">
        <v>0</v>
      </c>
      <c r="I120" s="9">
        <v>0</v>
      </c>
      <c r="J120" s="9">
        <v>0</v>
      </c>
      <c r="K120" s="9">
        <v>1</v>
      </c>
      <c r="L120" s="9">
        <v>0</v>
      </c>
      <c r="M120" s="9">
        <v>1</v>
      </c>
      <c r="N120" s="9">
        <v>0</v>
      </c>
      <c r="O120" s="9">
        <v>0</v>
      </c>
      <c r="P120" s="9">
        <v>0</v>
      </c>
      <c r="Q120" s="9">
        <v>0</v>
      </c>
      <c r="R120" s="9">
        <v>0</v>
      </c>
      <c r="S120" s="9">
        <v>0</v>
      </c>
      <c r="T120" s="9">
        <v>0</v>
      </c>
      <c r="U120" s="9">
        <v>0</v>
      </c>
      <c r="V120" s="9">
        <v>0</v>
      </c>
      <c r="W120" s="9">
        <v>0</v>
      </c>
      <c r="X120" s="9">
        <v>0</v>
      </c>
      <c r="Y120" s="9">
        <v>0</v>
      </c>
      <c r="Z120" s="9">
        <v>0</v>
      </c>
      <c r="AA120" s="9">
        <v>1</v>
      </c>
      <c r="AB120" s="9">
        <v>1</v>
      </c>
      <c r="AC120" s="9">
        <v>0</v>
      </c>
      <c r="AD120" s="9">
        <v>0</v>
      </c>
      <c r="AE120" s="9">
        <v>1</v>
      </c>
      <c r="AF120" s="9">
        <v>0</v>
      </c>
      <c r="AG120" s="9">
        <v>0</v>
      </c>
      <c r="AH120" s="9">
        <v>1</v>
      </c>
      <c r="AI120" s="9">
        <v>0</v>
      </c>
      <c r="AJ120" s="9">
        <v>2</v>
      </c>
      <c r="AK120" s="9">
        <v>0</v>
      </c>
      <c r="AL120" s="9">
        <v>1</v>
      </c>
      <c r="AM120" s="9">
        <v>1</v>
      </c>
      <c r="AN120" s="9">
        <v>0</v>
      </c>
      <c r="AO120" s="9">
        <v>0</v>
      </c>
      <c r="AP120" s="9">
        <v>0</v>
      </c>
      <c r="AQ120" s="9">
        <v>1</v>
      </c>
      <c r="AR120" s="9">
        <v>1</v>
      </c>
      <c r="AS120" s="9">
        <v>2</v>
      </c>
      <c r="AT120" s="9">
        <v>3</v>
      </c>
      <c r="AU120" s="9">
        <v>1</v>
      </c>
      <c r="AV120" s="9">
        <v>1</v>
      </c>
      <c r="AW120" s="9">
        <v>0</v>
      </c>
      <c r="AX120" s="9">
        <v>0</v>
      </c>
      <c r="AY120" s="9">
        <v>4</v>
      </c>
      <c r="AZ120" s="9">
        <v>4</v>
      </c>
      <c r="BA120" s="9">
        <v>4</v>
      </c>
      <c r="BB120" s="9">
        <v>3</v>
      </c>
      <c r="BC120" s="9">
        <v>1</v>
      </c>
      <c r="BD120" s="9">
        <v>7</v>
      </c>
      <c r="BE120" s="9">
        <v>1</v>
      </c>
      <c r="BF120" s="9">
        <v>2</v>
      </c>
      <c r="BG120" s="9">
        <v>0</v>
      </c>
      <c r="BH120" s="9">
        <v>0</v>
      </c>
      <c r="BI120" s="9">
        <v>2</v>
      </c>
      <c r="BJ120" s="9">
        <v>1</v>
      </c>
      <c r="BK120" s="9">
        <v>4</v>
      </c>
      <c r="BL120" s="9">
        <v>3</v>
      </c>
      <c r="BM120" s="9">
        <v>3</v>
      </c>
      <c r="BN120" s="9">
        <v>1</v>
      </c>
      <c r="BO120" s="9">
        <v>3</v>
      </c>
      <c r="BP120" s="9">
        <v>1</v>
      </c>
      <c r="BQ120" s="9">
        <v>1</v>
      </c>
      <c r="BR120" s="9">
        <v>9</v>
      </c>
      <c r="BS120" s="9">
        <v>2</v>
      </c>
      <c r="BT120" s="9">
        <v>2</v>
      </c>
      <c r="BU120" s="9">
        <v>2</v>
      </c>
      <c r="BV120" s="9">
        <v>2</v>
      </c>
      <c r="BW120" s="9">
        <v>4</v>
      </c>
      <c r="BX120" s="9">
        <v>2</v>
      </c>
      <c r="BY120" s="9">
        <v>1</v>
      </c>
      <c r="BZ120" s="9">
        <v>1</v>
      </c>
      <c r="CA120" s="9">
        <v>2</v>
      </c>
      <c r="CB120" s="9">
        <v>1</v>
      </c>
      <c r="CC120" s="9">
        <v>5</v>
      </c>
      <c r="CD120" s="9">
        <v>4</v>
      </c>
      <c r="CE120" s="9">
        <v>13</v>
      </c>
      <c r="CF120" s="9">
        <v>4</v>
      </c>
      <c r="CG120" s="9">
        <v>4</v>
      </c>
      <c r="CH120" s="9">
        <v>4</v>
      </c>
      <c r="CI120" s="9">
        <v>3</v>
      </c>
      <c r="CJ120" s="9">
        <v>8</v>
      </c>
      <c r="CK120" s="9">
        <v>9</v>
      </c>
      <c r="CL120" s="9">
        <v>8</v>
      </c>
      <c r="CM120" s="9">
        <v>9</v>
      </c>
      <c r="CN120" s="9">
        <v>4</v>
      </c>
      <c r="CO120" s="9">
        <v>10</v>
      </c>
      <c r="CP120" s="9">
        <v>12</v>
      </c>
      <c r="CQ120" s="9">
        <v>8</v>
      </c>
      <c r="CR120" s="9">
        <v>4</v>
      </c>
      <c r="CS120" s="10">
        <v>12</v>
      </c>
    </row>
    <row r="121" spans="1:97" x14ac:dyDescent="0.35">
      <c r="A121" s="8" t="s">
        <v>73</v>
      </c>
      <c r="B121" s="9" t="s">
        <v>132</v>
      </c>
      <c r="C121" s="9" t="s">
        <v>742</v>
      </c>
      <c r="D121" s="9">
        <f t="shared" si="1"/>
        <v>145</v>
      </c>
      <c r="E121" s="9">
        <v>0</v>
      </c>
      <c r="F121" s="9">
        <v>0</v>
      </c>
      <c r="G121" s="9">
        <v>0</v>
      </c>
      <c r="H121" s="9">
        <v>0</v>
      </c>
      <c r="I121" s="9">
        <v>0</v>
      </c>
      <c r="J121" s="9">
        <v>0</v>
      </c>
      <c r="K121" s="9">
        <v>0</v>
      </c>
      <c r="L121" s="9">
        <v>0</v>
      </c>
      <c r="M121" s="9">
        <v>0</v>
      </c>
      <c r="N121" s="9">
        <v>1</v>
      </c>
      <c r="O121" s="9">
        <v>1</v>
      </c>
      <c r="P121" s="9">
        <v>0</v>
      </c>
      <c r="Q121" s="9">
        <v>0</v>
      </c>
      <c r="R121" s="9">
        <v>0</v>
      </c>
      <c r="S121" s="9">
        <v>0</v>
      </c>
      <c r="T121" s="9">
        <v>0</v>
      </c>
      <c r="U121" s="9">
        <v>0</v>
      </c>
      <c r="V121" s="9">
        <v>0</v>
      </c>
      <c r="W121" s="9">
        <v>0</v>
      </c>
      <c r="X121" s="9">
        <v>0</v>
      </c>
      <c r="Y121" s="9">
        <v>0</v>
      </c>
      <c r="Z121" s="9">
        <v>0</v>
      </c>
      <c r="AA121" s="9">
        <v>1</v>
      </c>
      <c r="AB121" s="9">
        <v>0</v>
      </c>
      <c r="AC121" s="9">
        <v>0</v>
      </c>
      <c r="AD121" s="9">
        <v>0</v>
      </c>
      <c r="AE121" s="9">
        <v>0</v>
      </c>
      <c r="AF121" s="9">
        <v>0</v>
      </c>
      <c r="AG121" s="9">
        <v>0</v>
      </c>
      <c r="AH121" s="9">
        <v>0</v>
      </c>
      <c r="AI121" s="9">
        <v>0</v>
      </c>
      <c r="AJ121" s="9">
        <v>0</v>
      </c>
      <c r="AK121" s="9">
        <v>0</v>
      </c>
      <c r="AL121" s="9">
        <v>0</v>
      </c>
      <c r="AM121" s="9">
        <v>0</v>
      </c>
      <c r="AN121" s="9">
        <v>1</v>
      </c>
      <c r="AO121" s="9">
        <v>0</v>
      </c>
      <c r="AP121" s="9">
        <v>0</v>
      </c>
      <c r="AQ121" s="9">
        <v>0</v>
      </c>
      <c r="AR121" s="9">
        <v>0</v>
      </c>
      <c r="AS121" s="9">
        <v>0</v>
      </c>
      <c r="AT121" s="9">
        <v>0</v>
      </c>
      <c r="AU121" s="9">
        <v>0</v>
      </c>
      <c r="AV121" s="9">
        <v>1</v>
      </c>
      <c r="AW121" s="9">
        <v>0</v>
      </c>
      <c r="AX121" s="9">
        <v>2</v>
      </c>
      <c r="AY121" s="9">
        <v>6</v>
      </c>
      <c r="AZ121" s="9">
        <v>4</v>
      </c>
      <c r="BA121" s="9">
        <v>0</v>
      </c>
      <c r="BB121" s="9">
        <v>1</v>
      </c>
      <c r="BC121" s="9">
        <v>0</v>
      </c>
      <c r="BD121" s="9">
        <v>2</v>
      </c>
      <c r="BE121" s="9">
        <v>0</v>
      </c>
      <c r="BF121" s="9">
        <v>2</v>
      </c>
      <c r="BG121" s="9">
        <v>2</v>
      </c>
      <c r="BH121" s="9">
        <v>0</v>
      </c>
      <c r="BI121" s="9">
        <v>1</v>
      </c>
      <c r="BJ121" s="9">
        <v>4</v>
      </c>
      <c r="BK121" s="9">
        <v>2</v>
      </c>
      <c r="BL121" s="9">
        <v>0</v>
      </c>
      <c r="BM121" s="9">
        <v>0</v>
      </c>
      <c r="BN121" s="9">
        <v>0</v>
      </c>
      <c r="BO121" s="9">
        <v>2</v>
      </c>
      <c r="BP121" s="9">
        <v>2</v>
      </c>
      <c r="BQ121" s="9">
        <v>2</v>
      </c>
      <c r="BR121" s="9">
        <v>0</v>
      </c>
      <c r="BS121" s="9">
        <v>2</v>
      </c>
      <c r="BT121" s="9">
        <v>3</v>
      </c>
      <c r="BU121" s="9">
        <v>2</v>
      </c>
      <c r="BV121" s="9">
        <v>3</v>
      </c>
      <c r="BW121" s="9">
        <v>0</v>
      </c>
      <c r="BX121" s="9">
        <v>1</v>
      </c>
      <c r="BY121" s="9">
        <v>1</v>
      </c>
      <c r="BZ121" s="9">
        <v>5</v>
      </c>
      <c r="CA121" s="9">
        <v>6</v>
      </c>
      <c r="CB121" s="9">
        <v>4</v>
      </c>
      <c r="CC121" s="9">
        <v>2</v>
      </c>
      <c r="CD121" s="9">
        <v>2</v>
      </c>
      <c r="CE121" s="9">
        <v>7</v>
      </c>
      <c r="CF121" s="9">
        <v>2</v>
      </c>
      <c r="CG121" s="9">
        <v>3</v>
      </c>
      <c r="CH121" s="9">
        <v>2</v>
      </c>
      <c r="CI121" s="9">
        <v>1</v>
      </c>
      <c r="CJ121" s="9">
        <v>4</v>
      </c>
      <c r="CK121" s="9">
        <v>8</v>
      </c>
      <c r="CL121" s="9">
        <v>4</v>
      </c>
      <c r="CM121" s="9">
        <v>6</v>
      </c>
      <c r="CN121" s="9">
        <v>9</v>
      </c>
      <c r="CO121" s="9">
        <v>3</v>
      </c>
      <c r="CP121" s="9">
        <v>8</v>
      </c>
      <c r="CQ121" s="9">
        <v>12</v>
      </c>
      <c r="CR121" s="9">
        <v>8</v>
      </c>
      <c r="CS121" s="10">
        <v>0</v>
      </c>
    </row>
    <row r="122" spans="1:97" x14ac:dyDescent="0.35">
      <c r="A122" s="8" t="s">
        <v>73</v>
      </c>
      <c r="B122" s="9" t="s">
        <v>134</v>
      </c>
      <c r="C122" s="9" t="s">
        <v>743</v>
      </c>
      <c r="D122" s="9">
        <f t="shared" si="1"/>
        <v>36</v>
      </c>
      <c r="E122" s="9">
        <v>0</v>
      </c>
      <c r="F122" s="9">
        <v>0</v>
      </c>
      <c r="G122" s="9">
        <v>0</v>
      </c>
      <c r="H122" s="9">
        <v>0</v>
      </c>
      <c r="I122" s="9">
        <v>0</v>
      </c>
      <c r="J122" s="9">
        <v>0</v>
      </c>
      <c r="K122" s="9">
        <v>0</v>
      </c>
      <c r="L122" s="9">
        <v>0</v>
      </c>
      <c r="M122" s="9">
        <v>0</v>
      </c>
      <c r="N122" s="9">
        <v>0</v>
      </c>
      <c r="O122" s="9">
        <v>0</v>
      </c>
      <c r="P122" s="9">
        <v>0</v>
      </c>
      <c r="Q122" s="9">
        <v>0</v>
      </c>
      <c r="R122" s="9">
        <v>0</v>
      </c>
      <c r="S122" s="9">
        <v>0</v>
      </c>
      <c r="T122" s="9">
        <v>0</v>
      </c>
      <c r="U122" s="9">
        <v>0</v>
      </c>
      <c r="V122" s="9">
        <v>0</v>
      </c>
      <c r="W122" s="9">
        <v>0</v>
      </c>
      <c r="X122" s="9">
        <v>0</v>
      </c>
      <c r="Y122" s="9">
        <v>0</v>
      </c>
      <c r="Z122" s="9">
        <v>0</v>
      </c>
      <c r="AA122" s="9">
        <v>0</v>
      </c>
      <c r="AB122" s="9">
        <v>0</v>
      </c>
      <c r="AC122" s="9">
        <v>0</v>
      </c>
      <c r="AD122" s="9">
        <v>0</v>
      </c>
      <c r="AE122" s="9">
        <v>0</v>
      </c>
      <c r="AF122" s="9">
        <v>0</v>
      </c>
      <c r="AG122" s="9">
        <v>0</v>
      </c>
      <c r="AH122" s="9">
        <v>0</v>
      </c>
      <c r="AI122" s="9">
        <v>0</v>
      </c>
      <c r="AJ122" s="9">
        <v>0</v>
      </c>
      <c r="AK122" s="9">
        <v>0</v>
      </c>
      <c r="AL122" s="9">
        <v>0</v>
      </c>
      <c r="AM122" s="9">
        <v>0</v>
      </c>
      <c r="AN122" s="9">
        <v>0</v>
      </c>
      <c r="AO122" s="9">
        <v>0</v>
      </c>
      <c r="AP122" s="9">
        <v>0</v>
      </c>
      <c r="AQ122" s="9">
        <v>0</v>
      </c>
      <c r="AR122" s="9">
        <v>0</v>
      </c>
      <c r="AS122" s="9">
        <v>0</v>
      </c>
      <c r="AT122" s="9">
        <v>0</v>
      </c>
      <c r="AU122" s="9">
        <v>0</v>
      </c>
      <c r="AV122" s="9">
        <v>0</v>
      </c>
      <c r="AW122" s="9">
        <v>0</v>
      </c>
      <c r="AX122" s="9">
        <v>0</v>
      </c>
      <c r="AY122" s="9">
        <v>0</v>
      </c>
      <c r="AZ122" s="9">
        <v>0</v>
      </c>
      <c r="BA122" s="9">
        <v>0</v>
      </c>
      <c r="BB122" s="9">
        <v>0</v>
      </c>
      <c r="BC122" s="9">
        <v>0</v>
      </c>
      <c r="BD122" s="9">
        <v>0</v>
      </c>
      <c r="BE122" s="9">
        <v>0</v>
      </c>
      <c r="BF122" s="9">
        <v>0</v>
      </c>
      <c r="BG122" s="9">
        <v>0</v>
      </c>
      <c r="BH122" s="9">
        <v>0</v>
      </c>
      <c r="BI122" s="9">
        <v>0</v>
      </c>
      <c r="BJ122" s="9">
        <v>0</v>
      </c>
      <c r="BK122" s="9">
        <v>0</v>
      </c>
      <c r="BL122" s="9">
        <v>0</v>
      </c>
      <c r="BM122" s="9">
        <v>0</v>
      </c>
      <c r="BN122" s="9">
        <v>0</v>
      </c>
      <c r="BO122" s="9">
        <v>0</v>
      </c>
      <c r="BP122" s="9">
        <v>0</v>
      </c>
      <c r="BQ122" s="9">
        <v>0</v>
      </c>
      <c r="BR122" s="9">
        <v>0</v>
      </c>
      <c r="BS122" s="9">
        <v>0</v>
      </c>
      <c r="BT122" s="9">
        <v>0</v>
      </c>
      <c r="BU122" s="9">
        <v>0</v>
      </c>
      <c r="BV122" s="9">
        <v>0</v>
      </c>
      <c r="BW122" s="9">
        <v>0</v>
      </c>
      <c r="BX122" s="9">
        <v>0</v>
      </c>
      <c r="BY122" s="9">
        <v>0</v>
      </c>
      <c r="BZ122" s="9">
        <v>1</v>
      </c>
      <c r="CA122" s="9">
        <v>0</v>
      </c>
      <c r="CB122" s="9">
        <v>2</v>
      </c>
      <c r="CC122" s="9">
        <v>1</v>
      </c>
      <c r="CD122" s="9">
        <v>1</v>
      </c>
      <c r="CE122" s="9">
        <v>1</v>
      </c>
      <c r="CF122" s="9">
        <v>0</v>
      </c>
      <c r="CG122" s="9">
        <v>4</v>
      </c>
      <c r="CH122" s="9">
        <v>3</v>
      </c>
      <c r="CI122" s="9">
        <v>2</v>
      </c>
      <c r="CJ122" s="9">
        <v>2</v>
      </c>
      <c r="CK122" s="9">
        <v>0</v>
      </c>
      <c r="CL122" s="9">
        <v>3</v>
      </c>
      <c r="CM122" s="9">
        <v>2</v>
      </c>
      <c r="CN122" s="9">
        <v>0</v>
      </c>
      <c r="CO122" s="9">
        <v>1</v>
      </c>
      <c r="CP122" s="9">
        <v>1</v>
      </c>
      <c r="CQ122" s="9">
        <v>6</v>
      </c>
      <c r="CR122" s="9">
        <v>2</v>
      </c>
      <c r="CS122" s="10">
        <v>4</v>
      </c>
    </row>
    <row r="123" spans="1:97" x14ac:dyDescent="0.35">
      <c r="A123" s="8" t="s">
        <v>73</v>
      </c>
      <c r="B123" s="9" t="s">
        <v>136</v>
      </c>
      <c r="C123" s="9" t="s">
        <v>744</v>
      </c>
      <c r="D123" s="9">
        <f t="shared" si="1"/>
        <v>0</v>
      </c>
      <c r="E123" s="9">
        <v>0</v>
      </c>
      <c r="F123" s="9">
        <v>0</v>
      </c>
      <c r="G123" s="9">
        <v>0</v>
      </c>
      <c r="H123" s="9">
        <v>0</v>
      </c>
      <c r="I123" s="9">
        <v>0</v>
      </c>
      <c r="J123" s="9">
        <v>0</v>
      </c>
      <c r="K123" s="9">
        <v>0</v>
      </c>
      <c r="L123" s="9">
        <v>0</v>
      </c>
      <c r="M123" s="9">
        <v>0</v>
      </c>
      <c r="N123" s="9">
        <v>0</v>
      </c>
      <c r="O123" s="9">
        <v>0</v>
      </c>
      <c r="P123" s="9">
        <v>0</v>
      </c>
      <c r="Q123" s="9">
        <v>0</v>
      </c>
      <c r="R123" s="9">
        <v>0</v>
      </c>
      <c r="S123" s="9">
        <v>0</v>
      </c>
      <c r="T123" s="9">
        <v>0</v>
      </c>
      <c r="U123" s="9">
        <v>0</v>
      </c>
      <c r="V123" s="9">
        <v>0</v>
      </c>
      <c r="W123" s="9">
        <v>0</v>
      </c>
      <c r="X123" s="9">
        <v>0</v>
      </c>
      <c r="Y123" s="9">
        <v>0</v>
      </c>
      <c r="Z123" s="9">
        <v>0</v>
      </c>
      <c r="AA123" s="9">
        <v>0</v>
      </c>
      <c r="AB123" s="9">
        <v>0</v>
      </c>
      <c r="AC123" s="9">
        <v>0</v>
      </c>
      <c r="AD123" s="9">
        <v>0</v>
      </c>
      <c r="AE123" s="9">
        <v>0</v>
      </c>
      <c r="AF123" s="9">
        <v>0</v>
      </c>
      <c r="AG123" s="9">
        <v>0</v>
      </c>
      <c r="AH123" s="9">
        <v>0</v>
      </c>
      <c r="AI123" s="9">
        <v>0</v>
      </c>
      <c r="AJ123" s="9">
        <v>0</v>
      </c>
      <c r="AK123" s="9">
        <v>0</v>
      </c>
      <c r="AL123" s="9">
        <v>0</v>
      </c>
      <c r="AM123" s="9">
        <v>0</v>
      </c>
      <c r="AN123" s="9">
        <v>0</v>
      </c>
      <c r="AO123" s="9">
        <v>0</v>
      </c>
      <c r="AP123" s="9">
        <v>0</v>
      </c>
      <c r="AQ123" s="9">
        <v>0</v>
      </c>
      <c r="AR123" s="9">
        <v>0</v>
      </c>
      <c r="AS123" s="9">
        <v>0</v>
      </c>
      <c r="AT123" s="9">
        <v>0</v>
      </c>
      <c r="AU123" s="9">
        <v>0</v>
      </c>
      <c r="AV123" s="9">
        <v>0</v>
      </c>
      <c r="AW123" s="9">
        <v>0</v>
      </c>
      <c r="AX123" s="9">
        <v>0</v>
      </c>
      <c r="AY123" s="9">
        <v>0</v>
      </c>
      <c r="AZ123" s="9">
        <v>0</v>
      </c>
      <c r="BA123" s="9">
        <v>0</v>
      </c>
      <c r="BB123" s="9">
        <v>0</v>
      </c>
      <c r="BC123" s="9">
        <v>0</v>
      </c>
      <c r="BD123" s="9">
        <v>0</v>
      </c>
      <c r="BE123" s="9">
        <v>0</v>
      </c>
      <c r="BF123" s="9">
        <v>0</v>
      </c>
      <c r="BG123" s="9">
        <v>0</v>
      </c>
      <c r="BH123" s="9">
        <v>0</v>
      </c>
      <c r="BI123" s="9">
        <v>0</v>
      </c>
      <c r="BJ123" s="9">
        <v>0</v>
      </c>
      <c r="BK123" s="9">
        <v>0</v>
      </c>
      <c r="BL123" s="9">
        <v>0</v>
      </c>
      <c r="BM123" s="9">
        <v>0</v>
      </c>
      <c r="BN123" s="9">
        <v>0</v>
      </c>
      <c r="BO123" s="9">
        <v>0</v>
      </c>
      <c r="BP123" s="9">
        <v>0</v>
      </c>
      <c r="BQ123" s="9">
        <v>0</v>
      </c>
      <c r="BR123" s="9">
        <v>0</v>
      </c>
      <c r="BS123" s="9">
        <v>0</v>
      </c>
      <c r="BT123" s="9">
        <v>0</v>
      </c>
      <c r="BU123" s="9">
        <v>0</v>
      </c>
      <c r="BV123" s="9">
        <v>0</v>
      </c>
      <c r="BW123" s="9">
        <v>0</v>
      </c>
      <c r="BX123" s="9">
        <v>0</v>
      </c>
      <c r="BY123" s="9">
        <v>0</v>
      </c>
      <c r="BZ123" s="9">
        <v>0</v>
      </c>
      <c r="CA123" s="9">
        <v>0</v>
      </c>
      <c r="CB123" s="9">
        <v>0</v>
      </c>
      <c r="CC123" s="9">
        <v>0</v>
      </c>
      <c r="CD123" s="9">
        <v>0</v>
      </c>
      <c r="CE123" s="9">
        <v>0</v>
      </c>
      <c r="CF123" s="9">
        <v>0</v>
      </c>
      <c r="CG123" s="9">
        <v>0</v>
      </c>
      <c r="CH123" s="9">
        <v>0</v>
      </c>
      <c r="CI123" s="9">
        <v>0</v>
      </c>
      <c r="CJ123" s="9">
        <v>0</v>
      </c>
      <c r="CK123" s="9">
        <v>0</v>
      </c>
      <c r="CL123" s="9">
        <v>0</v>
      </c>
      <c r="CM123" s="9">
        <v>0</v>
      </c>
      <c r="CN123" s="9">
        <v>0</v>
      </c>
      <c r="CO123" s="9">
        <v>0</v>
      </c>
      <c r="CP123" s="9">
        <v>0</v>
      </c>
      <c r="CQ123" s="9">
        <v>0</v>
      </c>
      <c r="CR123" s="9">
        <v>0</v>
      </c>
      <c r="CS123" s="10">
        <v>0</v>
      </c>
    </row>
    <row r="124" spans="1:97" x14ac:dyDescent="0.35">
      <c r="A124" s="8" t="s">
        <v>73</v>
      </c>
      <c r="B124" s="9" t="s">
        <v>138</v>
      </c>
      <c r="C124" s="9" t="s">
        <v>745</v>
      </c>
      <c r="D124" s="9">
        <f t="shared" si="1"/>
        <v>7</v>
      </c>
      <c r="E124" s="9">
        <v>0</v>
      </c>
      <c r="F124" s="9">
        <v>0</v>
      </c>
      <c r="G124" s="9">
        <v>0</v>
      </c>
      <c r="H124" s="9">
        <v>0</v>
      </c>
      <c r="I124" s="9">
        <v>0</v>
      </c>
      <c r="J124" s="9">
        <v>0</v>
      </c>
      <c r="K124" s="9">
        <v>0</v>
      </c>
      <c r="L124" s="9">
        <v>0</v>
      </c>
      <c r="M124" s="9">
        <v>0</v>
      </c>
      <c r="N124" s="9">
        <v>0</v>
      </c>
      <c r="O124" s="9">
        <v>0</v>
      </c>
      <c r="P124" s="9">
        <v>0</v>
      </c>
      <c r="Q124" s="9">
        <v>0</v>
      </c>
      <c r="R124" s="9">
        <v>0</v>
      </c>
      <c r="S124" s="9">
        <v>0</v>
      </c>
      <c r="T124" s="9">
        <v>0</v>
      </c>
      <c r="U124" s="9">
        <v>0</v>
      </c>
      <c r="V124" s="9">
        <v>0</v>
      </c>
      <c r="W124" s="9">
        <v>1</v>
      </c>
      <c r="X124" s="9">
        <v>0</v>
      </c>
      <c r="Y124" s="9">
        <v>0</v>
      </c>
      <c r="Z124" s="9">
        <v>0</v>
      </c>
      <c r="AA124" s="9">
        <v>0</v>
      </c>
      <c r="AB124" s="9">
        <v>0</v>
      </c>
      <c r="AC124" s="9">
        <v>0</v>
      </c>
      <c r="AD124" s="9">
        <v>0</v>
      </c>
      <c r="AE124" s="9">
        <v>0</v>
      </c>
      <c r="AF124" s="9">
        <v>0</v>
      </c>
      <c r="AG124" s="9">
        <v>0</v>
      </c>
      <c r="AH124" s="9">
        <v>0</v>
      </c>
      <c r="AI124" s="9">
        <v>0</v>
      </c>
      <c r="AJ124" s="9">
        <v>0</v>
      </c>
      <c r="AK124" s="9">
        <v>0</v>
      </c>
      <c r="AL124" s="9">
        <v>0</v>
      </c>
      <c r="AM124" s="9">
        <v>0</v>
      </c>
      <c r="AN124" s="9">
        <v>0</v>
      </c>
      <c r="AO124" s="9">
        <v>0</v>
      </c>
      <c r="AP124" s="9">
        <v>0</v>
      </c>
      <c r="AQ124" s="9">
        <v>0</v>
      </c>
      <c r="AR124" s="9">
        <v>0</v>
      </c>
      <c r="AS124" s="9">
        <v>0</v>
      </c>
      <c r="AT124" s="9">
        <v>0</v>
      </c>
      <c r="AU124" s="9">
        <v>0</v>
      </c>
      <c r="AV124" s="9">
        <v>0</v>
      </c>
      <c r="AW124" s="9">
        <v>0</v>
      </c>
      <c r="AX124" s="9">
        <v>0</v>
      </c>
      <c r="AY124" s="9">
        <v>0</v>
      </c>
      <c r="AZ124" s="9">
        <v>0</v>
      </c>
      <c r="BA124" s="9">
        <v>0</v>
      </c>
      <c r="BB124" s="9">
        <v>0</v>
      </c>
      <c r="BC124" s="9">
        <v>0</v>
      </c>
      <c r="BD124" s="9">
        <v>0</v>
      </c>
      <c r="BE124" s="9">
        <v>0</v>
      </c>
      <c r="BF124" s="9">
        <v>0</v>
      </c>
      <c r="BG124" s="9">
        <v>0</v>
      </c>
      <c r="BH124" s="9">
        <v>0</v>
      </c>
      <c r="BI124" s="9">
        <v>0</v>
      </c>
      <c r="BJ124" s="9">
        <v>0</v>
      </c>
      <c r="BK124" s="9">
        <v>1</v>
      </c>
      <c r="BL124" s="9">
        <v>0</v>
      </c>
      <c r="BM124" s="9">
        <v>0</v>
      </c>
      <c r="BN124" s="9">
        <v>0</v>
      </c>
      <c r="BO124" s="9">
        <v>0</v>
      </c>
      <c r="BP124" s="9">
        <v>0</v>
      </c>
      <c r="BQ124" s="9">
        <v>0</v>
      </c>
      <c r="BR124" s="9">
        <v>0</v>
      </c>
      <c r="BS124" s="9">
        <v>0</v>
      </c>
      <c r="BT124" s="9">
        <v>0</v>
      </c>
      <c r="BU124" s="9">
        <v>0</v>
      </c>
      <c r="BV124" s="9">
        <v>0</v>
      </c>
      <c r="BW124" s="9">
        <v>0</v>
      </c>
      <c r="BX124" s="9">
        <v>0</v>
      </c>
      <c r="BY124" s="9">
        <v>1</v>
      </c>
      <c r="BZ124" s="9">
        <v>0</v>
      </c>
      <c r="CA124" s="9">
        <v>1</v>
      </c>
      <c r="CB124" s="9">
        <v>0</v>
      </c>
      <c r="CC124" s="9">
        <v>0</v>
      </c>
      <c r="CD124" s="9">
        <v>0</v>
      </c>
      <c r="CE124" s="9">
        <v>0</v>
      </c>
      <c r="CF124" s="9">
        <v>0</v>
      </c>
      <c r="CG124" s="9">
        <v>1</v>
      </c>
      <c r="CH124" s="9">
        <v>0</v>
      </c>
      <c r="CI124" s="9">
        <v>1</v>
      </c>
      <c r="CJ124" s="9">
        <v>0</v>
      </c>
      <c r="CK124" s="9">
        <v>0</v>
      </c>
      <c r="CL124" s="9">
        <v>0</v>
      </c>
      <c r="CM124" s="9">
        <v>1</v>
      </c>
      <c r="CN124" s="9">
        <v>0</v>
      </c>
      <c r="CO124" s="9">
        <v>0</v>
      </c>
      <c r="CP124" s="9">
        <v>0</v>
      </c>
      <c r="CQ124" s="9">
        <v>0</v>
      </c>
      <c r="CR124" s="9">
        <v>0</v>
      </c>
      <c r="CS124" s="10">
        <v>0</v>
      </c>
    </row>
    <row r="125" spans="1:97" x14ac:dyDescent="0.35">
      <c r="A125" s="8" t="s">
        <v>73</v>
      </c>
      <c r="B125" s="9" t="s">
        <v>140</v>
      </c>
      <c r="C125" s="9" t="s">
        <v>746</v>
      </c>
      <c r="D125" s="9">
        <f t="shared" si="1"/>
        <v>0</v>
      </c>
      <c r="E125" s="9">
        <v>0</v>
      </c>
      <c r="F125" s="9">
        <v>0</v>
      </c>
      <c r="G125" s="9">
        <v>0</v>
      </c>
      <c r="H125" s="9">
        <v>0</v>
      </c>
      <c r="I125" s="9">
        <v>0</v>
      </c>
      <c r="J125" s="9">
        <v>0</v>
      </c>
      <c r="K125" s="9">
        <v>0</v>
      </c>
      <c r="L125" s="9">
        <v>0</v>
      </c>
      <c r="M125" s="9">
        <v>0</v>
      </c>
      <c r="N125" s="9">
        <v>0</v>
      </c>
      <c r="O125" s="9">
        <v>0</v>
      </c>
      <c r="P125" s="9">
        <v>0</v>
      </c>
      <c r="Q125" s="9">
        <v>0</v>
      </c>
      <c r="R125" s="9">
        <v>0</v>
      </c>
      <c r="S125" s="9">
        <v>0</v>
      </c>
      <c r="T125" s="9">
        <v>0</v>
      </c>
      <c r="U125" s="9">
        <v>0</v>
      </c>
      <c r="V125" s="9">
        <v>0</v>
      </c>
      <c r="W125" s="9">
        <v>0</v>
      </c>
      <c r="X125" s="9">
        <v>0</v>
      </c>
      <c r="Y125" s="9">
        <v>0</v>
      </c>
      <c r="Z125" s="9">
        <v>0</v>
      </c>
      <c r="AA125" s="9">
        <v>0</v>
      </c>
      <c r="AB125" s="9">
        <v>0</v>
      </c>
      <c r="AC125" s="9">
        <v>0</v>
      </c>
      <c r="AD125" s="9">
        <v>0</v>
      </c>
      <c r="AE125" s="9">
        <v>0</v>
      </c>
      <c r="AF125" s="9">
        <v>0</v>
      </c>
      <c r="AG125" s="9">
        <v>0</v>
      </c>
      <c r="AH125" s="9">
        <v>0</v>
      </c>
      <c r="AI125" s="9">
        <v>0</v>
      </c>
      <c r="AJ125" s="9">
        <v>0</v>
      </c>
      <c r="AK125" s="9">
        <v>0</v>
      </c>
      <c r="AL125" s="9">
        <v>0</v>
      </c>
      <c r="AM125" s="9">
        <v>0</v>
      </c>
      <c r="AN125" s="9">
        <v>0</v>
      </c>
      <c r="AO125" s="9">
        <v>0</v>
      </c>
      <c r="AP125" s="9">
        <v>0</v>
      </c>
      <c r="AQ125" s="9">
        <v>0</v>
      </c>
      <c r="AR125" s="9">
        <v>0</v>
      </c>
      <c r="AS125" s="9">
        <v>0</v>
      </c>
      <c r="AT125" s="9">
        <v>0</v>
      </c>
      <c r="AU125" s="9">
        <v>0</v>
      </c>
      <c r="AV125" s="9">
        <v>0</v>
      </c>
      <c r="AW125" s="9">
        <v>0</v>
      </c>
      <c r="AX125" s="9">
        <v>0</v>
      </c>
      <c r="AY125" s="9">
        <v>0</v>
      </c>
      <c r="AZ125" s="9">
        <v>0</v>
      </c>
      <c r="BA125" s="9">
        <v>0</v>
      </c>
      <c r="BB125" s="9">
        <v>0</v>
      </c>
      <c r="BC125" s="9">
        <v>0</v>
      </c>
      <c r="BD125" s="9">
        <v>0</v>
      </c>
      <c r="BE125" s="9">
        <v>0</v>
      </c>
      <c r="BF125" s="9">
        <v>0</v>
      </c>
      <c r="BG125" s="9">
        <v>0</v>
      </c>
      <c r="BH125" s="9">
        <v>0</v>
      </c>
      <c r="BI125" s="9">
        <v>0</v>
      </c>
      <c r="BJ125" s="9">
        <v>0</v>
      </c>
      <c r="BK125" s="9">
        <v>0</v>
      </c>
      <c r="BL125" s="9">
        <v>0</v>
      </c>
      <c r="BM125" s="9">
        <v>0</v>
      </c>
      <c r="BN125" s="9">
        <v>0</v>
      </c>
      <c r="BO125" s="9">
        <v>0</v>
      </c>
      <c r="BP125" s="9">
        <v>0</v>
      </c>
      <c r="BQ125" s="9">
        <v>0</v>
      </c>
      <c r="BR125" s="9">
        <v>0</v>
      </c>
      <c r="BS125" s="9">
        <v>0</v>
      </c>
      <c r="BT125" s="9">
        <v>0</v>
      </c>
      <c r="BU125" s="9">
        <v>0</v>
      </c>
      <c r="BV125" s="9">
        <v>0</v>
      </c>
      <c r="BW125" s="9">
        <v>0</v>
      </c>
      <c r="BX125" s="9">
        <v>0</v>
      </c>
      <c r="BY125" s="9">
        <v>0</v>
      </c>
      <c r="BZ125" s="9">
        <v>0</v>
      </c>
      <c r="CA125" s="9">
        <v>0</v>
      </c>
      <c r="CB125" s="9">
        <v>0</v>
      </c>
      <c r="CC125" s="9">
        <v>0</v>
      </c>
      <c r="CD125" s="9">
        <v>0</v>
      </c>
      <c r="CE125" s="9">
        <v>0</v>
      </c>
      <c r="CF125" s="9">
        <v>0</v>
      </c>
      <c r="CG125" s="9">
        <v>0</v>
      </c>
      <c r="CH125" s="9">
        <v>0</v>
      </c>
      <c r="CI125" s="9">
        <v>0</v>
      </c>
      <c r="CJ125" s="9">
        <v>0</v>
      </c>
      <c r="CK125" s="9">
        <v>0</v>
      </c>
      <c r="CL125" s="9">
        <v>0</v>
      </c>
      <c r="CM125" s="9">
        <v>0</v>
      </c>
      <c r="CN125" s="9">
        <v>0</v>
      </c>
      <c r="CO125" s="9">
        <v>0</v>
      </c>
      <c r="CP125" s="9">
        <v>0</v>
      </c>
      <c r="CQ125" s="9">
        <v>0</v>
      </c>
      <c r="CR125" s="9">
        <v>0</v>
      </c>
      <c r="CS125" s="10">
        <v>0</v>
      </c>
    </row>
    <row r="126" spans="1:97" x14ac:dyDescent="0.35">
      <c r="A126" s="8" t="s">
        <v>73</v>
      </c>
      <c r="B126" s="9" t="s">
        <v>142</v>
      </c>
      <c r="C126" s="9" t="s">
        <v>747</v>
      </c>
      <c r="D126" s="9">
        <f t="shared" si="1"/>
        <v>5</v>
      </c>
      <c r="E126" s="9">
        <v>0</v>
      </c>
      <c r="F126" s="9">
        <v>0</v>
      </c>
      <c r="G126" s="9">
        <v>0</v>
      </c>
      <c r="H126" s="9">
        <v>0</v>
      </c>
      <c r="I126" s="9">
        <v>0</v>
      </c>
      <c r="J126" s="9">
        <v>0</v>
      </c>
      <c r="K126" s="9">
        <v>0</v>
      </c>
      <c r="L126" s="9">
        <v>0</v>
      </c>
      <c r="M126" s="9">
        <v>0</v>
      </c>
      <c r="N126" s="9">
        <v>0</v>
      </c>
      <c r="O126" s="9">
        <v>0</v>
      </c>
      <c r="P126" s="9">
        <v>0</v>
      </c>
      <c r="Q126" s="9">
        <v>0</v>
      </c>
      <c r="R126" s="9">
        <v>0</v>
      </c>
      <c r="S126" s="9">
        <v>0</v>
      </c>
      <c r="T126" s="9">
        <v>0</v>
      </c>
      <c r="U126" s="9">
        <v>1</v>
      </c>
      <c r="V126" s="9">
        <v>0</v>
      </c>
      <c r="W126" s="9">
        <v>0</v>
      </c>
      <c r="X126" s="9">
        <v>0</v>
      </c>
      <c r="Y126" s="9">
        <v>0</v>
      </c>
      <c r="Z126" s="9">
        <v>0</v>
      </c>
      <c r="AA126" s="9">
        <v>0</v>
      </c>
      <c r="AB126" s="9">
        <v>0</v>
      </c>
      <c r="AC126" s="9">
        <v>0</v>
      </c>
      <c r="AD126" s="9">
        <v>0</v>
      </c>
      <c r="AE126" s="9">
        <v>0</v>
      </c>
      <c r="AF126" s="9">
        <v>0</v>
      </c>
      <c r="AG126" s="9">
        <v>0</v>
      </c>
      <c r="AH126" s="9">
        <v>0</v>
      </c>
      <c r="AI126" s="9">
        <v>0</v>
      </c>
      <c r="AJ126" s="9">
        <v>0</v>
      </c>
      <c r="AK126" s="9">
        <v>0</v>
      </c>
      <c r="AL126" s="9">
        <v>0</v>
      </c>
      <c r="AM126" s="9">
        <v>0</v>
      </c>
      <c r="AN126" s="9">
        <v>0</v>
      </c>
      <c r="AO126" s="9">
        <v>0</v>
      </c>
      <c r="AP126" s="9">
        <v>0</v>
      </c>
      <c r="AQ126" s="9">
        <v>0</v>
      </c>
      <c r="AR126" s="9">
        <v>0</v>
      </c>
      <c r="AS126" s="9">
        <v>0</v>
      </c>
      <c r="AT126" s="9">
        <v>0</v>
      </c>
      <c r="AU126" s="9">
        <v>0</v>
      </c>
      <c r="AV126" s="9">
        <v>0</v>
      </c>
      <c r="AW126" s="9">
        <v>0</v>
      </c>
      <c r="AX126" s="9">
        <v>0</v>
      </c>
      <c r="AY126" s="9">
        <v>0</v>
      </c>
      <c r="AZ126" s="9">
        <v>0</v>
      </c>
      <c r="BA126" s="9">
        <v>0</v>
      </c>
      <c r="BB126" s="9">
        <v>0</v>
      </c>
      <c r="BC126" s="9">
        <v>0</v>
      </c>
      <c r="BD126" s="9">
        <v>0</v>
      </c>
      <c r="BE126" s="9">
        <v>0</v>
      </c>
      <c r="BF126" s="9">
        <v>0</v>
      </c>
      <c r="BG126" s="9">
        <v>0</v>
      </c>
      <c r="BH126" s="9">
        <v>0</v>
      </c>
      <c r="BI126" s="9">
        <v>0</v>
      </c>
      <c r="BJ126" s="9">
        <v>0</v>
      </c>
      <c r="BK126" s="9">
        <v>0</v>
      </c>
      <c r="BL126" s="9">
        <v>0</v>
      </c>
      <c r="BM126" s="9">
        <v>0</v>
      </c>
      <c r="BN126" s="9">
        <v>0</v>
      </c>
      <c r="BO126" s="9">
        <v>0</v>
      </c>
      <c r="BP126" s="9">
        <v>0</v>
      </c>
      <c r="BQ126" s="9">
        <v>0</v>
      </c>
      <c r="BR126" s="9">
        <v>0</v>
      </c>
      <c r="BS126" s="9">
        <v>0</v>
      </c>
      <c r="BT126" s="9">
        <v>0</v>
      </c>
      <c r="BU126" s="9">
        <v>0</v>
      </c>
      <c r="BV126" s="9">
        <v>0</v>
      </c>
      <c r="BW126" s="9">
        <v>0</v>
      </c>
      <c r="BX126" s="9">
        <v>0</v>
      </c>
      <c r="BY126" s="9">
        <v>0</v>
      </c>
      <c r="BZ126" s="9">
        <v>0</v>
      </c>
      <c r="CA126" s="9">
        <v>0</v>
      </c>
      <c r="CB126" s="9">
        <v>0</v>
      </c>
      <c r="CC126" s="9">
        <v>0</v>
      </c>
      <c r="CD126" s="9">
        <v>0</v>
      </c>
      <c r="CE126" s="9">
        <v>0</v>
      </c>
      <c r="CF126" s="9">
        <v>1</v>
      </c>
      <c r="CG126" s="9">
        <v>0</v>
      </c>
      <c r="CH126" s="9">
        <v>0</v>
      </c>
      <c r="CI126" s="9">
        <v>0</v>
      </c>
      <c r="CJ126" s="9">
        <v>0</v>
      </c>
      <c r="CK126" s="9">
        <v>0</v>
      </c>
      <c r="CL126" s="9">
        <v>0</v>
      </c>
      <c r="CM126" s="9">
        <v>0</v>
      </c>
      <c r="CN126" s="9">
        <v>0</v>
      </c>
      <c r="CO126" s="9">
        <v>0</v>
      </c>
      <c r="CP126" s="9">
        <v>1</v>
      </c>
      <c r="CQ126" s="9">
        <v>0</v>
      </c>
      <c r="CR126" s="9">
        <v>0</v>
      </c>
      <c r="CS126" s="10">
        <v>2</v>
      </c>
    </row>
    <row r="127" spans="1:97" x14ac:dyDescent="0.35">
      <c r="A127" s="8" t="s">
        <v>73</v>
      </c>
      <c r="B127" s="9" t="s">
        <v>144</v>
      </c>
      <c r="C127" s="9" t="s">
        <v>748</v>
      </c>
      <c r="D127" s="9">
        <f t="shared" si="1"/>
        <v>1</v>
      </c>
      <c r="E127" s="9">
        <v>0</v>
      </c>
      <c r="F127" s="9">
        <v>0</v>
      </c>
      <c r="G127" s="9">
        <v>0</v>
      </c>
      <c r="H127" s="9">
        <v>0</v>
      </c>
      <c r="I127" s="9">
        <v>0</v>
      </c>
      <c r="J127" s="9">
        <v>0</v>
      </c>
      <c r="K127" s="9">
        <v>0</v>
      </c>
      <c r="L127" s="9">
        <v>0</v>
      </c>
      <c r="M127" s="9">
        <v>0</v>
      </c>
      <c r="N127" s="9">
        <v>0</v>
      </c>
      <c r="O127" s="9">
        <v>0</v>
      </c>
      <c r="P127" s="9">
        <v>0</v>
      </c>
      <c r="Q127" s="9">
        <v>0</v>
      </c>
      <c r="R127" s="9">
        <v>0</v>
      </c>
      <c r="S127" s="9">
        <v>0</v>
      </c>
      <c r="T127" s="9">
        <v>0</v>
      </c>
      <c r="U127" s="9">
        <v>0</v>
      </c>
      <c r="V127" s="9">
        <v>0</v>
      </c>
      <c r="W127" s="9">
        <v>0</v>
      </c>
      <c r="X127" s="9">
        <v>0</v>
      </c>
      <c r="Y127" s="9">
        <v>0</v>
      </c>
      <c r="Z127" s="9">
        <v>0</v>
      </c>
      <c r="AA127" s="9">
        <v>0</v>
      </c>
      <c r="AB127" s="9">
        <v>0</v>
      </c>
      <c r="AC127" s="9">
        <v>0</v>
      </c>
      <c r="AD127" s="9">
        <v>0</v>
      </c>
      <c r="AE127" s="9">
        <v>0</v>
      </c>
      <c r="AF127" s="9">
        <v>0</v>
      </c>
      <c r="AG127" s="9">
        <v>0</v>
      </c>
      <c r="AH127" s="9">
        <v>0</v>
      </c>
      <c r="AI127" s="9">
        <v>0</v>
      </c>
      <c r="AJ127" s="9">
        <v>0</v>
      </c>
      <c r="AK127" s="9">
        <v>0</v>
      </c>
      <c r="AL127" s="9">
        <v>0</v>
      </c>
      <c r="AM127" s="9">
        <v>0</v>
      </c>
      <c r="AN127" s="9">
        <v>0</v>
      </c>
      <c r="AO127" s="9">
        <v>0</v>
      </c>
      <c r="AP127" s="9">
        <v>0</v>
      </c>
      <c r="AQ127" s="9">
        <v>0</v>
      </c>
      <c r="AR127" s="9">
        <v>0</v>
      </c>
      <c r="AS127" s="9">
        <v>0</v>
      </c>
      <c r="AT127" s="9">
        <v>0</v>
      </c>
      <c r="AU127" s="9">
        <v>0</v>
      </c>
      <c r="AV127" s="9">
        <v>0</v>
      </c>
      <c r="AW127" s="9">
        <v>0</v>
      </c>
      <c r="AX127" s="9">
        <v>0</v>
      </c>
      <c r="AY127" s="9">
        <v>0</v>
      </c>
      <c r="AZ127" s="9">
        <v>0</v>
      </c>
      <c r="BA127" s="9">
        <v>0</v>
      </c>
      <c r="BB127" s="9">
        <v>0</v>
      </c>
      <c r="BC127" s="9">
        <v>0</v>
      </c>
      <c r="BD127" s="9">
        <v>0</v>
      </c>
      <c r="BE127" s="9">
        <v>0</v>
      </c>
      <c r="BF127" s="9">
        <v>0</v>
      </c>
      <c r="BG127" s="9">
        <v>0</v>
      </c>
      <c r="BH127" s="9">
        <v>0</v>
      </c>
      <c r="BI127" s="9">
        <v>0</v>
      </c>
      <c r="BJ127" s="9">
        <v>0</v>
      </c>
      <c r="BK127" s="9">
        <v>0</v>
      </c>
      <c r="BL127" s="9">
        <v>0</v>
      </c>
      <c r="BM127" s="9">
        <v>0</v>
      </c>
      <c r="BN127" s="9">
        <v>0</v>
      </c>
      <c r="BO127" s="9">
        <v>0</v>
      </c>
      <c r="BP127" s="9">
        <v>0</v>
      </c>
      <c r="BQ127" s="9">
        <v>0</v>
      </c>
      <c r="BR127" s="9">
        <v>0</v>
      </c>
      <c r="BS127" s="9">
        <v>0</v>
      </c>
      <c r="BT127" s="9">
        <v>0</v>
      </c>
      <c r="BU127" s="9">
        <v>0</v>
      </c>
      <c r="BV127" s="9">
        <v>0</v>
      </c>
      <c r="BW127" s="9">
        <v>0</v>
      </c>
      <c r="BX127" s="9">
        <v>0</v>
      </c>
      <c r="BY127" s="9">
        <v>0</v>
      </c>
      <c r="BZ127" s="9">
        <v>0</v>
      </c>
      <c r="CA127" s="9">
        <v>0</v>
      </c>
      <c r="CB127" s="9">
        <v>0</v>
      </c>
      <c r="CC127" s="9">
        <v>0</v>
      </c>
      <c r="CD127" s="9">
        <v>0</v>
      </c>
      <c r="CE127" s="9">
        <v>0</v>
      </c>
      <c r="CF127" s="9">
        <v>0</v>
      </c>
      <c r="CG127" s="9">
        <v>0</v>
      </c>
      <c r="CH127" s="9">
        <v>0</v>
      </c>
      <c r="CI127" s="9">
        <v>0</v>
      </c>
      <c r="CJ127" s="9">
        <v>0</v>
      </c>
      <c r="CK127" s="9">
        <v>0</v>
      </c>
      <c r="CL127" s="9">
        <v>0</v>
      </c>
      <c r="CM127" s="9">
        <v>0</v>
      </c>
      <c r="CN127" s="9">
        <v>0</v>
      </c>
      <c r="CO127" s="9">
        <v>0</v>
      </c>
      <c r="CP127" s="9">
        <v>0</v>
      </c>
      <c r="CQ127" s="9">
        <v>0</v>
      </c>
      <c r="CR127" s="9">
        <v>1</v>
      </c>
      <c r="CS127" s="10">
        <v>0</v>
      </c>
    </row>
    <row r="128" spans="1:97" x14ac:dyDescent="0.35">
      <c r="A128" s="8" t="s">
        <v>73</v>
      </c>
      <c r="B128" s="9" t="s">
        <v>146</v>
      </c>
      <c r="C128" s="9" t="s">
        <v>749</v>
      </c>
      <c r="D128" s="9">
        <f t="shared" si="1"/>
        <v>305</v>
      </c>
      <c r="E128" s="9">
        <v>0</v>
      </c>
      <c r="F128" s="9">
        <v>0</v>
      </c>
      <c r="G128" s="9">
        <v>0</v>
      </c>
      <c r="H128" s="9">
        <v>0</v>
      </c>
      <c r="I128" s="9">
        <v>0</v>
      </c>
      <c r="J128" s="9">
        <v>0</v>
      </c>
      <c r="K128" s="9">
        <v>0</v>
      </c>
      <c r="L128" s="9">
        <v>0</v>
      </c>
      <c r="M128" s="9">
        <v>0</v>
      </c>
      <c r="N128" s="9">
        <v>2</v>
      </c>
      <c r="O128" s="9">
        <v>2</v>
      </c>
      <c r="P128" s="9">
        <v>0</v>
      </c>
      <c r="Q128" s="9">
        <v>0</v>
      </c>
      <c r="R128" s="9">
        <v>0</v>
      </c>
      <c r="S128" s="9">
        <v>0</v>
      </c>
      <c r="T128" s="9">
        <v>0</v>
      </c>
      <c r="U128" s="9">
        <v>0</v>
      </c>
      <c r="V128" s="9">
        <v>0</v>
      </c>
      <c r="W128" s="9">
        <v>0</v>
      </c>
      <c r="X128" s="9">
        <v>0</v>
      </c>
      <c r="Y128" s="9">
        <v>0</v>
      </c>
      <c r="Z128" s="9">
        <v>0</v>
      </c>
      <c r="AA128" s="9">
        <v>0</v>
      </c>
      <c r="AB128" s="9">
        <v>2</v>
      </c>
      <c r="AC128" s="9">
        <v>2</v>
      </c>
      <c r="AD128" s="9">
        <v>0</v>
      </c>
      <c r="AE128" s="9">
        <v>0</v>
      </c>
      <c r="AF128" s="9">
        <v>0</v>
      </c>
      <c r="AG128" s="9">
        <v>1</v>
      </c>
      <c r="AH128" s="9">
        <v>0</v>
      </c>
      <c r="AI128" s="9">
        <v>0</v>
      </c>
      <c r="AJ128" s="9">
        <v>1</v>
      </c>
      <c r="AK128" s="9">
        <v>0</v>
      </c>
      <c r="AL128" s="9">
        <v>0</v>
      </c>
      <c r="AM128" s="9">
        <v>0</v>
      </c>
      <c r="AN128" s="9">
        <v>0</v>
      </c>
      <c r="AO128" s="9">
        <v>1</v>
      </c>
      <c r="AP128" s="9">
        <v>0</v>
      </c>
      <c r="AQ128" s="9">
        <v>2</v>
      </c>
      <c r="AR128" s="9">
        <v>2</v>
      </c>
      <c r="AS128" s="9">
        <v>2</v>
      </c>
      <c r="AT128" s="9">
        <v>0</v>
      </c>
      <c r="AU128" s="9">
        <v>0</v>
      </c>
      <c r="AV128" s="9">
        <v>1</v>
      </c>
      <c r="AW128" s="9">
        <v>1</v>
      </c>
      <c r="AX128" s="9">
        <v>0</v>
      </c>
      <c r="AY128" s="9">
        <v>1</v>
      </c>
      <c r="AZ128" s="9">
        <v>3</v>
      </c>
      <c r="BA128" s="9">
        <v>3</v>
      </c>
      <c r="BB128" s="9">
        <v>4</v>
      </c>
      <c r="BC128" s="9">
        <v>4</v>
      </c>
      <c r="BD128" s="9">
        <v>2</v>
      </c>
      <c r="BE128" s="9">
        <v>2</v>
      </c>
      <c r="BF128" s="9">
        <v>4</v>
      </c>
      <c r="BG128" s="9">
        <v>6</v>
      </c>
      <c r="BH128" s="9">
        <v>1</v>
      </c>
      <c r="BI128" s="9">
        <v>1</v>
      </c>
      <c r="BJ128" s="9">
        <v>0</v>
      </c>
      <c r="BK128" s="9">
        <v>2</v>
      </c>
      <c r="BL128" s="9">
        <v>3</v>
      </c>
      <c r="BM128" s="9">
        <v>1</v>
      </c>
      <c r="BN128" s="9">
        <v>4</v>
      </c>
      <c r="BO128" s="9">
        <v>1</v>
      </c>
      <c r="BP128" s="9">
        <v>2</v>
      </c>
      <c r="BQ128" s="9">
        <v>7</v>
      </c>
      <c r="BR128" s="9">
        <v>4</v>
      </c>
      <c r="BS128" s="9">
        <v>8</v>
      </c>
      <c r="BT128" s="9">
        <v>4</v>
      </c>
      <c r="BU128" s="9">
        <v>4</v>
      </c>
      <c r="BV128" s="9">
        <v>4</v>
      </c>
      <c r="BW128" s="9">
        <v>4</v>
      </c>
      <c r="BX128" s="9">
        <v>5</v>
      </c>
      <c r="BY128" s="9">
        <v>8</v>
      </c>
      <c r="BZ128" s="9">
        <v>10</v>
      </c>
      <c r="CA128" s="9">
        <v>9</v>
      </c>
      <c r="CB128" s="9">
        <v>9</v>
      </c>
      <c r="CC128" s="9">
        <v>10</v>
      </c>
      <c r="CD128" s="9">
        <v>5</v>
      </c>
      <c r="CE128" s="9">
        <v>9</v>
      </c>
      <c r="CF128" s="9">
        <v>7</v>
      </c>
      <c r="CG128" s="9">
        <v>12</v>
      </c>
      <c r="CH128" s="9">
        <v>11</v>
      </c>
      <c r="CI128" s="9">
        <v>12</v>
      </c>
      <c r="CJ128" s="9">
        <v>12</v>
      </c>
      <c r="CK128" s="9">
        <v>12</v>
      </c>
      <c r="CL128" s="9">
        <v>15</v>
      </c>
      <c r="CM128" s="9">
        <v>12</v>
      </c>
      <c r="CN128" s="9">
        <v>5</v>
      </c>
      <c r="CO128" s="9">
        <v>9</v>
      </c>
      <c r="CP128" s="9">
        <v>8</v>
      </c>
      <c r="CQ128" s="9">
        <v>3</v>
      </c>
      <c r="CR128" s="9">
        <v>13</v>
      </c>
      <c r="CS128" s="10">
        <v>11</v>
      </c>
    </row>
    <row r="129" spans="1:97" x14ac:dyDescent="0.35">
      <c r="A129" s="8" t="s">
        <v>73</v>
      </c>
      <c r="B129" s="9" t="s">
        <v>148</v>
      </c>
      <c r="C129" s="9" t="s">
        <v>750</v>
      </c>
      <c r="D129" s="9">
        <f t="shared" si="1"/>
        <v>71</v>
      </c>
      <c r="E129" s="9">
        <v>0</v>
      </c>
      <c r="F129" s="9">
        <v>1</v>
      </c>
      <c r="G129" s="9">
        <v>0</v>
      </c>
      <c r="H129" s="9">
        <v>0</v>
      </c>
      <c r="I129" s="9">
        <v>1</v>
      </c>
      <c r="J129" s="9">
        <v>1</v>
      </c>
      <c r="K129" s="9">
        <v>0</v>
      </c>
      <c r="L129" s="9">
        <v>0</v>
      </c>
      <c r="M129" s="9">
        <v>0</v>
      </c>
      <c r="N129" s="9">
        <v>2</v>
      </c>
      <c r="O129" s="9">
        <v>1</v>
      </c>
      <c r="P129" s="9">
        <v>0</v>
      </c>
      <c r="Q129" s="9">
        <v>0</v>
      </c>
      <c r="R129" s="9">
        <v>1</v>
      </c>
      <c r="S129" s="9">
        <v>0</v>
      </c>
      <c r="T129" s="9">
        <v>0</v>
      </c>
      <c r="U129" s="9">
        <v>0</v>
      </c>
      <c r="V129" s="9">
        <v>0</v>
      </c>
      <c r="W129" s="9">
        <v>0</v>
      </c>
      <c r="X129" s="9">
        <v>0</v>
      </c>
      <c r="Y129" s="9">
        <v>0</v>
      </c>
      <c r="Z129" s="9">
        <v>1</v>
      </c>
      <c r="AA129" s="9">
        <v>0</v>
      </c>
      <c r="AB129" s="9">
        <v>0</v>
      </c>
      <c r="AC129" s="9">
        <v>0</v>
      </c>
      <c r="AD129" s="9">
        <v>0</v>
      </c>
      <c r="AE129" s="9">
        <v>0</v>
      </c>
      <c r="AF129" s="9">
        <v>1</v>
      </c>
      <c r="AG129" s="9">
        <v>0</v>
      </c>
      <c r="AH129" s="9">
        <v>1</v>
      </c>
      <c r="AI129" s="9">
        <v>0</v>
      </c>
      <c r="AJ129" s="9">
        <v>0</v>
      </c>
      <c r="AK129" s="9">
        <v>0</v>
      </c>
      <c r="AL129" s="9">
        <v>0</v>
      </c>
      <c r="AM129" s="9">
        <v>0</v>
      </c>
      <c r="AN129" s="9">
        <v>0</v>
      </c>
      <c r="AO129" s="9">
        <v>0</v>
      </c>
      <c r="AP129" s="9">
        <v>0</v>
      </c>
      <c r="AQ129" s="9">
        <v>0</v>
      </c>
      <c r="AR129" s="9">
        <v>0</v>
      </c>
      <c r="AS129" s="9">
        <v>0</v>
      </c>
      <c r="AT129" s="9">
        <v>0</v>
      </c>
      <c r="AU129" s="9">
        <v>0</v>
      </c>
      <c r="AV129" s="9">
        <v>1</v>
      </c>
      <c r="AW129" s="9">
        <v>1</v>
      </c>
      <c r="AX129" s="9">
        <v>1</v>
      </c>
      <c r="AY129" s="9">
        <v>0</v>
      </c>
      <c r="AZ129" s="9">
        <v>0</v>
      </c>
      <c r="BA129" s="9">
        <v>0</v>
      </c>
      <c r="BB129" s="9">
        <v>0</v>
      </c>
      <c r="BC129" s="9">
        <v>0</v>
      </c>
      <c r="BD129" s="9">
        <v>1</v>
      </c>
      <c r="BE129" s="9">
        <v>0</v>
      </c>
      <c r="BF129" s="9">
        <v>0</v>
      </c>
      <c r="BG129" s="9">
        <v>1</v>
      </c>
      <c r="BH129" s="9">
        <v>1</v>
      </c>
      <c r="BI129" s="9">
        <v>0</v>
      </c>
      <c r="BJ129" s="9">
        <v>2</v>
      </c>
      <c r="BK129" s="9">
        <v>0</v>
      </c>
      <c r="BL129" s="9">
        <v>1</v>
      </c>
      <c r="BM129" s="9">
        <v>2</v>
      </c>
      <c r="BN129" s="9">
        <v>2</v>
      </c>
      <c r="BO129" s="9">
        <v>0</v>
      </c>
      <c r="BP129" s="9">
        <v>0</v>
      </c>
      <c r="BQ129" s="9">
        <v>2</v>
      </c>
      <c r="BR129" s="9">
        <v>0</v>
      </c>
      <c r="BS129" s="9">
        <v>0</v>
      </c>
      <c r="BT129" s="9">
        <v>0</v>
      </c>
      <c r="BU129" s="9">
        <v>1</v>
      </c>
      <c r="BV129" s="9">
        <v>0</v>
      </c>
      <c r="BW129" s="9">
        <v>0</v>
      </c>
      <c r="BX129" s="9">
        <v>0</v>
      </c>
      <c r="BY129" s="9">
        <v>1</v>
      </c>
      <c r="BZ129" s="9">
        <v>0</v>
      </c>
      <c r="CA129" s="9">
        <v>1</v>
      </c>
      <c r="CB129" s="9">
        <v>3</v>
      </c>
      <c r="CC129" s="9">
        <v>3</v>
      </c>
      <c r="CD129" s="9">
        <v>4</v>
      </c>
      <c r="CE129" s="9">
        <v>0</v>
      </c>
      <c r="CF129" s="9">
        <v>3</v>
      </c>
      <c r="CG129" s="9">
        <v>2</v>
      </c>
      <c r="CH129" s="9">
        <v>2</v>
      </c>
      <c r="CI129" s="9">
        <v>0</v>
      </c>
      <c r="CJ129" s="9">
        <v>1</v>
      </c>
      <c r="CK129" s="9">
        <v>2</v>
      </c>
      <c r="CL129" s="9">
        <v>0</v>
      </c>
      <c r="CM129" s="9">
        <v>7</v>
      </c>
      <c r="CN129" s="9">
        <v>2</v>
      </c>
      <c r="CO129" s="9">
        <v>3</v>
      </c>
      <c r="CP129" s="9">
        <v>2</v>
      </c>
      <c r="CQ129" s="9">
        <v>2</v>
      </c>
      <c r="CR129" s="9">
        <v>1</v>
      </c>
      <c r="CS129" s="10">
        <v>6</v>
      </c>
    </row>
    <row r="130" spans="1:97" x14ac:dyDescent="0.35">
      <c r="A130" s="8" t="s">
        <v>73</v>
      </c>
      <c r="B130" s="9" t="s">
        <v>150</v>
      </c>
      <c r="C130" s="9" t="s">
        <v>751</v>
      </c>
      <c r="D130" s="9">
        <f t="shared" si="1"/>
        <v>3</v>
      </c>
      <c r="E130" s="9">
        <v>0</v>
      </c>
      <c r="F130" s="9">
        <v>0</v>
      </c>
      <c r="G130" s="9">
        <v>0</v>
      </c>
      <c r="H130" s="9">
        <v>0</v>
      </c>
      <c r="I130" s="9">
        <v>0</v>
      </c>
      <c r="J130" s="9">
        <v>0</v>
      </c>
      <c r="K130" s="9">
        <v>0</v>
      </c>
      <c r="L130" s="9">
        <v>0</v>
      </c>
      <c r="M130" s="9">
        <v>0</v>
      </c>
      <c r="N130" s="9">
        <v>0</v>
      </c>
      <c r="O130" s="9">
        <v>0</v>
      </c>
      <c r="P130" s="9">
        <v>0</v>
      </c>
      <c r="Q130" s="9">
        <v>0</v>
      </c>
      <c r="R130" s="9">
        <v>0</v>
      </c>
      <c r="S130" s="9">
        <v>0</v>
      </c>
      <c r="T130" s="9">
        <v>0</v>
      </c>
      <c r="U130" s="9">
        <v>0</v>
      </c>
      <c r="V130" s="9">
        <v>0</v>
      </c>
      <c r="W130" s="9">
        <v>0</v>
      </c>
      <c r="X130" s="9">
        <v>0</v>
      </c>
      <c r="Y130" s="9">
        <v>0</v>
      </c>
      <c r="Z130" s="9">
        <v>0</v>
      </c>
      <c r="AA130" s="9">
        <v>0</v>
      </c>
      <c r="AB130" s="9">
        <v>0</v>
      </c>
      <c r="AC130" s="9">
        <v>0</v>
      </c>
      <c r="AD130" s="9">
        <v>0</v>
      </c>
      <c r="AE130" s="9">
        <v>1</v>
      </c>
      <c r="AF130" s="9">
        <v>0</v>
      </c>
      <c r="AG130" s="9">
        <v>0</v>
      </c>
      <c r="AH130" s="9">
        <v>0</v>
      </c>
      <c r="AI130" s="9">
        <v>0</v>
      </c>
      <c r="AJ130" s="9">
        <v>0</v>
      </c>
      <c r="AK130" s="9">
        <v>0</v>
      </c>
      <c r="AL130" s="9">
        <v>0</v>
      </c>
      <c r="AM130" s="9">
        <v>0</v>
      </c>
      <c r="AN130" s="9">
        <v>0</v>
      </c>
      <c r="AO130" s="9">
        <v>0</v>
      </c>
      <c r="AP130" s="9">
        <v>0</v>
      </c>
      <c r="AQ130" s="9">
        <v>0</v>
      </c>
      <c r="AR130" s="9">
        <v>0</v>
      </c>
      <c r="AS130" s="9">
        <v>0</v>
      </c>
      <c r="AT130" s="9">
        <v>0</v>
      </c>
      <c r="AU130" s="9">
        <v>0</v>
      </c>
      <c r="AV130" s="9">
        <v>0</v>
      </c>
      <c r="AW130" s="9">
        <v>0</v>
      </c>
      <c r="AX130" s="9">
        <v>0</v>
      </c>
      <c r="AY130" s="9">
        <v>0</v>
      </c>
      <c r="AZ130" s="9">
        <v>0</v>
      </c>
      <c r="BA130" s="9">
        <v>0</v>
      </c>
      <c r="BB130" s="9">
        <v>0</v>
      </c>
      <c r="BC130" s="9">
        <v>0</v>
      </c>
      <c r="BD130" s="9">
        <v>0</v>
      </c>
      <c r="BE130" s="9">
        <v>0</v>
      </c>
      <c r="BF130" s="9">
        <v>0</v>
      </c>
      <c r="BG130" s="9">
        <v>0</v>
      </c>
      <c r="BH130" s="9">
        <v>0</v>
      </c>
      <c r="BI130" s="9">
        <v>0</v>
      </c>
      <c r="BJ130" s="9">
        <v>0</v>
      </c>
      <c r="BK130" s="9">
        <v>0</v>
      </c>
      <c r="BL130" s="9">
        <v>0</v>
      </c>
      <c r="BM130" s="9">
        <v>0</v>
      </c>
      <c r="BN130" s="9">
        <v>0</v>
      </c>
      <c r="BO130" s="9">
        <v>0</v>
      </c>
      <c r="BP130" s="9">
        <v>0</v>
      </c>
      <c r="BQ130" s="9">
        <v>0</v>
      </c>
      <c r="BR130" s="9">
        <v>0</v>
      </c>
      <c r="BS130" s="9">
        <v>0</v>
      </c>
      <c r="BT130" s="9">
        <v>0</v>
      </c>
      <c r="BU130" s="9">
        <v>0</v>
      </c>
      <c r="BV130" s="9">
        <v>0</v>
      </c>
      <c r="BW130" s="9">
        <v>0</v>
      </c>
      <c r="BX130" s="9">
        <v>0</v>
      </c>
      <c r="BY130" s="9">
        <v>0</v>
      </c>
      <c r="BZ130" s="9">
        <v>1</v>
      </c>
      <c r="CA130" s="9">
        <v>1</v>
      </c>
      <c r="CB130" s="9">
        <v>0</v>
      </c>
      <c r="CC130" s="9">
        <v>0</v>
      </c>
      <c r="CD130" s="9">
        <v>0</v>
      </c>
      <c r="CE130" s="9">
        <v>0</v>
      </c>
      <c r="CF130" s="9">
        <v>0</v>
      </c>
      <c r="CG130" s="9">
        <v>0</v>
      </c>
      <c r="CH130" s="9">
        <v>0</v>
      </c>
      <c r="CI130" s="9">
        <v>0</v>
      </c>
      <c r="CJ130" s="9">
        <v>0</v>
      </c>
      <c r="CK130" s="9">
        <v>0</v>
      </c>
      <c r="CL130" s="9">
        <v>0</v>
      </c>
      <c r="CM130" s="9">
        <v>0</v>
      </c>
      <c r="CN130" s="9">
        <v>0</v>
      </c>
      <c r="CO130" s="9">
        <v>0</v>
      </c>
      <c r="CP130" s="9">
        <v>0</v>
      </c>
      <c r="CQ130" s="9">
        <v>0</v>
      </c>
      <c r="CR130" s="9">
        <v>0</v>
      </c>
      <c r="CS130" s="10">
        <v>0</v>
      </c>
    </row>
    <row r="131" spans="1:97" x14ac:dyDescent="0.35">
      <c r="A131" s="8" t="s">
        <v>73</v>
      </c>
      <c r="B131" s="9" t="s">
        <v>152</v>
      </c>
      <c r="C131" s="9" t="s">
        <v>752</v>
      </c>
      <c r="D131" s="9">
        <f t="shared" ref="D131:D194" si="2">SUM(E131:CS131)</f>
        <v>0</v>
      </c>
      <c r="E131" s="9">
        <v>0</v>
      </c>
      <c r="F131" s="9">
        <v>0</v>
      </c>
      <c r="G131" s="9">
        <v>0</v>
      </c>
      <c r="H131" s="9">
        <v>0</v>
      </c>
      <c r="I131" s="9">
        <v>0</v>
      </c>
      <c r="J131" s="9">
        <v>0</v>
      </c>
      <c r="K131" s="9">
        <v>0</v>
      </c>
      <c r="L131" s="9">
        <v>0</v>
      </c>
      <c r="M131" s="9">
        <v>0</v>
      </c>
      <c r="N131" s="9">
        <v>0</v>
      </c>
      <c r="O131" s="9">
        <v>0</v>
      </c>
      <c r="P131" s="9">
        <v>0</v>
      </c>
      <c r="Q131" s="9">
        <v>0</v>
      </c>
      <c r="R131" s="9">
        <v>0</v>
      </c>
      <c r="S131" s="9">
        <v>0</v>
      </c>
      <c r="T131" s="9">
        <v>0</v>
      </c>
      <c r="U131" s="9">
        <v>0</v>
      </c>
      <c r="V131" s="9">
        <v>0</v>
      </c>
      <c r="W131" s="9">
        <v>0</v>
      </c>
      <c r="X131" s="9">
        <v>0</v>
      </c>
      <c r="Y131" s="9">
        <v>0</v>
      </c>
      <c r="Z131" s="9">
        <v>0</v>
      </c>
      <c r="AA131" s="9">
        <v>0</v>
      </c>
      <c r="AB131" s="9">
        <v>0</v>
      </c>
      <c r="AC131" s="9">
        <v>0</v>
      </c>
      <c r="AD131" s="9">
        <v>0</v>
      </c>
      <c r="AE131" s="9">
        <v>0</v>
      </c>
      <c r="AF131" s="9">
        <v>0</v>
      </c>
      <c r="AG131" s="9">
        <v>0</v>
      </c>
      <c r="AH131" s="9">
        <v>0</v>
      </c>
      <c r="AI131" s="9">
        <v>0</v>
      </c>
      <c r="AJ131" s="9">
        <v>0</v>
      </c>
      <c r="AK131" s="9">
        <v>0</v>
      </c>
      <c r="AL131" s="9">
        <v>0</v>
      </c>
      <c r="AM131" s="9">
        <v>0</v>
      </c>
      <c r="AN131" s="9">
        <v>0</v>
      </c>
      <c r="AO131" s="9">
        <v>0</v>
      </c>
      <c r="AP131" s="9">
        <v>0</v>
      </c>
      <c r="AQ131" s="9">
        <v>0</v>
      </c>
      <c r="AR131" s="9">
        <v>0</v>
      </c>
      <c r="AS131" s="9">
        <v>0</v>
      </c>
      <c r="AT131" s="9">
        <v>0</v>
      </c>
      <c r="AU131" s="9">
        <v>0</v>
      </c>
      <c r="AV131" s="9">
        <v>0</v>
      </c>
      <c r="AW131" s="9">
        <v>0</v>
      </c>
      <c r="AX131" s="9">
        <v>0</v>
      </c>
      <c r="AY131" s="9">
        <v>0</v>
      </c>
      <c r="AZ131" s="9">
        <v>0</v>
      </c>
      <c r="BA131" s="9">
        <v>0</v>
      </c>
      <c r="BB131" s="9">
        <v>0</v>
      </c>
      <c r="BC131" s="9">
        <v>0</v>
      </c>
      <c r="BD131" s="9">
        <v>0</v>
      </c>
      <c r="BE131" s="9">
        <v>0</v>
      </c>
      <c r="BF131" s="9">
        <v>0</v>
      </c>
      <c r="BG131" s="9">
        <v>0</v>
      </c>
      <c r="BH131" s="9">
        <v>0</v>
      </c>
      <c r="BI131" s="9">
        <v>0</v>
      </c>
      <c r="BJ131" s="9">
        <v>0</v>
      </c>
      <c r="BK131" s="9">
        <v>0</v>
      </c>
      <c r="BL131" s="9">
        <v>0</v>
      </c>
      <c r="BM131" s="9">
        <v>0</v>
      </c>
      <c r="BN131" s="9">
        <v>0</v>
      </c>
      <c r="BO131" s="9">
        <v>0</v>
      </c>
      <c r="BP131" s="9">
        <v>0</v>
      </c>
      <c r="BQ131" s="9">
        <v>0</v>
      </c>
      <c r="BR131" s="9">
        <v>0</v>
      </c>
      <c r="BS131" s="9">
        <v>0</v>
      </c>
      <c r="BT131" s="9">
        <v>0</v>
      </c>
      <c r="BU131" s="9">
        <v>0</v>
      </c>
      <c r="BV131" s="9">
        <v>0</v>
      </c>
      <c r="BW131" s="9">
        <v>0</v>
      </c>
      <c r="BX131" s="9">
        <v>0</v>
      </c>
      <c r="BY131" s="9">
        <v>0</v>
      </c>
      <c r="BZ131" s="9">
        <v>0</v>
      </c>
      <c r="CA131" s="9">
        <v>0</v>
      </c>
      <c r="CB131" s="9">
        <v>0</v>
      </c>
      <c r="CC131" s="9">
        <v>0</v>
      </c>
      <c r="CD131" s="9">
        <v>0</v>
      </c>
      <c r="CE131" s="9">
        <v>0</v>
      </c>
      <c r="CF131" s="9">
        <v>0</v>
      </c>
      <c r="CG131" s="9">
        <v>0</v>
      </c>
      <c r="CH131" s="9">
        <v>0</v>
      </c>
      <c r="CI131" s="9">
        <v>0</v>
      </c>
      <c r="CJ131" s="9">
        <v>0</v>
      </c>
      <c r="CK131" s="9">
        <v>0</v>
      </c>
      <c r="CL131" s="9">
        <v>0</v>
      </c>
      <c r="CM131" s="9">
        <v>0</v>
      </c>
      <c r="CN131" s="9">
        <v>0</v>
      </c>
      <c r="CO131" s="9">
        <v>0</v>
      </c>
      <c r="CP131" s="9">
        <v>0</v>
      </c>
      <c r="CQ131" s="9">
        <v>0</v>
      </c>
      <c r="CR131" s="9">
        <v>0</v>
      </c>
      <c r="CS131" s="10">
        <v>0</v>
      </c>
    </row>
    <row r="132" spans="1:97" x14ac:dyDescent="0.35">
      <c r="A132" s="8" t="s">
        <v>73</v>
      </c>
      <c r="B132" s="9" t="s">
        <v>154</v>
      </c>
      <c r="C132" s="9" t="s">
        <v>753</v>
      </c>
      <c r="D132" s="9">
        <f t="shared" si="2"/>
        <v>65</v>
      </c>
      <c r="E132" s="9">
        <v>0</v>
      </c>
      <c r="F132" s="9">
        <v>0</v>
      </c>
      <c r="G132" s="9">
        <v>0</v>
      </c>
      <c r="H132" s="9">
        <v>1</v>
      </c>
      <c r="I132" s="9">
        <v>0</v>
      </c>
      <c r="J132" s="9">
        <v>0</v>
      </c>
      <c r="K132" s="9">
        <v>1</v>
      </c>
      <c r="L132" s="9">
        <v>0</v>
      </c>
      <c r="M132" s="9">
        <v>1</v>
      </c>
      <c r="N132" s="9">
        <v>0</v>
      </c>
      <c r="O132" s="9">
        <v>0</v>
      </c>
      <c r="P132" s="9">
        <v>1</v>
      </c>
      <c r="Q132" s="9">
        <v>0</v>
      </c>
      <c r="R132" s="9">
        <v>2</v>
      </c>
      <c r="S132" s="9">
        <v>1</v>
      </c>
      <c r="T132" s="9">
        <v>0</v>
      </c>
      <c r="U132" s="9">
        <v>0</v>
      </c>
      <c r="V132" s="9">
        <v>0</v>
      </c>
      <c r="W132" s="9">
        <v>0</v>
      </c>
      <c r="X132" s="9">
        <v>0</v>
      </c>
      <c r="Y132" s="9">
        <v>0</v>
      </c>
      <c r="Z132" s="9">
        <v>0</v>
      </c>
      <c r="AA132" s="9">
        <v>1</v>
      </c>
      <c r="AB132" s="9">
        <v>0</v>
      </c>
      <c r="AC132" s="9">
        <v>0</v>
      </c>
      <c r="AD132" s="9">
        <v>0</v>
      </c>
      <c r="AE132" s="9">
        <v>1</v>
      </c>
      <c r="AF132" s="9">
        <v>0</v>
      </c>
      <c r="AG132" s="9">
        <v>0</v>
      </c>
      <c r="AH132" s="9">
        <v>0</v>
      </c>
      <c r="AI132" s="9">
        <v>0</v>
      </c>
      <c r="AJ132" s="9">
        <v>0</v>
      </c>
      <c r="AK132" s="9">
        <v>0</v>
      </c>
      <c r="AL132" s="9">
        <v>2</v>
      </c>
      <c r="AM132" s="9">
        <v>2</v>
      </c>
      <c r="AN132" s="9">
        <v>2</v>
      </c>
      <c r="AO132" s="9">
        <v>0</v>
      </c>
      <c r="AP132" s="9">
        <v>0</v>
      </c>
      <c r="AQ132" s="9">
        <v>0</v>
      </c>
      <c r="AR132" s="9">
        <v>0</v>
      </c>
      <c r="AS132" s="9">
        <v>0</v>
      </c>
      <c r="AT132" s="9">
        <v>0</v>
      </c>
      <c r="AU132" s="9">
        <v>0</v>
      </c>
      <c r="AV132" s="9">
        <v>2</v>
      </c>
      <c r="AW132" s="9">
        <v>0</v>
      </c>
      <c r="AX132" s="9">
        <v>1</v>
      </c>
      <c r="AY132" s="9">
        <v>0</v>
      </c>
      <c r="AZ132" s="9">
        <v>0</v>
      </c>
      <c r="BA132" s="9">
        <v>0</v>
      </c>
      <c r="BB132" s="9">
        <v>1</v>
      </c>
      <c r="BC132" s="9">
        <v>0</v>
      </c>
      <c r="BD132" s="9">
        <v>1</v>
      </c>
      <c r="BE132" s="9">
        <v>0</v>
      </c>
      <c r="BF132" s="9">
        <v>0</v>
      </c>
      <c r="BG132" s="9">
        <v>0</v>
      </c>
      <c r="BH132" s="9">
        <v>0</v>
      </c>
      <c r="BI132" s="9">
        <v>0</v>
      </c>
      <c r="BJ132" s="9">
        <v>1</v>
      </c>
      <c r="BK132" s="9">
        <v>2</v>
      </c>
      <c r="BL132" s="9">
        <v>2</v>
      </c>
      <c r="BM132" s="9">
        <v>0</v>
      </c>
      <c r="BN132" s="9">
        <v>0</v>
      </c>
      <c r="BO132" s="9">
        <v>1</v>
      </c>
      <c r="BP132" s="9">
        <v>0</v>
      </c>
      <c r="BQ132" s="9">
        <v>0</v>
      </c>
      <c r="BR132" s="9">
        <v>1</v>
      </c>
      <c r="BS132" s="9">
        <v>0</v>
      </c>
      <c r="BT132" s="9">
        <v>1</v>
      </c>
      <c r="BU132" s="9">
        <v>0</v>
      </c>
      <c r="BV132" s="9">
        <v>1</v>
      </c>
      <c r="BW132" s="9">
        <v>1</v>
      </c>
      <c r="BX132" s="9">
        <v>0</v>
      </c>
      <c r="BY132" s="9">
        <v>2</v>
      </c>
      <c r="BZ132" s="9">
        <v>2</v>
      </c>
      <c r="CA132" s="9">
        <v>3</v>
      </c>
      <c r="CB132" s="9">
        <v>0</v>
      </c>
      <c r="CC132" s="9">
        <v>2</v>
      </c>
      <c r="CD132" s="9">
        <v>0</v>
      </c>
      <c r="CE132" s="9">
        <v>1</v>
      </c>
      <c r="CF132" s="9">
        <v>0</v>
      </c>
      <c r="CG132" s="9">
        <v>4</v>
      </c>
      <c r="CH132" s="9">
        <v>2</v>
      </c>
      <c r="CI132" s="9">
        <v>2</v>
      </c>
      <c r="CJ132" s="9">
        <v>2</v>
      </c>
      <c r="CK132" s="9">
        <v>2</v>
      </c>
      <c r="CL132" s="9">
        <v>3</v>
      </c>
      <c r="CM132" s="9">
        <v>2</v>
      </c>
      <c r="CN132" s="9">
        <v>1</v>
      </c>
      <c r="CO132" s="9">
        <v>1</v>
      </c>
      <c r="CP132" s="9">
        <v>1</v>
      </c>
      <c r="CQ132" s="9">
        <v>2</v>
      </c>
      <c r="CR132" s="9">
        <v>1</v>
      </c>
      <c r="CS132" s="10">
        <v>2</v>
      </c>
    </row>
    <row r="133" spans="1:97" x14ac:dyDescent="0.35">
      <c r="A133" s="8" t="s">
        <v>73</v>
      </c>
      <c r="B133" s="9" t="s">
        <v>156</v>
      </c>
      <c r="C133" s="9" t="s">
        <v>754</v>
      </c>
      <c r="D133" s="9">
        <f t="shared" si="2"/>
        <v>15</v>
      </c>
      <c r="E133" s="9">
        <v>0</v>
      </c>
      <c r="F133" s="9">
        <v>0</v>
      </c>
      <c r="G133" s="9">
        <v>0</v>
      </c>
      <c r="H133" s="9">
        <v>0</v>
      </c>
      <c r="I133" s="9">
        <v>0</v>
      </c>
      <c r="J133" s="9">
        <v>0</v>
      </c>
      <c r="K133" s="9">
        <v>0</v>
      </c>
      <c r="L133" s="9">
        <v>0</v>
      </c>
      <c r="M133" s="9">
        <v>0</v>
      </c>
      <c r="N133" s="9">
        <v>0</v>
      </c>
      <c r="O133" s="9">
        <v>0</v>
      </c>
      <c r="P133" s="9">
        <v>0</v>
      </c>
      <c r="Q133" s="9">
        <v>0</v>
      </c>
      <c r="R133" s="9">
        <v>0</v>
      </c>
      <c r="S133" s="9">
        <v>0</v>
      </c>
      <c r="T133" s="9">
        <v>0</v>
      </c>
      <c r="U133" s="9">
        <v>0</v>
      </c>
      <c r="V133" s="9">
        <v>0</v>
      </c>
      <c r="W133" s="9">
        <v>0</v>
      </c>
      <c r="X133" s="9">
        <v>0</v>
      </c>
      <c r="Y133" s="9">
        <v>0</v>
      </c>
      <c r="Z133" s="9">
        <v>0</v>
      </c>
      <c r="AA133" s="9">
        <v>0</v>
      </c>
      <c r="AB133" s="9">
        <v>0</v>
      </c>
      <c r="AC133" s="9">
        <v>0</v>
      </c>
      <c r="AD133" s="9">
        <v>0</v>
      </c>
      <c r="AE133" s="9">
        <v>0</v>
      </c>
      <c r="AF133" s="9">
        <v>0</v>
      </c>
      <c r="AG133" s="9">
        <v>0</v>
      </c>
      <c r="AH133" s="9">
        <v>0</v>
      </c>
      <c r="AI133" s="9">
        <v>0</v>
      </c>
      <c r="AJ133" s="9">
        <v>1</v>
      </c>
      <c r="AK133" s="9">
        <v>0</v>
      </c>
      <c r="AL133" s="9">
        <v>0</v>
      </c>
      <c r="AM133" s="9">
        <v>0</v>
      </c>
      <c r="AN133" s="9">
        <v>0</v>
      </c>
      <c r="AO133" s="9">
        <v>0</v>
      </c>
      <c r="AP133" s="9">
        <v>0</v>
      </c>
      <c r="AQ133" s="9">
        <v>0</v>
      </c>
      <c r="AR133" s="9">
        <v>0</v>
      </c>
      <c r="AS133" s="9">
        <v>0</v>
      </c>
      <c r="AT133" s="9">
        <v>0</v>
      </c>
      <c r="AU133" s="9">
        <v>0</v>
      </c>
      <c r="AV133" s="9">
        <v>0</v>
      </c>
      <c r="AW133" s="9">
        <v>0</v>
      </c>
      <c r="AX133" s="9">
        <v>0</v>
      </c>
      <c r="AY133" s="9">
        <v>0</v>
      </c>
      <c r="AZ133" s="9">
        <v>0</v>
      </c>
      <c r="BA133" s="9">
        <v>0</v>
      </c>
      <c r="BB133" s="9">
        <v>0</v>
      </c>
      <c r="BC133" s="9">
        <v>0</v>
      </c>
      <c r="BD133" s="9">
        <v>0</v>
      </c>
      <c r="BE133" s="9">
        <v>0</v>
      </c>
      <c r="BF133" s="9">
        <v>0</v>
      </c>
      <c r="BG133" s="9">
        <v>1</v>
      </c>
      <c r="BH133" s="9">
        <v>0</v>
      </c>
      <c r="BI133" s="9">
        <v>0</v>
      </c>
      <c r="BJ133" s="9">
        <v>0</v>
      </c>
      <c r="BK133" s="9">
        <v>0</v>
      </c>
      <c r="BL133" s="9">
        <v>0</v>
      </c>
      <c r="BM133" s="9">
        <v>0</v>
      </c>
      <c r="BN133" s="9">
        <v>0</v>
      </c>
      <c r="BO133" s="9">
        <v>1</v>
      </c>
      <c r="BP133" s="9">
        <v>0</v>
      </c>
      <c r="BQ133" s="9">
        <v>0</v>
      </c>
      <c r="BR133" s="9">
        <v>1</v>
      </c>
      <c r="BS133" s="9">
        <v>0</v>
      </c>
      <c r="BT133" s="9">
        <v>1</v>
      </c>
      <c r="BU133" s="9">
        <v>0</v>
      </c>
      <c r="BV133" s="9">
        <v>1</v>
      </c>
      <c r="BW133" s="9">
        <v>1</v>
      </c>
      <c r="BX133" s="9">
        <v>1</v>
      </c>
      <c r="BY133" s="9">
        <v>2</v>
      </c>
      <c r="BZ133" s="9">
        <v>0</v>
      </c>
      <c r="CA133" s="9">
        <v>0</v>
      </c>
      <c r="CB133" s="9">
        <v>0</v>
      </c>
      <c r="CC133" s="9">
        <v>0</v>
      </c>
      <c r="CD133" s="9">
        <v>0</v>
      </c>
      <c r="CE133" s="9">
        <v>0</v>
      </c>
      <c r="CF133" s="9">
        <v>1</v>
      </c>
      <c r="CG133" s="9">
        <v>0</v>
      </c>
      <c r="CH133" s="9">
        <v>0</v>
      </c>
      <c r="CI133" s="9">
        <v>0</v>
      </c>
      <c r="CJ133" s="9">
        <v>0</v>
      </c>
      <c r="CK133" s="9">
        <v>0</v>
      </c>
      <c r="CL133" s="9">
        <v>0</v>
      </c>
      <c r="CM133" s="9">
        <v>0</v>
      </c>
      <c r="CN133" s="9">
        <v>1</v>
      </c>
      <c r="CO133" s="9">
        <v>2</v>
      </c>
      <c r="CP133" s="9">
        <v>1</v>
      </c>
      <c r="CQ133" s="9">
        <v>0</v>
      </c>
      <c r="CR133" s="9">
        <v>0</v>
      </c>
      <c r="CS133" s="10">
        <v>0</v>
      </c>
    </row>
    <row r="134" spans="1:97" x14ac:dyDescent="0.35">
      <c r="A134" s="8" t="s">
        <v>73</v>
      </c>
      <c r="B134" s="9" t="s">
        <v>158</v>
      </c>
      <c r="C134" s="9" t="s">
        <v>755</v>
      </c>
      <c r="D134" s="9">
        <f t="shared" si="2"/>
        <v>18</v>
      </c>
      <c r="E134" s="9">
        <v>0</v>
      </c>
      <c r="F134" s="9">
        <v>0</v>
      </c>
      <c r="G134" s="9">
        <v>0</v>
      </c>
      <c r="H134" s="9">
        <v>0</v>
      </c>
      <c r="I134" s="9">
        <v>0</v>
      </c>
      <c r="J134" s="9">
        <v>0</v>
      </c>
      <c r="K134" s="9">
        <v>0</v>
      </c>
      <c r="L134" s="9">
        <v>0</v>
      </c>
      <c r="M134" s="9">
        <v>0</v>
      </c>
      <c r="N134" s="9">
        <v>0</v>
      </c>
      <c r="O134" s="9">
        <v>0</v>
      </c>
      <c r="P134" s="9">
        <v>0</v>
      </c>
      <c r="Q134" s="9">
        <v>0</v>
      </c>
      <c r="R134" s="9">
        <v>0</v>
      </c>
      <c r="S134" s="9">
        <v>0</v>
      </c>
      <c r="T134" s="9">
        <v>0</v>
      </c>
      <c r="U134" s="9">
        <v>0</v>
      </c>
      <c r="V134" s="9">
        <v>0</v>
      </c>
      <c r="W134" s="9">
        <v>0</v>
      </c>
      <c r="X134" s="9">
        <v>0</v>
      </c>
      <c r="Y134" s="9">
        <v>0</v>
      </c>
      <c r="Z134" s="9">
        <v>0</v>
      </c>
      <c r="AA134" s="9">
        <v>0</v>
      </c>
      <c r="AB134" s="9">
        <v>0</v>
      </c>
      <c r="AC134" s="9">
        <v>0</v>
      </c>
      <c r="AD134" s="9">
        <v>0</v>
      </c>
      <c r="AE134" s="9">
        <v>0</v>
      </c>
      <c r="AF134" s="9">
        <v>0</v>
      </c>
      <c r="AG134" s="9">
        <v>0</v>
      </c>
      <c r="AH134" s="9">
        <v>0</v>
      </c>
      <c r="AI134" s="9">
        <v>0</v>
      </c>
      <c r="AJ134" s="9">
        <v>0</v>
      </c>
      <c r="AK134" s="9">
        <v>0</v>
      </c>
      <c r="AL134" s="9">
        <v>0</v>
      </c>
      <c r="AM134" s="9">
        <v>0</v>
      </c>
      <c r="AN134" s="9">
        <v>0</v>
      </c>
      <c r="AO134" s="9">
        <v>0</v>
      </c>
      <c r="AP134" s="9">
        <v>0</v>
      </c>
      <c r="AQ134" s="9">
        <v>0</v>
      </c>
      <c r="AR134" s="9">
        <v>0</v>
      </c>
      <c r="AS134" s="9">
        <v>0</v>
      </c>
      <c r="AT134" s="9">
        <v>0</v>
      </c>
      <c r="AU134" s="9">
        <v>0</v>
      </c>
      <c r="AV134" s="9">
        <v>0</v>
      </c>
      <c r="AW134" s="9">
        <v>0</v>
      </c>
      <c r="AX134" s="9">
        <v>0</v>
      </c>
      <c r="AY134" s="9">
        <v>0</v>
      </c>
      <c r="AZ134" s="9">
        <v>0</v>
      </c>
      <c r="BA134" s="9">
        <v>0</v>
      </c>
      <c r="BB134" s="9">
        <v>0</v>
      </c>
      <c r="BC134" s="9">
        <v>0</v>
      </c>
      <c r="BD134" s="9">
        <v>0</v>
      </c>
      <c r="BE134" s="9">
        <v>1</v>
      </c>
      <c r="BF134" s="9">
        <v>0</v>
      </c>
      <c r="BG134" s="9">
        <v>1</v>
      </c>
      <c r="BH134" s="9">
        <v>0</v>
      </c>
      <c r="BI134" s="9">
        <v>0</v>
      </c>
      <c r="BJ134" s="9">
        <v>0</v>
      </c>
      <c r="BK134" s="9">
        <v>0</v>
      </c>
      <c r="BL134" s="9">
        <v>0</v>
      </c>
      <c r="BM134" s="9">
        <v>1</v>
      </c>
      <c r="BN134" s="9">
        <v>1</v>
      </c>
      <c r="BO134" s="9">
        <v>0</v>
      </c>
      <c r="BP134" s="9">
        <v>0</v>
      </c>
      <c r="BQ134" s="9">
        <v>0</v>
      </c>
      <c r="BR134" s="9">
        <v>0</v>
      </c>
      <c r="BS134" s="9">
        <v>0</v>
      </c>
      <c r="BT134" s="9">
        <v>0</v>
      </c>
      <c r="BU134" s="9">
        <v>0</v>
      </c>
      <c r="BV134" s="9">
        <v>0</v>
      </c>
      <c r="BW134" s="9">
        <v>0</v>
      </c>
      <c r="BX134" s="9">
        <v>0</v>
      </c>
      <c r="BY134" s="9">
        <v>0</v>
      </c>
      <c r="BZ134" s="9">
        <v>0</v>
      </c>
      <c r="CA134" s="9">
        <v>0</v>
      </c>
      <c r="CB134" s="9">
        <v>0</v>
      </c>
      <c r="CC134" s="9">
        <v>1</v>
      </c>
      <c r="CD134" s="9">
        <v>0</v>
      </c>
      <c r="CE134" s="9">
        <v>0</v>
      </c>
      <c r="CF134" s="9">
        <v>1</v>
      </c>
      <c r="CG134" s="9">
        <v>1</v>
      </c>
      <c r="CH134" s="9">
        <v>1</v>
      </c>
      <c r="CI134" s="9">
        <v>1</v>
      </c>
      <c r="CJ134" s="9">
        <v>1</v>
      </c>
      <c r="CK134" s="9">
        <v>1</v>
      </c>
      <c r="CL134" s="9">
        <v>1</v>
      </c>
      <c r="CM134" s="9">
        <v>1</v>
      </c>
      <c r="CN134" s="9">
        <v>1</v>
      </c>
      <c r="CO134" s="9">
        <v>2</v>
      </c>
      <c r="CP134" s="9">
        <v>1</v>
      </c>
      <c r="CQ134" s="9">
        <v>1</v>
      </c>
      <c r="CR134" s="9">
        <v>0</v>
      </c>
      <c r="CS134" s="10">
        <v>0</v>
      </c>
    </row>
    <row r="135" spans="1:97" x14ac:dyDescent="0.35">
      <c r="A135" s="8" t="s">
        <v>73</v>
      </c>
      <c r="B135" s="9" t="s">
        <v>160</v>
      </c>
      <c r="C135" s="9" t="s">
        <v>756</v>
      </c>
      <c r="D135" s="9">
        <f t="shared" si="2"/>
        <v>4</v>
      </c>
      <c r="E135" s="9">
        <v>0</v>
      </c>
      <c r="F135" s="9">
        <v>0</v>
      </c>
      <c r="G135" s="9">
        <v>0</v>
      </c>
      <c r="H135" s="9">
        <v>0</v>
      </c>
      <c r="I135" s="9">
        <v>0</v>
      </c>
      <c r="J135" s="9">
        <v>0</v>
      </c>
      <c r="K135" s="9">
        <v>0</v>
      </c>
      <c r="L135" s="9">
        <v>0</v>
      </c>
      <c r="M135" s="9">
        <v>0</v>
      </c>
      <c r="N135" s="9">
        <v>0</v>
      </c>
      <c r="O135" s="9">
        <v>0</v>
      </c>
      <c r="P135" s="9">
        <v>0</v>
      </c>
      <c r="Q135" s="9">
        <v>0</v>
      </c>
      <c r="R135" s="9">
        <v>0</v>
      </c>
      <c r="S135" s="9">
        <v>0</v>
      </c>
      <c r="T135" s="9">
        <v>0</v>
      </c>
      <c r="U135" s="9">
        <v>0</v>
      </c>
      <c r="V135" s="9">
        <v>0</v>
      </c>
      <c r="W135" s="9">
        <v>0</v>
      </c>
      <c r="X135" s="9">
        <v>0</v>
      </c>
      <c r="Y135" s="9">
        <v>0</v>
      </c>
      <c r="Z135" s="9">
        <v>0</v>
      </c>
      <c r="AA135" s="9">
        <v>0</v>
      </c>
      <c r="AB135" s="9">
        <v>0</v>
      </c>
      <c r="AC135" s="9">
        <v>0</v>
      </c>
      <c r="AD135" s="9">
        <v>0</v>
      </c>
      <c r="AE135" s="9">
        <v>0</v>
      </c>
      <c r="AF135" s="9">
        <v>0</v>
      </c>
      <c r="AG135" s="9">
        <v>0</v>
      </c>
      <c r="AH135" s="9">
        <v>0</v>
      </c>
      <c r="AI135" s="9">
        <v>0</v>
      </c>
      <c r="AJ135" s="9">
        <v>0</v>
      </c>
      <c r="AK135" s="9">
        <v>0</v>
      </c>
      <c r="AL135" s="9">
        <v>0</v>
      </c>
      <c r="AM135" s="9">
        <v>0</v>
      </c>
      <c r="AN135" s="9">
        <v>0</v>
      </c>
      <c r="AO135" s="9">
        <v>0</v>
      </c>
      <c r="AP135" s="9">
        <v>0</v>
      </c>
      <c r="AQ135" s="9">
        <v>0</v>
      </c>
      <c r="AR135" s="9">
        <v>0</v>
      </c>
      <c r="AS135" s="9">
        <v>0</v>
      </c>
      <c r="AT135" s="9">
        <v>0</v>
      </c>
      <c r="AU135" s="9">
        <v>0</v>
      </c>
      <c r="AV135" s="9">
        <v>0</v>
      </c>
      <c r="AW135" s="9">
        <v>0</v>
      </c>
      <c r="AX135" s="9">
        <v>0</v>
      </c>
      <c r="AY135" s="9">
        <v>0</v>
      </c>
      <c r="AZ135" s="9">
        <v>0</v>
      </c>
      <c r="BA135" s="9">
        <v>0</v>
      </c>
      <c r="BB135" s="9">
        <v>0</v>
      </c>
      <c r="BC135" s="9">
        <v>0</v>
      </c>
      <c r="BD135" s="9">
        <v>0</v>
      </c>
      <c r="BE135" s="9">
        <v>0</v>
      </c>
      <c r="BF135" s="9">
        <v>0</v>
      </c>
      <c r="BG135" s="9">
        <v>1</v>
      </c>
      <c r="BH135" s="9">
        <v>0</v>
      </c>
      <c r="BI135" s="9">
        <v>0</v>
      </c>
      <c r="BJ135" s="9">
        <v>0</v>
      </c>
      <c r="BK135" s="9">
        <v>0</v>
      </c>
      <c r="BL135" s="9">
        <v>0</v>
      </c>
      <c r="BM135" s="9">
        <v>0</v>
      </c>
      <c r="BN135" s="9">
        <v>0</v>
      </c>
      <c r="BO135" s="9">
        <v>0</v>
      </c>
      <c r="BP135" s="9">
        <v>0</v>
      </c>
      <c r="BQ135" s="9">
        <v>0</v>
      </c>
      <c r="BR135" s="9">
        <v>0</v>
      </c>
      <c r="BS135" s="9">
        <v>0</v>
      </c>
      <c r="BT135" s="9">
        <v>0</v>
      </c>
      <c r="BU135" s="9">
        <v>0</v>
      </c>
      <c r="BV135" s="9">
        <v>0</v>
      </c>
      <c r="BW135" s="9">
        <v>0</v>
      </c>
      <c r="BX135" s="9">
        <v>0</v>
      </c>
      <c r="BY135" s="9">
        <v>0</v>
      </c>
      <c r="BZ135" s="9">
        <v>0</v>
      </c>
      <c r="CA135" s="9">
        <v>0</v>
      </c>
      <c r="CB135" s="9">
        <v>0</v>
      </c>
      <c r="CC135" s="9">
        <v>0</v>
      </c>
      <c r="CD135" s="9">
        <v>0</v>
      </c>
      <c r="CE135" s="9">
        <v>0</v>
      </c>
      <c r="CF135" s="9">
        <v>0</v>
      </c>
      <c r="CG135" s="9">
        <v>0</v>
      </c>
      <c r="CH135" s="9">
        <v>0</v>
      </c>
      <c r="CI135" s="9">
        <v>0</v>
      </c>
      <c r="CJ135" s="9">
        <v>0</v>
      </c>
      <c r="CK135" s="9">
        <v>0</v>
      </c>
      <c r="CL135" s="9">
        <v>0</v>
      </c>
      <c r="CM135" s="9">
        <v>0</v>
      </c>
      <c r="CN135" s="9">
        <v>0</v>
      </c>
      <c r="CO135" s="9">
        <v>1</v>
      </c>
      <c r="CP135" s="9">
        <v>1</v>
      </c>
      <c r="CQ135" s="9">
        <v>0</v>
      </c>
      <c r="CR135" s="9">
        <v>0</v>
      </c>
      <c r="CS135" s="10">
        <v>1</v>
      </c>
    </row>
    <row r="136" spans="1:97" x14ac:dyDescent="0.35">
      <c r="A136" s="8" t="s">
        <v>73</v>
      </c>
      <c r="B136" s="9" t="s">
        <v>162</v>
      </c>
      <c r="C136" s="9" t="s">
        <v>757</v>
      </c>
      <c r="D136" s="9">
        <f t="shared" si="2"/>
        <v>168</v>
      </c>
      <c r="E136" s="9">
        <v>0</v>
      </c>
      <c r="F136" s="9">
        <v>0</v>
      </c>
      <c r="G136" s="9">
        <v>0</v>
      </c>
      <c r="H136" s="9">
        <v>0</v>
      </c>
      <c r="I136" s="9">
        <v>0</v>
      </c>
      <c r="J136" s="9">
        <v>0</v>
      </c>
      <c r="K136" s="9">
        <v>0</v>
      </c>
      <c r="L136" s="9">
        <v>0</v>
      </c>
      <c r="M136" s="9">
        <v>0</v>
      </c>
      <c r="N136" s="9">
        <v>0</v>
      </c>
      <c r="O136" s="9">
        <v>0</v>
      </c>
      <c r="P136" s="9">
        <v>1</v>
      </c>
      <c r="Q136" s="9">
        <v>0</v>
      </c>
      <c r="R136" s="9">
        <v>0</v>
      </c>
      <c r="S136" s="9">
        <v>0</v>
      </c>
      <c r="T136" s="9">
        <v>0</v>
      </c>
      <c r="U136" s="9">
        <v>0</v>
      </c>
      <c r="V136" s="9">
        <v>0</v>
      </c>
      <c r="W136" s="9">
        <v>0</v>
      </c>
      <c r="X136" s="9">
        <v>0</v>
      </c>
      <c r="Y136" s="9">
        <v>1</v>
      </c>
      <c r="Z136" s="9">
        <v>0</v>
      </c>
      <c r="AA136" s="9">
        <v>0</v>
      </c>
      <c r="AB136" s="9">
        <v>0</v>
      </c>
      <c r="AC136" s="9">
        <v>1</v>
      </c>
      <c r="AD136" s="9">
        <v>0</v>
      </c>
      <c r="AE136" s="9">
        <v>0</v>
      </c>
      <c r="AF136" s="9">
        <v>0</v>
      </c>
      <c r="AG136" s="9">
        <v>0</v>
      </c>
      <c r="AH136" s="9">
        <v>0</v>
      </c>
      <c r="AI136" s="9">
        <v>0</v>
      </c>
      <c r="AJ136" s="9">
        <v>0</v>
      </c>
      <c r="AK136" s="9">
        <v>0</v>
      </c>
      <c r="AL136" s="9">
        <v>0</v>
      </c>
      <c r="AM136" s="9">
        <v>0</v>
      </c>
      <c r="AN136" s="9">
        <v>0</v>
      </c>
      <c r="AO136" s="9">
        <v>1</v>
      </c>
      <c r="AP136" s="9">
        <v>0</v>
      </c>
      <c r="AQ136" s="9">
        <v>0</v>
      </c>
      <c r="AR136" s="9">
        <v>0</v>
      </c>
      <c r="AS136" s="9">
        <v>0</v>
      </c>
      <c r="AT136" s="9">
        <v>0</v>
      </c>
      <c r="AU136" s="9">
        <v>0</v>
      </c>
      <c r="AV136" s="9">
        <v>0</v>
      </c>
      <c r="AW136" s="9">
        <v>1</v>
      </c>
      <c r="AX136" s="9">
        <v>0</v>
      </c>
      <c r="AY136" s="9">
        <v>0</v>
      </c>
      <c r="AZ136" s="9">
        <v>0</v>
      </c>
      <c r="BA136" s="9">
        <v>0</v>
      </c>
      <c r="BB136" s="9">
        <v>0</v>
      </c>
      <c r="BC136" s="9">
        <v>1</v>
      </c>
      <c r="BD136" s="9">
        <v>0</v>
      </c>
      <c r="BE136" s="9">
        <v>0</v>
      </c>
      <c r="BF136" s="9">
        <v>1</v>
      </c>
      <c r="BG136" s="9">
        <v>2</v>
      </c>
      <c r="BH136" s="9">
        <v>0</v>
      </c>
      <c r="BI136" s="9">
        <v>0</v>
      </c>
      <c r="BJ136" s="9">
        <v>1</v>
      </c>
      <c r="BK136" s="9">
        <v>0</v>
      </c>
      <c r="BL136" s="9">
        <v>1</v>
      </c>
      <c r="BM136" s="9">
        <v>1</v>
      </c>
      <c r="BN136" s="9">
        <v>3</v>
      </c>
      <c r="BO136" s="9">
        <v>2</v>
      </c>
      <c r="BP136" s="9">
        <v>3</v>
      </c>
      <c r="BQ136" s="9">
        <v>1</v>
      </c>
      <c r="BR136" s="9">
        <v>1</v>
      </c>
      <c r="BS136" s="9">
        <v>8</v>
      </c>
      <c r="BT136" s="9">
        <v>2</v>
      </c>
      <c r="BU136" s="9">
        <v>2</v>
      </c>
      <c r="BV136" s="9">
        <v>0</v>
      </c>
      <c r="BW136" s="9">
        <v>1</v>
      </c>
      <c r="BX136" s="9">
        <v>3</v>
      </c>
      <c r="BY136" s="9">
        <v>5</v>
      </c>
      <c r="BZ136" s="9">
        <v>2</v>
      </c>
      <c r="CA136" s="9">
        <v>2</v>
      </c>
      <c r="CB136" s="9">
        <v>4</v>
      </c>
      <c r="CC136" s="9">
        <v>3</v>
      </c>
      <c r="CD136" s="9">
        <v>3</v>
      </c>
      <c r="CE136" s="9">
        <v>8</v>
      </c>
      <c r="CF136" s="9">
        <v>19</v>
      </c>
      <c r="CG136" s="9">
        <v>2</v>
      </c>
      <c r="CH136" s="9">
        <v>2</v>
      </c>
      <c r="CI136" s="9">
        <v>6</v>
      </c>
      <c r="CJ136" s="9">
        <v>10</v>
      </c>
      <c r="CK136" s="9">
        <v>8</v>
      </c>
      <c r="CL136" s="9">
        <v>9</v>
      </c>
      <c r="CM136" s="9">
        <v>6</v>
      </c>
      <c r="CN136" s="9">
        <v>4</v>
      </c>
      <c r="CO136" s="9">
        <v>9</v>
      </c>
      <c r="CP136" s="9">
        <v>9</v>
      </c>
      <c r="CQ136" s="9">
        <v>10</v>
      </c>
      <c r="CR136" s="9">
        <v>7</v>
      </c>
      <c r="CS136" s="10">
        <v>2</v>
      </c>
    </row>
    <row r="137" spans="1:97" x14ac:dyDescent="0.35">
      <c r="A137" s="8" t="s">
        <v>73</v>
      </c>
      <c r="B137" s="9" t="s">
        <v>164</v>
      </c>
      <c r="C137" s="9" t="s">
        <v>758</v>
      </c>
      <c r="D137" s="9">
        <f t="shared" si="2"/>
        <v>22</v>
      </c>
      <c r="E137" s="9">
        <v>0</v>
      </c>
      <c r="F137" s="9">
        <v>0</v>
      </c>
      <c r="G137" s="9">
        <v>0</v>
      </c>
      <c r="H137" s="9">
        <v>1</v>
      </c>
      <c r="I137" s="9">
        <v>2</v>
      </c>
      <c r="J137" s="9">
        <v>1</v>
      </c>
      <c r="K137" s="9">
        <v>0</v>
      </c>
      <c r="L137" s="9">
        <v>0</v>
      </c>
      <c r="M137" s="9">
        <v>0</v>
      </c>
      <c r="N137" s="9">
        <v>0</v>
      </c>
      <c r="O137" s="9">
        <v>0</v>
      </c>
      <c r="P137" s="9">
        <v>0</v>
      </c>
      <c r="Q137" s="9">
        <v>0</v>
      </c>
      <c r="R137" s="9">
        <v>0</v>
      </c>
      <c r="S137" s="9">
        <v>0</v>
      </c>
      <c r="T137" s="9">
        <v>0</v>
      </c>
      <c r="U137" s="9">
        <v>0</v>
      </c>
      <c r="V137" s="9">
        <v>0</v>
      </c>
      <c r="W137" s="9">
        <v>0</v>
      </c>
      <c r="X137" s="9">
        <v>0</v>
      </c>
      <c r="Y137" s="9">
        <v>1</v>
      </c>
      <c r="Z137" s="9">
        <v>1</v>
      </c>
      <c r="AA137" s="9">
        <v>0</v>
      </c>
      <c r="AB137" s="9">
        <v>0</v>
      </c>
      <c r="AC137" s="9">
        <v>0</v>
      </c>
      <c r="AD137" s="9">
        <v>0</v>
      </c>
      <c r="AE137" s="9">
        <v>0</v>
      </c>
      <c r="AF137" s="9">
        <v>0</v>
      </c>
      <c r="AG137" s="9">
        <v>0</v>
      </c>
      <c r="AH137" s="9">
        <v>0</v>
      </c>
      <c r="AI137" s="9">
        <v>1</v>
      </c>
      <c r="AJ137" s="9">
        <v>0</v>
      </c>
      <c r="AK137" s="9">
        <v>0</v>
      </c>
      <c r="AL137" s="9">
        <v>0</v>
      </c>
      <c r="AM137" s="9">
        <v>0</v>
      </c>
      <c r="AN137" s="9">
        <v>0</v>
      </c>
      <c r="AO137" s="9">
        <v>0</v>
      </c>
      <c r="AP137" s="9">
        <v>0</v>
      </c>
      <c r="AQ137" s="9">
        <v>0</v>
      </c>
      <c r="AR137" s="9">
        <v>0</v>
      </c>
      <c r="AS137" s="9">
        <v>0</v>
      </c>
      <c r="AT137" s="9">
        <v>0</v>
      </c>
      <c r="AU137" s="9">
        <v>0</v>
      </c>
      <c r="AV137" s="9">
        <v>0</v>
      </c>
      <c r="AW137" s="9">
        <v>0</v>
      </c>
      <c r="AX137" s="9">
        <v>0</v>
      </c>
      <c r="AY137" s="9">
        <v>0</v>
      </c>
      <c r="AZ137" s="9">
        <v>0</v>
      </c>
      <c r="BA137" s="9">
        <v>0</v>
      </c>
      <c r="BB137" s="9">
        <v>0</v>
      </c>
      <c r="BC137" s="9">
        <v>0</v>
      </c>
      <c r="BD137" s="9">
        <v>0</v>
      </c>
      <c r="BE137" s="9">
        <v>0</v>
      </c>
      <c r="BF137" s="9">
        <v>0</v>
      </c>
      <c r="BG137" s="9">
        <v>0</v>
      </c>
      <c r="BH137" s="9">
        <v>0</v>
      </c>
      <c r="BI137" s="9">
        <v>0</v>
      </c>
      <c r="BJ137" s="9">
        <v>0</v>
      </c>
      <c r="BK137" s="9">
        <v>1</v>
      </c>
      <c r="BL137" s="9">
        <v>0</v>
      </c>
      <c r="BM137" s="9">
        <v>0</v>
      </c>
      <c r="BN137" s="9">
        <v>0</v>
      </c>
      <c r="BO137" s="9">
        <v>0</v>
      </c>
      <c r="BP137" s="9">
        <v>0</v>
      </c>
      <c r="BQ137" s="9">
        <v>0</v>
      </c>
      <c r="BR137" s="9">
        <v>0</v>
      </c>
      <c r="BS137" s="9">
        <v>0</v>
      </c>
      <c r="BT137" s="9">
        <v>0</v>
      </c>
      <c r="BU137" s="9">
        <v>0</v>
      </c>
      <c r="BV137" s="9">
        <v>0</v>
      </c>
      <c r="BW137" s="9">
        <v>0</v>
      </c>
      <c r="BX137" s="9">
        <v>2</v>
      </c>
      <c r="BY137" s="9">
        <v>0</v>
      </c>
      <c r="BZ137" s="9">
        <v>1</v>
      </c>
      <c r="CA137" s="9">
        <v>1</v>
      </c>
      <c r="CB137" s="9">
        <v>3</v>
      </c>
      <c r="CC137" s="9">
        <v>4</v>
      </c>
      <c r="CD137" s="9">
        <v>1</v>
      </c>
      <c r="CE137" s="9">
        <v>0</v>
      </c>
      <c r="CF137" s="9">
        <v>0</v>
      </c>
      <c r="CG137" s="9">
        <v>0</v>
      </c>
      <c r="CH137" s="9">
        <v>0</v>
      </c>
      <c r="CI137" s="9">
        <v>1</v>
      </c>
      <c r="CJ137" s="9">
        <v>0</v>
      </c>
      <c r="CK137" s="9">
        <v>0</v>
      </c>
      <c r="CL137" s="9">
        <v>0</v>
      </c>
      <c r="CM137" s="9">
        <v>0</v>
      </c>
      <c r="CN137" s="9">
        <v>0</v>
      </c>
      <c r="CO137" s="9">
        <v>0</v>
      </c>
      <c r="CP137" s="9">
        <v>0</v>
      </c>
      <c r="CQ137" s="9">
        <v>0</v>
      </c>
      <c r="CR137" s="9">
        <v>0</v>
      </c>
      <c r="CS137" s="10">
        <v>1</v>
      </c>
    </row>
    <row r="138" spans="1:97" x14ac:dyDescent="0.35">
      <c r="A138" s="8" t="s">
        <v>73</v>
      </c>
      <c r="B138" s="9" t="s">
        <v>166</v>
      </c>
      <c r="C138" s="9" t="s">
        <v>759</v>
      </c>
      <c r="D138" s="9">
        <f t="shared" si="2"/>
        <v>1</v>
      </c>
      <c r="E138" s="9">
        <v>0</v>
      </c>
      <c r="F138" s="9">
        <v>0</v>
      </c>
      <c r="G138" s="9">
        <v>0</v>
      </c>
      <c r="H138" s="9">
        <v>0</v>
      </c>
      <c r="I138" s="9">
        <v>0</v>
      </c>
      <c r="J138" s="9">
        <v>0</v>
      </c>
      <c r="K138" s="9">
        <v>0</v>
      </c>
      <c r="L138" s="9">
        <v>0</v>
      </c>
      <c r="M138" s="9">
        <v>0</v>
      </c>
      <c r="N138" s="9">
        <v>0</v>
      </c>
      <c r="O138" s="9">
        <v>0</v>
      </c>
      <c r="P138" s="9">
        <v>0</v>
      </c>
      <c r="Q138" s="9">
        <v>0</v>
      </c>
      <c r="R138" s="9">
        <v>0</v>
      </c>
      <c r="S138" s="9">
        <v>0</v>
      </c>
      <c r="T138" s="9">
        <v>0</v>
      </c>
      <c r="U138" s="9">
        <v>0</v>
      </c>
      <c r="V138" s="9">
        <v>0</v>
      </c>
      <c r="W138" s="9">
        <v>0</v>
      </c>
      <c r="X138" s="9">
        <v>0</v>
      </c>
      <c r="Y138" s="9">
        <v>0</v>
      </c>
      <c r="Z138" s="9">
        <v>0</v>
      </c>
      <c r="AA138" s="9">
        <v>0</v>
      </c>
      <c r="AB138" s="9">
        <v>0</v>
      </c>
      <c r="AC138" s="9">
        <v>0</v>
      </c>
      <c r="AD138" s="9">
        <v>0</v>
      </c>
      <c r="AE138" s="9">
        <v>0</v>
      </c>
      <c r="AF138" s="9">
        <v>0</v>
      </c>
      <c r="AG138" s="9">
        <v>0</v>
      </c>
      <c r="AH138" s="9">
        <v>0</v>
      </c>
      <c r="AI138" s="9">
        <v>0</v>
      </c>
      <c r="AJ138" s="9">
        <v>0</v>
      </c>
      <c r="AK138" s="9">
        <v>0</v>
      </c>
      <c r="AL138" s="9">
        <v>0</v>
      </c>
      <c r="AM138" s="9">
        <v>0</v>
      </c>
      <c r="AN138" s="9">
        <v>0</v>
      </c>
      <c r="AO138" s="9">
        <v>0</v>
      </c>
      <c r="AP138" s="9">
        <v>0</v>
      </c>
      <c r="AQ138" s="9">
        <v>0</v>
      </c>
      <c r="AR138" s="9">
        <v>0</v>
      </c>
      <c r="AS138" s="9">
        <v>0</v>
      </c>
      <c r="AT138" s="9">
        <v>0</v>
      </c>
      <c r="AU138" s="9">
        <v>0</v>
      </c>
      <c r="AV138" s="9">
        <v>0</v>
      </c>
      <c r="AW138" s="9">
        <v>0</v>
      </c>
      <c r="AX138" s="9">
        <v>0</v>
      </c>
      <c r="AY138" s="9">
        <v>0</v>
      </c>
      <c r="AZ138" s="9">
        <v>0</v>
      </c>
      <c r="BA138" s="9">
        <v>0</v>
      </c>
      <c r="BB138" s="9">
        <v>0</v>
      </c>
      <c r="BC138" s="9">
        <v>0</v>
      </c>
      <c r="BD138" s="9">
        <v>0</v>
      </c>
      <c r="BE138" s="9">
        <v>0</v>
      </c>
      <c r="BF138" s="9">
        <v>0</v>
      </c>
      <c r="BG138" s="9">
        <v>0</v>
      </c>
      <c r="BH138" s="9">
        <v>0</v>
      </c>
      <c r="BI138" s="9">
        <v>0</v>
      </c>
      <c r="BJ138" s="9">
        <v>0</v>
      </c>
      <c r="BK138" s="9">
        <v>0</v>
      </c>
      <c r="BL138" s="9">
        <v>0</v>
      </c>
      <c r="BM138" s="9">
        <v>0</v>
      </c>
      <c r="BN138" s="9">
        <v>0</v>
      </c>
      <c r="BO138" s="9">
        <v>0</v>
      </c>
      <c r="BP138" s="9">
        <v>0</v>
      </c>
      <c r="BQ138" s="9">
        <v>0</v>
      </c>
      <c r="BR138" s="9">
        <v>0</v>
      </c>
      <c r="BS138" s="9">
        <v>0</v>
      </c>
      <c r="BT138" s="9">
        <v>0</v>
      </c>
      <c r="BU138" s="9">
        <v>0</v>
      </c>
      <c r="BV138" s="9">
        <v>0</v>
      </c>
      <c r="BW138" s="9">
        <v>0</v>
      </c>
      <c r="BX138" s="9">
        <v>0</v>
      </c>
      <c r="BY138" s="9">
        <v>0</v>
      </c>
      <c r="BZ138" s="9">
        <v>0</v>
      </c>
      <c r="CA138" s="9">
        <v>0</v>
      </c>
      <c r="CB138" s="9">
        <v>0</v>
      </c>
      <c r="CC138" s="9">
        <v>0</v>
      </c>
      <c r="CD138" s="9">
        <v>0</v>
      </c>
      <c r="CE138" s="9">
        <v>0</v>
      </c>
      <c r="CF138" s="9">
        <v>0</v>
      </c>
      <c r="CG138" s="9">
        <v>0</v>
      </c>
      <c r="CH138" s="9">
        <v>0</v>
      </c>
      <c r="CI138" s="9">
        <v>0</v>
      </c>
      <c r="CJ138" s="9">
        <v>0</v>
      </c>
      <c r="CK138" s="9">
        <v>0</v>
      </c>
      <c r="CL138" s="9">
        <v>0</v>
      </c>
      <c r="CM138" s="9">
        <v>0</v>
      </c>
      <c r="CN138" s="9">
        <v>0</v>
      </c>
      <c r="CO138" s="9">
        <v>0</v>
      </c>
      <c r="CP138" s="9">
        <v>0</v>
      </c>
      <c r="CQ138" s="9">
        <v>0</v>
      </c>
      <c r="CR138" s="9">
        <v>1</v>
      </c>
      <c r="CS138" s="10">
        <v>0</v>
      </c>
    </row>
    <row r="139" spans="1:97" x14ac:dyDescent="0.35">
      <c r="A139" s="8" t="s">
        <v>73</v>
      </c>
      <c r="B139" s="9" t="s">
        <v>168</v>
      </c>
      <c r="C139" s="9" t="s">
        <v>760</v>
      </c>
      <c r="D139" s="9">
        <f t="shared" si="2"/>
        <v>183</v>
      </c>
      <c r="E139" s="9">
        <v>1</v>
      </c>
      <c r="F139" s="9">
        <v>0</v>
      </c>
      <c r="G139" s="9">
        <v>0</v>
      </c>
      <c r="H139" s="9">
        <v>1</v>
      </c>
      <c r="I139" s="9">
        <v>1</v>
      </c>
      <c r="J139" s="9">
        <v>2</v>
      </c>
      <c r="K139" s="9">
        <v>1</v>
      </c>
      <c r="L139" s="9">
        <v>0</v>
      </c>
      <c r="M139" s="9">
        <v>1</v>
      </c>
      <c r="N139" s="9">
        <v>1</v>
      </c>
      <c r="O139" s="9">
        <v>1</v>
      </c>
      <c r="P139" s="9">
        <v>0</v>
      </c>
      <c r="Q139" s="9">
        <v>3</v>
      </c>
      <c r="R139" s="9">
        <v>0</v>
      </c>
      <c r="S139" s="9">
        <v>0</v>
      </c>
      <c r="T139" s="9">
        <v>0</v>
      </c>
      <c r="U139" s="9">
        <v>0</v>
      </c>
      <c r="V139" s="9">
        <v>1</v>
      </c>
      <c r="W139" s="9">
        <v>0</v>
      </c>
      <c r="X139" s="9">
        <v>0</v>
      </c>
      <c r="Y139" s="9">
        <v>1</v>
      </c>
      <c r="Z139" s="9">
        <v>0</v>
      </c>
      <c r="AA139" s="9">
        <v>0</v>
      </c>
      <c r="AB139" s="9">
        <v>1</v>
      </c>
      <c r="AC139" s="9">
        <v>1</v>
      </c>
      <c r="AD139" s="9">
        <v>1</v>
      </c>
      <c r="AE139" s="9">
        <v>0</v>
      </c>
      <c r="AF139" s="9">
        <v>0</v>
      </c>
      <c r="AG139" s="9">
        <v>0</v>
      </c>
      <c r="AH139" s="9">
        <v>2</v>
      </c>
      <c r="AI139" s="9">
        <v>0</v>
      </c>
      <c r="AJ139" s="9">
        <v>0</v>
      </c>
      <c r="AK139" s="9">
        <v>0</v>
      </c>
      <c r="AL139" s="9">
        <v>1</v>
      </c>
      <c r="AM139" s="9">
        <v>1</v>
      </c>
      <c r="AN139" s="9">
        <v>0</v>
      </c>
      <c r="AO139" s="9">
        <v>0</v>
      </c>
      <c r="AP139" s="9">
        <v>0</v>
      </c>
      <c r="AQ139" s="9">
        <v>0</v>
      </c>
      <c r="AR139" s="9">
        <v>1</v>
      </c>
      <c r="AS139" s="9">
        <v>3</v>
      </c>
      <c r="AT139" s="9">
        <v>2</v>
      </c>
      <c r="AU139" s="9">
        <v>2</v>
      </c>
      <c r="AV139" s="9">
        <v>1</v>
      </c>
      <c r="AW139" s="9">
        <v>2</v>
      </c>
      <c r="AX139" s="9">
        <v>2</v>
      </c>
      <c r="AY139" s="9">
        <v>1</v>
      </c>
      <c r="AZ139" s="9">
        <v>1</v>
      </c>
      <c r="BA139" s="9">
        <v>0</v>
      </c>
      <c r="BB139" s="9">
        <v>0</v>
      </c>
      <c r="BC139" s="9">
        <v>1</v>
      </c>
      <c r="BD139" s="9">
        <v>1</v>
      </c>
      <c r="BE139" s="9">
        <v>0</v>
      </c>
      <c r="BF139" s="9">
        <v>2</v>
      </c>
      <c r="BG139" s="9">
        <v>0</v>
      </c>
      <c r="BH139" s="9">
        <v>1</v>
      </c>
      <c r="BI139" s="9">
        <v>3</v>
      </c>
      <c r="BJ139" s="9">
        <v>2</v>
      </c>
      <c r="BK139" s="9">
        <v>2</v>
      </c>
      <c r="BL139" s="9">
        <v>0</v>
      </c>
      <c r="BM139" s="9">
        <v>0</v>
      </c>
      <c r="BN139" s="9">
        <v>4</v>
      </c>
      <c r="BO139" s="9">
        <v>2</v>
      </c>
      <c r="BP139" s="9">
        <v>2</v>
      </c>
      <c r="BQ139" s="9">
        <v>3</v>
      </c>
      <c r="BR139" s="9">
        <v>1</v>
      </c>
      <c r="BS139" s="9">
        <v>4</v>
      </c>
      <c r="BT139" s="9">
        <v>4</v>
      </c>
      <c r="BU139" s="9">
        <v>1</v>
      </c>
      <c r="BV139" s="9">
        <v>4</v>
      </c>
      <c r="BW139" s="9">
        <v>1</v>
      </c>
      <c r="BX139" s="9">
        <v>4</v>
      </c>
      <c r="BY139" s="9">
        <v>2</v>
      </c>
      <c r="BZ139" s="9">
        <v>1</v>
      </c>
      <c r="CA139" s="9">
        <v>1</v>
      </c>
      <c r="CB139" s="9">
        <v>7</v>
      </c>
      <c r="CC139" s="9">
        <v>1</v>
      </c>
      <c r="CD139" s="9">
        <v>8</v>
      </c>
      <c r="CE139" s="9">
        <v>8</v>
      </c>
      <c r="CF139" s="9">
        <v>9</v>
      </c>
      <c r="CG139" s="9">
        <v>4</v>
      </c>
      <c r="CH139" s="9">
        <v>5</v>
      </c>
      <c r="CI139" s="9">
        <v>6</v>
      </c>
      <c r="CJ139" s="9">
        <v>4</v>
      </c>
      <c r="CK139" s="9">
        <v>2</v>
      </c>
      <c r="CL139" s="9">
        <v>4</v>
      </c>
      <c r="CM139" s="9">
        <v>6</v>
      </c>
      <c r="CN139" s="9">
        <v>5</v>
      </c>
      <c r="CO139" s="9">
        <v>4</v>
      </c>
      <c r="CP139" s="9">
        <v>6</v>
      </c>
      <c r="CQ139" s="9">
        <v>6</v>
      </c>
      <c r="CR139" s="9">
        <v>13</v>
      </c>
      <c r="CS139" s="10">
        <v>3</v>
      </c>
    </row>
    <row r="140" spans="1:97" x14ac:dyDescent="0.35">
      <c r="A140" s="8" t="s">
        <v>73</v>
      </c>
      <c r="B140" s="9" t="s">
        <v>170</v>
      </c>
      <c r="C140" s="9" t="s">
        <v>761</v>
      </c>
      <c r="D140" s="9">
        <f t="shared" si="2"/>
        <v>17</v>
      </c>
      <c r="E140" s="9">
        <v>0</v>
      </c>
      <c r="F140" s="9">
        <v>0</v>
      </c>
      <c r="G140" s="9">
        <v>0</v>
      </c>
      <c r="H140" s="9">
        <v>0</v>
      </c>
      <c r="I140" s="9">
        <v>0</v>
      </c>
      <c r="J140" s="9">
        <v>0</v>
      </c>
      <c r="K140" s="9">
        <v>0</v>
      </c>
      <c r="L140" s="9">
        <v>0</v>
      </c>
      <c r="M140" s="9">
        <v>0</v>
      </c>
      <c r="N140" s="9">
        <v>0</v>
      </c>
      <c r="O140" s="9">
        <v>0</v>
      </c>
      <c r="P140" s="9">
        <v>0</v>
      </c>
      <c r="Q140" s="9">
        <v>0</v>
      </c>
      <c r="R140" s="9">
        <v>0</v>
      </c>
      <c r="S140" s="9">
        <v>0</v>
      </c>
      <c r="T140" s="9">
        <v>0</v>
      </c>
      <c r="U140" s="9">
        <v>0</v>
      </c>
      <c r="V140" s="9">
        <v>0</v>
      </c>
      <c r="W140" s="9">
        <v>0</v>
      </c>
      <c r="X140" s="9">
        <v>0</v>
      </c>
      <c r="Y140" s="9">
        <v>0</v>
      </c>
      <c r="Z140" s="9">
        <v>0</v>
      </c>
      <c r="AA140" s="9">
        <v>0</v>
      </c>
      <c r="AB140" s="9">
        <v>0</v>
      </c>
      <c r="AC140" s="9">
        <v>0</v>
      </c>
      <c r="AD140" s="9">
        <v>0</v>
      </c>
      <c r="AE140" s="9">
        <v>0</v>
      </c>
      <c r="AF140" s="9">
        <v>0</v>
      </c>
      <c r="AG140" s="9">
        <v>0</v>
      </c>
      <c r="AH140" s="9">
        <v>0</v>
      </c>
      <c r="AI140" s="9">
        <v>0</v>
      </c>
      <c r="AJ140" s="9">
        <v>0</v>
      </c>
      <c r="AK140" s="9">
        <v>0</v>
      </c>
      <c r="AL140" s="9">
        <v>0</v>
      </c>
      <c r="AM140" s="9">
        <v>0</v>
      </c>
      <c r="AN140" s="9">
        <v>0</v>
      </c>
      <c r="AO140" s="9">
        <v>0</v>
      </c>
      <c r="AP140" s="9">
        <v>0</v>
      </c>
      <c r="AQ140" s="9">
        <v>0</v>
      </c>
      <c r="AR140" s="9">
        <v>0</v>
      </c>
      <c r="AS140" s="9">
        <v>0</v>
      </c>
      <c r="AT140" s="9">
        <v>0</v>
      </c>
      <c r="AU140" s="9">
        <v>0</v>
      </c>
      <c r="AV140" s="9">
        <v>0</v>
      </c>
      <c r="AW140" s="9">
        <v>0</v>
      </c>
      <c r="AX140" s="9">
        <v>0</v>
      </c>
      <c r="AY140" s="9">
        <v>0</v>
      </c>
      <c r="AZ140" s="9">
        <v>1</v>
      </c>
      <c r="BA140" s="9">
        <v>1</v>
      </c>
      <c r="BB140" s="9">
        <v>0</v>
      </c>
      <c r="BC140" s="9">
        <v>0</v>
      </c>
      <c r="BD140" s="9">
        <v>0</v>
      </c>
      <c r="BE140" s="9">
        <v>0</v>
      </c>
      <c r="BF140" s="9">
        <v>0</v>
      </c>
      <c r="BG140" s="9">
        <v>0</v>
      </c>
      <c r="BH140" s="9">
        <v>0</v>
      </c>
      <c r="BI140" s="9">
        <v>0</v>
      </c>
      <c r="BJ140" s="9">
        <v>0</v>
      </c>
      <c r="BK140" s="9">
        <v>0</v>
      </c>
      <c r="BL140" s="9">
        <v>0</v>
      </c>
      <c r="BM140" s="9">
        <v>0</v>
      </c>
      <c r="BN140" s="9">
        <v>0</v>
      </c>
      <c r="BO140" s="9">
        <v>0</v>
      </c>
      <c r="BP140" s="9">
        <v>0</v>
      </c>
      <c r="BQ140" s="9">
        <v>0</v>
      </c>
      <c r="BR140" s="9">
        <v>0</v>
      </c>
      <c r="BS140" s="9">
        <v>1</v>
      </c>
      <c r="BT140" s="9">
        <v>0</v>
      </c>
      <c r="BU140" s="9">
        <v>0</v>
      </c>
      <c r="BV140" s="9">
        <v>0</v>
      </c>
      <c r="BW140" s="9">
        <v>0</v>
      </c>
      <c r="BX140" s="9">
        <v>1</v>
      </c>
      <c r="BY140" s="9">
        <v>0</v>
      </c>
      <c r="BZ140" s="9">
        <v>0</v>
      </c>
      <c r="CA140" s="9">
        <v>0</v>
      </c>
      <c r="CB140" s="9">
        <v>0</v>
      </c>
      <c r="CC140" s="9">
        <v>0</v>
      </c>
      <c r="CD140" s="9">
        <v>0</v>
      </c>
      <c r="CE140" s="9">
        <v>0</v>
      </c>
      <c r="CF140" s="9">
        <v>0</v>
      </c>
      <c r="CG140" s="9">
        <v>0</v>
      </c>
      <c r="CH140" s="9">
        <v>0</v>
      </c>
      <c r="CI140" s="9">
        <v>0</v>
      </c>
      <c r="CJ140" s="9">
        <v>0</v>
      </c>
      <c r="CK140" s="9">
        <v>0</v>
      </c>
      <c r="CL140" s="9">
        <v>2</v>
      </c>
      <c r="CM140" s="9">
        <v>0</v>
      </c>
      <c r="CN140" s="9">
        <v>2</v>
      </c>
      <c r="CO140" s="9">
        <v>3</v>
      </c>
      <c r="CP140" s="9">
        <v>2</v>
      </c>
      <c r="CQ140" s="9">
        <v>1</v>
      </c>
      <c r="CR140" s="9">
        <v>3</v>
      </c>
      <c r="CS140" s="10">
        <v>0</v>
      </c>
    </row>
    <row r="141" spans="1:97" x14ac:dyDescent="0.35">
      <c r="A141" s="8" t="s">
        <v>73</v>
      </c>
      <c r="B141" s="9" t="s">
        <v>172</v>
      </c>
      <c r="C141" s="9" t="s">
        <v>762</v>
      </c>
      <c r="D141" s="9">
        <f t="shared" si="2"/>
        <v>0</v>
      </c>
      <c r="E141" s="9">
        <v>0</v>
      </c>
      <c r="F141" s="9">
        <v>0</v>
      </c>
      <c r="G141" s="9">
        <v>0</v>
      </c>
      <c r="H141" s="9">
        <v>0</v>
      </c>
      <c r="I141" s="9">
        <v>0</v>
      </c>
      <c r="J141" s="9">
        <v>0</v>
      </c>
      <c r="K141" s="9">
        <v>0</v>
      </c>
      <c r="L141" s="9">
        <v>0</v>
      </c>
      <c r="M141" s="9">
        <v>0</v>
      </c>
      <c r="N141" s="9">
        <v>0</v>
      </c>
      <c r="O141" s="9">
        <v>0</v>
      </c>
      <c r="P141" s="9">
        <v>0</v>
      </c>
      <c r="Q141" s="9">
        <v>0</v>
      </c>
      <c r="R141" s="9">
        <v>0</v>
      </c>
      <c r="S141" s="9">
        <v>0</v>
      </c>
      <c r="T141" s="9">
        <v>0</v>
      </c>
      <c r="U141" s="9">
        <v>0</v>
      </c>
      <c r="V141" s="9">
        <v>0</v>
      </c>
      <c r="W141" s="9">
        <v>0</v>
      </c>
      <c r="X141" s="9">
        <v>0</v>
      </c>
      <c r="Y141" s="9">
        <v>0</v>
      </c>
      <c r="Z141" s="9">
        <v>0</v>
      </c>
      <c r="AA141" s="9">
        <v>0</v>
      </c>
      <c r="AB141" s="9">
        <v>0</v>
      </c>
      <c r="AC141" s="9">
        <v>0</v>
      </c>
      <c r="AD141" s="9">
        <v>0</v>
      </c>
      <c r="AE141" s="9">
        <v>0</v>
      </c>
      <c r="AF141" s="9">
        <v>0</v>
      </c>
      <c r="AG141" s="9">
        <v>0</v>
      </c>
      <c r="AH141" s="9">
        <v>0</v>
      </c>
      <c r="AI141" s="9">
        <v>0</v>
      </c>
      <c r="AJ141" s="9">
        <v>0</v>
      </c>
      <c r="AK141" s="9">
        <v>0</v>
      </c>
      <c r="AL141" s="9">
        <v>0</v>
      </c>
      <c r="AM141" s="9">
        <v>0</v>
      </c>
      <c r="AN141" s="9">
        <v>0</v>
      </c>
      <c r="AO141" s="9">
        <v>0</v>
      </c>
      <c r="AP141" s="9">
        <v>0</v>
      </c>
      <c r="AQ141" s="9">
        <v>0</v>
      </c>
      <c r="AR141" s="9">
        <v>0</v>
      </c>
      <c r="AS141" s="9">
        <v>0</v>
      </c>
      <c r="AT141" s="9">
        <v>0</v>
      </c>
      <c r="AU141" s="9">
        <v>0</v>
      </c>
      <c r="AV141" s="9">
        <v>0</v>
      </c>
      <c r="AW141" s="9">
        <v>0</v>
      </c>
      <c r="AX141" s="9">
        <v>0</v>
      </c>
      <c r="AY141" s="9">
        <v>0</v>
      </c>
      <c r="AZ141" s="9">
        <v>0</v>
      </c>
      <c r="BA141" s="9">
        <v>0</v>
      </c>
      <c r="BB141" s="9">
        <v>0</v>
      </c>
      <c r="BC141" s="9">
        <v>0</v>
      </c>
      <c r="BD141" s="9">
        <v>0</v>
      </c>
      <c r="BE141" s="9">
        <v>0</v>
      </c>
      <c r="BF141" s="9">
        <v>0</v>
      </c>
      <c r="BG141" s="9">
        <v>0</v>
      </c>
      <c r="BH141" s="9">
        <v>0</v>
      </c>
      <c r="BI141" s="9">
        <v>0</v>
      </c>
      <c r="BJ141" s="9">
        <v>0</v>
      </c>
      <c r="BK141" s="9">
        <v>0</v>
      </c>
      <c r="BL141" s="9">
        <v>0</v>
      </c>
      <c r="BM141" s="9">
        <v>0</v>
      </c>
      <c r="BN141" s="9">
        <v>0</v>
      </c>
      <c r="BO141" s="9">
        <v>0</v>
      </c>
      <c r="BP141" s="9">
        <v>0</v>
      </c>
      <c r="BQ141" s="9">
        <v>0</v>
      </c>
      <c r="BR141" s="9">
        <v>0</v>
      </c>
      <c r="BS141" s="9">
        <v>0</v>
      </c>
      <c r="BT141" s="9">
        <v>0</v>
      </c>
      <c r="BU141" s="9">
        <v>0</v>
      </c>
      <c r="BV141" s="9">
        <v>0</v>
      </c>
      <c r="BW141" s="9">
        <v>0</v>
      </c>
      <c r="BX141" s="9">
        <v>0</v>
      </c>
      <c r="BY141" s="9">
        <v>0</v>
      </c>
      <c r="BZ141" s="9">
        <v>0</v>
      </c>
      <c r="CA141" s="9">
        <v>0</v>
      </c>
      <c r="CB141" s="9">
        <v>0</v>
      </c>
      <c r="CC141" s="9">
        <v>0</v>
      </c>
      <c r="CD141" s="9">
        <v>0</v>
      </c>
      <c r="CE141" s="9">
        <v>0</v>
      </c>
      <c r="CF141" s="9">
        <v>0</v>
      </c>
      <c r="CG141" s="9">
        <v>0</v>
      </c>
      <c r="CH141" s="9">
        <v>0</v>
      </c>
      <c r="CI141" s="9">
        <v>0</v>
      </c>
      <c r="CJ141" s="9">
        <v>0</v>
      </c>
      <c r="CK141" s="9">
        <v>0</v>
      </c>
      <c r="CL141" s="9">
        <v>0</v>
      </c>
      <c r="CM141" s="9">
        <v>0</v>
      </c>
      <c r="CN141" s="9">
        <v>0</v>
      </c>
      <c r="CO141" s="9">
        <v>0</v>
      </c>
      <c r="CP141" s="9">
        <v>0</v>
      </c>
      <c r="CQ141" s="9">
        <v>0</v>
      </c>
      <c r="CR141" s="9">
        <v>0</v>
      </c>
      <c r="CS141" s="10">
        <v>0</v>
      </c>
    </row>
    <row r="142" spans="1:97" x14ac:dyDescent="0.35">
      <c r="A142" s="8" t="s">
        <v>174</v>
      </c>
      <c r="B142" s="9" t="s">
        <v>763</v>
      </c>
      <c r="C142" s="9" t="s">
        <v>764</v>
      </c>
      <c r="D142" s="9">
        <f t="shared" si="2"/>
        <v>4</v>
      </c>
      <c r="E142" s="9">
        <v>0</v>
      </c>
      <c r="F142" s="9">
        <v>0</v>
      </c>
      <c r="G142" s="9">
        <v>0</v>
      </c>
      <c r="H142" s="9">
        <v>0</v>
      </c>
      <c r="I142" s="9">
        <v>0</v>
      </c>
      <c r="J142" s="9">
        <v>0</v>
      </c>
      <c r="K142" s="9">
        <v>0</v>
      </c>
      <c r="L142" s="9">
        <v>0</v>
      </c>
      <c r="M142" s="9">
        <v>0</v>
      </c>
      <c r="N142" s="9">
        <v>0</v>
      </c>
      <c r="O142" s="9">
        <v>0</v>
      </c>
      <c r="P142" s="9">
        <v>0</v>
      </c>
      <c r="Q142" s="9">
        <v>0</v>
      </c>
      <c r="R142" s="9">
        <v>0</v>
      </c>
      <c r="S142" s="9">
        <v>0</v>
      </c>
      <c r="T142" s="9">
        <v>0</v>
      </c>
      <c r="U142" s="9">
        <v>0</v>
      </c>
      <c r="V142" s="9">
        <v>0</v>
      </c>
      <c r="W142" s="9">
        <v>0</v>
      </c>
      <c r="X142" s="9">
        <v>0</v>
      </c>
      <c r="Y142" s="9">
        <v>0</v>
      </c>
      <c r="Z142" s="9">
        <v>0</v>
      </c>
      <c r="AA142" s="9">
        <v>0</v>
      </c>
      <c r="AB142" s="9">
        <v>0</v>
      </c>
      <c r="AC142" s="9">
        <v>0</v>
      </c>
      <c r="AD142" s="9">
        <v>0</v>
      </c>
      <c r="AE142" s="9">
        <v>0</v>
      </c>
      <c r="AF142" s="9">
        <v>0</v>
      </c>
      <c r="AG142" s="9">
        <v>0</v>
      </c>
      <c r="AH142" s="9">
        <v>0</v>
      </c>
      <c r="AI142" s="9">
        <v>0</v>
      </c>
      <c r="AJ142" s="9">
        <v>0</v>
      </c>
      <c r="AK142" s="9">
        <v>0</v>
      </c>
      <c r="AL142" s="9">
        <v>0</v>
      </c>
      <c r="AM142" s="9">
        <v>0</v>
      </c>
      <c r="AN142" s="9">
        <v>0</v>
      </c>
      <c r="AO142" s="9">
        <v>0</v>
      </c>
      <c r="AP142" s="9">
        <v>0</v>
      </c>
      <c r="AQ142" s="9">
        <v>0</v>
      </c>
      <c r="AR142" s="9">
        <v>0</v>
      </c>
      <c r="AS142" s="9">
        <v>0</v>
      </c>
      <c r="AT142" s="9">
        <v>0</v>
      </c>
      <c r="AU142" s="9">
        <v>0</v>
      </c>
      <c r="AV142" s="9">
        <v>0</v>
      </c>
      <c r="AW142" s="9">
        <v>0</v>
      </c>
      <c r="AX142" s="9">
        <v>0</v>
      </c>
      <c r="AY142" s="9">
        <v>0</v>
      </c>
      <c r="AZ142" s="9">
        <v>0</v>
      </c>
      <c r="BA142" s="9">
        <v>0</v>
      </c>
      <c r="BB142" s="9">
        <v>0</v>
      </c>
      <c r="BC142" s="9">
        <v>0</v>
      </c>
      <c r="BD142" s="9">
        <v>0</v>
      </c>
      <c r="BE142" s="9">
        <v>0</v>
      </c>
      <c r="BF142" s="9">
        <v>0</v>
      </c>
      <c r="BG142" s="9">
        <v>0</v>
      </c>
      <c r="BH142" s="9">
        <v>0</v>
      </c>
      <c r="BI142" s="9">
        <v>0</v>
      </c>
      <c r="BJ142" s="9">
        <v>0</v>
      </c>
      <c r="BK142" s="9">
        <v>0</v>
      </c>
      <c r="BL142" s="9">
        <v>0</v>
      </c>
      <c r="BM142" s="9">
        <v>0</v>
      </c>
      <c r="BN142" s="9">
        <v>0</v>
      </c>
      <c r="BO142" s="9">
        <v>0</v>
      </c>
      <c r="BP142" s="9">
        <v>0</v>
      </c>
      <c r="BQ142" s="9">
        <v>0</v>
      </c>
      <c r="BR142" s="9">
        <v>0</v>
      </c>
      <c r="BS142" s="9">
        <v>0</v>
      </c>
      <c r="BT142" s="9">
        <v>0</v>
      </c>
      <c r="BU142" s="9">
        <v>0</v>
      </c>
      <c r="BV142" s="9">
        <v>0</v>
      </c>
      <c r="BW142" s="9">
        <v>0</v>
      </c>
      <c r="BX142" s="9">
        <v>0</v>
      </c>
      <c r="BY142" s="9">
        <v>0</v>
      </c>
      <c r="BZ142" s="9">
        <v>0</v>
      </c>
      <c r="CA142" s="9">
        <v>0</v>
      </c>
      <c r="CB142" s="9">
        <v>0</v>
      </c>
      <c r="CC142" s="9">
        <v>0</v>
      </c>
      <c r="CD142" s="9">
        <v>0</v>
      </c>
      <c r="CE142" s="9">
        <v>0</v>
      </c>
      <c r="CF142" s="9">
        <v>0</v>
      </c>
      <c r="CG142" s="9">
        <v>0</v>
      </c>
      <c r="CH142" s="9">
        <v>0</v>
      </c>
      <c r="CI142" s="9">
        <v>0</v>
      </c>
      <c r="CJ142" s="9">
        <v>0</v>
      </c>
      <c r="CK142" s="9">
        <v>0</v>
      </c>
      <c r="CL142" s="9">
        <v>0</v>
      </c>
      <c r="CM142" s="9">
        <v>0</v>
      </c>
      <c r="CN142" s="9">
        <v>0</v>
      </c>
      <c r="CO142" s="9">
        <v>0</v>
      </c>
      <c r="CP142" s="9">
        <v>1</v>
      </c>
      <c r="CQ142" s="9">
        <v>1</v>
      </c>
      <c r="CR142" s="9">
        <v>0</v>
      </c>
      <c r="CS142" s="10">
        <v>2</v>
      </c>
    </row>
    <row r="143" spans="1:97" x14ac:dyDescent="0.35">
      <c r="A143" s="8" t="s">
        <v>174</v>
      </c>
      <c r="B143" s="9" t="s">
        <v>765</v>
      </c>
      <c r="C143" s="9" t="s">
        <v>766</v>
      </c>
      <c r="D143" s="9">
        <f t="shared" si="2"/>
        <v>0</v>
      </c>
      <c r="E143" s="9">
        <v>0</v>
      </c>
      <c r="F143" s="9">
        <v>0</v>
      </c>
      <c r="G143" s="9">
        <v>0</v>
      </c>
      <c r="H143" s="9">
        <v>0</v>
      </c>
      <c r="I143" s="9">
        <v>0</v>
      </c>
      <c r="J143" s="9">
        <v>0</v>
      </c>
      <c r="K143" s="9">
        <v>0</v>
      </c>
      <c r="L143" s="9">
        <v>0</v>
      </c>
      <c r="M143" s="9">
        <v>0</v>
      </c>
      <c r="N143" s="9">
        <v>0</v>
      </c>
      <c r="O143" s="9">
        <v>0</v>
      </c>
      <c r="P143" s="9">
        <v>0</v>
      </c>
      <c r="Q143" s="9">
        <v>0</v>
      </c>
      <c r="R143" s="9">
        <v>0</v>
      </c>
      <c r="S143" s="9">
        <v>0</v>
      </c>
      <c r="T143" s="9">
        <v>0</v>
      </c>
      <c r="U143" s="9">
        <v>0</v>
      </c>
      <c r="V143" s="9">
        <v>0</v>
      </c>
      <c r="W143" s="9">
        <v>0</v>
      </c>
      <c r="X143" s="9">
        <v>0</v>
      </c>
      <c r="Y143" s="9">
        <v>0</v>
      </c>
      <c r="Z143" s="9">
        <v>0</v>
      </c>
      <c r="AA143" s="9">
        <v>0</v>
      </c>
      <c r="AB143" s="9">
        <v>0</v>
      </c>
      <c r="AC143" s="9">
        <v>0</v>
      </c>
      <c r="AD143" s="9">
        <v>0</v>
      </c>
      <c r="AE143" s="9">
        <v>0</v>
      </c>
      <c r="AF143" s="9">
        <v>0</v>
      </c>
      <c r="AG143" s="9">
        <v>0</v>
      </c>
      <c r="AH143" s="9">
        <v>0</v>
      </c>
      <c r="AI143" s="9">
        <v>0</v>
      </c>
      <c r="AJ143" s="9">
        <v>0</v>
      </c>
      <c r="AK143" s="9">
        <v>0</v>
      </c>
      <c r="AL143" s="9">
        <v>0</v>
      </c>
      <c r="AM143" s="9">
        <v>0</v>
      </c>
      <c r="AN143" s="9">
        <v>0</v>
      </c>
      <c r="AO143" s="9">
        <v>0</v>
      </c>
      <c r="AP143" s="9">
        <v>0</v>
      </c>
      <c r="AQ143" s="9">
        <v>0</v>
      </c>
      <c r="AR143" s="9">
        <v>0</v>
      </c>
      <c r="AS143" s="9">
        <v>0</v>
      </c>
      <c r="AT143" s="9">
        <v>0</v>
      </c>
      <c r="AU143" s="9">
        <v>0</v>
      </c>
      <c r="AV143" s="9">
        <v>0</v>
      </c>
      <c r="AW143" s="9">
        <v>0</v>
      </c>
      <c r="AX143" s="9">
        <v>0</v>
      </c>
      <c r="AY143" s="9">
        <v>0</v>
      </c>
      <c r="AZ143" s="9">
        <v>0</v>
      </c>
      <c r="BA143" s="9">
        <v>0</v>
      </c>
      <c r="BB143" s="9">
        <v>0</v>
      </c>
      <c r="BC143" s="9">
        <v>0</v>
      </c>
      <c r="BD143" s="9">
        <v>0</v>
      </c>
      <c r="BE143" s="9">
        <v>0</v>
      </c>
      <c r="BF143" s="9">
        <v>0</v>
      </c>
      <c r="BG143" s="9">
        <v>0</v>
      </c>
      <c r="BH143" s="9">
        <v>0</v>
      </c>
      <c r="BI143" s="9">
        <v>0</v>
      </c>
      <c r="BJ143" s="9">
        <v>0</v>
      </c>
      <c r="BK143" s="9">
        <v>0</v>
      </c>
      <c r="BL143" s="9">
        <v>0</v>
      </c>
      <c r="BM143" s="9">
        <v>0</v>
      </c>
      <c r="BN143" s="9">
        <v>0</v>
      </c>
      <c r="BO143" s="9">
        <v>0</v>
      </c>
      <c r="BP143" s="9">
        <v>0</v>
      </c>
      <c r="BQ143" s="9">
        <v>0</v>
      </c>
      <c r="BR143" s="9">
        <v>0</v>
      </c>
      <c r="BS143" s="9">
        <v>0</v>
      </c>
      <c r="BT143" s="9">
        <v>0</v>
      </c>
      <c r="BU143" s="9">
        <v>0</v>
      </c>
      <c r="BV143" s="9">
        <v>0</v>
      </c>
      <c r="BW143" s="9">
        <v>0</v>
      </c>
      <c r="BX143" s="9">
        <v>0</v>
      </c>
      <c r="BY143" s="9">
        <v>0</v>
      </c>
      <c r="BZ143" s="9">
        <v>0</v>
      </c>
      <c r="CA143" s="9">
        <v>0</v>
      </c>
      <c r="CB143" s="9">
        <v>0</v>
      </c>
      <c r="CC143" s="9">
        <v>0</v>
      </c>
      <c r="CD143" s="9">
        <v>0</v>
      </c>
      <c r="CE143" s="9">
        <v>0</v>
      </c>
      <c r="CF143" s="9">
        <v>0</v>
      </c>
      <c r="CG143" s="9">
        <v>0</v>
      </c>
      <c r="CH143" s="9">
        <v>0</v>
      </c>
      <c r="CI143" s="9">
        <v>0</v>
      </c>
      <c r="CJ143" s="9">
        <v>0</v>
      </c>
      <c r="CK143" s="9">
        <v>0</v>
      </c>
      <c r="CL143" s="9">
        <v>0</v>
      </c>
      <c r="CM143" s="9">
        <v>0</v>
      </c>
      <c r="CN143" s="9">
        <v>0</v>
      </c>
      <c r="CO143" s="9">
        <v>0</v>
      </c>
      <c r="CP143" s="9">
        <v>0</v>
      </c>
      <c r="CQ143" s="9">
        <v>0</v>
      </c>
      <c r="CR143" s="9">
        <v>0</v>
      </c>
      <c r="CS143" s="10">
        <v>0</v>
      </c>
    </row>
    <row r="144" spans="1:97" x14ac:dyDescent="0.35">
      <c r="A144" s="8" t="s">
        <v>174</v>
      </c>
      <c r="B144" s="9" t="s">
        <v>767</v>
      </c>
      <c r="C144" s="9" t="s">
        <v>768</v>
      </c>
      <c r="D144" s="9">
        <f t="shared" si="2"/>
        <v>0</v>
      </c>
      <c r="E144" s="9">
        <v>0</v>
      </c>
      <c r="F144" s="9">
        <v>0</v>
      </c>
      <c r="G144" s="9">
        <v>0</v>
      </c>
      <c r="H144" s="9">
        <v>0</v>
      </c>
      <c r="I144" s="9">
        <v>0</v>
      </c>
      <c r="J144" s="9">
        <v>0</v>
      </c>
      <c r="K144" s="9">
        <v>0</v>
      </c>
      <c r="L144" s="9">
        <v>0</v>
      </c>
      <c r="M144" s="9">
        <v>0</v>
      </c>
      <c r="N144" s="9">
        <v>0</v>
      </c>
      <c r="O144" s="9">
        <v>0</v>
      </c>
      <c r="P144" s="9">
        <v>0</v>
      </c>
      <c r="Q144" s="9">
        <v>0</v>
      </c>
      <c r="R144" s="9">
        <v>0</v>
      </c>
      <c r="S144" s="9">
        <v>0</v>
      </c>
      <c r="T144" s="9">
        <v>0</v>
      </c>
      <c r="U144" s="9">
        <v>0</v>
      </c>
      <c r="V144" s="9">
        <v>0</v>
      </c>
      <c r="W144" s="9">
        <v>0</v>
      </c>
      <c r="X144" s="9">
        <v>0</v>
      </c>
      <c r="Y144" s="9">
        <v>0</v>
      </c>
      <c r="Z144" s="9">
        <v>0</v>
      </c>
      <c r="AA144" s="9">
        <v>0</v>
      </c>
      <c r="AB144" s="9">
        <v>0</v>
      </c>
      <c r="AC144" s="9">
        <v>0</v>
      </c>
      <c r="AD144" s="9">
        <v>0</v>
      </c>
      <c r="AE144" s="9">
        <v>0</v>
      </c>
      <c r="AF144" s="9">
        <v>0</v>
      </c>
      <c r="AG144" s="9">
        <v>0</v>
      </c>
      <c r="AH144" s="9">
        <v>0</v>
      </c>
      <c r="AI144" s="9">
        <v>0</v>
      </c>
      <c r="AJ144" s="9">
        <v>0</v>
      </c>
      <c r="AK144" s="9">
        <v>0</v>
      </c>
      <c r="AL144" s="9">
        <v>0</v>
      </c>
      <c r="AM144" s="9">
        <v>0</v>
      </c>
      <c r="AN144" s="9">
        <v>0</v>
      </c>
      <c r="AO144" s="9">
        <v>0</v>
      </c>
      <c r="AP144" s="9">
        <v>0</v>
      </c>
      <c r="AQ144" s="9">
        <v>0</v>
      </c>
      <c r="AR144" s="9">
        <v>0</v>
      </c>
      <c r="AS144" s="9">
        <v>0</v>
      </c>
      <c r="AT144" s="9">
        <v>0</v>
      </c>
      <c r="AU144" s="9">
        <v>0</v>
      </c>
      <c r="AV144" s="9">
        <v>0</v>
      </c>
      <c r="AW144" s="9">
        <v>0</v>
      </c>
      <c r="AX144" s="9">
        <v>0</v>
      </c>
      <c r="AY144" s="9">
        <v>0</v>
      </c>
      <c r="AZ144" s="9">
        <v>0</v>
      </c>
      <c r="BA144" s="9">
        <v>0</v>
      </c>
      <c r="BB144" s="9">
        <v>0</v>
      </c>
      <c r="BC144" s="9">
        <v>0</v>
      </c>
      <c r="BD144" s="9">
        <v>0</v>
      </c>
      <c r="BE144" s="9">
        <v>0</v>
      </c>
      <c r="BF144" s="9">
        <v>0</v>
      </c>
      <c r="BG144" s="9">
        <v>0</v>
      </c>
      <c r="BH144" s="9">
        <v>0</v>
      </c>
      <c r="BI144" s="9">
        <v>0</v>
      </c>
      <c r="BJ144" s="9">
        <v>0</v>
      </c>
      <c r="BK144" s="9">
        <v>0</v>
      </c>
      <c r="BL144" s="9">
        <v>0</v>
      </c>
      <c r="BM144" s="9">
        <v>0</v>
      </c>
      <c r="BN144" s="9">
        <v>0</v>
      </c>
      <c r="BO144" s="9">
        <v>0</v>
      </c>
      <c r="BP144" s="9">
        <v>0</v>
      </c>
      <c r="BQ144" s="9">
        <v>0</v>
      </c>
      <c r="BR144" s="9">
        <v>0</v>
      </c>
      <c r="BS144" s="9">
        <v>0</v>
      </c>
      <c r="BT144" s="9">
        <v>0</v>
      </c>
      <c r="BU144" s="9">
        <v>0</v>
      </c>
      <c r="BV144" s="9">
        <v>0</v>
      </c>
      <c r="BW144" s="9">
        <v>0</v>
      </c>
      <c r="BX144" s="9">
        <v>0</v>
      </c>
      <c r="BY144" s="9">
        <v>0</v>
      </c>
      <c r="BZ144" s="9">
        <v>0</v>
      </c>
      <c r="CA144" s="9">
        <v>0</v>
      </c>
      <c r="CB144" s="9">
        <v>0</v>
      </c>
      <c r="CC144" s="9">
        <v>0</v>
      </c>
      <c r="CD144" s="9">
        <v>0</v>
      </c>
      <c r="CE144" s="9">
        <v>0</v>
      </c>
      <c r="CF144" s="9">
        <v>0</v>
      </c>
      <c r="CG144" s="9">
        <v>0</v>
      </c>
      <c r="CH144" s="9">
        <v>0</v>
      </c>
      <c r="CI144" s="9">
        <v>0</v>
      </c>
      <c r="CJ144" s="9">
        <v>0</v>
      </c>
      <c r="CK144" s="9">
        <v>0</v>
      </c>
      <c r="CL144" s="9">
        <v>0</v>
      </c>
      <c r="CM144" s="9">
        <v>0</v>
      </c>
      <c r="CN144" s="9">
        <v>0</v>
      </c>
      <c r="CO144" s="9">
        <v>0</v>
      </c>
      <c r="CP144" s="9">
        <v>0</v>
      </c>
      <c r="CQ144" s="9">
        <v>0</v>
      </c>
      <c r="CR144" s="9">
        <v>0</v>
      </c>
      <c r="CS144" s="10">
        <v>0</v>
      </c>
    </row>
    <row r="145" spans="1:97" x14ac:dyDescent="0.35">
      <c r="A145" s="8" t="s">
        <v>174</v>
      </c>
      <c r="B145" s="9" t="s">
        <v>769</v>
      </c>
      <c r="C145" s="9" t="s">
        <v>770</v>
      </c>
      <c r="D145" s="9">
        <f t="shared" si="2"/>
        <v>0</v>
      </c>
      <c r="E145" s="9">
        <v>0</v>
      </c>
      <c r="F145" s="9">
        <v>0</v>
      </c>
      <c r="G145" s="9">
        <v>0</v>
      </c>
      <c r="H145" s="9">
        <v>0</v>
      </c>
      <c r="I145" s="9">
        <v>0</v>
      </c>
      <c r="J145" s="9">
        <v>0</v>
      </c>
      <c r="K145" s="9">
        <v>0</v>
      </c>
      <c r="L145" s="9">
        <v>0</v>
      </c>
      <c r="M145" s="9">
        <v>0</v>
      </c>
      <c r="N145" s="9">
        <v>0</v>
      </c>
      <c r="O145" s="9">
        <v>0</v>
      </c>
      <c r="P145" s="9">
        <v>0</v>
      </c>
      <c r="Q145" s="9">
        <v>0</v>
      </c>
      <c r="R145" s="9">
        <v>0</v>
      </c>
      <c r="S145" s="9">
        <v>0</v>
      </c>
      <c r="T145" s="9">
        <v>0</v>
      </c>
      <c r="U145" s="9">
        <v>0</v>
      </c>
      <c r="V145" s="9">
        <v>0</v>
      </c>
      <c r="W145" s="9">
        <v>0</v>
      </c>
      <c r="X145" s="9">
        <v>0</v>
      </c>
      <c r="Y145" s="9">
        <v>0</v>
      </c>
      <c r="Z145" s="9">
        <v>0</v>
      </c>
      <c r="AA145" s="9">
        <v>0</v>
      </c>
      <c r="AB145" s="9">
        <v>0</v>
      </c>
      <c r="AC145" s="9">
        <v>0</v>
      </c>
      <c r="AD145" s="9">
        <v>0</v>
      </c>
      <c r="AE145" s="9">
        <v>0</v>
      </c>
      <c r="AF145" s="9">
        <v>0</v>
      </c>
      <c r="AG145" s="9">
        <v>0</v>
      </c>
      <c r="AH145" s="9">
        <v>0</v>
      </c>
      <c r="AI145" s="9">
        <v>0</v>
      </c>
      <c r="AJ145" s="9">
        <v>0</v>
      </c>
      <c r="AK145" s="9">
        <v>0</v>
      </c>
      <c r="AL145" s="9">
        <v>0</v>
      </c>
      <c r="AM145" s="9">
        <v>0</v>
      </c>
      <c r="AN145" s="9">
        <v>0</v>
      </c>
      <c r="AO145" s="9">
        <v>0</v>
      </c>
      <c r="AP145" s="9">
        <v>0</v>
      </c>
      <c r="AQ145" s="9">
        <v>0</v>
      </c>
      <c r="AR145" s="9">
        <v>0</v>
      </c>
      <c r="AS145" s="9">
        <v>0</v>
      </c>
      <c r="AT145" s="9">
        <v>0</v>
      </c>
      <c r="AU145" s="9">
        <v>0</v>
      </c>
      <c r="AV145" s="9">
        <v>0</v>
      </c>
      <c r="AW145" s="9">
        <v>0</v>
      </c>
      <c r="AX145" s="9">
        <v>0</v>
      </c>
      <c r="AY145" s="9">
        <v>0</v>
      </c>
      <c r="AZ145" s="9">
        <v>0</v>
      </c>
      <c r="BA145" s="9">
        <v>0</v>
      </c>
      <c r="BB145" s="9">
        <v>0</v>
      </c>
      <c r="BC145" s="9">
        <v>0</v>
      </c>
      <c r="BD145" s="9">
        <v>0</v>
      </c>
      <c r="BE145" s="9">
        <v>0</v>
      </c>
      <c r="BF145" s="9">
        <v>0</v>
      </c>
      <c r="BG145" s="9">
        <v>0</v>
      </c>
      <c r="BH145" s="9">
        <v>0</v>
      </c>
      <c r="BI145" s="9">
        <v>0</v>
      </c>
      <c r="BJ145" s="9">
        <v>0</v>
      </c>
      <c r="BK145" s="9">
        <v>0</v>
      </c>
      <c r="BL145" s="9">
        <v>0</v>
      </c>
      <c r="BM145" s="9">
        <v>0</v>
      </c>
      <c r="BN145" s="9">
        <v>0</v>
      </c>
      <c r="BO145" s="9">
        <v>0</v>
      </c>
      <c r="BP145" s="9">
        <v>0</v>
      </c>
      <c r="BQ145" s="9">
        <v>0</v>
      </c>
      <c r="BR145" s="9">
        <v>0</v>
      </c>
      <c r="BS145" s="9">
        <v>0</v>
      </c>
      <c r="BT145" s="9">
        <v>0</v>
      </c>
      <c r="BU145" s="9">
        <v>0</v>
      </c>
      <c r="BV145" s="9">
        <v>0</v>
      </c>
      <c r="BW145" s="9">
        <v>0</v>
      </c>
      <c r="BX145" s="9">
        <v>0</v>
      </c>
      <c r="BY145" s="9">
        <v>0</v>
      </c>
      <c r="BZ145" s="9">
        <v>0</v>
      </c>
      <c r="CA145" s="9">
        <v>0</v>
      </c>
      <c r="CB145" s="9">
        <v>0</v>
      </c>
      <c r="CC145" s="9">
        <v>0</v>
      </c>
      <c r="CD145" s="9">
        <v>0</v>
      </c>
      <c r="CE145" s="9">
        <v>0</v>
      </c>
      <c r="CF145" s="9">
        <v>0</v>
      </c>
      <c r="CG145" s="9">
        <v>0</v>
      </c>
      <c r="CH145" s="9">
        <v>0</v>
      </c>
      <c r="CI145" s="9">
        <v>0</v>
      </c>
      <c r="CJ145" s="9">
        <v>0</v>
      </c>
      <c r="CK145" s="9">
        <v>0</v>
      </c>
      <c r="CL145" s="9">
        <v>0</v>
      </c>
      <c r="CM145" s="9">
        <v>0</v>
      </c>
      <c r="CN145" s="9">
        <v>0</v>
      </c>
      <c r="CO145" s="9">
        <v>0</v>
      </c>
      <c r="CP145" s="9">
        <v>0</v>
      </c>
      <c r="CQ145" s="9">
        <v>0</v>
      </c>
      <c r="CR145" s="9">
        <v>0</v>
      </c>
      <c r="CS145" s="10">
        <v>0</v>
      </c>
    </row>
    <row r="146" spans="1:97" x14ac:dyDescent="0.35">
      <c r="A146" s="8" t="s">
        <v>174</v>
      </c>
      <c r="B146" s="9" t="s">
        <v>771</v>
      </c>
      <c r="C146" s="9" t="s">
        <v>772</v>
      </c>
      <c r="D146" s="9">
        <f t="shared" si="2"/>
        <v>4</v>
      </c>
      <c r="E146" s="9">
        <v>0</v>
      </c>
      <c r="F146" s="9">
        <v>0</v>
      </c>
      <c r="G146" s="9">
        <v>0</v>
      </c>
      <c r="H146" s="9">
        <v>0</v>
      </c>
      <c r="I146" s="9">
        <v>0</v>
      </c>
      <c r="J146" s="9">
        <v>0</v>
      </c>
      <c r="K146" s="9">
        <v>0</v>
      </c>
      <c r="L146" s="9">
        <v>0</v>
      </c>
      <c r="M146" s="9">
        <v>0</v>
      </c>
      <c r="N146" s="9">
        <v>0</v>
      </c>
      <c r="O146" s="9">
        <v>0</v>
      </c>
      <c r="P146" s="9">
        <v>0</v>
      </c>
      <c r="Q146" s="9">
        <v>0</v>
      </c>
      <c r="R146" s="9">
        <v>0</v>
      </c>
      <c r="S146" s="9">
        <v>0</v>
      </c>
      <c r="T146" s="9">
        <v>0</v>
      </c>
      <c r="U146" s="9">
        <v>0</v>
      </c>
      <c r="V146" s="9">
        <v>0</v>
      </c>
      <c r="W146" s="9">
        <v>0</v>
      </c>
      <c r="X146" s="9">
        <v>0</v>
      </c>
      <c r="Y146" s="9">
        <v>0</v>
      </c>
      <c r="Z146" s="9">
        <v>0</v>
      </c>
      <c r="AA146" s="9">
        <v>0</v>
      </c>
      <c r="AB146" s="9">
        <v>0</v>
      </c>
      <c r="AC146" s="9">
        <v>0</v>
      </c>
      <c r="AD146" s="9">
        <v>0</v>
      </c>
      <c r="AE146" s="9">
        <v>0</v>
      </c>
      <c r="AF146" s="9">
        <v>0</v>
      </c>
      <c r="AG146" s="9">
        <v>0</v>
      </c>
      <c r="AH146" s="9">
        <v>0</v>
      </c>
      <c r="AI146" s="9">
        <v>0</v>
      </c>
      <c r="AJ146" s="9">
        <v>0</v>
      </c>
      <c r="AK146" s="9">
        <v>0</v>
      </c>
      <c r="AL146" s="9">
        <v>0</v>
      </c>
      <c r="AM146" s="9">
        <v>0</v>
      </c>
      <c r="AN146" s="9">
        <v>0</v>
      </c>
      <c r="AO146" s="9">
        <v>0</v>
      </c>
      <c r="AP146" s="9">
        <v>0</v>
      </c>
      <c r="AQ146" s="9">
        <v>0</v>
      </c>
      <c r="AR146" s="9">
        <v>0</v>
      </c>
      <c r="AS146" s="9">
        <v>0</v>
      </c>
      <c r="AT146" s="9">
        <v>0</v>
      </c>
      <c r="AU146" s="9">
        <v>0</v>
      </c>
      <c r="AV146" s="9">
        <v>0</v>
      </c>
      <c r="AW146" s="9">
        <v>0</v>
      </c>
      <c r="AX146" s="9">
        <v>0</v>
      </c>
      <c r="AY146" s="9">
        <v>0</v>
      </c>
      <c r="AZ146" s="9">
        <v>0</v>
      </c>
      <c r="BA146" s="9">
        <v>0</v>
      </c>
      <c r="BB146" s="9">
        <v>0</v>
      </c>
      <c r="BC146" s="9">
        <v>0</v>
      </c>
      <c r="BD146" s="9">
        <v>0</v>
      </c>
      <c r="BE146" s="9">
        <v>0</v>
      </c>
      <c r="BF146" s="9">
        <v>0</v>
      </c>
      <c r="BG146" s="9">
        <v>0</v>
      </c>
      <c r="BH146" s="9">
        <v>0</v>
      </c>
      <c r="BI146" s="9">
        <v>0</v>
      </c>
      <c r="BJ146" s="9">
        <v>0</v>
      </c>
      <c r="BK146" s="9">
        <v>0</v>
      </c>
      <c r="BL146" s="9">
        <v>0</v>
      </c>
      <c r="BM146" s="9">
        <v>0</v>
      </c>
      <c r="BN146" s="9">
        <v>0</v>
      </c>
      <c r="BO146" s="9">
        <v>0</v>
      </c>
      <c r="BP146" s="9">
        <v>0</v>
      </c>
      <c r="BQ146" s="9">
        <v>0</v>
      </c>
      <c r="BR146" s="9">
        <v>0</v>
      </c>
      <c r="BS146" s="9">
        <v>0</v>
      </c>
      <c r="BT146" s="9">
        <v>0</v>
      </c>
      <c r="BU146" s="9">
        <v>0</v>
      </c>
      <c r="BV146" s="9">
        <v>0</v>
      </c>
      <c r="BW146" s="9">
        <v>0</v>
      </c>
      <c r="BX146" s="9">
        <v>0</v>
      </c>
      <c r="BY146" s="9">
        <v>0</v>
      </c>
      <c r="BZ146" s="9">
        <v>0</v>
      </c>
      <c r="CA146" s="9">
        <v>0</v>
      </c>
      <c r="CB146" s="9">
        <v>0</v>
      </c>
      <c r="CC146" s="9">
        <v>0</v>
      </c>
      <c r="CD146" s="9">
        <v>0</v>
      </c>
      <c r="CE146" s="9">
        <v>0</v>
      </c>
      <c r="CF146" s="9">
        <v>0</v>
      </c>
      <c r="CG146" s="9">
        <v>0</v>
      </c>
      <c r="CH146" s="9">
        <v>4</v>
      </c>
      <c r="CI146" s="9">
        <v>0</v>
      </c>
      <c r="CJ146" s="9">
        <v>0</v>
      </c>
      <c r="CK146" s="9">
        <v>0</v>
      </c>
      <c r="CL146" s="9">
        <v>0</v>
      </c>
      <c r="CM146" s="9">
        <v>0</v>
      </c>
      <c r="CN146" s="9">
        <v>0</v>
      </c>
      <c r="CO146" s="9">
        <v>0</v>
      </c>
      <c r="CP146" s="9">
        <v>0</v>
      </c>
      <c r="CQ146" s="9">
        <v>0</v>
      </c>
      <c r="CR146" s="9">
        <v>0</v>
      </c>
      <c r="CS146" s="10">
        <v>0</v>
      </c>
    </row>
    <row r="147" spans="1:97" x14ac:dyDescent="0.35">
      <c r="A147" s="8" t="s">
        <v>174</v>
      </c>
      <c r="B147" s="9" t="s">
        <v>773</v>
      </c>
      <c r="C147" s="9" t="s">
        <v>774</v>
      </c>
      <c r="D147" s="9">
        <f t="shared" si="2"/>
        <v>0</v>
      </c>
      <c r="E147" s="9">
        <v>0</v>
      </c>
      <c r="F147" s="9">
        <v>0</v>
      </c>
      <c r="G147" s="9">
        <v>0</v>
      </c>
      <c r="H147" s="9">
        <v>0</v>
      </c>
      <c r="I147" s="9">
        <v>0</v>
      </c>
      <c r="J147" s="9">
        <v>0</v>
      </c>
      <c r="K147" s="9">
        <v>0</v>
      </c>
      <c r="L147" s="9">
        <v>0</v>
      </c>
      <c r="M147" s="9">
        <v>0</v>
      </c>
      <c r="N147" s="9">
        <v>0</v>
      </c>
      <c r="O147" s="9">
        <v>0</v>
      </c>
      <c r="P147" s="9">
        <v>0</v>
      </c>
      <c r="Q147" s="9">
        <v>0</v>
      </c>
      <c r="R147" s="9">
        <v>0</v>
      </c>
      <c r="S147" s="9">
        <v>0</v>
      </c>
      <c r="T147" s="9">
        <v>0</v>
      </c>
      <c r="U147" s="9">
        <v>0</v>
      </c>
      <c r="V147" s="9">
        <v>0</v>
      </c>
      <c r="W147" s="9">
        <v>0</v>
      </c>
      <c r="X147" s="9">
        <v>0</v>
      </c>
      <c r="Y147" s="9">
        <v>0</v>
      </c>
      <c r="Z147" s="9">
        <v>0</v>
      </c>
      <c r="AA147" s="9">
        <v>0</v>
      </c>
      <c r="AB147" s="9">
        <v>0</v>
      </c>
      <c r="AC147" s="9">
        <v>0</v>
      </c>
      <c r="AD147" s="9">
        <v>0</v>
      </c>
      <c r="AE147" s="9">
        <v>0</v>
      </c>
      <c r="AF147" s="9">
        <v>0</v>
      </c>
      <c r="AG147" s="9">
        <v>0</v>
      </c>
      <c r="AH147" s="9">
        <v>0</v>
      </c>
      <c r="AI147" s="9">
        <v>0</v>
      </c>
      <c r="AJ147" s="9">
        <v>0</v>
      </c>
      <c r="AK147" s="9">
        <v>0</v>
      </c>
      <c r="AL147" s="9">
        <v>0</v>
      </c>
      <c r="AM147" s="9">
        <v>0</v>
      </c>
      <c r="AN147" s="9">
        <v>0</v>
      </c>
      <c r="AO147" s="9">
        <v>0</v>
      </c>
      <c r="AP147" s="9">
        <v>0</v>
      </c>
      <c r="AQ147" s="9">
        <v>0</v>
      </c>
      <c r="AR147" s="9">
        <v>0</v>
      </c>
      <c r="AS147" s="9">
        <v>0</v>
      </c>
      <c r="AT147" s="9">
        <v>0</v>
      </c>
      <c r="AU147" s="9">
        <v>0</v>
      </c>
      <c r="AV147" s="9">
        <v>0</v>
      </c>
      <c r="AW147" s="9">
        <v>0</v>
      </c>
      <c r="AX147" s="9">
        <v>0</v>
      </c>
      <c r="AY147" s="9">
        <v>0</v>
      </c>
      <c r="AZ147" s="9">
        <v>0</v>
      </c>
      <c r="BA147" s="9">
        <v>0</v>
      </c>
      <c r="BB147" s="9">
        <v>0</v>
      </c>
      <c r="BC147" s="9">
        <v>0</v>
      </c>
      <c r="BD147" s="9">
        <v>0</v>
      </c>
      <c r="BE147" s="9">
        <v>0</v>
      </c>
      <c r="BF147" s="9">
        <v>0</v>
      </c>
      <c r="BG147" s="9">
        <v>0</v>
      </c>
      <c r="BH147" s="9">
        <v>0</v>
      </c>
      <c r="BI147" s="9">
        <v>0</v>
      </c>
      <c r="BJ147" s="9">
        <v>0</v>
      </c>
      <c r="BK147" s="9">
        <v>0</v>
      </c>
      <c r="BL147" s="9">
        <v>0</v>
      </c>
      <c r="BM147" s="9">
        <v>0</v>
      </c>
      <c r="BN147" s="9">
        <v>0</v>
      </c>
      <c r="BO147" s="9">
        <v>0</v>
      </c>
      <c r="BP147" s="9">
        <v>0</v>
      </c>
      <c r="BQ147" s="9">
        <v>0</v>
      </c>
      <c r="BR147" s="9">
        <v>0</v>
      </c>
      <c r="BS147" s="9">
        <v>0</v>
      </c>
      <c r="BT147" s="9">
        <v>0</v>
      </c>
      <c r="BU147" s="9">
        <v>0</v>
      </c>
      <c r="BV147" s="9">
        <v>0</v>
      </c>
      <c r="BW147" s="9">
        <v>0</v>
      </c>
      <c r="BX147" s="9">
        <v>0</v>
      </c>
      <c r="BY147" s="9">
        <v>0</v>
      </c>
      <c r="BZ147" s="9">
        <v>0</v>
      </c>
      <c r="CA147" s="9">
        <v>0</v>
      </c>
      <c r="CB147" s="9">
        <v>0</v>
      </c>
      <c r="CC147" s="9">
        <v>0</v>
      </c>
      <c r="CD147" s="9">
        <v>0</v>
      </c>
      <c r="CE147" s="9">
        <v>0</v>
      </c>
      <c r="CF147" s="9">
        <v>0</v>
      </c>
      <c r="CG147" s="9">
        <v>0</v>
      </c>
      <c r="CH147" s="9">
        <v>0</v>
      </c>
      <c r="CI147" s="9">
        <v>0</v>
      </c>
      <c r="CJ147" s="9">
        <v>0</v>
      </c>
      <c r="CK147" s="9">
        <v>0</v>
      </c>
      <c r="CL147" s="9">
        <v>0</v>
      </c>
      <c r="CM147" s="9">
        <v>0</v>
      </c>
      <c r="CN147" s="9">
        <v>0</v>
      </c>
      <c r="CO147" s="9">
        <v>0</v>
      </c>
      <c r="CP147" s="9">
        <v>0</v>
      </c>
      <c r="CQ147" s="9">
        <v>0</v>
      </c>
      <c r="CR147" s="9">
        <v>0</v>
      </c>
      <c r="CS147" s="10">
        <v>0</v>
      </c>
    </row>
    <row r="148" spans="1:97" x14ac:dyDescent="0.35">
      <c r="A148" s="8" t="s">
        <v>174</v>
      </c>
      <c r="B148" s="9" t="s">
        <v>775</v>
      </c>
      <c r="C148" s="9" t="s">
        <v>776</v>
      </c>
      <c r="D148" s="9">
        <f t="shared" si="2"/>
        <v>0</v>
      </c>
      <c r="E148" s="9">
        <v>0</v>
      </c>
      <c r="F148" s="9">
        <v>0</v>
      </c>
      <c r="G148" s="9">
        <v>0</v>
      </c>
      <c r="H148" s="9">
        <v>0</v>
      </c>
      <c r="I148" s="9">
        <v>0</v>
      </c>
      <c r="J148" s="9">
        <v>0</v>
      </c>
      <c r="K148" s="9">
        <v>0</v>
      </c>
      <c r="L148" s="9">
        <v>0</v>
      </c>
      <c r="M148" s="9">
        <v>0</v>
      </c>
      <c r="N148" s="9">
        <v>0</v>
      </c>
      <c r="O148" s="9">
        <v>0</v>
      </c>
      <c r="P148" s="9">
        <v>0</v>
      </c>
      <c r="Q148" s="9">
        <v>0</v>
      </c>
      <c r="R148" s="9">
        <v>0</v>
      </c>
      <c r="S148" s="9">
        <v>0</v>
      </c>
      <c r="T148" s="9">
        <v>0</v>
      </c>
      <c r="U148" s="9">
        <v>0</v>
      </c>
      <c r="V148" s="9">
        <v>0</v>
      </c>
      <c r="W148" s="9">
        <v>0</v>
      </c>
      <c r="X148" s="9">
        <v>0</v>
      </c>
      <c r="Y148" s="9">
        <v>0</v>
      </c>
      <c r="Z148" s="9">
        <v>0</v>
      </c>
      <c r="AA148" s="9">
        <v>0</v>
      </c>
      <c r="AB148" s="9">
        <v>0</v>
      </c>
      <c r="AC148" s="9">
        <v>0</v>
      </c>
      <c r="AD148" s="9">
        <v>0</v>
      </c>
      <c r="AE148" s="9">
        <v>0</v>
      </c>
      <c r="AF148" s="9">
        <v>0</v>
      </c>
      <c r="AG148" s="9">
        <v>0</v>
      </c>
      <c r="AH148" s="9">
        <v>0</v>
      </c>
      <c r="AI148" s="9">
        <v>0</v>
      </c>
      <c r="AJ148" s="9">
        <v>0</v>
      </c>
      <c r="AK148" s="9">
        <v>0</v>
      </c>
      <c r="AL148" s="9">
        <v>0</v>
      </c>
      <c r="AM148" s="9">
        <v>0</v>
      </c>
      <c r="AN148" s="9">
        <v>0</v>
      </c>
      <c r="AO148" s="9">
        <v>0</v>
      </c>
      <c r="AP148" s="9">
        <v>0</v>
      </c>
      <c r="AQ148" s="9">
        <v>0</v>
      </c>
      <c r="AR148" s="9">
        <v>0</v>
      </c>
      <c r="AS148" s="9">
        <v>0</v>
      </c>
      <c r="AT148" s="9">
        <v>0</v>
      </c>
      <c r="AU148" s="9">
        <v>0</v>
      </c>
      <c r="AV148" s="9">
        <v>0</v>
      </c>
      <c r="AW148" s="9">
        <v>0</v>
      </c>
      <c r="AX148" s="9">
        <v>0</v>
      </c>
      <c r="AY148" s="9">
        <v>0</v>
      </c>
      <c r="AZ148" s="9">
        <v>0</v>
      </c>
      <c r="BA148" s="9">
        <v>0</v>
      </c>
      <c r="BB148" s="9">
        <v>0</v>
      </c>
      <c r="BC148" s="9">
        <v>0</v>
      </c>
      <c r="BD148" s="9">
        <v>0</v>
      </c>
      <c r="BE148" s="9">
        <v>0</v>
      </c>
      <c r="BF148" s="9">
        <v>0</v>
      </c>
      <c r="BG148" s="9">
        <v>0</v>
      </c>
      <c r="BH148" s="9">
        <v>0</v>
      </c>
      <c r="BI148" s="9">
        <v>0</v>
      </c>
      <c r="BJ148" s="9">
        <v>0</v>
      </c>
      <c r="BK148" s="9">
        <v>0</v>
      </c>
      <c r="BL148" s="9">
        <v>0</v>
      </c>
      <c r="BM148" s="9">
        <v>0</v>
      </c>
      <c r="BN148" s="9">
        <v>0</v>
      </c>
      <c r="BO148" s="9">
        <v>0</v>
      </c>
      <c r="BP148" s="9">
        <v>0</v>
      </c>
      <c r="BQ148" s="9">
        <v>0</v>
      </c>
      <c r="BR148" s="9">
        <v>0</v>
      </c>
      <c r="BS148" s="9">
        <v>0</v>
      </c>
      <c r="BT148" s="9">
        <v>0</v>
      </c>
      <c r="BU148" s="9">
        <v>0</v>
      </c>
      <c r="BV148" s="9">
        <v>0</v>
      </c>
      <c r="BW148" s="9">
        <v>0</v>
      </c>
      <c r="BX148" s="9">
        <v>0</v>
      </c>
      <c r="BY148" s="9">
        <v>0</v>
      </c>
      <c r="BZ148" s="9">
        <v>0</v>
      </c>
      <c r="CA148" s="9">
        <v>0</v>
      </c>
      <c r="CB148" s="9">
        <v>0</v>
      </c>
      <c r="CC148" s="9">
        <v>0</v>
      </c>
      <c r="CD148" s="9">
        <v>0</v>
      </c>
      <c r="CE148" s="9">
        <v>0</v>
      </c>
      <c r="CF148" s="9">
        <v>0</v>
      </c>
      <c r="CG148" s="9">
        <v>0</v>
      </c>
      <c r="CH148" s="9">
        <v>0</v>
      </c>
      <c r="CI148" s="9">
        <v>0</v>
      </c>
      <c r="CJ148" s="9">
        <v>0</v>
      </c>
      <c r="CK148" s="9">
        <v>0</v>
      </c>
      <c r="CL148" s="9">
        <v>0</v>
      </c>
      <c r="CM148" s="9">
        <v>0</v>
      </c>
      <c r="CN148" s="9">
        <v>0</v>
      </c>
      <c r="CO148" s="9">
        <v>0</v>
      </c>
      <c r="CP148" s="9">
        <v>0</v>
      </c>
      <c r="CQ148" s="9">
        <v>0</v>
      </c>
      <c r="CR148" s="9">
        <v>0</v>
      </c>
      <c r="CS148" s="10">
        <v>0</v>
      </c>
    </row>
    <row r="149" spans="1:97" x14ac:dyDescent="0.35">
      <c r="A149" s="8" t="s">
        <v>174</v>
      </c>
      <c r="B149" s="9" t="s">
        <v>777</v>
      </c>
      <c r="C149" s="9" t="s">
        <v>778</v>
      </c>
      <c r="D149" s="9">
        <f t="shared" si="2"/>
        <v>0</v>
      </c>
      <c r="E149" s="9">
        <v>0</v>
      </c>
      <c r="F149" s="9">
        <v>0</v>
      </c>
      <c r="G149" s="9">
        <v>0</v>
      </c>
      <c r="H149" s="9">
        <v>0</v>
      </c>
      <c r="I149" s="9">
        <v>0</v>
      </c>
      <c r="J149" s="9">
        <v>0</v>
      </c>
      <c r="K149" s="9">
        <v>0</v>
      </c>
      <c r="L149" s="9">
        <v>0</v>
      </c>
      <c r="M149" s="9">
        <v>0</v>
      </c>
      <c r="N149" s="9">
        <v>0</v>
      </c>
      <c r="O149" s="9">
        <v>0</v>
      </c>
      <c r="P149" s="9">
        <v>0</v>
      </c>
      <c r="Q149" s="9">
        <v>0</v>
      </c>
      <c r="R149" s="9">
        <v>0</v>
      </c>
      <c r="S149" s="9">
        <v>0</v>
      </c>
      <c r="T149" s="9">
        <v>0</v>
      </c>
      <c r="U149" s="9">
        <v>0</v>
      </c>
      <c r="V149" s="9">
        <v>0</v>
      </c>
      <c r="W149" s="9">
        <v>0</v>
      </c>
      <c r="X149" s="9">
        <v>0</v>
      </c>
      <c r="Y149" s="9">
        <v>0</v>
      </c>
      <c r="Z149" s="9">
        <v>0</v>
      </c>
      <c r="AA149" s="9">
        <v>0</v>
      </c>
      <c r="AB149" s="9">
        <v>0</v>
      </c>
      <c r="AC149" s="9">
        <v>0</v>
      </c>
      <c r="AD149" s="9">
        <v>0</v>
      </c>
      <c r="AE149" s="9">
        <v>0</v>
      </c>
      <c r="AF149" s="9">
        <v>0</v>
      </c>
      <c r="AG149" s="9">
        <v>0</v>
      </c>
      <c r="AH149" s="9">
        <v>0</v>
      </c>
      <c r="AI149" s="9">
        <v>0</v>
      </c>
      <c r="AJ149" s="9">
        <v>0</v>
      </c>
      <c r="AK149" s="9">
        <v>0</v>
      </c>
      <c r="AL149" s="9">
        <v>0</v>
      </c>
      <c r="AM149" s="9">
        <v>0</v>
      </c>
      <c r="AN149" s="9">
        <v>0</v>
      </c>
      <c r="AO149" s="9">
        <v>0</v>
      </c>
      <c r="AP149" s="9">
        <v>0</v>
      </c>
      <c r="AQ149" s="9">
        <v>0</v>
      </c>
      <c r="AR149" s="9">
        <v>0</v>
      </c>
      <c r="AS149" s="9">
        <v>0</v>
      </c>
      <c r="AT149" s="9">
        <v>0</v>
      </c>
      <c r="AU149" s="9">
        <v>0</v>
      </c>
      <c r="AV149" s="9">
        <v>0</v>
      </c>
      <c r="AW149" s="9">
        <v>0</v>
      </c>
      <c r="AX149" s="9">
        <v>0</v>
      </c>
      <c r="AY149" s="9">
        <v>0</v>
      </c>
      <c r="AZ149" s="9">
        <v>0</v>
      </c>
      <c r="BA149" s="9">
        <v>0</v>
      </c>
      <c r="BB149" s="9">
        <v>0</v>
      </c>
      <c r="BC149" s="9">
        <v>0</v>
      </c>
      <c r="BD149" s="9">
        <v>0</v>
      </c>
      <c r="BE149" s="9">
        <v>0</v>
      </c>
      <c r="BF149" s="9">
        <v>0</v>
      </c>
      <c r="BG149" s="9">
        <v>0</v>
      </c>
      <c r="BH149" s="9">
        <v>0</v>
      </c>
      <c r="BI149" s="9">
        <v>0</v>
      </c>
      <c r="BJ149" s="9">
        <v>0</v>
      </c>
      <c r="BK149" s="9">
        <v>0</v>
      </c>
      <c r="BL149" s="9">
        <v>0</v>
      </c>
      <c r="BM149" s="9">
        <v>0</v>
      </c>
      <c r="BN149" s="9">
        <v>0</v>
      </c>
      <c r="BO149" s="9">
        <v>0</v>
      </c>
      <c r="BP149" s="9">
        <v>0</v>
      </c>
      <c r="BQ149" s="9">
        <v>0</v>
      </c>
      <c r="BR149" s="9">
        <v>0</v>
      </c>
      <c r="BS149" s="9">
        <v>0</v>
      </c>
      <c r="BT149" s="9">
        <v>0</v>
      </c>
      <c r="BU149" s="9">
        <v>0</v>
      </c>
      <c r="BV149" s="9">
        <v>0</v>
      </c>
      <c r="BW149" s="9">
        <v>0</v>
      </c>
      <c r="BX149" s="9">
        <v>0</v>
      </c>
      <c r="BY149" s="9">
        <v>0</v>
      </c>
      <c r="BZ149" s="9">
        <v>0</v>
      </c>
      <c r="CA149" s="9">
        <v>0</v>
      </c>
      <c r="CB149" s="9">
        <v>0</v>
      </c>
      <c r="CC149" s="9">
        <v>0</v>
      </c>
      <c r="CD149" s="9">
        <v>0</v>
      </c>
      <c r="CE149" s="9">
        <v>0</v>
      </c>
      <c r="CF149" s="9">
        <v>0</v>
      </c>
      <c r="CG149" s="9">
        <v>0</v>
      </c>
      <c r="CH149" s="9">
        <v>0</v>
      </c>
      <c r="CI149" s="9">
        <v>0</v>
      </c>
      <c r="CJ149" s="9">
        <v>0</v>
      </c>
      <c r="CK149" s="9">
        <v>0</v>
      </c>
      <c r="CL149" s="9">
        <v>0</v>
      </c>
      <c r="CM149" s="9">
        <v>0</v>
      </c>
      <c r="CN149" s="9">
        <v>0</v>
      </c>
      <c r="CO149" s="9">
        <v>0</v>
      </c>
      <c r="CP149" s="9">
        <v>0</v>
      </c>
      <c r="CQ149" s="9">
        <v>0</v>
      </c>
      <c r="CR149" s="9">
        <v>0</v>
      </c>
      <c r="CS149" s="10">
        <v>0</v>
      </c>
    </row>
    <row r="150" spans="1:97" x14ac:dyDescent="0.35">
      <c r="A150" s="8" t="s">
        <v>174</v>
      </c>
      <c r="B150" s="9" t="s">
        <v>779</v>
      </c>
      <c r="C150" s="9" t="s">
        <v>780</v>
      </c>
      <c r="D150" s="9">
        <f t="shared" si="2"/>
        <v>0</v>
      </c>
      <c r="E150" s="9">
        <v>0</v>
      </c>
      <c r="F150" s="9">
        <v>0</v>
      </c>
      <c r="G150" s="9">
        <v>0</v>
      </c>
      <c r="H150" s="9">
        <v>0</v>
      </c>
      <c r="I150" s="9">
        <v>0</v>
      </c>
      <c r="J150" s="9">
        <v>0</v>
      </c>
      <c r="K150" s="9">
        <v>0</v>
      </c>
      <c r="L150" s="9">
        <v>0</v>
      </c>
      <c r="M150" s="9">
        <v>0</v>
      </c>
      <c r="N150" s="9">
        <v>0</v>
      </c>
      <c r="O150" s="9">
        <v>0</v>
      </c>
      <c r="P150" s="9">
        <v>0</v>
      </c>
      <c r="Q150" s="9">
        <v>0</v>
      </c>
      <c r="R150" s="9">
        <v>0</v>
      </c>
      <c r="S150" s="9">
        <v>0</v>
      </c>
      <c r="T150" s="9">
        <v>0</v>
      </c>
      <c r="U150" s="9">
        <v>0</v>
      </c>
      <c r="V150" s="9">
        <v>0</v>
      </c>
      <c r="W150" s="9">
        <v>0</v>
      </c>
      <c r="X150" s="9">
        <v>0</v>
      </c>
      <c r="Y150" s="9">
        <v>0</v>
      </c>
      <c r="Z150" s="9">
        <v>0</v>
      </c>
      <c r="AA150" s="9">
        <v>0</v>
      </c>
      <c r="AB150" s="9">
        <v>0</v>
      </c>
      <c r="AC150" s="9">
        <v>0</v>
      </c>
      <c r="AD150" s="9">
        <v>0</v>
      </c>
      <c r="AE150" s="9">
        <v>0</v>
      </c>
      <c r="AF150" s="9">
        <v>0</v>
      </c>
      <c r="AG150" s="9">
        <v>0</v>
      </c>
      <c r="AH150" s="9">
        <v>0</v>
      </c>
      <c r="AI150" s="9">
        <v>0</v>
      </c>
      <c r="AJ150" s="9">
        <v>0</v>
      </c>
      <c r="AK150" s="9">
        <v>0</v>
      </c>
      <c r="AL150" s="9">
        <v>0</v>
      </c>
      <c r="AM150" s="9">
        <v>0</v>
      </c>
      <c r="AN150" s="9">
        <v>0</v>
      </c>
      <c r="AO150" s="9">
        <v>0</v>
      </c>
      <c r="AP150" s="9">
        <v>0</v>
      </c>
      <c r="AQ150" s="9">
        <v>0</v>
      </c>
      <c r="AR150" s="9">
        <v>0</v>
      </c>
      <c r="AS150" s="9">
        <v>0</v>
      </c>
      <c r="AT150" s="9">
        <v>0</v>
      </c>
      <c r="AU150" s="9">
        <v>0</v>
      </c>
      <c r="AV150" s="9">
        <v>0</v>
      </c>
      <c r="AW150" s="9">
        <v>0</v>
      </c>
      <c r="AX150" s="9">
        <v>0</v>
      </c>
      <c r="AY150" s="9">
        <v>0</v>
      </c>
      <c r="AZ150" s="9">
        <v>0</v>
      </c>
      <c r="BA150" s="9">
        <v>0</v>
      </c>
      <c r="BB150" s="9">
        <v>0</v>
      </c>
      <c r="BC150" s="9">
        <v>0</v>
      </c>
      <c r="BD150" s="9">
        <v>0</v>
      </c>
      <c r="BE150" s="9">
        <v>0</v>
      </c>
      <c r="BF150" s="9">
        <v>0</v>
      </c>
      <c r="BG150" s="9">
        <v>0</v>
      </c>
      <c r="BH150" s="9">
        <v>0</v>
      </c>
      <c r="BI150" s="9">
        <v>0</v>
      </c>
      <c r="BJ150" s="9">
        <v>0</v>
      </c>
      <c r="BK150" s="9">
        <v>0</v>
      </c>
      <c r="BL150" s="9">
        <v>0</v>
      </c>
      <c r="BM150" s="9">
        <v>0</v>
      </c>
      <c r="BN150" s="9">
        <v>0</v>
      </c>
      <c r="BO150" s="9">
        <v>0</v>
      </c>
      <c r="BP150" s="9">
        <v>0</v>
      </c>
      <c r="BQ150" s="9">
        <v>0</v>
      </c>
      <c r="BR150" s="9">
        <v>0</v>
      </c>
      <c r="BS150" s="9">
        <v>0</v>
      </c>
      <c r="BT150" s="9">
        <v>0</v>
      </c>
      <c r="BU150" s="9">
        <v>0</v>
      </c>
      <c r="BV150" s="9">
        <v>0</v>
      </c>
      <c r="BW150" s="9">
        <v>0</v>
      </c>
      <c r="BX150" s="9">
        <v>0</v>
      </c>
      <c r="BY150" s="9">
        <v>0</v>
      </c>
      <c r="BZ150" s="9">
        <v>0</v>
      </c>
      <c r="CA150" s="9">
        <v>0</v>
      </c>
      <c r="CB150" s="9">
        <v>0</v>
      </c>
      <c r="CC150" s="9">
        <v>0</v>
      </c>
      <c r="CD150" s="9">
        <v>0</v>
      </c>
      <c r="CE150" s="9">
        <v>0</v>
      </c>
      <c r="CF150" s="9">
        <v>0</v>
      </c>
      <c r="CG150" s="9">
        <v>0</v>
      </c>
      <c r="CH150" s="9">
        <v>0</v>
      </c>
      <c r="CI150" s="9">
        <v>0</v>
      </c>
      <c r="CJ150" s="9">
        <v>0</v>
      </c>
      <c r="CK150" s="9">
        <v>0</v>
      </c>
      <c r="CL150" s="9">
        <v>0</v>
      </c>
      <c r="CM150" s="9">
        <v>0</v>
      </c>
      <c r="CN150" s="9">
        <v>0</v>
      </c>
      <c r="CO150" s="9">
        <v>0</v>
      </c>
      <c r="CP150" s="9">
        <v>0</v>
      </c>
      <c r="CQ150" s="9">
        <v>0</v>
      </c>
      <c r="CR150" s="9">
        <v>0</v>
      </c>
      <c r="CS150" s="10">
        <v>0</v>
      </c>
    </row>
    <row r="151" spans="1:97" x14ac:dyDescent="0.35">
      <c r="A151" s="8" t="s">
        <v>174</v>
      </c>
      <c r="B151" s="9" t="s">
        <v>781</v>
      </c>
      <c r="C151" s="9" t="s">
        <v>782</v>
      </c>
      <c r="D151" s="9">
        <f t="shared" si="2"/>
        <v>0</v>
      </c>
      <c r="E151" s="9">
        <v>0</v>
      </c>
      <c r="F151" s="9">
        <v>0</v>
      </c>
      <c r="G151" s="9">
        <v>0</v>
      </c>
      <c r="H151" s="9">
        <v>0</v>
      </c>
      <c r="I151" s="9">
        <v>0</v>
      </c>
      <c r="J151" s="9">
        <v>0</v>
      </c>
      <c r="K151" s="9">
        <v>0</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s="9">
        <v>0</v>
      </c>
      <c r="AT151" s="9">
        <v>0</v>
      </c>
      <c r="AU151" s="9">
        <v>0</v>
      </c>
      <c r="AV151" s="9">
        <v>0</v>
      </c>
      <c r="AW151" s="9">
        <v>0</v>
      </c>
      <c r="AX151" s="9">
        <v>0</v>
      </c>
      <c r="AY151" s="9">
        <v>0</v>
      </c>
      <c r="AZ151" s="9">
        <v>0</v>
      </c>
      <c r="BA151" s="9">
        <v>0</v>
      </c>
      <c r="BB151" s="9">
        <v>0</v>
      </c>
      <c r="BC151" s="9">
        <v>0</v>
      </c>
      <c r="BD151" s="9">
        <v>0</v>
      </c>
      <c r="BE151" s="9">
        <v>0</v>
      </c>
      <c r="BF151" s="9">
        <v>0</v>
      </c>
      <c r="BG151" s="9">
        <v>0</v>
      </c>
      <c r="BH151" s="9">
        <v>0</v>
      </c>
      <c r="BI151" s="9">
        <v>0</v>
      </c>
      <c r="BJ151" s="9">
        <v>0</v>
      </c>
      <c r="BK151" s="9">
        <v>0</v>
      </c>
      <c r="BL151" s="9">
        <v>0</v>
      </c>
      <c r="BM151" s="9">
        <v>0</v>
      </c>
      <c r="BN151" s="9">
        <v>0</v>
      </c>
      <c r="BO151" s="9">
        <v>0</v>
      </c>
      <c r="BP151" s="9">
        <v>0</v>
      </c>
      <c r="BQ151" s="9">
        <v>0</v>
      </c>
      <c r="BR151" s="9">
        <v>0</v>
      </c>
      <c r="BS151" s="9">
        <v>0</v>
      </c>
      <c r="BT151" s="9">
        <v>0</v>
      </c>
      <c r="BU151" s="9">
        <v>0</v>
      </c>
      <c r="BV151" s="9">
        <v>0</v>
      </c>
      <c r="BW151" s="9">
        <v>0</v>
      </c>
      <c r="BX151" s="9">
        <v>0</v>
      </c>
      <c r="BY151" s="9">
        <v>0</v>
      </c>
      <c r="BZ151" s="9">
        <v>0</v>
      </c>
      <c r="CA151" s="9">
        <v>0</v>
      </c>
      <c r="CB151" s="9">
        <v>0</v>
      </c>
      <c r="CC151" s="9">
        <v>0</v>
      </c>
      <c r="CD151" s="9">
        <v>0</v>
      </c>
      <c r="CE151" s="9">
        <v>0</v>
      </c>
      <c r="CF151" s="9">
        <v>0</v>
      </c>
      <c r="CG151" s="9">
        <v>0</v>
      </c>
      <c r="CH151" s="9">
        <v>0</v>
      </c>
      <c r="CI151" s="9">
        <v>0</v>
      </c>
      <c r="CJ151" s="9">
        <v>0</v>
      </c>
      <c r="CK151" s="9">
        <v>0</v>
      </c>
      <c r="CL151" s="9">
        <v>0</v>
      </c>
      <c r="CM151" s="9">
        <v>0</v>
      </c>
      <c r="CN151" s="9">
        <v>0</v>
      </c>
      <c r="CO151" s="9">
        <v>0</v>
      </c>
      <c r="CP151" s="9">
        <v>0</v>
      </c>
      <c r="CQ151" s="9">
        <v>0</v>
      </c>
      <c r="CR151" s="9">
        <v>0</v>
      </c>
      <c r="CS151" s="10">
        <v>0</v>
      </c>
    </row>
    <row r="152" spans="1:97" x14ac:dyDescent="0.35">
      <c r="A152" s="8" t="s">
        <v>174</v>
      </c>
      <c r="B152" s="9" t="s">
        <v>783</v>
      </c>
      <c r="C152" s="9" t="s">
        <v>784</v>
      </c>
      <c r="D152" s="9">
        <f t="shared" si="2"/>
        <v>0</v>
      </c>
      <c r="E152" s="9">
        <v>0</v>
      </c>
      <c r="F152" s="9">
        <v>0</v>
      </c>
      <c r="G152" s="9">
        <v>0</v>
      </c>
      <c r="H152" s="9">
        <v>0</v>
      </c>
      <c r="I152" s="9">
        <v>0</v>
      </c>
      <c r="J152" s="9">
        <v>0</v>
      </c>
      <c r="K152" s="9">
        <v>0</v>
      </c>
      <c r="L152" s="9">
        <v>0</v>
      </c>
      <c r="M152" s="9">
        <v>0</v>
      </c>
      <c r="N152" s="9">
        <v>0</v>
      </c>
      <c r="O152" s="9">
        <v>0</v>
      </c>
      <c r="P152" s="9">
        <v>0</v>
      </c>
      <c r="Q152" s="9">
        <v>0</v>
      </c>
      <c r="R152" s="9">
        <v>0</v>
      </c>
      <c r="S152" s="9">
        <v>0</v>
      </c>
      <c r="T152" s="9">
        <v>0</v>
      </c>
      <c r="U152" s="9">
        <v>0</v>
      </c>
      <c r="V152" s="9">
        <v>0</v>
      </c>
      <c r="W152" s="9">
        <v>0</v>
      </c>
      <c r="X152" s="9">
        <v>0</v>
      </c>
      <c r="Y152" s="9">
        <v>0</v>
      </c>
      <c r="Z152" s="9">
        <v>0</v>
      </c>
      <c r="AA152" s="9">
        <v>0</v>
      </c>
      <c r="AB152" s="9">
        <v>0</v>
      </c>
      <c r="AC152" s="9">
        <v>0</v>
      </c>
      <c r="AD152" s="9">
        <v>0</v>
      </c>
      <c r="AE152" s="9">
        <v>0</v>
      </c>
      <c r="AF152" s="9">
        <v>0</v>
      </c>
      <c r="AG152" s="9">
        <v>0</v>
      </c>
      <c r="AH152" s="9">
        <v>0</v>
      </c>
      <c r="AI152" s="9">
        <v>0</v>
      </c>
      <c r="AJ152" s="9">
        <v>0</v>
      </c>
      <c r="AK152" s="9">
        <v>0</v>
      </c>
      <c r="AL152" s="9">
        <v>0</v>
      </c>
      <c r="AM152" s="9">
        <v>0</v>
      </c>
      <c r="AN152" s="9">
        <v>0</v>
      </c>
      <c r="AO152" s="9">
        <v>0</v>
      </c>
      <c r="AP152" s="9">
        <v>0</v>
      </c>
      <c r="AQ152" s="9">
        <v>0</v>
      </c>
      <c r="AR152" s="9">
        <v>0</v>
      </c>
      <c r="AS152" s="9">
        <v>0</v>
      </c>
      <c r="AT152" s="9">
        <v>0</v>
      </c>
      <c r="AU152" s="9">
        <v>0</v>
      </c>
      <c r="AV152" s="9">
        <v>0</v>
      </c>
      <c r="AW152" s="9">
        <v>0</v>
      </c>
      <c r="AX152" s="9">
        <v>0</v>
      </c>
      <c r="AY152" s="9">
        <v>0</v>
      </c>
      <c r="AZ152" s="9">
        <v>0</v>
      </c>
      <c r="BA152" s="9">
        <v>0</v>
      </c>
      <c r="BB152" s="9">
        <v>0</v>
      </c>
      <c r="BC152" s="9">
        <v>0</v>
      </c>
      <c r="BD152" s="9">
        <v>0</v>
      </c>
      <c r="BE152" s="9">
        <v>0</v>
      </c>
      <c r="BF152" s="9">
        <v>0</v>
      </c>
      <c r="BG152" s="9">
        <v>0</v>
      </c>
      <c r="BH152" s="9">
        <v>0</v>
      </c>
      <c r="BI152" s="9">
        <v>0</v>
      </c>
      <c r="BJ152" s="9">
        <v>0</v>
      </c>
      <c r="BK152" s="9">
        <v>0</v>
      </c>
      <c r="BL152" s="9">
        <v>0</v>
      </c>
      <c r="BM152" s="9">
        <v>0</v>
      </c>
      <c r="BN152" s="9">
        <v>0</v>
      </c>
      <c r="BO152" s="9">
        <v>0</v>
      </c>
      <c r="BP152" s="9">
        <v>0</v>
      </c>
      <c r="BQ152" s="9">
        <v>0</v>
      </c>
      <c r="BR152" s="9">
        <v>0</v>
      </c>
      <c r="BS152" s="9">
        <v>0</v>
      </c>
      <c r="BT152" s="9">
        <v>0</v>
      </c>
      <c r="BU152" s="9">
        <v>0</v>
      </c>
      <c r="BV152" s="9">
        <v>0</v>
      </c>
      <c r="BW152" s="9">
        <v>0</v>
      </c>
      <c r="BX152" s="9">
        <v>0</v>
      </c>
      <c r="BY152" s="9">
        <v>0</v>
      </c>
      <c r="BZ152" s="9">
        <v>0</v>
      </c>
      <c r="CA152" s="9">
        <v>0</v>
      </c>
      <c r="CB152" s="9">
        <v>0</v>
      </c>
      <c r="CC152" s="9">
        <v>0</v>
      </c>
      <c r="CD152" s="9">
        <v>0</v>
      </c>
      <c r="CE152" s="9">
        <v>0</v>
      </c>
      <c r="CF152" s="9">
        <v>0</v>
      </c>
      <c r="CG152" s="9">
        <v>0</v>
      </c>
      <c r="CH152" s="9">
        <v>0</v>
      </c>
      <c r="CI152" s="9">
        <v>0</v>
      </c>
      <c r="CJ152" s="9">
        <v>0</v>
      </c>
      <c r="CK152" s="9">
        <v>0</v>
      </c>
      <c r="CL152" s="9">
        <v>0</v>
      </c>
      <c r="CM152" s="9">
        <v>0</v>
      </c>
      <c r="CN152" s="9">
        <v>0</v>
      </c>
      <c r="CO152" s="9">
        <v>0</v>
      </c>
      <c r="CP152" s="9">
        <v>0</v>
      </c>
      <c r="CQ152" s="9">
        <v>0</v>
      </c>
      <c r="CR152" s="9">
        <v>0</v>
      </c>
      <c r="CS152" s="10">
        <v>0</v>
      </c>
    </row>
    <row r="153" spans="1:97" x14ac:dyDescent="0.35">
      <c r="A153" s="8" t="s">
        <v>174</v>
      </c>
      <c r="B153" s="9" t="s">
        <v>785</v>
      </c>
      <c r="C153" s="9" t="s">
        <v>786</v>
      </c>
      <c r="D153" s="9">
        <f t="shared" si="2"/>
        <v>0</v>
      </c>
      <c r="E153" s="9">
        <v>0</v>
      </c>
      <c r="F153" s="9">
        <v>0</v>
      </c>
      <c r="G153" s="9">
        <v>0</v>
      </c>
      <c r="H153" s="9">
        <v>0</v>
      </c>
      <c r="I153" s="9">
        <v>0</v>
      </c>
      <c r="J153" s="9">
        <v>0</v>
      </c>
      <c r="K153" s="9">
        <v>0</v>
      </c>
      <c r="L153" s="9">
        <v>0</v>
      </c>
      <c r="M153" s="9">
        <v>0</v>
      </c>
      <c r="N153" s="9">
        <v>0</v>
      </c>
      <c r="O153" s="9">
        <v>0</v>
      </c>
      <c r="P153" s="9">
        <v>0</v>
      </c>
      <c r="Q153" s="9">
        <v>0</v>
      </c>
      <c r="R153" s="9">
        <v>0</v>
      </c>
      <c r="S153" s="9">
        <v>0</v>
      </c>
      <c r="T153" s="9">
        <v>0</v>
      </c>
      <c r="U153" s="9">
        <v>0</v>
      </c>
      <c r="V153" s="9">
        <v>0</v>
      </c>
      <c r="W153" s="9">
        <v>0</v>
      </c>
      <c r="X153" s="9">
        <v>0</v>
      </c>
      <c r="Y153" s="9">
        <v>0</v>
      </c>
      <c r="Z153" s="9">
        <v>0</v>
      </c>
      <c r="AA153" s="9">
        <v>0</v>
      </c>
      <c r="AB153" s="9">
        <v>0</v>
      </c>
      <c r="AC153" s="9">
        <v>0</v>
      </c>
      <c r="AD153" s="9">
        <v>0</v>
      </c>
      <c r="AE153" s="9">
        <v>0</v>
      </c>
      <c r="AF153" s="9">
        <v>0</v>
      </c>
      <c r="AG153" s="9">
        <v>0</v>
      </c>
      <c r="AH153" s="9">
        <v>0</v>
      </c>
      <c r="AI153" s="9">
        <v>0</v>
      </c>
      <c r="AJ153" s="9">
        <v>0</v>
      </c>
      <c r="AK153" s="9">
        <v>0</v>
      </c>
      <c r="AL153" s="9">
        <v>0</v>
      </c>
      <c r="AM153" s="9">
        <v>0</v>
      </c>
      <c r="AN153" s="9">
        <v>0</v>
      </c>
      <c r="AO153" s="9">
        <v>0</v>
      </c>
      <c r="AP153" s="9">
        <v>0</v>
      </c>
      <c r="AQ153" s="9">
        <v>0</v>
      </c>
      <c r="AR153" s="9">
        <v>0</v>
      </c>
      <c r="AS153" s="9">
        <v>0</v>
      </c>
      <c r="AT153" s="9">
        <v>0</v>
      </c>
      <c r="AU153" s="9">
        <v>0</v>
      </c>
      <c r="AV153" s="9">
        <v>0</v>
      </c>
      <c r="AW153" s="9">
        <v>0</v>
      </c>
      <c r="AX153" s="9">
        <v>0</v>
      </c>
      <c r="AY153" s="9">
        <v>0</v>
      </c>
      <c r="AZ153" s="9">
        <v>0</v>
      </c>
      <c r="BA153" s="9">
        <v>0</v>
      </c>
      <c r="BB153" s="9">
        <v>0</v>
      </c>
      <c r="BC153" s="9">
        <v>0</v>
      </c>
      <c r="BD153" s="9">
        <v>0</v>
      </c>
      <c r="BE153" s="9">
        <v>0</v>
      </c>
      <c r="BF153" s="9">
        <v>0</v>
      </c>
      <c r="BG153" s="9">
        <v>0</v>
      </c>
      <c r="BH153" s="9">
        <v>0</v>
      </c>
      <c r="BI153" s="9">
        <v>0</v>
      </c>
      <c r="BJ153" s="9">
        <v>0</v>
      </c>
      <c r="BK153" s="9">
        <v>0</v>
      </c>
      <c r="BL153" s="9">
        <v>0</v>
      </c>
      <c r="BM153" s="9">
        <v>0</v>
      </c>
      <c r="BN153" s="9">
        <v>0</v>
      </c>
      <c r="BO153" s="9">
        <v>0</v>
      </c>
      <c r="BP153" s="9">
        <v>0</v>
      </c>
      <c r="BQ153" s="9">
        <v>0</v>
      </c>
      <c r="BR153" s="9">
        <v>0</v>
      </c>
      <c r="BS153" s="9">
        <v>0</v>
      </c>
      <c r="BT153" s="9">
        <v>0</v>
      </c>
      <c r="BU153" s="9">
        <v>0</v>
      </c>
      <c r="BV153" s="9">
        <v>0</v>
      </c>
      <c r="BW153" s="9">
        <v>0</v>
      </c>
      <c r="BX153" s="9">
        <v>0</v>
      </c>
      <c r="BY153" s="9">
        <v>0</v>
      </c>
      <c r="BZ153" s="9">
        <v>0</v>
      </c>
      <c r="CA153" s="9">
        <v>0</v>
      </c>
      <c r="CB153" s="9">
        <v>0</v>
      </c>
      <c r="CC153" s="9">
        <v>0</v>
      </c>
      <c r="CD153" s="9">
        <v>0</v>
      </c>
      <c r="CE153" s="9">
        <v>0</v>
      </c>
      <c r="CF153" s="9">
        <v>0</v>
      </c>
      <c r="CG153" s="9">
        <v>0</v>
      </c>
      <c r="CH153" s="9">
        <v>0</v>
      </c>
      <c r="CI153" s="9">
        <v>0</v>
      </c>
      <c r="CJ153" s="9">
        <v>0</v>
      </c>
      <c r="CK153" s="9">
        <v>0</v>
      </c>
      <c r="CL153" s="9">
        <v>0</v>
      </c>
      <c r="CM153" s="9">
        <v>0</v>
      </c>
      <c r="CN153" s="9">
        <v>0</v>
      </c>
      <c r="CO153" s="9">
        <v>0</v>
      </c>
      <c r="CP153" s="9">
        <v>0</v>
      </c>
      <c r="CQ153" s="9">
        <v>0</v>
      </c>
      <c r="CR153" s="9">
        <v>0</v>
      </c>
      <c r="CS153" s="10">
        <v>0</v>
      </c>
    </row>
    <row r="154" spans="1:97" x14ac:dyDescent="0.35">
      <c r="A154" s="8" t="s">
        <v>174</v>
      </c>
      <c r="B154" s="9" t="s">
        <v>787</v>
      </c>
      <c r="C154" s="9" t="s">
        <v>788</v>
      </c>
      <c r="D154" s="9">
        <f t="shared" si="2"/>
        <v>0</v>
      </c>
      <c r="E154" s="9">
        <v>0</v>
      </c>
      <c r="F154" s="9">
        <v>0</v>
      </c>
      <c r="G154" s="9">
        <v>0</v>
      </c>
      <c r="H154" s="9">
        <v>0</v>
      </c>
      <c r="I154" s="9">
        <v>0</v>
      </c>
      <c r="J154" s="9">
        <v>0</v>
      </c>
      <c r="K154" s="9">
        <v>0</v>
      </c>
      <c r="L154" s="9">
        <v>0</v>
      </c>
      <c r="M154" s="9">
        <v>0</v>
      </c>
      <c r="N154" s="9">
        <v>0</v>
      </c>
      <c r="O154" s="9">
        <v>0</v>
      </c>
      <c r="P154" s="9">
        <v>0</v>
      </c>
      <c r="Q154" s="9">
        <v>0</v>
      </c>
      <c r="R154" s="9">
        <v>0</v>
      </c>
      <c r="S154" s="9">
        <v>0</v>
      </c>
      <c r="T154" s="9">
        <v>0</v>
      </c>
      <c r="U154" s="9">
        <v>0</v>
      </c>
      <c r="V154" s="9">
        <v>0</v>
      </c>
      <c r="W154" s="9">
        <v>0</v>
      </c>
      <c r="X154" s="9">
        <v>0</v>
      </c>
      <c r="Y154" s="9">
        <v>0</v>
      </c>
      <c r="Z154" s="9">
        <v>0</v>
      </c>
      <c r="AA154" s="9">
        <v>0</v>
      </c>
      <c r="AB154" s="9">
        <v>0</v>
      </c>
      <c r="AC154" s="9">
        <v>0</v>
      </c>
      <c r="AD154" s="9">
        <v>0</v>
      </c>
      <c r="AE154" s="9">
        <v>0</v>
      </c>
      <c r="AF154" s="9">
        <v>0</v>
      </c>
      <c r="AG154" s="9">
        <v>0</v>
      </c>
      <c r="AH154" s="9">
        <v>0</v>
      </c>
      <c r="AI154" s="9">
        <v>0</v>
      </c>
      <c r="AJ154" s="9">
        <v>0</v>
      </c>
      <c r="AK154" s="9">
        <v>0</v>
      </c>
      <c r="AL154" s="9">
        <v>0</v>
      </c>
      <c r="AM154" s="9">
        <v>0</v>
      </c>
      <c r="AN154" s="9">
        <v>0</v>
      </c>
      <c r="AO154" s="9">
        <v>0</v>
      </c>
      <c r="AP154" s="9">
        <v>0</v>
      </c>
      <c r="AQ154" s="9">
        <v>0</v>
      </c>
      <c r="AR154" s="9">
        <v>0</v>
      </c>
      <c r="AS154" s="9">
        <v>0</v>
      </c>
      <c r="AT154" s="9">
        <v>0</v>
      </c>
      <c r="AU154" s="9">
        <v>0</v>
      </c>
      <c r="AV154" s="9">
        <v>0</v>
      </c>
      <c r="AW154" s="9">
        <v>0</v>
      </c>
      <c r="AX154" s="9">
        <v>0</v>
      </c>
      <c r="AY154" s="9">
        <v>0</v>
      </c>
      <c r="AZ154" s="9">
        <v>0</v>
      </c>
      <c r="BA154" s="9">
        <v>0</v>
      </c>
      <c r="BB154" s="9">
        <v>0</v>
      </c>
      <c r="BC154" s="9">
        <v>0</v>
      </c>
      <c r="BD154" s="9">
        <v>0</v>
      </c>
      <c r="BE154" s="9">
        <v>0</v>
      </c>
      <c r="BF154" s="9">
        <v>0</v>
      </c>
      <c r="BG154" s="9">
        <v>0</v>
      </c>
      <c r="BH154" s="9">
        <v>0</v>
      </c>
      <c r="BI154" s="9">
        <v>0</v>
      </c>
      <c r="BJ154" s="9">
        <v>0</v>
      </c>
      <c r="BK154" s="9">
        <v>0</v>
      </c>
      <c r="BL154" s="9">
        <v>0</v>
      </c>
      <c r="BM154" s="9">
        <v>0</v>
      </c>
      <c r="BN154" s="9">
        <v>0</v>
      </c>
      <c r="BO154" s="9">
        <v>0</v>
      </c>
      <c r="BP154" s="9">
        <v>0</v>
      </c>
      <c r="BQ154" s="9">
        <v>0</v>
      </c>
      <c r="BR154" s="9">
        <v>0</v>
      </c>
      <c r="BS154" s="9">
        <v>0</v>
      </c>
      <c r="BT154" s="9">
        <v>0</v>
      </c>
      <c r="BU154" s="9">
        <v>0</v>
      </c>
      <c r="BV154" s="9">
        <v>0</v>
      </c>
      <c r="BW154" s="9">
        <v>0</v>
      </c>
      <c r="BX154" s="9">
        <v>0</v>
      </c>
      <c r="BY154" s="9">
        <v>0</v>
      </c>
      <c r="BZ154" s="9">
        <v>0</v>
      </c>
      <c r="CA154" s="9">
        <v>0</v>
      </c>
      <c r="CB154" s="9">
        <v>0</v>
      </c>
      <c r="CC154" s="9">
        <v>0</v>
      </c>
      <c r="CD154" s="9">
        <v>0</v>
      </c>
      <c r="CE154" s="9">
        <v>0</v>
      </c>
      <c r="CF154" s="9">
        <v>0</v>
      </c>
      <c r="CG154" s="9">
        <v>0</v>
      </c>
      <c r="CH154" s="9">
        <v>0</v>
      </c>
      <c r="CI154" s="9">
        <v>0</v>
      </c>
      <c r="CJ154" s="9">
        <v>0</v>
      </c>
      <c r="CK154" s="9">
        <v>0</v>
      </c>
      <c r="CL154" s="9">
        <v>0</v>
      </c>
      <c r="CM154" s="9">
        <v>0</v>
      </c>
      <c r="CN154" s="9">
        <v>0</v>
      </c>
      <c r="CO154" s="9">
        <v>0</v>
      </c>
      <c r="CP154" s="9">
        <v>0</v>
      </c>
      <c r="CQ154" s="9">
        <v>0</v>
      </c>
      <c r="CR154" s="9">
        <v>0</v>
      </c>
      <c r="CS154" s="10">
        <v>0</v>
      </c>
    </row>
    <row r="155" spans="1:97" x14ac:dyDescent="0.35">
      <c r="A155" s="8" t="s">
        <v>174</v>
      </c>
      <c r="B155" s="9" t="s">
        <v>789</v>
      </c>
      <c r="C155" s="9" t="s">
        <v>790</v>
      </c>
      <c r="D155" s="9">
        <f t="shared" si="2"/>
        <v>0</v>
      </c>
      <c r="E155" s="9">
        <v>0</v>
      </c>
      <c r="F155" s="9">
        <v>0</v>
      </c>
      <c r="G155" s="9">
        <v>0</v>
      </c>
      <c r="H155" s="9">
        <v>0</v>
      </c>
      <c r="I155" s="9">
        <v>0</v>
      </c>
      <c r="J155" s="9">
        <v>0</v>
      </c>
      <c r="K155" s="9">
        <v>0</v>
      </c>
      <c r="L155" s="9">
        <v>0</v>
      </c>
      <c r="M155" s="9">
        <v>0</v>
      </c>
      <c r="N155" s="9">
        <v>0</v>
      </c>
      <c r="O155" s="9">
        <v>0</v>
      </c>
      <c r="P155" s="9">
        <v>0</v>
      </c>
      <c r="Q155" s="9">
        <v>0</v>
      </c>
      <c r="R155" s="9">
        <v>0</v>
      </c>
      <c r="S155" s="9">
        <v>0</v>
      </c>
      <c r="T155" s="9">
        <v>0</v>
      </c>
      <c r="U155" s="9">
        <v>0</v>
      </c>
      <c r="V155" s="9">
        <v>0</v>
      </c>
      <c r="W155" s="9">
        <v>0</v>
      </c>
      <c r="X155" s="9">
        <v>0</v>
      </c>
      <c r="Y155" s="9">
        <v>0</v>
      </c>
      <c r="Z155" s="9">
        <v>0</v>
      </c>
      <c r="AA155" s="9">
        <v>0</v>
      </c>
      <c r="AB155" s="9">
        <v>0</v>
      </c>
      <c r="AC155" s="9">
        <v>0</v>
      </c>
      <c r="AD155" s="9">
        <v>0</v>
      </c>
      <c r="AE155" s="9">
        <v>0</v>
      </c>
      <c r="AF155" s="9">
        <v>0</v>
      </c>
      <c r="AG155" s="9">
        <v>0</v>
      </c>
      <c r="AH155" s="9">
        <v>0</v>
      </c>
      <c r="AI155" s="9">
        <v>0</v>
      </c>
      <c r="AJ155" s="9">
        <v>0</v>
      </c>
      <c r="AK155" s="9">
        <v>0</v>
      </c>
      <c r="AL155" s="9">
        <v>0</v>
      </c>
      <c r="AM155" s="9">
        <v>0</v>
      </c>
      <c r="AN155" s="9">
        <v>0</v>
      </c>
      <c r="AO155" s="9">
        <v>0</v>
      </c>
      <c r="AP155" s="9">
        <v>0</v>
      </c>
      <c r="AQ155" s="9">
        <v>0</v>
      </c>
      <c r="AR155" s="9">
        <v>0</v>
      </c>
      <c r="AS155" s="9">
        <v>0</v>
      </c>
      <c r="AT155" s="9">
        <v>0</v>
      </c>
      <c r="AU155" s="9">
        <v>0</v>
      </c>
      <c r="AV155" s="9">
        <v>0</v>
      </c>
      <c r="AW155" s="9">
        <v>0</v>
      </c>
      <c r="AX155" s="9">
        <v>0</v>
      </c>
      <c r="AY155" s="9">
        <v>0</v>
      </c>
      <c r="AZ155" s="9">
        <v>0</v>
      </c>
      <c r="BA155" s="9">
        <v>0</v>
      </c>
      <c r="BB155" s="9">
        <v>0</v>
      </c>
      <c r="BC155" s="9">
        <v>0</v>
      </c>
      <c r="BD155" s="9">
        <v>0</v>
      </c>
      <c r="BE155" s="9">
        <v>0</v>
      </c>
      <c r="BF155" s="9">
        <v>0</v>
      </c>
      <c r="BG155" s="9">
        <v>0</v>
      </c>
      <c r="BH155" s="9">
        <v>0</v>
      </c>
      <c r="BI155" s="9">
        <v>0</v>
      </c>
      <c r="BJ155" s="9">
        <v>0</v>
      </c>
      <c r="BK155" s="9">
        <v>0</v>
      </c>
      <c r="BL155" s="9">
        <v>0</v>
      </c>
      <c r="BM155" s="9">
        <v>0</v>
      </c>
      <c r="BN155" s="9">
        <v>0</v>
      </c>
      <c r="BO155" s="9">
        <v>0</v>
      </c>
      <c r="BP155" s="9">
        <v>0</v>
      </c>
      <c r="BQ155" s="9">
        <v>0</v>
      </c>
      <c r="BR155" s="9">
        <v>0</v>
      </c>
      <c r="BS155" s="9">
        <v>0</v>
      </c>
      <c r="BT155" s="9">
        <v>0</v>
      </c>
      <c r="BU155" s="9">
        <v>0</v>
      </c>
      <c r="BV155" s="9">
        <v>0</v>
      </c>
      <c r="BW155" s="9">
        <v>0</v>
      </c>
      <c r="BX155" s="9">
        <v>0</v>
      </c>
      <c r="BY155" s="9">
        <v>0</v>
      </c>
      <c r="BZ155" s="9">
        <v>0</v>
      </c>
      <c r="CA155" s="9">
        <v>0</v>
      </c>
      <c r="CB155" s="9">
        <v>0</v>
      </c>
      <c r="CC155" s="9">
        <v>0</v>
      </c>
      <c r="CD155" s="9">
        <v>0</v>
      </c>
      <c r="CE155" s="9">
        <v>0</v>
      </c>
      <c r="CF155" s="9">
        <v>0</v>
      </c>
      <c r="CG155" s="9">
        <v>0</v>
      </c>
      <c r="CH155" s="9">
        <v>0</v>
      </c>
      <c r="CI155" s="9">
        <v>0</v>
      </c>
      <c r="CJ155" s="9">
        <v>0</v>
      </c>
      <c r="CK155" s="9">
        <v>0</v>
      </c>
      <c r="CL155" s="9">
        <v>0</v>
      </c>
      <c r="CM155" s="9">
        <v>0</v>
      </c>
      <c r="CN155" s="9">
        <v>0</v>
      </c>
      <c r="CO155" s="9">
        <v>0</v>
      </c>
      <c r="CP155" s="9">
        <v>0</v>
      </c>
      <c r="CQ155" s="9">
        <v>0</v>
      </c>
      <c r="CR155" s="9">
        <v>0</v>
      </c>
      <c r="CS155" s="10">
        <v>0</v>
      </c>
    </row>
    <row r="156" spans="1:97" x14ac:dyDescent="0.35">
      <c r="A156" s="8" t="s">
        <v>174</v>
      </c>
      <c r="B156" s="9" t="s">
        <v>791</v>
      </c>
      <c r="C156" s="9" t="s">
        <v>792</v>
      </c>
      <c r="D156" s="9">
        <f t="shared" si="2"/>
        <v>0</v>
      </c>
      <c r="E156" s="9">
        <v>0</v>
      </c>
      <c r="F156" s="9">
        <v>0</v>
      </c>
      <c r="G156" s="9">
        <v>0</v>
      </c>
      <c r="H156" s="9">
        <v>0</v>
      </c>
      <c r="I156" s="9">
        <v>0</v>
      </c>
      <c r="J156" s="9">
        <v>0</v>
      </c>
      <c r="K156" s="9">
        <v>0</v>
      </c>
      <c r="L156" s="9">
        <v>0</v>
      </c>
      <c r="M156" s="9">
        <v>0</v>
      </c>
      <c r="N156" s="9">
        <v>0</v>
      </c>
      <c r="O156" s="9">
        <v>0</v>
      </c>
      <c r="P156" s="9">
        <v>0</v>
      </c>
      <c r="Q156" s="9">
        <v>0</v>
      </c>
      <c r="R156" s="9">
        <v>0</v>
      </c>
      <c r="S156" s="9">
        <v>0</v>
      </c>
      <c r="T156" s="9">
        <v>0</v>
      </c>
      <c r="U156" s="9">
        <v>0</v>
      </c>
      <c r="V156" s="9">
        <v>0</v>
      </c>
      <c r="W156" s="9">
        <v>0</v>
      </c>
      <c r="X156" s="9">
        <v>0</v>
      </c>
      <c r="Y156" s="9">
        <v>0</v>
      </c>
      <c r="Z156" s="9">
        <v>0</v>
      </c>
      <c r="AA156" s="9">
        <v>0</v>
      </c>
      <c r="AB156" s="9">
        <v>0</v>
      </c>
      <c r="AC156" s="9">
        <v>0</v>
      </c>
      <c r="AD156" s="9">
        <v>0</v>
      </c>
      <c r="AE156" s="9">
        <v>0</v>
      </c>
      <c r="AF156" s="9">
        <v>0</v>
      </c>
      <c r="AG156" s="9">
        <v>0</v>
      </c>
      <c r="AH156" s="9">
        <v>0</v>
      </c>
      <c r="AI156" s="9">
        <v>0</v>
      </c>
      <c r="AJ156" s="9">
        <v>0</v>
      </c>
      <c r="AK156" s="9">
        <v>0</v>
      </c>
      <c r="AL156" s="9">
        <v>0</v>
      </c>
      <c r="AM156" s="9">
        <v>0</v>
      </c>
      <c r="AN156" s="9">
        <v>0</v>
      </c>
      <c r="AO156" s="9">
        <v>0</v>
      </c>
      <c r="AP156" s="9">
        <v>0</v>
      </c>
      <c r="AQ156" s="9">
        <v>0</v>
      </c>
      <c r="AR156" s="9">
        <v>0</v>
      </c>
      <c r="AS156" s="9">
        <v>0</v>
      </c>
      <c r="AT156" s="9">
        <v>0</v>
      </c>
      <c r="AU156" s="9">
        <v>0</v>
      </c>
      <c r="AV156" s="9">
        <v>0</v>
      </c>
      <c r="AW156" s="9">
        <v>0</v>
      </c>
      <c r="AX156" s="9">
        <v>0</v>
      </c>
      <c r="AY156" s="9">
        <v>0</v>
      </c>
      <c r="AZ156" s="9">
        <v>0</v>
      </c>
      <c r="BA156" s="9">
        <v>0</v>
      </c>
      <c r="BB156" s="9">
        <v>0</v>
      </c>
      <c r="BC156" s="9">
        <v>0</v>
      </c>
      <c r="BD156" s="9">
        <v>0</v>
      </c>
      <c r="BE156" s="9">
        <v>0</v>
      </c>
      <c r="BF156" s="9">
        <v>0</v>
      </c>
      <c r="BG156" s="9">
        <v>0</v>
      </c>
      <c r="BH156" s="9">
        <v>0</v>
      </c>
      <c r="BI156" s="9">
        <v>0</v>
      </c>
      <c r="BJ156" s="9">
        <v>0</v>
      </c>
      <c r="BK156" s="9">
        <v>0</v>
      </c>
      <c r="BL156" s="9">
        <v>0</v>
      </c>
      <c r="BM156" s="9">
        <v>0</v>
      </c>
      <c r="BN156" s="9">
        <v>0</v>
      </c>
      <c r="BO156" s="9">
        <v>0</v>
      </c>
      <c r="BP156" s="9">
        <v>0</v>
      </c>
      <c r="BQ156" s="9">
        <v>0</v>
      </c>
      <c r="BR156" s="9">
        <v>0</v>
      </c>
      <c r="BS156" s="9">
        <v>0</v>
      </c>
      <c r="BT156" s="9">
        <v>0</v>
      </c>
      <c r="BU156" s="9">
        <v>0</v>
      </c>
      <c r="BV156" s="9">
        <v>0</v>
      </c>
      <c r="BW156" s="9">
        <v>0</v>
      </c>
      <c r="BX156" s="9">
        <v>0</v>
      </c>
      <c r="BY156" s="9">
        <v>0</v>
      </c>
      <c r="BZ156" s="9">
        <v>0</v>
      </c>
      <c r="CA156" s="9">
        <v>0</v>
      </c>
      <c r="CB156" s="9">
        <v>0</v>
      </c>
      <c r="CC156" s="9">
        <v>0</v>
      </c>
      <c r="CD156" s="9">
        <v>0</v>
      </c>
      <c r="CE156" s="9">
        <v>0</v>
      </c>
      <c r="CF156" s="9">
        <v>0</v>
      </c>
      <c r="CG156" s="9">
        <v>0</v>
      </c>
      <c r="CH156" s="9">
        <v>0</v>
      </c>
      <c r="CI156" s="9">
        <v>0</v>
      </c>
      <c r="CJ156" s="9">
        <v>0</v>
      </c>
      <c r="CK156" s="9">
        <v>0</v>
      </c>
      <c r="CL156" s="9">
        <v>0</v>
      </c>
      <c r="CM156" s="9">
        <v>0</v>
      </c>
      <c r="CN156" s="9">
        <v>0</v>
      </c>
      <c r="CO156" s="9">
        <v>0</v>
      </c>
      <c r="CP156" s="9">
        <v>0</v>
      </c>
      <c r="CQ156" s="9">
        <v>0</v>
      </c>
      <c r="CR156" s="9">
        <v>0</v>
      </c>
      <c r="CS156" s="10">
        <v>0</v>
      </c>
    </row>
    <row r="157" spans="1:97" x14ac:dyDescent="0.35">
      <c r="A157" s="8" t="s">
        <v>174</v>
      </c>
      <c r="B157" s="9" t="s">
        <v>793</v>
      </c>
      <c r="C157" s="9" t="s">
        <v>794</v>
      </c>
      <c r="D157" s="9">
        <f t="shared" si="2"/>
        <v>0</v>
      </c>
      <c r="E157" s="9">
        <v>0</v>
      </c>
      <c r="F157" s="9">
        <v>0</v>
      </c>
      <c r="G157" s="9">
        <v>0</v>
      </c>
      <c r="H157" s="9">
        <v>0</v>
      </c>
      <c r="I157" s="9">
        <v>0</v>
      </c>
      <c r="J157" s="9">
        <v>0</v>
      </c>
      <c r="K157" s="9">
        <v>0</v>
      </c>
      <c r="L157" s="9">
        <v>0</v>
      </c>
      <c r="M157" s="9">
        <v>0</v>
      </c>
      <c r="N157" s="9">
        <v>0</v>
      </c>
      <c r="O157" s="9">
        <v>0</v>
      </c>
      <c r="P157" s="9">
        <v>0</v>
      </c>
      <c r="Q157" s="9">
        <v>0</v>
      </c>
      <c r="R157" s="9">
        <v>0</v>
      </c>
      <c r="S157" s="9">
        <v>0</v>
      </c>
      <c r="T157" s="9">
        <v>0</v>
      </c>
      <c r="U157" s="9">
        <v>0</v>
      </c>
      <c r="V157" s="9">
        <v>0</v>
      </c>
      <c r="W157" s="9">
        <v>0</v>
      </c>
      <c r="X157" s="9">
        <v>0</v>
      </c>
      <c r="Y157" s="9">
        <v>0</v>
      </c>
      <c r="Z157" s="9">
        <v>0</v>
      </c>
      <c r="AA157" s="9">
        <v>0</v>
      </c>
      <c r="AB157" s="9">
        <v>0</v>
      </c>
      <c r="AC157" s="9">
        <v>0</v>
      </c>
      <c r="AD157" s="9">
        <v>0</v>
      </c>
      <c r="AE157" s="9">
        <v>0</v>
      </c>
      <c r="AF157" s="9">
        <v>0</v>
      </c>
      <c r="AG157" s="9">
        <v>0</v>
      </c>
      <c r="AH157" s="9">
        <v>0</v>
      </c>
      <c r="AI157" s="9">
        <v>0</v>
      </c>
      <c r="AJ157" s="9">
        <v>0</v>
      </c>
      <c r="AK157" s="9">
        <v>0</v>
      </c>
      <c r="AL157" s="9">
        <v>0</v>
      </c>
      <c r="AM157" s="9">
        <v>0</v>
      </c>
      <c r="AN157" s="9">
        <v>0</v>
      </c>
      <c r="AO157" s="9">
        <v>0</v>
      </c>
      <c r="AP157" s="9">
        <v>0</v>
      </c>
      <c r="AQ157" s="9">
        <v>0</v>
      </c>
      <c r="AR157" s="9">
        <v>0</v>
      </c>
      <c r="AS157" s="9">
        <v>0</v>
      </c>
      <c r="AT157" s="9">
        <v>0</v>
      </c>
      <c r="AU157" s="9">
        <v>0</v>
      </c>
      <c r="AV157" s="9">
        <v>0</v>
      </c>
      <c r="AW157" s="9">
        <v>0</v>
      </c>
      <c r="AX157" s="9">
        <v>0</v>
      </c>
      <c r="AY157" s="9">
        <v>0</v>
      </c>
      <c r="AZ157" s="9">
        <v>0</v>
      </c>
      <c r="BA157" s="9">
        <v>0</v>
      </c>
      <c r="BB157" s="9">
        <v>0</v>
      </c>
      <c r="BC157" s="9">
        <v>0</v>
      </c>
      <c r="BD157" s="9">
        <v>0</v>
      </c>
      <c r="BE157" s="9">
        <v>0</v>
      </c>
      <c r="BF157" s="9">
        <v>0</v>
      </c>
      <c r="BG157" s="9">
        <v>0</v>
      </c>
      <c r="BH157" s="9">
        <v>0</v>
      </c>
      <c r="BI157" s="9">
        <v>0</v>
      </c>
      <c r="BJ157" s="9">
        <v>0</v>
      </c>
      <c r="BK157" s="9">
        <v>0</v>
      </c>
      <c r="BL157" s="9">
        <v>0</v>
      </c>
      <c r="BM157" s="9">
        <v>0</v>
      </c>
      <c r="BN157" s="9">
        <v>0</v>
      </c>
      <c r="BO157" s="9">
        <v>0</v>
      </c>
      <c r="BP157" s="9">
        <v>0</v>
      </c>
      <c r="BQ157" s="9">
        <v>0</v>
      </c>
      <c r="BR157" s="9">
        <v>0</v>
      </c>
      <c r="BS157" s="9">
        <v>0</v>
      </c>
      <c r="BT157" s="9">
        <v>0</v>
      </c>
      <c r="BU157" s="9">
        <v>0</v>
      </c>
      <c r="BV157" s="9">
        <v>0</v>
      </c>
      <c r="BW157" s="9">
        <v>0</v>
      </c>
      <c r="BX157" s="9">
        <v>0</v>
      </c>
      <c r="BY157" s="9">
        <v>0</v>
      </c>
      <c r="BZ157" s="9">
        <v>0</v>
      </c>
      <c r="CA157" s="9">
        <v>0</v>
      </c>
      <c r="CB157" s="9">
        <v>0</v>
      </c>
      <c r="CC157" s="9">
        <v>0</v>
      </c>
      <c r="CD157" s="9">
        <v>0</v>
      </c>
      <c r="CE157" s="9">
        <v>0</v>
      </c>
      <c r="CF157" s="9">
        <v>0</v>
      </c>
      <c r="CG157" s="9">
        <v>0</v>
      </c>
      <c r="CH157" s="9">
        <v>0</v>
      </c>
      <c r="CI157" s="9">
        <v>0</v>
      </c>
      <c r="CJ157" s="9">
        <v>0</v>
      </c>
      <c r="CK157" s="9">
        <v>0</v>
      </c>
      <c r="CL157" s="9">
        <v>0</v>
      </c>
      <c r="CM157" s="9">
        <v>0</v>
      </c>
      <c r="CN157" s="9">
        <v>0</v>
      </c>
      <c r="CO157" s="9">
        <v>0</v>
      </c>
      <c r="CP157" s="9">
        <v>0</v>
      </c>
      <c r="CQ157" s="9">
        <v>0</v>
      </c>
      <c r="CR157" s="9">
        <v>0</v>
      </c>
      <c r="CS157" s="10">
        <v>0</v>
      </c>
    </row>
    <row r="158" spans="1:97" x14ac:dyDescent="0.35">
      <c r="A158" s="8" t="s">
        <v>174</v>
      </c>
      <c r="B158" s="9" t="s">
        <v>795</v>
      </c>
      <c r="C158" s="9" t="s">
        <v>796</v>
      </c>
      <c r="D158" s="9">
        <f t="shared" si="2"/>
        <v>0</v>
      </c>
      <c r="E158" s="9">
        <v>0</v>
      </c>
      <c r="F158" s="9">
        <v>0</v>
      </c>
      <c r="G158" s="9">
        <v>0</v>
      </c>
      <c r="H158" s="9">
        <v>0</v>
      </c>
      <c r="I158" s="9">
        <v>0</v>
      </c>
      <c r="J158" s="9">
        <v>0</v>
      </c>
      <c r="K158" s="9">
        <v>0</v>
      </c>
      <c r="L158" s="9">
        <v>0</v>
      </c>
      <c r="M158" s="9">
        <v>0</v>
      </c>
      <c r="N158" s="9">
        <v>0</v>
      </c>
      <c r="O158" s="9">
        <v>0</v>
      </c>
      <c r="P158" s="9">
        <v>0</v>
      </c>
      <c r="Q158" s="9">
        <v>0</v>
      </c>
      <c r="R158" s="9">
        <v>0</v>
      </c>
      <c r="S158" s="9">
        <v>0</v>
      </c>
      <c r="T158" s="9">
        <v>0</v>
      </c>
      <c r="U158" s="9">
        <v>0</v>
      </c>
      <c r="V158" s="9">
        <v>0</v>
      </c>
      <c r="W158" s="9">
        <v>0</v>
      </c>
      <c r="X158" s="9">
        <v>0</v>
      </c>
      <c r="Y158" s="9">
        <v>0</v>
      </c>
      <c r="Z158" s="9">
        <v>0</v>
      </c>
      <c r="AA158" s="9">
        <v>0</v>
      </c>
      <c r="AB158" s="9">
        <v>0</v>
      </c>
      <c r="AC158" s="9">
        <v>0</v>
      </c>
      <c r="AD158" s="9">
        <v>0</v>
      </c>
      <c r="AE158" s="9">
        <v>0</v>
      </c>
      <c r="AF158" s="9">
        <v>0</v>
      </c>
      <c r="AG158" s="9">
        <v>0</v>
      </c>
      <c r="AH158" s="9">
        <v>0</v>
      </c>
      <c r="AI158" s="9">
        <v>0</v>
      </c>
      <c r="AJ158" s="9">
        <v>0</v>
      </c>
      <c r="AK158" s="9">
        <v>0</v>
      </c>
      <c r="AL158" s="9">
        <v>0</v>
      </c>
      <c r="AM158" s="9">
        <v>0</v>
      </c>
      <c r="AN158" s="9">
        <v>0</v>
      </c>
      <c r="AO158" s="9">
        <v>0</v>
      </c>
      <c r="AP158" s="9">
        <v>0</v>
      </c>
      <c r="AQ158" s="9">
        <v>0</v>
      </c>
      <c r="AR158" s="9">
        <v>0</v>
      </c>
      <c r="AS158" s="9">
        <v>0</v>
      </c>
      <c r="AT158" s="9">
        <v>0</v>
      </c>
      <c r="AU158" s="9">
        <v>0</v>
      </c>
      <c r="AV158" s="9">
        <v>0</v>
      </c>
      <c r="AW158" s="9">
        <v>0</v>
      </c>
      <c r="AX158" s="9">
        <v>0</v>
      </c>
      <c r="AY158" s="9">
        <v>0</v>
      </c>
      <c r="AZ158" s="9">
        <v>0</v>
      </c>
      <c r="BA158" s="9">
        <v>0</v>
      </c>
      <c r="BB158" s="9">
        <v>0</v>
      </c>
      <c r="BC158" s="9">
        <v>0</v>
      </c>
      <c r="BD158" s="9">
        <v>0</v>
      </c>
      <c r="BE158" s="9">
        <v>0</v>
      </c>
      <c r="BF158" s="9">
        <v>0</v>
      </c>
      <c r="BG158" s="9">
        <v>0</v>
      </c>
      <c r="BH158" s="9">
        <v>0</v>
      </c>
      <c r="BI158" s="9">
        <v>0</v>
      </c>
      <c r="BJ158" s="9">
        <v>0</v>
      </c>
      <c r="BK158" s="9">
        <v>0</v>
      </c>
      <c r="BL158" s="9">
        <v>0</v>
      </c>
      <c r="BM158" s="9">
        <v>0</v>
      </c>
      <c r="BN158" s="9">
        <v>0</v>
      </c>
      <c r="BO158" s="9">
        <v>0</v>
      </c>
      <c r="BP158" s="9">
        <v>0</v>
      </c>
      <c r="BQ158" s="9">
        <v>0</v>
      </c>
      <c r="BR158" s="9">
        <v>0</v>
      </c>
      <c r="BS158" s="9">
        <v>0</v>
      </c>
      <c r="BT158" s="9">
        <v>0</v>
      </c>
      <c r="BU158" s="9">
        <v>0</v>
      </c>
      <c r="BV158" s="9">
        <v>0</v>
      </c>
      <c r="BW158" s="9">
        <v>0</v>
      </c>
      <c r="BX158" s="9">
        <v>0</v>
      </c>
      <c r="BY158" s="9">
        <v>0</v>
      </c>
      <c r="BZ158" s="9">
        <v>0</v>
      </c>
      <c r="CA158" s="9">
        <v>0</v>
      </c>
      <c r="CB158" s="9">
        <v>0</v>
      </c>
      <c r="CC158" s="9">
        <v>0</v>
      </c>
      <c r="CD158" s="9">
        <v>0</v>
      </c>
      <c r="CE158" s="9">
        <v>0</v>
      </c>
      <c r="CF158" s="9">
        <v>0</v>
      </c>
      <c r="CG158" s="9">
        <v>0</v>
      </c>
      <c r="CH158" s="9">
        <v>0</v>
      </c>
      <c r="CI158" s="9">
        <v>0</v>
      </c>
      <c r="CJ158" s="9">
        <v>0</v>
      </c>
      <c r="CK158" s="9">
        <v>0</v>
      </c>
      <c r="CL158" s="9">
        <v>0</v>
      </c>
      <c r="CM158" s="9">
        <v>0</v>
      </c>
      <c r="CN158" s="9">
        <v>0</v>
      </c>
      <c r="CO158" s="9">
        <v>0</v>
      </c>
      <c r="CP158" s="9">
        <v>0</v>
      </c>
      <c r="CQ158" s="9">
        <v>0</v>
      </c>
      <c r="CR158" s="9">
        <v>0</v>
      </c>
      <c r="CS158" s="10">
        <v>0</v>
      </c>
    </row>
    <row r="159" spans="1:97" x14ac:dyDescent="0.35">
      <c r="A159" s="8" t="s">
        <v>174</v>
      </c>
      <c r="B159" s="9" t="s">
        <v>797</v>
      </c>
      <c r="C159" s="9" t="s">
        <v>798</v>
      </c>
      <c r="D159" s="9">
        <f t="shared" si="2"/>
        <v>0</v>
      </c>
      <c r="E159" s="9">
        <v>0</v>
      </c>
      <c r="F159" s="9">
        <v>0</v>
      </c>
      <c r="G159" s="9">
        <v>0</v>
      </c>
      <c r="H159" s="9">
        <v>0</v>
      </c>
      <c r="I159" s="9">
        <v>0</v>
      </c>
      <c r="J159" s="9">
        <v>0</v>
      </c>
      <c r="K159" s="9">
        <v>0</v>
      </c>
      <c r="L159" s="9">
        <v>0</v>
      </c>
      <c r="M159" s="9">
        <v>0</v>
      </c>
      <c r="N159" s="9">
        <v>0</v>
      </c>
      <c r="O159" s="9">
        <v>0</v>
      </c>
      <c r="P159" s="9">
        <v>0</v>
      </c>
      <c r="Q159" s="9">
        <v>0</v>
      </c>
      <c r="R159" s="9">
        <v>0</v>
      </c>
      <c r="S159" s="9">
        <v>0</v>
      </c>
      <c r="T159" s="9">
        <v>0</v>
      </c>
      <c r="U159" s="9">
        <v>0</v>
      </c>
      <c r="V159" s="9">
        <v>0</v>
      </c>
      <c r="W159" s="9">
        <v>0</v>
      </c>
      <c r="X159" s="9">
        <v>0</v>
      </c>
      <c r="Y159" s="9">
        <v>0</v>
      </c>
      <c r="Z159" s="9">
        <v>0</v>
      </c>
      <c r="AA159" s="9">
        <v>0</v>
      </c>
      <c r="AB159" s="9">
        <v>0</v>
      </c>
      <c r="AC159" s="9">
        <v>0</v>
      </c>
      <c r="AD159" s="9">
        <v>0</v>
      </c>
      <c r="AE159" s="9">
        <v>0</v>
      </c>
      <c r="AF159" s="9">
        <v>0</v>
      </c>
      <c r="AG159" s="9">
        <v>0</v>
      </c>
      <c r="AH159" s="9">
        <v>0</v>
      </c>
      <c r="AI159" s="9">
        <v>0</v>
      </c>
      <c r="AJ159" s="9">
        <v>0</v>
      </c>
      <c r="AK159" s="9">
        <v>0</v>
      </c>
      <c r="AL159" s="9">
        <v>0</v>
      </c>
      <c r="AM159" s="9">
        <v>0</v>
      </c>
      <c r="AN159" s="9">
        <v>0</v>
      </c>
      <c r="AO159" s="9">
        <v>0</v>
      </c>
      <c r="AP159" s="9">
        <v>0</v>
      </c>
      <c r="AQ159" s="9">
        <v>0</v>
      </c>
      <c r="AR159" s="9">
        <v>0</v>
      </c>
      <c r="AS159" s="9">
        <v>0</v>
      </c>
      <c r="AT159" s="9">
        <v>0</v>
      </c>
      <c r="AU159" s="9">
        <v>0</v>
      </c>
      <c r="AV159" s="9">
        <v>0</v>
      </c>
      <c r="AW159" s="9">
        <v>0</v>
      </c>
      <c r="AX159" s="9">
        <v>0</v>
      </c>
      <c r="AY159" s="9">
        <v>0</v>
      </c>
      <c r="AZ159" s="9">
        <v>0</v>
      </c>
      <c r="BA159" s="9">
        <v>0</v>
      </c>
      <c r="BB159" s="9">
        <v>0</v>
      </c>
      <c r="BC159" s="9">
        <v>0</v>
      </c>
      <c r="BD159" s="9">
        <v>0</v>
      </c>
      <c r="BE159" s="9">
        <v>0</v>
      </c>
      <c r="BF159" s="9">
        <v>0</v>
      </c>
      <c r="BG159" s="9">
        <v>0</v>
      </c>
      <c r="BH159" s="9">
        <v>0</v>
      </c>
      <c r="BI159" s="9">
        <v>0</v>
      </c>
      <c r="BJ159" s="9">
        <v>0</v>
      </c>
      <c r="BK159" s="9">
        <v>0</v>
      </c>
      <c r="BL159" s="9">
        <v>0</v>
      </c>
      <c r="BM159" s="9">
        <v>0</v>
      </c>
      <c r="BN159" s="9">
        <v>0</v>
      </c>
      <c r="BO159" s="9">
        <v>0</v>
      </c>
      <c r="BP159" s="9">
        <v>0</v>
      </c>
      <c r="BQ159" s="9">
        <v>0</v>
      </c>
      <c r="BR159" s="9">
        <v>0</v>
      </c>
      <c r="BS159" s="9">
        <v>0</v>
      </c>
      <c r="BT159" s="9">
        <v>0</v>
      </c>
      <c r="BU159" s="9">
        <v>0</v>
      </c>
      <c r="BV159" s="9">
        <v>0</v>
      </c>
      <c r="BW159" s="9">
        <v>0</v>
      </c>
      <c r="BX159" s="9">
        <v>0</v>
      </c>
      <c r="BY159" s="9">
        <v>0</v>
      </c>
      <c r="BZ159" s="9">
        <v>0</v>
      </c>
      <c r="CA159" s="9">
        <v>0</v>
      </c>
      <c r="CB159" s="9">
        <v>0</v>
      </c>
      <c r="CC159" s="9">
        <v>0</v>
      </c>
      <c r="CD159" s="9">
        <v>0</v>
      </c>
      <c r="CE159" s="9">
        <v>0</v>
      </c>
      <c r="CF159" s="9">
        <v>0</v>
      </c>
      <c r="CG159" s="9">
        <v>0</v>
      </c>
      <c r="CH159" s="9">
        <v>0</v>
      </c>
      <c r="CI159" s="9">
        <v>0</v>
      </c>
      <c r="CJ159" s="9">
        <v>0</v>
      </c>
      <c r="CK159" s="9">
        <v>0</v>
      </c>
      <c r="CL159" s="9">
        <v>0</v>
      </c>
      <c r="CM159" s="9">
        <v>0</v>
      </c>
      <c r="CN159" s="9">
        <v>0</v>
      </c>
      <c r="CO159" s="9">
        <v>0</v>
      </c>
      <c r="CP159" s="9">
        <v>0</v>
      </c>
      <c r="CQ159" s="9">
        <v>0</v>
      </c>
      <c r="CR159" s="9">
        <v>0</v>
      </c>
      <c r="CS159" s="10">
        <v>0</v>
      </c>
    </row>
    <row r="160" spans="1:97" x14ac:dyDescent="0.35">
      <c r="A160" s="8" t="s">
        <v>174</v>
      </c>
      <c r="B160" s="9" t="s">
        <v>799</v>
      </c>
      <c r="C160" s="9" t="s">
        <v>800</v>
      </c>
      <c r="D160" s="9">
        <f t="shared" si="2"/>
        <v>0</v>
      </c>
      <c r="E160" s="9">
        <v>0</v>
      </c>
      <c r="F160" s="9">
        <v>0</v>
      </c>
      <c r="G160" s="9">
        <v>0</v>
      </c>
      <c r="H160" s="9">
        <v>0</v>
      </c>
      <c r="I160" s="9">
        <v>0</v>
      </c>
      <c r="J160" s="9">
        <v>0</v>
      </c>
      <c r="K160" s="9">
        <v>0</v>
      </c>
      <c r="L160" s="9">
        <v>0</v>
      </c>
      <c r="M160" s="9">
        <v>0</v>
      </c>
      <c r="N160" s="9">
        <v>0</v>
      </c>
      <c r="O160" s="9">
        <v>0</v>
      </c>
      <c r="P160" s="9">
        <v>0</v>
      </c>
      <c r="Q160" s="9">
        <v>0</v>
      </c>
      <c r="R160" s="9">
        <v>0</v>
      </c>
      <c r="S160" s="9">
        <v>0</v>
      </c>
      <c r="T160" s="9">
        <v>0</v>
      </c>
      <c r="U160" s="9">
        <v>0</v>
      </c>
      <c r="V160" s="9">
        <v>0</v>
      </c>
      <c r="W160" s="9">
        <v>0</v>
      </c>
      <c r="X160" s="9">
        <v>0</v>
      </c>
      <c r="Y160" s="9">
        <v>0</v>
      </c>
      <c r="Z160" s="9">
        <v>0</v>
      </c>
      <c r="AA160" s="9">
        <v>0</v>
      </c>
      <c r="AB160" s="9">
        <v>0</v>
      </c>
      <c r="AC160" s="9">
        <v>0</v>
      </c>
      <c r="AD160" s="9">
        <v>0</v>
      </c>
      <c r="AE160" s="9">
        <v>0</v>
      </c>
      <c r="AF160" s="9">
        <v>0</v>
      </c>
      <c r="AG160" s="9">
        <v>0</v>
      </c>
      <c r="AH160" s="9">
        <v>0</v>
      </c>
      <c r="AI160" s="9">
        <v>0</v>
      </c>
      <c r="AJ160" s="9">
        <v>0</v>
      </c>
      <c r="AK160" s="9">
        <v>0</v>
      </c>
      <c r="AL160" s="9">
        <v>0</v>
      </c>
      <c r="AM160" s="9">
        <v>0</v>
      </c>
      <c r="AN160" s="9">
        <v>0</v>
      </c>
      <c r="AO160" s="9">
        <v>0</v>
      </c>
      <c r="AP160" s="9">
        <v>0</v>
      </c>
      <c r="AQ160" s="9">
        <v>0</v>
      </c>
      <c r="AR160" s="9">
        <v>0</v>
      </c>
      <c r="AS160" s="9">
        <v>0</v>
      </c>
      <c r="AT160" s="9">
        <v>0</v>
      </c>
      <c r="AU160" s="9">
        <v>0</v>
      </c>
      <c r="AV160" s="9">
        <v>0</v>
      </c>
      <c r="AW160" s="9">
        <v>0</v>
      </c>
      <c r="AX160" s="9">
        <v>0</v>
      </c>
      <c r="AY160" s="9">
        <v>0</v>
      </c>
      <c r="AZ160" s="9">
        <v>0</v>
      </c>
      <c r="BA160" s="9">
        <v>0</v>
      </c>
      <c r="BB160" s="9">
        <v>0</v>
      </c>
      <c r="BC160" s="9">
        <v>0</v>
      </c>
      <c r="BD160" s="9">
        <v>0</v>
      </c>
      <c r="BE160" s="9">
        <v>0</v>
      </c>
      <c r="BF160" s="9">
        <v>0</v>
      </c>
      <c r="BG160" s="9">
        <v>0</v>
      </c>
      <c r="BH160" s="9">
        <v>0</v>
      </c>
      <c r="BI160" s="9">
        <v>0</v>
      </c>
      <c r="BJ160" s="9">
        <v>0</v>
      </c>
      <c r="BK160" s="9">
        <v>0</v>
      </c>
      <c r="BL160" s="9">
        <v>0</v>
      </c>
      <c r="BM160" s="9">
        <v>0</v>
      </c>
      <c r="BN160" s="9">
        <v>0</v>
      </c>
      <c r="BO160" s="9">
        <v>0</v>
      </c>
      <c r="BP160" s="9">
        <v>0</v>
      </c>
      <c r="BQ160" s="9">
        <v>0</v>
      </c>
      <c r="BR160" s="9">
        <v>0</v>
      </c>
      <c r="BS160" s="9">
        <v>0</v>
      </c>
      <c r="BT160" s="9">
        <v>0</v>
      </c>
      <c r="BU160" s="9">
        <v>0</v>
      </c>
      <c r="BV160" s="9">
        <v>0</v>
      </c>
      <c r="BW160" s="9">
        <v>0</v>
      </c>
      <c r="BX160" s="9">
        <v>0</v>
      </c>
      <c r="BY160" s="9">
        <v>0</v>
      </c>
      <c r="BZ160" s="9">
        <v>0</v>
      </c>
      <c r="CA160" s="9">
        <v>0</v>
      </c>
      <c r="CB160" s="9">
        <v>0</v>
      </c>
      <c r="CC160" s="9">
        <v>0</v>
      </c>
      <c r="CD160" s="9">
        <v>0</v>
      </c>
      <c r="CE160" s="9">
        <v>0</v>
      </c>
      <c r="CF160" s="9">
        <v>0</v>
      </c>
      <c r="CG160" s="9">
        <v>0</v>
      </c>
      <c r="CH160" s="9">
        <v>0</v>
      </c>
      <c r="CI160" s="9">
        <v>0</v>
      </c>
      <c r="CJ160" s="9">
        <v>0</v>
      </c>
      <c r="CK160" s="9">
        <v>0</v>
      </c>
      <c r="CL160" s="9">
        <v>0</v>
      </c>
      <c r="CM160" s="9">
        <v>0</v>
      </c>
      <c r="CN160" s="9">
        <v>0</v>
      </c>
      <c r="CO160" s="9">
        <v>0</v>
      </c>
      <c r="CP160" s="9">
        <v>0</v>
      </c>
      <c r="CQ160" s="9">
        <v>0</v>
      </c>
      <c r="CR160" s="9">
        <v>0</v>
      </c>
      <c r="CS160" s="10">
        <v>0</v>
      </c>
    </row>
    <row r="161" spans="1:97" x14ac:dyDescent="0.35">
      <c r="A161" s="8" t="s">
        <v>174</v>
      </c>
      <c r="B161" s="9" t="s">
        <v>801</v>
      </c>
      <c r="C161" s="9" t="s">
        <v>802</v>
      </c>
      <c r="D161" s="9">
        <f t="shared" si="2"/>
        <v>0</v>
      </c>
      <c r="E161" s="9">
        <v>0</v>
      </c>
      <c r="F161" s="9">
        <v>0</v>
      </c>
      <c r="G161" s="9">
        <v>0</v>
      </c>
      <c r="H161" s="9">
        <v>0</v>
      </c>
      <c r="I161" s="9">
        <v>0</v>
      </c>
      <c r="J161" s="9">
        <v>0</v>
      </c>
      <c r="K161" s="9">
        <v>0</v>
      </c>
      <c r="L161" s="9">
        <v>0</v>
      </c>
      <c r="M161" s="9">
        <v>0</v>
      </c>
      <c r="N161" s="9">
        <v>0</v>
      </c>
      <c r="O161" s="9">
        <v>0</v>
      </c>
      <c r="P161" s="9">
        <v>0</v>
      </c>
      <c r="Q161" s="9">
        <v>0</v>
      </c>
      <c r="R161" s="9">
        <v>0</v>
      </c>
      <c r="S161" s="9">
        <v>0</v>
      </c>
      <c r="T161" s="9">
        <v>0</v>
      </c>
      <c r="U161" s="9">
        <v>0</v>
      </c>
      <c r="V161" s="9">
        <v>0</v>
      </c>
      <c r="W161" s="9">
        <v>0</v>
      </c>
      <c r="X161" s="9">
        <v>0</v>
      </c>
      <c r="Y161" s="9">
        <v>0</v>
      </c>
      <c r="Z161" s="9">
        <v>0</v>
      </c>
      <c r="AA161" s="9">
        <v>0</v>
      </c>
      <c r="AB161" s="9">
        <v>0</v>
      </c>
      <c r="AC161" s="9">
        <v>0</v>
      </c>
      <c r="AD161" s="9">
        <v>0</v>
      </c>
      <c r="AE161" s="9">
        <v>0</v>
      </c>
      <c r="AF161" s="9">
        <v>0</v>
      </c>
      <c r="AG161" s="9">
        <v>0</v>
      </c>
      <c r="AH161" s="9">
        <v>0</v>
      </c>
      <c r="AI161" s="9">
        <v>0</v>
      </c>
      <c r="AJ161" s="9">
        <v>0</v>
      </c>
      <c r="AK161" s="9">
        <v>0</v>
      </c>
      <c r="AL161" s="9">
        <v>0</v>
      </c>
      <c r="AM161" s="9">
        <v>0</v>
      </c>
      <c r="AN161" s="9">
        <v>0</v>
      </c>
      <c r="AO161" s="9">
        <v>0</v>
      </c>
      <c r="AP161" s="9">
        <v>0</v>
      </c>
      <c r="AQ161" s="9">
        <v>0</v>
      </c>
      <c r="AR161" s="9">
        <v>0</v>
      </c>
      <c r="AS161" s="9">
        <v>0</v>
      </c>
      <c r="AT161" s="9">
        <v>0</v>
      </c>
      <c r="AU161" s="9">
        <v>0</v>
      </c>
      <c r="AV161" s="9">
        <v>0</v>
      </c>
      <c r="AW161" s="9">
        <v>0</v>
      </c>
      <c r="AX161" s="9">
        <v>0</v>
      </c>
      <c r="AY161" s="9">
        <v>0</v>
      </c>
      <c r="AZ161" s="9">
        <v>0</v>
      </c>
      <c r="BA161" s="9">
        <v>0</v>
      </c>
      <c r="BB161" s="9">
        <v>0</v>
      </c>
      <c r="BC161" s="9">
        <v>0</v>
      </c>
      <c r="BD161" s="9">
        <v>0</v>
      </c>
      <c r="BE161" s="9">
        <v>0</v>
      </c>
      <c r="BF161" s="9">
        <v>0</v>
      </c>
      <c r="BG161" s="9">
        <v>0</v>
      </c>
      <c r="BH161" s="9">
        <v>0</v>
      </c>
      <c r="BI161" s="9">
        <v>0</v>
      </c>
      <c r="BJ161" s="9">
        <v>0</v>
      </c>
      <c r="BK161" s="9">
        <v>0</v>
      </c>
      <c r="BL161" s="9">
        <v>0</v>
      </c>
      <c r="BM161" s="9">
        <v>0</v>
      </c>
      <c r="BN161" s="9">
        <v>0</v>
      </c>
      <c r="BO161" s="9">
        <v>0</v>
      </c>
      <c r="BP161" s="9">
        <v>0</v>
      </c>
      <c r="BQ161" s="9">
        <v>0</v>
      </c>
      <c r="BR161" s="9">
        <v>0</v>
      </c>
      <c r="BS161" s="9">
        <v>0</v>
      </c>
      <c r="BT161" s="9">
        <v>0</v>
      </c>
      <c r="BU161" s="9">
        <v>0</v>
      </c>
      <c r="BV161" s="9">
        <v>0</v>
      </c>
      <c r="BW161" s="9">
        <v>0</v>
      </c>
      <c r="BX161" s="9">
        <v>0</v>
      </c>
      <c r="BY161" s="9">
        <v>0</v>
      </c>
      <c r="BZ161" s="9">
        <v>0</v>
      </c>
      <c r="CA161" s="9">
        <v>0</v>
      </c>
      <c r="CB161" s="9">
        <v>0</v>
      </c>
      <c r="CC161" s="9">
        <v>0</v>
      </c>
      <c r="CD161" s="9">
        <v>0</v>
      </c>
      <c r="CE161" s="9">
        <v>0</v>
      </c>
      <c r="CF161" s="9">
        <v>0</v>
      </c>
      <c r="CG161" s="9">
        <v>0</v>
      </c>
      <c r="CH161" s="9">
        <v>0</v>
      </c>
      <c r="CI161" s="9">
        <v>0</v>
      </c>
      <c r="CJ161" s="9">
        <v>0</v>
      </c>
      <c r="CK161" s="9">
        <v>0</v>
      </c>
      <c r="CL161" s="9">
        <v>0</v>
      </c>
      <c r="CM161" s="9">
        <v>0</v>
      </c>
      <c r="CN161" s="9">
        <v>0</v>
      </c>
      <c r="CO161" s="9">
        <v>0</v>
      </c>
      <c r="CP161" s="9">
        <v>0</v>
      </c>
      <c r="CQ161" s="9">
        <v>0</v>
      </c>
      <c r="CR161" s="9">
        <v>0</v>
      </c>
      <c r="CS161" s="10">
        <v>0</v>
      </c>
    </row>
    <row r="162" spans="1:97" x14ac:dyDescent="0.35">
      <c r="A162" s="8" t="s">
        <v>174</v>
      </c>
      <c r="B162" s="9" t="s">
        <v>803</v>
      </c>
      <c r="C162" s="9" t="s">
        <v>804</v>
      </c>
      <c r="D162" s="9">
        <f t="shared" si="2"/>
        <v>0</v>
      </c>
      <c r="E162" s="9">
        <v>0</v>
      </c>
      <c r="F162" s="9">
        <v>0</v>
      </c>
      <c r="G162" s="9">
        <v>0</v>
      </c>
      <c r="H162" s="9">
        <v>0</v>
      </c>
      <c r="I162" s="9">
        <v>0</v>
      </c>
      <c r="J162" s="9">
        <v>0</v>
      </c>
      <c r="K162" s="9">
        <v>0</v>
      </c>
      <c r="L162" s="9">
        <v>0</v>
      </c>
      <c r="M162" s="9">
        <v>0</v>
      </c>
      <c r="N162" s="9">
        <v>0</v>
      </c>
      <c r="O162" s="9">
        <v>0</v>
      </c>
      <c r="P162" s="9">
        <v>0</v>
      </c>
      <c r="Q162" s="9">
        <v>0</v>
      </c>
      <c r="R162" s="9">
        <v>0</v>
      </c>
      <c r="S162" s="9">
        <v>0</v>
      </c>
      <c r="T162" s="9">
        <v>0</v>
      </c>
      <c r="U162" s="9">
        <v>0</v>
      </c>
      <c r="V162" s="9">
        <v>0</v>
      </c>
      <c r="W162" s="9">
        <v>0</v>
      </c>
      <c r="X162" s="9">
        <v>0</v>
      </c>
      <c r="Y162" s="9">
        <v>0</v>
      </c>
      <c r="Z162" s="9">
        <v>0</v>
      </c>
      <c r="AA162" s="9">
        <v>0</v>
      </c>
      <c r="AB162" s="9">
        <v>0</v>
      </c>
      <c r="AC162" s="9">
        <v>0</v>
      </c>
      <c r="AD162" s="9">
        <v>0</v>
      </c>
      <c r="AE162" s="9">
        <v>0</v>
      </c>
      <c r="AF162" s="9">
        <v>0</v>
      </c>
      <c r="AG162" s="9">
        <v>0</v>
      </c>
      <c r="AH162" s="9">
        <v>0</v>
      </c>
      <c r="AI162" s="9">
        <v>0</v>
      </c>
      <c r="AJ162" s="9">
        <v>0</v>
      </c>
      <c r="AK162" s="9">
        <v>0</v>
      </c>
      <c r="AL162" s="9">
        <v>0</v>
      </c>
      <c r="AM162" s="9">
        <v>0</v>
      </c>
      <c r="AN162" s="9">
        <v>0</v>
      </c>
      <c r="AO162" s="9">
        <v>0</v>
      </c>
      <c r="AP162" s="9">
        <v>0</v>
      </c>
      <c r="AQ162" s="9">
        <v>0</v>
      </c>
      <c r="AR162" s="9">
        <v>0</v>
      </c>
      <c r="AS162" s="9">
        <v>0</v>
      </c>
      <c r="AT162" s="9">
        <v>0</v>
      </c>
      <c r="AU162" s="9">
        <v>0</v>
      </c>
      <c r="AV162" s="9">
        <v>0</v>
      </c>
      <c r="AW162" s="9">
        <v>0</v>
      </c>
      <c r="AX162" s="9">
        <v>0</v>
      </c>
      <c r="AY162" s="9">
        <v>0</v>
      </c>
      <c r="AZ162" s="9">
        <v>0</v>
      </c>
      <c r="BA162" s="9">
        <v>0</v>
      </c>
      <c r="BB162" s="9">
        <v>0</v>
      </c>
      <c r="BC162" s="9">
        <v>0</v>
      </c>
      <c r="BD162" s="9">
        <v>0</v>
      </c>
      <c r="BE162" s="9">
        <v>0</v>
      </c>
      <c r="BF162" s="9">
        <v>0</v>
      </c>
      <c r="BG162" s="9">
        <v>0</v>
      </c>
      <c r="BH162" s="9">
        <v>0</v>
      </c>
      <c r="BI162" s="9">
        <v>0</v>
      </c>
      <c r="BJ162" s="9">
        <v>0</v>
      </c>
      <c r="BK162" s="9">
        <v>0</v>
      </c>
      <c r="BL162" s="9">
        <v>0</v>
      </c>
      <c r="BM162" s="9">
        <v>0</v>
      </c>
      <c r="BN162" s="9">
        <v>0</v>
      </c>
      <c r="BO162" s="9">
        <v>0</v>
      </c>
      <c r="BP162" s="9">
        <v>0</v>
      </c>
      <c r="BQ162" s="9">
        <v>0</v>
      </c>
      <c r="BR162" s="9">
        <v>0</v>
      </c>
      <c r="BS162" s="9">
        <v>0</v>
      </c>
      <c r="BT162" s="9">
        <v>0</v>
      </c>
      <c r="BU162" s="9">
        <v>0</v>
      </c>
      <c r="BV162" s="9">
        <v>0</v>
      </c>
      <c r="BW162" s="9">
        <v>0</v>
      </c>
      <c r="BX162" s="9">
        <v>0</v>
      </c>
      <c r="BY162" s="9">
        <v>0</v>
      </c>
      <c r="BZ162" s="9">
        <v>0</v>
      </c>
      <c r="CA162" s="9">
        <v>0</v>
      </c>
      <c r="CB162" s="9">
        <v>0</v>
      </c>
      <c r="CC162" s="9">
        <v>0</v>
      </c>
      <c r="CD162" s="9">
        <v>0</v>
      </c>
      <c r="CE162" s="9">
        <v>0</v>
      </c>
      <c r="CF162" s="9">
        <v>0</v>
      </c>
      <c r="CG162" s="9">
        <v>0</v>
      </c>
      <c r="CH162" s="9">
        <v>0</v>
      </c>
      <c r="CI162" s="9">
        <v>0</v>
      </c>
      <c r="CJ162" s="9">
        <v>0</v>
      </c>
      <c r="CK162" s="9">
        <v>0</v>
      </c>
      <c r="CL162" s="9">
        <v>0</v>
      </c>
      <c r="CM162" s="9">
        <v>0</v>
      </c>
      <c r="CN162" s="9">
        <v>0</v>
      </c>
      <c r="CO162" s="9">
        <v>0</v>
      </c>
      <c r="CP162" s="9">
        <v>0</v>
      </c>
      <c r="CQ162" s="9">
        <v>0</v>
      </c>
      <c r="CR162" s="9">
        <v>0</v>
      </c>
      <c r="CS162" s="10">
        <v>0</v>
      </c>
    </row>
    <row r="163" spans="1:97" x14ac:dyDescent="0.35">
      <c r="A163" s="8" t="s">
        <v>174</v>
      </c>
      <c r="B163" s="9" t="s">
        <v>181</v>
      </c>
      <c r="C163" s="9" t="s">
        <v>805</v>
      </c>
      <c r="D163" s="9">
        <f t="shared" si="2"/>
        <v>0</v>
      </c>
      <c r="E163" s="9">
        <v>0</v>
      </c>
      <c r="F163" s="9">
        <v>0</v>
      </c>
      <c r="G163" s="9">
        <v>0</v>
      </c>
      <c r="H163" s="9">
        <v>0</v>
      </c>
      <c r="I163" s="9">
        <v>0</v>
      </c>
      <c r="J163" s="9">
        <v>0</v>
      </c>
      <c r="K163" s="9">
        <v>0</v>
      </c>
      <c r="L163" s="9">
        <v>0</v>
      </c>
      <c r="M163" s="9">
        <v>0</v>
      </c>
      <c r="N163" s="9">
        <v>0</v>
      </c>
      <c r="O163" s="9">
        <v>0</v>
      </c>
      <c r="P163" s="9">
        <v>0</v>
      </c>
      <c r="Q163" s="9">
        <v>0</v>
      </c>
      <c r="R163" s="9">
        <v>0</v>
      </c>
      <c r="S163" s="9">
        <v>0</v>
      </c>
      <c r="T163" s="9">
        <v>0</v>
      </c>
      <c r="U163" s="9">
        <v>0</v>
      </c>
      <c r="V163" s="9">
        <v>0</v>
      </c>
      <c r="W163" s="9">
        <v>0</v>
      </c>
      <c r="X163" s="9">
        <v>0</v>
      </c>
      <c r="Y163" s="9">
        <v>0</v>
      </c>
      <c r="Z163" s="9">
        <v>0</v>
      </c>
      <c r="AA163" s="9">
        <v>0</v>
      </c>
      <c r="AB163" s="9">
        <v>0</v>
      </c>
      <c r="AC163" s="9">
        <v>0</v>
      </c>
      <c r="AD163" s="9">
        <v>0</v>
      </c>
      <c r="AE163" s="9">
        <v>0</v>
      </c>
      <c r="AF163" s="9">
        <v>0</v>
      </c>
      <c r="AG163" s="9">
        <v>0</v>
      </c>
      <c r="AH163" s="9">
        <v>0</v>
      </c>
      <c r="AI163" s="9">
        <v>0</v>
      </c>
      <c r="AJ163" s="9">
        <v>0</v>
      </c>
      <c r="AK163" s="9">
        <v>0</v>
      </c>
      <c r="AL163" s="9">
        <v>0</v>
      </c>
      <c r="AM163" s="9">
        <v>0</v>
      </c>
      <c r="AN163" s="9">
        <v>0</v>
      </c>
      <c r="AO163" s="9">
        <v>0</v>
      </c>
      <c r="AP163" s="9">
        <v>0</v>
      </c>
      <c r="AQ163" s="9">
        <v>0</v>
      </c>
      <c r="AR163" s="9">
        <v>0</v>
      </c>
      <c r="AS163" s="9">
        <v>0</v>
      </c>
      <c r="AT163" s="9">
        <v>0</v>
      </c>
      <c r="AU163" s="9">
        <v>0</v>
      </c>
      <c r="AV163" s="9">
        <v>0</v>
      </c>
      <c r="AW163" s="9">
        <v>0</v>
      </c>
      <c r="AX163" s="9">
        <v>0</v>
      </c>
      <c r="AY163" s="9">
        <v>0</v>
      </c>
      <c r="AZ163" s="9">
        <v>0</v>
      </c>
      <c r="BA163" s="9">
        <v>0</v>
      </c>
      <c r="BB163" s="9">
        <v>0</v>
      </c>
      <c r="BC163" s="9">
        <v>0</v>
      </c>
      <c r="BD163" s="9">
        <v>0</v>
      </c>
      <c r="BE163" s="9">
        <v>0</v>
      </c>
      <c r="BF163" s="9">
        <v>0</v>
      </c>
      <c r="BG163" s="9">
        <v>0</v>
      </c>
      <c r="BH163" s="9">
        <v>0</v>
      </c>
      <c r="BI163" s="9">
        <v>0</v>
      </c>
      <c r="BJ163" s="9">
        <v>0</v>
      </c>
      <c r="BK163" s="9">
        <v>0</v>
      </c>
      <c r="BL163" s="9">
        <v>0</v>
      </c>
      <c r="BM163" s="9">
        <v>0</v>
      </c>
      <c r="BN163" s="9">
        <v>0</v>
      </c>
      <c r="BO163" s="9">
        <v>0</v>
      </c>
      <c r="BP163" s="9">
        <v>0</v>
      </c>
      <c r="BQ163" s="9">
        <v>0</v>
      </c>
      <c r="BR163" s="9">
        <v>0</v>
      </c>
      <c r="BS163" s="9">
        <v>0</v>
      </c>
      <c r="BT163" s="9">
        <v>0</v>
      </c>
      <c r="BU163" s="9">
        <v>0</v>
      </c>
      <c r="BV163" s="9">
        <v>0</v>
      </c>
      <c r="BW163" s="9">
        <v>0</v>
      </c>
      <c r="BX163" s="9">
        <v>0</v>
      </c>
      <c r="BY163" s="9">
        <v>0</v>
      </c>
      <c r="BZ163" s="9">
        <v>0</v>
      </c>
      <c r="CA163" s="9">
        <v>0</v>
      </c>
      <c r="CB163" s="9">
        <v>0</v>
      </c>
      <c r="CC163" s="9">
        <v>0</v>
      </c>
      <c r="CD163" s="9">
        <v>0</v>
      </c>
      <c r="CE163" s="9">
        <v>0</v>
      </c>
      <c r="CF163" s="9">
        <v>0</v>
      </c>
      <c r="CG163" s="9">
        <v>0</v>
      </c>
      <c r="CH163" s="9">
        <v>0</v>
      </c>
      <c r="CI163" s="9">
        <v>0</v>
      </c>
      <c r="CJ163" s="9">
        <v>0</v>
      </c>
      <c r="CK163" s="9">
        <v>0</v>
      </c>
      <c r="CL163" s="9">
        <v>0</v>
      </c>
      <c r="CM163" s="9">
        <v>0</v>
      </c>
      <c r="CN163" s="9">
        <v>0</v>
      </c>
      <c r="CO163" s="9">
        <v>0</v>
      </c>
      <c r="CP163" s="9">
        <v>0</v>
      </c>
      <c r="CQ163" s="9">
        <v>0</v>
      </c>
      <c r="CR163" s="9">
        <v>0</v>
      </c>
      <c r="CS163" s="10">
        <v>0</v>
      </c>
    </row>
    <row r="164" spans="1:97" x14ac:dyDescent="0.35">
      <c r="A164" s="8" t="s">
        <v>174</v>
      </c>
      <c r="B164" s="9" t="s">
        <v>806</v>
      </c>
      <c r="C164" s="9" t="s">
        <v>807</v>
      </c>
      <c r="D164" s="9">
        <f t="shared" si="2"/>
        <v>11</v>
      </c>
      <c r="E164" s="9">
        <v>0</v>
      </c>
      <c r="F164" s="9">
        <v>0</v>
      </c>
      <c r="G164" s="9">
        <v>0</v>
      </c>
      <c r="H164" s="9">
        <v>0</v>
      </c>
      <c r="I164" s="9">
        <v>0</v>
      </c>
      <c r="J164" s="9">
        <v>0</v>
      </c>
      <c r="K164" s="9">
        <v>0</v>
      </c>
      <c r="L164" s="9">
        <v>0</v>
      </c>
      <c r="M164" s="9">
        <v>0</v>
      </c>
      <c r="N164" s="9">
        <v>0</v>
      </c>
      <c r="O164" s="9">
        <v>0</v>
      </c>
      <c r="P164" s="9">
        <v>0</v>
      </c>
      <c r="Q164" s="9">
        <v>0</v>
      </c>
      <c r="R164" s="9">
        <v>0</v>
      </c>
      <c r="S164" s="9">
        <v>0</v>
      </c>
      <c r="T164" s="9">
        <v>0</v>
      </c>
      <c r="U164" s="9">
        <v>0</v>
      </c>
      <c r="V164" s="9">
        <v>0</v>
      </c>
      <c r="W164" s="9">
        <v>0</v>
      </c>
      <c r="X164" s="9">
        <v>0</v>
      </c>
      <c r="Y164" s="9">
        <v>0</v>
      </c>
      <c r="Z164" s="9">
        <v>0</v>
      </c>
      <c r="AA164" s="9">
        <v>0</v>
      </c>
      <c r="AB164" s="9">
        <v>0</v>
      </c>
      <c r="AC164" s="9">
        <v>0</v>
      </c>
      <c r="AD164" s="9">
        <v>0</v>
      </c>
      <c r="AE164" s="9">
        <v>0</v>
      </c>
      <c r="AF164" s="9">
        <v>0</v>
      </c>
      <c r="AG164" s="9">
        <v>0</v>
      </c>
      <c r="AH164" s="9">
        <v>0</v>
      </c>
      <c r="AI164" s="9">
        <v>0</v>
      </c>
      <c r="AJ164" s="9">
        <v>0</v>
      </c>
      <c r="AK164" s="9">
        <v>0</v>
      </c>
      <c r="AL164" s="9">
        <v>0</v>
      </c>
      <c r="AM164" s="9">
        <v>0</v>
      </c>
      <c r="AN164" s="9">
        <v>0</v>
      </c>
      <c r="AO164" s="9">
        <v>0</v>
      </c>
      <c r="AP164" s="9">
        <v>0</v>
      </c>
      <c r="AQ164" s="9">
        <v>0</v>
      </c>
      <c r="AR164" s="9">
        <v>0</v>
      </c>
      <c r="AS164" s="9">
        <v>0</v>
      </c>
      <c r="AT164" s="9">
        <v>0</v>
      </c>
      <c r="AU164" s="9">
        <v>0</v>
      </c>
      <c r="AV164" s="9">
        <v>0</v>
      </c>
      <c r="AW164" s="9">
        <v>0</v>
      </c>
      <c r="AX164" s="9">
        <v>0</v>
      </c>
      <c r="AY164" s="9">
        <v>0</v>
      </c>
      <c r="AZ164" s="9">
        <v>0</v>
      </c>
      <c r="BA164" s="9">
        <v>0</v>
      </c>
      <c r="BB164" s="9">
        <v>0</v>
      </c>
      <c r="BC164" s="9">
        <v>0</v>
      </c>
      <c r="BD164" s="9">
        <v>0</v>
      </c>
      <c r="BE164" s="9">
        <v>0</v>
      </c>
      <c r="BF164" s="9">
        <v>0</v>
      </c>
      <c r="BG164" s="9">
        <v>0</v>
      </c>
      <c r="BH164" s="9">
        <v>0</v>
      </c>
      <c r="BI164" s="9">
        <v>0</v>
      </c>
      <c r="BJ164" s="9">
        <v>0</v>
      </c>
      <c r="BK164" s="9">
        <v>0</v>
      </c>
      <c r="BL164" s="9">
        <v>0</v>
      </c>
      <c r="BM164" s="9">
        <v>0</v>
      </c>
      <c r="BN164" s="9">
        <v>0</v>
      </c>
      <c r="BO164" s="9">
        <v>0</v>
      </c>
      <c r="BP164" s="9">
        <v>0</v>
      </c>
      <c r="BQ164" s="9">
        <v>0</v>
      </c>
      <c r="BR164" s="9">
        <v>0</v>
      </c>
      <c r="BS164" s="9">
        <v>0</v>
      </c>
      <c r="BT164" s="9">
        <v>0</v>
      </c>
      <c r="BU164" s="9">
        <v>0</v>
      </c>
      <c r="BV164" s="9">
        <v>0</v>
      </c>
      <c r="BW164" s="9">
        <v>0</v>
      </c>
      <c r="BX164" s="9">
        <v>0</v>
      </c>
      <c r="BY164" s="9">
        <v>0</v>
      </c>
      <c r="BZ164" s="9">
        <v>0</v>
      </c>
      <c r="CA164" s="9">
        <v>0</v>
      </c>
      <c r="CB164" s="9">
        <v>0</v>
      </c>
      <c r="CC164" s="9">
        <v>0</v>
      </c>
      <c r="CD164" s="9">
        <v>0</v>
      </c>
      <c r="CE164" s="9">
        <v>0</v>
      </c>
      <c r="CF164" s="9">
        <v>0</v>
      </c>
      <c r="CG164" s="9">
        <v>0</v>
      </c>
      <c r="CH164" s="9">
        <v>0</v>
      </c>
      <c r="CI164" s="9">
        <v>0</v>
      </c>
      <c r="CJ164" s="9">
        <v>0</v>
      </c>
      <c r="CK164" s="9">
        <v>0</v>
      </c>
      <c r="CL164" s="9">
        <v>0</v>
      </c>
      <c r="CM164" s="9">
        <v>7</v>
      </c>
      <c r="CN164" s="9">
        <v>4</v>
      </c>
      <c r="CO164" s="9">
        <v>0</v>
      </c>
      <c r="CP164" s="9">
        <v>0</v>
      </c>
      <c r="CQ164" s="9">
        <v>0</v>
      </c>
      <c r="CR164" s="9">
        <v>0</v>
      </c>
      <c r="CS164" s="10">
        <v>0</v>
      </c>
    </row>
    <row r="165" spans="1:97" x14ac:dyDescent="0.35">
      <c r="A165" s="8" t="s">
        <v>174</v>
      </c>
      <c r="B165" s="9" t="s">
        <v>808</v>
      </c>
      <c r="C165" s="9" t="s">
        <v>809</v>
      </c>
      <c r="D165" s="9">
        <f t="shared" si="2"/>
        <v>0</v>
      </c>
      <c r="E165" s="9">
        <v>0</v>
      </c>
      <c r="F165" s="9">
        <v>0</v>
      </c>
      <c r="G165" s="9">
        <v>0</v>
      </c>
      <c r="H165" s="9">
        <v>0</v>
      </c>
      <c r="I165" s="9">
        <v>0</v>
      </c>
      <c r="J165" s="9">
        <v>0</v>
      </c>
      <c r="K165" s="9">
        <v>0</v>
      </c>
      <c r="L165" s="9">
        <v>0</v>
      </c>
      <c r="M165" s="9">
        <v>0</v>
      </c>
      <c r="N165" s="9">
        <v>0</v>
      </c>
      <c r="O165" s="9">
        <v>0</v>
      </c>
      <c r="P165" s="9">
        <v>0</v>
      </c>
      <c r="Q165" s="9">
        <v>0</v>
      </c>
      <c r="R165" s="9">
        <v>0</v>
      </c>
      <c r="S165" s="9">
        <v>0</v>
      </c>
      <c r="T165" s="9">
        <v>0</v>
      </c>
      <c r="U165" s="9">
        <v>0</v>
      </c>
      <c r="V165" s="9">
        <v>0</v>
      </c>
      <c r="W165" s="9">
        <v>0</v>
      </c>
      <c r="X165" s="9">
        <v>0</v>
      </c>
      <c r="Y165" s="9">
        <v>0</v>
      </c>
      <c r="Z165" s="9">
        <v>0</v>
      </c>
      <c r="AA165" s="9">
        <v>0</v>
      </c>
      <c r="AB165" s="9">
        <v>0</v>
      </c>
      <c r="AC165" s="9">
        <v>0</v>
      </c>
      <c r="AD165" s="9">
        <v>0</v>
      </c>
      <c r="AE165" s="9">
        <v>0</v>
      </c>
      <c r="AF165" s="9">
        <v>0</v>
      </c>
      <c r="AG165" s="9">
        <v>0</v>
      </c>
      <c r="AH165" s="9">
        <v>0</v>
      </c>
      <c r="AI165" s="9">
        <v>0</v>
      </c>
      <c r="AJ165" s="9">
        <v>0</v>
      </c>
      <c r="AK165" s="9">
        <v>0</v>
      </c>
      <c r="AL165" s="9">
        <v>0</v>
      </c>
      <c r="AM165" s="9">
        <v>0</v>
      </c>
      <c r="AN165" s="9">
        <v>0</v>
      </c>
      <c r="AO165" s="9">
        <v>0</v>
      </c>
      <c r="AP165" s="9">
        <v>0</v>
      </c>
      <c r="AQ165" s="9">
        <v>0</v>
      </c>
      <c r="AR165" s="9">
        <v>0</v>
      </c>
      <c r="AS165" s="9">
        <v>0</v>
      </c>
      <c r="AT165" s="9">
        <v>0</v>
      </c>
      <c r="AU165" s="9">
        <v>0</v>
      </c>
      <c r="AV165" s="9">
        <v>0</v>
      </c>
      <c r="AW165" s="9">
        <v>0</v>
      </c>
      <c r="AX165" s="9">
        <v>0</v>
      </c>
      <c r="AY165" s="9">
        <v>0</v>
      </c>
      <c r="AZ165" s="9">
        <v>0</v>
      </c>
      <c r="BA165" s="9">
        <v>0</v>
      </c>
      <c r="BB165" s="9">
        <v>0</v>
      </c>
      <c r="BC165" s="9">
        <v>0</v>
      </c>
      <c r="BD165" s="9">
        <v>0</v>
      </c>
      <c r="BE165" s="9">
        <v>0</v>
      </c>
      <c r="BF165" s="9">
        <v>0</v>
      </c>
      <c r="BG165" s="9">
        <v>0</v>
      </c>
      <c r="BH165" s="9">
        <v>0</v>
      </c>
      <c r="BI165" s="9">
        <v>0</v>
      </c>
      <c r="BJ165" s="9">
        <v>0</v>
      </c>
      <c r="BK165" s="9">
        <v>0</v>
      </c>
      <c r="BL165" s="9">
        <v>0</v>
      </c>
      <c r="BM165" s="9">
        <v>0</v>
      </c>
      <c r="BN165" s="9">
        <v>0</v>
      </c>
      <c r="BO165" s="9">
        <v>0</v>
      </c>
      <c r="BP165" s="9">
        <v>0</v>
      </c>
      <c r="BQ165" s="9">
        <v>0</v>
      </c>
      <c r="BR165" s="9">
        <v>0</v>
      </c>
      <c r="BS165" s="9">
        <v>0</v>
      </c>
      <c r="BT165" s="9">
        <v>0</v>
      </c>
      <c r="BU165" s="9">
        <v>0</v>
      </c>
      <c r="BV165" s="9">
        <v>0</v>
      </c>
      <c r="BW165" s="9">
        <v>0</v>
      </c>
      <c r="BX165" s="9">
        <v>0</v>
      </c>
      <c r="BY165" s="9">
        <v>0</v>
      </c>
      <c r="BZ165" s="9">
        <v>0</v>
      </c>
      <c r="CA165" s="9">
        <v>0</v>
      </c>
      <c r="CB165" s="9">
        <v>0</v>
      </c>
      <c r="CC165" s="9">
        <v>0</v>
      </c>
      <c r="CD165" s="9">
        <v>0</v>
      </c>
      <c r="CE165" s="9">
        <v>0</v>
      </c>
      <c r="CF165" s="9">
        <v>0</v>
      </c>
      <c r="CG165" s="9">
        <v>0</v>
      </c>
      <c r="CH165" s="9">
        <v>0</v>
      </c>
      <c r="CI165" s="9">
        <v>0</v>
      </c>
      <c r="CJ165" s="9">
        <v>0</v>
      </c>
      <c r="CK165" s="9">
        <v>0</v>
      </c>
      <c r="CL165" s="9">
        <v>0</v>
      </c>
      <c r="CM165" s="9">
        <v>0</v>
      </c>
      <c r="CN165" s="9">
        <v>0</v>
      </c>
      <c r="CO165" s="9">
        <v>0</v>
      </c>
      <c r="CP165" s="9">
        <v>0</v>
      </c>
      <c r="CQ165" s="9">
        <v>0</v>
      </c>
      <c r="CR165" s="9">
        <v>0</v>
      </c>
      <c r="CS165" s="10">
        <v>0</v>
      </c>
    </row>
    <row r="166" spans="1:97" x14ac:dyDescent="0.35">
      <c r="A166" s="8" t="s">
        <v>174</v>
      </c>
      <c r="B166" s="9" t="s">
        <v>810</v>
      </c>
      <c r="C166" s="9" t="s">
        <v>811</v>
      </c>
      <c r="D166" s="9">
        <f t="shared" si="2"/>
        <v>0</v>
      </c>
      <c r="E166" s="9">
        <v>0</v>
      </c>
      <c r="F166" s="9">
        <v>0</v>
      </c>
      <c r="G166" s="9">
        <v>0</v>
      </c>
      <c r="H166" s="9">
        <v>0</v>
      </c>
      <c r="I166" s="9">
        <v>0</v>
      </c>
      <c r="J166" s="9">
        <v>0</v>
      </c>
      <c r="K166" s="9">
        <v>0</v>
      </c>
      <c r="L166" s="9">
        <v>0</v>
      </c>
      <c r="M166" s="9">
        <v>0</v>
      </c>
      <c r="N166" s="9">
        <v>0</v>
      </c>
      <c r="O166" s="9">
        <v>0</v>
      </c>
      <c r="P166" s="9">
        <v>0</v>
      </c>
      <c r="Q166" s="9">
        <v>0</v>
      </c>
      <c r="R166" s="9">
        <v>0</v>
      </c>
      <c r="S166" s="9">
        <v>0</v>
      </c>
      <c r="T166" s="9">
        <v>0</v>
      </c>
      <c r="U166" s="9">
        <v>0</v>
      </c>
      <c r="V166" s="9">
        <v>0</v>
      </c>
      <c r="W166" s="9">
        <v>0</v>
      </c>
      <c r="X166" s="9">
        <v>0</v>
      </c>
      <c r="Y166" s="9">
        <v>0</v>
      </c>
      <c r="Z166" s="9">
        <v>0</v>
      </c>
      <c r="AA166" s="9">
        <v>0</v>
      </c>
      <c r="AB166" s="9">
        <v>0</v>
      </c>
      <c r="AC166" s="9">
        <v>0</v>
      </c>
      <c r="AD166" s="9">
        <v>0</v>
      </c>
      <c r="AE166" s="9">
        <v>0</v>
      </c>
      <c r="AF166" s="9">
        <v>0</v>
      </c>
      <c r="AG166" s="9">
        <v>0</v>
      </c>
      <c r="AH166" s="9">
        <v>0</v>
      </c>
      <c r="AI166" s="9">
        <v>0</v>
      </c>
      <c r="AJ166" s="9">
        <v>0</v>
      </c>
      <c r="AK166" s="9">
        <v>0</v>
      </c>
      <c r="AL166" s="9">
        <v>0</v>
      </c>
      <c r="AM166" s="9">
        <v>0</v>
      </c>
      <c r="AN166" s="9">
        <v>0</v>
      </c>
      <c r="AO166" s="9">
        <v>0</v>
      </c>
      <c r="AP166" s="9">
        <v>0</v>
      </c>
      <c r="AQ166" s="9">
        <v>0</v>
      </c>
      <c r="AR166" s="9">
        <v>0</v>
      </c>
      <c r="AS166" s="9">
        <v>0</v>
      </c>
      <c r="AT166" s="9">
        <v>0</v>
      </c>
      <c r="AU166" s="9">
        <v>0</v>
      </c>
      <c r="AV166" s="9">
        <v>0</v>
      </c>
      <c r="AW166" s="9">
        <v>0</v>
      </c>
      <c r="AX166" s="9">
        <v>0</v>
      </c>
      <c r="AY166" s="9">
        <v>0</v>
      </c>
      <c r="AZ166" s="9">
        <v>0</v>
      </c>
      <c r="BA166" s="9">
        <v>0</v>
      </c>
      <c r="BB166" s="9">
        <v>0</v>
      </c>
      <c r="BC166" s="9">
        <v>0</v>
      </c>
      <c r="BD166" s="9">
        <v>0</v>
      </c>
      <c r="BE166" s="9">
        <v>0</v>
      </c>
      <c r="BF166" s="9">
        <v>0</v>
      </c>
      <c r="BG166" s="9">
        <v>0</v>
      </c>
      <c r="BH166" s="9">
        <v>0</v>
      </c>
      <c r="BI166" s="9">
        <v>0</v>
      </c>
      <c r="BJ166" s="9">
        <v>0</v>
      </c>
      <c r="BK166" s="9">
        <v>0</v>
      </c>
      <c r="BL166" s="9">
        <v>0</v>
      </c>
      <c r="BM166" s="9">
        <v>0</v>
      </c>
      <c r="BN166" s="9">
        <v>0</v>
      </c>
      <c r="BO166" s="9">
        <v>0</v>
      </c>
      <c r="BP166" s="9">
        <v>0</v>
      </c>
      <c r="BQ166" s="9">
        <v>0</v>
      </c>
      <c r="BR166" s="9">
        <v>0</v>
      </c>
      <c r="BS166" s="9">
        <v>0</v>
      </c>
      <c r="BT166" s="9">
        <v>0</v>
      </c>
      <c r="BU166" s="9">
        <v>0</v>
      </c>
      <c r="BV166" s="9">
        <v>0</v>
      </c>
      <c r="BW166" s="9">
        <v>0</v>
      </c>
      <c r="BX166" s="9">
        <v>0</v>
      </c>
      <c r="BY166" s="9">
        <v>0</v>
      </c>
      <c r="BZ166" s="9">
        <v>0</v>
      </c>
      <c r="CA166" s="9">
        <v>0</v>
      </c>
      <c r="CB166" s="9">
        <v>0</v>
      </c>
      <c r="CC166" s="9">
        <v>0</v>
      </c>
      <c r="CD166" s="9">
        <v>0</v>
      </c>
      <c r="CE166" s="9">
        <v>0</v>
      </c>
      <c r="CF166" s="9">
        <v>0</v>
      </c>
      <c r="CG166" s="9">
        <v>0</v>
      </c>
      <c r="CH166" s="9">
        <v>0</v>
      </c>
      <c r="CI166" s="9">
        <v>0</v>
      </c>
      <c r="CJ166" s="9">
        <v>0</v>
      </c>
      <c r="CK166" s="9">
        <v>0</v>
      </c>
      <c r="CL166" s="9">
        <v>0</v>
      </c>
      <c r="CM166" s="9">
        <v>0</v>
      </c>
      <c r="CN166" s="9">
        <v>0</v>
      </c>
      <c r="CO166" s="9">
        <v>0</v>
      </c>
      <c r="CP166" s="9">
        <v>0</v>
      </c>
      <c r="CQ166" s="9">
        <v>0</v>
      </c>
      <c r="CR166" s="9">
        <v>0</v>
      </c>
      <c r="CS166" s="10">
        <v>0</v>
      </c>
    </row>
    <row r="167" spans="1:97" x14ac:dyDescent="0.35">
      <c r="A167" s="8" t="s">
        <v>174</v>
      </c>
      <c r="B167" s="9" t="s">
        <v>812</v>
      </c>
      <c r="C167" s="9" t="s">
        <v>813</v>
      </c>
      <c r="D167" s="9">
        <f t="shared" si="2"/>
        <v>0</v>
      </c>
      <c r="E167" s="9">
        <v>0</v>
      </c>
      <c r="F167" s="9">
        <v>0</v>
      </c>
      <c r="G167" s="9">
        <v>0</v>
      </c>
      <c r="H167" s="9">
        <v>0</v>
      </c>
      <c r="I167" s="9">
        <v>0</v>
      </c>
      <c r="J167" s="9">
        <v>0</v>
      </c>
      <c r="K167" s="9">
        <v>0</v>
      </c>
      <c r="L167" s="9">
        <v>0</v>
      </c>
      <c r="M167" s="9">
        <v>0</v>
      </c>
      <c r="N167" s="9">
        <v>0</v>
      </c>
      <c r="O167" s="9">
        <v>0</v>
      </c>
      <c r="P167" s="9">
        <v>0</v>
      </c>
      <c r="Q167" s="9">
        <v>0</v>
      </c>
      <c r="R167" s="9">
        <v>0</v>
      </c>
      <c r="S167" s="9">
        <v>0</v>
      </c>
      <c r="T167" s="9">
        <v>0</v>
      </c>
      <c r="U167" s="9">
        <v>0</v>
      </c>
      <c r="V167" s="9">
        <v>0</v>
      </c>
      <c r="W167" s="9">
        <v>0</v>
      </c>
      <c r="X167" s="9">
        <v>0</v>
      </c>
      <c r="Y167" s="9">
        <v>0</v>
      </c>
      <c r="Z167" s="9">
        <v>0</v>
      </c>
      <c r="AA167" s="9">
        <v>0</v>
      </c>
      <c r="AB167" s="9">
        <v>0</v>
      </c>
      <c r="AC167" s="9">
        <v>0</v>
      </c>
      <c r="AD167" s="9">
        <v>0</v>
      </c>
      <c r="AE167" s="9">
        <v>0</v>
      </c>
      <c r="AF167" s="9">
        <v>0</v>
      </c>
      <c r="AG167" s="9">
        <v>0</v>
      </c>
      <c r="AH167" s="9">
        <v>0</v>
      </c>
      <c r="AI167" s="9">
        <v>0</v>
      </c>
      <c r="AJ167" s="9">
        <v>0</v>
      </c>
      <c r="AK167" s="9">
        <v>0</v>
      </c>
      <c r="AL167" s="9">
        <v>0</v>
      </c>
      <c r="AM167" s="9">
        <v>0</v>
      </c>
      <c r="AN167" s="9">
        <v>0</v>
      </c>
      <c r="AO167" s="9">
        <v>0</v>
      </c>
      <c r="AP167" s="9">
        <v>0</v>
      </c>
      <c r="AQ167" s="9">
        <v>0</v>
      </c>
      <c r="AR167" s="9">
        <v>0</v>
      </c>
      <c r="AS167" s="9">
        <v>0</v>
      </c>
      <c r="AT167" s="9">
        <v>0</v>
      </c>
      <c r="AU167" s="9">
        <v>0</v>
      </c>
      <c r="AV167" s="9">
        <v>0</v>
      </c>
      <c r="AW167" s="9">
        <v>0</v>
      </c>
      <c r="AX167" s="9">
        <v>0</v>
      </c>
      <c r="AY167" s="9">
        <v>0</v>
      </c>
      <c r="AZ167" s="9">
        <v>0</v>
      </c>
      <c r="BA167" s="9">
        <v>0</v>
      </c>
      <c r="BB167" s="9">
        <v>0</v>
      </c>
      <c r="BC167" s="9">
        <v>0</v>
      </c>
      <c r="BD167" s="9">
        <v>0</v>
      </c>
      <c r="BE167" s="9">
        <v>0</v>
      </c>
      <c r="BF167" s="9">
        <v>0</v>
      </c>
      <c r="BG167" s="9">
        <v>0</v>
      </c>
      <c r="BH167" s="9">
        <v>0</v>
      </c>
      <c r="BI167" s="9">
        <v>0</v>
      </c>
      <c r="BJ167" s="9">
        <v>0</v>
      </c>
      <c r="BK167" s="9">
        <v>0</v>
      </c>
      <c r="BL167" s="9">
        <v>0</v>
      </c>
      <c r="BM167" s="9">
        <v>0</v>
      </c>
      <c r="BN167" s="9">
        <v>0</v>
      </c>
      <c r="BO167" s="9">
        <v>0</v>
      </c>
      <c r="BP167" s="9">
        <v>0</v>
      </c>
      <c r="BQ167" s="9">
        <v>0</v>
      </c>
      <c r="BR167" s="9">
        <v>0</v>
      </c>
      <c r="BS167" s="9">
        <v>0</v>
      </c>
      <c r="BT167" s="9">
        <v>0</v>
      </c>
      <c r="BU167" s="9">
        <v>0</v>
      </c>
      <c r="BV167" s="9">
        <v>0</v>
      </c>
      <c r="BW167" s="9">
        <v>0</v>
      </c>
      <c r="BX167" s="9">
        <v>0</v>
      </c>
      <c r="BY167" s="9">
        <v>0</v>
      </c>
      <c r="BZ167" s="9">
        <v>0</v>
      </c>
      <c r="CA167" s="9">
        <v>0</v>
      </c>
      <c r="CB167" s="9">
        <v>0</v>
      </c>
      <c r="CC167" s="9">
        <v>0</v>
      </c>
      <c r="CD167" s="9">
        <v>0</v>
      </c>
      <c r="CE167" s="9">
        <v>0</v>
      </c>
      <c r="CF167" s="9">
        <v>0</v>
      </c>
      <c r="CG167" s="9">
        <v>0</v>
      </c>
      <c r="CH167" s="9">
        <v>0</v>
      </c>
      <c r="CI167" s="9">
        <v>0</v>
      </c>
      <c r="CJ167" s="9">
        <v>0</v>
      </c>
      <c r="CK167" s="9">
        <v>0</v>
      </c>
      <c r="CL167" s="9">
        <v>0</v>
      </c>
      <c r="CM167" s="9">
        <v>0</v>
      </c>
      <c r="CN167" s="9">
        <v>0</v>
      </c>
      <c r="CO167" s="9">
        <v>0</v>
      </c>
      <c r="CP167" s="9">
        <v>0</v>
      </c>
      <c r="CQ167" s="9">
        <v>0</v>
      </c>
      <c r="CR167" s="9">
        <v>0</v>
      </c>
      <c r="CS167" s="10">
        <v>0</v>
      </c>
    </row>
    <row r="168" spans="1:97" x14ac:dyDescent="0.35">
      <c r="A168" s="8" t="s">
        <v>174</v>
      </c>
      <c r="B168" s="9" t="s">
        <v>814</v>
      </c>
      <c r="C168" s="9" t="s">
        <v>815</v>
      </c>
      <c r="D168" s="9">
        <f t="shared" si="2"/>
        <v>0</v>
      </c>
      <c r="E168" s="9">
        <v>0</v>
      </c>
      <c r="F168" s="9">
        <v>0</v>
      </c>
      <c r="G168" s="9">
        <v>0</v>
      </c>
      <c r="H168" s="9">
        <v>0</v>
      </c>
      <c r="I168" s="9">
        <v>0</v>
      </c>
      <c r="J168" s="9">
        <v>0</v>
      </c>
      <c r="K168" s="9">
        <v>0</v>
      </c>
      <c r="L168" s="9">
        <v>0</v>
      </c>
      <c r="M168" s="9">
        <v>0</v>
      </c>
      <c r="N168" s="9">
        <v>0</v>
      </c>
      <c r="O168" s="9">
        <v>0</v>
      </c>
      <c r="P168" s="9">
        <v>0</v>
      </c>
      <c r="Q168" s="9">
        <v>0</v>
      </c>
      <c r="R168" s="9">
        <v>0</v>
      </c>
      <c r="S168" s="9">
        <v>0</v>
      </c>
      <c r="T168" s="9">
        <v>0</v>
      </c>
      <c r="U168" s="9">
        <v>0</v>
      </c>
      <c r="V168" s="9">
        <v>0</v>
      </c>
      <c r="W168" s="9">
        <v>0</v>
      </c>
      <c r="X168" s="9">
        <v>0</v>
      </c>
      <c r="Y168" s="9">
        <v>0</v>
      </c>
      <c r="Z168" s="9">
        <v>0</v>
      </c>
      <c r="AA168" s="9">
        <v>0</v>
      </c>
      <c r="AB168" s="9">
        <v>0</v>
      </c>
      <c r="AC168" s="9">
        <v>0</v>
      </c>
      <c r="AD168" s="9">
        <v>0</v>
      </c>
      <c r="AE168" s="9">
        <v>0</v>
      </c>
      <c r="AF168" s="9">
        <v>0</v>
      </c>
      <c r="AG168" s="9">
        <v>0</v>
      </c>
      <c r="AH168" s="9">
        <v>0</v>
      </c>
      <c r="AI168" s="9">
        <v>0</v>
      </c>
      <c r="AJ168" s="9">
        <v>0</v>
      </c>
      <c r="AK168" s="9">
        <v>0</v>
      </c>
      <c r="AL168" s="9">
        <v>0</v>
      </c>
      <c r="AM168" s="9">
        <v>0</v>
      </c>
      <c r="AN168" s="9">
        <v>0</v>
      </c>
      <c r="AO168" s="9">
        <v>0</v>
      </c>
      <c r="AP168" s="9">
        <v>0</v>
      </c>
      <c r="AQ168" s="9">
        <v>0</v>
      </c>
      <c r="AR168" s="9">
        <v>0</v>
      </c>
      <c r="AS168" s="9">
        <v>0</v>
      </c>
      <c r="AT168" s="9">
        <v>0</v>
      </c>
      <c r="AU168" s="9">
        <v>0</v>
      </c>
      <c r="AV168" s="9">
        <v>0</v>
      </c>
      <c r="AW168" s="9">
        <v>0</v>
      </c>
      <c r="AX168" s="9">
        <v>0</v>
      </c>
      <c r="AY168" s="9">
        <v>0</v>
      </c>
      <c r="AZ168" s="9">
        <v>0</v>
      </c>
      <c r="BA168" s="9">
        <v>0</v>
      </c>
      <c r="BB168" s="9">
        <v>0</v>
      </c>
      <c r="BC168" s="9">
        <v>0</v>
      </c>
      <c r="BD168" s="9">
        <v>0</v>
      </c>
      <c r="BE168" s="9">
        <v>0</v>
      </c>
      <c r="BF168" s="9">
        <v>0</v>
      </c>
      <c r="BG168" s="9">
        <v>0</v>
      </c>
      <c r="BH168" s="9">
        <v>0</v>
      </c>
      <c r="BI168" s="9">
        <v>0</v>
      </c>
      <c r="BJ168" s="9">
        <v>0</v>
      </c>
      <c r="BK168" s="9">
        <v>0</v>
      </c>
      <c r="BL168" s="9">
        <v>0</v>
      </c>
      <c r="BM168" s="9">
        <v>0</v>
      </c>
      <c r="BN168" s="9">
        <v>0</v>
      </c>
      <c r="BO168" s="9">
        <v>0</v>
      </c>
      <c r="BP168" s="9">
        <v>0</v>
      </c>
      <c r="BQ168" s="9">
        <v>0</v>
      </c>
      <c r="BR168" s="9">
        <v>0</v>
      </c>
      <c r="BS168" s="9">
        <v>0</v>
      </c>
      <c r="BT168" s="9">
        <v>0</v>
      </c>
      <c r="BU168" s="9">
        <v>0</v>
      </c>
      <c r="BV168" s="9">
        <v>0</v>
      </c>
      <c r="BW168" s="9">
        <v>0</v>
      </c>
      <c r="BX168" s="9">
        <v>0</v>
      </c>
      <c r="BY168" s="9">
        <v>0</v>
      </c>
      <c r="BZ168" s="9">
        <v>0</v>
      </c>
      <c r="CA168" s="9">
        <v>0</v>
      </c>
      <c r="CB168" s="9">
        <v>0</v>
      </c>
      <c r="CC168" s="9">
        <v>0</v>
      </c>
      <c r="CD168" s="9">
        <v>0</v>
      </c>
      <c r="CE168" s="9">
        <v>0</v>
      </c>
      <c r="CF168" s="9">
        <v>0</v>
      </c>
      <c r="CG168" s="9">
        <v>0</v>
      </c>
      <c r="CH168" s="9">
        <v>0</v>
      </c>
      <c r="CI168" s="9">
        <v>0</v>
      </c>
      <c r="CJ168" s="9">
        <v>0</v>
      </c>
      <c r="CK168" s="9">
        <v>0</v>
      </c>
      <c r="CL168" s="9">
        <v>0</v>
      </c>
      <c r="CM168" s="9">
        <v>0</v>
      </c>
      <c r="CN168" s="9">
        <v>0</v>
      </c>
      <c r="CO168" s="9">
        <v>0</v>
      </c>
      <c r="CP168" s="9">
        <v>0</v>
      </c>
      <c r="CQ168" s="9">
        <v>0</v>
      </c>
      <c r="CR168" s="9">
        <v>0</v>
      </c>
      <c r="CS168" s="10">
        <v>0</v>
      </c>
    </row>
    <row r="169" spans="1:97" x14ac:dyDescent="0.35">
      <c r="A169" s="8" t="s">
        <v>174</v>
      </c>
      <c r="B169" s="9" t="s">
        <v>816</v>
      </c>
      <c r="C169" s="9" t="s">
        <v>817</v>
      </c>
      <c r="D169" s="9">
        <f t="shared" si="2"/>
        <v>0</v>
      </c>
      <c r="E169" s="9">
        <v>0</v>
      </c>
      <c r="F169" s="9">
        <v>0</v>
      </c>
      <c r="G169" s="9">
        <v>0</v>
      </c>
      <c r="H169" s="9">
        <v>0</v>
      </c>
      <c r="I169" s="9">
        <v>0</v>
      </c>
      <c r="J169" s="9">
        <v>0</v>
      </c>
      <c r="K169" s="9">
        <v>0</v>
      </c>
      <c r="L169" s="9">
        <v>0</v>
      </c>
      <c r="M169" s="9">
        <v>0</v>
      </c>
      <c r="N169" s="9">
        <v>0</v>
      </c>
      <c r="O169" s="9">
        <v>0</v>
      </c>
      <c r="P169" s="9">
        <v>0</v>
      </c>
      <c r="Q169" s="9">
        <v>0</v>
      </c>
      <c r="R169" s="9">
        <v>0</v>
      </c>
      <c r="S169" s="9">
        <v>0</v>
      </c>
      <c r="T169" s="9">
        <v>0</v>
      </c>
      <c r="U169" s="9">
        <v>0</v>
      </c>
      <c r="V169" s="9">
        <v>0</v>
      </c>
      <c r="W169" s="9">
        <v>0</v>
      </c>
      <c r="X169" s="9">
        <v>0</v>
      </c>
      <c r="Y169" s="9">
        <v>0</v>
      </c>
      <c r="Z169" s="9">
        <v>0</v>
      </c>
      <c r="AA169" s="9">
        <v>0</v>
      </c>
      <c r="AB169" s="9">
        <v>0</v>
      </c>
      <c r="AC169" s="9">
        <v>0</v>
      </c>
      <c r="AD169" s="9">
        <v>0</v>
      </c>
      <c r="AE169" s="9">
        <v>0</v>
      </c>
      <c r="AF169" s="9">
        <v>0</v>
      </c>
      <c r="AG169" s="9">
        <v>0</v>
      </c>
      <c r="AH169" s="9">
        <v>0</v>
      </c>
      <c r="AI169" s="9">
        <v>0</v>
      </c>
      <c r="AJ169" s="9">
        <v>0</v>
      </c>
      <c r="AK169" s="9">
        <v>0</v>
      </c>
      <c r="AL169" s="9">
        <v>0</v>
      </c>
      <c r="AM169" s="9">
        <v>0</v>
      </c>
      <c r="AN169" s="9">
        <v>0</v>
      </c>
      <c r="AO169" s="9">
        <v>0</v>
      </c>
      <c r="AP169" s="9">
        <v>0</v>
      </c>
      <c r="AQ169" s="9">
        <v>0</v>
      </c>
      <c r="AR169" s="9">
        <v>0</v>
      </c>
      <c r="AS169" s="9">
        <v>0</v>
      </c>
      <c r="AT169" s="9">
        <v>0</v>
      </c>
      <c r="AU169" s="9">
        <v>0</v>
      </c>
      <c r="AV169" s="9">
        <v>0</v>
      </c>
      <c r="AW169" s="9">
        <v>0</v>
      </c>
      <c r="AX169" s="9">
        <v>0</v>
      </c>
      <c r="AY169" s="9">
        <v>0</v>
      </c>
      <c r="AZ169" s="9">
        <v>0</v>
      </c>
      <c r="BA169" s="9">
        <v>0</v>
      </c>
      <c r="BB169" s="9">
        <v>0</v>
      </c>
      <c r="BC169" s="9">
        <v>0</v>
      </c>
      <c r="BD169" s="9">
        <v>0</v>
      </c>
      <c r="BE169" s="9">
        <v>0</v>
      </c>
      <c r="BF169" s="9">
        <v>0</v>
      </c>
      <c r="BG169" s="9">
        <v>0</v>
      </c>
      <c r="BH169" s="9">
        <v>0</v>
      </c>
      <c r="BI169" s="9">
        <v>0</v>
      </c>
      <c r="BJ169" s="9">
        <v>0</v>
      </c>
      <c r="BK169" s="9">
        <v>0</v>
      </c>
      <c r="BL169" s="9">
        <v>0</v>
      </c>
      <c r="BM169" s="9">
        <v>0</v>
      </c>
      <c r="BN169" s="9">
        <v>0</v>
      </c>
      <c r="BO169" s="9">
        <v>0</v>
      </c>
      <c r="BP169" s="9">
        <v>0</v>
      </c>
      <c r="BQ169" s="9">
        <v>0</v>
      </c>
      <c r="BR169" s="9">
        <v>0</v>
      </c>
      <c r="BS169" s="9">
        <v>0</v>
      </c>
      <c r="BT169" s="9">
        <v>0</v>
      </c>
      <c r="BU169" s="9">
        <v>0</v>
      </c>
      <c r="BV169" s="9">
        <v>0</v>
      </c>
      <c r="BW169" s="9">
        <v>0</v>
      </c>
      <c r="BX169" s="9">
        <v>0</v>
      </c>
      <c r="BY169" s="9">
        <v>0</v>
      </c>
      <c r="BZ169" s="9">
        <v>0</v>
      </c>
      <c r="CA169" s="9">
        <v>0</v>
      </c>
      <c r="CB169" s="9">
        <v>0</v>
      </c>
      <c r="CC169" s="9">
        <v>0</v>
      </c>
      <c r="CD169" s="9">
        <v>0</v>
      </c>
      <c r="CE169" s="9">
        <v>0</v>
      </c>
      <c r="CF169" s="9">
        <v>0</v>
      </c>
      <c r="CG169" s="9">
        <v>0</v>
      </c>
      <c r="CH169" s="9">
        <v>0</v>
      </c>
      <c r="CI169" s="9">
        <v>0</v>
      </c>
      <c r="CJ169" s="9">
        <v>0</v>
      </c>
      <c r="CK169" s="9">
        <v>0</v>
      </c>
      <c r="CL169" s="9">
        <v>0</v>
      </c>
      <c r="CM169" s="9">
        <v>0</v>
      </c>
      <c r="CN169" s="9">
        <v>0</v>
      </c>
      <c r="CO169" s="9">
        <v>0</v>
      </c>
      <c r="CP169" s="9">
        <v>0</v>
      </c>
      <c r="CQ169" s="9">
        <v>0</v>
      </c>
      <c r="CR169" s="9">
        <v>0</v>
      </c>
      <c r="CS169" s="10">
        <v>0</v>
      </c>
    </row>
    <row r="170" spans="1:97" x14ac:dyDescent="0.35">
      <c r="A170" s="8" t="s">
        <v>174</v>
      </c>
      <c r="B170" s="9" t="s">
        <v>818</v>
      </c>
      <c r="C170" s="9" t="s">
        <v>819</v>
      </c>
      <c r="D170" s="9">
        <f t="shared" si="2"/>
        <v>0</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0</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c r="CB170" s="9">
        <v>0</v>
      </c>
      <c r="CC170" s="9">
        <v>0</v>
      </c>
      <c r="CD170" s="9">
        <v>0</v>
      </c>
      <c r="CE170" s="9">
        <v>0</v>
      </c>
      <c r="CF170" s="9">
        <v>0</v>
      </c>
      <c r="CG170" s="9">
        <v>0</v>
      </c>
      <c r="CH170" s="9">
        <v>0</v>
      </c>
      <c r="CI170" s="9">
        <v>0</v>
      </c>
      <c r="CJ170" s="9">
        <v>0</v>
      </c>
      <c r="CK170" s="9">
        <v>0</v>
      </c>
      <c r="CL170" s="9">
        <v>0</v>
      </c>
      <c r="CM170" s="9">
        <v>0</v>
      </c>
      <c r="CN170" s="9">
        <v>0</v>
      </c>
      <c r="CO170" s="9">
        <v>0</v>
      </c>
      <c r="CP170" s="9">
        <v>0</v>
      </c>
      <c r="CQ170" s="9">
        <v>0</v>
      </c>
      <c r="CR170" s="9">
        <v>0</v>
      </c>
      <c r="CS170" s="10">
        <v>0</v>
      </c>
    </row>
    <row r="171" spans="1:97" x14ac:dyDescent="0.35">
      <c r="A171" s="8" t="s">
        <v>174</v>
      </c>
      <c r="B171" s="9" t="s">
        <v>820</v>
      </c>
      <c r="C171" s="9" t="s">
        <v>821</v>
      </c>
      <c r="D171" s="9">
        <f t="shared" si="2"/>
        <v>0</v>
      </c>
      <c r="E171" s="9">
        <v>0</v>
      </c>
      <c r="F171" s="9">
        <v>0</v>
      </c>
      <c r="G171" s="9">
        <v>0</v>
      </c>
      <c r="H171" s="9">
        <v>0</v>
      </c>
      <c r="I171" s="9">
        <v>0</v>
      </c>
      <c r="J171" s="9">
        <v>0</v>
      </c>
      <c r="K171" s="9">
        <v>0</v>
      </c>
      <c r="L171" s="9">
        <v>0</v>
      </c>
      <c r="M171" s="9">
        <v>0</v>
      </c>
      <c r="N171" s="9">
        <v>0</v>
      </c>
      <c r="O171" s="9">
        <v>0</v>
      </c>
      <c r="P171" s="9">
        <v>0</v>
      </c>
      <c r="Q171" s="9">
        <v>0</v>
      </c>
      <c r="R171" s="9">
        <v>0</v>
      </c>
      <c r="S171" s="9">
        <v>0</v>
      </c>
      <c r="T171" s="9">
        <v>0</v>
      </c>
      <c r="U171" s="9">
        <v>0</v>
      </c>
      <c r="V171" s="9">
        <v>0</v>
      </c>
      <c r="W171" s="9">
        <v>0</v>
      </c>
      <c r="X171" s="9">
        <v>0</v>
      </c>
      <c r="Y171" s="9">
        <v>0</v>
      </c>
      <c r="Z171" s="9">
        <v>0</v>
      </c>
      <c r="AA171" s="9">
        <v>0</v>
      </c>
      <c r="AB171" s="9">
        <v>0</v>
      </c>
      <c r="AC171" s="9">
        <v>0</v>
      </c>
      <c r="AD171" s="9">
        <v>0</v>
      </c>
      <c r="AE171" s="9">
        <v>0</v>
      </c>
      <c r="AF171" s="9">
        <v>0</v>
      </c>
      <c r="AG171" s="9">
        <v>0</v>
      </c>
      <c r="AH171" s="9">
        <v>0</v>
      </c>
      <c r="AI171" s="9">
        <v>0</v>
      </c>
      <c r="AJ171" s="9">
        <v>0</v>
      </c>
      <c r="AK171" s="9">
        <v>0</v>
      </c>
      <c r="AL171" s="9">
        <v>0</v>
      </c>
      <c r="AM171" s="9">
        <v>0</v>
      </c>
      <c r="AN171" s="9">
        <v>0</v>
      </c>
      <c r="AO171" s="9">
        <v>0</v>
      </c>
      <c r="AP171" s="9">
        <v>0</v>
      </c>
      <c r="AQ171" s="9">
        <v>0</v>
      </c>
      <c r="AR171" s="9">
        <v>0</v>
      </c>
      <c r="AS171" s="9">
        <v>0</v>
      </c>
      <c r="AT171" s="9">
        <v>0</v>
      </c>
      <c r="AU171" s="9">
        <v>0</v>
      </c>
      <c r="AV171" s="9">
        <v>0</v>
      </c>
      <c r="AW171" s="9">
        <v>0</v>
      </c>
      <c r="AX171" s="9">
        <v>0</v>
      </c>
      <c r="AY171" s="9">
        <v>0</v>
      </c>
      <c r="AZ171" s="9">
        <v>0</v>
      </c>
      <c r="BA171" s="9">
        <v>0</v>
      </c>
      <c r="BB171" s="9">
        <v>0</v>
      </c>
      <c r="BC171" s="9">
        <v>0</v>
      </c>
      <c r="BD171" s="9">
        <v>0</v>
      </c>
      <c r="BE171" s="9">
        <v>0</v>
      </c>
      <c r="BF171" s="9">
        <v>0</v>
      </c>
      <c r="BG171" s="9">
        <v>0</v>
      </c>
      <c r="BH171" s="9">
        <v>0</v>
      </c>
      <c r="BI171" s="9">
        <v>0</v>
      </c>
      <c r="BJ171" s="9">
        <v>0</v>
      </c>
      <c r="BK171" s="9">
        <v>0</v>
      </c>
      <c r="BL171" s="9">
        <v>0</v>
      </c>
      <c r="BM171" s="9">
        <v>0</v>
      </c>
      <c r="BN171" s="9">
        <v>0</v>
      </c>
      <c r="BO171" s="9">
        <v>0</v>
      </c>
      <c r="BP171" s="9">
        <v>0</v>
      </c>
      <c r="BQ171" s="9">
        <v>0</v>
      </c>
      <c r="BR171" s="9">
        <v>0</v>
      </c>
      <c r="BS171" s="9">
        <v>0</v>
      </c>
      <c r="BT171" s="9">
        <v>0</v>
      </c>
      <c r="BU171" s="9">
        <v>0</v>
      </c>
      <c r="BV171" s="9">
        <v>0</v>
      </c>
      <c r="BW171" s="9">
        <v>0</v>
      </c>
      <c r="BX171" s="9">
        <v>0</v>
      </c>
      <c r="BY171" s="9">
        <v>0</v>
      </c>
      <c r="BZ171" s="9">
        <v>0</v>
      </c>
      <c r="CA171" s="9">
        <v>0</v>
      </c>
      <c r="CB171" s="9">
        <v>0</v>
      </c>
      <c r="CC171" s="9">
        <v>0</v>
      </c>
      <c r="CD171" s="9">
        <v>0</v>
      </c>
      <c r="CE171" s="9">
        <v>0</v>
      </c>
      <c r="CF171" s="9">
        <v>0</v>
      </c>
      <c r="CG171" s="9">
        <v>0</v>
      </c>
      <c r="CH171" s="9">
        <v>0</v>
      </c>
      <c r="CI171" s="9">
        <v>0</v>
      </c>
      <c r="CJ171" s="9">
        <v>0</v>
      </c>
      <c r="CK171" s="9">
        <v>0</v>
      </c>
      <c r="CL171" s="9">
        <v>0</v>
      </c>
      <c r="CM171" s="9">
        <v>0</v>
      </c>
      <c r="CN171" s="9">
        <v>0</v>
      </c>
      <c r="CO171" s="9">
        <v>0</v>
      </c>
      <c r="CP171" s="9">
        <v>0</v>
      </c>
      <c r="CQ171" s="9">
        <v>0</v>
      </c>
      <c r="CR171" s="9">
        <v>0</v>
      </c>
      <c r="CS171" s="10">
        <v>0</v>
      </c>
    </row>
    <row r="172" spans="1:97" x14ac:dyDescent="0.35">
      <c r="A172" s="8" t="s">
        <v>174</v>
      </c>
      <c r="B172" s="9" t="s">
        <v>822</v>
      </c>
      <c r="C172" s="9" t="s">
        <v>823</v>
      </c>
      <c r="D172" s="9">
        <f t="shared" si="2"/>
        <v>0</v>
      </c>
      <c r="E172" s="9">
        <v>0</v>
      </c>
      <c r="F172" s="9">
        <v>0</v>
      </c>
      <c r="G172" s="9">
        <v>0</v>
      </c>
      <c r="H172" s="9">
        <v>0</v>
      </c>
      <c r="I172" s="9">
        <v>0</v>
      </c>
      <c r="J172" s="9">
        <v>0</v>
      </c>
      <c r="K172" s="9">
        <v>0</v>
      </c>
      <c r="L172" s="9">
        <v>0</v>
      </c>
      <c r="M172" s="9">
        <v>0</v>
      </c>
      <c r="N172" s="9">
        <v>0</v>
      </c>
      <c r="O172" s="9">
        <v>0</v>
      </c>
      <c r="P172" s="9">
        <v>0</v>
      </c>
      <c r="Q172" s="9">
        <v>0</v>
      </c>
      <c r="R172" s="9">
        <v>0</v>
      </c>
      <c r="S172" s="9">
        <v>0</v>
      </c>
      <c r="T172" s="9">
        <v>0</v>
      </c>
      <c r="U172" s="9">
        <v>0</v>
      </c>
      <c r="V172" s="9">
        <v>0</v>
      </c>
      <c r="W172" s="9">
        <v>0</v>
      </c>
      <c r="X172" s="9">
        <v>0</v>
      </c>
      <c r="Y172" s="9">
        <v>0</v>
      </c>
      <c r="Z172" s="9">
        <v>0</v>
      </c>
      <c r="AA172" s="9">
        <v>0</v>
      </c>
      <c r="AB172" s="9">
        <v>0</v>
      </c>
      <c r="AC172" s="9">
        <v>0</v>
      </c>
      <c r="AD172" s="9">
        <v>0</v>
      </c>
      <c r="AE172" s="9">
        <v>0</v>
      </c>
      <c r="AF172" s="9">
        <v>0</v>
      </c>
      <c r="AG172" s="9">
        <v>0</v>
      </c>
      <c r="AH172" s="9">
        <v>0</v>
      </c>
      <c r="AI172" s="9">
        <v>0</v>
      </c>
      <c r="AJ172" s="9">
        <v>0</v>
      </c>
      <c r="AK172" s="9">
        <v>0</v>
      </c>
      <c r="AL172" s="9">
        <v>0</v>
      </c>
      <c r="AM172" s="9">
        <v>0</v>
      </c>
      <c r="AN172" s="9">
        <v>0</v>
      </c>
      <c r="AO172" s="9">
        <v>0</v>
      </c>
      <c r="AP172" s="9">
        <v>0</v>
      </c>
      <c r="AQ172" s="9">
        <v>0</v>
      </c>
      <c r="AR172" s="9">
        <v>0</v>
      </c>
      <c r="AS172" s="9">
        <v>0</v>
      </c>
      <c r="AT172" s="9">
        <v>0</v>
      </c>
      <c r="AU172" s="9">
        <v>0</v>
      </c>
      <c r="AV172" s="9">
        <v>0</v>
      </c>
      <c r="AW172" s="9">
        <v>0</v>
      </c>
      <c r="AX172" s="9">
        <v>0</v>
      </c>
      <c r="AY172" s="9">
        <v>0</v>
      </c>
      <c r="AZ172" s="9">
        <v>0</v>
      </c>
      <c r="BA172" s="9">
        <v>0</v>
      </c>
      <c r="BB172" s="9">
        <v>0</v>
      </c>
      <c r="BC172" s="9">
        <v>0</v>
      </c>
      <c r="BD172" s="9">
        <v>0</v>
      </c>
      <c r="BE172" s="9">
        <v>0</v>
      </c>
      <c r="BF172" s="9">
        <v>0</v>
      </c>
      <c r="BG172" s="9">
        <v>0</v>
      </c>
      <c r="BH172" s="9">
        <v>0</v>
      </c>
      <c r="BI172" s="9">
        <v>0</v>
      </c>
      <c r="BJ172" s="9">
        <v>0</v>
      </c>
      <c r="BK172" s="9">
        <v>0</v>
      </c>
      <c r="BL172" s="9">
        <v>0</v>
      </c>
      <c r="BM172" s="9">
        <v>0</v>
      </c>
      <c r="BN172" s="9">
        <v>0</v>
      </c>
      <c r="BO172" s="9">
        <v>0</v>
      </c>
      <c r="BP172" s="9">
        <v>0</v>
      </c>
      <c r="BQ172" s="9">
        <v>0</v>
      </c>
      <c r="BR172" s="9">
        <v>0</v>
      </c>
      <c r="BS172" s="9">
        <v>0</v>
      </c>
      <c r="BT172" s="9">
        <v>0</v>
      </c>
      <c r="BU172" s="9">
        <v>0</v>
      </c>
      <c r="BV172" s="9">
        <v>0</v>
      </c>
      <c r="BW172" s="9">
        <v>0</v>
      </c>
      <c r="BX172" s="9">
        <v>0</v>
      </c>
      <c r="BY172" s="9">
        <v>0</v>
      </c>
      <c r="BZ172" s="9">
        <v>0</v>
      </c>
      <c r="CA172" s="9">
        <v>0</v>
      </c>
      <c r="CB172" s="9">
        <v>0</v>
      </c>
      <c r="CC172" s="9">
        <v>0</v>
      </c>
      <c r="CD172" s="9">
        <v>0</v>
      </c>
      <c r="CE172" s="9">
        <v>0</v>
      </c>
      <c r="CF172" s="9">
        <v>0</v>
      </c>
      <c r="CG172" s="9">
        <v>0</v>
      </c>
      <c r="CH172" s="9">
        <v>0</v>
      </c>
      <c r="CI172" s="9">
        <v>0</v>
      </c>
      <c r="CJ172" s="9">
        <v>0</v>
      </c>
      <c r="CK172" s="9">
        <v>0</v>
      </c>
      <c r="CL172" s="9">
        <v>0</v>
      </c>
      <c r="CM172" s="9">
        <v>0</v>
      </c>
      <c r="CN172" s="9">
        <v>0</v>
      </c>
      <c r="CO172" s="9">
        <v>0</v>
      </c>
      <c r="CP172" s="9">
        <v>0</v>
      </c>
      <c r="CQ172" s="9">
        <v>0</v>
      </c>
      <c r="CR172" s="9">
        <v>0</v>
      </c>
      <c r="CS172" s="10">
        <v>0</v>
      </c>
    </row>
    <row r="173" spans="1:97" x14ac:dyDescent="0.35">
      <c r="A173" s="8" t="s">
        <v>174</v>
      </c>
      <c r="B173" s="9" t="s">
        <v>824</v>
      </c>
      <c r="C173" s="9" t="s">
        <v>825</v>
      </c>
      <c r="D173" s="9">
        <f t="shared" si="2"/>
        <v>0</v>
      </c>
      <c r="E173" s="9">
        <v>0</v>
      </c>
      <c r="F173" s="9">
        <v>0</v>
      </c>
      <c r="G173" s="9">
        <v>0</v>
      </c>
      <c r="H173" s="9">
        <v>0</v>
      </c>
      <c r="I173" s="9">
        <v>0</v>
      </c>
      <c r="J173" s="9">
        <v>0</v>
      </c>
      <c r="K173" s="9">
        <v>0</v>
      </c>
      <c r="L173" s="9">
        <v>0</v>
      </c>
      <c r="M173" s="9">
        <v>0</v>
      </c>
      <c r="N173" s="9">
        <v>0</v>
      </c>
      <c r="O173" s="9">
        <v>0</v>
      </c>
      <c r="P173" s="9">
        <v>0</v>
      </c>
      <c r="Q173" s="9">
        <v>0</v>
      </c>
      <c r="R173" s="9">
        <v>0</v>
      </c>
      <c r="S173" s="9">
        <v>0</v>
      </c>
      <c r="T173" s="9">
        <v>0</v>
      </c>
      <c r="U173" s="9">
        <v>0</v>
      </c>
      <c r="V173" s="9">
        <v>0</v>
      </c>
      <c r="W173" s="9">
        <v>0</v>
      </c>
      <c r="X173" s="9">
        <v>0</v>
      </c>
      <c r="Y173" s="9">
        <v>0</v>
      </c>
      <c r="Z173" s="9">
        <v>0</v>
      </c>
      <c r="AA173" s="9">
        <v>0</v>
      </c>
      <c r="AB173" s="9">
        <v>0</v>
      </c>
      <c r="AC173" s="9">
        <v>0</v>
      </c>
      <c r="AD173" s="9">
        <v>0</v>
      </c>
      <c r="AE173" s="9">
        <v>0</v>
      </c>
      <c r="AF173" s="9">
        <v>0</v>
      </c>
      <c r="AG173" s="9">
        <v>0</v>
      </c>
      <c r="AH173" s="9">
        <v>0</v>
      </c>
      <c r="AI173" s="9">
        <v>0</v>
      </c>
      <c r="AJ173" s="9">
        <v>0</v>
      </c>
      <c r="AK173" s="9">
        <v>0</v>
      </c>
      <c r="AL173" s="9">
        <v>0</v>
      </c>
      <c r="AM173" s="9">
        <v>0</v>
      </c>
      <c r="AN173" s="9">
        <v>0</v>
      </c>
      <c r="AO173" s="9">
        <v>0</v>
      </c>
      <c r="AP173" s="9">
        <v>0</v>
      </c>
      <c r="AQ173" s="9">
        <v>0</v>
      </c>
      <c r="AR173" s="9">
        <v>0</v>
      </c>
      <c r="AS173" s="9">
        <v>0</v>
      </c>
      <c r="AT173" s="9">
        <v>0</v>
      </c>
      <c r="AU173" s="9">
        <v>0</v>
      </c>
      <c r="AV173" s="9">
        <v>0</v>
      </c>
      <c r="AW173" s="9">
        <v>0</v>
      </c>
      <c r="AX173" s="9">
        <v>0</v>
      </c>
      <c r="AY173" s="9">
        <v>0</v>
      </c>
      <c r="AZ173" s="9">
        <v>0</v>
      </c>
      <c r="BA173" s="9">
        <v>0</v>
      </c>
      <c r="BB173" s="9">
        <v>0</v>
      </c>
      <c r="BC173" s="9">
        <v>0</v>
      </c>
      <c r="BD173" s="9">
        <v>0</v>
      </c>
      <c r="BE173" s="9">
        <v>0</v>
      </c>
      <c r="BF173" s="9">
        <v>0</v>
      </c>
      <c r="BG173" s="9">
        <v>0</v>
      </c>
      <c r="BH173" s="9">
        <v>0</v>
      </c>
      <c r="BI173" s="9">
        <v>0</v>
      </c>
      <c r="BJ173" s="9">
        <v>0</v>
      </c>
      <c r="BK173" s="9">
        <v>0</v>
      </c>
      <c r="BL173" s="9">
        <v>0</v>
      </c>
      <c r="BM173" s="9">
        <v>0</v>
      </c>
      <c r="BN173" s="9">
        <v>0</v>
      </c>
      <c r="BO173" s="9">
        <v>0</v>
      </c>
      <c r="BP173" s="9">
        <v>0</v>
      </c>
      <c r="BQ173" s="9">
        <v>0</v>
      </c>
      <c r="BR173" s="9">
        <v>0</v>
      </c>
      <c r="BS173" s="9">
        <v>0</v>
      </c>
      <c r="BT173" s="9">
        <v>0</v>
      </c>
      <c r="BU173" s="9">
        <v>0</v>
      </c>
      <c r="BV173" s="9">
        <v>0</v>
      </c>
      <c r="BW173" s="9">
        <v>0</v>
      </c>
      <c r="BX173" s="9">
        <v>0</v>
      </c>
      <c r="BY173" s="9">
        <v>0</v>
      </c>
      <c r="BZ173" s="9">
        <v>0</v>
      </c>
      <c r="CA173" s="9">
        <v>0</v>
      </c>
      <c r="CB173" s="9">
        <v>0</v>
      </c>
      <c r="CC173" s="9">
        <v>0</v>
      </c>
      <c r="CD173" s="9">
        <v>0</v>
      </c>
      <c r="CE173" s="9">
        <v>0</v>
      </c>
      <c r="CF173" s="9">
        <v>0</v>
      </c>
      <c r="CG173" s="9">
        <v>0</v>
      </c>
      <c r="CH173" s="9">
        <v>0</v>
      </c>
      <c r="CI173" s="9">
        <v>0</v>
      </c>
      <c r="CJ173" s="9">
        <v>0</v>
      </c>
      <c r="CK173" s="9">
        <v>0</v>
      </c>
      <c r="CL173" s="9">
        <v>0</v>
      </c>
      <c r="CM173" s="9">
        <v>0</v>
      </c>
      <c r="CN173" s="9">
        <v>0</v>
      </c>
      <c r="CO173" s="9">
        <v>0</v>
      </c>
      <c r="CP173" s="9">
        <v>0</v>
      </c>
      <c r="CQ173" s="9">
        <v>0</v>
      </c>
      <c r="CR173" s="9">
        <v>0</v>
      </c>
      <c r="CS173" s="10">
        <v>0</v>
      </c>
    </row>
    <row r="174" spans="1:97" x14ac:dyDescent="0.35">
      <c r="A174" s="8" t="s">
        <v>174</v>
      </c>
      <c r="B174" s="9" t="s">
        <v>826</v>
      </c>
      <c r="C174" s="9" t="s">
        <v>827</v>
      </c>
      <c r="D174" s="9">
        <f t="shared" si="2"/>
        <v>0</v>
      </c>
      <c r="E174" s="9">
        <v>0</v>
      </c>
      <c r="F174" s="9">
        <v>0</v>
      </c>
      <c r="G174" s="9">
        <v>0</v>
      </c>
      <c r="H174" s="9">
        <v>0</v>
      </c>
      <c r="I174" s="9">
        <v>0</v>
      </c>
      <c r="J174" s="9">
        <v>0</v>
      </c>
      <c r="K174" s="9">
        <v>0</v>
      </c>
      <c r="L174" s="9">
        <v>0</v>
      </c>
      <c r="M174" s="9">
        <v>0</v>
      </c>
      <c r="N174" s="9">
        <v>0</v>
      </c>
      <c r="O174" s="9">
        <v>0</v>
      </c>
      <c r="P174" s="9">
        <v>0</v>
      </c>
      <c r="Q174" s="9">
        <v>0</v>
      </c>
      <c r="R174" s="9">
        <v>0</v>
      </c>
      <c r="S174" s="9">
        <v>0</v>
      </c>
      <c r="T174" s="9">
        <v>0</v>
      </c>
      <c r="U174" s="9">
        <v>0</v>
      </c>
      <c r="V174" s="9">
        <v>0</v>
      </c>
      <c r="W174" s="9">
        <v>0</v>
      </c>
      <c r="X174" s="9">
        <v>0</v>
      </c>
      <c r="Y174" s="9">
        <v>0</v>
      </c>
      <c r="Z174" s="9">
        <v>0</v>
      </c>
      <c r="AA174" s="9">
        <v>0</v>
      </c>
      <c r="AB174" s="9">
        <v>0</v>
      </c>
      <c r="AC174" s="9">
        <v>0</v>
      </c>
      <c r="AD174" s="9">
        <v>0</v>
      </c>
      <c r="AE174" s="9">
        <v>0</v>
      </c>
      <c r="AF174" s="9">
        <v>0</v>
      </c>
      <c r="AG174" s="9">
        <v>0</v>
      </c>
      <c r="AH174" s="9">
        <v>0</v>
      </c>
      <c r="AI174" s="9">
        <v>0</v>
      </c>
      <c r="AJ174" s="9">
        <v>0</v>
      </c>
      <c r="AK174" s="9">
        <v>0</v>
      </c>
      <c r="AL174" s="9">
        <v>0</v>
      </c>
      <c r="AM174" s="9">
        <v>0</v>
      </c>
      <c r="AN174" s="9">
        <v>0</v>
      </c>
      <c r="AO174" s="9">
        <v>0</v>
      </c>
      <c r="AP174" s="9">
        <v>0</v>
      </c>
      <c r="AQ174" s="9">
        <v>0</v>
      </c>
      <c r="AR174" s="9">
        <v>0</v>
      </c>
      <c r="AS174" s="9">
        <v>0</v>
      </c>
      <c r="AT174" s="9">
        <v>0</v>
      </c>
      <c r="AU174" s="9">
        <v>0</v>
      </c>
      <c r="AV174" s="9">
        <v>0</v>
      </c>
      <c r="AW174" s="9">
        <v>0</v>
      </c>
      <c r="AX174" s="9">
        <v>0</v>
      </c>
      <c r="AY174" s="9">
        <v>0</v>
      </c>
      <c r="AZ174" s="9">
        <v>0</v>
      </c>
      <c r="BA174" s="9">
        <v>0</v>
      </c>
      <c r="BB174" s="9">
        <v>0</v>
      </c>
      <c r="BC174" s="9">
        <v>0</v>
      </c>
      <c r="BD174" s="9">
        <v>0</v>
      </c>
      <c r="BE174" s="9">
        <v>0</v>
      </c>
      <c r="BF174" s="9">
        <v>0</v>
      </c>
      <c r="BG174" s="9">
        <v>0</v>
      </c>
      <c r="BH174" s="9">
        <v>0</v>
      </c>
      <c r="BI174" s="9">
        <v>0</v>
      </c>
      <c r="BJ174" s="9">
        <v>0</v>
      </c>
      <c r="BK174" s="9">
        <v>0</v>
      </c>
      <c r="BL174" s="9">
        <v>0</v>
      </c>
      <c r="BM174" s="9">
        <v>0</v>
      </c>
      <c r="BN174" s="9">
        <v>0</v>
      </c>
      <c r="BO174" s="9">
        <v>0</v>
      </c>
      <c r="BP174" s="9">
        <v>0</v>
      </c>
      <c r="BQ174" s="9">
        <v>0</v>
      </c>
      <c r="BR174" s="9">
        <v>0</v>
      </c>
      <c r="BS174" s="9">
        <v>0</v>
      </c>
      <c r="BT174" s="9">
        <v>0</v>
      </c>
      <c r="BU174" s="9">
        <v>0</v>
      </c>
      <c r="BV174" s="9">
        <v>0</v>
      </c>
      <c r="BW174" s="9">
        <v>0</v>
      </c>
      <c r="BX174" s="9">
        <v>0</v>
      </c>
      <c r="BY174" s="9">
        <v>0</v>
      </c>
      <c r="BZ174" s="9">
        <v>0</v>
      </c>
      <c r="CA174" s="9">
        <v>0</v>
      </c>
      <c r="CB174" s="9">
        <v>0</v>
      </c>
      <c r="CC174" s="9">
        <v>0</v>
      </c>
      <c r="CD174" s="9">
        <v>0</v>
      </c>
      <c r="CE174" s="9">
        <v>0</v>
      </c>
      <c r="CF174" s="9">
        <v>0</v>
      </c>
      <c r="CG174" s="9">
        <v>0</v>
      </c>
      <c r="CH174" s="9">
        <v>0</v>
      </c>
      <c r="CI174" s="9">
        <v>0</v>
      </c>
      <c r="CJ174" s="9">
        <v>0</v>
      </c>
      <c r="CK174" s="9">
        <v>0</v>
      </c>
      <c r="CL174" s="9">
        <v>0</v>
      </c>
      <c r="CM174" s="9">
        <v>0</v>
      </c>
      <c r="CN174" s="9">
        <v>0</v>
      </c>
      <c r="CO174" s="9">
        <v>0</v>
      </c>
      <c r="CP174" s="9">
        <v>0</v>
      </c>
      <c r="CQ174" s="9">
        <v>0</v>
      </c>
      <c r="CR174" s="9">
        <v>0</v>
      </c>
      <c r="CS174" s="10">
        <v>0</v>
      </c>
    </row>
    <row r="175" spans="1:97" x14ac:dyDescent="0.35">
      <c r="A175" s="8" t="s">
        <v>174</v>
      </c>
      <c r="B175" s="9" t="s">
        <v>828</v>
      </c>
      <c r="C175" s="9" t="s">
        <v>829</v>
      </c>
      <c r="D175" s="9">
        <f t="shared" si="2"/>
        <v>0</v>
      </c>
      <c r="E175" s="9">
        <v>0</v>
      </c>
      <c r="F175" s="9">
        <v>0</v>
      </c>
      <c r="G175" s="9">
        <v>0</v>
      </c>
      <c r="H175" s="9">
        <v>0</v>
      </c>
      <c r="I175" s="9">
        <v>0</v>
      </c>
      <c r="J175" s="9">
        <v>0</v>
      </c>
      <c r="K175" s="9">
        <v>0</v>
      </c>
      <c r="L175" s="9">
        <v>0</v>
      </c>
      <c r="M175" s="9">
        <v>0</v>
      </c>
      <c r="N175" s="9">
        <v>0</v>
      </c>
      <c r="O175" s="9">
        <v>0</v>
      </c>
      <c r="P175" s="9">
        <v>0</v>
      </c>
      <c r="Q175" s="9">
        <v>0</v>
      </c>
      <c r="R175" s="9">
        <v>0</v>
      </c>
      <c r="S175" s="9">
        <v>0</v>
      </c>
      <c r="T175" s="9">
        <v>0</v>
      </c>
      <c r="U175" s="9">
        <v>0</v>
      </c>
      <c r="V175" s="9">
        <v>0</v>
      </c>
      <c r="W175" s="9">
        <v>0</v>
      </c>
      <c r="X175" s="9">
        <v>0</v>
      </c>
      <c r="Y175" s="9">
        <v>0</v>
      </c>
      <c r="Z175" s="9">
        <v>0</v>
      </c>
      <c r="AA175" s="9">
        <v>0</v>
      </c>
      <c r="AB175" s="9">
        <v>0</v>
      </c>
      <c r="AC175" s="9">
        <v>0</v>
      </c>
      <c r="AD175" s="9">
        <v>0</v>
      </c>
      <c r="AE175" s="9">
        <v>0</v>
      </c>
      <c r="AF175" s="9">
        <v>0</v>
      </c>
      <c r="AG175" s="9">
        <v>0</v>
      </c>
      <c r="AH175" s="9">
        <v>0</v>
      </c>
      <c r="AI175" s="9">
        <v>0</v>
      </c>
      <c r="AJ175" s="9">
        <v>0</v>
      </c>
      <c r="AK175" s="9">
        <v>0</v>
      </c>
      <c r="AL175" s="9">
        <v>0</v>
      </c>
      <c r="AM175" s="9">
        <v>0</v>
      </c>
      <c r="AN175" s="9">
        <v>0</v>
      </c>
      <c r="AO175" s="9">
        <v>0</v>
      </c>
      <c r="AP175" s="9">
        <v>0</v>
      </c>
      <c r="AQ175" s="9">
        <v>0</v>
      </c>
      <c r="AR175" s="9">
        <v>0</v>
      </c>
      <c r="AS175" s="9">
        <v>0</v>
      </c>
      <c r="AT175" s="9">
        <v>0</v>
      </c>
      <c r="AU175" s="9">
        <v>0</v>
      </c>
      <c r="AV175" s="9">
        <v>0</v>
      </c>
      <c r="AW175" s="9">
        <v>0</v>
      </c>
      <c r="AX175" s="9">
        <v>0</v>
      </c>
      <c r="AY175" s="9">
        <v>0</v>
      </c>
      <c r="AZ175" s="9">
        <v>0</v>
      </c>
      <c r="BA175" s="9">
        <v>0</v>
      </c>
      <c r="BB175" s="9">
        <v>0</v>
      </c>
      <c r="BC175" s="9">
        <v>0</v>
      </c>
      <c r="BD175" s="9">
        <v>0</v>
      </c>
      <c r="BE175" s="9">
        <v>0</v>
      </c>
      <c r="BF175" s="9">
        <v>0</v>
      </c>
      <c r="BG175" s="9">
        <v>0</v>
      </c>
      <c r="BH175" s="9">
        <v>0</v>
      </c>
      <c r="BI175" s="9">
        <v>0</v>
      </c>
      <c r="BJ175" s="9">
        <v>0</v>
      </c>
      <c r="BK175" s="9">
        <v>0</v>
      </c>
      <c r="BL175" s="9">
        <v>0</v>
      </c>
      <c r="BM175" s="9">
        <v>0</v>
      </c>
      <c r="BN175" s="9">
        <v>0</v>
      </c>
      <c r="BO175" s="9">
        <v>0</v>
      </c>
      <c r="BP175" s="9">
        <v>0</v>
      </c>
      <c r="BQ175" s="9">
        <v>0</v>
      </c>
      <c r="BR175" s="9">
        <v>0</v>
      </c>
      <c r="BS175" s="9">
        <v>0</v>
      </c>
      <c r="BT175" s="9">
        <v>0</v>
      </c>
      <c r="BU175" s="9">
        <v>0</v>
      </c>
      <c r="BV175" s="9">
        <v>0</v>
      </c>
      <c r="BW175" s="9">
        <v>0</v>
      </c>
      <c r="BX175" s="9">
        <v>0</v>
      </c>
      <c r="BY175" s="9">
        <v>0</v>
      </c>
      <c r="BZ175" s="9">
        <v>0</v>
      </c>
      <c r="CA175" s="9">
        <v>0</v>
      </c>
      <c r="CB175" s="9">
        <v>0</v>
      </c>
      <c r="CC175" s="9">
        <v>0</v>
      </c>
      <c r="CD175" s="9">
        <v>0</v>
      </c>
      <c r="CE175" s="9">
        <v>0</v>
      </c>
      <c r="CF175" s="9">
        <v>0</v>
      </c>
      <c r="CG175" s="9">
        <v>0</v>
      </c>
      <c r="CH175" s="9">
        <v>0</v>
      </c>
      <c r="CI175" s="9">
        <v>0</v>
      </c>
      <c r="CJ175" s="9">
        <v>0</v>
      </c>
      <c r="CK175" s="9">
        <v>0</v>
      </c>
      <c r="CL175" s="9">
        <v>0</v>
      </c>
      <c r="CM175" s="9">
        <v>0</v>
      </c>
      <c r="CN175" s="9">
        <v>0</v>
      </c>
      <c r="CO175" s="9">
        <v>0</v>
      </c>
      <c r="CP175" s="9">
        <v>0</v>
      </c>
      <c r="CQ175" s="9">
        <v>0</v>
      </c>
      <c r="CR175" s="9">
        <v>0</v>
      </c>
      <c r="CS175" s="10">
        <v>0</v>
      </c>
    </row>
    <row r="176" spans="1:97" x14ac:dyDescent="0.35">
      <c r="A176" s="8" t="s">
        <v>174</v>
      </c>
      <c r="B176" s="9" t="s">
        <v>830</v>
      </c>
      <c r="C176" s="9" t="s">
        <v>831</v>
      </c>
      <c r="D176" s="9">
        <f t="shared" si="2"/>
        <v>0</v>
      </c>
      <c r="E176" s="9">
        <v>0</v>
      </c>
      <c r="F176" s="9">
        <v>0</v>
      </c>
      <c r="G176" s="9">
        <v>0</v>
      </c>
      <c r="H176" s="9">
        <v>0</v>
      </c>
      <c r="I176" s="9">
        <v>0</v>
      </c>
      <c r="J176" s="9">
        <v>0</v>
      </c>
      <c r="K176" s="9">
        <v>0</v>
      </c>
      <c r="L176" s="9">
        <v>0</v>
      </c>
      <c r="M176" s="9">
        <v>0</v>
      </c>
      <c r="N176" s="9">
        <v>0</v>
      </c>
      <c r="O176" s="9">
        <v>0</v>
      </c>
      <c r="P176" s="9">
        <v>0</v>
      </c>
      <c r="Q176" s="9">
        <v>0</v>
      </c>
      <c r="R176" s="9">
        <v>0</v>
      </c>
      <c r="S176" s="9">
        <v>0</v>
      </c>
      <c r="T176" s="9">
        <v>0</v>
      </c>
      <c r="U176" s="9">
        <v>0</v>
      </c>
      <c r="V176" s="9">
        <v>0</v>
      </c>
      <c r="W176" s="9">
        <v>0</v>
      </c>
      <c r="X176" s="9">
        <v>0</v>
      </c>
      <c r="Y176" s="9">
        <v>0</v>
      </c>
      <c r="Z176" s="9">
        <v>0</v>
      </c>
      <c r="AA176" s="9">
        <v>0</v>
      </c>
      <c r="AB176" s="9">
        <v>0</v>
      </c>
      <c r="AC176" s="9">
        <v>0</v>
      </c>
      <c r="AD176" s="9">
        <v>0</v>
      </c>
      <c r="AE176" s="9">
        <v>0</v>
      </c>
      <c r="AF176" s="9">
        <v>0</v>
      </c>
      <c r="AG176" s="9">
        <v>0</v>
      </c>
      <c r="AH176" s="9">
        <v>0</v>
      </c>
      <c r="AI176" s="9">
        <v>0</v>
      </c>
      <c r="AJ176" s="9">
        <v>0</v>
      </c>
      <c r="AK176" s="9">
        <v>0</v>
      </c>
      <c r="AL176" s="9">
        <v>0</v>
      </c>
      <c r="AM176" s="9">
        <v>0</v>
      </c>
      <c r="AN176" s="9">
        <v>0</v>
      </c>
      <c r="AO176" s="9">
        <v>0</v>
      </c>
      <c r="AP176" s="9">
        <v>0</v>
      </c>
      <c r="AQ176" s="9">
        <v>0</v>
      </c>
      <c r="AR176" s="9">
        <v>0</v>
      </c>
      <c r="AS176" s="9">
        <v>0</v>
      </c>
      <c r="AT176" s="9">
        <v>0</v>
      </c>
      <c r="AU176" s="9">
        <v>0</v>
      </c>
      <c r="AV176" s="9">
        <v>0</v>
      </c>
      <c r="AW176" s="9">
        <v>0</v>
      </c>
      <c r="AX176" s="9">
        <v>0</v>
      </c>
      <c r="AY176" s="9">
        <v>0</v>
      </c>
      <c r="AZ176" s="9">
        <v>0</v>
      </c>
      <c r="BA176" s="9">
        <v>0</v>
      </c>
      <c r="BB176" s="9">
        <v>0</v>
      </c>
      <c r="BC176" s="9">
        <v>0</v>
      </c>
      <c r="BD176" s="9">
        <v>0</v>
      </c>
      <c r="BE176" s="9">
        <v>0</v>
      </c>
      <c r="BF176" s="9">
        <v>0</v>
      </c>
      <c r="BG176" s="9">
        <v>0</v>
      </c>
      <c r="BH176" s="9">
        <v>0</v>
      </c>
      <c r="BI176" s="9">
        <v>0</v>
      </c>
      <c r="BJ176" s="9">
        <v>0</v>
      </c>
      <c r="BK176" s="9">
        <v>0</v>
      </c>
      <c r="BL176" s="9">
        <v>0</v>
      </c>
      <c r="BM176" s="9">
        <v>0</v>
      </c>
      <c r="BN176" s="9">
        <v>0</v>
      </c>
      <c r="BO176" s="9">
        <v>0</v>
      </c>
      <c r="BP176" s="9">
        <v>0</v>
      </c>
      <c r="BQ176" s="9">
        <v>0</v>
      </c>
      <c r="BR176" s="9">
        <v>0</v>
      </c>
      <c r="BS176" s="9">
        <v>0</v>
      </c>
      <c r="BT176" s="9">
        <v>0</v>
      </c>
      <c r="BU176" s="9">
        <v>0</v>
      </c>
      <c r="BV176" s="9">
        <v>0</v>
      </c>
      <c r="BW176" s="9">
        <v>0</v>
      </c>
      <c r="BX176" s="9">
        <v>0</v>
      </c>
      <c r="BY176" s="9">
        <v>0</v>
      </c>
      <c r="BZ176" s="9">
        <v>0</v>
      </c>
      <c r="CA176" s="9">
        <v>0</v>
      </c>
      <c r="CB176" s="9">
        <v>0</v>
      </c>
      <c r="CC176" s="9">
        <v>0</v>
      </c>
      <c r="CD176" s="9">
        <v>0</v>
      </c>
      <c r="CE176" s="9">
        <v>0</v>
      </c>
      <c r="CF176" s="9">
        <v>0</v>
      </c>
      <c r="CG176" s="9">
        <v>0</v>
      </c>
      <c r="CH176" s="9">
        <v>0</v>
      </c>
      <c r="CI176" s="9">
        <v>0</v>
      </c>
      <c r="CJ176" s="9">
        <v>0</v>
      </c>
      <c r="CK176" s="9">
        <v>0</v>
      </c>
      <c r="CL176" s="9">
        <v>0</v>
      </c>
      <c r="CM176" s="9">
        <v>0</v>
      </c>
      <c r="CN176" s="9">
        <v>0</v>
      </c>
      <c r="CO176" s="9">
        <v>0</v>
      </c>
      <c r="CP176" s="9">
        <v>0</v>
      </c>
      <c r="CQ176" s="9">
        <v>0</v>
      </c>
      <c r="CR176" s="9">
        <v>0</v>
      </c>
      <c r="CS176" s="10">
        <v>0</v>
      </c>
    </row>
    <row r="177" spans="1:97" x14ac:dyDescent="0.35">
      <c r="A177" s="8" t="s">
        <v>174</v>
      </c>
      <c r="B177" s="9" t="s">
        <v>832</v>
      </c>
      <c r="C177" s="9" t="s">
        <v>833</v>
      </c>
      <c r="D177" s="9">
        <f t="shared" si="2"/>
        <v>0</v>
      </c>
      <c r="E177" s="9">
        <v>0</v>
      </c>
      <c r="F177" s="9">
        <v>0</v>
      </c>
      <c r="G177" s="9">
        <v>0</v>
      </c>
      <c r="H177" s="9">
        <v>0</v>
      </c>
      <c r="I177" s="9">
        <v>0</v>
      </c>
      <c r="J177" s="9">
        <v>0</v>
      </c>
      <c r="K177" s="9">
        <v>0</v>
      </c>
      <c r="L177" s="9">
        <v>0</v>
      </c>
      <c r="M177" s="9">
        <v>0</v>
      </c>
      <c r="N177" s="9">
        <v>0</v>
      </c>
      <c r="O177" s="9">
        <v>0</v>
      </c>
      <c r="P177" s="9">
        <v>0</v>
      </c>
      <c r="Q177" s="9">
        <v>0</v>
      </c>
      <c r="R177" s="9">
        <v>0</v>
      </c>
      <c r="S177" s="9">
        <v>0</v>
      </c>
      <c r="T177" s="9">
        <v>0</v>
      </c>
      <c r="U177" s="9">
        <v>0</v>
      </c>
      <c r="V177" s="9">
        <v>0</v>
      </c>
      <c r="W177" s="9">
        <v>0</v>
      </c>
      <c r="X177" s="9">
        <v>0</v>
      </c>
      <c r="Y177" s="9">
        <v>0</v>
      </c>
      <c r="Z177" s="9">
        <v>0</v>
      </c>
      <c r="AA177" s="9">
        <v>0</v>
      </c>
      <c r="AB177" s="9">
        <v>0</v>
      </c>
      <c r="AC177" s="9">
        <v>0</v>
      </c>
      <c r="AD177" s="9">
        <v>0</v>
      </c>
      <c r="AE177" s="9">
        <v>0</v>
      </c>
      <c r="AF177" s="9">
        <v>0</v>
      </c>
      <c r="AG177" s="9">
        <v>0</v>
      </c>
      <c r="AH177" s="9">
        <v>0</v>
      </c>
      <c r="AI177" s="9">
        <v>0</v>
      </c>
      <c r="AJ177" s="9">
        <v>0</v>
      </c>
      <c r="AK177" s="9">
        <v>0</v>
      </c>
      <c r="AL177" s="9">
        <v>0</v>
      </c>
      <c r="AM177" s="9">
        <v>0</v>
      </c>
      <c r="AN177" s="9">
        <v>0</v>
      </c>
      <c r="AO177" s="9">
        <v>0</v>
      </c>
      <c r="AP177" s="9">
        <v>0</v>
      </c>
      <c r="AQ177" s="9">
        <v>0</v>
      </c>
      <c r="AR177" s="9">
        <v>0</v>
      </c>
      <c r="AS177" s="9">
        <v>0</v>
      </c>
      <c r="AT177" s="9">
        <v>0</v>
      </c>
      <c r="AU177" s="9">
        <v>0</v>
      </c>
      <c r="AV177" s="9">
        <v>0</v>
      </c>
      <c r="AW177" s="9">
        <v>0</v>
      </c>
      <c r="AX177" s="9">
        <v>0</v>
      </c>
      <c r="AY177" s="9">
        <v>0</v>
      </c>
      <c r="AZ177" s="9">
        <v>0</v>
      </c>
      <c r="BA177" s="9">
        <v>0</v>
      </c>
      <c r="BB177" s="9">
        <v>0</v>
      </c>
      <c r="BC177" s="9">
        <v>0</v>
      </c>
      <c r="BD177" s="9">
        <v>0</v>
      </c>
      <c r="BE177" s="9">
        <v>0</v>
      </c>
      <c r="BF177" s="9">
        <v>0</v>
      </c>
      <c r="BG177" s="9">
        <v>0</v>
      </c>
      <c r="BH177" s="9">
        <v>0</v>
      </c>
      <c r="BI177" s="9">
        <v>0</v>
      </c>
      <c r="BJ177" s="9">
        <v>0</v>
      </c>
      <c r="BK177" s="9">
        <v>0</v>
      </c>
      <c r="BL177" s="9">
        <v>0</v>
      </c>
      <c r="BM177" s="9">
        <v>0</v>
      </c>
      <c r="BN177" s="9">
        <v>0</v>
      </c>
      <c r="BO177" s="9">
        <v>0</v>
      </c>
      <c r="BP177" s="9">
        <v>0</v>
      </c>
      <c r="BQ177" s="9">
        <v>0</v>
      </c>
      <c r="BR177" s="9">
        <v>0</v>
      </c>
      <c r="BS177" s="9">
        <v>0</v>
      </c>
      <c r="BT177" s="9">
        <v>0</v>
      </c>
      <c r="BU177" s="9">
        <v>0</v>
      </c>
      <c r="BV177" s="9">
        <v>0</v>
      </c>
      <c r="BW177" s="9">
        <v>0</v>
      </c>
      <c r="BX177" s="9">
        <v>0</v>
      </c>
      <c r="BY177" s="9">
        <v>0</v>
      </c>
      <c r="BZ177" s="9">
        <v>0</v>
      </c>
      <c r="CA177" s="9">
        <v>0</v>
      </c>
      <c r="CB177" s="9">
        <v>0</v>
      </c>
      <c r="CC177" s="9">
        <v>0</v>
      </c>
      <c r="CD177" s="9">
        <v>0</v>
      </c>
      <c r="CE177" s="9">
        <v>0</v>
      </c>
      <c r="CF177" s="9">
        <v>0</v>
      </c>
      <c r="CG177" s="9">
        <v>0</v>
      </c>
      <c r="CH177" s="9">
        <v>0</v>
      </c>
      <c r="CI177" s="9">
        <v>0</v>
      </c>
      <c r="CJ177" s="9">
        <v>0</v>
      </c>
      <c r="CK177" s="9">
        <v>0</v>
      </c>
      <c r="CL177" s="9">
        <v>0</v>
      </c>
      <c r="CM177" s="9">
        <v>0</v>
      </c>
      <c r="CN177" s="9">
        <v>0</v>
      </c>
      <c r="CO177" s="9">
        <v>0</v>
      </c>
      <c r="CP177" s="9">
        <v>0</v>
      </c>
      <c r="CQ177" s="9">
        <v>0</v>
      </c>
      <c r="CR177" s="9">
        <v>0</v>
      </c>
      <c r="CS177" s="10">
        <v>0</v>
      </c>
    </row>
    <row r="178" spans="1:97" x14ac:dyDescent="0.35">
      <c r="A178" s="8" t="s">
        <v>174</v>
      </c>
      <c r="B178" s="9" t="s">
        <v>834</v>
      </c>
      <c r="C178" s="9" t="s">
        <v>835</v>
      </c>
      <c r="D178" s="9">
        <f t="shared" si="2"/>
        <v>0</v>
      </c>
      <c r="E178" s="9">
        <v>0</v>
      </c>
      <c r="F178" s="9">
        <v>0</v>
      </c>
      <c r="G178" s="9">
        <v>0</v>
      </c>
      <c r="H178" s="9">
        <v>0</v>
      </c>
      <c r="I178" s="9">
        <v>0</v>
      </c>
      <c r="J178" s="9">
        <v>0</v>
      </c>
      <c r="K178" s="9">
        <v>0</v>
      </c>
      <c r="L178" s="9">
        <v>0</v>
      </c>
      <c r="M178" s="9">
        <v>0</v>
      </c>
      <c r="N178" s="9">
        <v>0</v>
      </c>
      <c r="O178" s="9">
        <v>0</v>
      </c>
      <c r="P178" s="9">
        <v>0</v>
      </c>
      <c r="Q178" s="9">
        <v>0</v>
      </c>
      <c r="R178" s="9">
        <v>0</v>
      </c>
      <c r="S178" s="9">
        <v>0</v>
      </c>
      <c r="T178" s="9">
        <v>0</v>
      </c>
      <c r="U178" s="9">
        <v>0</v>
      </c>
      <c r="V178" s="9">
        <v>0</v>
      </c>
      <c r="W178" s="9">
        <v>0</v>
      </c>
      <c r="X178" s="9">
        <v>0</v>
      </c>
      <c r="Y178" s="9">
        <v>0</v>
      </c>
      <c r="Z178" s="9">
        <v>0</v>
      </c>
      <c r="AA178" s="9">
        <v>0</v>
      </c>
      <c r="AB178" s="9">
        <v>0</v>
      </c>
      <c r="AC178" s="9">
        <v>0</v>
      </c>
      <c r="AD178" s="9">
        <v>0</v>
      </c>
      <c r="AE178" s="9">
        <v>0</v>
      </c>
      <c r="AF178" s="9">
        <v>0</v>
      </c>
      <c r="AG178" s="9">
        <v>0</v>
      </c>
      <c r="AH178" s="9">
        <v>0</v>
      </c>
      <c r="AI178" s="9">
        <v>0</v>
      </c>
      <c r="AJ178" s="9">
        <v>0</v>
      </c>
      <c r="AK178" s="9">
        <v>0</v>
      </c>
      <c r="AL178" s="9">
        <v>0</v>
      </c>
      <c r="AM178" s="9">
        <v>0</v>
      </c>
      <c r="AN178" s="9">
        <v>0</v>
      </c>
      <c r="AO178" s="9">
        <v>0</v>
      </c>
      <c r="AP178" s="9">
        <v>0</v>
      </c>
      <c r="AQ178" s="9">
        <v>0</v>
      </c>
      <c r="AR178" s="9">
        <v>0</v>
      </c>
      <c r="AS178" s="9">
        <v>0</v>
      </c>
      <c r="AT178" s="9">
        <v>0</v>
      </c>
      <c r="AU178" s="9">
        <v>0</v>
      </c>
      <c r="AV178" s="9">
        <v>0</v>
      </c>
      <c r="AW178" s="9">
        <v>0</v>
      </c>
      <c r="AX178" s="9">
        <v>0</v>
      </c>
      <c r="AY178" s="9">
        <v>0</v>
      </c>
      <c r="AZ178" s="9">
        <v>0</v>
      </c>
      <c r="BA178" s="9">
        <v>0</v>
      </c>
      <c r="BB178" s="9">
        <v>0</v>
      </c>
      <c r="BC178" s="9">
        <v>0</v>
      </c>
      <c r="BD178" s="9">
        <v>0</v>
      </c>
      <c r="BE178" s="9">
        <v>0</v>
      </c>
      <c r="BF178" s="9">
        <v>0</v>
      </c>
      <c r="BG178" s="9">
        <v>0</v>
      </c>
      <c r="BH178" s="9">
        <v>0</v>
      </c>
      <c r="BI178" s="9">
        <v>0</v>
      </c>
      <c r="BJ178" s="9">
        <v>0</v>
      </c>
      <c r="BK178" s="9">
        <v>0</v>
      </c>
      <c r="BL178" s="9">
        <v>0</v>
      </c>
      <c r="BM178" s="9">
        <v>0</v>
      </c>
      <c r="BN178" s="9">
        <v>0</v>
      </c>
      <c r="BO178" s="9">
        <v>0</v>
      </c>
      <c r="BP178" s="9">
        <v>0</v>
      </c>
      <c r="BQ178" s="9">
        <v>0</v>
      </c>
      <c r="BR178" s="9">
        <v>0</v>
      </c>
      <c r="BS178" s="9">
        <v>0</v>
      </c>
      <c r="BT178" s="9">
        <v>0</v>
      </c>
      <c r="BU178" s="9">
        <v>0</v>
      </c>
      <c r="BV178" s="9">
        <v>0</v>
      </c>
      <c r="BW178" s="9">
        <v>0</v>
      </c>
      <c r="BX178" s="9">
        <v>0</v>
      </c>
      <c r="BY178" s="9">
        <v>0</v>
      </c>
      <c r="BZ178" s="9">
        <v>0</v>
      </c>
      <c r="CA178" s="9">
        <v>0</v>
      </c>
      <c r="CB178" s="9">
        <v>0</v>
      </c>
      <c r="CC178" s="9">
        <v>0</v>
      </c>
      <c r="CD178" s="9">
        <v>0</v>
      </c>
      <c r="CE178" s="9">
        <v>0</v>
      </c>
      <c r="CF178" s="9">
        <v>0</v>
      </c>
      <c r="CG178" s="9">
        <v>0</v>
      </c>
      <c r="CH178" s="9">
        <v>0</v>
      </c>
      <c r="CI178" s="9">
        <v>0</v>
      </c>
      <c r="CJ178" s="9">
        <v>0</v>
      </c>
      <c r="CK178" s="9">
        <v>0</v>
      </c>
      <c r="CL178" s="9">
        <v>0</v>
      </c>
      <c r="CM178" s="9">
        <v>0</v>
      </c>
      <c r="CN178" s="9">
        <v>0</v>
      </c>
      <c r="CO178" s="9">
        <v>0</v>
      </c>
      <c r="CP178" s="9">
        <v>0</v>
      </c>
      <c r="CQ178" s="9">
        <v>0</v>
      </c>
      <c r="CR178" s="9">
        <v>0</v>
      </c>
      <c r="CS178" s="10">
        <v>0</v>
      </c>
    </row>
    <row r="179" spans="1:97" x14ac:dyDescent="0.35">
      <c r="A179" s="8" t="s">
        <v>174</v>
      </c>
      <c r="B179" s="9" t="s">
        <v>836</v>
      </c>
      <c r="C179" s="9" t="s">
        <v>837</v>
      </c>
      <c r="D179" s="9">
        <f t="shared" si="2"/>
        <v>0</v>
      </c>
      <c r="E179" s="9">
        <v>0</v>
      </c>
      <c r="F179" s="9">
        <v>0</v>
      </c>
      <c r="G179" s="9">
        <v>0</v>
      </c>
      <c r="H179" s="9">
        <v>0</v>
      </c>
      <c r="I179" s="9">
        <v>0</v>
      </c>
      <c r="J179" s="9">
        <v>0</v>
      </c>
      <c r="K179" s="9">
        <v>0</v>
      </c>
      <c r="L179" s="9">
        <v>0</v>
      </c>
      <c r="M179" s="9">
        <v>0</v>
      </c>
      <c r="N179" s="9">
        <v>0</v>
      </c>
      <c r="O179" s="9">
        <v>0</v>
      </c>
      <c r="P179" s="9">
        <v>0</v>
      </c>
      <c r="Q179" s="9">
        <v>0</v>
      </c>
      <c r="R179" s="9">
        <v>0</v>
      </c>
      <c r="S179" s="9">
        <v>0</v>
      </c>
      <c r="T179" s="9">
        <v>0</v>
      </c>
      <c r="U179" s="9">
        <v>0</v>
      </c>
      <c r="V179" s="9">
        <v>0</v>
      </c>
      <c r="W179" s="9">
        <v>0</v>
      </c>
      <c r="X179" s="9">
        <v>0</v>
      </c>
      <c r="Y179" s="9">
        <v>0</v>
      </c>
      <c r="Z179" s="9">
        <v>0</v>
      </c>
      <c r="AA179" s="9">
        <v>0</v>
      </c>
      <c r="AB179" s="9">
        <v>0</v>
      </c>
      <c r="AC179" s="9">
        <v>0</v>
      </c>
      <c r="AD179" s="9">
        <v>0</v>
      </c>
      <c r="AE179" s="9">
        <v>0</v>
      </c>
      <c r="AF179" s="9">
        <v>0</v>
      </c>
      <c r="AG179" s="9">
        <v>0</v>
      </c>
      <c r="AH179" s="9">
        <v>0</v>
      </c>
      <c r="AI179" s="9">
        <v>0</v>
      </c>
      <c r="AJ179" s="9">
        <v>0</v>
      </c>
      <c r="AK179" s="9">
        <v>0</v>
      </c>
      <c r="AL179" s="9">
        <v>0</v>
      </c>
      <c r="AM179" s="9">
        <v>0</v>
      </c>
      <c r="AN179" s="9">
        <v>0</v>
      </c>
      <c r="AO179" s="9">
        <v>0</v>
      </c>
      <c r="AP179" s="9">
        <v>0</v>
      </c>
      <c r="AQ179" s="9">
        <v>0</v>
      </c>
      <c r="AR179" s="9">
        <v>0</v>
      </c>
      <c r="AS179" s="9">
        <v>0</v>
      </c>
      <c r="AT179" s="9">
        <v>0</v>
      </c>
      <c r="AU179" s="9">
        <v>0</v>
      </c>
      <c r="AV179" s="9">
        <v>0</v>
      </c>
      <c r="AW179" s="9">
        <v>0</v>
      </c>
      <c r="AX179" s="9">
        <v>0</v>
      </c>
      <c r="AY179" s="9">
        <v>0</v>
      </c>
      <c r="AZ179" s="9">
        <v>0</v>
      </c>
      <c r="BA179" s="9">
        <v>0</v>
      </c>
      <c r="BB179" s="9">
        <v>0</v>
      </c>
      <c r="BC179" s="9">
        <v>0</v>
      </c>
      <c r="BD179" s="9">
        <v>0</v>
      </c>
      <c r="BE179" s="9">
        <v>0</v>
      </c>
      <c r="BF179" s="9">
        <v>0</v>
      </c>
      <c r="BG179" s="9">
        <v>0</v>
      </c>
      <c r="BH179" s="9">
        <v>0</v>
      </c>
      <c r="BI179" s="9">
        <v>0</v>
      </c>
      <c r="BJ179" s="9">
        <v>0</v>
      </c>
      <c r="BK179" s="9">
        <v>0</v>
      </c>
      <c r="BL179" s="9">
        <v>0</v>
      </c>
      <c r="BM179" s="9">
        <v>0</v>
      </c>
      <c r="BN179" s="9">
        <v>0</v>
      </c>
      <c r="BO179" s="9">
        <v>0</v>
      </c>
      <c r="BP179" s="9">
        <v>0</v>
      </c>
      <c r="BQ179" s="9">
        <v>0</v>
      </c>
      <c r="BR179" s="9">
        <v>0</v>
      </c>
      <c r="BS179" s="9">
        <v>0</v>
      </c>
      <c r="BT179" s="9">
        <v>0</v>
      </c>
      <c r="BU179" s="9">
        <v>0</v>
      </c>
      <c r="BV179" s="9">
        <v>0</v>
      </c>
      <c r="BW179" s="9">
        <v>0</v>
      </c>
      <c r="BX179" s="9">
        <v>0</v>
      </c>
      <c r="BY179" s="9">
        <v>0</v>
      </c>
      <c r="BZ179" s="9">
        <v>0</v>
      </c>
      <c r="CA179" s="9">
        <v>0</v>
      </c>
      <c r="CB179" s="9">
        <v>0</v>
      </c>
      <c r="CC179" s="9">
        <v>0</v>
      </c>
      <c r="CD179" s="9">
        <v>0</v>
      </c>
      <c r="CE179" s="9">
        <v>0</v>
      </c>
      <c r="CF179" s="9">
        <v>0</v>
      </c>
      <c r="CG179" s="9">
        <v>0</v>
      </c>
      <c r="CH179" s="9">
        <v>0</v>
      </c>
      <c r="CI179" s="9">
        <v>0</v>
      </c>
      <c r="CJ179" s="9">
        <v>0</v>
      </c>
      <c r="CK179" s="9">
        <v>0</v>
      </c>
      <c r="CL179" s="9">
        <v>0</v>
      </c>
      <c r="CM179" s="9">
        <v>0</v>
      </c>
      <c r="CN179" s="9">
        <v>0</v>
      </c>
      <c r="CO179" s="9">
        <v>0</v>
      </c>
      <c r="CP179" s="9">
        <v>0</v>
      </c>
      <c r="CQ179" s="9">
        <v>0</v>
      </c>
      <c r="CR179" s="9">
        <v>0</v>
      </c>
      <c r="CS179" s="10">
        <v>0</v>
      </c>
    </row>
    <row r="180" spans="1:97" x14ac:dyDescent="0.35">
      <c r="A180" s="8" t="s">
        <v>174</v>
      </c>
      <c r="B180" s="9" t="s">
        <v>838</v>
      </c>
      <c r="C180" s="9" t="s">
        <v>839</v>
      </c>
      <c r="D180" s="9">
        <f t="shared" si="2"/>
        <v>0</v>
      </c>
      <c r="E180" s="9">
        <v>0</v>
      </c>
      <c r="F180" s="9">
        <v>0</v>
      </c>
      <c r="G180" s="9">
        <v>0</v>
      </c>
      <c r="H180" s="9">
        <v>0</v>
      </c>
      <c r="I180" s="9">
        <v>0</v>
      </c>
      <c r="J180" s="9">
        <v>0</v>
      </c>
      <c r="K180" s="9">
        <v>0</v>
      </c>
      <c r="L180" s="9">
        <v>0</v>
      </c>
      <c r="M180" s="9">
        <v>0</v>
      </c>
      <c r="N180" s="9">
        <v>0</v>
      </c>
      <c r="O180" s="9">
        <v>0</v>
      </c>
      <c r="P180" s="9">
        <v>0</v>
      </c>
      <c r="Q180" s="9">
        <v>0</v>
      </c>
      <c r="R180" s="9">
        <v>0</v>
      </c>
      <c r="S180" s="9">
        <v>0</v>
      </c>
      <c r="T180" s="9">
        <v>0</v>
      </c>
      <c r="U180" s="9">
        <v>0</v>
      </c>
      <c r="V180" s="9">
        <v>0</v>
      </c>
      <c r="W180" s="9">
        <v>0</v>
      </c>
      <c r="X180" s="9">
        <v>0</v>
      </c>
      <c r="Y180" s="9">
        <v>0</v>
      </c>
      <c r="Z180" s="9">
        <v>0</v>
      </c>
      <c r="AA180" s="9">
        <v>0</v>
      </c>
      <c r="AB180" s="9">
        <v>0</v>
      </c>
      <c r="AC180" s="9">
        <v>0</v>
      </c>
      <c r="AD180" s="9">
        <v>0</v>
      </c>
      <c r="AE180" s="9">
        <v>0</v>
      </c>
      <c r="AF180" s="9">
        <v>0</v>
      </c>
      <c r="AG180" s="9">
        <v>0</v>
      </c>
      <c r="AH180" s="9">
        <v>0</v>
      </c>
      <c r="AI180" s="9">
        <v>0</v>
      </c>
      <c r="AJ180" s="9">
        <v>0</v>
      </c>
      <c r="AK180" s="9">
        <v>0</v>
      </c>
      <c r="AL180" s="9">
        <v>0</v>
      </c>
      <c r="AM180" s="9">
        <v>0</v>
      </c>
      <c r="AN180" s="9">
        <v>0</v>
      </c>
      <c r="AO180" s="9">
        <v>0</v>
      </c>
      <c r="AP180" s="9">
        <v>0</v>
      </c>
      <c r="AQ180" s="9">
        <v>0</v>
      </c>
      <c r="AR180" s="9">
        <v>0</v>
      </c>
      <c r="AS180" s="9">
        <v>0</v>
      </c>
      <c r="AT180" s="9">
        <v>0</v>
      </c>
      <c r="AU180" s="9">
        <v>0</v>
      </c>
      <c r="AV180" s="9">
        <v>0</v>
      </c>
      <c r="AW180" s="9">
        <v>0</v>
      </c>
      <c r="AX180" s="9">
        <v>0</v>
      </c>
      <c r="AY180" s="9">
        <v>0</v>
      </c>
      <c r="AZ180" s="9">
        <v>0</v>
      </c>
      <c r="BA180" s="9">
        <v>0</v>
      </c>
      <c r="BB180" s="9">
        <v>0</v>
      </c>
      <c r="BC180" s="9">
        <v>0</v>
      </c>
      <c r="BD180" s="9">
        <v>0</v>
      </c>
      <c r="BE180" s="9">
        <v>0</v>
      </c>
      <c r="BF180" s="9">
        <v>0</v>
      </c>
      <c r="BG180" s="9">
        <v>0</v>
      </c>
      <c r="BH180" s="9">
        <v>0</v>
      </c>
      <c r="BI180" s="9">
        <v>0</v>
      </c>
      <c r="BJ180" s="9">
        <v>0</v>
      </c>
      <c r="BK180" s="9">
        <v>0</v>
      </c>
      <c r="BL180" s="9">
        <v>0</v>
      </c>
      <c r="BM180" s="9">
        <v>0</v>
      </c>
      <c r="BN180" s="9">
        <v>0</v>
      </c>
      <c r="BO180" s="9">
        <v>0</v>
      </c>
      <c r="BP180" s="9">
        <v>0</v>
      </c>
      <c r="BQ180" s="9">
        <v>0</v>
      </c>
      <c r="BR180" s="9">
        <v>0</v>
      </c>
      <c r="BS180" s="9">
        <v>0</v>
      </c>
      <c r="BT180" s="9">
        <v>0</v>
      </c>
      <c r="BU180" s="9">
        <v>0</v>
      </c>
      <c r="BV180" s="9">
        <v>0</v>
      </c>
      <c r="BW180" s="9">
        <v>0</v>
      </c>
      <c r="BX180" s="9">
        <v>0</v>
      </c>
      <c r="BY180" s="9">
        <v>0</v>
      </c>
      <c r="BZ180" s="9">
        <v>0</v>
      </c>
      <c r="CA180" s="9">
        <v>0</v>
      </c>
      <c r="CB180" s="9">
        <v>0</v>
      </c>
      <c r="CC180" s="9">
        <v>0</v>
      </c>
      <c r="CD180" s="9">
        <v>0</v>
      </c>
      <c r="CE180" s="9">
        <v>0</v>
      </c>
      <c r="CF180" s="9">
        <v>0</v>
      </c>
      <c r="CG180" s="9">
        <v>0</v>
      </c>
      <c r="CH180" s="9">
        <v>0</v>
      </c>
      <c r="CI180" s="9">
        <v>0</v>
      </c>
      <c r="CJ180" s="9">
        <v>0</v>
      </c>
      <c r="CK180" s="9">
        <v>0</v>
      </c>
      <c r="CL180" s="9">
        <v>0</v>
      </c>
      <c r="CM180" s="9">
        <v>0</v>
      </c>
      <c r="CN180" s="9">
        <v>0</v>
      </c>
      <c r="CO180" s="9">
        <v>0</v>
      </c>
      <c r="CP180" s="9">
        <v>0</v>
      </c>
      <c r="CQ180" s="9">
        <v>0</v>
      </c>
      <c r="CR180" s="9">
        <v>0</v>
      </c>
      <c r="CS180" s="10">
        <v>0</v>
      </c>
    </row>
    <row r="181" spans="1:97" x14ac:dyDescent="0.35">
      <c r="A181" s="8" t="s">
        <v>174</v>
      </c>
      <c r="B181" s="9" t="s">
        <v>840</v>
      </c>
      <c r="C181" s="9" t="s">
        <v>841</v>
      </c>
      <c r="D181" s="9">
        <f t="shared" si="2"/>
        <v>0</v>
      </c>
      <c r="E181" s="9">
        <v>0</v>
      </c>
      <c r="F181" s="9">
        <v>0</v>
      </c>
      <c r="G181" s="9">
        <v>0</v>
      </c>
      <c r="H181" s="9">
        <v>0</v>
      </c>
      <c r="I181" s="9">
        <v>0</v>
      </c>
      <c r="J181" s="9">
        <v>0</v>
      </c>
      <c r="K181" s="9">
        <v>0</v>
      </c>
      <c r="L181" s="9">
        <v>0</v>
      </c>
      <c r="M181" s="9">
        <v>0</v>
      </c>
      <c r="N181" s="9">
        <v>0</v>
      </c>
      <c r="O181" s="9">
        <v>0</v>
      </c>
      <c r="P181" s="9">
        <v>0</v>
      </c>
      <c r="Q181" s="9">
        <v>0</v>
      </c>
      <c r="R181" s="9">
        <v>0</v>
      </c>
      <c r="S181" s="9">
        <v>0</v>
      </c>
      <c r="T181" s="9">
        <v>0</v>
      </c>
      <c r="U181" s="9">
        <v>0</v>
      </c>
      <c r="V181" s="9">
        <v>0</v>
      </c>
      <c r="W181" s="9">
        <v>0</v>
      </c>
      <c r="X181" s="9">
        <v>0</v>
      </c>
      <c r="Y181" s="9">
        <v>0</v>
      </c>
      <c r="Z181" s="9">
        <v>0</v>
      </c>
      <c r="AA181" s="9">
        <v>0</v>
      </c>
      <c r="AB181" s="9">
        <v>0</v>
      </c>
      <c r="AC181" s="9">
        <v>0</v>
      </c>
      <c r="AD181" s="9">
        <v>0</v>
      </c>
      <c r="AE181" s="9">
        <v>0</v>
      </c>
      <c r="AF181" s="9">
        <v>0</v>
      </c>
      <c r="AG181" s="9">
        <v>0</v>
      </c>
      <c r="AH181" s="9">
        <v>0</v>
      </c>
      <c r="AI181" s="9">
        <v>0</v>
      </c>
      <c r="AJ181" s="9">
        <v>0</v>
      </c>
      <c r="AK181" s="9">
        <v>0</v>
      </c>
      <c r="AL181" s="9">
        <v>0</v>
      </c>
      <c r="AM181" s="9">
        <v>0</v>
      </c>
      <c r="AN181" s="9">
        <v>0</v>
      </c>
      <c r="AO181" s="9">
        <v>0</v>
      </c>
      <c r="AP181" s="9">
        <v>0</v>
      </c>
      <c r="AQ181" s="9">
        <v>0</v>
      </c>
      <c r="AR181" s="9">
        <v>0</v>
      </c>
      <c r="AS181" s="9">
        <v>0</v>
      </c>
      <c r="AT181" s="9">
        <v>0</v>
      </c>
      <c r="AU181" s="9">
        <v>0</v>
      </c>
      <c r="AV181" s="9">
        <v>0</v>
      </c>
      <c r="AW181" s="9">
        <v>0</v>
      </c>
      <c r="AX181" s="9">
        <v>0</v>
      </c>
      <c r="AY181" s="9">
        <v>0</v>
      </c>
      <c r="AZ181" s="9">
        <v>0</v>
      </c>
      <c r="BA181" s="9">
        <v>0</v>
      </c>
      <c r="BB181" s="9">
        <v>0</v>
      </c>
      <c r="BC181" s="9">
        <v>0</v>
      </c>
      <c r="BD181" s="9">
        <v>0</v>
      </c>
      <c r="BE181" s="9">
        <v>0</v>
      </c>
      <c r="BF181" s="9">
        <v>0</v>
      </c>
      <c r="BG181" s="9">
        <v>0</v>
      </c>
      <c r="BH181" s="9">
        <v>0</v>
      </c>
      <c r="BI181" s="9">
        <v>0</v>
      </c>
      <c r="BJ181" s="9">
        <v>0</v>
      </c>
      <c r="BK181" s="9">
        <v>0</v>
      </c>
      <c r="BL181" s="9">
        <v>0</v>
      </c>
      <c r="BM181" s="9">
        <v>0</v>
      </c>
      <c r="BN181" s="9">
        <v>0</v>
      </c>
      <c r="BO181" s="9">
        <v>0</v>
      </c>
      <c r="BP181" s="9">
        <v>0</v>
      </c>
      <c r="BQ181" s="9">
        <v>0</v>
      </c>
      <c r="BR181" s="9">
        <v>0</v>
      </c>
      <c r="BS181" s="9">
        <v>0</v>
      </c>
      <c r="BT181" s="9">
        <v>0</v>
      </c>
      <c r="BU181" s="9">
        <v>0</v>
      </c>
      <c r="BV181" s="9">
        <v>0</v>
      </c>
      <c r="BW181" s="9">
        <v>0</v>
      </c>
      <c r="BX181" s="9">
        <v>0</v>
      </c>
      <c r="BY181" s="9">
        <v>0</v>
      </c>
      <c r="BZ181" s="9">
        <v>0</v>
      </c>
      <c r="CA181" s="9">
        <v>0</v>
      </c>
      <c r="CB181" s="9">
        <v>0</v>
      </c>
      <c r="CC181" s="9">
        <v>0</v>
      </c>
      <c r="CD181" s="9">
        <v>0</v>
      </c>
      <c r="CE181" s="9">
        <v>0</v>
      </c>
      <c r="CF181" s="9">
        <v>0</v>
      </c>
      <c r="CG181" s="9">
        <v>0</v>
      </c>
      <c r="CH181" s="9">
        <v>0</v>
      </c>
      <c r="CI181" s="9">
        <v>0</v>
      </c>
      <c r="CJ181" s="9">
        <v>0</v>
      </c>
      <c r="CK181" s="9">
        <v>0</v>
      </c>
      <c r="CL181" s="9">
        <v>0</v>
      </c>
      <c r="CM181" s="9">
        <v>0</v>
      </c>
      <c r="CN181" s="9">
        <v>0</v>
      </c>
      <c r="CO181" s="9">
        <v>0</v>
      </c>
      <c r="CP181" s="9">
        <v>0</v>
      </c>
      <c r="CQ181" s="9">
        <v>0</v>
      </c>
      <c r="CR181" s="9">
        <v>0</v>
      </c>
      <c r="CS181" s="10">
        <v>0</v>
      </c>
    </row>
    <row r="182" spans="1:97" x14ac:dyDescent="0.35">
      <c r="A182" s="8" t="s">
        <v>174</v>
      </c>
      <c r="B182" s="9" t="s">
        <v>842</v>
      </c>
      <c r="C182" s="9" t="s">
        <v>843</v>
      </c>
      <c r="D182" s="9">
        <f t="shared" si="2"/>
        <v>0</v>
      </c>
      <c r="E182" s="9">
        <v>0</v>
      </c>
      <c r="F182" s="9">
        <v>0</v>
      </c>
      <c r="G182" s="9">
        <v>0</v>
      </c>
      <c r="H182" s="9">
        <v>0</v>
      </c>
      <c r="I182" s="9">
        <v>0</v>
      </c>
      <c r="J182" s="9">
        <v>0</v>
      </c>
      <c r="K182" s="9">
        <v>0</v>
      </c>
      <c r="L182" s="9">
        <v>0</v>
      </c>
      <c r="M182" s="9">
        <v>0</v>
      </c>
      <c r="N182" s="9">
        <v>0</v>
      </c>
      <c r="O182" s="9">
        <v>0</v>
      </c>
      <c r="P182" s="9">
        <v>0</v>
      </c>
      <c r="Q182" s="9">
        <v>0</v>
      </c>
      <c r="R182" s="9">
        <v>0</v>
      </c>
      <c r="S182" s="9">
        <v>0</v>
      </c>
      <c r="T182" s="9">
        <v>0</v>
      </c>
      <c r="U182" s="9">
        <v>0</v>
      </c>
      <c r="V182" s="9">
        <v>0</v>
      </c>
      <c r="W182" s="9">
        <v>0</v>
      </c>
      <c r="X182" s="9">
        <v>0</v>
      </c>
      <c r="Y182" s="9">
        <v>0</v>
      </c>
      <c r="Z182" s="9">
        <v>0</v>
      </c>
      <c r="AA182" s="9">
        <v>0</v>
      </c>
      <c r="AB182" s="9">
        <v>0</v>
      </c>
      <c r="AC182" s="9">
        <v>0</v>
      </c>
      <c r="AD182" s="9">
        <v>0</v>
      </c>
      <c r="AE182" s="9">
        <v>0</v>
      </c>
      <c r="AF182" s="9">
        <v>0</v>
      </c>
      <c r="AG182" s="9">
        <v>0</v>
      </c>
      <c r="AH182" s="9">
        <v>0</v>
      </c>
      <c r="AI182" s="9">
        <v>0</v>
      </c>
      <c r="AJ182" s="9">
        <v>0</v>
      </c>
      <c r="AK182" s="9">
        <v>0</v>
      </c>
      <c r="AL182" s="9">
        <v>0</v>
      </c>
      <c r="AM182" s="9">
        <v>0</v>
      </c>
      <c r="AN182" s="9">
        <v>0</v>
      </c>
      <c r="AO182" s="9">
        <v>0</v>
      </c>
      <c r="AP182" s="9">
        <v>0</v>
      </c>
      <c r="AQ182" s="9">
        <v>0</v>
      </c>
      <c r="AR182" s="9">
        <v>0</v>
      </c>
      <c r="AS182" s="9">
        <v>0</v>
      </c>
      <c r="AT182" s="9">
        <v>0</v>
      </c>
      <c r="AU182" s="9">
        <v>0</v>
      </c>
      <c r="AV182" s="9">
        <v>0</v>
      </c>
      <c r="AW182" s="9">
        <v>0</v>
      </c>
      <c r="AX182" s="9">
        <v>0</v>
      </c>
      <c r="AY182" s="9">
        <v>0</v>
      </c>
      <c r="AZ182" s="9">
        <v>0</v>
      </c>
      <c r="BA182" s="9">
        <v>0</v>
      </c>
      <c r="BB182" s="9">
        <v>0</v>
      </c>
      <c r="BC182" s="9">
        <v>0</v>
      </c>
      <c r="BD182" s="9">
        <v>0</v>
      </c>
      <c r="BE182" s="9">
        <v>0</v>
      </c>
      <c r="BF182" s="9">
        <v>0</v>
      </c>
      <c r="BG182" s="9">
        <v>0</v>
      </c>
      <c r="BH182" s="9">
        <v>0</v>
      </c>
      <c r="BI182" s="9">
        <v>0</v>
      </c>
      <c r="BJ182" s="9">
        <v>0</v>
      </c>
      <c r="BK182" s="9">
        <v>0</v>
      </c>
      <c r="BL182" s="9">
        <v>0</v>
      </c>
      <c r="BM182" s="9">
        <v>0</v>
      </c>
      <c r="BN182" s="9">
        <v>0</v>
      </c>
      <c r="BO182" s="9">
        <v>0</v>
      </c>
      <c r="BP182" s="9">
        <v>0</v>
      </c>
      <c r="BQ182" s="9">
        <v>0</v>
      </c>
      <c r="BR182" s="9">
        <v>0</v>
      </c>
      <c r="BS182" s="9">
        <v>0</v>
      </c>
      <c r="BT182" s="9">
        <v>0</v>
      </c>
      <c r="BU182" s="9">
        <v>0</v>
      </c>
      <c r="BV182" s="9">
        <v>0</v>
      </c>
      <c r="BW182" s="9">
        <v>0</v>
      </c>
      <c r="BX182" s="9">
        <v>0</v>
      </c>
      <c r="BY182" s="9">
        <v>0</v>
      </c>
      <c r="BZ182" s="9">
        <v>0</v>
      </c>
      <c r="CA182" s="9">
        <v>0</v>
      </c>
      <c r="CB182" s="9">
        <v>0</v>
      </c>
      <c r="CC182" s="9">
        <v>0</v>
      </c>
      <c r="CD182" s="9">
        <v>0</v>
      </c>
      <c r="CE182" s="9">
        <v>0</v>
      </c>
      <c r="CF182" s="9">
        <v>0</v>
      </c>
      <c r="CG182" s="9">
        <v>0</v>
      </c>
      <c r="CH182" s="9">
        <v>0</v>
      </c>
      <c r="CI182" s="9">
        <v>0</v>
      </c>
      <c r="CJ182" s="9">
        <v>0</v>
      </c>
      <c r="CK182" s="9">
        <v>0</v>
      </c>
      <c r="CL182" s="9">
        <v>0</v>
      </c>
      <c r="CM182" s="9">
        <v>0</v>
      </c>
      <c r="CN182" s="9">
        <v>0</v>
      </c>
      <c r="CO182" s="9">
        <v>0</v>
      </c>
      <c r="CP182" s="9">
        <v>0</v>
      </c>
      <c r="CQ182" s="9">
        <v>0</v>
      </c>
      <c r="CR182" s="9">
        <v>0</v>
      </c>
      <c r="CS182" s="10">
        <v>0</v>
      </c>
    </row>
    <row r="183" spans="1:97" x14ac:dyDescent="0.35">
      <c r="A183" s="8" t="s">
        <v>174</v>
      </c>
      <c r="B183" s="9" t="s">
        <v>844</v>
      </c>
      <c r="C183" s="9" t="s">
        <v>845</v>
      </c>
      <c r="D183" s="9">
        <f t="shared" si="2"/>
        <v>0</v>
      </c>
      <c r="E183" s="9">
        <v>0</v>
      </c>
      <c r="F183" s="9">
        <v>0</v>
      </c>
      <c r="G183" s="9">
        <v>0</v>
      </c>
      <c r="H183" s="9">
        <v>0</v>
      </c>
      <c r="I183" s="9">
        <v>0</v>
      </c>
      <c r="J183" s="9">
        <v>0</v>
      </c>
      <c r="K183" s="9">
        <v>0</v>
      </c>
      <c r="L183" s="9">
        <v>0</v>
      </c>
      <c r="M183" s="9">
        <v>0</v>
      </c>
      <c r="N183" s="9">
        <v>0</v>
      </c>
      <c r="O183" s="9">
        <v>0</v>
      </c>
      <c r="P183" s="9">
        <v>0</v>
      </c>
      <c r="Q183" s="9">
        <v>0</v>
      </c>
      <c r="R183" s="9">
        <v>0</v>
      </c>
      <c r="S183" s="9">
        <v>0</v>
      </c>
      <c r="T183" s="9">
        <v>0</v>
      </c>
      <c r="U183" s="9">
        <v>0</v>
      </c>
      <c r="V183" s="9">
        <v>0</v>
      </c>
      <c r="W183" s="9">
        <v>0</v>
      </c>
      <c r="X183" s="9">
        <v>0</v>
      </c>
      <c r="Y183" s="9">
        <v>0</v>
      </c>
      <c r="Z183" s="9">
        <v>0</v>
      </c>
      <c r="AA183" s="9">
        <v>0</v>
      </c>
      <c r="AB183" s="9">
        <v>0</v>
      </c>
      <c r="AC183" s="9">
        <v>0</v>
      </c>
      <c r="AD183" s="9">
        <v>0</v>
      </c>
      <c r="AE183" s="9">
        <v>0</v>
      </c>
      <c r="AF183" s="9">
        <v>0</v>
      </c>
      <c r="AG183" s="9">
        <v>0</v>
      </c>
      <c r="AH183" s="9">
        <v>0</v>
      </c>
      <c r="AI183" s="9">
        <v>0</v>
      </c>
      <c r="AJ183" s="9">
        <v>0</v>
      </c>
      <c r="AK183" s="9">
        <v>0</v>
      </c>
      <c r="AL183" s="9">
        <v>0</v>
      </c>
      <c r="AM183" s="9">
        <v>0</v>
      </c>
      <c r="AN183" s="9">
        <v>0</v>
      </c>
      <c r="AO183" s="9">
        <v>0</v>
      </c>
      <c r="AP183" s="9">
        <v>0</v>
      </c>
      <c r="AQ183" s="9">
        <v>0</v>
      </c>
      <c r="AR183" s="9">
        <v>0</v>
      </c>
      <c r="AS183" s="9">
        <v>0</v>
      </c>
      <c r="AT183" s="9">
        <v>0</v>
      </c>
      <c r="AU183" s="9">
        <v>0</v>
      </c>
      <c r="AV183" s="9">
        <v>0</v>
      </c>
      <c r="AW183" s="9">
        <v>0</v>
      </c>
      <c r="AX183" s="9">
        <v>0</v>
      </c>
      <c r="AY183" s="9">
        <v>0</v>
      </c>
      <c r="AZ183" s="9">
        <v>0</v>
      </c>
      <c r="BA183" s="9">
        <v>0</v>
      </c>
      <c r="BB183" s="9">
        <v>0</v>
      </c>
      <c r="BC183" s="9">
        <v>0</v>
      </c>
      <c r="BD183" s="9">
        <v>0</v>
      </c>
      <c r="BE183" s="9">
        <v>0</v>
      </c>
      <c r="BF183" s="9">
        <v>0</v>
      </c>
      <c r="BG183" s="9">
        <v>0</v>
      </c>
      <c r="BH183" s="9">
        <v>0</v>
      </c>
      <c r="BI183" s="9">
        <v>0</v>
      </c>
      <c r="BJ183" s="9">
        <v>0</v>
      </c>
      <c r="BK183" s="9">
        <v>0</v>
      </c>
      <c r="BL183" s="9">
        <v>0</v>
      </c>
      <c r="BM183" s="9">
        <v>0</v>
      </c>
      <c r="BN183" s="9">
        <v>0</v>
      </c>
      <c r="BO183" s="9">
        <v>0</v>
      </c>
      <c r="BP183" s="9">
        <v>0</v>
      </c>
      <c r="BQ183" s="9">
        <v>0</v>
      </c>
      <c r="BR183" s="9">
        <v>0</v>
      </c>
      <c r="BS183" s="9">
        <v>0</v>
      </c>
      <c r="BT183" s="9">
        <v>0</v>
      </c>
      <c r="BU183" s="9">
        <v>0</v>
      </c>
      <c r="BV183" s="9">
        <v>0</v>
      </c>
      <c r="BW183" s="9">
        <v>0</v>
      </c>
      <c r="BX183" s="9">
        <v>0</v>
      </c>
      <c r="BY183" s="9">
        <v>0</v>
      </c>
      <c r="BZ183" s="9">
        <v>0</v>
      </c>
      <c r="CA183" s="9">
        <v>0</v>
      </c>
      <c r="CB183" s="9">
        <v>0</v>
      </c>
      <c r="CC183" s="9">
        <v>0</v>
      </c>
      <c r="CD183" s="9">
        <v>0</v>
      </c>
      <c r="CE183" s="9">
        <v>0</v>
      </c>
      <c r="CF183" s="9">
        <v>0</v>
      </c>
      <c r="CG183" s="9">
        <v>0</v>
      </c>
      <c r="CH183" s="9">
        <v>0</v>
      </c>
      <c r="CI183" s="9">
        <v>0</v>
      </c>
      <c r="CJ183" s="9">
        <v>0</v>
      </c>
      <c r="CK183" s="9">
        <v>0</v>
      </c>
      <c r="CL183" s="9">
        <v>0</v>
      </c>
      <c r="CM183" s="9">
        <v>0</v>
      </c>
      <c r="CN183" s="9">
        <v>0</v>
      </c>
      <c r="CO183" s="9">
        <v>0</v>
      </c>
      <c r="CP183" s="9">
        <v>0</v>
      </c>
      <c r="CQ183" s="9">
        <v>0</v>
      </c>
      <c r="CR183" s="9">
        <v>0</v>
      </c>
      <c r="CS183" s="10">
        <v>0</v>
      </c>
    </row>
    <row r="184" spans="1:97" x14ac:dyDescent="0.35">
      <c r="A184" s="8" t="s">
        <v>174</v>
      </c>
      <c r="B184" s="9" t="s">
        <v>846</v>
      </c>
      <c r="C184" s="9" t="s">
        <v>847</v>
      </c>
      <c r="D184" s="9">
        <f t="shared" si="2"/>
        <v>0</v>
      </c>
      <c r="E184" s="9">
        <v>0</v>
      </c>
      <c r="F184" s="9">
        <v>0</v>
      </c>
      <c r="G184" s="9">
        <v>0</v>
      </c>
      <c r="H184" s="9">
        <v>0</v>
      </c>
      <c r="I184" s="9">
        <v>0</v>
      </c>
      <c r="J184" s="9">
        <v>0</v>
      </c>
      <c r="K184" s="9">
        <v>0</v>
      </c>
      <c r="L184" s="9">
        <v>0</v>
      </c>
      <c r="M184" s="9">
        <v>0</v>
      </c>
      <c r="N184" s="9">
        <v>0</v>
      </c>
      <c r="O184" s="9">
        <v>0</v>
      </c>
      <c r="P184" s="9">
        <v>0</v>
      </c>
      <c r="Q184" s="9">
        <v>0</v>
      </c>
      <c r="R184" s="9">
        <v>0</v>
      </c>
      <c r="S184" s="9">
        <v>0</v>
      </c>
      <c r="T184" s="9">
        <v>0</v>
      </c>
      <c r="U184" s="9">
        <v>0</v>
      </c>
      <c r="V184" s="9">
        <v>0</v>
      </c>
      <c r="W184" s="9">
        <v>0</v>
      </c>
      <c r="X184" s="9">
        <v>0</v>
      </c>
      <c r="Y184" s="9">
        <v>0</v>
      </c>
      <c r="Z184" s="9">
        <v>0</v>
      </c>
      <c r="AA184" s="9">
        <v>0</v>
      </c>
      <c r="AB184" s="9">
        <v>0</v>
      </c>
      <c r="AC184" s="9">
        <v>0</v>
      </c>
      <c r="AD184" s="9">
        <v>0</v>
      </c>
      <c r="AE184" s="9">
        <v>0</v>
      </c>
      <c r="AF184" s="9">
        <v>0</v>
      </c>
      <c r="AG184" s="9">
        <v>0</v>
      </c>
      <c r="AH184" s="9">
        <v>0</v>
      </c>
      <c r="AI184" s="9">
        <v>0</v>
      </c>
      <c r="AJ184" s="9">
        <v>0</v>
      </c>
      <c r="AK184" s="9">
        <v>0</v>
      </c>
      <c r="AL184" s="9">
        <v>0</v>
      </c>
      <c r="AM184" s="9">
        <v>0</v>
      </c>
      <c r="AN184" s="9">
        <v>0</v>
      </c>
      <c r="AO184" s="9">
        <v>0</v>
      </c>
      <c r="AP184" s="9">
        <v>0</v>
      </c>
      <c r="AQ184" s="9">
        <v>0</v>
      </c>
      <c r="AR184" s="9">
        <v>0</v>
      </c>
      <c r="AS184" s="9">
        <v>0</v>
      </c>
      <c r="AT184" s="9">
        <v>0</v>
      </c>
      <c r="AU184" s="9">
        <v>0</v>
      </c>
      <c r="AV184" s="9">
        <v>0</v>
      </c>
      <c r="AW184" s="9">
        <v>0</v>
      </c>
      <c r="AX184" s="9">
        <v>0</v>
      </c>
      <c r="AY184" s="9">
        <v>0</v>
      </c>
      <c r="AZ184" s="9">
        <v>0</v>
      </c>
      <c r="BA184" s="9">
        <v>0</v>
      </c>
      <c r="BB184" s="9">
        <v>0</v>
      </c>
      <c r="BC184" s="9">
        <v>0</v>
      </c>
      <c r="BD184" s="9">
        <v>0</v>
      </c>
      <c r="BE184" s="9">
        <v>0</v>
      </c>
      <c r="BF184" s="9">
        <v>0</v>
      </c>
      <c r="BG184" s="9">
        <v>0</v>
      </c>
      <c r="BH184" s="9">
        <v>0</v>
      </c>
      <c r="BI184" s="9">
        <v>0</v>
      </c>
      <c r="BJ184" s="9">
        <v>0</v>
      </c>
      <c r="BK184" s="9">
        <v>0</v>
      </c>
      <c r="BL184" s="9">
        <v>0</v>
      </c>
      <c r="BM184" s="9">
        <v>0</v>
      </c>
      <c r="BN184" s="9">
        <v>0</v>
      </c>
      <c r="BO184" s="9">
        <v>0</v>
      </c>
      <c r="BP184" s="9">
        <v>0</v>
      </c>
      <c r="BQ184" s="9">
        <v>0</v>
      </c>
      <c r="BR184" s="9">
        <v>0</v>
      </c>
      <c r="BS184" s="9">
        <v>0</v>
      </c>
      <c r="BT184" s="9">
        <v>0</v>
      </c>
      <c r="BU184" s="9">
        <v>0</v>
      </c>
      <c r="BV184" s="9">
        <v>0</v>
      </c>
      <c r="BW184" s="9">
        <v>0</v>
      </c>
      <c r="BX184" s="9">
        <v>0</v>
      </c>
      <c r="BY184" s="9">
        <v>0</v>
      </c>
      <c r="BZ184" s="9">
        <v>0</v>
      </c>
      <c r="CA184" s="9">
        <v>0</v>
      </c>
      <c r="CB184" s="9">
        <v>0</v>
      </c>
      <c r="CC184" s="9">
        <v>0</v>
      </c>
      <c r="CD184" s="9">
        <v>0</v>
      </c>
      <c r="CE184" s="9">
        <v>0</v>
      </c>
      <c r="CF184" s="9">
        <v>0</v>
      </c>
      <c r="CG184" s="9">
        <v>0</v>
      </c>
      <c r="CH184" s="9">
        <v>0</v>
      </c>
      <c r="CI184" s="9">
        <v>0</v>
      </c>
      <c r="CJ184" s="9">
        <v>0</v>
      </c>
      <c r="CK184" s="9">
        <v>0</v>
      </c>
      <c r="CL184" s="9">
        <v>0</v>
      </c>
      <c r="CM184" s="9">
        <v>0</v>
      </c>
      <c r="CN184" s="9">
        <v>0</v>
      </c>
      <c r="CO184" s="9">
        <v>0</v>
      </c>
      <c r="CP184" s="9">
        <v>0</v>
      </c>
      <c r="CQ184" s="9">
        <v>0</v>
      </c>
      <c r="CR184" s="9">
        <v>0</v>
      </c>
      <c r="CS184" s="10">
        <v>0</v>
      </c>
    </row>
    <row r="185" spans="1:97" x14ac:dyDescent="0.35">
      <c r="A185" s="8" t="s">
        <v>174</v>
      </c>
      <c r="B185" s="9" t="s">
        <v>848</v>
      </c>
      <c r="C185" s="9" t="s">
        <v>849</v>
      </c>
      <c r="D185" s="9">
        <f t="shared" si="2"/>
        <v>0</v>
      </c>
      <c r="E185" s="9">
        <v>0</v>
      </c>
      <c r="F185" s="9">
        <v>0</v>
      </c>
      <c r="G185" s="9">
        <v>0</v>
      </c>
      <c r="H185" s="9">
        <v>0</v>
      </c>
      <c r="I185" s="9">
        <v>0</v>
      </c>
      <c r="J185" s="9">
        <v>0</v>
      </c>
      <c r="K185" s="9">
        <v>0</v>
      </c>
      <c r="L185" s="9">
        <v>0</v>
      </c>
      <c r="M185" s="9">
        <v>0</v>
      </c>
      <c r="N185" s="9">
        <v>0</v>
      </c>
      <c r="O185" s="9">
        <v>0</v>
      </c>
      <c r="P185" s="9">
        <v>0</v>
      </c>
      <c r="Q185" s="9">
        <v>0</v>
      </c>
      <c r="R185" s="9">
        <v>0</v>
      </c>
      <c r="S185" s="9">
        <v>0</v>
      </c>
      <c r="T185" s="9">
        <v>0</v>
      </c>
      <c r="U185" s="9">
        <v>0</v>
      </c>
      <c r="V185" s="9">
        <v>0</v>
      </c>
      <c r="W185" s="9">
        <v>0</v>
      </c>
      <c r="X185" s="9">
        <v>0</v>
      </c>
      <c r="Y185" s="9">
        <v>0</v>
      </c>
      <c r="Z185" s="9">
        <v>0</v>
      </c>
      <c r="AA185" s="9">
        <v>0</v>
      </c>
      <c r="AB185" s="9">
        <v>0</v>
      </c>
      <c r="AC185" s="9">
        <v>0</v>
      </c>
      <c r="AD185" s="9">
        <v>0</v>
      </c>
      <c r="AE185" s="9">
        <v>0</v>
      </c>
      <c r="AF185" s="9">
        <v>0</v>
      </c>
      <c r="AG185" s="9">
        <v>0</v>
      </c>
      <c r="AH185" s="9">
        <v>0</v>
      </c>
      <c r="AI185" s="9">
        <v>0</v>
      </c>
      <c r="AJ185" s="9">
        <v>0</v>
      </c>
      <c r="AK185" s="9">
        <v>0</v>
      </c>
      <c r="AL185" s="9">
        <v>0</v>
      </c>
      <c r="AM185" s="9">
        <v>0</v>
      </c>
      <c r="AN185" s="9">
        <v>0</v>
      </c>
      <c r="AO185" s="9">
        <v>0</v>
      </c>
      <c r="AP185" s="9">
        <v>0</v>
      </c>
      <c r="AQ185" s="9">
        <v>0</v>
      </c>
      <c r="AR185" s="9">
        <v>0</v>
      </c>
      <c r="AS185" s="9">
        <v>0</v>
      </c>
      <c r="AT185" s="9">
        <v>0</v>
      </c>
      <c r="AU185" s="9">
        <v>0</v>
      </c>
      <c r="AV185" s="9">
        <v>0</v>
      </c>
      <c r="AW185" s="9">
        <v>0</v>
      </c>
      <c r="AX185" s="9">
        <v>0</v>
      </c>
      <c r="AY185" s="9">
        <v>0</v>
      </c>
      <c r="AZ185" s="9">
        <v>0</v>
      </c>
      <c r="BA185" s="9">
        <v>0</v>
      </c>
      <c r="BB185" s="9">
        <v>0</v>
      </c>
      <c r="BC185" s="9">
        <v>0</v>
      </c>
      <c r="BD185" s="9">
        <v>0</v>
      </c>
      <c r="BE185" s="9">
        <v>0</v>
      </c>
      <c r="BF185" s="9">
        <v>0</v>
      </c>
      <c r="BG185" s="9">
        <v>0</v>
      </c>
      <c r="BH185" s="9">
        <v>0</v>
      </c>
      <c r="BI185" s="9">
        <v>0</v>
      </c>
      <c r="BJ185" s="9">
        <v>0</v>
      </c>
      <c r="BK185" s="9">
        <v>0</v>
      </c>
      <c r="BL185" s="9">
        <v>0</v>
      </c>
      <c r="BM185" s="9">
        <v>0</v>
      </c>
      <c r="BN185" s="9">
        <v>0</v>
      </c>
      <c r="BO185" s="9">
        <v>0</v>
      </c>
      <c r="BP185" s="9">
        <v>0</v>
      </c>
      <c r="BQ185" s="9">
        <v>0</v>
      </c>
      <c r="BR185" s="9">
        <v>0</v>
      </c>
      <c r="BS185" s="9">
        <v>0</v>
      </c>
      <c r="BT185" s="9">
        <v>0</v>
      </c>
      <c r="BU185" s="9">
        <v>0</v>
      </c>
      <c r="BV185" s="9">
        <v>0</v>
      </c>
      <c r="BW185" s="9">
        <v>0</v>
      </c>
      <c r="BX185" s="9">
        <v>0</v>
      </c>
      <c r="BY185" s="9">
        <v>0</v>
      </c>
      <c r="BZ185" s="9">
        <v>0</v>
      </c>
      <c r="CA185" s="9">
        <v>0</v>
      </c>
      <c r="CB185" s="9">
        <v>0</v>
      </c>
      <c r="CC185" s="9">
        <v>0</v>
      </c>
      <c r="CD185" s="9">
        <v>0</v>
      </c>
      <c r="CE185" s="9">
        <v>0</v>
      </c>
      <c r="CF185" s="9">
        <v>0</v>
      </c>
      <c r="CG185" s="9">
        <v>0</v>
      </c>
      <c r="CH185" s="9">
        <v>0</v>
      </c>
      <c r="CI185" s="9">
        <v>0</v>
      </c>
      <c r="CJ185" s="9">
        <v>0</v>
      </c>
      <c r="CK185" s="9">
        <v>0</v>
      </c>
      <c r="CL185" s="9">
        <v>0</v>
      </c>
      <c r="CM185" s="9">
        <v>0</v>
      </c>
      <c r="CN185" s="9">
        <v>0</v>
      </c>
      <c r="CO185" s="9">
        <v>0</v>
      </c>
      <c r="CP185" s="9">
        <v>0</v>
      </c>
      <c r="CQ185" s="9">
        <v>0</v>
      </c>
      <c r="CR185" s="9">
        <v>0</v>
      </c>
      <c r="CS185" s="10">
        <v>0</v>
      </c>
    </row>
    <row r="186" spans="1:97" x14ac:dyDescent="0.35">
      <c r="A186" s="8" t="s">
        <v>174</v>
      </c>
      <c r="B186" s="9" t="s">
        <v>850</v>
      </c>
      <c r="C186" s="9" t="s">
        <v>851</v>
      </c>
      <c r="D186" s="9">
        <f t="shared" si="2"/>
        <v>0</v>
      </c>
      <c r="E186" s="9">
        <v>0</v>
      </c>
      <c r="F186" s="9">
        <v>0</v>
      </c>
      <c r="G186" s="9">
        <v>0</v>
      </c>
      <c r="H186" s="9">
        <v>0</v>
      </c>
      <c r="I186" s="9">
        <v>0</v>
      </c>
      <c r="J186" s="9">
        <v>0</v>
      </c>
      <c r="K186" s="9">
        <v>0</v>
      </c>
      <c r="L186" s="9">
        <v>0</v>
      </c>
      <c r="M186" s="9">
        <v>0</v>
      </c>
      <c r="N186" s="9">
        <v>0</v>
      </c>
      <c r="O186" s="9">
        <v>0</v>
      </c>
      <c r="P186" s="9">
        <v>0</v>
      </c>
      <c r="Q186" s="9">
        <v>0</v>
      </c>
      <c r="R186" s="9">
        <v>0</v>
      </c>
      <c r="S186" s="9">
        <v>0</v>
      </c>
      <c r="T186" s="9">
        <v>0</v>
      </c>
      <c r="U186" s="9">
        <v>0</v>
      </c>
      <c r="V186" s="9">
        <v>0</v>
      </c>
      <c r="W186" s="9">
        <v>0</v>
      </c>
      <c r="X186" s="9">
        <v>0</v>
      </c>
      <c r="Y186" s="9">
        <v>0</v>
      </c>
      <c r="Z186" s="9">
        <v>0</v>
      </c>
      <c r="AA186" s="9">
        <v>0</v>
      </c>
      <c r="AB186" s="9">
        <v>0</v>
      </c>
      <c r="AC186" s="9">
        <v>0</v>
      </c>
      <c r="AD186" s="9">
        <v>0</v>
      </c>
      <c r="AE186" s="9">
        <v>0</v>
      </c>
      <c r="AF186" s="9">
        <v>0</v>
      </c>
      <c r="AG186" s="9">
        <v>0</v>
      </c>
      <c r="AH186" s="9">
        <v>0</v>
      </c>
      <c r="AI186" s="9">
        <v>0</v>
      </c>
      <c r="AJ186" s="9">
        <v>0</v>
      </c>
      <c r="AK186" s="9">
        <v>0</v>
      </c>
      <c r="AL186" s="9">
        <v>0</v>
      </c>
      <c r="AM186" s="9">
        <v>0</v>
      </c>
      <c r="AN186" s="9">
        <v>0</v>
      </c>
      <c r="AO186" s="9">
        <v>0</v>
      </c>
      <c r="AP186" s="9">
        <v>0</v>
      </c>
      <c r="AQ186" s="9">
        <v>0</v>
      </c>
      <c r="AR186" s="9">
        <v>0</v>
      </c>
      <c r="AS186" s="9">
        <v>0</v>
      </c>
      <c r="AT186" s="9">
        <v>0</v>
      </c>
      <c r="AU186" s="9">
        <v>0</v>
      </c>
      <c r="AV186" s="9">
        <v>0</v>
      </c>
      <c r="AW186" s="9">
        <v>0</v>
      </c>
      <c r="AX186" s="9">
        <v>0</v>
      </c>
      <c r="AY186" s="9">
        <v>0</v>
      </c>
      <c r="AZ186" s="9">
        <v>0</v>
      </c>
      <c r="BA186" s="9">
        <v>0</v>
      </c>
      <c r="BB186" s="9">
        <v>0</v>
      </c>
      <c r="BC186" s="9">
        <v>0</v>
      </c>
      <c r="BD186" s="9">
        <v>0</v>
      </c>
      <c r="BE186" s="9">
        <v>0</v>
      </c>
      <c r="BF186" s="9">
        <v>0</v>
      </c>
      <c r="BG186" s="9">
        <v>0</v>
      </c>
      <c r="BH186" s="9">
        <v>0</v>
      </c>
      <c r="BI186" s="9">
        <v>0</v>
      </c>
      <c r="BJ186" s="9">
        <v>0</v>
      </c>
      <c r="BK186" s="9">
        <v>0</v>
      </c>
      <c r="BL186" s="9">
        <v>0</v>
      </c>
      <c r="BM186" s="9">
        <v>0</v>
      </c>
      <c r="BN186" s="9">
        <v>0</v>
      </c>
      <c r="BO186" s="9">
        <v>0</v>
      </c>
      <c r="BP186" s="9">
        <v>0</v>
      </c>
      <c r="BQ186" s="9">
        <v>0</v>
      </c>
      <c r="BR186" s="9">
        <v>0</v>
      </c>
      <c r="BS186" s="9">
        <v>0</v>
      </c>
      <c r="BT186" s="9">
        <v>0</v>
      </c>
      <c r="BU186" s="9">
        <v>0</v>
      </c>
      <c r="BV186" s="9">
        <v>0</v>
      </c>
      <c r="BW186" s="9">
        <v>0</v>
      </c>
      <c r="BX186" s="9">
        <v>0</v>
      </c>
      <c r="BY186" s="9">
        <v>0</v>
      </c>
      <c r="BZ186" s="9">
        <v>0</v>
      </c>
      <c r="CA186" s="9">
        <v>0</v>
      </c>
      <c r="CB186" s="9">
        <v>0</v>
      </c>
      <c r="CC186" s="9">
        <v>0</v>
      </c>
      <c r="CD186" s="9">
        <v>0</v>
      </c>
      <c r="CE186" s="9">
        <v>0</v>
      </c>
      <c r="CF186" s="9">
        <v>0</v>
      </c>
      <c r="CG186" s="9">
        <v>0</v>
      </c>
      <c r="CH186" s="9">
        <v>0</v>
      </c>
      <c r="CI186" s="9">
        <v>0</v>
      </c>
      <c r="CJ186" s="9">
        <v>0</v>
      </c>
      <c r="CK186" s="9">
        <v>0</v>
      </c>
      <c r="CL186" s="9">
        <v>0</v>
      </c>
      <c r="CM186" s="9">
        <v>0</v>
      </c>
      <c r="CN186" s="9">
        <v>0</v>
      </c>
      <c r="CO186" s="9">
        <v>0</v>
      </c>
      <c r="CP186" s="9">
        <v>0</v>
      </c>
      <c r="CQ186" s="9">
        <v>0</v>
      </c>
      <c r="CR186" s="9">
        <v>0</v>
      </c>
      <c r="CS186" s="10">
        <v>0</v>
      </c>
    </row>
    <row r="187" spans="1:97" x14ac:dyDescent="0.35">
      <c r="A187" s="8" t="s">
        <v>174</v>
      </c>
      <c r="B187" s="9" t="s">
        <v>852</v>
      </c>
      <c r="C187" s="9" t="s">
        <v>853</v>
      </c>
      <c r="D187" s="9">
        <f t="shared" si="2"/>
        <v>0</v>
      </c>
      <c r="E187" s="9">
        <v>0</v>
      </c>
      <c r="F187" s="9">
        <v>0</v>
      </c>
      <c r="G187" s="9">
        <v>0</v>
      </c>
      <c r="H187" s="9">
        <v>0</v>
      </c>
      <c r="I187" s="9">
        <v>0</v>
      </c>
      <c r="J187" s="9">
        <v>0</v>
      </c>
      <c r="K187" s="9">
        <v>0</v>
      </c>
      <c r="L187" s="9">
        <v>0</v>
      </c>
      <c r="M187" s="9">
        <v>0</v>
      </c>
      <c r="N187" s="9">
        <v>0</v>
      </c>
      <c r="O187" s="9">
        <v>0</v>
      </c>
      <c r="P187" s="9">
        <v>0</v>
      </c>
      <c r="Q187" s="9">
        <v>0</v>
      </c>
      <c r="R187" s="9">
        <v>0</v>
      </c>
      <c r="S187" s="9">
        <v>0</v>
      </c>
      <c r="T187" s="9">
        <v>0</v>
      </c>
      <c r="U187" s="9">
        <v>0</v>
      </c>
      <c r="V187" s="9">
        <v>0</v>
      </c>
      <c r="W187" s="9">
        <v>0</v>
      </c>
      <c r="X187" s="9">
        <v>0</v>
      </c>
      <c r="Y187" s="9">
        <v>0</v>
      </c>
      <c r="Z187" s="9">
        <v>0</v>
      </c>
      <c r="AA187" s="9">
        <v>0</v>
      </c>
      <c r="AB187" s="9">
        <v>0</v>
      </c>
      <c r="AC187" s="9">
        <v>0</v>
      </c>
      <c r="AD187" s="9">
        <v>0</v>
      </c>
      <c r="AE187" s="9">
        <v>0</v>
      </c>
      <c r="AF187" s="9">
        <v>0</v>
      </c>
      <c r="AG187" s="9">
        <v>0</v>
      </c>
      <c r="AH187" s="9">
        <v>0</v>
      </c>
      <c r="AI187" s="9">
        <v>0</v>
      </c>
      <c r="AJ187" s="9">
        <v>0</v>
      </c>
      <c r="AK187" s="9">
        <v>0</v>
      </c>
      <c r="AL187" s="9">
        <v>0</v>
      </c>
      <c r="AM187" s="9">
        <v>0</v>
      </c>
      <c r="AN187" s="9">
        <v>0</v>
      </c>
      <c r="AO187" s="9">
        <v>0</v>
      </c>
      <c r="AP187" s="9">
        <v>0</v>
      </c>
      <c r="AQ187" s="9">
        <v>0</v>
      </c>
      <c r="AR187" s="9">
        <v>0</v>
      </c>
      <c r="AS187" s="9">
        <v>0</v>
      </c>
      <c r="AT187" s="9">
        <v>0</v>
      </c>
      <c r="AU187" s="9">
        <v>0</v>
      </c>
      <c r="AV187" s="9">
        <v>0</v>
      </c>
      <c r="AW187" s="9">
        <v>0</v>
      </c>
      <c r="AX187" s="9">
        <v>0</v>
      </c>
      <c r="AY187" s="9">
        <v>0</v>
      </c>
      <c r="AZ187" s="9">
        <v>0</v>
      </c>
      <c r="BA187" s="9">
        <v>0</v>
      </c>
      <c r="BB187" s="9">
        <v>0</v>
      </c>
      <c r="BC187" s="9">
        <v>0</v>
      </c>
      <c r="BD187" s="9">
        <v>0</v>
      </c>
      <c r="BE187" s="9">
        <v>0</v>
      </c>
      <c r="BF187" s="9">
        <v>0</v>
      </c>
      <c r="BG187" s="9">
        <v>0</v>
      </c>
      <c r="BH187" s="9">
        <v>0</v>
      </c>
      <c r="BI187" s="9">
        <v>0</v>
      </c>
      <c r="BJ187" s="9">
        <v>0</v>
      </c>
      <c r="BK187" s="9">
        <v>0</v>
      </c>
      <c r="BL187" s="9">
        <v>0</v>
      </c>
      <c r="BM187" s="9">
        <v>0</v>
      </c>
      <c r="BN187" s="9">
        <v>0</v>
      </c>
      <c r="BO187" s="9">
        <v>0</v>
      </c>
      <c r="BP187" s="9">
        <v>0</v>
      </c>
      <c r="BQ187" s="9">
        <v>0</v>
      </c>
      <c r="BR187" s="9">
        <v>0</v>
      </c>
      <c r="BS187" s="9">
        <v>0</v>
      </c>
      <c r="BT187" s="9">
        <v>0</v>
      </c>
      <c r="BU187" s="9">
        <v>0</v>
      </c>
      <c r="BV187" s="9">
        <v>0</v>
      </c>
      <c r="BW187" s="9">
        <v>0</v>
      </c>
      <c r="BX187" s="9">
        <v>0</v>
      </c>
      <c r="BY187" s="9">
        <v>0</v>
      </c>
      <c r="BZ187" s="9">
        <v>0</v>
      </c>
      <c r="CA187" s="9">
        <v>0</v>
      </c>
      <c r="CB187" s="9">
        <v>0</v>
      </c>
      <c r="CC187" s="9">
        <v>0</v>
      </c>
      <c r="CD187" s="9">
        <v>0</v>
      </c>
      <c r="CE187" s="9">
        <v>0</v>
      </c>
      <c r="CF187" s="9">
        <v>0</v>
      </c>
      <c r="CG187" s="9">
        <v>0</v>
      </c>
      <c r="CH187" s="9">
        <v>0</v>
      </c>
      <c r="CI187" s="9">
        <v>0</v>
      </c>
      <c r="CJ187" s="9">
        <v>0</v>
      </c>
      <c r="CK187" s="9">
        <v>0</v>
      </c>
      <c r="CL187" s="9">
        <v>0</v>
      </c>
      <c r="CM187" s="9">
        <v>0</v>
      </c>
      <c r="CN187" s="9">
        <v>0</v>
      </c>
      <c r="CO187" s="9">
        <v>0</v>
      </c>
      <c r="CP187" s="9">
        <v>0</v>
      </c>
      <c r="CQ187" s="9">
        <v>0</v>
      </c>
      <c r="CR187" s="9">
        <v>0</v>
      </c>
      <c r="CS187" s="10">
        <v>0</v>
      </c>
    </row>
    <row r="188" spans="1:97" x14ac:dyDescent="0.35">
      <c r="A188" s="8" t="s">
        <v>174</v>
      </c>
      <c r="B188" s="9" t="s">
        <v>854</v>
      </c>
      <c r="C188" s="9" t="s">
        <v>855</v>
      </c>
      <c r="D188" s="9">
        <f t="shared" si="2"/>
        <v>0</v>
      </c>
      <c r="E188" s="9">
        <v>0</v>
      </c>
      <c r="F188" s="9">
        <v>0</v>
      </c>
      <c r="G188" s="9">
        <v>0</v>
      </c>
      <c r="H188" s="9">
        <v>0</v>
      </c>
      <c r="I188" s="9">
        <v>0</v>
      </c>
      <c r="J188" s="9">
        <v>0</v>
      </c>
      <c r="K188" s="9">
        <v>0</v>
      </c>
      <c r="L188" s="9">
        <v>0</v>
      </c>
      <c r="M188" s="9">
        <v>0</v>
      </c>
      <c r="N188" s="9">
        <v>0</v>
      </c>
      <c r="O188" s="9">
        <v>0</v>
      </c>
      <c r="P188" s="9">
        <v>0</v>
      </c>
      <c r="Q188" s="9">
        <v>0</v>
      </c>
      <c r="R188" s="9">
        <v>0</v>
      </c>
      <c r="S188" s="9">
        <v>0</v>
      </c>
      <c r="T188" s="9">
        <v>0</v>
      </c>
      <c r="U188" s="9">
        <v>0</v>
      </c>
      <c r="V188" s="9">
        <v>0</v>
      </c>
      <c r="W188" s="9">
        <v>0</v>
      </c>
      <c r="X188" s="9">
        <v>0</v>
      </c>
      <c r="Y188" s="9">
        <v>0</v>
      </c>
      <c r="Z188" s="9">
        <v>0</v>
      </c>
      <c r="AA188" s="9">
        <v>0</v>
      </c>
      <c r="AB188" s="9">
        <v>0</v>
      </c>
      <c r="AC188" s="9">
        <v>0</v>
      </c>
      <c r="AD188" s="9">
        <v>0</v>
      </c>
      <c r="AE188" s="9">
        <v>0</v>
      </c>
      <c r="AF188" s="9">
        <v>0</v>
      </c>
      <c r="AG188" s="9">
        <v>0</v>
      </c>
      <c r="AH188" s="9">
        <v>0</v>
      </c>
      <c r="AI188" s="9">
        <v>0</v>
      </c>
      <c r="AJ188" s="9">
        <v>0</v>
      </c>
      <c r="AK188" s="9">
        <v>0</v>
      </c>
      <c r="AL188" s="9">
        <v>0</v>
      </c>
      <c r="AM188" s="9">
        <v>0</v>
      </c>
      <c r="AN188" s="9">
        <v>0</v>
      </c>
      <c r="AO188" s="9">
        <v>0</v>
      </c>
      <c r="AP188" s="9">
        <v>0</v>
      </c>
      <c r="AQ188" s="9">
        <v>0</v>
      </c>
      <c r="AR188" s="9">
        <v>0</v>
      </c>
      <c r="AS188" s="9">
        <v>0</v>
      </c>
      <c r="AT188" s="9">
        <v>0</v>
      </c>
      <c r="AU188" s="9">
        <v>0</v>
      </c>
      <c r="AV188" s="9">
        <v>0</v>
      </c>
      <c r="AW188" s="9">
        <v>0</v>
      </c>
      <c r="AX188" s="9">
        <v>0</v>
      </c>
      <c r="AY188" s="9">
        <v>0</v>
      </c>
      <c r="AZ188" s="9">
        <v>0</v>
      </c>
      <c r="BA188" s="9">
        <v>0</v>
      </c>
      <c r="BB188" s="9">
        <v>0</v>
      </c>
      <c r="BC188" s="9">
        <v>0</v>
      </c>
      <c r="BD188" s="9">
        <v>0</v>
      </c>
      <c r="BE188" s="9">
        <v>0</v>
      </c>
      <c r="BF188" s="9">
        <v>0</v>
      </c>
      <c r="BG188" s="9">
        <v>0</v>
      </c>
      <c r="BH188" s="9">
        <v>0</v>
      </c>
      <c r="BI188" s="9">
        <v>0</v>
      </c>
      <c r="BJ188" s="9">
        <v>0</v>
      </c>
      <c r="BK188" s="9">
        <v>0</v>
      </c>
      <c r="BL188" s="9">
        <v>0</v>
      </c>
      <c r="BM188" s="9">
        <v>0</v>
      </c>
      <c r="BN188" s="9">
        <v>0</v>
      </c>
      <c r="BO188" s="9">
        <v>0</v>
      </c>
      <c r="BP188" s="9">
        <v>0</v>
      </c>
      <c r="BQ188" s="9">
        <v>0</v>
      </c>
      <c r="BR188" s="9">
        <v>0</v>
      </c>
      <c r="BS188" s="9">
        <v>0</v>
      </c>
      <c r="BT188" s="9">
        <v>0</v>
      </c>
      <c r="BU188" s="9">
        <v>0</v>
      </c>
      <c r="BV188" s="9">
        <v>0</v>
      </c>
      <c r="BW188" s="9">
        <v>0</v>
      </c>
      <c r="BX188" s="9">
        <v>0</v>
      </c>
      <c r="BY188" s="9">
        <v>0</v>
      </c>
      <c r="BZ188" s="9">
        <v>0</v>
      </c>
      <c r="CA188" s="9">
        <v>0</v>
      </c>
      <c r="CB188" s="9">
        <v>0</v>
      </c>
      <c r="CC188" s="9">
        <v>0</v>
      </c>
      <c r="CD188" s="9">
        <v>0</v>
      </c>
      <c r="CE188" s="9">
        <v>0</v>
      </c>
      <c r="CF188" s="9">
        <v>0</v>
      </c>
      <c r="CG188" s="9">
        <v>0</v>
      </c>
      <c r="CH188" s="9">
        <v>0</v>
      </c>
      <c r="CI188" s="9">
        <v>0</v>
      </c>
      <c r="CJ188" s="9">
        <v>0</v>
      </c>
      <c r="CK188" s="9">
        <v>0</v>
      </c>
      <c r="CL188" s="9">
        <v>0</v>
      </c>
      <c r="CM188" s="9">
        <v>0</v>
      </c>
      <c r="CN188" s="9">
        <v>0</v>
      </c>
      <c r="CO188" s="9">
        <v>0</v>
      </c>
      <c r="CP188" s="9">
        <v>0</v>
      </c>
      <c r="CQ188" s="9">
        <v>0</v>
      </c>
      <c r="CR188" s="9">
        <v>0</v>
      </c>
      <c r="CS188" s="10">
        <v>0</v>
      </c>
    </row>
    <row r="189" spans="1:97" x14ac:dyDescent="0.35">
      <c r="A189" s="8" t="s">
        <v>174</v>
      </c>
      <c r="B189" s="9" t="s">
        <v>856</v>
      </c>
      <c r="C189" s="9" t="s">
        <v>857</v>
      </c>
      <c r="D189" s="9">
        <f t="shared" si="2"/>
        <v>0</v>
      </c>
      <c r="E189" s="9">
        <v>0</v>
      </c>
      <c r="F189" s="9">
        <v>0</v>
      </c>
      <c r="G189" s="9">
        <v>0</v>
      </c>
      <c r="H189" s="9">
        <v>0</v>
      </c>
      <c r="I189" s="9">
        <v>0</v>
      </c>
      <c r="J189" s="9">
        <v>0</v>
      </c>
      <c r="K189" s="9">
        <v>0</v>
      </c>
      <c r="L189" s="9">
        <v>0</v>
      </c>
      <c r="M189" s="9">
        <v>0</v>
      </c>
      <c r="N189" s="9">
        <v>0</v>
      </c>
      <c r="O189" s="9">
        <v>0</v>
      </c>
      <c r="P189" s="9">
        <v>0</v>
      </c>
      <c r="Q189" s="9">
        <v>0</v>
      </c>
      <c r="R189" s="9">
        <v>0</v>
      </c>
      <c r="S189" s="9">
        <v>0</v>
      </c>
      <c r="T189" s="9">
        <v>0</v>
      </c>
      <c r="U189" s="9">
        <v>0</v>
      </c>
      <c r="V189" s="9">
        <v>0</v>
      </c>
      <c r="W189" s="9">
        <v>0</v>
      </c>
      <c r="X189" s="9">
        <v>0</v>
      </c>
      <c r="Y189" s="9">
        <v>0</v>
      </c>
      <c r="Z189" s="9">
        <v>0</v>
      </c>
      <c r="AA189" s="9">
        <v>0</v>
      </c>
      <c r="AB189" s="9">
        <v>0</v>
      </c>
      <c r="AC189" s="9">
        <v>0</v>
      </c>
      <c r="AD189" s="9">
        <v>0</v>
      </c>
      <c r="AE189" s="9">
        <v>0</v>
      </c>
      <c r="AF189" s="9">
        <v>0</v>
      </c>
      <c r="AG189" s="9">
        <v>0</v>
      </c>
      <c r="AH189" s="9">
        <v>0</v>
      </c>
      <c r="AI189" s="9">
        <v>0</v>
      </c>
      <c r="AJ189" s="9">
        <v>0</v>
      </c>
      <c r="AK189" s="9">
        <v>0</v>
      </c>
      <c r="AL189" s="9">
        <v>0</v>
      </c>
      <c r="AM189" s="9">
        <v>0</v>
      </c>
      <c r="AN189" s="9">
        <v>0</v>
      </c>
      <c r="AO189" s="9">
        <v>0</v>
      </c>
      <c r="AP189" s="9">
        <v>0</v>
      </c>
      <c r="AQ189" s="9">
        <v>0</v>
      </c>
      <c r="AR189" s="9">
        <v>0</v>
      </c>
      <c r="AS189" s="9">
        <v>0</v>
      </c>
      <c r="AT189" s="9">
        <v>0</v>
      </c>
      <c r="AU189" s="9">
        <v>0</v>
      </c>
      <c r="AV189" s="9">
        <v>0</v>
      </c>
      <c r="AW189" s="9">
        <v>0</v>
      </c>
      <c r="AX189" s="9">
        <v>0</v>
      </c>
      <c r="AY189" s="9">
        <v>0</v>
      </c>
      <c r="AZ189" s="9">
        <v>0</v>
      </c>
      <c r="BA189" s="9">
        <v>0</v>
      </c>
      <c r="BB189" s="9">
        <v>0</v>
      </c>
      <c r="BC189" s="9">
        <v>0</v>
      </c>
      <c r="BD189" s="9">
        <v>0</v>
      </c>
      <c r="BE189" s="9">
        <v>0</v>
      </c>
      <c r="BF189" s="9">
        <v>0</v>
      </c>
      <c r="BG189" s="9">
        <v>0</v>
      </c>
      <c r="BH189" s="9">
        <v>0</v>
      </c>
      <c r="BI189" s="9">
        <v>0</v>
      </c>
      <c r="BJ189" s="9">
        <v>0</v>
      </c>
      <c r="BK189" s="9">
        <v>0</v>
      </c>
      <c r="BL189" s="9">
        <v>0</v>
      </c>
      <c r="BM189" s="9">
        <v>0</v>
      </c>
      <c r="BN189" s="9">
        <v>0</v>
      </c>
      <c r="BO189" s="9">
        <v>0</v>
      </c>
      <c r="BP189" s="9">
        <v>0</v>
      </c>
      <c r="BQ189" s="9">
        <v>0</v>
      </c>
      <c r="BR189" s="9">
        <v>0</v>
      </c>
      <c r="BS189" s="9">
        <v>0</v>
      </c>
      <c r="BT189" s="9">
        <v>0</v>
      </c>
      <c r="BU189" s="9">
        <v>0</v>
      </c>
      <c r="BV189" s="9">
        <v>0</v>
      </c>
      <c r="BW189" s="9">
        <v>0</v>
      </c>
      <c r="BX189" s="9">
        <v>0</v>
      </c>
      <c r="BY189" s="9">
        <v>0</v>
      </c>
      <c r="BZ189" s="9">
        <v>0</v>
      </c>
      <c r="CA189" s="9">
        <v>0</v>
      </c>
      <c r="CB189" s="9">
        <v>0</v>
      </c>
      <c r="CC189" s="9">
        <v>0</v>
      </c>
      <c r="CD189" s="9">
        <v>0</v>
      </c>
      <c r="CE189" s="9">
        <v>0</v>
      </c>
      <c r="CF189" s="9">
        <v>0</v>
      </c>
      <c r="CG189" s="9">
        <v>0</v>
      </c>
      <c r="CH189" s="9">
        <v>0</v>
      </c>
      <c r="CI189" s="9">
        <v>0</v>
      </c>
      <c r="CJ189" s="9">
        <v>0</v>
      </c>
      <c r="CK189" s="9">
        <v>0</v>
      </c>
      <c r="CL189" s="9">
        <v>0</v>
      </c>
      <c r="CM189" s="9">
        <v>0</v>
      </c>
      <c r="CN189" s="9">
        <v>0</v>
      </c>
      <c r="CO189" s="9">
        <v>0</v>
      </c>
      <c r="CP189" s="9">
        <v>0</v>
      </c>
      <c r="CQ189" s="9">
        <v>0</v>
      </c>
      <c r="CR189" s="9">
        <v>0</v>
      </c>
      <c r="CS189" s="10">
        <v>0</v>
      </c>
    </row>
    <row r="190" spans="1:97" x14ac:dyDescent="0.35">
      <c r="A190" s="8" t="s">
        <v>174</v>
      </c>
      <c r="B190" s="9" t="s">
        <v>858</v>
      </c>
      <c r="C190" s="9" t="s">
        <v>859</v>
      </c>
      <c r="D190" s="9">
        <f t="shared" si="2"/>
        <v>0</v>
      </c>
      <c r="E190" s="9">
        <v>0</v>
      </c>
      <c r="F190" s="9">
        <v>0</v>
      </c>
      <c r="G190" s="9">
        <v>0</v>
      </c>
      <c r="H190" s="9">
        <v>0</v>
      </c>
      <c r="I190" s="9">
        <v>0</v>
      </c>
      <c r="J190" s="9">
        <v>0</v>
      </c>
      <c r="K190" s="9">
        <v>0</v>
      </c>
      <c r="L190" s="9">
        <v>0</v>
      </c>
      <c r="M190" s="9">
        <v>0</v>
      </c>
      <c r="N190" s="9">
        <v>0</v>
      </c>
      <c r="O190" s="9">
        <v>0</v>
      </c>
      <c r="P190" s="9">
        <v>0</v>
      </c>
      <c r="Q190" s="9">
        <v>0</v>
      </c>
      <c r="R190" s="9">
        <v>0</v>
      </c>
      <c r="S190" s="9">
        <v>0</v>
      </c>
      <c r="T190" s="9">
        <v>0</v>
      </c>
      <c r="U190" s="9">
        <v>0</v>
      </c>
      <c r="V190" s="9">
        <v>0</v>
      </c>
      <c r="W190" s="9">
        <v>0</v>
      </c>
      <c r="X190" s="9">
        <v>0</v>
      </c>
      <c r="Y190" s="9">
        <v>0</v>
      </c>
      <c r="Z190" s="9">
        <v>0</v>
      </c>
      <c r="AA190" s="9">
        <v>0</v>
      </c>
      <c r="AB190" s="9">
        <v>0</v>
      </c>
      <c r="AC190" s="9">
        <v>0</v>
      </c>
      <c r="AD190" s="9">
        <v>0</v>
      </c>
      <c r="AE190" s="9">
        <v>0</v>
      </c>
      <c r="AF190" s="9">
        <v>0</v>
      </c>
      <c r="AG190" s="9">
        <v>0</v>
      </c>
      <c r="AH190" s="9">
        <v>0</v>
      </c>
      <c r="AI190" s="9">
        <v>0</v>
      </c>
      <c r="AJ190" s="9">
        <v>0</v>
      </c>
      <c r="AK190" s="9">
        <v>0</v>
      </c>
      <c r="AL190" s="9">
        <v>0</v>
      </c>
      <c r="AM190" s="9">
        <v>0</v>
      </c>
      <c r="AN190" s="9">
        <v>0</v>
      </c>
      <c r="AO190" s="9">
        <v>0</v>
      </c>
      <c r="AP190" s="9">
        <v>0</v>
      </c>
      <c r="AQ190" s="9">
        <v>0</v>
      </c>
      <c r="AR190" s="9">
        <v>0</v>
      </c>
      <c r="AS190" s="9">
        <v>0</v>
      </c>
      <c r="AT190" s="9">
        <v>0</v>
      </c>
      <c r="AU190" s="9">
        <v>0</v>
      </c>
      <c r="AV190" s="9">
        <v>0</v>
      </c>
      <c r="AW190" s="9">
        <v>0</v>
      </c>
      <c r="AX190" s="9">
        <v>0</v>
      </c>
      <c r="AY190" s="9">
        <v>0</v>
      </c>
      <c r="AZ190" s="9">
        <v>0</v>
      </c>
      <c r="BA190" s="9">
        <v>0</v>
      </c>
      <c r="BB190" s="9">
        <v>0</v>
      </c>
      <c r="BC190" s="9">
        <v>0</v>
      </c>
      <c r="BD190" s="9">
        <v>0</v>
      </c>
      <c r="BE190" s="9">
        <v>0</v>
      </c>
      <c r="BF190" s="9">
        <v>0</v>
      </c>
      <c r="BG190" s="9">
        <v>0</v>
      </c>
      <c r="BH190" s="9">
        <v>0</v>
      </c>
      <c r="BI190" s="9">
        <v>0</v>
      </c>
      <c r="BJ190" s="9">
        <v>0</v>
      </c>
      <c r="BK190" s="9">
        <v>0</v>
      </c>
      <c r="BL190" s="9">
        <v>0</v>
      </c>
      <c r="BM190" s="9">
        <v>0</v>
      </c>
      <c r="BN190" s="9">
        <v>0</v>
      </c>
      <c r="BO190" s="9">
        <v>0</v>
      </c>
      <c r="BP190" s="9">
        <v>0</v>
      </c>
      <c r="BQ190" s="9">
        <v>0</v>
      </c>
      <c r="BR190" s="9">
        <v>0</v>
      </c>
      <c r="BS190" s="9">
        <v>0</v>
      </c>
      <c r="BT190" s="9">
        <v>0</v>
      </c>
      <c r="BU190" s="9">
        <v>0</v>
      </c>
      <c r="BV190" s="9">
        <v>0</v>
      </c>
      <c r="BW190" s="9">
        <v>0</v>
      </c>
      <c r="BX190" s="9">
        <v>0</v>
      </c>
      <c r="BY190" s="9">
        <v>0</v>
      </c>
      <c r="BZ190" s="9">
        <v>0</v>
      </c>
      <c r="CA190" s="9">
        <v>0</v>
      </c>
      <c r="CB190" s="9">
        <v>0</v>
      </c>
      <c r="CC190" s="9">
        <v>0</v>
      </c>
      <c r="CD190" s="9">
        <v>0</v>
      </c>
      <c r="CE190" s="9">
        <v>0</v>
      </c>
      <c r="CF190" s="9">
        <v>0</v>
      </c>
      <c r="CG190" s="9">
        <v>0</v>
      </c>
      <c r="CH190" s="9">
        <v>0</v>
      </c>
      <c r="CI190" s="9">
        <v>0</v>
      </c>
      <c r="CJ190" s="9">
        <v>0</v>
      </c>
      <c r="CK190" s="9">
        <v>0</v>
      </c>
      <c r="CL190" s="9">
        <v>0</v>
      </c>
      <c r="CM190" s="9">
        <v>0</v>
      </c>
      <c r="CN190" s="9">
        <v>0</v>
      </c>
      <c r="CO190" s="9">
        <v>0</v>
      </c>
      <c r="CP190" s="9">
        <v>0</v>
      </c>
      <c r="CQ190" s="9">
        <v>0</v>
      </c>
      <c r="CR190" s="9">
        <v>0</v>
      </c>
      <c r="CS190" s="10">
        <v>0</v>
      </c>
    </row>
    <row r="191" spans="1:97" x14ac:dyDescent="0.35">
      <c r="A191" s="8" t="s">
        <v>174</v>
      </c>
      <c r="B191" s="9" t="s">
        <v>860</v>
      </c>
      <c r="C191" s="9" t="s">
        <v>861</v>
      </c>
      <c r="D191" s="9">
        <f t="shared" si="2"/>
        <v>0</v>
      </c>
      <c r="E191" s="9">
        <v>0</v>
      </c>
      <c r="F191" s="9">
        <v>0</v>
      </c>
      <c r="G191" s="9">
        <v>0</v>
      </c>
      <c r="H191" s="9">
        <v>0</v>
      </c>
      <c r="I191" s="9">
        <v>0</v>
      </c>
      <c r="J191" s="9">
        <v>0</v>
      </c>
      <c r="K191" s="9">
        <v>0</v>
      </c>
      <c r="L191" s="9">
        <v>0</v>
      </c>
      <c r="M191" s="9">
        <v>0</v>
      </c>
      <c r="N191" s="9">
        <v>0</v>
      </c>
      <c r="O191" s="9">
        <v>0</v>
      </c>
      <c r="P191" s="9">
        <v>0</v>
      </c>
      <c r="Q191" s="9">
        <v>0</v>
      </c>
      <c r="R191" s="9">
        <v>0</v>
      </c>
      <c r="S191" s="9">
        <v>0</v>
      </c>
      <c r="T191" s="9">
        <v>0</v>
      </c>
      <c r="U191" s="9">
        <v>0</v>
      </c>
      <c r="V191" s="9">
        <v>0</v>
      </c>
      <c r="W191" s="9">
        <v>0</v>
      </c>
      <c r="X191" s="9">
        <v>0</v>
      </c>
      <c r="Y191" s="9">
        <v>0</v>
      </c>
      <c r="Z191" s="9">
        <v>0</v>
      </c>
      <c r="AA191" s="9">
        <v>0</v>
      </c>
      <c r="AB191" s="9">
        <v>0</v>
      </c>
      <c r="AC191" s="9">
        <v>0</v>
      </c>
      <c r="AD191" s="9">
        <v>0</v>
      </c>
      <c r="AE191" s="9">
        <v>0</v>
      </c>
      <c r="AF191" s="9">
        <v>0</v>
      </c>
      <c r="AG191" s="9">
        <v>0</v>
      </c>
      <c r="AH191" s="9">
        <v>0</v>
      </c>
      <c r="AI191" s="9">
        <v>0</v>
      </c>
      <c r="AJ191" s="9">
        <v>0</v>
      </c>
      <c r="AK191" s="9">
        <v>0</v>
      </c>
      <c r="AL191" s="9">
        <v>0</v>
      </c>
      <c r="AM191" s="9">
        <v>0</v>
      </c>
      <c r="AN191" s="9">
        <v>0</v>
      </c>
      <c r="AO191" s="9">
        <v>0</v>
      </c>
      <c r="AP191" s="9">
        <v>0</v>
      </c>
      <c r="AQ191" s="9">
        <v>0</v>
      </c>
      <c r="AR191" s="9">
        <v>0</v>
      </c>
      <c r="AS191" s="9">
        <v>0</v>
      </c>
      <c r="AT191" s="9">
        <v>0</v>
      </c>
      <c r="AU191" s="9">
        <v>0</v>
      </c>
      <c r="AV191" s="9">
        <v>0</v>
      </c>
      <c r="AW191" s="9">
        <v>0</v>
      </c>
      <c r="AX191" s="9">
        <v>0</v>
      </c>
      <c r="AY191" s="9">
        <v>0</v>
      </c>
      <c r="AZ191" s="9">
        <v>0</v>
      </c>
      <c r="BA191" s="9">
        <v>0</v>
      </c>
      <c r="BB191" s="9">
        <v>0</v>
      </c>
      <c r="BC191" s="9">
        <v>0</v>
      </c>
      <c r="BD191" s="9">
        <v>0</v>
      </c>
      <c r="BE191" s="9">
        <v>0</v>
      </c>
      <c r="BF191" s="9">
        <v>0</v>
      </c>
      <c r="BG191" s="9">
        <v>0</v>
      </c>
      <c r="BH191" s="9">
        <v>0</v>
      </c>
      <c r="BI191" s="9">
        <v>0</v>
      </c>
      <c r="BJ191" s="9">
        <v>0</v>
      </c>
      <c r="BK191" s="9">
        <v>0</v>
      </c>
      <c r="BL191" s="9">
        <v>0</v>
      </c>
      <c r="BM191" s="9">
        <v>0</v>
      </c>
      <c r="BN191" s="9">
        <v>0</v>
      </c>
      <c r="BO191" s="9">
        <v>0</v>
      </c>
      <c r="BP191" s="9">
        <v>0</v>
      </c>
      <c r="BQ191" s="9">
        <v>0</v>
      </c>
      <c r="BR191" s="9">
        <v>0</v>
      </c>
      <c r="BS191" s="9">
        <v>0</v>
      </c>
      <c r="BT191" s="9">
        <v>0</v>
      </c>
      <c r="BU191" s="9">
        <v>0</v>
      </c>
      <c r="BV191" s="9">
        <v>0</v>
      </c>
      <c r="BW191" s="9">
        <v>0</v>
      </c>
      <c r="BX191" s="9">
        <v>0</v>
      </c>
      <c r="BY191" s="9">
        <v>0</v>
      </c>
      <c r="BZ191" s="9">
        <v>0</v>
      </c>
      <c r="CA191" s="9">
        <v>0</v>
      </c>
      <c r="CB191" s="9">
        <v>0</v>
      </c>
      <c r="CC191" s="9">
        <v>0</v>
      </c>
      <c r="CD191" s="9">
        <v>0</v>
      </c>
      <c r="CE191" s="9">
        <v>0</v>
      </c>
      <c r="CF191" s="9">
        <v>0</v>
      </c>
      <c r="CG191" s="9">
        <v>0</v>
      </c>
      <c r="CH191" s="9">
        <v>0</v>
      </c>
      <c r="CI191" s="9">
        <v>0</v>
      </c>
      <c r="CJ191" s="9">
        <v>0</v>
      </c>
      <c r="CK191" s="9">
        <v>0</v>
      </c>
      <c r="CL191" s="9">
        <v>0</v>
      </c>
      <c r="CM191" s="9">
        <v>0</v>
      </c>
      <c r="CN191" s="9">
        <v>0</v>
      </c>
      <c r="CO191" s="9">
        <v>0</v>
      </c>
      <c r="CP191" s="9">
        <v>0</v>
      </c>
      <c r="CQ191" s="9">
        <v>0</v>
      </c>
      <c r="CR191" s="9">
        <v>0</v>
      </c>
      <c r="CS191" s="10">
        <v>0</v>
      </c>
    </row>
    <row r="192" spans="1:97" x14ac:dyDescent="0.35">
      <c r="A192" s="8" t="s">
        <v>174</v>
      </c>
      <c r="B192" s="9" t="s">
        <v>862</v>
      </c>
      <c r="C192" s="9" t="s">
        <v>863</v>
      </c>
      <c r="D192" s="9">
        <f t="shared" si="2"/>
        <v>0</v>
      </c>
      <c r="E192" s="9">
        <v>0</v>
      </c>
      <c r="F192" s="9">
        <v>0</v>
      </c>
      <c r="G192" s="9">
        <v>0</v>
      </c>
      <c r="H192" s="9">
        <v>0</v>
      </c>
      <c r="I192" s="9">
        <v>0</v>
      </c>
      <c r="J192" s="9">
        <v>0</v>
      </c>
      <c r="K192" s="9">
        <v>0</v>
      </c>
      <c r="L192" s="9">
        <v>0</v>
      </c>
      <c r="M192" s="9">
        <v>0</v>
      </c>
      <c r="N192" s="9">
        <v>0</v>
      </c>
      <c r="O192" s="9">
        <v>0</v>
      </c>
      <c r="P192" s="9">
        <v>0</v>
      </c>
      <c r="Q192" s="9">
        <v>0</v>
      </c>
      <c r="R192" s="9">
        <v>0</v>
      </c>
      <c r="S192" s="9">
        <v>0</v>
      </c>
      <c r="T192" s="9">
        <v>0</v>
      </c>
      <c r="U192" s="9">
        <v>0</v>
      </c>
      <c r="V192" s="9">
        <v>0</v>
      </c>
      <c r="W192" s="9">
        <v>0</v>
      </c>
      <c r="X192" s="9">
        <v>0</v>
      </c>
      <c r="Y192" s="9">
        <v>0</v>
      </c>
      <c r="Z192" s="9">
        <v>0</v>
      </c>
      <c r="AA192" s="9">
        <v>0</v>
      </c>
      <c r="AB192" s="9">
        <v>0</v>
      </c>
      <c r="AC192" s="9">
        <v>0</v>
      </c>
      <c r="AD192" s="9">
        <v>0</v>
      </c>
      <c r="AE192" s="9">
        <v>0</v>
      </c>
      <c r="AF192" s="9">
        <v>0</v>
      </c>
      <c r="AG192" s="9">
        <v>0</v>
      </c>
      <c r="AH192" s="9">
        <v>0</v>
      </c>
      <c r="AI192" s="9">
        <v>0</v>
      </c>
      <c r="AJ192" s="9">
        <v>0</v>
      </c>
      <c r="AK192" s="9">
        <v>0</v>
      </c>
      <c r="AL192" s="9">
        <v>0</v>
      </c>
      <c r="AM192" s="9">
        <v>0</v>
      </c>
      <c r="AN192" s="9">
        <v>0</v>
      </c>
      <c r="AO192" s="9">
        <v>0</v>
      </c>
      <c r="AP192" s="9">
        <v>0</v>
      </c>
      <c r="AQ192" s="9">
        <v>0</v>
      </c>
      <c r="AR192" s="9">
        <v>0</v>
      </c>
      <c r="AS192" s="9">
        <v>0</v>
      </c>
      <c r="AT192" s="9">
        <v>0</v>
      </c>
      <c r="AU192" s="9">
        <v>0</v>
      </c>
      <c r="AV192" s="9">
        <v>0</v>
      </c>
      <c r="AW192" s="9">
        <v>0</v>
      </c>
      <c r="AX192" s="9">
        <v>0</v>
      </c>
      <c r="AY192" s="9">
        <v>0</v>
      </c>
      <c r="AZ192" s="9">
        <v>0</v>
      </c>
      <c r="BA192" s="9">
        <v>0</v>
      </c>
      <c r="BB192" s="9">
        <v>0</v>
      </c>
      <c r="BC192" s="9">
        <v>0</v>
      </c>
      <c r="BD192" s="9">
        <v>0</v>
      </c>
      <c r="BE192" s="9">
        <v>0</v>
      </c>
      <c r="BF192" s="9">
        <v>0</v>
      </c>
      <c r="BG192" s="9">
        <v>0</v>
      </c>
      <c r="BH192" s="9">
        <v>0</v>
      </c>
      <c r="BI192" s="9">
        <v>0</v>
      </c>
      <c r="BJ192" s="9">
        <v>0</v>
      </c>
      <c r="BK192" s="9">
        <v>0</v>
      </c>
      <c r="BL192" s="9">
        <v>0</v>
      </c>
      <c r="BM192" s="9">
        <v>0</v>
      </c>
      <c r="BN192" s="9">
        <v>0</v>
      </c>
      <c r="BO192" s="9">
        <v>0</v>
      </c>
      <c r="BP192" s="9">
        <v>0</v>
      </c>
      <c r="BQ192" s="9">
        <v>0</v>
      </c>
      <c r="BR192" s="9">
        <v>0</v>
      </c>
      <c r="BS192" s="9">
        <v>0</v>
      </c>
      <c r="BT192" s="9">
        <v>0</v>
      </c>
      <c r="BU192" s="9">
        <v>0</v>
      </c>
      <c r="BV192" s="9">
        <v>0</v>
      </c>
      <c r="BW192" s="9">
        <v>0</v>
      </c>
      <c r="BX192" s="9">
        <v>0</v>
      </c>
      <c r="BY192" s="9">
        <v>0</v>
      </c>
      <c r="BZ192" s="9">
        <v>0</v>
      </c>
      <c r="CA192" s="9">
        <v>0</v>
      </c>
      <c r="CB192" s="9">
        <v>0</v>
      </c>
      <c r="CC192" s="9">
        <v>0</v>
      </c>
      <c r="CD192" s="9">
        <v>0</v>
      </c>
      <c r="CE192" s="9">
        <v>0</v>
      </c>
      <c r="CF192" s="9">
        <v>0</v>
      </c>
      <c r="CG192" s="9">
        <v>0</v>
      </c>
      <c r="CH192" s="9">
        <v>0</v>
      </c>
      <c r="CI192" s="9">
        <v>0</v>
      </c>
      <c r="CJ192" s="9">
        <v>0</v>
      </c>
      <c r="CK192" s="9">
        <v>0</v>
      </c>
      <c r="CL192" s="9">
        <v>0</v>
      </c>
      <c r="CM192" s="9">
        <v>0</v>
      </c>
      <c r="CN192" s="9">
        <v>0</v>
      </c>
      <c r="CO192" s="9">
        <v>0</v>
      </c>
      <c r="CP192" s="9">
        <v>0</v>
      </c>
      <c r="CQ192" s="9">
        <v>0</v>
      </c>
      <c r="CR192" s="9">
        <v>0</v>
      </c>
      <c r="CS192" s="10">
        <v>0</v>
      </c>
    </row>
    <row r="193" spans="1:97" x14ac:dyDescent="0.35">
      <c r="A193" s="8" t="s">
        <v>174</v>
      </c>
      <c r="B193" s="9" t="s">
        <v>864</v>
      </c>
      <c r="C193" s="9" t="s">
        <v>865</v>
      </c>
      <c r="D193" s="9">
        <f t="shared" si="2"/>
        <v>0</v>
      </c>
      <c r="E193" s="9">
        <v>0</v>
      </c>
      <c r="F193" s="9">
        <v>0</v>
      </c>
      <c r="G193" s="9">
        <v>0</v>
      </c>
      <c r="H193" s="9">
        <v>0</v>
      </c>
      <c r="I193" s="9">
        <v>0</v>
      </c>
      <c r="J193" s="9">
        <v>0</v>
      </c>
      <c r="K193" s="9">
        <v>0</v>
      </c>
      <c r="L193" s="9">
        <v>0</v>
      </c>
      <c r="M193" s="9">
        <v>0</v>
      </c>
      <c r="N193" s="9">
        <v>0</v>
      </c>
      <c r="O193" s="9">
        <v>0</v>
      </c>
      <c r="P193" s="9">
        <v>0</v>
      </c>
      <c r="Q193" s="9">
        <v>0</v>
      </c>
      <c r="R193" s="9">
        <v>0</v>
      </c>
      <c r="S193" s="9">
        <v>0</v>
      </c>
      <c r="T193" s="9">
        <v>0</v>
      </c>
      <c r="U193" s="9">
        <v>0</v>
      </c>
      <c r="V193" s="9">
        <v>0</v>
      </c>
      <c r="W193" s="9">
        <v>0</v>
      </c>
      <c r="X193" s="9">
        <v>0</v>
      </c>
      <c r="Y193" s="9">
        <v>0</v>
      </c>
      <c r="Z193" s="9">
        <v>0</v>
      </c>
      <c r="AA193" s="9">
        <v>0</v>
      </c>
      <c r="AB193" s="9">
        <v>0</v>
      </c>
      <c r="AC193" s="9">
        <v>0</v>
      </c>
      <c r="AD193" s="9">
        <v>0</v>
      </c>
      <c r="AE193" s="9">
        <v>0</v>
      </c>
      <c r="AF193" s="9">
        <v>0</v>
      </c>
      <c r="AG193" s="9">
        <v>0</v>
      </c>
      <c r="AH193" s="9">
        <v>0</v>
      </c>
      <c r="AI193" s="9">
        <v>0</v>
      </c>
      <c r="AJ193" s="9">
        <v>0</v>
      </c>
      <c r="AK193" s="9">
        <v>0</v>
      </c>
      <c r="AL193" s="9">
        <v>0</v>
      </c>
      <c r="AM193" s="9">
        <v>0</v>
      </c>
      <c r="AN193" s="9">
        <v>0</v>
      </c>
      <c r="AO193" s="9">
        <v>0</v>
      </c>
      <c r="AP193" s="9">
        <v>0</v>
      </c>
      <c r="AQ193" s="9">
        <v>0</v>
      </c>
      <c r="AR193" s="9">
        <v>0</v>
      </c>
      <c r="AS193" s="9">
        <v>0</v>
      </c>
      <c r="AT193" s="9">
        <v>0</v>
      </c>
      <c r="AU193" s="9">
        <v>0</v>
      </c>
      <c r="AV193" s="9">
        <v>0</v>
      </c>
      <c r="AW193" s="9">
        <v>0</v>
      </c>
      <c r="AX193" s="9">
        <v>0</v>
      </c>
      <c r="AY193" s="9">
        <v>0</v>
      </c>
      <c r="AZ193" s="9">
        <v>0</v>
      </c>
      <c r="BA193" s="9">
        <v>0</v>
      </c>
      <c r="BB193" s="9">
        <v>0</v>
      </c>
      <c r="BC193" s="9">
        <v>0</v>
      </c>
      <c r="BD193" s="9">
        <v>0</v>
      </c>
      <c r="BE193" s="9">
        <v>0</v>
      </c>
      <c r="BF193" s="9">
        <v>0</v>
      </c>
      <c r="BG193" s="9">
        <v>0</v>
      </c>
      <c r="BH193" s="9">
        <v>0</v>
      </c>
      <c r="BI193" s="9">
        <v>0</v>
      </c>
      <c r="BJ193" s="9">
        <v>0</v>
      </c>
      <c r="BK193" s="9">
        <v>0</v>
      </c>
      <c r="BL193" s="9">
        <v>0</v>
      </c>
      <c r="BM193" s="9">
        <v>0</v>
      </c>
      <c r="BN193" s="9">
        <v>0</v>
      </c>
      <c r="BO193" s="9">
        <v>0</v>
      </c>
      <c r="BP193" s="9">
        <v>0</v>
      </c>
      <c r="BQ193" s="9">
        <v>0</v>
      </c>
      <c r="BR193" s="9">
        <v>0</v>
      </c>
      <c r="BS193" s="9">
        <v>0</v>
      </c>
      <c r="BT193" s="9">
        <v>0</v>
      </c>
      <c r="BU193" s="9">
        <v>0</v>
      </c>
      <c r="BV193" s="9">
        <v>0</v>
      </c>
      <c r="BW193" s="9">
        <v>0</v>
      </c>
      <c r="BX193" s="9">
        <v>0</v>
      </c>
      <c r="BY193" s="9">
        <v>0</v>
      </c>
      <c r="BZ193" s="9">
        <v>0</v>
      </c>
      <c r="CA193" s="9">
        <v>0</v>
      </c>
      <c r="CB193" s="9">
        <v>0</v>
      </c>
      <c r="CC193" s="9">
        <v>0</v>
      </c>
      <c r="CD193" s="9">
        <v>0</v>
      </c>
      <c r="CE193" s="9">
        <v>0</v>
      </c>
      <c r="CF193" s="9">
        <v>0</v>
      </c>
      <c r="CG193" s="9">
        <v>0</v>
      </c>
      <c r="CH193" s="9">
        <v>0</v>
      </c>
      <c r="CI193" s="9">
        <v>0</v>
      </c>
      <c r="CJ193" s="9">
        <v>0</v>
      </c>
      <c r="CK193" s="9">
        <v>0</v>
      </c>
      <c r="CL193" s="9">
        <v>0</v>
      </c>
      <c r="CM193" s="9">
        <v>0</v>
      </c>
      <c r="CN193" s="9">
        <v>0</v>
      </c>
      <c r="CO193" s="9">
        <v>0</v>
      </c>
      <c r="CP193" s="9">
        <v>0</v>
      </c>
      <c r="CQ193" s="9">
        <v>0</v>
      </c>
      <c r="CR193" s="9">
        <v>0</v>
      </c>
      <c r="CS193" s="10">
        <v>0</v>
      </c>
    </row>
    <row r="194" spans="1:97" x14ac:dyDescent="0.35">
      <c r="A194" s="8" t="s">
        <v>174</v>
      </c>
      <c r="B194" s="9" t="s">
        <v>866</v>
      </c>
      <c r="C194" s="9" t="s">
        <v>867</v>
      </c>
      <c r="D194" s="9">
        <f t="shared" si="2"/>
        <v>0</v>
      </c>
      <c r="E194" s="9">
        <v>0</v>
      </c>
      <c r="F194" s="9">
        <v>0</v>
      </c>
      <c r="G194" s="9">
        <v>0</v>
      </c>
      <c r="H194" s="9">
        <v>0</v>
      </c>
      <c r="I194" s="9">
        <v>0</v>
      </c>
      <c r="J194" s="9">
        <v>0</v>
      </c>
      <c r="K194" s="9">
        <v>0</v>
      </c>
      <c r="L194" s="9">
        <v>0</v>
      </c>
      <c r="M194" s="9">
        <v>0</v>
      </c>
      <c r="N194" s="9">
        <v>0</v>
      </c>
      <c r="O194" s="9">
        <v>0</v>
      </c>
      <c r="P194" s="9">
        <v>0</v>
      </c>
      <c r="Q194" s="9">
        <v>0</v>
      </c>
      <c r="R194" s="9">
        <v>0</v>
      </c>
      <c r="S194" s="9">
        <v>0</v>
      </c>
      <c r="T194" s="9">
        <v>0</v>
      </c>
      <c r="U194" s="9">
        <v>0</v>
      </c>
      <c r="V194" s="9">
        <v>0</v>
      </c>
      <c r="W194" s="9">
        <v>0</v>
      </c>
      <c r="X194" s="9">
        <v>0</v>
      </c>
      <c r="Y194" s="9">
        <v>0</v>
      </c>
      <c r="Z194" s="9">
        <v>0</v>
      </c>
      <c r="AA194" s="9">
        <v>0</v>
      </c>
      <c r="AB194" s="9">
        <v>0</v>
      </c>
      <c r="AC194" s="9">
        <v>0</v>
      </c>
      <c r="AD194" s="9">
        <v>0</v>
      </c>
      <c r="AE194" s="9">
        <v>0</v>
      </c>
      <c r="AF194" s="9">
        <v>0</v>
      </c>
      <c r="AG194" s="9">
        <v>0</v>
      </c>
      <c r="AH194" s="9">
        <v>0</v>
      </c>
      <c r="AI194" s="9">
        <v>0</v>
      </c>
      <c r="AJ194" s="9">
        <v>0</v>
      </c>
      <c r="AK194" s="9">
        <v>0</v>
      </c>
      <c r="AL194" s="9">
        <v>0</v>
      </c>
      <c r="AM194" s="9">
        <v>0</v>
      </c>
      <c r="AN194" s="9">
        <v>0</v>
      </c>
      <c r="AO194" s="9">
        <v>0</v>
      </c>
      <c r="AP194" s="9">
        <v>0</v>
      </c>
      <c r="AQ194" s="9">
        <v>0</v>
      </c>
      <c r="AR194" s="9">
        <v>0</v>
      </c>
      <c r="AS194" s="9">
        <v>0</v>
      </c>
      <c r="AT194" s="9">
        <v>0</v>
      </c>
      <c r="AU194" s="9">
        <v>0</v>
      </c>
      <c r="AV194" s="9">
        <v>0</v>
      </c>
      <c r="AW194" s="9">
        <v>0</v>
      </c>
      <c r="AX194" s="9">
        <v>0</v>
      </c>
      <c r="AY194" s="9">
        <v>0</v>
      </c>
      <c r="AZ194" s="9">
        <v>0</v>
      </c>
      <c r="BA194" s="9">
        <v>0</v>
      </c>
      <c r="BB194" s="9">
        <v>0</v>
      </c>
      <c r="BC194" s="9">
        <v>0</v>
      </c>
      <c r="BD194" s="9">
        <v>0</v>
      </c>
      <c r="BE194" s="9">
        <v>0</v>
      </c>
      <c r="BF194" s="9">
        <v>0</v>
      </c>
      <c r="BG194" s="9">
        <v>0</v>
      </c>
      <c r="BH194" s="9">
        <v>0</v>
      </c>
      <c r="BI194" s="9">
        <v>0</v>
      </c>
      <c r="BJ194" s="9">
        <v>0</v>
      </c>
      <c r="BK194" s="9">
        <v>0</v>
      </c>
      <c r="BL194" s="9">
        <v>0</v>
      </c>
      <c r="BM194" s="9">
        <v>0</v>
      </c>
      <c r="BN194" s="9">
        <v>0</v>
      </c>
      <c r="BO194" s="9">
        <v>0</v>
      </c>
      <c r="BP194" s="9">
        <v>0</v>
      </c>
      <c r="BQ194" s="9">
        <v>0</v>
      </c>
      <c r="BR194" s="9">
        <v>0</v>
      </c>
      <c r="BS194" s="9">
        <v>0</v>
      </c>
      <c r="BT194" s="9">
        <v>0</v>
      </c>
      <c r="BU194" s="9">
        <v>0</v>
      </c>
      <c r="BV194" s="9">
        <v>0</v>
      </c>
      <c r="BW194" s="9">
        <v>0</v>
      </c>
      <c r="BX194" s="9">
        <v>0</v>
      </c>
      <c r="BY194" s="9">
        <v>0</v>
      </c>
      <c r="BZ194" s="9">
        <v>0</v>
      </c>
      <c r="CA194" s="9">
        <v>0</v>
      </c>
      <c r="CB194" s="9">
        <v>0</v>
      </c>
      <c r="CC194" s="9">
        <v>0</v>
      </c>
      <c r="CD194" s="9">
        <v>0</v>
      </c>
      <c r="CE194" s="9">
        <v>0</v>
      </c>
      <c r="CF194" s="9">
        <v>0</v>
      </c>
      <c r="CG194" s="9">
        <v>0</v>
      </c>
      <c r="CH194" s="9">
        <v>0</v>
      </c>
      <c r="CI194" s="9">
        <v>0</v>
      </c>
      <c r="CJ194" s="9">
        <v>0</v>
      </c>
      <c r="CK194" s="9">
        <v>0</v>
      </c>
      <c r="CL194" s="9">
        <v>0</v>
      </c>
      <c r="CM194" s="9">
        <v>0</v>
      </c>
      <c r="CN194" s="9">
        <v>0</v>
      </c>
      <c r="CO194" s="9">
        <v>0</v>
      </c>
      <c r="CP194" s="9">
        <v>0</v>
      </c>
      <c r="CQ194" s="9">
        <v>0</v>
      </c>
      <c r="CR194" s="9">
        <v>0</v>
      </c>
      <c r="CS194" s="10">
        <v>0</v>
      </c>
    </row>
    <row r="195" spans="1:97" x14ac:dyDescent="0.35">
      <c r="A195" s="8" t="s">
        <v>174</v>
      </c>
      <c r="B195" s="9" t="s">
        <v>868</v>
      </c>
      <c r="C195" s="9" t="s">
        <v>869</v>
      </c>
      <c r="D195" s="9">
        <f t="shared" ref="D195:D258" si="3">SUM(E195:CS195)</f>
        <v>6</v>
      </c>
      <c r="E195" s="9">
        <v>0</v>
      </c>
      <c r="F195" s="9">
        <v>0</v>
      </c>
      <c r="G195" s="9">
        <v>0</v>
      </c>
      <c r="H195" s="9">
        <v>0</v>
      </c>
      <c r="I195" s="9">
        <v>0</v>
      </c>
      <c r="J195" s="9">
        <v>0</v>
      </c>
      <c r="K195" s="9">
        <v>0</v>
      </c>
      <c r="L195" s="9">
        <v>0</v>
      </c>
      <c r="M195" s="9">
        <v>0</v>
      </c>
      <c r="N195" s="9">
        <v>0</v>
      </c>
      <c r="O195" s="9">
        <v>0</v>
      </c>
      <c r="P195" s="9">
        <v>0</v>
      </c>
      <c r="Q195" s="9">
        <v>0</v>
      </c>
      <c r="R195" s="9">
        <v>0</v>
      </c>
      <c r="S195" s="9">
        <v>0</v>
      </c>
      <c r="T195" s="9">
        <v>0</v>
      </c>
      <c r="U195" s="9">
        <v>0</v>
      </c>
      <c r="V195" s="9">
        <v>0</v>
      </c>
      <c r="W195" s="9">
        <v>0</v>
      </c>
      <c r="X195" s="9">
        <v>0</v>
      </c>
      <c r="Y195" s="9">
        <v>0</v>
      </c>
      <c r="Z195" s="9">
        <v>0</v>
      </c>
      <c r="AA195" s="9">
        <v>0</v>
      </c>
      <c r="AB195" s="9">
        <v>0</v>
      </c>
      <c r="AC195" s="9">
        <v>0</v>
      </c>
      <c r="AD195" s="9">
        <v>0</v>
      </c>
      <c r="AE195" s="9">
        <v>0</v>
      </c>
      <c r="AF195" s="9">
        <v>0</v>
      </c>
      <c r="AG195" s="9">
        <v>0</v>
      </c>
      <c r="AH195" s="9">
        <v>0</v>
      </c>
      <c r="AI195" s="9">
        <v>0</v>
      </c>
      <c r="AJ195" s="9">
        <v>0</v>
      </c>
      <c r="AK195" s="9">
        <v>0</v>
      </c>
      <c r="AL195" s="9">
        <v>0</v>
      </c>
      <c r="AM195" s="9">
        <v>0</v>
      </c>
      <c r="AN195" s="9">
        <v>0</v>
      </c>
      <c r="AO195" s="9">
        <v>0</v>
      </c>
      <c r="AP195" s="9">
        <v>0</v>
      </c>
      <c r="AQ195" s="9">
        <v>1</v>
      </c>
      <c r="AR195" s="9">
        <v>0</v>
      </c>
      <c r="AS195" s="9">
        <v>0</v>
      </c>
      <c r="AT195" s="9">
        <v>0</v>
      </c>
      <c r="AU195" s="9">
        <v>0</v>
      </c>
      <c r="AV195" s="9">
        <v>0</v>
      </c>
      <c r="AW195" s="9">
        <v>0</v>
      </c>
      <c r="AX195" s="9">
        <v>0</v>
      </c>
      <c r="AY195" s="9">
        <v>0</v>
      </c>
      <c r="AZ195" s="9">
        <v>0</v>
      </c>
      <c r="BA195" s="9">
        <v>0</v>
      </c>
      <c r="BB195" s="9">
        <v>0</v>
      </c>
      <c r="BC195" s="9">
        <v>0</v>
      </c>
      <c r="BD195" s="9">
        <v>0</v>
      </c>
      <c r="BE195" s="9">
        <v>0</v>
      </c>
      <c r="BF195" s="9">
        <v>0</v>
      </c>
      <c r="BG195" s="9">
        <v>0</v>
      </c>
      <c r="BH195" s="9">
        <v>0</v>
      </c>
      <c r="BI195" s="9">
        <v>0</v>
      </c>
      <c r="BJ195" s="9">
        <v>1</v>
      </c>
      <c r="BK195" s="9">
        <v>2</v>
      </c>
      <c r="BL195" s="9">
        <v>0</v>
      </c>
      <c r="BM195" s="9">
        <v>0</v>
      </c>
      <c r="BN195" s="9">
        <v>0</v>
      </c>
      <c r="BO195" s="9">
        <v>0</v>
      </c>
      <c r="BP195" s="9">
        <v>0</v>
      </c>
      <c r="BQ195" s="9">
        <v>0</v>
      </c>
      <c r="BR195" s="9">
        <v>0</v>
      </c>
      <c r="BS195" s="9">
        <v>0</v>
      </c>
      <c r="BT195" s="9">
        <v>0</v>
      </c>
      <c r="BU195" s="9">
        <v>0</v>
      </c>
      <c r="BV195" s="9">
        <v>0</v>
      </c>
      <c r="BW195" s="9">
        <v>0</v>
      </c>
      <c r="BX195" s="9">
        <v>1</v>
      </c>
      <c r="BY195" s="9">
        <v>0</v>
      </c>
      <c r="BZ195" s="9">
        <v>0</v>
      </c>
      <c r="CA195" s="9">
        <v>0</v>
      </c>
      <c r="CB195" s="9">
        <v>0</v>
      </c>
      <c r="CC195" s="9">
        <v>0</v>
      </c>
      <c r="CD195" s="9">
        <v>0</v>
      </c>
      <c r="CE195" s="9">
        <v>1</v>
      </c>
      <c r="CF195" s="9">
        <v>0</v>
      </c>
      <c r="CG195" s="9">
        <v>0</v>
      </c>
      <c r="CH195" s="9">
        <v>0</v>
      </c>
      <c r="CI195" s="9">
        <v>0</v>
      </c>
      <c r="CJ195" s="9">
        <v>0</v>
      </c>
      <c r="CK195" s="9">
        <v>0</v>
      </c>
      <c r="CL195" s="9">
        <v>0</v>
      </c>
      <c r="CM195" s="9">
        <v>0</v>
      </c>
      <c r="CN195" s="9">
        <v>0</v>
      </c>
      <c r="CO195" s="9">
        <v>0</v>
      </c>
      <c r="CP195" s="9">
        <v>0</v>
      </c>
      <c r="CQ195" s="9">
        <v>0</v>
      </c>
      <c r="CR195" s="9">
        <v>0</v>
      </c>
      <c r="CS195" s="10">
        <v>0</v>
      </c>
    </row>
    <row r="196" spans="1:97" x14ac:dyDescent="0.35">
      <c r="A196" s="8" t="s">
        <v>174</v>
      </c>
      <c r="B196" s="9" t="s">
        <v>870</v>
      </c>
      <c r="C196" s="9" t="s">
        <v>871</v>
      </c>
      <c r="D196" s="9">
        <f t="shared" si="3"/>
        <v>8</v>
      </c>
      <c r="E196" s="9">
        <v>0</v>
      </c>
      <c r="F196" s="9">
        <v>0</v>
      </c>
      <c r="G196" s="9">
        <v>0</v>
      </c>
      <c r="H196" s="9">
        <v>0</v>
      </c>
      <c r="I196" s="9">
        <v>0</v>
      </c>
      <c r="J196" s="9">
        <v>0</v>
      </c>
      <c r="K196" s="9">
        <v>0</v>
      </c>
      <c r="L196" s="9">
        <v>0</v>
      </c>
      <c r="M196" s="9">
        <v>0</v>
      </c>
      <c r="N196" s="9">
        <v>0</v>
      </c>
      <c r="O196" s="9">
        <v>0</v>
      </c>
      <c r="P196" s="9">
        <v>0</v>
      </c>
      <c r="Q196" s="9">
        <v>0</v>
      </c>
      <c r="R196" s="9">
        <v>0</v>
      </c>
      <c r="S196" s="9">
        <v>0</v>
      </c>
      <c r="T196" s="9">
        <v>0</v>
      </c>
      <c r="U196" s="9">
        <v>0</v>
      </c>
      <c r="V196" s="9">
        <v>0</v>
      </c>
      <c r="W196" s="9">
        <v>0</v>
      </c>
      <c r="X196" s="9">
        <v>0</v>
      </c>
      <c r="Y196" s="9">
        <v>0</v>
      </c>
      <c r="Z196" s="9">
        <v>0</v>
      </c>
      <c r="AA196" s="9">
        <v>0</v>
      </c>
      <c r="AB196" s="9">
        <v>0</v>
      </c>
      <c r="AC196" s="9">
        <v>0</v>
      </c>
      <c r="AD196" s="9">
        <v>0</v>
      </c>
      <c r="AE196" s="9">
        <v>0</v>
      </c>
      <c r="AF196" s="9">
        <v>0</v>
      </c>
      <c r="AG196" s="9">
        <v>0</v>
      </c>
      <c r="AH196" s="9">
        <v>0</v>
      </c>
      <c r="AI196" s="9">
        <v>0</v>
      </c>
      <c r="AJ196" s="9">
        <v>0</v>
      </c>
      <c r="AK196" s="9">
        <v>0</v>
      </c>
      <c r="AL196" s="9">
        <v>0</v>
      </c>
      <c r="AM196" s="9">
        <v>0</v>
      </c>
      <c r="AN196" s="9">
        <v>0</v>
      </c>
      <c r="AO196" s="9">
        <v>0</v>
      </c>
      <c r="AP196" s="9">
        <v>0</v>
      </c>
      <c r="AQ196" s="9">
        <v>0</v>
      </c>
      <c r="AR196" s="9">
        <v>0</v>
      </c>
      <c r="AS196" s="9">
        <v>0</v>
      </c>
      <c r="AT196" s="9">
        <v>0</v>
      </c>
      <c r="AU196" s="9">
        <v>0</v>
      </c>
      <c r="AV196" s="9">
        <v>0</v>
      </c>
      <c r="AW196" s="9">
        <v>0</v>
      </c>
      <c r="AX196" s="9">
        <v>0</v>
      </c>
      <c r="AY196" s="9">
        <v>0</v>
      </c>
      <c r="AZ196" s="9">
        <v>0</v>
      </c>
      <c r="BA196" s="9">
        <v>0</v>
      </c>
      <c r="BB196" s="9">
        <v>0</v>
      </c>
      <c r="BC196" s="9">
        <v>0</v>
      </c>
      <c r="BD196" s="9">
        <v>0</v>
      </c>
      <c r="BE196" s="9">
        <v>0</v>
      </c>
      <c r="BF196" s="9">
        <v>0</v>
      </c>
      <c r="BG196" s="9">
        <v>0</v>
      </c>
      <c r="BH196" s="9">
        <v>0</v>
      </c>
      <c r="BI196" s="9">
        <v>0</v>
      </c>
      <c r="BJ196" s="9">
        <v>0</v>
      </c>
      <c r="BK196" s="9">
        <v>0</v>
      </c>
      <c r="BL196" s="9">
        <v>0</v>
      </c>
      <c r="BM196" s="9">
        <v>0</v>
      </c>
      <c r="BN196" s="9">
        <v>0</v>
      </c>
      <c r="BO196" s="9">
        <v>0</v>
      </c>
      <c r="BP196" s="9">
        <v>0</v>
      </c>
      <c r="BQ196" s="9">
        <v>0</v>
      </c>
      <c r="BR196" s="9">
        <v>0</v>
      </c>
      <c r="BS196" s="9">
        <v>0</v>
      </c>
      <c r="BT196" s="9">
        <v>0</v>
      </c>
      <c r="BU196" s="9">
        <v>0</v>
      </c>
      <c r="BV196" s="9">
        <v>0</v>
      </c>
      <c r="BW196" s="9">
        <v>0</v>
      </c>
      <c r="BX196" s="9">
        <v>0</v>
      </c>
      <c r="BY196" s="9">
        <v>0</v>
      </c>
      <c r="BZ196" s="9">
        <v>0</v>
      </c>
      <c r="CA196" s="9">
        <v>0</v>
      </c>
      <c r="CB196" s="9">
        <v>0</v>
      </c>
      <c r="CC196" s="9">
        <v>0</v>
      </c>
      <c r="CD196" s="9">
        <v>0</v>
      </c>
      <c r="CE196" s="9">
        <v>0</v>
      </c>
      <c r="CF196" s="9">
        <v>0</v>
      </c>
      <c r="CG196" s="9">
        <v>0</v>
      </c>
      <c r="CH196" s="9">
        <v>0</v>
      </c>
      <c r="CI196" s="9">
        <v>0</v>
      </c>
      <c r="CJ196" s="9">
        <v>0</v>
      </c>
      <c r="CK196" s="9">
        <v>0</v>
      </c>
      <c r="CL196" s="9">
        <v>0</v>
      </c>
      <c r="CM196" s="9">
        <v>0</v>
      </c>
      <c r="CN196" s="9">
        <v>0</v>
      </c>
      <c r="CO196" s="9">
        <v>0</v>
      </c>
      <c r="CP196" s="9">
        <v>2</v>
      </c>
      <c r="CQ196" s="9">
        <v>0</v>
      </c>
      <c r="CR196" s="9">
        <v>2</v>
      </c>
      <c r="CS196" s="10">
        <v>4</v>
      </c>
    </row>
    <row r="197" spans="1:97" x14ac:dyDescent="0.35">
      <c r="A197" s="8" t="s">
        <v>174</v>
      </c>
      <c r="B197" s="9" t="s">
        <v>872</v>
      </c>
      <c r="C197" s="9" t="s">
        <v>873</v>
      </c>
      <c r="D197" s="9">
        <f t="shared" si="3"/>
        <v>0</v>
      </c>
      <c r="E197" s="9">
        <v>0</v>
      </c>
      <c r="F197" s="9">
        <v>0</v>
      </c>
      <c r="G197" s="9">
        <v>0</v>
      </c>
      <c r="H197" s="9">
        <v>0</v>
      </c>
      <c r="I197" s="9">
        <v>0</v>
      </c>
      <c r="J197" s="9">
        <v>0</v>
      </c>
      <c r="K197" s="9">
        <v>0</v>
      </c>
      <c r="L197" s="9">
        <v>0</v>
      </c>
      <c r="M197" s="9">
        <v>0</v>
      </c>
      <c r="N197" s="9">
        <v>0</v>
      </c>
      <c r="O197" s="9">
        <v>0</v>
      </c>
      <c r="P197" s="9">
        <v>0</v>
      </c>
      <c r="Q197" s="9">
        <v>0</v>
      </c>
      <c r="R197" s="9">
        <v>0</v>
      </c>
      <c r="S197" s="9">
        <v>0</v>
      </c>
      <c r="T197" s="9">
        <v>0</v>
      </c>
      <c r="U197" s="9">
        <v>0</v>
      </c>
      <c r="V197" s="9">
        <v>0</v>
      </c>
      <c r="W197" s="9">
        <v>0</v>
      </c>
      <c r="X197" s="9">
        <v>0</v>
      </c>
      <c r="Y197" s="9">
        <v>0</v>
      </c>
      <c r="Z197" s="9">
        <v>0</v>
      </c>
      <c r="AA197" s="9">
        <v>0</v>
      </c>
      <c r="AB197" s="9">
        <v>0</v>
      </c>
      <c r="AC197" s="9">
        <v>0</v>
      </c>
      <c r="AD197" s="9">
        <v>0</v>
      </c>
      <c r="AE197" s="9">
        <v>0</v>
      </c>
      <c r="AF197" s="9">
        <v>0</v>
      </c>
      <c r="AG197" s="9">
        <v>0</v>
      </c>
      <c r="AH197" s="9">
        <v>0</v>
      </c>
      <c r="AI197" s="9">
        <v>0</v>
      </c>
      <c r="AJ197" s="9">
        <v>0</v>
      </c>
      <c r="AK197" s="9">
        <v>0</v>
      </c>
      <c r="AL197" s="9">
        <v>0</v>
      </c>
      <c r="AM197" s="9">
        <v>0</v>
      </c>
      <c r="AN197" s="9">
        <v>0</v>
      </c>
      <c r="AO197" s="9">
        <v>0</v>
      </c>
      <c r="AP197" s="9">
        <v>0</v>
      </c>
      <c r="AQ197" s="9">
        <v>0</v>
      </c>
      <c r="AR197" s="9">
        <v>0</v>
      </c>
      <c r="AS197" s="9">
        <v>0</v>
      </c>
      <c r="AT197" s="9">
        <v>0</v>
      </c>
      <c r="AU197" s="9">
        <v>0</v>
      </c>
      <c r="AV197" s="9">
        <v>0</v>
      </c>
      <c r="AW197" s="9">
        <v>0</v>
      </c>
      <c r="AX197" s="9">
        <v>0</v>
      </c>
      <c r="AY197" s="9">
        <v>0</v>
      </c>
      <c r="AZ197" s="9">
        <v>0</v>
      </c>
      <c r="BA197" s="9">
        <v>0</v>
      </c>
      <c r="BB197" s="9">
        <v>0</v>
      </c>
      <c r="BC197" s="9">
        <v>0</v>
      </c>
      <c r="BD197" s="9">
        <v>0</v>
      </c>
      <c r="BE197" s="9">
        <v>0</v>
      </c>
      <c r="BF197" s="9">
        <v>0</v>
      </c>
      <c r="BG197" s="9">
        <v>0</v>
      </c>
      <c r="BH197" s="9">
        <v>0</v>
      </c>
      <c r="BI197" s="9">
        <v>0</v>
      </c>
      <c r="BJ197" s="9">
        <v>0</v>
      </c>
      <c r="BK197" s="9">
        <v>0</v>
      </c>
      <c r="BL197" s="9">
        <v>0</v>
      </c>
      <c r="BM197" s="9">
        <v>0</v>
      </c>
      <c r="BN197" s="9">
        <v>0</v>
      </c>
      <c r="BO197" s="9">
        <v>0</v>
      </c>
      <c r="BP197" s="9">
        <v>0</v>
      </c>
      <c r="BQ197" s="9">
        <v>0</v>
      </c>
      <c r="BR197" s="9">
        <v>0</v>
      </c>
      <c r="BS197" s="9">
        <v>0</v>
      </c>
      <c r="BT197" s="9">
        <v>0</v>
      </c>
      <c r="BU197" s="9">
        <v>0</v>
      </c>
      <c r="BV197" s="9">
        <v>0</v>
      </c>
      <c r="BW197" s="9">
        <v>0</v>
      </c>
      <c r="BX197" s="9">
        <v>0</v>
      </c>
      <c r="BY197" s="9">
        <v>0</v>
      </c>
      <c r="BZ197" s="9">
        <v>0</v>
      </c>
      <c r="CA197" s="9">
        <v>0</v>
      </c>
      <c r="CB197" s="9">
        <v>0</v>
      </c>
      <c r="CC197" s="9">
        <v>0</v>
      </c>
      <c r="CD197" s="9">
        <v>0</v>
      </c>
      <c r="CE197" s="9">
        <v>0</v>
      </c>
      <c r="CF197" s="9">
        <v>0</v>
      </c>
      <c r="CG197" s="9">
        <v>0</v>
      </c>
      <c r="CH197" s="9">
        <v>0</v>
      </c>
      <c r="CI197" s="9">
        <v>0</v>
      </c>
      <c r="CJ197" s="9">
        <v>0</v>
      </c>
      <c r="CK197" s="9">
        <v>0</v>
      </c>
      <c r="CL197" s="9">
        <v>0</v>
      </c>
      <c r="CM197" s="9">
        <v>0</v>
      </c>
      <c r="CN197" s="9">
        <v>0</v>
      </c>
      <c r="CO197" s="9">
        <v>0</v>
      </c>
      <c r="CP197" s="9">
        <v>0</v>
      </c>
      <c r="CQ197" s="9">
        <v>0</v>
      </c>
      <c r="CR197" s="9">
        <v>0</v>
      </c>
      <c r="CS197" s="10">
        <v>0</v>
      </c>
    </row>
    <row r="198" spans="1:97" x14ac:dyDescent="0.35">
      <c r="A198" s="8" t="s">
        <v>174</v>
      </c>
      <c r="B198" s="9" t="s">
        <v>185</v>
      </c>
      <c r="C198" s="9" t="s">
        <v>874</v>
      </c>
      <c r="D198" s="9">
        <f t="shared" si="3"/>
        <v>13</v>
      </c>
      <c r="E198" s="9">
        <v>0</v>
      </c>
      <c r="F198" s="9">
        <v>0</v>
      </c>
      <c r="G198" s="9">
        <v>0</v>
      </c>
      <c r="H198" s="9">
        <v>0</v>
      </c>
      <c r="I198" s="9">
        <v>0</v>
      </c>
      <c r="J198" s="9">
        <v>0</v>
      </c>
      <c r="K198" s="9">
        <v>0</v>
      </c>
      <c r="L198" s="9">
        <v>0</v>
      </c>
      <c r="M198" s="9">
        <v>0</v>
      </c>
      <c r="N198" s="9">
        <v>0</v>
      </c>
      <c r="O198" s="9">
        <v>0</v>
      </c>
      <c r="P198" s="9">
        <v>0</v>
      </c>
      <c r="Q198" s="9">
        <v>0</v>
      </c>
      <c r="R198" s="9">
        <v>0</v>
      </c>
      <c r="S198" s="9">
        <v>0</v>
      </c>
      <c r="T198" s="9">
        <v>0</v>
      </c>
      <c r="U198" s="9">
        <v>0</v>
      </c>
      <c r="V198" s="9">
        <v>0</v>
      </c>
      <c r="W198" s="9">
        <v>0</v>
      </c>
      <c r="X198" s="9">
        <v>0</v>
      </c>
      <c r="Y198" s="9">
        <v>0</v>
      </c>
      <c r="Z198" s="9">
        <v>0</v>
      </c>
      <c r="AA198" s="9">
        <v>0</v>
      </c>
      <c r="AB198" s="9">
        <v>0</v>
      </c>
      <c r="AC198" s="9">
        <v>0</v>
      </c>
      <c r="AD198" s="9">
        <v>0</v>
      </c>
      <c r="AE198" s="9">
        <v>0</v>
      </c>
      <c r="AF198" s="9">
        <v>0</v>
      </c>
      <c r="AG198" s="9">
        <v>0</v>
      </c>
      <c r="AH198" s="9">
        <v>0</v>
      </c>
      <c r="AI198" s="9">
        <v>0</v>
      </c>
      <c r="AJ198" s="9">
        <v>0</v>
      </c>
      <c r="AK198" s="9">
        <v>0</v>
      </c>
      <c r="AL198" s="9">
        <v>0</v>
      </c>
      <c r="AM198" s="9">
        <v>0</v>
      </c>
      <c r="AN198" s="9">
        <v>0</v>
      </c>
      <c r="AO198" s="9">
        <v>0</v>
      </c>
      <c r="AP198" s="9">
        <v>0</v>
      </c>
      <c r="AQ198" s="9">
        <v>0</v>
      </c>
      <c r="AR198" s="9">
        <v>0</v>
      </c>
      <c r="AS198" s="9">
        <v>0</v>
      </c>
      <c r="AT198" s="9">
        <v>0</v>
      </c>
      <c r="AU198" s="9">
        <v>0</v>
      </c>
      <c r="AV198" s="9">
        <v>0</v>
      </c>
      <c r="AW198" s="9">
        <v>0</v>
      </c>
      <c r="AX198" s="9">
        <v>0</v>
      </c>
      <c r="AY198" s="9">
        <v>0</v>
      </c>
      <c r="AZ198" s="9">
        <v>0</v>
      </c>
      <c r="BA198" s="9">
        <v>0</v>
      </c>
      <c r="BB198" s="9">
        <v>0</v>
      </c>
      <c r="BC198" s="9">
        <v>0</v>
      </c>
      <c r="BD198" s="9">
        <v>0</v>
      </c>
      <c r="BE198" s="9">
        <v>0</v>
      </c>
      <c r="BF198" s="9">
        <v>0</v>
      </c>
      <c r="BG198" s="9">
        <v>0</v>
      </c>
      <c r="BH198" s="9">
        <v>0</v>
      </c>
      <c r="BI198" s="9">
        <v>0</v>
      </c>
      <c r="BJ198" s="9">
        <v>0</v>
      </c>
      <c r="BK198" s="9">
        <v>0</v>
      </c>
      <c r="BL198" s="9">
        <v>0</v>
      </c>
      <c r="BM198" s="9">
        <v>0</v>
      </c>
      <c r="BN198" s="9">
        <v>0</v>
      </c>
      <c r="BO198" s="9">
        <v>0</v>
      </c>
      <c r="BP198" s="9">
        <v>0</v>
      </c>
      <c r="BQ198" s="9">
        <v>0</v>
      </c>
      <c r="BR198" s="9">
        <v>0</v>
      </c>
      <c r="BS198" s="9">
        <v>0</v>
      </c>
      <c r="BT198" s="9">
        <v>2</v>
      </c>
      <c r="BU198" s="9">
        <v>1</v>
      </c>
      <c r="BV198" s="9">
        <v>0</v>
      </c>
      <c r="BW198" s="9">
        <v>1</v>
      </c>
      <c r="BX198" s="9">
        <v>0</v>
      </c>
      <c r="BY198" s="9">
        <v>1</v>
      </c>
      <c r="BZ198" s="9">
        <v>2</v>
      </c>
      <c r="CA198" s="9">
        <v>0</v>
      </c>
      <c r="CB198" s="9">
        <v>2</v>
      </c>
      <c r="CC198" s="9">
        <v>0</v>
      </c>
      <c r="CD198" s="9">
        <v>2</v>
      </c>
      <c r="CE198" s="9">
        <v>0</v>
      </c>
      <c r="CF198" s="9">
        <v>0</v>
      </c>
      <c r="CG198" s="9">
        <v>0</v>
      </c>
      <c r="CH198" s="9">
        <v>0</v>
      </c>
      <c r="CI198" s="9">
        <v>0</v>
      </c>
      <c r="CJ198" s="9">
        <v>1</v>
      </c>
      <c r="CK198" s="9">
        <v>0</v>
      </c>
      <c r="CL198" s="9">
        <v>0</v>
      </c>
      <c r="CM198" s="9">
        <v>1</v>
      </c>
      <c r="CN198" s="9">
        <v>0</v>
      </c>
      <c r="CO198" s="9">
        <v>0</v>
      </c>
      <c r="CP198" s="9">
        <v>0</v>
      </c>
      <c r="CQ198" s="9">
        <v>0</v>
      </c>
      <c r="CR198" s="9">
        <v>0</v>
      </c>
      <c r="CS198" s="10">
        <v>0</v>
      </c>
    </row>
    <row r="199" spans="1:97" x14ac:dyDescent="0.35">
      <c r="A199" s="8" t="s">
        <v>174</v>
      </c>
      <c r="B199" s="9" t="s">
        <v>187</v>
      </c>
      <c r="C199" s="9" t="s">
        <v>875</v>
      </c>
      <c r="D199" s="9">
        <f t="shared" si="3"/>
        <v>5</v>
      </c>
      <c r="E199" s="9">
        <v>0</v>
      </c>
      <c r="F199" s="9">
        <v>0</v>
      </c>
      <c r="G199" s="9">
        <v>0</v>
      </c>
      <c r="H199" s="9">
        <v>0</v>
      </c>
      <c r="I199" s="9">
        <v>0</v>
      </c>
      <c r="J199" s="9">
        <v>0</v>
      </c>
      <c r="K199" s="9">
        <v>0</v>
      </c>
      <c r="L199" s="9">
        <v>0</v>
      </c>
      <c r="M199" s="9">
        <v>0</v>
      </c>
      <c r="N199" s="9">
        <v>0</v>
      </c>
      <c r="O199" s="9">
        <v>0</v>
      </c>
      <c r="P199" s="9">
        <v>0</v>
      </c>
      <c r="Q199" s="9">
        <v>0</v>
      </c>
      <c r="R199" s="9">
        <v>0</v>
      </c>
      <c r="S199" s="9">
        <v>0</v>
      </c>
      <c r="T199" s="9">
        <v>0</v>
      </c>
      <c r="U199" s="9">
        <v>0</v>
      </c>
      <c r="V199" s="9">
        <v>0</v>
      </c>
      <c r="W199" s="9">
        <v>0</v>
      </c>
      <c r="X199" s="9">
        <v>0</v>
      </c>
      <c r="Y199" s="9">
        <v>0</v>
      </c>
      <c r="Z199" s="9">
        <v>0</v>
      </c>
      <c r="AA199" s="9">
        <v>0</v>
      </c>
      <c r="AB199" s="9">
        <v>0</v>
      </c>
      <c r="AC199" s="9">
        <v>0</v>
      </c>
      <c r="AD199" s="9">
        <v>0</v>
      </c>
      <c r="AE199" s="9">
        <v>0</v>
      </c>
      <c r="AF199" s="9">
        <v>0</v>
      </c>
      <c r="AG199" s="9">
        <v>0</v>
      </c>
      <c r="AH199" s="9">
        <v>0</v>
      </c>
      <c r="AI199" s="9">
        <v>0</v>
      </c>
      <c r="AJ199" s="9">
        <v>0</v>
      </c>
      <c r="AK199" s="9">
        <v>0</v>
      </c>
      <c r="AL199" s="9">
        <v>0</v>
      </c>
      <c r="AM199" s="9">
        <v>0</v>
      </c>
      <c r="AN199" s="9">
        <v>0</v>
      </c>
      <c r="AO199" s="9">
        <v>0</v>
      </c>
      <c r="AP199" s="9">
        <v>0</v>
      </c>
      <c r="AQ199" s="9">
        <v>0</v>
      </c>
      <c r="AR199" s="9">
        <v>0</v>
      </c>
      <c r="AS199" s="9">
        <v>0</v>
      </c>
      <c r="AT199" s="9">
        <v>0</v>
      </c>
      <c r="AU199" s="9">
        <v>0</v>
      </c>
      <c r="AV199" s="9">
        <v>0</v>
      </c>
      <c r="AW199" s="9">
        <v>0</v>
      </c>
      <c r="AX199" s="9">
        <v>0</v>
      </c>
      <c r="AY199" s="9">
        <v>0</v>
      </c>
      <c r="AZ199" s="9">
        <v>0</v>
      </c>
      <c r="BA199" s="9">
        <v>0</v>
      </c>
      <c r="BB199" s="9">
        <v>0</v>
      </c>
      <c r="BC199" s="9">
        <v>0</v>
      </c>
      <c r="BD199" s="9">
        <v>0</v>
      </c>
      <c r="BE199" s="9">
        <v>0</v>
      </c>
      <c r="BF199" s="9">
        <v>0</v>
      </c>
      <c r="BG199" s="9">
        <v>0</v>
      </c>
      <c r="BH199" s="9">
        <v>0</v>
      </c>
      <c r="BI199" s="9">
        <v>0</v>
      </c>
      <c r="BJ199" s="9">
        <v>0</v>
      </c>
      <c r="BK199" s="9">
        <v>0</v>
      </c>
      <c r="BL199" s="9">
        <v>0</v>
      </c>
      <c r="BM199" s="9">
        <v>0</v>
      </c>
      <c r="BN199" s="9">
        <v>0</v>
      </c>
      <c r="BO199" s="9">
        <v>0</v>
      </c>
      <c r="BP199" s="9">
        <v>0</v>
      </c>
      <c r="BQ199" s="9">
        <v>0</v>
      </c>
      <c r="BR199" s="9">
        <v>0</v>
      </c>
      <c r="BS199" s="9">
        <v>0</v>
      </c>
      <c r="BT199" s="9">
        <v>0</v>
      </c>
      <c r="BU199" s="9">
        <v>0</v>
      </c>
      <c r="BV199" s="9">
        <v>1</v>
      </c>
      <c r="BW199" s="9">
        <v>0</v>
      </c>
      <c r="BX199" s="9">
        <v>0</v>
      </c>
      <c r="BY199" s="9">
        <v>2</v>
      </c>
      <c r="BZ199" s="9">
        <v>0</v>
      </c>
      <c r="CA199" s="9">
        <v>0</v>
      </c>
      <c r="CB199" s="9">
        <v>0</v>
      </c>
      <c r="CC199" s="9">
        <v>0</v>
      </c>
      <c r="CD199" s="9">
        <v>0</v>
      </c>
      <c r="CE199" s="9">
        <v>0</v>
      </c>
      <c r="CF199" s="9">
        <v>0</v>
      </c>
      <c r="CG199" s="9">
        <v>0</v>
      </c>
      <c r="CH199" s="9">
        <v>1</v>
      </c>
      <c r="CI199" s="9">
        <v>0</v>
      </c>
      <c r="CJ199" s="9">
        <v>0</v>
      </c>
      <c r="CK199" s="9">
        <v>0</v>
      </c>
      <c r="CL199" s="9">
        <v>0</v>
      </c>
      <c r="CM199" s="9">
        <v>0</v>
      </c>
      <c r="CN199" s="9">
        <v>0</v>
      </c>
      <c r="CO199" s="9">
        <v>0</v>
      </c>
      <c r="CP199" s="9">
        <v>0</v>
      </c>
      <c r="CQ199" s="9">
        <v>1</v>
      </c>
      <c r="CR199" s="9">
        <v>0</v>
      </c>
      <c r="CS199" s="10">
        <v>0</v>
      </c>
    </row>
    <row r="200" spans="1:97" x14ac:dyDescent="0.35">
      <c r="A200" s="8" t="s">
        <v>174</v>
      </c>
      <c r="B200" s="9" t="s">
        <v>189</v>
      </c>
      <c r="C200" s="9" t="s">
        <v>876</v>
      </c>
      <c r="D200" s="9">
        <f t="shared" si="3"/>
        <v>271</v>
      </c>
      <c r="E200" s="9">
        <v>0</v>
      </c>
      <c r="F200" s="9">
        <v>1</v>
      </c>
      <c r="G200" s="9">
        <v>1</v>
      </c>
      <c r="H200" s="9">
        <v>0</v>
      </c>
      <c r="I200" s="9">
        <v>1</v>
      </c>
      <c r="J200" s="9">
        <v>0</v>
      </c>
      <c r="K200" s="9">
        <v>0</v>
      </c>
      <c r="L200" s="9">
        <v>0</v>
      </c>
      <c r="M200" s="9">
        <v>0</v>
      </c>
      <c r="N200" s="9">
        <v>1</v>
      </c>
      <c r="O200" s="9">
        <v>0</v>
      </c>
      <c r="P200" s="9">
        <v>1</v>
      </c>
      <c r="Q200" s="9">
        <v>0</v>
      </c>
      <c r="R200" s="9">
        <v>1</v>
      </c>
      <c r="S200" s="9">
        <v>0</v>
      </c>
      <c r="T200" s="9">
        <v>0</v>
      </c>
      <c r="U200" s="9">
        <v>1</v>
      </c>
      <c r="V200" s="9">
        <v>1</v>
      </c>
      <c r="W200" s="9">
        <v>1</v>
      </c>
      <c r="X200" s="9">
        <v>1</v>
      </c>
      <c r="Y200" s="9">
        <v>0</v>
      </c>
      <c r="Z200" s="9">
        <v>0</v>
      </c>
      <c r="AA200" s="9">
        <v>0</v>
      </c>
      <c r="AB200" s="9">
        <v>0</v>
      </c>
      <c r="AC200" s="9">
        <v>0</v>
      </c>
      <c r="AD200" s="9">
        <v>0</v>
      </c>
      <c r="AE200" s="9">
        <v>0</v>
      </c>
      <c r="AF200" s="9">
        <v>0</v>
      </c>
      <c r="AG200" s="9">
        <v>0</v>
      </c>
      <c r="AH200" s="9">
        <v>0</v>
      </c>
      <c r="AI200" s="9">
        <v>0</v>
      </c>
      <c r="AJ200" s="9">
        <v>0</v>
      </c>
      <c r="AK200" s="9">
        <v>0</v>
      </c>
      <c r="AL200" s="9">
        <v>0</v>
      </c>
      <c r="AM200" s="9">
        <v>0</v>
      </c>
      <c r="AN200" s="9">
        <v>0</v>
      </c>
      <c r="AO200" s="9">
        <v>1</v>
      </c>
      <c r="AP200" s="9">
        <v>0</v>
      </c>
      <c r="AQ200" s="9">
        <v>0</v>
      </c>
      <c r="AR200" s="9">
        <v>0</v>
      </c>
      <c r="AS200" s="9">
        <v>0</v>
      </c>
      <c r="AT200" s="9">
        <v>0</v>
      </c>
      <c r="AU200" s="9">
        <v>0</v>
      </c>
      <c r="AV200" s="9">
        <v>0</v>
      </c>
      <c r="AW200" s="9">
        <v>1</v>
      </c>
      <c r="AX200" s="9">
        <v>1</v>
      </c>
      <c r="AY200" s="9">
        <v>0</v>
      </c>
      <c r="AZ200" s="9">
        <v>1</v>
      </c>
      <c r="BA200" s="9">
        <v>0</v>
      </c>
      <c r="BB200" s="9">
        <v>2</v>
      </c>
      <c r="BC200" s="9">
        <v>0</v>
      </c>
      <c r="BD200" s="9">
        <v>1</v>
      </c>
      <c r="BE200" s="9">
        <v>2</v>
      </c>
      <c r="BF200" s="9">
        <v>1</v>
      </c>
      <c r="BG200" s="9">
        <v>0</v>
      </c>
      <c r="BH200" s="9">
        <v>1</v>
      </c>
      <c r="BI200" s="9">
        <v>2</v>
      </c>
      <c r="BJ200" s="9">
        <v>0</v>
      </c>
      <c r="BK200" s="9">
        <v>4</v>
      </c>
      <c r="BL200" s="9">
        <v>2</v>
      </c>
      <c r="BM200" s="9">
        <v>3</v>
      </c>
      <c r="BN200" s="9">
        <v>4</v>
      </c>
      <c r="BO200" s="9">
        <v>2</v>
      </c>
      <c r="BP200" s="9">
        <v>3</v>
      </c>
      <c r="BQ200" s="9">
        <v>9</v>
      </c>
      <c r="BR200" s="9">
        <v>8</v>
      </c>
      <c r="BS200" s="9">
        <v>6</v>
      </c>
      <c r="BT200" s="9">
        <v>2</v>
      </c>
      <c r="BU200" s="9">
        <v>7</v>
      </c>
      <c r="BV200" s="9">
        <v>8</v>
      </c>
      <c r="BW200" s="9">
        <v>8</v>
      </c>
      <c r="BX200" s="9">
        <v>6</v>
      </c>
      <c r="BY200" s="9">
        <v>8</v>
      </c>
      <c r="BZ200" s="9">
        <v>8</v>
      </c>
      <c r="CA200" s="9">
        <v>2</v>
      </c>
      <c r="CB200" s="9">
        <v>4</v>
      </c>
      <c r="CC200" s="9">
        <v>7</v>
      </c>
      <c r="CD200" s="9">
        <v>7</v>
      </c>
      <c r="CE200" s="9">
        <v>6</v>
      </c>
      <c r="CF200" s="9">
        <v>3</v>
      </c>
      <c r="CG200" s="9">
        <v>5</v>
      </c>
      <c r="CH200" s="9">
        <v>3</v>
      </c>
      <c r="CI200" s="9">
        <v>9</v>
      </c>
      <c r="CJ200" s="9">
        <v>11</v>
      </c>
      <c r="CK200" s="9">
        <v>9</v>
      </c>
      <c r="CL200" s="9">
        <v>0</v>
      </c>
      <c r="CM200" s="9">
        <v>20</v>
      </c>
      <c r="CN200" s="9">
        <v>10</v>
      </c>
      <c r="CO200" s="9">
        <v>20</v>
      </c>
      <c r="CP200" s="9">
        <v>7</v>
      </c>
      <c r="CQ200" s="9">
        <v>12</v>
      </c>
      <c r="CR200" s="9">
        <v>6</v>
      </c>
      <c r="CS200" s="10">
        <v>19</v>
      </c>
    </row>
    <row r="201" spans="1:97" x14ac:dyDescent="0.35">
      <c r="A201" s="8" t="s">
        <v>174</v>
      </c>
      <c r="B201" s="9" t="s">
        <v>191</v>
      </c>
      <c r="C201" s="9" t="s">
        <v>877</v>
      </c>
      <c r="D201" s="9">
        <f t="shared" si="3"/>
        <v>152</v>
      </c>
      <c r="E201" s="9">
        <v>0</v>
      </c>
      <c r="F201" s="9">
        <v>0</v>
      </c>
      <c r="G201" s="9">
        <v>1</v>
      </c>
      <c r="H201" s="9">
        <v>0</v>
      </c>
      <c r="I201" s="9">
        <v>0</v>
      </c>
      <c r="J201" s="9">
        <v>0</v>
      </c>
      <c r="K201" s="9">
        <v>1</v>
      </c>
      <c r="L201" s="9">
        <v>0</v>
      </c>
      <c r="M201" s="9">
        <v>0</v>
      </c>
      <c r="N201" s="9">
        <v>0</v>
      </c>
      <c r="O201" s="9">
        <v>0</v>
      </c>
      <c r="P201" s="9">
        <v>0</v>
      </c>
      <c r="Q201" s="9">
        <v>0</v>
      </c>
      <c r="R201" s="9">
        <v>0</v>
      </c>
      <c r="S201" s="9">
        <v>0</v>
      </c>
      <c r="T201" s="9">
        <v>1</v>
      </c>
      <c r="U201" s="9">
        <v>0</v>
      </c>
      <c r="V201" s="9">
        <v>0</v>
      </c>
      <c r="W201" s="9">
        <v>0</v>
      </c>
      <c r="X201" s="9">
        <v>0</v>
      </c>
      <c r="Y201" s="9">
        <v>2</v>
      </c>
      <c r="Z201" s="9">
        <v>0</v>
      </c>
      <c r="AA201" s="9">
        <v>0</v>
      </c>
      <c r="AB201" s="9">
        <v>0</v>
      </c>
      <c r="AC201" s="9">
        <v>0</v>
      </c>
      <c r="AD201" s="9">
        <v>0</v>
      </c>
      <c r="AE201" s="9">
        <v>0</v>
      </c>
      <c r="AF201" s="9">
        <v>0</v>
      </c>
      <c r="AG201" s="9">
        <v>1</v>
      </c>
      <c r="AH201" s="9">
        <v>0</v>
      </c>
      <c r="AI201" s="9">
        <v>0</v>
      </c>
      <c r="AJ201" s="9">
        <v>0</v>
      </c>
      <c r="AK201" s="9">
        <v>0</v>
      </c>
      <c r="AL201" s="9">
        <v>0</v>
      </c>
      <c r="AM201" s="9">
        <v>0</v>
      </c>
      <c r="AN201" s="9">
        <v>0</v>
      </c>
      <c r="AO201" s="9">
        <v>0</v>
      </c>
      <c r="AP201" s="9">
        <v>0</v>
      </c>
      <c r="AQ201" s="9">
        <v>0</v>
      </c>
      <c r="AR201" s="9">
        <v>0</v>
      </c>
      <c r="AS201" s="9">
        <v>0</v>
      </c>
      <c r="AT201" s="9">
        <v>1</v>
      </c>
      <c r="AU201" s="9">
        <v>0</v>
      </c>
      <c r="AV201" s="9">
        <v>0</v>
      </c>
      <c r="AW201" s="9">
        <v>2</v>
      </c>
      <c r="AX201" s="9">
        <v>0</v>
      </c>
      <c r="AY201" s="9">
        <v>1</v>
      </c>
      <c r="AZ201" s="9">
        <v>1</v>
      </c>
      <c r="BA201" s="9">
        <v>0</v>
      </c>
      <c r="BB201" s="9">
        <v>0</v>
      </c>
      <c r="BC201" s="9">
        <v>0</v>
      </c>
      <c r="BD201" s="9">
        <v>0</v>
      </c>
      <c r="BE201" s="9">
        <v>1</v>
      </c>
      <c r="BF201" s="9">
        <v>0</v>
      </c>
      <c r="BG201" s="9">
        <v>2</v>
      </c>
      <c r="BH201" s="9">
        <v>2</v>
      </c>
      <c r="BI201" s="9">
        <v>0</v>
      </c>
      <c r="BJ201" s="9">
        <v>0</v>
      </c>
      <c r="BK201" s="9">
        <v>0</v>
      </c>
      <c r="BL201" s="9">
        <v>0</v>
      </c>
      <c r="BM201" s="9">
        <v>0</v>
      </c>
      <c r="BN201" s="9">
        <v>0</v>
      </c>
      <c r="BO201" s="9">
        <v>1</v>
      </c>
      <c r="BP201" s="9">
        <v>1</v>
      </c>
      <c r="BQ201" s="9">
        <v>3</v>
      </c>
      <c r="BR201" s="9">
        <v>5</v>
      </c>
      <c r="BS201" s="9">
        <v>1</v>
      </c>
      <c r="BT201" s="9">
        <v>3</v>
      </c>
      <c r="BU201" s="9">
        <v>5</v>
      </c>
      <c r="BV201" s="9">
        <v>3</v>
      </c>
      <c r="BW201" s="9">
        <v>3</v>
      </c>
      <c r="BX201" s="9">
        <v>3</v>
      </c>
      <c r="BY201" s="9">
        <v>5</v>
      </c>
      <c r="BZ201" s="9">
        <v>6</v>
      </c>
      <c r="CA201" s="9">
        <v>1</v>
      </c>
      <c r="CB201" s="9">
        <v>3</v>
      </c>
      <c r="CC201" s="9">
        <v>4</v>
      </c>
      <c r="CD201" s="9">
        <v>1</v>
      </c>
      <c r="CE201" s="9">
        <v>3</v>
      </c>
      <c r="CF201" s="9">
        <v>3</v>
      </c>
      <c r="CG201" s="9">
        <v>5</v>
      </c>
      <c r="CH201" s="9">
        <v>7</v>
      </c>
      <c r="CI201" s="9">
        <v>9</v>
      </c>
      <c r="CJ201" s="9">
        <v>5</v>
      </c>
      <c r="CK201" s="9">
        <v>6</v>
      </c>
      <c r="CL201" s="9">
        <v>10</v>
      </c>
      <c r="CM201" s="9">
        <v>9</v>
      </c>
      <c r="CN201" s="9">
        <v>2</v>
      </c>
      <c r="CO201" s="9">
        <v>4</v>
      </c>
      <c r="CP201" s="9">
        <v>1</v>
      </c>
      <c r="CQ201" s="9">
        <v>6</v>
      </c>
      <c r="CR201" s="9">
        <v>9</v>
      </c>
      <c r="CS201" s="10">
        <v>9</v>
      </c>
    </row>
    <row r="202" spans="1:97" x14ac:dyDescent="0.35">
      <c r="A202" s="8" t="s">
        <v>174</v>
      </c>
      <c r="B202" s="9" t="s">
        <v>193</v>
      </c>
      <c r="C202" s="9" t="s">
        <v>878</v>
      </c>
      <c r="D202" s="9">
        <f t="shared" si="3"/>
        <v>73</v>
      </c>
      <c r="E202" s="9">
        <v>0</v>
      </c>
      <c r="F202" s="9">
        <v>0</v>
      </c>
      <c r="G202" s="9">
        <v>0</v>
      </c>
      <c r="H202" s="9">
        <v>0</v>
      </c>
      <c r="I202" s="9">
        <v>0</v>
      </c>
      <c r="J202" s="9">
        <v>0</v>
      </c>
      <c r="K202" s="9">
        <v>0</v>
      </c>
      <c r="L202" s="9">
        <v>0</v>
      </c>
      <c r="M202" s="9">
        <v>0</v>
      </c>
      <c r="N202" s="9">
        <v>0</v>
      </c>
      <c r="O202" s="9">
        <v>0</v>
      </c>
      <c r="P202" s="9">
        <v>0</v>
      </c>
      <c r="Q202" s="9">
        <v>0</v>
      </c>
      <c r="R202" s="9">
        <v>0</v>
      </c>
      <c r="S202" s="9">
        <v>0</v>
      </c>
      <c r="T202" s="9">
        <v>0</v>
      </c>
      <c r="U202" s="9">
        <v>0</v>
      </c>
      <c r="V202" s="9">
        <v>0</v>
      </c>
      <c r="W202" s="9">
        <v>0</v>
      </c>
      <c r="X202" s="9">
        <v>0</v>
      </c>
      <c r="Y202" s="9">
        <v>0</v>
      </c>
      <c r="Z202" s="9">
        <v>0</v>
      </c>
      <c r="AA202" s="9">
        <v>0</v>
      </c>
      <c r="AB202" s="9">
        <v>0</v>
      </c>
      <c r="AC202" s="9">
        <v>0</v>
      </c>
      <c r="AD202" s="9">
        <v>0</v>
      </c>
      <c r="AE202" s="9">
        <v>0</v>
      </c>
      <c r="AF202" s="9">
        <v>0</v>
      </c>
      <c r="AG202" s="9">
        <v>0</v>
      </c>
      <c r="AH202" s="9">
        <v>0</v>
      </c>
      <c r="AI202" s="9">
        <v>0</v>
      </c>
      <c r="AJ202" s="9">
        <v>0</v>
      </c>
      <c r="AK202" s="9">
        <v>0</v>
      </c>
      <c r="AL202" s="9">
        <v>0</v>
      </c>
      <c r="AM202" s="9">
        <v>0</v>
      </c>
      <c r="AN202" s="9">
        <v>0</v>
      </c>
      <c r="AO202" s="9">
        <v>0</v>
      </c>
      <c r="AP202" s="9">
        <v>0</v>
      </c>
      <c r="AQ202" s="9">
        <v>0</v>
      </c>
      <c r="AR202" s="9">
        <v>0</v>
      </c>
      <c r="AS202" s="9">
        <v>0</v>
      </c>
      <c r="AT202" s="9">
        <v>0</v>
      </c>
      <c r="AU202" s="9">
        <v>0</v>
      </c>
      <c r="AV202" s="9">
        <v>0</v>
      </c>
      <c r="AW202" s="9">
        <v>0</v>
      </c>
      <c r="AX202" s="9">
        <v>0</v>
      </c>
      <c r="AY202" s="9">
        <v>0</v>
      </c>
      <c r="AZ202" s="9">
        <v>0</v>
      </c>
      <c r="BA202" s="9">
        <v>2</v>
      </c>
      <c r="BB202" s="9">
        <v>2</v>
      </c>
      <c r="BC202" s="9">
        <v>4</v>
      </c>
      <c r="BD202" s="9">
        <v>0</v>
      </c>
      <c r="BE202" s="9">
        <v>0</v>
      </c>
      <c r="BF202" s="9">
        <v>0</v>
      </c>
      <c r="BG202" s="9">
        <v>0</v>
      </c>
      <c r="BH202" s="9">
        <v>2</v>
      </c>
      <c r="BI202" s="9">
        <v>2</v>
      </c>
      <c r="BJ202" s="9">
        <v>0</v>
      </c>
      <c r="BK202" s="9">
        <v>1</v>
      </c>
      <c r="BL202" s="9">
        <v>1</v>
      </c>
      <c r="BM202" s="9">
        <v>0</v>
      </c>
      <c r="BN202" s="9">
        <v>0</v>
      </c>
      <c r="BO202" s="9">
        <v>0</v>
      </c>
      <c r="BP202" s="9">
        <v>0</v>
      </c>
      <c r="BQ202" s="9">
        <v>0</v>
      </c>
      <c r="BR202" s="9">
        <v>0</v>
      </c>
      <c r="BS202" s="9">
        <v>0</v>
      </c>
      <c r="BT202" s="9">
        <v>0</v>
      </c>
      <c r="BU202" s="9">
        <v>0</v>
      </c>
      <c r="BV202" s="9">
        <v>0</v>
      </c>
      <c r="BW202" s="9">
        <v>0</v>
      </c>
      <c r="BX202" s="9">
        <v>0</v>
      </c>
      <c r="BY202" s="9">
        <v>0</v>
      </c>
      <c r="BZ202" s="9">
        <v>1</v>
      </c>
      <c r="CA202" s="9">
        <v>1</v>
      </c>
      <c r="CB202" s="9">
        <v>2</v>
      </c>
      <c r="CC202" s="9">
        <v>0</v>
      </c>
      <c r="CD202" s="9">
        <v>0</v>
      </c>
      <c r="CE202" s="9">
        <v>0</v>
      </c>
      <c r="CF202" s="9">
        <v>1</v>
      </c>
      <c r="CG202" s="9">
        <v>1</v>
      </c>
      <c r="CH202" s="9">
        <v>9</v>
      </c>
      <c r="CI202" s="9">
        <v>2</v>
      </c>
      <c r="CJ202" s="9">
        <v>2</v>
      </c>
      <c r="CK202" s="9">
        <v>2</v>
      </c>
      <c r="CL202" s="9">
        <v>1</v>
      </c>
      <c r="CM202" s="9">
        <v>3</v>
      </c>
      <c r="CN202" s="9">
        <v>4</v>
      </c>
      <c r="CO202" s="9">
        <v>6</v>
      </c>
      <c r="CP202" s="9">
        <v>9</v>
      </c>
      <c r="CQ202" s="9">
        <v>6</v>
      </c>
      <c r="CR202" s="9">
        <v>5</v>
      </c>
      <c r="CS202" s="10">
        <v>4</v>
      </c>
    </row>
    <row r="203" spans="1:97" x14ac:dyDescent="0.35">
      <c r="A203" s="8" t="s">
        <v>174</v>
      </c>
      <c r="B203" s="9" t="s">
        <v>195</v>
      </c>
      <c r="C203" s="9" t="s">
        <v>879</v>
      </c>
      <c r="D203" s="9">
        <f t="shared" si="3"/>
        <v>51</v>
      </c>
      <c r="E203" s="9">
        <v>0</v>
      </c>
      <c r="F203" s="9">
        <v>0</v>
      </c>
      <c r="G203" s="9">
        <v>0</v>
      </c>
      <c r="H203" s="9">
        <v>0</v>
      </c>
      <c r="I203" s="9">
        <v>1</v>
      </c>
      <c r="J203" s="9">
        <v>0</v>
      </c>
      <c r="K203" s="9">
        <v>0</v>
      </c>
      <c r="L203" s="9">
        <v>1</v>
      </c>
      <c r="M203" s="9">
        <v>0</v>
      </c>
      <c r="N203" s="9">
        <v>0</v>
      </c>
      <c r="O203" s="9">
        <v>1</v>
      </c>
      <c r="P203" s="9">
        <v>0</v>
      </c>
      <c r="Q203" s="9">
        <v>0</v>
      </c>
      <c r="R203" s="9">
        <v>0</v>
      </c>
      <c r="S203" s="9">
        <v>0</v>
      </c>
      <c r="T203" s="9">
        <v>0</v>
      </c>
      <c r="U203" s="9">
        <v>0</v>
      </c>
      <c r="V203" s="9">
        <v>0</v>
      </c>
      <c r="W203" s="9">
        <v>0</v>
      </c>
      <c r="X203" s="9">
        <v>0</v>
      </c>
      <c r="Y203" s="9">
        <v>0</v>
      </c>
      <c r="Z203" s="9">
        <v>0</v>
      </c>
      <c r="AA203" s="9">
        <v>0</v>
      </c>
      <c r="AB203" s="9">
        <v>0</v>
      </c>
      <c r="AC203" s="9">
        <v>0</v>
      </c>
      <c r="AD203" s="9">
        <v>0</v>
      </c>
      <c r="AE203" s="9">
        <v>0</v>
      </c>
      <c r="AF203" s="9">
        <v>0</v>
      </c>
      <c r="AG203" s="9">
        <v>0</v>
      </c>
      <c r="AH203" s="9">
        <v>0</v>
      </c>
      <c r="AI203" s="9">
        <v>0</v>
      </c>
      <c r="AJ203" s="9">
        <v>0</v>
      </c>
      <c r="AK203" s="9">
        <v>0</v>
      </c>
      <c r="AL203" s="9">
        <v>0</v>
      </c>
      <c r="AM203" s="9">
        <v>0</v>
      </c>
      <c r="AN203" s="9">
        <v>0</v>
      </c>
      <c r="AO203" s="9">
        <v>0</v>
      </c>
      <c r="AP203" s="9">
        <v>0</v>
      </c>
      <c r="AQ203" s="9">
        <v>1</v>
      </c>
      <c r="AR203" s="9">
        <v>0</v>
      </c>
      <c r="AS203" s="9">
        <v>0</v>
      </c>
      <c r="AT203" s="9">
        <v>0</v>
      </c>
      <c r="AU203" s="9">
        <v>0</v>
      </c>
      <c r="AV203" s="9">
        <v>0</v>
      </c>
      <c r="AW203" s="9">
        <v>0</v>
      </c>
      <c r="AX203" s="9">
        <v>0</v>
      </c>
      <c r="AY203" s="9">
        <v>0</v>
      </c>
      <c r="AZ203" s="9">
        <v>0</v>
      </c>
      <c r="BA203" s="9">
        <v>0</v>
      </c>
      <c r="BB203" s="9">
        <v>1</v>
      </c>
      <c r="BC203" s="9">
        <v>0</v>
      </c>
      <c r="BD203" s="9">
        <v>1</v>
      </c>
      <c r="BE203" s="9">
        <v>1</v>
      </c>
      <c r="BF203" s="9">
        <v>0</v>
      </c>
      <c r="BG203" s="9">
        <v>1</v>
      </c>
      <c r="BH203" s="9">
        <v>0</v>
      </c>
      <c r="BI203" s="9">
        <v>1</v>
      </c>
      <c r="BJ203" s="9">
        <v>0</v>
      </c>
      <c r="BK203" s="9">
        <v>2</v>
      </c>
      <c r="BL203" s="9">
        <v>0</v>
      </c>
      <c r="BM203" s="9">
        <v>0</v>
      </c>
      <c r="BN203" s="9">
        <v>0</v>
      </c>
      <c r="BO203" s="9">
        <v>0</v>
      </c>
      <c r="BP203" s="9">
        <v>1</v>
      </c>
      <c r="BQ203" s="9">
        <v>0</v>
      </c>
      <c r="BR203" s="9">
        <v>0</v>
      </c>
      <c r="BS203" s="9">
        <v>0</v>
      </c>
      <c r="BT203" s="9">
        <v>0</v>
      </c>
      <c r="BU203" s="9">
        <v>0</v>
      </c>
      <c r="BV203" s="9">
        <v>1</v>
      </c>
      <c r="BW203" s="9">
        <v>0</v>
      </c>
      <c r="BX203" s="9">
        <v>1</v>
      </c>
      <c r="BY203" s="9">
        <v>2</v>
      </c>
      <c r="BZ203" s="9">
        <v>1</v>
      </c>
      <c r="CA203" s="9">
        <v>0</v>
      </c>
      <c r="CB203" s="9">
        <v>3</v>
      </c>
      <c r="CC203" s="9">
        <v>2</v>
      </c>
      <c r="CD203" s="9">
        <v>1</v>
      </c>
      <c r="CE203" s="9">
        <v>2</v>
      </c>
      <c r="CF203" s="9">
        <v>2</v>
      </c>
      <c r="CG203" s="9">
        <v>1</v>
      </c>
      <c r="CH203" s="9">
        <v>3</v>
      </c>
      <c r="CI203" s="9">
        <v>0</v>
      </c>
      <c r="CJ203" s="9">
        <v>2</v>
      </c>
      <c r="CK203" s="9">
        <v>1</v>
      </c>
      <c r="CL203" s="9">
        <v>0</v>
      </c>
      <c r="CM203" s="9">
        <v>1</v>
      </c>
      <c r="CN203" s="9">
        <v>0</v>
      </c>
      <c r="CO203" s="9">
        <v>4</v>
      </c>
      <c r="CP203" s="9">
        <v>2</v>
      </c>
      <c r="CQ203" s="9">
        <v>3</v>
      </c>
      <c r="CR203" s="9">
        <v>2</v>
      </c>
      <c r="CS203" s="10">
        <v>5</v>
      </c>
    </row>
    <row r="204" spans="1:97" x14ac:dyDescent="0.35">
      <c r="A204" s="8" t="s">
        <v>174</v>
      </c>
      <c r="B204" s="9" t="s">
        <v>197</v>
      </c>
      <c r="C204" s="9" t="s">
        <v>880</v>
      </c>
      <c r="D204" s="9">
        <f t="shared" si="3"/>
        <v>468</v>
      </c>
      <c r="E204" s="9">
        <v>1</v>
      </c>
      <c r="F204" s="9">
        <v>0</v>
      </c>
      <c r="G204" s="9">
        <v>1</v>
      </c>
      <c r="H204" s="9">
        <v>1</v>
      </c>
      <c r="I204" s="9">
        <v>1</v>
      </c>
      <c r="J204" s="9">
        <v>3</v>
      </c>
      <c r="K204" s="9">
        <v>0</v>
      </c>
      <c r="L204" s="9">
        <v>1</v>
      </c>
      <c r="M204" s="9">
        <v>0</v>
      </c>
      <c r="N204" s="9">
        <v>0</v>
      </c>
      <c r="O204" s="9">
        <v>1</v>
      </c>
      <c r="P204" s="9">
        <v>1</v>
      </c>
      <c r="Q204" s="9">
        <v>0</v>
      </c>
      <c r="R204" s="9">
        <v>2</v>
      </c>
      <c r="S204" s="9">
        <v>0</v>
      </c>
      <c r="T204" s="9">
        <v>0</v>
      </c>
      <c r="U204" s="9">
        <v>1</v>
      </c>
      <c r="V204" s="9">
        <v>0</v>
      </c>
      <c r="W204" s="9">
        <v>1</v>
      </c>
      <c r="X204" s="9">
        <v>0</v>
      </c>
      <c r="Y204" s="9">
        <v>0</v>
      </c>
      <c r="Z204" s="9">
        <v>0</v>
      </c>
      <c r="AA204" s="9">
        <v>1</v>
      </c>
      <c r="AB204" s="9">
        <v>1</v>
      </c>
      <c r="AC204" s="9">
        <v>0</v>
      </c>
      <c r="AD204" s="9">
        <v>0</v>
      </c>
      <c r="AE204" s="9">
        <v>0</v>
      </c>
      <c r="AF204" s="9">
        <v>0</v>
      </c>
      <c r="AG204" s="9">
        <v>0</v>
      </c>
      <c r="AH204" s="9">
        <v>0</v>
      </c>
      <c r="AI204" s="9">
        <v>0</v>
      </c>
      <c r="AJ204" s="9">
        <v>1</v>
      </c>
      <c r="AK204" s="9">
        <v>0</v>
      </c>
      <c r="AL204" s="9">
        <v>0</v>
      </c>
      <c r="AM204" s="9">
        <v>0</v>
      </c>
      <c r="AN204" s="9">
        <v>0</v>
      </c>
      <c r="AO204" s="9">
        <v>0</v>
      </c>
      <c r="AP204" s="9">
        <v>0</v>
      </c>
      <c r="AQ204" s="9">
        <v>0</v>
      </c>
      <c r="AR204" s="9">
        <v>0</v>
      </c>
      <c r="AS204" s="9">
        <v>0</v>
      </c>
      <c r="AT204" s="9">
        <v>0</v>
      </c>
      <c r="AU204" s="9">
        <v>0</v>
      </c>
      <c r="AV204" s="9">
        <v>1</v>
      </c>
      <c r="AW204" s="9">
        <v>0</v>
      </c>
      <c r="AX204" s="9">
        <v>3</v>
      </c>
      <c r="AY204" s="9">
        <v>7</v>
      </c>
      <c r="AZ204" s="9">
        <v>3</v>
      </c>
      <c r="BA204" s="9">
        <v>4</v>
      </c>
      <c r="BB204" s="9">
        <v>1</v>
      </c>
      <c r="BC204" s="9">
        <v>1</v>
      </c>
      <c r="BD204" s="9">
        <v>2</v>
      </c>
      <c r="BE204" s="9">
        <v>1</v>
      </c>
      <c r="BF204" s="9">
        <v>1</v>
      </c>
      <c r="BG204" s="9">
        <v>1</v>
      </c>
      <c r="BH204" s="9">
        <v>1</v>
      </c>
      <c r="BI204" s="9">
        <v>0</v>
      </c>
      <c r="BJ204" s="9">
        <v>2</v>
      </c>
      <c r="BK204" s="9">
        <v>2</v>
      </c>
      <c r="BL204" s="9">
        <v>1</v>
      </c>
      <c r="BM204" s="9">
        <v>3</v>
      </c>
      <c r="BN204" s="9">
        <v>2</v>
      </c>
      <c r="BO204" s="9">
        <v>5</v>
      </c>
      <c r="BP204" s="9">
        <v>2</v>
      </c>
      <c r="BQ204" s="9">
        <v>0</v>
      </c>
      <c r="BR204" s="9">
        <v>4</v>
      </c>
      <c r="BS204" s="9">
        <v>6</v>
      </c>
      <c r="BT204" s="9">
        <v>5</v>
      </c>
      <c r="BU204" s="9">
        <v>4</v>
      </c>
      <c r="BV204" s="9">
        <v>8</v>
      </c>
      <c r="BW204" s="9">
        <v>2</v>
      </c>
      <c r="BX204" s="9">
        <v>3</v>
      </c>
      <c r="BY204" s="9">
        <v>4</v>
      </c>
      <c r="BZ204" s="9">
        <v>16</v>
      </c>
      <c r="CA204" s="9">
        <v>11</v>
      </c>
      <c r="CB204" s="9">
        <v>16</v>
      </c>
      <c r="CC204" s="9">
        <v>16</v>
      </c>
      <c r="CD204" s="9">
        <v>10</v>
      </c>
      <c r="CE204" s="9">
        <v>11</v>
      </c>
      <c r="CF204" s="9">
        <v>24</v>
      </c>
      <c r="CG204" s="9">
        <v>21</v>
      </c>
      <c r="CH204" s="9">
        <v>5</v>
      </c>
      <c r="CI204" s="9">
        <v>28</v>
      </c>
      <c r="CJ204" s="9">
        <v>17</v>
      </c>
      <c r="CK204" s="9">
        <v>7</v>
      </c>
      <c r="CL204" s="9">
        <v>33</v>
      </c>
      <c r="CM204" s="9">
        <v>35</v>
      </c>
      <c r="CN204" s="9">
        <v>36</v>
      </c>
      <c r="CO204" s="9">
        <v>27</v>
      </c>
      <c r="CP204" s="9">
        <v>34</v>
      </c>
      <c r="CQ204" s="9">
        <v>1</v>
      </c>
      <c r="CR204" s="9">
        <v>2</v>
      </c>
      <c r="CS204" s="10">
        <v>22</v>
      </c>
    </row>
    <row r="205" spans="1:97" x14ac:dyDescent="0.35">
      <c r="A205" s="8" t="s">
        <v>174</v>
      </c>
      <c r="B205" s="9" t="s">
        <v>199</v>
      </c>
      <c r="C205" s="9" t="s">
        <v>881</v>
      </c>
      <c r="D205" s="9">
        <f t="shared" si="3"/>
        <v>197</v>
      </c>
      <c r="E205" s="9">
        <v>0</v>
      </c>
      <c r="F205" s="9">
        <v>0</v>
      </c>
      <c r="G205" s="9">
        <v>1</v>
      </c>
      <c r="H205" s="9">
        <v>0</v>
      </c>
      <c r="I205" s="9">
        <v>0</v>
      </c>
      <c r="J205" s="9">
        <v>0</v>
      </c>
      <c r="K205" s="9">
        <v>0</v>
      </c>
      <c r="L205" s="9">
        <v>1</v>
      </c>
      <c r="M205" s="9">
        <v>0</v>
      </c>
      <c r="N205" s="9">
        <v>0</v>
      </c>
      <c r="O205" s="9">
        <v>0</v>
      </c>
      <c r="P205" s="9">
        <v>0</v>
      </c>
      <c r="Q205" s="9">
        <v>0</v>
      </c>
      <c r="R205" s="9">
        <v>0</v>
      </c>
      <c r="S205" s="9">
        <v>1</v>
      </c>
      <c r="T205" s="9">
        <v>1</v>
      </c>
      <c r="U205" s="9">
        <v>0</v>
      </c>
      <c r="V205" s="9">
        <v>0</v>
      </c>
      <c r="W205" s="9">
        <v>0</v>
      </c>
      <c r="X205" s="9">
        <v>1</v>
      </c>
      <c r="Y205" s="9">
        <v>0</v>
      </c>
      <c r="Z205" s="9">
        <v>0</v>
      </c>
      <c r="AA205" s="9">
        <v>0</v>
      </c>
      <c r="AB205" s="9">
        <v>0</v>
      </c>
      <c r="AC205" s="9">
        <v>0</v>
      </c>
      <c r="AD205" s="9">
        <v>0</v>
      </c>
      <c r="AE205" s="9">
        <v>0</v>
      </c>
      <c r="AF205" s="9">
        <v>0</v>
      </c>
      <c r="AG205" s="9">
        <v>0</v>
      </c>
      <c r="AH205" s="9">
        <v>0</v>
      </c>
      <c r="AI205" s="9">
        <v>0</v>
      </c>
      <c r="AJ205" s="9">
        <v>0</v>
      </c>
      <c r="AK205" s="9">
        <v>0</v>
      </c>
      <c r="AL205" s="9">
        <v>0</v>
      </c>
      <c r="AM205" s="9">
        <v>0</v>
      </c>
      <c r="AN205" s="9">
        <v>0</v>
      </c>
      <c r="AO205" s="9">
        <v>0</v>
      </c>
      <c r="AP205" s="9">
        <v>0</v>
      </c>
      <c r="AQ205" s="9">
        <v>0</v>
      </c>
      <c r="AR205" s="9">
        <v>1</v>
      </c>
      <c r="AS205" s="9">
        <v>0</v>
      </c>
      <c r="AT205" s="9">
        <v>0</v>
      </c>
      <c r="AU205" s="9">
        <v>0</v>
      </c>
      <c r="AV205" s="9">
        <v>1</v>
      </c>
      <c r="AW205" s="9">
        <v>1</v>
      </c>
      <c r="AX205" s="9">
        <v>1</v>
      </c>
      <c r="AY205" s="9">
        <v>0</v>
      </c>
      <c r="AZ205" s="9">
        <v>3</v>
      </c>
      <c r="BA205" s="9">
        <v>0</v>
      </c>
      <c r="BB205" s="9">
        <v>0</v>
      </c>
      <c r="BC205" s="9">
        <v>2</v>
      </c>
      <c r="BD205" s="9">
        <v>0</v>
      </c>
      <c r="BE205" s="9">
        <v>0</v>
      </c>
      <c r="BF205" s="9">
        <v>0</v>
      </c>
      <c r="BG205" s="9">
        <v>2</v>
      </c>
      <c r="BH205" s="9">
        <v>1</v>
      </c>
      <c r="BI205" s="9">
        <v>0</v>
      </c>
      <c r="BJ205" s="9">
        <v>1</v>
      </c>
      <c r="BK205" s="9">
        <v>1</v>
      </c>
      <c r="BL205" s="9">
        <v>1</v>
      </c>
      <c r="BM205" s="9">
        <v>2</v>
      </c>
      <c r="BN205" s="9">
        <v>1</v>
      </c>
      <c r="BO205" s="9">
        <v>2</v>
      </c>
      <c r="BP205" s="9">
        <v>0</v>
      </c>
      <c r="BQ205" s="9">
        <v>1</v>
      </c>
      <c r="BR205" s="9">
        <v>0</v>
      </c>
      <c r="BS205" s="9">
        <v>3</v>
      </c>
      <c r="BT205" s="9">
        <v>1</v>
      </c>
      <c r="BU205" s="9">
        <v>3</v>
      </c>
      <c r="BV205" s="9">
        <v>1</v>
      </c>
      <c r="BW205" s="9">
        <v>2</v>
      </c>
      <c r="BX205" s="9">
        <v>4</v>
      </c>
      <c r="BY205" s="9">
        <v>3</v>
      </c>
      <c r="BZ205" s="9">
        <v>2</v>
      </c>
      <c r="CA205" s="9">
        <v>1</v>
      </c>
      <c r="CB205" s="9">
        <v>3</v>
      </c>
      <c r="CC205" s="9">
        <v>9</v>
      </c>
      <c r="CD205" s="9">
        <v>3</v>
      </c>
      <c r="CE205" s="9">
        <v>12</v>
      </c>
      <c r="CF205" s="9">
        <v>2</v>
      </c>
      <c r="CG205" s="9">
        <v>7</v>
      </c>
      <c r="CH205" s="9">
        <v>11</v>
      </c>
      <c r="CI205" s="9">
        <v>8</v>
      </c>
      <c r="CJ205" s="9">
        <v>5</v>
      </c>
      <c r="CK205" s="9">
        <v>10</v>
      </c>
      <c r="CL205" s="9">
        <v>6</v>
      </c>
      <c r="CM205" s="9">
        <v>11</v>
      </c>
      <c r="CN205" s="9">
        <v>10</v>
      </c>
      <c r="CO205" s="9">
        <v>11</v>
      </c>
      <c r="CP205" s="9">
        <v>13</v>
      </c>
      <c r="CQ205" s="9">
        <v>4</v>
      </c>
      <c r="CR205" s="9">
        <v>10</v>
      </c>
      <c r="CS205" s="10">
        <v>16</v>
      </c>
    </row>
    <row r="206" spans="1:97" x14ac:dyDescent="0.35">
      <c r="A206" s="8" t="s">
        <v>174</v>
      </c>
      <c r="B206" s="9" t="s">
        <v>201</v>
      </c>
      <c r="C206" s="9" t="s">
        <v>882</v>
      </c>
      <c r="D206" s="9">
        <f t="shared" si="3"/>
        <v>177</v>
      </c>
      <c r="E206" s="9">
        <v>0</v>
      </c>
      <c r="F206" s="9">
        <v>0</v>
      </c>
      <c r="G206" s="9">
        <v>1</v>
      </c>
      <c r="H206" s="9">
        <v>0</v>
      </c>
      <c r="I206" s="9">
        <v>0</v>
      </c>
      <c r="J206" s="9">
        <v>2</v>
      </c>
      <c r="K206" s="9">
        <v>0</v>
      </c>
      <c r="L206" s="9">
        <v>0</v>
      </c>
      <c r="M206" s="9">
        <v>0</v>
      </c>
      <c r="N206" s="9">
        <v>0</v>
      </c>
      <c r="O206" s="9">
        <v>0</v>
      </c>
      <c r="P206" s="9">
        <v>0</v>
      </c>
      <c r="Q206" s="9">
        <v>0</v>
      </c>
      <c r="R206" s="9">
        <v>0</v>
      </c>
      <c r="S206" s="9">
        <v>0</v>
      </c>
      <c r="T206" s="9">
        <v>0</v>
      </c>
      <c r="U206" s="9">
        <v>0</v>
      </c>
      <c r="V206" s="9">
        <v>0</v>
      </c>
      <c r="W206" s="9">
        <v>0</v>
      </c>
      <c r="X206" s="9">
        <v>0</v>
      </c>
      <c r="Y206" s="9">
        <v>0</v>
      </c>
      <c r="Z206" s="9">
        <v>0</v>
      </c>
      <c r="AA206" s="9">
        <v>0</v>
      </c>
      <c r="AB206" s="9">
        <v>0</v>
      </c>
      <c r="AC206" s="9">
        <v>1</v>
      </c>
      <c r="AD206" s="9">
        <v>0</v>
      </c>
      <c r="AE206" s="9">
        <v>0</v>
      </c>
      <c r="AF206" s="9">
        <v>0</v>
      </c>
      <c r="AG206" s="9">
        <v>0</v>
      </c>
      <c r="AH206" s="9">
        <v>0</v>
      </c>
      <c r="AI206" s="9">
        <v>0</v>
      </c>
      <c r="AJ206" s="9">
        <v>0</v>
      </c>
      <c r="AK206" s="9">
        <v>1</v>
      </c>
      <c r="AL206" s="9">
        <v>0</v>
      </c>
      <c r="AM206" s="9">
        <v>0</v>
      </c>
      <c r="AN206" s="9">
        <v>0</v>
      </c>
      <c r="AO206" s="9">
        <v>0</v>
      </c>
      <c r="AP206" s="9">
        <v>0</v>
      </c>
      <c r="AQ206" s="9">
        <v>0</v>
      </c>
      <c r="AR206" s="9">
        <v>2</v>
      </c>
      <c r="AS206" s="9">
        <v>2</v>
      </c>
      <c r="AT206" s="9">
        <v>2</v>
      </c>
      <c r="AU206" s="9">
        <v>0</v>
      </c>
      <c r="AV206" s="9">
        <v>1</v>
      </c>
      <c r="AW206" s="9">
        <v>1</v>
      </c>
      <c r="AX206" s="9">
        <v>0</v>
      </c>
      <c r="AY206" s="9">
        <v>1</v>
      </c>
      <c r="AZ206" s="9">
        <v>3</v>
      </c>
      <c r="BA206" s="9">
        <v>1</v>
      </c>
      <c r="BB206" s="9">
        <v>2</v>
      </c>
      <c r="BC206" s="9">
        <v>4</v>
      </c>
      <c r="BD206" s="9">
        <v>3</v>
      </c>
      <c r="BE206" s="9">
        <v>0</v>
      </c>
      <c r="BF206" s="9">
        <v>5</v>
      </c>
      <c r="BG206" s="9">
        <v>2</v>
      </c>
      <c r="BH206" s="9">
        <v>3</v>
      </c>
      <c r="BI206" s="9">
        <v>1</v>
      </c>
      <c r="BJ206" s="9">
        <v>2</v>
      </c>
      <c r="BK206" s="9">
        <v>1</v>
      </c>
      <c r="BL206" s="9">
        <v>6</v>
      </c>
      <c r="BM206" s="9">
        <v>3</v>
      </c>
      <c r="BN206" s="9">
        <v>2</v>
      </c>
      <c r="BO206" s="9">
        <v>4</v>
      </c>
      <c r="BP206" s="9">
        <v>3</v>
      </c>
      <c r="BQ206" s="9">
        <v>3</v>
      </c>
      <c r="BR206" s="9">
        <v>0</v>
      </c>
      <c r="BS206" s="9">
        <v>1</v>
      </c>
      <c r="BT206" s="9">
        <v>1</v>
      </c>
      <c r="BU206" s="9">
        <v>7</v>
      </c>
      <c r="BV206" s="9">
        <v>2</v>
      </c>
      <c r="BW206" s="9">
        <v>0</v>
      </c>
      <c r="BX206" s="9">
        <v>2</v>
      </c>
      <c r="BY206" s="9">
        <v>3</v>
      </c>
      <c r="BZ206" s="9">
        <v>4</v>
      </c>
      <c r="CA206" s="9">
        <v>2</v>
      </c>
      <c r="CB206" s="9">
        <v>6</v>
      </c>
      <c r="CC206" s="9">
        <v>1</v>
      </c>
      <c r="CD206" s="9">
        <v>0</v>
      </c>
      <c r="CE206" s="9">
        <v>7</v>
      </c>
      <c r="CF206" s="9">
        <v>1</v>
      </c>
      <c r="CG206" s="9">
        <v>3</v>
      </c>
      <c r="CH206" s="9">
        <v>9</v>
      </c>
      <c r="CI206" s="9">
        <v>8</v>
      </c>
      <c r="CJ206" s="9">
        <v>5</v>
      </c>
      <c r="CK206" s="9">
        <v>2</v>
      </c>
      <c r="CL206" s="9">
        <v>3</v>
      </c>
      <c r="CM206" s="9">
        <v>3</v>
      </c>
      <c r="CN206" s="9">
        <v>6</v>
      </c>
      <c r="CO206" s="9">
        <v>4</v>
      </c>
      <c r="CP206" s="9">
        <v>6</v>
      </c>
      <c r="CQ206" s="9">
        <v>10</v>
      </c>
      <c r="CR206" s="9">
        <v>8</v>
      </c>
      <c r="CS206" s="10">
        <v>11</v>
      </c>
    </row>
    <row r="207" spans="1:97" x14ac:dyDescent="0.35">
      <c r="A207" s="8" t="s">
        <v>174</v>
      </c>
      <c r="B207" s="9" t="s">
        <v>203</v>
      </c>
      <c r="C207" s="9" t="s">
        <v>883</v>
      </c>
      <c r="D207" s="9">
        <f t="shared" si="3"/>
        <v>0</v>
      </c>
      <c r="E207" s="9">
        <v>0</v>
      </c>
      <c r="F207" s="9">
        <v>0</v>
      </c>
      <c r="G207" s="9">
        <v>0</v>
      </c>
      <c r="H207" s="9">
        <v>0</v>
      </c>
      <c r="I207" s="9">
        <v>0</v>
      </c>
      <c r="J207" s="9">
        <v>0</v>
      </c>
      <c r="K207" s="9">
        <v>0</v>
      </c>
      <c r="L207" s="9">
        <v>0</v>
      </c>
      <c r="M207" s="9">
        <v>0</v>
      </c>
      <c r="N207" s="9">
        <v>0</v>
      </c>
      <c r="O207" s="9">
        <v>0</v>
      </c>
      <c r="P207" s="9">
        <v>0</v>
      </c>
      <c r="Q207" s="9">
        <v>0</v>
      </c>
      <c r="R207" s="9">
        <v>0</v>
      </c>
      <c r="S207" s="9">
        <v>0</v>
      </c>
      <c r="T207" s="9">
        <v>0</v>
      </c>
      <c r="U207" s="9">
        <v>0</v>
      </c>
      <c r="V207" s="9">
        <v>0</v>
      </c>
      <c r="W207" s="9">
        <v>0</v>
      </c>
      <c r="X207" s="9">
        <v>0</v>
      </c>
      <c r="Y207" s="9">
        <v>0</v>
      </c>
      <c r="Z207" s="9">
        <v>0</v>
      </c>
      <c r="AA207" s="9">
        <v>0</v>
      </c>
      <c r="AB207" s="9">
        <v>0</v>
      </c>
      <c r="AC207" s="9">
        <v>0</v>
      </c>
      <c r="AD207" s="9">
        <v>0</v>
      </c>
      <c r="AE207" s="9">
        <v>0</v>
      </c>
      <c r="AF207" s="9">
        <v>0</v>
      </c>
      <c r="AG207" s="9">
        <v>0</v>
      </c>
      <c r="AH207" s="9">
        <v>0</v>
      </c>
      <c r="AI207" s="9">
        <v>0</v>
      </c>
      <c r="AJ207" s="9">
        <v>0</v>
      </c>
      <c r="AK207" s="9">
        <v>0</v>
      </c>
      <c r="AL207" s="9">
        <v>0</v>
      </c>
      <c r="AM207" s="9">
        <v>0</v>
      </c>
      <c r="AN207" s="9">
        <v>0</v>
      </c>
      <c r="AO207" s="9">
        <v>0</v>
      </c>
      <c r="AP207" s="9">
        <v>0</v>
      </c>
      <c r="AQ207" s="9">
        <v>0</v>
      </c>
      <c r="AR207" s="9">
        <v>0</v>
      </c>
      <c r="AS207" s="9">
        <v>0</v>
      </c>
      <c r="AT207" s="9">
        <v>0</v>
      </c>
      <c r="AU207" s="9">
        <v>0</v>
      </c>
      <c r="AV207" s="9">
        <v>0</v>
      </c>
      <c r="AW207" s="9">
        <v>0</v>
      </c>
      <c r="AX207" s="9">
        <v>0</v>
      </c>
      <c r="AY207" s="9">
        <v>0</v>
      </c>
      <c r="AZ207" s="9">
        <v>0</v>
      </c>
      <c r="BA207" s="9">
        <v>0</v>
      </c>
      <c r="BB207" s="9">
        <v>0</v>
      </c>
      <c r="BC207" s="9">
        <v>0</v>
      </c>
      <c r="BD207" s="9">
        <v>0</v>
      </c>
      <c r="BE207" s="9">
        <v>0</v>
      </c>
      <c r="BF207" s="9">
        <v>0</v>
      </c>
      <c r="BG207" s="9">
        <v>0</v>
      </c>
      <c r="BH207" s="9">
        <v>0</v>
      </c>
      <c r="BI207" s="9">
        <v>0</v>
      </c>
      <c r="BJ207" s="9">
        <v>0</v>
      </c>
      <c r="BK207" s="9">
        <v>0</v>
      </c>
      <c r="BL207" s="9">
        <v>0</v>
      </c>
      <c r="BM207" s="9">
        <v>0</v>
      </c>
      <c r="BN207" s="9">
        <v>0</v>
      </c>
      <c r="BO207" s="9">
        <v>0</v>
      </c>
      <c r="BP207" s="9">
        <v>0</v>
      </c>
      <c r="BQ207" s="9">
        <v>0</v>
      </c>
      <c r="BR207" s="9">
        <v>0</v>
      </c>
      <c r="BS207" s="9">
        <v>0</v>
      </c>
      <c r="BT207" s="9">
        <v>0</v>
      </c>
      <c r="BU207" s="9">
        <v>0</v>
      </c>
      <c r="BV207" s="9">
        <v>0</v>
      </c>
      <c r="BW207" s="9">
        <v>0</v>
      </c>
      <c r="BX207" s="9">
        <v>0</v>
      </c>
      <c r="BY207" s="9">
        <v>0</v>
      </c>
      <c r="BZ207" s="9">
        <v>0</v>
      </c>
      <c r="CA207" s="9">
        <v>0</v>
      </c>
      <c r="CB207" s="9">
        <v>0</v>
      </c>
      <c r="CC207" s="9">
        <v>0</v>
      </c>
      <c r="CD207" s="9">
        <v>0</v>
      </c>
      <c r="CE207" s="9">
        <v>0</v>
      </c>
      <c r="CF207" s="9">
        <v>0</v>
      </c>
      <c r="CG207" s="9">
        <v>0</v>
      </c>
      <c r="CH207" s="9">
        <v>0</v>
      </c>
      <c r="CI207" s="9">
        <v>0</v>
      </c>
      <c r="CJ207" s="9">
        <v>0</v>
      </c>
      <c r="CK207" s="9">
        <v>0</v>
      </c>
      <c r="CL207" s="9">
        <v>0</v>
      </c>
      <c r="CM207" s="9">
        <v>0</v>
      </c>
      <c r="CN207" s="9">
        <v>0</v>
      </c>
      <c r="CO207" s="9">
        <v>0</v>
      </c>
      <c r="CP207" s="9">
        <v>0</v>
      </c>
      <c r="CQ207" s="9">
        <v>0</v>
      </c>
      <c r="CR207" s="9">
        <v>0</v>
      </c>
      <c r="CS207" s="10">
        <v>0</v>
      </c>
    </row>
    <row r="208" spans="1:97" x14ac:dyDescent="0.35">
      <c r="A208" s="8" t="s">
        <v>174</v>
      </c>
      <c r="B208" s="9" t="s">
        <v>205</v>
      </c>
      <c r="C208" s="9" t="s">
        <v>884</v>
      </c>
      <c r="D208" s="9">
        <f t="shared" si="3"/>
        <v>216</v>
      </c>
      <c r="E208" s="9">
        <v>0</v>
      </c>
      <c r="F208" s="9">
        <v>0</v>
      </c>
      <c r="G208" s="9">
        <v>0</v>
      </c>
      <c r="H208" s="9">
        <v>0</v>
      </c>
      <c r="I208" s="9">
        <v>0</v>
      </c>
      <c r="J208" s="9">
        <v>0</v>
      </c>
      <c r="K208" s="9">
        <v>1</v>
      </c>
      <c r="L208" s="9">
        <v>0</v>
      </c>
      <c r="M208" s="9">
        <v>1</v>
      </c>
      <c r="N208" s="9">
        <v>0</v>
      </c>
      <c r="O208" s="9">
        <v>0</v>
      </c>
      <c r="P208" s="9">
        <v>0</v>
      </c>
      <c r="Q208" s="9">
        <v>0</v>
      </c>
      <c r="R208" s="9">
        <v>1</v>
      </c>
      <c r="S208" s="9">
        <v>1</v>
      </c>
      <c r="T208" s="9">
        <v>0</v>
      </c>
      <c r="U208" s="9">
        <v>1</v>
      </c>
      <c r="V208" s="9">
        <v>0</v>
      </c>
      <c r="W208" s="9">
        <v>0</v>
      </c>
      <c r="X208" s="9">
        <v>0</v>
      </c>
      <c r="Y208" s="9">
        <v>0</v>
      </c>
      <c r="Z208" s="9">
        <v>1</v>
      </c>
      <c r="AA208" s="9">
        <v>0</v>
      </c>
      <c r="AB208" s="9">
        <v>0</v>
      </c>
      <c r="AC208" s="9">
        <v>1</v>
      </c>
      <c r="AD208" s="9">
        <v>0</v>
      </c>
      <c r="AE208" s="9">
        <v>0</v>
      </c>
      <c r="AF208" s="9">
        <v>0</v>
      </c>
      <c r="AG208" s="9">
        <v>0</v>
      </c>
      <c r="AH208" s="9">
        <v>1</v>
      </c>
      <c r="AI208" s="9">
        <v>2</v>
      </c>
      <c r="AJ208" s="9">
        <v>0</v>
      </c>
      <c r="AK208" s="9">
        <v>0</v>
      </c>
      <c r="AL208" s="9">
        <v>0</v>
      </c>
      <c r="AM208" s="9">
        <v>0</v>
      </c>
      <c r="AN208" s="9">
        <v>1</v>
      </c>
      <c r="AO208" s="9">
        <v>0</v>
      </c>
      <c r="AP208" s="9">
        <v>0</v>
      </c>
      <c r="AQ208" s="9">
        <v>0</v>
      </c>
      <c r="AR208" s="9">
        <v>2</v>
      </c>
      <c r="AS208" s="9">
        <v>1</v>
      </c>
      <c r="AT208" s="9">
        <v>0</v>
      </c>
      <c r="AU208" s="9">
        <v>0</v>
      </c>
      <c r="AV208" s="9">
        <v>0</v>
      </c>
      <c r="AW208" s="9">
        <v>1</v>
      </c>
      <c r="AX208" s="9">
        <v>1</v>
      </c>
      <c r="AY208" s="9">
        <v>0</v>
      </c>
      <c r="AZ208" s="9">
        <v>0</v>
      </c>
      <c r="BA208" s="9">
        <v>4</v>
      </c>
      <c r="BB208" s="9">
        <v>1</v>
      </c>
      <c r="BC208" s="9">
        <v>0</v>
      </c>
      <c r="BD208" s="9">
        <v>0</v>
      </c>
      <c r="BE208" s="9">
        <v>5</v>
      </c>
      <c r="BF208" s="9">
        <v>1</v>
      </c>
      <c r="BG208" s="9">
        <v>1</v>
      </c>
      <c r="BH208" s="9">
        <v>1</v>
      </c>
      <c r="BI208" s="9">
        <v>0</v>
      </c>
      <c r="BJ208" s="9">
        <v>3</v>
      </c>
      <c r="BK208" s="9">
        <v>0</v>
      </c>
      <c r="BL208" s="9">
        <v>1</v>
      </c>
      <c r="BM208" s="9">
        <v>9</v>
      </c>
      <c r="BN208" s="9">
        <v>2</v>
      </c>
      <c r="BO208" s="9">
        <v>1</v>
      </c>
      <c r="BP208" s="9">
        <v>3</v>
      </c>
      <c r="BQ208" s="9">
        <v>5</v>
      </c>
      <c r="BR208" s="9">
        <v>6</v>
      </c>
      <c r="BS208" s="9">
        <v>4</v>
      </c>
      <c r="BT208" s="9">
        <v>3</v>
      </c>
      <c r="BU208" s="9">
        <v>4</v>
      </c>
      <c r="BV208" s="9">
        <v>0</v>
      </c>
      <c r="BW208" s="9">
        <v>3</v>
      </c>
      <c r="BX208" s="9">
        <v>1</v>
      </c>
      <c r="BY208" s="9">
        <v>3</v>
      </c>
      <c r="BZ208" s="9">
        <v>12</v>
      </c>
      <c r="CA208" s="9">
        <v>3</v>
      </c>
      <c r="CB208" s="9">
        <v>2</v>
      </c>
      <c r="CC208" s="9">
        <v>3</v>
      </c>
      <c r="CD208" s="9">
        <v>5</v>
      </c>
      <c r="CE208" s="9">
        <v>13</v>
      </c>
      <c r="CF208" s="9">
        <v>4</v>
      </c>
      <c r="CG208" s="9">
        <v>11</v>
      </c>
      <c r="CH208" s="9">
        <v>7</v>
      </c>
      <c r="CI208" s="9">
        <v>4</v>
      </c>
      <c r="CJ208" s="9">
        <v>10</v>
      </c>
      <c r="CK208" s="9">
        <v>3</v>
      </c>
      <c r="CL208" s="9">
        <v>12</v>
      </c>
      <c r="CM208" s="9">
        <v>8</v>
      </c>
      <c r="CN208" s="9">
        <v>2</v>
      </c>
      <c r="CO208" s="9">
        <v>6</v>
      </c>
      <c r="CP208" s="9">
        <v>9</v>
      </c>
      <c r="CQ208" s="9">
        <v>7</v>
      </c>
      <c r="CR208" s="9">
        <v>3</v>
      </c>
      <c r="CS208" s="10">
        <v>15</v>
      </c>
    </row>
    <row r="209" spans="1:97" x14ac:dyDescent="0.35">
      <c r="A209" s="8" t="s">
        <v>174</v>
      </c>
      <c r="B209" s="9" t="s">
        <v>207</v>
      </c>
      <c r="C209" s="9" t="s">
        <v>885</v>
      </c>
      <c r="D209" s="9">
        <f t="shared" si="3"/>
        <v>39</v>
      </c>
      <c r="E209" s="9">
        <v>0</v>
      </c>
      <c r="F209" s="9">
        <v>0</v>
      </c>
      <c r="G209" s="9">
        <v>1</v>
      </c>
      <c r="H209" s="9">
        <v>0</v>
      </c>
      <c r="I209" s="9">
        <v>0</v>
      </c>
      <c r="J209" s="9">
        <v>0</v>
      </c>
      <c r="K209" s="9">
        <v>0</v>
      </c>
      <c r="L209" s="9">
        <v>0</v>
      </c>
      <c r="M209" s="9">
        <v>1</v>
      </c>
      <c r="N209" s="9">
        <v>0</v>
      </c>
      <c r="O209" s="9">
        <v>0</v>
      </c>
      <c r="P209" s="9">
        <v>0</v>
      </c>
      <c r="Q209" s="9">
        <v>0</v>
      </c>
      <c r="R209" s="9">
        <v>0</v>
      </c>
      <c r="S209" s="9">
        <v>0</v>
      </c>
      <c r="T209" s="9">
        <v>0</v>
      </c>
      <c r="U209" s="9">
        <v>0</v>
      </c>
      <c r="V209" s="9">
        <v>0</v>
      </c>
      <c r="W209" s="9">
        <v>0</v>
      </c>
      <c r="X209" s="9">
        <v>0</v>
      </c>
      <c r="Y209" s="9">
        <v>0</v>
      </c>
      <c r="Z209" s="9">
        <v>0</v>
      </c>
      <c r="AA209" s="9">
        <v>0</v>
      </c>
      <c r="AB209" s="9">
        <v>0</v>
      </c>
      <c r="AC209" s="9">
        <v>0</v>
      </c>
      <c r="AD209" s="9">
        <v>0</v>
      </c>
      <c r="AE209" s="9">
        <v>0</v>
      </c>
      <c r="AF209" s="9">
        <v>0</v>
      </c>
      <c r="AG209" s="9">
        <v>0</v>
      </c>
      <c r="AH209" s="9">
        <v>1</v>
      </c>
      <c r="AI209" s="9">
        <v>0</v>
      </c>
      <c r="AJ209" s="9">
        <v>0</v>
      </c>
      <c r="AK209" s="9">
        <v>0</v>
      </c>
      <c r="AL209" s="9">
        <v>0</v>
      </c>
      <c r="AM209" s="9">
        <v>0</v>
      </c>
      <c r="AN209" s="9">
        <v>0</v>
      </c>
      <c r="AO209" s="9">
        <v>0</v>
      </c>
      <c r="AP209" s="9">
        <v>0</v>
      </c>
      <c r="AQ209" s="9">
        <v>0</v>
      </c>
      <c r="AR209" s="9">
        <v>0</v>
      </c>
      <c r="AS209" s="9">
        <v>0</v>
      </c>
      <c r="AT209" s="9">
        <v>0</v>
      </c>
      <c r="AU209" s="9">
        <v>0</v>
      </c>
      <c r="AV209" s="9">
        <v>0</v>
      </c>
      <c r="AW209" s="9">
        <v>0</v>
      </c>
      <c r="AX209" s="9">
        <v>0</v>
      </c>
      <c r="AY209" s="9">
        <v>0</v>
      </c>
      <c r="AZ209" s="9">
        <v>0</v>
      </c>
      <c r="BA209" s="9">
        <v>0</v>
      </c>
      <c r="BB209" s="9">
        <v>1</v>
      </c>
      <c r="BC209" s="9">
        <v>1</v>
      </c>
      <c r="BD209" s="9">
        <v>0</v>
      </c>
      <c r="BE209" s="9">
        <v>0</v>
      </c>
      <c r="BF209" s="9">
        <v>0</v>
      </c>
      <c r="BG209" s="9">
        <v>1</v>
      </c>
      <c r="BH209" s="9">
        <v>0</v>
      </c>
      <c r="BI209" s="9">
        <v>0</v>
      </c>
      <c r="BJ209" s="9">
        <v>0</v>
      </c>
      <c r="BK209" s="9">
        <v>0</v>
      </c>
      <c r="BL209" s="9">
        <v>0</v>
      </c>
      <c r="BM209" s="9">
        <v>1</v>
      </c>
      <c r="BN209" s="9">
        <v>0</v>
      </c>
      <c r="BO209" s="9">
        <v>1</v>
      </c>
      <c r="BP209" s="9">
        <v>0</v>
      </c>
      <c r="BQ209" s="9">
        <v>1</v>
      </c>
      <c r="BR209" s="9">
        <v>1</v>
      </c>
      <c r="BS209" s="9">
        <v>0</v>
      </c>
      <c r="BT209" s="9">
        <v>1</v>
      </c>
      <c r="BU209" s="9">
        <v>0</v>
      </c>
      <c r="BV209" s="9">
        <v>0</v>
      </c>
      <c r="BW209" s="9">
        <v>0</v>
      </c>
      <c r="BX209" s="9">
        <v>0</v>
      </c>
      <c r="BY209" s="9">
        <v>0</v>
      </c>
      <c r="BZ209" s="9">
        <v>2</v>
      </c>
      <c r="CA209" s="9">
        <v>5</v>
      </c>
      <c r="CB209" s="9">
        <v>1</v>
      </c>
      <c r="CC209" s="9">
        <v>2</v>
      </c>
      <c r="CD209" s="9">
        <v>0</v>
      </c>
      <c r="CE209" s="9">
        <v>0</v>
      </c>
      <c r="CF209" s="9">
        <v>0</v>
      </c>
      <c r="CG209" s="9">
        <v>0</v>
      </c>
      <c r="CH209" s="9">
        <v>0</v>
      </c>
      <c r="CI209" s="9">
        <v>2</v>
      </c>
      <c r="CJ209" s="9">
        <v>2</v>
      </c>
      <c r="CK209" s="9">
        <v>1</v>
      </c>
      <c r="CL209" s="9">
        <v>3</v>
      </c>
      <c r="CM209" s="9">
        <v>2</v>
      </c>
      <c r="CN209" s="9">
        <v>1</v>
      </c>
      <c r="CO209" s="9">
        <v>3</v>
      </c>
      <c r="CP209" s="9">
        <v>1</v>
      </c>
      <c r="CQ209" s="9">
        <v>2</v>
      </c>
      <c r="CR209" s="9">
        <v>1</v>
      </c>
      <c r="CS209" s="10">
        <v>0</v>
      </c>
    </row>
    <row r="210" spans="1:97" x14ac:dyDescent="0.35">
      <c r="A210" s="8" t="s">
        <v>174</v>
      </c>
      <c r="B210" s="9" t="s">
        <v>209</v>
      </c>
      <c r="C210" s="9" t="s">
        <v>886</v>
      </c>
      <c r="D210" s="9">
        <f t="shared" si="3"/>
        <v>63</v>
      </c>
      <c r="E210" s="9">
        <v>0</v>
      </c>
      <c r="F210" s="9">
        <v>0</v>
      </c>
      <c r="G210" s="9">
        <v>0</v>
      </c>
      <c r="H210" s="9">
        <v>0</v>
      </c>
      <c r="I210" s="9">
        <v>0</v>
      </c>
      <c r="J210" s="9">
        <v>0</v>
      </c>
      <c r="K210" s="9">
        <v>0</v>
      </c>
      <c r="L210" s="9">
        <v>0</v>
      </c>
      <c r="M210" s="9">
        <v>0</v>
      </c>
      <c r="N210" s="9">
        <v>0</v>
      </c>
      <c r="O210" s="9">
        <v>0</v>
      </c>
      <c r="P210" s="9">
        <v>0</v>
      </c>
      <c r="Q210" s="9">
        <v>1</v>
      </c>
      <c r="R210" s="9">
        <v>1</v>
      </c>
      <c r="S210" s="9">
        <v>0</v>
      </c>
      <c r="T210" s="9">
        <v>0</v>
      </c>
      <c r="U210" s="9">
        <v>1</v>
      </c>
      <c r="V210" s="9">
        <v>0</v>
      </c>
      <c r="W210" s="9">
        <v>0</v>
      </c>
      <c r="X210" s="9">
        <v>0</v>
      </c>
      <c r="Y210" s="9">
        <v>0</v>
      </c>
      <c r="Z210" s="9">
        <v>0</v>
      </c>
      <c r="AA210" s="9">
        <v>0</v>
      </c>
      <c r="AB210" s="9">
        <v>0</v>
      </c>
      <c r="AC210" s="9">
        <v>0</v>
      </c>
      <c r="AD210" s="9">
        <v>0</v>
      </c>
      <c r="AE210" s="9">
        <v>1</v>
      </c>
      <c r="AF210" s="9">
        <v>0</v>
      </c>
      <c r="AG210" s="9">
        <v>0</v>
      </c>
      <c r="AH210" s="9">
        <v>0</v>
      </c>
      <c r="AI210" s="9">
        <v>0</v>
      </c>
      <c r="AJ210" s="9">
        <v>0</v>
      </c>
      <c r="AK210" s="9">
        <v>1</v>
      </c>
      <c r="AL210" s="9">
        <v>1</v>
      </c>
      <c r="AM210" s="9">
        <v>0</v>
      </c>
      <c r="AN210" s="9">
        <v>0</v>
      </c>
      <c r="AO210" s="9">
        <v>2</v>
      </c>
      <c r="AP210" s="9">
        <v>2</v>
      </c>
      <c r="AQ210" s="9">
        <v>0</v>
      </c>
      <c r="AR210" s="9">
        <v>1</v>
      </c>
      <c r="AS210" s="9">
        <v>2</v>
      </c>
      <c r="AT210" s="9">
        <v>1</v>
      </c>
      <c r="AU210" s="9">
        <v>0</v>
      </c>
      <c r="AV210" s="9">
        <v>0</v>
      </c>
      <c r="AW210" s="9">
        <v>0</v>
      </c>
      <c r="AX210" s="9">
        <v>0</v>
      </c>
      <c r="AY210" s="9">
        <v>0</v>
      </c>
      <c r="AZ210" s="9">
        <v>0</v>
      </c>
      <c r="BA210" s="9">
        <v>0</v>
      </c>
      <c r="BB210" s="9">
        <v>0</v>
      </c>
      <c r="BC210" s="9">
        <v>0</v>
      </c>
      <c r="BD210" s="9">
        <v>1</v>
      </c>
      <c r="BE210" s="9">
        <v>0</v>
      </c>
      <c r="BF210" s="9">
        <v>0</v>
      </c>
      <c r="BG210" s="9">
        <v>0</v>
      </c>
      <c r="BH210" s="9">
        <v>0</v>
      </c>
      <c r="BI210" s="9">
        <v>1</v>
      </c>
      <c r="BJ210" s="9">
        <v>0</v>
      </c>
      <c r="BK210" s="9">
        <v>2</v>
      </c>
      <c r="BL210" s="9">
        <v>0</v>
      </c>
      <c r="BM210" s="9">
        <v>0</v>
      </c>
      <c r="BN210" s="9">
        <v>1</v>
      </c>
      <c r="BO210" s="9">
        <v>0</v>
      </c>
      <c r="BP210" s="9">
        <v>0</v>
      </c>
      <c r="BQ210" s="9">
        <v>1</v>
      </c>
      <c r="BR210" s="9">
        <v>2</v>
      </c>
      <c r="BS210" s="9">
        <v>1</v>
      </c>
      <c r="BT210" s="9">
        <v>1</v>
      </c>
      <c r="BU210" s="9">
        <v>1</v>
      </c>
      <c r="BV210" s="9">
        <v>2</v>
      </c>
      <c r="BW210" s="9">
        <v>2</v>
      </c>
      <c r="BX210" s="9">
        <v>1</v>
      </c>
      <c r="BY210" s="9">
        <v>2</v>
      </c>
      <c r="BZ210" s="9">
        <v>0</v>
      </c>
      <c r="CA210" s="9">
        <v>0</v>
      </c>
      <c r="CB210" s="9">
        <v>4</v>
      </c>
      <c r="CC210" s="9">
        <v>1</v>
      </c>
      <c r="CD210" s="9">
        <v>1</v>
      </c>
      <c r="CE210" s="9">
        <v>1</v>
      </c>
      <c r="CF210" s="9">
        <v>0</v>
      </c>
      <c r="CG210" s="9">
        <v>1</v>
      </c>
      <c r="CH210" s="9">
        <v>3</v>
      </c>
      <c r="CI210" s="9">
        <v>3</v>
      </c>
      <c r="CJ210" s="9">
        <v>3</v>
      </c>
      <c r="CK210" s="9">
        <v>0</v>
      </c>
      <c r="CL210" s="9">
        <v>1</v>
      </c>
      <c r="CM210" s="9">
        <v>1</v>
      </c>
      <c r="CN210" s="9">
        <v>1</v>
      </c>
      <c r="CO210" s="9">
        <v>1</v>
      </c>
      <c r="CP210" s="9">
        <v>3</v>
      </c>
      <c r="CQ210" s="9">
        <v>6</v>
      </c>
      <c r="CR210" s="9">
        <v>1</v>
      </c>
      <c r="CS210" s="10">
        <v>0</v>
      </c>
    </row>
    <row r="211" spans="1:97" x14ac:dyDescent="0.35">
      <c r="A211" s="8" t="s">
        <v>174</v>
      </c>
      <c r="B211" s="9" t="s">
        <v>211</v>
      </c>
      <c r="C211" s="9" t="s">
        <v>887</v>
      </c>
      <c r="D211" s="9">
        <f t="shared" si="3"/>
        <v>38</v>
      </c>
      <c r="E211" s="9">
        <v>0</v>
      </c>
      <c r="F211" s="9">
        <v>0</v>
      </c>
      <c r="G211" s="9">
        <v>0</v>
      </c>
      <c r="H211" s="9">
        <v>0</v>
      </c>
      <c r="I211" s="9">
        <v>0</v>
      </c>
      <c r="J211" s="9">
        <v>0</v>
      </c>
      <c r="K211" s="9">
        <v>0</v>
      </c>
      <c r="L211" s="9">
        <v>0</v>
      </c>
      <c r="M211" s="9">
        <v>0</v>
      </c>
      <c r="N211" s="9">
        <v>0</v>
      </c>
      <c r="O211" s="9">
        <v>0</v>
      </c>
      <c r="P211" s="9">
        <v>0</v>
      </c>
      <c r="Q211" s="9">
        <v>0</v>
      </c>
      <c r="R211" s="9">
        <v>0</v>
      </c>
      <c r="S211" s="9">
        <v>0</v>
      </c>
      <c r="T211" s="9">
        <v>0</v>
      </c>
      <c r="U211" s="9">
        <v>0</v>
      </c>
      <c r="V211" s="9">
        <v>0</v>
      </c>
      <c r="W211" s="9">
        <v>0</v>
      </c>
      <c r="X211" s="9">
        <v>0</v>
      </c>
      <c r="Y211" s="9">
        <v>0</v>
      </c>
      <c r="Z211" s="9">
        <v>0</v>
      </c>
      <c r="AA211" s="9">
        <v>0</v>
      </c>
      <c r="AB211" s="9">
        <v>0</v>
      </c>
      <c r="AC211" s="9">
        <v>0</v>
      </c>
      <c r="AD211" s="9">
        <v>0</v>
      </c>
      <c r="AE211" s="9">
        <v>0</v>
      </c>
      <c r="AF211" s="9">
        <v>0</v>
      </c>
      <c r="AG211" s="9">
        <v>0</v>
      </c>
      <c r="AH211" s="9">
        <v>0</v>
      </c>
      <c r="AI211" s="9">
        <v>0</v>
      </c>
      <c r="AJ211" s="9">
        <v>0</v>
      </c>
      <c r="AK211" s="9">
        <v>0</v>
      </c>
      <c r="AL211" s="9">
        <v>0</v>
      </c>
      <c r="AM211" s="9">
        <v>0</v>
      </c>
      <c r="AN211" s="9">
        <v>0</v>
      </c>
      <c r="AO211" s="9">
        <v>0</v>
      </c>
      <c r="AP211" s="9">
        <v>0</v>
      </c>
      <c r="AQ211" s="9">
        <v>0</v>
      </c>
      <c r="AR211" s="9">
        <v>0</v>
      </c>
      <c r="AS211" s="9">
        <v>0</v>
      </c>
      <c r="AT211" s="9">
        <v>0</v>
      </c>
      <c r="AU211" s="9">
        <v>0</v>
      </c>
      <c r="AV211" s="9">
        <v>0</v>
      </c>
      <c r="AW211" s="9">
        <v>0</v>
      </c>
      <c r="AX211" s="9">
        <v>0</v>
      </c>
      <c r="AY211" s="9">
        <v>0</v>
      </c>
      <c r="AZ211" s="9">
        <v>0</v>
      </c>
      <c r="BA211" s="9">
        <v>0</v>
      </c>
      <c r="BB211" s="9">
        <v>0</v>
      </c>
      <c r="BC211" s="9">
        <v>0</v>
      </c>
      <c r="BD211" s="9">
        <v>0</v>
      </c>
      <c r="BE211" s="9">
        <v>0</v>
      </c>
      <c r="BF211" s="9">
        <v>0</v>
      </c>
      <c r="BG211" s="9">
        <v>0</v>
      </c>
      <c r="BH211" s="9">
        <v>0</v>
      </c>
      <c r="BI211" s="9">
        <v>0</v>
      </c>
      <c r="BJ211" s="9">
        <v>0</v>
      </c>
      <c r="BK211" s="9">
        <v>0</v>
      </c>
      <c r="BL211" s="9">
        <v>0</v>
      </c>
      <c r="BM211" s="9">
        <v>0</v>
      </c>
      <c r="BN211" s="9">
        <v>0</v>
      </c>
      <c r="BO211" s="9">
        <v>0</v>
      </c>
      <c r="BP211" s="9">
        <v>0</v>
      </c>
      <c r="BQ211" s="9">
        <v>0</v>
      </c>
      <c r="BR211" s="9">
        <v>0</v>
      </c>
      <c r="BS211" s="9">
        <v>0</v>
      </c>
      <c r="BT211" s="9">
        <v>0</v>
      </c>
      <c r="BU211" s="9">
        <v>0</v>
      </c>
      <c r="BV211" s="9">
        <v>0</v>
      </c>
      <c r="BW211" s="9">
        <v>0</v>
      </c>
      <c r="BX211" s="9">
        <v>0</v>
      </c>
      <c r="BY211" s="9">
        <v>0</v>
      </c>
      <c r="BZ211" s="9">
        <v>0</v>
      </c>
      <c r="CA211" s="9">
        <v>0</v>
      </c>
      <c r="CB211" s="9">
        <v>0</v>
      </c>
      <c r="CC211" s="9">
        <v>0</v>
      </c>
      <c r="CD211" s="9">
        <v>0</v>
      </c>
      <c r="CE211" s="9">
        <v>0</v>
      </c>
      <c r="CF211" s="9">
        <v>0</v>
      </c>
      <c r="CG211" s="9">
        <v>0</v>
      </c>
      <c r="CH211" s="9">
        <v>0</v>
      </c>
      <c r="CI211" s="9">
        <v>0</v>
      </c>
      <c r="CJ211" s="9">
        <v>0</v>
      </c>
      <c r="CK211" s="9">
        <v>7</v>
      </c>
      <c r="CL211" s="9">
        <v>1</v>
      </c>
      <c r="CM211" s="9">
        <v>1</v>
      </c>
      <c r="CN211" s="9">
        <v>0</v>
      </c>
      <c r="CO211" s="9">
        <v>7</v>
      </c>
      <c r="CP211" s="9">
        <v>7</v>
      </c>
      <c r="CQ211" s="9">
        <v>9</v>
      </c>
      <c r="CR211" s="9">
        <v>6</v>
      </c>
      <c r="CS211" s="10">
        <v>0</v>
      </c>
    </row>
    <row r="212" spans="1:97" x14ac:dyDescent="0.35">
      <c r="A212" s="8" t="s">
        <v>174</v>
      </c>
      <c r="B212" s="9" t="s">
        <v>213</v>
      </c>
      <c r="C212" s="9" t="s">
        <v>888</v>
      </c>
      <c r="D212" s="9">
        <f t="shared" si="3"/>
        <v>197</v>
      </c>
      <c r="E212" s="9">
        <v>0</v>
      </c>
      <c r="F212" s="9">
        <v>0</v>
      </c>
      <c r="G212" s="9">
        <v>0</v>
      </c>
      <c r="H212" s="9">
        <v>0</v>
      </c>
      <c r="I212" s="9">
        <v>1</v>
      </c>
      <c r="J212" s="9">
        <v>0</v>
      </c>
      <c r="K212" s="9">
        <v>0</v>
      </c>
      <c r="L212" s="9">
        <v>0</v>
      </c>
      <c r="M212" s="9">
        <v>1</v>
      </c>
      <c r="N212" s="9">
        <v>0</v>
      </c>
      <c r="O212" s="9">
        <v>0</v>
      </c>
      <c r="P212" s="9">
        <v>0</v>
      </c>
      <c r="Q212" s="9">
        <v>0</v>
      </c>
      <c r="R212" s="9">
        <v>0</v>
      </c>
      <c r="S212" s="9">
        <v>0</v>
      </c>
      <c r="T212" s="9">
        <v>0</v>
      </c>
      <c r="U212" s="9">
        <v>0</v>
      </c>
      <c r="V212" s="9">
        <v>0</v>
      </c>
      <c r="W212" s="9">
        <v>0</v>
      </c>
      <c r="X212" s="9">
        <v>0</v>
      </c>
      <c r="Y212" s="9">
        <v>0</v>
      </c>
      <c r="Z212" s="9">
        <v>1</v>
      </c>
      <c r="AA212" s="9">
        <v>1</v>
      </c>
      <c r="AB212" s="9">
        <v>0</v>
      </c>
      <c r="AC212" s="9">
        <v>0</v>
      </c>
      <c r="AD212" s="9">
        <v>0</v>
      </c>
      <c r="AE212" s="9">
        <v>0</v>
      </c>
      <c r="AF212" s="9">
        <v>0</v>
      </c>
      <c r="AG212" s="9">
        <v>1</v>
      </c>
      <c r="AH212" s="9">
        <v>1</v>
      </c>
      <c r="AI212" s="9">
        <v>1</v>
      </c>
      <c r="AJ212" s="9">
        <v>1</v>
      </c>
      <c r="AK212" s="9">
        <v>0</v>
      </c>
      <c r="AL212" s="9">
        <v>0</v>
      </c>
      <c r="AM212" s="9">
        <v>0</v>
      </c>
      <c r="AN212" s="9">
        <v>0</v>
      </c>
      <c r="AO212" s="9">
        <v>0</v>
      </c>
      <c r="AP212" s="9">
        <v>1</v>
      </c>
      <c r="AQ212" s="9">
        <v>0</v>
      </c>
      <c r="AR212" s="9">
        <v>1</v>
      </c>
      <c r="AS212" s="9">
        <v>2</v>
      </c>
      <c r="AT212" s="9">
        <v>0</v>
      </c>
      <c r="AU212" s="9">
        <v>1</v>
      </c>
      <c r="AV212" s="9">
        <v>2</v>
      </c>
      <c r="AW212" s="9">
        <v>1</v>
      </c>
      <c r="AX212" s="9">
        <v>0</v>
      </c>
      <c r="AY212" s="9">
        <v>0</v>
      </c>
      <c r="AZ212" s="9">
        <v>1</v>
      </c>
      <c r="BA212" s="9">
        <v>0</v>
      </c>
      <c r="BB212" s="9">
        <v>1</v>
      </c>
      <c r="BC212" s="9">
        <v>0</v>
      </c>
      <c r="BD212" s="9">
        <v>0</v>
      </c>
      <c r="BE212" s="9">
        <v>1</v>
      </c>
      <c r="BF212" s="9">
        <v>3</v>
      </c>
      <c r="BG212" s="9">
        <v>4</v>
      </c>
      <c r="BH212" s="9">
        <v>0</v>
      </c>
      <c r="BI212" s="9">
        <v>0</v>
      </c>
      <c r="BJ212" s="9">
        <v>4</v>
      </c>
      <c r="BK212" s="9">
        <v>0</v>
      </c>
      <c r="BL212" s="9">
        <v>2</v>
      </c>
      <c r="BM212" s="9">
        <v>1</v>
      </c>
      <c r="BN212" s="9">
        <v>0</v>
      </c>
      <c r="BO212" s="9">
        <v>0</v>
      </c>
      <c r="BP212" s="9">
        <v>1</v>
      </c>
      <c r="BQ212" s="9">
        <v>1</v>
      </c>
      <c r="BR212" s="9">
        <v>4</v>
      </c>
      <c r="BS212" s="9">
        <v>0</v>
      </c>
      <c r="BT212" s="9">
        <v>0</v>
      </c>
      <c r="BU212" s="9">
        <v>3</v>
      </c>
      <c r="BV212" s="9">
        <v>3</v>
      </c>
      <c r="BW212" s="9">
        <v>0</v>
      </c>
      <c r="BX212" s="9">
        <v>1</v>
      </c>
      <c r="BY212" s="9">
        <v>3</v>
      </c>
      <c r="BZ212" s="9">
        <v>2</v>
      </c>
      <c r="CA212" s="9">
        <v>4</v>
      </c>
      <c r="CB212" s="9">
        <v>5</v>
      </c>
      <c r="CC212" s="9">
        <v>8</v>
      </c>
      <c r="CD212" s="9">
        <v>3</v>
      </c>
      <c r="CE212" s="9">
        <v>6</v>
      </c>
      <c r="CF212" s="9">
        <v>8</v>
      </c>
      <c r="CG212" s="9">
        <v>7</v>
      </c>
      <c r="CH212" s="9">
        <v>6</v>
      </c>
      <c r="CI212" s="9">
        <v>6</v>
      </c>
      <c r="CJ212" s="9">
        <v>8</v>
      </c>
      <c r="CK212" s="9">
        <v>4</v>
      </c>
      <c r="CL212" s="9">
        <v>17</v>
      </c>
      <c r="CM212" s="9">
        <v>4</v>
      </c>
      <c r="CN212" s="9">
        <v>9</v>
      </c>
      <c r="CO212" s="9">
        <v>11</v>
      </c>
      <c r="CP212" s="9">
        <v>10</v>
      </c>
      <c r="CQ212" s="9">
        <v>8</v>
      </c>
      <c r="CR212" s="9">
        <v>9</v>
      </c>
      <c r="CS212" s="10">
        <v>13</v>
      </c>
    </row>
    <row r="213" spans="1:97" x14ac:dyDescent="0.35">
      <c r="A213" s="8" t="s">
        <v>174</v>
      </c>
      <c r="B213" s="9" t="s">
        <v>215</v>
      </c>
      <c r="C213" s="9" t="s">
        <v>889</v>
      </c>
      <c r="D213" s="9">
        <f t="shared" si="3"/>
        <v>114</v>
      </c>
      <c r="E213" s="9">
        <v>0</v>
      </c>
      <c r="F213" s="9">
        <v>0</v>
      </c>
      <c r="G213" s="9">
        <v>1</v>
      </c>
      <c r="H213" s="9">
        <v>0</v>
      </c>
      <c r="I213" s="9">
        <v>0</v>
      </c>
      <c r="J213" s="9">
        <v>0</v>
      </c>
      <c r="K213" s="9">
        <v>1</v>
      </c>
      <c r="L213" s="9">
        <v>0</v>
      </c>
      <c r="M213" s="9">
        <v>0</v>
      </c>
      <c r="N213" s="9">
        <v>1</v>
      </c>
      <c r="O213" s="9">
        <v>1</v>
      </c>
      <c r="P213" s="9">
        <v>0</v>
      </c>
      <c r="Q213" s="9">
        <v>0</v>
      </c>
      <c r="R213" s="9">
        <v>0</v>
      </c>
      <c r="S213" s="9">
        <v>0</v>
      </c>
      <c r="T213" s="9">
        <v>0</v>
      </c>
      <c r="U213" s="9">
        <v>3</v>
      </c>
      <c r="V213" s="9">
        <v>1</v>
      </c>
      <c r="W213" s="9">
        <v>0</v>
      </c>
      <c r="X213" s="9">
        <v>0</v>
      </c>
      <c r="Y213" s="9">
        <v>0</v>
      </c>
      <c r="Z213" s="9">
        <v>2</v>
      </c>
      <c r="AA213" s="9">
        <v>1</v>
      </c>
      <c r="AB213" s="9">
        <v>1</v>
      </c>
      <c r="AC213" s="9">
        <v>1</v>
      </c>
      <c r="AD213" s="9">
        <v>0</v>
      </c>
      <c r="AE213" s="9">
        <v>0</v>
      </c>
      <c r="AF213" s="9">
        <v>1</v>
      </c>
      <c r="AG213" s="9">
        <v>0</v>
      </c>
      <c r="AH213" s="9">
        <v>0</v>
      </c>
      <c r="AI213" s="9">
        <v>1</v>
      </c>
      <c r="AJ213" s="9">
        <v>1</v>
      </c>
      <c r="AK213" s="9">
        <v>0</v>
      </c>
      <c r="AL213" s="9">
        <v>0</v>
      </c>
      <c r="AM213" s="9">
        <v>0</v>
      </c>
      <c r="AN213" s="9">
        <v>1</v>
      </c>
      <c r="AO213" s="9">
        <v>0</v>
      </c>
      <c r="AP213" s="9">
        <v>0</v>
      </c>
      <c r="AQ213" s="9">
        <v>0</v>
      </c>
      <c r="AR213" s="9">
        <v>1</v>
      </c>
      <c r="AS213" s="9">
        <v>2</v>
      </c>
      <c r="AT213" s="9">
        <v>1</v>
      </c>
      <c r="AU213" s="9">
        <v>2</v>
      </c>
      <c r="AV213" s="9">
        <v>1</v>
      </c>
      <c r="AW213" s="9">
        <v>1</v>
      </c>
      <c r="AX213" s="9">
        <v>0</v>
      </c>
      <c r="AY213" s="9">
        <v>0</v>
      </c>
      <c r="AZ213" s="9">
        <v>2</v>
      </c>
      <c r="BA213" s="9">
        <v>0</v>
      </c>
      <c r="BB213" s="9">
        <v>3</v>
      </c>
      <c r="BC213" s="9">
        <v>0</v>
      </c>
      <c r="BD213" s="9">
        <v>1</v>
      </c>
      <c r="BE213" s="9">
        <v>2</v>
      </c>
      <c r="BF213" s="9">
        <v>0</v>
      </c>
      <c r="BG213" s="9">
        <v>0</v>
      </c>
      <c r="BH213" s="9">
        <v>0</v>
      </c>
      <c r="BI213" s="9">
        <v>0</v>
      </c>
      <c r="BJ213" s="9">
        <v>2</v>
      </c>
      <c r="BK213" s="9">
        <v>0</v>
      </c>
      <c r="BL213" s="9">
        <v>1</v>
      </c>
      <c r="BM213" s="9">
        <v>0</v>
      </c>
      <c r="BN213" s="9">
        <v>2</v>
      </c>
      <c r="BO213" s="9">
        <v>2</v>
      </c>
      <c r="BP213" s="9">
        <v>0</v>
      </c>
      <c r="BQ213" s="9">
        <v>1</v>
      </c>
      <c r="BR213" s="9">
        <v>0</v>
      </c>
      <c r="BS213" s="9">
        <v>0</v>
      </c>
      <c r="BT213" s="9">
        <v>0</v>
      </c>
      <c r="BU213" s="9">
        <v>1</v>
      </c>
      <c r="BV213" s="9">
        <v>0</v>
      </c>
      <c r="BW213" s="9">
        <v>1</v>
      </c>
      <c r="BX213" s="9">
        <v>2</v>
      </c>
      <c r="BY213" s="9">
        <v>2</v>
      </c>
      <c r="BZ213" s="9">
        <v>1</v>
      </c>
      <c r="CA213" s="9">
        <v>3</v>
      </c>
      <c r="CB213" s="9">
        <v>2</v>
      </c>
      <c r="CC213" s="9">
        <v>2</v>
      </c>
      <c r="CD213" s="9">
        <v>0</v>
      </c>
      <c r="CE213" s="9">
        <v>6</v>
      </c>
      <c r="CF213" s="9">
        <v>3</v>
      </c>
      <c r="CG213" s="9">
        <v>3</v>
      </c>
      <c r="CH213" s="9">
        <v>2</v>
      </c>
      <c r="CI213" s="9">
        <v>5</v>
      </c>
      <c r="CJ213" s="9">
        <v>3</v>
      </c>
      <c r="CK213" s="9">
        <v>6</v>
      </c>
      <c r="CL213" s="9">
        <v>4</v>
      </c>
      <c r="CM213" s="9">
        <v>5</v>
      </c>
      <c r="CN213" s="9">
        <v>9</v>
      </c>
      <c r="CO213" s="9">
        <v>2</v>
      </c>
      <c r="CP213" s="9">
        <v>3</v>
      </c>
      <c r="CQ213" s="9">
        <v>3</v>
      </c>
      <c r="CR213" s="9">
        <v>2</v>
      </c>
      <c r="CS213" s="10">
        <v>3</v>
      </c>
    </row>
    <row r="214" spans="1:97" x14ac:dyDescent="0.35">
      <c r="A214" s="8" t="s">
        <v>174</v>
      </c>
      <c r="B214" s="9" t="s">
        <v>217</v>
      </c>
      <c r="C214" s="9" t="s">
        <v>890</v>
      </c>
      <c r="D214" s="9">
        <f t="shared" si="3"/>
        <v>159</v>
      </c>
      <c r="E214" s="9">
        <v>0</v>
      </c>
      <c r="F214" s="9">
        <v>0</v>
      </c>
      <c r="G214" s="9">
        <v>0</v>
      </c>
      <c r="H214" s="9">
        <v>0</v>
      </c>
      <c r="I214" s="9">
        <v>0</v>
      </c>
      <c r="J214" s="9">
        <v>0</v>
      </c>
      <c r="K214" s="9">
        <v>2</v>
      </c>
      <c r="L214" s="9">
        <v>0</v>
      </c>
      <c r="M214" s="9">
        <v>0</v>
      </c>
      <c r="N214" s="9">
        <v>0</v>
      </c>
      <c r="O214" s="9">
        <v>0</v>
      </c>
      <c r="P214" s="9">
        <v>0</v>
      </c>
      <c r="Q214" s="9">
        <v>0</v>
      </c>
      <c r="R214" s="9">
        <v>3</v>
      </c>
      <c r="S214" s="9">
        <v>6</v>
      </c>
      <c r="T214" s="9">
        <v>2</v>
      </c>
      <c r="U214" s="9">
        <v>0</v>
      </c>
      <c r="V214" s="9">
        <v>1</v>
      </c>
      <c r="W214" s="9">
        <v>4</v>
      </c>
      <c r="X214" s="9">
        <v>1</v>
      </c>
      <c r="Y214" s="9">
        <v>1</v>
      </c>
      <c r="Z214" s="9">
        <v>1</v>
      </c>
      <c r="AA214" s="9">
        <v>0</v>
      </c>
      <c r="AB214" s="9">
        <v>0</v>
      </c>
      <c r="AC214" s="9">
        <v>0</v>
      </c>
      <c r="AD214" s="9">
        <v>0</v>
      </c>
      <c r="AE214" s="9">
        <v>0</v>
      </c>
      <c r="AF214" s="9">
        <v>0</v>
      </c>
      <c r="AG214" s="9">
        <v>2</v>
      </c>
      <c r="AH214" s="9">
        <v>0</v>
      </c>
      <c r="AI214" s="9">
        <v>0</v>
      </c>
      <c r="AJ214" s="9">
        <v>0</v>
      </c>
      <c r="AK214" s="9">
        <v>4</v>
      </c>
      <c r="AL214" s="9">
        <v>0</v>
      </c>
      <c r="AM214" s="9">
        <v>0</v>
      </c>
      <c r="AN214" s="9">
        <v>1</v>
      </c>
      <c r="AO214" s="9">
        <v>1</v>
      </c>
      <c r="AP214" s="9">
        <v>2</v>
      </c>
      <c r="AQ214" s="9">
        <v>2</v>
      </c>
      <c r="AR214" s="9">
        <v>0</v>
      </c>
      <c r="AS214" s="9">
        <v>1</v>
      </c>
      <c r="AT214" s="9">
        <v>3</v>
      </c>
      <c r="AU214" s="9">
        <v>1</v>
      </c>
      <c r="AV214" s="9">
        <v>0</v>
      </c>
      <c r="AW214" s="9">
        <v>0</v>
      </c>
      <c r="AX214" s="9">
        <v>3</v>
      </c>
      <c r="AY214" s="9">
        <v>0</v>
      </c>
      <c r="AZ214" s="9">
        <v>1</v>
      </c>
      <c r="BA214" s="9">
        <v>0</v>
      </c>
      <c r="BB214" s="9">
        <v>0</v>
      </c>
      <c r="BC214" s="9">
        <v>2</v>
      </c>
      <c r="BD214" s="9">
        <v>1</v>
      </c>
      <c r="BE214" s="9">
        <v>0</v>
      </c>
      <c r="BF214" s="9">
        <v>0</v>
      </c>
      <c r="BG214" s="9">
        <v>1</v>
      </c>
      <c r="BH214" s="9">
        <v>3</v>
      </c>
      <c r="BI214" s="9">
        <v>0</v>
      </c>
      <c r="BJ214" s="9">
        <v>0</v>
      </c>
      <c r="BK214" s="9">
        <v>1</v>
      </c>
      <c r="BL214" s="9">
        <v>0</v>
      </c>
      <c r="BM214" s="9">
        <v>0</v>
      </c>
      <c r="BN214" s="9">
        <v>0</v>
      </c>
      <c r="BO214" s="9">
        <v>0</v>
      </c>
      <c r="BP214" s="9">
        <v>0</v>
      </c>
      <c r="BQ214" s="9">
        <v>3</v>
      </c>
      <c r="BR214" s="9">
        <v>0</v>
      </c>
      <c r="BS214" s="9">
        <v>0</v>
      </c>
      <c r="BT214" s="9">
        <v>1</v>
      </c>
      <c r="BU214" s="9">
        <v>0</v>
      </c>
      <c r="BV214" s="9">
        <v>1</v>
      </c>
      <c r="BW214" s="9">
        <v>0</v>
      </c>
      <c r="BX214" s="9">
        <v>3</v>
      </c>
      <c r="BY214" s="9">
        <v>0</v>
      </c>
      <c r="BZ214" s="9">
        <v>1</v>
      </c>
      <c r="CA214" s="9">
        <v>1</v>
      </c>
      <c r="CB214" s="9">
        <v>1</v>
      </c>
      <c r="CC214" s="9">
        <v>8</v>
      </c>
      <c r="CD214" s="9">
        <v>2</v>
      </c>
      <c r="CE214" s="9">
        <v>2</v>
      </c>
      <c r="CF214" s="9">
        <v>6</v>
      </c>
      <c r="CG214" s="9">
        <v>11</v>
      </c>
      <c r="CH214" s="9">
        <v>0</v>
      </c>
      <c r="CI214" s="9">
        <v>3</v>
      </c>
      <c r="CJ214" s="9">
        <v>9</v>
      </c>
      <c r="CK214" s="9">
        <v>4</v>
      </c>
      <c r="CL214" s="9">
        <v>1</v>
      </c>
      <c r="CM214" s="9">
        <v>6</v>
      </c>
      <c r="CN214" s="9">
        <v>7</v>
      </c>
      <c r="CO214" s="9">
        <v>2</v>
      </c>
      <c r="CP214" s="9">
        <v>8</v>
      </c>
      <c r="CQ214" s="9">
        <v>16</v>
      </c>
      <c r="CR214" s="9">
        <v>7</v>
      </c>
      <c r="CS214" s="10">
        <v>6</v>
      </c>
    </row>
    <row r="215" spans="1:97" x14ac:dyDescent="0.35">
      <c r="A215" s="8" t="s">
        <v>174</v>
      </c>
      <c r="B215" s="9" t="s">
        <v>219</v>
      </c>
      <c r="C215" s="9" t="s">
        <v>891</v>
      </c>
      <c r="D215" s="9">
        <f t="shared" si="3"/>
        <v>2</v>
      </c>
      <c r="E215" s="9">
        <v>0</v>
      </c>
      <c r="F215" s="9">
        <v>0</v>
      </c>
      <c r="G215" s="9">
        <v>0</v>
      </c>
      <c r="H215" s="9">
        <v>0</v>
      </c>
      <c r="I215" s="9">
        <v>0</v>
      </c>
      <c r="J215" s="9">
        <v>0</v>
      </c>
      <c r="K215" s="9">
        <v>0</v>
      </c>
      <c r="L215" s="9">
        <v>0</v>
      </c>
      <c r="M215" s="9">
        <v>0</v>
      </c>
      <c r="N215" s="9">
        <v>0</v>
      </c>
      <c r="O215" s="9">
        <v>0</v>
      </c>
      <c r="P215" s="9">
        <v>0</v>
      </c>
      <c r="Q215" s="9">
        <v>0</v>
      </c>
      <c r="R215" s="9">
        <v>0</v>
      </c>
      <c r="S215" s="9">
        <v>0</v>
      </c>
      <c r="T215" s="9">
        <v>0</v>
      </c>
      <c r="U215" s="9">
        <v>0</v>
      </c>
      <c r="V215" s="9">
        <v>0</v>
      </c>
      <c r="W215" s="9">
        <v>0</v>
      </c>
      <c r="X215" s="9">
        <v>0</v>
      </c>
      <c r="Y215" s="9">
        <v>0</v>
      </c>
      <c r="Z215" s="9">
        <v>0</v>
      </c>
      <c r="AA215" s="9">
        <v>0</v>
      </c>
      <c r="AB215" s="9">
        <v>0</v>
      </c>
      <c r="AC215" s="9">
        <v>0</v>
      </c>
      <c r="AD215" s="9">
        <v>0</v>
      </c>
      <c r="AE215" s="9">
        <v>0</v>
      </c>
      <c r="AF215" s="9">
        <v>0</v>
      </c>
      <c r="AG215" s="9">
        <v>0</v>
      </c>
      <c r="AH215" s="9">
        <v>0</v>
      </c>
      <c r="AI215" s="9">
        <v>0</v>
      </c>
      <c r="AJ215" s="9">
        <v>0</v>
      </c>
      <c r="AK215" s="9">
        <v>0</v>
      </c>
      <c r="AL215" s="9">
        <v>0</v>
      </c>
      <c r="AM215" s="9">
        <v>0</v>
      </c>
      <c r="AN215" s="9">
        <v>0</v>
      </c>
      <c r="AO215" s="9">
        <v>0</v>
      </c>
      <c r="AP215" s="9">
        <v>0</v>
      </c>
      <c r="AQ215" s="9">
        <v>0</v>
      </c>
      <c r="AR215" s="9">
        <v>0</v>
      </c>
      <c r="AS215" s="9">
        <v>0</v>
      </c>
      <c r="AT215" s="9">
        <v>0</v>
      </c>
      <c r="AU215" s="9">
        <v>0</v>
      </c>
      <c r="AV215" s="9">
        <v>0</v>
      </c>
      <c r="AW215" s="9">
        <v>0</v>
      </c>
      <c r="AX215" s="9">
        <v>0</v>
      </c>
      <c r="AY215" s="9">
        <v>0</v>
      </c>
      <c r="AZ215" s="9">
        <v>0</v>
      </c>
      <c r="BA215" s="9">
        <v>0</v>
      </c>
      <c r="BB215" s="9">
        <v>0</v>
      </c>
      <c r="BC215" s="9">
        <v>0</v>
      </c>
      <c r="BD215" s="9">
        <v>0</v>
      </c>
      <c r="BE215" s="9">
        <v>0</v>
      </c>
      <c r="BF215" s="9">
        <v>0</v>
      </c>
      <c r="BG215" s="9">
        <v>0</v>
      </c>
      <c r="BH215" s="9">
        <v>0</v>
      </c>
      <c r="BI215" s="9">
        <v>0</v>
      </c>
      <c r="BJ215" s="9">
        <v>0</v>
      </c>
      <c r="BK215" s="9">
        <v>0</v>
      </c>
      <c r="BL215" s="9">
        <v>0</v>
      </c>
      <c r="BM215" s="9">
        <v>0</v>
      </c>
      <c r="BN215" s="9">
        <v>0</v>
      </c>
      <c r="BO215" s="9">
        <v>0</v>
      </c>
      <c r="BP215" s="9">
        <v>0</v>
      </c>
      <c r="BQ215" s="9">
        <v>0</v>
      </c>
      <c r="BR215" s="9">
        <v>0</v>
      </c>
      <c r="BS215" s="9">
        <v>0</v>
      </c>
      <c r="BT215" s="9">
        <v>0</v>
      </c>
      <c r="BU215" s="9">
        <v>0</v>
      </c>
      <c r="BV215" s="9">
        <v>0</v>
      </c>
      <c r="BW215" s="9">
        <v>0</v>
      </c>
      <c r="BX215" s="9">
        <v>0</v>
      </c>
      <c r="BY215" s="9">
        <v>0</v>
      </c>
      <c r="BZ215" s="9">
        <v>0</v>
      </c>
      <c r="CA215" s="9">
        <v>0</v>
      </c>
      <c r="CB215" s="9">
        <v>0</v>
      </c>
      <c r="CC215" s="9">
        <v>0</v>
      </c>
      <c r="CD215" s="9">
        <v>0</v>
      </c>
      <c r="CE215" s="9">
        <v>0</v>
      </c>
      <c r="CF215" s="9">
        <v>0</v>
      </c>
      <c r="CG215" s="9">
        <v>0</v>
      </c>
      <c r="CH215" s="9">
        <v>0</v>
      </c>
      <c r="CI215" s="9">
        <v>0</v>
      </c>
      <c r="CJ215" s="9">
        <v>0</v>
      </c>
      <c r="CK215" s="9">
        <v>0</v>
      </c>
      <c r="CL215" s="9">
        <v>0</v>
      </c>
      <c r="CM215" s="9">
        <v>0</v>
      </c>
      <c r="CN215" s="9">
        <v>0</v>
      </c>
      <c r="CO215" s="9">
        <v>0</v>
      </c>
      <c r="CP215" s="9">
        <v>1</v>
      </c>
      <c r="CQ215" s="9">
        <v>0</v>
      </c>
      <c r="CR215" s="9">
        <v>0</v>
      </c>
      <c r="CS215" s="10">
        <v>1</v>
      </c>
    </row>
    <row r="216" spans="1:97" x14ac:dyDescent="0.35">
      <c r="A216" s="8" t="s">
        <v>174</v>
      </c>
      <c r="B216" s="9" t="s">
        <v>221</v>
      </c>
      <c r="C216" s="9" t="s">
        <v>892</v>
      </c>
      <c r="D216" s="9">
        <f t="shared" si="3"/>
        <v>0</v>
      </c>
      <c r="E216" s="9">
        <v>0</v>
      </c>
      <c r="F216" s="9">
        <v>0</v>
      </c>
      <c r="G216" s="9">
        <v>0</v>
      </c>
      <c r="H216" s="9">
        <v>0</v>
      </c>
      <c r="I216" s="9">
        <v>0</v>
      </c>
      <c r="J216" s="9">
        <v>0</v>
      </c>
      <c r="K216" s="9">
        <v>0</v>
      </c>
      <c r="L216" s="9">
        <v>0</v>
      </c>
      <c r="M216" s="9">
        <v>0</v>
      </c>
      <c r="N216" s="9">
        <v>0</v>
      </c>
      <c r="O216" s="9">
        <v>0</v>
      </c>
      <c r="P216" s="9">
        <v>0</v>
      </c>
      <c r="Q216" s="9">
        <v>0</v>
      </c>
      <c r="R216" s="9">
        <v>0</v>
      </c>
      <c r="S216" s="9">
        <v>0</v>
      </c>
      <c r="T216" s="9">
        <v>0</v>
      </c>
      <c r="U216" s="9">
        <v>0</v>
      </c>
      <c r="V216" s="9">
        <v>0</v>
      </c>
      <c r="W216" s="9">
        <v>0</v>
      </c>
      <c r="X216" s="9">
        <v>0</v>
      </c>
      <c r="Y216" s="9">
        <v>0</v>
      </c>
      <c r="Z216" s="9">
        <v>0</v>
      </c>
      <c r="AA216" s="9">
        <v>0</v>
      </c>
      <c r="AB216" s="9">
        <v>0</v>
      </c>
      <c r="AC216" s="9">
        <v>0</v>
      </c>
      <c r="AD216" s="9">
        <v>0</v>
      </c>
      <c r="AE216" s="9">
        <v>0</v>
      </c>
      <c r="AF216" s="9">
        <v>0</v>
      </c>
      <c r="AG216" s="9">
        <v>0</v>
      </c>
      <c r="AH216" s="9">
        <v>0</v>
      </c>
      <c r="AI216" s="9">
        <v>0</v>
      </c>
      <c r="AJ216" s="9">
        <v>0</v>
      </c>
      <c r="AK216" s="9">
        <v>0</v>
      </c>
      <c r="AL216" s="9">
        <v>0</v>
      </c>
      <c r="AM216" s="9">
        <v>0</v>
      </c>
      <c r="AN216" s="9">
        <v>0</v>
      </c>
      <c r="AO216" s="9">
        <v>0</v>
      </c>
      <c r="AP216" s="9">
        <v>0</v>
      </c>
      <c r="AQ216" s="9">
        <v>0</v>
      </c>
      <c r="AR216" s="9">
        <v>0</v>
      </c>
      <c r="AS216" s="9">
        <v>0</v>
      </c>
      <c r="AT216" s="9">
        <v>0</v>
      </c>
      <c r="AU216" s="9">
        <v>0</v>
      </c>
      <c r="AV216" s="9">
        <v>0</v>
      </c>
      <c r="AW216" s="9">
        <v>0</v>
      </c>
      <c r="AX216" s="9">
        <v>0</v>
      </c>
      <c r="AY216" s="9">
        <v>0</v>
      </c>
      <c r="AZ216" s="9">
        <v>0</v>
      </c>
      <c r="BA216" s="9">
        <v>0</v>
      </c>
      <c r="BB216" s="9">
        <v>0</v>
      </c>
      <c r="BC216" s="9">
        <v>0</v>
      </c>
      <c r="BD216" s="9">
        <v>0</v>
      </c>
      <c r="BE216" s="9">
        <v>0</v>
      </c>
      <c r="BF216" s="9">
        <v>0</v>
      </c>
      <c r="BG216" s="9">
        <v>0</v>
      </c>
      <c r="BH216" s="9">
        <v>0</v>
      </c>
      <c r="BI216" s="9">
        <v>0</v>
      </c>
      <c r="BJ216" s="9">
        <v>0</v>
      </c>
      <c r="BK216" s="9">
        <v>0</v>
      </c>
      <c r="BL216" s="9">
        <v>0</v>
      </c>
      <c r="BM216" s="9">
        <v>0</v>
      </c>
      <c r="BN216" s="9">
        <v>0</v>
      </c>
      <c r="BO216" s="9">
        <v>0</v>
      </c>
      <c r="BP216" s="9">
        <v>0</v>
      </c>
      <c r="BQ216" s="9">
        <v>0</v>
      </c>
      <c r="BR216" s="9">
        <v>0</v>
      </c>
      <c r="BS216" s="9">
        <v>0</v>
      </c>
      <c r="BT216" s="9">
        <v>0</v>
      </c>
      <c r="BU216" s="9">
        <v>0</v>
      </c>
      <c r="BV216" s="9">
        <v>0</v>
      </c>
      <c r="BW216" s="9">
        <v>0</v>
      </c>
      <c r="BX216" s="9">
        <v>0</v>
      </c>
      <c r="BY216" s="9">
        <v>0</v>
      </c>
      <c r="BZ216" s="9">
        <v>0</v>
      </c>
      <c r="CA216" s="9">
        <v>0</v>
      </c>
      <c r="CB216" s="9">
        <v>0</v>
      </c>
      <c r="CC216" s="9">
        <v>0</v>
      </c>
      <c r="CD216" s="9">
        <v>0</v>
      </c>
      <c r="CE216" s="9">
        <v>0</v>
      </c>
      <c r="CF216" s="9">
        <v>0</v>
      </c>
      <c r="CG216" s="9">
        <v>0</v>
      </c>
      <c r="CH216" s="9">
        <v>0</v>
      </c>
      <c r="CI216" s="9">
        <v>0</v>
      </c>
      <c r="CJ216" s="9">
        <v>0</v>
      </c>
      <c r="CK216" s="9">
        <v>0</v>
      </c>
      <c r="CL216" s="9">
        <v>0</v>
      </c>
      <c r="CM216" s="9">
        <v>0</v>
      </c>
      <c r="CN216" s="9">
        <v>0</v>
      </c>
      <c r="CO216" s="9">
        <v>0</v>
      </c>
      <c r="CP216" s="9">
        <v>0</v>
      </c>
      <c r="CQ216" s="9">
        <v>0</v>
      </c>
      <c r="CR216" s="9">
        <v>0</v>
      </c>
      <c r="CS216" s="10">
        <v>0</v>
      </c>
    </row>
    <row r="217" spans="1:97" x14ac:dyDescent="0.35">
      <c r="A217" s="8" t="s">
        <v>174</v>
      </c>
      <c r="B217" s="9" t="s">
        <v>223</v>
      </c>
      <c r="C217" s="9" t="s">
        <v>893</v>
      </c>
      <c r="D217" s="9">
        <f t="shared" si="3"/>
        <v>29</v>
      </c>
      <c r="E217" s="9">
        <v>0</v>
      </c>
      <c r="F217" s="9">
        <v>0</v>
      </c>
      <c r="G217" s="9">
        <v>0</v>
      </c>
      <c r="H217" s="9">
        <v>0</v>
      </c>
      <c r="I217" s="9">
        <v>1</v>
      </c>
      <c r="J217" s="9">
        <v>0</v>
      </c>
      <c r="K217" s="9">
        <v>0</v>
      </c>
      <c r="L217" s="9">
        <v>0</v>
      </c>
      <c r="M217" s="9">
        <v>0</v>
      </c>
      <c r="N217" s="9">
        <v>0</v>
      </c>
      <c r="O217" s="9">
        <v>0</v>
      </c>
      <c r="P217" s="9">
        <v>0</v>
      </c>
      <c r="Q217" s="9">
        <v>0</v>
      </c>
      <c r="R217" s="9">
        <v>0</v>
      </c>
      <c r="S217" s="9">
        <v>0</v>
      </c>
      <c r="T217" s="9">
        <v>0</v>
      </c>
      <c r="U217" s="9">
        <v>0</v>
      </c>
      <c r="V217" s="9">
        <v>0</v>
      </c>
      <c r="W217" s="9">
        <v>0</v>
      </c>
      <c r="X217" s="9">
        <v>0</v>
      </c>
      <c r="Y217" s="9">
        <v>0</v>
      </c>
      <c r="Z217" s="9">
        <v>1</v>
      </c>
      <c r="AA217" s="9">
        <v>0</v>
      </c>
      <c r="AB217" s="9">
        <v>0</v>
      </c>
      <c r="AC217" s="9">
        <v>0</v>
      </c>
      <c r="AD217" s="9">
        <v>0</v>
      </c>
      <c r="AE217" s="9">
        <v>0</v>
      </c>
      <c r="AF217" s="9">
        <v>0</v>
      </c>
      <c r="AG217" s="9">
        <v>0</v>
      </c>
      <c r="AH217" s="9">
        <v>2</v>
      </c>
      <c r="AI217" s="9">
        <v>1</v>
      </c>
      <c r="AJ217" s="9">
        <v>0</v>
      </c>
      <c r="AK217" s="9">
        <v>0</v>
      </c>
      <c r="AL217" s="9">
        <v>0</v>
      </c>
      <c r="AM217" s="9">
        <v>1</v>
      </c>
      <c r="AN217" s="9">
        <v>0</v>
      </c>
      <c r="AO217" s="9">
        <v>0</v>
      </c>
      <c r="AP217" s="9">
        <v>0</v>
      </c>
      <c r="AQ217" s="9">
        <v>2</v>
      </c>
      <c r="AR217" s="9">
        <v>0</v>
      </c>
      <c r="AS217" s="9">
        <v>0</v>
      </c>
      <c r="AT217" s="9">
        <v>0</v>
      </c>
      <c r="AU217" s="9">
        <v>0</v>
      </c>
      <c r="AV217" s="9">
        <v>0</v>
      </c>
      <c r="AW217" s="9">
        <v>0</v>
      </c>
      <c r="AX217" s="9">
        <v>1</v>
      </c>
      <c r="AY217" s="9">
        <v>0</v>
      </c>
      <c r="AZ217" s="9">
        <v>1</v>
      </c>
      <c r="BA217" s="9">
        <v>0</v>
      </c>
      <c r="BB217" s="9">
        <v>0</v>
      </c>
      <c r="BC217" s="9">
        <v>1</v>
      </c>
      <c r="BD217" s="9">
        <v>0</v>
      </c>
      <c r="BE217" s="9">
        <v>0</v>
      </c>
      <c r="BF217" s="9">
        <v>2</v>
      </c>
      <c r="BG217" s="9">
        <v>2</v>
      </c>
      <c r="BH217" s="9">
        <v>0</v>
      </c>
      <c r="BI217" s="9">
        <v>0</v>
      </c>
      <c r="BJ217" s="9">
        <v>0</v>
      </c>
      <c r="BK217" s="9">
        <v>1</v>
      </c>
      <c r="BL217" s="9">
        <v>0</v>
      </c>
      <c r="BM217" s="9">
        <v>0</v>
      </c>
      <c r="BN217" s="9">
        <v>0</v>
      </c>
      <c r="BO217" s="9">
        <v>0</v>
      </c>
      <c r="BP217" s="9">
        <v>0</v>
      </c>
      <c r="BQ217" s="9">
        <v>0</v>
      </c>
      <c r="BR217" s="9">
        <v>0</v>
      </c>
      <c r="BS217" s="9">
        <v>0</v>
      </c>
      <c r="BT217" s="9">
        <v>1</v>
      </c>
      <c r="BU217" s="9">
        <v>2</v>
      </c>
      <c r="BV217" s="9">
        <v>0</v>
      </c>
      <c r="BW217" s="9">
        <v>0</v>
      </c>
      <c r="BX217" s="9">
        <v>0</v>
      </c>
      <c r="BY217" s="9">
        <v>0</v>
      </c>
      <c r="BZ217" s="9">
        <v>0</v>
      </c>
      <c r="CA217" s="9">
        <v>0</v>
      </c>
      <c r="CB217" s="9">
        <v>1</v>
      </c>
      <c r="CC217" s="9">
        <v>1</v>
      </c>
      <c r="CD217" s="9">
        <v>0</v>
      </c>
      <c r="CE217" s="9">
        <v>0</v>
      </c>
      <c r="CF217" s="9">
        <v>0</v>
      </c>
      <c r="CG217" s="9">
        <v>0</v>
      </c>
      <c r="CH217" s="9">
        <v>0</v>
      </c>
      <c r="CI217" s="9">
        <v>0</v>
      </c>
      <c r="CJ217" s="9">
        <v>1</v>
      </c>
      <c r="CK217" s="9">
        <v>0</v>
      </c>
      <c r="CL217" s="9">
        <v>1</v>
      </c>
      <c r="CM217" s="9">
        <v>2</v>
      </c>
      <c r="CN217" s="9">
        <v>0</v>
      </c>
      <c r="CO217" s="9">
        <v>0</v>
      </c>
      <c r="CP217" s="9">
        <v>0</v>
      </c>
      <c r="CQ217" s="9">
        <v>1</v>
      </c>
      <c r="CR217" s="9">
        <v>0</v>
      </c>
      <c r="CS217" s="10">
        <v>3</v>
      </c>
    </row>
    <row r="218" spans="1:97" x14ac:dyDescent="0.35">
      <c r="A218" s="8" t="s">
        <v>174</v>
      </c>
      <c r="B218" s="9" t="s">
        <v>225</v>
      </c>
      <c r="C218" s="9" t="s">
        <v>894</v>
      </c>
      <c r="D218" s="9">
        <f t="shared" si="3"/>
        <v>37</v>
      </c>
      <c r="E218" s="9">
        <v>0</v>
      </c>
      <c r="F218" s="9">
        <v>0</v>
      </c>
      <c r="G218" s="9">
        <v>0</v>
      </c>
      <c r="H218" s="9">
        <v>0</v>
      </c>
      <c r="I218" s="9">
        <v>0</v>
      </c>
      <c r="J218" s="9">
        <v>0</v>
      </c>
      <c r="K218" s="9">
        <v>0</v>
      </c>
      <c r="L218" s="9">
        <v>0</v>
      </c>
      <c r="M218" s="9">
        <v>0</v>
      </c>
      <c r="N218" s="9">
        <v>0</v>
      </c>
      <c r="O218" s="9">
        <v>0</v>
      </c>
      <c r="P218" s="9">
        <v>0</v>
      </c>
      <c r="Q218" s="9">
        <v>0</v>
      </c>
      <c r="R218" s="9">
        <v>0</v>
      </c>
      <c r="S218" s="9">
        <v>0</v>
      </c>
      <c r="T218" s="9">
        <v>0</v>
      </c>
      <c r="U218" s="9">
        <v>0</v>
      </c>
      <c r="V218" s="9">
        <v>0</v>
      </c>
      <c r="W218" s="9">
        <v>0</v>
      </c>
      <c r="X218" s="9">
        <v>0</v>
      </c>
      <c r="Y218" s="9">
        <v>0</v>
      </c>
      <c r="Z218" s="9">
        <v>0</v>
      </c>
      <c r="AA218" s="9">
        <v>0</v>
      </c>
      <c r="AB218" s="9">
        <v>0</v>
      </c>
      <c r="AC218" s="9">
        <v>0</v>
      </c>
      <c r="AD218" s="9">
        <v>0</v>
      </c>
      <c r="AE218" s="9">
        <v>0</v>
      </c>
      <c r="AF218" s="9">
        <v>0</v>
      </c>
      <c r="AG218" s="9">
        <v>0</v>
      </c>
      <c r="AH218" s="9">
        <v>0</v>
      </c>
      <c r="AI218" s="9">
        <v>0</v>
      </c>
      <c r="AJ218" s="9">
        <v>0</v>
      </c>
      <c r="AK218" s="9">
        <v>0</v>
      </c>
      <c r="AL218" s="9">
        <v>0</v>
      </c>
      <c r="AM218" s="9">
        <v>0</v>
      </c>
      <c r="AN218" s="9">
        <v>0</v>
      </c>
      <c r="AO218" s="9">
        <v>0</v>
      </c>
      <c r="AP218" s="9">
        <v>0</v>
      </c>
      <c r="AQ218" s="9">
        <v>0</v>
      </c>
      <c r="AR218" s="9">
        <v>0</v>
      </c>
      <c r="AS218" s="9">
        <v>0</v>
      </c>
      <c r="AT218" s="9">
        <v>0</v>
      </c>
      <c r="AU218" s="9">
        <v>0</v>
      </c>
      <c r="AV218" s="9">
        <v>0</v>
      </c>
      <c r="AW218" s="9">
        <v>0</v>
      </c>
      <c r="AX218" s="9">
        <v>1</v>
      </c>
      <c r="AY218" s="9">
        <v>0</v>
      </c>
      <c r="AZ218" s="9">
        <v>0</v>
      </c>
      <c r="BA218" s="9">
        <v>0</v>
      </c>
      <c r="BB218" s="9">
        <v>0</v>
      </c>
      <c r="BC218" s="9">
        <v>0</v>
      </c>
      <c r="BD218" s="9">
        <v>0</v>
      </c>
      <c r="BE218" s="9">
        <v>0</v>
      </c>
      <c r="BF218" s="9">
        <v>0</v>
      </c>
      <c r="BG218" s="9">
        <v>0</v>
      </c>
      <c r="BH218" s="9">
        <v>0</v>
      </c>
      <c r="BI218" s="9">
        <v>0</v>
      </c>
      <c r="BJ218" s="9">
        <v>0</v>
      </c>
      <c r="BK218" s="9">
        <v>0</v>
      </c>
      <c r="BL218" s="9">
        <v>0</v>
      </c>
      <c r="BM218" s="9">
        <v>0</v>
      </c>
      <c r="BN218" s="9">
        <v>0</v>
      </c>
      <c r="BO218" s="9">
        <v>0</v>
      </c>
      <c r="BP218" s="9">
        <v>0</v>
      </c>
      <c r="BQ218" s="9">
        <v>0</v>
      </c>
      <c r="BR218" s="9">
        <v>0</v>
      </c>
      <c r="BS218" s="9">
        <v>0</v>
      </c>
      <c r="BT218" s="9">
        <v>0</v>
      </c>
      <c r="BU218" s="9">
        <v>0</v>
      </c>
      <c r="BV218" s="9">
        <v>0</v>
      </c>
      <c r="BW218" s="9">
        <v>0</v>
      </c>
      <c r="BX218" s="9">
        <v>0</v>
      </c>
      <c r="BY218" s="9">
        <v>0</v>
      </c>
      <c r="BZ218" s="9">
        <v>0</v>
      </c>
      <c r="CA218" s="9">
        <v>0</v>
      </c>
      <c r="CB218" s="9">
        <v>1</v>
      </c>
      <c r="CC218" s="9">
        <v>1</v>
      </c>
      <c r="CD218" s="9">
        <v>0</v>
      </c>
      <c r="CE218" s="9">
        <v>0</v>
      </c>
      <c r="CF218" s="9">
        <v>2</v>
      </c>
      <c r="CG218" s="9">
        <v>2</v>
      </c>
      <c r="CH218" s="9">
        <v>0</v>
      </c>
      <c r="CI218" s="9">
        <v>4</v>
      </c>
      <c r="CJ218" s="9">
        <v>2</v>
      </c>
      <c r="CK218" s="9">
        <v>5</v>
      </c>
      <c r="CL218" s="9">
        <v>2</v>
      </c>
      <c r="CM218" s="9">
        <v>0</v>
      </c>
      <c r="CN218" s="9">
        <v>0</v>
      </c>
      <c r="CO218" s="9">
        <v>0</v>
      </c>
      <c r="CP218" s="9">
        <v>6</v>
      </c>
      <c r="CQ218" s="9">
        <v>3</v>
      </c>
      <c r="CR218" s="9">
        <v>7</v>
      </c>
      <c r="CS218" s="10">
        <v>1</v>
      </c>
    </row>
    <row r="219" spans="1:97" x14ac:dyDescent="0.35">
      <c r="A219" s="8" t="s">
        <v>174</v>
      </c>
      <c r="B219" s="9" t="s">
        <v>227</v>
      </c>
      <c r="C219" s="9" t="s">
        <v>895</v>
      </c>
      <c r="D219" s="9">
        <f t="shared" si="3"/>
        <v>0</v>
      </c>
      <c r="E219" s="9">
        <v>0</v>
      </c>
      <c r="F219" s="9">
        <v>0</v>
      </c>
      <c r="G219" s="9">
        <v>0</v>
      </c>
      <c r="H219" s="9">
        <v>0</v>
      </c>
      <c r="I219" s="9">
        <v>0</v>
      </c>
      <c r="J219" s="9">
        <v>0</v>
      </c>
      <c r="K219" s="9">
        <v>0</v>
      </c>
      <c r="L219" s="9">
        <v>0</v>
      </c>
      <c r="M219" s="9">
        <v>0</v>
      </c>
      <c r="N219" s="9">
        <v>0</v>
      </c>
      <c r="O219" s="9">
        <v>0</v>
      </c>
      <c r="P219" s="9">
        <v>0</v>
      </c>
      <c r="Q219" s="9">
        <v>0</v>
      </c>
      <c r="R219" s="9">
        <v>0</v>
      </c>
      <c r="S219" s="9">
        <v>0</v>
      </c>
      <c r="T219" s="9">
        <v>0</v>
      </c>
      <c r="U219" s="9">
        <v>0</v>
      </c>
      <c r="V219" s="9">
        <v>0</v>
      </c>
      <c r="W219" s="9">
        <v>0</v>
      </c>
      <c r="X219" s="9">
        <v>0</v>
      </c>
      <c r="Y219" s="9">
        <v>0</v>
      </c>
      <c r="Z219" s="9">
        <v>0</v>
      </c>
      <c r="AA219" s="9">
        <v>0</v>
      </c>
      <c r="AB219" s="9">
        <v>0</v>
      </c>
      <c r="AC219" s="9">
        <v>0</v>
      </c>
      <c r="AD219" s="9">
        <v>0</v>
      </c>
      <c r="AE219" s="9">
        <v>0</v>
      </c>
      <c r="AF219" s="9">
        <v>0</v>
      </c>
      <c r="AG219" s="9">
        <v>0</v>
      </c>
      <c r="AH219" s="9">
        <v>0</v>
      </c>
      <c r="AI219" s="9">
        <v>0</v>
      </c>
      <c r="AJ219" s="9">
        <v>0</v>
      </c>
      <c r="AK219" s="9">
        <v>0</v>
      </c>
      <c r="AL219" s="9">
        <v>0</v>
      </c>
      <c r="AM219" s="9">
        <v>0</v>
      </c>
      <c r="AN219" s="9">
        <v>0</v>
      </c>
      <c r="AO219" s="9">
        <v>0</v>
      </c>
      <c r="AP219" s="9">
        <v>0</v>
      </c>
      <c r="AQ219" s="9">
        <v>0</v>
      </c>
      <c r="AR219" s="9">
        <v>0</v>
      </c>
      <c r="AS219" s="9">
        <v>0</v>
      </c>
      <c r="AT219" s="9">
        <v>0</v>
      </c>
      <c r="AU219" s="9">
        <v>0</v>
      </c>
      <c r="AV219" s="9">
        <v>0</v>
      </c>
      <c r="AW219" s="9">
        <v>0</v>
      </c>
      <c r="AX219" s="9">
        <v>0</v>
      </c>
      <c r="AY219" s="9">
        <v>0</v>
      </c>
      <c r="AZ219" s="9">
        <v>0</v>
      </c>
      <c r="BA219" s="9">
        <v>0</v>
      </c>
      <c r="BB219" s="9">
        <v>0</v>
      </c>
      <c r="BC219" s="9">
        <v>0</v>
      </c>
      <c r="BD219" s="9">
        <v>0</v>
      </c>
      <c r="BE219" s="9">
        <v>0</v>
      </c>
      <c r="BF219" s="9">
        <v>0</v>
      </c>
      <c r="BG219" s="9">
        <v>0</v>
      </c>
      <c r="BH219" s="9">
        <v>0</v>
      </c>
      <c r="BI219" s="9">
        <v>0</v>
      </c>
      <c r="BJ219" s="9">
        <v>0</v>
      </c>
      <c r="BK219" s="9">
        <v>0</v>
      </c>
      <c r="BL219" s="9">
        <v>0</v>
      </c>
      <c r="BM219" s="9">
        <v>0</v>
      </c>
      <c r="BN219" s="9">
        <v>0</v>
      </c>
      <c r="BO219" s="9">
        <v>0</v>
      </c>
      <c r="BP219" s="9">
        <v>0</v>
      </c>
      <c r="BQ219" s="9">
        <v>0</v>
      </c>
      <c r="BR219" s="9">
        <v>0</v>
      </c>
      <c r="BS219" s="9">
        <v>0</v>
      </c>
      <c r="BT219" s="9">
        <v>0</v>
      </c>
      <c r="BU219" s="9">
        <v>0</v>
      </c>
      <c r="BV219" s="9">
        <v>0</v>
      </c>
      <c r="BW219" s="9">
        <v>0</v>
      </c>
      <c r="BX219" s="9">
        <v>0</v>
      </c>
      <c r="BY219" s="9">
        <v>0</v>
      </c>
      <c r="BZ219" s="9">
        <v>0</v>
      </c>
      <c r="CA219" s="9">
        <v>0</v>
      </c>
      <c r="CB219" s="9">
        <v>0</v>
      </c>
      <c r="CC219" s="9">
        <v>0</v>
      </c>
      <c r="CD219" s="9">
        <v>0</v>
      </c>
      <c r="CE219" s="9">
        <v>0</v>
      </c>
      <c r="CF219" s="9">
        <v>0</v>
      </c>
      <c r="CG219" s="9">
        <v>0</v>
      </c>
      <c r="CH219" s="9">
        <v>0</v>
      </c>
      <c r="CI219" s="9">
        <v>0</v>
      </c>
      <c r="CJ219" s="9">
        <v>0</v>
      </c>
      <c r="CK219" s="9">
        <v>0</v>
      </c>
      <c r="CL219" s="9">
        <v>0</v>
      </c>
      <c r="CM219" s="9">
        <v>0</v>
      </c>
      <c r="CN219" s="9">
        <v>0</v>
      </c>
      <c r="CO219" s="9">
        <v>0</v>
      </c>
      <c r="CP219" s="9">
        <v>0</v>
      </c>
      <c r="CQ219" s="9">
        <v>0</v>
      </c>
      <c r="CR219" s="9">
        <v>0</v>
      </c>
      <c r="CS219" s="10">
        <v>0</v>
      </c>
    </row>
    <row r="220" spans="1:97" x14ac:dyDescent="0.35">
      <c r="A220" s="8" t="s">
        <v>174</v>
      </c>
      <c r="B220" s="9" t="s">
        <v>229</v>
      </c>
      <c r="C220" s="9" t="s">
        <v>896</v>
      </c>
      <c r="D220" s="9">
        <f t="shared" si="3"/>
        <v>1206</v>
      </c>
      <c r="E220" s="9">
        <v>3</v>
      </c>
      <c r="F220" s="9">
        <v>2</v>
      </c>
      <c r="G220" s="9">
        <v>2</v>
      </c>
      <c r="H220" s="9">
        <v>2</v>
      </c>
      <c r="I220" s="9">
        <v>3</v>
      </c>
      <c r="J220" s="9">
        <v>0</v>
      </c>
      <c r="K220" s="9">
        <v>0</v>
      </c>
      <c r="L220" s="9">
        <v>4</v>
      </c>
      <c r="M220" s="9">
        <v>5</v>
      </c>
      <c r="N220" s="9">
        <v>0</v>
      </c>
      <c r="O220" s="9">
        <v>2</v>
      </c>
      <c r="P220" s="9">
        <v>1</v>
      </c>
      <c r="Q220" s="9">
        <v>5</v>
      </c>
      <c r="R220" s="9">
        <v>2</v>
      </c>
      <c r="S220" s="9">
        <v>2</v>
      </c>
      <c r="T220" s="9">
        <v>0</v>
      </c>
      <c r="U220" s="9">
        <v>2</v>
      </c>
      <c r="V220" s="9">
        <v>2</v>
      </c>
      <c r="W220" s="9">
        <v>0</v>
      </c>
      <c r="X220" s="9">
        <v>1</v>
      </c>
      <c r="Y220" s="9">
        <v>3</v>
      </c>
      <c r="Z220" s="9">
        <v>1</v>
      </c>
      <c r="AA220" s="9">
        <v>3</v>
      </c>
      <c r="AB220" s="9">
        <v>1</v>
      </c>
      <c r="AC220" s="9">
        <v>2</v>
      </c>
      <c r="AD220" s="9">
        <v>4</v>
      </c>
      <c r="AE220" s="9">
        <v>1</v>
      </c>
      <c r="AF220" s="9">
        <v>0</v>
      </c>
      <c r="AG220" s="9">
        <v>3</v>
      </c>
      <c r="AH220" s="9">
        <v>0</v>
      </c>
      <c r="AI220" s="9">
        <v>0</v>
      </c>
      <c r="AJ220" s="9">
        <v>2</v>
      </c>
      <c r="AK220" s="9">
        <v>5</v>
      </c>
      <c r="AL220" s="9">
        <v>2</v>
      </c>
      <c r="AM220" s="9">
        <v>10</v>
      </c>
      <c r="AN220" s="9">
        <v>10</v>
      </c>
      <c r="AO220" s="9">
        <v>6</v>
      </c>
      <c r="AP220" s="9">
        <v>4</v>
      </c>
      <c r="AQ220" s="9">
        <v>11</v>
      </c>
      <c r="AR220" s="9">
        <v>14</v>
      </c>
      <c r="AS220" s="9">
        <v>5</v>
      </c>
      <c r="AT220" s="9">
        <v>9</v>
      </c>
      <c r="AU220" s="9">
        <v>10</v>
      </c>
      <c r="AV220" s="9">
        <v>10</v>
      </c>
      <c r="AW220" s="9">
        <v>13</v>
      </c>
      <c r="AX220" s="9">
        <v>12</v>
      </c>
      <c r="AY220" s="9">
        <v>15</v>
      </c>
      <c r="AZ220" s="9">
        <v>8</v>
      </c>
      <c r="BA220" s="9">
        <v>14</v>
      </c>
      <c r="BB220" s="9">
        <v>18</v>
      </c>
      <c r="BC220" s="9">
        <v>8</v>
      </c>
      <c r="BD220" s="9">
        <v>10</v>
      </c>
      <c r="BE220" s="9">
        <v>18</v>
      </c>
      <c r="BF220" s="9">
        <v>25</v>
      </c>
      <c r="BG220" s="9">
        <v>25</v>
      </c>
      <c r="BH220" s="9">
        <v>26</v>
      </c>
      <c r="BI220" s="9">
        <v>20</v>
      </c>
      <c r="BJ220" s="9">
        <v>15</v>
      </c>
      <c r="BK220" s="9">
        <v>22</v>
      </c>
      <c r="BL220" s="9">
        <v>20</v>
      </c>
      <c r="BM220" s="9">
        <v>14</v>
      </c>
      <c r="BN220" s="9">
        <v>23</v>
      </c>
      <c r="BO220" s="9">
        <v>13</v>
      </c>
      <c r="BP220" s="9">
        <v>14</v>
      </c>
      <c r="BQ220" s="9">
        <v>16</v>
      </c>
      <c r="BR220" s="9">
        <v>36</v>
      </c>
      <c r="BS220" s="9">
        <v>16</v>
      </c>
      <c r="BT220" s="9">
        <v>18</v>
      </c>
      <c r="BU220" s="9">
        <v>8</v>
      </c>
      <c r="BV220" s="9">
        <v>12</v>
      </c>
      <c r="BW220" s="9">
        <v>14</v>
      </c>
      <c r="BX220" s="9">
        <v>21</v>
      </c>
      <c r="BY220" s="9">
        <v>14</v>
      </c>
      <c r="BZ220" s="9">
        <v>27</v>
      </c>
      <c r="CA220" s="9">
        <v>32</v>
      </c>
      <c r="CB220" s="9">
        <v>15</v>
      </c>
      <c r="CC220" s="9">
        <v>11</v>
      </c>
      <c r="CD220" s="9">
        <v>16</v>
      </c>
      <c r="CE220" s="9">
        <v>27</v>
      </c>
      <c r="CF220" s="9">
        <v>21</v>
      </c>
      <c r="CG220" s="9">
        <v>27</v>
      </c>
      <c r="CH220" s="9">
        <v>21</v>
      </c>
      <c r="CI220" s="9">
        <v>36</v>
      </c>
      <c r="CJ220" s="9">
        <v>21</v>
      </c>
      <c r="CK220" s="9">
        <v>25</v>
      </c>
      <c r="CL220" s="9">
        <v>17</v>
      </c>
      <c r="CM220" s="9">
        <v>32</v>
      </c>
      <c r="CN220" s="9">
        <v>25</v>
      </c>
      <c r="CO220" s="9">
        <v>39</v>
      </c>
      <c r="CP220" s="9">
        <v>55</v>
      </c>
      <c r="CQ220" s="9">
        <v>31</v>
      </c>
      <c r="CR220" s="9">
        <v>51</v>
      </c>
      <c r="CS220" s="10">
        <v>35</v>
      </c>
    </row>
    <row r="221" spans="1:97" x14ac:dyDescent="0.35">
      <c r="A221" s="8" t="s">
        <v>174</v>
      </c>
      <c r="B221" s="9" t="s">
        <v>231</v>
      </c>
      <c r="C221" s="9" t="s">
        <v>897</v>
      </c>
      <c r="D221" s="9">
        <f t="shared" si="3"/>
        <v>23</v>
      </c>
      <c r="E221" s="9">
        <v>0</v>
      </c>
      <c r="F221" s="9">
        <v>0</v>
      </c>
      <c r="G221" s="9">
        <v>0</v>
      </c>
      <c r="H221" s="9">
        <v>0</v>
      </c>
      <c r="I221" s="9">
        <v>0</v>
      </c>
      <c r="J221" s="9">
        <v>0</v>
      </c>
      <c r="K221" s="9">
        <v>0</v>
      </c>
      <c r="L221" s="9">
        <v>0</v>
      </c>
      <c r="M221" s="9">
        <v>0</v>
      </c>
      <c r="N221" s="9">
        <v>0</v>
      </c>
      <c r="O221" s="9">
        <v>0</v>
      </c>
      <c r="P221" s="9">
        <v>0</v>
      </c>
      <c r="Q221" s="9">
        <v>0</v>
      </c>
      <c r="R221" s="9">
        <v>0</v>
      </c>
      <c r="S221" s="9">
        <v>0</v>
      </c>
      <c r="T221" s="9">
        <v>0</v>
      </c>
      <c r="U221" s="9">
        <v>0</v>
      </c>
      <c r="V221" s="9">
        <v>0</v>
      </c>
      <c r="W221" s="9">
        <v>0</v>
      </c>
      <c r="X221" s="9">
        <v>0</v>
      </c>
      <c r="Y221" s="9">
        <v>0</v>
      </c>
      <c r="Z221" s="9">
        <v>0</v>
      </c>
      <c r="AA221" s="9">
        <v>0</v>
      </c>
      <c r="AB221" s="9">
        <v>0</v>
      </c>
      <c r="AC221" s="9">
        <v>0</v>
      </c>
      <c r="AD221" s="9">
        <v>0</v>
      </c>
      <c r="AE221" s="9">
        <v>0</v>
      </c>
      <c r="AF221" s="9">
        <v>0</v>
      </c>
      <c r="AG221" s="9">
        <v>0</v>
      </c>
      <c r="AH221" s="9">
        <v>0</v>
      </c>
      <c r="AI221" s="9">
        <v>0</v>
      </c>
      <c r="AJ221" s="9">
        <v>0</v>
      </c>
      <c r="AK221" s="9">
        <v>0</v>
      </c>
      <c r="AL221" s="9">
        <v>0</v>
      </c>
      <c r="AM221" s="9">
        <v>0</v>
      </c>
      <c r="AN221" s="9">
        <v>0</v>
      </c>
      <c r="AO221" s="9">
        <v>0</v>
      </c>
      <c r="AP221" s="9">
        <v>1</v>
      </c>
      <c r="AQ221" s="9">
        <v>1</v>
      </c>
      <c r="AR221" s="9">
        <v>0</v>
      </c>
      <c r="AS221" s="9">
        <v>0</v>
      </c>
      <c r="AT221" s="9">
        <v>0</v>
      </c>
      <c r="AU221" s="9">
        <v>0</v>
      </c>
      <c r="AV221" s="9">
        <v>0</v>
      </c>
      <c r="AW221" s="9">
        <v>0</v>
      </c>
      <c r="AX221" s="9">
        <v>0</v>
      </c>
      <c r="AY221" s="9">
        <v>0</v>
      </c>
      <c r="AZ221" s="9">
        <v>0</v>
      </c>
      <c r="BA221" s="9">
        <v>0</v>
      </c>
      <c r="BB221" s="9">
        <v>0</v>
      </c>
      <c r="BC221" s="9">
        <v>0</v>
      </c>
      <c r="BD221" s="9">
        <v>0</v>
      </c>
      <c r="BE221" s="9">
        <v>0</v>
      </c>
      <c r="BF221" s="9">
        <v>0</v>
      </c>
      <c r="BG221" s="9">
        <v>0</v>
      </c>
      <c r="BH221" s="9">
        <v>0</v>
      </c>
      <c r="BI221" s="9">
        <v>0</v>
      </c>
      <c r="BJ221" s="9">
        <v>0</v>
      </c>
      <c r="BK221" s="9">
        <v>0</v>
      </c>
      <c r="BL221" s="9">
        <v>0</v>
      </c>
      <c r="BM221" s="9">
        <v>0</v>
      </c>
      <c r="BN221" s="9">
        <v>0</v>
      </c>
      <c r="BO221" s="9">
        <v>0</v>
      </c>
      <c r="BP221" s="9">
        <v>0</v>
      </c>
      <c r="BQ221" s="9">
        <v>0</v>
      </c>
      <c r="BR221" s="9">
        <v>0</v>
      </c>
      <c r="BS221" s="9">
        <v>0</v>
      </c>
      <c r="BT221" s="9">
        <v>0</v>
      </c>
      <c r="BU221" s="9">
        <v>0</v>
      </c>
      <c r="BV221" s="9">
        <v>0</v>
      </c>
      <c r="BW221" s="9">
        <v>0</v>
      </c>
      <c r="BX221" s="9">
        <v>0</v>
      </c>
      <c r="BY221" s="9">
        <v>1</v>
      </c>
      <c r="BZ221" s="9">
        <v>0</v>
      </c>
      <c r="CA221" s="9">
        <v>0</v>
      </c>
      <c r="CB221" s="9">
        <v>0</v>
      </c>
      <c r="CC221" s="9">
        <v>0</v>
      </c>
      <c r="CD221" s="9">
        <v>0</v>
      </c>
      <c r="CE221" s="9">
        <v>1</v>
      </c>
      <c r="CF221" s="9">
        <v>0</v>
      </c>
      <c r="CG221" s="9">
        <v>1</v>
      </c>
      <c r="CH221" s="9">
        <v>0</v>
      </c>
      <c r="CI221" s="9">
        <v>0</v>
      </c>
      <c r="CJ221" s="9">
        <v>3</v>
      </c>
      <c r="CK221" s="9">
        <v>3</v>
      </c>
      <c r="CL221" s="9">
        <v>6</v>
      </c>
      <c r="CM221" s="9">
        <v>1</v>
      </c>
      <c r="CN221" s="9">
        <v>0</v>
      </c>
      <c r="CO221" s="9">
        <v>0</v>
      </c>
      <c r="CP221" s="9">
        <v>0</v>
      </c>
      <c r="CQ221" s="9">
        <v>0</v>
      </c>
      <c r="CR221" s="9">
        <v>1</v>
      </c>
      <c r="CS221" s="10">
        <v>4</v>
      </c>
    </row>
    <row r="222" spans="1:97" x14ac:dyDescent="0.35">
      <c r="A222" s="8" t="s">
        <v>174</v>
      </c>
      <c r="B222" s="9" t="s">
        <v>233</v>
      </c>
      <c r="C222" s="9" t="s">
        <v>898</v>
      </c>
      <c r="D222" s="9">
        <f t="shared" si="3"/>
        <v>535</v>
      </c>
      <c r="E222" s="9">
        <v>0</v>
      </c>
      <c r="F222" s="9">
        <v>0</v>
      </c>
      <c r="G222" s="9">
        <v>0</v>
      </c>
      <c r="H222" s="9">
        <v>2</v>
      </c>
      <c r="I222" s="9">
        <v>1</v>
      </c>
      <c r="J222" s="9">
        <v>0</v>
      </c>
      <c r="K222" s="9">
        <v>0</v>
      </c>
      <c r="L222" s="9">
        <v>2</v>
      </c>
      <c r="M222" s="9">
        <v>1</v>
      </c>
      <c r="N222" s="9">
        <v>1</v>
      </c>
      <c r="O222" s="9">
        <v>0</v>
      </c>
      <c r="P222" s="9">
        <v>0</v>
      </c>
      <c r="Q222" s="9">
        <v>0</v>
      </c>
      <c r="R222" s="9">
        <v>1</v>
      </c>
      <c r="S222" s="9">
        <v>2</v>
      </c>
      <c r="T222" s="9">
        <v>1</v>
      </c>
      <c r="U222" s="9">
        <v>0</v>
      </c>
      <c r="V222" s="9">
        <v>1</v>
      </c>
      <c r="W222" s="9">
        <v>0</v>
      </c>
      <c r="X222" s="9">
        <v>2</v>
      </c>
      <c r="Y222" s="9">
        <v>0</v>
      </c>
      <c r="Z222" s="9">
        <v>0</v>
      </c>
      <c r="AA222" s="9">
        <v>1</v>
      </c>
      <c r="AB222" s="9">
        <v>2</v>
      </c>
      <c r="AC222" s="9">
        <v>2</v>
      </c>
      <c r="AD222" s="9">
        <v>1</v>
      </c>
      <c r="AE222" s="9">
        <v>3</v>
      </c>
      <c r="AF222" s="9">
        <v>1</v>
      </c>
      <c r="AG222" s="9">
        <v>2</v>
      </c>
      <c r="AH222" s="9">
        <v>0</v>
      </c>
      <c r="AI222" s="9">
        <v>5</v>
      </c>
      <c r="AJ222" s="9">
        <v>3</v>
      </c>
      <c r="AK222" s="9">
        <v>1</v>
      </c>
      <c r="AL222" s="9">
        <v>1</v>
      </c>
      <c r="AM222" s="9">
        <v>2</v>
      </c>
      <c r="AN222" s="9">
        <v>4</v>
      </c>
      <c r="AO222" s="9">
        <v>2</v>
      </c>
      <c r="AP222" s="9">
        <v>0</v>
      </c>
      <c r="AQ222" s="9">
        <v>3</v>
      </c>
      <c r="AR222" s="9">
        <v>0</v>
      </c>
      <c r="AS222" s="9">
        <v>1</v>
      </c>
      <c r="AT222" s="9">
        <v>0</v>
      </c>
      <c r="AU222" s="9">
        <v>0</v>
      </c>
      <c r="AV222" s="9">
        <v>4</v>
      </c>
      <c r="AW222" s="9">
        <v>1</v>
      </c>
      <c r="AX222" s="9">
        <v>2</v>
      </c>
      <c r="AY222" s="9">
        <v>0</v>
      </c>
      <c r="AZ222" s="9">
        <v>2</v>
      </c>
      <c r="BA222" s="9">
        <v>1</v>
      </c>
      <c r="BB222" s="9">
        <v>3</v>
      </c>
      <c r="BC222" s="9">
        <v>4</v>
      </c>
      <c r="BD222" s="9">
        <v>1</v>
      </c>
      <c r="BE222" s="9">
        <v>2</v>
      </c>
      <c r="BF222" s="9">
        <v>4</v>
      </c>
      <c r="BG222" s="9">
        <v>4</v>
      </c>
      <c r="BH222" s="9">
        <v>5</v>
      </c>
      <c r="BI222" s="9">
        <v>4</v>
      </c>
      <c r="BJ222" s="9">
        <v>2</v>
      </c>
      <c r="BK222" s="9">
        <v>5</v>
      </c>
      <c r="BL222" s="9">
        <v>5</v>
      </c>
      <c r="BM222" s="9">
        <v>2</v>
      </c>
      <c r="BN222" s="9">
        <v>2</v>
      </c>
      <c r="BO222" s="9">
        <v>6</v>
      </c>
      <c r="BP222" s="9">
        <v>4</v>
      </c>
      <c r="BQ222" s="9">
        <v>3</v>
      </c>
      <c r="BR222" s="9">
        <v>7</v>
      </c>
      <c r="BS222" s="9">
        <v>7</v>
      </c>
      <c r="BT222" s="9">
        <v>5</v>
      </c>
      <c r="BU222" s="9">
        <v>3</v>
      </c>
      <c r="BV222" s="9">
        <v>11</v>
      </c>
      <c r="BW222" s="9">
        <v>4</v>
      </c>
      <c r="BX222" s="9">
        <v>10</v>
      </c>
      <c r="BY222" s="9">
        <v>4</v>
      </c>
      <c r="BZ222" s="9">
        <v>6</v>
      </c>
      <c r="CA222" s="9">
        <v>7</v>
      </c>
      <c r="CB222" s="9">
        <v>28</v>
      </c>
      <c r="CC222" s="9">
        <v>13</v>
      </c>
      <c r="CD222" s="9">
        <v>10</v>
      </c>
      <c r="CE222" s="9">
        <v>16</v>
      </c>
      <c r="CF222" s="9">
        <v>29</v>
      </c>
      <c r="CG222" s="9">
        <v>22</v>
      </c>
      <c r="CH222" s="9">
        <v>25</v>
      </c>
      <c r="CI222" s="9">
        <v>23</v>
      </c>
      <c r="CJ222" s="9">
        <v>13</v>
      </c>
      <c r="CK222" s="9">
        <v>8</v>
      </c>
      <c r="CL222" s="9">
        <v>20</v>
      </c>
      <c r="CM222" s="9">
        <v>20</v>
      </c>
      <c r="CN222" s="9">
        <v>37</v>
      </c>
      <c r="CO222" s="9">
        <v>5</v>
      </c>
      <c r="CP222" s="9">
        <v>11</v>
      </c>
      <c r="CQ222" s="9">
        <v>27</v>
      </c>
      <c r="CR222" s="9">
        <v>35</v>
      </c>
      <c r="CS222" s="10">
        <v>15</v>
      </c>
    </row>
    <row r="223" spans="1:97" x14ac:dyDescent="0.35">
      <c r="A223" s="8" t="s">
        <v>174</v>
      </c>
      <c r="B223" s="9" t="s">
        <v>235</v>
      </c>
      <c r="C223" s="9" t="s">
        <v>899</v>
      </c>
      <c r="D223" s="9">
        <f t="shared" si="3"/>
        <v>153</v>
      </c>
      <c r="E223" s="9">
        <v>0</v>
      </c>
      <c r="F223" s="9">
        <v>0</v>
      </c>
      <c r="G223" s="9">
        <v>0</v>
      </c>
      <c r="H223" s="9">
        <v>1</v>
      </c>
      <c r="I223" s="9">
        <v>0</v>
      </c>
      <c r="J223" s="9">
        <v>0</v>
      </c>
      <c r="K223" s="9">
        <v>0</v>
      </c>
      <c r="L223" s="9">
        <v>0</v>
      </c>
      <c r="M223" s="9">
        <v>0</v>
      </c>
      <c r="N223" s="9">
        <v>0</v>
      </c>
      <c r="O223" s="9">
        <v>0</v>
      </c>
      <c r="P223" s="9">
        <v>2</v>
      </c>
      <c r="Q223" s="9">
        <v>0</v>
      </c>
      <c r="R223" s="9">
        <v>0</v>
      </c>
      <c r="S223" s="9">
        <v>0</v>
      </c>
      <c r="T223" s="9">
        <v>0</v>
      </c>
      <c r="U223" s="9">
        <v>0</v>
      </c>
      <c r="V223" s="9">
        <v>0</v>
      </c>
      <c r="W223" s="9">
        <v>0</v>
      </c>
      <c r="X223" s="9">
        <v>1</v>
      </c>
      <c r="Y223" s="9">
        <v>0</v>
      </c>
      <c r="Z223" s="9">
        <v>0</v>
      </c>
      <c r="AA223" s="9">
        <v>0</v>
      </c>
      <c r="AB223" s="9">
        <v>0</v>
      </c>
      <c r="AC223" s="9">
        <v>1</v>
      </c>
      <c r="AD223" s="9">
        <v>0</v>
      </c>
      <c r="AE223" s="9">
        <v>0</v>
      </c>
      <c r="AF223" s="9">
        <v>0</v>
      </c>
      <c r="AG223" s="9">
        <v>0</v>
      </c>
      <c r="AH223" s="9">
        <v>0</v>
      </c>
      <c r="AI223" s="9">
        <v>1</v>
      </c>
      <c r="AJ223" s="9">
        <v>0</v>
      </c>
      <c r="AK223" s="9">
        <v>0</v>
      </c>
      <c r="AL223" s="9">
        <v>1</v>
      </c>
      <c r="AM223" s="9">
        <v>0</v>
      </c>
      <c r="AN223" s="9">
        <v>0</v>
      </c>
      <c r="AO223" s="9">
        <v>0</v>
      </c>
      <c r="AP223" s="9">
        <v>0</v>
      </c>
      <c r="AQ223" s="9">
        <v>0</v>
      </c>
      <c r="AR223" s="9">
        <v>0</v>
      </c>
      <c r="AS223" s="9">
        <v>0</v>
      </c>
      <c r="AT223" s="9">
        <v>0</v>
      </c>
      <c r="AU223" s="9">
        <v>1</v>
      </c>
      <c r="AV223" s="9">
        <v>1</v>
      </c>
      <c r="AW223" s="9">
        <v>1</v>
      </c>
      <c r="AX223" s="9">
        <v>0</v>
      </c>
      <c r="AY223" s="9">
        <v>3</v>
      </c>
      <c r="AZ223" s="9">
        <v>1</v>
      </c>
      <c r="BA223" s="9">
        <v>0</v>
      </c>
      <c r="BB223" s="9">
        <v>1</v>
      </c>
      <c r="BC223" s="9">
        <v>1</v>
      </c>
      <c r="BD223" s="9">
        <v>2</v>
      </c>
      <c r="BE223" s="9">
        <v>3</v>
      </c>
      <c r="BF223" s="9">
        <v>0</v>
      </c>
      <c r="BG223" s="9">
        <v>2</v>
      </c>
      <c r="BH223" s="9">
        <v>0</v>
      </c>
      <c r="BI223" s="9">
        <v>1</v>
      </c>
      <c r="BJ223" s="9">
        <v>3</v>
      </c>
      <c r="BK223" s="9">
        <v>1</v>
      </c>
      <c r="BL223" s="9">
        <v>1</v>
      </c>
      <c r="BM223" s="9">
        <v>3</v>
      </c>
      <c r="BN223" s="9">
        <v>3</v>
      </c>
      <c r="BO223" s="9">
        <v>3</v>
      </c>
      <c r="BP223" s="9">
        <v>1</v>
      </c>
      <c r="BQ223" s="9">
        <v>1</v>
      </c>
      <c r="BR223" s="9">
        <v>0</v>
      </c>
      <c r="BS223" s="9">
        <v>2</v>
      </c>
      <c r="BT223" s="9">
        <v>3</v>
      </c>
      <c r="BU223" s="9">
        <v>1</v>
      </c>
      <c r="BV223" s="9">
        <v>0</v>
      </c>
      <c r="BW223" s="9">
        <v>2</v>
      </c>
      <c r="BX223" s="9">
        <v>3</v>
      </c>
      <c r="BY223" s="9">
        <v>3</v>
      </c>
      <c r="BZ223" s="9">
        <v>7</v>
      </c>
      <c r="CA223" s="9">
        <v>1</v>
      </c>
      <c r="CB223" s="9">
        <v>9</v>
      </c>
      <c r="CC223" s="9">
        <v>5</v>
      </c>
      <c r="CD223" s="9">
        <v>1</v>
      </c>
      <c r="CE223" s="9">
        <v>2</v>
      </c>
      <c r="CF223" s="9">
        <v>4</v>
      </c>
      <c r="CG223" s="9">
        <v>2</v>
      </c>
      <c r="CH223" s="9">
        <v>4</v>
      </c>
      <c r="CI223" s="9">
        <v>5</v>
      </c>
      <c r="CJ223" s="9">
        <v>3</v>
      </c>
      <c r="CK223" s="9">
        <v>11</v>
      </c>
      <c r="CL223" s="9">
        <v>5</v>
      </c>
      <c r="CM223" s="9">
        <v>6</v>
      </c>
      <c r="CN223" s="9">
        <v>9</v>
      </c>
      <c r="CO223" s="9">
        <v>4</v>
      </c>
      <c r="CP223" s="9">
        <v>3</v>
      </c>
      <c r="CQ223" s="9">
        <v>7</v>
      </c>
      <c r="CR223" s="9">
        <v>7</v>
      </c>
      <c r="CS223" s="10">
        <v>4</v>
      </c>
    </row>
    <row r="224" spans="1:97" x14ac:dyDescent="0.35">
      <c r="A224" s="8" t="s">
        <v>174</v>
      </c>
      <c r="B224" s="9" t="s">
        <v>237</v>
      </c>
      <c r="C224" s="9" t="s">
        <v>900</v>
      </c>
      <c r="D224" s="9">
        <f t="shared" si="3"/>
        <v>443</v>
      </c>
      <c r="E224" s="9">
        <v>1</v>
      </c>
      <c r="F224" s="9">
        <v>1</v>
      </c>
      <c r="G224" s="9">
        <v>1</v>
      </c>
      <c r="H224" s="9">
        <v>0</v>
      </c>
      <c r="I224" s="9">
        <v>2</v>
      </c>
      <c r="J224" s="9">
        <v>1</v>
      </c>
      <c r="K224" s="9">
        <v>0</v>
      </c>
      <c r="L224" s="9">
        <v>0</v>
      </c>
      <c r="M224" s="9">
        <v>0</v>
      </c>
      <c r="N224" s="9">
        <v>0</v>
      </c>
      <c r="O224" s="9">
        <v>1</v>
      </c>
      <c r="P224" s="9">
        <v>1</v>
      </c>
      <c r="Q224" s="9">
        <v>2</v>
      </c>
      <c r="R224" s="9">
        <v>0</v>
      </c>
      <c r="S224" s="9">
        <v>0</v>
      </c>
      <c r="T224" s="9">
        <v>1</v>
      </c>
      <c r="U224" s="9">
        <v>2</v>
      </c>
      <c r="V224" s="9">
        <v>2</v>
      </c>
      <c r="W224" s="9">
        <v>0</v>
      </c>
      <c r="X224" s="9">
        <v>1</v>
      </c>
      <c r="Y224" s="9">
        <v>1</v>
      </c>
      <c r="Z224" s="9">
        <v>0</v>
      </c>
      <c r="AA224" s="9">
        <v>0</v>
      </c>
      <c r="AB224" s="9">
        <v>1</v>
      </c>
      <c r="AC224" s="9">
        <v>2</v>
      </c>
      <c r="AD224" s="9">
        <v>1</v>
      </c>
      <c r="AE224" s="9">
        <v>5</v>
      </c>
      <c r="AF224" s="9">
        <v>0</v>
      </c>
      <c r="AG224" s="9">
        <v>1</v>
      </c>
      <c r="AH224" s="9">
        <v>0</v>
      </c>
      <c r="AI224" s="9">
        <v>1</v>
      </c>
      <c r="AJ224" s="9">
        <v>1</v>
      </c>
      <c r="AK224" s="9">
        <v>1</v>
      </c>
      <c r="AL224" s="9">
        <v>1</v>
      </c>
      <c r="AM224" s="9">
        <v>0</v>
      </c>
      <c r="AN224" s="9">
        <v>1</v>
      </c>
      <c r="AO224" s="9">
        <v>1</v>
      </c>
      <c r="AP224" s="9">
        <v>5</v>
      </c>
      <c r="AQ224" s="9">
        <v>4</v>
      </c>
      <c r="AR224" s="9">
        <v>4</v>
      </c>
      <c r="AS224" s="9">
        <v>8</v>
      </c>
      <c r="AT224" s="9">
        <v>9</v>
      </c>
      <c r="AU224" s="9">
        <v>1</v>
      </c>
      <c r="AV224" s="9">
        <v>0</v>
      </c>
      <c r="AW224" s="9">
        <v>4</v>
      </c>
      <c r="AX224" s="9">
        <v>4</v>
      </c>
      <c r="AY224" s="9">
        <v>3</v>
      </c>
      <c r="AZ224" s="9">
        <v>3</v>
      </c>
      <c r="BA224" s="9">
        <v>2</v>
      </c>
      <c r="BB224" s="9">
        <v>3</v>
      </c>
      <c r="BC224" s="9">
        <v>7</v>
      </c>
      <c r="BD224" s="9">
        <v>1</v>
      </c>
      <c r="BE224" s="9">
        <v>10</v>
      </c>
      <c r="BF224" s="9">
        <v>5</v>
      </c>
      <c r="BG224" s="9">
        <v>4</v>
      </c>
      <c r="BH224" s="9">
        <v>5</v>
      </c>
      <c r="BI224" s="9">
        <v>3</v>
      </c>
      <c r="BJ224" s="9">
        <v>1</v>
      </c>
      <c r="BK224" s="9">
        <v>3</v>
      </c>
      <c r="BL224" s="9">
        <v>4</v>
      </c>
      <c r="BM224" s="9">
        <v>5</v>
      </c>
      <c r="BN224" s="9">
        <v>5</v>
      </c>
      <c r="BO224" s="9">
        <v>5</v>
      </c>
      <c r="BP224" s="9">
        <v>4</v>
      </c>
      <c r="BQ224" s="9">
        <v>5</v>
      </c>
      <c r="BR224" s="9">
        <v>2</v>
      </c>
      <c r="BS224" s="9">
        <v>7</v>
      </c>
      <c r="BT224" s="9">
        <v>5</v>
      </c>
      <c r="BU224" s="9">
        <v>2</v>
      </c>
      <c r="BV224" s="9">
        <v>3</v>
      </c>
      <c r="BW224" s="9">
        <v>5</v>
      </c>
      <c r="BX224" s="9">
        <v>12</v>
      </c>
      <c r="BY224" s="9">
        <v>5</v>
      </c>
      <c r="BZ224" s="9">
        <v>5</v>
      </c>
      <c r="CA224" s="9">
        <v>8</v>
      </c>
      <c r="CB224" s="9">
        <v>5</v>
      </c>
      <c r="CC224" s="9">
        <v>8</v>
      </c>
      <c r="CD224" s="9">
        <v>6</v>
      </c>
      <c r="CE224" s="9">
        <v>10</v>
      </c>
      <c r="CF224" s="9">
        <v>9</v>
      </c>
      <c r="CG224" s="9">
        <v>15</v>
      </c>
      <c r="CH224" s="9">
        <v>10</v>
      </c>
      <c r="CI224" s="9">
        <v>10</v>
      </c>
      <c r="CJ224" s="9">
        <v>13</v>
      </c>
      <c r="CK224" s="9">
        <v>11</v>
      </c>
      <c r="CL224" s="9">
        <v>14</v>
      </c>
      <c r="CM224" s="9">
        <v>14</v>
      </c>
      <c r="CN224" s="9">
        <v>19</v>
      </c>
      <c r="CO224" s="9">
        <v>18</v>
      </c>
      <c r="CP224" s="9">
        <v>23</v>
      </c>
      <c r="CQ224" s="9">
        <v>15</v>
      </c>
      <c r="CR224" s="9">
        <v>18</v>
      </c>
      <c r="CS224" s="10">
        <v>21</v>
      </c>
    </row>
    <row r="225" spans="1:97" x14ac:dyDescent="0.35">
      <c r="A225" s="8" t="s">
        <v>174</v>
      </c>
      <c r="B225" s="9" t="s">
        <v>239</v>
      </c>
      <c r="C225" s="9" t="s">
        <v>901</v>
      </c>
      <c r="D225" s="9">
        <f t="shared" si="3"/>
        <v>143</v>
      </c>
      <c r="E225" s="9">
        <v>0</v>
      </c>
      <c r="F225" s="9">
        <v>0</v>
      </c>
      <c r="G225" s="9">
        <v>0</v>
      </c>
      <c r="H225" s="9">
        <v>0</v>
      </c>
      <c r="I225" s="9">
        <v>1</v>
      </c>
      <c r="J225" s="9">
        <v>0</v>
      </c>
      <c r="K225" s="9">
        <v>0</v>
      </c>
      <c r="L225" s="9">
        <v>0</v>
      </c>
      <c r="M225" s="9">
        <v>1</v>
      </c>
      <c r="N225" s="9">
        <v>1</v>
      </c>
      <c r="O225" s="9">
        <v>0</v>
      </c>
      <c r="P225" s="9">
        <v>0</v>
      </c>
      <c r="Q225" s="9">
        <v>0</v>
      </c>
      <c r="R225" s="9">
        <v>0</v>
      </c>
      <c r="S225" s="9">
        <v>0</v>
      </c>
      <c r="T225" s="9">
        <v>0</v>
      </c>
      <c r="U225" s="9">
        <v>0</v>
      </c>
      <c r="V225" s="9">
        <v>0</v>
      </c>
      <c r="W225" s="9">
        <v>0</v>
      </c>
      <c r="X225" s="9">
        <v>0</v>
      </c>
      <c r="Y225" s="9">
        <v>0</v>
      </c>
      <c r="Z225" s="9">
        <v>0</v>
      </c>
      <c r="AA225" s="9">
        <v>0</v>
      </c>
      <c r="AB225" s="9">
        <v>0</v>
      </c>
      <c r="AC225" s="9">
        <v>1</v>
      </c>
      <c r="AD225" s="9">
        <v>1</v>
      </c>
      <c r="AE225" s="9">
        <v>1</v>
      </c>
      <c r="AF225" s="9">
        <v>0</v>
      </c>
      <c r="AG225" s="9">
        <v>0</v>
      </c>
      <c r="AH225" s="9">
        <v>0</v>
      </c>
      <c r="AI225" s="9">
        <v>0</v>
      </c>
      <c r="AJ225" s="9">
        <v>0</v>
      </c>
      <c r="AK225" s="9">
        <v>0</v>
      </c>
      <c r="AL225" s="9">
        <v>0</v>
      </c>
      <c r="AM225" s="9">
        <v>1</v>
      </c>
      <c r="AN225" s="9">
        <v>0</v>
      </c>
      <c r="AO225" s="9">
        <v>0</v>
      </c>
      <c r="AP225" s="9">
        <v>0</v>
      </c>
      <c r="AQ225" s="9">
        <v>0</v>
      </c>
      <c r="AR225" s="9">
        <v>1</v>
      </c>
      <c r="AS225" s="9">
        <v>0</v>
      </c>
      <c r="AT225" s="9">
        <v>0</v>
      </c>
      <c r="AU225" s="9">
        <v>0</v>
      </c>
      <c r="AV225" s="9">
        <v>0</v>
      </c>
      <c r="AW225" s="9">
        <v>1</v>
      </c>
      <c r="AX225" s="9">
        <v>1</v>
      </c>
      <c r="AY225" s="9">
        <v>1</v>
      </c>
      <c r="AZ225" s="9">
        <v>0</v>
      </c>
      <c r="BA225" s="9">
        <v>1</v>
      </c>
      <c r="BB225" s="9">
        <v>1</v>
      </c>
      <c r="BC225" s="9">
        <v>1</v>
      </c>
      <c r="BD225" s="9">
        <v>2</v>
      </c>
      <c r="BE225" s="9">
        <v>3</v>
      </c>
      <c r="BF225" s="9">
        <v>2</v>
      </c>
      <c r="BG225" s="9">
        <v>1</v>
      </c>
      <c r="BH225" s="9">
        <v>1</v>
      </c>
      <c r="BI225" s="9">
        <v>3</v>
      </c>
      <c r="BJ225" s="9">
        <v>0</v>
      </c>
      <c r="BK225" s="9">
        <v>2</v>
      </c>
      <c r="BL225" s="9">
        <v>3</v>
      </c>
      <c r="BM225" s="9">
        <v>2</v>
      </c>
      <c r="BN225" s="9">
        <v>1</v>
      </c>
      <c r="BO225" s="9">
        <v>0</v>
      </c>
      <c r="BP225" s="9">
        <v>2</v>
      </c>
      <c r="BQ225" s="9">
        <v>3</v>
      </c>
      <c r="BR225" s="9">
        <v>2</v>
      </c>
      <c r="BS225" s="9">
        <v>1</v>
      </c>
      <c r="BT225" s="9">
        <v>1</v>
      </c>
      <c r="BU225" s="9">
        <v>1</v>
      </c>
      <c r="BV225" s="9">
        <v>2</v>
      </c>
      <c r="BW225" s="9">
        <v>0</v>
      </c>
      <c r="BX225" s="9">
        <v>2</v>
      </c>
      <c r="BY225" s="9">
        <v>2</v>
      </c>
      <c r="BZ225" s="9">
        <v>1</v>
      </c>
      <c r="CA225" s="9">
        <v>5</v>
      </c>
      <c r="CB225" s="9">
        <v>5</v>
      </c>
      <c r="CC225" s="9">
        <v>3</v>
      </c>
      <c r="CD225" s="9">
        <v>6</v>
      </c>
      <c r="CE225" s="9">
        <v>1</v>
      </c>
      <c r="CF225" s="9">
        <v>4</v>
      </c>
      <c r="CG225" s="9">
        <v>4</v>
      </c>
      <c r="CH225" s="9">
        <v>6</v>
      </c>
      <c r="CI225" s="9">
        <v>1</v>
      </c>
      <c r="CJ225" s="9">
        <v>6</v>
      </c>
      <c r="CK225" s="9">
        <v>1</v>
      </c>
      <c r="CL225" s="9">
        <v>3</v>
      </c>
      <c r="CM225" s="9">
        <v>7</v>
      </c>
      <c r="CN225" s="9">
        <v>4</v>
      </c>
      <c r="CO225" s="9">
        <v>8</v>
      </c>
      <c r="CP225" s="9">
        <v>13</v>
      </c>
      <c r="CQ225" s="9">
        <v>4</v>
      </c>
      <c r="CR225" s="9">
        <v>4</v>
      </c>
      <c r="CS225" s="10">
        <v>7</v>
      </c>
    </row>
    <row r="226" spans="1:97" x14ac:dyDescent="0.35">
      <c r="A226" s="8" t="s">
        <v>174</v>
      </c>
      <c r="B226" s="9" t="s">
        <v>241</v>
      </c>
      <c r="C226" s="9" t="s">
        <v>902</v>
      </c>
      <c r="D226" s="9">
        <f t="shared" si="3"/>
        <v>848</v>
      </c>
      <c r="E226" s="9">
        <v>0</v>
      </c>
      <c r="F226" s="9">
        <v>0</v>
      </c>
      <c r="G226" s="9">
        <v>1</v>
      </c>
      <c r="H226" s="9">
        <v>0</v>
      </c>
      <c r="I226" s="9">
        <v>0</v>
      </c>
      <c r="J226" s="9">
        <v>0</v>
      </c>
      <c r="K226" s="9">
        <v>0</v>
      </c>
      <c r="L226" s="9">
        <v>0</v>
      </c>
      <c r="M226" s="9">
        <v>0</v>
      </c>
      <c r="N226" s="9">
        <v>0</v>
      </c>
      <c r="O226" s="9">
        <v>0</v>
      </c>
      <c r="P226" s="9">
        <v>0</v>
      </c>
      <c r="Q226" s="9">
        <v>0</v>
      </c>
      <c r="R226" s="9">
        <v>0</v>
      </c>
      <c r="S226" s="9">
        <v>0</v>
      </c>
      <c r="T226" s="9">
        <v>1</v>
      </c>
      <c r="U226" s="9">
        <v>0</v>
      </c>
      <c r="V226" s="9">
        <v>2</v>
      </c>
      <c r="W226" s="9">
        <v>0</v>
      </c>
      <c r="X226" s="9">
        <v>1</v>
      </c>
      <c r="Y226" s="9">
        <v>1</v>
      </c>
      <c r="Z226" s="9">
        <v>1</v>
      </c>
      <c r="AA226" s="9">
        <v>1</v>
      </c>
      <c r="AB226" s="9">
        <v>0</v>
      </c>
      <c r="AC226" s="9">
        <v>0</v>
      </c>
      <c r="AD226" s="9">
        <v>1</v>
      </c>
      <c r="AE226" s="9">
        <v>0</v>
      </c>
      <c r="AF226" s="9">
        <v>0</v>
      </c>
      <c r="AG226" s="9">
        <v>0</v>
      </c>
      <c r="AH226" s="9">
        <v>1</v>
      </c>
      <c r="AI226" s="9">
        <v>0</v>
      </c>
      <c r="AJ226" s="9">
        <v>0</v>
      </c>
      <c r="AK226" s="9">
        <v>0</v>
      </c>
      <c r="AL226" s="9">
        <v>0</v>
      </c>
      <c r="AM226" s="9">
        <v>0</v>
      </c>
      <c r="AN226" s="9">
        <v>1</v>
      </c>
      <c r="AO226" s="9">
        <v>0</v>
      </c>
      <c r="AP226" s="9">
        <v>0</v>
      </c>
      <c r="AQ226" s="9">
        <v>0</v>
      </c>
      <c r="AR226" s="9">
        <v>4</v>
      </c>
      <c r="AS226" s="9">
        <v>3</v>
      </c>
      <c r="AT226" s="9">
        <v>4</v>
      </c>
      <c r="AU226" s="9">
        <v>0</v>
      </c>
      <c r="AV226" s="9">
        <v>3</v>
      </c>
      <c r="AW226" s="9">
        <v>1</v>
      </c>
      <c r="AX226" s="9">
        <v>1</v>
      </c>
      <c r="AY226" s="9">
        <v>0</v>
      </c>
      <c r="AZ226" s="9">
        <v>0</v>
      </c>
      <c r="BA226" s="9">
        <v>0</v>
      </c>
      <c r="BB226" s="9">
        <v>0</v>
      </c>
      <c r="BC226" s="9">
        <v>0</v>
      </c>
      <c r="BD226" s="9">
        <v>2</v>
      </c>
      <c r="BE226" s="9">
        <v>1</v>
      </c>
      <c r="BF226" s="9">
        <v>1</v>
      </c>
      <c r="BG226" s="9">
        <v>3</v>
      </c>
      <c r="BH226" s="9">
        <v>3</v>
      </c>
      <c r="BI226" s="9">
        <v>2</v>
      </c>
      <c r="BJ226" s="9">
        <v>3</v>
      </c>
      <c r="BK226" s="9">
        <v>3</v>
      </c>
      <c r="BL226" s="9">
        <v>3</v>
      </c>
      <c r="BM226" s="9">
        <v>5</v>
      </c>
      <c r="BN226" s="9">
        <v>9</v>
      </c>
      <c r="BO226" s="9">
        <v>2</v>
      </c>
      <c r="BP226" s="9">
        <v>4</v>
      </c>
      <c r="BQ226" s="9">
        <v>4</v>
      </c>
      <c r="BR226" s="9">
        <v>12</v>
      </c>
      <c r="BS226" s="9">
        <v>9</v>
      </c>
      <c r="BT226" s="9">
        <v>10</v>
      </c>
      <c r="BU226" s="9">
        <v>12</v>
      </c>
      <c r="BV226" s="9">
        <v>12</v>
      </c>
      <c r="BW226" s="9">
        <v>21</v>
      </c>
      <c r="BX226" s="9">
        <v>17</v>
      </c>
      <c r="BY226" s="9">
        <v>30</v>
      </c>
      <c r="BZ226" s="9">
        <v>42</v>
      </c>
      <c r="CA226" s="9">
        <v>33</v>
      </c>
      <c r="CB226" s="9">
        <v>18</v>
      </c>
      <c r="CC226" s="9">
        <v>18</v>
      </c>
      <c r="CD226" s="9">
        <v>18</v>
      </c>
      <c r="CE226" s="9">
        <v>26</v>
      </c>
      <c r="CF226" s="9">
        <v>33</v>
      </c>
      <c r="CG226" s="9">
        <v>44</v>
      </c>
      <c r="CH226" s="9">
        <v>37</v>
      </c>
      <c r="CI226" s="9">
        <v>43</v>
      </c>
      <c r="CJ226" s="9">
        <v>27</v>
      </c>
      <c r="CK226" s="9">
        <v>36</v>
      </c>
      <c r="CL226" s="9">
        <v>33</v>
      </c>
      <c r="CM226" s="9">
        <v>57</v>
      </c>
      <c r="CN226" s="9">
        <v>42</v>
      </c>
      <c r="CO226" s="9">
        <v>30</v>
      </c>
      <c r="CP226" s="9">
        <v>32</v>
      </c>
      <c r="CQ226" s="9">
        <v>25</v>
      </c>
      <c r="CR226" s="9">
        <v>25</v>
      </c>
      <c r="CS226" s="10">
        <v>34</v>
      </c>
    </row>
    <row r="227" spans="1:97" x14ac:dyDescent="0.35">
      <c r="A227" s="8" t="s">
        <v>174</v>
      </c>
      <c r="B227" s="9" t="s">
        <v>243</v>
      </c>
      <c r="C227" s="9" t="s">
        <v>903</v>
      </c>
      <c r="D227" s="9">
        <f t="shared" si="3"/>
        <v>49</v>
      </c>
      <c r="E227" s="9">
        <v>0</v>
      </c>
      <c r="F227" s="9">
        <v>0</v>
      </c>
      <c r="G227" s="9">
        <v>0</v>
      </c>
      <c r="H227" s="9">
        <v>0</v>
      </c>
      <c r="I227" s="9">
        <v>0</v>
      </c>
      <c r="J227" s="9">
        <v>0</v>
      </c>
      <c r="K227" s="9">
        <v>0</v>
      </c>
      <c r="L227" s="9">
        <v>0</v>
      </c>
      <c r="M227" s="9">
        <v>0</v>
      </c>
      <c r="N227" s="9">
        <v>0</v>
      </c>
      <c r="O227" s="9">
        <v>0</v>
      </c>
      <c r="P227" s="9">
        <v>0</v>
      </c>
      <c r="Q227" s="9">
        <v>0</v>
      </c>
      <c r="R227" s="9">
        <v>1</v>
      </c>
      <c r="S227" s="9">
        <v>0</v>
      </c>
      <c r="T227" s="9">
        <v>0</v>
      </c>
      <c r="U227" s="9">
        <v>0</v>
      </c>
      <c r="V227" s="9">
        <v>0</v>
      </c>
      <c r="W227" s="9">
        <v>0</v>
      </c>
      <c r="X227" s="9">
        <v>0</v>
      </c>
      <c r="Y227" s="9">
        <v>0</v>
      </c>
      <c r="Z227" s="9">
        <v>0</v>
      </c>
      <c r="AA227" s="9">
        <v>0</v>
      </c>
      <c r="AB227" s="9">
        <v>0</v>
      </c>
      <c r="AC227" s="9">
        <v>0</v>
      </c>
      <c r="AD227" s="9">
        <v>0</v>
      </c>
      <c r="AE227" s="9">
        <v>0</v>
      </c>
      <c r="AF227" s="9">
        <v>0</v>
      </c>
      <c r="AG227" s="9">
        <v>0</v>
      </c>
      <c r="AH227" s="9">
        <v>0</v>
      </c>
      <c r="AI227" s="9">
        <v>0</v>
      </c>
      <c r="AJ227" s="9">
        <v>0</v>
      </c>
      <c r="AK227" s="9">
        <v>0</v>
      </c>
      <c r="AL227" s="9">
        <v>0</v>
      </c>
      <c r="AM227" s="9">
        <v>0</v>
      </c>
      <c r="AN227" s="9">
        <v>0</v>
      </c>
      <c r="AO227" s="9">
        <v>0</v>
      </c>
      <c r="AP227" s="9">
        <v>0</v>
      </c>
      <c r="AQ227" s="9">
        <v>0</v>
      </c>
      <c r="AR227" s="9">
        <v>0</v>
      </c>
      <c r="AS227" s="9">
        <v>0</v>
      </c>
      <c r="AT227" s="9">
        <v>0</v>
      </c>
      <c r="AU227" s="9">
        <v>0</v>
      </c>
      <c r="AV227" s="9">
        <v>0</v>
      </c>
      <c r="AW227" s="9">
        <v>0</v>
      </c>
      <c r="AX227" s="9">
        <v>0</v>
      </c>
      <c r="AY227" s="9">
        <v>0</v>
      </c>
      <c r="AZ227" s="9">
        <v>0</v>
      </c>
      <c r="BA227" s="9">
        <v>0</v>
      </c>
      <c r="BB227" s="9">
        <v>0</v>
      </c>
      <c r="BC227" s="9">
        <v>0</v>
      </c>
      <c r="BD227" s="9">
        <v>0</v>
      </c>
      <c r="BE227" s="9">
        <v>0</v>
      </c>
      <c r="BF227" s="9">
        <v>0</v>
      </c>
      <c r="BG227" s="9">
        <v>0</v>
      </c>
      <c r="BH227" s="9">
        <v>0</v>
      </c>
      <c r="BI227" s="9">
        <v>0</v>
      </c>
      <c r="BJ227" s="9">
        <v>0</v>
      </c>
      <c r="BK227" s="9">
        <v>0</v>
      </c>
      <c r="BL227" s="9">
        <v>0</v>
      </c>
      <c r="BM227" s="9">
        <v>0</v>
      </c>
      <c r="BN227" s="9">
        <v>0</v>
      </c>
      <c r="BO227" s="9">
        <v>5</v>
      </c>
      <c r="BP227" s="9">
        <v>1</v>
      </c>
      <c r="BQ227" s="9">
        <v>1</v>
      </c>
      <c r="BR227" s="9">
        <v>1</v>
      </c>
      <c r="BS227" s="9">
        <v>1</v>
      </c>
      <c r="BT227" s="9">
        <v>1</v>
      </c>
      <c r="BU227" s="9">
        <v>2</v>
      </c>
      <c r="BV227" s="9">
        <v>0</v>
      </c>
      <c r="BW227" s="9">
        <v>0</v>
      </c>
      <c r="BX227" s="9">
        <v>3</v>
      </c>
      <c r="BY227" s="9">
        <v>0</v>
      </c>
      <c r="BZ227" s="9">
        <v>0</v>
      </c>
      <c r="CA227" s="9">
        <v>0</v>
      </c>
      <c r="CB227" s="9">
        <v>0</v>
      </c>
      <c r="CC227" s="9">
        <v>2</v>
      </c>
      <c r="CD227" s="9">
        <v>2</v>
      </c>
      <c r="CE227" s="9">
        <v>2</v>
      </c>
      <c r="CF227" s="9">
        <v>2</v>
      </c>
      <c r="CG227" s="9">
        <v>2</v>
      </c>
      <c r="CH227" s="9">
        <v>2</v>
      </c>
      <c r="CI227" s="9">
        <v>2</v>
      </c>
      <c r="CJ227" s="9">
        <v>2</v>
      </c>
      <c r="CK227" s="9">
        <v>1</v>
      </c>
      <c r="CL227" s="9">
        <v>6</v>
      </c>
      <c r="CM227" s="9">
        <v>4</v>
      </c>
      <c r="CN227" s="9">
        <v>2</v>
      </c>
      <c r="CO227" s="9">
        <v>1</v>
      </c>
      <c r="CP227" s="9">
        <v>0</v>
      </c>
      <c r="CQ227" s="9">
        <v>3</v>
      </c>
      <c r="CR227" s="9">
        <v>0</v>
      </c>
      <c r="CS227" s="10">
        <v>0</v>
      </c>
    </row>
    <row r="228" spans="1:97" x14ac:dyDescent="0.35">
      <c r="A228" s="8" t="s">
        <v>174</v>
      </c>
      <c r="B228" s="9" t="s">
        <v>245</v>
      </c>
      <c r="C228" s="9" t="s">
        <v>904</v>
      </c>
      <c r="D228" s="9">
        <f t="shared" si="3"/>
        <v>16</v>
      </c>
      <c r="E228" s="9">
        <v>0</v>
      </c>
      <c r="F228" s="9">
        <v>0</v>
      </c>
      <c r="G228" s="9">
        <v>0</v>
      </c>
      <c r="H228" s="9">
        <v>0</v>
      </c>
      <c r="I228" s="9">
        <v>0</v>
      </c>
      <c r="J228" s="9">
        <v>0</v>
      </c>
      <c r="K228" s="9">
        <v>0</v>
      </c>
      <c r="L228" s="9">
        <v>0</v>
      </c>
      <c r="M228" s="9">
        <v>0</v>
      </c>
      <c r="N228" s="9">
        <v>0</v>
      </c>
      <c r="O228" s="9">
        <v>0</v>
      </c>
      <c r="P228" s="9">
        <v>0</v>
      </c>
      <c r="Q228" s="9">
        <v>0</v>
      </c>
      <c r="R228" s="9">
        <v>0</v>
      </c>
      <c r="S228" s="9">
        <v>1</v>
      </c>
      <c r="T228" s="9">
        <v>1</v>
      </c>
      <c r="U228" s="9">
        <v>1</v>
      </c>
      <c r="V228" s="9">
        <v>1</v>
      </c>
      <c r="W228" s="9">
        <v>0</v>
      </c>
      <c r="X228" s="9">
        <v>0</v>
      </c>
      <c r="Y228" s="9">
        <v>0</v>
      </c>
      <c r="Z228" s="9">
        <v>0</v>
      </c>
      <c r="AA228" s="9">
        <v>0</v>
      </c>
      <c r="AB228" s="9">
        <v>0</v>
      </c>
      <c r="AC228" s="9">
        <v>0</v>
      </c>
      <c r="AD228" s="9">
        <v>0</v>
      </c>
      <c r="AE228" s="9">
        <v>0</v>
      </c>
      <c r="AF228" s="9">
        <v>0</v>
      </c>
      <c r="AG228" s="9">
        <v>0</v>
      </c>
      <c r="AH228" s="9">
        <v>0</v>
      </c>
      <c r="AI228" s="9">
        <v>0</v>
      </c>
      <c r="AJ228" s="9">
        <v>0</v>
      </c>
      <c r="AK228" s="9">
        <v>0</v>
      </c>
      <c r="AL228" s="9">
        <v>0</v>
      </c>
      <c r="AM228" s="9">
        <v>0</v>
      </c>
      <c r="AN228" s="9">
        <v>0</v>
      </c>
      <c r="AO228" s="9">
        <v>0</v>
      </c>
      <c r="AP228" s="9">
        <v>0</v>
      </c>
      <c r="AQ228" s="9">
        <v>0</v>
      </c>
      <c r="AR228" s="9">
        <v>0</v>
      </c>
      <c r="AS228" s="9">
        <v>0</v>
      </c>
      <c r="AT228" s="9">
        <v>0</v>
      </c>
      <c r="AU228" s="9">
        <v>0</v>
      </c>
      <c r="AV228" s="9">
        <v>0</v>
      </c>
      <c r="AW228" s="9">
        <v>0</v>
      </c>
      <c r="AX228" s="9">
        <v>0</v>
      </c>
      <c r="AY228" s="9">
        <v>0</v>
      </c>
      <c r="AZ228" s="9">
        <v>0</v>
      </c>
      <c r="BA228" s="9">
        <v>0</v>
      </c>
      <c r="BB228" s="9">
        <v>0</v>
      </c>
      <c r="BC228" s="9">
        <v>0</v>
      </c>
      <c r="BD228" s="9">
        <v>1</v>
      </c>
      <c r="BE228" s="9">
        <v>0</v>
      </c>
      <c r="BF228" s="9">
        <v>0</v>
      </c>
      <c r="BG228" s="9">
        <v>0</v>
      </c>
      <c r="BH228" s="9">
        <v>0</v>
      </c>
      <c r="BI228" s="9">
        <v>0</v>
      </c>
      <c r="BJ228" s="9">
        <v>0</v>
      </c>
      <c r="BK228" s="9">
        <v>0</v>
      </c>
      <c r="BL228" s="9">
        <v>0</v>
      </c>
      <c r="BM228" s="9">
        <v>0</v>
      </c>
      <c r="BN228" s="9">
        <v>0</v>
      </c>
      <c r="BO228" s="9">
        <v>0</v>
      </c>
      <c r="BP228" s="9">
        <v>0</v>
      </c>
      <c r="BQ228" s="9">
        <v>0</v>
      </c>
      <c r="BR228" s="9">
        <v>0</v>
      </c>
      <c r="BS228" s="9">
        <v>0</v>
      </c>
      <c r="BT228" s="9">
        <v>0</v>
      </c>
      <c r="BU228" s="9">
        <v>0</v>
      </c>
      <c r="BV228" s="9">
        <v>0</v>
      </c>
      <c r="BW228" s="9">
        <v>0</v>
      </c>
      <c r="BX228" s="9">
        <v>0</v>
      </c>
      <c r="BY228" s="9">
        <v>0</v>
      </c>
      <c r="BZ228" s="9">
        <v>0</v>
      </c>
      <c r="CA228" s="9">
        <v>0</v>
      </c>
      <c r="CB228" s="9">
        <v>0</v>
      </c>
      <c r="CC228" s="9">
        <v>0</v>
      </c>
      <c r="CD228" s="9">
        <v>0</v>
      </c>
      <c r="CE228" s="9">
        <v>0</v>
      </c>
      <c r="CF228" s="9">
        <v>0</v>
      </c>
      <c r="CG228" s="9">
        <v>0</v>
      </c>
      <c r="CH228" s="9">
        <v>0</v>
      </c>
      <c r="CI228" s="9">
        <v>0</v>
      </c>
      <c r="CJ228" s="9">
        <v>0</v>
      </c>
      <c r="CK228" s="9">
        <v>0</v>
      </c>
      <c r="CL228" s="9">
        <v>0</v>
      </c>
      <c r="CM228" s="9">
        <v>0</v>
      </c>
      <c r="CN228" s="9">
        <v>1</v>
      </c>
      <c r="CO228" s="9">
        <v>0</v>
      </c>
      <c r="CP228" s="9">
        <v>0</v>
      </c>
      <c r="CQ228" s="9">
        <v>4</v>
      </c>
      <c r="CR228" s="9">
        <v>3</v>
      </c>
      <c r="CS228" s="10">
        <v>3</v>
      </c>
    </row>
    <row r="229" spans="1:97" x14ac:dyDescent="0.35">
      <c r="A229" s="8" t="s">
        <v>174</v>
      </c>
      <c r="B229" s="9" t="s">
        <v>247</v>
      </c>
      <c r="C229" s="9" t="s">
        <v>905</v>
      </c>
      <c r="D229" s="9">
        <f t="shared" si="3"/>
        <v>23</v>
      </c>
      <c r="E229" s="9">
        <v>0</v>
      </c>
      <c r="F229" s="9">
        <v>0</v>
      </c>
      <c r="G229" s="9">
        <v>0</v>
      </c>
      <c r="H229" s="9">
        <v>0</v>
      </c>
      <c r="I229" s="9">
        <v>0</v>
      </c>
      <c r="J229" s="9">
        <v>0</v>
      </c>
      <c r="K229" s="9">
        <v>0</v>
      </c>
      <c r="L229" s="9">
        <v>0</v>
      </c>
      <c r="M229" s="9">
        <v>0</v>
      </c>
      <c r="N229" s="9">
        <v>0</v>
      </c>
      <c r="O229" s="9">
        <v>0</v>
      </c>
      <c r="P229" s="9">
        <v>0</v>
      </c>
      <c r="Q229" s="9">
        <v>0</v>
      </c>
      <c r="R229" s="9">
        <v>0</v>
      </c>
      <c r="S229" s="9">
        <v>0</v>
      </c>
      <c r="T229" s="9">
        <v>0</v>
      </c>
      <c r="U229" s="9">
        <v>0</v>
      </c>
      <c r="V229" s="9">
        <v>0</v>
      </c>
      <c r="W229" s="9">
        <v>0</v>
      </c>
      <c r="X229" s="9">
        <v>0</v>
      </c>
      <c r="Y229" s="9">
        <v>0</v>
      </c>
      <c r="Z229" s="9">
        <v>0</v>
      </c>
      <c r="AA229" s="9">
        <v>0</v>
      </c>
      <c r="AB229" s="9">
        <v>0</v>
      </c>
      <c r="AC229" s="9">
        <v>0</v>
      </c>
      <c r="AD229" s="9">
        <v>0</v>
      </c>
      <c r="AE229" s="9">
        <v>0</v>
      </c>
      <c r="AF229" s="9">
        <v>0</v>
      </c>
      <c r="AG229" s="9">
        <v>0</v>
      </c>
      <c r="AH229" s="9">
        <v>0</v>
      </c>
      <c r="AI229" s="9">
        <v>0</v>
      </c>
      <c r="AJ229" s="9">
        <v>0</v>
      </c>
      <c r="AK229" s="9">
        <v>0</v>
      </c>
      <c r="AL229" s="9">
        <v>0</v>
      </c>
      <c r="AM229" s="9">
        <v>0</v>
      </c>
      <c r="AN229" s="9">
        <v>0</v>
      </c>
      <c r="AO229" s="9">
        <v>0</v>
      </c>
      <c r="AP229" s="9">
        <v>0</v>
      </c>
      <c r="AQ229" s="9">
        <v>0</v>
      </c>
      <c r="AR229" s="9">
        <v>0</v>
      </c>
      <c r="AS229" s="9">
        <v>0</v>
      </c>
      <c r="AT229" s="9">
        <v>0</v>
      </c>
      <c r="AU229" s="9">
        <v>0</v>
      </c>
      <c r="AV229" s="9">
        <v>0</v>
      </c>
      <c r="AW229" s="9">
        <v>0</v>
      </c>
      <c r="AX229" s="9">
        <v>0</v>
      </c>
      <c r="AY229" s="9">
        <v>0</v>
      </c>
      <c r="AZ229" s="9">
        <v>0</v>
      </c>
      <c r="BA229" s="9">
        <v>0</v>
      </c>
      <c r="BB229" s="9">
        <v>0</v>
      </c>
      <c r="BC229" s="9">
        <v>0</v>
      </c>
      <c r="BD229" s="9">
        <v>0</v>
      </c>
      <c r="BE229" s="9">
        <v>1</v>
      </c>
      <c r="BF229" s="9">
        <v>0</v>
      </c>
      <c r="BG229" s="9">
        <v>0</v>
      </c>
      <c r="BH229" s="9">
        <v>1</v>
      </c>
      <c r="BI229" s="9">
        <v>0</v>
      </c>
      <c r="BJ229" s="9">
        <v>0</v>
      </c>
      <c r="BK229" s="9">
        <v>0</v>
      </c>
      <c r="BL229" s="9">
        <v>0</v>
      </c>
      <c r="BM229" s="9">
        <v>0</v>
      </c>
      <c r="BN229" s="9">
        <v>0</v>
      </c>
      <c r="BO229" s="9">
        <v>0</v>
      </c>
      <c r="BP229" s="9">
        <v>0</v>
      </c>
      <c r="BQ229" s="9">
        <v>0</v>
      </c>
      <c r="BR229" s="9">
        <v>0</v>
      </c>
      <c r="BS229" s="9">
        <v>0</v>
      </c>
      <c r="BT229" s="9">
        <v>1</v>
      </c>
      <c r="BU229" s="9">
        <v>0</v>
      </c>
      <c r="BV229" s="9">
        <v>0</v>
      </c>
      <c r="BW229" s="9">
        <v>2</v>
      </c>
      <c r="BX229" s="9">
        <v>0</v>
      </c>
      <c r="BY229" s="9">
        <v>0</v>
      </c>
      <c r="BZ229" s="9">
        <v>0</v>
      </c>
      <c r="CA229" s="9">
        <v>0</v>
      </c>
      <c r="CB229" s="9">
        <v>0</v>
      </c>
      <c r="CC229" s="9">
        <v>0</v>
      </c>
      <c r="CD229" s="9">
        <v>4</v>
      </c>
      <c r="CE229" s="9">
        <v>0</v>
      </c>
      <c r="CF229" s="9">
        <v>1</v>
      </c>
      <c r="CG229" s="9">
        <v>0</v>
      </c>
      <c r="CH229" s="9">
        <v>1</v>
      </c>
      <c r="CI229" s="9">
        <v>5</v>
      </c>
      <c r="CJ229" s="9">
        <v>1</v>
      </c>
      <c r="CK229" s="9">
        <v>0</v>
      </c>
      <c r="CL229" s="9">
        <v>1</v>
      </c>
      <c r="CM229" s="9">
        <v>1</v>
      </c>
      <c r="CN229" s="9">
        <v>1</v>
      </c>
      <c r="CO229" s="9">
        <v>0</v>
      </c>
      <c r="CP229" s="9">
        <v>1</v>
      </c>
      <c r="CQ229" s="9">
        <v>1</v>
      </c>
      <c r="CR229" s="9">
        <v>0</v>
      </c>
      <c r="CS229" s="10">
        <v>1</v>
      </c>
    </row>
    <row r="230" spans="1:97" x14ac:dyDescent="0.35">
      <c r="A230" s="8" t="s">
        <v>174</v>
      </c>
      <c r="B230" s="9" t="s">
        <v>249</v>
      </c>
      <c r="C230" s="9" t="s">
        <v>906</v>
      </c>
      <c r="D230" s="9">
        <f t="shared" si="3"/>
        <v>143</v>
      </c>
      <c r="E230" s="9">
        <v>1</v>
      </c>
      <c r="F230" s="9">
        <v>0</v>
      </c>
      <c r="G230" s="9">
        <v>0</v>
      </c>
      <c r="H230" s="9">
        <v>0</v>
      </c>
      <c r="I230" s="9">
        <v>0</v>
      </c>
      <c r="J230" s="9">
        <v>0</v>
      </c>
      <c r="K230" s="9">
        <v>0</v>
      </c>
      <c r="L230" s="9">
        <v>0</v>
      </c>
      <c r="M230" s="9">
        <v>0</v>
      </c>
      <c r="N230" s="9">
        <v>0</v>
      </c>
      <c r="O230" s="9">
        <v>0</v>
      </c>
      <c r="P230" s="9">
        <v>0</v>
      </c>
      <c r="Q230" s="9">
        <v>0</v>
      </c>
      <c r="R230" s="9">
        <v>0</v>
      </c>
      <c r="S230" s="9">
        <v>0</v>
      </c>
      <c r="T230" s="9">
        <v>0</v>
      </c>
      <c r="U230" s="9">
        <v>0</v>
      </c>
      <c r="V230" s="9">
        <v>1</v>
      </c>
      <c r="W230" s="9">
        <v>1</v>
      </c>
      <c r="X230" s="9">
        <v>1</v>
      </c>
      <c r="Y230" s="9">
        <v>1</v>
      </c>
      <c r="Z230" s="9">
        <v>0</v>
      </c>
      <c r="AA230" s="9">
        <v>0</v>
      </c>
      <c r="AB230" s="9">
        <v>0</v>
      </c>
      <c r="AC230" s="9">
        <v>0</v>
      </c>
      <c r="AD230" s="9">
        <v>0</v>
      </c>
      <c r="AE230" s="9">
        <v>1</v>
      </c>
      <c r="AF230" s="9">
        <v>0</v>
      </c>
      <c r="AG230" s="9">
        <v>0</v>
      </c>
      <c r="AH230" s="9">
        <v>0</v>
      </c>
      <c r="AI230" s="9">
        <v>0</v>
      </c>
      <c r="AJ230" s="9">
        <v>0</v>
      </c>
      <c r="AK230" s="9">
        <v>0</v>
      </c>
      <c r="AL230" s="9">
        <v>0</v>
      </c>
      <c r="AM230" s="9">
        <v>0</v>
      </c>
      <c r="AN230" s="9">
        <v>1</v>
      </c>
      <c r="AO230" s="9">
        <v>0</v>
      </c>
      <c r="AP230" s="9">
        <v>0</v>
      </c>
      <c r="AQ230" s="9">
        <v>0</v>
      </c>
      <c r="AR230" s="9">
        <v>0</v>
      </c>
      <c r="AS230" s="9">
        <v>0</v>
      </c>
      <c r="AT230" s="9">
        <v>0</v>
      </c>
      <c r="AU230" s="9">
        <v>0</v>
      </c>
      <c r="AV230" s="9">
        <v>1</v>
      </c>
      <c r="AW230" s="9">
        <v>1</v>
      </c>
      <c r="AX230" s="9">
        <v>0</v>
      </c>
      <c r="AY230" s="9">
        <v>0</v>
      </c>
      <c r="AZ230" s="9">
        <v>0</v>
      </c>
      <c r="BA230" s="9">
        <v>0</v>
      </c>
      <c r="BB230" s="9">
        <v>0</v>
      </c>
      <c r="BC230" s="9">
        <v>0</v>
      </c>
      <c r="BD230" s="9">
        <v>1</v>
      </c>
      <c r="BE230" s="9">
        <v>2</v>
      </c>
      <c r="BF230" s="9">
        <v>1</v>
      </c>
      <c r="BG230" s="9">
        <v>0</v>
      </c>
      <c r="BH230" s="9">
        <v>3</v>
      </c>
      <c r="BI230" s="9">
        <v>4</v>
      </c>
      <c r="BJ230" s="9">
        <v>4</v>
      </c>
      <c r="BK230" s="9">
        <v>2</v>
      </c>
      <c r="BL230" s="9">
        <v>1</v>
      </c>
      <c r="BM230" s="9">
        <v>0</v>
      </c>
      <c r="BN230" s="9">
        <v>0</v>
      </c>
      <c r="BO230" s="9">
        <v>1</v>
      </c>
      <c r="BP230" s="9">
        <v>0</v>
      </c>
      <c r="BQ230" s="9">
        <v>0</v>
      </c>
      <c r="BR230" s="9">
        <v>1</v>
      </c>
      <c r="BS230" s="9">
        <v>3</v>
      </c>
      <c r="BT230" s="9">
        <v>3</v>
      </c>
      <c r="BU230" s="9">
        <v>1</v>
      </c>
      <c r="BV230" s="9">
        <v>1</v>
      </c>
      <c r="BW230" s="9">
        <v>0</v>
      </c>
      <c r="BX230" s="9">
        <v>0</v>
      </c>
      <c r="BY230" s="9">
        <v>8</v>
      </c>
      <c r="BZ230" s="9">
        <v>8</v>
      </c>
      <c r="CA230" s="9">
        <v>1</v>
      </c>
      <c r="CB230" s="9">
        <v>4</v>
      </c>
      <c r="CC230" s="9">
        <v>1</v>
      </c>
      <c r="CD230" s="9">
        <v>1</v>
      </c>
      <c r="CE230" s="9">
        <v>3</v>
      </c>
      <c r="CF230" s="9">
        <v>6</v>
      </c>
      <c r="CG230" s="9">
        <v>5</v>
      </c>
      <c r="CH230" s="9">
        <v>6</v>
      </c>
      <c r="CI230" s="9">
        <v>3</v>
      </c>
      <c r="CJ230" s="9">
        <v>2</v>
      </c>
      <c r="CK230" s="9">
        <v>2</v>
      </c>
      <c r="CL230" s="9">
        <v>6</v>
      </c>
      <c r="CM230" s="9">
        <v>6</v>
      </c>
      <c r="CN230" s="9">
        <v>10</v>
      </c>
      <c r="CO230" s="9">
        <v>6</v>
      </c>
      <c r="CP230" s="9">
        <v>11</v>
      </c>
      <c r="CQ230" s="9">
        <v>3</v>
      </c>
      <c r="CR230" s="9">
        <v>9</v>
      </c>
      <c r="CS230" s="10">
        <v>5</v>
      </c>
    </row>
    <row r="231" spans="1:97" x14ac:dyDescent="0.35">
      <c r="A231" s="8" t="s">
        <v>174</v>
      </c>
      <c r="B231" s="9" t="s">
        <v>251</v>
      </c>
      <c r="C231" s="9" t="s">
        <v>907</v>
      </c>
      <c r="D231" s="9">
        <f t="shared" si="3"/>
        <v>10</v>
      </c>
      <c r="E231" s="9">
        <v>0</v>
      </c>
      <c r="F231" s="9">
        <v>0</v>
      </c>
      <c r="G231" s="9">
        <v>0</v>
      </c>
      <c r="H231" s="9">
        <v>0</v>
      </c>
      <c r="I231" s="9">
        <v>0</v>
      </c>
      <c r="J231" s="9">
        <v>0</v>
      </c>
      <c r="K231" s="9">
        <v>0</v>
      </c>
      <c r="L231" s="9">
        <v>0</v>
      </c>
      <c r="M231" s="9">
        <v>0</v>
      </c>
      <c r="N231" s="9">
        <v>0</v>
      </c>
      <c r="O231" s="9">
        <v>0</v>
      </c>
      <c r="P231" s="9">
        <v>0</v>
      </c>
      <c r="Q231" s="9">
        <v>0</v>
      </c>
      <c r="R231" s="9">
        <v>0</v>
      </c>
      <c r="S231" s="9">
        <v>0</v>
      </c>
      <c r="T231" s="9">
        <v>0</v>
      </c>
      <c r="U231" s="9">
        <v>0</v>
      </c>
      <c r="V231" s="9">
        <v>0</v>
      </c>
      <c r="W231" s="9">
        <v>0</v>
      </c>
      <c r="X231" s="9">
        <v>1</v>
      </c>
      <c r="Y231" s="9">
        <v>0</v>
      </c>
      <c r="Z231" s="9">
        <v>0</v>
      </c>
      <c r="AA231" s="9">
        <v>0</v>
      </c>
      <c r="AB231" s="9">
        <v>0</v>
      </c>
      <c r="AC231" s="9">
        <v>0</v>
      </c>
      <c r="AD231" s="9">
        <v>0</v>
      </c>
      <c r="AE231" s="9">
        <v>0</v>
      </c>
      <c r="AF231" s="9">
        <v>0</v>
      </c>
      <c r="AG231" s="9">
        <v>0</v>
      </c>
      <c r="AH231" s="9">
        <v>0</v>
      </c>
      <c r="AI231" s="9">
        <v>0</v>
      </c>
      <c r="AJ231" s="9">
        <v>0</v>
      </c>
      <c r="AK231" s="9">
        <v>0</v>
      </c>
      <c r="AL231" s="9">
        <v>0</v>
      </c>
      <c r="AM231" s="9">
        <v>0</v>
      </c>
      <c r="AN231" s="9">
        <v>0</v>
      </c>
      <c r="AO231" s="9">
        <v>0</v>
      </c>
      <c r="AP231" s="9">
        <v>0</v>
      </c>
      <c r="AQ231" s="9">
        <v>0</v>
      </c>
      <c r="AR231" s="9">
        <v>0</v>
      </c>
      <c r="AS231" s="9">
        <v>0</v>
      </c>
      <c r="AT231" s="9">
        <v>0</v>
      </c>
      <c r="AU231" s="9">
        <v>0</v>
      </c>
      <c r="AV231" s="9">
        <v>0</v>
      </c>
      <c r="AW231" s="9">
        <v>0</v>
      </c>
      <c r="AX231" s="9">
        <v>0</v>
      </c>
      <c r="AY231" s="9">
        <v>0</v>
      </c>
      <c r="AZ231" s="9">
        <v>0</v>
      </c>
      <c r="BA231" s="9">
        <v>0</v>
      </c>
      <c r="BB231" s="9">
        <v>0</v>
      </c>
      <c r="BC231" s="9">
        <v>1</v>
      </c>
      <c r="BD231" s="9">
        <v>0</v>
      </c>
      <c r="BE231" s="9">
        <v>0</v>
      </c>
      <c r="BF231" s="9">
        <v>0</v>
      </c>
      <c r="BG231" s="9">
        <v>0</v>
      </c>
      <c r="BH231" s="9">
        <v>0</v>
      </c>
      <c r="BI231" s="9">
        <v>0</v>
      </c>
      <c r="BJ231" s="9">
        <v>0</v>
      </c>
      <c r="BK231" s="9">
        <v>0</v>
      </c>
      <c r="BL231" s="9">
        <v>0</v>
      </c>
      <c r="BM231" s="9">
        <v>1</v>
      </c>
      <c r="BN231" s="9">
        <v>0</v>
      </c>
      <c r="BO231" s="9">
        <v>0</v>
      </c>
      <c r="BP231" s="9">
        <v>0</v>
      </c>
      <c r="BQ231" s="9">
        <v>0</v>
      </c>
      <c r="BR231" s="9">
        <v>0</v>
      </c>
      <c r="BS231" s="9">
        <v>0</v>
      </c>
      <c r="BT231" s="9">
        <v>0</v>
      </c>
      <c r="BU231" s="9">
        <v>0</v>
      </c>
      <c r="BV231" s="9">
        <v>0</v>
      </c>
      <c r="BW231" s="9">
        <v>0</v>
      </c>
      <c r="BX231" s="9">
        <v>0</v>
      </c>
      <c r="BY231" s="9">
        <v>0</v>
      </c>
      <c r="BZ231" s="9">
        <v>0</v>
      </c>
      <c r="CA231" s="9">
        <v>0</v>
      </c>
      <c r="CB231" s="9">
        <v>0</v>
      </c>
      <c r="CC231" s="9">
        <v>0</v>
      </c>
      <c r="CD231" s="9">
        <v>0</v>
      </c>
      <c r="CE231" s="9">
        <v>0</v>
      </c>
      <c r="CF231" s="9">
        <v>0</v>
      </c>
      <c r="CG231" s="9">
        <v>1</v>
      </c>
      <c r="CH231" s="9">
        <v>1</v>
      </c>
      <c r="CI231" s="9">
        <v>1</v>
      </c>
      <c r="CJ231" s="9">
        <v>0</v>
      </c>
      <c r="CK231" s="9">
        <v>2</v>
      </c>
      <c r="CL231" s="9">
        <v>0</v>
      </c>
      <c r="CM231" s="9">
        <v>0</v>
      </c>
      <c r="CN231" s="9">
        <v>1</v>
      </c>
      <c r="CO231" s="9">
        <v>0</v>
      </c>
      <c r="CP231" s="9">
        <v>0</v>
      </c>
      <c r="CQ231" s="9">
        <v>1</v>
      </c>
      <c r="CR231" s="9">
        <v>0</v>
      </c>
      <c r="CS231" s="10">
        <v>0</v>
      </c>
    </row>
    <row r="232" spans="1:97" x14ac:dyDescent="0.35">
      <c r="A232" s="8" t="s">
        <v>174</v>
      </c>
      <c r="B232" s="9" t="s">
        <v>253</v>
      </c>
      <c r="C232" s="9" t="s">
        <v>908</v>
      </c>
      <c r="D232" s="9">
        <f t="shared" si="3"/>
        <v>15</v>
      </c>
      <c r="E232" s="9">
        <v>0</v>
      </c>
      <c r="F232" s="9">
        <v>0</v>
      </c>
      <c r="G232" s="9">
        <v>0</v>
      </c>
      <c r="H232" s="9">
        <v>0</v>
      </c>
      <c r="I232" s="9">
        <v>0</v>
      </c>
      <c r="J232" s="9">
        <v>0</v>
      </c>
      <c r="K232" s="9">
        <v>0</v>
      </c>
      <c r="L232" s="9">
        <v>0</v>
      </c>
      <c r="M232" s="9">
        <v>0</v>
      </c>
      <c r="N232" s="9">
        <v>0</v>
      </c>
      <c r="O232" s="9">
        <v>0</v>
      </c>
      <c r="P232" s="9">
        <v>0</v>
      </c>
      <c r="Q232" s="9">
        <v>0</v>
      </c>
      <c r="R232" s="9">
        <v>0</v>
      </c>
      <c r="S232" s="9">
        <v>0</v>
      </c>
      <c r="T232" s="9">
        <v>0</v>
      </c>
      <c r="U232" s="9">
        <v>0</v>
      </c>
      <c r="V232" s="9">
        <v>0</v>
      </c>
      <c r="W232" s="9">
        <v>0</v>
      </c>
      <c r="X232" s="9">
        <v>0</v>
      </c>
      <c r="Y232" s="9">
        <v>0</v>
      </c>
      <c r="Z232" s="9">
        <v>0</v>
      </c>
      <c r="AA232" s="9">
        <v>0</v>
      </c>
      <c r="AB232" s="9">
        <v>0</v>
      </c>
      <c r="AC232" s="9">
        <v>0</v>
      </c>
      <c r="AD232" s="9">
        <v>0</v>
      </c>
      <c r="AE232" s="9">
        <v>0</v>
      </c>
      <c r="AF232" s="9">
        <v>0</v>
      </c>
      <c r="AG232" s="9">
        <v>0</v>
      </c>
      <c r="AH232" s="9">
        <v>0</v>
      </c>
      <c r="AI232" s="9">
        <v>0</v>
      </c>
      <c r="AJ232" s="9">
        <v>0</v>
      </c>
      <c r="AK232" s="9">
        <v>0</v>
      </c>
      <c r="AL232" s="9">
        <v>0</v>
      </c>
      <c r="AM232" s="9">
        <v>0</v>
      </c>
      <c r="AN232" s="9">
        <v>0</v>
      </c>
      <c r="AO232" s="9">
        <v>0</v>
      </c>
      <c r="AP232" s="9">
        <v>0</v>
      </c>
      <c r="AQ232" s="9">
        <v>0</v>
      </c>
      <c r="AR232" s="9">
        <v>0</v>
      </c>
      <c r="AS232" s="9">
        <v>0</v>
      </c>
      <c r="AT232" s="9">
        <v>0</v>
      </c>
      <c r="AU232" s="9">
        <v>0</v>
      </c>
      <c r="AV232" s="9">
        <v>0</v>
      </c>
      <c r="AW232" s="9">
        <v>0</v>
      </c>
      <c r="AX232" s="9">
        <v>0</v>
      </c>
      <c r="AY232" s="9">
        <v>0</v>
      </c>
      <c r="AZ232" s="9">
        <v>0</v>
      </c>
      <c r="BA232" s="9">
        <v>0</v>
      </c>
      <c r="BB232" s="9">
        <v>0</v>
      </c>
      <c r="BC232" s="9">
        <v>0</v>
      </c>
      <c r="BD232" s="9">
        <v>0</v>
      </c>
      <c r="BE232" s="9">
        <v>0</v>
      </c>
      <c r="BF232" s="9">
        <v>0</v>
      </c>
      <c r="BG232" s="9">
        <v>0</v>
      </c>
      <c r="BH232" s="9">
        <v>0</v>
      </c>
      <c r="BI232" s="9">
        <v>0</v>
      </c>
      <c r="BJ232" s="9">
        <v>0</v>
      </c>
      <c r="BK232" s="9">
        <v>0</v>
      </c>
      <c r="BL232" s="9">
        <v>0</v>
      </c>
      <c r="BM232" s="9">
        <v>0</v>
      </c>
      <c r="BN232" s="9">
        <v>0</v>
      </c>
      <c r="BO232" s="9">
        <v>0</v>
      </c>
      <c r="BP232" s="9">
        <v>0</v>
      </c>
      <c r="BQ232" s="9">
        <v>0</v>
      </c>
      <c r="BR232" s="9">
        <v>0</v>
      </c>
      <c r="BS232" s="9">
        <v>0</v>
      </c>
      <c r="BT232" s="9">
        <v>0</v>
      </c>
      <c r="BU232" s="9">
        <v>0</v>
      </c>
      <c r="BV232" s="9">
        <v>0</v>
      </c>
      <c r="BW232" s="9">
        <v>1</v>
      </c>
      <c r="BX232" s="9">
        <v>0</v>
      </c>
      <c r="BY232" s="9">
        <v>0</v>
      </c>
      <c r="BZ232" s="9">
        <v>0</v>
      </c>
      <c r="CA232" s="9">
        <v>0</v>
      </c>
      <c r="CB232" s="9">
        <v>0</v>
      </c>
      <c r="CC232" s="9">
        <v>0</v>
      </c>
      <c r="CD232" s="9">
        <v>0</v>
      </c>
      <c r="CE232" s="9">
        <v>0</v>
      </c>
      <c r="CF232" s="9">
        <v>0</v>
      </c>
      <c r="CG232" s="9">
        <v>0</v>
      </c>
      <c r="CH232" s="9">
        <v>3</v>
      </c>
      <c r="CI232" s="9">
        <v>1</v>
      </c>
      <c r="CJ232" s="9">
        <v>1</v>
      </c>
      <c r="CK232" s="9">
        <v>1</v>
      </c>
      <c r="CL232" s="9">
        <v>1</v>
      </c>
      <c r="CM232" s="9">
        <v>1</v>
      </c>
      <c r="CN232" s="9">
        <v>1</v>
      </c>
      <c r="CO232" s="9">
        <v>2</v>
      </c>
      <c r="CP232" s="9">
        <v>0</v>
      </c>
      <c r="CQ232" s="9">
        <v>3</v>
      </c>
      <c r="CR232" s="9">
        <v>0</v>
      </c>
      <c r="CS232" s="10">
        <v>0</v>
      </c>
    </row>
    <row r="233" spans="1:97" x14ac:dyDescent="0.35">
      <c r="A233" s="8" t="s">
        <v>174</v>
      </c>
      <c r="B233" s="9" t="s">
        <v>255</v>
      </c>
      <c r="C233" s="9" t="s">
        <v>909</v>
      </c>
      <c r="D233" s="9">
        <f t="shared" si="3"/>
        <v>5</v>
      </c>
      <c r="E233" s="9">
        <v>0</v>
      </c>
      <c r="F233" s="9">
        <v>0</v>
      </c>
      <c r="G233" s="9">
        <v>0</v>
      </c>
      <c r="H233" s="9">
        <v>0</v>
      </c>
      <c r="I233" s="9">
        <v>0</v>
      </c>
      <c r="J233" s="9">
        <v>0</v>
      </c>
      <c r="K233" s="9">
        <v>0</v>
      </c>
      <c r="L233" s="9">
        <v>0</v>
      </c>
      <c r="M233" s="9">
        <v>0</v>
      </c>
      <c r="N233" s="9">
        <v>0</v>
      </c>
      <c r="O233" s="9">
        <v>0</v>
      </c>
      <c r="P233" s="9">
        <v>0</v>
      </c>
      <c r="Q233" s="9">
        <v>0</v>
      </c>
      <c r="R233" s="9">
        <v>0</v>
      </c>
      <c r="S233" s="9">
        <v>0</v>
      </c>
      <c r="T233" s="9">
        <v>0</v>
      </c>
      <c r="U233" s="9">
        <v>0</v>
      </c>
      <c r="V233" s="9">
        <v>0</v>
      </c>
      <c r="W233" s="9">
        <v>0</v>
      </c>
      <c r="X233" s="9">
        <v>0</v>
      </c>
      <c r="Y233" s="9">
        <v>0</v>
      </c>
      <c r="Z233" s="9">
        <v>0</v>
      </c>
      <c r="AA233" s="9">
        <v>0</v>
      </c>
      <c r="AB233" s="9">
        <v>0</v>
      </c>
      <c r="AC233" s="9">
        <v>0</v>
      </c>
      <c r="AD233" s="9">
        <v>0</v>
      </c>
      <c r="AE233" s="9">
        <v>0</v>
      </c>
      <c r="AF233" s="9">
        <v>0</v>
      </c>
      <c r="AG233" s="9">
        <v>0</v>
      </c>
      <c r="AH233" s="9">
        <v>0</v>
      </c>
      <c r="AI233" s="9">
        <v>0</v>
      </c>
      <c r="AJ233" s="9">
        <v>0</v>
      </c>
      <c r="AK233" s="9">
        <v>0</v>
      </c>
      <c r="AL233" s="9">
        <v>0</v>
      </c>
      <c r="AM233" s="9">
        <v>0</v>
      </c>
      <c r="AN233" s="9">
        <v>0</v>
      </c>
      <c r="AO233" s="9">
        <v>0</v>
      </c>
      <c r="AP233" s="9">
        <v>0</v>
      </c>
      <c r="AQ233" s="9">
        <v>0</v>
      </c>
      <c r="AR233" s="9">
        <v>0</v>
      </c>
      <c r="AS233" s="9">
        <v>0</v>
      </c>
      <c r="AT233" s="9">
        <v>0</v>
      </c>
      <c r="AU233" s="9">
        <v>0</v>
      </c>
      <c r="AV233" s="9">
        <v>0</v>
      </c>
      <c r="AW233" s="9">
        <v>0</v>
      </c>
      <c r="AX233" s="9">
        <v>0</v>
      </c>
      <c r="AY233" s="9">
        <v>0</v>
      </c>
      <c r="AZ233" s="9">
        <v>0</v>
      </c>
      <c r="BA233" s="9">
        <v>0</v>
      </c>
      <c r="BB233" s="9">
        <v>0</v>
      </c>
      <c r="BC233" s="9">
        <v>0</v>
      </c>
      <c r="BD233" s="9">
        <v>0</v>
      </c>
      <c r="BE233" s="9">
        <v>0</v>
      </c>
      <c r="BF233" s="9">
        <v>0</v>
      </c>
      <c r="BG233" s="9">
        <v>0</v>
      </c>
      <c r="BH233" s="9">
        <v>0</v>
      </c>
      <c r="BI233" s="9">
        <v>0</v>
      </c>
      <c r="BJ233" s="9">
        <v>0</v>
      </c>
      <c r="BK233" s="9">
        <v>0</v>
      </c>
      <c r="BL233" s="9">
        <v>0</v>
      </c>
      <c r="BM233" s="9">
        <v>0</v>
      </c>
      <c r="BN233" s="9">
        <v>0</v>
      </c>
      <c r="BO233" s="9">
        <v>0</v>
      </c>
      <c r="BP233" s="9">
        <v>0</v>
      </c>
      <c r="BQ233" s="9">
        <v>0</v>
      </c>
      <c r="BR233" s="9">
        <v>0</v>
      </c>
      <c r="BS233" s="9">
        <v>0</v>
      </c>
      <c r="BT233" s="9">
        <v>0</v>
      </c>
      <c r="BU233" s="9">
        <v>0</v>
      </c>
      <c r="BV233" s="9">
        <v>0</v>
      </c>
      <c r="BW233" s="9">
        <v>0</v>
      </c>
      <c r="BX233" s="9">
        <v>0</v>
      </c>
      <c r="BY233" s="9">
        <v>0</v>
      </c>
      <c r="BZ233" s="9">
        <v>1</v>
      </c>
      <c r="CA233" s="9">
        <v>0</v>
      </c>
      <c r="CB233" s="9">
        <v>0</v>
      </c>
      <c r="CC233" s="9">
        <v>2</v>
      </c>
      <c r="CD233" s="9">
        <v>0</v>
      </c>
      <c r="CE233" s="9">
        <v>0</v>
      </c>
      <c r="CF233" s="9">
        <v>0</v>
      </c>
      <c r="CG233" s="9">
        <v>0</v>
      </c>
      <c r="CH233" s="9">
        <v>1</v>
      </c>
      <c r="CI233" s="9">
        <v>0</v>
      </c>
      <c r="CJ233" s="9">
        <v>0</v>
      </c>
      <c r="CK233" s="9">
        <v>0</v>
      </c>
      <c r="CL233" s="9">
        <v>0</v>
      </c>
      <c r="CM233" s="9">
        <v>0</v>
      </c>
      <c r="CN233" s="9">
        <v>0</v>
      </c>
      <c r="CO233" s="9">
        <v>0</v>
      </c>
      <c r="CP233" s="9">
        <v>1</v>
      </c>
      <c r="CQ233" s="9">
        <v>0</v>
      </c>
      <c r="CR233" s="9">
        <v>0</v>
      </c>
      <c r="CS233" s="10">
        <v>0</v>
      </c>
    </row>
    <row r="234" spans="1:97" x14ac:dyDescent="0.35">
      <c r="A234" s="8" t="s">
        <v>174</v>
      </c>
      <c r="B234" s="9" t="s">
        <v>257</v>
      </c>
      <c r="C234" s="9" t="s">
        <v>910</v>
      </c>
      <c r="D234" s="9">
        <f t="shared" si="3"/>
        <v>39</v>
      </c>
      <c r="E234" s="9">
        <v>0</v>
      </c>
      <c r="F234" s="9">
        <v>0</v>
      </c>
      <c r="G234" s="9">
        <v>0</v>
      </c>
      <c r="H234" s="9">
        <v>0</v>
      </c>
      <c r="I234" s="9">
        <v>0</v>
      </c>
      <c r="J234" s="9">
        <v>0</v>
      </c>
      <c r="K234" s="9">
        <v>0</v>
      </c>
      <c r="L234" s="9">
        <v>0</v>
      </c>
      <c r="M234" s="9">
        <v>0</v>
      </c>
      <c r="N234" s="9">
        <v>0</v>
      </c>
      <c r="O234" s="9">
        <v>0</v>
      </c>
      <c r="P234" s="9">
        <v>0</v>
      </c>
      <c r="Q234" s="9">
        <v>0</v>
      </c>
      <c r="R234" s="9">
        <v>0</v>
      </c>
      <c r="S234" s="9">
        <v>1</v>
      </c>
      <c r="T234" s="9">
        <v>1</v>
      </c>
      <c r="U234" s="9">
        <v>0</v>
      </c>
      <c r="V234" s="9">
        <v>2</v>
      </c>
      <c r="W234" s="9">
        <v>0</v>
      </c>
      <c r="X234" s="9">
        <v>0</v>
      </c>
      <c r="Y234" s="9">
        <v>0</v>
      </c>
      <c r="Z234" s="9">
        <v>0</v>
      </c>
      <c r="AA234" s="9">
        <v>0</v>
      </c>
      <c r="AB234" s="9">
        <v>0</v>
      </c>
      <c r="AC234" s="9">
        <v>0</v>
      </c>
      <c r="AD234" s="9">
        <v>0</v>
      </c>
      <c r="AE234" s="9">
        <v>0</v>
      </c>
      <c r="AF234" s="9">
        <v>0</v>
      </c>
      <c r="AG234" s="9">
        <v>0</v>
      </c>
      <c r="AH234" s="9">
        <v>0</v>
      </c>
      <c r="AI234" s="9">
        <v>0</v>
      </c>
      <c r="AJ234" s="9">
        <v>0</v>
      </c>
      <c r="AK234" s="9">
        <v>0</v>
      </c>
      <c r="AL234" s="9">
        <v>0</v>
      </c>
      <c r="AM234" s="9">
        <v>0</v>
      </c>
      <c r="AN234" s="9">
        <v>0</v>
      </c>
      <c r="AO234" s="9">
        <v>0</v>
      </c>
      <c r="AP234" s="9">
        <v>0</v>
      </c>
      <c r="AQ234" s="9">
        <v>0</v>
      </c>
      <c r="AR234" s="9">
        <v>0</v>
      </c>
      <c r="AS234" s="9">
        <v>0</v>
      </c>
      <c r="AT234" s="9">
        <v>0</v>
      </c>
      <c r="AU234" s="9">
        <v>0</v>
      </c>
      <c r="AV234" s="9">
        <v>1</v>
      </c>
      <c r="AW234" s="9">
        <v>0</v>
      </c>
      <c r="AX234" s="9">
        <v>0</v>
      </c>
      <c r="AY234" s="9">
        <v>0</v>
      </c>
      <c r="AZ234" s="9">
        <v>0</v>
      </c>
      <c r="BA234" s="9">
        <v>0</v>
      </c>
      <c r="BB234" s="9">
        <v>0</v>
      </c>
      <c r="BC234" s="9">
        <v>0</v>
      </c>
      <c r="BD234" s="9">
        <v>0</v>
      </c>
      <c r="BE234" s="9">
        <v>1</v>
      </c>
      <c r="BF234" s="9">
        <v>2</v>
      </c>
      <c r="BG234" s="9">
        <v>0</v>
      </c>
      <c r="BH234" s="9">
        <v>0</v>
      </c>
      <c r="BI234" s="9">
        <v>0</v>
      </c>
      <c r="BJ234" s="9">
        <v>0</v>
      </c>
      <c r="BK234" s="9">
        <v>0</v>
      </c>
      <c r="BL234" s="9">
        <v>0</v>
      </c>
      <c r="BM234" s="9">
        <v>0</v>
      </c>
      <c r="BN234" s="9">
        <v>0</v>
      </c>
      <c r="BO234" s="9">
        <v>1</v>
      </c>
      <c r="BP234" s="9">
        <v>0</v>
      </c>
      <c r="BQ234" s="9">
        <v>0</v>
      </c>
      <c r="BR234" s="9">
        <v>1</v>
      </c>
      <c r="BS234" s="9">
        <v>0</v>
      </c>
      <c r="BT234" s="9">
        <v>0</v>
      </c>
      <c r="BU234" s="9">
        <v>0</v>
      </c>
      <c r="BV234" s="9">
        <v>0</v>
      </c>
      <c r="BW234" s="9">
        <v>0</v>
      </c>
      <c r="BX234" s="9">
        <v>1</v>
      </c>
      <c r="BY234" s="9">
        <v>0</v>
      </c>
      <c r="BZ234" s="9">
        <v>1</v>
      </c>
      <c r="CA234" s="9">
        <v>4</v>
      </c>
      <c r="CB234" s="9">
        <v>1</v>
      </c>
      <c r="CC234" s="9">
        <v>1</v>
      </c>
      <c r="CD234" s="9">
        <v>6</v>
      </c>
      <c r="CE234" s="9">
        <v>0</v>
      </c>
      <c r="CF234" s="9">
        <v>0</v>
      </c>
      <c r="CG234" s="9">
        <v>1</v>
      </c>
      <c r="CH234" s="9">
        <v>1</v>
      </c>
      <c r="CI234" s="9">
        <v>0</v>
      </c>
      <c r="CJ234" s="9">
        <v>0</v>
      </c>
      <c r="CK234" s="9">
        <v>2</v>
      </c>
      <c r="CL234" s="9">
        <v>3</v>
      </c>
      <c r="CM234" s="9">
        <v>0</v>
      </c>
      <c r="CN234" s="9">
        <v>1</v>
      </c>
      <c r="CO234" s="9">
        <v>0</v>
      </c>
      <c r="CP234" s="9">
        <v>3</v>
      </c>
      <c r="CQ234" s="9">
        <v>1</v>
      </c>
      <c r="CR234" s="9">
        <v>2</v>
      </c>
      <c r="CS234" s="10">
        <v>1</v>
      </c>
    </row>
    <row r="235" spans="1:97" x14ac:dyDescent="0.35">
      <c r="A235" s="8" t="s">
        <v>174</v>
      </c>
      <c r="B235" s="9" t="s">
        <v>259</v>
      </c>
      <c r="C235" s="9" t="s">
        <v>911</v>
      </c>
      <c r="D235" s="9">
        <f t="shared" si="3"/>
        <v>26</v>
      </c>
      <c r="E235" s="9">
        <v>0</v>
      </c>
      <c r="F235" s="9">
        <v>0</v>
      </c>
      <c r="G235" s="9">
        <v>0</v>
      </c>
      <c r="H235" s="9">
        <v>0</v>
      </c>
      <c r="I235" s="9">
        <v>0</v>
      </c>
      <c r="J235" s="9">
        <v>0</v>
      </c>
      <c r="K235" s="9">
        <v>0</v>
      </c>
      <c r="L235" s="9">
        <v>0</v>
      </c>
      <c r="M235" s="9">
        <v>0</v>
      </c>
      <c r="N235" s="9">
        <v>0</v>
      </c>
      <c r="O235" s="9">
        <v>0</v>
      </c>
      <c r="P235" s="9">
        <v>0</v>
      </c>
      <c r="Q235" s="9">
        <v>0</v>
      </c>
      <c r="R235" s="9">
        <v>0</v>
      </c>
      <c r="S235" s="9">
        <v>0</v>
      </c>
      <c r="T235" s="9">
        <v>0</v>
      </c>
      <c r="U235" s="9">
        <v>0</v>
      </c>
      <c r="V235" s="9">
        <v>0</v>
      </c>
      <c r="W235" s="9">
        <v>0</v>
      </c>
      <c r="X235" s="9">
        <v>0</v>
      </c>
      <c r="Y235" s="9">
        <v>0</v>
      </c>
      <c r="Z235" s="9">
        <v>0</v>
      </c>
      <c r="AA235" s="9">
        <v>0</v>
      </c>
      <c r="AB235" s="9">
        <v>0</v>
      </c>
      <c r="AC235" s="9">
        <v>0</v>
      </c>
      <c r="AD235" s="9">
        <v>0</v>
      </c>
      <c r="AE235" s="9">
        <v>0</v>
      </c>
      <c r="AF235" s="9">
        <v>0</v>
      </c>
      <c r="AG235" s="9">
        <v>0</v>
      </c>
      <c r="AH235" s="9">
        <v>0</v>
      </c>
      <c r="AI235" s="9">
        <v>0</v>
      </c>
      <c r="AJ235" s="9">
        <v>0</v>
      </c>
      <c r="AK235" s="9">
        <v>0</v>
      </c>
      <c r="AL235" s="9">
        <v>0</v>
      </c>
      <c r="AM235" s="9">
        <v>0</v>
      </c>
      <c r="AN235" s="9">
        <v>0</v>
      </c>
      <c r="AO235" s="9">
        <v>0</v>
      </c>
      <c r="AP235" s="9">
        <v>0</v>
      </c>
      <c r="AQ235" s="9">
        <v>0</v>
      </c>
      <c r="AR235" s="9">
        <v>0</v>
      </c>
      <c r="AS235" s="9">
        <v>0</v>
      </c>
      <c r="AT235" s="9">
        <v>0</v>
      </c>
      <c r="AU235" s="9">
        <v>0</v>
      </c>
      <c r="AV235" s="9">
        <v>0</v>
      </c>
      <c r="AW235" s="9">
        <v>0</v>
      </c>
      <c r="AX235" s="9">
        <v>0</v>
      </c>
      <c r="AY235" s="9">
        <v>0</v>
      </c>
      <c r="AZ235" s="9">
        <v>0</v>
      </c>
      <c r="BA235" s="9">
        <v>0</v>
      </c>
      <c r="BB235" s="9">
        <v>0</v>
      </c>
      <c r="BC235" s="9">
        <v>0</v>
      </c>
      <c r="BD235" s="9">
        <v>0</v>
      </c>
      <c r="BE235" s="9">
        <v>1</v>
      </c>
      <c r="BF235" s="9">
        <v>0</v>
      </c>
      <c r="BG235" s="9">
        <v>0</v>
      </c>
      <c r="BH235" s="9">
        <v>0</v>
      </c>
      <c r="BI235" s="9">
        <v>1</v>
      </c>
      <c r="BJ235" s="9">
        <v>0</v>
      </c>
      <c r="BK235" s="9">
        <v>0</v>
      </c>
      <c r="BL235" s="9">
        <v>0</v>
      </c>
      <c r="BM235" s="9">
        <v>0</v>
      </c>
      <c r="BN235" s="9">
        <v>0</v>
      </c>
      <c r="BO235" s="9">
        <v>0</v>
      </c>
      <c r="BP235" s="9">
        <v>0</v>
      </c>
      <c r="BQ235" s="9">
        <v>0</v>
      </c>
      <c r="BR235" s="9">
        <v>0</v>
      </c>
      <c r="BS235" s="9">
        <v>0</v>
      </c>
      <c r="BT235" s="9">
        <v>0</v>
      </c>
      <c r="BU235" s="9">
        <v>0</v>
      </c>
      <c r="BV235" s="9">
        <v>0</v>
      </c>
      <c r="BW235" s="9">
        <v>0</v>
      </c>
      <c r="BX235" s="9">
        <v>0</v>
      </c>
      <c r="BY235" s="9">
        <v>0</v>
      </c>
      <c r="BZ235" s="9">
        <v>0</v>
      </c>
      <c r="CA235" s="9">
        <v>0</v>
      </c>
      <c r="CB235" s="9">
        <v>0</v>
      </c>
      <c r="CC235" s="9">
        <v>0</v>
      </c>
      <c r="CD235" s="9">
        <v>0</v>
      </c>
      <c r="CE235" s="9">
        <v>0</v>
      </c>
      <c r="CF235" s="9">
        <v>0</v>
      </c>
      <c r="CG235" s="9">
        <v>0</v>
      </c>
      <c r="CH235" s="9">
        <v>2</v>
      </c>
      <c r="CI235" s="9">
        <v>2</v>
      </c>
      <c r="CJ235" s="9">
        <v>0</v>
      </c>
      <c r="CK235" s="9">
        <v>3</v>
      </c>
      <c r="CL235" s="9">
        <v>3</v>
      </c>
      <c r="CM235" s="9">
        <v>3</v>
      </c>
      <c r="CN235" s="9">
        <v>3</v>
      </c>
      <c r="CO235" s="9">
        <v>3</v>
      </c>
      <c r="CP235" s="9">
        <v>1</v>
      </c>
      <c r="CQ235" s="9">
        <v>0</v>
      </c>
      <c r="CR235" s="9">
        <v>3</v>
      </c>
      <c r="CS235" s="10">
        <v>1</v>
      </c>
    </row>
    <row r="236" spans="1:97" x14ac:dyDescent="0.35">
      <c r="A236" s="8" t="s">
        <v>261</v>
      </c>
      <c r="B236" s="9" t="s">
        <v>912</v>
      </c>
      <c r="C236" s="9" t="s">
        <v>913</v>
      </c>
      <c r="D236" s="9">
        <f t="shared" si="3"/>
        <v>0</v>
      </c>
      <c r="E236" s="9">
        <v>0</v>
      </c>
      <c r="F236" s="9">
        <v>0</v>
      </c>
      <c r="G236" s="9">
        <v>0</v>
      </c>
      <c r="H236" s="9">
        <v>0</v>
      </c>
      <c r="I236" s="9">
        <v>0</v>
      </c>
      <c r="J236" s="9">
        <v>0</v>
      </c>
      <c r="K236" s="9">
        <v>0</v>
      </c>
      <c r="L236" s="9">
        <v>0</v>
      </c>
      <c r="M236" s="9">
        <v>0</v>
      </c>
      <c r="N236" s="9">
        <v>0</v>
      </c>
      <c r="O236" s="9">
        <v>0</v>
      </c>
      <c r="P236" s="9">
        <v>0</v>
      </c>
      <c r="Q236" s="9">
        <v>0</v>
      </c>
      <c r="R236" s="9">
        <v>0</v>
      </c>
      <c r="S236" s="9">
        <v>0</v>
      </c>
      <c r="T236" s="9">
        <v>0</v>
      </c>
      <c r="U236" s="9">
        <v>0</v>
      </c>
      <c r="V236" s="9">
        <v>0</v>
      </c>
      <c r="W236" s="9">
        <v>0</v>
      </c>
      <c r="X236" s="9">
        <v>0</v>
      </c>
      <c r="Y236" s="9">
        <v>0</v>
      </c>
      <c r="Z236" s="9">
        <v>0</v>
      </c>
      <c r="AA236" s="9">
        <v>0</v>
      </c>
      <c r="AB236" s="9">
        <v>0</v>
      </c>
      <c r="AC236" s="9">
        <v>0</v>
      </c>
      <c r="AD236" s="9">
        <v>0</v>
      </c>
      <c r="AE236" s="9">
        <v>0</v>
      </c>
      <c r="AF236" s="9">
        <v>0</v>
      </c>
      <c r="AG236" s="9">
        <v>0</v>
      </c>
      <c r="AH236" s="9">
        <v>0</v>
      </c>
      <c r="AI236" s="9">
        <v>0</v>
      </c>
      <c r="AJ236" s="9">
        <v>0</v>
      </c>
      <c r="AK236" s="9">
        <v>0</v>
      </c>
      <c r="AL236" s="9">
        <v>0</v>
      </c>
      <c r="AM236" s="9">
        <v>0</v>
      </c>
      <c r="AN236" s="9">
        <v>0</v>
      </c>
      <c r="AO236" s="9">
        <v>0</v>
      </c>
      <c r="AP236" s="9">
        <v>0</v>
      </c>
      <c r="AQ236" s="9">
        <v>0</v>
      </c>
      <c r="AR236" s="9">
        <v>0</v>
      </c>
      <c r="AS236" s="9">
        <v>0</v>
      </c>
      <c r="AT236" s="9">
        <v>0</v>
      </c>
      <c r="AU236" s="9">
        <v>0</v>
      </c>
      <c r="AV236" s="9">
        <v>0</v>
      </c>
      <c r="AW236" s="9">
        <v>0</v>
      </c>
      <c r="AX236" s="9">
        <v>0</v>
      </c>
      <c r="AY236" s="9">
        <v>0</v>
      </c>
      <c r="AZ236" s="9">
        <v>0</v>
      </c>
      <c r="BA236" s="9">
        <v>0</v>
      </c>
      <c r="BB236" s="9">
        <v>0</v>
      </c>
      <c r="BC236" s="9">
        <v>0</v>
      </c>
      <c r="BD236" s="9">
        <v>0</v>
      </c>
      <c r="BE236" s="9">
        <v>0</v>
      </c>
      <c r="BF236" s="9">
        <v>0</v>
      </c>
      <c r="BG236" s="9">
        <v>0</v>
      </c>
      <c r="BH236" s="9">
        <v>0</v>
      </c>
      <c r="BI236" s="9">
        <v>0</v>
      </c>
      <c r="BJ236" s="9">
        <v>0</v>
      </c>
      <c r="BK236" s="9">
        <v>0</v>
      </c>
      <c r="BL236" s="9">
        <v>0</v>
      </c>
      <c r="BM236" s="9">
        <v>0</v>
      </c>
      <c r="BN236" s="9">
        <v>0</v>
      </c>
      <c r="BO236" s="9">
        <v>0</v>
      </c>
      <c r="BP236" s="9">
        <v>0</v>
      </c>
      <c r="BQ236" s="9">
        <v>0</v>
      </c>
      <c r="BR236" s="9">
        <v>0</v>
      </c>
      <c r="BS236" s="9">
        <v>0</v>
      </c>
      <c r="BT236" s="9">
        <v>0</v>
      </c>
      <c r="BU236" s="9">
        <v>0</v>
      </c>
      <c r="BV236" s="9">
        <v>0</v>
      </c>
      <c r="BW236" s="9">
        <v>0</v>
      </c>
      <c r="BX236" s="9">
        <v>0</v>
      </c>
      <c r="BY236" s="9">
        <v>0</v>
      </c>
      <c r="BZ236" s="9">
        <v>0</v>
      </c>
      <c r="CA236" s="9">
        <v>0</v>
      </c>
      <c r="CB236" s="9">
        <v>0</v>
      </c>
      <c r="CC236" s="9">
        <v>0</v>
      </c>
      <c r="CD236" s="9">
        <v>0</v>
      </c>
      <c r="CE236" s="9">
        <v>0</v>
      </c>
      <c r="CF236" s="9">
        <v>0</v>
      </c>
      <c r="CG236" s="9">
        <v>0</v>
      </c>
      <c r="CH236" s="9">
        <v>0</v>
      </c>
      <c r="CI236" s="9">
        <v>0</v>
      </c>
      <c r="CJ236" s="9">
        <v>0</v>
      </c>
      <c r="CK236" s="9">
        <v>0</v>
      </c>
      <c r="CL236" s="9">
        <v>0</v>
      </c>
      <c r="CM236" s="9">
        <v>0</v>
      </c>
      <c r="CN236" s="9">
        <v>0</v>
      </c>
      <c r="CO236" s="9">
        <v>0</v>
      </c>
      <c r="CP236" s="9">
        <v>0</v>
      </c>
      <c r="CQ236" s="9">
        <v>0</v>
      </c>
      <c r="CR236" s="9">
        <v>0</v>
      </c>
      <c r="CS236" s="10">
        <v>0</v>
      </c>
    </row>
    <row r="237" spans="1:97" x14ac:dyDescent="0.35">
      <c r="A237" s="8" t="s">
        <v>261</v>
      </c>
      <c r="B237" s="9" t="s">
        <v>914</v>
      </c>
      <c r="C237" s="9" t="s">
        <v>915</v>
      </c>
      <c r="D237" s="9">
        <f t="shared" si="3"/>
        <v>0</v>
      </c>
      <c r="E237" s="9">
        <v>0</v>
      </c>
      <c r="F237" s="9">
        <v>0</v>
      </c>
      <c r="G237" s="9">
        <v>0</v>
      </c>
      <c r="H237" s="9">
        <v>0</v>
      </c>
      <c r="I237" s="9">
        <v>0</v>
      </c>
      <c r="J237" s="9">
        <v>0</v>
      </c>
      <c r="K237" s="9">
        <v>0</v>
      </c>
      <c r="L237" s="9">
        <v>0</v>
      </c>
      <c r="M237" s="9">
        <v>0</v>
      </c>
      <c r="N237" s="9">
        <v>0</v>
      </c>
      <c r="O237" s="9">
        <v>0</v>
      </c>
      <c r="P237" s="9">
        <v>0</v>
      </c>
      <c r="Q237" s="9">
        <v>0</v>
      </c>
      <c r="R237" s="9">
        <v>0</v>
      </c>
      <c r="S237" s="9">
        <v>0</v>
      </c>
      <c r="T237" s="9">
        <v>0</v>
      </c>
      <c r="U237" s="9">
        <v>0</v>
      </c>
      <c r="V237" s="9">
        <v>0</v>
      </c>
      <c r="W237" s="9">
        <v>0</v>
      </c>
      <c r="X237" s="9">
        <v>0</v>
      </c>
      <c r="Y237" s="9">
        <v>0</v>
      </c>
      <c r="Z237" s="9">
        <v>0</v>
      </c>
      <c r="AA237" s="9">
        <v>0</v>
      </c>
      <c r="AB237" s="9">
        <v>0</v>
      </c>
      <c r="AC237" s="9">
        <v>0</v>
      </c>
      <c r="AD237" s="9">
        <v>0</v>
      </c>
      <c r="AE237" s="9">
        <v>0</v>
      </c>
      <c r="AF237" s="9">
        <v>0</v>
      </c>
      <c r="AG237" s="9">
        <v>0</v>
      </c>
      <c r="AH237" s="9">
        <v>0</v>
      </c>
      <c r="AI237" s="9">
        <v>0</v>
      </c>
      <c r="AJ237" s="9">
        <v>0</v>
      </c>
      <c r="AK237" s="9">
        <v>0</v>
      </c>
      <c r="AL237" s="9">
        <v>0</v>
      </c>
      <c r="AM237" s="9">
        <v>0</v>
      </c>
      <c r="AN237" s="9">
        <v>0</v>
      </c>
      <c r="AO237" s="9">
        <v>0</v>
      </c>
      <c r="AP237" s="9">
        <v>0</v>
      </c>
      <c r="AQ237" s="9">
        <v>0</v>
      </c>
      <c r="AR237" s="9">
        <v>0</v>
      </c>
      <c r="AS237" s="9">
        <v>0</v>
      </c>
      <c r="AT237" s="9">
        <v>0</v>
      </c>
      <c r="AU237" s="9">
        <v>0</v>
      </c>
      <c r="AV237" s="9">
        <v>0</v>
      </c>
      <c r="AW237" s="9">
        <v>0</v>
      </c>
      <c r="AX237" s="9">
        <v>0</v>
      </c>
      <c r="AY237" s="9">
        <v>0</v>
      </c>
      <c r="AZ237" s="9">
        <v>0</v>
      </c>
      <c r="BA237" s="9">
        <v>0</v>
      </c>
      <c r="BB237" s="9">
        <v>0</v>
      </c>
      <c r="BC237" s="9">
        <v>0</v>
      </c>
      <c r="BD237" s="9">
        <v>0</v>
      </c>
      <c r="BE237" s="9">
        <v>0</v>
      </c>
      <c r="BF237" s="9">
        <v>0</v>
      </c>
      <c r="BG237" s="9">
        <v>0</v>
      </c>
      <c r="BH237" s="9">
        <v>0</v>
      </c>
      <c r="BI237" s="9">
        <v>0</v>
      </c>
      <c r="BJ237" s="9">
        <v>0</v>
      </c>
      <c r="BK237" s="9">
        <v>0</v>
      </c>
      <c r="BL237" s="9">
        <v>0</v>
      </c>
      <c r="BM237" s="9">
        <v>0</v>
      </c>
      <c r="BN237" s="9">
        <v>0</v>
      </c>
      <c r="BO237" s="9">
        <v>0</v>
      </c>
      <c r="BP237" s="9">
        <v>0</v>
      </c>
      <c r="BQ237" s="9">
        <v>0</v>
      </c>
      <c r="BR237" s="9">
        <v>0</v>
      </c>
      <c r="BS237" s="9">
        <v>0</v>
      </c>
      <c r="BT237" s="9">
        <v>0</v>
      </c>
      <c r="BU237" s="9">
        <v>0</v>
      </c>
      <c r="BV237" s="9">
        <v>0</v>
      </c>
      <c r="BW237" s="9">
        <v>0</v>
      </c>
      <c r="BX237" s="9">
        <v>0</v>
      </c>
      <c r="BY237" s="9">
        <v>0</v>
      </c>
      <c r="BZ237" s="9">
        <v>0</v>
      </c>
      <c r="CA237" s="9">
        <v>0</v>
      </c>
      <c r="CB237" s="9">
        <v>0</v>
      </c>
      <c r="CC237" s="9">
        <v>0</v>
      </c>
      <c r="CD237" s="9">
        <v>0</v>
      </c>
      <c r="CE237" s="9">
        <v>0</v>
      </c>
      <c r="CF237" s="9">
        <v>0</v>
      </c>
      <c r="CG237" s="9">
        <v>0</v>
      </c>
      <c r="CH237" s="9">
        <v>0</v>
      </c>
      <c r="CI237" s="9">
        <v>0</v>
      </c>
      <c r="CJ237" s="9">
        <v>0</v>
      </c>
      <c r="CK237" s="9">
        <v>0</v>
      </c>
      <c r="CL237" s="9">
        <v>0</v>
      </c>
      <c r="CM237" s="9">
        <v>0</v>
      </c>
      <c r="CN237" s="9">
        <v>0</v>
      </c>
      <c r="CO237" s="9">
        <v>0</v>
      </c>
      <c r="CP237" s="9">
        <v>0</v>
      </c>
      <c r="CQ237" s="9">
        <v>0</v>
      </c>
      <c r="CR237" s="9">
        <v>0</v>
      </c>
      <c r="CS237" s="10">
        <v>0</v>
      </c>
    </row>
    <row r="238" spans="1:97" x14ac:dyDescent="0.35">
      <c r="A238" s="8" t="s">
        <v>261</v>
      </c>
      <c r="B238" s="9" t="s">
        <v>916</v>
      </c>
      <c r="C238" s="9" t="s">
        <v>917</v>
      </c>
      <c r="D238" s="9">
        <f t="shared" si="3"/>
        <v>0</v>
      </c>
      <c r="E238" s="9">
        <v>0</v>
      </c>
      <c r="F238" s="9">
        <v>0</v>
      </c>
      <c r="G238" s="9">
        <v>0</v>
      </c>
      <c r="H238" s="9">
        <v>0</v>
      </c>
      <c r="I238" s="9">
        <v>0</v>
      </c>
      <c r="J238" s="9">
        <v>0</v>
      </c>
      <c r="K238" s="9">
        <v>0</v>
      </c>
      <c r="L238" s="9">
        <v>0</v>
      </c>
      <c r="M238" s="9">
        <v>0</v>
      </c>
      <c r="N238" s="9">
        <v>0</v>
      </c>
      <c r="O238" s="9">
        <v>0</v>
      </c>
      <c r="P238" s="9">
        <v>0</v>
      </c>
      <c r="Q238" s="9">
        <v>0</v>
      </c>
      <c r="R238" s="9">
        <v>0</v>
      </c>
      <c r="S238" s="9">
        <v>0</v>
      </c>
      <c r="T238" s="9">
        <v>0</v>
      </c>
      <c r="U238" s="9">
        <v>0</v>
      </c>
      <c r="V238" s="9">
        <v>0</v>
      </c>
      <c r="W238" s="9">
        <v>0</v>
      </c>
      <c r="X238" s="9">
        <v>0</v>
      </c>
      <c r="Y238" s="9">
        <v>0</v>
      </c>
      <c r="Z238" s="9">
        <v>0</v>
      </c>
      <c r="AA238" s="9">
        <v>0</v>
      </c>
      <c r="AB238" s="9">
        <v>0</v>
      </c>
      <c r="AC238" s="9">
        <v>0</v>
      </c>
      <c r="AD238" s="9">
        <v>0</v>
      </c>
      <c r="AE238" s="9">
        <v>0</v>
      </c>
      <c r="AF238" s="9">
        <v>0</v>
      </c>
      <c r="AG238" s="9">
        <v>0</v>
      </c>
      <c r="AH238" s="9">
        <v>0</v>
      </c>
      <c r="AI238" s="9">
        <v>0</v>
      </c>
      <c r="AJ238" s="9">
        <v>0</v>
      </c>
      <c r="AK238" s="9">
        <v>0</v>
      </c>
      <c r="AL238" s="9">
        <v>0</v>
      </c>
      <c r="AM238" s="9">
        <v>0</v>
      </c>
      <c r="AN238" s="9">
        <v>0</v>
      </c>
      <c r="AO238" s="9">
        <v>0</v>
      </c>
      <c r="AP238" s="9">
        <v>0</v>
      </c>
      <c r="AQ238" s="9">
        <v>0</v>
      </c>
      <c r="AR238" s="9">
        <v>0</v>
      </c>
      <c r="AS238" s="9">
        <v>0</v>
      </c>
      <c r="AT238" s="9">
        <v>0</v>
      </c>
      <c r="AU238" s="9">
        <v>0</v>
      </c>
      <c r="AV238" s="9">
        <v>0</v>
      </c>
      <c r="AW238" s="9">
        <v>0</v>
      </c>
      <c r="AX238" s="9">
        <v>0</v>
      </c>
      <c r="AY238" s="9">
        <v>0</v>
      </c>
      <c r="AZ238" s="9">
        <v>0</v>
      </c>
      <c r="BA238" s="9">
        <v>0</v>
      </c>
      <c r="BB238" s="9">
        <v>0</v>
      </c>
      <c r="BC238" s="9">
        <v>0</v>
      </c>
      <c r="BD238" s="9">
        <v>0</v>
      </c>
      <c r="BE238" s="9">
        <v>0</v>
      </c>
      <c r="BF238" s="9">
        <v>0</v>
      </c>
      <c r="BG238" s="9">
        <v>0</v>
      </c>
      <c r="BH238" s="9">
        <v>0</v>
      </c>
      <c r="BI238" s="9">
        <v>0</v>
      </c>
      <c r="BJ238" s="9">
        <v>0</v>
      </c>
      <c r="BK238" s="9">
        <v>0</v>
      </c>
      <c r="BL238" s="9">
        <v>0</v>
      </c>
      <c r="BM238" s="9">
        <v>0</v>
      </c>
      <c r="BN238" s="9">
        <v>0</v>
      </c>
      <c r="BO238" s="9">
        <v>0</v>
      </c>
      <c r="BP238" s="9">
        <v>0</v>
      </c>
      <c r="BQ238" s="9">
        <v>0</v>
      </c>
      <c r="BR238" s="9">
        <v>0</v>
      </c>
      <c r="BS238" s="9">
        <v>0</v>
      </c>
      <c r="BT238" s="9">
        <v>0</v>
      </c>
      <c r="BU238" s="9">
        <v>0</v>
      </c>
      <c r="BV238" s="9">
        <v>0</v>
      </c>
      <c r="BW238" s="9">
        <v>0</v>
      </c>
      <c r="BX238" s="9">
        <v>0</v>
      </c>
      <c r="BY238" s="9">
        <v>0</v>
      </c>
      <c r="BZ238" s="9">
        <v>0</v>
      </c>
      <c r="CA238" s="9">
        <v>0</v>
      </c>
      <c r="CB238" s="9">
        <v>0</v>
      </c>
      <c r="CC238" s="9">
        <v>0</v>
      </c>
      <c r="CD238" s="9">
        <v>0</v>
      </c>
      <c r="CE238" s="9">
        <v>0</v>
      </c>
      <c r="CF238" s="9">
        <v>0</v>
      </c>
      <c r="CG238" s="9">
        <v>0</v>
      </c>
      <c r="CH238" s="9">
        <v>0</v>
      </c>
      <c r="CI238" s="9">
        <v>0</v>
      </c>
      <c r="CJ238" s="9">
        <v>0</v>
      </c>
      <c r="CK238" s="9">
        <v>0</v>
      </c>
      <c r="CL238" s="9">
        <v>0</v>
      </c>
      <c r="CM238" s="9">
        <v>0</v>
      </c>
      <c r="CN238" s="9">
        <v>0</v>
      </c>
      <c r="CO238" s="9">
        <v>0</v>
      </c>
      <c r="CP238" s="9">
        <v>0</v>
      </c>
      <c r="CQ238" s="9">
        <v>0</v>
      </c>
      <c r="CR238" s="9">
        <v>0</v>
      </c>
      <c r="CS238" s="10">
        <v>0</v>
      </c>
    </row>
    <row r="239" spans="1:97" x14ac:dyDescent="0.35">
      <c r="A239" s="8" t="s">
        <v>261</v>
      </c>
      <c r="B239" s="9" t="s">
        <v>264</v>
      </c>
      <c r="C239" s="9" t="s">
        <v>918</v>
      </c>
      <c r="D239" s="9">
        <f t="shared" si="3"/>
        <v>0</v>
      </c>
      <c r="E239" s="9">
        <v>0</v>
      </c>
      <c r="F239" s="9">
        <v>0</v>
      </c>
      <c r="G239" s="9">
        <v>0</v>
      </c>
      <c r="H239" s="9">
        <v>0</v>
      </c>
      <c r="I239" s="9">
        <v>0</v>
      </c>
      <c r="J239" s="9">
        <v>0</v>
      </c>
      <c r="K239" s="9">
        <v>0</v>
      </c>
      <c r="L239" s="9">
        <v>0</v>
      </c>
      <c r="M239" s="9">
        <v>0</v>
      </c>
      <c r="N239" s="9">
        <v>0</v>
      </c>
      <c r="O239" s="9">
        <v>0</v>
      </c>
      <c r="P239" s="9">
        <v>0</v>
      </c>
      <c r="Q239" s="9">
        <v>0</v>
      </c>
      <c r="R239" s="9">
        <v>0</v>
      </c>
      <c r="S239" s="9">
        <v>0</v>
      </c>
      <c r="T239" s="9">
        <v>0</v>
      </c>
      <c r="U239" s="9">
        <v>0</v>
      </c>
      <c r="V239" s="9">
        <v>0</v>
      </c>
      <c r="W239" s="9">
        <v>0</v>
      </c>
      <c r="X239" s="9">
        <v>0</v>
      </c>
      <c r="Y239" s="9">
        <v>0</v>
      </c>
      <c r="Z239" s="9">
        <v>0</v>
      </c>
      <c r="AA239" s="9">
        <v>0</v>
      </c>
      <c r="AB239" s="9">
        <v>0</v>
      </c>
      <c r="AC239" s="9">
        <v>0</v>
      </c>
      <c r="AD239" s="9">
        <v>0</v>
      </c>
      <c r="AE239" s="9">
        <v>0</v>
      </c>
      <c r="AF239" s="9">
        <v>0</v>
      </c>
      <c r="AG239" s="9">
        <v>0</v>
      </c>
      <c r="AH239" s="9">
        <v>0</v>
      </c>
      <c r="AI239" s="9">
        <v>0</v>
      </c>
      <c r="AJ239" s="9">
        <v>0</v>
      </c>
      <c r="AK239" s="9">
        <v>0</v>
      </c>
      <c r="AL239" s="9">
        <v>0</v>
      </c>
      <c r="AM239" s="9">
        <v>0</v>
      </c>
      <c r="AN239" s="9">
        <v>0</v>
      </c>
      <c r="AO239" s="9">
        <v>0</v>
      </c>
      <c r="AP239" s="9">
        <v>0</v>
      </c>
      <c r="AQ239" s="9">
        <v>0</v>
      </c>
      <c r="AR239" s="9">
        <v>0</v>
      </c>
      <c r="AS239" s="9">
        <v>0</v>
      </c>
      <c r="AT239" s="9">
        <v>0</v>
      </c>
      <c r="AU239" s="9">
        <v>0</v>
      </c>
      <c r="AV239" s="9">
        <v>0</v>
      </c>
      <c r="AW239" s="9">
        <v>0</v>
      </c>
      <c r="AX239" s="9">
        <v>0</v>
      </c>
      <c r="AY239" s="9">
        <v>0</v>
      </c>
      <c r="AZ239" s="9">
        <v>0</v>
      </c>
      <c r="BA239" s="9">
        <v>0</v>
      </c>
      <c r="BB239" s="9">
        <v>0</v>
      </c>
      <c r="BC239" s="9">
        <v>0</v>
      </c>
      <c r="BD239" s="9">
        <v>0</v>
      </c>
      <c r="BE239" s="9">
        <v>0</v>
      </c>
      <c r="BF239" s="9">
        <v>0</v>
      </c>
      <c r="BG239" s="9">
        <v>0</v>
      </c>
      <c r="BH239" s="9">
        <v>0</v>
      </c>
      <c r="BI239" s="9">
        <v>0</v>
      </c>
      <c r="BJ239" s="9">
        <v>0</v>
      </c>
      <c r="BK239" s="9">
        <v>0</v>
      </c>
      <c r="BL239" s="9">
        <v>0</v>
      </c>
      <c r="BM239" s="9">
        <v>0</v>
      </c>
      <c r="BN239" s="9">
        <v>0</v>
      </c>
      <c r="BO239" s="9">
        <v>0</v>
      </c>
      <c r="BP239" s="9">
        <v>0</v>
      </c>
      <c r="BQ239" s="9">
        <v>0</v>
      </c>
      <c r="BR239" s="9">
        <v>0</v>
      </c>
      <c r="BS239" s="9">
        <v>0</v>
      </c>
      <c r="BT239" s="9">
        <v>0</v>
      </c>
      <c r="BU239" s="9">
        <v>0</v>
      </c>
      <c r="BV239" s="9">
        <v>0</v>
      </c>
      <c r="BW239" s="9">
        <v>0</v>
      </c>
      <c r="BX239" s="9">
        <v>0</v>
      </c>
      <c r="BY239" s="9">
        <v>0</v>
      </c>
      <c r="BZ239" s="9">
        <v>0</v>
      </c>
      <c r="CA239" s="9">
        <v>0</v>
      </c>
      <c r="CB239" s="9">
        <v>0</v>
      </c>
      <c r="CC239" s="9">
        <v>0</v>
      </c>
      <c r="CD239" s="9">
        <v>0</v>
      </c>
      <c r="CE239" s="9">
        <v>0</v>
      </c>
      <c r="CF239" s="9">
        <v>0</v>
      </c>
      <c r="CG239" s="9">
        <v>0</v>
      </c>
      <c r="CH239" s="9">
        <v>0</v>
      </c>
      <c r="CI239" s="9">
        <v>0</v>
      </c>
      <c r="CJ239" s="9">
        <v>0</v>
      </c>
      <c r="CK239" s="9">
        <v>0</v>
      </c>
      <c r="CL239" s="9">
        <v>0</v>
      </c>
      <c r="CM239" s="9">
        <v>0</v>
      </c>
      <c r="CN239" s="9">
        <v>0</v>
      </c>
      <c r="CO239" s="9">
        <v>0</v>
      </c>
      <c r="CP239" s="9">
        <v>0</v>
      </c>
      <c r="CQ239" s="9">
        <v>0</v>
      </c>
      <c r="CR239" s="9">
        <v>0</v>
      </c>
      <c r="CS239" s="10">
        <v>0</v>
      </c>
    </row>
    <row r="240" spans="1:97" x14ac:dyDescent="0.35">
      <c r="A240" s="8" t="s">
        <v>261</v>
      </c>
      <c r="B240" s="9" t="s">
        <v>266</v>
      </c>
      <c r="C240" s="9" t="s">
        <v>919</v>
      </c>
      <c r="D240" s="9">
        <f t="shared" si="3"/>
        <v>0</v>
      </c>
      <c r="E240" s="9">
        <v>0</v>
      </c>
      <c r="F240" s="9">
        <v>0</v>
      </c>
      <c r="G240" s="9">
        <v>0</v>
      </c>
      <c r="H240" s="9">
        <v>0</v>
      </c>
      <c r="I240" s="9">
        <v>0</v>
      </c>
      <c r="J240" s="9">
        <v>0</v>
      </c>
      <c r="K240" s="9">
        <v>0</v>
      </c>
      <c r="L240" s="9">
        <v>0</v>
      </c>
      <c r="M240" s="9">
        <v>0</v>
      </c>
      <c r="N240" s="9">
        <v>0</v>
      </c>
      <c r="O240" s="9">
        <v>0</v>
      </c>
      <c r="P240" s="9">
        <v>0</v>
      </c>
      <c r="Q240" s="9">
        <v>0</v>
      </c>
      <c r="R240" s="9">
        <v>0</v>
      </c>
      <c r="S240" s="9">
        <v>0</v>
      </c>
      <c r="T240" s="9">
        <v>0</v>
      </c>
      <c r="U240" s="9">
        <v>0</v>
      </c>
      <c r="V240" s="9">
        <v>0</v>
      </c>
      <c r="W240" s="9">
        <v>0</v>
      </c>
      <c r="X240" s="9">
        <v>0</v>
      </c>
      <c r="Y240" s="9">
        <v>0</v>
      </c>
      <c r="Z240" s="9">
        <v>0</v>
      </c>
      <c r="AA240" s="9">
        <v>0</v>
      </c>
      <c r="AB240" s="9">
        <v>0</v>
      </c>
      <c r="AC240" s="9">
        <v>0</v>
      </c>
      <c r="AD240" s="9">
        <v>0</v>
      </c>
      <c r="AE240" s="9">
        <v>0</v>
      </c>
      <c r="AF240" s="9">
        <v>0</v>
      </c>
      <c r="AG240" s="9">
        <v>0</v>
      </c>
      <c r="AH240" s="9">
        <v>0</v>
      </c>
      <c r="AI240" s="9">
        <v>0</v>
      </c>
      <c r="AJ240" s="9">
        <v>0</v>
      </c>
      <c r="AK240" s="9">
        <v>0</v>
      </c>
      <c r="AL240" s="9">
        <v>0</v>
      </c>
      <c r="AM240" s="9">
        <v>0</v>
      </c>
      <c r="AN240" s="9">
        <v>0</v>
      </c>
      <c r="AO240" s="9">
        <v>0</v>
      </c>
      <c r="AP240" s="9">
        <v>0</v>
      </c>
      <c r="AQ240" s="9">
        <v>0</v>
      </c>
      <c r="AR240" s="9">
        <v>0</v>
      </c>
      <c r="AS240" s="9">
        <v>0</v>
      </c>
      <c r="AT240" s="9">
        <v>0</v>
      </c>
      <c r="AU240" s="9">
        <v>0</v>
      </c>
      <c r="AV240" s="9">
        <v>0</v>
      </c>
      <c r="AW240" s="9">
        <v>0</v>
      </c>
      <c r="AX240" s="9">
        <v>0</v>
      </c>
      <c r="AY240" s="9">
        <v>0</v>
      </c>
      <c r="AZ240" s="9">
        <v>0</v>
      </c>
      <c r="BA240" s="9">
        <v>0</v>
      </c>
      <c r="BB240" s="9">
        <v>0</v>
      </c>
      <c r="BC240" s="9">
        <v>0</v>
      </c>
      <c r="BD240" s="9">
        <v>0</v>
      </c>
      <c r="BE240" s="9">
        <v>0</v>
      </c>
      <c r="BF240" s="9">
        <v>0</v>
      </c>
      <c r="BG240" s="9">
        <v>0</v>
      </c>
      <c r="BH240" s="9">
        <v>0</v>
      </c>
      <c r="BI240" s="9">
        <v>0</v>
      </c>
      <c r="BJ240" s="9">
        <v>0</v>
      </c>
      <c r="BK240" s="9">
        <v>0</v>
      </c>
      <c r="BL240" s="9">
        <v>0</v>
      </c>
      <c r="BM240" s="9">
        <v>0</v>
      </c>
      <c r="BN240" s="9">
        <v>0</v>
      </c>
      <c r="BO240" s="9">
        <v>0</v>
      </c>
      <c r="BP240" s="9">
        <v>0</v>
      </c>
      <c r="BQ240" s="9">
        <v>0</v>
      </c>
      <c r="BR240" s="9">
        <v>0</v>
      </c>
      <c r="BS240" s="9">
        <v>0</v>
      </c>
      <c r="BT240" s="9">
        <v>0</v>
      </c>
      <c r="BU240" s="9">
        <v>0</v>
      </c>
      <c r="BV240" s="9">
        <v>0</v>
      </c>
      <c r="BW240" s="9">
        <v>0</v>
      </c>
      <c r="BX240" s="9">
        <v>0</v>
      </c>
      <c r="BY240" s="9">
        <v>0</v>
      </c>
      <c r="BZ240" s="9">
        <v>0</v>
      </c>
      <c r="CA240" s="9">
        <v>0</v>
      </c>
      <c r="CB240" s="9">
        <v>0</v>
      </c>
      <c r="CC240" s="9">
        <v>0</v>
      </c>
      <c r="CD240" s="9">
        <v>0</v>
      </c>
      <c r="CE240" s="9">
        <v>0</v>
      </c>
      <c r="CF240" s="9">
        <v>0</v>
      </c>
      <c r="CG240" s="9">
        <v>0</v>
      </c>
      <c r="CH240" s="9">
        <v>0</v>
      </c>
      <c r="CI240" s="9">
        <v>0</v>
      </c>
      <c r="CJ240" s="9">
        <v>0</v>
      </c>
      <c r="CK240" s="9">
        <v>0</v>
      </c>
      <c r="CL240" s="9">
        <v>0</v>
      </c>
      <c r="CM240" s="9">
        <v>0</v>
      </c>
      <c r="CN240" s="9">
        <v>0</v>
      </c>
      <c r="CO240" s="9">
        <v>0</v>
      </c>
      <c r="CP240" s="9">
        <v>0</v>
      </c>
      <c r="CQ240" s="9">
        <v>0</v>
      </c>
      <c r="CR240" s="9">
        <v>0</v>
      </c>
      <c r="CS240" s="10">
        <v>0</v>
      </c>
    </row>
    <row r="241" spans="1:97" x14ac:dyDescent="0.35">
      <c r="A241" s="8" t="s">
        <v>261</v>
      </c>
      <c r="B241" s="9" t="s">
        <v>268</v>
      </c>
      <c r="C241" s="9" t="s">
        <v>920</v>
      </c>
      <c r="D241" s="9">
        <f t="shared" si="3"/>
        <v>8</v>
      </c>
      <c r="E241" s="9">
        <v>0</v>
      </c>
      <c r="F241" s="9">
        <v>0</v>
      </c>
      <c r="G241" s="9">
        <v>0</v>
      </c>
      <c r="H241" s="9">
        <v>0</v>
      </c>
      <c r="I241" s="9">
        <v>0</v>
      </c>
      <c r="J241" s="9">
        <v>0</v>
      </c>
      <c r="K241" s="9">
        <v>0</v>
      </c>
      <c r="L241" s="9">
        <v>0</v>
      </c>
      <c r="M241" s="9">
        <v>0</v>
      </c>
      <c r="N241" s="9">
        <v>0</v>
      </c>
      <c r="O241" s="9">
        <v>0</v>
      </c>
      <c r="P241" s="9">
        <v>0</v>
      </c>
      <c r="Q241" s="9">
        <v>0</v>
      </c>
      <c r="R241" s="9">
        <v>0</v>
      </c>
      <c r="S241" s="9">
        <v>0</v>
      </c>
      <c r="T241" s="9">
        <v>0</v>
      </c>
      <c r="U241" s="9">
        <v>0</v>
      </c>
      <c r="V241" s="9">
        <v>0</v>
      </c>
      <c r="W241" s="9">
        <v>0</v>
      </c>
      <c r="X241" s="9">
        <v>0</v>
      </c>
      <c r="Y241" s="9">
        <v>0</v>
      </c>
      <c r="Z241" s="9">
        <v>0</v>
      </c>
      <c r="AA241" s="9">
        <v>0</v>
      </c>
      <c r="AB241" s="9">
        <v>0</v>
      </c>
      <c r="AC241" s="9">
        <v>0</v>
      </c>
      <c r="AD241" s="9">
        <v>0</v>
      </c>
      <c r="AE241" s="9">
        <v>0</v>
      </c>
      <c r="AF241" s="9">
        <v>0</v>
      </c>
      <c r="AG241" s="9">
        <v>0</v>
      </c>
      <c r="AH241" s="9">
        <v>0</v>
      </c>
      <c r="AI241" s="9">
        <v>0</v>
      </c>
      <c r="AJ241" s="9">
        <v>0</v>
      </c>
      <c r="AK241" s="9">
        <v>0</v>
      </c>
      <c r="AL241" s="9">
        <v>0</v>
      </c>
      <c r="AM241" s="9">
        <v>0</v>
      </c>
      <c r="AN241" s="9">
        <v>0</v>
      </c>
      <c r="AO241" s="9">
        <v>0</v>
      </c>
      <c r="AP241" s="9">
        <v>0</v>
      </c>
      <c r="AQ241" s="9">
        <v>0</v>
      </c>
      <c r="AR241" s="9">
        <v>0</v>
      </c>
      <c r="AS241" s="9">
        <v>0</v>
      </c>
      <c r="AT241" s="9">
        <v>0</v>
      </c>
      <c r="AU241" s="9">
        <v>0</v>
      </c>
      <c r="AV241" s="9">
        <v>0</v>
      </c>
      <c r="AW241" s="9">
        <v>0</v>
      </c>
      <c r="AX241" s="9">
        <v>0</v>
      </c>
      <c r="AY241" s="9">
        <v>0</v>
      </c>
      <c r="AZ241" s="9">
        <v>0</v>
      </c>
      <c r="BA241" s="9">
        <v>0</v>
      </c>
      <c r="BB241" s="9">
        <v>0</v>
      </c>
      <c r="BC241" s="9">
        <v>0</v>
      </c>
      <c r="BD241" s="9">
        <v>0</v>
      </c>
      <c r="BE241" s="9">
        <v>0</v>
      </c>
      <c r="BF241" s="9">
        <v>0</v>
      </c>
      <c r="BG241" s="9">
        <v>0</v>
      </c>
      <c r="BH241" s="9">
        <v>0</v>
      </c>
      <c r="BI241" s="9">
        <v>0</v>
      </c>
      <c r="BJ241" s="9">
        <v>0</v>
      </c>
      <c r="BK241" s="9">
        <v>0</v>
      </c>
      <c r="BL241" s="9">
        <v>0</v>
      </c>
      <c r="BM241" s="9">
        <v>0</v>
      </c>
      <c r="BN241" s="9">
        <v>0</v>
      </c>
      <c r="BO241" s="9">
        <v>0</v>
      </c>
      <c r="BP241" s="9">
        <v>0</v>
      </c>
      <c r="BQ241" s="9">
        <v>0</v>
      </c>
      <c r="BR241" s="9">
        <v>0</v>
      </c>
      <c r="BS241" s="9">
        <v>2</v>
      </c>
      <c r="BT241" s="9">
        <v>1</v>
      </c>
      <c r="BU241" s="9">
        <v>0</v>
      </c>
      <c r="BV241" s="9">
        <v>0</v>
      </c>
      <c r="BW241" s="9">
        <v>0</v>
      </c>
      <c r="BX241" s="9">
        <v>0</v>
      </c>
      <c r="BY241" s="9">
        <v>0</v>
      </c>
      <c r="BZ241" s="9">
        <v>1</v>
      </c>
      <c r="CA241" s="9">
        <v>0</v>
      </c>
      <c r="CB241" s="9">
        <v>0</v>
      </c>
      <c r="CC241" s="9">
        <v>0</v>
      </c>
      <c r="CD241" s="9">
        <v>0</v>
      </c>
      <c r="CE241" s="9">
        <v>0</v>
      </c>
      <c r="CF241" s="9">
        <v>0</v>
      </c>
      <c r="CG241" s="9">
        <v>0</v>
      </c>
      <c r="CH241" s="9">
        <v>1</v>
      </c>
      <c r="CI241" s="9">
        <v>0</v>
      </c>
      <c r="CJ241" s="9">
        <v>0</v>
      </c>
      <c r="CK241" s="9">
        <v>1</v>
      </c>
      <c r="CL241" s="9">
        <v>0</v>
      </c>
      <c r="CM241" s="9">
        <v>0</v>
      </c>
      <c r="CN241" s="9">
        <v>1</v>
      </c>
      <c r="CO241" s="9">
        <v>0</v>
      </c>
      <c r="CP241" s="9">
        <v>0</v>
      </c>
      <c r="CQ241" s="9">
        <v>0</v>
      </c>
      <c r="CR241" s="9">
        <v>1</v>
      </c>
      <c r="CS241" s="10">
        <v>0</v>
      </c>
    </row>
    <row r="242" spans="1:97" x14ac:dyDescent="0.35">
      <c r="A242" s="8" t="s">
        <v>261</v>
      </c>
      <c r="B242" s="9" t="s">
        <v>921</v>
      </c>
      <c r="C242" s="9" t="s">
        <v>922</v>
      </c>
      <c r="D242" s="9">
        <f t="shared" si="3"/>
        <v>0</v>
      </c>
      <c r="E242" s="9">
        <v>0</v>
      </c>
      <c r="F242" s="9">
        <v>0</v>
      </c>
      <c r="G242" s="9">
        <v>0</v>
      </c>
      <c r="H242" s="9">
        <v>0</v>
      </c>
      <c r="I242" s="9">
        <v>0</v>
      </c>
      <c r="J242" s="9">
        <v>0</v>
      </c>
      <c r="K242" s="9">
        <v>0</v>
      </c>
      <c r="L242" s="9">
        <v>0</v>
      </c>
      <c r="M242" s="9">
        <v>0</v>
      </c>
      <c r="N242" s="9">
        <v>0</v>
      </c>
      <c r="O242" s="9">
        <v>0</v>
      </c>
      <c r="P242" s="9">
        <v>0</v>
      </c>
      <c r="Q242" s="9">
        <v>0</v>
      </c>
      <c r="R242" s="9">
        <v>0</v>
      </c>
      <c r="S242" s="9">
        <v>0</v>
      </c>
      <c r="T242" s="9">
        <v>0</v>
      </c>
      <c r="U242" s="9">
        <v>0</v>
      </c>
      <c r="V242" s="9">
        <v>0</v>
      </c>
      <c r="W242" s="9">
        <v>0</v>
      </c>
      <c r="X242" s="9">
        <v>0</v>
      </c>
      <c r="Y242" s="9">
        <v>0</v>
      </c>
      <c r="Z242" s="9">
        <v>0</v>
      </c>
      <c r="AA242" s="9">
        <v>0</v>
      </c>
      <c r="AB242" s="9">
        <v>0</v>
      </c>
      <c r="AC242" s="9">
        <v>0</v>
      </c>
      <c r="AD242" s="9">
        <v>0</v>
      </c>
      <c r="AE242" s="9">
        <v>0</v>
      </c>
      <c r="AF242" s="9">
        <v>0</v>
      </c>
      <c r="AG242" s="9">
        <v>0</v>
      </c>
      <c r="AH242" s="9">
        <v>0</v>
      </c>
      <c r="AI242" s="9">
        <v>0</v>
      </c>
      <c r="AJ242" s="9">
        <v>0</v>
      </c>
      <c r="AK242" s="9">
        <v>0</v>
      </c>
      <c r="AL242" s="9">
        <v>0</v>
      </c>
      <c r="AM242" s="9">
        <v>0</v>
      </c>
      <c r="AN242" s="9">
        <v>0</v>
      </c>
      <c r="AO242" s="9">
        <v>0</v>
      </c>
      <c r="AP242" s="9">
        <v>0</v>
      </c>
      <c r="AQ242" s="9">
        <v>0</v>
      </c>
      <c r="AR242" s="9">
        <v>0</v>
      </c>
      <c r="AS242" s="9">
        <v>0</v>
      </c>
      <c r="AT242" s="9">
        <v>0</v>
      </c>
      <c r="AU242" s="9">
        <v>0</v>
      </c>
      <c r="AV242" s="9">
        <v>0</v>
      </c>
      <c r="AW242" s="9">
        <v>0</v>
      </c>
      <c r="AX242" s="9">
        <v>0</v>
      </c>
      <c r="AY242" s="9">
        <v>0</v>
      </c>
      <c r="AZ242" s="9">
        <v>0</v>
      </c>
      <c r="BA242" s="9">
        <v>0</v>
      </c>
      <c r="BB242" s="9">
        <v>0</v>
      </c>
      <c r="BC242" s="9">
        <v>0</v>
      </c>
      <c r="BD242" s="9">
        <v>0</v>
      </c>
      <c r="BE242" s="9">
        <v>0</v>
      </c>
      <c r="BF242" s="9">
        <v>0</v>
      </c>
      <c r="BG242" s="9">
        <v>0</v>
      </c>
      <c r="BH242" s="9">
        <v>0</v>
      </c>
      <c r="BI242" s="9">
        <v>0</v>
      </c>
      <c r="BJ242" s="9">
        <v>0</v>
      </c>
      <c r="BK242" s="9">
        <v>0</v>
      </c>
      <c r="BL242" s="9">
        <v>0</v>
      </c>
      <c r="BM242" s="9">
        <v>0</v>
      </c>
      <c r="BN242" s="9">
        <v>0</v>
      </c>
      <c r="BO242" s="9">
        <v>0</v>
      </c>
      <c r="BP242" s="9">
        <v>0</v>
      </c>
      <c r="BQ242" s="9">
        <v>0</v>
      </c>
      <c r="BR242" s="9">
        <v>0</v>
      </c>
      <c r="BS242" s="9">
        <v>0</v>
      </c>
      <c r="BT242" s="9">
        <v>0</v>
      </c>
      <c r="BU242" s="9">
        <v>0</v>
      </c>
      <c r="BV242" s="9">
        <v>0</v>
      </c>
      <c r="BW242" s="9">
        <v>0</v>
      </c>
      <c r="BX242" s="9">
        <v>0</v>
      </c>
      <c r="BY242" s="9">
        <v>0</v>
      </c>
      <c r="BZ242" s="9">
        <v>0</v>
      </c>
      <c r="CA242" s="9">
        <v>0</v>
      </c>
      <c r="CB242" s="9">
        <v>0</v>
      </c>
      <c r="CC242" s="9">
        <v>0</v>
      </c>
      <c r="CD242" s="9">
        <v>0</v>
      </c>
      <c r="CE242" s="9">
        <v>0</v>
      </c>
      <c r="CF242" s="9">
        <v>0</v>
      </c>
      <c r="CG242" s="9">
        <v>0</v>
      </c>
      <c r="CH242" s="9">
        <v>0</v>
      </c>
      <c r="CI242" s="9">
        <v>0</v>
      </c>
      <c r="CJ242" s="9">
        <v>0</v>
      </c>
      <c r="CK242" s="9">
        <v>0</v>
      </c>
      <c r="CL242" s="9">
        <v>0</v>
      </c>
      <c r="CM242" s="9">
        <v>0</v>
      </c>
      <c r="CN242" s="9">
        <v>0</v>
      </c>
      <c r="CO242" s="9">
        <v>0</v>
      </c>
      <c r="CP242" s="9">
        <v>0</v>
      </c>
      <c r="CQ242" s="9">
        <v>0</v>
      </c>
      <c r="CR242" s="9">
        <v>0</v>
      </c>
      <c r="CS242" s="10">
        <v>0</v>
      </c>
    </row>
    <row r="243" spans="1:97" x14ac:dyDescent="0.35">
      <c r="A243" s="8" t="s">
        <v>261</v>
      </c>
      <c r="B243" s="9" t="s">
        <v>923</v>
      </c>
      <c r="C243" s="9" t="s">
        <v>924</v>
      </c>
      <c r="D243" s="9">
        <f t="shared" si="3"/>
        <v>0</v>
      </c>
      <c r="E243" s="9">
        <v>0</v>
      </c>
      <c r="F243" s="9">
        <v>0</v>
      </c>
      <c r="G243" s="9">
        <v>0</v>
      </c>
      <c r="H243" s="9">
        <v>0</v>
      </c>
      <c r="I243" s="9">
        <v>0</v>
      </c>
      <c r="J243" s="9">
        <v>0</v>
      </c>
      <c r="K243" s="9">
        <v>0</v>
      </c>
      <c r="L243" s="9">
        <v>0</v>
      </c>
      <c r="M243" s="9">
        <v>0</v>
      </c>
      <c r="N243" s="9">
        <v>0</v>
      </c>
      <c r="O243" s="9">
        <v>0</v>
      </c>
      <c r="P243" s="9">
        <v>0</v>
      </c>
      <c r="Q243" s="9">
        <v>0</v>
      </c>
      <c r="R243" s="9">
        <v>0</v>
      </c>
      <c r="S243" s="9">
        <v>0</v>
      </c>
      <c r="T243" s="9">
        <v>0</v>
      </c>
      <c r="U243" s="9">
        <v>0</v>
      </c>
      <c r="V243" s="9">
        <v>0</v>
      </c>
      <c r="W243" s="9">
        <v>0</v>
      </c>
      <c r="X243" s="9">
        <v>0</v>
      </c>
      <c r="Y243" s="9">
        <v>0</v>
      </c>
      <c r="Z243" s="9">
        <v>0</v>
      </c>
      <c r="AA243" s="9">
        <v>0</v>
      </c>
      <c r="AB243" s="9">
        <v>0</v>
      </c>
      <c r="AC243" s="9">
        <v>0</v>
      </c>
      <c r="AD243" s="9">
        <v>0</v>
      </c>
      <c r="AE243" s="9">
        <v>0</v>
      </c>
      <c r="AF243" s="9">
        <v>0</v>
      </c>
      <c r="AG243" s="9">
        <v>0</v>
      </c>
      <c r="AH243" s="9">
        <v>0</v>
      </c>
      <c r="AI243" s="9">
        <v>0</v>
      </c>
      <c r="AJ243" s="9">
        <v>0</v>
      </c>
      <c r="AK243" s="9">
        <v>0</v>
      </c>
      <c r="AL243" s="9">
        <v>0</v>
      </c>
      <c r="AM243" s="9">
        <v>0</v>
      </c>
      <c r="AN243" s="9">
        <v>0</v>
      </c>
      <c r="AO243" s="9">
        <v>0</v>
      </c>
      <c r="AP243" s="9">
        <v>0</v>
      </c>
      <c r="AQ243" s="9">
        <v>0</v>
      </c>
      <c r="AR243" s="9">
        <v>0</v>
      </c>
      <c r="AS243" s="9">
        <v>0</v>
      </c>
      <c r="AT243" s="9">
        <v>0</v>
      </c>
      <c r="AU243" s="9">
        <v>0</v>
      </c>
      <c r="AV243" s="9">
        <v>0</v>
      </c>
      <c r="AW243" s="9">
        <v>0</v>
      </c>
      <c r="AX243" s="9">
        <v>0</v>
      </c>
      <c r="AY243" s="9">
        <v>0</v>
      </c>
      <c r="AZ243" s="9">
        <v>0</v>
      </c>
      <c r="BA243" s="9">
        <v>0</v>
      </c>
      <c r="BB243" s="9">
        <v>0</v>
      </c>
      <c r="BC243" s="9">
        <v>0</v>
      </c>
      <c r="BD243" s="9">
        <v>0</v>
      </c>
      <c r="BE243" s="9">
        <v>0</v>
      </c>
      <c r="BF243" s="9">
        <v>0</v>
      </c>
      <c r="BG243" s="9">
        <v>0</v>
      </c>
      <c r="BH243" s="9">
        <v>0</v>
      </c>
      <c r="BI243" s="9">
        <v>0</v>
      </c>
      <c r="BJ243" s="9">
        <v>0</v>
      </c>
      <c r="BK243" s="9">
        <v>0</v>
      </c>
      <c r="BL243" s="9">
        <v>0</v>
      </c>
      <c r="BM243" s="9">
        <v>0</v>
      </c>
      <c r="BN243" s="9">
        <v>0</v>
      </c>
      <c r="BO243" s="9">
        <v>0</v>
      </c>
      <c r="BP243" s="9">
        <v>0</v>
      </c>
      <c r="BQ243" s="9">
        <v>0</v>
      </c>
      <c r="BR243" s="9">
        <v>0</v>
      </c>
      <c r="BS243" s="9">
        <v>0</v>
      </c>
      <c r="BT243" s="9">
        <v>0</v>
      </c>
      <c r="BU243" s="9">
        <v>0</v>
      </c>
      <c r="BV243" s="9">
        <v>0</v>
      </c>
      <c r="BW243" s="9">
        <v>0</v>
      </c>
      <c r="BX243" s="9">
        <v>0</v>
      </c>
      <c r="BY243" s="9">
        <v>0</v>
      </c>
      <c r="BZ243" s="9">
        <v>0</v>
      </c>
      <c r="CA243" s="9">
        <v>0</v>
      </c>
      <c r="CB243" s="9">
        <v>0</v>
      </c>
      <c r="CC243" s="9">
        <v>0</v>
      </c>
      <c r="CD243" s="9">
        <v>0</v>
      </c>
      <c r="CE243" s="9">
        <v>0</v>
      </c>
      <c r="CF243" s="9">
        <v>0</v>
      </c>
      <c r="CG243" s="9">
        <v>0</v>
      </c>
      <c r="CH243" s="9">
        <v>0</v>
      </c>
      <c r="CI243" s="9">
        <v>0</v>
      </c>
      <c r="CJ243" s="9">
        <v>0</v>
      </c>
      <c r="CK243" s="9">
        <v>0</v>
      </c>
      <c r="CL243" s="9">
        <v>0</v>
      </c>
      <c r="CM243" s="9">
        <v>0</v>
      </c>
      <c r="CN243" s="9">
        <v>0</v>
      </c>
      <c r="CO243" s="9">
        <v>0</v>
      </c>
      <c r="CP243" s="9">
        <v>0</v>
      </c>
      <c r="CQ243" s="9">
        <v>0</v>
      </c>
      <c r="CR243" s="9">
        <v>0</v>
      </c>
      <c r="CS243" s="10">
        <v>0</v>
      </c>
    </row>
    <row r="244" spans="1:97" x14ac:dyDescent="0.35">
      <c r="A244" s="8" t="s">
        <v>261</v>
      </c>
      <c r="B244" s="9" t="s">
        <v>925</v>
      </c>
      <c r="C244" s="9" t="s">
        <v>926</v>
      </c>
      <c r="D244" s="9">
        <f t="shared" si="3"/>
        <v>0</v>
      </c>
      <c r="E244" s="9">
        <v>0</v>
      </c>
      <c r="F244" s="9">
        <v>0</v>
      </c>
      <c r="G244" s="9">
        <v>0</v>
      </c>
      <c r="H244" s="9">
        <v>0</v>
      </c>
      <c r="I244" s="9">
        <v>0</v>
      </c>
      <c r="J244" s="9">
        <v>0</v>
      </c>
      <c r="K244" s="9">
        <v>0</v>
      </c>
      <c r="L244" s="9">
        <v>0</v>
      </c>
      <c r="M244" s="9">
        <v>0</v>
      </c>
      <c r="N244" s="9">
        <v>0</v>
      </c>
      <c r="O244" s="9">
        <v>0</v>
      </c>
      <c r="P244" s="9">
        <v>0</v>
      </c>
      <c r="Q244" s="9">
        <v>0</v>
      </c>
      <c r="R244" s="9">
        <v>0</v>
      </c>
      <c r="S244" s="9">
        <v>0</v>
      </c>
      <c r="T244" s="9">
        <v>0</v>
      </c>
      <c r="U244" s="9">
        <v>0</v>
      </c>
      <c r="V244" s="9">
        <v>0</v>
      </c>
      <c r="W244" s="9">
        <v>0</v>
      </c>
      <c r="X244" s="9">
        <v>0</v>
      </c>
      <c r="Y244" s="9">
        <v>0</v>
      </c>
      <c r="Z244" s="9">
        <v>0</v>
      </c>
      <c r="AA244" s="9">
        <v>0</v>
      </c>
      <c r="AB244" s="9">
        <v>0</v>
      </c>
      <c r="AC244" s="9">
        <v>0</v>
      </c>
      <c r="AD244" s="9">
        <v>0</v>
      </c>
      <c r="AE244" s="9">
        <v>0</v>
      </c>
      <c r="AF244" s="9">
        <v>0</v>
      </c>
      <c r="AG244" s="9">
        <v>0</v>
      </c>
      <c r="AH244" s="9">
        <v>0</v>
      </c>
      <c r="AI244" s="9">
        <v>0</v>
      </c>
      <c r="AJ244" s="9">
        <v>0</v>
      </c>
      <c r="AK244" s="9">
        <v>0</v>
      </c>
      <c r="AL244" s="9">
        <v>0</v>
      </c>
      <c r="AM244" s="9">
        <v>0</v>
      </c>
      <c r="AN244" s="9">
        <v>0</v>
      </c>
      <c r="AO244" s="9">
        <v>0</v>
      </c>
      <c r="AP244" s="9">
        <v>0</v>
      </c>
      <c r="AQ244" s="9">
        <v>0</v>
      </c>
      <c r="AR244" s="9">
        <v>0</v>
      </c>
      <c r="AS244" s="9">
        <v>0</v>
      </c>
      <c r="AT244" s="9">
        <v>0</v>
      </c>
      <c r="AU244" s="9">
        <v>0</v>
      </c>
      <c r="AV244" s="9">
        <v>0</v>
      </c>
      <c r="AW244" s="9">
        <v>0</v>
      </c>
      <c r="AX244" s="9">
        <v>0</v>
      </c>
      <c r="AY244" s="9">
        <v>0</v>
      </c>
      <c r="AZ244" s="9">
        <v>0</v>
      </c>
      <c r="BA244" s="9">
        <v>0</v>
      </c>
      <c r="BB244" s="9">
        <v>0</v>
      </c>
      <c r="BC244" s="9">
        <v>0</v>
      </c>
      <c r="BD244" s="9">
        <v>0</v>
      </c>
      <c r="BE244" s="9">
        <v>0</v>
      </c>
      <c r="BF244" s="9">
        <v>0</v>
      </c>
      <c r="BG244" s="9">
        <v>0</v>
      </c>
      <c r="BH244" s="9">
        <v>0</v>
      </c>
      <c r="BI244" s="9">
        <v>0</v>
      </c>
      <c r="BJ244" s="9">
        <v>0</v>
      </c>
      <c r="BK244" s="9">
        <v>0</v>
      </c>
      <c r="BL244" s="9">
        <v>0</v>
      </c>
      <c r="BM244" s="9">
        <v>0</v>
      </c>
      <c r="BN244" s="9">
        <v>0</v>
      </c>
      <c r="BO244" s="9">
        <v>0</v>
      </c>
      <c r="BP244" s="9">
        <v>0</v>
      </c>
      <c r="BQ244" s="9">
        <v>0</v>
      </c>
      <c r="BR244" s="9">
        <v>0</v>
      </c>
      <c r="BS244" s="9">
        <v>0</v>
      </c>
      <c r="BT244" s="9">
        <v>0</v>
      </c>
      <c r="BU244" s="9">
        <v>0</v>
      </c>
      <c r="BV244" s="9">
        <v>0</v>
      </c>
      <c r="BW244" s="9">
        <v>0</v>
      </c>
      <c r="BX244" s="9">
        <v>0</v>
      </c>
      <c r="BY244" s="9">
        <v>0</v>
      </c>
      <c r="BZ244" s="9">
        <v>0</v>
      </c>
      <c r="CA244" s="9">
        <v>0</v>
      </c>
      <c r="CB244" s="9">
        <v>0</v>
      </c>
      <c r="CC244" s="9">
        <v>0</v>
      </c>
      <c r="CD244" s="9">
        <v>0</v>
      </c>
      <c r="CE244" s="9">
        <v>0</v>
      </c>
      <c r="CF244" s="9">
        <v>0</v>
      </c>
      <c r="CG244" s="9">
        <v>0</v>
      </c>
      <c r="CH244" s="9">
        <v>0</v>
      </c>
      <c r="CI244" s="9">
        <v>0</v>
      </c>
      <c r="CJ244" s="9">
        <v>0</v>
      </c>
      <c r="CK244" s="9">
        <v>0</v>
      </c>
      <c r="CL244" s="9">
        <v>0</v>
      </c>
      <c r="CM244" s="9">
        <v>0</v>
      </c>
      <c r="CN244" s="9">
        <v>0</v>
      </c>
      <c r="CO244" s="9">
        <v>0</v>
      </c>
      <c r="CP244" s="9">
        <v>0</v>
      </c>
      <c r="CQ244" s="9">
        <v>0</v>
      </c>
      <c r="CR244" s="9">
        <v>0</v>
      </c>
      <c r="CS244" s="10">
        <v>0</v>
      </c>
    </row>
    <row r="245" spans="1:97" x14ac:dyDescent="0.35">
      <c r="A245" s="8" t="s">
        <v>261</v>
      </c>
      <c r="B245" s="9" t="s">
        <v>927</v>
      </c>
      <c r="C245" s="9" t="s">
        <v>928</v>
      </c>
      <c r="D245" s="9">
        <f t="shared" si="3"/>
        <v>0</v>
      </c>
      <c r="E245" s="9">
        <v>0</v>
      </c>
      <c r="F245" s="9">
        <v>0</v>
      </c>
      <c r="G245" s="9">
        <v>0</v>
      </c>
      <c r="H245" s="9">
        <v>0</v>
      </c>
      <c r="I245" s="9">
        <v>0</v>
      </c>
      <c r="J245" s="9">
        <v>0</v>
      </c>
      <c r="K245" s="9">
        <v>0</v>
      </c>
      <c r="L245" s="9">
        <v>0</v>
      </c>
      <c r="M245" s="9">
        <v>0</v>
      </c>
      <c r="N245" s="9">
        <v>0</v>
      </c>
      <c r="O245" s="9">
        <v>0</v>
      </c>
      <c r="P245" s="9">
        <v>0</v>
      </c>
      <c r="Q245" s="9">
        <v>0</v>
      </c>
      <c r="R245" s="9">
        <v>0</v>
      </c>
      <c r="S245" s="9">
        <v>0</v>
      </c>
      <c r="T245" s="9">
        <v>0</v>
      </c>
      <c r="U245" s="9">
        <v>0</v>
      </c>
      <c r="V245" s="9">
        <v>0</v>
      </c>
      <c r="W245" s="9">
        <v>0</v>
      </c>
      <c r="X245" s="9">
        <v>0</v>
      </c>
      <c r="Y245" s="9">
        <v>0</v>
      </c>
      <c r="Z245" s="9">
        <v>0</v>
      </c>
      <c r="AA245" s="9">
        <v>0</v>
      </c>
      <c r="AB245" s="9">
        <v>0</v>
      </c>
      <c r="AC245" s="9">
        <v>0</v>
      </c>
      <c r="AD245" s="9">
        <v>0</v>
      </c>
      <c r="AE245" s="9">
        <v>0</v>
      </c>
      <c r="AF245" s="9">
        <v>0</v>
      </c>
      <c r="AG245" s="9">
        <v>0</v>
      </c>
      <c r="AH245" s="9">
        <v>0</v>
      </c>
      <c r="AI245" s="9">
        <v>0</v>
      </c>
      <c r="AJ245" s="9">
        <v>0</v>
      </c>
      <c r="AK245" s="9">
        <v>0</v>
      </c>
      <c r="AL245" s="9">
        <v>0</v>
      </c>
      <c r="AM245" s="9">
        <v>0</v>
      </c>
      <c r="AN245" s="9">
        <v>0</v>
      </c>
      <c r="AO245" s="9">
        <v>0</v>
      </c>
      <c r="AP245" s="9">
        <v>0</v>
      </c>
      <c r="AQ245" s="9">
        <v>0</v>
      </c>
      <c r="AR245" s="9">
        <v>0</v>
      </c>
      <c r="AS245" s="9">
        <v>0</v>
      </c>
      <c r="AT245" s="9">
        <v>0</v>
      </c>
      <c r="AU245" s="9">
        <v>0</v>
      </c>
      <c r="AV245" s="9">
        <v>0</v>
      </c>
      <c r="AW245" s="9">
        <v>0</v>
      </c>
      <c r="AX245" s="9">
        <v>0</v>
      </c>
      <c r="AY245" s="9">
        <v>0</v>
      </c>
      <c r="AZ245" s="9">
        <v>0</v>
      </c>
      <c r="BA245" s="9">
        <v>0</v>
      </c>
      <c r="BB245" s="9">
        <v>0</v>
      </c>
      <c r="BC245" s="9">
        <v>0</v>
      </c>
      <c r="BD245" s="9">
        <v>0</v>
      </c>
      <c r="BE245" s="9">
        <v>0</v>
      </c>
      <c r="BF245" s="9">
        <v>0</v>
      </c>
      <c r="BG245" s="9">
        <v>0</v>
      </c>
      <c r="BH245" s="9">
        <v>0</v>
      </c>
      <c r="BI245" s="9">
        <v>0</v>
      </c>
      <c r="BJ245" s="9">
        <v>0</v>
      </c>
      <c r="BK245" s="9">
        <v>0</v>
      </c>
      <c r="BL245" s="9">
        <v>0</v>
      </c>
      <c r="BM245" s="9">
        <v>0</v>
      </c>
      <c r="BN245" s="9">
        <v>0</v>
      </c>
      <c r="BO245" s="9">
        <v>0</v>
      </c>
      <c r="BP245" s="9">
        <v>0</v>
      </c>
      <c r="BQ245" s="9">
        <v>0</v>
      </c>
      <c r="BR245" s="9">
        <v>0</v>
      </c>
      <c r="BS245" s="9">
        <v>0</v>
      </c>
      <c r="BT245" s="9">
        <v>0</v>
      </c>
      <c r="BU245" s="9">
        <v>0</v>
      </c>
      <c r="BV245" s="9">
        <v>0</v>
      </c>
      <c r="BW245" s="9">
        <v>0</v>
      </c>
      <c r="BX245" s="9">
        <v>0</v>
      </c>
      <c r="BY245" s="9">
        <v>0</v>
      </c>
      <c r="BZ245" s="9">
        <v>0</v>
      </c>
      <c r="CA245" s="9">
        <v>0</v>
      </c>
      <c r="CB245" s="9">
        <v>0</v>
      </c>
      <c r="CC245" s="9">
        <v>0</v>
      </c>
      <c r="CD245" s="9">
        <v>0</v>
      </c>
      <c r="CE245" s="9">
        <v>0</v>
      </c>
      <c r="CF245" s="9">
        <v>0</v>
      </c>
      <c r="CG245" s="9">
        <v>0</v>
      </c>
      <c r="CH245" s="9">
        <v>0</v>
      </c>
      <c r="CI245" s="9">
        <v>0</v>
      </c>
      <c r="CJ245" s="9">
        <v>0</v>
      </c>
      <c r="CK245" s="9">
        <v>0</v>
      </c>
      <c r="CL245" s="9">
        <v>0</v>
      </c>
      <c r="CM245" s="9">
        <v>0</v>
      </c>
      <c r="CN245" s="9">
        <v>0</v>
      </c>
      <c r="CO245" s="9">
        <v>0</v>
      </c>
      <c r="CP245" s="9">
        <v>0</v>
      </c>
      <c r="CQ245" s="9">
        <v>0</v>
      </c>
      <c r="CR245" s="9">
        <v>0</v>
      </c>
      <c r="CS245" s="10">
        <v>0</v>
      </c>
    </row>
    <row r="246" spans="1:97" x14ac:dyDescent="0.35">
      <c r="A246" s="8" t="s">
        <v>261</v>
      </c>
      <c r="B246" s="9" t="s">
        <v>929</v>
      </c>
      <c r="C246" s="9" t="s">
        <v>930</v>
      </c>
      <c r="D246" s="9">
        <f t="shared" si="3"/>
        <v>0</v>
      </c>
      <c r="E246" s="9">
        <v>0</v>
      </c>
      <c r="F246" s="9">
        <v>0</v>
      </c>
      <c r="G246" s="9">
        <v>0</v>
      </c>
      <c r="H246" s="9">
        <v>0</v>
      </c>
      <c r="I246" s="9">
        <v>0</v>
      </c>
      <c r="J246" s="9">
        <v>0</v>
      </c>
      <c r="K246" s="9">
        <v>0</v>
      </c>
      <c r="L246" s="9">
        <v>0</v>
      </c>
      <c r="M246" s="9">
        <v>0</v>
      </c>
      <c r="N246" s="9">
        <v>0</v>
      </c>
      <c r="O246" s="9">
        <v>0</v>
      </c>
      <c r="P246" s="9">
        <v>0</v>
      </c>
      <c r="Q246" s="9">
        <v>0</v>
      </c>
      <c r="R246" s="9">
        <v>0</v>
      </c>
      <c r="S246" s="9">
        <v>0</v>
      </c>
      <c r="T246" s="9">
        <v>0</v>
      </c>
      <c r="U246" s="9">
        <v>0</v>
      </c>
      <c r="V246" s="9">
        <v>0</v>
      </c>
      <c r="W246" s="9">
        <v>0</v>
      </c>
      <c r="X246" s="9">
        <v>0</v>
      </c>
      <c r="Y246" s="9">
        <v>0</v>
      </c>
      <c r="Z246" s="9">
        <v>0</v>
      </c>
      <c r="AA246" s="9">
        <v>0</v>
      </c>
      <c r="AB246" s="9">
        <v>0</v>
      </c>
      <c r="AC246" s="9">
        <v>0</v>
      </c>
      <c r="AD246" s="9">
        <v>0</v>
      </c>
      <c r="AE246" s="9">
        <v>0</v>
      </c>
      <c r="AF246" s="9">
        <v>0</v>
      </c>
      <c r="AG246" s="9">
        <v>0</v>
      </c>
      <c r="AH246" s="9">
        <v>0</v>
      </c>
      <c r="AI246" s="9">
        <v>0</v>
      </c>
      <c r="AJ246" s="9">
        <v>0</v>
      </c>
      <c r="AK246" s="9">
        <v>0</v>
      </c>
      <c r="AL246" s="9">
        <v>0</v>
      </c>
      <c r="AM246" s="9">
        <v>0</v>
      </c>
      <c r="AN246" s="9">
        <v>0</v>
      </c>
      <c r="AO246" s="9">
        <v>0</v>
      </c>
      <c r="AP246" s="9">
        <v>0</v>
      </c>
      <c r="AQ246" s="9">
        <v>0</v>
      </c>
      <c r="AR246" s="9">
        <v>0</v>
      </c>
      <c r="AS246" s="9">
        <v>0</v>
      </c>
      <c r="AT246" s="9">
        <v>0</v>
      </c>
      <c r="AU246" s="9">
        <v>0</v>
      </c>
      <c r="AV246" s="9">
        <v>0</v>
      </c>
      <c r="AW246" s="9">
        <v>0</v>
      </c>
      <c r="AX246" s="9">
        <v>0</v>
      </c>
      <c r="AY246" s="9">
        <v>0</v>
      </c>
      <c r="AZ246" s="9">
        <v>0</v>
      </c>
      <c r="BA246" s="9">
        <v>0</v>
      </c>
      <c r="BB246" s="9">
        <v>0</v>
      </c>
      <c r="BC246" s="9">
        <v>0</v>
      </c>
      <c r="BD246" s="9">
        <v>0</v>
      </c>
      <c r="BE246" s="9">
        <v>0</v>
      </c>
      <c r="BF246" s="9">
        <v>0</v>
      </c>
      <c r="BG246" s="9">
        <v>0</v>
      </c>
      <c r="BH246" s="9">
        <v>0</v>
      </c>
      <c r="BI246" s="9">
        <v>0</v>
      </c>
      <c r="BJ246" s="9">
        <v>0</v>
      </c>
      <c r="BK246" s="9">
        <v>0</v>
      </c>
      <c r="BL246" s="9">
        <v>0</v>
      </c>
      <c r="BM246" s="9">
        <v>0</v>
      </c>
      <c r="BN246" s="9">
        <v>0</v>
      </c>
      <c r="BO246" s="9">
        <v>0</v>
      </c>
      <c r="BP246" s="9">
        <v>0</v>
      </c>
      <c r="BQ246" s="9">
        <v>0</v>
      </c>
      <c r="BR246" s="9">
        <v>0</v>
      </c>
      <c r="BS246" s="9">
        <v>0</v>
      </c>
      <c r="BT246" s="9">
        <v>0</v>
      </c>
      <c r="BU246" s="9">
        <v>0</v>
      </c>
      <c r="BV246" s="9">
        <v>0</v>
      </c>
      <c r="BW246" s="9">
        <v>0</v>
      </c>
      <c r="BX246" s="9">
        <v>0</v>
      </c>
      <c r="BY246" s="9">
        <v>0</v>
      </c>
      <c r="BZ246" s="9">
        <v>0</v>
      </c>
      <c r="CA246" s="9">
        <v>0</v>
      </c>
      <c r="CB246" s="9">
        <v>0</v>
      </c>
      <c r="CC246" s="9">
        <v>0</v>
      </c>
      <c r="CD246" s="9">
        <v>0</v>
      </c>
      <c r="CE246" s="9">
        <v>0</v>
      </c>
      <c r="CF246" s="9">
        <v>0</v>
      </c>
      <c r="CG246" s="9">
        <v>0</v>
      </c>
      <c r="CH246" s="9">
        <v>0</v>
      </c>
      <c r="CI246" s="9">
        <v>0</v>
      </c>
      <c r="CJ246" s="9">
        <v>0</v>
      </c>
      <c r="CK246" s="9">
        <v>0</v>
      </c>
      <c r="CL246" s="9">
        <v>0</v>
      </c>
      <c r="CM246" s="9">
        <v>0</v>
      </c>
      <c r="CN246" s="9">
        <v>0</v>
      </c>
      <c r="CO246" s="9">
        <v>0</v>
      </c>
      <c r="CP246" s="9">
        <v>0</v>
      </c>
      <c r="CQ246" s="9">
        <v>0</v>
      </c>
      <c r="CR246" s="9">
        <v>0</v>
      </c>
      <c r="CS246" s="10">
        <v>0</v>
      </c>
    </row>
    <row r="247" spans="1:97" x14ac:dyDescent="0.35">
      <c r="A247" s="8" t="s">
        <v>261</v>
      </c>
      <c r="B247" s="9" t="s">
        <v>931</v>
      </c>
      <c r="C247" s="9" t="s">
        <v>932</v>
      </c>
      <c r="D247" s="9">
        <f t="shared" si="3"/>
        <v>0</v>
      </c>
      <c r="E247" s="9">
        <v>0</v>
      </c>
      <c r="F247" s="9">
        <v>0</v>
      </c>
      <c r="G247" s="9">
        <v>0</v>
      </c>
      <c r="H247" s="9">
        <v>0</v>
      </c>
      <c r="I247" s="9">
        <v>0</v>
      </c>
      <c r="J247" s="9">
        <v>0</v>
      </c>
      <c r="K247" s="9">
        <v>0</v>
      </c>
      <c r="L247" s="9">
        <v>0</v>
      </c>
      <c r="M247" s="9">
        <v>0</v>
      </c>
      <c r="N247" s="9">
        <v>0</v>
      </c>
      <c r="O247" s="9">
        <v>0</v>
      </c>
      <c r="P247" s="9">
        <v>0</v>
      </c>
      <c r="Q247" s="9">
        <v>0</v>
      </c>
      <c r="R247" s="9">
        <v>0</v>
      </c>
      <c r="S247" s="9">
        <v>0</v>
      </c>
      <c r="T247" s="9">
        <v>0</v>
      </c>
      <c r="U247" s="9">
        <v>0</v>
      </c>
      <c r="V247" s="9">
        <v>0</v>
      </c>
      <c r="W247" s="9">
        <v>0</v>
      </c>
      <c r="X247" s="9">
        <v>0</v>
      </c>
      <c r="Y247" s="9">
        <v>0</v>
      </c>
      <c r="Z247" s="9">
        <v>0</v>
      </c>
      <c r="AA247" s="9">
        <v>0</v>
      </c>
      <c r="AB247" s="9">
        <v>0</v>
      </c>
      <c r="AC247" s="9">
        <v>0</v>
      </c>
      <c r="AD247" s="9">
        <v>0</v>
      </c>
      <c r="AE247" s="9">
        <v>0</v>
      </c>
      <c r="AF247" s="9">
        <v>0</v>
      </c>
      <c r="AG247" s="9">
        <v>0</v>
      </c>
      <c r="AH247" s="9">
        <v>0</v>
      </c>
      <c r="AI247" s="9">
        <v>0</v>
      </c>
      <c r="AJ247" s="9">
        <v>0</v>
      </c>
      <c r="AK247" s="9">
        <v>0</v>
      </c>
      <c r="AL247" s="9">
        <v>0</v>
      </c>
      <c r="AM247" s="9">
        <v>0</v>
      </c>
      <c r="AN247" s="9">
        <v>0</v>
      </c>
      <c r="AO247" s="9">
        <v>0</v>
      </c>
      <c r="AP247" s="9">
        <v>0</v>
      </c>
      <c r="AQ247" s="9">
        <v>0</v>
      </c>
      <c r="AR247" s="9">
        <v>0</v>
      </c>
      <c r="AS247" s="9">
        <v>0</v>
      </c>
      <c r="AT247" s="9">
        <v>0</v>
      </c>
      <c r="AU247" s="9">
        <v>0</v>
      </c>
      <c r="AV247" s="9">
        <v>0</v>
      </c>
      <c r="AW247" s="9">
        <v>0</v>
      </c>
      <c r="AX247" s="9">
        <v>0</v>
      </c>
      <c r="AY247" s="9">
        <v>0</v>
      </c>
      <c r="AZ247" s="9">
        <v>0</v>
      </c>
      <c r="BA247" s="9">
        <v>0</v>
      </c>
      <c r="BB247" s="9">
        <v>0</v>
      </c>
      <c r="BC247" s="9">
        <v>0</v>
      </c>
      <c r="BD247" s="9">
        <v>0</v>
      </c>
      <c r="BE247" s="9">
        <v>0</v>
      </c>
      <c r="BF247" s="9">
        <v>0</v>
      </c>
      <c r="BG247" s="9">
        <v>0</v>
      </c>
      <c r="BH247" s="9">
        <v>0</v>
      </c>
      <c r="BI247" s="9">
        <v>0</v>
      </c>
      <c r="BJ247" s="9">
        <v>0</v>
      </c>
      <c r="BK247" s="9">
        <v>0</v>
      </c>
      <c r="BL247" s="9">
        <v>0</v>
      </c>
      <c r="BM247" s="9">
        <v>0</v>
      </c>
      <c r="BN247" s="9">
        <v>0</v>
      </c>
      <c r="BO247" s="9">
        <v>0</v>
      </c>
      <c r="BP247" s="9">
        <v>0</v>
      </c>
      <c r="BQ247" s="9">
        <v>0</v>
      </c>
      <c r="BR247" s="9">
        <v>0</v>
      </c>
      <c r="BS247" s="9">
        <v>0</v>
      </c>
      <c r="BT247" s="9">
        <v>0</v>
      </c>
      <c r="BU247" s="9">
        <v>0</v>
      </c>
      <c r="BV247" s="9">
        <v>0</v>
      </c>
      <c r="BW247" s="9">
        <v>0</v>
      </c>
      <c r="BX247" s="9">
        <v>0</v>
      </c>
      <c r="BY247" s="9">
        <v>0</v>
      </c>
      <c r="BZ247" s="9">
        <v>0</v>
      </c>
      <c r="CA247" s="9">
        <v>0</v>
      </c>
      <c r="CB247" s="9">
        <v>0</v>
      </c>
      <c r="CC247" s="9">
        <v>0</v>
      </c>
      <c r="CD247" s="9">
        <v>0</v>
      </c>
      <c r="CE247" s="9">
        <v>0</v>
      </c>
      <c r="CF247" s="9">
        <v>0</v>
      </c>
      <c r="CG247" s="9">
        <v>0</v>
      </c>
      <c r="CH247" s="9">
        <v>0</v>
      </c>
      <c r="CI247" s="9">
        <v>0</v>
      </c>
      <c r="CJ247" s="9">
        <v>0</v>
      </c>
      <c r="CK247" s="9">
        <v>0</v>
      </c>
      <c r="CL247" s="9">
        <v>0</v>
      </c>
      <c r="CM247" s="9">
        <v>0</v>
      </c>
      <c r="CN247" s="9">
        <v>0</v>
      </c>
      <c r="CO247" s="9">
        <v>0</v>
      </c>
      <c r="CP247" s="9">
        <v>0</v>
      </c>
      <c r="CQ247" s="9">
        <v>0</v>
      </c>
      <c r="CR247" s="9">
        <v>0</v>
      </c>
      <c r="CS247" s="10">
        <v>0</v>
      </c>
    </row>
    <row r="248" spans="1:97" x14ac:dyDescent="0.35">
      <c r="A248" s="8" t="s">
        <v>261</v>
      </c>
      <c r="B248" s="9" t="s">
        <v>933</v>
      </c>
      <c r="C248" s="9" t="s">
        <v>934</v>
      </c>
      <c r="D248" s="9">
        <f t="shared" si="3"/>
        <v>0</v>
      </c>
      <c r="E248" s="9">
        <v>0</v>
      </c>
      <c r="F248" s="9">
        <v>0</v>
      </c>
      <c r="G248" s="9">
        <v>0</v>
      </c>
      <c r="H248" s="9">
        <v>0</v>
      </c>
      <c r="I248" s="9">
        <v>0</v>
      </c>
      <c r="J248" s="9">
        <v>0</v>
      </c>
      <c r="K248" s="9">
        <v>0</v>
      </c>
      <c r="L248" s="9">
        <v>0</v>
      </c>
      <c r="M248" s="9">
        <v>0</v>
      </c>
      <c r="N248" s="9">
        <v>0</v>
      </c>
      <c r="O248" s="9">
        <v>0</v>
      </c>
      <c r="P248" s="9">
        <v>0</v>
      </c>
      <c r="Q248" s="9">
        <v>0</v>
      </c>
      <c r="R248" s="9">
        <v>0</v>
      </c>
      <c r="S248" s="9">
        <v>0</v>
      </c>
      <c r="T248" s="9">
        <v>0</v>
      </c>
      <c r="U248" s="9">
        <v>0</v>
      </c>
      <c r="V248" s="9">
        <v>0</v>
      </c>
      <c r="W248" s="9">
        <v>0</v>
      </c>
      <c r="X248" s="9">
        <v>0</v>
      </c>
      <c r="Y248" s="9">
        <v>0</v>
      </c>
      <c r="Z248" s="9">
        <v>0</v>
      </c>
      <c r="AA248" s="9">
        <v>0</v>
      </c>
      <c r="AB248" s="9">
        <v>0</v>
      </c>
      <c r="AC248" s="9">
        <v>0</v>
      </c>
      <c r="AD248" s="9">
        <v>0</v>
      </c>
      <c r="AE248" s="9">
        <v>0</v>
      </c>
      <c r="AF248" s="9">
        <v>0</v>
      </c>
      <c r="AG248" s="9">
        <v>0</v>
      </c>
      <c r="AH248" s="9">
        <v>0</v>
      </c>
      <c r="AI248" s="9">
        <v>0</v>
      </c>
      <c r="AJ248" s="9">
        <v>0</v>
      </c>
      <c r="AK248" s="9">
        <v>0</v>
      </c>
      <c r="AL248" s="9">
        <v>0</v>
      </c>
      <c r="AM248" s="9">
        <v>0</v>
      </c>
      <c r="AN248" s="9">
        <v>0</v>
      </c>
      <c r="AO248" s="9">
        <v>0</v>
      </c>
      <c r="AP248" s="9">
        <v>0</v>
      </c>
      <c r="AQ248" s="9">
        <v>0</v>
      </c>
      <c r="AR248" s="9">
        <v>0</v>
      </c>
      <c r="AS248" s="9">
        <v>0</v>
      </c>
      <c r="AT248" s="9">
        <v>0</v>
      </c>
      <c r="AU248" s="9">
        <v>0</v>
      </c>
      <c r="AV248" s="9">
        <v>0</v>
      </c>
      <c r="AW248" s="9">
        <v>0</v>
      </c>
      <c r="AX248" s="9">
        <v>0</v>
      </c>
      <c r="AY248" s="9">
        <v>0</v>
      </c>
      <c r="AZ248" s="9">
        <v>0</v>
      </c>
      <c r="BA248" s="9">
        <v>0</v>
      </c>
      <c r="BB248" s="9">
        <v>0</v>
      </c>
      <c r="BC248" s="9">
        <v>0</v>
      </c>
      <c r="BD248" s="9">
        <v>0</v>
      </c>
      <c r="BE248" s="9">
        <v>0</v>
      </c>
      <c r="BF248" s="9">
        <v>0</v>
      </c>
      <c r="BG248" s="9">
        <v>0</v>
      </c>
      <c r="BH248" s="9">
        <v>0</v>
      </c>
      <c r="BI248" s="9">
        <v>0</v>
      </c>
      <c r="BJ248" s="9">
        <v>0</v>
      </c>
      <c r="BK248" s="9">
        <v>0</v>
      </c>
      <c r="BL248" s="9">
        <v>0</v>
      </c>
      <c r="BM248" s="9">
        <v>0</v>
      </c>
      <c r="BN248" s="9">
        <v>0</v>
      </c>
      <c r="BO248" s="9">
        <v>0</v>
      </c>
      <c r="BP248" s="9">
        <v>0</v>
      </c>
      <c r="BQ248" s="9">
        <v>0</v>
      </c>
      <c r="BR248" s="9">
        <v>0</v>
      </c>
      <c r="BS248" s="9">
        <v>0</v>
      </c>
      <c r="BT248" s="9">
        <v>0</v>
      </c>
      <c r="BU248" s="9">
        <v>0</v>
      </c>
      <c r="BV248" s="9">
        <v>0</v>
      </c>
      <c r="BW248" s="9">
        <v>0</v>
      </c>
      <c r="BX248" s="9">
        <v>0</v>
      </c>
      <c r="BY248" s="9">
        <v>0</v>
      </c>
      <c r="BZ248" s="9">
        <v>0</v>
      </c>
      <c r="CA248" s="9">
        <v>0</v>
      </c>
      <c r="CB248" s="9">
        <v>0</v>
      </c>
      <c r="CC248" s="9">
        <v>0</v>
      </c>
      <c r="CD248" s="9">
        <v>0</v>
      </c>
      <c r="CE248" s="9">
        <v>0</v>
      </c>
      <c r="CF248" s="9">
        <v>0</v>
      </c>
      <c r="CG248" s="9">
        <v>0</v>
      </c>
      <c r="CH248" s="9">
        <v>0</v>
      </c>
      <c r="CI248" s="9">
        <v>0</v>
      </c>
      <c r="CJ248" s="9">
        <v>0</v>
      </c>
      <c r="CK248" s="9">
        <v>0</v>
      </c>
      <c r="CL248" s="9">
        <v>0</v>
      </c>
      <c r="CM248" s="9">
        <v>0</v>
      </c>
      <c r="CN248" s="9">
        <v>0</v>
      </c>
      <c r="CO248" s="9">
        <v>0</v>
      </c>
      <c r="CP248" s="9">
        <v>0</v>
      </c>
      <c r="CQ248" s="9">
        <v>0</v>
      </c>
      <c r="CR248" s="9">
        <v>0</v>
      </c>
      <c r="CS248" s="10">
        <v>0</v>
      </c>
    </row>
    <row r="249" spans="1:97" x14ac:dyDescent="0.35">
      <c r="A249" s="8" t="s">
        <v>261</v>
      </c>
      <c r="B249" s="9" t="s">
        <v>270</v>
      </c>
      <c r="C249" s="9" t="s">
        <v>935</v>
      </c>
      <c r="D249" s="9">
        <f t="shared" si="3"/>
        <v>2</v>
      </c>
      <c r="E249" s="9">
        <v>0</v>
      </c>
      <c r="F249" s="9">
        <v>0</v>
      </c>
      <c r="G249" s="9">
        <v>0</v>
      </c>
      <c r="H249" s="9">
        <v>0</v>
      </c>
      <c r="I249" s="9">
        <v>0</v>
      </c>
      <c r="J249" s="9">
        <v>0</v>
      </c>
      <c r="K249" s="9">
        <v>0</v>
      </c>
      <c r="L249" s="9">
        <v>0</v>
      </c>
      <c r="M249" s="9">
        <v>0</v>
      </c>
      <c r="N249" s="9">
        <v>0</v>
      </c>
      <c r="O249" s="9">
        <v>0</v>
      </c>
      <c r="P249" s="9">
        <v>0</v>
      </c>
      <c r="Q249" s="9">
        <v>0</v>
      </c>
      <c r="R249" s="9">
        <v>0</v>
      </c>
      <c r="S249" s="9">
        <v>0</v>
      </c>
      <c r="T249" s="9">
        <v>0</v>
      </c>
      <c r="U249" s="9">
        <v>0</v>
      </c>
      <c r="V249" s="9">
        <v>0</v>
      </c>
      <c r="W249" s="9">
        <v>0</v>
      </c>
      <c r="X249" s="9">
        <v>0</v>
      </c>
      <c r="Y249" s="9">
        <v>0</v>
      </c>
      <c r="Z249" s="9">
        <v>0</v>
      </c>
      <c r="AA249" s="9">
        <v>0</v>
      </c>
      <c r="AB249" s="9">
        <v>0</v>
      </c>
      <c r="AC249" s="9">
        <v>0</v>
      </c>
      <c r="AD249" s="9">
        <v>0</v>
      </c>
      <c r="AE249" s="9">
        <v>0</v>
      </c>
      <c r="AF249" s="9">
        <v>0</v>
      </c>
      <c r="AG249" s="9">
        <v>0</v>
      </c>
      <c r="AH249" s="9">
        <v>0</v>
      </c>
      <c r="AI249" s="9">
        <v>0</v>
      </c>
      <c r="AJ249" s="9">
        <v>0</v>
      </c>
      <c r="AK249" s="9">
        <v>0</v>
      </c>
      <c r="AL249" s="9">
        <v>0</v>
      </c>
      <c r="AM249" s="9">
        <v>0</v>
      </c>
      <c r="AN249" s="9">
        <v>0</v>
      </c>
      <c r="AO249" s="9">
        <v>0</v>
      </c>
      <c r="AP249" s="9">
        <v>0</v>
      </c>
      <c r="AQ249" s="9">
        <v>0</v>
      </c>
      <c r="AR249" s="9">
        <v>0</v>
      </c>
      <c r="AS249" s="9">
        <v>0</v>
      </c>
      <c r="AT249" s="9">
        <v>0</v>
      </c>
      <c r="AU249" s="9">
        <v>0</v>
      </c>
      <c r="AV249" s="9">
        <v>0</v>
      </c>
      <c r="AW249" s="9">
        <v>0</v>
      </c>
      <c r="AX249" s="9">
        <v>0</v>
      </c>
      <c r="AY249" s="9">
        <v>0</v>
      </c>
      <c r="AZ249" s="9">
        <v>0</v>
      </c>
      <c r="BA249" s="9">
        <v>0</v>
      </c>
      <c r="BB249" s="9">
        <v>0</v>
      </c>
      <c r="BC249" s="9">
        <v>0</v>
      </c>
      <c r="BD249" s="9">
        <v>0</v>
      </c>
      <c r="BE249" s="9">
        <v>0</v>
      </c>
      <c r="BF249" s="9">
        <v>0</v>
      </c>
      <c r="BG249" s="9">
        <v>0</v>
      </c>
      <c r="BH249" s="9">
        <v>0</v>
      </c>
      <c r="BI249" s="9">
        <v>0</v>
      </c>
      <c r="BJ249" s="9">
        <v>0</v>
      </c>
      <c r="BK249" s="9">
        <v>0</v>
      </c>
      <c r="BL249" s="9">
        <v>0</v>
      </c>
      <c r="BM249" s="9">
        <v>0</v>
      </c>
      <c r="BN249" s="9">
        <v>0</v>
      </c>
      <c r="BO249" s="9">
        <v>0</v>
      </c>
      <c r="BP249" s="9">
        <v>0</v>
      </c>
      <c r="BQ249" s="9">
        <v>0</v>
      </c>
      <c r="BR249" s="9">
        <v>0</v>
      </c>
      <c r="BS249" s="9">
        <v>0</v>
      </c>
      <c r="BT249" s="9">
        <v>0</v>
      </c>
      <c r="BU249" s="9">
        <v>0</v>
      </c>
      <c r="BV249" s="9">
        <v>0</v>
      </c>
      <c r="BW249" s="9">
        <v>0</v>
      </c>
      <c r="BX249" s="9">
        <v>0</v>
      </c>
      <c r="BY249" s="9">
        <v>0</v>
      </c>
      <c r="BZ249" s="9">
        <v>0</v>
      </c>
      <c r="CA249" s="9">
        <v>0</v>
      </c>
      <c r="CB249" s="9">
        <v>0</v>
      </c>
      <c r="CC249" s="9">
        <v>0</v>
      </c>
      <c r="CD249" s="9">
        <v>0</v>
      </c>
      <c r="CE249" s="9">
        <v>0</v>
      </c>
      <c r="CF249" s="9">
        <v>0</v>
      </c>
      <c r="CG249" s="9">
        <v>0</v>
      </c>
      <c r="CH249" s="9">
        <v>0</v>
      </c>
      <c r="CI249" s="9">
        <v>0</v>
      </c>
      <c r="CJ249" s="9">
        <v>1</v>
      </c>
      <c r="CK249" s="9">
        <v>0</v>
      </c>
      <c r="CL249" s="9">
        <v>0</v>
      </c>
      <c r="CM249" s="9">
        <v>0</v>
      </c>
      <c r="CN249" s="9">
        <v>0</v>
      </c>
      <c r="CO249" s="9">
        <v>1</v>
      </c>
      <c r="CP249" s="9">
        <v>0</v>
      </c>
      <c r="CQ249" s="9">
        <v>0</v>
      </c>
      <c r="CR249" s="9">
        <v>0</v>
      </c>
      <c r="CS249" s="10">
        <v>0</v>
      </c>
    </row>
    <row r="250" spans="1:97" x14ac:dyDescent="0.35">
      <c r="A250" s="8" t="s">
        <v>261</v>
      </c>
      <c r="B250" s="9" t="s">
        <v>936</v>
      </c>
      <c r="C250" s="9" t="s">
        <v>937</v>
      </c>
      <c r="D250" s="9">
        <f t="shared" si="3"/>
        <v>0</v>
      </c>
      <c r="E250" s="9">
        <v>0</v>
      </c>
      <c r="F250" s="9">
        <v>0</v>
      </c>
      <c r="G250" s="9">
        <v>0</v>
      </c>
      <c r="H250" s="9">
        <v>0</v>
      </c>
      <c r="I250" s="9">
        <v>0</v>
      </c>
      <c r="J250" s="9">
        <v>0</v>
      </c>
      <c r="K250" s="9">
        <v>0</v>
      </c>
      <c r="L250" s="9">
        <v>0</v>
      </c>
      <c r="M250" s="9">
        <v>0</v>
      </c>
      <c r="N250" s="9">
        <v>0</v>
      </c>
      <c r="O250" s="9">
        <v>0</v>
      </c>
      <c r="P250" s="9">
        <v>0</v>
      </c>
      <c r="Q250" s="9">
        <v>0</v>
      </c>
      <c r="R250" s="9">
        <v>0</v>
      </c>
      <c r="S250" s="9">
        <v>0</v>
      </c>
      <c r="T250" s="9">
        <v>0</v>
      </c>
      <c r="U250" s="9">
        <v>0</v>
      </c>
      <c r="V250" s="9">
        <v>0</v>
      </c>
      <c r="W250" s="9">
        <v>0</v>
      </c>
      <c r="X250" s="9">
        <v>0</v>
      </c>
      <c r="Y250" s="9">
        <v>0</v>
      </c>
      <c r="Z250" s="9">
        <v>0</v>
      </c>
      <c r="AA250" s="9">
        <v>0</v>
      </c>
      <c r="AB250" s="9">
        <v>0</v>
      </c>
      <c r="AC250" s="9">
        <v>0</v>
      </c>
      <c r="AD250" s="9">
        <v>0</v>
      </c>
      <c r="AE250" s="9">
        <v>0</v>
      </c>
      <c r="AF250" s="9">
        <v>0</v>
      </c>
      <c r="AG250" s="9">
        <v>0</v>
      </c>
      <c r="AH250" s="9">
        <v>0</v>
      </c>
      <c r="AI250" s="9">
        <v>0</v>
      </c>
      <c r="AJ250" s="9">
        <v>0</v>
      </c>
      <c r="AK250" s="9">
        <v>0</v>
      </c>
      <c r="AL250" s="9">
        <v>0</v>
      </c>
      <c r="AM250" s="9">
        <v>0</v>
      </c>
      <c r="AN250" s="9">
        <v>0</v>
      </c>
      <c r="AO250" s="9">
        <v>0</v>
      </c>
      <c r="AP250" s="9">
        <v>0</v>
      </c>
      <c r="AQ250" s="9">
        <v>0</v>
      </c>
      <c r="AR250" s="9">
        <v>0</v>
      </c>
      <c r="AS250" s="9">
        <v>0</v>
      </c>
      <c r="AT250" s="9">
        <v>0</v>
      </c>
      <c r="AU250" s="9">
        <v>0</v>
      </c>
      <c r="AV250" s="9">
        <v>0</v>
      </c>
      <c r="AW250" s="9">
        <v>0</v>
      </c>
      <c r="AX250" s="9">
        <v>0</v>
      </c>
      <c r="AY250" s="9">
        <v>0</v>
      </c>
      <c r="AZ250" s="9">
        <v>0</v>
      </c>
      <c r="BA250" s="9">
        <v>0</v>
      </c>
      <c r="BB250" s="9">
        <v>0</v>
      </c>
      <c r="BC250" s="9">
        <v>0</v>
      </c>
      <c r="BD250" s="9">
        <v>0</v>
      </c>
      <c r="BE250" s="9">
        <v>0</v>
      </c>
      <c r="BF250" s="9">
        <v>0</v>
      </c>
      <c r="BG250" s="9">
        <v>0</v>
      </c>
      <c r="BH250" s="9">
        <v>0</v>
      </c>
      <c r="BI250" s="9">
        <v>0</v>
      </c>
      <c r="BJ250" s="9">
        <v>0</v>
      </c>
      <c r="BK250" s="9">
        <v>0</v>
      </c>
      <c r="BL250" s="9">
        <v>0</v>
      </c>
      <c r="BM250" s="9">
        <v>0</v>
      </c>
      <c r="BN250" s="9">
        <v>0</v>
      </c>
      <c r="BO250" s="9">
        <v>0</v>
      </c>
      <c r="BP250" s="9">
        <v>0</v>
      </c>
      <c r="BQ250" s="9">
        <v>0</v>
      </c>
      <c r="BR250" s="9">
        <v>0</v>
      </c>
      <c r="BS250" s="9">
        <v>0</v>
      </c>
      <c r="BT250" s="9">
        <v>0</v>
      </c>
      <c r="BU250" s="9">
        <v>0</v>
      </c>
      <c r="BV250" s="9">
        <v>0</v>
      </c>
      <c r="BW250" s="9">
        <v>0</v>
      </c>
      <c r="BX250" s="9">
        <v>0</v>
      </c>
      <c r="BY250" s="9">
        <v>0</v>
      </c>
      <c r="BZ250" s="9">
        <v>0</v>
      </c>
      <c r="CA250" s="9">
        <v>0</v>
      </c>
      <c r="CB250" s="9">
        <v>0</v>
      </c>
      <c r="CC250" s="9">
        <v>0</v>
      </c>
      <c r="CD250" s="9">
        <v>0</v>
      </c>
      <c r="CE250" s="9">
        <v>0</v>
      </c>
      <c r="CF250" s="9">
        <v>0</v>
      </c>
      <c r="CG250" s="9">
        <v>0</v>
      </c>
      <c r="CH250" s="9">
        <v>0</v>
      </c>
      <c r="CI250" s="9">
        <v>0</v>
      </c>
      <c r="CJ250" s="9">
        <v>0</v>
      </c>
      <c r="CK250" s="9">
        <v>0</v>
      </c>
      <c r="CL250" s="9">
        <v>0</v>
      </c>
      <c r="CM250" s="9">
        <v>0</v>
      </c>
      <c r="CN250" s="9">
        <v>0</v>
      </c>
      <c r="CO250" s="9">
        <v>0</v>
      </c>
      <c r="CP250" s="9">
        <v>0</v>
      </c>
      <c r="CQ250" s="9">
        <v>0</v>
      </c>
      <c r="CR250" s="9">
        <v>0</v>
      </c>
      <c r="CS250" s="10">
        <v>0</v>
      </c>
    </row>
    <row r="251" spans="1:97" x14ac:dyDescent="0.35">
      <c r="A251" s="8" t="s">
        <v>261</v>
      </c>
      <c r="B251" s="9" t="s">
        <v>274</v>
      </c>
      <c r="C251" s="9" t="s">
        <v>938</v>
      </c>
      <c r="D251" s="9">
        <f t="shared" si="3"/>
        <v>1</v>
      </c>
      <c r="E251" s="9">
        <v>0</v>
      </c>
      <c r="F251" s="9">
        <v>0</v>
      </c>
      <c r="G251" s="9">
        <v>0</v>
      </c>
      <c r="H251" s="9">
        <v>0</v>
      </c>
      <c r="I251" s="9">
        <v>0</v>
      </c>
      <c r="J251" s="9">
        <v>0</v>
      </c>
      <c r="K251" s="9">
        <v>0</v>
      </c>
      <c r="L251" s="9">
        <v>0</v>
      </c>
      <c r="M251" s="9">
        <v>0</v>
      </c>
      <c r="N251" s="9">
        <v>0</v>
      </c>
      <c r="O251" s="9">
        <v>0</v>
      </c>
      <c r="P251" s="9">
        <v>0</v>
      </c>
      <c r="Q251" s="9">
        <v>0</v>
      </c>
      <c r="R251" s="9">
        <v>0</v>
      </c>
      <c r="S251" s="9">
        <v>0</v>
      </c>
      <c r="T251" s="9">
        <v>0</v>
      </c>
      <c r="U251" s="9">
        <v>0</v>
      </c>
      <c r="V251" s="9">
        <v>0</v>
      </c>
      <c r="W251" s="9">
        <v>0</v>
      </c>
      <c r="X251" s="9">
        <v>0</v>
      </c>
      <c r="Y251" s="9">
        <v>0</v>
      </c>
      <c r="Z251" s="9">
        <v>0</v>
      </c>
      <c r="AA251" s="9">
        <v>0</v>
      </c>
      <c r="AB251" s="9">
        <v>0</v>
      </c>
      <c r="AC251" s="9">
        <v>0</v>
      </c>
      <c r="AD251" s="9">
        <v>0</v>
      </c>
      <c r="AE251" s="9">
        <v>0</v>
      </c>
      <c r="AF251" s="9">
        <v>0</v>
      </c>
      <c r="AG251" s="9">
        <v>0</v>
      </c>
      <c r="AH251" s="9">
        <v>0</v>
      </c>
      <c r="AI251" s="9">
        <v>0</v>
      </c>
      <c r="AJ251" s="9">
        <v>0</v>
      </c>
      <c r="AK251" s="9">
        <v>0</v>
      </c>
      <c r="AL251" s="9">
        <v>0</v>
      </c>
      <c r="AM251" s="9">
        <v>0</v>
      </c>
      <c r="AN251" s="9">
        <v>0</v>
      </c>
      <c r="AO251" s="9">
        <v>0</v>
      </c>
      <c r="AP251" s="9">
        <v>0</v>
      </c>
      <c r="AQ251" s="9">
        <v>0</v>
      </c>
      <c r="AR251" s="9">
        <v>0</v>
      </c>
      <c r="AS251" s="9">
        <v>0</v>
      </c>
      <c r="AT251" s="9">
        <v>0</v>
      </c>
      <c r="AU251" s="9">
        <v>0</v>
      </c>
      <c r="AV251" s="9">
        <v>0</v>
      </c>
      <c r="AW251" s="9">
        <v>0</v>
      </c>
      <c r="AX251" s="9">
        <v>0</v>
      </c>
      <c r="AY251" s="9">
        <v>0</v>
      </c>
      <c r="AZ251" s="9">
        <v>0</v>
      </c>
      <c r="BA251" s="9">
        <v>0</v>
      </c>
      <c r="BB251" s="9">
        <v>0</v>
      </c>
      <c r="BC251" s="9">
        <v>0</v>
      </c>
      <c r="BD251" s="9">
        <v>0</v>
      </c>
      <c r="BE251" s="9">
        <v>0</v>
      </c>
      <c r="BF251" s="9">
        <v>0</v>
      </c>
      <c r="BG251" s="9">
        <v>0</v>
      </c>
      <c r="BH251" s="9">
        <v>0</v>
      </c>
      <c r="BI251" s="9">
        <v>0</v>
      </c>
      <c r="BJ251" s="9">
        <v>0</v>
      </c>
      <c r="BK251" s="9">
        <v>0</v>
      </c>
      <c r="BL251" s="9">
        <v>0</v>
      </c>
      <c r="BM251" s="9">
        <v>0</v>
      </c>
      <c r="BN251" s="9">
        <v>0</v>
      </c>
      <c r="BO251" s="9">
        <v>0</v>
      </c>
      <c r="BP251" s="9">
        <v>0</v>
      </c>
      <c r="BQ251" s="9">
        <v>0</v>
      </c>
      <c r="BR251" s="9">
        <v>0</v>
      </c>
      <c r="BS251" s="9">
        <v>0</v>
      </c>
      <c r="BT251" s="9">
        <v>0</v>
      </c>
      <c r="BU251" s="9">
        <v>0</v>
      </c>
      <c r="BV251" s="9">
        <v>0</v>
      </c>
      <c r="BW251" s="9">
        <v>0</v>
      </c>
      <c r="BX251" s="9">
        <v>0</v>
      </c>
      <c r="BY251" s="9">
        <v>0</v>
      </c>
      <c r="BZ251" s="9">
        <v>0</v>
      </c>
      <c r="CA251" s="9">
        <v>0</v>
      </c>
      <c r="CB251" s="9">
        <v>0</v>
      </c>
      <c r="CC251" s="9">
        <v>0</v>
      </c>
      <c r="CD251" s="9">
        <v>0</v>
      </c>
      <c r="CE251" s="9">
        <v>0</v>
      </c>
      <c r="CF251" s="9">
        <v>0</v>
      </c>
      <c r="CG251" s="9">
        <v>0</v>
      </c>
      <c r="CH251" s="9">
        <v>0</v>
      </c>
      <c r="CI251" s="9">
        <v>0</v>
      </c>
      <c r="CJ251" s="9">
        <v>0</v>
      </c>
      <c r="CK251" s="9">
        <v>0</v>
      </c>
      <c r="CL251" s="9">
        <v>0</v>
      </c>
      <c r="CM251" s="9">
        <v>1</v>
      </c>
      <c r="CN251" s="9">
        <v>0</v>
      </c>
      <c r="CO251" s="9">
        <v>0</v>
      </c>
      <c r="CP251" s="9">
        <v>0</v>
      </c>
      <c r="CQ251" s="9">
        <v>0</v>
      </c>
      <c r="CR251" s="9">
        <v>0</v>
      </c>
      <c r="CS251" s="10">
        <v>0</v>
      </c>
    </row>
    <row r="252" spans="1:97" x14ac:dyDescent="0.35">
      <c r="A252" s="8" t="s">
        <v>261</v>
      </c>
      <c r="B252" s="9" t="s">
        <v>276</v>
      </c>
      <c r="C252" s="9" t="s">
        <v>939</v>
      </c>
      <c r="D252" s="9">
        <f t="shared" si="3"/>
        <v>0</v>
      </c>
      <c r="E252" s="9">
        <v>0</v>
      </c>
      <c r="F252" s="9">
        <v>0</v>
      </c>
      <c r="G252" s="9">
        <v>0</v>
      </c>
      <c r="H252" s="9">
        <v>0</v>
      </c>
      <c r="I252" s="9">
        <v>0</v>
      </c>
      <c r="J252" s="9">
        <v>0</v>
      </c>
      <c r="K252" s="9">
        <v>0</v>
      </c>
      <c r="L252" s="9">
        <v>0</v>
      </c>
      <c r="M252" s="9">
        <v>0</v>
      </c>
      <c r="N252" s="9">
        <v>0</v>
      </c>
      <c r="O252" s="9">
        <v>0</v>
      </c>
      <c r="P252" s="9">
        <v>0</v>
      </c>
      <c r="Q252" s="9">
        <v>0</v>
      </c>
      <c r="R252" s="9">
        <v>0</v>
      </c>
      <c r="S252" s="9">
        <v>0</v>
      </c>
      <c r="T252" s="9">
        <v>0</v>
      </c>
      <c r="U252" s="9">
        <v>0</v>
      </c>
      <c r="V252" s="9">
        <v>0</v>
      </c>
      <c r="W252" s="9">
        <v>0</v>
      </c>
      <c r="X252" s="9">
        <v>0</v>
      </c>
      <c r="Y252" s="9">
        <v>0</v>
      </c>
      <c r="Z252" s="9">
        <v>0</v>
      </c>
      <c r="AA252" s="9">
        <v>0</v>
      </c>
      <c r="AB252" s="9">
        <v>0</v>
      </c>
      <c r="AC252" s="9">
        <v>0</v>
      </c>
      <c r="AD252" s="9">
        <v>0</v>
      </c>
      <c r="AE252" s="9">
        <v>0</v>
      </c>
      <c r="AF252" s="9">
        <v>0</v>
      </c>
      <c r="AG252" s="9">
        <v>0</v>
      </c>
      <c r="AH252" s="9">
        <v>0</v>
      </c>
      <c r="AI252" s="9">
        <v>0</v>
      </c>
      <c r="AJ252" s="9">
        <v>0</v>
      </c>
      <c r="AK252" s="9">
        <v>0</v>
      </c>
      <c r="AL252" s="9">
        <v>0</v>
      </c>
      <c r="AM252" s="9">
        <v>0</v>
      </c>
      <c r="AN252" s="9">
        <v>0</v>
      </c>
      <c r="AO252" s="9">
        <v>0</v>
      </c>
      <c r="AP252" s="9">
        <v>0</v>
      </c>
      <c r="AQ252" s="9">
        <v>0</v>
      </c>
      <c r="AR252" s="9">
        <v>0</v>
      </c>
      <c r="AS252" s="9">
        <v>0</v>
      </c>
      <c r="AT252" s="9">
        <v>0</v>
      </c>
      <c r="AU252" s="9">
        <v>0</v>
      </c>
      <c r="AV252" s="9">
        <v>0</v>
      </c>
      <c r="AW252" s="9">
        <v>0</v>
      </c>
      <c r="AX252" s="9">
        <v>0</v>
      </c>
      <c r="AY252" s="9">
        <v>0</v>
      </c>
      <c r="AZ252" s="9">
        <v>0</v>
      </c>
      <c r="BA252" s="9">
        <v>0</v>
      </c>
      <c r="BB252" s="9">
        <v>0</v>
      </c>
      <c r="BC252" s="9">
        <v>0</v>
      </c>
      <c r="BD252" s="9">
        <v>0</v>
      </c>
      <c r="BE252" s="9">
        <v>0</v>
      </c>
      <c r="BF252" s="9">
        <v>0</v>
      </c>
      <c r="BG252" s="9">
        <v>0</v>
      </c>
      <c r="BH252" s="9">
        <v>0</v>
      </c>
      <c r="BI252" s="9">
        <v>0</v>
      </c>
      <c r="BJ252" s="9">
        <v>0</v>
      </c>
      <c r="BK252" s="9">
        <v>0</v>
      </c>
      <c r="BL252" s="9">
        <v>0</v>
      </c>
      <c r="BM252" s="9">
        <v>0</v>
      </c>
      <c r="BN252" s="9">
        <v>0</v>
      </c>
      <c r="BO252" s="9">
        <v>0</v>
      </c>
      <c r="BP252" s="9">
        <v>0</v>
      </c>
      <c r="BQ252" s="9">
        <v>0</v>
      </c>
      <c r="BR252" s="9">
        <v>0</v>
      </c>
      <c r="BS252" s="9">
        <v>0</v>
      </c>
      <c r="BT252" s="9">
        <v>0</v>
      </c>
      <c r="BU252" s="9">
        <v>0</v>
      </c>
      <c r="BV252" s="9">
        <v>0</v>
      </c>
      <c r="BW252" s="9">
        <v>0</v>
      </c>
      <c r="BX252" s="9">
        <v>0</v>
      </c>
      <c r="BY252" s="9">
        <v>0</v>
      </c>
      <c r="BZ252" s="9">
        <v>0</v>
      </c>
      <c r="CA252" s="9">
        <v>0</v>
      </c>
      <c r="CB252" s="9">
        <v>0</v>
      </c>
      <c r="CC252" s="9">
        <v>0</v>
      </c>
      <c r="CD252" s="9">
        <v>0</v>
      </c>
      <c r="CE252" s="9">
        <v>0</v>
      </c>
      <c r="CF252" s="9">
        <v>0</v>
      </c>
      <c r="CG252" s="9">
        <v>0</v>
      </c>
      <c r="CH252" s="9">
        <v>0</v>
      </c>
      <c r="CI252" s="9">
        <v>0</v>
      </c>
      <c r="CJ252" s="9">
        <v>0</v>
      </c>
      <c r="CK252" s="9">
        <v>0</v>
      </c>
      <c r="CL252" s="9">
        <v>0</v>
      </c>
      <c r="CM252" s="9">
        <v>0</v>
      </c>
      <c r="CN252" s="9">
        <v>0</v>
      </c>
      <c r="CO252" s="9">
        <v>0</v>
      </c>
      <c r="CP252" s="9">
        <v>0</v>
      </c>
      <c r="CQ252" s="9">
        <v>0</v>
      </c>
      <c r="CR252" s="9">
        <v>0</v>
      </c>
      <c r="CS252" s="10">
        <v>0</v>
      </c>
    </row>
    <row r="253" spans="1:97" x14ac:dyDescent="0.35">
      <c r="A253" s="8" t="s">
        <v>261</v>
      </c>
      <c r="B253" s="9" t="s">
        <v>940</v>
      </c>
      <c r="C253" s="9" t="s">
        <v>941</v>
      </c>
      <c r="D253" s="9">
        <f t="shared" si="3"/>
        <v>0</v>
      </c>
      <c r="E253" s="9">
        <v>0</v>
      </c>
      <c r="F253" s="9">
        <v>0</v>
      </c>
      <c r="G253" s="9">
        <v>0</v>
      </c>
      <c r="H253" s="9">
        <v>0</v>
      </c>
      <c r="I253" s="9">
        <v>0</v>
      </c>
      <c r="J253" s="9">
        <v>0</v>
      </c>
      <c r="K253" s="9">
        <v>0</v>
      </c>
      <c r="L253" s="9">
        <v>0</v>
      </c>
      <c r="M253" s="9">
        <v>0</v>
      </c>
      <c r="N253" s="9">
        <v>0</v>
      </c>
      <c r="O253" s="9">
        <v>0</v>
      </c>
      <c r="P253" s="9">
        <v>0</v>
      </c>
      <c r="Q253" s="9">
        <v>0</v>
      </c>
      <c r="R253" s="9">
        <v>0</v>
      </c>
      <c r="S253" s="9">
        <v>0</v>
      </c>
      <c r="T253" s="9">
        <v>0</v>
      </c>
      <c r="U253" s="9">
        <v>0</v>
      </c>
      <c r="V253" s="9">
        <v>0</v>
      </c>
      <c r="W253" s="9">
        <v>0</v>
      </c>
      <c r="X253" s="9">
        <v>0</v>
      </c>
      <c r="Y253" s="9">
        <v>0</v>
      </c>
      <c r="Z253" s="9">
        <v>0</v>
      </c>
      <c r="AA253" s="9">
        <v>0</v>
      </c>
      <c r="AB253" s="9">
        <v>0</v>
      </c>
      <c r="AC253" s="9">
        <v>0</v>
      </c>
      <c r="AD253" s="9">
        <v>0</v>
      </c>
      <c r="AE253" s="9">
        <v>0</v>
      </c>
      <c r="AF253" s="9">
        <v>0</v>
      </c>
      <c r="AG253" s="9">
        <v>0</v>
      </c>
      <c r="AH253" s="9">
        <v>0</v>
      </c>
      <c r="AI253" s="9">
        <v>0</v>
      </c>
      <c r="AJ253" s="9">
        <v>0</v>
      </c>
      <c r="AK253" s="9">
        <v>0</v>
      </c>
      <c r="AL253" s="9">
        <v>0</v>
      </c>
      <c r="AM253" s="9">
        <v>0</v>
      </c>
      <c r="AN253" s="9">
        <v>0</v>
      </c>
      <c r="AO253" s="9">
        <v>0</v>
      </c>
      <c r="AP253" s="9">
        <v>0</v>
      </c>
      <c r="AQ253" s="9">
        <v>0</v>
      </c>
      <c r="AR253" s="9">
        <v>0</v>
      </c>
      <c r="AS253" s="9">
        <v>0</v>
      </c>
      <c r="AT253" s="9">
        <v>0</v>
      </c>
      <c r="AU253" s="9">
        <v>0</v>
      </c>
      <c r="AV253" s="9">
        <v>0</v>
      </c>
      <c r="AW253" s="9">
        <v>0</v>
      </c>
      <c r="AX253" s="9">
        <v>0</v>
      </c>
      <c r="AY253" s="9">
        <v>0</v>
      </c>
      <c r="AZ253" s="9">
        <v>0</v>
      </c>
      <c r="BA253" s="9">
        <v>0</v>
      </c>
      <c r="BB253" s="9">
        <v>0</v>
      </c>
      <c r="BC253" s="9">
        <v>0</v>
      </c>
      <c r="BD253" s="9">
        <v>0</v>
      </c>
      <c r="BE253" s="9">
        <v>0</v>
      </c>
      <c r="BF253" s="9">
        <v>0</v>
      </c>
      <c r="BG253" s="9">
        <v>0</v>
      </c>
      <c r="BH253" s="9">
        <v>0</v>
      </c>
      <c r="BI253" s="9">
        <v>0</v>
      </c>
      <c r="BJ253" s="9">
        <v>0</v>
      </c>
      <c r="BK253" s="9">
        <v>0</v>
      </c>
      <c r="BL253" s="9">
        <v>0</v>
      </c>
      <c r="BM253" s="9">
        <v>0</v>
      </c>
      <c r="BN253" s="9">
        <v>0</v>
      </c>
      <c r="BO253" s="9">
        <v>0</v>
      </c>
      <c r="BP253" s="9">
        <v>0</v>
      </c>
      <c r="BQ253" s="9">
        <v>0</v>
      </c>
      <c r="BR253" s="9">
        <v>0</v>
      </c>
      <c r="BS253" s="9">
        <v>0</v>
      </c>
      <c r="BT253" s="9">
        <v>0</v>
      </c>
      <c r="BU253" s="9">
        <v>0</v>
      </c>
      <c r="BV253" s="9">
        <v>0</v>
      </c>
      <c r="BW253" s="9">
        <v>0</v>
      </c>
      <c r="BX253" s="9">
        <v>0</v>
      </c>
      <c r="BY253" s="9">
        <v>0</v>
      </c>
      <c r="BZ253" s="9">
        <v>0</v>
      </c>
      <c r="CA253" s="9">
        <v>0</v>
      </c>
      <c r="CB253" s="9">
        <v>0</v>
      </c>
      <c r="CC253" s="9">
        <v>0</v>
      </c>
      <c r="CD253" s="9">
        <v>0</v>
      </c>
      <c r="CE253" s="9">
        <v>0</v>
      </c>
      <c r="CF253" s="9">
        <v>0</v>
      </c>
      <c r="CG253" s="9">
        <v>0</v>
      </c>
      <c r="CH253" s="9">
        <v>0</v>
      </c>
      <c r="CI253" s="9">
        <v>0</v>
      </c>
      <c r="CJ253" s="9">
        <v>0</v>
      </c>
      <c r="CK253" s="9">
        <v>0</v>
      </c>
      <c r="CL253" s="9">
        <v>0</v>
      </c>
      <c r="CM253" s="9">
        <v>0</v>
      </c>
      <c r="CN253" s="9">
        <v>0</v>
      </c>
      <c r="CO253" s="9">
        <v>0</v>
      </c>
      <c r="CP253" s="9">
        <v>0</v>
      </c>
      <c r="CQ253" s="9">
        <v>0</v>
      </c>
      <c r="CR253" s="9">
        <v>0</v>
      </c>
      <c r="CS253" s="10">
        <v>0</v>
      </c>
    </row>
    <row r="254" spans="1:97" x14ac:dyDescent="0.35">
      <c r="A254" s="8" t="s">
        <v>261</v>
      </c>
      <c r="B254" s="9" t="s">
        <v>942</v>
      </c>
      <c r="C254" s="9" t="s">
        <v>943</v>
      </c>
      <c r="D254" s="9">
        <f t="shared" si="3"/>
        <v>0</v>
      </c>
      <c r="E254" s="9">
        <v>0</v>
      </c>
      <c r="F254" s="9">
        <v>0</v>
      </c>
      <c r="G254" s="9">
        <v>0</v>
      </c>
      <c r="H254" s="9">
        <v>0</v>
      </c>
      <c r="I254" s="9">
        <v>0</v>
      </c>
      <c r="J254" s="9">
        <v>0</v>
      </c>
      <c r="K254" s="9">
        <v>0</v>
      </c>
      <c r="L254" s="9">
        <v>0</v>
      </c>
      <c r="M254" s="9">
        <v>0</v>
      </c>
      <c r="N254" s="9">
        <v>0</v>
      </c>
      <c r="O254" s="9">
        <v>0</v>
      </c>
      <c r="P254" s="9">
        <v>0</v>
      </c>
      <c r="Q254" s="9">
        <v>0</v>
      </c>
      <c r="R254" s="9">
        <v>0</v>
      </c>
      <c r="S254" s="9">
        <v>0</v>
      </c>
      <c r="T254" s="9">
        <v>0</v>
      </c>
      <c r="U254" s="9">
        <v>0</v>
      </c>
      <c r="V254" s="9">
        <v>0</v>
      </c>
      <c r="W254" s="9">
        <v>0</v>
      </c>
      <c r="X254" s="9">
        <v>0</v>
      </c>
      <c r="Y254" s="9">
        <v>0</v>
      </c>
      <c r="Z254" s="9">
        <v>0</v>
      </c>
      <c r="AA254" s="9">
        <v>0</v>
      </c>
      <c r="AB254" s="9">
        <v>0</v>
      </c>
      <c r="AC254" s="9">
        <v>0</v>
      </c>
      <c r="AD254" s="9">
        <v>0</v>
      </c>
      <c r="AE254" s="9">
        <v>0</v>
      </c>
      <c r="AF254" s="9">
        <v>0</v>
      </c>
      <c r="AG254" s="9">
        <v>0</v>
      </c>
      <c r="AH254" s="9">
        <v>0</v>
      </c>
      <c r="AI254" s="9">
        <v>0</v>
      </c>
      <c r="AJ254" s="9">
        <v>0</v>
      </c>
      <c r="AK254" s="9">
        <v>0</v>
      </c>
      <c r="AL254" s="9">
        <v>0</v>
      </c>
      <c r="AM254" s="9">
        <v>0</v>
      </c>
      <c r="AN254" s="9">
        <v>0</v>
      </c>
      <c r="AO254" s="9">
        <v>0</v>
      </c>
      <c r="AP254" s="9">
        <v>0</v>
      </c>
      <c r="AQ254" s="9">
        <v>0</v>
      </c>
      <c r="AR254" s="9">
        <v>0</v>
      </c>
      <c r="AS254" s="9">
        <v>0</v>
      </c>
      <c r="AT254" s="9">
        <v>0</v>
      </c>
      <c r="AU254" s="9">
        <v>0</v>
      </c>
      <c r="AV254" s="9">
        <v>0</v>
      </c>
      <c r="AW254" s="9">
        <v>0</v>
      </c>
      <c r="AX254" s="9">
        <v>0</v>
      </c>
      <c r="AY254" s="9">
        <v>0</v>
      </c>
      <c r="AZ254" s="9">
        <v>0</v>
      </c>
      <c r="BA254" s="9">
        <v>0</v>
      </c>
      <c r="BB254" s="9">
        <v>0</v>
      </c>
      <c r="BC254" s="9">
        <v>0</v>
      </c>
      <c r="BD254" s="9">
        <v>0</v>
      </c>
      <c r="BE254" s="9">
        <v>0</v>
      </c>
      <c r="BF254" s="9">
        <v>0</v>
      </c>
      <c r="BG254" s="9">
        <v>0</v>
      </c>
      <c r="BH254" s="9">
        <v>0</v>
      </c>
      <c r="BI254" s="9">
        <v>0</v>
      </c>
      <c r="BJ254" s="9">
        <v>0</v>
      </c>
      <c r="BK254" s="9">
        <v>0</v>
      </c>
      <c r="BL254" s="9">
        <v>0</v>
      </c>
      <c r="BM254" s="9">
        <v>0</v>
      </c>
      <c r="BN254" s="9">
        <v>0</v>
      </c>
      <c r="BO254" s="9">
        <v>0</v>
      </c>
      <c r="BP254" s="9">
        <v>0</v>
      </c>
      <c r="BQ254" s="9">
        <v>0</v>
      </c>
      <c r="BR254" s="9">
        <v>0</v>
      </c>
      <c r="BS254" s="9">
        <v>0</v>
      </c>
      <c r="BT254" s="9">
        <v>0</v>
      </c>
      <c r="BU254" s="9">
        <v>0</v>
      </c>
      <c r="BV254" s="9">
        <v>0</v>
      </c>
      <c r="BW254" s="9">
        <v>0</v>
      </c>
      <c r="BX254" s="9">
        <v>0</v>
      </c>
      <c r="BY254" s="9">
        <v>0</v>
      </c>
      <c r="BZ254" s="9">
        <v>0</v>
      </c>
      <c r="CA254" s="9">
        <v>0</v>
      </c>
      <c r="CB254" s="9">
        <v>0</v>
      </c>
      <c r="CC254" s="9">
        <v>0</v>
      </c>
      <c r="CD254" s="9">
        <v>0</v>
      </c>
      <c r="CE254" s="9">
        <v>0</v>
      </c>
      <c r="CF254" s="9">
        <v>0</v>
      </c>
      <c r="CG254" s="9">
        <v>0</v>
      </c>
      <c r="CH254" s="9">
        <v>0</v>
      </c>
      <c r="CI254" s="9">
        <v>0</v>
      </c>
      <c r="CJ254" s="9">
        <v>0</v>
      </c>
      <c r="CK254" s="9">
        <v>0</v>
      </c>
      <c r="CL254" s="9">
        <v>0</v>
      </c>
      <c r="CM254" s="9">
        <v>0</v>
      </c>
      <c r="CN254" s="9">
        <v>0</v>
      </c>
      <c r="CO254" s="9">
        <v>0</v>
      </c>
      <c r="CP254" s="9">
        <v>0</v>
      </c>
      <c r="CQ254" s="9">
        <v>0</v>
      </c>
      <c r="CR254" s="9">
        <v>0</v>
      </c>
      <c r="CS254" s="10">
        <v>0</v>
      </c>
    </row>
    <row r="255" spans="1:97" x14ac:dyDescent="0.35">
      <c r="A255" s="8" t="s">
        <v>261</v>
      </c>
      <c r="B255" s="9" t="s">
        <v>944</v>
      </c>
      <c r="C255" s="9" t="s">
        <v>945</v>
      </c>
      <c r="D255" s="9">
        <f t="shared" si="3"/>
        <v>0</v>
      </c>
      <c r="E255" s="9">
        <v>0</v>
      </c>
      <c r="F255" s="9">
        <v>0</v>
      </c>
      <c r="G255" s="9">
        <v>0</v>
      </c>
      <c r="H255" s="9">
        <v>0</v>
      </c>
      <c r="I255" s="9">
        <v>0</v>
      </c>
      <c r="J255" s="9">
        <v>0</v>
      </c>
      <c r="K255" s="9">
        <v>0</v>
      </c>
      <c r="L255" s="9">
        <v>0</v>
      </c>
      <c r="M255" s="9">
        <v>0</v>
      </c>
      <c r="N255" s="9">
        <v>0</v>
      </c>
      <c r="O255" s="9">
        <v>0</v>
      </c>
      <c r="P255" s="9">
        <v>0</v>
      </c>
      <c r="Q255" s="9">
        <v>0</v>
      </c>
      <c r="R255" s="9">
        <v>0</v>
      </c>
      <c r="S255" s="9">
        <v>0</v>
      </c>
      <c r="T255" s="9">
        <v>0</v>
      </c>
      <c r="U255" s="9">
        <v>0</v>
      </c>
      <c r="V255" s="9">
        <v>0</v>
      </c>
      <c r="W255" s="9">
        <v>0</v>
      </c>
      <c r="X255" s="9">
        <v>0</v>
      </c>
      <c r="Y255" s="9">
        <v>0</v>
      </c>
      <c r="Z255" s="9">
        <v>0</v>
      </c>
      <c r="AA255" s="9">
        <v>0</v>
      </c>
      <c r="AB255" s="9">
        <v>0</v>
      </c>
      <c r="AC255" s="9">
        <v>0</v>
      </c>
      <c r="AD255" s="9">
        <v>0</v>
      </c>
      <c r="AE255" s="9">
        <v>0</v>
      </c>
      <c r="AF255" s="9">
        <v>0</v>
      </c>
      <c r="AG255" s="9">
        <v>0</v>
      </c>
      <c r="AH255" s="9">
        <v>0</v>
      </c>
      <c r="AI255" s="9">
        <v>0</v>
      </c>
      <c r="AJ255" s="9">
        <v>0</v>
      </c>
      <c r="AK255" s="9">
        <v>0</v>
      </c>
      <c r="AL255" s="9">
        <v>0</v>
      </c>
      <c r="AM255" s="9">
        <v>0</v>
      </c>
      <c r="AN255" s="9">
        <v>0</v>
      </c>
      <c r="AO255" s="9">
        <v>0</v>
      </c>
      <c r="AP255" s="9">
        <v>0</v>
      </c>
      <c r="AQ255" s="9">
        <v>0</v>
      </c>
      <c r="AR255" s="9">
        <v>0</v>
      </c>
      <c r="AS255" s="9">
        <v>0</v>
      </c>
      <c r="AT255" s="9">
        <v>0</v>
      </c>
      <c r="AU255" s="9">
        <v>0</v>
      </c>
      <c r="AV255" s="9">
        <v>0</v>
      </c>
      <c r="AW255" s="9">
        <v>0</v>
      </c>
      <c r="AX255" s="9">
        <v>0</v>
      </c>
      <c r="AY255" s="9">
        <v>0</v>
      </c>
      <c r="AZ255" s="9">
        <v>0</v>
      </c>
      <c r="BA255" s="9">
        <v>0</v>
      </c>
      <c r="BB255" s="9">
        <v>0</v>
      </c>
      <c r="BC255" s="9">
        <v>0</v>
      </c>
      <c r="BD255" s="9">
        <v>0</v>
      </c>
      <c r="BE255" s="9">
        <v>0</v>
      </c>
      <c r="BF255" s="9">
        <v>0</v>
      </c>
      <c r="BG255" s="9">
        <v>0</v>
      </c>
      <c r="BH255" s="9">
        <v>0</v>
      </c>
      <c r="BI255" s="9">
        <v>0</v>
      </c>
      <c r="BJ255" s="9">
        <v>0</v>
      </c>
      <c r="BK255" s="9">
        <v>0</v>
      </c>
      <c r="BL255" s="9">
        <v>0</v>
      </c>
      <c r="BM255" s="9">
        <v>0</v>
      </c>
      <c r="BN255" s="9">
        <v>0</v>
      </c>
      <c r="BO255" s="9">
        <v>0</v>
      </c>
      <c r="BP255" s="9">
        <v>0</v>
      </c>
      <c r="BQ255" s="9">
        <v>0</v>
      </c>
      <c r="BR255" s="9">
        <v>0</v>
      </c>
      <c r="BS255" s="9">
        <v>0</v>
      </c>
      <c r="BT255" s="9">
        <v>0</v>
      </c>
      <c r="BU255" s="9">
        <v>0</v>
      </c>
      <c r="BV255" s="9">
        <v>0</v>
      </c>
      <c r="BW255" s="9">
        <v>0</v>
      </c>
      <c r="BX255" s="9">
        <v>0</v>
      </c>
      <c r="BY255" s="9">
        <v>0</v>
      </c>
      <c r="BZ255" s="9">
        <v>0</v>
      </c>
      <c r="CA255" s="9">
        <v>0</v>
      </c>
      <c r="CB255" s="9">
        <v>0</v>
      </c>
      <c r="CC255" s="9">
        <v>0</v>
      </c>
      <c r="CD255" s="9">
        <v>0</v>
      </c>
      <c r="CE255" s="9">
        <v>0</v>
      </c>
      <c r="CF255" s="9">
        <v>0</v>
      </c>
      <c r="CG255" s="9">
        <v>0</v>
      </c>
      <c r="CH255" s="9">
        <v>0</v>
      </c>
      <c r="CI255" s="9">
        <v>0</v>
      </c>
      <c r="CJ255" s="9">
        <v>0</v>
      </c>
      <c r="CK255" s="9">
        <v>0</v>
      </c>
      <c r="CL255" s="9">
        <v>0</v>
      </c>
      <c r="CM255" s="9">
        <v>0</v>
      </c>
      <c r="CN255" s="9">
        <v>0</v>
      </c>
      <c r="CO255" s="9">
        <v>0</v>
      </c>
      <c r="CP255" s="9">
        <v>0</v>
      </c>
      <c r="CQ255" s="9">
        <v>0</v>
      </c>
      <c r="CR255" s="9">
        <v>0</v>
      </c>
      <c r="CS255" s="10">
        <v>0</v>
      </c>
    </row>
    <row r="256" spans="1:97" x14ac:dyDescent="0.35">
      <c r="A256" s="8" t="s">
        <v>261</v>
      </c>
      <c r="B256" s="9" t="s">
        <v>946</v>
      </c>
      <c r="C256" s="9" t="s">
        <v>947</v>
      </c>
      <c r="D256" s="9">
        <f t="shared" si="3"/>
        <v>0</v>
      </c>
      <c r="E256" s="9">
        <v>0</v>
      </c>
      <c r="F256" s="9">
        <v>0</v>
      </c>
      <c r="G256" s="9">
        <v>0</v>
      </c>
      <c r="H256" s="9">
        <v>0</v>
      </c>
      <c r="I256" s="9">
        <v>0</v>
      </c>
      <c r="J256" s="9">
        <v>0</v>
      </c>
      <c r="K256" s="9">
        <v>0</v>
      </c>
      <c r="L256" s="9">
        <v>0</v>
      </c>
      <c r="M256" s="9">
        <v>0</v>
      </c>
      <c r="N256" s="9">
        <v>0</v>
      </c>
      <c r="O256" s="9">
        <v>0</v>
      </c>
      <c r="P256" s="9">
        <v>0</v>
      </c>
      <c r="Q256" s="9">
        <v>0</v>
      </c>
      <c r="R256" s="9">
        <v>0</v>
      </c>
      <c r="S256" s="9">
        <v>0</v>
      </c>
      <c r="T256" s="9">
        <v>0</v>
      </c>
      <c r="U256" s="9">
        <v>0</v>
      </c>
      <c r="V256" s="9">
        <v>0</v>
      </c>
      <c r="W256" s="9">
        <v>0</v>
      </c>
      <c r="X256" s="9">
        <v>0</v>
      </c>
      <c r="Y256" s="9">
        <v>0</v>
      </c>
      <c r="Z256" s="9">
        <v>0</v>
      </c>
      <c r="AA256" s="9">
        <v>0</v>
      </c>
      <c r="AB256" s="9">
        <v>0</v>
      </c>
      <c r="AC256" s="9">
        <v>0</v>
      </c>
      <c r="AD256" s="9">
        <v>0</v>
      </c>
      <c r="AE256" s="9">
        <v>0</v>
      </c>
      <c r="AF256" s="9">
        <v>0</v>
      </c>
      <c r="AG256" s="9">
        <v>0</v>
      </c>
      <c r="AH256" s="9">
        <v>0</v>
      </c>
      <c r="AI256" s="9">
        <v>0</v>
      </c>
      <c r="AJ256" s="9">
        <v>0</v>
      </c>
      <c r="AK256" s="9">
        <v>0</v>
      </c>
      <c r="AL256" s="9">
        <v>0</v>
      </c>
      <c r="AM256" s="9">
        <v>0</v>
      </c>
      <c r="AN256" s="9">
        <v>0</v>
      </c>
      <c r="AO256" s="9">
        <v>0</v>
      </c>
      <c r="AP256" s="9">
        <v>0</v>
      </c>
      <c r="AQ256" s="9">
        <v>0</v>
      </c>
      <c r="AR256" s="9">
        <v>0</v>
      </c>
      <c r="AS256" s="9">
        <v>0</v>
      </c>
      <c r="AT256" s="9">
        <v>0</v>
      </c>
      <c r="AU256" s="9">
        <v>0</v>
      </c>
      <c r="AV256" s="9">
        <v>0</v>
      </c>
      <c r="AW256" s="9">
        <v>0</v>
      </c>
      <c r="AX256" s="9">
        <v>0</v>
      </c>
      <c r="AY256" s="9">
        <v>0</v>
      </c>
      <c r="AZ256" s="9">
        <v>0</v>
      </c>
      <c r="BA256" s="9">
        <v>0</v>
      </c>
      <c r="BB256" s="9">
        <v>0</v>
      </c>
      <c r="BC256" s="9">
        <v>0</v>
      </c>
      <c r="BD256" s="9">
        <v>0</v>
      </c>
      <c r="BE256" s="9">
        <v>0</v>
      </c>
      <c r="BF256" s="9">
        <v>0</v>
      </c>
      <c r="BG256" s="9">
        <v>0</v>
      </c>
      <c r="BH256" s="9">
        <v>0</v>
      </c>
      <c r="BI256" s="9">
        <v>0</v>
      </c>
      <c r="BJ256" s="9">
        <v>0</v>
      </c>
      <c r="BK256" s="9">
        <v>0</v>
      </c>
      <c r="BL256" s="9">
        <v>0</v>
      </c>
      <c r="BM256" s="9">
        <v>0</v>
      </c>
      <c r="BN256" s="9">
        <v>0</v>
      </c>
      <c r="BO256" s="9">
        <v>0</v>
      </c>
      <c r="BP256" s="9">
        <v>0</v>
      </c>
      <c r="BQ256" s="9">
        <v>0</v>
      </c>
      <c r="BR256" s="9">
        <v>0</v>
      </c>
      <c r="BS256" s="9">
        <v>0</v>
      </c>
      <c r="BT256" s="9">
        <v>0</v>
      </c>
      <c r="BU256" s="9">
        <v>0</v>
      </c>
      <c r="BV256" s="9">
        <v>0</v>
      </c>
      <c r="BW256" s="9">
        <v>0</v>
      </c>
      <c r="BX256" s="9">
        <v>0</v>
      </c>
      <c r="BY256" s="9">
        <v>0</v>
      </c>
      <c r="BZ256" s="9">
        <v>0</v>
      </c>
      <c r="CA256" s="9">
        <v>0</v>
      </c>
      <c r="CB256" s="9">
        <v>0</v>
      </c>
      <c r="CC256" s="9">
        <v>0</v>
      </c>
      <c r="CD256" s="9">
        <v>0</v>
      </c>
      <c r="CE256" s="9">
        <v>0</v>
      </c>
      <c r="CF256" s="9">
        <v>0</v>
      </c>
      <c r="CG256" s="9">
        <v>0</v>
      </c>
      <c r="CH256" s="9">
        <v>0</v>
      </c>
      <c r="CI256" s="9">
        <v>0</v>
      </c>
      <c r="CJ256" s="9">
        <v>0</v>
      </c>
      <c r="CK256" s="9">
        <v>0</v>
      </c>
      <c r="CL256" s="9">
        <v>0</v>
      </c>
      <c r="CM256" s="9">
        <v>0</v>
      </c>
      <c r="CN256" s="9">
        <v>0</v>
      </c>
      <c r="CO256" s="9">
        <v>0</v>
      </c>
      <c r="CP256" s="9">
        <v>0</v>
      </c>
      <c r="CQ256" s="9">
        <v>0</v>
      </c>
      <c r="CR256" s="9">
        <v>0</v>
      </c>
      <c r="CS256" s="10">
        <v>0</v>
      </c>
    </row>
    <row r="257" spans="1:97" x14ac:dyDescent="0.35">
      <c r="A257" s="8" t="s">
        <v>261</v>
      </c>
      <c r="B257" s="9" t="s">
        <v>948</v>
      </c>
      <c r="C257" s="9" t="s">
        <v>949</v>
      </c>
      <c r="D257" s="9">
        <f t="shared" si="3"/>
        <v>0</v>
      </c>
      <c r="E257" s="9">
        <v>0</v>
      </c>
      <c r="F257" s="9">
        <v>0</v>
      </c>
      <c r="G257" s="9">
        <v>0</v>
      </c>
      <c r="H257" s="9">
        <v>0</v>
      </c>
      <c r="I257" s="9">
        <v>0</v>
      </c>
      <c r="J257" s="9">
        <v>0</v>
      </c>
      <c r="K257" s="9">
        <v>0</v>
      </c>
      <c r="L257" s="9">
        <v>0</v>
      </c>
      <c r="M257" s="9">
        <v>0</v>
      </c>
      <c r="N257" s="9">
        <v>0</v>
      </c>
      <c r="O257" s="9">
        <v>0</v>
      </c>
      <c r="P257" s="9">
        <v>0</v>
      </c>
      <c r="Q257" s="9">
        <v>0</v>
      </c>
      <c r="R257" s="9">
        <v>0</v>
      </c>
      <c r="S257" s="9">
        <v>0</v>
      </c>
      <c r="T257" s="9">
        <v>0</v>
      </c>
      <c r="U257" s="9">
        <v>0</v>
      </c>
      <c r="V257" s="9">
        <v>0</v>
      </c>
      <c r="W257" s="9">
        <v>0</v>
      </c>
      <c r="X257" s="9">
        <v>0</v>
      </c>
      <c r="Y257" s="9">
        <v>0</v>
      </c>
      <c r="Z257" s="9">
        <v>0</v>
      </c>
      <c r="AA257" s="9">
        <v>0</v>
      </c>
      <c r="AB257" s="9">
        <v>0</v>
      </c>
      <c r="AC257" s="9">
        <v>0</v>
      </c>
      <c r="AD257" s="9">
        <v>0</v>
      </c>
      <c r="AE257" s="9">
        <v>0</v>
      </c>
      <c r="AF257" s="9">
        <v>0</v>
      </c>
      <c r="AG257" s="9">
        <v>0</v>
      </c>
      <c r="AH257" s="9">
        <v>0</v>
      </c>
      <c r="AI257" s="9">
        <v>0</v>
      </c>
      <c r="AJ257" s="9">
        <v>0</v>
      </c>
      <c r="AK257" s="9">
        <v>0</v>
      </c>
      <c r="AL257" s="9">
        <v>0</v>
      </c>
      <c r="AM257" s="9">
        <v>0</v>
      </c>
      <c r="AN257" s="9">
        <v>0</v>
      </c>
      <c r="AO257" s="9">
        <v>0</v>
      </c>
      <c r="AP257" s="9">
        <v>0</v>
      </c>
      <c r="AQ257" s="9">
        <v>0</v>
      </c>
      <c r="AR257" s="9">
        <v>0</v>
      </c>
      <c r="AS257" s="9">
        <v>0</v>
      </c>
      <c r="AT257" s="9">
        <v>0</v>
      </c>
      <c r="AU257" s="9">
        <v>0</v>
      </c>
      <c r="AV257" s="9">
        <v>0</v>
      </c>
      <c r="AW257" s="9">
        <v>0</v>
      </c>
      <c r="AX257" s="9">
        <v>0</v>
      </c>
      <c r="AY257" s="9">
        <v>0</v>
      </c>
      <c r="AZ257" s="9">
        <v>0</v>
      </c>
      <c r="BA257" s="9">
        <v>0</v>
      </c>
      <c r="BB257" s="9">
        <v>0</v>
      </c>
      <c r="BC257" s="9">
        <v>0</v>
      </c>
      <c r="BD257" s="9">
        <v>0</v>
      </c>
      <c r="BE257" s="9">
        <v>0</v>
      </c>
      <c r="BF257" s="9">
        <v>0</v>
      </c>
      <c r="BG257" s="9">
        <v>0</v>
      </c>
      <c r="BH257" s="9">
        <v>0</v>
      </c>
      <c r="BI257" s="9">
        <v>0</v>
      </c>
      <c r="BJ257" s="9">
        <v>0</v>
      </c>
      <c r="BK257" s="9">
        <v>0</v>
      </c>
      <c r="BL257" s="9">
        <v>0</v>
      </c>
      <c r="BM257" s="9">
        <v>0</v>
      </c>
      <c r="BN257" s="9">
        <v>0</v>
      </c>
      <c r="BO257" s="9">
        <v>0</v>
      </c>
      <c r="BP257" s="9">
        <v>0</v>
      </c>
      <c r="BQ257" s="9">
        <v>0</v>
      </c>
      <c r="BR257" s="9">
        <v>0</v>
      </c>
      <c r="BS257" s="9">
        <v>0</v>
      </c>
      <c r="BT257" s="9">
        <v>0</v>
      </c>
      <c r="BU257" s="9">
        <v>0</v>
      </c>
      <c r="BV257" s="9">
        <v>0</v>
      </c>
      <c r="BW257" s="9">
        <v>0</v>
      </c>
      <c r="BX257" s="9">
        <v>0</v>
      </c>
      <c r="BY257" s="9">
        <v>0</v>
      </c>
      <c r="BZ257" s="9">
        <v>0</v>
      </c>
      <c r="CA257" s="9">
        <v>0</v>
      </c>
      <c r="CB257" s="9">
        <v>0</v>
      </c>
      <c r="CC257" s="9">
        <v>0</v>
      </c>
      <c r="CD257" s="9">
        <v>0</v>
      </c>
      <c r="CE257" s="9">
        <v>0</v>
      </c>
      <c r="CF257" s="9">
        <v>0</v>
      </c>
      <c r="CG257" s="9">
        <v>0</v>
      </c>
      <c r="CH257" s="9">
        <v>0</v>
      </c>
      <c r="CI257" s="9">
        <v>0</v>
      </c>
      <c r="CJ257" s="9">
        <v>0</v>
      </c>
      <c r="CK257" s="9">
        <v>0</v>
      </c>
      <c r="CL257" s="9">
        <v>0</v>
      </c>
      <c r="CM257" s="9">
        <v>0</v>
      </c>
      <c r="CN257" s="9">
        <v>0</v>
      </c>
      <c r="CO257" s="9">
        <v>0</v>
      </c>
      <c r="CP257" s="9">
        <v>0</v>
      </c>
      <c r="CQ257" s="9">
        <v>0</v>
      </c>
      <c r="CR257" s="9">
        <v>0</v>
      </c>
      <c r="CS257" s="10">
        <v>0</v>
      </c>
    </row>
    <row r="258" spans="1:97" x14ac:dyDescent="0.35">
      <c r="A258" s="8" t="s">
        <v>261</v>
      </c>
      <c r="B258" s="9" t="s">
        <v>950</v>
      </c>
      <c r="C258" s="9" t="s">
        <v>951</v>
      </c>
      <c r="D258" s="9">
        <f t="shared" si="3"/>
        <v>0</v>
      </c>
      <c r="E258" s="9">
        <v>0</v>
      </c>
      <c r="F258" s="9">
        <v>0</v>
      </c>
      <c r="G258" s="9">
        <v>0</v>
      </c>
      <c r="H258" s="9">
        <v>0</v>
      </c>
      <c r="I258" s="9">
        <v>0</v>
      </c>
      <c r="J258" s="9">
        <v>0</v>
      </c>
      <c r="K258" s="9">
        <v>0</v>
      </c>
      <c r="L258" s="9">
        <v>0</v>
      </c>
      <c r="M258" s="9">
        <v>0</v>
      </c>
      <c r="N258" s="9">
        <v>0</v>
      </c>
      <c r="O258" s="9">
        <v>0</v>
      </c>
      <c r="P258" s="9">
        <v>0</v>
      </c>
      <c r="Q258" s="9">
        <v>0</v>
      </c>
      <c r="R258" s="9">
        <v>0</v>
      </c>
      <c r="S258" s="9">
        <v>0</v>
      </c>
      <c r="T258" s="9">
        <v>0</v>
      </c>
      <c r="U258" s="9">
        <v>0</v>
      </c>
      <c r="V258" s="9">
        <v>0</v>
      </c>
      <c r="W258" s="9">
        <v>0</v>
      </c>
      <c r="X258" s="9">
        <v>0</v>
      </c>
      <c r="Y258" s="9">
        <v>0</v>
      </c>
      <c r="Z258" s="9">
        <v>0</v>
      </c>
      <c r="AA258" s="9">
        <v>0</v>
      </c>
      <c r="AB258" s="9">
        <v>0</v>
      </c>
      <c r="AC258" s="9">
        <v>0</v>
      </c>
      <c r="AD258" s="9">
        <v>0</v>
      </c>
      <c r="AE258" s="9">
        <v>0</v>
      </c>
      <c r="AF258" s="9">
        <v>0</v>
      </c>
      <c r="AG258" s="9">
        <v>0</v>
      </c>
      <c r="AH258" s="9">
        <v>0</v>
      </c>
      <c r="AI258" s="9">
        <v>0</v>
      </c>
      <c r="AJ258" s="9">
        <v>0</v>
      </c>
      <c r="AK258" s="9">
        <v>0</v>
      </c>
      <c r="AL258" s="9">
        <v>0</v>
      </c>
      <c r="AM258" s="9">
        <v>0</v>
      </c>
      <c r="AN258" s="9">
        <v>0</v>
      </c>
      <c r="AO258" s="9">
        <v>0</v>
      </c>
      <c r="AP258" s="9">
        <v>0</v>
      </c>
      <c r="AQ258" s="9">
        <v>0</v>
      </c>
      <c r="AR258" s="9">
        <v>0</v>
      </c>
      <c r="AS258" s="9">
        <v>0</v>
      </c>
      <c r="AT258" s="9">
        <v>0</v>
      </c>
      <c r="AU258" s="9">
        <v>0</v>
      </c>
      <c r="AV258" s="9">
        <v>0</v>
      </c>
      <c r="AW258" s="9">
        <v>0</v>
      </c>
      <c r="AX258" s="9">
        <v>0</v>
      </c>
      <c r="AY258" s="9">
        <v>0</v>
      </c>
      <c r="AZ258" s="9">
        <v>0</v>
      </c>
      <c r="BA258" s="9">
        <v>0</v>
      </c>
      <c r="BB258" s="9">
        <v>0</v>
      </c>
      <c r="BC258" s="9">
        <v>0</v>
      </c>
      <c r="BD258" s="9">
        <v>0</v>
      </c>
      <c r="BE258" s="9">
        <v>0</v>
      </c>
      <c r="BF258" s="9">
        <v>0</v>
      </c>
      <c r="BG258" s="9">
        <v>0</v>
      </c>
      <c r="BH258" s="9">
        <v>0</v>
      </c>
      <c r="BI258" s="9">
        <v>0</v>
      </c>
      <c r="BJ258" s="9">
        <v>0</v>
      </c>
      <c r="BK258" s="9">
        <v>0</v>
      </c>
      <c r="BL258" s="9">
        <v>0</v>
      </c>
      <c r="BM258" s="9">
        <v>0</v>
      </c>
      <c r="BN258" s="9">
        <v>0</v>
      </c>
      <c r="BO258" s="9">
        <v>0</v>
      </c>
      <c r="BP258" s="9">
        <v>0</v>
      </c>
      <c r="BQ258" s="9">
        <v>0</v>
      </c>
      <c r="BR258" s="9">
        <v>0</v>
      </c>
      <c r="BS258" s="9">
        <v>0</v>
      </c>
      <c r="BT258" s="9">
        <v>0</v>
      </c>
      <c r="BU258" s="9">
        <v>0</v>
      </c>
      <c r="BV258" s="9">
        <v>0</v>
      </c>
      <c r="BW258" s="9">
        <v>0</v>
      </c>
      <c r="BX258" s="9">
        <v>0</v>
      </c>
      <c r="BY258" s="9">
        <v>0</v>
      </c>
      <c r="BZ258" s="9">
        <v>0</v>
      </c>
      <c r="CA258" s="9">
        <v>0</v>
      </c>
      <c r="CB258" s="9">
        <v>0</v>
      </c>
      <c r="CC258" s="9">
        <v>0</v>
      </c>
      <c r="CD258" s="9">
        <v>0</v>
      </c>
      <c r="CE258" s="9">
        <v>0</v>
      </c>
      <c r="CF258" s="9">
        <v>0</v>
      </c>
      <c r="CG258" s="9">
        <v>0</v>
      </c>
      <c r="CH258" s="9">
        <v>0</v>
      </c>
      <c r="CI258" s="9">
        <v>0</v>
      </c>
      <c r="CJ258" s="9">
        <v>0</v>
      </c>
      <c r="CK258" s="9">
        <v>0</v>
      </c>
      <c r="CL258" s="9">
        <v>0</v>
      </c>
      <c r="CM258" s="9">
        <v>0</v>
      </c>
      <c r="CN258" s="9">
        <v>0</v>
      </c>
      <c r="CO258" s="9">
        <v>0</v>
      </c>
      <c r="CP258" s="9">
        <v>0</v>
      </c>
      <c r="CQ258" s="9">
        <v>0</v>
      </c>
      <c r="CR258" s="9">
        <v>0</v>
      </c>
      <c r="CS258" s="10">
        <v>0</v>
      </c>
    </row>
    <row r="259" spans="1:97" x14ac:dyDescent="0.35">
      <c r="A259" s="8" t="s">
        <v>261</v>
      </c>
      <c r="B259" s="9" t="s">
        <v>952</v>
      </c>
      <c r="C259" s="9" t="s">
        <v>953</v>
      </c>
      <c r="D259" s="9">
        <f t="shared" ref="D259:D322" si="4">SUM(E259:CS259)</f>
        <v>0</v>
      </c>
      <c r="E259" s="9">
        <v>0</v>
      </c>
      <c r="F259" s="9">
        <v>0</v>
      </c>
      <c r="G259" s="9">
        <v>0</v>
      </c>
      <c r="H259" s="9">
        <v>0</v>
      </c>
      <c r="I259" s="9">
        <v>0</v>
      </c>
      <c r="J259" s="9">
        <v>0</v>
      </c>
      <c r="K259" s="9">
        <v>0</v>
      </c>
      <c r="L259" s="9">
        <v>0</v>
      </c>
      <c r="M259" s="9">
        <v>0</v>
      </c>
      <c r="N259" s="9">
        <v>0</v>
      </c>
      <c r="O259" s="9">
        <v>0</v>
      </c>
      <c r="P259" s="9">
        <v>0</v>
      </c>
      <c r="Q259" s="9">
        <v>0</v>
      </c>
      <c r="R259" s="9">
        <v>0</v>
      </c>
      <c r="S259" s="9">
        <v>0</v>
      </c>
      <c r="T259" s="9">
        <v>0</v>
      </c>
      <c r="U259" s="9">
        <v>0</v>
      </c>
      <c r="V259" s="9">
        <v>0</v>
      </c>
      <c r="W259" s="9">
        <v>0</v>
      </c>
      <c r="X259" s="9">
        <v>0</v>
      </c>
      <c r="Y259" s="9">
        <v>0</v>
      </c>
      <c r="Z259" s="9">
        <v>0</v>
      </c>
      <c r="AA259" s="9">
        <v>0</v>
      </c>
      <c r="AB259" s="9">
        <v>0</v>
      </c>
      <c r="AC259" s="9">
        <v>0</v>
      </c>
      <c r="AD259" s="9">
        <v>0</v>
      </c>
      <c r="AE259" s="9">
        <v>0</v>
      </c>
      <c r="AF259" s="9">
        <v>0</v>
      </c>
      <c r="AG259" s="9">
        <v>0</v>
      </c>
      <c r="AH259" s="9">
        <v>0</v>
      </c>
      <c r="AI259" s="9">
        <v>0</v>
      </c>
      <c r="AJ259" s="9">
        <v>0</v>
      </c>
      <c r="AK259" s="9">
        <v>0</v>
      </c>
      <c r="AL259" s="9">
        <v>0</v>
      </c>
      <c r="AM259" s="9">
        <v>0</v>
      </c>
      <c r="AN259" s="9">
        <v>0</v>
      </c>
      <c r="AO259" s="9">
        <v>0</v>
      </c>
      <c r="AP259" s="9">
        <v>0</v>
      </c>
      <c r="AQ259" s="9">
        <v>0</v>
      </c>
      <c r="AR259" s="9">
        <v>0</v>
      </c>
      <c r="AS259" s="9">
        <v>0</v>
      </c>
      <c r="AT259" s="9">
        <v>0</v>
      </c>
      <c r="AU259" s="9">
        <v>0</v>
      </c>
      <c r="AV259" s="9">
        <v>0</v>
      </c>
      <c r="AW259" s="9">
        <v>0</v>
      </c>
      <c r="AX259" s="9">
        <v>0</v>
      </c>
      <c r="AY259" s="9">
        <v>0</v>
      </c>
      <c r="AZ259" s="9">
        <v>0</v>
      </c>
      <c r="BA259" s="9">
        <v>0</v>
      </c>
      <c r="BB259" s="9">
        <v>0</v>
      </c>
      <c r="BC259" s="9">
        <v>0</v>
      </c>
      <c r="BD259" s="9">
        <v>0</v>
      </c>
      <c r="BE259" s="9">
        <v>0</v>
      </c>
      <c r="BF259" s="9">
        <v>0</v>
      </c>
      <c r="BG259" s="9">
        <v>0</v>
      </c>
      <c r="BH259" s="9">
        <v>0</v>
      </c>
      <c r="BI259" s="9">
        <v>0</v>
      </c>
      <c r="BJ259" s="9">
        <v>0</v>
      </c>
      <c r="BK259" s="9">
        <v>0</v>
      </c>
      <c r="BL259" s="9">
        <v>0</v>
      </c>
      <c r="BM259" s="9">
        <v>0</v>
      </c>
      <c r="BN259" s="9">
        <v>0</v>
      </c>
      <c r="BO259" s="9">
        <v>0</v>
      </c>
      <c r="BP259" s="9">
        <v>0</v>
      </c>
      <c r="BQ259" s="9">
        <v>0</v>
      </c>
      <c r="BR259" s="9">
        <v>0</v>
      </c>
      <c r="BS259" s="9">
        <v>0</v>
      </c>
      <c r="BT259" s="9">
        <v>0</v>
      </c>
      <c r="BU259" s="9">
        <v>0</v>
      </c>
      <c r="BV259" s="9">
        <v>0</v>
      </c>
      <c r="BW259" s="9">
        <v>0</v>
      </c>
      <c r="BX259" s="9">
        <v>0</v>
      </c>
      <c r="BY259" s="9">
        <v>0</v>
      </c>
      <c r="BZ259" s="9">
        <v>0</v>
      </c>
      <c r="CA259" s="9">
        <v>0</v>
      </c>
      <c r="CB259" s="9">
        <v>0</v>
      </c>
      <c r="CC259" s="9">
        <v>0</v>
      </c>
      <c r="CD259" s="9">
        <v>0</v>
      </c>
      <c r="CE259" s="9">
        <v>0</v>
      </c>
      <c r="CF259" s="9">
        <v>0</v>
      </c>
      <c r="CG259" s="9">
        <v>0</v>
      </c>
      <c r="CH259" s="9">
        <v>0</v>
      </c>
      <c r="CI259" s="9">
        <v>0</v>
      </c>
      <c r="CJ259" s="9">
        <v>0</v>
      </c>
      <c r="CK259" s="9">
        <v>0</v>
      </c>
      <c r="CL259" s="9">
        <v>0</v>
      </c>
      <c r="CM259" s="9">
        <v>0</v>
      </c>
      <c r="CN259" s="9">
        <v>0</v>
      </c>
      <c r="CO259" s="9">
        <v>0</v>
      </c>
      <c r="CP259" s="9">
        <v>0</v>
      </c>
      <c r="CQ259" s="9">
        <v>0</v>
      </c>
      <c r="CR259" s="9">
        <v>0</v>
      </c>
      <c r="CS259" s="10">
        <v>0</v>
      </c>
    </row>
    <row r="260" spans="1:97" x14ac:dyDescent="0.35">
      <c r="A260" s="8" t="s">
        <v>261</v>
      </c>
      <c r="B260" s="9" t="s">
        <v>954</v>
      </c>
      <c r="C260" s="9" t="s">
        <v>955</v>
      </c>
      <c r="D260" s="9">
        <f t="shared" si="4"/>
        <v>0</v>
      </c>
      <c r="E260" s="9">
        <v>0</v>
      </c>
      <c r="F260" s="9">
        <v>0</v>
      </c>
      <c r="G260" s="9">
        <v>0</v>
      </c>
      <c r="H260" s="9">
        <v>0</v>
      </c>
      <c r="I260" s="9">
        <v>0</v>
      </c>
      <c r="J260" s="9">
        <v>0</v>
      </c>
      <c r="K260" s="9">
        <v>0</v>
      </c>
      <c r="L260" s="9">
        <v>0</v>
      </c>
      <c r="M260" s="9">
        <v>0</v>
      </c>
      <c r="N260" s="9">
        <v>0</v>
      </c>
      <c r="O260" s="9">
        <v>0</v>
      </c>
      <c r="P260" s="9">
        <v>0</v>
      </c>
      <c r="Q260" s="9">
        <v>0</v>
      </c>
      <c r="R260" s="9">
        <v>0</v>
      </c>
      <c r="S260" s="9">
        <v>0</v>
      </c>
      <c r="T260" s="9">
        <v>0</v>
      </c>
      <c r="U260" s="9">
        <v>0</v>
      </c>
      <c r="V260" s="9">
        <v>0</v>
      </c>
      <c r="W260" s="9">
        <v>0</v>
      </c>
      <c r="X260" s="9">
        <v>0</v>
      </c>
      <c r="Y260" s="9">
        <v>0</v>
      </c>
      <c r="Z260" s="9">
        <v>0</v>
      </c>
      <c r="AA260" s="9">
        <v>0</v>
      </c>
      <c r="AB260" s="9">
        <v>0</v>
      </c>
      <c r="AC260" s="9">
        <v>0</v>
      </c>
      <c r="AD260" s="9">
        <v>0</v>
      </c>
      <c r="AE260" s="9">
        <v>0</v>
      </c>
      <c r="AF260" s="9">
        <v>0</v>
      </c>
      <c r="AG260" s="9">
        <v>0</v>
      </c>
      <c r="AH260" s="9">
        <v>0</v>
      </c>
      <c r="AI260" s="9">
        <v>0</v>
      </c>
      <c r="AJ260" s="9">
        <v>0</v>
      </c>
      <c r="AK260" s="9">
        <v>0</v>
      </c>
      <c r="AL260" s="9">
        <v>0</v>
      </c>
      <c r="AM260" s="9">
        <v>0</v>
      </c>
      <c r="AN260" s="9">
        <v>0</v>
      </c>
      <c r="AO260" s="9">
        <v>0</v>
      </c>
      <c r="AP260" s="9">
        <v>0</v>
      </c>
      <c r="AQ260" s="9">
        <v>0</v>
      </c>
      <c r="AR260" s="9">
        <v>0</v>
      </c>
      <c r="AS260" s="9">
        <v>0</v>
      </c>
      <c r="AT260" s="9">
        <v>0</v>
      </c>
      <c r="AU260" s="9">
        <v>0</v>
      </c>
      <c r="AV260" s="9">
        <v>0</v>
      </c>
      <c r="AW260" s="9">
        <v>0</v>
      </c>
      <c r="AX260" s="9">
        <v>0</v>
      </c>
      <c r="AY260" s="9">
        <v>0</v>
      </c>
      <c r="AZ260" s="9">
        <v>0</v>
      </c>
      <c r="BA260" s="9">
        <v>0</v>
      </c>
      <c r="BB260" s="9">
        <v>0</v>
      </c>
      <c r="BC260" s="9">
        <v>0</v>
      </c>
      <c r="BD260" s="9">
        <v>0</v>
      </c>
      <c r="BE260" s="9">
        <v>0</v>
      </c>
      <c r="BF260" s="9">
        <v>0</v>
      </c>
      <c r="BG260" s="9">
        <v>0</v>
      </c>
      <c r="BH260" s="9">
        <v>0</v>
      </c>
      <c r="BI260" s="9">
        <v>0</v>
      </c>
      <c r="BJ260" s="9">
        <v>0</v>
      </c>
      <c r="BK260" s="9">
        <v>0</v>
      </c>
      <c r="BL260" s="9">
        <v>0</v>
      </c>
      <c r="BM260" s="9">
        <v>0</v>
      </c>
      <c r="BN260" s="9">
        <v>0</v>
      </c>
      <c r="BO260" s="9">
        <v>0</v>
      </c>
      <c r="BP260" s="9">
        <v>0</v>
      </c>
      <c r="BQ260" s="9">
        <v>0</v>
      </c>
      <c r="BR260" s="9">
        <v>0</v>
      </c>
      <c r="BS260" s="9">
        <v>0</v>
      </c>
      <c r="BT260" s="9">
        <v>0</v>
      </c>
      <c r="BU260" s="9">
        <v>0</v>
      </c>
      <c r="BV260" s="9">
        <v>0</v>
      </c>
      <c r="BW260" s="9">
        <v>0</v>
      </c>
      <c r="BX260" s="9">
        <v>0</v>
      </c>
      <c r="BY260" s="9">
        <v>0</v>
      </c>
      <c r="BZ260" s="9">
        <v>0</v>
      </c>
      <c r="CA260" s="9">
        <v>0</v>
      </c>
      <c r="CB260" s="9">
        <v>0</v>
      </c>
      <c r="CC260" s="9">
        <v>0</v>
      </c>
      <c r="CD260" s="9">
        <v>0</v>
      </c>
      <c r="CE260" s="9">
        <v>0</v>
      </c>
      <c r="CF260" s="9">
        <v>0</v>
      </c>
      <c r="CG260" s="9">
        <v>0</v>
      </c>
      <c r="CH260" s="9">
        <v>0</v>
      </c>
      <c r="CI260" s="9">
        <v>0</v>
      </c>
      <c r="CJ260" s="9">
        <v>0</v>
      </c>
      <c r="CK260" s="9">
        <v>0</v>
      </c>
      <c r="CL260" s="9">
        <v>0</v>
      </c>
      <c r="CM260" s="9">
        <v>0</v>
      </c>
      <c r="CN260" s="9">
        <v>0</v>
      </c>
      <c r="CO260" s="9">
        <v>0</v>
      </c>
      <c r="CP260" s="9">
        <v>0</v>
      </c>
      <c r="CQ260" s="9">
        <v>0</v>
      </c>
      <c r="CR260" s="9">
        <v>0</v>
      </c>
      <c r="CS260" s="10">
        <v>0</v>
      </c>
    </row>
    <row r="261" spans="1:97" x14ac:dyDescent="0.35">
      <c r="A261" s="8" t="s">
        <v>261</v>
      </c>
      <c r="B261" s="9" t="s">
        <v>956</v>
      </c>
      <c r="C261" s="9" t="s">
        <v>957</v>
      </c>
      <c r="D261" s="9">
        <f t="shared" si="4"/>
        <v>0</v>
      </c>
      <c r="E261" s="9">
        <v>0</v>
      </c>
      <c r="F261" s="9">
        <v>0</v>
      </c>
      <c r="G261" s="9">
        <v>0</v>
      </c>
      <c r="H261" s="9">
        <v>0</v>
      </c>
      <c r="I261" s="9">
        <v>0</v>
      </c>
      <c r="J261" s="9">
        <v>0</v>
      </c>
      <c r="K261" s="9">
        <v>0</v>
      </c>
      <c r="L261" s="9">
        <v>0</v>
      </c>
      <c r="M261" s="9">
        <v>0</v>
      </c>
      <c r="N261" s="9">
        <v>0</v>
      </c>
      <c r="O261" s="9">
        <v>0</v>
      </c>
      <c r="P261" s="9">
        <v>0</v>
      </c>
      <c r="Q261" s="9">
        <v>0</v>
      </c>
      <c r="R261" s="9">
        <v>0</v>
      </c>
      <c r="S261" s="9">
        <v>0</v>
      </c>
      <c r="T261" s="9">
        <v>0</v>
      </c>
      <c r="U261" s="9">
        <v>0</v>
      </c>
      <c r="V261" s="9">
        <v>0</v>
      </c>
      <c r="W261" s="9">
        <v>0</v>
      </c>
      <c r="X261" s="9">
        <v>0</v>
      </c>
      <c r="Y261" s="9">
        <v>0</v>
      </c>
      <c r="Z261" s="9">
        <v>0</v>
      </c>
      <c r="AA261" s="9">
        <v>0</v>
      </c>
      <c r="AB261" s="9">
        <v>0</v>
      </c>
      <c r="AC261" s="9">
        <v>0</v>
      </c>
      <c r="AD261" s="9">
        <v>0</v>
      </c>
      <c r="AE261" s="9">
        <v>0</v>
      </c>
      <c r="AF261" s="9">
        <v>0</v>
      </c>
      <c r="AG261" s="9">
        <v>0</v>
      </c>
      <c r="AH261" s="9">
        <v>0</v>
      </c>
      <c r="AI261" s="9">
        <v>0</v>
      </c>
      <c r="AJ261" s="9">
        <v>0</v>
      </c>
      <c r="AK261" s="9">
        <v>0</v>
      </c>
      <c r="AL261" s="9">
        <v>0</v>
      </c>
      <c r="AM261" s="9">
        <v>0</v>
      </c>
      <c r="AN261" s="9">
        <v>0</v>
      </c>
      <c r="AO261" s="9">
        <v>0</v>
      </c>
      <c r="AP261" s="9">
        <v>0</v>
      </c>
      <c r="AQ261" s="9">
        <v>0</v>
      </c>
      <c r="AR261" s="9">
        <v>0</v>
      </c>
      <c r="AS261" s="9">
        <v>0</v>
      </c>
      <c r="AT261" s="9">
        <v>0</v>
      </c>
      <c r="AU261" s="9">
        <v>0</v>
      </c>
      <c r="AV261" s="9">
        <v>0</v>
      </c>
      <c r="AW261" s="9">
        <v>0</v>
      </c>
      <c r="AX261" s="9">
        <v>0</v>
      </c>
      <c r="AY261" s="9">
        <v>0</v>
      </c>
      <c r="AZ261" s="9">
        <v>0</v>
      </c>
      <c r="BA261" s="9">
        <v>0</v>
      </c>
      <c r="BB261" s="9">
        <v>0</v>
      </c>
      <c r="BC261" s="9">
        <v>0</v>
      </c>
      <c r="BD261" s="9">
        <v>0</v>
      </c>
      <c r="BE261" s="9">
        <v>0</v>
      </c>
      <c r="BF261" s="9">
        <v>0</v>
      </c>
      <c r="BG261" s="9">
        <v>0</v>
      </c>
      <c r="BH261" s="9">
        <v>0</v>
      </c>
      <c r="BI261" s="9">
        <v>0</v>
      </c>
      <c r="BJ261" s="9">
        <v>0</v>
      </c>
      <c r="BK261" s="9">
        <v>0</v>
      </c>
      <c r="BL261" s="9">
        <v>0</v>
      </c>
      <c r="BM261" s="9">
        <v>0</v>
      </c>
      <c r="BN261" s="9">
        <v>0</v>
      </c>
      <c r="BO261" s="9">
        <v>0</v>
      </c>
      <c r="BP261" s="9">
        <v>0</v>
      </c>
      <c r="BQ261" s="9">
        <v>0</v>
      </c>
      <c r="BR261" s="9">
        <v>0</v>
      </c>
      <c r="BS261" s="9">
        <v>0</v>
      </c>
      <c r="BT261" s="9">
        <v>0</v>
      </c>
      <c r="BU261" s="9">
        <v>0</v>
      </c>
      <c r="BV261" s="9">
        <v>0</v>
      </c>
      <c r="BW261" s="9">
        <v>0</v>
      </c>
      <c r="BX261" s="9">
        <v>0</v>
      </c>
      <c r="BY261" s="9">
        <v>0</v>
      </c>
      <c r="BZ261" s="9">
        <v>0</v>
      </c>
      <c r="CA261" s="9">
        <v>0</v>
      </c>
      <c r="CB261" s="9">
        <v>0</v>
      </c>
      <c r="CC261" s="9">
        <v>0</v>
      </c>
      <c r="CD261" s="9">
        <v>0</v>
      </c>
      <c r="CE261" s="9">
        <v>0</v>
      </c>
      <c r="CF261" s="9">
        <v>0</v>
      </c>
      <c r="CG261" s="9">
        <v>0</v>
      </c>
      <c r="CH261" s="9">
        <v>0</v>
      </c>
      <c r="CI261" s="9">
        <v>0</v>
      </c>
      <c r="CJ261" s="9">
        <v>0</v>
      </c>
      <c r="CK261" s="9">
        <v>0</v>
      </c>
      <c r="CL261" s="9">
        <v>0</v>
      </c>
      <c r="CM261" s="9">
        <v>0</v>
      </c>
      <c r="CN261" s="9">
        <v>0</v>
      </c>
      <c r="CO261" s="9">
        <v>0</v>
      </c>
      <c r="CP261" s="9">
        <v>0</v>
      </c>
      <c r="CQ261" s="9">
        <v>0</v>
      </c>
      <c r="CR261" s="9">
        <v>0</v>
      </c>
      <c r="CS261" s="10">
        <v>0</v>
      </c>
    </row>
    <row r="262" spans="1:97" x14ac:dyDescent="0.35">
      <c r="A262" s="8" t="s">
        <v>261</v>
      </c>
      <c r="B262" s="9" t="s">
        <v>958</v>
      </c>
      <c r="C262" s="9" t="s">
        <v>959</v>
      </c>
      <c r="D262" s="9">
        <f t="shared" si="4"/>
        <v>0</v>
      </c>
      <c r="E262" s="9">
        <v>0</v>
      </c>
      <c r="F262" s="9">
        <v>0</v>
      </c>
      <c r="G262" s="9">
        <v>0</v>
      </c>
      <c r="H262" s="9">
        <v>0</v>
      </c>
      <c r="I262" s="9">
        <v>0</v>
      </c>
      <c r="J262" s="9">
        <v>0</v>
      </c>
      <c r="K262" s="9">
        <v>0</v>
      </c>
      <c r="L262" s="9">
        <v>0</v>
      </c>
      <c r="M262" s="9">
        <v>0</v>
      </c>
      <c r="N262" s="9">
        <v>0</v>
      </c>
      <c r="O262" s="9">
        <v>0</v>
      </c>
      <c r="P262" s="9">
        <v>0</v>
      </c>
      <c r="Q262" s="9">
        <v>0</v>
      </c>
      <c r="R262" s="9">
        <v>0</v>
      </c>
      <c r="S262" s="9">
        <v>0</v>
      </c>
      <c r="T262" s="9">
        <v>0</v>
      </c>
      <c r="U262" s="9">
        <v>0</v>
      </c>
      <c r="V262" s="9">
        <v>0</v>
      </c>
      <c r="W262" s="9">
        <v>0</v>
      </c>
      <c r="X262" s="9">
        <v>0</v>
      </c>
      <c r="Y262" s="9">
        <v>0</v>
      </c>
      <c r="Z262" s="9">
        <v>0</v>
      </c>
      <c r="AA262" s="9">
        <v>0</v>
      </c>
      <c r="AB262" s="9">
        <v>0</v>
      </c>
      <c r="AC262" s="9">
        <v>0</v>
      </c>
      <c r="AD262" s="9">
        <v>0</v>
      </c>
      <c r="AE262" s="9">
        <v>0</v>
      </c>
      <c r="AF262" s="9">
        <v>0</v>
      </c>
      <c r="AG262" s="9">
        <v>0</v>
      </c>
      <c r="AH262" s="9">
        <v>0</v>
      </c>
      <c r="AI262" s="9">
        <v>0</v>
      </c>
      <c r="AJ262" s="9">
        <v>0</v>
      </c>
      <c r="AK262" s="9">
        <v>0</v>
      </c>
      <c r="AL262" s="9">
        <v>0</v>
      </c>
      <c r="AM262" s="9">
        <v>0</v>
      </c>
      <c r="AN262" s="9">
        <v>0</v>
      </c>
      <c r="AO262" s="9">
        <v>0</v>
      </c>
      <c r="AP262" s="9">
        <v>0</v>
      </c>
      <c r="AQ262" s="9">
        <v>0</v>
      </c>
      <c r="AR262" s="9">
        <v>0</v>
      </c>
      <c r="AS262" s="9">
        <v>0</v>
      </c>
      <c r="AT262" s="9">
        <v>0</v>
      </c>
      <c r="AU262" s="9">
        <v>0</v>
      </c>
      <c r="AV262" s="9">
        <v>0</v>
      </c>
      <c r="AW262" s="9">
        <v>0</v>
      </c>
      <c r="AX262" s="9">
        <v>0</v>
      </c>
      <c r="AY262" s="9">
        <v>0</v>
      </c>
      <c r="AZ262" s="9">
        <v>0</v>
      </c>
      <c r="BA262" s="9">
        <v>0</v>
      </c>
      <c r="BB262" s="9">
        <v>0</v>
      </c>
      <c r="BC262" s="9">
        <v>0</v>
      </c>
      <c r="BD262" s="9">
        <v>0</v>
      </c>
      <c r="BE262" s="9">
        <v>0</v>
      </c>
      <c r="BF262" s="9">
        <v>0</v>
      </c>
      <c r="BG262" s="9">
        <v>0</v>
      </c>
      <c r="BH262" s="9">
        <v>0</v>
      </c>
      <c r="BI262" s="9">
        <v>0</v>
      </c>
      <c r="BJ262" s="9">
        <v>0</v>
      </c>
      <c r="BK262" s="9">
        <v>0</v>
      </c>
      <c r="BL262" s="9">
        <v>0</v>
      </c>
      <c r="BM262" s="9">
        <v>0</v>
      </c>
      <c r="BN262" s="9">
        <v>0</v>
      </c>
      <c r="BO262" s="9">
        <v>0</v>
      </c>
      <c r="BP262" s="9">
        <v>0</v>
      </c>
      <c r="BQ262" s="9">
        <v>0</v>
      </c>
      <c r="BR262" s="9">
        <v>0</v>
      </c>
      <c r="BS262" s="9">
        <v>0</v>
      </c>
      <c r="BT262" s="9">
        <v>0</v>
      </c>
      <c r="BU262" s="9">
        <v>0</v>
      </c>
      <c r="BV262" s="9">
        <v>0</v>
      </c>
      <c r="BW262" s="9">
        <v>0</v>
      </c>
      <c r="BX262" s="9">
        <v>0</v>
      </c>
      <c r="BY262" s="9">
        <v>0</v>
      </c>
      <c r="BZ262" s="9">
        <v>0</v>
      </c>
      <c r="CA262" s="9">
        <v>0</v>
      </c>
      <c r="CB262" s="9">
        <v>0</v>
      </c>
      <c r="CC262" s="9">
        <v>0</v>
      </c>
      <c r="CD262" s="9">
        <v>0</v>
      </c>
      <c r="CE262" s="9">
        <v>0</v>
      </c>
      <c r="CF262" s="9">
        <v>0</v>
      </c>
      <c r="CG262" s="9">
        <v>0</v>
      </c>
      <c r="CH262" s="9">
        <v>0</v>
      </c>
      <c r="CI262" s="9">
        <v>0</v>
      </c>
      <c r="CJ262" s="9">
        <v>0</v>
      </c>
      <c r="CK262" s="9">
        <v>0</v>
      </c>
      <c r="CL262" s="9">
        <v>0</v>
      </c>
      <c r="CM262" s="9">
        <v>0</v>
      </c>
      <c r="CN262" s="9">
        <v>0</v>
      </c>
      <c r="CO262" s="9">
        <v>0</v>
      </c>
      <c r="CP262" s="9">
        <v>0</v>
      </c>
      <c r="CQ262" s="9">
        <v>0</v>
      </c>
      <c r="CR262" s="9">
        <v>0</v>
      </c>
      <c r="CS262" s="10">
        <v>0</v>
      </c>
    </row>
    <row r="263" spans="1:97" x14ac:dyDescent="0.35">
      <c r="A263" s="8" t="s">
        <v>261</v>
      </c>
      <c r="B263" s="9" t="s">
        <v>960</v>
      </c>
      <c r="C263" s="9" t="s">
        <v>961</v>
      </c>
      <c r="D263" s="9">
        <f t="shared" si="4"/>
        <v>0</v>
      </c>
      <c r="E263" s="9">
        <v>0</v>
      </c>
      <c r="F263" s="9">
        <v>0</v>
      </c>
      <c r="G263" s="9">
        <v>0</v>
      </c>
      <c r="H263" s="9">
        <v>0</v>
      </c>
      <c r="I263" s="9">
        <v>0</v>
      </c>
      <c r="J263" s="9">
        <v>0</v>
      </c>
      <c r="K263" s="9">
        <v>0</v>
      </c>
      <c r="L263" s="9">
        <v>0</v>
      </c>
      <c r="M263" s="9">
        <v>0</v>
      </c>
      <c r="N263" s="9">
        <v>0</v>
      </c>
      <c r="O263" s="9">
        <v>0</v>
      </c>
      <c r="P263" s="9">
        <v>0</v>
      </c>
      <c r="Q263" s="9">
        <v>0</v>
      </c>
      <c r="R263" s="9">
        <v>0</v>
      </c>
      <c r="S263" s="9">
        <v>0</v>
      </c>
      <c r="T263" s="9">
        <v>0</v>
      </c>
      <c r="U263" s="9">
        <v>0</v>
      </c>
      <c r="V263" s="9">
        <v>0</v>
      </c>
      <c r="W263" s="9">
        <v>0</v>
      </c>
      <c r="X263" s="9">
        <v>0</v>
      </c>
      <c r="Y263" s="9">
        <v>0</v>
      </c>
      <c r="Z263" s="9">
        <v>0</v>
      </c>
      <c r="AA263" s="9">
        <v>0</v>
      </c>
      <c r="AB263" s="9">
        <v>0</v>
      </c>
      <c r="AC263" s="9">
        <v>0</v>
      </c>
      <c r="AD263" s="9">
        <v>0</v>
      </c>
      <c r="AE263" s="9">
        <v>0</v>
      </c>
      <c r="AF263" s="9">
        <v>0</v>
      </c>
      <c r="AG263" s="9">
        <v>0</v>
      </c>
      <c r="AH263" s="9">
        <v>0</v>
      </c>
      <c r="AI263" s="9">
        <v>0</v>
      </c>
      <c r="AJ263" s="9">
        <v>0</v>
      </c>
      <c r="AK263" s="9">
        <v>0</v>
      </c>
      <c r="AL263" s="9">
        <v>0</v>
      </c>
      <c r="AM263" s="9">
        <v>0</v>
      </c>
      <c r="AN263" s="9">
        <v>0</v>
      </c>
      <c r="AO263" s="9">
        <v>0</v>
      </c>
      <c r="AP263" s="9">
        <v>0</v>
      </c>
      <c r="AQ263" s="9">
        <v>0</v>
      </c>
      <c r="AR263" s="9">
        <v>0</v>
      </c>
      <c r="AS263" s="9">
        <v>0</v>
      </c>
      <c r="AT263" s="9">
        <v>0</v>
      </c>
      <c r="AU263" s="9">
        <v>0</v>
      </c>
      <c r="AV263" s="9">
        <v>0</v>
      </c>
      <c r="AW263" s="9">
        <v>0</v>
      </c>
      <c r="AX263" s="9">
        <v>0</v>
      </c>
      <c r="AY263" s="9">
        <v>0</v>
      </c>
      <c r="AZ263" s="9">
        <v>0</v>
      </c>
      <c r="BA263" s="9">
        <v>0</v>
      </c>
      <c r="BB263" s="9">
        <v>0</v>
      </c>
      <c r="BC263" s="9">
        <v>0</v>
      </c>
      <c r="BD263" s="9">
        <v>0</v>
      </c>
      <c r="BE263" s="9">
        <v>0</v>
      </c>
      <c r="BF263" s="9">
        <v>0</v>
      </c>
      <c r="BG263" s="9">
        <v>0</v>
      </c>
      <c r="BH263" s="9">
        <v>0</v>
      </c>
      <c r="BI263" s="9">
        <v>0</v>
      </c>
      <c r="BJ263" s="9">
        <v>0</v>
      </c>
      <c r="BK263" s="9">
        <v>0</v>
      </c>
      <c r="BL263" s="9">
        <v>0</v>
      </c>
      <c r="BM263" s="9">
        <v>0</v>
      </c>
      <c r="BN263" s="9">
        <v>0</v>
      </c>
      <c r="BO263" s="9">
        <v>0</v>
      </c>
      <c r="BP263" s="9">
        <v>0</v>
      </c>
      <c r="BQ263" s="9">
        <v>0</v>
      </c>
      <c r="BR263" s="9">
        <v>0</v>
      </c>
      <c r="BS263" s="9">
        <v>0</v>
      </c>
      <c r="BT263" s="9">
        <v>0</v>
      </c>
      <c r="BU263" s="9">
        <v>0</v>
      </c>
      <c r="BV263" s="9">
        <v>0</v>
      </c>
      <c r="BW263" s="9">
        <v>0</v>
      </c>
      <c r="BX263" s="9">
        <v>0</v>
      </c>
      <c r="BY263" s="9">
        <v>0</v>
      </c>
      <c r="BZ263" s="9">
        <v>0</v>
      </c>
      <c r="CA263" s="9">
        <v>0</v>
      </c>
      <c r="CB263" s="9">
        <v>0</v>
      </c>
      <c r="CC263" s="9">
        <v>0</v>
      </c>
      <c r="CD263" s="9">
        <v>0</v>
      </c>
      <c r="CE263" s="9">
        <v>0</v>
      </c>
      <c r="CF263" s="9">
        <v>0</v>
      </c>
      <c r="CG263" s="9">
        <v>0</v>
      </c>
      <c r="CH263" s="9">
        <v>0</v>
      </c>
      <c r="CI263" s="9">
        <v>0</v>
      </c>
      <c r="CJ263" s="9">
        <v>0</v>
      </c>
      <c r="CK263" s="9">
        <v>0</v>
      </c>
      <c r="CL263" s="9">
        <v>0</v>
      </c>
      <c r="CM263" s="9">
        <v>0</v>
      </c>
      <c r="CN263" s="9">
        <v>0</v>
      </c>
      <c r="CO263" s="9">
        <v>0</v>
      </c>
      <c r="CP263" s="9">
        <v>0</v>
      </c>
      <c r="CQ263" s="9">
        <v>0</v>
      </c>
      <c r="CR263" s="9">
        <v>0</v>
      </c>
      <c r="CS263" s="10">
        <v>0</v>
      </c>
    </row>
    <row r="264" spans="1:97" x14ac:dyDescent="0.35">
      <c r="A264" s="8" t="s">
        <v>261</v>
      </c>
      <c r="B264" s="9" t="s">
        <v>962</v>
      </c>
      <c r="C264" s="9" t="s">
        <v>963</v>
      </c>
      <c r="D264" s="9">
        <f t="shared" si="4"/>
        <v>0</v>
      </c>
      <c r="E264" s="9">
        <v>0</v>
      </c>
      <c r="F264" s="9">
        <v>0</v>
      </c>
      <c r="G264" s="9">
        <v>0</v>
      </c>
      <c r="H264" s="9">
        <v>0</v>
      </c>
      <c r="I264" s="9">
        <v>0</v>
      </c>
      <c r="J264" s="9">
        <v>0</v>
      </c>
      <c r="K264" s="9">
        <v>0</v>
      </c>
      <c r="L264" s="9">
        <v>0</v>
      </c>
      <c r="M264" s="9">
        <v>0</v>
      </c>
      <c r="N264" s="9">
        <v>0</v>
      </c>
      <c r="O264" s="9">
        <v>0</v>
      </c>
      <c r="P264" s="9">
        <v>0</v>
      </c>
      <c r="Q264" s="9">
        <v>0</v>
      </c>
      <c r="R264" s="9">
        <v>0</v>
      </c>
      <c r="S264" s="9">
        <v>0</v>
      </c>
      <c r="T264" s="9">
        <v>0</v>
      </c>
      <c r="U264" s="9">
        <v>0</v>
      </c>
      <c r="V264" s="9">
        <v>0</v>
      </c>
      <c r="W264" s="9">
        <v>0</v>
      </c>
      <c r="X264" s="9">
        <v>0</v>
      </c>
      <c r="Y264" s="9">
        <v>0</v>
      </c>
      <c r="Z264" s="9">
        <v>0</v>
      </c>
      <c r="AA264" s="9">
        <v>0</v>
      </c>
      <c r="AB264" s="9">
        <v>0</v>
      </c>
      <c r="AC264" s="9">
        <v>0</v>
      </c>
      <c r="AD264" s="9">
        <v>0</v>
      </c>
      <c r="AE264" s="9">
        <v>0</v>
      </c>
      <c r="AF264" s="9">
        <v>0</v>
      </c>
      <c r="AG264" s="9">
        <v>0</v>
      </c>
      <c r="AH264" s="9">
        <v>0</v>
      </c>
      <c r="AI264" s="9">
        <v>0</v>
      </c>
      <c r="AJ264" s="9">
        <v>0</v>
      </c>
      <c r="AK264" s="9">
        <v>0</v>
      </c>
      <c r="AL264" s="9">
        <v>0</v>
      </c>
      <c r="AM264" s="9">
        <v>0</v>
      </c>
      <c r="AN264" s="9">
        <v>0</v>
      </c>
      <c r="AO264" s="9">
        <v>0</v>
      </c>
      <c r="AP264" s="9">
        <v>0</v>
      </c>
      <c r="AQ264" s="9">
        <v>0</v>
      </c>
      <c r="AR264" s="9">
        <v>0</v>
      </c>
      <c r="AS264" s="9">
        <v>0</v>
      </c>
      <c r="AT264" s="9">
        <v>0</v>
      </c>
      <c r="AU264" s="9">
        <v>0</v>
      </c>
      <c r="AV264" s="9">
        <v>0</v>
      </c>
      <c r="AW264" s="9">
        <v>0</v>
      </c>
      <c r="AX264" s="9">
        <v>0</v>
      </c>
      <c r="AY264" s="9">
        <v>0</v>
      </c>
      <c r="AZ264" s="9">
        <v>0</v>
      </c>
      <c r="BA264" s="9">
        <v>0</v>
      </c>
      <c r="BB264" s="9">
        <v>0</v>
      </c>
      <c r="BC264" s="9">
        <v>0</v>
      </c>
      <c r="BD264" s="9">
        <v>0</v>
      </c>
      <c r="BE264" s="9">
        <v>0</v>
      </c>
      <c r="BF264" s="9">
        <v>0</v>
      </c>
      <c r="BG264" s="9">
        <v>0</v>
      </c>
      <c r="BH264" s="9">
        <v>0</v>
      </c>
      <c r="BI264" s="9">
        <v>0</v>
      </c>
      <c r="BJ264" s="9">
        <v>0</v>
      </c>
      <c r="BK264" s="9">
        <v>0</v>
      </c>
      <c r="BL264" s="9">
        <v>0</v>
      </c>
      <c r="BM264" s="9">
        <v>0</v>
      </c>
      <c r="BN264" s="9">
        <v>0</v>
      </c>
      <c r="BO264" s="9">
        <v>0</v>
      </c>
      <c r="BP264" s="9">
        <v>0</v>
      </c>
      <c r="BQ264" s="9">
        <v>0</v>
      </c>
      <c r="BR264" s="9">
        <v>0</v>
      </c>
      <c r="BS264" s="9">
        <v>0</v>
      </c>
      <c r="BT264" s="9">
        <v>0</v>
      </c>
      <c r="BU264" s="9">
        <v>0</v>
      </c>
      <c r="BV264" s="9">
        <v>0</v>
      </c>
      <c r="BW264" s="9">
        <v>0</v>
      </c>
      <c r="BX264" s="9">
        <v>0</v>
      </c>
      <c r="BY264" s="9">
        <v>0</v>
      </c>
      <c r="BZ264" s="9">
        <v>0</v>
      </c>
      <c r="CA264" s="9">
        <v>0</v>
      </c>
      <c r="CB264" s="9">
        <v>0</v>
      </c>
      <c r="CC264" s="9">
        <v>0</v>
      </c>
      <c r="CD264" s="9">
        <v>0</v>
      </c>
      <c r="CE264" s="9">
        <v>0</v>
      </c>
      <c r="CF264" s="9">
        <v>0</v>
      </c>
      <c r="CG264" s="9">
        <v>0</v>
      </c>
      <c r="CH264" s="9">
        <v>0</v>
      </c>
      <c r="CI264" s="9">
        <v>0</v>
      </c>
      <c r="CJ264" s="9">
        <v>0</v>
      </c>
      <c r="CK264" s="9">
        <v>0</v>
      </c>
      <c r="CL264" s="9">
        <v>0</v>
      </c>
      <c r="CM264" s="9">
        <v>0</v>
      </c>
      <c r="CN264" s="9">
        <v>0</v>
      </c>
      <c r="CO264" s="9">
        <v>0</v>
      </c>
      <c r="CP264" s="9">
        <v>0</v>
      </c>
      <c r="CQ264" s="9">
        <v>0</v>
      </c>
      <c r="CR264" s="9">
        <v>0</v>
      </c>
      <c r="CS264" s="10">
        <v>0</v>
      </c>
    </row>
    <row r="265" spans="1:97" x14ac:dyDescent="0.35">
      <c r="A265" s="8" t="s">
        <v>261</v>
      </c>
      <c r="B265" s="9" t="s">
        <v>964</v>
      </c>
      <c r="C265" s="9" t="s">
        <v>965</v>
      </c>
      <c r="D265" s="9">
        <f t="shared" si="4"/>
        <v>0</v>
      </c>
      <c r="E265" s="9">
        <v>0</v>
      </c>
      <c r="F265" s="9">
        <v>0</v>
      </c>
      <c r="G265" s="9">
        <v>0</v>
      </c>
      <c r="H265" s="9">
        <v>0</v>
      </c>
      <c r="I265" s="9">
        <v>0</v>
      </c>
      <c r="J265" s="9">
        <v>0</v>
      </c>
      <c r="K265" s="9">
        <v>0</v>
      </c>
      <c r="L265" s="9">
        <v>0</v>
      </c>
      <c r="M265" s="9">
        <v>0</v>
      </c>
      <c r="N265" s="9">
        <v>0</v>
      </c>
      <c r="O265" s="9">
        <v>0</v>
      </c>
      <c r="P265" s="9">
        <v>0</v>
      </c>
      <c r="Q265" s="9">
        <v>0</v>
      </c>
      <c r="R265" s="9">
        <v>0</v>
      </c>
      <c r="S265" s="9">
        <v>0</v>
      </c>
      <c r="T265" s="9">
        <v>0</v>
      </c>
      <c r="U265" s="9">
        <v>0</v>
      </c>
      <c r="V265" s="9">
        <v>0</v>
      </c>
      <c r="W265" s="9">
        <v>0</v>
      </c>
      <c r="X265" s="9">
        <v>0</v>
      </c>
      <c r="Y265" s="9">
        <v>0</v>
      </c>
      <c r="Z265" s="9">
        <v>0</v>
      </c>
      <c r="AA265" s="9">
        <v>0</v>
      </c>
      <c r="AB265" s="9">
        <v>0</v>
      </c>
      <c r="AC265" s="9">
        <v>0</v>
      </c>
      <c r="AD265" s="9">
        <v>0</v>
      </c>
      <c r="AE265" s="9">
        <v>0</v>
      </c>
      <c r="AF265" s="9">
        <v>0</v>
      </c>
      <c r="AG265" s="9">
        <v>0</v>
      </c>
      <c r="AH265" s="9">
        <v>0</v>
      </c>
      <c r="AI265" s="9">
        <v>0</v>
      </c>
      <c r="AJ265" s="9">
        <v>0</v>
      </c>
      <c r="AK265" s="9">
        <v>0</v>
      </c>
      <c r="AL265" s="9">
        <v>0</v>
      </c>
      <c r="AM265" s="9">
        <v>0</v>
      </c>
      <c r="AN265" s="9">
        <v>0</v>
      </c>
      <c r="AO265" s="9">
        <v>0</v>
      </c>
      <c r="AP265" s="9">
        <v>0</v>
      </c>
      <c r="AQ265" s="9">
        <v>0</v>
      </c>
      <c r="AR265" s="9">
        <v>0</v>
      </c>
      <c r="AS265" s="9">
        <v>0</v>
      </c>
      <c r="AT265" s="9">
        <v>0</v>
      </c>
      <c r="AU265" s="9">
        <v>0</v>
      </c>
      <c r="AV265" s="9">
        <v>0</v>
      </c>
      <c r="AW265" s="9">
        <v>0</v>
      </c>
      <c r="AX265" s="9">
        <v>0</v>
      </c>
      <c r="AY265" s="9">
        <v>0</v>
      </c>
      <c r="AZ265" s="9">
        <v>0</v>
      </c>
      <c r="BA265" s="9">
        <v>0</v>
      </c>
      <c r="BB265" s="9">
        <v>0</v>
      </c>
      <c r="BC265" s="9">
        <v>0</v>
      </c>
      <c r="BD265" s="9">
        <v>0</v>
      </c>
      <c r="BE265" s="9">
        <v>0</v>
      </c>
      <c r="BF265" s="9">
        <v>0</v>
      </c>
      <c r="BG265" s="9">
        <v>0</v>
      </c>
      <c r="BH265" s="9">
        <v>0</v>
      </c>
      <c r="BI265" s="9">
        <v>0</v>
      </c>
      <c r="BJ265" s="9">
        <v>0</v>
      </c>
      <c r="BK265" s="9">
        <v>0</v>
      </c>
      <c r="BL265" s="9">
        <v>0</v>
      </c>
      <c r="BM265" s="9">
        <v>0</v>
      </c>
      <c r="BN265" s="9">
        <v>0</v>
      </c>
      <c r="BO265" s="9">
        <v>0</v>
      </c>
      <c r="BP265" s="9">
        <v>0</v>
      </c>
      <c r="BQ265" s="9">
        <v>0</v>
      </c>
      <c r="BR265" s="9">
        <v>0</v>
      </c>
      <c r="BS265" s="9">
        <v>0</v>
      </c>
      <c r="BT265" s="9">
        <v>0</v>
      </c>
      <c r="BU265" s="9">
        <v>0</v>
      </c>
      <c r="BV265" s="9">
        <v>0</v>
      </c>
      <c r="BW265" s="9">
        <v>0</v>
      </c>
      <c r="BX265" s="9">
        <v>0</v>
      </c>
      <c r="BY265" s="9">
        <v>0</v>
      </c>
      <c r="BZ265" s="9">
        <v>0</v>
      </c>
      <c r="CA265" s="9">
        <v>0</v>
      </c>
      <c r="CB265" s="9">
        <v>0</v>
      </c>
      <c r="CC265" s="9">
        <v>0</v>
      </c>
      <c r="CD265" s="9">
        <v>0</v>
      </c>
      <c r="CE265" s="9">
        <v>0</v>
      </c>
      <c r="CF265" s="9">
        <v>0</v>
      </c>
      <c r="CG265" s="9">
        <v>0</v>
      </c>
      <c r="CH265" s="9">
        <v>0</v>
      </c>
      <c r="CI265" s="9">
        <v>0</v>
      </c>
      <c r="CJ265" s="9">
        <v>0</v>
      </c>
      <c r="CK265" s="9">
        <v>0</v>
      </c>
      <c r="CL265" s="9">
        <v>0</v>
      </c>
      <c r="CM265" s="9">
        <v>0</v>
      </c>
      <c r="CN265" s="9">
        <v>0</v>
      </c>
      <c r="CO265" s="9">
        <v>0</v>
      </c>
      <c r="CP265" s="9">
        <v>0</v>
      </c>
      <c r="CQ265" s="9">
        <v>0</v>
      </c>
      <c r="CR265" s="9">
        <v>0</v>
      </c>
      <c r="CS265" s="10">
        <v>0</v>
      </c>
    </row>
    <row r="266" spans="1:97" x14ac:dyDescent="0.35">
      <c r="A266" s="8" t="s">
        <v>261</v>
      </c>
      <c r="B266" s="9" t="s">
        <v>966</v>
      </c>
      <c r="C266" s="9" t="s">
        <v>967</v>
      </c>
      <c r="D266" s="9">
        <f t="shared" si="4"/>
        <v>0</v>
      </c>
      <c r="E266" s="9">
        <v>0</v>
      </c>
      <c r="F266" s="9">
        <v>0</v>
      </c>
      <c r="G266" s="9">
        <v>0</v>
      </c>
      <c r="H266" s="9">
        <v>0</v>
      </c>
      <c r="I266" s="9">
        <v>0</v>
      </c>
      <c r="J266" s="9">
        <v>0</v>
      </c>
      <c r="K266" s="9">
        <v>0</v>
      </c>
      <c r="L266" s="9">
        <v>0</v>
      </c>
      <c r="M266" s="9">
        <v>0</v>
      </c>
      <c r="N266" s="9">
        <v>0</v>
      </c>
      <c r="O266" s="9">
        <v>0</v>
      </c>
      <c r="P266" s="9">
        <v>0</v>
      </c>
      <c r="Q266" s="9">
        <v>0</v>
      </c>
      <c r="R266" s="9">
        <v>0</v>
      </c>
      <c r="S266" s="9">
        <v>0</v>
      </c>
      <c r="T266" s="9">
        <v>0</v>
      </c>
      <c r="U266" s="9">
        <v>0</v>
      </c>
      <c r="V266" s="9">
        <v>0</v>
      </c>
      <c r="W266" s="9">
        <v>0</v>
      </c>
      <c r="X266" s="9">
        <v>0</v>
      </c>
      <c r="Y266" s="9">
        <v>0</v>
      </c>
      <c r="Z266" s="9">
        <v>0</v>
      </c>
      <c r="AA266" s="9">
        <v>0</v>
      </c>
      <c r="AB266" s="9">
        <v>0</v>
      </c>
      <c r="AC266" s="9">
        <v>0</v>
      </c>
      <c r="AD266" s="9">
        <v>0</v>
      </c>
      <c r="AE266" s="9">
        <v>0</v>
      </c>
      <c r="AF266" s="9">
        <v>0</v>
      </c>
      <c r="AG266" s="9">
        <v>0</v>
      </c>
      <c r="AH266" s="9">
        <v>0</v>
      </c>
      <c r="AI266" s="9">
        <v>0</v>
      </c>
      <c r="AJ266" s="9">
        <v>0</v>
      </c>
      <c r="AK266" s="9">
        <v>0</v>
      </c>
      <c r="AL266" s="9">
        <v>0</v>
      </c>
      <c r="AM266" s="9">
        <v>0</v>
      </c>
      <c r="AN266" s="9">
        <v>0</v>
      </c>
      <c r="AO266" s="9">
        <v>0</v>
      </c>
      <c r="AP266" s="9">
        <v>0</v>
      </c>
      <c r="AQ266" s="9">
        <v>0</v>
      </c>
      <c r="AR266" s="9">
        <v>0</v>
      </c>
      <c r="AS266" s="9">
        <v>0</v>
      </c>
      <c r="AT266" s="9">
        <v>0</v>
      </c>
      <c r="AU266" s="9">
        <v>0</v>
      </c>
      <c r="AV266" s="9">
        <v>0</v>
      </c>
      <c r="AW266" s="9">
        <v>0</v>
      </c>
      <c r="AX266" s="9">
        <v>0</v>
      </c>
      <c r="AY266" s="9">
        <v>0</v>
      </c>
      <c r="AZ266" s="9">
        <v>0</v>
      </c>
      <c r="BA266" s="9">
        <v>0</v>
      </c>
      <c r="BB266" s="9">
        <v>0</v>
      </c>
      <c r="BC266" s="9">
        <v>0</v>
      </c>
      <c r="BD266" s="9">
        <v>0</v>
      </c>
      <c r="BE266" s="9">
        <v>0</v>
      </c>
      <c r="BF266" s="9">
        <v>0</v>
      </c>
      <c r="BG266" s="9">
        <v>0</v>
      </c>
      <c r="BH266" s="9">
        <v>0</v>
      </c>
      <c r="BI266" s="9">
        <v>0</v>
      </c>
      <c r="BJ266" s="9">
        <v>0</v>
      </c>
      <c r="BK266" s="9">
        <v>0</v>
      </c>
      <c r="BL266" s="9">
        <v>0</v>
      </c>
      <c r="BM266" s="9">
        <v>0</v>
      </c>
      <c r="BN266" s="9">
        <v>0</v>
      </c>
      <c r="BO266" s="9">
        <v>0</v>
      </c>
      <c r="BP266" s="9">
        <v>0</v>
      </c>
      <c r="BQ266" s="9">
        <v>0</v>
      </c>
      <c r="BR266" s="9">
        <v>0</v>
      </c>
      <c r="BS266" s="9">
        <v>0</v>
      </c>
      <c r="BT266" s="9">
        <v>0</v>
      </c>
      <c r="BU266" s="9">
        <v>0</v>
      </c>
      <c r="BV266" s="9">
        <v>0</v>
      </c>
      <c r="BW266" s="9">
        <v>0</v>
      </c>
      <c r="BX266" s="9">
        <v>0</v>
      </c>
      <c r="BY266" s="9">
        <v>0</v>
      </c>
      <c r="BZ266" s="9">
        <v>0</v>
      </c>
      <c r="CA266" s="9">
        <v>0</v>
      </c>
      <c r="CB266" s="9">
        <v>0</v>
      </c>
      <c r="CC266" s="9">
        <v>0</v>
      </c>
      <c r="CD266" s="9">
        <v>0</v>
      </c>
      <c r="CE266" s="9">
        <v>0</v>
      </c>
      <c r="CF266" s="9">
        <v>0</v>
      </c>
      <c r="CG266" s="9">
        <v>0</v>
      </c>
      <c r="CH266" s="9">
        <v>0</v>
      </c>
      <c r="CI266" s="9">
        <v>0</v>
      </c>
      <c r="CJ266" s="9">
        <v>0</v>
      </c>
      <c r="CK266" s="9">
        <v>0</v>
      </c>
      <c r="CL266" s="9">
        <v>0</v>
      </c>
      <c r="CM266" s="9">
        <v>0</v>
      </c>
      <c r="CN266" s="9">
        <v>0</v>
      </c>
      <c r="CO266" s="9">
        <v>0</v>
      </c>
      <c r="CP266" s="9">
        <v>0</v>
      </c>
      <c r="CQ266" s="9">
        <v>0</v>
      </c>
      <c r="CR266" s="9">
        <v>0</v>
      </c>
      <c r="CS266" s="10">
        <v>0</v>
      </c>
    </row>
    <row r="267" spans="1:97" x14ac:dyDescent="0.35">
      <c r="A267" s="8" t="s">
        <v>261</v>
      </c>
      <c r="B267" s="9" t="s">
        <v>968</v>
      </c>
      <c r="C267" s="9" t="s">
        <v>969</v>
      </c>
      <c r="D267" s="9">
        <f t="shared" si="4"/>
        <v>0</v>
      </c>
      <c r="E267" s="9">
        <v>0</v>
      </c>
      <c r="F267" s="9">
        <v>0</v>
      </c>
      <c r="G267" s="9">
        <v>0</v>
      </c>
      <c r="H267" s="9">
        <v>0</v>
      </c>
      <c r="I267" s="9">
        <v>0</v>
      </c>
      <c r="J267" s="9">
        <v>0</v>
      </c>
      <c r="K267" s="9">
        <v>0</v>
      </c>
      <c r="L267" s="9">
        <v>0</v>
      </c>
      <c r="M267" s="9">
        <v>0</v>
      </c>
      <c r="N267" s="9">
        <v>0</v>
      </c>
      <c r="O267" s="9">
        <v>0</v>
      </c>
      <c r="P267" s="9">
        <v>0</v>
      </c>
      <c r="Q267" s="9">
        <v>0</v>
      </c>
      <c r="R267" s="9">
        <v>0</v>
      </c>
      <c r="S267" s="9">
        <v>0</v>
      </c>
      <c r="T267" s="9">
        <v>0</v>
      </c>
      <c r="U267" s="9">
        <v>0</v>
      </c>
      <c r="V267" s="9">
        <v>0</v>
      </c>
      <c r="W267" s="9">
        <v>0</v>
      </c>
      <c r="X267" s="9">
        <v>0</v>
      </c>
      <c r="Y267" s="9">
        <v>0</v>
      </c>
      <c r="Z267" s="9">
        <v>0</v>
      </c>
      <c r="AA267" s="9">
        <v>0</v>
      </c>
      <c r="AB267" s="9">
        <v>0</v>
      </c>
      <c r="AC267" s="9">
        <v>0</v>
      </c>
      <c r="AD267" s="9">
        <v>0</v>
      </c>
      <c r="AE267" s="9">
        <v>0</v>
      </c>
      <c r="AF267" s="9">
        <v>0</v>
      </c>
      <c r="AG267" s="9">
        <v>0</v>
      </c>
      <c r="AH267" s="9">
        <v>0</v>
      </c>
      <c r="AI267" s="9">
        <v>0</v>
      </c>
      <c r="AJ267" s="9">
        <v>0</v>
      </c>
      <c r="AK267" s="9">
        <v>0</v>
      </c>
      <c r="AL267" s="9">
        <v>0</v>
      </c>
      <c r="AM267" s="9">
        <v>0</v>
      </c>
      <c r="AN267" s="9">
        <v>0</v>
      </c>
      <c r="AO267" s="9">
        <v>0</v>
      </c>
      <c r="AP267" s="9">
        <v>0</v>
      </c>
      <c r="AQ267" s="9">
        <v>0</v>
      </c>
      <c r="AR267" s="9">
        <v>0</v>
      </c>
      <c r="AS267" s="9">
        <v>0</v>
      </c>
      <c r="AT267" s="9">
        <v>0</v>
      </c>
      <c r="AU267" s="9">
        <v>0</v>
      </c>
      <c r="AV267" s="9">
        <v>0</v>
      </c>
      <c r="AW267" s="9">
        <v>0</v>
      </c>
      <c r="AX267" s="9">
        <v>0</v>
      </c>
      <c r="AY267" s="9">
        <v>0</v>
      </c>
      <c r="AZ267" s="9">
        <v>0</v>
      </c>
      <c r="BA267" s="9">
        <v>0</v>
      </c>
      <c r="BB267" s="9">
        <v>0</v>
      </c>
      <c r="BC267" s="9">
        <v>0</v>
      </c>
      <c r="BD267" s="9">
        <v>0</v>
      </c>
      <c r="BE267" s="9">
        <v>0</v>
      </c>
      <c r="BF267" s="9">
        <v>0</v>
      </c>
      <c r="BG267" s="9">
        <v>0</v>
      </c>
      <c r="BH267" s="9">
        <v>0</v>
      </c>
      <c r="BI267" s="9">
        <v>0</v>
      </c>
      <c r="BJ267" s="9">
        <v>0</v>
      </c>
      <c r="BK267" s="9">
        <v>0</v>
      </c>
      <c r="BL267" s="9">
        <v>0</v>
      </c>
      <c r="BM267" s="9">
        <v>0</v>
      </c>
      <c r="BN267" s="9">
        <v>0</v>
      </c>
      <c r="BO267" s="9">
        <v>0</v>
      </c>
      <c r="BP267" s="9">
        <v>0</v>
      </c>
      <c r="BQ267" s="9">
        <v>0</v>
      </c>
      <c r="BR267" s="9">
        <v>0</v>
      </c>
      <c r="BS267" s="9">
        <v>0</v>
      </c>
      <c r="BT267" s="9">
        <v>0</v>
      </c>
      <c r="BU267" s="9">
        <v>0</v>
      </c>
      <c r="BV267" s="9">
        <v>0</v>
      </c>
      <c r="BW267" s="9">
        <v>0</v>
      </c>
      <c r="BX267" s="9">
        <v>0</v>
      </c>
      <c r="BY267" s="9">
        <v>0</v>
      </c>
      <c r="BZ267" s="9">
        <v>0</v>
      </c>
      <c r="CA267" s="9">
        <v>0</v>
      </c>
      <c r="CB267" s="9">
        <v>0</v>
      </c>
      <c r="CC267" s="9">
        <v>0</v>
      </c>
      <c r="CD267" s="9">
        <v>0</v>
      </c>
      <c r="CE267" s="9">
        <v>0</v>
      </c>
      <c r="CF267" s="9">
        <v>0</v>
      </c>
      <c r="CG267" s="9">
        <v>0</v>
      </c>
      <c r="CH267" s="9">
        <v>0</v>
      </c>
      <c r="CI267" s="9">
        <v>0</v>
      </c>
      <c r="CJ267" s="9">
        <v>0</v>
      </c>
      <c r="CK267" s="9">
        <v>0</v>
      </c>
      <c r="CL267" s="9">
        <v>0</v>
      </c>
      <c r="CM267" s="9">
        <v>0</v>
      </c>
      <c r="CN267" s="9">
        <v>0</v>
      </c>
      <c r="CO267" s="9">
        <v>0</v>
      </c>
      <c r="CP267" s="9">
        <v>0</v>
      </c>
      <c r="CQ267" s="9">
        <v>0</v>
      </c>
      <c r="CR267" s="9">
        <v>0</v>
      </c>
      <c r="CS267" s="10">
        <v>0</v>
      </c>
    </row>
    <row r="268" spans="1:97" x14ac:dyDescent="0.35">
      <c r="A268" s="8" t="s">
        <v>261</v>
      </c>
      <c r="B268" s="9" t="s">
        <v>970</v>
      </c>
      <c r="C268" s="9" t="s">
        <v>971</v>
      </c>
      <c r="D268" s="9">
        <f t="shared" si="4"/>
        <v>0</v>
      </c>
      <c r="E268" s="9">
        <v>0</v>
      </c>
      <c r="F268" s="9">
        <v>0</v>
      </c>
      <c r="G268" s="9">
        <v>0</v>
      </c>
      <c r="H268" s="9">
        <v>0</v>
      </c>
      <c r="I268" s="9">
        <v>0</v>
      </c>
      <c r="J268" s="9">
        <v>0</v>
      </c>
      <c r="K268" s="9">
        <v>0</v>
      </c>
      <c r="L268" s="9">
        <v>0</v>
      </c>
      <c r="M268" s="9">
        <v>0</v>
      </c>
      <c r="N268" s="9">
        <v>0</v>
      </c>
      <c r="O268" s="9">
        <v>0</v>
      </c>
      <c r="P268" s="9">
        <v>0</v>
      </c>
      <c r="Q268" s="9">
        <v>0</v>
      </c>
      <c r="R268" s="9">
        <v>0</v>
      </c>
      <c r="S268" s="9">
        <v>0</v>
      </c>
      <c r="T268" s="9">
        <v>0</v>
      </c>
      <c r="U268" s="9">
        <v>0</v>
      </c>
      <c r="V268" s="9">
        <v>0</v>
      </c>
      <c r="W268" s="9">
        <v>0</v>
      </c>
      <c r="X268" s="9">
        <v>0</v>
      </c>
      <c r="Y268" s="9">
        <v>0</v>
      </c>
      <c r="Z268" s="9">
        <v>0</v>
      </c>
      <c r="AA268" s="9">
        <v>0</v>
      </c>
      <c r="AB268" s="9">
        <v>0</v>
      </c>
      <c r="AC268" s="9">
        <v>0</v>
      </c>
      <c r="AD268" s="9">
        <v>0</v>
      </c>
      <c r="AE268" s="9">
        <v>0</v>
      </c>
      <c r="AF268" s="9">
        <v>0</v>
      </c>
      <c r="AG268" s="9">
        <v>0</v>
      </c>
      <c r="AH268" s="9">
        <v>0</v>
      </c>
      <c r="AI268" s="9">
        <v>0</v>
      </c>
      <c r="AJ268" s="9">
        <v>0</v>
      </c>
      <c r="AK268" s="9">
        <v>0</v>
      </c>
      <c r="AL268" s="9">
        <v>0</v>
      </c>
      <c r="AM268" s="9">
        <v>0</v>
      </c>
      <c r="AN268" s="9">
        <v>0</v>
      </c>
      <c r="AO268" s="9">
        <v>0</v>
      </c>
      <c r="AP268" s="9">
        <v>0</v>
      </c>
      <c r="AQ268" s="9">
        <v>0</v>
      </c>
      <c r="AR268" s="9">
        <v>0</v>
      </c>
      <c r="AS268" s="9">
        <v>0</v>
      </c>
      <c r="AT268" s="9">
        <v>0</v>
      </c>
      <c r="AU268" s="9">
        <v>0</v>
      </c>
      <c r="AV268" s="9">
        <v>0</v>
      </c>
      <c r="AW268" s="9">
        <v>0</v>
      </c>
      <c r="AX268" s="9">
        <v>0</v>
      </c>
      <c r="AY268" s="9">
        <v>0</v>
      </c>
      <c r="AZ268" s="9">
        <v>0</v>
      </c>
      <c r="BA268" s="9">
        <v>0</v>
      </c>
      <c r="BB268" s="9">
        <v>0</v>
      </c>
      <c r="BC268" s="9">
        <v>0</v>
      </c>
      <c r="BD268" s="9">
        <v>0</v>
      </c>
      <c r="BE268" s="9">
        <v>0</v>
      </c>
      <c r="BF268" s="9">
        <v>0</v>
      </c>
      <c r="BG268" s="9">
        <v>0</v>
      </c>
      <c r="BH268" s="9">
        <v>0</v>
      </c>
      <c r="BI268" s="9">
        <v>0</v>
      </c>
      <c r="BJ268" s="9">
        <v>0</v>
      </c>
      <c r="BK268" s="9">
        <v>0</v>
      </c>
      <c r="BL268" s="9">
        <v>0</v>
      </c>
      <c r="BM268" s="9">
        <v>0</v>
      </c>
      <c r="BN268" s="9">
        <v>0</v>
      </c>
      <c r="BO268" s="9">
        <v>0</v>
      </c>
      <c r="BP268" s="9">
        <v>0</v>
      </c>
      <c r="BQ268" s="9">
        <v>0</v>
      </c>
      <c r="BR268" s="9">
        <v>0</v>
      </c>
      <c r="BS268" s="9">
        <v>0</v>
      </c>
      <c r="BT268" s="9">
        <v>0</v>
      </c>
      <c r="BU268" s="9">
        <v>0</v>
      </c>
      <c r="BV268" s="9">
        <v>0</v>
      </c>
      <c r="BW268" s="9">
        <v>0</v>
      </c>
      <c r="BX268" s="9">
        <v>0</v>
      </c>
      <c r="BY268" s="9">
        <v>0</v>
      </c>
      <c r="BZ268" s="9">
        <v>0</v>
      </c>
      <c r="CA268" s="9">
        <v>0</v>
      </c>
      <c r="CB268" s="9">
        <v>0</v>
      </c>
      <c r="CC268" s="9">
        <v>0</v>
      </c>
      <c r="CD268" s="9">
        <v>0</v>
      </c>
      <c r="CE268" s="9">
        <v>0</v>
      </c>
      <c r="CF268" s="9">
        <v>0</v>
      </c>
      <c r="CG268" s="9">
        <v>0</v>
      </c>
      <c r="CH268" s="9">
        <v>0</v>
      </c>
      <c r="CI268" s="9">
        <v>0</v>
      </c>
      <c r="CJ268" s="9">
        <v>0</v>
      </c>
      <c r="CK268" s="9">
        <v>0</v>
      </c>
      <c r="CL268" s="9">
        <v>0</v>
      </c>
      <c r="CM268" s="9">
        <v>0</v>
      </c>
      <c r="CN268" s="9">
        <v>0</v>
      </c>
      <c r="CO268" s="9">
        <v>0</v>
      </c>
      <c r="CP268" s="9">
        <v>0</v>
      </c>
      <c r="CQ268" s="9">
        <v>0</v>
      </c>
      <c r="CR268" s="9">
        <v>0</v>
      </c>
      <c r="CS268" s="10">
        <v>0</v>
      </c>
    </row>
    <row r="269" spans="1:97" x14ac:dyDescent="0.35">
      <c r="A269" s="8" t="s">
        <v>261</v>
      </c>
      <c r="B269" s="9" t="s">
        <v>972</v>
      </c>
      <c r="C269" s="9" t="s">
        <v>973</v>
      </c>
      <c r="D269" s="9">
        <f t="shared" si="4"/>
        <v>0</v>
      </c>
      <c r="E269" s="9">
        <v>0</v>
      </c>
      <c r="F269" s="9">
        <v>0</v>
      </c>
      <c r="G269" s="9">
        <v>0</v>
      </c>
      <c r="H269" s="9">
        <v>0</v>
      </c>
      <c r="I269" s="9">
        <v>0</v>
      </c>
      <c r="J269" s="9">
        <v>0</v>
      </c>
      <c r="K269" s="9">
        <v>0</v>
      </c>
      <c r="L269" s="9">
        <v>0</v>
      </c>
      <c r="M269" s="9">
        <v>0</v>
      </c>
      <c r="N269" s="9">
        <v>0</v>
      </c>
      <c r="O269" s="9">
        <v>0</v>
      </c>
      <c r="P269" s="9">
        <v>0</v>
      </c>
      <c r="Q269" s="9">
        <v>0</v>
      </c>
      <c r="R269" s="9">
        <v>0</v>
      </c>
      <c r="S269" s="9">
        <v>0</v>
      </c>
      <c r="T269" s="9">
        <v>0</v>
      </c>
      <c r="U269" s="9">
        <v>0</v>
      </c>
      <c r="V269" s="9">
        <v>0</v>
      </c>
      <c r="W269" s="9">
        <v>0</v>
      </c>
      <c r="X269" s="9">
        <v>0</v>
      </c>
      <c r="Y269" s="9">
        <v>0</v>
      </c>
      <c r="Z269" s="9">
        <v>0</v>
      </c>
      <c r="AA269" s="9">
        <v>0</v>
      </c>
      <c r="AB269" s="9">
        <v>0</v>
      </c>
      <c r="AC269" s="9">
        <v>0</v>
      </c>
      <c r="AD269" s="9">
        <v>0</v>
      </c>
      <c r="AE269" s="9">
        <v>0</v>
      </c>
      <c r="AF269" s="9">
        <v>0</v>
      </c>
      <c r="AG269" s="9">
        <v>0</v>
      </c>
      <c r="AH269" s="9">
        <v>0</v>
      </c>
      <c r="AI269" s="9">
        <v>0</v>
      </c>
      <c r="AJ269" s="9">
        <v>0</v>
      </c>
      <c r="AK269" s="9">
        <v>0</v>
      </c>
      <c r="AL269" s="9">
        <v>0</v>
      </c>
      <c r="AM269" s="9">
        <v>0</v>
      </c>
      <c r="AN269" s="9">
        <v>0</v>
      </c>
      <c r="AO269" s="9">
        <v>0</v>
      </c>
      <c r="AP269" s="9">
        <v>0</v>
      </c>
      <c r="AQ269" s="9">
        <v>0</v>
      </c>
      <c r="AR269" s="9">
        <v>0</v>
      </c>
      <c r="AS269" s="9">
        <v>0</v>
      </c>
      <c r="AT269" s="9">
        <v>0</v>
      </c>
      <c r="AU269" s="9">
        <v>0</v>
      </c>
      <c r="AV269" s="9">
        <v>0</v>
      </c>
      <c r="AW269" s="9">
        <v>0</v>
      </c>
      <c r="AX269" s="9">
        <v>0</v>
      </c>
      <c r="AY269" s="9">
        <v>0</v>
      </c>
      <c r="AZ269" s="9">
        <v>0</v>
      </c>
      <c r="BA269" s="9">
        <v>0</v>
      </c>
      <c r="BB269" s="9">
        <v>0</v>
      </c>
      <c r="BC269" s="9">
        <v>0</v>
      </c>
      <c r="BD269" s="9">
        <v>0</v>
      </c>
      <c r="BE269" s="9">
        <v>0</v>
      </c>
      <c r="BF269" s="9">
        <v>0</v>
      </c>
      <c r="BG269" s="9">
        <v>0</v>
      </c>
      <c r="BH269" s="9">
        <v>0</v>
      </c>
      <c r="BI269" s="9">
        <v>0</v>
      </c>
      <c r="BJ269" s="9">
        <v>0</v>
      </c>
      <c r="BK269" s="9">
        <v>0</v>
      </c>
      <c r="BL269" s="9">
        <v>0</v>
      </c>
      <c r="BM269" s="9">
        <v>0</v>
      </c>
      <c r="BN269" s="9">
        <v>0</v>
      </c>
      <c r="BO269" s="9">
        <v>0</v>
      </c>
      <c r="BP269" s="9">
        <v>0</v>
      </c>
      <c r="BQ269" s="9">
        <v>0</v>
      </c>
      <c r="BR269" s="9">
        <v>0</v>
      </c>
      <c r="BS269" s="9">
        <v>0</v>
      </c>
      <c r="BT269" s="9">
        <v>0</v>
      </c>
      <c r="BU269" s="9">
        <v>0</v>
      </c>
      <c r="BV269" s="9">
        <v>0</v>
      </c>
      <c r="BW269" s="9">
        <v>0</v>
      </c>
      <c r="BX269" s="9">
        <v>0</v>
      </c>
      <c r="BY269" s="9">
        <v>0</v>
      </c>
      <c r="BZ269" s="9">
        <v>0</v>
      </c>
      <c r="CA269" s="9">
        <v>0</v>
      </c>
      <c r="CB269" s="9">
        <v>0</v>
      </c>
      <c r="CC269" s="9">
        <v>0</v>
      </c>
      <c r="CD269" s="9">
        <v>0</v>
      </c>
      <c r="CE269" s="9">
        <v>0</v>
      </c>
      <c r="CF269" s="9">
        <v>0</v>
      </c>
      <c r="CG269" s="9">
        <v>0</v>
      </c>
      <c r="CH269" s="9">
        <v>0</v>
      </c>
      <c r="CI269" s="9">
        <v>0</v>
      </c>
      <c r="CJ269" s="9">
        <v>0</v>
      </c>
      <c r="CK269" s="9">
        <v>0</v>
      </c>
      <c r="CL269" s="9">
        <v>0</v>
      </c>
      <c r="CM269" s="9">
        <v>0</v>
      </c>
      <c r="CN269" s="9">
        <v>0</v>
      </c>
      <c r="CO269" s="9">
        <v>0</v>
      </c>
      <c r="CP269" s="9">
        <v>0</v>
      </c>
      <c r="CQ269" s="9">
        <v>0</v>
      </c>
      <c r="CR269" s="9">
        <v>0</v>
      </c>
      <c r="CS269" s="10">
        <v>0</v>
      </c>
    </row>
    <row r="270" spans="1:97" x14ac:dyDescent="0.35">
      <c r="A270" s="8" t="s">
        <v>261</v>
      </c>
      <c r="B270" s="9" t="s">
        <v>974</v>
      </c>
      <c r="C270" s="9" t="s">
        <v>975</v>
      </c>
      <c r="D270" s="9">
        <f t="shared" si="4"/>
        <v>0</v>
      </c>
      <c r="E270" s="9">
        <v>0</v>
      </c>
      <c r="F270" s="9">
        <v>0</v>
      </c>
      <c r="G270" s="9">
        <v>0</v>
      </c>
      <c r="H270" s="9">
        <v>0</v>
      </c>
      <c r="I270" s="9">
        <v>0</v>
      </c>
      <c r="J270" s="9">
        <v>0</v>
      </c>
      <c r="K270" s="9">
        <v>0</v>
      </c>
      <c r="L270" s="9">
        <v>0</v>
      </c>
      <c r="M270" s="9">
        <v>0</v>
      </c>
      <c r="N270" s="9">
        <v>0</v>
      </c>
      <c r="O270" s="9">
        <v>0</v>
      </c>
      <c r="P270" s="9">
        <v>0</v>
      </c>
      <c r="Q270" s="9">
        <v>0</v>
      </c>
      <c r="R270" s="9">
        <v>0</v>
      </c>
      <c r="S270" s="9">
        <v>0</v>
      </c>
      <c r="T270" s="9">
        <v>0</v>
      </c>
      <c r="U270" s="9">
        <v>0</v>
      </c>
      <c r="V270" s="9">
        <v>0</v>
      </c>
      <c r="W270" s="9">
        <v>0</v>
      </c>
      <c r="X270" s="9">
        <v>0</v>
      </c>
      <c r="Y270" s="9">
        <v>0</v>
      </c>
      <c r="Z270" s="9">
        <v>0</v>
      </c>
      <c r="AA270" s="9">
        <v>0</v>
      </c>
      <c r="AB270" s="9">
        <v>0</v>
      </c>
      <c r="AC270" s="9">
        <v>0</v>
      </c>
      <c r="AD270" s="9">
        <v>0</v>
      </c>
      <c r="AE270" s="9">
        <v>0</v>
      </c>
      <c r="AF270" s="9">
        <v>0</v>
      </c>
      <c r="AG270" s="9">
        <v>0</v>
      </c>
      <c r="AH270" s="9">
        <v>0</v>
      </c>
      <c r="AI270" s="9">
        <v>0</v>
      </c>
      <c r="AJ270" s="9">
        <v>0</v>
      </c>
      <c r="AK270" s="9">
        <v>0</v>
      </c>
      <c r="AL270" s="9">
        <v>0</v>
      </c>
      <c r="AM270" s="9">
        <v>0</v>
      </c>
      <c r="AN270" s="9">
        <v>0</v>
      </c>
      <c r="AO270" s="9">
        <v>0</v>
      </c>
      <c r="AP270" s="9">
        <v>0</v>
      </c>
      <c r="AQ270" s="9">
        <v>0</v>
      </c>
      <c r="AR270" s="9">
        <v>0</v>
      </c>
      <c r="AS270" s="9">
        <v>0</v>
      </c>
      <c r="AT270" s="9">
        <v>0</v>
      </c>
      <c r="AU270" s="9">
        <v>0</v>
      </c>
      <c r="AV270" s="9">
        <v>0</v>
      </c>
      <c r="AW270" s="9">
        <v>0</v>
      </c>
      <c r="AX270" s="9">
        <v>0</v>
      </c>
      <c r="AY270" s="9">
        <v>0</v>
      </c>
      <c r="AZ270" s="9">
        <v>0</v>
      </c>
      <c r="BA270" s="9">
        <v>0</v>
      </c>
      <c r="BB270" s="9">
        <v>0</v>
      </c>
      <c r="BC270" s="9">
        <v>0</v>
      </c>
      <c r="BD270" s="9">
        <v>0</v>
      </c>
      <c r="BE270" s="9">
        <v>0</v>
      </c>
      <c r="BF270" s="9">
        <v>0</v>
      </c>
      <c r="BG270" s="9">
        <v>0</v>
      </c>
      <c r="BH270" s="9">
        <v>0</v>
      </c>
      <c r="BI270" s="9">
        <v>0</v>
      </c>
      <c r="BJ270" s="9">
        <v>0</v>
      </c>
      <c r="BK270" s="9">
        <v>0</v>
      </c>
      <c r="BL270" s="9">
        <v>0</v>
      </c>
      <c r="BM270" s="9">
        <v>0</v>
      </c>
      <c r="BN270" s="9">
        <v>0</v>
      </c>
      <c r="BO270" s="9">
        <v>0</v>
      </c>
      <c r="BP270" s="9">
        <v>0</v>
      </c>
      <c r="BQ270" s="9">
        <v>0</v>
      </c>
      <c r="BR270" s="9">
        <v>0</v>
      </c>
      <c r="BS270" s="9">
        <v>0</v>
      </c>
      <c r="BT270" s="9">
        <v>0</v>
      </c>
      <c r="BU270" s="9">
        <v>0</v>
      </c>
      <c r="BV270" s="9">
        <v>0</v>
      </c>
      <c r="BW270" s="9">
        <v>0</v>
      </c>
      <c r="BX270" s="9">
        <v>0</v>
      </c>
      <c r="BY270" s="9">
        <v>0</v>
      </c>
      <c r="BZ270" s="9">
        <v>0</v>
      </c>
      <c r="CA270" s="9">
        <v>0</v>
      </c>
      <c r="CB270" s="9">
        <v>0</v>
      </c>
      <c r="CC270" s="9">
        <v>0</v>
      </c>
      <c r="CD270" s="9">
        <v>0</v>
      </c>
      <c r="CE270" s="9">
        <v>0</v>
      </c>
      <c r="CF270" s="9">
        <v>0</v>
      </c>
      <c r="CG270" s="9">
        <v>0</v>
      </c>
      <c r="CH270" s="9">
        <v>0</v>
      </c>
      <c r="CI270" s="9">
        <v>0</v>
      </c>
      <c r="CJ270" s="9">
        <v>0</v>
      </c>
      <c r="CK270" s="9">
        <v>0</v>
      </c>
      <c r="CL270" s="9">
        <v>0</v>
      </c>
      <c r="CM270" s="9">
        <v>0</v>
      </c>
      <c r="CN270" s="9">
        <v>0</v>
      </c>
      <c r="CO270" s="9">
        <v>0</v>
      </c>
      <c r="CP270" s="9">
        <v>0</v>
      </c>
      <c r="CQ270" s="9">
        <v>0</v>
      </c>
      <c r="CR270" s="9">
        <v>0</v>
      </c>
      <c r="CS270" s="10">
        <v>0</v>
      </c>
    </row>
    <row r="271" spans="1:97" x14ac:dyDescent="0.35">
      <c r="A271" s="8" t="s">
        <v>261</v>
      </c>
      <c r="B271" s="9" t="s">
        <v>976</v>
      </c>
      <c r="C271" s="9" t="s">
        <v>977</v>
      </c>
      <c r="D271" s="9">
        <f t="shared" si="4"/>
        <v>0</v>
      </c>
      <c r="E271" s="9">
        <v>0</v>
      </c>
      <c r="F271" s="9">
        <v>0</v>
      </c>
      <c r="G271" s="9">
        <v>0</v>
      </c>
      <c r="H271" s="9">
        <v>0</v>
      </c>
      <c r="I271" s="9">
        <v>0</v>
      </c>
      <c r="J271" s="9">
        <v>0</v>
      </c>
      <c r="K271" s="9">
        <v>0</v>
      </c>
      <c r="L271" s="9">
        <v>0</v>
      </c>
      <c r="M271" s="9">
        <v>0</v>
      </c>
      <c r="N271" s="9">
        <v>0</v>
      </c>
      <c r="O271" s="9">
        <v>0</v>
      </c>
      <c r="P271" s="9">
        <v>0</v>
      </c>
      <c r="Q271" s="9">
        <v>0</v>
      </c>
      <c r="R271" s="9">
        <v>0</v>
      </c>
      <c r="S271" s="9">
        <v>0</v>
      </c>
      <c r="T271" s="9">
        <v>0</v>
      </c>
      <c r="U271" s="9">
        <v>0</v>
      </c>
      <c r="V271" s="9">
        <v>0</v>
      </c>
      <c r="W271" s="9">
        <v>0</v>
      </c>
      <c r="X271" s="9">
        <v>0</v>
      </c>
      <c r="Y271" s="9">
        <v>0</v>
      </c>
      <c r="Z271" s="9">
        <v>0</v>
      </c>
      <c r="AA271" s="9">
        <v>0</v>
      </c>
      <c r="AB271" s="9">
        <v>0</v>
      </c>
      <c r="AC271" s="9">
        <v>0</v>
      </c>
      <c r="AD271" s="9">
        <v>0</v>
      </c>
      <c r="AE271" s="9">
        <v>0</v>
      </c>
      <c r="AF271" s="9">
        <v>0</v>
      </c>
      <c r="AG271" s="9">
        <v>0</v>
      </c>
      <c r="AH271" s="9">
        <v>0</v>
      </c>
      <c r="AI271" s="9">
        <v>0</v>
      </c>
      <c r="AJ271" s="9">
        <v>0</v>
      </c>
      <c r="AK271" s="9">
        <v>0</v>
      </c>
      <c r="AL271" s="9">
        <v>0</v>
      </c>
      <c r="AM271" s="9">
        <v>0</v>
      </c>
      <c r="AN271" s="9">
        <v>0</v>
      </c>
      <c r="AO271" s="9">
        <v>0</v>
      </c>
      <c r="AP271" s="9">
        <v>0</v>
      </c>
      <c r="AQ271" s="9">
        <v>0</v>
      </c>
      <c r="AR271" s="9">
        <v>0</v>
      </c>
      <c r="AS271" s="9">
        <v>0</v>
      </c>
      <c r="AT271" s="9">
        <v>0</v>
      </c>
      <c r="AU271" s="9">
        <v>0</v>
      </c>
      <c r="AV271" s="9">
        <v>0</v>
      </c>
      <c r="AW271" s="9">
        <v>0</v>
      </c>
      <c r="AX271" s="9">
        <v>0</v>
      </c>
      <c r="AY271" s="9">
        <v>0</v>
      </c>
      <c r="AZ271" s="9">
        <v>0</v>
      </c>
      <c r="BA271" s="9">
        <v>0</v>
      </c>
      <c r="BB271" s="9">
        <v>0</v>
      </c>
      <c r="BC271" s="9">
        <v>0</v>
      </c>
      <c r="BD271" s="9">
        <v>0</v>
      </c>
      <c r="BE271" s="9">
        <v>0</v>
      </c>
      <c r="BF271" s="9">
        <v>0</v>
      </c>
      <c r="BG271" s="9">
        <v>0</v>
      </c>
      <c r="BH271" s="9">
        <v>0</v>
      </c>
      <c r="BI271" s="9">
        <v>0</v>
      </c>
      <c r="BJ271" s="9">
        <v>0</v>
      </c>
      <c r="BK271" s="9">
        <v>0</v>
      </c>
      <c r="BL271" s="9">
        <v>0</v>
      </c>
      <c r="BM271" s="9">
        <v>0</v>
      </c>
      <c r="BN271" s="9">
        <v>0</v>
      </c>
      <c r="BO271" s="9">
        <v>0</v>
      </c>
      <c r="BP271" s="9">
        <v>0</v>
      </c>
      <c r="BQ271" s="9">
        <v>0</v>
      </c>
      <c r="BR271" s="9">
        <v>0</v>
      </c>
      <c r="BS271" s="9">
        <v>0</v>
      </c>
      <c r="BT271" s="9">
        <v>0</v>
      </c>
      <c r="BU271" s="9">
        <v>0</v>
      </c>
      <c r="BV271" s="9">
        <v>0</v>
      </c>
      <c r="BW271" s="9">
        <v>0</v>
      </c>
      <c r="BX271" s="9">
        <v>0</v>
      </c>
      <c r="BY271" s="9">
        <v>0</v>
      </c>
      <c r="BZ271" s="9">
        <v>0</v>
      </c>
      <c r="CA271" s="9">
        <v>0</v>
      </c>
      <c r="CB271" s="9">
        <v>0</v>
      </c>
      <c r="CC271" s="9">
        <v>0</v>
      </c>
      <c r="CD271" s="9">
        <v>0</v>
      </c>
      <c r="CE271" s="9">
        <v>0</v>
      </c>
      <c r="CF271" s="9">
        <v>0</v>
      </c>
      <c r="CG271" s="9">
        <v>0</v>
      </c>
      <c r="CH271" s="9">
        <v>0</v>
      </c>
      <c r="CI271" s="9">
        <v>0</v>
      </c>
      <c r="CJ271" s="9">
        <v>0</v>
      </c>
      <c r="CK271" s="9">
        <v>0</v>
      </c>
      <c r="CL271" s="9">
        <v>0</v>
      </c>
      <c r="CM271" s="9">
        <v>0</v>
      </c>
      <c r="CN271" s="9">
        <v>0</v>
      </c>
      <c r="CO271" s="9">
        <v>0</v>
      </c>
      <c r="CP271" s="9">
        <v>0</v>
      </c>
      <c r="CQ271" s="9">
        <v>0</v>
      </c>
      <c r="CR271" s="9">
        <v>0</v>
      </c>
      <c r="CS271" s="10">
        <v>0</v>
      </c>
    </row>
    <row r="272" spans="1:97" x14ac:dyDescent="0.35">
      <c r="A272" s="8" t="s">
        <v>261</v>
      </c>
      <c r="B272" s="9" t="s">
        <v>978</v>
      </c>
      <c r="C272" s="9" t="s">
        <v>979</v>
      </c>
      <c r="D272" s="9">
        <f t="shared" si="4"/>
        <v>0</v>
      </c>
      <c r="E272" s="9">
        <v>0</v>
      </c>
      <c r="F272" s="9">
        <v>0</v>
      </c>
      <c r="G272" s="9">
        <v>0</v>
      </c>
      <c r="H272" s="9">
        <v>0</v>
      </c>
      <c r="I272" s="9">
        <v>0</v>
      </c>
      <c r="J272" s="9">
        <v>0</v>
      </c>
      <c r="K272" s="9">
        <v>0</v>
      </c>
      <c r="L272" s="9">
        <v>0</v>
      </c>
      <c r="M272" s="9">
        <v>0</v>
      </c>
      <c r="N272" s="9">
        <v>0</v>
      </c>
      <c r="O272" s="9">
        <v>0</v>
      </c>
      <c r="P272" s="9">
        <v>0</v>
      </c>
      <c r="Q272" s="9">
        <v>0</v>
      </c>
      <c r="R272" s="9">
        <v>0</v>
      </c>
      <c r="S272" s="9">
        <v>0</v>
      </c>
      <c r="T272" s="9">
        <v>0</v>
      </c>
      <c r="U272" s="9">
        <v>0</v>
      </c>
      <c r="V272" s="9">
        <v>0</v>
      </c>
      <c r="W272" s="9">
        <v>0</v>
      </c>
      <c r="X272" s="9">
        <v>0</v>
      </c>
      <c r="Y272" s="9">
        <v>0</v>
      </c>
      <c r="Z272" s="9">
        <v>0</v>
      </c>
      <c r="AA272" s="9">
        <v>0</v>
      </c>
      <c r="AB272" s="9">
        <v>0</v>
      </c>
      <c r="AC272" s="9">
        <v>0</v>
      </c>
      <c r="AD272" s="9">
        <v>0</v>
      </c>
      <c r="AE272" s="9">
        <v>0</v>
      </c>
      <c r="AF272" s="9">
        <v>0</v>
      </c>
      <c r="AG272" s="9">
        <v>0</v>
      </c>
      <c r="AH272" s="9">
        <v>0</v>
      </c>
      <c r="AI272" s="9">
        <v>0</v>
      </c>
      <c r="AJ272" s="9">
        <v>0</v>
      </c>
      <c r="AK272" s="9">
        <v>0</v>
      </c>
      <c r="AL272" s="9">
        <v>0</v>
      </c>
      <c r="AM272" s="9">
        <v>0</v>
      </c>
      <c r="AN272" s="9">
        <v>0</v>
      </c>
      <c r="AO272" s="9">
        <v>0</v>
      </c>
      <c r="AP272" s="9">
        <v>0</v>
      </c>
      <c r="AQ272" s="9">
        <v>0</v>
      </c>
      <c r="AR272" s="9">
        <v>0</v>
      </c>
      <c r="AS272" s="9">
        <v>0</v>
      </c>
      <c r="AT272" s="9">
        <v>0</v>
      </c>
      <c r="AU272" s="9">
        <v>0</v>
      </c>
      <c r="AV272" s="9">
        <v>0</v>
      </c>
      <c r="AW272" s="9">
        <v>0</v>
      </c>
      <c r="AX272" s="9">
        <v>0</v>
      </c>
      <c r="AY272" s="9">
        <v>0</v>
      </c>
      <c r="AZ272" s="9">
        <v>0</v>
      </c>
      <c r="BA272" s="9">
        <v>0</v>
      </c>
      <c r="BB272" s="9">
        <v>0</v>
      </c>
      <c r="BC272" s="9">
        <v>0</v>
      </c>
      <c r="BD272" s="9">
        <v>0</v>
      </c>
      <c r="BE272" s="9">
        <v>0</v>
      </c>
      <c r="BF272" s="9">
        <v>0</v>
      </c>
      <c r="BG272" s="9">
        <v>0</v>
      </c>
      <c r="BH272" s="9">
        <v>0</v>
      </c>
      <c r="BI272" s="9">
        <v>0</v>
      </c>
      <c r="BJ272" s="9">
        <v>0</v>
      </c>
      <c r="BK272" s="9">
        <v>0</v>
      </c>
      <c r="BL272" s="9">
        <v>0</v>
      </c>
      <c r="BM272" s="9">
        <v>0</v>
      </c>
      <c r="BN272" s="9">
        <v>0</v>
      </c>
      <c r="BO272" s="9">
        <v>0</v>
      </c>
      <c r="BP272" s="9">
        <v>0</v>
      </c>
      <c r="BQ272" s="9">
        <v>0</v>
      </c>
      <c r="BR272" s="9">
        <v>0</v>
      </c>
      <c r="BS272" s="9">
        <v>0</v>
      </c>
      <c r="BT272" s="9">
        <v>0</v>
      </c>
      <c r="BU272" s="9">
        <v>0</v>
      </c>
      <c r="BV272" s="9">
        <v>0</v>
      </c>
      <c r="BW272" s="9">
        <v>0</v>
      </c>
      <c r="BX272" s="9">
        <v>0</v>
      </c>
      <c r="BY272" s="9">
        <v>0</v>
      </c>
      <c r="BZ272" s="9">
        <v>0</v>
      </c>
      <c r="CA272" s="9">
        <v>0</v>
      </c>
      <c r="CB272" s="9">
        <v>0</v>
      </c>
      <c r="CC272" s="9">
        <v>0</v>
      </c>
      <c r="CD272" s="9">
        <v>0</v>
      </c>
      <c r="CE272" s="9">
        <v>0</v>
      </c>
      <c r="CF272" s="9">
        <v>0</v>
      </c>
      <c r="CG272" s="9">
        <v>0</v>
      </c>
      <c r="CH272" s="9">
        <v>0</v>
      </c>
      <c r="CI272" s="9">
        <v>0</v>
      </c>
      <c r="CJ272" s="9">
        <v>0</v>
      </c>
      <c r="CK272" s="9">
        <v>0</v>
      </c>
      <c r="CL272" s="9">
        <v>0</v>
      </c>
      <c r="CM272" s="9">
        <v>0</v>
      </c>
      <c r="CN272" s="9">
        <v>0</v>
      </c>
      <c r="CO272" s="9">
        <v>0</v>
      </c>
      <c r="CP272" s="9">
        <v>0</v>
      </c>
      <c r="CQ272" s="9">
        <v>0</v>
      </c>
      <c r="CR272" s="9">
        <v>0</v>
      </c>
      <c r="CS272" s="10">
        <v>0</v>
      </c>
    </row>
    <row r="273" spans="1:97" x14ac:dyDescent="0.35">
      <c r="A273" s="8" t="s">
        <v>261</v>
      </c>
      <c r="B273" s="9" t="s">
        <v>980</v>
      </c>
      <c r="C273" s="9" t="s">
        <v>981</v>
      </c>
      <c r="D273" s="9">
        <f t="shared" si="4"/>
        <v>0</v>
      </c>
      <c r="E273" s="9">
        <v>0</v>
      </c>
      <c r="F273" s="9">
        <v>0</v>
      </c>
      <c r="G273" s="9">
        <v>0</v>
      </c>
      <c r="H273" s="9">
        <v>0</v>
      </c>
      <c r="I273" s="9">
        <v>0</v>
      </c>
      <c r="J273" s="9">
        <v>0</v>
      </c>
      <c r="K273" s="9">
        <v>0</v>
      </c>
      <c r="L273" s="9">
        <v>0</v>
      </c>
      <c r="M273" s="9">
        <v>0</v>
      </c>
      <c r="N273" s="9">
        <v>0</v>
      </c>
      <c r="O273" s="9">
        <v>0</v>
      </c>
      <c r="P273" s="9">
        <v>0</v>
      </c>
      <c r="Q273" s="9">
        <v>0</v>
      </c>
      <c r="R273" s="9">
        <v>0</v>
      </c>
      <c r="S273" s="9">
        <v>0</v>
      </c>
      <c r="T273" s="9">
        <v>0</v>
      </c>
      <c r="U273" s="9">
        <v>0</v>
      </c>
      <c r="V273" s="9">
        <v>0</v>
      </c>
      <c r="W273" s="9">
        <v>0</v>
      </c>
      <c r="X273" s="9">
        <v>0</v>
      </c>
      <c r="Y273" s="9">
        <v>0</v>
      </c>
      <c r="Z273" s="9">
        <v>0</v>
      </c>
      <c r="AA273" s="9">
        <v>0</v>
      </c>
      <c r="AB273" s="9">
        <v>0</v>
      </c>
      <c r="AC273" s="9">
        <v>0</v>
      </c>
      <c r="AD273" s="9">
        <v>0</v>
      </c>
      <c r="AE273" s="9">
        <v>0</v>
      </c>
      <c r="AF273" s="9">
        <v>0</v>
      </c>
      <c r="AG273" s="9">
        <v>0</v>
      </c>
      <c r="AH273" s="9">
        <v>0</v>
      </c>
      <c r="AI273" s="9">
        <v>0</v>
      </c>
      <c r="AJ273" s="9">
        <v>0</v>
      </c>
      <c r="AK273" s="9">
        <v>0</v>
      </c>
      <c r="AL273" s="9">
        <v>0</v>
      </c>
      <c r="AM273" s="9">
        <v>0</v>
      </c>
      <c r="AN273" s="9">
        <v>0</v>
      </c>
      <c r="AO273" s="9">
        <v>0</v>
      </c>
      <c r="AP273" s="9">
        <v>0</v>
      </c>
      <c r="AQ273" s="9">
        <v>0</v>
      </c>
      <c r="AR273" s="9">
        <v>0</v>
      </c>
      <c r="AS273" s="9">
        <v>0</v>
      </c>
      <c r="AT273" s="9">
        <v>0</v>
      </c>
      <c r="AU273" s="9">
        <v>0</v>
      </c>
      <c r="AV273" s="9">
        <v>0</v>
      </c>
      <c r="AW273" s="9">
        <v>0</v>
      </c>
      <c r="AX273" s="9">
        <v>0</v>
      </c>
      <c r="AY273" s="9">
        <v>0</v>
      </c>
      <c r="AZ273" s="9">
        <v>0</v>
      </c>
      <c r="BA273" s="9">
        <v>0</v>
      </c>
      <c r="BB273" s="9">
        <v>0</v>
      </c>
      <c r="BC273" s="9">
        <v>0</v>
      </c>
      <c r="BD273" s="9">
        <v>0</v>
      </c>
      <c r="BE273" s="9">
        <v>0</v>
      </c>
      <c r="BF273" s="9">
        <v>0</v>
      </c>
      <c r="BG273" s="9">
        <v>0</v>
      </c>
      <c r="BH273" s="9">
        <v>0</v>
      </c>
      <c r="BI273" s="9">
        <v>0</v>
      </c>
      <c r="BJ273" s="9">
        <v>0</v>
      </c>
      <c r="BK273" s="9">
        <v>0</v>
      </c>
      <c r="BL273" s="9">
        <v>0</v>
      </c>
      <c r="BM273" s="9">
        <v>0</v>
      </c>
      <c r="BN273" s="9">
        <v>0</v>
      </c>
      <c r="BO273" s="9">
        <v>0</v>
      </c>
      <c r="BP273" s="9">
        <v>0</v>
      </c>
      <c r="BQ273" s="9">
        <v>0</v>
      </c>
      <c r="BR273" s="9">
        <v>0</v>
      </c>
      <c r="BS273" s="9">
        <v>0</v>
      </c>
      <c r="BT273" s="9">
        <v>0</v>
      </c>
      <c r="BU273" s="9">
        <v>0</v>
      </c>
      <c r="BV273" s="9">
        <v>0</v>
      </c>
      <c r="BW273" s="9">
        <v>0</v>
      </c>
      <c r="BX273" s="9">
        <v>0</v>
      </c>
      <c r="BY273" s="9">
        <v>0</v>
      </c>
      <c r="BZ273" s="9">
        <v>0</v>
      </c>
      <c r="CA273" s="9">
        <v>0</v>
      </c>
      <c r="CB273" s="9">
        <v>0</v>
      </c>
      <c r="CC273" s="9">
        <v>0</v>
      </c>
      <c r="CD273" s="9">
        <v>0</v>
      </c>
      <c r="CE273" s="9">
        <v>0</v>
      </c>
      <c r="CF273" s="9">
        <v>0</v>
      </c>
      <c r="CG273" s="9">
        <v>0</v>
      </c>
      <c r="CH273" s="9">
        <v>0</v>
      </c>
      <c r="CI273" s="9">
        <v>0</v>
      </c>
      <c r="CJ273" s="9">
        <v>0</v>
      </c>
      <c r="CK273" s="9">
        <v>0</v>
      </c>
      <c r="CL273" s="9">
        <v>0</v>
      </c>
      <c r="CM273" s="9">
        <v>0</v>
      </c>
      <c r="CN273" s="9">
        <v>0</v>
      </c>
      <c r="CO273" s="9">
        <v>0</v>
      </c>
      <c r="CP273" s="9">
        <v>0</v>
      </c>
      <c r="CQ273" s="9">
        <v>0</v>
      </c>
      <c r="CR273" s="9">
        <v>0</v>
      </c>
      <c r="CS273" s="10">
        <v>0</v>
      </c>
    </row>
    <row r="274" spans="1:97" x14ac:dyDescent="0.35">
      <c r="A274" s="8" t="s">
        <v>261</v>
      </c>
      <c r="B274" s="9" t="s">
        <v>982</v>
      </c>
      <c r="C274" s="9" t="s">
        <v>983</v>
      </c>
      <c r="D274" s="9">
        <f t="shared" si="4"/>
        <v>0</v>
      </c>
      <c r="E274" s="9">
        <v>0</v>
      </c>
      <c r="F274" s="9">
        <v>0</v>
      </c>
      <c r="G274" s="9">
        <v>0</v>
      </c>
      <c r="H274" s="9">
        <v>0</v>
      </c>
      <c r="I274" s="9">
        <v>0</v>
      </c>
      <c r="J274" s="9">
        <v>0</v>
      </c>
      <c r="K274" s="9">
        <v>0</v>
      </c>
      <c r="L274" s="9">
        <v>0</v>
      </c>
      <c r="M274" s="9">
        <v>0</v>
      </c>
      <c r="N274" s="9">
        <v>0</v>
      </c>
      <c r="O274" s="9">
        <v>0</v>
      </c>
      <c r="P274" s="9">
        <v>0</v>
      </c>
      <c r="Q274" s="9">
        <v>0</v>
      </c>
      <c r="R274" s="9">
        <v>0</v>
      </c>
      <c r="S274" s="9">
        <v>0</v>
      </c>
      <c r="T274" s="9">
        <v>0</v>
      </c>
      <c r="U274" s="9">
        <v>0</v>
      </c>
      <c r="V274" s="9">
        <v>0</v>
      </c>
      <c r="W274" s="9">
        <v>0</v>
      </c>
      <c r="X274" s="9">
        <v>0</v>
      </c>
      <c r="Y274" s="9">
        <v>0</v>
      </c>
      <c r="Z274" s="9">
        <v>0</v>
      </c>
      <c r="AA274" s="9">
        <v>0</v>
      </c>
      <c r="AB274" s="9">
        <v>0</v>
      </c>
      <c r="AC274" s="9">
        <v>0</v>
      </c>
      <c r="AD274" s="9">
        <v>0</v>
      </c>
      <c r="AE274" s="9">
        <v>0</v>
      </c>
      <c r="AF274" s="9">
        <v>0</v>
      </c>
      <c r="AG274" s="9">
        <v>0</v>
      </c>
      <c r="AH274" s="9">
        <v>0</v>
      </c>
      <c r="AI274" s="9">
        <v>0</v>
      </c>
      <c r="AJ274" s="9">
        <v>0</v>
      </c>
      <c r="AK274" s="9">
        <v>0</v>
      </c>
      <c r="AL274" s="9">
        <v>0</v>
      </c>
      <c r="AM274" s="9">
        <v>0</v>
      </c>
      <c r="AN274" s="9">
        <v>0</v>
      </c>
      <c r="AO274" s="9">
        <v>0</v>
      </c>
      <c r="AP274" s="9">
        <v>0</v>
      </c>
      <c r="AQ274" s="9">
        <v>0</v>
      </c>
      <c r="AR274" s="9">
        <v>0</v>
      </c>
      <c r="AS274" s="9">
        <v>0</v>
      </c>
      <c r="AT274" s="9">
        <v>0</v>
      </c>
      <c r="AU274" s="9">
        <v>0</v>
      </c>
      <c r="AV274" s="9">
        <v>0</v>
      </c>
      <c r="AW274" s="9">
        <v>0</v>
      </c>
      <c r="AX274" s="9">
        <v>0</v>
      </c>
      <c r="AY274" s="9">
        <v>0</v>
      </c>
      <c r="AZ274" s="9">
        <v>0</v>
      </c>
      <c r="BA274" s="9">
        <v>0</v>
      </c>
      <c r="BB274" s="9">
        <v>0</v>
      </c>
      <c r="BC274" s="9">
        <v>0</v>
      </c>
      <c r="BD274" s="9">
        <v>0</v>
      </c>
      <c r="BE274" s="9">
        <v>0</v>
      </c>
      <c r="BF274" s="9">
        <v>0</v>
      </c>
      <c r="BG274" s="9">
        <v>0</v>
      </c>
      <c r="BH274" s="9">
        <v>0</v>
      </c>
      <c r="BI274" s="9">
        <v>0</v>
      </c>
      <c r="BJ274" s="9">
        <v>0</v>
      </c>
      <c r="BK274" s="9">
        <v>0</v>
      </c>
      <c r="BL274" s="9">
        <v>0</v>
      </c>
      <c r="BM274" s="9">
        <v>0</v>
      </c>
      <c r="BN274" s="9">
        <v>0</v>
      </c>
      <c r="BO274" s="9">
        <v>0</v>
      </c>
      <c r="BP274" s="9">
        <v>0</v>
      </c>
      <c r="BQ274" s="9">
        <v>0</v>
      </c>
      <c r="BR274" s="9">
        <v>0</v>
      </c>
      <c r="BS274" s="9">
        <v>0</v>
      </c>
      <c r="BT274" s="9">
        <v>0</v>
      </c>
      <c r="BU274" s="9">
        <v>0</v>
      </c>
      <c r="BV274" s="9">
        <v>0</v>
      </c>
      <c r="BW274" s="9">
        <v>0</v>
      </c>
      <c r="BX274" s="9">
        <v>0</v>
      </c>
      <c r="BY274" s="9">
        <v>0</v>
      </c>
      <c r="BZ274" s="9">
        <v>0</v>
      </c>
      <c r="CA274" s="9">
        <v>0</v>
      </c>
      <c r="CB274" s="9">
        <v>0</v>
      </c>
      <c r="CC274" s="9">
        <v>0</v>
      </c>
      <c r="CD274" s="9">
        <v>0</v>
      </c>
      <c r="CE274" s="9">
        <v>0</v>
      </c>
      <c r="CF274" s="9">
        <v>0</v>
      </c>
      <c r="CG274" s="9">
        <v>0</v>
      </c>
      <c r="CH274" s="9">
        <v>0</v>
      </c>
      <c r="CI274" s="9">
        <v>0</v>
      </c>
      <c r="CJ274" s="9">
        <v>0</v>
      </c>
      <c r="CK274" s="9">
        <v>0</v>
      </c>
      <c r="CL274" s="9">
        <v>0</v>
      </c>
      <c r="CM274" s="9">
        <v>0</v>
      </c>
      <c r="CN274" s="9">
        <v>0</v>
      </c>
      <c r="CO274" s="9">
        <v>0</v>
      </c>
      <c r="CP274" s="9">
        <v>0</v>
      </c>
      <c r="CQ274" s="9">
        <v>0</v>
      </c>
      <c r="CR274" s="9">
        <v>0</v>
      </c>
      <c r="CS274" s="10">
        <v>0</v>
      </c>
    </row>
    <row r="275" spans="1:97" x14ac:dyDescent="0.35">
      <c r="A275" s="8" t="s">
        <v>261</v>
      </c>
      <c r="B275" s="9" t="s">
        <v>984</v>
      </c>
      <c r="C275" s="9" t="s">
        <v>985</v>
      </c>
      <c r="D275" s="9">
        <f t="shared" si="4"/>
        <v>0</v>
      </c>
      <c r="E275" s="9">
        <v>0</v>
      </c>
      <c r="F275" s="9">
        <v>0</v>
      </c>
      <c r="G275" s="9">
        <v>0</v>
      </c>
      <c r="H275" s="9">
        <v>0</v>
      </c>
      <c r="I275" s="9">
        <v>0</v>
      </c>
      <c r="J275" s="9">
        <v>0</v>
      </c>
      <c r="K275" s="9">
        <v>0</v>
      </c>
      <c r="L275" s="9">
        <v>0</v>
      </c>
      <c r="M275" s="9">
        <v>0</v>
      </c>
      <c r="N275" s="9">
        <v>0</v>
      </c>
      <c r="O275" s="9">
        <v>0</v>
      </c>
      <c r="P275" s="9">
        <v>0</v>
      </c>
      <c r="Q275" s="9">
        <v>0</v>
      </c>
      <c r="R275" s="9">
        <v>0</v>
      </c>
      <c r="S275" s="9">
        <v>0</v>
      </c>
      <c r="T275" s="9">
        <v>0</v>
      </c>
      <c r="U275" s="9">
        <v>0</v>
      </c>
      <c r="V275" s="9">
        <v>0</v>
      </c>
      <c r="W275" s="9">
        <v>0</v>
      </c>
      <c r="X275" s="9">
        <v>0</v>
      </c>
      <c r="Y275" s="9">
        <v>0</v>
      </c>
      <c r="Z275" s="9">
        <v>0</v>
      </c>
      <c r="AA275" s="9">
        <v>0</v>
      </c>
      <c r="AB275" s="9">
        <v>0</v>
      </c>
      <c r="AC275" s="9">
        <v>0</v>
      </c>
      <c r="AD275" s="9">
        <v>0</v>
      </c>
      <c r="AE275" s="9">
        <v>0</v>
      </c>
      <c r="AF275" s="9">
        <v>0</v>
      </c>
      <c r="AG275" s="9">
        <v>0</v>
      </c>
      <c r="AH275" s="9">
        <v>0</v>
      </c>
      <c r="AI275" s="9">
        <v>0</v>
      </c>
      <c r="AJ275" s="9">
        <v>0</v>
      </c>
      <c r="AK275" s="9">
        <v>0</v>
      </c>
      <c r="AL275" s="9">
        <v>0</v>
      </c>
      <c r="AM275" s="9">
        <v>0</v>
      </c>
      <c r="AN275" s="9">
        <v>0</v>
      </c>
      <c r="AO275" s="9">
        <v>0</v>
      </c>
      <c r="AP275" s="9">
        <v>0</v>
      </c>
      <c r="AQ275" s="9">
        <v>0</v>
      </c>
      <c r="AR275" s="9">
        <v>0</v>
      </c>
      <c r="AS275" s="9">
        <v>0</v>
      </c>
      <c r="AT275" s="9">
        <v>0</v>
      </c>
      <c r="AU275" s="9">
        <v>0</v>
      </c>
      <c r="AV275" s="9">
        <v>0</v>
      </c>
      <c r="AW275" s="9">
        <v>0</v>
      </c>
      <c r="AX275" s="9">
        <v>0</v>
      </c>
      <c r="AY275" s="9">
        <v>0</v>
      </c>
      <c r="AZ275" s="9">
        <v>0</v>
      </c>
      <c r="BA275" s="9">
        <v>0</v>
      </c>
      <c r="BB275" s="9">
        <v>0</v>
      </c>
      <c r="BC275" s="9">
        <v>0</v>
      </c>
      <c r="BD275" s="9">
        <v>0</v>
      </c>
      <c r="BE275" s="9">
        <v>0</v>
      </c>
      <c r="BF275" s="9">
        <v>0</v>
      </c>
      <c r="BG275" s="9">
        <v>0</v>
      </c>
      <c r="BH275" s="9">
        <v>0</v>
      </c>
      <c r="BI275" s="9">
        <v>0</v>
      </c>
      <c r="BJ275" s="9">
        <v>0</v>
      </c>
      <c r="BK275" s="9">
        <v>0</v>
      </c>
      <c r="BL275" s="9">
        <v>0</v>
      </c>
      <c r="BM275" s="9">
        <v>0</v>
      </c>
      <c r="BN275" s="9">
        <v>0</v>
      </c>
      <c r="BO275" s="9">
        <v>0</v>
      </c>
      <c r="BP275" s="9">
        <v>0</v>
      </c>
      <c r="BQ275" s="9">
        <v>0</v>
      </c>
      <c r="BR275" s="9">
        <v>0</v>
      </c>
      <c r="BS275" s="9">
        <v>0</v>
      </c>
      <c r="BT275" s="9">
        <v>0</v>
      </c>
      <c r="BU275" s="9">
        <v>0</v>
      </c>
      <c r="BV275" s="9">
        <v>0</v>
      </c>
      <c r="BW275" s="9">
        <v>0</v>
      </c>
      <c r="BX275" s="9">
        <v>0</v>
      </c>
      <c r="BY275" s="9">
        <v>0</v>
      </c>
      <c r="BZ275" s="9">
        <v>0</v>
      </c>
      <c r="CA275" s="9">
        <v>0</v>
      </c>
      <c r="CB275" s="9">
        <v>0</v>
      </c>
      <c r="CC275" s="9">
        <v>0</v>
      </c>
      <c r="CD275" s="9">
        <v>0</v>
      </c>
      <c r="CE275" s="9">
        <v>0</v>
      </c>
      <c r="CF275" s="9">
        <v>0</v>
      </c>
      <c r="CG275" s="9">
        <v>0</v>
      </c>
      <c r="CH275" s="9">
        <v>0</v>
      </c>
      <c r="CI275" s="9">
        <v>0</v>
      </c>
      <c r="CJ275" s="9">
        <v>0</v>
      </c>
      <c r="CK275" s="9">
        <v>0</v>
      </c>
      <c r="CL275" s="9">
        <v>0</v>
      </c>
      <c r="CM275" s="9">
        <v>0</v>
      </c>
      <c r="CN275" s="9">
        <v>0</v>
      </c>
      <c r="CO275" s="9">
        <v>0</v>
      </c>
      <c r="CP275" s="9">
        <v>0</v>
      </c>
      <c r="CQ275" s="9">
        <v>0</v>
      </c>
      <c r="CR275" s="9">
        <v>0</v>
      </c>
      <c r="CS275" s="10">
        <v>0</v>
      </c>
    </row>
    <row r="276" spans="1:97" x14ac:dyDescent="0.35">
      <c r="A276" s="8" t="s">
        <v>261</v>
      </c>
      <c r="B276" s="9" t="s">
        <v>280</v>
      </c>
      <c r="C276" s="9" t="s">
        <v>986</v>
      </c>
      <c r="D276" s="9">
        <f t="shared" si="4"/>
        <v>490</v>
      </c>
      <c r="E276" s="9">
        <v>0</v>
      </c>
      <c r="F276" s="9">
        <v>1</v>
      </c>
      <c r="G276" s="9">
        <v>0</v>
      </c>
      <c r="H276" s="9">
        <v>0</v>
      </c>
      <c r="I276" s="9">
        <v>0</v>
      </c>
      <c r="J276" s="9">
        <v>0</v>
      </c>
      <c r="K276" s="9">
        <v>0</v>
      </c>
      <c r="L276" s="9">
        <v>0</v>
      </c>
      <c r="M276" s="9">
        <v>0</v>
      </c>
      <c r="N276" s="9">
        <v>1</v>
      </c>
      <c r="O276" s="9">
        <v>0</v>
      </c>
      <c r="P276" s="9">
        <v>0</v>
      </c>
      <c r="Q276" s="9">
        <v>0</v>
      </c>
      <c r="R276" s="9">
        <v>0</v>
      </c>
      <c r="S276" s="9">
        <v>0</v>
      </c>
      <c r="T276" s="9">
        <v>0</v>
      </c>
      <c r="U276" s="9">
        <v>0</v>
      </c>
      <c r="V276" s="9">
        <v>0</v>
      </c>
      <c r="W276" s="9">
        <v>0</v>
      </c>
      <c r="X276" s="9">
        <v>0</v>
      </c>
      <c r="Y276" s="9">
        <v>0</v>
      </c>
      <c r="Z276" s="9">
        <v>0</v>
      </c>
      <c r="AA276" s="9">
        <v>0</v>
      </c>
      <c r="AB276" s="9">
        <v>0</v>
      </c>
      <c r="AC276" s="9">
        <v>1</v>
      </c>
      <c r="AD276" s="9">
        <v>0</v>
      </c>
      <c r="AE276" s="9">
        <v>0</v>
      </c>
      <c r="AF276" s="9">
        <v>0</v>
      </c>
      <c r="AG276" s="9">
        <v>0</v>
      </c>
      <c r="AH276" s="9">
        <v>0</v>
      </c>
      <c r="AI276" s="9">
        <v>0</v>
      </c>
      <c r="AJ276" s="9">
        <v>1</v>
      </c>
      <c r="AK276" s="9">
        <v>1</v>
      </c>
      <c r="AL276" s="9">
        <v>1</v>
      </c>
      <c r="AM276" s="9">
        <v>1</v>
      </c>
      <c r="AN276" s="9">
        <v>0</v>
      </c>
      <c r="AO276" s="9">
        <v>1</v>
      </c>
      <c r="AP276" s="9">
        <v>1</v>
      </c>
      <c r="AQ276" s="9">
        <v>4</v>
      </c>
      <c r="AR276" s="9">
        <v>8</v>
      </c>
      <c r="AS276" s="9">
        <v>1</v>
      </c>
      <c r="AT276" s="9">
        <v>1</v>
      </c>
      <c r="AU276" s="9">
        <v>1</v>
      </c>
      <c r="AV276" s="9">
        <v>3</v>
      </c>
      <c r="AW276" s="9">
        <v>2</v>
      </c>
      <c r="AX276" s="9">
        <v>5</v>
      </c>
      <c r="AY276" s="9">
        <v>2</v>
      </c>
      <c r="AZ276" s="9">
        <v>8</v>
      </c>
      <c r="BA276" s="9">
        <v>7</v>
      </c>
      <c r="BB276" s="9">
        <v>12</v>
      </c>
      <c r="BC276" s="9">
        <v>9</v>
      </c>
      <c r="BD276" s="9">
        <v>12</v>
      </c>
      <c r="BE276" s="9">
        <v>3</v>
      </c>
      <c r="BF276" s="9">
        <v>12</v>
      </c>
      <c r="BG276" s="9">
        <v>12</v>
      </c>
      <c r="BH276" s="9">
        <v>4</v>
      </c>
      <c r="BI276" s="9">
        <v>8</v>
      </c>
      <c r="BJ276" s="9">
        <v>11</v>
      </c>
      <c r="BK276" s="9">
        <v>8</v>
      </c>
      <c r="BL276" s="9">
        <v>10</v>
      </c>
      <c r="BM276" s="9">
        <v>10</v>
      </c>
      <c r="BN276" s="9">
        <v>4</v>
      </c>
      <c r="BO276" s="9">
        <v>11</v>
      </c>
      <c r="BP276" s="9">
        <v>15</v>
      </c>
      <c r="BQ276" s="9">
        <v>3</v>
      </c>
      <c r="BR276" s="9">
        <v>5</v>
      </c>
      <c r="BS276" s="9">
        <v>13</v>
      </c>
      <c r="BT276" s="9">
        <v>9</v>
      </c>
      <c r="BU276" s="9">
        <v>5</v>
      </c>
      <c r="BV276" s="9">
        <v>6</v>
      </c>
      <c r="BW276" s="9">
        <v>13</v>
      </c>
      <c r="BX276" s="9">
        <v>11</v>
      </c>
      <c r="BY276" s="9">
        <v>10</v>
      </c>
      <c r="BZ276" s="9">
        <v>11</v>
      </c>
      <c r="CA276" s="9">
        <v>10</v>
      </c>
      <c r="CB276" s="9">
        <v>8</v>
      </c>
      <c r="CC276" s="9">
        <v>11</v>
      </c>
      <c r="CD276" s="9">
        <v>8</v>
      </c>
      <c r="CE276" s="9">
        <v>13</v>
      </c>
      <c r="CF276" s="9">
        <v>10</v>
      </c>
      <c r="CG276" s="9">
        <v>18</v>
      </c>
      <c r="CH276" s="9">
        <v>12</v>
      </c>
      <c r="CI276" s="9">
        <v>6</v>
      </c>
      <c r="CJ276" s="9">
        <v>8</v>
      </c>
      <c r="CK276" s="9">
        <v>16</v>
      </c>
      <c r="CL276" s="9">
        <v>16</v>
      </c>
      <c r="CM276" s="9">
        <v>10</v>
      </c>
      <c r="CN276" s="9">
        <v>11</v>
      </c>
      <c r="CO276" s="9">
        <v>15</v>
      </c>
      <c r="CP276" s="9">
        <v>9</v>
      </c>
      <c r="CQ276" s="9">
        <v>10</v>
      </c>
      <c r="CR276" s="9">
        <v>7</v>
      </c>
      <c r="CS276" s="10">
        <v>14</v>
      </c>
    </row>
    <row r="277" spans="1:97" x14ac:dyDescent="0.35">
      <c r="A277" s="8" t="s">
        <v>261</v>
      </c>
      <c r="B277" s="9" t="s">
        <v>282</v>
      </c>
      <c r="C277" s="9" t="s">
        <v>987</v>
      </c>
      <c r="D277" s="9">
        <f t="shared" si="4"/>
        <v>510</v>
      </c>
      <c r="E277" s="9">
        <v>1</v>
      </c>
      <c r="F277" s="9">
        <v>2</v>
      </c>
      <c r="G277" s="9">
        <v>2</v>
      </c>
      <c r="H277" s="9">
        <v>2</v>
      </c>
      <c r="I277" s="9">
        <v>0</v>
      </c>
      <c r="J277" s="9">
        <v>5</v>
      </c>
      <c r="K277" s="9">
        <v>0</v>
      </c>
      <c r="L277" s="9">
        <v>1</v>
      </c>
      <c r="M277" s="9">
        <v>2</v>
      </c>
      <c r="N277" s="9">
        <v>0</v>
      </c>
      <c r="O277" s="9">
        <v>1</v>
      </c>
      <c r="P277" s="9">
        <v>3</v>
      </c>
      <c r="Q277" s="9">
        <v>0</v>
      </c>
      <c r="R277" s="9">
        <v>0</v>
      </c>
      <c r="S277" s="9">
        <v>2</v>
      </c>
      <c r="T277" s="9">
        <v>0</v>
      </c>
      <c r="U277" s="9">
        <v>0</v>
      </c>
      <c r="V277" s="9">
        <v>0</v>
      </c>
      <c r="W277" s="9">
        <v>0</v>
      </c>
      <c r="X277" s="9">
        <v>2</v>
      </c>
      <c r="Y277" s="9">
        <v>3</v>
      </c>
      <c r="Z277" s="9">
        <v>1</v>
      </c>
      <c r="AA277" s="9">
        <v>1</v>
      </c>
      <c r="AB277" s="9">
        <v>0</v>
      </c>
      <c r="AC277" s="9">
        <v>4</v>
      </c>
      <c r="AD277" s="9">
        <v>0</v>
      </c>
      <c r="AE277" s="9">
        <v>0</v>
      </c>
      <c r="AF277" s="9">
        <v>0</v>
      </c>
      <c r="AG277" s="9">
        <v>2</v>
      </c>
      <c r="AH277" s="9">
        <v>1</v>
      </c>
      <c r="AI277" s="9">
        <v>1</v>
      </c>
      <c r="AJ277" s="9">
        <v>2</v>
      </c>
      <c r="AK277" s="9">
        <v>2</v>
      </c>
      <c r="AL277" s="9">
        <v>0</v>
      </c>
      <c r="AM277" s="9">
        <v>2</v>
      </c>
      <c r="AN277" s="9">
        <v>2</v>
      </c>
      <c r="AO277" s="9">
        <v>0</v>
      </c>
      <c r="AP277" s="9">
        <v>0</v>
      </c>
      <c r="AQ277" s="9">
        <v>4</v>
      </c>
      <c r="AR277" s="9">
        <v>3</v>
      </c>
      <c r="AS277" s="9">
        <v>2</v>
      </c>
      <c r="AT277" s="9">
        <v>2</v>
      </c>
      <c r="AU277" s="9">
        <v>3</v>
      </c>
      <c r="AV277" s="9">
        <v>1</v>
      </c>
      <c r="AW277" s="9">
        <v>2</v>
      </c>
      <c r="AX277" s="9">
        <v>1</v>
      </c>
      <c r="AY277" s="9">
        <v>3</v>
      </c>
      <c r="AZ277" s="9">
        <v>6</v>
      </c>
      <c r="BA277" s="9">
        <v>3</v>
      </c>
      <c r="BB277" s="9">
        <v>5</v>
      </c>
      <c r="BC277" s="9">
        <v>6</v>
      </c>
      <c r="BD277" s="9">
        <v>3</v>
      </c>
      <c r="BE277" s="9">
        <v>3</v>
      </c>
      <c r="BF277" s="9">
        <v>9</v>
      </c>
      <c r="BG277" s="9">
        <v>5</v>
      </c>
      <c r="BH277" s="9">
        <v>2</v>
      </c>
      <c r="BI277" s="9">
        <v>2</v>
      </c>
      <c r="BJ277" s="9">
        <v>0</v>
      </c>
      <c r="BK277" s="9">
        <v>4</v>
      </c>
      <c r="BL277" s="9">
        <v>3</v>
      </c>
      <c r="BM277" s="9">
        <v>2</v>
      </c>
      <c r="BN277" s="9">
        <v>8</v>
      </c>
      <c r="BO277" s="9">
        <v>7</v>
      </c>
      <c r="BP277" s="9">
        <v>9</v>
      </c>
      <c r="BQ277" s="9">
        <v>5</v>
      </c>
      <c r="BR277" s="9">
        <v>10</v>
      </c>
      <c r="BS277" s="9">
        <v>3</v>
      </c>
      <c r="BT277" s="9">
        <v>12</v>
      </c>
      <c r="BU277" s="9">
        <v>9</v>
      </c>
      <c r="BV277" s="9">
        <v>12</v>
      </c>
      <c r="BW277" s="9">
        <v>4</v>
      </c>
      <c r="BX277" s="9">
        <v>6</v>
      </c>
      <c r="BY277" s="9">
        <v>16</v>
      </c>
      <c r="BZ277" s="9">
        <v>8</v>
      </c>
      <c r="CA277" s="9">
        <v>5</v>
      </c>
      <c r="CB277" s="9">
        <v>12</v>
      </c>
      <c r="CC277" s="9">
        <v>9</v>
      </c>
      <c r="CD277" s="9">
        <v>21</v>
      </c>
      <c r="CE277" s="9">
        <v>13</v>
      </c>
      <c r="CF277" s="9">
        <v>13</v>
      </c>
      <c r="CG277" s="9">
        <v>15</v>
      </c>
      <c r="CH277" s="9">
        <v>5</v>
      </c>
      <c r="CI277" s="9">
        <v>13</v>
      </c>
      <c r="CJ277" s="9">
        <v>10</v>
      </c>
      <c r="CK277" s="9">
        <v>12</v>
      </c>
      <c r="CL277" s="9">
        <v>26</v>
      </c>
      <c r="CM277" s="9">
        <v>22</v>
      </c>
      <c r="CN277" s="9">
        <v>18</v>
      </c>
      <c r="CO277" s="9">
        <v>20</v>
      </c>
      <c r="CP277" s="9">
        <v>14</v>
      </c>
      <c r="CQ277" s="9">
        <v>17</v>
      </c>
      <c r="CR277" s="9">
        <v>17</v>
      </c>
      <c r="CS277" s="10">
        <v>21</v>
      </c>
    </row>
    <row r="278" spans="1:97" x14ac:dyDescent="0.35">
      <c r="A278" s="8" t="s">
        <v>261</v>
      </c>
      <c r="B278" s="9" t="s">
        <v>284</v>
      </c>
      <c r="C278" s="9" t="s">
        <v>988</v>
      </c>
      <c r="D278" s="9">
        <f t="shared" si="4"/>
        <v>213</v>
      </c>
      <c r="E278" s="9">
        <v>0</v>
      </c>
      <c r="F278" s="9">
        <v>0</v>
      </c>
      <c r="G278" s="9">
        <v>1</v>
      </c>
      <c r="H278" s="9">
        <v>0</v>
      </c>
      <c r="I278" s="9">
        <v>0</v>
      </c>
      <c r="J278" s="9">
        <v>0</v>
      </c>
      <c r="K278" s="9">
        <v>0</v>
      </c>
      <c r="L278" s="9">
        <v>0</v>
      </c>
      <c r="M278" s="9">
        <v>0</v>
      </c>
      <c r="N278" s="9">
        <v>3</v>
      </c>
      <c r="O278" s="9">
        <v>0</v>
      </c>
      <c r="P278" s="9">
        <v>0</v>
      </c>
      <c r="Q278" s="9">
        <v>1</v>
      </c>
      <c r="R278" s="9">
        <v>0</v>
      </c>
      <c r="S278" s="9">
        <v>0</v>
      </c>
      <c r="T278" s="9">
        <v>0</v>
      </c>
      <c r="U278" s="9">
        <v>0</v>
      </c>
      <c r="V278" s="9">
        <v>0</v>
      </c>
      <c r="W278" s="9">
        <v>1</v>
      </c>
      <c r="X278" s="9">
        <v>0</v>
      </c>
      <c r="Y278" s="9">
        <v>1</v>
      </c>
      <c r="Z278" s="9">
        <v>0</v>
      </c>
      <c r="AA278" s="9">
        <v>0</v>
      </c>
      <c r="AB278" s="9">
        <v>0</v>
      </c>
      <c r="AC278" s="9">
        <v>0</v>
      </c>
      <c r="AD278" s="9">
        <v>0</v>
      </c>
      <c r="AE278" s="9">
        <v>2</v>
      </c>
      <c r="AF278" s="9">
        <v>0</v>
      </c>
      <c r="AG278" s="9">
        <v>0</v>
      </c>
      <c r="AH278" s="9">
        <v>0</v>
      </c>
      <c r="AI278" s="9">
        <v>0</v>
      </c>
      <c r="AJ278" s="9">
        <v>1</v>
      </c>
      <c r="AK278" s="9">
        <v>0</v>
      </c>
      <c r="AL278" s="9">
        <v>0</v>
      </c>
      <c r="AM278" s="9">
        <v>0</v>
      </c>
      <c r="AN278" s="9">
        <v>0</v>
      </c>
      <c r="AO278" s="9">
        <v>1</v>
      </c>
      <c r="AP278" s="9">
        <v>1</v>
      </c>
      <c r="AQ278" s="9">
        <v>1</v>
      </c>
      <c r="AR278" s="9">
        <v>1</v>
      </c>
      <c r="AS278" s="9">
        <v>0</v>
      </c>
      <c r="AT278" s="9">
        <v>1</v>
      </c>
      <c r="AU278" s="9">
        <v>0</v>
      </c>
      <c r="AV278" s="9">
        <v>0</v>
      </c>
      <c r="AW278" s="9">
        <v>1</v>
      </c>
      <c r="AX278" s="9">
        <v>2</v>
      </c>
      <c r="AY278" s="9">
        <v>1</v>
      </c>
      <c r="AZ278" s="9">
        <v>4</v>
      </c>
      <c r="BA278" s="9">
        <v>3</v>
      </c>
      <c r="BB278" s="9">
        <v>1</v>
      </c>
      <c r="BC278" s="9">
        <v>2</v>
      </c>
      <c r="BD278" s="9">
        <v>3</v>
      </c>
      <c r="BE278" s="9">
        <v>4</v>
      </c>
      <c r="BF278" s="9">
        <v>4</v>
      </c>
      <c r="BG278" s="9">
        <v>5</v>
      </c>
      <c r="BH278" s="9">
        <v>1</v>
      </c>
      <c r="BI278" s="9">
        <v>3</v>
      </c>
      <c r="BJ278" s="9">
        <v>3</v>
      </c>
      <c r="BK278" s="9">
        <v>0</v>
      </c>
      <c r="BL278" s="9">
        <v>1</v>
      </c>
      <c r="BM278" s="9">
        <v>3</v>
      </c>
      <c r="BN278" s="9">
        <v>4</v>
      </c>
      <c r="BO278" s="9">
        <v>3</v>
      </c>
      <c r="BP278" s="9">
        <v>2</v>
      </c>
      <c r="BQ278" s="9">
        <v>5</v>
      </c>
      <c r="BR278" s="9">
        <v>3</v>
      </c>
      <c r="BS278" s="9">
        <v>5</v>
      </c>
      <c r="BT278" s="9">
        <v>2</v>
      </c>
      <c r="BU278" s="9">
        <v>2</v>
      </c>
      <c r="BV278" s="9">
        <v>4</v>
      </c>
      <c r="BW278" s="9">
        <v>6</v>
      </c>
      <c r="BX278" s="9">
        <v>3</v>
      </c>
      <c r="BY278" s="9">
        <v>4</v>
      </c>
      <c r="BZ278" s="9">
        <v>6</v>
      </c>
      <c r="CA278" s="9">
        <v>3</v>
      </c>
      <c r="CB278" s="9">
        <v>4</v>
      </c>
      <c r="CC278" s="9">
        <v>3</v>
      </c>
      <c r="CD278" s="9">
        <v>4</v>
      </c>
      <c r="CE278" s="9">
        <v>1</v>
      </c>
      <c r="CF278" s="9">
        <v>4</v>
      </c>
      <c r="CG278" s="9">
        <v>3</v>
      </c>
      <c r="CH278" s="9">
        <v>7</v>
      </c>
      <c r="CI278" s="9">
        <v>5</v>
      </c>
      <c r="CJ278" s="9">
        <v>5</v>
      </c>
      <c r="CK278" s="9">
        <v>4</v>
      </c>
      <c r="CL278" s="9">
        <v>2</v>
      </c>
      <c r="CM278" s="9">
        <v>8</v>
      </c>
      <c r="CN278" s="9">
        <v>4</v>
      </c>
      <c r="CO278" s="9">
        <v>7</v>
      </c>
      <c r="CP278" s="9">
        <v>6</v>
      </c>
      <c r="CQ278" s="9">
        <v>9</v>
      </c>
      <c r="CR278" s="9">
        <v>13</v>
      </c>
      <c r="CS278" s="10">
        <v>16</v>
      </c>
    </row>
    <row r="279" spans="1:97" x14ac:dyDescent="0.35">
      <c r="A279" s="8" t="s">
        <v>261</v>
      </c>
      <c r="B279" s="9" t="s">
        <v>286</v>
      </c>
      <c r="C279" s="9" t="s">
        <v>989</v>
      </c>
      <c r="D279" s="9">
        <f t="shared" si="4"/>
        <v>79</v>
      </c>
      <c r="E279" s="9">
        <v>0</v>
      </c>
      <c r="F279" s="9">
        <v>1</v>
      </c>
      <c r="G279" s="9">
        <v>1</v>
      </c>
      <c r="H279" s="9">
        <v>1</v>
      </c>
      <c r="I279" s="9">
        <v>0</v>
      </c>
      <c r="J279" s="9">
        <v>0</v>
      </c>
      <c r="K279" s="9">
        <v>0</v>
      </c>
      <c r="L279" s="9">
        <v>0</v>
      </c>
      <c r="M279" s="9">
        <v>1</v>
      </c>
      <c r="N279" s="9">
        <v>0</v>
      </c>
      <c r="O279" s="9">
        <v>0</v>
      </c>
      <c r="P279" s="9">
        <v>0</v>
      </c>
      <c r="Q279" s="9">
        <v>0</v>
      </c>
      <c r="R279" s="9">
        <v>0</v>
      </c>
      <c r="S279" s="9">
        <v>0</v>
      </c>
      <c r="T279" s="9">
        <v>0</v>
      </c>
      <c r="U279" s="9">
        <v>0</v>
      </c>
      <c r="V279" s="9">
        <v>0</v>
      </c>
      <c r="W279" s="9">
        <v>0</v>
      </c>
      <c r="X279" s="9">
        <v>0</v>
      </c>
      <c r="Y279" s="9">
        <v>0</v>
      </c>
      <c r="Z279" s="9">
        <v>0</v>
      </c>
      <c r="AA279" s="9">
        <v>0</v>
      </c>
      <c r="AB279" s="9">
        <v>0</v>
      </c>
      <c r="AC279" s="9">
        <v>0</v>
      </c>
      <c r="AD279" s="9">
        <v>0</v>
      </c>
      <c r="AE279" s="9">
        <v>1</v>
      </c>
      <c r="AF279" s="9">
        <v>0</v>
      </c>
      <c r="AG279" s="9">
        <v>0</v>
      </c>
      <c r="AH279" s="9">
        <v>0</v>
      </c>
      <c r="AI279" s="9">
        <v>0</v>
      </c>
      <c r="AJ279" s="9">
        <v>0</v>
      </c>
      <c r="AK279" s="9">
        <v>0</v>
      </c>
      <c r="AL279" s="9">
        <v>0</v>
      </c>
      <c r="AM279" s="9">
        <v>0</v>
      </c>
      <c r="AN279" s="9">
        <v>0</v>
      </c>
      <c r="AO279" s="9">
        <v>0</v>
      </c>
      <c r="AP279" s="9">
        <v>2</v>
      </c>
      <c r="AQ279" s="9">
        <v>0</v>
      </c>
      <c r="AR279" s="9">
        <v>0</v>
      </c>
      <c r="AS279" s="9">
        <v>0</v>
      </c>
      <c r="AT279" s="9">
        <v>0</v>
      </c>
      <c r="AU279" s="9">
        <v>0</v>
      </c>
      <c r="AV279" s="9">
        <v>0</v>
      </c>
      <c r="AW279" s="9">
        <v>1</v>
      </c>
      <c r="AX279" s="9">
        <v>1</v>
      </c>
      <c r="AY279" s="9">
        <v>0</v>
      </c>
      <c r="AZ279" s="9">
        <v>0</v>
      </c>
      <c r="BA279" s="9">
        <v>1</v>
      </c>
      <c r="BB279" s="9">
        <v>0</v>
      </c>
      <c r="BC279" s="9">
        <v>2</v>
      </c>
      <c r="BD279" s="9">
        <v>0</v>
      </c>
      <c r="BE279" s="9">
        <v>3</v>
      </c>
      <c r="BF279" s="9">
        <v>0</v>
      </c>
      <c r="BG279" s="9">
        <v>0</v>
      </c>
      <c r="BH279" s="9">
        <v>0</v>
      </c>
      <c r="BI279" s="9">
        <v>0</v>
      </c>
      <c r="BJ279" s="9">
        <v>0</v>
      </c>
      <c r="BK279" s="9">
        <v>0</v>
      </c>
      <c r="BL279" s="9">
        <v>0</v>
      </c>
      <c r="BM279" s="9">
        <v>0</v>
      </c>
      <c r="BN279" s="9">
        <v>0</v>
      </c>
      <c r="BO279" s="9">
        <v>1</v>
      </c>
      <c r="BP279" s="9">
        <v>1</v>
      </c>
      <c r="BQ279" s="9">
        <v>1</v>
      </c>
      <c r="BR279" s="9">
        <v>1</v>
      </c>
      <c r="BS279" s="9">
        <v>5</v>
      </c>
      <c r="BT279" s="9">
        <v>2</v>
      </c>
      <c r="BU279" s="9">
        <v>1</v>
      </c>
      <c r="BV279" s="9">
        <v>2</v>
      </c>
      <c r="BW279" s="9">
        <v>3</v>
      </c>
      <c r="BX279" s="9">
        <v>1</v>
      </c>
      <c r="BY279" s="9">
        <v>1</v>
      </c>
      <c r="BZ279" s="9">
        <v>1</v>
      </c>
      <c r="CA279" s="9">
        <v>0</v>
      </c>
      <c r="CB279" s="9">
        <v>1</v>
      </c>
      <c r="CC279" s="9">
        <v>1</v>
      </c>
      <c r="CD279" s="9">
        <v>2</v>
      </c>
      <c r="CE279" s="9">
        <v>0</v>
      </c>
      <c r="CF279" s="9">
        <v>4</v>
      </c>
      <c r="CG279" s="9">
        <v>1</v>
      </c>
      <c r="CH279" s="9">
        <v>6</v>
      </c>
      <c r="CI279" s="9">
        <v>1</v>
      </c>
      <c r="CJ279" s="9">
        <v>4</v>
      </c>
      <c r="CK279" s="9">
        <v>0</v>
      </c>
      <c r="CL279" s="9">
        <v>5</v>
      </c>
      <c r="CM279" s="9">
        <v>0</v>
      </c>
      <c r="CN279" s="9">
        <v>2</v>
      </c>
      <c r="CO279" s="9">
        <v>4</v>
      </c>
      <c r="CP279" s="9">
        <v>2</v>
      </c>
      <c r="CQ279" s="9">
        <v>1</v>
      </c>
      <c r="CR279" s="9">
        <v>7</v>
      </c>
      <c r="CS279" s="10">
        <v>3</v>
      </c>
    </row>
    <row r="280" spans="1:97" x14ac:dyDescent="0.35">
      <c r="A280" s="8" t="s">
        <v>261</v>
      </c>
      <c r="B280" s="9" t="s">
        <v>288</v>
      </c>
      <c r="C280" s="9" t="s">
        <v>990</v>
      </c>
      <c r="D280" s="9">
        <f t="shared" si="4"/>
        <v>260</v>
      </c>
      <c r="E280" s="9">
        <v>1</v>
      </c>
      <c r="F280" s="9">
        <v>0</v>
      </c>
      <c r="G280" s="9">
        <v>0</v>
      </c>
      <c r="H280" s="9">
        <v>2</v>
      </c>
      <c r="I280" s="9">
        <v>0</v>
      </c>
      <c r="J280" s="9">
        <v>0</v>
      </c>
      <c r="K280" s="9">
        <v>0</v>
      </c>
      <c r="L280" s="9">
        <v>0</v>
      </c>
      <c r="M280" s="9">
        <v>1</v>
      </c>
      <c r="N280" s="9">
        <v>1</v>
      </c>
      <c r="O280" s="9">
        <v>0</v>
      </c>
      <c r="P280" s="9">
        <v>1</v>
      </c>
      <c r="Q280" s="9">
        <v>0</v>
      </c>
      <c r="R280" s="9">
        <v>1</v>
      </c>
      <c r="S280" s="9">
        <v>0</v>
      </c>
      <c r="T280" s="9">
        <v>2</v>
      </c>
      <c r="U280" s="9">
        <v>0</v>
      </c>
      <c r="V280" s="9">
        <v>0</v>
      </c>
      <c r="W280" s="9">
        <v>0</v>
      </c>
      <c r="X280" s="9">
        <v>0</v>
      </c>
      <c r="Y280" s="9">
        <v>0</v>
      </c>
      <c r="Z280" s="9">
        <v>0</v>
      </c>
      <c r="AA280" s="9">
        <v>1</v>
      </c>
      <c r="AB280" s="9">
        <v>2</v>
      </c>
      <c r="AC280" s="9">
        <v>1</v>
      </c>
      <c r="AD280" s="9">
        <v>2</v>
      </c>
      <c r="AE280" s="9">
        <v>2</v>
      </c>
      <c r="AF280" s="9">
        <v>4</v>
      </c>
      <c r="AG280" s="9">
        <v>1</v>
      </c>
      <c r="AH280" s="9">
        <v>0</v>
      </c>
      <c r="AI280" s="9">
        <v>0</v>
      </c>
      <c r="AJ280" s="9">
        <v>0</v>
      </c>
      <c r="AK280" s="9">
        <v>0</v>
      </c>
      <c r="AL280" s="9">
        <v>0</v>
      </c>
      <c r="AM280" s="9">
        <v>0</v>
      </c>
      <c r="AN280" s="9">
        <v>0</v>
      </c>
      <c r="AO280" s="9">
        <v>0</v>
      </c>
      <c r="AP280" s="9">
        <v>0</v>
      </c>
      <c r="AQ280" s="9">
        <v>0</v>
      </c>
      <c r="AR280" s="9">
        <v>2</v>
      </c>
      <c r="AS280" s="9">
        <v>1</v>
      </c>
      <c r="AT280" s="9">
        <v>0</v>
      </c>
      <c r="AU280" s="9">
        <v>4</v>
      </c>
      <c r="AV280" s="9">
        <v>0</v>
      </c>
      <c r="AW280" s="9">
        <v>0</v>
      </c>
      <c r="AX280" s="9">
        <v>3</v>
      </c>
      <c r="AY280" s="9">
        <v>2</v>
      </c>
      <c r="AZ280" s="9">
        <v>0</v>
      </c>
      <c r="BA280" s="9">
        <v>2</v>
      </c>
      <c r="BB280" s="9">
        <v>0</v>
      </c>
      <c r="BC280" s="9">
        <v>2</v>
      </c>
      <c r="BD280" s="9">
        <v>0</v>
      </c>
      <c r="BE280" s="9">
        <v>1</v>
      </c>
      <c r="BF280" s="9">
        <v>1</v>
      </c>
      <c r="BG280" s="9">
        <v>2</v>
      </c>
      <c r="BH280" s="9">
        <v>0</v>
      </c>
      <c r="BI280" s="9">
        <v>0</v>
      </c>
      <c r="BJ280" s="9">
        <v>3</v>
      </c>
      <c r="BK280" s="9">
        <v>1</v>
      </c>
      <c r="BL280" s="9">
        <v>3</v>
      </c>
      <c r="BM280" s="9">
        <v>4</v>
      </c>
      <c r="BN280" s="9">
        <v>2</v>
      </c>
      <c r="BO280" s="9">
        <v>2</v>
      </c>
      <c r="BP280" s="9">
        <v>0</v>
      </c>
      <c r="BQ280" s="9">
        <v>1</v>
      </c>
      <c r="BR280" s="9">
        <v>5</v>
      </c>
      <c r="BS280" s="9">
        <v>3</v>
      </c>
      <c r="BT280" s="9">
        <v>3</v>
      </c>
      <c r="BU280" s="9">
        <v>6</v>
      </c>
      <c r="BV280" s="9">
        <v>3</v>
      </c>
      <c r="BW280" s="9">
        <v>2</v>
      </c>
      <c r="BX280" s="9">
        <v>4</v>
      </c>
      <c r="BY280" s="9">
        <v>9</v>
      </c>
      <c r="BZ280" s="9">
        <v>6</v>
      </c>
      <c r="CA280" s="9">
        <v>0</v>
      </c>
      <c r="CB280" s="9">
        <v>7</v>
      </c>
      <c r="CC280" s="9">
        <v>4</v>
      </c>
      <c r="CD280" s="9">
        <v>10</v>
      </c>
      <c r="CE280" s="9">
        <v>3</v>
      </c>
      <c r="CF280" s="9">
        <v>4</v>
      </c>
      <c r="CG280" s="9">
        <v>4</v>
      </c>
      <c r="CH280" s="9">
        <v>3</v>
      </c>
      <c r="CI280" s="9">
        <v>11</v>
      </c>
      <c r="CJ280" s="9">
        <v>12</v>
      </c>
      <c r="CK280" s="9">
        <v>10</v>
      </c>
      <c r="CL280" s="9">
        <v>8</v>
      </c>
      <c r="CM280" s="9">
        <v>18</v>
      </c>
      <c r="CN280" s="9">
        <v>8</v>
      </c>
      <c r="CO280" s="9">
        <v>10</v>
      </c>
      <c r="CP280" s="9">
        <v>13</v>
      </c>
      <c r="CQ280" s="9">
        <v>12</v>
      </c>
      <c r="CR280" s="9">
        <v>13</v>
      </c>
      <c r="CS280" s="10">
        <v>11</v>
      </c>
    </row>
    <row r="281" spans="1:97" x14ac:dyDescent="0.35">
      <c r="A281" s="8" t="s">
        <v>261</v>
      </c>
      <c r="B281" s="9" t="s">
        <v>290</v>
      </c>
      <c r="C281" s="9" t="s">
        <v>991</v>
      </c>
      <c r="D281" s="9">
        <f t="shared" si="4"/>
        <v>8</v>
      </c>
      <c r="E281" s="9">
        <v>1</v>
      </c>
      <c r="F281" s="9">
        <v>0</v>
      </c>
      <c r="G281" s="9">
        <v>0</v>
      </c>
      <c r="H281" s="9">
        <v>0</v>
      </c>
      <c r="I281" s="9">
        <v>0</v>
      </c>
      <c r="J281" s="9">
        <v>1</v>
      </c>
      <c r="K281" s="9">
        <v>0</v>
      </c>
      <c r="L281" s="9">
        <v>0</v>
      </c>
      <c r="M281" s="9">
        <v>0</v>
      </c>
      <c r="N281" s="9">
        <v>0</v>
      </c>
      <c r="O281" s="9">
        <v>0</v>
      </c>
      <c r="P281" s="9">
        <v>0</v>
      </c>
      <c r="Q281" s="9">
        <v>0</v>
      </c>
      <c r="R281" s="9">
        <v>0</v>
      </c>
      <c r="S281" s="9">
        <v>0</v>
      </c>
      <c r="T281" s="9">
        <v>0</v>
      </c>
      <c r="U281" s="9">
        <v>0</v>
      </c>
      <c r="V281" s="9">
        <v>0</v>
      </c>
      <c r="W281" s="9">
        <v>0</v>
      </c>
      <c r="X281" s="9">
        <v>0</v>
      </c>
      <c r="Y281" s="9">
        <v>0</v>
      </c>
      <c r="Z281" s="9">
        <v>0</v>
      </c>
      <c r="AA281" s="9">
        <v>0</v>
      </c>
      <c r="AB281" s="9">
        <v>0</v>
      </c>
      <c r="AC281" s="9">
        <v>0</v>
      </c>
      <c r="AD281" s="9">
        <v>0</v>
      </c>
      <c r="AE281" s="9">
        <v>0</v>
      </c>
      <c r="AF281" s="9">
        <v>0</v>
      </c>
      <c r="AG281" s="9">
        <v>0</v>
      </c>
      <c r="AH281" s="9">
        <v>0</v>
      </c>
      <c r="AI281" s="9">
        <v>0</v>
      </c>
      <c r="AJ281" s="9">
        <v>0</v>
      </c>
      <c r="AK281" s="9">
        <v>0</v>
      </c>
      <c r="AL281" s="9">
        <v>0</v>
      </c>
      <c r="AM281" s="9">
        <v>0</v>
      </c>
      <c r="AN281" s="9">
        <v>0</v>
      </c>
      <c r="AO281" s="9">
        <v>0</v>
      </c>
      <c r="AP281" s="9">
        <v>0</v>
      </c>
      <c r="AQ281" s="9">
        <v>0</v>
      </c>
      <c r="AR281" s="9">
        <v>0</v>
      </c>
      <c r="AS281" s="9">
        <v>0</v>
      </c>
      <c r="AT281" s="9">
        <v>0</v>
      </c>
      <c r="AU281" s="9">
        <v>0</v>
      </c>
      <c r="AV281" s="9">
        <v>0</v>
      </c>
      <c r="AW281" s="9">
        <v>0</v>
      </c>
      <c r="AX281" s="9">
        <v>0</v>
      </c>
      <c r="AY281" s="9">
        <v>1</v>
      </c>
      <c r="AZ281" s="9">
        <v>1</v>
      </c>
      <c r="BA281" s="9">
        <v>0</v>
      </c>
      <c r="BB281" s="9">
        <v>0</v>
      </c>
      <c r="BC281" s="9">
        <v>0</v>
      </c>
      <c r="BD281" s="9">
        <v>0</v>
      </c>
      <c r="BE281" s="9">
        <v>0</v>
      </c>
      <c r="BF281" s="9">
        <v>0</v>
      </c>
      <c r="BG281" s="9">
        <v>0</v>
      </c>
      <c r="BH281" s="9">
        <v>0</v>
      </c>
      <c r="BI281" s="9">
        <v>0</v>
      </c>
      <c r="BJ281" s="9">
        <v>0</v>
      </c>
      <c r="BK281" s="9">
        <v>0</v>
      </c>
      <c r="BL281" s="9">
        <v>0</v>
      </c>
      <c r="BM281" s="9">
        <v>0</v>
      </c>
      <c r="BN281" s="9">
        <v>0</v>
      </c>
      <c r="BO281" s="9">
        <v>0</v>
      </c>
      <c r="BP281" s="9">
        <v>0</v>
      </c>
      <c r="BQ281" s="9">
        <v>0</v>
      </c>
      <c r="BR281" s="9">
        <v>0</v>
      </c>
      <c r="BS281" s="9">
        <v>0</v>
      </c>
      <c r="BT281" s="9">
        <v>0</v>
      </c>
      <c r="BU281" s="9">
        <v>0</v>
      </c>
      <c r="BV281" s="9">
        <v>0</v>
      </c>
      <c r="BW281" s="9">
        <v>0</v>
      </c>
      <c r="BX281" s="9">
        <v>0</v>
      </c>
      <c r="BY281" s="9">
        <v>0</v>
      </c>
      <c r="BZ281" s="9">
        <v>0</v>
      </c>
      <c r="CA281" s="9">
        <v>0</v>
      </c>
      <c r="CB281" s="9">
        <v>0</v>
      </c>
      <c r="CC281" s="9">
        <v>0</v>
      </c>
      <c r="CD281" s="9">
        <v>0</v>
      </c>
      <c r="CE281" s="9">
        <v>0</v>
      </c>
      <c r="CF281" s="9">
        <v>0</v>
      </c>
      <c r="CG281" s="9">
        <v>0</v>
      </c>
      <c r="CH281" s="9">
        <v>0</v>
      </c>
      <c r="CI281" s="9">
        <v>0</v>
      </c>
      <c r="CJ281" s="9">
        <v>0</v>
      </c>
      <c r="CK281" s="9">
        <v>0</v>
      </c>
      <c r="CL281" s="9">
        <v>0</v>
      </c>
      <c r="CM281" s="9">
        <v>0</v>
      </c>
      <c r="CN281" s="9">
        <v>0</v>
      </c>
      <c r="CO281" s="9">
        <v>0</v>
      </c>
      <c r="CP281" s="9">
        <v>0</v>
      </c>
      <c r="CQ281" s="9">
        <v>2</v>
      </c>
      <c r="CR281" s="9">
        <v>2</v>
      </c>
      <c r="CS281" s="10">
        <v>0</v>
      </c>
    </row>
    <row r="282" spans="1:97" x14ac:dyDescent="0.35">
      <c r="A282" s="8" t="s">
        <v>261</v>
      </c>
      <c r="B282" s="9" t="s">
        <v>292</v>
      </c>
      <c r="C282" s="9" t="s">
        <v>992</v>
      </c>
      <c r="D282" s="9">
        <f t="shared" si="4"/>
        <v>385</v>
      </c>
      <c r="E282" s="9">
        <v>0</v>
      </c>
      <c r="F282" s="9">
        <v>0</v>
      </c>
      <c r="G282" s="9">
        <v>0</v>
      </c>
      <c r="H282" s="9">
        <v>0</v>
      </c>
      <c r="I282" s="9">
        <v>0</v>
      </c>
      <c r="J282" s="9">
        <v>0</v>
      </c>
      <c r="K282" s="9">
        <v>0</v>
      </c>
      <c r="L282" s="9">
        <v>0</v>
      </c>
      <c r="M282" s="9">
        <v>0</v>
      </c>
      <c r="N282" s="9">
        <v>1</v>
      </c>
      <c r="O282" s="9">
        <v>0</v>
      </c>
      <c r="P282" s="9">
        <v>0</v>
      </c>
      <c r="Q282" s="9">
        <v>0</v>
      </c>
      <c r="R282" s="9">
        <v>0</v>
      </c>
      <c r="S282" s="9">
        <v>0</v>
      </c>
      <c r="T282" s="9">
        <v>0</v>
      </c>
      <c r="U282" s="9">
        <v>0</v>
      </c>
      <c r="V282" s="9">
        <v>0</v>
      </c>
      <c r="W282" s="9">
        <v>0</v>
      </c>
      <c r="X282" s="9">
        <v>0</v>
      </c>
      <c r="Y282" s="9">
        <v>0</v>
      </c>
      <c r="Z282" s="9">
        <v>0</v>
      </c>
      <c r="AA282" s="9">
        <v>0</v>
      </c>
      <c r="AB282" s="9">
        <v>0</v>
      </c>
      <c r="AC282" s="9">
        <v>0</v>
      </c>
      <c r="AD282" s="9">
        <v>0</v>
      </c>
      <c r="AE282" s="9">
        <v>0</v>
      </c>
      <c r="AF282" s="9">
        <v>0</v>
      </c>
      <c r="AG282" s="9">
        <v>0</v>
      </c>
      <c r="AH282" s="9">
        <v>0</v>
      </c>
      <c r="AI282" s="9">
        <v>1</v>
      </c>
      <c r="AJ282" s="9">
        <v>0</v>
      </c>
      <c r="AK282" s="9">
        <v>0</v>
      </c>
      <c r="AL282" s="9">
        <v>0</v>
      </c>
      <c r="AM282" s="9">
        <v>0</v>
      </c>
      <c r="AN282" s="9">
        <v>0</v>
      </c>
      <c r="AO282" s="9">
        <v>0</v>
      </c>
      <c r="AP282" s="9">
        <v>0</v>
      </c>
      <c r="AQ282" s="9">
        <v>0</v>
      </c>
      <c r="AR282" s="9">
        <v>0</v>
      </c>
      <c r="AS282" s="9">
        <v>0</v>
      </c>
      <c r="AT282" s="9">
        <v>0</v>
      </c>
      <c r="AU282" s="9">
        <v>0</v>
      </c>
      <c r="AV282" s="9">
        <v>0</v>
      </c>
      <c r="AW282" s="9">
        <v>0</v>
      </c>
      <c r="AX282" s="9">
        <v>1</v>
      </c>
      <c r="AY282" s="9">
        <v>0</v>
      </c>
      <c r="AZ282" s="9">
        <v>1</v>
      </c>
      <c r="BA282" s="9">
        <v>4</v>
      </c>
      <c r="BB282" s="9">
        <v>3</v>
      </c>
      <c r="BC282" s="9">
        <v>2</v>
      </c>
      <c r="BD282" s="9">
        <v>3</v>
      </c>
      <c r="BE282" s="9">
        <v>2</v>
      </c>
      <c r="BF282" s="9">
        <v>2</v>
      </c>
      <c r="BG282" s="9">
        <v>0</v>
      </c>
      <c r="BH282" s="9">
        <v>0</v>
      </c>
      <c r="BI282" s="9">
        <v>1</v>
      </c>
      <c r="BJ282" s="9">
        <v>2</v>
      </c>
      <c r="BK282" s="9">
        <v>4</v>
      </c>
      <c r="BL282" s="9">
        <v>1</v>
      </c>
      <c r="BM282" s="9">
        <v>3</v>
      </c>
      <c r="BN282" s="9">
        <v>0</v>
      </c>
      <c r="BO282" s="9">
        <v>0</v>
      </c>
      <c r="BP282" s="9">
        <v>4</v>
      </c>
      <c r="BQ282" s="9">
        <v>5</v>
      </c>
      <c r="BR282" s="9">
        <v>6</v>
      </c>
      <c r="BS282" s="9">
        <v>6</v>
      </c>
      <c r="BT282" s="9">
        <v>5</v>
      </c>
      <c r="BU282" s="9">
        <v>8</v>
      </c>
      <c r="BV282" s="9">
        <v>2</v>
      </c>
      <c r="BW282" s="9">
        <v>3</v>
      </c>
      <c r="BX282" s="9">
        <v>7</v>
      </c>
      <c r="BY282" s="9">
        <v>14</v>
      </c>
      <c r="BZ282" s="9">
        <v>16</v>
      </c>
      <c r="CA282" s="9">
        <v>3</v>
      </c>
      <c r="CB282" s="9">
        <v>9</v>
      </c>
      <c r="CC282" s="9">
        <v>4</v>
      </c>
      <c r="CD282" s="9">
        <v>13</v>
      </c>
      <c r="CE282" s="9">
        <v>14</v>
      </c>
      <c r="CF282" s="9">
        <v>10</v>
      </c>
      <c r="CG282" s="9">
        <v>14</v>
      </c>
      <c r="CH282" s="9">
        <v>11</v>
      </c>
      <c r="CI282" s="9">
        <v>11</v>
      </c>
      <c r="CJ282" s="9">
        <v>7</v>
      </c>
      <c r="CK282" s="9">
        <v>12</v>
      </c>
      <c r="CL282" s="9">
        <v>25</v>
      </c>
      <c r="CM282" s="9">
        <v>24</v>
      </c>
      <c r="CN282" s="9">
        <v>26</v>
      </c>
      <c r="CO282" s="9">
        <v>23</v>
      </c>
      <c r="CP282" s="9">
        <v>29</v>
      </c>
      <c r="CQ282" s="9">
        <v>9</v>
      </c>
      <c r="CR282" s="9">
        <v>14</v>
      </c>
      <c r="CS282" s="10">
        <v>20</v>
      </c>
    </row>
    <row r="283" spans="1:97" x14ac:dyDescent="0.35">
      <c r="A283" s="8" t="s">
        <v>261</v>
      </c>
      <c r="B283" s="9" t="s">
        <v>294</v>
      </c>
      <c r="C283" s="9" t="s">
        <v>993</v>
      </c>
      <c r="D283" s="9">
        <f t="shared" si="4"/>
        <v>314</v>
      </c>
      <c r="E283" s="9">
        <v>0</v>
      </c>
      <c r="F283" s="9">
        <v>2</v>
      </c>
      <c r="G283" s="9">
        <v>0</v>
      </c>
      <c r="H283" s="9">
        <v>0</v>
      </c>
      <c r="I283" s="9">
        <v>0</v>
      </c>
      <c r="J283" s="9">
        <v>0</v>
      </c>
      <c r="K283" s="9">
        <v>2</v>
      </c>
      <c r="L283" s="9">
        <v>0</v>
      </c>
      <c r="M283" s="9">
        <v>0</v>
      </c>
      <c r="N283" s="9">
        <v>0</v>
      </c>
      <c r="O283" s="9">
        <v>0</v>
      </c>
      <c r="P283" s="9">
        <v>1</v>
      </c>
      <c r="Q283" s="9">
        <v>1</v>
      </c>
      <c r="R283" s="9">
        <v>2</v>
      </c>
      <c r="S283" s="9">
        <v>1</v>
      </c>
      <c r="T283" s="9">
        <v>0</v>
      </c>
      <c r="U283" s="9">
        <v>0</v>
      </c>
      <c r="V283" s="9">
        <v>0</v>
      </c>
      <c r="W283" s="9">
        <v>0</v>
      </c>
      <c r="X283" s="9">
        <v>0</v>
      </c>
      <c r="Y283" s="9">
        <v>0</v>
      </c>
      <c r="Z283" s="9">
        <v>0</v>
      </c>
      <c r="AA283" s="9">
        <v>0</v>
      </c>
      <c r="AB283" s="9">
        <v>1</v>
      </c>
      <c r="AC283" s="9">
        <v>0</v>
      </c>
      <c r="AD283" s="9">
        <v>1</v>
      </c>
      <c r="AE283" s="9">
        <v>0</v>
      </c>
      <c r="AF283" s="9">
        <v>0</v>
      </c>
      <c r="AG283" s="9">
        <v>0</v>
      </c>
      <c r="AH283" s="9">
        <v>0</v>
      </c>
      <c r="AI283" s="9">
        <v>0</v>
      </c>
      <c r="AJ283" s="9">
        <v>0</v>
      </c>
      <c r="AK283" s="9">
        <v>0</v>
      </c>
      <c r="AL283" s="9">
        <v>0</v>
      </c>
      <c r="AM283" s="9">
        <v>0</v>
      </c>
      <c r="AN283" s="9">
        <v>0</v>
      </c>
      <c r="AO283" s="9">
        <v>0</v>
      </c>
      <c r="AP283" s="9">
        <v>1</v>
      </c>
      <c r="AQ283" s="9">
        <v>0</v>
      </c>
      <c r="AR283" s="9">
        <v>0</v>
      </c>
      <c r="AS283" s="9">
        <v>0</v>
      </c>
      <c r="AT283" s="9">
        <v>0</v>
      </c>
      <c r="AU283" s="9">
        <v>1</v>
      </c>
      <c r="AV283" s="9">
        <v>0</v>
      </c>
      <c r="AW283" s="9">
        <v>2</v>
      </c>
      <c r="AX283" s="9">
        <v>0</v>
      </c>
      <c r="AY283" s="9">
        <v>3</v>
      </c>
      <c r="AZ283" s="9">
        <v>0</v>
      </c>
      <c r="BA283" s="9">
        <v>2</v>
      </c>
      <c r="BB283" s="9">
        <v>4</v>
      </c>
      <c r="BC283" s="9">
        <v>1</v>
      </c>
      <c r="BD283" s="9">
        <v>2</v>
      </c>
      <c r="BE283" s="9">
        <v>3</v>
      </c>
      <c r="BF283" s="9">
        <v>2</v>
      </c>
      <c r="BG283" s="9">
        <v>4</v>
      </c>
      <c r="BH283" s="9">
        <v>5</v>
      </c>
      <c r="BI283" s="9">
        <v>2</v>
      </c>
      <c r="BJ283" s="9">
        <v>3</v>
      </c>
      <c r="BK283" s="9">
        <v>2</v>
      </c>
      <c r="BL283" s="9">
        <v>3</v>
      </c>
      <c r="BM283" s="9">
        <v>4</v>
      </c>
      <c r="BN283" s="9">
        <v>1</v>
      </c>
      <c r="BO283" s="9">
        <v>1</v>
      </c>
      <c r="BP283" s="9">
        <v>2</v>
      </c>
      <c r="BQ283" s="9">
        <v>4</v>
      </c>
      <c r="BR283" s="9">
        <v>1</v>
      </c>
      <c r="BS283" s="9">
        <v>4</v>
      </c>
      <c r="BT283" s="9">
        <v>2</v>
      </c>
      <c r="BU283" s="9">
        <v>4</v>
      </c>
      <c r="BV283" s="9">
        <v>3</v>
      </c>
      <c r="BW283" s="9">
        <v>3</v>
      </c>
      <c r="BX283" s="9">
        <v>6</v>
      </c>
      <c r="BY283" s="9">
        <v>2</v>
      </c>
      <c r="BZ283" s="9">
        <v>2</v>
      </c>
      <c r="CA283" s="9">
        <v>4</v>
      </c>
      <c r="CB283" s="9">
        <v>7</v>
      </c>
      <c r="CC283" s="9">
        <v>4</v>
      </c>
      <c r="CD283" s="9">
        <v>9</v>
      </c>
      <c r="CE283" s="9">
        <v>9</v>
      </c>
      <c r="CF283" s="9">
        <v>12</v>
      </c>
      <c r="CG283" s="9">
        <v>8</v>
      </c>
      <c r="CH283" s="9">
        <v>5</v>
      </c>
      <c r="CI283" s="9">
        <v>9</v>
      </c>
      <c r="CJ283" s="9">
        <v>19</v>
      </c>
      <c r="CK283" s="9">
        <v>14</v>
      </c>
      <c r="CL283" s="9">
        <v>19</v>
      </c>
      <c r="CM283" s="9">
        <v>12</v>
      </c>
      <c r="CN283" s="9">
        <v>17</v>
      </c>
      <c r="CO283" s="9">
        <v>22</v>
      </c>
      <c r="CP283" s="9">
        <v>14</v>
      </c>
      <c r="CQ283" s="9">
        <v>11</v>
      </c>
      <c r="CR283" s="9">
        <v>12</v>
      </c>
      <c r="CS283" s="10">
        <v>17</v>
      </c>
    </row>
    <row r="284" spans="1:97" x14ac:dyDescent="0.35">
      <c r="A284" s="8" t="s">
        <v>261</v>
      </c>
      <c r="B284" s="9" t="s">
        <v>296</v>
      </c>
      <c r="C284" s="9" t="s">
        <v>994</v>
      </c>
      <c r="D284" s="9">
        <f t="shared" si="4"/>
        <v>11</v>
      </c>
      <c r="E284" s="9">
        <v>0</v>
      </c>
      <c r="F284" s="9">
        <v>0</v>
      </c>
      <c r="G284" s="9">
        <v>0</v>
      </c>
      <c r="H284" s="9">
        <v>0</v>
      </c>
      <c r="I284" s="9">
        <v>0</v>
      </c>
      <c r="J284" s="9">
        <v>0</v>
      </c>
      <c r="K284" s="9">
        <v>0</v>
      </c>
      <c r="L284" s="9">
        <v>0</v>
      </c>
      <c r="M284" s="9">
        <v>0</v>
      </c>
      <c r="N284" s="9">
        <v>0</v>
      </c>
      <c r="O284" s="9">
        <v>0</v>
      </c>
      <c r="P284" s="9">
        <v>0</v>
      </c>
      <c r="Q284" s="9">
        <v>0</v>
      </c>
      <c r="R284" s="9">
        <v>0</v>
      </c>
      <c r="S284" s="9">
        <v>0</v>
      </c>
      <c r="T284" s="9">
        <v>0</v>
      </c>
      <c r="U284" s="9">
        <v>0</v>
      </c>
      <c r="V284" s="9">
        <v>0</v>
      </c>
      <c r="W284" s="9">
        <v>0</v>
      </c>
      <c r="X284" s="9">
        <v>0</v>
      </c>
      <c r="Y284" s="9">
        <v>0</v>
      </c>
      <c r="Z284" s="9">
        <v>0</v>
      </c>
      <c r="AA284" s="9">
        <v>0</v>
      </c>
      <c r="AB284" s="9">
        <v>0</v>
      </c>
      <c r="AC284" s="9">
        <v>0</v>
      </c>
      <c r="AD284" s="9">
        <v>0</v>
      </c>
      <c r="AE284" s="9">
        <v>0</v>
      </c>
      <c r="AF284" s="9">
        <v>0</v>
      </c>
      <c r="AG284" s="9">
        <v>0</v>
      </c>
      <c r="AH284" s="9">
        <v>0</v>
      </c>
      <c r="AI284" s="9">
        <v>0</v>
      </c>
      <c r="AJ284" s="9">
        <v>0</v>
      </c>
      <c r="AK284" s="9">
        <v>0</v>
      </c>
      <c r="AL284" s="9">
        <v>0</v>
      </c>
      <c r="AM284" s="9">
        <v>0</v>
      </c>
      <c r="AN284" s="9">
        <v>0</v>
      </c>
      <c r="AO284" s="9">
        <v>0</v>
      </c>
      <c r="AP284" s="9">
        <v>0</v>
      </c>
      <c r="AQ284" s="9">
        <v>0</v>
      </c>
      <c r="AR284" s="9">
        <v>0</v>
      </c>
      <c r="AS284" s="9">
        <v>0</v>
      </c>
      <c r="AT284" s="9">
        <v>0</v>
      </c>
      <c r="AU284" s="9">
        <v>0</v>
      </c>
      <c r="AV284" s="9">
        <v>0</v>
      </c>
      <c r="AW284" s="9">
        <v>0</v>
      </c>
      <c r="AX284" s="9">
        <v>0</v>
      </c>
      <c r="AY284" s="9">
        <v>0</v>
      </c>
      <c r="AZ284" s="9">
        <v>0</v>
      </c>
      <c r="BA284" s="9">
        <v>0</v>
      </c>
      <c r="BB284" s="9">
        <v>0</v>
      </c>
      <c r="BC284" s="9">
        <v>0</v>
      </c>
      <c r="BD284" s="9">
        <v>0</v>
      </c>
      <c r="BE284" s="9">
        <v>0</v>
      </c>
      <c r="BF284" s="9">
        <v>0</v>
      </c>
      <c r="BG284" s="9">
        <v>0</v>
      </c>
      <c r="BH284" s="9">
        <v>0</v>
      </c>
      <c r="BI284" s="9">
        <v>0</v>
      </c>
      <c r="BJ284" s="9">
        <v>0</v>
      </c>
      <c r="BK284" s="9">
        <v>0</v>
      </c>
      <c r="BL284" s="9">
        <v>0</v>
      </c>
      <c r="BM284" s="9">
        <v>0</v>
      </c>
      <c r="BN284" s="9">
        <v>0</v>
      </c>
      <c r="BO284" s="9">
        <v>0</v>
      </c>
      <c r="BP284" s="9">
        <v>0</v>
      </c>
      <c r="BQ284" s="9">
        <v>0</v>
      </c>
      <c r="BR284" s="9">
        <v>0</v>
      </c>
      <c r="BS284" s="9">
        <v>0</v>
      </c>
      <c r="BT284" s="9">
        <v>0</v>
      </c>
      <c r="BU284" s="9">
        <v>0</v>
      </c>
      <c r="BV284" s="9">
        <v>0</v>
      </c>
      <c r="BW284" s="9">
        <v>0</v>
      </c>
      <c r="BX284" s="9">
        <v>0</v>
      </c>
      <c r="BY284" s="9">
        <v>0</v>
      </c>
      <c r="BZ284" s="9">
        <v>0</v>
      </c>
      <c r="CA284" s="9">
        <v>0</v>
      </c>
      <c r="CB284" s="9">
        <v>0</v>
      </c>
      <c r="CC284" s="9">
        <v>0</v>
      </c>
      <c r="CD284" s="9">
        <v>0</v>
      </c>
      <c r="CE284" s="9">
        <v>1</v>
      </c>
      <c r="CF284" s="9">
        <v>2</v>
      </c>
      <c r="CG284" s="9">
        <v>2</v>
      </c>
      <c r="CH284" s="9">
        <v>1</v>
      </c>
      <c r="CI284" s="9">
        <v>0</v>
      </c>
      <c r="CJ284" s="9">
        <v>0</v>
      </c>
      <c r="CK284" s="9">
        <v>0</v>
      </c>
      <c r="CL284" s="9">
        <v>0</v>
      </c>
      <c r="CM284" s="9">
        <v>0</v>
      </c>
      <c r="CN284" s="9">
        <v>0</v>
      </c>
      <c r="CO284" s="9">
        <v>1</v>
      </c>
      <c r="CP284" s="9">
        <v>1</v>
      </c>
      <c r="CQ284" s="9">
        <v>1</v>
      </c>
      <c r="CR284" s="9">
        <v>1</v>
      </c>
      <c r="CS284" s="10">
        <v>1</v>
      </c>
    </row>
    <row r="285" spans="1:97" x14ac:dyDescent="0.35">
      <c r="A285" s="8" t="s">
        <v>261</v>
      </c>
      <c r="B285" s="9" t="s">
        <v>298</v>
      </c>
      <c r="C285" s="9" t="s">
        <v>995</v>
      </c>
      <c r="D285" s="9">
        <f t="shared" si="4"/>
        <v>629</v>
      </c>
      <c r="E285" s="9">
        <v>0</v>
      </c>
      <c r="F285" s="9">
        <v>1</v>
      </c>
      <c r="G285" s="9">
        <v>2</v>
      </c>
      <c r="H285" s="9">
        <v>0</v>
      </c>
      <c r="I285" s="9">
        <v>0</v>
      </c>
      <c r="J285" s="9">
        <v>1</v>
      </c>
      <c r="K285" s="9">
        <v>0</v>
      </c>
      <c r="L285" s="9">
        <v>0</v>
      </c>
      <c r="M285" s="9">
        <v>1</v>
      </c>
      <c r="N285" s="9">
        <v>1</v>
      </c>
      <c r="O285" s="9">
        <v>3</v>
      </c>
      <c r="P285" s="9">
        <v>1</v>
      </c>
      <c r="Q285" s="9">
        <v>1</v>
      </c>
      <c r="R285" s="9">
        <v>0</v>
      </c>
      <c r="S285" s="9">
        <v>0</v>
      </c>
      <c r="T285" s="9">
        <v>1</v>
      </c>
      <c r="U285" s="9">
        <v>0</v>
      </c>
      <c r="V285" s="9">
        <v>1</v>
      </c>
      <c r="W285" s="9">
        <v>1</v>
      </c>
      <c r="X285" s="9">
        <v>0</v>
      </c>
      <c r="Y285" s="9">
        <v>0</v>
      </c>
      <c r="Z285" s="9">
        <v>0</v>
      </c>
      <c r="AA285" s="9">
        <v>0</v>
      </c>
      <c r="AB285" s="9">
        <v>1</v>
      </c>
      <c r="AC285" s="9">
        <v>0</v>
      </c>
      <c r="AD285" s="9">
        <v>0</v>
      </c>
      <c r="AE285" s="9">
        <v>0</v>
      </c>
      <c r="AF285" s="9">
        <v>0</v>
      </c>
      <c r="AG285" s="9">
        <v>2</v>
      </c>
      <c r="AH285" s="9">
        <v>1</v>
      </c>
      <c r="AI285" s="9">
        <v>0</v>
      </c>
      <c r="AJ285" s="9">
        <v>0</v>
      </c>
      <c r="AK285" s="9">
        <v>0</v>
      </c>
      <c r="AL285" s="9">
        <v>1</v>
      </c>
      <c r="AM285" s="9">
        <v>0</v>
      </c>
      <c r="AN285" s="9">
        <v>0</v>
      </c>
      <c r="AO285" s="9">
        <v>2</v>
      </c>
      <c r="AP285" s="9">
        <v>1</v>
      </c>
      <c r="AQ285" s="9">
        <v>1</v>
      </c>
      <c r="AR285" s="9">
        <v>2</v>
      </c>
      <c r="AS285" s="9">
        <v>1</v>
      </c>
      <c r="AT285" s="9">
        <v>1</v>
      </c>
      <c r="AU285" s="9">
        <v>2</v>
      </c>
      <c r="AV285" s="9">
        <v>1</v>
      </c>
      <c r="AW285" s="9">
        <v>5</v>
      </c>
      <c r="AX285" s="9">
        <v>5</v>
      </c>
      <c r="AY285" s="9">
        <v>2</v>
      </c>
      <c r="AZ285" s="9">
        <v>2</v>
      </c>
      <c r="BA285" s="9">
        <v>4</v>
      </c>
      <c r="BB285" s="9">
        <v>0</v>
      </c>
      <c r="BC285" s="9">
        <v>3</v>
      </c>
      <c r="BD285" s="9">
        <v>4</v>
      </c>
      <c r="BE285" s="9">
        <v>2</v>
      </c>
      <c r="BF285" s="9">
        <v>4</v>
      </c>
      <c r="BG285" s="9">
        <v>2</v>
      </c>
      <c r="BH285" s="9">
        <v>3</v>
      </c>
      <c r="BI285" s="9">
        <v>4</v>
      </c>
      <c r="BJ285" s="9">
        <v>9</v>
      </c>
      <c r="BK285" s="9">
        <v>3</v>
      </c>
      <c r="BL285" s="9">
        <v>7</v>
      </c>
      <c r="BM285" s="9">
        <v>3</v>
      </c>
      <c r="BN285" s="9">
        <v>6</v>
      </c>
      <c r="BO285" s="9">
        <v>10</v>
      </c>
      <c r="BP285" s="9">
        <v>3</v>
      </c>
      <c r="BQ285" s="9">
        <v>18</v>
      </c>
      <c r="BR285" s="9">
        <v>7</v>
      </c>
      <c r="BS285" s="9">
        <v>9</v>
      </c>
      <c r="BT285" s="9">
        <v>12</v>
      </c>
      <c r="BU285" s="9">
        <v>11</v>
      </c>
      <c r="BV285" s="9">
        <v>10</v>
      </c>
      <c r="BW285" s="9">
        <v>7</v>
      </c>
      <c r="BX285" s="9">
        <v>12</v>
      </c>
      <c r="BY285" s="9">
        <v>13</v>
      </c>
      <c r="BZ285" s="9">
        <v>27</v>
      </c>
      <c r="CA285" s="9">
        <v>14</v>
      </c>
      <c r="CB285" s="9">
        <v>21</v>
      </c>
      <c r="CC285" s="9">
        <v>13</v>
      </c>
      <c r="CD285" s="9">
        <v>12</v>
      </c>
      <c r="CE285" s="9">
        <v>17</v>
      </c>
      <c r="CF285" s="9">
        <v>13</v>
      </c>
      <c r="CG285" s="9">
        <v>22</v>
      </c>
      <c r="CH285" s="9">
        <v>30</v>
      </c>
      <c r="CI285" s="9">
        <v>16</v>
      </c>
      <c r="CJ285" s="9">
        <v>23</v>
      </c>
      <c r="CK285" s="9">
        <v>24</v>
      </c>
      <c r="CL285" s="9">
        <v>27</v>
      </c>
      <c r="CM285" s="9">
        <v>23</v>
      </c>
      <c r="CN285" s="9">
        <v>25</v>
      </c>
      <c r="CO285" s="9">
        <v>34</v>
      </c>
      <c r="CP285" s="9">
        <v>31</v>
      </c>
      <c r="CQ285" s="9">
        <v>6</v>
      </c>
      <c r="CR285" s="9">
        <v>23</v>
      </c>
      <c r="CS285" s="10">
        <v>18</v>
      </c>
    </row>
    <row r="286" spans="1:97" x14ac:dyDescent="0.35">
      <c r="A286" s="8" t="s">
        <v>261</v>
      </c>
      <c r="B286" s="9" t="s">
        <v>300</v>
      </c>
      <c r="C286" s="9" t="s">
        <v>996</v>
      </c>
      <c r="D286" s="9">
        <f t="shared" si="4"/>
        <v>224</v>
      </c>
      <c r="E286" s="9">
        <v>0</v>
      </c>
      <c r="F286" s="9">
        <v>0</v>
      </c>
      <c r="G286" s="9">
        <v>0</v>
      </c>
      <c r="H286" s="9">
        <v>0</v>
      </c>
      <c r="I286" s="9">
        <v>0</v>
      </c>
      <c r="J286" s="9">
        <v>0</v>
      </c>
      <c r="K286" s="9">
        <v>0</v>
      </c>
      <c r="L286" s="9">
        <v>1</v>
      </c>
      <c r="M286" s="9">
        <v>1</v>
      </c>
      <c r="N286" s="9">
        <v>0</v>
      </c>
      <c r="O286" s="9">
        <v>0</v>
      </c>
      <c r="P286" s="9">
        <v>0</v>
      </c>
      <c r="Q286" s="9">
        <v>0</v>
      </c>
      <c r="R286" s="9">
        <v>0</v>
      </c>
      <c r="S286" s="9">
        <v>0</v>
      </c>
      <c r="T286" s="9">
        <v>0</v>
      </c>
      <c r="U286" s="9">
        <v>0</v>
      </c>
      <c r="V286" s="9">
        <v>0</v>
      </c>
      <c r="W286" s="9">
        <v>0</v>
      </c>
      <c r="X286" s="9">
        <v>0</v>
      </c>
      <c r="Y286" s="9">
        <v>1</v>
      </c>
      <c r="Z286" s="9">
        <v>1</v>
      </c>
      <c r="AA286" s="9">
        <v>0</v>
      </c>
      <c r="AB286" s="9">
        <v>1</v>
      </c>
      <c r="AC286" s="9">
        <v>1</v>
      </c>
      <c r="AD286" s="9">
        <v>1</v>
      </c>
      <c r="AE286" s="9">
        <v>0</v>
      </c>
      <c r="AF286" s="9">
        <v>0</v>
      </c>
      <c r="AG286" s="9">
        <v>0</v>
      </c>
      <c r="AH286" s="9">
        <v>0</v>
      </c>
      <c r="AI286" s="9">
        <v>0</v>
      </c>
      <c r="AJ286" s="9">
        <v>0</v>
      </c>
      <c r="AK286" s="9">
        <v>0</v>
      </c>
      <c r="AL286" s="9">
        <v>0</v>
      </c>
      <c r="AM286" s="9">
        <v>0</v>
      </c>
      <c r="AN286" s="9">
        <v>0</v>
      </c>
      <c r="AO286" s="9">
        <v>0</v>
      </c>
      <c r="AP286" s="9">
        <v>0</v>
      </c>
      <c r="AQ286" s="9">
        <v>2</v>
      </c>
      <c r="AR286" s="9">
        <v>1</v>
      </c>
      <c r="AS286" s="9">
        <v>1</v>
      </c>
      <c r="AT286" s="9">
        <v>1</v>
      </c>
      <c r="AU286" s="9">
        <v>1</v>
      </c>
      <c r="AV286" s="9">
        <v>0</v>
      </c>
      <c r="AW286" s="9">
        <v>0</v>
      </c>
      <c r="AX286" s="9">
        <v>0</v>
      </c>
      <c r="AY286" s="9">
        <v>3</v>
      </c>
      <c r="AZ286" s="9">
        <v>1</v>
      </c>
      <c r="BA286" s="9">
        <v>0</v>
      </c>
      <c r="BB286" s="9">
        <v>0</v>
      </c>
      <c r="BC286" s="9">
        <v>0</v>
      </c>
      <c r="BD286" s="9">
        <v>0</v>
      </c>
      <c r="BE286" s="9">
        <v>1</v>
      </c>
      <c r="BF286" s="9">
        <v>0</v>
      </c>
      <c r="BG286" s="9">
        <v>3</v>
      </c>
      <c r="BH286" s="9">
        <v>1</v>
      </c>
      <c r="BI286" s="9">
        <v>2</v>
      </c>
      <c r="BJ286" s="9">
        <v>1</v>
      </c>
      <c r="BK286" s="9">
        <v>0</v>
      </c>
      <c r="BL286" s="9">
        <v>2</v>
      </c>
      <c r="BM286" s="9">
        <v>1</v>
      </c>
      <c r="BN286" s="9">
        <v>3</v>
      </c>
      <c r="BO286" s="9">
        <v>5</v>
      </c>
      <c r="BP286" s="9">
        <v>1</v>
      </c>
      <c r="BQ286" s="9">
        <v>5</v>
      </c>
      <c r="BR286" s="9">
        <v>6</v>
      </c>
      <c r="BS286" s="9">
        <v>6</v>
      </c>
      <c r="BT286" s="9">
        <v>4</v>
      </c>
      <c r="BU286" s="9">
        <v>6</v>
      </c>
      <c r="BV286" s="9">
        <v>4</v>
      </c>
      <c r="BW286" s="9">
        <v>2</v>
      </c>
      <c r="BX286" s="9">
        <v>6</v>
      </c>
      <c r="BY286" s="9">
        <v>5</v>
      </c>
      <c r="BZ286" s="9">
        <v>3</v>
      </c>
      <c r="CA286" s="9">
        <v>6</v>
      </c>
      <c r="CB286" s="9">
        <v>4</v>
      </c>
      <c r="CC286" s="9">
        <v>5</v>
      </c>
      <c r="CD286" s="9">
        <v>6</v>
      </c>
      <c r="CE286" s="9">
        <v>7</v>
      </c>
      <c r="CF286" s="9">
        <v>6</v>
      </c>
      <c r="CG286" s="9">
        <v>8</v>
      </c>
      <c r="CH286" s="9">
        <v>4</v>
      </c>
      <c r="CI286" s="9">
        <v>8</v>
      </c>
      <c r="CJ286" s="9">
        <v>10</v>
      </c>
      <c r="CK286" s="9">
        <v>5</v>
      </c>
      <c r="CL286" s="9">
        <v>5</v>
      </c>
      <c r="CM286" s="9">
        <v>8</v>
      </c>
      <c r="CN286" s="9">
        <v>11</v>
      </c>
      <c r="CO286" s="9">
        <v>15</v>
      </c>
      <c r="CP286" s="9">
        <v>15</v>
      </c>
      <c r="CQ286" s="9">
        <v>3</v>
      </c>
      <c r="CR286" s="9">
        <v>8</v>
      </c>
      <c r="CS286" s="10">
        <v>6</v>
      </c>
    </row>
    <row r="287" spans="1:97" x14ac:dyDescent="0.35">
      <c r="A287" s="8" t="s">
        <v>261</v>
      </c>
      <c r="B287" s="9" t="s">
        <v>302</v>
      </c>
      <c r="C287" s="9" t="s">
        <v>997</v>
      </c>
      <c r="D287" s="9">
        <f t="shared" si="4"/>
        <v>99</v>
      </c>
      <c r="E287" s="9">
        <v>1</v>
      </c>
      <c r="F287" s="9">
        <v>1</v>
      </c>
      <c r="G287" s="9">
        <v>6</v>
      </c>
      <c r="H287" s="9">
        <v>1</v>
      </c>
      <c r="I287" s="9">
        <v>2</v>
      </c>
      <c r="J287" s="9">
        <v>1</v>
      </c>
      <c r="K287" s="9">
        <v>0</v>
      </c>
      <c r="L287" s="9">
        <v>0</v>
      </c>
      <c r="M287" s="9">
        <v>0</v>
      </c>
      <c r="N287" s="9">
        <v>0</v>
      </c>
      <c r="O287" s="9">
        <v>0</v>
      </c>
      <c r="P287" s="9">
        <v>2</v>
      </c>
      <c r="Q287" s="9">
        <v>0</v>
      </c>
      <c r="R287" s="9">
        <v>1</v>
      </c>
      <c r="S287" s="9">
        <v>0</v>
      </c>
      <c r="T287" s="9">
        <v>0</v>
      </c>
      <c r="U287" s="9">
        <v>0</v>
      </c>
      <c r="V287" s="9">
        <v>2</v>
      </c>
      <c r="W287" s="9">
        <v>0</v>
      </c>
      <c r="X287" s="9">
        <v>0</v>
      </c>
      <c r="Y287" s="9">
        <v>0</v>
      </c>
      <c r="Z287" s="9">
        <v>0</v>
      </c>
      <c r="AA287" s="9">
        <v>1</v>
      </c>
      <c r="AB287" s="9">
        <v>1</v>
      </c>
      <c r="AC287" s="9">
        <v>1</v>
      </c>
      <c r="AD287" s="9">
        <v>0</v>
      </c>
      <c r="AE287" s="9">
        <v>0</v>
      </c>
      <c r="AF287" s="9">
        <v>0</v>
      </c>
      <c r="AG287" s="9">
        <v>0</v>
      </c>
      <c r="AH287" s="9">
        <v>0</v>
      </c>
      <c r="AI287" s="9">
        <v>0</v>
      </c>
      <c r="AJ287" s="9">
        <v>0</v>
      </c>
      <c r="AK287" s="9">
        <v>0</v>
      </c>
      <c r="AL287" s="9">
        <v>0</v>
      </c>
      <c r="AM287" s="9">
        <v>0</v>
      </c>
      <c r="AN287" s="9">
        <v>0</v>
      </c>
      <c r="AO287" s="9">
        <v>0</v>
      </c>
      <c r="AP287" s="9">
        <v>0</v>
      </c>
      <c r="AQ287" s="9">
        <v>0</v>
      </c>
      <c r="AR287" s="9">
        <v>0</v>
      </c>
      <c r="AS287" s="9">
        <v>0</v>
      </c>
      <c r="AT287" s="9">
        <v>0</v>
      </c>
      <c r="AU287" s="9">
        <v>0</v>
      </c>
      <c r="AV287" s="9">
        <v>0</v>
      </c>
      <c r="AW287" s="9">
        <v>0</v>
      </c>
      <c r="AX287" s="9">
        <v>0</v>
      </c>
      <c r="AY287" s="9">
        <v>0</v>
      </c>
      <c r="AZ287" s="9">
        <v>0</v>
      </c>
      <c r="BA287" s="9">
        <v>0</v>
      </c>
      <c r="BB287" s="9">
        <v>0</v>
      </c>
      <c r="BC287" s="9">
        <v>0</v>
      </c>
      <c r="BD287" s="9">
        <v>0</v>
      </c>
      <c r="BE287" s="9">
        <v>0</v>
      </c>
      <c r="BF287" s="9">
        <v>0</v>
      </c>
      <c r="BG287" s="9">
        <v>0</v>
      </c>
      <c r="BH287" s="9">
        <v>0</v>
      </c>
      <c r="BI287" s="9">
        <v>0</v>
      </c>
      <c r="BJ287" s="9">
        <v>1</v>
      </c>
      <c r="BK287" s="9">
        <v>1</v>
      </c>
      <c r="BL287" s="9">
        <v>1</v>
      </c>
      <c r="BM287" s="9">
        <v>0</v>
      </c>
      <c r="BN287" s="9">
        <v>4</v>
      </c>
      <c r="BO287" s="9">
        <v>1</v>
      </c>
      <c r="BP287" s="9">
        <v>1</v>
      </c>
      <c r="BQ287" s="9">
        <v>1</v>
      </c>
      <c r="BR287" s="9">
        <v>0</v>
      </c>
      <c r="BS287" s="9">
        <v>0</v>
      </c>
      <c r="BT287" s="9">
        <v>0</v>
      </c>
      <c r="BU287" s="9">
        <v>0</v>
      </c>
      <c r="BV287" s="9">
        <v>0</v>
      </c>
      <c r="BW287" s="9">
        <v>0</v>
      </c>
      <c r="BX287" s="9">
        <v>1</v>
      </c>
      <c r="BY287" s="9">
        <v>3</v>
      </c>
      <c r="BZ287" s="9">
        <v>0</v>
      </c>
      <c r="CA287" s="9">
        <v>0</v>
      </c>
      <c r="CB287" s="9">
        <v>2</v>
      </c>
      <c r="CC287" s="9">
        <v>4</v>
      </c>
      <c r="CD287" s="9">
        <v>1</v>
      </c>
      <c r="CE287" s="9">
        <v>5</v>
      </c>
      <c r="CF287" s="9">
        <v>4</v>
      </c>
      <c r="CG287" s="9">
        <v>5</v>
      </c>
      <c r="CH287" s="9">
        <v>1</v>
      </c>
      <c r="CI287" s="9">
        <v>0</v>
      </c>
      <c r="CJ287" s="9">
        <v>2</v>
      </c>
      <c r="CK287" s="9">
        <v>2</v>
      </c>
      <c r="CL287" s="9">
        <v>4</v>
      </c>
      <c r="CM287" s="9">
        <v>5</v>
      </c>
      <c r="CN287" s="9">
        <v>4</v>
      </c>
      <c r="CO287" s="9">
        <v>5</v>
      </c>
      <c r="CP287" s="9">
        <v>2</v>
      </c>
      <c r="CQ287" s="9">
        <v>3</v>
      </c>
      <c r="CR287" s="9">
        <v>8</v>
      </c>
      <c r="CS287" s="10">
        <v>8</v>
      </c>
    </row>
    <row r="288" spans="1:97" x14ac:dyDescent="0.35">
      <c r="A288" s="8" t="s">
        <v>261</v>
      </c>
      <c r="B288" s="9" t="s">
        <v>304</v>
      </c>
      <c r="C288" s="9" t="s">
        <v>998</v>
      </c>
      <c r="D288" s="9">
        <f t="shared" si="4"/>
        <v>502</v>
      </c>
      <c r="E288" s="9">
        <v>0</v>
      </c>
      <c r="F288" s="9">
        <v>0</v>
      </c>
      <c r="G288" s="9">
        <v>1</v>
      </c>
      <c r="H288" s="9">
        <v>0</v>
      </c>
      <c r="I288" s="9">
        <v>0</v>
      </c>
      <c r="J288" s="9">
        <v>0</v>
      </c>
      <c r="K288" s="9">
        <v>1</v>
      </c>
      <c r="L288" s="9">
        <v>0</v>
      </c>
      <c r="M288" s="9">
        <v>2</v>
      </c>
      <c r="N288" s="9">
        <v>0</v>
      </c>
      <c r="O288" s="9">
        <v>1</v>
      </c>
      <c r="P288" s="9">
        <v>0</v>
      </c>
      <c r="Q288" s="9">
        <v>0</v>
      </c>
      <c r="R288" s="9">
        <v>0</v>
      </c>
      <c r="S288" s="9">
        <v>0</v>
      </c>
      <c r="T288" s="9">
        <v>0</v>
      </c>
      <c r="U288" s="9">
        <v>0</v>
      </c>
      <c r="V288" s="9">
        <v>0</v>
      </c>
      <c r="W288" s="9">
        <v>0</v>
      </c>
      <c r="X288" s="9">
        <v>0</v>
      </c>
      <c r="Y288" s="9">
        <v>0</v>
      </c>
      <c r="Z288" s="9">
        <v>0</v>
      </c>
      <c r="AA288" s="9">
        <v>0</v>
      </c>
      <c r="AB288" s="9">
        <v>0</v>
      </c>
      <c r="AC288" s="9">
        <v>0</v>
      </c>
      <c r="AD288" s="9">
        <v>0</v>
      </c>
      <c r="AE288" s="9">
        <v>0</v>
      </c>
      <c r="AF288" s="9">
        <v>0</v>
      </c>
      <c r="AG288" s="9">
        <v>0</v>
      </c>
      <c r="AH288" s="9">
        <v>0</v>
      </c>
      <c r="AI288" s="9">
        <v>1</v>
      </c>
      <c r="AJ288" s="9">
        <v>0</v>
      </c>
      <c r="AK288" s="9">
        <v>0</v>
      </c>
      <c r="AL288" s="9">
        <v>0</v>
      </c>
      <c r="AM288" s="9">
        <v>0</v>
      </c>
      <c r="AN288" s="9">
        <v>0</v>
      </c>
      <c r="AO288" s="9">
        <v>0</v>
      </c>
      <c r="AP288" s="9">
        <v>0</v>
      </c>
      <c r="AQ288" s="9">
        <v>1</v>
      </c>
      <c r="AR288" s="9">
        <v>0</v>
      </c>
      <c r="AS288" s="9">
        <v>0</v>
      </c>
      <c r="AT288" s="9">
        <v>0</v>
      </c>
      <c r="AU288" s="9">
        <v>1</v>
      </c>
      <c r="AV288" s="9">
        <v>1</v>
      </c>
      <c r="AW288" s="9">
        <v>1</v>
      </c>
      <c r="AX288" s="9">
        <v>0</v>
      </c>
      <c r="AY288" s="9">
        <v>1</v>
      </c>
      <c r="AZ288" s="9">
        <v>2</v>
      </c>
      <c r="BA288" s="9">
        <v>0</v>
      </c>
      <c r="BB288" s="9">
        <v>1</v>
      </c>
      <c r="BC288" s="9">
        <v>1</v>
      </c>
      <c r="BD288" s="9">
        <v>0</v>
      </c>
      <c r="BE288" s="9">
        <v>0</v>
      </c>
      <c r="BF288" s="9">
        <v>2</v>
      </c>
      <c r="BG288" s="9">
        <v>0</v>
      </c>
      <c r="BH288" s="9">
        <v>1</v>
      </c>
      <c r="BI288" s="9">
        <v>1</v>
      </c>
      <c r="BJ288" s="9">
        <v>0</v>
      </c>
      <c r="BK288" s="9">
        <v>4</v>
      </c>
      <c r="BL288" s="9">
        <v>6</v>
      </c>
      <c r="BM288" s="9">
        <v>8</v>
      </c>
      <c r="BN288" s="9">
        <v>2</v>
      </c>
      <c r="BO288" s="9">
        <v>3</v>
      </c>
      <c r="BP288" s="9">
        <v>9</v>
      </c>
      <c r="BQ288" s="9">
        <v>7</v>
      </c>
      <c r="BR288" s="9">
        <v>1</v>
      </c>
      <c r="BS288" s="9">
        <v>7</v>
      </c>
      <c r="BT288" s="9">
        <v>8</v>
      </c>
      <c r="BU288" s="9">
        <v>1</v>
      </c>
      <c r="BV288" s="9">
        <v>11</v>
      </c>
      <c r="BW288" s="9">
        <v>8</v>
      </c>
      <c r="BX288" s="9">
        <v>8</v>
      </c>
      <c r="BY288" s="9">
        <v>17</v>
      </c>
      <c r="BZ288" s="9">
        <v>11</v>
      </c>
      <c r="CA288" s="9">
        <v>13</v>
      </c>
      <c r="CB288" s="9">
        <v>20</v>
      </c>
      <c r="CC288" s="9">
        <v>3</v>
      </c>
      <c r="CD288" s="9">
        <v>27</v>
      </c>
      <c r="CE288" s="9">
        <v>37</v>
      </c>
      <c r="CF288" s="9">
        <v>26</v>
      </c>
      <c r="CG288" s="9">
        <v>22</v>
      </c>
      <c r="CH288" s="9">
        <v>28</v>
      </c>
      <c r="CI288" s="9">
        <v>23</v>
      </c>
      <c r="CJ288" s="9">
        <v>22</v>
      </c>
      <c r="CK288" s="9">
        <v>12</v>
      </c>
      <c r="CL288" s="9">
        <v>19</v>
      </c>
      <c r="CM288" s="9">
        <v>20</v>
      </c>
      <c r="CN288" s="9">
        <v>17</v>
      </c>
      <c r="CO288" s="9">
        <v>23</v>
      </c>
      <c r="CP288" s="9">
        <v>13</v>
      </c>
      <c r="CQ288" s="9">
        <v>13</v>
      </c>
      <c r="CR288" s="9">
        <v>16</v>
      </c>
      <c r="CS288" s="10">
        <v>18</v>
      </c>
    </row>
    <row r="289" spans="1:97" x14ac:dyDescent="0.35">
      <c r="A289" s="8" t="s">
        <v>261</v>
      </c>
      <c r="B289" s="9" t="s">
        <v>306</v>
      </c>
      <c r="C289" s="9" t="s">
        <v>999</v>
      </c>
      <c r="D289" s="9">
        <f t="shared" si="4"/>
        <v>334</v>
      </c>
      <c r="E289" s="9">
        <v>0</v>
      </c>
      <c r="F289" s="9">
        <v>0</v>
      </c>
      <c r="G289" s="9">
        <v>1</v>
      </c>
      <c r="H289" s="9">
        <v>1</v>
      </c>
      <c r="I289" s="9">
        <v>0</v>
      </c>
      <c r="J289" s="9">
        <v>0</v>
      </c>
      <c r="K289" s="9">
        <v>0</v>
      </c>
      <c r="L289" s="9">
        <v>1</v>
      </c>
      <c r="M289" s="9">
        <v>0</v>
      </c>
      <c r="N289" s="9">
        <v>0</v>
      </c>
      <c r="O289" s="9">
        <v>0</v>
      </c>
      <c r="P289" s="9">
        <v>0</v>
      </c>
      <c r="Q289" s="9">
        <v>0</v>
      </c>
      <c r="R289" s="9">
        <v>0</v>
      </c>
      <c r="S289" s="9">
        <v>0</v>
      </c>
      <c r="T289" s="9">
        <v>0</v>
      </c>
      <c r="U289" s="9">
        <v>0</v>
      </c>
      <c r="V289" s="9">
        <v>0</v>
      </c>
      <c r="W289" s="9">
        <v>0</v>
      </c>
      <c r="X289" s="9">
        <v>0</v>
      </c>
      <c r="Y289" s="9">
        <v>0</v>
      </c>
      <c r="Z289" s="9">
        <v>0</v>
      </c>
      <c r="AA289" s="9">
        <v>0</v>
      </c>
      <c r="AB289" s="9">
        <v>0</v>
      </c>
      <c r="AC289" s="9">
        <v>0</v>
      </c>
      <c r="AD289" s="9">
        <v>0</v>
      </c>
      <c r="AE289" s="9">
        <v>0</v>
      </c>
      <c r="AF289" s="9">
        <v>0</v>
      </c>
      <c r="AG289" s="9">
        <v>0</v>
      </c>
      <c r="AH289" s="9">
        <v>0</v>
      </c>
      <c r="AI289" s="9">
        <v>1</v>
      </c>
      <c r="AJ289" s="9">
        <v>1</v>
      </c>
      <c r="AK289" s="9">
        <v>0</v>
      </c>
      <c r="AL289" s="9">
        <v>1</v>
      </c>
      <c r="AM289" s="9">
        <v>0</v>
      </c>
      <c r="AN289" s="9">
        <v>0</v>
      </c>
      <c r="AO289" s="9">
        <v>0</v>
      </c>
      <c r="AP289" s="9">
        <v>0</v>
      </c>
      <c r="AQ289" s="9">
        <v>2</v>
      </c>
      <c r="AR289" s="9">
        <v>0</v>
      </c>
      <c r="AS289" s="9">
        <v>1</v>
      </c>
      <c r="AT289" s="9">
        <v>1</v>
      </c>
      <c r="AU289" s="9">
        <v>1</v>
      </c>
      <c r="AV289" s="9">
        <v>1</v>
      </c>
      <c r="AW289" s="9">
        <v>0</v>
      </c>
      <c r="AX289" s="9">
        <v>0</v>
      </c>
      <c r="AY289" s="9">
        <v>1</v>
      </c>
      <c r="AZ289" s="9">
        <v>1</v>
      </c>
      <c r="BA289" s="9">
        <v>2</v>
      </c>
      <c r="BB289" s="9">
        <v>1</v>
      </c>
      <c r="BC289" s="9">
        <v>2</v>
      </c>
      <c r="BD289" s="9">
        <v>4</v>
      </c>
      <c r="BE289" s="9">
        <v>4</v>
      </c>
      <c r="BF289" s="9">
        <v>6</v>
      </c>
      <c r="BG289" s="9">
        <v>2</v>
      </c>
      <c r="BH289" s="9">
        <v>7</v>
      </c>
      <c r="BI289" s="9">
        <v>6</v>
      </c>
      <c r="BJ289" s="9">
        <v>4</v>
      </c>
      <c r="BK289" s="9">
        <v>6</v>
      </c>
      <c r="BL289" s="9">
        <v>6</v>
      </c>
      <c r="BM289" s="9">
        <v>4</v>
      </c>
      <c r="BN289" s="9">
        <v>3</v>
      </c>
      <c r="BO289" s="9">
        <v>4</v>
      </c>
      <c r="BP289" s="9">
        <v>9</v>
      </c>
      <c r="BQ289" s="9">
        <v>4</v>
      </c>
      <c r="BR289" s="9">
        <v>9</v>
      </c>
      <c r="BS289" s="9">
        <v>6</v>
      </c>
      <c r="BT289" s="9">
        <v>8</v>
      </c>
      <c r="BU289" s="9">
        <v>3</v>
      </c>
      <c r="BV289" s="9">
        <v>5</v>
      </c>
      <c r="BW289" s="9">
        <v>6</v>
      </c>
      <c r="BX289" s="9">
        <v>8</v>
      </c>
      <c r="BY289" s="9">
        <v>8</v>
      </c>
      <c r="BZ289" s="9">
        <v>12</v>
      </c>
      <c r="CA289" s="9">
        <v>11</v>
      </c>
      <c r="CB289" s="9">
        <v>4</v>
      </c>
      <c r="CC289" s="9">
        <v>8</v>
      </c>
      <c r="CD289" s="9">
        <v>12</v>
      </c>
      <c r="CE289" s="9">
        <v>11</v>
      </c>
      <c r="CF289" s="9">
        <v>8</v>
      </c>
      <c r="CG289" s="9">
        <v>10</v>
      </c>
      <c r="CH289" s="9">
        <v>11</v>
      </c>
      <c r="CI289" s="9">
        <v>12</v>
      </c>
      <c r="CJ289" s="9">
        <v>9</v>
      </c>
      <c r="CK289" s="9">
        <v>7</v>
      </c>
      <c r="CL289" s="9">
        <v>11</v>
      </c>
      <c r="CM289" s="9">
        <v>10</v>
      </c>
      <c r="CN289" s="9">
        <v>9</v>
      </c>
      <c r="CO289" s="9">
        <v>9</v>
      </c>
      <c r="CP289" s="9">
        <v>14</v>
      </c>
      <c r="CQ289" s="9">
        <v>6</v>
      </c>
      <c r="CR289" s="9">
        <v>14</v>
      </c>
      <c r="CS289" s="10">
        <v>5</v>
      </c>
    </row>
    <row r="290" spans="1:97" x14ac:dyDescent="0.35">
      <c r="A290" s="8" t="s">
        <v>261</v>
      </c>
      <c r="B290" s="9" t="s">
        <v>308</v>
      </c>
      <c r="C290" s="9" t="s">
        <v>1000</v>
      </c>
      <c r="D290" s="9">
        <f t="shared" si="4"/>
        <v>943</v>
      </c>
      <c r="E290" s="9">
        <v>0</v>
      </c>
      <c r="F290" s="9">
        <v>0</v>
      </c>
      <c r="G290" s="9">
        <v>1</v>
      </c>
      <c r="H290" s="9">
        <v>0</v>
      </c>
      <c r="I290" s="9">
        <v>0</v>
      </c>
      <c r="J290" s="9">
        <v>2</v>
      </c>
      <c r="K290" s="9">
        <v>2</v>
      </c>
      <c r="L290" s="9">
        <v>0</v>
      </c>
      <c r="M290" s="9">
        <v>0</v>
      </c>
      <c r="N290" s="9">
        <v>0</v>
      </c>
      <c r="O290" s="9">
        <v>1</v>
      </c>
      <c r="P290" s="9">
        <v>2</v>
      </c>
      <c r="Q290" s="9">
        <v>1</v>
      </c>
      <c r="R290" s="9">
        <v>0</v>
      </c>
      <c r="S290" s="9">
        <v>1</v>
      </c>
      <c r="T290" s="9">
        <v>0</v>
      </c>
      <c r="U290" s="9">
        <v>0</v>
      </c>
      <c r="V290" s="9">
        <v>1</v>
      </c>
      <c r="W290" s="9">
        <v>0</v>
      </c>
      <c r="X290" s="9">
        <v>0</v>
      </c>
      <c r="Y290" s="9">
        <v>0</v>
      </c>
      <c r="Z290" s="9">
        <v>1</v>
      </c>
      <c r="AA290" s="9">
        <v>2</v>
      </c>
      <c r="AB290" s="9">
        <v>0</v>
      </c>
      <c r="AC290" s="9">
        <v>0</v>
      </c>
      <c r="AD290" s="9">
        <v>4</v>
      </c>
      <c r="AE290" s="9">
        <v>0</v>
      </c>
      <c r="AF290" s="9">
        <v>1</v>
      </c>
      <c r="AG290" s="9">
        <v>1</v>
      </c>
      <c r="AH290" s="9">
        <v>3</v>
      </c>
      <c r="AI290" s="9">
        <v>3</v>
      </c>
      <c r="AJ290" s="9">
        <v>0</v>
      </c>
      <c r="AK290" s="9">
        <v>1</v>
      </c>
      <c r="AL290" s="9">
        <v>1</v>
      </c>
      <c r="AM290" s="9">
        <v>1</v>
      </c>
      <c r="AN290" s="9">
        <v>0</v>
      </c>
      <c r="AO290" s="9">
        <v>3</v>
      </c>
      <c r="AP290" s="9">
        <v>4</v>
      </c>
      <c r="AQ290" s="9">
        <v>1</v>
      </c>
      <c r="AR290" s="9">
        <v>3</v>
      </c>
      <c r="AS290" s="9">
        <v>2</v>
      </c>
      <c r="AT290" s="9">
        <v>7</v>
      </c>
      <c r="AU290" s="9">
        <v>5</v>
      </c>
      <c r="AV290" s="9">
        <v>10</v>
      </c>
      <c r="AW290" s="9">
        <v>8</v>
      </c>
      <c r="AX290" s="9">
        <v>3</v>
      </c>
      <c r="AY290" s="9">
        <v>6</v>
      </c>
      <c r="AZ290" s="9">
        <v>4</v>
      </c>
      <c r="BA290" s="9">
        <v>8</v>
      </c>
      <c r="BB290" s="9">
        <v>3</v>
      </c>
      <c r="BC290" s="9">
        <v>7</v>
      </c>
      <c r="BD290" s="9">
        <v>5</v>
      </c>
      <c r="BE290" s="9">
        <v>7</v>
      </c>
      <c r="BF290" s="9">
        <v>14</v>
      </c>
      <c r="BG290" s="9">
        <v>4</v>
      </c>
      <c r="BH290" s="9">
        <v>9</v>
      </c>
      <c r="BI290" s="9">
        <v>4</v>
      </c>
      <c r="BJ290" s="9">
        <v>8</v>
      </c>
      <c r="BK290" s="9">
        <v>10</v>
      </c>
      <c r="BL290" s="9">
        <v>12</v>
      </c>
      <c r="BM290" s="9">
        <v>6</v>
      </c>
      <c r="BN290" s="9">
        <v>7</v>
      </c>
      <c r="BO290" s="9">
        <v>9</v>
      </c>
      <c r="BP290" s="9">
        <v>7</v>
      </c>
      <c r="BQ290" s="9">
        <v>12</v>
      </c>
      <c r="BR290" s="9">
        <v>14</v>
      </c>
      <c r="BS290" s="9">
        <v>16</v>
      </c>
      <c r="BT290" s="9">
        <v>9</v>
      </c>
      <c r="BU290" s="9">
        <v>15</v>
      </c>
      <c r="BV290" s="9">
        <v>16</v>
      </c>
      <c r="BW290" s="9">
        <v>11</v>
      </c>
      <c r="BX290" s="9">
        <v>29</v>
      </c>
      <c r="BY290" s="9">
        <v>11</v>
      </c>
      <c r="BZ290" s="9">
        <v>26</v>
      </c>
      <c r="CA290" s="9">
        <v>15</v>
      </c>
      <c r="CB290" s="9">
        <v>24</v>
      </c>
      <c r="CC290" s="9">
        <v>20</v>
      </c>
      <c r="CD290" s="9">
        <v>20</v>
      </c>
      <c r="CE290" s="9">
        <v>24</v>
      </c>
      <c r="CF290" s="9">
        <v>36</v>
      </c>
      <c r="CG290" s="9">
        <v>27</v>
      </c>
      <c r="CH290" s="9">
        <v>34</v>
      </c>
      <c r="CI290" s="9">
        <v>22</v>
      </c>
      <c r="CJ290" s="9">
        <v>32</v>
      </c>
      <c r="CK290" s="9">
        <v>34</v>
      </c>
      <c r="CL290" s="9">
        <v>41</v>
      </c>
      <c r="CM290" s="9">
        <v>38</v>
      </c>
      <c r="CN290" s="9">
        <v>29</v>
      </c>
      <c r="CO290" s="9">
        <v>43</v>
      </c>
      <c r="CP290" s="9">
        <v>40</v>
      </c>
      <c r="CQ290" s="9">
        <v>31</v>
      </c>
      <c r="CR290" s="9">
        <v>29</v>
      </c>
      <c r="CS290" s="10">
        <v>40</v>
      </c>
    </row>
    <row r="291" spans="1:97" x14ac:dyDescent="0.35">
      <c r="A291" s="8" t="s">
        <v>261</v>
      </c>
      <c r="B291" s="9" t="s">
        <v>310</v>
      </c>
      <c r="C291" s="9" t="s">
        <v>1001</v>
      </c>
      <c r="D291" s="9">
        <f t="shared" si="4"/>
        <v>277</v>
      </c>
      <c r="E291" s="9">
        <v>0</v>
      </c>
      <c r="F291" s="9">
        <v>0</v>
      </c>
      <c r="G291" s="9">
        <v>0</v>
      </c>
      <c r="H291" s="9">
        <v>0</v>
      </c>
      <c r="I291" s="9">
        <v>0</v>
      </c>
      <c r="J291" s="9">
        <v>0</v>
      </c>
      <c r="K291" s="9">
        <v>0</v>
      </c>
      <c r="L291" s="9">
        <v>0</v>
      </c>
      <c r="M291" s="9">
        <v>0</v>
      </c>
      <c r="N291" s="9">
        <v>0</v>
      </c>
      <c r="O291" s="9">
        <v>0</v>
      </c>
      <c r="P291" s="9">
        <v>0</v>
      </c>
      <c r="Q291" s="9">
        <v>0</v>
      </c>
      <c r="R291" s="9">
        <v>1</v>
      </c>
      <c r="S291" s="9">
        <v>0</v>
      </c>
      <c r="T291" s="9">
        <v>0</v>
      </c>
      <c r="U291" s="9">
        <v>0</v>
      </c>
      <c r="V291" s="9">
        <v>0</v>
      </c>
      <c r="W291" s="9">
        <v>0</v>
      </c>
      <c r="X291" s="9">
        <v>0</v>
      </c>
      <c r="Y291" s="9">
        <v>0</v>
      </c>
      <c r="Z291" s="9">
        <v>0</v>
      </c>
      <c r="AA291" s="9">
        <v>0</v>
      </c>
      <c r="AB291" s="9">
        <v>0</v>
      </c>
      <c r="AC291" s="9">
        <v>0</v>
      </c>
      <c r="AD291" s="9">
        <v>0</v>
      </c>
      <c r="AE291" s="9">
        <v>1</v>
      </c>
      <c r="AF291" s="9">
        <v>0</v>
      </c>
      <c r="AG291" s="9">
        <v>0</v>
      </c>
      <c r="AH291" s="9">
        <v>0</v>
      </c>
      <c r="AI291" s="9">
        <v>0</v>
      </c>
      <c r="AJ291" s="9">
        <v>0</v>
      </c>
      <c r="AK291" s="9">
        <v>1</v>
      </c>
      <c r="AL291" s="9">
        <v>1</v>
      </c>
      <c r="AM291" s="9">
        <v>0</v>
      </c>
      <c r="AN291" s="9">
        <v>0</v>
      </c>
      <c r="AO291" s="9">
        <v>0</v>
      </c>
      <c r="AP291" s="9">
        <v>1</v>
      </c>
      <c r="AQ291" s="9">
        <v>0</v>
      </c>
      <c r="AR291" s="9">
        <v>2</v>
      </c>
      <c r="AS291" s="9">
        <v>2</v>
      </c>
      <c r="AT291" s="9">
        <v>1</v>
      </c>
      <c r="AU291" s="9">
        <v>0</v>
      </c>
      <c r="AV291" s="9">
        <v>2</v>
      </c>
      <c r="AW291" s="9">
        <v>1</v>
      </c>
      <c r="AX291" s="9">
        <v>3</v>
      </c>
      <c r="AY291" s="9">
        <v>2</v>
      </c>
      <c r="AZ291" s="9">
        <v>5</v>
      </c>
      <c r="BA291" s="9">
        <v>4</v>
      </c>
      <c r="BB291" s="9">
        <v>0</v>
      </c>
      <c r="BC291" s="9">
        <v>3</v>
      </c>
      <c r="BD291" s="9">
        <v>4</v>
      </c>
      <c r="BE291" s="9">
        <v>2</v>
      </c>
      <c r="BF291" s="9">
        <v>4</v>
      </c>
      <c r="BG291" s="9">
        <v>3</v>
      </c>
      <c r="BH291" s="9">
        <v>8</v>
      </c>
      <c r="BI291" s="9">
        <v>4</v>
      </c>
      <c r="BJ291" s="9">
        <v>4</v>
      </c>
      <c r="BK291" s="9">
        <v>5</v>
      </c>
      <c r="BL291" s="9">
        <v>9</v>
      </c>
      <c r="BM291" s="9">
        <v>4</v>
      </c>
      <c r="BN291" s="9">
        <v>2</v>
      </c>
      <c r="BO291" s="9">
        <v>6</v>
      </c>
      <c r="BP291" s="9">
        <v>5</v>
      </c>
      <c r="BQ291" s="9">
        <v>6</v>
      </c>
      <c r="BR291" s="9">
        <v>15</v>
      </c>
      <c r="BS291" s="9">
        <v>6</v>
      </c>
      <c r="BT291" s="9">
        <v>8</v>
      </c>
      <c r="BU291" s="9">
        <v>6</v>
      </c>
      <c r="BV291" s="9">
        <v>4</v>
      </c>
      <c r="BW291" s="9">
        <v>1</v>
      </c>
      <c r="BX291" s="9">
        <v>10</v>
      </c>
      <c r="BY291" s="9">
        <v>7</v>
      </c>
      <c r="BZ291" s="9">
        <v>0</v>
      </c>
      <c r="CA291" s="9">
        <v>4</v>
      </c>
      <c r="CB291" s="9">
        <v>4</v>
      </c>
      <c r="CC291" s="9">
        <v>5</v>
      </c>
      <c r="CD291" s="9">
        <v>4</v>
      </c>
      <c r="CE291" s="9">
        <v>1</v>
      </c>
      <c r="CF291" s="9">
        <v>5</v>
      </c>
      <c r="CG291" s="9">
        <v>5</v>
      </c>
      <c r="CH291" s="9">
        <v>3</v>
      </c>
      <c r="CI291" s="9">
        <v>1</v>
      </c>
      <c r="CJ291" s="9">
        <v>7</v>
      </c>
      <c r="CK291" s="9">
        <v>4</v>
      </c>
      <c r="CL291" s="9">
        <v>4</v>
      </c>
      <c r="CM291" s="9">
        <v>8</v>
      </c>
      <c r="CN291" s="9">
        <v>5</v>
      </c>
      <c r="CO291" s="9">
        <v>10</v>
      </c>
      <c r="CP291" s="9">
        <v>15</v>
      </c>
      <c r="CQ291" s="9">
        <v>6</v>
      </c>
      <c r="CR291" s="9">
        <v>5</v>
      </c>
      <c r="CS291" s="10">
        <v>28</v>
      </c>
    </row>
    <row r="292" spans="1:97" x14ac:dyDescent="0.35">
      <c r="A292" s="8" t="s">
        <v>261</v>
      </c>
      <c r="B292" s="9" t="s">
        <v>312</v>
      </c>
      <c r="C292" s="9" t="s">
        <v>1002</v>
      </c>
      <c r="D292" s="9">
        <f t="shared" si="4"/>
        <v>295</v>
      </c>
      <c r="E292" s="9">
        <v>0</v>
      </c>
      <c r="F292" s="9">
        <v>0</v>
      </c>
      <c r="G292" s="9">
        <v>0</v>
      </c>
      <c r="H292" s="9">
        <v>0</v>
      </c>
      <c r="I292" s="9">
        <v>0</v>
      </c>
      <c r="J292" s="9">
        <v>0</v>
      </c>
      <c r="K292" s="9">
        <v>1</v>
      </c>
      <c r="L292" s="9">
        <v>0</v>
      </c>
      <c r="M292" s="9">
        <v>0</v>
      </c>
      <c r="N292" s="9">
        <v>0</v>
      </c>
      <c r="O292" s="9">
        <v>0</v>
      </c>
      <c r="P292" s="9">
        <v>0</v>
      </c>
      <c r="Q292" s="9">
        <v>0</v>
      </c>
      <c r="R292" s="9">
        <v>1</v>
      </c>
      <c r="S292" s="9">
        <v>0</v>
      </c>
      <c r="T292" s="9">
        <v>0</v>
      </c>
      <c r="U292" s="9">
        <v>0</v>
      </c>
      <c r="V292" s="9">
        <v>0</v>
      </c>
      <c r="W292" s="9">
        <v>0</v>
      </c>
      <c r="X292" s="9">
        <v>0</v>
      </c>
      <c r="Y292" s="9">
        <v>0</v>
      </c>
      <c r="Z292" s="9">
        <v>1</v>
      </c>
      <c r="AA292" s="9">
        <v>0</v>
      </c>
      <c r="AB292" s="9">
        <v>0</v>
      </c>
      <c r="AC292" s="9">
        <v>0</v>
      </c>
      <c r="AD292" s="9">
        <v>0</v>
      </c>
      <c r="AE292" s="9">
        <v>0</v>
      </c>
      <c r="AF292" s="9">
        <v>0</v>
      </c>
      <c r="AG292" s="9">
        <v>0</v>
      </c>
      <c r="AH292" s="9">
        <v>0</v>
      </c>
      <c r="AI292" s="9">
        <v>0</v>
      </c>
      <c r="AJ292" s="9">
        <v>3</v>
      </c>
      <c r="AK292" s="9">
        <v>1</v>
      </c>
      <c r="AL292" s="9">
        <v>1</v>
      </c>
      <c r="AM292" s="9">
        <v>0</v>
      </c>
      <c r="AN292" s="9">
        <v>2</v>
      </c>
      <c r="AO292" s="9">
        <v>2</v>
      </c>
      <c r="AP292" s="9">
        <v>0</v>
      </c>
      <c r="AQ292" s="9">
        <v>1</v>
      </c>
      <c r="AR292" s="9">
        <v>1</v>
      </c>
      <c r="AS292" s="9">
        <v>2</v>
      </c>
      <c r="AT292" s="9">
        <v>2</v>
      </c>
      <c r="AU292" s="9">
        <v>2</v>
      </c>
      <c r="AV292" s="9">
        <v>1</v>
      </c>
      <c r="AW292" s="9">
        <v>2</v>
      </c>
      <c r="AX292" s="9">
        <v>4</v>
      </c>
      <c r="AY292" s="9">
        <v>2</v>
      </c>
      <c r="AZ292" s="9">
        <v>4</v>
      </c>
      <c r="BA292" s="9">
        <v>5</v>
      </c>
      <c r="BB292" s="9">
        <v>1</v>
      </c>
      <c r="BC292" s="9">
        <v>2</v>
      </c>
      <c r="BD292" s="9">
        <v>4</v>
      </c>
      <c r="BE292" s="9">
        <v>3</v>
      </c>
      <c r="BF292" s="9">
        <v>3</v>
      </c>
      <c r="BG292" s="9">
        <v>4</v>
      </c>
      <c r="BH292" s="9">
        <v>4</v>
      </c>
      <c r="BI292" s="9">
        <v>2</v>
      </c>
      <c r="BJ292" s="9">
        <v>1</v>
      </c>
      <c r="BK292" s="9">
        <v>4</v>
      </c>
      <c r="BL292" s="9">
        <v>4</v>
      </c>
      <c r="BM292" s="9">
        <v>1</v>
      </c>
      <c r="BN292" s="9">
        <v>4</v>
      </c>
      <c r="BO292" s="9">
        <v>10</v>
      </c>
      <c r="BP292" s="9">
        <v>3</v>
      </c>
      <c r="BQ292" s="9">
        <v>2</v>
      </c>
      <c r="BR292" s="9">
        <v>4</v>
      </c>
      <c r="BS292" s="9">
        <v>13</v>
      </c>
      <c r="BT292" s="9">
        <v>4</v>
      </c>
      <c r="BU292" s="9">
        <v>1</v>
      </c>
      <c r="BV292" s="9">
        <v>7</v>
      </c>
      <c r="BW292" s="9">
        <v>6</v>
      </c>
      <c r="BX292" s="9">
        <v>2</v>
      </c>
      <c r="BY292" s="9">
        <v>6</v>
      </c>
      <c r="BZ292" s="9">
        <v>2</v>
      </c>
      <c r="CA292" s="9">
        <v>11</v>
      </c>
      <c r="CB292" s="9">
        <v>5</v>
      </c>
      <c r="CC292" s="9">
        <v>9</v>
      </c>
      <c r="CD292" s="9">
        <v>5</v>
      </c>
      <c r="CE292" s="9">
        <v>7</v>
      </c>
      <c r="CF292" s="9">
        <v>4</v>
      </c>
      <c r="CG292" s="9">
        <v>7</v>
      </c>
      <c r="CH292" s="9">
        <v>6</v>
      </c>
      <c r="CI292" s="9">
        <v>6</v>
      </c>
      <c r="CJ292" s="9">
        <v>8</v>
      </c>
      <c r="CK292" s="9">
        <v>8</v>
      </c>
      <c r="CL292" s="9">
        <v>10</v>
      </c>
      <c r="CM292" s="9">
        <v>8</v>
      </c>
      <c r="CN292" s="9">
        <v>9</v>
      </c>
      <c r="CO292" s="9">
        <v>9</v>
      </c>
      <c r="CP292" s="9">
        <v>18</v>
      </c>
      <c r="CQ292" s="9">
        <v>8</v>
      </c>
      <c r="CR292" s="9">
        <v>8</v>
      </c>
      <c r="CS292" s="10">
        <v>14</v>
      </c>
    </row>
    <row r="293" spans="1:97" x14ac:dyDescent="0.35">
      <c r="A293" s="8" t="s">
        <v>261</v>
      </c>
      <c r="B293" s="9" t="s">
        <v>314</v>
      </c>
      <c r="C293" s="9" t="s">
        <v>1003</v>
      </c>
      <c r="D293" s="9">
        <f t="shared" si="4"/>
        <v>272</v>
      </c>
      <c r="E293" s="9">
        <v>0</v>
      </c>
      <c r="F293" s="9">
        <v>0</v>
      </c>
      <c r="G293" s="9">
        <v>2</v>
      </c>
      <c r="H293" s="9">
        <v>1</v>
      </c>
      <c r="I293" s="9">
        <v>0</v>
      </c>
      <c r="J293" s="9">
        <v>1</v>
      </c>
      <c r="K293" s="9">
        <v>0</v>
      </c>
      <c r="L293" s="9">
        <v>1</v>
      </c>
      <c r="M293" s="9">
        <v>0</v>
      </c>
      <c r="N293" s="9">
        <v>0</v>
      </c>
      <c r="O293" s="9">
        <v>3</v>
      </c>
      <c r="P293" s="9">
        <v>0</v>
      </c>
      <c r="Q293" s="9">
        <v>0</v>
      </c>
      <c r="R293" s="9">
        <v>0</v>
      </c>
      <c r="S293" s="9">
        <v>1</v>
      </c>
      <c r="T293" s="9">
        <v>1</v>
      </c>
      <c r="U293" s="9">
        <v>0</v>
      </c>
      <c r="V293" s="9">
        <v>0</v>
      </c>
      <c r="W293" s="9">
        <v>1</v>
      </c>
      <c r="X293" s="9">
        <v>0</v>
      </c>
      <c r="Y293" s="9">
        <v>1</v>
      </c>
      <c r="Z293" s="9">
        <v>0</v>
      </c>
      <c r="AA293" s="9">
        <v>1</v>
      </c>
      <c r="AB293" s="9">
        <v>0</v>
      </c>
      <c r="AC293" s="9">
        <v>0</v>
      </c>
      <c r="AD293" s="9">
        <v>1</v>
      </c>
      <c r="AE293" s="9">
        <v>0</v>
      </c>
      <c r="AF293" s="9">
        <v>0</v>
      </c>
      <c r="AG293" s="9">
        <v>0</v>
      </c>
      <c r="AH293" s="9">
        <v>3</v>
      </c>
      <c r="AI293" s="9">
        <v>1</v>
      </c>
      <c r="AJ293" s="9">
        <v>0</v>
      </c>
      <c r="AK293" s="9">
        <v>0</v>
      </c>
      <c r="AL293" s="9">
        <v>0</v>
      </c>
      <c r="AM293" s="9">
        <v>3</v>
      </c>
      <c r="AN293" s="9">
        <v>2</v>
      </c>
      <c r="AO293" s="9">
        <v>0</v>
      </c>
      <c r="AP293" s="9">
        <v>2</v>
      </c>
      <c r="AQ293" s="9">
        <v>2</v>
      </c>
      <c r="AR293" s="9">
        <v>3</v>
      </c>
      <c r="AS293" s="9">
        <v>1</v>
      </c>
      <c r="AT293" s="9">
        <v>2</v>
      </c>
      <c r="AU293" s="9">
        <v>0</v>
      </c>
      <c r="AV293" s="9">
        <v>0</v>
      </c>
      <c r="AW293" s="9">
        <v>3</v>
      </c>
      <c r="AX293" s="9">
        <v>5</v>
      </c>
      <c r="AY293" s="9">
        <v>0</v>
      </c>
      <c r="AZ293" s="9">
        <v>5</v>
      </c>
      <c r="BA293" s="9">
        <v>6</v>
      </c>
      <c r="BB293" s="9">
        <v>0</v>
      </c>
      <c r="BC293" s="9">
        <v>8</v>
      </c>
      <c r="BD293" s="9">
        <v>12</v>
      </c>
      <c r="BE293" s="9">
        <v>7</v>
      </c>
      <c r="BF293" s="9">
        <v>4</v>
      </c>
      <c r="BG293" s="9">
        <v>3</v>
      </c>
      <c r="BH293" s="9">
        <v>0</v>
      </c>
      <c r="BI293" s="9">
        <v>4</v>
      </c>
      <c r="BJ293" s="9">
        <v>1</v>
      </c>
      <c r="BK293" s="9">
        <v>4</v>
      </c>
      <c r="BL293" s="9">
        <v>6</v>
      </c>
      <c r="BM293" s="9">
        <v>3</v>
      </c>
      <c r="BN293" s="9">
        <v>1</v>
      </c>
      <c r="BO293" s="9">
        <v>1</v>
      </c>
      <c r="BP293" s="9">
        <v>6</v>
      </c>
      <c r="BQ293" s="9">
        <v>3</v>
      </c>
      <c r="BR293" s="9">
        <v>2</v>
      </c>
      <c r="BS293" s="9">
        <v>15</v>
      </c>
      <c r="BT293" s="9">
        <v>5</v>
      </c>
      <c r="BU293" s="9">
        <v>2</v>
      </c>
      <c r="BV293" s="9">
        <v>7</v>
      </c>
      <c r="BW293" s="9">
        <v>5</v>
      </c>
      <c r="BX293" s="9">
        <v>10</v>
      </c>
      <c r="BY293" s="9">
        <v>4</v>
      </c>
      <c r="BZ293" s="9">
        <v>1</v>
      </c>
      <c r="CA293" s="9">
        <v>7</v>
      </c>
      <c r="CB293" s="9">
        <v>1</v>
      </c>
      <c r="CC293" s="9">
        <v>3</v>
      </c>
      <c r="CD293" s="9">
        <v>2</v>
      </c>
      <c r="CE293" s="9">
        <v>3</v>
      </c>
      <c r="CF293" s="9">
        <v>2</v>
      </c>
      <c r="CG293" s="9">
        <v>16</v>
      </c>
      <c r="CH293" s="9">
        <v>3</v>
      </c>
      <c r="CI293" s="9">
        <v>4</v>
      </c>
      <c r="CJ293" s="9">
        <v>5</v>
      </c>
      <c r="CK293" s="9">
        <v>8</v>
      </c>
      <c r="CL293" s="9">
        <v>2</v>
      </c>
      <c r="CM293" s="9">
        <v>6</v>
      </c>
      <c r="CN293" s="9">
        <v>10</v>
      </c>
      <c r="CO293" s="9">
        <v>3</v>
      </c>
      <c r="CP293" s="9">
        <v>5</v>
      </c>
      <c r="CQ293" s="9">
        <v>12</v>
      </c>
      <c r="CR293" s="9">
        <v>12</v>
      </c>
      <c r="CS293" s="10">
        <v>2</v>
      </c>
    </row>
    <row r="294" spans="1:97" x14ac:dyDescent="0.35">
      <c r="A294" s="8" t="s">
        <v>261</v>
      </c>
      <c r="B294" s="9" t="s">
        <v>316</v>
      </c>
      <c r="C294" s="9" t="s">
        <v>1004</v>
      </c>
      <c r="D294" s="9">
        <f t="shared" si="4"/>
        <v>5</v>
      </c>
      <c r="E294" s="9">
        <v>0</v>
      </c>
      <c r="F294" s="9">
        <v>0</v>
      </c>
      <c r="G294" s="9">
        <v>0</v>
      </c>
      <c r="H294" s="9">
        <v>0</v>
      </c>
      <c r="I294" s="9">
        <v>0</v>
      </c>
      <c r="J294" s="9">
        <v>0</v>
      </c>
      <c r="K294" s="9">
        <v>0</v>
      </c>
      <c r="L294" s="9">
        <v>0</v>
      </c>
      <c r="M294" s="9">
        <v>0</v>
      </c>
      <c r="N294" s="9">
        <v>0</v>
      </c>
      <c r="O294" s="9">
        <v>0</v>
      </c>
      <c r="P294" s="9">
        <v>0</v>
      </c>
      <c r="Q294" s="9">
        <v>0</v>
      </c>
      <c r="R294" s="9">
        <v>0</v>
      </c>
      <c r="S294" s="9">
        <v>0</v>
      </c>
      <c r="T294" s="9">
        <v>0</v>
      </c>
      <c r="U294" s="9">
        <v>0</v>
      </c>
      <c r="V294" s="9">
        <v>0</v>
      </c>
      <c r="W294" s="9">
        <v>0</v>
      </c>
      <c r="X294" s="9">
        <v>0</v>
      </c>
      <c r="Y294" s="9">
        <v>0</v>
      </c>
      <c r="Z294" s="9">
        <v>0</v>
      </c>
      <c r="AA294" s="9">
        <v>0</v>
      </c>
      <c r="AB294" s="9">
        <v>0</v>
      </c>
      <c r="AC294" s="9">
        <v>0</v>
      </c>
      <c r="AD294" s="9">
        <v>0</v>
      </c>
      <c r="AE294" s="9">
        <v>0</v>
      </c>
      <c r="AF294" s="9">
        <v>0</v>
      </c>
      <c r="AG294" s="9">
        <v>0</v>
      </c>
      <c r="AH294" s="9">
        <v>0</v>
      </c>
      <c r="AI294" s="9">
        <v>0</v>
      </c>
      <c r="AJ294" s="9">
        <v>0</v>
      </c>
      <c r="AK294" s="9">
        <v>0</v>
      </c>
      <c r="AL294" s="9">
        <v>0</v>
      </c>
      <c r="AM294" s="9">
        <v>0</v>
      </c>
      <c r="AN294" s="9">
        <v>0</v>
      </c>
      <c r="AO294" s="9">
        <v>0</v>
      </c>
      <c r="AP294" s="9">
        <v>0</v>
      </c>
      <c r="AQ294" s="9">
        <v>0</v>
      </c>
      <c r="AR294" s="9">
        <v>0</v>
      </c>
      <c r="AS294" s="9">
        <v>0</v>
      </c>
      <c r="AT294" s="9">
        <v>0</v>
      </c>
      <c r="AU294" s="9">
        <v>0</v>
      </c>
      <c r="AV294" s="9">
        <v>0</v>
      </c>
      <c r="AW294" s="9">
        <v>0</v>
      </c>
      <c r="AX294" s="9">
        <v>0</v>
      </c>
      <c r="AY294" s="9">
        <v>0</v>
      </c>
      <c r="AZ294" s="9">
        <v>0</v>
      </c>
      <c r="BA294" s="9">
        <v>0</v>
      </c>
      <c r="BB294" s="9">
        <v>0</v>
      </c>
      <c r="BC294" s="9">
        <v>0</v>
      </c>
      <c r="BD294" s="9">
        <v>0</v>
      </c>
      <c r="BE294" s="9">
        <v>0</v>
      </c>
      <c r="BF294" s="9">
        <v>0</v>
      </c>
      <c r="BG294" s="9">
        <v>0</v>
      </c>
      <c r="BH294" s="9">
        <v>0</v>
      </c>
      <c r="BI294" s="9">
        <v>0</v>
      </c>
      <c r="BJ294" s="9">
        <v>0</v>
      </c>
      <c r="BK294" s="9">
        <v>0</v>
      </c>
      <c r="BL294" s="9">
        <v>0</v>
      </c>
      <c r="BM294" s="9">
        <v>0</v>
      </c>
      <c r="BN294" s="9">
        <v>0</v>
      </c>
      <c r="BO294" s="9">
        <v>0</v>
      </c>
      <c r="BP294" s="9">
        <v>0</v>
      </c>
      <c r="BQ294" s="9">
        <v>0</v>
      </c>
      <c r="BR294" s="9">
        <v>0</v>
      </c>
      <c r="BS294" s="9">
        <v>0</v>
      </c>
      <c r="BT294" s="9">
        <v>0</v>
      </c>
      <c r="BU294" s="9">
        <v>0</v>
      </c>
      <c r="BV294" s="9">
        <v>0</v>
      </c>
      <c r="BW294" s="9">
        <v>0</v>
      </c>
      <c r="BX294" s="9">
        <v>0</v>
      </c>
      <c r="BY294" s="9">
        <v>0</v>
      </c>
      <c r="BZ294" s="9">
        <v>0</v>
      </c>
      <c r="CA294" s="9">
        <v>0</v>
      </c>
      <c r="CB294" s="9">
        <v>0</v>
      </c>
      <c r="CC294" s="9">
        <v>1</v>
      </c>
      <c r="CD294" s="9">
        <v>1</v>
      </c>
      <c r="CE294" s="9">
        <v>1</v>
      </c>
      <c r="CF294" s="9">
        <v>1</v>
      </c>
      <c r="CG294" s="9">
        <v>1</v>
      </c>
      <c r="CH294" s="9">
        <v>0</v>
      </c>
      <c r="CI294" s="9">
        <v>0</v>
      </c>
      <c r="CJ294" s="9">
        <v>0</v>
      </c>
      <c r="CK294" s="9">
        <v>0</v>
      </c>
      <c r="CL294" s="9">
        <v>0</v>
      </c>
      <c r="CM294" s="9">
        <v>0</v>
      </c>
      <c r="CN294" s="9">
        <v>0</v>
      </c>
      <c r="CO294" s="9">
        <v>0</v>
      </c>
      <c r="CP294" s="9">
        <v>0</v>
      </c>
      <c r="CQ294" s="9">
        <v>0</v>
      </c>
      <c r="CR294" s="9">
        <v>0</v>
      </c>
      <c r="CS294" s="10">
        <v>0</v>
      </c>
    </row>
    <row r="295" spans="1:97" x14ac:dyDescent="0.35">
      <c r="A295" s="8" t="s">
        <v>261</v>
      </c>
      <c r="B295" s="9" t="s">
        <v>318</v>
      </c>
      <c r="C295" s="9" t="s">
        <v>1005</v>
      </c>
      <c r="D295" s="9">
        <f t="shared" si="4"/>
        <v>381</v>
      </c>
      <c r="E295" s="9">
        <v>0</v>
      </c>
      <c r="F295" s="9">
        <v>2</v>
      </c>
      <c r="G295" s="9">
        <v>0</v>
      </c>
      <c r="H295" s="9">
        <v>1</v>
      </c>
      <c r="I295" s="9">
        <v>1</v>
      </c>
      <c r="J295" s="9">
        <v>0</v>
      </c>
      <c r="K295" s="9">
        <v>0</v>
      </c>
      <c r="L295" s="9">
        <v>0</v>
      </c>
      <c r="M295" s="9">
        <v>1</v>
      </c>
      <c r="N295" s="9">
        <v>0</v>
      </c>
      <c r="O295" s="9">
        <v>0</v>
      </c>
      <c r="P295" s="9">
        <v>0</v>
      </c>
      <c r="Q295" s="9">
        <v>0</v>
      </c>
      <c r="R295" s="9">
        <v>0</v>
      </c>
      <c r="S295" s="9">
        <v>0</v>
      </c>
      <c r="T295" s="9">
        <v>0</v>
      </c>
      <c r="U295" s="9">
        <v>0</v>
      </c>
      <c r="V295" s="9">
        <v>0</v>
      </c>
      <c r="W295" s="9">
        <v>0</v>
      </c>
      <c r="X295" s="9">
        <v>0</v>
      </c>
      <c r="Y295" s="9">
        <v>0</v>
      </c>
      <c r="Z295" s="9">
        <v>0</v>
      </c>
      <c r="AA295" s="9">
        <v>0</v>
      </c>
      <c r="AB295" s="9">
        <v>0</v>
      </c>
      <c r="AC295" s="9">
        <v>0</v>
      </c>
      <c r="AD295" s="9">
        <v>0</v>
      </c>
      <c r="AE295" s="9">
        <v>1</v>
      </c>
      <c r="AF295" s="9">
        <v>0</v>
      </c>
      <c r="AG295" s="9">
        <v>0</v>
      </c>
      <c r="AH295" s="9">
        <v>0</v>
      </c>
      <c r="AI295" s="9">
        <v>0</v>
      </c>
      <c r="AJ295" s="9">
        <v>2</v>
      </c>
      <c r="AK295" s="9">
        <v>1</v>
      </c>
      <c r="AL295" s="9">
        <v>0</v>
      </c>
      <c r="AM295" s="9">
        <v>2</v>
      </c>
      <c r="AN295" s="9">
        <v>0</v>
      </c>
      <c r="AO295" s="9">
        <v>0</v>
      </c>
      <c r="AP295" s="9">
        <v>0</v>
      </c>
      <c r="AQ295" s="9">
        <v>3</v>
      </c>
      <c r="AR295" s="9">
        <v>1</v>
      </c>
      <c r="AS295" s="9">
        <v>2</v>
      </c>
      <c r="AT295" s="9">
        <v>1</v>
      </c>
      <c r="AU295" s="9">
        <v>0</v>
      </c>
      <c r="AV295" s="9">
        <v>0</v>
      </c>
      <c r="AW295" s="9">
        <v>0</v>
      </c>
      <c r="AX295" s="9">
        <v>4</v>
      </c>
      <c r="AY295" s="9">
        <v>3</v>
      </c>
      <c r="AZ295" s="9">
        <v>3</v>
      </c>
      <c r="BA295" s="9">
        <v>2</v>
      </c>
      <c r="BB295" s="9">
        <v>3</v>
      </c>
      <c r="BC295" s="9">
        <v>2</v>
      </c>
      <c r="BD295" s="9">
        <v>4</v>
      </c>
      <c r="BE295" s="9">
        <v>0</v>
      </c>
      <c r="BF295" s="9">
        <v>2</v>
      </c>
      <c r="BG295" s="9">
        <v>0</v>
      </c>
      <c r="BH295" s="9">
        <v>3</v>
      </c>
      <c r="BI295" s="9">
        <v>3</v>
      </c>
      <c r="BJ295" s="9">
        <v>5</v>
      </c>
      <c r="BK295" s="9">
        <v>3</v>
      </c>
      <c r="BL295" s="9">
        <v>7</v>
      </c>
      <c r="BM295" s="9">
        <v>8</v>
      </c>
      <c r="BN295" s="9">
        <v>5</v>
      </c>
      <c r="BO295" s="9">
        <v>4</v>
      </c>
      <c r="BP295" s="9">
        <v>7</v>
      </c>
      <c r="BQ295" s="9">
        <v>9</v>
      </c>
      <c r="BR295" s="9">
        <v>4</v>
      </c>
      <c r="BS295" s="9">
        <v>3</v>
      </c>
      <c r="BT295" s="9">
        <v>7</v>
      </c>
      <c r="BU295" s="9">
        <v>9</v>
      </c>
      <c r="BV295" s="9">
        <v>12</v>
      </c>
      <c r="BW295" s="9">
        <v>19</v>
      </c>
      <c r="BX295" s="9">
        <v>13</v>
      </c>
      <c r="BY295" s="9">
        <v>9</v>
      </c>
      <c r="BZ295" s="9">
        <v>9</v>
      </c>
      <c r="CA295" s="9">
        <v>8</v>
      </c>
      <c r="CB295" s="9">
        <v>6</v>
      </c>
      <c r="CC295" s="9">
        <v>7</v>
      </c>
      <c r="CD295" s="9">
        <v>7</v>
      </c>
      <c r="CE295" s="9">
        <v>9</v>
      </c>
      <c r="CF295" s="9">
        <v>7</v>
      </c>
      <c r="CG295" s="9">
        <v>15</v>
      </c>
      <c r="CH295" s="9">
        <v>8</v>
      </c>
      <c r="CI295" s="9">
        <v>8</v>
      </c>
      <c r="CJ295" s="9">
        <v>11</v>
      </c>
      <c r="CK295" s="9">
        <v>16</v>
      </c>
      <c r="CL295" s="9">
        <v>11</v>
      </c>
      <c r="CM295" s="9">
        <v>6</v>
      </c>
      <c r="CN295" s="9">
        <v>13</v>
      </c>
      <c r="CO295" s="9">
        <v>13</v>
      </c>
      <c r="CP295" s="9">
        <v>11</v>
      </c>
      <c r="CQ295" s="9">
        <v>14</v>
      </c>
      <c r="CR295" s="9">
        <v>18</v>
      </c>
      <c r="CS295" s="10">
        <v>13</v>
      </c>
    </row>
    <row r="296" spans="1:97" x14ac:dyDescent="0.35">
      <c r="A296" s="8" t="s">
        <v>261</v>
      </c>
      <c r="B296" s="9" t="s">
        <v>320</v>
      </c>
      <c r="C296" s="9" t="s">
        <v>1006</v>
      </c>
      <c r="D296" s="9">
        <f t="shared" si="4"/>
        <v>194</v>
      </c>
      <c r="E296" s="9">
        <v>1</v>
      </c>
      <c r="F296" s="9">
        <v>0</v>
      </c>
      <c r="G296" s="9">
        <v>0</v>
      </c>
      <c r="H296" s="9">
        <v>0</v>
      </c>
      <c r="I296" s="9">
        <v>0</v>
      </c>
      <c r="J296" s="9">
        <v>0</v>
      </c>
      <c r="K296" s="9">
        <v>0</v>
      </c>
      <c r="L296" s="9">
        <v>1</v>
      </c>
      <c r="M296" s="9">
        <v>1</v>
      </c>
      <c r="N296" s="9">
        <v>0</v>
      </c>
      <c r="O296" s="9">
        <v>1</v>
      </c>
      <c r="P296" s="9">
        <v>0</v>
      </c>
      <c r="Q296" s="9">
        <v>1</v>
      </c>
      <c r="R296" s="9">
        <v>0</v>
      </c>
      <c r="S296" s="9">
        <v>0</v>
      </c>
      <c r="T296" s="9">
        <v>0</v>
      </c>
      <c r="U296" s="9">
        <v>0</v>
      </c>
      <c r="V296" s="9">
        <v>0</v>
      </c>
      <c r="W296" s="9">
        <v>1</v>
      </c>
      <c r="X296" s="9">
        <v>0</v>
      </c>
      <c r="Y296" s="9">
        <v>1</v>
      </c>
      <c r="Z296" s="9">
        <v>0</v>
      </c>
      <c r="AA296" s="9">
        <v>0</v>
      </c>
      <c r="AB296" s="9">
        <v>0</v>
      </c>
      <c r="AC296" s="9">
        <v>0</v>
      </c>
      <c r="AD296" s="9">
        <v>0</v>
      </c>
      <c r="AE296" s="9">
        <v>0</v>
      </c>
      <c r="AF296" s="9">
        <v>0</v>
      </c>
      <c r="AG296" s="9">
        <v>0</v>
      </c>
      <c r="AH296" s="9">
        <v>0</v>
      </c>
      <c r="AI296" s="9">
        <v>0</v>
      </c>
      <c r="AJ296" s="9">
        <v>0</v>
      </c>
      <c r="AK296" s="9">
        <v>0</v>
      </c>
      <c r="AL296" s="9">
        <v>0</v>
      </c>
      <c r="AM296" s="9">
        <v>1</v>
      </c>
      <c r="AN296" s="9">
        <v>0</v>
      </c>
      <c r="AO296" s="9">
        <v>0</v>
      </c>
      <c r="AP296" s="9">
        <v>1</v>
      </c>
      <c r="AQ296" s="9">
        <v>0</v>
      </c>
      <c r="AR296" s="9">
        <v>1</v>
      </c>
      <c r="AS296" s="9">
        <v>0</v>
      </c>
      <c r="AT296" s="9">
        <v>0</v>
      </c>
      <c r="AU296" s="9">
        <v>0</v>
      </c>
      <c r="AV296" s="9">
        <v>1</v>
      </c>
      <c r="AW296" s="9">
        <v>0</v>
      </c>
      <c r="AX296" s="9">
        <v>0</v>
      </c>
      <c r="AY296" s="9">
        <v>0</v>
      </c>
      <c r="AZ296" s="9">
        <v>2</v>
      </c>
      <c r="BA296" s="9">
        <v>3</v>
      </c>
      <c r="BB296" s="9">
        <v>1</v>
      </c>
      <c r="BC296" s="9">
        <v>1</v>
      </c>
      <c r="BD296" s="9">
        <v>0</v>
      </c>
      <c r="BE296" s="9">
        <v>0</v>
      </c>
      <c r="BF296" s="9">
        <v>1</v>
      </c>
      <c r="BG296" s="9">
        <v>1</v>
      </c>
      <c r="BH296" s="9">
        <v>0</v>
      </c>
      <c r="BI296" s="9">
        <v>0</v>
      </c>
      <c r="BJ296" s="9">
        <v>2</v>
      </c>
      <c r="BK296" s="9">
        <v>0</v>
      </c>
      <c r="BL296" s="9">
        <v>0</v>
      </c>
      <c r="BM296" s="9">
        <v>2</v>
      </c>
      <c r="BN296" s="9">
        <v>3</v>
      </c>
      <c r="BO296" s="9">
        <v>1</v>
      </c>
      <c r="BP296" s="9">
        <v>2</v>
      </c>
      <c r="BQ296" s="9">
        <v>3</v>
      </c>
      <c r="BR296" s="9">
        <v>0</v>
      </c>
      <c r="BS296" s="9">
        <v>2</v>
      </c>
      <c r="BT296" s="9">
        <v>1</v>
      </c>
      <c r="BU296" s="9">
        <v>1</v>
      </c>
      <c r="BV296" s="9">
        <v>4</v>
      </c>
      <c r="BW296" s="9">
        <v>1</v>
      </c>
      <c r="BX296" s="9">
        <v>4</v>
      </c>
      <c r="BY296" s="9">
        <v>4</v>
      </c>
      <c r="BZ296" s="9">
        <v>4</v>
      </c>
      <c r="CA296" s="9">
        <v>2</v>
      </c>
      <c r="CB296" s="9">
        <v>5</v>
      </c>
      <c r="CC296" s="9">
        <v>4</v>
      </c>
      <c r="CD296" s="9">
        <v>1</v>
      </c>
      <c r="CE296" s="9">
        <v>5</v>
      </c>
      <c r="CF296" s="9">
        <v>4</v>
      </c>
      <c r="CG296" s="9">
        <v>5</v>
      </c>
      <c r="CH296" s="9">
        <v>5</v>
      </c>
      <c r="CI296" s="9">
        <v>5</v>
      </c>
      <c r="CJ296" s="9">
        <v>9</v>
      </c>
      <c r="CK296" s="9">
        <v>11</v>
      </c>
      <c r="CL296" s="9">
        <v>6</v>
      </c>
      <c r="CM296" s="9">
        <v>16</v>
      </c>
      <c r="CN296" s="9">
        <v>6</v>
      </c>
      <c r="CO296" s="9">
        <v>13</v>
      </c>
      <c r="CP296" s="9">
        <v>8</v>
      </c>
      <c r="CQ296" s="9">
        <v>8</v>
      </c>
      <c r="CR296" s="9">
        <v>9</v>
      </c>
      <c r="CS296" s="10">
        <v>18</v>
      </c>
    </row>
    <row r="297" spans="1:97" x14ac:dyDescent="0.35">
      <c r="A297" s="8" t="s">
        <v>261</v>
      </c>
      <c r="B297" s="9" t="s">
        <v>322</v>
      </c>
      <c r="C297" s="9" t="s">
        <v>1007</v>
      </c>
      <c r="D297" s="9">
        <f t="shared" si="4"/>
        <v>382</v>
      </c>
      <c r="E297" s="9">
        <v>0</v>
      </c>
      <c r="F297" s="9">
        <v>0</v>
      </c>
      <c r="G297" s="9">
        <v>1</v>
      </c>
      <c r="H297" s="9">
        <v>2</v>
      </c>
      <c r="I297" s="9">
        <v>0</v>
      </c>
      <c r="J297" s="9">
        <v>0</v>
      </c>
      <c r="K297" s="9">
        <v>1</v>
      </c>
      <c r="L297" s="9">
        <v>1</v>
      </c>
      <c r="M297" s="9">
        <v>1</v>
      </c>
      <c r="N297" s="9">
        <v>1</v>
      </c>
      <c r="O297" s="9">
        <v>1</v>
      </c>
      <c r="P297" s="9">
        <v>1</v>
      </c>
      <c r="Q297" s="9">
        <v>0</v>
      </c>
      <c r="R297" s="9">
        <v>0</v>
      </c>
      <c r="S297" s="9">
        <v>0</v>
      </c>
      <c r="T297" s="9">
        <v>1</v>
      </c>
      <c r="U297" s="9">
        <v>1</v>
      </c>
      <c r="V297" s="9">
        <v>2</v>
      </c>
      <c r="W297" s="9">
        <v>0</v>
      </c>
      <c r="X297" s="9">
        <v>3</v>
      </c>
      <c r="Y297" s="9">
        <v>0</v>
      </c>
      <c r="Z297" s="9">
        <v>0</v>
      </c>
      <c r="AA297" s="9">
        <v>1</v>
      </c>
      <c r="AB297" s="9">
        <v>2</v>
      </c>
      <c r="AC297" s="9">
        <v>1</v>
      </c>
      <c r="AD297" s="9">
        <v>1</v>
      </c>
      <c r="AE297" s="9">
        <v>0</v>
      </c>
      <c r="AF297" s="9">
        <v>1</v>
      </c>
      <c r="AG297" s="9">
        <v>1</v>
      </c>
      <c r="AH297" s="9">
        <v>1</v>
      </c>
      <c r="AI297" s="9">
        <v>1</v>
      </c>
      <c r="AJ297" s="9">
        <v>0</v>
      </c>
      <c r="AK297" s="9">
        <v>0</v>
      </c>
      <c r="AL297" s="9">
        <v>0</v>
      </c>
      <c r="AM297" s="9">
        <v>1</v>
      </c>
      <c r="AN297" s="9">
        <v>0</v>
      </c>
      <c r="AO297" s="9">
        <v>0</v>
      </c>
      <c r="AP297" s="9">
        <v>0</v>
      </c>
      <c r="AQ297" s="9">
        <v>1</v>
      </c>
      <c r="AR297" s="9">
        <v>2</v>
      </c>
      <c r="AS297" s="9">
        <v>0</v>
      </c>
      <c r="AT297" s="9">
        <v>0</v>
      </c>
      <c r="AU297" s="9">
        <v>1</v>
      </c>
      <c r="AV297" s="9">
        <v>1</v>
      </c>
      <c r="AW297" s="9">
        <v>2</v>
      </c>
      <c r="AX297" s="9">
        <v>0</v>
      </c>
      <c r="AY297" s="9">
        <v>4</v>
      </c>
      <c r="AZ297" s="9">
        <v>1</v>
      </c>
      <c r="BA297" s="9">
        <v>4</v>
      </c>
      <c r="BB297" s="9">
        <v>2</v>
      </c>
      <c r="BC297" s="9">
        <v>4</v>
      </c>
      <c r="BD297" s="9">
        <v>7</v>
      </c>
      <c r="BE297" s="9">
        <v>5</v>
      </c>
      <c r="BF297" s="9">
        <v>5</v>
      </c>
      <c r="BG297" s="9">
        <v>3</v>
      </c>
      <c r="BH297" s="9">
        <v>6</v>
      </c>
      <c r="BI297" s="9">
        <v>6</v>
      </c>
      <c r="BJ297" s="9">
        <v>3</v>
      </c>
      <c r="BK297" s="9">
        <v>2</v>
      </c>
      <c r="BL297" s="9">
        <v>2</v>
      </c>
      <c r="BM297" s="9">
        <v>4</v>
      </c>
      <c r="BN297" s="9">
        <v>5</v>
      </c>
      <c r="BO297" s="9">
        <v>3</v>
      </c>
      <c r="BP297" s="9">
        <v>7</v>
      </c>
      <c r="BQ297" s="9">
        <v>13</v>
      </c>
      <c r="BR297" s="9">
        <v>5</v>
      </c>
      <c r="BS297" s="9">
        <v>4</v>
      </c>
      <c r="BT297" s="9">
        <v>4</v>
      </c>
      <c r="BU297" s="9">
        <v>4</v>
      </c>
      <c r="BV297" s="9">
        <v>4</v>
      </c>
      <c r="BW297" s="9">
        <v>15</v>
      </c>
      <c r="BX297" s="9">
        <v>4</v>
      </c>
      <c r="BY297" s="9">
        <v>4</v>
      </c>
      <c r="BZ297" s="9">
        <v>5</v>
      </c>
      <c r="CA297" s="9">
        <v>9</v>
      </c>
      <c r="CB297" s="9">
        <v>9</v>
      </c>
      <c r="CC297" s="9">
        <v>6</v>
      </c>
      <c r="CD297" s="9">
        <v>8</v>
      </c>
      <c r="CE297" s="9">
        <v>6</v>
      </c>
      <c r="CF297" s="9">
        <v>7</v>
      </c>
      <c r="CG297" s="9">
        <v>14</v>
      </c>
      <c r="CH297" s="9">
        <v>12</v>
      </c>
      <c r="CI297" s="9">
        <v>17</v>
      </c>
      <c r="CJ297" s="9">
        <v>7</v>
      </c>
      <c r="CK297" s="9">
        <v>13</v>
      </c>
      <c r="CL297" s="9">
        <v>13</v>
      </c>
      <c r="CM297" s="9">
        <v>16</v>
      </c>
      <c r="CN297" s="9">
        <v>10</v>
      </c>
      <c r="CO297" s="9">
        <v>13</v>
      </c>
      <c r="CP297" s="9">
        <v>13</v>
      </c>
      <c r="CQ297" s="9">
        <v>8</v>
      </c>
      <c r="CR297" s="9">
        <v>22</v>
      </c>
      <c r="CS297" s="10">
        <v>11</v>
      </c>
    </row>
    <row r="298" spans="1:97" x14ac:dyDescent="0.35">
      <c r="A298" s="8" t="s">
        <v>261</v>
      </c>
      <c r="B298" s="9" t="s">
        <v>324</v>
      </c>
      <c r="C298" s="9" t="s">
        <v>1008</v>
      </c>
      <c r="D298" s="9">
        <f t="shared" si="4"/>
        <v>33</v>
      </c>
      <c r="E298" s="9">
        <v>0</v>
      </c>
      <c r="F298" s="9">
        <v>0</v>
      </c>
      <c r="G298" s="9">
        <v>0</v>
      </c>
      <c r="H298" s="9">
        <v>0</v>
      </c>
      <c r="I298" s="9">
        <v>0</v>
      </c>
      <c r="J298" s="9">
        <v>0</v>
      </c>
      <c r="K298" s="9">
        <v>0</v>
      </c>
      <c r="L298" s="9">
        <v>0</v>
      </c>
      <c r="M298" s="9">
        <v>0</v>
      </c>
      <c r="N298" s="9">
        <v>0</v>
      </c>
      <c r="O298" s="9">
        <v>0</v>
      </c>
      <c r="P298" s="9">
        <v>0</v>
      </c>
      <c r="Q298" s="9">
        <v>0</v>
      </c>
      <c r="R298" s="9">
        <v>0</v>
      </c>
      <c r="S298" s="9">
        <v>0</v>
      </c>
      <c r="T298" s="9">
        <v>0</v>
      </c>
      <c r="U298" s="9">
        <v>0</v>
      </c>
      <c r="V298" s="9">
        <v>0</v>
      </c>
      <c r="W298" s="9">
        <v>0</v>
      </c>
      <c r="X298" s="9">
        <v>0</v>
      </c>
      <c r="Y298" s="9">
        <v>0</v>
      </c>
      <c r="Z298" s="9">
        <v>0</v>
      </c>
      <c r="AA298" s="9">
        <v>0</v>
      </c>
      <c r="AB298" s="9">
        <v>0</v>
      </c>
      <c r="AC298" s="9">
        <v>0</v>
      </c>
      <c r="AD298" s="9">
        <v>0</v>
      </c>
      <c r="AE298" s="9">
        <v>0</v>
      </c>
      <c r="AF298" s="9">
        <v>0</v>
      </c>
      <c r="AG298" s="9">
        <v>0</v>
      </c>
      <c r="AH298" s="9">
        <v>0</v>
      </c>
      <c r="AI298" s="9">
        <v>0</v>
      </c>
      <c r="AJ298" s="9">
        <v>0</v>
      </c>
      <c r="AK298" s="9">
        <v>0</v>
      </c>
      <c r="AL298" s="9">
        <v>0</v>
      </c>
      <c r="AM298" s="9">
        <v>0</v>
      </c>
      <c r="AN298" s="9">
        <v>0</v>
      </c>
      <c r="AO298" s="9">
        <v>0</v>
      </c>
      <c r="AP298" s="9">
        <v>0</v>
      </c>
      <c r="AQ298" s="9">
        <v>0</v>
      </c>
      <c r="AR298" s="9">
        <v>0</v>
      </c>
      <c r="AS298" s="9">
        <v>0</v>
      </c>
      <c r="AT298" s="9">
        <v>0</v>
      </c>
      <c r="AU298" s="9">
        <v>1</v>
      </c>
      <c r="AV298" s="9">
        <v>1</v>
      </c>
      <c r="AW298" s="9">
        <v>0</v>
      </c>
      <c r="AX298" s="9">
        <v>0</v>
      </c>
      <c r="AY298" s="9">
        <v>0</v>
      </c>
      <c r="AZ298" s="9">
        <v>0</v>
      </c>
      <c r="BA298" s="9">
        <v>0</v>
      </c>
      <c r="BB298" s="9">
        <v>0</v>
      </c>
      <c r="BC298" s="9">
        <v>0</v>
      </c>
      <c r="BD298" s="9">
        <v>0</v>
      </c>
      <c r="BE298" s="9">
        <v>0</v>
      </c>
      <c r="BF298" s="9">
        <v>0</v>
      </c>
      <c r="BG298" s="9">
        <v>0</v>
      </c>
      <c r="BH298" s="9">
        <v>0</v>
      </c>
      <c r="BI298" s="9">
        <v>0</v>
      </c>
      <c r="BJ298" s="9">
        <v>0</v>
      </c>
      <c r="BK298" s="9">
        <v>0</v>
      </c>
      <c r="BL298" s="9">
        <v>0</v>
      </c>
      <c r="BM298" s="9">
        <v>10</v>
      </c>
      <c r="BN298" s="9">
        <v>0</v>
      </c>
      <c r="BO298" s="9">
        <v>0</v>
      </c>
      <c r="BP298" s="9">
        <v>0</v>
      </c>
      <c r="BQ298" s="9">
        <v>1</v>
      </c>
      <c r="BR298" s="9">
        <v>0</v>
      </c>
      <c r="BS298" s="9">
        <v>3</v>
      </c>
      <c r="BT298" s="9">
        <v>3</v>
      </c>
      <c r="BU298" s="9">
        <v>3</v>
      </c>
      <c r="BV298" s="9">
        <v>0</v>
      </c>
      <c r="BW298" s="9">
        <v>0</v>
      </c>
      <c r="BX298" s="9">
        <v>0</v>
      </c>
      <c r="BY298" s="9">
        <v>0</v>
      </c>
      <c r="BZ298" s="9">
        <v>0</v>
      </c>
      <c r="CA298" s="9">
        <v>1</v>
      </c>
      <c r="CB298" s="9">
        <v>1</v>
      </c>
      <c r="CC298" s="9">
        <v>0</v>
      </c>
      <c r="CD298" s="9">
        <v>0</v>
      </c>
      <c r="CE298" s="9">
        <v>0</v>
      </c>
      <c r="CF298" s="9">
        <v>1</v>
      </c>
      <c r="CG298" s="9">
        <v>1</v>
      </c>
      <c r="CH298" s="9">
        <v>2</v>
      </c>
      <c r="CI298" s="9">
        <v>0</v>
      </c>
      <c r="CJ298" s="9">
        <v>0</v>
      </c>
      <c r="CK298" s="9">
        <v>0</v>
      </c>
      <c r="CL298" s="9">
        <v>1</v>
      </c>
      <c r="CM298" s="9">
        <v>1</v>
      </c>
      <c r="CN298" s="9">
        <v>0</v>
      </c>
      <c r="CO298" s="9">
        <v>0</v>
      </c>
      <c r="CP298" s="9">
        <v>0</v>
      </c>
      <c r="CQ298" s="9">
        <v>0</v>
      </c>
      <c r="CR298" s="9">
        <v>2</v>
      </c>
      <c r="CS298" s="10">
        <v>1</v>
      </c>
    </row>
    <row r="299" spans="1:97" x14ac:dyDescent="0.35">
      <c r="A299" s="8" t="s">
        <v>261</v>
      </c>
      <c r="B299" s="9" t="s">
        <v>326</v>
      </c>
      <c r="C299" s="9" t="s">
        <v>1009</v>
      </c>
      <c r="D299" s="9">
        <f t="shared" si="4"/>
        <v>22</v>
      </c>
      <c r="E299" s="9">
        <v>0</v>
      </c>
      <c r="F299" s="9">
        <v>0</v>
      </c>
      <c r="G299" s="9">
        <v>0</v>
      </c>
      <c r="H299" s="9">
        <v>0</v>
      </c>
      <c r="I299" s="9">
        <v>0</v>
      </c>
      <c r="J299" s="9">
        <v>0</v>
      </c>
      <c r="K299" s="9">
        <v>0</v>
      </c>
      <c r="L299" s="9">
        <v>0</v>
      </c>
      <c r="M299" s="9">
        <v>0</v>
      </c>
      <c r="N299" s="9">
        <v>0</v>
      </c>
      <c r="O299" s="9">
        <v>0</v>
      </c>
      <c r="P299" s="9">
        <v>1</v>
      </c>
      <c r="Q299" s="9">
        <v>0</v>
      </c>
      <c r="R299" s="9">
        <v>0</v>
      </c>
      <c r="S299" s="9">
        <v>0</v>
      </c>
      <c r="T299" s="9">
        <v>0</v>
      </c>
      <c r="U299" s="9">
        <v>0</v>
      </c>
      <c r="V299" s="9">
        <v>0</v>
      </c>
      <c r="W299" s="9">
        <v>0</v>
      </c>
      <c r="X299" s="9">
        <v>0</v>
      </c>
      <c r="Y299" s="9">
        <v>0</v>
      </c>
      <c r="Z299" s="9">
        <v>0</v>
      </c>
      <c r="AA299" s="9">
        <v>0</v>
      </c>
      <c r="AB299" s="9">
        <v>0</v>
      </c>
      <c r="AC299" s="9">
        <v>0</v>
      </c>
      <c r="AD299" s="9">
        <v>0</v>
      </c>
      <c r="AE299" s="9">
        <v>0</v>
      </c>
      <c r="AF299" s="9">
        <v>0</v>
      </c>
      <c r="AG299" s="9">
        <v>0</v>
      </c>
      <c r="AH299" s="9">
        <v>0</v>
      </c>
      <c r="AI299" s="9">
        <v>0</v>
      </c>
      <c r="AJ299" s="9">
        <v>0</v>
      </c>
      <c r="AK299" s="9">
        <v>0</v>
      </c>
      <c r="AL299" s="9">
        <v>0</v>
      </c>
      <c r="AM299" s="9">
        <v>0</v>
      </c>
      <c r="AN299" s="9">
        <v>0</v>
      </c>
      <c r="AO299" s="9">
        <v>0</v>
      </c>
      <c r="AP299" s="9">
        <v>0</v>
      </c>
      <c r="AQ299" s="9">
        <v>0</v>
      </c>
      <c r="AR299" s="9">
        <v>0</v>
      </c>
      <c r="AS299" s="9">
        <v>0</v>
      </c>
      <c r="AT299" s="9">
        <v>0</v>
      </c>
      <c r="AU299" s="9">
        <v>0</v>
      </c>
      <c r="AV299" s="9">
        <v>0</v>
      </c>
      <c r="AW299" s="9">
        <v>0</v>
      </c>
      <c r="AX299" s="9">
        <v>0</v>
      </c>
      <c r="AY299" s="9">
        <v>0</v>
      </c>
      <c r="AZ299" s="9">
        <v>0</v>
      </c>
      <c r="BA299" s="9">
        <v>0</v>
      </c>
      <c r="BB299" s="9">
        <v>0</v>
      </c>
      <c r="BC299" s="9">
        <v>0</v>
      </c>
      <c r="BD299" s="9">
        <v>0</v>
      </c>
      <c r="BE299" s="9">
        <v>0</v>
      </c>
      <c r="BF299" s="9">
        <v>0</v>
      </c>
      <c r="BG299" s="9">
        <v>0</v>
      </c>
      <c r="BH299" s="9">
        <v>0</v>
      </c>
      <c r="BI299" s="9">
        <v>0</v>
      </c>
      <c r="BJ299" s="9">
        <v>0</v>
      </c>
      <c r="BK299" s="9">
        <v>1</v>
      </c>
      <c r="BL299" s="9">
        <v>0</v>
      </c>
      <c r="BM299" s="9">
        <v>0</v>
      </c>
      <c r="BN299" s="9">
        <v>0</v>
      </c>
      <c r="BO299" s="9">
        <v>0</v>
      </c>
      <c r="BP299" s="9">
        <v>0</v>
      </c>
      <c r="BQ299" s="9">
        <v>0</v>
      </c>
      <c r="BR299" s="9">
        <v>0</v>
      </c>
      <c r="BS299" s="9">
        <v>0</v>
      </c>
      <c r="BT299" s="9">
        <v>0</v>
      </c>
      <c r="BU299" s="9">
        <v>0</v>
      </c>
      <c r="BV299" s="9">
        <v>0</v>
      </c>
      <c r="BW299" s="9">
        <v>0</v>
      </c>
      <c r="BX299" s="9">
        <v>2</v>
      </c>
      <c r="BY299" s="9">
        <v>3</v>
      </c>
      <c r="BZ299" s="9">
        <v>0</v>
      </c>
      <c r="CA299" s="9">
        <v>2</v>
      </c>
      <c r="CB299" s="9">
        <v>1</v>
      </c>
      <c r="CC299" s="9">
        <v>0</v>
      </c>
      <c r="CD299" s="9">
        <v>0</v>
      </c>
      <c r="CE299" s="9">
        <v>0</v>
      </c>
      <c r="CF299" s="9">
        <v>1</v>
      </c>
      <c r="CG299" s="9">
        <v>0</v>
      </c>
      <c r="CH299" s="9">
        <v>0</v>
      </c>
      <c r="CI299" s="9">
        <v>0</v>
      </c>
      <c r="CJ299" s="9">
        <v>1</v>
      </c>
      <c r="CK299" s="9">
        <v>1</v>
      </c>
      <c r="CL299" s="9">
        <v>2</v>
      </c>
      <c r="CM299" s="9">
        <v>0</v>
      </c>
      <c r="CN299" s="9">
        <v>0</v>
      </c>
      <c r="CO299" s="9">
        <v>2</v>
      </c>
      <c r="CP299" s="9">
        <v>0</v>
      </c>
      <c r="CQ299" s="9">
        <v>2</v>
      </c>
      <c r="CR299" s="9">
        <v>2</v>
      </c>
      <c r="CS299" s="10">
        <v>1</v>
      </c>
    </row>
    <row r="300" spans="1:97" x14ac:dyDescent="0.35">
      <c r="A300" s="8" t="s">
        <v>261</v>
      </c>
      <c r="B300" s="9" t="s">
        <v>328</v>
      </c>
      <c r="C300" s="9" t="s">
        <v>1010</v>
      </c>
      <c r="D300" s="9">
        <f t="shared" si="4"/>
        <v>19</v>
      </c>
      <c r="E300" s="9">
        <v>0</v>
      </c>
      <c r="F300" s="9">
        <v>0</v>
      </c>
      <c r="G300" s="9">
        <v>0</v>
      </c>
      <c r="H300" s="9">
        <v>0</v>
      </c>
      <c r="I300" s="9">
        <v>0</v>
      </c>
      <c r="J300" s="9">
        <v>0</v>
      </c>
      <c r="K300" s="9">
        <v>0</v>
      </c>
      <c r="L300" s="9">
        <v>0</v>
      </c>
      <c r="M300" s="9">
        <v>0</v>
      </c>
      <c r="N300" s="9">
        <v>0</v>
      </c>
      <c r="O300" s="9">
        <v>0</v>
      </c>
      <c r="P300" s="9">
        <v>0</v>
      </c>
      <c r="Q300" s="9">
        <v>0</v>
      </c>
      <c r="R300" s="9">
        <v>0</v>
      </c>
      <c r="S300" s="9">
        <v>0</v>
      </c>
      <c r="T300" s="9">
        <v>0</v>
      </c>
      <c r="U300" s="9">
        <v>0</v>
      </c>
      <c r="V300" s="9">
        <v>0</v>
      </c>
      <c r="W300" s="9">
        <v>0</v>
      </c>
      <c r="X300" s="9">
        <v>0</v>
      </c>
      <c r="Y300" s="9">
        <v>0</v>
      </c>
      <c r="Z300" s="9">
        <v>0</v>
      </c>
      <c r="AA300" s="9">
        <v>0</v>
      </c>
      <c r="AB300" s="9">
        <v>0</v>
      </c>
      <c r="AC300" s="9">
        <v>0</v>
      </c>
      <c r="AD300" s="9">
        <v>0</v>
      </c>
      <c r="AE300" s="9">
        <v>0</v>
      </c>
      <c r="AF300" s="9">
        <v>0</v>
      </c>
      <c r="AG300" s="9">
        <v>0</v>
      </c>
      <c r="AH300" s="9">
        <v>0</v>
      </c>
      <c r="AI300" s="9">
        <v>0</v>
      </c>
      <c r="AJ300" s="9">
        <v>0</v>
      </c>
      <c r="AK300" s="9">
        <v>0</v>
      </c>
      <c r="AL300" s="9">
        <v>0</v>
      </c>
      <c r="AM300" s="9">
        <v>0</v>
      </c>
      <c r="AN300" s="9">
        <v>0</v>
      </c>
      <c r="AO300" s="9">
        <v>0</v>
      </c>
      <c r="AP300" s="9">
        <v>0</v>
      </c>
      <c r="AQ300" s="9">
        <v>0</v>
      </c>
      <c r="AR300" s="9">
        <v>0</v>
      </c>
      <c r="AS300" s="9">
        <v>0</v>
      </c>
      <c r="AT300" s="9">
        <v>0</v>
      </c>
      <c r="AU300" s="9">
        <v>0</v>
      </c>
      <c r="AV300" s="9">
        <v>0</v>
      </c>
      <c r="AW300" s="9">
        <v>1</v>
      </c>
      <c r="AX300" s="9">
        <v>0</v>
      </c>
      <c r="AY300" s="9">
        <v>0</v>
      </c>
      <c r="AZ300" s="9">
        <v>0</v>
      </c>
      <c r="BA300" s="9">
        <v>0</v>
      </c>
      <c r="BB300" s="9">
        <v>0</v>
      </c>
      <c r="BC300" s="9">
        <v>0</v>
      </c>
      <c r="BD300" s="9">
        <v>0</v>
      </c>
      <c r="BE300" s="9">
        <v>0</v>
      </c>
      <c r="BF300" s="9">
        <v>0</v>
      </c>
      <c r="BG300" s="9">
        <v>0</v>
      </c>
      <c r="BH300" s="9">
        <v>0</v>
      </c>
      <c r="BI300" s="9">
        <v>0</v>
      </c>
      <c r="BJ300" s="9">
        <v>0</v>
      </c>
      <c r="BK300" s="9">
        <v>0</v>
      </c>
      <c r="BL300" s="9">
        <v>0</v>
      </c>
      <c r="BM300" s="9">
        <v>0</v>
      </c>
      <c r="BN300" s="9">
        <v>0</v>
      </c>
      <c r="BO300" s="9">
        <v>0</v>
      </c>
      <c r="BP300" s="9">
        <v>1</v>
      </c>
      <c r="BQ300" s="9">
        <v>0</v>
      </c>
      <c r="BR300" s="9">
        <v>0</v>
      </c>
      <c r="BS300" s="9">
        <v>0</v>
      </c>
      <c r="BT300" s="9">
        <v>1</v>
      </c>
      <c r="BU300" s="9">
        <v>0</v>
      </c>
      <c r="BV300" s="9">
        <v>0</v>
      </c>
      <c r="BW300" s="9">
        <v>0</v>
      </c>
      <c r="BX300" s="9">
        <v>0</v>
      </c>
      <c r="BY300" s="9">
        <v>1</v>
      </c>
      <c r="BZ300" s="9">
        <v>1</v>
      </c>
      <c r="CA300" s="9">
        <v>0</v>
      </c>
      <c r="CB300" s="9">
        <v>1</v>
      </c>
      <c r="CC300" s="9">
        <v>1</v>
      </c>
      <c r="CD300" s="9">
        <v>1</v>
      </c>
      <c r="CE300" s="9">
        <v>1</v>
      </c>
      <c r="CF300" s="9">
        <v>0</v>
      </c>
      <c r="CG300" s="9">
        <v>0</v>
      </c>
      <c r="CH300" s="9">
        <v>0</v>
      </c>
      <c r="CI300" s="9">
        <v>2</v>
      </c>
      <c r="CJ300" s="9">
        <v>0</v>
      </c>
      <c r="CK300" s="9">
        <v>0</v>
      </c>
      <c r="CL300" s="9">
        <v>1</v>
      </c>
      <c r="CM300" s="9">
        <v>1</v>
      </c>
      <c r="CN300" s="9">
        <v>1</v>
      </c>
      <c r="CO300" s="9">
        <v>1</v>
      </c>
      <c r="CP300" s="9">
        <v>1</v>
      </c>
      <c r="CQ300" s="9">
        <v>0</v>
      </c>
      <c r="CR300" s="9">
        <v>0</v>
      </c>
      <c r="CS300" s="10">
        <v>3</v>
      </c>
    </row>
    <row r="301" spans="1:97" x14ac:dyDescent="0.35">
      <c r="A301" s="8" t="s">
        <v>261</v>
      </c>
      <c r="B301" s="9" t="s">
        <v>330</v>
      </c>
      <c r="C301" s="9" t="s">
        <v>1011</v>
      </c>
      <c r="D301" s="9">
        <f t="shared" si="4"/>
        <v>608</v>
      </c>
      <c r="E301" s="9">
        <v>0</v>
      </c>
      <c r="F301" s="9">
        <v>4</v>
      </c>
      <c r="G301" s="9">
        <v>5</v>
      </c>
      <c r="H301" s="9">
        <v>2</v>
      </c>
      <c r="I301" s="9">
        <v>1</v>
      </c>
      <c r="J301" s="9">
        <v>2</v>
      </c>
      <c r="K301" s="9">
        <v>2</v>
      </c>
      <c r="L301" s="9">
        <v>1</v>
      </c>
      <c r="M301" s="9">
        <v>1</v>
      </c>
      <c r="N301" s="9">
        <v>1</v>
      </c>
      <c r="O301" s="9">
        <v>1</v>
      </c>
      <c r="P301" s="9">
        <v>0</v>
      </c>
      <c r="Q301" s="9">
        <v>1</v>
      </c>
      <c r="R301" s="9">
        <v>1</v>
      </c>
      <c r="S301" s="9">
        <v>2</v>
      </c>
      <c r="T301" s="9">
        <v>2</v>
      </c>
      <c r="U301" s="9">
        <v>1</v>
      </c>
      <c r="V301" s="9">
        <v>0</v>
      </c>
      <c r="W301" s="9">
        <v>0</v>
      </c>
      <c r="X301" s="9">
        <v>2</v>
      </c>
      <c r="Y301" s="9">
        <v>1</v>
      </c>
      <c r="Z301" s="9">
        <v>0</v>
      </c>
      <c r="AA301" s="9">
        <v>0</v>
      </c>
      <c r="AB301" s="9">
        <v>0</v>
      </c>
      <c r="AC301" s="9">
        <v>3</v>
      </c>
      <c r="AD301" s="9">
        <v>1</v>
      </c>
      <c r="AE301" s="9">
        <v>3</v>
      </c>
      <c r="AF301" s="9">
        <v>0</v>
      </c>
      <c r="AG301" s="9">
        <v>0</v>
      </c>
      <c r="AH301" s="9">
        <v>0</v>
      </c>
      <c r="AI301" s="9">
        <v>2</v>
      </c>
      <c r="AJ301" s="9">
        <v>3</v>
      </c>
      <c r="AK301" s="9">
        <v>0</v>
      </c>
      <c r="AL301" s="9">
        <v>1</v>
      </c>
      <c r="AM301" s="9">
        <v>1</v>
      </c>
      <c r="AN301" s="9">
        <v>2</v>
      </c>
      <c r="AO301" s="9">
        <v>0</v>
      </c>
      <c r="AP301" s="9">
        <v>0</v>
      </c>
      <c r="AQ301" s="9">
        <v>0</v>
      </c>
      <c r="AR301" s="9">
        <v>2</v>
      </c>
      <c r="AS301" s="9">
        <v>2</v>
      </c>
      <c r="AT301" s="9">
        <v>1</v>
      </c>
      <c r="AU301" s="9">
        <v>1</v>
      </c>
      <c r="AV301" s="9">
        <v>3</v>
      </c>
      <c r="AW301" s="9">
        <v>4</v>
      </c>
      <c r="AX301" s="9">
        <v>7</v>
      </c>
      <c r="AY301" s="9">
        <v>2</v>
      </c>
      <c r="AZ301" s="9">
        <v>3</v>
      </c>
      <c r="BA301" s="9">
        <v>0</v>
      </c>
      <c r="BB301" s="9">
        <v>6</v>
      </c>
      <c r="BC301" s="9">
        <v>7</v>
      </c>
      <c r="BD301" s="9">
        <v>5</v>
      </c>
      <c r="BE301" s="9">
        <v>5</v>
      </c>
      <c r="BF301" s="9">
        <v>3</v>
      </c>
      <c r="BG301" s="9">
        <v>6</v>
      </c>
      <c r="BH301" s="9">
        <v>5</v>
      </c>
      <c r="BI301" s="9">
        <v>4</v>
      </c>
      <c r="BJ301" s="9">
        <v>6</v>
      </c>
      <c r="BK301" s="9">
        <v>6</v>
      </c>
      <c r="BL301" s="9">
        <v>9</v>
      </c>
      <c r="BM301" s="9">
        <v>3</v>
      </c>
      <c r="BN301" s="9">
        <v>7</v>
      </c>
      <c r="BO301" s="9">
        <v>7</v>
      </c>
      <c r="BP301" s="9">
        <v>7</v>
      </c>
      <c r="BQ301" s="9">
        <v>7</v>
      </c>
      <c r="BR301" s="9">
        <v>12</v>
      </c>
      <c r="BS301" s="9">
        <v>14</v>
      </c>
      <c r="BT301" s="9">
        <v>5</v>
      </c>
      <c r="BU301" s="9">
        <v>6</v>
      </c>
      <c r="BV301" s="9">
        <v>11</v>
      </c>
      <c r="BW301" s="9">
        <v>13</v>
      </c>
      <c r="BX301" s="9">
        <v>11</v>
      </c>
      <c r="BY301" s="9">
        <v>7</v>
      </c>
      <c r="BZ301" s="9">
        <v>8</v>
      </c>
      <c r="CA301" s="9">
        <v>9</v>
      </c>
      <c r="CB301" s="9">
        <v>9</v>
      </c>
      <c r="CC301" s="9">
        <v>9</v>
      </c>
      <c r="CD301" s="9">
        <v>18</v>
      </c>
      <c r="CE301" s="9">
        <v>13</v>
      </c>
      <c r="CF301" s="9">
        <v>15</v>
      </c>
      <c r="CG301" s="9">
        <v>23</v>
      </c>
      <c r="CH301" s="9">
        <v>31</v>
      </c>
      <c r="CI301" s="9">
        <v>29</v>
      </c>
      <c r="CJ301" s="9">
        <v>10</v>
      </c>
      <c r="CK301" s="9">
        <v>23</v>
      </c>
      <c r="CL301" s="9">
        <v>17</v>
      </c>
      <c r="CM301" s="9">
        <v>26</v>
      </c>
      <c r="CN301" s="9">
        <v>26</v>
      </c>
      <c r="CO301" s="9">
        <v>25</v>
      </c>
      <c r="CP301" s="9">
        <v>13</v>
      </c>
      <c r="CQ301" s="9">
        <v>22</v>
      </c>
      <c r="CR301" s="9">
        <v>17</v>
      </c>
      <c r="CS301" s="10">
        <v>22</v>
      </c>
    </row>
    <row r="302" spans="1:97" x14ac:dyDescent="0.35">
      <c r="A302" s="8" t="s">
        <v>261</v>
      </c>
      <c r="B302" s="9" t="s">
        <v>332</v>
      </c>
      <c r="C302" s="9" t="s">
        <v>1012</v>
      </c>
      <c r="D302" s="9">
        <f t="shared" si="4"/>
        <v>18</v>
      </c>
      <c r="E302" s="9">
        <v>0</v>
      </c>
      <c r="F302" s="9">
        <v>0</v>
      </c>
      <c r="G302" s="9">
        <v>0</v>
      </c>
      <c r="H302" s="9">
        <v>0</v>
      </c>
      <c r="I302" s="9">
        <v>0</v>
      </c>
      <c r="J302" s="9">
        <v>0</v>
      </c>
      <c r="K302" s="9">
        <v>0</v>
      </c>
      <c r="L302" s="9">
        <v>0</v>
      </c>
      <c r="M302" s="9">
        <v>0</v>
      </c>
      <c r="N302" s="9">
        <v>0</v>
      </c>
      <c r="O302" s="9">
        <v>0</v>
      </c>
      <c r="P302" s="9">
        <v>0</v>
      </c>
      <c r="Q302" s="9">
        <v>0</v>
      </c>
      <c r="R302" s="9">
        <v>0</v>
      </c>
      <c r="S302" s="9">
        <v>0</v>
      </c>
      <c r="T302" s="9">
        <v>0</v>
      </c>
      <c r="U302" s="9">
        <v>0</v>
      </c>
      <c r="V302" s="9">
        <v>0</v>
      </c>
      <c r="W302" s="9">
        <v>0</v>
      </c>
      <c r="X302" s="9">
        <v>0</v>
      </c>
      <c r="Y302" s="9">
        <v>0</v>
      </c>
      <c r="Z302" s="9">
        <v>0</v>
      </c>
      <c r="AA302" s="9">
        <v>0</v>
      </c>
      <c r="AB302" s="9">
        <v>0</v>
      </c>
      <c r="AC302" s="9">
        <v>0</v>
      </c>
      <c r="AD302" s="9">
        <v>0</v>
      </c>
      <c r="AE302" s="9">
        <v>0</v>
      </c>
      <c r="AF302" s="9">
        <v>0</v>
      </c>
      <c r="AG302" s="9">
        <v>0</v>
      </c>
      <c r="AH302" s="9">
        <v>0</v>
      </c>
      <c r="AI302" s="9">
        <v>0</v>
      </c>
      <c r="AJ302" s="9">
        <v>0</v>
      </c>
      <c r="AK302" s="9">
        <v>0</v>
      </c>
      <c r="AL302" s="9">
        <v>0</v>
      </c>
      <c r="AM302" s="9">
        <v>0</v>
      </c>
      <c r="AN302" s="9">
        <v>0</v>
      </c>
      <c r="AO302" s="9">
        <v>0</v>
      </c>
      <c r="AP302" s="9">
        <v>0</v>
      </c>
      <c r="AQ302" s="9">
        <v>0</v>
      </c>
      <c r="AR302" s="9">
        <v>0</v>
      </c>
      <c r="AS302" s="9">
        <v>0</v>
      </c>
      <c r="AT302" s="9">
        <v>0</v>
      </c>
      <c r="AU302" s="9">
        <v>0</v>
      </c>
      <c r="AV302" s="9">
        <v>0</v>
      </c>
      <c r="AW302" s="9">
        <v>0</v>
      </c>
      <c r="AX302" s="9">
        <v>0</v>
      </c>
      <c r="AY302" s="9">
        <v>0</v>
      </c>
      <c r="AZ302" s="9">
        <v>0</v>
      </c>
      <c r="BA302" s="9">
        <v>0</v>
      </c>
      <c r="BB302" s="9">
        <v>0</v>
      </c>
      <c r="BC302" s="9">
        <v>0</v>
      </c>
      <c r="BD302" s="9">
        <v>0</v>
      </c>
      <c r="BE302" s="9">
        <v>0</v>
      </c>
      <c r="BF302" s="9">
        <v>0</v>
      </c>
      <c r="BG302" s="9">
        <v>0</v>
      </c>
      <c r="BH302" s="9">
        <v>0</v>
      </c>
      <c r="BI302" s="9">
        <v>0</v>
      </c>
      <c r="BJ302" s="9">
        <v>0</v>
      </c>
      <c r="BK302" s="9">
        <v>0</v>
      </c>
      <c r="BL302" s="9">
        <v>0</v>
      </c>
      <c r="BM302" s="9">
        <v>0</v>
      </c>
      <c r="BN302" s="9">
        <v>0</v>
      </c>
      <c r="BO302" s="9">
        <v>0</v>
      </c>
      <c r="BP302" s="9">
        <v>0</v>
      </c>
      <c r="BQ302" s="9">
        <v>0</v>
      </c>
      <c r="BR302" s="9">
        <v>0</v>
      </c>
      <c r="BS302" s="9">
        <v>0</v>
      </c>
      <c r="BT302" s="9">
        <v>0</v>
      </c>
      <c r="BU302" s="9">
        <v>0</v>
      </c>
      <c r="BV302" s="9">
        <v>0</v>
      </c>
      <c r="BW302" s="9">
        <v>0</v>
      </c>
      <c r="BX302" s="9">
        <v>0</v>
      </c>
      <c r="BY302" s="9">
        <v>0</v>
      </c>
      <c r="BZ302" s="9">
        <v>0</v>
      </c>
      <c r="CA302" s="9">
        <v>0</v>
      </c>
      <c r="CB302" s="9">
        <v>0</v>
      </c>
      <c r="CC302" s="9">
        <v>0</v>
      </c>
      <c r="CD302" s="9">
        <v>0</v>
      </c>
      <c r="CE302" s="9">
        <v>0</v>
      </c>
      <c r="CF302" s="9">
        <v>0</v>
      </c>
      <c r="CG302" s="9">
        <v>0</v>
      </c>
      <c r="CH302" s="9">
        <v>0</v>
      </c>
      <c r="CI302" s="9">
        <v>0</v>
      </c>
      <c r="CJ302" s="9">
        <v>0</v>
      </c>
      <c r="CK302" s="9">
        <v>0</v>
      </c>
      <c r="CL302" s="9">
        <v>5</v>
      </c>
      <c r="CM302" s="9">
        <v>1</v>
      </c>
      <c r="CN302" s="9">
        <v>0</v>
      </c>
      <c r="CO302" s="9">
        <v>3</v>
      </c>
      <c r="CP302" s="9">
        <v>3</v>
      </c>
      <c r="CQ302" s="9">
        <v>3</v>
      </c>
      <c r="CR302" s="9">
        <v>2</v>
      </c>
      <c r="CS302" s="10">
        <v>1</v>
      </c>
    </row>
    <row r="303" spans="1:97" x14ac:dyDescent="0.35">
      <c r="A303" s="8" t="s">
        <v>261</v>
      </c>
      <c r="B303" s="9" t="s">
        <v>334</v>
      </c>
      <c r="C303" s="9" t="s">
        <v>1013</v>
      </c>
      <c r="D303" s="9">
        <f t="shared" si="4"/>
        <v>420</v>
      </c>
      <c r="E303" s="9">
        <v>0</v>
      </c>
      <c r="F303" s="9">
        <v>0</v>
      </c>
      <c r="G303" s="9">
        <v>0</v>
      </c>
      <c r="H303" s="9">
        <v>0</v>
      </c>
      <c r="I303" s="9">
        <v>0</v>
      </c>
      <c r="J303" s="9">
        <v>0</v>
      </c>
      <c r="K303" s="9">
        <v>0</v>
      </c>
      <c r="L303" s="9">
        <v>1</v>
      </c>
      <c r="M303" s="9">
        <v>0</v>
      </c>
      <c r="N303" s="9">
        <v>0</v>
      </c>
      <c r="O303" s="9">
        <v>1</v>
      </c>
      <c r="P303" s="9">
        <v>1</v>
      </c>
      <c r="Q303" s="9">
        <v>0</v>
      </c>
      <c r="R303" s="9">
        <v>0</v>
      </c>
      <c r="S303" s="9">
        <v>0</v>
      </c>
      <c r="T303" s="9">
        <v>0</v>
      </c>
      <c r="U303" s="9">
        <v>2</v>
      </c>
      <c r="V303" s="9">
        <v>0</v>
      </c>
      <c r="W303" s="9">
        <v>1</v>
      </c>
      <c r="X303" s="9">
        <v>1</v>
      </c>
      <c r="Y303" s="9">
        <v>0</v>
      </c>
      <c r="Z303" s="9">
        <v>0</v>
      </c>
      <c r="AA303" s="9">
        <v>0</v>
      </c>
      <c r="AB303" s="9">
        <v>0</v>
      </c>
      <c r="AC303" s="9">
        <v>0</v>
      </c>
      <c r="AD303" s="9">
        <v>0</v>
      </c>
      <c r="AE303" s="9">
        <v>0</v>
      </c>
      <c r="AF303" s="9">
        <v>1</v>
      </c>
      <c r="AG303" s="9">
        <v>0</v>
      </c>
      <c r="AH303" s="9">
        <v>0</v>
      </c>
      <c r="AI303" s="9">
        <v>0</v>
      </c>
      <c r="AJ303" s="9">
        <v>1</v>
      </c>
      <c r="AK303" s="9">
        <v>0</v>
      </c>
      <c r="AL303" s="9">
        <v>0</v>
      </c>
      <c r="AM303" s="9">
        <v>0</v>
      </c>
      <c r="AN303" s="9">
        <v>0</v>
      </c>
      <c r="AO303" s="9">
        <v>0</v>
      </c>
      <c r="AP303" s="9">
        <v>1</v>
      </c>
      <c r="AQ303" s="9">
        <v>0</v>
      </c>
      <c r="AR303" s="9">
        <v>1</v>
      </c>
      <c r="AS303" s="9">
        <v>0</v>
      </c>
      <c r="AT303" s="9">
        <v>0</v>
      </c>
      <c r="AU303" s="9">
        <v>0</v>
      </c>
      <c r="AV303" s="9">
        <v>0</v>
      </c>
      <c r="AW303" s="9">
        <v>0</v>
      </c>
      <c r="AX303" s="9">
        <v>0</v>
      </c>
      <c r="AY303" s="9">
        <v>2</v>
      </c>
      <c r="AZ303" s="9">
        <v>2</v>
      </c>
      <c r="BA303" s="9">
        <v>2</v>
      </c>
      <c r="BB303" s="9">
        <v>2</v>
      </c>
      <c r="BC303" s="9">
        <v>1</v>
      </c>
      <c r="BD303" s="9">
        <v>1</v>
      </c>
      <c r="BE303" s="9">
        <v>2</v>
      </c>
      <c r="BF303" s="9">
        <v>5</v>
      </c>
      <c r="BG303" s="9">
        <v>0</v>
      </c>
      <c r="BH303" s="9">
        <v>0</v>
      </c>
      <c r="BI303" s="9">
        <v>3</v>
      </c>
      <c r="BJ303" s="9">
        <v>1</v>
      </c>
      <c r="BK303" s="9">
        <v>10</v>
      </c>
      <c r="BL303" s="9">
        <v>5</v>
      </c>
      <c r="BM303" s="9">
        <v>2</v>
      </c>
      <c r="BN303" s="9">
        <v>2</v>
      </c>
      <c r="BO303" s="9">
        <v>2</v>
      </c>
      <c r="BP303" s="9">
        <v>6</v>
      </c>
      <c r="BQ303" s="9">
        <v>8</v>
      </c>
      <c r="BR303" s="9">
        <v>0</v>
      </c>
      <c r="BS303" s="9">
        <v>10</v>
      </c>
      <c r="BT303" s="9">
        <v>7</v>
      </c>
      <c r="BU303" s="9">
        <v>5</v>
      </c>
      <c r="BV303" s="9">
        <v>9</v>
      </c>
      <c r="BW303" s="9">
        <v>7</v>
      </c>
      <c r="BX303" s="9">
        <v>10</v>
      </c>
      <c r="BY303" s="9">
        <v>4</v>
      </c>
      <c r="BZ303" s="9">
        <v>11</v>
      </c>
      <c r="CA303" s="9">
        <v>16</v>
      </c>
      <c r="CB303" s="9">
        <v>8</v>
      </c>
      <c r="CC303" s="9">
        <v>6</v>
      </c>
      <c r="CD303" s="9">
        <v>8</v>
      </c>
      <c r="CE303" s="9">
        <v>9</v>
      </c>
      <c r="CF303" s="9">
        <v>9</v>
      </c>
      <c r="CG303" s="9">
        <v>9</v>
      </c>
      <c r="CH303" s="9">
        <v>16</v>
      </c>
      <c r="CI303" s="9">
        <v>21</v>
      </c>
      <c r="CJ303" s="9">
        <v>20</v>
      </c>
      <c r="CK303" s="9">
        <v>19</v>
      </c>
      <c r="CL303" s="9">
        <v>23</v>
      </c>
      <c r="CM303" s="9">
        <v>13</v>
      </c>
      <c r="CN303" s="9">
        <v>17</v>
      </c>
      <c r="CO303" s="9">
        <v>18</v>
      </c>
      <c r="CP303" s="9">
        <v>23</v>
      </c>
      <c r="CQ303" s="9">
        <v>24</v>
      </c>
      <c r="CR303" s="9">
        <v>13</v>
      </c>
      <c r="CS303" s="10">
        <v>18</v>
      </c>
    </row>
    <row r="304" spans="1:97" x14ac:dyDescent="0.35">
      <c r="A304" s="8" t="s">
        <v>261</v>
      </c>
      <c r="B304" s="9" t="s">
        <v>336</v>
      </c>
      <c r="C304" s="9" t="s">
        <v>1014</v>
      </c>
      <c r="D304" s="9">
        <f t="shared" si="4"/>
        <v>0</v>
      </c>
      <c r="E304" s="9">
        <v>0</v>
      </c>
      <c r="F304" s="9">
        <v>0</v>
      </c>
      <c r="G304" s="9">
        <v>0</v>
      </c>
      <c r="H304" s="9">
        <v>0</v>
      </c>
      <c r="I304" s="9">
        <v>0</v>
      </c>
      <c r="J304" s="9">
        <v>0</v>
      </c>
      <c r="K304" s="9">
        <v>0</v>
      </c>
      <c r="L304" s="9">
        <v>0</v>
      </c>
      <c r="M304" s="9">
        <v>0</v>
      </c>
      <c r="N304" s="9">
        <v>0</v>
      </c>
      <c r="O304" s="9">
        <v>0</v>
      </c>
      <c r="P304" s="9">
        <v>0</v>
      </c>
      <c r="Q304" s="9">
        <v>0</v>
      </c>
      <c r="R304" s="9">
        <v>0</v>
      </c>
      <c r="S304" s="9">
        <v>0</v>
      </c>
      <c r="T304" s="9">
        <v>0</v>
      </c>
      <c r="U304" s="9">
        <v>0</v>
      </c>
      <c r="V304" s="9">
        <v>0</v>
      </c>
      <c r="W304" s="9">
        <v>0</v>
      </c>
      <c r="X304" s="9">
        <v>0</v>
      </c>
      <c r="Y304" s="9">
        <v>0</v>
      </c>
      <c r="Z304" s="9">
        <v>0</v>
      </c>
      <c r="AA304" s="9">
        <v>0</v>
      </c>
      <c r="AB304" s="9">
        <v>0</v>
      </c>
      <c r="AC304" s="9">
        <v>0</v>
      </c>
      <c r="AD304" s="9">
        <v>0</v>
      </c>
      <c r="AE304" s="9">
        <v>0</v>
      </c>
      <c r="AF304" s="9">
        <v>0</v>
      </c>
      <c r="AG304" s="9">
        <v>0</v>
      </c>
      <c r="AH304" s="9">
        <v>0</v>
      </c>
      <c r="AI304" s="9">
        <v>0</v>
      </c>
      <c r="AJ304" s="9">
        <v>0</v>
      </c>
      <c r="AK304" s="9">
        <v>0</v>
      </c>
      <c r="AL304" s="9">
        <v>0</v>
      </c>
      <c r="AM304" s="9">
        <v>0</v>
      </c>
      <c r="AN304" s="9">
        <v>0</v>
      </c>
      <c r="AO304" s="9">
        <v>0</v>
      </c>
      <c r="AP304" s="9">
        <v>0</v>
      </c>
      <c r="AQ304" s="9">
        <v>0</v>
      </c>
      <c r="AR304" s="9">
        <v>0</v>
      </c>
      <c r="AS304" s="9">
        <v>0</v>
      </c>
      <c r="AT304" s="9">
        <v>0</v>
      </c>
      <c r="AU304" s="9">
        <v>0</v>
      </c>
      <c r="AV304" s="9">
        <v>0</v>
      </c>
      <c r="AW304" s="9">
        <v>0</v>
      </c>
      <c r="AX304" s="9">
        <v>0</v>
      </c>
      <c r="AY304" s="9">
        <v>0</v>
      </c>
      <c r="AZ304" s="9">
        <v>0</v>
      </c>
      <c r="BA304" s="9">
        <v>0</v>
      </c>
      <c r="BB304" s="9">
        <v>0</v>
      </c>
      <c r="BC304" s="9">
        <v>0</v>
      </c>
      <c r="BD304" s="9">
        <v>0</v>
      </c>
      <c r="BE304" s="9">
        <v>0</v>
      </c>
      <c r="BF304" s="9">
        <v>0</v>
      </c>
      <c r="BG304" s="9">
        <v>0</v>
      </c>
      <c r="BH304" s="9">
        <v>0</v>
      </c>
      <c r="BI304" s="9">
        <v>0</v>
      </c>
      <c r="BJ304" s="9">
        <v>0</v>
      </c>
      <c r="BK304" s="9">
        <v>0</v>
      </c>
      <c r="BL304" s="9">
        <v>0</v>
      </c>
      <c r="BM304" s="9">
        <v>0</v>
      </c>
      <c r="BN304" s="9">
        <v>0</v>
      </c>
      <c r="BO304" s="9">
        <v>0</v>
      </c>
      <c r="BP304" s="9">
        <v>0</v>
      </c>
      <c r="BQ304" s="9">
        <v>0</v>
      </c>
      <c r="BR304" s="9">
        <v>0</v>
      </c>
      <c r="BS304" s="9">
        <v>0</v>
      </c>
      <c r="BT304" s="9">
        <v>0</v>
      </c>
      <c r="BU304" s="9">
        <v>0</v>
      </c>
      <c r="BV304" s="9">
        <v>0</v>
      </c>
      <c r="BW304" s="9">
        <v>0</v>
      </c>
      <c r="BX304" s="9">
        <v>0</v>
      </c>
      <c r="BY304" s="9">
        <v>0</v>
      </c>
      <c r="BZ304" s="9">
        <v>0</v>
      </c>
      <c r="CA304" s="9">
        <v>0</v>
      </c>
      <c r="CB304" s="9">
        <v>0</v>
      </c>
      <c r="CC304" s="9">
        <v>0</v>
      </c>
      <c r="CD304" s="9">
        <v>0</v>
      </c>
      <c r="CE304" s="9">
        <v>0</v>
      </c>
      <c r="CF304" s="9">
        <v>0</v>
      </c>
      <c r="CG304" s="9">
        <v>0</v>
      </c>
      <c r="CH304" s="9">
        <v>0</v>
      </c>
      <c r="CI304" s="9">
        <v>0</v>
      </c>
      <c r="CJ304" s="9">
        <v>0</v>
      </c>
      <c r="CK304" s="9">
        <v>0</v>
      </c>
      <c r="CL304" s="9">
        <v>0</v>
      </c>
      <c r="CM304" s="9">
        <v>0</v>
      </c>
      <c r="CN304" s="9">
        <v>0</v>
      </c>
      <c r="CO304" s="9">
        <v>0</v>
      </c>
      <c r="CP304" s="9">
        <v>0</v>
      </c>
      <c r="CQ304" s="9">
        <v>0</v>
      </c>
      <c r="CR304" s="9">
        <v>0</v>
      </c>
      <c r="CS304" s="10">
        <v>0</v>
      </c>
    </row>
    <row r="305" spans="1:97" x14ac:dyDescent="0.35">
      <c r="A305" s="8" t="s">
        <v>261</v>
      </c>
      <c r="B305" s="9" t="s">
        <v>338</v>
      </c>
      <c r="C305" s="9" t="s">
        <v>1015</v>
      </c>
      <c r="D305" s="9">
        <f t="shared" si="4"/>
        <v>0</v>
      </c>
      <c r="E305" s="9">
        <v>0</v>
      </c>
      <c r="F305" s="9">
        <v>0</v>
      </c>
      <c r="G305" s="9">
        <v>0</v>
      </c>
      <c r="H305" s="9">
        <v>0</v>
      </c>
      <c r="I305" s="9">
        <v>0</v>
      </c>
      <c r="J305" s="9">
        <v>0</v>
      </c>
      <c r="K305" s="9">
        <v>0</v>
      </c>
      <c r="L305" s="9">
        <v>0</v>
      </c>
      <c r="M305" s="9">
        <v>0</v>
      </c>
      <c r="N305" s="9">
        <v>0</v>
      </c>
      <c r="O305" s="9">
        <v>0</v>
      </c>
      <c r="P305" s="9">
        <v>0</v>
      </c>
      <c r="Q305" s="9">
        <v>0</v>
      </c>
      <c r="R305" s="9">
        <v>0</v>
      </c>
      <c r="S305" s="9">
        <v>0</v>
      </c>
      <c r="T305" s="9">
        <v>0</v>
      </c>
      <c r="U305" s="9">
        <v>0</v>
      </c>
      <c r="V305" s="9">
        <v>0</v>
      </c>
      <c r="W305" s="9">
        <v>0</v>
      </c>
      <c r="X305" s="9">
        <v>0</v>
      </c>
      <c r="Y305" s="9">
        <v>0</v>
      </c>
      <c r="Z305" s="9">
        <v>0</v>
      </c>
      <c r="AA305" s="9">
        <v>0</v>
      </c>
      <c r="AB305" s="9">
        <v>0</v>
      </c>
      <c r="AC305" s="9">
        <v>0</v>
      </c>
      <c r="AD305" s="9">
        <v>0</v>
      </c>
      <c r="AE305" s="9">
        <v>0</v>
      </c>
      <c r="AF305" s="9">
        <v>0</v>
      </c>
      <c r="AG305" s="9">
        <v>0</v>
      </c>
      <c r="AH305" s="9">
        <v>0</v>
      </c>
      <c r="AI305" s="9">
        <v>0</v>
      </c>
      <c r="AJ305" s="9">
        <v>0</v>
      </c>
      <c r="AK305" s="9">
        <v>0</v>
      </c>
      <c r="AL305" s="9">
        <v>0</v>
      </c>
      <c r="AM305" s="9">
        <v>0</v>
      </c>
      <c r="AN305" s="9">
        <v>0</v>
      </c>
      <c r="AO305" s="9">
        <v>0</v>
      </c>
      <c r="AP305" s="9">
        <v>0</v>
      </c>
      <c r="AQ305" s="9">
        <v>0</v>
      </c>
      <c r="AR305" s="9">
        <v>0</v>
      </c>
      <c r="AS305" s="9">
        <v>0</v>
      </c>
      <c r="AT305" s="9">
        <v>0</v>
      </c>
      <c r="AU305" s="9">
        <v>0</v>
      </c>
      <c r="AV305" s="9">
        <v>0</v>
      </c>
      <c r="AW305" s="9">
        <v>0</v>
      </c>
      <c r="AX305" s="9">
        <v>0</v>
      </c>
      <c r="AY305" s="9">
        <v>0</v>
      </c>
      <c r="AZ305" s="9">
        <v>0</v>
      </c>
      <c r="BA305" s="9">
        <v>0</v>
      </c>
      <c r="BB305" s="9">
        <v>0</v>
      </c>
      <c r="BC305" s="9">
        <v>0</v>
      </c>
      <c r="BD305" s="9">
        <v>0</v>
      </c>
      <c r="BE305" s="9">
        <v>0</v>
      </c>
      <c r="BF305" s="9">
        <v>0</v>
      </c>
      <c r="BG305" s="9">
        <v>0</v>
      </c>
      <c r="BH305" s="9">
        <v>0</v>
      </c>
      <c r="BI305" s="9">
        <v>0</v>
      </c>
      <c r="BJ305" s="9">
        <v>0</v>
      </c>
      <c r="BK305" s="9">
        <v>0</v>
      </c>
      <c r="BL305" s="9">
        <v>0</v>
      </c>
      <c r="BM305" s="9">
        <v>0</v>
      </c>
      <c r="BN305" s="9">
        <v>0</v>
      </c>
      <c r="BO305" s="9">
        <v>0</v>
      </c>
      <c r="BP305" s="9">
        <v>0</v>
      </c>
      <c r="BQ305" s="9">
        <v>0</v>
      </c>
      <c r="BR305" s="9">
        <v>0</v>
      </c>
      <c r="BS305" s="9">
        <v>0</v>
      </c>
      <c r="BT305" s="9">
        <v>0</v>
      </c>
      <c r="BU305" s="9">
        <v>0</v>
      </c>
      <c r="BV305" s="9">
        <v>0</v>
      </c>
      <c r="BW305" s="9">
        <v>0</v>
      </c>
      <c r="BX305" s="9">
        <v>0</v>
      </c>
      <c r="BY305" s="9">
        <v>0</v>
      </c>
      <c r="BZ305" s="9">
        <v>0</v>
      </c>
      <c r="CA305" s="9">
        <v>0</v>
      </c>
      <c r="CB305" s="9">
        <v>0</v>
      </c>
      <c r="CC305" s="9">
        <v>0</v>
      </c>
      <c r="CD305" s="9">
        <v>0</v>
      </c>
      <c r="CE305" s="9">
        <v>0</v>
      </c>
      <c r="CF305" s="9">
        <v>0</v>
      </c>
      <c r="CG305" s="9">
        <v>0</v>
      </c>
      <c r="CH305" s="9">
        <v>0</v>
      </c>
      <c r="CI305" s="9">
        <v>0</v>
      </c>
      <c r="CJ305" s="9">
        <v>0</v>
      </c>
      <c r="CK305" s="9">
        <v>0</v>
      </c>
      <c r="CL305" s="9">
        <v>0</v>
      </c>
      <c r="CM305" s="9">
        <v>0</v>
      </c>
      <c r="CN305" s="9">
        <v>0</v>
      </c>
      <c r="CO305" s="9">
        <v>0</v>
      </c>
      <c r="CP305" s="9">
        <v>0</v>
      </c>
      <c r="CQ305" s="9">
        <v>0</v>
      </c>
      <c r="CR305" s="9">
        <v>0</v>
      </c>
      <c r="CS305" s="10">
        <v>0</v>
      </c>
    </row>
    <row r="306" spans="1:97" x14ac:dyDescent="0.35">
      <c r="A306" s="8" t="s">
        <v>261</v>
      </c>
      <c r="B306" s="9" t="s">
        <v>340</v>
      </c>
      <c r="C306" s="9" t="s">
        <v>1016</v>
      </c>
      <c r="D306" s="9">
        <f t="shared" si="4"/>
        <v>19</v>
      </c>
      <c r="E306" s="9">
        <v>0</v>
      </c>
      <c r="F306" s="9">
        <v>0</v>
      </c>
      <c r="G306" s="9">
        <v>0</v>
      </c>
      <c r="H306" s="9">
        <v>0</v>
      </c>
      <c r="I306" s="9">
        <v>0</v>
      </c>
      <c r="J306" s="9">
        <v>0</v>
      </c>
      <c r="K306" s="9">
        <v>0</v>
      </c>
      <c r="L306" s="9">
        <v>0</v>
      </c>
      <c r="M306" s="9">
        <v>0</v>
      </c>
      <c r="N306" s="9">
        <v>0</v>
      </c>
      <c r="O306" s="9">
        <v>0</v>
      </c>
      <c r="P306" s="9">
        <v>0</v>
      </c>
      <c r="Q306" s="9">
        <v>0</v>
      </c>
      <c r="R306" s="9">
        <v>0</v>
      </c>
      <c r="S306" s="9">
        <v>0</v>
      </c>
      <c r="T306" s="9">
        <v>0</v>
      </c>
      <c r="U306" s="9">
        <v>0</v>
      </c>
      <c r="V306" s="9">
        <v>0</v>
      </c>
      <c r="W306" s="9">
        <v>0</v>
      </c>
      <c r="X306" s="9">
        <v>0</v>
      </c>
      <c r="Y306" s="9">
        <v>0</v>
      </c>
      <c r="Z306" s="9">
        <v>0</v>
      </c>
      <c r="AA306" s="9">
        <v>0</v>
      </c>
      <c r="AB306" s="9">
        <v>0</v>
      </c>
      <c r="AC306" s="9">
        <v>0</v>
      </c>
      <c r="AD306" s="9">
        <v>0</v>
      </c>
      <c r="AE306" s="9">
        <v>0</v>
      </c>
      <c r="AF306" s="9">
        <v>0</v>
      </c>
      <c r="AG306" s="9">
        <v>0</v>
      </c>
      <c r="AH306" s="9">
        <v>0</v>
      </c>
      <c r="AI306" s="9">
        <v>0</v>
      </c>
      <c r="AJ306" s="9">
        <v>0</v>
      </c>
      <c r="AK306" s="9">
        <v>0</v>
      </c>
      <c r="AL306" s="9">
        <v>0</v>
      </c>
      <c r="AM306" s="9">
        <v>0</v>
      </c>
      <c r="AN306" s="9">
        <v>0</v>
      </c>
      <c r="AO306" s="9">
        <v>0</v>
      </c>
      <c r="AP306" s="9">
        <v>0</v>
      </c>
      <c r="AQ306" s="9">
        <v>0</v>
      </c>
      <c r="AR306" s="9">
        <v>0</v>
      </c>
      <c r="AS306" s="9">
        <v>6</v>
      </c>
      <c r="AT306" s="9">
        <v>6</v>
      </c>
      <c r="AU306" s="9">
        <v>6</v>
      </c>
      <c r="AV306" s="9">
        <v>0</v>
      </c>
      <c r="AW306" s="9">
        <v>1</v>
      </c>
      <c r="AX306" s="9">
        <v>0</v>
      </c>
      <c r="AY306" s="9">
        <v>0</v>
      </c>
      <c r="AZ306" s="9">
        <v>0</v>
      </c>
      <c r="BA306" s="9">
        <v>0</v>
      </c>
      <c r="BB306" s="9">
        <v>0</v>
      </c>
      <c r="BC306" s="9">
        <v>0</v>
      </c>
      <c r="BD306" s="9">
        <v>0</v>
      </c>
      <c r="BE306" s="9">
        <v>0</v>
      </c>
      <c r="BF306" s="9">
        <v>0</v>
      </c>
      <c r="BG306" s="9">
        <v>0</v>
      </c>
      <c r="BH306" s="9">
        <v>0</v>
      </c>
      <c r="BI306" s="9">
        <v>0</v>
      </c>
      <c r="BJ306" s="9">
        <v>0</v>
      </c>
      <c r="BK306" s="9">
        <v>0</v>
      </c>
      <c r="BL306" s="9">
        <v>0</v>
      </c>
      <c r="BM306" s="9">
        <v>0</v>
      </c>
      <c r="BN306" s="9">
        <v>0</v>
      </c>
      <c r="BO306" s="9">
        <v>0</v>
      </c>
      <c r="BP306" s="9">
        <v>0</v>
      </c>
      <c r="BQ306" s="9">
        <v>0</v>
      </c>
      <c r="BR306" s="9">
        <v>0</v>
      </c>
      <c r="BS306" s="9">
        <v>0</v>
      </c>
      <c r="BT306" s="9">
        <v>0</v>
      </c>
      <c r="BU306" s="9">
        <v>0</v>
      </c>
      <c r="BV306" s="9">
        <v>0</v>
      </c>
      <c r="BW306" s="9">
        <v>0</v>
      </c>
      <c r="BX306" s="9">
        <v>0</v>
      </c>
      <c r="BY306" s="9">
        <v>0</v>
      </c>
      <c r="BZ306" s="9">
        <v>0</v>
      </c>
      <c r="CA306" s="9">
        <v>0</v>
      </c>
      <c r="CB306" s="9">
        <v>0</v>
      </c>
      <c r="CC306" s="9">
        <v>0</v>
      </c>
      <c r="CD306" s="9">
        <v>0</v>
      </c>
      <c r="CE306" s="9">
        <v>0</v>
      </c>
      <c r="CF306" s="9">
        <v>0</v>
      </c>
      <c r="CG306" s="9">
        <v>0</v>
      </c>
      <c r="CH306" s="9">
        <v>0</v>
      </c>
      <c r="CI306" s="9">
        <v>0</v>
      </c>
      <c r="CJ306" s="9">
        <v>0</v>
      </c>
      <c r="CK306" s="9">
        <v>0</v>
      </c>
      <c r="CL306" s="9">
        <v>0</v>
      </c>
      <c r="CM306" s="9">
        <v>0</v>
      </c>
      <c r="CN306" s="9">
        <v>0</v>
      </c>
      <c r="CO306" s="9">
        <v>0</v>
      </c>
      <c r="CP306" s="9">
        <v>0</v>
      </c>
      <c r="CQ306" s="9">
        <v>0</v>
      </c>
      <c r="CR306" s="9">
        <v>0</v>
      </c>
      <c r="CS306" s="10">
        <v>0</v>
      </c>
    </row>
    <row r="307" spans="1:97" x14ac:dyDescent="0.35">
      <c r="A307" s="8" t="s">
        <v>342</v>
      </c>
      <c r="B307" s="9" t="s">
        <v>1017</v>
      </c>
      <c r="C307" s="9" t="s">
        <v>1018</v>
      </c>
      <c r="D307" s="9">
        <f t="shared" si="4"/>
        <v>0</v>
      </c>
      <c r="E307" s="9">
        <v>0</v>
      </c>
      <c r="F307" s="9">
        <v>0</v>
      </c>
      <c r="G307" s="9">
        <v>0</v>
      </c>
      <c r="H307" s="9">
        <v>0</v>
      </c>
      <c r="I307" s="9">
        <v>0</v>
      </c>
      <c r="J307" s="9">
        <v>0</v>
      </c>
      <c r="K307" s="9">
        <v>0</v>
      </c>
      <c r="L307" s="9">
        <v>0</v>
      </c>
      <c r="M307" s="9">
        <v>0</v>
      </c>
      <c r="N307" s="9">
        <v>0</v>
      </c>
      <c r="O307" s="9">
        <v>0</v>
      </c>
      <c r="P307" s="9">
        <v>0</v>
      </c>
      <c r="Q307" s="9">
        <v>0</v>
      </c>
      <c r="R307" s="9">
        <v>0</v>
      </c>
      <c r="S307" s="9">
        <v>0</v>
      </c>
      <c r="T307" s="9">
        <v>0</v>
      </c>
      <c r="U307" s="9">
        <v>0</v>
      </c>
      <c r="V307" s="9">
        <v>0</v>
      </c>
      <c r="W307" s="9">
        <v>0</v>
      </c>
      <c r="X307" s="9">
        <v>0</v>
      </c>
      <c r="Y307" s="9">
        <v>0</v>
      </c>
      <c r="Z307" s="9">
        <v>0</v>
      </c>
      <c r="AA307" s="9">
        <v>0</v>
      </c>
      <c r="AB307" s="9">
        <v>0</v>
      </c>
      <c r="AC307" s="9">
        <v>0</v>
      </c>
      <c r="AD307" s="9">
        <v>0</v>
      </c>
      <c r="AE307" s="9">
        <v>0</v>
      </c>
      <c r="AF307" s="9">
        <v>0</v>
      </c>
      <c r="AG307" s="9">
        <v>0</v>
      </c>
      <c r="AH307" s="9">
        <v>0</v>
      </c>
      <c r="AI307" s="9">
        <v>0</v>
      </c>
      <c r="AJ307" s="9">
        <v>0</v>
      </c>
      <c r="AK307" s="9">
        <v>0</v>
      </c>
      <c r="AL307" s="9">
        <v>0</v>
      </c>
      <c r="AM307" s="9">
        <v>0</v>
      </c>
      <c r="AN307" s="9">
        <v>0</v>
      </c>
      <c r="AO307" s="9">
        <v>0</v>
      </c>
      <c r="AP307" s="9">
        <v>0</v>
      </c>
      <c r="AQ307" s="9">
        <v>0</v>
      </c>
      <c r="AR307" s="9">
        <v>0</v>
      </c>
      <c r="AS307" s="9">
        <v>0</v>
      </c>
      <c r="AT307" s="9">
        <v>0</v>
      </c>
      <c r="AU307" s="9">
        <v>0</v>
      </c>
      <c r="AV307" s="9">
        <v>0</v>
      </c>
      <c r="AW307" s="9">
        <v>0</v>
      </c>
      <c r="AX307" s="9">
        <v>0</v>
      </c>
      <c r="AY307" s="9">
        <v>0</v>
      </c>
      <c r="AZ307" s="9">
        <v>0</v>
      </c>
      <c r="BA307" s="9">
        <v>0</v>
      </c>
      <c r="BB307" s="9">
        <v>0</v>
      </c>
      <c r="BC307" s="9">
        <v>0</v>
      </c>
      <c r="BD307" s="9">
        <v>0</v>
      </c>
      <c r="BE307" s="9">
        <v>0</v>
      </c>
      <c r="BF307" s="9">
        <v>0</v>
      </c>
      <c r="BG307" s="9">
        <v>0</v>
      </c>
      <c r="BH307" s="9">
        <v>0</v>
      </c>
      <c r="BI307" s="9">
        <v>0</v>
      </c>
      <c r="BJ307" s="9">
        <v>0</v>
      </c>
      <c r="BK307" s="9">
        <v>0</v>
      </c>
      <c r="BL307" s="9">
        <v>0</v>
      </c>
      <c r="BM307" s="9">
        <v>0</v>
      </c>
      <c r="BN307" s="9">
        <v>0</v>
      </c>
      <c r="BO307" s="9">
        <v>0</v>
      </c>
      <c r="BP307" s="9">
        <v>0</v>
      </c>
      <c r="BQ307" s="9">
        <v>0</v>
      </c>
      <c r="BR307" s="9">
        <v>0</v>
      </c>
      <c r="BS307" s="9">
        <v>0</v>
      </c>
      <c r="BT307" s="9">
        <v>0</v>
      </c>
      <c r="BU307" s="9">
        <v>0</v>
      </c>
      <c r="BV307" s="9">
        <v>0</v>
      </c>
      <c r="BW307" s="9">
        <v>0</v>
      </c>
      <c r="BX307" s="9">
        <v>0</v>
      </c>
      <c r="BY307" s="9">
        <v>0</v>
      </c>
      <c r="BZ307" s="9">
        <v>0</v>
      </c>
      <c r="CA307" s="9">
        <v>0</v>
      </c>
      <c r="CB307" s="9">
        <v>0</v>
      </c>
      <c r="CC307" s="9">
        <v>0</v>
      </c>
      <c r="CD307" s="9">
        <v>0</v>
      </c>
      <c r="CE307" s="9">
        <v>0</v>
      </c>
      <c r="CF307" s="9">
        <v>0</v>
      </c>
      <c r="CG307" s="9">
        <v>0</v>
      </c>
      <c r="CH307" s="9">
        <v>0</v>
      </c>
      <c r="CI307" s="9">
        <v>0</v>
      </c>
      <c r="CJ307" s="9">
        <v>0</v>
      </c>
      <c r="CK307" s="9">
        <v>0</v>
      </c>
      <c r="CL307" s="9">
        <v>0</v>
      </c>
      <c r="CM307" s="9">
        <v>0</v>
      </c>
      <c r="CN307" s="9">
        <v>0</v>
      </c>
      <c r="CO307" s="9">
        <v>0</v>
      </c>
      <c r="CP307" s="9">
        <v>0</v>
      </c>
      <c r="CQ307" s="9">
        <v>0</v>
      </c>
      <c r="CR307" s="9">
        <v>0</v>
      </c>
      <c r="CS307" s="10">
        <v>0</v>
      </c>
    </row>
    <row r="308" spans="1:97" x14ac:dyDescent="0.35">
      <c r="A308" s="8" t="s">
        <v>342</v>
      </c>
      <c r="B308" s="9" t="s">
        <v>1019</v>
      </c>
      <c r="C308" s="9" t="s">
        <v>1020</v>
      </c>
      <c r="D308" s="9">
        <f t="shared" si="4"/>
        <v>0</v>
      </c>
      <c r="E308" s="9">
        <v>0</v>
      </c>
      <c r="F308" s="9">
        <v>0</v>
      </c>
      <c r="G308" s="9">
        <v>0</v>
      </c>
      <c r="H308" s="9">
        <v>0</v>
      </c>
      <c r="I308" s="9">
        <v>0</v>
      </c>
      <c r="J308" s="9">
        <v>0</v>
      </c>
      <c r="K308" s="9">
        <v>0</v>
      </c>
      <c r="L308" s="9">
        <v>0</v>
      </c>
      <c r="M308" s="9">
        <v>0</v>
      </c>
      <c r="N308" s="9">
        <v>0</v>
      </c>
      <c r="O308" s="9">
        <v>0</v>
      </c>
      <c r="P308" s="9">
        <v>0</v>
      </c>
      <c r="Q308" s="9">
        <v>0</v>
      </c>
      <c r="R308" s="9">
        <v>0</v>
      </c>
      <c r="S308" s="9">
        <v>0</v>
      </c>
      <c r="T308" s="9">
        <v>0</v>
      </c>
      <c r="U308" s="9">
        <v>0</v>
      </c>
      <c r="V308" s="9">
        <v>0</v>
      </c>
      <c r="W308" s="9">
        <v>0</v>
      </c>
      <c r="X308" s="9">
        <v>0</v>
      </c>
      <c r="Y308" s="9">
        <v>0</v>
      </c>
      <c r="Z308" s="9">
        <v>0</v>
      </c>
      <c r="AA308" s="9">
        <v>0</v>
      </c>
      <c r="AB308" s="9">
        <v>0</v>
      </c>
      <c r="AC308" s="9">
        <v>0</v>
      </c>
      <c r="AD308" s="9">
        <v>0</v>
      </c>
      <c r="AE308" s="9">
        <v>0</v>
      </c>
      <c r="AF308" s="9">
        <v>0</v>
      </c>
      <c r="AG308" s="9">
        <v>0</v>
      </c>
      <c r="AH308" s="9">
        <v>0</v>
      </c>
      <c r="AI308" s="9">
        <v>0</v>
      </c>
      <c r="AJ308" s="9">
        <v>0</v>
      </c>
      <c r="AK308" s="9">
        <v>0</v>
      </c>
      <c r="AL308" s="9">
        <v>0</v>
      </c>
      <c r="AM308" s="9">
        <v>0</v>
      </c>
      <c r="AN308" s="9">
        <v>0</v>
      </c>
      <c r="AO308" s="9">
        <v>0</v>
      </c>
      <c r="AP308" s="9">
        <v>0</v>
      </c>
      <c r="AQ308" s="9">
        <v>0</v>
      </c>
      <c r="AR308" s="9">
        <v>0</v>
      </c>
      <c r="AS308" s="9">
        <v>0</v>
      </c>
      <c r="AT308" s="9">
        <v>0</v>
      </c>
      <c r="AU308" s="9">
        <v>0</v>
      </c>
      <c r="AV308" s="9">
        <v>0</v>
      </c>
      <c r="AW308" s="9">
        <v>0</v>
      </c>
      <c r="AX308" s="9">
        <v>0</v>
      </c>
      <c r="AY308" s="9">
        <v>0</v>
      </c>
      <c r="AZ308" s="9">
        <v>0</v>
      </c>
      <c r="BA308" s="9">
        <v>0</v>
      </c>
      <c r="BB308" s="9">
        <v>0</v>
      </c>
      <c r="BC308" s="9">
        <v>0</v>
      </c>
      <c r="BD308" s="9">
        <v>0</v>
      </c>
      <c r="BE308" s="9">
        <v>0</v>
      </c>
      <c r="BF308" s="9">
        <v>0</v>
      </c>
      <c r="BG308" s="9">
        <v>0</v>
      </c>
      <c r="BH308" s="9">
        <v>0</v>
      </c>
      <c r="BI308" s="9">
        <v>0</v>
      </c>
      <c r="BJ308" s="9">
        <v>0</v>
      </c>
      <c r="BK308" s="9">
        <v>0</v>
      </c>
      <c r="BL308" s="9">
        <v>0</v>
      </c>
      <c r="BM308" s="9">
        <v>0</v>
      </c>
      <c r="BN308" s="9">
        <v>0</v>
      </c>
      <c r="BO308" s="9">
        <v>0</v>
      </c>
      <c r="BP308" s="9">
        <v>0</v>
      </c>
      <c r="BQ308" s="9">
        <v>0</v>
      </c>
      <c r="BR308" s="9">
        <v>0</v>
      </c>
      <c r="BS308" s="9">
        <v>0</v>
      </c>
      <c r="BT308" s="9">
        <v>0</v>
      </c>
      <c r="BU308" s="9">
        <v>0</v>
      </c>
      <c r="BV308" s="9">
        <v>0</v>
      </c>
      <c r="BW308" s="9">
        <v>0</v>
      </c>
      <c r="BX308" s="9">
        <v>0</v>
      </c>
      <c r="BY308" s="9">
        <v>0</v>
      </c>
      <c r="BZ308" s="9">
        <v>0</v>
      </c>
      <c r="CA308" s="9">
        <v>0</v>
      </c>
      <c r="CB308" s="9">
        <v>0</v>
      </c>
      <c r="CC308" s="9">
        <v>0</v>
      </c>
      <c r="CD308" s="9">
        <v>0</v>
      </c>
      <c r="CE308" s="9">
        <v>0</v>
      </c>
      <c r="CF308" s="9">
        <v>0</v>
      </c>
      <c r="CG308" s="9">
        <v>0</v>
      </c>
      <c r="CH308" s="9">
        <v>0</v>
      </c>
      <c r="CI308" s="9">
        <v>0</v>
      </c>
      <c r="CJ308" s="9">
        <v>0</v>
      </c>
      <c r="CK308" s="9">
        <v>0</v>
      </c>
      <c r="CL308" s="9">
        <v>0</v>
      </c>
      <c r="CM308" s="9">
        <v>0</v>
      </c>
      <c r="CN308" s="9">
        <v>0</v>
      </c>
      <c r="CO308" s="9">
        <v>0</v>
      </c>
      <c r="CP308" s="9">
        <v>0</v>
      </c>
      <c r="CQ308" s="9">
        <v>0</v>
      </c>
      <c r="CR308" s="9">
        <v>0</v>
      </c>
      <c r="CS308" s="10">
        <v>0</v>
      </c>
    </row>
    <row r="309" spans="1:97" x14ac:dyDescent="0.35">
      <c r="A309" s="8" t="s">
        <v>342</v>
      </c>
      <c r="B309" s="9" t="s">
        <v>1021</v>
      </c>
      <c r="C309" s="9" t="s">
        <v>1022</v>
      </c>
      <c r="D309" s="9">
        <f t="shared" si="4"/>
        <v>0</v>
      </c>
      <c r="E309" s="9">
        <v>0</v>
      </c>
      <c r="F309" s="9">
        <v>0</v>
      </c>
      <c r="G309" s="9">
        <v>0</v>
      </c>
      <c r="H309" s="9">
        <v>0</v>
      </c>
      <c r="I309" s="9">
        <v>0</v>
      </c>
      <c r="J309" s="9">
        <v>0</v>
      </c>
      <c r="K309" s="9">
        <v>0</v>
      </c>
      <c r="L309" s="9">
        <v>0</v>
      </c>
      <c r="M309" s="9">
        <v>0</v>
      </c>
      <c r="N309" s="9">
        <v>0</v>
      </c>
      <c r="O309" s="9">
        <v>0</v>
      </c>
      <c r="P309" s="9">
        <v>0</v>
      </c>
      <c r="Q309" s="9">
        <v>0</v>
      </c>
      <c r="R309" s="9">
        <v>0</v>
      </c>
      <c r="S309" s="9">
        <v>0</v>
      </c>
      <c r="T309" s="9">
        <v>0</v>
      </c>
      <c r="U309" s="9">
        <v>0</v>
      </c>
      <c r="V309" s="9">
        <v>0</v>
      </c>
      <c r="W309" s="9">
        <v>0</v>
      </c>
      <c r="X309" s="9">
        <v>0</v>
      </c>
      <c r="Y309" s="9">
        <v>0</v>
      </c>
      <c r="Z309" s="9">
        <v>0</v>
      </c>
      <c r="AA309" s="9">
        <v>0</v>
      </c>
      <c r="AB309" s="9">
        <v>0</v>
      </c>
      <c r="AC309" s="9">
        <v>0</v>
      </c>
      <c r="AD309" s="9">
        <v>0</v>
      </c>
      <c r="AE309" s="9">
        <v>0</v>
      </c>
      <c r="AF309" s="9">
        <v>0</v>
      </c>
      <c r="AG309" s="9">
        <v>0</v>
      </c>
      <c r="AH309" s="9">
        <v>0</v>
      </c>
      <c r="AI309" s="9">
        <v>0</v>
      </c>
      <c r="AJ309" s="9">
        <v>0</v>
      </c>
      <c r="AK309" s="9">
        <v>0</v>
      </c>
      <c r="AL309" s="9">
        <v>0</v>
      </c>
      <c r="AM309" s="9">
        <v>0</v>
      </c>
      <c r="AN309" s="9">
        <v>0</v>
      </c>
      <c r="AO309" s="9">
        <v>0</v>
      </c>
      <c r="AP309" s="9">
        <v>0</v>
      </c>
      <c r="AQ309" s="9">
        <v>0</v>
      </c>
      <c r="AR309" s="9">
        <v>0</v>
      </c>
      <c r="AS309" s="9">
        <v>0</v>
      </c>
      <c r="AT309" s="9">
        <v>0</v>
      </c>
      <c r="AU309" s="9">
        <v>0</v>
      </c>
      <c r="AV309" s="9">
        <v>0</v>
      </c>
      <c r="AW309" s="9">
        <v>0</v>
      </c>
      <c r="AX309" s="9">
        <v>0</v>
      </c>
      <c r="AY309" s="9">
        <v>0</v>
      </c>
      <c r="AZ309" s="9">
        <v>0</v>
      </c>
      <c r="BA309" s="9">
        <v>0</v>
      </c>
      <c r="BB309" s="9">
        <v>0</v>
      </c>
      <c r="BC309" s="9">
        <v>0</v>
      </c>
      <c r="BD309" s="9">
        <v>0</v>
      </c>
      <c r="BE309" s="9">
        <v>0</v>
      </c>
      <c r="BF309" s="9">
        <v>0</v>
      </c>
      <c r="BG309" s="9">
        <v>0</v>
      </c>
      <c r="BH309" s="9">
        <v>0</v>
      </c>
      <c r="BI309" s="9">
        <v>0</v>
      </c>
      <c r="BJ309" s="9">
        <v>0</v>
      </c>
      <c r="BK309" s="9">
        <v>0</v>
      </c>
      <c r="BL309" s="9">
        <v>0</v>
      </c>
      <c r="BM309" s="9">
        <v>0</v>
      </c>
      <c r="BN309" s="9">
        <v>0</v>
      </c>
      <c r="BO309" s="9">
        <v>0</v>
      </c>
      <c r="BP309" s="9">
        <v>0</v>
      </c>
      <c r="BQ309" s="9">
        <v>0</v>
      </c>
      <c r="BR309" s="9">
        <v>0</v>
      </c>
      <c r="BS309" s="9">
        <v>0</v>
      </c>
      <c r="BT309" s="9">
        <v>0</v>
      </c>
      <c r="BU309" s="9">
        <v>0</v>
      </c>
      <c r="BV309" s="9">
        <v>0</v>
      </c>
      <c r="BW309" s="9">
        <v>0</v>
      </c>
      <c r="BX309" s="9">
        <v>0</v>
      </c>
      <c r="BY309" s="9">
        <v>0</v>
      </c>
      <c r="BZ309" s="9">
        <v>0</v>
      </c>
      <c r="CA309" s="9">
        <v>0</v>
      </c>
      <c r="CB309" s="9">
        <v>0</v>
      </c>
      <c r="CC309" s="9">
        <v>0</v>
      </c>
      <c r="CD309" s="9">
        <v>0</v>
      </c>
      <c r="CE309" s="9">
        <v>0</v>
      </c>
      <c r="CF309" s="9">
        <v>0</v>
      </c>
      <c r="CG309" s="9">
        <v>0</v>
      </c>
      <c r="CH309" s="9">
        <v>0</v>
      </c>
      <c r="CI309" s="9">
        <v>0</v>
      </c>
      <c r="CJ309" s="9">
        <v>0</v>
      </c>
      <c r="CK309" s="9">
        <v>0</v>
      </c>
      <c r="CL309" s="9">
        <v>0</v>
      </c>
      <c r="CM309" s="9">
        <v>0</v>
      </c>
      <c r="CN309" s="9">
        <v>0</v>
      </c>
      <c r="CO309" s="9">
        <v>0</v>
      </c>
      <c r="CP309" s="9">
        <v>0</v>
      </c>
      <c r="CQ309" s="9">
        <v>0</v>
      </c>
      <c r="CR309" s="9">
        <v>0</v>
      </c>
      <c r="CS309" s="10">
        <v>0</v>
      </c>
    </row>
    <row r="310" spans="1:97" x14ac:dyDescent="0.35">
      <c r="A310" s="8" t="s">
        <v>342</v>
      </c>
      <c r="B310" s="9" t="s">
        <v>1023</v>
      </c>
      <c r="C310" s="9" t="s">
        <v>1024</v>
      </c>
      <c r="D310" s="9">
        <f t="shared" si="4"/>
        <v>0</v>
      </c>
      <c r="E310" s="9">
        <v>0</v>
      </c>
      <c r="F310" s="9">
        <v>0</v>
      </c>
      <c r="G310" s="9">
        <v>0</v>
      </c>
      <c r="H310" s="9">
        <v>0</v>
      </c>
      <c r="I310" s="9">
        <v>0</v>
      </c>
      <c r="J310" s="9">
        <v>0</v>
      </c>
      <c r="K310" s="9">
        <v>0</v>
      </c>
      <c r="L310" s="9">
        <v>0</v>
      </c>
      <c r="M310" s="9">
        <v>0</v>
      </c>
      <c r="N310" s="9">
        <v>0</v>
      </c>
      <c r="O310" s="9">
        <v>0</v>
      </c>
      <c r="P310" s="9">
        <v>0</v>
      </c>
      <c r="Q310" s="9">
        <v>0</v>
      </c>
      <c r="R310" s="9">
        <v>0</v>
      </c>
      <c r="S310" s="9">
        <v>0</v>
      </c>
      <c r="T310" s="9">
        <v>0</v>
      </c>
      <c r="U310" s="9">
        <v>0</v>
      </c>
      <c r="V310" s="9">
        <v>0</v>
      </c>
      <c r="W310" s="9">
        <v>0</v>
      </c>
      <c r="X310" s="9">
        <v>0</v>
      </c>
      <c r="Y310" s="9">
        <v>0</v>
      </c>
      <c r="Z310" s="9">
        <v>0</v>
      </c>
      <c r="AA310" s="9">
        <v>0</v>
      </c>
      <c r="AB310" s="9">
        <v>0</v>
      </c>
      <c r="AC310" s="9">
        <v>0</v>
      </c>
      <c r="AD310" s="9">
        <v>0</v>
      </c>
      <c r="AE310" s="9">
        <v>0</v>
      </c>
      <c r="AF310" s="9">
        <v>0</v>
      </c>
      <c r="AG310" s="9">
        <v>0</v>
      </c>
      <c r="AH310" s="9">
        <v>0</v>
      </c>
      <c r="AI310" s="9">
        <v>0</v>
      </c>
      <c r="AJ310" s="9">
        <v>0</v>
      </c>
      <c r="AK310" s="9">
        <v>0</v>
      </c>
      <c r="AL310" s="9">
        <v>0</v>
      </c>
      <c r="AM310" s="9">
        <v>0</v>
      </c>
      <c r="AN310" s="9">
        <v>0</v>
      </c>
      <c r="AO310" s="9">
        <v>0</v>
      </c>
      <c r="AP310" s="9">
        <v>0</v>
      </c>
      <c r="AQ310" s="9">
        <v>0</v>
      </c>
      <c r="AR310" s="9">
        <v>0</v>
      </c>
      <c r="AS310" s="9">
        <v>0</v>
      </c>
      <c r="AT310" s="9">
        <v>0</v>
      </c>
      <c r="AU310" s="9">
        <v>0</v>
      </c>
      <c r="AV310" s="9">
        <v>0</v>
      </c>
      <c r="AW310" s="9">
        <v>0</v>
      </c>
      <c r="AX310" s="9">
        <v>0</v>
      </c>
      <c r="AY310" s="9">
        <v>0</v>
      </c>
      <c r="AZ310" s="9">
        <v>0</v>
      </c>
      <c r="BA310" s="9">
        <v>0</v>
      </c>
      <c r="BB310" s="9">
        <v>0</v>
      </c>
      <c r="BC310" s="9">
        <v>0</v>
      </c>
      <c r="BD310" s="9">
        <v>0</v>
      </c>
      <c r="BE310" s="9">
        <v>0</v>
      </c>
      <c r="BF310" s="9">
        <v>0</v>
      </c>
      <c r="BG310" s="9">
        <v>0</v>
      </c>
      <c r="BH310" s="9">
        <v>0</v>
      </c>
      <c r="BI310" s="9">
        <v>0</v>
      </c>
      <c r="BJ310" s="9">
        <v>0</v>
      </c>
      <c r="BK310" s="9">
        <v>0</v>
      </c>
      <c r="BL310" s="9">
        <v>0</v>
      </c>
      <c r="BM310" s="9">
        <v>0</v>
      </c>
      <c r="BN310" s="9">
        <v>0</v>
      </c>
      <c r="BO310" s="9">
        <v>0</v>
      </c>
      <c r="BP310" s="9">
        <v>0</v>
      </c>
      <c r="BQ310" s="9">
        <v>0</v>
      </c>
      <c r="BR310" s="9">
        <v>0</v>
      </c>
      <c r="BS310" s="9">
        <v>0</v>
      </c>
      <c r="BT310" s="9">
        <v>0</v>
      </c>
      <c r="BU310" s="9">
        <v>0</v>
      </c>
      <c r="BV310" s="9">
        <v>0</v>
      </c>
      <c r="BW310" s="9">
        <v>0</v>
      </c>
      <c r="BX310" s="9">
        <v>0</v>
      </c>
      <c r="BY310" s="9">
        <v>0</v>
      </c>
      <c r="BZ310" s="9">
        <v>0</v>
      </c>
      <c r="CA310" s="9">
        <v>0</v>
      </c>
      <c r="CB310" s="9">
        <v>0</v>
      </c>
      <c r="CC310" s="9">
        <v>0</v>
      </c>
      <c r="CD310" s="9">
        <v>0</v>
      </c>
      <c r="CE310" s="9">
        <v>0</v>
      </c>
      <c r="CF310" s="9">
        <v>0</v>
      </c>
      <c r="CG310" s="9">
        <v>0</v>
      </c>
      <c r="CH310" s="9">
        <v>0</v>
      </c>
      <c r="CI310" s="9">
        <v>0</v>
      </c>
      <c r="CJ310" s="9">
        <v>0</v>
      </c>
      <c r="CK310" s="9">
        <v>0</v>
      </c>
      <c r="CL310" s="9">
        <v>0</v>
      </c>
      <c r="CM310" s="9">
        <v>0</v>
      </c>
      <c r="CN310" s="9">
        <v>0</v>
      </c>
      <c r="CO310" s="9">
        <v>0</v>
      </c>
      <c r="CP310" s="9">
        <v>0</v>
      </c>
      <c r="CQ310" s="9">
        <v>0</v>
      </c>
      <c r="CR310" s="9">
        <v>0</v>
      </c>
      <c r="CS310" s="10">
        <v>0</v>
      </c>
    </row>
    <row r="311" spans="1:97" x14ac:dyDescent="0.35">
      <c r="A311" s="8" t="s">
        <v>342</v>
      </c>
      <c r="B311" s="9" t="s">
        <v>1025</v>
      </c>
      <c r="C311" s="9" t="s">
        <v>1026</v>
      </c>
      <c r="D311" s="9">
        <f t="shared" si="4"/>
        <v>0</v>
      </c>
      <c r="E311" s="9">
        <v>0</v>
      </c>
      <c r="F311" s="9">
        <v>0</v>
      </c>
      <c r="G311" s="9">
        <v>0</v>
      </c>
      <c r="H311" s="9">
        <v>0</v>
      </c>
      <c r="I311" s="9">
        <v>0</v>
      </c>
      <c r="J311" s="9">
        <v>0</v>
      </c>
      <c r="K311" s="9">
        <v>0</v>
      </c>
      <c r="L311" s="9">
        <v>0</v>
      </c>
      <c r="M311" s="9">
        <v>0</v>
      </c>
      <c r="N311" s="9">
        <v>0</v>
      </c>
      <c r="O311" s="9">
        <v>0</v>
      </c>
      <c r="P311" s="9">
        <v>0</v>
      </c>
      <c r="Q311" s="9">
        <v>0</v>
      </c>
      <c r="R311" s="9">
        <v>0</v>
      </c>
      <c r="S311" s="9">
        <v>0</v>
      </c>
      <c r="T311" s="9">
        <v>0</v>
      </c>
      <c r="U311" s="9">
        <v>0</v>
      </c>
      <c r="V311" s="9">
        <v>0</v>
      </c>
      <c r="W311" s="9">
        <v>0</v>
      </c>
      <c r="X311" s="9">
        <v>0</v>
      </c>
      <c r="Y311" s="9">
        <v>0</v>
      </c>
      <c r="Z311" s="9">
        <v>0</v>
      </c>
      <c r="AA311" s="9">
        <v>0</v>
      </c>
      <c r="AB311" s="9">
        <v>0</v>
      </c>
      <c r="AC311" s="9">
        <v>0</v>
      </c>
      <c r="AD311" s="9">
        <v>0</v>
      </c>
      <c r="AE311" s="9">
        <v>0</v>
      </c>
      <c r="AF311" s="9">
        <v>0</v>
      </c>
      <c r="AG311" s="9">
        <v>0</v>
      </c>
      <c r="AH311" s="9">
        <v>0</v>
      </c>
      <c r="AI311" s="9">
        <v>0</v>
      </c>
      <c r="AJ311" s="9">
        <v>0</v>
      </c>
      <c r="AK311" s="9">
        <v>0</v>
      </c>
      <c r="AL311" s="9">
        <v>0</v>
      </c>
      <c r="AM311" s="9">
        <v>0</v>
      </c>
      <c r="AN311" s="9">
        <v>0</v>
      </c>
      <c r="AO311" s="9">
        <v>0</v>
      </c>
      <c r="AP311" s="9">
        <v>0</v>
      </c>
      <c r="AQ311" s="9">
        <v>0</v>
      </c>
      <c r="AR311" s="9">
        <v>0</v>
      </c>
      <c r="AS311" s="9">
        <v>0</v>
      </c>
      <c r="AT311" s="9">
        <v>0</v>
      </c>
      <c r="AU311" s="9">
        <v>0</v>
      </c>
      <c r="AV311" s="9">
        <v>0</v>
      </c>
      <c r="AW311" s="9">
        <v>0</v>
      </c>
      <c r="AX311" s="9">
        <v>0</v>
      </c>
      <c r="AY311" s="9">
        <v>0</v>
      </c>
      <c r="AZ311" s="9">
        <v>0</v>
      </c>
      <c r="BA311" s="9">
        <v>0</v>
      </c>
      <c r="BB311" s="9">
        <v>0</v>
      </c>
      <c r="BC311" s="9">
        <v>0</v>
      </c>
      <c r="BD311" s="9">
        <v>0</v>
      </c>
      <c r="BE311" s="9">
        <v>0</v>
      </c>
      <c r="BF311" s="9">
        <v>0</v>
      </c>
      <c r="BG311" s="9">
        <v>0</v>
      </c>
      <c r="BH311" s="9">
        <v>0</v>
      </c>
      <c r="BI311" s="9">
        <v>0</v>
      </c>
      <c r="BJ311" s="9">
        <v>0</v>
      </c>
      <c r="BK311" s="9">
        <v>0</v>
      </c>
      <c r="BL311" s="9">
        <v>0</v>
      </c>
      <c r="BM311" s="9">
        <v>0</v>
      </c>
      <c r="BN311" s="9">
        <v>0</v>
      </c>
      <c r="BO311" s="9">
        <v>0</v>
      </c>
      <c r="BP311" s="9">
        <v>0</v>
      </c>
      <c r="BQ311" s="9">
        <v>0</v>
      </c>
      <c r="BR311" s="9">
        <v>0</v>
      </c>
      <c r="BS311" s="9">
        <v>0</v>
      </c>
      <c r="BT311" s="9">
        <v>0</v>
      </c>
      <c r="BU311" s="9">
        <v>0</v>
      </c>
      <c r="BV311" s="9">
        <v>0</v>
      </c>
      <c r="BW311" s="9">
        <v>0</v>
      </c>
      <c r="BX311" s="9">
        <v>0</v>
      </c>
      <c r="BY311" s="9">
        <v>0</v>
      </c>
      <c r="BZ311" s="9">
        <v>0</v>
      </c>
      <c r="CA311" s="9">
        <v>0</v>
      </c>
      <c r="CB311" s="9">
        <v>0</v>
      </c>
      <c r="CC311" s="9">
        <v>0</v>
      </c>
      <c r="CD311" s="9">
        <v>0</v>
      </c>
      <c r="CE311" s="9">
        <v>0</v>
      </c>
      <c r="CF311" s="9">
        <v>0</v>
      </c>
      <c r="CG311" s="9">
        <v>0</v>
      </c>
      <c r="CH311" s="9">
        <v>0</v>
      </c>
      <c r="CI311" s="9">
        <v>0</v>
      </c>
      <c r="CJ311" s="9">
        <v>0</v>
      </c>
      <c r="CK311" s="9">
        <v>0</v>
      </c>
      <c r="CL311" s="9">
        <v>0</v>
      </c>
      <c r="CM311" s="9">
        <v>0</v>
      </c>
      <c r="CN311" s="9">
        <v>0</v>
      </c>
      <c r="CO311" s="9">
        <v>0</v>
      </c>
      <c r="CP311" s="9">
        <v>0</v>
      </c>
      <c r="CQ311" s="9">
        <v>0</v>
      </c>
      <c r="CR311" s="9">
        <v>0</v>
      </c>
      <c r="CS311" s="10">
        <v>0</v>
      </c>
    </row>
    <row r="312" spans="1:97" x14ac:dyDescent="0.35">
      <c r="A312" s="8" t="s">
        <v>342</v>
      </c>
      <c r="B312" s="9" t="s">
        <v>1027</v>
      </c>
      <c r="C312" s="9" t="s">
        <v>1028</v>
      </c>
      <c r="D312" s="9">
        <f t="shared" si="4"/>
        <v>0</v>
      </c>
      <c r="E312" s="9">
        <v>0</v>
      </c>
      <c r="F312" s="9">
        <v>0</v>
      </c>
      <c r="G312" s="9">
        <v>0</v>
      </c>
      <c r="H312" s="9">
        <v>0</v>
      </c>
      <c r="I312" s="9">
        <v>0</v>
      </c>
      <c r="J312" s="9">
        <v>0</v>
      </c>
      <c r="K312" s="9">
        <v>0</v>
      </c>
      <c r="L312" s="9">
        <v>0</v>
      </c>
      <c r="M312" s="9">
        <v>0</v>
      </c>
      <c r="N312" s="9">
        <v>0</v>
      </c>
      <c r="O312" s="9">
        <v>0</v>
      </c>
      <c r="P312" s="9">
        <v>0</v>
      </c>
      <c r="Q312" s="9">
        <v>0</v>
      </c>
      <c r="R312" s="9">
        <v>0</v>
      </c>
      <c r="S312" s="9">
        <v>0</v>
      </c>
      <c r="T312" s="9">
        <v>0</v>
      </c>
      <c r="U312" s="9">
        <v>0</v>
      </c>
      <c r="V312" s="9">
        <v>0</v>
      </c>
      <c r="W312" s="9">
        <v>0</v>
      </c>
      <c r="X312" s="9">
        <v>0</v>
      </c>
      <c r="Y312" s="9">
        <v>0</v>
      </c>
      <c r="Z312" s="9">
        <v>0</v>
      </c>
      <c r="AA312" s="9">
        <v>0</v>
      </c>
      <c r="AB312" s="9">
        <v>0</v>
      </c>
      <c r="AC312" s="9">
        <v>0</v>
      </c>
      <c r="AD312" s="9">
        <v>0</v>
      </c>
      <c r="AE312" s="9">
        <v>0</v>
      </c>
      <c r="AF312" s="9">
        <v>0</v>
      </c>
      <c r="AG312" s="9">
        <v>0</v>
      </c>
      <c r="AH312" s="9">
        <v>0</v>
      </c>
      <c r="AI312" s="9">
        <v>0</v>
      </c>
      <c r="AJ312" s="9">
        <v>0</v>
      </c>
      <c r="AK312" s="9">
        <v>0</v>
      </c>
      <c r="AL312" s="9">
        <v>0</v>
      </c>
      <c r="AM312" s="9">
        <v>0</v>
      </c>
      <c r="AN312" s="9">
        <v>0</v>
      </c>
      <c r="AO312" s="9">
        <v>0</v>
      </c>
      <c r="AP312" s="9">
        <v>0</v>
      </c>
      <c r="AQ312" s="9">
        <v>0</v>
      </c>
      <c r="AR312" s="9">
        <v>0</v>
      </c>
      <c r="AS312" s="9">
        <v>0</v>
      </c>
      <c r="AT312" s="9">
        <v>0</v>
      </c>
      <c r="AU312" s="9">
        <v>0</v>
      </c>
      <c r="AV312" s="9">
        <v>0</v>
      </c>
      <c r="AW312" s="9">
        <v>0</v>
      </c>
      <c r="AX312" s="9">
        <v>0</v>
      </c>
      <c r="AY312" s="9">
        <v>0</v>
      </c>
      <c r="AZ312" s="9">
        <v>0</v>
      </c>
      <c r="BA312" s="9">
        <v>0</v>
      </c>
      <c r="BB312" s="9">
        <v>0</v>
      </c>
      <c r="BC312" s="9">
        <v>0</v>
      </c>
      <c r="BD312" s="9">
        <v>0</v>
      </c>
      <c r="BE312" s="9">
        <v>0</v>
      </c>
      <c r="BF312" s="9">
        <v>0</v>
      </c>
      <c r="BG312" s="9">
        <v>0</v>
      </c>
      <c r="BH312" s="9">
        <v>0</v>
      </c>
      <c r="BI312" s="9">
        <v>0</v>
      </c>
      <c r="BJ312" s="9">
        <v>0</v>
      </c>
      <c r="BK312" s="9">
        <v>0</v>
      </c>
      <c r="BL312" s="9">
        <v>0</v>
      </c>
      <c r="BM312" s="9">
        <v>0</v>
      </c>
      <c r="BN312" s="9">
        <v>0</v>
      </c>
      <c r="BO312" s="9">
        <v>0</v>
      </c>
      <c r="BP312" s="9">
        <v>0</v>
      </c>
      <c r="BQ312" s="9">
        <v>0</v>
      </c>
      <c r="BR312" s="9">
        <v>0</v>
      </c>
      <c r="BS312" s="9">
        <v>0</v>
      </c>
      <c r="BT312" s="9">
        <v>0</v>
      </c>
      <c r="BU312" s="9">
        <v>0</v>
      </c>
      <c r="BV312" s="9">
        <v>0</v>
      </c>
      <c r="BW312" s="9">
        <v>0</v>
      </c>
      <c r="BX312" s="9">
        <v>0</v>
      </c>
      <c r="BY312" s="9">
        <v>0</v>
      </c>
      <c r="BZ312" s="9">
        <v>0</v>
      </c>
      <c r="CA312" s="9">
        <v>0</v>
      </c>
      <c r="CB312" s="9">
        <v>0</v>
      </c>
      <c r="CC312" s="9">
        <v>0</v>
      </c>
      <c r="CD312" s="9">
        <v>0</v>
      </c>
      <c r="CE312" s="9">
        <v>0</v>
      </c>
      <c r="CF312" s="9">
        <v>0</v>
      </c>
      <c r="CG312" s="9">
        <v>0</v>
      </c>
      <c r="CH312" s="9">
        <v>0</v>
      </c>
      <c r="CI312" s="9">
        <v>0</v>
      </c>
      <c r="CJ312" s="9">
        <v>0</v>
      </c>
      <c r="CK312" s="9">
        <v>0</v>
      </c>
      <c r="CL312" s="9">
        <v>0</v>
      </c>
      <c r="CM312" s="9">
        <v>0</v>
      </c>
      <c r="CN312" s="9">
        <v>0</v>
      </c>
      <c r="CO312" s="9">
        <v>0</v>
      </c>
      <c r="CP312" s="9">
        <v>0</v>
      </c>
      <c r="CQ312" s="9">
        <v>0</v>
      </c>
      <c r="CR312" s="9">
        <v>0</v>
      </c>
      <c r="CS312" s="10">
        <v>0</v>
      </c>
    </row>
    <row r="313" spans="1:97" x14ac:dyDescent="0.35">
      <c r="A313" s="8" t="s">
        <v>342</v>
      </c>
      <c r="B313" s="9" t="s">
        <v>1029</v>
      </c>
      <c r="C313" s="9" t="s">
        <v>1030</v>
      </c>
      <c r="D313" s="9">
        <f t="shared" si="4"/>
        <v>0</v>
      </c>
      <c r="E313" s="9">
        <v>0</v>
      </c>
      <c r="F313" s="9">
        <v>0</v>
      </c>
      <c r="G313" s="9">
        <v>0</v>
      </c>
      <c r="H313" s="9">
        <v>0</v>
      </c>
      <c r="I313" s="9">
        <v>0</v>
      </c>
      <c r="J313" s="9">
        <v>0</v>
      </c>
      <c r="K313" s="9">
        <v>0</v>
      </c>
      <c r="L313" s="9">
        <v>0</v>
      </c>
      <c r="M313" s="9">
        <v>0</v>
      </c>
      <c r="N313" s="9">
        <v>0</v>
      </c>
      <c r="O313" s="9">
        <v>0</v>
      </c>
      <c r="P313" s="9">
        <v>0</v>
      </c>
      <c r="Q313" s="9">
        <v>0</v>
      </c>
      <c r="R313" s="9">
        <v>0</v>
      </c>
      <c r="S313" s="9">
        <v>0</v>
      </c>
      <c r="T313" s="9">
        <v>0</v>
      </c>
      <c r="U313" s="9">
        <v>0</v>
      </c>
      <c r="V313" s="9">
        <v>0</v>
      </c>
      <c r="W313" s="9">
        <v>0</v>
      </c>
      <c r="X313" s="9">
        <v>0</v>
      </c>
      <c r="Y313" s="9">
        <v>0</v>
      </c>
      <c r="Z313" s="9">
        <v>0</v>
      </c>
      <c r="AA313" s="9">
        <v>0</v>
      </c>
      <c r="AB313" s="9">
        <v>0</v>
      </c>
      <c r="AC313" s="9">
        <v>0</v>
      </c>
      <c r="AD313" s="9">
        <v>0</v>
      </c>
      <c r="AE313" s="9">
        <v>0</v>
      </c>
      <c r="AF313" s="9">
        <v>0</v>
      </c>
      <c r="AG313" s="9">
        <v>0</v>
      </c>
      <c r="AH313" s="9">
        <v>0</v>
      </c>
      <c r="AI313" s="9">
        <v>0</v>
      </c>
      <c r="AJ313" s="9">
        <v>0</v>
      </c>
      <c r="AK313" s="9">
        <v>0</v>
      </c>
      <c r="AL313" s="9">
        <v>0</v>
      </c>
      <c r="AM313" s="9">
        <v>0</v>
      </c>
      <c r="AN313" s="9">
        <v>0</v>
      </c>
      <c r="AO313" s="9">
        <v>0</v>
      </c>
      <c r="AP313" s="9">
        <v>0</v>
      </c>
      <c r="AQ313" s="9">
        <v>0</v>
      </c>
      <c r="AR313" s="9">
        <v>0</v>
      </c>
      <c r="AS313" s="9">
        <v>0</v>
      </c>
      <c r="AT313" s="9">
        <v>0</v>
      </c>
      <c r="AU313" s="9">
        <v>0</v>
      </c>
      <c r="AV313" s="9">
        <v>0</v>
      </c>
      <c r="AW313" s="9">
        <v>0</v>
      </c>
      <c r="AX313" s="9">
        <v>0</v>
      </c>
      <c r="AY313" s="9">
        <v>0</v>
      </c>
      <c r="AZ313" s="9">
        <v>0</v>
      </c>
      <c r="BA313" s="9">
        <v>0</v>
      </c>
      <c r="BB313" s="9">
        <v>0</v>
      </c>
      <c r="BC313" s="9">
        <v>0</v>
      </c>
      <c r="BD313" s="9">
        <v>0</v>
      </c>
      <c r="BE313" s="9">
        <v>0</v>
      </c>
      <c r="BF313" s="9">
        <v>0</v>
      </c>
      <c r="BG313" s="9">
        <v>0</v>
      </c>
      <c r="BH313" s="9">
        <v>0</v>
      </c>
      <c r="BI313" s="9">
        <v>0</v>
      </c>
      <c r="BJ313" s="9">
        <v>0</v>
      </c>
      <c r="BK313" s="9">
        <v>0</v>
      </c>
      <c r="BL313" s="9">
        <v>0</v>
      </c>
      <c r="BM313" s="9">
        <v>0</v>
      </c>
      <c r="BN313" s="9">
        <v>0</v>
      </c>
      <c r="BO313" s="9">
        <v>0</v>
      </c>
      <c r="BP313" s="9">
        <v>0</v>
      </c>
      <c r="BQ313" s="9">
        <v>0</v>
      </c>
      <c r="BR313" s="9">
        <v>0</v>
      </c>
      <c r="BS313" s="9">
        <v>0</v>
      </c>
      <c r="BT313" s="9">
        <v>0</v>
      </c>
      <c r="BU313" s="9">
        <v>0</v>
      </c>
      <c r="BV313" s="9">
        <v>0</v>
      </c>
      <c r="BW313" s="9">
        <v>0</v>
      </c>
      <c r="BX313" s="9">
        <v>0</v>
      </c>
      <c r="BY313" s="9">
        <v>0</v>
      </c>
      <c r="BZ313" s="9">
        <v>0</v>
      </c>
      <c r="CA313" s="9">
        <v>0</v>
      </c>
      <c r="CB313" s="9">
        <v>0</v>
      </c>
      <c r="CC313" s="9">
        <v>0</v>
      </c>
      <c r="CD313" s="9">
        <v>0</v>
      </c>
      <c r="CE313" s="9">
        <v>0</v>
      </c>
      <c r="CF313" s="9">
        <v>0</v>
      </c>
      <c r="CG313" s="9">
        <v>0</v>
      </c>
      <c r="CH313" s="9">
        <v>0</v>
      </c>
      <c r="CI313" s="9">
        <v>0</v>
      </c>
      <c r="CJ313" s="9">
        <v>0</v>
      </c>
      <c r="CK313" s="9">
        <v>0</v>
      </c>
      <c r="CL313" s="9">
        <v>0</v>
      </c>
      <c r="CM313" s="9">
        <v>0</v>
      </c>
      <c r="CN313" s="9">
        <v>0</v>
      </c>
      <c r="CO313" s="9">
        <v>0</v>
      </c>
      <c r="CP313" s="9">
        <v>0</v>
      </c>
      <c r="CQ313" s="9">
        <v>0</v>
      </c>
      <c r="CR313" s="9">
        <v>0</v>
      </c>
      <c r="CS313" s="10">
        <v>0</v>
      </c>
    </row>
    <row r="314" spans="1:97" x14ac:dyDescent="0.35">
      <c r="A314" s="8" t="s">
        <v>342</v>
      </c>
      <c r="B314" s="9" t="s">
        <v>1031</v>
      </c>
      <c r="C314" s="9" t="s">
        <v>1032</v>
      </c>
      <c r="D314" s="9">
        <f t="shared" si="4"/>
        <v>0</v>
      </c>
      <c r="E314" s="9">
        <v>0</v>
      </c>
      <c r="F314" s="9">
        <v>0</v>
      </c>
      <c r="G314" s="9">
        <v>0</v>
      </c>
      <c r="H314" s="9">
        <v>0</v>
      </c>
      <c r="I314" s="9">
        <v>0</v>
      </c>
      <c r="J314" s="9">
        <v>0</v>
      </c>
      <c r="K314" s="9">
        <v>0</v>
      </c>
      <c r="L314" s="9">
        <v>0</v>
      </c>
      <c r="M314" s="9">
        <v>0</v>
      </c>
      <c r="N314" s="9">
        <v>0</v>
      </c>
      <c r="O314" s="9">
        <v>0</v>
      </c>
      <c r="P314" s="9">
        <v>0</v>
      </c>
      <c r="Q314" s="9">
        <v>0</v>
      </c>
      <c r="R314" s="9">
        <v>0</v>
      </c>
      <c r="S314" s="9">
        <v>0</v>
      </c>
      <c r="T314" s="9">
        <v>0</v>
      </c>
      <c r="U314" s="9">
        <v>0</v>
      </c>
      <c r="V314" s="9">
        <v>0</v>
      </c>
      <c r="W314" s="9">
        <v>0</v>
      </c>
      <c r="X314" s="9">
        <v>0</v>
      </c>
      <c r="Y314" s="9">
        <v>0</v>
      </c>
      <c r="Z314" s="9">
        <v>0</v>
      </c>
      <c r="AA314" s="9">
        <v>0</v>
      </c>
      <c r="AB314" s="9">
        <v>0</v>
      </c>
      <c r="AC314" s="9">
        <v>0</v>
      </c>
      <c r="AD314" s="9">
        <v>0</v>
      </c>
      <c r="AE314" s="9">
        <v>0</v>
      </c>
      <c r="AF314" s="9">
        <v>0</v>
      </c>
      <c r="AG314" s="9">
        <v>0</v>
      </c>
      <c r="AH314" s="9">
        <v>0</v>
      </c>
      <c r="AI314" s="9">
        <v>0</v>
      </c>
      <c r="AJ314" s="9">
        <v>0</v>
      </c>
      <c r="AK314" s="9">
        <v>0</v>
      </c>
      <c r="AL314" s="9">
        <v>0</v>
      </c>
      <c r="AM314" s="9">
        <v>0</v>
      </c>
      <c r="AN314" s="9">
        <v>0</v>
      </c>
      <c r="AO314" s="9">
        <v>0</v>
      </c>
      <c r="AP314" s="9">
        <v>0</v>
      </c>
      <c r="AQ314" s="9">
        <v>0</v>
      </c>
      <c r="AR314" s="9">
        <v>0</v>
      </c>
      <c r="AS314" s="9">
        <v>0</v>
      </c>
      <c r="AT314" s="9">
        <v>0</v>
      </c>
      <c r="AU314" s="9">
        <v>0</v>
      </c>
      <c r="AV314" s="9">
        <v>0</v>
      </c>
      <c r="AW314" s="9">
        <v>0</v>
      </c>
      <c r="AX314" s="9">
        <v>0</v>
      </c>
      <c r="AY314" s="9">
        <v>0</v>
      </c>
      <c r="AZ314" s="9">
        <v>0</v>
      </c>
      <c r="BA314" s="9">
        <v>0</v>
      </c>
      <c r="BB314" s="9">
        <v>0</v>
      </c>
      <c r="BC314" s="9">
        <v>0</v>
      </c>
      <c r="BD314" s="9">
        <v>0</v>
      </c>
      <c r="BE314" s="9">
        <v>0</v>
      </c>
      <c r="BF314" s="9">
        <v>0</v>
      </c>
      <c r="BG314" s="9">
        <v>0</v>
      </c>
      <c r="BH314" s="9">
        <v>0</v>
      </c>
      <c r="BI314" s="9">
        <v>0</v>
      </c>
      <c r="BJ314" s="9">
        <v>0</v>
      </c>
      <c r="BK314" s="9">
        <v>0</v>
      </c>
      <c r="BL314" s="9">
        <v>0</v>
      </c>
      <c r="BM314" s="9">
        <v>0</v>
      </c>
      <c r="BN314" s="9">
        <v>0</v>
      </c>
      <c r="BO314" s="9">
        <v>0</v>
      </c>
      <c r="BP314" s="9">
        <v>0</v>
      </c>
      <c r="BQ314" s="9">
        <v>0</v>
      </c>
      <c r="BR314" s="9">
        <v>0</v>
      </c>
      <c r="BS314" s="9">
        <v>0</v>
      </c>
      <c r="BT314" s="9">
        <v>0</v>
      </c>
      <c r="BU314" s="9">
        <v>0</v>
      </c>
      <c r="BV314" s="9">
        <v>0</v>
      </c>
      <c r="BW314" s="9">
        <v>0</v>
      </c>
      <c r="BX314" s="9">
        <v>0</v>
      </c>
      <c r="BY314" s="9">
        <v>0</v>
      </c>
      <c r="BZ314" s="9">
        <v>0</v>
      </c>
      <c r="CA314" s="9">
        <v>0</v>
      </c>
      <c r="CB314" s="9">
        <v>0</v>
      </c>
      <c r="CC314" s="9">
        <v>0</v>
      </c>
      <c r="CD314" s="9">
        <v>0</v>
      </c>
      <c r="CE314" s="9">
        <v>0</v>
      </c>
      <c r="CF314" s="9">
        <v>0</v>
      </c>
      <c r="CG314" s="9">
        <v>0</v>
      </c>
      <c r="CH314" s="9">
        <v>0</v>
      </c>
      <c r="CI314" s="9">
        <v>0</v>
      </c>
      <c r="CJ314" s="9">
        <v>0</v>
      </c>
      <c r="CK314" s="9">
        <v>0</v>
      </c>
      <c r="CL314" s="9">
        <v>0</v>
      </c>
      <c r="CM314" s="9">
        <v>0</v>
      </c>
      <c r="CN314" s="9">
        <v>0</v>
      </c>
      <c r="CO314" s="9">
        <v>0</v>
      </c>
      <c r="CP314" s="9">
        <v>0</v>
      </c>
      <c r="CQ314" s="9">
        <v>0</v>
      </c>
      <c r="CR314" s="9">
        <v>0</v>
      </c>
      <c r="CS314" s="10">
        <v>0</v>
      </c>
    </row>
    <row r="315" spans="1:97" x14ac:dyDescent="0.35">
      <c r="A315" s="8" t="s">
        <v>342</v>
      </c>
      <c r="B315" s="9" t="s">
        <v>1033</v>
      </c>
      <c r="C315" s="9" t="s">
        <v>1034</v>
      </c>
      <c r="D315" s="9">
        <f t="shared" si="4"/>
        <v>0</v>
      </c>
      <c r="E315" s="9">
        <v>0</v>
      </c>
      <c r="F315" s="9">
        <v>0</v>
      </c>
      <c r="G315" s="9">
        <v>0</v>
      </c>
      <c r="H315" s="9">
        <v>0</v>
      </c>
      <c r="I315" s="9">
        <v>0</v>
      </c>
      <c r="J315" s="9">
        <v>0</v>
      </c>
      <c r="K315" s="9">
        <v>0</v>
      </c>
      <c r="L315" s="9">
        <v>0</v>
      </c>
      <c r="M315" s="9">
        <v>0</v>
      </c>
      <c r="N315" s="9">
        <v>0</v>
      </c>
      <c r="O315" s="9">
        <v>0</v>
      </c>
      <c r="P315" s="9">
        <v>0</v>
      </c>
      <c r="Q315" s="9">
        <v>0</v>
      </c>
      <c r="R315" s="9">
        <v>0</v>
      </c>
      <c r="S315" s="9">
        <v>0</v>
      </c>
      <c r="T315" s="9">
        <v>0</v>
      </c>
      <c r="U315" s="9">
        <v>0</v>
      </c>
      <c r="V315" s="9">
        <v>0</v>
      </c>
      <c r="W315" s="9">
        <v>0</v>
      </c>
      <c r="X315" s="9">
        <v>0</v>
      </c>
      <c r="Y315" s="9">
        <v>0</v>
      </c>
      <c r="Z315" s="9">
        <v>0</v>
      </c>
      <c r="AA315" s="9">
        <v>0</v>
      </c>
      <c r="AB315" s="9">
        <v>0</v>
      </c>
      <c r="AC315" s="9">
        <v>0</v>
      </c>
      <c r="AD315" s="9">
        <v>0</v>
      </c>
      <c r="AE315" s="9">
        <v>0</v>
      </c>
      <c r="AF315" s="9">
        <v>0</v>
      </c>
      <c r="AG315" s="9">
        <v>0</v>
      </c>
      <c r="AH315" s="9">
        <v>0</v>
      </c>
      <c r="AI315" s="9">
        <v>0</v>
      </c>
      <c r="AJ315" s="9">
        <v>0</v>
      </c>
      <c r="AK315" s="9">
        <v>0</v>
      </c>
      <c r="AL315" s="9">
        <v>0</v>
      </c>
      <c r="AM315" s="9">
        <v>0</v>
      </c>
      <c r="AN315" s="9">
        <v>0</v>
      </c>
      <c r="AO315" s="9">
        <v>0</v>
      </c>
      <c r="AP315" s="9">
        <v>0</v>
      </c>
      <c r="AQ315" s="9">
        <v>0</v>
      </c>
      <c r="AR315" s="9">
        <v>0</v>
      </c>
      <c r="AS315" s="9">
        <v>0</v>
      </c>
      <c r="AT315" s="9">
        <v>0</v>
      </c>
      <c r="AU315" s="9">
        <v>0</v>
      </c>
      <c r="AV315" s="9">
        <v>0</v>
      </c>
      <c r="AW315" s="9">
        <v>0</v>
      </c>
      <c r="AX315" s="9">
        <v>0</v>
      </c>
      <c r="AY315" s="9">
        <v>0</v>
      </c>
      <c r="AZ315" s="9">
        <v>0</v>
      </c>
      <c r="BA315" s="9">
        <v>0</v>
      </c>
      <c r="BB315" s="9">
        <v>0</v>
      </c>
      <c r="BC315" s="9">
        <v>0</v>
      </c>
      <c r="BD315" s="9">
        <v>0</v>
      </c>
      <c r="BE315" s="9">
        <v>0</v>
      </c>
      <c r="BF315" s="9">
        <v>0</v>
      </c>
      <c r="BG315" s="9">
        <v>0</v>
      </c>
      <c r="BH315" s="9">
        <v>0</v>
      </c>
      <c r="BI315" s="9">
        <v>0</v>
      </c>
      <c r="BJ315" s="9">
        <v>0</v>
      </c>
      <c r="BK315" s="9">
        <v>0</v>
      </c>
      <c r="BL315" s="9">
        <v>0</v>
      </c>
      <c r="BM315" s="9">
        <v>0</v>
      </c>
      <c r="BN315" s="9">
        <v>0</v>
      </c>
      <c r="BO315" s="9">
        <v>0</v>
      </c>
      <c r="BP315" s="9">
        <v>0</v>
      </c>
      <c r="BQ315" s="9">
        <v>0</v>
      </c>
      <c r="BR315" s="9">
        <v>0</v>
      </c>
      <c r="BS315" s="9">
        <v>0</v>
      </c>
      <c r="BT315" s="9">
        <v>0</v>
      </c>
      <c r="BU315" s="9">
        <v>0</v>
      </c>
      <c r="BV315" s="9">
        <v>0</v>
      </c>
      <c r="BW315" s="9">
        <v>0</v>
      </c>
      <c r="BX315" s="9">
        <v>0</v>
      </c>
      <c r="BY315" s="9">
        <v>0</v>
      </c>
      <c r="BZ315" s="9">
        <v>0</v>
      </c>
      <c r="CA315" s="9">
        <v>0</v>
      </c>
      <c r="CB315" s="9">
        <v>0</v>
      </c>
      <c r="CC315" s="9">
        <v>0</v>
      </c>
      <c r="CD315" s="9">
        <v>0</v>
      </c>
      <c r="CE315" s="9">
        <v>0</v>
      </c>
      <c r="CF315" s="9">
        <v>0</v>
      </c>
      <c r="CG315" s="9">
        <v>0</v>
      </c>
      <c r="CH315" s="9">
        <v>0</v>
      </c>
      <c r="CI315" s="9">
        <v>0</v>
      </c>
      <c r="CJ315" s="9">
        <v>0</v>
      </c>
      <c r="CK315" s="9">
        <v>0</v>
      </c>
      <c r="CL315" s="9">
        <v>0</v>
      </c>
      <c r="CM315" s="9">
        <v>0</v>
      </c>
      <c r="CN315" s="9">
        <v>0</v>
      </c>
      <c r="CO315" s="9">
        <v>0</v>
      </c>
      <c r="CP315" s="9">
        <v>0</v>
      </c>
      <c r="CQ315" s="9">
        <v>0</v>
      </c>
      <c r="CR315" s="9">
        <v>0</v>
      </c>
      <c r="CS315" s="10">
        <v>0</v>
      </c>
    </row>
    <row r="316" spans="1:97" x14ac:dyDescent="0.35">
      <c r="A316" s="8" t="s">
        <v>342</v>
      </c>
      <c r="B316" s="9" t="s">
        <v>1035</v>
      </c>
      <c r="C316" s="9" t="s">
        <v>1036</v>
      </c>
      <c r="D316" s="9">
        <f t="shared" si="4"/>
        <v>0</v>
      </c>
      <c r="E316" s="9">
        <v>0</v>
      </c>
      <c r="F316" s="9">
        <v>0</v>
      </c>
      <c r="G316" s="9">
        <v>0</v>
      </c>
      <c r="H316" s="9">
        <v>0</v>
      </c>
      <c r="I316" s="9">
        <v>0</v>
      </c>
      <c r="J316" s="9">
        <v>0</v>
      </c>
      <c r="K316" s="9">
        <v>0</v>
      </c>
      <c r="L316" s="9">
        <v>0</v>
      </c>
      <c r="M316" s="9">
        <v>0</v>
      </c>
      <c r="N316" s="9">
        <v>0</v>
      </c>
      <c r="O316" s="9">
        <v>0</v>
      </c>
      <c r="P316" s="9">
        <v>0</v>
      </c>
      <c r="Q316" s="9">
        <v>0</v>
      </c>
      <c r="R316" s="9">
        <v>0</v>
      </c>
      <c r="S316" s="9">
        <v>0</v>
      </c>
      <c r="T316" s="9">
        <v>0</v>
      </c>
      <c r="U316" s="9">
        <v>0</v>
      </c>
      <c r="V316" s="9">
        <v>0</v>
      </c>
      <c r="W316" s="9">
        <v>0</v>
      </c>
      <c r="X316" s="9">
        <v>0</v>
      </c>
      <c r="Y316" s="9">
        <v>0</v>
      </c>
      <c r="Z316" s="9">
        <v>0</v>
      </c>
      <c r="AA316" s="9">
        <v>0</v>
      </c>
      <c r="AB316" s="9">
        <v>0</v>
      </c>
      <c r="AC316" s="9">
        <v>0</v>
      </c>
      <c r="AD316" s="9">
        <v>0</v>
      </c>
      <c r="AE316" s="9">
        <v>0</v>
      </c>
      <c r="AF316" s="9">
        <v>0</v>
      </c>
      <c r="AG316" s="9">
        <v>0</v>
      </c>
      <c r="AH316" s="9">
        <v>0</v>
      </c>
      <c r="AI316" s="9">
        <v>0</v>
      </c>
      <c r="AJ316" s="9">
        <v>0</v>
      </c>
      <c r="AK316" s="9">
        <v>0</v>
      </c>
      <c r="AL316" s="9">
        <v>0</v>
      </c>
      <c r="AM316" s="9">
        <v>0</v>
      </c>
      <c r="AN316" s="9">
        <v>0</v>
      </c>
      <c r="AO316" s="9">
        <v>0</v>
      </c>
      <c r="AP316" s="9">
        <v>0</v>
      </c>
      <c r="AQ316" s="9">
        <v>0</v>
      </c>
      <c r="AR316" s="9">
        <v>0</v>
      </c>
      <c r="AS316" s="9">
        <v>0</v>
      </c>
      <c r="AT316" s="9">
        <v>0</v>
      </c>
      <c r="AU316" s="9">
        <v>0</v>
      </c>
      <c r="AV316" s="9">
        <v>0</v>
      </c>
      <c r="AW316" s="9">
        <v>0</v>
      </c>
      <c r="AX316" s="9">
        <v>0</v>
      </c>
      <c r="AY316" s="9">
        <v>0</v>
      </c>
      <c r="AZ316" s="9">
        <v>0</v>
      </c>
      <c r="BA316" s="9">
        <v>0</v>
      </c>
      <c r="BB316" s="9">
        <v>0</v>
      </c>
      <c r="BC316" s="9">
        <v>0</v>
      </c>
      <c r="BD316" s="9">
        <v>0</v>
      </c>
      <c r="BE316" s="9">
        <v>0</v>
      </c>
      <c r="BF316" s="9">
        <v>0</v>
      </c>
      <c r="BG316" s="9">
        <v>0</v>
      </c>
      <c r="BH316" s="9">
        <v>0</v>
      </c>
      <c r="BI316" s="9">
        <v>0</v>
      </c>
      <c r="BJ316" s="9">
        <v>0</v>
      </c>
      <c r="BK316" s="9">
        <v>0</v>
      </c>
      <c r="BL316" s="9">
        <v>0</v>
      </c>
      <c r="BM316" s="9">
        <v>0</v>
      </c>
      <c r="BN316" s="9">
        <v>0</v>
      </c>
      <c r="BO316" s="9">
        <v>0</v>
      </c>
      <c r="BP316" s="9">
        <v>0</v>
      </c>
      <c r="BQ316" s="9">
        <v>0</v>
      </c>
      <c r="BR316" s="9">
        <v>0</v>
      </c>
      <c r="BS316" s="9">
        <v>0</v>
      </c>
      <c r="BT316" s="9">
        <v>0</v>
      </c>
      <c r="BU316" s="9">
        <v>0</v>
      </c>
      <c r="BV316" s="9">
        <v>0</v>
      </c>
      <c r="BW316" s="9">
        <v>0</v>
      </c>
      <c r="BX316" s="9">
        <v>0</v>
      </c>
      <c r="BY316" s="9">
        <v>0</v>
      </c>
      <c r="BZ316" s="9">
        <v>0</v>
      </c>
      <c r="CA316" s="9">
        <v>0</v>
      </c>
      <c r="CB316" s="9">
        <v>0</v>
      </c>
      <c r="CC316" s="9">
        <v>0</v>
      </c>
      <c r="CD316" s="9">
        <v>0</v>
      </c>
      <c r="CE316" s="9">
        <v>0</v>
      </c>
      <c r="CF316" s="9">
        <v>0</v>
      </c>
      <c r="CG316" s="9">
        <v>0</v>
      </c>
      <c r="CH316" s="9">
        <v>0</v>
      </c>
      <c r="CI316" s="9">
        <v>0</v>
      </c>
      <c r="CJ316" s="9">
        <v>0</v>
      </c>
      <c r="CK316" s="9">
        <v>0</v>
      </c>
      <c r="CL316" s="9">
        <v>0</v>
      </c>
      <c r="CM316" s="9">
        <v>0</v>
      </c>
      <c r="CN316" s="9">
        <v>0</v>
      </c>
      <c r="CO316" s="9">
        <v>0</v>
      </c>
      <c r="CP316" s="9">
        <v>0</v>
      </c>
      <c r="CQ316" s="9">
        <v>0</v>
      </c>
      <c r="CR316" s="9">
        <v>0</v>
      </c>
      <c r="CS316" s="10">
        <v>0</v>
      </c>
    </row>
    <row r="317" spans="1:97" x14ac:dyDescent="0.35">
      <c r="A317" s="8" t="s">
        <v>342</v>
      </c>
      <c r="B317" s="9" t="s">
        <v>1037</v>
      </c>
      <c r="C317" s="9" t="s">
        <v>1038</v>
      </c>
      <c r="D317" s="9">
        <f t="shared" si="4"/>
        <v>0</v>
      </c>
      <c r="E317" s="9">
        <v>0</v>
      </c>
      <c r="F317" s="9">
        <v>0</v>
      </c>
      <c r="G317" s="9">
        <v>0</v>
      </c>
      <c r="H317" s="9">
        <v>0</v>
      </c>
      <c r="I317" s="9">
        <v>0</v>
      </c>
      <c r="J317" s="9">
        <v>0</v>
      </c>
      <c r="K317" s="9">
        <v>0</v>
      </c>
      <c r="L317" s="9">
        <v>0</v>
      </c>
      <c r="M317" s="9">
        <v>0</v>
      </c>
      <c r="N317" s="9">
        <v>0</v>
      </c>
      <c r="O317" s="9">
        <v>0</v>
      </c>
      <c r="P317" s="9">
        <v>0</v>
      </c>
      <c r="Q317" s="9">
        <v>0</v>
      </c>
      <c r="R317" s="9">
        <v>0</v>
      </c>
      <c r="S317" s="9">
        <v>0</v>
      </c>
      <c r="T317" s="9">
        <v>0</v>
      </c>
      <c r="U317" s="9">
        <v>0</v>
      </c>
      <c r="V317" s="9">
        <v>0</v>
      </c>
      <c r="W317" s="9">
        <v>0</v>
      </c>
      <c r="X317" s="9">
        <v>0</v>
      </c>
      <c r="Y317" s="9">
        <v>0</v>
      </c>
      <c r="Z317" s="9">
        <v>0</v>
      </c>
      <c r="AA317" s="9">
        <v>0</v>
      </c>
      <c r="AB317" s="9">
        <v>0</v>
      </c>
      <c r="AC317" s="9">
        <v>0</v>
      </c>
      <c r="AD317" s="9">
        <v>0</v>
      </c>
      <c r="AE317" s="9">
        <v>0</v>
      </c>
      <c r="AF317" s="9">
        <v>0</v>
      </c>
      <c r="AG317" s="9">
        <v>0</v>
      </c>
      <c r="AH317" s="9">
        <v>0</v>
      </c>
      <c r="AI317" s="9">
        <v>0</v>
      </c>
      <c r="AJ317" s="9">
        <v>0</v>
      </c>
      <c r="AK317" s="9">
        <v>0</v>
      </c>
      <c r="AL317" s="9">
        <v>0</v>
      </c>
      <c r="AM317" s="9">
        <v>0</v>
      </c>
      <c r="AN317" s="9">
        <v>0</v>
      </c>
      <c r="AO317" s="9">
        <v>0</v>
      </c>
      <c r="AP317" s="9">
        <v>0</v>
      </c>
      <c r="AQ317" s="9">
        <v>0</v>
      </c>
      <c r="AR317" s="9">
        <v>0</v>
      </c>
      <c r="AS317" s="9">
        <v>0</v>
      </c>
      <c r="AT317" s="9">
        <v>0</v>
      </c>
      <c r="AU317" s="9">
        <v>0</v>
      </c>
      <c r="AV317" s="9">
        <v>0</v>
      </c>
      <c r="AW317" s="9">
        <v>0</v>
      </c>
      <c r="AX317" s="9">
        <v>0</v>
      </c>
      <c r="AY317" s="9">
        <v>0</v>
      </c>
      <c r="AZ317" s="9">
        <v>0</v>
      </c>
      <c r="BA317" s="9">
        <v>0</v>
      </c>
      <c r="BB317" s="9">
        <v>0</v>
      </c>
      <c r="BC317" s="9">
        <v>0</v>
      </c>
      <c r="BD317" s="9">
        <v>0</v>
      </c>
      <c r="BE317" s="9">
        <v>0</v>
      </c>
      <c r="BF317" s="9">
        <v>0</v>
      </c>
      <c r="BG317" s="9">
        <v>0</v>
      </c>
      <c r="BH317" s="9">
        <v>0</v>
      </c>
      <c r="BI317" s="9">
        <v>0</v>
      </c>
      <c r="BJ317" s="9">
        <v>0</v>
      </c>
      <c r="BK317" s="9">
        <v>0</v>
      </c>
      <c r="BL317" s="9">
        <v>0</v>
      </c>
      <c r="BM317" s="9">
        <v>0</v>
      </c>
      <c r="BN317" s="9">
        <v>0</v>
      </c>
      <c r="BO317" s="9">
        <v>0</v>
      </c>
      <c r="BP317" s="9">
        <v>0</v>
      </c>
      <c r="BQ317" s="9">
        <v>0</v>
      </c>
      <c r="BR317" s="9">
        <v>0</v>
      </c>
      <c r="BS317" s="9">
        <v>0</v>
      </c>
      <c r="BT317" s="9">
        <v>0</v>
      </c>
      <c r="BU317" s="9">
        <v>0</v>
      </c>
      <c r="BV317" s="9">
        <v>0</v>
      </c>
      <c r="BW317" s="9">
        <v>0</v>
      </c>
      <c r="BX317" s="9">
        <v>0</v>
      </c>
      <c r="BY317" s="9">
        <v>0</v>
      </c>
      <c r="BZ317" s="9">
        <v>0</v>
      </c>
      <c r="CA317" s="9">
        <v>0</v>
      </c>
      <c r="CB317" s="9">
        <v>0</v>
      </c>
      <c r="CC317" s="9">
        <v>0</v>
      </c>
      <c r="CD317" s="9">
        <v>0</v>
      </c>
      <c r="CE317" s="9">
        <v>0</v>
      </c>
      <c r="CF317" s="9">
        <v>0</v>
      </c>
      <c r="CG317" s="9">
        <v>0</v>
      </c>
      <c r="CH317" s="9">
        <v>0</v>
      </c>
      <c r="CI317" s="9">
        <v>0</v>
      </c>
      <c r="CJ317" s="9">
        <v>0</v>
      </c>
      <c r="CK317" s="9">
        <v>0</v>
      </c>
      <c r="CL317" s="9">
        <v>0</v>
      </c>
      <c r="CM317" s="9">
        <v>0</v>
      </c>
      <c r="CN317" s="9">
        <v>0</v>
      </c>
      <c r="CO317" s="9">
        <v>0</v>
      </c>
      <c r="CP317" s="9">
        <v>0</v>
      </c>
      <c r="CQ317" s="9">
        <v>0</v>
      </c>
      <c r="CR317" s="9">
        <v>0</v>
      </c>
      <c r="CS317" s="10">
        <v>0</v>
      </c>
    </row>
    <row r="318" spans="1:97" x14ac:dyDescent="0.35">
      <c r="A318" s="8" t="s">
        <v>342</v>
      </c>
      <c r="B318" s="9" t="s">
        <v>1039</v>
      </c>
      <c r="C318" s="9" t="s">
        <v>1040</v>
      </c>
      <c r="D318" s="9">
        <f t="shared" si="4"/>
        <v>0</v>
      </c>
      <c r="E318" s="9">
        <v>0</v>
      </c>
      <c r="F318" s="9">
        <v>0</v>
      </c>
      <c r="G318" s="9">
        <v>0</v>
      </c>
      <c r="H318" s="9">
        <v>0</v>
      </c>
      <c r="I318" s="9">
        <v>0</v>
      </c>
      <c r="J318" s="9">
        <v>0</v>
      </c>
      <c r="K318" s="9">
        <v>0</v>
      </c>
      <c r="L318" s="9">
        <v>0</v>
      </c>
      <c r="M318" s="9">
        <v>0</v>
      </c>
      <c r="N318" s="9">
        <v>0</v>
      </c>
      <c r="O318" s="9">
        <v>0</v>
      </c>
      <c r="P318" s="9">
        <v>0</v>
      </c>
      <c r="Q318" s="9">
        <v>0</v>
      </c>
      <c r="R318" s="9">
        <v>0</v>
      </c>
      <c r="S318" s="9">
        <v>0</v>
      </c>
      <c r="T318" s="9">
        <v>0</v>
      </c>
      <c r="U318" s="9">
        <v>0</v>
      </c>
      <c r="V318" s="9">
        <v>0</v>
      </c>
      <c r="W318" s="9">
        <v>0</v>
      </c>
      <c r="X318" s="9">
        <v>0</v>
      </c>
      <c r="Y318" s="9">
        <v>0</v>
      </c>
      <c r="Z318" s="9">
        <v>0</v>
      </c>
      <c r="AA318" s="9">
        <v>0</v>
      </c>
      <c r="AB318" s="9">
        <v>0</v>
      </c>
      <c r="AC318" s="9">
        <v>0</v>
      </c>
      <c r="AD318" s="9">
        <v>0</v>
      </c>
      <c r="AE318" s="9">
        <v>0</v>
      </c>
      <c r="AF318" s="9">
        <v>0</v>
      </c>
      <c r="AG318" s="9">
        <v>0</v>
      </c>
      <c r="AH318" s="9">
        <v>0</v>
      </c>
      <c r="AI318" s="9">
        <v>0</v>
      </c>
      <c r="AJ318" s="9">
        <v>0</v>
      </c>
      <c r="AK318" s="9">
        <v>0</v>
      </c>
      <c r="AL318" s="9">
        <v>0</v>
      </c>
      <c r="AM318" s="9">
        <v>0</v>
      </c>
      <c r="AN318" s="9">
        <v>0</v>
      </c>
      <c r="AO318" s="9">
        <v>0</v>
      </c>
      <c r="AP318" s="9">
        <v>0</v>
      </c>
      <c r="AQ318" s="9">
        <v>0</v>
      </c>
      <c r="AR318" s="9">
        <v>0</v>
      </c>
      <c r="AS318" s="9">
        <v>0</v>
      </c>
      <c r="AT318" s="9">
        <v>0</v>
      </c>
      <c r="AU318" s="9">
        <v>0</v>
      </c>
      <c r="AV318" s="9">
        <v>0</v>
      </c>
      <c r="AW318" s="9">
        <v>0</v>
      </c>
      <c r="AX318" s="9">
        <v>0</v>
      </c>
      <c r="AY318" s="9">
        <v>0</v>
      </c>
      <c r="AZ318" s="9">
        <v>0</v>
      </c>
      <c r="BA318" s="9">
        <v>0</v>
      </c>
      <c r="BB318" s="9">
        <v>0</v>
      </c>
      <c r="BC318" s="9">
        <v>0</v>
      </c>
      <c r="BD318" s="9">
        <v>0</v>
      </c>
      <c r="BE318" s="9">
        <v>0</v>
      </c>
      <c r="BF318" s="9">
        <v>0</v>
      </c>
      <c r="BG318" s="9">
        <v>0</v>
      </c>
      <c r="BH318" s="9">
        <v>0</v>
      </c>
      <c r="BI318" s="9">
        <v>0</v>
      </c>
      <c r="BJ318" s="9">
        <v>0</v>
      </c>
      <c r="BK318" s="9">
        <v>0</v>
      </c>
      <c r="BL318" s="9">
        <v>0</v>
      </c>
      <c r="BM318" s="9">
        <v>0</v>
      </c>
      <c r="BN318" s="9">
        <v>0</v>
      </c>
      <c r="BO318" s="9">
        <v>0</v>
      </c>
      <c r="BP318" s="9">
        <v>0</v>
      </c>
      <c r="BQ318" s="9">
        <v>0</v>
      </c>
      <c r="BR318" s="9">
        <v>0</v>
      </c>
      <c r="BS318" s="9">
        <v>0</v>
      </c>
      <c r="BT318" s="9">
        <v>0</v>
      </c>
      <c r="BU318" s="9">
        <v>0</v>
      </c>
      <c r="BV318" s="9">
        <v>0</v>
      </c>
      <c r="BW318" s="9">
        <v>0</v>
      </c>
      <c r="BX318" s="9">
        <v>0</v>
      </c>
      <c r="BY318" s="9">
        <v>0</v>
      </c>
      <c r="BZ318" s="9">
        <v>0</v>
      </c>
      <c r="CA318" s="9">
        <v>0</v>
      </c>
      <c r="CB318" s="9">
        <v>0</v>
      </c>
      <c r="CC318" s="9">
        <v>0</v>
      </c>
      <c r="CD318" s="9">
        <v>0</v>
      </c>
      <c r="CE318" s="9">
        <v>0</v>
      </c>
      <c r="CF318" s="9">
        <v>0</v>
      </c>
      <c r="CG318" s="9">
        <v>0</v>
      </c>
      <c r="CH318" s="9">
        <v>0</v>
      </c>
      <c r="CI318" s="9">
        <v>0</v>
      </c>
      <c r="CJ318" s="9">
        <v>0</v>
      </c>
      <c r="CK318" s="9">
        <v>0</v>
      </c>
      <c r="CL318" s="9">
        <v>0</v>
      </c>
      <c r="CM318" s="9">
        <v>0</v>
      </c>
      <c r="CN318" s="9">
        <v>0</v>
      </c>
      <c r="CO318" s="9">
        <v>0</v>
      </c>
      <c r="CP318" s="9">
        <v>0</v>
      </c>
      <c r="CQ318" s="9">
        <v>0</v>
      </c>
      <c r="CR318" s="9">
        <v>0</v>
      </c>
      <c r="CS318" s="10">
        <v>0</v>
      </c>
    </row>
    <row r="319" spans="1:97" x14ac:dyDescent="0.35">
      <c r="A319" s="8" t="s">
        <v>342</v>
      </c>
      <c r="B319" s="9" t="s">
        <v>1041</v>
      </c>
      <c r="C319" s="9" t="s">
        <v>1042</v>
      </c>
      <c r="D319" s="9">
        <f t="shared" si="4"/>
        <v>0</v>
      </c>
      <c r="E319" s="9">
        <v>0</v>
      </c>
      <c r="F319" s="9">
        <v>0</v>
      </c>
      <c r="G319" s="9">
        <v>0</v>
      </c>
      <c r="H319" s="9">
        <v>0</v>
      </c>
      <c r="I319" s="9">
        <v>0</v>
      </c>
      <c r="J319" s="9">
        <v>0</v>
      </c>
      <c r="K319" s="9">
        <v>0</v>
      </c>
      <c r="L319" s="9">
        <v>0</v>
      </c>
      <c r="M319" s="9">
        <v>0</v>
      </c>
      <c r="N319" s="9">
        <v>0</v>
      </c>
      <c r="O319" s="9">
        <v>0</v>
      </c>
      <c r="P319" s="9">
        <v>0</v>
      </c>
      <c r="Q319" s="9">
        <v>0</v>
      </c>
      <c r="R319" s="9">
        <v>0</v>
      </c>
      <c r="S319" s="9">
        <v>0</v>
      </c>
      <c r="T319" s="9">
        <v>0</v>
      </c>
      <c r="U319" s="9">
        <v>0</v>
      </c>
      <c r="V319" s="9">
        <v>0</v>
      </c>
      <c r="W319" s="9">
        <v>0</v>
      </c>
      <c r="X319" s="9">
        <v>0</v>
      </c>
      <c r="Y319" s="9">
        <v>0</v>
      </c>
      <c r="Z319" s="9">
        <v>0</v>
      </c>
      <c r="AA319" s="9">
        <v>0</v>
      </c>
      <c r="AB319" s="9">
        <v>0</v>
      </c>
      <c r="AC319" s="9">
        <v>0</v>
      </c>
      <c r="AD319" s="9">
        <v>0</v>
      </c>
      <c r="AE319" s="9">
        <v>0</v>
      </c>
      <c r="AF319" s="9">
        <v>0</v>
      </c>
      <c r="AG319" s="9">
        <v>0</v>
      </c>
      <c r="AH319" s="9">
        <v>0</v>
      </c>
      <c r="AI319" s="9">
        <v>0</v>
      </c>
      <c r="AJ319" s="9">
        <v>0</v>
      </c>
      <c r="AK319" s="9">
        <v>0</v>
      </c>
      <c r="AL319" s="9">
        <v>0</v>
      </c>
      <c r="AM319" s="9">
        <v>0</v>
      </c>
      <c r="AN319" s="9">
        <v>0</v>
      </c>
      <c r="AO319" s="9">
        <v>0</v>
      </c>
      <c r="AP319" s="9">
        <v>0</v>
      </c>
      <c r="AQ319" s="9">
        <v>0</v>
      </c>
      <c r="AR319" s="9">
        <v>0</v>
      </c>
      <c r="AS319" s="9">
        <v>0</v>
      </c>
      <c r="AT319" s="9">
        <v>0</v>
      </c>
      <c r="AU319" s="9">
        <v>0</v>
      </c>
      <c r="AV319" s="9">
        <v>0</v>
      </c>
      <c r="AW319" s="9">
        <v>0</v>
      </c>
      <c r="AX319" s="9">
        <v>0</v>
      </c>
      <c r="AY319" s="9">
        <v>0</v>
      </c>
      <c r="AZ319" s="9">
        <v>0</v>
      </c>
      <c r="BA319" s="9">
        <v>0</v>
      </c>
      <c r="BB319" s="9">
        <v>0</v>
      </c>
      <c r="BC319" s="9">
        <v>0</v>
      </c>
      <c r="BD319" s="9">
        <v>0</v>
      </c>
      <c r="BE319" s="9">
        <v>0</v>
      </c>
      <c r="BF319" s="9">
        <v>0</v>
      </c>
      <c r="BG319" s="9">
        <v>0</v>
      </c>
      <c r="BH319" s="9">
        <v>0</v>
      </c>
      <c r="BI319" s="9">
        <v>0</v>
      </c>
      <c r="BJ319" s="9">
        <v>0</v>
      </c>
      <c r="BK319" s="9">
        <v>0</v>
      </c>
      <c r="BL319" s="9">
        <v>0</v>
      </c>
      <c r="BM319" s="9">
        <v>0</v>
      </c>
      <c r="BN319" s="9">
        <v>0</v>
      </c>
      <c r="BO319" s="9">
        <v>0</v>
      </c>
      <c r="BP319" s="9">
        <v>0</v>
      </c>
      <c r="BQ319" s="9">
        <v>0</v>
      </c>
      <c r="BR319" s="9">
        <v>0</v>
      </c>
      <c r="BS319" s="9">
        <v>0</v>
      </c>
      <c r="BT319" s="9">
        <v>0</v>
      </c>
      <c r="BU319" s="9">
        <v>0</v>
      </c>
      <c r="BV319" s="9">
        <v>0</v>
      </c>
      <c r="BW319" s="9">
        <v>0</v>
      </c>
      <c r="BX319" s="9">
        <v>0</v>
      </c>
      <c r="BY319" s="9">
        <v>0</v>
      </c>
      <c r="BZ319" s="9">
        <v>0</v>
      </c>
      <c r="CA319" s="9">
        <v>0</v>
      </c>
      <c r="CB319" s="9">
        <v>0</v>
      </c>
      <c r="CC319" s="9">
        <v>0</v>
      </c>
      <c r="CD319" s="9">
        <v>0</v>
      </c>
      <c r="CE319" s="9">
        <v>0</v>
      </c>
      <c r="CF319" s="9">
        <v>0</v>
      </c>
      <c r="CG319" s="9">
        <v>0</v>
      </c>
      <c r="CH319" s="9">
        <v>0</v>
      </c>
      <c r="CI319" s="9">
        <v>0</v>
      </c>
      <c r="CJ319" s="9">
        <v>0</v>
      </c>
      <c r="CK319" s="9">
        <v>0</v>
      </c>
      <c r="CL319" s="9">
        <v>0</v>
      </c>
      <c r="CM319" s="9">
        <v>0</v>
      </c>
      <c r="CN319" s="9">
        <v>0</v>
      </c>
      <c r="CO319" s="9">
        <v>0</v>
      </c>
      <c r="CP319" s="9">
        <v>0</v>
      </c>
      <c r="CQ319" s="9">
        <v>0</v>
      </c>
      <c r="CR319" s="9">
        <v>0</v>
      </c>
      <c r="CS319" s="10">
        <v>0</v>
      </c>
    </row>
    <row r="320" spans="1:97" x14ac:dyDescent="0.35">
      <c r="A320" s="8" t="s">
        <v>342</v>
      </c>
      <c r="B320" s="9" t="s">
        <v>1043</v>
      </c>
      <c r="C320" s="9" t="s">
        <v>1044</v>
      </c>
      <c r="D320" s="9">
        <f t="shared" si="4"/>
        <v>0</v>
      </c>
      <c r="E320" s="9">
        <v>0</v>
      </c>
      <c r="F320" s="9">
        <v>0</v>
      </c>
      <c r="G320" s="9">
        <v>0</v>
      </c>
      <c r="H320" s="9">
        <v>0</v>
      </c>
      <c r="I320" s="9">
        <v>0</v>
      </c>
      <c r="J320" s="9">
        <v>0</v>
      </c>
      <c r="K320" s="9">
        <v>0</v>
      </c>
      <c r="L320" s="9">
        <v>0</v>
      </c>
      <c r="M320" s="9">
        <v>0</v>
      </c>
      <c r="N320" s="9">
        <v>0</v>
      </c>
      <c r="O320" s="9">
        <v>0</v>
      </c>
      <c r="P320" s="9">
        <v>0</v>
      </c>
      <c r="Q320" s="9">
        <v>0</v>
      </c>
      <c r="R320" s="9">
        <v>0</v>
      </c>
      <c r="S320" s="9">
        <v>0</v>
      </c>
      <c r="T320" s="9">
        <v>0</v>
      </c>
      <c r="U320" s="9">
        <v>0</v>
      </c>
      <c r="V320" s="9">
        <v>0</v>
      </c>
      <c r="W320" s="9">
        <v>0</v>
      </c>
      <c r="X320" s="9">
        <v>0</v>
      </c>
      <c r="Y320" s="9">
        <v>0</v>
      </c>
      <c r="Z320" s="9">
        <v>0</v>
      </c>
      <c r="AA320" s="9">
        <v>0</v>
      </c>
      <c r="AB320" s="9">
        <v>0</v>
      </c>
      <c r="AC320" s="9">
        <v>0</v>
      </c>
      <c r="AD320" s="9">
        <v>0</v>
      </c>
      <c r="AE320" s="9">
        <v>0</v>
      </c>
      <c r="AF320" s="9">
        <v>0</v>
      </c>
      <c r="AG320" s="9">
        <v>0</v>
      </c>
      <c r="AH320" s="9">
        <v>0</v>
      </c>
      <c r="AI320" s="9">
        <v>0</v>
      </c>
      <c r="AJ320" s="9">
        <v>0</v>
      </c>
      <c r="AK320" s="9">
        <v>0</v>
      </c>
      <c r="AL320" s="9">
        <v>0</v>
      </c>
      <c r="AM320" s="9">
        <v>0</v>
      </c>
      <c r="AN320" s="9">
        <v>0</v>
      </c>
      <c r="AO320" s="9">
        <v>0</v>
      </c>
      <c r="AP320" s="9">
        <v>0</v>
      </c>
      <c r="AQ320" s="9">
        <v>0</v>
      </c>
      <c r="AR320" s="9">
        <v>0</v>
      </c>
      <c r="AS320" s="9">
        <v>0</v>
      </c>
      <c r="AT320" s="9">
        <v>0</v>
      </c>
      <c r="AU320" s="9">
        <v>0</v>
      </c>
      <c r="AV320" s="9">
        <v>0</v>
      </c>
      <c r="AW320" s="9">
        <v>0</v>
      </c>
      <c r="AX320" s="9">
        <v>0</v>
      </c>
      <c r="AY320" s="9">
        <v>0</v>
      </c>
      <c r="AZ320" s="9">
        <v>0</v>
      </c>
      <c r="BA320" s="9">
        <v>0</v>
      </c>
      <c r="BB320" s="9">
        <v>0</v>
      </c>
      <c r="BC320" s="9">
        <v>0</v>
      </c>
      <c r="BD320" s="9">
        <v>0</v>
      </c>
      <c r="BE320" s="9">
        <v>0</v>
      </c>
      <c r="BF320" s="9">
        <v>0</v>
      </c>
      <c r="BG320" s="9">
        <v>0</v>
      </c>
      <c r="BH320" s="9">
        <v>0</v>
      </c>
      <c r="BI320" s="9">
        <v>0</v>
      </c>
      <c r="BJ320" s="9">
        <v>0</v>
      </c>
      <c r="BK320" s="9">
        <v>0</v>
      </c>
      <c r="BL320" s="9">
        <v>0</v>
      </c>
      <c r="BM320" s="9">
        <v>0</v>
      </c>
      <c r="BN320" s="9">
        <v>0</v>
      </c>
      <c r="BO320" s="9">
        <v>0</v>
      </c>
      <c r="BP320" s="9">
        <v>0</v>
      </c>
      <c r="BQ320" s="9">
        <v>0</v>
      </c>
      <c r="BR320" s="9">
        <v>0</v>
      </c>
      <c r="BS320" s="9">
        <v>0</v>
      </c>
      <c r="BT320" s="9">
        <v>0</v>
      </c>
      <c r="BU320" s="9">
        <v>0</v>
      </c>
      <c r="BV320" s="9">
        <v>0</v>
      </c>
      <c r="BW320" s="9">
        <v>0</v>
      </c>
      <c r="BX320" s="9">
        <v>0</v>
      </c>
      <c r="BY320" s="9">
        <v>0</v>
      </c>
      <c r="BZ320" s="9">
        <v>0</v>
      </c>
      <c r="CA320" s="9">
        <v>0</v>
      </c>
      <c r="CB320" s="9">
        <v>0</v>
      </c>
      <c r="CC320" s="9">
        <v>0</v>
      </c>
      <c r="CD320" s="9">
        <v>0</v>
      </c>
      <c r="CE320" s="9">
        <v>0</v>
      </c>
      <c r="CF320" s="9">
        <v>0</v>
      </c>
      <c r="CG320" s="9">
        <v>0</v>
      </c>
      <c r="CH320" s="9">
        <v>0</v>
      </c>
      <c r="CI320" s="9">
        <v>0</v>
      </c>
      <c r="CJ320" s="9">
        <v>0</v>
      </c>
      <c r="CK320" s="9">
        <v>0</v>
      </c>
      <c r="CL320" s="9">
        <v>0</v>
      </c>
      <c r="CM320" s="9">
        <v>0</v>
      </c>
      <c r="CN320" s="9">
        <v>0</v>
      </c>
      <c r="CO320" s="9">
        <v>0</v>
      </c>
      <c r="CP320" s="9">
        <v>0</v>
      </c>
      <c r="CQ320" s="9">
        <v>0</v>
      </c>
      <c r="CR320" s="9">
        <v>0</v>
      </c>
      <c r="CS320" s="10">
        <v>0</v>
      </c>
    </row>
    <row r="321" spans="1:97" x14ac:dyDescent="0.35">
      <c r="A321" s="8" t="s">
        <v>342</v>
      </c>
      <c r="B321" s="9" t="s">
        <v>1045</v>
      </c>
      <c r="C321" s="9" t="s">
        <v>1046</v>
      </c>
      <c r="D321" s="9">
        <f t="shared" si="4"/>
        <v>0</v>
      </c>
      <c r="E321" s="9">
        <v>0</v>
      </c>
      <c r="F321" s="9">
        <v>0</v>
      </c>
      <c r="G321" s="9">
        <v>0</v>
      </c>
      <c r="H321" s="9">
        <v>0</v>
      </c>
      <c r="I321" s="9">
        <v>0</v>
      </c>
      <c r="J321" s="9">
        <v>0</v>
      </c>
      <c r="K321" s="9">
        <v>0</v>
      </c>
      <c r="L321" s="9">
        <v>0</v>
      </c>
      <c r="M321" s="9">
        <v>0</v>
      </c>
      <c r="N321" s="9">
        <v>0</v>
      </c>
      <c r="O321" s="9">
        <v>0</v>
      </c>
      <c r="P321" s="9">
        <v>0</v>
      </c>
      <c r="Q321" s="9">
        <v>0</v>
      </c>
      <c r="R321" s="9">
        <v>0</v>
      </c>
      <c r="S321" s="9">
        <v>0</v>
      </c>
      <c r="T321" s="9">
        <v>0</v>
      </c>
      <c r="U321" s="9">
        <v>0</v>
      </c>
      <c r="V321" s="9">
        <v>0</v>
      </c>
      <c r="W321" s="9">
        <v>0</v>
      </c>
      <c r="X321" s="9">
        <v>0</v>
      </c>
      <c r="Y321" s="9">
        <v>0</v>
      </c>
      <c r="Z321" s="9">
        <v>0</v>
      </c>
      <c r="AA321" s="9">
        <v>0</v>
      </c>
      <c r="AB321" s="9">
        <v>0</v>
      </c>
      <c r="AC321" s="9">
        <v>0</v>
      </c>
      <c r="AD321" s="9">
        <v>0</v>
      </c>
      <c r="AE321" s="9">
        <v>0</v>
      </c>
      <c r="AF321" s="9">
        <v>0</v>
      </c>
      <c r="AG321" s="9">
        <v>0</v>
      </c>
      <c r="AH321" s="9">
        <v>0</v>
      </c>
      <c r="AI321" s="9">
        <v>0</v>
      </c>
      <c r="AJ321" s="9">
        <v>0</v>
      </c>
      <c r="AK321" s="9">
        <v>0</v>
      </c>
      <c r="AL321" s="9">
        <v>0</v>
      </c>
      <c r="AM321" s="9">
        <v>0</v>
      </c>
      <c r="AN321" s="9">
        <v>0</v>
      </c>
      <c r="AO321" s="9">
        <v>0</v>
      </c>
      <c r="AP321" s="9">
        <v>0</v>
      </c>
      <c r="AQ321" s="9">
        <v>0</v>
      </c>
      <c r="AR321" s="9">
        <v>0</v>
      </c>
      <c r="AS321" s="9">
        <v>0</v>
      </c>
      <c r="AT321" s="9">
        <v>0</v>
      </c>
      <c r="AU321" s="9">
        <v>0</v>
      </c>
      <c r="AV321" s="9">
        <v>0</v>
      </c>
      <c r="AW321" s="9">
        <v>0</v>
      </c>
      <c r="AX321" s="9">
        <v>0</v>
      </c>
      <c r="AY321" s="9">
        <v>0</v>
      </c>
      <c r="AZ321" s="9">
        <v>0</v>
      </c>
      <c r="BA321" s="9">
        <v>0</v>
      </c>
      <c r="BB321" s="9">
        <v>0</v>
      </c>
      <c r="BC321" s="9">
        <v>0</v>
      </c>
      <c r="BD321" s="9">
        <v>0</v>
      </c>
      <c r="BE321" s="9">
        <v>0</v>
      </c>
      <c r="BF321" s="9">
        <v>0</v>
      </c>
      <c r="BG321" s="9">
        <v>0</v>
      </c>
      <c r="BH321" s="9">
        <v>0</v>
      </c>
      <c r="BI321" s="9">
        <v>0</v>
      </c>
      <c r="BJ321" s="9">
        <v>0</v>
      </c>
      <c r="BK321" s="9">
        <v>0</v>
      </c>
      <c r="BL321" s="9">
        <v>0</v>
      </c>
      <c r="BM321" s="9">
        <v>0</v>
      </c>
      <c r="BN321" s="9">
        <v>0</v>
      </c>
      <c r="BO321" s="9">
        <v>0</v>
      </c>
      <c r="BP321" s="9">
        <v>0</v>
      </c>
      <c r="BQ321" s="9">
        <v>0</v>
      </c>
      <c r="BR321" s="9">
        <v>0</v>
      </c>
      <c r="BS321" s="9">
        <v>0</v>
      </c>
      <c r="BT321" s="9">
        <v>0</v>
      </c>
      <c r="BU321" s="9">
        <v>0</v>
      </c>
      <c r="BV321" s="9">
        <v>0</v>
      </c>
      <c r="BW321" s="9">
        <v>0</v>
      </c>
      <c r="BX321" s="9">
        <v>0</v>
      </c>
      <c r="BY321" s="9">
        <v>0</v>
      </c>
      <c r="BZ321" s="9">
        <v>0</v>
      </c>
      <c r="CA321" s="9">
        <v>0</v>
      </c>
      <c r="CB321" s="9">
        <v>0</v>
      </c>
      <c r="CC321" s="9">
        <v>0</v>
      </c>
      <c r="CD321" s="9">
        <v>0</v>
      </c>
      <c r="CE321" s="9">
        <v>0</v>
      </c>
      <c r="CF321" s="9">
        <v>0</v>
      </c>
      <c r="CG321" s="9">
        <v>0</v>
      </c>
      <c r="CH321" s="9">
        <v>0</v>
      </c>
      <c r="CI321" s="9">
        <v>0</v>
      </c>
      <c r="CJ321" s="9">
        <v>0</v>
      </c>
      <c r="CK321" s="9">
        <v>0</v>
      </c>
      <c r="CL321" s="9">
        <v>0</v>
      </c>
      <c r="CM321" s="9">
        <v>0</v>
      </c>
      <c r="CN321" s="9">
        <v>0</v>
      </c>
      <c r="CO321" s="9">
        <v>0</v>
      </c>
      <c r="CP321" s="9">
        <v>0</v>
      </c>
      <c r="CQ321" s="9">
        <v>0</v>
      </c>
      <c r="CR321" s="9">
        <v>0</v>
      </c>
      <c r="CS321" s="10">
        <v>0</v>
      </c>
    </row>
    <row r="322" spans="1:97" x14ac:dyDescent="0.35">
      <c r="A322" s="8" t="s">
        <v>342</v>
      </c>
      <c r="B322" s="9" t="s">
        <v>1047</v>
      </c>
      <c r="C322" s="9" t="s">
        <v>1048</v>
      </c>
      <c r="D322" s="9">
        <f t="shared" si="4"/>
        <v>0</v>
      </c>
      <c r="E322" s="9">
        <v>0</v>
      </c>
      <c r="F322" s="9">
        <v>0</v>
      </c>
      <c r="G322" s="9">
        <v>0</v>
      </c>
      <c r="H322" s="9">
        <v>0</v>
      </c>
      <c r="I322" s="9">
        <v>0</v>
      </c>
      <c r="J322" s="9">
        <v>0</v>
      </c>
      <c r="K322" s="9">
        <v>0</v>
      </c>
      <c r="L322" s="9">
        <v>0</v>
      </c>
      <c r="M322" s="9">
        <v>0</v>
      </c>
      <c r="N322" s="9">
        <v>0</v>
      </c>
      <c r="O322" s="9">
        <v>0</v>
      </c>
      <c r="P322" s="9">
        <v>0</v>
      </c>
      <c r="Q322" s="9">
        <v>0</v>
      </c>
      <c r="R322" s="9">
        <v>0</v>
      </c>
      <c r="S322" s="9">
        <v>0</v>
      </c>
      <c r="T322" s="9">
        <v>0</v>
      </c>
      <c r="U322" s="9">
        <v>0</v>
      </c>
      <c r="V322" s="9">
        <v>0</v>
      </c>
      <c r="W322" s="9">
        <v>0</v>
      </c>
      <c r="X322" s="9">
        <v>0</v>
      </c>
      <c r="Y322" s="9">
        <v>0</v>
      </c>
      <c r="Z322" s="9">
        <v>0</v>
      </c>
      <c r="AA322" s="9">
        <v>0</v>
      </c>
      <c r="AB322" s="9">
        <v>0</v>
      </c>
      <c r="AC322" s="9">
        <v>0</v>
      </c>
      <c r="AD322" s="9">
        <v>0</v>
      </c>
      <c r="AE322" s="9">
        <v>0</v>
      </c>
      <c r="AF322" s="9">
        <v>0</v>
      </c>
      <c r="AG322" s="9">
        <v>0</v>
      </c>
      <c r="AH322" s="9">
        <v>0</v>
      </c>
      <c r="AI322" s="9">
        <v>0</v>
      </c>
      <c r="AJ322" s="9">
        <v>0</v>
      </c>
      <c r="AK322" s="9">
        <v>0</v>
      </c>
      <c r="AL322" s="9">
        <v>0</v>
      </c>
      <c r="AM322" s="9">
        <v>0</v>
      </c>
      <c r="AN322" s="9">
        <v>0</v>
      </c>
      <c r="AO322" s="9">
        <v>0</v>
      </c>
      <c r="AP322" s="9">
        <v>0</v>
      </c>
      <c r="AQ322" s="9">
        <v>0</v>
      </c>
      <c r="AR322" s="9">
        <v>0</v>
      </c>
      <c r="AS322" s="9">
        <v>0</v>
      </c>
      <c r="AT322" s="9">
        <v>0</v>
      </c>
      <c r="AU322" s="9">
        <v>0</v>
      </c>
      <c r="AV322" s="9">
        <v>0</v>
      </c>
      <c r="AW322" s="9">
        <v>0</v>
      </c>
      <c r="AX322" s="9">
        <v>0</v>
      </c>
      <c r="AY322" s="9">
        <v>0</v>
      </c>
      <c r="AZ322" s="9">
        <v>0</v>
      </c>
      <c r="BA322" s="9">
        <v>0</v>
      </c>
      <c r="BB322" s="9">
        <v>0</v>
      </c>
      <c r="BC322" s="9">
        <v>0</v>
      </c>
      <c r="BD322" s="9">
        <v>0</v>
      </c>
      <c r="BE322" s="9">
        <v>0</v>
      </c>
      <c r="BF322" s="9">
        <v>0</v>
      </c>
      <c r="BG322" s="9">
        <v>0</v>
      </c>
      <c r="BH322" s="9">
        <v>0</v>
      </c>
      <c r="BI322" s="9">
        <v>0</v>
      </c>
      <c r="BJ322" s="9">
        <v>0</v>
      </c>
      <c r="BK322" s="9">
        <v>0</v>
      </c>
      <c r="BL322" s="9">
        <v>0</v>
      </c>
      <c r="BM322" s="9">
        <v>0</v>
      </c>
      <c r="BN322" s="9">
        <v>0</v>
      </c>
      <c r="BO322" s="9">
        <v>0</v>
      </c>
      <c r="BP322" s="9">
        <v>0</v>
      </c>
      <c r="BQ322" s="9">
        <v>0</v>
      </c>
      <c r="BR322" s="9">
        <v>0</v>
      </c>
      <c r="BS322" s="9">
        <v>0</v>
      </c>
      <c r="BT322" s="9">
        <v>0</v>
      </c>
      <c r="BU322" s="9">
        <v>0</v>
      </c>
      <c r="BV322" s="9">
        <v>0</v>
      </c>
      <c r="BW322" s="9">
        <v>0</v>
      </c>
      <c r="BX322" s="9">
        <v>0</v>
      </c>
      <c r="BY322" s="9">
        <v>0</v>
      </c>
      <c r="BZ322" s="9">
        <v>0</v>
      </c>
      <c r="CA322" s="9">
        <v>0</v>
      </c>
      <c r="CB322" s="9">
        <v>0</v>
      </c>
      <c r="CC322" s="9">
        <v>0</v>
      </c>
      <c r="CD322" s="9">
        <v>0</v>
      </c>
      <c r="CE322" s="9">
        <v>0</v>
      </c>
      <c r="CF322" s="9">
        <v>0</v>
      </c>
      <c r="CG322" s="9">
        <v>0</v>
      </c>
      <c r="CH322" s="9">
        <v>0</v>
      </c>
      <c r="CI322" s="9">
        <v>0</v>
      </c>
      <c r="CJ322" s="9">
        <v>0</v>
      </c>
      <c r="CK322" s="9">
        <v>0</v>
      </c>
      <c r="CL322" s="9">
        <v>0</v>
      </c>
      <c r="CM322" s="9">
        <v>0</v>
      </c>
      <c r="CN322" s="9">
        <v>0</v>
      </c>
      <c r="CO322" s="9">
        <v>0</v>
      </c>
      <c r="CP322" s="9">
        <v>0</v>
      </c>
      <c r="CQ322" s="9">
        <v>0</v>
      </c>
      <c r="CR322" s="9">
        <v>0</v>
      </c>
      <c r="CS322" s="10">
        <v>0</v>
      </c>
    </row>
    <row r="323" spans="1:97" x14ac:dyDescent="0.35">
      <c r="A323" s="8" t="s">
        <v>342</v>
      </c>
      <c r="B323" s="9" t="s">
        <v>1049</v>
      </c>
      <c r="C323" s="9" t="s">
        <v>1050</v>
      </c>
      <c r="D323" s="9">
        <f t="shared" ref="D323:D386" si="5">SUM(E323:CS323)</f>
        <v>0</v>
      </c>
      <c r="E323" s="9">
        <v>0</v>
      </c>
      <c r="F323" s="9">
        <v>0</v>
      </c>
      <c r="G323" s="9">
        <v>0</v>
      </c>
      <c r="H323" s="9">
        <v>0</v>
      </c>
      <c r="I323" s="9">
        <v>0</v>
      </c>
      <c r="J323" s="9">
        <v>0</v>
      </c>
      <c r="K323" s="9">
        <v>0</v>
      </c>
      <c r="L323" s="9">
        <v>0</v>
      </c>
      <c r="M323" s="9">
        <v>0</v>
      </c>
      <c r="N323" s="9">
        <v>0</v>
      </c>
      <c r="O323" s="9">
        <v>0</v>
      </c>
      <c r="P323" s="9">
        <v>0</v>
      </c>
      <c r="Q323" s="9">
        <v>0</v>
      </c>
      <c r="R323" s="9">
        <v>0</v>
      </c>
      <c r="S323" s="9">
        <v>0</v>
      </c>
      <c r="T323" s="9">
        <v>0</v>
      </c>
      <c r="U323" s="9">
        <v>0</v>
      </c>
      <c r="V323" s="9">
        <v>0</v>
      </c>
      <c r="W323" s="9">
        <v>0</v>
      </c>
      <c r="X323" s="9">
        <v>0</v>
      </c>
      <c r="Y323" s="9">
        <v>0</v>
      </c>
      <c r="Z323" s="9">
        <v>0</v>
      </c>
      <c r="AA323" s="9">
        <v>0</v>
      </c>
      <c r="AB323" s="9">
        <v>0</v>
      </c>
      <c r="AC323" s="9">
        <v>0</v>
      </c>
      <c r="AD323" s="9">
        <v>0</v>
      </c>
      <c r="AE323" s="9">
        <v>0</v>
      </c>
      <c r="AF323" s="9">
        <v>0</v>
      </c>
      <c r="AG323" s="9">
        <v>0</v>
      </c>
      <c r="AH323" s="9">
        <v>0</v>
      </c>
      <c r="AI323" s="9">
        <v>0</v>
      </c>
      <c r="AJ323" s="9">
        <v>0</v>
      </c>
      <c r="AK323" s="9">
        <v>0</v>
      </c>
      <c r="AL323" s="9">
        <v>0</v>
      </c>
      <c r="AM323" s="9">
        <v>0</v>
      </c>
      <c r="AN323" s="9">
        <v>0</v>
      </c>
      <c r="AO323" s="9">
        <v>0</v>
      </c>
      <c r="AP323" s="9">
        <v>0</v>
      </c>
      <c r="AQ323" s="9">
        <v>0</v>
      </c>
      <c r="AR323" s="9">
        <v>0</v>
      </c>
      <c r="AS323" s="9">
        <v>0</v>
      </c>
      <c r="AT323" s="9">
        <v>0</v>
      </c>
      <c r="AU323" s="9">
        <v>0</v>
      </c>
      <c r="AV323" s="9">
        <v>0</v>
      </c>
      <c r="AW323" s="9">
        <v>0</v>
      </c>
      <c r="AX323" s="9">
        <v>0</v>
      </c>
      <c r="AY323" s="9">
        <v>0</v>
      </c>
      <c r="AZ323" s="9">
        <v>0</v>
      </c>
      <c r="BA323" s="9">
        <v>0</v>
      </c>
      <c r="BB323" s="9">
        <v>0</v>
      </c>
      <c r="BC323" s="9">
        <v>0</v>
      </c>
      <c r="BD323" s="9">
        <v>0</v>
      </c>
      <c r="BE323" s="9">
        <v>0</v>
      </c>
      <c r="BF323" s="9">
        <v>0</v>
      </c>
      <c r="BG323" s="9">
        <v>0</v>
      </c>
      <c r="BH323" s="9">
        <v>0</v>
      </c>
      <c r="BI323" s="9">
        <v>0</v>
      </c>
      <c r="BJ323" s="9">
        <v>0</v>
      </c>
      <c r="BK323" s="9">
        <v>0</v>
      </c>
      <c r="BL323" s="9">
        <v>0</v>
      </c>
      <c r="BM323" s="9">
        <v>0</v>
      </c>
      <c r="BN323" s="9">
        <v>0</v>
      </c>
      <c r="BO323" s="9">
        <v>0</v>
      </c>
      <c r="BP323" s="9">
        <v>0</v>
      </c>
      <c r="BQ323" s="9">
        <v>0</v>
      </c>
      <c r="BR323" s="9">
        <v>0</v>
      </c>
      <c r="BS323" s="9">
        <v>0</v>
      </c>
      <c r="BT323" s="9">
        <v>0</v>
      </c>
      <c r="BU323" s="9">
        <v>0</v>
      </c>
      <c r="BV323" s="9">
        <v>0</v>
      </c>
      <c r="BW323" s="9">
        <v>0</v>
      </c>
      <c r="BX323" s="9">
        <v>0</v>
      </c>
      <c r="BY323" s="9">
        <v>0</v>
      </c>
      <c r="BZ323" s="9">
        <v>0</v>
      </c>
      <c r="CA323" s="9">
        <v>0</v>
      </c>
      <c r="CB323" s="9">
        <v>0</v>
      </c>
      <c r="CC323" s="9">
        <v>0</v>
      </c>
      <c r="CD323" s="9">
        <v>0</v>
      </c>
      <c r="CE323" s="9">
        <v>0</v>
      </c>
      <c r="CF323" s="9">
        <v>0</v>
      </c>
      <c r="CG323" s="9">
        <v>0</v>
      </c>
      <c r="CH323" s="9">
        <v>0</v>
      </c>
      <c r="CI323" s="9">
        <v>0</v>
      </c>
      <c r="CJ323" s="9">
        <v>0</v>
      </c>
      <c r="CK323" s="9">
        <v>0</v>
      </c>
      <c r="CL323" s="9">
        <v>0</v>
      </c>
      <c r="CM323" s="9">
        <v>0</v>
      </c>
      <c r="CN323" s="9">
        <v>0</v>
      </c>
      <c r="CO323" s="9">
        <v>0</v>
      </c>
      <c r="CP323" s="9">
        <v>0</v>
      </c>
      <c r="CQ323" s="9">
        <v>0</v>
      </c>
      <c r="CR323" s="9">
        <v>0</v>
      </c>
      <c r="CS323" s="10">
        <v>0</v>
      </c>
    </row>
    <row r="324" spans="1:97" x14ac:dyDescent="0.35">
      <c r="A324" s="8" t="s">
        <v>342</v>
      </c>
      <c r="B324" s="9" t="s">
        <v>1051</v>
      </c>
      <c r="C324" s="9" t="s">
        <v>1052</v>
      </c>
      <c r="D324" s="9">
        <f t="shared" si="5"/>
        <v>0</v>
      </c>
      <c r="E324" s="9">
        <v>0</v>
      </c>
      <c r="F324" s="9">
        <v>0</v>
      </c>
      <c r="G324" s="9">
        <v>0</v>
      </c>
      <c r="H324" s="9">
        <v>0</v>
      </c>
      <c r="I324" s="9">
        <v>0</v>
      </c>
      <c r="J324" s="9">
        <v>0</v>
      </c>
      <c r="K324" s="9">
        <v>0</v>
      </c>
      <c r="L324" s="9">
        <v>0</v>
      </c>
      <c r="M324" s="9">
        <v>0</v>
      </c>
      <c r="N324" s="9">
        <v>0</v>
      </c>
      <c r="O324" s="9">
        <v>0</v>
      </c>
      <c r="P324" s="9">
        <v>0</v>
      </c>
      <c r="Q324" s="9">
        <v>0</v>
      </c>
      <c r="R324" s="9">
        <v>0</v>
      </c>
      <c r="S324" s="9">
        <v>0</v>
      </c>
      <c r="T324" s="9">
        <v>0</v>
      </c>
      <c r="U324" s="9">
        <v>0</v>
      </c>
      <c r="V324" s="9">
        <v>0</v>
      </c>
      <c r="W324" s="9">
        <v>0</v>
      </c>
      <c r="X324" s="9">
        <v>0</v>
      </c>
      <c r="Y324" s="9">
        <v>0</v>
      </c>
      <c r="Z324" s="9">
        <v>0</v>
      </c>
      <c r="AA324" s="9">
        <v>0</v>
      </c>
      <c r="AB324" s="9">
        <v>0</v>
      </c>
      <c r="AC324" s="9">
        <v>0</v>
      </c>
      <c r="AD324" s="9">
        <v>0</v>
      </c>
      <c r="AE324" s="9">
        <v>0</v>
      </c>
      <c r="AF324" s="9">
        <v>0</v>
      </c>
      <c r="AG324" s="9">
        <v>0</v>
      </c>
      <c r="AH324" s="9">
        <v>0</v>
      </c>
      <c r="AI324" s="9">
        <v>0</v>
      </c>
      <c r="AJ324" s="9">
        <v>0</v>
      </c>
      <c r="AK324" s="9">
        <v>0</v>
      </c>
      <c r="AL324" s="9">
        <v>0</v>
      </c>
      <c r="AM324" s="9">
        <v>0</v>
      </c>
      <c r="AN324" s="9">
        <v>0</v>
      </c>
      <c r="AO324" s="9">
        <v>0</v>
      </c>
      <c r="AP324" s="9">
        <v>0</v>
      </c>
      <c r="AQ324" s="9">
        <v>0</v>
      </c>
      <c r="AR324" s="9">
        <v>0</v>
      </c>
      <c r="AS324" s="9">
        <v>0</v>
      </c>
      <c r="AT324" s="9">
        <v>0</v>
      </c>
      <c r="AU324" s="9">
        <v>0</v>
      </c>
      <c r="AV324" s="9">
        <v>0</v>
      </c>
      <c r="AW324" s="9">
        <v>0</v>
      </c>
      <c r="AX324" s="9">
        <v>0</v>
      </c>
      <c r="AY324" s="9">
        <v>0</v>
      </c>
      <c r="AZ324" s="9">
        <v>0</v>
      </c>
      <c r="BA324" s="9">
        <v>0</v>
      </c>
      <c r="BB324" s="9">
        <v>0</v>
      </c>
      <c r="BC324" s="9">
        <v>0</v>
      </c>
      <c r="BD324" s="9">
        <v>0</v>
      </c>
      <c r="BE324" s="9">
        <v>0</v>
      </c>
      <c r="BF324" s="9">
        <v>0</v>
      </c>
      <c r="BG324" s="9">
        <v>0</v>
      </c>
      <c r="BH324" s="9">
        <v>0</v>
      </c>
      <c r="BI324" s="9">
        <v>0</v>
      </c>
      <c r="BJ324" s="9">
        <v>0</v>
      </c>
      <c r="BK324" s="9">
        <v>0</v>
      </c>
      <c r="BL324" s="9">
        <v>0</v>
      </c>
      <c r="BM324" s="9">
        <v>0</v>
      </c>
      <c r="BN324" s="9">
        <v>0</v>
      </c>
      <c r="BO324" s="9">
        <v>0</v>
      </c>
      <c r="BP324" s="9">
        <v>0</v>
      </c>
      <c r="BQ324" s="9">
        <v>0</v>
      </c>
      <c r="BR324" s="9">
        <v>0</v>
      </c>
      <c r="BS324" s="9">
        <v>0</v>
      </c>
      <c r="BT324" s="9">
        <v>0</v>
      </c>
      <c r="BU324" s="9">
        <v>0</v>
      </c>
      <c r="BV324" s="9">
        <v>0</v>
      </c>
      <c r="BW324" s="9">
        <v>0</v>
      </c>
      <c r="BX324" s="9">
        <v>0</v>
      </c>
      <c r="BY324" s="9">
        <v>0</v>
      </c>
      <c r="BZ324" s="9">
        <v>0</v>
      </c>
      <c r="CA324" s="9">
        <v>0</v>
      </c>
      <c r="CB324" s="9">
        <v>0</v>
      </c>
      <c r="CC324" s="9">
        <v>0</v>
      </c>
      <c r="CD324" s="9">
        <v>0</v>
      </c>
      <c r="CE324" s="9">
        <v>0</v>
      </c>
      <c r="CF324" s="9">
        <v>0</v>
      </c>
      <c r="CG324" s="9">
        <v>0</v>
      </c>
      <c r="CH324" s="9">
        <v>0</v>
      </c>
      <c r="CI324" s="9">
        <v>0</v>
      </c>
      <c r="CJ324" s="9">
        <v>0</v>
      </c>
      <c r="CK324" s="9">
        <v>0</v>
      </c>
      <c r="CL324" s="9">
        <v>0</v>
      </c>
      <c r="CM324" s="9">
        <v>0</v>
      </c>
      <c r="CN324" s="9">
        <v>0</v>
      </c>
      <c r="CO324" s="9">
        <v>0</v>
      </c>
      <c r="CP324" s="9">
        <v>0</v>
      </c>
      <c r="CQ324" s="9">
        <v>0</v>
      </c>
      <c r="CR324" s="9">
        <v>0</v>
      </c>
      <c r="CS324" s="10">
        <v>0</v>
      </c>
    </row>
    <row r="325" spans="1:97" x14ac:dyDescent="0.35">
      <c r="A325" s="8" t="s">
        <v>342</v>
      </c>
      <c r="B325" s="9" t="s">
        <v>1053</v>
      </c>
      <c r="C325" s="9" t="s">
        <v>1054</v>
      </c>
      <c r="D325" s="9">
        <f t="shared" si="5"/>
        <v>0</v>
      </c>
      <c r="E325" s="9">
        <v>0</v>
      </c>
      <c r="F325" s="9">
        <v>0</v>
      </c>
      <c r="G325" s="9">
        <v>0</v>
      </c>
      <c r="H325" s="9">
        <v>0</v>
      </c>
      <c r="I325" s="9">
        <v>0</v>
      </c>
      <c r="J325" s="9">
        <v>0</v>
      </c>
      <c r="K325" s="9">
        <v>0</v>
      </c>
      <c r="L325" s="9">
        <v>0</v>
      </c>
      <c r="M325" s="9">
        <v>0</v>
      </c>
      <c r="N325" s="9">
        <v>0</v>
      </c>
      <c r="O325" s="9">
        <v>0</v>
      </c>
      <c r="P325" s="9">
        <v>0</v>
      </c>
      <c r="Q325" s="9">
        <v>0</v>
      </c>
      <c r="R325" s="9">
        <v>0</v>
      </c>
      <c r="S325" s="9">
        <v>0</v>
      </c>
      <c r="T325" s="9">
        <v>0</v>
      </c>
      <c r="U325" s="9">
        <v>0</v>
      </c>
      <c r="V325" s="9">
        <v>0</v>
      </c>
      <c r="W325" s="9">
        <v>0</v>
      </c>
      <c r="X325" s="9">
        <v>0</v>
      </c>
      <c r="Y325" s="9">
        <v>0</v>
      </c>
      <c r="Z325" s="9">
        <v>0</v>
      </c>
      <c r="AA325" s="9">
        <v>0</v>
      </c>
      <c r="AB325" s="9">
        <v>0</v>
      </c>
      <c r="AC325" s="9">
        <v>0</v>
      </c>
      <c r="AD325" s="9">
        <v>0</v>
      </c>
      <c r="AE325" s="9">
        <v>0</v>
      </c>
      <c r="AF325" s="9">
        <v>0</v>
      </c>
      <c r="AG325" s="9">
        <v>0</v>
      </c>
      <c r="AH325" s="9">
        <v>0</v>
      </c>
      <c r="AI325" s="9">
        <v>0</v>
      </c>
      <c r="AJ325" s="9">
        <v>0</v>
      </c>
      <c r="AK325" s="9">
        <v>0</v>
      </c>
      <c r="AL325" s="9">
        <v>0</v>
      </c>
      <c r="AM325" s="9">
        <v>0</v>
      </c>
      <c r="AN325" s="9">
        <v>0</v>
      </c>
      <c r="AO325" s="9">
        <v>0</v>
      </c>
      <c r="AP325" s="9">
        <v>0</v>
      </c>
      <c r="AQ325" s="9">
        <v>0</v>
      </c>
      <c r="AR325" s="9">
        <v>0</v>
      </c>
      <c r="AS325" s="9">
        <v>0</v>
      </c>
      <c r="AT325" s="9">
        <v>0</v>
      </c>
      <c r="AU325" s="9">
        <v>0</v>
      </c>
      <c r="AV325" s="9">
        <v>0</v>
      </c>
      <c r="AW325" s="9">
        <v>0</v>
      </c>
      <c r="AX325" s="9">
        <v>0</v>
      </c>
      <c r="AY325" s="9">
        <v>0</v>
      </c>
      <c r="AZ325" s="9">
        <v>0</v>
      </c>
      <c r="BA325" s="9">
        <v>0</v>
      </c>
      <c r="BB325" s="9">
        <v>0</v>
      </c>
      <c r="BC325" s="9">
        <v>0</v>
      </c>
      <c r="BD325" s="9">
        <v>0</v>
      </c>
      <c r="BE325" s="9">
        <v>0</v>
      </c>
      <c r="BF325" s="9">
        <v>0</v>
      </c>
      <c r="BG325" s="9">
        <v>0</v>
      </c>
      <c r="BH325" s="9">
        <v>0</v>
      </c>
      <c r="BI325" s="9">
        <v>0</v>
      </c>
      <c r="BJ325" s="9">
        <v>0</v>
      </c>
      <c r="BK325" s="9">
        <v>0</v>
      </c>
      <c r="BL325" s="9">
        <v>0</v>
      </c>
      <c r="BM325" s="9">
        <v>0</v>
      </c>
      <c r="BN325" s="9">
        <v>0</v>
      </c>
      <c r="BO325" s="9">
        <v>0</v>
      </c>
      <c r="BP325" s="9">
        <v>0</v>
      </c>
      <c r="BQ325" s="9">
        <v>0</v>
      </c>
      <c r="BR325" s="9">
        <v>0</v>
      </c>
      <c r="BS325" s="9">
        <v>0</v>
      </c>
      <c r="BT325" s="9">
        <v>0</v>
      </c>
      <c r="BU325" s="9">
        <v>0</v>
      </c>
      <c r="BV325" s="9">
        <v>0</v>
      </c>
      <c r="BW325" s="9">
        <v>0</v>
      </c>
      <c r="BX325" s="9">
        <v>0</v>
      </c>
      <c r="BY325" s="9">
        <v>0</v>
      </c>
      <c r="BZ325" s="9">
        <v>0</v>
      </c>
      <c r="CA325" s="9">
        <v>0</v>
      </c>
      <c r="CB325" s="9">
        <v>0</v>
      </c>
      <c r="CC325" s="9">
        <v>0</v>
      </c>
      <c r="CD325" s="9">
        <v>0</v>
      </c>
      <c r="CE325" s="9">
        <v>0</v>
      </c>
      <c r="CF325" s="9">
        <v>0</v>
      </c>
      <c r="CG325" s="9">
        <v>0</v>
      </c>
      <c r="CH325" s="9">
        <v>0</v>
      </c>
      <c r="CI325" s="9">
        <v>0</v>
      </c>
      <c r="CJ325" s="9">
        <v>0</v>
      </c>
      <c r="CK325" s="9">
        <v>0</v>
      </c>
      <c r="CL325" s="9">
        <v>0</v>
      </c>
      <c r="CM325" s="9">
        <v>0</v>
      </c>
      <c r="CN325" s="9">
        <v>0</v>
      </c>
      <c r="CO325" s="9">
        <v>0</v>
      </c>
      <c r="CP325" s="9">
        <v>0</v>
      </c>
      <c r="CQ325" s="9">
        <v>0</v>
      </c>
      <c r="CR325" s="9">
        <v>0</v>
      </c>
      <c r="CS325" s="10">
        <v>0</v>
      </c>
    </row>
    <row r="326" spans="1:97" x14ac:dyDescent="0.35">
      <c r="A326" s="8" t="s">
        <v>342</v>
      </c>
      <c r="B326" s="9" t="s">
        <v>1055</v>
      </c>
      <c r="C326" s="9" t="s">
        <v>1056</v>
      </c>
      <c r="D326" s="9">
        <f t="shared" si="5"/>
        <v>0</v>
      </c>
      <c r="E326" s="9">
        <v>0</v>
      </c>
      <c r="F326" s="9">
        <v>0</v>
      </c>
      <c r="G326" s="9">
        <v>0</v>
      </c>
      <c r="H326" s="9">
        <v>0</v>
      </c>
      <c r="I326" s="9">
        <v>0</v>
      </c>
      <c r="J326" s="9">
        <v>0</v>
      </c>
      <c r="K326" s="9">
        <v>0</v>
      </c>
      <c r="L326" s="9">
        <v>0</v>
      </c>
      <c r="M326" s="9">
        <v>0</v>
      </c>
      <c r="N326" s="9">
        <v>0</v>
      </c>
      <c r="O326" s="9">
        <v>0</v>
      </c>
      <c r="P326" s="9">
        <v>0</v>
      </c>
      <c r="Q326" s="9">
        <v>0</v>
      </c>
      <c r="R326" s="9">
        <v>0</v>
      </c>
      <c r="S326" s="9">
        <v>0</v>
      </c>
      <c r="T326" s="9">
        <v>0</v>
      </c>
      <c r="U326" s="9">
        <v>0</v>
      </c>
      <c r="V326" s="9">
        <v>0</v>
      </c>
      <c r="W326" s="9">
        <v>0</v>
      </c>
      <c r="X326" s="9">
        <v>0</v>
      </c>
      <c r="Y326" s="9">
        <v>0</v>
      </c>
      <c r="Z326" s="9">
        <v>0</v>
      </c>
      <c r="AA326" s="9">
        <v>0</v>
      </c>
      <c r="AB326" s="9">
        <v>0</v>
      </c>
      <c r="AC326" s="9">
        <v>0</v>
      </c>
      <c r="AD326" s="9">
        <v>0</v>
      </c>
      <c r="AE326" s="9">
        <v>0</v>
      </c>
      <c r="AF326" s="9">
        <v>0</v>
      </c>
      <c r="AG326" s="9">
        <v>0</v>
      </c>
      <c r="AH326" s="9">
        <v>0</v>
      </c>
      <c r="AI326" s="9">
        <v>0</v>
      </c>
      <c r="AJ326" s="9">
        <v>0</v>
      </c>
      <c r="AK326" s="9">
        <v>0</v>
      </c>
      <c r="AL326" s="9">
        <v>0</v>
      </c>
      <c r="AM326" s="9">
        <v>0</v>
      </c>
      <c r="AN326" s="9">
        <v>0</v>
      </c>
      <c r="AO326" s="9">
        <v>0</v>
      </c>
      <c r="AP326" s="9">
        <v>0</v>
      </c>
      <c r="AQ326" s="9">
        <v>0</v>
      </c>
      <c r="AR326" s="9">
        <v>0</v>
      </c>
      <c r="AS326" s="9">
        <v>0</v>
      </c>
      <c r="AT326" s="9">
        <v>0</v>
      </c>
      <c r="AU326" s="9">
        <v>0</v>
      </c>
      <c r="AV326" s="9">
        <v>0</v>
      </c>
      <c r="AW326" s="9">
        <v>0</v>
      </c>
      <c r="AX326" s="9">
        <v>0</v>
      </c>
      <c r="AY326" s="9">
        <v>0</v>
      </c>
      <c r="AZ326" s="9">
        <v>0</v>
      </c>
      <c r="BA326" s="9">
        <v>0</v>
      </c>
      <c r="BB326" s="9">
        <v>0</v>
      </c>
      <c r="BC326" s="9">
        <v>0</v>
      </c>
      <c r="BD326" s="9">
        <v>0</v>
      </c>
      <c r="BE326" s="9">
        <v>0</v>
      </c>
      <c r="BF326" s="9">
        <v>0</v>
      </c>
      <c r="BG326" s="9">
        <v>0</v>
      </c>
      <c r="BH326" s="9">
        <v>0</v>
      </c>
      <c r="BI326" s="9">
        <v>0</v>
      </c>
      <c r="BJ326" s="9">
        <v>0</v>
      </c>
      <c r="BK326" s="9">
        <v>0</v>
      </c>
      <c r="BL326" s="9">
        <v>0</v>
      </c>
      <c r="BM326" s="9">
        <v>0</v>
      </c>
      <c r="BN326" s="9">
        <v>0</v>
      </c>
      <c r="BO326" s="9">
        <v>0</v>
      </c>
      <c r="BP326" s="9">
        <v>0</v>
      </c>
      <c r="BQ326" s="9">
        <v>0</v>
      </c>
      <c r="BR326" s="9">
        <v>0</v>
      </c>
      <c r="BS326" s="9">
        <v>0</v>
      </c>
      <c r="BT326" s="9">
        <v>0</v>
      </c>
      <c r="BU326" s="9">
        <v>0</v>
      </c>
      <c r="BV326" s="9">
        <v>0</v>
      </c>
      <c r="BW326" s="9">
        <v>0</v>
      </c>
      <c r="BX326" s="9">
        <v>0</v>
      </c>
      <c r="BY326" s="9">
        <v>0</v>
      </c>
      <c r="BZ326" s="9">
        <v>0</v>
      </c>
      <c r="CA326" s="9">
        <v>0</v>
      </c>
      <c r="CB326" s="9">
        <v>0</v>
      </c>
      <c r="CC326" s="9">
        <v>0</v>
      </c>
      <c r="CD326" s="9">
        <v>0</v>
      </c>
      <c r="CE326" s="9">
        <v>0</v>
      </c>
      <c r="CF326" s="9">
        <v>0</v>
      </c>
      <c r="CG326" s="9">
        <v>0</v>
      </c>
      <c r="CH326" s="9">
        <v>0</v>
      </c>
      <c r="CI326" s="9">
        <v>0</v>
      </c>
      <c r="CJ326" s="9">
        <v>0</v>
      </c>
      <c r="CK326" s="9">
        <v>0</v>
      </c>
      <c r="CL326" s="9">
        <v>0</v>
      </c>
      <c r="CM326" s="9">
        <v>0</v>
      </c>
      <c r="CN326" s="9">
        <v>0</v>
      </c>
      <c r="CO326" s="9">
        <v>0</v>
      </c>
      <c r="CP326" s="9">
        <v>0</v>
      </c>
      <c r="CQ326" s="9">
        <v>0</v>
      </c>
      <c r="CR326" s="9">
        <v>0</v>
      </c>
      <c r="CS326" s="10">
        <v>0</v>
      </c>
    </row>
    <row r="327" spans="1:97" x14ac:dyDescent="0.35">
      <c r="A327" s="8" t="s">
        <v>342</v>
      </c>
      <c r="B327" s="9" t="s">
        <v>1057</v>
      </c>
      <c r="C327" s="9" t="s">
        <v>1058</v>
      </c>
      <c r="D327" s="9">
        <f t="shared" si="5"/>
        <v>0</v>
      </c>
      <c r="E327" s="9">
        <v>0</v>
      </c>
      <c r="F327" s="9">
        <v>0</v>
      </c>
      <c r="G327" s="9">
        <v>0</v>
      </c>
      <c r="H327" s="9">
        <v>0</v>
      </c>
      <c r="I327" s="9">
        <v>0</v>
      </c>
      <c r="J327" s="9">
        <v>0</v>
      </c>
      <c r="K327" s="9">
        <v>0</v>
      </c>
      <c r="L327" s="9">
        <v>0</v>
      </c>
      <c r="M327" s="9">
        <v>0</v>
      </c>
      <c r="N327" s="9">
        <v>0</v>
      </c>
      <c r="O327" s="9">
        <v>0</v>
      </c>
      <c r="P327" s="9">
        <v>0</v>
      </c>
      <c r="Q327" s="9">
        <v>0</v>
      </c>
      <c r="R327" s="9">
        <v>0</v>
      </c>
      <c r="S327" s="9">
        <v>0</v>
      </c>
      <c r="T327" s="9">
        <v>0</v>
      </c>
      <c r="U327" s="9">
        <v>0</v>
      </c>
      <c r="V327" s="9">
        <v>0</v>
      </c>
      <c r="W327" s="9">
        <v>0</v>
      </c>
      <c r="X327" s="9">
        <v>0</v>
      </c>
      <c r="Y327" s="9">
        <v>0</v>
      </c>
      <c r="Z327" s="9">
        <v>0</v>
      </c>
      <c r="AA327" s="9">
        <v>0</v>
      </c>
      <c r="AB327" s="9">
        <v>0</v>
      </c>
      <c r="AC327" s="9">
        <v>0</v>
      </c>
      <c r="AD327" s="9">
        <v>0</v>
      </c>
      <c r="AE327" s="9">
        <v>0</v>
      </c>
      <c r="AF327" s="9">
        <v>0</v>
      </c>
      <c r="AG327" s="9">
        <v>0</v>
      </c>
      <c r="AH327" s="9">
        <v>0</v>
      </c>
      <c r="AI327" s="9">
        <v>0</v>
      </c>
      <c r="AJ327" s="9">
        <v>0</v>
      </c>
      <c r="AK327" s="9">
        <v>0</v>
      </c>
      <c r="AL327" s="9">
        <v>0</v>
      </c>
      <c r="AM327" s="9">
        <v>0</v>
      </c>
      <c r="AN327" s="9">
        <v>0</v>
      </c>
      <c r="AO327" s="9">
        <v>0</v>
      </c>
      <c r="AP327" s="9">
        <v>0</v>
      </c>
      <c r="AQ327" s="9">
        <v>0</v>
      </c>
      <c r="AR327" s="9">
        <v>0</v>
      </c>
      <c r="AS327" s="9">
        <v>0</v>
      </c>
      <c r="AT327" s="9">
        <v>0</v>
      </c>
      <c r="AU327" s="9">
        <v>0</v>
      </c>
      <c r="AV327" s="9">
        <v>0</v>
      </c>
      <c r="AW327" s="9">
        <v>0</v>
      </c>
      <c r="AX327" s="9">
        <v>0</v>
      </c>
      <c r="AY327" s="9">
        <v>0</v>
      </c>
      <c r="AZ327" s="9">
        <v>0</v>
      </c>
      <c r="BA327" s="9">
        <v>0</v>
      </c>
      <c r="BB327" s="9">
        <v>0</v>
      </c>
      <c r="BC327" s="9">
        <v>0</v>
      </c>
      <c r="BD327" s="9">
        <v>0</v>
      </c>
      <c r="BE327" s="9">
        <v>0</v>
      </c>
      <c r="BF327" s="9">
        <v>0</v>
      </c>
      <c r="BG327" s="9">
        <v>0</v>
      </c>
      <c r="BH327" s="9">
        <v>0</v>
      </c>
      <c r="BI327" s="9">
        <v>0</v>
      </c>
      <c r="BJ327" s="9">
        <v>0</v>
      </c>
      <c r="BK327" s="9">
        <v>0</v>
      </c>
      <c r="BL327" s="9">
        <v>0</v>
      </c>
      <c r="BM327" s="9">
        <v>0</v>
      </c>
      <c r="BN327" s="9">
        <v>0</v>
      </c>
      <c r="BO327" s="9">
        <v>0</v>
      </c>
      <c r="BP327" s="9">
        <v>0</v>
      </c>
      <c r="BQ327" s="9">
        <v>0</v>
      </c>
      <c r="BR327" s="9">
        <v>0</v>
      </c>
      <c r="BS327" s="9">
        <v>0</v>
      </c>
      <c r="BT327" s="9">
        <v>0</v>
      </c>
      <c r="BU327" s="9">
        <v>0</v>
      </c>
      <c r="BV327" s="9">
        <v>0</v>
      </c>
      <c r="BW327" s="9">
        <v>0</v>
      </c>
      <c r="BX327" s="9">
        <v>0</v>
      </c>
      <c r="BY327" s="9">
        <v>0</v>
      </c>
      <c r="BZ327" s="9">
        <v>0</v>
      </c>
      <c r="CA327" s="9">
        <v>0</v>
      </c>
      <c r="CB327" s="9">
        <v>0</v>
      </c>
      <c r="CC327" s="9">
        <v>0</v>
      </c>
      <c r="CD327" s="9">
        <v>0</v>
      </c>
      <c r="CE327" s="9">
        <v>0</v>
      </c>
      <c r="CF327" s="9">
        <v>0</v>
      </c>
      <c r="CG327" s="9">
        <v>0</v>
      </c>
      <c r="CH327" s="9">
        <v>0</v>
      </c>
      <c r="CI327" s="9">
        <v>0</v>
      </c>
      <c r="CJ327" s="9">
        <v>0</v>
      </c>
      <c r="CK327" s="9">
        <v>0</v>
      </c>
      <c r="CL327" s="9">
        <v>0</v>
      </c>
      <c r="CM327" s="9">
        <v>0</v>
      </c>
      <c r="CN327" s="9">
        <v>0</v>
      </c>
      <c r="CO327" s="9">
        <v>0</v>
      </c>
      <c r="CP327" s="9">
        <v>0</v>
      </c>
      <c r="CQ327" s="9">
        <v>0</v>
      </c>
      <c r="CR327" s="9">
        <v>0</v>
      </c>
      <c r="CS327" s="10">
        <v>0</v>
      </c>
    </row>
    <row r="328" spans="1:97" x14ac:dyDescent="0.35">
      <c r="A328" s="8" t="s">
        <v>342</v>
      </c>
      <c r="B328" s="9" t="s">
        <v>1059</v>
      </c>
      <c r="C328" s="9" t="s">
        <v>1060</v>
      </c>
      <c r="D328" s="9">
        <f t="shared" si="5"/>
        <v>0</v>
      </c>
      <c r="E328" s="9">
        <v>0</v>
      </c>
      <c r="F328" s="9">
        <v>0</v>
      </c>
      <c r="G328" s="9">
        <v>0</v>
      </c>
      <c r="H328" s="9">
        <v>0</v>
      </c>
      <c r="I328" s="9">
        <v>0</v>
      </c>
      <c r="J328" s="9">
        <v>0</v>
      </c>
      <c r="K328" s="9">
        <v>0</v>
      </c>
      <c r="L328" s="9">
        <v>0</v>
      </c>
      <c r="M328" s="9">
        <v>0</v>
      </c>
      <c r="N328" s="9">
        <v>0</v>
      </c>
      <c r="O328" s="9">
        <v>0</v>
      </c>
      <c r="P328" s="9">
        <v>0</v>
      </c>
      <c r="Q328" s="9">
        <v>0</v>
      </c>
      <c r="R328" s="9">
        <v>0</v>
      </c>
      <c r="S328" s="9">
        <v>0</v>
      </c>
      <c r="T328" s="9">
        <v>0</v>
      </c>
      <c r="U328" s="9">
        <v>0</v>
      </c>
      <c r="V328" s="9">
        <v>0</v>
      </c>
      <c r="W328" s="9">
        <v>0</v>
      </c>
      <c r="X328" s="9">
        <v>0</v>
      </c>
      <c r="Y328" s="9">
        <v>0</v>
      </c>
      <c r="Z328" s="9">
        <v>0</v>
      </c>
      <c r="AA328" s="9">
        <v>0</v>
      </c>
      <c r="AB328" s="9">
        <v>0</v>
      </c>
      <c r="AC328" s="9">
        <v>0</v>
      </c>
      <c r="AD328" s="9">
        <v>0</v>
      </c>
      <c r="AE328" s="9">
        <v>0</v>
      </c>
      <c r="AF328" s="9">
        <v>0</v>
      </c>
      <c r="AG328" s="9">
        <v>0</v>
      </c>
      <c r="AH328" s="9">
        <v>0</v>
      </c>
      <c r="AI328" s="9">
        <v>0</v>
      </c>
      <c r="AJ328" s="9">
        <v>0</v>
      </c>
      <c r="AK328" s="9">
        <v>0</v>
      </c>
      <c r="AL328" s="9">
        <v>0</v>
      </c>
      <c r="AM328" s="9">
        <v>0</v>
      </c>
      <c r="AN328" s="9">
        <v>0</v>
      </c>
      <c r="AO328" s="9">
        <v>0</v>
      </c>
      <c r="AP328" s="9">
        <v>0</v>
      </c>
      <c r="AQ328" s="9">
        <v>0</v>
      </c>
      <c r="AR328" s="9">
        <v>0</v>
      </c>
      <c r="AS328" s="9">
        <v>0</v>
      </c>
      <c r="AT328" s="9">
        <v>0</v>
      </c>
      <c r="AU328" s="9">
        <v>0</v>
      </c>
      <c r="AV328" s="9">
        <v>0</v>
      </c>
      <c r="AW328" s="9">
        <v>0</v>
      </c>
      <c r="AX328" s="9">
        <v>0</v>
      </c>
      <c r="AY328" s="9">
        <v>0</v>
      </c>
      <c r="AZ328" s="9">
        <v>0</v>
      </c>
      <c r="BA328" s="9">
        <v>0</v>
      </c>
      <c r="BB328" s="9">
        <v>0</v>
      </c>
      <c r="BC328" s="9">
        <v>0</v>
      </c>
      <c r="BD328" s="9">
        <v>0</v>
      </c>
      <c r="BE328" s="9">
        <v>0</v>
      </c>
      <c r="BF328" s="9">
        <v>0</v>
      </c>
      <c r="BG328" s="9">
        <v>0</v>
      </c>
      <c r="BH328" s="9">
        <v>0</v>
      </c>
      <c r="BI328" s="9">
        <v>0</v>
      </c>
      <c r="BJ328" s="9">
        <v>0</v>
      </c>
      <c r="BK328" s="9">
        <v>0</v>
      </c>
      <c r="BL328" s="9">
        <v>0</v>
      </c>
      <c r="BM328" s="9">
        <v>0</v>
      </c>
      <c r="BN328" s="9">
        <v>0</v>
      </c>
      <c r="BO328" s="9">
        <v>0</v>
      </c>
      <c r="BP328" s="9">
        <v>0</v>
      </c>
      <c r="BQ328" s="9">
        <v>0</v>
      </c>
      <c r="BR328" s="9">
        <v>0</v>
      </c>
      <c r="BS328" s="9">
        <v>0</v>
      </c>
      <c r="BT328" s="9">
        <v>0</v>
      </c>
      <c r="BU328" s="9">
        <v>0</v>
      </c>
      <c r="BV328" s="9">
        <v>0</v>
      </c>
      <c r="BW328" s="9">
        <v>0</v>
      </c>
      <c r="BX328" s="9">
        <v>0</v>
      </c>
      <c r="BY328" s="9">
        <v>0</v>
      </c>
      <c r="BZ328" s="9">
        <v>0</v>
      </c>
      <c r="CA328" s="9">
        <v>0</v>
      </c>
      <c r="CB328" s="9">
        <v>0</v>
      </c>
      <c r="CC328" s="9">
        <v>0</v>
      </c>
      <c r="CD328" s="9">
        <v>0</v>
      </c>
      <c r="CE328" s="9">
        <v>0</v>
      </c>
      <c r="CF328" s="9">
        <v>0</v>
      </c>
      <c r="CG328" s="9">
        <v>0</v>
      </c>
      <c r="CH328" s="9">
        <v>0</v>
      </c>
      <c r="CI328" s="9">
        <v>0</v>
      </c>
      <c r="CJ328" s="9">
        <v>0</v>
      </c>
      <c r="CK328" s="9">
        <v>0</v>
      </c>
      <c r="CL328" s="9">
        <v>0</v>
      </c>
      <c r="CM328" s="9">
        <v>0</v>
      </c>
      <c r="CN328" s="9">
        <v>0</v>
      </c>
      <c r="CO328" s="9">
        <v>0</v>
      </c>
      <c r="CP328" s="9">
        <v>0</v>
      </c>
      <c r="CQ328" s="9">
        <v>0</v>
      </c>
      <c r="CR328" s="9">
        <v>0</v>
      </c>
      <c r="CS328" s="10">
        <v>0</v>
      </c>
    </row>
    <row r="329" spans="1:97" x14ac:dyDescent="0.35">
      <c r="A329" s="8" t="s">
        <v>342</v>
      </c>
      <c r="B329" s="9" t="s">
        <v>1061</v>
      </c>
      <c r="C329" s="9" t="s">
        <v>1062</v>
      </c>
      <c r="D329" s="9">
        <f t="shared" si="5"/>
        <v>0</v>
      </c>
      <c r="E329" s="9">
        <v>0</v>
      </c>
      <c r="F329" s="9">
        <v>0</v>
      </c>
      <c r="G329" s="9">
        <v>0</v>
      </c>
      <c r="H329" s="9">
        <v>0</v>
      </c>
      <c r="I329" s="9">
        <v>0</v>
      </c>
      <c r="J329" s="9">
        <v>0</v>
      </c>
      <c r="K329" s="9">
        <v>0</v>
      </c>
      <c r="L329" s="9">
        <v>0</v>
      </c>
      <c r="M329" s="9">
        <v>0</v>
      </c>
      <c r="N329" s="9">
        <v>0</v>
      </c>
      <c r="O329" s="9">
        <v>0</v>
      </c>
      <c r="P329" s="9">
        <v>0</v>
      </c>
      <c r="Q329" s="9">
        <v>0</v>
      </c>
      <c r="R329" s="9">
        <v>0</v>
      </c>
      <c r="S329" s="9">
        <v>0</v>
      </c>
      <c r="T329" s="9">
        <v>0</v>
      </c>
      <c r="U329" s="9">
        <v>0</v>
      </c>
      <c r="V329" s="9">
        <v>0</v>
      </c>
      <c r="W329" s="9">
        <v>0</v>
      </c>
      <c r="X329" s="9">
        <v>0</v>
      </c>
      <c r="Y329" s="9">
        <v>0</v>
      </c>
      <c r="Z329" s="9">
        <v>0</v>
      </c>
      <c r="AA329" s="9">
        <v>0</v>
      </c>
      <c r="AB329" s="9">
        <v>0</v>
      </c>
      <c r="AC329" s="9">
        <v>0</v>
      </c>
      <c r="AD329" s="9">
        <v>0</v>
      </c>
      <c r="AE329" s="9">
        <v>0</v>
      </c>
      <c r="AF329" s="9">
        <v>0</v>
      </c>
      <c r="AG329" s="9">
        <v>0</v>
      </c>
      <c r="AH329" s="9">
        <v>0</v>
      </c>
      <c r="AI329" s="9">
        <v>0</v>
      </c>
      <c r="AJ329" s="9">
        <v>0</v>
      </c>
      <c r="AK329" s="9">
        <v>0</v>
      </c>
      <c r="AL329" s="9">
        <v>0</v>
      </c>
      <c r="AM329" s="9">
        <v>0</v>
      </c>
      <c r="AN329" s="9">
        <v>0</v>
      </c>
      <c r="AO329" s="9">
        <v>0</v>
      </c>
      <c r="AP329" s="9">
        <v>0</v>
      </c>
      <c r="AQ329" s="9">
        <v>0</v>
      </c>
      <c r="AR329" s="9">
        <v>0</v>
      </c>
      <c r="AS329" s="9">
        <v>0</v>
      </c>
      <c r="AT329" s="9">
        <v>0</v>
      </c>
      <c r="AU329" s="9">
        <v>0</v>
      </c>
      <c r="AV329" s="9">
        <v>0</v>
      </c>
      <c r="AW329" s="9">
        <v>0</v>
      </c>
      <c r="AX329" s="9">
        <v>0</v>
      </c>
      <c r="AY329" s="9">
        <v>0</v>
      </c>
      <c r="AZ329" s="9">
        <v>0</v>
      </c>
      <c r="BA329" s="9">
        <v>0</v>
      </c>
      <c r="BB329" s="9">
        <v>0</v>
      </c>
      <c r="BC329" s="9">
        <v>0</v>
      </c>
      <c r="BD329" s="9">
        <v>0</v>
      </c>
      <c r="BE329" s="9">
        <v>0</v>
      </c>
      <c r="BF329" s="9">
        <v>0</v>
      </c>
      <c r="BG329" s="9">
        <v>0</v>
      </c>
      <c r="BH329" s="9">
        <v>0</v>
      </c>
      <c r="BI329" s="9">
        <v>0</v>
      </c>
      <c r="BJ329" s="9">
        <v>0</v>
      </c>
      <c r="BK329" s="9">
        <v>0</v>
      </c>
      <c r="BL329" s="9">
        <v>0</v>
      </c>
      <c r="BM329" s="9">
        <v>0</v>
      </c>
      <c r="BN329" s="9">
        <v>0</v>
      </c>
      <c r="BO329" s="9">
        <v>0</v>
      </c>
      <c r="BP329" s="9">
        <v>0</v>
      </c>
      <c r="BQ329" s="9">
        <v>0</v>
      </c>
      <c r="BR329" s="9">
        <v>0</v>
      </c>
      <c r="BS329" s="9">
        <v>0</v>
      </c>
      <c r="BT329" s="9">
        <v>0</v>
      </c>
      <c r="BU329" s="9">
        <v>0</v>
      </c>
      <c r="BV329" s="9">
        <v>0</v>
      </c>
      <c r="BW329" s="9">
        <v>0</v>
      </c>
      <c r="BX329" s="9">
        <v>0</v>
      </c>
      <c r="BY329" s="9">
        <v>0</v>
      </c>
      <c r="BZ329" s="9">
        <v>0</v>
      </c>
      <c r="CA329" s="9">
        <v>0</v>
      </c>
      <c r="CB329" s="9">
        <v>0</v>
      </c>
      <c r="CC329" s="9">
        <v>0</v>
      </c>
      <c r="CD329" s="9">
        <v>0</v>
      </c>
      <c r="CE329" s="9">
        <v>0</v>
      </c>
      <c r="CF329" s="9">
        <v>0</v>
      </c>
      <c r="CG329" s="9">
        <v>0</v>
      </c>
      <c r="CH329" s="9">
        <v>0</v>
      </c>
      <c r="CI329" s="9">
        <v>0</v>
      </c>
      <c r="CJ329" s="9">
        <v>0</v>
      </c>
      <c r="CK329" s="9">
        <v>0</v>
      </c>
      <c r="CL329" s="9">
        <v>0</v>
      </c>
      <c r="CM329" s="9">
        <v>0</v>
      </c>
      <c r="CN329" s="9">
        <v>0</v>
      </c>
      <c r="CO329" s="9">
        <v>0</v>
      </c>
      <c r="CP329" s="9">
        <v>0</v>
      </c>
      <c r="CQ329" s="9">
        <v>0</v>
      </c>
      <c r="CR329" s="9">
        <v>0</v>
      </c>
      <c r="CS329" s="10">
        <v>0</v>
      </c>
    </row>
    <row r="330" spans="1:97" x14ac:dyDescent="0.35">
      <c r="A330" s="8" t="s">
        <v>342</v>
      </c>
      <c r="B330" s="9" t="s">
        <v>1063</v>
      </c>
      <c r="C330" s="9" t="s">
        <v>1064</v>
      </c>
      <c r="D330" s="9">
        <f t="shared" si="5"/>
        <v>0</v>
      </c>
      <c r="E330" s="9">
        <v>0</v>
      </c>
      <c r="F330" s="9">
        <v>0</v>
      </c>
      <c r="G330" s="9">
        <v>0</v>
      </c>
      <c r="H330" s="9">
        <v>0</v>
      </c>
      <c r="I330" s="9">
        <v>0</v>
      </c>
      <c r="J330" s="9">
        <v>0</v>
      </c>
      <c r="K330" s="9">
        <v>0</v>
      </c>
      <c r="L330" s="9">
        <v>0</v>
      </c>
      <c r="M330" s="9">
        <v>0</v>
      </c>
      <c r="N330" s="9">
        <v>0</v>
      </c>
      <c r="O330" s="9">
        <v>0</v>
      </c>
      <c r="P330" s="9">
        <v>0</v>
      </c>
      <c r="Q330" s="9">
        <v>0</v>
      </c>
      <c r="R330" s="9">
        <v>0</v>
      </c>
      <c r="S330" s="9">
        <v>0</v>
      </c>
      <c r="T330" s="9">
        <v>0</v>
      </c>
      <c r="U330" s="9">
        <v>0</v>
      </c>
      <c r="V330" s="9">
        <v>0</v>
      </c>
      <c r="W330" s="9">
        <v>0</v>
      </c>
      <c r="X330" s="9">
        <v>0</v>
      </c>
      <c r="Y330" s="9">
        <v>0</v>
      </c>
      <c r="Z330" s="9">
        <v>0</v>
      </c>
      <c r="AA330" s="9">
        <v>0</v>
      </c>
      <c r="AB330" s="9">
        <v>0</v>
      </c>
      <c r="AC330" s="9">
        <v>0</v>
      </c>
      <c r="AD330" s="9">
        <v>0</v>
      </c>
      <c r="AE330" s="9">
        <v>0</v>
      </c>
      <c r="AF330" s="9">
        <v>0</v>
      </c>
      <c r="AG330" s="9">
        <v>0</v>
      </c>
      <c r="AH330" s="9">
        <v>0</v>
      </c>
      <c r="AI330" s="9">
        <v>0</v>
      </c>
      <c r="AJ330" s="9">
        <v>0</v>
      </c>
      <c r="AK330" s="9">
        <v>0</v>
      </c>
      <c r="AL330" s="9">
        <v>0</v>
      </c>
      <c r="AM330" s="9">
        <v>0</v>
      </c>
      <c r="AN330" s="9">
        <v>0</v>
      </c>
      <c r="AO330" s="9">
        <v>0</v>
      </c>
      <c r="AP330" s="9">
        <v>0</v>
      </c>
      <c r="AQ330" s="9">
        <v>0</v>
      </c>
      <c r="AR330" s="9">
        <v>0</v>
      </c>
      <c r="AS330" s="9">
        <v>0</v>
      </c>
      <c r="AT330" s="9">
        <v>0</v>
      </c>
      <c r="AU330" s="9">
        <v>0</v>
      </c>
      <c r="AV330" s="9">
        <v>0</v>
      </c>
      <c r="AW330" s="9">
        <v>0</v>
      </c>
      <c r="AX330" s="9">
        <v>0</v>
      </c>
      <c r="AY330" s="9">
        <v>0</v>
      </c>
      <c r="AZ330" s="9">
        <v>0</v>
      </c>
      <c r="BA330" s="9">
        <v>0</v>
      </c>
      <c r="BB330" s="9">
        <v>0</v>
      </c>
      <c r="BC330" s="9">
        <v>0</v>
      </c>
      <c r="BD330" s="9">
        <v>0</v>
      </c>
      <c r="BE330" s="9">
        <v>0</v>
      </c>
      <c r="BF330" s="9">
        <v>0</v>
      </c>
      <c r="BG330" s="9">
        <v>0</v>
      </c>
      <c r="BH330" s="9">
        <v>0</v>
      </c>
      <c r="BI330" s="9">
        <v>0</v>
      </c>
      <c r="BJ330" s="9">
        <v>0</v>
      </c>
      <c r="BK330" s="9">
        <v>0</v>
      </c>
      <c r="BL330" s="9">
        <v>0</v>
      </c>
      <c r="BM330" s="9">
        <v>0</v>
      </c>
      <c r="BN330" s="9">
        <v>0</v>
      </c>
      <c r="BO330" s="9">
        <v>0</v>
      </c>
      <c r="BP330" s="9">
        <v>0</v>
      </c>
      <c r="BQ330" s="9">
        <v>0</v>
      </c>
      <c r="BR330" s="9">
        <v>0</v>
      </c>
      <c r="BS330" s="9">
        <v>0</v>
      </c>
      <c r="BT330" s="9">
        <v>0</v>
      </c>
      <c r="BU330" s="9">
        <v>0</v>
      </c>
      <c r="BV330" s="9">
        <v>0</v>
      </c>
      <c r="BW330" s="9">
        <v>0</v>
      </c>
      <c r="BX330" s="9">
        <v>0</v>
      </c>
      <c r="BY330" s="9">
        <v>0</v>
      </c>
      <c r="BZ330" s="9">
        <v>0</v>
      </c>
      <c r="CA330" s="9">
        <v>0</v>
      </c>
      <c r="CB330" s="9">
        <v>0</v>
      </c>
      <c r="CC330" s="9">
        <v>0</v>
      </c>
      <c r="CD330" s="9">
        <v>0</v>
      </c>
      <c r="CE330" s="9">
        <v>0</v>
      </c>
      <c r="CF330" s="9">
        <v>0</v>
      </c>
      <c r="CG330" s="9">
        <v>0</v>
      </c>
      <c r="CH330" s="9">
        <v>0</v>
      </c>
      <c r="CI330" s="9">
        <v>0</v>
      </c>
      <c r="CJ330" s="9">
        <v>0</v>
      </c>
      <c r="CK330" s="9">
        <v>0</v>
      </c>
      <c r="CL330" s="9">
        <v>0</v>
      </c>
      <c r="CM330" s="9">
        <v>0</v>
      </c>
      <c r="CN330" s="9">
        <v>0</v>
      </c>
      <c r="CO330" s="9">
        <v>0</v>
      </c>
      <c r="CP330" s="9">
        <v>0</v>
      </c>
      <c r="CQ330" s="9">
        <v>0</v>
      </c>
      <c r="CR330" s="9">
        <v>0</v>
      </c>
      <c r="CS330" s="10">
        <v>0</v>
      </c>
    </row>
    <row r="331" spans="1:97" x14ac:dyDescent="0.35">
      <c r="A331" s="8" t="s">
        <v>342</v>
      </c>
      <c r="B331" s="9" t="s">
        <v>1065</v>
      </c>
      <c r="C331" s="9" t="s">
        <v>1066</v>
      </c>
      <c r="D331" s="9">
        <f t="shared" si="5"/>
        <v>0</v>
      </c>
      <c r="E331" s="9">
        <v>0</v>
      </c>
      <c r="F331" s="9">
        <v>0</v>
      </c>
      <c r="G331" s="9">
        <v>0</v>
      </c>
      <c r="H331" s="9">
        <v>0</v>
      </c>
      <c r="I331" s="9">
        <v>0</v>
      </c>
      <c r="J331" s="9">
        <v>0</v>
      </c>
      <c r="K331" s="9">
        <v>0</v>
      </c>
      <c r="L331" s="9">
        <v>0</v>
      </c>
      <c r="M331" s="9">
        <v>0</v>
      </c>
      <c r="N331" s="9">
        <v>0</v>
      </c>
      <c r="O331" s="9">
        <v>0</v>
      </c>
      <c r="P331" s="9">
        <v>0</v>
      </c>
      <c r="Q331" s="9">
        <v>0</v>
      </c>
      <c r="R331" s="9">
        <v>0</v>
      </c>
      <c r="S331" s="9">
        <v>0</v>
      </c>
      <c r="T331" s="9">
        <v>0</v>
      </c>
      <c r="U331" s="9">
        <v>0</v>
      </c>
      <c r="V331" s="9">
        <v>0</v>
      </c>
      <c r="W331" s="9">
        <v>0</v>
      </c>
      <c r="X331" s="9">
        <v>0</v>
      </c>
      <c r="Y331" s="9">
        <v>0</v>
      </c>
      <c r="Z331" s="9">
        <v>0</v>
      </c>
      <c r="AA331" s="9">
        <v>0</v>
      </c>
      <c r="AB331" s="9">
        <v>0</v>
      </c>
      <c r="AC331" s="9">
        <v>0</v>
      </c>
      <c r="AD331" s="9">
        <v>0</v>
      </c>
      <c r="AE331" s="9">
        <v>0</v>
      </c>
      <c r="AF331" s="9">
        <v>0</v>
      </c>
      <c r="AG331" s="9">
        <v>0</v>
      </c>
      <c r="AH331" s="9">
        <v>0</v>
      </c>
      <c r="AI331" s="9">
        <v>0</v>
      </c>
      <c r="AJ331" s="9">
        <v>0</v>
      </c>
      <c r="AK331" s="9">
        <v>0</v>
      </c>
      <c r="AL331" s="9">
        <v>0</v>
      </c>
      <c r="AM331" s="9">
        <v>0</v>
      </c>
      <c r="AN331" s="9">
        <v>0</v>
      </c>
      <c r="AO331" s="9">
        <v>0</v>
      </c>
      <c r="AP331" s="9">
        <v>0</v>
      </c>
      <c r="AQ331" s="9">
        <v>0</v>
      </c>
      <c r="AR331" s="9">
        <v>0</v>
      </c>
      <c r="AS331" s="9">
        <v>0</v>
      </c>
      <c r="AT331" s="9">
        <v>0</v>
      </c>
      <c r="AU331" s="9">
        <v>0</v>
      </c>
      <c r="AV331" s="9">
        <v>0</v>
      </c>
      <c r="AW331" s="9">
        <v>0</v>
      </c>
      <c r="AX331" s="9">
        <v>0</v>
      </c>
      <c r="AY331" s="9">
        <v>0</v>
      </c>
      <c r="AZ331" s="9">
        <v>0</v>
      </c>
      <c r="BA331" s="9">
        <v>0</v>
      </c>
      <c r="BB331" s="9">
        <v>0</v>
      </c>
      <c r="BC331" s="9">
        <v>0</v>
      </c>
      <c r="BD331" s="9">
        <v>0</v>
      </c>
      <c r="BE331" s="9">
        <v>0</v>
      </c>
      <c r="BF331" s="9">
        <v>0</v>
      </c>
      <c r="BG331" s="9">
        <v>0</v>
      </c>
      <c r="BH331" s="9">
        <v>0</v>
      </c>
      <c r="BI331" s="9">
        <v>0</v>
      </c>
      <c r="BJ331" s="9">
        <v>0</v>
      </c>
      <c r="BK331" s="9">
        <v>0</v>
      </c>
      <c r="BL331" s="9">
        <v>0</v>
      </c>
      <c r="BM331" s="9">
        <v>0</v>
      </c>
      <c r="BN331" s="9">
        <v>0</v>
      </c>
      <c r="BO331" s="9">
        <v>0</v>
      </c>
      <c r="BP331" s="9">
        <v>0</v>
      </c>
      <c r="BQ331" s="9">
        <v>0</v>
      </c>
      <c r="BR331" s="9">
        <v>0</v>
      </c>
      <c r="BS331" s="9">
        <v>0</v>
      </c>
      <c r="BT331" s="9">
        <v>0</v>
      </c>
      <c r="BU331" s="9">
        <v>0</v>
      </c>
      <c r="BV331" s="9">
        <v>0</v>
      </c>
      <c r="BW331" s="9">
        <v>0</v>
      </c>
      <c r="BX331" s="9">
        <v>0</v>
      </c>
      <c r="BY331" s="9">
        <v>0</v>
      </c>
      <c r="BZ331" s="9">
        <v>0</v>
      </c>
      <c r="CA331" s="9">
        <v>0</v>
      </c>
      <c r="CB331" s="9">
        <v>0</v>
      </c>
      <c r="CC331" s="9">
        <v>0</v>
      </c>
      <c r="CD331" s="9">
        <v>0</v>
      </c>
      <c r="CE331" s="9">
        <v>0</v>
      </c>
      <c r="CF331" s="9">
        <v>0</v>
      </c>
      <c r="CG331" s="9">
        <v>0</v>
      </c>
      <c r="CH331" s="9">
        <v>0</v>
      </c>
      <c r="CI331" s="9">
        <v>0</v>
      </c>
      <c r="CJ331" s="9">
        <v>0</v>
      </c>
      <c r="CK331" s="9">
        <v>0</v>
      </c>
      <c r="CL331" s="9">
        <v>0</v>
      </c>
      <c r="CM331" s="9">
        <v>0</v>
      </c>
      <c r="CN331" s="9">
        <v>0</v>
      </c>
      <c r="CO331" s="9">
        <v>0</v>
      </c>
      <c r="CP331" s="9">
        <v>0</v>
      </c>
      <c r="CQ331" s="9">
        <v>0</v>
      </c>
      <c r="CR331" s="9">
        <v>0</v>
      </c>
      <c r="CS331" s="10">
        <v>0</v>
      </c>
    </row>
    <row r="332" spans="1:97" x14ac:dyDescent="0.35">
      <c r="A332" s="8" t="s">
        <v>342</v>
      </c>
      <c r="B332" s="9" t="s">
        <v>347</v>
      </c>
      <c r="C332" s="9" t="s">
        <v>1067</v>
      </c>
      <c r="D332" s="9">
        <f t="shared" si="5"/>
        <v>796</v>
      </c>
      <c r="E332" s="9">
        <v>2</v>
      </c>
      <c r="F332" s="9">
        <v>2</v>
      </c>
      <c r="G332" s="9">
        <v>5</v>
      </c>
      <c r="H332" s="9">
        <v>3</v>
      </c>
      <c r="I332" s="9">
        <v>5</v>
      </c>
      <c r="J332" s="9">
        <v>3</v>
      </c>
      <c r="K332" s="9">
        <v>4</v>
      </c>
      <c r="L332" s="9">
        <v>2</v>
      </c>
      <c r="M332" s="9">
        <v>3</v>
      </c>
      <c r="N332" s="9">
        <v>3</v>
      </c>
      <c r="O332" s="9">
        <v>3</v>
      </c>
      <c r="P332" s="9">
        <v>2</v>
      </c>
      <c r="Q332" s="9">
        <v>3</v>
      </c>
      <c r="R332" s="9">
        <v>0</v>
      </c>
      <c r="S332" s="9">
        <v>1</v>
      </c>
      <c r="T332" s="9">
        <v>1</v>
      </c>
      <c r="U332" s="9">
        <v>3</v>
      </c>
      <c r="V332" s="9">
        <v>1</v>
      </c>
      <c r="W332" s="9">
        <v>5</v>
      </c>
      <c r="X332" s="9">
        <v>0</v>
      </c>
      <c r="Y332" s="9">
        <v>3</v>
      </c>
      <c r="Z332" s="9">
        <v>0</v>
      </c>
      <c r="AA332" s="9">
        <v>1</v>
      </c>
      <c r="AB332" s="9">
        <v>1</v>
      </c>
      <c r="AC332" s="9">
        <v>0</v>
      </c>
      <c r="AD332" s="9">
        <v>3</v>
      </c>
      <c r="AE332" s="9">
        <v>2</v>
      </c>
      <c r="AF332" s="9">
        <v>5</v>
      </c>
      <c r="AG332" s="9">
        <v>4</v>
      </c>
      <c r="AH332" s="9">
        <v>1</v>
      </c>
      <c r="AI332" s="9">
        <v>0</v>
      </c>
      <c r="AJ332" s="9">
        <v>3</v>
      </c>
      <c r="AK332" s="9">
        <v>0</v>
      </c>
      <c r="AL332" s="9">
        <v>1</v>
      </c>
      <c r="AM332" s="9">
        <v>2</v>
      </c>
      <c r="AN332" s="9">
        <v>3</v>
      </c>
      <c r="AO332" s="9">
        <v>2</v>
      </c>
      <c r="AP332" s="9">
        <v>2</v>
      </c>
      <c r="AQ332" s="9">
        <v>0</v>
      </c>
      <c r="AR332" s="9">
        <v>4</v>
      </c>
      <c r="AS332" s="9">
        <v>5</v>
      </c>
      <c r="AT332" s="9">
        <v>4</v>
      </c>
      <c r="AU332" s="9">
        <v>5</v>
      </c>
      <c r="AV332" s="9">
        <v>7</v>
      </c>
      <c r="AW332" s="9">
        <v>4</v>
      </c>
      <c r="AX332" s="9">
        <v>3</v>
      </c>
      <c r="AY332" s="9">
        <v>5</v>
      </c>
      <c r="AZ332" s="9">
        <v>6</v>
      </c>
      <c r="BA332" s="9">
        <v>5</v>
      </c>
      <c r="BB332" s="9">
        <v>8</v>
      </c>
      <c r="BC332" s="9">
        <v>6</v>
      </c>
      <c r="BD332" s="9">
        <v>6</v>
      </c>
      <c r="BE332" s="9">
        <v>11</v>
      </c>
      <c r="BF332" s="9">
        <v>2</v>
      </c>
      <c r="BG332" s="9">
        <v>9</v>
      </c>
      <c r="BH332" s="9">
        <v>10</v>
      </c>
      <c r="BI332" s="9">
        <v>4</v>
      </c>
      <c r="BJ332" s="9">
        <v>3</v>
      </c>
      <c r="BK332" s="9">
        <v>7</v>
      </c>
      <c r="BL332" s="9">
        <v>1</v>
      </c>
      <c r="BM332" s="9">
        <v>9</v>
      </c>
      <c r="BN332" s="9">
        <v>9</v>
      </c>
      <c r="BO332" s="9">
        <v>10</v>
      </c>
      <c r="BP332" s="9">
        <v>11</v>
      </c>
      <c r="BQ332" s="9">
        <v>15</v>
      </c>
      <c r="BR332" s="9">
        <v>18</v>
      </c>
      <c r="BS332" s="9">
        <v>6</v>
      </c>
      <c r="BT332" s="9">
        <v>4</v>
      </c>
      <c r="BU332" s="9">
        <v>17</v>
      </c>
      <c r="BV332" s="9">
        <v>18</v>
      </c>
      <c r="BW332" s="9">
        <v>13</v>
      </c>
      <c r="BX332" s="9">
        <v>19</v>
      </c>
      <c r="BY332" s="9">
        <v>19</v>
      </c>
      <c r="BZ332" s="9">
        <v>15</v>
      </c>
      <c r="CA332" s="9">
        <v>10</v>
      </c>
      <c r="CB332" s="9">
        <v>20</v>
      </c>
      <c r="CC332" s="9">
        <v>11</v>
      </c>
      <c r="CD332" s="9">
        <v>19</v>
      </c>
      <c r="CE332" s="9">
        <v>11</v>
      </c>
      <c r="CF332" s="9">
        <v>11</v>
      </c>
      <c r="CG332" s="9">
        <v>14</v>
      </c>
      <c r="CH332" s="9">
        <v>21</v>
      </c>
      <c r="CI332" s="9">
        <v>25</v>
      </c>
      <c r="CJ332" s="9">
        <v>35</v>
      </c>
      <c r="CK332" s="9">
        <v>39</v>
      </c>
      <c r="CL332" s="9">
        <v>17</v>
      </c>
      <c r="CM332" s="9">
        <v>21</v>
      </c>
      <c r="CN332" s="9">
        <v>19</v>
      </c>
      <c r="CO332" s="9">
        <v>33</v>
      </c>
      <c r="CP332" s="9">
        <v>48</v>
      </c>
      <c r="CQ332" s="9">
        <v>18</v>
      </c>
      <c r="CR332" s="9">
        <v>18</v>
      </c>
      <c r="CS332" s="10">
        <v>24</v>
      </c>
    </row>
    <row r="333" spans="1:97" x14ac:dyDescent="0.35">
      <c r="A333" s="8" t="s">
        <v>342</v>
      </c>
      <c r="B333" s="9" t="s">
        <v>349</v>
      </c>
      <c r="C333" s="9" t="s">
        <v>1068</v>
      </c>
      <c r="D333" s="9">
        <f t="shared" si="5"/>
        <v>308</v>
      </c>
      <c r="E333" s="9">
        <v>0</v>
      </c>
      <c r="F333" s="9">
        <v>0</v>
      </c>
      <c r="G333" s="9">
        <v>0</v>
      </c>
      <c r="H333" s="9">
        <v>0</v>
      </c>
      <c r="I333" s="9">
        <v>0</v>
      </c>
      <c r="J333" s="9">
        <v>0</v>
      </c>
      <c r="K333" s="9">
        <v>0</v>
      </c>
      <c r="L333" s="9">
        <v>1</v>
      </c>
      <c r="M333" s="9">
        <v>0</v>
      </c>
      <c r="N333" s="9">
        <v>0</v>
      </c>
      <c r="O333" s="9">
        <v>0</v>
      </c>
      <c r="P333" s="9">
        <v>0</v>
      </c>
      <c r="Q333" s="9">
        <v>0</v>
      </c>
      <c r="R333" s="9">
        <v>0</v>
      </c>
      <c r="S333" s="9">
        <v>0</v>
      </c>
      <c r="T333" s="9">
        <v>0</v>
      </c>
      <c r="U333" s="9">
        <v>0</v>
      </c>
      <c r="V333" s="9">
        <v>1</v>
      </c>
      <c r="W333" s="9">
        <v>0</v>
      </c>
      <c r="X333" s="9">
        <v>0</v>
      </c>
      <c r="Y333" s="9">
        <v>0</v>
      </c>
      <c r="Z333" s="9">
        <v>0</v>
      </c>
      <c r="AA333" s="9">
        <v>0</v>
      </c>
      <c r="AB333" s="9">
        <v>0</v>
      </c>
      <c r="AC333" s="9">
        <v>0</v>
      </c>
      <c r="AD333" s="9">
        <v>0</v>
      </c>
      <c r="AE333" s="9">
        <v>0</v>
      </c>
      <c r="AF333" s="9">
        <v>0</v>
      </c>
      <c r="AG333" s="9">
        <v>0</v>
      </c>
      <c r="AH333" s="9">
        <v>0</v>
      </c>
      <c r="AI333" s="9">
        <v>0</v>
      </c>
      <c r="AJ333" s="9">
        <v>0</v>
      </c>
      <c r="AK333" s="9">
        <v>0</v>
      </c>
      <c r="AL333" s="9">
        <v>0</v>
      </c>
      <c r="AM333" s="9">
        <v>0</v>
      </c>
      <c r="AN333" s="9">
        <v>2</v>
      </c>
      <c r="AO333" s="9">
        <v>2</v>
      </c>
      <c r="AP333" s="9">
        <v>2</v>
      </c>
      <c r="AQ333" s="9">
        <v>1</v>
      </c>
      <c r="AR333" s="9">
        <v>0</v>
      </c>
      <c r="AS333" s="9">
        <v>1</v>
      </c>
      <c r="AT333" s="9">
        <v>2</v>
      </c>
      <c r="AU333" s="9">
        <v>3</v>
      </c>
      <c r="AV333" s="9">
        <v>2</v>
      </c>
      <c r="AW333" s="9">
        <v>2</v>
      </c>
      <c r="AX333" s="9">
        <v>3</v>
      </c>
      <c r="AY333" s="9">
        <v>8</v>
      </c>
      <c r="AZ333" s="9">
        <v>5</v>
      </c>
      <c r="BA333" s="9">
        <v>1</v>
      </c>
      <c r="BB333" s="9">
        <v>0</v>
      </c>
      <c r="BC333" s="9">
        <v>3</v>
      </c>
      <c r="BD333" s="9">
        <v>3</v>
      </c>
      <c r="BE333" s="9">
        <v>4</v>
      </c>
      <c r="BF333" s="9">
        <v>4</v>
      </c>
      <c r="BG333" s="9">
        <v>1</v>
      </c>
      <c r="BH333" s="9">
        <v>4</v>
      </c>
      <c r="BI333" s="9">
        <v>1</v>
      </c>
      <c r="BJ333" s="9">
        <v>1</v>
      </c>
      <c r="BK333" s="9">
        <v>0</v>
      </c>
      <c r="BL333" s="9">
        <v>0</v>
      </c>
      <c r="BM333" s="9">
        <v>3</v>
      </c>
      <c r="BN333" s="9">
        <v>9</v>
      </c>
      <c r="BO333" s="9">
        <v>2</v>
      </c>
      <c r="BP333" s="9">
        <v>2</v>
      </c>
      <c r="BQ333" s="9">
        <v>2</v>
      </c>
      <c r="BR333" s="9">
        <v>3</v>
      </c>
      <c r="BS333" s="9">
        <v>2</v>
      </c>
      <c r="BT333" s="9">
        <v>4</v>
      </c>
      <c r="BU333" s="9">
        <v>8</v>
      </c>
      <c r="BV333" s="9">
        <v>5</v>
      </c>
      <c r="BW333" s="9">
        <v>11</v>
      </c>
      <c r="BX333" s="9">
        <v>6</v>
      </c>
      <c r="BY333" s="9">
        <v>14</v>
      </c>
      <c r="BZ333" s="9">
        <v>13</v>
      </c>
      <c r="CA333" s="9">
        <v>10</v>
      </c>
      <c r="CB333" s="9">
        <v>12</v>
      </c>
      <c r="CC333" s="9">
        <v>7</v>
      </c>
      <c r="CD333" s="9">
        <v>15</v>
      </c>
      <c r="CE333" s="9">
        <v>10</v>
      </c>
      <c r="CF333" s="9">
        <v>8</v>
      </c>
      <c r="CG333" s="9">
        <v>7</v>
      </c>
      <c r="CH333" s="9">
        <v>8</v>
      </c>
      <c r="CI333" s="9">
        <v>7</v>
      </c>
      <c r="CJ333" s="9">
        <v>5</v>
      </c>
      <c r="CK333" s="9">
        <v>11</v>
      </c>
      <c r="CL333" s="9">
        <v>10</v>
      </c>
      <c r="CM333" s="9">
        <v>7</v>
      </c>
      <c r="CN333" s="9">
        <v>13</v>
      </c>
      <c r="CO333" s="9">
        <v>7</v>
      </c>
      <c r="CP333" s="9">
        <v>10</v>
      </c>
      <c r="CQ333" s="9">
        <v>7</v>
      </c>
      <c r="CR333" s="9">
        <v>8</v>
      </c>
      <c r="CS333" s="10">
        <v>5</v>
      </c>
    </row>
    <row r="334" spans="1:97" x14ac:dyDescent="0.35">
      <c r="A334" s="8" t="s">
        <v>342</v>
      </c>
      <c r="B334" s="9" t="s">
        <v>351</v>
      </c>
      <c r="C334" s="9" t="s">
        <v>1069</v>
      </c>
      <c r="D334" s="9">
        <f t="shared" si="5"/>
        <v>480</v>
      </c>
      <c r="E334" s="9">
        <v>0</v>
      </c>
      <c r="F334" s="9">
        <v>0</v>
      </c>
      <c r="G334" s="9">
        <v>1</v>
      </c>
      <c r="H334" s="9">
        <v>1</v>
      </c>
      <c r="I334" s="9">
        <v>0</v>
      </c>
      <c r="J334" s="9">
        <v>0</v>
      </c>
      <c r="K334" s="9">
        <v>0</v>
      </c>
      <c r="L334" s="9">
        <v>1</v>
      </c>
      <c r="M334" s="9">
        <v>0</v>
      </c>
      <c r="N334" s="9">
        <v>0</v>
      </c>
      <c r="O334" s="9">
        <v>1</v>
      </c>
      <c r="P334" s="9">
        <v>1</v>
      </c>
      <c r="Q334" s="9">
        <v>0</v>
      </c>
      <c r="R334" s="9">
        <v>0</v>
      </c>
      <c r="S334" s="9">
        <v>0</v>
      </c>
      <c r="T334" s="9">
        <v>0</v>
      </c>
      <c r="U334" s="9">
        <v>0</v>
      </c>
      <c r="V334" s="9">
        <v>0</v>
      </c>
      <c r="W334" s="9">
        <v>1</v>
      </c>
      <c r="X334" s="9">
        <v>0</v>
      </c>
      <c r="Y334" s="9">
        <v>0</v>
      </c>
      <c r="Z334" s="9">
        <v>0</v>
      </c>
      <c r="AA334" s="9">
        <v>0</v>
      </c>
      <c r="AB334" s="9">
        <v>0</v>
      </c>
      <c r="AC334" s="9">
        <v>0</v>
      </c>
      <c r="AD334" s="9">
        <v>0</v>
      </c>
      <c r="AE334" s="9">
        <v>0</v>
      </c>
      <c r="AF334" s="9">
        <v>0</v>
      </c>
      <c r="AG334" s="9">
        <v>0</v>
      </c>
      <c r="AH334" s="9">
        <v>0</v>
      </c>
      <c r="AI334" s="9">
        <v>0</v>
      </c>
      <c r="AJ334" s="9">
        <v>0</v>
      </c>
      <c r="AK334" s="9">
        <v>0</v>
      </c>
      <c r="AL334" s="9">
        <v>0</v>
      </c>
      <c r="AM334" s="9">
        <v>1</v>
      </c>
      <c r="AN334" s="9">
        <v>0</v>
      </c>
      <c r="AO334" s="9">
        <v>0</v>
      </c>
      <c r="AP334" s="9">
        <v>0</v>
      </c>
      <c r="AQ334" s="9">
        <v>2</v>
      </c>
      <c r="AR334" s="9">
        <v>1</v>
      </c>
      <c r="AS334" s="9">
        <v>0</v>
      </c>
      <c r="AT334" s="9">
        <v>1</v>
      </c>
      <c r="AU334" s="9">
        <v>2</v>
      </c>
      <c r="AV334" s="9">
        <v>1</v>
      </c>
      <c r="AW334" s="9">
        <v>0</v>
      </c>
      <c r="AX334" s="9">
        <v>3</v>
      </c>
      <c r="AY334" s="9">
        <v>1</v>
      </c>
      <c r="AZ334" s="9">
        <v>1</v>
      </c>
      <c r="BA334" s="9">
        <v>1</v>
      </c>
      <c r="BB334" s="9">
        <v>7</v>
      </c>
      <c r="BC334" s="9">
        <v>2</v>
      </c>
      <c r="BD334" s="9">
        <v>5</v>
      </c>
      <c r="BE334" s="9">
        <v>3</v>
      </c>
      <c r="BF334" s="9">
        <v>6</v>
      </c>
      <c r="BG334" s="9">
        <v>3</v>
      </c>
      <c r="BH334" s="9">
        <v>2</v>
      </c>
      <c r="BI334" s="9">
        <v>8</v>
      </c>
      <c r="BJ334" s="9">
        <v>10</v>
      </c>
      <c r="BK334" s="9">
        <v>4</v>
      </c>
      <c r="BL334" s="9">
        <v>6</v>
      </c>
      <c r="BM334" s="9">
        <v>8</v>
      </c>
      <c r="BN334" s="9">
        <v>5</v>
      </c>
      <c r="BO334" s="9">
        <v>14</v>
      </c>
      <c r="BP334" s="9">
        <v>13</v>
      </c>
      <c r="BQ334" s="9">
        <v>12</v>
      </c>
      <c r="BR334" s="9">
        <v>11</v>
      </c>
      <c r="BS334" s="9">
        <v>12</v>
      </c>
      <c r="BT334" s="9">
        <v>5</v>
      </c>
      <c r="BU334" s="9">
        <v>16</v>
      </c>
      <c r="BV334" s="9">
        <v>16</v>
      </c>
      <c r="BW334" s="9">
        <v>15</v>
      </c>
      <c r="BX334" s="9">
        <v>11</v>
      </c>
      <c r="BY334" s="9">
        <v>25</v>
      </c>
      <c r="BZ334" s="9">
        <v>13</v>
      </c>
      <c r="CA334" s="9">
        <v>20</v>
      </c>
      <c r="CB334" s="9">
        <v>18</v>
      </c>
      <c r="CC334" s="9">
        <v>14</v>
      </c>
      <c r="CD334" s="9">
        <v>18</v>
      </c>
      <c r="CE334" s="9">
        <v>10</v>
      </c>
      <c r="CF334" s="9">
        <v>8</v>
      </c>
      <c r="CG334" s="9">
        <v>4</v>
      </c>
      <c r="CH334" s="9">
        <v>11</v>
      </c>
      <c r="CI334" s="9">
        <v>11</v>
      </c>
      <c r="CJ334" s="9">
        <v>17</v>
      </c>
      <c r="CK334" s="9">
        <v>6</v>
      </c>
      <c r="CL334" s="9">
        <v>14</v>
      </c>
      <c r="CM334" s="9">
        <v>16</v>
      </c>
      <c r="CN334" s="9">
        <v>5</v>
      </c>
      <c r="CO334" s="9">
        <v>16</v>
      </c>
      <c r="CP334" s="9">
        <v>13</v>
      </c>
      <c r="CQ334" s="9">
        <v>7</v>
      </c>
      <c r="CR334" s="9">
        <v>12</v>
      </c>
      <c r="CS334" s="10">
        <v>8</v>
      </c>
    </row>
    <row r="335" spans="1:97" x14ac:dyDescent="0.35">
      <c r="A335" s="8" t="s">
        <v>342</v>
      </c>
      <c r="B335" s="9" t="s">
        <v>353</v>
      </c>
      <c r="C335" s="9" t="s">
        <v>1070</v>
      </c>
      <c r="D335" s="9">
        <f t="shared" si="5"/>
        <v>25</v>
      </c>
      <c r="E335" s="9">
        <v>0</v>
      </c>
      <c r="F335" s="9">
        <v>0</v>
      </c>
      <c r="G335" s="9">
        <v>0</v>
      </c>
      <c r="H335" s="9">
        <v>0</v>
      </c>
      <c r="I335" s="9">
        <v>0</v>
      </c>
      <c r="J335" s="9">
        <v>0</v>
      </c>
      <c r="K335" s="9">
        <v>0</v>
      </c>
      <c r="L335" s="9">
        <v>0</v>
      </c>
      <c r="M335" s="9">
        <v>0</v>
      </c>
      <c r="N335" s="9">
        <v>0</v>
      </c>
      <c r="O335" s="9">
        <v>0</v>
      </c>
      <c r="P335" s="9">
        <v>0</v>
      </c>
      <c r="Q335" s="9">
        <v>0</v>
      </c>
      <c r="R335" s="9">
        <v>0</v>
      </c>
      <c r="S335" s="9">
        <v>0</v>
      </c>
      <c r="T335" s="9">
        <v>0</v>
      </c>
      <c r="U335" s="9">
        <v>0</v>
      </c>
      <c r="V335" s="9">
        <v>0</v>
      </c>
      <c r="W335" s="9">
        <v>0</v>
      </c>
      <c r="X335" s="9">
        <v>0</v>
      </c>
      <c r="Y335" s="9">
        <v>0</v>
      </c>
      <c r="Z335" s="9">
        <v>0</v>
      </c>
      <c r="AA335" s="9">
        <v>0</v>
      </c>
      <c r="AB335" s="9">
        <v>0</v>
      </c>
      <c r="AC335" s="9">
        <v>0</v>
      </c>
      <c r="AD335" s="9">
        <v>0</v>
      </c>
      <c r="AE335" s="9">
        <v>0</v>
      </c>
      <c r="AF335" s="9">
        <v>0</v>
      </c>
      <c r="AG335" s="9">
        <v>0</v>
      </c>
      <c r="AH335" s="9">
        <v>0</v>
      </c>
      <c r="AI335" s="9">
        <v>0</v>
      </c>
      <c r="AJ335" s="9">
        <v>0</v>
      </c>
      <c r="AK335" s="9">
        <v>0</v>
      </c>
      <c r="AL335" s="9">
        <v>0</v>
      </c>
      <c r="AM335" s="9">
        <v>0</v>
      </c>
      <c r="AN335" s="9">
        <v>0</v>
      </c>
      <c r="AO335" s="9">
        <v>0</v>
      </c>
      <c r="AP335" s="9">
        <v>0</v>
      </c>
      <c r="AQ335" s="9">
        <v>0</v>
      </c>
      <c r="AR335" s="9">
        <v>0</v>
      </c>
      <c r="AS335" s="9">
        <v>0</v>
      </c>
      <c r="AT335" s="9">
        <v>0</v>
      </c>
      <c r="AU335" s="9">
        <v>0</v>
      </c>
      <c r="AV335" s="9">
        <v>0</v>
      </c>
      <c r="AW335" s="9">
        <v>0</v>
      </c>
      <c r="AX335" s="9">
        <v>0</v>
      </c>
      <c r="AY335" s="9">
        <v>0</v>
      </c>
      <c r="AZ335" s="9">
        <v>1</v>
      </c>
      <c r="BA335" s="9">
        <v>0</v>
      </c>
      <c r="BB335" s="9">
        <v>0</v>
      </c>
      <c r="BC335" s="9">
        <v>0</v>
      </c>
      <c r="BD335" s="9">
        <v>0</v>
      </c>
      <c r="BE335" s="9">
        <v>0</v>
      </c>
      <c r="BF335" s="9">
        <v>0</v>
      </c>
      <c r="BG335" s="9">
        <v>0</v>
      </c>
      <c r="BH335" s="9">
        <v>0</v>
      </c>
      <c r="BI335" s="9">
        <v>0</v>
      </c>
      <c r="BJ335" s="9">
        <v>0</v>
      </c>
      <c r="BK335" s="9">
        <v>0</v>
      </c>
      <c r="BL335" s="9">
        <v>0</v>
      </c>
      <c r="BM335" s="9">
        <v>2</v>
      </c>
      <c r="BN335" s="9">
        <v>1</v>
      </c>
      <c r="BO335" s="9">
        <v>4</v>
      </c>
      <c r="BP335" s="9">
        <v>2</v>
      </c>
      <c r="BQ335" s="9">
        <v>2</v>
      </c>
      <c r="BR335" s="9">
        <v>0</v>
      </c>
      <c r="BS335" s="9">
        <v>0</v>
      </c>
      <c r="BT335" s="9">
        <v>0</v>
      </c>
      <c r="BU335" s="9">
        <v>0</v>
      </c>
      <c r="BV335" s="9">
        <v>0</v>
      </c>
      <c r="BW335" s="9">
        <v>0</v>
      </c>
      <c r="BX335" s="9">
        <v>0</v>
      </c>
      <c r="BY335" s="9">
        <v>0</v>
      </c>
      <c r="BZ335" s="9">
        <v>0</v>
      </c>
      <c r="CA335" s="9">
        <v>0</v>
      </c>
      <c r="CB335" s="9">
        <v>1</v>
      </c>
      <c r="CC335" s="9">
        <v>0</v>
      </c>
      <c r="CD335" s="9">
        <v>1</v>
      </c>
      <c r="CE335" s="9">
        <v>1</v>
      </c>
      <c r="CF335" s="9">
        <v>0</v>
      </c>
      <c r="CG335" s="9">
        <v>2</v>
      </c>
      <c r="CH335" s="9">
        <v>4</v>
      </c>
      <c r="CI335" s="9">
        <v>1</v>
      </c>
      <c r="CJ335" s="9">
        <v>1</v>
      </c>
      <c r="CK335" s="9">
        <v>0</v>
      </c>
      <c r="CL335" s="9">
        <v>0</v>
      </c>
      <c r="CM335" s="9">
        <v>0</v>
      </c>
      <c r="CN335" s="9">
        <v>0</v>
      </c>
      <c r="CO335" s="9">
        <v>0</v>
      </c>
      <c r="CP335" s="9">
        <v>0</v>
      </c>
      <c r="CQ335" s="9">
        <v>0</v>
      </c>
      <c r="CR335" s="9">
        <v>2</v>
      </c>
      <c r="CS335" s="10">
        <v>0</v>
      </c>
    </row>
    <row r="336" spans="1:97" x14ac:dyDescent="0.35">
      <c r="A336" s="8" t="s">
        <v>342</v>
      </c>
      <c r="B336" s="9" t="s">
        <v>355</v>
      </c>
      <c r="C336" s="9" t="s">
        <v>1071</v>
      </c>
      <c r="D336" s="9">
        <f t="shared" si="5"/>
        <v>18</v>
      </c>
      <c r="E336" s="9">
        <v>0</v>
      </c>
      <c r="F336" s="9">
        <v>0</v>
      </c>
      <c r="G336" s="9">
        <v>0</v>
      </c>
      <c r="H336" s="9">
        <v>0</v>
      </c>
      <c r="I336" s="9">
        <v>0</v>
      </c>
      <c r="J336" s="9">
        <v>0</v>
      </c>
      <c r="K336" s="9">
        <v>0</v>
      </c>
      <c r="L336" s="9">
        <v>0</v>
      </c>
      <c r="M336" s="9">
        <v>0</v>
      </c>
      <c r="N336" s="9">
        <v>0</v>
      </c>
      <c r="O336" s="9">
        <v>0</v>
      </c>
      <c r="P336" s="9">
        <v>0</v>
      </c>
      <c r="Q336" s="9">
        <v>0</v>
      </c>
      <c r="R336" s="9">
        <v>0</v>
      </c>
      <c r="S336" s="9">
        <v>0</v>
      </c>
      <c r="T336" s="9">
        <v>0</v>
      </c>
      <c r="U336" s="9">
        <v>0</v>
      </c>
      <c r="V336" s="9">
        <v>0</v>
      </c>
      <c r="W336" s="9">
        <v>0</v>
      </c>
      <c r="X336" s="9">
        <v>0</v>
      </c>
      <c r="Y336" s="9">
        <v>0</v>
      </c>
      <c r="Z336" s="9">
        <v>0</v>
      </c>
      <c r="AA336" s="9">
        <v>0</v>
      </c>
      <c r="AB336" s="9">
        <v>0</v>
      </c>
      <c r="AC336" s="9">
        <v>0</v>
      </c>
      <c r="AD336" s="9">
        <v>0</v>
      </c>
      <c r="AE336" s="9">
        <v>0</v>
      </c>
      <c r="AF336" s="9">
        <v>0</v>
      </c>
      <c r="AG336" s="9">
        <v>0</v>
      </c>
      <c r="AH336" s="9">
        <v>0</v>
      </c>
      <c r="AI336" s="9">
        <v>0</v>
      </c>
      <c r="AJ336" s="9">
        <v>0</v>
      </c>
      <c r="AK336" s="9">
        <v>0</v>
      </c>
      <c r="AL336" s="9">
        <v>0</v>
      </c>
      <c r="AM336" s="9">
        <v>0</v>
      </c>
      <c r="AN336" s="9">
        <v>0</v>
      </c>
      <c r="AO336" s="9">
        <v>0</v>
      </c>
      <c r="AP336" s="9">
        <v>0</v>
      </c>
      <c r="AQ336" s="9">
        <v>2</v>
      </c>
      <c r="AR336" s="9">
        <v>0</v>
      </c>
      <c r="AS336" s="9">
        <v>0</v>
      </c>
      <c r="AT336" s="9">
        <v>0</v>
      </c>
      <c r="AU336" s="9">
        <v>0</v>
      </c>
      <c r="AV336" s="9">
        <v>0</v>
      </c>
      <c r="AW336" s="9">
        <v>0</v>
      </c>
      <c r="AX336" s="9">
        <v>0</v>
      </c>
      <c r="AY336" s="9">
        <v>0</v>
      </c>
      <c r="AZ336" s="9">
        <v>0</v>
      </c>
      <c r="BA336" s="9">
        <v>0</v>
      </c>
      <c r="BB336" s="9">
        <v>0</v>
      </c>
      <c r="BC336" s="9">
        <v>0</v>
      </c>
      <c r="BD336" s="9">
        <v>0</v>
      </c>
      <c r="BE336" s="9">
        <v>0</v>
      </c>
      <c r="BF336" s="9">
        <v>0</v>
      </c>
      <c r="BG336" s="9">
        <v>0</v>
      </c>
      <c r="BH336" s="9">
        <v>0</v>
      </c>
      <c r="BI336" s="9">
        <v>0</v>
      </c>
      <c r="BJ336" s="9">
        <v>0</v>
      </c>
      <c r="BK336" s="9">
        <v>0</v>
      </c>
      <c r="BL336" s="9">
        <v>0</v>
      </c>
      <c r="BM336" s="9">
        <v>0</v>
      </c>
      <c r="BN336" s="9">
        <v>0</v>
      </c>
      <c r="BO336" s="9">
        <v>0</v>
      </c>
      <c r="BP336" s="9">
        <v>1</v>
      </c>
      <c r="BQ336" s="9">
        <v>0</v>
      </c>
      <c r="BR336" s="9">
        <v>0</v>
      </c>
      <c r="BS336" s="9">
        <v>0</v>
      </c>
      <c r="BT336" s="9">
        <v>0</v>
      </c>
      <c r="BU336" s="9">
        <v>1</v>
      </c>
      <c r="BV336" s="9">
        <v>1</v>
      </c>
      <c r="BW336" s="9">
        <v>0</v>
      </c>
      <c r="BX336" s="9">
        <v>0</v>
      </c>
      <c r="BY336" s="9">
        <v>0</v>
      </c>
      <c r="BZ336" s="9">
        <v>0</v>
      </c>
      <c r="CA336" s="9">
        <v>0</v>
      </c>
      <c r="CB336" s="9">
        <v>0</v>
      </c>
      <c r="CC336" s="9">
        <v>1</v>
      </c>
      <c r="CD336" s="9">
        <v>0</v>
      </c>
      <c r="CE336" s="9">
        <v>3</v>
      </c>
      <c r="CF336" s="9">
        <v>1</v>
      </c>
      <c r="CG336" s="9">
        <v>1</v>
      </c>
      <c r="CH336" s="9">
        <v>3</v>
      </c>
      <c r="CI336" s="9">
        <v>0</v>
      </c>
      <c r="CJ336" s="9">
        <v>1</v>
      </c>
      <c r="CK336" s="9">
        <v>0</v>
      </c>
      <c r="CL336" s="9">
        <v>2</v>
      </c>
      <c r="CM336" s="9">
        <v>0</v>
      </c>
      <c r="CN336" s="9">
        <v>0</v>
      </c>
      <c r="CO336" s="9">
        <v>1</v>
      </c>
      <c r="CP336" s="9">
        <v>0</v>
      </c>
      <c r="CQ336" s="9">
        <v>0</v>
      </c>
      <c r="CR336" s="9">
        <v>0</v>
      </c>
      <c r="CS336" s="10">
        <v>0</v>
      </c>
    </row>
    <row r="337" spans="1:97" x14ac:dyDescent="0.35">
      <c r="A337" s="8" t="s">
        <v>342</v>
      </c>
      <c r="B337" s="9" t="s">
        <v>357</v>
      </c>
      <c r="C337" s="9" t="s">
        <v>1072</v>
      </c>
      <c r="D337" s="9">
        <f t="shared" si="5"/>
        <v>107</v>
      </c>
      <c r="E337" s="9">
        <v>0</v>
      </c>
      <c r="F337" s="9">
        <v>0</v>
      </c>
      <c r="G337" s="9">
        <v>0</v>
      </c>
      <c r="H337" s="9">
        <v>0</v>
      </c>
      <c r="I337" s="9">
        <v>1</v>
      </c>
      <c r="J337" s="9">
        <v>0</v>
      </c>
      <c r="K337" s="9">
        <v>0</v>
      </c>
      <c r="L337" s="9">
        <v>0</v>
      </c>
      <c r="M337" s="9">
        <v>0</v>
      </c>
      <c r="N337" s="9">
        <v>0</v>
      </c>
      <c r="O337" s="9">
        <v>0</v>
      </c>
      <c r="P337" s="9">
        <v>0</v>
      </c>
      <c r="Q337" s="9">
        <v>1</v>
      </c>
      <c r="R337" s="9">
        <v>0</v>
      </c>
      <c r="S337" s="9">
        <v>0</v>
      </c>
      <c r="T337" s="9">
        <v>0</v>
      </c>
      <c r="U337" s="9">
        <v>0</v>
      </c>
      <c r="V337" s="9">
        <v>0</v>
      </c>
      <c r="W337" s="9">
        <v>0</v>
      </c>
      <c r="X337" s="9">
        <v>0</v>
      </c>
      <c r="Y337" s="9">
        <v>0</v>
      </c>
      <c r="Z337" s="9">
        <v>0</v>
      </c>
      <c r="AA337" s="9">
        <v>0</v>
      </c>
      <c r="AB337" s="9">
        <v>0</v>
      </c>
      <c r="AC337" s="9">
        <v>0</v>
      </c>
      <c r="AD337" s="9">
        <v>0</v>
      </c>
      <c r="AE337" s="9">
        <v>0</v>
      </c>
      <c r="AF337" s="9">
        <v>0</v>
      </c>
      <c r="AG337" s="9">
        <v>0</v>
      </c>
      <c r="AH337" s="9">
        <v>0</v>
      </c>
      <c r="AI337" s="9">
        <v>0</v>
      </c>
      <c r="AJ337" s="9">
        <v>0</v>
      </c>
      <c r="AK337" s="9">
        <v>0</v>
      </c>
      <c r="AL337" s="9">
        <v>0</v>
      </c>
      <c r="AM337" s="9">
        <v>0</v>
      </c>
      <c r="AN337" s="9">
        <v>0</v>
      </c>
      <c r="AO337" s="9">
        <v>1</v>
      </c>
      <c r="AP337" s="9">
        <v>0</v>
      </c>
      <c r="AQ337" s="9">
        <v>0</v>
      </c>
      <c r="AR337" s="9">
        <v>0</v>
      </c>
      <c r="AS337" s="9">
        <v>1</v>
      </c>
      <c r="AT337" s="9">
        <v>1</v>
      </c>
      <c r="AU337" s="9">
        <v>0</v>
      </c>
      <c r="AV337" s="9">
        <v>0</v>
      </c>
      <c r="AW337" s="9">
        <v>0</v>
      </c>
      <c r="AX337" s="9">
        <v>0</v>
      </c>
      <c r="AY337" s="9">
        <v>0</v>
      </c>
      <c r="AZ337" s="9">
        <v>1</v>
      </c>
      <c r="BA337" s="9">
        <v>0</v>
      </c>
      <c r="BB337" s="9">
        <v>0</v>
      </c>
      <c r="BC337" s="9">
        <v>3</v>
      </c>
      <c r="BD337" s="9">
        <v>1</v>
      </c>
      <c r="BE337" s="9">
        <v>1</v>
      </c>
      <c r="BF337" s="9">
        <v>2</v>
      </c>
      <c r="BG337" s="9">
        <v>1</v>
      </c>
      <c r="BH337" s="9">
        <v>0</v>
      </c>
      <c r="BI337" s="9">
        <v>1</v>
      </c>
      <c r="BJ337" s="9">
        <v>2</v>
      </c>
      <c r="BK337" s="9">
        <v>1</v>
      </c>
      <c r="BL337" s="9">
        <v>0</v>
      </c>
      <c r="BM337" s="9">
        <v>1</v>
      </c>
      <c r="BN337" s="9">
        <v>0</v>
      </c>
      <c r="BO337" s="9">
        <v>0</v>
      </c>
      <c r="BP337" s="9">
        <v>0</v>
      </c>
      <c r="BQ337" s="9">
        <v>2</v>
      </c>
      <c r="BR337" s="9">
        <v>1</v>
      </c>
      <c r="BS337" s="9">
        <v>0</v>
      </c>
      <c r="BT337" s="9">
        <v>2</v>
      </c>
      <c r="BU337" s="9">
        <v>1</v>
      </c>
      <c r="BV337" s="9">
        <v>0</v>
      </c>
      <c r="BW337" s="9">
        <v>3</v>
      </c>
      <c r="BX337" s="9">
        <v>1</v>
      </c>
      <c r="BY337" s="9">
        <v>4</v>
      </c>
      <c r="BZ337" s="9">
        <v>5</v>
      </c>
      <c r="CA337" s="9">
        <v>0</v>
      </c>
      <c r="CB337" s="9">
        <v>4</v>
      </c>
      <c r="CC337" s="9">
        <v>2</v>
      </c>
      <c r="CD337" s="9">
        <v>2</v>
      </c>
      <c r="CE337" s="9">
        <v>5</v>
      </c>
      <c r="CF337" s="9">
        <v>4</v>
      </c>
      <c r="CG337" s="9">
        <v>0</v>
      </c>
      <c r="CH337" s="9">
        <v>2</v>
      </c>
      <c r="CI337" s="9">
        <v>6</v>
      </c>
      <c r="CJ337" s="9">
        <v>1</v>
      </c>
      <c r="CK337" s="9">
        <v>1</v>
      </c>
      <c r="CL337" s="9">
        <v>6</v>
      </c>
      <c r="CM337" s="9">
        <v>2</v>
      </c>
      <c r="CN337" s="9">
        <v>4</v>
      </c>
      <c r="CO337" s="9">
        <v>5</v>
      </c>
      <c r="CP337" s="9">
        <v>6</v>
      </c>
      <c r="CQ337" s="9">
        <v>7</v>
      </c>
      <c r="CR337" s="9">
        <v>9</v>
      </c>
      <c r="CS337" s="10">
        <v>3</v>
      </c>
    </row>
    <row r="338" spans="1:97" x14ac:dyDescent="0.35">
      <c r="A338" s="8" t="s">
        <v>342</v>
      </c>
      <c r="B338" s="9" t="s">
        <v>359</v>
      </c>
      <c r="C338" s="9" t="s">
        <v>1073</v>
      </c>
      <c r="D338" s="9">
        <f t="shared" si="5"/>
        <v>22</v>
      </c>
      <c r="E338" s="9">
        <v>0</v>
      </c>
      <c r="F338" s="9">
        <v>0</v>
      </c>
      <c r="G338" s="9">
        <v>1</v>
      </c>
      <c r="H338" s="9">
        <v>0</v>
      </c>
      <c r="I338" s="9">
        <v>0</v>
      </c>
      <c r="J338" s="9">
        <v>0</v>
      </c>
      <c r="K338" s="9">
        <v>1</v>
      </c>
      <c r="L338" s="9">
        <v>0</v>
      </c>
      <c r="M338" s="9">
        <v>0</v>
      </c>
      <c r="N338" s="9">
        <v>0</v>
      </c>
      <c r="O338" s="9">
        <v>0</v>
      </c>
      <c r="P338" s="9">
        <v>0</v>
      </c>
      <c r="Q338" s="9">
        <v>0</v>
      </c>
      <c r="R338" s="9">
        <v>0</v>
      </c>
      <c r="S338" s="9">
        <v>0</v>
      </c>
      <c r="T338" s="9">
        <v>0</v>
      </c>
      <c r="U338" s="9">
        <v>0</v>
      </c>
      <c r="V338" s="9">
        <v>0</v>
      </c>
      <c r="W338" s="9">
        <v>0</v>
      </c>
      <c r="X338" s="9">
        <v>0</v>
      </c>
      <c r="Y338" s="9">
        <v>0</v>
      </c>
      <c r="Z338" s="9">
        <v>0</v>
      </c>
      <c r="AA338" s="9">
        <v>0</v>
      </c>
      <c r="AB338" s="9">
        <v>0</v>
      </c>
      <c r="AC338" s="9">
        <v>0</v>
      </c>
      <c r="AD338" s="9">
        <v>0</v>
      </c>
      <c r="AE338" s="9">
        <v>0</v>
      </c>
      <c r="AF338" s="9">
        <v>0</v>
      </c>
      <c r="AG338" s="9">
        <v>0</v>
      </c>
      <c r="AH338" s="9">
        <v>0</v>
      </c>
      <c r="AI338" s="9">
        <v>0</v>
      </c>
      <c r="AJ338" s="9">
        <v>0</v>
      </c>
      <c r="AK338" s="9">
        <v>0</v>
      </c>
      <c r="AL338" s="9">
        <v>0</v>
      </c>
      <c r="AM338" s="9">
        <v>0</v>
      </c>
      <c r="AN338" s="9">
        <v>0</v>
      </c>
      <c r="AO338" s="9">
        <v>0</v>
      </c>
      <c r="AP338" s="9">
        <v>0</v>
      </c>
      <c r="AQ338" s="9">
        <v>0</v>
      </c>
      <c r="AR338" s="9">
        <v>0</v>
      </c>
      <c r="AS338" s="9">
        <v>0</v>
      </c>
      <c r="AT338" s="9">
        <v>0</v>
      </c>
      <c r="AU338" s="9">
        <v>0</v>
      </c>
      <c r="AV338" s="9">
        <v>0</v>
      </c>
      <c r="AW338" s="9">
        <v>0</v>
      </c>
      <c r="AX338" s="9">
        <v>0</v>
      </c>
      <c r="AY338" s="9">
        <v>0</v>
      </c>
      <c r="AZ338" s="9">
        <v>0</v>
      </c>
      <c r="BA338" s="9">
        <v>0</v>
      </c>
      <c r="BB338" s="9">
        <v>0</v>
      </c>
      <c r="BC338" s="9">
        <v>0</v>
      </c>
      <c r="BD338" s="9">
        <v>0</v>
      </c>
      <c r="BE338" s="9">
        <v>1</v>
      </c>
      <c r="BF338" s="9">
        <v>0</v>
      </c>
      <c r="BG338" s="9">
        <v>3</v>
      </c>
      <c r="BH338" s="9">
        <v>0</v>
      </c>
      <c r="BI338" s="9">
        <v>2</v>
      </c>
      <c r="BJ338" s="9">
        <v>0</v>
      </c>
      <c r="BK338" s="9">
        <v>1</v>
      </c>
      <c r="BL338" s="9">
        <v>1</v>
      </c>
      <c r="BM338" s="9">
        <v>0</v>
      </c>
      <c r="BN338" s="9">
        <v>0</v>
      </c>
      <c r="BO338" s="9">
        <v>0</v>
      </c>
      <c r="BP338" s="9">
        <v>0</v>
      </c>
      <c r="BQ338" s="9">
        <v>1</v>
      </c>
      <c r="BR338" s="9">
        <v>1</v>
      </c>
      <c r="BS338" s="9">
        <v>0</v>
      </c>
      <c r="BT338" s="9">
        <v>0</v>
      </c>
      <c r="BU338" s="9">
        <v>0</v>
      </c>
      <c r="BV338" s="9">
        <v>0</v>
      </c>
      <c r="BW338" s="9">
        <v>0</v>
      </c>
      <c r="BX338" s="9">
        <v>0</v>
      </c>
      <c r="BY338" s="9">
        <v>0</v>
      </c>
      <c r="BZ338" s="9">
        <v>1</v>
      </c>
      <c r="CA338" s="9">
        <v>0</v>
      </c>
      <c r="CB338" s="9">
        <v>0</v>
      </c>
      <c r="CC338" s="9">
        <v>0</v>
      </c>
      <c r="CD338" s="9">
        <v>1</v>
      </c>
      <c r="CE338" s="9">
        <v>0</v>
      </c>
      <c r="CF338" s="9">
        <v>0</v>
      </c>
      <c r="CG338" s="9">
        <v>1</v>
      </c>
      <c r="CH338" s="9">
        <v>0</v>
      </c>
      <c r="CI338" s="9">
        <v>0</v>
      </c>
      <c r="CJ338" s="9">
        <v>1</v>
      </c>
      <c r="CK338" s="9">
        <v>0</v>
      </c>
      <c r="CL338" s="9">
        <v>0</v>
      </c>
      <c r="CM338" s="9">
        <v>0</v>
      </c>
      <c r="CN338" s="9">
        <v>1</v>
      </c>
      <c r="CO338" s="9">
        <v>2</v>
      </c>
      <c r="CP338" s="9">
        <v>3</v>
      </c>
      <c r="CQ338" s="9">
        <v>0</v>
      </c>
      <c r="CR338" s="9">
        <v>0</v>
      </c>
      <c r="CS338" s="10">
        <v>0</v>
      </c>
    </row>
    <row r="339" spans="1:97" x14ac:dyDescent="0.35">
      <c r="A339" s="8" t="s">
        <v>342</v>
      </c>
      <c r="B339" s="9" t="s">
        <v>361</v>
      </c>
      <c r="C339" s="9" t="s">
        <v>1074</v>
      </c>
      <c r="D339" s="9">
        <f t="shared" si="5"/>
        <v>1427</v>
      </c>
      <c r="E339" s="9">
        <v>1</v>
      </c>
      <c r="F339" s="9">
        <v>0</v>
      </c>
      <c r="G339" s="9">
        <v>0</v>
      </c>
      <c r="H339" s="9">
        <v>1</v>
      </c>
      <c r="I339" s="9">
        <v>0</v>
      </c>
      <c r="J339" s="9">
        <v>0</v>
      </c>
      <c r="K339" s="9">
        <v>0</v>
      </c>
      <c r="L339" s="9">
        <v>2</v>
      </c>
      <c r="M339" s="9">
        <v>2</v>
      </c>
      <c r="N339" s="9">
        <v>0</v>
      </c>
      <c r="O339" s="9">
        <v>3</v>
      </c>
      <c r="P339" s="9">
        <v>0</v>
      </c>
      <c r="Q339" s="9">
        <v>0</v>
      </c>
      <c r="R339" s="9">
        <v>0</v>
      </c>
      <c r="S339" s="9">
        <v>0</v>
      </c>
      <c r="T339" s="9">
        <v>1</v>
      </c>
      <c r="U339" s="9">
        <v>0</v>
      </c>
      <c r="V339" s="9">
        <v>1</v>
      </c>
      <c r="W339" s="9">
        <v>1</v>
      </c>
      <c r="X339" s="9">
        <v>0</v>
      </c>
      <c r="Y339" s="9">
        <v>0</v>
      </c>
      <c r="Z339" s="9">
        <v>0</v>
      </c>
      <c r="AA339" s="9">
        <v>1</v>
      </c>
      <c r="AB339" s="9">
        <v>1</v>
      </c>
      <c r="AC339" s="9">
        <v>0</v>
      </c>
      <c r="AD339" s="9">
        <v>2</v>
      </c>
      <c r="AE339" s="9">
        <v>0</v>
      </c>
      <c r="AF339" s="9">
        <v>0</v>
      </c>
      <c r="AG339" s="9">
        <v>1</v>
      </c>
      <c r="AH339" s="9">
        <v>1</v>
      </c>
      <c r="AI339" s="9">
        <v>6</v>
      </c>
      <c r="AJ339" s="9">
        <v>0</v>
      </c>
      <c r="AK339" s="9">
        <v>1</v>
      </c>
      <c r="AL339" s="9">
        <v>3</v>
      </c>
      <c r="AM339" s="9">
        <v>3</v>
      </c>
      <c r="AN339" s="9">
        <v>4</v>
      </c>
      <c r="AO339" s="9">
        <v>3</v>
      </c>
      <c r="AP339" s="9">
        <v>6</v>
      </c>
      <c r="AQ339" s="9">
        <v>3</v>
      </c>
      <c r="AR339" s="9">
        <v>0</v>
      </c>
      <c r="AS339" s="9">
        <v>8</v>
      </c>
      <c r="AT339" s="9">
        <v>4</v>
      </c>
      <c r="AU339" s="9">
        <v>2</v>
      </c>
      <c r="AV339" s="9">
        <v>3</v>
      </c>
      <c r="AW339" s="9">
        <v>7</v>
      </c>
      <c r="AX339" s="9">
        <v>13</v>
      </c>
      <c r="AY339" s="9">
        <v>6</v>
      </c>
      <c r="AZ339" s="9">
        <v>6</v>
      </c>
      <c r="BA339" s="9">
        <v>9</v>
      </c>
      <c r="BB339" s="9">
        <v>8</v>
      </c>
      <c r="BC339" s="9">
        <v>10</v>
      </c>
      <c r="BD339" s="9">
        <v>16</v>
      </c>
      <c r="BE339" s="9">
        <v>19</v>
      </c>
      <c r="BF339" s="9">
        <v>20</v>
      </c>
      <c r="BG339" s="9">
        <v>1</v>
      </c>
      <c r="BH339" s="9">
        <v>12</v>
      </c>
      <c r="BI339" s="9">
        <v>1</v>
      </c>
      <c r="BJ339" s="9">
        <v>5</v>
      </c>
      <c r="BK339" s="9">
        <v>22</v>
      </c>
      <c r="BL339" s="9">
        <v>10</v>
      </c>
      <c r="BM339" s="9">
        <v>17</v>
      </c>
      <c r="BN339" s="9">
        <v>46</v>
      </c>
      <c r="BO339" s="9">
        <v>22</v>
      </c>
      <c r="BP339" s="9">
        <v>22</v>
      </c>
      <c r="BQ339" s="9">
        <v>58</v>
      </c>
      <c r="BR339" s="9">
        <v>28</v>
      </c>
      <c r="BS339" s="9">
        <v>60</v>
      </c>
      <c r="BT339" s="9">
        <v>32</v>
      </c>
      <c r="BU339" s="9">
        <v>26</v>
      </c>
      <c r="BV339" s="9">
        <v>38</v>
      </c>
      <c r="BW339" s="9">
        <v>25</v>
      </c>
      <c r="BX339" s="9">
        <v>46</v>
      </c>
      <c r="BY339" s="9">
        <v>52</v>
      </c>
      <c r="BZ339" s="9">
        <v>45</v>
      </c>
      <c r="CA339" s="9">
        <v>49</v>
      </c>
      <c r="CB339" s="9">
        <v>37</v>
      </c>
      <c r="CC339" s="9">
        <v>29</v>
      </c>
      <c r="CD339" s="9">
        <v>25</v>
      </c>
      <c r="CE339" s="9">
        <v>47</v>
      </c>
      <c r="CF339" s="9">
        <v>41</v>
      </c>
      <c r="CG339" s="9">
        <v>50</v>
      </c>
      <c r="CH339" s="9">
        <v>39</v>
      </c>
      <c r="CI339" s="9">
        <v>37</v>
      </c>
      <c r="CJ339" s="9">
        <v>37</v>
      </c>
      <c r="CK339" s="9">
        <v>39</v>
      </c>
      <c r="CL339" s="9">
        <v>28</v>
      </c>
      <c r="CM339" s="9">
        <v>25</v>
      </c>
      <c r="CN339" s="9">
        <v>38</v>
      </c>
      <c r="CO339" s="9">
        <v>50</v>
      </c>
      <c r="CP339" s="9">
        <v>30</v>
      </c>
      <c r="CQ339" s="9">
        <v>31</v>
      </c>
      <c r="CR339" s="9">
        <v>25</v>
      </c>
      <c r="CS339" s="10">
        <v>24</v>
      </c>
    </row>
    <row r="340" spans="1:97" x14ac:dyDescent="0.35">
      <c r="A340" s="8" t="s">
        <v>342</v>
      </c>
      <c r="B340" s="9" t="s">
        <v>363</v>
      </c>
      <c r="C340" s="9" t="s">
        <v>1075</v>
      </c>
      <c r="D340" s="9">
        <f t="shared" si="5"/>
        <v>17</v>
      </c>
      <c r="E340" s="9">
        <v>0</v>
      </c>
      <c r="F340" s="9">
        <v>0</v>
      </c>
      <c r="G340" s="9">
        <v>0</v>
      </c>
      <c r="H340" s="9">
        <v>0</v>
      </c>
      <c r="I340" s="9">
        <v>0</v>
      </c>
      <c r="J340" s="9">
        <v>0</v>
      </c>
      <c r="K340" s="9">
        <v>0</v>
      </c>
      <c r="L340" s="9">
        <v>0</v>
      </c>
      <c r="M340" s="9">
        <v>0</v>
      </c>
      <c r="N340" s="9">
        <v>0</v>
      </c>
      <c r="O340" s="9">
        <v>0</v>
      </c>
      <c r="P340" s="9">
        <v>0</v>
      </c>
      <c r="Q340" s="9">
        <v>0</v>
      </c>
      <c r="R340" s="9">
        <v>0</v>
      </c>
      <c r="S340" s="9">
        <v>0</v>
      </c>
      <c r="T340" s="9">
        <v>0</v>
      </c>
      <c r="U340" s="9">
        <v>0</v>
      </c>
      <c r="V340" s="9">
        <v>0</v>
      </c>
      <c r="W340" s="9">
        <v>0</v>
      </c>
      <c r="X340" s="9">
        <v>0</v>
      </c>
      <c r="Y340" s="9">
        <v>0</v>
      </c>
      <c r="Z340" s="9">
        <v>0</v>
      </c>
      <c r="AA340" s="9">
        <v>0</v>
      </c>
      <c r="AB340" s="9">
        <v>0</v>
      </c>
      <c r="AC340" s="9">
        <v>0</v>
      </c>
      <c r="AD340" s="9">
        <v>0</v>
      </c>
      <c r="AE340" s="9">
        <v>0</v>
      </c>
      <c r="AF340" s="9">
        <v>0</v>
      </c>
      <c r="AG340" s="9">
        <v>0</v>
      </c>
      <c r="AH340" s="9">
        <v>0</v>
      </c>
      <c r="AI340" s="9">
        <v>0</v>
      </c>
      <c r="AJ340" s="9">
        <v>0</v>
      </c>
      <c r="AK340" s="9">
        <v>0</v>
      </c>
      <c r="AL340" s="9">
        <v>0</v>
      </c>
      <c r="AM340" s="9">
        <v>0</v>
      </c>
      <c r="AN340" s="9">
        <v>0</v>
      </c>
      <c r="AO340" s="9">
        <v>0</v>
      </c>
      <c r="AP340" s="9">
        <v>0</v>
      </c>
      <c r="AQ340" s="9">
        <v>0</v>
      </c>
      <c r="AR340" s="9">
        <v>0</v>
      </c>
      <c r="AS340" s="9">
        <v>0</v>
      </c>
      <c r="AT340" s="9">
        <v>0</v>
      </c>
      <c r="AU340" s="9">
        <v>0</v>
      </c>
      <c r="AV340" s="9">
        <v>0</v>
      </c>
      <c r="AW340" s="9">
        <v>0</v>
      </c>
      <c r="AX340" s="9">
        <v>0</v>
      </c>
      <c r="AY340" s="9">
        <v>0</v>
      </c>
      <c r="AZ340" s="9">
        <v>0</v>
      </c>
      <c r="BA340" s="9">
        <v>0</v>
      </c>
      <c r="BB340" s="9">
        <v>0</v>
      </c>
      <c r="BC340" s="9">
        <v>0</v>
      </c>
      <c r="BD340" s="9">
        <v>1</v>
      </c>
      <c r="BE340" s="9">
        <v>0</v>
      </c>
      <c r="BF340" s="9">
        <v>1</v>
      </c>
      <c r="BG340" s="9">
        <v>1</v>
      </c>
      <c r="BH340" s="9">
        <v>0</v>
      </c>
      <c r="BI340" s="9">
        <v>0</v>
      </c>
      <c r="BJ340" s="9">
        <v>0</v>
      </c>
      <c r="BK340" s="9">
        <v>0</v>
      </c>
      <c r="BL340" s="9">
        <v>1</v>
      </c>
      <c r="BM340" s="9">
        <v>0</v>
      </c>
      <c r="BN340" s="9">
        <v>1</v>
      </c>
      <c r="BO340" s="9">
        <v>0</v>
      </c>
      <c r="BP340" s="9">
        <v>0</v>
      </c>
      <c r="BQ340" s="9">
        <v>0</v>
      </c>
      <c r="BR340" s="9">
        <v>0</v>
      </c>
      <c r="BS340" s="9">
        <v>0</v>
      </c>
      <c r="BT340" s="9">
        <v>1</v>
      </c>
      <c r="BU340" s="9">
        <v>0</v>
      </c>
      <c r="BV340" s="9">
        <v>0</v>
      </c>
      <c r="BW340" s="9">
        <v>0</v>
      </c>
      <c r="BX340" s="9">
        <v>1</v>
      </c>
      <c r="BY340" s="9">
        <v>0</v>
      </c>
      <c r="BZ340" s="9">
        <v>1</v>
      </c>
      <c r="CA340" s="9">
        <v>0</v>
      </c>
      <c r="CB340" s="9">
        <v>1</v>
      </c>
      <c r="CC340" s="9">
        <v>0</v>
      </c>
      <c r="CD340" s="9">
        <v>0</v>
      </c>
      <c r="CE340" s="9">
        <v>0</v>
      </c>
      <c r="CF340" s="9">
        <v>1</v>
      </c>
      <c r="CG340" s="9">
        <v>0</v>
      </c>
      <c r="CH340" s="9">
        <v>3</v>
      </c>
      <c r="CI340" s="9">
        <v>0</v>
      </c>
      <c r="CJ340" s="9">
        <v>0</v>
      </c>
      <c r="CK340" s="9">
        <v>0</v>
      </c>
      <c r="CL340" s="9">
        <v>0</v>
      </c>
      <c r="CM340" s="9">
        <v>1</v>
      </c>
      <c r="CN340" s="9">
        <v>1</v>
      </c>
      <c r="CO340" s="9">
        <v>1</v>
      </c>
      <c r="CP340" s="9">
        <v>0</v>
      </c>
      <c r="CQ340" s="9">
        <v>0</v>
      </c>
      <c r="CR340" s="9">
        <v>0</v>
      </c>
      <c r="CS340" s="10">
        <v>1</v>
      </c>
    </row>
    <row r="341" spans="1:97" x14ac:dyDescent="0.35">
      <c r="A341" s="8" t="s">
        <v>342</v>
      </c>
      <c r="B341" s="9" t="s">
        <v>365</v>
      </c>
      <c r="C341" s="9" t="s">
        <v>1076</v>
      </c>
      <c r="D341" s="9">
        <f t="shared" si="5"/>
        <v>20</v>
      </c>
      <c r="E341" s="9">
        <v>0</v>
      </c>
      <c r="F341" s="9">
        <v>0</v>
      </c>
      <c r="G341" s="9">
        <v>1</v>
      </c>
      <c r="H341" s="9">
        <v>0</v>
      </c>
      <c r="I341" s="9">
        <v>0</v>
      </c>
      <c r="J341" s="9">
        <v>0</v>
      </c>
      <c r="K341" s="9">
        <v>0</v>
      </c>
      <c r="L341" s="9">
        <v>0</v>
      </c>
      <c r="M341" s="9">
        <v>0</v>
      </c>
      <c r="N341" s="9">
        <v>0</v>
      </c>
      <c r="O341" s="9">
        <v>0</v>
      </c>
      <c r="P341" s="9">
        <v>0</v>
      </c>
      <c r="Q341" s="9">
        <v>0</v>
      </c>
      <c r="R341" s="9">
        <v>0</v>
      </c>
      <c r="S341" s="9">
        <v>0</v>
      </c>
      <c r="T341" s="9">
        <v>0</v>
      </c>
      <c r="U341" s="9">
        <v>0</v>
      </c>
      <c r="V341" s="9">
        <v>0</v>
      </c>
      <c r="W341" s="9">
        <v>0</v>
      </c>
      <c r="X341" s="9">
        <v>0</v>
      </c>
      <c r="Y341" s="9">
        <v>0</v>
      </c>
      <c r="Z341" s="9">
        <v>0</v>
      </c>
      <c r="AA341" s="9">
        <v>0</v>
      </c>
      <c r="AB341" s="9">
        <v>0</v>
      </c>
      <c r="AC341" s="9">
        <v>0</v>
      </c>
      <c r="AD341" s="9">
        <v>0</v>
      </c>
      <c r="AE341" s="9">
        <v>0</v>
      </c>
      <c r="AF341" s="9">
        <v>0</v>
      </c>
      <c r="AG341" s="9">
        <v>0</v>
      </c>
      <c r="AH341" s="9">
        <v>0</v>
      </c>
      <c r="AI341" s="9">
        <v>0</v>
      </c>
      <c r="AJ341" s="9">
        <v>0</v>
      </c>
      <c r="AK341" s="9">
        <v>0</v>
      </c>
      <c r="AL341" s="9">
        <v>0</v>
      </c>
      <c r="AM341" s="9">
        <v>0</v>
      </c>
      <c r="AN341" s="9">
        <v>0</v>
      </c>
      <c r="AO341" s="9">
        <v>0</v>
      </c>
      <c r="AP341" s="9">
        <v>0</v>
      </c>
      <c r="AQ341" s="9">
        <v>0</v>
      </c>
      <c r="AR341" s="9">
        <v>0</v>
      </c>
      <c r="AS341" s="9">
        <v>0</v>
      </c>
      <c r="AT341" s="9">
        <v>0</v>
      </c>
      <c r="AU341" s="9">
        <v>0</v>
      </c>
      <c r="AV341" s="9">
        <v>0</v>
      </c>
      <c r="AW341" s="9">
        <v>0</v>
      </c>
      <c r="AX341" s="9">
        <v>0</v>
      </c>
      <c r="AY341" s="9">
        <v>0</v>
      </c>
      <c r="AZ341" s="9">
        <v>0</v>
      </c>
      <c r="BA341" s="9">
        <v>0</v>
      </c>
      <c r="BB341" s="9">
        <v>1</v>
      </c>
      <c r="BC341" s="9">
        <v>1</v>
      </c>
      <c r="BD341" s="9">
        <v>0</v>
      </c>
      <c r="BE341" s="9">
        <v>0</v>
      </c>
      <c r="BF341" s="9">
        <v>0</v>
      </c>
      <c r="BG341" s="9">
        <v>0</v>
      </c>
      <c r="BH341" s="9">
        <v>2</v>
      </c>
      <c r="BI341" s="9">
        <v>0</v>
      </c>
      <c r="BJ341" s="9">
        <v>0</v>
      </c>
      <c r="BK341" s="9">
        <v>0</v>
      </c>
      <c r="BL341" s="9">
        <v>1</v>
      </c>
      <c r="BM341" s="9">
        <v>0</v>
      </c>
      <c r="BN341" s="9">
        <v>0</v>
      </c>
      <c r="BO341" s="9">
        <v>0</v>
      </c>
      <c r="BP341" s="9">
        <v>1</v>
      </c>
      <c r="BQ341" s="9">
        <v>1</v>
      </c>
      <c r="BR341" s="9">
        <v>2</v>
      </c>
      <c r="BS341" s="9">
        <v>2</v>
      </c>
      <c r="BT341" s="9">
        <v>0</v>
      </c>
      <c r="BU341" s="9">
        <v>0</v>
      </c>
      <c r="BV341" s="9">
        <v>0</v>
      </c>
      <c r="BW341" s="9">
        <v>0</v>
      </c>
      <c r="BX341" s="9">
        <v>0</v>
      </c>
      <c r="BY341" s="9">
        <v>0</v>
      </c>
      <c r="BZ341" s="9">
        <v>1</v>
      </c>
      <c r="CA341" s="9">
        <v>1</v>
      </c>
      <c r="CB341" s="9">
        <v>0</v>
      </c>
      <c r="CC341" s="9">
        <v>0</v>
      </c>
      <c r="CD341" s="9">
        <v>1</v>
      </c>
      <c r="CE341" s="9">
        <v>1</v>
      </c>
      <c r="CF341" s="9">
        <v>0</v>
      </c>
      <c r="CG341" s="9">
        <v>0</v>
      </c>
      <c r="CH341" s="9">
        <v>1</v>
      </c>
      <c r="CI341" s="9">
        <v>0</v>
      </c>
      <c r="CJ341" s="9">
        <v>0</v>
      </c>
      <c r="CK341" s="9">
        <v>0</v>
      </c>
      <c r="CL341" s="9">
        <v>0</v>
      </c>
      <c r="CM341" s="9">
        <v>0</v>
      </c>
      <c r="CN341" s="9">
        <v>1</v>
      </c>
      <c r="CO341" s="9">
        <v>0</v>
      </c>
      <c r="CP341" s="9">
        <v>1</v>
      </c>
      <c r="CQ341" s="9">
        <v>1</v>
      </c>
      <c r="CR341" s="9">
        <v>0</v>
      </c>
      <c r="CS341" s="10">
        <v>0</v>
      </c>
    </row>
    <row r="342" spans="1:97" x14ac:dyDescent="0.35">
      <c r="A342" s="8" t="s">
        <v>342</v>
      </c>
      <c r="B342" s="9" t="s">
        <v>367</v>
      </c>
      <c r="C342" s="9" t="s">
        <v>1077</v>
      </c>
      <c r="D342" s="9">
        <f t="shared" si="5"/>
        <v>15</v>
      </c>
      <c r="E342" s="9">
        <v>0</v>
      </c>
      <c r="F342" s="9">
        <v>0</v>
      </c>
      <c r="G342" s="9">
        <v>0</v>
      </c>
      <c r="H342" s="9">
        <v>0</v>
      </c>
      <c r="I342" s="9">
        <v>0</v>
      </c>
      <c r="J342" s="9">
        <v>0</v>
      </c>
      <c r="K342" s="9">
        <v>0</v>
      </c>
      <c r="L342" s="9">
        <v>0</v>
      </c>
      <c r="M342" s="9">
        <v>0</v>
      </c>
      <c r="N342" s="9">
        <v>0</v>
      </c>
      <c r="O342" s="9">
        <v>0</v>
      </c>
      <c r="P342" s="9">
        <v>0</v>
      </c>
      <c r="Q342" s="9">
        <v>0</v>
      </c>
      <c r="R342" s="9">
        <v>0</v>
      </c>
      <c r="S342" s="9">
        <v>0</v>
      </c>
      <c r="T342" s="9">
        <v>0</v>
      </c>
      <c r="U342" s="9">
        <v>0</v>
      </c>
      <c r="V342" s="9">
        <v>0</v>
      </c>
      <c r="W342" s="9">
        <v>1</v>
      </c>
      <c r="X342" s="9">
        <v>0</v>
      </c>
      <c r="Y342" s="9">
        <v>0</v>
      </c>
      <c r="Z342" s="9">
        <v>0</v>
      </c>
      <c r="AA342" s="9">
        <v>0</v>
      </c>
      <c r="AB342" s="9">
        <v>0</v>
      </c>
      <c r="AC342" s="9">
        <v>0</v>
      </c>
      <c r="AD342" s="9">
        <v>0</v>
      </c>
      <c r="AE342" s="9">
        <v>0</v>
      </c>
      <c r="AF342" s="9">
        <v>0</v>
      </c>
      <c r="AG342" s="9">
        <v>0</v>
      </c>
      <c r="AH342" s="9">
        <v>0</v>
      </c>
      <c r="AI342" s="9">
        <v>0</v>
      </c>
      <c r="AJ342" s="9">
        <v>0</v>
      </c>
      <c r="AK342" s="9">
        <v>0</v>
      </c>
      <c r="AL342" s="9">
        <v>0</v>
      </c>
      <c r="AM342" s="9">
        <v>0</v>
      </c>
      <c r="AN342" s="9">
        <v>0</v>
      </c>
      <c r="AO342" s="9">
        <v>0</v>
      </c>
      <c r="AP342" s="9">
        <v>0</v>
      </c>
      <c r="AQ342" s="9">
        <v>0</v>
      </c>
      <c r="AR342" s="9">
        <v>0</v>
      </c>
      <c r="AS342" s="9">
        <v>0</v>
      </c>
      <c r="AT342" s="9">
        <v>0</v>
      </c>
      <c r="AU342" s="9">
        <v>0</v>
      </c>
      <c r="AV342" s="9">
        <v>0</v>
      </c>
      <c r="AW342" s="9">
        <v>0</v>
      </c>
      <c r="AX342" s="9">
        <v>0</v>
      </c>
      <c r="AY342" s="9">
        <v>0</v>
      </c>
      <c r="AZ342" s="9">
        <v>0</v>
      </c>
      <c r="BA342" s="9">
        <v>0</v>
      </c>
      <c r="BB342" s="9">
        <v>0</v>
      </c>
      <c r="BC342" s="9">
        <v>0</v>
      </c>
      <c r="BD342" s="9">
        <v>0</v>
      </c>
      <c r="BE342" s="9">
        <v>0</v>
      </c>
      <c r="BF342" s="9">
        <v>0</v>
      </c>
      <c r="BG342" s="9">
        <v>0</v>
      </c>
      <c r="BH342" s="9">
        <v>0</v>
      </c>
      <c r="BI342" s="9">
        <v>0</v>
      </c>
      <c r="BJ342" s="9">
        <v>0</v>
      </c>
      <c r="BK342" s="9">
        <v>0</v>
      </c>
      <c r="BL342" s="9">
        <v>0</v>
      </c>
      <c r="BM342" s="9">
        <v>0</v>
      </c>
      <c r="BN342" s="9">
        <v>0</v>
      </c>
      <c r="BO342" s="9">
        <v>0</v>
      </c>
      <c r="BP342" s="9">
        <v>0</v>
      </c>
      <c r="BQ342" s="9">
        <v>1</v>
      </c>
      <c r="BR342" s="9">
        <v>0</v>
      </c>
      <c r="BS342" s="9">
        <v>0</v>
      </c>
      <c r="BT342" s="9">
        <v>0</v>
      </c>
      <c r="BU342" s="9">
        <v>0</v>
      </c>
      <c r="BV342" s="9">
        <v>0</v>
      </c>
      <c r="BW342" s="9">
        <v>0</v>
      </c>
      <c r="BX342" s="9">
        <v>0</v>
      </c>
      <c r="BY342" s="9">
        <v>0</v>
      </c>
      <c r="BZ342" s="9">
        <v>0</v>
      </c>
      <c r="CA342" s="9">
        <v>0</v>
      </c>
      <c r="CB342" s="9">
        <v>0</v>
      </c>
      <c r="CC342" s="9">
        <v>0</v>
      </c>
      <c r="CD342" s="9">
        <v>0</v>
      </c>
      <c r="CE342" s="9">
        <v>1</v>
      </c>
      <c r="CF342" s="9">
        <v>3</v>
      </c>
      <c r="CG342" s="9">
        <v>3</v>
      </c>
      <c r="CH342" s="9">
        <v>1</v>
      </c>
      <c r="CI342" s="9">
        <v>0</v>
      </c>
      <c r="CJ342" s="9">
        <v>0</v>
      </c>
      <c r="CK342" s="9">
        <v>3</v>
      </c>
      <c r="CL342" s="9">
        <v>0</v>
      </c>
      <c r="CM342" s="9">
        <v>0</v>
      </c>
      <c r="CN342" s="9">
        <v>1</v>
      </c>
      <c r="CO342" s="9">
        <v>0</v>
      </c>
      <c r="CP342" s="9">
        <v>0</v>
      </c>
      <c r="CQ342" s="9">
        <v>1</v>
      </c>
      <c r="CR342" s="9">
        <v>0</v>
      </c>
      <c r="CS342" s="10">
        <v>0</v>
      </c>
    </row>
    <row r="343" spans="1:97" x14ac:dyDescent="0.35">
      <c r="A343" s="8" t="s">
        <v>342</v>
      </c>
      <c r="B343" s="9" t="s">
        <v>369</v>
      </c>
      <c r="C343" s="9" t="s">
        <v>1078</v>
      </c>
      <c r="D343" s="9">
        <f t="shared" si="5"/>
        <v>87</v>
      </c>
      <c r="E343" s="9">
        <v>0</v>
      </c>
      <c r="F343" s="9">
        <v>0</v>
      </c>
      <c r="G343" s="9">
        <v>0</v>
      </c>
      <c r="H343" s="9">
        <v>0</v>
      </c>
      <c r="I343" s="9">
        <v>0</v>
      </c>
      <c r="J343" s="9">
        <v>0</v>
      </c>
      <c r="K343" s="9">
        <v>0</v>
      </c>
      <c r="L343" s="9">
        <v>0</v>
      </c>
      <c r="M343" s="9">
        <v>0</v>
      </c>
      <c r="N343" s="9">
        <v>1</v>
      </c>
      <c r="O343" s="9">
        <v>0</v>
      </c>
      <c r="P343" s="9">
        <v>0</v>
      </c>
      <c r="Q343" s="9">
        <v>0</v>
      </c>
      <c r="R343" s="9">
        <v>0</v>
      </c>
      <c r="S343" s="9">
        <v>0</v>
      </c>
      <c r="T343" s="9">
        <v>0</v>
      </c>
      <c r="U343" s="9">
        <v>0</v>
      </c>
      <c r="V343" s="9">
        <v>0</v>
      </c>
      <c r="W343" s="9">
        <v>0</v>
      </c>
      <c r="X343" s="9">
        <v>0</v>
      </c>
      <c r="Y343" s="9">
        <v>0</v>
      </c>
      <c r="Z343" s="9">
        <v>0</v>
      </c>
      <c r="AA343" s="9">
        <v>0</v>
      </c>
      <c r="AB343" s="9">
        <v>0</v>
      </c>
      <c r="AC343" s="9">
        <v>0</v>
      </c>
      <c r="AD343" s="9">
        <v>0</v>
      </c>
      <c r="AE343" s="9">
        <v>0</v>
      </c>
      <c r="AF343" s="9">
        <v>0</v>
      </c>
      <c r="AG343" s="9">
        <v>0</v>
      </c>
      <c r="AH343" s="9">
        <v>1</v>
      </c>
      <c r="AI343" s="9">
        <v>0</v>
      </c>
      <c r="AJ343" s="9">
        <v>0</v>
      </c>
      <c r="AK343" s="9">
        <v>0</v>
      </c>
      <c r="AL343" s="9">
        <v>0</v>
      </c>
      <c r="AM343" s="9">
        <v>0</v>
      </c>
      <c r="AN343" s="9">
        <v>0</v>
      </c>
      <c r="AO343" s="9">
        <v>0</v>
      </c>
      <c r="AP343" s="9">
        <v>0</v>
      </c>
      <c r="AQ343" s="9">
        <v>0</v>
      </c>
      <c r="AR343" s="9">
        <v>0</v>
      </c>
      <c r="AS343" s="9">
        <v>0</v>
      </c>
      <c r="AT343" s="9">
        <v>0</v>
      </c>
      <c r="AU343" s="9">
        <v>0</v>
      </c>
      <c r="AV343" s="9">
        <v>0</v>
      </c>
      <c r="AW343" s="9">
        <v>0</v>
      </c>
      <c r="AX343" s="9">
        <v>0</v>
      </c>
      <c r="AY343" s="9">
        <v>0</v>
      </c>
      <c r="AZ343" s="9">
        <v>1</v>
      </c>
      <c r="BA343" s="9">
        <v>0</v>
      </c>
      <c r="BB343" s="9">
        <v>0</v>
      </c>
      <c r="BC343" s="9">
        <v>0</v>
      </c>
      <c r="BD343" s="9">
        <v>1</v>
      </c>
      <c r="BE343" s="9">
        <v>0</v>
      </c>
      <c r="BF343" s="9">
        <v>0</v>
      </c>
      <c r="BG343" s="9">
        <v>0</v>
      </c>
      <c r="BH343" s="9">
        <v>0</v>
      </c>
      <c r="BI343" s="9">
        <v>1</v>
      </c>
      <c r="BJ343" s="9">
        <v>2</v>
      </c>
      <c r="BK343" s="9">
        <v>1</v>
      </c>
      <c r="BL343" s="9">
        <v>3</v>
      </c>
      <c r="BM343" s="9">
        <v>0</v>
      </c>
      <c r="BN343" s="9">
        <v>1</v>
      </c>
      <c r="BO343" s="9">
        <v>0</v>
      </c>
      <c r="BP343" s="9">
        <v>0</v>
      </c>
      <c r="BQ343" s="9">
        <v>0</v>
      </c>
      <c r="BR343" s="9">
        <v>2</v>
      </c>
      <c r="BS343" s="9">
        <v>2</v>
      </c>
      <c r="BT343" s="9">
        <v>0</v>
      </c>
      <c r="BU343" s="9">
        <v>0</v>
      </c>
      <c r="BV343" s="9">
        <v>0</v>
      </c>
      <c r="BW343" s="9">
        <v>0</v>
      </c>
      <c r="BX343" s="9">
        <v>0</v>
      </c>
      <c r="BY343" s="9">
        <v>0</v>
      </c>
      <c r="BZ343" s="9">
        <v>0</v>
      </c>
      <c r="CA343" s="9">
        <v>1</v>
      </c>
      <c r="CB343" s="9">
        <v>2</v>
      </c>
      <c r="CC343" s="9">
        <v>1</v>
      </c>
      <c r="CD343" s="9">
        <v>22</v>
      </c>
      <c r="CE343" s="9">
        <v>1</v>
      </c>
      <c r="CF343" s="9">
        <v>3</v>
      </c>
      <c r="CG343" s="9">
        <v>1</v>
      </c>
      <c r="CH343" s="9">
        <v>1</v>
      </c>
      <c r="CI343" s="9">
        <v>1</v>
      </c>
      <c r="CJ343" s="9">
        <v>2</v>
      </c>
      <c r="CK343" s="9">
        <v>1</v>
      </c>
      <c r="CL343" s="9">
        <v>4</v>
      </c>
      <c r="CM343" s="9">
        <v>7</v>
      </c>
      <c r="CN343" s="9">
        <v>5</v>
      </c>
      <c r="CO343" s="9">
        <v>3</v>
      </c>
      <c r="CP343" s="9">
        <v>7</v>
      </c>
      <c r="CQ343" s="9">
        <v>3</v>
      </c>
      <c r="CR343" s="9">
        <v>4</v>
      </c>
      <c r="CS343" s="10">
        <v>2</v>
      </c>
    </row>
    <row r="344" spans="1:97" x14ac:dyDescent="0.35">
      <c r="A344" s="8" t="s">
        <v>342</v>
      </c>
      <c r="B344" s="9" t="s">
        <v>371</v>
      </c>
      <c r="C344" s="9" t="s">
        <v>1079</v>
      </c>
      <c r="D344" s="9">
        <f t="shared" si="5"/>
        <v>156</v>
      </c>
      <c r="E344" s="9">
        <v>0</v>
      </c>
      <c r="F344" s="9">
        <v>0</v>
      </c>
      <c r="G344" s="9">
        <v>0</v>
      </c>
      <c r="H344" s="9">
        <v>1</v>
      </c>
      <c r="I344" s="9">
        <v>0</v>
      </c>
      <c r="J344" s="9">
        <v>0</v>
      </c>
      <c r="K344" s="9">
        <v>0</v>
      </c>
      <c r="L344" s="9">
        <v>0</v>
      </c>
      <c r="M344" s="9">
        <v>0</v>
      </c>
      <c r="N344" s="9">
        <v>0</v>
      </c>
      <c r="O344" s="9">
        <v>0</v>
      </c>
      <c r="P344" s="9">
        <v>0</v>
      </c>
      <c r="Q344" s="9">
        <v>0</v>
      </c>
      <c r="R344" s="9">
        <v>0</v>
      </c>
      <c r="S344" s="9">
        <v>0</v>
      </c>
      <c r="T344" s="9">
        <v>0</v>
      </c>
      <c r="U344" s="9">
        <v>0</v>
      </c>
      <c r="V344" s="9">
        <v>0</v>
      </c>
      <c r="W344" s="9">
        <v>0</v>
      </c>
      <c r="X344" s="9">
        <v>0</v>
      </c>
      <c r="Y344" s="9">
        <v>0</v>
      </c>
      <c r="Z344" s="9">
        <v>0</v>
      </c>
      <c r="AA344" s="9">
        <v>0</v>
      </c>
      <c r="AB344" s="9">
        <v>0</v>
      </c>
      <c r="AC344" s="9">
        <v>1</v>
      </c>
      <c r="AD344" s="9">
        <v>0</v>
      </c>
      <c r="AE344" s="9">
        <v>0</v>
      </c>
      <c r="AF344" s="9">
        <v>0</v>
      </c>
      <c r="AG344" s="9">
        <v>0</v>
      </c>
      <c r="AH344" s="9">
        <v>0</v>
      </c>
      <c r="AI344" s="9">
        <v>0</v>
      </c>
      <c r="AJ344" s="9">
        <v>0</v>
      </c>
      <c r="AK344" s="9">
        <v>0</v>
      </c>
      <c r="AL344" s="9">
        <v>0</v>
      </c>
      <c r="AM344" s="9">
        <v>0</v>
      </c>
      <c r="AN344" s="9">
        <v>0</v>
      </c>
      <c r="AO344" s="9">
        <v>1</v>
      </c>
      <c r="AP344" s="9">
        <v>0</v>
      </c>
      <c r="AQ344" s="9">
        <v>0</v>
      </c>
      <c r="AR344" s="9">
        <v>0</v>
      </c>
      <c r="AS344" s="9">
        <v>0</v>
      </c>
      <c r="AT344" s="9">
        <v>0</v>
      </c>
      <c r="AU344" s="9">
        <v>0</v>
      </c>
      <c r="AV344" s="9">
        <v>1</v>
      </c>
      <c r="AW344" s="9">
        <v>0</v>
      </c>
      <c r="AX344" s="9">
        <v>1</v>
      </c>
      <c r="AY344" s="9">
        <v>1</v>
      </c>
      <c r="AZ344" s="9">
        <v>0</v>
      </c>
      <c r="BA344" s="9">
        <v>1</v>
      </c>
      <c r="BB344" s="9">
        <v>0</v>
      </c>
      <c r="BC344" s="9">
        <v>1</v>
      </c>
      <c r="BD344" s="9">
        <v>2</v>
      </c>
      <c r="BE344" s="9">
        <v>0</v>
      </c>
      <c r="BF344" s="9">
        <v>4</v>
      </c>
      <c r="BG344" s="9">
        <v>0</v>
      </c>
      <c r="BH344" s="9">
        <v>0</v>
      </c>
      <c r="BI344" s="9">
        <v>1</v>
      </c>
      <c r="BJ344" s="9">
        <v>0</v>
      </c>
      <c r="BK344" s="9">
        <v>0</v>
      </c>
      <c r="BL344" s="9">
        <v>2</v>
      </c>
      <c r="BM344" s="9">
        <v>1</v>
      </c>
      <c r="BN344" s="9">
        <v>0</v>
      </c>
      <c r="BO344" s="9">
        <v>1</v>
      </c>
      <c r="BP344" s="9">
        <v>1</v>
      </c>
      <c r="BQ344" s="9">
        <v>4</v>
      </c>
      <c r="BR344" s="9">
        <v>0</v>
      </c>
      <c r="BS344" s="9">
        <v>1</v>
      </c>
      <c r="BT344" s="9">
        <v>3</v>
      </c>
      <c r="BU344" s="9">
        <v>1</v>
      </c>
      <c r="BV344" s="9">
        <v>0</v>
      </c>
      <c r="BW344" s="9">
        <v>6</v>
      </c>
      <c r="BX344" s="9">
        <v>1</v>
      </c>
      <c r="BY344" s="9">
        <v>3</v>
      </c>
      <c r="BZ344" s="9">
        <v>4</v>
      </c>
      <c r="CA344" s="9">
        <v>3</v>
      </c>
      <c r="CB344" s="9">
        <v>5</v>
      </c>
      <c r="CC344" s="9">
        <v>1</v>
      </c>
      <c r="CD344" s="9">
        <v>3</v>
      </c>
      <c r="CE344" s="9">
        <v>3</v>
      </c>
      <c r="CF344" s="9">
        <v>9</v>
      </c>
      <c r="CG344" s="9">
        <v>4</v>
      </c>
      <c r="CH344" s="9">
        <v>7</v>
      </c>
      <c r="CI344" s="9">
        <v>12</v>
      </c>
      <c r="CJ344" s="9">
        <v>7</v>
      </c>
      <c r="CK344" s="9">
        <v>6</v>
      </c>
      <c r="CL344" s="9">
        <v>10</v>
      </c>
      <c r="CM344" s="9">
        <v>5</v>
      </c>
      <c r="CN344" s="9">
        <v>5</v>
      </c>
      <c r="CO344" s="9">
        <v>11</v>
      </c>
      <c r="CP344" s="9">
        <v>10</v>
      </c>
      <c r="CQ344" s="9">
        <v>2</v>
      </c>
      <c r="CR344" s="9">
        <v>5</v>
      </c>
      <c r="CS344" s="10">
        <v>5</v>
      </c>
    </row>
    <row r="345" spans="1:97" x14ac:dyDescent="0.35">
      <c r="A345" s="8" t="s">
        <v>342</v>
      </c>
      <c r="B345" s="9" t="s">
        <v>373</v>
      </c>
      <c r="C345" s="9" t="s">
        <v>1080</v>
      </c>
      <c r="D345" s="9">
        <f t="shared" si="5"/>
        <v>343</v>
      </c>
      <c r="E345" s="9">
        <v>0</v>
      </c>
      <c r="F345" s="9">
        <v>0</v>
      </c>
      <c r="G345" s="9">
        <v>1</v>
      </c>
      <c r="H345" s="9">
        <v>0</v>
      </c>
      <c r="I345" s="9">
        <v>0</v>
      </c>
      <c r="J345" s="9">
        <v>1</v>
      </c>
      <c r="K345" s="9">
        <v>0</v>
      </c>
      <c r="L345" s="9">
        <v>0</v>
      </c>
      <c r="M345" s="9">
        <v>0</v>
      </c>
      <c r="N345" s="9">
        <v>0</v>
      </c>
      <c r="O345" s="9">
        <v>0</v>
      </c>
      <c r="P345" s="9">
        <v>0</v>
      </c>
      <c r="Q345" s="9">
        <v>1</v>
      </c>
      <c r="R345" s="9">
        <v>0</v>
      </c>
      <c r="S345" s="9">
        <v>0</v>
      </c>
      <c r="T345" s="9">
        <v>0</v>
      </c>
      <c r="U345" s="9">
        <v>0</v>
      </c>
      <c r="V345" s="9">
        <v>0</v>
      </c>
      <c r="W345" s="9">
        <v>3</v>
      </c>
      <c r="X345" s="9">
        <v>0</v>
      </c>
      <c r="Y345" s="9">
        <v>0</v>
      </c>
      <c r="Z345" s="9">
        <v>0</v>
      </c>
      <c r="AA345" s="9">
        <v>1</v>
      </c>
      <c r="AB345" s="9">
        <v>0</v>
      </c>
      <c r="AC345" s="9">
        <v>0</v>
      </c>
      <c r="AD345" s="9">
        <v>0</v>
      </c>
      <c r="AE345" s="9">
        <v>0</v>
      </c>
      <c r="AF345" s="9">
        <v>0</v>
      </c>
      <c r="AG345" s="9">
        <v>0</v>
      </c>
      <c r="AH345" s="9">
        <v>0</v>
      </c>
      <c r="AI345" s="9">
        <v>1</v>
      </c>
      <c r="AJ345" s="9">
        <v>0</v>
      </c>
      <c r="AK345" s="9">
        <v>1</v>
      </c>
      <c r="AL345" s="9">
        <v>2</v>
      </c>
      <c r="AM345" s="9">
        <v>0</v>
      </c>
      <c r="AN345" s="9">
        <v>2</v>
      </c>
      <c r="AO345" s="9">
        <v>1</v>
      </c>
      <c r="AP345" s="9">
        <v>0</v>
      </c>
      <c r="AQ345" s="9">
        <v>0</v>
      </c>
      <c r="AR345" s="9">
        <v>0</v>
      </c>
      <c r="AS345" s="9">
        <v>2</v>
      </c>
      <c r="AT345" s="9">
        <v>0</v>
      </c>
      <c r="AU345" s="9">
        <v>4</v>
      </c>
      <c r="AV345" s="9">
        <v>2</v>
      </c>
      <c r="AW345" s="9">
        <v>3</v>
      </c>
      <c r="AX345" s="9">
        <v>0</v>
      </c>
      <c r="AY345" s="9">
        <v>3</v>
      </c>
      <c r="AZ345" s="9">
        <v>3</v>
      </c>
      <c r="BA345" s="9">
        <v>4</v>
      </c>
      <c r="BB345" s="9">
        <v>1</v>
      </c>
      <c r="BC345" s="9">
        <v>2</v>
      </c>
      <c r="BD345" s="9">
        <v>4</v>
      </c>
      <c r="BE345" s="9">
        <v>4</v>
      </c>
      <c r="BF345" s="9">
        <v>0</v>
      </c>
      <c r="BG345" s="9">
        <v>2</v>
      </c>
      <c r="BH345" s="9">
        <v>3</v>
      </c>
      <c r="BI345" s="9">
        <v>1</v>
      </c>
      <c r="BJ345" s="9">
        <v>4</v>
      </c>
      <c r="BK345" s="9">
        <v>3</v>
      </c>
      <c r="BL345" s="9">
        <v>0</v>
      </c>
      <c r="BM345" s="9">
        <v>1</v>
      </c>
      <c r="BN345" s="9">
        <v>1</v>
      </c>
      <c r="BO345" s="9">
        <v>1</v>
      </c>
      <c r="BP345" s="9">
        <v>4</v>
      </c>
      <c r="BQ345" s="9">
        <v>3</v>
      </c>
      <c r="BR345" s="9">
        <v>2</v>
      </c>
      <c r="BS345" s="9">
        <v>2</v>
      </c>
      <c r="BT345" s="9">
        <v>2</v>
      </c>
      <c r="BU345" s="9">
        <v>1</v>
      </c>
      <c r="BV345" s="9">
        <v>8</v>
      </c>
      <c r="BW345" s="9">
        <v>8</v>
      </c>
      <c r="BX345" s="9">
        <v>6</v>
      </c>
      <c r="BY345" s="9">
        <v>4</v>
      </c>
      <c r="BZ345" s="9">
        <v>10</v>
      </c>
      <c r="CA345" s="9">
        <v>7</v>
      </c>
      <c r="CB345" s="9">
        <v>11</v>
      </c>
      <c r="CC345" s="9">
        <v>5</v>
      </c>
      <c r="CD345" s="9">
        <v>9</v>
      </c>
      <c r="CE345" s="9">
        <v>10</v>
      </c>
      <c r="CF345" s="9">
        <v>10</v>
      </c>
      <c r="CG345" s="9">
        <v>4</v>
      </c>
      <c r="CH345" s="9">
        <v>2</v>
      </c>
      <c r="CI345" s="9">
        <v>10</v>
      </c>
      <c r="CJ345" s="9">
        <v>6</v>
      </c>
      <c r="CK345" s="9">
        <v>13</v>
      </c>
      <c r="CL345" s="9">
        <v>13</v>
      </c>
      <c r="CM345" s="9">
        <v>8</v>
      </c>
      <c r="CN345" s="9">
        <v>29</v>
      </c>
      <c r="CO345" s="9">
        <v>16</v>
      </c>
      <c r="CP345" s="9">
        <v>22</v>
      </c>
      <c r="CQ345" s="9">
        <v>18</v>
      </c>
      <c r="CR345" s="9">
        <v>6</v>
      </c>
      <c r="CS345" s="10">
        <v>32</v>
      </c>
    </row>
    <row r="346" spans="1:97" x14ac:dyDescent="0.35">
      <c r="A346" s="8" t="s">
        <v>342</v>
      </c>
      <c r="B346" s="9" t="s">
        <v>375</v>
      </c>
      <c r="C346" s="9" t="s">
        <v>1081</v>
      </c>
      <c r="D346" s="9">
        <f t="shared" si="5"/>
        <v>381</v>
      </c>
      <c r="E346" s="9">
        <v>0</v>
      </c>
      <c r="F346" s="9">
        <v>0</v>
      </c>
      <c r="G346" s="9">
        <v>0</v>
      </c>
      <c r="H346" s="9">
        <v>0</v>
      </c>
      <c r="I346" s="9">
        <v>2</v>
      </c>
      <c r="J346" s="9">
        <v>1</v>
      </c>
      <c r="K346" s="9">
        <v>0</v>
      </c>
      <c r="L346" s="9">
        <v>0</v>
      </c>
      <c r="M346" s="9">
        <v>0</v>
      </c>
      <c r="N346" s="9">
        <v>0</v>
      </c>
      <c r="O346" s="9">
        <v>0</v>
      </c>
      <c r="P346" s="9">
        <v>0</v>
      </c>
      <c r="Q346" s="9">
        <v>0</v>
      </c>
      <c r="R346" s="9">
        <v>1</v>
      </c>
      <c r="S346" s="9">
        <v>0</v>
      </c>
      <c r="T346" s="9">
        <v>0</v>
      </c>
      <c r="U346" s="9">
        <v>1</v>
      </c>
      <c r="V346" s="9">
        <v>0</v>
      </c>
      <c r="W346" s="9">
        <v>0</v>
      </c>
      <c r="X346" s="9">
        <v>0</v>
      </c>
      <c r="Y346" s="9">
        <v>0</v>
      </c>
      <c r="Z346" s="9">
        <v>0</v>
      </c>
      <c r="AA346" s="9">
        <v>0</v>
      </c>
      <c r="AB346" s="9">
        <v>0</v>
      </c>
      <c r="AC346" s="9">
        <v>1</v>
      </c>
      <c r="AD346" s="9">
        <v>0</v>
      </c>
      <c r="AE346" s="9">
        <v>2</v>
      </c>
      <c r="AF346" s="9">
        <v>1</v>
      </c>
      <c r="AG346" s="9">
        <v>0</v>
      </c>
      <c r="AH346" s="9">
        <v>0</v>
      </c>
      <c r="AI346" s="9">
        <v>0</v>
      </c>
      <c r="AJ346" s="9">
        <v>1</v>
      </c>
      <c r="AK346" s="9">
        <v>1</v>
      </c>
      <c r="AL346" s="9">
        <v>4</v>
      </c>
      <c r="AM346" s="9">
        <v>1</v>
      </c>
      <c r="AN346" s="9">
        <v>1</v>
      </c>
      <c r="AO346" s="9">
        <v>2</v>
      </c>
      <c r="AP346" s="9">
        <v>1</v>
      </c>
      <c r="AQ346" s="9">
        <v>0</v>
      </c>
      <c r="AR346" s="9">
        <v>8</v>
      </c>
      <c r="AS346" s="9">
        <v>4</v>
      </c>
      <c r="AT346" s="9">
        <v>1</v>
      </c>
      <c r="AU346" s="9">
        <v>5</v>
      </c>
      <c r="AV346" s="9">
        <v>2</v>
      </c>
      <c r="AW346" s="9">
        <v>11</v>
      </c>
      <c r="AX346" s="9">
        <v>3</v>
      </c>
      <c r="AY346" s="9">
        <v>5</v>
      </c>
      <c r="AZ346" s="9">
        <v>5</v>
      </c>
      <c r="BA346" s="9">
        <v>1</v>
      </c>
      <c r="BB346" s="9">
        <v>5</v>
      </c>
      <c r="BC346" s="9">
        <v>4</v>
      </c>
      <c r="BD346" s="9">
        <v>4</v>
      </c>
      <c r="BE346" s="9">
        <v>7</v>
      </c>
      <c r="BF346" s="9">
        <v>5</v>
      </c>
      <c r="BG346" s="9">
        <v>5</v>
      </c>
      <c r="BH346" s="9">
        <v>10</v>
      </c>
      <c r="BI346" s="9">
        <v>2</v>
      </c>
      <c r="BJ346" s="9">
        <v>9</v>
      </c>
      <c r="BK346" s="9">
        <v>6</v>
      </c>
      <c r="BL346" s="9">
        <v>3</v>
      </c>
      <c r="BM346" s="9">
        <v>6</v>
      </c>
      <c r="BN346" s="9">
        <v>6</v>
      </c>
      <c r="BO346" s="9">
        <v>9</v>
      </c>
      <c r="BP346" s="9">
        <v>1</v>
      </c>
      <c r="BQ346" s="9">
        <v>6</v>
      </c>
      <c r="BR346" s="9">
        <v>2</v>
      </c>
      <c r="BS346" s="9">
        <v>4</v>
      </c>
      <c r="BT346" s="9">
        <v>5</v>
      </c>
      <c r="BU346" s="9">
        <v>4</v>
      </c>
      <c r="BV346" s="9">
        <v>11</v>
      </c>
      <c r="BW346" s="9">
        <v>7</v>
      </c>
      <c r="BX346" s="9">
        <v>5</v>
      </c>
      <c r="BY346" s="9">
        <v>4</v>
      </c>
      <c r="BZ346" s="9">
        <v>10</v>
      </c>
      <c r="CA346" s="9">
        <v>12</v>
      </c>
      <c r="CB346" s="9">
        <v>9</v>
      </c>
      <c r="CC346" s="9">
        <v>5</v>
      </c>
      <c r="CD346" s="9">
        <v>6</v>
      </c>
      <c r="CE346" s="9">
        <v>10</v>
      </c>
      <c r="CF346" s="9">
        <v>9</v>
      </c>
      <c r="CG346" s="9">
        <v>8</v>
      </c>
      <c r="CH346" s="9">
        <v>7</v>
      </c>
      <c r="CI346" s="9">
        <v>11</v>
      </c>
      <c r="CJ346" s="9">
        <v>11</v>
      </c>
      <c r="CK346" s="9">
        <v>8</v>
      </c>
      <c r="CL346" s="9">
        <v>8</v>
      </c>
      <c r="CM346" s="9">
        <v>12</v>
      </c>
      <c r="CN346" s="9">
        <v>16</v>
      </c>
      <c r="CO346" s="9">
        <v>8</v>
      </c>
      <c r="CP346" s="9">
        <v>10</v>
      </c>
      <c r="CQ346" s="9">
        <v>9</v>
      </c>
      <c r="CR346" s="9">
        <v>12</v>
      </c>
      <c r="CS346" s="10">
        <v>5</v>
      </c>
    </row>
    <row r="347" spans="1:97" x14ac:dyDescent="0.35">
      <c r="A347" s="8" t="s">
        <v>342</v>
      </c>
      <c r="B347" s="9" t="s">
        <v>377</v>
      </c>
      <c r="C347" s="9" t="s">
        <v>1082</v>
      </c>
      <c r="D347" s="9">
        <f t="shared" si="5"/>
        <v>317</v>
      </c>
      <c r="E347" s="9">
        <v>0</v>
      </c>
      <c r="F347" s="9">
        <v>1</v>
      </c>
      <c r="G347" s="9">
        <v>0</v>
      </c>
      <c r="H347" s="9">
        <v>1</v>
      </c>
      <c r="I347" s="9">
        <v>0</v>
      </c>
      <c r="J347" s="9">
        <v>1</v>
      </c>
      <c r="K347" s="9">
        <v>2</v>
      </c>
      <c r="L347" s="9">
        <v>1</v>
      </c>
      <c r="M347" s="9">
        <v>2</v>
      </c>
      <c r="N347" s="9">
        <v>0</v>
      </c>
      <c r="O347" s="9">
        <v>0</v>
      </c>
      <c r="P347" s="9">
        <v>0</v>
      </c>
      <c r="Q347" s="9">
        <v>0</v>
      </c>
      <c r="R347" s="9">
        <v>1</v>
      </c>
      <c r="S347" s="9">
        <v>0</v>
      </c>
      <c r="T347" s="9">
        <v>0</v>
      </c>
      <c r="U347" s="9">
        <v>2</v>
      </c>
      <c r="V347" s="9">
        <v>2</v>
      </c>
      <c r="W347" s="9">
        <v>2</v>
      </c>
      <c r="X347" s="9">
        <v>0</v>
      </c>
      <c r="Y347" s="9">
        <v>1</v>
      </c>
      <c r="Z347" s="9">
        <v>0</v>
      </c>
      <c r="AA347" s="9">
        <v>4</v>
      </c>
      <c r="AB347" s="9">
        <v>3</v>
      </c>
      <c r="AC347" s="9">
        <v>1</v>
      </c>
      <c r="AD347" s="9">
        <v>0</v>
      </c>
      <c r="AE347" s="9">
        <v>8</v>
      </c>
      <c r="AF347" s="9">
        <v>1</v>
      </c>
      <c r="AG347" s="9">
        <v>4</v>
      </c>
      <c r="AH347" s="9">
        <v>3</v>
      </c>
      <c r="AI347" s="9">
        <v>1</v>
      </c>
      <c r="AJ347" s="9">
        <v>5</v>
      </c>
      <c r="AK347" s="9">
        <v>10</v>
      </c>
      <c r="AL347" s="9">
        <v>6</v>
      </c>
      <c r="AM347" s="9">
        <v>1</v>
      </c>
      <c r="AN347" s="9">
        <v>4</v>
      </c>
      <c r="AO347" s="9">
        <v>11</v>
      </c>
      <c r="AP347" s="9">
        <v>5</v>
      </c>
      <c r="AQ347" s="9">
        <v>4</v>
      </c>
      <c r="AR347" s="9">
        <v>5</v>
      </c>
      <c r="AS347" s="9">
        <v>4</v>
      </c>
      <c r="AT347" s="9">
        <v>3</v>
      </c>
      <c r="AU347" s="9">
        <v>7</v>
      </c>
      <c r="AV347" s="9">
        <v>4</v>
      </c>
      <c r="AW347" s="9">
        <v>2</v>
      </c>
      <c r="AX347" s="9">
        <v>0</v>
      </c>
      <c r="AY347" s="9">
        <v>3</v>
      </c>
      <c r="AZ347" s="9">
        <v>3</v>
      </c>
      <c r="BA347" s="9">
        <v>4</v>
      </c>
      <c r="BB347" s="9">
        <v>2</v>
      </c>
      <c r="BC347" s="9">
        <v>4</v>
      </c>
      <c r="BD347" s="9">
        <v>6</v>
      </c>
      <c r="BE347" s="9">
        <v>0</v>
      </c>
      <c r="BF347" s="9">
        <v>9</v>
      </c>
      <c r="BG347" s="9">
        <v>3</v>
      </c>
      <c r="BH347" s="9">
        <v>1</v>
      </c>
      <c r="BI347" s="9">
        <v>2</v>
      </c>
      <c r="BJ347" s="9">
        <v>5</v>
      </c>
      <c r="BK347" s="9">
        <v>3</v>
      </c>
      <c r="BL347" s="9">
        <v>0</v>
      </c>
      <c r="BM347" s="9">
        <v>4</v>
      </c>
      <c r="BN347" s="9">
        <v>6</v>
      </c>
      <c r="BO347" s="9">
        <v>3</v>
      </c>
      <c r="BP347" s="9">
        <v>0</v>
      </c>
      <c r="BQ347" s="9">
        <v>1</v>
      </c>
      <c r="BR347" s="9">
        <v>1</v>
      </c>
      <c r="BS347" s="9">
        <v>8</v>
      </c>
      <c r="BT347" s="9">
        <v>4</v>
      </c>
      <c r="BU347" s="9">
        <v>2</v>
      </c>
      <c r="BV347" s="9">
        <v>4</v>
      </c>
      <c r="BW347" s="9">
        <v>3</v>
      </c>
      <c r="BX347" s="9">
        <v>6</v>
      </c>
      <c r="BY347" s="9">
        <v>3</v>
      </c>
      <c r="BZ347" s="9">
        <v>0</v>
      </c>
      <c r="CA347" s="9">
        <v>1</v>
      </c>
      <c r="CB347" s="9">
        <v>7</v>
      </c>
      <c r="CC347" s="9">
        <v>4</v>
      </c>
      <c r="CD347" s="9">
        <v>4</v>
      </c>
      <c r="CE347" s="9">
        <v>6</v>
      </c>
      <c r="CF347" s="9">
        <v>3</v>
      </c>
      <c r="CG347" s="9">
        <v>2</v>
      </c>
      <c r="CH347" s="9">
        <v>7</v>
      </c>
      <c r="CI347" s="9">
        <v>7</v>
      </c>
      <c r="CJ347" s="9">
        <v>5</v>
      </c>
      <c r="CK347" s="9">
        <v>11</v>
      </c>
      <c r="CL347" s="9">
        <v>15</v>
      </c>
      <c r="CM347" s="9">
        <v>9</v>
      </c>
      <c r="CN347" s="9">
        <v>2</v>
      </c>
      <c r="CO347" s="9">
        <v>3</v>
      </c>
      <c r="CP347" s="9">
        <v>6</v>
      </c>
      <c r="CQ347" s="9">
        <v>12</v>
      </c>
      <c r="CR347" s="9">
        <v>6</v>
      </c>
      <c r="CS347" s="10">
        <v>5</v>
      </c>
    </row>
    <row r="348" spans="1:97" x14ac:dyDescent="0.35">
      <c r="A348" s="8" t="s">
        <v>342</v>
      </c>
      <c r="B348" s="9" t="s">
        <v>379</v>
      </c>
      <c r="C348" s="9" t="s">
        <v>1083</v>
      </c>
      <c r="D348" s="9">
        <f t="shared" si="5"/>
        <v>396</v>
      </c>
      <c r="E348" s="9">
        <v>0</v>
      </c>
      <c r="F348" s="9">
        <v>0</v>
      </c>
      <c r="G348" s="9">
        <v>0</v>
      </c>
      <c r="H348" s="9">
        <v>0</v>
      </c>
      <c r="I348" s="9">
        <v>0</v>
      </c>
      <c r="J348" s="9">
        <v>0</v>
      </c>
      <c r="K348" s="9">
        <v>0</v>
      </c>
      <c r="L348" s="9">
        <v>0</v>
      </c>
      <c r="M348" s="9">
        <v>0</v>
      </c>
      <c r="N348" s="9">
        <v>0</v>
      </c>
      <c r="O348" s="9">
        <v>0</v>
      </c>
      <c r="P348" s="9">
        <v>0</v>
      </c>
      <c r="Q348" s="9">
        <v>0</v>
      </c>
      <c r="R348" s="9">
        <v>0</v>
      </c>
      <c r="S348" s="9">
        <v>0</v>
      </c>
      <c r="T348" s="9">
        <v>0</v>
      </c>
      <c r="U348" s="9">
        <v>0</v>
      </c>
      <c r="V348" s="9">
        <v>0</v>
      </c>
      <c r="W348" s="9">
        <v>0</v>
      </c>
      <c r="X348" s="9">
        <v>0</v>
      </c>
      <c r="Y348" s="9">
        <v>1</v>
      </c>
      <c r="Z348" s="9">
        <v>0</v>
      </c>
      <c r="AA348" s="9">
        <v>0</v>
      </c>
      <c r="AB348" s="9">
        <v>0</v>
      </c>
      <c r="AC348" s="9">
        <v>0</v>
      </c>
      <c r="AD348" s="9">
        <v>0</v>
      </c>
      <c r="AE348" s="9">
        <v>0</v>
      </c>
      <c r="AF348" s="9">
        <v>0</v>
      </c>
      <c r="AG348" s="9">
        <v>0</v>
      </c>
      <c r="AH348" s="9">
        <v>0</v>
      </c>
      <c r="AI348" s="9">
        <v>0</v>
      </c>
      <c r="AJ348" s="9">
        <v>0</v>
      </c>
      <c r="AK348" s="9">
        <v>0</v>
      </c>
      <c r="AL348" s="9">
        <v>0</v>
      </c>
      <c r="AM348" s="9">
        <v>0</v>
      </c>
      <c r="AN348" s="9">
        <v>0</v>
      </c>
      <c r="AO348" s="9">
        <v>0</v>
      </c>
      <c r="AP348" s="9">
        <v>0</v>
      </c>
      <c r="AQ348" s="9">
        <v>0</v>
      </c>
      <c r="AR348" s="9">
        <v>0</v>
      </c>
      <c r="AS348" s="9">
        <v>0</v>
      </c>
      <c r="AT348" s="9">
        <v>0</v>
      </c>
      <c r="AU348" s="9">
        <v>0</v>
      </c>
      <c r="AV348" s="9">
        <v>0</v>
      </c>
      <c r="AW348" s="9">
        <v>0</v>
      </c>
      <c r="AX348" s="9">
        <v>0</v>
      </c>
      <c r="AY348" s="9">
        <v>4</v>
      </c>
      <c r="AZ348" s="9">
        <v>0</v>
      </c>
      <c r="BA348" s="9">
        <v>0</v>
      </c>
      <c r="BB348" s="9">
        <v>0</v>
      </c>
      <c r="BC348" s="9">
        <v>3</v>
      </c>
      <c r="BD348" s="9">
        <v>1</v>
      </c>
      <c r="BE348" s="9">
        <v>2</v>
      </c>
      <c r="BF348" s="9">
        <v>0</v>
      </c>
      <c r="BG348" s="9">
        <v>0</v>
      </c>
      <c r="BH348" s="9">
        <v>0</v>
      </c>
      <c r="BI348" s="9">
        <v>5</v>
      </c>
      <c r="BJ348" s="9">
        <v>0</v>
      </c>
      <c r="BK348" s="9">
        <v>0</v>
      </c>
      <c r="BL348" s="9">
        <v>1</v>
      </c>
      <c r="BM348" s="9">
        <v>0</v>
      </c>
      <c r="BN348" s="9">
        <v>2</v>
      </c>
      <c r="BO348" s="9">
        <v>0</v>
      </c>
      <c r="BP348" s="9">
        <v>5</v>
      </c>
      <c r="BQ348" s="9">
        <v>8</v>
      </c>
      <c r="BR348" s="9">
        <v>1</v>
      </c>
      <c r="BS348" s="9">
        <v>4</v>
      </c>
      <c r="BT348" s="9">
        <v>10</v>
      </c>
      <c r="BU348" s="9">
        <v>21</v>
      </c>
      <c r="BV348" s="9">
        <v>5</v>
      </c>
      <c r="BW348" s="9">
        <v>11</v>
      </c>
      <c r="BX348" s="9">
        <v>7</v>
      </c>
      <c r="BY348" s="9">
        <v>6</v>
      </c>
      <c r="BZ348" s="9">
        <v>9</v>
      </c>
      <c r="CA348" s="9">
        <v>10</v>
      </c>
      <c r="CB348" s="9">
        <v>1</v>
      </c>
      <c r="CC348" s="9">
        <v>17</v>
      </c>
      <c r="CD348" s="9">
        <v>22</v>
      </c>
      <c r="CE348" s="9">
        <v>25</v>
      </c>
      <c r="CF348" s="9">
        <v>17</v>
      </c>
      <c r="CG348" s="9">
        <v>0</v>
      </c>
      <c r="CH348" s="9">
        <v>14</v>
      </c>
      <c r="CI348" s="9">
        <v>3</v>
      </c>
      <c r="CJ348" s="9">
        <v>13</v>
      </c>
      <c r="CK348" s="9">
        <v>7</v>
      </c>
      <c r="CL348" s="9">
        <v>34</v>
      </c>
      <c r="CM348" s="9">
        <v>18</v>
      </c>
      <c r="CN348" s="9">
        <v>18</v>
      </c>
      <c r="CO348" s="9">
        <v>3</v>
      </c>
      <c r="CP348" s="9">
        <v>20</v>
      </c>
      <c r="CQ348" s="9">
        <v>26</v>
      </c>
      <c r="CR348" s="9">
        <v>16</v>
      </c>
      <c r="CS348" s="10">
        <v>26</v>
      </c>
    </row>
    <row r="349" spans="1:97" x14ac:dyDescent="0.35">
      <c r="A349" s="8" t="s">
        <v>342</v>
      </c>
      <c r="B349" s="9" t="s">
        <v>381</v>
      </c>
      <c r="C349" s="9" t="s">
        <v>1084</v>
      </c>
      <c r="D349" s="9">
        <f t="shared" si="5"/>
        <v>0</v>
      </c>
      <c r="E349" s="9">
        <v>0</v>
      </c>
      <c r="F349" s="9">
        <v>0</v>
      </c>
      <c r="G349" s="9">
        <v>0</v>
      </c>
      <c r="H349" s="9">
        <v>0</v>
      </c>
      <c r="I349" s="9">
        <v>0</v>
      </c>
      <c r="J349" s="9">
        <v>0</v>
      </c>
      <c r="K349" s="9">
        <v>0</v>
      </c>
      <c r="L349" s="9">
        <v>0</v>
      </c>
      <c r="M349" s="9">
        <v>0</v>
      </c>
      <c r="N349" s="9">
        <v>0</v>
      </c>
      <c r="O349" s="9">
        <v>0</v>
      </c>
      <c r="P349" s="9">
        <v>0</v>
      </c>
      <c r="Q349" s="9">
        <v>0</v>
      </c>
      <c r="R349" s="9">
        <v>0</v>
      </c>
      <c r="S349" s="9">
        <v>0</v>
      </c>
      <c r="T349" s="9">
        <v>0</v>
      </c>
      <c r="U349" s="9">
        <v>0</v>
      </c>
      <c r="V349" s="9">
        <v>0</v>
      </c>
      <c r="W349" s="9">
        <v>0</v>
      </c>
      <c r="X349" s="9">
        <v>0</v>
      </c>
      <c r="Y349" s="9">
        <v>0</v>
      </c>
      <c r="Z349" s="9">
        <v>0</v>
      </c>
      <c r="AA349" s="9">
        <v>0</v>
      </c>
      <c r="AB349" s="9">
        <v>0</v>
      </c>
      <c r="AC349" s="9">
        <v>0</v>
      </c>
      <c r="AD349" s="9">
        <v>0</v>
      </c>
      <c r="AE349" s="9">
        <v>0</v>
      </c>
      <c r="AF349" s="9">
        <v>0</v>
      </c>
      <c r="AG349" s="9">
        <v>0</v>
      </c>
      <c r="AH349" s="9">
        <v>0</v>
      </c>
      <c r="AI349" s="9">
        <v>0</v>
      </c>
      <c r="AJ349" s="9">
        <v>0</v>
      </c>
      <c r="AK349" s="9">
        <v>0</v>
      </c>
      <c r="AL349" s="9">
        <v>0</v>
      </c>
      <c r="AM349" s="9">
        <v>0</v>
      </c>
      <c r="AN349" s="9">
        <v>0</v>
      </c>
      <c r="AO349" s="9">
        <v>0</v>
      </c>
      <c r="AP349" s="9">
        <v>0</v>
      </c>
      <c r="AQ349" s="9">
        <v>0</v>
      </c>
      <c r="AR349" s="9">
        <v>0</v>
      </c>
      <c r="AS349" s="9">
        <v>0</v>
      </c>
      <c r="AT349" s="9">
        <v>0</v>
      </c>
      <c r="AU349" s="9">
        <v>0</v>
      </c>
      <c r="AV349" s="9">
        <v>0</v>
      </c>
      <c r="AW349" s="9">
        <v>0</v>
      </c>
      <c r="AX349" s="9">
        <v>0</v>
      </c>
      <c r="AY349" s="9">
        <v>0</v>
      </c>
      <c r="AZ349" s="9">
        <v>0</v>
      </c>
      <c r="BA349" s="9">
        <v>0</v>
      </c>
      <c r="BB349" s="9">
        <v>0</v>
      </c>
      <c r="BC349" s="9">
        <v>0</v>
      </c>
      <c r="BD349" s="9">
        <v>0</v>
      </c>
      <c r="BE349" s="9">
        <v>0</v>
      </c>
      <c r="BF349" s="9">
        <v>0</v>
      </c>
      <c r="BG349" s="9">
        <v>0</v>
      </c>
      <c r="BH349" s="9">
        <v>0</v>
      </c>
      <c r="BI349" s="9">
        <v>0</v>
      </c>
      <c r="BJ349" s="9">
        <v>0</v>
      </c>
      <c r="BK349" s="9">
        <v>0</v>
      </c>
      <c r="BL349" s="9">
        <v>0</v>
      </c>
      <c r="BM349" s="9">
        <v>0</v>
      </c>
      <c r="BN349" s="9">
        <v>0</v>
      </c>
      <c r="BO349" s="9">
        <v>0</v>
      </c>
      <c r="BP349" s="9">
        <v>0</v>
      </c>
      <c r="BQ349" s="9">
        <v>0</v>
      </c>
      <c r="BR349" s="9">
        <v>0</v>
      </c>
      <c r="BS349" s="9">
        <v>0</v>
      </c>
      <c r="BT349" s="9">
        <v>0</v>
      </c>
      <c r="BU349" s="9">
        <v>0</v>
      </c>
      <c r="BV349" s="9">
        <v>0</v>
      </c>
      <c r="BW349" s="9">
        <v>0</v>
      </c>
      <c r="BX349" s="9">
        <v>0</v>
      </c>
      <c r="BY349" s="9">
        <v>0</v>
      </c>
      <c r="BZ349" s="9">
        <v>0</v>
      </c>
      <c r="CA349" s="9">
        <v>0</v>
      </c>
      <c r="CB349" s="9">
        <v>0</v>
      </c>
      <c r="CC349" s="9">
        <v>0</v>
      </c>
      <c r="CD349" s="9">
        <v>0</v>
      </c>
      <c r="CE349" s="9">
        <v>0</v>
      </c>
      <c r="CF349" s="9">
        <v>0</v>
      </c>
      <c r="CG349" s="9">
        <v>0</v>
      </c>
      <c r="CH349" s="9">
        <v>0</v>
      </c>
      <c r="CI349" s="9">
        <v>0</v>
      </c>
      <c r="CJ349" s="9">
        <v>0</v>
      </c>
      <c r="CK349" s="9">
        <v>0</v>
      </c>
      <c r="CL349" s="9">
        <v>0</v>
      </c>
      <c r="CM349" s="9">
        <v>0</v>
      </c>
      <c r="CN349" s="9">
        <v>0</v>
      </c>
      <c r="CO349" s="9">
        <v>0</v>
      </c>
      <c r="CP349" s="9">
        <v>0</v>
      </c>
      <c r="CQ349" s="9">
        <v>0</v>
      </c>
      <c r="CR349" s="9">
        <v>0</v>
      </c>
      <c r="CS349" s="10">
        <v>0</v>
      </c>
    </row>
    <row r="350" spans="1:97" x14ac:dyDescent="0.35">
      <c r="A350" s="8" t="s">
        <v>342</v>
      </c>
      <c r="B350" s="9" t="s">
        <v>383</v>
      </c>
      <c r="C350" s="9" t="s">
        <v>1085</v>
      </c>
      <c r="D350" s="9">
        <f t="shared" si="5"/>
        <v>15</v>
      </c>
      <c r="E350" s="9">
        <v>0</v>
      </c>
      <c r="F350" s="9">
        <v>0</v>
      </c>
      <c r="G350" s="9">
        <v>0</v>
      </c>
      <c r="H350" s="9">
        <v>0</v>
      </c>
      <c r="I350" s="9">
        <v>0</v>
      </c>
      <c r="J350" s="9">
        <v>0</v>
      </c>
      <c r="K350" s="9">
        <v>0</v>
      </c>
      <c r="L350" s="9">
        <v>0</v>
      </c>
      <c r="M350" s="9">
        <v>0</v>
      </c>
      <c r="N350" s="9">
        <v>0</v>
      </c>
      <c r="O350" s="9">
        <v>0</v>
      </c>
      <c r="P350" s="9">
        <v>0</v>
      </c>
      <c r="Q350" s="9">
        <v>0</v>
      </c>
      <c r="R350" s="9">
        <v>0</v>
      </c>
      <c r="S350" s="9">
        <v>0</v>
      </c>
      <c r="T350" s="9">
        <v>0</v>
      </c>
      <c r="U350" s="9">
        <v>0</v>
      </c>
      <c r="V350" s="9">
        <v>0</v>
      </c>
      <c r="W350" s="9">
        <v>0</v>
      </c>
      <c r="X350" s="9">
        <v>0</v>
      </c>
      <c r="Y350" s="9">
        <v>0</v>
      </c>
      <c r="Z350" s="9">
        <v>0</v>
      </c>
      <c r="AA350" s="9">
        <v>0</v>
      </c>
      <c r="AB350" s="9">
        <v>0</v>
      </c>
      <c r="AC350" s="9">
        <v>0</v>
      </c>
      <c r="AD350" s="9">
        <v>0</v>
      </c>
      <c r="AE350" s="9">
        <v>0</v>
      </c>
      <c r="AF350" s="9">
        <v>0</v>
      </c>
      <c r="AG350" s="9">
        <v>0</v>
      </c>
      <c r="AH350" s="9">
        <v>0</v>
      </c>
      <c r="AI350" s="9">
        <v>0</v>
      </c>
      <c r="AJ350" s="9">
        <v>0</v>
      </c>
      <c r="AK350" s="9">
        <v>0</v>
      </c>
      <c r="AL350" s="9">
        <v>0</v>
      </c>
      <c r="AM350" s="9">
        <v>0</v>
      </c>
      <c r="AN350" s="9">
        <v>0</v>
      </c>
      <c r="AO350" s="9">
        <v>0</v>
      </c>
      <c r="AP350" s="9">
        <v>0</v>
      </c>
      <c r="AQ350" s="9">
        <v>0</v>
      </c>
      <c r="AR350" s="9">
        <v>0</v>
      </c>
      <c r="AS350" s="9">
        <v>0</v>
      </c>
      <c r="AT350" s="9">
        <v>0</v>
      </c>
      <c r="AU350" s="9">
        <v>0</v>
      </c>
      <c r="AV350" s="9">
        <v>1</v>
      </c>
      <c r="AW350" s="9">
        <v>0</v>
      </c>
      <c r="AX350" s="9">
        <v>0</v>
      </c>
      <c r="AY350" s="9">
        <v>1</v>
      </c>
      <c r="AZ350" s="9">
        <v>0</v>
      </c>
      <c r="BA350" s="9">
        <v>0</v>
      </c>
      <c r="BB350" s="9">
        <v>0</v>
      </c>
      <c r="BC350" s="9">
        <v>0</v>
      </c>
      <c r="BD350" s="9">
        <v>0</v>
      </c>
      <c r="BE350" s="9">
        <v>0</v>
      </c>
      <c r="BF350" s="9">
        <v>0</v>
      </c>
      <c r="BG350" s="9">
        <v>0</v>
      </c>
      <c r="BH350" s="9">
        <v>0</v>
      </c>
      <c r="BI350" s="9">
        <v>0</v>
      </c>
      <c r="BJ350" s="9">
        <v>0</v>
      </c>
      <c r="BK350" s="9">
        <v>0</v>
      </c>
      <c r="BL350" s="9">
        <v>0</v>
      </c>
      <c r="BM350" s="9">
        <v>0</v>
      </c>
      <c r="BN350" s="9">
        <v>0</v>
      </c>
      <c r="BO350" s="9">
        <v>0</v>
      </c>
      <c r="BP350" s="9">
        <v>0</v>
      </c>
      <c r="BQ350" s="9">
        <v>3</v>
      </c>
      <c r="BR350" s="9">
        <v>1</v>
      </c>
      <c r="BS350" s="9">
        <v>0</v>
      </c>
      <c r="BT350" s="9">
        <v>0</v>
      </c>
      <c r="BU350" s="9">
        <v>0</v>
      </c>
      <c r="BV350" s="9">
        <v>1</v>
      </c>
      <c r="BW350" s="9">
        <v>0</v>
      </c>
      <c r="BX350" s="9">
        <v>0</v>
      </c>
      <c r="BY350" s="9">
        <v>0</v>
      </c>
      <c r="BZ350" s="9">
        <v>1</v>
      </c>
      <c r="CA350" s="9">
        <v>1</v>
      </c>
      <c r="CB350" s="9">
        <v>1</v>
      </c>
      <c r="CC350" s="9">
        <v>1</v>
      </c>
      <c r="CD350" s="9">
        <v>0</v>
      </c>
      <c r="CE350" s="9">
        <v>0</v>
      </c>
      <c r="CF350" s="9">
        <v>0</v>
      </c>
      <c r="CG350" s="9">
        <v>1</v>
      </c>
      <c r="CH350" s="9">
        <v>1</v>
      </c>
      <c r="CI350" s="9">
        <v>0</v>
      </c>
      <c r="CJ350" s="9">
        <v>0</v>
      </c>
      <c r="CK350" s="9">
        <v>0</v>
      </c>
      <c r="CL350" s="9">
        <v>0</v>
      </c>
      <c r="CM350" s="9">
        <v>0</v>
      </c>
      <c r="CN350" s="9">
        <v>1</v>
      </c>
      <c r="CO350" s="9">
        <v>0</v>
      </c>
      <c r="CP350" s="9">
        <v>0</v>
      </c>
      <c r="CQ350" s="9">
        <v>1</v>
      </c>
      <c r="CR350" s="9">
        <v>0</v>
      </c>
      <c r="CS350" s="10">
        <v>0</v>
      </c>
    </row>
    <row r="351" spans="1:97" x14ac:dyDescent="0.35">
      <c r="A351" s="8" t="s">
        <v>342</v>
      </c>
      <c r="B351" s="9" t="s">
        <v>385</v>
      </c>
      <c r="C351" s="9" t="s">
        <v>1086</v>
      </c>
      <c r="D351" s="9">
        <f t="shared" si="5"/>
        <v>289</v>
      </c>
      <c r="E351" s="9">
        <v>0</v>
      </c>
      <c r="F351" s="9">
        <v>0</v>
      </c>
      <c r="G351" s="9">
        <v>1</v>
      </c>
      <c r="H351" s="9">
        <v>1</v>
      </c>
      <c r="I351" s="9">
        <v>0</v>
      </c>
      <c r="J351" s="9">
        <v>0</v>
      </c>
      <c r="K351" s="9">
        <v>0</v>
      </c>
      <c r="L351" s="9">
        <v>0</v>
      </c>
      <c r="M351" s="9">
        <v>0</v>
      </c>
      <c r="N351" s="9">
        <v>1</v>
      </c>
      <c r="O351" s="9">
        <v>1</v>
      </c>
      <c r="P351" s="9">
        <v>0</v>
      </c>
      <c r="Q351" s="9">
        <v>0</v>
      </c>
      <c r="R351" s="9">
        <v>0</v>
      </c>
      <c r="S351" s="9">
        <v>0</v>
      </c>
      <c r="T351" s="9">
        <v>0</v>
      </c>
      <c r="U351" s="9">
        <v>0</v>
      </c>
      <c r="V351" s="9">
        <v>0</v>
      </c>
      <c r="W351" s="9">
        <v>0</v>
      </c>
      <c r="X351" s="9">
        <v>0</v>
      </c>
      <c r="Y351" s="9">
        <v>0</v>
      </c>
      <c r="Z351" s="9">
        <v>0</v>
      </c>
      <c r="AA351" s="9">
        <v>0</v>
      </c>
      <c r="AB351" s="9">
        <v>0</v>
      </c>
      <c r="AC351" s="9">
        <v>0</v>
      </c>
      <c r="AD351" s="9">
        <v>0</v>
      </c>
      <c r="AE351" s="9">
        <v>0</v>
      </c>
      <c r="AF351" s="9">
        <v>0</v>
      </c>
      <c r="AG351" s="9">
        <v>2</v>
      </c>
      <c r="AH351" s="9">
        <v>0</v>
      </c>
      <c r="AI351" s="9">
        <v>0</v>
      </c>
      <c r="AJ351" s="9">
        <v>0</v>
      </c>
      <c r="AK351" s="9">
        <v>0</v>
      </c>
      <c r="AL351" s="9">
        <v>0</v>
      </c>
      <c r="AM351" s="9">
        <v>1</v>
      </c>
      <c r="AN351" s="9">
        <v>1</v>
      </c>
      <c r="AO351" s="9">
        <v>0</v>
      </c>
      <c r="AP351" s="9">
        <v>0</v>
      </c>
      <c r="AQ351" s="9">
        <v>1</v>
      </c>
      <c r="AR351" s="9">
        <v>1</v>
      </c>
      <c r="AS351" s="9">
        <v>2</v>
      </c>
      <c r="AT351" s="9">
        <v>0</v>
      </c>
      <c r="AU351" s="9">
        <v>3</v>
      </c>
      <c r="AV351" s="9">
        <v>9</v>
      </c>
      <c r="AW351" s="9">
        <v>2</v>
      </c>
      <c r="AX351" s="9">
        <v>2</v>
      </c>
      <c r="AY351" s="9">
        <v>0</v>
      </c>
      <c r="AZ351" s="9">
        <v>1</v>
      </c>
      <c r="BA351" s="9">
        <v>1</v>
      </c>
      <c r="BB351" s="9">
        <v>3</v>
      </c>
      <c r="BC351" s="9">
        <v>6</v>
      </c>
      <c r="BD351" s="9">
        <v>10</v>
      </c>
      <c r="BE351" s="9">
        <v>2</v>
      </c>
      <c r="BF351" s="9">
        <v>2</v>
      </c>
      <c r="BG351" s="9">
        <v>2</v>
      </c>
      <c r="BH351" s="9">
        <v>4</v>
      </c>
      <c r="BI351" s="9">
        <v>5</v>
      </c>
      <c r="BJ351" s="9">
        <v>1</v>
      </c>
      <c r="BK351" s="9">
        <v>1</v>
      </c>
      <c r="BL351" s="9">
        <v>1</v>
      </c>
      <c r="BM351" s="9">
        <v>3</v>
      </c>
      <c r="BN351" s="9">
        <v>3</v>
      </c>
      <c r="BO351" s="9">
        <v>6</v>
      </c>
      <c r="BP351" s="9">
        <v>7</v>
      </c>
      <c r="BQ351" s="9">
        <v>7</v>
      </c>
      <c r="BR351" s="9">
        <v>3</v>
      </c>
      <c r="BS351" s="9">
        <v>5</v>
      </c>
      <c r="BT351" s="9">
        <v>1</v>
      </c>
      <c r="BU351" s="9">
        <v>3</v>
      </c>
      <c r="BV351" s="9">
        <v>2</v>
      </c>
      <c r="BW351" s="9">
        <v>2</v>
      </c>
      <c r="BX351" s="9">
        <v>5</v>
      </c>
      <c r="BY351" s="9">
        <v>2</v>
      </c>
      <c r="BZ351" s="9">
        <v>8</v>
      </c>
      <c r="CA351" s="9">
        <v>9</v>
      </c>
      <c r="CB351" s="9">
        <v>6</v>
      </c>
      <c r="CC351" s="9">
        <v>6</v>
      </c>
      <c r="CD351" s="9">
        <v>9</v>
      </c>
      <c r="CE351" s="9">
        <v>16</v>
      </c>
      <c r="CF351" s="9">
        <v>11</v>
      </c>
      <c r="CG351" s="9">
        <v>7</v>
      </c>
      <c r="CH351" s="9">
        <v>10</v>
      </c>
      <c r="CI351" s="9">
        <v>11</v>
      </c>
      <c r="CJ351" s="9">
        <v>15</v>
      </c>
      <c r="CK351" s="9">
        <v>17</v>
      </c>
      <c r="CL351" s="9">
        <v>7</v>
      </c>
      <c r="CM351" s="9">
        <v>6</v>
      </c>
      <c r="CN351" s="9">
        <v>6</v>
      </c>
      <c r="CO351" s="9">
        <v>3</v>
      </c>
      <c r="CP351" s="9">
        <v>3</v>
      </c>
      <c r="CQ351" s="9">
        <v>7</v>
      </c>
      <c r="CR351" s="9">
        <v>8</v>
      </c>
      <c r="CS351" s="10">
        <v>8</v>
      </c>
    </row>
    <row r="352" spans="1:97" x14ac:dyDescent="0.35">
      <c r="A352" s="8" t="s">
        <v>342</v>
      </c>
      <c r="B352" s="9" t="s">
        <v>387</v>
      </c>
      <c r="C352" s="9" t="s">
        <v>1087</v>
      </c>
      <c r="D352" s="9">
        <f t="shared" si="5"/>
        <v>288</v>
      </c>
      <c r="E352" s="9">
        <v>0</v>
      </c>
      <c r="F352" s="9">
        <v>0</v>
      </c>
      <c r="G352" s="9">
        <v>0</v>
      </c>
      <c r="H352" s="9">
        <v>1</v>
      </c>
      <c r="I352" s="9">
        <v>0</v>
      </c>
      <c r="J352" s="9">
        <v>0</v>
      </c>
      <c r="K352" s="9">
        <v>0</v>
      </c>
      <c r="L352" s="9">
        <v>0</v>
      </c>
      <c r="M352" s="9">
        <v>0</v>
      </c>
      <c r="N352" s="9">
        <v>0</v>
      </c>
      <c r="O352" s="9">
        <v>0</v>
      </c>
      <c r="P352" s="9">
        <v>0</v>
      </c>
      <c r="Q352" s="9">
        <v>0</v>
      </c>
      <c r="R352" s="9">
        <v>0</v>
      </c>
      <c r="S352" s="9">
        <v>0</v>
      </c>
      <c r="T352" s="9">
        <v>0</v>
      </c>
      <c r="U352" s="9">
        <v>1</v>
      </c>
      <c r="V352" s="9">
        <v>0</v>
      </c>
      <c r="W352" s="9">
        <v>0</v>
      </c>
      <c r="X352" s="9">
        <v>0</v>
      </c>
      <c r="Y352" s="9">
        <v>0</v>
      </c>
      <c r="Z352" s="9">
        <v>0</v>
      </c>
      <c r="AA352" s="9">
        <v>0</v>
      </c>
      <c r="AB352" s="9">
        <v>0</v>
      </c>
      <c r="AC352" s="9">
        <v>0</v>
      </c>
      <c r="AD352" s="9">
        <v>0</v>
      </c>
      <c r="AE352" s="9">
        <v>0</v>
      </c>
      <c r="AF352" s="9">
        <v>1</v>
      </c>
      <c r="AG352" s="9">
        <v>1</v>
      </c>
      <c r="AH352" s="9">
        <v>0</v>
      </c>
      <c r="AI352" s="9">
        <v>0</v>
      </c>
      <c r="AJ352" s="9">
        <v>0</v>
      </c>
      <c r="AK352" s="9">
        <v>0</v>
      </c>
      <c r="AL352" s="9">
        <v>0</v>
      </c>
      <c r="AM352" s="9">
        <v>0</v>
      </c>
      <c r="AN352" s="9">
        <v>0</v>
      </c>
      <c r="AO352" s="9">
        <v>0</v>
      </c>
      <c r="AP352" s="9">
        <v>0</v>
      </c>
      <c r="AQ352" s="9">
        <v>0</v>
      </c>
      <c r="AR352" s="9">
        <v>0</v>
      </c>
      <c r="AS352" s="9">
        <v>0</v>
      </c>
      <c r="AT352" s="9">
        <v>0</v>
      </c>
      <c r="AU352" s="9">
        <v>1</v>
      </c>
      <c r="AV352" s="9">
        <v>0</v>
      </c>
      <c r="AW352" s="9">
        <v>0</v>
      </c>
      <c r="AX352" s="9">
        <v>1</v>
      </c>
      <c r="AY352" s="9">
        <v>2</v>
      </c>
      <c r="AZ352" s="9">
        <v>2</v>
      </c>
      <c r="BA352" s="9">
        <v>1</v>
      </c>
      <c r="BB352" s="9">
        <v>1</v>
      </c>
      <c r="BC352" s="9">
        <v>2</v>
      </c>
      <c r="BD352" s="9">
        <v>5</v>
      </c>
      <c r="BE352" s="9">
        <v>2</v>
      </c>
      <c r="BF352" s="9">
        <v>2</v>
      </c>
      <c r="BG352" s="9">
        <v>5</v>
      </c>
      <c r="BH352" s="9">
        <v>1</v>
      </c>
      <c r="BI352" s="9">
        <v>3</v>
      </c>
      <c r="BJ352" s="9">
        <v>5</v>
      </c>
      <c r="BK352" s="9">
        <v>7</v>
      </c>
      <c r="BL352" s="9">
        <v>7</v>
      </c>
      <c r="BM352" s="9">
        <v>7</v>
      </c>
      <c r="BN352" s="9">
        <v>9</v>
      </c>
      <c r="BO352" s="9">
        <v>6</v>
      </c>
      <c r="BP352" s="9">
        <v>6</v>
      </c>
      <c r="BQ352" s="9">
        <v>12</v>
      </c>
      <c r="BR352" s="9">
        <v>8</v>
      </c>
      <c r="BS352" s="9">
        <v>8</v>
      </c>
      <c r="BT352" s="9">
        <v>5</v>
      </c>
      <c r="BU352" s="9">
        <v>9</v>
      </c>
      <c r="BV352" s="9">
        <v>5</v>
      </c>
      <c r="BW352" s="9">
        <v>6</v>
      </c>
      <c r="BX352" s="9">
        <v>11</v>
      </c>
      <c r="BY352" s="9">
        <v>6</v>
      </c>
      <c r="BZ352" s="9">
        <v>10</v>
      </c>
      <c r="CA352" s="9">
        <v>14</v>
      </c>
      <c r="CB352" s="9">
        <v>3</v>
      </c>
      <c r="CC352" s="9">
        <v>9</v>
      </c>
      <c r="CD352" s="9">
        <v>11</v>
      </c>
      <c r="CE352" s="9">
        <v>3</v>
      </c>
      <c r="CF352" s="9">
        <v>7</v>
      </c>
      <c r="CG352" s="9">
        <v>3</v>
      </c>
      <c r="CH352" s="9">
        <v>8</v>
      </c>
      <c r="CI352" s="9">
        <v>7</v>
      </c>
      <c r="CJ352" s="9">
        <v>2</v>
      </c>
      <c r="CK352" s="9">
        <v>7</v>
      </c>
      <c r="CL352" s="9">
        <v>3</v>
      </c>
      <c r="CM352" s="9">
        <v>6</v>
      </c>
      <c r="CN352" s="9">
        <v>9</v>
      </c>
      <c r="CO352" s="9">
        <v>1</v>
      </c>
      <c r="CP352" s="9">
        <v>7</v>
      </c>
      <c r="CQ352" s="9">
        <v>11</v>
      </c>
      <c r="CR352" s="9">
        <v>12</v>
      </c>
      <c r="CS352" s="10">
        <v>6</v>
      </c>
    </row>
    <row r="353" spans="1:97" x14ac:dyDescent="0.35">
      <c r="A353" s="8" t="s">
        <v>342</v>
      </c>
      <c r="B353" s="9" t="s">
        <v>389</v>
      </c>
      <c r="C353" s="9" t="s">
        <v>1088</v>
      </c>
      <c r="D353" s="9">
        <f t="shared" si="5"/>
        <v>77</v>
      </c>
      <c r="E353" s="9">
        <v>0</v>
      </c>
      <c r="F353" s="9">
        <v>0</v>
      </c>
      <c r="G353" s="9">
        <v>0</v>
      </c>
      <c r="H353" s="9">
        <v>0</v>
      </c>
      <c r="I353" s="9">
        <v>0</v>
      </c>
      <c r="J353" s="9">
        <v>0</v>
      </c>
      <c r="K353" s="9">
        <v>0</v>
      </c>
      <c r="L353" s="9">
        <v>0</v>
      </c>
      <c r="M353" s="9">
        <v>0</v>
      </c>
      <c r="N353" s="9">
        <v>0</v>
      </c>
      <c r="O353" s="9">
        <v>0</v>
      </c>
      <c r="P353" s="9">
        <v>0</v>
      </c>
      <c r="Q353" s="9">
        <v>0</v>
      </c>
      <c r="R353" s="9">
        <v>0</v>
      </c>
      <c r="S353" s="9">
        <v>0</v>
      </c>
      <c r="T353" s="9">
        <v>0</v>
      </c>
      <c r="U353" s="9">
        <v>0</v>
      </c>
      <c r="V353" s="9">
        <v>0</v>
      </c>
      <c r="W353" s="9">
        <v>0</v>
      </c>
      <c r="X353" s="9">
        <v>0</v>
      </c>
      <c r="Y353" s="9">
        <v>0</v>
      </c>
      <c r="Z353" s="9">
        <v>0</v>
      </c>
      <c r="AA353" s="9">
        <v>0</v>
      </c>
      <c r="AB353" s="9">
        <v>0</v>
      </c>
      <c r="AC353" s="9">
        <v>0</v>
      </c>
      <c r="AD353" s="9">
        <v>0</v>
      </c>
      <c r="AE353" s="9">
        <v>0</v>
      </c>
      <c r="AF353" s="9">
        <v>0</v>
      </c>
      <c r="AG353" s="9">
        <v>0</v>
      </c>
      <c r="AH353" s="9">
        <v>0</v>
      </c>
      <c r="AI353" s="9">
        <v>0</v>
      </c>
      <c r="AJ353" s="9">
        <v>0</v>
      </c>
      <c r="AK353" s="9">
        <v>0</v>
      </c>
      <c r="AL353" s="9">
        <v>0</v>
      </c>
      <c r="AM353" s="9">
        <v>0</v>
      </c>
      <c r="AN353" s="9">
        <v>0</v>
      </c>
      <c r="AO353" s="9">
        <v>0</v>
      </c>
      <c r="AP353" s="9">
        <v>0</v>
      </c>
      <c r="AQ353" s="9">
        <v>0</v>
      </c>
      <c r="AR353" s="9">
        <v>0</v>
      </c>
      <c r="AS353" s="9">
        <v>1</v>
      </c>
      <c r="AT353" s="9">
        <v>0</v>
      </c>
      <c r="AU353" s="9">
        <v>0</v>
      </c>
      <c r="AV353" s="9">
        <v>0</v>
      </c>
      <c r="AW353" s="9">
        <v>0</v>
      </c>
      <c r="AX353" s="9">
        <v>0</v>
      </c>
      <c r="AY353" s="9">
        <v>0</v>
      </c>
      <c r="AZ353" s="9">
        <v>0</v>
      </c>
      <c r="BA353" s="9">
        <v>0</v>
      </c>
      <c r="BB353" s="9">
        <v>0</v>
      </c>
      <c r="BC353" s="9">
        <v>0</v>
      </c>
      <c r="BD353" s="9">
        <v>0</v>
      </c>
      <c r="BE353" s="9">
        <v>0</v>
      </c>
      <c r="BF353" s="9">
        <v>0</v>
      </c>
      <c r="BG353" s="9">
        <v>0</v>
      </c>
      <c r="BH353" s="9">
        <v>0</v>
      </c>
      <c r="BI353" s="9">
        <v>0</v>
      </c>
      <c r="BJ353" s="9">
        <v>0</v>
      </c>
      <c r="BK353" s="9">
        <v>0</v>
      </c>
      <c r="BL353" s="9">
        <v>0</v>
      </c>
      <c r="BM353" s="9">
        <v>0</v>
      </c>
      <c r="BN353" s="9">
        <v>0</v>
      </c>
      <c r="BO353" s="9">
        <v>1</v>
      </c>
      <c r="BP353" s="9">
        <v>6</v>
      </c>
      <c r="BQ353" s="9">
        <v>1</v>
      </c>
      <c r="BR353" s="9">
        <v>0</v>
      </c>
      <c r="BS353" s="9">
        <v>1</v>
      </c>
      <c r="BT353" s="9">
        <v>1</v>
      </c>
      <c r="BU353" s="9">
        <v>3</v>
      </c>
      <c r="BV353" s="9">
        <v>0</v>
      </c>
      <c r="BW353" s="9">
        <v>1</v>
      </c>
      <c r="BX353" s="9">
        <v>0</v>
      </c>
      <c r="BY353" s="9">
        <v>3</v>
      </c>
      <c r="BZ353" s="9">
        <v>0</v>
      </c>
      <c r="CA353" s="9">
        <v>0</v>
      </c>
      <c r="CB353" s="9">
        <v>2</v>
      </c>
      <c r="CC353" s="9">
        <v>0</v>
      </c>
      <c r="CD353" s="9">
        <v>2</v>
      </c>
      <c r="CE353" s="9">
        <v>2</v>
      </c>
      <c r="CF353" s="9">
        <v>1</v>
      </c>
      <c r="CG353" s="9">
        <v>1</v>
      </c>
      <c r="CH353" s="9">
        <v>4</v>
      </c>
      <c r="CI353" s="9">
        <v>10</v>
      </c>
      <c r="CJ353" s="9">
        <v>1</v>
      </c>
      <c r="CK353" s="9">
        <v>5</v>
      </c>
      <c r="CL353" s="9">
        <v>4</v>
      </c>
      <c r="CM353" s="9">
        <v>7</v>
      </c>
      <c r="CN353" s="9">
        <v>2</v>
      </c>
      <c r="CO353" s="9">
        <v>7</v>
      </c>
      <c r="CP353" s="9">
        <v>5</v>
      </c>
      <c r="CQ353" s="9">
        <v>0</v>
      </c>
      <c r="CR353" s="9">
        <v>5</v>
      </c>
      <c r="CS353" s="10">
        <v>1</v>
      </c>
    </row>
    <row r="354" spans="1:97" x14ac:dyDescent="0.35">
      <c r="A354" s="8" t="s">
        <v>342</v>
      </c>
      <c r="B354" s="9" t="s">
        <v>391</v>
      </c>
      <c r="C354" s="9" t="s">
        <v>1089</v>
      </c>
      <c r="D354" s="9">
        <f t="shared" si="5"/>
        <v>8</v>
      </c>
      <c r="E354" s="9">
        <v>0</v>
      </c>
      <c r="F354" s="9">
        <v>2</v>
      </c>
      <c r="G354" s="9">
        <v>4</v>
      </c>
      <c r="H354" s="9">
        <v>0</v>
      </c>
      <c r="I354" s="9">
        <v>0</v>
      </c>
      <c r="J354" s="9">
        <v>0</v>
      </c>
      <c r="K354" s="9">
        <v>1</v>
      </c>
      <c r="L354" s="9">
        <v>0</v>
      </c>
      <c r="M354" s="9">
        <v>0</v>
      </c>
      <c r="N354" s="9">
        <v>0</v>
      </c>
      <c r="O354" s="9">
        <v>0</v>
      </c>
      <c r="P354" s="9">
        <v>0</v>
      </c>
      <c r="Q354" s="9">
        <v>0</v>
      </c>
      <c r="R354" s="9">
        <v>0</v>
      </c>
      <c r="S354" s="9">
        <v>0</v>
      </c>
      <c r="T354" s="9">
        <v>0</v>
      </c>
      <c r="U354" s="9">
        <v>0</v>
      </c>
      <c r="V354" s="9">
        <v>0</v>
      </c>
      <c r="W354" s="9">
        <v>0</v>
      </c>
      <c r="X354" s="9">
        <v>0</v>
      </c>
      <c r="Y354" s="9">
        <v>0</v>
      </c>
      <c r="Z354" s="9">
        <v>0</v>
      </c>
      <c r="AA354" s="9">
        <v>0</v>
      </c>
      <c r="AB354" s="9">
        <v>0</v>
      </c>
      <c r="AC354" s="9">
        <v>0</v>
      </c>
      <c r="AD354" s="9">
        <v>0</v>
      </c>
      <c r="AE354" s="9">
        <v>0</v>
      </c>
      <c r="AF354" s="9">
        <v>0</v>
      </c>
      <c r="AG354" s="9">
        <v>0</v>
      </c>
      <c r="AH354" s="9">
        <v>0</v>
      </c>
      <c r="AI354" s="9">
        <v>0</v>
      </c>
      <c r="AJ354" s="9">
        <v>0</v>
      </c>
      <c r="AK354" s="9">
        <v>0</v>
      </c>
      <c r="AL354" s="9">
        <v>0</v>
      </c>
      <c r="AM354" s="9">
        <v>0</v>
      </c>
      <c r="AN354" s="9">
        <v>0</v>
      </c>
      <c r="AO354" s="9">
        <v>0</v>
      </c>
      <c r="AP354" s="9">
        <v>0</v>
      </c>
      <c r="AQ354" s="9">
        <v>0</v>
      </c>
      <c r="AR354" s="9">
        <v>0</v>
      </c>
      <c r="AS354" s="9">
        <v>0</v>
      </c>
      <c r="AT354" s="9">
        <v>0</v>
      </c>
      <c r="AU354" s="9">
        <v>0</v>
      </c>
      <c r="AV354" s="9">
        <v>0</v>
      </c>
      <c r="AW354" s="9">
        <v>0</v>
      </c>
      <c r="AX354" s="9">
        <v>0</v>
      </c>
      <c r="AY354" s="9">
        <v>0</v>
      </c>
      <c r="AZ354" s="9">
        <v>0</v>
      </c>
      <c r="BA354" s="9">
        <v>0</v>
      </c>
      <c r="BB354" s="9">
        <v>0</v>
      </c>
      <c r="BC354" s="9">
        <v>0</v>
      </c>
      <c r="BD354" s="9">
        <v>0</v>
      </c>
      <c r="BE354" s="9">
        <v>0</v>
      </c>
      <c r="BF354" s="9">
        <v>0</v>
      </c>
      <c r="BG354" s="9">
        <v>0</v>
      </c>
      <c r="BH354" s="9">
        <v>0</v>
      </c>
      <c r="BI354" s="9">
        <v>0</v>
      </c>
      <c r="BJ354" s="9">
        <v>0</v>
      </c>
      <c r="BK354" s="9">
        <v>0</v>
      </c>
      <c r="BL354" s="9">
        <v>0</v>
      </c>
      <c r="BM354" s="9">
        <v>0</v>
      </c>
      <c r="BN354" s="9">
        <v>0</v>
      </c>
      <c r="BO354" s="9">
        <v>0</v>
      </c>
      <c r="BP354" s="9">
        <v>0</v>
      </c>
      <c r="BQ354" s="9">
        <v>0</v>
      </c>
      <c r="BR354" s="9">
        <v>0</v>
      </c>
      <c r="BS354" s="9">
        <v>0</v>
      </c>
      <c r="BT354" s="9">
        <v>0</v>
      </c>
      <c r="BU354" s="9">
        <v>0</v>
      </c>
      <c r="BV354" s="9">
        <v>0</v>
      </c>
      <c r="BW354" s="9">
        <v>0</v>
      </c>
      <c r="BX354" s="9">
        <v>0</v>
      </c>
      <c r="BY354" s="9">
        <v>0</v>
      </c>
      <c r="BZ354" s="9">
        <v>0</v>
      </c>
      <c r="CA354" s="9">
        <v>0</v>
      </c>
      <c r="CB354" s="9">
        <v>0</v>
      </c>
      <c r="CC354" s="9">
        <v>0</v>
      </c>
      <c r="CD354" s="9">
        <v>0</v>
      </c>
      <c r="CE354" s="9">
        <v>0</v>
      </c>
      <c r="CF354" s="9">
        <v>0</v>
      </c>
      <c r="CG354" s="9">
        <v>0</v>
      </c>
      <c r="CH354" s="9">
        <v>0</v>
      </c>
      <c r="CI354" s="9">
        <v>0</v>
      </c>
      <c r="CJ354" s="9">
        <v>0</v>
      </c>
      <c r="CK354" s="9">
        <v>0</v>
      </c>
      <c r="CL354" s="9">
        <v>0</v>
      </c>
      <c r="CM354" s="9">
        <v>0</v>
      </c>
      <c r="CN354" s="9">
        <v>0</v>
      </c>
      <c r="CO354" s="9">
        <v>0</v>
      </c>
      <c r="CP354" s="9">
        <v>1</v>
      </c>
      <c r="CQ354" s="9">
        <v>0</v>
      </c>
      <c r="CR354" s="9">
        <v>0</v>
      </c>
      <c r="CS354" s="10">
        <v>0</v>
      </c>
    </row>
    <row r="355" spans="1:97" x14ac:dyDescent="0.35">
      <c r="A355" s="8" t="s">
        <v>342</v>
      </c>
      <c r="B355" s="9" t="s">
        <v>393</v>
      </c>
      <c r="C355" s="9" t="s">
        <v>1090</v>
      </c>
      <c r="D355" s="9">
        <f t="shared" si="5"/>
        <v>891</v>
      </c>
      <c r="E355" s="9">
        <v>0</v>
      </c>
      <c r="F355" s="9">
        <v>1</v>
      </c>
      <c r="G355" s="9">
        <v>0</v>
      </c>
      <c r="H355" s="9">
        <v>0</v>
      </c>
      <c r="I355" s="9">
        <v>1</v>
      </c>
      <c r="J355" s="9">
        <v>0</v>
      </c>
      <c r="K355" s="9">
        <v>5</v>
      </c>
      <c r="L355" s="9">
        <v>2</v>
      </c>
      <c r="M355" s="9">
        <v>2</v>
      </c>
      <c r="N355" s="9">
        <v>1</v>
      </c>
      <c r="O355" s="9">
        <v>4</v>
      </c>
      <c r="P355" s="9">
        <v>3</v>
      </c>
      <c r="Q355" s="9">
        <v>1</v>
      </c>
      <c r="R355" s="9">
        <v>1</v>
      </c>
      <c r="S355" s="9">
        <v>1</v>
      </c>
      <c r="T355" s="9">
        <v>0</v>
      </c>
      <c r="U355" s="9">
        <v>0</v>
      </c>
      <c r="V355" s="9">
        <v>2</v>
      </c>
      <c r="W355" s="9">
        <v>3</v>
      </c>
      <c r="X355" s="9">
        <v>0</v>
      </c>
      <c r="Y355" s="9">
        <v>1</v>
      </c>
      <c r="Z355" s="9">
        <v>1</v>
      </c>
      <c r="AA355" s="9">
        <v>2</v>
      </c>
      <c r="AB355" s="9">
        <v>0</v>
      </c>
      <c r="AC355" s="9">
        <v>0</v>
      </c>
      <c r="AD355" s="9">
        <v>1</v>
      </c>
      <c r="AE355" s="9">
        <v>1</v>
      </c>
      <c r="AF355" s="9">
        <v>0</v>
      </c>
      <c r="AG355" s="9">
        <v>0</v>
      </c>
      <c r="AH355" s="9">
        <v>1</v>
      </c>
      <c r="AI355" s="9">
        <v>0</v>
      </c>
      <c r="AJ355" s="9">
        <v>2</v>
      </c>
      <c r="AK355" s="9">
        <v>2</v>
      </c>
      <c r="AL355" s="9">
        <v>1</v>
      </c>
      <c r="AM355" s="9">
        <v>0</v>
      </c>
      <c r="AN355" s="9">
        <v>3</v>
      </c>
      <c r="AO355" s="9">
        <v>2</v>
      </c>
      <c r="AP355" s="9">
        <v>6</v>
      </c>
      <c r="AQ355" s="9">
        <v>1</v>
      </c>
      <c r="AR355" s="9">
        <v>2</v>
      </c>
      <c r="AS355" s="9">
        <v>3</v>
      </c>
      <c r="AT355" s="9">
        <v>0</v>
      </c>
      <c r="AU355" s="9">
        <v>3</v>
      </c>
      <c r="AV355" s="9">
        <v>0</v>
      </c>
      <c r="AW355" s="9">
        <v>7</v>
      </c>
      <c r="AX355" s="9">
        <v>4</v>
      </c>
      <c r="AY355" s="9">
        <v>4</v>
      </c>
      <c r="AZ355" s="9">
        <v>7</v>
      </c>
      <c r="BA355" s="9">
        <v>6</v>
      </c>
      <c r="BB355" s="9">
        <v>2</v>
      </c>
      <c r="BC355" s="9">
        <v>3</v>
      </c>
      <c r="BD355" s="9">
        <v>5</v>
      </c>
      <c r="BE355" s="9">
        <v>1</v>
      </c>
      <c r="BF355" s="9">
        <v>9</v>
      </c>
      <c r="BG355" s="9">
        <v>8</v>
      </c>
      <c r="BH355" s="9">
        <v>4</v>
      </c>
      <c r="BI355" s="9">
        <v>8</v>
      </c>
      <c r="BJ355" s="9">
        <v>6</v>
      </c>
      <c r="BK355" s="9">
        <v>8</v>
      </c>
      <c r="BL355" s="9">
        <v>12</v>
      </c>
      <c r="BM355" s="9">
        <v>4</v>
      </c>
      <c r="BN355" s="9">
        <v>6</v>
      </c>
      <c r="BO355" s="9">
        <v>11</v>
      </c>
      <c r="BP355" s="9">
        <v>12</v>
      </c>
      <c r="BQ355" s="9">
        <v>21</v>
      </c>
      <c r="BR355" s="9">
        <v>6</v>
      </c>
      <c r="BS355" s="9">
        <v>7</v>
      </c>
      <c r="BT355" s="9">
        <v>10</v>
      </c>
      <c r="BU355" s="9">
        <v>17</v>
      </c>
      <c r="BV355" s="9">
        <v>17</v>
      </c>
      <c r="BW355" s="9">
        <v>16</v>
      </c>
      <c r="BX355" s="9">
        <v>22</v>
      </c>
      <c r="BY355" s="9">
        <v>23</v>
      </c>
      <c r="BZ355" s="9">
        <v>15</v>
      </c>
      <c r="CA355" s="9">
        <v>17</v>
      </c>
      <c r="CB355" s="9">
        <v>20</v>
      </c>
      <c r="CC355" s="9">
        <v>18</v>
      </c>
      <c r="CD355" s="9">
        <v>15</v>
      </c>
      <c r="CE355" s="9">
        <v>25</v>
      </c>
      <c r="CF355" s="9">
        <v>16</v>
      </c>
      <c r="CG355" s="9">
        <v>27</v>
      </c>
      <c r="CH355" s="9">
        <v>21</v>
      </c>
      <c r="CI355" s="9">
        <v>14</v>
      </c>
      <c r="CJ355" s="9">
        <v>34</v>
      </c>
      <c r="CK355" s="9">
        <v>30</v>
      </c>
      <c r="CL355" s="9">
        <v>68</v>
      </c>
      <c r="CM355" s="9">
        <v>48</v>
      </c>
      <c r="CN355" s="9">
        <v>42</v>
      </c>
      <c r="CO355" s="9">
        <v>37</v>
      </c>
      <c r="CP355" s="9">
        <v>30</v>
      </c>
      <c r="CQ355" s="9">
        <v>17</v>
      </c>
      <c r="CR355" s="9">
        <v>19</v>
      </c>
      <c r="CS355" s="10">
        <v>53</v>
      </c>
    </row>
    <row r="356" spans="1:97" x14ac:dyDescent="0.35">
      <c r="A356" s="8" t="s">
        <v>342</v>
      </c>
      <c r="B356" s="9" t="s">
        <v>395</v>
      </c>
      <c r="C356" s="9" t="s">
        <v>1091</v>
      </c>
      <c r="D356" s="9">
        <f t="shared" si="5"/>
        <v>302</v>
      </c>
      <c r="E356" s="9">
        <v>0</v>
      </c>
      <c r="F356" s="9">
        <v>0</v>
      </c>
      <c r="G356" s="9">
        <v>1</v>
      </c>
      <c r="H356" s="9">
        <v>0</v>
      </c>
      <c r="I356" s="9">
        <v>0</v>
      </c>
      <c r="J356" s="9">
        <v>3</v>
      </c>
      <c r="K356" s="9">
        <v>0</v>
      </c>
      <c r="L356" s="9">
        <v>4</v>
      </c>
      <c r="M356" s="9">
        <v>0</v>
      </c>
      <c r="N356" s="9">
        <v>0</v>
      </c>
      <c r="O356" s="9">
        <v>0</v>
      </c>
      <c r="P356" s="9">
        <v>0</v>
      </c>
      <c r="Q356" s="9">
        <v>0</v>
      </c>
      <c r="R356" s="9">
        <v>0</v>
      </c>
      <c r="S356" s="9">
        <v>0</v>
      </c>
      <c r="T356" s="9">
        <v>0</v>
      </c>
      <c r="U356" s="9">
        <v>0</v>
      </c>
      <c r="V356" s="9">
        <v>1</v>
      </c>
      <c r="W356" s="9">
        <v>0</v>
      </c>
      <c r="X356" s="9">
        <v>0</v>
      </c>
      <c r="Y356" s="9">
        <v>1</v>
      </c>
      <c r="Z356" s="9">
        <v>0</v>
      </c>
      <c r="AA356" s="9">
        <v>0</v>
      </c>
      <c r="AB356" s="9">
        <v>0</v>
      </c>
      <c r="AC356" s="9">
        <v>1</v>
      </c>
      <c r="AD356" s="9">
        <v>0</v>
      </c>
      <c r="AE356" s="9">
        <v>2</v>
      </c>
      <c r="AF356" s="9">
        <v>0</v>
      </c>
      <c r="AG356" s="9">
        <v>0</v>
      </c>
      <c r="AH356" s="9">
        <v>0</v>
      </c>
      <c r="AI356" s="9">
        <v>0</v>
      </c>
      <c r="AJ356" s="9">
        <v>0</v>
      </c>
      <c r="AK356" s="9">
        <v>0</v>
      </c>
      <c r="AL356" s="9">
        <v>1</v>
      </c>
      <c r="AM356" s="9">
        <v>0</v>
      </c>
      <c r="AN356" s="9">
        <v>0</v>
      </c>
      <c r="AO356" s="9">
        <v>0</v>
      </c>
      <c r="AP356" s="9">
        <v>0</v>
      </c>
      <c r="AQ356" s="9">
        <v>0</v>
      </c>
      <c r="AR356" s="9">
        <v>0</v>
      </c>
      <c r="AS356" s="9">
        <v>1</v>
      </c>
      <c r="AT356" s="9">
        <v>0</v>
      </c>
      <c r="AU356" s="9">
        <v>0</v>
      </c>
      <c r="AV356" s="9">
        <v>2</v>
      </c>
      <c r="AW356" s="9">
        <v>1</v>
      </c>
      <c r="AX356" s="9">
        <v>1</v>
      </c>
      <c r="AY356" s="9">
        <v>0</v>
      </c>
      <c r="AZ356" s="9">
        <v>2</v>
      </c>
      <c r="BA356" s="9">
        <v>1</v>
      </c>
      <c r="BB356" s="9">
        <v>0</v>
      </c>
      <c r="BC356" s="9">
        <v>0</v>
      </c>
      <c r="BD356" s="9">
        <v>3</v>
      </c>
      <c r="BE356" s="9">
        <v>3</v>
      </c>
      <c r="BF356" s="9">
        <v>1</v>
      </c>
      <c r="BG356" s="9">
        <v>0</v>
      </c>
      <c r="BH356" s="9">
        <v>3</v>
      </c>
      <c r="BI356" s="9">
        <v>1</v>
      </c>
      <c r="BJ356" s="9">
        <v>3</v>
      </c>
      <c r="BK356" s="9">
        <v>1</v>
      </c>
      <c r="BL356" s="9">
        <v>1</v>
      </c>
      <c r="BM356" s="9">
        <v>1</v>
      </c>
      <c r="BN356" s="9">
        <v>1</v>
      </c>
      <c r="BO356" s="9">
        <v>1</v>
      </c>
      <c r="BP356" s="9">
        <v>1</v>
      </c>
      <c r="BQ356" s="9">
        <v>5</v>
      </c>
      <c r="BR356" s="9">
        <v>10</v>
      </c>
      <c r="BS356" s="9">
        <v>3</v>
      </c>
      <c r="BT356" s="9">
        <v>8</v>
      </c>
      <c r="BU356" s="9">
        <v>6</v>
      </c>
      <c r="BV356" s="9">
        <v>4</v>
      </c>
      <c r="BW356" s="9">
        <v>7</v>
      </c>
      <c r="BX356" s="9">
        <v>4</v>
      </c>
      <c r="BY356" s="9">
        <v>4</v>
      </c>
      <c r="BZ356" s="9">
        <v>6</v>
      </c>
      <c r="CA356" s="9">
        <v>7</v>
      </c>
      <c r="CB356" s="9">
        <v>10</v>
      </c>
      <c r="CC356" s="9">
        <v>5</v>
      </c>
      <c r="CD356" s="9">
        <v>8</v>
      </c>
      <c r="CE356" s="9">
        <v>22</v>
      </c>
      <c r="CF356" s="9">
        <v>5</v>
      </c>
      <c r="CG356" s="9">
        <v>12</v>
      </c>
      <c r="CH356" s="9">
        <v>11</v>
      </c>
      <c r="CI356" s="9">
        <v>15</v>
      </c>
      <c r="CJ356" s="9">
        <v>11</v>
      </c>
      <c r="CK356" s="9">
        <v>6</v>
      </c>
      <c r="CL356" s="9">
        <v>8</v>
      </c>
      <c r="CM356" s="9">
        <v>13</v>
      </c>
      <c r="CN356" s="9">
        <v>17</v>
      </c>
      <c r="CO356" s="9">
        <v>13</v>
      </c>
      <c r="CP356" s="9">
        <v>11</v>
      </c>
      <c r="CQ356" s="9">
        <v>8</v>
      </c>
      <c r="CR356" s="9">
        <v>12</v>
      </c>
      <c r="CS356" s="10">
        <v>9</v>
      </c>
    </row>
    <row r="357" spans="1:97" x14ac:dyDescent="0.35">
      <c r="A357" s="8" t="s">
        <v>342</v>
      </c>
      <c r="B357" s="9" t="s">
        <v>397</v>
      </c>
      <c r="C357" s="9" t="s">
        <v>1092</v>
      </c>
      <c r="D357" s="9">
        <f t="shared" si="5"/>
        <v>382</v>
      </c>
      <c r="E357" s="9">
        <v>0</v>
      </c>
      <c r="F357" s="9">
        <v>0</v>
      </c>
      <c r="G357" s="9">
        <v>1</v>
      </c>
      <c r="H357" s="9">
        <v>1</v>
      </c>
      <c r="I357" s="9">
        <v>0</v>
      </c>
      <c r="J357" s="9">
        <v>0</v>
      </c>
      <c r="K357" s="9">
        <v>0</v>
      </c>
      <c r="L357" s="9">
        <v>3</v>
      </c>
      <c r="M357" s="9">
        <v>0</v>
      </c>
      <c r="N357" s="9">
        <v>2</v>
      </c>
      <c r="O357" s="9">
        <v>0</v>
      </c>
      <c r="P357" s="9">
        <v>1</v>
      </c>
      <c r="Q357" s="9">
        <v>0</v>
      </c>
      <c r="R357" s="9">
        <v>0</v>
      </c>
      <c r="S357" s="9">
        <v>1</v>
      </c>
      <c r="T357" s="9">
        <v>0</v>
      </c>
      <c r="U357" s="9">
        <v>1</v>
      </c>
      <c r="V357" s="9">
        <v>0</v>
      </c>
      <c r="W357" s="9">
        <v>1</v>
      </c>
      <c r="X357" s="9">
        <v>0</v>
      </c>
      <c r="Y357" s="9">
        <v>0</v>
      </c>
      <c r="Z357" s="9">
        <v>0</v>
      </c>
      <c r="AA357" s="9">
        <v>0</v>
      </c>
      <c r="AB357" s="9">
        <v>0</v>
      </c>
      <c r="AC357" s="9">
        <v>1</v>
      </c>
      <c r="AD357" s="9">
        <v>0</v>
      </c>
      <c r="AE357" s="9">
        <v>0</v>
      </c>
      <c r="AF357" s="9">
        <v>0</v>
      </c>
      <c r="AG357" s="9">
        <v>0</v>
      </c>
      <c r="AH357" s="9">
        <v>2</v>
      </c>
      <c r="AI357" s="9">
        <v>2</v>
      </c>
      <c r="AJ357" s="9">
        <v>0</v>
      </c>
      <c r="AK357" s="9">
        <v>2</v>
      </c>
      <c r="AL357" s="9">
        <v>0</v>
      </c>
      <c r="AM357" s="9">
        <v>0</v>
      </c>
      <c r="AN357" s="9">
        <v>0</v>
      </c>
      <c r="AO357" s="9">
        <v>0</v>
      </c>
      <c r="AP357" s="9">
        <v>1</v>
      </c>
      <c r="AQ357" s="9">
        <v>1</v>
      </c>
      <c r="AR357" s="9">
        <v>0</v>
      </c>
      <c r="AS357" s="9">
        <v>4</v>
      </c>
      <c r="AT357" s="9">
        <v>3</v>
      </c>
      <c r="AU357" s="9">
        <v>3</v>
      </c>
      <c r="AV357" s="9">
        <v>2</v>
      </c>
      <c r="AW357" s="9">
        <v>4</v>
      </c>
      <c r="AX357" s="9">
        <v>5</v>
      </c>
      <c r="AY357" s="9">
        <v>1</v>
      </c>
      <c r="AZ357" s="9">
        <v>3</v>
      </c>
      <c r="BA357" s="9">
        <v>2</v>
      </c>
      <c r="BB357" s="9">
        <v>6</v>
      </c>
      <c r="BC357" s="9">
        <v>3</v>
      </c>
      <c r="BD357" s="9">
        <v>4</v>
      </c>
      <c r="BE357" s="9">
        <v>0</v>
      </c>
      <c r="BF357" s="9">
        <v>6</v>
      </c>
      <c r="BG357" s="9">
        <v>4</v>
      </c>
      <c r="BH357" s="9">
        <v>1</v>
      </c>
      <c r="BI357" s="9">
        <v>1</v>
      </c>
      <c r="BJ357" s="9">
        <v>4</v>
      </c>
      <c r="BK357" s="9">
        <v>1</v>
      </c>
      <c r="BL357" s="9">
        <v>5</v>
      </c>
      <c r="BM357" s="9">
        <v>4</v>
      </c>
      <c r="BN357" s="9">
        <v>0</v>
      </c>
      <c r="BO357" s="9">
        <v>4</v>
      </c>
      <c r="BP357" s="9">
        <v>3</v>
      </c>
      <c r="BQ357" s="9">
        <v>6</v>
      </c>
      <c r="BR357" s="9">
        <v>4</v>
      </c>
      <c r="BS357" s="9">
        <v>19</v>
      </c>
      <c r="BT357" s="9">
        <v>9</v>
      </c>
      <c r="BU357" s="9">
        <v>8</v>
      </c>
      <c r="BV357" s="9">
        <v>4</v>
      </c>
      <c r="BW357" s="9">
        <v>1</v>
      </c>
      <c r="BX357" s="9">
        <v>12</v>
      </c>
      <c r="BY357" s="9">
        <v>7</v>
      </c>
      <c r="BZ357" s="9">
        <v>17</v>
      </c>
      <c r="CA357" s="9">
        <v>6</v>
      </c>
      <c r="CB357" s="9">
        <v>13</v>
      </c>
      <c r="CC357" s="9">
        <v>15</v>
      </c>
      <c r="CD357" s="9">
        <v>10</v>
      </c>
      <c r="CE357" s="9">
        <v>1</v>
      </c>
      <c r="CF357" s="9">
        <v>9</v>
      </c>
      <c r="CG357" s="9">
        <v>10</v>
      </c>
      <c r="CH357" s="9">
        <v>2</v>
      </c>
      <c r="CI357" s="9">
        <v>10</v>
      </c>
      <c r="CJ357" s="9">
        <v>7</v>
      </c>
      <c r="CK357" s="9">
        <v>12</v>
      </c>
      <c r="CL357" s="9">
        <v>15</v>
      </c>
      <c r="CM357" s="9">
        <v>10</v>
      </c>
      <c r="CN357" s="9">
        <v>20</v>
      </c>
      <c r="CO357" s="9">
        <v>16</v>
      </c>
      <c r="CP357" s="9">
        <v>14</v>
      </c>
      <c r="CQ357" s="9">
        <v>10</v>
      </c>
      <c r="CR357" s="9">
        <v>9</v>
      </c>
      <c r="CS357" s="10">
        <v>13</v>
      </c>
    </row>
    <row r="358" spans="1:97" x14ac:dyDescent="0.35">
      <c r="A358" s="8" t="s">
        <v>342</v>
      </c>
      <c r="B358" s="9" t="s">
        <v>399</v>
      </c>
      <c r="C358" s="9" t="s">
        <v>1093</v>
      </c>
      <c r="D358" s="9">
        <f t="shared" si="5"/>
        <v>6</v>
      </c>
      <c r="E358" s="9">
        <v>1</v>
      </c>
      <c r="F358" s="9">
        <v>0</v>
      </c>
      <c r="G358" s="9">
        <v>0</v>
      </c>
      <c r="H358" s="9">
        <v>0</v>
      </c>
      <c r="I358" s="9">
        <v>0</v>
      </c>
      <c r="J358" s="9">
        <v>0</v>
      </c>
      <c r="K358" s="9">
        <v>0</v>
      </c>
      <c r="L358" s="9">
        <v>0</v>
      </c>
      <c r="M358" s="9">
        <v>0</v>
      </c>
      <c r="N358" s="9">
        <v>0</v>
      </c>
      <c r="O358" s="9">
        <v>0</v>
      </c>
      <c r="P358" s="9">
        <v>0</v>
      </c>
      <c r="Q358" s="9">
        <v>0</v>
      </c>
      <c r="R358" s="9">
        <v>0</v>
      </c>
      <c r="S358" s="9">
        <v>0</v>
      </c>
      <c r="T358" s="9">
        <v>0</v>
      </c>
      <c r="U358" s="9">
        <v>0</v>
      </c>
      <c r="V358" s="9">
        <v>0</v>
      </c>
      <c r="W358" s="9">
        <v>0</v>
      </c>
      <c r="X358" s="9">
        <v>0</v>
      </c>
      <c r="Y358" s="9">
        <v>0</v>
      </c>
      <c r="Z358" s="9">
        <v>0</v>
      </c>
      <c r="AA358" s="9">
        <v>0</v>
      </c>
      <c r="AB358" s="9">
        <v>0</v>
      </c>
      <c r="AC358" s="9">
        <v>0</v>
      </c>
      <c r="AD358" s="9">
        <v>0</v>
      </c>
      <c r="AE358" s="9">
        <v>0</v>
      </c>
      <c r="AF358" s="9">
        <v>0</v>
      </c>
      <c r="AG358" s="9">
        <v>1</v>
      </c>
      <c r="AH358" s="9">
        <v>0</v>
      </c>
      <c r="AI358" s="9">
        <v>0</v>
      </c>
      <c r="AJ358" s="9">
        <v>0</v>
      </c>
      <c r="AK358" s="9">
        <v>0</v>
      </c>
      <c r="AL358" s="9">
        <v>0</v>
      </c>
      <c r="AM358" s="9">
        <v>0</v>
      </c>
      <c r="AN358" s="9">
        <v>0</v>
      </c>
      <c r="AO358" s="9">
        <v>0</v>
      </c>
      <c r="AP358" s="9">
        <v>0</v>
      </c>
      <c r="AQ358" s="9">
        <v>0</v>
      </c>
      <c r="AR358" s="9">
        <v>0</v>
      </c>
      <c r="AS358" s="9">
        <v>0</v>
      </c>
      <c r="AT358" s="9">
        <v>0</v>
      </c>
      <c r="AU358" s="9">
        <v>0</v>
      </c>
      <c r="AV358" s="9">
        <v>0</v>
      </c>
      <c r="AW358" s="9">
        <v>0</v>
      </c>
      <c r="AX358" s="9">
        <v>0</v>
      </c>
      <c r="AY358" s="9">
        <v>0</v>
      </c>
      <c r="AZ358" s="9">
        <v>0</v>
      </c>
      <c r="BA358" s="9">
        <v>0</v>
      </c>
      <c r="BB358" s="9">
        <v>0</v>
      </c>
      <c r="BC358" s="9">
        <v>0</v>
      </c>
      <c r="BD358" s="9">
        <v>0</v>
      </c>
      <c r="BE358" s="9">
        <v>0</v>
      </c>
      <c r="BF358" s="9">
        <v>0</v>
      </c>
      <c r="BG358" s="9">
        <v>0</v>
      </c>
      <c r="BH358" s="9">
        <v>0</v>
      </c>
      <c r="BI358" s="9">
        <v>0</v>
      </c>
      <c r="BJ358" s="9">
        <v>0</v>
      </c>
      <c r="BK358" s="9">
        <v>0</v>
      </c>
      <c r="BL358" s="9">
        <v>0</v>
      </c>
      <c r="BM358" s="9">
        <v>0</v>
      </c>
      <c r="BN358" s="9">
        <v>0</v>
      </c>
      <c r="BO358" s="9">
        <v>0</v>
      </c>
      <c r="BP358" s="9">
        <v>0</v>
      </c>
      <c r="BQ358" s="9">
        <v>0</v>
      </c>
      <c r="BR358" s="9">
        <v>0</v>
      </c>
      <c r="BS358" s="9">
        <v>0</v>
      </c>
      <c r="BT358" s="9">
        <v>0</v>
      </c>
      <c r="BU358" s="9">
        <v>0</v>
      </c>
      <c r="BV358" s="9">
        <v>0</v>
      </c>
      <c r="BW358" s="9">
        <v>0</v>
      </c>
      <c r="BX358" s="9">
        <v>0</v>
      </c>
      <c r="BY358" s="9">
        <v>0</v>
      </c>
      <c r="BZ358" s="9">
        <v>0</v>
      </c>
      <c r="CA358" s="9">
        <v>0</v>
      </c>
      <c r="CB358" s="9">
        <v>0</v>
      </c>
      <c r="CC358" s="9">
        <v>0</v>
      </c>
      <c r="CD358" s="9">
        <v>0</v>
      </c>
      <c r="CE358" s="9">
        <v>0</v>
      </c>
      <c r="CF358" s="9">
        <v>0</v>
      </c>
      <c r="CG358" s="9">
        <v>0</v>
      </c>
      <c r="CH358" s="9">
        <v>0</v>
      </c>
      <c r="CI358" s="9">
        <v>0</v>
      </c>
      <c r="CJ358" s="9">
        <v>0</v>
      </c>
      <c r="CK358" s="9">
        <v>0</v>
      </c>
      <c r="CL358" s="9">
        <v>0</v>
      </c>
      <c r="CM358" s="9">
        <v>1</v>
      </c>
      <c r="CN358" s="9">
        <v>1</v>
      </c>
      <c r="CO358" s="9">
        <v>0</v>
      </c>
      <c r="CP358" s="9">
        <v>1</v>
      </c>
      <c r="CQ358" s="9">
        <v>1</v>
      </c>
      <c r="CR358" s="9">
        <v>0</v>
      </c>
      <c r="CS358" s="10">
        <v>0</v>
      </c>
    </row>
    <row r="359" spans="1:97" x14ac:dyDescent="0.35">
      <c r="A359" s="8" t="s">
        <v>342</v>
      </c>
      <c r="B359" s="9" t="s">
        <v>401</v>
      </c>
      <c r="C359" s="9" t="s">
        <v>1094</v>
      </c>
      <c r="D359" s="9">
        <f t="shared" si="5"/>
        <v>812</v>
      </c>
      <c r="E359" s="9">
        <v>3</v>
      </c>
      <c r="F359" s="9">
        <v>0</v>
      </c>
      <c r="G359" s="9">
        <v>1</v>
      </c>
      <c r="H359" s="9">
        <v>0</v>
      </c>
      <c r="I359" s="9">
        <v>1</v>
      </c>
      <c r="J359" s="9">
        <v>1</v>
      </c>
      <c r="K359" s="9">
        <v>0</v>
      </c>
      <c r="L359" s="9">
        <v>0</v>
      </c>
      <c r="M359" s="9">
        <v>0</v>
      </c>
      <c r="N359" s="9">
        <v>0</v>
      </c>
      <c r="O359" s="9">
        <v>1</v>
      </c>
      <c r="P359" s="9">
        <v>0</v>
      </c>
      <c r="Q359" s="9">
        <v>0</v>
      </c>
      <c r="R359" s="9">
        <v>0</v>
      </c>
      <c r="S359" s="9">
        <v>0</v>
      </c>
      <c r="T359" s="9">
        <v>0</v>
      </c>
      <c r="U359" s="9">
        <v>0</v>
      </c>
      <c r="V359" s="9">
        <v>0</v>
      </c>
      <c r="W359" s="9">
        <v>1</v>
      </c>
      <c r="X359" s="9">
        <v>0</v>
      </c>
      <c r="Y359" s="9">
        <v>0</v>
      </c>
      <c r="Z359" s="9">
        <v>0</v>
      </c>
      <c r="AA359" s="9">
        <v>0</v>
      </c>
      <c r="AB359" s="9">
        <v>0</v>
      </c>
      <c r="AC359" s="9">
        <v>0</v>
      </c>
      <c r="AD359" s="9">
        <v>0</v>
      </c>
      <c r="AE359" s="9">
        <v>1</v>
      </c>
      <c r="AF359" s="9">
        <v>0</v>
      </c>
      <c r="AG359" s="9">
        <v>1</v>
      </c>
      <c r="AH359" s="9">
        <v>0</v>
      </c>
      <c r="AI359" s="9">
        <v>1</v>
      </c>
      <c r="AJ359" s="9">
        <v>1</v>
      </c>
      <c r="AK359" s="9">
        <v>0</v>
      </c>
      <c r="AL359" s="9">
        <v>0</v>
      </c>
      <c r="AM359" s="9">
        <v>0</v>
      </c>
      <c r="AN359" s="9">
        <v>0</v>
      </c>
      <c r="AO359" s="9">
        <v>0</v>
      </c>
      <c r="AP359" s="9">
        <v>0</v>
      </c>
      <c r="AQ359" s="9">
        <v>0</v>
      </c>
      <c r="AR359" s="9">
        <v>0</v>
      </c>
      <c r="AS359" s="9">
        <v>0</v>
      </c>
      <c r="AT359" s="9">
        <v>11</v>
      </c>
      <c r="AU359" s="9">
        <v>4</v>
      </c>
      <c r="AV359" s="9">
        <v>1</v>
      </c>
      <c r="AW359" s="9">
        <v>1</v>
      </c>
      <c r="AX359" s="9">
        <v>1</v>
      </c>
      <c r="AY359" s="9">
        <v>3</v>
      </c>
      <c r="AZ359" s="9">
        <v>3</v>
      </c>
      <c r="BA359" s="9">
        <v>0</v>
      </c>
      <c r="BB359" s="9">
        <v>0</v>
      </c>
      <c r="BC359" s="9">
        <v>1</v>
      </c>
      <c r="BD359" s="9">
        <v>1</v>
      </c>
      <c r="BE359" s="9">
        <v>3</v>
      </c>
      <c r="BF359" s="9">
        <v>13</v>
      </c>
      <c r="BG359" s="9">
        <v>12</v>
      </c>
      <c r="BH359" s="9">
        <v>3</v>
      </c>
      <c r="BI359" s="9">
        <v>8</v>
      </c>
      <c r="BJ359" s="9">
        <v>2</v>
      </c>
      <c r="BK359" s="9">
        <v>16</v>
      </c>
      <c r="BL359" s="9">
        <v>10</v>
      </c>
      <c r="BM359" s="9">
        <v>6</v>
      </c>
      <c r="BN359" s="9">
        <v>9</v>
      </c>
      <c r="BO359" s="9">
        <v>9</v>
      </c>
      <c r="BP359" s="9">
        <v>13</v>
      </c>
      <c r="BQ359" s="9">
        <v>10</v>
      </c>
      <c r="BR359" s="9">
        <v>16</v>
      </c>
      <c r="BS359" s="9">
        <v>16</v>
      </c>
      <c r="BT359" s="9">
        <v>13</v>
      </c>
      <c r="BU359" s="9">
        <v>15</v>
      </c>
      <c r="BV359" s="9">
        <v>14</v>
      </c>
      <c r="BW359" s="9">
        <v>11</v>
      </c>
      <c r="BX359" s="9">
        <v>20</v>
      </c>
      <c r="BY359" s="9">
        <v>18</v>
      </c>
      <c r="BZ359" s="9">
        <v>21</v>
      </c>
      <c r="CA359" s="9">
        <v>23</v>
      </c>
      <c r="CB359" s="9">
        <v>37</v>
      </c>
      <c r="CC359" s="9">
        <v>21</v>
      </c>
      <c r="CD359" s="9">
        <v>31</v>
      </c>
      <c r="CE359" s="9">
        <v>27</v>
      </c>
      <c r="CF359" s="9">
        <v>27</v>
      </c>
      <c r="CG359" s="9">
        <v>42</v>
      </c>
      <c r="CH359" s="9">
        <v>26</v>
      </c>
      <c r="CI359" s="9">
        <v>21</v>
      </c>
      <c r="CJ359" s="9">
        <v>21</v>
      </c>
      <c r="CK359" s="9">
        <v>17</v>
      </c>
      <c r="CL359" s="9">
        <v>21</v>
      </c>
      <c r="CM359" s="9">
        <v>28</v>
      </c>
      <c r="CN359" s="9">
        <v>24</v>
      </c>
      <c r="CO359" s="9">
        <v>29</v>
      </c>
      <c r="CP359" s="9">
        <v>30</v>
      </c>
      <c r="CQ359" s="9">
        <v>24</v>
      </c>
      <c r="CR359" s="9">
        <v>38</v>
      </c>
      <c r="CS359" s="10">
        <v>29</v>
      </c>
    </row>
    <row r="360" spans="1:97" x14ac:dyDescent="0.35">
      <c r="A360" s="8" t="s">
        <v>342</v>
      </c>
      <c r="B360" s="9" t="s">
        <v>403</v>
      </c>
      <c r="C360" s="9" t="s">
        <v>1095</v>
      </c>
      <c r="D360" s="9">
        <f t="shared" si="5"/>
        <v>396</v>
      </c>
      <c r="E360" s="9">
        <v>0</v>
      </c>
      <c r="F360" s="9">
        <v>0</v>
      </c>
      <c r="G360" s="9">
        <v>0</v>
      </c>
      <c r="H360" s="9">
        <v>0</v>
      </c>
      <c r="I360" s="9">
        <v>1</v>
      </c>
      <c r="J360" s="9">
        <v>0</v>
      </c>
      <c r="K360" s="9">
        <v>1</v>
      </c>
      <c r="L360" s="9">
        <v>1</v>
      </c>
      <c r="M360" s="9">
        <v>0</v>
      </c>
      <c r="N360" s="9">
        <v>0</v>
      </c>
      <c r="O360" s="9">
        <v>0</v>
      </c>
      <c r="P360" s="9">
        <v>0</v>
      </c>
      <c r="Q360" s="9">
        <v>0</v>
      </c>
      <c r="R360" s="9">
        <v>0</v>
      </c>
      <c r="S360" s="9">
        <v>0</v>
      </c>
      <c r="T360" s="9">
        <v>0</v>
      </c>
      <c r="U360" s="9">
        <v>0</v>
      </c>
      <c r="V360" s="9">
        <v>0</v>
      </c>
      <c r="W360" s="9">
        <v>1</v>
      </c>
      <c r="X360" s="9">
        <v>0</v>
      </c>
      <c r="Y360" s="9">
        <v>1</v>
      </c>
      <c r="Z360" s="9">
        <v>0</v>
      </c>
      <c r="AA360" s="9">
        <v>0</v>
      </c>
      <c r="AB360" s="9">
        <v>0</v>
      </c>
      <c r="AC360" s="9">
        <v>1</v>
      </c>
      <c r="AD360" s="9">
        <v>1</v>
      </c>
      <c r="AE360" s="9">
        <v>2</v>
      </c>
      <c r="AF360" s="9">
        <v>1</v>
      </c>
      <c r="AG360" s="9">
        <v>1</v>
      </c>
      <c r="AH360" s="9">
        <v>0</v>
      </c>
      <c r="AI360" s="9">
        <v>0</v>
      </c>
      <c r="AJ360" s="9">
        <v>1</v>
      </c>
      <c r="AK360" s="9">
        <v>0</v>
      </c>
      <c r="AL360" s="9">
        <v>1</v>
      </c>
      <c r="AM360" s="9">
        <v>0</v>
      </c>
      <c r="AN360" s="9">
        <v>0</v>
      </c>
      <c r="AO360" s="9">
        <v>0</v>
      </c>
      <c r="AP360" s="9">
        <v>1</v>
      </c>
      <c r="AQ360" s="9">
        <v>0</v>
      </c>
      <c r="AR360" s="9">
        <v>0</v>
      </c>
      <c r="AS360" s="9">
        <v>0</v>
      </c>
      <c r="AT360" s="9">
        <v>2</v>
      </c>
      <c r="AU360" s="9">
        <v>0</v>
      </c>
      <c r="AV360" s="9">
        <v>2</v>
      </c>
      <c r="AW360" s="9">
        <v>0</v>
      </c>
      <c r="AX360" s="9">
        <v>3</v>
      </c>
      <c r="AY360" s="9">
        <v>1</v>
      </c>
      <c r="AZ360" s="9">
        <v>1</v>
      </c>
      <c r="BA360" s="9">
        <v>0</v>
      </c>
      <c r="BB360" s="9">
        <v>2</v>
      </c>
      <c r="BC360" s="9">
        <v>7</v>
      </c>
      <c r="BD360" s="9">
        <v>5</v>
      </c>
      <c r="BE360" s="9">
        <v>4</v>
      </c>
      <c r="BF360" s="9">
        <v>1</v>
      </c>
      <c r="BG360" s="9">
        <v>4</v>
      </c>
      <c r="BH360" s="9">
        <v>2</v>
      </c>
      <c r="BI360" s="9">
        <v>0</v>
      </c>
      <c r="BJ360" s="9">
        <v>0</v>
      </c>
      <c r="BK360" s="9">
        <v>6</v>
      </c>
      <c r="BL360" s="9">
        <v>7</v>
      </c>
      <c r="BM360" s="9">
        <v>6</v>
      </c>
      <c r="BN360" s="9">
        <v>2</v>
      </c>
      <c r="BO360" s="9">
        <v>8</v>
      </c>
      <c r="BP360" s="9">
        <v>8</v>
      </c>
      <c r="BQ360" s="9">
        <v>4</v>
      </c>
      <c r="BR360" s="9">
        <v>5</v>
      </c>
      <c r="BS360" s="9">
        <v>5</v>
      </c>
      <c r="BT360" s="9">
        <v>12</v>
      </c>
      <c r="BU360" s="9">
        <v>9</v>
      </c>
      <c r="BV360" s="9">
        <v>5</v>
      </c>
      <c r="BW360" s="9">
        <v>13</v>
      </c>
      <c r="BX360" s="9">
        <v>8</v>
      </c>
      <c r="BY360" s="9">
        <v>14</v>
      </c>
      <c r="BZ360" s="9">
        <v>12</v>
      </c>
      <c r="CA360" s="9">
        <v>8</v>
      </c>
      <c r="CB360" s="9">
        <v>20</v>
      </c>
      <c r="CC360" s="9">
        <v>7</v>
      </c>
      <c r="CD360" s="9">
        <v>18</v>
      </c>
      <c r="CE360" s="9">
        <v>14</v>
      </c>
      <c r="CF360" s="9">
        <v>10</v>
      </c>
      <c r="CG360" s="9">
        <v>13</v>
      </c>
      <c r="CH360" s="9">
        <v>18</v>
      </c>
      <c r="CI360" s="9">
        <v>6</v>
      </c>
      <c r="CJ360" s="9">
        <v>12</v>
      </c>
      <c r="CK360" s="9">
        <v>6</v>
      </c>
      <c r="CL360" s="9">
        <v>14</v>
      </c>
      <c r="CM360" s="9">
        <v>13</v>
      </c>
      <c r="CN360" s="9">
        <v>6</v>
      </c>
      <c r="CO360" s="9">
        <v>16</v>
      </c>
      <c r="CP360" s="9">
        <v>9</v>
      </c>
      <c r="CQ360" s="9">
        <v>5</v>
      </c>
      <c r="CR360" s="9">
        <v>15</v>
      </c>
      <c r="CS360" s="10">
        <v>14</v>
      </c>
    </row>
    <row r="361" spans="1:97" x14ac:dyDescent="0.35">
      <c r="A361" s="8" t="s">
        <v>342</v>
      </c>
      <c r="B361" s="9" t="s">
        <v>405</v>
      </c>
      <c r="C361" s="9" t="s">
        <v>1096</v>
      </c>
      <c r="D361" s="9">
        <f t="shared" si="5"/>
        <v>520</v>
      </c>
      <c r="E361" s="9">
        <v>1</v>
      </c>
      <c r="F361" s="9">
        <v>1</v>
      </c>
      <c r="G361" s="9">
        <v>0</v>
      </c>
      <c r="H361" s="9">
        <v>0</v>
      </c>
      <c r="I361" s="9">
        <v>0</v>
      </c>
      <c r="J361" s="9">
        <v>0</v>
      </c>
      <c r="K361" s="9">
        <v>0</v>
      </c>
      <c r="L361" s="9">
        <v>0</v>
      </c>
      <c r="M361" s="9">
        <v>0</v>
      </c>
      <c r="N361" s="9">
        <v>0</v>
      </c>
      <c r="O361" s="9">
        <v>0</v>
      </c>
      <c r="P361" s="9">
        <v>0</v>
      </c>
      <c r="Q361" s="9">
        <v>1</v>
      </c>
      <c r="R361" s="9">
        <v>1</v>
      </c>
      <c r="S361" s="9">
        <v>0</v>
      </c>
      <c r="T361" s="9">
        <v>0</v>
      </c>
      <c r="U361" s="9">
        <v>0</v>
      </c>
      <c r="V361" s="9">
        <v>1</v>
      </c>
      <c r="W361" s="9">
        <v>0</v>
      </c>
      <c r="X361" s="9">
        <v>1</v>
      </c>
      <c r="Y361" s="9">
        <v>0</v>
      </c>
      <c r="Z361" s="9">
        <v>0</v>
      </c>
      <c r="AA361" s="9">
        <v>0</v>
      </c>
      <c r="AB361" s="9">
        <v>0</v>
      </c>
      <c r="AC361" s="9">
        <v>0</v>
      </c>
      <c r="AD361" s="9">
        <v>0</v>
      </c>
      <c r="AE361" s="9">
        <v>3</v>
      </c>
      <c r="AF361" s="9">
        <v>0</v>
      </c>
      <c r="AG361" s="9">
        <v>0</v>
      </c>
      <c r="AH361" s="9">
        <v>0</v>
      </c>
      <c r="AI361" s="9">
        <v>0</v>
      </c>
      <c r="AJ361" s="9">
        <v>0</v>
      </c>
      <c r="AK361" s="9">
        <v>1</v>
      </c>
      <c r="AL361" s="9">
        <v>0</v>
      </c>
      <c r="AM361" s="9">
        <v>0</v>
      </c>
      <c r="AN361" s="9">
        <v>0</v>
      </c>
      <c r="AO361" s="9">
        <v>0</v>
      </c>
      <c r="AP361" s="9">
        <v>2</v>
      </c>
      <c r="AQ361" s="9">
        <v>1</v>
      </c>
      <c r="AR361" s="9">
        <v>1</v>
      </c>
      <c r="AS361" s="9">
        <v>1</v>
      </c>
      <c r="AT361" s="9">
        <v>2</v>
      </c>
      <c r="AU361" s="9">
        <v>3</v>
      </c>
      <c r="AV361" s="9">
        <v>4</v>
      </c>
      <c r="AW361" s="9">
        <v>0</v>
      </c>
      <c r="AX361" s="9">
        <v>5</v>
      </c>
      <c r="AY361" s="9">
        <v>2</v>
      </c>
      <c r="AZ361" s="9">
        <v>2</v>
      </c>
      <c r="BA361" s="9">
        <v>0</v>
      </c>
      <c r="BB361" s="9">
        <v>2</v>
      </c>
      <c r="BC361" s="9">
        <v>1</v>
      </c>
      <c r="BD361" s="9">
        <v>3</v>
      </c>
      <c r="BE361" s="9">
        <v>6</v>
      </c>
      <c r="BF361" s="9">
        <v>0</v>
      </c>
      <c r="BG361" s="9">
        <v>4</v>
      </c>
      <c r="BH361" s="9">
        <v>0</v>
      </c>
      <c r="BI361" s="9">
        <v>5</v>
      </c>
      <c r="BJ361" s="9">
        <v>3</v>
      </c>
      <c r="BK361" s="9">
        <v>6</v>
      </c>
      <c r="BL361" s="9">
        <v>6</v>
      </c>
      <c r="BM361" s="9">
        <v>9</v>
      </c>
      <c r="BN361" s="9">
        <v>1</v>
      </c>
      <c r="BO361" s="9">
        <v>5</v>
      </c>
      <c r="BP361" s="9">
        <v>0</v>
      </c>
      <c r="BQ361" s="9">
        <v>15</v>
      </c>
      <c r="BR361" s="9">
        <v>9</v>
      </c>
      <c r="BS361" s="9">
        <v>12</v>
      </c>
      <c r="BT361" s="9">
        <v>8</v>
      </c>
      <c r="BU361" s="9">
        <v>2</v>
      </c>
      <c r="BV361" s="9">
        <v>11</v>
      </c>
      <c r="BW361" s="9">
        <v>11</v>
      </c>
      <c r="BX361" s="9">
        <v>4</v>
      </c>
      <c r="BY361" s="9">
        <v>5</v>
      </c>
      <c r="BZ361" s="9">
        <v>17</v>
      </c>
      <c r="CA361" s="9">
        <v>9</v>
      </c>
      <c r="CB361" s="9">
        <v>12</v>
      </c>
      <c r="CC361" s="9">
        <v>13</v>
      </c>
      <c r="CD361" s="9">
        <v>12</v>
      </c>
      <c r="CE361" s="9">
        <v>16</v>
      </c>
      <c r="CF361" s="9">
        <v>8</v>
      </c>
      <c r="CG361" s="9">
        <v>11</v>
      </c>
      <c r="CH361" s="9">
        <v>11</v>
      </c>
      <c r="CI361" s="9">
        <v>12</v>
      </c>
      <c r="CJ361" s="9">
        <v>17</v>
      </c>
      <c r="CK361" s="9">
        <v>21</v>
      </c>
      <c r="CL361" s="9">
        <v>27</v>
      </c>
      <c r="CM361" s="9">
        <v>18</v>
      </c>
      <c r="CN361" s="9">
        <v>16</v>
      </c>
      <c r="CO361" s="9">
        <v>31</v>
      </c>
      <c r="CP361" s="9">
        <v>34</v>
      </c>
      <c r="CQ361" s="9">
        <v>22</v>
      </c>
      <c r="CR361" s="9">
        <v>33</v>
      </c>
      <c r="CS361" s="10">
        <v>19</v>
      </c>
    </row>
    <row r="362" spans="1:97" x14ac:dyDescent="0.35">
      <c r="A362" s="8" t="s">
        <v>342</v>
      </c>
      <c r="B362" s="9" t="s">
        <v>407</v>
      </c>
      <c r="C362" s="9" t="s">
        <v>1097</v>
      </c>
      <c r="D362" s="9">
        <f t="shared" si="5"/>
        <v>35</v>
      </c>
      <c r="E362" s="9">
        <v>0</v>
      </c>
      <c r="F362" s="9">
        <v>0</v>
      </c>
      <c r="G362" s="9">
        <v>0</v>
      </c>
      <c r="H362" s="9">
        <v>0</v>
      </c>
      <c r="I362" s="9">
        <v>0</v>
      </c>
      <c r="J362" s="9">
        <v>0</v>
      </c>
      <c r="K362" s="9">
        <v>0</v>
      </c>
      <c r="L362" s="9">
        <v>0</v>
      </c>
      <c r="M362" s="9">
        <v>0</v>
      </c>
      <c r="N362" s="9">
        <v>0</v>
      </c>
      <c r="O362" s="9">
        <v>0</v>
      </c>
      <c r="P362" s="9">
        <v>0</v>
      </c>
      <c r="Q362" s="9">
        <v>0</v>
      </c>
      <c r="R362" s="9">
        <v>0</v>
      </c>
      <c r="S362" s="9">
        <v>0</v>
      </c>
      <c r="T362" s="9">
        <v>0</v>
      </c>
      <c r="U362" s="9">
        <v>0</v>
      </c>
      <c r="V362" s="9">
        <v>0</v>
      </c>
      <c r="W362" s="9">
        <v>0</v>
      </c>
      <c r="X362" s="9">
        <v>0</v>
      </c>
      <c r="Y362" s="9">
        <v>0</v>
      </c>
      <c r="Z362" s="9">
        <v>0</v>
      </c>
      <c r="AA362" s="9">
        <v>0</v>
      </c>
      <c r="AB362" s="9">
        <v>0</v>
      </c>
      <c r="AC362" s="9">
        <v>1</v>
      </c>
      <c r="AD362" s="9">
        <v>0</v>
      </c>
      <c r="AE362" s="9">
        <v>0</v>
      </c>
      <c r="AF362" s="9">
        <v>0</v>
      </c>
      <c r="AG362" s="9">
        <v>0</v>
      </c>
      <c r="AH362" s="9">
        <v>0</v>
      </c>
      <c r="AI362" s="9">
        <v>0</v>
      </c>
      <c r="AJ362" s="9">
        <v>0</v>
      </c>
      <c r="AK362" s="9">
        <v>0</v>
      </c>
      <c r="AL362" s="9">
        <v>0</v>
      </c>
      <c r="AM362" s="9">
        <v>0</v>
      </c>
      <c r="AN362" s="9">
        <v>0</v>
      </c>
      <c r="AO362" s="9">
        <v>0</v>
      </c>
      <c r="AP362" s="9">
        <v>0</v>
      </c>
      <c r="AQ362" s="9">
        <v>0</v>
      </c>
      <c r="AR362" s="9">
        <v>0</v>
      </c>
      <c r="AS362" s="9">
        <v>0</v>
      </c>
      <c r="AT362" s="9">
        <v>0</v>
      </c>
      <c r="AU362" s="9">
        <v>0</v>
      </c>
      <c r="AV362" s="9">
        <v>0</v>
      </c>
      <c r="AW362" s="9">
        <v>0</v>
      </c>
      <c r="AX362" s="9">
        <v>0</v>
      </c>
      <c r="AY362" s="9">
        <v>0</v>
      </c>
      <c r="AZ362" s="9">
        <v>0</v>
      </c>
      <c r="BA362" s="9">
        <v>0</v>
      </c>
      <c r="BB362" s="9">
        <v>0</v>
      </c>
      <c r="BC362" s="9">
        <v>0</v>
      </c>
      <c r="BD362" s="9">
        <v>2</v>
      </c>
      <c r="BE362" s="9">
        <v>0</v>
      </c>
      <c r="BF362" s="9">
        <v>0</v>
      </c>
      <c r="BG362" s="9">
        <v>1</v>
      </c>
      <c r="BH362" s="9">
        <v>0</v>
      </c>
      <c r="BI362" s="9">
        <v>1</v>
      </c>
      <c r="BJ362" s="9">
        <v>0</v>
      </c>
      <c r="BK362" s="9">
        <v>2</v>
      </c>
      <c r="BL362" s="9">
        <v>0</v>
      </c>
      <c r="BM362" s="9">
        <v>0</v>
      </c>
      <c r="BN362" s="9">
        <v>1</v>
      </c>
      <c r="BO362" s="9">
        <v>2</v>
      </c>
      <c r="BP362" s="9">
        <v>2</v>
      </c>
      <c r="BQ362" s="9">
        <v>1</v>
      </c>
      <c r="BR362" s="9">
        <v>0</v>
      </c>
      <c r="BS362" s="9">
        <v>2</v>
      </c>
      <c r="BT362" s="9">
        <v>0</v>
      </c>
      <c r="BU362" s="9">
        <v>1</v>
      </c>
      <c r="BV362" s="9">
        <v>1</v>
      </c>
      <c r="BW362" s="9">
        <v>1</v>
      </c>
      <c r="BX362" s="9">
        <v>0</v>
      </c>
      <c r="BY362" s="9">
        <v>0</v>
      </c>
      <c r="BZ362" s="9">
        <v>1</v>
      </c>
      <c r="CA362" s="9">
        <v>1</v>
      </c>
      <c r="CB362" s="9">
        <v>1</v>
      </c>
      <c r="CC362" s="9">
        <v>0</v>
      </c>
      <c r="CD362" s="9">
        <v>0</v>
      </c>
      <c r="CE362" s="9">
        <v>0</v>
      </c>
      <c r="CF362" s="9">
        <v>0</v>
      </c>
      <c r="CG362" s="9">
        <v>7</v>
      </c>
      <c r="CH362" s="9">
        <v>1</v>
      </c>
      <c r="CI362" s="9">
        <v>1</v>
      </c>
      <c r="CJ362" s="9">
        <v>1</v>
      </c>
      <c r="CK362" s="9">
        <v>0</v>
      </c>
      <c r="CL362" s="9">
        <v>0</v>
      </c>
      <c r="CM362" s="9">
        <v>1</v>
      </c>
      <c r="CN362" s="9">
        <v>0</v>
      </c>
      <c r="CO362" s="9">
        <v>0</v>
      </c>
      <c r="CP362" s="9">
        <v>2</v>
      </c>
      <c r="CQ362" s="9">
        <v>1</v>
      </c>
      <c r="CR362" s="9">
        <v>0</v>
      </c>
      <c r="CS362" s="10">
        <v>0</v>
      </c>
    </row>
    <row r="363" spans="1:97" x14ac:dyDescent="0.35">
      <c r="A363" s="8" t="s">
        <v>342</v>
      </c>
      <c r="B363" s="9" t="s">
        <v>409</v>
      </c>
      <c r="C363" s="9" t="s">
        <v>1098</v>
      </c>
      <c r="D363" s="9">
        <f t="shared" si="5"/>
        <v>0</v>
      </c>
      <c r="E363" s="9">
        <v>0</v>
      </c>
      <c r="F363" s="9">
        <v>0</v>
      </c>
      <c r="G363" s="9">
        <v>0</v>
      </c>
      <c r="H363" s="9">
        <v>0</v>
      </c>
      <c r="I363" s="9">
        <v>0</v>
      </c>
      <c r="J363" s="9">
        <v>0</v>
      </c>
      <c r="K363" s="9">
        <v>0</v>
      </c>
      <c r="L363" s="9">
        <v>0</v>
      </c>
      <c r="M363" s="9">
        <v>0</v>
      </c>
      <c r="N363" s="9">
        <v>0</v>
      </c>
      <c r="O363" s="9">
        <v>0</v>
      </c>
      <c r="P363" s="9">
        <v>0</v>
      </c>
      <c r="Q363" s="9">
        <v>0</v>
      </c>
      <c r="R363" s="9">
        <v>0</v>
      </c>
      <c r="S363" s="9">
        <v>0</v>
      </c>
      <c r="T363" s="9">
        <v>0</v>
      </c>
      <c r="U363" s="9">
        <v>0</v>
      </c>
      <c r="V363" s="9">
        <v>0</v>
      </c>
      <c r="W363" s="9">
        <v>0</v>
      </c>
      <c r="X363" s="9">
        <v>0</v>
      </c>
      <c r="Y363" s="9">
        <v>0</v>
      </c>
      <c r="Z363" s="9">
        <v>0</v>
      </c>
      <c r="AA363" s="9">
        <v>0</v>
      </c>
      <c r="AB363" s="9">
        <v>0</v>
      </c>
      <c r="AC363" s="9">
        <v>0</v>
      </c>
      <c r="AD363" s="9">
        <v>0</v>
      </c>
      <c r="AE363" s="9">
        <v>0</v>
      </c>
      <c r="AF363" s="9">
        <v>0</v>
      </c>
      <c r="AG363" s="9">
        <v>0</v>
      </c>
      <c r="AH363" s="9">
        <v>0</v>
      </c>
      <c r="AI363" s="9">
        <v>0</v>
      </c>
      <c r="AJ363" s="9">
        <v>0</v>
      </c>
      <c r="AK363" s="9">
        <v>0</v>
      </c>
      <c r="AL363" s="9">
        <v>0</v>
      </c>
      <c r="AM363" s="9">
        <v>0</v>
      </c>
      <c r="AN363" s="9">
        <v>0</v>
      </c>
      <c r="AO363" s="9">
        <v>0</v>
      </c>
      <c r="AP363" s="9">
        <v>0</v>
      </c>
      <c r="AQ363" s="9">
        <v>0</v>
      </c>
      <c r="AR363" s="9">
        <v>0</v>
      </c>
      <c r="AS363" s="9">
        <v>0</v>
      </c>
      <c r="AT363" s="9">
        <v>0</v>
      </c>
      <c r="AU363" s="9">
        <v>0</v>
      </c>
      <c r="AV363" s="9">
        <v>0</v>
      </c>
      <c r="AW363" s="9">
        <v>0</v>
      </c>
      <c r="AX363" s="9">
        <v>0</v>
      </c>
      <c r="AY363" s="9">
        <v>0</v>
      </c>
      <c r="AZ363" s="9">
        <v>0</v>
      </c>
      <c r="BA363" s="9">
        <v>0</v>
      </c>
      <c r="BB363" s="9">
        <v>0</v>
      </c>
      <c r="BC363" s="9">
        <v>0</v>
      </c>
      <c r="BD363" s="9">
        <v>0</v>
      </c>
      <c r="BE363" s="9">
        <v>0</v>
      </c>
      <c r="BF363" s="9">
        <v>0</v>
      </c>
      <c r="BG363" s="9">
        <v>0</v>
      </c>
      <c r="BH363" s="9">
        <v>0</v>
      </c>
      <c r="BI363" s="9">
        <v>0</v>
      </c>
      <c r="BJ363" s="9">
        <v>0</v>
      </c>
      <c r="BK363" s="9">
        <v>0</v>
      </c>
      <c r="BL363" s="9">
        <v>0</v>
      </c>
      <c r="BM363" s="9">
        <v>0</v>
      </c>
      <c r="BN363" s="9">
        <v>0</v>
      </c>
      <c r="BO363" s="9">
        <v>0</v>
      </c>
      <c r="BP363" s="9">
        <v>0</v>
      </c>
      <c r="BQ363" s="9">
        <v>0</v>
      </c>
      <c r="BR363" s="9">
        <v>0</v>
      </c>
      <c r="BS363" s="9">
        <v>0</v>
      </c>
      <c r="BT363" s="9">
        <v>0</v>
      </c>
      <c r="BU363" s="9">
        <v>0</v>
      </c>
      <c r="BV363" s="9">
        <v>0</v>
      </c>
      <c r="BW363" s="9">
        <v>0</v>
      </c>
      <c r="BX363" s="9">
        <v>0</v>
      </c>
      <c r="BY363" s="9">
        <v>0</v>
      </c>
      <c r="BZ363" s="9">
        <v>0</v>
      </c>
      <c r="CA363" s="9">
        <v>0</v>
      </c>
      <c r="CB363" s="9">
        <v>0</v>
      </c>
      <c r="CC363" s="9">
        <v>0</v>
      </c>
      <c r="CD363" s="9">
        <v>0</v>
      </c>
      <c r="CE363" s="9">
        <v>0</v>
      </c>
      <c r="CF363" s="9">
        <v>0</v>
      </c>
      <c r="CG363" s="9">
        <v>0</v>
      </c>
      <c r="CH363" s="9">
        <v>0</v>
      </c>
      <c r="CI363" s="9">
        <v>0</v>
      </c>
      <c r="CJ363" s="9">
        <v>0</v>
      </c>
      <c r="CK363" s="9">
        <v>0</v>
      </c>
      <c r="CL363" s="9">
        <v>0</v>
      </c>
      <c r="CM363" s="9">
        <v>0</v>
      </c>
      <c r="CN363" s="9">
        <v>0</v>
      </c>
      <c r="CO363" s="9">
        <v>0</v>
      </c>
      <c r="CP363" s="9">
        <v>0</v>
      </c>
      <c r="CQ363" s="9">
        <v>0</v>
      </c>
      <c r="CR363" s="9">
        <v>0</v>
      </c>
      <c r="CS363" s="10">
        <v>0</v>
      </c>
    </row>
    <row r="364" spans="1:97" x14ac:dyDescent="0.35">
      <c r="A364" s="8" t="s">
        <v>342</v>
      </c>
      <c r="B364" s="9" t="s">
        <v>411</v>
      </c>
      <c r="C364" s="9" t="s">
        <v>1099</v>
      </c>
      <c r="D364" s="9">
        <f t="shared" si="5"/>
        <v>0</v>
      </c>
      <c r="E364" s="9">
        <v>0</v>
      </c>
      <c r="F364" s="9">
        <v>0</v>
      </c>
      <c r="G364" s="9">
        <v>0</v>
      </c>
      <c r="H364" s="9">
        <v>0</v>
      </c>
      <c r="I364" s="9">
        <v>0</v>
      </c>
      <c r="J364" s="9">
        <v>0</v>
      </c>
      <c r="K364" s="9">
        <v>0</v>
      </c>
      <c r="L364" s="9">
        <v>0</v>
      </c>
      <c r="M364" s="9">
        <v>0</v>
      </c>
      <c r="N364" s="9">
        <v>0</v>
      </c>
      <c r="O364" s="9">
        <v>0</v>
      </c>
      <c r="P364" s="9">
        <v>0</v>
      </c>
      <c r="Q364" s="9">
        <v>0</v>
      </c>
      <c r="R364" s="9">
        <v>0</v>
      </c>
      <c r="S364" s="9">
        <v>0</v>
      </c>
      <c r="T364" s="9">
        <v>0</v>
      </c>
      <c r="U364" s="9">
        <v>0</v>
      </c>
      <c r="V364" s="9">
        <v>0</v>
      </c>
      <c r="W364" s="9">
        <v>0</v>
      </c>
      <c r="X364" s="9">
        <v>0</v>
      </c>
      <c r="Y364" s="9">
        <v>0</v>
      </c>
      <c r="Z364" s="9">
        <v>0</v>
      </c>
      <c r="AA364" s="9">
        <v>0</v>
      </c>
      <c r="AB364" s="9">
        <v>0</v>
      </c>
      <c r="AC364" s="9">
        <v>0</v>
      </c>
      <c r="AD364" s="9">
        <v>0</v>
      </c>
      <c r="AE364" s="9">
        <v>0</v>
      </c>
      <c r="AF364" s="9">
        <v>0</v>
      </c>
      <c r="AG364" s="9">
        <v>0</v>
      </c>
      <c r="AH364" s="9">
        <v>0</v>
      </c>
      <c r="AI364" s="9">
        <v>0</v>
      </c>
      <c r="AJ364" s="9">
        <v>0</v>
      </c>
      <c r="AK364" s="9">
        <v>0</v>
      </c>
      <c r="AL364" s="9">
        <v>0</v>
      </c>
      <c r="AM364" s="9">
        <v>0</v>
      </c>
      <c r="AN364" s="9">
        <v>0</v>
      </c>
      <c r="AO364" s="9">
        <v>0</v>
      </c>
      <c r="AP364" s="9">
        <v>0</v>
      </c>
      <c r="AQ364" s="9">
        <v>0</v>
      </c>
      <c r="AR364" s="9">
        <v>0</v>
      </c>
      <c r="AS364" s="9">
        <v>0</v>
      </c>
      <c r="AT364" s="9">
        <v>0</v>
      </c>
      <c r="AU364" s="9">
        <v>0</v>
      </c>
      <c r="AV364" s="9">
        <v>0</v>
      </c>
      <c r="AW364" s="9">
        <v>0</v>
      </c>
      <c r="AX364" s="9">
        <v>0</v>
      </c>
      <c r="AY364" s="9">
        <v>0</v>
      </c>
      <c r="AZ364" s="9">
        <v>0</v>
      </c>
      <c r="BA364" s="9">
        <v>0</v>
      </c>
      <c r="BB364" s="9">
        <v>0</v>
      </c>
      <c r="BC364" s="9">
        <v>0</v>
      </c>
      <c r="BD364" s="9">
        <v>0</v>
      </c>
      <c r="BE364" s="9">
        <v>0</v>
      </c>
      <c r="BF364" s="9">
        <v>0</v>
      </c>
      <c r="BG364" s="9">
        <v>0</v>
      </c>
      <c r="BH364" s="9">
        <v>0</v>
      </c>
      <c r="BI364" s="9">
        <v>0</v>
      </c>
      <c r="BJ364" s="9">
        <v>0</v>
      </c>
      <c r="BK364" s="9">
        <v>0</v>
      </c>
      <c r="BL364" s="9">
        <v>0</v>
      </c>
      <c r="BM364" s="9">
        <v>0</v>
      </c>
      <c r="BN364" s="9">
        <v>0</v>
      </c>
      <c r="BO364" s="9">
        <v>0</v>
      </c>
      <c r="BP364" s="9">
        <v>0</v>
      </c>
      <c r="BQ364" s="9">
        <v>0</v>
      </c>
      <c r="BR364" s="9">
        <v>0</v>
      </c>
      <c r="BS364" s="9">
        <v>0</v>
      </c>
      <c r="BT364" s="9">
        <v>0</v>
      </c>
      <c r="BU364" s="9">
        <v>0</v>
      </c>
      <c r="BV364" s="9">
        <v>0</v>
      </c>
      <c r="BW364" s="9">
        <v>0</v>
      </c>
      <c r="BX364" s="9">
        <v>0</v>
      </c>
      <c r="BY364" s="9">
        <v>0</v>
      </c>
      <c r="BZ364" s="9">
        <v>0</v>
      </c>
      <c r="CA364" s="9">
        <v>0</v>
      </c>
      <c r="CB364" s="9">
        <v>0</v>
      </c>
      <c r="CC364" s="9">
        <v>0</v>
      </c>
      <c r="CD364" s="9">
        <v>0</v>
      </c>
      <c r="CE364" s="9">
        <v>0</v>
      </c>
      <c r="CF364" s="9">
        <v>0</v>
      </c>
      <c r="CG364" s="9">
        <v>0</v>
      </c>
      <c r="CH364" s="9">
        <v>0</v>
      </c>
      <c r="CI364" s="9">
        <v>0</v>
      </c>
      <c r="CJ364" s="9">
        <v>0</v>
      </c>
      <c r="CK364" s="9">
        <v>0</v>
      </c>
      <c r="CL364" s="9">
        <v>0</v>
      </c>
      <c r="CM364" s="9">
        <v>0</v>
      </c>
      <c r="CN364" s="9">
        <v>0</v>
      </c>
      <c r="CO364" s="9">
        <v>0</v>
      </c>
      <c r="CP364" s="9">
        <v>0</v>
      </c>
      <c r="CQ364" s="9">
        <v>0</v>
      </c>
      <c r="CR364" s="9">
        <v>0</v>
      </c>
      <c r="CS364" s="10">
        <v>0</v>
      </c>
    </row>
    <row r="365" spans="1:97" x14ac:dyDescent="0.35">
      <c r="A365" s="8" t="s">
        <v>413</v>
      </c>
      <c r="B365" s="9" t="s">
        <v>414</v>
      </c>
      <c r="C365" s="9" t="s">
        <v>1100</v>
      </c>
      <c r="D365" s="9">
        <f t="shared" si="5"/>
        <v>0</v>
      </c>
      <c r="E365" s="9">
        <v>0</v>
      </c>
      <c r="F365" s="9">
        <v>0</v>
      </c>
      <c r="G365" s="9">
        <v>0</v>
      </c>
      <c r="H365" s="9">
        <v>0</v>
      </c>
      <c r="I365" s="9">
        <v>0</v>
      </c>
      <c r="J365" s="9">
        <v>0</v>
      </c>
      <c r="K365" s="9">
        <v>0</v>
      </c>
      <c r="L365" s="9">
        <v>0</v>
      </c>
      <c r="M365" s="9">
        <v>0</v>
      </c>
      <c r="N365" s="9">
        <v>0</v>
      </c>
      <c r="O365" s="9">
        <v>0</v>
      </c>
      <c r="P365" s="9">
        <v>0</v>
      </c>
      <c r="Q365" s="9">
        <v>0</v>
      </c>
      <c r="R365" s="9">
        <v>0</v>
      </c>
      <c r="S365" s="9">
        <v>0</v>
      </c>
      <c r="T365" s="9">
        <v>0</v>
      </c>
      <c r="U365" s="9">
        <v>0</v>
      </c>
      <c r="V365" s="9">
        <v>0</v>
      </c>
      <c r="W365" s="9">
        <v>0</v>
      </c>
      <c r="X365" s="9">
        <v>0</v>
      </c>
      <c r="Y365" s="9">
        <v>0</v>
      </c>
      <c r="Z365" s="9">
        <v>0</v>
      </c>
      <c r="AA365" s="9">
        <v>0</v>
      </c>
      <c r="AB365" s="9">
        <v>0</v>
      </c>
      <c r="AC365" s="9">
        <v>0</v>
      </c>
      <c r="AD365" s="9">
        <v>0</v>
      </c>
      <c r="AE365" s="9">
        <v>0</v>
      </c>
      <c r="AF365" s="9">
        <v>0</v>
      </c>
      <c r="AG365" s="9">
        <v>0</v>
      </c>
      <c r="AH365" s="9">
        <v>0</v>
      </c>
      <c r="AI365" s="9">
        <v>0</v>
      </c>
      <c r="AJ365" s="9">
        <v>0</v>
      </c>
      <c r="AK365" s="9">
        <v>0</v>
      </c>
      <c r="AL365" s="9">
        <v>0</v>
      </c>
      <c r="AM365" s="9">
        <v>0</v>
      </c>
      <c r="AN365" s="9">
        <v>0</v>
      </c>
      <c r="AO365" s="9">
        <v>0</v>
      </c>
      <c r="AP365" s="9">
        <v>0</v>
      </c>
      <c r="AQ365" s="9">
        <v>0</v>
      </c>
      <c r="AR365" s="9">
        <v>0</v>
      </c>
      <c r="AS365" s="9">
        <v>0</v>
      </c>
      <c r="AT365" s="9">
        <v>0</v>
      </c>
      <c r="AU365" s="9">
        <v>0</v>
      </c>
      <c r="AV365" s="9">
        <v>0</v>
      </c>
      <c r="AW365" s="9">
        <v>0</v>
      </c>
      <c r="AX365" s="9">
        <v>0</v>
      </c>
      <c r="AY365" s="9">
        <v>0</v>
      </c>
      <c r="AZ365" s="9">
        <v>0</v>
      </c>
      <c r="BA365" s="9">
        <v>0</v>
      </c>
      <c r="BB365" s="9">
        <v>0</v>
      </c>
      <c r="BC365" s="9">
        <v>0</v>
      </c>
      <c r="BD365" s="9">
        <v>0</v>
      </c>
      <c r="BE365" s="9">
        <v>0</v>
      </c>
      <c r="BF365" s="9">
        <v>0</v>
      </c>
      <c r="BG365" s="9">
        <v>0</v>
      </c>
      <c r="BH365" s="9">
        <v>0</v>
      </c>
      <c r="BI365" s="9">
        <v>0</v>
      </c>
      <c r="BJ365" s="9">
        <v>0</v>
      </c>
      <c r="BK365" s="9">
        <v>0</v>
      </c>
      <c r="BL365" s="9">
        <v>0</v>
      </c>
      <c r="BM365" s="9">
        <v>0</v>
      </c>
      <c r="BN365" s="9">
        <v>0</v>
      </c>
      <c r="BO365" s="9">
        <v>0</v>
      </c>
      <c r="BP365" s="9">
        <v>0</v>
      </c>
      <c r="BQ365" s="9">
        <v>0</v>
      </c>
      <c r="BR365" s="9">
        <v>0</v>
      </c>
      <c r="BS365" s="9">
        <v>0</v>
      </c>
      <c r="BT365" s="9">
        <v>0</v>
      </c>
      <c r="BU365" s="9">
        <v>0</v>
      </c>
      <c r="BV365" s="9">
        <v>0</v>
      </c>
      <c r="BW365" s="9">
        <v>0</v>
      </c>
      <c r="BX365" s="9">
        <v>0</v>
      </c>
      <c r="BY365" s="9">
        <v>0</v>
      </c>
      <c r="BZ365" s="9">
        <v>0</v>
      </c>
      <c r="CA365" s="9">
        <v>0</v>
      </c>
      <c r="CB365" s="9">
        <v>0</v>
      </c>
      <c r="CC365" s="9">
        <v>0</v>
      </c>
      <c r="CD365" s="9">
        <v>0</v>
      </c>
      <c r="CE365" s="9">
        <v>0</v>
      </c>
      <c r="CF365" s="9">
        <v>0</v>
      </c>
      <c r="CG365" s="9">
        <v>0</v>
      </c>
      <c r="CH365" s="9">
        <v>0</v>
      </c>
      <c r="CI365" s="9">
        <v>0</v>
      </c>
      <c r="CJ365" s="9">
        <v>0</v>
      </c>
      <c r="CK365" s="9">
        <v>0</v>
      </c>
      <c r="CL365" s="9">
        <v>0</v>
      </c>
      <c r="CM365" s="9">
        <v>0</v>
      </c>
      <c r="CN365" s="9">
        <v>0</v>
      </c>
      <c r="CO365" s="9">
        <v>0</v>
      </c>
      <c r="CP365" s="9">
        <v>0</v>
      </c>
      <c r="CQ365" s="9">
        <v>0</v>
      </c>
      <c r="CR365" s="9">
        <v>0</v>
      </c>
      <c r="CS365" s="10">
        <v>0</v>
      </c>
    </row>
    <row r="366" spans="1:97" x14ac:dyDescent="0.35">
      <c r="A366" s="8" t="s">
        <v>413</v>
      </c>
      <c r="B366" s="9" t="s">
        <v>1101</v>
      </c>
      <c r="C366" s="9" t="s">
        <v>1102</v>
      </c>
      <c r="D366" s="9">
        <f t="shared" si="5"/>
        <v>0</v>
      </c>
      <c r="E366" s="9">
        <v>0</v>
      </c>
      <c r="F366" s="9">
        <v>0</v>
      </c>
      <c r="G366" s="9">
        <v>0</v>
      </c>
      <c r="H366" s="9">
        <v>0</v>
      </c>
      <c r="I366" s="9">
        <v>0</v>
      </c>
      <c r="J366" s="9">
        <v>0</v>
      </c>
      <c r="K366" s="9">
        <v>0</v>
      </c>
      <c r="L366" s="9">
        <v>0</v>
      </c>
      <c r="M366" s="9">
        <v>0</v>
      </c>
      <c r="N366" s="9">
        <v>0</v>
      </c>
      <c r="O366" s="9">
        <v>0</v>
      </c>
      <c r="P366" s="9">
        <v>0</v>
      </c>
      <c r="Q366" s="9">
        <v>0</v>
      </c>
      <c r="R366" s="9">
        <v>0</v>
      </c>
      <c r="S366" s="9">
        <v>0</v>
      </c>
      <c r="T366" s="9">
        <v>0</v>
      </c>
      <c r="U366" s="9">
        <v>0</v>
      </c>
      <c r="V366" s="9">
        <v>0</v>
      </c>
      <c r="W366" s="9">
        <v>0</v>
      </c>
      <c r="X366" s="9">
        <v>0</v>
      </c>
      <c r="Y366" s="9">
        <v>0</v>
      </c>
      <c r="Z366" s="9">
        <v>0</v>
      </c>
      <c r="AA366" s="9">
        <v>0</v>
      </c>
      <c r="AB366" s="9">
        <v>0</v>
      </c>
      <c r="AC366" s="9">
        <v>0</v>
      </c>
      <c r="AD366" s="9">
        <v>0</v>
      </c>
      <c r="AE366" s="9">
        <v>0</v>
      </c>
      <c r="AF366" s="9">
        <v>0</v>
      </c>
      <c r="AG366" s="9">
        <v>0</v>
      </c>
      <c r="AH366" s="9">
        <v>0</v>
      </c>
      <c r="AI366" s="9">
        <v>0</v>
      </c>
      <c r="AJ366" s="9">
        <v>0</v>
      </c>
      <c r="AK366" s="9">
        <v>0</v>
      </c>
      <c r="AL366" s="9">
        <v>0</v>
      </c>
      <c r="AM366" s="9">
        <v>0</v>
      </c>
      <c r="AN366" s="9">
        <v>0</v>
      </c>
      <c r="AO366" s="9">
        <v>0</v>
      </c>
      <c r="AP366" s="9">
        <v>0</v>
      </c>
      <c r="AQ366" s="9">
        <v>0</v>
      </c>
      <c r="AR366" s="9">
        <v>0</v>
      </c>
      <c r="AS366" s="9">
        <v>0</v>
      </c>
      <c r="AT366" s="9">
        <v>0</v>
      </c>
      <c r="AU366" s="9">
        <v>0</v>
      </c>
      <c r="AV366" s="9">
        <v>0</v>
      </c>
      <c r="AW366" s="9">
        <v>0</v>
      </c>
      <c r="AX366" s="9">
        <v>0</v>
      </c>
      <c r="AY366" s="9">
        <v>0</v>
      </c>
      <c r="AZ366" s="9">
        <v>0</v>
      </c>
      <c r="BA366" s="9">
        <v>0</v>
      </c>
      <c r="BB366" s="9">
        <v>0</v>
      </c>
      <c r="BC366" s="9">
        <v>0</v>
      </c>
      <c r="BD366" s="9">
        <v>0</v>
      </c>
      <c r="BE366" s="9">
        <v>0</v>
      </c>
      <c r="BF366" s="9">
        <v>0</v>
      </c>
      <c r="BG366" s="9">
        <v>0</v>
      </c>
      <c r="BH366" s="9">
        <v>0</v>
      </c>
      <c r="BI366" s="9">
        <v>0</v>
      </c>
      <c r="BJ366" s="9">
        <v>0</v>
      </c>
      <c r="BK366" s="9">
        <v>0</v>
      </c>
      <c r="BL366" s="9">
        <v>0</v>
      </c>
      <c r="BM366" s="9">
        <v>0</v>
      </c>
      <c r="BN366" s="9">
        <v>0</v>
      </c>
      <c r="BO366" s="9">
        <v>0</v>
      </c>
      <c r="BP366" s="9">
        <v>0</v>
      </c>
      <c r="BQ366" s="9">
        <v>0</v>
      </c>
      <c r="BR366" s="9">
        <v>0</v>
      </c>
      <c r="BS366" s="9">
        <v>0</v>
      </c>
      <c r="BT366" s="9">
        <v>0</v>
      </c>
      <c r="BU366" s="9">
        <v>0</v>
      </c>
      <c r="BV366" s="9">
        <v>0</v>
      </c>
      <c r="BW366" s="9">
        <v>0</v>
      </c>
      <c r="BX366" s="9">
        <v>0</v>
      </c>
      <c r="BY366" s="9">
        <v>0</v>
      </c>
      <c r="BZ366" s="9">
        <v>0</v>
      </c>
      <c r="CA366" s="9">
        <v>0</v>
      </c>
      <c r="CB366" s="9">
        <v>0</v>
      </c>
      <c r="CC366" s="9">
        <v>0</v>
      </c>
      <c r="CD366" s="9">
        <v>0</v>
      </c>
      <c r="CE366" s="9">
        <v>0</v>
      </c>
      <c r="CF366" s="9">
        <v>0</v>
      </c>
      <c r="CG366" s="9">
        <v>0</v>
      </c>
      <c r="CH366" s="9">
        <v>0</v>
      </c>
      <c r="CI366" s="9">
        <v>0</v>
      </c>
      <c r="CJ366" s="9">
        <v>0</v>
      </c>
      <c r="CK366" s="9">
        <v>0</v>
      </c>
      <c r="CL366" s="9">
        <v>0</v>
      </c>
      <c r="CM366" s="9">
        <v>0</v>
      </c>
      <c r="CN366" s="9">
        <v>0</v>
      </c>
      <c r="CO366" s="9">
        <v>0</v>
      </c>
      <c r="CP366" s="9">
        <v>0</v>
      </c>
      <c r="CQ366" s="9">
        <v>0</v>
      </c>
      <c r="CR366" s="9">
        <v>0</v>
      </c>
      <c r="CS366" s="10">
        <v>0</v>
      </c>
    </row>
    <row r="367" spans="1:97" x14ac:dyDescent="0.35">
      <c r="A367" s="8" t="s">
        <v>413</v>
      </c>
      <c r="B367" s="9" t="s">
        <v>1103</v>
      </c>
      <c r="C367" s="9" t="s">
        <v>1104</v>
      </c>
      <c r="D367" s="9">
        <f t="shared" si="5"/>
        <v>0</v>
      </c>
      <c r="E367" s="9">
        <v>0</v>
      </c>
      <c r="F367" s="9">
        <v>0</v>
      </c>
      <c r="G367" s="9">
        <v>0</v>
      </c>
      <c r="H367" s="9">
        <v>0</v>
      </c>
      <c r="I367" s="9">
        <v>0</v>
      </c>
      <c r="J367" s="9">
        <v>0</v>
      </c>
      <c r="K367" s="9">
        <v>0</v>
      </c>
      <c r="L367" s="9">
        <v>0</v>
      </c>
      <c r="M367" s="9">
        <v>0</v>
      </c>
      <c r="N367" s="9">
        <v>0</v>
      </c>
      <c r="O367" s="9">
        <v>0</v>
      </c>
      <c r="P367" s="9">
        <v>0</v>
      </c>
      <c r="Q367" s="9">
        <v>0</v>
      </c>
      <c r="R367" s="9">
        <v>0</v>
      </c>
      <c r="S367" s="9">
        <v>0</v>
      </c>
      <c r="T367" s="9">
        <v>0</v>
      </c>
      <c r="U367" s="9">
        <v>0</v>
      </c>
      <c r="V367" s="9">
        <v>0</v>
      </c>
      <c r="W367" s="9">
        <v>0</v>
      </c>
      <c r="X367" s="9">
        <v>0</v>
      </c>
      <c r="Y367" s="9">
        <v>0</v>
      </c>
      <c r="Z367" s="9">
        <v>0</v>
      </c>
      <c r="AA367" s="9">
        <v>0</v>
      </c>
      <c r="AB367" s="9">
        <v>0</v>
      </c>
      <c r="AC367" s="9">
        <v>0</v>
      </c>
      <c r="AD367" s="9">
        <v>0</v>
      </c>
      <c r="AE367" s="9">
        <v>0</v>
      </c>
      <c r="AF367" s="9">
        <v>0</v>
      </c>
      <c r="AG367" s="9">
        <v>0</v>
      </c>
      <c r="AH367" s="9">
        <v>0</v>
      </c>
      <c r="AI367" s="9">
        <v>0</v>
      </c>
      <c r="AJ367" s="9">
        <v>0</v>
      </c>
      <c r="AK367" s="9">
        <v>0</v>
      </c>
      <c r="AL367" s="9">
        <v>0</v>
      </c>
      <c r="AM367" s="9">
        <v>0</v>
      </c>
      <c r="AN367" s="9">
        <v>0</v>
      </c>
      <c r="AO367" s="9">
        <v>0</v>
      </c>
      <c r="AP367" s="9">
        <v>0</v>
      </c>
      <c r="AQ367" s="9">
        <v>0</v>
      </c>
      <c r="AR367" s="9">
        <v>0</v>
      </c>
      <c r="AS367" s="9">
        <v>0</v>
      </c>
      <c r="AT367" s="9">
        <v>0</v>
      </c>
      <c r="AU367" s="9">
        <v>0</v>
      </c>
      <c r="AV367" s="9">
        <v>0</v>
      </c>
      <c r="AW367" s="9">
        <v>0</v>
      </c>
      <c r="AX367" s="9">
        <v>0</v>
      </c>
      <c r="AY367" s="9">
        <v>0</v>
      </c>
      <c r="AZ367" s="9">
        <v>0</v>
      </c>
      <c r="BA367" s="9">
        <v>0</v>
      </c>
      <c r="BB367" s="9">
        <v>0</v>
      </c>
      <c r="BC367" s="9">
        <v>0</v>
      </c>
      <c r="BD367" s="9">
        <v>0</v>
      </c>
      <c r="BE367" s="9">
        <v>0</v>
      </c>
      <c r="BF367" s="9">
        <v>0</v>
      </c>
      <c r="BG367" s="9">
        <v>0</v>
      </c>
      <c r="BH367" s="9">
        <v>0</v>
      </c>
      <c r="BI367" s="9">
        <v>0</v>
      </c>
      <c r="BJ367" s="9">
        <v>0</v>
      </c>
      <c r="BK367" s="9">
        <v>0</v>
      </c>
      <c r="BL367" s="9">
        <v>0</v>
      </c>
      <c r="BM367" s="9">
        <v>0</v>
      </c>
      <c r="BN367" s="9">
        <v>0</v>
      </c>
      <c r="BO367" s="9">
        <v>0</v>
      </c>
      <c r="BP367" s="9">
        <v>0</v>
      </c>
      <c r="BQ367" s="9">
        <v>0</v>
      </c>
      <c r="BR367" s="9">
        <v>0</v>
      </c>
      <c r="BS367" s="9">
        <v>0</v>
      </c>
      <c r="BT367" s="9">
        <v>0</v>
      </c>
      <c r="BU367" s="9">
        <v>0</v>
      </c>
      <c r="BV367" s="9">
        <v>0</v>
      </c>
      <c r="BW367" s="9">
        <v>0</v>
      </c>
      <c r="BX367" s="9">
        <v>0</v>
      </c>
      <c r="BY367" s="9">
        <v>0</v>
      </c>
      <c r="BZ367" s="9">
        <v>0</v>
      </c>
      <c r="CA367" s="9">
        <v>0</v>
      </c>
      <c r="CB367" s="9">
        <v>0</v>
      </c>
      <c r="CC367" s="9">
        <v>0</v>
      </c>
      <c r="CD367" s="9">
        <v>0</v>
      </c>
      <c r="CE367" s="9">
        <v>0</v>
      </c>
      <c r="CF367" s="9">
        <v>0</v>
      </c>
      <c r="CG367" s="9">
        <v>0</v>
      </c>
      <c r="CH367" s="9">
        <v>0</v>
      </c>
      <c r="CI367" s="9">
        <v>0</v>
      </c>
      <c r="CJ367" s="9">
        <v>0</v>
      </c>
      <c r="CK367" s="9">
        <v>0</v>
      </c>
      <c r="CL367" s="9">
        <v>0</v>
      </c>
      <c r="CM367" s="9">
        <v>0</v>
      </c>
      <c r="CN367" s="9">
        <v>0</v>
      </c>
      <c r="CO367" s="9">
        <v>0</v>
      </c>
      <c r="CP367" s="9">
        <v>0</v>
      </c>
      <c r="CQ367" s="9">
        <v>0</v>
      </c>
      <c r="CR367" s="9">
        <v>0</v>
      </c>
      <c r="CS367" s="10">
        <v>0</v>
      </c>
    </row>
    <row r="368" spans="1:97" x14ac:dyDescent="0.35">
      <c r="A368" s="8" t="s">
        <v>413</v>
      </c>
      <c r="B368" s="9" t="s">
        <v>1105</v>
      </c>
      <c r="C368" s="9" t="s">
        <v>1106</v>
      </c>
      <c r="D368" s="9">
        <f t="shared" si="5"/>
        <v>0</v>
      </c>
      <c r="E368" s="9">
        <v>0</v>
      </c>
      <c r="F368" s="9">
        <v>0</v>
      </c>
      <c r="G368" s="9">
        <v>0</v>
      </c>
      <c r="H368" s="9">
        <v>0</v>
      </c>
      <c r="I368" s="9">
        <v>0</v>
      </c>
      <c r="J368" s="9">
        <v>0</v>
      </c>
      <c r="K368" s="9">
        <v>0</v>
      </c>
      <c r="L368" s="9">
        <v>0</v>
      </c>
      <c r="M368" s="9">
        <v>0</v>
      </c>
      <c r="N368" s="9">
        <v>0</v>
      </c>
      <c r="O368" s="9">
        <v>0</v>
      </c>
      <c r="P368" s="9">
        <v>0</v>
      </c>
      <c r="Q368" s="9">
        <v>0</v>
      </c>
      <c r="R368" s="9">
        <v>0</v>
      </c>
      <c r="S368" s="9">
        <v>0</v>
      </c>
      <c r="T368" s="9">
        <v>0</v>
      </c>
      <c r="U368" s="9">
        <v>0</v>
      </c>
      <c r="V368" s="9">
        <v>0</v>
      </c>
      <c r="W368" s="9">
        <v>0</v>
      </c>
      <c r="X368" s="9">
        <v>0</v>
      </c>
      <c r="Y368" s="9">
        <v>0</v>
      </c>
      <c r="Z368" s="9">
        <v>0</v>
      </c>
      <c r="AA368" s="9">
        <v>0</v>
      </c>
      <c r="AB368" s="9">
        <v>0</v>
      </c>
      <c r="AC368" s="9">
        <v>0</v>
      </c>
      <c r="AD368" s="9">
        <v>0</v>
      </c>
      <c r="AE368" s="9">
        <v>0</v>
      </c>
      <c r="AF368" s="9">
        <v>0</v>
      </c>
      <c r="AG368" s="9">
        <v>0</v>
      </c>
      <c r="AH368" s="9">
        <v>0</v>
      </c>
      <c r="AI368" s="9">
        <v>0</v>
      </c>
      <c r="AJ368" s="9">
        <v>0</v>
      </c>
      <c r="AK368" s="9">
        <v>0</v>
      </c>
      <c r="AL368" s="9">
        <v>0</v>
      </c>
      <c r="AM368" s="9">
        <v>0</v>
      </c>
      <c r="AN368" s="9">
        <v>0</v>
      </c>
      <c r="AO368" s="9">
        <v>0</v>
      </c>
      <c r="AP368" s="9">
        <v>0</v>
      </c>
      <c r="AQ368" s="9">
        <v>0</v>
      </c>
      <c r="AR368" s="9">
        <v>0</v>
      </c>
      <c r="AS368" s="9">
        <v>0</v>
      </c>
      <c r="AT368" s="9">
        <v>0</v>
      </c>
      <c r="AU368" s="9">
        <v>0</v>
      </c>
      <c r="AV368" s="9">
        <v>0</v>
      </c>
      <c r="AW368" s="9">
        <v>0</v>
      </c>
      <c r="AX368" s="9">
        <v>0</v>
      </c>
      <c r="AY368" s="9">
        <v>0</v>
      </c>
      <c r="AZ368" s="9">
        <v>0</v>
      </c>
      <c r="BA368" s="9">
        <v>0</v>
      </c>
      <c r="BB368" s="9">
        <v>0</v>
      </c>
      <c r="BC368" s="9">
        <v>0</v>
      </c>
      <c r="BD368" s="9">
        <v>0</v>
      </c>
      <c r="BE368" s="9">
        <v>0</v>
      </c>
      <c r="BF368" s="9">
        <v>0</v>
      </c>
      <c r="BG368" s="9">
        <v>0</v>
      </c>
      <c r="BH368" s="9">
        <v>0</v>
      </c>
      <c r="BI368" s="9">
        <v>0</v>
      </c>
      <c r="BJ368" s="9">
        <v>0</v>
      </c>
      <c r="BK368" s="9">
        <v>0</v>
      </c>
      <c r="BL368" s="9">
        <v>0</v>
      </c>
      <c r="BM368" s="9">
        <v>0</v>
      </c>
      <c r="BN368" s="9">
        <v>0</v>
      </c>
      <c r="BO368" s="9">
        <v>0</v>
      </c>
      <c r="BP368" s="9">
        <v>0</v>
      </c>
      <c r="BQ368" s="9">
        <v>0</v>
      </c>
      <c r="BR368" s="9">
        <v>0</v>
      </c>
      <c r="BS368" s="9">
        <v>0</v>
      </c>
      <c r="BT368" s="9">
        <v>0</v>
      </c>
      <c r="BU368" s="9">
        <v>0</v>
      </c>
      <c r="BV368" s="9">
        <v>0</v>
      </c>
      <c r="BW368" s="9">
        <v>0</v>
      </c>
      <c r="BX368" s="9">
        <v>0</v>
      </c>
      <c r="BY368" s="9">
        <v>0</v>
      </c>
      <c r="BZ368" s="9">
        <v>0</v>
      </c>
      <c r="CA368" s="9">
        <v>0</v>
      </c>
      <c r="CB368" s="9">
        <v>0</v>
      </c>
      <c r="CC368" s="9">
        <v>0</v>
      </c>
      <c r="CD368" s="9">
        <v>0</v>
      </c>
      <c r="CE368" s="9">
        <v>0</v>
      </c>
      <c r="CF368" s="9">
        <v>0</v>
      </c>
      <c r="CG368" s="9">
        <v>0</v>
      </c>
      <c r="CH368" s="9">
        <v>0</v>
      </c>
      <c r="CI368" s="9">
        <v>0</v>
      </c>
      <c r="CJ368" s="9">
        <v>0</v>
      </c>
      <c r="CK368" s="9">
        <v>0</v>
      </c>
      <c r="CL368" s="9">
        <v>0</v>
      </c>
      <c r="CM368" s="9">
        <v>0</v>
      </c>
      <c r="CN368" s="9">
        <v>0</v>
      </c>
      <c r="CO368" s="9">
        <v>0</v>
      </c>
      <c r="CP368" s="9">
        <v>0</v>
      </c>
      <c r="CQ368" s="9">
        <v>0</v>
      </c>
      <c r="CR368" s="9">
        <v>0</v>
      </c>
      <c r="CS368" s="10">
        <v>0</v>
      </c>
    </row>
    <row r="369" spans="1:97" x14ac:dyDescent="0.35">
      <c r="A369" s="8" t="s">
        <v>413</v>
      </c>
      <c r="B369" s="9" t="s">
        <v>420</v>
      </c>
      <c r="C369" s="9" t="s">
        <v>1107</v>
      </c>
      <c r="D369" s="9">
        <f t="shared" si="5"/>
        <v>2</v>
      </c>
      <c r="E369" s="9">
        <v>0</v>
      </c>
      <c r="F369" s="9">
        <v>0</v>
      </c>
      <c r="G369" s="9">
        <v>0</v>
      </c>
      <c r="H369" s="9">
        <v>0</v>
      </c>
      <c r="I369" s="9">
        <v>0</v>
      </c>
      <c r="J369" s="9">
        <v>0</v>
      </c>
      <c r="K369" s="9">
        <v>0</v>
      </c>
      <c r="L369" s="9">
        <v>0</v>
      </c>
      <c r="M369" s="9">
        <v>0</v>
      </c>
      <c r="N369" s="9">
        <v>0</v>
      </c>
      <c r="O369" s="9">
        <v>0</v>
      </c>
      <c r="P369" s="9">
        <v>0</v>
      </c>
      <c r="Q369" s="9">
        <v>0</v>
      </c>
      <c r="R369" s="9">
        <v>0</v>
      </c>
      <c r="S369" s="9">
        <v>0</v>
      </c>
      <c r="T369" s="9">
        <v>0</v>
      </c>
      <c r="U369" s="9">
        <v>0</v>
      </c>
      <c r="V369" s="9">
        <v>0</v>
      </c>
      <c r="W369" s="9">
        <v>0</v>
      </c>
      <c r="X369" s="9">
        <v>0</v>
      </c>
      <c r="Y369" s="9">
        <v>0</v>
      </c>
      <c r="Z369" s="9">
        <v>0</v>
      </c>
      <c r="AA369" s="9">
        <v>0</v>
      </c>
      <c r="AB369" s="9">
        <v>0</v>
      </c>
      <c r="AC369" s="9">
        <v>0</v>
      </c>
      <c r="AD369" s="9">
        <v>0</v>
      </c>
      <c r="AE369" s="9">
        <v>0</v>
      </c>
      <c r="AF369" s="9">
        <v>0</v>
      </c>
      <c r="AG369" s="9">
        <v>0</v>
      </c>
      <c r="AH369" s="9">
        <v>0</v>
      </c>
      <c r="AI369" s="9">
        <v>0</v>
      </c>
      <c r="AJ369" s="9">
        <v>0</v>
      </c>
      <c r="AK369" s="9">
        <v>0</v>
      </c>
      <c r="AL369" s="9">
        <v>0</v>
      </c>
      <c r="AM369" s="9">
        <v>0</v>
      </c>
      <c r="AN369" s="9">
        <v>0</v>
      </c>
      <c r="AO369" s="9">
        <v>0</v>
      </c>
      <c r="AP369" s="9">
        <v>0</v>
      </c>
      <c r="AQ369" s="9">
        <v>0</v>
      </c>
      <c r="AR369" s="9">
        <v>0</v>
      </c>
      <c r="AS369" s="9">
        <v>0</v>
      </c>
      <c r="AT369" s="9">
        <v>0</v>
      </c>
      <c r="AU369" s="9">
        <v>0</v>
      </c>
      <c r="AV369" s="9">
        <v>0</v>
      </c>
      <c r="AW369" s="9">
        <v>0</v>
      </c>
      <c r="AX369" s="9">
        <v>0</v>
      </c>
      <c r="AY369" s="9">
        <v>0</v>
      </c>
      <c r="AZ369" s="9">
        <v>0</v>
      </c>
      <c r="BA369" s="9">
        <v>0</v>
      </c>
      <c r="BB369" s="9">
        <v>0</v>
      </c>
      <c r="BC369" s="9">
        <v>0</v>
      </c>
      <c r="BD369" s="9">
        <v>0</v>
      </c>
      <c r="BE369" s="9">
        <v>0</v>
      </c>
      <c r="BF369" s="9">
        <v>0</v>
      </c>
      <c r="BG369" s="9">
        <v>0</v>
      </c>
      <c r="BH369" s="9">
        <v>0</v>
      </c>
      <c r="BI369" s="9">
        <v>0</v>
      </c>
      <c r="BJ369" s="9">
        <v>0</v>
      </c>
      <c r="BK369" s="9">
        <v>0</v>
      </c>
      <c r="BL369" s="9">
        <v>0</v>
      </c>
      <c r="BM369" s="9">
        <v>0</v>
      </c>
      <c r="BN369" s="9">
        <v>0</v>
      </c>
      <c r="BO369" s="9">
        <v>0</v>
      </c>
      <c r="BP369" s="9">
        <v>0</v>
      </c>
      <c r="BQ369" s="9">
        <v>0</v>
      </c>
      <c r="BR369" s="9">
        <v>0</v>
      </c>
      <c r="BS369" s="9">
        <v>0</v>
      </c>
      <c r="BT369" s="9">
        <v>0</v>
      </c>
      <c r="BU369" s="9">
        <v>0</v>
      </c>
      <c r="BV369" s="9">
        <v>0</v>
      </c>
      <c r="BW369" s="9">
        <v>0</v>
      </c>
      <c r="BX369" s="9">
        <v>0</v>
      </c>
      <c r="BY369" s="9">
        <v>0</v>
      </c>
      <c r="BZ369" s="9">
        <v>0</v>
      </c>
      <c r="CA369" s="9">
        <v>0</v>
      </c>
      <c r="CB369" s="9">
        <v>0</v>
      </c>
      <c r="CC369" s="9">
        <v>0</v>
      </c>
      <c r="CD369" s="9">
        <v>0</v>
      </c>
      <c r="CE369" s="9">
        <v>0</v>
      </c>
      <c r="CF369" s="9">
        <v>0</v>
      </c>
      <c r="CG369" s="9">
        <v>0</v>
      </c>
      <c r="CH369" s="9">
        <v>0</v>
      </c>
      <c r="CI369" s="9">
        <v>0</v>
      </c>
      <c r="CJ369" s="9">
        <v>0</v>
      </c>
      <c r="CK369" s="9">
        <v>0</v>
      </c>
      <c r="CL369" s="9">
        <v>0</v>
      </c>
      <c r="CM369" s="9">
        <v>0</v>
      </c>
      <c r="CN369" s="9">
        <v>0</v>
      </c>
      <c r="CO369" s="9">
        <v>0</v>
      </c>
      <c r="CP369" s="9">
        <v>0</v>
      </c>
      <c r="CQ369" s="9">
        <v>0</v>
      </c>
      <c r="CR369" s="9">
        <v>1</v>
      </c>
      <c r="CS369" s="10">
        <v>1</v>
      </c>
    </row>
    <row r="370" spans="1:97" x14ac:dyDescent="0.35">
      <c r="A370" s="8" t="s">
        <v>413</v>
      </c>
      <c r="B370" s="9" t="s">
        <v>1108</v>
      </c>
      <c r="C370" s="9" t="s">
        <v>1109</v>
      </c>
      <c r="D370" s="9">
        <f t="shared" si="5"/>
        <v>0</v>
      </c>
      <c r="E370" s="9">
        <v>0</v>
      </c>
      <c r="F370" s="9">
        <v>0</v>
      </c>
      <c r="G370" s="9">
        <v>0</v>
      </c>
      <c r="H370" s="9">
        <v>0</v>
      </c>
      <c r="I370" s="9">
        <v>0</v>
      </c>
      <c r="J370" s="9">
        <v>0</v>
      </c>
      <c r="K370" s="9">
        <v>0</v>
      </c>
      <c r="L370" s="9">
        <v>0</v>
      </c>
      <c r="M370" s="9">
        <v>0</v>
      </c>
      <c r="N370" s="9">
        <v>0</v>
      </c>
      <c r="O370" s="9">
        <v>0</v>
      </c>
      <c r="P370" s="9">
        <v>0</v>
      </c>
      <c r="Q370" s="9">
        <v>0</v>
      </c>
      <c r="R370" s="9">
        <v>0</v>
      </c>
      <c r="S370" s="9">
        <v>0</v>
      </c>
      <c r="T370" s="9">
        <v>0</v>
      </c>
      <c r="U370" s="9">
        <v>0</v>
      </c>
      <c r="V370" s="9">
        <v>0</v>
      </c>
      <c r="W370" s="9">
        <v>0</v>
      </c>
      <c r="X370" s="9">
        <v>0</v>
      </c>
      <c r="Y370" s="9">
        <v>0</v>
      </c>
      <c r="Z370" s="9">
        <v>0</v>
      </c>
      <c r="AA370" s="9">
        <v>0</v>
      </c>
      <c r="AB370" s="9">
        <v>0</v>
      </c>
      <c r="AC370" s="9">
        <v>0</v>
      </c>
      <c r="AD370" s="9">
        <v>0</v>
      </c>
      <c r="AE370" s="9">
        <v>0</v>
      </c>
      <c r="AF370" s="9">
        <v>0</v>
      </c>
      <c r="AG370" s="9">
        <v>0</v>
      </c>
      <c r="AH370" s="9">
        <v>0</v>
      </c>
      <c r="AI370" s="9">
        <v>0</v>
      </c>
      <c r="AJ370" s="9">
        <v>0</v>
      </c>
      <c r="AK370" s="9">
        <v>0</v>
      </c>
      <c r="AL370" s="9">
        <v>0</v>
      </c>
      <c r="AM370" s="9">
        <v>0</v>
      </c>
      <c r="AN370" s="9">
        <v>0</v>
      </c>
      <c r="AO370" s="9">
        <v>0</v>
      </c>
      <c r="AP370" s="9">
        <v>0</v>
      </c>
      <c r="AQ370" s="9">
        <v>0</v>
      </c>
      <c r="AR370" s="9">
        <v>0</v>
      </c>
      <c r="AS370" s="9">
        <v>0</v>
      </c>
      <c r="AT370" s="9">
        <v>0</v>
      </c>
      <c r="AU370" s="9">
        <v>0</v>
      </c>
      <c r="AV370" s="9">
        <v>0</v>
      </c>
      <c r="AW370" s="9">
        <v>0</v>
      </c>
      <c r="AX370" s="9">
        <v>0</v>
      </c>
      <c r="AY370" s="9">
        <v>0</v>
      </c>
      <c r="AZ370" s="9">
        <v>0</v>
      </c>
      <c r="BA370" s="9">
        <v>0</v>
      </c>
      <c r="BB370" s="9">
        <v>0</v>
      </c>
      <c r="BC370" s="9">
        <v>0</v>
      </c>
      <c r="BD370" s="9">
        <v>0</v>
      </c>
      <c r="BE370" s="9">
        <v>0</v>
      </c>
      <c r="BF370" s="9">
        <v>0</v>
      </c>
      <c r="BG370" s="9">
        <v>0</v>
      </c>
      <c r="BH370" s="9">
        <v>0</v>
      </c>
      <c r="BI370" s="9">
        <v>0</v>
      </c>
      <c r="BJ370" s="9">
        <v>0</v>
      </c>
      <c r="BK370" s="9">
        <v>0</v>
      </c>
      <c r="BL370" s="9">
        <v>0</v>
      </c>
      <c r="BM370" s="9">
        <v>0</v>
      </c>
      <c r="BN370" s="9">
        <v>0</v>
      </c>
      <c r="BO370" s="9">
        <v>0</v>
      </c>
      <c r="BP370" s="9">
        <v>0</v>
      </c>
      <c r="BQ370" s="9">
        <v>0</v>
      </c>
      <c r="BR370" s="9">
        <v>0</v>
      </c>
      <c r="BS370" s="9">
        <v>0</v>
      </c>
      <c r="BT370" s="9">
        <v>0</v>
      </c>
      <c r="BU370" s="9">
        <v>0</v>
      </c>
      <c r="BV370" s="9">
        <v>0</v>
      </c>
      <c r="BW370" s="9">
        <v>0</v>
      </c>
      <c r="BX370" s="9">
        <v>0</v>
      </c>
      <c r="BY370" s="9">
        <v>0</v>
      </c>
      <c r="BZ370" s="9">
        <v>0</v>
      </c>
      <c r="CA370" s="9">
        <v>0</v>
      </c>
      <c r="CB370" s="9">
        <v>0</v>
      </c>
      <c r="CC370" s="9">
        <v>0</v>
      </c>
      <c r="CD370" s="9">
        <v>0</v>
      </c>
      <c r="CE370" s="9">
        <v>0</v>
      </c>
      <c r="CF370" s="9">
        <v>0</v>
      </c>
      <c r="CG370" s="9">
        <v>0</v>
      </c>
      <c r="CH370" s="9">
        <v>0</v>
      </c>
      <c r="CI370" s="9">
        <v>0</v>
      </c>
      <c r="CJ370" s="9">
        <v>0</v>
      </c>
      <c r="CK370" s="9">
        <v>0</v>
      </c>
      <c r="CL370" s="9">
        <v>0</v>
      </c>
      <c r="CM370" s="9">
        <v>0</v>
      </c>
      <c r="CN370" s="9">
        <v>0</v>
      </c>
      <c r="CO370" s="9">
        <v>0</v>
      </c>
      <c r="CP370" s="9">
        <v>0</v>
      </c>
      <c r="CQ370" s="9">
        <v>0</v>
      </c>
      <c r="CR370" s="9">
        <v>0</v>
      </c>
      <c r="CS370" s="10">
        <v>0</v>
      </c>
    </row>
    <row r="371" spans="1:97" x14ac:dyDescent="0.35">
      <c r="A371" s="8" t="s">
        <v>413</v>
      </c>
      <c r="B371" s="9" t="s">
        <v>1110</v>
      </c>
      <c r="C371" s="9" t="s">
        <v>1111</v>
      </c>
      <c r="D371" s="9">
        <f t="shared" si="5"/>
        <v>0</v>
      </c>
      <c r="E371" s="9">
        <v>0</v>
      </c>
      <c r="F371" s="9">
        <v>0</v>
      </c>
      <c r="G371" s="9">
        <v>0</v>
      </c>
      <c r="H371" s="9">
        <v>0</v>
      </c>
      <c r="I371" s="9">
        <v>0</v>
      </c>
      <c r="J371" s="9">
        <v>0</v>
      </c>
      <c r="K371" s="9">
        <v>0</v>
      </c>
      <c r="L371" s="9">
        <v>0</v>
      </c>
      <c r="M371" s="9">
        <v>0</v>
      </c>
      <c r="N371" s="9">
        <v>0</v>
      </c>
      <c r="O371" s="9">
        <v>0</v>
      </c>
      <c r="P371" s="9">
        <v>0</v>
      </c>
      <c r="Q371" s="9">
        <v>0</v>
      </c>
      <c r="R371" s="9">
        <v>0</v>
      </c>
      <c r="S371" s="9">
        <v>0</v>
      </c>
      <c r="T371" s="9">
        <v>0</v>
      </c>
      <c r="U371" s="9">
        <v>0</v>
      </c>
      <c r="V371" s="9">
        <v>0</v>
      </c>
      <c r="W371" s="9">
        <v>0</v>
      </c>
      <c r="X371" s="9">
        <v>0</v>
      </c>
      <c r="Y371" s="9">
        <v>0</v>
      </c>
      <c r="Z371" s="9">
        <v>0</v>
      </c>
      <c r="AA371" s="9">
        <v>0</v>
      </c>
      <c r="AB371" s="9">
        <v>0</v>
      </c>
      <c r="AC371" s="9">
        <v>0</v>
      </c>
      <c r="AD371" s="9">
        <v>0</v>
      </c>
      <c r="AE371" s="9">
        <v>0</v>
      </c>
      <c r="AF371" s="9">
        <v>0</v>
      </c>
      <c r="AG371" s="9">
        <v>0</v>
      </c>
      <c r="AH371" s="9">
        <v>0</v>
      </c>
      <c r="AI371" s="9">
        <v>0</v>
      </c>
      <c r="AJ371" s="9">
        <v>0</v>
      </c>
      <c r="AK371" s="9">
        <v>0</v>
      </c>
      <c r="AL371" s="9">
        <v>0</v>
      </c>
      <c r="AM371" s="9">
        <v>0</v>
      </c>
      <c r="AN371" s="9">
        <v>0</v>
      </c>
      <c r="AO371" s="9">
        <v>0</v>
      </c>
      <c r="AP371" s="9">
        <v>0</v>
      </c>
      <c r="AQ371" s="9">
        <v>0</v>
      </c>
      <c r="AR371" s="9">
        <v>0</v>
      </c>
      <c r="AS371" s="9">
        <v>0</v>
      </c>
      <c r="AT371" s="9">
        <v>0</v>
      </c>
      <c r="AU371" s="9">
        <v>0</v>
      </c>
      <c r="AV371" s="9">
        <v>0</v>
      </c>
      <c r="AW371" s="9">
        <v>0</v>
      </c>
      <c r="AX371" s="9">
        <v>0</v>
      </c>
      <c r="AY371" s="9">
        <v>0</v>
      </c>
      <c r="AZ371" s="9">
        <v>0</v>
      </c>
      <c r="BA371" s="9">
        <v>0</v>
      </c>
      <c r="BB371" s="9">
        <v>0</v>
      </c>
      <c r="BC371" s="9">
        <v>0</v>
      </c>
      <c r="BD371" s="9">
        <v>0</v>
      </c>
      <c r="BE371" s="9">
        <v>0</v>
      </c>
      <c r="BF371" s="9">
        <v>0</v>
      </c>
      <c r="BG371" s="9">
        <v>0</v>
      </c>
      <c r="BH371" s="9">
        <v>0</v>
      </c>
      <c r="BI371" s="9">
        <v>0</v>
      </c>
      <c r="BJ371" s="9">
        <v>0</v>
      </c>
      <c r="BK371" s="9">
        <v>0</v>
      </c>
      <c r="BL371" s="9">
        <v>0</v>
      </c>
      <c r="BM371" s="9">
        <v>0</v>
      </c>
      <c r="BN371" s="9">
        <v>0</v>
      </c>
      <c r="BO371" s="9">
        <v>0</v>
      </c>
      <c r="BP371" s="9">
        <v>0</v>
      </c>
      <c r="BQ371" s="9">
        <v>0</v>
      </c>
      <c r="BR371" s="9">
        <v>0</v>
      </c>
      <c r="BS371" s="9">
        <v>0</v>
      </c>
      <c r="BT371" s="9">
        <v>0</v>
      </c>
      <c r="BU371" s="9">
        <v>0</v>
      </c>
      <c r="BV371" s="9">
        <v>0</v>
      </c>
      <c r="BW371" s="9">
        <v>0</v>
      </c>
      <c r="BX371" s="9">
        <v>0</v>
      </c>
      <c r="BY371" s="9">
        <v>0</v>
      </c>
      <c r="BZ371" s="9">
        <v>0</v>
      </c>
      <c r="CA371" s="9">
        <v>0</v>
      </c>
      <c r="CB371" s="9">
        <v>0</v>
      </c>
      <c r="CC371" s="9">
        <v>0</v>
      </c>
      <c r="CD371" s="9">
        <v>0</v>
      </c>
      <c r="CE371" s="9">
        <v>0</v>
      </c>
      <c r="CF371" s="9">
        <v>0</v>
      </c>
      <c r="CG371" s="9">
        <v>0</v>
      </c>
      <c r="CH371" s="9">
        <v>0</v>
      </c>
      <c r="CI371" s="9">
        <v>0</v>
      </c>
      <c r="CJ371" s="9">
        <v>0</v>
      </c>
      <c r="CK371" s="9">
        <v>0</v>
      </c>
      <c r="CL371" s="9">
        <v>0</v>
      </c>
      <c r="CM371" s="9">
        <v>0</v>
      </c>
      <c r="CN371" s="9">
        <v>0</v>
      </c>
      <c r="CO371" s="9">
        <v>0</v>
      </c>
      <c r="CP371" s="9">
        <v>0</v>
      </c>
      <c r="CQ371" s="9">
        <v>0</v>
      </c>
      <c r="CR371" s="9">
        <v>0</v>
      </c>
      <c r="CS371" s="10">
        <v>0</v>
      </c>
    </row>
    <row r="372" spans="1:97" x14ac:dyDescent="0.35">
      <c r="A372" s="8" t="s">
        <v>413</v>
      </c>
      <c r="B372" s="9" t="s">
        <v>1112</v>
      </c>
      <c r="C372" s="9" t="s">
        <v>1113</v>
      </c>
      <c r="D372" s="9">
        <f t="shared" si="5"/>
        <v>0</v>
      </c>
      <c r="E372" s="9">
        <v>0</v>
      </c>
      <c r="F372" s="9">
        <v>0</v>
      </c>
      <c r="G372" s="9">
        <v>0</v>
      </c>
      <c r="H372" s="9">
        <v>0</v>
      </c>
      <c r="I372" s="9">
        <v>0</v>
      </c>
      <c r="J372" s="9">
        <v>0</v>
      </c>
      <c r="K372" s="9">
        <v>0</v>
      </c>
      <c r="L372" s="9">
        <v>0</v>
      </c>
      <c r="M372" s="9">
        <v>0</v>
      </c>
      <c r="N372" s="9">
        <v>0</v>
      </c>
      <c r="O372" s="9">
        <v>0</v>
      </c>
      <c r="P372" s="9">
        <v>0</v>
      </c>
      <c r="Q372" s="9">
        <v>0</v>
      </c>
      <c r="R372" s="9">
        <v>0</v>
      </c>
      <c r="S372" s="9">
        <v>0</v>
      </c>
      <c r="T372" s="9">
        <v>0</v>
      </c>
      <c r="U372" s="9">
        <v>0</v>
      </c>
      <c r="V372" s="9">
        <v>0</v>
      </c>
      <c r="W372" s="9">
        <v>0</v>
      </c>
      <c r="X372" s="9">
        <v>0</v>
      </c>
      <c r="Y372" s="9">
        <v>0</v>
      </c>
      <c r="Z372" s="9">
        <v>0</v>
      </c>
      <c r="AA372" s="9">
        <v>0</v>
      </c>
      <c r="AB372" s="9">
        <v>0</v>
      </c>
      <c r="AC372" s="9">
        <v>0</v>
      </c>
      <c r="AD372" s="9">
        <v>0</v>
      </c>
      <c r="AE372" s="9">
        <v>0</v>
      </c>
      <c r="AF372" s="9">
        <v>0</v>
      </c>
      <c r="AG372" s="9">
        <v>0</v>
      </c>
      <c r="AH372" s="9">
        <v>0</v>
      </c>
      <c r="AI372" s="9">
        <v>0</v>
      </c>
      <c r="AJ372" s="9">
        <v>0</v>
      </c>
      <c r="AK372" s="9">
        <v>0</v>
      </c>
      <c r="AL372" s="9">
        <v>0</v>
      </c>
      <c r="AM372" s="9">
        <v>0</v>
      </c>
      <c r="AN372" s="9">
        <v>0</v>
      </c>
      <c r="AO372" s="9">
        <v>0</v>
      </c>
      <c r="AP372" s="9">
        <v>0</v>
      </c>
      <c r="AQ372" s="9">
        <v>0</v>
      </c>
      <c r="AR372" s="9">
        <v>0</v>
      </c>
      <c r="AS372" s="9">
        <v>0</v>
      </c>
      <c r="AT372" s="9">
        <v>0</v>
      </c>
      <c r="AU372" s="9">
        <v>0</v>
      </c>
      <c r="AV372" s="9">
        <v>0</v>
      </c>
      <c r="AW372" s="9">
        <v>0</v>
      </c>
      <c r="AX372" s="9">
        <v>0</v>
      </c>
      <c r="AY372" s="9">
        <v>0</v>
      </c>
      <c r="AZ372" s="9">
        <v>0</v>
      </c>
      <c r="BA372" s="9">
        <v>0</v>
      </c>
      <c r="BB372" s="9">
        <v>0</v>
      </c>
      <c r="BC372" s="9">
        <v>0</v>
      </c>
      <c r="BD372" s="9">
        <v>0</v>
      </c>
      <c r="BE372" s="9">
        <v>0</v>
      </c>
      <c r="BF372" s="9">
        <v>0</v>
      </c>
      <c r="BG372" s="9">
        <v>0</v>
      </c>
      <c r="BH372" s="9">
        <v>0</v>
      </c>
      <c r="BI372" s="9">
        <v>0</v>
      </c>
      <c r="BJ372" s="9">
        <v>0</v>
      </c>
      <c r="BK372" s="9">
        <v>0</v>
      </c>
      <c r="BL372" s="9">
        <v>0</v>
      </c>
      <c r="BM372" s="9">
        <v>0</v>
      </c>
      <c r="BN372" s="9">
        <v>0</v>
      </c>
      <c r="BO372" s="9">
        <v>0</v>
      </c>
      <c r="BP372" s="9">
        <v>0</v>
      </c>
      <c r="BQ372" s="9">
        <v>0</v>
      </c>
      <c r="BR372" s="9">
        <v>0</v>
      </c>
      <c r="BS372" s="9">
        <v>0</v>
      </c>
      <c r="BT372" s="9">
        <v>0</v>
      </c>
      <c r="BU372" s="9">
        <v>0</v>
      </c>
      <c r="BV372" s="9">
        <v>0</v>
      </c>
      <c r="BW372" s="9">
        <v>0</v>
      </c>
      <c r="BX372" s="9">
        <v>0</v>
      </c>
      <c r="BY372" s="9">
        <v>0</v>
      </c>
      <c r="BZ372" s="9">
        <v>0</v>
      </c>
      <c r="CA372" s="9">
        <v>0</v>
      </c>
      <c r="CB372" s="9">
        <v>0</v>
      </c>
      <c r="CC372" s="9">
        <v>0</v>
      </c>
      <c r="CD372" s="9">
        <v>0</v>
      </c>
      <c r="CE372" s="9">
        <v>0</v>
      </c>
      <c r="CF372" s="9">
        <v>0</v>
      </c>
      <c r="CG372" s="9">
        <v>0</v>
      </c>
      <c r="CH372" s="9">
        <v>0</v>
      </c>
      <c r="CI372" s="9">
        <v>0</v>
      </c>
      <c r="CJ372" s="9">
        <v>0</v>
      </c>
      <c r="CK372" s="9">
        <v>0</v>
      </c>
      <c r="CL372" s="9">
        <v>0</v>
      </c>
      <c r="CM372" s="9">
        <v>0</v>
      </c>
      <c r="CN372" s="9">
        <v>0</v>
      </c>
      <c r="CO372" s="9">
        <v>0</v>
      </c>
      <c r="CP372" s="9">
        <v>0</v>
      </c>
      <c r="CQ372" s="9">
        <v>0</v>
      </c>
      <c r="CR372" s="9">
        <v>0</v>
      </c>
      <c r="CS372" s="10">
        <v>0</v>
      </c>
    </row>
    <row r="373" spans="1:97" x14ac:dyDescent="0.35">
      <c r="A373" s="8" t="s">
        <v>413</v>
      </c>
      <c r="B373" s="9" t="s">
        <v>1114</v>
      </c>
      <c r="C373" s="9" t="s">
        <v>1115</v>
      </c>
      <c r="D373" s="9">
        <f t="shared" si="5"/>
        <v>0</v>
      </c>
      <c r="E373" s="9">
        <v>0</v>
      </c>
      <c r="F373" s="9">
        <v>0</v>
      </c>
      <c r="G373" s="9">
        <v>0</v>
      </c>
      <c r="H373" s="9">
        <v>0</v>
      </c>
      <c r="I373" s="9">
        <v>0</v>
      </c>
      <c r="J373" s="9">
        <v>0</v>
      </c>
      <c r="K373" s="9">
        <v>0</v>
      </c>
      <c r="L373" s="9">
        <v>0</v>
      </c>
      <c r="M373" s="9">
        <v>0</v>
      </c>
      <c r="N373" s="9">
        <v>0</v>
      </c>
      <c r="O373" s="9">
        <v>0</v>
      </c>
      <c r="P373" s="9">
        <v>0</v>
      </c>
      <c r="Q373" s="9">
        <v>0</v>
      </c>
      <c r="R373" s="9">
        <v>0</v>
      </c>
      <c r="S373" s="9">
        <v>0</v>
      </c>
      <c r="T373" s="9">
        <v>0</v>
      </c>
      <c r="U373" s="9">
        <v>0</v>
      </c>
      <c r="V373" s="9">
        <v>0</v>
      </c>
      <c r="W373" s="9">
        <v>0</v>
      </c>
      <c r="X373" s="9">
        <v>0</v>
      </c>
      <c r="Y373" s="9">
        <v>0</v>
      </c>
      <c r="Z373" s="9">
        <v>0</v>
      </c>
      <c r="AA373" s="9">
        <v>0</v>
      </c>
      <c r="AB373" s="9">
        <v>0</v>
      </c>
      <c r="AC373" s="9">
        <v>0</v>
      </c>
      <c r="AD373" s="9">
        <v>0</v>
      </c>
      <c r="AE373" s="9">
        <v>0</v>
      </c>
      <c r="AF373" s="9">
        <v>0</v>
      </c>
      <c r="AG373" s="9">
        <v>0</v>
      </c>
      <c r="AH373" s="9">
        <v>0</v>
      </c>
      <c r="AI373" s="9">
        <v>0</v>
      </c>
      <c r="AJ373" s="9">
        <v>0</v>
      </c>
      <c r="AK373" s="9">
        <v>0</v>
      </c>
      <c r="AL373" s="9">
        <v>0</v>
      </c>
      <c r="AM373" s="9">
        <v>0</v>
      </c>
      <c r="AN373" s="9">
        <v>0</v>
      </c>
      <c r="AO373" s="9">
        <v>0</v>
      </c>
      <c r="AP373" s="9">
        <v>0</v>
      </c>
      <c r="AQ373" s="9">
        <v>0</v>
      </c>
      <c r="AR373" s="9">
        <v>0</v>
      </c>
      <c r="AS373" s="9">
        <v>0</v>
      </c>
      <c r="AT373" s="9">
        <v>0</v>
      </c>
      <c r="AU373" s="9">
        <v>0</v>
      </c>
      <c r="AV373" s="9">
        <v>0</v>
      </c>
      <c r="AW373" s="9">
        <v>0</v>
      </c>
      <c r="AX373" s="9">
        <v>0</v>
      </c>
      <c r="AY373" s="9">
        <v>0</v>
      </c>
      <c r="AZ373" s="9">
        <v>0</v>
      </c>
      <c r="BA373" s="9">
        <v>0</v>
      </c>
      <c r="BB373" s="9">
        <v>0</v>
      </c>
      <c r="BC373" s="9">
        <v>0</v>
      </c>
      <c r="BD373" s="9">
        <v>0</v>
      </c>
      <c r="BE373" s="9">
        <v>0</v>
      </c>
      <c r="BF373" s="9">
        <v>0</v>
      </c>
      <c r="BG373" s="9">
        <v>0</v>
      </c>
      <c r="BH373" s="9">
        <v>0</v>
      </c>
      <c r="BI373" s="9">
        <v>0</v>
      </c>
      <c r="BJ373" s="9">
        <v>0</v>
      </c>
      <c r="BK373" s="9">
        <v>0</v>
      </c>
      <c r="BL373" s="9">
        <v>0</v>
      </c>
      <c r="BM373" s="9">
        <v>0</v>
      </c>
      <c r="BN373" s="9">
        <v>0</v>
      </c>
      <c r="BO373" s="9">
        <v>0</v>
      </c>
      <c r="BP373" s="9">
        <v>0</v>
      </c>
      <c r="BQ373" s="9">
        <v>0</v>
      </c>
      <c r="BR373" s="9">
        <v>0</v>
      </c>
      <c r="BS373" s="9">
        <v>0</v>
      </c>
      <c r="BT373" s="9">
        <v>0</v>
      </c>
      <c r="BU373" s="9">
        <v>0</v>
      </c>
      <c r="BV373" s="9">
        <v>0</v>
      </c>
      <c r="BW373" s="9">
        <v>0</v>
      </c>
      <c r="BX373" s="9">
        <v>0</v>
      </c>
      <c r="BY373" s="9">
        <v>0</v>
      </c>
      <c r="BZ373" s="9">
        <v>0</v>
      </c>
      <c r="CA373" s="9">
        <v>0</v>
      </c>
      <c r="CB373" s="9">
        <v>0</v>
      </c>
      <c r="CC373" s="9">
        <v>0</v>
      </c>
      <c r="CD373" s="9">
        <v>0</v>
      </c>
      <c r="CE373" s="9">
        <v>0</v>
      </c>
      <c r="CF373" s="9">
        <v>0</v>
      </c>
      <c r="CG373" s="9">
        <v>0</v>
      </c>
      <c r="CH373" s="9">
        <v>0</v>
      </c>
      <c r="CI373" s="9">
        <v>0</v>
      </c>
      <c r="CJ373" s="9">
        <v>0</v>
      </c>
      <c r="CK373" s="9">
        <v>0</v>
      </c>
      <c r="CL373" s="9">
        <v>0</v>
      </c>
      <c r="CM373" s="9">
        <v>0</v>
      </c>
      <c r="CN373" s="9">
        <v>0</v>
      </c>
      <c r="CO373" s="9">
        <v>0</v>
      </c>
      <c r="CP373" s="9">
        <v>0</v>
      </c>
      <c r="CQ373" s="9">
        <v>0</v>
      </c>
      <c r="CR373" s="9">
        <v>0</v>
      </c>
      <c r="CS373" s="10">
        <v>0</v>
      </c>
    </row>
    <row r="374" spans="1:97" x14ac:dyDescent="0.35">
      <c r="A374" s="8" t="s">
        <v>413</v>
      </c>
      <c r="B374" s="9" t="s">
        <v>1116</v>
      </c>
      <c r="C374" s="9" t="s">
        <v>1117</v>
      </c>
      <c r="D374" s="9">
        <f t="shared" si="5"/>
        <v>0</v>
      </c>
      <c r="E374" s="9">
        <v>0</v>
      </c>
      <c r="F374" s="9">
        <v>0</v>
      </c>
      <c r="G374" s="9">
        <v>0</v>
      </c>
      <c r="H374" s="9">
        <v>0</v>
      </c>
      <c r="I374" s="9">
        <v>0</v>
      </c>
      <c r="J374" s="9">
        <v>0</v>
      </c>
      <c r="K374" s="9">
        <v>0</v>
      </c>
      <c r="L374" s="9">
        <v>0</v>
      </c>
      <c r="M374" s="9">
        <v>0</v>
      </c>
      <c r="N374" s="9">
        <v>0</v>
      </c>
      <c r="O374" s="9">
        <v>0</v>
      </c>
      <c r="P374" s="9">
        <v>0</v>
      </c>
      <c r="Q374" s="9">
        <v>0</v>
      </c>
      <c r="R374" s="9">
        <v>0</v>
      </c>
      <c r="S374" s="9">
        <v>0</v>
      </c>
      <c r="T374" s="9">
        <v>0</v>
      </c>
      <c r="U374" s="9">
        <v>0</v>
      </c>
      <c r="V374" s="9">
        <v>0</v>
      </c>
      <c r="W374" s="9">
        <v>0</v>
      </c>
      <c r="X374" s="9">
        <v>0</v>
      </c>
      <c r="Y374" s="9">
        <v>0</v>
      </c>
      <c r="Z374" s="9">
        <v>0</v>
      </c>
      <c r="AA374" s="9">
        <v>0</v>
      </c>
      <c r="AB374" s="9">
        <v>0</v>
      </c>
      <c r="AC374" s="9">
        <v>0</v>
      </c>
      <c r="AD374" s="9">
        <v>0</v>
      </c>
      <c r="AE374" s="9">
        <v>0</v>
      </c>
      <c r="AF374" s="9">
        <v>0</v>
      </c>
      <c r="AG374" s="9">
        <v>0</v>
      </c>
      <c r="AH374" s="9">
        <v>0</v>
      </c>
      <c r="AI374" s="9">
        <v>0</v>
      </c>
      <c r="AJ374" s="9">
        <v>0</v>
      </c>
      <c r="AK374" s="9">
        <v>0</v>
      </c>
      <c r="AL374" s="9">
        <v>0</v>
      </c>
      <c r="AM374" s="9">
        <v>0</v>
      </c>
      <c r="AN374" s="9">
        <v>0</v>
      </c>
      <c r="AO374" s="9">
        <v>0</v>
      </c>
      <c r="AP374" s="9">
        <v>0</v>
      </c>
      <c r="AQ374" s="9">
        <v>0</v>
      </c>
      <c r="AR374" s="9">
        <v>0</v>
      </c>
      <c r="AS374" s="9">
        <v>0</v>
      </c>
      <c r="AT374" s="9">
        <v>0</v>
      </c>
      <c r="AU374" s="9">
        <v>0</v>
      </c>
      <c r="AV374" s="9">
        <v>0</v>
      </c>
      <c r="AW374" s="9">
        <v>0</v>
      </c>
      <c r="AX374" s="9">
        <v>0</v>
      </c>
      <c r="AY374" s="9">
        <v>0</v>
      </c>
      <c r="AZ374" s="9">
        <v>0</v>
      </c>
      <c r="BA374" s="9">
        <v>0</v>
      </c>
      <c r="BB374" s="9">
        <v>0</v>
      </c>
      <c r="BC374" s="9">
        <v>0</v>
      </c>
      <c r="BD374" s="9">
        <v>0</v>
      </c>
      <c r="BE374" s="9">
        <v>0</v>
      </c>
      <c r="BF374" s="9">
        <v>0</v>
      </c>
      <c r="BG374" s="9">
        <v>0</v>
      </c>
      <c r="BH374" s="9">
        <v>0</v>
      </c>
      <c r="BI374" s="9">
        <v>0</v>
      </c>
      <c r="BJ374" s="9">
        <v>0</v>
      </c>
      <c r="BK374" s="9">
        <v>0</v>
      </c>
      <c r="BL374" s="9">
        <v>0</v>
      </c>
      <c r="BM374" s="9">
        <v>0</v>
      </c>
      <c r="BN374" s="9">
        <v>0</v>
      </c>
      <c r="BO374" s="9">
        <v>0</v>
      </c>
      <c r="BP374" s="9">
        <v>0</v>
      </c>
      <c r="BQ374" s="9">
        <v>0</v>
      </c>
      <c r="BR374" s="9">
        <v>0</v>
      </c>
      <c r="BS374" s="9">
        <v>0</v>
      </c>
      <c r="BT374" s="9">
        <v>0</v>
      </c>
      <c r="BU374" s="9">
        <v>0</v>
      </c>
      <c r="BV374" s="9">
        <v>0</v>
      </c>
      <c r="BW374" s="9">
        <v>0</v>
      </c>
      <c r="BX374" s="9">
        <v>0</v>
      </c>
      <c r="BY374" s="9">
        <v>0</v>
      </c>
      <c r="BZ374" s="9">
        <v>0</v>
      </c>
      <c r="CA374" s="9">
        <v>0</v>
      </c>
      <c r="CB374" s="9">
        <v>0</v>
      </c>
      <c r="CC374" s="9">
        <v>0</v>
      </c>
      <c r="CD374" s="9">
        <v>0</v>
      </c>
      <c r="CE374" s="9">
        <v>0</v>
      </c>
      <c r="CF374" s="9">
        <v>0</v>
      </c>
      <c r="CG374" s="9">
        <v>0</v>
      </c>
      <c r="CH374" s="9">
        <v>0</v>
      </c>
      <c r="CI374" s="9">
        <v>0</v>
      </c>
      <c r="CJ374" s="9">
        <v>0</v>
      </c>
      <c r="CK374" s="9">
        <v>0</v>
      </c>
      <c r="CL374" s="9">
        <v>0</v>
      </c>
      <c r="CM374" s="9">
        <v>0</v>
      </c>
      <c r="CN374" s="9">
        <v>0</v>
      </c>
      <c r="CO374" s="9">
        <v>0</v>
      </c>
      <c r="CP374" s="9">
        <v>0</v>
      </c>
      <c r="CQ374" s="9">
        <v>0</v>
      </c>
      <c r="CR374" s="9">
        <v>0</v>
      </c>
      <c r="CS374" s="10">
        <v>0</v>
      </c>
    </row>
    <row r="375" spans="1:97" x14ac:dyDescent="0.35">
      <c r="A375" s="8" t="s">
        <v>413</v>
      </c>
      <c r="B375" s="9" t="s">
        <v>424</v>
      </c>
      <c r="C375" s="9" t="s">
        <v>1118</v>
      </c>
      <c r="D375" s="9">
        <f t="shared" si="5"/>
        <v>4</v>
      </c>
      <c r="E375" s="9">
        <v>0</v>
      </c>
      <c r="F375" s="9">
        <v>0</v>
      </c>
      <c r="G375" s="9">
        <v>0</v>
      </c>
      <c r="H375" s="9">
        <v>0</v>
      </c>
      <c r="I375" s="9">
        <v>0</v>
      </c>
      <c r="J375" s="9">
        <v>0</v>
      </c>
      <c r="K375" s="9">
        <v>0</v>
      </c>
      <c r="L375" s="9">
        <v>0</v>
      </c>
      <c r="M375" s="9">
        <v>0</v>
      </c>
      <c r="N375" s="9">
        <v>0</v>
      </c>
      <c r="O375" s="9">
        <v>0</v>
      </c>
      <c r="P375" s="9">
        <v>0</v>
      </c>
      <c r="Q375" s="9">
        <v>0</v>
      </c>
      <c r="R375" s="9">
        <v>0</v>
      </c>
      <c r="S375" s="9">
        <v>0</v>
      </c>
      <c r="T375" s="9">
        <v>0</v>
      </c>
      <c r="U375" s="9">
        <v>0</v>
      </c>
      <c r="V375" s="9">
        <v>0</v>
      </c>
      <c r="W375" s="9">
        <v>0</v>
      </c>
      <c r="X375" s="9">
        <v>0</v>
      </c>
      <c r="Y375" s="9">
        <v>0</v>
      </c>
      <c r="Z375" s="9">
        <v>0</v>
      </c>
      <c r="AA375" s="9">
        <v>0</v>
      </c>
      <c r="AB375" s="9">
        <v>0</v>
      </c>
      <c r="AC375" s="9">
        <v>0</v>
      </c>
      <c r="AD375" s="9">
        <v>0</v>
      </c>
      <c r="AE375" s="9">
        <v>0</v>
      </c>
      <c r="AF375" s="9">
        <v>0</v>
      </c>
      <c r="AG375" s="9">
        <v>0</v>
      </c>
      <c r="AH375" s="9">
        <v>0</v>
      </c>
      <c r="AI375" s="9">
        <v>0</v>
      </c>
      <c r="AJ375" s="9">
        <v>0</v>
      </c>
      <c r="AK375" s="9">
        <v>0</v>
      </c>
      <c r="AL375" s="9">
        <v>0</v>
      </c>
      <c r="AM375" s="9">
        <v>0</v>
      </c>
      <c r="AN375" s="9">
        <v>0</v>
      </c>
      <c r="AO375" s="9">
        <v>0</v>
      </c>
      <c r="AP375" s="9">
        <v>0</v>
      </c>
      <c r="AQ375" s="9">
        <v>0</v>
      </c>
      <c r="AR375" s="9">
        <v>0</v>
      </c>
      <c r="AS375" s="9">
        <v>0</v>
      </c>
      <c r="AT375" s="9">
        <v>0</v>
      </c>
      <c r="AU375" s="9">
        <v>0</v>
      </c>
      <c r="AV375" s="9">
        <v>0</v>
      </c>
      <c r="AW375" s="9">
        <v>0</v>
      </c>
      <c r="AX375" s="9">
        <v>0</v>
      </c>
      <c r="AY375" s="9">
        <v>0</v>
      </c>
      <c r="AZ375" s="9">
        <v>0</v>
      </c>
      <c r="BA375" s="9">
        <v>0</v>
      </c>
      <c r="BB375" s="9">
        <v>0</v>
      </c>
      <c r="BC375" s="9">
        <v>0</v>
      </c>
      <c r="BD375" s="9">
        <v>0</v>
      </c>
      <c r="BE375" s="9">
        <v>0</v>
      </c>
      <c r="BF375" s="9">
        <v>0</v>
      </c>
      <c r="BG375" s="9">
        <v>0</v>
      </c>
      <c r="BH375" s="9">
        <v>0</v>
      </c>
      <c r="BI375" s="9">
        <v>0</v>
      </c>
      <c r="BJ375" s="9">
        <v>0</v>
      </c>
      <c r="BK375" s="9">
        <v>0</v>
      </c>
      <c r="BL375" s="9">
        <v>0</v>
      </c>
      <c r="BM375" s="9">
        <v>0</v>
      </c>
      <c r="BN375" s="9">
        <v>0</v>
      </c>
      <c r="BO375" s="9">
        <v>0</v>
      </c>
      <c r="BP375" s="9">
        <v>0</v>
      </c>
      <c r="BQ375" s="9">
        <v>0</v>
      </c>
      <c r="BR375" s="9">
        <v>0</v>
      </c>
      <c r="BS375" s="9">
        <v>0</v>
      </c>
      <c r="BT375" s="9">
        <v>0</v>
      </c>
      <c r="BU375" s="9">
        <v>0</v>
      </c>
      <c r="BV375" s="9">
        <v>0</v>
      </c>
      <c r="BW375" s="9">
        <v>0</v>
      </c>
      <c r="BX375" s="9">
        <v>0</v>
      </c>
      <c r="BY375" s="9">
        <v>0</v>
      </c>
      <c r="BZ375" s="9">
        <v>0</v>
      </c>
      <c r="CA375" s="9">
        <v>0</v>
      </c>
      <c r="CB375" s="9">
        <v>0</v>
      </c>
      <c r="CC375" s="9">
        <v>0</v>
      </c>
      <c r="CD375" s="9">
        <v>0</v>
      </c>
      <c r="CE375" s="9">
        <v>0</v>
      </c>
      <c r="CF375" s="9">
        <v>0</v>
      </c>
      <c r="CG375" s="9">
        <v>0</v>
      </c>
      <c r="CH375" s="9">
        <v>0</v>
      </c>
      <c r="CI375" s="9">
        <v>0</v>
      </c>
      <c r="CJ375" s="9">
        <v>0</v>
      </c>
      <c r="CK375" s="9">
        <v>0</v>
      </c>
      <c r="CL375" s="9">
        <v>0</v>
      </c>
      <c r="CM375" s="9">
        <v>0</v>
      </c>
      <c r="CN375" s="9">
        <v>1</v>
      </c>
      <c r="CO375" s="9">
        <v>0</v>
      </c>
      <c r="CP375" s="9">
        <v>1</v>
      </c>
      <c r="CQ375" s="9">
        <v>1</v>
      </c>
      <c r="CR375" s="9">
        <v>0</v>
      </c>
      <c r="CS375" s="10">
        <v>1</v>
      </c>
    </row>
    <row r="376" spans="1:97" x14ac:dyDescent="0.35">
      <c r="A376" s="8" t="s">
        <v>413</v>
      </c>
      <c r="B376" s="9" t="s">
        <v>1119</v>
      </c>
      <c r="C376" s="9" t="s">
        <v>1120</v>
      </c>
      <c r="D376" s="9">
        <f t="shared" si="5"/>
        <v>0</v>
      </c>
      <c r="E376" s="9">
        <v>0</v>
      </c>
      <c r="F376" s="9">
        <v>0</v>
      </c>
      <c r="G376" s="9">
        <v>0</v>
      </c>
      <c r="H376" s="9">
        <v>0</v>
      </c>
      <c r="I376" s="9">
        <v>0</v>
      </c>
      <c r="J376" s="9">
        <v>0</v>
      </c>
      <c r="K376" s="9">
        <v>0</v>
      </c>
      <c r="L376" s="9">
        <v>0</v>
      </c>
      <c r="M376" s="9">
        <v>0</v>
      </c>
      <c r="N376" s="9">
        <v>0</v>
      </c>
      <c r="O376" s="9">
        <v>0</v>
      </c>
      <c r="P376" s="9">
        <v>0</v>
      </c>
      <c r="Q376" s="9">
        <v>0</v>
      </c>
      <c r="R376" s="9">
        <v>0</v>
      </c>
      <c r="S376" s="9">
        <v>0</v>
      </c>
      <c r="T376" s="9">
        <v>0</v>
      </c>
      <c r="U376" s="9">
        <v>0</v>
      </c>
      <c r="V376" s="9">
        <v>0</v>
      </c>
      <c r="W376" s="9">
        <v>0</v>
      </c>
      <c r="X376" s="9">
        <v>0</v>
      </c>
      <c r="Y376" s="9">
        <v>0</v>
      </c>
      <c r="Z376" s="9">
        <v>0</v>
      </c>
      <c r="AA376" s="9">
        <v>0</v>
      </c>
      <c r="AB376" s="9">
        <v>0</v>
      </c>
      <c r="AC376" s="9">
        <v>0</v>
      </c>
      <c r="AD376" s="9">
        <v>0</v>
      </c>
      <c r="AE376" s="9">
        <v>0</v>
      </c>
      <c r="AF376" s="9">
        <v>0</v>
      </c>
      <c r="AG376" s="9">
        <v>0</v>
      </c>
      <c r="AH376" s="9">
        <v>0</v>
      </c>
      <c r="AI376" s="9">
        <v>0</v>
      </c>
      <c r="AJ376" s="9">
        <v>0</v>
      </c>
      <c r="AK376" s="9">
        <v>0</v>
      </c>
      <c r="AL376" s="9">
        <v>0</v>
      </c>
      <c r="AM376" s="9">
        <v>0</v>
      </c>
      <c r="AN376" s="9">
        <v>0</v>
      </c>
      <c r="AO376" s="9">
        <v>0</v>
      </c>
      <c r="AP376" s="9">
        <v>0</v>
      </c>
      <c r="AQ376" s="9">
        <v>0</v>
      </c>
      <c r="AR376" s="9">
        <v>0</v>
      </c>
      <c r="AS376" s="9">
        <v>0</v>
      </c>
      <c r="AT376" s="9">
        <v>0</v>
      </c>
      <c r="AU376" s="9">
        <v>0</v>
      </c>
      <c r="AV376" s="9">
        <v>0</v>
      </c>
      <c r="AW376" s="9">
        <v>0</v>
      </c>
      <c r="AX376" s="9">
        <v>0</v>
      </c>
      <c r="AY376" s="9">
        <v>0</v>
      </c>
      <c r="AZ376" s="9">
        <v>0</v>
      </c>
      <c r="BA376" s="9">
        <v>0</v>
      </c>
      <c r="BB376" s="9">
        <v>0</v>
      </c>
      <c r="BC376" s="9">
        <v>0</v>
      </c>
      <c r="BD376" s="9">
        <v>0</v>
      </c>
      <c r="BE376" s="9">
        <v>0</v>
      </c>
      <c r="BF376" s="9">
        <v>0</v>
      </c>
      <c r="BG376" s="9">
        <v>0</v>
      </c>
      <c r="BH376" s="9">
        <v>0</v>
      </c>
      <c r="BI376" s="9">
        <v>0</v>
      </c>
      <c r="BJ376" s="9">
        <v>0</v>
      </c>
      <c r="BK376" s="9">
        <v>0</v>
      </c>
      <c r="BL376" s="9">
        <v>0</v>
      </c>
      <c r="BM376" s="9">
        <v>0</v>
      </c>
      <c r="BN376" s="9">
        <v>0</v>
      </c>
      <c r="BO376" s="9">
        <v>0</v>
      </c>
      <c r="BP376" s="9">
        <v>0</v>
      </c>
      <c r="BQ376" s="9">
        <v>0</v>
      </c>
      <c r="BR376" s="9">
        <v>0</v>
      </c>
      <c r="BS376" s="9">
        <v>0</v>
      </c>
      <c r="BT376" s="9">
        <v>0</v>
      </c>
      <c r="BU376" s="9">
        <v>0</v>
      </c>
      <c r="BV376" s="9">
        <v>0</v>
      </c>
      <c r="BW376" s="9">
        <v>0</v>
      </c>
      <c r="BX376" s="9">
        <v>0</v>
      </c>
      <c r="BY376" s="9">
        <v>0</v>
      </c>
      <c r="BZ376" s="9">
        <v>0</v>
      </c>
      <c r="CA376" s="9">
        <v>0</v>
      </c>
      <c r="CB376" s="9">
        <v>0</v>
      </c>
      <c r="CC376" s="9">
        <v>0</v>
      </c>
      <c r="CD376" s="9">
        <v>0</v>
      </c>
      <c r="CE376" s="9">
        <v>0</v>
      </c>
      <c r="CF376" s="9">
        <v>0</v>
      </c>
      <c r="CG376" s="9">
        <v>0</v>
      </c>
      <c r="CH376" s="9">
        <v>0</v>
      </c>
      <c r="CI376" s="9">
        <v>0</v>
      </c>
      <c r="CJ376" s="9">
        <v>0</v>
      </c>
      <c r="CK376" s="9">
        <v>0</v>
      </c>
      <c r="CL376" s="9">
        <v>0</v>
      </c>
      <c r="CM376" s="9">
        <v>0</v>
      </c>
      <c r="CN376" s="9">
        <v>0</v>
      </c>
      <c r="CO376" s="9">
        <v>0</v>
      </c>
      <c r="CP376" s="9">
        <v>0</v>
      </c>
      <c r="CQ376" s="9">
        <v>0</v>
      </c>
      <c r="CR376" s="9">
        <v>0</v>
      </c>
      <c r="CS376" s="10">
        <v>0</v>
      </c>
    </row>
    <row r="377" spans="1:97" x14ac:dyDescent="0.35">
      <c r="A377" s="8" t="s">
        <v>413</v>
      </c>
      <c r="B377" s="9" t="s">
        <v>1121</v>
      </c>
      <c r="C377" s="9" t="s">
        <v>1122</v>
      </c>
      <c r="D377" s="9">
        <f t="shared" si="5"/>
        <v>0</v>
      </c>
      <c r="E377" s="9">
        <v>0</v>
      </c>
      <c r="F377" s="9">
        <v>0</v>
      </c>
      <c r="G377" s="9">
        <v>0</v>
      </c>
      <c r="H377" s="9">
        <v>0</v>
      </c>
      <c r="I377" s="9">
        <v>0</v>
      </c>
      <c r="J377" s="9">
        <v>0</v>
      </c>
      <c r="K377" s="9">
        <v>0</v>
      </c>
      <c r="L377" s="9">
        <v>0</v>
      </c>
      <c r="M377" s="9">
        <v>0</v>
      </c>
      <c r="N377" s="9">
        <v>0</v>
      </c>
      <c r="O377" s="9">
        <v>0</v>
      </c>
      <c r="P377" s="9">
        <v>0</v>
      </c>
      <c r="Q377" s="9">
        <v>0</v>
      </c>
      <c r="R377" s="9">
        <v>0</v>
      </c>
      <c r="S377" s="9">
        <v>0</v>
      </c>
      <c r="T377" s="9">
        <v>0</v>
      </c>
      <c r="U377" s="9">
        <v>0</v>
      </c>
      <c r="V377" s="9">
        <v>0</v>
      </c>
      <c r="W377" s="9">
        <v>0</v>
      </c>
      <c r="X377" s="9">
        <v>0</v>
      </c>
      <c r="Y377" s="9">
        <v>0</v>
      </c>
      <c r="Z377" s="9">
        <v>0</v>
      </c>
      <c r="AA377" s="9">
        <v>0</v>
      </c>
      <c r="AB377" s="9">
        <v>0</v>
      </c>
      <c r="AC377" s="9">
        <v>0</v>
      </c>
      <c r="AD377" s="9">
        <v>0</v>
      </c>
      <c r="AE377" s="9">
        <v>0</v>
      </c>
      <c r="AF377" s="9">
        <v>0</v>
      </c>
      <c r="AG377" s="9">
        <v>0</v>
      </c>
      <c r="AH377" s="9">
        <v>0</v>
      </c>
      <c r="AI377" s="9">
        <v>0</v>
      </c>
      <c r="AJ377" s="9">
        <v>0</v>
      </c>
      <c r="AK377" s="9">
        <v>0</v>
      </c>
      <c r="AL377" s="9">
        <v>0</v>
      </c>
      <c r="AM377" s="9">
        <v>0</v>
      </c>
      <c r="AN377" s="9">
        <v>0</v>
      </c>
      <c r="AO377" s="9">
        <v>0</v>
      </c>
      <c r="AP377" s="9">
        <v>0</v>
      </c>
      <c r="AQ377" s="9">
        <v>0</v>
      </c>
      <c r="AR377" s="9">
        <v>0</v>
      </c>
      <c r="AS377" s="9">
        <v>0</v>
      </c>
      <c r="AT377" s="9">
        <v>0</v>
      </c>
      <c r="AU377" s="9">
        <v>0</v>
      </c>
      <c r="AV377" s="9">
        <v>0</v>
      </c>
      <c r="AW377" s="9">
        <v>0</v>
      </c>
      <c r="AX377" s="9">
        <v>0</v>
      </c>
      <c r="AY377" s="9">
        <v>0</v>
      </c>
      <c r="AZ377" s="9">
        <v>0</v>
      </c>
      <c r="BA377" s="9">
        <v>0</v>
      </c>
      <c r="BB377" s="9">
        <v>0</v>
      </c>
      <c r="BC377" s="9">
        <v>0</v>
      </c>
      <c r="BD377" s="9">
        <v>0</v>
      </c>
      <c r="BE377" s="9">
        <v>0</v>
      </c>
      <c r="BF377" s="9">
        <v>0</v>
      </c>
      <c r="BG377" s="9">
        <v>0</v>
      </c>
      <c r="BH377" s="9">
        <v>0</v>
      </c>
      <c r="BI377" s="9">
        <v>0</v>
      </c>
      <c r="BJ377" s="9">
        <v>0</v>
      </c>
      <c r="BK377" s="9">
        <v>0</v>
      </c>
      <c r="BL377" s="9">
        <v>0</v>
      </c>
      <c r="BM377" s="9">
        <v>0</v>
      </c>
      <c r="BN377" s="9">
        <v>0</v>
      </c>
      <c r="BO377" s="9">
        <v>0</v>
      </c>
      <c r="BP377" s="9">
        <v>0</v>
      </c>
      <c r="BQ377" s="9">
        <v>0</v>
      </c>
      <c r="BR377" s="9">
        <v>0</v>
      </c>
      <c r="BS377" s="9">
        <v>0</v>
      </c>
      <c r="BT377" s="9">
        <v>0</v>
      </c>
      <c r="BU377" s="9">
        <v>0</v>
      </c>
      <c r="BV377" s="9">
        <v>0</v>
      </c>
      <c r="BW377" s="9">
        <v>0</v>
      </c>
      <c r="BX377" s="9">
        <v>0</v>
      </c>
      <c r="BY377" s="9">
        <v>0</v>
      </c>
      <c r="BZ377" s="9">
        <v>0</v>
      </c>
      <c r="CA377" s="9">
        <v>0</v>
      </c>
      <c r="CB377" s="9">
        <v>0</v>
      </c>
      <c r="CC377" s="9">
        <v>0</v>
      </c>
      <c r="CD377" s="9">
        <v>0</v>
      </c>
      <c r="CE377" s="9">
        <v>0</v>
      </c>
      <c r="CF377" s="9">
        <v>0</v>
      </c>
      <c r="CG377" s="9">
        <v>0</v>
      </c>
      <c r="CH377" s="9">
        <v>0</v>
      </c>
      <c r="CI377" s="9">
        <v>0</v>
      </c>
      <c r="CJ377" s="9">
        <v>0</v>
      </c>
      <c r="CK377" s="9">
        <v>0</v>
      </c>
      <c r="CL377" s="9">
        <v>0</v>
      </c>
      <c r="CM377" s="9">
        <v>0</v>
      </c>
      <c r="CN377" s="9">
        <v>0</v>
      </c>
      <c r="CO377" s="9">
        <v>0</v>
      </c>
      <c r="CP377" s="9">
        <v>0</v>
      </c>
      <c r="CQ377" s="9">
        <v>0</v>
      </c>
      <c r="CR377" s="9">
        <v>0</v>
      </c>
      <c r="CS377" s="10">
        <v>0</v>
      </c>
    </row>
    <row r="378" spans="1:97" x14ac:dyDescent="0.35">
      <c r="A378" s="8" t="s">
        <v>413</v>
      </c>
      <c r="B378" s="9" t="s">
        <v>1123</v>
      </c>
      <c r="C378" s="9" t="s">
        <v>1124</v>
      </c>
      <c r="D378" s="9">
        <f t="shared" si="5"/>
        <v>0</v>
      </c>
      <c r="E378" s="9">
        <v>0</v>
      </c>
      <c r="F378" s="9">
        <v>0</v>
      </c>
      <c r="G378" s="9">
        <v>0</v>
      </c>
      <c r="H378" s="9">
        <v>0</v>
      </c>
      <c r="I378" s="9">
        <v>0</v>
      </c>
      <c r="J378" s="9">
        <v>0</v>
      </c>
      <c r="K378" s="9">
        <v>0</v>
      </c>
      <c r="L378" s="9">
        <v>0</v>
      </c>
      <c r="M378" s="9">
        <v>0</v>
      </c>
      <c r="N378" s="9">
        <v>0</v>
      </c>
      <c r="O378" s="9">
        <v>0</v>
      </c>
      <c r="P378" s="9">
        <v>0</v>
      </c>
      <c r="Q378" s="9">
        <v>0</v>
      </c>
      <c r="R378" s="9">
        <v>0</v>
      </c>
      <c r="S378" s="9">
        <v>0</v>
      </c>
      <c r="T378" s="9">
        <v>0</v>
      </c>
      <c r="U378" s="9">
        <v>0</v>
      </c>
      <c r="V378" s="9">
        <v>0</v>
      </c>
      <c r="W378" s="9">
        <v>0</v>
      </c>
      <c r="X378" s="9">
        <v>0</v>
      </c>
      <c r="Y378" s="9">
        <v>0</v>
      </c>
      <c r="Z378" s="9">
        <v>0</v>
      </c>
      <c r="AA378" s="9">
        <v>0</v>
      </c>
      <c r="AB378" s="9">
        <v>0</v>
      </c>
      <c r="AC378" s="9">
        <v>0</v>
      </c>
      <c r="AD378" s="9">
        <v>0</v>
      </c>
      <c r="AE378" s="9">
        <v>0</v>
      </c>
      <c r="AF378" s="9">
        <v>0</v>
      </c>
      <c r="AG378" s="9">
        <v>0</v>
      </c>
      <c r="AH378" s="9">
        <v>0</v>
      </c>
      <c r="AI378" s="9">
        <v>0</v>
      </c>
      <c r="AJ378" s="9">
        <v>0</v>
      </c>
      <c r="AK378" s="9">
        <v>0</v>
      </c>
      <c r="AL378" s="9">
        <v>0</v>
      </c>
      <c r="AM378" s="9">
        <v>0</v>
      </c>
      <c r="AN378" s="9">
        <v>0</v>
      </c>
      <c r="AO378" s="9">
        <v>0</v>
      </c>
      <c r="AP378" s="9">
        <v>0</v>
      </c>
      <c r="AQ378" s="9">
        <v>0</v>
      </c>
      <c r="AR378" s="9">
        <v>0</v>
      </c>
      <c r="AS378" s="9">
        <v>0</v>
      </c>
      <c r="AT378" s="9">
        <v>0</v>
      </c>
      <c r="AU378" s="9">
        <v>0</v>
      </c>
      <c r="AV378" s="9">
        <v>0</v>
      </c>
      <c r="AW378" s="9">
        <v>0</v>
      </c>
      <c r="AX378" s="9">
        <v>0</v>
      </c>
      <c r="AY378" s="9">
        <v>0</v>
      </c>
      <c r="AZ378" s="9">
        <v>0</v>
      </c>
      <c r="BA378" s="9">
        <v>0</v>
      </c>
      <c r="BB378" s="9">
        <v>0</v>
      </c>
      <c r="BC378" s="9">
        <v>0</v>
      </c>
      <c r="BD378" s="9">
        <v>0</v>
      </c>
      <c r="BE378" s="9">
        <v>0</v>
      </c>
      <c r="BF378" s="9">
        <v>0</v>
      </c>
      <c r="BG378" s="9">
        <v>0</v>
      </c>
      <c r="BH378" s="9">
        <v>0</v>
      </c>
      <c r="BI378" s="9">
        <v>0</v>
      </c>
      <c r="BJ378" s="9">
        <v>0</v>
      </c>
      <c r="BK378" s="9">
        <v>0</v>
      </c>
      <c r="BL378" s="9">
        <v>0</v>
      </c>
      <c r="BM378" s="9">
        <v>0</v>
      </c>
      <c r="BN378" s="9">
        <v>0</v>
      </c>
      <c r="BO378" s="9">
        <v>0</v>
      </c>
      <c r="BP378" s="9">
        <v>0</v>
      </c>
      <c r="BQ378" s="9">
        <v>0</v>
      </c>
      <c r="BR378" s="9">
        <v>0</v>
      </c>
      <c r="BS378" s="9">
        <v>0</v>
      </c>
      <c r="BT378" s="9">
        <v>0</v>
      </c>
      <c r="BU378" s="9">
        <v>0</v>
      </c>
      <c r="BV378" s="9">
        <v>0</v>
      </c>
      <c r="BW378" s="9">
        <v>0</v>
      </c>
      <c r="BX378" s="9">
        <v>0</v>
      </c>
      <c r="BY378" s="9">
        <v>0</v>
      </c>
      <c r="BZ378" s="9">
        <v>0</v>
      </c>
      <c r="CA378" s="9">
        <v>0</v>
      </c>
      <c r="CB378" s="9">
        <v>0</v>
      </c>
      <c r="CC378" s="9">
        <v>0</v>
      </c>
      <c r="CD378" s="9">
        <v>0</v>
      </c>
      <c r="CE378" s="9">
        <v>0</v>
      </c>
      <c r="CF378" s="9">
        <v>0</v>
      </c>
      <c r="CG378" s="9">
        <v>0</v>
      </c>
      <c r="CH378" s="9">
        <v>0</v>
      </c>
      <c r="CI378" s="9">
        <v>0</v>
      </c>
      <c r="CJ378" s="9">
        <v>0</v>
      </c>
      <c r="CK378" s="9">
        <v>0</v>
      </c>
      <c r="CL378" s="9">
        <v>0</v>
      </c>
      <c r="CM378" s="9">
        <v>0</v>
      </c>
      <c r="CN378" s="9">
        <v>0</v>
      </c>
      <c r="CO378" s="9">
        <v>0</v>
      </c>
      <c r="CP378" s="9">
        <v>0</v>
      </c>
      <c r="CQ378" s="9">
        <v>0</v>
      </c>
      <c r="CR378" s="9">
        <v>0</v>
      </c>
      <c r="CS378" s="10">
        <v>0</v>
      </c>
    </row>
    <row r="379" spans="1:97" x14ac:dyDescent="0.35">
      <c r="A379" s="8" t="s">
        <v>413</v>
      </c>
      <c r="B379" s="9" t="s">
        <v>1125</v>
      </c>
      <c r="C379" s="9" t="s">
        <v>1126</v>
      </c>
      <c r="D379" s="9">
        <f t="shared" si="5"/>
        <v>0</v>
      </c>
      <c r="E379" s="9">
        <v>0</v>
      </c>
      <c r="F379" s="9">
        <v>0</v>
      </c>
      <c r="G379" s="9">
        <v>0</v>
      </c>
      <c r="H379" s="9">
        <v>0</v>
      </c>
      <c r="I379" s="9">
        <v>0</v>
      </c>
      <c r="J379" s="9">
        <v>0</v>
      </c>
      <c r="K379" s="9">
        <v>0</v>
      </c>
      <c r="L379" s="9">
        <v>0</v>
      </c>
      <c r="M379" s="9">
        <v>0</v>
      </c>
      <c r="N379" s="9">
        <v>0</v>
      </c>
      <c r="O379" s="9">
        <v>0</v>
      </c>
      <c r="P379" s="9">
        <v>0</v>
      </c>
      <c r="Q379" s="9">
        <v>0</v>
      </c>
      <c r="R379" s="9">
        <v>0</v>
      </c>
      <c r="S379" s="9">
        <v>0</v>
      </c>
      <c r="T379" s="9">
        <v>0</v>
      </c>
      <c r="U379" s="9">
        <v>0</v>
      </c>
      <c r="V379" s="9">
        <v>0</v>
      </c>
      <c r="W379" s="9">
        <v>0</v>
      </c>
      <c r="X379" s="9">
        <v>0</v>
      </c>
      <c r="Y379" s="9">
        <v>0</v>
      </c>
      <c r="Z379" s="9">
        <v>0</v>
      </c>
      <c r="AA379" s="9">
        <v>0</v>
      </c>
      <c r="AB379" s="9">
        <v>0</v>
      </c>
      <c r="AC379" s="9">
        <v>0</v>
      </c>
      <c r="AD379" s="9">
        <v>0</v>
      </c>
      <c r="AE379" s="9">
        <v>0</v>
      </c>
      <c r="AF379" s="9">
        <v>0</v>
      </c>
      <c r="AG379" s="9">
        <v>0</v>
      </c>
      <c r="AH379" s="9">
        <v>0</v>
      </c>
      <c r="AI379" s="9">
        <v>0</v>
      </c>
      <c r="AJ379" s="9">
        <v>0</v>
      </c>
      <c r="AK379" s="9">
        <v>0</v>
      </c>
      <c r="AL379" s="9">
        <v>0</v>
      </c>
      <c r="AM379" s="9">
        <v>0</v>
      </c>
      <c r="AN379" s="9">
        <v>0</v>
      </c>
      <c r="AO379" s="9">
        <v>0</v>
      </c>
      <c r="AP379" s="9">
        <v>0</v>
      </c>
      <c r="AQ379" s="9">
        <v>0</v>
      </c>
      <c r="AR379" s="9">
        <v>0</v>
      </c>
      <c r="AS379" s="9">
        <v>0</v>
      </c>
      <c r="AT379" s="9">
        <v>0</v>
      </c>
      <c r="AU379" s="9">
        <v>0</v>
      </c>
      <c r="AV379" s="9">
        <v>0</v>
      </c>
      <c r="AW379" s="9">
        <v>0</v>
      </c>
      <c r="AX379" s="9">
        <v>0</v>
      </c>
      <c r="AY379" s="9">
        <v>0</v>
      </c>
      <c r="AZ379" s="9">
        <v>0</v>
      </c>
      <c r="BA379" s="9">
        <v>0</v>
      </c>
      <c r="BB379" s="9">
        <v>0</v>
      </c>
      <c r="BC379" s="9">
        <v>0</v>
      </c>
      <c r="BD379" s="9">
        <v>0</v>
      </c>
      <c r="BE379" s="9">
        <v>0</v>
      </c>
      <c r="BF379" s="9">
        <v>0</v>
      </c>
      <c r="BG379" s="9">
        <v>0</v>
      </c>
      <c r="BH379" s="9">
        <v>0</v>
      </c>
      <c r="BI379" s="9">
        <v>0</v>
      </c>
      <c r="BJ379" s="9">
        <v>0</v>
      </c>
      <c r="BK379" s="9">
        <v>0</v>
      </c>
      <c r="BL379" s="9">
        <v>0</v>
      </c>
      <c r="BM379" s="9">
        <v>0</v>
      </c>
      <c r="BN379" s="9">
        <v>0</v>
      </c>
      <c r="BO379" s="9">
        <v>0</v>
      </c>
      <c r="BP379" s="9">
        <v>0</v>
      </c>
      <c r="BQ379" s="9">
        <v>0</v>
      </c>
      <c r="BR379" s="9">
        <v>0</v>
      </c>
      <c r="BS379" s="9">
        <v>0</v>
      </c>
      <c r="BT379" s="9">
        <v>0</v>
      </c>
      <c r="BU379" s="9">
        <v>0</v>
      </c>
      <c r="BV379" s="9">
        <v>0</v>
      </c>
      <c r="BW379" s="9">
        <v>0</v>
      </c>
      <c r="BX379" s="9">
        <v>0</v>
      </c>
      <c r="BY379" s="9">
        <v>0</v>
      </c>
      <c r="BZ379" s="9">
        <v>0</v>
      </c>
      <c r="CA379" s="9">
        <v>0</v>
      </c>
      <c r="CB379" s="9">
        <v>0</v>
      </c>
      <c r="CC379" s="9">
        <v>0</v>
      </c>
      <c r="CD379" s="9">
        <v>0</v>
      </c>
      <c r="CE379" s="9">
        <v>0</v>
      </c>
      <c r="CF379" s="9">
        <v>0</v>
      </c>
      <c r="CG379" s="9">
        <v>0</v>
      </c>
      <c r="CH379" s="9">
        <v>0</v>
      </c>
      <c r="CI379" s="9">
        <v>0</v>
      </c>
      <c r="CJ379" s="9">
        <v>0</v>
      </c>
      <c r="CK379" s="9">
        <v>0</v>
      </c>
      <c r="CL379" s="9">
        <v>0</v>
      </c>
      <c r="CM379" s="9">
        <v>0</v>
      </c>
      <c r="CN379" s="9">
        <v>0</v>
      </c>
      <c r="CO379" s="9">
        <v>0</v>
      </c>
      <c r="CP379" s="9">
        <v>0</v>
      </c>
      <c r="CQ379" s="9">
        <v>0</v>
      </c>
      <c r="CR379" s="9">
        <v>0</v>
      </c>
      <c r="CS379" s="10">
        <v>0</v>
      </c>
    </row>
    <row r="380" spans="1:97" x14ac:dyDescent="0.35">
      <c r="A380" s="8" t="s">
        <v>413</v>
      </c>
      <c r="B380" s="9" t="s">
        <v>1127</v>
      </c>
      <c r="C380" s="9" t="s">
        <v>1128</v>
      </c>
      <c r="D380" s="9">
        <f t="shared" si="5"/>
        <v>0</v>
      </c>
      <c r="E380" s="9">
        <v>0</v>
      </c>
      <c r="F380" s="9">
        <v>0</v>
      </c>
      <c r="G380" s="9">
        <v>0</v>
      </c>
      <c r="H380" s="9">
        <v>0</v>
      </c>
      <c r="I380" s="9">
        <v>0</v>
      </c>
      <c r="J380" s="9">
        <v>0</v>
      </c>
      <c r="K380" s="9">
        <v>0</v>
      </c>
      <c r="L380" s="9">
        <v>0</v>
      </c>
      <c r="M380" s="9">
        <v>0</v>
      </c>
      <c r="N380" s="9">
        <v>0</v>
      </c>
      <c r="O380" s="9">
        <v>0</v>
      </c>
      <c r="P380" s="9">
        <v>0</v>
      </c>
      <c r="Q380" s="9">
        <v>0</v>
      </c>
      <c r="R380" s="9">
        <v>0</v>
      </c>
      <c r="S380" s="9">
        <v>0</v>
      </c>
      <c r="T380" s="9">
        <v>0</v>
      </c>
      <c r="U380" s="9">
        <v>0</v>
      </c>
      <c r="V380" s="9">
        <v>0</v>
      </c>
      <c r="W380" s="9">
        <v>0</v>
      </c>
      <c r="X380" s="9">
        <v>0</v>
      </c>
      <c r="Y380" s="9">
        <v>0</v>
      </c>
      <c r="Z380" s="9">
        <v>0</v>
      </c>
      <c r="AA380" s="9">
        <v>0</v>
      </c>
      <c r="AB380" s="9">
        <v>0</v>
      </c>
      <c r="AC380" s="9">
        <v>0</v>
      </c>
      <c r="AD380" s="9">
        <v>0</v>
      </c>
      <c r="AE380" s="9">
        <v>0</v>
      </c>
      <c r="AF380" s="9">
        <v>0</v>
      </c>
      <c r="AG380" s="9">
        <v>0</v>
      </c>
      <c r="AH380" s="9">
        <v>0</v>
      </c>
      <c r="AI380" s="9">
        <v>0</v>
      </c>
      <c r="AJ380" s="9">
        <v>0</v>
      </c>
      <c r="AK380" s="9">
        <v>0</v>
      </c>
      <c r="AL380" s="9">
        <v>0</v>
      </c>
      <c r="AM380" s="9">
        <v>0</v>
      </c>
      <c r="AN380" s="9">
        <v>0</v>
      </c>
      <c r="AO380" s="9">
        <v>0</v>
      </c>
      <c r="AP380" s="9">
        <v>0</v>
      </c>
      <c r="AQ380" s="9">
        <v>0</v>
      </c>
      <c r="AR380" s="9">
        <v>0</v>
      </c>
      <c r="AS380" s="9">
        <v>0</v>
      </c>
      <c r="AT380" s="9">
        <v>0</v>
      </c>
      <c r="AU380" s="9">
        <v>0</v>
      </c>
      <c r="AV380" s="9">
        <v>0</v>
      </c>
      <c r="AW380" s="9">
        <v>0</v>
      </c>
      <c r="AX380" s="9">
        <v>0</v>
      </c>
      <c r="AY380" s="9">
        <v>0</v>
      </c>
      <c r="AZ380" s="9">
        <v>0</v>
      </c>
      <c r="BA380" s="9">
        <v>0</v>
      </c>
      <c r="BB380" s="9">
        <v>0</v>
      </c>
      <c r="BC380" s="9">
        <v>0</v>
      </c>
      <c r="BD380" s="9">
        <v>0</v>
      </c>
      <c r="BE380" s="9">
        <v>0</v>
      </c>
      <c r="BF380" s="9">
        <v>0</v>
      </c>
      <c r="BG380" s="9">
        <v>0</v>
      </c>
      <c r="BH380" s="9">
        <v>0</v>
      </c>
      <c r="BI380" s="9">
        <v>0</v>
      </c>
      <c r="BJ380" s="9">
        <v>0</v>
      </c>
      <c r="BK380" s="9">
        <v>0</v>
      </c>
      <c r="BL380" s="9">
        <v>0</v>
      </c>
      <c r="BM380" s="9">
        <v>0</v>
      </c>
      <c r="BN380" s="9">
        <v>0</v>
      </c>
      <c r="BO380" s="9">
        <v>0</v>
      </c>
      <c r="BP380" s="9">
        <v>0</v>
      </c>
      <c r="BQ380" s="9">
        <v>0</v>
      </c>
      <c r="BR380" s="9">
        <v>0</v>
      </c>
      <c r="BS380" s="9">
        <v>0</v>
      </c>
      <c r="BT380" s="9">
        <v>0</v>
      </c>
      <c r="BU380" s="9">
        <v>0</v>
      </c>
      <c r="BV380" s="9">
        <v>0</v>
      </c>
      <c r="BW380" s="9">
        <v>0</v>
      </c>
      <c r="BX380" s="9">
        <v>0</v>
      </c>
      <c r="BY380" s="9">
        <v>0</v>
      </c>
      <c r="BZ380" s="9">
        <v>0</v>
      </c>
      <c r="CA380" s="9">
        <v>0</v>
      </c>
      <c r="CB380" s="9">
        <v>0</v>
      </c>
      <c r="CC380" s="9">
        <v>0</v>
      </c>
      <c r="CD380" s="9">
        <v>0</v>
      </c>
      <c r="CE380" s="9">
        <v>0</v>
      </c>
      <c r="CF380" s="9">
        <v>0</v>
      </c>
      <c r="CG380" s="9">
        <v>0</v>
      </c>
      <c r="CH380" s="9">
        <v>0</v>
      </c>
      <c r="CI380" s="9">
        <v>0</v>
      </c>
      <c r="CJ380" s="9">
        <v>0</v>
      </c>
      <c r="CK380" s="9">
        <v>0</v>
      </c>
      <c r="CL380" s="9">
        <v>0</v>
      </c>
      <c r="CM380" s="9">
        <v>0</v>
      </c>
      <c r="CN380" s="9">
        <v>0</v>
      </c>
      <c r="CO380" s="9">
        <v>0</v>
      </c>
      <c r="CP380" s="9">
        <v>0</v>
      </c>
      <c r="CQ380" s="9">
        <v>0</v>
      </c>
      <c r="CR380" s="9">
        <v>0</v>
      </c>
      <c r="CS380" s="10">
        <v>0</v>
      </c>
    </row>
    <row r="381" spans="1:97" x14ac:dyDescent="0.35">
      <c r="A381" s="8" t="s">
        <v>413</v>
      </c>
      <c r="B381" s="9" t="s">
        <v>1129</v>
      </c>
      <c r="C381" s="9" t="s">
        <v>1130</v>
      </c>
      <c r="D381" s="9">
        <f t="shared" si="5"/>
        <v>0</v>
      </c>
      <c r="E381" s="9">
        <v>0</v>
      </c>
      <c r="F381" s="9">
        <v>0</v>
      </c>
      <c r="G381" s="9">
        <v>0</v>
      </c>
      <c r="H381" s="9">
        <v>0</v>
      </c>
      <c r="I381" s="9">
        <v>0</v>
      </c>
      <c r="J381" s="9">
        <v>0</v>
      </c>
      <c r="K381" s="9">
        <v>0</v>
      </c>
      <c r="L381" s="9">
        <v>0</v>
      </c>
      <c r="M381" s="9">
        <v>0</v>
      </c>
      <c r="N381" s="9">
        <v>0</v>
      </c>
      <c r="O381" s="9">
        <v>0</v>
      </c>
      <c r="P381" s="9">
        <v>0</v>
      </c>
      <c r="Q381" s="9">
        <v>0</v>
      </c>
      <c r="R381" s="9">
        <v>0</v>
      </c>
      <c r="S381" s="9">
        <v>0</v>
      </c>
      <c r="T381" s="9">
        <v>0</v>
      </c>
      <c r="U381" s="9">
        <v>0</v>
      </c>
      <c r="V381" s="9">
        <v>0</v>
      </c>
      <c r="W381" s="9">
        <v>0</v>
      </c>
      <c r="X381" s="9">
        <v>0</v>
      </c>
      <c r="Y381" s="9">
        <v>0</v>
      </c>
      <c r="Z381" s="9">
        <v>0</v>
      </c>
      <c r="AA381" s="9">
        <v>0</v>
      </c>
      <c r="AB381" s="9">
        <v>0</v>
      </c>
      <c r="AC381" s="9">
        <v>0</v>
      </c>
      <c r="AD381" s="9">
        <v>0</v>
      </c>
      <c r="AE381" s="9">
        <v>0</v>
      </c>
      <c r="AF381" s="9">
        <v>0</v>
      </c>
      <c r="AG381" s="9">
        <v>0</v>
      </c>
      <c r="AH381" s="9">
        <v>0</v>
      </c>
      <c r="AI381" s="9">
        <v>0</v>
      </c>
      <c r="AJ381" s="9">
        <v>0</v>
      </c>
      <c r="AK381" s="9">
        <v>0</v>
      </c>
      <c r="AL381" s="9">
        <v>0</v>
      </c>
      <c r="AM381" s="9">
        <v>0</v>
      </c>
      <c r="AN381" s="9">
        <v>0</v>
      </c>
      <c r="AO381" s="9">
        <v>0</v>
      </c>
      <c r="AP381" s="9">
        <v>0</v>
      </c>
      <c r="AQ381" s="9">
        <v>0</v>
      </c>
      <c r="AR381" s="9">
        <v>0</v>
      </c>
      <c r="AS381" s="9">
        <v>0</v>
      </c>
      <c r="AT381" s="9">
        <v>0</v>
      </c>
      <c r="AU381" s="9">
        <v>0</v>
      </c>
      <c r="AV381" s="9">
        <v>0</v>
      </c>
      <c r="AW381" s="9">
        <v>0</v>
      </c>
      <c r="AX381" s="9">
        <v>0</v>
      </c>
      <c r="AY381" s="9">
        <v>0</v>
      </c>
      <c r="AZ381" s="9">
        <v>0</v>
      </c>
      <c r="BA381" s="9">
        <v>0</v>
      </c>
      <c r="BB381" s="9">
        <v>0</v>
      </c>
      <c r="BC381" s="9">
        <v>0</v>
      </c>
      <c r="BD381" s="9">
        <v>0</v>
      </c>
      <c r="BE381" s="9">
        <v>0</v>
      </c>
      <c r="BF381" s="9">
        <v>0</v>
      </c>
      <c r="BG381" s="9">
        <v>0</v>
      </c>
      <c r="BH381" s="9">
        <v>0</v>
      </c>
      <c r="BI381" s="9">
        <v>0</v>
      </c>
      <c r="BJ381" s="9">
        <v>0</v>
      </c>
      <c r="BK381" s="9">
        <v>0</v>
      </c>
      <c r="BL381" s="9">
        <v>0</v>
      </c>
      <c r="BM381" s="9">
        <v>0</v>
      </c>
      <c r="BN381" s="9">
        <v>0</v>
      </c>
      <c r="BO381" s="9">
        <v>0</v>
      </c>
      <c r="BP381" s="9">
        <v>0</v>
      </c>
      <c r="BQ381" s="9">
        <v>0</v>
      </c>
      <c r="BR381" s="9">
        <v>0</v>
      </c>
      <c r="BS381" s="9">
        <v>0</v>
      </c>
      <c r="BT381" s="9">
        <v>0</v>
      </c>
      <c r="BU381" s="9">
        <v>0</v>
      </c>
      <c r="BV381" s="9">
        <v>0</v>
      </c>
      <c r="BW381" s="9">
        <v>0</v>
      </c>
      <c r="BX381" s="9">
        <v>0</v>
      </c>
      <c r="BY381" s="9">
        <v>0</v>
      </c>
      <c r="BZ381" s="9">
        <v>0</v>
      </c>
      <c r="CA381" s="9">
        <v>0</v>
      </c>
      <c r="CB381" s="9">
        <v>0</v>
      </c>
      <c r="CC381" s="9">
        <v>0</v>
      </c>
      <c r="CD381" s="9">
        <v>0</v>
      </c>
      <c r="CE381" s="9">
        <v>0</v>
      </c>
      <c r="CF381" s="9">
        <v>0</v>
      </c>
      <c r="CG381" s="9">
        <v>0</v>
      </c>
      <c r="CH381" s="9">
        <v>0</v>
      </c>
      <c r="CI381" s="9">
        <v>0</v>
      </c>
      <c r="CJ381" s="9">
        <v>0</v>
      </c>
      <c r="CK381" s="9">
        <v>0</v>
      </c>
      <c r="CL381" s="9">
        <v>0</v>
      </c>
      <c r="CM381" s="9">
        <v>0</v>
      </c>
      <c r="CN381" s="9">
        <v>0</v>
      </c>
      <c r="CO381" s="9">
        <v>0</v>
      </c>
      <c r="CP381" s="9">
        <v>0</v>
      </c>
      <c r="CQ381" s="9">
        <v>0</v>
      </c>
      <c r="CR381" s="9">
        <v>0</v>
      </c>
      <c r="CS381" s="10">
        <v>0</v>
      </c>
    </row>
    <row r="382" spans="1:97" x14ac:dyDescent="0.35">
      <c r="A382" s="8" t="s">
        <v>413</v>
      </c>
      <c r="B382" s="9" t="s">
        <v>1131</v>
      </c>
      <c r="C382" s="9" t="s">
        <v>1132</v>
      </c>
      <c r="D382" s="9">
        <f t="shared" si="5"/>
        <v>0</v>
      </c>
      <c r="E382" s="9">
        <v>0</v>
      </c>
      <c r="F382" s="9">
        <v>0</v>
      </c>
      <c r="G382" s="9">
        <v>0</v>
      </c>
      <c r="H382" s="9">
        <v>0</v>
      </c>
      <c r="I382" s="9">
        <v>0</v>
      </c>
      <c r="J382" s="9">
        <v>0</v>
      </c>
      <c r="K382" s="9">
        <v>0</v>
      </c>
      <c r="L382" s="9">
        <v>0</v>
      </c>
      <c r="M382" s="9">
        <v>0</v>
      </c>
      <c r="N382" s="9">
        <v>0</v>
      </c>
      <c r="O382" s="9">
        <v>0</v>
      </c>
      <c r="P382" s="9">
        <v>0</v>
      </c>
      <c r="Q382" s="9">
        <v>0</v>
      </c>
      <c r="R382" s="9">
        <v>0</v>
      </c>
      <c r="S382" s="9">
        <v>0</v>
      </c>
      <c r="T382" s="9">
        <v>0</v>
      </c>
      <c r="U382" s="9">
        <v>0</v>
      </c>
      <c r="V382" s="9">
        <v>0</v>
      </c>
      <c r="W382" s="9">
        <v>0</v>
      </c>
      <c r="X382" s="9">
        <v>0</v>
      </c>
      <c r="Y382" s="9">
        <v>0</v>
      </c>
      <c r="Z382" s="9">
        <v>0</v>
      </c>
      <c r="AA382" s="9">
        <v>0</v>
      </c>
      <c r="AB382" s="9">
        <v>0</v>
      </c>
      <c r="AC382" s="9">
        <v>0</v>
      </c>
      <c r="AD382" s="9">
        <v>0</v>
      </c>
      <c r="AE382" s="9">
        <v>0</v>
      </c>
      <c r="AF382" s="9">
        <v>0</v>
      </c>
      <c r="AG382" s="9">
        <v>0</v>
      </c>
      <c r="AH382" s="9">
        <v>0</v>
      </c>
      <c r="AI382" s="9">
        <v>0</v>
      </c>
      <c r="AJ382" s="9">
        <v>0</v>
      </c>
      <c r="AK382" s="9">
        <v>0</v>
      </c>
      <c r="AL382" s="9">
        <v>0</v>
      </c>
      <c r="AM382" s="9">
        <v>0</v>
      </c>
      <c r="AN382" s="9">
        <v>0</v>
      </c>
      <c r="AO382" s="9">
        <v>0</v>
      </c>
      <c r="AP382" s="9">
        <v>0</v>
      </c>
      <c r="AQ382" s="9">
        <v>0</v>
      </c>
      <c r="AR382" s="9">
        <v>0</v>
      </c>
      <c r="AS382" s="9">
        <v>0</v>
      </c>
      <c r="AT382" s="9">
        <v>0</v>
      </c>
      <c r="AU382" s="9">
        <v>0</v>
      </c>
      <c r="AV382" s="9">
        <v>0</v>
      </c>
      <c r="AW382" s="9">
        <v>0</v>
      </c>
      <c r="AX382" s="9">
        <v>0</v>
      </c>
      <c r="AY382" s="9">
        <v>0</v>
      </c>
      <c r="AZ382" s="9">
        <v>0</v>
      </c>
      <c r="BA382" s="9">
        <v>0</v>
      </c>
      <c r="BB382" s="9">
        <v>0</v>
      </c>
      <c r="BC382" s="9">
        <v>0</v>
      </c>
      <c r="BD382" s="9">
        <v>0</v>
      </c>
      <c r="BE382" s="9">
        <v>0</v>
      </c>
      <c r="BF382" s="9">
        <v>0</v>
      </c>
      <c r="BG382" s="9">
        <v>0</v>
      </c>
      <c r="BH382" s="9">
        <v>0</v>
      </c>
      <c r="BI382" s="9">
        <v>0</v>
      </c>
      <c r="BJ382" s="9">
        <v>0</v>
      </c>
      <c r="BK382" s="9">
        <v>0</v>
      </c>
      <c r="BL382" s="9">
        <v>0</v>
      </c>
      <c r="BM382" s="9">
        <v>0</v>
      </c>
      <c r="BN382" s="9">
        <v>0</v>
      </c>
      <c r="BO382" s="9">
        <v>0</v>
      </c>
      <c r="BP382" s="9">
        <v>0</v>
      </c>
      <c r="BQ382" s="9">
        <v>0</v>
      </c>
      <c r="BR382" s="9">
        <v>0</v>
      </c>
      <c r="BS382" s="9">
        <v>0</v>
      </c>
      <c r="BT382" s="9">
        <v>0</v>
      </c>
      <c r="BU382" s="9">
        <v>0</v>
      </c>
      <c r="BV382" s="9">
        <v>0</v>
      </c>
      <c r="BW382" s="9">
        <v>0</v>
      </c>
      <c r="BX382" s="9">
        <v>0</v>
      </c>
      <c r="BY382" s="9">
        <v>0</v>
      </c>
      <c r="BZ382" s="9">
        <v>0</v>
      </c>
      <c r="CA382" s="9">
        <v>0</v>
      </c>
      <c r="CB382" s="9">
        <v>0</v>
      </c>
      <c r="CC382" s="9">
        <v>0</v>
      </c>
      <c r="CD382" s="9">
        <v>0</v>
      </c>
      <c r="CE382" s="9">
        <v>0</v>
      </c>
      <c r="CF382" s="9">
        <v>0</v>
      </c>
      <c r="CG382" s="9">
        <v>0</v>
      </c>
      <c r="CH382" s="9">
        <v>0</v>
      </c>
      <c r="CI382" s="9">
        <v>0</v>
      </c>
      <c r="CJ382" s="9">
        <v>0</v>
      </c>
      <c r="CK382" s="9">
        <v>0</v>
      </c>
      <c r="CL382" s="9">
        <v>0</v>
      </c>
      <c r="CM382" s="9">
        <v>0</v>
      </c>
      <c r="CN382" s="9">
        <v>0</v>
      </c>
      <c r="CO382" s="9">
        <v>0</v>
      </c>
      <c r="CP382" s="9">
        <v>0</v>
      </c>
      <c r="CQ382" s="9">
        <v>0</v>
      </c>
      <c r="CR382" s="9">
        <v>0</v>
      </c>
      <c r="CS382" s="10">
        <v>0</v>
      </c>
    </row>
    <row r="383" spans="1:97" x14ac:dyDescent="0.35">
      <c r="A383" s="8" t="s">
        <v>413</v>
      </c>
      <c r="B383" s="9" t="s">
        <v>1133</v>
      </c>
      <c r="C383" s="9" t="s">
        <v>1134</v>
      </c>
      <c r="D383" s="9">
        <f t="shared" si="5"/>
        <v>0</v>
      </c>
      <c r="E383" s="9">
        <v>0</v>
      </c>
      <c r="F383" s="9">
        <v>0</v>
      </c>
      <c r="G383" s="9">
        <v>0</v>
      </c>
      <c r="H383" s="9">
        <v>0</v>
      </c>
      <c r="I383" s="9">
        <v>0</v>
      </c>
      <c r="J383" s="9">
        <v>0</v>
      </c>
      <c r="K383" s="9">
        <v>0</v>
      </c>
      <c r="L383" s="9">
        <v>0</v>
      </c>
      <c r="M383" s="9">
        <v>0</v>
      </c>
      <c r="N383" s="9">
        <v>0</v>
      </c>
      <c r="O383" s="9">
        <v>0</v>
      </c>
      <c r="P383" s="9">
        <v>0</v>
      </c>
      <c r="Q383" s="9">
        <v>0</v>
      </c>
      <c r="R383" s="9">
        <v>0</v>
      </c>
      <c r="S383" s="9">
        <v>0</v>
      </c>
      <c r="T383" s="9">
        <v>0</v>
      </c>
      <c r="U383" s="9">
        <v>0</v>
      </c>
      <c r="V383" s="9">
        <v>0</v>
      </c>
      <c r="W383" s="9">
        <v>0</v>
      </c>
      <c r="X383" s="9">
        <v>0</v>
      </c>
      <c r="Y383" s="9">
        <v>0</v>
      </c>
      <c r="Z383" s="9">
        <v>0</v>
      </c>
      <c r="AA383" s="9">
        <v>0</v>
      </c>
      <c r="AB383" s="9">
        <v>0</v>
      </c>
      <c r="AC383" s="9">
        <v>0</v>
      </c>
      <c r="AD383" s="9">
        <v>0</v>
      </c>
      <c r="AE383" s="9">
        <v>0</v>
      </c>
      <c r="AF383" s="9">
        <v>0</v>
      </c>
      <c r="AG383" s="9">
        <v>0</v>
      </c>
      <c r="AH383" s="9">
        <v>0</v>
      </c>
      <c r="AI383" s="9">
        <v>0</v>
      </c>
      <c r="AJ383" s="9">
        <v>0</v>
      </c>
      <c r="AK383" s="9">
        <v>0</v>
      </c>
      <c r="AL383" s="9">
        <v>0</v>
      </c>
      <c r="AM383" s="9">
        <v>0</v>
      </c>
      <c r="AN383" s="9">
        <v>0</v>
      </c>
      <c r="AO383" s="9">
        <v>0</v>
      </c>
      <c r="AP383" s="9">
        <v>0</v>
      </c>
      <c r="AQ383" s="9">
        <v>0</v>
      </c>
      <c r="AR383" s="9">
        <v>0</v>
      </c>
      <c r="AS383" s="9">
        <v>0</v>
      </c>
      <c r="AT383" s="9">
        <v>0</v>
      </c>
      <c r="AU383" s="9">
        <v>0</v>
      </c>
      <c r="AV383" s="9">
        <v>0</v>
      </c>
      <c r="AW383" s="9">
        <v>0</v>
      </c>
      <c r="AX383" s="9">
        <v>0</v>
      </c>
      <c r="AY383" s="9">
        <v>0</v>
      </c>
      <c r="AZ383" s="9">
        <v>0</v>
      </c>
      <c r="BA383" s="9">
        <v>0</v>
      </c>
      <c r="BB383" s="9">
        <v>0</v>
      </c>
      <c r="BC383" s="9">
        <v>0</v>
      </c>
      <c r="BD383" s="9">
        <v>0</v>
      </c>
      <c r="BE383" s="9">
        <v>0</v>
      </c>
      <c r="BF383" s="9">
        <v>0</v>
      </c>
      <c r="BG383" s="9">
        <v>0</v>
      </c>
      <c r="BH383" s="9">
        <v>0</v>
      </c>
      <c r="BI383" s="9">
        <v>0</v>
      </c>
      <c r="BJ383" s="9">
        <v>0</v>
      </c>
      <c r="BK383" s="9">
        <v>0</v>
      </c>
      <c r="BL383" s="9">
        <v>0</v>
      </c>
      <c r="BM383" s="9">
        <v>0</v>
      </c>
      <c r="BN383" s="9">
        <v>0</v>
      </c>
      <c r="BO383" s="9">
        <v>0</v>
      </c>
      <c r="BP383" s="9">
        <v>0</v>
      </c>
      <c r="BQ383" s="9">
        <v>0</v>
      </c>
      <c r="BR383" s="9">
        <v>0</v>
      </c>
      <c r="BS383" s="9">
        <v>0</v>
      </c>
      <c r="BT383" s="9">
        <v>0</v>
      </c>
      <c r="BU383" s="9">
        <v>0</v>
      </c>
      <c r="BV383" s="9">
        <v>0</v>
      </c>
      <c r="BW383" s="9">
        <v>0</v>
      </c>
      <c r="BX383" s="9">
        <v>0</v>
      </c>
      <c r="BY383" s="9">
        <v>0</v>
      </c>
      <c r="BZ383" s="9">
        <v>0</v>
      </c>
      <c r="CA383" s="9">
        <v>0</v>
      </c>
      <c r="CB383" s="9">
        <v>0</v>
      </c>
      <c r="CC383" s="9">
        <v>0</v>
      </c>
      <c r="CD383" s="9">
        <v>0</v>
      </c>
      <c r="CE383" s="9">
        <v>0</v>
      </c>
      <c r="CF383" s="9">
        <v>0</v>
      </c>
      <c r="CG383" s="9">
        <v>0</v>
      </c>
      <c r="CH383" s="9">
        <v>0</v>
      </c>
      <c r="CI383" s="9">
        <v>0</v>
      </c>
      <c r="CJ383" s="9">
        <v>0</v>
      </c>
      <c r="CK383" s="9">
        <v>0</v>
      </c>
      <c r="CL383" s="9">
        <v>0</v>
      </c>
      <c r="CM383" s="9">
        <v>0</v>
      </c>
      <c r="CN383" s="9">
        <v>0</v>
      </c>
      <c r="CO383" s="9">
        <v>0</v>
      </c>
      <c r="CP383" s="9">
        <v>0</v>
      </c>
      <c r="CQ383" s="9">
        <v>0</v>
      </c>
      <c r="CR383" s="9">
        <v>0</v>
      </c>
      <c r="CS383" s="10">
        <v>0</v>
      </c>
    </row>
    <row r="384" spans="1:97" x14ac:dyDescent="0.35">
      <c r="A384" s="8" t="s">
        <v>413</v>
      </c>
      <c r="B384" s="9" t="s">
        <v>1135</v>
      </c>
      <c r="C384" s="9" t="s">
        <v>1136</v>
      </c>
      <c r="D384" s="9">
        <f t="shared" si="5"/>
        <v>0</v>
      </c>
      <c r="E384" s="9">
        <v>0</v>
      </c>
      <c r="F384" s="9">
        <v>0</v>
      </c>
      <c r="G384" s="9">
        <v>0</v>
      </c>
      <c r="H384" s="9">
        <v>0</v>
      </c>
      <c r="I384" s="9">
        <v>0</v>
      </c>
      <c r="J384" s="9">
        <v>0</v>
      </c>
      <c r="K384" s="9">
        <v>0</v>
      </c>
      <c r="L384" s="9">
        <v>0</v>
      </c>
      <c r="M384" s="9">
        <v>0</v>
      </c>
      <c r="N384" s="9">
        <v>0</v>
      </c>
      <c r="O384" s="9">
        <v>0</v>
      </c>
      <c r="P384" s="9">
        <v>0</v>
      </c>
      <c r="Q384" s="9">
        <v>0</v>
      </c>
      <c r="R384" s="9">
        <v>0</v>
      </c>
      <c r="S384" s="9">
        <v>0</v>
      </c>
      <c r="T384" s="9">
        <v>0</v>
      </c>
      <c r="U384" s="9">
        <v>0</v>
      </c>
      <c r="V384" s="9">
        <v>0</v>
      </c>
      <c r="W384" s="9">
        <v>0</v>
      </c>
      <c r="X384" s="9">
        <v>0</v>
      </c>
      <c r="Y384" s="9">
        <v>0</v>
      </c>
      <c r="Z384" s="9">
        <v>0</v>
      </c>
      <c r="AA384" s="9">
        <v>0</v>
      </c>
      <c r="AB384" s="9">
        <v>0</v>
      </c>
      <c r="AC384" s="9">
        <v>0</v>
      </c>
      <c r="AD384" s="9">
        <v>0</v>
      </c>
      <c r="AE384" s="9">
        <v>0</v>
      </c>
      <c r="AF384" s="9">
        <v>0</v>
      </c>
      <c r="AG384" s="9">
        <v>0</v>
      </c>
      <c r="AH384" s="9">
        <v>0</v>
      </c>
      <c r="AI384" s="9">
        <v>0</v>
      </c>
      <c r="AJ384" s="9">
        <v>0</v>
      </c>
      <c r="AK384" s="9">
        <v>0</v>
      </c>
      <c r="AL384" s="9">
        <v>0</v>
      </c>
      <c r="AM384" s="9">
        <v>0</v>
      </c>
      <c r="AN384" s="9">
        <v>0</v>
      </c>
      <c r="AO384" s="9">
        <v>0</v>
      </c>
      <c r="AP384" s="9">
        <v>0</v>
      </c>
      <c r="AQ384" s="9">
        <v>0</v>
      </c>
      <c r="AR384" s="9">
        <v>0</v>
      </c>
      <c r="AS384" s="9">
        <v>0</v>
      </c>
      <c r="AT384" s="9">
        <v>0</v>
      </c>
      <c r="AU384" s="9">
        <v>0</v>
      </c>
      <c r="AV384" s="9">
        <v>0</v>
      </c>
      <c r="AW384" s="9">
        <v>0</v>
      </c>
      <c r="AX384" s="9">
        <v>0</v>
      </c>
      <c r="AY384" s="9">
        <v>0</v>
      </c>
      <c r="AZ384" s="9">
        <v>0</v>
      </c>
      <c r="BA384" s="9">
        <v>0</v>
      </c>
      <c r="BB384" s="9">
        <v>0</v>
      </c>
      <c r="BC384" s="9">
        <v>0</v>
      </c>
      <c r="BD384" s="9">
        <v>0</v>
      </c>
      <c r="BE384" s="9">
        <v>0</v>
      </c>
      <c r="BF384" s="9">
        <v>0</v>
      </c>
      <c r="BG384" s="9">
        <v>0</v>
      </c>
      <c r="BH384" s="9">
        <v>0</v>
      </c>
      <c r="BI384" s="9">
        <v>0</v>
      </c>
      <c r="BJ384" s="9">
        <v>0</v>
      </c>
      <c r="BK384" s="9">
        <v>0</v>
      </c>
      <c r="BL384" s="9">
        <v>0</v>
      </c>
      <c r="BM384" s="9">
        <v>0</v>
      </c>
      <c r="BN384" s="9">
        <v>0</v>
      </c>
      <c r="BO384" s="9">
        <v>0</v>
      </c>
      <c r="BP384" s="9">
        <v>0</v>
      </c>
      <c r="BQ384" s="9">
        <v>0</v>
      </c>
      <c r="BR384" s="9">
        <v>0</v>
      </c>
      <c r="BS384" s="9">
        <v>0</v>
      </c>
      <c r="BT384" s="9">
        <v>0</v>
      </c>
      <c r="BU384" s="9">
        <v>0</v>
      </c>
      <c r="BV384" s="9">
        <v>0</v>
      </c>
      <c r="BW384" s="9">
        <v>0</v>
      </c>
      <c r="BX384" s="9">
        <v>0</v>
      </c>
      <c r="BY384" s="9">
        <v>0</v>
      </c>
      <c r="BZ384" s="9">
        <v>0</v>
      </c>
      <c r="CA384" s="9">
        <v>0</v>
      </c>
      <c r="CB384" s="9">
        <v>0</v>
      </c>
      <c r="CC384" s="9">
        <v>0</v>
      </c>
      <c r="CD384" s="9">
        <v>0</v>
      </c>
      <c r="CE384" s="9">
        <v>0</v>
      </c>
      <c r="CF384" s="9">
        <v>0</v>
      </c>
      <c r="CG384" s="9">
        <v>0</v>
      </c>
      <c r="CH384" s="9">
        <v>0</v>
      </c>
      <c r="CI384" s="9">
        <v>0</v>
      </c>
      <c r="CJ384" s="9">
        <v>0</v>
      </c>
      <c r="CK384" s="9">
        <v>0</v>
      </c>
      <c r="CL384" s="9">
        <v>0</v>
      </c>
      <c r="CM384" s="9">
        <v>0</v>
      </c>
      <c r="CN384" s="9">
        <v>0</v>
      </c>
      <c r="CO384" s="9">
        <v>0</v>
      </c>
      <c r="CP384" s="9">
        <v>0</v>
      </c>
      <c r="CQ384" s="9">
        <v>0</v>
      </c>
      <c r="CR384" s="9">
        <v>0</v>
      </c>
      <c r="CS384" s="10">
        <v>0</v>
      </c>
    </row>
    <row r="385" spans="1:97" x14ac:dyDescent="0.35">
      <c r="A385" s="8" t="s">
        <v>413</v>
      </c>
      <c r="B385" s="9" t="s">
        <v>1137</v>
      </c>
      <c r="C385" s="9" t="s">
        <v>1138</v>
      </c>
      <c r="D385" s="9">
        <f t="shared" si="5"/>
        <v>0</v>
      </c>
      <c r="E385" s="9">
        <v>0</v>
      </c>
      <c r="F385" s="9">
        <v>0</v>
      </c>
      <c r="G385" s="9">
        <v>0</v>
      </c>
      <c r="H385" s="9">
        <v>0</v>
      </c>
      <c r="I385" s="9">
        <v>0</v>
      </c>
      <c r="J385" s="9">
        <v>0</v>
      </c>
      <c r="K385" s="9">
        <v>0</v>
      </c>
      <c r="L385" s="9">
        <v>0</v>
      </c>
      <c r="M385" s="9">
        <v>0</v>
      </c>
      <c r="N385" s="9">
        <v>0</v>
      </c>
      <c r="O385" s="9">
        <v>0</v>
      </c>
      <c r="P385" s="9">
        <v>0</v>
      </c>
      <c r="Q385" s="9">
        <v>0</v>
      </c>
      <c r="R385" s="9">
        <v>0</v>
      </c>
      <c r="S385" s="9">
        <v>0</v>
      </c>
      <c r="T385" s="9">
        <v>0</v>
      </c>
      <c r="U385" s="9">
        <v>0</v>
      </c>
      <c r="V385" s="9">
        <v>0</v>
      </c>
      <c r="W385" s="9">
        <v>0</v>
      </c>
      <c r="X385" s="9">
        <v>0</v>
      </c>
      <c r="Y385" s="9">
        <v>0</v>
      </c>
      <c r="Z385" s="9">
        <v>0</v>
      </c>
      <c r="AA385" s="9">
        <v>0</v>
      </c>
      <c r="AB385" s="9">
        <v>0</v>
      </c>
      <c r="AC385" s="9">
        <v>0</v>
      </c>
      <c r="AD385" s="9">
        <v>0</v>
      </c>
      <c r="AE385" s="9">
        <v>0</v>
      </c>
      <c r="AF385" s="9">
        <v>0</v>
      </c>
      <c r="AG385" s="9">
        <v>0</v>
      </c>
      <c r="AH385" s="9">
        <v>0</v>
      </c>
      <c r="AI385" s="9">
        <v>0</v>
      </c>
      <c r="AJ385" s="9">
        <v>0</v>
      </c>
      <c r="AK385" s="9">
        <v>0</v>
      </c>
      <c r="AL385" s="9">
        <v>0</v>
      </c>
      <c r="AM385" s="9">
        <v>0</v>
      </c>
      <c r="AN385" s="9">
        <v>0</v>
      </c>
      <c r="AO385" s="9">
        <v>0</v>
      </c>
      <c r="AP385" s="9">
        <v>0</v>
      </c>
      <c r="AQ385" s="9">
        <v>0</v>
      </c>
      <c r="AR385" s="9">
        <v>0</v>
      </c>
      <c r="AS385" s="9">
        <v>0</v>
      </c>
      <c r="AT385" s="9">
        <v>0</v>
      </c>
      <c r="AU385" s="9">
        <v>0</v>
      </c>
      <c r="AV385" s="9">
        <v>0</v>
      </c>
      <c r="AW385" s="9">
        <v>0</v>
      </c>
      <c r="AX385" s="9">
        <v>0</v>
      </c>
      <c r="AY385" s="9">
        <v>0</v>
      </c>
      <c r="AZ385" s="9">
        <v>0</v>
      </c>
      <c r="BA385" s="9">
        <v>0</v>
      </c>
      <c r="BB385" s="9">
        <v>0</v>
      </c>
      <c r="BC385" s="9">
        <v>0</v>
      </c>
      <c r="BD385" s="9">
        <v>0</v>
      </c>
      <c r="BE385" s="9">
        <v>0</v>
      </c>
      <c r="BF385" s="9">
        <v>0</v>
      </c>
      <c r="BG385" s="9">
        <v>0</v>
      </c>
      <c r="BH385" s="9">
        <v>0</v>
      </c>
      <c r="BI385" s="9">
        <v>0</v>
      </c>
      <c r="BJ385" s="9">
        <v>0</v>
      </c>
      <c r="BK385" s="9">
        <v>0</v>
      </c>
      <c r="BL385" s="9">
        <v>0</v>
      </c>
      <c r="BM385" s="9">
        <v>0</v>
      </c>
      <c r="BN385" s="9">
        <v>0</v>
      </c>
      <c r="BO385" s="9">
        <v>0</v>
      </c>
      <c r="BP385" s="9">
        <v>0</v>
      </c>
      <c r="BQ385" s="9">
        <v>0</v>
      </c>
      <c r="BR385" s="9">
        <v>0</v>
      </c>
      <c r="BS385" s="9">
        <v>0</v>
      </c>
      <c r="BT385" s="9">
        <v>0</v>
      </c>
      <c r="BU385" s="9">
        <v>0</v>
      </c>
      <c r="BV385" s="9">
        <v>0</v>
      </c>
      <c r="BW385" s="9">
        <v>0</v>
      </c>
      <c r="BX385" s="9">
        <v>0</v>
      </c>
      <c r="BY385" s="9">
        <v>0</v>
      </c>
      <c r="BZ385" s="9">
        <v>0</v>
      </c>
      <c r="CA385" s="9">
        <v>0</v>
      </c>
      <c r="CB385" s="9">
        <v>0</v>
      </c>
      <c r="CC385" s="9">
        <v>0</v>
      </c>
      <c r="CD385" s="9">
        <v>0</v>
      </c>
      <c r="CE385" s="9">
        <v>0</v>
      </c>
      <c r="CF385" s="9">
        <v>0</v>
      </c>
      <c r="CG385" s="9">
        <v>0</v>
      </c>
      <c r="CH385" s="9">
        <v>0</v>
      </c>
      <c r="CI385" s="9">
        <v>0</v>
      </c>
      <c r="CJ385" s="9">
        <v>0</v>
      </c>
      <c r="CK385" s="9">
        <v>0</v>
      </c>
      <c r="CL385" s="9">
        <v>0</v>
      </c>
      <c r="CM385" s="9">
        <v>0</v>
      </c>
      <c r="CN385" s="9">
        <v>0</v>
      </c>
      <c r="CO385" s="9">
        <v>0</v>
      </c>
      <c r="CP385" s="9">
        <v>0</v>
      </c>
      <c r="CQ385" s="9">
        <v>0</v>
      </c>
      <c r="CR385" s="9">
        <v>0</v>
      </c>
      <c r="CS385" s="10">
        <v>0</v>
      </c>
    </row>
    <row r="386" spans="1:97" x14ac:dyDescent="0.35">
      <c r="A386" s="8" t="s">
        <v>413</v>
      </c>
      <c r="B386" s="9" t="s">
        <v>1139</v>
      </c>
      <c r="C386" s="9" t="s">
        <v>1140</v>
      </c>
      <c r="D386" s="9">
        <f t="shared" si="5"/>
        <v>0</v>
      </c>
      <c r="E386" s="9">
        <v>0</v>
      </c>
      <c r="F386" s="9">
        <v>0</v>
      </c>
      <c r="G386" s="9">
        <v>0</v>
      </c>
      <c r="H386" s="9">
        <v>0</v>
      </c>
      <c r="I386" s="9">
        <v>0</v>
      </c>
      <c r="J386" s="9">
        <v>0</v>
      </c>
      <c r="K386" s="9">
        <v>0</v>
      </c>
      <c r="L386" s="9">
        <v>0</v>
      </c>
      <c r="M386" s="9">
        <v>0</v>
      </c>
      <c r="N386" s="9">
        <v>0</v>
      </c>
      <c r="O386" s="9">
        <v>0</v>
      </c>
      <c r="P386" s="9">
        <v>0</v>
      </c>
      <c r="Q386" s="9">
        <v>0</v>
      </c>
      <c r="R386" s="9">
        <v>0</v>
      </c>
      <c r="S386" s="9">
        <v>0</v>
      </c>
      <c r="T386" s="9">
        <v>0</v>
      </c>
      <c r="U386" s="9">
        <v>0</v>
      </c>
      <c r="V386" s="9">
        <v>0</v>
      </c>
      <c r="W386" s="9">
        <v>0</v>
      </c>
      <c r="X386" s="9">
        <v>0</v>
      </c>
      <c r="Y386" s="9">
        <v>0</v>
      </c>
      <c r="Z386" s="9">
        <v>0</v>
      </c>
      <c r="AA386" s="9">
        <v>0</v>
      </c>
      <c r="AB386" s="9">
        <v>0</v>
      </c>
      <c r="AC386" s="9">
        <v>0</v>
      </c>
      <c r="AD386" s="9">
        <v>0</v>
      </c>
      <c r="AE386" s="9">
        <v>0</v>
      </c>
      <c r="AF386" s="9">
        <v>0</v>
      </c>
      <c r="AG386" s="9">
        <v>0</v>
      </c>
      <c r="AH386" s="9">
        <v>0</v>
      </c>
      <c r="AI386" s="9">
        <v>0</v>
      </c>
      <c r="AJ386" s="9">
        <v>0</v>
      </c>
      <c r="AK386" s="9">
        <v>0</v>
      </c>
      <c r="AL386" s="9">
        <v>0</v>
      </c>
      <c r="AM386" s="9">
        <v>0</v>
      </c>
      <c r="AN386" s="9">
        <v>0</v>
      </c>
      <c r="AO386" s="9">
        <v>0</v>
      </c>
      <c r="AP386" s="9">
        <v>0</v>
      </c>
      <c r="AQ386" s="9">
        <v>0</v>
      </c>
      <c r="AR386" s="9">
        <v>0</v>
      </c>
      <c r="AS386" s="9">
        <v>0</v>
      </c>
      <c r="AT386" s="9">
        <v>0</v>
      </c>
      <c r="AU386" s="9">
        <v>0</v>
      </c>
      <c r="AV386" s="9">
        <v>0</v>
      </c>
      <c r="AW386" s="9">
        <v>0</v>
      </c>
      <c r="AX386" s="9">
        <v>0</v>
      </c>
      <c r="AY386" s="9">
        <v>0</v>
      </c>
      <c r="AZ386" s="9">
        <v>0</v>
      </c>
      <c r="BA386" s="9">
        <v>0</v>
      </c>
      <c r="BB386" s="9">
        <v>0</v>
      </c>
      <c r="BC386" s="9">
        <v>0</v>
      </c>
      <c r="BD386" s="9">
        <v>0</v>
      </c>
      <c r="BE386" s="9">
        <v>0</v>
      </c>
      <c r="BF386" s="9">
        <v>0</v>
      </c>
      <c r="BG386" s="9">
        <v>0</v>
      </c>
      <c r="BH386" s="9">
        <v>0</v>
      </c>
      <c r="BI386" s="9">
        <v>0</v>
      </c>
      <c r="BJ386" s="9">
        <v>0</v>
      </c>
      <c r="BK386" s="9">
        <v>0</v>
      </c>
      <c r="BL386" s="9">
        <v>0</v>
      </c>
      <c r="BM386" s="9">
        <v>0</v>
      </c>
      <c r="BN386" s="9">
        <v>0</v>
      </c>
      <c r="BO386" s="9">
        <v>0</v>
      </c>
      <c r="BP386" s="9">
        <v>0</v>
      </c>
      <c r="BQ386" s="9">
        <v>0</v>
      </c>
      <c r="BR386" s="9">
        <v>0</v>
      </c>
      <c r="BS386" s="9">
        <v>0</v>
      </c>
      <c r="BT386" s="9">
        <v>0</v>
      </c>
      <c r="BU386" s="9">
        <v>0</v>
      </c>
      <c r="BV386" s="9">
        <v>0</v>
      </c>
      <c r="BW386" s="9">
        <v>0</v>
      </c>
      <c r="BX386" s="9">
        <v>0</v>
      </c>
      <c r="BY386" s="9">
        <v>0</v>
      </c>
      <c r="BZ386" s="9">
        <v>0</v>
      </c>
      <c r="CA386" s="9">
        <v>0</v>
      </c>
      <c r="CB386" s="9">
        <v>0</v>
      </c>
      <c r="CC386" s="9">
        <v>0</v>
      </c>
      <c r="CD386" s="9">
        <v>0</v>
      </c>
      <c r="CE386" s="9">
        <v>0</v>
      </c>
      <c r="CF386" s="9">
        <v>0</v>
      </c>
      <c r="CG386" s="9">
        <v>0</v>
      </c>
      <c r="CH386" s="9">
        <v>0</v>
      </c>
      <c r="CI386" s="9">
        <v>0</v>
      </c>
      <c r="CJ386" s="9">
        <v>0</v>
      </c>
      <c r="CK386" s="9">
        <v>0</v>
      </c>
      <c r="CL386" s="9">
        <v>0</v>
      </c>
      <c r="CM386" s="9">
        <v>0</v>
      </c>
      <c r="CN386" s="9">
        <v>0</v>
      </c>
      <c r="CO386" s="9">
        <v>0</v>
      </c>
      <c r="CP386" s="9">
        <v>0</v>
      </c>
      <c r="CQ386" s="9">
        <v>0</v>
      </c>
      <c r="CR386" s="9">
        <v>0</v>
      </c>
      <c r="CS386" s="10">
        <v>0</v>
      </c>
    </row>
    <row r="387" spans="1:97" x14ac:dyDescent="0.35">
      <c r="A387" s="8" t="s">
        <v>413</v>
      </c>
      <c r="B387" s="9" t="s">
        <v>1141</v>
      </c>
      <c r="C387" s="9" t="s">
        <v>1142</v>
      </c>
      <c r="D387" s="9">
        <f t="shared" ref="D387:D450" si="6">SUM(E387:CS387)</f>
        <v>0</v>
      </c>
      <c r="E387" s="9">
        <v>0</v>
      </c>
      <c r="F387" s="9">
        <v>0</v>
      </c>
      <c r="G387" s="9">
        <v>0</v>
      </c>
      <c r="H387" s="9">
        <v>0</v>
      </c>
      <c r="I387" s="9">
        <v>0</v>
      </c>
      <c r="J387" s="9">
        <v>0</v>
      </c>
      <c r="K387" s="9">
        <v>0</v>
      </c>
      <c r="L387" s="9">
        <v>0</v>
      </c>
      <c r="M387" s="9">
        <v>0</v>
      </c>
      <c r="N387" s="9">
        <v>0</v>
      </c>
      <c r="O387" s="9">
        <v>0</v>
      </c>
      <c r="P387" s="9">
        <v>0</v>
      </c>
      <c r="Q387" s="9">
        <v>0</v>
      </c>
      <c r="R387" s="9">
        <v>0</v>
      </c>
      <c r="S387" s="9">
        <v>0</v>
      </c>
      <c r="T387" s="9">
        <v>0</v>
      </c>
      <c r="U387" s="9">
        <v>0</v>
      </c>
      <c r="V387" s="9">
        <v>0</v>
      </c>
      <c r="W387" s="9">
        <v>0</v>
      </c>
      <c r="X387" s="9">
        <v>0</v>
      </c>
      <c r="Y387" s="9">
        <v>0</v>
      </c>
      <c r="Z387" s="9">
        <v>0</v>
      </c>
      <c r="AA387" s="9">
        <v>0</v>
      </c>
      <c r="AB387" s="9">
        <v>0</v>
      </c>
      <c r="AC387" s="9">
        <v>0</v>
      </c>
      <c r="AD387" s="9">
        <v>0</v>
      </c>
      <c r="AE387" s="9">
        <v>0</v>
      </c>
      <c r="AF387" s="9">
        <v>0</v>
      </c>
      <c r="AG387" s="9">
        <v>0</v>
      </c>
      <c r="AH387" s="9">
        <v>0</v>
      </c>
      <c r="AI387" s="9">
        <v>0</v>
      </c>
      <c r="AJ387" s="9">
        <v>0</v>
      </c>
      <c r="AK387" s="9">
        <v>0</v>
      </c>
      <c r="AL387" s="9">
        <v>0</v>
      </c>
      <c r="AM387" s="9">
        <v>0</v>
      </c>
      <c r="AN387" s="9">
        <v>0</v>
      </c>
      <c r="AO387" s="9">
        <v>0</v>
      </c>
      <c r="AP387" s="9">
        <v>0</v>
      </c>
      <c r="AQ387" s="9">
        <v>0</v>
      </c>
      <c r="AR387" s="9">
        <v>0</v>
      </c>
      <c r="AS387" s="9">
        <v>0</v>
      </c>
      <c r="AT387" s="9">
        <v>0</v>
      </c>
      <c r="AU387" s="9">
        <v>0</v>
      </c>
      <c r="AV387" s="9">
        <v>0</v>
      </c>
      <c r="AW387" s="9">
        <v>0</v>
      </c>
      <c r="AX387" s="9">
        <v>0</v>
      </c>
      <c r="AY387" s="9">
        <v>0</v>
      </c>
      <c r="AZ387" s="9">
        <v>0</v>
      </c>
      <c r="BA387" s="9">
        <v>0</v>
      </c>
      <c r="BB387" s="9">
        <v>0</v>
      </c>
      <c r="BC387" s="9">
        <v>0</v>
      </c>
      <c r="BD387" s="9">
        <v>0</v>
      </c>
      <c r="BE387" s="9">
        <v>0</v>
      </c>
      <c r="BF387" s="9">
        <v>0</v>
      </c>
      <c r="BG387" s="9">
        <v>0</v>
      </c>
      <c r="BH387" s="9">
        <v>0</v>
      </c>
      <c r="BI387" s="9">
        <v>0</v>
      </c>
      <c r="BJ387" s="9">
        <v>0</v>
      </c>
      <c r="BK387" s="9">
        <v>0</v>
      </c>
      <c r="BL387" s="9">
        <v>0</v>
      </c>
      <c r="BM387" s="9">
        <v>0</v>
      </c>
      <c r="BN387" s="9">
        <v>0</v>
      </c>
      <c r="BO387" s="9">
        <v>0</v>
      </c>
      <c r="BP387" s="9">
        <v>0</v>
      </c>
      <c r="BQ387" s="9">
        <v>0</v>
      </c>
      <c r="BR387" s="9">
        <v>0</v>
      </c>
      <c r="BS387" s="9">
        <v>0</v>
      </c>
      <c r="BT387" s="9">
        <v>0</v>
      </c>
      <c r="BU387" s="9">
        <v>0</v>
      </c>
      <c r="BV387" s="9">
        <v>0</v>
      </c>
      <c r="BW387" s="9">
        <v>0</v>
      </c>
      <c r="BX387" s="9">
        <v>0</v>
      </c>
      <c r="BY387" s="9">
        <v>0</v>
      </c>
      <c r="BZ387" s="9">
        <v>0</v>
      </c>
      <c r="CA387" s="9">
        <v>0</v>
      </c>
      <c r="CB387" s="9">
        <v>0</v>
      </c>
      <c r="CC387" s="9">
        <v>0</v>
      </c>
      <c r="CD387" s="9">
        <v>0</v>
      </c>
      <c r="CE387" s="9">
        <v>0</v>
      </c>
      <c r="CF387" s="9">
        <v>0</v>
      </c>
      <c r="CG387" s="9">
        <v>0</v>
      </c>
      <c r="CH387" s="9">
        <v>0</v>
      </c>
      <c r="CI387" s="9">
        <v>0</v>
      </c>
      <c r="CJ387" s="9">
        <v>0</v>
      </c>
      <c r="CK387" s="9">
        <v>0</v>
      </c>
      <c r="CL387" s="9">
        <v>0</v>
      </c>
      <c r="CM387" s="9">
        <v>0</v>
      </c>
      <c r="CN387" s="9">
        <v>0</v>
      </c>
      <c r="CO387" s="9">
        <v>0</v>
      </c>
      <c r="CP387" s="9">
        <v>0</v>
      </c>
      <c r="CQ387" s="9">
        <v>0</v>
      </c>
      <c r="CR387" s="9">
        <v>0</v>
      </c>
      <c r="CS387" s="10">
        <v>0</v>
      </c>
    </row>
    <row r="388" spans="1:97" x14ac:dyDescent="0.35">
      <c r="A388" s="8" t="s">
        <v>413</v>
      </c>
      <c r="B388" s="9" t="s">
        <v>1143</v>
      </c>
      <c r="C388" s="9" t="s">
        <v>1144</v>
      </c>
      <c r="D388" s="9">
        <f t="shared" si="6"/>
        <v>0</v>
      </c>
      <c r="E388" s="9">
        <v>0</v>
      </c>
      <c r="F388" s="9">
        <v>0</v>
      </c>
      <c r="G388" s="9">
        <v>0</v>
      </c>
      <c r="H388" s="9">
        <v>0</v>
      </c>
      <c r="I388" s="9">
        <v>0</v>
      </c>
      <c r="J388" s="9">
        <v>0</v>
      </c>
      <c r="K388" s="9">
        <v>0</v>
      </c>
      <c r="L388" s="9">
        <v>0</v>
      </c>
      <c r="M388" s="9">
        <v>0</v>
      </c>
      <c r="N388" s="9">
        <v>0</v>
      </c>
      <c r="O388" s="9">
        <v>0</v>
      </c>
      <c r="P388" s="9">
        <v>0</v>
      </c>
      <c r="Q388" s="9">
        <v>0</v>
      </c>
      <c r="R388" s="9">
        <v>0</v>
      </c>
      <c r="S388" s="9">
        <v>0</v>
      </c>
      <c r="T388" s="9">
        <v>0</v>
      </c>
      <c r="U388" s="9">
        <v>0</v>
      </c>
      <c r="V388" s="9">
        <v>0</v>
      </c>
      <c r="W388" s="9">
        <v>0</v>
      </c>
      <c r="X388" s="9">
        <v>0</v>
      </c>
      <c r="Y388" s="9">
        <v>0</v>
      </c>
      <c r="Z388" s="9">
        <v>0</v>
      </c>
      <c r="AA388" s="9">
        <v>0</v>
      </c>
      <c r="AB388" s="9">
        <v>0</v>
      </c>
      <c r="AC388" s="9">
        <v>0</v>
      </c>
      <c r="AD388" s="9">
        <v>0</v>
      </c>
      <c r="AE388" s="9">
        <v>0</v>
      </c>
      <c r="AF388" s="9">
        <v>0</v>
      </c>
      <c r="AG388" s="9">
        <v>0</v>
      </c>
      <c r="AH388" s="9">
        <v>0</v>
      </c>
      <c r="AI388" s="9">
        <v>0</v>
      </c>
      <c r="AJ388" s="9">
        <v>0</v>
      </c>
      <c r="AK388" s="9">
        <v>0</v>
      </c>
      <c r="AL388" s="9">
        <v>0</v>
      </c>
      <c r="AM388" s="9">
        <v>0</v>
      </c>
      <c r="AN388" s="9">
        <v>0</v>
      </c>
      <c r="AO388" s="9">
        <v>0</v>
      </c>
      <c r="AP388" s="9">
        <v>0</v>
      </c>
      <c r="AQ388" s="9">
        <v>0</v>
      </c>
      <c r="AR388" s="9">
        <v>0</v>
      </c>
      <c r="AS388" s="9">
        <v>0</v>
      </c>
      <c r="AT388" s="9">
        <v>0</v>
      </c>
      <c r="AU388" s="9">
        <v>0</v>
      </c>
      <c r="AV388" s="9">
        <v>0</v>
      </c>
      <c r="AW388" s="9">
        <v>0</v>
      </c>
      <c r="AX388" s="9">
        <v>0</v>
      </c>
      <c r="AY388" s="9">
        <v>0</v>
      </c>
      <c r="AZ388" s="9">
        <v>0</v>
      </c>
      <c r="BA388" s="9">
        <v>0</v>
      </c>
      <c r="BB388" s="9">
        <v>0</v>
      </c>
      <c r="BC388" s="9">
        <v>0</v>
      </c>
      <c r="BD388" s="9">
        <v>0</v>
      </c>
      <c r="BE388" s="9">
        <v>0</v>
      </c>
      <c r="BF388" s="9">
        <v>0</v>
      </c>
      <c r="BG388" s="9">
        <v>0</v>
      </c>
      <c r="BH388" s="9">
        <v>0</v>
      </c>
      <c r="BI388" s="9">
        <v>0</v>
      </c>
      <c r="BJ388" s="9">
        <v>0</v>
      </c>
      <c r="BK388" s="9">
        <v>0</v>
      </c>
      <c r="BL388" s="9">
        <v>0</v>
      </c>
      <c r="BM388" s="9">
        <v>0</v>
      </c>
      <c r="BN388" s="9">
        <v>0</v>
      </c>
      <c r="BO388" s="9">
        <v>0</v>
      </c>
      <c r="BP388" s="9">
        <v>0</v>
      </c>
      <c r="BQ388" s="9">
        <v>0</v>
      </c>
      <c r="BR388" s="9">
        <v>0</v>
      </c>
      <c r="BS388" s="9">
        <v>0</v>
      </c>
      <c r="BT388" s="9">
        <v>0</v>
      </c>
      <c r="BU388" s="9">
        <v>0</v>
      </c>
      <c r="BV388" s="9">
        <v>0</v>
      </c>
      <c r="BW388" s="9">
        <v>0</v>
      </c>
      <c r="BX388" s="9">
        <v>0</v>
      </c>
      <c r="BY388" s="9">
        <v>0</v>
      </c>
      <c r="BZ388" s="9">
        <v>0</v>
      </c>
      <c r="CA388" s="9">
        <v>0</v>
      </c>
      <c r="CB388" s="9">
        <v>0</v>
      </c>
      <c r="CC388" s="9">
        <v>0</v>
      </c>
      <c r="CD388" s="9">
        <v>0</v>
      </c>
      <c r="CE388" s="9">
        <v>0</v>
      </c>
      <c r="CF388" s="9">
        <v>0</v>
      </c>
      <c r="CG388" s="9">
        <v>0</v>
      </c>
      <c r="CH388" s="9">
        <v>0</v>
      </c>
      <c r="CI388" s="9">
        <v>0</v>
      </c>
      <c r="CJ388" s="9">
        <v>0</v>
      </c>
      <c r="CK388" s="9">
        <v>0</v>
      </c>
      <c r="CL388" s="9">
        <v>0</v>
      </c>
      <c r="CM388" s="9">
        <v>0</v>
      </c>
      <c r="CN388" s="9">
        <v>0</v>
      </c>
      <c r="CO388" s="9">
        <v>0</v>
      </c>
      <c r="CP388" s="9">
        <v>0</v>
      </c>
      <c r="CQ388" s="9">
        <v>0</v>
      </c>
      <c r="CR388" s="9">
        <v>0</v>
      </c>
      <c r="CS388" s="10">
        <v>0</v>
      </c>
    </row>
    <row r="389" spans="1:97" x14ac:dyDescent="0.35">
      <c r="A389" s="8" t="s">
        <v>413</v>
      </c>
      <c r="B389" s="9" t="s">
        <v>1145</v>
      </c>
      <c r="C389" s="9" t="s">
        <v>1146</v>
      </c>
      <c r="D389" s="9">
        <f t="shared" si="6"/>
        <v>0</v>
      </c>
      <c r="E389" s="9">
        <v>0</v>
      </c>
      <c r="F389" s="9">
        <v>0</v>
      </c>
      <c r="G389" s="9">
        <v>0</v>
      </c>
      <c r="H389" s="9">
        <v>0</v>
      </c>
      <c r="I389" s="9">
        <v>0</v>
      </c>
      <c r="J389" s="9">
        <v>0</v>
      </c>
      <c r="K389" s="9">
        <v>0</v>
      </c>
      <c r="L389" s="9">
        <v>0</v>
      </c>
      <c r="M389" s="9">
        <v>0</v>
      </c>
      <c r="N389" s="9">
        <v>0</v>
      </c>
      <c r="O389" s="9">
        <v>0</v>
      </c>
      <c r="P389" s="9">
        <v>0</v>
      </c>
      <c r="Q389" s="9">
        <v>0</v>
      </c>
      <c r="R389" s="9">
        <v>0</v>
      </c>
      <c r="S389" s="9">
        <v>0</v>
      </c>
      <c r="T389" s="9">
        <v>0</v>
      </c>
      <c r="U389" s="9">
        <v>0</v>
      </c>
      <c r="V389" s="9">
        <v>0</v>
      </c>
      <c r="W389" s="9">
        <v>0</v>
      </c>
      <c r="X389" s="9">
        <v>0</v>
      </c>
      <c r="Y389" s="9">
        <v>0</v>
      </c>
      <c r="Z389" s="9">
        <v>0</v>
      </c>
      <c r="AA389" s="9">
        <v>0</v>
      </c>
      <c r="AB389" s="9">
        <v>0</v>
      </c>
      <c r="AC389" s="9">
        <v>0</v>
      </c>
      <c r="AD389" s="9">
        <v>0</v>
      </c>
      <c r="AE389" s="9">
        <v>0</v>
      </c>
      <c r="AF389" s="9">
        <v>0</v>
      </c>
      <c r="AG389" s="9">
        <v>0</v>
      </c>
      <c r="AH389" s="9">
        <v>0</v>
      </c>
      <c r="AI389" s="9">
        <v>0</v>
      </c>
      <c r="AJ389" s="9">
        <v>0</v>
      </c>
      <c r="AK389" s="9">
        <v>0</v>
      </c>
      <c r="AL389" s="9">
        <v>0</v>
      </c>
      <c r="AM389" s="9">
        <v>0</v>
      </c>
      <c r="AN389" s="9">
        <v>0</v>
      </c>
      <c r="AO389" s="9">
        <v>0</v>
      </c>
      <c r="AP389" s="9">
        <v>0</v>
      </c>
      <c r="AQ389" s="9">
        <v>0</v>
      </c>
      <c r="AR389" s="9">
        <v>0</v>
      </c>
      <c r="AS389" s="9">
        <v>0</v>
      </c>
      <c r="AT389" s="9">
        <v>0</v>
      </c>
      <c r="AU389" s="9">
        <v>0</v>
      </c>
      <c r="AV389" s="9">
        <v>0</v>
      </c>
      <c r="AW389" s="9">
        <v>0</v>
      </c>
      <c r="AX389" s="9">
        <v>0</v>
      </c>
      <c r="AY389" s="9">
        <v>0</v>
      </c>
      <c r="AZ389" s="9">
        <v>0</v>
      </c>
      <c r="BA389" s="9">
        <v>0</v>
      </c>
      <c r="BB389" s="9">
        <v>0</v>
      </c>
      <c r="BC389" s="9">
        <v>0</v>
      </c>
      <c r="BD389" s="9">
        <v>0</v>
      </c>
      <c r="BE389" s="9">
        <v>0</v>
      </c>
      <c r="BF389" s="9">
        <v>0</v>
      </c>
      <c r="BG389" s="9">
        <v>0</v>
      </c>
      <c r="BH389" s="9">
        <v>0</v>
      </c>
      <c r="BI389" s="9">
        <v>0</v>
      </c>
      <c r="BJ389" s="9">
        <v>0</v>
      </c>
      <c r="BK389" s="9">
        <v>0</v>
      </c>
      <c r="BL389" s="9">
        <v>0</v>
      </c>
      <c r="BM389" s="9">
        <v>0</v>
      </c>
      <c r="BN389" s="9">
        <v>0</v>
      </c>
      <c r="BO389" s="9">
        <v>0</v>
      </c>
      <c r="BP389" s="9">
        <v>0</v>
      </c>
      <c r="BQ389" s="9">
        <v>0</v>
      </c>
      <c r="BR389" s="9">
        <v>0</v>
      </c>
      <c r="BS389" s="9">
        <v>0</v>
      </c>
      <c r="BT389" s="9">
        <v>0</v>
      </c>
      <c r="BU389" s="9">
        <v>0</v>
      </c>
      <c r="BV389" s="9">
        <v>0</v>
      </c>
      <c r="BW389" s="9">
        <v>0</v>
      </c>
      <c r="BX389" s="9">
        <v>0</v>
      </c>
      <c r="BY389" s="9">
        <v>0</v>
      </c>
      <c r="BZ389" s="9">
        <v>0</v>
      </c>
      <c r="CA389" s="9">
        <v>0</v>
      </c>
      <c r="CB389" s="9">
        <v>0</v>
      </c>
      <c r="CC389" s="9">
        <v>0</v>
      </c>
      <c r="CD389" s="9">
        <v>0</v>
      </c>
      <c r="CE389" s="9">
        <v>0</v>
      </c>
      <c r="CF389" s="9">
        <v>0</v>
      </c>
      <c r="CG389" s="9">
        <v>0</v>
      </c>
      <c r="CH389" s="9">
        <v>0</v>
      </c>
      <c r="CI389" s="9">
        <v>0</v>
      </c>
      <c r="CJ389" s="9">
        <v>0</v>
      </c>
      <c r="CK389" s="9">
        <v>0</v>
      </c>
      <c r="CL389" s="9">
        <v>0</v>
      </c>
      <c r="CM389" s="9">
        <v>0</v>
      </c>
      <c r="CN389" s="9">
        <v>0</v>
      </c>
      <c r="CO389" s="9">
        <v>0</v>
      </c>
      <c r="CP389" s="9">
        <v>0</v>
      </c>
      <c r="CQ389" s="9">
        <v>0</v>
      </c>
      <c r="CR389" s="9">
        <v>0</v>
      </c>
      <c r="CS389" s="10">
        <v>0</v>
      </c>
    </row>
    <row r="390" spans="1:97" x14ac:dyDescent="0.35">
      <c r="A390" s="8" t="s">
        <v>413</v>
      </c>
      <c r="B390" s="9" t="s">
        <v>1147</v>
      </c>
      <c r="C390" s="9" t="s">
        <v>1148</v>
      </c>
      <c r="D390" s="9">
        <f t="shared" si="6"/>
        <v>0</v>
      </c>
      <c r="E390" s="9">
        <v>0</v>
      </c>
      <c r="F390" s="9">
        <v>0</v>
      </c>
      <c r="G390" s="9">
        <v>0</v>
      </c>
      <c r="H390" s="9">
        <v>0</v>
      </c>
      <c r="I390" s="9">
        <v>0</v>
      </c>
      <c r="J390" s="9">
        <v>0</v>
      </c>
      <c r="K390" s="9">
        <v>0</v>
      </c>
      <c r="L390" s="9">
        <v>0</v>
      </c>
      <c r="M390" s="9">
        <v>0</v>
      </c>
      <c r="N390" s="9">
        <v>0</v>
      </c>
      <c r="O390" s="9">
        <v>0</v>
      </c>
      <c r="P390" s="9">
        <v>0</v>
      </c>
      <c r="Q390" s="9">
        <v>0</v>
      </c>
      <c r="R390" s="9">
        <v>0</v>
      </c>
      <c r="S390" s="9">
        <v>0</v>
      </c>
      <c r="T390" s="9">
        <v>0</v>
      </c>
      <c r="U390" s="9">
        <v>0</v>
      </c>
      <c r="V390" s="9">
        <v>0</v>
      </c>
      <c r="W390" s="9">
        <v>0</v>
      </c>
      <c r="X390" s="9">
        <v>0</v>
      </c>
      <c r="Y390" s="9">
        <v>0</v>
      </c>
      <c r="Z390" s="9">
        <v>0</v>
      </c>
      <c r="AA390" s="9">
        <v>0</v>
      </c>
      <c r="AB390" s="9">
        <v>0</v>
      </c>
      <c r="AC390" s="9">
        <v>0</v>
      </c>
      <c r="AD390" s="9">
        <v>0</v>
      </c>
      <c r="AE390" s="9">
        <v>0</v>
      </c>
      <c r="AF390" s="9">
        <v>0</v>
      </c>
      <c r="AG390" s="9">
        <v>0</v>
      </c>
      <c r="AH390" s="9">
        <v>0</v>
      </c>
      <c r="AI390" s="9">
        <v>0</v>
      </c>
      <c r="AJ390" s="9">
        <v>0</v>
      </c>
      <c r="AK390" s="9">
        <v>0</v>
      </c>
      <c r="AL390" s="9">
        <v>0</v>
      </c>
      <c r="AM390" s="9">
        <v>0</v>
      </c>
      <c r="AN390" s="9">
        <v>0</v>
      </c>
      <c r="AO390" s="9">
        <v>0</v>
      </c>
      <c r="AP390" s="9">
        <v>0</v>
      </c>
      <c r="AQ390" s="9">
        <v>0</v>
      </c>
      <c r="AR390" s="9">
        <v>0</v>
      </c>
      <c r="AS390" s="9">
        <v>0</v>
      </c>
      <c r="AT390" s="9">
        <v>0</v>
      </c>
      <c r="AU390" s="9">
        <v>0</v>
      </c>
      <c r="AV390" s="9">
        <v>0</v>
      </c>
      <c r="AW390" s="9">
        <v>0</v>
      </c>
      <c r="AX390" s="9">
        <v>0</v>
      </c>
      <c r="AY390" s="9">
        <v>0</v>
      </c>
      <c r="AZ390" s="9">
        <v>0</v>
      </c>
      <c r="BA390" s="9">
        <v>0</v>
      </c>
      <c r="BB390" s="9">
        <v>0</v>
      </c>
      <c r="BC390" s="9">
        <v>0</v>
      </c>
      <c r="BD390" s="9">
        <v>0</v>
      </c>
      <c r="BE390" s="9">
        <v>0</v>
      </c>
      <c r="BF390" s="9">
        <v>0</v>
      </c>
      <c r="BG390" s="9">
        <v>0</v>
      </c>
      <c r="BH390" s="9">
        <v>0</v>
      </c>
      <c r="BI390" s="9">
        <v>0</v>
      </c>
      <c r="BJ390" s="9">
        <v>0</v>
      </c>
      <c r="BK390" s="9">
        <v>0</v>
      </c>
      <c r="BL390" s="9">
        <v>0</v>
      </c>
      <c r="BM390" s="9">
        <v>0</v>
      </c>
      <c r="BN390" s="9">
        <v>0</v>
      </c>
      <c r="BO390" s="9">
        <v>0</v>
      </c>
      <c r="BP390" s="9">
        <v>0</v>
      </c>
      <c r="BQ390" s="9">
        <v>0</v>
      </c>
      <c r="BR390" s="9">
        <v>0</v>
      </c>
      <c r="BS390" s="9">
        <v>0</v>
      </c>
      <c r="BT390" s="9">
        <v>0</v>
      </c>
      <c r="BU390" s="9">
        <v>0</v>
      </c>
      <c r="BV390" s="9">
        <v>0</v>
      </c>
      <c r="BW390" s="9">
        <v>0</v>
      </c>
      <c r="BX390" s="9">
        <v>0</v>
      </c>
      <c r="BY390" s="9">
        <v>0</v>
      </c>
      <c r="BZ390" s="9">
        <v>0</v>
      </c>
      <c r="CA390" s="9">
        <v>0</v>
      </c>
      <c r="CB390" s="9">
        <v>0</v>
      </c>
      <c r="CC390" s="9">
        <v>0</v>
      </c>
      <c r="CD390" s="9">
        <v>0</v>
      </c>
      <c r="CE390" s="9">
        <v>0</v>
      </c>
      <c r="CF390" s="9">
        <v>0</v>
      </c>
      <c r="CG390" s="9">
        <v>0</v>
      </c>
      <c r="CH390" s="9">
        <v>0</v>
      </c>
      <c r="CI390" s="9">
        <v>0</v>
      </c>
      <c r="CJ390" s="9">
        <v>0</v>
      </c>
      <c r="CK390" s="9">
        <v>0</v>
      </c>
      <c r="CL390" s="9">
        <v>0</v>
      </c>
      <c r="CM390" s="9">
        <v>0</v>
      </c>
      <c r="CN390" s="9">
        <v>0</v>
      </c>
      <c r="CO390" s="9">
        <v>0</v>
      </c>
      <c r="CP390" s="9">
        <v>0</v>
      </c>
      <c r="CQ390" s="9">
        <v>0</v>
      </c>
      <c r="CR390" s="9">
        <v>0</v>
      </c>
      <c r="CS390" s="10">
        <v>0</v>
      </c>
    </row>
    <row r="391" spans="1:97" x14ac:dyDescent="0.35">
      <c r="A391" s="8" t="s">
        <v>413</v>
      </c>
      <c r="B391" s="9" t="s">
        <v>1149</v>
      </c>
      <c r="C391" s="9" t="s">
        <v>1150</v>
      </c>
      <c r="D391" s="9">
        <f t="shared" si="6"/>
        <v>0</v>
      </c>
      <c r="E391" s="9">
        <v>0</v>
      </c>
      <c r="F391" s="9">
        <v>0</v>
      </c>
      <c r="G391" s="9">
        <v>0</v>
      </c>
      <c r="H391" s="9">
        <v>0</v>
      </c>
      <c r="I391" s="9">
        <v>0</v>
      </c>
      <c r="J391" s="9">
        <v>0</v>
      </c>
      <c r="K391" s="9">
        <v>0</v>
      </c>
      <c r="L391" s="9">
        <v>0</v>
      </c>
      <c r="M391" s="9">
        <v>0</v>
      </c>
      <c r="N391" s="9">
        <v>0</v>
      </c>
      <c r="O391" s="9">
        <v>0</v>
      </c>
      <c r="P391" s="9">
        <v>0</v>
      </c>
      <c r="Q391" s="9">
        <v>0</v>
      </c>
      <c r="R391" s="9">
        <v>0</v>
      </c>
      <c r="S391" s="9">
        <v>0</v>
      </c>
      <c r="T391" s="9">
        <v>0</v>
      </c>
      <c r="U391" s="9">
        <v>0</v>
      </c>
      <c r="V391" s="9">
        <v>0</v>
      </c>
      <c r="W391" s="9">
        <v>0</v>
      </c>
      <c r="X391" s="9">
        <v>0</v>
      </c>
      <c r="Y391" s="9">
        <v>0</v>
      </c>
      <c r="Z391" s="9">
        <v>0</v>
      </c>
      <c r="AA391" s="9">
        <v>0</v>
      </c>
      <c r="AB391" s="9">
        <v>0</v>
      </c>
      <c r="AC391" s="9">
        <v>0</v>
      </c>
      <c r="AD391" s="9">
        <v>0</v>
      </c>
      <c r="AE391" s="9">
        <v>0</v>
      </c>
      <c r="AF391" s="9">
        <v>0</v>
      </c>
      <c r="AG391" s="9">
        <v>0</v>
      </c>
      <c r="AH391" s="9">
        <v>0</v>
      </c>
      <c r="AI391" s="9">
        <v>0</v>
      </c>
      <c r="AJ391" s="9">
        <v>0</v>
      </c>
      <c r="AK391" s="9">
        <v>0</v>
      </c>
      <c r="AL391" s="9">
        <v>0</v>
      </c>
      <c r="AM391" s="9">
        <v>0</v>
      </c>
      <c r="AN391" s="9">
        <v>0</v>
      </c>
      <c r="AO391" s="9">
        <v>0</v>
      </c>
      <c r="AP391" s="9">
        <v>0</v>
      </c>
      <c r="AQ391" s="9">
        <v>0</v>
      </c>
      <c r="AR391" s="9">
        <v>0</v>
      </c>
      <c r="AS391" s="9">
        <v>0</v>
      </c>
      <c r="AT391" s="9">
        <v>0</v>
      </c>
      <c r="AU391" s="9">
        <v>0</v>
      </c>
      <c r="AV391" s="9">
        <v>0</v>
      </c>
      <c r="AW391" s="9">
        <v>0</v>
      </c>
      <c r="AX391" s="9">
        <v>0</v>
      </c>
      <c r="AY391" s="9">
        <v>0</v>
      </c>
      <c r="AZ391" s="9">
        <v>0</v>
      </c>
      <c r="BA391" s="9">
        <v>0</v>
      </c>
      <c r="BB391" s="9">
        <v>0</v>
      </c>
      <c r="BC391" s="9">
        <v>0</v>
      </c>
      <c r="BD391" s="9">
        <v>0</v>
      </c>
      <c r="BE391" s="9">
        <v>0</v>
      </c>
      <c r="BF391" s="9">
        <v>0</v>
      </c>
      <c r="BG391" s="9">
        <v>0</v>
      </c>
      <c r="BH391" s="9">
        <v>0</v>
      </c>
      <c r="BI391" s="9">
        <v>0</v>
      </c>
      <c r="BJ391" s="9">
        <v>0</v>
      </c>
      <c r="BK391" s="9">
        <v>0</v>
      </c>
      <c r="BL391" s="9">
        <v>0</v>
      </c>
      <c r="BM391" s="9">
        <v>0</v>
      </c>
      <c r="BN391" s="9">
        <v>0</v>
      </c>
      <c r="BO391" s="9">
        <v>0</v>
      </c>
      <c r="BP391" s="9">
        <v>0</v>
      </c>
      <c r="BQ391" s="9">
        <v>0</v>
      </c>
      <c r="BR391" s="9">
        <v>0</v>
      </c>
      <c r="BS391" s="9">
        <v>0</v>
      </c>
      <c r="BT391" s="9">
        <v>0</v>
      </c>
      <c r="BU391" s="9">
        <v>0</v>
      </c>
      <c r="BV391" s="9">
        <v>0</v>
      </c>
      <c r="BW391" s="9">
        <v>0</v>
      </c>
      <c r="BX391" s="9">
        <v>0</v>
      </c>
      <c r="BY391" s="9">
        <v>0</v>
      </c>
      <c r="BZ391" s="9">
        <v>0</v>
      </c>
      <c r="CA391" s="9">
        <v>0</v>
      </c>
      <c r="CB391" s="9">
        <v>0</v>
      </c>
      <c r="CC391" s="9">
        <v>0</v>
      </c>
      <c r="CD391" s="9">
        <v>0</v>
      </c>
      <c r="CE391" s="9">
        <v>0</v>
      </c>
      <c r="CF391" s="9">
        <v>0</v>
      </c>
      <c r="CG391" s="9">
        <v>0</v>
      </c>
      <c r="CH391" s="9">
        <v>0</v>
      </c>
      <c r="CI391" s="9">
        <v>0</v>
      </c>
      <c r="CJ391" s="9">
        <v>0</v>
      </c>
      <c r="CK391" s="9">
        <v>0</v>
      </c>
      <c r="CL391" s="9">
        <v>0</v>
      </c>
      <c r="CM391" s="9">
        <v>0</v>
      </c>
      <c r="CN391" s="9">
        <v>0</v>
      </c>
      <c r="CO391" s="9">
        <v>0</v>
      </c>
      <c r="CP391" s="9">
        <v>0</v>
      </c>
      <c r="CQ391" s="9">
        <v>0</v>
      </c>
      <c r="CR391" s="9">
        <v>0</v>
      </c>
      <c r="CS391" s="10">
        <v>0</v>
      </c>
    </row>
    <row r="392" spans="1:97" x14ac:dyDescent="0.35">
      <c r="A392" s="8" t="s">
        <v>413</v>
      </c>
      <c r="B392" s="9" t="s">
        <v>1151</v>
      </c>
      <c r="C392" s="9" t="s">
        <v>1152</v>
      </c>
      <c r="D392" s="9">
        <f t="shared" si="6"/>
        <v>0</v>
      </c>
      <c r="E392" s="9">
        <v>0</v>
      </c>
      <c r="F392" s="9">
        <v>0</v>
      </c>
      <c r="G392" s="9">
        <v>0</v>
      </c>
      <c r="H392" s="9">
        <v>0</v>
      </c>
      <c r="I392" s="9">
        <v>0</v>
      </c>
      <c r="J392" s="9">
        <v>0</v>
      </c>
      <c r="K392" s="9">
        <v>0</v>
      </c>
      <c r="L392" s="9">
        <v>0</v>
      </c>
      <c r="M392" s="9">
        <v>0</v>
      </c>
      <c r="N392" s="9">
        <v>0</v>
      </c>
      <c r="O392" s="9">
        <v>0</v>
      </c>
      <c r="P392" s="9">
        <v>0</v>
      </c>
      <c r="Q392" s="9">
        <v>0</v>
      </c>
      <c r="R392" s="9">
        <v>0</v>
      </c>
      <c r="S392" s="9">
        <v>0</v>
      </c>
      <c r="T392" s="9">
        <v>0</v>
      </c>
      <c r="U392" s="9">
        <v>0</v>
      </c>
      <c r="V392" s="9">
        <v>0</v>
      </c>
      <c r="W392" s="9">
        <v>0</v>
      </c>
      <c r="X392" s="9">
        <v>0</v>
      </c>
      <c r="Y392" s="9">
        <v>0</v>
      </c>
      <c r="Z392" s="9">
        <v>0</v>
      </c>
      <c r="AA392" s="9">
        <v>0</v>
      </c>
      <c r="AB392" s="9">
        <v>0</v>
      </c>
      <c r="AC392" s="9">
        <v>0</v>
      </c>
      <c r="AD392" s="9">
        <v>0</v>
      </c>
      <c r="AE392" s="9">
        <v>0</v>
      </c>
      <c r="AF392" s="9">
        <v>0</v>
      </c>
      <c r="AG392" s="9">
        <v>0</v>
      </c>
      <c r="AH392" s="9">
        <v>0</v>
      </c>
      <c r="AI392" s="9">
        <v>0</v>
      </c>
      <c r="AJ392" s="9">
        <v>0</v>
      </c>
      <c r="AK392" s="9">
        <v>0</v>
      </c>
      <c r="AL392" s="9">
        <v>0</v>
      </c>
      <c r="AM392" s="9">
        <v>0</v>
      </c>
      <c r="AN392" s="9">
        <v>0</v>
      </c>
      <c r="AO392" s="9">
        <v>0</v>
      </c>
      <c r="AP392" s="9">
        <v>0</v>
      </c>
      <c r="AQ392" s="9">
        <v>0</v>
      </c>
      <c r="AR392" s="9">
        <v>0</v>
      </c>
      <c r="AS392" s="9">
        <v>0</v>
      </c>
      <c r="AT392" s="9">
        <v>0</v>
      </c>
      <c r="AU392" s="9">
        <v>0</v>
      </c>
      <c r="AV392" s="9">
        <v>0</v>
      </c>
      <c r="AW392" s="9">
        <v>0</v>
      </c>
      <c r="AX392" s="9">
        <v>0</v>
      </c>
      <c r="AY392" s="9">
        <v>0</v>
      </c>
      <c r="AZ392" s="9">
        <v>0</v>
      </c>
      <c r="BA392" s="9">
        <v>0</v>
      </c>
      <c r="BB392" s="9">
        <v>0</v>
      </c>
      <c r="BC392" s="9">
        <v>0</v>
      </c>
      <c r="BD392" s="9">
        <v>0</v>
      </c>
      <c r="BE392" s="9">
        <v>0</v>
      </c>
      <c r="BF392" s="9">
        <v>0</v>
      </c>
      <c r="BG392" s="9">
        <v>0</v>
      </c>
      <c r="BH392" s="9">
        <v>0</v>
      </c>
      <c r="BI392" s="9">
        <v>0</v>
      </c>
      <c r="BJ392" s="9">
        <v>0</v>
      </c>
      <c r="BK392" s="9">
        <v>0</v>
      </c>
      <c r="BL392" s="9">
        <v>0</v>
      </c>
      <c r="BM392" s="9">
        <v>0</v>
      </c>
      <c r="BN392" s="9">
        <v>0</v>
      </c>
      <c r="BO392" s="9">
        <v>0</v>
      </c>
      <c r="BP392" s="9">
        <v>0</v>
      </c>
      <c r="BQ392" s="9">
        <v>0</v>
      </c>
      <c r="BR392" s="9">
        <v>0</v>
      </c>
      <c r="BS392" s="9">
        <v>0</v>
      </c>
      <c r="BT392" s="9">
        <v>0</v>
      </c>
      <c r="BU392" s="9">
        <v>0</v>
      </c>
      <c r="BV392" s="9">
        <v>0</v>
      </c>
      <c r="BW392" s="9">
        <v>0</v>
      </c>
      <c r="BX392" s="9">
        <v>0</v>
      </c>
      <c r="BY392" s="9">
        <v>0</v>
      </c>
      <c r="BZ392" s="9">
        <v>0</v>
      </c>
      <c r="CA392" s="9">
        <v>0</v>
      </c>
      <c r="CB392" s="9">
        <v>0</v>
      </c>
      <c r="CC392" s="9">
        <v>0</v>
      </c>
      <c r="CD392" s="9">
        <v>0</v>
      </c>
      <c r="CE392" s="9">
        <v>0</v>
      </c>
      <c r="CF392" s="9">
        <v>0</v>
      </c>
      <c r="CG392" s="9">
        <v>0</v>
      </c>
      <c r="CH392" s="9">
        <v>0</v>
      </c>
      <c r="CI392" s="9">
        <v>0</v>
      </c>
      <c r="CJ392" s="9">
        <v>0</v>
      </c>
      <c r="CK392" s="9">
        <v>0</v>
      </c>
      <c r="CL392" s="9">
        <v>0</v>
      </c>
      <c r="CM392" s="9">
        <v>0</v>
      </c>
      <c r="CN392" s="9">
        <v>0</v>
      </c>
      <c r="CO392" s="9">
        <v>0</v>
      </c>
      <c r="CP392" s="9">
        <v>0</v>
      </c>
      <c r="CQ392" s="9">
        <v>0</v>
      </c>
      <c r="CR392" s="9">
        <v>0</v>
      </c>
      <c r="CS392" s="10">
        <v>0</v>
      </c>
    </row>
    <row r="393" spans="1:97" x14ac:dyDescent="0.35">
      <c r="A393" s="8" t="s">
        <v>413</v>
      </c>
      <c r="B393" s="9" t="s">
        <v>1153</v>
      </c>
      <c r="C393" s="9" t="s">
        <v>1154</v>
      </c>
      <c r="D393" s="9">
        <f t="shared" si="6"/>
        <v>0</v>
      </c>
      <c r="E393" s="9">
        <v>0</v>
      </c>
      <c r="F393" s="9">
        <v>0</v>
      </c>
      <c r="G393" s="9">
        <v>0</v>
      </c>
      <c r="H393" s="9">
        <v>0</v>
      </c>
      <c r="I393" s="9">
        <v>0</v>
      </c>
      <c r="J393" s="9">
        <v>0</v>
      </c>
      <c r="K393" s="9">
        <v>0</v>
      </c>
      <c r="L393" s="9">
        <v>0</v>
      </c>
      <c r="M393" s="9">
        <v>0</v>
      </c>
      <c r="N393" s="9">
        <v>0</v>
      </c>
      <c r="O393" s="9">
        <v>0</v>
      </c>
      <c r="P393" s="9">
        <v>0</v>
      </c>
      <c r="Q393" s="9">
        <v>0</v>
      </c>
      <c r="R393" s="9">
        <v>0</v>
      </c>
      <c r="S393" s="9">
        <v>0</v>
      </c>
      <c r="T393" s="9">
        <v>0</v>
      </c>
      <c r="U393" s="9">
        <v>0</v>
      </c>
      <c r="V393" s="9">
        <v>0</v>
      </c>
      <c r="W393" s="9">
        <v>0</v>
      </c>
      <c r="X393" s="9">
        <v>0</v>
      </c>
      <c r="Y393" s="9">
        <v>0</v>
      </c>
      <c r="Z393" s="9">
        <v>0</v>
      </c>
      <c r="AA393" s="9">
        <v>0</v>
      </c>
      <c r="AB393" s="9">
        <v>0</v>
      </c>
      <c r="AC393" s="9">
        <v>0</v>
      </c>
      <c r="AD393" s="9">
        <v>0</v>
      </c>
      <c r="AE393" s="9">
        <v>0</v>
      </c>
      <c r="AF393" s="9">
        <v>0</v>
      </c>
      <c r="AG393" s="9">
        <v>0</v>
      </c>
      <c r="AH393" s="9">
        <v>0</v>
      </c>
      <c r="AI393" s="9">
        <v>0</v>
      </c>
      <c r="AJ393" s="9">
        <v>0</v>
      </c>
      <c r="AK393" s="9">
        <v>0</v>
      </c>
      <c r="AL393" s="9">
        <v>0</v>
      </c>
      <c r="AM393" s="9">
        <v>0</v>
      </c>
      <c r="AN393" s="9">
        <v>0</v>
      </c>
      <c r="AO393" s="9">
        <v>0</v>
      </c>
      <c r="AP393" s="9">
        <v>0</v>
      </c>
      <c r="AQ393" s="9">
        <v>0</v>
      </c>
      <c r="AR393" s="9">
        <v>0</v>
      </c>
      <c r="AS393" s="9">
        <v>0</v>
      </c>
      <c r="AT393" s="9">
        <v>0</v>
      </c>
      <c r="AU393" s="9">
        <v>0</v>
      </c>
      <c r="AV393" s="9">
        <v>0</v>
      </c>
      <c r="AW393" s="9">
        <v>0</v>
      </c>
      <c r="AX393" s="9">
        <v>0</v>
      </c>
      <c r="AY393" s="9">
        <v>0</v>
      </c>
      <c r="AZ393" s="9">
        <v>0</v>
      </c>
      <c r="BA393" s="9">
        <v>0</v>
      </c>
      <c r="BB393" s="9">
        <v>0</v>
      </c>
      <c r="BC393" s="9">
        <v>0</v>
      </c>
      <c r="BD393" s="9">
        <v>0</v>
      </c>
      <c r="BE393" s="9">
        <v>0</v>
      </c>
      <c r="BF393" s="9">
        <v>0</v>
      </c>
      <c r="BG393" s="9">
        <v>0</v>
      </c>
      <c r="BH393" s="9">
        <v>0</v>
      </c>
      <c r="BI393" s="9">
        <v>0</v>
      </c>
      <c r="BJ393" s="9">
        <v>0</v>
      </c>
      <c r="BK393" s="9">
        <v>0</v>
      </c>
      <c r="BL393" s="9">
        <v>0</v>
      </c>
      <c r="BM393" s="9">
        <v>0</v>
      </c>
      <c r="BN393" s="9">
        <v>0</v>
      </c>
      <c r="BO393" s="9">
        <v>0</v>
      </c>
      <c r="BP393" s="9">
        <v>0</v>
      </c>
      <c r="BQ393" s="9">
        <v>0</v>
      </c>
      <c r="BR393" s="9">
        <v>0</v>
      </c>
      <c r="BS393" s="9">
        <v>0</v>
      </c>
      <c r="BT393" s="9">
        <v>0</v>
      </c>
      <c r="BU393" s="9">
        <v>0</v>
      </c>
      <c r="BV393" s="9">
        <v>0</v>
      </c>
      <c r="BW393" s="9">
        <v>0</v>
      </c>
      <c r="BX393" s="9">
        <v>0</v>
      </c>
      <c r="BY393" s="9">
        <v>0</v>
      </c>
      <c r="BZ393" s="9">
        <v>0</v>
      </c>
      <c r="CA393" s="9">
        <v>0</v>
      </c>
      <c r="CB393" s="9">
        <v>0</v>
      </c>
      <c r="CC393" s="9">
        <v>0</v>
      </c>
      <c r="CD393" s="9">
        <v>0</v>
      </c>
      <c r="CE393" s="9">
        <v>0</v>
      </c>
      <c r="CF393" s="9">
        <v>0</v>
      </c>
      <c r="CG393" s="9">
        <v>0</v>
      </c>
      <c r="CH393" s="9">
        <v>0</v>
      </c>
      <c r="CI393" s="9">
        <v>0</v>
      </c>
      <c r="CJ393" s="9">
        <v>0</v>
      </c>
      <c r="CK393" s="9">
        <v>0</v>
      </c>
      <c r="CL393" s="9">
        <v>0</v>
      </c>
      <c r="CM393" s="9">
        <v>0</v>
      </c>
      <c r="CN393" s="9">
        <v>0</v>
      </c>
      <c r="CO393" s="9">
        <v>0</v>
      </c>
      <c r="CP393" s="9">
        <v>0</v>
      </c>
      <c r="CQ393" s="9">
        <v>0</v>
      </c>
      <c r="CR393" s="9">
        <v>0</v>
      </c>
      <c r="CS393" s="10">
        <v>0</v>
      </c>
    </row>
    <row r="394" spans="1:97" x14ac:dyDescent="0.35">
      <c r="A394" s="8" t="s">
        <v>413</v>
      </c>
      <c r="B394" s="9" t="s">
        <v>1155</v>
      </c>
      <c r="C394" s="9" t="s">
        <v>1156</v>
      </c>
      <c r="D394" s="9">
        <f t="shared" si="6"/>
        <v>0</v>
      </c>
      <c r="E394" s="9">
        <v>0</v>
      </c>
      <c r="F394" s="9">
        <v>0</v>
      </c>
      <c r="G394" s="9">
        <v>0</v>
      </c>
      <c r="H394" s="9">
        <v>0</v>
      </c>
      <c r="I394" s="9">
        <v>0</v>
      </c>
      <c r="J394" s="9">
        <v>0</v>
      </c>
      <c r="K394" s="9">
        <v>0</v>
      </c>
      <c r="L394" s="9">
        <v>0</v>
      </c>
      <c r="M394" s="9">
        <v>0</v>
      </c>
      <c r="N394" s="9">
        <v>0</v>
      </c>
      <c r="O394" s="9">
        <v>0</v>
      </c>
      <c r="P394" s="9">
        <v>0</v>
      </c>
      <c r="Q394" s="9">
        <v>0</v>
      </c>
      <c r="R394" s="9">
        <v>0</v>
      </c>
      <c r="S394" s="9">
        <v>0</v>
      </c>
      <c r="T394" s="9">
        <v>0</v>
      </c>
      <c r="U394" s="9">
        <v>0</v>
      </c>
      <c r="V394" s="9">
        <v>0</v>
      </c>
      <c r="W394" s="9">
        <v>0</v>
      </c>
      <c r="X394" s="9">
        <v>0</v>
      </c>
      <c r="Y394" s="9">
        <v>0</v>
      </c>
      <c r="Z394" s="9">
        <v>0</v>
      </c>
      <c r="AA394" s="9">
        <v>0</v>
      </c>
      <c r="AB394" s="9">
        <v>0</v>
      </c>
      <c r="AC394" s="9">
        <v>0</v>
      </c>
      <c r="AD394" s="9">
        <v>0</v>
      </c>
      <c r="AE394" s="9">
        <v>0</v>
      </c>
      <c r="AF394" s="9">
        <v>0</v>
      </c>
      <c r="AG394" s="9">
        <v>0</v>
      </c>
      <c r="AH394" s="9">
        <v>0</v>
      </c>
      <c r="AI394" s="9">
        <v>0</v>
      </c>
      <c r="AJ394" s="9">
        <v>0</v>
      </c>
      <c r="AK394" s="9">
        <v>0</v>
      </c>
      <c r="AL394" s="9">
        <v>0</v>
      </c>
      <c r="AM394" s="9">
        <v>0</v>
      </c>
      <c r="AN394" s="9">
        <v>0</v>
      </c>
      <c r="AO394" s="9">
        <v>0</v>
      </c>
      <c r="AP394" s="9">
        <v>0</v>
      </c>
      <c r="AQ394" s="9">
        <v>0</v>
      </c>
      <c r="AR394" s="9">
        <v>0</v>
      </c>
      <c r="AS394" s="9">
        <v>0</v>
      </c>
      <c r="AT394" s="9">
        <v>0</v>
      </c>
      <c r="AU394" s="9">
        <v>0</v>
      </c>
      <c r="AV394" s="9">
        <v>0</v>
      </c>
      <c r="AW394" s="9">
        <v>0</v>
      </c>
      <c r="AX394" s="9">
        <v>0</v>
      </c>
      <c r="AY394" s="9">
        <v>0</v>
      </c>
      <c r="AZ394" s="9">
        <v>0</v>
      </c>
      <c r="BA394" s="9">
        <v>0</v>
      </c>
      <c r="BB394" s="9">
        <v>0</v>
      </c>
      <c r="BC394" s="9">
        <v>0</v>
      </c>
      <c r="BD394" s="9">
        <v>0</v>
      </c>
      <c r="BE394" s="9">
        <v>0</v>
      </c>
      <c r="BF394" s="9">
        <v>0</v>
      </c>
      <c r="BG394" s="9">
        <v>0</v>
      </c>
      <c r="BH394" s="9">
        <v>0</v>
      </c>
      <c r="BI394" s="9">
        <v>0</v>
      </c>
      <c r="BJ394" s="9">
        <v>0</v>
      </c>
      <c r="BK394" s="9">
        <v>0</v>
      </c>
      <c r="BL394" s="9">
        <v>0</v>
      </c>
      <c r="BM394" s="9">
        <v>0</v>
      </c>
      <c r="BN394" s="9">
        <v>0</v>
      </c>
      <c r="BO394" s="9">
        <v>0</v>
      </c>
      <c r="BP394" s="9">
        <v>0</v>
      </c>
      <c r="BQ394" s="9">
        <v>0</v>
      </c>
      <c r="BR394" s="9">
        <v>0</v>
      </c>
      <c r="BS394" s="9">
        <v>0</v>
      </c>
      <c r="BT394" s="9">
        <v>0</v>
      </c>
      <c r="BU394" s="9">
        <v>0</v>
      </c>
      <c r="BV394" s="9">
        <v>0</v>
      </c>
      <c r="BW394" s="9">
        <v>0</v>
      </c>
      <c r="BX394" s="9">
        <v>0</v>
      </c>
      <c r="BY394" s="9">
        <v>0</v>
      </c>
      <c r="BZ394" s="9">
        <v>0</v>
      </c>
      <c r="CA394" s="9">
        <v>0</v>
      </c>
      <c r="CB394" s="9">
        <v>0</v>
      </c>
      <c r="CC394" s="9">
        <v>0</v>
      </c>
      <c r="CD394" s="9">
        <v>0</v>
      </c>
      <c r="CE394" s="9">
        <v>0</v>
      </c>
      <c r="CF394" s="9">
        <v>0</v>
      </c>
      <c r="CG394" s="9">
        <v>0</v>
      </c>
      <c r="CH394" s="9">
        <v>0</v>
      </c>
      <c r="CI394" s="9">
        <v>0</v>
      </c>
      <c r="CJ394" s="9">
        <v>0</v>
      </c>
      <c r="CK394" s="9">
        <v>0</v>
      </c>
      <c r="CL394" s="9">
        <v>0</v>
      </c>
      <c r="CM394" s="9">
        <v>0</v>
      </c>
      <c r="CN394" s="9">
        <v>0</v>
      </c>
      <c r="CO394" s="9">
        <v>0</v>
      </c>
      <c r="CP394" s="9">
        <v>0</v>
      </c>
      <c r="CQ394" s="9">
        <v>0</v>
      </c>
      <c r="CR394" s="9">
        <v>0</v>
      </c>
      <c r="CS394" s="10">
        <v>0</v>
      </c>
    </row>
    <row r="395" spans="1:97" x14ac:dyDescent="0.35">
      <c r="A395" s="8" t="s">
        <v>413</v>
      </c>
      <c r="B395" s="9" t="s">
        <v>1157</v>
      </c>
      <c r="C395" s="9" t="s">
        <v>1158</v>
      </c>
      <c r="D395" s="9">
        <f t="shared" si="6"/>
        <v>0</v>
      </c>
      <c r="E395" s="9">
        <v>0</v>
      </c>
      <c r="F395" s="9">
        <v>0</v>
      </c>
      <c r="G395" s="9">
        <v>0</v>
      </c>
      <c r="H395" s="9">
        <v>0</v>
      </c>
      <c r="I395" s="9">
        <v>0</v>
      </c>
      <c r="J395" s="9">
        <v>0</v>
      </c>
      <c r="K395" s="9">
        <v>0</v>
      </c>
      <c r="L395" s="9">
        <v>0</v>
      </c>
      <c r="M395" s="9">
        <v>0</v>
      </c>
      <c r="N395" s="9">
        <v>0</v>
      </c>
      <c r="O395" s="9">
        <v>0</v>
      </c>
      <c r="P395" s="9">
        <v>0</v>
      </c>
      <c r="Q395" s="9">
        <v>0</v>
      </c>
      <c r="R395" s="9">
        <v>0</v>
      </c>
      <c r="S395" s="9">
        <v>0</v>
      </c>
      <c r="T395" s="9">
        <v>0</v>
      </c>
      <c r="U395" s="9">
        <v>0</v>
      </c>
      <c r="V395" s="9">
        <v>0</v>
      </c>
      <c r="W395" s="9">
        <v>0</v>
      </c>
      <c r="X395" s="9">
        <v>0</v>
      </c>
      <c r="Y395" s="9">
        <v>0</v>
      </c>
      <c r="Z395" s="9">
        <v>0</v>
      </c>
      <c r="AA395" s="9">
        <v>0</v>
      </c>
      <c r="AB395" s="9">
        <v>0</v>
      </c>
      <c r="AC395" s="9">
        <v>0</v>
      </c>
      <c r="AD395" s="9">
        <v>0</v>
      </c>
      <c r="AE395" s="9">
        <v>0</v>
      </c>
      <c r="AF395" s="9">
        <v>0</v>
      </c>
      <c r="AG395" s="9">
        <v>0</v>
      </c>
      <c r="AH395" s="9">
        <v>0</v>
      </c>
      <c r="AI395" s="9">
        <v>0</v>
      </c>
      <c r="AJ395" s="9">
        <v>0</v>
      </c>
      <c r="AK395" s="9">
        <v>0</v>
      </c>
      <c r="AL395" s="9">
        <v>0</v>
      </c>
      <c r="AM395" s="9">
        <v>0</v>
      </c>
      <c r="AN395" s="9">
        <v>0</v>
      </c>
      <c r="AO395" s="9">
        <v>0</v>
      </c>
      <c r="AP395" s="9">
        <v>0</v>
      </c>
      <c r="AQ395" s="9">
        <v>0</v>
      </c>
      <c r="AR395" s="9">
        <v>0</v>
      </c>
      <c r="AS395" s="9">
        <v>0</v>
      </c>
      <c r="AT395" s="9">
        <v>0</v>
      </c>
      <c r="AU395" s="9">
        <v>0</v>
      </c>
      <c r="AV395" s="9">
        <v>0</v>
      </c>
      <c r="AW395" s="9">
        <v>0</v>
      </c>
      <c r="AX395" s="9">
        <v>0</v>
      </c>
      <c r="AY395" s="9">
        <v>0</v>
      </c>
      <c r="AZ395" s="9">
        <v>0</v>
      </c>
      <c r="BA395" s="9">
        <v>0</v>
      </c>
      <c r="BB395" s="9">
        <v>0</v>
      </c>
      <c r="BC395" s="9">
        <v>0</v>
      </c>
      <c r="BD395" s="9">
        <v>0</v>
      </c>
      <c r="BE395" s="9">
        <v>0</v>
      </c>
      <c r="BF395" s="9">
        <v>0</v>
      </c>
      <c r="BG395" s="9">
        <v>0</v>
      </c>
      <c r="BH395" s="9">
        <v>0</v>
      </c>
      <c r="BI395" s="9">
        <v>0</v>
      </c>
      <c r="BJ395" s="9">
        <v>0</v>
      </c>
      <c r="BK395" s="9">
        <v>0</v>
      </c>
      <c r="BL395" s="9">
        <v>0</v>
      </c>
      <c r="BM395" s="9">
        <v>0</v>
      </c>
      <c r="BN395" s="9">
        <v>0</v>
      </c>
      <c r="BO395" s="9">
        <v>0</v>
      </c>
      <c r="BP395" s="9">
        <v>0</v>
      </c>
      <c r="BQ395" s="9">
        <v>0</v>
      </c>
      <c r="BR395" s="9">
        <v>0</v>
      </c>
      <c r="BS395" s="9">
        <v>0</v>
      </c>
      <c r="BT395" s="9">
        <v>0</v>
      </c>
      <c r="BU395" s="9">
        <v>0</v>
      </c>
      <c r="BV395" s="9">
        <v>0</v>
      </c>
      <c r="BW395" s="9">
        <v>0</v>
      </c>
      <c r="BX395" s="9">
        <v>0</v>
      </c>
      <c r="BY395" s="9">
        <v>0</v>
      </c>
      <c r="BZ395" s="9">
        <v>0</v>
      </c>
      <c r="CA395" s="9">
        <v>0</v>
      </c>
      <c r="CB395" s="9">
        <v>0</v>
      </c>
      <c r="CC395" s="9">
        <v>0</v>
      </c>
      <c r="CD395" s="9">
        <v>0</v>
      </c>
      <c r="CE395" s="9">
        <v>0</v>
      </c>
      <c r="CF395" s="9">
        <v>0</v>
      </c>
      <c r="CG395" s="9">
        <v>0</v>
      </c>
      <c r="CH395" s="9">
        <v>0</v>
      </c>
      <c r="CI395" s="9">
        <v>0</v>
      </c>
      <c r="CJ395" s="9">
        <v>0</v>
      </c>
      <c r="CK395" s="9">
        <v>0</v>
      </c>
      <c r="CL395" s="9">
        <v>0</v>
      </c>
      <c r="CM395" s="9">
        <v>0</v>
      </c>
      <c r="CN395" s="9">
        <v>0</v>
      </c>
      <c r="CO395" s="9">
        <v>0</v>
      </c>
      <c r="CP395" s="9">
        <v>0</v>
      </c>
      <c r="CQ395" s="9">
        <v>0</v>
      </c>
      <c r="CR395" s="9">
        <v>0</v>
      </c>
      <c r="CS395" s="10">
        <v>0</v>
      </c>
    </row>
    <row r="396" spans="1:97" x14ac:dyDescent="0.35">
      <c r="A396" s="8" t="s">
        <v>413</v>
      </c>
      <c r="B396" s="9" t="s">
        <v>1159</v>
      </c>
      <c r="C396" s="9" t="s">
        <v>1160</v>
      </c>
      <c r="D396" s="9">
        <f t="shared" si="6"/>
        <v>0</v>
      </c>
      <c r="E396" s="9">
        <v>0</v>
      </c>
      <c r="F396" s="9">
        <v>0</v>
      </c>
      <c r="G396" s="9">
        <v>0</v>
      </c>
      <c r="H396" s="9">
        <v>0</v>
      </c>
      <c r="I396" s="9">
        <v>0</v>
      </c>
      <c r="J396" s="9">
        <v>0</v>
      </c>
      <c r="K396" s="9">
        <v>0</v>
      </c>
      <c r="L396" s="9">
        <v>0</v>
      </c>
      <c r="M396" s="9">
        <v>0</v>
      </c>
      <c r="N396" s="9">
        <v>0</v>
      </c>
      <c r="O396" s="9">
        <v>0</v>
      </c>
      <c r="P396" s="9">
        <v>0</v>
      </c>
      <c r="Q396" s="9">
        <v>0</v>
      </c>
      <c r="R396" s="9">
        <v>0</v>
      </c>
      <c r="S396" s="9">
        <v>0</v>
      </c>
      <c r="T396" s="9">
        <v>0</v>
      </c>
      <c r="U396" s="9">
        <v>0</v>
      </c>
      <c r="V396" s="9">
        <v>0</v>
      </c>
      <c r="W396" s="9">
        <v>0</v>
      </c>
      <c r="X396" s="9">
        <v>0</v>
      </c>
      <c r="Y396" s="9">
        <v>0</v>
      </c>
      <c r="Z396" s="9">
        <v>0</v>
      </c>
      <c r="AA396" s="9">
        <v>0</v>
      </c>
      <c r="AB396" s="9">
        <v>0</v>
      </c>
      <c r="AC396" s="9">
        <v>0</v>
      </c>
      <c r="AD396" s="9">
        <v>0</v>
      </c>
      <c r="AE396" s="9">
        <v>0</v>
      </c>
      <c r="AF396" s="9">
        <v>0</v>
      </c>
      <c r="AG396" s="9">
        <v>0</v>
      </c>
      <c r="AH396" s="9">
        <v>0</v>
      </c>
      <c r="AI396" s="9">
        <v>0</v>
      </c>
      <c r="AJ396" s="9">
        <v>0</v>
      </c>
      <c r="AK396" s="9">
        <v>0</v>
      </c>
      <c r="AL396" s="9">
        <v>0</v>
      </c>
      <c r="AM396" s="9">
        <v>0</v>
      </c>
      <c r="AN396" s="9">
        <v>0</v>
      </c>
      <c r="AO396" s="9">
        <v>0</v>
      </c>
      <c r="AP396" s="9">
        <v>0</v>
      </c>
      <c r="AQ396" s="9">
        <v>0</v>
      </c>
      <c r="AR396" s="9">
        <v>0</v>
      </c>
      <c r="AS396" s="9">
        <v>0</v>
      </c>
      <c r="AT396" s="9">
        <v>0</v>
      </c>
      <c r="AU396" s="9">
        <v>0</v>
      </c>
      <c r="AV396" s="9">
        <v>0</v>
      </c>
      <c r="AW396" s="9">
        <v>0</v>
      </c>
      <c r="AX396" s="9">
        <v>0</v>
      </c>
      <c r="AY396" s="9">
        <v>0</v>
      </c>
      <c r="AZ396" s="9">
        <v>0</v>
      </c>
      <c r="BA396" s="9">
        <v>0</v>
      </c>
      <c r="BB396" s="9">
        <v>0</v>
      </c>
      <c r="BC396" s="9">
        <v>0</v>
      </c>
      <c r="BD396" s="9">
        <v>0</v>
      </c>
      <c r="BE396" s="9">
        <v>0</v>
      </c>
      <c r="BF396" s="9">
        <v>0</v>
      </c>
      <c r="BG396" s="9">
        <v>0</v>
      </c>
      <c r="BH396" s="9">
        <v>0</v>
      </c>
      <c r="BI396" s="9">
        <v>0</v>
      </c>
      <c r="BJ396" s="9">
        <v>0</v>
      </c>
      <c r="BK396" s="9">
        <v>0</v>
      </c>
      <c r="BL396" s="9">
        <v>0</v>
      </c>
      <c r="BM396" s="9">
        <v>0</v>
      </c>
      <c r="BN396" s="9">
        <v>0</v>
      </c>
      <c r="BO396" s="9">
        <v>0</v>
      </c>
      <c r="BP396" s="9">
        <v>0</v>
      </c>
      <c r="BQ396" s="9">
        <v>0</v>
      </c>
      <c r="BR396" s="9">
        <v>0</v>
      </c>
      <c r="BS396" s="9">
        <v>0</v>
      </c>
      <c r="BT396" s="9">
        <v>0</v>
      </c>
      <c r="BU396" s="9">
        <v>0</v>
      </c>
      <c r="BV396" s="9">
        <v>0</v>
      </c>
      <c r="BW396" s="9">
        <v>0</v>
      </c>
      <c r="BX396" s="9">
        <v>0</v>
      </c>
      <c r="BY396" s="9">
        <v>0</v>
      </c>
      <c r="BZ396" s="9">
        <v>0</v>
      </c>
      <c r="CA396" s="9">
        <v>0</v>
      </c>
      <c r="CB396" s="9">
        <v>0</v>
      </c>
      <c r="CC396" s="9">
        <v>0</v>
      </c>
      <c r="CD396" s="9">
        <v>0</v>
      </c>
      <c r="CE396" s="9">
        <v>0</v>
      </c>
      <c r="CF396" s="9">
        <v>0</v>
      </c>
      <c r="CG396" s="9">
        <v>0</v>
      </c>
      <c r="CH396" s="9">
        <v>0</v>
      </c>
      <c r="CI396" s="9">
        <v>0</v>
      </c>
      <c r="CJ396" s="9">
        <v>0</v>
      </c>
      <c r="CK396" s="9">
        <v>0</v>
      </c>
      <c r="CL396" s="9">
        <v>0</v>
      </c>
      <c r="CM396" s="9">
        <v>0</v>
      </c>
      <c r="CN396" s="9">
        <v>0</v>
      </c>
      <c r="CO396" s="9">
        <v>0</v>
      </c>
      <c r="CP396" s="9">
        <v>0</v>
      </c>
      <c r="CQ396" s="9">
        <v>0</v>
      </c>
      <c r="CR396" s="9">
        <v>0</v>
      </c>
      <c r="CS396" s="10">
        <v>0</v>
      </c>
    </row>
    <row r="397" spans="1:97" x14ac:dyDescent="0.35">
      <c r="A397" s="8" t="s">
        <v>413</v>
      </c>
      <c r="B397" s="9" t="s">
        <v>1161</v>
      </c>
      <c r="C397" s="9" t="s">
        <v>1162</v>
      </c>
      <c r="D397" s="9">
        <f t="shared" si="6"/>
        <v>0</v>
      </c>
      <c r="E397" s="9">
        <v>0</v>
      </c>
      <c r="F397" s="9">
        <v>0</v>
      </c>
      <c r="G397" s="9">
        <v>0</v>
      </c>
      <c r="H397" s="9">
        <v>0</v>
      </c>
      <c r="I397" s="9">
        <v>0</v>
      </c>
      <c r="J397" s="9">
        <v>0</v>
      </c>
      <c r="K397" s="9">
        <v>0</v>
      </c>
      <c r="L397" s="9">
        <v>0</v>
      </c>
      <c r="M397" s="9">
        <v>0</v>
      </c>
      <c r="N397" s="9">
        <v>0</v>
      </c>
      <c r="O397" s="9">
        <v>0</v>
      </c>
      <c r="P397" s="9">
        <v>0</v>
      </c>
      <c r="Q397" s="9">
        <v>0</v>
      </c>
      <c r="R397" s="9">
        <v>0</v>
      </c>
      <c r="S397" s="9">
        <v>0</v>
      </c>
      <c r="T397" s="9">
        <v>0</v>
      </c>
      <c r="U397" s="9">
        <v>0</v>
      </c>
      <c r="V397" s="9">
        <v>0</v>
      </c>
      <c r="W397" s="9">
        <v>0</v>
      </c>
      <c r="X397" s="9">
        <v>0</v>
      </c>
      <c r="Y397" s="9">
        <v>0</v>
      </c>
      <c r="Z397" s="9">
        <v>0</v>
      </c>
      <c r="AA397" s="9">
        <v>0</v>
      </c>
      <c r="AB397" s="9">
        <v>0</v>
      </c>
      <c r="AC397" s="9">
        <v>0</v>
      </c>
      <c r="AD397" s="9">
        <v>0</v>
      </c>
      <c r="AE397" s="9">
        <v>0</v>
      </c>
      <c r="AF397" s="9">
        <v>0</v>
      </c>
      <c r="AG397" s="9">
        <v>0</v>
      </c>
      <c r="AH397" s="9">
        <v>0</v>
      </c>
      <c r="AI397" s="9">
        <v>0</v>
      </c>
      <c r="AJ397" s="9">
        <v>0</v>
      </c>
      <c r="AK397" s="9">
        <v>0</v>
      </c>
      <c r="AL397" s="9">
        <v>0</v>
      </c>
      <c r="AM397" s="9">
        <v>0</v>
      </c>
      <c r="AN397" s="9">
        <v>0</v>
      </c>
      <c r="AO397" s="9">
        <v>0</v>
      </c>
      <c r="AP397" s="9">
        <v>0</v>
      </c>
      <c r="AQ397" s="9">
        <v>0</v>
      </c>
      <c r="AR397" s="9">
        <v>0</v>
      </c>
      <c r="AS397" s="9">
        <v>0</v>
      </c>
      <c r="AT397" s="9">
        <v>0</v>
      </c>
      <c r="AU397" s="9">
        <v>0</v>
      </c>
      <c r="AV397" s="9">
        <v>0</v>
      </c>
      <c r="AW397" s="9">
        <v>0</v>
      </c>
      <c r="AX397" s="9">
        <v>0</v>
      </c>
      <c r="AY397" s="9">
        <v>0</v>
      </c>
      <c r="AZ397" s="9">
        <v>0</v>
      </c>
      <c r="BA397" s="9">
        <v>0</v>
      </c>
      <c r="BB397" s="9">
        <v>0</v>
      </c>
      <c r="BC397" s="9">
        <v>0</v>
      </c>
      <c r="BD397" s="9">
        <v>0</v>
      </c>
      <c r="BE397" s="9">
        <v>0</v>
      </c>
      <c r="BF397" s="9">
        <v>0</v>
      </c>
      <c r="BG397" s="9">
        <v>0</v>
      </c>
      <c r="BH397" s="9">
        <v>0</v>
      </c>
      <c r="BI397" s="9">
        <v>0</v>
      </c>
      <c r="BJ397" s="9">
        <v>0</v>
      </c>
      <c r="BK397" s="9">
        <v>0</v>
      </c>
      <c r="BL397" s="9">
        <v>0</v>
      </c>
      <c r="BM397" s="9">
        <v>0</v>
      </c>
      <c r="BN397" s="9">
        <v>0</v>
      </c>
      <c r="BO397" s="9">
        <v>0</v>
      </c>
      <c r="BP397" s="9">
        <v>0</v>
      </c>
      <c r="BQ397" s="9">
        <v>0</v>
      </c>
      <c r="BR397" s="9">
        <v>0</v>
      </c>
      <c r="BS397" s="9">
        <v>0</v>
      </c>
      <c r="BT397" s="9">
        <v>0</v>
      </c>
      <c r="BU397" s="9">
        <v>0</v>
      </c>
      <c r="BV397" s="9">
        <v>0</v>
      </c>
      <c r="BW397" s="9">
        <v>0</v>
      </c>
      <c r="BX397" s="9">
        <v>0</v>
      </c>
      <c r="BY397" s="9">
        <v>0</v>
      </c>
      <c r="BZ397" s="9">
        <v>0</v>
      </c>
      <c r="CA397" s="9">
        <v>0</v>
      </c>
      <c r="CB397" s="9">
        <v>0</v>
      </c>
      <c r="CC397" s="9">
        <v>0</v>
      </c>
      <c r="CD397" s="9">
        <v>0</v>
      </c>
      <c r="CE397" s="9">
        <v>0</v>
      </c>
      <c r="CF397" s="9">
        <v>0</v>
      </c>
      <c r="CG397" s="9">
        <v>0</v>
      </c>
      <c r="CH397" s="9">
        <v>0</v>
      </c>
      <c r="CI397" s="9">
        <v>0</v>
      </c>
      <c r="CJ397" s="9">
        <v>0</v>
      </c>
      <c r="CK397" s="9">
        <v>0</v>
      </c>
      <c r="CL397" s="9">
        <v>0</v>
      </c>
      <c r="CM397" s="9">
        <v>0</v>
      </c>
      <c r="CN397" s="9">
        <v>0</v>
      </c>
      <c r="CO397" s="9">
        <v>0</v>
      </c>
      <c r="CP397" s="9">
        <v>0</v>
      </c>
      <c r="CQ397" s="9">
        <v>0</v>
      </c>
      <c r="CR397" s="9">
        <v>0</v>
      </c>
      <c r="CS397" s="10">
        <v>0</v>
      </c>
    </row>
    <row r="398" spans="1:97" x14ac:dyDescent="0.35">
      <c r="A398" s="8" t="s">
        <v>413</v>
      </c>
      <c r="B398" s="9" t="s">
        <v>1163</v>
      </c>
      <c r="C398" s="9" t="s">
        <v>1164</v>
      </c>
      <c r="D398" s="9">
        <f t="shared" si="6"/>
        <v>0</v>
      </c>
      <c r="E398" s="9">
        <v>0</v>
      </c>
      <c r="F398" s="9">
        <v>0</v>
      </c>
      <c r="G398" s="9">
        <v>0</v>
      </c>
      <c r="H398" s="9">
        <v>0</v>
      </c>
      <c r="I398" s="9">
        <v>0</v>
      </c>
      <c r="J398" s="9">
        <v>0</v>
      </c>
      <c r="K398" s="9">
        <v>0</v>
      </c>
      <c r="L398" s="9">
        <v>0</v>
      </c>
      <c r="M398" s="9">
        <v>0</v>
      </c>
      <c r="N398" s="9">
        <v>0</v>
      </c>
      <c r="O398" s="9">
        <v>0</v>
      </c>
      <c r="P398" s="9">
        <v>0</v>
      </c>
      <c r="Q398" s="9">
        <v>0</v>
      </c>
      <c r="R398" s="9">
        <v>0</v>
      </c>
      <c r="S398" s="9">
        <v>0</v>
      </c>
      <c r="T398" s="9">
        <v>0</v>
      </c>
      <c r="U398" s="9">
        <v>0</v>
      </c>
      <c r="V398" s="9">
        <v>0</v>
      </c>
      <c r="W398" s="9">
        <v>0</v>
      </c>
      <c r="X398" s="9">
        <v>0</v>
      </c>
      <c r="Y398" s="9">
        <v>0</v>
      </c>
      <c r="Z398" s="9">
        <v>0</v>
      </c>
      <c r="AA398" s="9">
        <v>0</v>
      </c>
      <c r="AB398" s="9">
        <v>0</v>
      </c>
      <c r="AC398" s="9">
        <v>0</v>
      </c>
      <c r="AD398" s="9">
        <v>0</v>
      </c>
      <c r="AE398" s="9">
        <v>0</v>
      </c>
      <c r="AF398" s="9">
        <v>0</v>
      </c>
      <c r="AG398" s="9">
        <v>0</v>
      </c>
      <c r="AH398" s="9">
        <v>0</v>
      </c>
      <c r="AI398" s="9">
        <v>0</v>
      </c>
      <c r="AJ398" s="9">
        <v>0</v>
      </c>
      <c r="AK398" s="9">
        <v>0</v>
      </c>
      <c r="AL398" s="9">
        <v>0</v>
      </c>
      <c r="AM398" s="9">
        <v>0</v>
      </c>
      <c r="AN398" s="9">
        <v>0</v>
      </c>
      <c r="AO398" s="9">
        <v>0</v>
      </c>
      <c r="AP398" s="9">
        <v>0</v>
      </c>
      <c r="AQ398" s="9">
        <v>0</v>
      </c>
      <c r="AR398" s="9">
        <v>0</v>
      </c>
      <c r="AS398" s="9">
        <v>0</v>
      </c>
      <c r="AT398" s="9">
        <v>0</v>
      </c>
      <c r="AU398" s="9">
        <v>0</v>
      </c>
      <c r="AV398" s="9">
        <v>0</v>
      </c>
      <c r="AW398" s="9">
        <v>0</v>
      </c>
      <c r="AX398" s="9">
        <v>0</v>
      </c>
      <c r="AY398" s="9">
        <v>0</v>
      </c>
      <c r="AZ398" s="9">
        <v>0</v>
      </c>
      <c r="BA398" s="9">
        <v>0</v>
      </c>
      <c r="BB398" s="9">
        <v>0</v>
      </c>
      <c r="BC398" s="9">
        <v>0</v>
      </c>
      <c r="BD398" s="9">
        <v>0</v>
      </c>
      <c r="BE398" s="9">
        <v>0</v>
      </c>
      <c r="BF398" s="9">
        <v>0</v>
      </c>
      <c r="BG398" s="9">
        <v>0</v>
      </c>
      <c r="BH398" s="9">
        <v>0</v>
      </c>
      <c r="BI398" s="9">
        <v>0</v>
      </c>
      <c r="BJ398" s="9">
        <v>0</v>
      </c>
      <c r="BK398" s="9">
        <v>0</v>
      </c>
      <c r="BL398" s="9">
        <v>0</v>
      </c>
      <c r="BM398" s="9">
        <v>0</v>
      </c>
      <c r="BN398" s="9">
        <v>0</v>
      </c>
      <c r="BO398" s="9">
        <v>0</v>
      </c>
      <c r="BP398" s="9">
        <v>0</v>
      </c>
      <c r="BQ398" s="9">
        <v>0</v>
      </c>
      <c r="BR398" s="9">
        <v>0</v>
      </c>
      <c r="BS398" s="9">
        <v>0</v>
      </c>
      <c r="BT398" s="9">
        <v>0</v>
      </c>
      <c r="BU398" s="9">
        <v>0</v>
      </c>
      <c r="BV398" s="9">
        <v>0</v>
      </c>
      <c r="BW398" s="9">
        <v>0</v>
      </c>
      <c r="BX398" s="9">
        <v>0</v>
      </c>
      <c r="BY398" s="9">
        <v>0</v>
      </c>
      <c r="BZ398" s="9">
        <v>0</v>
      </c>
      <c r="CA398" s="9">
        <v>0</v>
      </c>
      <c r="CB398" s="9">
        <v>0</v>
      </c>
      <c r="CC398" s="9">
        <v>0</v>
      </c>
      <c r="CD398" s="9">
        <v>0</v>
      </c>
      <c r="CE398" s="9">
        <v>0</v>
      </c>
      <c r="CF398" s="9">
        <v>0</v>
      </c>
      <c r="CG398" s="9">
        <v>0</v>
      </c>
      <c r="CH398" s="9">
        <v>0</v>
      </c>
      <c r="CI398" s="9">
        <v>0</v>
      </c>
      <c r="CJ398" s="9">
        <v>0</v>
      </c>
      <c r="CK398" s="9">
        <v>0</v>
      </c>
      <c r="CL398" s="9">
        <v>0</v>
      </c>
      <c r="CM398" s="9">
        <v>0</v>
      </c>
      <c r="CN398" s="9">
        <v>0</v>
      </c>
      <c r="CO398" s="9">
        <v>0</v>
      </c>
      <c r="CP398" s="9">
        <v>0</v>
      </c>
      <c r="CQ398" s="9">
        <v>0</v>
      </c>
      <c r="CR398" s="9">
        <v>0</v>
      </c>
      <c r="CS398" s="10">
        <v>0</v>
      </c>
    </row>
    <row r="399" spans="1:97" x14ac:dyDescent="0.35">
      <c r="A399" s="8" t="s">
        <v>413</v>
      </c>
      <c r="B399" s="9" t="s">
        <v>1165</v>
      </c>
      <c r="C399" s="9" t="s">
        <v>1166</v>
      </c>
      <c r="D399" s="9">
        <f t="shared" si="6"/>
        <v>0</v>
      </c>
      <c r="E399" s="9">
        <v>0</v>
      </c>
      <c r="F399" s="9">
        <v>0</v>
      </c>
      <c r="G399" s="9">
        <v>0</v>
      </c>
      <c r="H399" s="9">
        <v>0</v>
      </c>
      <c r="I399" s="9">
        <v>0</v>
      </c>
      <c r="J399" s="9">
        <v>0</v>
      </c>
      <c r="K399" s="9">
        <v>0</v>
      </c>
      <c r="L399" s="9">
        <v>0</v>
      </c>
      <c r="M399" s="9">
        <v>0</v>
      </c>
      <c r="N399" s="9">
        <v>0</v>
      </c>
      <c r="O399" s="9">
        <v>0</v>
      </c>
      <c r="P399" s="9">
        <v>0</v>
      </c>
      <c r="Q399" s="9">
        <v>0</v>
      </c>
      <c r="R399" s="9">
        <v>0</v>
      </c>
      <c r="S399" s="9">
        <v>0</v>
      </c>
      <c r="T399" s="9">
        <v>0</v>
      </c>
      <c r="U399" s="9">
        <v>0</v>
      </c>
      <c r="V399" s="9">
        <v>0</v>
      </c>
      <c r="W399" s="9">
        <v>0</v>
      </c>
      <c r="X399" s="9">
        <v>0</v>
      </c>
      <c r="Y399" s="9">
        <v>0</v>
      </c>
      <c r="Z399" s="9">
        <v>0</v>
      </c>
      <c r="AA399" s="9">
        <v>0</v>
      </c>
      <c r="AB399" s="9">
        <v>0</v>
      </c>
      <c r="AC399" s="9">
        <v>0</v>
      </c>
      <c r="AD399" s="9">
        <v>0</v>
      </c>
      <c r="AE399" s="9">
        <v>0</v>
      </c>
      <c r="AF399" s="9">
        <v>0</v>
      </c>
      <c r="AG399" s="9">
        <v>0</v>
      </c>
      <c r="AH399" s="9">
        <v>0</v>
      </c>
      <c r="AI399" s="9">
        <v>0</v>
      </c>
      <c r="AJ399" s="9">
        <v>0</v>
      </c>
      <c r="AK399" s="9">
        <v>0</v>
      </c>
      <c r="AL399" s="9">
        <v>0</v>
      </c>
      <c r="AM399" s="9">
        <v>0</v>
      </c>
      <c r="AN399" s="9">
        <v>0</v>
      </c>
      <c r="AO399" s="9">
        <v>0</v>
      </c>
      <c r="AP399" s="9">
        <v>0</v>
      </c>
      <c r="AQ399" s="9">
        <v>0</v>
      </c>
      <c r="AR399" s="9">
        <v>0</v>
      </c>
      <c r="AS399" s="9">
        <v>0</v>
      </c>
      <c r="AT399" s="9">
        <v>0</v>
      </c>
      <c r="AU399" s="9">
        <v>0</v>
      </c>
      <c r="AV399" s="9">
        <v>0</v>
      </c>
      <c r="AW399" s="9">
        <v>0</v>
      </c>
      <c r="AX399" s="9">
        <v>0</v>
      </c>
      <c r="AY399" s="9">
        <v>0</v>
      </c>
      <c r="AZ399" s="9">
        <v>0</v>
      </c>
      <c r="BA399" s="9">
        <v>0</v>
      </c>
      <c r="BB399" s="9">
        <v>0</v>
      </c>
      <c r="BC399" s="9">
        <v>0</v>
      </c>
      <c r="BD399" s="9">
        <v>0</v>
      </c>
      <c r="BE399" s="9">
        <v>0</v>
      </c>
      <c r="BF399" s="9">
        <v>0</v>
      </c>
      <c r="BG399" s="9">
        <v>0</v>
      </c>
      <c r="BH399" s="9">
        <v>0</v>
      </c>
      <c r="BI399" s="9">
        <v>0</v>
      </c>
      <c r="BJ399" s="9">
        <v>0</v>
      </c>
      <c r="BK399" s="9">
        <v>0</v>
      </c>
      <c r="BL399" s="9">
        <v>0</v>
      </c>
      <c r="BM399" s="9">
        <v>0</v>
      </c>
      <c r="BN399" s="9">
        <v>0</v>
      </c>
      <c r="BO399" s="9">
        <v>0</v>
      </c>
      <c r="BP399" s="9">
        <v>0</v>
      </c>
      <c r="BQ399" s="9">
        <v>0</v>
      </c>
      <c r="BR399" s="9">
        <v>0</v>
      </c>
      <c r="BS399" s="9">
        <v>0</v>
      </c>
      <c r="BT399" s="9">
        <v>0</v>
      </c>
      <c r="BU399" s="9">
        <v>0</v>
      </c>
      <c r="BV399" s="9">
        <v>0</v>
      </c>
      <c r="BW399" s="9">
        <v>0</v>
      </c>
      <c r="BX399" s="9">
        <v>0</v>
      </c>
      <c r="BY399" s="9">
        <v>0</v>
      </c>
      <c r="BZ399" s="9">
        <v>0</v>
      </c>
      <c r="CA399" s="9">
        <v>0</v>
      </c>
      <c r="CB399" s="9">
        <v>0</v>
      </c>
      <c r="CC399" s="9">
        <v>0</v>
      </c>
      <c r="CD399" s="9">
        <v>0</v>
      </c>
      <c r="CE399" s="9">
        <v>0</v>
      </c>
      <c r="CF399" s="9">
        <v>0</v>
      </c>
      <c r="CG399" s="9">
        <v>0</v>
      </c>
      <c r="CH399" s="9">
        <v>0</v>
      </c>
      <c r="CI399" s="9">
        <v>0</v>
      </c>
      <c r="CJ399" s="9">
        <v>0</v>
      </c>
      <c r="CK399" s="9">
        <v>0</v>
      </c>
      <c r="CL399" s="9">
        <v>0</v>
      </c>
      <c r="CM399" s="9">
        <v>0</v>
      </c>
      <c r="CN399" s="9">
        <v>0</v>
      </c>
      <c r="CO399" s="9">
        <v>0</v>
      </c>
      <c r="CP399" s="9">
        <v>0</v>
      </c>
      <c r="CQ399" s="9">
        <v>0</v>
      </c>
      <c r="CR399" s="9">
        <v>0</v>
      </c>
      <c r="CS399" s="10">
        <v>0</v>
      </c>
    </row>
    <row r="400" spans="1:97" x14ac:dyDescent="0.35">
      <c r="A400" s="8" t="s">
        <v>413</v>
      </c>
      <c r="B400" s="9" t="s">
        <v>1167</v>
      </c>
      <c r="C400" s="9" t="s">
        <v>1168</v>
      </c>
      <c r="D400" s="9">
        <f t="shared" si="6"/>
        <v>0</v>
      </c>
      <c r="E400" s="9">
        <v>0</v>
      </c>
      <c r="F400" s="9">
        <v>0</v>
      </c>
      <c r="G400" s="9">
        <v>0</v>
      </c>
      <c r="H400" s="9">
        <v>0</v>
      </c>
      <c r="I400" s="9">
        <v>0</v>
      </c>
      <c r="J400" s="9">
        <v>0</v>
      </c>
      <c r="K400" s="9">
        <v>0</v>
      </c>
      <c r="L400" s="9">
        <v>0</v>
      </c>
      <c r="M400" s="9">
        <v>0</v>
      </c>
      <c r="N400" s="9">
        <v>0</v>
      </c>
      <c r="O400" s="9">
        <v>0</v>
      </c>
      <c r="P400" s="9">
        <v>0</v>
      </c>
      <c r="Q400" s="9">
        <v>0</v>
      </c>
      <c r="R400" s="9">
        <v>0</v>
      </c>
      <c r="S400" s="9">
        <v>0</v>
      </c>
      <c r="T400" s="9">
        <v>0</v>
      </c>
      <c r="U400" s="9">
        <v>0</v>
      </c>
      <c r="V400" s="9">
        <v>0</v>
      </c>
      <c r="W400" s="9">
        <v>0</v>
      </c>
      <c r="X400" s="9">
        <v>0</v>
      </c>
      <c r="Y400" s="9">
        <v>0</v>
      </c>
      <c r="Z400" s="9">
        <v>0</v>
      </c>
      <c r="AA400" s="9">
        <v>0</v>
      </c>
      <c r="AB400" s="9">
        <v>0</v>
      </c>
      <c r="AC400" s="9">
        <v>0</v>
      </c>
      <c r="AD400" s="9">
        <v>0</v>
      </c>
      <c r="AE400" s="9">
        <v>0</v>
      </c>
      <c r="AF400" s="9">
        <v>0</v>
      </c>
      <c r="AG400" s="9">
        <v>0</v>
      </c>
      <c r="AH400" s="9">
        <v>0</v>
      </c>
      <c r="AI400" s="9">
        <v>0</v>
      </c>
      <c r="AJ400" s="9">
        <v>0</v>
      </c>
      <c r="AK400" s="9">
        <v>0</v>
      </c>
      <c r="AL400" s="9">
        <v>0</v>
      </c>
      <c r="AM400" s="9">
        <v>0</v>
      </c>
      <c r="AN400" s="9">
        <v>0</v>
      </c>
      <c r="AO400" s="9">
        <v>0</v>
      </c>
      <c r="AP400" s="9">
        <v>0</v>
      </c>
      <c r="AQ400" s="9">
        <v>0</v>
      </c>
      <c r="AR400" s="9">
        <v>0</v>
      </c>
      <c r="AS400" s="9">
        <v>0</v>
      </c>
      <c r="AT400" s="9">
        <v>0</v>
      </c>
      <c r="AU400" s="9">
        <v>0</v>
      </c>
      <c r="AV400" s="9">
        <v>0</v>
      </c>
      <c r="AW400" s="9">
        <v>0</v>
      </c>
      <c r="AX400" s="9">
        <v>0</v>
      </c>
      <c r="AY400" s="9">
        <v>0</v>
      </c>
      <c r="AZ400" s="9">
        <v>0</v>
      </c>
      <c r="BA400" s="9">
        <v>0</v>
      </c>
      <c r="BB400" s="9">
        <v>0</v>
      </c>
      <c r="BC400" s="9">
        <v>0</v>
      </c>
      <c r="BD400" s="9">
        <v>0</v>
      </c>
      <c r="BE400" s="9">
        <v>0</v>
      </c>
      <c r="BF400" s="9">
        <v>0</v>
      </c>
      <c r="BG400" s="9">
        <v>0</v>
      </c>
      <c r="BH400" s="9">
        <v>0</v>
      </c>
      <c r="BI400" s="9">
        <v>0</v>
      </c>
      <c r="BJ400" s="9">
        <v>0</v>
      </c>
      <c r="BK400" s="9">
        <v>0</v>
      </c>
      <c r="BL400" s="9">
        <v>0</v>
      </c>
      <c r="BM400" s="9">
        <v>0</v>
      </c>
      <c r="BN400" s="9">
        <v>0</v>
      </c>
      <c r="BO400" s="9">
        <v>0</v>
      </c>
      <c r="BP400" s="9">
        <v>0</v>
      </c>
      <c r="BQ400" s="9">
        <v>0</v>
      </c>
      <c r="BR400" s="9">
        <v>0</v>
      </c>
      <c r="BS400" s="9">
        <v>0</v>
      </c>
      <c r="BT400" s="9">
        <v>0</v>
      </c>
      <c r="BU400" s="9">
        <v>0</v>
      </c>
      <c r="BV400" s="9">
        <v>0</v>
      </c>
      <c r="BW400" s="9">
        <v>0</v>
      </c>
      <c r="BX400" s="9">
        <v>0</v>
      </c>
      <c r="BY400" s="9">
        <v>0</v>
      </c>
      <c r="BZ400" s="9">
        <v>0</v>
      </c>
      <c r="CA400" s="9">
        <v>0</v>
      </c>
      <c r="CB400" s="9">
        <v>0</v>
      </c>
      <c r="CC400" s="9">
        <v>0</v>
      </c>
      <c r="CD400" s="9">
        <v>0</v>
      </c>
      <c r="CE400" s="9">
        <v>0</v>
      </c>
      <c r="CF400" s="9">
        <v>0</v>
      </c>
      <c r="CG400" s="9">
        <v>0</v>
      </c>
      <c r="CH400" s="9">
        <v>0</v>
      </c>
      <c r="CI400" s="9">
        <v>0</v>
      </c>
      <c r="CJ400" s="9">
        <v>0</v>
      </c>
      <c r="CK400" s="9">
        <v>0</v>
      </c>
      <c r="CL400" s="9">
        <v>0</v>
      </c>
      <c r="CM400" s="9">
        <v>0</v>
      </c>
      <c r="CN400" s="9">
        <v>0</v>
      </c>
      <c r="CO400" s="9">
        <v>0</v>
      </c>
      <c r="CP400" s="9">
        <v>0</v>
      </c>
      <c r="CQ400" s="9">
        <v>0</v>
      </c>
      <c r="CR400" s="9">
        <v>0</v>
      </c>
      <c r="CS400" s="10">
        <v>0</v>
      </c>
    </row>
    <row r="401" spans="1:97" x14ac:dyDescent="0.35">
      <c r="A401" s="8" t="s">
        <v>413</v>
      </c>
      <c r="B401" s="9" t="s">
        <v>1169</v>
      </c>
      <c r="C401" s="9" t="s">
        <v>1170</v>
      </c>
      <c r="D401" s="9">
        <f t="shared" si="6"/>
        <v>0</v>
      </c>
      <c r="E401" s="9">
        <v>0</v>
      </c>
      <c r="F401" s="9">
        <v>0</v>
      </c>
      <c r="G401" s="9">
        <v>0</v>
      </c>
      <c r="H401" s="9">
        <v>0</v>
      </c>
      <c r="I401" s="9">
        <v>0</v>
      </c>
      <c r="J401" s="9">
        <v>0</v>
      </c>
      <c r="K401" s="9">
        <v>0</v>
      </c>
      <c r="L401" s="9">
        <v>0</v>
      </c>
      <c r="M401" s="9">
        <v>0</v>
      </c>
      <c r="N401" s="9">
        <v>0</v>
      </c>
      <c r="O401" s="9">
        <v>0</v>
      </c>
      <c r="P401" s="9">
        <v>0</v>
      </c>
      <c r="Q401" s="9">
        <v>0</v>
      </c>
      <c r="R401" s="9">
        <v>0</v>
      </c>
      <c r="S401" s="9">
        <v>0</v>
      </c>
      <c r="T401" s="9">
        <v>0</v>
      </c>
      <c r="U401" s="9">
        <v>0</v>
      </c>
      <c r="V401" s="9">
        <v>0</v>
      </c>
      <c r="W401" s="9">
        <v>0</v>
      </c>
      <c r="X401" s="9">
        <v>0</v>
      </c>
      <c r="Y401" s="9">
        <v>0</v>
      </c>
      <c r="Z401" s="9">
        <v>0</v>
      </c>
      <c r="AA401" s="9">
        <v>0</v>
      </c>
      <c r="AB401" s="9">
        <v>0</v>
      </c>
      <c r="AC401" s="9">
        <v>0</v>
      </c>
      <c r="AD401" s="9">
        <v>0</v>
      </c>
      <c r="AE401" s="9">
        <v>0</v>
      </c>
      <c r="AF401" s="9">
        <v>0</v>
      </c>
      <c r="AG401" s="9">
        <v>0</v>
      </c>
      <c r="AH401" s="9">
        <v>0</v>
      </c>
      <c r="AI401" s="9">
        <v>0</v>
      </c>
      <c r="AJ401" s="9">
        <v>0</v>
      </c>
      <c r="AK401" s="9">
        <v>0</v>
      </c>
      <c r="AL401" s="9">
        <v>0</v>
      </c>
      <c r="AM401" s="9">
        <v>0</v>
      </c>
      <c r="AN401" s="9">
        <v>0</v>
      </c>
      <c r="AO401" s="9">
        <v>0</v>
      </c>
      <c r="AP401" s="9">
        <v>0</v>
      </c>
      <c r="AQ401" s="9">
        <v>0</v>
      </c>
      <c r="AR401" s="9">
        <v>0</v>
      </c>
      <c r="AS401" s="9">
        <v>0</v>
      </c>
      <c r="AT401" s="9">
        <v>0</v>
      </c>
      <c r="AU401" s="9">
        <v>0</v>
      </c>
      <c r="AV401" s="9">
        <v>0</v>
      </c>
      <c r="AW401" s="9">
        <v>0</v>
      </c>
      <c r="AX401" s="9">
        <v>0</v>
      </c>
      <c r="AY401" s="9">
        <v>0</v>
      </c>
      <c r="AZ401" s="9">
        <v>0</v>
      </c>
      <c r="BA401" s="9">
        <v>0</v>
      </c>
      <c r="BB401" s="9">
        <v>0</v>
      </c>
      <c r="BC401" s="9">
        <v>0</v>
      </c>
      <c r="BD401" s="9">
        <v>0</v>
      </c>
      <c r="BE401" s="9">
        <v>0</v>
      </c>
      <c r="BF401" s="9">
        <v>0</v>
      </c>
      <c r="BG401" s="9">
        <v>0</v>
      </c>
      <c r="BH401" s="9">
        <v>0</v>
      </c>
      <c r="BI401" s="9">
        <v>0</v>
      </c>
      <c r="BJ401" s="9">
        <v>0</v>
      </c>
      <c r="BK401" s="9">
        <v>0</v>
      </c>
      <c r="BL401" s="9">
        <v>0</v>
      </c>
      <c r="BM401" s="9">
        <v>0</v>
      </c>
      <c r="BN401" s="9">
        <v>0</v>
      </c>
      <c r="BO401" s="9">
        <v>0</v>
      </c>
      <c r="BP401" s="9">
        <v>0</v>
      </c>
      <c r="BQ401" s="9">
        <v>0</v>
      </c>
      <c r="BR401" s="9">
        <v>0</v>
      </c>
      <c r="BS401" s="9">
        <v>0</v>
      </c>
      <c r="BT401" s="9">
        <v>0</v>
      </c>
      <c r="BU401" s="9">
        <v>0</v>
      </c>
      <c r="BV401" s="9">
        <v>0</v>
      </c>
      <c r="BW401" s="9">
        <v>0</v>
      </c>
      <c r="BX401" s="9">
        <v>0</v>
      </c>
      <c r="BY401" s="9">
        <v>0</v>
      </c>
      <c r="BZ401" s="9">
        <v>0</v>
      </c>
      <c r="CA401" s="9">
        <v>0</v>
      </c>
      <c r="CB401" s="9">
        <v>0</v>
      </c>
      <c r="CC401" s="9">
        <v>0</v>
      </c>
      <c r="CD401" s="9">
        <v>0</v>
      </c>
      <c r="CE401" s="9">
        <v>0</v>
      </c>
      <c r="CF401" s="9">
        <v>0</v>
      </c>
      <c r="CG401" s="9">
        <v>0</v>
      </c>
      <c r="CH401" s="9">
        <v>0</v>
      </c>
      <c r="CI401" s="9">
        <v>0</v>
      </c>
      <c r="CJ401" s="9">
        <v>0</v>
      </c>
      <c r="CK401" s="9">
        <v>0</v>
      </c>
      <c r="CL401" s="9">
        <v>0</v>
      </c>
      <c r="CM401" s="9">
        <v>0</v>
      </c>
      <c r="CN401" s="9">
        <v>0</v>
      </c>
      <c r="CO401" s="9">
        <v>0</v>
      </c>
      <c r="CP401" s="9">
        <v>0</v>
      </c>
      <c r="CQ401" s="9">
        <v>0</v>
      </c>
      <c r="CR401" s="9">
        <v>0</v>
      </c>
      <c r="CS401" s="10">
        <v>0</v>
      </c>
    </row>
    <row r="402" spans="1:97" x14ac:dyDescent="0.35">
      <c r="A402" s="8" t="s">
        <v>413</v>
      </c>
      <c r="B402" s="9" t="s">
        <v>1171</v>
      </c>
      <c r="C402" s="9" t="s">
        <v>1172</v>
      </c>
      <c r="D402" s="9">
        <f t="shared" si="6"/>
        <v>0</v>
      </c>
      <c r="E402" s="9">
        <v>0</v>
      </c>
      <c r="F402" s="9">
        <v>0</v>
      </c>
      <c r="G402" s="9">
        <v>0</v>
      </c>
      <c r="H402" s="9">
        <v>0</v>
      </c>
      <c r="I402" s="9">
        <v>0</v>
      </c>
      <c r="J402" s="9">
        <v>0</v>
      </c>
      <c r="K402" s="9">
        <v>0</v>
      </c>
      <c r="L402" s="9">
        <v>0</v>
      </c>
      <c r="M402" s="9">
        <v>0</v>
      </c>
      <c r="N402" s="9">
        <v>0</v>
      </c>
      <c r="O402" s="9">
        <v>0</v>
      </c>
      <c r="P402" s="9">
        <v>0</v>
      </c>
      <c r="Q402" s="9">
        <v>0</v>
      </c>
      <c r="R402" s="9">
        <v>0</v>
      </c>
      <c r="S402" s="9">
        <v>0</v>
      </c>
      <c r="T402" s="9">
        <v>0</v>
      </c>
      <c r="U402" s="9">
        <v>0</v>
      </c>
      <c r="V402" s="9">
        <v>0</v>
      </c>
      <c r="W402" s="9">
        <v>0</v>
      </c>
      <c r="X402" s="9">
        <v>0</v>
      </c>
      <c r="Y402" s="9">
        <v>0</v>
      </c>
      <c r="Z402" s="9">
        <v>0</v>
      </c>
      <c r="AA402" s="9">
        <v>0</v>
      </c>
      <c r="AB402" s="9">
        <v>0</v>
      </c>
      <c r="AC402" s="9">
        <v>0</v>
      </c>
      <c r="AD402" s="9">
        <v>0</v>
      </c>
      <c r="AE402" s="9">
        <v>0</v>
      </c>
      <c r="AF402" s="9">
        <v>0</v>
      </c>
      <c r="AG402" s="9">
        <v>0</v>
      </c>
      <c r="AH402" s="9">
        <v>0</v>
      </c>
      <c r="AI402" s="9">
        <v>0</v>
      </c>
      <c r="AJ402" s="9">
        <v>0</v>
      </c>
      <c r="AK402" s="9">
        <v>0</v>
      </c>
      <c r="AL402" s="9">
        <v>0</v>
      </c>
      <c r="AM402" s="9">
        <v>0</v>
      </c>
      <c r="AN402" s="9">
        <v>0</v>
      </c>
      <c r="AO402" s="9">
        <v>0</v>
      </c>
      <c r="AP402" s="9">
        <v>0</v>
      </c>
      <c r="AQ402" s="9">
        <v>0</v>
      </c>
      <c r="AR402" s="9">
        <v>0</v>
      </c>
      <c r="AS402" s="9">
        <v>0</v>
      </c>
      <c r="AT402" s="9">
        <v>0</v>
      </c>
      <c r="AU402" s="9">
        <v>0</v>
      </c>
      <c r="AV402" s="9">
        <v>0</v>
      </c>
      <c r="AW402" s="9">
        <v>0</v>
      </c>
      <c r="AX402" s="9">
        <v>0</v>
      </c>
      <c r="AY402" s="9">
        <v>0</v>
      </c>
      <c r="AZ402" s="9">
        <v>0</v>
      </c>
      <c r="BA402" s="9">
        <v>0</v>
      </c>
      <c r="BB402" s="9">
        <v>0</v>
      </c>
      <c r="BC402" s="9">
        <v>0</v>
      </c>
      <c r="BD402" s="9">
        <v>0</v>
      </c>
      <c r="BE402" s="9">
        <v>0</v>
      </c>
      <c r="BF402" s="9">
        <v>0</v>
      </c>
      <c r="BG402" s="9">
        <v>0</v>
      </c>
      <c r="BH402" s="9">
        <v>0</v>
      </c>
      <c r="BI402" s="9">
        <v>0</v>
      </c>
      <c r="BJ402" s="9">
        <v>0</v>
      </c>
      <c r="BK402" s="9">
        <v>0</v>
      </c>
      <c r="BL402" s="9">
        <v>0</v>
      </c>
      <c r="BM402" s="9">
        <v>0</v>
      </c>
      <c r="BN402" s="9">
        <v>0</v>
      </c>
      <c r="BO402" s="9">
        <v>0</v>
      </c>
      <c r="BP402" s="9">
        <v>0</v>
      </c>
      <c r="BQ402" s="9">
        <v>0</v>
      </c>
      <c r="BR402" s="9">
        <v>0</v>
      </c>
      <c r="BS402" s="9">
        <v>0</v>
      </c>
      <c r="BT402" s="9">
        <v>0</v>
      </c>
      <c r="BU402" s="9">
        <v>0</v>
      </c>
      <c r="BV402" s="9">
        <v>0</v>
      </c>
      <c r="BW402" s="9">
        <v>0</v>
      </c>
      <c r="BX402" s="9">
        <v>0</v>
      </c>
      <c r="BY402" s="9">
        <v>0</v>
      </c>
      <c r="BZ402" s="9">
        <v>0</v>
      </c>
      <c r="CA402" s="9">
        <v>0</v>
      </c>
      <c r="CB402" s="9">
        <v>0</v>
      </c>
      <c r="CC402" s="9">
        <v>0</v>
      </c>
      <c r="CD402" s="9">
        <v>0</v>
      </c>
      <c r="CE402" s="9">
        <v>0</v>
      </c>
      <c r="CF402" s="9">
        <v>0</v>
      </c>
      <c r="CG402" s="9">
        <v>0</v>
      </c>
      <c r="CH402" s="9">
        <v>0</v>
      </c>
      <c r="CI402" s="9">
        <v>0</v>
      </c>
      <c r="CJ402" s="9">
        <v>0</v>
      </c>
      <c r="CK402" s="9">
        <v>0</v>
      </c>
      <c r="CL402" s="9">
        <v>0</v>
      </c>
      <c r="CM402" s="9">
        <v>0</v>
      </c>
      <c r="CN402" s="9">
        <v>0</v>
      </c>
      <c r="CO402" s="9">
        <v>0</v>
      </c>
      <c r="CP402" s="9">
        <v>0</v>
      </c>
      <c r="CQ402" s="9">
        <v>0</v>
      </c>
      <c r="CR402" s="9">
        <v>0</v>
      </c>
      <c r="CS402" s="10">
        <v>0</v>
      </c>
    </row>
    <row r="403" spans="1:97" x14ac:dyDescent="0.35">
      <c r="A403" s="8" t="s">
        <v>413</v>
      </c>
      <c r="B403" s="9" t="s">
        <v>1173</v>
      </c>
      <c r="C403" s="9" t="s">
        <v>1174</v>
      </c>
      <c r="D403" s="9">
        <f t="shared" si="6"/>
        <v>0</v>
      </c>
      <c r="E403" s="9">
        <v>0</v>
      </c>
      <c r="F403" s="9">
        <v>0</v>
      </c>
      <c r="G403" s="9">
        <v>0</v>
      </c>
      <c r="H403" s="9">
        <v>0</v>
      </c>
      <c r="I403" s="9">
        <v>0</v>
      </c>
      <c r="J403" s="9">
        <v>0</v>
      </c>
      <c r="K403" s="9">
        <v>0</v>
      </c>
      <c r="L403" s="9">
        <v>0</v>
      </c>
      <c r="M403" s="9">
        <v>0</v>
      </c>
      <c r="N403" s="9">
        <v>0</v>
      </c>
      <c r="O403" s="9">
        <v>0</v>
      </c>
      <c r="P403" s="9">
        <v>0</v>
      </c>
      <c r="Q403" s="9">
        <v>0</v>
      </c>
      <c r="R403" s="9">
        <v>0</v>
      </c>
      <c r="S403" s="9">
        <v>0</v>
      </c>
      <c r="T403" s="9">
        <v>0</v>
      </c>
      <c r="U403" s="9">
        <v>0</v>
      </c>
      <c r="V403" s="9">
        <v>0</v>
      </c>
      <c r="W403" s="9">
        <v>0</v>
      </c>
      <c r="X403" s="9">
        <v>0</v>
      </c>
      <c r="Y403" s="9">
        <v>0</v>
      </c>
      <c r="Z403" s="9">
        <v>0</v>
      </c>
      <c r="AA403" s="9">
        <v>0</v>
      </c>
      <c r="AB403" s="9">
        <v>0</v>
      </c>
      <c r="AC403" s="9">
        <v>0</v>
      </c>
      <c r="AD403" s="9">
        <v>0</v>
      </c>
      <c r="AE403" s="9">
        <v>0</v>
      </c>
      <c r="AF403" s="9">
        <v>0</v>
      </c>
      <c r="AG403" s="9">
        <v>0</v>
      </c>
      <c r="AH403" s="9">
        <v>0</v>
      </c>
      <c r="AI403" s="9">
        <v>0</v>
      </c>
      <c r="AJ403" s="9">
        <v>0</v>
      </c>
      <c r="AK403" s="9">
        <v>0</v>
      </c>
      <c r="AL403" s="9">
        <v>0</v>
      </c>
      <c r="AM403" s="9">
        <v>0</v>
      </c>
      <c r="AN403" s="9">
        <v>0</v>
      </c>
      <c r="AO403" s="9">
        <v>0</v>
      </c>
      <c r="AP403" s="9">
        <v>0</v>
      </c>
      <c r="AQ403" s="9">
        <v>0</v>
      </c>
      <c r="AR403" s="9">
        <v>0</v>
      </c>
      <c r="AS403" s="9">
        <v>0</v>
      </c>
      <c r="AT403" s="9">
        <v>0</v>
      </c>
      <c r="AU403" s="9">
        <v>0</v>
      </c>
      <c r="AV403" s="9">
        <v>0</v>
      </c>
      <c r="AW403" s="9">
        <v>0</v>
      </c>
      <c r="AX403" s="9">
        <v>0</v>
      </c>
      <c r="AY403" s="9">
        <v>0</v>
      </c>
      <c r="AZ403" s="9">
        <v>0</v>
      </c>
      <c r="BA403" s="9">
        <v>0</v>
      </c>
      <c r="BB403" s="9">
        <v>0</v>
      </c>
      <c r="BC403" s="9">
        <v>0</v>
      </c>
      <c r="BD403" s="9">
        <v>0</v>
      </c>
      <c r="BE403" s="9">
        <v>0</v>
      </c>
      <c r="BF403" s="9">
        <v>0</v>
      </c>
      <c r="BG403" s="9">
        <v>0</v>
      </c>
      <c r="BH403" s="9">
        <v>0</v>
      </c>
      <c r="BI403" s="9">
        <v>0</v>
      </c>
      <c r="BJ403" s="9">
        <v>0</v>
      </c>
      <c r="BK403" s="9">
        <v>0</v>
      </c>
      <c r="BL403" s="9">
        <v>0</v>
      </c>
      <c r="BM403" s="9">
        <v>0</v>
      </c>
      <c r="BN403" s="9">
        <v>0</v>
      </c>
      <c r="BO403" s="9">
        <v>0</v>
      </c>
      <c r="BP403" s="9">
        <v>0</v>
      </c>
      <c r="BQ403" s="9">
        <v>0</v>
      </c>
      <c r="BR403" s="9">
        <v>0</v>
      </c>
      <c r="BS403" s="9">
        <v>0</v>
      </c>
      <c r="BT403" s="9">
        <v>0</v>
      </c>
      <c r="BU403" s="9">
        <v>0</v>
      </c>
      <c r="BV403" s="9">
        <v>0</v>
      </c>
      <c r="BW403" s="9">
        <v>0</v>
      </c>
      <c r="BX403" s="9">
        <v>0</v>
      </c>
      <c r="BY403" s="9">
        <v>0</v>
      </c>
      <c r="BZ403" s="9">
        <v>0</v>
      </c>
      <c r="CA403" s="9">
        <v>0</v>
      </c>
      <c r="CB403" s="9">
        <v>0</v>
      </c>
      <c r="CC403" s="9">
        <v>0</v>
      </c>
      <c r="CD403" s="9">
        <v>0</v>
      </c>
      <c r="CE403" s="9">
        <v>0</v>
      </c>
      <c r="CF403" s="9">
        <v>0</v>
      </c>
      <c r="CG403" s="9">
        <v>0</v>
      </c>
      <c r="CH403" s="9">
        <v>0</v>
      </c>
      <c r="CI403" s="9">
        <v>0</v>
      </c>
      <c r="CJ403" s="9">
        <v>0</v>
      </c>
      <c r="CK403" s="9">
        <v>0</v>
      </c>
      <c r="CL403" s="9">
        <v>0</v>
      </c>
      <c r="CM403" s="9">
        <v>0</v>
      </c>
      <c r="CN403" s="9">
        <v>0</v>
      </c>
      <c r="CO403" s="9">
        <v>0</v>
      </c>
      <c r="CP403" s="9">
        <v>0</v>
      </c>
      <c r="CQ403" s="9">
        <v>0</v>
      </c>
      <c r="CR403" s="9">
        <v>0</v>
      </c>
      <c r="CS403" s="10">
        <v>0</v>
      </c>
    </row>
    <row r="404" spans="1:97" x14ac:dyDescent="0.35">
      <c r="A404" s="8" t="s">
        <v>413</v>
      </c>
      <c r="B404" s="9" t="s">
        <v>1175</v>
      </c>
      <c r="C404" s="9" t="s">
        <v>1176</v>
      </c>
      <c r="D404" s="9">
        <f t="shared" si="6"/>
        <v>0</v>
      </c>
      <c r="E404" s="9">
        <v>0</v>
      </c>
      <c r="F404" s="9">
        <v>0</v>
      </c>
      <c r="G404" s="9">
        <v>0</v>
      </c>
      <c r="H404" s="9">
        <v>0</v>
      </c>
      <c r="I404" s="9">
        <v>0</v>
      </c>
      <c r="J404" s="9">
        <v>0</v>
      </c>
      <c r="K404" s="9">
        <v>0</v>
      </c>
      <c r="L404" s="9">
        <v>0</v>
      </c>
      <c r="M404" s="9">
        <v>0</v>
      </c>
      <c r="N404" s="9">
        <v>0</v>
      </c>
      <c r="O404" s="9">
        <v>0</v>
      </c>
      <c r="P404" s="9">
        <v>0</v>
      </c>
      <c r="Q404" s="9">
        <v>0</v>
      </c>
      <c r="R404" s="9">
        <v>0</v>
      </c>
      <c r="S404" s="9">
        <v>0</v>
      </c>
      <c r="T404" s="9">
        <v>0</v>
      </c>
      <c r="U404" s="9">
        <v>0</v>
      </c>
      <c r="V404" s="9">
        <v>0</v>
      </c>
      <c r="W404" s="9">
        <v>0</v>
      </c>
      <c r="X404" s="9">
        <v>0</v>
      </c>
      <c r="Y404" s="9">
        <v>0</v>
      </c>
      <c r="Z404" s="9">
        <v>0</v>
      </c>
      <c r="AA404" s="9">
        <v>0</v>
      </c>
      <c r="AB404" s="9">
        <v>0</v>
      </c>
      <c r="AC404" s="9">
        <v>0</v>
      </c>
      <c r="AD404" s="9">
        <v>0</v>
      </c>
      <c r="AE404" s="9">
        <v>0</v>
      </c>
      <c r="AF404" s="9">
        <v>0</v>
      </c>
      <c r="AG404" s="9">
        <v>0</v>
      </c>
      <c r="AH404" s="9">
        <v>0</v>
      </c>
      <c r="AI404" s="9">
        <v>0</v>
      </c>
      <c r="AJ404" s="9">
        <v>0</v>
      </c>
      <c r="AK404" s="9">
        <v>0</v>
      </c>
      <c r="AL404" s="9">
        <v>0</v>
      </c>
      <c r="AM404" s="9">
        <v>0</v>
      </c>
      <c r="AN404" s="9">
        <v>0</v>
      </c>
      <c r="AO404" s="9">
        <v>0</v>
      </c>
      <c r="AP404" s="9">
        <v>0</v>
      </c>
      <c r="AQ404" s="9">
        <v>0</v>
      </c>
      <c r="AR404" s="9">
        <v>0</v>
      </c>
      <c r="AS404" s="9">
        <v>0</v>
      </c>
      <c r="AT404" s="9">
        <v>0</v>
      </c>
      <c r="AU404" s="9">
        <v>0</v>
      </c>
      <c r="AV404" s="9">
        <v>0</v>
      </c>
      <c r="AW404" s="9">
        <v>0</v>
      </c>
      <c r="AX404" s="9">
        <v>0</v>
      </c>
      <c r="AY404" s="9">
        <v>0</v>
      </c>
      <c r="AZ404" s="9">
        <v>0</v>
      </c>
      <c r="BA404" s="9">
        <v>0</v>
      </c>
      <c r="BB404" s="9">
        <v>0</v>
      </c>
      <c r="BC404" s="9">
        <v>0</v>
      </c>
      <c r="BD404" s="9">
        <v>0</v>
      </c>
      <c r="BE404" s="9">
        <v>0</v>
      </c>
      <c r="BF404" s="9">
        <v>0</v>
      </c>
      <c r="BG404" s="9">
        <v>0</v>
      </c>
      <c r="BH404" s="9">
        <v>0</v>
      </c>
      <c r="BI404" s="9">
        <v>0</v>
      </c>
      <c r="BJ404" s="9">
        <v>0</v>
      </c>
      <c r="BK404" s="9">
        <v>0</v>
      </c>
      <c r="BL404" s="9">
        <v>0</v>
      </c>
      <c r="BM404" s="9">
        <v>0</v>
      </c>
      <c r="BN404" s="9">
        <v>0</v>
      </c>
      <c r="BO404" s="9">
        <v>0</v>
      </c>
      <c r="BP404" s="9">
        <v>0</v>
      </c>
      <c r="BQ404" s="9">
        <v>0</v>
      </c>
      <c r="BR404" s="9">
        <v>0</v>
      </c>
      <c r="BS404" s="9">
        <v>0</v>
      </c>
      <c r="BT404" s="9">
        <v>0</v>
      </c>
      <c r="BU404" s="9">
        <v>0</v>
      </c>
      <c r="BV404" s="9">
        <v>0</v>
      </c>
      <c r="BW404" s="9">
        <v>0</v>
      </c>
      <c r="BX404" s="9">
        <v>0</v>
      </c>
      <c r="BY404" s="9">
        <v>0</v>
      </c>
      <c r="BZ404" s="9">
        <v>0</v>
      </c>
      <c r="CA404" s="9">
        <v>0</v>
      </c>
      <c r="CB404" s="9">
        <v>0</v>
      </c>
      <c r="CC404" s="9">
        <v>0</v>
      </c>
      <c r="CD404" s="9">
        <v>0</v>
      </c>
      <c r="CE404" s="9">
        <v>0</v>
      </c>
      <c r="CF404" s="9">
        <v>0</v>
      </c>
      <c r="CG404" s="9">
        <v>0</v>
      </c>
      <c r="CH404" s="9">
        <v>0</v>
      </c>
      <c r="CI404" s="9">
        <v>0</v>
      </c>
      <c r="CJ404" s="9">
        <v>0</v>
      </c>
      <c r="CK404" s="9">
        <v>0</v>
      </c>
      <c r="CL404" s="9">
        <v>0</v>
      </c>
      <c r="CM404" s="9">
        <v>0</v>
      </c>
      <c r="CN404" s="9">
        <v>0</v>
      </c>
      <c r="CO404" s="9">
        <v>0</v>
      </c>
      <c r="CP404" s="9">
        <v>0</v>
      </c>
      <c r="CQ404" s="9">
        <v>0</v>
      </c>
      <c r="CR404" s="9">
        <v>0</v>
      </c>
      <c r="CS404" s="10">
        <v>0</v>
      </c>
    </row>
    <row r="405" spans="1:97" x14ac:dyDescent="0.35">
      <c r="A405" s="8" t="s">
        <v>413</v>
      </c>
      <c r="B405" s="9" t="s">
        <v>1177</v>
      </c>
      <c r="C405" s="9" t="s">
        <v>1178</v>
      </c>
      <c r="D405" s="9">
        <f t="shared" si="6"/>
        <v>0</v>
      </c>
      <c r="E405" s="9">
        <v>0</v>
      </c>
      <c r="F405" s="9">
        <v>0</v>
      </c>
      <c r="G405" s="9">
        <v>0</v>
      </c>
      <c r="H405" s="9">
        <v>0</v>
      </c>
      <c r="I405" s="9">
        <v>0</v>
      </c>
      <c r="J405" s="9">
        <v>0</v>
      </c>
      <c r="K405" s="9">
        <v>0</v>
      </c>
      <c r="L405" s="9">
        <v>0</v>
      </c>
      <c r="M405" s="9">
        <v>0</v>
      </c>
      <c r="N405" s="9">
        <v>0</v>
      </c>
      <c r="O405" s="9">
        <v>0</v>
      </c>
      <c r="P405" s="9">
        <v>0</v>
      </c>
      <c r="Q405" s="9">
        <v>0</v>
      </c>
      <c r="R405" s="9">
        <v>0</v>
      </c>
      <c r="S405" s="9">
        <v>0</v>
      </c>
      <c r="T405" s="9">
        <v>0</v>
      </c>
      <c r="U405" s="9">
        <v>0</v>
      </c>
      <c r="V405" s="9">
        <v>0</v>
      </c>
      <c r="W405" s="9">
        <v>0</v>
      </c>
      <c r="X405" s="9">
        <v>0</v>
      </c>
      <c r="Y405" s="9">
        <v>0</v>
      </c>
      <c r="Z405" s="9">
        <v>0</v>
      </c>
      <c r="AA405" s="9">
        <v>0</v>
      </c>
      <c r="AB405" s="9">
        <v>0</v>
      </c>
      <c r="AC405" s="9">
        <v>0</v>
      </c>
      <c r="AD405" s="9">
        <v>0</v>
      </c>
      <c r="AE405" s="9">
        <v>0</v>
      </c>
      <c r="AF405" s="9">
        <v>0</v>
      </c>
      <c r="AG405" s="9">
        <v>0</v>
      </c>
      <c r="AH405" s="9">
        <v>0</v>
      </c>
      <c r="AI405" s="9">
        <v>0</v>
      </c>
      <c r="AJ405" s="9">
        <v>0</v>
      </c>
      <c r="AK405" s="9">
        <v>0</v>
      </c>
      <c r="AL405" s="9">
        <v>0</v>
      </c>
      <c r="AM405" s="9">
        <v>0</v>
      </c>
      <c r="AN405" s="9">
        <v>0</v>
      </c>
      <c r="AO405" s="9">
        <v>0</v>
      </c>
      <c r="AP405" s="9">
        <v>0</v>
      </c>
      <c r="AQ405" s="9">
        <v>0</v>
      </c>
      <c r="AR405" s="9">
        <v>0</v>
      </c>
      <c r="AS405" s="9">
        <v>0</v>
      </c>
      <c r="AT405" s="9">
        <v>0</v>
      </c>
      <c r="AU405" s="9">
        <v>0</v>
      </c>
      <c r="AV405" s="9">
        <v>0</v>
      </c>
      <c r="AW405" s="9">
        <v>0</v>
      </c>
      <c r="AX405" s="9">
        <v>0</v>
      </c>
      <c r="AY405" s="9">
        <v>0</v>
      </c>
      <c r="AZ405" s="9">
        <v>0</v>
      </c>
      <c r="BA405" s="9">
        <v>0</v>
      </c>
      <c r="BB405" s="9">
        <v>0</v>
      </c>
      <c r="BC405" s="9">
        <v>0</v>
      </c>
      <c r="BD405" s="9">
        <v>0</v>
      </c>
      <c r="BE405" s="9">
        <v>0</v>
      </c>
      <c r="BF405" s="9">
        <v>0</v>
      </c>
      <c r="BG405" s="9">
        <v>0</v>
      </c>
      <c r="BH405" s="9">
        <v>0</v>
      </c>
      <c r="BI405" s="9">
        <v>0</v>
      </c>
      <c r="BJ405" s="9">
        <v>0</v>
      </c>
      <c r="BK405" s="9">
        <v>0</v>
      </c>
      <c r="BL405" s="9">
        <v>0</v>
      </c>
      <c r="BM405" s="9">
        <v>0</v>
      </c>
      <c r="BN405" s="9">
        <v>0</v>
      </c>
      <c r="BO405" s="9">
        <v>0</v>
      </c>
      <c r="BP405" s="9">
        <v>0</v>
      </c>
      <c r="BQ405" s="9">
        <v>0</v>
      </c>
      <c r="BR405" s="9">
        <v>0</v>
      </c>
      <c r="BS405" s="9">
        <v>0</v>
      </c>
      <c r="BT405" s="9">
        <v>0</v>
      </c>
      <c r="BU405" s="9">
        <v>0</v>
      </c>
      <c r="BV405" s="9">
        <v>0</v>
      </c>
      <c r="BW405" s="9">
        <v>0</v>
      </c>
      <c r="BX405" s="9">
        <v>0</v>
      </c>
      <c r="BY405" s="9">
        <v>0</v>
      </c>
      <c r="BZ405" s="9">
        <v>0</v>
      </c>
      <c r="CA405" s="9">
        <v>0</v>
      </c>
      <c r="CB405" s="9">
        <v>0</v>
      </c>
      <c r="CC405" s="9">
        <v>0</v>
      </c>
      <c r="CD405" s="9">
        <v>0</v>
      </c>
      <c r="CE405" s="9">
        <v>0</v>
      </c>
      <c r="CF405" s="9">
        <v>0</v>
      </c>
      <c r="CG405" s="9">
        <v>0</v>
      </c>
      <c r="CH405" s="9">
        <v>0</v>
      </c>
      <c r="CI405" s="9">
        <v>0</v>
      </c>
      <c r="CJ405" s="9">
        <v>0</v>
      </c>
      <c r="CK405" s="9">
        <v>0</v>
      </c>
      <c r="CL405" s="9">
        <v>0</v>
      </c>
      <c r="CM405" s="9">
        <v>0</v>
      </c>
      <c r="CN405" s="9">
        <v>0</v>
      </c>
      <c r="CO405" s="9">
        <v>0</v>
      </c>
      <c r="CP405" s="9">
        <v>0</v>
      </c>
      <c r="CQ405" s="9">
        <v>0</v>
      </c>
      <c r="CR405" s="9">
        <v>0</v>
      </c>
      <c r="CS405" s="10">
        <v>0</v>
      </c>
    </row>
    <row r="406" spans="1:97" x14ac:dyDescent="0.35">
      <c r="A406" s="8" t="s">
        <v>413</v>
      </c>
      <c r="B406" s="9" t="s">
        <v>1179</v>
      </c>
      <c r="C406" s="9" t="s">
        <v>1180</v>
      </c>
      <c r="D406" s="9">
        <f t="shared" si="6"/>
        <v>0</v>
      </c>
      <c r="E406" s="9">
        <v>0</v>
      </c>
      <c r="F406" s="9">
        <v>0</v>
      </c>
      <c r="G406" s="9">
        <v>0</v>
      </c>
      <c r="H406" s="9">
        <v>0</v>
      </c>
      <c r="I406" s="9">
        <v>0</v>
      </c>
      <c r="J406" s="9">
        <v>0</v>
      </c>
      <c r="K406" s="9">
        <v>0</v>
      </c>
      <c r="L406" s="9">
        <v>0</v>
      </c>
      <c r="M406" s="9">
        <v>0</v>
      </c>
      <c r="N406" s="9">
        <v>0</v>
      </c>
      <c r="O406" s="9">
        <v>0</v>
      </c>
      <c r="P406" s="9">
        <v>0</v>
      </c>
      <c r="Q406" s="9">
        <v>0</v>
      </c>
      <c r="R406" s="9">
        <v>0</v>
      </c>
      <c r="S406" s="9">
        <v>0</v>
      </c>
      <c r="T406" s="9">
        <v>0</v>
      </c>
      <c r="U406" s="9">
        <v>0</v>
      </c>
      <c r="V406" s="9">
        <v>0</v>
      </c>
      <c r="W406" s="9">
        <v>0</v>
      </c>
      <c r="X406" s="9">
        <v>0</v>
      </c>
      <c r="Y406" s="9">
        <v>0</v>
      </c>
      <c r="Z406" s="9">
        <v>0</v>
      </c>
      <c r="AA406" s="9">
        <v>0</v>
      </c>
      <c r="AB406" s="9">
        <v>0</v>
      </c>
      <c r="AC406" s="9">
        <v>0</v>
      </c>
      <c r="AD406" s="9">
        <v>0</v>
      </c>
      <c r="AE406" s="9">
        <v>0</v>
      </c>
      <c r="AF406" s="9">
        <v>0</v>
      </c>
      <c r="AG406" s="9">
        <v>0</v>
      </c>
      <c r="AH406" s="9">
        <v>0</v>
      </c>
      <c r="AI406" s="9">
        <v>0</v>
      </c>
      <c r="AJ406" s="9">
        <v>0</v>
      </c>
      <c r="AK406" s="9">
        <v>0</v>
      </c>
      <c r="AL406" s="9">
        <v>0</v>
      </c>
      <c r="AM406" s="9">
        <v>0</v>
      </c>
      <c r="AN406" s="9">
        <v>0</v>
      </c>
      <c r="AO406" s="9">
        <v>0</v>
      </c>
      <c r="AP406" s="9">
        <v>0</v>
      </c>
      <c r="AQ406" s="9">
        <v>0</v>
      </c>
      <c r="AR406" s="9">
        <v>0</v>
      </c>
      <c r="AS406" s="9">
        <v>0</v>
      </c>
      <c r="AT406" s="9">
        <v>0</v>
      </c>
      <c r="AU406" s="9">
        <v>0</v>
      </c>
      <c r="AV406" s="9">
        <v>0</v>
      </c>
      <c r="AW406" s="9">
        <v>0</v>
      </c>
      <c r="AX406" s="9">
        <v>0</v>
      </c>
      <c r="AY406" s="9">
        <v>0</v>
      </c>
      <c r="AZ406" s="9">
        <v>0</v>
      </c>
      <c r="BA406" s="9">
        <v>0</v>
      </c>
      <c r="BB406" s="9">
        <v>0</v>
      </c>
      <c r="BC406" s="9">
        <v>0</v>
      </c>
      <c r="BD406" s="9">
        <v>0</v>
      </c>
      <c r="BE406" s="9">
        <v>0</v>
      </c>
      <c r="BF406" s="9">
        <v>0</v>
      </c>
      <c r="BG406" s="9">
        <v>0</v>
      </c>
      <c r="BH406" s="9">
        <v>0</v>
      </c>
      <c r="BI406" s="9">
        <v>0</v>
      </c>
      <c r="BJ406" s="9">
        <v>0</v>
      </c>
      <c r="BK406" s="9">
        <v>0</v>
      </c>
      <c r="BL406" s="9">
        <v>0</v>
      </c>
      <c r="BM406" s="9">
        <v>0</v>
      </c>
      <c r="BN406" s="9">
        <v>0</v>
      </c>
      <c r="BO406" s="9">
        <v>0</v>
      </c>
      <c r="BP406" s="9">
        <v>0</v>
      </c>
      <c r="BQ406" s="9">
        <v>0</v>
      </c>
      <c r="BR406" s="9">
        <v>0</v>
      </c>
      <c r="BS406" s="9">
        <v>0</v>
      </c>
      <c r="BT406" s="9">
        <v>0</v>
      </c>
      <c r="BU406" s="9">
        <v>0</v>
      </c>
      <c r="BV406" s="9">
        <v>0</v>
      </c>
      <c r="BW406" s="9">
        <v>0</v>
      </c>
      <c r="BX406" s="9">
        <v>0</v>
      </c>
      <c r="BY406" s="9">
        <v>0</v>
      </c>
      <c r="BZ406" s="9">
        <v>0</v>
      </c>
      <c r="CA406" s="9">
        <v>0</v>
      </c>
      <c r="CB406" s="9">
        <v>0</v>
      </c>
      <c r="CC406" s="9">
        <v>0</v>
      </c>
      <c r="CD406" s="9">
        <v>0</v>
      </c>
      <c r="CE406" s="9">
        <v>0</v>
      </c>
      <c r="CF406" s="9">
        <v>0</v>
      </c>
      <c r="CG406" s="9">
        <v>0</v>
      </c>
      <c r="CH406" s="9">
        <v>0</v>
      </c>
      <c r="CI406" s="9">
        <v>0</v>
      </c>
      <c r="CJ406" s="9">
        <v>0</v>
      </c>
      <c r="CK406" s="9">
        <v>0</v>
      </c>
      <c r="CL406" s="9">
        <v>0</v>
      </c>
      <c r="CM406" s="9">
        <v>0</v>
      </c>
      <c r="CN406" s="9">
        <v>0</v>
      </c>
      <c r="CO406" s="9">
        <v>0</v>
      </c>
      <c r="CP406" s="9">
        <v>0</v>
      </c>
      <c r="CQ406" s="9">
        <v>0</v>
      </c>
      <c r="CR406" s="9">
        <v>0</v>
      </c>
      <c r="CS406" s="10">
        <v>0</v>
      </c>
    </row>
    <row r="407" spans="1:97" x14ac:dyDescent="0.35">
      <c r="A407" s="8" t="s">
        <v>413</v>
      </c>
      <c r="B407" s="9" t="s">
        <v>428</v>
      </c>
      <c r="C407" s="9" t="s">
        <v>1181</v>
      </c>
      <c r="D407" s="9">
        <f t="shared" si="6"/>
        <v>0</v>
      </c>
      <c r="E407" s="9">
        <v>0</v>
      </c>
      <c r="F407" s="9">
        <v>0</v>
      </c>
      <c r="G407" s="9">
        <v>0</v>
      </c>
      <c r="H407" s="9">
        <v>0</v>
      </c>
      <c r="I407" s="9">
        <v>0</v>
      </c>
      <c r="J407" s="9">
        <v>0</v>
      </c>
      <c r="K407" s="9">
        <v>0</v>
      </c>
      <c r="L407" s="9">
        <v>0</v>
      </c>
      <c r="M407" s="9">
        <v>0</v>
      </c>
      <c r="N407" s="9">
        <v>0</v>
      </c>
      <c r="O407" s="9">
        <v>0</v>
      </c>
      <c r="P407" s="9">
        <v>0</v>
      </c>
      <c r="Q407" s="9">
        <v>0</v>
      </c>
      <c r="R407" s="9">
        <v>0</v>
      </c>
      <c r="S407" s="9">
        <v>0</v>
      </c>
      <c r="T407" s="9">
        <v>0</v>
      </c>
      <c r="U407" s="9">
        <v>0</v>
      </c>
      <c r="V407" s="9">
        <v>0</v>
      </c>
      <c r="W407" s="9">
        <v>0</v>
      </c>
      <c r="X407" s="9">
        <v>0</v>
      </c>
      <c r="Y407" s="9">
        <v>0</v>
      </c>
      <c r="Z407" s="9">
        <v>0</v>
      </c>
      <c r="AA407" s="9">
        <v>0</v>
      </c>
      <c r="AB407" s="9">
        <v>0</v>
      </c>
      <c r="AC407" s="9">
        <v>0</v>
      </c>
      <c r="AD407" s="9">
        <v>0</v>
      </c>
      <c r="AE407" s="9">
        <v>0</v>
      </c>
      <c r="AF407" s="9">
        <v>0</v>
      </c>
      <c r="AG407" s="9">
        <v>0</v>
      </c>
      <c r="AH407" s="9">
        <v>0</v>
      </c>
      <c r="AI407" s="9">
        <v>0</v>
      </c>
      <c r="AJ407" s="9">
        <v>0</v>
      </c>
      <c r="AK407" s="9">
        <v>0</v>
      </c>
      <c r="AL407" s="9">
        <v>0</v>
      </c>
      <c r="AM407" s="9">
        <v>0</v>
      </c>
      <c r="AN407" s="9">
        <v>0</v>
      </c>
      <c r="AO407" s="9">
        <v>0</v>
      </c>
      <c r="AP407" s="9">
        <v>0</v>
      </c>
      <c r="AQ407" s="9">
        <v>0</v>
      </c>
      <c r="AR407" s="9">
        <v>0</v>
      </c>
      <c r="AS407" s="9">
        <v>0</v>
      </c>
      <c r="AT407" s="9">
        <v>0</v>
      </c>
      <c r="AU407" s="9">
        <v>0</v>
      </c>
      <c r="AV407" s="9">
        <v>0</v>
      </c>
      <c r="AW407" s="9">
        <v>0</v>
      </c>
      <c r="AX407" s="9">
        <v>0</v>
      </c>
      <c r="AY407" s="9">
        <v>0</v>
      </c>
      <c r="AZ407" s="9">
        <v>0</v>
      </c>
      <c r="BA407" s="9">
        <v>0</v>
      </c>
      <c r="BB407" s="9">
        <v>0</v>
      </c>
      <c r="BC407" s="9">
        <v>0</v>
      </c>
      <c r="BD407" s="9">
        <v>0</v>
      </c>
      <c r="BE407" s="9">
        <v>0</v>
      </c>
      <c r="BF407" s="9">
        <v>0</v>
      </c>
      <c r="BG407" s="9">
        <v>0</v>
      </c>
      <c r="BH407" s="9">
        <v>0</v>
      </c>
      <c r="BI407" s="9">
        <v>0</v>
      </c>
      <c r="BJ407" s="9">
        <v>0</v>
      </c>
      <c r="BK407" s="9">
        <v>0</v>
      </c>
      <c r="BL407" s="9">
        <v>0</v>
      </c>
      <c r="BM407" s="9">
        <v>0</v>
      </c>
      <c r="BN407" s="9">
        <v>0</v>
      </c>
      <c r="BO407" s="9">
        <v>0</v>
      </c>
      <c r="BP407" s="9">
        <v>0</v>
      </c>
      <c r="BQ407" s="9">
        <v>0</v>
      </c>
      <c r="BR407" s="9">
        <v>0</v>
      </c>
      <c r="BS407" s="9">
        <v>0</v>
      </c>
      <c r="BT407" s="9">
        <v>0</v>
      </c>
      <c r="BU407" s="9">
        <v>0</v>
      </c>
      <c r="BV407" s="9">
        <v>0</v>
      </c>
      <c r="BW407" s="9">
        <v>0</v>
      </c>
      <c r="BX407" s="9">
        <v>0</v>
      </c>
      <c r="BY407" s="9">
        <v>0</v>
      </c>
      <c r="BZ407" s="9">
        <v>0</v>
      </c>
      <c r="CA407" s="9">
        <v>0</v>
      </c>
      <c r="CB407" s="9">
        <v>0</v>
      </c>
      <c r="CC407" s="9">
        <v>0</v>
      </c>
      <c r="CD407" s="9">
        <v>0</v>
      </c>
      <c r="CE407" s="9">
        <v>0</v>
      </c>
      <c r="CF407" s="9">
        <v>0</v>
      </c>
      <c r="CG407" s="9">
        <v>0</v>
      </c>
      <c r="CH407" s="9">
        <v>0</v>
      </c>
      <c r="CI407" s="9">
        <v>0</v>
      </c>
      <c r="CJ407" s="9">
        <v>0</v>
      </c>
      <c r="CK407" s="9">
        <v>0</v>
      </c>
      <c r="CL407" s="9">
        <v>0</v>
      </c>
      <c r="CM407" s="9">
        <v>0</v>
      </c>
      <c r="CN407" s="9">
        <v>0</v>
      </c>
      <c r="CO407" s="9">
        <v>0</v>
      </c>
      <c r="CP407" s="9">
        <v>0</v>
      </c>
      <c r="CQ407" s="9">
        <v>0</v>
      </c>
      <c r="CR407" s="9">
        <v>0</v>
      </c>
      <c r="CS407" s="10">
        <v>0</v>
      </c>
    </row>
    <row r="408" spans="1:97" x14ac:dyDescent="0.35">
      <c r="A408" s="8" t="s">
        <v>413</v>
      </c>
      <c r="B408" s="9" t="s">
        <v>1182</v>
      </c>
      <c r="C408" s="9" t="s">
        <v>1183</v>
      </c>
      <c r="D408" s="9">
        <f t="shared" si="6"/>
        <v>0</v>
      </c>
      <c r="E408" s="9">
        <v>0</v>
      </c>
      <c r="F408" s="9">
        <v>0</v>
      </c>
      <c r="G408" s="9">
        <v>0</v>
      </c>
      <c r="H408" s="9">
        <v>0</v>
      </c>
      <c r="I408" s="9">
        <v>0</v>
      </c>
      <c r="J408" s="9">
        <v>0</v>
      </c>
      <c r="K408" s="9">
        <v>0</v>
      </c>
      <c r="L408" s="9">
        <v>0</v>
      </c>
      <c r="M408" s="9">
        <v>0</v>
      </c>
      <c r="N408" s="9">
        <v>0</v>
      </c>
      <c r="O408" s="9">
        <v>0</v>
      </c>
      <c r="P408" s="9">
        <v>0</v>
      </c>
      <c r="Q408" s="9">
        <v>0</v>
      </c>
      <c r="R408" s="9">
        <v>0</v>
      </c>
      <c r="S408" s="9">
        <v>0</v>
      </c>
      <c r="T408" s="9">
        <v>0</v>
      </c>
      <c r="U408" s="9">
        <v>0</v>
      </c>
      <c r="V408" s="9">
        <v>0</v>
      </c>
      <c r="W408" s="9">
        <v>0</v>
      </c>
      <c r="X408" s="9">
        <v>0</v>
      </c>
      <c r="Y408" s="9">
        <v>0</v>
      </c>
      <c r="Z408" s="9">
        <v>0</v>
      </c>
      <c r="AA408" s="9">
        <v>0</v>
      </c>
      <c r="AB408" s="9">
        <v>0</v>
      </c>
      <c r="AC408" s="9">
        <v>0</v>
      </c>
      <c r="AD408" s="9">
        <v>0</v>
      </c>
      <c r="AE408" s="9">
        <v>0</v>
      </c>
      <c r="AF408" s="9">
        <v>0</v>
      </c>
      <c r="AG408" s="9">
        <v>0</v>
      </c>
      <c r="AH408" s="9">
        <v>0</v>
      </c>
      <c r="AI408" s="9">
        <v>0</v>
      </c>
      <c r="AJ408" s="9">
        <v>0</v>
      </c>
      <c r="AK408" s="9">
        <v>0</v>
      </c>
      <c r="AL408" s="9">
        <v>0</v>
      </c>
      <c r="AM408" s="9">
        <v>0</v>
      </c>
      <c r="AN408" s="9">
        <v>0</v>
      </c>
      <c r="AO408" s="9">
        <v>0</v>
      </c>
      <c r="AP408" s="9">
        <v>0</v>
      </c>
      <c r="AQ408" s="9">
        <v>0</v>
      </c>
      <c r="AR408" s="9">
        <v>0</v>
      </c>
      <c r="AS408" s="9">
        <v>0</v>
      </c>
      <c r="AT408" s="9">
        <v>0</v>
      </c>
      <c r="AU408" s="9">
        <v>0</v>
      </c>
      <c r="AV408" s="9">
        <v>0</v>
      </c>
      <c r="AW408" s="9">
        <v>0</v>
      </c>
      <c r="AX408" s="9">
        <v>0</v>
      </c>
      <c r="AY408" s="9">
        <v>0</v>
      </c>
      <c r="AZ408" s="9">
        <v>0</v>
      </c>
      <c r="BA408" s="9">
        <v>0</v>
      </c>
      <c r="BB408" s="9">
        <v>0</v>
      </c>
      <c r="BC408" s="9">
        <v>0</v>
      </c>
      <c r="BD408" s="9">
        <v>0</v>
      </c>
      <c r="BE408" s="9">
        <v>0</v>
      </c>
      <c r="BF408" s="9">
        <v>0</v>
      </c>
      <c r="BG408" s="9">
        <v>0</v>
      </c>
      <c r="BH408" s="9">
        <v>0</v>
      </c>
      <c r="BI408" s="9">
        <v>0</v>
      </c>
      <c r="BJ408" s="9">
        <v>0</v>
      </c>
      <c r="BK408" s="9">
        <v>0</v>
      </c>
      <c r="BL408" s="9">
        <v>0</v>
      </c>
      <c r="BM408" s="9">
        <v>0</v>
      </c>
      <c r="BN408" s="9">
        <v>0</v>
      </c>
      <c r="BO408" s="9">
        <v>0</v>
      </c>
      <c r="BP408" s="9">
        <v>0</v>
      </c>
      <c r="BQ408" s="9">
        <v>0</v>
      </c>
      <c r="BR408" s="9">
        <v>0</v>
      </c>
      <c r="BS408" s="9">
        <v>0</v>
      </c>
      <c r="BT408" s="9">
        <v>0</v>
      </c>
      <c r="BU408" s="9">
        <v>0</v>
      </c>
      <c r="BV408" s="9">
        <v>0</v>
      </c>
      <c r="BW408" s="9">
        <v>0</v>
      </c>
      <c r="BX408" s="9">
        <v>0</v>
      </c>
      <c r="BY408" s="9">
        <v>0</v>
      </c>
      <c r="BZ408" s="9">
        <v>0</v>
      </c>
      <c r="CA408" s="9">
        <v>0</v>
      </c>
      <c r="CB408" s="9">
        <v>0</v>
      </c>
      <c r="CC408" s="9">
        <v>0</v>
      </c>
      <c r="CD408" s="9">
        <v>0</v>
      </c>
      <c r="CE408" s="9">
        <v>0</v>
      </c>
      <c r="CF408" s="9">
        <v>0</v>
      </c>
      <c r="CG408" s="9">
        <v>0</v>
      </c>
      <c r="CH408" s="9">
        <v>0</v>
      </c>
      <c r="CI408" s="9">
        <v>0</v>
      </c>
      <c r="CJ408" s="9">
        <v>0</v>
      </c>
      <c r="CK408" s="9">
        <v>0</v>
      </c>
      <c r="CL408" s="9">
        <v>0</v>
      </c>
      <c r="CM408" s="9">
        <v>0</v>
      </c>
      <c r="CN408" s="9">
        <v>0</v>
      </c>
      <c r="CO408" s="9">
        <v>0</v>
      </c>
      <c r="CP408" s="9">
        <v>0</v>
      </c>
      <c r="CQ408" s="9">
        <v>0</v>
      </c>
      <c r="CR408" s="9">
        <v>0</v>
      </c>
      <c r="CS408" s="10">
        <v>0</v>
      </c>
    </row>
    <row r="409" spans="1:97" x14ac:dyDescent="0.35">
      <c r="A409" s="8" t="s">
        <v>413</v>
      </c>
      <c r="B409" s="9" t="s">
        <v>1184</v>
      </c>
      <c r="C409" s="9" t="s">
        <v>1185</v>
      </c>
      <c r="D409" s="9">
        <f t="shared" si="6"/>
        <v>0</v>
      </c>
      <c r="E409" s="9">
        <v>0</v>
      </c>
      <c r="F409" s="9">
        <v>0</v>
      </c>
      <c r="G409" s="9">
        <v>0</v>
      </c>
      <c r="H409" s="9">
        <v>0</v>
      </c>
      <c r="I409" s="9">
        <v>0</v>
      </c>
      <c r="J409" s="9">
        <v>0</v>
      </c>
      <c r="K409" s="9">
        <v>0</v>
      </c>
      <c r="L409" s="9">
        <v>0</v>
      </c>
      <c r="M409" s="9">
        <v>0</v>
      </c>
      <c r="N409" s="9">
        <v>0</v>
      </c>
      <c r="O409" s="9">
        <v>0</v>
      </c>
      <c r="P409" s="9">
        <v>0</v>
      </c>
      <c r="Q409" s="9">
        <v>0</v>
      </c>
      <c r="R409" s="9">
        <v>0</v>
      </c>
      <c r="S409" s="9">
        <v>0</v>
      </c>
      <c r="T409" s="9">
        <v>0</v>
      </c>
      <c r="U409" s="9">
        <v>0</v>
      </c>
      <c r="V409" s="9">
        <v>0</v>
      </c>
      <c r="W409" s="9">
        <v>0</v>
      </c>
      <c r="X409" s="9">
        <v>0</v>
      </c>
      <c r="Y409" s="9">
        <v>0</v>
      </c>
      <c r="Z409" s="9">
        <v>0</v>
      </c>
      <c r="AA409" s="9">
        <v>0</v>
      </c>
      <c r="AB409" s="9">
        <v>0</v>
      </c>
      <c r="AC409" s="9">
        <v>0</v>
      </c>
      <c r="AD409" s="9">
        <v>0</v>
      </c>
      <c r="AE409" s="9">
        <v>0</v>
      </c>
      <c r="AF409" s="9">
        <v>0</v>
      </c>
      <c r="AG409" s="9">
        <v>0</v>
      </c>
      <c r="AH409" s="9">
        <v>0</v>
      </c>
      <c r="AI409" s="9">
        <v>0</v>
      </c>
      <c r="AJ409" s="9">
        <v>0</v>
      </c>
      <c r="AK409" s="9">
        <v>0</v>
      </c>
      <c r="AL409" s="9">
        <v>0</v>
      </c>
      <c r="AM409" s="9">
        <v>0</v>
      </c>
      <c r="AN409" s="9">
        <v>0</v>
      </c>
      <c r="AO409" s="9">
        <v>0</v>
      </c>
      <c r="AP409" s="9">
        <v>0</v>
      </c>
      <c r="AQ409" s="9">
        <v>0</v>
      </c>
      <c r="AR409" s="9">
        <v>0</v>
      </c>
      <c r="AS409" s="9">
        <v>0</v>
      </c>
      <c r="AT409" s="9">
        <v>0</v>
      </c>
      <c r="AU409" s="9">
        <v>0</v>
      </c>
      <c r="AV409" s="9">
        <v>0</v>
      </c>
      <c r="AW409" s="9">
        <v>0</v>
      </c>
      <c r="AX409" s="9">
        <v>0</v>
      </c>
      <c r="AY409" s="9">
        <v>0</v>
      </c>
      <c r="AZ409" s="9">
        <v>0</v>
      </c>
      <c r="BA409" s="9">
        <v>0</v>
      </c>
      <c r="BB409" s="9">
        <v>0</v>
      </c>
      <c r="BC409" s="9">
        <v>0</v>
      </c>
      <c r="BD409" s="9">
        <v>0</v>
      </c>
      <c r="BE409" s="9">
        <v>0</v>
      </c>
      <c r="BF409" s="9">
        <v>0</v>
      </c>
      <c r="BG409" s="9">
        <v>0</v>
      </c>
      <c r="BH409" s="9">
        <v>0</v>
      </c>
      <c r="BI409" s="9">
        <v>0</v>
      </c>
      <c r="BJ409" s="9">
        <v>0</v>
      </c>
      <c r="BK409" s="9">
        <v>0</v>
      </c>
      <c r="BL409" s="9">
        <v>0</v>
      </c>
      <c r="BM409" s="9">
        <v>0</v>
      </c>
      <c r="BN409" s="9">
        <v>0</v>
      </c>
      <c r="BO409" s="9">
        <v>0</v>
      </c>
      <c r="BP409" s="9">
        <v>0</v>
      </c>
      <c r="BQ409" s="9">
        <v>0</v>
      </c>
      <c r="BR409" s="9">
        <v>0</v>
      </c>
      <c r="BS409" s="9">
        <v>0</v>
      </c>
      <c r="BT409" s="9">
        <v>0</v>
      </c>
      <c r="BU409" s="9">
        <v>0</v>
      </c>
      <c r="BV409" s="9">
        <v>0</v>
      </c>
      <c r="BW409" s="9">
        <v>0</v>
      </c>
      <c r="BX409" s="9">
        <v>0</v>
      </c>
      <c r="BY409" s="9">
        <v>0</v>
      </c>
      <c r="BZ409" s="9">
        <v>0</v>
      </c>
      <c r="CA409" s="9">
        <v>0</v>
      </c>
      <c r="CB409" s="9">
        <v>0</v>
      </c>
      <c r="CC409" s="9">
        <v>0</v>
      </c>
      <c r="CD409" s="9">
        <v>0</v>
      </c>
      <c r="CE409" s="9">
        <v>0</v>
      </c>
      <c r="CF409" s="9">
        <v>0</v>
      </c>
      <c r="CG409" s="9">
        <v>0</v>
      </c>
      <c r="CH409" s="9">
        <v>0</v>
      </c>
      <c r="CI409" s="9">
        <v>0</v>
      </c>
      <c r="CJ409" s="9">
        <v>0</v>
      </c>
      <c r="CK409" s="9">
        <v>0</v>
      </c>
      <c r="CL409" s="9">
        <v>0</v>
      </c>
      <c r="CM409" s="9">
        <v>0</v>
      </c>
      <c r="CN409" s="9">
        <v>0</v>
      </c>
      <c r="CO409" s="9">
        <v>0</v>
      </c>
      <c r="CP409" s="9">
        <v>0</v>
      </c>
      <c r="CQ409" s="9">
        <v>0</v>
      </c>
      <c r="CR409" s="9">
        <v>0</v>
      </c>
      <c r="CS409" s="10">
        <v>0</v>
      </c>
    </row>
    <row r="410" spans="1:97" x14ac:dyDescent="0.35">
      <c r="A410" s="8" t="s">
        <v>413</v>
      </c>
      <c r="B410" s="9" t="s">
        <v>1186</v>
      </c>
      <c r="C410" s="9" t="s">
        <v>1187</v>
      </c>
      <c r="D410" s="9">
        <f t="shared" si="6"/>
        <v>0</v>
      </c>
      <c r="E410" s="9">
        <v>0</v>
      </c>
      <c r="F410" s="9">
        <v>0</v>
      </c>
      <c r="G410" s="9">
        <v>0</v>
      </c>
      <c r="H410" s="9">
        <v>0</v>
      </c>
      <c r="I410" s="9">
        <v>0</v>
      </c>
      <c r="J410" s="9">
        <v>0</v>
      </c>
      <c r="K410" s="9">
        <v>0</v>
      </c>
      <c r="L410" s="9">
        <v>0</v>
      </c>
      <c r="M410" s="9">
        <v>0</v>
      </c>
      <c r="N410" s="9">
        <v>0</v>
      </c>
      <c r="O410" s="9">
        <v>0</v>
      </c>
      <c r="P410" s="9">
        <v>0</v>
      </c>
      <c r="Q410" s="9">
        <v>0</v>
      </c>
      <c r="R410" s="9">
        <v>0</v>
      </c>
      <c r="S410" s="9">
        <v>0</v>
      </c>
      <c r="T410" s="9">
        <v>0</v>
      </c>
      <c r="U410" s="9">
        <v>0</v>
      </c>
      <c r="V410" s="9">
        <v>0</v>
      </c>
      <c r="W410" s="9">
        <v>0</v>
      </c>
      <c r="X410" s="9">
        <v>0</v>
      </c>
      <c r="Y410" s="9">
        <v>0</v>
      </c>
      <c r="Z410" s="9">
        <v>0</v>
      </c>
      <c r="AA410" s="9">
        <v>0</v>
      </c>
      <c r="AB410" s="9">
        <v>0</v>
      </c>
      <c r="AC410" s="9">
        <v>0</v>
      </c>
      <c r="AD410" s="9">
        <v>0</v>
      </c>
      <c r="AE410" s="9">
        <v>0</v>
      </c>
      <c r="AF410" s="9">
        <v>0</v>
      </c>
      <c r="AG410" s="9">
        <v>0</v>
      </c>
      <c r="AH410" s="9">
        <v>0</v>
      </c>
      <c r="AI410" s="9">
        <v>0</v>
      </c>
      <c r="AJ410" s="9">
        <v>0</v>
      </c>
      <c r="AK410" s="9">
        <v>0</v>
      </c>
      <c r="AL410" s="9">
        <v>0</v>
      </c>
      <c r="AM410" s="9">
        <v>0</v>
      </c>
      <c r="AN410" s="9">
        <v>0</v>
      </c>
      <c r="AO410" s="9">
        <v>0</v>
      </c>
      <c r="AP410" s="9">
        <v>0</v>
      </c>
      <c r="AQ410" s="9">
        <v>0</v>
      </c>
      <c r="AR410" s="9">
        <v>0</v>
      </c>
      <c r="AS410" s="9">
        <v>0</v>
      </c>
      <c r="AT410" s="9">
        <v>0</v>
      </c>
      <c r="AU410" s="9">
        <v>0</v>
      </c>
      <c r="AV410" s="9">
        <v>0</v>
      </c>
      <c r="AW410" s="9">
        <v>0</v>
      </c>
      <c r="AX410" s="9">
        <v>0</v>
      </c>
      <c r="AY410" s="9">
        <v>0</v>
      </c>
      <c r="AZ410" s="9">
        <v>0</v>
      </c>
      <c r="BA410" s="9">
        <v>0</v>
      </c>
      <c r="BB410" s="9">
        <v>0</v>
      </c>
      <c r="BC410" s="9">
        <v>0</v>
      </c>
      <c r="BD410" s="9">
        <v>0</v>
      </c>
      <c r="BE410" s="9">
        <v>0</v>
      </c>
      <c r="BF410" s="9">
        <v>0</v>
      </c>
      <c r="BG410" s="9">
        <v>0</v>
      </c>
      <c r="BH410" s="9">
        <v>0</v>
      </c>
      <c r="BI410" s="9">
        <v>0</v>
      </c>
      <c r="BJ410" s="9">
        <v>0</v>
      </c>
      <c r="BK410" s="9">
        <v>0</v>
      </c>
      <c r="BL410" s="9">
        <v>0</v>
      </c>
      <c r="BM410" s="9">
        <v>0</v>
      </c>
      <c r="BN410" s="9">
        <v>0</v>
      </c>
      <c r="BO410" s="9">
        <v>0</v>
      </c>
      <c r="BP410" s="9">
        <v>0</v>
      </c>
      <c r="BQ410" s="9">
        <v>0</v>
      </c>
      <c r="BR410" s="9">
        <v>0</v>
      </c>
      <c r="BS410" s="9">
        <v>0</v>
      </c>
      <c r="BT410" s="9">
        <v>0</v>
      </c>
      <c r="BU410" s="9">
        <v>0</v>
      </c>
      <c r="BV410" s="9">
        <v>0</v>
      </c>
      <c r="BW410" s="9">
        <v>0</v>
      </c>
      <c r="BX410" s="9">
        <v>0</v>
      </c>
      <c r="BY410" s="9">
        <v>0</v>
      </c>
      <c r="BZ410" s="9">
        <v>0</v>
      </c>
      <c r="CA410" s="9">
        <v>0</v>
      </c>
      <c r="CB410" s="9">
        <v>0</v>
      </c>
      <c r="CC410" s="9">
        <v>0</v>
      </c>
      <c r="CD410" s="9">
        <v>0</v>
      </c>
      <c r="CE410" s="9">
        <v>0</v>
      </c>
      <c r="CF410" s="9">
        <v>0</v>
      </c>
      <c r="CG410" s="9">
        <v>0</v>
      </c>
      <c r="CH410" s="9">
        <v>0</v>
      </c>
      <c r="CI410" s="9">
        <v>0</v>
      </c>
      <c r="CJ410" s="9">
        <v>0</v>
      </c>
      <c r="CK410" s="9">
        <v>0</v>
      </c>
      <c r="CL410" s="9">
        <v>0</v>
      </c>
      <c r="CM410" s="9">
        <v>0</v>
      </c>
      <c r="CN410" s="9">
        <v>0</v>
      </c>
      <c r="CO410" s="9">
        <v>0</v>
      </c>
      <c r="CP410" s="9">
        <v>0</v>
      </c>
      <c r="CQ410" s="9">
        <v>0</v>
      </c>
      <c r="CR410" s="9">
        <v>0</v>
      </c>
      <c r="CS410" s="10">
        <v>0</v>
      </c>
    </row>
    <row r="411" spans="1:97" x14ac:dyDescent="0.35">
      <c r="A411" s="8" t="s">
        <v>413</v>
      </c>
      <c r="B411" s="9" t="s">
        <v>1188</v>
      </c>
      <c r="C411" s="9" t="s">
        <v>1189</v>
      </c>
      <c r="D411" s="9">
        <f t="shared" si="6"/>
        <v>0</v>
      </c>
      <c r="E411" s="9">
        <v>0</v>
      </c>
      <c r="F411" s="9">
        <v>0</v>
      </c>
      <c r="G411" s="9">
        <v>0</v>
      </c>
      <c r="H411" s="9">
        <v>0</v>
      </c>
      <c r="I411" s="9">
        <v>0</v>
      </c>
      <c r="J411" s="9">
        <v>0</v>
      </c>
      <c r="K411" s="9">
        <v>0</v>
      </c>
      <c r="L411" s="9">
        <v>0</v>
      </c>
      <c r="M411" s="9">
        <v>0</v>
      </c>
      <c r="N411" s="9">
        <v>0</v>
      </c>
      <c r="O411" s="9">
        <v>0</v>
      </c>
      <c r="P411" s="9">
        <v>0</v>
      </c>
      <c r="Q411" s="9">
        <v>0</v>
      </c>
      <c r="R411" s="9">
        <v>0</v>
      </c>
      <c r="S411" s="9">
        <v>0</v>
      </c>
      <c r="T411" s="9">
        <v>0</v>
      </c>
      <c r="U411" s="9">
        <v>0</v>
      </c>
      <c r="V411" s="9">
        <v>0</v>
      </c>
      <c r="W411" s="9">
        <v>0</v>
      </c>
      <c r="X411" s="9">
        <v>0</v>
      </c>
      <c r="Y411" s="9">
        <v>0</v>
      </c>
      <c r="Z411" s="9">
        <v>0</v>
      </c>
      <c r="AA411" s="9">
        <v>0</v>
      </c>
      <c r="AB411" s="9">
        <v>0</v>
      </c>
      <c r="AC411" s="9">
        <v>0</v>
      </c>
      <c r="AD411" s="9">
        <v>0</v>
      </c>
      <c r="AE411" s="9">
        <v>0</v>
      </c>
      <c r="AF411" s="9">
        <v>0</v>
      </c>
      <c r="AG411" s="9">
        <v>0</v>
      </c>
      <c r="AH411" s="9">
        <v>0</v>
      </c>
      <c r="AI411" s="9">
        <v>0</v>
      </c>
      <c r="AJ411" s="9">
        <v>0</v>
      </c>
      <c r="AK411" s="9">
        <v>0</v>
      </c>
      <c r="AL411" s="9">
        <v>0</v>
      </c>
      <c r="AM411" s="9">
        <v>0</v>
      </c>
      <c r="AN411" s="9">
        <v>0</v>
      </c>
      <c r="AO411" s="9">
        <v>0</v>
      </c>
      <c r="AP411" s="9">
        <v>0</v>
      </c>
      <c r="AQ411" s="9">
        <v>0</v>
      </c>
      <c r="AR411" s="9">
        <v>0</v>
      </c>
      <c r="AS411" s="9">
        <v>0</v>
      </c>
      <c r="AT411" s="9">
        <v>0</v>
      </c>
      <c r="AU411" s="9">
        <v>0</v>
      </c>
      <c r="AV411" s="9">
        <v>0</v>
      </c>
      <c r="AW411" s="9">
        <v>0</v>
      </c>
      <c r="AX411" s="9">
        <v>0</v>
      </c>
      <c r="AY411" s="9">
        <v>0</v>
      </c>
      <c r="AZ411" s="9">
        <v>0</v>
      </c>
      <c r="BA411" s="9">
        <v>0</v>
      </c>
      <c r="BB411" s="9">
        <v>0</v>
      </c>
      <c r="BC411" s="9">
        <v>0</v>
      </c>
      <c r="BD411" s="9">
        <v>0</v>
      </c>
      <c r="BE411" s="9">
        <v>0</v>
      </c>
      <c r="BF411" s="9">
        <v>0</v>
      </c>
      <c r="BG411" s="9">
        <v>0</v>
      </c>
      <c r="BH411" s="9">
        <v>0</v>
      </c>
      <c r="BI411" s="9">
        <v>0</v>
      </c>
      <c r="BJ411" s="9">
        <v>0</v>
      </c>
      <c r="BK411" s="9">
        <v>0</v>
      </c>
      <c r="BL411" s="9">
        <v>0</v>
      </c>
      <c r="BM411" s="9">
        <v>0</v>
      </c>
      <c r="BN411" s="9">
        <v>0</v>
      </c>
      <c r="BO411" s="9">
        <v>0</v>
      </c>
      <c r="BP411" s="9">
        <v>0</v>
      </c>
      <c r="BQ411" s="9">
        <v>0</v>
      </c>
      <c r="BR411" s="9">
        <v>0</v>
      </c>
      <c r="BS411" s="9">
        <v>0</v>
      </c>
      <c r="BT411" s="9">
        <v>0</v>
      </c>
      <c r="BU411" s="9">
        <v>0</v>
      </c>
      <c r="BV411" s="9">
        <v>0</v>
      </c>
      <c r="BW411" s="9">
        <v>0</v>
      </c>
      <c r="BX411" s="9">
        <v>0</v>
      </c>
      <c r="BY411" s="9">
        <v>0</v>
      </c>
      <c r="BZ411" s="9">
        <v>0</v>
      </c>
      <c r="CA411" s="9">
        <v>0</v>
      </c>
      <c r="CB411" s="9">
        <v>0</v>
      </c>
      <c r="CC411" s="9">
        <v>0</v>
      </c>
      <c r="CD411" s="9">
        <v>0</v>
      </c>
      <c r="CE411" s="9">
        <v>0</v>
      </c>
      <c r="CF411" s="9">
        <v>0</v>
      </c>
      <c r="CG411" s="9">
        <v>0</v>
      </c>
      <c r="CH411" s="9">
        <v>0</v>
      </c>
      <c r="CI411" s="9">
        <v>0</v>
      </c>
      <c r="CJ411" s="9">
        <v>0</v>
      </c>
      <c r="CK411" s="9">
        <v>0</v>
      </c>
      <c r="CL411" s="9">
        <v>0</v>
      </c>
      <c r="CM411" s="9">
        <v>0</v>
      </c>
      <c r="CN411" s="9">
        <v>0</v>
      </c>
      <c r="CO411" s="9">
        <v>0</v>
      </c>
      <c r="CP411" s="9">
        <v>0</v>
      </c>
      <c r="CQ411" s="9">
        <v>0</v>
      </c>
      <c r="CR411" s="9">
        <v>0</v>
      </c>
      <c r="CS411" s="10">
        <v>0</v>
      </c>
    </row>
    <row r="412" spans="1:97" x14ac:dyDescent="0.35">
      <c r="A412" s="8" t="s">
        <v>413</v>
      </c>
      <c r="B412" s="9" t="s">
        <v>1190</v>
      </c>
      <c r="C412" s="9" t="s">
        <v>1191</v>
      </c>
      <c r="D412" s="9">
        <f t="shared" si="6"/>
        <v>0</v>
      </c>
      <c r="E412" s="9">
        <v>0</v>
      </c>
      <c r="F412" s="9">
        <v>0</v>
      </c>
      <c r="G412" s="9">
        <v>0</v>
      </c>
      <c r="H412" s="9">
        <v>0</v>
      </c>
      <c r="I412" s="9">
        <v>0</v>
      </c>
      <c r="J412" s="9">
        <v>0</v>
      </c>
      <c r="K412" s="9">
        <v>0</v>
      </c>
      <c r="L412" s="9">
        <v>0</v>
      </c>
      <c r="M412" s="9">
        <v>0</v>
      </c>
      <c r="N412" s="9">
        <v>0</v>
      </c>
      <c r="O412" s="9">
        <v>0</v>
      </c>
      <c r="P412" s="9">
        <v>0</v>
      </c>
      <c r="Q412" s="9">
        <v>0</v>
      </c>
      <c r="R412" s="9">
        <v>0</v>
      </c>
      <c r="S412" s="9">
        <v>0</v>
      </c>
      <c r="T412" s="9">
        <v>0</v>
      </c>
      <c r="U412" s="9">
        <v>0</v>
      </c>
      <c r="V412" s="9">
        <v>0</v>
      </c>
      <c r="W412" s="9">
        <v>0</v>
      </c>
      <c r="X412" s="9">
        <v>0</v>
      </c>
      <c r="Y412" s="9">
        <v>0</v>
      </c>
      <c r="Z412" s="9">
        <v>0</v>
      </c>
      <c r="AA412" s="9">
        <v>0</v>
      </c>
      <c r="AB412" s="9">
        <v>0</v>
      </c>
      <c r="AC412" s="9">
        <v>0</v>
      </c>
      <c r="AD412" s="9">
        <v>0</v>
      </c>
      <c r="AE412" s="9">
        <v>0</v>
      </c>
      <c r="AF412" s="9">
        <v>0</v>
      </c>
      <c r="AG412" s="9">
        <v>0</v>
      </c>
      <c r="AH412" s="9">
        <v>0</v>
      </c>
      <c r="AI412" s="9">
        <v>0</v>
      </c>
      <c r="AJ412" s="9">
        <v>0</v>
      </c>
      <c r="AK412" s="9">
        <v>0</v>
      </c>
      <c r="AL412" s="9">
        <v>0</v>
      </c>
      <c r="AM412" s="9">
        <v>0</v>
      </c>
      <c r="AN412" s="9">
        <v>0</v>
      </c>
      <c r="AO412" s="9">
        <v>0</v>
      </c>
      <c r="AP412" s="9">
        <v>0</v>
      </c>
      <c r="AQ412" s="9">
        <v>0</v>
      </c>
      <c r="AR412" s="9">
        <v>0</v>
      </c>
      <c r="AS412" s="9">
        <v>0</v>
      </c>
      <c r="AT412" s="9">
        <v>0</v>
      </c>
      <c r="AU412" s="9">
        <v>0</v>
      </c>
      <c r="AV412" s="9">
        <v>0</v>
      </c>
      <c r="AW412" s="9">
        <v>0</v>
      </c>
      <c r="AX412" s="9">
        <v>0</v>
      </c>
      <c r="AY412" s="9">
        <v>0</v>
      </c>
      <c r="AZ412" s="9">
        <v>0</v>
      </c>
      <c r="BA412" s="9">
        <v>0</v>
      </c>
      <c r="BB412" s="9">
        <v>0</v>
      </c>
      <c r="BC412" s="9">
        <v>0</v>
      </c>
      <c r="BD412" s="9">
        <v>0</v>
      </c>
      <c r="BE412" s="9">
        <v>0</v>
      </c>
      <c r="BF412" s="9">
        <v>0</v>
      </c>
      <c r="BG412" s="9">
        <v>0</v>
      </c>
      <c r="BH412" s="9">
        <v>0</v>
      </c>
      <c r="BI412" s="9">
        <v>0</v>
      </c>
      <c r="BJ412" s="9">
        <v>0</v>
      </c>
      <c r="BK412" s="9">
        <v>0</v>
      </c>
      <c r="BL412" s="9">
        <v>0</v>
      </c>
      <c r="BM412" s="9">
        <v>0</v>
      </c>
      <c r="BN412" s="9">
        <v>0</v>
      </c>
      <c r="BO412" s="9">
        <v>0</v>
      </c>
      <c r="BP412" s="9">
        <v>0</v>
      </c>
      <c r="BQ412" s="9">
        <v>0</v>
      </c>
      <c r="BR412" s="9">
        <v>0</v>
      </c>
      <c r="BS412" s="9">
        <v>0</v>
      </c>
      <c r="BT412" s="9">
        <v>0</v>
      </c>
      <c r="BU412" s="9">
        <v>0</v>
      </c>
      <c r="BV412" s="9">
        <v>0</v>
      </c>
      <c r="BW412" s="9">
        <v>0</v>
      </c>
      <c r="BX412" s="9">
        <v>0</v>
      </c>
      <c r="BY412" s="9">
        <v>0</v>
      </c>
      <c r="BZ412" s="9">
        <v>0</v>
      </c>
      <c r="CA412" s="9">
        <v>0</v>
      </c>
      <c r="CB412" s="9">
        <v>0</v>
      </c>
      <c r="CC412" s="9">
        <v>0</v>
      </c>
      <c r="CD412" s="9">
        <v>0</v>
      </c>
      <c r="CE412" s="9">
        <v>0</v>
      </c>
      <c r="CF412" s="9">
        <v>0</v>
      </c>
      <c r="CG412" s="9">
        <v>0</v>
      </c>
      <c r="CH412" s="9">
        <v>0</v>
      </c>
      <c r="CI412" s="9">
        <v>0</v>
      </c>
      <c r="CJ412" s="9">
        <v>0</v>
      </c>
      <c r="CK412" s="9">
        <v>0</v>
      </c>
      <c r="CL412" s="9">
        <v>0</v>
      </c>
      <c r="CM412" s="9">
        <v>0</v>
      </c>
      <c r="CN412" s="9">
        <v>0</v>
      </c>
      <c r="CO412" s="9">
        <v>0</v>
      </c>
      <c r="CP412" s="9">
        <v>0</v>
      </c>
      <c r="CQ412" s="9">
        <v>0</v>
      </c>
      <c r="CR412" s="9">
        <v>0</v>
      </c>
      <c r="CS412" s="10">
        <v>0</v>
      </c>
    </row>
    <row r="413" spans="1:97" x14ac:dyDescent="0.35">
      <c r="A413" s="8" t="s">
        <v>413</v>
      </c>
      <c r="B413" s="9" t="s">
        <v>1192</v>
      </c>
      <c r="C413" s="9" t="s">
        <v>1193</v>
      </c>
      <c r="D413" s="9">
        <f t="shared" si="6"/>
        <v>0</v>
      </c>
      <c r="E413" s="9">
        <v>0</v>
      </c>
      <c r="F413" s="9">
        <v>0</v>
      </c>
      <c r="G413" s="9">
        <v>0</v>
      </c>
      <c r="H413" s="9">
        <v>0</v>
      </c>
      <c r="I413" s="9">
        <v>0</v>
      </c>
      <c r="J413" s="9">
        <v>0</v>
      </c>
      <c r="K413" s="9">
        <v>0</v>
      </c>
      <c r="L413" s="9">
        <v>0</v>
      </c>
      <c r="M413" s="9">
        <v>0</v>
      </c>
      <c r="N413" s="9">
        <v>0</v>
      </c>
      <c r="O413" s="9">
        <v>0</v>
      </c>
      <c r="P413" s="9">
        <v>0</v>
      </c>
      <c r="Q413" s="9">
        <v>0</v>
      </c>
      <c r="R413" s="9">
        <v>0</v>
      </c>
      <c r="S413" s="9">
        <v>0</v>
      </c>
      <c r="T413" s="9">
        <v>0</v>
      </c>
      <c r="U413" s="9">
        <v>0</v>
      </c>
      <c r="V413" s="9">
        <v>0</v>
      </c>
      <c r="W413" s="9">
        <v>0</v>
      </c>
      <c r="X413" s="9">
        <v>0</v>
      </c>
      <c r="Y413" s="9">
        <v>0</v>
      </c>
      <c r="Z413" s="9">
        <v>0</v>
      </c>
      <c r="AA413" s="9">
        <v>0</v>
      </c>
      <c r="AB413" s="9">
        <v>0</v>
      </c>
      <c r="AC413" s="9">
        <v>0</v>
      </c>
      <c r="AD413" s="9">
        <v>0</v>
      </c>
      <c r="AE413" s="9">
        <v>0</v>
      </c>
      <c r="AF413" s="9">
        <v>0</v>
      </c>
      <c r="AG413" s="9">
        <v>0</v>
      </c>
      <c r="AH413" s="9">
        <v>0</v>
      </c>
      <c r="AI413" s="9">
        <v>0</v>
      </c>
      <c r="AJ413" s="9">
        <v>0</v>
      </c>
      <c r="AK413" s="9">
        <v>0</v>
      </c>
      <c r="AL413" s="9">
        <v>0</v>
      </c>
      <c r="AM413" s="9">
        <v>0</v>
      </c>
      <c r="AN413" s="9">
        <v>0</v>
      </c>
      <c r="AO413" s="9">
        <v>0</v>
      </c>
      <c r="AP413" s="9">
        <v>0</v>
      </c>
      <c r="AQ413" s="9">
        <v>0</v>
      </c>
      <c r="AR413" s="9">
        <v>0</v>
      </c>
      <c r="AS413" s="9">
        <v>0</v>
      </c>
      <c r="AT413" s="9">
        <v>0</v>
      </c>
      <c r="AU413" s="9">
        <v>0</v>
      </c>
      <c r="AV413" s="9">
        <v>0</v>
      </c>
      <c r="AW413" s="9">
        <v>0</v>
      </c>
      <c r="AX413" s="9">
        <v>0</v>
      </c>
      <c r="AY413" s="9">
        <v>0</v>
      </c>
      <c r="AZ413" s="9">
        <v>0</v>
      </c>
      <c r="BA413" s="9">
        <v>0</v>
      </c>
      <c r="BB413" s="9">
        <v>0</v>
      </c>
      <c r="BC413" s="9">
        <v>0</v>
      </c>
      <c r="BD413" s="9">
        <v>0</v>
      </c>
      <c r="BE413" s="9">
        <v>0</v>
      </c>
      <c r="BF413" s="9">
        <v>0</v>
      </c>
      <c r="BG413" s="9">
        <v>0</v>
      </c>
      <c r="BH413" s="9">
        <v>0</v>
      </c>
      <c r="BI413" s="9">
        <v>0</v>
      </c>
      <c r="BJ413" s="9">
        <v>0</v>
      </c>
      <c r="BK413" s="9">
        <v>0</v>
      </c>
      <c r="BL413" s="9">
        <v>0</v>
      </c>
      <c r="BM413" s="9">
        <v>0</v>
      </c>
      <c r="BN413" s="9">
        <v>0</v>
      </c>
      <c r="BO413" s="9">
        <v>0</v>
      </c>
      <c r="BP413" s="9">
        <v>0</v>
      </c>
      <c r="BQ413" s="9">
        <v>0</v>
      </c>
      <c r="BR413" s="9">
        <v>0</v>
      </c>
      <c r="BS413" s="9">
        <v>0</v>
      </c>
      <c r="BT413" s="9">
        <v>0</v>
      </c>
      <c r="BU413" s="9">
        <v>0</v>
      </c>
      <c r="BV413" s="9">
        <v>0</v>
      </c>
      <c r="BW413" s="9">
        <v>0</v>
      </c>
      <c r="BX413" s="9">
        <v>0</v>
      </c>
      <c r="BY413" s="9">
        <v>0</v>
      </c>
      <c r="BZ413" s="9">
        <v>0</v>
      </c>
      <c r="CA413" s="9">
        <v>0</v>
      </c>
      <c r="CB413" s="9">
        <v>0</v>
      </c>
      <c r="CC413" s="9">
        <v>0</v>
      </c>
      <c r="CD413" s="9">
        <v>0</v>
      </c>
      <c r="CE413" s="9">
        <v>0</v>
      </c>
      <c r="CF413" s="9">
        <v>0</v>
      </c>
      <c r="CG413" s="9">
        <v>0</v>
      </c>
      <c r="CH413" s="9">
        <v>0</v>
      </c>
      <c r="CI413" s="9">
        <v>0</v>
      </c>
      <c r="CJ413" s="9">
        <v>0</v>
      </c>
      <c r="CK413" s="9">
        <v>0</v>
      </c>
      <c r="CL413" s="9">
        <v>0</v>
      </c>
      <c r="CM413" s="9">
        <v>0</v>
      </c>
      <c r="CN413" s="9">
        <v>0</v>
      </c>
      <c r="CO413" s="9">
        <v>0</v>
      </c>
      <c r="CP413" s="9">
        <v>0</v>
      </c>
      <c r="CQ413" s="9">
        <v>0</v>
      </c>
      <c r="CR413" s="9">
        <v>0</v>
      </c>
      <c r="CS413" s="10">
        <v>0</v>
      </c>
    </row>
    <row r="414" spans="1:97" x14ac:dyDescent="0.35">
      <c r="A414" s="8" t="s">
        <v>413</v>
      </c>
      <c r="B414" s="9" t="s">
        <v>1194</v>
      </c>
      <c r="C414" s="9" t="s">
        <v>1195</v>
      </c>
      <c r="D414" s="9">
        <f t="shared" si="6"/>
        <v>0</v>
      </c>
      <c r="E414" s="9">
        <v>0</v>
      </c>
      <c r="F414" s="9">
        <v>0</v>
      </c>
      <c r="G414" s="9">
        <v>0</v>
      </c>
      <c r="H414" s="9">
        <v>0</v>
      </c>
      <c r="I414" s="9">
        <v>0</v>
      </c>
      <c r="J414" s="9">
        <v>0</v>
      </c>
      <c r="K414" s="9">
        <v>0</v>
      </c>
      <c r="L414" s="9">
        <v>0</v>
      </c>
      <c r="M414" s="9">
        <v>0</v>
      </c>
      <c r="N414" s="9">
        <v>0</v>
      </c>
      <c r="O414" s="9">
        <v>0</v>
      </c>
      <c r="P414" s="9">
        <v>0</v>
      </c>
      <c r="Q414" s="9">
        <v>0</v>
      </c>
      <c r="R414" s="9">
        <v>0</v>
      </c>
      <c r="S414" s="9">
        <v>0</v>
      </c>
      <c r="T414" s="9">
        <v>0</v>
      </c>
      <c r="U414" s="9">
        <v>0</v>
      </c>
      <c r="V414" s="9">
        <v>0</v>
      </c>
      <c r="W414" s="9">
        <v>0</v>
      </c>
      <c r="X414" s="9">
        <v>0</v>
      </c>
      <c r="Y414" s="9">
        <v>0</v>
      </c>
      <c r="Z414" s="9">
        <v>0</v>
      </c>
      <c r="AA414" s="9">
        <v>0</v>
      </c>
      <c r="AB414" s="9">
        <v>0</v>
      </c>
      <c r="AC414" s="9">
        <v>0</v>
      </c>
      <c r="AD414" s="9">
        <v>0</v>
      </c>
      <c r="AE414" s="9">
        <v>0</v>
      </c>
      <c r="AF414" s="9">
        <v>0</v>
      </c>
      <c r="AG414" s="9">
        <v>0</v>
      </c>
      <c r="AH414" s="9">
        <v>0</v>
      </c>
      <c r="AI414" s="9">
        <v>0</v>
      </c>
      <c r="AJ414" s="9">
        <v>0</v>
      </c>
      <c r="AK414" s="9">
        <v>0</v>
      </c>
      <c r="AL414" s="9">
        <v>0</v>
      </c>
      <c r="AM414" s="9">
        <v>0</v>
      </c>
      <c r="AN414" s="9">
        <v>0</v>
      </c>
      <c r="AO414" s="9">
        <v>0</v>
      </c>
      <c r="AP414" s="9">
        <v>0</v>
      </c>
      <c r="AQ414" s="9">
        <v>0</v>
      </c>
      <c r="AR414" s="9">
        <v>0</v>
      </c>
      <c r="AS414" s="9">
        <v>0</v>
      </c>
      <c r="AT414" s="9">
        <v>0</v>
      </c>
      <c r="AU414" s="9">
        <v>0</v>
      </c>
      <c r="AV414" s="9">
        <v>0</v>
      </c>
      <c r="AW414" s="9">
        <v>0</v>
      </c>
      <c r="AX414" s="9">
        <v>0</v>
      </c>
      <c r="AY414" s="9">
        <v>0</v>
      </c>
      <c r="AZ414" s="9">
        <v>0</v>
      </c>
      <c r="BA414" s="9">
        <v>0</v>
      </c>
      <c r="BB414" s="9">
        <v>0</v>
      </c>
      <c r="BC414" s="9">
        <v>0</v>
      </c>
      <c r="BD414" s="9">
        <v>0</v>
      </c>
      <c r="BE414" s="9">
        <v>0</v>
      </c>
      <c r="BF414" s="9">
        <v>0</v>
      </c>
      <c r="BG414" s="9">
        <v>0</v>
      </c>
      <c r="BH414" s="9">
        <v>0</v>
      </c>
      <c r="BI414" s="9">
        <v>0</v>
      </c>
      <c r="BJ414" s="9">
        <v>0</v>
      </c>
      <c r="BK414" s="9">
        <v>0</v>
      </c>
      <c r="BL414" s="9">
        <v>0</v>
      </c>
      <c r="BM414" s="9">
        <v>0</v>
      </c>
      <c r="BN414" s="9">
        <v>0</v>
      </c>
      <c r="BO414" s="9">
        <v>0</v>
      </c>
      <c r="BP414" s="9">
        <v>0</v>
      </c>
      <c r="BQ414" s="9">
        <v>0</v>
      </c>
      <c r="BR414" s="9">
        <v>0</v>
      </c>
      <c r="BS414" s="9">
        <v>0</v>
      </c>
      <c r="BT414" s="9">
        <v>0</v>
      </c>
      <c r="BU414" s="9">
        <v>0</v>
      </c>
      <c r="BV414" s="9">
        <v>0</v>
      </c>
      <c r="BW414" s="9">
        <v>0</v>
      </c>
      <c r="BX414" s="9">
        <v>0</v>
      </c>
      <c r="BY414" s="9">
        <v>0</v>
      </c>
      <c r="BZ414" s="9">
        <v>0</v>
      </c>
      <c r="CA414" s="9">
        <v>0</v>
      </c>
      <c r="CB414" s="9">
        <v>0</v>
      </c>
      <c r="CC414" s="9">
        <v>0</v>
      </c>
      <c r="CD414" s="9">
        <v>0</v>
      </c>
      <c r="CE414" s="9">
        <v>0</v>
      </c>
      <c r="CF414" s="9">
        <v>0</v>
      </c>
      <c r="CG414" s="9">
        <v>0</v>
      </c>
      <c r="CH414" s="9">
        <v>0</v>
      </c>
      <c r="CI414" s="9">
        <v>0</v>
      </c>
      <c r="CJ414" s="9">
        <v>0</v>
      </c>
      <c r="CK414" s="9">
        <v>0</v>
      </c>
      <c r="CL414" s="9">
        <v>0</v>
      </c>
      <c r="CM414" s="9">
        <v>0</v>
      </c>
      <c r="CN414" s="9">
        <v>0</v>
      </c>
      <c r="CO414" s="9">
        <v>0</v>
      </c>
      <c r="CP414" s="9">
        <v>0</v>
      </c>
      <c r="CQ414" s="9">
        <v>0</v>
      </c>
      <c r="CR414" s="9">
        <v>0</v>
      </c>
      <c r="CS414" s="10">
        <v>0</v>
      </c>
    </row>
    <row r="415" spans="1:97" x14ac:dyDescent="0.35">
      <c r="A415" s="8" t="s">
        <v>413</v>
      </c>
      <c r="B415" s="9" t="s">
        <v>1196</v>
      </c>
      <c r="C415" s="9" t="s">
        <v>1197</v>
      </c>
      <c r="D415" s="9">
        <f t="shared" si="6"/>
        <v>0</v>
      </c>
      <c r="E415" s="9">
        <v>0</v>
      </c>
      <c r="F415" s="9">
        <v>0</v>
      </c>
      <c r="G415" s="9">
        <v>0</v>
      </c>
      <c r="H415" s="9">
        <v>0</v>
      </c>
      <c r="I415" s="9">
        <v>0</v>
      </c>
      <c r="J415" s="9">
        <v>0</v>
      </c>
      <c r="K415" s="9">
        <v>0</v>
      </c>
      <c r="L415" s="9">
        <v>0</v>
      </c>
      <c r="M415" s="9">
        <v>0</v>
      </c>
      <c r="N415" s="9">
        <v>0</v>
      </c>
      <c r="O415" s="9">
        <v>0</v>
      </c>
      <c r="P415" s="9">
        <v>0</v>
      </c>
      <c r="Q415" s="9">
        <v>0</v>
      </c>
      <c r="R415" s="9">
        <v>0</v>
      </c>
      <c r="S415" s="9">
        <v>0</v>
      </c>
      <c r="T415" s="9">
        <v>0</v>
      </c>
      <c r="U415" s="9">
        <v>0</v>
      </c>
      <c r="V415" s="9">
        <v>0</v>
      </c>
      <c r="W415" s="9">
        <v>0</v>
      </c>
      <c r="X415" s="9">
        <v>0</v>
      </c>
      <c r="Y415" s="9">
        <v>0</v>
      </c>
      <c r="Z415" s="9">
        <v>0</v>
      </c>
      <c r="AA415" s="9">
        <v>0</v>
      </c>
      <c r="AB415" s="9">
        <v>0</v>
      </c>
      <c r="AC415" s="9">
        <v>0</v>
      </c>
      <c r="AD415" s="9">
        <v>0</v>
      </c>
      <c r="AE415" s="9">
        <v>0</v>
      </c>
      <c r="AF415" s="9">
        <v>0</v>
      </c>
      <c r="AG415" s="9">
        <v>0</v>
      </c>
      <c r="AH415" s="9">
        <v>0</v>
      </c>
      <c r="AI415" s="9">
        <v>0</v>
      </c>
      <c r="AJ415" s="9">
        <v>0</v>
      </c>
      <c r="AK415" s="9">
        <v>0</v>
      </c>
      <c r="AL415" s="9">
        <v>0</v>
      </c>
      <c r="AM415" s="9">
        <v>0</v>
      </c>
      <c r="AN415" s="9">
        <v>0</v>
      </c>
      <c r="AO415" s="9">
        <v>0</v>
      </c>
      <c r="AP415" s="9">
        <v>0</v>
      </c>
      <c r="AQ415" s="9">
        <v>0</v>
      </c>
      <c r="AR415" s="9">
        <v>0</v>
      </c>
      <c r="AS415" s="9">
        <v>0</v>
      </c>
      <c r="AT415" s="9">
        <v>0</v>
      </c>
      <c r="AU415" s="9">
        <v>0</v>
      </c>
      <c r="AV415" s="9">
        <v>0</v>
      </c>
      <c r="AW415" s="9">
        <v>0</v>
      </c>
      <c r="AX415" s="9">
        <v>0</v>
      </c>
      <c r="AY415" s="9">
        <v>0</v>
      </c>
      <c r="AZ415" s="9">
        <v>0</v>
      </c>
      <c r="BA415" s="9">
        <v>0</v>
      </c>
      <c r="BB415" s="9">
        <v>0</v>
      </c>
      <c r="BC415" s="9">
        <v>0</v>
      </c>
      <c r="BD415" s="9">
        <v>0</v>
      </c>
      <c r="BE415" s="9">
        <v>0</v>
      </c>
      <c r="BF415" s="9">
        <v>0</v>
      </c>
      <c r="BG415" s="9">
        <v>0</v>
      </c>
      <c r="BH415" s="9">
        <v>0</v>
      </c>
      <c r="BI415" s="9">
        <v>0</v>
      </c>
      <c r="BJ415" s="9">
        <v>0</v>
      </c>
      <c r="BK415" s="9">
        <v>0</v>
      </c>
      <c r="BL415" s="9">
        <v>0</v>
      </c>
      <c r="BM415" s="9">
        <v>0</v>
      </c>
      <c r="BN415" s="9">
        <v>0</v>
      </c>
      <c r="BO415" s="9">
        <v>0</v>
      </c>
      <c r="BP415" s="9">
        <v>0</v>
      </c>
      <c r="BQ415" s="9">
        <v>0</v>
      </c>
      <c r="BR415" s="9">
        <v>0</v>
      </c>
      <c r="BS415" s="9">
        <v>0</v>
      </c>
      <c r="BT415" s="9">
        <v>0</v>
      </c>
      <c r="BU415" s="9">
        <v>0</v>
      </c>
      <c r="BV415" s="9">
        <v>0</v>
      </c>
      <c r="BW415" s="9">
        <v>0</v>
      </c>
      <c r="BX415" s="9">
        <v>0</v>
      </c>
      <c r="BY415" s="9">
        <v>0</v>
      </c>
      <c r="BZ415" s="9">
        <v>0</v>
      </c>
      <c r="CA415" s="9">
        <v>0</v>
      </c>
      <c r="CB415" s="9">
        <v>0</v>
      </c>
      <c r="CC415" s="9">
        <v>0</v>
      </c>
      <c r="CD415" s="9">
        <v>0</v>
      </c>
      <c r="CE415" s="9">
        <v>0</v>
      </c>
      <c r="CF415" s="9">
        <v>0</v>
      </c>
      <c r="CG415" s="9">
        <v>0</v>
      </c>
      <c r="CH415" s="9">
        <v>0</v>
      </c>
      <c r="CI415" s="9">
        <v>0</v>
      </c>
      <c r="CJ415" s="9">
        <v>0</v>
      </c>
      <c r="CK415" s="9">
        <v>0</v>
      </c>
      <c r="CL415" s="9">
        <v>0</v>
      </c>
      <c r="CM415" s="9">
        <v>0</v>
      </c>
      <c r="CN415" s="9">
        <v>0</v>
      </c>
      <c r="CO415" s="9">
        <v>0</v>
      </c>
      <c r="CP415" s="9">
        <v>0</v>
      </c>
      <c r="CQ415" s="9">
        <v>0</v>
      </c>
      <c r="CR415" s="9">
        <v>0</v>
      </c>
      <c r="CS415" s="10">
        <v>0</v>
      </c>
    </row>
    <row r="416" spans="1:97" x14ac:dyDescent="0.35">
      <c r="A416" s="8" t="s">
        <v>413</v>
      </c>
      <c r="B416" s="9" t="s">
        <v>1198</v>
      </c>
      <c r="C416" s="9" t="s">
        <v>1199</v>
      </c>
      <c r="D416" s="9">
        <f t="shared" si="6"/>
        <v>0</v>
      </c>
      <c r="E416" s="9">
        <v>0</v>
      </c>
      <c r="F416" s="9">
        <v>0</v>
      </c>
      <c r="G416" s="9">
        <v>0</v>
      </c>
      <c r="H416" s="9">
        <v>0</v>
      </c>
      <c r="I416" s="9">
        <v>0</v>
      </c>
      <c r="J416" s="9">
        <v>0</v>
      </c>
      <c r="K416" s="9">
        <v>0</v>
      </c>
      <c r="L416" s="9">
        <v>0</v>
      </c>
      <c r="M416" s="9">
        <v>0</v>
      </c>
      <c r="N416" s="9">
        <v>0</v>
      </c>
      <c r="O416" s="9">
        <v>0</v>
      </c>
      <c r="P416" s="9">
        <v>0</v>
      </c>
      <c r="Q416" s="9">
        <v>0</v>
      </c>
      <c r="R416" s="9">
        <v>0</v>
      </c>
      <c r="S416" s="9">
        <v>0</v>
      </c>
      <c r="T416" s="9">
        <v>0</v>
      </c>
      <c r="U416" s="9">
        <v>0</v>
      </c>
      <c r="V416" s="9">
        <v>0</v>
      </c>
      <c r="W416" s="9">
        <v>0</v>
      </c>
      <c r="X416" s="9">
        <v>0</v>
      </c>
      <c r="Y416" s="9">
        <v>0</v>
      </c>
      <c r="Z416" s="9">
        <v>0</v>
      </c>
      <c r="AA416" s="9">
        <v>0</v>
      </c>
      <c r="AB416" s="9">
        <v>0</v>
      </c>
      <c r="AC416" s="9">
        <v>0</v>
      </c>
      <c r="AD416" s="9">
        <v>0</v>
      </c>
      <c r="AE416" s="9">
        <v>0</v>
      </c>
      <c r="AF416" s="9">
        <v>0</v>
      </c>
      <c r="AG416" s="9">
        <v>0</v>
      </c>
      <c r="AH416" s="9">
        <v>0</v>
      </c>
      <c r="AI416" s="9">
        <v>0</v>
      </c>
      <c r="AJ416" s="9">
        <v>0</v>
      </c>
      <c r="AK416" s="9">
        <v>0</v>
      </c>
      <c r="AL416" s="9">
        <v>0</v>
      </c>
      <c r="AM416" s="9">
        <v>0</v>
      </c>
      <c r="AN416" s="9">
        <v>0</v>
      </c>
      <c r="AO416" s="9">
        <v>0</v>
      </c>
      <c r="AP416" s="9">
        <v>0</v>
      </c>
      <c r="AQ416" s="9">
        <v>0</v>
      </c>
      <c r="AR416" s="9">
        <v>0</v>
      </c>
      <c r="AS416" s="9">
        <v>0</v>
      </c>
      <c r="AT416" s="9">
        <v>0</v>
      </c>
      <c r="AU416" s="9">
        <v>0</v>
      </c>
      <c r="AV416" s="9">
        <v>0</v>
      </c>
      <c r="AW416" s="9">
        <v>0</v>
      </c>
      <c r="AX416" s="9">
        <v>0</v>
      </c>
      <c r="AY416" s="9">
        <v>0</v>
      </c>
      <c r="AZ416" s="9">
        <v>0</v>
      </c>
      <c r="BA416" s="9">
        <v>0</v>
      </c>
      <c r="BB416" s="9">
        <v>0</v>
      </c>
      <c r="BC416" s="9">
        <v>0</v>
      </c>
      <c r="BD416" s="9">
        <v>0</v>
      </c>
      <c r="BE416" s="9">
        <v>0</v>
      </c>
      <c r="BF416" s="9">
        <v>0</v>
      </c>
      <c r="BG416" s="9">
        <v>0</v>
      </c>
      <c r="BH416" s="9">
        <v>0</v>
      </c>
      <c r="BI416" s="9">
        <v>0</v>
      </c>
      <c r="BJ416" s="9">
        <v>0</v>
      </c>
      <c r="BK416" s="9">
        <v>0</v>
      </c>
      <c r="BL416" s="9">
        <v>0</v>
      </c>
      <c r="BM416" s="9">
        <v>0</v>
      </c>
      <c r="BN416" s="9">
        <v>0</v>
      </c>
      <c r="BO416" s="9">
        <v>0</v>
      </c>
      <c r="BP416" s="9">
        <v>0</v>
      </c>
      <c r="BQ416" s="9">
        <v>0</v>
      </c>
      <c r="BR416" s="9">
        <v>0</v>
      </c>
      <c r="BS416" s="9">
        <v>0</v>
      </c>
      <c r="BT416" s="9">
        <v>0</v>
      </c>
      <c r="BU416" s="9">
        <v>0</v>
      </c>
      <c r="BV416" s="9">
        <v>0</v>
      </c>
      <c r="BW416" s="9">
        <v>0</v>
      </c>
      <c r="BX416" s="9">
        <v>0</v>
      </c>
      <c r="BY416" s="9">
        <v>0</v>
      </c>
      <c r="BZ416" s="9">
        <v>0</v>
      </c>
      <c r="CA416" s="9">
        <v>0</v>
      </c>
      <c r="CB416" s="9">
        <v>0</v>
      </c>
      <c r="CC416" s="9">
        <v>0</v>
      </c>
      <c r="CD416" s="9">
        <v>0</v>
      </c>
      <c r="CE416" s="9">
        <v>0</v>
      </c>
      <c r="CF416" s="9">
        <v>0</v>
      </c>
      <c r="CG416" s="9">
        <v>0</v>
      </c>
      <c r="CH416" s="9">
        <v>0</v>
      </c>
      <c r="CI416" s="9">
        <v>0</v>
      </c>
      <c r="CJ416" s="9">
        <v>0</v>
      </c>
      <c r="CK416" s="9">
        <v>0</v>
      </c>
      <c r="CL416" s="9">
        <v>0</v>
      </c>
      <c r="CM416" s="9">
        <v>0</v>
      </c>
      <c r="CN416" s="9">
        <v>0</v>
      </c>
      <c r="CO416" s="9">
        <v>0</v>
      </c>
      <c r="CP416" s="9">
        <v>0</v>
      </c>
      <c r="CQ416" s="9">
        <v>0</v>
      </c>
      <c r="CR416" s="9">
        <v>0</v>
      </c>
      <c r="CS416" s="10">
        <v>0</v>
      </c>
    </row>
    <row r="417" spans="1:97" x14ac:dyDescent="0.35">
      <c r="A417" s="8" t="s">
        <v>413</v>
      </c>
      <c r="B417" s="9" t="s">
        <v>1200</v>
      </c>
      <c r="C417" s="9" t="s">
        <v>1201</v>
      </c>
      <c r="D417" s="9">
        <f t="shared" si="6"/>
        <v>0</v>
      </c>
      <c r="E417" s="9">
        <v>0</v>
      </c>
      <c r="F417" s="9">
        <v>0</v>
      </c>
      <c r="G417" s="9">
        <v>0</v>
      </c>
      <c r="H417" s="9">
        <v>0</v>
      </c>
      <c r="I417" s="9">
        <v>0</v>
      </c>
      <c r="J417" s="9">
        <v>0</v>
      </c>
      <c r="K417" s="9">
        <v>0</v>
      </c>
      <c r="L417" s="9">
        <v>0</v>
      </c>
      <c r="M417" s="9">
        <v>0</v>
      </c>
      <c r="N417" s="9">
        <v>0</v>
      </c>
      <c r="O417" s="9">
        <v>0</v>
      </c>
      <c r="P417" s="9">
        <v>0</v>
      </c>
      <c r="Q417" s="9">
        <v>0</v>
      </c>
      <c r="R417" s="9">
        <v>0</v>
      </c>
      <c r="S417" s="9">
        <v>0</v>
      </c>
      <c r="T417" s="9">
        <v>0</v>
      </c>
      <c r="U417" s="9">
        <v>0</v>
      </c>
      <c r="V417" s="9">
        <v>0</v>
      </c>
      <c r="W417" s="9">
        <v>0</v>
      </c>
      <c r="X417" s="9">
        <v>0</v>
      </c>
      <c r="Y417" s="9">
        <v>0</v>
      </c>
      <c r="Z417" s="9">
        <v>0</v>
      </c>
      <c r="AA417" s="9">
        <v>0</v>
      </c>
      <c r="AB417" s="9">
        <v>0</v>
      </c>
      <c r="AC417" s="9">
        <v>0</v>
      </c>
      <c r="AD417" s="9">
        <v>0</v>
      </c>
      <c r="AE417" s="9">
        <v>0</v>
      </c>
      <c r="AF417" s="9">
        <v>0</v>
      </c>
      <c r="AG417" s="9">
        <v>0</v>
      </c>
      <c r="AH417" s="9">
        <v>0</v>
      </c>
      <c r="AI417" s="9">
        <v>0</v>
      </c>
      <c r="AJ417" s="9">
        <v>0</v>
      </c>
      <c r="AK417" s="9">
        <v>0</v>
      </c>
      <c r="AL417" s="9">
        <v>0</v>
      </c>
      <c r="AM417" s="9">
        <v>0</v>
      </c>
      <c r="AN417" s="9">
        <v>0</v>
      </c>
      <c r="AO417" s="9">
        <v>0</v>
      </c>
      <c r="AP417" s="9">
        <v>0</v>
      </c>
      <c r="AQ417" s="9">
        <v>0</v>
      </c>
      <c r="AR417" s="9">
        <v>0</v>
      </c>
      <c r="AS417" s="9">
        <v>0</v>
      </c>
      <c r="AT417" s="9">
        <v>0</v>
      </c>
      <c r="AU417" s="9">
        <v>0</v>
      </c>
      <c r="AV417" s="9">
        <v>0</v>
      </c>
      <c r="AW417" s="9">
        <v>0</v>
      </c>
      <c r="AX417" s="9">
        <v>0</v>
      </c>
      <c r="AY417" s="9">
        <v>0</v>
      </c>
      <c r="AZ417" s="9">
        <v>0</v>
      </c>
      <c r="BA417" s="9">
        <v>0</v>
      </c>
      <c r="BB417" s="9">
        <v>0</v>
      </c>
      <c r="BC417" s="9">
        <v>0</v>
      </c>
      <c r="BD417" s="9">
        <v>0</v>
      </c>
      <c r="BE417" s="9">
        <v>0</v>
      </c>
      <c r="BF417" s="9">
        <v>0</v>
      </c>
      <c r="BG417" s="9">
        <v>0</v>
      </c>
      <c r="BH417" s="9">
        <v>0</v>
      </c>
      <c r="BI417" s="9">
        <v>0</v>
      </c>
      <c r="BJ417" s="9">
        <v>0</v>
      </c>
      <c r="BK417" s="9">
        <v>0</v>
      </c>
      <c r="BL417" s="9">
        <v>0</v>
      </c>
      <c r="BM417" s="9">
        <v>0</v>
      </c>
      <c r="BN417" s="9">
        <v>0</v>
      </c>
      <c r="BO417" s="9">
        <v>0</v>
      </c>
      <c r="BP417" s="9">
        <v>0</v>
      </c>
      <c r="BQ417" s="9">
        <v>0</v>
      </c>
      <c r="BR417" s="9">
        <v>0</v>
      </c>
      <c r="BS417" s="9">
        <v>0</v>
      </c>
      <c r="BT417" s="9">
        <v>0</v>
      </c>
      <c r="BU417" s="9">
        <v>0</v>
      </c>
      <c r="BV417" s="9">
        <v>0</v>
      </c>
      <c r="BW417" s="9">
        <v>0</v>
      </c>
      <c r="BX417" s="9">
        <v>0</v>
      </c>
      <c r="BY417" s="9">
        <v>0</v>
      </c>
      <c r="BZ417" s="9">
        <v>0</v>
      </c>
      <c r="CA417" s="9">
        <v>0</v>
      </c>
      <c r="CB417" s="9">
        <v>0</v>
      </c>
      <c r="CC417" s="9">
        <v>0</v>
      </c>
      <c r="CD417" s="9">
        <v>0</v>
      </c>
      <c r="CE417" s="9">
        <v>0</v>
      </c>
      <c r="CF417" s="9">
        <v>0</v>
      </c>
      <c r="CG417" s="9">
        <v>0</v>
      </c>
      <c r="CH417" s="9">
        <v>0</v>
      </c>
      <c r="CI417" s="9">
        <v>0</v>
      </c>
      <c r="CJ417" s="9">
        <v>0</v>
      </c>
      <c r="CK417" s="9">
        <v>0</v>
      </c>
      <c r="CL417" s="9">
        <v>0</v>
      </c>
      <c r="CM417" s="9">
        <v>0</v>
      </c>
      <c r="CN417" s="9">
        <v>0</v>
      </c>
      <c r="CO417" s="9">
        <v>0</v>
      </c>
      <c r="CP417" s="9">
        <v>0</v>
      </c>
      <c r="CQ417" s="9">
        <v>0</v>
      </c>
      <c r="CR417" s="9">
        <v>0</v>
      </c>
      <c r="CS417" s="10">
        <v>0</v>
      </c>
    </row>
    <row r="418" spans="1:97" x14ac:dyDescent="0.35">
      <c r="A418" s="8" t="s">
        <v>413</v>
      </c>
      <c r="B418" s="9" t="s">
        <v>1202</v>
      </c>
      <c r="C418" s="9" t="s">
        <v>1203</v>
      </c>
      <c r="D418" s="9">
        <f t="shared" si="6"/>
        <v>0</v>
      </c>
      <c r="E418" s="9">
        <v>0</v>
      </c>
      <c r="F418" s="9">
        <v>0</v>
      </c>
      <c r="G418" s="9">
        <v>0</v>
      </c>
      <c r="H418" s="9">
        <v>0</v>
      </c>
      <c r="I418" s="9">
        <v>0</v>
      </c>
      <c r="J418" s="9">
        <v>0</v>
      </c>
      <c r="K418" s="9">
        <v>0</v>
      </c>
      <c r="L418" s="9">
        <v>0</v>
      </c>
      <c r="M418" s="9">
        <v>0</v>
      </c>
      <c r="N418" s="9">
        <v>0</v>
      </c>
      <c r="O418" s="9">
        <v>0</v>
      </c>
      <c r="P418" s="9">
        <v>0</v>
      </c>
      <c r="Q418" s="9">
        <v>0</v>
      </c>
      <c r="R418" s="9">
        <v>0</v>
      </c>
      <c r="S418" s="9">
        <v>0</v>
      </c>
      <c r="T418" s="9">
        <v>0</v>
      </c>
      <c r="U418" s="9">
        <v>0</v>
      </c>
      <c r="V418" s="9">
        <v>0</v>
      </c>
      <c r="W418" s="9">
        <v>0</v>
      </c>
      <c r="X418" s="9">
        <v>0</v>
      </c>
      <c r="Y418" s="9">
        <v>0</v>
      </c>
      <c r="Z418" s="9">
        <v>0</v>
      </c>
      <c r="AA418" s="9">
        <v>0</v>
      </c>
      <c r="AB418" s="9">
        <v>0</v>
      </c>
      <c r="AC418" s="9">
        <v>0</v>
      </c>
      <c r="AD418" s="9">
        <v>0</v>
      </c>
      <c r="AE418" s="9">
        <v>0</v>
      </c>
      <c r="AF418" s="9">
        <v>0</v>
      </c>
      <c r="AG418" s="9">
        <v>0</v>
      </c>
      <c r="AH418" s="9">
        <v>0</v>
      </c>
      <c r="AI418" s="9">
        <v>0</v>
      </c>
      <c r="AJ418" s="9">
        <v>0</v>
      </c>
      <c r="AK418" s="9">
        <v>0</v>
      </c>
      <c r="AL418" s="9">
        <v>0</v>
      </c>
      <c r="AM418" s="9">
        <v>0</v>
      </c>
      <c r="AN418" s="9">
        <v>0</v>
      </c>
      <c r="AO418" s="9">
        <v>0</v>
      </c>
      <c r="AP418" s="9">
        <v>0</v>
      </c>
      <c r="AQ418" s="9">
        <v>0</v>
      </c>
      <c r="AR418" s="9">
        <v>0</v>
      </c>
      <c r="AS418" s="9">
        <v>0</v>
      </c>
      <c r="AT418" s="9">
        <v>0</v>
      </c>
      <c r="AU418" s="9">
        <v>0</v>
      </c>
      <c r="AV418" s="9">
        <v>0</v>
      </c>
      <c r="AW418" s="9">
        <v>0</v>
      </c>
      <c r="AX418" s="9">
        <v>0</v>
      </c>
      <c r="AY418" s="9">
        <v>0</v>
      </c>
      <c r="AZ418" s="9">
        <v>0</v>
      </c>
      <c r="BA418" s="9">
        <v>0</v>
      </c>
      <c r="BB418" s="9">
        <v>0</v>
      </c>
      <c r="BC418" s="9">
        <v>0</v>
      </c>
      <c r="BD418" s="9">
        <v>0</v>
      </c>
      <c r="BE418" s="9">
        <v>0</v>
      </c>
      <c r="BF418" s="9">
        <v>0</v>
      </c>
      <c r="BG418" s="9">
        <v>0</v>
      </c>
      <c r="BH418" s="9">
        <v>0</v>
      </c>
      <c r="BI418" s="9">
        <v>0</v>
      </c>
      <c r="BJ418" s="9">
        <v>0</v>
      </c>
      <c r="BK418" s="9">
        <v>0</v>
      </c>
      <c r="BL418" s="9">
        <v>0</v>
      </c>
      <c r="BM418" s="9">
        <v>0</v>
      </c>
      <c r="BN418" s="9">
        <v>0</v>
      </c>
      <c r="BO418" s="9">
        <v>0</v>
      </c>
      <c r="BP418" s="9">
        <v>0</v>
      </c>
      <c r="BQ418" s="9">
        <v>0</v>
      </c>
      <c r="BR418" s="9">
        <v>0</v>
      </c>
      <c r="BS418" s="9">
        <v>0</v>
      </c>
      <c r="BT418" s="9">
        <v>0</v>
      </c>
      <c r="BU418" s="9">
        <v>0</v>
      </c>
      <c r="BV418" s="9">
        <v>0</v>
      </c>
      <c r="BW418" s="9">
        <v>0</v>
      </c>
      <c r="BX418" s="9">
        <v>0</v>
      </c>
      <c r="BY418" s="9">
        <v>0</v>
      </c>
      <c r="BZ418" s="9">
        <v>0</v>
      </c>
      <c r="CA418" s="9">
        <v>0</v>
      </c>
      <c r="CB418" s="9">
        <v>0</v>
      </c>
      <c r="CC418" s="9">
        <v>0</v>
      </c>
      <c r="CD418" s="9">
        <v>0</v>
      </c>
      <c r="CE418" s="9">
        <v>0</v>
      </c>
      <c r="CF418" s="9">
        <v>0</v>
      </c>
      <c r="CG418" s="9">
        <v>0</v>
      </c>
      <c r="CH418" s="9">
        <v>0</v>
      </c>
      <c r="CI418" s="9">
        <v>0</v>
      </c>
      <c r="CJ418" s="9">
        <v>0</v>
      </c>
      <c r="CK418" s="9">
        <v>0</v>
      </c>
      <c r="CL418" s="9">
        <v>0</v>
      </c>
      <c r="CM418" s="9">
        <v>0</v>
      </c>
      <c r="CN418" s="9">
        <v>0</v>
      </c>
      <c r="CO418" s="9">
        <v>0</v>
      </c>
      <c r="CP418" s="9">
        <v>0</v>
      </c>
      <c r="CQ418" s="9">
        <v>0</v>
      </c>
      <c r="CR418" s="9">
        <v>0</v>
      </c>
      <c r="CS418" s="10">
        <v>0</v>
      </c>
    </row>
    <row r="419" spans="1:97" x14ac:dyDescent="0.35">
      <c r="A419" s="8" t="s">
        <v>413</v>
      </c>
      <c r="B419" s="9" t="s">
        <v>438</v>
      </c>
      <c r="C419" s="9" t="s">
        <v>1204</v>
      </c>
      <c r="D419" s="9">
        <f t="shared" si="6"/>
        <v>7</v>
      </c>
      <c r="E419" s="9">
        <v>0</v>
      </c>
      <c r="F419" s="9">
        <v>0</v>
      </c>
      <c r="G419" s="9">
        <v>0</v>
      </c>
      <c r="H419" s="9">
        <v>0</v>
      </c>
      <c r="I419" s="9">
        <v>0</v>
      </c>
      <c r="J419" s="9">
        <v>0</v>
      </c>
      <c r="K419" s="9">
        <v>0</v>
      </c>
      <c r="L419" s="9">
        <v>0</v>
      </c>
      <c r="M419" s="9">
        <v>0</v>
      </c>
      <c r="N419" s="9">
        <v>0</v>
      </c>
      <c r="O419" s="9">
        <v>0</v>
      </c>
      <c r="P419" s="9">
        <v>0</v>
      </c>
      <c r="Q419" s="9">
        <v>0</v>
      </c>
      <c r="R419" s="9">
        <v>0</v>
      </c>
      <c r="S419" s="9">
        <v>0</v>
      </c>
      <c r="T419" s="9">
        <v>0</v>
      </c>
      <c r="U419" s="9">
        <v>0</v>
      </c>
      <c r="V419" s="9">
        <v>0</v>
      </c>
      <c r="W419" s="9">
        <v>0</v>
      </c>
      <c r="X419" s="9">
        <v>0</v>
      </c>
      <c r="Y419" s="9">
        <v>0</v>
      </c>
      <c r="Z419" s="9">
        <v>0</v>
      </c>
      <c r="AA419" s="9">
        <v>0</v>
      </c>
      <c r="AB419" s="9">
        <v>0</v>
      </c>
      <c r="AC419" s="9">
        <v>0</v>
      </c>
      <c r="AD419" s="9">
        <v>0</v>
      </c>
      <c r="AE419" s="9">
        <v>0</v>
      </c>
      <c r="AF419" s="9">
        <v>0</v>
      </c>
      <c r="AG419" s="9">
        <v>0</v>
      </c>
      <c r="AH419" s="9">
        <v>0</v>
      </c>
      <c r="AI419" s="9">
        <v>0</v>
      </c>
      <c r="AJ419" s="9">
        <v>0</v>
      </c>
      <c r="AK419" s="9">
        <v>0</v>
      </c>
      <c r="AL419" s="9">
        <v>0</v>
      </c>
      <c r="AM419" s="9">
        <v>0</v>
      </c>
      <c r="AN419" s="9">
        <v>0</v>
      </c>
      <c r="AO419" s="9">
        <v>0</v>
      </c>
      <c r="AP419" s="9">
        <v>0</v>
      </c>
      <c r="AQ419" s="9">
        <v>0</v>
      </c>
      <c r="AR419" s="9">
        <v>0</v>
      </c>
      <c r="AS419" s="9">
        <v>0</v>
      </c>
      <c r="AT419" s="9">
        <v>0</v>
      </c>
      <c r="AU419" s="9">
        <v>0</v>
      </c>
      <c r="AV419" s="9">
        <v>0</v>
      </c>
      <c r="AW419" s="9">
        <v>0</v>
      </c>
      <c r="AX419" s="9">
        <v>0</v>
      </c>
      <c r="AY419" s="9">
        <v>0</v>
      </c>
      <c r="AZ419" s="9">
        <v>0</v>
      </c>
      <c r="BA419" s="9">
        <v>0</v>
      </c>
      <c r="BB419" s="9">
        <v>0</v>
      </c>
      <c r="BC419" s="9">
        <v>0</v>
      </c>
      <c r="BD419" s="9">
        <v>0</v>
      </c>
      <c r="BE419" s="9">
        <v>0</v>
      </c>
      <c r="BF419" s="9">
        <v>0</v>
      </c>
      <c r="BG419" s="9">
        <v>1</v>
      </c>
      <c r="BH419" s="9">
        <v>0</v>
      </c>
      <c r="BI419" s="9">
        <v>1</v>
      </c>
      <c r="BJ419" s="9">
        <v>1</v>
      </c>
      <c r="BK419" s="9">
        <v>1</v>
      </c>
      <c r="BL419" s="9">
        <v>1</v>
      </c>
      <c r="BM419" s="9">
        <v>1</v>
      </c>
      <c r="BN419" s="9">
        <v>0</v>
      </c>
      <c r="BO419" s="9">
        <v>0</v>
      </c>
      <c r="BP419" s="9">
        <v>0</v>
      </c>
      <c r="BQ419" s="9">
        <v>0</v>
      </c>
      <c r="BR419" s="9">
        <v>0</v>
      </c>
      <c r="BS419" s="9">
        <v>0</v>
      </c>
      <c r="BT419" s="9">
        <v>0</v>
      </c>
      <c r="BU419" s="9">
        <v>0</v>
      </c>
      <c r="BV419" s="9">
        <v>0</v>
      </c>
      <c r="BW419" s="9">
        <v>0</v>
      </c>
      <c r="BX419" s="9">
        <v>0</v>
      </c>
      <c r="BY419" s="9">
        <v>0</v>
      </c>
      <c r="BZ419" s="9">
        <v>0</v>
      </c>
      <c r="CA419" s="9">
        <v>0</v>
      </c>
      <c r="CB419" s="9">
        <v>0</v>
      </c>
      <c r="CC419" s="9">
        <v>0</v>
      </c>
      <c r="CD419" s="9">
        <v>0</v>
      </c>
      <c r="CE419" s="9">
        <v>0</v>
      </c>
      <c r="CF419" s="9">
        <v>0</v>
      </c>
      <c r="CG419" s="9">
        <v>0</v>
      </c>
      <c r="CH419" s="9">
        <v>0</v>
      </c>
      <c r="CI419" s="9">
        <v>0</v>
      </c>
      <c r="CJ419" s="9">
        <v>0</v>
      </c>
      <c r="CK419" s="9">
        <v>0</v>
      </c>
      <c r="CL419" s="9">
        <v>1</v>
      </c>
      <c r="CM419" s="9">
        <v>0</v>
      </c>
      <c r="CN419" s="9">
        <v>0</v>
      </c>
      <c r="CO419" s="9">
        <v>0</v>
      </c>
      <c r="CP419" s="9">
        <v>0</v>
      </c>
      <c r="CQ419" s="9">
        <v>0</v>
      </c>
      <c r="CR419" s="9">
        <v>0</v>
      </c>
      <c r="CS419" s="10">
        <v>0</v>
      </c>
    </row>
    <row r="420" spans="1:97" x14ac:dyDescent="0.35">
      <c r="A420" s="8" t="s">
        <v>413</v>
      </c>
      <c r="B420" s="9" t="s">
        <v>440</v>
      </c>
      <c r="C420" s="9" t="s">
        <v>1205</v>
      </c>
      <c r="D420" s="9">
        <f t="shared" si="6"/>
        <v>19</v>
      </c>
      <c r="E420" s="9">
        <v>1</v>
      </c>
      <c r="F420" s="9">
        <v>0</v>
      </c>
      <c r="G420" s="9">
        <v>0</v>
      </c>
      <c r="H420" s="9">
        <v>0</v>
      </c>
      <c r="I420" s="9">
        <v>0</v>
      </c>
      <c r="J420" s="9">
        <v>0</v>
      </c>
      <c r="K420" s="9">
        <v>0</v>
      </c>
      <c r="L420" s="9">
        <v>0</v>
      </c>
      <c r="M420" s="9">
        <v>0</v>
      </c>
      <c r="N420" s="9">
        <v>0</v>
      </c>
      <c r="O420" s="9">
        <v>0</v>
      </c>
      <c r="P420" s="9">
        <v>0</v>
      </c>
      <c r="Q420" s="9">
        <v>0</v>
      </c>
      <c r="R420" s="9">
        <v>0</v>
      </c>
      <c r="S420" s="9">
        <v>0</v>
      </c>
      <c r="T420" s="9">
        <v>0</v>
      </c>
      <c r="U420" s="9">
        <v>0</v>
      </c>
      <c r="V420" s="9">
        <v>0</v>
      </c>
      <c r="W420" s="9">
        <v>0</v>
      </c>
      <c r="X420" s="9">
        <v>0</v>
      </c>
      <c r="Y420" s="9">
        <v>0</v>
      </c>
      <c r="Z420" s="9">
        <v>0</v>
      </c>
      <c r="AA420" s="9">
        <v>0</v>
      </c>
      <c r="AB420" s="9">
        <v>0</v>
      </c>
      <c r="AC420" s="9">
        <v>0</v>
      </c>
      <c r="AD420" s="9">
        <v>1</v>
      </c>
      <c r="AE420" s="9">
        <v>1</v>
      </c>
      <c r="AF420" s="9">
        <v>0</v>
      </c>
      <c r="AG420" s="9">
        <v>0</v>
      </c>
      <c r="AH420" s="9">
        <v>0</v>
      </c>
      <c r="AI420" s="9">
        <v>0</v>
      </c>
      <c r="AJ420" s="9">
        <v>0</v>
      </c>
      <c r="AK420" s="9">
        <v>0</v>
      </c>
      <c r="AL420" s="9">
        <v>0</v>
      </c>
      <c r="AM420" s="9">
        <v>0</v>
      </c>
      <c r="AN420" s="9">
        <v>0</v>
      </c>
      <c r="AO420" s="9">
        <v>0</v>
      </c>
      <c r="AP420" s="9">
        <v>0</v>
      </c>
      <c r="AQ420" s="9">
        <v>0</v>
      </c>
      <c r="AR420" s="9">
        <v>0</v>
      </c>
      <c r="AS420" s="9">
        <v>1</v>
      </c>
      <c r="AT420" s="9">
        <v>1</v>
      </c>
      <c r="AU420" s="9">
        <v>0</v>
      </c>
      <c r="AV420" s="9">
        <v>0</v>
      </c>
      <c r="AW420" s="9">
        <v>0</v>
      </c>
      <c r="AX420" s="9">
        <v>0</v>
      </c>
      <c r="AY420" s="9">
        <v>0</v>
      </c>
      <c r="AZ420" s="9">
        <v>0</v>
      </c>
      <c r="BA420" s="9">
        <v>0</v>
      </c>
      <c r="BB420" s="9">
        <v>0</v>
      </c>
      <c r="BC420" s="9">
        <v>0</v>
      </c>
      <c r="BD420" s="9">
        <v>0</v>
      </c>
      <c r="BE420" s="9">
        <v>0</v>
      </c>
      <c r="BF420" s="9">
        <v>0</v>
      </c>
      <c r="BG420" s="9">
        <v>0</v>
      </c>
      <c r="BH420" s="9">
        <v>0</v>
      </c>
      <c r="BI420" s="9">
        <v>0</v>
      </c>
      <c r="BJ420" s="9">
        <v>0</v>
      </c>
      <c r="BK420" s="9">
        <v>0</v>
      </c>
      <c r="BL420" s="9">
        <v>0</v>
      </c>
      <c r="BM420" s="9">
        <v>0</v>
      </c>
      <c r="BN420" s="9">
        <v>0</v>
      </c>
      <c r="BO420" s="9">
        <v>0</v>
      </c>
      <c r="BP420" s="9">
        <v>0</v>
      </c>
      <c r="BQ420" s="9">
        <v>0</v>
      </c>
      <c r="BR420" s="9">
        <v>0</v>
      </c>
      <c r="BS420" s="9">
        <v>0</v>
      </c>
      <c r="BT420" s="9">
        <v>0</v>
      </c>
      <c r="BU420" s="9">
        <v>0</v>
      </c>
      <c r="BV420" s="9">
        <v>1</v>
      </c>
      <c r="BW420" s="9">
        <v>1</v>
      </c>
      <c r="BX420" s="9">
        <v>0</v>
      </c>
      <c r="BY420" s="9">
        <v>1</v>
      </c>
      <c r="BZ420" s="9">
        <v>0</v>
      </c>
      <c r="CA420" s="9">
        <v>0</v>
      </c>
      <c r="CB420" s="9">
        <v>0</v>
      </c>
      <c r="CC420" s="9">
        <v>0</v>
      </c>
      <c r="CD420" s="9">
        <v>0</v>
      </c>
      <c r="CE420" s="9">
        <v>0</v>
      </c>
      <c r="CF420" s="9">
        <v>0</v>
      </c>
      <c r="CG420" s="9">
        <v>0</v>
      </c>
      <c r="CH420" s="9">
        <v>0</v>
      </c>
      <c r="CI420" s="9">
        <v>1</v>
      </c>
      <c r="CJ420" s="9">
        <v>3</v>
      </c>
      <c r="CK420" s="9">
        <v>1</v>
      </c>
      <c r="CL420" s="9">
        <v>0</v>
      </c>
      <c r="CM420" s="9">
        <v>0</v>
      </c>
      <c r="CN420" s="9">
        <v>0</v>
      </c>
      <c r="CO420" s="9">
        <v>1</v>
      </c>
      <c r="CP420" s="9">
        <v>1</v>
      </c>
      <c r="CQ420" s="9">
        <v>0</v>
      </c>
      <c r="CR420" s="9">
        <v>2</v>
      </c>
      <c r="CS420" s="10">
        <v>2</v>
      </c>
    </row>
    <row r="421" spans="1:97" x14ac:dyDescent="0.35">
      <c r="A421" s="8" t="s">
        <v>413</v>
      </c>
      <c r="B421" s="9" t="s">
        <v>442</v>
      </c>
      <c r="C421" s="9" t="s">
        <v>1206</v>
      </c>
      <c r="D421" s="9">
        <f t="shared" si="6"/>
        <v>88</v>
      </c>
      <c r="E421" s="9">
        <v>0</v>
      </c>
      <c r="F421" s="9">
        <v>0</v>
      </c>
      <c r="G421" s="9">
        <v>1</v>
      </c>
      <c r="H421" s="9">
        <v>0</v>
      </c>
      <c r="I421" s="9">
        <v>0</v>
      </c>
      <c r="J421" s="9">
        <v>0</v>
      </c>
      <c r="K421" s="9">
        <v>0</v>
      </c>
      <c r="L421" s="9">
        <v>0</v>
      </c>
      <c r="M421" s="9">
        <v>0</v>
      </c>
      <c r="N421" s="9">
        <v>0</v>
      </c>
      <c r="O421" s="9">
        <v>0</v>
      </c>
      <c r="P421" s="9">
        <v>0</v>
      </c>
      <c r="Q421" s="9">
        <v>0</v>
      </c>
      <c r="R421" s="9">
        <v>0</v>
      </c>
      <c r="S421" s="9">
        <v>0</v>
      </c>
      <c r="T421" s="9">
        <v>1</v>
      </c>
      <c r="U421" s="9">
        <v>0</v>
      </c>
      <c r="V421" s="9">
        <v>1</v>
      </c>
      <c r="W421" s="9">
        <v>0</v>
      </c>
      <c r="X421" s="9">
        <v>0</v>
      </c>
      <c r="Y421" s="9">
        <v>0</v>
      </c>
      <c r="Z421" s="9">
        <v>0</v>
      </c>
      <c r="AA421" s="9">
        <v>0</v>
      </c>
      <c r="AB421" s="9">
        <v>0</v>
      </c>
      <c r="AC421" s="9">
        <v>1</v>
      </c>
      <c r="AD421" s="9">
        <v>1</v>
      </c>
      <c r="AE421" s="9">
        <v>0</v>
      </c>
      <c r="AF421" s="9">
        <v>0</v>
      </c>
      <c r="AG421" s="9">
        <v>0</v>
      </c>
      <c r="AH421" s="9">
        <v>0</v>
      </c>
      <c r="AI421" s="9">
        <v>0</v>
      </c>
      <c r="AJ421" s="9">
        <v>0</v>
      </c>
      <c r="AK421" s="9">
        <v>0</v>
      </c>
      <c r="AL421" s="9">
        <v>0</v>
      </c>
      <c r="AM421" s="9">
        <v>0</v>
      </c>
      <c r="AN421" s="9">
        <v>0</v>
      </c>
      <c r="AO421" s="9">
        <v>0</v>
      </c>
      <c r="AP421" s="9">
        <v>0</v>
      </c>
      <c r="AQ421" s="9">
        <v>0</v>
      </c>
      <c r="AR421" s="9">
        <v>0</v>
      </c>
      <c r="AS421" s="9">
        <v>0</v>
      </c>
      <c r="AT421" s="9">
        <v>0</v>
      </c>
      <c r="AU421" s="9">
        <v>0</v>
      </c>
      <c r="AV421" s="9">
        <v>0</v>
      </c>
      <c r="AW421" s="9">
        <v>0</v>
      </c>
      <c r="AX421" s="9">
        <v>0</v>
      </c>
      <c r="AY421" s="9">
        <v>0</v>
      </c>
      <c r="AZ421" s="9">
        <v>0</v>
      </c>
      <c r="BA421" s="9">
        <v>0</v>
      </c>
      <c r="BB421" s="9">
        <v>0</v>
      </c>
      <c r="BC421" s="9">
        <v>0</v>
      </c>
      <c r="BD421" s="9">
        <v>0</v>
      </c>
      <c r="BE421" s="9">
        <v>0</v>
      </c>
      <c r="BF421" s="9">
        <v>1</v>
      </c>
      <c r="BG421" s="9">
        <v>0</v>
      </c>
      <c r="BH421" s="9">
        <v>1</v>
      </c>
      <c r="BI421" s="9">
        <v>0</v>
      </c>
      <c r="BJ421" s="9">
        <v>0</v>
      </c>
      <c r="BK421" s="9">
        <v>1</v>
      </c>
      <c r="BL421" s="9">
        <v>1</v>
      </c>
      <c r="BM421" s="9">
        <v>1</v>
      </c>
      <c r="BN421" s="9">
        <v>0</v>
      </c>
      <c r="BO421" s="9">
        <v>0</v>
      </c>
      <c r="BP421" s="9">
        <v>0</v>
      </c>
      <c r="BQ421" s="9">
        <v>0</v>
      </c>
      <c r="BR421" s="9">
        <v>1</v>
      </c>
      <c r="BS421" s="9">
        <v>0</v>
      </c>
      <c r="BT421" s="9">
        <v>1</v>
      </c>
      <c r="BU421" s="9">
        <v>0</v>
      </c>
      <c r="BV421" s="9">
        <v>0</v>
      </c>
      <c r="BW421" s="9">
        <v>1</v>
      </c>
      <c r="BX421" s="9">
        <v>0</v>
      </c>
      <c r="BY421" s="9">
        <v>1</v>
      </c>
      <c r="BZ421" s="9">
        <v>3</v>
      </c>
      <c r="CA421" s="9">
        <v>0</v>
      </c>
      <c r="CB421" s="9">
        <v>7</v>
      </c>
      <c r="CC421" s="9">
        <v>3</v>
      </c>
      <c r="CD421" s="9">
        <v>0</v>
      </c>
      <c r="CE421" s="9">
        <v>8</v>
      </c>
      <c r="CF421" s="9">
        <v>1</v>
      </c>
      <c r="CG421" s="9">
        <v>4</v>
      </c>
      <c r="CH421" s="9">
        <v>5</v>
      </c>
      <c r="CI421" s="9">
        <v>10</v>
      </c>
      <c r="CJ421" s="9">
        <v>6</v>
      </c>
      <c r="CK421" s="9">
        <v>6</v>
      </c>
      <c r="CL421" s="9">
        <v>1</v>
      </c>
      <c r="CM421" s="9">
        <v>6</v>
      </c>
      <c r="CN421" s="9">
        <v>2</v>
      </c>
      <c r="CO421" s="9">
        <v>3</v>
      </c>
      <c r="CP421" s="9">
        <v>1</v>
      </c>
      <c r="CQ421" s="9">
        <v>5</v>
      </c>
      <c r="CR421" s="9">
        <v>2</v>
      </c>
      <c r="CS421" s="10">
        <v>1</v>
      </c>
    </row>
    <row r="422" spans="1:97" x14ac:dyDescent="0.35">
      <c r="A422" s="8" t="s">
        <v>413</v>
      </c>
      <c r="B422" s="9" t="s">
        <v>444</v>
      </c>
      <c r="C422" s="9" t="s">
        <v>1207</v>
      </c>
      <c r="D422" s="9">
        <f t="shared" si="6"/>
        <v>9</v>
      </c>
      <c r="E422" s="9">
        <v>0</v>
      </c>
      <c r="F422" s="9">
        <v>0</v>
      </c>
      <c r="G422" s="9">
        <v>0</v>
      </c>
      <c r="H422" s="9">
        <v>0</v>
      </c>
      <c r="I422" s="9">
        <v>0</v>
      </c>
      <c r="J422" s="9">
        <v>0</v>
      </c>
      <c r="K422" s="9">
        <v>1</v>
      </c>
      <c r="L422" s="9">
        <v>0</v>
      </c>
      <c r="M422" s="9">
        <v>0</v>
      </c>
      <c r="N422" s="9">
        <v>0</v>
      </c>
      <c r="O422" s="9">
        <v>0</v>
      </c>
      <c r="P422" s="9">
        <v>0</v>
      </c>
      <c r="Q422" s="9">
        <v>0</v>
      </c>
      <c r="R422" s="9">
        <v>0</v>
      </c>
      <c r="S422" s="9">
        <v>0</v>
      </c>
      <c r="T422" s="9">
        <v>0</v>
      </c>
      <c r="U422" s="9">
        <v>0</v>
      </c>
      <c r="V422" s="9">
        <v>0</v>
      </c>
      <c r="W422" s="9">
        <v>0</v>
      </c>
      <c r="X422" s="9">
        <v>0</v>
      </c>
      <c r="Y422" s="9">
        <v>0</v>
      </c>
      <c r="Z422" s="9">
        <v>0</v>
      </c>
      <c r="AA422" s="9">
        <v>0</v>
      </c>
      <c r="AB422" s="9">
        <v>0</v>
      </c>
      <c r="AC422" s="9">
        <v>0</v>
      </c>
      <c r="AD422" s="9">
        <v>0</v>
      </c>
      <c r="AE422" s="9">
        <v>0</v>
      </c>
      <c r="AF422" s="9">
        <v>0</v>
      </c>
      <c r="AG422" s="9">
        <v>0</v>
      </c>
      <c r="AH422" s="9">
        <v>0</v>
      </c>
      <c r="AI422" s="9">
        <v>0</v>
      </c>
      <c r="AJ422" s="9">
        <v>0</v>
      </c>
      <c r="AK422" s="9">
        <v>0</v>
      </c>
      <c r="AL422" s="9">
        <v>0</v>
      </c>
      <c r="AM422" s="9">
        <v>0</v>
      </c>
      <c r="AN422" s="9">
        <v>0</v>
      </c>
      <c r="AO422" s="9">
        <v>0</v>
      </c>
      <c r="AP422" s="9">
        <v>0</v>
      </c>
      <c r="AQ422" s="9">
        <v>0</v>
      </c>
      <c r="AR422" s="9">
        <v>0</v>
      </c>
      <c r="AS422" s="9">
        <v>0</v>
      </c>
      <c r="AT422" s="9">
        <v>0</v>
      </c>
      <c r="AU422" s="9">
        <v>0</v>
      </c>
      <c r="AV422" s="9">
        <v>0</v>
      </c>
      <c r="AW422" s="9">
        <v>0</v>
      </c>
      <c r="AX422" s="9">
        <v>0</v>
      </c>
      <c r="AY422" s="9">
        <v>0</v>
      </c>
      <c r="AZ422" s="9">
        <v>0</v>
      </c>
      <c r="BA422" s="9">
        <v>0</v>
      </c>
      <c r="BB422" s="9">
        <v>1</v>
      </c>
      <c r="BC422" s="9">
        <v>0</v>
      </c>
      <c r="BD422" s="9">
        <v>0</v>
      </c>
      <c r="BE422" s="9">
        <v>0</v>
      </c>
      <c r="BF422" s="9">
        <v>0</v>
      </c>
      <c r="BG422" s="9">
        <v>0</v>
      </c>
      <c r="BH422" s="9">
        <v>0</v>
      </c>
      <c r="BI422" s="9">
        <v>0</v>
      </c>
      <c r="BJ422" s="9">
        <v>0</v>
      </c>
      <c r="BK422" s="9">
        <v>0</v>
      </c>
      <c r="BL422" s="9">
        <v>0</v>
      </c>
      <c r="BM422" s="9">
        <v>0</v>
      </c>
      <c r="BN422" s="9">
        <v>0</v>
      </c>
      <c r="BO422" s="9">
        <v>0</v>
      </c>
      <c r="BP422" s="9">
        <v>0</v>
      </c>
      <c r="BQ422" s="9">
        <v>0</v>
      </c>
      <c r="BR422" s="9">
        <v>0</v>
      </c>
      <c r="BS422" s="9">
        <v>0</v>
      </c>
      <c r="BT422" s="9">
        <v>0</v>
      </c>
      <c r="BU422" s="9">
        <v>0</v>
      </c>
      <c r="BV422" s="9">
        <v>0</v>
      </c>
      <c r="BW422" s="9">
        <v>0</v>
      </c>
      <c r="BX422" s="9">
        <v>0</v>
      </c>
      <c r="BY422" s="9">
        <v>0</v>
      </c>
      <c r="BZ422" s="9">
        <v>0</v>
      </c>
      <c r="CA422" s="9">
        <v>1</v>
      </c>
      <c r="CB422" s="9">
        <v>0</v>
      </c>
      <c r="CC422" s="9">
        <v>0</v>
      </c>
      <c r="CD422" s="9">
        <v>0</v>
      </c>
      <c r="CE422" s="9">
        <v>0</v>
      </c>
      <c r="CF422" s="9">
        <v>0</v>
      </c>
      <c r="CG422" s="9">
        <v>0</v>
      </c>
      <c r="CH422" s="9">
        <v>0</v>
      </c>
      <c r="CI422" s="9">
        <v>0</v>
      </c>
      <c r="CJ422" s="9">
        <v>0</v>
      </c>
      <c r="CK422" s="9">
        <v>1</v>
      </c>
      <c r="CL422" s="9">
        <v>0</v>
      </c>
      <c r="CM422" s="9">
        <v>1</v>
      </c>
      <c r="CN422" s="9">
        <v>1</v>
      </c>
      <c r="CO422" s="9">
        <v>0</v>
      </c>
      <c r="CP422" s="9">
        <v>1</v>
      </c>
      <c r="CQ422" s="9">
        <v>2</v>
      </c>
      <c r="CR422" s="9">
        <v>0</v>
      </c>
      <c r="CS422" s="10">
        <v>0</v>
      </c>
    </row>
    <row r="423" spans="1:97" x14ac:dyDescent="0.35">
      <c r="A423" s="8" t="s">
        <v>413</v>
      </c>
      <c r="B423" s="9" t="s">
        <v>446</v>
      </c>
      <c r="C423" s="9" t="s">
        <v>1208</v>
      </c>
      <c r="D423" s="9">
        <f t="shared" si="6"/>
        <v>290</v>
      </c>
      <c r="E423" s="9">
        <v>1</v>
      </c>
      <c r="F423" s="9">
        <v>0</v>
      </c>
      <c r="G423" s="9">
        <v>0</v>
      </c>
      <c r="H423" s="9">
        <v>2</v>
      </c>
      <c r="I423" s="9">
        <v>3</v>
      </c>
      <c r="J423" s="9">
        <v>0</v>
      </c>
      <c r="K423" s="9">
        <v>0</v>
      </c>
      <c r="L423" s="9">
        <v>0</v>
      </c>
      <c r="M423" s="9">
        <v>0</v>
      </c>
      <c r="N423" s="9">
        <v>0</v>
      </c>
      <c r="O423" s="9">
        <v>0</v>
      </c>
      <c r="P423" s="9">
        <v>1</v>
      </c>
      <c r="Q423" s="9">
        <v>0</v>
      </c>
      <c r="R423" s="9">
        <v>2</v>
      </c>
      <c r="S423" s="9">
        <v>0</v>
      </c>
      <c r="T423" s="9">
        <v>1</v>
      </c>
      <c r="U423" s="9">
        <v>0</v>
      </c>
      <c r="V423" s="9">
        <v>0</v>
      </c>
      <c r="W423" s="9">
        <v>0</v>
      </c>
      <c r="X423" s="9">
        <v>0</v>
      </c>
      <c r="Y423" s="9">
        <v>0</v>
      </c>
      <c r="Z423" s="9">
        <v>1</v>
      </c>
      <c r="AA423" s="9">
        <v>1</v>
      </c>
      <c r="AB423" s="9">
        <v>2</v>
      </c>
      <c r="AC423" s="9">
        <v>0</v>
      </c>
      <c r="AD423" s="9">
        <v>0</v>
      </c>
      <c r="AE423" s="9">
        <v>1</v>
      </c>
      <c r="AF423" s="9">
        <v>0</v>
      </c>
      <c r="AG423" s="9">
        <v>0</v>
      </c>
      <c r="AH423" s="9">
        <v>0</v>
      </c>
      <c r="AI423" s="9">
        <v>0</v>
      </c>
      <c r="AJ423" s="9">
        <v>0</v>
      </c>
      <c r="AK423" s="9">
        <v>2</v>
      </c>
      <c r="AL423" s="9">
        <v>0</v>
      </c>
      <c r="AM423" s="9">
        <v>0</v>
      </c>
      <c r="AN423" s="9">
        <v>2</v>
      </c>
      <c r="AO423" s="9">
        <v>2</v>
      </c>
      <c r="AP423" s="9">
        <v>0</v>
      </c>
      <c r="AQ423" s="9">
        <v>0</v>
      </c>
      <c r="AR423" s="9">
        <v>10</v>
      </c>
      <c r="AS423" s="9">
        <v>0</v>
      </c>
      <c r="AT423" s="9">
        <v>3</v>
      </c>
      <c r="AU423" s="9">
        <v>1</v>
      </c>
      <c r="AV423" s="9">
        <v>0</v>
      </c>
      <c r="AW423" s="9">
        <v>3</v>
      </c>
      <c r="AX423" s="9">
        <v>2</v>
      </c>
      <c r="AY423" s="9">
        <v>3</v>
      </c>
      <c r="AZ423" s="9">
        <v>0</v>
      </c>
      <c r="BA423" s="9">
        <v>5</v>
      </c>
      <c r="BB423" s="9">
        <v>1</v>
      </c>
      <c r="BC423" s="9">
        <v>3</v>
      </c>
      <c r="BD423" s="9">
        <v>0</v>
      </c>
      <c r="BE423" s="9">
        <v>3</v>
      </c>
      <c r="BF423" s="9">
        <v>6</v>
      </c>
      <c r="BG423" s="9">
        <v>1</v>
      </c>
      <c r="BH423" s="9">
        <v>5</v>
      </c>
      <c r="BI423" s="9">
        <v>2</v>
      </c>
      <c r="BJ423" s="9">
        <v>1</v>
      </c>
      <c r="BK423" s="9">
        <v>4</v>
      </c>
      <c r="BL423" s="9">
        <v>1</v>
      </c>
      <c r="BM423" s="9">
        <v>3</v>
      </c>
      <c r="BN423" s="9">
        <v>3</v>
      </c>
      <c r="BO423" s="9">
        <v>5</v>
      </c>
      <c r="BP423" s="9">
        <v>2</v>
      </c>
      <c r="BQ423" s="9">
        <v>2</v>
      </c>
      <c r="BR423" s="9">
        <v>4</v>
      </c>
      <c r="BS423" s="9">
        <v>3</v>
      </c>
      <c r="BT423" s="9">
        <v>3</v>
      </c>
      <c r="BU423" s="9">
        <v>12</v>
      </c>
      <c r="BV423" s="9">
        <v>7</v>
      </c>
      <c r="BW423" s="9">
        <v>8</v>
      </c>
      <c r="BX423" s="9">
        <v>9</v>
      </c>
      <c r="BY423" s="9">
        <v>5</v>
      </c>
      <c r="BZ423" s="9">
        <v>12</v>
      </c>
      <c r="CA423" s="9">
        <v>13</v>
      </c>
      <c r="CB423" s="9">
        <v>13</v>
      </c>
      <c r="CC423" s="9">
        <v>1</v>
      </c>
      <c r="CD423" s="9">
        <v>6</v>
      </c>
      <c r="CE423" s="9">
        <v>5</v>
      </c>
      <c r="CF423" s="9">
        <v>8</v>
      </c>
      <c r="CG423" s="9">
        <v>1</v>
      </c>
      <c r="CH423" s="9">
        <v>12</v>
      </c>
      <c r="CI423" s="9">
        <v>21</v>
      </c>
      <c r="CJ423" s="9">
        <v>4</v>
      </c>
      <c r="CK423" s="9">
        <v>7</v>
      </c>
      <c r="CL423" s="9">
        <v>5</v>
      </c>
      <c r="CM423" s="9">
        <v>4</v>
      </c>
      <c r="CN423" s="9">
        <v>8</v>
      </c>
      <c r="CO423" s="9">
        <v>8</v>
      </c>
      <c r="CP423" s="9">
        <v>4</v>
      </c>
      <c r="CQ423" s="9">
        <v>3</v>
      </c>
      <c r="CR423" s="9">
        <v>7</v>
      </c>
      <c r="CS423" s="10">
        <v>7</v>
      </c>
    </row>
    <row r="424" spans="1:97" x14ac:dyDescent="0.35">
      <c r="A424" s="8" t="s">
        <v>413</v>
      </c>
      <c r="B424" s="9" t="s">
        <v>448</v>
      </c>
      <c r="C424" s="9" t="s">
        <v>1209</v>
      </c>
      <c r="D424" s="9">
        <f t="shared" si="6"/>
        <v>169</v>
      </c>
      <c r="E424" s="9">
        <v>0</v>
      </c>
      <c r="F424" s="9">
        <v>0</v>
      </c>
      <c r="G424" s="9">
        <v>0</v>
      </c>
      <c r="H424" s="9">
        <v>0</v>
      </c>
      <c r="I424" s="9">
        <v>0</v>
      </c>
      <c r="J424" s="9">
        <v>0</v>
      </c>
      <c r="K424" s="9">
        <v>0</v>
      </c>
      <c r="L424" s="9">
        <v>0</v>
      </c>
      <c r="M424" s="9">
        <v>0</v>
      </c>
      <c r="N424" s="9">
        <v>0</v>
      </c>
      <c r="O424" s="9">
        <v>0</v>
      </c>
      <c r="P424" s="9">
        <v>0</v>
      </c>
      <c r="Q424" s="9">
        <v>0</v>
      </c>
      <c r="R424" s="9">
        <v>0</v>
      </c>
      <c r="S424" s="9">
        <v>0</v>
      </c>
      <c r="T424" s="9">
        <v>0</v>
      </c>
      <c r="U424" s="9">
        <v>0</v>
      </c>
      <c r="V424" s="9">
        <v>0</v>
      </c>
      <c r="W424" s="9">
        <v>0</v>
      </c>
      <c r="X424" s="9">
        <v>0</v>
      </c>
      <c r="Y424" s="9">
        <v>0</v>
      </c>
      <c r="Z424" s="9">
        <v>0</v>
      </c>
      <c r="AA424" s="9">
        <v>0</v>
      </c>
      <c r="AB424" s="9">
        <v>0</v>
      </c>
      <c r="AC424" s="9">
        <v>0</v>
      </c>
      <c r="AD424" s="9">
        <v>0</v>
      </c>
      <c r="AE424" s="9">
        <v>0</v>
      </c>
      <c r="AF424" s="9">
        <v>0</v>
      </c>
      <c r="AG424" s="9">
        <v>0</v>
      </c>
      <c r="AH424" s="9">
        <v>0</v>
      </c>
      <c r="AI424" s="9">
        <v>1</v>
      </c>
      <c r="AJ424" s="9">
        <v>0</v>
      </c>
      <c r="AK424" s="9">
        <v>1</v>
      </c>
      <c r="AL424" s="9">
        <v>0</v>
      </c>
      <c r="AM424" s="9">
        <v>1</v>
      </c>
      <c r="AN424" s="9">
        <v>0</v>
      </c>
      <c r="AO424" s="9">
        <v>0</v>
      </c>
      <c r="AP424" s="9">
        <v>0</v>
      </c>
      <c r="AQ424" s="9">
        <v>3</v>
      </c>
      <c r="AR424" s="9">
        <v>3</v>
      </c>
      <c r="AS424" s="9">
        <v>1</v>
      </c>
      <c r="AT424" s="9">
        <v>1</v>
      </c>
      <c r="AU424" s="9">
        <v>1</v>
      </c>
      <c r="AV424" s="9">
        <v>1</v>
      </c>
      <c r="AW424" s="9">
        <v>0</v>
      </c>
      <c r="AX424" s="9">
        <v>0</v>
      </c>
      <c r="AY424" s="9">
        <v>0</v>
      </c>
      <c r="AZ424" s="9">
        <v>0</v>
      </c>
      <c r="BA424" s="9">
        <v>0</v>
      </c>
      <c r="BB424" s="9">
        <v>0</v>
      </c>
      <c r="BC424" s="9">
        <v>0</v>
      </c>
      <c r="BD424" s="9">
        <v>0</v>
      </c>
      <c r="BE424" s="9">
        <v>0</v>
      </c>
      <c r="BF424" s="9">
        <v>1</v>
      </c>
      <c r="BG424" s="9">
        <v>1</v>
      </c>
      <c r="BH424" s="9">
        <v>1</v>
      </c>
      <c r="BI424" s="9">
        <v>1</v>
      </c>
      <c r="BJ424" s="9">
        <v>0</v>
      </c>
      <c r="BK424" s="9">
        <v>2</v>
      </c>
      <c r="BL424" s="9">
        <v>0</v>
      </c>
      <c r="BM424" s="9">
        <v>0</v>
      </c>
      <c r="BN424" s="9">
        <v>0</v>
      </c>
      <c r="BO424" s="9">
        <v>1</v>
      </c>
      <c r="BP424" s="9">
        <v>1</v>
      </c>
      <c r="BQ424" s="9">
        <v>0</v>
      </c>
      <c r="BR424" s="9">
        <v>0</v>
      </c>
      <c r="BS424" s="9">
        <v>2</v>
      </c>
      <c r="BT424" s="9">
        <v>3</v>
      </c>
      <c r="BU424" s="9">
        <v>3</v>
      </c>
      <c r="BV424" s="9">
        <v>3</v>
      </c>
      <c r="BW424" s="9">
        <v>2</v>
      </c>
      <c r="BX424" s="9">
        <v>1</v>
      </c>
      <c r="BY424" s="9">
        <v>5</v>
      </c>
      <c r="BZ424" s="9">
        <v>4</v>
      </c>
      <c r="CA424" s="9">
        <v>1</v>
      </c>
      <c r="CB424" s="9">
        <v>4</v>
      </c>
      <c r="CC424" s="9">
        <v>7</v>
      </c>
      <c r="CD424" s="9">
        <v>3</v>
      </c>
      <c r="CE424" s="9">
        <v>3</v>
      </c>
      <c r="CF424" s="9">
        <v>5</v>
      </c>
      <c r="CG424" s="9">
        <v>6</v>
      </c>
      <c r="CH424" s="9">
        <v>7</v>
      </c>
      <c r="CI424" s="9">
        <v>8</v>
      </c>
      <c r="CJ424" s="9">
        <v>14</v>
      </c>
      <c r="CK424" s="9">
        <v>5</v>
      </c>
      <c r="CL424" s="9">
        <v>5</v>
      </c>
      <c r="CM424" s="9">
        <v>10</v>
      </c>
      <c r="CN424" s="9">
        <v>14</v>
      </c>
      <c r="CO424" s="9">
        <v>6</v>
      </c>
      <c r="CP424" s="9">
        <v>5</v>
      </c>
      <c r="CQ424" s="9">
        <v>8</v>
      </c>
      <c r="CR424" s="9">
        <v>6</v>
      </c>
      <c r="CS424" s="10">
        <v>8</v>
      </c>
    </row>
    <row r="425" spans="1:97" x14ac:dyDescent="0.35">
      <c r="A425" s="8" t="s">
        <v>413</v>
      </c>
      <c r="B425" s="9" t="s">
        <v>450</v>
      </c>
      <c r="C425" s="9" t="s">
        <v>1210</v>
      </c>
      <c r="D425" s="9">
        <f t="shared" si="6"/>
        <v>161</v>
      </c>
      <c r="E425" s="9">
        <v>0</v>
      </c>
      <c r="F425" s="9">
        <v>0</v>
      </c>
      <c r="G425" s="9">
        <v>0</v>
      </c>
      <c r="H425" s="9">
        <v>0</v>
      </c>
      <c r="I425" s="9">
        <v>0</v>
      </c>
      <c r="J425" s="9">
        <v>0</v>
      </c>
      <c r="K425" s="9">
        <v>0</v>
      </c>
      <c r="L425" s="9">
        <v>0</v>
      </c>
      <c r="M425" s="9">
        <v>0</v>
      </c>
      <c r="N425" s="9">
        <v>0</v>
      </c>
      <c r="O425" s="9">
        <v>0</v>
      </c>
      <c r="P425" s="9">
        <v>0</v>
      </c>
      <c r="Q425" s="9">
        <v>0</v>
      </c>
      <c r="R425" s="9">
        <v>0</v>
      </c>
      <c r="S425" s="9">
        <v>1</v>
      </c>
      <c r="T425" s="9">
        <v>1</v>
      </c>
      <c r="U425" s="9">
        <v>0</v>
      </c>
      <c r="V425" s="9">
        <v>2</v>
      </c>
      <c r="W425" s="9">
        <v>0</v>
      </c>
      <c r="X425" s="9">
        <v>0</v>
      </c>
      <c r="Y425" s="9">
        <v>0</v>
      </c>
      <c r="Z425" s="9">
        <v>0</v>
      </c>
      <c r="AA425" s="9">
        <v>0</v>
      </c>
      <c r="AB425" s="9">
        <v>1</v>
      </c>
      <c r="AC425" s="9">
        <v>0</v>
      </c>
      <c r="AD425" s="9">
        <v>0</v>
      </c>
      <c r="AE425" s="9">
        <v>1</v>
      </c>
      <c r="AF425" s="9">
        <v>0</v>
      </c>
      <c r="AG425" s="9">
        <v>0</v>
      </c>
      <c r="AH425" s="9">
        <v>0</v>
      </c>
      <c r="AI425" s="9">
        <v>0</v>
      </c>
      <c r="AJ425" s="9">
        <v>0</v>
      </c>
      <c r="AK425" s="9">
        <v>0</v>
      </c>
      <c r="AL425" s="9">
        <v>0</v>
      </c>
      <c r="AM425" s="9">
        <v>0</v>
      </c>
      <c r="AN425" s="9">
        <v>0</v>
      </c>
      <c r="AO425" s="9">
        <v>0</v>
      </c>
      <c r="AP425" s="9">
        <v>1</v>
      </c>
      <c r="AQ425" s="9">
        <v>2</v>
      </c>
      <c r="AR425" s="9">
        <v>0</v>
      </c>
      <c r="AS425" s="9">
        <v>2</v>
      </c>
      <c r="AT425" s="9">
        <v>0</v>
      </c>
      <c r="AU425" s="9">
        <v>0</v>
      </c>
      <c r="AV425" s="9">
        <v>0</v>
      </c>
      <c r="AW425" s="9">
        <v>2</v>
      </c>
      <c r="AX425" s="9">
        <v>0</v>
      </c>
      <c r="AY425" s="9">
        <v>1</v>
      </c>
      <c r="AZ425" s="9">
        <v>1</v>
      </c>
      <c r="BA425" s="9">
        <v>0</v>
      </c>
      <c r="BB425" s="9">
        <v>3</v>
      </c>
      <c r="BC425" s="9">
        <v>0</v>
      </c>
      <c r="BD425" s="9">
        <v>3</v>
      </c>
      <c r="BE425" s="9">
        <v>2</v>
      </c>
      <c r="BF425" s="9">
        <v>1</v>
      </c>
      <c r="BG425" s="9">
        <v>0</v>
      </c>
      <c r="BH425" s="9">
        <v>0</v>
      </c>
      <c r="BI425" s="9">
        <v>1</v>
      </c>
      <c r="BJ425" s="9">
        <v>0</v>
      </c>
      <c r="BK425" s="9">
        <v>0</v>
      </c>
      <c r="BL425" s="9">
        <v>0</v>
      </c>
      <c r="BM425" s="9">
        <v>1</v>
      </c>
      <c r="BN425" s="9">
        <v>0</v>
      </c>
      <c r="BO425" s="9">
        <v>1</v>
      </c>
      <c r="BP425" s="9">
        <v>2</v>
      </c>
      <c r="BQ425" s="9">
        <v>1</v>
      </c>
      <c r="BR425" s="9">
        <v>3</v>
      </c>
      <c r="BS425" s="9">
        <v>1</v>
      </c>
      <c r="BT425" s="9">
        <v>2</v>
      </c>
      <c r="BU425" s="9">
        <v>2</v>
      </c>
      <c r="BV425" s="9">
        <v>0</v>
      </c>
      <c r="BW425" s="9">
        <v>0</v>
      </c>
      <c r="BX425" s="9">
        <v>2</v>
      </c>
      <c r="BY425" s="9">
        <v>3</v>
      </c>
      <c r="BZ425" s="9">
        <v>3</v>
      </c>
      <c r="CA425" s="9">
        <v>4</v>
      </c>
      <c r="CB425" s="9">
        <v>5</v>
      </c>
      <c r="CC425" s="9">
        <v>5</v>
      </c>
      <c r="CD425" s="9">
        <v>4</v>
      </c>
      <c r="CE425" s="9">
        <v>5</v>
      </c>
      <c r="CF425" s="9">
        <v>4</v>
      </c>
      <c r="CG425" s="9">
        <v>1</v>
      </c>
      <c r="CH425" s="9">
        <v>5</v>
      </c>
      <c r="CI425" s="9">
        <v>7</v>
      </c>
      <c r="CJ425" s="9">
        <v>6</v>
      </c>
      <c r="CK425" s="9">
        <v>1</v>
      </c>
      <c r="CL425" s="9">
        <v>9</v>
      </c>
      <c r="CM425" s="9">
        <v>6</v>
      </c>
      <c r="CN425" s="9">
        <v>5</v>
      </c>
      <c r="CO425" s="9">
        <v>12</v>
      </c>
      <c r="CP425" s="9">
        <v>13</v>
      </c>
      <c r="CQ425" s="9">
        <v>9</v>
      </c>
      <c r="CR425" s="9">
        <v>6</v>
      </c>
      <c r="CS425" s="10">
        <v>8</v>
      </c>
    </row>
    <row r="426" spans="1:97" x14ac:dyDescent="0.35">
      <c r="A426" s="8" t="s">
        <v>413</v>
      </c>
      <c r="B426" s="9" t="s">
        <v>452</v>
      </c>
      <c r="C426" s="9" t="s">
        <v>1211</v>
      </c>
      <c r="D426" s="9">
        <f t="shared" si="6"/>
        <v>154</v>
      </c>
      <c r="E426" s="9">
        <v>0</v>
      </c>
      <c r="F426" s="9">
        <v>0</v>
      </c>
      <c r="G426" s="9">
        <v>0</v>
      </c>
      <c r="H426" s="9">
        <v>0</v>
      </c>
      <c r="I426" s="9">
        <v>0</v>
      </c>
      <c r="J426" s="9">
        <v>0</v>
      </c>
      <c r="K426" s="9">
        <v>0</v>
      </c>
      <c r="L426" s="9">
        <v>0</v>
      </c>
      <c r="M426" s="9">
        <v>0</v>
      </c>
      <c r="N426" s="9">
        <v>0</v>
      </c>
      <c r="O426" s="9">
        <v>0</v>
      </c>
      <c r="P426" s="9">
        <v>0</v>
      </c>
      <c r="Q426" s="9">
        <v>0</v>
      </c>
      <c r="R426" s="9">
        <v>0</v>
      </c>
      <c r="S426" s="9">
        <v>0</v>
      </c>
      <c r="T426" s="9">
        <v>0</v>
      </c>
      <c r="U426" s="9">
        <v>0</v>
      </c>
      <c r="V426" s="9">
        <v>1</v>
      </c>
      <c r="W426" s="9">
        <v>0</v>
      </c>
      <c r="X426" s="9">
        <v>0</v>
      </c>
      <c r="Y426" s="9">
        <v>1</v>
      </c>
      <c r="Z426" s="9">
        <v>0</v>
      </c>
      <c r="AA426" s="9">
        <v>0</v>
      </c>
      <c r="AB426" s="9">
        <v>0</v>
      </c>
      <c r="AC426" s="9">
        <v>1</v>
      </c>
      <c r="AD426" s="9">
        <v>1</v>
      </c>
      <c r="AE426" s="9">
        <v>0</v>
      </c>
      <c r="AF426" s="9">
        <v>0</v>
      </c>
      <c r="AG426" s="9">
        <v>0</v>
      </c>
      <c r="AH426" s="9">
        <v>1</v>
      </c>
      <c r="AI426" s="9">
        <v>0</v>
      </c>
      <c r="AJ426" s="9">
        <v>0</v>
      </c>
      <c r="AK426" s="9">
        <v>2</v>
      </c>
      <c r="AL426" s="9">
        <v>0</v>
      </c>
      <c r="AM426" s="9">
        <v>0</v>
      </c>
      <c r="AN426" s="9">
        <v>1</v>
      </c>
      <c r="AO426" s="9">
        <v>0</v>
      </c>
      <c r="AP426" s="9">
        <v>0</v>
      </c>
      <c r="AQ426" s="9">
        <v>0</v>
      </c>
      <c r="AR426" s="9">
        <v>0</v>
      </c>
      <c r="AS426" s="9">
        <v>0</v>
      </c>
      <c r="AT426" s="9">
        <v>0</v>
      </c>
      <c r="AU426" s="9">
        <v>2</v>
      </c>
      <c r="AV426" s="9">
        <v>0</v>
      </c>
      <c r="AW426" s="9">
        <v>0</v>
      </c>
      <c r="AX426" s="9">
        <v>0</v>
      </c>
      <c r="AY426" s="9">
        <v>3</v>
      </c>
      <c r="AZ426" s="9">
        <v>0</v>
      </c>
      <c r="BA426" s="9">
        <v>0</v>
      </c>
      <c r="BB426" s="9">
        <v>2</v>
      </c>
      <c r="BC426" s="9">
        <v>2</v>
      </c>
      <c r="BD426" s="9">
        <v>4</v>
      </c>
      <c r="BE426" s="9">
        <v>1</v>
      </c>
      <c r="BF426" s="9">
        <v>3</v>
      </c>
      <c r="BG426" s="9">
        <v>3</v>
      </c>
      <c r="BH426" s="9">
        <v>2</v>
      </c>
      <c r="BI426" s="9">
        <v>2</v>
      </c>
      <c r="BJ426" s="9">
        <v>0</v>
      </c>
      <c r="BK426" s="9">
        <v>0</v>
      </c>
      <c r="BL426" s="9">
        <v>1</v>
      </c>
      <c r="BM426" s="9">
        <v>3</v>
      </c>
      <c r="BN426" s="9">
        <v>4</v>
      </c>
      <c r="BO426" s="9">
        <v>2</v>
      </c>
      <c r="BP426" s="9">
        <v>3</v>
      </c>
      <c r="BQ426" s="9">
        <v>3</v>
      </c>
      <c r="BR426" s="9">
        <v>2</v>
      </c>
      <c r="BS426" s="9">
        <v>3</v>
      </c>
      <c r="BT426" s="9">
        <v>4</v>
      </c>
      <c r="BU426" s="9">
        <v>2</v>
      </c>
      <c r="BV426" s="9">
        <v>3</v>
      </c>
      <c r="BW426" s="9">
        <v>0</v>
      </c>
      <c r="BX426" s="9">
        <v>2</v>
      </c>
      <c r="BY426" s="9">
        <v>4</v>
      </c>
      <c r="BZ426" s="9">
        <v>9</v>
      </c>
      <c r="CA426" s="9">
        <v>1</v>
      </c>
      <c r="CB426" s="9">
        <v>1</v>
      </c>
      <c r="CC426" s="9">
        <v>1</v>
      </c>
      <c r="CD426" s="9">
        <v>1</v>
      </c>
      <c r="CE426" s="9">
        <v>0</v>
      </c>
      <c r="CF426" s="9">
        <v>5</v>
      </c>
      <c r="CG426" s="9">
        <v>2</v>
      </c>
      <c r="CH426" s="9">
        <v>5</v>
      </c>
      <c r="CI426" s="9">
        <v>4</v>
      </c>
      <c r="CJ426" s="9">
        <v>3</v>
      </c>
      <c r="CK426" s="9">
        <v>2</v>
      </c>
      <c r="CL426" s="9">
        <v>3</v>
      </c>
      <c r="CM426" s="9">
        <v>3</v>
      </c>
      <c r="CN426" s="9">
        <v>7</v>
      </c>
      <c r="CO426" s="9">
        <v>5</v>
      </c>
      <c r="CP426" s="9">
        <v>7</v>
      </c>
      <c r="CQ426" s="9">
        <v>6</v>
      </c>
      <c r="CR426" s="9">
        <v>7</v>
      </c>
      <c r="CS426" s="10">
        <v>14</v>
      </c>
    </row>
    <row r="427" spans="1:97" x14ac:dyDescent="0.35">
      <c r="A427" s="8" t="s">
        <v>413</v>
      </c>
      <c r="B427" s="9" t="s">
        <v>454</v>
      </c>
      <c r="C427" s="9" t="s">
        <v>1212</v>
      </c>
      <c r="D427" s="9">
        <f t="shared" si="6"/>
        <v>132</v>
      </c>
      <c r="E427" s="9">
        <v>0</v>
      </c>
      <c r="F427" s="9">
        <v>0</v>
      </c>
      <c r="G427" s="9">
        <v>0</v>
      </c>
      <c r="H427" s="9">
        <v>0</v>
      </c>
      <c r="I427" s="9">
        <v>0</v>
      </c>
      <c r="J427" s="9">
        <v>0</v>
      </c>
      <c r="K427" s="9">
        <v>0</v>
      </c>
      <c r="L427" s="9">
        <v>0</v>
      </c>
      <c r="M427" s="9">
        <v>0</v>
      </c>
      <c r="N427" s="9">
        <v>0</v>
      </c>
      <c r="O427" s="9">
        <v>0</v>
      </c>
      <c r="P427" s="9">
        <v>0</v>
      </c>
      <c r="Q427" s="9">
        <v>0</v>
      </c>
      <c r="R427" s="9">
        <v>0</v>
      </c>
      <c r="S427" s="9">
        <v>0</v>
      </c>
      <c r="T427" s="9">
        <v>0</v>
      </c>
      <c r="U427" s="9">
        <v>0</v>
      </c>
      <c r="V427" s="9">
        <v>0</v>
      </c>
      <c r="W427" s="9">
        <v>0</v>
      </c>
      <c r="X427" s="9">
        <v>0</v>
      </c>
      <c r="Y427" s="9">
        <v>0</v>
      </c>
      <c r="Z427" s="9">
        <v>0</v>
      </c>
      <c r="AA427" s="9">
        <v>0</v>
      </c>
      <c r="AB427" s="9">
        <v>0</v>
      </c>
      <c r="AC427" s="9">
        <v>0</v>
      </c>
      <c r="AD427" s="9">
        <v>0</v>
      </c>
      <c r="AE427" s="9">
        <v>0</v>
      </c>
      <c r="AF427" s="9">
        <v>0</v>
      </c>
      <c r="AG427" s="9">
        <v>0</v>
      </c>
      <c r="AH427" s="9">
        <v>0</v>
      </c>
      <c r="AI427" s="9">
        <v>0</v>
      </c>
      <c r="AJ427" s="9">
        <v>0</v>
      </c>
      <c r="AK427" s="9">
        <v>0</v>
      </c>
      <c r="AL427" s="9">
        <v>1</v>
      </c>
      <c r="AM427" s="9">
        <v>0</v>
      </c>
      <c r="AN427" s="9">
        <v>0</v>
      </c>
      <c r="AO427" s="9">
        <v>0</v>
      </c>
      <c r="AP427" s="9">
        <v>0</v>
      </c>
      <c r="AQ427" s="9">
        <v>0</v>
      </c>
      <c r="AR427" s="9">
        <v>1</v>
      </c>
      <c r="AS427" s="9">
        <v>0</v>
      </c>
      <c r="AT427" s="9">
        <v>0</v>
      </c>
      <c r="AU427" s="9">
        <v>0</v>
      </c>
      <c r="AV427" s="9">
        <v>0</v>
      </c>
      <c r="AW427" s="9">
        <v>0</v>
      </c>
      <c r="AX427" s="9">
        <v>0</v>
      </c>
      <c r="AY427" s="9">
        <v>0</v>
      </c>
      <c r="AZ427" s="9">
        <v>0</v>
      </c>
      <c r="BA427" s="9">
        <v>0</v>
      </c>
      <c r="BB427" s="9">
        <v>0</v>
      </c>
      <c r="BC427" s="9">
        <v>0</v>
      </c>
      <c r="BD427" s="9">
        <v>0</v>
      </c>
      <c r="BE427" s="9">
        <v>0</v>
      </c>
      <c r="BF427" s="9">
        <v>0</v>
      </c>
      <c r="BG427" s="9">
        <v>0</v>
      </c>
      <c r="BH427" s="9">
        <v>0</v>
      </c>
      <c r="BI427" s="9">
        <v>1</v>
      </c>
      <c r="BJ427" s="9">
        <v>0</v>
      </c>
      <c r="BK427" s="9">
        <v>2</v>
      </c>
      <c r="BL427" s="9">
        <v>2</v>
      </c>
      <c r="BM427" s="9">
        <v>1</v>
      </c>
      <c r="BN427" s="9">
        <v>1</v>
      </c>
      <c r="BO427" s="9">
        <v>0</v>
      </c>
      <c r="BP427" s="9">
        <v>3</v>
      </c>
      <c r="BQ427" s="9">
        <v>0</v>
      </c>
      <c r="BR427" s="9">
        <v>1</v>
      </c>
      <c r="BS427" s="9">
        <v>9</v>
      </c>
      <c r="BT427" s="9">
        <v>13</v>
      </c>
      <c r="BU427" s="9">
        <v>6</v>
      </c>
      <c r="BV427" s="9">
        <v>5</v>
      </c>
      <c r="BW427" s="9">
        <v>3</v>
      </c>
      <c r="BX427" s="9">
        <v>0</v>
      </c>
      <c r="BY427" s="9">
        <v>2</v>
      </c>
      <c r="BZ427" s="9">
        <v>4</v>
      </c>
      <c r="CA427" s="9">
        <v>0</v>
      </c>
      <c r="CB427" s="9">
        <v>4</v>
      </c>
      <c r="CC427" s="9">
        <v>4</v>
      </c>
      <c r="CD427" s="9">
        <v>6</v>
      </c>
      <c r="CE427" s="9">
        <v>0</v>
      </c>
      <c r="CF427" s="9">
        <v>3</v>
      </c>
      <c r="CG427" s="9">
        <v>4</v>
      </c>
      <c r="CH427" s="9">
        <v>6</v>
      </c>
      <c r="CI427" s="9">
        <v>7</v>
      </c>
      <c r="CJ427" s="9">
        <v>3</v>
      </c>
      <c r="CK427" s="9">
        <v>5</v>
      </c>
      <c r="CL427" s="9">
        <v>7</v>
      </c>
      <c r="CM427" s="9">
        <v>8</v>
      </c>
      <c r="CN427" s="9">
        <v>2</v>
      </c>
      <c r="CO427" s="9">
        <v>4</v>
      </c>
      <c r="CP427" s="9">
        <v>5</v>
      </c>
      <c r="CQ427" s="9">
        <v>3</v>
      </c>
      <c r="CR427" s="9">
        <v>1</v>
      </c>
      <c r="CS427" s="10">
        <v>5</v>
      </c>
    </row>
    <row r="428" spans="1:97" x14ac:dyDescent="0.35">
      <c r="A428" s="8" t="s">
        <v>413</v>
      </c>
      <c r="B428" s="9" t="s">
        <v>456</v>
      </c>
      <c r="C428" s="9" t="s">
        <v>1213</v>
      </c>
      <c r="D428" s="9">
        <f t="shared" si="6"/>
        <v>96</v>
      </c>
      <c r="E428" s="9">
        <v>2</v>
      </c>
      <c r="F428" s="9">
        <v>1</v>
      </c>
      <c r="G428" s="9">
        <v>0</v>
      </c>
      <c r="H428" s="9">
        <v>1</v>
      </c>
      <c r="I428" s="9">
        <v>0</v>
      </c>
      <c r="J428" s="9">
        <v>0</v>
      </c>
      <c r="K428" s="9">
        <v>0</v>
      </c>
      <c r="L428" s="9">
        <v>0</v>
      </c>
      <c r="M428" s="9">
        <v>1</v>
      </c>
      <c r="N428" s="9">
        <v>0</v>
      </c>
      <c r="O428" s="9">
        <v>0</v>
      </c>
      <c r="P428" s="9">
        <v>2</v>
      </c>
      <c r="Q428" s="9">
        <v>0</v>
      </c>
      <c r="R428" s="9">
        <v>0</v>
      </c>
      <c r="S428" s="9">
        <v>0</v>
      </c>
      <c r="T428" s="9">
        <v>0</v>
      </c>
      <c r="U428" s="9">
        <v>0</v>
      </c>
      <c r="V428" s="9">
        <v>0</v>
      </c>
      <c r="W428" s="9">
        <v>0</v>
      </c>
      <c r="X428" s="9">
        <v>1</v>
      </c>
      <c r="Y428" s="9">
        <v>0</v>
      </c>
      <c r="Z428" s="9">
        <v>0</v>
      </c>
      <c r="AA428" s="9">
        <v>1</v>
      </c>
      <c r="AB428" s="9">
        <v>0</v>
      </c>
      <c r="AC428" s="9">
        <v>0</v>
      </c>
      <c r="AD428" s="9">
        <v>0</v>
      </c>
      <c r="AE428" s="9">
        <v>1</v>
      </c>
      <c r="AF428" s="9">
        <v>1</v>
      </c>
      <c r="AG428" s="9">
        <v>0</v>
      </c>
      <c r="AH428" s="9">
        <v>0</v>
      </c>
      <c r="AI428" s="9">
        <v>0</v>
      </c>
      <c r="AJ428" s="9">
        <v>0</v>
      </c>
      <c r="AK428" s="9">
        <v>0</v>
      </c>
      <c r="AL428" s="9">
        <v>0</v>
      </c>
      <c r="AM428" s="9">
        <v>0</v>
      </c>
      <c r="AN428" s="9">
        <v>0</v>
      </c>
      <c r="AO428" s="9">
        <v>1</v>
      </c>
      <c r="AP428" s="9">
        <v>1</v>
      </c>
      <c r="AQ428" s="9">
        <v>0</v>
      </c>
      <c r="AR428" s="9">
        <v>0</v>
      </c>
      <c r="AS428" s="9">
        <v>0</v>
      </c>
      <c r="AT428" s="9">
        <v>0</v>
      </c>
      <c r="AU428" s="9">
        <v>0</v>
      </c>
      <c r="AV428" s="9">
        <v>1</v>
      </c>
      <c r="AW428" s="9">
        <v>0</v>
      </c>
      <c r="AX428" s="9">
        <v>0</v>
      </c>
      <c r="AY428" s="9">
        <v>0</v>
      </c>
      <c r="AZ428" s="9">
        <v>0</v>
      </c>
      <c r="BA428" s="9">
        <v>1</v>
      </c>
      <c r="BB428" s="9">
        <v>2</v>
      </c>
      <c r="BC428" s="9">
        <v>0</v>
      </c>
      <c r="BD428" s="9">
        <v>0</v>
      </c>
      <c r="BE428" s="9">
        <v>0</v>
      </c>
      <c r="BF428" s="9">
        <v>1</v>
      </c>
      <c r="BG428" s="9">
        <v>0</v>
      </c>
      <c r="BH428" s="9">
        <v>0</v>
      </c>
      <c r="BI428" s="9">
        <v>1</v>
      </c>
      <c r="BJ428" s="9">
        <v>0</v>
      </c>
      <c r="BK428" s="9">
        <v>0</v>
      </c>
      <c r="BL428" s="9">
        <v>0</v>
      </c>
      <c r="BM428" s="9">
        <v>0</v>
      </c>
      <c r="BN428" s="9">
        <v>2</v>
      </c>
      <c r="BO428" s="9">
        <v>0</v>
      </c>
      <c r="BP428" s="9">
        <v>0</v>
      </c>
      <c r="BQ428" s="9">
        <v>1</v>
      </c>
      <c r="BR428" s="9">
        <v>1</v>
      </c>
      <c r="BS428" s="9">
        <v>0</v>
      </c>
      <c r="BT428" s="9">
        <v>1</v>
      </c>
      <c r="BU428" s="9">
        <v>0</v>
      </c>
      <c r="BV428" s="9">
        <v>2</v>
      </c>
      <c r="BW428" s="9">
        <v>0</v>
      </c>
      <c r="BX428" s="9">
        <v>1</v>
      </c>
      <c r="BY428" s="9">
        <v>2</v>
      </c>
      <c r="BZ428" s="9">
        <v>2</v>
      </c>
      <c r="CA428" s="9">
        <v>2</v>
      </c>
      <c r="CB428" s="9">
        <v>2</v>
      </c>
      <c r="CC428" s="9">
        <v>1</v>
      </c>
      <c r="CD428" s="9">
        <v>0</v>
      </c>
      <c r="CE428" s="9">
        <v>3</v>
      </c>
      <c r="CF428" s="9">
        <v>6</v>
      </c>
      <c r="CG428" s="9">
        <v>0</v>
      </c>
      <c r="CH428" s="9">
        <v>7</v>
      </c>
      <c r="CI428" s="9">
        <v>2</v>
      </c>
      <c r="CJ428" s="9">
        <v>5</v>
      </c>
      <c r="CK428" s="9">
        <v>9</v>
      </c>
      <c r="CL428" s="9">
        <v>5</v>
      </c>
      <c r="CM428" s="9">
        <v>4</v>
      </c>
      <c r="CN428" s="9">
        <v>3</v>
      </c>
      <c r="CO428" s="9">
        <v>4</v>
      </c>
      <c r="CP428" s="9">
        <v>4</v>
      </c>
      <c r="CQ428" s="9">
        <v>0</v>
      </c>
      <c r="CR428" s="9">
        <v>6</v>
      </c>
      <c r="CS428" s="10">
        <v>2</v>
      </c>
    </row>
    <row r="429" spans="1:97" x14ac:dyDescent="0.35">
      <c r="A429" s="8" t="s">
        <v>413</v>
      </c>
      <c r="B429" s="9" t="s">
        <v>458</v>
      </c>
      <c r="C429" s="9" t="s">
        <v>1214</v>
      </c>
      <c r="D429" s="9">
        <f t="shared" si="6"/>
        <v>0</v>
      </c>
      <c r="E429" s="9">
        <v>0</v>
      </c>
      <c r="F429" s="9">
        <v>0</v>
      </c>
      <c r="G429" s="9">
        <v>0</v>
      </c>
      <c r="H429" s="9">
        <v>0</v>
      </c>
      <c r="I429" s="9">
        <v>0</v>
      </c>
      <c r="J429" s="9">
        <v>0</v>
      </c>
      <c r="K429" s="9">
        <v>0</v>
      </c>
      <c r="L429" s="9">
        <v>0</v>
      </c>
      <c r="M429" s="9">
        <v>0</v>
      </c>
      <c r="N429" s="9">
        <v>0</v>
      </c>
      <c r="O429" s="9">
        <v>0</v>
      </c>
      <c r="P429" s="9">
        <v>0</v>
      </c>
      <c r="Q429" s="9">
        <v>0</v>
      </c>
      <c r="R429" s="9">
        <v>0</v>
      </c>
      <c r="S429" s="9">
        <v>0</v>
      </c>
      <c r="T429" s="9">
        <v>0</v>
      </c>
      <c r="U429" s="9">
        <v>0</v>
      </c>
      <c r="V429" s="9">
        <v>0</v>
      </c>
      <c r="W429" s="9">
        <v>0</v>
      </c>
      <c r="X429" s="9">
        <v>0</v>
      </c>
      <c r="Y429" s="9">
        <v>0</v>
      </c>
      <c r="Z429" s="9">
        <v>0</v>
      </c>
      <c r="AA429" s="9">
        <v>0</v>
      </c>
      <c r="AB429" s="9">
        <v>0</v>
      </c>
      <c r="AC429" s="9">
        <v>0</v>
      </c>
      <c r="AD429" s="9">
        <v>0</v>
      </c>
      <c r="AE429" s="9">
        <v>0</v>
      </c>
      <c r="AF429" s="9">
        <v>0</v>
      </c>
      <c r="AG429" s="9">
        <v>0</v>
      </c>
      <c r="AH429" s="9">
        <v>0</v>
      </c>
      <c r="AI429" s="9">
        <v>0</v>
      </c>
      <c r="AJ429" s="9">
        <v>0</v>
      </c>
      <c r="AK429" s="9">
        <v>0</v>
      </c>
      <c r="AL429" s="9">
        <v>0</v>
      </c>
      <c r="AM429" s="9">
        <v>0</v>
      </c>
      <c r="AN429" s="9">
        <v>0</v>
      </c>
      <c r="AO429" s="9">
        <v>0</v>
      </c>
      <c r="AP429" s="9">
        <v>0</v>
      </c>
      <c r="AQ429" s="9">
        <v>0</v>
      </c>
      <c r="AR429" s="9">
        <v>0</v>
      </c>
      <c r="AS429" s="9">
        <v>0</v>
      </c>
      <c r="AT429" s="9">
        <v>0</v>
      </c>
      <c r="AU429" s="9">
        <v>0</v>
      </c>
      <c r="AV429" s="9">
        <v>0</v>
      </c>
      <c r="AW429" s="9">
        <v>0</v>
      </c>
      <c r="AX429" s="9">
        <v>0</v>
      </c>
      <c r="AY429" s="9">
        <v>0</v>
      </c>
      <c r="AZ429" s="9">
        <v>0</v>
      </c>
      <c r="BA429" s="9">
        <v>0</v>
      </c>
      <c r="BB429" s="9">
        <v>0</v>
      </c>
      <c r="BC429" s="9">
        <v>0</v>
      </c>
      <c r="BD429" s="9">
        <v>0</v>
      </c>
      <c r="BE429" s="9">
        <v>0</v>
      </c>
      <c r="BF429" s="9">
        <v>0</v>
      </c>
      <c r="BG429" s="9">
        <v>0</v>
      </c>
      <c r="BH429" s="9">
        <v>0</v>
      </c>
      <c r="BI429" s="9">
        <v>0</v>
      </c>
      <c r="BJ429" s="9">
        <v>0</v>
      </c>
      <c r="BK429" s="9">
        <v>0</v>
      </c>
      <c r="BL429" s="9">
        <v>0</v>
      </c>
      <c r="BM429" s="9">
        <v>0</v>
      </c>
      <c r="BN429" s="9">
        <v>0</v>
      </c>
      <c r="BO429" s="9">
        <v>0</v>
      </c>
      <c r="BP429" s="9">
        <v>0</v>
      </c>
      <c r="BQ429" s="9">
        <v>0</v>
      </c>
      <c r="BR429" s="9">
        <v>0</v>
      </c>
      <c r="BS429" s="9">
        <v>0</v>
      </c>
      <c r="BT429" s="9">
        <v>0</v>
      </c>
      <c r="BU429" s="9">
        <v>0</v>
      </c>
      <c r="BV429" s="9">
        <v>0</v>
      </c>
      <c r="BW429" s="9">
        <v>0</v>
      </c>
      <c r="BX429" s="9">
        <v>0</v>
      </c>
      <c r="BY429" s="9">
        <v>0</v>
      </c>
      <c r="BZ429" s="9">
        <v>0</v>
      </c>
      <c r="CA429" s="9">
        <v>0</v>
      </c>
      <c r="CB429" s="9">
        <v>0</v>
      </c>
      <c r="CC429" s="9">
        <v>0</v>
      </c>
      <c r="CD429" s="9">
        <v>0</v>
      </c>
      <c r="CE429" s="9">
        <v>0</v>
      </c>
      <c r="CF429" s="9">
        <v>0</v>
      </c>
      <c r="CG429" s="9">
        <v>0</v>
      </c>
      <c r="CH429" s="9">
        <v>0</v>
      </c>
      <c r="CI429" s="9">
        <v>0</v>
      </c>
      <c r="CJ429" s="9">
        <v>0</v>
      </c>
      <c r="CK429" s="9">
        <v>0</v>
      </c>
      <c r="CL429" s="9">
        <v>0</v>
      </c>
      <c r="CM429" s="9">
        <v>0</v>
      </c>
      <c r="CN429" s="9">
        <v>0</v>
      </c>
      <c r="CO429" s="9">
        <v>0</v>
      </c>
      <c r="CP429" s="9">
        <v>0</v>
      </c>
      <c r="CQ429" s="9">
        <v>0</v>
      </c>
      <c r="CR429" s="9">
        <v>0</v>
      </c>
      <c r="CS429" s="10">
        <v>0</v>
      </c>
    </row>
    <row r="430" spans="1:97" x14ac:dyDescent="0.35">
      <c r="A430" s="8" t="s">
        <v>413</v>
      </c>
      <c r="B430" s="9" t="s">
        <v>460</v>
      </c>
      <c r="C430" s="9" t="s">
        <v>1215</v>
      </c>
      <c r="D430" s="9">
        <f t="shared" si="6"/>
        <v>112</v>
      </c>
      <c r="E430" s="9">
        <v>0</v>
      </c>
      <c r="F430" s="9">
        <v>0</v>
      </c>
      <c r="G430" s="9">
        <v>0</v>
      </c>
      <c r="H430" s="9">
        <v>0</v>
      </c>
      <c r="I430" s="9">
        <v>0</v>
      </c>
      <c r="J430" s="9">
        <v>1</v>
      </c>
      <c r="K430" s="9">
        <v>0</v>
      </c>
      <c r="L430" s="9">
        <v>0</v>
      </c>
      <c r="M430" s="9">
        <v>0</v>
      </c>
      <c r="N430" s="9">
        <v>0</v>
      </c>
      <c r="O430" s="9">
        <v>0</v>
      </c>
      <c r="P430" s="9">
        <v>0</v>
      </c>
      <c r="Q430" s="9">
        <v>0</v>
      </c>
      <c r="R430" s="9">
        <v>0</v>
      </c>
      <c r="S430" s="9">
        <v>0</v>
      </c>
      <c r="T430" s="9">
        <v>0</v>
      </c>
      <c r="U430" s="9">
        <v>0</v>
      </c>
      <c r="V430" s="9">
        <v>0</v>
      </c>
      <c r="W430" s="9">
        <v>0</v>
      </c>
      <c r="X430" s="9">
        <v>0</v>
      </c>
      <c r="Y430" s="9">
        <v>0</v>
      </c>
      <c r="Z430" s="9">
        <v>0</v>
      </c>
      <c r="AA430" s="9">
        <v>1</v>
      </c>
      <c r="AB430" s="9">
        <v>0</v>
      </c>
      <c r="AC430" s="9">
        <v>0</v>
      </c>
      <c r="AD430" s="9">
        <v>0</v>
      </c>
      <c r="AE430" s="9">
        <v>0</v>
      </c>
      <c r="AF430" s="9">
        <v>0</v>
      </c>
      <c r="AG430" s="9">
        <v>0</v>
      </c>
      <c r="AH430" s="9">
        <v>0</v>
      </c>
      <c r="AI430" s="9">
        <v>1</v>
      </c>
      <c r="AJ430" s="9">
        <v>0</v>
      </c>
      <c r="AK430" s="9">
        <v>0</v>
      </c>
      <c r="AL430" s="9">
        <v>3</v>
      </c>
      <c r="AM430" s="9">
        <v>0</v>
      </c>
      <c r="AN430" s="9">
        <v>0</v>
      </c>
      <c r="AO430" s="9">
        <v>0</v>
      </c>
      <c r="AP430" s="9">
        <v>0</v>
      </c>
      <c r="AQ430" s="9">
        <v>0</v>
      </c>
      <c r="AR430" s="9">
        <v>0</v>
      </c>
      <c r="AS430" s="9">
        <v>0</v>
      </c>
      <c r="AT430" s="9">
        <v>0</v>
      </c>
      <c r="AU430" s="9">
        <v>0</v>
      </c>
      <c r="AV430" s="9">
        <v>3</v>
      </c>
      <c r="AW430" s="9">
        <v>0</v>
      </c>
      <c r="AX430" s="9">
        <v>0</v>
      </c>
      <c r="AY430" s="9">
        <v>0</v>
      </c>
      <c r="AZ430" s="9">
        <v>0</v>
      </c>
      <c r="BA430" s="9">
        <v>0</v>
      </c>
      <c r="BB430" s="9">
        <v>0</v>
      </c>
      <c r="BC430" s="9">
        <v>0</v>
      </c>
      <c r="BD430" s="9">
        <v>0</v>
      </c>
      <c r="BE430" s="9">
        <v>0</v>
      </c>
      <c r="BF430" s="9">
        <v>0</v>
      </c>
      <c r="BG430" s="9">
        <v>0</v>
      </c>
      <c r="BH430" s="9">
        <v>0</v>
      </c>
      <c r="BI430" s="9">
        <v>0</v>
      </c>
      <c r="BJ430" s="9">
        <v>0</v>
      </c>
      <c r="BK430" s="9">
        <v>0</v>
      </c>
      <c r="BL430" s="9">
        <v>0</v>
      </c>
      <c r="BM430" s="9">
        <v>1</v>
      </c>
      <c r="BN430" s="9">
        <v>0</v>
      </c>
      <c r="BO430" s="9">
        <v>1</v>
      </c>
      <c r="BP430" s="9">
        <v>1</v>
      </c>
      <c r="BQ430" s="9">
        <v>1</v>
      </c>
      <c r="BR430" s="9">
        <v>0</v>
      </c>
      <c r="BS430" s="9">
        <v>0</v>
      </c>
      <c r="BT430" s="9">
        <v>0</v>
      </c>
      <c r="BU430" s="9">
        <v>0</v>
      </c>
      <c r="BV430" s="9">
        <v>0</v>
      </c>
      <c r="BW430" s="9">
        <v>1</v>
      </c>
      <c r="BX430" s="9">
        <v>3</v>
      </c>
      <c r="BY430" s="9">
        <v>2</v>
      </c>
      <c r="BZ430" s="9">
        <v>3</v>
      </c>
      <c r="CA430" s="9">
        <v>3</v>
      </c>
      <c r="CB430" s="9">
        <v>2</v>
      </c>
      <c r="CC430" s="9">
        <v>3</v>
      </c>
      <c r="CD430" s="9">
        <v>2</v>
      </c>
      <c r="CE430" s="9">
        <v>1</v>
      </c>
      <c r="CF430" s="9">
        <v>5</v>
      </c>
      <c r="CG430" s="9">
        <v>1</v>
      </c>
      <c r="CH430" s="9">
        <v>2</v>
      </c>
      <c r="CI430" s="9">
        <v>0</v>
      </c>
      <c r="CJ430" s="9">
        <v>4</v>
      </c>
      <c r="CK430" s="9">
        <v>4</v>
      </c>
      <c r="CL430" s="9">
        <v>7</v>
      </c>
      <c r="CM430" s="9">
        <v>3</v>
      </c>
      <c r="CN430" s="9">
        <v>13</v>
      </c>
      <c r="CO430" s="9">
        <v>6</v>
      </c>
      <c r="CP430" s="9">
        <v>9</v>
      </c>
      <c r="CQ430" s="9">
        <v>11</v>
      </c>
      <c r="CR430" s="9">
        <v>7</v>
      </c>
      <c r="CS430" s="10">
        <v>7</v>
      </c>
    </row>
    <row r="431" spans="1:97" x14ac:dyDescent="0.35">
      <c r="A431" s="8" t="s">
        <v>413</v>
      </c>
      <c r="B431" s="9" t="s">
        <v>462</v>
      </c>
      <c r="C431" s="9" t="s">
        <v>1216</v>
      </c>
      <c r="D431" s="9">
        <f t="shared" si="6"/>
        <v>0</v>
      </c>
      <c r="E431" s="9">
        <v>0</v>
      </c>
      <c r="F431" s="9">
        <v>0</v>
      </c>
      <c r="G431" s="9">
        <v>0</v>
      </c>
      <c r="H431" s="9">
        <v>0</v>
      </c>
      <c r="I431" s="9">
        <v>0</v>
      </c>
      <c r="J431" s="9">
        <v>0</v>
      </c>
      <c r="K431" s="9">
        <v>0</v>
      </c>
      <c r="L431" s="9">
        <v>0</v>
      </c>
      <c r="M431" s="9">
        <v>0</v>
      </c>
      <c r="N431" s="9">
        <v>0</v>
      </c>
      <c r="O431" s="9">
        <v>0</v>
      </c>
      <c r="P431" s="9">
        <v>0</v>
      </c>
      <c r="Q431" s="9">
        <v>0</v>
      </c>
      <c r="R431" s="9">
        <v>0</v>
      </c>
      <c r="S431" s="9">
        <v>0</v>
      </c>
      <c r="T431" s="9">
        <v>0</v>
      </c>
      <c r="U431" s="9">
        <v>0</v>
      </c>
      <c r="V431" s="9">
        <v>0</v>
      </c>
      <c r="W431" s="9">
        <v>0</v>
      </c>
      <c r="X431" s="9">
        <v>0</v>
      </c>
      <c r="Y431" s="9">
        <v>0</v>
      </c>
      <c r="Z431" s="9">
        <v>0</v>
      </c>
      <c r="AA431" s="9">
        <v>0</v>
      </c>
      <c r="AB431" s="9">
        <v>0</v>
      </c>
      <c r="AC431" s="9">
        <v>0</v>
      </c>
      <c r="AD431" s="9">
        <v>0</v>
      </c>
      <c r="AE431" s="9">
        <v>0</v>
      </c>
      <c r="AF431" s="9">
        <v>0</v>
      </c>
      <c r="AG431" s="9">
        <v>0</v>
      </c>
      <c r="AH431" s="9">
        <v>0</v>
      </c>
      <c r="AI431" s="9">
        <v>0</v>
      </c>
      <c r="AJ431" s="9">
        <v>0</v>
      </c>
      <c r="AK431" s="9">
        <v>0</v>
      </c>
      <c r="AL431" s="9">
        <v>0</v>
      </c>
      <c r="AM431" s="9">
        <v>0</v>
      </c>
      <c r="AN431" s="9">
        <v>0</v>
      </c>
      <c r="AO431" s="9">
        <v>0</v>
      </c>
      <c r="AP431" s="9">
        <v>0</v>
      </c>
      <c r="AQ431" s="9">
        <v>0</v>
      </c>
      <c r="AR431" s="9">
        <v>0</v>
      </c>
      <c r="AS431" s="9">
        <v>0</v>
      </c>
      <c r="AT431" s="9">
        <v>0</v>
      </c>
      <c r="AU431" s="9">
        <v>0</v>
      </c>
      <c r="AV431" s="9">
        <v>0</v>
      </c>
      <c r="AW431" s="9">
        <v>0</v>
      </c>
      <c r="AX431" s="9">
        <v>0</v>
      </c>
      <c r="AY431" s="9">
        <v>0</v>
      </c>
      <c r="AZ431" s="9">
        <v>0</v>
      </c>
      <c r="BA431" s="9">
        <v>0</v>
      </c>
      <c r="BB431" s="9">
        <v>0</v>
      </c>
      <c r="BC431" s="9">
        <v>0</v>
      </c>
      <c r="BD431" s="9">
        <v>0</v>
      </c>
      <c r="BE431" s="9">
        <v>0</v>
      </c>
      <c r="BF431" s="9">
        <v>0</v>
      </c>
      <c r="BG431" s="9">
        <v>0</v>
      </c>
      <c r="BH431" s="9">
        <v>0</v>
      </c>
      <c r="BI431" s="9">
        <v>0</v>
      </c>
      <c r="BJ431" s="9">
        <v>0</v>
      </c>
      <c r="BK431" s="9">
        <v>0</v>
      </c>
      <c r="BL431" s="9">
        <v>0</v>
      </c>
      <c r="BM431" s="9">
        <v>0</v>
      </c>
      <c r="BN431" s="9">
        <v>0</v>
      </c>
      <c r="BO431" s="9">
        <v>0</v>
      </c>
      <c r="BP431" s="9">
        <v>0</v>
      </c>
      <c r="BQ431" s="9">
        <v>0</v>
      </c>
      <c r="BR431" s="9">
        <v>0</v>
      </c>
      <c r="BS431" s="9">
        <v>0</v>
      </c>
      <c r="BT431" s="9">
        <v>0</v>
      </c>
      <c r="BU431" s="9">
        <v>0</v>
      </c>
      <c r="BV431" s="9">
        <v>0</v>
      </c>
      <c r="BW431" s="9">
        <v>0</v>
      </c>
      <c r="BX431" s="9">
        <v>0</v>
      </c>
      <c r="BY431" s="9">
        <v>0</v>
      </c>
      <c r="BZ431" s="9">
        <v>0</v>
      </c>
      <c r="CA431" s="9">
        <v>0</v>
      </c>
      <c r="CB431" s="9">
        <v>0</v>
      </c>
      <c r="CC431" s="9">
        <v>0</v>
      </c>
      <c r="CD431" s="9">
        <v>0</v>
      </c>
      <c r="CE431" s="9">
        <v>0</v>
      </c>
      <c r="CF431" s="9">
        <v>0</v>
      </c>
      <c r="CG431" s="9">
        <v>0</v>
      </c>
      <c r="CH431" s="9">
        <v>0</v>
      </c>
      <c r="CI431" s="9">
        <v>0</v>
      </c>
      <c r="CJ431" s="9">
        <v>0</v>
      </c>
      <c r="CK431" s="9">
        <v>0</v>
      </c>
      <c r="CL431" s="9">
        <v>0</v>
      </c>
      <c r="CM431" s="9">
        <v>0</v>
      </c>
      <c r="CN431" s="9">
        <v>0</v>
      </c>
      <c r="CO431" s="9">
        <v>0</v>
      </c>
      <c r="CP431" s="9">
        <v>0</v>
      </c>
      <c r="CQ431" s="9">
        <v>0</v>
      </c>
      <c r="CR431" s="9">
        <v>0</v>
      </c>
      <c r="CS431" s="10">
        <v>0</v>
      </c>
    </row>
    <row r="432" spans="1:97" x14ac:dyDescent="0.35">
      <c r="A432" s="8" t="s">
        <v>413</v>
      </c>
      <c r="B432" s="9" t="s">
        <v>464</v>
      </c>
      <c r="C432" s="9" t="s">
        <v>1217</v>
      </c>
      <c r="D432" s="9">
        <f t="shared" si="6"/>
        <v>99</v>
      </c>
      <c r="E432" s="9">
        <v>3</v>
      </c>
      <c r="F432" s="9">
        <v>1</v>
      </c>
      <c r="G432" s="9">
        <v>0</v>
      </c>
      <c r="H432" s="9">
        <v>0</v>
      </c>
      <c r="I432" s="9">
        <v>3</v>
      </c>
      <c r="J432" s="9">
        <v>0</v>
      </c>
      <c r="K432" s="9">
        <v>0</v>
      </c>
      <c r="L432" s="9">
        <v>0</v>
      </c>
      <c r="M432" s="9">
        <v>0</v>
      </c>
      <c r="N432" s="9">
        <v>0</v>
      </c>
      <c r="O432" s="9">
        <v>1</v>
      </c>
      <c r="P432" s="9">
        <v>4</v>
      </c>
      <c r="Q432" s="9">
        <v>1</v>
      </c>
      <c r="R432" s="9">
        <v>0</v>
      </c>
      <c r="S432" s="9">
        <v>1</v>
      </c>
      <c r="T432" s="9">
        <v>1</v>
      </c>
      <c r="U432" s="9">
        <v>3</v>
      </c>
      <c r="V432" s="9">
        <v>0</v>
      </c>
      <c r="W432" s="9">
        <v>2</v>
      </c>
      <c r="X432" s="9">
        <v>1</v>
      </c>
      <c r="Y432" s="9">
        <v>0</v>
      </c>
      <c r="Z432" s="9">
        <v>0</v>
      </c>
      <c r="AA432" s="9">
        <v>0</v>
      </c>
      <c r="AB432" s="9">
        <v>2</v>
      </c>
      <c r="AC432" s="9">
        <v>1</v>
      </c>
      <c r="AD432" s="9">
        <v>0</v>
      </c>
      <c r="AE432" s="9">
        <v>1</v>
      </c>
      <c r="AF432" s="9">
        <v>0</v>
      </c>
      <c r="AG432" s="9">
        <v>2</v>
      </c>
      <c r="AH432" s="9">
        <v>0</v>
      </c>
      <c r="AI432" s="9">
        <v>1</v>
      </c>
      <c r="AJ432" s="9">
        <v>1</v>
      </c>
      <c r="AK432" s="9">
        <v>1</v>
      </c>
      <c r="AL432" s="9">
        <v>1</v>
      </c>
      <c r="AM432" s="9">
        <v>0</v>
      </c>
      <c r="AN432" s="9">
        <v>1</v>
      </c>
      <c r="AO432" s="9">
        <v>1</v>
      </c>
      <c r="AP432" s="9">
        <v>0</v>
      </c>
      <c r="AQ432" s="9">
        <v>1</v>
      </c>
      <c r="AR432" s="9">
        <v>0</v>
      </c>
      <c r="AS432" s="9">
        <v>1</v>
      </c>
      <c r="AT432" s="9">
        <v>0</v>
      </c>
      <c r="AU432" s="9">
        <v>2</v>
      </c>
      <c r="AV432" s="9">
        <v>0</v>
      </c>
      <c r="AW432" s="9">
        <v>0</v>
      </c>
      <c r="AX432" s="9">
        <v>0</v>
      </c>
      <c r="AY432" s="9">
        <v>0</v>
      </c>
      <c r="AZ432" s="9">
        <v>0</v>
      </c>
      <c r="BA432" s="9">
        <v>1</v>
      </c>
      <c r="BB432" s="9">
        <v>0</v>
      </c>
      <c r="BC432" s="9">
        <v>0</v>
      </c>
      <c r="BD432" s="9">
        <v>2</v>
      </c>
      <c r="BE432" s="9">
        <v>0</v>
      </c>
      <c r="BF432" s="9">
        <v>1</v>
      </c>
      <c r="BG432" s="9">
        <v>0</v>
      </c>
      <c r="BH432" s="9">
        <v>1</v>
      </c>
      <c r="BI432" s="9">
        <v>0</v>
      </c>
      <c r="BJ432" s="9">
        <v>1</v>
      </c>
      <c r="BK432" s="9">
        <v>0</v>
      </c>
      <c r="BL432" s="9">
        <v>1</v>
      </c>
      <c r="BM432" s="9">
        <v>6</v>
      </c>
      <c r="BN432" s="9">
        <v>1</v>
      </c>
      <c r="BO432" s="9">
        <v>0</v>
      </c>
      <c r="BP432" s="9">
        <v>2</v>
      </c>
      <c r="BQ432" s="9">
        <v>0</v>
      </c>
      <c r="BR432" s="9">
        <v>0</v>
      </c>
      <c r="BS432" s="9">
        <v>0</v>
      </c>
      <c r="BT432" s="9">
        <v>3</v>
      </c>
      <c r="BU432" s="9">
        <v>0</v>
      </c>
      <c r="BV432" s="9">
        <v>0</v>
      </c>
      <c r="BW432" s="9">
        <v>1</v>
      </c>
      <c r="BX432" s="9">
        <v>2</v>
      </c>
      <c r="BY432" s="9">
        <v>2</v>
      </c>
      <c r="BZ432" s="9">
        <v>2</v>
      </c>
      <c r="CA432" s="9">
        <v>1</v>
      </c>
      <c r="CB432" s="9">
        <v>0</v>
      </c>
      <c r="CC432" s="9">
        <v>0</v>
      </c>
      <c r="CD432" s="9">
        <v>0</v>
      </c>
      <c r="CE432" s="9">
        <v>3</v>
      </c>
      <c r="CF432" s="9">
        <v>2</v>
      </c>
      <c r="CG432" s="9">
        <v>1</v>
      </c>
      <c r="CH432" s="9">
        <v>2</v>
      </c>
      <c r="CI432" s="9">
        <v>1</v>
      </c>
      <c r="CJ432" s="9">
        <v>4</v>
      </c>
      <c r="CK432" s="9">
        <v>3</v>
      </c>
      <c r="CL432" s="9">
        <v>4</v>
      </c>
      <c r="CM432" s="9">
        <v>2</v>
      </c>
      <c r="CN432" s="9">
        <v>3</v>
      </c>
      <c r="CO432" s="9">
        <v>0</v>
      </c>
      <c r="CP432" s="9">
        <v>6</v>
      </c>
      <c r="CQ432" s="9">
        <v>1</v>
      </c>
      <c r="CR432" s="9">
        <v>2</v>
      </c>
      <c r="CS432" s="10">
        <v>1</v>
      </c>
    </row>
    <row r="433" spans="1:97" x14ac:dyDescent="0.35">
      <c r="A433" s="8" t="s">
        <v>413</v>
      </c>
      <c r="B433" s="9" t="s">
        <v>466</v>
      </c>
      <c r="C433" s="9" t="s">
        <v>1218</v>
      </c>
      <c r="D433" s="9">
        <f t="shared" si="6"/>
        <v>150</v>
      </c>
      <c r="E433" s="9">
        <v>2</v>
      </c>
      <c r="F433" s="9">
        <v>0</v>
      </c>
      <c r="G433" s="9">
        <v>0</v>
      </c>
      <c r="H433" s="9">
        <v>0</v>
      </c>
      <c r="I433" s="9">
        <v>2</v>
      </c>
      <c r="J433" s="9">
        <v>1</v>
      </c>
      <c r="K433" s="9">
        <v>0</v>
      </c>
      <c r="L433" s="9">
        <v>1</v>
      </c>
      <c r="M433" s="9">
        <v>0</v>
      </c>
      <c r="N433" s="9">
        <v>1</v>
      </c>
      <c r="O433" s="9">
        <v>1</v>
      </c>
      <c r="P433" s="9">
        <v>1</v>
      </c>
      <c r="Q433" s="9">
        <v>2</v>
      </c>
      <c r="R433" s="9">
        <v>0</v>
      </c>
      <c r="S433" s="9">
        <v>0</v>
      </c>
      <c r="T433" s="9">
        <v>0</v>
      </c>
      <c r="U433" s="9">
        <v>0</v>
      </c>
      <c r="V433" s="9">
        <v>1</v>
      </c>
      <c r="W433" s="9">
        <v>0</v>
      </c>
      <c r="X433" s="9">
        <v>0</v>
      </c>
      <c r="Y433" s="9">
        <v>1</v>
      </c>
      <c r="Z433" s="9">
        <v>2</v>
      </c>
      <c r="AA433" s="9">
        <v>1</v>
      </c>
      <c r="AB433" s="9">
        <v>1</v>
      </c>
      <c r="AC433" s="9">
        <v>2</v>
      </c>
      <c r="AD433" s="9">
        <v>1</v>
      </c>
      <c r="AE433" s="9">
        <v>1</v>
      </c>
      <c r="AF433" s="9">
        <v>2</v>
      </c>
      <c r="AG433" s="9">
        <v>2</v>
      </c>
      <c r="AH433" s="9">
        <v>0</v>
      </c>
      <c r="AI433" s="9">
        <v>0</v>
      </c>
      <c r="AJ433" s="9">
        <v>4</v>
      </c>
      <c r="AK433" s="9">
        <v>3</v>
      </c>
      <c r="AL433" s="9">
        <v>1</v>
      </c>
      <c r="AM433" s="9">
        <v>1</v>
      </c>
      <c r="AN433" s="9">
        <v>0</v>
      </c>
      <c r="AO433" s="9">
        <v>1</v>
      </c>
      <c r="AP433" s="9">
        <v>0</v>
      </c>
      <c r="AQ433" s="9">
        <v>0</v>
      </c>
      <c r="AR433" s="9">
        <v>1</v>
      </c>
      <c r="AS433" s="9">
        <v>4</v>
      </c>
      <c r="AT433" s="9">
        <v>2</v>
      </c>
      <c r="AU433" s="9">
        <v>3</v>
      </c>
      <c r="AV433" s="9">
        <v>4</v>
      </c>
      <c r="AW433" s="9">
        <v>0</v>
      </c>
      <c r="AX433" s="9">
        <v>1</v>
      </c>
      <c r="AY433" s="9">
        <v>0</v>
      </c>
      <c r="AZ433" s="9">
        <v>4</v>
      </c>
      <c r="BA433" s="9">
        <v>0</v>
      </c>
      <c r="BB433" s="9">
        <v>2</v>
      </c>
      <c r="BC433" s="9">
        <v>1</v>
      </c>
      <c r="BD433" s="9">
        <v>0</v>
      </c>
      <c r="BE433" s="9">
        <v>1</v>
      </c>
      <c r="BF433" s="9">
        <v>1</v>
      </c>
      <c r="BG433" s="9">
        <v>1</v>
      </c>
      <c r="BH433" s="9">
        <v>2</v>
      </c>
      <c r="BI433" s="9">
        <v>1</v>
      </c>
      <c r="BJ433" s="9">
        <v>1</v>
      </c>
      <c r="BK433" s="9">
        <v>0</v>
      </c>
      <c r="BL433" s="9">
        <v>2</v>
      </c>
      <c r="BM433" s="9">
        <v>1</v>
      </c>
      <c r="BN433" s="9">
        <v>3</v>
      </c>
      <c r="BO433" s="9">
        <v>1</v>
      </c>
      <c r="BP433" s="9">
        <v>1</v>
      </c>
      <c r="BQ433" s="9">
        <v>1</v>
      </c>
      <c r="BR433" s="9">
        <v>0</v>
      </c>
      <c r="BS433" s="9">
        <v>2</v>
      </c>
      <c r="BT433" s="9">
        <v>3</v>
      </c>
      <c r="BU433" s="9">
        <v>6</v>
      </c>
      <c r="BV433" s="9">
        <v>6</v>
      </c>
      <c r="BW433" s="9">
        <v>4</v>
      </c>
      <c r="BX433" s="9">
        <v>1</v>
      </c>
      <c r="BY433" s="9">
        <v>2</v>
      </c>
      <c r="BZ433" s="9">
        <v>1</v>
      </c>
      <c r="CA433" s="9">
        <v>2</v>
      </c>
      <c r="CB433" s="9">
        <v>4</v>
      </c>
      <c r="CC433" s="9">
        <v>3</v>
      </c>
      <c r="CD433" s="9">
        <v>4</v>
      </c>
      <c r="CE433" s="9">
        <v>3</v>
      </c>
      <c r="CF433" s="9">
        <v>2</v>
      </c>
      <c r="CG433" s="9">
        <v>3</v>
      </c>
      <c r="CH433" s="9">
        <v>2</v>
      </c>
      <c r="CI433" s="9">
        <v>5</v>
      </c>
      <c r="CJ433" s="9">
        <v>1</v>
      </c>
      <c r="CK433" s="9">
        <v>0</v>
      </c>
      <c r="CL433" s="9">
        <v>2</v>
      </c>
      <c r="CM433" s="9">
        <v>7</v>
      </c>
      <c r="CN433" s="9">
        <v>0</v>
      </c>
      <c r="CO433" s="9">
        <v>4</v>
      </c>
      <c r="CP433" s="9">
        <v>4</v>
      </c>
      <c r="CQ433" s="9">
        <v>0</v>
      </c>
      <c r="CR433" s="9">
        <v>4</v>
      </c>
      <c r="CS433" s="10">
        <v>2</v>
      </c>
    </row>
    <row r="434" spans="1:97" x14ac:dyDescent="0.35">
      <c r="A434" s="8" t="s">
        <v>413</v>
      </c>
      <c r="B434" s="9" t="s">
        <v>468</v>
      </c>
      <c r="C434" s="9" t="s">
        <v>1219</v>
      </c>
      <c r="D434" s="9">
        <f t="shared" si="6"/>
        <v>88</v>
      </c>
      <c r="E434" s="9">
        <v>0</v>
      </c>
      <c r="F434" s="9">
        <v>0</v>
      </c>
      <c r="G434" s="9">
        <v>0</v>
      </c>
      <c r="H434" s="9">
        <v>0</v>
      </c>
      <c r="I434" s="9">
        <v>0</v>
      </c>
      <c r="J434" s="9">
        <v>0</v>
      </c>
      <c r="K434" s="9">
        <v>0</v>
      </c>
      <c r="L434" s="9">
        <v>0</v>
      </c>
      <c r="M434" s="9">
        <v>0</v>
      </c>
      <c r="N434" s="9">
        <v>0</v>
      </c>
      <c r="O434" s="9">
        <v>0</v>
      </c>
      <c r="P434" s="9">
        <v>0</v>
      </c>
      <c r="Q434" s="9">
        <v>0</v>
      </c>
      <c r="R434" s="9">
        <v>0</v>
      </c>
      <c r="S434" s="9">
        <v>0</v>
      </c>
      <c r="T434" s="9">
        <v>0</v>
      </c>
      <c r="U434" s="9">
        <v>0</v>
      </c>
      <c r="V434" s="9">
        <v>0</v>
      </c>
      <c r="W434" s="9">
        <v>1</v>
      </c>
      <c r="X434" s="9">
        <v>0</v>
      </c>
      <c r="Y434" s="9">
        <v>0</v>
      </c>
      <c r="Z434" s="9">
        <v>0</v>
      </c>
      <c r="AA434" s="9">
        <v>0</v>
      </c>
      <c r="AB434" s="9">
        <v>0</v>
      </c>
      <c r="AC434" s="9">
        <v>0</v>
      </c>
      <c r="AD434" s="9">
        <v>0</v>
      </c>
      <c r="AE434" s="9">
        <v>1</v>
      </c>
      <c r="AF434" s="9">
        <v>0</v>
      </c>
      <c r="AG434" s="9">
        <v>0</v>
      </c>
      <c r="AH434" s="9">
        <v>0</v>
      </c>
      <c r="AI434" s="9">
        <v>0</v>
      </c>
      <c r="AJ434" s="9">
        <v>0</v>
      </c>
      <c r="AK434" s="9">
        <v>0</v>
      </c>
      <c r="AL434" s="9">
        <v>0</v>
      </c>
      <c r="AM434" s="9">
        <v>0</v>
      </c>
      <c r="AN434" s="9">
        <v>0</v>
      </c>
      <c r="AO434" s="9">
        <v>0</v>
      </c>
      <c r="AP434" s="9">
        <v>0</v>
      </c>
      <c r="AQ434" s="9">
        <v>0</v>
      </c>
      <c r="AR434" s="9">
        <v>0</v>
      </c>
      <c r="AS434" s="9">
        <v>0</v>
      </c>
      <c r="AT434" s="9">
        <v>0</v>
      </c>
      <c r="AU434" s="9">
        <v>0</v>
      </c>
      <c r="AV434" s="9">
        <v>1</v>
      </c>
      <c r="AW434" s="9">
        <v>0</v>
      </c>
      <c r="AX434" s="9">
        <v>1</v>
      </c>
      <c r="AY434" s="9">
        <v>1</v>
      </c>
      <c r="AZ434" s="9">
        <v>0</v>
      </c>
      <c r="BA434" s="9">
        <v>0</v>
      </c>
      <c r="BB434" s="9">
        <v>1</v>
      </c>
      <c r="BC434" s="9">
        <v>0</v>
      </c>
      <c r="BD434" s="9">
        <v>0</v>
      </c>
      <c r="BE434" s="9">
        <v>0</v>
      </c>
      <c r="BF434" s="9">
        <v>1</v>
      </c>
      <c r="BG434" s="9">
        <v>0</v>
      </c>
      <c r="BH434" s="9">
        <v>1</v>
      </c>
      <c r="BI434" s="9">
        <v>1</v>
      </c>
      <c r="BJ434" s="9">
        <v>0</v>
      </c>
      <c r="BK434" s="9">
        <v>0</v>
      </c>
      <c r="BL434" s="9">
        <v>0</v>
      </c>
      <c r="BM434" s="9">
        <v>0</v>
      </c>
      <c r="BN434" s="9">
        <v>0</v>
      </c>
      <c r="BO434" s="9">
        <v>0</v>
      </c>
      <c r="BP434" s="9">
        <v>1</v>
      </c>
      <c r="BQ434" s="9">
        <v>1</v>
      </c>
      <c r="BR434" s="9">
        <v>2</v>
      </c>
      <c r="BS434" s="9">
        <v>0</v>
      </c>
      <c r="BT434" s="9">
        <v>0</v>
      </c>
      <c r="BU434" s="9">
        <v>0</v>
      </c>
      <c r="BV434" s="9">
        <v>0</v>
      </c>
      <c r="BW434" s="9">
        <v>0</v>
      </c>
      <c r="BX434" s="9">
        <v>0</v>
      </c>
      <c r="BY434" s="9">
        <v>0</v>
      </c>
      <c r="BZ434" s="9">
        <v>1</v>
      </c>
      <c r="CA434" s="9">
        <v>1</v>
      </c>
      <c r="CB434" s="9">
        <v>3</v>
      </c>
      <c r="CC434" s="9">
        <v>1</v>
      </c>
      <c r="CD434" s="9">
        <v>0</v>
      </c>
      <c r="CE434" s="9">
        <v>3</v>
      </c>
      <c r="CF434" s="9">
        <v>4</v>
      </c>
      <c r="CG434" s="9">
        <v>4</v>
      </c>
      <c r="CH434" s="9">
        <v>2</v>
      </c>
      <c r="CI434" s="9">
        <v>1</v>
      </c>
      <c r="CJ434" s="9">
        <v>5</v>
      </c>
      <c r="CK434" s="9">
        <v>4</v>
      </c>
      <c r="CL434" s="9">
        <v>4</v>
      </c>
      <c r="CM434" s="9">
        <v>1</v>
      </c>
      <c r="CN434" s="9">
        <v>5</v>
      </c>
      <c r="CO434" s="9">
        <v>4</v>
      </c>
      <c r="CP434" s="9">
        <v>11</v>
      </c>
      <c r="CQ434" s="9">
        <v>6</v>
      </c>
      <c r="CR434" s="9">
        <v>4</v>
      </c>
      <c r="CS434" s="10">
        <v>11</v>
      </c>
    </row>
    <row r="435" spans="1:97" x14ac:dyDescent="0.35">
      <c r="A435" s="8" t="s">
        <v>413</v>
      </c>
      <c r="B435" s="9" t="s">
        <v>470</v>
      </c>
      <c r="C435" s="9" t="s">
        <v>1220</v>
      </c>
      <c r="D435" s="9">
        <f t="shared" si="6"/>
        <v>102</v>
      </c>
      <c r="E435" s="9">
        <v>3</v>
      </c>
      <c r="F435" s="9">
        <v>1</v>
      </c>
      <c r="G435" s="9">
        <v>1</v>
      </c>
      <c r="H435" s="9">
        <v>0</v>
      </c>
      <c r="I435" s="9">
        <v>3</v>
      </c>
      <c r="J435" s="9">
        <v>0</v>
      </c>
      <c r="K435" s="9">
        <v>4</v>
      </c>
      <c r="L435" s="9">
        <v>4</v>
      </c>
      <c r="M435" s="9">
        <v>1</v>
      </c>
      <c r="N435" s="9">
        <v>1</v>
      </c>
      <c r="O435" s="9">
        <v>1</v>
      </c>
      <c r="P435" s="9">
        <v>2</v>
      </c>
      <c r="Q435" s="9">
        <v>3</v>
      </c>
      <c r="R435" s="9">
        <v>1</v>
      </c>
      <c r="S435" s="9">
        <v>0</v>
      </c>
      <c r="T435" s="9">
        <v>0</v>
      </c>
      <c r="U435" s="9">
        <v>2</v>
      </c>
      <c r="V435" s="9">
        <v>1</v>
      </c>
      <c r="W435" s="9">
        <v>2</v>
      </c>
      <c r="X435" s="9">
        <v>0</v>
      </c>
      <c r="Y435" s="9">
        <v>0</v>
      </c>
      <c r="Z435" s="9">
        <v>0</v>
      </c>
      <c r="AA435" s="9">
        <v>0</v>
      </c>
      <c r="AB435" s="9">
        <v>0</v>
      </c>
      <c r="AC435" s="9">
        <v>0</v>
      </c>
      <c r="AD435" s="9">
        <v>0</v>
      </c>
      <c r="AE435" s="9">
        <v>0</v>
      </c>
      <c r="AF435" s="9">
        <v>2</v>
      </c>
      <c r="AG435" s="9">
        <v>0</v>
      </c>
      <c r="AH435" s="9">
        <v>1</v>
      </c>
      <c r="AI435" s="9">
        <v>0</v>
      </c>
      <c r="AJ435" s="9">
        <v>1</v>
      </c>
      <c r="AK435" s="9">
        <v>0</v>
      </c>
      <c r="AL435" s="9">
        <v>0</v>
      </c>
      <c r="AM435" s="9">
        <v>1</v>
      </c>
      <c r="AN435" s="9">
        <v>0</v>
      </c>
      <c r="AO435" s="9">
        <v>0</v>
      </c>
      <c r="AP435" s="9">
        <v>0</v>
      </c>
      <c r="AQ435" s="9">
        <v>0</v>
      </c>
      <c r="AR435" s="9">
        <v>1</v>
      </c>
      <c r="AS435" s="9">
        <v>0</v>
      </c>
      <c r="AT435" s="9">
        <v>0</v>
      </c>
      <c r="AU435" s="9">
        <v>1</v>
      </c>
      <c r="AV435" s="9">
        <v>1</v>
      </c>
      <c r="AW435" s="9">
        <v>0</v>
      </c>
      <c r="AX435" s="9">
        <v>0</v>
      </c>
      <c r="AY435" s="9">
        <v>0</v>
      </c>
      <c r="AZ435" s="9">
        <v>1</v>
      </c>
      <c r="BA435" s="9">
        <v>0</v>
      </c>
      <c r="BB435" s="9">
        <v>0</v>
      </c>
      <c r="BC435" s="9">
        <v>0</v>
      </c>
      <c r="BD435" s="9">
        <v>0</v>
      </c>
      <c r="BE435" s="9">
        <v>0</v>
      </c>
      <c r="BF435" s="9">
        <v>1</v>
      </c>
      <c r="BG435" s="9">
        <v>2</v>
      </c>
      <c r="BH435" s="9">
        <v>1</v>
      </c>
      <c r="BI435" s="9">
        <v>0</v>
      </c>
      <c r="BJ435" s="9">
        <v>1</v>
      </c>
      <c r="BK435" s="9">
        <v>0</v>
      </c>
      <c r="BL435" s="9">
        <v>0</v>
      </c>
      <c r="BM435" s="9">
        <v>1</v>
      </c>
      <c r="BN435" s="9">
        <v>0</v>
      </c>
      <c r="BO435" s="9">
        <v>0</v>
      </c>
      <c r="BP435" s="9">
        <v>1</v>
      </c>
      <c r="BQ435" s="9">
        <v>0</v>
      </c>
      <c r="BR435" s="9">
        <v>2</v>
      </c>
      <c r="BS435" s="9">
        <v>0</v>
      </c>
      <c r="BT435" s="9">
        <v>0</v>
      </c>
      <c r="BU435" s="9">
        <v>0</v>
      </c>
      <c r="BV435" s="9">
        <v>1</v>
      </c>
      <c r="BW435" s="9">
        <v>2</v>
      </c>
      <c r="BX435" s="9">
        <v>0</v>
      </c>
      <c r="BY435" s="9">
        <v>2</v>
      </c>
      <c r="BZ435" s="9">
        <v>1</v>
      </c>
      <c r="CA435" s="9">
        <v>2</v>
      </c>
      <c r="CB435" s="9">
        <v>1</v>
      </c>
      <c r="CC435" s="9">
        <v>0</v>
      </c>
      <c r="CD435" s="9">
        <v>3</v>
      </c>
      <c r="CE435" s="9">
        <v>2</v>
      </c>
      <c r="CF435" s="9">
        <v>1</v>
      </c>
      <c r="CG435" s="9">
        <v>3</v>
      </c>
      <c r="CH435" s="9">
        <v>2</v>
      </c>
      <c r="CI435" s="9">
        <v>2</v>
      </c>
      <c r="CJ435" s="9">
        <v>0</v>
      </c>
      <c r="CK435" s="9">
        <v>1</v>
      </c>
      <c r="CL435" s="9">
        <v>3</v>
      </c>
      <c r="CM435" s="9">
        <v>5</v>
      </c>
      <c r="CN435" s="9">
        <v>5</v>
      </c>
      <c r="CO435" s="9">
        <v>5</v>
      </c>
      <c r="CP435" s="9">
        <v>5</v>
      </c>
      <c r="CQ435" s="9">
        <v>3</v>
      </c>
      <c r="CR435" s="9">
        <v>3</v>
      </c>
      <c r="CS435" s="10">
        <v>2</v>
      </c>
    </row>
    <row r="436" spans="1:97" x14ac:dyDescent="0.35">
      <c r="A436" s="8" t="s">
        <v>413</v>
      </c>
      <c r="B436" s="9" t="s">
        <v>472</v>
      </c>
      <c r="C436" s="9" t="s">
        <v>1221</v>
      </c>
      <c r="D436" s="9">
        <f t="shared" si="6"/>
        <v>20</v>
      </c>
      <c r="E436" s="9">
        <v>0</v>
      </c>
      <c r="F436" s="9">
        <v>0</v>
      </c>
      <c r="G436" s="9">
        <v>0</v>
      </c>
      <c r="H436" s="9">
        <v>0</v>
      </c>
      <c r="I436" s="9">
        <v>0</v>
      </c>
      <c r="J436" s="9">
        <v>0</v>
      </c>
      <c r="K436" s="9">
        <v>0</v>
      </c>
      <c r="L436" s="9">
        <v>0</v>
      </c>
      <c r="M436" s="9">
        <v>0</v>
      </c>
      <c r="N436" s="9">
        <v>0</v>
      </c>
      <c r="O436" s="9">
        <v>0</v>
      </c>
      <c r="P436" s="9">
        <v>0</v>
      </c>
      <c r="Q436" s="9">
        <v>0</v>
      </c>
      <c r="R436" s="9">
        <v>0</v>
      </c>
      <c r="S436" s="9">
        <v>0</v>
      </c>
      <c r="T436" s="9">
        <v>0</v>
      </c>
      <c r="U436" s="9">
        <v>0</v>
      </c>
      <c r="V436" s="9">
        <v>0</v>
      </c>
      <c r="W436" s="9">
        <v>0</v>
      </c>
      <c r="X436" s="9">
        <v>0</v>
      </c>
      <c r="Y436" s="9">
        <v>0</v>
      </c>
      <c r="Z436" s="9">
        <v>0</v>
      </c>
      <c r="AA436" s="9">
        <v>0</v>
      </c>
      <c r="AB436" s="9">
        <v>0</v>
      </c>
      <c r="AC436" s="9">
        <v>0</v>
      </c>
      <c r="AD436" s="9">
        <v>0</v>
      </c>
      <c r="AE436" s="9">
        <v>0</v>
      </c>
      <c r="AF436" s="9">
        <v>0</v>
      </c>
      <c r="AG436" s="9">
        <v>0</v>
      </c>
      <c r="AH436" s="9">
        <v>0</v>
      </c>
      <c r="AI436" s="9">
        <v>0</v>
      </c>
      <c r="AJ436" s="9">
        <v>0</v>
      </c>
      <c r="AK436" s="9">
        <v>0</v>
      </c>
      <c r="AL436" s="9">
        <v>0</v>
      </c>
      <c r="AM436" s="9">
        <v>0</v>
      </c>
      <c r="AN436" s="9">
        <v>0</v>
      </c>
      <c r="AO436" s="9">
        <v>0</v>
      </c>
      <c r="AP436" s="9">
        <v>0</v>
      </c>
      <c r="AQ436" s="9">
        <v>0</v>
      </c>
      <c r="AR436" s="9">
        <v>0</v>
      </c>
      <c r="AS436" s="9">
        <v>0</v>
      </c>
      <c r="AT436" s="9">
        <v>0</v>
      </c>
      <c r="AU436" s="9">
        <v>0</v>
      </c>
      <c r="AV436" s="9">
        <v>0</v>
      </c>
      <c r="AW436" s="9">
        <v>0</v>
      </c>
      <c r="AX436" s="9">
        <v>0</v>
      </c>
      <c r="AY436" s="9">
        <v>1</v>
      </c>
      <c r="AZ436" s="9">
        <v>0</v>
      </c>
      <c r="BA436" s="9">
        <v>0</v>
      </c>
      <c r="BB436" s="9">
        <v>0</v>
      </c>
      <c r="BC436" s="9">
        <v>0</v>
      </c>
      <c r="BD436" s="9">
        <v>0</v>
      </c>
      <c r="BE436" s="9">
        <v>0</v>
      </c>
      <c r="BF436" s="9">
        <v>0</v>
      </c>
      <c r="BG436" s="9">
        <v>0</v>
      </c>
      <c r="BH436" s="9">
        <v>0</v>
      </c>
      <c r="BI436" s="9">
        <v>0</v>
      </c>
      <c r="BJ436" s="9">
        <v>0</v>
      </c>
      <c r="BK436" s="9">
        <v>0</v>
      </c>
      <c r="BL436" s="9">
        <v>0</v>
      </c>
      <c r="BM436" s="9">
        <v>0</v>
      </c>
      <c r="BN436" s="9">
        <v>0</v>
      </c>
      <c r="BO436" s="9">
        <v>0</v>
      </c>
      <c r="BP436" s="9">
        <v>0</v>
      </c>
      <c r="BQ436" s="9">
        <v>0</v>
      </c>
      <c r="BR436" s="9">
        <v>0</v>
      </c>
      <c r="BS436" s="9">
        <v>0</v>
      </c>
      <c r="BT436" s="9">
        <v>0</v>
      </c>
      <c r="BU436" s="9">
        <v>0</v>
      </c>
      <c r="BV436" s="9">
        <v>0</v>
      </c>
      <c r="BW436" s="9">
        <v>0</v>
      </c>
      <c r="BX436" s="9">
        <v>2</v>
      </c>
      <c r="BY436" s="9">
        <v>0</v>
      </c>
      <c r="BZ436" s="9">
        <v>0</v>
      </c>
      <c r="CA436" s="9">
        <v>0</v>
      </c>
      <c r="CB436" s="9">
        <v>0</v>
      </c>
      <c r="CC436" s="9">
        <v>0</v>
      </c>
      <c r="CD436" s="9">
        <v>0</v>
      </c>
      <c r="CE436" s="9">
        <v>0</v>
      </c>
      <c r="CF436" s="9">
        <v>1</v>
      </c>
      <c r="CG436" s="9">
        <v>0</v>
      </c>
      <c r="CH436" s="9">
        <v>2</v>
      </c>
      <c r="CI436" s="9">
        <v>0</v>
      </c>
      <c r="CJ436" s="9">
        <v>1</v>
      </c>
      <c r="CK436" s="9">
        <v>0</v>
      </c>
      <c r="CL436" s="9">
        <v>0</v>
      </c>
      <c r="CM436" s="9">
        <v>4</v>
      </c>
      <c r="CN436" s="9">
        <v>1</v>
      </c>
      <c r="CO436" s="9">
        <v>0</v>
      </c>
      <c r="CP436" s="9">
        <v>1</v>
      </c>
      <c r="CQ436" s="9">
        <v>1</v>
      </c>
      <c r="CR436" s="9">
        <v>6</v>
      </c>
      <c r="CS436" s="10">
        <v>0</v>
      </c>
    </row>
    <row r="437" spans="1:97" x14ac:dyDescent="0.35">
      <c r="A437" s="8" t="s">
        <v>413</v>
      </c>
      <c r="B437" s="9" t="s">
        <v>474</v>
      </c>
      <c r="C437" s="9" t="s">
        <v>1222</v>
      </c>
      <c r="D437" s="9">
        <f t="shared" si="6"/>
        <v>26</v>
      </c>
      <c r="E437" s="9">
        <v>0</v>
      </c>
      <c r="F437" s="9">
        <v>0</v>
      </c>
      <c r="G437" s="9">
        <v>0</v>
      </c>
      <c r="H437" s="9">
        <v>0</v>
      </c>
      <c r="I437" s="9">
        <v>0</v>
      </c>
      <c r="J437" s="9">
        <v>0</v>
      </c>
      <c r="K437" s="9">
        <v>0</v>
      </c>
      <c r="L437" s="9">
        <v>0</v>
      </c>
      <c r="M437" s="9">
        <v>0</v>
      </c>
      <c r="N437" s="9">
        <v>0</v>
      </c>
      <c r="O437" s="9">
        <v>0</v>
      </c>
      <c r="P437" s="9">
        <v>0</v>
      </c>
      <c r="Q437" s="9">
        <v>0</v>
      </c>
      <c r="R437" s="9">
        <v>0</v>
      </c>
      <c r="S437" s="9">
        <v>0</v>
      </c>
      <c r="T437" s="9">
        <v>0</v>
      </c>
      <c r="U437" s="9">
        <v>0</v>
      </c>
      <c r="V437" s="9">
        <v>0</v>
      </c>
      <c r="W437" s="9">
        <v>1</v>
      </c>
      <c r="X437" s="9">
        <v>0</v>
      </c>
      <c r="Y437" s="9">
        <v>0</v>
      </c>
      <c r="Z437" s="9">
        <v>0</v>
      </c>
      <c r="AA437" s="9">
        <v>0</v>
      </c>
      <c r="AB437" s="9">
        <v>0</v>
      </c>
      <c r="AC437" s="9">
        <v>0</v>
      </c>
      <c r="AD437" s="9">
        <v>0</v>
      </c>
      <c r="AE437" s="9">
        <v>0</v>
      </c>
      <c r="AF437" s="9">
        <v>0</v>
      </c>
      <c r="AG437" s="9">
        <v>0</v>
      </c>
      <c r="AH437" s="9">
        <v>0</v>
      </c>
      <c r="AI437" s="9">
        <v>0</v>
      </c>
      <c r="AJ437" s="9">
        <v>0</v>
      </c>
      <c r="AK437" s="9">
        <v>0</v>
      </c>
      <c r="AL437" s="9">
        <v>0</v>
      </c>
      <c r="AM437" s="9">
        <v>0</v>
      </c>
      <c r="AN437" s="9">
        <v>0</v>
      </c>
      <c r="AO437" s="9">
        <v>0</v>
      </c>
      <c r="AP437" s="9">
        <v>0</v>
      </c>
      <c r="AQ437" s="9">
        <v>0</v>
      </c>
      <c r="AR437" s="9">
        <v>0</v>
      </c>
      <c r="AS437" s="9">
        <v>0</v>
      </c>
      <c r="AT437" s="9">
        <v>0</v>
      </c>
      <c r="AU437" s="9">
        <v>0</v>
      </c>
      <c r="AV437" s="9">
        <v>0</v>
      </c>
      <c r="AW437" s="9">
        <v>1</v>
      </c>
      <c r="AX437" s="9">
        <v>0</v>
      </c>
      <c r="AY437" s="9">
        <v>1</v>
      </c>
      <c r="AZ437" s="9">
        <v>0</v>
      </c>
      <c r="BA437" s="9">
        <v>0</v>
      </c>
      <c r="BB437" s="9">
        <v>0</v>
      </c>
      <c r="BC437" s="9">
        <v>0</v>
      </c>
      <c r="BD437" s="9">
        <v>0</v>
      </c>
      <c r="BE437" s="9">
        <v>1</v>
      </c>
      <c r="BF437" s="9">
        <v>0</v>
      </c>
      <c r="BG437" s="9">
        <v>1</v>
      </c>
      <c r="BH437" s="9">
        <v>0</v>
      </c>
      <c r="BI437" s="9">
        <v>0</v>
      </c>
      <c r="BJ437" s="9">
        <v>0</v>
      </c>
      <c r="BK437" s="9">
        <v>0</v>
      </c>
      <c r="BL437" s="9">
        <v>1</v>
      </c>
      <c r="BM437" s="9">
        <v>0</v>
      </c>
      <c r="BN437" s="9">
        <v>0</v>
      </c>
      <c r="BO437" s="9">
        <v>0</v>
      </c>
      <c r="BP437" s="9">
        <v>1</v>
      </c>
      <c r="BQ437" s="9">
        <v>0</v>
      </c>
      <c r="BR437" s="9">
        <v>0</v>
      </c>
      <c r="BS437" s="9">
        <v>1</v>
      </c>
      <c r="BT437" s="9">
        <v>0</v>
      </c>
      <c r="BU437" s="9">
        <v>0</v>
      </c>
      <c r="BV437" s="9">
        <v>1</v>
      </c>
      <c r="BW437" s="9">
        <v>0</v>
      </c>
      <c r="BX437" s="9">
        <v>0</v>
      </c>
      <c r="BY437" s="9">
        <v>1</v>
      </c>
      <c r="BZ437" s="9">
        <v>1</v>
      </c>
      <c r="CA437" s="9">
        <v>1</v>
      </c>
      <c r="CB437" s="9">
        <v>0</v>
      </c>
      <c r="CC437" s="9">
        <v>0</v>
      </c>
      <c r="CD437" s="9">
        <v>1</v>
      </c>
      <c r="CE437" s="9">
        <v>0</v>
      </c>
      <c r="CF437" s="9">
        <v>0</v>
      </c>
      <c r="CG437" s="9">
        <v>0</v>
      </c>
      <c r="CH437" s="9">
        <v>0</v>
      </c>
      <c r="CI437" s="9">
        <v>0</v>
      </c>
      <c r="CJ437" s="9">
        <v>1</v>
      </c>
      <c r="CK437" s="9">
        <v>1</v>
      </c>
      <c r="CL437" s="9">
        <v>2</v>
      </c>
      <c r="CM437" s="9">
        <v>1</v>
      </c>
      <c r="CN437" s="9">
        <v>4</v>
      </c>
      <c r="CO437" s="9">
        <v>1</v>
      </c>
      <c r="CP437" s="9">
        <v>1</v>
      </c>
      <c r="CQ437" s="9">
        <v>1</v>
      </c>
      <c r="CR437" s="9">
        <v>1</v>
      </c>
      <c r="CS437" s="10">
        <v>0</v>
      </c>
    </row>
    <row r="438" spans="1:97" x14ac:dyDescent="0.35">
      <c r="A438" s="8" t="s">
        <v>413</v>
      </c>
      <c r="B438" s="9" t="s">
        <v>476</v>
      </c>
      <c r="C438" s="9" t="s">
        <v>1223</v>
      </c>
      <c r="D438" s="9">
        <f t="shared" si="6"/>
        <v>26</v>
      </c>
      <c r="E438" s="9">
        <v>0</v>
      </c>
      <c r="F438" s="9">
        <v>0</v>
      </c>
      <c r="G438" s="9">
        <v>0</v>
      </c>
      <c r="H438" s="9">
        <v>0</v>
      </c>
      <c r="I438" s="9">
        <v>0</v>
      </c>
      <c r="J438" s="9">
        <v>0</v>
      </c>
      <c r="K438" s="9">
        <v>0</v>
      </c>
      <c r="L438" s="9">
        <v>0</v>
      </c>
      <c r="M438" s="9">
        <v>0</v>
      </c>
      <c r="N438" s="9">
        <v>0</v>
      </c>
      <c r="O438" s="9">
        <v>0</v>
      </c>
      <c r="P438" s="9">
        <v>0</v>
      </c>
      <c r="Q438" s="9">
        <v>0</v>
      </c>
      <c r="R438" s="9">
        <v>0</v>
      </c>
      <c r="S438" s="9">
        <v>0</v>
      </c>
      <c r="T438" s="9">
        <v>0</v>
      </c>
      <c r="U438" s="9">
        <v>0</v>
      </c>
      <c r="V438" s="9">
        <v>0</v>
      </c>
      <c r="W438" s="9">
        <v>0</v>
      </c>
      <c r="X438" s="9">
        <v>0</v>
      </c>
      <c r="Y438" s="9">
        <v>0</v>
      </c>
      <c r="Z438" s="9">
        <v>0</v>
      </c>
      <c r="AA438" s="9">
        <v>0</v>
      </c>
      <c r="AB438" s="9">
        <v>0</v>
      </c>
      <c r="AC438" s="9">
        <v>0</v>
      </c>
      <c r="AD438" s="9">
        <v>0</v>
      </c>
      <c r="AE438" s="9">
        <v>0</v>
      </c>
      <c r="AF438" s="9">
        <v>0</v>
      </c>
      <c r="AG438" s="9">
        <v>0</v>
      </c>
      <c r="AH438" s="9">
        <v>0</v>
      </c>
      <c r="AI438" s="9">
        <v>0</v>
      </c>
      <c r="AJ438" s="9">
        <v>0</v>
      </c>
      <c r="AK438" s="9">
        <v>0</v>
      </c>
      <c r="AL438" s="9">
        <v>0</v>
      </c>
      <c r="AM438" s="9">
        <v>0</v>
      </c>
      <c r="AN438" s="9">
        <v>0</v>
      </c>
      <c r="AO438" s="9">
        <v>0</v>
      </c>
      <c r="AP438" s="9">
        <v>0</v>
      </c>
      <c r="AQ438" s="9">
        <v>0</v>
      </c>
      <c r="AR438" s="9">
        <v>0</v>
      </c>
      <c r="AS438" s="9">
        <v>0</v>
      </c>
      <c r="AT438" s="9">
        <v>0</v>
      </c>
      <c r="AU438" s="9">
        <v>0</v>
      </c>
      <c r="AV438" s="9">
        <v>0</v>
      </c>
      <c r="AW438" s="9">
        <v>0</v>
      </c>
      <c r="AX438" s="9">
        <v>0</v>
      </c>
      <c r="AY438" s="9">
        <v>0</v>
      </c>
      <c r="AZ438" s="9">
        <v>0</v>
      </c>
      <c r="BA438" s="9">
        <v>0</v>
      </c>
      <c r="BB438" s="9">
        <v>0</v>
      </c>
      <c r="BC438" s="9">
        <v>0</v>
      </c>
      <c r="BD438" s="9">
        <v>0</v>
      </c>
      <c r="BE438" s="9">
        <v>0</v>
      </c>
      <c r="BF438" s="9">
        <v>0</v>
      </c>
      <c r="BG438" s="9">
        <v>0</v>
      </c>
      <c r="BH438" s="9">
        <v>0</v>
      </c>
      <c r="BI438" s="9">
        <v>0</v>
      </c>
      <c r="BJ438" s="9">
        <v>0</v>
      </c>
      <c r="BK438" s="9">
        <v>0</v>
      </c>
      <c r="BL438" s="9">
        <v>0</v>
      </c>
      <c r="BM438" s="9">
        <v>0</v>
      </c>
      <c r="BN438" s="9">
        <v>0</v>
      </c>
      <c r="BO438" s="9">
        <v>0</v>
      </c>
      <c r="BP438" s="9">
        <v>0</v>
      </c>
      <c r="BQ438" s="9">
        <v>0</v>
      </c>
      <c r="BR438" s="9">
        <v>0</v>
      </c>
      <c r="BS438" s="9">
        <v>0</v>
      </c>
      <c r="BT438" s="9">
        <v>0</v>
      </c>
      <c r="BU438" s="9">
        <v>0</v>
      </c>
      <c r="BV438" s="9">
        <v>0</v>
      </c>
      <c r="BW438" s="9">
        <v>0</v>
      </c>
      <c r="BX438" s="9">
        <v>0</v>
      </c>
      <c r="BY438" s="9">
        <v>0</v>
      </c>
      <c r="BZ438" s="9">
        <v>0</v>
      </c>
      <c r="CA438" s="9">
        <v>1</v>
      </c>
      <c r="CB438" s="9">
        <v>0</v>
      </c>
      <c r="CC438" s="9">
        <v>0</v>
      </c>
      <c r="CD438" s="9">
        <v>0</v>
      </c>
      <c r="CE438" s="9">
        <v>0</v>
      </c>
      <c r="CF438" s="9">
        <v>0</v>
      </c>
      <c r="CG438" s="9">
        <v>0</v>
      </c>
      <c r="CH438" s="9">
        <v>2</v>
      </c>
      <c r="CI438" s="9">
        <v>0</v>
      </c>
      <c r="CJ438" s="9">
        <v>3</v>
      </c>
      <c r="CK438" s="9">
        <v>3</v>
      </c>
      <c r="CL438" s="9">
        <v>1</v>
      </c>
      <c r="CM438" s="9">
        <v>2</v>
      </c>
      <c r="CN438" s="9">
        <v>0</v>
      </c>
      <c r="CO438" s="9">
        <v>0</v>
      </c>
      <c r="CP438" s="9">
        <v>3</v>
      </c>
      <c r="CQ438" s="9">
        <v>5</v>
      </c>
      <c r="CR438" s="9">
        <v>5</v>
      </c>
      <c r="CS438" s="10">
        <v>1</v>
      </c>
    </row>
    <row r="439" spans="1:97" x14ac:dyDescent="0.35">
      <c r="A439" s="8" t="s">
        <v>413</v>
      </c>
      <c r="B439" s="9" t="s">
        <v>478</v>
      </c>
      <c r="C439" s="9" t="s">
        <v>1224</v>
      </c>
      <c r="D439" s="9">
        <f t="shared" si="6"/>
        <v>12</v>
      </c>
      <c r="E439" s="9">
        <v>0</v>
      </c>
      <c r="F439" s="9">
        <v>0</v>
      </c>
      <c r="G439" s="9">
        <v>0</v>
      </c>
      <c r="H439" s="9">
        <v>0</v>
      </c>
      <c r="I439" s="9">
        <v>0</v>
      </c>
      <c r="J439" s="9">
        <v>0</v>
      </c>
      <c r="K439" s="9">
        <v>0</v>
      </c>
      <c r="L439" s="9">
        <v>0</v>
      </c>
      <c r="M439" s="9">
        <v>0</v>
      </c>
      <c r="N439" s="9">
        <v>0</v>
      </c>
      <c r="O439" s="9">
        <v>0</v>
      </c>
      <c r="P439" s="9">
        <v>0</v>
      </c>
      <c r="Q439" s="9">
        <v>0</v>
      </c>
      <c r="R439" s="9">
        <v>0</v>
      </c>
      <c r="S439" s="9">
        <v>0</v>
      </c>
      <c r="T439" s="9">
        <v>0</v>
      </c>
      <c r="U439" s="9">
        <v>0</v>
      </c>
      <c r="V439" s="9">
        <v>0</v>
      </c>
      <c r="W439" s="9">
        <v>0</v>
      </c>
      <c r="X439" s="9">
        <v>0</v>
      </c>
      <c r="Y439" s="9">
        <v>0</v>
      </c>
      <c r="Z439" s="9">
        <v>0</v>
      </c>
      <c r="AA439" s="9">
        <v>0</v>
      </c>
      <c r="AB439" s="9">
        <v>0</v>
      </c>
      <c r="AC439" s="9">
        <v>0</v>
      </c>
      <c r="AD439" s="9">
        <v>0</v>
      </c>
      <c r="AE439" s="9">
        <v>0</v>
      </c>
      <c r="AF439" s="9">
        <v>0</v>
      </c>
      <c r="AG439" s="9">
        <v>0</v>
      </c>
      <c r="AH439" s="9">
        <v>0</v>
      </c>
      <c r="AI439" s="9">
        <v>0</v>
      </c>
      <c r="AJ439" s="9">
        <v>0</v>
      </c>
      <c r="AK439" s="9">
        <v>0</v>
      </c>
      <c r="AL439" s="9">
        <v>0</v>
      </c>
      <c r="AM439" s="9">
        <v>0</v>
      </c>
      <c r="AN439" s="9">
        <v>0</v>
      </c>
      <c r="AO439" s="9">
        <v>0</v>
      </c>
      <c r="AP439" s="9">
        <v>0</v>
      </c>
      <c r="AQ439" s="9">
        <v>0</v>
      </c>
      <c r="AR439" s="9">
        <v>0</v>
      </c>
      <c r="AS439" s="9">
        <v>0</v>
      </c>
      <c r="AT439" s="9">
        <v>0</v>
      </c>
      <c r="AU439" s="9">
        <v>0</v>
      </c>
      <c r="AV439" s="9">
        <v>0</v>
      </c>
      <c r="AW439" s="9">
        <v>0</v>
      </c>
      <c r="AX439" s="9">
        <v>0</v>
      </c>
      <c r="AY439" s="9">
        <v>0</v>
      </c>
      <c r="AZ439" s="9">
        <v>0</v>
      </c>
      <c r="BA439" s="9">
        <v>0</v>
      </c>
      <c r="BB439" s="9">
        <v>0</v>
      </c>
      <c r="BC439" s="9">
        <v>0</v>
      </c>
      <c r="BD439" s="9">
        <v>0</v>
      </c>
      <c r="BE439" s="9">
        <v>0</v>
      </c>
      <c r="BF439" s="9">
        <v>0</v>
      </c>
      <c r="BG439" s="9">
        <v>0</v>
      </c>
      <c r="BH439" s="9">
        <v>0</v>
      </c>
      <c r="BI439" s="9">
        <v>0</v>
      </c>
      <c r="BJ439" s="9">
        <v>0</v>
      </c>
      <c r="BK439" s="9">
        <v>0</v>
      </c>
      <c r="BL439" s="9">
        <v>0</v>
      </c>
      <c r="BM439" s="9">
        <v>0</v>
      </c>
      <c r="BN439" s="9">
        <v>0</v>
      </c>
      <c r="BO439" s="9">
        <v>0</v>
      </c>
      <c r="BP439" s="9">
        <v>0</v>
      </c>
      <c r="BQ439" s="9">
        <v>0</v>
      </c>
      <c r="BR439" s="9">
        <v>0</v>
      </c>
      <c r="BS439" s="9">
        <v>0</v>
      </c>
      <c r="BT439" s="9">
        <v>0</v>
      </c>
      <c r="BU439" s="9">
        <v>0</v>
      </c>
      <c r="BV439" s="9">
        <v>0</v>
      </c>
      <c r="BW439" s="9">
        <v>0</v>
      </c>
      <c r="BX439" s="9">
        <v>0</v>
      </c>
      <c r="BY439" s="9">
        <v>0</v>
      </c>
      <c r="BZ439" s="9">
        <v>0</v>
      </c>
      <c r="CA439" s="9">
        <v>0</v>
      </c>
      <c r="CB439" s="9">
        <v>0</v>
      </c>
      <c r="CC439" s="9">
        <v>0</v>
      </c>
      <c r="CD439" s="9">
        <v>0</v>
      </c>
      <c r="CE439" s="9">
        <v>0</v>
      </c>
      <c r="CF439" s="9">
        <v>0</v>
      </c>
      <c r="CG439" s="9">
        <v>0</v>
      </c>
      <c r="CH439" s="9">
        <v>0</v>
      </c>
      <c r="CI439" s="9">
        <v>0</v>
      </c>
      <c r="CJ439" s="9">
        <v>0</v>
      </c>
      <c r="CK439" s="9">
        <v>0</v>
      </c>
      <c r="CL439" s="9">
        <v>0</v>
      </c>
      <c r="CM439" s="9">
        <v>0</v>
      </c>
      <c r="CN439" s="9">
        <v>0</v>
      </c>
      <c r="CO439" s="9">
        <v>0</v>
      </c>
      <c r="CP439" s="9">
        <v>0</v>
      </c>
      <c r="CQ439" s="9">
        <v>6</v>
      </c>
      <c r="CR439" s="9">
        <v>6</v>
      </c>
      <c r="CS439" s="10">
        <v>0</v>
      </c>
    </row>
    <row r="440" spans="1:97" x14ac:dyDescent="0.35">
      <c r="A440" s="8" t="s">
        <v>413</v>
      </c>
      <c r="B440" s="9" t="s">
        <v>480</v>
      </c>
      <c r="C440" s="9" t="s">
        <v>1225</v>
      </c>
      <c r="D440" s="9">
        <f t="shared" si="6"/>
        <v>53</v>
      </c>
      <c r="E440" s="9">
        <v>0</v>
      </c>
      <c r="F440" s="9">
        <v>0</v>
      </c>
      <c r="G440" s="9">
        <v>0</v>
      </c>
      <c r="H440" s="9">
        <v>0</v>
      </c>
      <c r="I440" s="9">
        <v>0</v>
      </c>
      <c r="J440" s="9">
        <v>0</v>
      </c>
      <c r="K440" s="9">
        <v>0</v>
      </c>
      <c r="L440" s="9">
        <v>0</v>
      </c>
      <c r="M440" s="9">
        <v>0</v>
      </c>
      <c r="N440" s="9">
        <v>1</v>
      </c>
      <c r="O440" s="9">
        <v>0</v>
      </c>
      <c r="P440" s="9">
        <v>2</v>
      </c>
      <c r="Q440" s="9">
        <v>0</v>
      </c>
      <c r="R440" s="9">
        <v>2</v>
      </c>
      <c r="S440" s="9">
        <v>1</v>
      </c>
      <c r="T440" s="9">
        <v>0</v>
      </c>
      <c r="U440" s="9">
        <v>0</v>
      </c>
      <c r="V440" s="9">
        <v>0</v>
      </c>
      <c r="W440" s="9">
        <v>0</v>
      </c>
      <c r="X440" s="9">
        <v>0</v>
      </c>
      <c r="Y440" s="9">
        <v>0</v>
      </c>
      <c r="Z440" s="9">
        <v>0</v>
      </c>
      <c r="AA440" s="9">
        <v>0</v>
      </c>
      <c r="AB440" s="9">
        <v>0</v>
      </c>
      <c r="AC440" s="9">
        <v>0</v>
      </c>
      <c r="AD440" s="9">
        <v>0</v>
      </c>
      <c r="AE440" s="9">
        <v>0</v>
      </c>
      <c r="AF440" s="9">
        <v>0</v>
      </c>
      <c r="AG440" s="9">
        <v>1</v>
      </c>
      <c r="AH440" s="9">
        <v>0</v>
      </c>
      <c r="AI440" s="9">
        <v>1</v>
      </c>
      <c r="AJ440" s="9">
        <v>0</v>
      </c>
      <c r="AK440" s="9">
        <v>0</v>
      </c>
      <c r="AL440" s="9">
        <v>0</v>
      </c>
      <c r="AM440" s="9">
        <v>0</v>
      </c>
      <c r="AN440" s="9">
        <v>1</v>
      </c>
      <c r="AO440" s="9">
        <v>0</v>
      </c>
      <c r="AP440" s="9">
        <v>0</v>
      </c>
      <c r="AQ440" s="9">
        <v>0</v>
      </c>
      <c r="AR440" s="9">
        <v>0</v>
      </c>
      <c r="AS440" s="9">
        <v>0</v>
      </c>
      <c r="AT440" s="9">
        <v>0</v>
      </c>
      <c r="AU440" s="9">
        <v>0</v>
      </c>
      <c r="AV440" s="9">
        <v>0</v>
      </c>
      <c r="AW440" s="9">
        <v>1</v>
      </c>
      <c r="AX440" s="9">
        <v>0</v>
      </c>
      <c r="AY440" s="9">
        <v>0</v>
      </c>
      <c r="AZ440" s="9">
        <v>0</v>
      </c>
      <c r="BA440" s="9">
        <v>0</v>
      </c>
      <c r="BB440" s="9">
        <v>2</v>
      </c>
      <c r="BC440" s="9">
        <v>0</v>
      </c>
      <c r="BD440" s="9">
        <v>0</v>
      </c>
      <c r="BE440" s="9">
        <v>3</v>
      </c>
      <c r="BF440" s="9">
        <v>3</v>
      </c>
      <c r="BG440" s="9">
        <v>0</v>
      </c>
      <c r="BH440" s="9">
        <v>0</v>
      </c>
      <c r="BI440" s="9">
        <v>0</v>
      </c>
      <c r="BJ440" s="9">
        <v>0</v>
      </c>
      <c r="BK440" s="9">
        <v>0</v>
      </c>
      <c r="BL440" s="9">
        <v>0</v>
      </c>
      <c r="BM440" s="9">
        <v>1</v>
      </c>
      <c r="BN440" s="9">
        <v>0</v>
      </c>
      <c r="BO440" s="9">
        <v>0</v>
      </c>
      <c r="BP440" s="9">
        <v>0</v>
      </c>
      <c r="BQ440" s="9">
        <v>3</v>
      </c>
      <c r="BR440" s="9">
        <v>0</v>
      </c>
      <c r="BS440" s="9">
        <v>0</v>
      </c>
      <c r="BT440" s="9">
        <v>0</v>
      </c>
      <c r="BU440" s="9">
        <v>1</v>
      </c>
      <c r="BV440" s="9">
        <v>1</v>
      </c>
      <c r="BW440" s="9">
        <v>0</v>
      </c>
      <c r="BX440" s="9">
        <v>1</v>
      </c>
      <c r="BY440" s="9">
        <v>0</v>
      </c>
      <c r="BZ440" s="9">
        <v>0</v>
      </c>
      <c r="CA440" s="9">
        <v>0</v>
      </c>
      <c r="CB440" s="9">
        <v>1</v>
      </c>
      <c r="CC440" s="9">
        <v>0</v>
      </c>
      <c r="CD440" s="9">
        <v>0</v>
      </c>
      <c r="CE440" s="9">
        <v>2</v>
      </c>
      <c r="CF440" s="9">
        <v>1</v>
      </c>
      <c r="CG440" s="9">
        <v>1</v>
      </c>
      <c r="CH440" s="9">
        <v>0</v>
      </c>
      <c r="CI440" s="9">
        <v>1</v>
      </c>
      <c r="CJ440" s="9">
        <v>1</v>
      </c>
      <c r="CK440" s="9">
        <v>5</v>
      </c>
      <c r="CL440" s="9">
        <v>4</v>
      </c>
      <c r="CM440" s="9">
        <v>2</v>
      </c>
      <c r="CN440" s="9">
        <v>1</v>
      </c>
      <c r="CO440" s="9">
        <v>2</v>
      </c>
      <c r="CP440" s="9">
        <v>3</v>
      </c>
      <c r="CQ440" s="9">
        <v>0</v>
      </c>
      <c r="CR440" s="9">
        <v>2</v>
      </c>
      <c r="CS440" s="10">
        <v>2</v>
      </c>
    </row>
    <row r="441" spans="1:97" x14ac:dyDescent="0.35">
      <c r="A441" s="8" t="s">
        <v>413</v>
      </c>
      <c r="B441" s="9" t="s">
        <v>482</v>
      </c>
      <c r="C441" s="9" t="s">
        <v>1226</v>
      </c>
      <c r="D441" s="9">
        <f t="shared" si="6"/>
        <v>110</v>
      </c>
      <c r="E441" s="9">
        <v>0</v>
      </c>
      <c r="F441" s="9">
        <v>0</v>
      </c>
      <c r="G441" s="9">
        <v>0</v>
      </c>
      <c r="H441" s="9">
        <v>1</v>
      </c>
      <c r="I441" s="9">
        <v>0</v>
      </c>
      <c r="J441" s="9">
        <v>0</v>
      </c>
      <c r="K441" s="9">
        <v>0</v>
      </c>
      <c r="L441" s="9">
        <v>0</v>
      </c>
      <c r="M441" s="9">
        <v>0</v>
      </c>
      <c r="N441" s="9">
        <v>0</v>
      </c>
      <c r="O441" s="9">
        <v>0</v>
      </c>
      <c r="P441" s="9">
        <v>0</v>
      </c>
      <c r="Q441" s="9">
        <v>0</v>
      </c>
      <c r="R441" s="9">
        <v>0</v>
      </c>
      <c r="S441" s="9">
        <v>0</v>
      </c>
      <c r="T441" s="9">
        <v>0</v>
      </c>
      <c r="U441" s="9">
        <v>0</v>
      </c>
      <c r="V441" s="9">
        <v>0</v>
      </c>
      <c r="W441" s="9">
        <v>1</v>
      </c>
      <c r="X441" s="9">
        <v>0</v>
      </c>
      <c r="Y441" s="9">
        <v>0</v>
      </c>
      <c r="Z441" s="9">
        <v>0</v>
      </c>
      <c r="AA441" s="9">
        <v>1</v>
      </c>
      <c r="AB441" s="9">
        <v>0</v>
      </c>
      <c r="AC441" s="9">
        <v>0</v>
      </c>
      <c r="AD441" s="9">
        <v>0</v>
      </c>
      <c r="AE441" s="9">
        <v>0</v>
      </c>
      <c r="AF441" s="9">
        <v>0</v>
      </c>
      <c r="AG441" s="9">
        <v>0</v>
      </c>
      <c r="AH441" s="9">
        <v>0</v>
      </c>
      <c r="AI441" s="9">
        <v>0</v>
      </c>
      <c r="AJ441" s="9">
        <v>0</v>
      </c>
      <c r="AK441" s="9">
        <v>0</v>
      </c>
      <c r="AL441" s="9">
        <v>1</v>
      </c>
      <c r="AM441" s="9">
        <v>0</v>
      </c>
      <c r="AN441" s="9">
        <v>0</v>
      </c>
      <c r="AO441" s="9">
        <v>0</v>
      </c>
      <c r="AP441" s="9">
        <v>0</v>
      </c>
      <c r="AQ441" s="9">
        <v>0</v>
      </c>
      <c r="AR441" s="9">
        <v>0</v>
      </c>
      <c r="AS441" s="9">
        <v>0</v>
      </c>
      <c r="AT441" s="9">
        <v>0</v>
      </c>
      <c r="AU441" s="9">
        <v>0</v>
      </c>
      <c r="AV441" s="9">
        <v>0</v>
      </c>
      <c r="AW441" s="9">
        <v>0</v>
      </c>
      <c r="AX441" s="9">
        <v>0</v>
      </c>
      <c r="AY441" s="9">
        <v>0</v>
      </c>
      <c r="AZ441" s="9">
        <v>0</v>
      </c>
      <c r="BA441" s="9">
        <v>0</v>
      </c>
      <c r="BB441" s="9">
        <v>0</v>
      </c>
      <c r="BC441" s="9">
        <v>0</v>
      </c>
      <c r="BD441" s="9">
        <v>0</v>
      </c>
      <c r="BE441" s="9">
        <v>0</v>
      </c>
      <c r="BF441" s="9">
        <v>1</v>
      </c>
      <c r="BG441" s="9">
        <v>0</v>
      </c>
      <c r="BH441" s="9">
        <v>0</v>
      </c>
      <c r="BI441" s="9">
        <v>0</v>
      </c>
      <c r="BJ441" s="9">
        <v>0</v>
      </c>
      <c r="BK441" s="9">
        <v>1</v>
      </c>
      <c r="BL441" s="9">
        <v>0</v>
      </c>
      <c r="BM441" s="9">
        <v>0</v>
      </c>
      <c r="BN441" s="9">
        <v>1</v>
      </c>
      <c r="BO441" s="9">
        <v>0</v>
      </c>
      <c r="BP441" s="9">
        <v>0</v>
      </c>
      <c r="BQ441" s="9">
        <v>0</v>
      </c>
      <c r="BR441" s="9">
        <v>1</v>
      </c>
      <c r="BS441" s="9">
        <v>1</v>
      </c>
      <c r="BT441" s="9">
        <v>7</v>
      </c>
      <c r="BU441" s="9">
        <v>1</v>
      </c>
      <c r="BV441" s="9">
        <v>1</v>
      </c>
      <c r="BW441" s="9">
        <v>4</v>
      </c>
      <c r="BX441" s="9">
        <v>2</v>
      </c>
      <c r="BY441" s="9">
        <v>3</v>
      </c>
      <c r="BZ441" s="9">
        <v>0</v>
      </c>
      <c r="CA441" s="9">
        <v>4</v>
      </c>
      <c r="CB441" s="9">
        <v>0</v>
      </c>
      <c r="CC441" s="9">
        <v>1</v>
      </c>
      <c r="CD441" s="9">
        <v>0</v>
      </c>
      <c r="CE441" s="9">
        <v>0</v>
      </c>
      <c r="CF441" s="9">
        <v>1</v>
      </c>
      <c r="CG441" s="9">
        <v>3</v>
      </c>
      <c r="CH441" s="9">
        <v>2</v>
      </c>
      <c r="CI441" s="9">
        <v>5</v>
      </c>
      <c r="CJ441" s="9">
        <v>2</v>
      </c>
      <c r="CK441" s="9">
        <v>4</v>
      </c>
      <c r="CL441" s="9">
        <v>1</v>
      </c>
      <c r="CM441" s="9">
        <v>12</v>
      </c>
      <c r="CN441" s="9">
        <v>4</v>
      </c>
      <c r="CO441" s="9">
        <v>9</v>
      </c>
      <c r="CP441" s="9">
        <v>9</v>
      </c>
      <c r="CQ441" s="9">
        <v>7</v>
      </c>
      <c r="CR441" s="9">
        <v>9</v>
      </c>
      <c r="CS441" s="10">
        <v>10</v>
      </c>
    </row>
    <row r="442" spans="1:97" x14ac:dyDescent="0.35">
      <c r="A442" s="8" t="s">
        <v>413</v>
      </c>
      <c r="B442" s="9" t="s">
        <v>484</v>
      </c>
      <c r="C442" s="9" t="s">
        <v>1227</v>
      </c>
      <c r="D442" s="9">
        <f t="shared" si="6"/>
        <v>46</v>
      </c>
      <c r="E442" s="9">
        <v>0</v>
      </c>
      <c r="F442" s="9">
        <v>0</v>
      </c>
      <c r="G442" s="9">
        <v>0</v>
      </c>
      <c r="H442" s="9">
        <v>0</v>
      </c>
      <c r="I442" s="9">
        <v>0</v>
      </c>
      <c r="J442" s="9">
        <v>0</v>
      </c>
      <c r="K442" s="9">
        <v>0</v>
      </c>
      <c r="L442" s="9">
        <v>1</v>
      </c>
      <c r="M442" s="9">
        <v>0</v>
      </c>
      <c r="N442" s="9">
        <v>0</v>
      </c>
      <c r="O442" s="9">
        <v>0</v>
      </c>
      <c r="P442" s="9">
        <v>0</v>
      </c>
      <c r="Q442" s="9">
        <v>0</v>
      </c>
      <c r="R442" s="9">
        <v>0</v>
      </c>
      <c r="S442" s="9">
        <v>0</v>
      </c>
      <c r="T442" s="9">
        <v>0</v>
      </c>
      <c r="U442" s="9">
        <v>0</v>
      </c>
      <c r="V442" s="9">
        <v>0</v>
      </c>
      <c r="W442" s="9">
        <v>0</v>
      </c>
      <c r="X442" s="9">
        <v>0</v>
      </c>
      <c r="Y442" s="9">
        <v>0</v>
      </c>
      <c r="Z442" s="9">
        <v>0</v>
      </c>
      <c r="AA442" s="9">
        <v>0</v>
      </c>
      <c r="AB442" s="9">
        <v>0</v>
      </c>
      <c r="AC442" s="9">
        <v>0</v>
      </c>
      <c r="AD442" s="9">
        <v>0</v>
      </c>
      <c r="AE442" s="9">
        <v>0</v>
      </c>
      <c r="AF442" s="9">
        <v>0</v>
      </c>
      <c r="AG442" s="9">
        <v>0</v>
      </c>
      <c r="AH442" s="9">
        <v>0</v>
      </c>
      <c r="AI442" s="9">
        <v>0</v>
      </c>
      <c r="AJ442" s="9">
        <v>0</v>
      </c>
      <c r="AK442" s="9">
        <v>0</v>
      </c>
      <c r="AL442" s="9">
        <v>0</v>
      </c>
      <c r="AM442" s="9">
        <v>0</v>
      </c>
      <c r="AN442" s="9">
        <v>0</v>
      </c>
      <c r="AO442" s="9">
        <v>0</v>
      </c>
      <c r="AP442" s="9">
        <v>0</v>
      </c>
      <c r="AQ442" s="9">
        <v>0</v>
      </c>
      <c r="AR442" s="9">
        <v>0</v>
      </c>
      <c r="AS442" s="9">
        <v>0</v>
      </c>
      <c r="AT442" s="9">
        <v>0</v>
      </c>
      <c r="AU442" s="9">
        <v>0</v>
      </c>
      <c r="AV442" s="9">
        <v>0</v>
      </c>
      <c r="AW442" s="9">
        <v>0</v>
      </c>
      <c r="AX442" s="9">
        <v>0</v>
      </c>
      <c r="AY442" s="9">
        <v>1</v>
      </c>
      <c r="AZ442" s="9">
        <v>1</v>
      </c>
      <c r="BA442" s="9">
        <v>0</v>
      </c>
      <c r="BB442" s="9">
        <v>0</v>
      </c>
      <c r="BC442" s="9">
        <v>0</v>
      </c>
      <c r="BD442" s="9">
        <v>1</v>
      </c>
      <c r="BE442" s="9">
        <v>2</v>
      </c>
      <c r="BF442" s="9">
        <v>2</v>
      </c>
      <c r="BG442" s="9">
        <v>0</v>
      </c>
      <c r="BH442" s="9">
        <v>0</v>
      </c>
      <c r="BI442" s="9">
        <v>0</v>
      </c>
      <c r="BJ442" s="9">
        <v>1</v>
      </c>
      <c r="BK442" s="9">
        <v>0</v>
      </c>
      <c r="BL442" s="9">
        <v>2</v>
      </c>
      <c r="BM442" s="9">
        <v>1</v>
      </c>
      <c r="BN442" s="9">
        <v>0</v>
      </c>
      <c r="BO442" s="9">
        <v>1</v>
      </c>
      <c r="BP442" s="9">
        <v>0</v>
      </c>
      <c r="BQ442" s="9">
        <v>2</v>
      </c>
      <c r="BR442" s="9">
        <v>0</v>
      </c>
      <c r="BS442" s="9">
        <v>1</v>
      </c>
      <c r="BT442" s="9">
        <v>0</v>
      </c>
      <c r="BU442" s="9">
        <v>0</v>
      </c>
      <c r="BV442" s="9">
        <v>0</v>
      </c>
      <c r="BW442" s="9">
        <v>0</v>
      </c>
      <c r="BX442" s="9">
        <v>0</v>
      </c>
      <c r="BY442" s="9">
        <v>1</v>
      </c>
      <c r="BZ442" s="9">
        <v>0</v>
      </c>
      <c r="CA442" s="9">
        <v>0</v>
      </c>
      <c r="CB442" s="9">
        <v>3</v>
      </c>
      <c r="CC442" s="9">
        <v>1</v>
      </c>
      <c r="CD442" s="9">
        <v>2</v>
      </c>
      <c r="CE442" s="9">
        <v>0</v>
      </c>
      <c r="CF442" s="9">
        <v>1</v>
      </c>
      <c r="CG442" s="9">
        <v>1</v>
      </c>
      <c r="CH442" s="9">
        <v>1</v>
      </c>
      <c r="CI442" s="9">
        <v>1</v>
      </c>
      <c r="CJ442" s="9">
        <v>0</v>
      </c>
      <c r="CK442" s="9">
        <v>1</v>
      </c>
      <c r="CL442" s="9">
        <v>1</v>
      </c>
      <c r="CM442" s="9">
        <v>3</v>
      </c>
      <c r="CN442" s="9">
        <v>3</v>
      </c>
      <c r="CO442" s="9">
        <v>3</v>
      </c>
      <c r="CP442" s="9">
        <v>2</v>
      </c>
      <c r="CQ442" s="9">
        <v>3</v>
      </c>
      <c r="CR442" s="9">
        <v>1</v>
      </c>
      <c r="CS442" s="10">
        <v>2</v>
      </c>
    </row>
    <row r="443" spans="1:97" x14ac:dyDescent="0.35">
      <c r="A443" s="8" t="s">
        <v>413</v>
      </c>
      <c r="B443" s="9" t="s">
        <v>486</v>
      </c>
      <c r="C443" s="9" t="s">
        <v>1228</v>
      </c>
      <c r="D443" s="9">
        <f t="shared" si="6"/>
        <v>0</v>
      </c>
      <c r="E443" s="9">
        <v>0</v>
      </c>
      <c r="F443" s="9">
        <v>0</v>
      </c>
      <c r="G443" s="9">
        <v>0</v>
      </c>
      <c r="H443" s="9">
        <v>0</v>
      </c>
      <c r="I443" s="9">
        <v>0</v>
      </c>
      <c r="J443" s="9">
        <v>0</v>
      </c>
      <c r="K443" s="9">
        <v>0</v>
      </c>
      <c r="L443" s="9">
        <v>0</v>
      </c>
      <c r="M443" s="9">
        <v>0</v>
      </c>
      <c r="N443" s="9">
        <v>0</v>
      </c>
      <c r="O443" s="9">
        <v>0</v>
      </c>
      <c r="P443" s="9">
        <v>0</v>
      </c>
      <c r="Q443" s="9">
        <v>0</v>
      </c>
      <c r="R443" s="9">
        <v>0</v>
      </c>
      <c r="S443" s="9">
        <v>0</v>
      </c>
      <c r="T443" s="9">
        <v>0</v>
      </c>
      <c r="U443" s="9">
        <v>0</v>
      </c>
      <c r="V443" s="9">
        <v>0</v>
      </c>
      <c r="W443" s="9">
        <v>0</v>
      </c>
      <c r="X443" s="9">
        <v>0</v>
      </c>
      <c r="Y443" s="9">
        <v>0</v>
      </c>
      <c r="Z443" s="9">
        <v>0</v>
      </c>
      <c r="AA443" s="9">
        <v>0</v>
      </c>
      <c r="AB443" s="9">
        <v>0</v>
      </c>
      <c r="AC443" s="9">
        <v>0</v>
      </c>
      <c r="AD443" s="9">
        <v>0</v>
      </c>
      <c r="AE443" s="9">
        <v>0</v>
      </c>
      <c r="AF443" s="9">
        <v>0</v>
      </c>
      <c r="AG443" s="9">
        <v>0</v>
      </c>
      <c r="AH443" s="9">
        <v>0</v>
      </c>
      <c r="AI443" s="9">
        <v>0</v>
      </c>
      <c r="AJ443" s="9">
        <v>0</v>
      </c>
      <c r="AK443" s="9">
        <v>0</v>
      </c>
      <c r="AL443" s="9">
        <v>0</v>
      </c>
      <c r="AM443" s="9">
        <v>0</v>
      </c>
      <c r="AN443" s="9">
        <v>0</v>
      </c>
      <c r="AO443" s="9">
        <v>0</v>
      </c>
      <c r="AP443" s="9">
        <v>0</v>
      </c>
      <c r="AQ443" s="9">
        <v>0</v>
      </c>
      <c r="AR443" s="9">
        <v>0</v>
      </c>
      <c r="AS443" s="9">
        <v>0</v>
      </c>
      <c r="AT443" s="9">
        <v>0</v>
      </c>
      <c r="AU443" s="9">
        <v>0</v>
      </c>
      <c r="AV443" s="9">
        <v>0</v>
      </c>
      <c r="AW443" s="9">
        <v>0</v>
      </c>
      <c r="AX443" s="9">
        <v>0</v>
      </c>
      <c r="AY443" s="9">
        <v>0</v>
      </c>
      <c r="AZ443" s="9">
        <v>0</v>
      </c>
      <c r="BA443" s="9">
        <v>0</v>
      </c>
      <c r="BB443" s="9">
        <v>0</v>
      </c>
      <c r="BC443" s="9">
        <v>0</v>
      </c>
      <c r="BD443" s="9">
        <v>0</v>
      </c>
      <c r="BE443" s="9">
        <v>0</v>
      </c>
      <c r="BF443" s="9">
        <v>0</v>
      </c>
      <c r="BG443" s="9">
        <v>0</v>
      </c>
      <c r="BH443" s="9">
        <v>0</v>
      </c>
      <c r="BI443" s="9">
        <v>0</v>
      </c>
      <c r="BJ443" s="9">
        <v>0</v>
      </c>
      <c r="BK443" s="9">
        <v>0</v>
      </c>
      <c r="BL443" s="9">
        <v>0</v>
      </c>
      <c r="BM443" s="9">
        <v>0</v>
      </c>
      <c r="BN443" s="9">
        <v>0</v>
      </c>
      <c r="BO443" s="9">
        <v>0</v>
      </c>
      <c r="BP443" s="9">
        <v>0</v>
      </c>
      <c r="BQ443" s="9">
        <v>0</v>
      </c>
      <c r="BR443" s="9">
        <v>0</v>
      </c>
      <c r="BS443" s="9">
        <v>0</v>
      </c>
      <c r="BT443" s="9">
        <v>0</v>
      </c>
      <c r="BU443" s="9">
        <v>0</v>
      </c>
      <c r="BV443" s="9">
        <v>0</v>
      </c>
      <c r="BW443" s="9">
        <v>0</v>
      </c>
      <c r="BX443" s="9">
        <v>0</v>
      </c>
      <c r="BY443" s="9">
        <v>0</v>
      </c>
      <c r="BZ443" s="9">
        <v>0</v>
      </c>
      <c r="CA443" s="9">
        <v>0</v>
      </c>
      <c r="CB443" s="9">
        <v>0</v>
      </c>
      <c r="CC443" s="9">
        <v>0</v>
      </c>
      <c r="CD443" s="9">
        <v>0</v>
      </c>
      <c r="CE443" s="9">
        <v>0</v>
      </c>
      <c r="CF443" s="9">
        <v>0</v>
      </c>
      <c r="CG443" s="9">
        <v>0</v>
      </c>
      <c r="CH443" s="9">
        <v>0</v>
      </c>
      <c r="CI443" s="9">
        <v>0</v>
      </c>
      <c r="CJ443" s="9">
        <v>0</v>
      </c>
      <c r="CK443" s="9">
        <v>0</v>
      </c>
      <c r="CL443" s="9">
        <v>0</v>
      </c>
      <c r="CM443" s="9">
        <v>0</v>
      </c>
      <c r="CN443" s="9">
        <v>0</v>
      </c>
      <c r="CO443" s="9">
        <v>0</v>
      </c>
      <c r="CP443" s="9">
        <v>0</v>
      </c>
      <c r="CQ443" s="9">
        <v>0</v>
      </c>
      <c r="CR443" s="9">
        <v>0</v>
      </c>
      <c r="CS443" s="10">
        <v>0</v>
      </c>
    </row>
    <row r="444" spans="1:97" x14ac:dyDescent="0.35">
      <c r="A444" s="8" t="s">
        <v>413</v>
      </c>
      <c r="B444" s="9" t="s">
        <v>488</v>
      </c>
      <c r="C444" s="9" t="s">
        <v>1229</v>
      </c>
      <c r="D444" s="9">
        <f t="shared" si="6"/>
        <v>1</v>
      </c>
      <c r="E444" s="9">
        <v>0</v>
      </c>
      <c r="F444" s="9">
        <v>0</v>
      </c>
      <c r="G444" s="9">
        <v>0</v>
      </c>
      <c r="H444" s="9">
        <v>1</v>
      </c>
      <c r="I444" s="9">
        <v>0</v>
      </c>
      <c r="J444" s="9">
        <v>0</v>
      </c>
      <c r="K444" s="9">
        <v>0</v>
      </c>
      <c r="L444" s="9">
        <v>0</v>
      </c>
      <c r="M444" s="9">
        <v>0</v>
      </c>
      <c r="N444" s="9">
        <v>0</v>
      </c>
      <c r="O444" s="9">
        <v>0</v>
      </c>
      <c r="P444" s="9">
        <v>0</v>
      </c>
      <c r="Q444" s="9">
        <v>0</v>
      </c>
      <c r="R444" s="9">
        <v>0</v>
      </c>
      <c r="S444" s="9">
        <v>0</v>
      </c>
      <c r="T444" s="9">
        <v>0</v>
      </c>
      <c r="U444" s="9">
        <v>0</v>
      </c>
      <c r="V444" s="9">
        <v>0</v>
      </c>
      <c r="W444" s="9">
        <v>0</v>
      </c>
      <c r="X444" s="9">
        <v>0</v>
      </c>
      <c r="Y444" s="9">
        <v>0</v>
      </c>
      <c r="Z444" s="9">
        <v>0</v>
      </c>
      <c r="AA444" s="9">
        <v>0</v>
      </c>
      <c r="AB444" s="9">
        <v>0</v>
      </c>
      <c r="AC444" s="9">
        <v>0</v>
      </c>
      <c r="AD444" s="9">
        <v>0</v>
      </c>
      <c r="AE444" s="9">
        <v>0</v>
      </c>
      <c r="AF444" s="9">
        <v>0</v>
      </c>
      <c r="AG444" s="9">
        <v>0</v>
      </c>
      <c r="AH444" s="9">
        <v>0</v>
      </c>
      <c r="AI444" s="9">
        <v>0</v>
      </c>
      <c r="AJ444" s="9">
        <v>0</v>
      </c>
      <c r="AK444" s="9">
        <v>0</v>
      </c>
      <c r="AL444" s="9">
        <v>0</v>
      </c>
      <c r="AM444" s="9">
        <v>0</v>
      </c>
      <c r="AN444" s="9">
        <v>0</v>
      </c>
      <c r="AO444" s="9">
        <v>0</v>
      </c>
      <c r="AP444" s="9">
        <v>0</v>
      </c>
      <c r="AQ444" s="9">
        <v>0</v>
      </c>
      <c r="AR444" s="9">
        <v>0</v>
      </c>
      <c r="AS444" s="9">
        <v>0</v>
      </c>
      <c r="AT444" s="9">
        <v>0</v>
      </c>
      <c r="AU444" s="9">
        <v>0</v>
      </c>
      <c r="AV444" s="9">
        <v>0</v>
      </c>
      <c r="AW444" s="9">
        <v>0</v>
      </c>
      <c r="AX444" s="9">
        <v>0</v>
      </c>
      <c r="AY444" s="9">
        <v>0</v>
      </c>
      <c r="AZ444" s="9">
        <v>0</v>
      </c>
      <c r="BA444" s="9">
        <v>0</v>
      </c>
      <c r="BB444" s="9">
        <v>0</v>
      </c>
      <c r="BC444" s="9">
        <v>0</v>
      </c>
      <c r="BD444" s="9">
        <v>0</v>
      </c>
      <c r="BE444" s="9">
        <v>0</v>
      </c>
      <c r="BF444" s="9">
        <v>0</v>
      </c>
      <c r="BG444" s="9">
        <v>0</v>
      </c>
      <c r="BH444" s="9">
        <v>0</v>
      </c>
      <c r="BI444" s="9">
        <v>0</v>
      </c>
      <c r="BJ444" s="9">
        <v>0</v>
      </c>
      <c r="BK444" s="9">
        <v>0</v>
      </c>
      <c r="BL444" s="9">
        <v>0</v>
      </c>
      <c r="BM444" s="9">
        <v>0</v>
      </c>
      <c r="BN444" s="9">
        <v>0</v>
      </c>
      <c r="BO444" s="9">
        <v>0</v>
      </c>
      <c r="BP444" s="9">
        <v>0</v>
      </c>
      <c r="BQ444" s="9">
        <v>0</v>
      </c>
      <c r="BR444" s="9">
        <v>0</v>
      </c>
      <c r="BS444" s="9">
        <v>0</v>
      </c>
      <c r="BT444" s="9">
        <v>0</v>
      </c>
      <c r="BU444" s="9">
        <v>0</v>
      </c>
      <c r="BV444" s="9">
        <v>0</v>
      </c>
      <c r="BW444" s="9">
        <v>0</v>
      </c>
      <c r="BX444" s="9">
        <v>0</v>
      </c>
      <c r="BY444" s="9">
        <v>0</v>
      </c>
      <c r="BZ444" s="9">
        <v>0</v>
      </c>
      <c r="CA444" s="9">
        <v>0</v>
      </c>
      <c r="CB444" s="9">
        <v>0</v>
      </c>
      <c r="CC444" s="9">
        <v>0</v>
      </c>
      <c r="CD444" s="9">
        <v>0</v>
      </c>
      <c r="CE444" s="9">
        <v>0</v>
      </c>
      <c r="CF444" s="9">
        <v>0</v>
      </c>
      <c r="CG444" s="9">
        <v>0</v>
      </c>
      <c r="CH444" s="9">
        <v>0</v>
      </c>
      <c r="CI444" s="9">
        <v>0</v>
      </c>
      <c r="CJ444" s="9">
        <v>0</v>
      </c>
      <c r="CK444" s="9">
        <v>0</v>
      </c>
      <c r="CL444" s="9">
        <v>0</v>
      </c>
      <c r="CM444" s="9">
        <v>0</v>
      </c>
      <c r="CN444" s="9">
        <v>0</v>
      </c>
      <c r="CO444" s="9">
        <v>0</v>
      </c>
      <c r="CP444" s="9">
        <v>0</v>
      </c>
      <c r="CQ444" s="9">
        <v>0</v>
      </c>
      <c r="CR444" s="9">
        <v>0</v>
      </c>
      <c r="CS444" s="10">
        <v>0</v>
      </c>
    </row>
    <row r="445" spans="1:97" x14ac:dyDescent="0.35">
      <c r="A445" s="8" t="s">
        <v>413</v>
      </c>
      <c r="B445" s="9" t="s">
        <v>490</v>
      </c>
      <c r="C445" s="9" t="s">
        <v>1230</v>
      </c>
      <c r="D445" s="9">
        <f t="shared" si="6"/>
        <v>88</v>
      </c>
      <c r="E445" s="9">
        <v>0</v>
      </c>
      <c r="F445" s="9">
        <v>0</v>
      </c>
      <c r="G445" s="9">
        <v>0</v>
      </c>
      <c r="H445" s="9">
        <v>0</v>
      </c>
      <c r="I445" s="9">
        <v>0</v>
      </c>
      <c r="J445" s="9">
        <v>0</v>
      </c>
      <c r="K445" s="9">
        <v>0</v>
      </c>
      <c r="L445" s="9">
        <v>0</v>
      </c>
      <c r="M445" s="9">
        <v>0</v>
      </c>
      <c r="N445" s="9">
        <v>0</v>
      </c>
      <c r="O445" s="9">
        <v>0</v>
      </c>
      <c r="P445" s="9">
        <v>0</v>
      </c>
      <c r="Q445" s="9">
        <v>0</v>
      </c>
      <c r="R445" s="9">
        <v>1</v>
      </c>
      <c r="S445" s="9">
        <v>0</v>
      </c>
      <c r="T445" s="9">
        <v>0</v>
      </c>
      <c r="U445" s="9">
        <v>0</v>
      </c>
      <c r="V445" s="9">
        <v>0</v>
      </c>
      <c r="W445" s="9">
        <v>0</v>
      </c>
      <c r="X445" s="9">
        <v>0</v>
      </c>
      <c r="Y445" s="9">
        <v>0</v>
      </c>
      <c r="Z445" s="9">
        <v>1</v>
      </c>
      <c r="AA445" s="9">
        <v>2</v>
      </c>
      <c r="AB445" s="9">
        <v>0</v>
      </c>
      <c r="AC445" s="9">
        <v>0</v>
      </c>
      <c r="AD445" s="9">
        <v>0</v>
      </c>
      <c r="AE445" s="9">
        <v>2</v>
      </c>
      <c r="AF445" s="9">
        <v>0</v>
      </c>
      <c r="AG445" s="9">
        <v>0</v>
      </c>
      <c r="AH445" s="9">
        <v>0</v>
      </c>
      <c r="AI445" s="9">
        <v>0</v>
      </c>
      <c r="AJ445" s="9">
        <v>0</v>
      </c>
      <c r="AK445" s="9">
        <v>3</v>
      </c>
      <c r="AL445" s="9">
        <v>1</v>
      </c>
      <c r="AM445" s="9">
        <v>6</v>
      </c>
      <c r="AN445" s="9">
        <v>1</v>
      </c>
      <c r="AO445" s="9">
        <v>2</v>
      </c>
      <c r="AP445" s="9">
        <v>1</v>
      </c>
      <c r="AQ445" s="9">
        <v>2</v>
      </c>
      <c r="AR445" s="9">
        <v>0</v>
      </c>
      <c r="AS445" s="9">
        <v>1</v>
      </c>
      <c r="AT445" s="9">
        <v>3</v>
      </c>
      <c r="AU445" s="9">
        <v>2</v>
      </c>
      <c r="AV445" s="9">
        <v>1</v>
      </c>
      <c r="AW445" s="9">
        <v>1</v>
      </c>
      <c r="AX445" s="9">
        <v>1</v>
      </c>
      <c r="AY445" s="9">
        <v>2</v>
      </c>
      <c r="AZ445" s="9">
        <v>1</v>
      </c>
      <c r="BA445" s="9">
        <v>1</v>
      </c>
      <c r="BB445" s="9">
        <v>2</v>
      </c>
      <c r="BC445" s="9">
        <v>2</v>
      </c>
      <c r="BD445" s="9">
        <v>4</v>
      </c>
      <c r="BE445" s="9">
        <v>0</v>
      </c>
      <c r="BF445" s="9">
        <v>1</v>
      </c>
      <c r="BG445" s="9">
        <v>2</v>
      </c>
      <c r="BH445" s="9">
        <v>4</v>
      </c>
      <c r="BI445" s="9">
        <v>0</v>
      </c>
      <c r="BJ445" s="9">
        <v>0</v>
      </c>
      <c r="BK445" s="9">
        <v>1</v>
      </c>
      <c r="BL445" s="9">
        <v>2</v>
      </c>
      <c r="BM445" s="9">
        <v>0</v>
      </c>
      <c r="BN445" s="9">
        <v>0</v>
      </c>
      <c r="BO445" s="9">
        <v>0</v>
      </c>
      <c r="BP445" s="9">
        <v>0</v>
      </c>
      <c r="BQ445" s="9">
        <v>1</v>
      </c>
      <c r="BR445" s="9">
        <v>1</v>
      </c>
      <c r="BS445" s="9">
        <v>0</v>
      </c>
      <c r="BT445" s="9">
        <v>0</v>
      </c>
      <c r="BU445" s="9">
        <v>2</v>
      </c>
      <c r="BV445" s="9">
        <v>1</v>
      </c>
      <c r="BW445" s="9">
        <v>0</v>
      </c>
      <c r="BX445" s="9">
        <v>0</v>
      </c>
      <c r="BY445" s="9">
        <v>1</v>
      </c>
      <c r="BZ445" s="9">
        <v>2</v>
      </c>
      <c r="CA445" s="9">
        <v>0</v>
      </c>
      <c r="CB445" s="9">
        <v>1</v>
      </c>
      <c r="CC445" s="9">
        <v>0</v>
      </c>
      <c r="CD445" s="9">
        <v>0</v>
      </c>
      <c r="CE445" s="9">
        <v>2</v>
      </c>
      <c r="CF445" s="9">
        <v>1</v>
      </c>
      <c r="CG445" s="9">
        <v>1</v>
      </c>
      <c r="CH445" s="9">
        <v>0</v>
      </c>
      <c r="CI445" s="9">
        <v>1</v>
      </c>
      <c r="CJ445" s="9">
        <v>0</v>
      </c>
      <c r="CK445" s="9">
        <v>1</v>
      </c>
      <c r="CL445" s="9">
        <v>0</v>
      </c>
      <c r="CM445" s="9">
        <v>2</v>
      </c>
      <c r="CN445" s="9">
        <v>0</v>
      </c>
      <c r="CO445" s="9">
        <v>2</v>
      </c>
      <c r="CP445" s="9">
        <v>4</v>
      </c>
      <c r="CQ445" s="9">
        <v>2</v>
      </c>
      <c r="CR445" s="9">
        <v>9</v>
      </c>
      <c r="CS445" s="10">
        <v>1</v>
      </c>
    </row>
    <row r="446" spans="1:97" x14ac:dyDescent="0.35">
      <c r="A446" s="8" t="s">
        <v>413</v>
      </c>
      <c r="B446" s="9" t="s">
        <v>492</v>
      </c>
      <c r="C446" s="9" t="s">
        <v>1231</v>
      </c>
      <c r="D446" s="9">
        <f t="shared" si="6"/>
        <v>4</v>
      </c>
      <c r="E446" s="9">
        <v>0</v>
      </c>
      <c r="F446" s="9">
        <v>0</v>
      </c>
      <c r="G446" s="9">
        <v>1</v>
      </c>
      <c r="H446" s="9">
        <v>0</v>
      </c>
      <c r="I446" s="9">
        <v>0</v>
      </c>
      <c r="J446" s="9">
        <v>0</v>
      </c>
      <c r="K446" s="9">
        <v>0</v>
      </c>
      <c r="L446" s="9">
        <v>0</v>
      </c>
      <c r="M446" s="9">
        <v>0</v>
      </c>
      <c r="N446" s="9">
        <v>0</v>
      </c>
      <c r="O446" s="9">
        <v>0</v>
      </c>
      <c r="P446" s="9">
        <v>0</v>
      </c>
      <c r="Q446" s="9">
        <v>1</v>
      </c>
      <c r="R446" s="9">
        <v>0</v>
      </c>
      <c r="S446" s="9">
        <v>0</v>
      </c>
      <c r="T446" s="9">
        <v>1</v>
      </c>
      <c r="U446" s="9">
        <v>0</v>
      </c>
      <c r="V446" s="9">
        <v>0</v>
      </c>
      <c r="W446" s="9">
        <v>0</v>
      </c>
      <c r="X446" s="9">
        <v>0</v>
      </c>
      <c r="Y446" s="9">
        <v>0</v>
      </c>
      <c r="Z446" s="9">
        <v>0</v>
      </c>
      <c r="AA446" s="9">
        <v>0</v>
      </c>
      <c r="AB446" s="9">
        <v>0</v>
      </c>
      <c r="AC446" s="9">
        <v>0</v>
      </c>
      <c r="AD446" s="9">
        <v>0</v>
      </c>
      <c r="AE446" s="9">
        <v>0</v>
      </c>
      <c r="AF446" s="9">
        <v>0</v>
      </c>
      <c r="AG446" s="9">
        <v>0</v>
      </c>
      <c r="AH446" s="9">
        <v>0</v>
      </c>
      <c r="AI446" s="9">
        <v>0</v>
      </c>
      <c r="AJ446" s="9">
        <v>0</v>
      </c>
      <c r="AK446" s="9">
        <v>0</v>
      </c>
      <c r="AL446" s="9">
        <v>0</v>
      </c>
      <c r="AM446" s="9">
        <v>0</v>
      </c>
      <c r="AN446" s="9">
        <v>0</v>
      </c>
      <c r="AO446" s="9">
        <v>0</v>
      </c>
      <c r="AP446" s="9">
        <v>0</v>
      </c>
      <c r="AQ446" s="9">
        <v>0</v>
      </c>
      <c r="AR446" s="9">
        <v>0</v>
      </c>
      <c r="AS446" s="9">
        <v>0</v>
      </c>
      <c r="AT446" s="9">
        <v>0</v>
      </c>
      <c r="AU446" s="9">
        <v>0</v>
      </c>
      <c r="AV446" s="9">
        <v>0</v>
      </c>
      <c r="AW446" s="9">
        <v>0</v>
      </c>
      <c r="AX446" s="9">
        <v>0</v>
      </c>
      <c r="AY446" s="9">
        <v>0</v>
      </c>
      <c r="AZ446" s="9">
        <v>0</v>
      </c>
      <c r="BA446" s="9">
        <v>0</v>
      </c>
      <c r="BB446" s="9">
        <v>0</v>
      </c>
      <c r="BC446" s="9">
        <v>1</v>
      </c>
      <c r="BD446" s="9">
        <v>0</v>
      </c>
      <c r="BE446" s="9">
        <v>0</v>
      </c>
      <c r="BF446" s="9">
        <v>0</v>
      </c>
      <c r="BG446" s="9">
        <v>0</v>
      </c>
      <c r="BH446" s="9">
        <v>0</v>
      </c>
      <c r="BI446" s="9">
        <v>0</v>
      </c>
      <c r="BJ446" s="9">
        <v>0</v>
      </c>
      <c r="BK446" s="9">
        <v>0</v>
      </c>
      <c r="BL446" s="9">
        <v>0</v>
      </c>
      <c r="BM446" s="9">
        <v>0</v>
      </c>
      <c r="BN446" s="9">
        <v>0</v>
      </c>
      <c r="BO446" s="9">
        <v>0</v>
      </c>
      <c r="BP446" s="9">
        <v>0</v>
      </c>
      <c r="BQ446" s="9">
        <v>0</v>
      </c>
      <c r="BR446" s="9">
        <v>0</v>
      </c>
      <c r="BS446" s="9">
        <v>0</v>
      </c>
      <c r="BT446" s="9">
        <v>0</v>
      </c>
      <c r="BU446" s="9">
        <v>0</v>
      </c>
      <c r="BV446" s="9">
        <v>0</v>
      </c>
      <c r="BW446" s="9">
        <v>0</v>
      </c>
      <c r="BX446" s="9">
        <v>0</v>
      </c>
      <c r="BY446" s="9">
        <v>0</v>
      </c>
      <c r="BZ446" s="9">
        <v>0</v>
      </c>
      <c r="CA446" s="9">
        <v>0</v>
      </c>
      <c r="CB446" s="9">
        <v>0</v>
      </c>
      <c r="CC446" s="9">
        <v>0</v>
      </c>
      <c r="CD446" s="9">
        <v>0</v>
      </c>
      <c r="CE446" s="9">
        <v>0</v>
      </c>
      <c r="CF446" s="9">
        <v>0</v>
      </c>
      <c r="CG446" s="9">
        <v>0</v>
      </c>
      <c r="CH446" s="9">
        <v>0</v>
      </c>
      <c r="CI446" s="9">
        <v>0</v>
      </c>
      <c r="CJ446" s="9">
        <v>0</v>
      </c>
      <c r="CK446" s="9">
        <v>0</v>
      </c>
      <c r="CL446" s="9">
        <v>0</v>
      </c>
      <c r="CM446" s="9">
        <v>0</v>
      </c>
      <c r="CN446" s="9">
        <v>0</v>
      </c>
      <c r="CO446" s="9">
        <v>0</v>
      </c>
      <c r="CP446" s="9">
        <v>0</v>
      </c>
      <c r="CQ446" s="9">
        <v>0</v>
      </c>
      <c r="CR446" s="9">
        <v>0</v>
      </c>
      <c r="CS446" s="10">
        <v>0</v>
      </c>
    </row>
    <row r="447" spans="1:97" x14ac:dyDescent="0.35">
      <c r="A447" s="8" t="s">
        <v>494</v>
      </c>
      <c r="B447" s="9" t="s">
        <v>495</v>
      </c>
      <c r="C447" s="9" t="s">
        <v>1232</v>
      </c>
      <c r="D447" s="9">
        <f t="shared" si="6"/>
        <v>2</v>
      </c>
      <c r="E447" s="9">
        <v>0</v>
      </c>
      <c r="F447" s="9">
        <v>0</v>
      </c>
      <c r="G447" s="9">
        <v>0</v>
      </c>
      <c r="H447" s="9">
        <v>0</v>
      </c>
      <c r="I447" s="9">
        <v>0</v>
      </c>
      <c r="J447" s="9">
        <v>0</v>
      </c>
      <c r="K447" s="9">
        <v>0</v>
      </c>
      <c r="L447" s="9">
        <v>0</v>
      </c>
      <c r="M447" s="9">
        <v>0</v>
      </c>
      <c r="N447" s="9">
        <v>0</v>
      </c>
      <c r="O447" s="9">
        <v>0</v>
      </c>
      <c r="P447" s="9">
        <v>0</v>
      </c>
      <c r="Q447" s="9">
        <v>0</v>
      </c>
      <c r="R447" s="9">
        <v>0</v>
      </c>
      <c r="S447" s="9">
        <v>0</v>
      </c>
      <c r="T447" s="9">
        <v>0</v>
      </c>
      <c r="U447" s="9">
        <v>0</v>
      </c>
      <c r="V447" s="9">
        <v>1</v>
      </c>
      <c r="W447" s="9">
        <v>0</v>
      </c>
      <c r="X447" s="9">
        <v>0</v>
      </c>
      <c r="Y447" s="9">
        <v>0</v>
      </c>
      <c r="Z447" s="9">
        <v>0</v>
      </c>
      <c r="AA447" s="9">
        <v>0</v>
      </c>
      <c r="AB447" s="9">
        <v>0</v>
      </c>
      <c r="AC447" s="9">
        <v>0</v>
      </c>
      <c r="AD447" s="9">
        <v>0</v>
      </c>
      <c r="AE447" s="9">
        <v>0</v>
      </c>
      <c r="AF447" s="9">
        <v>0</v>
      </c>
      <c r="AG447" s="9">
        <v>0</v>
      </c>
      <c r="AH447" s="9">
        <v>0</v>
      </c>
      <c r="AI447" s="9">
        <v>0</v>
      </c>
      <c r="AJ447" s="9">
        <v>0</v>
      </c>
      <c r="AK447" s="9">
        <v>0</v>
      </c>
      <c r="AL447" s="9">
        <v>0</v>
      </c>
      <c r="AM447" s="9">
        <v>0</v>
      </c>
      <c r="AN447" s="9">
        <v>0</v>
      </c>
      <c r="AO447" s="9">
        <v>0</v>
      </c>
      <c r="AP447" s="9">
        <v>0</v>
      </c>
      <c r="AQ447" s="9">
        <v>0</v>
      </c>
      <c r="AR447" s="9">
        <v>0</v>
      </c>
      <c r="AS447" s="9">
        <v>0</v>
      </c>
      <c r="AT447" s="9">
        <v>0</v>
      </c>
      <c r="AU447" s="9">
        <v>0</v>
      </c>
      <c r="AV447" s="9">
        <v>0</v>
      </c>
      <c r="AW447" s="9">
        <v>0</v>
      </c>
      <c r="AX447" s="9">
        <v>0</v>
      </c>
      <c r="AY447" s="9">
        <v>0</v>
      </c>
      <c r="AZ447" s="9">
        <v>0</v>
      </c>
      <c r="BA447" s="9">
        <v>0</v>
      </c>
      <c r="BB447" s="9">
        <v>0</v>
      </c>
      <c r="BC447" s="9">
        <v>0</v>
      </c>
      <c r="BD447" s="9">
        <v>0</v>
      </c>
      <c r="BE447" s="9">
        <v>0</v>
      </c>
      <c r="BF447" s="9">
        <v>0</v>
      </c>
      <c r="BG447" s="9">
        <v>0</v>
      </c>
      <c r="BH447" s="9">
        <v>0</v>
      </c>
      <c r="BI447" s="9">
        <v>0</v>
      </c>
      <c r="BJ447" s="9">
        <v>0</v>
      </c>
      <c r="BK447" s="9">
        <v>0</v>
      </c>
      <c r="BL447" s="9">
        <v>0</v>
      </c>
      <c r="BM447" s="9">
        <v>0</v>
      </c>
      <c r="BN447" s="9">
        <v>0</v>
      </c>
      <c r="BO447" s="9">
        <v>0</v>
      </c>
      <c r="BP447" s="9">
        <v>0</v>
      </c>
      <c r="BQ447" s="9">
        <v>0</v>
      </c>
      <c r="BR447" s="9">
        <v>0</v>
      </c>
      <c r="BS447" s="9">
        <v>0</v>
      </c>
      <c r="BT447" s="9">
        <v>0</v>
      </c>
      <c r="BU447" s="9">
        <v>0</v>
      </c>
      <c r="BV447" s="9">
        <v>0</v>
      </c>
      <c r="BW447" s="9">
        <v>0</v>
      </c>
      <c r="BX447" s="9">
        <v>0</v>
      </c>
      <c r="BY447" s="9">
        <v>0</v>
      </c>
      <c r="BZ447" s="9">
        <v>0</v>
      </c>
      <c r="CA447" s="9">
        <v>0</v>
      </c>
      <c r="CB447" s="9">
        <v>0</v>
      </c>
      <c r="CC447" s="9">
        <v>0</v>
      </c>
      <c r="CD447" s="9">
        <v>0</v>
      </c>
      <c r="CE447" s="9">
        <v>0</v>
      </c>
      <c r="CF447" s="9">
        <v>0</v>
      </c>
      <c r="CG447" s="9">
        <v>0</v>
      </c>
      <c r="CH447" s="9">
        <v>0</v>
      </c>
      <c r="CI447" s="9">
        <v>0</v>
      </c>
      <c r="CJ447" s="9">
        <v>0</v>
      </c>
      <c r="CK447" s="9">
        <v>0</v>
      </c>
      <c r="CL447" s="9">
        <v>1</v>
      </c>
      <c r="CM447" s="9">
        <v>0</v>
      </c>
      <c r="CN447" s="9">
        <v>0</v>
      </c>
      <c r="CO447" s="9">
        <v>0</v>
      </c>
      <c r="CP447" s="9">
        <v>0</v>
      </c>
      <c r="CQ447" s="9">
        <v>0</v>
      </c>
      <c r="CR447" s="9">
        <v>0</v>
      </c>
      <c r="CS447" s="10">
        <v>0</v>
      </c>
    </row>
    <row r="448" spans="1:97" x14ac:dyDescent="0.35">
      <c r="A448" s="8" t="s">
        <v>494</v>
      </c>
      <c r="B448" s="9" t="s">
        <v>1233</v>
      </c>
      <c r="C448" s="9" t="s">
        <v>1234</v>
      </c>
      <c r="D448" s="9">
        <f t="shared" si="6"/>
        <v>0</v>
      </c>
      <c r="E448" s="9">
        <v>0</v>
      </c>
      <c r="F448" s="9">
        <v>0</v>
      </c>
      <c r="G448" s="9">
        <v>0</v>
      </c>
      <c r="H448" s="9">
        <v>0</v>
      </c>
      <c r="I448" s="9">
        <v>0</v>
      </c>
      <c r="J448" s="9">
        <v>0</v>
      </c>
      <c r="K448" s="9">
        <v>0</v>
      </c>
      <c r="L448" s="9">
        <v>0</v>
      </c>
      <c r="M448" s="9">
        <v>0</v>
      </c>
      <c r="N448" s="9">
        <v>0</v>
      </c>
      <c r="O448" s="9">
        <v>0</v>
      </c>
      <c r="P448" s="9">
        <v>0</v>
      </c>
      <c r="Q448" s="9">
        <v>0</v>
      </c>
      <c r="R448" s="9">
        <v>0</v>
      </c>
      <c r="S448" s="9">
        <v>0</v>
      </c>
      <c r="T448" s="9">
        <v>0</v>
      </c>
      <c r="U448" s="9">
        <v>0</v>
      </c>
      <c r="V448" s="9">
        <v>0</v>
      </c>
      <c r="W448" s="9">
        <v>0</v>
      </c>
      <c r="X448" s="9">
        <v>0</v>
      </c>
      <c r="Y448" s="9">
        <v>0</v>
      </c>
      <c r="Z448" s="9">
        <v>0</v>
      </c>
      <c r="AA448" s="9">
        <v>0</v>
      </c>
      <c r="AB448" s="9">
        <v>0</v>
      </c>
      <c r="AC448" s="9">
        <v>0</v>
      </c>
      <c r="AD448" s="9">
        <v>0</v>
      </c>
      <c r="AE448" s="9">
        <v>0</v>
      </c>
      <c r="AF448" s="9">
        <v>0</v>
      </c>
      <c r="AG448" s="9">
        <v>0</v>
      </c>
      <c r="AH448" s="9">
        <v>0</v>
      </c>
      <c r="AI448" s="9">
        <v>0</v>
      </c>
      <c r="AJ448" s="9">
        <v>0</v>
      </c>
      <c r="AK448" s="9">
        <v>0</v>
      </c>
      <c r="AL448" s="9">
        <v>0</v>
      </c>
      <c r="AM448" s="9">
        <v>0</v>
      </c>
      <c r="AN448" s="9">
        <v>0</v>
      </c>
      <c r="AO448" s="9">
        <v>0</v>
      </c>
      <c r="AP448" s="9">
        <v>0</v>
      </c>
      <c r="AQ448" s="9">
        <v>0</v>
      </c>
      <c r="AR448" s="9">
        <v>0</v>
      </c>
      <c r="AS448" s="9">
        <v>0</v>
      </c>
      <c r="AT448" s="9">
        <v>0</v>
      </c>
      <c r="AU448" s="9">
        <v>0</v>
      </c>
      <c r="AV448" s="9">
        <v>0</v>
      </c>
      <c r="AW448" s="9">
        <v>0</v>
      </c>
      <c r="AX448" s="9">
        <v>0</v>
      </c>
      <c r="AY448" s="9">
        <v>0</v>
      </c>
      <c r="AZ448" s="9">
        <v>0</v>
      </c>
      <c r="BA448" s="9">
        <v>0</v>
      </c>
      <c r="BB448" s="9">
        <v>0</v>
      </c>
      <c r="BC448" s="9">
        <v>0</v>
      </c>
      <c r="BD448" s="9">
        <v>0</v>
      </c>
      <c r="BE448" s="9">
        <v>0</v>
      </c>
      <c r="BF448" s="9">
        <v>0</v>
      </c>
      <c r="BG448" s="9">
        <v>0</v>
      </c>
      <c r="BH448" s="9">
        <v>0</v>
      </c>
      <c r="BI448" s="9">
        <v>0</v>
      </c>
      <c r="BJ448" s="9">
        <v>0</v>
      </c>
      <c r="BK448" s="9">
        <v>0</v>
      </c>
      <c r="BL448" s="9">
        <v>0</v>
      </c>
      <c r="BM448" s="9">
        <v>0</v>
      </c>
      <c r="BN448" s="9">
        <v>0</v>
      </c>
      <c r="BO448" s="9">
        <v>0</v>
      </c>
      <c r="BP448" s="9">
        <v>0</v>
      </c>
      <c r="BQ448" s="9">
        <v>0</v>
      </c>
      <c r="BR448" s="9">
        <v>0</v>
      </c>
      <c r="BS448" s="9">
        <v>0</v>
      </c>
      <c r="BT448" s="9">
        <v>0</v>
      </c>
      <c r="BU448" s="9">
        <v>0</v>
      </c>
      <c r="BV448" s="9">
        <v>0</v>
      </c>
      <c r="BW448" s="9">
        <v>0</v>
      </c>
      <c r="BX448" s="9">
        <v>0</v>
      </c>
      <c r="BY448" s="9">
        <v>0</v>
      </c>
      <c r="BZ448" s="9">
        <v>0</v>
      </c>
      <c r="CA448" s="9">
        <v>0</v>
      </c>
      <c r="CB448" s="9">
        <v>0</v>
      </c>
      <c r="CC448" s="9">
        <v>0</v>
      </c>
      <c r="CD448" s="9">
        <v>0</v>
      </c>
      <c r="CE448" s="9">
        <v>0</v>
      </c>
      <c r="CF448" s="9">
        <v>0</v>
      </c>
      <c r="CG448" s="9">
        <v>0</v>
      </c>
      <c r="CH448" s="9">
        <v>0</v>
      </c>
      <c r="CI448" s="9">
        <v>0</v>
      </c>
      <c r="CJ448" s="9">
        <v>0</v>
      </c>
      <c r="CK448" s="9">
        <v>0</v>
      </c>
      <c r="CL448" s="9">
        <v>0</v>
      </c>
      <c r="CM448" s="9">
        <v>0</v>
      </c>
      <c r="CN448" s="9">
        <v>0</v>
      </c>
      <c r="CO448" s="9">
        <v>0</v>
      </c>
      <c r="CP448" s="9">
        <v>0</v>
      </c>
      <c r="CQ448" s="9">
        <v>0</v>
      </c>
      <c r="CR448" s="9">
        <v>0</v>
      </c>
      <c r="CS448" s="10">
        <v>0</v>
      </c>
    </row>
    <row r="449" spans="1:97" x14ac:dyDescent="0.35">
      <c r="A449" s="8" t="s">
        <v>494</v>
      </c>
      <c r="B449" s="9" t="s">
        <v>497</v>
      </c>
      <c r="C449" s="9" t="s">
        <v>1235</v>
      </c>
      <c r="D449" s="9">
        <f t="shared" si="6"/>
        <v>0</v>
      </c>
      <c r="E449" s="9">
        <v>0</v>
      </c>
      <c r="F449" s="9">
        <v>0</v>
      </c>
      <c r="G449" s="9">
        <v>0</v>
      </c>
      <c r="H449" s="9">
        <v>0</v>
      </c>
      <c r="I449" s="9">
        <v>0</v>
      </c>
      <c r="J449" s="9">
        <v>0</v>
      </c>
      <c r="K449" s="9">
        <v>0</v>
      </c>
      <c r="L449" s="9">
        <v>0</v>
      </c>
      <c r="M449" s="9">
        <v>0</v>
      </c>
      <c r="N449" s="9">
        <v>0</v>
      </c>
      <c r="O449" s="9">
        <v>0</v>
      </c>
      <c r="P449" s="9">
        <v>0</v>
      </c>
      <c r="Q449" s="9">
        <v>0</v>
      </c>
      <c r="R449" s="9">
        <v>0</v>
      </c>
      <c r="S449" s="9">
        <v>0</v>
      </c>
      <c r="T449" s="9">
        <v>0</v>
      </c>
      <c r="U449" s="9">
        <v>0</v>
      </c>
      <c r="V449" s="9">
        <v>0</v>
      </c>
      <c r="W449" s="9">
        <v>0</v>
      </c>
      <c r="X449" s="9">
        <v>0</v>
      </c>
      <c r="Y449" s="9">
        <v>0</v>
      </c>
      <c r="Z449" s="9">
        <v>0</v>
      </c>
      <c r="AA449" s="9">
        <v>0</v>
      </c>
      <c r="AB449" s="9">
        <v>0</v>
      </c>
      <c r="AC449" s="9">
        <v>0</v>
      </c>
      <c r="AD449" s="9">
        <v>0</v>
      </c>
      <c r="AE449" s="9">
        <v>0</v>
      </c>
      <c r="AF449" s="9">
        <v>0</v>
      </c>
      <c r="AG449" s="9">
        <v>0</v>
      </c>
      <c r="AH449" s="9">
        <v>0</v>
      </c>
      <c r="AI449" s="9">
        <v>0</v>
      </c>
      <c r="AJ449" s="9">
        <v>0</v>
      </c>
      <c r="AK449" s="9">
        <v>0</v>
      </c>
      <c r="AL449" s="9">
        <v>0</v>
      </c>
      <c r="AM449" s="9">
        <v>0</v>
      </c>
      <c r="AN449" s="9">
        <v>0</v>
      </c>
      <c r="AO449" s="9">
        <v>0</v>
      </c>
      <c r="AP449" s="9">
        <v>0</v>
      </c>
      <c r="AQ449" s="9">
        <v>0</v>
      </c>
      <c r="AR449" s="9">
        <v>0</v>
      </c>
      <c r="AS449" s="9">
        <v>0</v>
      </c>
      <c r="AT449" s="9">
        <v>0</v>
      </c>
      <c r="AU449" s="9">
        <v>0</v>
      </c>
      <c r="AV449" s="9">
        <v>0</v>
      </c>
      <c r="AW449" s="9">
        <v>0</v>
      </c>
      <c r="AX449" s="9">
        <v>0</v>
      </c>
      <c r="AY449" s="9">
        <v>0</v>
      </c>
      <c r="AZ449" s="9">
        <v>0</v>
      </c>
      <c r="BA449" s="9">
        <v>0</v>
      </c>
      <c r="BB449" s="9">
        <v>0</v>
      </c>
      <c r="BC449" s="9">
        <v>0</v>
      </c>
      <c r="BD449" s="9">
        <v>0</v>
      </c>
      <c r="BE449" s="9">
        <v>0</v>
      </c>
      <c r="BF449" s="9">
        <v>0</v>
      </c>
      <c r="BG449" s="9">
        <v>0</v>
      </c>
      <c r="BH449" s="9">
        <v>0</v>
      </c>
      <c r="BI449" s="9">
        <v>0</v>
      </c>
      <c r="BJ449" s="9">
        <v>0</v>
      </c>
      <c r="BK449" s="9">
        <v>0</v>
      </c>
      <c r="BL449" s="9">
        <v>0</v>
      </c>
      <c r="BM449" s="9">
        <v>0</v>
      </c>
      <c r="BN449" s="9">
        <v>0</v>
      </c>
      <c r="BO449" s="9">
        <v>0</v>
      </c>
      <c r="BP449" s="9">
        <v>0</v>
      </c>
      <c r="BQ449" s="9">
        <v>0</v>
      </c>
      <c r="BR449" s="9">
        <v>0</v>
      </c>
      <c r="BS449" s="9">
        <v>0</v>
      </c>
      <c r="BT449" s="9">
        <v>0</v>
      </c>
      <c r="BU449" s="9">
        <v>0</v>
      </c>
      <c r="BV449" s="9">
        <v>0</v>
      </c>
      <c r="BW449" s="9">
        <v>0</v>
      </c>
      <c r="BX449" s="9">
        <v>0</v>
      </c>
      <c r="BY449" s="9">
        <v>0</v>
      </c>
      <c r="BZ449" s="9">
        <v>0</v>
      </c>
      <c r="CA449" s="9">
        <v>0</v>
      </c>
      <c r="CB449" s="9">
        <v>0</v>
      </c>
      <c r="CC449" s="9">
        <v>0</v>
      </c>
      <c r="CD449" s="9">
        <v>0</v>
      </c>
      <c r="CE449" s="9">
        <v>0</v>
      </c>
      <c r="CF449" s="9">
        <v>0</v>
      </c>
      <c r="CG449" s="9">
        <v>0</v>
      </c>
      <c r="CH449" s="9">
        <v>0</v>
      </c>
      <c r="CI449" s="9">
        <v>0</v>
      </c>
      <c r="CJ449" s="9">
        <v>0</v>
      </c>
      <c r="CK449" s="9">
        <v>0</v>
      </c>
      <c r="CL449" s="9">
        <v>0</v>
      </c>
      <c r="CM449" s="9">
        <v>0</v>
      </c>
      <c r="CN449" s="9">
        <v>0</v>
      </c>
      <c r="CO449" s="9">
        <v>0</v>
      </c>
      <c r="CP449" s="9">
        <v>0</v>
      </c>
      <c r="CQ449" s="9">
        <v>0</v>
      </c>
      <c r="CR449" s="9">
        <v>0</v>
      </c>
      <c r="CS449" s="10">
        <v>0</v>
      </c>
    </row>
    <row r="450" spans="1:97" x14ac:dyDescent="0.35">
      <c r="A450" s="8" t="s">
        <v>494</v>
      </c>
      <c r="B450" s="9" t="s">
        <v>499</v>
      </c>
      <c r="C450" s="9" t="s">
        <v>1236</v>
      </c>
      <c r="D450" s="9">
        <f t="shared" si="6"/>
        <v>0</v>
      </c>
      <c r="E450" s="9">
        <v>0</v>
      </c>
      <c r="F450" s="9">
        <v>0</v>
      </c>
      <c r="G450" s="9">
        <v>0</v>
      </c>
      <c r="H450" s="9">
        <v>0</v>
      </c>
      <c r="I450" s="9">
        <v>0</v>
      </c>
      <c r="J450" s="9">
        <v>0</v>
      </c>
      <c r="K450" s="9">
        <v>0</v>
      </c>
      <c r="L450" s="9">
        <v>0</v>
      </c>
      <c r="M450" s="9">
        <v>0</v>
      </c>
      <c r="N450" s="9">
        <v>0</v>
      </c>
      <c r="O450" s="9">
        <v>0</v>
      </c>
      <c r="P450" s="9">
        <v>0</v>
      </c>
      <c r="Q450" s="9">
        <v>0</v>
      </c>
      <c r="R450" s="9">
        <v>0</v>
      </c>
      <c r="S450" s="9">
        <v>0</v>
      </c>
      <c r="T450" s="9">
        <v>0</v>
      </c>
      <c r="U450" s="9">
        <v>0</v>
      </c>
      <c r="V450" s="9">
        <v>0</v>
      </c>
      <c r="W450" s="9">
        <v>0</v>
      </c>
      <c r="X450" s="9">
        <v>0</v>
      </c>
      <c r="Y450" s="9">
        <v>0</v>
      </c>
      <c r="Z450" s="9">
        <v>0</v>
      </c>
      <c r="AA450" s="9">
        <v>0</v>
      </c>
      <c r="AB450" s="9">
        <v>0</v>
      </c>
      <c r="AC450" s="9">
        <v>0</v>
      </c>
      <c r="AD450" s="9">
        <v>0</v>
      </c>
      <c r="AE450" s="9">
        <v>0</v>
      </c>
      <c r="AF450" s="9">
        <v>0</v>
      </c>
      <c r="AG450" s="9">
        <v>0</v>
      </c>
      <c r="AH450" s="9">
        <v>0</v>
      </c>
      <c r="AI450" s="9">
        <v>0</v>
      </c>
      <c r="AJ450" s="9">
        <v>0</v>
      </c>
      <c r="AK450" s="9">
        <v>0</v>
      </c>
      <c r="AL450" s="9">
        <v>0</v>
      </c>
      <c r="AM450" s="9">
        <v>0</v>
      </c>
      <c r="AN450" s="9">
        <v>0</v>
      </c>
      <c r="AO450" s="9">
        <v>0</v>
      </c>
      <c r="AP450" s="9">
        <v>0</v>
      </c>
      <c r="AQ450" s="9">
        <v>0</v>
      </c>
      <c r="AR450" s="9">
        <v>0</v>
      </c>
      <c r="AS450" s="9">
        <v>0</v>
      </c>
      <c r="AT450" s="9">
        <v>0</v>
      </c>
      <c r="AU450" s="9">
        <v>0</v>
      </c>
      <c r="AV450" s="9">
        <v>0</v>
      </c>
      <c r="AW450" s="9">
        <v>0</v>
      </c>
      <c r="AX450" s="9">
        <v>0</v>
      </c>
      <c r="AY450" s="9">
        <v>0</v>
      </c>
      <c r="AZ450" s="9">
        <v>0</v>
      </c>
      <c r="BA450" s="9">
        <v>0</v>
      </c>
      <c r="BB450" s="9">
        <v>0</v>
      </c>
      <c r="BC450" s="9">
        <v>0</v>
      </c>
      <c r="BD450" s="9">
        <v>0</v>
      </c>
      <c r="BE450" s="9">
        <v>0</v>
      </c>
      <c r="BF450" s="9">
        <v>0</v>
      </c>
      <c r="BG450" s="9">
        <v>0</v>
      </c>
      <c r="BH450" s="9">
        <v>0</v>
      </c>
      <c r="BI450" s="9">
        <v>0</v>
      </c>
      <c r="BJ450" s="9">
        <v>0</v>
      </c>
      <c r="BK450" s="9">
        <v>0</v>
      </c>
      <c r="BL450" s="9">
        <v>0</v>
      </c>
      <c r="BM450" s="9">
        <v>0</v>
      </c>
      <c r="BN450" s="9">
        <v>0</v>
      </c>
      <c r="BO450" s="9">
        <v>0</v>
      </c>
      <c r="BP450" s="9">
        <v>0</v>
      </c>
      <c r="BQ450" s="9">
        <v>0</v>
      </c>
      <c r="BR450" s="9">
        <v>0</v>
      </c>
      <c r="BS450" s="9">
        <v>0</v>
      </c>
      <c r="BT450" s="9">
        <v>0</v>
      </c>
      <c r="BU450" s="9">
        <v>0</v>
      </c>
      <c r="BV450" s="9">
        <v>0</v>
      </c>
      <c r="BW450" s="9">
        <v>0</v>
      </c>
      <c r="BX450" s="9">
        <v>0</v>
      </c>
      <c r="BY450" s="9">
        <v>0</v>
      </c>
      <c r="BZ450" s="9">
        <v>0</v>
      </c>
      <c r="CA450" s="9">
        <v>0</v>
      </c>
      <c r="CB450" s="9">
        <v>0</v>
      </c>
      <c r="CC450" s="9">
        <v>0</v>
      </c>
      <c r="CD450" s="9">
        <v>0</v>
      </c>
      <c r="CE450" s="9">
        <v>0</v>
      </c>
      <c r="CF450" s="9">
        <v>0</v>
      </c>
      <c r="CG450" s="9">
        <v>0</v>
      </c>
      <c r="CH450" s="9">
        <v>0</v>
      </c>
      <c r="CI450" s="9">
        <v>0</v>
      </c>
      <c r="CJ450" s="9">
        <v>0</v>
      </c>
      <c r="CK450" s="9">
        <v>0</v>
      </c>
      <c r="CL450" s="9">
        <v>0</v>
      </c>
      <c r="CM450" s="9">
        <v>0</v>
      </c>
      <c r="CN450" s="9">
        <v>0</v>
      </c>
      <c r="CO450" s="9">
        <v>0</v>
      </c>
      <c r="CP450" s="9">
        <v>0</v>
      </c>
      <c r="CQ450" s="9">
        <v>0</v>
      </c>
      <c r="CR450" s="9">
        <v>0</v>
      </c>
      <c r="CS450" s="10">
        <v>0</v>
      </c>
    </row>
    <row r="451" spans="1:97" x14ac:dyDescent="0.35">
      <c r="A451" s="8" t="s">
        <v>494</v>
      </c>
      <c r="B451" s="9" t="s">
        <v>1237</v>
      </c>
      <c r="C451" s="9" t="s">
        <v>1238</v>
      </c>
      <c r="D451" s="9">
        <f t="shared" ref="D451:D497" si="7">SUM(E451:CS451)</f>
        <v>0</v>
      </c>
      <c r="E451" s="9">
        <v>0</v>
      </c>
      <c r="F451" s="9">
        <v>0</v>
      </c>
      <c r="G451" s="9">
        <v>0</v>
      </c>
      <c r="H451" s="9">
        <v>0</v>
      </c>
      <c r="I451" s="9">
        <v>0</v>
      </c>
      <c r="J451" s="9">
        <v>0</v>
      </c>
      <c r="K451" s="9">
        <v>0</v>
      </c>
      <c r="L451" s="9">
        <v>0</v>
      </c>
      <c r="M451" s="9">
        <v>0</v>
      </c>
      <c r="N451" s="9">
        <v>0</v>
      </c>
      <c r="O451" s="9">
        <v>0</v>
      </c>
      <c r="P451" s="9">
        <v>0</v>
      </c>
      <c r="Q451" s="9">
        <v>0</v>
      </c>
      <c r="R451" s="9">
        <v>0</v>
      </c>
      <c r="S451" s="9">
        <v>0</v>
      </c>
      <c r="T451" s="9">
        <v>0</v>
      </c>
      <c r="U451" s="9">
        <v>0</v>
      </c>
      <c r="V451" s="9">
        <v>0</v>
      </c>
      <c r="W451" s="9">
        <v>0</v>
      </c>
      <c r="X451" s="9">
        <v>0</v>
      </c>
      <c r="Y451" s="9">
        <v>0</v>
      </c>
      <c r="Z451" s="9">
        <v>0</v>
      </c>
      <c r="AA451" s="9">
        <v>0</v>
      </c>
      <c r="AB451" s="9">
        <v>0</v>
      </c>
      <c r="AC451" s="9">
        <v>0</v>
      </c>
      <c r="AD451" s="9">
        <v>0</v>
      </c>
      <c r="AE451" s="9">
        <v>0</v>
      </c>
      <c r="AF451" s="9">
        <v>0</v>
      </c>
      <c r="AG451" s="9">
        <v>0</v>
      </c>
      <c r="AH451" s="9">
        <v>0</v>
      </c>
      <c r="AI451" s="9">
        <v>0</v>
      </c>
      <c r="AJ451" s="9">
        <v>0</v>
      </c>
      <c r="AK451" s="9">
        <v>0</v>
      </c>
      <c r="AL451" s="9">
        <v>0</v>
      </c>
      <c r="AM451" s="9">
        <v>0</v>
      </c>
      <c r="AN451" s="9">
        <v>0</v>
      </c>
      <c r="AO451" s="9">
        <v>0</v>
      </c>
      <c r="AP451" s="9">
        <v>0</v>
      </c>
      <c r="AQ451" s="9">
        <v>0</v>
      </c>
      <c r="AR451" s="9">
        <v>0</v>
      </c>
      <c r="AS451" s="9">
        <v>0</v>
      </c>
      <c r="AT451" s="9">
        <v>0</v>
      </c>
      <c r="AU451" s="9">
        <v>0</v>
      </c>
      <c r="AV451" s="9">
        <v>0</v>
      </c>
      <c r="AW451" s="9">
        <v>0</v>
      </c>
      <c r="AX451" s="9">
        <v>0</v>
      </c>
      <c r="AY451" s="9">
        <v>0</v>
      </c>
      <c r="AZ451" s="9">
        <v>0</v>
      </c>
      <c r="BA451" s="9">
        <v>0</v>
      </c>
      <c r="BB451" s="9">
        <v>0</v>
      </c>
      <c r="BC451" s="9">
        <v>0</v>
      </c>
      <c r="BD451" s="9">
        <v>0</v>
      </c>
      <c r="BE451" s="9">
        <v>0</v>
      </c>
      <c r="BF451" s="9">
        <v>0</v>
      </c>
      <c r="BG451" s="9">
        <v>0</v>
      </c>
      <c r="BH451" s="9">
        <v>0</v>
      </c>
      <c r="BI451" s="9">
        <v>0</v>
      </c>
      <c r="BJ451" s="9">
        <v>0</v>
      </c>
      <c r="BK451" s="9">
        <v>0</v>
      </c>
      <c r="BL451" s="9">
        <v>0</v>
      </c>
      <c r="BM451" s="9">
        <v>0</v>
      </c>
      <c r="BN451" s="9">
        <v>0</v>
      </c>
      <c r="BO451" s="9">
        <v>0</v>
      </c>
      <c r="BP451" s="9">
        <v>0</v>
      </c>
      <c r="BQ451" s="9">
        <v>0</v>
      </c>
      <c r="BR451" s="9">
        <v>0</v>
      </c>
      <c r="BS451" s="9">
        <v>0</v>
      </c>
      <c r="BT451" s="9">
        <v>0</v>
      </c>
      <c r="BU451" s="9">
        <v>0</v>
      </c>
      <c r="BV451" s="9">
        <v>0</v>
      </c>
      <c r="BW451" s="9">
        <v>0</v>
      </c>
      <c r="BX451" s="9">
        <v>0</v>
      </c>
      <c r="BY451" s="9">
        <v>0</v>
      </c>
      <c r="BZ451" s="9">
        <v>0</v>
      </c>
      <c r="CA451" s="9">
        <v>0</v>
      </c>
      <c r="CB451" s="9">
        <v>0</v>
      </c>
      <c r="CC451" s="9">
        <v>0</v>
      </c>
      <c r="CD451" s="9">
        <v>0</v>
      </c>
      <c r="CE451" s="9">
        <v>0</v>
      </c>
      <c r="CF451" s="9">
        <v>0</v>
      </c>
      <c r="CG451" s="9">
        <v>0</v>
      </c>
      <c r="CH451" s="9">
        <v>0</v>
      </c>
      <c r="CI451" s="9">
        <v>0</v>
      </c>
      <c r="CJ451" s="9">
        <v>0</v>
      </c>
      <c r="CK451" s="9">
        <v>0</v>
      </c>
      <c r="CL451" s="9">
        <v>0</v>
      </c>
      <c r="CM451" s="9">
        <v>0</v>
      </c>
      <c r="CN451" s="9">
        <v>0</v>
      </c>
      <c r="CO451" s="9">
        <v>0</v>
      </c>
      <c r="CP451" s="9">
        <v>0</v>
      </c>
      <c r="CQ451" s="9">
        <v>0</v>
      </c>
      <c r="CR451" s="9">
        <v>0</v>
      </c>
      <c r="CS451" s="10">
        <v>0</v>
      </c>
    </row>
    <row r="452" spans="1:97" x14ac:dyDescent="0.35">
      <c r="A452" s="8" t="s">
        <v>494</v>
      </c>
      <c r="B452" s="9" t="s">
        <v>1239</v>
      </c>
      <c r="C452" s="9" t="s">
        <v>1240</v>
      </c>
      <c r="D452" s="9">
        <f t="shared" si="7"/>
        <v>0</v>
      </c>
      <c r="E452" s="9">
        <v>0</v>
      </c>
      <c r="F452" s="9">
        <v>0</v>
      </c>
      <c r="G452" s="9">
        <v>0</v>
      </c>
      <c r="H452" s="9">
        <v>0</v>
      </c>
      <c r="I452" s="9">
        <v>0</v>
      </c>
      <c r="J452" s="9">
        <v>0</v>
      </c>
      <c r="K452" s="9">
        <v>0</v>
      </c>
      <c r="L452" s="9">
        <v>0</v>
      </c>
      <c r="M452" s="9">
        <v>0</v>
      </c>
      <c r="N452" s="9">
        <v>0</v>
      </c>
      <c r="O452" s="9">
        <v>0</v>
      </c>
      <c r="P452" s="9">
        <v>0</v>
      </c>
      <c r="Q452" s="9">
        <v>0</v>
      </c>
      <c r="R452" s="9">
        <v>0</v>
      </c>
      <c r="S452" s="9">
        <v>0</v>
      </c>
      <c r="T452" s="9">
        <v>0</v>
      </c>
      <c r="U452" s="9">
        <v>0</v>
      </c>
      <c r="V452" s="9">
        <v>0</v>
      </c>
      <c r="W452" s="9">
        <v>0</v>
      </c>
      <c r="X452" s="9">
        <v>0</v>
      </c>
      <c r="Y452" s="9">
        <v>0</v>
      </c>
      <c r="Z452" s="9">
        <v>0</v>
      </c>
      <c r="AA452" s="9">
        <v>0</v>
      </c>
      <c r="AB452" s="9">
        <v>0</v>
      </c>
      <c r="AC452" s="9">
        <v>0</v>
      </c>
      <c r="AD452" s="9">
        <v>0</v>
      </c>
      <c r="AE452" s="9">
        <v>0</v>
      </c>
      <c r="AF452" s="9">
        <v>0</v>
      </c>
      <c r="AG452" s="9">
        <v>0</v>
      </c>
      <c r="AH452" s="9">
        <v>0</v>
      </c>
      <c r="AI452" s="9">
        <v>0</v>
      </c>
      <c r="AJ452" s="9">
        <v>0</v>
      </c>
      <c r="AK452" s="9">
        <v>0</v>
      </c>
      <c r="AL452" s="9">
        <v>0</v>
      </c>
      <c r="AM452" s="9">
        <v>0</v>
      </c>
      <c r="AN452" s="9">
        <v>0</v>
      </c>
      <c r="AO452" s="9">
        <v>0</v>
      </c>
      <c r="AP452" s="9">
        <v>0</v>
      </c>
      <c r="AQ452" s="9">
        <v>0</v>
      </c>
      <c r="AR452" s="9">
        <v>0</v>
      </c>
      <c r="AS452" s="9">
        <v>0</v>
      </c>
      <c r="AT452" s="9">
        <v>0</v>
      </c>
      <c r="AU452" s="9">
        <v>0</v>
      </c>
      <c r="AV452" s="9">
        <v>0</v>
      </c>
      <c r="AW452" s="9">
        <v>0</v>
      </c>
      <c r="AX452" s="9">
        <v>0</v>
      </c>
      <c r="AY452" s="9">
        <v>0</v>
      </c>
      <c r="AZ452" s="9">
        <v>0</v>
      </c>
      <c r="BA452" s="9">
        <v>0</v>
      </c>
      <c r="BB452" s="9">
        <v>0</v>
      </c>
      <c r="BC452" s="9">
        <v>0</v>
      </c>
      <c r="BD452" s="9">
        <v>0</v>
      </c>
      <c r="BE452" s="9">
        <v>0</v>
      </c>
      <c r="BF452" s="9">
        <v>0</v>
      </c>
      <c r="BG452" s="9">
        <v>0</v>
      </c>
      <c r="BH452" s="9">
        <v>0</v>
      </c>
      <c r="BI452" s="9">
        <v>0</v>
      </c>
      <c r="BJ452" s="9">
        <v>0</v>
      </c>
      <c r="BK452" s="9">
        <v>0</v>
      </c>
      <c r="BL452" s="9">
        <v>0</v>
      </c>
      <c r="BM452" s="9">
        <v>0</v>
      </c>
      <c r="BN452" s="9">
        <v>0</v>
      </c>
      <c r="BO452" s="9">
        <v>0</v>
      </c>
      <c r="BP452" s="9">
        <v>0</v>
      </c>
      <c r="BQ452" s="9">
        <v>0</v>
      </c>
      <c r="BR452" s="9">
        <v>0</v>
      </c>
      <c r="BS452" s="9">
        <v>0</v>
      </c>
      <c r="BT452" s="9">
        <v>0</v>
      </c>
      <c r="BU452" s="9">
        <v>0</v>
      </c>
      <c r="BV452" s="9">
        <v>0</v>
      </c>
      <c r="BW452" s="9">
        <v>0</v>
      </c>
      <c r="BX452" s="9">
        <v>0</v>
      </c>
      <c r="BY452" s="9">
        <v>0</v>
      </c>
      <c r="BZ452" s="9">
        <v>0</v>
      </c>
      <c r="CA452" s="9">
        <v>0</v>
      </c>
      <c r="CB452" s="9">
        <v>0</v>
      </c>
      <c r="CC452" s="9">
        <v>0</v>
      </c>
      <c r="CD452" s="9">
        <v>0</v>
      </c>
      <c r="CE452" s="9">
        <v>0</v>
      </c>
      <c r="CF452" s="9">
        <v>0</v>
      </c>
      <c r="CG452" s="9">
        <v>0</v>
      </c>
      <c r="CH452" s="9">
        <v>0</v>
      </c>
      <c r="CI452" s="9">
        <v>0</v>
      </c>
      <c r="CJ452" s="9">
        <v>0</v>
      </c>
      <c r="CK452" s="9">
        <v>0</v>
      </c>
      <c r="CL452" s="9">
        <v>0</v>
      </c>
      <c r="CM452" s="9">
        <v>0</v>
      </c>
      <c r="CN452" s="9">
        <v>0</v>
      </c>
      <c r="CO452" s="9">
        <v>0</v>
      </c>
      <c r="CP452" s="9">
        <v>0</v>
      </c>
      <c r="CQ452" s="9">
        <v>0</v>
      </c>
      <c r="CR452" s="9">
        <v>0</v>
      </c>
      <c r="CS452" s="10">
        <v>0</v>
      </c>
    </row>
    <row r="453" spans="1:97" x14ac:dyDescent="0.35">
      <c r="A453" s="8" t="s">
        <v>494</v>
      </c>
      <c r="B453" s="9" t="s">
        <v>1241</v>
      </c>
      <c r="C453" s="9" t="s">
        <v>1242</v>
      </c>
      <c r="D453" s="9">
        <f t="shared" si="7"/>
        <v>0</v>
      </c>
      <c r="E453" s="9">
        <v>0</v>
      </c>
      <c r="F453" s="9">
        <v>0</v>
      </c>
      <c r="G453" s="9">
        <v>0</v>
      </c>
      <c r="H453" s="9">
        <v>0</v>
      </c>
      <c r="I453" s="9">
        <v>0</v>
      </c>
      <c r="J453" s="9">
        <v>0</v>
      </c>
      <c r="K453" s="9">
        <v>0</v>
      </c>
      <c r="L453" s="9">
        <v>0</v>
      </c>
      <c r="M453" s="9">
        <v>0</v>
      </c>
      <c r="N453" s="9">
        <v>0</v>
      </c>
      <c r="O453" s="9">
        <v>0</v>
      </c>
      <c r="P453" s="9">
        <v>0</v>
      </c>
      <c r="Q453" s="9">
        <v>0</v>
      </c>
      <c r="R453" s="9">
        <v>0</v>
      </c>
      <c r="S453" s="9">
        <v>0</v>
      </c>
      <c r="T453" s="9">
        <v>0</v>
      </c>
      <c r="U453" s="9">
        <v>0</v>
      </c>
      <c r="V453" s="9">
        <v>0</v>
      </c>
      <c r="W453" s="9">
        <v>0</v>
      </c>
      <c r="X453" s="9">
        <v>0</v>
      </c>
      <c r="Y453" s="9">
        <v>0</v>
      </c>
      <c r="Z453" s="9">
        <v>0</v>
      </c>
      <c r="AA453" s="9">
        <v>0</v>
      </c>
      <c r="AB453" s="9">
        <v>0</v>
      </c>
      <c r="AC453" s="9">
        <v>0</v>
      </c>
      <c r="AD453" s="9">
        <v>0</v>
      </c>
      <c r="AE453" s="9">
        <v>0</v>
      </c>
      <c r="AF453" s="9">
        <v>0</v>
      </c>
      <c r="AG453" s="9">
        <v>0</v>
      </c>
      <c r="AH453" s="9">
        <v>0</v>
      </c>
      <c r="AI453" s="9">
        <v>0</v>
      </c>
      <c r="AJ453" s="9">
        <v>0</v>
      </c>
      <c r="AK453" s="9">
        <v>0</v>
      </c>
      <c r="AL453" s="9">
        <v>0</v>
      </c>
      <c r="AM453" s="9">
        <v>0</v>
      </c>
      <c r="AN453" s="9">
        <v>0</v>
      </c>
      <c r="AO453" s="9">
        <v>0</v>
      </c>
      <c r="AP453" s="9">
        <v>0</v>
      </c>
      <c r="AQ453" s="9">
        <v>0</v>
      </c>
      <c r="AR453" s="9">
        <v>0</v>
      </c>
      <c r="AS453" s="9">
        <v>0</v>
      </c>
      <c r="AT453" s="9">
        <v>0</v>
      </c>
      <c r="AU453" s="9">
        <v>0</v>
      </c>
      <c r="AV453" s="9">
        <v>0</v>
      </c>
      <c r="AW453" s="9">
        <v>0</v>
      </c>
      <c r="AX453" s="9">
        <v>0</v>
      </c>
      <c r="AY453" s="9">
        <v>0</v>
      </c>
      <c r="AZ453" s="9">
        <v>0</v>
      </c>
      <c r="BA453" s="9">
        <v>0</v>
      </c>
      <c r="BB453" s="9">
        <v>0</v>
      </c>
      <c r="BC453" s="9">
        <v>0</v>
      </c>
      <c r="BD453" s="9">
        <v>0</v>
      </c>
      <c r="BE453" s="9">
        <v>0</v>
      </c>
      <c r="BF453" s="9">
        <v>0</v>
      </c>
      <c r="BG453" s="9">
        <v>0</v>
      </c>
      <c r="BH453" s="9">
        <v>0</v>
      </c>
      <c r="BI453" s="9">
        <v>0</v>
      </c>
      <c r="BJ453" s="9">
        <v>0</v>
      </c>
      <c r="BK453" s="9">
        <v>0</v>
      </c>
      <c r="BL453" s="9">
        <v>0</v>
      </c>
      <c r="BM453" s="9">
        <v>0</v>
      </c>
      <c r="BN453" s="9">
        <v>0</v>
      </c>
      <c r="BO453" s="9">
        <v>0</v>
      </c>
      <c r="BP453" s="9">
        <v>0</v>
      </c>
      <c r="BQ453" s="9">
        <v>0</v>
      </c>
      <c r="BR453" s="9">
        <v>0</v>
      </c>
      <c r="BS453" s="9">
        <v>0</v>
      </c>
      <c r="BT453" s="9">
        <v>0</v>
      </c>
      <c r="BU453" s="9">
        <v>0</v>
      </c>
      <c r="BV453" s="9">
        <v>0</v>
      </c>
      <c r="BW453" s="9">
        <v>0</v>
      </c>
      <c r="BX453" s="9">
        <v>0</v>
      </c>
      <c r="BY453" s="9">
        <v>0</v>
      </c>
      <c r="BZ453" s="9">
        <v>0</v>
      </c>
      <c r="CA453" s="9">
        <v>0</v>
      </c>
      <c r="CB453" s="9">
        <v>0</v>
      </c>
      <c r="CC453" s="9">
        <v>0</v>
      </c>
      <c r="CD453" s="9">
        <v>0</v>
      </c>
      <c r="CE453" s="9">
        <v>0</v>
      </c>
      <c r="CF453" s="9">
        <v>0</v>
      </c>
      <c r="CG453" s="9">
        <v>0</v>
      </c>
      <c r="CH453" s="9">
        <v>0</v>
      </c>
      <c r="CI453" s="9">
        <v>0</v>
      </c>
      <c r="CJ453" s="9">
        <v>0</v>
      </c>
      <c r="CK453" s="9">
        <v>0</v>
      </c>
      <c r="CL453" s="9">
        <v>0</v>
      </c>
      <c r="CM453" s="9">
        <v>0</v>
      </c>
      <c r="CN453" s="9">
        <v>0</v>
      </c>
      <c r="CO453" s="9">
        <v>0</v>
      </c>
      <c r="CP453" s="9">
        <v>0</v>
      </c>
      <c r="CQ453" s="9">
        <v>0</v>
      </c>
      <c r="CR453" s="9">
        <v>0</v>
      </c>
      <c r="CS453" s="10">
        <v>0</v>
      </c>
    </row>
    <row r="454" spans="1:97" x14ac:dyDescent="0.35">
      <c r="A454" s="8" t="s">
        <v>494</v>
      </c>
      <c r="B454" s="9" t="s">
        <v>501</v>
      </c>
      <c r="C454" s="9" t="s">
        <v>1243</v>
      </c>
      <c r="D454" s="9">
        <f t="shared" si="7"/>
        <v>2</v>
      </c>
      <c r="E454" s="9">
        <v>0</v>
      </c>
      <c r="F454" s="9">
        <v>0</v>
      </c>
      <c r="G454" s="9">
        <v>0</v>
      </c>
      <c r="H454" s="9">
        <v>0</v>
      </c>
      <c r="I454" s="9">
        <v>0</v>
      </c>
      <c r="J454" s="9">
        <v>0</v>
      </c>
      <c r="K454" s="9">
        <v>0</v>
      </c>
      <c r="L454" s="9">
        <v>0</v>
      </c>
      <c r="M454" s="9">
        <v>0</v>
      </c>
      <c r="N454" s="9">
        <v>0</v>
      </c>
      <c r="O454" s="9">
        <v>0</v>
      </c>
      <c r="P454" s="9">
        <v>0</v>
      </c>
      <c r="Q454" s="9">
        <v>0</v>
      </c>
      <c r="R454" s="9">
        <v>0</v>
      </c>
      <c r="S454" s="9">
        <v>0</v>
      </c>
      <c r="T454" s="9">
        <v>0</v>
      </c>
      <c r="U454" s="9">
        <v>0</v>
      </c>
      <c r="V454" s="9">
        <v>0</v>
      </c>
      <c r="W454" s="9">
        <v>0</v>
      </c>
      <c r="X454" s="9">
        <v>0</v>
      </c>
      <c r="Y454" s="9">
        <v>0</v>
      </c>
      <c r="Z454" s="9">
        <v>0</v>
      </c>
      <c r="AA454" s="9">
        <v>0</v>
      </c>
      <c r="AB454" s="9">
        <v>0</v>
      </c>
      <c r="AC454" s="9">
        <v>0</v>
      </c>
      <c r="AD454" s="9">
        <v>0</v>
      </c>
      <c r="AE454" s="9">
        <v>0</v>
      </c>
      <c r="AF454" s="9">
        <v>0</v>
      </c>
      <c r="AG454" s="9">
        <v>0</v>
      </c>
      <c r="AH454" s="9">
        <v>0</v>
      </c>
      <c r="AI454" s="9">
        <v>0</v>
      </c>
      <c r="AJ454" s="9">
        <v>0</v>
      </c>
      <c r="AK454" s="9">
        <v>0</v>
      </c>
      <c r="AL454" s="9">
        <v>0</v>
      </c>
      <c r="AM454" s="9">
        <v>0</v>
      </c>
      <c r="AN454" s="9">
        <v>0</v>
      </c>
      <c r="AO454" s="9">
        <v>0</v>
      </c>
      <c r="AP454" s="9">
        <v>0</v>
      </c>
      <c r="AQ454" s="9">
        <v>0</v>
      </c>
      <c r="AR454" s="9">
        <v>0</v>
      </c>
      <c r="AS454" s="9">
        <v>0</v>
      </c>
      <c r="AT454" s="9">
        <v>0</v>
      </c>
      <c r="AU454" s="9">
        <v>0</v>
      </c>
      <c r="AV454" s="9">
        <v>0</v>
      </c>
      <c r="AW454" s="9">
        <v>0</v>
      </c>
      <c r="AX454" s="9">
        <v>0</v>
      </c>
      <c r="AY454" s="9">
        <v>0</v>
      </c>
      <c r="AZ454" s="9">
        <v>0</v>
      </c>
      <c r="BA454" s="9">
        <v>0</v>
      </c>
      <c r="BB454" s="9">
        <v>0</v>
      </c>
      <c r="BC454" s="9">
        <v>0</v>
      </c>
      <c r="BD454" s="9">
        <v>0</v>
      </c>
      <c r="BE454" s="9">
        <v>0</v>
      </c>
      <c r="BF454" s="9">
        <v>0</v>
      </c>
      <c r="BG454" s="9">
        <v>0</v>
      </c>
      <c r="BH454" s="9">
        <v>0</v>
      </c>
      <c r="BI454" s="9">
        <v>0</v>
      </c>
      <c r="BJ454" s="9">
        <v>0</v>
      </c>
      <c r="BK454" s="9">
        <v>0</v>
      </c>
      <c r="BL454" s="9">
        <v>0</v>
      </c>
      <c r="BM454" s="9">
        <v>0</v>
      </c>
      <c r="BN454" s="9">
        <v>0</v>
      </c>
      <c r="BO454" s="9">
        <v>0</v>
      </c>
      <c r="BP454" s="9">
        <v>0</v>
      </c>
      <c r="BQ454" s="9">
        <v>0</v>
      </c>
      <c r="BR454" s="9">
        <v>0</v>
      </c>
      <c r="BS454" s="9">
        <v>0</v>
      </c>
      <c r="BT454" s="9">
        <v>0</v>
      </c>
      <c r="BU454" s="9">
        <v>0</v>
      </c>
      <c r="BV454" s="9">
        <v>0</v>
      </c>
      <c r="BW454" s="9">
        <v>0</v>
      </c>
      <c r="BX454" s="9">
        <v>0</v>
      </c>
      <c r="BY454" s="9">
        <v>0</v>
      </c>
      <c r="BZ454" s="9">
        <v>0</v>
      </c>
      <c r="CA454" s="9">
        <v>0</v>
      </c>
      <c r="CB454" s="9">
        <v>0</v>
      </c>
      <c r="CC454" s="9">
        <v>0</v>
      </c>
      <c r="CD454" s="9">
        <v>0</v>
      </c>
      <c r="CE454" s="9">
        <v>0</v>
      </c>
      <c r="CF454" s="9">
        <v>0</v>
      </c>
      <c r="CG454" s="9">
        <v>1</v>
      </c>
      <c r="CH454" s="9">
        <v>0</v>
      </c>
      <c r="CI454" s="9">
        <v>0</v>
      </c>
      <c r="CJ454" s="9">
        <v>0</v>
      </c>
      <c r="CK454" s="9">
        <v>0</v>
      </c>
      <c r="CL454" s="9">
        <v>0</v>
      </c>
      <c r="CM454" s="9">
        <v>0</v>
      </c>
      <c r="CN454" s="9">
        <v>0</v>
      </c>
      <c r="CO454" s="9">
        <v>1</v>
      </c>
      <c r="CP454" s="9">
        <v>0</v>
      </c>
      <c r="CQ454" s="9">
        <v>0</v>
      </c>
      <c r="CR454" s="9">
        <v>0</v>
      </c>
      <c r="CS454" s="10">
        <v>0</v>
      </c>
    </row>
    <row r="455" spans="1:97" x14ac:dyDescent="0.35">
      <c r="A455" s="8" t="s">
        <v>494</v>
      </c>
      <c r="B455" s="9" t="s">
        <v>1244</v>
      </c>
      <c r="C455" s="9" t="s">
        <v>1245</v>
      </c>
      <c r="D455" s="9">
        <f t="shared" si="7"/>
        <v>0</v>
      </c>
      <c r="E455" s="9">
        <v>0</v>
      </c>
      <c r="F455" s="9">
        <v>0</v>
      </c>
      <c r="G455" s="9">
        <v>0</v>
      </c>
      <c r="H455" s="9">
        <v>0</v>
      </c>
      <c r="I455" s="9">
        <v>0</v>
      </c>
      <c r="J455" s="9">
        <v>0</v>
      </c>
      <c r="K455" s="9">
        <v>0</v>
      </c>
      <c r="L455" s="9">
        <v>0</v>
      </c>
      <c r="M455" s="9">
        <v>0</v>
      </c>
      <c r="N455" s="9">
        <v>0</v>
      </c>
      <c r="O455" s="9">
        <v>0</v>
      </c>
      <c r="P455" s="9">
        <v>0</v>
      </c>
      <c r="Q455" s="9">
        <v>0</v>
      </c>
      <c r="R455" s="9">
        <v>0</v>
      </c>
      <c r="S455" s="9">
        <v>0</v>
      </c>
      <c r="T455" s="9">
        <v>0</v>
      </c>
      <c r="U455" s="9">
        <v>0</v>
      </c>
      <c r="V455" s="9">
        <v>0</v>
      </c>
      <c r="W455" s="9">
        <v>0</v>
      </c>
      <c r="X455" s="9">
        <v>0</v>
      </c>
      <c r="Y455" s="9">
        <v>0</v>
      </c>
      <c r="Z455" s="9">
        <v>0</v>
      </c>
      <c r="AA455" s="9">
        <v>0</v>
      </c>
      <c r="AB455" s="9">
        <v>0</v>
      </c>
      <c r="AC455" s="9">
        <v>0</v>
      </c>
      <c r="AD455" s="9">
        <v>0</v>
      </c>
      <c r="AE455" s="9">
        <v>0</v>
      </c>
      <c r="AF455" s="9">
        <v>0</v>
      </c>
      <c r="AG455" s="9">
        <v>0</v>
      </c>
      <c r="AH455" s="9">
        <v>0</v>
      </c>
      <c r="AI455" s="9">
        <v>0</v>
      </c>
      <c r="AJ455" s="9">
        <v>0</v>
      </c>
      <c r="AK455" s="9">
        <v>0</v>
      </c>
      <c r="AL455" s="9">
        <v>0</v>
      </c>
      <c r="AM455" s="9">
        <v>0</v>
      </c>
      <c r="AN455" s="9">
        <v>0</v>
      </c>
      <c r="AO455" s="9">
        <v>0</v>
      </c>
      <c r="AP455" s="9">
        <v>0</v>
      </c>
      <c r="AQ455" s="9">
        <v>0</v>
      </c>
      <c r="AR455" s="9">
        <v>0</v>
      </c>
      <c r="AS455" s="9">
        <v>0</v>
      </c>
      <c r="AT455" s="9">
        <v>0</v>
      </c>
      <c r="AU455" s="9">
        <v>0</v>
      </c>
      <c r="AV455" s="9">
        <v>0</v>
      </c>
      <c r="AW455" s="9">
        <v>0</v>
      </c>
      <c r="AX455" s="9">
        <v>0</v>
      </c>
      <c r="AY455" s="9">
        <v>0</v>
      </c>
      <c r="AZ455" s="9">
        <v>0</v>
      </c>
      <c r="BA455" s="9">
        <v>0</v>
      </c>
      <c r="BB455" s="9">
        <v>0</v>
      </c>
      <c r="BC455" s="9">
        <v>0</v>
      </c>
      <c r="BD455" s="9">
        <v>0</v>
      </c>
      <c r="BE455" s="9">
        <v>0</v>
      </c>
      <c r="BF455" s="9">
        <v>0</v>
      </c>
      <c r="BG455" s="9">
        <v>0</v>
      </c>
      <c r="BH455" s="9">
        <v>0</v>
      </c>
      <c r="BI455" s="9">
        <v>0</v>
      </c>
      <c r="BJ455" s="9">
        <v>0</v>
      </c>
      <c r="BK455" s="9">
        <v>0</v>
      </c>
      <c r="BL455" s="9">
        <v>0</v>
      </c>
      <c r="BM455" s="9">
        <v>0</v>
      </c>
      <c r="BN455" s="9">
        <v>0</v>
      </c>
      <c r="BO455" s="9">
        <v>0</v>
      </c>
      <c r="BP455" s="9">
        <v>0</v>
      </c>
      <c r="BQ455" s="9">
        <v>0</v>
      </c>
      <c r="BR455" s="9">
        <v>0</v>
      </c>
      <c r="BS455" s="9">
        <v>0</v>
      </c>
      <c r="BT455" s="9">
        <v>0</v>
      </c>
      <c r="BU455" s="9">
        <v>0</v>
      </c>
      <c r="BV455" s="9">
        <v>0</v>
      </c>
      <c r="BW455" s="9">
        <v>0</v>
      </c>
      <c r="BX455" s="9">
        <v>0</v>
      </c>
      <c r="BY455" s="9">
        <v>0</v>
      </c>
      <c r="BZ455" s="9">
        <v>0</v>
      </c>
      <c r="CA455" s="9">
        <v>0</v>
      </c>
      <c r="CB455" s="9">
        <v>0</v>
      </c>
      <c r="CC455" s="9">
        <v>0</v>
      </c>
      <c r="CD455" s="9">
        <v>0</v>
      </c>
      <c r="CE455" s="9">
        <v>0</v>
      </c>
      <c r="CF455" s="9">
        <v>0</v>
      </c>
      <c r="CG455" s="9">
        <v>0</v>
      </c>
      <c r="CH455" s="9">
        <v>0</v>
      </c>
      <c r="CI455" s="9">
        <v>0</v>
      </c>
      <c r="CJ455" s="9">
        <v>0</v>
      </c>
      <c r="CK455" s="9">
        <v>0</v>
      </c>
      <c r="CL455" s="9">
        <v>0</v>
      </c>
      <c r="CM455" s="9">
        <v>0</v>
      </c>
      <c r="CN455" s="9">
        <v>0</v>
      </c>
      <c r="CO455" s="9">
        <v>0</v>
      </c>
      <c r="CP455" s="9">
        <v>0</v>
      </c>
      <c r="CQ455" s="9">
        <v>0</v>
      </c>
      <c r="CR455" s="9">
        <v>0</v>
      </c>
      <c r="CS455" s="10">
        <v>0</v>
      </c>
    </row>
    <row r="456" spans="1:97" x14ac:dyDescent="0.35">
      <c r="A456" s="8" t="s">
        <v>494</v>
      </c>
      <c r="B456" s="9" t="s">
        <v>1246</v>
      </c>
      <c r="C456" s="9" t="s">
        <v>1247</v>
      </c>
      <c r="D456" s="9">
        <f t="shared" si="7"/>
        <v>0</v>
      </c>
      <c r="E456" s="9">
        <v>0</v>
      </c>
      <c r="F456" s="9">
        <v>0</v>
      </c>
      <c r="G456" s="9">
        <v>0</v>
      </c>
      <c r="H456" s="9">
        <v>0</v>
      </c>
      <c r="I456" s="9">
        <v>0</v>
      </c>
      <c r="J456" s="9">
        <v>0</v>
      </c>
      <c r="K456" s="9">
        <v>0</v>
      </c>
      <c r="L456" s="9">
        <v>0</v>
      </c>
      <c r="M456" s="9">
        <v>0</v>
      </c>
      <c r="N456" s="9">
        <v>0</v>
      </c>
      <c r="O456" s="9">
        <v>0</v>
      </c>
      <c r="P456" s="9">
        <v>0</v>
      </c>
      <c r="Q456" s="9">
        <v>0</v>
      </c>
      <c r="R456" s="9">
        <v>0</v>
      </c>
      <c r="S456" s="9">
        <v>0</v>
      </c>
      <c r="T456" s="9">
        <v>0</v>
      </c>
      <c r="U456" s="9">
        <v>0</v>
      </c>
      <c r="V456" s="9">
        <v>0</v>
      </c>
      <c r="W456" s="9">
        <v>0</v>
      </c>
      <c r="X456" s="9">
        <v>0</v>
      </c>
      <c r="Y456" s="9">
        <v>0</v>
      </c>
      <c r="Z456" s="9">
        <v>0</v>
      </c>
      <c r="AA456" s="9">
        <v>0</v>
      </c>
      <c r="AB456" s="9">
        <v>0</v>
      </c>
      <c r="AC456" s="9">
        <v>0</v>
      </c>
      <c r="AD456" s="9">
        <v>0</v>
      </c>
      <c r="AE456" s="9">
        <v>0</v>
      </c>
      <c r="AF456" s="9">
        <v>0</v>
      </c>
      <c r="AG456" s="9">
        <v>0</v>
      </c>
      <c r="AH456" s="9">
        <v>0</v>
      </c>
      <c r="AI456" s="9">
        <v>0</v>
      </c>
      <c r="AJ456" s="9">
        <v>0</v>
      </c>
      <c r="AK456" s="9">
        <v>0</v>
      </c>
      <c r="AL456" s="9">
        <v>0</v>
      </c>
      <c r="AM456" s="9">
        <v>0</v>
      </c>
      <c r="AN456" s="9">
        <v>0</v>
      </c>
      <c r="AO456" s="9">
        <v>0</v>
      </c>
      <c r="AP456" s="9">
        <v>0</v>
      </c>
      <c r="AQ456" s="9">
        <v>0</v>
      </c>
      <c r="AR456" s="9">
        <v>0</v>
      </c>
      <c r="AS456" s="9">
        <v>0</v>
      </c>
      <c r="AT456" s="9">
        <v>0</v>
      </c>
      <c r="AU456" s="9">
        <v>0</v>
      </c>
      <c r="AV456" s="9">
        <v>0</v>
      </c>
      <c r="AW456" s="9">
        <v>0</v>
      </c>
      <c r="AX456" s="9">
        <v>0</v>
      </c>
      <c r="AY456" s="9">
        <v>0</v>
      </c>
      <c r="AZ456" s="9">
        <v>0</v>
      </c>
      <c r="BA456" s="9">
        <v>0</v>
      </c>
      <c r="BB456" s="9">
        <v>0</v>
      </c>
      <c r="BC456" s="9">
        <v>0</v>
      </c>
      <c r="BD456" s="9">
        <v>0</v>
      </c>
      <c r="BE456" s="9">
        <v>0</v>
      </c>
      <c r="BF456" s="9">
        <v>0</v>
      </c>
      <c r="BG456" s="9">
        <v>0</v>
      </c>
      <c r="BH456" s="9">
        <v>0</v>
      </c>
      <c r="BI456" s="9">
        <v>0</v>
      </c>
      <c r="BJ456" s="9">
        <v>0</v>
      </c>
      <c r="BK456" s="9">
        <v>0</v>
      </c>
      <c r="BL456" s="9">
        <v>0</v>
      </c>
      <c r="BM456" s="9">
        <v>0</v>
      </c>
      <c r="BN456" s="9">
        <v>0</v>
      </c>
      <c r="BO456" s="9">
        <v>0</v>
      </c>
      <c r="BP456" s="9">
        <v>0</v>
      </c>
      <c r="BQ456" s="9">
        <v>0</v>
      </c>
      <c r="BR456" s="9">
        <v>0</v>
      </c>
      <c r="BS456" s="9">
        <v>0</v>
      </c>
      <c r="BT456" s="9">
        <v>0</v>
      </c>
      <c r="BU456" s="9">
        <v>0</v>
      </c>
      <c r="BV456" s="9">
        <v>0</v>
      </c>
      <c r="BW456" s="9">
        <v>0</v>
      </c>
      <c r="BX456" s="9">
        <v>0</v>
      </c>
      <c r="BY456" s="9">
        <v>0</v>
      </c>
      <c r="BZ456" s="9">
        <v>0</v>
      </c>
      <c r="CA456" s="9">
        <v>0</v>
      </c>
      <c r="CB456" s="9">
        <v>0</v>
      </c>
      <c r="CC456" s="9">
        <v>0</v>
      </c>
      <c r="CD456" s="9">
        <v>0</v>
      </c>
      <c r="CE456" s="9">
        <v>0</v>
      </c>
      <c r="CF456" s="9">
        <v>0</v>
      </c>
      <c r="CG456" s="9">
        <v>0</v>
      </c>
      <c r="CH456" s="9">
        <v>0</v>
      </c>
      <c r="CI456" s="9">
        <v>0</v>
      </c>
      <c r="CJ456" s="9">
        <v>0</v>
      </c>
      <c r="CK456" s="9">
        <v>0</v>
      </c>
      <c r="CL456" s="9">
        <v>0</v>
      </c>
      <c r="CM456" s="9">
        <v>0</v>
      </c>
      <c r="CN456" s="9">
        <v>0</v>
      </c>
      <c r="CO456" s="9">
        <v>0</v>
      </c>
      <c r="CP456" s="9">
        <v>0</v>
      </c>
      <c r="CQ456" s="9">
        <v>0</v>
      </c>
      <c r="CR456" s="9">
        <v>0</v>
      </c>
      <c r="CS456" s="10">
        <v>0</v>
      </c>
    </row>
    <row r="457" spans="1:97" x14ac:dyDescent="0.35">
      <c r="A457" s="8" t="s">
        <v>494</v>
      </c>
      <c r="B457" s="9" t="s">
        <v>1248</v>
      </c>
      <c r="C457" s="9" t="s">
        <v>1249</v>
      </c>
      <c r="D457" s="9">
        <f t="shared" si="7"/>
        <v>0</v>
      </c>
      <c r="E457" s="9">
        <v>0</v>
      </c>
      <c r="F457" s="9">
        <v>0</v>
      </c>
      <c r="G457" s="9">
        <v>0</v>
      </c>
      <c r="H457" s="9">
        <v>0</v>
      </c>
      <c r="I457" s="9">
        <v>0</v>
      </c>
      <c r="J457" s="9">
        <v>0</v>
      </c>
      <c r="K457" s="9">
        <v>0</v>
      </c>
      <c r="L457" s="9">
        <v>0</v>
      </c>
      <c r="M457" s="9">
        <v>0</v>
      </c>
      <c r="N457" s="9">
        <v>0</v>
      </c>
      <c r="O457" s="9">
        <v>0</v>
      </c>
      <c r="P457" s="9">
        <v>0</v>
      </c>
      <c r="Q457" s="9">
        <v>0</v>
      </c>
      <c r="R457" s="9">
        <v>0</v>
      </c>
      <c r="S457" s="9">
        <v>0</v>
      </c>
      <c r="T457" s="9">
        <v>0</v>
      </c>
      <c r="U457" s="9">
        <v>0</v>
      </c>
      <c r="V457" s="9">
        <v>0</v>
      </c>
      <c r="W457" s="9">
        <v>0</v>
      </c>
      <c r="X457" s="9">
        <v>0</v>
      </c>
      <c r="Y457" s="9">
        <v>0</v>
      </c>
      <c r="Z457" s="9">
        <v>0</v>
      </c>
      <c r="AA457" s="9">
        <v>0</v>
      </c>
      <c r="AB457" s="9">
        <v>0</v>
      </c>
      <c r="AC457" s="9">
        <v>0</v>
      </c>
      <c r="AD457" s="9">
        <v>0</v>
      </c>
      <c r="AE457" s="9">
        <v>0</v>
      </c>
      <c r="AF457" s="9">
        <v>0</v>
      </c>
      <c r="AG457" s="9">
        <v>0</v>
      </c>
      <c r="AH457" s="9">
        <v>0</v>
      </c>
      <c r="AI457" s="9">
        <v>0</v>
      </c>
      <c r="AJ457" s="9">
        <v>0</v>
      </c>
      <c r="AK457" s="9">
        <v>0</v>
      </c>
      <c r="AL457" s="9">
        <v>0</v>
      </c>
      <c r="AM457" s="9">
        <v>0</v>
      </c>
      <c r="AN457" s="9">
        <v>0</v>
      </c>
      <c r="AO457" s="9">
        <v>0</v>
      </c>
      <c r="AP457" s="9">
        <v>0</v>
      </c>
      <c r="AQ457" s="9">
        <v>0</v>
      </c>
      <c r="AR457" s="9">
        <v>0</v>
      </c>
      <c r="AS457" s="9">
        <v>0</v>
      </c>
      <c r="AT457" s="9">
        <v>0</v>
      </c>
      <c r="AU457" s="9">
        <v>0</v>
      </c>
      <c r="AV457" s="9">
        <v>0</v>
      </c>
      <c r="AW457" s="9">
        <v>0</v>
      </c>
      <c r="AX457" s="9">
        <v>0</v>
      </c>
      <c r="AY457" s="9">
        <v>0</v>
      </c>
      <c r="AZ457" s="9">
        <v>0</v>
      </c>
      <c r="BA457" s="9">
        <v>0</v>
      </c>
      <c r="BB457" s="9">
        <v>0</v>
      </c>
      <c r="BC457" s="9">
        <v>0</v>
      </c>
      <c r="BD457" s="9">
        <v>0</v>
      </c>
      <c r="BE457" s="9">
        <v>0</v>
      </c>
      <c r="BF457" s="9">
        <v>0</v>
      </c>
      <c r="BG457" s="9">
        <v>0</v>
      </c>
      <c r="BH457" s="9">
        <v>0</v>
      </c>
      <c r="BI457" s="9">
        <v>0</v>
      </c>
      <c r="BJ457" s="9">
        <v>0</v>
      </c>
      <c r="BK457" s="9">
        <v>0</v>
      </c>
      <c r="BL457" s="9">
        <v>0</v>
      </c>
      <c r="BM457" s="9">
        <v>0</v>
      </c>
      <c r="BN457" s="9">
        <v>0</v>
      </c>
      <c r="BO457" s="9">
        <v>0</v>
      </c>
      <c r="BP457" s="9">
        <v>0</v>
      </c>
      <c r="BQ457" s="9">
        <v>0</v>
      </c>
      <c r="BR457" s="9">
        <v>0</v>
      </c>
      <c r="BS457" s="9">
        <v>0</v>
      </c>
      <c r="BT457" s="9">
        <v>0</v>
      </c>
      <c r="BU457" s="9">
        <v>0</v>
      </c>
      <c r="BV457" s="9">
        <v>0</v>
      </c>
      <c r="BW457" s="9">
        <v>0</v>
      </c>
      <c r="BX457" s="9">
        <v>0</v>
      </c>
      <c r="BY457" s="9">
        <v>0</v>
      </c>
      <c r="BZ457" s="9">
        <v>0</v>
      </c>
      <c r="CA457" s="9">
        <v>0</v>
      </c>
      <c r="CB457" s="9">
        <v>0</v>
      </c>
      <c r="CC457" s="9">
        <v>0</v>
      </c>
      <c r="CD457" s="9">
        <v>0</v>
      </c>
      <c r="CE457" s="9">
        <v>0</v>
      </c>
      <c r="CF457" s="9">
        <v>0</v>
      </c>
      <c r="CG457" s="9">
        <v>0</v>
      </c>
      <c r="CH457" s="9">
        <v>0</v>
      </c>
      <c r="CI457" s="9">
        <v>0</v>
      </c>
      <c r="CJ457" s="9">
        <v>0</v>
      </c>
      <c r="CK457" s="9">
        <v>0</v>
      </c>
      <c r="CL457" s="9">
        <v>0</v>
      </c>
      <c r="CM457" s="9">
        <v>0</v>
      </c>
      <c r="CN457" s="9">
        <v>0</v>
      </c>
      <c r="CO457" s="9">
        <v>0</v>
      </c>
      <c r="CP457" s="9">
        <v>0</v>
      </c>
      <c r="CQ457" s="9">
        <v>0</v>
      </c>
      <c r="CR457" s="9">
        <v>0</v>
      </c>
      <c r="CS457" s="10">
        <v>0</v>
      </c>
    </row>
    <row r="458" spans="1:97" x14ac:dyDescent="0.35">
      <c r="A458" s="8" t="s">
        <v>494</v>
      </c>
      <c r="B458" s="9" t="s">
        <v>1250</v>
      </c>
      <c r="C458" s="9" t="s">
        <v>1251</v>
      </c>
      <c r="D458" s="9">
        <f t="shared" si="7"/>
        <v>0</v>
      </c>
      <c r="E458" s="9">
        <v>0</v>
      </c>
      <c r="F458" s="9">
        <v>0</v>
      </c>
      <c r="G458" s="9">
        <v>0</v>
      </c>
      <c r="H458" s="9">
        <v>0</v>
      </c>
      <c r="I458" s="9">
        <v>0</v>
      </c>
      <c r="J458" s="9">
        <v>0</v>
      </c>
      <c r="K458" s="9">
        <v>0</v>
      </c>
      <c r="L458" s="9">
        <v>0</v>
      </c>
      <c r="M458" s="9">
        <v>0</v>
      </c>
      <c r="N458" s="9">
        <v>0</v>
      </c>
      <c r="O458" s="9">
        <v>0</v>
      </c>
      <c r="P458" s="9">
        <v>0</v>
      </c>
      <c r="Q458" s="9">
        <v>0</v>
      </c>
      <c r="R458" s="9">
        <v>0</v>
      </c>
      <c r="S458" s="9">
        <v>0</v>
      </c>
      <c r="T458" s="9">
        <v>0</v>
      </c>
      <c r="U458" s="9">
        <v>0</v>
      </c>
      <c r="V458" s="9">
        <v>0</v>
      </c>
      <c r="W458" s="9">
        <v>0</v>
      </c>
      <c r="X458" s="9">
        <v>0</v>
      </c>
      <c r="Y458" s="9">
        <v>0</v>
      </c>
      <c r="Z458" s="9">
        <v>0</v>
      </c>
      <c r="AA458" s="9">
        <v>0</v>
      </c>
      <c r="AB458" s="9">
        <v>0</v>
      </c>
      <c r="AC458" s="9">
        <v>0</v>
      </c>
      <c r="AD458" s="9">
        <v>0</v>
      </c>
      <c r="AE458" s="9">
        <v>0</v>
      </c>
      <c r="AF458" s="9">
        <v>0</v>
      </c>
      <c r="AG458" s="9">
        <v>0</v>
      </c>
      <c r="AH458" s="9">
        <v>0</v>
      </c>
      <c r="AI458" s="9">
        <v>0</v>
      </c>
      <c r="AJ458" s="9">
        <v>0</v>
      </c>
      <c r="AK458" s="9">
        <v>0</v>
      </c>
      <c r="AL458" s="9">
        <v>0</v>
      </c>
      <c r="AM458" s="9">
        <v>0</v>
      </c>
      <c r="AN458" s="9">
        <v>0</v>
      </c>
      <c r="AO458" s="9">
        <v>0</v>
      </c>
      <c r="AP458" s="9">
        <v>0</v>
      </c>
      <c r="AQ458" s="9">
        <v>0</v>
      </c>
      <c r="AR458" s="9">
        <v>0</v>
      </c>
      <c r="AS458" s="9">
        <v>0</v>
      </c>
      <c r="AT458" s="9">
        <v>0</v>
      </c>
      <c r="AU458" s="9">
        <v>0</v>
      </c>
      <c r="AV458" s="9">
        <v>0</v>
      </c>
      <c r="AW458" s="9">
        <v>0</v>
      </c>
      <c r="AX458" s="9">
        <v>0</v>
      </c>
      <c r="AY458" s="9">
        <v>0</v>
      </c>
      <c r="AZ458" s="9">
        <v>0</v>
      </c>
      <c r="BA458" s="9">
        <v>0</v>
      </c>
      <c r="BB458" s="9">
        <v>0</v>
      </c>
      <c r="BC458" s="9">
        <v>0</v>
      </c>
      <c r="BD458" s="9">
        <v>0</v>
      </c>
      <c r="BE458" s="9">
        <v>0</v>
      </c>
      <c r="BF458" s="9">
        <v>0</v>
      </c>
      <c r="BG458" s="9">
        <v>0</v>
      </c>
      <c r="BH458" s="9">
        <v>0</v>
      </c>
      <c r="BI458" s="9">
        <v>0</v>
      </c>
      <c r="BJ458" s="9">
        <v>0</v>
      </c>
      <c r="BK458" s="9">
        <v>0</v>
      </c>
      <c r="BL458" s="9">
        <v>0</v>
      </c>
      <c r="BM458" s="9">
        <v>0</v>
      </c>
      <c r="BN458" s="9">
        <v>0</v>
      </c>
      <c r="BO458" s="9">
        <v>0</v>
      </c>
      <c r="BP458" s="9">
        <v>0</v>
      </c>
      <c r="BQ458" s="9">
        <v>0</v>
      </c>
      <c r="BR458" s="9">
        <v>0</v>
      </c>
      <c r="BS458" s="9">
        <v>0</v>
      </c>
      <c r="BT458" s="9">
        <v>0</v>
      </c>
      <c r="BU458" s="9">
        <v>0</v>
      </c>
      <c r="BV458" s="9">
        <v>0</v>
      </c>
      <c r="BW458" s="9">
        <v>0</v>
      </c>
      <c r="BX458" s="9">
        <v>0</v>
      </c>
      <c r="BY458" s="9">
        <v>0</v>
      </c>
      <c r="BZ458" s="9">
        <v>0</v>
      </c>
      <c r="CA458" s="9">
        <v>0</v>
      </c>
      <c r="CB458" s="9">
        <v>0</v>
      </c>
      <c r="CC458" s="9">
        <v>0</v>
      </c>
      <c r="CD458" s="9">
        <v>0</v>
      </c>
      <c r="CE458" s="9">
        <v>0</v>
      </c>
      <c r="CF458" s="9">
        <v>0</v>
      </c>
      <c r="CG458" s="9">
        <v>0</v>
      </c>
      <c r="CH458" s="9">
        <v>0</v>
      </c>
      <c r="CI458" s="9">
        <v>0</v>
      </c>
      <c r="CJ458" s="9">
        <v>0</v>
      </c>
      <c r="CK458" s="9">
        <v>0</v>
      </c>
      <c r="CL458" s="9">
        <v>0</v>
      </c>
      <c r="CM458" s="9">
        <v>0</v>
      </c>
      <c r="CN458" s="9">
        <v>0</v>
      </c>
      <c r="CO458" s="9">
        <v>0</v>
      </c>
      <c r="CP458" s="9">
        <v>0</v>
      </c>
      <c r="CQ458" s="9">
        <v>0</v>
      </c>
      <c r="CR458" s="9">
        <v>0</v>
      </c>
      <c r="CS458" s="10">
        <v>0</v>
      </c>
    </row>
    <row r="459" spans="1:97" x14ac:dyDescent="0.35">
      <c r="A459" s="8" t="s">
        <v>494</v>
      </c>
      <c r="B459" s="9" t="s">
        <v>1252</v>
      </c>
      <c r="C459" s="9" t="s">
        <v>1253</v>
      </c>
      <c r="D459" s="9">
        <f t="shared" si="7"/>
        <v>0</v>
      </c>
      <c r="E459" s="9">
        <v>0</v>
      </c>
      <c r="F459" s="9">
        <v>0</v>
      </c>
      <c r="G459" s="9">
        <v>0</v>
      </c>
      <c r="H459" s="9">
        <v>0</v>
      </c>
      <c r="I459" s="9">
        <v>0</v>
      </c>
      <c r="J459" s="9">
        <v>0</v>
      </c>
      <c r="K459" s="9">
        <v>0</v>
      </c>
      <c r="L459" s="9">
        <v>0</v>
      </c>
      <c r="M459" s="9">
        <v>0</v>
      </c>
      <c r="N459" s="9">
        <v>0</v>
      </c>
      <c r="O459" s="9">
        <v>0</v>
      </c>
      <c r="P459" s="9">
        <v>0</v>
      </c>
      <c r="Q459" s="9">
        <v>0</v>
      </c>
      <c r="R459" s="9">
        <v>0</v>
      </c>
      <c r="S459" s="9">
        <v>0</v>
      </c>
      <c r="T459" s="9">
        <v>0</v>
      </c>
      <c r="U459" s="9">
        <v>0</v>
      </c>
      <c r="V459" s="9">
        <v>0</v>
      </c>
      <c r="W459" s="9">
        <v>0</v>
      </c>
      <c r="X459" s="9">
        <v>0</v>
      </c>
      <c r="Y459" s="9">
        <v>0</v>
      </c>
      <c r="Z459" s="9">
        <v>0</v>
      </c>
      <c r="AA459" s="9">
        <v>0</v>
      </c>
      <c r="AB459" s="9">
        <v>0</v>
      </c>
      <c r="AC459" s="9">
        <v>0</v>
      </c>
      <c r="AD459" s="9">
        <v>0</v>
      </c>
      <c r="AE459" s="9">
        <v>0</v>
      </c>
      <c r="AF459" s="9">
        <v>0</v>
      </c>
      <c r="AG459" s="9">
        <v>0</v>
      </c>
      <c r="AH459" s="9">
        <v>0</v>
      </c>
      <c r="AI459" s="9">
        <v>0</v>
      </c>
      <c r="AJ459" s="9">
        <v>0</v>
      </c>
      <c r="AK459" s="9">
        <v>0</v>
      </c>
      <c r="AL459" s="9">
        <v>0</v>
      </c>
      <c r="AM459" s="9">
        <v>0</v>
      </c>
      <c r="AN459" s="9">
        <v>0</v>
      </c>
      <c r="AO459" s="9">
        <v>0</v>
      </c>
      <c r="AP459" s="9">
        <v>0</v>
      </c>
      <c r="AQ459" s="9">
        <v>0</v>
      </c>
      <c r="AR459" s="9">
        <v>0</v>
      </c>
      <c r="AS459" s="9">
        <v>0</v>
      </c>
      <c r="AT459" s="9">
        <v>0</v>
      </c>
      <c r="AU459" s="9">
        <v>0</v>
      </c>
      <c r="AV459" s="9">
        <v>0</v>
      </c>
      <c r="AW459" s="9">
        <v>0</v>
      </c>
      <c r="AX459" s="9">
        <v>0</v>
      </c>
      <c r="AY459" s="9">
        <v>0</v>
      </c>
      <c r="AZ459" s="9">
        <v>0</v>
      </c>
      <c r="BA459" s="9">
        <v>0</v>
      </c>
      <c r="BB459" s="9">
        <v>0</v>
      </c>
      <c r="BC459" s="9">
        <v>0</v>
      </c>
      <c r="BD459" s="9">
        <v>0</v>
      </c>
      <c r="BE459" s="9">
        <v>0</v>
      </c>
      <c r="BF459" s="9">
        <v>0</v>
      </c>
      <c r="BG459" s="9">
        <v>0</v>
      </c>
      <c r="BH459" s="9">
        <v>0</v>
      </c>
      <c r="BI459" s="9">
        <v>0</v>
      </c>
      <c r="BJ459" s="9">
        <v>0</v>
      </c>
      <c r="BK459" s="9">
        <v>0</v>
      </c>
      <c r="BL459" s="9">
        <v>0</v>
      </c>
      <c r="BM459" s="9">
        <v>0</v>
      </c>
      <c r="BN459" s="9">
        <v>0</v>
      </c>
      <c r="BO459" s="9">
        <v>0</v>
      </c>
      <c r="BP459" s="9">
        <v>0</v>
      </c>
      <c r="BQ459" s="9">
        <v>0</v>
      </c>
      <c r="BR459" s="9">
        <v>0</v>
      </c>
      <c r="BS459" s="9">
        <v>0</v>
      </c>
      <c r="BT459" s="9">
        <v>0</v>
      </c>
      <c r="BU459" s="9">
        <v>0</v>
      </c>
      <c r="BV459" s="9">
        <v>0</v>
      </c>
      <c r="BW459" s="9">
        <v>0</v>
      </c>
      <c r="BX459" s="9">
        <v>0</v>
      </c>
      <c r="BY459" s="9">
        <v>0</v>
      </c>
      <c r="BZ459" s="9">
        <v>0</v>
      </c>
      <c r="CA459" s="9">
        <v>0</v>
      </c>
      <c r="CB459" s="9">
        <v>0</v>
      </c>
      <c r="CC459" s="9">
        <v>0</v>
      </c>
      <c r="CD459" s="9">
        <v>0</v>
      </c>
      <c r="CE459" s="9">
        <v>0</v>
      </c>
      <c r="CF459" s="9">
        <v>0</v>
      </c>
      <c r="CG459" s="9">
        <v>0</v>
      </c>
      <c r="CH459" s="9">
        <v>0</v>
      </c>
      <c r="CI459" s="9">
        <v>0</v>
      </c>
      <c r="CJ459" s="9">
        <v>0</v>
      </c>
      <c r="CK459" s="9">
        <v>0</v>
      </c>
      <c r="CL459" s="9">
        <v>0</v>
      </c>
      <c r="CM459" s="9">
        <v>0</v>
      </c>
      <c r="CN459" s="9">
        <v>0</v>
      </c>
      <c r="CO459" s="9">
        <v>0</v>
      </c>
      <c r="CP459" s="9">
        <v>0</v>
      </c>
      <c r="CQ459" s="9">
        <v>0</v>
      </c>
      <c r="CR459" s="9">
        <v>0</v>
      </c>
      <c r="CS459" s="10">
        <v>0</v>
      </c>
    </row>
    <row r="460" spans="1:97" x14ac:dyDescent="0.35">
      <c r="A460" s="8" t="s">
        <v>494</v>
      </c>
      <c r="B460" s="9" t="s">
        <v>1254</v>
      </c>
      <c r="C460" s="9" t="s">
        <v>1255</v>
      </c>
      <c r="D460" s="9">
        <f t="shared" si="7"/>
        <v>0</v>
      </c>
      <c r="E460" s="9">
        <v>0</v>
      </c>
      <c r="F460" s="9">
        <v>0</v>
      </c>
      <c r="G460" s="9">
        <v>0</v>
      </c>
      <c r="H460" s="9">
        <v>0</v>
      </c>
      <c r="I460" s="9">
        <v>0</v>
      </c>
      <c r="J460" s="9">
        <v>0</v>
      </c>
      <c r="K460" s="9">
        <v>0</v>
      </c>
      <c r="L460" s="9">
        <v>0</v>
      </c>
      <c r="M460" s="9">
        <v>0</v>
      </c>
      <c r="N460" s="9">
        <v>0</v>
      </c>
      <c r="O460" s="9">
        <v>0</v>
      </c>
      <c r="P460" s="9">
        <v>0</v>
      </c>
      <c r="Q460" s="9">
        <v>0</v>
      </c>
      <c r="R460" s="9">
        <v>0</v>
      </c>
      <c r="S460" s="9">
        <v>0</v>
      </c>
      <c r="T460" s="9">
        <v>0</v>
      </c>
      <c r="U460" s="9">
        <v>0</v>
      </c>
      <c r="V460" s="9">
        <v>0</v>
      </c>
      <c r="W460" s="9">
        <v>0</v>
      </c>
      <c r="X460" s="9">
        <v>0</v>
      </c>
      <c r="Y460" s="9">
        <v>0</v>
      </c>
      <c r="Z460" s="9">
        <v>0</v>
      </c>
      <c r="AA460" s="9">
        <v>0</v>
      </c>
      <c r="AB460" s="9">
        <v>0</v>
      </c>
      <c r="AC460" s="9">
        <v>0</v>
      </c>
      <c r="AD460" s="9">
        <v>0</v>
      </c>
      <c r="AE460" s="9">
        <v>0</v>
      </c>
      <c r="AF460" s="9">
        <v>0</v>
      </c>
      <c r="AG460" s="9">
        <v>0</v>
      </c>
      <c r="AH460" s="9">
        <v>0</v>
      </c>
      <c r="AI460" s="9">
        <v>0</v>
      </c>
      <c r="AJ460" s="9">
        <v>0</v>
      </c>
      <c r="AK460" s="9">
        <v>0</v>
      </c>
      <c r="AL460" s="9">
        <v>0</v>
      </c>
      <c r="AM460" s="9">
        <v>0</v>
      </c>
      <c r="AN460" s="9">
        <v>0</v>
      </c>
      <c r="AO460" s="9">
        <v>0</v>
      </c>
      <c r="AP460" s="9">
        <v>0</v>
      </c>
      <c r="AQ460" s="9">
        <v>0</v>
      </c>
      <c r="AR460" s="9">
        <v>0</v>
      </c>
      <c r="AS460" s="9">
        <v>0</v>
      </c>
      <c r="AT460" s="9">
        <v>0</v>
      </c>
      <c r="AU460" s="9">
        <v>0</v>
      </c>
      <c r="AV460" s="9">
        <v>0</v>
      </c>
      <c r="AW460" s="9">
        <v>0</v>
      </c>
      <c r="AX460" s="9">
        <v>0</v>
      </c>
      <c r="AY460" s="9">
        <v>0</v>
      </c>
      <c r="AZ460" s="9">
        <v>0</v>
      </c>
      <c r="BA460" s="9">
        <v>0</v>
      </c>
      <c r="BB460" s="9">
        <v>0</v>
      </c>
      <c r="BC460" s="9">
        <v>0</v>
      </c>
      <c r="BD460" s="9">
        <v>0</v>
      </c>
      <c r="BE460" s="9">
        <v>0</v>
      </c>
      <c r="BF460" s="9">
        <v>0</v>
      </c>
      <c r="BG460" s="9">
        <v>0</v>
      </c>
      <c r="BH460" s="9">
        <v>0</v>
      </c>
      <c r="BI460" s="9">
        <v>0</v>
      </c>
      <c r="BJ460" s="9">
        <v>0</v>
      </c>
      <c r="BK460" s="9">
        <v>0</v>
      </c>
      <c r="BL460" s="9">
        <v>0</v>
      </c>
      <c r="BM460" s="9">
        <v>0</v>
      </c>
      <c r="BN460" s="9">
        <v>0</v>
      </c>
      <c r="BO460" s="9">
        <v>0</v>
      </c>
      <c r="BP460" s="9">
        <v>0</v>
      </c>
      <c r="BQ460" s="9">
        <v>0</v>
      </c>
      <c r="BR460" s="9">
        <v>0</v>
      </c>
      <c r="BS460" s="9">
        <v>0</v>
      </c>
      <c r="BT460" s="9">
        <v>0</v>
      </c>
      <c r="BU460" s="9">
        <v>0</v>
      </c>
      <c r="BV460" s="9">
        <v>0</v>
      </c>
      <c r="BW460" s="9">
        <v>0</v>
      </c>
      <c r="BX460" s="9">
        <v>0</v>
      </c>
      <c r="BY460" s="9">
        <v>0</v>
      </c>
      <c r="BZ460" s="9">
        <v>0</v>
      </c>
      <c r="CA460" s="9">
        <v>0</v>
      </c>
      <c r="CB460" s="9">
        <v>0</v>
      </c>
      <c r="CC460" s="9">
        <v>0</v>
      </c>
      <c r="CD460" s="9">
        <v>0</v>
      </c>
      <c r="CE460" s="9">
        <v>0</v>
      </c>
      <c r="CF460" s="9">
        <v>0</v>
      </c>
      <c r="CG460" s="9">
        <v>0</v>
      </c>
      <c r="CH460" s="9">
        <v>0</v>
      </c>
      <c r="CI460" s="9">
        <v>0</v>
      </c>
      <c r="CJ460" s="9">
        <v>0</v>
      </c>
      <c r="CK460" s="9">
        <v>0</v>
      </c>
      <c r="CL460" s="9">
        <v>0</v>
      </c>
      <c r="CM460" s="9">
        <v>0</v>
      </c>
      <c r="CN460" s="9">
        <v>0</v>
      </c>
      <c r="CO460" s="9">
        <v>0</v>
      </c>
      <c r="CP460" s="9">
        <v>0</v>
      </c>
      <c r="CQ460" s="9">
        <v>0</v>
      </c>
      <c r="CR460" s="9">
        <v>0</v>
      </c>
      <c r="CS460" s="10">
        <v>0</v>
      </c>
    </row>
    <row r="461" spans="1:97" x14ac:dyDescent="0.35">
      <c r="A461" s="8" t="s">
        <v>494</v>
      </c>
      <c r="B461" s="9" t="s">
        <v>1256</v>
      </c>
      <c r="C461" s="9" t="s">
        <v>1257</v>
      </c>
      <c r="D461" s="9">
        <f t="shared" si="7"/>
        <v>0</v>
      </c>
      <c r="E461" s="9">
        <v>0</v>
      </c>
      <c r="F461" s="9">
        <v>0</v>
      </c>
      <c r="G461" s="9">
        <v>0</v>
      </c>
      <c r="H461" s="9">
        <v>0</v>
      </c>
      <c r="I461" s="9">
        <v>0</v>
      </c>
      <c r="J461" s="9">
        <v>0</v>
      </c>
      <c r="K461" s="9">
        <v>0</v>
      </c>
      <c r="L461" s="9">
        <v>0</v>
      </c>
      <c r="M461" s="9">
        <v>0</v>
      </c>
      <c r="N461" s="9">
        <v>0</v>
      </c>
      <c r="O461" s="9">
        <v>0</v>
      </c>
      <c r="P461" s="9">
        <v>0</v>
      </c>
      <c r="Q461" s="9">
        <v>0</v>
      </c>
      <c r="R461" s="9">
        <v>0</v>
      </c>
      <c r="S461" s="9">
        <v>0</v>
      </c>
      <c r="T461" s="9">
        <v>0</v>
      </c>
      <c r="U461" s="9">
        <v>0</v>
      </c>
      <c r="V461" s="9">
        <v>0</v>
      </c>
      <c r="W461" s="9">
        <v>0</v>
      </c>
      <c r="X461" s="9">
        <v>0</v>
      </c>
      <c r="Y461" s="9">
        <v>0</v>
      </c>
      <c r="Z461" s="9">
        <v>0</v>
      </c>
      <c r="AA461" s="9">
        <v>0</v>
      </c>
      <c r="AB461" s="9">
        <v>0</v>
      </c>
      <c r="AC461" s="9">
        <v>0</v>
      </c>
      <c r="AD461" s="9">
        <v>0</v>
      </c>
      <c r="AE461" s="9">
        <v>0</v>
      </c>
      <c r="AF461" s="9">
        <v>0</v>
      </c>
      <c r="AG461" s="9">
        <v>0</v>
      </c>
      <c r="AH461" s="9">
        <v>0</v>
      </c>
      <c r="AI461" s="9">
        <v>0</v>
      </c>
      <c r="AJ461" s="9">
        <v>0</v>
      </c>
      <c r="AK461" s="9">
        <v>0</v>
      </c>
      <c r="AL461" s="9">
        <v>0</v>
      </c>
      <c r="AM461" s="9">
        <v>0</v>
      </c>
      <c r="AN461" s="9">
        <v>0</v>
      </c>
      <c r="AO461" s="9">
        <v>0</v>
      </c>
      <c r="AP461" s="9">
        <v>0</v>
      </c>
      <c r="AQ461" s="9">
        <v>0</v>
      </c>
      <c r="AR461" s="9">
        <v>0</v>
      </c>
      <c r="AS461" s="9">
        <v>0</v>
      </c>
      <c r="AT461" s="9">
        <v>0</v>
      </c>
      <c r="AU461" s="9">
        <v>0</v>
      </c>
      <c r="AV461" s="9">
        <v>0</v>
      </c>
      <c r="AW461" s="9">
        <v>0</v>
      </c>
      <c r="AX461" s="9">
        <v>0</v>
      </c>
      <c r="AY461" s="9">
        <v>0</v>
      </c>
      <c r="AZ461" s="9">
        <v>0</v>
      </c>
      <c r="BA461" s="9">
        <v>0</v>
      </c>
      <c r="BB461" s="9">
        <v>0</v>
      </c>
      <c r="BC461" s="9">
        <v>0</v>
      </c>
      <c r="BD461" s="9">
        <v>0</v>
      </c>
      <c r="BE461" s="9">
        <v>0</v>
      </c>
      <c r="BF461" s="9">
        <v>0</v>
      </c>
      <c r="BG461" s="9">
        <v>0</v>
      </c>
      <c r="BH461" s="9">
        <v>0</v>
      </c>
      <c r="BI461" s="9">
        <v>0</v>
      </c>
      <c r="BJ461" s="9">
        <v>0</v>
      </c>
      <c r="BK461" s="9">
        <v>0</v>
      </c>
      <c r="BL461" s="9">
        <v>0</v>
      </c>
      <c r="BM461" s="9">
        <v>0</v>
      </c>
      <c r="BN461" s="9">
        <v>0</v>
      </c>
      <c r="BO461" s="9">
        <v>0</v>
      </c>
      <c r="BP461" s="9">
        <v>0</v>
      </c>
      <c r="BQ461" s="9">
        <v>0</v>
      </c>
      <c r="BR461" s="9">
        <v>0</v>
      </c>
      <c r="BS461" s="9">
        <v>0</v>
      </c>
      <c r="BT461" s="9">
        <v>0</v>
      </c>
      <c r="BU461" s="9">
        <v>0</v>
      </c>
      <c r="BV461" s="9">
        <v>0</v>
      </c>
      <c r="BW461" s="9">
        <v>0</v>
      </c>
      <c r="BX461" s="9">
        <v>0</v>
      </c>
      <c r="BY461" s="9">
        <v>0</v>
      </c>
      <c r="BZ461" s="9">
        <v>0</v>
      </c>
      <c r="CA461" s="9">
        <v>0</v>
      </c>
      <c r="CB461" s="9">
        <v>0</v>
      </c>
      <c r="CC461" s="9">
        <v>0</v>
      </c>
      <c r="CD461" s="9">
        <v>0</v>
      </c>
      <c r="CE461" s="9">
        <v>0</v>
      </c>
      <c r="CF461" s="9">
        <v>0</v>
      </c>
      <c r="CG461" s="9">
        <v>0</v>
      </c>
      <c r="CH461" s="9">
        <v>0</v>
      </c>
      <c r="CI461" s="9">
        <v>0</v>
      </c>
      <c r="CJ461" s="9">
        <v>0</v>
      </c>
      <c r="CK461" s="9">
        <v>0</v>
      </c>
      <c r="CL461" s="9">
        <v>0</v>
      </c>
      <c r="CM461" s="9">
        <v>0</v>
      </c>
      <c r="CN461" s="9">
        <v>0</v>
      </c>
      <c r="CO461" s="9">
        <v>0</v>
      </c>
      <c r="CP461" s="9">
        <v>0</v>
      </c>
      <c r="CQ461" s="9">
        <v>0</v>
      </c>
      <c r="CR461" s="9">
        <v>0</v>
      </c>
      <c r="CS461" s="10">
        <v>0</v>
      </c>
    </row>
    <row r="462" spans="1:97" x14ac:dyDescent="0.35">
      <c r="A462" s="8" t="s">
        <v>494</v>
      </c>
      <c r="B462" s="9" t="s">
        <v>1258</v>
      </c>
      <c r="C462" s="9" t="s">
        <v>1259</v>
      </c>
      <c r="D462" s="9">
        <f t="shared" si="7"/>
        <v>0</v>
      </c>
      <c r="E462" s="9">
        <v>0</v>
      </c>
      <c r="F462" s="9">
        <v>0</v>
      </c>
      <c r="G462" s="9">
        <v>0</v>
      </c>
      <c r="H462" s="9">
        <v>0</v>
      </c>
      <c r="I462" s="9">
        <v>0</v>
      </c>
      <c r="J462" s="9">
        <v>0</v>
      </c>
      <c r="K462" s="9">
        <v>0</v>
      </c>
      <c r="L462" s="9">
        <v>0</v>
      </c>
      <c r="M462" s="9">
        <v>0</v>
      </c>
      <c r="N462" s="9">
        <v>0</v>
      </c>
      <c r="O462" s="9">
        <v>0</v>
      </c>
      <c r="P462" s="9">
        <v>0</v>
      </c>
      <c r="Q462" s="9">
        <v>0</v>
      </c>
      <c r="R462" s="9">
        <v>0</v>
      </c>
      <c r="S462" s="9">
        <v>0</v>
      </c>
      <c r="T462" s="9">
        <v>0</v>
      </c>
      <c r="U462" s="9">
        <v>0</v>
      </c>
      <c r="V462" s="9">
        <v>0</v>
      </c>
      <c r="W462" s="9">
        <v>0</v>
      </c>
      <c r="X462" s="9">
        <v>0</v>
      </c>
      <c r="Y462" s="9">
        <v>0</v>
      </c>
      <c r="Z462" s="9">
        <v>0</v>
      </c>
      <c r="AA462" s="9">
        <v>0</v>
      </c>
      <c r="AB462" s="9">
        <v>0</v>
      </c>
      <c r="AC462" s="9">
        <v>0</v>
      </c>
      <c r="AD462" s="9">
        <v>0</v>
      </c>
      <c r="AE462" s="9">
        <v>0</v>
      </c>
      <c r="AF462" s="9">
        <v>0</v>
      </c>
      <c r="AG462" s="9">
        <v>0</v>
      </c>
      <c r="AH462" s="9">
        <v>0</v>
      </c>
      <c r="AI462" s="9">
        <v>0</v>
      </c>
      <c r="AJ462" s="9">
        <v>0</v>
      </c>
      <c r="AK462" s="9">
        <v>0</v>
      </c>
      <c r="AL462" s="9">
        <v>0</v>
      </c>
      <c r="AM462" s="9">
        <v>0</v>
      </c>
      <c r="AN462" s="9">
        <v>0</v>
      </c>
      <c r="AO462" s="9">
        <v>0</v>
      </c>
      <c r="AP462" s="9">
        <v>0</v>
      </c>
      <c r="AQ462" s="9">
        <v>0</v>
      </c>
      <c r="AR462" s="9">
        <v>0</v>
      </c>
      <c r="AS462" s="9">
        <v>0</v>
      </c>
      <c r="AT462" s="9">
        <v>0</v>
      </c>
      <c r="AU462" s="9">
        <v>0</v>
      </c>
      <c r="AV462" s="9">
        <v>0</v>
      </c>
      <c r="AW462" s="9">
        <v>0</v>
      </c>
      <c r="AX462" s="9">
        <v>0</v>
      </c>
      <c r="AY462" s="9">
        <v>0</v>
      </c>
      <c r="AZ462" s="9">
        <v>0</v>
      </c>
      <c r="BA462" s="9">
        <v>0</v>
      </c>
      <c r="BB462" s="9">
        <v>0</v>
      </c>
      <c r="BC462" s="9">
        <v>0</v>
      </c>
      <c r="BD462" s="9">
        <v>0</v>
      </c>
      <c r="BE462" s="9">
        <v>0</v>
      </c>
      <c r="BF462" s="9">
        <v>0</v>
      </c>
      <c r="BG462" s="9">
        <v>0</v>
      </c>
      <c r="BH462" s="9">
        <v>0</v>
      </c>
      <c r="BI462" s="9">
        <v>0</v>
      </c>
      <c r="BJ462" s="9">
        <v>0</v>
      </c>
      <c r="BK462" s="9">
        <v>0</v>
      </c>
      <c r="BL462" s="9">
        <v>0</v>
      </c>
      <c r="BM462" s="9">
        <v>0</v>
      </c>
      <c r="BN462" s="9">
        <v>0</v>
      </c>
      <c r="BO462" s="9">
        <v>0</v>
      </c>
      <c r="BP462" s="9">
        <v>0</v>
      </c>
      <c r="BQ462" s="9">
        <v>0</v>
      </c>
      <c r="BR462" s="9">
        <v>0</v>
      </c>
      <c r="BS462" s="9">
        <v>0</v>
      </c>
      <c r="BT462" s="9">
        <v>0</v>
      </c>
      <c r="BU462" s="9">
        <v>0</v>
      </c>
      <c r="BV462" s="9">
        <v>0</v>
      </c>
      <c r="BW462" s="9">
        <v>0</v>
      </c>
      <c r="BX462" s="9">
        <v>0</v>
      </c>
      <c r="BY462" s="9">
        <v>0</v>
      </c>
      <c r="BZ462" s="9">
        <v>0</v>
      </c>
      <c r="CA462" s="9">
        <v>0</v>
      </c>
      <c r="CB462" s="9">
        <v>0</v>
      </c>
      <c r="CC462" s="9">
        <v>0</v>
      </c>
      <c r="CD462" s="9">
        <v>0</v>
      </c>
      <c r="CE462" s="9">
        <v>0</v>
      </c>
      <c r="CF462" s="9">
        <v>0</v>
      </c>
      <c r="CG462" s="9">
        <v>0</v>
      </c>
      <c r="CH462" s="9">
        <v>0</v>
      </c>
      <c r="CI462" s="9">
        <v>0</v>
      </c>
      <c r="CJ462" s="9">
        <v>0</v>
      </c>
      <c r="CK462" s="9">
        <v>0</v>
      </c>
      <c r="CL462" s="9">
        <v>0</v>
      </c>
      <c r="CM462" s="9">
        <v>0</v>
      </c>
      <c r="CN462" s="9">
        <v>0</v>
      </c>
      <c r="CO462" s="9">
        <v>0</v>
      </c>
      <c r="CP462" s="9">
        <v>0</v>
      </c>
      <c r="CQ462" s="9">
        <v>0</v>
      </c>
      <c r="CR462" s="9">
        <v>0</v>
      </c>
      <c r="CS462" s="10">
        <v>0</v>
      </c>
    </row>
    <row r="463" spans="1:97" x14ac:dyDescent="0.35">
      <c r="A463" s="8" t="s">
        <v>494</v>
      </c>
      <c r="B463" s="9" t="s">
        <v>1260</v>
      </c>
      <c r="C463" s="9" t="s">
        <v>1261</v>
      </c>
      <c r="D463" s="9">
        <f t="shared" si="7"/>
        <v>0</v>
      </c>
      <c r="E463" s="9">
        <v>0</v>
      </c>
      <c r="F463" s="9">
        <v>0</v>
      </c>
      <c r="G463" s="9">
        <v>0</v>
      </c>
      <c r="H463" s="9">
        <v>0</v>
      </c>
      <c r="I463" s="9">
        <v>0</v>
      </c>
      <c r="J463" s="9">
        <v>0</v>
      </c>
      <c r="K463" s="9">
        <v>0</v>
      </c>
      <c r="L463" s="9">
        <v>0</v>
      </c>
      <c r="M463" s="9">
        <v>0</v>
      </c>
      <c r="N463" s="9">
        <v>0</v>
      </c>
      <c r="O463" s="9">
        <v>0</v>
      </c>
      <c r="P463" s="9">
        <v>0</v>
      </c>
      <c r="Q463" s="9">
        <v>0</v>
      </c>
      <c r="R463" s="9">
        <v>0</v>
      </c>
      <c r="S463" s="9">
        <v>0</v>
      </c>
      <c r="T463" s="9">
        <v>0</v>
      </c>
      <c r="U463" s="9">
        <v>0</v>
      </c>
      <c r="V463" s="9">
        <v>0</v>
      </c>
      <c r="W463" s="9">
        <v>0</v>
      </c>
      <c r="X463" s="9">
        <v>0</v>
      </c>
      <c r="Y463" s="9">
        <v>0</v>
      </c>
      <c r="Z463" s="9">
        <v>0</v>
      </c>
      <c r="AA463" s="9">
        <v>0</v>
      </c>
      <c r="AB463" s="9">
        <v>0</v>
      </c>
      <c r="AC463" s="9">
        <v>0</v>
      </c>
      <c r="AD463" s="9">
        <v>0</v>
      </c>
      <c r="AE463" s="9">
        <v>0</v>
      </c>
      <c r="AF463" s="9">
        <v>0</v>
      </c>
      <c r="AG463" s="9">
        <v>0</v>
      </c>
      <c r="AH463" s="9">
        <v>0</v>
      </c>
      <c r="AI463" s="9">
        <v>0</v>
      </c>
      <c r="AJ463" s="9">
        <v>0</v>
      </c>
      <c r="AK463" s="9">
        <v>0</v>
      </c>
      <c r="AL463" s="9">
        <v>0</v>
      </c>
      <c r="AM463" s="9">
        <v>0</v>
      </c>
      <c r="AN463" s="9">
        <v>0</v>
      </c>
      <c r="AO463" s="9">
        <v>0</v>
      </c>
      <c r="AP463" s="9">
        <v>0</v>
      </c>
      <c r="AQ463" s="9">
        <v>0</v>
      </c>
      <c r="AR463" s="9">
        <v>0</v>
      </c>
      <c r="AS463" s="9">
        <v>0</v>
      </c>
      <c r="AT463" s="9">
        <v>0</v>
      </c>
      <c r="AU463" s="9">
        <v>0</v>
      </c>
      <c r="AV463" s="9">
        <v>0</v>
      </c>
      <c r="AW463" s="9">
        <v>0</v>
      </c>
      <c r="AX463" s="9">
        <v>0</v>
      </c>
      <c r="AY463" s="9">
        <v>0</v>
      </c>
      <c r="AZ463" s="9">
        <v>0</v>
      </c>
      <c r="BA463" s="9">
        <v>0</v>
      </c>
      <c r="BB463" s="9">
        <v>0</v>
      </c>
      <c r="BC463" s="9">
        <v>0</v>
      </c>
      <c r="BD463" s="9">
        <v>0</v>
      </c>
      <c r="BE463" s="9">
        <v>0</v>
      </c>
      <c r="BF463" s="9">
        <v>0</v>
      </c>
      <c r="BG463" s="9">
        <v>0</v>
      </c>
      <c r="BH463" s="9">
        <v>0</v>
      </c>
      <c r="BI463" s="9">
        <v>0</v>
      </c>
      <c r="BJ463" s="9">
        <v>0</v>
      </c>
      <c r="BK463" s="9">
        <v>0</v>
      </c>
      <c r="BL463" s="9">
        <v>0</v>
      </c>
      <c r="BM463" s="9">
        <v>0</v>
      </c>
      <c r="BN463" s="9">
        <v>0</v>
      </c>
      <c r="BO463" s="9">
        <v>0</v>
      </c>
      <c r="BP463" s="9">
        <v>0</v>
      </c>
      <c r="BQ463" s="9">
        <v>0</v>
      </c>
      <c r="BR463" s="9">
        <v>0</v>
      </c>
      <c r="BS463" s="9">
        <v>0</v>
      </c>
      <c r="BT463" s="9">
        <v>0</v>
      </c>
      <c r="BU463" s="9">
        <v>0</v>
      </c>
      <c r="BV463" s="9">
        <v>0</v>
      </c>
      <c r="BW463" s="9">
        <v>0</v>
      </c>
      <c r="BX463" s="9">
        <v>0</v>
      </c>
      <c r="BY463" s="9">
        <v>0</v>
      </c>
      <c r="BZ463" s="9">
        <v>0</v>
      </c>
      <c r="CA463" s="9">
        <v>0</v>
      </c>
      <c r="CB463" s="9">
        <v>0</v>
      </c>
      <c r="CC463" s="9">
        <v>0</v>
      </c>
      <c r="CD463" s="9">
        <v>0</v>
      </c>
      <c r="CE463" s="9">
        <v>0</v>
      </c>
      <c r="CF463" s="9">
        <v>0</v>
      </c>
      <c r="CG463" s="9">
        <v>0</v>
      </c>
      <c r="CH463" s="9">
        <v>0</v>
      </c>
      <c r="CI463" s="9">
        <v>0</v>
      </c>
      <c r="CJ463" s="9">
        <v>0</v>
      </c>
      <c r="CK463" s="9">
        <v>0</v>
      </c>
      <c r="CL463" s="9">
        <v>0</v>
      </c>
      <c r="CM463" s="9">
        <v>0</v>
      </c>
      <c r="CN463" s="9">
        <v>0</v>
      </c>
      <c r="CO463" s="9">
        <v>0</v>
      </c>
      <c r="CP463" s="9">
        <v>0</v>
      </c>
      <c r="CQ463" s="9">
        <v>0</v>
      </c>
      <c r="CR463" s="9">
        <v>0</v>
      </c>
      <c r="CS463" s="10">
        <v>0</v>
      </c>
    </row>
    <row r="464" spans="1:97" x14ac:dyDescent="0.35">
      <c r="A464" s="8" t="s">
        <v>494</v>
      </c>
      <c r="B464" s="9" t="s">
        <v>1262</v>
      </c>
      <c r="C464" s="9" t="s">
        <v>1263</v>
      </c>
      <c r="D464" s="9">
        <f t="shared" si="7"/>
        <v>0</v>
      </c>
      <c r="E464" s="9">
        <v>0</v>
      </c>
      <c r="F464" s="9">
        <v>0</v>
      </c>
      <c r="G464" s="9">
        <v>0</v>
      </c>
      <c r="H464" s="9">
        <v>0</v>
      </c>
      <c r="I464" s="9">
        <v>0</v>
      </c>
      <c r="J464" s="9">
        <v>0</v>
      </c>
      <c r="K464" s="9">
        <v>0</v>
      </c>
      <c r="L464" s="9">
        <v>0</v>
      </c>
      <c r="M464" s="9">
        <v>0</v>
      </c>
      <c r="N464" s="9">
        <v>0</v>
      </c>
      <c r="O464" s="9">
        <v>0</v>
      </c>
      <c r="P464" s="9">
        <v>0</v>
      </c>
      <c r="Q464" s="9">
        <v>0</v>
      </c>
      <c r="R464" s="9">
        <v>0</v>
      </c>
      <c r="S464" s="9">
        <v>0</v>
      </c>
      <c r="T464" s="9">
        <v>0</v>
      </c>
      <c r="U464" s="9">
        <v>0</v>
      </c>
      <c r="V464" s="9">
        <v>0</v>
      </c>
      <c r="W464" s="9">
        <v>0</v>
      </c>
      <c r="X464" s="9">
        <v>0</v>
      </c>
      <c r="Y464" s="9">
        <v>0</v>
      </c>
      <c r="Z464" s="9">
        <v>0</v>
      </c>
      <c r="AA464" s="9">
        <v>0</v>
      </c>
      <c r="AB464" s="9">
        <v>0</v>
      </c>
      <c r="AC464" s="9">
        <v>0</v>
      </c>
      <c r="AD464" s="9">
        <v>0</v>
      </c>
      <c r="AE464" s="9">
        <v>0</v>
      </c>
      <c r="AF464" s="9">
        <v>0</v>
      </c>
      <c r="AG464" s="9">
        <v>0</v>
      </c>
      <c r="AH464" s="9">
        <v>0</v>
      </c>
      <c r="AI464" s="9">
        <v>0</v>
      </c>
      <c r="AJ464" s="9">
        <v>0</v>
      </c>
      <c r="AK464" s="9">
        <v>0</v>
      </c>
      <c r="AL464" s="9">
        <v>0</v>
      </c>
      <c r="AM464" s="9">
        <v>0</v>
      </c>
      <c r="AN464" s="9">
        <v>0</v>
      </c>
      <c r="AO464" s="9">
        <v>0</v>
      </c>
      <c r="AP464" s="9">
        <v>0</v>
      </c>
      <c r="AQ464" s="9">
        <v>0</v>
      </c>
      <c r="AR464" s="9">
        <v>0</v>
      </c>
      <c r="AS464" s="9">
        <v>0</v>
      </c>
      <c r="AT464" s="9">
        <v>0</v>
      </c>
      <c r="AU464" s="9">
        <v>0</v>
      </c>
      <c r="AV464" s="9">
        <v>0</v>
      </c>
      <c r="AW464" s="9">
        <v>0</v>
      </c>
      <c r="AX464" s="9">
        <v>0</v>
      </c>
      <c r="AY464" s="9">
        <v>0</v>
      </c>
      <c r="AZ464" s="9">
        <v>0</v>
      </c>
      <c r="BA464" s="9">
        <v>0</v>
      </c>
      <c r="BB464" s="9">
        <v>0</v>
      </c>
      <c r="BC464" s="9">
        <v>0</v>
      </c>
      <c r="BD464" s="9">
        <v>0</v>
      </c>
      <c r="BE464" s="9">
        <v>0</v>
      </c>
      <c r="BF464" s="9">
        <v>0</v>
      </c>
      <c r="BG464" s="9">
        <v>0</v>
      </c>
      <c r="BH464" s="9">
        <v>0</v>
      </c>
      <c r="BI464" s="9">
        <v>0</v>
      </c>
      <c r="BJ464" s="9">
        <v>0</v>
      </c>
      <c r="BK464" s="9">
        <v>0</v>
      </c>
      <c r="BL464" s="9">
        <v>0</v>
      </c>
      <c r="BM464" s="9">
        <v>0</v>
      </c>
      <c r="BN464" s="9">
        <v>0</v>
      </c>
      <c r="BO464" s="9">
        <v>0</v>
      </c>
      <c r="BP464" s="9">
        <v>0</v>
      </c>
      <c r="BQ464" s="9">
        <v>0</v>
      </c>
      <c r="BR464" s="9">
        <v>0</v>
      </c>
      <c r="BS464" s="9">
        <v>0</v>
      </c>
      <c r="BT464" s="9">
        <v>0</v>
      </c>
      <c r="BU464" s="9">
        <v>0</v>
      </c>
      <c r="BV464" s="9">
        <v>0</v>
      </c>
      <c r="BW464" s="9">
        <v>0</v>
      </c>
      <c r="BX464" s="9">
        <v>0</v>
      </c>
      <c r="BY464" s="9">
        <v>0</v>
      </c>
      <c r="BZ464" s="9">
        <v>0</v>
      </c>
      <c r="CA464" s="9">
        <v>0</v>
      </c>
      <c r="CB464" s="9">
        <v>0</v>
      </c>
      <c r="CC464" s="9">
        <v>0</v>
      </c>
      <c r="CD464" s="9">
        <v>0</v>
      </c>
      <c r="CE464" s="9">
        <v>0</v>
      </c>
      <c r="CF464" s="9">
        <v>0</v>
      </c>
      <c r="CG464" s="9">
        <v>0</v>
      </c>
      <c r="CH464" s="9">
        <v>0</v>
      </c>
      <c r="CI464" s="9">
        <v>0</v>
      </c>
      <c r="CJ464" s="9">
        <v>0</v>
      </c>
      <c r="CK464" s="9">
        <v>0</v>
      </c>
      <c r="CL464" s="9">
        <v>0</v>
      </c>
      <c r="CM464" s="9">
        <v>0</v>
      </c>
      <c r="CN464" s="9">
        <v>0</v>
      </c>
      <c r="CO464" s="9">
        <v>0</v>
      </c>
      <c r="CP464" s="9">
        <v>0</v>
      </c>
      <c r="CQ464" s="9">
        <v>0</v>
      </c>
      <c r="CR464" s="9">
        <v>0</v>
      </c>
      <c r="CS464" s="10">
        <v>0</v>
      </c>
    </row>
    <row r="465" spans="1:97" x14ac:dyDescent="0.35">
      <c r="A465" s="8" t="s">
        <v>494</v>
      </c>
      <c r="B465" s="9" t="s">
        <v>1264</v>
      </c>
      <c r="C465" s="9" t="s">
        <v>1265</v>
      </c>
      <c r="D465" s="9">
        <f t="shared" si="7"/>
        <v>0</v>
      </c>
      <c r="E465" s="9">
        <v>0</v>
      </c>
      <c r="F465" s="9">
        <v>0</v>
      </c>
      <c r="G465" s="9">
        <v>0</v>
      </c>
      <c r="H465" s="9">
        <v>0</v>
      </c>
      <c r="I465" s="9">
        <v>0</v>
      </c>
      <c r="J465" s="9">
        <v>0</v>
      </c>
      <c r="K465" s="9">
        <v>0</v>
      </c>
      <c r="L465" s="9">
        <v>0</v>
      </c>
      <c r="M465" s="9">
        <v>0</v>
      </c>
      <c r="N465" s="9">
        <v>0</v>
      </c>
      <c r="O465" s="9">
        <v>0</v>
      </c>
      <c r="P465" s="9">
        <v>0</v>
      </c>
      <c r="Q465" s="9">
        <v>0</v>
      </c>
      <c r="R465" s="9">
        <v>0</v>
      </c>
      <c r="S465" s="9">
        <v>0</v>
      </c>
      <c r="T465" s="9">
        <v>0</v>
      </c>
      <c r="U465" s="9">
        <v>0</v>
      </c>
      <c r="V465" s="9">
        <v>0</v>
      </c>
      <c r="W465" s="9">
        <v>0</v>
      </c>
      <c r="X465" s="9">
        <v>0</v>
      </c>
      <c r="Y465" s="9">
        <v>0</v>
      </c>
      <c r="Z465" s="9">
        <v>0</v>
      </c>
      <c r="AA465" s="9">
        <v>0</v>
      </c>
      <c r="AB465" s="9">
        <v>0</v>
      </c>
      <c r="AC465" s="9">
        <v>0</v>
      </c>
      <c r="AD465" s="9">
        <v>0</v>
      </c>
      <c r="AE465" s="9">
        <v>0</v>
      </c>
      <c r="AF465" s="9">
        <v>0</v>
      </c>
      <c r="AG465" s="9">
        <v>0</v>
      </c>
      <c r="AH465" s="9">
        <v>0</v>
      </c>
      <c r="AI465" s="9">
        <v>0</v>
      </c>
      <c r="AJ465" s="9">
        <v>0</v>
      </c>
      <c r="AK465" s="9">
        <v>0</v>
      </c>
      <c r="AL465" s="9">
        <v>0</v>
      </c>
      <c r="AM465" s="9">
        <v>0</v>
      </c>
      <c r="AN465" s="9">
        <v>0</v>
      </c>
      <c r="AO465" s="9">
        <v>0</v>
      </c>
      <c r="AP465" s="9">
        <v>0</v>
      </c>
      <c r="AQ465" s="9">
        <v>0</v>
      </c>
      <c r="AR465" s="9">
        <v>0</v>
      </c>
      <c r="AS465" s="9">
        <v>0</v>
      </c>
      <c r="AT465" s="9">
        <v>0</v>
      </c>
      <c r="AU465" s="9">
        <v>0</v>
      </c>
      <c r="AV465" s="9">
        <v>0</v>
      </c>
      <c r="AW465" s="9">
        <v>0</v>
      </c>
      <c r="AX465" s="9">
        <v>0</v>
      </c>
      <c r="AY465" s="9">
        <v>0</v>
      </c>
      <c r="AZ465" s="9">
        <v>0</v>
      </c>
      <c r="BA465" s="9">
        <v>0</v>
      </c>
      <c r="BB465" s="9">
        <v>0</v>
      </c>
      <c r="BC465" s="9">
        <v>0</v>
      </c>
      <c r="BD465" s="9">
        <v>0</v>
      </c>
      <c r="BE465" s="9">
        <v>0</v>
      </c>
      <c r="BF465" s="9">
        <v>0</v>
      </c>
      <c r="BG465" s="9">
        <v>0</v>
      </c>
      <c r="BH465" s="9">
        <v>0</v>
      </c>
      <c r="BI465" s="9">
        <v>0</v>
      </c>
      <c r="BJ465" s="9">
        <v>0</v>
      </c>
      <c r="BK465" s="9">
        <v>0</v>
      </c>
      <c r="BL465" s="9">
        <v>0</v>
      </c>
      <c r="BM465" s="9">
        <v>0</v>
      </c>
      <c r="BN465" s="9">
        <v>0</v>
      </c>
      <c r="BO465" s="9">
        <v>0</v>
      </c>
      <c r="BP465" s="9">
        <v>0</v>
      </c>
      <c r="BQ465" s="9">
        <v>0</v>
      </c>
      <c r="BR465" s="9">
        <v>0</v>
      </c>
      <c r="BS465" s="9">
        <v>0</v>
      </c>
      <c r="BT465" s="9">
        <v>0</v>
      </c>
      <c r="BU465" s="9">
        <v>0</v>
      </c>
      <c r="BV465" s="9">
        <v>0</v>
      </c>
      <c r="BW465" s="9">
        <v>0</v>
      </c>
      <c r="BX465" s="9">
        <v>0</v>
      </c>
      <c r="BY465" s="9">
        <v>0</v>
      </c>
      <c r="BZ465" s="9">
        <v>0</v>
      </c>
      <c r="CA465" s="9">
        <v>0</v>
      </c>
      <c r="CB465" s="9">
        <v>0</v>
      </c>
      <c r="CC465" s="9">
        <v>0</v>
      </c>
      <c r="CD465" s="9">
        <v>0</v>
      </c>
      <c r="CE465" s="9">
        <v>0</v>
      </c>
      <c r="CF465" s="9">
        <v>0</v>
      </c>
      <c r="CG465" s="9">
        <v>0</v>
      </c>
      <c r="CH465" s="9">
        <v>0</v>
      </c>
      <c r="CI465" s="9">
        <v>0</v>
      </c>
      <c r="CJ465" s="9">
        <v>0</v>
      </c>
      <c r="CK465" s="9">
        <v>0</v>
      </c>
      <c r="CL465" s="9">
        <v>0</v>
      </c>
      <c r="CM465" s="9">
        <v>0</v>
      </c>
      <c r="CN465" s="9">
        <v>0</v>
      </c>
      <c r="CO465" s="9">
        <v>0</v>
      </c>
      <c r="CP465" s="9">
        <v>0</v>
      </c>
      <c r="CQ465" s="9">
        <v>0</v>
      </c>
      <c r="CR465" s="9">
        <v>0</v>
      </c>
      <c r="CS465" s="10">
        <v>0</v>
      </c>
    </row>
    <row r="466" spans="1:97" x14ac:dyDescent="0.35">
      <c r="A466" s="8" t="s">
        <v>494</v>
      </c>
      <c r="B466" s="9" t="s">
        <v>1266</v>
      </c>
      <c r="C466" s="9" t="s">
        <v>1267</v>
      </c>
      <c r="D466" s="9">
        <f t="shared" si="7"/>
        <v>0</v>
      </c>
      <c r="E466" s="9">
        <v>0</v>
      </c>
      <c r="F466" s="9">
        <v>0</v>
      </c>
      <c r="G466" s="9">
        <v>0</v>
      </c>
      <c r="H466" s="9">
        <v>0</v>
      </c>
      <c r="I466" s="9">
        <v>0</v>
      </c>
      <c r="J466" s="9">
        <v>0</v>
      </c>
      <c r="K466" s="9">
        <v>0</v>
      </c>
      <c r="L466" s="9">
        <v>0</v>
      </c>
      <c r="M466" s="9">
        <v>0</v>
      </c>
      <c r="N466" s="9">
        <v>0</v>
      </c>
      <c r="O466" s="9">
        <v>0</v>
      </c>
      <c r="P466" s="9">
        <v>0</v>
      </c>
      <c r="Q466" s="9">
        <v>0</v>
      </c>
      <c r="R466" s="9">
        <v>0</v>
      </c>
      <c r="S466" s="9">
        <v>0</v>
      </c>
      <c r="T466" s="9">
        <v>0</v>
      </c>
      <c r="U466" s="9">
        <v>0</v>
      </c>
      <c r="V466" s="9">
        <v>0</v>
      </c>
      <c r="W466" s="9">
        <v>0</v>
      </c>
      <c r="X466" s="9">
        <v>0</v>
      </c>
      <c r="Y466" s="9">
        <v>0</v>
      </c>
      <c r="Z466" s="9">
        <v>0</v>
      </c>
      <c r="AA466" s="9">
        <v>0</v>
      </c>
      <c r="AB466" s="9">
        <v>0</v>
      </c>
      <c r="AC466" s="9">
        <v>0</v>
      </c>
      <c r="AD466" s="9">
        <v>0</v>
      </c>
      <c r="AE466" s="9">
        <v>0</v>
      </c>
      <c r="AF466" s="9">
        <v>0</v>
      </c>
      <c r="AG466" s="9">
        <v>0</v>
      </c>
      <c r="AH466" s="9">
        <v>0</v>
      </c>
      <c r="AI466" s="9">
        <v>0</v>
      </c>
      <c r="AJ466" s="9">
        <v>0</v>
      </c>
      <c r="AK466" s="9">
        <v>0</v>
      </c>
      <c r="AL466" s="9">
        <v>0</v>
      </c>
      <c r="AM466" s="9">
        <v>0</v>
      </c>
      <c r="AN466" s="9">
        <v>0</v>
      </c>
      <c r="AO466" s="9">
        <v>0</v>
      </c>
      <c r="AP466" s="9">
        <v>0</v>
      </c>
      <c r="AQ466" s="9">
        <v>0</v>
      </c>
      <c r="AR466" s="9">
        <v>0</v>
      </c>
      <c r="AS466" s="9">
        <v>0</v>
      </c>
      <c r="AT466" s="9">
        <v>0</v>
      </c>
      <c r="AU466" s="9">
        <v>0</v>
      </c>
      <c r="AV466" s="9">
        <v>0</v>
      </c>
      <c r="AW466" s="9">
        <v>0</v>
      </c>
      <c r="AX466" s="9">
        <v>0</v>
      </c>
      <c r="AY466" s="9">
        <v>0</v>
      </c>
      <c r="AZ466" s="9">
        <v>0</v>
      </c>
      <c r="BA466" s="9">
        <v>0</v>
      </c>
      <c r="BB466" s="9">
        <v>0</v>
      </c>
      <c r="BC466" s="9">
        <v>0</v>
      </c>
      <c r="BD466" s="9">
        <v>0</v>
      </c>
      <c r="BE466" s="9">
        <v>0</v>
      </c>
      <c r="BF466" s="9">
        <v>0</v>
      </c>
      <c r="BG466" s="9">
        <v>0</v>
      </c>
      <c r="BH466" s="9">
        <v>0</v>
      </c>
      <c r="BI466" s="9">
        <v>0</v>
      </c>
      <c r="BJ466" s="9">
        <v>0</v>
      </c>
      <c r="BK466" s="9">
        <v>0</v>
      </c>
      <c r="BL466" s="9">
        <v>0</v>
      </c>
      <c r="BM466" s="9">
        <v>0</v>
      </c>
      <c r="BN466" s="9">
        <v>0</v>
      </c>
      <c r="BO466" s="9">
        <v>0</v>
      </c>
      <c r="BP466" s="9">
        <v>0</v>
      </c>
      <c r="BQ466" s="9">
        <v>0</v>
      </c>
      <c r="BR466" s="9">
        <v>0</v>
      </c>
      <c r="BS466" s="9">
        <v>0</v>
      </c>
      <c r="BT466" s="9">
        <v>0</v>
      </c>
      <c r="BU466" s="9">
        <v>0</v>
      </c>
      <c r="BV466" s="9">
        <v>0</v>
      </c>
      <c r="BW466" s="9">
        <v>0</v>
      </c>
      <c r="BX466" s="9">
        <v>0</v>
      </c>
      <c r="BY466" s="9">
        <v>0</v>
      </c>
      <c r="BZ466" s="9">
        <v>0</v>
      </c>
      <c r="CA466" s="9">
        <v>0</v>
      </c>
      <c r="CB466" s="9">
        <v>0</v>
      </c>
      <c r="CC466" s="9">
        <v>0</v>
      </c>
      <c r="CD466" s="9">
        <v>0</v>
      </c>
      <c r="CE466" s="9">
        <v>0</v>
      </c>
      <c r="CF466" s="9">
        <v>0</v>
      </c>
      <c r="CG466" s="9">
        <v>0</v>
      </c>
      <c r="CH466" s="9">
        <v>0</v>
      </c>
      <c r="CI466" s="9">
        <v>0</v>
      </c>
      <c r="CJ466" s="9">
        <v>0</v>
      </c>
      <c r="CK466" s="9">
        <v>0</v>
      </c>
      <c r="CL466" s="9">
        <v>0</v>
      </c>
      <c r="CM466" s="9">
        <v>0</v>
      </c>
      <c r="CN466" s="9">
        <v>0</v>
      </c>
      <c r="CO466" s="9">
        <v>0</v>
      </c>
      <c r="CP466" s="9">
        <v>0</v>
      </c>
      <c r="CQ466" s="9">
        <v>0</v>
      </c>
      <c r="CR466" s="9">
        <v>0</v>
      </c>
      <c r="CS466" s="10">
        <v>0</v>
      </c>
    </row>
    <row r="467" spans="1:97" x14ac:dyDescent="0.35">
      <c r="A467" s="8" t="s">
        <v>494</v>
      </c>
      <c r="B467" s="9" t="s">
        <v>1268</v>
      </c>
      <c r="C467" s="9" t="s">
        <v>1269</v>
      </c>
      <c r="D467" s="9">
        <f t="shared" si="7"/>
        <v>0</v>
      </c>
      <c r="E467" s="9">
        <v>0</v>
      </c>
      <c r="F467" s="9">
        <v>0</v>
      </c>
      <c r="G467" s="9">
        <v>0</v>
      </c>
      <c r="H467" s="9">
        <v>0</v>
      </c>
      <c r="I467" s="9">
        <v>0</v>
      </c>
      <c r="J467" s="9">
        <v>0</v>
      </c>
      <c r="K467" s="9">
        <v>0</v>
      </c>
      <c r="L467" s="9">
        <v>0</v>
      </c>
      <c r="M467" s="9">
        <v>0</v>
      </c>
      <c r="N467" s="9">
        <v>0</v>
      </c>
      <c r="O467" s="9">
        <v>0</v>
      </c>
      <c r="P467" s="9">
        <v>0</v>
      </c>
      <c r="Q467" s="9">
        <v>0</v>
      </c>
      <c r="R467" s="9">
        <v>0</v>
      </c>
      <c r="S467" s="9">
        <v>0</v>
      </c>
      <c r="T467" s="9">
        <v>0</v>
      </c>
      <c r="U467" s="9">
        <v>0</v>
      </c>
      <c r="V467" s="9">
        <v>0</v>
      </c>
      <c r="W467" s="9">
        <v>0</v>
      </c>
      <c r="X467" s="9">
        <v>0</v>
      </c>
      <c r="Y467" s="9">
        <v>0</v>
      </c>
      <c r="Z467" s="9">
        <v>0</v>
      </c>
      <c r="AA467" s="9">
        <v>0</v>
      </c>
      <c r="AB467" s="9">
        <v>0</v>
      </c>
      <c r="AC467" s="9">
        <v>0</v>
      </c>
      <c r="AD467" s="9">
        <v>0</v>
      </c>
      <c r="AE467" s="9">
        <v>0</v>
      </c>
      <c r="AF467" s="9">
        <v>0</v>
      </c>
      <c r="AG467" s="9">
        <v>0</v>
      </c>
      <c r="AH467" s="9">
        <v>0</v>
      </c>
      <c r="AI467" s="9">
        <v>0</v>
      </c>
      <c r="AJ467" s="9">
        <v>0</v>
      </c>
      <c r="AK467" s="9">
        <v>0</v>
      </c>
      <c r="AL467" s="9">
        <v>0</v>
      </c>
      <c r="AM467" s="9">
        <v>0</v>
      </c>
      <c r="AN467" s="9">
        <v>0</v>
      </c>
      <c r="AO467" s="9">
        <v>0</v>
      </c>
      <c r="AP467" s="9">
        <v>0</v>
      </c>
      <c r="AQ467" s="9">
        <v>0</v>
      </c>
      <c r="AR467" s="9">
        <v>0</v>
      </c>
      <c r="AS467" s="9">
        <v>0</v>
      </c>
      <c r="AT467" s="9">
        <v>0</v>
      </c>
      <c r="AU467" s="9">
        <v>0</v>
      </c>
      <c r="AV467" s="9">
        <v>0</v>
      </c>
      <c r="AW467" s="9">
        <v>0</v>
      </c>
      <c r="AX467" s="9">
        <v>0</v>
      </c>
      <c r="AY467" s="9">
        <v>0</v>
      </c>
      <c r="AZ467" s="9">
        <v>0</v>
      </c>
      <c r="BA467" s="9">
        <v>0</v>
      </c>
      <c r="BB467" s="9">
        <v>0</v>
      </c>
      <c r="BC467" s="9">
        <v>0</v>
      </c>
      <c r="BD467" s="9">
        <v>0</v>
      </c>
      <c r="BE467" s="9">
        <v>0</v>
      </c>
      <c r="BF467" s="9">
        <v>0</v>
      </c>
      <c r="BG467" s="9">
        <v>0</v>
      </c>
      <c r="BH467" s="9">
        <v>0</v>
      </c>
      <c r="BI467" s="9">
        <v>0</v>
      </c>
      <c r="BJ467" s="9">
        <v>0</v>
      </c>
      <c r="BK467" s="9">
        <v>0</v>
      </c>
      <c r="BL467" s="9">
        <v>0</v>
      </c>
      <c r="BM467" s="9">
        <v>0</v>
      </c>
      <c r="BN467" s="9">
        <v>0</v>
      </c>
      <c r="BO467" s="9">
        <v>0</v>
      </c>
      <c r="BP467" s="9">
        <v>0</v>
      </c>
      <c r="BQ467" s="9">
        <v>0</v>
      </c>
      <c r="BR467" s="9">
        <v>0</v>
      </c>
      <c r="BS467" s="9">
        <v>0</v>
      </c>
      <c r="BT467" s="9">
        <v>0</v>
      </c>
      <c r="BU467" s="9">
        <v>0</v>
      </c>
      <c r="BV467" s="9">
        <v>0</v>
      </c>
      <c r="BW467" s="9">
        <v>0</v>
      </c>
      <c r="BX467" s="9">
        <v>0</v>
      </c>
      <c r="BY467" s="9">
        <v>0</v>
      </c>
      <c r="BZ467" s="9">
        <v>0</v>
      </c>
      <c r="CA467" s="9">
        <v>0</v>
      </c>
      <c r="CB467" s="9">
        <v>0</v>
      </c>
      <c r="CC467" s="9">
        <v>0</v>
      </c>
      <c r="CD467" s="9">
        <v>0</v>
      </c>
      <c r="CE467" s="9">
        <v>0</v>
      </c>
      <c r="CF467" s="9">
        <v>0</v>
      </c>
      <c r="CG467" s="9">
        <v>0</v>
      </c>
      <c r="CH467" s="9">
        <v>0</v>
      </c>
      <c r="CI467" s="9">
        <v>0</v>
      </c>
      <c r="CJ467" s="9">
        <v>0</v>
      </c>
      <c r="CK467" s="9">
        <v>0</v>
      </c>
      <c r="CL467" s="9">
        <v>0</v>
      </c>
      <c r="CM467" s="9">
        <v>0</v>
      </c>
      <c r="CN467" s="9">
        <v>0</v>
      </c>
      <c r="CO467" s="9">
        <v>0</v>
      </c>
      <c r="CP467" s="9">
        <v>0</v>
      </c>
      <c r="CQ467" s="9">
        <v>0</v>
      </c>
      <c r="CR467" s="9">
        <v>0</v>
      </c>
      <c r="CS467" s="10">
        <v>0</v>
      </c>
    </row>
    <row r="468" spans="1:97" x14ac:dyDescent="0.35">
      <c r="A468" s="8" t="s">
        <v>494</v>
      </c>
      <c r="B468" s="9" t="s">
        <v>1270</v>
      </c>
      <c r="C468" s="9" t="s">
        <v>1271</v>
      </c>
      <c r="D468" s="9">
        <f t="shared" si="7"/>
        <v>0</v>
      </c>
      <c r="E468" s="9">
        <v>0</v>
      </c>
      <c r="F468" s="9">
        <v>0</v>
      </c>
      <c r="G468" s="9">
        <v>0</v>
      </c>
      <c r="H468" s="9">
        <v>0</v>
      </c>
      <c r="I468" s="9">
        <v>0</v>
      </c>
      <c r="J468" s="9">
        <v>0</v>
      </c>
      <c r="K468" s="9">
        <v>0</v>
      </c>
      <c r="L468" s="9">
        <v>0</v>
      </c>
      <c r="M468" s="9">
        <v>0</v>
      </c>
      <c r="N468" s="9">
        <v>0</v>
      </c>
      <c r="O468" s="9">
        <v>0</v>
      </c>
      <c r="P468" s="9">
        <v>0</v>
      </c>
      <c r="Q468" s="9">
        <v>0</v>
      </c>
      <c r="R468" s="9">
        <v>0</v>
      </c>
      <c r="S468" s="9">
        <v>0</v>
      </c>
      <c r="T468" s="9">
        <v>0</v>
      </c>
      <c r="U468" s="9">
        <v>0</v>
      </c>
      <c r="V468" s="9">
        <v>0</v>
      </c>
      <c r="W468" s="9">
        <v>0</v>
      </c>
      <c r="X468" s="9">
        <v>0</v>
      </c>
      <c r="Y468" s="9">
        <v>0</v>
      </c>
      <c r="Z468" s="9">
        <v>0</v>
      </c>
      <c r="AA468" s="9">
        <v>0</v>
      </c>
      <c r="AB468" s="9">
        <v>0</v>
      </c>
      <c r="AC468" s="9">
        <v>0</v>
      </c>
      <c r="AD468" s="9">
        <v>0</v>
      </c>
      <c r="AE468" s="9">
        <v>0</v>
      </c>
      <c r="AF468" s="9">
        <v>0</v>
      </c>
      <c r="AG468" s="9">
        <v>0</v>
      </c>
      <c r="AH468" s="9">
        <v>0</v>
      </c>
      <c r="AI468" s="9">
        <v>0</v>
      </c>
      <c r="AJ468" s="9">
        <v>0</v>
      </c>
      <c r="AK468" s="9">
        <v>0</v>
      </c>
      <c r="AL468" s="9">
        <v>0</v>
      </c>
      <c r="AM468" s="9">
        <v>0</v>
      </c>
      <c r="AN468" s="9">
        <v>0</v>
      </c>
      <c r="AO468" s="9">
        <v>0</v>
      </c>
      <c r="AP468" s="9">
        <v>0</v>
      </c>
      <c r="AQ468" s="9">
        <v>0</v>
      </c>
      <c r="AR468" s="9">
        <v>0</v>
      </c>
      <c r="AS468" s="9">
        <v>0</v>
      </c>
      <c r="AT468" s="9">
        <v>0</v>
      </c>
      <c r="AU468" s="9">
        <v>0</v>
      </c>
      <c r="AV468" s="9">
        <v>0</v>
      </c>
      <c r="AW468" s="9">
        <v>0</v>
      </c>
      <c r="AX468" s="9">
        <v>0</v>
      </c>
      <c r="AY468" s="9">
        <v>0</v>
      </c>
      <c r="AZ468" s="9">
        <v>0</v>
      </c>
      <c r="BA468" s="9">
        <v>0</v>
      </c>
      <c r="BB468" s="9">
        <v>0</v>
      </c>
      <c r="BC468" s="9">
        <v>0</v>
      </c>
      <c r="BD468" s="9">
        <v>0</v>
      </c>
      <c r="BE468" s="9">
        <v>0</v>
      </c>
      <c r="BF468" s="9">
        <v>0</v>
      </c>
      <c r="BG468" s="9">
        <v>0</v>
      </c>
      <c r="BH468" s="9">
        <v>0</v>
      </c>
      <c r="BI468" s="9">
        <v>0</v>
      </c>
      <c r="BJ468" s="9">
        <v>0</v>
      </c>
      <c r="BK468" s="9">
        <v>0</v>
      </c>
      <c r="BL468" s="9">
        <v>0</v>
      </c>
      <c r="BM468" s="9">
        <v>0</v>
      </c>
      <c r="BN468" s="9">
        <v>0</v>
      </c>
      <c r="BO468" s="9">
        <v>0</v>
      </c>
      <c r="BP468" s="9">
        <v>0</v>
      </c>
      <c r="BQ468" s="9">
        <v>0</v>
      </c>
      <c r="BR468" s="9">
        <v>0</v>
      </c>
      <c r="BS468" s="9">
        <v>0</v>
      </c>
      <c r="BT468" s="9">
        <v>0</v>
      </c>
      <c r="BU468" s="9">
        <v>0</v>
      </c>
      <c r="BV468" s="9">
        <v>0</v>
      </c>
      <c r="BW468" s="9">
        <v>0</v>
      </c>
      <c r="BX468" s="9">
        <v>0</v>
      </c>
      <c r="BY468" s="9">
        <v>0</v>
      </c>
      <c r="BZ468" s="9">
        <v>0</v>
      </c>
      <c r="CA468" s="9">
        <v>0</v>
      </c>
      <c r="CB468" s="9">
        <v>0</v>
      </c>
      <c r="CC468" s="9">
        <v>0</v>
      </c>
      <c r="CD468" s="9">
        <v>0</v>
      </c>
      <c r="CE468" s="9">
        <v>0</v>
      </c>
      <c r="CF468" s="9">
        <v>0</v>
      </c>
      <c r="CG468" s="9">
        <v>0</v>
      </c>
      <c r="CH468" s="9">
        <v>0</v>
      </c>
      <c r="CI468" s="9">
        <v>0</v>
      </c>
      <c r="CJ468" s="9">
        <v>0</v>
      </c>
      <c r="CK468" s="9">
        <v>0</v>
      </c>
      <c r="CL468" s="9">
        <v>0</v>
      </c>
      <c r="CM468" s="9">
        <v>0</v>
      </c>
      <c r="CN468" s="9">
        <v>0</v>
      </c>
      <c r="CO468" s="9">
        <v>0</v>
      </c>
      <c r="CP468" s="9">
        <v>0</v>
      </c>
      <c r="CQ468" s="9">
        <v>0</v>
      </c>
      <c r="CR468" s="9">
        <v>0</v>
      </c>
      <c r="CS468" s="10">
        <v>0</v>
      </c>
    </row>
    <row r="469" spans="1:97" x14ac:dyDescent="0.35">
      <c r="A469" s="8" t="s">
        <v>494</v>
      </c>
      <c r="B469" s="9" t="s">
        <v>1272</v>
      </c>
      <c r="C469" s="9" t="s">
        <v>1273</v>
      </c>
      <c r="D469" s="9">
        <f t="shared" si="7"/>
        <v>0</v>
      </c>
      <c r="E469" s="9">
        <v>0</v>
      </c>
      <c r="F469" s="9">
        <v>0</v>
      </c>
      <c r="G469" s="9">
        <v>0</v>
      </c>
      <c r="H469" s="9">
        <v>0</v>
      </c>
      <c r="I469" s="9">
        <v>0</v>
      </c>
      <c r="J469" s="9">
        <v>0</v>
      </c>
      <c r="K469" s="9">
        <v>0</v>
      </c>
      <c r="L469" s="9">
        <v>0</v>
      </c>
      <c r="M469" s="9">
        <v>0</v>
      </c>
      <c r="N469" s="9">
        <v>0</v>
      </c>
      <c r="O469" s="9">
        <v>0</v>
      </c>
      <c r="P469" s="9">
        <v>0</v>
      </c>
      <c r="Q469" s="9">
        <v>0</v>
      </c>
      <c r="R469" s="9">
        <v>0</v>
      </c>
      <c r="S469" s="9">
        <v>0</v>
      </c>
      <c r="T469" s="9">
        <v>0</v>
      </c>
      <c r="U469" s="9">
        <v>0</v>
      </c>
      <c r="V469" s="9">
        <v>0</v>
      </c>
      <c r="W469" s="9">
        <v>0</v>
      </c>
      <c r="X469" s="9">
        <v>0</v>
      </c>
      <c r="Y469" s="9">
        <v>0</v>
      </c>
      <c r="Z469" s="9">
        <v>0</v>
      </c>
      <c r="AA469" s="9">
        <v>0</v>
      </c>
      <c r="AB469" s="9">
        <v>0</v>
      </c>
      <c r="AC469" s="9">
        <v>0</v>
      </c>
      <c r="AD469" s="9">
        <v>0</v>
      </c>
      <c r="AE469" s="9">
        <v>0</v>
      </c>
      <c r="AF469" s="9">
        <v>0</v>
      </c>
      <c r="AG469" s="9">
        <v>0</v>
      </c>
      <c r="AH469" s="9">
        <v>0</v>
      </c>
      <c r="AI469" s="9">
        <v>0</v>
      </c>
      <c r="AJ469" s="9">
        <v>0</v>
      </c>
      <c r="AK469" s="9">
        <v>0</v>
      </c>
      <c r="AL469" s="9">
        <v>0</v>
      </c>
      <c r="AM469" s="9">
        <v>0</v>
      </c>
      <c r="AN469" s="9">
        <v>0</v>
      </c>
      <c r="AO469" s="9">
        <v>0</v>
      </c>
      <c r="AP469" s="9">
        <v>0</v>
      </c>
      <c r="AQ469" s="9">
        <v>0</v>
      </c>
      <c r="AR469" s="9">
        <v>0</v>
      </c>
      <c r="AS469" s="9">
        <v>0</v>
      </c>
      <c r="AT469" s="9">
        <v>0</v>
      </c>
      <c r="AU469" s="9">
        <v>0</v>
      </c>
      <c r="AV469" s="9">
        <v>0</v>
      </c>
      <c r="AW469" s="9">
        <v>0</v>
      </c>
      <c r="AX469" s="9">
        <v>0</v>
      </c>
      <c r="AY469" s="9">
        <v>0</v>
      </c>
      <c r="AZ469" s="9">
        <v>0</v>
      </c>
      <c r="BA469" s="9">
        <v>0</v>
      </c>
      <c r="BB469" s="9">
        <v>0</v>
      </c>
      <c r="BC469" s="9">
        <v>0</v>
      </c>
      <c r="BD469" s="9">
        <v>0</v>
      </c>
      <c r="BE469" s="9">
        <v>0</v>
      </c>
      <c r="BF469" s="9">
        <v>0</v>
      </c>
      <c r="BG469" s="9">
        <v>0</v>
      </c>
      <c r="BH469" s="9">
        <v>0</v>
      </c>
      <c r="BI469" s="9">
        <v>0</v>
      </c>
      <c r="BJ469" s="9">
        <v>0</v>
      </c>
      <c r="BK469" s="9">
        <v>0</v>
      </c>
      <c r="BL469" s="9">
        <v>0</v>
      </c>
      <c r="BM469" s="9">
        <v>0</v>
      </c>
      <c r="BN469" s="9">
        <v>0</v>
      </c>
      <c r="BO469" s="9">
        <v>0</v>
      </c>
      <c r="BP469" s="9">
        <v>0</v>
      </c>
      <c r="BQ469" s="9">
        <v>0</v>
      </c>
      <c r="BR469" s="9">
        <v>0</v>
      </c>
      <c r="BS469" s="9">
        <v>0</v>
      </c>
      <c r="BT469" s="9">
        <v>0</v>
      </c>
      <c r="BU469" s="9">
        <v>0</v>
      </c>
      <c r="BV469" s="9">
        <v>0</v>
      </c>
      <c r="BW469" s="9">
        <v>0</v>
      </c>
      <c r="BX469" s="9">
        <v>0</v>
      </c>
      <c r="BY469" s="9">
        <v>0</v>
      </c>
      <c r="BZ469" s="9">
        <v>0</v>
      </c>
      <c r="CA469" s="9">
        <v>0</v>
      </c>
      <c r="CB469" s="9">
        <v>0</v>
      </c>
      <c r="CC469" s="9">
        <v>0</v>
      </c>
      <c r="CD469" s="9">
        <v>0</v>
      </c>
      <c r="CE469" s="9">
        <v>0</v>
      </c>
      <c r="CF469" s="9">
        <v>0</v>
      </c>
      <c r="CG469" s="9">
        <v>0</v>
      </c>
      <c r="CH469" s="9">
        <v>0</v>
      </c>
      <c r="CI469" s="9">
        <v>0</v>
      </c>
      <c r="CJ469" s="9">
        <v>0</v>
      </c>
      <c r="CK469" s="9">
        <v>0</v>
      </c>
      <c r="CL469" s="9">
        <v>0</v>
      </c>
      <c r="CM469" s="9">
        <v>0</v>
      </c>
      <c r="CN469" s="9">
        <v>0</v>
      </c>
      <c r="CO469" s="9">
        <v>0</v>
      </c>
      <c r="CP469" s="9">
        <v>0</v>
      </c>
      <c r="CQ469" s="9">
        <v>0</v>
      </c>
      <c r="CR469" s="9">
        <v>0</v>
      </c>
      <c r="CS469" s="10">
        <v>0</v>
      </c>
    </row>
    <row r="470" spans="1:97" x14ac:dyDescent="0.35">
      <c r="A470" s="8" t="s">
        <v>494</v>
      </c>
      <c r="B470" s="9" t="s">
        <v>1274</v>
      </c>
      <c r="C470" s="9" t="s">
        <v>1275</v>
      </c>
      <c r="D470" s="9">
        <f t="shared" si="7"/>
        <v>0</v>
      </c>
      <c r="E470" s="9">
        <v>0</v>
      </c>
      <c r="F470" s="9">
        <v>0</v>
      </c>
      <c r="G470" s="9">
        <v>0</v>
      </c>
      <c r="H470" s="9">
        <v>0</v>
      </c>
      <c r="I470" s="9">
        <v>0</v>
      </c>
      <c r="J470" s="9">
        <v>0</v>
      </c>
      <c r="K470" s="9">
        <v>0</v>
      </c>
      <c r="L470" s="9">
        <v>0</v>
      </c>
      <c r="M470" s="9">
        <v>0</v>
      </c>
      <c r="N470" s="9">
        <v>0</v>
      </c>
      <c r="O470" s="9">
        <v>0</v>
      </c>
      <c r="P470" s="9">
        <v>0</v>
      </c>
      <c r="Q470" s="9">
        <v>0</v>
      </c>
      <c r="R470" s="9">
        <v>0</v>
      </c>
      <c r="S470" s="9">
        <v>0</v>
      </c>
      <c r="T470" s="9">
        <v>0</v>
      </c>
      <c r="U470" s="9">
        <v>0</v>
      </c>
      <c r="V470" s="9">
        <v>0</v>
      </c>
      <c r="W470" s="9">
        <v>0</v>
      </c>
      <c r="X470" s="9">
        <v>0</v>
      </c>
      <c r="Y470" s="9">
        <v>0</v>
      </c>
      <c r="Z470" s="9">
        <v>0</v>
      </c>
      <c r="AA470" s="9">
        <v>0</v>
      </c>
      <c r="AB470" s="9">
        <v>0</v>
      </c>
      <c r="AC470" s="9">
        <v>0</v>
      </c>
      <c r="AD470" s="9">
        <v>0</v>
      </c>
      <c r="AE470" s="9">
        <v>0</v>
      </c>
      <c r="AF470" s="9">
        <v>0</v>
      </c>
      <c r="AG470" s="9">
        <v>0</v>
      </c>
      <c r="AH470" s="9">
        <v>0</v>
      </c>
      <c r="AI470" s="9">
        <v>0</v>
      </c>
      <c r="AJ470" s="9">
        <v>0</v>
      </c>
      <c r="AK470" s="9">
        <v>0</v>
      </c>
      <c r="AL470" s="9">
        <v>0</v>
      </c>
      <c r="AM470" s="9">
        <v>0</v>
      </c>
      <c r="AN470" s="9">
        <v>0</v>
      </c>
      <c r="AO470" s="9">
        <v>0</v>
      </c>
      <c r="AP470" s="9">
        <v>0</v>
      </c>
      <c r="AQ470" s="9">
        <v>0</v>
      </c>
      <c r="AR470" s="9">
        <v>0</v>
      </c>
      <c r="AS470" s="9">
        <v>0</v>
      </c>
      <c r="AT470" s="9">
        <v>0</v>
      </c>
      <c r="AU470" s="9">
        <v>0</v>
      </c>
      <c r="AV470" s="9">
        <v>0</v>
      </c>
      <c r="AW470" s="9">
        <v>0</v>
      </c>
      <c r="AX470" s="9">
        <v>0</v>
      </c>
      <c r="AY470" s="9">
        <v>0</v>
      </c>
      <c r="AZ470" s="9">
        <v>0</v>
      </c>
      <c r="BA470" s="9">
        <v>0</v>
      </c>
      <c r="BB470" s="9">
        <v>0</v>
      </c>
      <c r="BC470" s="9">
        <v>0</v>
      </c>
      <c r="BD470" s="9">
        <v>0</v>
      </c>
      <c r="BE470" s="9">
        <v>0</v>
      </c>
      <c r="BF470" s="9">
        <v>0</v>
      </c>
      <c r="BG470" s="9">
        <v>0</v>
      </c>
      <c r="BH470" s="9">
        <v>0</v>
      </c>
      <c r="BI470" s="9">
        <v>0</v>
      </c>
      <c r="BJ470" s="9">
        <v>0</v>
      </c>
      <c r="BK470" s="9">
        <v>0</v>
      </c>
      <c r="BL470" s="9">
        <v>0</v>
      </c>
      <c r="BM470" s="9">
        <v>0</v>
      </c>
      <c r="BN470" s="9">
        <v>0</v>
      </c>
      <c r="BO470" s="9">
        <v>0</v>
      </c>
      <c r="BP470" s="9">
        <v>0</v>
      </c>
      <c r="BQ470" s="9">
        <v>0</v>
      </c>
      <c r="BR470" s="9">
        <v>0</v>
      </c>
      <c r="BS470" s="9">
        <v>0</v>
      </c>
      <c r="BT470" s="9">
        <v>0</v>
      </c>
      <c r="BU470" s="9">
        <v>0</v>
      </c>
      <c r="BV470" s="9">
        <v>0</v>
      </c>
      <c r="BW470" s="9">
        <v>0</v>
      </c>
      <c r="BX470" s="9">
        <v>0</v>
      </c>
      <c r="BY470" s="9">
        <v>0</v>
      </c>
      <c r="BZ470" s="9">
        <v>0</v>
      </c>
      <c r="CA470" s="9">
        <v>0</v>
      </c>
      <c r="CB470" s="9">
        <v>0</v>
      </c>
      <c r="CC470" s="9">
        <v>0</v>
      </c>
      <c r="CD470" s="9">
        <v>0</v>
      </c>
      <c r="CE470" s="9">
        <v>0</v>
      </c>
      <c r="CF470" s="9">
        <v>0</v>
      </c>
      <c r="CG470" s="9">
        <v>0</v>
      </c>
      <c r="CH470" s="9">
        <v>0</v>
      </c>
      <c r="CI470" s="9">
        <v>0</v>
      </c>
      <c r="CJ470" s="9">
        <v>0</v>
      </c>
      <c r="CK470" s="9">
        <v>0</v>
      </c>
      <c r="CL470" s="9">
        <v>0</v>
      </c>
      <c r="CM470" s="9">
        <v>0</v>
      </c>
      <c r="CN470" s="9">
        <v>0</v>
      </c>
      <c r="CO470" s="9">
        <v>0</v>
      </c>
      <c r="CP470" s="9">
        <v>0</v>
      </c>
      <c r="CQ470" s="9">
        <v>0</v>
      </c>
      <c r="CR470" s="9">
        <v>0</v>
      </c>
      <c r="CS470" s="10">
        <v>0</v>
      </c>
    </row>
    <row r="471" spans="1:97" x14ac:dyDescent="0.35">
      <c r="A471" s="8" t="s">
        <v>494</v>
      </c>
      <c r="B471" s="9" t="s">
        <v>1276</v>
      </c>
      <c r="C471" s="9" t="s">
        <v>1277</v>
      </c>
      <c r="D471" s="9">
        <f t="shared" si="7"/>
        <v>0</v>
      </c>
      <c r="E471" s="9">
        <v>0</v>
      </c>
      <c r="F471" s="9">
        <v>0</v>
      </c>
      <c r="G471" s="9">
        <v>0</v>
      </c>
      <c r="H471" s="9">
        <v>0</v>
      </c>
      <c r="I471" s="9">
        <v>0</v>
      </c>
      <c r="J471" s="9">
        <v>0</v>
      </c>
      <c r="K471" s="9">
        <v>0</v>
      </c>
      <c r="L471" s="9">
        <v>0</v>
      </c>
      <c r="M471" s="9">
        <v>0</v>
      </c>
      <c r="N471" s="9">
        <v>0</v>
      </c>
      <c r="O471" s="9">
        <v>0</v>
      </c>
      <c r="P471" s="9">
        <v>0</v>
      </c>
      <c r="Q471" s="9">
        <v>0</v>
      </c>
      <c r="R471" s="9">
        <v>0</v>
      </c>
      <c r="S471" s="9">
        <v>0</v>
      </c>
      <c r="T471" s="9">
        <v>0</v>
      </c>
      <c r="U471" s="9">
        <v>0</v>
      </c>
      <c r="V471" s="9">
        <v>0</v>
      </c>
      <c r="W471" s="9">
        <v>0</v>
      </c>
      <c r="X471" s="9">
        <v>0</v>
      </c>
      <c r="Y471" s="9">
        <v>0</v>
      </c>
      <c r="Z471" s="9">
        <v>0</v>
      </c>
      <c r="AA471" s="9">
        <v>0</v>
      </c>
      <c r="AB471" s="9">
        <v>0</v>
      </c>
      <c r="AC471" s="9">
        <v>0</v>
      </c>
      <c r="AD471" s="9">
        <v>0</v>
      </c>
      <c r="AE471" s="9">
        <v>0</v>
      </c>
      <c r="AF471" s="9">
        <v>0</v>
      </c>
      <c r="AG471" s="9">
        <v>0</v>
      </c>
      <c r="AH471" s="9">
        <v>0</v>
      </c>
      <c r="AI471" s="9">
        <v>0</v>
      </c>
      <c r="AJ471" s="9">
        <v>0</v>
      </c>
      <c r="AK471" s="9">
        <v>0</v>
      </c>
      <c r="AL471" s="9">
        <v>0</v>
      </c>
      <c r="AM471" s="9">
        <v>0</v>
      </c>
      <c r="AN471" s="9">
        <v>0</v>
      </c>
      <c r="AO471" s="9">
        <v>0</v>
      </c>
      <c r="AP471" s="9">
        <v>0</v>
      </c>
      <c r="AQ471" s="9">
        <v>0</v>
      </c>
      <c r="AR471" s="9">
        <v>0</v>
      </c>
      <c r="AS471" s="9">
        <v>0</v>
      </c>
      <c r="AT471" s="9">
        <v>0</v>
      </c>
      <c r="AU471" s="9">
        <v>0</v>
      </c>
      <c r="AV471" s="9">
        <v>0</v>
      </c>
      <c r="AW471" s="9">
        <v>0</v>
      </c>
      <c r="AX471" s="9">
        <v>0</v>
      </c>
      <c r="AY471" s="9">
        <v>0</v>
      </c>
      <c r="AZ471" s="9">
        <v>0</v>
      </c>
      <c r="BA471" s="9">
        <v>0</v>
      </c>
      <c r="BB471" s="9">
        <v>0</v>
      </c>
      <c r="BC471" s="9">
        <v>0</v>
      </c>
      <c r="BD471" s="9">
        <v>0</v>
      </c>
      <c r="BE471" s="9">
        <v>0</v>
      </c>
      <c r="BF471" s="9">
        <v>0</v>
      </c>
      <c r="BG471" s="9">
        <v>0</v>
      </c>
      <c r="BH471" s="9">
        <v>0</v>
      </c>
      <c r="BI471" s="9">
        <v>0</v>
      </c>
      <c r="BJ471" s="9">
        <v>0</v>
      </c>
      <c r="BK471" s="9">
        <v>0</v>
      </c>
      <c r="BL471" s="9">
        <v>0</v>
      </c>
      <c r="BM471" s="9">
        <v>0</v>
      </c>
      <c r="BN471" s="9">
        <v>0</v>
      </c>
      <c r="BO471" s="9">
        <v>0</v>
      </c>
      <c r="BP471" s="9">
        <v>0</v>
      </c>
      <c r="BQ471" s="9">
        <v>0</v>
      </c>
      <c r="BR471" s="9">
        <v>0</v>
      </c>
      <c r="BS471" s="9">
        <v>0</v>
      </c>
      <c r="BT471" s="9">
        <v>0</v>
      </c>
      <c r="BU471" s="9">
        <v>0</v>
      </c>
      <c r="BV471" s="9">
        <v>0</v>
      </c>
      <c r="BW471" s="9">
        <v>0</v>
      </c>
      <c r="BX471" s="9">
        <v>0</v>
      </c>
      <c r="BY471" s="9">
        <v>0</v>
      </c>
      <c r="BZ471" s="9">
        <v>0</v>
      </c>
      <c r="CA471" s="9">
        <v>0</v>
      </c>
      <c r="CB471" s="9">
        <v>0</v>
      </c>
      <c r="CC471" s="9">
        <v>0</v>
      </c>
      <c r="CD471" s="9">
        <v>0</v>
      </c>
      <c r="CE471" s="9">
        <v>0</v>
      </c>
      <c r="CF471" s="9">
        <v>0</v>
      </c>
      <c r="CG471" s="9">
        <v>0</v>
      </c>
      <c r="CH471" s="9">
        <v>0</v>
      </c>
      <c r="CI471" s="9">
        <v>0</v>
      </c>
      <c r="CJ471" s="9">
        <v>0</v>
      </c>
      <c r="CK471" s="9">
        <v>0</v>
      </c>
      <c r="CL471" s="9">
        <v>0</v>
      </c>
      <c r="CM471" s="9">
        <v>0</v>
      </c>
      <c r="CN471" s="9">
        <v>0</v>
      </c>
      <c r="CO471" s="9">
        <v>0</v>
      </c>
      <c r="CP471" s="9">
        <v>0</v>
      </c>
      <c r="CQ471" s="9">
        <v>0</v>
      </c>
      <c r="CR471" s="9">
        <v>0</v>
      </c>
      <c r="CS471" s="10">
        <v>0</v>
      </c>
    </row>
    <row r="472" spans="1:97" x14ac:dyDescent="0.35">
      <c r="A472" s="8" t="s">
        <v>494</v>
      </c>
      <c r="B472" s="9" t="s">
        <v>1278</v>
      </c>
      <c r="C472" s="9" t="s">
        <v>1279</v>
      </c>
      <c r="D472" s="9">
        <f t="shared" si="7"/>
        <v>0</v>
      </c>
      <c r="E472" s="9">
        <v>0</v>
      </c>
      <c r="F472" s="9">
        <v>0</v>
      </c>
      <c r="G472" s="9">
        <v>0</v>
      </c>
      <c r="H472" s="9">
        <v>0</v>
      </c>
      <c r="I472" s="9">
        <v>0</v>
      </c>
      <c r="J472" s="9">
        <v>0</v>
      </c>
      <c r="K472" s="9">
        <v>0</v>
      </c>
      <c r="L472" s="9">
        <v>0</v>
      </c>
      <c r="M472" s="9">
        <v>0</v>
      </c>
      <c r="N472" s="9">
        <v>0</v>
      </c>
      <c r="O472" s="9">
        <v>0</v>
      </c>
      <c r="P472" s="9">
        <v>0</v>
      </c>
      <c r="Q472" s="9">
        <v>0</v>
      </c>
      <c r="R472" s="9">
        <v>0</v>
      </c>
      <c r="S472" s="9">
        <v>0</v>
      </c>
      <c r="T472" s="9">
        <v>0</v>
      </c>
      <c r="U472" s="9">
        <v>0</v>
      </c>
      <c r="V472" s="9">
        <v>0</v>
      </c>
      <c r="W472" s="9">
        <v>0</v>
      </c>
      <c r="X472" s="9">
        <v>0</v>
      </c>
      <c r="Y472" s="9">
        <v>0</v>
      </c>
      <c r="Z472" s="9">
        <v>0</v>
      </c>
      <c r="AA472" s="9">
        <v>0</v>
      </c>
      <c r="AB472" s="9">
        <v>0</v>
      </c>
      <c r="AC472" s="9">
        <v>0</v>
      </c>
      <c r="AD472" s="9">
        <v>0</v>
      </c>
      <c r="AE472" s="9">
        <v>0</v>
      </c>
      <c r="AF472" s="9">
        <v>0</v>
      </c>
      <c r="AG472" s="9">
        <v>0</v>
      </c>
      <c r="AH472" s="9">
        <v>0</v>
      </c>
      <c r="AI472" s="9">
        <v>0</v>
      </c>
      <c r="AJ472" s="9">
        <v>0</v>
      </c>
      <c r="AK472" s="9">
        <v>0</v>
      </c>
      <c r="AL472" s="9">
        <v>0</v>
      </c>
      <c r="AM472" s="9">
        <v>0</v>
      </c>
      <c r="AN472" s="9">
        <v>0</v>
      </c>
      <c r="AO472" s="9">
        <v>0</v>
      </c>
      <c r="AP472" s="9">
        <v>0</v>
      </c>
      <c r="AQ472" s="9">
        <v>0</v>
      </c>
      <c r="AR472" s="9">
        <v>0</v>
      </c>
      <c r="AS472" s="9">
        <v>0</v>
      </c>
      <c r="AT472" s="9">
        <v>0</v>
      </c>
      <c r="AU472" s="9">
        <v>0</v>
      </c>
      <c r="AV472" s="9">
        <v>0</v>
      </c>
      <c r="AW472" s="9">
        <v>0</v>
      </c>
      <c r="AX472" s="9">
        <v>0</v>
      </c>
      <c r="AY472" s="9">
        <v>0</v>
      </c>
      <c r="AZ472" s="9">
        <v>0</v>
      </c>
      <c r="BA472" s="9">
        <v>0</v>
      </c>
      <c r="BB472" s="9">
        <v>0</v>
      </c>
      <c r="BC472" s="9">
        <v>0</v>
      </c>
      <c r="BD472" s="9">
        <v>0</v>
      </c>
      <c r="BE472" s="9">
        <v>0</v>
      </c>
      <c r="BF472" s="9">
        <v>0</v>
      </c>
      <c r="BG472" s="9">
        <v>0</v>
      </c>
      <c r="BH472" s="9">
        <v>0</v>
      </c>
      <c r="BI472" s="9">
        <v>0</v>
      </c>
      <c r="BJ472" s="9">
        <v>0</v>
      </c>
      <c r="BK472" s="9">
        <v>0</v>
      </c>
      <c r="BL472" s="9">
        <v>0</v>
      </c>
      <c r="BM472" s="9">
        <v>0</v>
      </c>
      <c r="BN472" s="9">
        <v>0</v>
      </c>
      <c r="BO472" s="9">
        <v>0</v>
      </c>
      <c r="BP472" s="9">
        <v>0</v>
      </c>
      <c r="BQ472" s="9">
        <v>0</v>
      </c>
      <c r="BR472" s="9">
        <v>0</v>
      </c>
      <c r="BS472" s="9">
        <v>0</v>
      </c>
      <c r="BT472" s="9">
        <v>0</v>
      </c>
      <c r="BU472" s="9">
        <v>0</v>
      </c>
      <c r="BV472" s="9">
        <v>0</v>
      </c>
      <c r="BW472" s="9">
        <v>0</v>
      </c>
      <c r="BX472" s="9">
        <v>0</v>
      </c>
      <c r="BY472" s="9">
        <v>0</v>
      </c>
      <c r="BZ472" s="9">
        <v>0</v>
      </c>
      <c r="CA472" s="9">
        <v>0</v>
      </c>
      <c r="CB472" s="9">
        <v>0</v>
      </c>
      <c r="CC472" s="9">
        <v>0</v>
      </c>
      <c r="CD472" s="9">
        <v>0</v>
      </c>
      <c r="CE472" s="9">
        <v>0</v>
      </c>
      <c r="CF472" s="9">
        <v>0</v>
      </c>
      <c r="CG472" s="9">
        <v>0</v>
      </c>
      <c r="CH472" s="9">
        <v>0</v>
      </c>
      <c r="CI472" s="9">
        <v>0</v>
      </c>
      <c r="CJ472" s="9">
        <v>0</v>
      </c>
      <c r="CK472" s="9">
        <v>0</v>
      </c>
      <c r="CL472" s="9">
        <v>0</v>
      </c>
      <c r="CM472" s="9">
        <v>0</v>
      </c>
      <c r="CN472" s="9">
        <v>0</v>
      </c>
      <c r="CO472" s="9">
        <v>0</v>
      </c>
      <c r="CP472" s="9">
        <v>0</v>
      </c>
      <c r="CQ472" s="9">
        <v>0</v>
      </c>
      <c r="CR472" s="9">
        <v>0</v>
      </c>
      <c r="CS472" s="10">
        <v>0</v>
      </c>
    </row>
    <row r="473" spans="1:97" x14ac:dyDescent="0.35">
      <c r="A473" s="8" t="s">
        <v>494</v>
      </c>
      <c r="B473" s="9" t="s">
        <v>1280</v>
      </c>
      <c r="C473" s="9" t="s">
        <v>1281</v>
      </c>
      <c r="D473" s="9">
        <f t="shared" si="7"/>
        <v>0</v>
      </c>
      <c r="E473" s="9">
        <v>0</v>
      </c>
      <c r="F473" s="9">
        <v>0</v>
      </c>
      <c r="G473" s="9">
        <v>0</v>
      </c>
      <c r="H473" s="9">
        <v>0</v>
      </c>
      <c r="I473" s="9">
        <v>0</v>
      </c>
      <c r="J473" s="9">
        <v>0</v>
      </c>
      <c r="K473" s="9">
        <v>0</v>
      </c>
      <c r="L473" s="9">
        <v>0</v>
      </c>
      <c r="M473" s="9">
        <v>0</v>
      </c>
      <c r="N473" s="9">
        <v>0</v>
      </c>
      <c r="O473" s="9">
        <v>0</v>
      </c>
      <c r="P473" s="9">
        <v>0</v>
      </c>
      <c r="Q473" s="9">
        <v>0</v>
      </c>
      <c r="R473" s="9">
        <v>0</v>
      </c>
      <c r="S473" s="9">
        <v>0</v>
      </c>
      <c r="T473" s="9">
        <v>0</v>
      </c>
      <c r="U473" s="9">
        <v>0</v>
      </c>
      <c r="V473" s="9">
        <v>0</v>
      </c>
      <c r="W473" s="9">
        <v>0</v>
      </c>
      <c r="X473" s="9">
        <v>0</v>
      </c>
      <c r="Y473" s="9">
        <v>0</v>
      </c>
      <c r="Z473" s="9">
        <v>0</v>
      </c>
      <c r="AA473" s="9">
        <v>0</v>
      </c>
      <c r="AB473" s="9">
        <v>0</v>
      </c>
      <c r="AC473" s="9">
        <v>0</v>
      </c>
      <c r="AD473" s="9">
        <v>0</v>
      </c>
      <c r="AE473" s="9">
        <v>0</v>
      </c>
      <c r="AF473" s="9">
        <v>0</v>
      </c>
      <c r="AG473" s="9">
        <v>0</v>
      </c>
      <c r="AH473" s="9">
        <v>0</v>
      </c>
      <c r="AI473" s="9">
        <v>0</v>
      </c>
      <c r="AJ473" s="9">
        <v>0</v>
      </c>
      <c r="AK473" s="9">
        <v>0</v>
      </c>
      <c r="AL473" s="9">
        <v>0</v>
      </c>
      <c r="AM473" s="9">
        <v>0</v>
      </c>
      <c r="AN473" s="9">
        <v>0</v>
      </c>
      <c r="AO473" s="9">
        <v>0</v>
      </c>
      <c r="AP473" s="9">
        <v>0</v>
      </c>
      <c r="AQ473" s="9">
        <v>0</v>
      </c>
      <c r="AR473" s="9">
        <v>0</v>
      </c>
      <c r="AS473" s="9">
        <v>0</v>
      </c>
      <c r="AT473" s="9">
        <v>0</v>
      </c>
      <c r="AU473" s="9">
        <v>0</v>
      </c>
      <c r="AV473" s="9">
        <v>0</v>
      </c>
      <c r="AW473" s="9">
        <v>0</v>
      </c>
      <c r="AX473" s="9">
        <v>0</v>
      </c>
      <c r="AY473" s="9">
        <v>0</v>
      </c>
      <c r="AZ473" s="9">
        <v>0</v>
      </c>
      <c r="BA473" s="9">
        <v>0</v>
      </c>
      <c r="BB473" s="9">
        <v>0</v>
      </c>
      <c r="BC473" s="9">
        <v>0</v>
      </c>
      <c r="BD473" s="9">
        <v>0</v>
      </c>
      <c r="BE473" s="9">
        <v>0</v>
      </c>
      <c r="BF473" s="9">
        <v>0</v>
      </c>
      <c r="BG473" s="9">
        <v>0</v>
      </c>
      <c r="BH473" s="9">
        <v>0</v>
      </c>
      <c r="BI473" s="9">
        <v>0</v>
      </c>
      <c r="BJ473" s="9">
        <v>0</v>
      </c>
      <c r="BK473" s="9">
        <v>0</v>
      </c>
      <c r="BL473" s="9">
        <v>0</v>
      </c>
      <c r="BM473" s="9">
        <v>0</v>
      </c>
      <c r="BN473" s="9">
        <v>0</v>
      </c>
      <c r="BO473" s="9">
        <v>0</v>
      </c>
      <c r="BP473" s="9">
        <v>0</v>
      </c>
      <c r="BQ473" s="9">
        <v>0</v>
      </c>
      <c r="BR473" s="9">
        <v>0</v>
      </c>
      <c r="BS473" s="9">
        <v>0</v>
      </c>
      <c r="BT473" s="9">
        <v>0</v>
      </c>
      <c r="BU473" s="9">
        <v>0</v>
      </c>
      <c r="BV473" s="9">
        <v>0</v>
      </c>
      <c r="BW473" s="9">
        <v>0</v>
      </c>
      <c r="BX473" s="9">
        <v>0</v>
      </c>
      <c r="BY473" s="9">
        <v>0</v>
      </c>
      <c r="BZ473" s="9">
        <v>0</v>
      </c>
      <c r="CA473" s="9">
        <v>0</v>
      </c>
      <c r="CB473" s="9">
        <v>0</v>
      </c>
      <c r="CC473" s="9">
        <v>0</v>
      </c>
      <c r="CD473" s="9">
        <v>0</v>
      </c>
      <c r="CE473" s="9">
        <v>0</v>
      </c>
      <c r="CF473" s="9">
        <v>0</v>
      </c>
      <c r="CG473" s="9">
        <v>0</v>
      </c>
      <c r="CH473" s="9">
        <v>0</v>
      </c>
      <c r="CI473" s="9">
        <v>0</v>
      </c>
      <c r="CJ473" s="9">
        <v>0</v>
      </c>
      <c r="CK473" s="9">
        <v>0</v>
      </c>
      <c r="CL473" s="9">
        <v>0</v>
      </c>
      <c r="CM473" s="9">
        <v>0</v>
      </c>
      <c r="CN473" s="9">
        <v>0</v>
      </c>
      <c r="CO473" s="9">
        <v>0</v>
      </c>
      <c r="CP473" s="9">
        <v>0</v>
      </c>
      <c r="CQ473" s="9">
        <v>0</v>
      </c>
      <c r="CR473" s="9">
        <v>0</v>
      </c>
      <c r="CS473" s="10">
        <v>0</v>
      </c>
    </row>
    <row r="474" spans="1:97" x14ac:dyDescent="0.35">
      <c r="A474" s="8" t="s">
        <v>494</v>
      </c>
      <c r="B474" s="9" t="s">
        <v>1282</v>
      </c>
      <c r="C474" s="9" t="s">
        <v>1283</v>
      </c>
      <c r="D474" s="9">
        <f t="shared" si="7"/>
        <v>0</v>
      </c>
      <c r="E474" s="9">
        <v>0</v>
      </c>
      <c r="F474" s="9">
        <v>0</v>
      </c>
      <c r="G474" s="9">
        <v>0</v>
      </c>
      <c r="H474" s="9">
        <v>0</v>
      </c>
      <c r="I474" s="9">
        <v>0</v>
      </c>
      <c r="J474" s="9">
        <v>0</v>
      </c>
      <c r="K474" s="9">
        <v>0</v>
      </c>
      <c r="L474" s="9">
        <v>0</v>
      </c>
      <c r="M474" s="9">
        <v>0</v>
      </c>
      <c r="N474" s="9">
        <v>0</v>
      </c>
      <c r="O474" s="9">
        <v>0</v>
      </c>
      <c r="P474" s="9">
        <v>0</v>
      </c>
      <c r="Q474" s="9">
        <v>0</v>
      </c>
      <c r="R474" s="9">
        <v>0</v>
      </c>
      <c r="S474" s="9">
        <v>0</v>
      </c>
      <c r="T474" s="9">
        <v>0</v>
      </c>
      <c r="U474" s="9">
        <v>0</v>
      </c>
      <c r="V474" s="9">
        <v>0</v>
      </c>
      <c r="W474" s="9">
        <v>0</v>
      </c>
      <c r="X474" s="9">
        <v>0</v>
      </c>
      <c r="Y474" s="9">
        <v>0</v>
      </c>
      <c r="Z474" s="9">
        <v>0</v>
      </c>
      <c r="AA474" s="9">
        <v>0</v>
      </c>
      <c r="AB474" s="9">
        <v>0</v>
      </c>
      <c r="AC474" s="9">
        <v>0</v>
      </c>
      <c r="AD474" s="9">
        <v>0</v>
      </c>
      <c r="AE474" s="9">
        <v>0</v>
      </c>
      <c r="AF474" s="9">
        <v>0</v>
      </c>
      <c r="AG474" s="9">
        <v>0</v>
      </c>
      <c r="AH474" s="9">
        <v>0</v>
      </c>
      <c r="AI474" s="9">
        <v>0</v>
      </c>
      <c r="AJ474" s="9">
        <v>0</v>
      </c>
      <c r="AK474" s="9">
        <v>0</v>
      </c>
      <c r="AL474" s="9">
        <v>0</v>
      </c>
      <c r="AM474" s="9">
        <v>0</v>
      </c>
      <c r="AN474" s="9">
        <v>0</v>
      </c>
      <c r="AO474" s="9">
        <v>0</v>
      </c>
      <c r="AP474" s="9">
        <v>0</v>
      </c>
      <c r="AQ474" s="9">
        <v>0</v>
      </c>
      <c r="AR474" s="9">
        <v>0</v>
      </c>
      <c r="AS474" s="9">
        <v>0</v>
      </c>
      <c r="AT474" s="9">
        <v>0</v>
      </c>
      <c r="AU474" s="9">
        <v>0</v>
      </c>
      <c r="AV474" s="9">
        <v>0</v>
      </c>
      <c r="AW474" s="9">
        <v>0</v>
      </c>
      <c r="AX474" s="9">
        <v>0</v>
      </c>
      <c r="AY474" s="9">
        <v>0</v>
      </c>
      <c r="AZ474" s="9">
        <v>0</v>
      </c>
      <c r="BA474" s="9">
        <v>0</v>
      </c>
      <c r="BB474" s="9">
        <v>0</v>
      </c>
      <c r="BC474" s="9">
        <v>0</v>
      </c>
      <c r="BD474" s="9">
        <v>0</v>
      </c>
      <c r="BE474" s="9">
        <v>0</v>
      </c>
      <c r="BF474" s="9">
        <v>0</v>
      </c>
      <c r="BG474" s="9">
        <v>0</v>
      </c>
      <c r="BH474" s="9">
        <v>0</v>
      </c>
      <c r="BI474" s="9">
        <v>0</v>
      </c>
      <c r="BJ474" s="9">
        <v>0</v>
      </c>
      <c r="BK474" s="9">
        <v>0</v>
      </c>
      <c r="BL474" s="9">
        <v>0</v>
      </c>
      <c r="BM474" s="9">
        <v>0</v>
      </c>
      <c r="BN474" s="9">
        <v>0</v>
      </c>
      <c r="BO474" s="9">
        <v>0</v>
      </c>
      <c r="BP474" s="9">
        <v>0</v>
      </c>
      <c r="BQ474" s="9">
        <v>0</v>
      </c>
      <c r="BR474" s="9">
        <v>0</v>
      </c>
      <c r="BS474" s="9">
        <v>0</v>
      </c>
      <c r="BT474" s="9">
        <v>0</v>
      </c>
      <c r="BU474" s="9">
        <v>0</v>
      </c>
      <c r="BV474" s="9">
        <v>0</v>
      </c>
      <c r="BW474" s="9">
        <v>0</v>
      </c>
      <c r="BX474" s="9">
        <v>0</v>
      </c>
      <c r="BY474" s="9">
        <v>0</v>
      </c>
      <c r="BZ474" s="9">
        <v>0</v>
      </c>
      <c r="CA474" s="9">
        <v>0</v>
      </c>
      <c r="CB474" s="9">
        <v>0</v>
      </c>
      <c r="CC474" s="9">
        <v>0</v>
      </c>
      <c r="CD474" s="9">
        <v>0</v>
      </c>
      <c r="CE474" s="9">
        <v>0</v>
      </c>
      <c r="CF474" s="9">
        <v>0</v>
      </c>
      <c r="CG474" s="9">
        <v>0</v>
      </c>
      <c r="CH474" s="9">
        <v>0</v>
      </c>
      <c r="CI474" s="9">
        <v>0</v>
      </c>
      <c r="CJ474" s="9">
        <v>0</v>
      </c>
      <c r="CK474" s="9">
        <v>0</v>
      </c>
      <c r="CL474" s="9">
        <v>0</v>
      </c>
      <c r="CM474" s="9">
        <v>0</v>
      </c>
      <c r="CN474" s="9">
        <v>0</v>
      </c>
      <c r="CO474" s="9">
        <v>0</v>
      </c>
      <c r="CP474" s="9">
        <v>0</v>
      </c>
      <c r="CQ474" s="9">
        <v>0</v>
      </c>
      <c r="CR474" s="9">
        <v>0</v>
      </c>
      <c r="CS474" s="10">
        <v>0</v>
      </c>
    </row>
    <row r="475" spans="1:97" x14ac:dyDescent="0.35">
      <c r="A475" s="8" t="s">
        <v>494</v>
      </c>
      <c r="B475" s="9" t="s">
        <v>1284</v>
      </c>
      <c r="C475" s="9" t="s">
        <v>1285</v>
      </c>
      <c r="D475" s="9">
        <f t="shared" si="7"/>
        <v>0</v>
      </c>
      <c r="E475" s="9">
        <v>0</v>
      </c>
      <c r="F475" s="9">
        <v>0</v>
      </c>
      <c r="G475" s="9">
        <v>0</v>
      </c>
      <c r="H475" s="9">
        <v>0</v>
      </c>
      <c r="I475" s="9">
        <v>0</v>
      </c>
      <c r="J475" s="9">
        <v>0</v>
      </c>
      <c r="K475" s="9">
        <v>0</v>
      </c>
      <c r="L475" s="9">
        <v>0</v>
      </c>
      <c r="M475" s="9">
        <v>0</v>
      </c>
      <c r="N475" s="9">
        <v>0</v>
      </c>
      <c r="O475" s="9">
        <v>0</v>
      </c>
      <c r="P475" s="9">
        <v>0</v>
      </c>
      <c r="Q475" s="9">
        <v>0</v>
      </c>
      <c r="R475" s="9">
        <v>0</v>
      </c>
      <c r="S475" s="9">
        <v>0</v>
      </c>
      <c r="T475" s="9">
        <v>0</v>
      </c>
      <c r="U475" s="9">
        <v>0</v>
      </c>
      <c r="V475" s="9">
        <v>0</v>
      </c>
      <c r="W475" s="9">
        <v>0</v>
      </c>
      <c r="X475" s="9">
        <v>0</v>
      </c>
      <c r="Y475" s="9">
        <v>0</v>
      </c>
      <c r="Z475" s="9">
        <v>0</v>
      </c>
      <c r="AA475" s="9">
        <v>0</v>
      </c>
      <c r="AB475" s="9">
        <v>0</v>
      </c>
      <c r="AC475" s="9">
        <v>0</v>
      </c>
      <c r="AD475" s="9">
        <v>0</v>
      </c>
      <c r="AE475" s="9">
        <v>0</v>
      </c>
      <c r="AF475" s="9">
        <v>0</v>
      </c>
      <c r="AG475" s="9">
        <v>0</v>
      </c>
      <c r="AH475" s="9">
        <v>0</v>
      </c>
      <c r="AI475" s="9">
        <v>0</v>
      </c>
      <c r="AJ475" s="9">
        <v>0</v>
      </c>
      <c r="AK475" s="9">
        <v>0</v>
      </c>
      <c r="AL475" s="9">
        <v>0</v>
      </c>
      <c r="AM475" s="9">
        <v>0</v>
      </c>
      <c r="AN475" s="9">
        <v>0</v>
      </c>
      <c r="AO475" s="9">
        <v>0</v>
      </c>
      <c r="AP475" s="9">
        <v>0</v>
      </c>
      <c r="AQ475" s="9">
        <v>0</v>
      </c>
      <c r="AR475" s="9">
        <v>0</v>
      </c>
      <c r="AS475" s="9">
        <v>0</v>
      </c>
      <c r="AT475" s="9">
        <v>0</v>
      </c>
      <c r="AU475" s="9">
        <v>0</v>
      </c>
      <c r="AV475" s="9">
        <v>0</v>
      </c>
      <c r="AW475" s="9">
        <v>0</v>
      </c>
      <c r="AX475" s="9">
        <v>0</v>
      </c>
      <c r="AY475" s="9">
        <v>0</v>
      </c>
      <c r="AZ475" s="9">
        <v>0</v>
      </c>
      <c r="BA475" s="9">
        <v>0</v>
      </c>
      <c r="BB475" s="9">
        <v>0</v>
      </c>
      <c r="BC475" s="9">
        <v>0</v>
      </c>
      <c r="BD475" s="9">
        <v>0</v>
      </c>
      <c r="BE475" s="9">
        <v>0</v>
      </c>
      <c r="BF475" s="9">
        <v>0</v>
      </c>
      <c r="BG475" s="9">
        <v>0</v>
      </c>
      <c r="BH475" s="9">
        <v>0</v>
      </c>
      <c r="BI475" s="9">
        <v>0</v>
      </c>
      <c r="BJ475" s="9">
        <v>0</v>
      </c>
      <c r="BK475" s="9">
        <v>0</v>
      </c>
      <c r="BL475" s="9">
        <v>0</v>
      </c>
      <c r="BM475" s="9">
        <v>0</v>
      </c>
      <c r="BN475" s="9">
        <v>0</v>
      </c>
      <c r="BO475" s="9">
        <v>0</v>
      </c>
      <c r="BP475" s="9">
        <v>0</v>
      </c>
      <c r="BQ475" s="9">
        <v>0</v>
      </c>
      <c r="BR475" s="9">
        <v>0</v>
      </c>
      <c r="BS475" s="9">
        <v>0</v>
      </c>
      <c r="BT475" s="9">
        <v>0</v>
      </c>
      <c r="BU475" s="9">
        <v>0</v>
      </c>
      <c r="BV475" s="9">
        <v>0</v>
      </c>
      <c r="BW475" s="9">
        <v>0</v>
      </c>
      <c r="BX475" s="9">
        <v>0</v>
      </c>
      <c r="BY475" s="9">
        <v>0</v>
      </c>
      <c r="BZ475" s="9">
        <v>0</v>
      </c>
      <c r="CA475" s="9">
        <v>0</v>
      </c>
      <c r="CB475" s="9">
        <v>0</v>
      </c>
      <c r="CC475" s="9">
        <v>0</v>
      </c>
      <c r="CD475" s="9">
        <v>0</v>
      </c>
      <c r="CE475" s="9">
        <v>0</v>
      </c>
      <c r="CF475" s="9">
        <v>0</v>
      </c>
      <c r="CG475" s="9">
        <v>0</v>
      </c>
      <c r="CH475" s="9">
        <v>0</v>
      </c>
      <c r="CI475" s="9">
        <v>0</v>
      </c>
      <c r="CJ475" s="9">
        <v>0</v>
      </c>
      <c r="CK475" s="9">
        <v>0</v>
      </c>
      <c r="CL475" s="9">
        <v>0</v>
      </c>
      <c r="CM475" s="9">
        <v>0</v>
      </c>
      <c r="CN475" s="9">
        <v>0</v>
      </c>
      <c r="CO475" s="9">
        <v>0</v>
      </c>
      <c r="CP475" s="9">
        <v>0</v>
      </c>
      <c r="CQ475" s="9">
        <v>0</v>
      </c>
      <c r="CR475" s="9">
        <v>0</v>
      </c>
      <c r="CS475" s="10">
        <v>0</v>
      </c>
    </row>
    <row r="476" spans="1:97" x14ac:dyDescent="0.35">
      <c r="A476" s="8" t="s">
        <v>494</v>
      </c>
      <c r="B476" s="9" t="s">
        <v>531</v>
      </c>
      <c r="C476" s="9" t="s">
        <v>1286</v>
      </c>
      <c r="D476" s="9">
        <f t="shared" si="7"/>
        <v>131</v>
      </c>
      <c r="E476" s="9">
        <v>0</v>
      </c>
      <c r="F476" s="9">
        <v>0</v>
      </c>
      <c r="G476" s="9">
        <v>0</v>
      </c>
      <c r="H476" s="9">
        <v>0</v>
      </c>
      <c r="I476" s="9">
        <v>0</v>
      </c>
      <c r="J476" s="9">
        <v>0</v>
      </c>
      <c r="K476" s="9">
        <v>0</v>
      </c>
      <c r="L476" s="9">
        <v>0</v>
      </c>
      <c r="M476" s="9">
        <v>0</v>
      </c>
      <c r="N476" s="9">
        <v>0</v>
      </c>
      <c r="O476" s="9">
        <v>0</v>
      </c>
      <c r="P476" s="9">
        <v>0</v>
      </c>
      <c r="Q476" s="9">
        <v>0</v>
      </c>
      <c r="R476" s="9">
        <v>0</v>
      </c>
      <c r="S476" s="9">
        <v>0</v>
      </c>
      <c r="T476" s="9">
        <v>0</v>
      </c>
      <c r="U476" s="9">
        <v>0</v>
      </c>
      <c r="V476" s="9">
        <v>0</v>
      </c>
      <c r="W476" s="9">
        <v>0</v>
      </c>
      <c r="X476" s="9">
        <v>0</v>
      </c>
      <c r="Y476" s="9">
        <v>0</v>
      </c>
      <c r="Z476" s="9">
        <v>0</v>
      </c>
      <c r="AA476" s="9">
        <v>0</v>
      </c>
      <c r="AB476" s="9">
        <v>0</v>
      </c>
      <c r="AC476" s="9">
        <v>0</v>
      </c>
      <c r="AD476" s="9">
        <v>0</v>
      </c>
      <c r="AE476" s="9">
        <v>0</v>
      </c>
      <c r="AF476" s="9">
        <v>0</v>
      </c>
      <c r="AG476" s="9">
        <v>0</v>
      </c>
      <c r="AH476" s="9">
        <v>0</v>
      </c>
      <c r="AI476" s="9">
        <v>0</v>
      </c>
      <c r="AJ476" s="9">
        <v>0</v>
      </c>
      <c r="AK476" s="9">
        <v>0</v>
      </c>
      <c r="AL476" s="9">
        <v>0</v>
      </c>
      <c r="AM476" s="9">
        <v>0</v>
      </c>
      <c r="AN476" s="9">
        <v>0</v>
      </c>
      <c r="AO476" s="9">
        <v>0</v>
      </c>
      <c r="AP476" s="9">
        <v>0</v>
      </c>
      <c r="AQ476" s="9">
        <v>0</v>
      </c>
      <c r="AR476" s="9">
        <v>0</v>
      </c>
      <c r="AS476" s="9">
        <v>0</v>
      </c>
      <c r="AT476" s="9">
        <v>0</v>
      </c>
      <c r="AU476" s="9">
        <v>0</v>
      </c>
      <c r="AV476" s="9">
        <v>0</v>
      </c>
      <c r="AW476" s="9">
        <v>0</v>
      </c>
      <c r="AX476" s="9">
        <v>0</v>
      </c>
      <c r="AY476" s="9">
        <v>0</v>
      </c>
      <c r="AZ476" s="9">
        <v>0</v>
      </c>
      <c r="BA476" s="9">
        <v>0</v>
      </c>
      <c r="BB476" s="9">
        <v>0</v>
      </c>
      <c r="BC476" s="9">
        <v>0</v>
      </c>
      <c r="BD476" s="9">
        <v>0</v>
      </c>
      <c r="BE476" s="9">
        <v>0</v>
      </c>
      <c r="BF476" s="9">
        <v>0</v>
      </c>
      <c r="BG476" s="9">
        <v>0</v>
      </c>
      <c r="BH476" s="9">
        <v>0</v>
      </c>
      <c r="BI476" s="9">
        <v>0</v>
      </c>
      <c r="BJ476" s="9">
        <v>0</v>
      </c>
      <c r="BK476" s="9">
        <v>0</v>
      </c>
      <c r="BL476" s="9">
        <v>0</v>
      </c>
      <c r="BM476" s="9">
        <v>0</v>
      </c>
      <c r="BN476" s="9">
        <v>0</v>
      </c>
      <c r="BO476" s="9">
        <v>0</v>
      </c>
      <c r="BP476" s="9">
        <v>0</v>
      </c>
      <c r="BQ476" s="9">
        <v>1</v>
      </c>
      <c r="BR476" s="9">
        <v>0</v>
      </c>
      <c r="BS476" s="9">
        <v>0</v>
      </c>
      <c r="BT476" s="9">
        <v>0</v>
      </c>
      <c r="BU476" s="9">
        <v>7</v>
      </c>
      <c r="BV476" s="9">
        <v>2</v>
      </c>
      <c r="BW476" s="9">
        <v>0</v>
      </c>
      <c r="BX476" s="9">
        <v>0</v>
      </c>
      <c r="BY476" s="9">
        <v>2</v>
      </c>
      <c r="BZ476" s="9">
        <v>4</v>
      </c>
      <c r="CA476" s="9">
        <v>4</v>
      </c>
      <c r="CB476" s="9">
        <v>5</v>
      </c>
      <c r="CC476" s="9">
        <v>1</v>
      </c>
      <c r="CD476" s="9">
        <v>9</v>
      </c>
      <c r="CE476" s="9">
        <v>4</v>
      </c>
      <c r="CF476" s="9">
        <v>1</v>
      </c>
      <c r="CG476" s="9">
        <v>8</v>
      </c>
      <c r="CH476" s="9">
        <v>7</v>
      </c>
      <c r="CI476" s="9">
        <v>8</v>
      </c>
      <c r="CJ476" s="9">
        <v>4</v>
      </c>
      <c r="CK476" s="9">
        <v>6</v>
      </c>
      <c r="CL476" s="9">
        <v>20</v>
      </c>
      <c r="CM476" s="9">
        <v>4</v>
      </c>
      <c r="CN476" s="9">
        <v>7</v>
      </c>
      <c r="CO476" s="9">
        <v>1</v>
      </c>
      <c r="CP476" s="9">
        <v>10</v>
      </c>
      <c r="CQ476" s="9">
        <v>7</v>
      </c>
      <c r="CR476" s="9">
        <v>4</v>
      </c>
      <c r="CS476" s="10">
        <v>5</v>
      </c>
    </row>
    <row r="477" spans="1:97" x14ac:dyDescent="0.35">
      <c r="A477" s="8" t="s">
        <v>494</v>
      </c>
      <c r="B477" s="9" t="s">
        <v>503</v>
      </c>
      <c r="C477" s="9" t="s">
        <v>1287</v>
      </c>
      <c r="D477" s="9">
        <f t="shared" si="7"/>
        <v>21</v>
      </c>
      <c r="E477" s="9">
        <v>0</v>
      </c>
      <c r="F477" s="9">
        <v>0</v>
      </c>
      <c r="G477" s="9">
        <v>0</v>
      </c>
      <c r="H477" s="9">
        <v>0</v>
      </c>
      <c r="I477" s="9">
        <v>0</v>
      </c>
      <c r="J477" s="9">
        <v>0</v>
      </c>
      <c r="K477" s="9">
        <v>0</v>
      </c>
      <c r="L477" s="9">
        <v>0</v>
      </c>
      <c r="M477" s="9">
        <v>0</v>
      </c>
      <c r="N477" s="9">
        <v>0</v>
      </c>
      <c r="O477" s="9">
        <v>0</v>
      </c>
      <c r="P477" s="9">
        <v>0</v>
      </c>
      <c r="Q477" s="9">
        <v>0</v>
      </c>
      <c r="R477" s="9">
        <v>0</v>
      </c>
      <c r="S477" s="9">
        <v>0</v>
      </c>
      <c r="T477" s="9">
        <v>0</v>
      </c>
      <c r="U477" s="9">
        <v>0</v>
      </c>
      <c r="V477" s="9">
        <v>0</v>
      </c>
      <c r="W477" s="9">
        <v>0</v>
      </c>
      <c r="X477" s="9">
        <v>0</v>
      </c>
      <c r="Y477" s="9">
        <v>0</v>
      </c>
      <c r="Z477" s="9">
        <v>0</v>
      </c>
      <c r="AA477" s="9">
        <v>0</v>
      </c>
      <c r="AB477" s="9">
        <v>0</v>
      </c>
      <c r="AC477" s="9">
        <v>0</v>
      </c>
      <c r="AD477" s="9">
        <v>0</v>
      </c>
      <c r="AE477" s="9">
        <v>0</v>
      </c>
      <c r="AF477" s="9">
        <v>0</v>
      </c>
      <c r="AG477" s="9">
        <v>0</v>
      </c>
      <c r="AH477" s="9">
        <v>0</v>
      </c>
      <c r="AI477" s="9">
        <v>0</v>
      </c>
      <c r="AJ477" s="9">
        <v>1</v>
      </c>
      <c r="AK477" s="9">
        <v>0</v>
      </c>
      <c r="AL477" s="9">
        <v>0</v>
      </c>
      <c r="AM477" s="9">
        <v>0</v>
      </c>
      <c r="AN477" s="9">
        <v>0</v>
      </c>
      <c r="AO477" s="9">
        <v>0</v>
      </c>
      <c r="AP477" s="9">
        <v>0</v>
      </c>
      <c r="AQ477" s="9">
        <v>0</v>
      </c>
      <c r="AR477" s="9">
        <v>0</v>
      </c>
      <c r="AS477" s="9">
        <v>0</v>
      </c>
      <c r="AT477" s="9">
        <v>0</v>
      </c>
      <c r="AU477" s="9">
        <v>0</v>
      </c>
      <c r="AV477" s="9">
        <v>0</v>
      </c>
      <c r="AW477" s="9">
        <v>0</v>
      </c>
      <c r="AX477" s="9">
        <v>0</v>
      </c>
      <c r="AY477" s="9">
        <v>0</v>
      </c>
      <c r="AZ477" s="9">
        <v>1</v>
      </c>
      <c r="BA477" s="9">
        <v>0</v>
      </c>
      <c r="BB477" s="9">
        <v>0</v>
      </c>
      <c r="BC477" s="9">
        <v>0</v>
      </c>
      <c r="BD477" s="9">
        <v>0</v>
      </c>
      <c r="BE477" s="9">
        <v>0</v>
      </c>
      <c r="BF477" s="9">
        <v>0</v>
      </c>
      <c r="BG477" s="9">
        <v>0</v>
      </c>
      <c r="BH477" s="9">
        <v>0</v>
      </c>
      <c r="BI477" s="9">
        <v>0</v>
      </c>
      <c r="BJ477" s="9">
        <v>0</v>
      </c>
      <c r="BK477" s="9">
        <v>0</v>
      </c>
      <c r="BL477" s="9">
        <v>0</v>
      </c>
      <c r="BM477" s="9">
        <v>0</v>
      </c>
      <c r="BN477" s="9">
        <v>0</v>
      </c>
      <c r="BO477" s="9">
        <v>0</v>
      </c>
      <c r="BP477" s="9">
        <v>0</v>
      </c>
      <c r="BQ477" s="9">
        <v>0</v>
      </c>
      <c r="BR477" s="9">
        <v>1</v>
      </c>
      <c r="BS477" s="9">
        <v>0</v>
      </c>
      <c r="BT477" s="9">
        <v>0</v>
      </c>
      <c r="BU477" s="9">
        <v>0</v>
      </c>
      <c r="BV477" s="9">
        <v>0</v>
      </c>
      <c r="BW477" s="9">
        <v>0</v>
      </c>
      <c r="BX477" s="9">
        <v>1</v>
      </c>
      <c r="BY477" s="9">
        <v>1</v>
      </c>
      <c r="BZ477" s="9">
        <v>0</v>
      </c>
      <c r="CA477" s="9">
        <v>0</v>
      </c>
      <c r="CB477" s="9">
        <v>0</v>
      </c>
      <c r="CC477" s="9">
        <v>0</v>
      </c>
      <c r="CD477" s="9">
        <v>0</v>
      </c>
      <c r="CE477" s="9">
        <v>0</v>
      </c>
      <c r="CF477" s="9">
        <v>0</v>
      </c>
      <c r="CG477" s="9">
        <v>0</v>
      </c>
      <c r="CH477" s="9">
        <v>0</v>
      </c>
      <c r="CI477" s="9">
        <v>0</v>
      </c>
      <c r="CJ477" s="9">
        <v>0</v>
      </c>
      <c r="CK477" s="9">
        <v>0</v>
      </c>
      <c r="CL477" s="9">
        <v>0</v>
      </c>
      <c r="CM477" s="9">
        <v>1</v>
      </c>
      <c r="CN477" s="9">
        <v>0</v>
      </c>
      <c r="CO477" s="9">
        <v>3</v>
      </c>
      <c r="CP477" s="9">
        <v>0</v>
      </c>
      <c r="CQ477" s="9">
        <v>5</v>
      </c>
      <c r="CR477" s="9">
        <v>1</v>
      </c>
      <c r="CS477" s="10">
        <v>6</v>
      </c>
    </row>
    <row r="478" spans="1:97" x14ac:dyDescent="0.35">
      <c r="A478" s="8" t="s">
        <v>494</v>
      </c>
      <c r="B478" s="9" t="s">
        <v>505</v>
      </c>
      <c r="C478" s="9" t="s">
        <v>1288</v>
      </c>
      <c r="D478" s="9">
        <f t="shared" si="7"/>
        <v>208</v>
      </c>
      <c r="E478" s="9">
        <v>0</v>
      </c>
      <c r="F478" s="9">
        <v>0</v>
      </c>
      <c r="G478" s="9">
        <v>1</v>
      </c>
      <c r="H478" s="9">
        <v>0</v>
      </c>
      <c r="I478" s="9">
        <v>0</v>
      </c>
      <c r="J478" s="9">
        <v>2</v>
      </c>
      <c r="K478" s="9">
        <v>1</v>
      </c>
      <c r="L478" s="9">
        <v>0</v>
      </c>
      <c r="M478" s="9">
        <v>0</v>
      </c>
      <c r="N478" s="9">
        <v>0</v>
      </c>
      <c r="O478" s="9">
        <v>0</v>
      </c>
      <c r="P478" s="9">
        <v>0</v>
      </c>
      <c r="Q478" s="9">
        <v>1</v>
      </c>
      <c r="R478" s="9">
        <v>1</v>
      </c>
      <c r="S478" s="9">
        <v>0</v>
      </c>
      <c r="T478" s="9">
        <v>0</v>
      </c>
      <c r="U478" s="9">
        <v>1</v>
      </c>
      <c r="V478" s="9">
        <v>0</v>
      </c>
      <c r="W478" s="9">
        <v>0</v>
      </c>
      <c r="X478" s="9">
        <v>0</v>
      </c>
      <c r="Y478" s="9">
        <v>1</v>
      </c>
      <c r="Z478" s="9">
        <v>0</v>
      </c>
      <c r="AA478" s="9">
        <v>0</v>
      </c>
      <c r="AB478" s="9">
        <v>0</v>
      </c>
      <c r="AC478" s="9">
        <v>0</v>
      </c>
      <c r="AD478" s="9">
        <v>0</v>
      </c>
      <c r="AE478" s="9">
        <v>0</v>
      </c>
      <c r="AF478" s="9">
        <v>0</v>
      </c>
      <c r="AG478" s="9">
        <v>1</v>
      </c>
      <c r="AH478" s="9">
        <v>0</v>
      </c>
      <c r="AI478" s="9">
        <v>0</v>
      </c>
      <c r="AJ478" s="9">
        <v>0</v>
      </c>
      <c r="AK478" s="9">
        <v>1</v>
      </c>
      <c r="AL478" s="9">
        <v>0</v>
      </c>
      <c r="AM478" s="9">
        <v>0</v>
      </c>
      <c r="AN478" s="9">
        <v>0</v>
      </c>
      <c r="AO478" s="9">
        <v>1</v>
      </c>
      <c r="AP478" s="9">
        <v>0</v>
      </c>
      <c r="AQ478" s="9">
        <v>0</v>
      </c>
      <c r="AR478" s="9">
        <v>0</v>
      </c>
      <c r="AS478" s="9">
        <v>3</v>
      </c>
      <c r="AT478" s="9">
        <v>0</v>
      </c>
      <c r="AU478" s="9">
        <v>0</v>
      </c>
      <c r="AV478" s="9">
        <v>0</v>
      </c>
      <c r="AW478" s="9">
        <v>0</v>
      </c>
      <c r="AX478" s="9">
        <v>1</v>
      </c>
      <c r="AY478" s="9">
        <v>4</v>
      </c>
      <c r="AZ478" s="9">
        <v>0</v>
      </c>
      <c r="BA478" s="9">
        <v>2</v>
      </c>
      <c r="BB478" s="9">
        <v>0</v>
      </c>
      <c r="BC478" s="9">
        <v>2</v>
      </c>
      <c r="BD478" s="9">
        <v>2</v>
      </c>
      <c r="BE478" s="9">
        <v>0</v>
      </c>
      <c r="BF478" s="9">
        <v>1</v>
      </c>
      <c r="BG478" s="9">
        <v>0</v>
      </c>
      <c r="BH478" s="9">
        <v>1</v>
      </c>
      <c r="BI478" s="9">
        <v>0</v>
      </c>
      <c r="BJ478" s="9">
        <v>1</v>
      </c>
      <c r="BK478" s="9">
        <v>0</v>
      </c>
      <c r="BL478" s="9">
        <v>1</v>
      </c>
      <c r="BM478" s="9">
        <v>0</v>
      </c>
      <c r="BN478" s="9">
        <v>1</v>
      </c>
      <c r="BO478" s="9">
        <v>1</v>
      </c>
      <c r="BP478" s="9">
        <v>0</v>
      </c>
      <c r="BQ478" s="9">
        <v>2</v>
      </c>
      <c r="BR478" s="9">
        <v>7</v>
      </c>
      <c r="BS478" s="9">
        <v>6</v>
      </c>
      <c r="BT478" s="9">
        <v>2</v>
      </c>
      <c r="BU478" s="9">
        <v>4</v>
      </c>
      <c r="BV478" s="9">
        <v>6</v>
      </c>
      <c r="BW478" s="9">
        <v>0</v>
      </c>
      <c r="BX478" s="9">
        <v>4</v>
      </c>
      <c r="BY478" s="9">
        <v>5</v>
      </c>
      <c r="BZ478" s="9">
        <v>0</v>
      </c>
      <c r="CA478" s="9">
        <v>11</v>
      </c>
      <c r="CB478" s="9">
        <v>2</v>
      </c>
      <c r="CC478" s="9">
        <v>1</v>
      </c>
      <c r="CD478" s="9">
        <v>5</v>
      </c>
      <c r="CE478" s="9">
        <v>2</v>
      </c>
      <c r="CF478" s="9">
        <v>5</v>
      </c>
      <c r="CG478" s="9">
        <v>3</v>
      </c>
      <c r="CH478" s="9">
        <v>12</v>
      </c>
      <c r="CI478" s="9">
        <v>6</v>
      </c>
      <c r="CJ478" s="9">
        <v>5</v>
      </c>
      <c r="CK478" s="9">
        <v>11</v>
      </c>
      <c r="CL478" s="9">
        <v>12</v>
      </c>
      <c r="CM478" s="9">
        <v>9</v>
      </c>
      <c r="CN478" s="9">
        <v>7</v>
      </c>
      <c r="CO478" s="9">
        <v>9</v>
      </c>
      <c r="CP478" s="9">
        <v>9</v>
      </c>
      <c r="CQ478" s="9">
        <v>7</v>
      </c>
      <c r="CR478" s="9">
        <v>16</v>
      </c>
      <c r="CS478" s="10">
        <v>9</v>
      </c>
    </row>
    <row r="479" spans="1:97" x14ac:dyDescent="0.35">
      <c r="A479" s="8" t="s">
        <v>494</v>
      </c>
      <c r="B479" s="9" t="s">
        <v>507</v>
      </c>
      <c r="C479" s="9" t="s">
        <v>1289</v>
      </c>
      <c r="D479" s="9">
        <f t="shared" si="7"/>
        <v>99</v>
      </c>
      <c r="E479" s="9">
        <v>0</v>
      </c>
      <c r="F479" s="9">
        <v>0</v>
      </c>
      <c r="G479" s="9">
        <v>0</v>
      </c>
      <c r="H479" s="9">
        <v>0</v>
      </c>
      <c r="I479" s="9">
        <v>0</v>
      </c>
      <c r="J479" s="9">
        <v>0</v>
      </c>
      <c r="K479" s="9">
        <v>0</v>
      </c>
      <c r="L479" s="9">
        <v>0</v>
      </c>
      <c r="M479" s="9">
        <v>0</v>
      </c>
      <c r="N479" s="9">
        <v>0</v>
      </c>
      <c r="O479" s="9">
        <v>1</v>
      </c>
      <c r="P479" s="9">
        <v>0</v>
      </c>
      <c r="Q479" s="9">
        <v>0</v>
      </c>
      <c r="R479" s="9">
        <v>0</v>
      </c>
      <c r="S479" s="9">
        <v>0</v>
      </c>
      <c r="T479" s="9">
        <v>0</v>
      </c>
      <c r="U479" s="9">
        <v>0</v>
      </c>
      <c r="V479" s="9">
        <v>0</v>
      </c>
      <c r="W479" s="9">
        <v>0</v>
      </c>
      <c r="X479" s="9">
        <v>0</v>
      </c>
      <c r="Y479" s="9">
        <v>0</v>
      </c>
      <c r="Z479" s="9">
        <v>0</v>
      </c>
      <c r="AA479" s="9">
        <v>0</v>
      </c>
      <c r="AB479" s="9">
        <v>0</v>
      </c>
      <c r="AC479" s="9">
        <v>0</v>
      </c>
      <c r="AD479" s="9">
        <v>0</v>
      </c>
      <c r="AE479" s="9">
        <v>0</v>
      </c>
      <c r="AF479" s="9">
        <v>0</v>
      </c>
      <c r="AG479" s="9">
        <v>0</v>
      </c>
      <c r="AH479" s="9">
        <v>0</v>
      </c>
      <c r="AI479" s="9">
        <v>0</v>
      </c>
      <c r="AJ479" s="9">
        <v>0</v>
      </c>
      <c r="AK479" s="9">
        <v>0</v>
      </c>
      <c r="AL479" s="9">
        <v>0</v>
      </c>
      <c r="AM479" s="9">
        <v>0</v>
      </c>
      <c r="AN479" s="9">
        <v>0</v>
      </c>
      <c r="AO479" s="9">
        <v>0</v>
      </c>
      <c r="AP479" s="9">
        <v>1</v>
      </c>
      <c r="AQ479" s="9">
        <v>0</v>
      </c>
      <c r="AR479" s="9">
        <v>0</v>
      </c>
      <c r="AS479" s="9">
        <v>0</v>
      </c>
      <c r="AT479" s="9">
        <v>0</v>
      </c>
      <c r="AU479" s="9">
        <v>0</v>
      </c>
      <c r="AV479" s="9">
        <v>0</v>
      </c>
      <c r="AW479" s="9">
        <v>0</v>
      </c>
      <c r="AX479" s="9">
        <v>0</v>
      </c>
      <c r="AY479" s="9">
        <v>0</v>
      </c>
      <c r="AZ479" s="9">
        <v>0</v>
      </c>
      <c r="BA479" s="9">
        <v>0</v>
      </c>
      <c r="BB479" s="9">
        <v>0</v>
      </c>
      <c r="BC479" s="9">
        <v>1</v>
      </c>
      <c r="BD479" s="9">
        <v>0</v>
      </c>
      <c r="BE479" s="9">
        <v>0</v>
      </c>
      <c r="BF479" s="9">
        <v>1</v>
      </c>
      <c r="BG479" s="9">
        <v>0</v>
      </c>
      <c r="BH479" s="9">
        <v>0</v>
      </c>
      <c r="BI479" s="9">
        <v>0</v>
      </c>
      <c r="BJ479" s="9">
        <v>0</v>
      </c>
      <c r="BK479" s="9">
        <v>0</v>
      </c>
      <c r="BL479" s="9">
        <v>1</v>
      </c>
      <c r="BM479" s="9">
        <v>0</v>
      </c>
      <c r="BN479" s="9">
        <v>0</v>
      </c>
      <c r="BO479" s="9">
        <v>0</v>
      </c>
      <c r="BP479" s="9">
        <v>0</v>
      </c>
      <c r="BQ479" s="9">
        <v>1</v>
      </c>
      <c r="BR479" s="9">
        <v>0</v>
      </c>
      <c r="BS479" s="9">
        <v>3</v>
      </c>
      <c r="BT479" s="9">
        <v>1</v>
      </c>
      <c r="BU479" s="9">
        <v>0</v>
      </c>
      <c r="BV479" s="9">
        <v>1</v>
      </c>
      <c r="BW479" s="9">
        <v>3</v>
      </c>
      <c r="BX479" s="9">
        <v>2</v>
      </c>
      <c r="BY479" s="9">
        <v>2</v>
      </c>
      <c r="BZ479" s="9">
        <v>3</v>
      </c>
      <c r="CA479" s="9">
        <v>9</v>
      </c>
      <c r="CB479" s="9">
        <v>3</v>
      </c>
      <c r="CC479" s="9">
        <v>6</v>
      </c>
      <c r="CD479" s="9">
        <v>4</v>
      </c>
      <c r="CE479" s="9">
        <v>3</v>
      </c>
      <c r="CF479" s="9">
        <v>3</v>
      </c>
      <c r="CG479" s="9">
        <v>0</v>
      </c>
      <c r="CH479" s="9">
        <v>1</v>
      </c>
      <c r="CI479" s="9">
        <v>2</v>
      </c>
      <c r="CJ479" s="9">
        <v>7</v>
      </c>
      <c r="CK479" s="9">
        <v>2</v>
      </c>
      <c r="CL479" s="9">
        <v>2</v>
      </c>
      <c r="CM479" s="9">
        <v>5</v>
      </c>
      <c r="CN479" s="9">
        <v>3</v>
      </c>
      <c r="CO479" s="9">
        <v>9</v>
      </c>
      <c r="CP479" s="9">
        <v>6</v>
      </c>
      <c r="CQ479" s="9">
        <v>5</v>
      </c>
      <c r="CR479" s="9">
        <v>3</v>
      </c>
      <c r="CS479" s="10">
        <v>5</v>
      </c>
    </row>
    <row r="480" spans="1:97" x14ac:dyDescent="0.35">
      <c r="A480" s="8" t="s">
        <v>494</v>
      </c>
      <c r="B480" s="9" t="s">
        <v>509</v>
      </c>
      <c r="C480" s="9" t="s">
        <v>1290</v>
      </c>
      <c r="D480" s="9">
        <f t="shared" si="7"/>
        <v>25</v>
      </c>
      <c r="E480" s="9">
        <v>0</v>
      </c>
      <c r="F480" s="9">
        <v>0</v>
      </c>
      <c r="G480" s="9">
        <v>0</v>
      </c>
      <c r="H480" s="9">
        <v>0</v>
      </c>
      <c r="I480" s="9">
        <v>0</v>
      </c>
      <c r="J480" s="9">
        <v>0</v>
      </c>
      <c r="K480" s="9">
        <v>0</v>
      </c>
      <c r="L480" s="9">
        <v>0</v>
      </c>
      <c r="M480" s="9">
        <v>0</v>
      </c>
      <c r="N480" s="9">
        <v>0</v>
      </c>
      <c r="O480" s="9">
        <v>0</v>
      </c>
      <c r="P480" s="9">
        <v>0</v>
      </c>
      <c r="Q480" s="9">
        <v>0</v>
      </c>
      <c r="R480" s="9">
        <v>0</v>
      </c>
      <c r="S480" s="9">
        <v>0</v>
      </c>
      <c r="T480" s="9">
        <v>0</v>
      </c>
      <c r="U480" s="9">
        <v>0</v>
      </c>
      <c r="V480" s="9">
        <v>0</v>
      </c>
      <c r="W480" s="9">
        <v>0</v>
      </c>
      <c r="X480" s="9">
        <v>0</v>
      </c>
      <c r="Y480" s="9">
        <v>0</v>
      </c>
      <c r="Z480" s="9">
        <v>0</v>
      </c>
      <c r="AA480" s="9">
        <v>0</v>
      </c>
      <c r="AB480" s="9">
        <v>0</v>
      </c>
      <c r="AC480" s="9">
        <v>0</v>
      </c>
      <c r="AD480" s="9">
        <v>0</v>
      </c>
      <c r="AE480" s="9">
        <v>0</v>
      </c>
      <c r="AF480" s="9">
        <v>0</v>
      </c>
      <c r="AG480" s="9">
        <v>0</v>
      </c>
      <c r="AH480" s="9">
        <v>0</v>
      </c>
      <c r="AI480" s="9">
        <v>0</v>
      </c>
      <c r="AJ480" s="9">
        <v>0</v>
      </c>
      <c r="AK480" s="9">
        <v>0</v>
      </c>
      <c r="AL480" s="9">
        <v>0</v>
      </c>
      <c r="AM480" s="9">
        <v>0</v>
      </c>
      <c r="AN480" s="9">
        <v>0</v>
      </c>
      <c r="AO480" s="9">
        <v>0</v>
      </c>
      <c r="AP480" s="9">
        <v>0</v>
      </c>
      <c r="AQ480" s="9">
        <v>0</v>
      </c>
      <c r="AR480" s="9">
        <v>0</v>
      </c>
      <c r="AS480" s="9">
        <v>0</v>
      </c>
      <c r="AT480" s="9">
        <v>0</v>
      </c>
      <c r="AU480" s="9">
        <v>0</v>
      </c>
      <c r="AV480" s="9">
        <v>0</v>
      </c>
      <c r="AW480" s="9">
        <v>0</v>
      </c>
      <c r="AX480" s="9">
        <v>0</v>
      </c>
      <c r="AY480" s="9">
        <v>0</v>
      </c>
      <c r="AZ480" s="9">
        <v>0</v>
      </c>
      <c r="BA480" s="9">
        <v>0</v>
      </c>
      <c r="BB480" s="9">
        <v>0</v>
      </c>
      <c r="BC480" s="9">
        <v>0</v>
      </c>
      <c r="BD480" s="9">
        <v>0</v>
      </c>
      <c r="BE480" s="9">
        <v>0</v>
      </c>
      <c r="BF480" s="9">
        <v>0</v>
      </c>
      <c r="BG480" s="9">
        <v>0</v>
      </c>
      <c r="BH480" s="9">
        <v>0</v>
      </c>
      <c r="BI480" s="9">
        <v>0</v>
      </c>
      <c r="BJ480" s="9">
        <v>0</v>
      </c>
      <c r="BK480" s="9">
        <v>0</v>
      </c>
      <c r="BL480" s="9">
        <v>0</v>
      </c>
      <c r="BM480" s="9">
        <v>0</v>
      </c>
      <c r="BN480" s="9">
        <v>0</v>
      </c>
      <c r="BO480" s="9">
        <v>0</v>
      </c>
      <c r="BP480" s="9">
        <v>1</v>
      </c>
      <c r="BQ480" s="9">
        <v>1</v>
      </c>
      <c r="BR480" s="9">
        <v>1</v>
      </c>
      <c r="BS480" s="9">
        <v>1</v>
      </c>
      <c r="BT480" s="9">
        <v>1</v>
      </c>
      <c r="BU480" s="9">
        <v>1</v>
      </c>
      <c r="BV480" s="9">
        <v>0</v>
      </c>
      <c r="BW480" s="9">
        <v>2</v>
      </c>
      <c r="BX480" s="9">
        <v>2</v>
      </c>
      <c r="BY480" s="9">
        <v>0</v>
      </c>
      <c r="BZ480" s="9">
        <v>1</v>
      </c>
      <c r="CA480" s="9">
        <v>0</v>
      </c>
      <c r="CB480" s="9">
        <v>0</v>
      </c>
      <c r="CC480" s="9">
        <v>1</v>
      </c>
      <c r="CD480" s="9">
        <v>1</v>
      </c>
      <c r="CE480" s="9">
        <v>0</v>
      </c>
      <c r="CF480" s="9">
        <v>1</v>
      </c>
      <c r="CG480" s="9">
        <v>0</v>
      </c>
      <c r="CH480" s="9">
        <v>0</v>
      </c>
      <c r="CI480" s="9">
        <v>0</v>
      </c>
      <c r="CJ480" s="9">
        <v>0</v>
      </c>
      <c r="CK480" s="9">
        <v>0</v>
      </c>
      <c r="CL480" s="9">
        <v>2</v>
      </c>
      <c r="CM480" s="9">
        <v>3</v>
      </c>
      <c r="CN480" s="9">
        <v>2</v>
      </c>
      <c r="CO480" s="9">
        <v>1</v>
      </c>
      <c r="CP480" s="9">
        <v>1</v>
      </c>
      <c r="CQ480" s="9">
        <v>1</v>
      </c>
      <c r="CR480" s="9">
        <v>1</v>
      </c>
      <c r="CS480" s="10">
        <v>0</v>
      </c>
    </row>
    <row r="481" spans="1:97" x14ac:dyDescent="0.35">
      <c r="A481" s="8" t="s">
        <v>494</v>
      </c>
      <c r="B481" s="9" t="s">
        <v>511</v>
      </c>
      <c r="C481" s="9" t="s">
        <v>1291</v>
      </c>
      <c r="D481" s="9">
        <f t="shared" si="7"/>
        <v>25</v>
      </c>
      <c r="E481" s="9">
        <v>0</v>
      </c>
      <c r="F481" s="9">
        <v>0</v>
      </c>
      <c r="G481" s="9">
        <v>0</v>
      </c>
      <c r="H481" s="9">
        <v>0</v>
      </c>
      <c r="I481" s="9">
        <v>0</v>
      </c>
      <c r="J481" s="9">
        <v>0</v>
      </c>
      <c r="K481" s="9">
        <v>0</v>
      </c>
      <c r="L481" s="9">
        <v>0</v>
      </c>
      <c r="M481" s="9">
        <v>0</v>
      </c>
      <c r="N481" s="9">
        <v>0</v>
      </c>
      <c r="O481" s="9">
        <v>0</v>
      </c>
      <c r="P481" s="9">
        <v>0</v>
      </c>
      <c r="Q481" s="9">
        <v>0</v>
      </c>
      <c r="R481" s="9">
        <v>0</v>
      </c>
      <c r="S481" s="9">
        <v>0</v>
      </c>
      <c r="T481" s="9">
        <v>0</v>
      </c>
      <c r="U481" s="9">
        <v>0</v>
      </c>
      <c r="V481" s="9">
        <v>0</v>
      </c>
      <c r="W481" s="9">
        <v>0</v>
      </c>
      <c r="X481" s="9">
        <v>0</v>
      </c>
      <c r="Y481" s="9">
        <v>0</v>
      </c>
      <c r="Z481" s="9">
        <v>0</v>
      </c>
      <c r="AA481" s="9">
        <v>0</v>
      </c>
      <c r="AB481" s="9">
        <v>0</v>
      </c>
      <c r="AC481" s="9">
        <v>0</v>
      </c>
      <c r="AD481" s="9">
        <v>0</v>
      </c>
      <c r="AE481" s="9">
        <v>0</v>
      </c>
      <c r="AF481" s="9">
        <v>0</v>
      </c>
      <c r="AG481" s="9">
        <v>0</v>
      </c>
      <c r="AH481" s="9">
        <v>0</v>
      </c>
      <c r="AI481" s="9">
        <v>0</v>
      </c>
      <c r="AJ481" s="9">
        <v>0</v>
      </c>
      <c r="AK481" s="9">
        <v>0</v>
      </c>
      <c r="AL481" s="9">
        <v>0</v>
      </c>
      <c r="AM481" s="9">
        <v>0</v>
      </c>
      <c r="AN481" s="9">
        <v>0</v>
      </c>
      <c r="AO481" s="9">
        <v>0</v>
      </c>
      <c r="AP481" s="9">
        <v>0</v>
      </c>
      <c r="AQ481" s="9">
        <v>0</v>
      </c>
      <c r="AR481" s="9">
        <v>0</v>
      </c>
      <c r="AS481" s="9">
        <v>0</v>
      </c>
      <c r="AT481" s="9">
        <v>0</v>
      </c>
      <c r="AU481" s="9">
        <v>0</v>
      </c>
      <c r="AV481" s="9">
        <v>0</v>
      </c>
      <c r="AW481" s="9">
        <v>0</v>
      </c>
      <c r="AX481" s="9">
        <v>0</v>
      </c>
      <c r="AY481" s="9">
        <v>0</v>
      </c>
      <c r="AZ481" s="9">
        <v>0</v>
      </c>
      <c r="BA481" s="9">
        <v>0</v>
      </c>
      <c r="BB481" s="9">
        <v>0</v>
      </c>
      <c r="BC481" s="9">
        <v>0</v>
      </c>
      <c r="BD481" s="9">
        <v>0</v>
      </c>
      <c r="BE481" s="9">
        <v>0</v>
      </c>
      <c r="BF481" s="9">
        <v>1</v>
      </c>
      <c r="BG481" s="9">
        <v>0</v>
      </c>
      <c r="BH481" s="9">
        <v>0</v>
      </c>
      <c r="BI481" s="9">
        <v>0</v>
      </c>
      <c r="BJ481" s="9">
        <v>0</v>
      </c>
      <c r="BK481" s="9">
        <v>0</v>
      </c>
      <c r="BL481" s="9">
        <v>0</v>
      </c>
      <c r="BM481" s="9">
        <v>0</v>
      </c>
      <c r="BN481" s="9">
        <v>0</v>
      </c>
      <c r="BO481" s="9">
        <v>0</v>
      </c>
      <c r="BP481" s="9">
        <v>0</v>
      </c>
      <c r="BQ481" s="9">
        <v>0</v>
      </c>
      <c r="BR481" s="9">
        <v>0</v>
      </c>
      <c r="BS481" s="9">
        <v>0</v>
      </c>
      <c r="BT481" s="9">
        <v>0</v>
      </c>
      <c r="BU481" s="9">
        <v>0</v>
      </c>
      <c r="BV481" s="9">
        <v>0</v>
      </c>
      <c r="BW481" s="9">
        <v>0</v>
      </c>
      <c r="BX481" s="9">
        <v>0</v>
      </c>
      <c r="BY481" s="9">
        <v>1</v>
      </c>
      <c r="BZ481" s="9">
        <v>4</v>
      </c>
      <c r="CA481" s="9">
        <v>2</v>
      </c>
      <c r="CB481" s="9">
        <v>1</v>
      </c>
      <c r="CC481" s="9">
        <v>1</v>
      </c>
      <c r="CD481" s="9">
        <v>1</v>
      </c>
      <c r="CE481" s="9">
        <v>0</v>
      </c>
      <c r="CF481" s="9">
        <v>1</v>
      </c>
      <c r="CG481" s="9">
        <v>0</v>
      </c>
      <c r="CH481" s="9">
        <v>1</v>
      </c>
      <c r="CI481" s="9">
        <v>0</v>
      </c>
      <c r="CJ481" s="9">
        <v>0</v>
      </c>
      <c r="CK481" s="9">
        <v>3</v>
      </c>
      <c r="CL481" s="9">
        <v>0</v>
      </c>
      <c r="CM481" s="9">
        <v>1</v>
      </c>
      <c r="CN481" s="9">
        <v>4</v>
      </c>
      <c r="CO481" s="9">
        <v>2</v>
      </c>
      <c r="CP481" s="9">
        <v>0</v>
      </c>
      <c r="CQ481" s="9">
        <v>0</v>
      </c>
      <c r="CR481" s="9">
        <v>2</v>
      </c>
      <c r="CS481" s="10">
        <v>0</v>
      </c>
    </row>
    <row r="482" spans="1:97" x14ac:dyDescent="0.35">
      <c r="A482" s="8" t="s">
        <v>494</v>
      </c>
      <c r="B482" s="9" t="s">
        <v>513</v>
      </c>
      <c r="C482" s="9" t="s">
        <v>1292</v>
      </c>
      <c r="D482" s="9">
        <f t="shared" si="7"/>
        <v>59</v>
      </c>
      <c r="E482" s="9">
        <v>0</v>
      </c>
      <c r="F482" s="9">
        <v>0</v>
      </c>
      <c r="G482" s="9">
        <v>0</v>
      </c>
      <c r="H482" s="9">
        <v>0</v>
      </c>
      <c r="I482" s="9">
        <v>0</v>
      </c>
      <c r="J482" s="9">
        <v>0</v>
      </c>
      <c r="K482" s="9">
        <v>0</v>
      </c>
      <c r="L482" s="9">
        <v>0</v>
      </c>
      <c r="M482" s="9">
        <v>0</v>
      </c>
      <c r="N482" s="9">
        <v>0</v>
      </c>
      <c r="O482" s="9">
        <v>0</v>
      </c>
      <c r="P482" s="9">
        <v>0</v>
      </c>
      <c r="Q482" s="9">
        <v>0</v>
      </c>
      <c r="R482" s="9">
        <v>0</v>
      </c>
      <c r="S482" s="9">
        <v>0</v>
      </c>
      <c r="T482" s="9">
        <v>1</v>
      </c>
      <c r="U482" s="9">
        <v>0</v>
      </c>
      <c r="V482" s="9">
        <v>3</v>
      </c>
      <c r="W482" s="9">
        <v>0</v>
      </c>
      <c r="X482" s="9">
        <v>2</v>
      </c>
      <c r="Y482" s="9">
        <v>1</v>
      </c>
      <c r="Z482" s="9">
        <v>0</v>
      </c>
      <c r="AA482" s="9">
        <v>0</v>
      </c>
      <c r="AB482" s="9">
        <v>0</v>
      </c>
      <c r="AC482" s="9">
        <v>0</v>
      </c>
      <c r="AD482" s="9">
        <v>0</v>
      </c>
      <c r="AE482" s="9">
        <v>0</v>
      </c>
      <c r="AF482" s="9">
        <v>0</v>
      </c>
      <c r="AG482" s="9">
        <v>0</v>
      </c>
      <c r="AH482" s="9">
        <v>0</v>
      </c>
      <c r="AI482" s="9">
        <v>0</v>
      </c>
      <c r="AJ482" s="9">
        <v>0</v>
      </c>
      <c r="AK482" s="9">
        <v>1</v>
      </c>
      <c r="AL482" s="9">
        <v>0</v>
      </c>
      <c r="AM482" s="9">
        <v>0</v>
      </c>
      <c r="AN482" s="9">
        <v>0</v>
      </c>
      <c r="AO482" s="9">
        <v>0</v>
      </c>
      <c r="AP482" s="9">
        <v>0</v>
      </c>
      <c r="AQ482" s="9">
        <v>1</v>
      </c>
      <c r="AR482" s="9">
        <v>1</v>
      </c>
      <c r="AS482" s="9">
        <v>0</v>
      </c>
      <c r="AT482" s="9">
        <v>0</v>
      </c>
      <c r="AU482" s="9">
        <v>0</v>
      </c>
      <c r="AV482" s="9">
        <v>1</v>
      </c>
      <c r="AW482" s="9">
        <v>0</v>
      </c>
      <c r="AX482" s="9">
        <v>0</v>
      </c>
      <c r="AY482" s="9">
        <v>0</v>
      </c>
      <c r="AZ482" s="9">
        <v>0</v>
      </c>
      <c r="BA482" s="9">
        <v>0</v>
      </c>
      <c r="BB482" s="9">
        <v>0</v>
      </c>
      <c r="BC482" s="9">
        <v>1</v>
      </c>
      <c r="BD482" s="9">
        <v>0</v>
      </c>
      <c r="BE482" s="9">
        <v>0</v>
      </c>
      <c r="BF482" s="9">
        <v>0</v>
      </c>
      <c r="BG482" s="9">
        <v>1</v>
      </c>
      <c r="BH482" s="9">
        <v>0</v>
      </c>
      <c r="BI482" s="9">
        <v>0</v>
      </c>
      <c r="BJ482" s="9">
        <v>0</v>
      </c>
      <c r="BK482" s="9">
        <v>0</v>
      </c>
      <c r="BL482" s="9">
        <v>0</v>
      </c>
      <c r="BM482" s="9">
        <v>0</v>
      </c>
      <c r="BN482" s="9">
        <v>0</v>
      </c>
      <c r="BO482" s="9">
        <v>0</v>
      </c>
      <c r="BP482" s="9">
        <v>0</v>
      </c>
      <c r="BQ482" s="9">
        <v>0</v>
      </c>
      <c r="BR482" s="9">
        <v>1</v>
      </c>
      <c r="BS482" s="9">
        <v>0</v>
      </c>
      <c r="BT482" s="9">
        <v>1</v>
      </c>
      <c r="BU482" s="9">
        <v>0</v>
      </c>
      <c r="BV482" s="9">
        <v>0</v>
      </c>
      <c r="BW482" s="9">
        <v>1</v>
      </c>
      <c r="BX482" s="9">
        <v>0</v>
      </c>
      <c r="BY482" s="9">
        <v>3</v>
      </c>
      <c r="BZ482" s="9">
        <v>0</v>
      </c>
      <c r="CA482" s="9">
        <v>2</v>
      </c>
      <c r="CB482" s="9">
        <v>1</v>
      </c>
      <c r="CC482" s="9">
        <v>0</v>
      </c>
      <c r="CD482" s="9">
        <v>0</v>
      </c>
      <c r="CE482" s="9">
        <v>1</v>
      </c>
      <c r="CF482" s="9">
        <v>2</v>
      </c>
      <c r="CG482" s="9">
        <v>3</v>
      </c>
      <c r="CH482" s="9">
        <v>3</v>
      </c>
      <c r="CI482" s="9">
        <v>2</v>
      </c>
      <c r="CJ482" s="9">
        <v>0</v>
      </c>
      <c r="CK482" s="9">
        <v>4</v>
      </c>
      <c r="CL482" s="9">
        <v>3</v>
      </c>
      <c r="CM482" s="9">
        <v>5</v>
      </c>
      <c r="CN482" s="9">
        <v>1</v>
      </c>
      <c r="CO482" s="9">
        <v>3</v>
      </c>
      <c r="CP482" s="9">
        <v>3</v>
      </c>
      <c r="CQ482" s="9">
        <v>1</v>
      </c>
      <c r="CR482" s="9">
        <v>3</v>
      </c>
      <c r="CS482" s="10">
        <v>3</v>
      </c>
    </row>
    <row r="483" spans="1:97" x14ac:dyDescent="0.35">
      <c r="A483" s="8" t="s">
        <v>494</v>
      </c>
      <c r="B483" s="9" t="s">
        <v>1293</v>
      </c>
      <c r="C483" s="9" t="s">
        <v>1294</v>
      </c>
      <c r="D483" s="9">
        <f t="shared" si="7"/>
        <v>2</v>
      </c>
      <c r="E483" s="9">
        <v>0</v>
      </c>
      <c r="F483" s="9">
        <v>0</v>
      </c>
      <c r="G483" s="9">
        <v>0</v>
      </c>
      <c r="H483" s="9">
        <v>0</v>
      </c>
      <c r="I483" s="9">
        <v>0</v>
      </c>
      <c r="J483" s="9">
        <v>0</v>
      </c>
      <c r="K483" s="9">
        <v>0</v>
      </c>
      <c r="L483" s="9">
        <v>0</v>
      </c>
      <c r="M483" s="9">
        <v>0</v>
      </c>
      <c r="N483" s="9">
        <v>0</v>
      </c>
      <c r="O483" s="9">
        <v>0</v>
      </c>
      <c r="P483" s="9">
        <v>0</v>
      </c>
      <c r="Q483" s="9">
        <v>0</v>
      </c>
      <c r="R483" s="9">
        <v>0</v>
      </c>
      <c r="S483" s="9">
        <v>0</v>
      </c>
      <c r="T483" s="9">
        <v>0</v>
      </c>
      <c r="U483" s="9">
        <v>0</v>
      </c>
      <c r="V483" s="9">
        <v>0</v>
      </c>
      <c r="W483" s="9">
        <v>0</v>
      </c>
      <c r="X483" s="9">
        <v>0</v>
      </c>
      <c r="Y483" s="9">
        <v>0</v>
      </c>
      <c r="Z483" s="9">
        <v>0</v>
      </c>
      <c r="AA483" s="9">
        <v>0</v>
      </c>
      <c r="AB483" s="9">
        <v>0</v>
      </c>
      <c r="AC483" s="9">
        <v>0</v>
      </c>
      <c r="AD483" s="9">
        <v>0</v>
      </c>
      <c r="AE483" s="9">
        <v>1</v>
      </c>
      <c r="AF483" s="9">
        <v>0</v>
      </c>
      <c r="AG483" s="9">
        <v>0</v>
      </c>
      <c r="AH483" s="9">
        <v>0</v>
      </c>
      <c r="AI483" s="9">
        <v>0</v>
      </c>
      <c r="AJ483" s="9">
        <v>0</v>
      </c>
      <c r="AK483" s="9">
        <v>0</v>
      </c>
      <c r="AL483" s="9">
        <v>0</v>
      </c>
      <c r="AM483" s="9">
        <v>0</v>
      </c>
      <c r="AN483" s="9">
        <v>0</v>
      </c>
      <c r="AO483" s="9">
        <v>0</v>
      </c>
      <c r="AP483" s="9">
        <v>0</v>
      </c>
      <c r="AQ483" s="9">
        <v>0</v>
      </c>
      <c r="AR483" s="9">
        <v>0</v>
      </c>
      <c r="AS483" s="9">
        <v>0</v>
      </c>
      <c r="AT483" s="9">
        <v>0</v>
      </c>
      <c r="AU483" s="9">
        <v>0</v>
      </c>
      <c r="AV483" s="9">
        <v>0</v>
      </c>
      <c r="AW483" s="9">
        <v>0</v>
      </c>
      <c r="AX483" s="9">
        <v>0</v>
      </c>
      <c r="AY483" s="9">
        <v>0</v>
      </c>
      <c r="AZ483" s="9">
        <v>0</v>
      </c>
      <c r="BA483" s="9">
        <v>0</v>
      </c>
      <c r="BB483" s="9">
        <v>0</v>
      </c>
      <c r="BC483" s="9">
        <v>0</v>
      </c>
      <c r="BD483" s="9">
        <v>0</v>
      </c>
      <c r="BE483" s="9">
        <v>0</v>
      </c>
      <c r="BF483" s="9">
        <v>0</v>
      </c>
      <c r="BG483" s="9">
        <v>0</v>
      </c>
      <c r="BH483" s="9">
        <v>1</v>
      </c>
      <c r="BI483" s="9">
        <v>0</v>
      </c>
      <c r="BJ483" s="9">
        <v>0</v>
      </c>
      <c r="BK483" s="9">
        <v>0</v>
      </c>
      <c r="BL483" s="9">
        <v>0</v>
      </c>
      <c r="BM483" s="9">
        <v>0</v>
      </c>
      <c r="BN483" s="9">
        <v>0</v>
      </c>
      <c r="BO483" s="9">
        <v>0</v>
      </c>
      <c r="BP483" s="9">
        <v>0</v>
      </c>
      <c r="BQ483" s="9">
        <v>0</v>
      </c>
      <c r="BR483" s="9">
        <v>0</v>
      </c>
      <c r="BS483" s="9">
        <v>0</v>
      </c>
      <c r="BT483" s="9">
        <v>0</v>
      </c>
      <c r="BU483" s="9">
        <v>0</v>
      </c>
      <c r="BV483" s="9">
        <v>0</v>
      </c>
      <c r="BW483" s="9">
        <v>0</v>
      </c>
      <c r="BX483" s="9">
        <v>0</v>
      </c>
      <c r="BY483" s="9">
        <v>0</v>
      </c>
      <c r="BZ483" s="9">
        <v>0</v>
      </c>
      <c r="CA483" s="9">
        <v>0</v>
      </c>
      <c r="CB483" s="9">
        <v>0</v>
      </c>
      <c r="CC483" s="9">
        <v>0</v>
      </c>
      <c r="CD483" s="9">
        <v>0</v>
      </c>
      <c r="CE483" s="9">
        <v>0</v>
      </c>
      <c r="CF483" s="9">
        <v>0</v>
      </c>
      <c r="CG483" s="9">
        <v>0</v>
      </c>
      <c r="CH483" s="9">
        <v>0</v>
      </c>
      <c r="CI483" s="9">
        <v>0</v>
      </c>
      <c r="CJ483" s="9">
        <v>0</v>
      </c>
      <c r="CK483" s="9">
        <v>0</v>
      </c>
      <c r="CL483" s="9">
        <v>0</v>
      </c>
      <c r="CM483" s="9">
        <v>0</v>
      </c>
      <c r="CN483" s="9">
        <v>0</v>
      </c>
      <c r="CO483" s="9">
        <v>0</v>
      </c>
      <c r="CP483" s="9">
        <v>0</v>
      </c>
      <c r="CQ483" s="9">
        <v>0</v>
      </c>
      <c r="CR483" s="9">
        <v>0</v>
      </c>
      <c r="CS483" s="10">
        <v>0</v>
      </c>
    </row>
    <row r="484" spans="1:97" x14ac:dyDescent="0.35">
      <c r="A484" s="8" t="s">
        <v>494</v>
      </c>
      <c r="B484" s="9" t="s">
        <v>515</v>
      </c>
      <c r="C484" s="9" t="s">
        <v>1295</v>
      </c>
      <c r="D484" s="9">
        <f t="shared" si="7"/>
        <v>27</v>
      </c>
      <c r="E484" s="9">
        <v>0</v>
      </c>
      <c r="F484" s="9">
        <v>0</v>
      </c>
      <c r="G484" s="9">
        <v>0</v>
      </c>
      <c r="H484" s="9">
        <v>0</v>
      </c>
      <c r="I484" s="9">
        <v>0</v>
      </c>
      <c r="J484" s="9">
        <v>0</v>
      </c>
      <c r="K484" s="9">
        <v>0</v>
      </c>
      <c r="L484" s="9">
        <v>0</v>
      </c>
      <c r="M484" s="9">
        <v>0</v>
      </c>
      <c r="N484" s="9">
        <v>0</v>
      </c>
      <c r="O484" s="9">
        <v>0</v>
      </c>
      <c r="P484" s="9">
        <v>0</v>
      </c>
      <c r="Q484" s="9">
        <v>0</v>
      </c>
      <c r="R484" s="9">
        <v>0</v>
      </c>
      <c r="S484" s="9">
        <v>0</v>
      </c>
      <c r="T484" s="9">
        <v>0</v>
      </c>
      <c r="U484" s="9">
        <v>0</v>
      </c>
      <c r="V484" s="9">
        <v>0</v>
      </c>
      <c r="W484" s="9">
        <v>0</v>
      </c>
      <c r="X484" s="9">
        <v>0</v>
      </c>
      <c r="Y484" s="9">
        <v>0</v>
      </c>
      <c r="Z484" s="9">
        <v>0</v>
      </c>
      <c r="AA484" s="9">
        <v>0</v>
      </c>
      <c r="AB484" s="9">
        <v>0</v>
      </c>
      <c r="AC484" s="9">
        <v>0</v>
      </c>
      <c r="AD484" s="9">
        <v>0</v>
      </c>
      <c r="AE484" s="9">
        <v>0</v>
      </c>
      <c r="AF484" s="9">
        <v>0</v>
      </c>
      <c r="AG484" s="9">
        <v>0</v>
      </c>
      <c r="AH484" s="9">
        <v>0</v>
      </c>
      <c r="AI484" s="9">
        <v>0</v>
      </c>
      <c r="AJ484" s="9">
        <v>0</v>
      </c>
      <c r="AK484" s="9">
        <v>0</v>
      </c>
      <c r="AL484" s="9">
        <v>0</v>
      </c>
      <c r="AM484" s="9">
        <v>0</v>
      </c>
      <c r="AN484" s="9">
        <v>0</v>
      </c>
      <c r="AO484" s="9">
        <v>0</v>
      </c>
      <c r="AP484" s="9">
        <v>0</v>
      </c>
      <c r="AQ484" s="9">
        <v>0</v>
      </c>
      <c r="AR484" s="9">
        <v>0</v>
      </c>
      <c r="AS484" s="9">
        <v>0</v>
      </c>
      <c r="AT484" s="9">
        <v>0</v>
      </c>
      <c r="AU484" s="9">
        <v>0</v>
      </c>
      <c r="AV484" s="9">
        <v>0</v>
      </c>
      <c r="AW484" s="9">
        <v>0</v>
      </c>
      <c r="AX484" s="9">
        <v>0</v>
      </c>
      <c r="AY484" s="9">
        <v>0</v>
      </c>
      <c r="AZ484" s="9">
        <v>0</v>
      </c>
      <c r="BA484" s="9">
        <v>0</v>
      </c>
      <c r="BB484" s="9">
        <v>0</v>
      </c>
      <c r="BC484" s="9">
        <v>0</v>
      </c>
      <c r="BD484" s="9">
        <v>0</v>
      </c>
      <c r="BE484" s="9">
        <v>0</v>
      </c>
      <c r="BF484" s="9">
        <v>0</v>
      </c>
      <c r="BG484" s="9">
        <v>0</v>
      </c>
      <c r="BH484" s="9">
        <v>0</v>
      </c>
      <c r="BI484" s="9">
        <v>0</v>
      </c>
      <c r="BJ484" s="9">
        <v>0</v>
      </c>
      <c r="BK484" s="9">
        <v>0</v>
      </c>
      <c r="BL484" s="9">
        <v>0</v>
      </c>
      <c r="BM484" s="9">
        <v>0</v>
      </c>
      <c r="BN484" s="9">
        <v>0</v>
      </c>
      <c r="BO484" s="9">
        <v>0</v>
      </c>
      <c r="BP484" s="9">
        <v>0</v>
      </c>
      <c r="BQ484" s="9">
        <v>0</v>
      </c>
      <c r="BR484" s="9">
        <v>0</v>
      </c>
      <c r="BS484" s="9">
        <v>0</v>
      </c>
      <c r="BT484" s="9">
        <v>1</v>
      </c>
      <c r="BU484" s="9">
        <v>2</v>
      </c>
      <c r="BV484" s="9">
        <v>0</v>
      </c>
      <c r="BW484" s="9">
        <v>0</v>
      </c>
      <c r="BX484" s="9">
        <v>0</v>
      </c>
      <c r="BY484" s="9">
        <v>0</v>
      </c>
      <c r="BZ484" s="9">
        <v>0</v>
      </c>
      <c r="CA484" s="9">
        <v>0</v>
      </c>
      <c r="CB484" s="9">
        <v>1</v>
      </c>
      <c r="CC484" s="9">
        <v>1</v>
      </c>
      <c r="CD484" s="9">
        <v>0</v>
      </c>
      <c r="CE484" s="9">
        <v>0</v>
      </c>
      <c r="CF484" s="9">
        <v>0</v>
      </c>
      <c r="CG484" s="9">
        <v>0</v>
      </c>
      <c r="CH484" s="9">
        <v>1</v>
      </c>
      <c r="CI484" s="9">
        <v>0</v>
      </c>
      <c r="CJ484" s="9">
        <v>0</v>
      </c>
      <c r="CK484" s="9">
        <v>2</v>
      </c>
      <c r="CL484" s="9">
        <v>0</v>
      </c>
      <c r="CM484" s="9">
        <v>4</v>
      </c>
      <c r="CN484" s="9">
        <v>2</v>
      </c>
      <c r="CO484" s="9">
        <v>3</v>
      </c>
      <c r="CP484" s="9">
        <v>3</v>
      </c>
      <c r="CQ484" s="9">
        <v>1</v>
      </c>
      <c r="CR484" s="9">
        <v>0</v>
      </c>
      <c r="CS484" s="10">
        <v>6</v>
      </c>
    </row>
    <row r="485" spans="1:97" x14ac:dyDescent="0.35">
      <c r="A485" s="8" t="s">
        <v>494</v>
      </c>
      <c r="B485" s="9" t="s">
        <v>1296</v>
      </c>
      <c r="C485" s="9" t="s">
        <v>1297</v>
      </c>
      <c r="D485" s="9">
        <f t="shared" si="7"/>
        <v>3</v>
      </c>
      <c r="E485" s="9">
        <v>0</v>
      </c>
      <c r="F485" s="9">
        <v>0</v>
      </c>
      <c r="G485" s="9">
        <v>0</v>
      </c>
      <c r="H485" s="9">
        <v>0</v>
      </c>
      <c r="I485" s="9">
        <v>0</v>
      </c>
      <c r="J485" s="9">
        <v>0</v>
      </c>
      <c r="K485" s="9">
        <v>0</v>
      </c>
      <c r="L485" s="9">
        <v>0</v>
      </c>
      <c r="M485" s="9">
        <v>0</v>
      </c>
      <c r="N485" s="9">
        <v>0</v>
      </c>
      <c r="O485" s="9">
        <v>0</v>
      </c>
      <c r="P485" s="9">
        <v>0</v>
      </c>
      <c r="Q485" s="9">
        <v>0</v>
      </c>
      <c r="R485" s="9">
        <v>0</v>
      </c>
      <c r="S485" s="9">
        <v>0</v>
      </c>
      <c r="T485" s="9">
        <v>0</v>
      </c>
      <c r="U485" s="9">
        <v>0</v>
      </c>
      <c r="V485" s="9">
        <v>0</v>
      </c>
      <c r="W485" s="9">
        <v>0</v>
      </c>
      <c r="X485" s="9">
        <v>0</v>
      </c>
      <c r="Y485" s="9">
        <v>0</v>
      </c>
      <c r="Z485" s="9">
        <v>0</v>
      </c>
      <c r="AA485" s="9">
        <v>0</v>
      </c>
      <c r="AB485" s="9">
        <v>0</v>
      </c>
      <c r="AC485" s="9">
        <v>0</v>
      </c>
      <c r="AD485" s="9">
        <v>0</v>
      </c>
      <c r="AE485" s="9">
        <v>0</v>
      </c>
      <c r="AF485" s="9">
        <v>0</v>
      </c>
      <c r="AG485" s="9">
        <v>0</v>
      </c>
      <c r="AH485" s="9">
        <v>0</v>
      </c>
      <c r="AI485" s="9">
        <v>0</v>
      </c>
      <c r="AJ485" s="9">
        <v>0</v>
      </c>
      <c r="AK485" s="9">
        <v>0</v>
      </c>
      <c r="AL485" s="9">
        <v>0</v>
      </c>
      <c r="AM485" s="9">
        <v>0</v>
      </c>
      <c r="AN485" s="9">
        <v>0</v>
      </c>
      <c r="AO485" s="9">
        <v>0</v>
      </c>
      <c r="AP485" s="9">
        <v>0</v>
      </c>
      <c r="AQ485" s="9">
        <v>0</v>
      </c>
      <c r="AR485" s="9">
        <v>0</v>
      </c>
      <c r="AS485" s="9">
        <v>1</v>
      </c>
      <c r="AT485" s="9">
        <v>0</v>
      </c>
      <c r="AU485" s="9">
        <v>0</v>
      </c>
      <c r="AV485" s="9">
        <v>0</v>
      </c>
      <c r="AW485" s="9">
        <v>0</v>
      </c>
      <c r="AX485" s="9">
        <v>0</v>
      </c>
      <c r="AY485" s="9">
        <v>0</v>
      </c>
      <c r="AZ485" s="9">
        <v>0</v>
      </c>
      <c r="BA485" s="9">
        <v>1</v>
      </c>
      <c r="BB485" s="9">
        <v>0</v>
      </c>
      <c r="BC485" s="9">
        <v>0</v>
      </c>
      <c r="BD485" s="9">
        <v>0</v>
      </c>
      <c r="BE485" s="9">
        <v>0</v>
      </c>
      <c r="BF485" s="9">
        <v>0</v>
      </c>
      <c r="BG485" s="9">
        <v>0</v>
      </c>
      <c r="BH485" s="9">
        <v>0</v>
      </c>
      <c r="BI485" s="9">
        <v>0</v>
      </c>
      <c r="BJ485" s="9">
        <v>0</v>
      </c>
      <c r="BK485" s="9">
        <v>0</v>
      </c>
      <c r="BL485" s="9">
        <v>0</v>
      </c>
      <c r="BM485" s="9">
        <v>0</v>
      </c>
      <c r="BN485" s="9">
        <v>1</v>
      </c>
      <c r="BO485" s="9">
        <v>0</v>
      </c>
      <c r="BP485" s="9">
        <v>0</v>
      </c>
      <c r="BQ485" s="9">
        <v>0</v>
      </c>
      <c r="BR485" s="9">
        <v>0</v>
      </c>
      <c r="BS485" s="9">
        <v>0</v>
      </c>
      <c r="BT485" s="9">
        <v>0</v>
      </c>
      <c r="BU485" s="9">
        <v>0</v>
      </c>
      <c r="BV485" s="9">
        <v>0</v>
      </c>
      <c r="BW485" s="9">
        <v>0</v>
      </c>
      <c r="BX485" s="9">
        <v>0</v>
      </c>
      <c r="BY485" s="9">
        <v>0</v>
      </c>
      <c r="BZ485" s="9">
        <v>0</v>
      </c>
      <c r="CA485" s="9">
        <v>0</v>
      </c>
      <c r="CB485" s="9">
        <v>0</v>
      </c>
      <c r="CC485" s="9">
        <v>0</v>
      </c>
      <c r="CD485" s="9">
        <v>0</v>
      </c>
      <c r="CE485" s="9">
        <v>0</v>
      </c>
      <c r="CF485" s="9">
        <v>0</v>
      </c>
      <c r="CG485" s="9">
        <v>0</v>
      </c>
      <c r="CH485" s="9">
        <v>0</v>
      </c>
      <c r="CI485" s="9">
        <v>0</v>
      </c>
      <c r="CJ485" s="9">
        <v>0</v>
      </c>
      <c r="CK485" s="9">
        <v>0</v>
      </c>
      <c r="CL485" s="9">
        <v>0</v>
      </c>
      <c r="CM485" s="9">
        <v>0</v>
      </c>
      <c r="CN485" s="9">
        <v>0</v>
      </c>
      <c r="CO485" s="9">
        <v>0</v>
      </c>
      <c r="CP485" s="9">
        <v>0</v>
      </c>
      <c r="CQ485" s="9">
        <v>0</v>
      </c>
      <c r="CR485" s="9">
        <v>0</v>
      </c>
      <c r="CS485" s="10">
        <v>0</v>
      </c>
    </row>
    <row r="486" spans="1:97" x14ac:dyDescent="0.35">
      <c r="A486" s="8" t="s">
        <v>494</v>
      </c>
      <c r="B486" s="9" t="s">
        <v>517</v>
      </c>
      <c r="C486" s="9" t="s">
        <v>1298</v>
      </c>
      <c r="D486" s="9">
        <f t="shared" si="7"/>
        <v>21</v>
      </c>
      <c r="E486" s="9">
        <v>0</v>
      </c>
      <c r="F486" s="9">
        <v>0</v>
      </c>
      <c r="G486" s="9">
        <v>1</v>
      </c>
      <c r="H486" s="9">
        <v>1</v>
      </c>
      <c r="I486" s="9">
        <v>0</v>
      </c>
      <c r="J486" s="9">
        <v>0</v>
      </c>
      <c r="K486" s="9">
        <v>0</v>
      </c>
      <c r="L486" s="9">
        <v>0</v>
      </c>
      <c r="M486" s="9">
        <v>0</v>
      </c>
      <c r="N486" s="9">
        <v>0</v>
      </c>
      <c r="O486" s="9">
        <v>0</v>
      </c>
      <c r="P486" s="9">
        <v>0</v>
      </c>
      <c r="Q486" s="9">
        <v>0</v>
      </c>
      <c r="R486" s="9">
        <v>0</v>
      </c>
      <c r="S486" s="9">
        <v>0</v>
      </c>
      <c r="T486" s="9">
        <v>0</v>
      </c>
      <c r="U486" s="9">
        <v>0</v>
      </c>
      <c r="V486" s="9">
        <v>0</v>
      </c>
      <c r="W486" s="9">
        <v>0</v>
      </c>
      <c r="X486" s="9">
        <v>0</v>
      </c>
      <c r="Y486" s="9">
        <v>0</v>
      </c>
      <c r="Z486" s="9">
        <v>0</v>
      </c>
      <c r="AA486" s="9">
        <v>0</v>
      </c>
      <c r="AB486" s="9">
        <v>0</v>
      </c>
      <c r="AC486" s="9">
        <v>0</v>
      </c>
      <c r="AD486" s="9">
        <v>0</v>
      </c>
      <c r="AE486" s="9">
        <v>0</v>
      </c>
      <c r="AF486" s="9">
        <v>0</v>
      </c>
      <c r="AG486" s="9">
        <v>0</v>
      </c>
      <c r="AH486" s="9">
        <v>0</v>
      </c>
      <c r="AI486" s="9">
        <v>0</v>
      </c>
      <c r="AJ486" s="9">
        <v>0</v>
      </c>
      <c r="AK486" s="9">
        <v>0</v>
      </c>
      <c r="AL486" s="9">
        <v>0</v>
      </c>
      <c r="AM486" s="9">
        <v>0</v>
      </c>
      <c r="AN486" s="9">
        <v>0</v>
      </c>
      <c r="AO486" s="9">
        <v>0</v>
      </c>
      <c r="AP486" s="9">
        <v>0</v>
      </c>
      <c r="AQ486" s="9">
        <v>0</v>
      </c>
      <c r="AR486" s="9">
        <v>0</v>
      </c>
      <c r="AS486" s="9">
        <v>0</v>
      </c>
      <c r="AT486" s="9">
        <v>0</v>
      </c>
      <c r="AU486" s="9">
        <v>0</v>
      </c>
      <c r="AV486" s="9">
        <v>0</v>
      </c>
      <c r="AW486" s="9">
        <v>0</v>
      </c>
      <c r="AX486" s="9">
        <v>0</v>
      </c>
      <c r="AY486" s="9">
        <v>0</v>
      </c>
      <c r="AZ486" s="9">
        <v>0</v>
      </c>
      <c r="BA486" s="9">
        <v>0</v>
      </c>
      <c r="BB486" s="9">
        <v>0</v>
      </c>
      <c r="BC486" s="9">
        <v>0</v>
      </c>
      <c r="BD486" s="9">
        <v>0</v>
      </c>
      <c r="BE486" s="9">
        <v>0</v>
      </c>
      <c r="BF486" s="9">
        <v>0</v>
      </c>
      <c r="BG486" s="9">
        <v>0</v>
      </c>
      <c r="BH486" s="9">
        <v>0</v>
      </c>
      <c r="BI486" s="9">
        <v>0</v>
      </c>
      <c r="BJ486" s="9">
        <v>0</v>
      </c>
      <c r="BK486" s="9">
        <v>0</v>
      </c>
      <c r="BL486" s="9">
        <v>0</v>
      </c>
      <c r="BM486" s="9">
        <v>0</v>
      </c>
      <c r="BN486" s="9">
        <v>1</v>
      </c>
      <c r="BO486" s="9">
        <v>1</v>
      </c>
      <c r="BP486" s="9">
        <v>0</v>
      </c>
      <c r="BQ486" s="9">
        <v>1</v>
      </c>
      <c r="BR486" s="9">
        <v>0</v>
      </c>
      <c r="BS486" s="9">
        <v>1</v>
      </c>
      <c r="BT486" s="9">
        <v>1</v>
      </c>
      <c r="BU486" s="9">
        <v>1</v>
      </c>
      <c r="BV486" s="9">
        <v>0</v>
      </c>
      <c r="BW486" s="9">
        <v>2</v>
      </c>
      <c r="BX486" s="9">
        <v>0</v>
      </c>
      <c r="BY486" s="9">
        <v>3</v>
      </c>
      <c r="BZ486" s="9">
        <v>0</v>
      </c>
      <c r="CA486" s="9">
        <v>0</v>
      </c>
      <c r="CB486" s="9">
        <v>0</v>
      </c>
      <c r="CC486" s="9">
        <v>0</v>
      </c>
      <c r="CD486" s="9">
        <v>0</v>
      </c>
      <c r="CE486" s="9">
        <v>1</v>
      </c>
      <c r="CF486" s="9">
        <v>0</v>
      </c>
      <c r="CG486" s="9">
        <v>0</v>
      </c>
      <c r="CH486" s="9">
        <v>1</v>
      </c>
      <c r="CI486" s="9">
        <v>0</v>
      </c>
      <c r="CJ486" s="9">
        <v>1</v>
      </c>
      <c r="CK486" s="9">
        <v>0</v>
      </c>
      <c r="CL486" s="9">
        <v>0</v>
      </c>
      <c r="CM486" s="9">
        <v>0</v>
      </c>
      <c r="CN486" s="9">
        <v>1</v>
      </c>
      <c r="CO486" s="9">
        <v>0</v>
      </c>
      <c r="CP486" s="9">
        <v>1</v>
      </c>
      <c r="CQ486" s="9">
        <v>1</v>
      </c>
      <c r="CR486" s="9">
        <v>1</v>
      </c>
      <c r="CS486" s="10">
        <v>1</v>
      </c>
    </row>
    <row r="487" spans="1:97" x14ac:dyDescent="0.35">
      <c r="A487" s="8" t="s">
        <v>494</v>
      </c>
      <c r="B487" s="9" t="s">
        <v>519</v>
      </c>
      <c r="C487" s="9" t="s">
        <v>1299</v>
      </c>
      <c r="D487" s="9">
        <f t="shared" si="7"/>
        <v>54</v>
      </c>
      <c r="E487" s="9">
        <v>0</v>
      </c>
      <c r="F487" s="9">
        <v>0</v>
      </c>
      <c r="G487" s="9">
        <v>0</v>
      </c>
      <c r="H487" s="9">
        <v>0</v>
      </c>
      <c r="I487" s="9">
        <v>0</v>
      </c>
      <c r="J487" s="9">
        <v>0</v>
      </c>
      <c r="K487" s="9">
        <v>0</v>
      </c>
      <c r="L487" s="9">
        <v>0</v>
      </c>
      <c r="M487" s="9">
        <v>0</v>
      </c>
      <c r="N487" s="9">
        <v>0</v>
      </c>
      <c r="O487" s="9">
        <v>0</v>
      </c>
      <c r="P487" s="9">
        <v>0</v>
      </c>
      <c r="Q487" s="9">
        <v>0</v>
      </c>
      <c r="R487" s="9">
        <v>0</v>
      </c>
      <c r="S487" s="9">
        <v>0</v>
      </c>
      <c r="T487" s="9">
        <v>0</v>
      </c>
      <c r="U487" s="9">
        <v>0</v>
      </c>
      <c r="V487" s="9">
        <v>0</v>
      </c>
      <c r="W487" s="9">
        <v>0</v>
      </c>
      <c r="X487" s="9">
        <v>0</v>
      </c>
      <c r="Y487" s="9">
        <v>0</v>
      </c>
      <c r="Z487" s="9">
        <v>0</v>
      </c>
      <c r="AA487" s="9">
        <v>0</v>
      </c>
      <c r="AB487" s="9">
        <v>0</v>
      </c>
      <c r="AC487" s="9">
        <v>0</v>
      </c>
      <c r="AD487" s="9">
        <v>0</v>
      </c>
      <c r="AE487" s="9">
        <v>0</v>
      </c>
      <c r="AF487" s="9">
        <v>0</v>
      </c>
      <c r="AG487" s="9">
        <v>0</v>
      </c>
      <c r="AH487" s="9">
        <v>0</v>
      </c>
      <c r="AI487" s="9">
        <v>0</v>
      </c>
      <c r="AJ487" s="9">
        <v>1</v>
      </c>
      <c r="AK487" s="9">
        <v>1</v>
      </c>
      <c r="AL487" s="9">
        <v>0</v>
      </c>
      <c r="AM487" s="9">
        <v>0</v>
      </c>
      <c r="AN487" s="9">
        <v>0</v>
      </c>
      <c r="AO487" s="9">
        <v>0</v>
      </c>
      <c r="AP487" s="9">
        <v>0</v>
      </c>
      <c r="AQ487" s="9">
        <v>0</v>
      </c>
      <c r="AR487" s="9">
        <v>0</v>
      </c>
      <c r="AS487" s="9">
        <v>0</v>
      </c>
      <c r="AT487" s="9">
        <v>0</v>
      </c>
      <c r="AU487" s="9">
        <v>0</v>
      </c>
      <c r="AV487" s="9">
        <v>0</v>
      </c>
      <c r="AW487" s="9">
        <v>0</v>
      </c>
      <c r="AX487" s="9">
        <v>1</v>
      </c>
      <c r="AY487" s="9">
        <v>0</v>
      </c>
      <c r="AZ487" s="9">
        <v>0</v>
      </c>
      <c r="BA487" s="9">
        <v>0</v>
      </c>
      <c r="BB487" s="9">
        <v>0</v>
      </c>
      <c r="BC487" s="9">
        <v>1</v>
      </c>
      <c r="BD487" s="9">
        <v>0</v>
      </c>
      <c r="BE487" s="9">
        <v>0</v>
      </c>
      <c r="BF487" s="9">
        <v>1</v>
      </c>
      <c r="BG487" s="9">
        <v>0</v>
      </c>
      <c r="BH487" s="9">
        <v>0</v>
      </c>
      <c r="BI487" s="9">
        <v>0</v>
      </c>
      <c r="BJ487" s="9">
        <v>0</v>
      </c>
      <c r="BK487" s="9">
        <v>0</v>
      </c>
      <c r="BL487" s="9">
        <v>0</v>
      </c>
      <c r="BM487" s="9">
        <v>0</v>
      </c>
      <c r="BN487" s="9">
        <v>0</v>
      </c>
      <c r="BO487" s="9">
        <v>1</v>
      </c>
      <c r="BP487" s="9">
        <v>1</v>
      </c>
      <c r="BQ487" s="9">
        <v>0</v>
      </c>
      <c r="BR487" s="9">
        <v>1</v>
      </c>
      <c r="BS487" s="9">
        <v>2</v>
      </c>
      <c r="BT487" s="9">
        <v>0</v>
      </c>
      <c r="BU487" s="9">
        <v>0</v>
      </c>
      <c r="BV487" s="9">
        <v>0</v>
      </c>
      <c r="BW487" s="9">
        <v>1</v>
      </c>
      <c r="BX487" s="9">
        <v>0</v>
      </c>
      <c r="BY487" s="9">
        <v>1</v>
      </c>
      <c r="BZ487" s="9">
        <v>2</v>
      </c>
      <c r="CA487" s="9">
        <v>0</v>
      </c>
      <c r="CB487" s="9">
        <v>1</v>
      </c>
      <c r="CC487" s="9">
        <v>0</v>
      </c>
      <c r="CD487" s="9">
        <v>0</v>
      </c>
      <c r="CE487" s="9">
        <v>1</v>
      </c>
      <c r="CF487" s="9">
        <v>4</v>
      </c>
      <c r="CG487" s="9">
        <v>3</v>
      </c>
      <c r="CH487" s="9">
        <v>0</v>
      </c>
      <c r="CI487" s="9">
        <v>2</v>
      </c>
      <c r="CJ487" s="9">
        <v>0</v>
      </c>
      <c r="CK487" s="9">
        <v>2</v>
      </c>
      <c r="CL487" s="9">
        <v>2</v>
      </c>
      <c r="CM487" s="9">
        <v>3</v>
      </c>
      <c r="CN487" s="9">
        <v>6</v>
      </c>
      <c r="CO487" s="9">
        <v>6</v>
      </c>
      <c r="CP487" s="9">
        <v>2</v>
      </c>
      <c r="CQ487" s="9">
        <v>2</v>
      </c>
      <c r="CR487" s="9">
        <v>3</v>
      </c>
      <c r="CS487" s="10">
        <v>3</v>
      </c>
    </row>
    <row r="488" spans="1:97" x14ac:dyDescent="0.35">
      <c r="A488" s="8" t="s">
        <v>494</v>
      </c>
      <c r="B488" s="9" t="s">
        <v>521</v>
      </c>
      <c r="C488" s="9" t="s">
        <v>1300</v>
      </c>
      <c r="D488" s="9">
        <f t="shared" si="7"/>
        <v>143</v>
      </c>
      <c r="E488" s="9">
        <v>0</v>
      </c>
      <c r="F488" s="9">
        <v>0</v>
      </c>
      <c r="G488" s="9">
        <v>0</v>
      </c>
      <c r="H488" s="9">
        <v>0</v>
      </c>
      <c r="I488" s="9">
        <v>0</v>
      </c>
      <c r="J488" s="9">
        <v>0</v>
      </c>
      <c r="K488" s="9">
        <v>0</v>
      </c>
      <c r="L488" s="9">
        <v>0</v>
      </c>
      <c r="M488" s="9">
        <v>0</v>
      </c>
      <c r="N488" s="9">
        <v>0</v>
      </c>
      <c r="O488" s="9">
        <v>0</v>
      </c>
      <c r="P488" s="9">
        <v>0</v>
      </c>
      <c r="Q488" s="9">
        <v>0</v>
      </c>
      <c r="R488" s="9">
        <v>0</v>
      </c>
      <c r="S488" s="9">
        <v>0</v>
      </c>
      <c r="T488" s="9">
        <v>0</v>
      </c>
      <c r="U488" s="9">
        <v>0</v>
      </c>
      <c r="V488" s="9">
        <v>1</v>
      </c>
      <c r="W488" s="9">
        <v>1</v>
      </c>
      <c r="X488" s="9">
        <v>0</v>
      </c>
      <c r="Y488" s="9">
        <v>0</v>
      </c>
      <c r="Z488" s="9">
        <v>0</v>
      </c>
      <c r="AA488" s="9">
        <v>0</v>
      </c>
      <c r="AB488" s="9">
        <v>0</v>
      </c>
      <c r="AC488" s="9">
        <v>0</v>
      </c>
      <c r="AD488" s="9">
        <v>0</v>
      </c>
      <c r="AE488" s="9">
        <v>0</v>
      </c>
      <c r="AF488" s="9">
        <v>0</v>
      </c>
      <c r="AG488" s="9">
        <v>0</v>
      </c>
      <c r="AH488" s="9">
        <v>0</v>
      </c>
      <c r="AI488" s="9">
        <v>0</v>
      </c>
      <c r="AJ488" s="9">
        <v>0</v>
      </c>
      <c r="AK488" s="9">
        <v>0</v>
      </c>
      <c r="AL488" s="9">
        <v>0</v>
      </c>
      <c r="AM488" s="9">
        <v>0</v>
      </c>
      <c r="AN488" s="9">
        <v>0</v>
      </c>
      <c r="AO488" s="9">
        <v>0</v>
      </c>
      <c r="AP488" s="9">
        <v>0</v>
      </c>
      <c r="AQ488" s="9">
        <v>0</v>
      </c>
      <c r="AR488" s="9">
        <v>0</v>
      </c>
      <c r="AS488" s="9">
        <v>1</v>
      </c>
      <c r="AT488" s="9">
        <v>0</v>
      </c>
      <c r="AU488" s="9">
        <v>1</v>
      </c>
      <c r="AV488" s="9">
        <v>0</v>
      </c>
      <c r="AW488" s="9">
        <v>0</v>
      </c>
      <c r="AX488" s="9">
        <v>0</v>
      </c>
      <c r="AY488" s="9">
        <v>0</v>
      </c>
      <c r="AZ488" s="9">
        <v>0</v>
      </c>
      <c r="BA488" s="9">
        <v>0</v>
      </c>
      <c r="BB488" s="9">
        <v>0</v>
      </c>
      <c r="BC488" s="9">
        <v>0</v>
      </c>
      <c r="BD488" s="9">
        <v>0</v>
      </c>
      <c r="BE488" s="9">
        <v>0</v>
      </c>
      <c r="BF488" s="9">
        <v>0</v>
      </c>
      <c r="BG488" s="9">
        <v>0</v>
      </c>
      <c r="BH488" s="9">
        <v>1</v>
      </c>
      <c r="BI488" s="9">
        <v>1</v>
      </c>
      <c r="BJ488" s="9">
        <v>0</v>
      </c>
      <c r="BK488" s="9">
        <v>0</v>
      </c>
      <c r="BL488" s="9">
        <v>0</v>
      </c>
      <c r="BM488" s="9">
        <v>1</v>
      </c>
      <c r="BN488" s="9">
        <v>1</v>
      </c>
      <c r="BO488" s="9">
        <v>1</v>
      </c>
      <c r="BP488" s="9">
        <v>2</v>
      </c>
      <c r="BQ488" s="9">
        <v>1</v>
      </c>
      <c r="BR488" s="9">
        <v>1</v>
      </c>
      <c r="BS488" s="9">
        <v>0</v>
      </c>
      <c r="BT488" s="9">
        <v>2</v>
      </c>
      <c r="BU488" s="9">
        <v>2</v>
      </c>
      <c r="BV488" s="9">
        <v>1</v>
      </c>
      <c r="BW488" s="9">
        <v>1</v>
      </c>
      <c r="BX488" s="9">
        <v>0</v>
      </c>
      <c r="BY488" s="9">
        <v>1</v>
      </c>
      <c r="BZ488" s="9">
        <v>2</v>
      </c>
      <c r="CA488" s="9">
        <v>3</v>
      </c>
      <c r="CB488" s="9">
        <v>3</v>
      </c>
      <c r="CC488" s="9">
        <v>2</v>
      </c>
      <c r="CD488" s="9">
        <v>2</v>
      </c>
      <c r="CE488" s="9">
        <v>6</v>
      </c>
      <c r="CF488" s="9">
        <v>10</v>
      </c>
      <c r="CG488" s="9">
        <v>7</v>
      </c>
      <c r="CH488" s="9">
        <v>4</v>
      </c>
      <c r="CI488" s="9">
        <v>6</v>
      </c>
      <c r="CJ488" s="9">
        <v>6</v>
      </c>
      <c r="CK488" s="9">
        <v>3</v>
      </c>
      <c r="CL488" s="9">
        <v>5</v>
      </c>
      <c r="CM488" s="9">
        <v>10</v>
      </c>
      <c r="CN488" s="9">
        <v>8</v>
      </c>
      <c r="CO488" s="9">
        <v>8</v>
      </c>
      <c r="CP488" s="9">
        <v>5</v>
      </c>
      <c r="CQ488" s="9">
        <v>11</v>
      </c>
      <c r="CR488" s="9">
        <v>16</v>
      </c>
      <c r="CS488" s="10">
        <v>6</v>
      </c>
    </row>
    <row r="489" spans="1:97" x14ac:dyDescent="0.35">
      <c r="A489" s="8" t="s">
        <v>494</v>
      </c>
      <c r="B489" s="9" t="s">
        <v>523</v>
      </c>
      <c r="C489" s="9" t="s">
        <v>1301</v>
      </c>
      <c r="D489" s="9">
        <f t="shared" si="7"/>
        <v>1</v>
      </c>
      <c r="E489" s="9">
        <v>0</v>
      </c>
      <c r="F489" s="9">
        <v>0</v>
      </c>
      <c r="G489" s="9">
        <v>0</v>
      </c>
      <c r="H489" s="9">
        <v>0</v>
      </c>
      <c r="I489" s="9">
        <v>0</v>
      </c>
      <c r="J489" s="9">
        <v>0</v>
      </c>
      <c r="K489" s="9">
        <v>0</v>
      </c>
      <c r="L489" s="9">
        <v>0</v>
      </c>
      <c r="M489" s="9">
        <v>0</v>
      </c>
      <c r="N489" s="9">
        <v>0</v>
      </c>
      <c r="O489" s="9">
        <v>0</v>
      </c>
      <c r="P489" s="9">
        <v>0</v>
      </c>
      <c r="Q489" s="9">
        <v>0</v>
      </c>
      <c r="R489" s="9">
        <v>0</v>
      </c>
      <c r="S489" s="9">
        <v>0</v>
      </c>
      <c r="T489" s="9">
        <v>0</v>
      </c>
      <c r="U489" s="9">
        <v>0</v>
      </c>
      <c r="V489" s="9">
        <v>0</v>
      </c>
      <c r="W489" s="9">
        <v>0</v>
      </c>
      <c r="X489" s="9">
        <v>0</v>
      </c>
      <c r="Y489" s="9">
        <v>0</v>
      </c>
      <c r="Z489" s="9">
        <v>0</v>
      </c>
      <c r="AA489" s="9">
        <v>0</v>
      </c>
      <c r="AB489" s="9">
        <v>0</v>
      </c>
      <c r="AC489" s="9">
        <v>0</v>
      </c>
      <c r="AD489" s="9">
        <v>0</v>
      </c>
      <c r="AE489" s="9">
        <v>0</v>
      </c>
      <c r="AF489" s="9">
        <v>0</v>
      </c>
      <c r="AG489" s="9">
        <v>0</v>
      </c>
      <c r="AH489" s="9">
        <v>0</v>
      </c>
      <c r="AI489" s="9">
        <v>0</v>
      </c>
      <c r="AJ489" s="9">
        <v>0</v>
      </c>
      <c r="AK489" s="9">
        <v>0</v>
      </c>
      <c r="AL489" s="9">
        <v>0</v>
      </c>
      <c r="AM489" s="9">
        <v>0</v>
      </c>
      <c r="AN489" s="9">
        <v>0</v>
      </c>
      <c r="AO489" s="9">
        <v>0</v>
      </c>
      <c r="AP489" s="9">
        <v>0</v>
      </c>
      <c r="AQ489" s="9">
        <v>0</v>
      </c>
      <c r="AR489" s="9">
        <v>0</v>
      </c>
      <c r="AS489" s="9">
        <v>0</v>
      </c>
      <c r="AT489" s="9">
        <v>0</v>
      </c>
      <c r="AU489" s="9">
        <v>0</v>
      </c>
      <c r="AV489" s="9">
        <v>0</v>
      </c>
      <c r="AW489" s="9">
        <v>0</v>
      </c>
      <c r="AX489" s="9">
        <v>0</v>
      </c>
      <c r="AY489" s="9">
        <v>0</v>
      </c>
      <c r="AZ489" s="9">
        <v>0</v>
      </c>
      <c r="BA489" s="9">
        <v>0</v>
      </c>
      <c r="BB489" s="9">
        <v>1</v>
      </c>
      <c r="BC489" s="9">
        <v>0</v>
      </c>
      <c r="BD489" s="9">
        <v>0</v>
      </c>
      <c r="BE489" s="9">
        <v>0</v>
      </c>
      <c r="BF489" s="9">
        <v>0</v>
      </c>
      <c r="BG489" s="9">
        <v>0</v>
      </c>
      <c r="BH489" s="9">
        <v>0</v>
      </c>
      <c r="BI489" s="9">
        <v>0</v>
      </c>
      <c r="BJ489" s="9">
        <v>0</v>
      </c>
      <c r="BK489" s="9">
        <v>0</v>
      </c>
      <c r="BL489" s="9">
        <v>0</v>
      </c>
      <c r="BM489" s="9">
        <v>0</v>
      </c>
      <c r="BN489" s="9">
        <v>0</v>
      </c>
      <c r="BO489" s="9">
        <v>0</v>
      </c>
      <c r="BP489" s="9">
        <v>0</v>
      </c>
      <c r="BQ489" s="9">
        <v>0</v>
      </c>
      <c r="BR489" s="9">
        <v>0</v>
      </c>
      <c r="BS489" s="9">
        <v>0</v>
      </c>
      <c r="BT489" s="9">
        <v>0</v>
      </c>
      <c r="BU489" s="9">
        <v>0</v>
      </c>
      <c r="BV489" s="9">
        <v>0</v>
      </c>
      <c r="BW489" s="9">
        <v>0</v>
      </c>
      <c r="BX489" s="9">
        <v>0</v>
      </c>
      <c r="BY489" s="9">
        <v>0</v>
      </c>
      <c r="BZ489" s="9">
        <v>0</v>
      </c>
      <c r="CA489" s="9">
        <v>0</v>
      </c>
      <c r="CB489" s="9">
        <v>0</v>
      </c>
      <c r="CC489" s="9">
        <v>0</v>
      </c>
      <c r="CD489" s="9">
        <v>0</v>
      </c>
      <c r="CE489" s="9">
        <v>0</v>
      </c>
      <c r="CF489" s="9">
        <v>0</v>
      </c>
      <c r="CG489" s="9">
        <v>0</v>
      </c>
      <c r="CH489" s="9">
        <v>0</v>
      </c>
      <c r="CI489" s="9">
        <v>0</v>
      </c>
      <c r="CJ489" s="9">
        <v>0</v>
      </c>
      <c r="CK489" s="9">
        <v>0</v>
      </c>
      <c r="CL489" s="9">
        <v>0</v>
      </c>
      <c r="CM489" s="9">
        <v>0</v>
      </c>
      <c r="CN489" s="9">
        <v>0</v>
      </c>
      <c r="CO489" s="9">
        <v>0</v>
      </c>
      <c r="CP489" s="9">
        <v>0</v>
      </c>
      <c r="CQ489" s="9">
        <v>0</v>
      </c>
      <c r="CR489" s="9">
        <v>0</v>
      </c>
      <c r="CS489" s="10">
        <v>0</v>
      </c>
    </row>
    <row r="490" spans="1:97" x14ac:dyDescent="0.35">
      <c r="A490" s="8" t="s">
        <v>494</v>
      </c>
      <c r="B490" s="9" t="s">
        <v>525</v>
      </c>
      <c r="C490" s="9" t="s">
        <v>1302</v>
      </c>
      <c r="D490" s="9">
        <f t="shared" si="7"/>
        <v>112</v>
      </c>
      <c r="E490" s="9">
        <v>0</v>
      </c>
      <c r="F490" s="9">
        <v>0</v>
      </c>
      <c r="G490" s="9">
        <v>0</v>
      </c>
      <c r="H490" s="9">
        <v>0</v>
      </c>
      <c r="I490" s="9">
        <v>1</v>
      </c>
      <c r="J490" s="9">
        <v>0</v>
      </c>
      <c r="K490" s="9">
        <v>0</v>
      </c>
      <c r="L490" s="9">
        <v>0</v>
      </c>
      <c r="M490" s="9">
        <v>0</v>
      </c>
      <c r="N490" s="9">
        <v>0</v>
      </c>
      <c r="O490" s="9">
        <v>0</v>
      </c>
      <c r="P490" s="9">
        <v>0</v>
      </c>
      <c r="Q490" s="9">
        <v>0</v>
      </c>
      <c r="R490" s="9">
        <v>0</v>
      </c>
      <c r="S490" s="9">
        <v>0</v>
      </c>
      <c r="T490" s="9">
        <v>0</v>
      </c>
      <c r="U490" s="9">
        <v>0</v>
      </c>
      <c r="V490" s="9">
        <v>0</v>
      </c>
      <c r="W490" s="9">
        <v>0</v>
      </c>
      <c r="X490" s="9">
        <v>0</v>
      </c>
      <c r="Y490" s="9">
        <v>0</v>
      </c>
      <c r="Z490" s="9">
        <v>1</v>
      </c>
      <c r="AA490" s="9">
        <v>1</v>
      </c>
      <c r="AB490" s="9">
        <v>0</v>
      </c>
      <c r="AC490" s="9">
        <v>0</v>
      </c>
      <c r="AD490" s="9">
        <v>0</v>
      </c>
      <c r="AE490" s="9">
        <v>0</v>
      </c>
      <c r="AF490" s="9">
        <v>0</v>
      </c>
      <c r="AG490" s="9">
        <v>0</v>
      </c>
      <c r="AH490" s="9">
        <v>0</v>
      </c>
      <c r="AI490" s="9">
        <v>0</v>
      </c>
      <c r="AJ490" s="9">
        <v>0</v>
      </c>
      <c r="AK490" s="9">
        <v>0</v>
      </c>
      <c r="AL490" s="9">
        <v>0</v>
      </c>
      <c r="AM490" s="9">
        <v>0</v>
      </c>
      <c r="AN490" s="9">
        <v>0</v>
      </c>
      <c r="AO490" s="9">
        <v>1</v>
      </c>
      <c r="AP490" s="9">
        <v>0</v>
      </c>
      <c r="AQ490" s="9">
        <v>0</v>
      </c>
      <c r="AR490" s="9">
        <v>0</v>
      </c>
      <c r="AS490" s="9">
        <v>1</v>
      </c>
      <c r="AT490" s="9">
        <v>0</v>
      </c>
      <c r="AU490" s="9">
        <v>0</v>
      </c>
      <c r="AV490" s="9">
        <v>1</v>
      </c>
      <c r="AW490" s="9">
        <v>0</v>
      </c>
      <c r="AX490" s="9">
        <v>0</v>
      </c>
      <c r="AY490" s="9">
        <v>0</v>
      </c>
      <c r="AZ490" s="9">
        <v>0</v>
      </c>
      <c r="BA490" s="9">
        <v>0</v>
      </c>
      <c r="BB490" s="9">
        <v>1</v>
      </c>
      <c r="BC490" s="9">
        <v>1</v>
      </c>
      <c r="BD490" s="9">
        <v>2</v>
      </c>
      <c r="BE490" s="9">
        <v>2</v>
      </c>
      <c r="BF490" s="9">
        <v>0</v>
      </c>
      <c r="BG490" s="9">
        <v>0</v>
      </c>
      <c r="BH490" s="9">
        <v>1</v>
      </c>
      <c r="BI490" s="9">
        <v>0</v>
      </c>
      <c r="BJ490" s="9">
        <v>0</v>
      </c>
      <c r="BK490" s="9">
        <v>0</v>
      </c>
      <c r="BL490" s="9">
        <v>0</v>
      </c>
      <c r="BM490" s="9">
        <v>1</v>
      </c>
      <c r="BN490" s="9">
        <v>1</v>
      </c>
      <c r="BO490" s="9">
        <v>1</v>
      </c>
      <c r="BP490" s="9">
        <v>0</v>
      </c>
      <c r="BQ490" s="9">
        <v>0</v>
      </c>
      <c r="BR490" s="9">
        <v>0</v>
      </c>
      <c r="BS490" s="9">
        <v>0</v>
      </c>
      <c r="BT490" s="9">
        <v>4</v>
      </c>
      <c r="BU490" s="9">
        <v>1</v>
      </c>
      <c r="BV490" s="9">
        <v>2</v>
      </c>
      <c r="BW490" s="9">
        <v>1</v>
      </c>
      <c r="BX490" s="9">
        <v>5</v>
      </c>
      <c r="BY490" s="9">
        <v>2</v>
      </c>
      <c r="BZ490" s="9">
        <v>0</v>
      </c>
      <c r="CA490" s="9">
        <v>0</v>
      </c>
      <c r="CB490" s="9">
        <v>2</v>
      </c>
      <c r="CC490" s="9">
        <v>3</v>
      </c>
      <c r="CD490" s="9">
        <v>5</v>
      </c>
      <c r="CE490" s="9">
        <v>3</v>
      </c>
      <c r="CF490" s="9">
        <v>10</v>
      </c>
      <c r="CG490" s="9">
        <v>1</v>
      </c>
      <c r="CH490" s="9">
        <v>2</v>
      </c>
      <c r="CI490" s="9">
        <v>4</v>
      </c>
      <c r="CJ490" s="9">
        <v>2</v>
      </c>
      <c r="CK490" s="9">
        <v>2</v>
      </c>
      <c r="CL490" s="9">
        <v>5</v>
      </c>
      <c r="CM490" s="9">
        <v>9</v>
      </c>
      <c r="CN490" s="9">
        <v>5</v>
      </c>
      <c r="CO490" s="9">
        <v>6</v>
      </c>
      <c r="CP490" s="9">
        <v>7</v>
      </c>
      <c r="CQ490" s="9">
        <v>4</v>
      </c>
      <c r="CR490" s="9">
        <v>7</v>
      </c>
      <c r="CS490" s="10">
        <v>4</v>
      </c>
    </row>
    <row r="491" spans="1:97" x14ac:dyDescent="0.35">
      <c r="A491" s="8" t="s">
        <v>494</v>
      </c>
      <c r="B491" s="9" t="s">
        <v>527</v>
      </c>
      <c r="C491" s="9" t="s">
        <v>1303</v>
      </c>
      <c r="D491" s="9">
        <f t="shared" si="7"/>
        <v>96</v>
      </c>
      <c r="E491" s="9">
        <v>0</v>
      </c>
      <c r="F491" s="9">
        <v>2</v>
      </c>
      <c r="G491" s="9">
        <v>2</v>
      </c>
      <c r="H491" s="9">
        <v>0</v>
      </c>
      <c r="I491" s="9">
        <v>0</v>
      </c>
      <c r="J491" s="9">
        <v>0</v>
      </c>
      <c r="K491" s="9">
        <v>0</v>
      </c>
      <c r="L491" s="9">
        <v>1</v>
      </c>
      <c r="M491" s="9">
        <v>0</v>
      </c>
      <c r="N491" s="9">
        <v>1</v>
      </c>
      <c r="O491" s="9">
        <v>1</v>
      </c>
      <c r="P491" s="9">
        <v>3</v>
      </c>
      <c r="Q491" s="9">
        <v>0</v>
      </c>
      <c r="R491" s="9">
        <v>1</v>
      </c>
      <c r="S491" s="9">
        <v>1</v>
      </c>
      <c r="T491" s="9">
        <v>0</v>
      </c>
      <c r="U491" s="9">
        <v>0</v>
      </c>
      <c r="V491" s="9">
        <v>0</v>
      </c>
      <c r="W491" s="9">
        <v>1</v>
      </c>
      <c r="X491" s="9">
        <v>1</v>
      </c>
      <c r="Y491" s="9">
        <v>0</v>
      </c>
      <c r="Z491" s="9">
        <v>0</v>
      </c>
      <c r="AA491" s="9">
        <v>0</v>
      </c>
      <c r="AB491" s="9">
        <v>1</v>
      </c>
      <c r="AC491" s="9">
        <v>0</v>
      </c>
      <c r="AD491" s="9">
        <v>0</v>
      </c>
      <c r="AE491" s="9">
        <v>0</v>
      </c>
      <c r="AF491" s="9">
        <v>0</v>
      </c>
      <c r="AG491" s="9">
        <v>0</v>
      </c>
      <c r="AH491" s="9">
        <v>0</v>
      </c>
      <c r="AI491" s="9">
        <v>0</v>
      </c>
      <c r="AJ491" s="9">
        <v>0</v>
      </c>
      <c r="AK491" s="9">
        <v>0</v>
      </c>
      <c r="AL491" s="9">
        <v>0</v>
      </c>
      <c r="AM491" s="9">
        <v>1</v>
      </c>
      <c r="AN491" s="9">
        <v>0</v>
      </c>
      <c r="AO491" s="9">
        <v>0</v>
      </c>
      <c r="AP491" s="9">
        <v>0</v>
      </c>
      <c r="AQ491" s="9">
        <v>1</v>
      </c>
      <c r="AR491" s="9">
        <v>0</v>
      </c>
      <c r="AS491" s="9">
        <v>0</v>
      </c>
      <c r="AT491" s="9">
        <v>1</v>
      </c>
      <c r="AU491" s="9">
        <v>0</v>
      </c>
      <c r="AV491" s="9">
        <v>0</v>
      </c>
      <c r="AW491" s="9">
        <v>0</v>
      </c>
      <c r="AX491" s="9">
        <v>0</v>
      </c>
      <c r="AY491" s="9">
        <v>0</v>
      </c>
      <c r="AZ491" s="9">
        <v>0</v>
      </c>
      <c r="BA491" s="9">
        <v>0</v>
      </c>
      <c r="BB491" s="9">
        <v>1</v>
      </c>
      <c r="BC491" s="9">
        <v>0</v>
      </c>
      <c r="BD491" s="9">
        <v>1</v>
      </c>
      <c r="BE491" s="9">
        <v>0</v>
      </c>
      <c r="BF491" s="9">
        <v>0</v>
      </c>
      <c r="BG491" s="9">
        <v>0</v>
      </c>
      <c r="BH491" s="9">
        <v>0</v>
      </c>
      <c r="BI491" s="9">
        <v>0</v>
      </c>
      <c r="BJ491" s="9">
        <v>0</v>
      </c>
      <c r="BK491" s="9">
        <v>0</v>
      </c>
      <c r="BL491" s="9">
        <v>0</v>
      </c>
      <c r="BM491" s="9">
        <v>0</v>
      </c>
      <c r="BN491" s="9">
        <v>0</v>
      </c>
      <c r="BO491" s="9">
        <v>0</v>
      </c>
      <c r="BP491" s="9">
        <v>0</v>
      </c>
      <c r="BQ491" s="9">
        <v>0</v>
      </c>
      <c r="BR491" s="9">
        <v>1</v>
      </c>
      <c r="BS491" s="9">
        <v>3</v>
      </c>
      <c r="BT491" s="9">
        <v>1</v>
      </c>
      <c r="BU491" s="9">
        <v>1</v>
      </c>
      <c r="BV491" s="9">
        <v>2</v>
      </c>
      <c r="BW491" s="9">
        <v>0</v>
      </c>
      <c r="BX491" s="9">
        <v>6</v>
      </c>
      <c r="BY491" s="9">
        <v>1</v>
      </c>
      <c r="BZ491" s="9">
        <v>3</v>
      </c>
      <c r="CA491" s="9">
        <v>1</v>
      </c>
      <c r="CB491" s="9">
        <v>2</v>
      </c>
      <c r="CC491" s="9">
        <v>1</v>
      </c>
      <c r="CD491" s="9">
        <v>2</v>
      </c>
      <c r="CE491" s="9">
        <v>3</v>
      </c>
      <c r="CF491" s="9">
        <v>3</v>
      </c>
      <c r="CG491" s="9">
        <v>4</v>
      </c>
      <c r="CH491" s="9">
        <v>2</v>
      </c>
      <c r="CI491" s="9">
        <v>0</v>
      </c>
      <c r="CJ491" s="9">
        <v>5</v>
      </c>
      <c r="CK491" s="9">
        <v>0</v>
      </c>
      <c r="CL491" s="9">
        <v>5</v>
      </c>
      <c r="CM491" s="9">
        <v>4</v>
      </c>
      <c r="CN491" s="9">
        <v>4</v>
      </c>
      <c r="CO491" s="9">
        <v>4</v>
      </c>
      <c r="CP491" s="9">
        <v>2</v>
      </c>
      <c r="CQ491" s="9">
        <v>2</v>
      </c>
      <c r="CR491" s="9">
        <v>7</v>
      </c>
      <c r="CS491" s="10">
        <v>7</v>
      </c>
    </row>
    <row r="492" spans="1:97" x14ac:dyDescent="0.35">
      <c r="A492" s="8" t="s">
        <v>494</v>
      </c>
      <c r="B492" s="9" t="s">
        <v>529</v>
      </c>
      <c r="C492" s="9" t="s">
        <v>1304</v>
      </c>
      <c r="D492" s="9">
        <f t="shared" si="7"/>
        <v>18</v>
      </c>
      <c r="E492" s="9">
        <v>0</v>
      </c>
      <c r="F492" s="9">
        <v>0</v>
      </c>
      <c r="G492" s="9">
        <v>0</v>
      </c>
      <c r="H492" s="9">
        <v>0</v>
      </c>
      <c r="I492" s="9">
        <v>0</v>
      </c>
      <c r="J492" s="9">
        <v>0</v>
      </c>
      <c r="K492" s="9">
        <v>0</v>
      </c>
      <c r="L492" s="9">
        <v>0</v>
      </c>
      <c r="M492" s="9">
        <v>0</v>
      </c>
      <c r="N492" s="9">
        <v>0</v>
      </c>
      <c r="O492" s="9">
        <v>0</v>
      </c>
      <c r="P492" s="9">
        <v>0</v>
      </c>
      <c r="Q492" s="9">
        <v>0</v>
      </c>
      <c r="R492" s="9">
        <v>0</v>
      </c>
      <c r="S492" s="9">
        <v>0</v>
      </c>
      <c r="T492" s="9">
        <v>0</v>
      </c>
      <c r="U492" s="9">
        <v>0</v>
      </c>
      <c r="V492" s="9">
        <v>0</v>
      </c>
      <c r="W492" s="9">
        <v>0</v>
      </c>
      <c r="X492" s="9">
        <v>0</v>
      </c>
      <c r="Y492" s="9">
        <v>0</v>
      </c>
      <c r="Z492" s="9">
        <v>0</v>
      </c>
      <c r="AA492" s="9">
        <v>0</v>
      </c>
      <c r="AB492" s="9">
        <v>0</v>
      </c>
      <c r="AC492" s="9">
        <v>0</v>
      </c>
      <c r="AD492" s="9">
        <v>0</v>
      </c>
      <c r="AE492" s="9">
        <v>0</v>
      </c>
      <c r="AF492" s="9">
        <v>0</v>
      </c>
      <c r="AG492" s="9">
        <v>0</v>
      </c>
      <c r="AH492" s="9">
        <v>0</v>
      </c>
      <c r="AI492" s="9">
        <v>0</v>
      </c>
      <c r="AJ492" s="9">
        <v>0</v>
      </c>
      <c r="AK492" s="9">
        <v>0</v>
      </c>
      <c r="AL492" s="9">
        <v>0</v>
      </c>
      <c r="AM492" s="9">
        <v>0</v>
      </c>
      <c r="AN492" s="9">
        <v>0</v>
      </c>
      <c r="AO492" s="9">
        <v>0</v>
      </c>
      <c r="AP492" s="9">
        <v>0</v>
      </c>
      <c r="AQ492" s="9">
        <v>2</v>
      </c>
      <c r="AR492" s="9">
        <v>2</v>
      </c>
      <c r="AS492" s="9">
        <v>0</v>
      </c>
      <c r="AT492" s="9">
        <v>0</v>
      </c>
      <c r="AU492" s="9">
        <v>0</v>
      </c>
      <c r="AV492" s="9">
        <v>0</v>
      </c>
      <c r="AW492" s="9">
        <v>0</v>
      </c>
      <c r="AX492" s="9">
        <v>0</v>
      </c>
      <c r="AY492" s="9">
        <v>0</v>
      </c>
      <c r="AZ492" s="9">
        <v>0</v>
      </c>
      <c r="BA492" s="9">
        <v>0</v>
      </c>
      <c r="BB492" s="9">
        <v>0</v>
      </c>
      <c r="BC492" s="9">
        <v>0</v>
      </c>
      <c r="BD492" s="9">
        <v>0</v>
      </c>
      <c r="BE492" s="9">
        <v>0</v>
      </c>
      <c r="BF492" s="9">
        <v>0</v>
      </c>
      <c r="BG492" s="9">
        <v>0</v>
      </c>
      <c r="BH492" s="9">
        <v>0</v>
      </c>
      <c r="BI492" s="9">
        <v>0</v>
      </c>
      <c r="BJ492" s="9">
        <v>0</v>
      </c>
      <c r="BK492" s="9">
        <v>0</v>
      </c>
      <c r="BL492" s="9">
        <v>1</v>
      </c>
      <c r="BM492" s="9">
        <v>0</v>
      </c>
      <c r="BN492" s="9">
        <v>0</v>
      </c>
      <c r="BO492" s="9">
        <v>0</v>
      </c>
      <c r="BP492" s="9">
        <v>0</v>
      </c>
      <c r="BQ492" s="9">
        <v>1</v>
      </c>
      <c r="BR492" s="9">
        <v>0</v>
      </c>
      <c r="BS492" s="9">
        <v>0</v>
      </c>
      <c r="BT492" s="9">
        <v>0</v>
      </c>
      <c r="BU492" s="9">
        <v>2</v>
      </c>
      <c r="BV492" s="9">
        <v>0</v>
      </c>
      <c r="BW492" s="9">
        <v>0</v>
      </c>
      <c r="BX492" s="9">
        <v>0</v>
      </c>
      <c r="BY492" s="9">
        <v>1</v>
      </c>
      <c r="BZ492" s="9">
        <v>0</v>
      </c>
      <c r="CA492" s="9">
        <v>0</v>
      </c>
      <c r="CB492" s="9">
        <v>0</v>
      </c>
      <c r="CC492" s="9">
        <v>0</v>
      </c>
      <c r="CD492" s="9">
        <v>0</v>
      </c>
      <c r="CE492" s="9">
        <v>0</v>
      </c>
      <c r="CF492" s="9">
        <v>0</v>
      </c>
      <c r="CG492" s="9">
        <v>1</v>
      </c>
      <c r="CH492" s="9">
        <v>1</v>
      </c>
      <c r="CI492" s="9">
        <v>3</v>
      </c>
      <c r="CJ492" s="9">
        <v>0</v>
      </c>
      <c r="CK492" s="9">
        <v>0</v>
      </c>
      <c r="CL492" s="9">
        <v>0</v>
      </c>
      <c r="CM492" s="9">
        <v>1</v>
      </c>
      <c r="CN492" s="9">
        <v>1</v>
      </c>
      <c r="CO492" s="9">
        <v>0</v>
      </c>
      <c r="CP492" s="9">
        <v>0</v>
      </c>
      <c r="CQ492" s="9">
        <v>0</v>
      </c>
      <c r="CR492" s="9">
        <v>2</v>
      </c>
      <c r="CS492" s="10">
        <v>0</v>
      </c>
    </row>
    <row r="493" spans="1:97" x14ac:dyDescent="0.35">
      <c r="A493" s="8" t="s">
        <v>494</v>
      </c>
      <c r="B493" s="9" t="s">
        <v>533</v>
      </c>
      <c r="C493" s="9" t="s">
        <v>1305</v>
      </c>
      <c r="D493" s="9">
        <f t="shared" si="7"/>
        <v>131</v>
      </c>
      <c r="E493" s="9">
        <v>0</v>
      </c>
      <c r="F493" s="9">
        <v>0</v>
      </c>
      <c r="G493" s="9">
        <v>0</v>
      </c>
      <c r="H493" s="9">
        <v>1</v>
      </c>
      <c r="I493" s="9">
        <v>0</v>
      </c>
      <c r="J493" s="9">
        <v>0</v>
      </c>
      <c r="K493" s="9">
        <v>1</v>
      </c>
      <c r="L493" s="9">
        <v>0</v>
      </c>
      <c r="M493" s="9">
        <v>0</v>
      </c>
      <c r="N493" s="9">
        <v>0</v>
      </c>
      <c r="O493" s="9">
        <v>0</v>
      </c>
      <c r="P493" s="9">
        <v>1</v>
      </c>
      <c r="Q493" s="9">
        <v>0</v>
      </c>
      <c r="R493" s="9">
        <v>0</v>
      </c>
      <c r="S493" s="9">
        <v>0</v>
      </c>
      <c r="T493" s="9">
        <v>0</v>
      </c>
      <c r="U493" s="9">
        <v>0</v>
      </c>
      <c r="V493" s="9">
        <v>0</v>
      </c>
      <c r="W493" s="9">
        <v>0</v>
      </c>
      <c r="X493" s="9">
        <v>1</v>
      </c>
      <c r="Y493" s="9">
        <v>0</v>
      </c>
      <c r="Z493" s="9">
        <v>0</v>
      </c>
      <c r="AA493" s="9">
        <v>0</v>
      </c>
      <c r="AB493" s="9">
        <v>0</v>
      </c>
      <c r="AC493" s="9">
        <v>0</v>
      </c>
      <c r="AD493" s="9">
        <v>0</v>
      </c>
      <c r="AE493" s="9">
        <v>0</v>
      </c>
      <c r="AF493" s="9">
        <v>0</v>
      </c>
      <c r="AG493" s="9">
        <v>0</v>
      </c>
      <c r="AH493" s="9">
        <v>0</v>
      </c>
      <c r="AI493" s="9">
        <v>0</v>
      </c>
      <c r="AJ493" s="9">
        <v>0</v>
      </c>
      <c r="AK493" s="9">
        <v>0</v>
      </c>
      <c r="AL493" s="9">
        <v>0</v>
      </c>
      <c r="AM493" s="9">
        <v>0</v>
      </c>
      <c r="AN493" s="9">
        <v>1</v>
      </c>
      <c r="AO493" s="9">
        <v>0</v>
      </c>
      <c r="AP493" s="9">
        <v>1</v>
      </c>
      <c r="AQ493" s="9">
        <v>0</v>
      </c>
      <c r="AR493" s="9">
        <v>0</v>
      </c>
      <c r="AS493" s="9">
        <v>0</v>
      </c>
      <c r="AT493" s="9">
        <v>0</v>
      </c>
      <c r="AU493" s="9">
        <v>0</v>
      </c>
      <c r="AV493" s="9">
        <v>0</v>
      </c>
      <c r="AW493" s="9">
        <v>0</v>
      </c>
      <c r="AX493" s="9">
        <v>0</v>
      </c>
      <c r="AY493" s="9">
        <v>0</v>
      </c>
      <c r="AZ493" s="9">
        <v>0</v>
      </c>
      <c r="BA493" s="9">
        <v>0</v>
      </c>
      <c r="BB493" s="9">
        <v>2</v>
      </c>
      <c r="BC493" s="9">
        <v>1</v>
      </c>
      <c r="BD493" s="9">
        <v>2</v>
      </c>
      <c r="BE493" s="9">
        <v>4</v>
      </c>
      <c r="BF493" s="9">
        <v>0</v>
      </c>
      <c r="BG493" s="9">
        <v>4</v>
      </c>
      <c r="BH493" s="9">
        <v>0</v>
      </c>
      <c r="BI493" s="9">
        <v>0</v>
      </c>
      <c r="BJ493" s="9">
        <v>1</v>
      </c>
      <c r="BK493" s="9">
        <v>1</v>
      </c>
      <c r="BL493" s="9">
        <v>2</v>
      </c>
      <c r="BM493" s="9">
        <v>1</v>
      </c>
      <c r="BN493" s="9">
        <v>3</v>
      </c>
      <c r="BO493" s="9">
        <v>2</v>
      </c>
      <c r="BP493" s="9">
        <v>3</v>
      </c>
      <c r="BQ493" s="9">
        <v>2</v>
      </c>
      <c r="BR493" s="9">
        <v>1</v>
      </c>
      <c r="BS493" s="9">
        <v>0</v>
      </c>
      <c r="BT493" s="9">
        <v>4</v>
      </c>
      <c r="BU493" s="9">
        <v>5</v>
      </c>
      <c r="BV493" s="9">
        <v>1</v>
      </c>
      <c r="BW493" s="9">
        <v>2</v>
      </c>
      <c r="BX493" s="9">
        <v>4</v>
      </c>
      <c r="BY493" s="9">
        <v>5</v>
      </c>
      <c r="BZ493" s="9">
        <v>1</v>
      </c>
      <c r="CA493" s="9">
        <v>1</v>
      </c>
      <c r="CB493" s="9">
        <v>2</v>
      </c>
      <c r="CC493" s="9">
        <v>3</v>
      </c>
      <c r="CD493" s="9">
        <v>3</v>
      </c>
      <c r="CE493" s="9">
        <v>2</v>
      </c>
      <c r="CF493" s="9">
        <v>3</v>
      </c>
      <c r="CG493" s="9">
        <v>1</v>
      </c>
      <c r="CH493" s="9">
        <v>2</v>
      </c>
      <c r="CI493" s="9">
        <v>0</v>
      </c>
      <c r="CJ493" s="9">
        <v>1</v>
      </c>
      <c r="CK493" s="9">
        <v>1</v>
      </c>
      <c r="CL493" s="9">
        <v>3</v>
      </c>
      <c r="CM493" s="9">
        <v>8</v>
      </c>
      <c r="CN493" s="9">
        <v>3</v>
      </c>
      <c r="CO493" s="9">
        <v>4</v>
      </c>
      <c r="CP493" s="9">
        <v>7</v>
      </c>
      <c r="CQ493" s="9">
        <v>8</v>
      </c>
      <c r="CR493" s="9">
        <v>12</v>
      </c>
      <c r="CS493" s="10">
        <v>10</v>
      </c>
    </row>
    <row r="494" spans="1:97" x14ac:dyDescent="0.35">
      <c r="A494" s="8" t="s">
        <v>494</v>
      </c>
      <c r="B494" s="9" t="s">
        <v>535</v>
      </c>
      <c r="C494" s="9" t="s">
        <v>1306</v>
      </c>
      <c r="D494" s="9">
        <f t="shared" si="7"/>
        <v>3</v>
      </c>
      <c r="E494" s="9">
        <v>0</v>
      </c>
      <c r="F494" s="9">
        <v>0</v>
      </c>
      <c r="G494" s="9">
        <v>0</v>
      </c>
      <c r="H494" s="9">
        <v>0</v>
      </c>
      <c r="I494" s="9">
        <v>0</v>
      </c>
      <c r="J494" s="9">
        <v>0</v>
      </c>
      <c r="K494" s="9">
        <v>0</v>
      </c>
      <c r="L494" s="9">
        <v>0</v>
      </c>
      <c r="M494" s="9">
        <v>0</v>
      </c>
      <c r="N494" s="9">
        <v>0</v>
      </c>
      <c r="O494" s="9">
        <v>0</v>
      </c>
      <c r="P494" s="9">
        <v>0</v>
      </c>
      <c r="Q494" s="9">
        <v>0</v>
      </c>
      <c r="R494" s="9">
        <v>0</v>
      </c>
      <c r="S494" s="9">
        <v>0</v>
      </c>
      <c r="T494" s="9">
        <v>0</v>
      </c>
      <c r="U494" s="9">
        <v>0</v>
      </c>
      <c r="V494" s="9">
        <v>0</v>
      </c>
      <c r="W494" s="9">
        <v>0</v>
      </c>
      <c r="X494" s="9">
        <v>0</v>
      </c>
      <c r="Y494" s="9">
        <v>0</v>
      </c>
      <c r="Z494" s="9">
        <v>0</v>
      </c>
      <c r="AA494" s="9">
        <v>0</v>
      </c>
      <c r="AB494" s="9">
        <v>0</v>
      </c>
      <c r="AC494" s="9">
        <v>0</v>
      </c>
      <c r="AD494" s="9">
        <v>0</v>
      </c>
      <c r="AE494" s="9">
        <v>0</v>
      </c>
      <c r="AF494" s="9">
        <v>0</v>
      </c>
      <c r="AG494" s="9">
        <v>0</v>
      </c>
      <c r="AH494" s="9">
        <v>0</v>
      </c>
      <c r="AI494" s="9">
        <v>0</v>
      </c>
      <c r="AJ494" s="9">
        <v>0</v>
      </c>
      <c r="AK494" s="9">
        <v>0</v>
      </c>
      <c r="AL494" s="9">
        <v>0</v>
      </c>
      <c r="AM494" s="9">
        <v>0</v>
      </c>
      <c r="AN494" s="9">
        <v>0</v>
      </c>
      <c r="AO494" s="9">
        <v>0</v>
      </c>
      <c r="AP494" s="9">
        <v>0</v>
      </c>
      <c r="AQ494" s="9">
        <v>0</v>
      </c>
      <c r="AR494" s="9">
        <v>0</v>
      </c>
      <c r="AS494" s="9">
        <v>0</v>
      </c>
      <c r="AT494" s="9">
        <v>0</v>
      </c>
      <c r="AU494" s="9">
        <v>0</v>
      </c>
      <c r="AV494" s="9">
        <v>0</v>
      </c>
      <c r="AW494" s="9">
        <v>0</v>
      </c>
      <c r="AX494" s="9">
        <v>0</v>
      </c>
      <c r="AY494" s="9">
        <v>0</v>
      </c>
      <c r="AZ494" s="9">
        <v>0</v>
      </c>
      <c r="BA494" s="9">
        <v>0</v>
      </c>
      <c r="BB494" s="9">
        <v>0</v>
      </c>
      <c r="BC494" s="9">
        <v>0</v>
      </c>
      <c r="BD494" s="9">
        <v>0</v>
      </c>
      <c r="BE494" s="9">
        <v>0</v>
      </c>
      <c r="BF494" s="9">
        <v>0</v>
      </c>
      <c r="BG494" s="9">
        <v>0</v>
      </c>
      <c r="BH494" s="9">
        <v>0</v>
      </c>
      <c r="BI494" s="9">
        <v>0</v>
      </c>
      <c r="BJ494" s="9">
        <v>0</v>
      </c>
      <c r="BK494" s="9">
        <v>0</v>
      </c>
      <c r="BL494" s="9">
        <v>0</v>
      </c>
      <c r="BM494" s="9">
        <v>0</v>
      </c>
      <c r="BN494" s="9">
        <v>0</v>
      </c>
      <c r="BO494" s="9">
        <v>0</v>
      </c>
      <c r="BP494" s="9">
        <v>0</v>
      </c>
      <c r="BQ494" s="9">
        <v>0</v>
      </c>
      <c r="BR494" s="9">
        <v>0</v>
      </c>
      <c r="BS494" s="9">
        <v>1</v>
      </c>
      <c r="BT494" s="9">
        <v>0</v>
      </c>
      <c r="BU494" s="9">
        <v>0</v>
      </c>
      <c r="BV494" s="9">
        <v>0</v>
      </c>
      <c r="BW494" s="9">
        <v>0</v>
      </c>
      <c r="BX494" s="9">
        <v>0</v>
      </c>
      <c r="BY494" s="9">
        <v>0</v>
      </c>
      <c r="BZ494" s="9">
        <v>0</v>
      </c>
      <c r="CA494" s="9">
        <v>0</v>
      </c>
      <c r="CB494" s="9">
        <v>0</v>
      </c>
      <c r="CC494" s="9">
        <v>0</v>
      </c>
      <c r="CD494" s="9">
        <v>0</v>
      </c>
      <c r="CE494" s="9">
        <v>0</v>
      </c>
      <c r="CF494" s="9">
        <v>0</v>
      </c>
      <c r="CG494" s="9">
        <v>0</v>
      </c>
      <c r="CH494" s="9">
        <v>0</v>
      </c>
      <c r="CI494" s="9">
        <v>0</v>
      </c>
      <c r="CJ494" s="9">
        <v>0</v>
      </c>
      <c r="CK494" s="9">
        <v>0</v>
      </c>
      <c r="CL494" s="9">
        <v>0</v>
      </c>
      <c r="CM494" s="9">
        <v>0</v>
      </c>
      <c r="CN494" s="9">
        <v>0</v>
      </c>
      <c r="CO494" s="9">
        <v>0</v>
      </c>
      <c r="CP494" s="9">
        <v>0</v>
      </c>
      <c r="CQ494" s="9">
        <v>2</v>
      </c>
      <c r="CR494" s="9">
        <v>0</v>
      </c>
      <c r="CS494" s="10">
        <v>0</v>
      </c>
    </row>
    <row r="495" spans="1:97" x14ac:dyDescent="0.35">
      <c r="A495" s="8" t="s">
        <v>494</v>
      </c>
      <c r="B495" s="9" t="s">
        <v>537</v>
      </c>
      <c r="C495" s="9" t="s">
        <v>1307</v>
      </c>
      <c r="D495" s="9">
        <f t="shared" si="7"/>
        <v>192</v>
      </c>
      <c r="E495" s="9">
        <v>0</v>
      </c>
      <c r="F495" s="9">
        <v>1</v>
      </c>
      <c r="G495" s="9">
        <v>0</v>
      </c>
      <c r="H495" s="9">
        <v>1</v>
      </c>
      <c r="I495" s="9">
        <v>0</v>
      </c>
      <c r="J495" s="9">
        <v>0</v>
      </c>
      <c r="K495" s="9">
        <v>0</v>
      </c>
      <c r="L495" s="9">
        <v>0</v>
      </c>
      <c r="M495" s="9">
        <v>0</v>
      </c>
      <c r="N495" s="9">
        <v>1</v>
      </c>
      <c r="O495" s="9">
        <v>0</v>
      </c>
      <c r="P495" s="9">
        <v>0</v>
      </c>
      <c r="Q495" s="9">
        <v>0</v>
      </c>
      <c r="R495" s="9">
        <v>0</v>
      </c>
      <c r="S495" s="9">
        <v>0</v>
      </c>
      <c r="T495" s="9">
        <v>0</v>
      </c>
      <c r="U495" s="9">
        <v>0</v>
      </c>
      <c r="V495" s="9">
        <v>0</v>
      </c>
      <c r="W495" s="9">
        <v>0</v>
      </c>
      <c r="X495" s="9">
        <v>0</v>
      </c>
      <c r="Y495" s="9">
        <v>1</v>
      </c>
      <c r="Z495" s="9">
        <v>0</v>
      </c>
      <c r="AA495" s="9">
        <v>0</v>
      </c>
      <c r="AB495" s="9">
        <v>0</v>
      </c>
      <c r="AC495" s="9">
        <v>0</v>
      </c>
      <c r="AD495" s="9">
        <v>0</v>
      </c>
      <c r="AE495" s="9">
        <v>0</v>
      </c>
      <c r="AF495" s="9">
        <v>0</v>
      </c>
      <c r="AG495" s="9">
        <v>1</v>
      </c>
      <c r="AH495" s="9">
        <v>0</v>
      </c>
      <c r="AI495" s="9">
        <v>0</v>
      </c>
      <c r="AJ495" s="9">
        <v>0</v>
      </c>
      <c r="AK495" s="9">
        <v>0</v>
      </c>
      <c r="AL495" s="9">
        <v>0</v>
      </c>
      <c r="AM495" s="9">
        <v>0</v>
      </c>
      <c r="AN495" s="9">
        <v>0</v>
      </c>
      <c r="AO495" s="9">
        <v>0</v>
      </c>
      <c r="AP495" s="9">
        <v>0</v>
      </c>
      <c r="AQ495" s="9">
        <v>0</v>
      </c>
      <c r="AR495" s="9">
        <v>0</v>
      </c>
      <c r="AS495" s="9">
        <v>0</v>
      </c>
      <c r="AT495" s="9">
        <v>0</v>
      </c>
      <c r="AU495" s="9">
        <v>0</v>
      </c>
      <c r="AV495" s="9">
        <v>0</v>
      </c>
      <c r="AW495" s="9">
        <v>0</v>
      </c>
      <c r="AX495" s="9">
        <v>1</v>
      </c>
      <c r="AY495" s="9">
        <v>0</v>
      </c>
      <c r="AZ495" s="9">
        <v>1</v>
      </c>
      <c r="BA495" s="9">
        <v>0</v>
      </c>
      <c r="BB495" s="9">
        <v>0</v>
      </c>
      <c r="BC495" s="9">
        <v>0</v>
      </c>
      <c r="BD495" s="9">
        <v>1</v>
      </c>
      <c r="BE495" s="9">
        <v>1</v>
      </c>
      <c r="BF495" s="9">
        <v>0</v>
      </c>
      <c r="BG495" s="9">
        <v>0</v>
      </c>
      <c r="BH495" s="9">
        <v>2</v>
      </c>
      <c r="BI495" s="9">
        <v>1</v>
      </c>
      <c r="BJ495" s="9">
        <v>1</v>
      </c>
      <c r="BK495" s="9">
        <v>1</v>
      </c>
      <c r="BL495" s="9">
        <v>2</v>
      </c>
      <c r="BM495" s="9">
        <v>1</v>
      </c>
      <c r="BN495" s="9">
        <v>2</v>
      </c>
      <c r="BO495" s="9">
        <v>3</v>
      </c>
      <c r="BP495" s="9">
        <v>2</v>
      </c>
      <c r="BQ495" s="9">
        <v>1</v>
      </c>
      <c r="BR495" s="9">
        <v>2</v>
      </c>
      <c r="BS495" s="9">
        <v>0</v>
      </c>
      <c r="BT495" s="9">
        <v>2</v>
      </c>
      <c r="BU495" s="9">
        <v>3</v>
      </c>
      <c r="BV495" s="9">
        <v>2</v>
      </c>
      <c r="BW495" s="9">
        <v>5</v>
      </c>
      <c r="BX495" s="9">
        <v>4</v>
      </c>
      <c r="BY495" s="9">
        <v>3</v>
      </c>
      <c r="BZ495" s="9">
        <v>2</v>
      </c>
      <c r="CA495" s="9">
        <v>12</v>
      </c>
      <c r="CB495" s="9">
        <v>8</v>
      </c>
      <c r="CC495" s="9">
        <v>2</v>
      </c>
      <c r="CD495" s="9">
        <v>2</v>
      </c>
      <c r="CE495" s="9">
        <v>4</v>
      </c>
      <c r="CF495" s="9">
        <v>5</v>
      </c>
      <c r="CG495" s="9">
        <v>6</v>
      </c>
      <c r="CH495" s="9">
        <v>8</v>
      </c>
      <c r="CI495" s="9">
        <v>1</v>
      </c>
      <c r="CJ495" s="9">
        <v>2</v>
      </c>
      <c r="CK495" s="9">
        <v>9</v>
      </c>
      <c r="CL495" s="9">
        <v>4</v>
      </c>
      <c r="CM495" s="9">
        <v>18</v>
      </c>
      <c r="CN495" s="9">
        <v>7</v>
      </c>
      <c r="CO495" s="9">
        <v>7</v>
      </c>
      <c r="CP495" s="9">
        <v>9</v>
      </c>
      <c r="CQ495" s="9">
        <v>15</v>
      </c>
      <c r="CR495" s="9">
        <v>16</v>
      </c>
      <c r="CS495" s="10">
        <v>9</v>
      </c>
    </row>
    <row r="496" spans="1:97" x14ac:dyDescent="0.35">
      <c r="A496" s="8" t="s">
        <v>494</v>
      </c>
      <c r="B496" s="9" t="s">
        <v>539</v>
      </c>
      <c r="C496" s="9" t="s">
        <v>1308</v>
      </c>
      <c r="D496" s="9">
        <f t="shared" si="7"/>
        <v>9</v>
      </c>
      <c r="E496" s="9">
        <v>0</v>
      </c>
      <c r="F496" s="9">
        <v>0</v>
      </c>
      <c r="G496" s="9">
        <v>0</v>
      </c>
      <c r="H496" s="9">
        <v>0</v>
      </c>
      <c r="I496" s="9">
        <v>0</v>
      </c>
      <c r="J496" s="9">
        <v>0</v>
      </c>
      <c r="K496" s="9">
        <v>0</v>
      </c>
      <c r="L496" s="9">
        <v>0</v>
      </c>
      <c r="M496" s="9">
        <v>0</v>
      </c>
      <c r="N496" s="9">
        <v>0</v>
      </c>
      <c r="O496" s="9">
        <v>0</v>
      </c>
      <c r="P496" s="9">
        <v>0</v>
      </c>
      <c r="Q496" s="9">
        <v>0</v>
      </c>
      <c r="R496" s="9">
        <v>0</v>
      </c>
      <c r="S496" s="9">
        <v>0</v>
      </c>
      <c r="T496" s="9">
        <v>0</v>
      </c>
      <c r="U496" s="9">
        <v>0</v>
      </c>
      <c r="V496" s="9">
        <v>0</v>
      </c>
      <c r="W496" s="9">
        <v>0</v>
      </c>
      <c r="X496" s="9">
        <v>0</v>
      </c>
      <c r="Y496" s="9">
        <v>0</v>
      </c>
      <c r="Z496" s="9">
        <v>0</v>
      </c>
      <c r="AA496" s="9">
        <v>0</v>
      </c>
      <c r="AB496" s="9">
        <v>0</v>
      </c>
      <c r="AC496" s="9">
        <v>0</v>
      </c>
      <c r="AD496" s="9">
        <v>0</v>
      </c>
      <c r="AE496" s="9">
        <v>1</v>
      </c>
      <c r="AF496" s="9">
        <v>0</v>
      </c>
      <c r="AG496" s="9">
        <v>0</v>
      </c>
      <c r="AH496" s="9">
        <v>0</v>
      </c>
      <c r="AI496" s="9">
        <v>0</v>
      </c>
      <c r="AJ496" s="9">
        <v>0</v>
      </c>
      <c r="AK496" s="9">
        <v>0</v>
      </c>
      <c r="AL496" s="9">
        <v>0</v>
      </c>
      <c r="AM496" s="9">
        <v>0</v>
      </c>
      <c r="AN496" s="9">
        <v>0</v>
      </c>
      <c r="AO496" s="9">
        <v>0</v>
      </c>
      <c r="AP496" s="9">
        <v>0</v>
      </c>
      <c r="AQ496" s="9">
        <v>0</v>
      </c>
      <c r="AR496" s="9">
        <v>0</v>
      </c>
      <c r="AS496" s="9">
        <v>0</v>
      </c>
      <c r="AT496" s="9">
        <v>0</v>
      </c>
      <c r="AU496" s="9">
        <v>0</v>
      </c>
      <c r="AV496" s="9">
        <v>0</v>
      </c>
      <c r="AW496" s="9">
        <v>0</v>
      </c>
      <c r="AX496" s="9">
        <v>0</v>
      </c>
      <c r="AY496" s="9">
        <v>0</v>
      </c>
      <c r="AZ496" s="9">
        <v>0</v>
      </c>
      <c r="BA496" s="9">
        <v>0</v>
      </c>
      <c r="BB496" s="9">
        <v>0</v>
      </c>
      <c r="BC496" s="9">
        <v>0</v>
      </c>
      <c r="BD496" s="9">
        <v>0</v>
      </c>
      <c r="BE496" s="9">
        <v>0</v>
      </c>
      <c r="BF496" s="9">
        <v>0</v>
      </c>
      <c r="BG496" s="9">
        <v>0</v>
      </c>
      <c r="BH496" s="9">
        <v>0</v>
      </c>
      <c r="BI496" s="9">
        <v>0</v>
      </c>
      <c r="BJ496" s="9">
        <v>0</v>
      </c>
      <c r="BK496" s="9">
        <v>0</v>
      </c>
      <c r="BL496" s="9">
        <v>0</v>
      </c>
      <c r="BM496" s="9">
        <v>0</v>
      </c>
      <c r="BN496" s="9">
        <v>0</v>
      </c>
      <c r="BO496" s="9">
        <v>0</v>
      </c>
      <c r="BP496" s="9">
        <v>0</v>
      </c>
      <c r="BQ496" s="9">
        <v>0</v>
      </c>
      <c r="BR496" s="9">
        <v>1</v>
      </c>
      <c r="BS496" s="9">
        <v>1</v>
      </c>
      <c r="BT496" s="9">
        <v>0</v>
      </c>
      <c r="BU496" s="9">
        <v>0</v>
      </c>
      <c r="BV496" s="9">
        <v>0</v>
      </c>
      <c r="BW496" s="9">
        <v>0</v>
      </c>
      <c r="BX496" s="9">
        <v>0</v>
      </c>
      <c r="BY496" s="9">
        <v>0</v>
      </c>
      <c r="BZ496" s="9">
        <v>0</v>
      </c>
      <c r="CA496" s="9">
        <v>1</v>
      </c>
      <c r="CB496" s="9">
        <v>0</v>
      </c>
      <c r="CC496" s="9">
        <v>0</v>
      </c>
      <c r="CD496" s="9">
        <v>0</v>
      </c>
      <c r="CE496" s="9">
        <v>1</v>
      </c>
      <c r="CF496" s="9">
        <v>1</v>
      </c>
      <c r="CG496" s="9">
        <v>0</v>
      </c>
      <c r="CH496" s="9">
        <v>0</v>
      </c>
      <c r="CI496" s="9">
        <v>0</v>
      </c>
      <c r="CJ496" s="9">
        <v>0</v>
      </c>
      <c r="CK496" s="9">
        <v>1</v>
      </c>
      <c r="CL496" s="9">
        <v>0</v>
      </c>
      <c r="CM496" s="9">
        <v>0</v>
      </c>
      <c r="CN496" s="9">
        <v>0</v>
      </c>
      <c r="CO496" s="9">
        <v>0</v>
      </c>
      <c r="CP496" s="9">
        <v>0</v>
      </c>
      <c r="CQ496" s="9">
        <v>1</v>
      </c>
      <c r="CR496" s="9">
        <v>1</v>
      </c>
      <c r="CS496" s="10">
        <v>0</v>
      </c>
    </row>
    <row r="497" spans="1:97" x14ac:dyDescent="0.35">
      <c r="A497" s="11" t="s">
        <v>494</v>
      </c>
      <c r="B497" s="12" t="s">
        <v>541</v>
      </c>
      <c r="C497" s="12" t="s">
        <v>1309</v>
      </c>
      <c r="D497" s="12">
        <f t="shared" si="7"/>
        <v>0</v>
      </c>
      <c r="E497" s="12">
        <v>0</v>
      </c>
      <c r="F497" s="12">
        <v>0</v>
      </c>
      <c r="G497" s="12">
        <v>0</v>
      </c>
      <c r="H497" s="12">
        <v>0</v>
      </c>
      <c r="I497" s="12">
        <v>0</v>
      </c>
      <c r="J497" s="12">
        <v>0</v>
      </c>
      <c r="K497" s="12">
        <v>0</v>
      </c>
      <c r="L497" s="12">
        <v>0</v>
      </c>
      <c r="M497" s="12">
        <v>0</v>
      </c>
      <c r="N497" s="12">
        <v>0</v>
      </c>
      <c r="O497" s="12">
        <v>0</v>
      </c>
      <c r="P497" s="12">
        <v>0</v>
      </c>
      <c r="Q497" s="12">
        <v>0</v>
      </c>
      <c r="R497" s="12">
        <v>0</v>
      </c>
      <c r="S497" s="12">
        <v>0</v>
      </c>
      <c r="T497" s="12">
        <v>0</v>
      </c>
      <c r="U497" s="12">
        <v>0</v>
      </c>
      <c r="V497" s="12">
        <v>0</v>
      </c>
      <c r="W497" s="12">
        <v>0</v>
      </c>
      <c r="X497" s="12">
        <v>0</v>
      </c>
      <c r="Y497" s="12">
        <v>0</v>
      </c>
      <c r="Z497" s="12">
        <v>0</v>
      </c>
      <c r="AA497" s="12">
        <v>0</v>
      </c>
      <c r="AB497" s="12">
        <v>0</v>
      </c>
      <c r="AC497" s="12">
        <v>0</v>
      </c>
      <c r="AD497" s="12">
        <v>0</v>
      </c>
      <c r="AE497" s="12">
        <v>0</v>
      </c>
      <c r="AF497" s="12">
        <v>0</v>
      </c>
      <c r="AG497" s="12">
        <v>0</v>
      </c>
      <c r="AH497" s="12">
        <v>0</v>
      </c>
      <c r="AI497" s="12">
        <v>0</v>
      </c>
      <c r="AJ497" s="12">
        <v>0</v>
      </c>
      <c r="AK497" s="12">
        <v>0</v>
      </c>
      <c r="AL497" s="12">
        <v>0</v>
      </c>
      <c r="AM497" s="12">
        <v>0</v>
      </c>
      <c r="AN497" s="12">
        <v>0</v>
      </c>
      <c r="AO497" s="12">
        <v>0</v>
      </c>
      <c r="AP497" s="12">
        <v>0</v>
      </c>
      <c r="AQ497" s="12">
        <v>0</v>
      </c>
      <c r="AR497" s="12">
        <v>0</v>
      </c>
      <c r="AS497" s="12">
        <v>0</v>
      </c>
      <c r="AT497" s="12">
        <v>0</v>
      </c>
      <c r="AU497" s="12">
        <v>0</v>
      </c>
      <c r="AV497" s="12">
        <v>0</v>
      </c>
      <c r="AW497" s="12">
        <v>0</v>
      </c>
      <c r="AX497" s="12">
        <v>0</v>
      </c>
      <c r="AY497" s="12">
        <v>0</v>
      </c>
      <c r="AZ497" s="12">
        <v>0</v>
      </c>
      <c r="BA497" s="12">
        <v>0</v>
      </c>
      <c r="BB497" s="12">
        <v>0</v>
      </c>
      <c r="BC497" s="12">
        <v>0</v>
      </c>
      <c r="BD497" s="12">
        <v>0</v>
      </c>
      <c r="BE497" s="12">
        <v>0</v>
      </c>
      <c r="BF497" s="12">
        <v>0</v>
      </c>
      <c r="BG497" s="12">
        <v>0</v>
      </c>
      <c r="BH497" s="12">
        <v>0</v>
      </c>
      <c r="BI497" s="12">
        <v>0</v>
      </c>
      <c r="BJ497" s="12">
        <v>0</v>
      </c>
      <c r="BK497" s="12">
        <v>0</v>
      </c>
      <c r="BL497" s="12">
        <v>0</v>
      </c>
      <c r="BM497" s="12">
        <v>0</v>
      </c>
      <c r="BN497" s="12">
        <v>0</v>
      </c>
      <c r="BO497" s="12">
        <v>0</v>
      </c>
      <c r="BP497" s="12">
        <v>0</v>
      </c>
      <c r="BQ497" s="12">
        <v>0</v>
      </c>
      <c r="BR497" s="12">
        <v>0</v>
      </c>
      <c r="BS497" s="12">
        <v>0</v>
      </c>
      <c r="BT497" s="12">
        <v>0</v>
      </c>
      <c r="BU497" s="12">
        <v>0</v>
      </c>
      <c r="BV497" s="12">
        <v>0</v>
      </c>
      <c r="BW497" s="12">
        <v>0</v>
      </c>
      <c r="BX497" s="12">
        <v>0</v>
      </c>
      <c r="BY497" s="12">
        <v>0</v>
      </c>
      <c r="BZ497" s="12">
        <v>0</v>
      </c>
      <c r="CA497" s="12">
        <v>0</v>
      </c>
      <c r="CB497" s="12">
        <v>0</v>
      </c>
      <c r="CC497" s="12">
        <v>0</v>
      </c>
      <c r="CD497" s="12">
        <v>0</v>
      </c>
      <c r="CE497" s="12">
        <v>0</v>
      </c>
      <c r="CF497" s="12">
        <v>0</v>
      </c>
      <c r="CG497" s="12">
        <v>0</v>
      </c>
      <c r="CH497" s="12">
        <v>0</v>
      </c>
      <c r="CI497" s="12">
        <v>0</v>
      </c>
      <c r="CJ497" s="12">
        <v>0</v>
      </c>
      <c r="CK497" s="12">
        <v>0</v>
      </c>
      <c r="CL497" s="12">
        <v>0</v>
      </c>
      <c r="CM497" s="12">
        <v>0</v>
      </c>
      <c r="CN497" s="12">
        <v>0</v>
      </c>
      <c r="CO497" s="12">
        <v>0</v>
      </c>
      <c r="CP497" s="12">
        <v>0</v>
      </c>
      <c r="CQ497" s="12">
        <v>0</v>
      </c>
      <c r="CR497" s="12">
        <v>0</v>
      </c>
      <c r="CS497" s="1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1A50D-6453-4C8F-AD2D-564B3D473F48}">
  <sheetPr>
    <tabColor theme="5" tint="0.79998168889431442"/>
  </sheetPr>
  <dimension ref="A1:M572"/>
  <sheetViews>
    <sheetView topLeftCell="C540" workbookViewId="0">
      <selection activeCell="D553" sqref="D553"/>
    </sheetView>
  </sheetViews>
  <sheetFormatPr defaultRowHeight="14.5" x14ac:dyDescent="0.35"/>
  <cols>
    <col min="1" max="1" width="17.36328125" customWidth="1"/>
    <col min="3" max="3" width="85.90625" customWidth="1"/>
    <col min="4" max="4" width="29" customWidth="1"/>
    <col min="5" max="5" width="18.81640625" customWidth="1"/>
    <col min="6" max="6" width="19.1796875" customWidth="1"/>
    <col min="8" max="8" width="39.08984375" customWidth="1"/>
    <col min="9" max="10" width="21.6328125" customWidth="1"/>
    <col min="12" max="12" width="36.36328125" customWidth="1"/>
    <col min="13" max="13" width="20.1796875" customWidth="1"/>
  </cols>
  <sheetData>
    <row r="1" spans="1:13" s="19" customFormat="1" ht="53" customHeight="1" x14ac:dyDescent="0.35">
      <c r="A1" s="20" t="s">
        <v>548</v>
      </c>
      <c r="B1" s="20" t="s">
        <v>544</v>
      </c>
      <c r="C1" s="20" t="s">
        <v>1315</v>
      </c>
      <c r="D1" s="20" t="s">
        <v>1313</v>
      </c>
      <c r="E1" s="20" t="s">
        <v>1320</v>
      </c>
      <c r="F1" s="20" t="s">
        <v>1319</v>
      </c>
      <c r="G1" s="20" t="s">
        <v>1314</v>
      </c>
      <c r="H1" s="20" t="s">
        <v>1322</v>
      </c>
      <c r="I1" s="20" t="s">
        <v>1323</v>
      </c>
      <c r="J1" s="20" t="s">
        <v>1327</v>
      </c>
      <c r="L1" s="21" t="s">
        <v>1325</v>
      </c>
      <c r="M1" s="22" t="s">
        <v>1326</v>
      </c>
    </row>
    <row r="2" spans="1:13" x14ac:dyDescent="0.35">
      <c r="A2" t="s">
        <v>0</v>
      </c>
      <c r="B2" t="s">
        <v>1</v>
      </c>
      <c r="C2" t="s">
        <v>2</v>
      </c>
      <c r="D2" t="s">
        <v>1310</v>
      </c>
      <c r="E2">
        <f>IFERROR(VLOOKUP(C2,'New Adm Data (Mar to July)'!C:D,2,),"-")</f>
        <v>0</v>
      </c>
      <c r="F2" t="str">
        <f>IFERROR(VLOOKUP(D2,'New Adm Data (Aug to Nov)'!C:D,2,),"-")</f>
        <v>-</v>
      </c>
      <c r="G2" t="s">
        <v>1324</v>
      </c>
      <c r="H2" t="str">
        <f>IF(G2&lt;&gt;"Yes",IF(SUM(E2:F2)&gt;228,"Yes","No"),"No")</f>
        <v>No</v>
      </c>
      <c r="I2" t="str">
        <f>IF(G2="Yes",IF(SUM(E2:F2)&gt;228,"Yes","No"),"No")</f>
        <v>No</v>
      </c>
      <c r="J2" t="str">
        <f>IF(H2="Yes","Yes",IF(I2="Yes","Yes","No"))</f>
        <v>No</v>
      </c>
      <c r="L2" s="8" t="s">
        <v>1322</v>
      </c>
      <c r="M2" s="10">
        <f>COUNTIFS(H:H,"Yes")</f>
        <v>2</v>
      </c>
    </row>
    <row r="3" spans="1:13" x14ac:dyDescent="0.35">
      <c r="A3" t="s">
        <v>0</v>
      </c>
      <c r="B3" t="s">
        <v>3</v>
      </c>
      <c r="C3" t="s">
        <v>4</v>
      </c>
      <c r="D3" t="s">
        <v>1310</v>
      </c>
      <c r="E3">
        <f>IFERROR(VLOOKUP(C3,'New Adm Data (Mar to July)'!C:D,2,),"-")</f>
        <v>0</v>
      </c>
      <c r="F3" t="str">
        <f>IFERROR(VLOOKUP(D3,'New Adm Data (Aug to Nov)'!C:D,2,),"-")</f>
        <v>-</v>
      </c>
      <c r="G3" t="s">
        <v>1324</v>
      </c>
      <c r="H3" t="str">
        <f t="shared" ref="H3:H66" si="0">IF(G3&lt;&gt;"Yes",IF(SUM(E3:F3)&gt;228,"Yes","No"),"No")</f>
        <v>No</v>
      </c>
      <c r="I3" t="str">
        <f t="shared" ref="I3:I66" si="1">IF(G3="Yes",IF(SUM(E3:F3)&gt;228,"Yes","No"),"No")</f>
        <v>No</v>
      </c>
      <c r="J3" t="str">
        <f t="shared" ref="J3:J66" si="2">IF(H3="Yes","Yes",IF(I3="Yes","Yes","No"))</f>
        <v>No</v>
      </c>
      <c r="L3" s="11" t="s">
        <v>1323</v>
      </c>
      <c r="M3" s="13">
        <f>COUNTIFS(I:I,"Yes")</f>
        <v>76</v>
      </c>
    </row>
    <row r="4" spans="1:13" x14ac:dyDescent="0.35">
      <c r="A4" t="s">
        <v>0</v>
      </c>
      <c r="B4" t="s">
        <v>5</v>
      </c>
      <c r="C4" t="s">
        <v>6</v>
      </c>
      <c r="D4" t="s">
        <v>1310</v>
      </c>
      <c r="E4">
        <f>IFERROR(VLOOKUP(C4,'New Adm Data (Mar to July)'!C:D,2,),"-")</f>
        <v>0</v>
      </c>
      <c r="F4" t="str">
        <f>IFERROR(VLOOKUP(D4,'New Adm Data (Aug to Nov)'!C:D,2,),"-")</f>
        <v>-</v>
      </c>
      <c r="G4" t="s">
        <v>1324</v>
      </c>
      <c r="H4" t="str">
        <f t="shared" si="0"/>
        <v>No</v>
      </c>
      <c r="I4" t="str">
        <f t="shared" si="1"/>
        <v>No</v>
      </c>
      <c r="J4" t="str">
        <f t="shared" si="2"/>
        <v>No</v>
      </c>
      <c r="L4" s="23" t="s">
        <v>546</v>
      </c>
      <c r="M4" s="24">
        <f>COUNTIFS(J:J,"Yes")</f>
        <v>78</v>
      </c>
    </row>
    <row r="5" spans="1:13" x14ac:dyDescent="0.35">
      <c r="A5" t="s">
        <v>0</v>
      </c>
      <c r="B5" t="s">
        <v>7</v>
      </c>
      <c r="C5" t="s">
        <v>8</v>
      </c>
      <c r="D5" t="s">
        <v>1310</v>
      </c>
      <c r="E5">
        <f>IFERROR(VLOOKUP(C5,'New Adm Data (Mar to July)'!C:D,2,),"-")</f>
        <v>0</v>
      </c>
      <c r="F5" t="str">
        <f>IFERROR(VLOOKUP(D5,'New Adm Data (Aug to Nov)'!C:D,2,),"-")</f>
        <v>-</v>
      </c>
      <c r="G5" t="s">
        <v>1324</v>
      </c>
      <c r="H5" t="str">
        <f t="shared" si="0"/>
        <v>No</v>
      </c>
      <c r="I5" t="str">
        <f t="shared" si="1"/>
        <v>No</v>
      </c>
      <c r="J5" t="str">
        <f t="shared" si="2"/>
        <v>No</v>
      </c>
    </row>
    <row r="6" spans="1:13" x14ac:dyDescent="0.35">
      <c r="A6" t="s">
        <v>0</v>
      </c>
      <c r="B6" t="s">
        <v>9</v>
      </c>
      <c r="C6" t="s">
        <v>10</v>
      </c>
      <c r="D6" t="s">
        <v>560</v>
      </c>
      <c r="E6">
        <f>IFERROR(VLOOKUP(C6,'New Adm Data (Mar to July)'!C:D,2,),"-")</f>
        <v>7</v>
      </c>
      <c r="F6">
        <f>IFERROR(VLOOKUP(D6,'New Adm Data (Aug to Nov)'!C:D,2,),"-")</f>
        <v>0</v>
      </c>
      <c r="G6" t="s">
        <v>1316</v>
      </c>
      <c r="H6" t="str">
        <f t="shared" si="0"/>
        <v>No</v>
      </c>
      <c r="I6" t="str">
        <f t="shared" si="1"/>
        <v>No</v>
      </c>
      <c r="J6" t="str">
        <f t="shared" si="2"/>
        <v>No</v>
      </c>
    </row>
    <row r="7" spans="1:13" x14ac:dyDescent="0.35">
      <c r="A7" t="s">
        <v>0</v>
      </c>
      <c r="B7" t="s">
        <v>11</v>
      </c>
      <c r="C7" t="s">
        <v>12</v>
      </c>
      <c r="D7" t="s">
        <v>1310</v>
      </c>
      <c r="E7">
        <f>IFERROR(VLOOKUP(C7,'New Adm Data (Mar to July)'!C:D,2,),"-")</f>
        <v>0</v>
      </c>
      <c r="F7" t="str">
        <f>IFERROR(VLOOKUP(D7,'New Adm Data (Aug to Nov)'!C:D,2,),"-")</f>
        <v>-</v>
      </c>
      <c r="G7" t="s">
        <v>1324</v>
      </c>
      <c r="H7" t="str">
        <f t="shared" si="0"/>
        <v>No</v>
      </c>
      <c r="I7" t="str">
        <f t="shared" si="1"/>
        <v>No</v>
      </c>
      <c r="J7" t="str">
        <f t="shared" si="2"/>
        <v>No</v>
      </c>
    </row>
    <row r="8" spans="1:13" x14ac:dyDescent="0.35">
      <c r="A8" t="s">
        <v>0</v>
      </c>
      <c r="B8" t="s">
        <v>13</v>
      </c>
      <c r="C8" t="s">
        <v>14</v>
      </c>
      <c r="D8" t="s">
        <v>1310</v>
      </c>
      <c r="E8">
        <f>IFERROR(VLOOKUP(C8,'New Adm Data (Mar to July)'!C:D,2,),"-")</f>
        <v>0</v>
      </c>
      <c r="F8" t="str">
        <f>IFERROR(VLOOKUP(D8,'New Adm Data (Aug to Nov)'!C:D,2,),"-")</f>
        <v>-</v>
      </c>
      <c r="G8" t="s">
        <v>1324</v>
      </c>
      <c r="H8" t="str">
        <f t="shared" si="0"/>
        <v>No</v>
      </c>
      <c r="I8" t="str">
        <f t="shared" si="1"/>
        <v>No</v>
      </c>
      <c r="J8" t="str">
        <f t="shared" si="2"/>
        <v>No</v>
      </c>
    </row>
    <row r="9" spans="1:13" x14ac:dyDescent="0.35">
      <c r="A9" t="s">
        <v>0</v>
      </c>
      <c r="B9" t="s">
        <v>15</v>
      </c>
      <c r="C9" t="s">
        <v>16</v>
      </c>
      <c r="D9" t="s">
        <v>570</v>
      </c>
      <c r="E9">
        <f>IFERROR(VLOOKUP(C9,'New Adm Data (Mar to July)'!C:D,2,),"-")</f>
        <v>54</v>
      </c>
      <c r="F9">
        <f>IFERROR(VLOOKUP(D9,'New Adm Data (Aug to Nov)'!C:D,2,),"-")</f>
        <v>5</v>
      </c>
      <c r="G9" t="s">
        <v>1316</v>
      </c>
      <c r="H9" t="str">
        <f t="shared" si="0"/>
        <v>No</v>
      </c>
      <c r="I9" t="str">
        <f t="shared" si="1"/>
        <v>No</v>
      </c>
      <c r="J9" t="str">
        <f t="shared" si="2"/>
        <v>No</v>
      </c>
    </row>
    <row r="10" spans="1:13" x14ac:dyDescent="0.35">
      <c r="A10" t="s">
        <v>0</v>
      </c>
      <c r="B10" t="s">
        <v>17</v>
      </c>
      <c r="C10" t="s">
        <v>18</v>
      </c>
      <c r="D10" t="s">
        <v>571</v>
      </c>
      <c r="E10">
        <f>IFERROR(VLOOKUP(C10,'New Adm Data (Mar to July)'!C:D,2,),"-")</f>
        <v>23</v>
      </c>
      <c r="F10">
        <f>IFERROR(VLOOKUP(D10,'New Adm Data (Aug to Nov)'!C:D,2,),"-")</f>
        <v>0</v>
      </c>
      <c r="G10" t="s">
        <v>1316</v>
      </c>
      <c r="H10" t="str">
        <f t="shared" si="0"/>
        <v>No</v>
      </c>
      <c r="I10" t="str">
        <f t="shared" si="1"/>
        <v>No</v>
      </c>
      <c r="J10" t="str">
        <f t="shared" si="2"/>
        <v>No</v>
      </c>
    </row>
    <row r="11" spans="1:13" x14ac:dyDescent="0.35">
      <c r="A11" t="s">
        <v>0</v>
      </c>
      <c r="B11" t="s">
        <v>19</v>
      </c>
      <c r="C11" t="s">
        <v>20</v>
      </c>
      <c r="D11" t="s">
        <v>1310</v>
      </c>
      <c r="E11">
        <f>IFERROR(VLOOKUP(C11,'New Adm Data (Mar to July)'!C:D,2,),"-")</f>
        <v>0</v>
      </c>
      <c r="F11" t="str">
        <f>IFERROR(VLOOKUP(D11,'New Adm Data (Aug to Nov)'!C:D,2,),"-")</f>
        <v>-</v>
      </c>
      <c r="G11" t="s">
        <v>1324</v>
      </c>
      <c r="H11" t="str">
        <f t="shared" si="0"/>
        <v>No</v>
      </c>
      <c r="I11" t="str">
        <f t="shared" si="1"/>
        <v>No</v>
      </c>
      <c r="J11" t="str">
        <f t="shared" si="2"/>
        <v>No</v>
      </c>
    </row>
    <row r="12" spans="1:13" x14ac:dyDescent="0.35">
      <c r="A12" t="s">
        <v>0</v>
      </c>
      <c r="B12" t="s">
        <v>21</v>
      </c>
      <c r="C12" t="s">
        <v>22</v>
      </c>
      <c r="D12" t="s">
        <v>1310</v>
      </c>
      <c r="E12">
        <f>IFERROR(VLOOKUP(C12,'New Adm Data (Mar to July)'!C:D,2,),"-")</f>
        <v>0</v>
      </c>
      <c r="F12" t="str">
        <f>IFERROR(VLOOKUP(D12,'New Adm Data (Aug to Nov)'!C:D,2,),"-")</f>
        <v>-</v>
      </c>
      <c r="G12" t="s">
        <v>1324</v>
      </c>
      <c r="H12" t="str">
        <f t="shared" si="0"/>
        <v>No</v>
      </c>
      <c r="I12" t="str">
        <f t="shared" si="1"/>
        <v>No</v>
      </c>
      <c r="J12" t="str">
        <f t="shared" si="2"/>
        <v>No</v>
      </c>
    </row>
    <row r="13" spans="1:13" x14ac:dyDescent="0.35">
      <c r="A13" t="s">
        <v>0</v>
      </c>
      <c r="B13" t="s">
        <v>23</v>
      </c>
      <c r="C13" t="s">
        <v>24</v>
      </c>
      <c r="D13" t="s">
        <v>1310</v>
      </c>
      <c r="E13">
        <f>IFERROR(VLOOKUP(C13,'New Adm Data (Mar to July)'!C:D,2,),"-")</f>
        <v>0</v>
      </c>
      <c r="F13" t="str">
        <f>IFERROR(VLOOKUP(D13,'New Adm Data (Aug to Nov)'!C:D,2,),"-")</f>
        <v>-</v>
      </c>
      <c r="G13" t="s">
        <v>1324</v>
      </c>
      <c r="H13" t="str">
        <f t="shared" si="0"/>
        <v>No</v>
      </c>
      <c r="I13" t="str">
        <f t="shared" si="1"/>
        <v>No</v>
      </c>
      <c r="J13" t="str">
        <f t="shared" si="2"/>
        <v>No</v>
      </c>
    </row>
    <row r="14" spans="1:13" x14ac:dyDescent="0.35">
      <c r="A14" t="s">
        <v>0</v>
      </c>
      <c r="B14" t="s">
        <v>25</v>
      </c>
      <c r="C14" t="s">
        <v>26</v>
      </c>
      <c r="D14" t="s">
        <v>1310</v>
      </c>
      <c r="E14">
        <f>IFERROR(VLOOKUP(C14,'New Adm Data (Mar to July)'!C:D,2,),"-")</f>
        <v>0</v>
      </c>
      <c r="F14" t="str">
        <f>IFERROR(VLOOKUP(D14,'New Adm Data (Aug to Nov)'!C:D,2,),"-")</f>
        <v>-</v>
      </c>
      <c r="G14" t="s">
        <v>1324</v>
      </c>
      <c r="H14" t="str">
        <f t="shared" si="0"/>
        <v>No</v>
      </c>
      <c r="I14" t="str">
        <f t="shared" si="1"/>
        <v>No</v>
      </c>
      <c r="J14" t="str">
        <f t="shared" si="2"/>
        <v>No</v>
      </c>
    </row>
    <row r="15" spans="1:13" x14ac:dyDescent="0.35">
      <c r="A15" t="s">
        <v>0</v>
      </c>
      <c r="B15" t="s">
        <v>27</v>
      </c>
      <c r="C15" t="s">
        <v>28</v>
      </c>
      <c r="D15" t="s">
        <v>1310</v>
      </c>
      <c r="E15">
        <f>IFERROR(VLOOKUP(C15,'New Adm Data (Mar to July)'!C:D,2,),"-")</f>
        <v>0</v>
      </c>
      <c r="F15" t="str">
        <f>IFERROR(VLOOKUP(D15,'New Adm Data (Aug to Nov)'!C:D,2,),"-")</f>
        <v>-</v>
      </c>
      <c r="G15" t="s">
        <v>1324</v>
      </c>
      <c r="H15" t="str">
        <f t="shared" si="0"/>
        <v>No</v>
      </c>
      <c r="I15" t="str">
        <f t="shared" si="1"/>
        <v>No</v>
      </c>
      <c r="J15" t="str">
        <f t="shared" si="2"/>
        <v>No</v>
      </c>
    </row>
    <row r="16" spans="1:13" x14ac:dyDescent="0.35">
      <c r="A16" t="s">
        <v>0</v>
      </c>
      <c r="B16" t="s">
        <v>29</v>
      </c>
      <c r="C16" t="s">
        <v>30</v>
      </c>
      <c r="D16" t="s">
        <v>1310</v>
      </c>
      <c r="E16">
        <f>IFERROR(VLOOKUP(C16,'New Adm Data (Mar to July)'!C:D,2,),"-")</f>
        <v>0</v>
      </c>
      <c r="F16" t="str">
        <f>IFERROR(VLOOKUP(D16,'New Adm Data (Aug to Nov)'!C:D,2,),"-")</f>
        <v>-</v>
      </c>
      <c r="G16" t="s">
        <v>1324</v>
      </c>
      <c r="H16" t="str">
        <f t="shared" si="0"/>
        <v>No</v>
      </c>
      <c r="I16" t="str">
        <f t="shared" si="1"/>
        <v>No</v>
      </c>
      <c r="J16" t="str">
        <f t="shared" si="2"/>
        <v>No</v>
      </c>
    </row>
    <row r="17" spans="1:10" x14ac:dyDescent="0.35">
      <c r="A17" t="s">
        <v>0</v>
      </c>
      <c r="B17" t="s">
        <v>31</v>
      </c>
      <c r="C17" t="s">
        <v>32</v>
      </c>
      <c r="D17" t="s">
        <v>616</v>
      </c>
      <c r="E17">
        <f>IFERROR(VLOOKUP(C17,'New Adm Data (Mar to July)'!C:D,2,),"-")</f>
        <v>33</v>
      </c>
      <c r="F17">
        <f>IFERROR(VLOOKUP(D17,'New Adm Data (Aug to Nov)'!C:D,2,),"-")</f>
        <v>6</v>
      </c>
      <c r="G17" t="s">
        <v>1316</v>
      </c>
      <c r="H17" t="str">
        <f t="shared" si="0"/>
        <v>No</v>
      </c>
      <c r="I17" t="str">
        <f t="shared" si="1"/>
        <v>No</v>
      </c>
      <c r="J17" t="str">
        <f t="shared" si="2"/>
        <v>No</v>
      </c>
    </row>
    <row r="18" spans="1:10" x14ac:dyDescent="0.35">
      <c r="A18" t="s">
        <v>0</v>
      </c>
      <c r="B18" t="s">
        <v>33</v>
      </c>
      <c r="C18" t="s">
        <v>34</v>
      </c>
      <c r="D18" t="s">
        <v>617</v>
      </c>
      <c r="E18">
        <f>IFERROR(VLOOKUP(C18,'New Adm Data (Mar to July)'!C:D,2,),"-")</f>
        <v>454</v>
      </c>
      <c r="F18">
        <f>IFERROR(VLOOKUP(D18,'New Adm Data (Aug to Nov)'!C:D,2,),"-")</f>
        <v>278</v>
      </c>
      <c r="G18" t="s">
        <v>1317</v>
      </c>
      <c r="H18" t="str">
        <f t="shared" si="0"/>
        <v>No</v>
      </c>
      <c r="I18" t="str">
        <f t="shared" si="1"/>
        <v>Yes</v>
      </c>
      <c r="J18" t="str">
        <f t="shared" si="2"/>
        <v>Yes</v>
      </c>
    </row>
    <row r="19" spans="1:10" x14ac:dyDescent="0.35">
      <c r="A19" t="s">
        <v>0</v>
      </c>
      <c r="B19" t="s">
        <v>35</v>
      </c>
      <c r="C19" t="s">
        <v>36</v>
      </c>
      <c r="D19" t="s">
        <v>618</v>
      </c>
      <c r="E19">
        <f>IFERROR(VLOOKUP(C19,'New Adm Data (Mar to July)'!C:D,2,),"-")</f>
        <v>303</v>
      </c>
      <c r="F19">
        <f>IFERROR(VLOOKUP(D19,'New Adm Data (Aug to Nov)'!C:D,2,),"-")</f>
        <v>154</v>
      </c>
      <c r="G19" t="s">
        <v>1317</v>
      </c>
      <c r="H19" t="str">
        <f t="shared" si="0"/>
        <v>No</v>
      </c>
      <c r="I19" t="str">
        <f t="shared" si="1"/>
        <v>Yes</v>
      </c>
      <c r="J19" t="str">
        <f t="shared" si="2"/>
        <v>Yes</v>
      </c>
    </row>
    <row r="20" spans="1:10" x14ac:dyDescent="0.35">
      <c r="A20" t="s">
        <v>0</v>
      </c>
      <c r="B20" t="s">
        <v>37</v>
      </c>
      <c r="C20" t="s">
        <v>38</v>
      </c>
      <c r="D20" t="s">
        <v>619</v>
      </c>
      <c r="E20">
        <f>IFERROR(VLOOKUP(C20,'New Adm Data (Mar to July)'!C:D,2,),"-")</f>
        <v>53</v>
      </c>
      <c r="F20">
        <f>IFERROR(VLOOKUP(D20,'New Adm Data (Aug to Nov)'!C:D,2,),"-")</f>
        <v>53</v>
      </c>
      <c r="G20" t="s">
        <v>1317</v>
      </c>
      <c r="H20" t="str">
        <f t="shared" si="0"/>
        <v>No</v>
      </c>
      <c r="I20" t="str">
        <f t="shared" si="1"/>
        <v>No</v>
      </c>
      <c r="J20" t="str">
        <f t="shared" si="2"/>
        <v>No</v>
      </c>
    </row>
    <row r="21" spans="1:10" x14ac:dyDescent="0.35">
      <c r="A21" t="s">
        <v>0</v>
      </c>
      <c r="B21" t="s">
        <v>39</v>
      </c>
      <c r="C21" t="s">
        <v>40</v>
      </c>
      <c r="D21" t="s">
        <v>620</v>
      </c>
      <c r="E21">
        <f>IFERROR(VLOOKUP(C21,'New Adm Data (Mar to July)'!C:D,2,),"-")</f>
        <v>66</v>
      </c>
      <c r="F21">
        <f>IFERROR(VLOOKUP(D21,'New Adm Data (Aug to Nov)'!C:D,2,),"-")</f>
        <v>36</v>
      </c>
      <c r="G21" t="s">
        <v>1317</v>
      </c>
      <c r="H21" t="str">
        <f t="shared" si="0"/>
        <v>No</v>
      </c>
      <c r="I21" t="str">
        <f t="shared" si="1"/>
        <v>No</v>
      </c>
      <c r="J21" t="str">
        <f t="shared" si="2"/>
        <v>No</v>
      </c>
    </row>
    <row r="22" spans="1:10" x14ac:dyDescent="0.35">
      <c r="A22" t="s">
        <v>0</v>
      </c>
      <c r="B22" t="s">
        <v>41</v>
      </c>
      <c r="C22" t="s">
        <v>42</v>
      </c>
      <c r="D22" t="s">
        <v>621</v>
      </c>
      <c r="E22">
        <f>IFERROR(VLOOKUP(C22,'New Adm Data (Mar to July)'!C:D,2,),"-")</f>
        <v>76</v>
      </c>
      <c r="F22">
        <f>IFERROR(VLOOKUP(D22,'New Adm Data (Aug to Nov)'!C:D,2,),"-")</f>
        <v>201</v>
      </c>
      <c r="G22" t="s">
        <v>1317</v>
      </c>
      <c r="H22" t="str">
        <f t="shared" si="0"/>
        <v>No</v>
      </c>
      <c r="I22" t="str">
        <f t="shared" si="1"/>
        <v>Yes</v>
      </c>
      <c r="J22" t="str">
        <f t="shared" si="2"/>
        <v>Yes</v>
      </c>
    </row>
    <row r="23" spans="1:10" x14ac:dyDescent="0.35">
      <c r="A23" t="s">
        <v>0</v>
      </c>
      <c r="B23" t="s">
        <v>43</v>
      </c>
      <c r="C23" t="s">
        <v>44</v>
      </c>
      <c r="D23" t="s">
        <v>622</v>
      </c>
      <c r="E23">
        <f>IFERROR(VLOOKUP(C23,'New Adm Data (Mar to July)'!C:D,2,),"-")</f>
        <v>57</v>
      </c>
      <c r="F23">
        <f>IFERROR(VLOOKUP(D23,'New Adm Data (Aug to Nov)'!C:D,2,),"-")</f>
        <v>8</v>
      </c>
      <c r="G23" t="s">
        <v>1316</v>
      </c>
      <c r="H23" t="str">
        <f t="shared" si="0"/>
        <v>No</v>
      </c>
      <c r="I23" t="str">
        <f t="shared" si="1"/>
        <v>No</v>
      </c>
      <c r="J23" t="str">
        <f t="shared" si="2"/>
        <v>No</v>
      </c>
    </row>
    <row r="24" spans="1:10" x14ac:dyDescent="0.35">
      <c r="A24" t="s">
        <v>0</v>
      </c>
      <c r="B24" t="s">
        <v>45</v>
      </c>
      <c r="C24" t="s">
        <v>46</v>
      </c>
      <c r="D24" t="s">
        <v>623</v>
      </c>
      <c r="E24">
        <f>IFERROR(VLOOKUP(C24,'New Adm Data (Mar to July)'!C:D,2,),"-")</f>
        <v>177</v>
      </c>
      <c r="F24">
        <f>IFERROR(VLOOKUP(D24,'New Adm Data (Aug to Nov)'!C:D,2,),"-")</f>
        <v>137</v>
      </c>
      <c r="G24" t="s">
        <v>1317</v>
      </c>
      <c r="H24" t="str">
        <f t="shared" si="0"/>
        <v>No</v>
      </c>
      <c r="I24" t="str">
        <f t="shared" si="1"/>
        <v>Yes</v>
      </c>
      <c r="J24" t="str">
        <f t="shared" si="2"/>
        <v>Yes</v>
      </c>
    </row>
    <row r="25" spans="1:10" x14ac:dyDescent="0.35">
      <c r="A25" t="s">
        <v>0</v>
      </c>
      <c r="B25" t="s">
        <v>47</v>
      </c>
      <c r="C25" t="s">
        <v>48</v>
      </c>
      <c r="D25" t="s">
        <v>624</v>
      </c>
      <c r="E25">
        <f>IFERROR(VLOOKUP(C25,'New Adm Data (Mar to July)'!C:D,2,),"-")</f>
        <v>35</v>
      </c>
      <c r="F25">
        <f>IFERROR(VLOOKUP(D25,'New Adm Data (Aug to Nov)'!C:D,2,),"-")</f>
        <v>115</v>
      </c>
      <c r="G25" t="s">
        <v>1317</v>
      </c>
      <c r="H25" t="str">
        <f t="shared" si="0"/>
        <v>No</v>
      </c>
      <c r="I25" t="str">
        <f t="shared" si="1"/>
        <v>No</v>
      </c>
      <c r="J25" t="str">
        <f t="shared" si="2"/>
        <v>No</v>
      </c>
    </row>
    <row r="26" spans="1:10" x14ac:dyDescent="0.35">
      <c r="A26" t="s">
        <v>0</v>
      </c>
      <c r="B26" t="s">
        <v>49</v>
      </c>
      <c r="C26" t="s">
        <v>50</v>
      </c>
      <c r="D26" t="s">
        <v>625</v>
      </c>
      <c r="E26">
        <f>IFERROR(VLOOKUP(C26,'New Adm Data (Mar to July)'!C:D,2,),"-")</f>
        <v>57</v>
      </c>
      <c r="F26">
        <f>IFERROR(VLOOKUP(D26,'New Adm Data (Aug to Nov)'!C:D,2,),"-")</f>
        <v>40</v>
      </c>
      <c r="G26" t="s">
        <v>1317</v>
      </c>
      <c r="H26" t="str">
        <f t="shared" si="0"/>
        <v>No</v>
      </c>
      <c r="I26" t="str">
        <f t="shared" si="1"/>
        <v>No</v>
      </c>
      <c r="J26" t="str">
        <f t="shared" si="2"/>
        <v>No</v>
      </c>
    </row>
    <row r="27" spans="1:10" x14ac:dyDescent="0.35">
      <c r="A27" t="s">
        <v>0</v>
      </c>
      <c r="B27" t="s">
        <v>51</v>
      </c>
      <c r="C27" t="s">
        <v>52</v>
      </c>
      <c r="D27" t="s">
        <v>626</v>
      </c>
      <c r="E27">
        <f>IFERROR(VLOOKUP(C27,'New Adm Data (Mar to July)'!C:D,2,),"-")</f>
        <v>155</v>
      </c>
      <c r="F27">
        <f>IFERROR(VLOOKUP(D27,'New Adm Data (Aug to Nov)'!C:D,2,),"-")</f>
        <v>67</v>
      </c>
      <c r="G27" t="s">
        <v>1317</v>
      </c>
      <c r="H27" t="str">
        <f t="shared" si="0"/>
        <v>No</v>
      </c>
      <c r="I27" t="str">
        <f t="shared" si="1"/>
        <v>No</v>
      </c>
      <c r="J27" t="str">
        <f t="shared" si="2"/>
        <v>No</v>
      </c>
    </row>
    <row r="28" spans="1:10" x14ac:dyDescent="0.35">
      <c r="A28" t="s">
        <v>0</v>
      </c>
      <c r="B28" t="s">
        <v>53</v>
      </c>
      <c r="C28" t="s">
        <v>54</v>
      </c>
      <c r="D28" t="s">
        <v>627</v>
      </c>
      <c r="E28">
        <f>IFERROR(VLOOKUP(C28,'New Adm Data (Mar to July)'!C:D,2,),"-")</f>
        <v>261</v>
      </c>
      <c r="F28">
        <f>IFERROR(VLOOKUP(D28,'New Adm Data (Aug to Nov)'!C:D,2,),"-")</f>
        <v>44</v>
      </c>
      <c r="G28" t="s">
        <v>1317</v>
      </c>
      <c r="H28" t="str">
        <f t="shared" si="0"/>
        <v>No</v>
      </c>
      <c r="I28" t="str">
        <f t="shared" si="1"/>
        <v>Yes</v>
      </c>
      <c r="J28" t="str">
        <f t="shared" si="2"/>
        <v>Yes</v>
      </c>
    </row>
    <row r="29" spans="1:10" x14ac:dyDescent="0.35">
      <c r="A29" t="s">
        <v>0</v>
      </c>
      <c r="B29" t="s">
        <v>55</v>
      </c>
      <c r="C29" t="s">
        <v>56</v>
      </c>
      <c r="D29" t="s">
        <v>628</v>
      </c>
      <c r="E29">
        <f>IFERROR(VLOOKUP(C29,'New Adm Data (Mar to July)'!C:D,2,),"-")</f>
        <v>6</v>
      </c>
      <c r="F29">
        <f>IFERROR(VLOOKUP(D29,'New Adm Data (Aug to Nov)'!C:D,2,),"-")</f>
        <v>1</v>
      </c>
      <c r="G29" t="s">
        <v>1316</v>
      </c>
      <c r="H29" t="str">
        <f t="shared" si="0"/>
        <v>No</v>
      </c>
      <c r="I29" t="str">
        <f t="shared" si="1"/>
        <v>No</v>
      </c>
      <c r="J29" t="str">
        <f t="shared" si="2"/>
        <v>No</v>
      </c>
    </row>
    <row r="30" spans="1:10" x14ac:dyDescent="0.35">
      <c r="A30" t="s">
        <v>0</v>
      </c>
      <c r="B30" t="s">
        <v>57</v>
      </c>
      <c r="C30" t="s">
        <v>58</v>
      </c>
      <c r="D30" t="s">
        <v>629</v>
      </c>
      <c r="E30">
        <f>IFERROR(VLOOKUP(C30,'New Adm Data (Mar to July)'!C:D,2,),"-")</f>
        <v>30</v>
      </c>
      <c r="F30">
        <f>IFERROR(VLOOKUP(D30,'New Adm Data (Aug to Nov)'!C:D,2,),"-")</f>
        <v>37</v>
      </c>
      <c r="G30" t="s">
        <v>1317</v>
      </c>
      <c r="H30" t="str">
        <f t="shared" si="0"/>
        <v>No</v>
      </c>
      <c r="I30" t="str">
        <f t="shared" si="1"/>
        <v>No</v>
      </c>
      <c r="J30" t="str">
        <f t="shared" si="2"/>
        <v>No</v>
      </c>
    </row>
    <row r="31" spans="1:10" x14ac:dyDescent="0.35">
      <c r="A31" t="s">
        <v>0</v>
      </c>
      <c r="B31" t="s">
        <v>59</v>
      </c>
      <c r="C31" t="s">
        <v>60</v>
      </c>
      <c r="D31" t="s">
        <v>630</v>
      </c>
      <c r="E31">
        <f>IFERROR(VLOOKUP(C31,'New Adm Data (Mar to July)'!C:D,2,),"-")</f>
        <v>39</v>
      </c>
      <c r="F31">
        <f>IFERROR(VLOOKUP(D31,'New Adm Data (Aug to Nov)'!C:D,2,),"-")</f>
        <v>1</v>
      </c>
      <c r="G31" t="s">
        <v>1316</v>
      </c>
      <c r="H31" t="str">
        <f t="shared" si="0"/>
        <v>No</v>
      </c>
      <c r="I31" t="str">
        <f t="shared" si="1"/>
        <v>No</v>
      </c>
      <c r="J31" t="str">
        <f t="shared" si="2"/>
        <v>No</v>
      </c>
    </row>
    <row r="32" spans="1:10" x14ac:dyDescent="0.35">
      <c r="A32" t="s">
        <v>0</v>
      </c>
      <c r="B32" t="s">
        <v>61</v>
      </c>
      <c r="C32" t="s">
        <v>62</v>
      </c>
      <c r="D32" t="s">
        <v>631</v>
      </c>
      <c r="E32">
        <f>IFERROR(VLOOKUP(C32,'New Adm Data (Mar to July)'!C:D,2,),"-")</f>
        <v>99</v>
      </c>
      <c r="F32">
        <f>IFERROR(VLOOKUP(D32,'New Adm Data (Aug to Nov)'!C:D,2,),"-")</f>
        <v>178</v>
      </c>
      <c r="G32" t="s">
        <v>1317</v>
      </c>
      <c r="H32" t="str">
        <f t="shared" si="0"/>
        <v>No</v>
      </c>
      <c r="I32" t="str">
        <f t="shared" si="1"/>
        <v>Yes</v>
      </c>
      <c r="J32" t="str">
        <f t="shared" si="2"/>
        <v>Yes</v>
      </c>
    </row>
    <row r="33" spans="1:10" x14ac:dyDescent="0.35">
      <c r="A33" t="s">
        <v>0</v>
      </c>
      <c r="B33" t="s">
        <v>63</v>
      </c>
      <c r="C33" t="s">
        <v>64</v>
      </c>
      <c r="D33" t="s">
        <v>632</v>
      </c>
      <c r="E33">
        <f>IFERROR(VLOOKUP(C33,'New Adm Data (Mar to July)'!C:D,2,),"-")</f>
        <v>75</v>
      </c>
      <c r="F33">
        <f>IFERROR(VLOOKUP(D33,'New Adm Data (Aug to Nov)'!C:D,2,),"-")</f>
        <v>50</v>
      </c>
      <c r="G33" t="s">
        <v>1317</v>
      </c>
      <c r="H33" t="str">
        <f t="shared" si="0"/>
        <v>No</v>
      </c>
      <c r="I33" t="str">
        <f t="shared" si="1"/>
        <v>No</v>
      </c>
      <c r="J33" t="str">
        <f t="shared" si="2"/>
        <v>No</v>
      </c>
    </row>
    <row r="34" spans="1:10" x14ac:dyDescent="0.35">
      <c r="A34" t="s">
        <v>0</v>
      </c>
      <c r="B34" t="s">
        <v>65</v>
      </c>
      <c r="C34" t="s">
        <v>66</v>
      </c>
      <c r="D34" t="s">
        <v>633</v>
      </c>
      <c r="E34">
        <f>IFERROR(VLOOKUP(C34,'New Adm Data (Mar to July)'!C:D,2,),"-")</f>
        <v>1</v>
      </c>
      <c r="F34">
        <f>IFERROR(VLOOKUP(D34,'New Adm Data (Aug to Nov)'!C:D,2,),"-")</f>
        <v>1</v>
      </c>
      <c r="G34" t="s">
        <v>1316</v>
      </c>
      <c r="H34" t="str">
        <f t="shared" si="0"/>
        <v>No</v>
      </c>
      <c r="I34" t="str">
        <f t="shared" si="1"/>
        <v>No</v>
      </c>
      <c r="J34" t="str">
        <f t="shared" si="2"/>
        <v>No</v>
      </c>
    </row>
    <row r="35" spans="1:10" x14ac:dyDescent="0.35">
      <c r="A35" t="s">
        <v>0</v>
      </c>
      <c r="B35" t="s">
        <v>67</v>
      </c>
      <c r="C35" t="s">
        <v>68</v>
      </c>
      <c r="D35" t="s">
        <v>634</v>
      </c>
      <c r="E35">
        <f>IFERROR(VLOOKUP(C35,'New Adm Data (Mar to July)'!C:D,2,),"-")</f>
        <v>37</v>
      </c>
      <c r="F35">
        <f>IFERROR(VLOOKUP(D35,'New Adm Data (Aug to Nov)'!C:D,2,),"-")</f>
        <v>20</v>
      </c>
      <c r="G35" t="s">
        <v>1316</v>
      </c>
      <c r="H35" t="str">
        <f t="shared" si="0"/>
        <v>No</v>
      </c>
      <c r="I35" t="str">
        <f t="shared" si="1"/>
        <v>No</v>
      </c>
      <c r="J35" t="str">
        <f t="shared" si="2"/>
        <v>No</v>
      </c>
    </row>
    <row r="36" spans="1:10" x14ac:dyDescent="0.35">
      <c r="A36" t="s">
        <v>0</v>
      </c>
      <c r="B36" t="s">
        <v>69</v>
      </c>
      <c r="C36" t="s">
        <v>70</v>
      </c>
      <c r="D36" t="s">
        <v>635</v>
      </c>
      <c r="E36">
        <f>IFERROR(VLOOKUP(C36,'New Adm Data (Mar to July)'!C:D,2,),"-")</f>
        <v>48</v>
      </c>
      <c r="F36">
        <f>IFERROR(VLOOKUP(D36,'New Adm Data (Aug to Nov)'!C:D,2,),"-")</f>
        <v>9</v>
      </c>
      <c r="G36" t="s">
        <v>1316</v>
      </c>
      <c r="H36" t="str">
        <f t="shared" si="0"/>
        <v>No</v>
      </c>
      <c r="I36" t="str">
        <f t="shared" si="1"/>
        <v>No</v>
      </c>
      <c r="J36" t="str">
        <f t="shared" si="2"/>
        <v>No</v>
      </c>
    </row>
    <row r="37" spans="1:10" x14ac:dyDescent="0.35">
      <c r="A37" t="s">
        <v>0</v>
      </c>
      <c r="B37" t="s">
        <v>71</v>
      </c>
      <c r="C37" t="s">
        <v>72</v>
      </c>
      <c r="D37" t="s">
        <v>636</v>
      </c>
      <c r="E37">
        <f>IFERROR(VLOOKUP(C37,'New Adm Data (Mar to July)'!C:D,2,),"-")</f>
        <v>0</v>
      </c>
      <c r="F37">
        <f>IFERROR(VLOOKUP(D37,'New Adm Data (Aug to Nov)'!C:D,2,),"-")</f>
        <v>0</v>
      </c>
      <c r="G37" t="s">
        <v>1316</v>
      </c>
      <c r="H37" t="str">
        <f t="shared" si="0"/>
        <v>No</v>
      </c>
      <c r="I37" t="str">
        <f t="shared" si="1"/>
        <v>No</v>
      </c>
      <c r="J37" t="str">
        <f t="shared" si="2"/>
        <v>No</v>
      </c>
    </row>
    <row r="38" spans="1:10" x14ac:dyDescent="0.35">
      <c r="A38" t="s">
        <v>73</v>
      </c>
      <c r="B38" t="s">
        <v>74</v>
      </c>
      <c r="C38" t="s">
        <v>75</v>
      </c>
      <c r="D38" t="s">
        <v>637</v>
      </c>
      <c r="E38">
        <f>IFERROR(VLOOKUP(C38,'New Adm Data (Mar to July)'!C:D,2,),"-")</f>
        <v>0</v>
      </c>
      <c r="F38">
        <f>IFERROR(VLOOKUP(D38,'New Adm Data (Aug to Nov)'!C:D,2,),"-")</f>
        <v>0</v>
      </c>
      <c r="G38" t="s">
        <v>1316</v>
      </c>
      <c r="H38" t="str">
        <f t="shared" si="0"/>
        <v>No</v>
      </c>
      <c r="I38" t="str">
        <f t="shared" si="1"/>
        <v>No</v>
      </c>
      <c r="J38" t="str">
        <f t="shared" si="2"/>
        <v>No</v>
      </c>
    </row>
    <row r="39" spans="1:10" x14ac:dyDescent="0.35">
      <c r="A39" t="s">
        <v>73</v>
      </c>
      <c r="B39" t="s">
        <v>76</v>
      </c>
      <c r="C39" t="s">
        <v>77</v>
      </c>
      <c r="D39" t="s">
        <v>1310</v>
      </c>
      <c r="E39">
        <f>IFERROR(VLOOKUP(C39,'New Adm Data (Mar to July)'!C:D,2,),"-")</f>
        <v>0</v>
      </c>
      <c r="F39" t="str">
        <f>IFERROR(VLOOKUP(D39,'New Adm Data (Aug to Nov)'!C:D,2,),"-")</f>
        <v>-</v>
      </c>
      <c r="G39" t="s">
        <v>1324</v>
      </c>
      <c r="H39" t="str">
        <f t="shared" si="0"/>
        <v>No</v>
      </c>
      <c r="I39" t="str">
        <f t="shared" si="1"/>
        <v>No</v>
      </c>
      <c r="J39" t="str">
        <f t="shared" si="2"/>
        <v>No</v>
      </c>
    </row>
    <row r="40" spans="1:10" x14ac:dyDescent="0.35">
      <c r="A40" t="s">
        <v>73</v>
      </c>
      <c r="B40" t="s">
        <v>78</v>
      </c>
      <c r="C40" t="s">
        <v>79</v>
      </c>
      <c r="D40" t="s">
        <v>641</v>
      </c>
      <c r="E40">
        <f>IFERROR(VLOOKUP(C40,'New Adm Data (Mar to July)'!C:D,2,),"-")</f>
        <v>0</v>
      </c>
      <c r="F40">
        <f>IFERROR(VLOOKUP(D40,'New Adm Data (Aug to Nov)'!C:D,2,),"-")</f>
        <v>0</v>
      </c>
      <c r="G40" t="s">
        <v>1316</v>
      </c>
      <c r="H40" t="str">
        <f t="shared" si="0"/>
        <v>No</v>
      </c>
      <c r="I40" t="str">
        <f t="shared" si="1"/>
        <v>No</v>
      </c>
      <c r="J40" t="str">
        <f t="shared" si="2"/>
        <v>No</v>
      </c>
    </row>
    <row r="41" spans="1:10" x14ac:dyDescent="0.35">
      <c r="A41" t="s">
        <v>73</v>
      </c>
      <c r="B41" t="s">
        <v>80</v>
      </c>
      <c r="C41" t="s">
        <v>81</v>
      </c>
      <c r="D41" t="s">
        <v>1310</v>
      </c>
      <c r="E41">
        <f>IFERROR(VLOOKUP(C41,'New Adm Data (Mar to July)'!C:D,2,),"-")</f>
        <v>0</v>
      </c>
      <c r="F41" t="str">
        <f>IFERROR(VLOOKUP(D41,'New Adm Data (Aug to Nov)'!C:D,2,),"-")</f>
        <v>-</v>
      </c>
      <c r="G41" t="s">
        <v>1324</v>
      </c>
      <c r="H41" t="str">
        <f t="shared" si="0"/>
        <v>No</v>
      </c>
      <c r="I41" t="str">
        <f t="shared" si="1"/>
        <v>No</v>
      </c>
      <c r="J41" t="str">
        <f t="shared" si="2"/>
        <v>No</v>
      </c>
    </row>
    <row r="42" spans="1:10" x14ac:dyDescent="0.35">
      <c r="A42" t="s">
        <v>73</v>
      </c>
      <c r="B42" t="s">
        <v>82</v>
      </c>
      <c r="C42" t="s">
        <v>83</v>
      </c>
      <c r="D42" t="s">
        <v>1310</v>
      </c>
      <c r="E42">
        <f>IFERROR(VLOOKUP(C42,'New Adm Data (Mar to July)'!C:D,2,),"-")</f>
        <v>0</v>
      </c>
      <c r="F42" t="str">
        <f>IFERROR(VLOOKUP(D42,'New Adm Data (Aug to Nov)'!C:D,2,),"-")</f>
        <v>-</v>
      </c>
      <c r="G42" t="s">
        <v>1324</v>
      </c>
      <c r="H42" t="str">
        <f t="shared" si="0"/>
        <v>No</v>
      </c>
      <c r="I42" t="str">
        <f t="shared" si="1"/>
        <v>No</v>
      </c>
      <c r="J42" t="str">
        <f t="shared" si="2"/>
        <v>No</v>
      </c>
    </row>
    <row r="43" spans="1:10" x14ac:dyDescent="0.35">
      <c r="A43" t="s">
        <v>73</v>
      </c>
      <c r="B43" t="s">
        <v>84</v>
      </c>
      <c r="C43" t="s">
        <v>85</v>
      </c>
      <c r="D43" t="s">
        <v>1310</v>
      </c>
      <c r="E43">
        <f>IFERROR(VLOOKUP(C43,'New Adm Data (Mar to July)'!C:D,2,),"-")</f>
        <v>0</v>
      </c>
      <c r="F43" t="str">
        <f>IFERROR(VLOOKUP(D43,'New Adm Data (Aug to Nov)'!C:D,2,),"-")</f>
        <v>-</v>
      </c>
      <c r="G43" t="s">
        <v>1324</v>
      </c>
      <c r="H43" t="str">
        <f t="shared" si="0"/>
        <v>No</v>
      </c>
      <c r="I43" t="str">
        <f t="shared" si="1"/>
        <v>No</v>
      </c>
      <c r="J43" t="str">
        <f t="shared" si="2"/>
        <v>No</v>
      </c>
    </row>
    <row r="44" spans="1:10" x14ac:dyDescent="0.35">
      <c r="A44" t="s">
        <v>73</v>
      </c>
      <c r="B44" t="s">
        <v>7</v>
      </c>
      <c r="C44" t="s">
        <v>8</v>
      </c>
      <c r="D44" t="s">
        <v>1310</v>
      </c>
      <c r="E44">
        <f>IFERROR(VLOOKUP(C44,'New Adm Data (Mar to July)'!C:D,2,),"-")</f>
        <v>0</v>
      </c>
      <c r="F44" t="str">
        <f>IFERROR(VLOOKUP(D44,'New Adm Data (Aug to Nov)'!C:D,2,),"-")</f>
        <v>-</v>
      </c>
      <c r="G44" t="s">
        <v>1324</v>
      </c>
      <c r="H44" t="str">
        <f t="shared" si="0"/>
        <v>No</v>
      </c>
      <c r="I44" t="str">
        <f t="shared" si="1"/>
        <v>No</v>
      </c>
      <c r="J44" t="str">
        <f t="shared" si="2"/>
        <v>No</v>
      </c>
    </row>
    <row r="45" spans="1:10" x14ac:dyDescent="0.35">
      <c r="A45" t="s">
        <v>73</v>
      </c>
      <c r="B45" t="s">
        <v>86</v>
      </c>
      <c r="C45" t="s">
        <v>87</v>
      </c>
      <c r="D45" t="s">
        <v>1310</v>
      </c>
      <c r="E45">
        <f>IFERROR(VLOOKUP(C45,'New Adm Data (Mar to July)'!C:D,2,),"-")</f>
        <v>0</v>
      </c>
      <c r="F45" t="str">
        <f>IFERROR(VLOOKUP(D45,'New Adm Data (Aug to Nov)'!C:D,2,),"-")</f>
        <v>-</v>
      </c>
      <c r="G45" t="s">
        <v>1324</v>
      </c>
      <c r="H45" t="str">
        <f t="shared" si="0"/>
        <v>No</v>
      </c>
      <c r="I45" t="str">
        <f t="shared" si="1"/>
        <v>No</v>
      </c>
      <c r="J45" t="str">
        <f t="shared" si="2"/>
        <v>No</v>
      </c>
    </row>
    <row r="46" spans="1:10" x14ac:dyDescent="0.35">
      <c r="A46" t="s">
        <v>73</v>
      </c>
      <c r="B46" t="s">
        <v>88</v>
      </c>
      <c r="C46" t="s">
        <v>89</v>
      </c>
      <c r="D46" t="s">
        <v>1310</v>
      </c>
      <c r="E46">
        <f>IFERROR(VLOOKUP(C46,'New Adm Data (Mar to July)'!C:D,2,),"-")</f>
        <v>0</v>
      </c>
      <c r="F46" t="str">
        <f>IFERROR(VLOOKUP(D46,'New Adm Data (Aug to Nov)'!C:D,2,),"-")</f>
        <v>-</v>
      </c>
      <c r="G46" t="s">
        <v>1324</v>
      </c>
      <c r="H46" t="str">
        <f t="shared" si="0"/>
        <v>No</v>
      </c>
      <c r="I46" t="str">
        <f t="shared" si="1"/>
        <v>No</v>
      </c>
      <c r="J46" t="str">
        <f t="shared" si="2"/>
        <v>No</v>
      </c>
    </row>
    <row r="47" spans="1:10" x14ac:dyDescent="0.35">
      <c r="A47" t="s">
        <v>73</v>
      </c>
      <c r="B47" t="s">
        <v>90</v>
      </c>
      <c r="C47" t="s">
        <v>91</v>
      </c>
      <c r="D47" t="s">
        <v>1310</v>
      </c>
      <c r="E47">
        <f>IFERROR(VLOOKUP(C47,'New Adm Data (Mar to July)'!C:D,2,),"-")</f>
        <v>0</v>
      </c>
      <c r="F47" t="str">
        <f>IFERROR(VLOOKUP(D47,'New Adm Data (Aug to Nov)'!C:D,2,),"-")</f>
        <v>-</v>
      </c>
      <c r="G47" t="s">
        <v>1324</v>
      </c>
      <c r="H47" t="str">
        <f t="shared" si="0"/>
        <v>No</v>
      </c>
      <c r="I47" t="str">
        <f t="shared" si="1"/>
        <v>No</v>
      </c>
      <c r="J47" t="str">
        <f t="shared" si="2"/>
        <v>No</v>
      </c>
    </row>
    <row r="48" spans="1:10" x14ac:dyDescent="0.35">
      <c r="A48" t="s">
        <v>73</v>
      </c>
      <c r="B48" t="s">
        <v>13</v>
      </c>
      <c r="C48" t="s">
        <v>14</v>
      </c>
      <c r="D48" t="s">
        <v>1310</v>
      </c>
      <c r="E48">
        <f>IFERROR(VLOOKUP(C48,'New Adm Data (Mar to July)'!C:D,2,),"-")</f>
        <v>0</v>
      </c>
      <c r="F48" t="str">
        <f>IFERROR(VLOOKUP(D48,'New Adm Data (Aug to Nov)'!C:D,2,),"-")</f>
        <v>-</v>
      </c>
      <c r="G48" t="s">
        <v>1324</v>
      </c>
      <c r="H48" t="str">
        <f t="shared" si="0"/>
        <v>No</v>
      </c>
      <c r="I48" t="str">
        <f t="shared" si="1"/>
        <v>No</v>
      </c>
      <c r="J48" t="str">
        <f t="shared" si="2"/>
        <v>No</v>
      </c>
    </row>
    <row r="49" spans="1:10" x14ac:dyDescent="0.35">
      <c r="A49" t="s">
        <v>73</v>
      </c>
      <c r="B49" t="s">
        <v>92</v>
      </c>
      <c r="C49" t="s">
        <v>93</v>
      </c>
      <c r="D49" t="s">
        <v>1310</v>
      </c>
      <c r="E49">
        <f>IFERROR(VLOOKUP(C49,'New Adm Data (Mar to July)'!C:D,2,),"-")</f>
        <v>2</v>
      </c>
      <c r="F49" t="str">
        <f>IFERROR(VLOOKUP(D49,'New Adm Data (Aug to Nov)'!C:D,2,),"-")</f>
        <v>-</v>
      </c>
      <c r="G49" t="s">
        <v>1324</v>
      </c>
      <c r="H49" t="str">
        <f t="shared" si="0"/>
        <v>No</v>
      </c>
      <c r="I49" t="str">
        <f t="shared" si="1"/>
        <v>No</v>
      </c>
      <c r="J49" t="str">
        <f t="shared" si="2"/>
        <v>No</v>
      </c>
    </row>
    <row r="50" spans="1:10" x14ac:dyDescent="0.35">
      <c r="A50" t="s">
        <v>73</v>
      </c>
      <c r="B50" t="s">
        <v>94</v>
      </c>
      <c r="C50" t="s">
        <v>95</v>
      </c>
      <c r="D50" t="s">
        <v>674</v>
      </c>
      <c r="E50">
        <f>IFERROR(VLOOKUP(C50,'New Adm Data (Mar to July)'!C:D,2,),"-")</f>
        <v>0</v>
      </c>
      <c r="F50">
        <f>IFERROR(VLOOKUP(D50,'New Adm Data (Aug to Nov)'!C:D,2,),"-")</f>
        <v>0</v>
      </c>
      <c r="G50" t="s">
        <v>1316</v>
      </c>
      <c r="H50" t="str">
        <f t="shared" si="0"/>
        <v>No</v>
      </c>
      <c r="I50" t="str">
        <f t="shared" si="1"/>
        <v>No</v>
      </c>
      <c r="J50" t="str">
        <f t="shared" si="2"/>
        <v>No</v>
      </c>
    </row>
    <row r="51" spans="1:10" x14ac:dyDescent="0.35">
      <c r="A51" t="s">
        <v>73</v>
      </c>
      <c r="B51" t="s">
        <v>96</v>
      </c>
      <c r="C51" t="s">
        <v>97</v>
      </c>
      <c r="D51" t="s">
        <v>675</v>
      </c>
      <c r="E51">
        <f>IFERROR(VLOOKUP(C51,'New Adm Data (Mar to July)'!C:D,2,),"-")</f>
        <v>0</v>
      </c>
      <c r="F51">
        <f>IFERROR(VLOOKUP(D51,'New Adm Data (Aug to Nov)'!C:D,2,),"-")</f>
        <v>0</v>
      </c>
      <c r="G51" t="s">
        <v>1316</v>
      </c>
      <c r="H51" t="str">
        <f t="shared" si="0"/>
        <v>No</v>
      </c>
      <c r="I51" t="str">
        <f t="shared" si="1"/>
        <v>No</v>
      </c>
      <c r="J51" t="str">
        <f t="shared" si="2"/>
        <v>No</v>
      </c>
    </row>
    <row r="52" spans="1:10" x14ac:dyDescent="0.35">
      <c r="A52" t="s">
        <v>73</v>
      </c>
      <c r="B52" t="s">
        <v>21</v>
      </c>
      <c r="C52" t="s">
        <v>22</v>
      </c>
      <c r="D52" t="s">
        <v>1310</v>
      </c>
      <c r="E52">
        <f>IFERROR(VLOOKUP(C52,'New Adm Data (Mar to July)'!C:D,2,),"-")</f>
        <v>0</v>
      </c>
      <c r="F52" t="str">
        <f>IFERROR(VLOOKUP(D52,'New Adm Data (Aug to Nov)'!C:D,2,),"-")</f>
        <v>-</v>
      </c>
      <c r="G52" t="s">
        <v>1324</v>
      </c>
      <c r="H52" t="str">
        <f t="shared" si="0"/>
        <v>No</v>
      </c>
      <c r="I52" t="str">
        <f t="shared" si="1"/>
        <v>No</v>
      </c>
      <c r="J52" t="str">
        <f t="shared" si="2"/>
        <v>No</v>
      </c>
    </row>
    <row r="53" spans="1:10" x14ac:dyDescent="0.35">
      <c r="A53" t="s">
        <v>73</v>
      </c>
      <c r="B53" t="s">
        <v>23</v>
      </c>
      <c r="C53" t="s">
        <v>24</v>
      </c>
      <c r="D53" t="s">
        <v>1310</v>
      </c>
      <c r="E53">
        <f>IFERROR(VLOOKUP(C53,'New Adm Data (Mar to July)'!C:D,2,),"-")</f>
        <v>0</v>
      </c>
      <c r="F53" t="str">
        <f>IFERROR(VLOOKUP(D53,'New Adm Data (Aug to Nov)'!C:D,2,),"-")</f>
        <v>-</v>
      </c>
      <c r="G53" t="s">
        <v>1324</v>
      </c>
      <c r="H53" t="str">
        <f t="shared" si="0"/>
        <v>No</v>
      </c>
      <c r="I53" t="str">
        <f t="shared" si="1"/>
        <v>No</v>
      </c>
      <c r="J53" t="str">
        <f t="shared" si="2"/>
        <v>No</v>
      </c>
    </row>
    <row r="54" spans="1:10" x14ac:dyDescent="0.35">
      <c r="A54" t="s">
        <v>73</v>
      </c>
      <c r="B54" t="s">
        <v>98</v>
      </c>
      <c r="C54" t="s">
        <v>99</v>
      </c>
      <c r="D54" t="s">
        <v>1310</v>
      </c>
      <c r="E54">
        <f>IFERROR(VLOOKUP(C54,'New Adm Data (Mar to July)'!C:D,2,),"-")</f>
        <v>1</v>
      </c>
      <c r="F54" t="str">
        <f>IFERROR(VLOOKUP(D54,'New Adm Data (Aug to Nov)'!C:D,2,),"-")</f>
        <v>-</v>
      </c>
      <c r="G54" t="s">
        <v>1324</v>
      </c>
      <c r="H54" t="str">
        <f t="shared" si="0"/>
        <v>No</v>
      </c>
      <c r="I54" t="str">
        <f t="shared" si="1"/>
        <v>No</v>
      </c>
      <c r="J54" t="str">
        <f t="shared" si="2"/>
        <v>No</v>
      </c>
    </row>
    <row r="55" spans="1:10" x14ac:dyDescent="0.35">
      <c r="A55" t="s">
        <v>73</v>
      </c>
      <c r="B55" t="s">
        <v>100</v>
      </c>
      <c r="C55" t="s">
        <v>101</v>
      </c>
      <c r="D55" t="s">
        <v>1310</v>
      </c>
      <c r="E55">
        <f>IFERROR(VLOOKUP(C55,'New Adm Data (Mar to July)'!C:D,2,),"-")</f>
        <v>1</v>
      </c>
      <c r="F55" t="str">
        <f>IFERROR(VLOOKUP(D55,'New Adm Data (Aug to Nov)'!C:D,2,),"-")</f>
        <v>-</v>
      </c>
      <c r="G55" t="s">
        <v>1324</v>
      </c>
      <c r="H55" t="str">
        <f t="shared" si="0"/>
        <v>No</v>
      </c>
      <c r="I55" t="str">
        <f t="shared" si="1"/>
        <v>No</v>
      </c>
      <c r="J55" t="str">
        <f t="shared" si="2"/>
        <v>No</v>
      </c>
    </row>
    <row r="56" spans="1:10" x14ac:dyDescent="0.35">
      <c r="A56" t="s">
        <v>73</v>
      </c>
      <c r="B56" t="s">
        <v>25</v>
      </c>
      <c r="C56" t="s">
        <v>26</v>
      </c>
      <c r="D56" t="s">
        <v>1310</v>
      </c>
      <c r="E56">
        <f>IFERROR(VLOOKUP(C56,'New Adm Data (Mar to July)'!C:D,2,),"-")</f>
        <v>0</v>
      </c>
      <c r="F56" t="str">
        <f>IFERROR(VLOOKUP(D56,'New Adm Data (Aug to Nov)'!C:D,2,),"-")</f>
        <v>-</v>
      </c>
      <c r="G56" t="s">
        <v>1324</v>
      </c>
      <c r="H56" t="str">
        <f t="shared" si="0"/>
        <v>No</v>
      </c>
      <c r="I56" t="str">
        <f t="shared" si="1"/>
        <v>No</v>
      </c>
      <c r="J56" t="str">
        <f t="shared" si="2"/>
        <v>No</v>
      </c>
    </row>
    <row r="57" spans="1:10" x14ac:dyDescent="0.35">
      <c r="A57" t="s">
        <v>73</v>
      </c>
      <c r="B57" t="s">
        <v>102</v>
      </c>
      <c r="C57" t="s">
        <v>103</v>
      </c>
      <c r="D57" t="s">
        <v>1310</v>
      </c>
      <c r="E57">
        <f>IFERROR(VLOOKUP(C57,'New Adm Data (Mar to July)'!C:D,2,),"-")</f>
        <v>39</v>
      </c>
      <c r="F57" t="str">
        <f>IFERROR(VLOOKUP(D57,'New Adm Data (Aug to Nov)'!C:D,2,),"-")</f>
        <v>-</v>
      </c>
      <c r="G57" t="s">
        <v>1324</v>
      </c>
      <c r="H57" t="str">
        <f t="shared" si="0"/>
        <v>No</v>
      </c>
      <c r="I57" t="str">
        <f t="shared" si="1"/>
        <v>No</v>
      </c>
      <c r="J57" t="str">
        <f t="shared" si="2"/>
        <v>No</v>
      </c>
    </row>
    <row r="58" spans="1:10" x14ac:dyDescent="0.35">
      <c r="A58" t="s">
        <v>73</v>
      </c>
      <c r="B58" t="s">
        <v>29</v>
      </c>
      <c r="C58" t="s">
        <v>30</v>
      </c>
      <c r="D58" t="s">
        <v>1310</v>
      </c>
      <c r="E58">
        <f>IFERROR(VLOOKUP(C58,'New Adm Data (Mar to July)'!C:D,2,),"-")</f>
        <v>0</v>
      </c>
      <c r="F58" t="str">
        <f>IFERROR(VLOOKUP(D58,'New Adm Data (Aug to Nov)'!C:D,2,),"-")</f>
        <v>-</v>
      </c>
      <c r="G58" t="s">
        <v>1324</v>
      </c>
      <c r="H58" t="str">
        <f t="shared" si="0"/>
        <v>No</v>
      </c>
      <c r="I58" t="str">
        <f t="shared" si="1"/>
        <v>No</v>
      </c>
      <c r="J58" t="str">
        <f t="shared" si="2"/>
        <v>No</v>
      </c>
    </row>
    <row r="59" spans="1:10" x14ac:dyDescent="0.35">
      <c r="A59" t="s">
        <v>73</v>
      </c>
      <c r="B59" t="s">
        <v>104</v>
      </c>
      <c r="C59" t="s">
        <v>105</v>
      </c>
      <c r="D59" t="s">
        <v>728</v>
      </c>
      <c r="E59">
        <f>IFERROR(VLOOKUP(C59,'New Adm Data (Mar to July)'!C:D,2,),"-")</f>
        <v>976</v>
      </c>
      <c r="F59">
        <f>IFERROR(VLOOKUP(D59,'New Adm Data (Aug to Nov)'!C:D,2,),"-")</f>
        <v>427</v>
      </c>
      <c r="G59" t="s">
        <v>1317</v>
      </c>
      <c r="H59" t="str">
        <f t="shared" si="0"/>
        <v>No</v>
      </c>
      <c r="I59" t="str">
        <f t="shared" si="1"/>
        <v>Yes</v>
      </c>
      <c r="J59" t="str">
        <f t="shared" si="2"/>
        <v>Yes</v>
      </c>
    </row>
    <row r="60" spans="1:10" x14ac:dyDescent="0.35">
      <c r="A60" t="s">
        <v>73</v>
      </c>
      <c r="B60" t="s">
        <v>106</v>
      </c>
      <c r="C60" t="s">
        <v>107</v>
      </c>
      <c r="D60" t="s">
        <v>729</v>
      </c>
      <c r="E60">
        <f>IFERROR(VLOOKUP(C60,'New Adm Data (Mar to July)'!C:D,2,),"-")</f>
        <v>866</v>
      </c>
      <c r="F60">
        <f>IFERROR(VLOOKUP(D60,'New Adm Data (Aug to Nov)'!C:D,2,),"-")</f>
        <v>279</v>
      </c>
      <c r="G60" t="s">
        <v>1317</v>
      </c>
      <c r="H60" t="str">
        <f t="shared" si="0"/>
        <v>No</v>
      </c>
      <c r="I60" t="str">
        <f t="shared" si="1"/>
        <v>Yes</v>
      </c>
      <c r="J60" t="str">
        <f t="shared" si="2"/>
        <v>Yes</v>
      </c>
    </row>
    <row r="61" spans="1:10" x14ac:dyDescent="0.35">
      <c r="A61" t="s">
        <v>73</v>
      </c>
      <c r="B61" t="s">
        <v>108</v>
      </c>
      <c r="C61" t="s">
        <v>109</v>
      </c>
      <c r="D61" t="s">
        <v>730</v>
      </c>
      <c r="E61">
        <f>IFERROR(VLOOKUP(C61,'New Adm Data (Mar to July)'!C:D,2,),"-")</f>
        <v>189</v>
      </c>
      <c r="F61">
        <f>IFERROR(VLOOKUP(D61,'New Adm Data (Aug to Nov)'!C:D,2,),"-")</f>
        <v>145</v>
      </c>
      <c r="G61" t="s">
        <v>1317</v>
      </c>
      <c r="H61" t="str">
        <f t="shared" si="0"/>
        <v>No</v>
      </c>
      <c r="I61" t="str">
        <f t="shared" si="1"/>
        <v>Yes</v>
      </c>
      <c r="J61" t="str">
        <f t="shared" si="2"/>
        <v>Yes</v>
      </c>
    </row>
    <row r="62" spans="1:10" x14ac:dyDescent="0.35">
      <c r="A62" t="s">
        <v>73</v>
      </c>
      <c r="B62" t="s">
        <v>110</v>
      </c>
      <c r="C62" t="s">
        <v>111</v>
      </c>
      <c r="D62" t="s">
        <v>731</v>
      </c>
      <c r="E62">
        <f>IFERROR(VLOOKUP(C62,'New Adm Data (Mar to July)'!C:D,2,),"-")</f>
        <v>5</v>
      </c>
      <c r="F62">
        <f>IFERROR(VLOOKUP(D62,'New Adm Data (Aug to Nov)'!C:D,2,),"-")</f>
        <v>1</v>
      </c>
      <c r="G62" t="s">
        <v>1316</v>
      </c>
      <c r="H62" t="str">
        <f t="shared" si="0"/>
        <v>No</v>
      </c>
      <c r="I62" t="str">
        <f t="shared" si="1"/>
        <v>No</v>
      </c>
      <c r="J62" t="str">
        <f t="shared" si="2"/>
        <v>No</v>
      </c>
    </row>
    <row r="63" spans="1:10" x14ac:dyDescent="0.35">
      <c r="A63" t="s">
        <v>73</v>
      </c>
      <c r="B63" t="s">
        <v>112</v>
      </c>
      <c r="C63" t="s">
        <v>113</v>
      </c>
      <c r="D63" t="s">
        <v>732</v>
      </c>
      <c r="E63">
        <f>IFERROR(VLOOKUP(C63,'New Adm Data (Mar to July)'!C:D,2,),"-")</f>
        <v>490</v>
      </c>
      <c r="F63">
        <f>IFERROR(VLOOKUP(D63,'New Adm Data (Aug to Nov)'!C:D,2,),"-")</f>
        <v>167</v>
      </c>
      <c r="G63" t="s">
        <v>1317</v>
      </c>
      <c r="H63" t="str">
        <f t="shared" si="0"/>
        <v>No</v>
      </c>
      <c r="I63" t="str">
        <f t="shared" si="1"/>
        <v>Yes</v>
      </c>
      <c r="J63" t="str">
        <f t="shared" si="2"/>
        <v>Yes</v>
      </c>
    </row>
    <row r="64" spans="1:10" x14ac:dyDescent="0.35">
      <c r="A64" t="s">
        <v>73</v>
      </c>
      <c r="B64" t="s">
        <v>114</v>
      </c>
      <c r="C64" t="s">
        <v>115</v>
      </c>
      <c r="D64" t="s">
        <v>733</v>
      </c>
      <c r="E64">
        <f>IFERROR(VLOOKUP(C64,'New Adm Data (Mar to July)'!C:D,2,),"-")</f>
        <v>1</v>
      </c>
      <c r="F64">
        <f>IFERROR(VLOOKUP(D64,'New Adm Data (Aug to Nov)'!C:D,2,),"-")</f>
        <v>101</v>
      </c>
      <c r="G64" t="s">
        <v>1317</v>
      </c>
      <c r="H64" t="str">
        <f t="shared" si="0"/>
        <v>No</v>
      </c>
      <c r="I64" t="str">
        <f t="shared" si="1"/>
        <v>No</v>
      </c>
      <c r="J64" t="str">
        <f t="shared" si="2"/>
        <v>No</v>
      </c>
    </row>
    <row r="65" spans="1:10" x14ac:dyDescent="0.35">
      <c r="A65" t="s">
        <v>73</v>
      </c>
      <c r="B65" t="s">
        <v>116</v>
      </c>
      <c r="C65" t="s">
        <v>117</v>
      </c>
      <c r="D65" t="s">
        <v>734</v>
      </c>
      <c r="E65">
        <f>IFERROR(VLOOKUP(C65,'New Adm Data (Mar to July)'!C:D,2,),"-")</f>
        <v>207</v>
      </c>
      <c r="F65">
        <f>IFERROR(VLOOKUP(D65,'New Adm Data (Aug to Nov)'!C:D,2,),"-")</f>
        <v>70</v>
      </c>
      <c r="G65" t="s">
        <v>1316</v>
      </c>
      <c r="H65" t="str">
        <f t="shared" si="0"/>
        <v>Yes</v>
      </c>
      <c r="I65" t="str">
        <f t="shared" si="1"/>
        <v>No</v>
      </c>
      <c r="J65" t="str">
        <f t="shared" si="2"/>
        <v>Yes</v>
      </c>
    </row>
    <row r="66" spans="1:10" x14ac:dyDescent="0.35">
      <c r="A66" t="s">
        <v>73</v>
      </c>
      <c r="B66" t="s">
        <v>118</v>
      </c>
      <c r="C66" t="s">
        <v>119</v>
      </c>
      <c r="D66" t="s">
        <v>735</v>
      </c>
      <c r="E66">
        <f>IFERROR(VLOOKUP(C66,'New Adm Data (Mar to July)'!C:D,2,),"-")</f>
        <v>133</v>
      </c>
      <c r="F66">
        <f>IFERROR(VLOOKUP(D66,'New Adm Data (Aug to Nov)'!C:D,2,),"-")</f>
        <v>88</v>
      </c>
      <c r="G66" t="s">
        <v>1317</v>
      </c>
      <c r="H66" t="str">
        <f t="shared" si="0"/>
        <v>No</v>
      </c>
      <c r="I66" t="str">
        <f t="shared" si="1"/>
        <v>No</v>
      </c>
      <c r="J66" t="str">
        <f t="shared" si="2"/>
        <v>No</v>
      </c>
    </row>
    <row r="67" spans="1:10" x14ac:dyDescent="0.35">
      <c r="A67" t="s">
        <v>73</v>
      </c>
      <c r="B67" t="s">
        <v>120</v>
      </c>
      <c r="C67" t="s">
        <v>121</v>
      </c>
      <c r="D67" t="s">
        <v>736</v>
      </c>
      <c r="E67">
        <f>IFERROR(VLOOKUP(C67,'New Adm Data (Mar to July)'!C:D,2,),"-")</f>
        <v>66</v>
      </c>
      <c r="F67">
        <f>IFERROR(VLOOKUP(D67,'New Adm Data (Aug to Nov)'!C:D,2,),"-")</f>
        <v>476</v>
      </c>
      <c r="G67" t="s">
        <v>1317</v>
      </c>
      <c r="H67" t="str">
        <f t="shared" ref="H67:H130" si="3">IF(G67&lt;&gt;"Yes",IF(SUM(E67:F67)&gt;228,"Yes","No"),"No")</f>
        <v>No</v>
      </c>
      <c r="I67" t="str">
        <f t="shared" ref="I67:I130" si="4">IF(G67="Yes",IF(SUM(E67:F67)&gt;228,"Yes","No"),"No")</f>
        <v>Yes</v>
      </c>
      <c r="J67" t="str">
        <f t="shared" ref="J67:J130" si="5">IF(H67="Yes","Yes",IF(I67="Yes","Yes","No"))</f>
        <v>Yes</v>
      </c>
    </row>
    <row r="68" spans="1:10" x14ac:dyDescent="0.35">
      <c r="A68" t="s">
        <v>73</v>
      </c>
      <c r="B68" t="s">
        <v>122</v>
      </c>
      <c r="C68" t="s">
        <v>123</v>
      </c>
      <c r="D68" t="s">
        <v>737</v>
      </c>
      <c r="E68">
        <f>IFERROR(VLOOKUP(C68,'New Adm Data (Mar to July)'!C:D,2,),"-")</f>
        <v>224</v>
      </c>
      <c r="F68">
        <f>IFERROR(VLOOKUP(D68,'New Adm Data (Aug to Nov)'!C:D,2,),"-")</f>
        <v>95</v>
      </c>
      <c r="G68" t="s">
        <v>1317</v>
      </c>
      <c r="H68" t="str">
        <f t="shared" si="3"/>
        <v>No</v>
      </c>
      <c r="I68" t="str">
        <f t="shared" si="4"/>
        <v>Yes</v>
      </c>
      <c r="J68" t="str">
        <f t="shared" si="5"/>
        <v>Yes</v>
      </c>
    </row>
    <row r="69" spans="1:10" x14ac:dyDescent="0.35">
      <c r="A69" t="s">
        <v>73</v>
      </c>
      <c r="B69" t="s">
        <v>124</v>
      </c>
      <c r="C69" t="s">
        <v>125</v>
      </c>
      <c r="D69" t="s">
        <v>738</v>
      </c>
      <c r="E69">
        <f>IFERROR(VLOOKUP(C69,'New Adm Data (Mar to July)'!C:D,2,),"-")</f>
        <v>22</v>
      </c>
      <c r="F69">
        <f>IFERROR(VLOOKUP(D69,'New Adm Data (Aug to Nov)'!C:D,2,),"-")</f>
        <v>161</v>
      </c>
      <c r="G69" t="s">
        <v>1317</v>
      </c>
      <c r="H69" t="str">
        <f t="shared" si="3"/>
        <v>No</v>
      </c>
      <c r="I69" t="str">
        <f t="shared" si="4"/>
        <v>No</v>
      </c>
      <c r="J69" t="str">
        <f t="shared" si="5"/>
        <v>No</v>
      </c>
    </row>
    <row r="70" spans="1:10" x14ac:dyDescent="0.35">
      <c r="A70" t="s">
        <v>73</v>
      </c>
      <c r="B70" t="s">
        <v>126</v>
      </c>
      <c r="C70" t="s">
        <v>127</v>
      </c>
      <c r="D70" t="s">
        <v>739</v>
      </c>
      <c r="E70">
        <f>IFERROR(VLOOKUP(C70,'New Adm Data (Mar to July)'!C:D,2,),"-")</f>
        <v>4</v>
      </c>
      <c r="F70">
        <f>IFERROR(VLOOKUP(D70,'New Adm Data (Aug to Nov)'!C:D,2,),"-")</f>
        <v>74</v>
      </c>
      <c r="G70" t="s">
        <v>1317</v>
      </c>
      <c r="H70" t="str">
        <f t="shared" si="3"/>
        <v>No</v>
      </c>
      <c r="I70" t="str">
        <f t="shared" si="4"/>
        <v>No</v>
      </c>
      <c r="J70" t="str">
        <f t="shared" si="5"/>
        <v>No</v>
      </c>
    </row>
    <row r="71" spans="1:10" x14ac:dyDescent="0.35">
      <c r="A71" t="s">
        <v>73</v>
      </c>
      <c r="B71" t="s">
        <v>128</v>
      </c>
      <c r="C71" t="s">
        <v>129</v>
      </c>
      <c r="D71" t="s">
        <v>740</v>
      </c>
      <c r="E71">
        <f>IFERROR(VLOOKUP(C71,'New Adm Data (Mar to July)'!C:D,2,),"-")</f>
        <v>184</v>
      </c>
      <c r="F71">
        <f>IFERROR(VLOOKUP(D71,'New Adm Data (Aug to Nov)'!C:D,2,),"-")</f>
        <v>89</v>
      </c>
      <c r="G71" t="s">
        <v>1317</v>
      </c>
      <c r="H71" t="str">
        <f t="shared" si="3"/>
        <v>No</v>
      </c>
      <c r="I71" t="str">
        <f t="shared" si="4"/>
        <v>Yes</v>
      </c>
      <c r="J71" t="str">
        <f t="shared" si="5"/>
        <v>Yes</v>
      </c>
    </row>
    <row r="72" spans="1:10" x14ac:dyDescent="0.35">
      <c r="A72" t="s">
        <v>73</v>
      </c>
      <c r="B72" t="s">
        <v>130</v>
      </c>
      <c r="C72" t="s">
        <v>131</v>
      </c>
      <c r="D72" t="s">
        <v>741</v>
      </c>
      <c r="E72">
        <f>IFERROR(VLOOKUP(C72,'New Adm Data (Mar to July)'!C:D,2,),"-")</f>
        <v>614</v>
      </c>
      <c r="F72">
        <f>IFERROR(VLOOKUP(D72,'New Adm Data (Aug to Nov)'!C:D,2,),"-")</f>
        <v>213</v>
      </c>
      <c r="G72" t="s">
        <v>1317</v>
      </c>
      <c r="H72" t="str">
        <f t="shared" si="3"/>
        <v>No</v>
      </c>
      <c r="I72" t="str">
        <f t="shared" si="4"/>
        <v>Yes</v>
      </c>
      <c r="J72" t="str">
        <f t="shared" si="5"/>
        <v>Yes</v>
      </c>
    </row>
    <row r="73" spans="1:10" x14ac:dyDescent="0.35">
      <c r="A73" t="s">
        <v>73</v>
      </c>
      <c r="B73" t="s">
        <v>132</v>
      </c>
      <c r="C73" t="s">
        <v>133</v>
      </c>
      <c r="D73" t="s">
        <v>742</v>
      </c>
      <c r="E73">
        <f>IFERROR(VLOOKUP(C73,'New Adm Data (Mar to July)'!C:D,2,),"-")</f>
        <v>79</v>
      </c>
      <c r="F73">
        <f>IFERROR(VLOOKUP(D73,'New Adm Data (Aug to Nov)'!C:D,2,),"-")</f>
        <v>145</v>
      </c>
      <c r="G73" t="s">
        <v>1317</v>
      </c>
      <c r="H73" t="str">
        <f t="shared" si="3"/>
        <v>No</v>
      </c>
      <c r="I73" t="str">
        <f t="shared" si="4"/>
        <v>No</v>
      </c>
      <c r="J73" t="str">
        <f t="shared" si="5"/>
        <v>No</v>
      </c>
    </row>
    <row r="74" spans="1:10" x14ac:dyDescent="0.35">
      <c r="A74" t="s">
        <v>73</v>
      </c>
      <c r="B74" t="s">
        <v>134</v>
      </c>
      <c r="C74" t="s">
        <v>135</v>
      </c>
      <c r="D74" t="s">
        <v>743</v>
      </c>
      <c r="E74">
        <f>IFERROR(VLOOKUP(C74,'New Adm Data (Mar to July)'!C:D,2,),"-")</f>
        <v>40</v>
      </c>
      <c r="F74">
        <f>IFERROR(VLOOKUP(D74,'New Adm Data (Aug to Nov)'!C:D,2,),"-")</f>
        <v>36</v>
      </c>
      <c r="G74" t="s">
        <v>1316</v>
      </c>
      <c r="H74" t="str">
        <f t="shared" si="3"/>
        <v>No</v>
      </c>
      <c r="I74" t="str">
        <f t="shared" si="4"/>
        <v>No</v>
      </c>
      <c r="J74" t="str">
        <f t="shared" si="5"/>
        <v>No</v>
      </c>
    </row>
    <row r="75" spans="1:10" x14ac:dyDescent="0.35">
      <c r="A75" t="s">
        <v>73</v>
      </c>
      <c r="B75" t="s">
        <v>136</v>
      </c>
      <c r="C75" t="s">
        <v>137</v>
      </c>
      <c r="D75" t="s">
        <v>744</v>
      </c>
      <c r="E75">
        <f>IFERROR(VLOOKUP(C75,'New Adm Data (Mar to July)'!C:D,2,),"-")</f>
        <v>0</v>
      </c>
      <c r="F75">
        <f>IFERROR(VLOOKUP(D75,'New Adm Data (Aug to Nov)'!C:D,2,),"-")</f>
        <v>0</v>
      </c>
      <c r="G75" t="s">
        <v>1316</v>
      </c>
      <c r="H75" t="str">
        <f t="shared" si="3"/>
        <v>No</v>
      </c>
      <c r="I75" t="str">
        <f t="shared" si="4"/>
        <v>No</v>
      </c>
      <c r="J75" t="str">
        <f t="shared" si="5"/>
        <v>No</v>
      </c>
    </row>
    <row r="76" spans="1:10" x14ac:dyDescent="0.35">
      <c r="A76" t="s">
        <v>73</v>
      </c>
      <c r="B76" t="s">
        <v>138</v>
      </c>
      <c r="C76" t="s">
        <v>139</v>
      </c>
      <c r="D76" t="s">
        <v>745</v>
      </c>
      <c r="E76">
        <f>IFERROR(VLOOKUP(C76,'New Adm Data (Mar to July)'!C:D,2,),"-")</f>
        <v>48</v>
      </c>
      <c r="F76">
        <f>IFERROR(VLOOKUP(D76,'New Adm Data (Aug to Nov)'!C:D,2,),"-")</f>
        <v>7</v>
      </c>
      <c r="G76" t="s">
        <v>1316</v>
      </c>
      <c r="H76" t="str">
        <f t="shared" si="3"/>
        <v>No</v>
      </c>
      <c r="I76" t="str">
        <f t="shared" si="4"/>
        <v>No</v>
      </c>
      <c r="J76" t="str">
        <f t="shared" si="5"/>
        <v>No</v>
      </c>
    </row>
    <row r="77" spans="1:10" x14ac:dyDescent="0.35">
      <c r="A77" t="s">
        <v>73</v>
      </c>
      <c r="B77" t="s">
        <v>140</v>
      </c>
      <c r="C77" t="s">
        <v>141</v>
      </c>
      <c r="D77" t="s">
        <v>746</v>
      </c>
      <c r="E77">
        <f>IFERROR(VLOOKUP(C77,'New Adm Data (Mar to July)'!C:D,2,),"-")</f>
        <v>5</v>
      </c>
      <c r="F77">
        <f>IFERROR(VLOOKUP(D77,'New Adm Data (Aug to Nov)'!C:D,2,),"-")</f>
        <v>0</v>
      </c>
      <c r="G77" t="s">
        <v>1316</v>
      </c>
      <c r="H77" t="str">
        <f t="shared" si="3"/>
        <v>No</v>
      </c>
      <c r="I77" t="str">
        <f t="shared" si="4"/>
        <v>No</v>
      </c>
      <c r="J77" t="str">
        <f t="shared" si="5"/>
        <v>No</v>
      </c>
    </row>
    <row r="78" spans="1:10" x14ac:dyDescent="0.35">
      <c r="A78" t="s">
        <v>73</v>
      </c>
      <c r="B78" t="s">
        <v>142</v>
      </c>
      <c r="C78" t="s">
        <v>143</v>
      </c>
      <c r="D78" t="s">
        <v>747</v>
      </c>
      <c r="E78">
        <f>IFERROR(VLOOKUP(C78,'New Adm Data (Mar to July)'!C:D,2,),"-")</f>
        <v>23</v>
      </c>
      <c r="F78">
        <f>IFERROR(VLOOKUP(D78,'New Adm Data (Aug to Nov)'!C:D,2,),"-")</f>
        <v>5</v>
      </c>
      <c r="G78" t="s">
        <v>1316</v>
      </c>
      <c r="H78" t="str">
        <f t="shared" si="3"/>
        <v>No</v>
      </c>
      <c r="I78" t="str">
        <f t="shared" si="4"/>
        <v>No</v>
      </c>
      <c r="J78" t="str">
        <f t="shared" si="5"/>
        <v>No</v>
      </c>
    </row>
    <row r="79" spans="1:10" x14ac:dyDescent="0.35">
      <c r="A79" t="s">
        <v>73</v>
      </c>
      <c r="B79" t="s">
        <v>144</v>
      </c>
      <c r="C79" t="s">
        <v>145</v>
      </c>
      <c r="D79" t="s">
        <v>748</v>
      </c>
      <c r="E79">
        <f>IFERROR(VLOOKUP(C79,'New Adm Data (Mar to July)'!C:D,2,),"-")</f>
        <v>0</v>
      </c>
      <c r="F79">
        <f>IFERROR(VLOOKUP(D79,'New Adm Data (Aug to Nov)'!C:D,2,),"-")</f>
        <v>1</v>
      </c>
      <c r="G79" t="s">
        <v>1316</v>
      </c>
      <c r="H79" t="str">
        <f t="shared" si="3"/>
        <v>No</v>
      </c>
      <c r="I79" t="str">
        <f t="shared" si="4"/>
        <v>No</v>
      </c>
      <c r="J79" t="str">
        <f t="shared" si="5"/>
        <v>No</v>
      </c>
    </row>
    <row r="80" spans="1:10" x14ac:dyDescent="0.35">
      <c r="A80" t="s">
        <v>73</v>
      </c>
      <c r="B80" t="s">
        <v>146</v>
      </c>
      <c r="C80" t="s">
        <v>147</v>
      </c>
      <c r="D80" t="s">
        <v>749</v>
      </c>
      <c r="E80">
        <f>IFERROR(VLOOKUP(C80,'New Adm Data (Mar to July)'!C:D,2,),"-")</f>
        <v>607</v>
      </c>
      <c r="F80">
        <f>IFERROR(VLOOKUP(D80,'New Adm Data (Aug to Nov)'!C:D,2,),"-")</f>
        <v>305</v>
      </c>
      <c r="G80" t="s">
        <v>1317</v>
      </c>
      <c r="H80" t="str">
        <f t="shared" si="3"/>
        <v>No</v>
      </c>
      <c r="I80" t="str">
        <f t="shared" si="4"/>
        <v>Yes</v>
      </c>
      <c r="J80" t="str">
        <f t="shared" si="5"/>
        <v>Yes</v>
      </c>
    </row>
    <row r="81" spans="1:10" x14ac:dyDescent="0.35">
      <c r="A81" t="s">
        <v>73</v>
      </c>
      <c r="B81" t="s">
        <v>148</v>
      </c>
      <c r="C81" t="s">
        <v>149</v>
      </c>
      <c r="D81" t="s">
        <v>750</v>
      </c>
      <c r="E81">
        <f>IFERROR(VLOOKUP(C81,'New Adm Data (Mar to July)'!C:D,2,),"-")</f>
        <v>26</v>
      </c>
      <c r="F81">
        <f>IFERROR(VLOOKUP(D81,'New Adm Data (Aug to Nov)'!C:D,2,),"-")</f>
        <v>71</v>
      </c>
      <c r="G81" t="s">
        <v>1317</v>
      </c>
      <c r="H81" t="str">
        <f t="shared" si="3"/>
        <v>No</v>
      </c>
      <c r="I81" t="str">
        <f t="shared" si="4"/>
        <v>No</v>
      </c>
      <c r="J81" t="str">
        <f t="shared" si="5"/>
        <v>No</v>
      </c>
    </row>
    <row r="82" spans="1:10" x14ac:dyDescent="0.35">
      <c r="A82" t="s">
        <v>73</v>
      </c>
      <c r="B82" t="s">
        <v>150</v>
      </c>
      <c r="C82" t="s">
        <v>151</v>
      </c>
      <c r="D82" t="s">
        <v>751</v>
      </c>
      <c r="E82">
        <f>IFERROR(VLOOKUP(C82,'New Adm Data (Mar to July)'!C:D,2,),"-")</f>
        <v>0</v>
      </c>
      <c r="F82">
        <f>IFERROR(VLOOKUP(D82,'New Adm Data (Aug to Nov)'!C:D,2,),"-")</f>
        <v>3</v>
      </c>
      <c r="G82" t="s">
        <v>1316</v>
      </c>
      <c r="H82" t="str">
        <f t="shared" si="3"/>
        <v>No</v>
      </c>
      <c r="I82" t="str">
        <f t="shared" si="4"/>
        <v>No</v>
      </c>
      <c r="J82" t="str">
        <f t="shared" si="5"/>
        <v>No</v>
      </c>
    </row>
    <row r="83" spans="1:10" x14ac:dyDescent="0.35">
      <c r="A83" t="s">
        <v>73</v>
      </c>
      <c r="B83" t="s">
        <v>152</v>
      </c>
      <c r="C83" t="s">
        <v>153</v>
      </c>
      <c r="D83" t="s">
        <v>752</v>
      </c>
      <c r="E83">
        <f>IFERROR(VLOOKUP(C83,'New Adm Data (Mar to July)'!C:D,2,),"-")</f>
        <v>39</v>
      </c>
      <c r="F83">
        <f>IFERROR(VLOOKUP(D83,'New Adm Data (Aug to Nov)'!C:D,2,),"-")</f>
        <v>0</v>
      </c>
      <c r="G83" t="s">
        <v>1316</v>
      </c>
      <c r="H83" t="str">
        <f t="shared" si="3"/>
        <v>No</v>
      </c>
      <c r="I83" t="str">
        <f t="shared" si="4"/>
        <v>No</v>
      </c>
      <c r="J83" t="str">
        <f t="shared" si="5"/>
        <v>No</v>
      </c>
    </row>
    <row r="84" spans="1:10" x14ac:dyDescent="0.35">
      <c r="A84" t="s">
        <v>73</v>
      </c>
      <c r="B84" t="s">
        <v>154</v>
      </c>
      <c r="C84" t="s">
        <v>155</v>
      </c>
      <c r="D84" t="s">
        <v>753</v>
      </c>
      <c r="E84">
        <f>IFERROR(VLOOKUP(C84,'New Adm Data (Mar to July)'!C:D,2,),"-")</f>
        <v>38</v>
      </c>
      <c r="F84">
        <f>IFERROR(VLOOKUP(D84,'New Adm Data (Aug to Nov)'!C:D,2,),"-")</f>
        <v>65</v>
      </c>
      <c r="G84" t="s">
        <v>1317</v>
      </c>
      <c r="H84" t="str">
        <f t="shared" si="3"/>
        <v>No</v>
      </c>
      <c r="I84" t="str">
        <f t="shared" si="4"/>
        <v>No</v>
      </c>
      <c r="J84" t="str">
        <f t="shared" si="5"/>
        <v>No</v>
      </c>
    </row>
    <row r="85" spans="1:10" x14ac:dyDescent="0.35">
      <c r="A85" t="s">
        <v>73</v>
      </c>
      <c r="B85" t="s">
        <v>156</v>
      </c>
      <c r="C85" t="s">
        <v>157</v>
      </c>
      <c r="D85" t="s">
        <v>754</v>
      </c>
      <c r="E85">
        <f>IFERROR(VLOOKUP(C85,'New Adm Data (Mar to July)'!C:D,2,),"-")</f>
        <v>143</v>
      </c>
      <c r="F85">
        <f>IFERROR(VLOOKUP(D85,'New Adm Data (Aug to Nov)'!C:D,2,),"-")</f>
        <v>15</v>
      </c>
      <c r="G85" t="s">
        <v>1316</v>
      </c>
      <c r="H85" t="str">
        <f t="shared" si="3"/>
        <v>No</v>
      </c>
      <c r="I85" t="str">
        <f t="shared" si="4"/>
        <v>No</v>
      </c>
      <c r="J85" t="str">
        <f t="shared" si="5"/>
        <v>No</v>
      </c>
    </row>
    <row r="86" spans="1:10" x14ac:dyDescent="0.35">
      <c r="A86" t="s">
        <v>73</v>
      </c>
      <c r="B86" t="s">
        <v>158</v>
      </c>
      <c r="C86" t="s">
        <v>159</v>
      </c>
      <c r="D86" t="s">
        <v>755</v>
      </c>
      <c r="E86">
        <f>IFERROR(VLOOKUP(C86,'New Adm Data (Mar to July)'!C:D,2,),"-")</f>
        <v>121</v>
      </c>
      <c r="F86">
        <f>IFERROR(VLOOKUP(D86,'New Adm Data (Aug to Nov)'!C:D,2,),"-")</f>
        <v>18</v>
      </c>
      <c r="G86" t="s">
        <v>1316</v>
      </c>
      <c r="H86" t="str">
        <f t="shared" si="3"/>
        <v>No</v>
      </c>
      <c r="I86" t="str">
        <f t="shared" si="4"/>
        <v>No</v>
      </c>
      <c r="J86" t="str">
        <f t="shared" si="5"/>
        <v>No</v>
      </c>
    </row>
    <row r="87" spans="1:10" x14ac:dyDescent="0.35">
      <c r="A87" t="s">
        <v>73</v>
      </c>
      <c r="B87" t="s">
        <v>160</v>
      </c>
      <c r="C87" t="s">
        <v>161</v>
      </c>
      <c r="D87" t="s">
        <v>756</v>
      </c>
      <c r="E87">
        <f>IFERROR(VLOOKUP(C87,'New Adm Data (Mar to July)'!C:D,2,),"-")</f>
        <v>12</v>
      </c>
      <c r="F87">
        <f>IFERROR(VLOOKUP(D87,'New Adm Data (Aug to Nov)'!C:D,2,),"-")</f>
        <v>4</v>
      </c>
      <c r="G87" t="s">
        <v>1316</v>
      </c>
      <c r="H87" t="str">
        <f t="shared" si="3"/>
        <v>No</v>
      </c>
      <c r="I87" t="str">
        <f t="shared" si="4"/>
        <v>No</v>
      </c>
      <c r="J87" t="str">
        <f t="shared" si="5"/>
        <v>No</v>
      </c>
    </row>
    <row r="88" spans="1:10" x14ac:dyDescent="0.35">
      <c r="A88" t="s">
        <v>73</v>
      </c>
      <c r="B88" t="s">
        <v>162</v>
      </c>
      <c r="C88" t="s">
        <v>163</v>
      </c>
      <c r="D88" t="s">
        <v>757</v>
      </c>
      <c r="E88">
        <f>IFERROR(VLOOKUP(C88,'New Adm Data (Mar to July)'!C:D,2,),"-")</f>
        <v>22</v>
      </c>
      <c r="F88">
        <f>IFERROR(VLOOKUP(D88,'New Adm Data (Aug to Nov)'!C:D,2,),"-")</f>
        <v>168</v>
      </c>
      <c r="G88" t="s">
        <v>1317</v>
      </c>
      <c r="H88" t="str">
        <f t="shared" si="3"/>
        <v>No</v>
      </c>
      <c r="I88" t="str">
        <f t="shared" si="4"/>
        <v>No</v>
      </c>
      <c r="J88" t="str">
        <f t="shared" si="5"/>
        <v>No</v>
      </c>
    </row>
    <row r="89" spans="1:10" x14ac:dyDescent="0.35">
      <c r="A89" t="s">
        <v>73</v>
      </c>
      <c r="B89" t="s">
        <v>164</v>
      </c>
      <c r="C89" t="s">
        <v>165</v>
      </c>
      <c r="D89" t="s">
        <v>758</v>
      </c>
      <c r="E89">
        <f>IFERROR(VLOOKUP(C89,'New Adm Data (Mar to July)'!C:D,2,),"-")</f>
        <v>9</v>
      </c>
      <c r="F89">
        <f>IFERROR(VLOOKUP(D89,'New Adm Data (Aug to Nov)'!C:D,2,),"-")</f>
        <v>22</v>
      </c>
      <c r="G89" t="s">
        <v>1316</v>
      </c>
      <c r="H89" t="str">
        <f t="shared" si="3"/>
        <v>No</v>
      </c>
      <c r="I89" t="str">
        <f t="shared" si="4"/>
        <v>No</v>
      </c>
      <c r="J89" t="str">
        <f t="shared" si="5"/>
        <v>No</v>
      </c>
    </row>
    <row r="90" spans="1:10" x14ac:dyDescent="0.35">
      <c r="A90" t="s">
        <v>73</v>
      </c>
      <c r="B90" t="s">
        <v>166</v>
      </c>
      <c r="C90" t="s">
        <v>167</v>
      </c>
      <c r="D90" t="s">
        <v>759</v>
      </c>
      <c r="E90">
        <f>IFERROR(VLOOKUP(C90,'New Adm Data (Mar to July)'!C:D,2,),"-")</f>
        <v>44</v>
      </c>
      <c r="F90">
        <f>IFERROR(VLOOKUP(D90,'New Adm Data (Aug to Nov)'!C:D,2,),"-")</f>
        <v>1</v>
      </c>
      <c r="G90" t="s">
        <v>1316</v>
      </c>
      <c r="H90" t="str">
        <f t="shared" si="3"/>
        <v>No</v>
      </c>
      <c r="I90" t="str">
        <f t="shared" si="4"/>
        <v>No</v>
      </c>
      <c r="J90" t="str">
        <f t="shared" si="5"/>
        <v>No</v>
      </c>
    </row>
    <row r="91" spans="1:10" x14ac:dyDescent="0.35">
      <c r="A91" t="s">
        <v>73</v>
      </c>
      <c r="B91" t="s">
        <v>168</v>
      </c>
      <c r="C91" t="s">
        <v>169</v>
      </c>
      <c r="D91" t="s">
        <v>760</v>
      </c>
      <c r="E91">
        <f>IFERROR(VLOOKUP(C91,'New Adm Data (Mar to July)'!C:D,2,),"-")</f>
        <v>481</v>
      </c>
      <c r="F91">
        <f>IFERROR(VLOOKUP(D91,'New Adm Data (Aug to Nov)'!C:D,2,),"-")</f>
        <v>183</v>
      </c>
      <c r="G91" t="s">
        <v>1317</v>
      </c>
      <c r="H91" t="str">
        <f t="shared" si="3"/>
        <v>No</v>
      </c>
      <c r="I91" t="str">
        <f t="shared" si="4"/>
        <v>Yes</v>
      </c>
      <c r="J91" t="str">
        <f t="shared" si="5"/>
        <v>Yes</v>
      </c>
    </row>
    <row r="92" spans="1:10" x14ac:dyDescent="0.35">
      <c r="A92" t="s">
        <v>73</v>
      </c>
      <c r="B92" t="s">
        <v>170</v>
      </c>
      <c r="C92" t="s">
        <v>171</v>
      </c>
      <c r="D92" t="s">
        <v>761</v>
      </c>
      <c r="E92">
        <f>IFERROR(VLOOKUP(C92,'New Adm Data (Mar to July)'!C:D,2,),"-")</f>
        <v>131</v>
      </c>
      <c r="F92">
        <f>IFERROR(VLOOKUP(D92,'New Adm Data (Aug to Nov)'!C:D,2,),"-")</f>
        <v>17</v>
      </c>
      <c r="G92" t="s">
        <v>1316</v>
      </c>
      <c r="H92" t="str">
        <f t="shared" si="3"/>
        <v>No</v>
      </c>
      <c r="I92" t="str">
        <f t="shared" si="4"/>
        <v>No</v>
      </c>
      <c r="J92" t="str">
        <f t="shared" si="5"/>
        <v>No</v>
      </c>
    </row>
    <row r="93" spans="1:10" x14ac:dyDescent="0.35">
      <c r="A93" t="s">
        <v>73</v>
      </c>
      <c r="B93" t="s">
        <v>172</v>
      </c>
      <c r="C93" t="s">
        <v>173</v>
      </c>
      <c r="D93" t="s">
        <v>762</v>
      </c>
      <c r="E93">
        <f>IFERROR(VLOOKUP(C93,'New Adm Data (Mar to July)'!C:D,2,),"-")</f>
        <v>7</v>
      </c>
      <c r="F93">
        <f>IFERROR(VLOOKUP(D93,'New Adm Data (Aug to Nov)'!C:D,2,),"-")</f>
        <v>0</v>
      </c>
      <c r="G93" t="s">
        <v>1316</v>
      </c>
      <c r="H93" t="str">
        <f t="shared" si="3"/>
        <v>No</v>
      </c>
      <c r="I93" t="str">
        <f t="shared" si="4"/>
        <v>No</v>
      </c>
      <c r="J93" t="str">
        <f t="shared" si="5"/>
        <v>No</v>
      </c>
    </row>
    <row r="94" spans="1:10" x14ac:dyDescent="0.35">
      <c r="A94" t="s">
        <v>174</v>
      </c>
      <c r="B94" t="s">
        <v>175</v>
      </c>
      <c r="C94" t="s">
        <v>176</v>
      </c>
      <c r="D94" t="s">
        <v>1310</v>
      </c>
      <c r="E94">
        <f>IFERROR(VLOOKUP(C94,'New Adm Data (Mar to July)'!C:D,2,),"-")</f>
        <v>0</v>
      </c>
      <c r="F94" t="str">
        <f>IFERROR(VLOOKUP(D94,'New Adm Data (Aug to Nov)'!C:D,2,),"-")</f>
        <v>-</v>
      </c>
      <c r="G94" t="s">
        <v>1324</v>
      </c>
      <c r="H94" t="str">
        <f t="shared" si="3"/>
        <v>No</v>
      </c>
      <c r="I94" t="str">
        <f t="shared" si="4"/>
        <v>No</v>
      </c>
      <c r="J94" t="str">
        <f t="shared" si="5"/>
        <v>No</v>
      </c>
    </row>
    <row r="95" spans="1:10" x14ac:dyDescent="0.35">
      <c r="A95" t="s">
        <v>174</v>
      </c>
      <c r="B95" t="s">
        <v>177</v>
      </c>
      <c r="C95" t="s">
        <v>178</v>
      </c>
      <c r="D95" t="s">
        <v>1310</v>
      </c>
      <c r="E95">
        <f>IFERROR(VLOOKUP(C95,'New Adm Data (Mar to July)'!C:D,2,),"-")</f>
        <v>0</v>
      </c>
      <c r="F95" t="str">
        <f>IFERROR(VLOOKUP(D95,'New Adm Data (Aug to Nov)'!C:D,2,),"-")</f>
        <v>-</v>
      </c>
      <c r="G95" t="s">
        <v>1324</v>
      </c>
      <c r="H95" t="str">
        <f t="shared" si="3"/>
        <v>No</v>
      </c>
      <c r="I95" t="str">
        <f t="shared" si="4"/>
        <v>No</v>
      </c>
      <c r="J95" t="str">
        <f t="shared" si="5"/>
        <v>No</v>
      </c>
    </row>
    <row r="96" spans="1:10" x14ac:dyDescent="0.35">
      <c r="A96" t="s">
        <v>174</v>
      </c>
      <c r="B96" t="s">
        <v>7</v>
      </c>
      <c r="C96" t="s">
        <v>8</v>
      </c>
      <c r="D96" t="s">
        <v>1310</v>
      </c>
      <c r="E96">
        <f>IFERROR(VLOOKUP(C96,'New Adm Data (Mar to July)'!C:D,2,),"-")</f>
        <v>0</v>
      </c>
      <c r="F96" t="str">
        <f>IFERROR(VLOOKUP(D96,'New Adm Data (Aug to Nov)'!C:D,2,),"-")</f>
        <v>-</v>
      </c>
      <c r="G96" t="s">
        <v>1324</v>
      </c>
      <c r="H96" t="str">
        <f t="shared" si="3"/>
        <v>No</v>
      </c>
      <c r="I96" t="str">
        <f t="shared" si="4"/>
        <v>No</v>
      </c>
      <c r="J96" t="str">
        <f t="shared" si="5"/>
        <v>No</v>
      </c>
    </row>
    <row r="97" spans="1:10" x14ac:dyDescent="0.35">
      <c r="A97" t="s">
        <v>174</v>
      </c>
      <c r="B97" t="s">
        <v>179</v>
      </c>
      <c r="C97" t="s">
        <v>180</v>
      </c>
      <c r="D97" t="s">
        <v>1310</v>
      </c>
      <c r="E97">
        <f>IFERROR(VLOOKUP(C97,'New Adm Data (Mar to July)'!C:D,2,),"-")</f>
        <v>0</v>
      </c>
      <c r="F97" t="str">
        <f>IFERROR(VLOOKUP(D97,'New Adm Data (Aug to Nov)'!C:D,2,),"-")</f>
        <v>-</v>
      </c>
      <c r="G97" t="s">
        <v>1324</v>
      </c>
      <c r="H97" t="str">
        <f t="shared" si="3"/>
        <v>No</v>
      </c>
      <c r="I97" t="str">
        <f t="shared" si="4"/>
        <v>No</v>
      </c>
      <c r="J97" t="str">
        <f t="shared" si="5"/>
        <v>No</v>
      </c>
    </row>
    <row r="98" spans="1:10" x14ac:dyDescent="0.35">
      <c r="A98" t="s">
        <v>174</v>
      </c>
      <c r="B98" t="s">
        <v>13</v>
      </c>
      <c r="C98" t="s">
        <v>14</v>
      </c>
      <c r="D98" t="s">
        <v>1310</v>
      </c>
      <c r="E98">
        <f>IFERROR(VLOOKUP(C98,'New Adm Data (Mar to July)'!C:D,2,),"-")</f>
        <v>0</v>
      </c>
      <c r="F98" t="str">
        <f>IFERROR(VLOOKUP(D98,'New Adm Data (Aug to Nov)'!C:D,2,),"-")</f>
        <v>-</v>
      </c>
      <c r="G98" t="s">
        <v>1324</v>
      </c>
      <c r="H98" t="str">
        <f t="shared" si="3"/>
        <v>No</v>
      </c>
      <c r="I98" t="str">
        <f t="shared" si="4"/>
        <v>No</v>
      </c>
      <c r="J98" t="str">
        <f t="shared" si="5"/>
        <v>No</v>
      </c>
    </row>
    <row r="99" spans="1:10" x14ac:dyDescent="0.35">
      <c r="A99" t="s">
        <v>174</v>
      </c>
      <c r="B99" t="s">
        <v>181</v>
      </c>
      <c r="C99" t="s">
        <v>182</v>
      </c>
      <c r="D99" t="s">
        <v>805</v>
      </c>
      <c r="E99">
        <f>IFERROR(VLOOKUP(C99,'New Adm Data (Mar to July)'!C:D,2,),"-")</f>
        <v>0</v>
      </c>
      <c r="F99">
        <f>IFERROR(VLOOKUP(D99,'New Adm Data (Aug to Nov)'!C:D,2,),"-")</f>
        <v>0</v>
      </c>
      <c r="G99" t="s">
        <v>1316</v>
      </c>
      <c r="H99" t="str">
        <f t="shared" si="3"/>
        <v>No</v>
      </c>
      <c r="I99" t="str">
        <f t="shared" si="4"/>
        <v>No</v>
      </c>
      <c r="J99" t="str">
        <f t="shared" si="5"/>
        <v>No</v>
      </c>
    </row>
    <row r="100" spans="1:10" x14ac:dyDescent="0.35">
      <c r="A100" t="s">
        <v>174</v>
      </c>
      <c r="B100" t="s">
        <v>19</v>
      </c>
      <c r="C100" t="s">
        <v>20</v>
      </c>
      <c r="D100" t="s">
        <v>1310</v>
      </c>
      <c r="E100">
        <f>IFERROR(VLOOKUP(C100,'New Adm Data (Mar to July)'!C:D,2,),"-")</f>
        <v>0</v>
      </c>
      <c r="F100" t="str">
        <f>IFERROR(VLOOKUP(D100,'New Adm Data (Aug to Nov)'!C:D,2,),"-")</f>
        <v>-</v>
      </c>
      <c r="G100" t="s">
        <v>1324</v>
      </c>
      <c r="H100" t="str">
        <f t="shared" si="3"/>
        <v>No</v>
      </c>
      <c r="I100" t="str">
        <f t="shared" si="4"/>
        <v>No</v>
      </c>
      <c r="J100" t="str">
        <f t="shared" si="5"/>
        <v>No</v>
      </c>
    </row>
    <row r="101" spans="1:10" x14ac:dyDescent="0.35">
      <c r="A101" t="s">
        <v>174</v>
      </c>
      <c r="B101" t="s">
        <v>21</v>
      </c>
      <c r="C101" t="s">
        <v>22</v>
      </c>
      <c r="D101" t="s">
        <v>1310</v>
      </c>
      <c r="E101">
        <f>IFERROR(VLOOKUP(C101,'New Adm Data (Mar to July)'!C:D,2,),"-")</f>
        <v>0</v>
      </c>
      <c r="F101" t="str">
        <f>IFERROR(VLOOKUP(D101,'New Adm Data (Aug to Nov)'!C:D,2,),"-")</f>
        <v>-</v>
      </c>
      <c r="G101" t="s">
        <v>1324</v>
      </c>
      <c r="H101" t="str">
        <f t="shared" si="3"/>
        <v>No</v>
      </c>
      <c r="I101" t="str">
        <f t="shared" si="4"/>
        <v>No</v>
      </c>
      <c r="J101" t="str">
        <f t="shared" si="5"/>
        <v>No</v>
      </c>
    </row>
    <row r="102" spans="1:10" x14ac:dyDescent="0.35">
      <c r="A102" t="s">
        <v>174</v>
      </c>
      <c r="B102" t="s">
        <v>23</v>
      </c>
      <c r="C102" t="s">
        <v>24</v>
      </c>
      <c r="D102" t="s">
        <v>1310</v>
      </c>
      <c r="E102">
        <f>IFERROR(VLOOKUP(C102,'New Adm Data (Mar to July)'!C:D,2,),"-")</f>
        <v>0</v>
      </c>
      <c r="F102" t="str">
        <f>IFERROR(VLOOKUP(D102,'New Adm Data (Aug to Nov)'!C:D,2,),"-")</f>
        <v>-</v>
      </c>
      <c r="G102" t="s">
        <v>1324</v>
      </c>
      <c r="H102" t="str">
        <f t="shared" si="3"/>
        <v>No</v>
      </c>
      <c r="I102" t="str">
        <f t="shared" si="4"/>
        <v>No</v>
      </c>
      <c r="J102" t="str">
        <f t="shared" si="5"/>
        <v>No</v>
      </c>
    </row>
    <row r="103" spans="1:10" x14ac:dyDescent="0.35">
      <c r="A103" t="s">
        <v>174</v>
      </c>
      <c r="B103" t="s">
        <v>98</v>
      </c>
      <c r="C103" t="s">
        <v>99</v>
      </c>
      <c r="D103" t="s">
        <v>1310</v>
      </c>
      <c r="E103">
        <f>IFERROR(VLOOKUP(C103,'New Adm Data (Mar to July)'!C:D,2,),"-")</f>
        <v>1</v>
      </c>
      <c r="F103" t="str">
        <f>IFERROR(VLOOKUP(D103,'New Adm Data (Aug to Nov)'!C:D,2,),"-")</f>
        <v>-</v>
      </c>
      <c r="G103" t="s">
        <v>1324</v>
      </c>
      <c r="H103" t="str">
        <f t="shared" si="3"/>
        <v>No</v>
      </c>
      <c r="I103" t="str">
        <f t="shared" si="4"/>
        <v>No</v>
      </c>
      <c r="J103" t="str">
        <f t="shared" si="5"/>
        <v>No</v>
      </c>
    </row>
    <row r="104" spans="1:10" x14ac:dyDescent="0.35">
      <c r="A104" t="s">
        <v>174</v>
      </c>
      <c r="B104" t="s">
        <v>183</v>
      </c>
      <c r="C104" t="s">
        <v>184</v>
      </c>
      <c r="D104" t="s">
        <v>1310</v>
      </c>
      <c r="E104">
        <f>IFERROR(VLOOKUP(C104,'New Adm Data (Mar to July)'!C:D,2,),"-")</f>
        <v>0</v>
      </c>
      <c r="F104" t="str">
        <f>IFERROR(VLOOKUP(D104,'New Adm Data (Aug to Nov)'!C:D,2,),"-")</f>
        <v>-</v>
      </c>
      <c r="G104" t="s">
        <v>1324</v>
      </c>
      <c r="H104" t="str">
        <f t="shared" si="3"/>
        <v>No</v>
      </c>
      <c r="I104" t="str">
        <f t="shared" si="4"/>
        <v>No</v>
      </c>
      <c r="J104" t="str">
        <f t="shared" si="5"/>
        <v>No</v>
      </c>
    </row>
    <row r="105" spans="1:10" x14ac:dyDescent="0.35">
      <c r="A105" t="s">
        <v>174</v>
      </c>
      <c r="B105" t="s">
        <v>25</v>
      </c>
      <c r="C105" t="s">
        <v>26</v>
      </c>
      <c r="D105" t="s">
        <v>1310</v>
      </c>
      <c r="E105">
        <f>IFERROR(VLOOKUP(C105,'New Adm Data (Mar to July)'!C:D,2,),"-")</f>
        <v>0</v>
      </c>
      <c r="F105" t="str">
        <f>IFERROR(VLOOKUP(D105,'New Adm Data (Aug to Nov)'!C:D,2,),"-")</f>
        <v>-</v>
      </c>
      <c r="G105" t="s">
        <v>1324</v>
      </c>
      <c r="H105" t="str">
        <f t="shared" si="3"/>
        <v>No</v>
      </c>
      <c r="I105" t="str">
        <f t="shared" si="4"/>
        <v>No</v>
      </c>
      <c r="J105" t="str">
        <f t="shared" si="5"/>
        <v>No</v>
      </c>
    </row>
    <row r="106" spans="1:10" x14ac:dyDescent="0.35">
      <c r="A106" t="s">
        <v>174</v>
      </c>
      <c r="B106" t="s">
        <v>27</v>
      </c>
      <c r="C106" t="s">
        <v>28</v>
      </c>
      <c r="D106" t="s">
        <v>1310</v>
      </c>
      <c r="E106">
        <f>IFERROR(VLOOKUP(C106,'New Adm Data (Mar to July)'!C:D,2,),"-")</f>
        <v>0</v>
      </c>
      <c r="F106" t="str">
        <f>IFERROR(VLOOKUP(D106,'New Adm Data (Aug to Nov)'!C:D,2,),"-")</f>
        <v>-</v>
      </c>
      <c r="G106" t="s">
        <v>1324</v>
      </c>
      <c r="H106" t="str">
        <f t="shared" si="3"/>
        <v>No</v>
      </c>
      <c r="I106" t="str">
        <f t="shared" si="4"/>
        <v>No</v>
      </c>
      <c r="J106" t="str">
        <f t="shared" si="5"/>
        <v>No</v>
      </c>
    </row>
    <row r="107" spans="1:10" x14ac:dyDescent="0.35">
      <c r="A107" t="s">
        <v>174</v>
      </c>
      <c r="B107" t="s">
        <v>185</v>
      </c>
      <c r="C107" t="s">
        <v>186</v>
      </c>
      <c r="D107" t="s">
        <v>874</v>
      </c>
      <c r="E107">
        <f>IFERROR(VLOOKUP(C107,'New Adm Data (Mar to July)'!C:D,2,),"-")</f>
        <v>73</v>
      </c>
      <c r="F107">
        <f>IFERROR(VLOOKUP(D107,'New Adm Data (Aug to Nov)'!C:D,2,),"-")</f>
        <v>13</v>
      </c>
      <c r="G107" t="s">
        <v>1316</v>
      </c>
      <c r="H107" t="str">
        <f t="shared" si="3"/>
        <v>No</v>
      </c>
      <c r="I107" t="str">
        <f t="shared" si="4"/>
        <v>No</v>
      </c>
      <c r="J107" t="str">
        <f t="shared" si="5"/>
        <v>No</v>
      </c>
    </row>
    <row r="108" spans="1:10" x14ac:dyDescent="0.35">
      <c r="A108" t="s">
        <v>174</v>
      </c>
      <c r="B108" t="s">
        <v>187</v>
      </c>
      <c r="C108" t="s">
        <v>188</v>
      </c>
      <c r="D108" t="s">
        <v>875</v>
      </c>
      <c r="E108">
        <f>IFERROR(VLOOKUP(C108,'New Adm Data (Mar to July)'!C:D,2,),"-")</f>
        <v>75</v>
      </c>
      <c r="F108">
        <f>IFERROR(VLOOKUP(D108,'New Adm Data (Aug to Nov)'!C:D,2,),"-")</f>
        <v>5</v>
      </c>
      <c r="G108" t="s">
        <v>1316</v>
      </c>
      <c r="H108" t="str">
        <f t="shared" si="3"/>
        <v>No</v>
      </c>
      <c r="I108" t="str">
        <f t="shared" si="4"/>
        <v>No</v>
      </c>
      <c r="J108" t="str">
        <f t="shared" si="5"/>
        <v>No</v>
      </c>
    </row>
    <row r="109" spans="1:10" x14ac:dyDescent="0.35">
      <c r="A109" t="s">
        <v>174</v>
      </c>
      <c r="B109" t="s">
        <v>189</v>
      </c>
      <c r="C109" t="s">
        <v>190</v>
      </c>
      <c r="D109" t="s">
        <v>876</v>
      </c>
      <c r="E109">
        <f>IFERROR(VLOOKUP(C109,'New Adm Data (Mar to July)'!C:D,2,),"-")</f>
        <v>159</v>
      </c>
      <c r="F109">
        <f>IFERROR(VLOOKUP(D109,'New Adm Data (Aug to Nov)'!C:D,2,),"-")</f>
        <v>271</v>
      </c>
      <c r="G109" t="s">
        <v>1317</v>
      </c>
      <c r="H109" t="str">
        <f t="shared" si="3"/>
        <v>No</v>
      </c>
      <c r="I109" t="str">
        <f t="shared" si="4"/>
        <v>Yes</v>
      </c>
      <c r="J109" t="str">
        <f t="shared" si="5"/>
        <v>Yes</v>
      </c>
    </row>
    <row r="110" spans="1:10" x14ac:dyDescent="0.35">
      <c r="A110" t="s">
        <v>174</v>
      </c>
      <c r="B110" t="s">
        <v>191</v>
      </c>
      <c r="C110" t="s">
        <v>192</v>
      </c>
      <c r="D110" t="s">
        <v>877</v>
      </c>
      <c r="E110">
        <f>IFERROR(VLOOKUP(C110,'New Adm Data (Mar to July)'!C:D,2,),"-")</f>
        <v>106</v>
      </c>
      <c r="F110">
        <f>IFERROR(VLOOKUP(D110,'New Adm Data (Aug to Nov)'!C:D,2,),"-")</f>
        <v>152</v>
      </c>
      <c r="G110" t="s">
        <v>1317</v>
      </c>
      <c r="H110" t="str">
        <f t="shared" si="3"/>
        <v>No</v>
      </c>
      <c r="I110" t="str">
        <f t="shared" si="4"/>
        <v>Yes</v>
      </c>
      <c r="J110" t="str">
        <f t="shared" si="5"/>
        <v>Yes</v>
      </c>
    </row>
    <row r="111" spans="1:10" x14ac:dyDescent="0.35">
      <c r="A111" t="s">
        <v>174</v>
      </c>
      <c r="B111" t="s">
        <v>193</v>
      </c>
      <c r="C111" t="s">
        <v>194</v>
      </c>
      <c r="D111" t="s">
        <v>878</v>
      </c>
      <c r="E111">
        <f>IFERROR(VLOOKUP(C111,'New Adm Data (Mar to July)'!C:D,2,),"-")</f>
        <v>2</v>
      </c>
      <c r="F111">
        <f>IFERROR(VLOOKUP(D111,'New Adm Data (Aug to Nov)'!C:D,2,),"-")</f>
        <v>73</v>
      </c>
      <c r="G111" t="s">
        <v>1316</v>
      </c>
      <c r="H111" t="str">
        <f t="shared" si="3"/>
        <v>No</v>
      </c>
      <c r="I111" t="str">
        <f t="shared" si="4"/>
        <v>No</v>
      </c>
      <c r="J111" t="str">
        <f t="shared" si="5"/>
        <v>No</v>
      </c>
    </row>
    <row r="112" spans="1:10" x14ac:dyDescent="0.35">
      <c r="A112" t="s">
        <v>174</v>
      </c>
      <c r="B112" t="s">
        <v>195</v>
      </c>
      <c r="C112" t="s">
        <v>196</v>
      </c>
      <c r="D112" t="s">
        <v>879</v>
      </c>
      <c r="E112">
        <f>IFERROR(VLOOKUP(C112,'New Adm Data (Mar to July)'!C:D,2,),"-")</f>
        <v>69</v>
      </c>
      <c r="F112">
        <f>IFERROR(VLOOKUP(D112,'New Adm Data (Aug to Nov)'!C:D,2,),"-")</f>
        <v>51</v>
      </c>
      <c r="G112" t="s">
        <v>1317</v>
      </c>
      <c r="H112" t="str">
        <f t="shared" si="3"/>
        <v>No</v>
      </c>
      <c r="I112" t="str">
        <f t="shared" si="4"/>
        <v>No</v>
      </c>
      <c r="J112" t="str">
        <f t="shared" si="5"/>
        <v>No</v>
      </c>
    </row>
    <row r="113" spans="1:10" x14ac:dyDescent="0.35">
      <c r="A113" t="s">
        <v>174</v>
      </c>
      <c r="B113" t="s">
        <v>197</v>
      </c>
      <c r="C113" t="s">
        <v>198</v>
      </c>
      <c r="D113" t="s">
        <v>880</v>
      </c>
      <c r="E113">
        <f>IFERROR(VLOOKUP(C113,'New Adm Data (Mar to July)'!C:D,2,),"-")</f>
        <v>571</v>
      </c>
      <c r="F113">
        <f>IFERROR(VLOOKUP(D113,'New Adm Data (Aug to Nov)'!C:D,2,),"-")</f>
        <v>468</v>
      </c>
      <c r="G113" t="s">
        <v>1317</v>
      </c>
      <c r="H113" t="str">
        <f t="shared" si="3"/>
        <v>No</v>
      </c>
      <c r="I113" t="str">
        <f t="shared" si="4"/>
        <v>Yes</v>
      </c>
      <c r="J113" t="str">
        <f t="shared" si="5"/>
        <v>Yes</v>
      </c>
    </row>
    <row r="114" spans="1:10" x14ac:dyDescent="0.35">
      <c r="A114" t="s">
        <v>174</v>
      </c>
      <c r="B114" t="s">
        <v>199</v>
      </c>
      <c r="C114" t="s">
        <v>200</v>
      </c>
      <c r="D114" t="s">
        <v>881</v>
      </c>
      <c r="E114">
        <f>IFERROR(VLOOKUP(C114,'New Adm Data (Mar to July)'!C:D,2,),"-")</f>
        <v>3</v>
      </c>
      <c r="F114">
        <f>IFERROR(VLOOKUP(D114,'New Adm Data (Aug to Nov)'!C:D,2,),"-")</f>
        <v>197</v>
      </c>
      <c r="G114" t="s">
        <v>1317</v>
      </c>
      <c r="H114" t="str">
        <f t="shared" si="3"/>
        <v>No</v>
      </c>
      <c r="I114" t="str">
        <f t="shared" si="4"/>
        <v>No</v>
      </c>
      <c r="J114" t="str">
        <f t="shared" si="5"/>
        <v>No</v>
      </c>
    </row>
    <row r="115" spans="1:10" x14ac:dyDescent="0.35">
      <c r="A115" t="s">
        <v>174</v>
      </c>
      <c r="B115" t="s">
        <v>201</v>
      </c>
      <c r="C115" t="s">
        <v>202</v>
      </c>
      <c r="D115" t="s">
        <v>882</v>
      </c>
      <c r="E115">
        <f>IFERROR(VLOOKUP(C115,'New Adm Data (Mar to July)'!C:D,2,),"-")</f>
        <v>78</v>
      </c>
      <c r="F115">
        <f>IFERROR(VLOOKUP(D115,'New Adm Data (Aug to Nov)'!C:D,2,),"-")</f>
        <v>177</v>
      </c>
      <c r="G115" t="s">
        <v>1317</v>
      </c>
      <c r="H115" t="str">
        <f t="shared" si="3"/>
        <v>No</v>
      </c>
      <c r="I115" t="str">
        <f t="shared" si="4"/>
        <v>Yes</v>
      </c>
      <c r="J115" t="str">
        <f t="shared" si="5"/>
        <v>Yes</v>
      </c>
    </row>
    <row r="116" spans="1:10" x14ac:dyDescent="0.35">
      <c r="A116" t="s">
        <v>174</v>
      </c>
      <c r="B116" t="s">
        <v>203</v>
      </c>
      <c r="C116" t="s">
        <v>204</v>
      </c>
      <c r="D116" t="s">
        <v>883</v>
      </c>
      <c r="E116">
        <f>IFERROR(VLOOKUP(C116,'New Adm Data (Mar to July)'!C:D,2,),"-")</f>
        <v>0</v>
      </c>
      <c r="F116">
        <f>IFERROR(VLOOKUP(D116,'New Adm Data (Aug to Nov)'!C:D,2,),"-")</f>
        <v>0</v>
      </c>
      <c r="G116" t="s">
        <v>1316</v>
      </c>
      <c r="H116" t="str">
        <f t="shared" si="3"/>
        <v>No</v>
      </c>
      <c r="I116" t="str">
        <f t="shared" si="4"/>
        <v>No</v>
      </c>
      <c r="J116" t="str">
        <f t="shared" si="5"/>
        <v>No</v>
      </c>
    </row>
    <row r="117" spans="1:10" x14ac:dyDescent="0.35">
      <c r="A117" t="s">
        <v>174</v>
      </c>
      <c r="B117" t="s">
        <v>205</v>
      </c>
      <c r="C117" t="s">
        <v>206</v>
      </c>
      <c r="D117" t="s">
        <v>884</v>
      </c>
      <c r="E117">
        <f>IFERROR(VLOOKUP(C117,'New Adm Data (Mar to July)'!C:D,2,),"-")</f>
        <v>191</v>
      </c>
      <c r="F117">
        <f>IFERROR(VLOOKUP(D117,'New Adm Data (Aug to Nov)'!C:D,2,),"-")</f>
        <v>216</v>
      </c>
      <c r="G117" t="s">
        <v>1317</v>
      </c>
      <c r="H117" t="str">
        <f t="shared" si="3"/>
        <v>No</v>
      </c>
      <c r="I117" t="str">
        <f t="shared" si="4"/>
        <v>Yes</v>
      </c>
      <c r="J117" t="str">
        <f t="shared" si="5"/>
        <v>Yes</v>
      </c>
    </row>
    <row r="118" spans="1:10" x14ac:dyDescent="0.35">
      <c r="A118" t="s">
        <v>174</v>
      </c>
      <c r="B118" t="s">
        <v>207</v>
      </c>
      <c r="C118" t="s">
        <v>208</v>
      </c>
      <c r="D118" t="s">
        <v>885</v>
      </c>
      <c r="E118">
        <f>IFERROR(VLOOKUP(C118,'New Adm Data (Mar to July)'!C:D,2,),"-")</f>
        <v>117</v>
      </c>
      <c r="F118">
        <f>IFERROR(VLOOKUP(D118,'New Adm Data (Aug to Nov)'!C:D,2,),"-")</f>
        <v>39</v>
      </c>
      <c r="G118" t="s">
        <v>1317</v>
      </c>
      <c r="H118" t="str">
        <f t="shared" si="3"/>
        <v>No</v>
      </c>
      <c r="I118" t="str">
        <f t="shared" si="4"/>
        <v>No</v>
      </c>
      <c r="J118" t="str">
        <f t="shared" si="5"/>
        <v>No</v>
      </c>
    </row>
    <row r="119" spans="1:10" x14ac:dyDescent="0.35">
      <c r="A119" t="s">
        <v>174</v>
      </c>
      <c r="B119" t="s">
        <v>209</v>
      </c>
      <c r="C119" t="s">
        <v>210</v>
      </c>
      <c r="D119" t="s">
        <v>886</v>
      </c>
      <c r="E119">
        <f>IFERROR(VLOOKUP(C119,'New Adm Data (Mar to July)'!C:D,2,),"-")</f>
        <v>53</v>
      </c>
      <c r="F119">
        <f>IFERROR(VLOOKUP(D119,'New Adm Data (Aug to Nov)'!C:D,2,),"-")</f>
        <v>63</v>
      </c>
      <c r="G119" t="s">
        <v>1317</v>
      </c>
      <c r="H119" t="str">
        <f t="shared" si="3"/>
        <v>No</v>
      </c>
      <c r="I119" t="str">
        <f t="shared" si="4"/>
        <v>No</v>
      </c>
      <c r="J119" t="str">
        <f t="shared" si="5"/>
        <v>No</v>
      </c>
    </row>
    <row r="120" spans="1:10" x14ac:dyDescent="0.35">
      <c r="A120" t="s">
        <v>174</v>
      </c>
      <c r="B120" t="s">
        <v>211</v>
      </c>
      <c r="C120" t="s">
        <v>212</v>
      </c>
      <c r="D120" t="s">
        <v>887</v>
      </c>
      <c r="E120">
        <f>IFERROR(VLOOKUP(C120,'New Adm Data (Mar to July)'!C:D,2,),"-")</f>
        <v>5</v>
      </c>
      <c r="F120">
        <f>IFERROR(VLOOKUP(D120,'New Adm Data (Aug to Nov)'!C:D,2,),"-")</f>
        <v>38</v>
      </c>
      <c r="G120" t="s">
        <v>1316</v>
      </c>
      <c r="H120" t="str">
        <f t="shared" si="3"/>
        <v>No</v>
      </c>
      <c r="I120" t="str">
        <f t="shared" si="4"/>
        <v>No</v>
      </c>
      <c r="J120" t="str">
        <f t="shared" si="5"/>
        <v>No</v>
      </c>
    </row>
    <row r="121" spans="1:10" x14ac:dyDescent="0.35">
      <c r="A121" t="s">
        <v>174</v>
      </c>
      <c r="B121" t="s">
        <v>213</v>
      </c>
      <c r="C121" t="s">
        <v>214</v>
      </c>
      <c r="D121" t="s">
        <v>888</v>
      </c>
      <c r="E121">
        <f>IFERROR(VLOOKUP(C121,'New Adm Data (Mar to July)'!C:D,2,),"-")</f>
        <v>108</v>
      </c>
      <c r="F121">
        <f>IFERROR(VLOOKUP(D121,'New Adm Data (Aug to Nov)'!C:D,2,),"-")</f>
        <v>197</v>
      </c>
      <c r="G121" t="s">
        <v>1317</v>
      </c>
      <c r="H121" t="str">
        <f t="shared" si="3"/>
        <v>No</v>
      </c>
      <c r="I121" t="str">
        <f t="shared" si="4"/>
        <v>Yes</v>
      </c>
      <c r="J121" t="str">
        <f t="shared" si="5"/>
        <v>Yes</v>
      </c>
    </row>
    <row r="122" spans="1:10" x14ac:dyDescent="0.35">
      <c r="A122" t="s">
        <v>174</v>
      </c>
      <c r="B122" t="s">
        <v>215</v>
      </c>
      <c r="C122" t="s">
        <v>216</v>
      </c>
      <c r="D122" t="s">
        <v>889</v>
      </c>
      <c r="E122">
        <f>IFERROR(VLOOKUP(C122,'New Adm Data (Mar to July)'!C:D,2,),"-")</f>
        <v>111</v>
      </c>
      <c r="F122">
        <f>IFERROR(VLOOKUP(D122,'New Adm Data (Aug to Nov)'!C:D,2,),"-")</f>
        <v>114</v>
      </c>
      <c r="G122" t="s">
        <v>1317</v>
      </c>
      <c r="H122" t="str">
        <f t="shared" si="3"/>
        <v>No</v>
      </c>
      <c r="I122" t="str">
        <f t="shared" si="4"/>
        <v>No</v>
      </c>
      <c r="J122" t="str">
        <f t="shared" si="5"/>
        <v>No</v>
      </c>
    </row>
    <row r="123" spans="1:10" x14ac:dyDescent="0.35">
      <c r="A123" t="s">
        <v>174</v>
      </c>
      <c r="B123" t="s">
        <v>217</v>
      </c>
      <c r="C123" t="s">
        <v>218</v>
      </c>
      <c r="D123" t="s">
        <v>890</v>
      </c>
      <c r="E123">
        <f>IFERROR(VLOOKUP(C123,'New Adm Data (Mar to July)'!C:D,2,),"-")</f>
        <v>231</v>
      </c>
      <c r="F123">
        <f>IFERROR(VLOOKUP(D123,'New Adm Data (Aug to Nov)'!C:D,2,),"-")</f>
        <v>159</v>
      </c>
      <c r="G123" t="s">
        <v>1317</v>
      </c>
      <c r="H123" t="str">
        <f t="shared" si="3"/>
        <v>No</v>
      </c>
      <c r="I123" t="str">
        <f t="shared" si="4"/>
        <v>Yes</v>
      </c>
      <c r="J123" t="str">
        <f t="shared" si="5"/>
        <v>Yes</v>
      </c>
    </row>
    <row r="124" spans="1:10" x14ac:dyDescent="0.35">
      <c r="A124" t="s">
        <v>174</v>
      </c>
      <c r="B124" t="s">
        <v>219</v>
      </c>
      <c r="C124" t="s">
        <v>220</v>
      </c>
      <c r="D124" t="s">
        <v>891</v>
      </c>
      <c r="E124">
        <f>IFERROR(VLOOKUP(C124,'New Adm Data (Mar to July)'!C:D,2,),"-")</f>
        <v>68</v>
      </c>
      <c r="F124">
        <f>IFERROR(VLOOKUP(D124,'New Adm Data (Aug to Nov)'!C:D,2,),"-")</f>
        <v>2</v>
      </c>
      <c r="G124" t="s">
        <v>1316</v>
      </c>
      <c r="H124" t="str">
        <f t="shared" si="3"/>
        <v>No</v>
      </c>
      <c r="I124" t="str">
        <f t="shared" si="4"/>
        <v>No</v>
      </c>
      <c r="J124" t="str">
        <f t="shared" si="5"/>
        <v>No</v>
      </c>
    </row>
    <row r="125" spans="1:10" x14ac:dyDescent="0.35">
      <c r="A125" t="s">
        <v>174</v>
      </c>
      <c r="B125" t="s">
        <v>221</v>
      </c>
      <c r="C125" t="s">
        <v>222</v>
      </c>
      <c r="D125" t="s">
        <v>892</v>
      </c>
      <c r="E125">
        <f>IFERROR(VLOOKUP(C125,'New Adm Data (Mar to July)'!C:D,2,),"-")</f>
        <v>0</v>
      </c>
      <c r="F125">
        <f>IFERROR(VLOOKUP(D125,'New Adm Data (Aug to Nov)'!C:D,2,),"-")</f>
        <v>0</v>
      </c>
      <c r="G125" t="s">
        <v>1316</v>
      </c>
      <c r="H125" t="str">
        <f t="shared" si="3"/>
        <v>No</v>
      </c>
      <c r="I125" t="str">
        <f t="shared" si="4"/>
        <v>No</v>
      </c>
      <c r="J125" t="str">
        <f t="shared" si="5"/>
        <v>No</v>
      </c>
    </row>
    <row r="126" spans="1:10" x14ac:dyDescent="0.35">
      <c r="A126" t="s">
        <v>174</v>
      </c>
      <c r="B126" t="s">
        <v>223</v>
      </c>
      <c r="C126" t="s">
        <v>224</v>
      </c>
      <c r="D126" t="s">
        <v>893</v>
      </c>
      <c r="E126">
        <f>IFERROR(VLOOKUP(C126,'New Adm Data (Mar to July)'!C:D,2,),"-")</f>
        <v>8</v>
      </c>
      <c r="F126">
        <f>IFERROR(VLOOKUP(D126,'New Adm Data (Aug to Nov)'!C:D,2,),"-")</f>
        <v>29</v>
      </c>
      <c r="G126" t="s">
        <v>1317</v>
      </c>
      <c r="H126" t="str">
        <f t="shared" si="3"/>
        <v>No</v>
      </c>
      <c r="I126" t="str">
        <f t="shared" si="4"/>
        <v>No</v>
      </c>
      <c r="J126" t="str">
        <f t="shared" si="5"/>
        <v>No</v>
      </c>
    </row>
    <row r="127" spans="1:10" x14ac:dyDescent="0.35">
      <c r="A127" t="s">
        <v>174</v>
      </c>
      <c r="B127" t="s">
        <v>225</v>
      </c>
      <c r="C127" t="s">
        <v>226</v>
      </c>
      <c r="D127" t="s">
        <v>894</v>
      </c>
      <c r="E127">
        <f>IFERROR(VLOOKUP(C127,'New Adm Data (Mar to July)'!C:D,2,),"-")</f>
        <v>20</v>
      </c>
      <c r="F127">
        <f>IFERROR(VLOOKUP(D127,'New Adm Data (Aug to Nov)'!C:D,2,),"-")</f>
        <v>37</v>
      </c>
      <c r="G127" t="s">
        <v>1316</v>
      </c>
      <c r="H127" t="str">
        <f t="shared" si="3"/>
        <v>No</v>
      </c>
      <c r="I127" t="str">
        <f t="shared" si="4"/>
        <v>No</v>
      </c>
      <c r="J127" t="str">
        <f t="shared" si="5"/>
        <v>No</v>
      </c>
    </row>
    <row r="128" spans="1:10" x14ac:dyDescent="0.35">
      <c r="A128" t="s">
        <v>174</v>
      </c>
      <c r="B128" t="s">
        <v>227</v>
      </c>
      <c r="C128" t="s">
        <v>228</v>
      </c>
      <c r="D128" t="s">
        <v>895</v>
      </c>
      <c r="E128">
        <f>IFERROR(VLOOKUP(C128,'New Adm Data (Mar to July)'!C:D,2,),"-")</f>
        <v>4</v>
      </c>
      <c r="F128">
        <f>IFERROR(VLOOKUP(D128,'New Adm Data (Aug to Nov)'!C:D,2,),"-")</f>
        <v>0</v>
      </c>
      <c r="G128" t="s">
        <v>1316</v>
      </c>
      <c r="H128" t="str">
        <f t="shared" si="3"/>
        <v>No</v>
      </c>
      <c r="I128" t="str">
        <f t="shared" si="4"/>
        <v>No</v>
      </c>
      <c r="J128" t="str">
        <f t="shared" si="5"/>
        <v>No</v>
      </c>
    </row>
    <row r="129" spans="1:10" x14ac:dyDescent="0.35">
      <c r="A129" t="s">
        <v>174</v>
      </c>
      <c r="B129" t="s">
        <v>229</v>
      </c>
      <c r="C129" t="s">
        <v>230</v>
      </c>
      <c r="D129" t="s">
        <v>896</v>
      </c>
      <c r="E129">
        <f>IFERROR(VLOOKUP(C129,'New Adm Data (Mar to July)'!C:D,2,),"-")</f>
        <v>1339</v>
      </c>
      <c r="F129">
        <f>IFERROR(VLOOKUP(D129,'New Adm Data (Aug to Nov)'!C:D,2,),"-")</f>
        <v>1206</v>
      </c>
      <c r="G129" t="s">
        <v>1317</v>
      </c>
      <c r="H129" t="str">
        <f t="shared" si="3"/>
        <v>No</v>
      </c>
      <c r="I129" t="str">
        <f t="shared" si="4"/>
        <v>Yes</v>
      </c>
      <c r="J129" t="str">
        <f t="shared" si="5"/>
        <v>Yes</v>
      </c>
    </row>
    <row r="130" spans="1:10" x14ac:dyDescent="0.35">
      <c r="A130" t="s">
        <v>174</v>
      </c>
      <c r="B130" t="s">
        <v>231</v>
      </c>
      <c r="C130" t="s">
        <v>232</v>
      </c>
      <c r="D130" t="s">
        <v>897</v>
      </c>
      <c r="E130">
        <f>IFERROR(VLOOKUP(C130,'New Adm Data (Mar to July)'!C:D,2,),"-")</f>
        <v>103</v>
      </c>
      <c r="F130">
        <f>IFERROR(VLOOKUP(D130,'New Adm Data (Aug to Nov)'!C:D,2,),"-")</f>
        <v>23</v>
      </c>
      <c r="G130" t="s">
        <v>1316</v>
      </c>
      <c r="H130" t="str">
        <f t="shared" si="3"/>
        <v>No</v>
      </c>
      <c r="I130" t="str">
        <f t="shared" si="4"/>
        <v>No</v>
      </c>
      <c r="J130" t="str">
        <f t="shared" si="5"/>
        <v>No</v>
      </c>
    </row>
    <row r="131" spans="1:10" x14ac:dyDescent="0.35">
      <c r="A131" t="s">
        <v>174</v>
      </c>
      <c r="B131" t="s">
        <v>233</v>
      </c>
      <c r="C131" t="s">
        <v>234</v>
      </c>
      <c r="D131" t="s">
        <v>898</v>
      </c>
      <c r="E131">
        <f>IFERROR(VLOOKUP(C131,'New Adm Data (Mar to July)'!C:D,2,),"-")</f>
        <v>186</v>
      </c>
      <c r="F131">
        <f>IFERROR(VLOOKUP(D131,'New Adm Data (Aug to Nov)'!C:D,2,),"-")</f>
        <v>535</v>
      </c>
      <c r="G131" t="s">
        <v>1317</v>
      </c>
      <c r="H131" t="str">
        <f t="shared" ref="H131:H194" si="6">IF(G131&lt;&gt;"Yes",IF(SUM(E131:F131)&gt;228,"Yes","No"),"No")</f>
        <v>No</v>
      </c>
      <c r="I131" t="str">
        <f t="shared" ref="I131:I194" si="7">IF(G131="Yes",IF(SUM(E131:F131)&gt;228,"Yes","No"),"No")</f>
        <v>Yes</v>
      </c>
      <c r="J131" t="str">
        <f t="shared" ref="J131:J194" si="8">IF(H131="Yes","Yes",IF(I131="Yes","Yes","No"))</f>
        <v>Yes</v>
      </c>
    </row>
    <row r="132" spans="1:10" x14ac:dyDescent="0.35">
      <c r="A132" t="s">
        <v>174</v>
      </c>
      <c r="B132" t="s">
        <v>235</v>
      </c>
      <c r="C132" t="s">
        <v>236</v>
      </c>
      <c r="D132" t="s">
        <v>899</v>
      </c>
      <c r="E132">
        <f>IFERROR(VLOOKUP(C132,'New Adm Data (Mar to July)'!C:D,2,),"-")</f>
        <v>49</v>
      </c>
      <c r="F132">
        <f>IFERROR(VLOOKUP(D132,'New Adm Data (Aug to Nov)'!C:D,2,),"-")</f>
        <v>153</v>
      </c>
      <c r="G132" t="s">
        <v>1317</v>
      </c>
      <c r="H132" t="str">
        <f t="shared" si="6"/>
        <v>No</v>
      </c>
      <c r="I132" t="str">
        <f t="shared" si="7"/>
        <v>No</v>
      </c>
      <c r="J132" t="str">
        <f t="shared" si="8"/>
        <v>No</v>
      </c>
    </row>
    <row r="133" spans="1:10" x14ac:dyDescent="0.35">
      <c r="A133" t="s">
        <v>174</v>
      </c>
      <c r="B133" t="s">
        <v>237</v>
      </c>
      <c r="C133" t="s">
        <v>238</v>
      </c>
      <c r="D133" t="s">
        <v>900</v>
      </c>
      <c r="E133">
        <f>IFERROR(VLOOKUP(C133,'New Adm Data (Mar to July)'!C:D,2,),"-")</f>
        <v>94</v>
      </c>
      <c r="F133">
        <f>IFERROR(VLOOKUP(D133,'New Adm Data (Aug to Nov)'!C:D,2,),"-")</f>
        <v>443</v>
      </c>
      <c r="G133" t="s">
        <v>1317</v>
      </c>
      <c r="H133" t="str">
        <f t="shared" si="6"/>
        <v>No</v>
      </c>
      <c r="I133" t="str">
        <f t="shared" si="7"/>
        <v>Yes</v>
      </c>
      <c r="J133" t="str">
        <f t="shared" si="8"/>
        <v>Yes</v>
      </c>
    </row>
    <row r="134" spans="1:10" x14ac:dyDescent="0.35">
      <c r="A134" t="s">
        <v>174</v>
      </c>
      <c r="B134" t="s">
        <v>239</v>
      </c>
      <c r="C134" t="s">
        <v>240</v>
      </c>
      <c r="D134" t="s">
        <v>901</v>
      </c>
      <c r="E134">
        <f>IFERROR(VLOOKUP(C134,'New Adm Data (Mar to July)'!C:D,2,),"-")</f>
        <v>78</v>
      </c>
      <c r="F134">
        <f>IFERROR(VLOOKUP(D134,'New Adm Data (Aug to Nov)'!C:D,2,),"-")</f>
        <v>143</v>
      </c>
      <c r="G134" t="s">
        <v>1317</v>
      </c>
      <c r="H134" t="str">
        <f t="shared" si="6"/>
        <v>No</v>
      </c>
      <c r="I134" t="str">
        <f t="shared" si="7"/>
        <v>No</v>
      </c>
      <c r="J134" t="str">
        <f t="shared" si="8"/>
        <v>No</v>
      </c>
    </row>
    <row r="135" spans="1:10" x14ac:dyDescent="0.35">
      <c r="A135" t="s">
        <v>174</v>
      </c>
      <c r="B135" t="s">
        <v>241</v>
      </c>
      <c r="C135" t="s">
        <v>242</v>
      </c>
      <c r="D135" t="s">
        <v>902</v>
      </c>
      <c r="E135">
        <f>IFERROR(VLOOKUP(C135,'New Adm Data (Mar to July)'!C:D,2,),"-")</f>
        <v>635</v>
      </c>
      <c r="F135">
        <f>IFERROR(VLOOKUP(D135,'New Adm Data (Aug to Nov)'!C:D,2,),"-")</f>
        <v>848</v>
      </c>
      <c r="G135" t="s">
        <v>1317</v>
      </c>
      <c r="H135" t="str">
        <f t="shared" si="6"/>
        <v>No</v>
      </c>
      <c r="I135" t="str">
        <f t="shared" si="7"/>
        <v>Yes</v>
      </c>
      <c r="J135" t="str">
        <f t="shared" si="8"/>
        <v>Yes</v>
      </c>
    </row>
    <row r="136" spans="1:10" x14ac:dyDescent="0.35">
      <c r="A136" t="s">
        <v>174</v>
      </c>
      <c r="B136" t="s">
        <v>243</v>
      </c>
      <c r="C136" t="s">
        <v>244</v>
      </c>
      <c r="D136" t="s">
        <v>903</v>
      </c>
      <c r="E136">
        <f>IFERROR(VLOOKUP(C136,'New Adm Data (Mar to July)'!C:D,2,),"-")</f>
        <v>157</v>
      </c>
      <c r="F136">
        <f>IFERROR(VLOOKUP(D136,'New Adm Data (Aug to Nov)'!C:D,2,),"-")</f>
        <v>49</v>
      </c>
      <c r="G136" t="s">
        <v>1317</v>
      </c>
      <c r="H136" t="str">
        <f t="shared" si="6"/>
        <v>No</v>
      </c>
      <c r="I136" t="str">
        <f t="shared" si="7"/>
        <v>No</v>
      </c>
      <c r="J136" t="str">
        <f t="shared" si="8"/>
        <v>No</v>
      </c>
    </row>
    <row r="137" spans="1:10" x14ac:dyDescent="0.35">
      <c r="A137" t="s">
        <v>174</v>
      </c>
      <c r="B137" t="s">
        <v>245</v>
      </c>
      <c r="C137" t="s">
        <v>246</v>
      </c>
      <c r="D137" t="s">
        <v>904</v>
      </c>
      <c r="E137">
        <f>IFERROR(VLOOKUP(C137,'New Adm Data (Mar to July)'!C:D,2,),"-")</f>
        <v>2</v>
      </c>
      <c r="F137">
        <f>IFERROR(VLOOKUP(D137,'New Adm Data (Aug to Nov)'!C:D,2,),"-")</f>
        <v>16</v>
      </c>
      <c r="G137" t="s">
        <v>1316</v>
      </c>
      <c r="H137" t="str">
        <f t="shared" si="6"/>
        <v>No</v>
      </c>
      <c r="I137" t="str">
        <f t="shared" si="7"/>
        <v>No</v>
      </c>
      <c r="J137" t="str">
        <f t="shared" si="8"/>
        <v>No</v>
      </c>
    </row>
    <row r="138" spans="1:10" x14ac:dyDescent="0.35">
      <c r="A138" t="s">
        <v>174</v>
      </c>
      <c r="B138" t="s">
        <v>247</v>
      </c>
      <c r="C138" t="s">
        <v>248</v>
      </c>
      <c r="D138" t="s">
        <v>905</v>
      </c>
      <c r="E138">
        <f>IFERROR(VLOOKUP(C138,'New Adm Data (Mar to July)'!C:D,2,),"-")</f>
        <v>0</v>
      </c>
      <c r="F138">
        <f>IFERROR(VLOOKUP(D138,'New Adm Data (Aug to Nov)'!C:D,2,),"-")</f>
        <v>23</v>
      </c>
      <c r="G138" t="s">
        <v>1316</v>
      </c>
      <c r="H138" t="str">
        <f t="shared" si="6"/>
        <v>No</v>
      </c>
      <c r="I138" t="str">
        <f t="shared" si="7"/>
        <v>No</v>
      </c>
      <c r="J138" t="str">
        <f t="shared" si="8"/>
        <v>No</v>
      </c>
    </row>
    <row r="139" spans="1:10" x14ac:dyDescent="0.35">
      <c r="A139" t="s">
        <v>174</v>
      </c>
      <c r="B139" t="s">
        <v>249</v>
      </c>
      <c r="C139" t="s">
        <v>250</v>
      </c>
      <c r="D139" t="s">
        <v>906</v>
      </c>
      <c r="E139">
        <f>IFERROR(VLOOKUP(C139,'New Adm Data (Mar to July)'!C:D,2,),"-")</f>
        <v>11</v>
      </c>
      <c r="F139">
        <f>IFERROR(VLOOKUP(D139,'New Adm Data (Aug to Nov)'!C:D,2,),"-")</f>
        <v>143</v>
      </c>
      <c r="G139" t="s">
        <v>1317</v>
      </c>
      <c r="H139" t="str">
        <f t="shared" si="6"/>
        <v>No</v>
      </c>
      <c r="I139" t="str">
        <f t="shared" si="7"/>
        <v>No</v>
      </c>
      <c r="J139" t="str">
        <f t="shared" si="8"/>
        <v>No</v>
      </c>
    </row>
    <row r="140" spans="1:10" x14ac:dyDescent="0.35">
      <c r="A140" t="s">
        <v>174</v>
      </c>
      <c r="B140" t="s">
        <v>251</v>
      </c>
      <c r="C140" t="s">
        <v>252</v>
      </c>
      <c r="D140" t="s">
        <v>907</v>
      </c>
      <c r="E140">
        <f>IFERROR(VLOOKUP(C140,'New Adm Data (Mar to July)'!C:D,2,),"-")</f>
        <v>25</v>
      </c>
      <c r="F140">
        <f>IFERROR(VLOOKUP(D140,'New Adm Data (Aug to Nov)'!C:D,2,),"-")</f>
        <v>10</v>
      </c>
      <c r="G140" t="s">
        <v>1316</v>
      </c>
      <c r="H140" t="str">
        <f t="shared" si="6"/>
        <v>No</v>
      </c>
      <c r="I140" t="str">
        <f t="shared" si="7"/>
        <v>No</v>
      </c>
      <c r="J140" t="str">
        <f t="shared" si="8"/>
        <v>No</v>
      </c>
    </row>
    <row r="141" spans="1:10" x14ac:dyDescent="0.35">
      <c r="A141" t="s">
        <v>174</v>
      </c>
      <c r="B141" t="s">
        <v>253</v>
      </c>
      <c r="C141" t="s">
        <v>254</v>
      </c>
      <c r="D141" t="s">
        <v>908</v>
      </c>
      <c r="E141">
        <f>IFERROR(VLOOKUP(C141,'New Adm Data (Mar to July)'!C:D,2,),"-")</f>
        <v>227</v>
      </c>
      <c r="F141">
        <f>IFERROR(VLOOKUP(D141,'New Adm Data (Aug to Nov)'!C:D,2,),"-")</f>
        <v>15</v>
      </c>
      <c r="G141" t="s">
        <v>1316</v>
      </c>
      <c r="H141" t="str">
        <f t="shared" si="6"/>
        <v>Yes</v>
      </c>
      <c r="I141" t="str">
        <f t="shared" si="7"/>
        <v>No</v>
      </c>
      <c r="J141" t="str">
        <f t="shared" si="8"/>
        <v>Yes</v>
      </c>
    </row>
    <row r="142" spans="1:10" x14ac:dyDescent="0.35">
      <c r="A142" t="s">
        <v>174</v>
      </c>
      <c r="B142" t="s">
        <v>255</v>
      </c>
      <c r="C142" t="s">
        <v>256</v>
      </c>
      <c r="D142" t="s">
        <v>909</v>
      </c>
      <c r="E142">
        <f>IFERROR(VLOOKUP(C142,'New Adm Data (Mar to July)'!C:D,2,),"-")</f>
        <v>0</v>
      </c>
      <c r="F142">
        <f>IFERROR(VLOOKUP(D142,'New Adm Data (Aug to Nov)'!C:D,2,),"-")</f>
        <v>5</v>
      </c>
      <c r="G142" t="s">
        <v>1316</v>
      </c>
      <c r="H142" t="str">
        <f t="shared" si="6"/>
        <v>No</v>
      </c>
      <c r="I142" t="str">
        <f t="shared" si="7"/>
        <v>No</v>
      </c>
      <c r="J142" t="str">
        <f t="shared" si="8"/>
        <v>No</v>
      </c>
    </row>
    <row r="143" spans="1:10" x14ac:dyDescent="0.35">
      <c r="A143" t="s">
        <v>174</v>
      </c>
      <c r="B143" t="s">
        <v>257</v>
      </c>
      <c r="C143" t="s">
        <v>258</v>
      </c>
      <c r="D143" t="s">
        <v>910</v>
      </c>
      <c r="E143">
        <f>IFERROR(VLOOKUP(C143,'New Adm Data (Mar to July)'!C:D,2,),"-")</f>
        <v>90</v>
      </c>
      <c r="F143">
        <f>IFERROR(VLOOKUP(D143,'New Adm Data (Aug to Nov)'!C:D,2,),"-")</f>
        <v>39</v>
      </c>
      <c r="G143" t="s">
        <v>1316</v>
      </c>
      <c r="H143" t="str">
        <f t="shared" si="6"/>
        <v>No</v>
      </c>
      <c r="I143" t="str">
        <f t="shared" si="7"/>
        <v>No</v>
      </c>
      <c r="J143" t="str">
        <f t="shared" si="8"/>
        <v>No</v>
      </c>
    </row>
    <row r="144" spans="1:10" x14ac:dyDescent="0.35">
      <c r="A144" t="s">
        <v>174</v>
      </c>
      <c r="B144" t="s">
        <v>259</v>
      </c>
      <c r="C144" t="s">
        <v>260</v>
      </c>
      <c r="D144" t="s">
        <v>911</v>
      </c>
      <c r="E144">
        <f>IFERROR(VLOOKUP(C144,'New Adm Data (Mar to July)'!C:D,2,),"-")</f>
        <v>0</v>
      </c>
      <c r="F144">
        <f>IFERROR(VLOOKUP(D144,'New Adm Data (Aug to Nov)'!C:D,2,),"-")</f>
        <v>26</v>
      </c>
      <c r="G144" t="s">
        <v>1316</v>
      </c>
      <c r="H144" t="str">
        <f t="shared" si="6"/>
        <v>No</v>
      </c>
      <c r="I144" t="str">
        <f t="shared" si="7"/>
        <v>No</v>
      </c>
      <c r="J144" t="str">
        <f t="shared" si="8"/>
        <v>No</v>
      </c>
    </row>
    <row r="145" spans="1:10" x14ac:dyDescent="0.35">
      <c r="A145" t="s">
        <v>261</v>
      </c>
      <c r="B145" t="s">
        <v>175</v>
      </c>
      <c r="C145" t="s">
        <v>176</v>
      </c>
      <c r="D145" t="s">
        <v>1310</v>
      </c>
      <c r="E145">
        <f>IFERROR(VLOOKUP(C145,'New Adm Data (Mar to July)'!C:D,2,),"-")</f>
        <v>0</v>
      </c>
      <c r="F145" t="str">
        <f>IFERROR(VLOOKUP(D145,'New Adm Data (Aug to Nov)'!C:D,2,),"-")</f>
        <v>-</v>
      </c>
      <c r="G145" t="s">
        <v>1324</v>
      </c>
      <c r="H145" t="str">
        <f t="shared" si="6"/>
        <v>No</v>
      </c>
      <c r="I145" t="str">
        <f t="shared" si="7"/>
        <v>No</v>
      </c>
      <c r="J145" t="str">
        <f t="shared" si="8"/>
        <v>No</v>
      </c>
    </row>
    <row r="146" spans="1:10" x14ac:dyDescent="0.35">
      <c r="A146" t="s">
        <v>261</v>
      </c>
      <c r="B146" t="s">
        <v>7</v>
      </c>
      <c r="C146" t="s">
        <v>8</v>
      </c>
      <c r="D146" t="s">
        <v>1310</v>
      </c>
      <c r="E146">
        <f>IFERROR(VLOOKUP(C146,'New Adm Data (Mar to July)'!C:D,2,),"-")</f>
        <v>0</v>
      </c>
      <c r="F146" t="str">
        <f>IFERROR(VLOOKUP(D146,'New Adm Data (Aug to Nov)'!C:D,2,),"-")</f>
        <v>-</v>
      </c>
      <c r="G146" t="s">
        <v>1324</v>
      </c>
      <c r="H146" t="str">
        <f t="shared" si="6"/>
        <v>No</v>
      </c>
      <c r="I146" t="str">
        <f t="shared" si="7"/>
        <v>No</v>
      </c>
      <c r="J146" t="str">
        <f t="shared" si="8"/>
        <v>No</v>
      </c>
    </row>
    <row r="147" spans="1:10" x14ac:dyDescent="0.35">
      <c r="A147" t="s">
        <v>261</v>
      </c>
      <c r="B147" t="s">
        <v>262</v>
      </c>
      <c r="C147" t="s">
        <v>263</v>
      </c>
      <c r="D147" t="s">
        <v>1310</v>
      </c>
      <c r="E147">
        <f>IFERROR(VLOOKUP(C147,'New Adm Data (Mar to July)'!C:D,2,),"-")</f>
        <v>0</v>
      </c>
      <c r="F147" t="str">
        <f>IFERROR(VLOOKUP(D147,'New Adm Data (Aug to Nov)'!C:D,2,),"-")</f>
        <v>-</v>
      </c>
      <c r="G147" t="s">
        <v>1324</v>
      </c>
      <c r="H147" t="str">
        <f t="shared" si="6"/>
        <v>No</v>
      </c>
      <c r="I147" t="str">
        <f t="shared" si="7"/>
        <v>No</v>
      </c>
      <c r="J147" t="str">
        <f t="shared" si="8"/>
        <v>No</v>
      </c>
    </row>
    <row r="148" spans="1:10" x14ac:dyDescent="0.35">
      <c r="A148" t="s">
        <v>261</v>
      </c>
      <c r="B148" t="s">
        <v>264</v>
      </c>
      <c r="C148" t="s">
        <v>265</v>
      </c>
      <c r="D148" t="s">
        <v>918</v>
      </c>
      <c r="E148">
        <f>IFERROR(VLOOKUP(C148,'New Adm Data (Mar to July)'!C:D,2,),"-")</f>
        <v>0</v>
      </c>
      <c r="F148">
        <f>IFERROR(VLOOKUP(D148,'New Adm Data (Aug to Nov)'!C:D,2,),"-")</f>
        <v>0</v>
      </c>
      <c r="G148" t="s">
        <v>1316</v>
      </c>
      <c r="H148" t="str">
        <f t="shared" si="6"/>
        <v>No</v>
      </c>
      <c r="I148" t="str">
        <f t="shared" si="7"/>
        <v>No</v>
      </c>
      <c r="J148" t="str">
        <f t="shared" si="8"/>
        <v>No</v>
      </c>
    </row>
    <row r="149" spans="1:10" x14ac:dyDescent="0.35">
      <c r="A149" t="s">
        <v>261</v>
      </c>
      <c r="B149" t="s">
        <v>266</v>
      </c>
      <c r="C149" t="s">
        <v>267</v>
      </c>
      <c r="D149" t="s">
        <v>919</v>
      </c>
      <c r="E149">
        <f>IFERROR(VLOOKUP(C149,'New Adm Data (Mar to July)'!C:D,2,),"-")</f>
        <v>0</v>
      </c>
      <c r="F149">
        <f>IFERROR(VLOOKUP(D149,'New Adm Data (Aug to Nov)'!C:D,2,),"-")</f>
        <v>0</v>
      </c>
      <c r="G149" t="s">
        <v>1316</v>
      </c>
      <c r="H149" t="str">
        <f t="shared" si="6"/>
        <v>No</v>
      </c>
      <c r="I149" t="str">
        <f t="shared" si="7"/>
        <v>No</v>
      </c>
      <c r="J149" t="str">
        <f t="shared" si="8"/>
        <v>No</v>
      </c>
    </row>
    <row r="150" spans="1:10" x14ac:dyDescent="0.35">
      <c r="A150" t="s">
        <v>261</v>
      </c>
      <c r="B150" t="s">
        <v>268</v>
      </c>
      <c r="C150" t="s">
        <v>269</v>
      </c>
      <c r="D150" t="s">
        <v>920</v>
      </c>
      <c r="E150">
        <f>IFERROR(VLOOKUP(C150,'New Adm Data (Mar to July)'!C:D,2,),"-")</f>
        <v>17</v>
      </c>
      <c r="F150">
        <f>IFERROR(VLOOKUP(D150,'New Adm Data (Aug to Nov)'!C:D,2,),"-")</f>
        <v>8</v>
      </c>
      <c r="G150" t="s">
        <v>1316</v>
      </c>
      <c r="H150" t="str">
        <f t="shared" si="6"/>
        <v>No</v>
      </c>
      <c r="I150" t="str">
        <f t="shared" si="7"/>
        <v>No</v>
      </c>
      <c r="J150" t="str">
        <f t="shared" si="8"/>
        <v>No</v>
      </c>
    </row>
    <row r="151" spans="1:10" x14ac:dyDescent="0.35">
      <c r="A151" t="s">
        <v>261</v>
      </c>
      <c r="B151" t="s">
        <v>13</v>
      </c>
      <c r="C151" t="s">
        <v>14</v>
      </c>
      <c r="D151" t="s">
        <v>1310</v>
      </c>
      <c r="E151">
        <f>IFERROR(VLOOKUP(C151,'New Adm Data (Mar to July)'!C:D,2,),"-")</f>
        <v>0</v>
      </c>
      <c r="F151" t="str">
        <f>IFERROR(VLOOKUP(D151,'New Adm Data (Aug to Nov)'!C:D,2,),"-")</f>
        <v>-</v>
      </c>
      <c r="G151" t="s">
        <v>1324</v>
      </c>
      <c r="H151" t="str">
        <f t="shared" si="6"/>
        <v>No</v>
      </c>
      <c r="I151" t="str">
        <f t="shared" si="7"/>
        <v>No</v>
      </c>
      <c r="J151" t="str">
        <f t="shared" si="8"/>
        <v>No</v>
      </c>
    </row>
    <row r="152" spans="1:10" x14ac:dyDescent="0.35">
      <c r="A152" t="s">
        <v>261</v>
      </c>
      <c r="B152" t="s">
        <v>270</v>
      </c>
      <c r="C152" t="s">
        <v>271</v>
      </c>
      <c r="D152" t="s">
        <v>935</v>
      </c>
      <c r="E152">
        <f>IFERROR(VLOOKUP(C152,'New Adm Data (Mar to July)'!C:D,2,),"-")</f>
        <v>86</v>
      </c>
      <c r="F152">
        <f>IFERROR(VLOOKUP(D152,'New Adm Data (Aug to Nov)'!C:D,2,),"-")</f>
        <v>2</v>
      </c>
      <c r="G152" t="s">
        <v>1316</v>
      </c>
      <c r="H152" t="str">
        <f t="shared" si="6"/>
        <v>No</v>
      </c>
      <c r="I152" t="str">
        <f t="shared" si="7"/>
        <v>No</v>
      </c>
      <c r="J152" t="str">
        <f t="shared" si="8"/>
        <v>No</v>
      </c>
    </row>
    <row r="153" spans="1:10" x14ac:dyDescent="0.35">
      <c r="A153" t="s">
        <v>261</v>
      </c>
      <c r="B153" t="s">
        <v>272</v>
      </c>
      <c r="C153" t="s">
        <v>273</v>
      </c>
      <c r="D153" t="s">
        <v>1310</v>
      </c>
      <c r="E153">
        <f>IFERROR(VLOOKUP(C153,'New Adm Data (Mar to July)'!C:D,2,),"-")</f>
        <v>0</v>
      </c>
      <c r="F153" t="str">
        <f>IFERROR(VLOOKUP(D153,'New Adm Data (Aug to Nov)'!C:D,2,),"-")</f>
        <v>-</v>
      </c>
      <c r="G153" t="s">
        <v>1324</v>
      </c>
      <c r="H153" t="str">
        <f t="shared" si="6"/>
        <v>No</v>
      </c>
      <c r="I153" t="str">
        <f t="shared" si="7"/>
        <v>No</v>
      </c>
      <c r="J153" t="str">
        <f t="shared" si="8"/>
        <v>No</v>
      </c>
    </row>
    <row r="154" spans="1:10" x14ac:dyDescent="0.35">
      <c r="A154" t="s">
        <v>261</v>
      </c>
      <c r="B154" t="s">
        <v>274</v>
      </c>
      <c r="C154" t="s">
        <v>275</v>
      </c>
      <c r="D154" t="s">
        <v>938</v>
      </c>
      <c r="E154">
        <f>IFERROR(VLOOKUP(C154,'New Adm Data (Mar to July)'!C:D,2,),"-")</f>
        <v>0</v>
      </c>
      <c r="F154">
        <f>IFERROR(VLOOKUP(D154,'New Adm Data (Aug to Nov)'!C:D,2,),"-")</f>
        <v>1</v>
      </c>
      <c r="G154" t="s">
        <v>1316</v>
      </c>
      <c r="H154" t="str">
        <f t="shared" si="6"/>
        <v>No</v>
      </c>
      <c r="I154" t="str">
        <f t="shared" si="7"/>
        <v>No</v>
      </c>
      <c r="J154" t="str">
        <f t="shared" si="8"/>
        <v>No</v>
      </c>
    </row>
    <row r="155" spans="1:10" x14ac:dyDescent="0.35">
      <c r="A155" t="s">
        <v>261</v>
      </c>
      <c r="B155" t="s">
        <v>276</v>
      </c>
      <c r="C155" t="s">
        <v>277</v>
      </c>
      <c r="D155" t="s">
        <v>939</v>
      </c>
      <c r="E155">
        <f>IFERROR(VLOOKUP(C155,'New Adm Data (Mar to July)'!C:D,2,),"-")</f>
        <v>0</v>
      </c>
      <c r="F155">
        <f>IFERROR(VLOOKUP(D155,'New Adm Data (Aug to Nov)'!C:D,2,),"-")</f>
        <v>0</v>
      </c>
      <c r="G155" t="s">
        <v>1316</v>
      </c>
      <c r="H155" t="str">
        <f t="shared" si="6"/>
        <v>No</v>
      </c>
      <c r="I155" t="str">
        <f t="shared" si="7"/>
        <v>No</v>
      </c>
      <c r="J155" t="str">
        <f t="shared" si="8"/>
        <v>No</v>
      </c>
    </row>
    <row r="156" spans="1:10" x14ac:dyDescent="0.35">
      <c r="A156" t="s">
        <v>261</v>
      </c>
      <c r="B156" t="s">
        <v>19</v>
      </c>
      <c r="C156" t="s">
        <v>20</v>
      </c>
      <c r="D156" t="s">
        <v>1310</v>
      </c>
      <c r="E156">
        <f>IFERROR(VLOOKUP(C156,'New Adm Data (Mar to July)'!C:D,2,),"-")</f>
        <v>0</v>
      </c>
      <c r="F156" t="str">
        <f>IFERROR(VLOOKUP(D156,'New Adm Data (Aug to Nov)'!C:D,2,),"-")</f>
        <v>-</v>
      </c>
      <c r="G156" t="s">
        <v>1324</v>
      </c>
      <c r="H156" t="str">
        <f t="shared" si="6"/>
        <v>No</v>
      </c>
      <c r="I156" t="str">
        <f t="shared" si="7"/>
        <v>No</v>
      </c>
      <c r="J156" t="str">
        <f t="shared" si="8"/>
        <v>No</v>
      </c>
    </row>
    <row r="157" spans="1:10" x14ac:dyDescent="0.35">
      <c r="A157" t="s">
        <v>261</v>
      </c>
      <c r="B157" t="s">
        <v>21</v>
      </c>
      <c r="C157" t="s">
        <v>22</v>
      </c>
      <c r="D157" t="s">
        <v>1310</v>
      </c>
      <c r="E157">
        <f>IFERROR(VLOOKUP(C157,'New Adm Data (Mar to July)'!C:D,2,),"-")</f>
        <v>0</v>
      </c>
      <c r="F157" t="str">
        <f>IFERROR(VLOOKUP(D157,'New Adm Data (Aug to Nov)'!C:D,2,),"-")</f>
        <v>-</v>
      </c>
      <c r="G157" t="s">
        <v>1324</v>
      </c>
      <c r="H157" t="str">
        <f t="shared" si="6"/>
        <v>No</v>
      </c>
      <c r="I157" t="str">
        <f t="shared" si="7"/>
        <v>No</v>
      </c>
      <c r="J157" t="str">
        <f t="shared" si="8"/>
        <v>No</v>
      </c>
    </row>
    <row r="158" spans="1:10" x14ac:dyDescent="0.35">
      <c r="A158" t="s">
        <v>261</v>
      </c>
      <c r="B158" t="s">
        <v>23</v>
      </c>
      <c r="C158" t="s">
        <v>24</v>
      </c>
      <c r="D158" t="s">
        <v>1310</v>
      </c>
      <c r="E158">
        <f>IFERROR(VLOOKUP(C158,'New Adm Data (Mar to July)'!C:D,2,),"-")</f>
        <v>0</v>
      </c>
      <c r="F158" t="str">
        <f>IFERROR(VLOOKUP(D158,'New Adm Data (Aug to Nov)'!C:D,2,),"-")</f>
        <v>-</v>
      </c>
      <c r="G158" t="s">
        <v>1324</v>
      </c>
      <c r="H158" t="str">
        <f t="shared" si="6"/>
        <v>No</v>
      </c>
      <c r="I158" t="str">
        <f t="shared" si="7"/>
        <v>No</v>
      </c>
      <c r="J158" t="str">
        <f t="shared" si="8"/>
        <v>No</v>
      </c>
    </row>
    <row r="159" spans="1:10" x14ac:dyDescent="0.35">
      <c r="A159" t="s">
        <v>261</v>
      </c>
      <c r="B159" t="s">
        <v>278</v>
      </c>
      <c r="C159" t="s">
        <v>279</v>
      </c>
      <c r="D159" t="s">
        <v>1310</v>
      </c>
      <c r="E159">
        <f>IFERROR(VLOOKUP(C159,'New Adm Data (Mar to July)'!C:D,2,),"-")</f>
        <v>0</v>
      </c>
      <c r="F159" t="str">
        <f>IFERROR(VLOOKUP(D159,'New Adm Data (Aug to Nov)'!C:D,2,),"-")</f>
        <v>-</v>
      </c>
      <c r="G159" t="s">
        <v>1324</v>
      </c>
      <c r="H159" t="str">
        <f t="shared" si="6"/>
        <v>No</v>
      </c>
      <c r="I159" t="str">
        <f t="shared" si="7"/>
        <v>No</v>
      </c>
      <c r="J159" t="str">
        <f t="shared" si="8"/>
        <v>No</v>
      </c>
    </row>
    <row r="160" spans="1:10" x14ac:dyDescent="0.35">
      <c r="A160" t="s">
        <v>261</v>
      </c>
      <c r="B160" t="s">
        <v>25</v>
      </c>
      <c r="C160" t="s">
        <v>26</v>
      </c>
      <c r="D160" t="s">
        <v>1310</v>
      </c>
      <c r="E160">
        <f>IFERROR(VLOOKUP(C160,'New Adm Data (Mar to July)'!C:D,2,),"-")</f>
        <v>0</v>
      </c>
      <c r="F160" t="str">
        <f>IFERROR(VLOOKUP(D160,'New Adm Data (Aug to Nov)'!C:D,2,),"-")</f>
        <v>-</v>
      </c>
      <c r="G160" t="s">
        <v>1324</v>
      </c>
      <c r="H160" t="str">
        <f t="shared" si="6"/>
        <v>No</v>
      </c>
      <c r="I160" t="str">
        <f t="shared" si="7"/>
        <v>No</v>
      </c>
      <c r="J160" t="str">
        <f t="shared" si="8"/>
        <v>No</v>
      </c>
    </row>
    <row r="161" spans="1:10" x14ac:dyDescent="0.35">
      <c r="A161" t="s">
        <v>261</v>
      </c>
      <c r="B161" t="s">
        <v>29</v>
      </c>
      <c r="C161" t="s">
        <v>30</v>
      </c>
      <c r="D161" t="s">
        <v>1310</v>
      </c>
      <c r="E161">
        <f>IFERROR(VLOOKUP(C161,'New Adm Data (Mar to July)'!C:D,2,),"-")</f>
        <v>0</v>
      </c>
      <c r="F161" t="str">
        <f>IFERROR(VLOOKUP(D161,'New Adm Data (Aug to Nov)'!C:D,2,),"-")</f>
        <v>-</v>
      </c>
      <c r="G161" t="s">
        <v>1324</v>
      </c>
      <c r="H161" t="str">
        <f t="shared" si="6"/>
        <v>No</v>
      </c>
      <c r="I161" t="str">
        <f t="shared" si="7"/>
        <v>No</v>
      </c>
      <c r="J161" t="str">
        <f t="shared" si="8"/>
        <v>No</v>
      </c>
    </row>
    <row r="162" spans="1:10" x14ac:dyDescent="0.35">
      <c r="A162" t="s">
        <v>261</v>
      </c>
      <c r="B162" t="s">
        <v>280</v>
      </c>
      <c r="C162" t="s">
        <v>281</v>
      </c>
      <c r="D162" t="s">
        <v>986</v>
      </c>
      <c r="E162">
        <f>IFERROR(VLOOKUP(C162,'New Adm Data (Mar to July)'!C:D,2,),"-")</f>
        <v>110</v>
      </c>
      <c r="F162">
        <f>IFERROR(VLOOKUP(D162,'New Adm Data (Aug to Nov)'!C:D,2,),"-")</f>
        <v>490</v>
      </c>
      <c r="G162" t="s">
        <v>1317</v>
      </c>
      <c r="H162" t="str">
        <f t="shared" si="6"/>
        <v>No</v>
      </c>
      <c r="I162" t="str">
        <f t="shared" si="7"/>
        <v>Yes</v>
      </c>
      <c r="J162" t="str">
        <f t="shared" si="8"/>
        <v>Yes</v>
      </c>
    </row>
    <row r="163" spans="1:10" x14ac:dyDescent="0.35">
      <c r="A163" t="s">
        <v>261</v>
      </c>
      <c r="B163" t="s">
        <v>282</v>
      </c>
      <c r="C163" t="s">
        <v>283</v>
      </c>
      <c r="D163" t="s">
        <v>987</v>
      </c>
      <c r="E163">
        <f>IFERROR(VLOOKUP(C163,'New Adm Data (Mar to July)'!C:D,2,),"-")</f>
        <v>221</v>
      </c>
      <c r="F163">
        <f>IFERROR(VLOOKUP(D163,'New Adm Data (Aug to Nov)'!C:D,2,),"-")</f>
        <v>510</v>
      </c>
      <c r="G163" t="s">
        <v>1317</v>
      </c>
      <c r="H163" t="str">
        <f t="shared" si="6"/>
        <v>No</v>
      </c>
      <c r="I163" t="str">
        <f t="shared" si="7"/>
        <v>Yes</v>
      </c>
      <c r="J163" t="str">
        <f t="shared" si="8"/>
        <v>Yes</v>
      </c>
    </row>
    <row r="164" spans="1:10" x14ac:dyDescent="0.35">
      <c r="A164" t="s">
        <v>261</v>
      </c>
      <c r="B164" t="s">
        <v>284</v>
      </c>
      <c r="C164" t="s">
        <v>285</v>
      </c>
      <c r="D164" t="s">
        <v>988</v>
      </c>
      <c r="E164">
        <f>IFERROR(VLOOKUP(C164,'New Adm Data (Mar to July)'!C:D,2,),"-")</f>
        <v>332</v>
      </c>
      <c r="F164">
        <f>IFERROR(VLOOKUP(D164,'New Adm Data (Aug to Nov)'!C:D,2,),"-")</f>
        <v>213</v>
      </c>
      <c r="G164" t="s">
        <v>1317</v>
      </c>
      <c r="H164" t="str">
        <f t="shared" si="6"/>
        <v>No</v>
      </c>
      <c r="I164" t="str">
        <f t="shared" si="7"/>
        <v>Yes</v>
      </c>
      <c r="J164" t="str">
        <f t="shared" si="8"/>
        <v>Yes</v>
      </c>
    </row>
    <row r="165" spans="1:10" x14ac:dyDescent="0.35">
      <c r="A165" t="s">
        <v>261</v>
      </c>
      <c r="B165" t="s">
        <v>286</v>
      </c>
      <c r="C165" t="s">
        <v>287</v>
      </c>
      <c r="D165" t="s">
        <v>989</v>
      </c>
      <c r="E165">
        <f>IFERROR(VLOOKUP(C165,'New Adm Data (Mar to July)'!C:D,2,),"-")</f>
        <v>17</v>
      </c>
      <c r="F165">
        <f>IFERROR(VLOOKUP(D165,'New Adm Data (Aug to Nov)'!C:D,2,),"-")</f>
        <v>79</v>
      </c>
      <c r="G165" t="s">
        <v>1317</v>
      </c>
      <c r="H165" t="str">
        <f t="shared" si="6"/>
        <v>No</v>
      </c>
      <c r="I165" t="str">
        <f t="shared" si="7"/>
        <v>No</v>
      </c>
      <c r="J165" t="str">
        <f t="shared" si="8"/>
        <v>No</v>
      </c>
    </row>
    <row r="166" spans="1:10" x14ac:dyDescent="0.35">
      <c r="A166" t="s">
        <v>261</v>
      </c>
      <c r="B166" t="s">
        <v>288</v>
      </c>
      <c r="C166" t="s">
        <v>289</v>
      </c>
      <c r="D166" t="s">
        <v>990</v>
      </c>
      <c r="E166">
        <f>IFERROR(VLOOKUP(C166,'New Adm Data (Mar to July)'!C:D,2,),"-")</f>
        <v>108</v>
      </c>
      <c r="F166">
        <f>IFERROR(VLOOKUP(D166,'New Adm Data (Aug to Nov)'!C:D,2,),"-")</f>
        <v>260</v>
      </c>
      <c r="G166" t="s">
        <v>1317</v>
      </c>
      <c r="H166" t="str">
        <f t="shared" si="6"/>
        <v>No</v>
      </c>
      <c r="I166" t="str">
        <f t="shared" si="7"/>
        <v>Yes</v>
      </c>
      <c r="J166" t="str">
        <f t="shared" si="8"/>
        <v>Yes</v>
      </c>
    </row>
    <row r="167" spans="1:10" x14ac:dyDescent="0.35">
      <c r="A167" t="s">
        <v>261</v>
      </c>
      <c r="B167" t="s">
        <v>290</v>
      </c>
      <c r="C167" t="s">
        <v>291</v>
      </c>
      <c r="D167" t="s">
        <v>991</v>
      </c>
      <c r="E167">
        <f>IFERROR(VLOOKUP(C167,'New Adm Data (Mar to July)'!C:D,2,),"-")</f>
        <v>1</v>
      </c>
      <c r="F167">
        <f>IFERROR(VLOOKUP(D167,'New Adm Data (Aug to Nov)'!C:D,2,),"-")</f>
        <v>8</v>
      </c>
      <c r="G167" t="s">
        <v>1317</v>
      </c>
      <c r="H167" t="str">
        <f t="shared" si="6"/>
        <v>No</v>
      </c>
      <c r="I167" t="str">
        <f t="shared" si="7"/>
        <v>No</v>
      </c>
      <c r="J167" t="str">
        <f t="shared" si="8"/>
        <v>No</v>
      </c>
    </row>
    <row r="168" spans="1:10" x14ac:dyDescent="0.35">
      <c r="A168" t="s">
        <v>261</v>
      </c>
      <c r="B168" t="s">
        <v>292</v>
      </c>
      <c r="C168" t="s">
        <v>293</v>
      </c>
      <c r="D168" t="s">
        <v>992</v>
      </c>
      <c r="E168">
        <f>IFERROR(VLOOKUP(C168,'New Adm Data (Mar to July)'!C:D,2,),"-")</f>
        <v>26</v>
      </c>
      <c r="F168">
        <f>IFERROR(VLOOKUP(D168,'New Adm Data (Aug to Nov)'!C:D,2,),"-")</f>
        <v>385</v>
      </c>
      <c r="G168" t="s">
        <v>1317</v>
      </c>
      <c r="H168" t="str">
        <f t="shared" si="6"/>
        <v>No</v>
      </c>
      <c r="I168" t="str">
        <f t="shared" si="7"/>
        <v>Yes</v>
      </c>
      <c r="J168" t="str">
        <f t="shared" si="8"/>
        <v>Yes</v>
      </c>
    </row>
    <row r="169" spans="1:10" x14ac:dyDescent="0.35">
      <c r="A169" t="s">
        <v>261</v>
      </c>
      <c r="B169" t="s">
        <v>294</v>
      </c>
      <c r="C169" t="s">
        <v>295</v>
      </c>
      <c r="D169" t="s">
        <v>993</v>
      </c>
      <c r="E169">
        <f>IFERROR(VLOOKUP(C169,'New Adm Data (Mar to July)'!C:D,2,),"-")</f>
        <v>61</v>
      </c>
      <c r="F169">
        <f>IFERROR(VLOOKUP(D169,'New Adm Data (Aug to Nov)'!C:D,2,),"-")</f>
        <v>314</v>
      </c>
      <c r="G169" t="s">
        <v>1317</v>
      </c>
      <c r="H169" t="str">
        <f t="shared" si="6"/>
        <v>No</v>
      </c>
      <c r="I169" t="str">
        <f t="shared" si="7"/>
        <v>Yes</v>
      </c>
      <c r="J169" t="str">
        <f t="shared" si="8"/>
        <v>Yes</v>
      </c>
    </row>
    <row r="170" spans="1:10" x14ac:dyDescent="0.35">
      <c r="A170" t="s">
        <v>261</v>
      </c>
      <c r="B170" t="s">
        <v>296</v>
      </c>
      <c r="C170" t="s">
        <v>297</v>
      </c>
      <c r="D170" t="s">
        <v>994</v>
      </c>
      <c r="E170">
        <f>IFERROR(VLOOKUP(C170,'New Adm Data (Mar to July)'!C:D,2,),"-")</f>
        <v>4</v>
      </c>
      <c r="F170">
        <f>IFERROR(VLOOKUP(D170,'New Adm Data (Aug to Nov)'!C:D,2,),"-")</f>
        <v>11</v>
      </c>
      <c r="G170" t="s">
        <v>1316</v>
      </c>
      <c r="H170" t="str">
        <f t="shared" si="6"/>
        <v>No</v>
      </c>
      <c r="I170" t="str">
        <f t="shared" si="7"/>
        <v>No</v>
      </c>
      <c r="J170" t="str">
        <f t="shared" si="8"/>
        <v>No</v>
      </c>
    </row>
    <row r="171" spans="1:10" x14ac:dyDescent="0.35">
      <c r="A171" t="s">
        <v>261</v>
      </c>
      <c r="B171" t="s">
        <v>298</v>
      </c>
      <c r="C171" t="s">
        <v>299</v>
      </c>
      <c r="D171" t="s">
        <v>995</v>
      </c>
      <c r="E171">
        <f>IFERROR(VLOOKUP(C171,'New Adm Data (Mar to July)'!C:D,2,),"-")</f>
        <v>325</v>
      </c>
      <c r="F171">
        <f>IFERROR(VLOOKUP(D171,'New Adm Data (Aug to Nov)'!C:D,2,),"-")</f>
        <v>629</v>
      </c>
      <c r="G171" t="s">
        <v>1317</v>
      </c>
      <c r="H171" t="str">
        <f t="shared" si="6"/>
        <v>No</v>
      </c>
      <c r="I171" t="str">
        <f t="shared" si="7"/>
        <v>Yes</v>
      </c>
      <c r="J171" t="str">
        <f t="shared" si="8"/>
        <v>Yes</v>
      </c>
    </row>
    <row r="172" spans="1:10" x14ac:dyDescent="0.35">
      <c r="A172" t="s">
        <v>261</v>
      </c>
      <c r="B172" t="s">
        <v>300</v>
      </c>
      <c r="C172" t="s">
        <v>301</v>
      </c>
      <c r="D172" t="s">
        <v>996</v>
      </c>
      <c r="E172">
        <f>IFERROR(VLOOKUP(C172,'New Adm Data (Mar to July)'!C:D,2,),"-")</f>
        <v>49</v>
      </c>
      <c r="F172">
        <f>IFERROR(VLOOKUP(D172,'New Adm Data (Aug to Nov)'!C:D,2,),"-")</f>
        <v>224</v>
      </c>
      <c r="G172" t="s">
        <v>1317</v>
      </c>
      <c r="H172" t="str">
        <f t="shared" si="6"/>
        <v>No</v>
      </c>
      <c r="I172" t="str">
        <f t="shared" si="7"/>
        <v>Yes</v>
      </c>
      <c r="J172" t="str">
        <f t="shared" si="8"/>
        <v>Yes</v>
      </c>
    </row>
    <row r="173" spans="1:10" x14ac:dyDescent="0.35">
      <c r="A173" t="s">
        <v>261</v>
      </c>
      <c r="B173" t="s">
        <v>302</v>
      </c>
      <c r="C173" t="s">
        <v>303</v>
      </c>
      <c r="D173" t="s">
        <v>997</v>
      </c>
      <c r="E173">
        <f>IFERROR(VLOOKUP(C173,'New Adm Data (Mar to July)'!C:D,2,),"-")</f>
        <v>188</v>
      </c>
      <c r="F173">
        <f>IFERROR(VLOOKUP(D173,'New Adm Data (Aug to Nov)'!C:D,2,),"-")</f>
        <v>99</v>
      </c>
      <c r="G173" t="s">
        <v>1317</v>
      </c>
      <c r="H173" t="str">
        <f t="shared" si="6"/>
        <v>No</v>
      </c>
      <c r="I173" t="str">
        <f t="shared" si="7"/>
        <v>Yes</v>
      </c>
      <c r="J173" t="str">
        <f t="shared" si="8"/>
        <v>Yes</v>
      </c>
    </row>
    <row r="174" spans="1:10" x14ac:dyDescent="0.35">
      <c r="A174" t="s">
        <v>261</v>
      </c>
      <c r="B174" t="s">
        <v>304</v>
      </c>
      <c r="C174" t="s">
        <v>305</v>
      </c>
      <c r="D174" t="s">
        <v>998</v>
      </c>
      <c r="E174">
        <f>IFERROR(VLOOKUP(C174,'New Adm Data (Mar to July)'!C:D,2,),"-")</f>
        <v>130</v>
      </c>
      <c r="F174">
        <f>IFERROR(VLOOKUP(D174,'New Adm Data (Aug to Nov)'!C:D,2,),"-")</f>
        <v>502</v>
      </c>
      <c r="G174" t="s">
        <v>1317</v>
      </c>
      <c r="H174" t="str">
        <f t="shared" si="6"/>
        <v>No</v>
      </c>
      <c r="I174" t="str">
        <f t="shared" si="7"/>
        <v>Yes</v>
      </c>
      <c r="J174" t="str">
        <f t="shared" si="8"/>
        <v>Yes</v>
      </c>
    </row>
    <row r="175" spans="1:10" x14ac:dyDescent="0.35">
      <c r="A175" t="s">
        <v>261</v>
      </c>
      <c r="B175" t="s">
        <v>306</v>
      </c>
      <c r="C175" t="s">
        <v>307</v>
      </c>
      <c r="D175" t="s">
        <v>999</v>
      </c>
      <c r="E175">
        <f>IFERROR(VLOOKUP(C175,'New Adm Data (Mar to July)'!C:D,2,),"-")</f>
        <v>113</v>
      </c>
      <c r="F175">
        <f>IFERROR(VLOOKUP(D175,'New Adm Data (Aug to Nov)'!C:D,2,),"-")</f>
        <v>334</v>
      </c>
      <c r="G175" t="s">
        <v>1317</v>
      </c>
      <c r="H175" t="str">
        <f t="shared" si="6"/>
        <v>No</v>
      </c>
      <c r="I175" t="str">
        <f t="shared" si="7"/>
        <v>Yes</v>
      </c>
      <c r="J175" t="str">
        <f t="shared" si="8"/>
        <v>Yes</v>
      </c>
    </row>
    <row r="176" spans="1:10" x14ac:dyDescent="0.35">
      <c r="A176" t="s">
        <v>261</v>
      </c>
      <c r="B176" t="s">
        <v>308</v>
      </c>
      <c r="C176" t="s">
        <v>309</v>
      </c>
      <c r="D176" t="s">
        <v>1000</v>
      </c>
      <c r="E176">
        <f>IFERROR(VLOOKUP(C176,'New Adm Data (Mar to July)'!C:D,2,),"-")</f>
        <v>357</v>
      </c>
      <c r="F176">
        <f>IFERROR(VLOOKUP(D176,'New Adm Data (Aug to Nov)'!C:D,2,),"-")</f>
        <v>943</v>
      </c>
      <c r="G176" t="s">
        <v>1317</v>
      </c>
      <c r="H176" t="str">
        <f t="shared" si="6"/>
        <v>No</v>
      </c>
      <c r="I176" t="str">
        <f t="shared" si="7"/>
        <v>Yes</v>
      </c>
      <c r="J176" t="str">
        <f t="shared" si="8"/>
        <v>Yes</v>
      </c>
    </row>
    <row r="177" spans="1:10" x14ac:dyDescent="0.35">
      <c r="A177" t="s">
        <v>261</v>
      </c>
      <c r="B177" t="s">
        <v>310</v>
      </c>
      <c r="C177" t="s">
        <v>311</v>
      </c>
      <c r="D177" t="s">
        <v>1001</v>
      </c>
      <c r="E177">
        <f>IFERROR(VLOOKUP(C177,'New Adm Data (Mar to July)'!C:D,2,),"-")</f>
        <v>301</v>
      </c>
      <c r="F177">
        <f>IFERROR(VLOOKUP(D177,'New Adm Data (Aug to Nov)'!C:D,2,),"-")</f>
        <v>277</v>
      </c>
      <c r="G177" t="s">
        <v>1317</v>
      </c>
      <c r="H177" t="str">
        <f t="shared" si="6"/>
        <v>No</v>
      </c>
      <c r="I177" t="str">
        <f t="shared" si="7"/>
        <v>Yes</v>
      </c>
      <c r="J177" t="str">
        <f t="shared" si="8"/>
        <v>Yes</v>
      </c>
    </row>
    <row r="178" spans="1:10" x14ac:dyDescent="0.35">
      <c r="A178" t="s">
        <v>261</v>
      </c>
      <c r="B178" t="s">
        <v>312</v>
      </c>
      <c r="C178" t="s">
        <v>313</v>
      </c>
      <c r="D178" t="s">
        <v>1002</v>
      </c>
      <c r="E178">
        <f>IFERROR(VLOOKUP(C178,'New Adm Data (Mar to July)'!C:D,2,),"-")</f>
        <v>53</v>
      </c>
      <c r="F178">
        <f>IFERROR(VLOOKUP(D178,'New Adm Data (Aug to Nov)'!C:D,2,),"-")</f>
        <v>295</v>
      </c>
      <c r="G178" t="s">
        <v>1317</v>
      </c>
      <c r="H178" t="str">
        <f t="shared" si="6"/>
        <v>No</v>
      </c>
      <c r="I178" t="str">
        <f t="shared" si="7"/>
        <v>Yes</v>
      </c>
      <c r="J178" t="str">
        <f t="shared" si="8"/>
        <v>Yes</v>
      </c>
    </row>
    <row r="179" spans="1:10" x14ac:dyDescent="0.35">
      <c r="A179" t="s">
        <v>261</v>
      </c>
      <c r="B179" t="s">
        <v>314</v>
      </c>
      <c r="C179" t="s">
        <v>315</v>
      </c>
      <c r="D179" t="s">
        <v>1003</v>
      </c>
      <c r="E179">
        <f>IFERROR(VLOOKUP(C179,'New Adm Data (Mar to July)'!C:D,2,),"-")</f>
        <v>646</v>
      </c>
      <c r="F179">
        <f>IFERROR(VLOOKUP(D179,'New Adm Data (Aug to Nov)'!C:D,2,),"-")</f>
        <v>272</v>
      </c>
      <c r="G179" t="s">
        <v>1317</v>
      </c>
      <c r="H179" t="str">
        <f t="shared" si="6"/>
        <v>No</v>
      </c>
      <c r="I179" t="str">
        <f t="shared" si="7"/>
        <v>Yes</v>
      </c>
      <c r="J179" t="str">
        <f t="shared" si="8"/>
        <v>Yes</v>
      </c>
    </row>
    <row r="180" spans="1:10" x14ac:dyDescent="0.35">
      <c r="A180" t="s">
        <v>261</v>
      </c>
      <c r="B180" t="s">
        <v>316</v>
      </c>
      <c r="C180" t="s">
        <v>317</v>
      </c>
      <c r="D180" t="s">
        <v>1004</v>
      </c>
      <c r="E180">
        <f>IFERROR(VLOOKUP(C180,'New Adm Data (Mar to July)'!C:D,2,),"-")</f>
        <v>13</v>
      </c>
      <c r="F180">
        <f>IFERROR(VLOOKUP(D180,'New Adm Data (Aug to Nov)'!C:D,2,),"-")</f>
        <v>5</v>
      </c>
      <c r="G180" t="s">
        <v>1316</v>
      </c>
      <c r="H180" t="str">
        <f t="shared" si="6"/>
        <v>No</v>
      </c>
      <c r="I180" t="str">
        <f t="shared" si="7"/>
        <v>No</v>
      </c>
      <c r="J180" t="str">
        <f t="shared" si="8"/>
        <v>No</v>
      </c>
    </row>
    <row r="181" spans="1:10" x14ac:dyDescent="0.35">
      <c r="A181" t="s">
        <v>261</v>
      </c>
      <c r="B181" t="s">
        <v>318</v>
      </c>
      <c r="C181" t="s">
        <v>319</v>
      </c>
      <c r="D181" t="s">
        <v>1005</v>
      </c>
      <c r="E181">
        <f>IFERROR(VLOOKUP(C181,'New Adm Data (Mar to July)'!C:D,2,),"-")</f>
        <v>7</v>
      </c>
      <c r="F181">
        <f>IFERROR(VLOOKUP(D181,'New Adm Data (Aug to Nov)'!C:D,2,),"-")</f>
        <v>381</v>
      </c>
      <c r="G181" t="s">
        <v>1317</v>
      </c>
      <c r="H181" t="str">
        <f t="shared" si="6"/>
        <v>No</v>
      </c>
      <c r="I181" t="str">
        <f t="shared" si="7"/>
        <v>Yes</v>
      </c>
      <c r="J181" t="str">
        <f t="shared" si="8"/>
        <v>Yes</v>
      </c>
    </row>
    <row r="182" spans="1:10" x14ac:dyDescent="0.35">
      <c r="A182" t="s">
        <v>261</v>
      </c>
      <c r="B182" t="s">
        <v>320</v>
      </c>
      <c r="C182" t="s">
        <v>321</v>
      </c>
      <c r="D182" t="s">
        <v>1006</v>
      </c>
      <c r="E182">
        <f>IFERROR(VLOOKUP(C182,'New Adm Data (Mar to July)'!C:D,2,),"-")</f>
        <v>106</v>
      </c>
      <c r="F182">
        <f>IFERROR(VLOOKUP(D182,'New Adm Data (Aug to Nov)'!C:D,2,),"-")</f>
        <v>194</v>
      </c>
      <c r="G182" t="s">
        <v>1317</v>
      </c>
      <c r="H182" t="str">
        <f t="shared" si="6"/>
        <v>No</v>
      </c>
      <c r="I182" t="str">
        <f t="shared" si="7"/>
        <v>Yes</v>
      </c>
      <c r="J182" t="str">
        <f t="shared" si="8"/>
        <v>Yes</v>
      </c>
    </row>
    <row r="183" spans="1:10" x14ac:dyDescent="0.35">
      <c r="A183" t="s">
        <v>261</v>
      </c>
      <c r="B183" t="s">
        <v>322</v>
      </c>
      <c r="C183" t="s">
        <v>323</v>
      </c>
      <c r="D183" t="s">
        <v>1007</v>
      </c>
      <c r="E183">
        <f>IFERROR(VLOOKUP(C183,'New Adm Data (Mar to July)'!C:D,2,),"-")</f>
        <v>127</v>
      </c>
      <c r="F183">
        <f>IFERROR(VLOOKUP(D183,'New Adm Data (Aug to Nov)'!C:D,2,),"-")</f>
        <v>382</v>
      </c>
      <c r="G183" t="s">
        <v>1317</v>
      </c>
      <c r="H183" t="str">
        <f t="shared" si="6"/>
        <v>No</v>
      </c>
      <c r="I183" t="str">
        <f t="shared" si="7"/>
        <v>Yes</v>
      </c>
      <c r="J183" t="str">
        <f t="shared" si="8"/>
        <v>Yes</v>
      </c>
    </row>
    <row r="184" spans="1:10" x14ac:dyDescent="0.35">
      <c r="A184" t="s">
        <v>261</v>
      </c>
      <c r="B184" t="s">
        <v>324</v>
      </c>
      <c r="C184" t="s">
        <v>325</v>
      </c>
      <c r="D184" t="s">
        <v>1008</v>
      </c>
      <c r="E184">
        <f>IFERROR(VLOOKUP(C184,'New Adm Data (Mar to July)'!C:D,2,),"-")</f>
        <v>4</v>
      </c>
      <c r="F184">
        <f>IFERROR(VLOOKUP(D184,'New Adm Data (Aug to Nov)'!C:D,2,),"-")</f>
        <v>33</v>
      </c>
      <c r="G184" t="s">
        <v>1316</v>
      </c>
      <c r="H184" t="str">
        <f t="shared" si="6"/>
        <v>No</v>
      </c>
      <c r="I184" t="str">
        <f t="shared" si="7"/>
        <v>No</v>
      </c>
      <c r="J184" t="str">
        <f t="shared" si="8"/>
        <v>No</v>
      </c>
    </row>
    <row r="185" spans="1:10" x14ac:dyDescent="0.35">
      <c r="A185" t="s">
        <v>261</v>
      </c>
      <c r="B185" t="s">
        <v>326</v>
      </c>
      <c r="C185" t="s">
        <v>327</v>
      </c>
      <c r="D185" t="s">
        <v>1009</v>
      </c>
      <c r="E185">
        <f>IFERROR(VLOOKUP(C185,'New Adm Data (Mar to July)'!C:D,2,),"-")</f>
        <v>7</v>
      </c>
      <c r="F185">
        <f>IFERROR(VLOOKUP(D185,'New Adm Data (Aug to Nov)'!C:D,2,),"-")</f>
        <v>22</v>
      </c>
      <c r="G185" t="s">
        <v>1316</v>
      </c>
      <c r="H185" t="str">
        <f t="shared" si="6"/>
        <v>No</v>
      </c>
      <c r="I185" t="str">
        <f t="shared" si="7"/>
        <v>No</v>
      </c>
      <c r="J185" t="str">
        <f t="shared" si="8"/>
        <v>No</v>
      </c>
    </row>
    <row r="186" spans="1:10" x14ac:dyDescent="0.35">
      <c r="A186" t="s">
        <v>261</v>
      </c>
      <c r="B186" t="s">
        <v>328</v>
      </c>
      <c r="C186" t="s">
        <v>329</v>
      </c>
      <c r="D186" t="s">
        <v>1010</v>
      </c>
      <c r="E186">
        <f>IFERROR(VLOOKUP(C186,'New Adm Data (Mar to July)'!C:D,2,),"-")</f>
        <v>19</v>
      </c>
      <c r="F186">
        <f>IFERROR(VLOOKUP(D186,'New Adm Data (Aug to Nov)'!C:D,2,),"-")</f>
        <v>19</v>
      </c>
      <c r="G186" t="s">
        <v>1316</v>
      </c>
      <c r="H186" t="str">
        <f t="shared" si="6"/>
        <v>No</v>
      </c>
      <c r="I186" t="str">
        <f t="shared" si="7"/>
        <v>No</v>
      </c>
      <c r="J186" t="str">
        <f t="shared" si="8"/>
        <v>No</v>
      </c>
    </row>
    <row r="187" spans="1:10" x14ac:dyDescent="0.35">
      <c r="A187" t="s">
        <v>261</v>
      </c>
      <c r="B187" t="s">
        <v>330</v>
      </c>
      <c r="C187" t="s">
        <v>331</v>
      </c>
      <c r="D187" t="s">
        <v>1011</v>
      </c>
      <c r="E187">
        <f>IFERROR(VLOOKUP(C187,'New Adm Data (Mar to July)'!C:D,2,),"-")</f>
        <v>38</v>
      </c>
      <c r="F187">
        <f>IFERROR(VLOOKUP(D187,'New Adm Data (Aug to Nov)'!C:D,2,),"-")</f>
        <v>608</v>
      </c>
      <c r="G187" t="s">
        <v>1317</v>
      </c>
      <c r="H187" t="str">
        <f t="shared" si="6"/>
        <v>No</v>
      </c>
      <c r="I187" t="str">
        <f t="shared" si="7"/>
        <v>Yes</v>
      </c>
      <c r="J187" t="str">
        <f t="shared" si="8"/>
        <v>Yes</v>
      </c>
    </row>
    <row r="188" spans="1:10" x14ac:dyDescent="0.35">
      <c r="A188" t="s">
        <v>261</v>
      </c>
      <c r="B188" t="s">
        <v>332</v>
      </c>
      <c r="C188" t="s">
        <v>333</v>
      </c>
      <c r="D188" t="s">
        <v>1012</v>
      </c>
      <c r="E188">
        <f>IFERROR(VLOOKUP(C188,'New Adm Data (Mar to July)'!C:D,2,),"-")</f>
        <v>1</v>
      </c>
      <c r="F188">
        <f>IFERROR(VLOOKUP(D188,'New Adm Data (Aug to Nov)'!C:D,2,),"-")</f>
        <v>18</v>
      </c>
      <c r="G188" t="s">
        <v>1316</v>
      </c>
      <c r="H188" t="str">
        <f t="shared" si="6"/>
        <v>No</v>
      </c>
      <c r="I188" t="str">
        <f t="shared" si="7"/>
        <v>No</v>
      </c>
      <c r="J188" t="str">
        <f t="shared" si="8"/>
        <v>No</v>
      </c>
    </row>
    <row r="189" spans="1:10" x14ac:dyDescent="0.35">
      <c r="A189" t="s">
        <v>261</v>
      </c>
      <c r="B189" t="s">
        <v>334</v>
      </c>
      <c r="C189" t="s">
        <v>335</v>
      </c>
      <c r="D189" t="s">
        <v>1013</v>
      </c>
      <c r="E189">
        <f>IFERROR(VLOOKUP(C189,'New Adm Data (Mar to July)'!C:D,2,),"-")</f>
        <v>128</v>
      </c>
      <c r="F189">
        <f>IFERROR(VLOOKUP(D189,'New Adm Data (Aug to Nov)'!C:D,2,),"-")</f>
        <v>420</v>
      </c>
      <c r="G189" t="s">
        <v>1317</v>
      </c>
      <c r="H189" t="str">
        <f t="shared" si="6"/>
        <v>No</v>
      </c>
      <c r="I189" t="str">
        <f t="shared" si="7"/>
        <v>Yes</v>
      </c>
      <c r="J189" t="str">
        <f t="shared" si="8"/>
        <v>Yes</v>
      </c>
    </row>
    <row r="190" spans="1:10" x14ac:dyDescent="0.35">
      <c r="A190" t="s">
        <v>261</v>
      </c>
      <c r="B190" t="s">
        <v>336</v>
      </c>
      <c r="C190" t="s">
        <v>337</v>
      </c>
      <c r="D190" t="s">
        <v>1014</v>
      </c>
      <c r="E190">
        <f>IFERROR(VLOOKUP(C190,'New Adm Data (Mar to July)'!C:D,2,),"-")</f>
        <v>0</v>
      </c>
      <c r="F190">
        <f>IFERROR(VLOOKUP(D190,'New Adm Data (Aug to Nov)'!C:D,2,),"-")</f>
        <v>0</v>
      </c>
      <c r="G190" t="s">
        <v>1316</v>
      </c>
      <c r="H190" t="str">
        <f t="shared" si="6"/>
        <v>No</v>
      </c>
      <c r="I190" t="str">
        <f t="shared" si="7"/>
        <v>No</v>
      </c>
      <c r="J190" t="str">
        <f t="shared" si="8"/>
        <v>No</v>
      </c>
    </row>
    <row r="191" spans="1:10" x14ac:dyDescent="0.35">
      <c r="A191" t="s">
        <v>261</v>
      </c>
      <c r="B191" t="s">
        <v>338</v>
      </c>
      <c r="C191" t="s">
        <v>339</v>
      </c>
      <c r="D191" t="s">
        <v>1015</v>
      </c>
      <c r="E191">
        <f>IFERROR(VLOOKUP(C191,'New Adm Data (Mar to July)'!C:D,2,),"-")</f>
        <v>1</v>
      </c>
      <c r="F191">
        <f>IFERROR(VLOOKUP(D191,'New Adm Data (Aug to Nov)'!C:D,2,),"-")</f>
        <v>0</v>
      </c>
      <c r="G191" t="s">
        <v>1316</v>
      </c>
      <c r="H191" t="str">
        <f t="shared" si="6"/>
        <v>No</v>
      </c>
      <c r="I191" t="str">
        <f t="shared" si="7"/>
        <v>No</v>
      </c>
      <c r="J191" t="str">
        <f t="shared" si="8"/>
        <v>No</v>
      </c>
    </row>
    <row r="192" spans="1:10" x14ac:dyDescent="0.35">
      <c r="A192" t="s">
        <v>261</v>
      </c>
      <c r="B192" t="s">
        <v>340</v>
      </c>
      <c r="C192" t="s">
        <v>341</v>
      </c>
      <c r="D192" t="s">
        <v>1016</v>
      </c>
      <c r="E192">
        <f>IFERROR(VLOOKUP(C192,'New Adm Data (Mar to July)'!C:D,2,),"-")</f>
        <v>1</v>
      </c>
      <c r="F192">
        <f>IFERROR(VLOOKUP(D192,'New Adm Data (Aug to Nov)'!C:D,2,),"-")</f>
        <v>19</v>
      </c>
      <c r="G192" t="s">
        <v>1316</v>
      </c>
      <c r="H192" t="str">
        <f t="shared" si="6"/>
        <v>No</v>
      </c>
      <c r="I192" t="str">
        <f t="shared" si="7"/>
        <v>No</v>
      </c>
      <c r="J192" t="str">
        <f t="shared" si="8"/>
        <v>No</v>
      </c>
    </row>
    <row r="193" spans="1:10" x14ac:dyDescent="0.35">
      <c r="A193" t="s">
        <v>342</v>
      </c>
      <c r="B193" t="s">
        <v>343</v>
      </c>
      <c r="C193" t="s">
        <v>344</v>
      </c>
      <c r="D193" t="s">
        <v>1310</v>
      </c>
      <c r="E193">
        <f>IFERROR(VLOOKUP(C193,'New Adm Data (Mar to July)'!C:D,2,),"-")</f>
        <v>0</v>
      </c>
      <c r="F193" t="str">
        <f>IFERROR(VLOOKUP(D193,'New Adm Data (Aug to Nov)'!C:D,2,),"-")</f>
        <v>-</v>
      </c>
      <c r="G193" t="s">
        <v>1324</v>
      </c>
      <c r="H193" t="str">
        <f t="shared" si="6"/>
        <v>No</v>
      </c>
      <c r="I193" t="str">
        <f t="shared" si="7"/>
        <v>No</v>
      </c>
      <c r="J193" t="str">
        <f t="shared" si="8"/>
        <v>No</v>
      </c>
    </row>
    <row r="194" spans="1:10" x14ac:dyDescent="0.35">
      <c r="A194" t="s">
        <v>342</v>
      </c>
      <c r="B194" t="s">
        <v>345</v>
      </c>
      <c r="C194" t="s">
        <v>346</v>
      </c>
      <c r="D194" t="s">
        <v>1310</v>
      </c>
      <c r="E194">
        <f>IFERROR(VLOOKUP(C194,'New Adm Data (Mar to July)'!C:D,2,),"-")</f>
        <v>0</v>
      </c>
      <c r="F194" t="str">
        <f>IFERROR(VLOOKUP(D194,'New Adm Data (Aug to Nov)'!C:D,2,),"-")</f>
        <v>-</v>
      </c>
      <c r="G194" t="s">
        <v>1324</v>
      </c>
      <c r="H194" t="str">
        <f t="shared" si="6"/>
        <v>No</v>
      </c>
      <c r="I194" t="str">
        <f t="shared" si="7"/>
        <v>No</v>
      </c>
      <c r="J194" t="str">
        <f t="shared" si="8"/>
        <v>No</v>
      </c>
    </row>
    <row r="195" spans="1:10" x14ac:dyDescent="0.35">
      <c r="A195" t="s">
        <v>342</v>
      </c>
      <c r="B195" t="s">
        <v>7</v>
      </c>
      <c r="C195" t="s">
        <v>8</v>
      </c>
      <c r="D195" t="s">
        <v>1310</v>
      </c>
      <c r="E195">
        <f>IFERROR(VLOOKUP(C195,'New Adm Data (Mar to July)'!C:D,2,),"-")</f>
        <v>0</v>
      </c>
      <c r="F195" t="str">
        <f>IFERROR(VLOOKUP(D195,'New Adm Data (Aug to Nov)'!C:D,2,),"-")</f>
        <v>-</v>
      </c>
      <c r="G195" t="s">
        <v>1324</v>
      </c>
      <c r="H195" t="str">
        <f t="shared" ref="H195:H258" si="9">IF(G195&lt;&gt;"Yes",IF(SUM(E195:F195)&gt;228,"Yes","No"),"No")</f>
        <v>No</v>
      </c>
      <c r="I195" t="str">
        <f t="shared" ref="I195:I258" si="10">IF(G195="Yes",IF(SUM(E195:F195)&gt;228,"Yes","No"),"No")</f>
        <v>No</v>
      </c>
      <c r="J195" t="str">
        <f t="shared" ref="J195:J258" si="11">IF(H195="Yes","Yes",IF(I195="Yes","Yes","No"))</f>
        <v>No</v>
      </c>
    </row>
    <row r="196" spans="1:10" x14ac:dyDescent="0.35">
      <c r="A196" t="s">
        <v>342</v>
      </c>
      <c r="B196" t="s">
        <v>13</v>
      </c>
      <c r="C196" t="s">
        <v>14</v>
      </c>
      <c r="D196" t="s">
        <v>1310</v>
      </c>
      <c r="E196">
        <f>IFERROR(VLOOKUP(C196,'New Adm Data (Mar to July)'!C:D,2,),"-")</f>
        <v>0</v>
      </c>
      <c r="F196" t="str">
        <f>IFERROR(VLOOKUP(D196,'New Adm Data (Aug to Nov)'!C:D,2,),"-")</f>
        <v>-</v>
      </c>
      <c r="G196" t="s">
        <v>1324</v>
      </c>
      <c r="H196" t="str">
        <f t="shared" si="9"/>
        <v>No</v>
      </c>
      <c r="I196" t="str">
        <f t="shared" si="10"/>
        <v>No</v>
      </c>
      <c r="J196" t="str">
        <f t="shared" si="11"/>
        <v>No</v>
      </c>
    </row>
    <row r="197" spans="1:10" x14ac:dyDescent="0.35">
      <c r="A197" t="s">
        <v>342</v>
      </c>
      <c r="B197" t="s">
        <v>19</v>
      </c>
      <c r="C197" t="s">
        <v>20</v>
      </c>
      <c r="D197" t="s">
        <v>1310</v>
      </c>
      <c r="E197">
        <f>IFERROR(VLOOKUP(C197,'New Adm Data (Mar to July)'!C:D,2,),"-")</f>
        <v>0</v>
      </c>
      <c r="F197" t="str">
        <f>IFERROR(VLOOKUP(D197,'New Adm Data (Aug to Nov)'!C:D,2,),"-")</f>
        <v>-</v>
      </c>
      <c r="G197" t="s">
        <v>1324</v>
      </c>
      <c r="H197" t="str">
        <f t="shared" si="9"/>
        <v>No</v>
      </c>
      <c r="I197" t="str">
        <f t="shared" si="10"/>
        <v>No</v>
      </c>
      <c r="J197" t="str">
        <f t="shared" si="11"/>
        <v>No</v>
      </c>
    </row>
    <row r="198" spans="1:10" x14ac:dyDescent="0.35">
      <c r="A198" t="s">
        <v>342</v>
      </c>
      <c r="B198" t="s">
        <v>21</v>
      </c>
      <c r="C198" t="s">
        <v>22</v>
      </c>
      <c r="D198" t="s">
        <v>1310</v>
      </c>
      <c r="E198">
        <f>IFERROR(VLOOKUP(C198,'New Adm Data (Mar to July)'!C:D,2,),"-")</f>
        <v>0</v>
      </c>
      <c r="F198" t="str">
        <f>IFERROR(VLOOKUP(D198,'New Adm Data (Aug to Nov)'!C:D,2,),"-")</f>
        <v>-</v>
      </c>
      <c r="G198" t="s">
        <v>1324</v>
      </c>
      <c r="H198" t="str">
        <f t="shared" si="9"/>
        <v>No</v>
      </c>
      <c r="I198" t="str">
        <f t="shared" si="10"/>
        <v>No</v>
      </c>
      <c r="J198" t="str">
        <f t="shared" si="11"/>
        <v>No</v>
      </c>
    </row>
    <row r="199" spans="1:10" x14ac:dyDescent="0.35">
      <c r="A199" t="s">
        <v>342</v>
      </c>
      <c r="B199" t="s">
        <v>23</v>
      </c>
      <c r="C199" t="s">
        <v>24</v>
      </c>
      <c r="D199" t="s">
        <v>1310</v>
      </c>
      <c r="E199">
        <f>IFERROR(VLOOKUP(C199,'New Adm Data (Mar to July)'!C:D,2,),"-")</f>
        <v>0</v>
      </c>
      <c r="F199" t="str">
        <f>IFERROR(VLOOKUP(D199,'New Adm Data (Aug to Nov)'!C:D,2,),"-")</f>
        <v>-</v>
      </c>
      <c r="G199" t="s">
        <v>1324</v>
      </c>
      <c r="H199" t="str">
        <f t="shared" si="9"/>
        <v>No</v>
      </c>
      <c r="I199" t="str">
        <f t="shared" si="10"/>
        <v>No</v>
      </c>
      <c r="J199" t="str">
        <f t="shared" si="11"/>
        <v>No</v>
      </c>
    </row>
    <row r="200" spans="1:10" x14ac:dyDescent="0.35">
      <c r="A200" t="s">
        <v>342</v>
      </c>
      <c r="B200" t="s">
        <v>183</v>
      </c>
      <c r="C200" t="s">
        <v>184</v>
      </c>
      <c r="D200" t="s">
        <v>1310</v>
      </c>
      <c r="E200">
        <f>IFERROR(VLOOKUP(C200,'New Adm Data (Mar to July)'!C:D,2,),"-")</f>
        <v>0</v>
      </c>
      <c r="F200" t="str">
        <f>IFERROR(VLOOKUP(D200,'New Adm Data (Aug to Nov)'!C:D,2,),"-")</f>
        <v>-</v>
      </c>
      <c r="G200" t="s">
        <v>1324</v>
      </c>
      <c r="H200" t="str">
        <f t="shared" si="9"/>
        <v>No</v>
      </c>
      <c r="I200" t="str">
        <f t="shared" si="10"/>
        <v>No</v>
      </c>
      <c r="J200" t="str">
        <f t="shared" si="11"/>
        <v>No</v>
      </c>
    </row>
    <row r="201" spans="1:10" x14ac:dyDescent="0.35">
      <c r="A201" t="s">
        <v>342</v>
      </c>
      <c r="B201" t="s">
        <v>25</v>
      </c>
      <c r="C201" t="s">
        <v>26</v>
      </c>
      <c r="D201" t="s">
        <v>1310</v>
      </c>
      <c r="E201">
        <f>IFERROR(VLOOKUP(C201,'New Adm Data (Mar to July)'!C:D,2,),"-")</f>
        <v>0</v>
      </c>
      <c r="F201" t="str">
        <f>IFERROR(VLOOKUP(D201,'New Adm Data (Aug to Nov)'!C:D,2,),"-")</f>
        <v>-</v>
      </c>
      <c r="G201" t="s">
        <v>1324</v>
      </c>
      <c r="H201" t="str">
        <f t="shared" si="9"/>
        <v>No</v>
      </c>
      <c r="I201" t="str">
        <f t="shared" si="10"/>
        <v>No</v>
      </c>
      <c r="J201" t="str">
        <f t="shared" si="11"/>
        <v>No</v>
      </c>
    </row>
    <row r="202" spans="1:10" x14ac:dyDescent="0.35">
      <c r="A202" t="s">
        <v>342</v>
      </c>
      <c r="B202" t="s">
        <v>102</v>
      </c>
      <c r="C202" t="s">
        <v>103</v>
      </c>
      <c r="D202" t="s">
        <v>1310</v>
      </c>
      <c r="E202">
        <f>IFERROR(VLOOKUP(C202,'New Adm Data (Mar to July)'!C:D,2,),"-")</f>
        <v>39</v>
      </c>
      <c r="F202" t="str">
        <f>IFERROR(VLOOKUP(D202,'New Adm Data (Aug to Nov)'!C:D,2,),"-")</f>
        <v>-</v>
      </c>
      <c r="G202" t="s">
        <v>1324</v>
      </c>
      <c r="H202" t="str">
        <f t="shared" si="9"/>
        <v>No</v>
      </c>
      <c r="I202" t="str">
        <f t="shared" si="10"/>
        <v>No</v>
      </c>
      <c r="J202" t="str">
        <f t="shared" si="11"/>
        <v>No</v>
      </c>
    </row>
    <row r="203" spans="1:10" x14ac:dyDescent="0.35">
      <c r="A203" t="s">
        <v>342</v>
      </c>
      <c r="B203" t="s">
        <v>347</v>
      </c>
      <c r="C203" t="s">
        <v>348</v>
      </c>
      <c r="D203" t="s">
        <v>1067</v>
      </c>
      <c r="E203">
        <f>IFERROR(VLOOKUP(C203,'New Adm Data (Mar to July)'!C:D,2,),"-")</f>
        <v>1918</v>
      </c>
      <c r="F203">
        <f>IFERROR(VLOOKUP(D203,'New Adm Data (Aug to Nov)'!C:D,2,),"-")</f>
        <v>796</v>
      </c>
      <c r="G203" t="s">
        <v>1317</v>
      </c>
      <c r="H203" t="str">
        <f t="shared" si="9"/>
        <v>No</v>
      </c>
      <c r="I203" t="str">
        <f t="shared" si="10"/>
        <v>Yes</v>
      </c>
      <c r="J203" t="str">
        <f t="shared" si="11"/>
        <v>Yes</v>
      </c>
    </row>
    <row r="204" spans="1:10" x14ac:dyDescent="0.35">
      <c r="A204" t="s">
        <v>342</v>
      </c>
      <c r="B204" t="s">
        <v>349</v>
      </c>
      <c r="C204" t="s">
        <v>350</v>
      </c>
      <c r="D204" t="s">
        <v>1068</v>
      </c>
      <c r="E204">
        <f>IFERROR(VLOOKUP(C204,'New Adm Data (Mar to July)'!C:D,2,),"-")</f>
        <v>176</v>
      </c>
      <c r="F204">
        <f>IFERROR(VLOOKUP(D204,'New Adm Data (Aug to Nov)'!C:D,2,),"-")</f>
        <v>308</v>
      </c>
      <c r="G204" t="s">
        <v>1317</v>
      </c>
      <c r="H204" t="str">
        <f t="shared" si="9"/>
        <v>No</v>
      </c>
      <c r="I204" t="str">
        <f t="shared" si="10"/>
        <v>Yes</v>
      </c>
      <c r="J204" t="str">
        <f t="shared" si="11"/>
        <v>Yes</v>
      </c>
    </row>
    <row r="205" spans="1:10" x14ac:dyDescent="0.35">
      <c r="A205" t="s">
        <v>342</v>
      </c>
      <c r="B205" t="s">
        <v>351</v>
      </c>
      <c r="C205" t="s">
        <v>352</v>
      </c>
      <c r="D205" t="s">
        <v>1069</v>
      </c>
      <c r="E205">
        <f>IFERROR(VLOOKUP(C205,'New Adm Data (Mar to July)'!C:D,2,),"-")</f>
        <v>4</v>
      </c>
      <c r="F205">
        <f>IFERROR(VLOOKUP(D205,'New Adm Data (Aug to Nov)'!C:D,2,),"-")</f>
        <v>480</v>
      </c>
      <c r="G205" t="s">
        <v>1317</v>
      </c>
      <c r="H205" t="str">
        <f t="shared" si="9"/>
        <v>No</v>
      </c>
      <c r="I205" t="str">
        <f t="shared" si="10"/>
        <v>Yes</v>
      </c>
      <c r="J205" t="str">
        <f t="shared" si="11"/>
        <v>Yes</v>
      </c>
    </row>
    <row r="206" spans="1:10" x14ac:dyDescent="0.35">
      <c r="A206" t="s">
        <v>342</v>
      </c>
      <c r="B206" t="s">
        <v>353</v>
      </c>
      <c r="C206" t="s">
        <v>354</v>
      </c>
      <c r="D206" t="s">
        <v>1070</v>
      </c>
      <c r="E206">
        <f>IFERROR(VLOOKUP(C206,'New Adm Data (Mar to July)'!C:D,2,),"-")</f>
        <v>32</v>
      </c>
      <c r="F206">
        <f>IFERROR(VLOOKUP(D206,'New Adm Data (Aug to Nov)'!C:D,2,),"-")</f>
        <v>25</v>
      </c>
      <c r="G206" t="s">
        <v>1316</v>
      </c>
      <c r="H206" t="str">
        <f t="shared" si="9"/>
        <v>No</v>
      </c>
      <c r="I206" t="str">
        <f t="shared" si="10"/>
        <v>No</v>
      </c>
      <c r="J206" t="str">
        <f t="shared" si="11"/>
        <v>No</v>
      </c>
    </row>
    <row r="207" spans="1:10" x14ac:dyDescent="0.35">
      <c r="A207" t="s">
        <v>342</v>
      </c>
      <c r="B207" t="s">
        <v>355</v>
      </c>
      <c r="C207" t="s">
        <v>356</v>
      </c>
      <c r="D207" t="s">
        <v>1071</v>
      </c>
      <c r="E207">
        <f>IFERROR(VLOOKUP(C207,'New Adm Data (Mar to July)'!C:D,2,),"-")</f>
        <v>14</v>
      </c>
      <c r="F207">
        <f>IFERROR(VLOOKUP(D207,'New Adm Data (Aug to Nov)'!C:D,2,),"-")</f>
        <v>18</v>
      </c>
      <c r="G207" t="s">
        <v>1317</v>
      </c>
      <c r="H207" t="str">
        <f t="shared" si="9"/>
        <v>No</v>
      </c>
      <c r="I207" t="str">
        <f t="shared" si="10"/>
        <v>No</v>
      </c>
      <c r="J207" t="str">
        <f t="shared" si="11"/>
        <v>No</v>
      </c>
    </row>
    <row r="208" spans="1:10" x14ac:dyDescent="0.35">
      <c r="A208" t="s">
        <v>342</v>
      </c>
      <c r="B208" t="s">
        <v>357</v>
      </c>
      <c r="C208" t="s">
        <v>358</v>
      </c>
      <c r="D208" t="s">
        <v>1072</v>
      </c>
      <c r="E208">
        <f>IFERROR(VLOOKUP(C208,'New Adm Data (Mar to July)'!C:D,2,),"-")</f>
        <v>46</v>
      </c>
      <c r="F208">
        <f>IFERROR(VLOOKUP(D208,'New Adm Data (Aug to Nov)'!C:D,2,),"-")</f>
        <v>107</v>
      </c>
      <c r="G208" t="s">
        <v>1317</v>
      </c>
      <c r="H208" t="str">
        <f t="shared" si="9"/>
        <v>No</v>
      </c>
      <c r="I208" t="str">
        <f t="shared" si="10"/>
        <v>No</v>
      </c>
      <c r="J208" t="str">
        <f t="shared" si="11"/>
        <v>No</v>
      </c>
    </row>
    <row r="209" spans="1:10" x14ac:dyDescent="0.35">
      <c r="A209" t="s">
        <v>342</v>
      </c>
      <c r="B209" t="s">
        <v>359</v>
      </c>
      <c r="C209" t="s">
        <v>360</v>
      </c>
      <c r="D209" t="s">
        <v>1073</v>
      </c>
      <c r="E209">
        <f>IFERROR(VLOOKUP(C209,'New Adm Data (Mar to July)'!C:D,2,),"-")</f>
        <v>31</v>
      </c>
      <c r="F209">
        <f>IFERROR(VLOOKUP(D209,'New Adm Data (Aug to Nov)'!C:D,2,),"-")</f>
        <v>22</v>
      </c>
      <c r="G209" t="s">
        <v>1316</v>
      </c>
      <c r="H209" t="str">
        <f t="shared" si="9"/>
        <v>No</v>
      </c>
      <c r="I209" t="str">
        <f t="shared" si="10"/>
        <v>No</v>
      </c>
      <c r="J209" t="str">
        <f t="shared" si="11"/>
        <v>No</v>
      </c>
    </row>
    <row r="210" spans="1:10" x14ac:dyDescent="0.35">
      <c r="A210" t="s">
        <v>342</v>
      </c>
      <c r="B210" t="s">
        <v>361</v>
      </c>
      <c r="C210" t="s">
        <v>362</v>
      </c>
      <c r="D210" t="s">
        <v>1074</v>
      </c>
      <c r="E210">
        <f>IFERROR(VLOOKUP(C210,'New Adm Data (Mar to July)'!C:D,2,),"-")</f>
        <v>224</v>
      </c>
      <c r="F210">
        <f>IFERROR(VLOOKUP(D210,'New Adm Data (Aug to Nov)'!C:D,2,),"-")</f>
        <v>1427</v>
      </c>
      <c r="G210" t="s">
        <v>1317</v>
      </c>
      <c r="H210" t="str">
        <f t="shared" si="9"/>
        <v>No</v>
      </c>
      <c r="I210" t="str">
        <f t="shared" si="10"/>
        <v>Yes</v>
      </c>
      <c r="J210" t="str">
        <f t="shared" si="11"/>
        <v>Yes</v>
      </c>
    </row>
    <row r="211" spans="1:10" x14ac:dyDescent="0.35">
      <c r="A211" t="s">
        <v>342</v>
      </c>
      <c r="B211" t="s">
        <v>363</v>
      </c>
      <c r="C211" t="s">
        <v>364</v>
      </c>
      <c r="D211" t="s">
        <v>1075</v>
      </c>
      <c r="E211">
        <f>IFERROR(VLOOKUP(C211,'New Adm Data (Mar to July)'!C:D,2,),"-")</f>
        <v>2</v>
      </c>
      <c r="F211">
        <f>IFERROR(VLOOKUP(D211,'New Adm Data (Aug to Nov)'!C:D,2,),"-")</f>
        <v>17</v>
      </c>
      <c r="G211" t="s">
        <v>1316</v>
      </c>
      <c r="H211" t="str">
        <f t="shared" si="9"/>
        <v>No</v>
      </c>
      <c r="I211" t="str">
        <f t="shared" si="10"/>
        <v>No</v>
      </c>
      <c r="J211" t="str">
        <f t="shared" si="11"/>
        <v>No</v>
      </c>
    </row>
    <row r="212" spans="1:10" x14ac:dyDescent="0.35">
      <c r="A212" t="s">
        <v>342</v>
      </c>
      <c r="B212" t="s">
        <v>365</v>
      </c>
      <c r="C212" t="s">
        <v>366</v>
      </c>
      <c r="D212" t="s">
        <v>1076</v>
      </c>
      <c r="E212">
        <f>IFERROR(VLOOKUP(C212,'New Adm Data (Mar to July)'!C:D,2,),"-")</f>
        <v>0</v>
      </c>
      <c r="F212">
        <f>IFERROR(VLOOKUP(D212,'New Adm Data (Aug to Nov)'!C:D,2,),"-")</f>
        <v>20</v>
      </c>
      <c r="G212" t="s">
        <v>1316</v>
      </c>
      <c r="H212" t="str">
        <f t="shared" si="9"/>
        <v>No</v>
      </c>
      <c r="I212" t="str">
        <f t="shared" si="10"/>
        <v>No</v>
      </c>
      <c r="J212" t="str">
        <f t="shared" si="11"/>
        <v>No</v>
      </c>
    </row>
    <row r="213" spans="1:10" x14ac:dyDescent="0.35">
      <c r="A213" t="s">
        <v>342</v>
      </c>
      <c r="B213" t="s">
        <v>367</v>
      </c>
      <c r="C213" t="s">
        <v>368</v>
      </c>
      <c r="D213" t="s">
        <v>1077</v>
      </c>
      <c r="E213">
        <f>IFERROR(VLOOKUP(C213,'New Adm Data (Mar to July)'!C:D,2,),"-")</f>
        <v>13</v>
      </c>
      <c r="F213">
        <f>IFERROR(VLOOKUP(D213,'New Adm Data (Aug to Nov)'!C:D,2,),"-")</f>
        <v>15</v>
      </c>
      <c r="G213" t="s">
        <v>1316</v>
      </c>
      <c r="H213" t="str">
        <f t="shared" si="9"/>
        <v>No</v>
      </c>
      <c r="I213" t="str">
        <f t="shared" si="10"/>
        <v>No</v>
      </c>
      <c r="J213" t="str">
        <f t="shared" si="11"/>
        <v>No</v>
      </c>
    </row>
    <row r="214" spans="1:10" x14ac:dyDescent="0.35">
      <c r="A214" t="s">
        <v>342</v>
      </c>
      <c r="B214" t="s">
        <v>369</v>
      </c>
      <c r="C214" t="s">
        <v>370</v>
      </c>
      <c r="D214" t="s">
        <v>1078</v>
      </c>
      <c r="E214">
        <f>IFERROR(VLOOKUP(C214,'New Adm Data (Mar to July)'!C:D,2,),"-")</f>
        <v>62</v>
      </c>
      <c r="F214">
        <f>IFERROR(VLOOKUP(D214,'New Adm Data (Aug to Nov)'!C:D,2,),"-")</f>
        <v>87</v>
      </c>
      <c r="G214" t="s">
        <v>1317</v>
      </c>
      <c r="H214" t="str">
        <f t="shared" si="9"/>
        <v>No</v>
      </c>
      <c r="I214" t="str">
        <f t="shared" si="10"/>
        <v>No</v>
      </c>
      <c r="J214" t="str">
        <f t="shared" si="11"/>
        <v>No</v>
      </c>
    </row>
    <row r="215" spans="1:10" x14ac:dyDescent="0.35">
      <c r="A215" t="s">
        <v>342</v>
      </c>
      <c r="B215" t="s">
        <v>371</v>
      </c>
      <c r="C215" t="s">
        <v>372</v>
      </c>
      <c r="D215" t="s">
        <v>1079</v>
      </c>
      <c r="E215">
        <f>IFERROR(VLOOKUP(C215,'New Adm Data (Mar to July)'!C:D,2,),"-")</f>
        <v>26</v>
      </c>
      <c r="F215">
        <f>IFERROR(VLOOKUP(D215,'New Adm Data (Aug to Nov)'!C:D,2,),"-")</f>
        <v>156</v>
      </c>
      <c r="G215" t="s">
        <v>1317</v>
      </c>
      <c r="H215" t="str">
        <f t="shared" si="9"/>
        <v>No</v>
      </c>
      <c r="I215" t="str">
        <f t="shared" si="10"/>
        <v>No</v>
      </c>
      <c r="J215" t="str">
        <f t="shared" si="11"/>
        <v>No</v>
      </c>
    </row>
    <row r="216" spans="1:10" x14ac:dyDescent="0.35">
      <c r="A216" t="s">
        <v>342</v>
      </c>
      <c r="B216" t="s">
        <v>373</v>
      </c>
      <c r="C216" t="s">
        <v>374</v>
      </c>
      <c r="D216" t="s">
        <v>1080</v>
      </c>
      <c r="E216">
        <f>IFERROR(VLOOKUP(C216,'New Adm Data (Mar to July)'!C:D,2,),"-")</f>
        <v>273</v>
      </c>
      <c r="F216">
        <f>IFERROR(VLOOKUP(D216,'New Adm Data (Aug to Nov)'!C:D,2,),"-")</f>
        <v>343</v>
      </c>
      <c r="G216" t="s">
        <v>1317</v>
      </c>
      <c r="H216" t="str">
        <f t="shared" si="9"/>
        <v>No</v>
      </c>
      <c r="I216" t="str">
        <f t="shared" si="10"/>
        <v>Yes</v>
      </c>
      <c r="J216" t="str">
        <f t="shared" si="11"/>
        <v>Yes</v>
      </c>
    </row>
    <row r="217" spans="1:10" x14ac:dyDescent="0.35">
      <c r="A217" t="s">
        <v>342</v>
      </c>
      <c r="B217" t="s">
        <v>375</v>
      </c>
      <c r="C217" t="s">
        <v>376</v>
      </c>
      <c r="D217" t="s">
        <v>1081</v>
      </c>
      <c r="E217">
        <f>IFERROR(VLOOKUP(C217,'New Adm Data (Mar to July)'!C:D,2,),"-")</f>
        <v>78</v>
      </c>
      <c r="F217">
        <f>IFERROR(VLOOKUP(D217,'New Adm Data (Aug to Nov)'!C:D,2,),"-")</f>
        <v>381</v>
      </c>
      <c r="G217" t="s">
        <v>1317</v>
      </c>
      <c r="H217" t="str">
        <f t="shared" si="9"/>
        <v>No</v>
      </c>
      <c r="I217" t="str">
        <f t="shared" si="10"/>
        <v>Yes</v>
      </c>
      <c r="J217" t="str">
        <f t="shared" si="11"/>
        <v>Yes</v>
      </c>
    </row>
    <row r="218" spans="1:10" x14ac:dyDescent="0.35">
      <c r="A218" t="s">
        <v>342</v>
      </c>
      <c r="B218" t="s">
        <v>377</v>
      </c>
      <c r="C218" t="s">
        <v>378</v>
      </c>
      <c r="D218" t="s">
        <v>1082</v>
      </c>
      <c r="E218">
        <f>IFERROR(VLOOKUP(C218,'New Adm Data (Mar to July)'!C:D,2,),"-")</f>
        <v>122</v>
      </c>
      <c r="F218">
        <f>IFERROR(VLOOKUP(D218,'New Adm Data (Aug to Nov)'!C:D,2,),"-")</f>
        <v>317</v>
      </c>
      <c r="G218" t="s">
        <v>1317</v>
      </c>
      <c r="H218" t="str">
        <f t="shared" si="9"/>
        <v>No</v>
      </c>
      <c r="I218" t="str">
        <f t="shared" si="10"/>
        <v>Yes</v>
      </c>
      <c r="J218" t="str">
        <f t="shared" si="11"/>
        <v>Yes</v>
      </c>
    </row>
    <row r="219" spans="1:10" x14ac:dyDescent="0.35">
      <c r="A219" t="s">
        <v>342</v>
      </c>
      <c r="B219" t="s">
        <v>379</v>
      </c>
      <c r="C219" t="s">
        <v>380</v>
      </c>
      <c r="D219" t="s">
        <v>1083</v>
      </c>
      <c r="E219">
        <f>IFERROR(VLOOKUP(C219,'New Adm Data (Mar to July)'!C:D,2,),"-")</f>
        <v>62</v>
      </c>
      <c r="F219">
        <f>IFERROR(VLOOKUP(D219,'New Adm Data (Aug to Nov)'!C:D,2,),"-")</f>
        <v>396</v>
      </c>
      <c r="G219" t="s">
        <v>1317</v>
      </c>
      <c r="H219" t="str">
        <f t="shared" si="9"/>
        <v>No</v>
      </c>
      <c r="I219" t="str">
        <f t="shared" si="10"/>
        <v>Yes</v>
      </c>
      <c r="J219" t="str">
        <f t="shared" si="11"/>
        <v>Yes</v>
      </c>
    </row>
    <row r="220" spans="1:10" x14ac:dyDescent="0.35">
      <c r="A220" t="s">
        <v>342</v>
      </c>
      <c r="B220" t="s">
        <v>381</v>
      </c>
      <c r="C220" t="s">
        <v>382</v>
      </c>
      <c r="D220" t="s">
        <v>1084</v>
      </c>
      <c r="E220">
        <f>IFERROR(VLOOKUP(C220,'New Adm Data (Mar to July)'!C:D,2,),"-")</f>
        <v>1</v>
      </c>
      <c r="F220">
        <f>IFERROR(VLOOKUP(D220,'New Adm Data (Aug to Nov)'!C:D,2,),"-")</f>
        <v>0</v>
      </c>
      <c r="G220" t="s">
        <v>1316</v>
      </c>
      <c r="H220" t="str">
        <f t="shared" si="9"/>
        <v>No</v>
      </c>
      <c r="I220" t="str">
        <f t="shared" si="10"/>
        <v>No</v>
      </c>
      <c r="J220" t="str">
        <f t="shared" si="11"/>
        <v>No</v>
      </c>
    </row>
    <row r="221" spans="1:10" x14ac:dyDescent="0.35">
      <c r="A221" t="s">
        <v>342</v>
      </c>
      <c r="B221" t="s">
        <v>383</v>
      </c>
      <c r="C221" t="s">
        <v>384</v>
      </c>
      <c r="D221" t="s">
        <v>1085</v>
      </c>
      <c r="E221">
        <f>IFERROR(VLOOKUP(C221,'New Adm Data (Mar to July)'!C:D,2,),"-")</f>
        <v>8</v>
      </c>
      <c r="F221">
        <f>IFERROR(VLOOKUP(D221,'New Adm Data (Aug to Nov)'!C:D,2,),"-")</f>
        <v>15</v>
      </c>
      <c r="G221" t="s">
        <v>1316</v>
      </c>
      <c r="H221" t="str">
        <f t="shared" si="9"/>
        <v>No</v>
      </c>
      <c r="I221" t="str">
        <f t="shared" si="10"/>
        <v>No</v>
      </c>
      <c r="J221" t="str">
        <f t="shared" si="11"/>
        <v>No</v>
      </c>
    </row>
    <row r="222" spans="1:10" x14ac:dyDescent="0.35">
      <c r="A222" t="s">
        <v>342</v>
      </c>
      <c r="B222" t="s">
        <v>385</v>
      </c>
      <c r="C222" t="s">
        <v>386</v>
      </c>
      <c r="D222" t="s">
        <v>1086</v>
      </c>
      <c r="E222">
        <f>IFERROR(VLOOKUP(C222,'New Adm Data (Mar to July)'!C:D,2,),"-")</f>
        <v>70</v>
      </c>
      <c r="F222">
        <f>IFERROR(VLOOKUP(D222,'New Adm Data (Aug to Nov)'!C:D,2,),"-")</f>
        <v>289</v>
      </c>
      <c r="G222" t="s">
        <v>1317</v>
      </c>
      <c r="H222" t="str">
        <f t="shared" si="9"/>
        <v>No</v>
      </c>
      <c r="I222" t="str">
        <f t="shared" si="10"/>
        <v>Yes</v>
      </c>
      <c r="J222" t="str">
        <f t="shared" si="11"/>
        <v>Yes</v>
      </c>
    </row>
    <row r="223" spans="1:10" x14ac:dyDescent="0.35">
      <c r="A223" t="s">
        <v>342</v>
      </c>
      <c r="B223" t="s">
        <v>387</v>
      </c>
      <c r="C223" t="s">
        <v>388</v>
      </c>
      <c r="D223" t="s">
        <v>1087</v>
      </c>
      <c r="E223">
        <f>IFERROR(VLOOKUP(C223,'New Adm Data (Mar to July)'!C:D,2,),"-")</f>
        <v>74</v>
      </c>
      <c r="F223">
        <f>IFERROR(VLOOKUP(D223,'New Adm Data (Aug to Nov)'!C:D,2,),"-")</f>
        <v>288</v>
      </c>
      <c r="G223" t="s">
        <v>1317</v>
      </c>
      <c r="H223" t="str">
        <f t="shared" si="9"/>
        <v>No</v>
      </c>
      <c r="I223" t="str">
        <f t="shared" si="10"/>
        <v>Yes</v>
      </c>
      <c r="J223" t="str">
        <f t="shared" si="11"/>
        <v>Yes</v>
      </c>
    </row>
    <row r="224" spans="1:10" x14ac:dyDescent="0.35">
      <c r="A224" t="s">
        <v>342</v>
      </c>
      <c r="B224" t="s">
        <v>389</v>
      </c>
      <c r="C224" t="s">
        <v>390</v>
      </c>
      <c r="D224" t="s">
        <v>1088</v>
      </c>
      <c r="E224">
        <f>IFERROR(VLOOKUP(C224,'New Adm Data (Mar to July)'!C:D,2,),"-")</f>
        <v>10</v>
      </c>
      <c r="F224">
        <f>IFERROR(VLOOKUP(D224,'New Adm Data (Aug to Nov)'!C:D,2,),"-")</f>
        <v>77</v>
      </c>
      <c r="G224" t="s">
        <v>1316</v>
      </c>
      <c r="H224" t="str">
        <f t="shared" si="9"/>
        <v>No</v>
      </c>
      <c r="I224" t="str">
        <f t="shared" si="10"/>
        <v>No</v>
      </c>
      <c r="J224" t="str">
        <f t="shared" si="11"/>
        <v>No</v>
      </c>
    </row>
    <row r="225" spans="1:10" x14ac:dyDescent="0.35">
      <c r="A225" t="s">
        <v>342</v>
      </c>
      <c r="B225" t="s">
        <v>391</v>
      </c>
      <c r="C225" t="s">
        <v>392</v>
      </c>
      <c r="D225" t="s">
        <v>1089</v>
      </c>
      <c r="E225">
        <f>IFERROR(VLOOKUP(C225,'New Adm Data (Mar to July)'!C:D,2,),"-")</f>
        <v>8</v>
      </c>
      <c r="F225">
        <f>IFERROR(VLOOKUP(D225,'New Adm Data (Aug to Nov)'!C:D,2,),"-")</f>
        <v>8</v>
      </c>
      <c r="G225" t="s">
        <v>1316</v>
      </c>
      <c r="H225" t="str">
        <f t="shared" si="9"/>
        <v>No</v>
      </c>
      <c r="I225" t="str">
        <f t="shared" si="10"/>
        <v>No</v>
      </c>
      <c r="J225" t="str">
        <f t="shared" si="11"/>
        <v>No</v>
      </c>
    </row>
    <row r="226" spans="1:10" x14ac:dyDescent="0.35">
      <c r="A226" t="s">
        <v>342</v>
      </c>
      <c r="B226" t="s">
        <v>393</v>
      </c>
      <c r="C226" t="s">
        <v>394</v>
      </c>
      <c r="D226" t="s">
        <v>1090</v>
      </c>
      <c r="E226">
        <f>IFERROR(VLOOKUP(C226,'New Adm Data (Mar to July)'!C:D,2,),"-")</f>
        <v>21</v>
      </c>
      <c r="F226">
        <f>IFERROR(VLOOKUP(D226,'New Adm Data (Aug to Nov)'!C:D,2,),"-")</f>
        <v>891</v>
      </c>
      <c r="G226" t="s">
        <v>1317</v>
      </c>
      <c r="H226" t="str">
        <f t="shared" si="9"/>
        <v>No</v>
      </c>
      <c r="I226" t="str">
        <f t="shared" si="10"/>
        <v>Yes</v>
      </c>
      <c r="J226" t="str">
        <f t="shared" si="11"/>
        <v>Yes</v>
      </c>
    </row>
    <row r="227" spans="1:10" x14ac:dyDescent="0.35">
      <c r="A227" t="s">
        <v>342</v>
      </c>
      <c r="B227" t="s">
        <v>395</v>
      </c>
      <c r="C227" t="s">
        <v>396</v>
      </c>
      <c r="D227" t="s">
        <v>1091</v>
      </c>
      <c r="E227">
        <f>IFERROR(VLOOKUP(C227,'New Adm Data (Mar to July)'!C:D,2,),"-")</f>
        <v>63</v>
      </c>
      <c r="F227">
        <f>IFERROR(VLOOKUP(D227,'New Adm Data (Aug to Nov)'!C:D,2,),"-")</f>
        <v>302</v>
      </c>
      <c r="G227" t="s">
        <v>1317</v>
      </c>
      <c r="H227" t="str">
        <f t="shared" si="9"/>
        <v>No</v>
      </c>
      <c r="I227" t="str">
        <f t="shared" si="10"/>
        <v>Yes</v>
      </c>
      <c r="J227" t="str">
        <f t="shared" si="11"/>
        <v>Yes</v>
      </c>
    </row>
    <row r="228" spans="1:10" x14ac:dyDescent="0.35">
      <c r="A228" t="s">
        <v>342</v>
      </c>
      <c r="B228" t="s">
        <v>397</v>
      </c>
      <c r="C228" t="s">
        <v>398</v>
      </c>
      <c r="D228" t="s">
        <v>1092</v>
      </c>
      <c r="E228">
        <f>IFERROR(VLOOKUP(C228,'New Adm Data (Mar to July)'!C:D,2,),"-")</f>
        <v>9</v>
      </c>
      <c r="F228">
        <f>IFERROR(VLOOKUP(D228,'New Adm Data (Aug to Nov)'!C:D,2,),"-")</f>
        <v>382</v>
      </c>
      <c r="G228" t="s">
        <v>1317</v>
      </c>
      <c r="H228" t="str">
        <f t="shared" si="9"/>
        <v>No</v>
      </c>
      <c r="I228" t="str">
        <f t="shared" si="10"/>
        <v>Yes</v>
      </c>
      <c r="J228" t="str">
        <f t="shared" si="11"/>
        <v>Yes</v>
      </c>
    </row>
    <row r="229" spans="1:10" x14ac:dyDescent="0.35">
      <c r="A229" t="s">
        <v>342</v>
      </c>
      <c r="B229" t="s">
        <v>399</v>
      </c>
      <c r="C229" t="s">
        <v>400</v>
      </c>
      <c r="D229" t="s">
        <v>1093</v>
      </c>
      <c r="E229">
        <f>IFERROR(VLOOKUP(C229,'New Adm Data (Mar to July)'!C:D,2,),"-")</f>
        <v>1</v>
      </c>
      <c r="F229">
        <f>IFERROR(VLOOKUP(D229,'New Adm Data (Aug to Nov)'!C:D,2,),"-")</f>
        <v>6</v>
      </c>
      <c r="G229" t="s">
        <v>1316</v>
      </c>
      <c r="H229" t="str">
        <f t="shared" si="9"/>
        <v>No</v>
      </c>
      <c r="I229" t="str">
        <f t="shared" si="10"/>
        <v>No</v>
      </c>
      <c r="J229" t="str">
        <f t="shared" si="11"/>
        <v>No</v>
      </c>
    </row>
    <row r="230" spans="1:10" x14ac:dyDescent="0.35">
      <c r="A230" t="s">
        <v>342</v>
      </c>
      <c r="B230" t="s">
        <v>401</v>
      </c>
      <c r="C230" t="s">
        <v>402</v>
      </c>
      <c r="D230" t="s">
        <v>1094</v>
      </c>
      <c r="E230">
        <f>IFERROR(VLOOKUP(C230,'New Adm Data (Mar to July)'!C:D,2,),"-")</f>
        <v>221</v>
      </c>
      <c r="F230">
        <f>IFERROR(VLOOKUP(D230,'New Adm Data (Aug to Nov)'!C:D,2,),"-")</f>
        <v>812</v>
      </c>
      <c r="G230" t="s">
        <v>1317</v>
      </c>
      <c r="H230" t="str">
        <f t="shared" si="9"/>
        <v>No</v>
      </c>
      <c r="I230" t="str">
        <f t="shared" si="10"/>
        <v>Yes</v>
      </c>
      <c r="J230" t="str">
        <f t="shared" si="11"/>
        <v>Yes</v>
      </c>
    </row>
    <row r="231" spans="1:10" x14ac:dyDescent="0.35">
      <c r="A231" t="s">
        <v>342</v>
      </c>
      <c r="B231" t="s">
        <v>403</v>
      </c>
      <c r="C231" t="s">
        <v>404</v>
      </c>
      <c r="D231" t="s">
        <v>1095</v>
      </c>
      <c r="E231">
        <f>IFERROR(VLOOKUP(C231,'New Adm Data (Mar to July)'!C:D,2,),"-")</f>
        <v>268</v>
      </c>
      <c r="F231">
        <f>IFERROR(VLOOKUP(D231,'New Adm Data (Aug to Nov)'!C:D,2,),"-")</f>
        <v>396</v>
      </c>
      <c r="G231" t="s">
        <v>1317</v>
      </c>
      <c r="H231" t="str">
        <f t="shared" si="9"/>
        <v>No</v>
      </c>
      <c r="I231" t="str">
        <f t="shared" si="10"/>
        <v>Yes</v>
      </c>
      <c r="J231" t="str">
        <f t="shared" si="11"/>
        <v>Yes</v>
      </c>
    </row>
    <row r="232" spans="1:10" x14ac:dyDescent="0.35">
      <c r="A232" t="s">
        <v>342</v>
      </c>
      <c r="B232" t="s">
        <v>405</v>
      </c>
      <c r="C232" t="s">
        <v>406</v>
      </c>
      <c r="D232" t="s">
        <v>1096</v>
      </c>
      <c r="E232">
        <f>IFERROR(VLOOKUP(C232,'New Adm Data (Mar to July)'!C:D,2,),"-")</f>
        <v>164</v>
      </c>
      <c r="F232">
        <f>IFERROR(VLOOKUP(D232,'New Adm Data (Aug to Nov)'!C:D,2,),"-")</f>
        <v>520</v>
      </c>
      <c r="G232" t="s">
        <v>1317</v>
      </c>
      <c r="H232" t="str">
        <f t="shared" si="9"/>
        <v>No</v>
      </c>
      <c r="I232" t="str">
        <f t="shared" si="10"/>
        <v>Yes</v>
      </c>
      <c r="J232" t="str">
        <f t="shared" si="11"/>
        <v>Yes</v>
      </c>
    </row>
    <row r="233" spans="1:10" x14ac:dyDescent="0.35">
      <c r="A233" t="s">
        <v>342</v>
      </c>
      <c r="B233" t="s">
        <v>407</v>
      </c>
      <c r="C233" t="s">
        <v>408</v>
      </c>
      <c r="D233" t="s">
        <v>1097</v>
      </c>
      <c r="E233">
        <f>IFERROR(VLOOKUP(C233,'New Adm Data (Mar to July)'!C:D,2,),"-")</f>
        <v>13</v>
      </c>
      <c r="F233">
        <f>IFERROR(VLOOKUP(D233,'New Adm Data (Aug to Nov)'!C:D,2,),"-")</f>
        <v>35</v>
      </c>
      <c r="G233" t="s">
        <v>1316</v>
      </c>
      <c r="H233" t="str">
        <f t="shared" si="9"/>
        <v>No</v>
      </c>
      <c r="I233" t="str">
        <f t="shared" si="10"/>
        <v>No</v>
      </c>
      <c r="J233" t="str">
        <f t="shared" si="11"/>
        <v>No</v>
      </c>
    </row>
    <row r="234" spans="1:10" x14ac:dyDescent="0.35">
      <c r="A234" t="s">
        <v>342</v>
      </c>
      <c r="B234" t="s">
        <v>409</v>
      </c>
      <c r="C234" t="s">
        <v>410</v>
      </c>
      <c r="D234" t="s">
        <v>1098</v>
      </c>
      <c r="E234">
        <f>IFERROR(VLOOKUP(C234,'New Adm Data (Mar to July)'!C:D,2,),"-")</f>
        <v>0</v>
      </c>
      <c r="F234">
        <f>IFERROR(VLOOKUP(D234,'New Adm Data (Aug to Nov)'!C:D,2,),"-")</f>
        <v>0</v>
      </c>
      <c r="G234" t="s">
        <v>1316</v>
      </c>
      <c r="H234" t="str">
        <f t="shared" si="9"/>
        <v>No</v>
      </c>
      <c r="I234" t="str">
        <f t="shared" si="10"/>
        <v>No</v>
      </c>
      <c r="J234" t="str">
        <f t="shared" si="11"/>
        <v>No</v>
      </c>
    </row>
    <row r="235" spans="1:10" x14ac:dyDescent="0.35">
      <c r="A235" t="s">
        <v>342</v>
      </c>
      <c r="B235" t="s">
        <v>411</v>
      </c>
      <c r="C235" t="s">
        <v>412</v>
      </c>
      <c r="D235" t="s">
        <v>1099</v>
      </c>
      <c r="E235">
        <f>IFERROR(VLOOKUP(C235,'New Adm Data (Mar to July)'!C:D,2,),"-")</f>
        <v>0</v>
      </c>
      <c r="F235">
        <f>IFERROR(VLOOKUP(D235,'New Adm Data (Aug to Nov)'!C:D,2,),"-")</f>
        <v>0</v>
      </c>
      <c r="G235" t="s">
        <v>1316</v>
      </c>
      <c r="H235" t="str">
        <f t="shared" si="9"/>
        <v>No</v>
      </c>
      <c r="I235" t="str">
        <f t="shared" si="10"/>
        <v>No</v>
      </c>
      <c r="J235" t="str">
        <f t="shared" si="11"/>
        <v>No</v>
      </c>
    </row>
    <row r="236" spans="1:10" x14ac:dyDescent="0.35">
      <c r="A236" t="s">
        <v>413</v>
      </c>
      <c r="B236" t="s">
        <v>414</v>
      </c>
      <c r="C236" t="s">
        <v>415</v>
      </c>
      <c r="D236" t="s">
        <v>1100</v>
      </c>
      <c r="E236">
        <f>IFERROR(VLOOKUP(C236,'New Adm Data (Mar to July)'!C:D,2,),"-")</f>
        <v>0</v>
      </c>
      <c r="F236">
        <f>IFERROR(VLOOKUP(D236,'New Adm Data (Aug to Nov)'!C:D,2,),"-")</f>
        <v>0</v>
      </c>
      <c r="G236" t="s">
        <v>1316</v>
      </c>
      <c r="H236" t="str">
        <f t="shared" si="9"/>
        <v>No</v>
      </c>
      <c r="I236" t="str">
        <f t="shared" si="10"/>
        <v>No</v>
      </c>
      <c r="J236" t="str">
        <f t="shared" si="11"/>
        <v>No</v>
      </c>
    </row>
    <row r="237" spans="1:10" x14ac:dyDescent="0.35">
      <c r="A237" t="s">
        <v>413</v>
      </c>
      <c r="B237" t="s">
        <v>416</v>
      </c>
      <c r="C237" t="s">
        <v>417</v>
      </c>
      <c r="D237" t="s">
        <v>1310</v>
      </c>
      <c r="E237">
        <f>IFERROR(VLOOKUP(C237,'New Adm Data (Mar to July)'!C:D,2,),"-")</f>
        <v>0</v>
      </c>
      <c r="F237" t="str">
        <f>IFERROR(VLOOKUP(D237,'New Adm Data (Aug to Nov)'!C:D,2,),"-")</f>
        <v>-</v>
      </c>
      <c r="G237" t="s">
        <v>1324</v>
      </c>
      <c r="H237" t="str">
        <f t="shared" si="9"/>
        <v>No</v>
      </c>
      <c r="I237" t="str">
        <f t="shared" si="10"/>
        <v>No</v>
      </c>
      <c r="J237" t="str">
        <f t="shared" si="11"/>
        <v>No</v>
      </c>
    </row>
    <row r="238" spans="1:10" x14ac:dyDescent="0.35">
      <c r="A238" t="s">
        <v>413</v>
      </c>
      <c r="B238" t="s">
        <v>3</v>
      </c>
      <c r="C238" t="s">
        <v>4</v>
      </c>
      <c r="D238" t="s">
        <v>1310</v>
      </c>
      <c r="E238">
        <f>IFERROR(VLOOKUP(C238,'New Adm Data (Mar to July)'!C:D,2,),"-")</f>
        <v>0</v>
      </c>
      <c r="F238" t="str">
        <f>IFERROR(VLOOKUP(D238,'New Adm Data (Aug to Nov)'!C:D,2,),"-")</f>
        <v>-</v>
      </c>
      <c r="G238" t="s">
        <v>1324</v>
      </c>
      <c r="H238" t="str">
        <f t="shared" si="9"/>
        <v>No</v>
      </c>
      <c r="I238" t="str">
        <f t="shared" si="10"/>
        <v>No</v>
      </c>
      <c r="J238" t="str">
        <f t="shared" si="11"/>
        <v>No</v>
      </c>
    </row>
    <row r="239" spans="1:10" x14ac:dyDescent="0.35">
      <c r="A239" t="s">
        <v>413</v>
      </c>
      <c r="B239" t="s">
        <v>418</v>
      </c>
      <c r="C239" t="s">
        <v>419</v>
      </c>
      <c r="D239" t="s">
        <v>1310</v>
      </c>
      <c r="E239">
        <f>IFERROR(VLOOKUP(C239,'New Adm Data (Mar to July)'!C:D,2,),"-")</f>
        <v>0</v>
      </c>
      <c r="F239" t="str">
        <f>IFERROR(VLOOKUP(D239,'New Adm Data (Aug to Nov)'!C:D,2,),"-")</f>
        <v>-</v>
      </c>
      <c r="G239" t="s">
        <v>1324</v>
      </c>
      <c r="H239" t="str">
        <f t="shared" si="9"/>
        <v>No</v>
      </c>
      <c r="I239" t="str">
        <f t="shared" si="10"/>
        <v>No</v>
      </c>
      <c r="J239" t="str">
        <f t="shared" si="11"/>
        <v>No</v>
      </c>
    </row>
    <row r="240" spans="1:10" x14ac:dyDescent="0.35">
      <c r="A240" t="s">
        <v>413</v>
      </c>
      <c r="B240" t="s">
        <v>420</v>
      </c>
      <c r="C240" t="s">
        <v>421</v>
      </c>
      <c r="D240" t="s">
        <v>1107</v>
      </c>
      <c r="E240">
        <f>IFERROR(VLOOKUP(C240,'New Adm Data (Mar to July)'!C:D,2,),"-")</f>
        <v>13</v>
      </c>
      <c r="F240">
        <f>IFERROR(VLOOKUP(D240,'New Adm Data (Aug to Nov)'!C:D,2,),"-")</f>
        <v>2</v>
      </c>
      <c r="G240" t="s">
        <v>1316</v>
      </c>
      <c r="H240" t="str">
        <f t="shared" si="9"/>
        <v>No</v>
      </c>
      <c r="I240" t="str">
        <f t="shared" si="10"/>
        <v>No</v>
      </c>
      <c r="J240" t="str">
        <f t="shared" si="11"/>
        <v>No</v>
      </c>
    </row>
    <row r="241" spans="1:10" x14ac:dyDescent="0.35">
      <c r="A241" t="s">
        <v>413</v>
      </c>
      <c r="B241" t="s">
        <v>13</v>
      </c>
      <c r="C241" t="s">
        <v>14</v>
      </c>
      <c r="D241" t="s">
        <v>1310</v>
      </c>
      <c r="E241">
        <f>IFERROR(VLOOKUP(C241,'New Adm Data (Mar to July)'!C:D,2,),"-")</f>
        <v>0</v>
      </c>
      <c r="F241" t="str">
        <f>IFERROR(VLOOKUP(D241,'New Adm Data (Aug to Nov)'!C:D,2,),"-")</f>
        <v>-</v>
      </c>
      <c r="G241" t="s">
        <v>1324</v>
      </c>
      <c r="H241" t="str">
        <f t="shared" si="9"/>
        <v>No</v>
      </c>
      <c r="I241" t="str">
        <f t="shared" si="10"/>
        <v>No</v>
      </c>
      <c r="J241" t="str">
        <f t="shared" si="11"/>
        <v>No</v>
      </c>
    </row>
    <row r="242" spans="1:10" x14ac:dyDescent="0.35">
      <c r="A242" t="s">
        <v>413</v>
      </c>
      <c r="B242" t="s">
        <v>422</v>
      </c>
      <c r="C242" t="s">
        <v>423</v>
      </c>
      <c r="D242" t="s">
        <v>1310</v>
      </c>
      <c r="E242">
        <f>IFERROR(VLOOKUP(C242,'New Adm Data (Mar to July)'!C:D,2,),"-")</f>
        <v>0</v>
      </c>
      <c r="F242" t="str">
        <f>IFERROR(VLOOKUP(D242,'New Adm Data (Aug to Nov)'!C:D,2,),"-")</f>
        <v>-</v>
      </c>
      <c r="G242" t="s">
        <v>1324</v>
      </c>
      <c r="H242" t="str">
        <f t="shared" si="9"/>
        <v>No</v>
      </c>
      <c r="I242" t="str">
        <f t="shared" si="10"/>
        <v>No</v>
      </c>
      <c r="J242" t="str">
        <f t="shared" si="11"/>
        <v>No</v>
      </c>
    </row>
    <row r="243" spans="1:10" x14ac:dyDescent="0.35">
      <c r="A243" t="s">
        <v>413</v>
      </c>
      <c r="B243" t="s">
        <v>424</v>
      </c>
      <c r="C243" t="s">
        <v>425</v>
      </c>
      <c r="D243" t="s">
        <v>1118</v>
      </c>
      <c r="E243">
        <f>IFERROR(VLOOKUP(C243,'New Adm Data (Mar to July)'!C:D,2,),"-")</f>
        <v>17</v>
      </c>
      <c r="F243">
        <f>IFERROR(VLOOKUP(D243,'New Adm Data (Aug to Nov)'!C:D,2,),"-")</f>
        <v>4</v>
      </c>
      <c r="G243" t="s">
        <v>1316</v>
      </c>
      <c r="H243" t="str">
        <f t="shared" si="9"/>
        <v>No</v>
      </c>
      <c r="I243" t="str">
        <f t="shared" si="10"/>
        <v>No</v>
      </c>
      <c r="J243" t="str">
        <f t="shared" si="11"/>
        <v>No</v>
      </c>
    </row>
    <row r="244" spans="1:10" x14ac:dyDescent="0.35">
      <c r="A244" t="s">
        <v>413</v>
      </c>
      <c r="B244" t="s">
        <v>19</v>
      </c>
      <c r="C244" t="s">
        <v>20</v>
      </c>
      <c r="D244" t="s">
        <v>1310</v>
      </c>
      <c r="E244">
        <f>IFERROR(VLOOKUP(C244,'New Adm Data (Mar to July)'!C:D,2,),"-")</f>
        <v>0</v>
      </c>
      <c r="F244" t="str">
        <f>IFERROR(VLOOKUP(D244,'New Adm Data (Aug to Nov)'!C:D,2,),"-")</f>
        <v>-</v>
      </c>
      <c r="G244" t="s">
        <v>1324</v>
      </c>
      <c r="H244" t="str">
        <f t="shared" si="9"/>
        <v>No</v>
      </c>
      <c r="I244" t="str">
        <f t="shared" si="10"/>
        <v>No</v>
      </c>
      <c r="J244" t="str">
        <f t="shared" si="11"/>
        <v>No</v>
      </c>
    </row>
    <row r="245" spans="1:10" x14ac:dyDescent="0.35">
      <c r="A245" t="s">
        <v>413</v>
      </c>
      <c r="B245" t="s">
        <v>21</v>
      </c>
      <c r="C245" t="s">
        <v>22</v>
      </c>
      <c r="D245" t="s">
        <v>1310</v>
      </c>
      <c r="E245">
        <f>IFERROR(VLOOKUP(C245,'New Adm Data (Mar to July)'!C:D,2,),"-")</f>
        <v>0</v>
      </c>
      <c r="F245" t="str">
        <f>IFERROR(VLOOKUP(D245,'New Adm Data (Aug to Nov)'!C:D,2,),"-")</f>
        <v>-</v>
      </c>
      <c r="G245" t="s">
        <v>1324</v>
      </c>
      <c r="H245" t="str">
        <f t="shared" si="9"/>
        <v>No</v>
      </c>
      <c r="I245" t="str">
        <f t="shared" si="10"/>
        <v>No</v>
      </c>
      <c r="J245" t="str">
        <f t="shared" si="11"/>
        <v>No</v>
      </c>
    </row>
    <row r="246" spans="1:10" x14ac:dyDescent="0.35">
      <c r="A246" t="s">
        <v>413</v>
      </c>
      <c r="B246" t="s">
        <v>23</v>
      </c>
      <c r="C246" t="s">
        <v>24</v>
      </c>
      <c r="D246" t="s">
        <v>1310</v>
      </c>
      <c r="E246">
        <f>IFERROR(VLOOKUP(C246,'New Adm Data (Mar to July)'!C:D,2,),"-")</f>
        <v>0</v>
      </c>
      <c r="F246" t="str">
        <f>IFERROR(VLOOKUP(D246,'New Adm Data (Aug to Nov)'!C:D,2,),"-")</f>
        <v>-</v>
      </c>
      <c r="G246" t="s">
        <v>1324</v>
      </c>
      <c r="H246" t="str">
        <f t="shared" si="9"/>
        <v>No</v>
      </c>
      <c r="I246" t="str">
        <f t="shared" si="10"/>
        <v>No</v>
      </c>
      <c r="J246" t="str">
        <f t="shared" si="11"/>
        <v>No</v>
      </c>
    </row>
    <row r="247" spans="1:10" x14ac:dyDescent="0.35">
      <c r="A247" t="s">
        <v>413</v>
      </c>
      <c r="B247" t="s">
        <v>426</v>
      </c>
      <c r="C247" t="s">
        <v>427</v>
      </c>
      <c r="D247" t="s">
        <v>1310</v>
      </c>
      <c r="E247">
        <f>IFERROR(VLOOKUP(C247,'New Adm Data (Mar to July)'!C:D,2,),"-")</f>
        <v>0</v>
      </c>
      <c r="F247" t="str">
        <f>IFERROR(VLOOKUP(D247,'New Adm Data (Aug to Nov)'!C:D,2,),"-")</f>
        <v>-</v>
      </c>
      <c r="G247" t="s">
        <v>1324</v>
      </c>
      <c r="H247" t="str">
        <f t="shared" si="9"/>
        <v>No</v>
      </c>
      <c r="I247" t="str">
        <f t="shared" si="10"/>
        <v>No</v>
      </c>
      <c r="J247" t="str">
        <f t="shared" si="11"/>
        <v>No</v>
      </c>
    </row>
    <row r="248" spans="1:10" x14ac:dyDescent="0.35">
      <c r="A248" t="s">
        <v>413</v>
      </c>
      <c r="B248" t="s">
        <v>98</v>
      </c>
      <c r="C248" t="s">
        <v>99</v>
      </c>
      <c r="D248" t="s">
        <v>1310</v>
      </c>
      <c r="E248">
        <f>IFERROR(VLOOKUP(C248,'New Adm Data (Mar to July)'!C:D,2,),"-")</f>
        <v>1</v>
      </c>
      <c r="F248" t="str">
        <f>IFERROR(VLOOKUP(D248,'New Adm Data (Aug to Nov)'!C:D,2,),"-")</f>
        <v>-</v>
      </c>
      <c r="G248" t="s">
        <v>1324</v>
      </c>
      <c r="H248" t="str">
        <f t="shared" si="9"/>
        <v>No</v>
      </c>
      <c r="I248" t="str">
        <f t="shared" si="10"/>
        <v>No</v>
      </c>
      <c r="J248" t="str">
        <f t="shared" si="11"/>
        <v>No</v>
      </c>
    </row>
    <row r="249" spans="1:10" x14ac:dyDescent="0.35">
      <c r="A249" t="s">
        <v>413</v>
      </c>
      <c r="B249" t="s">
        <v>428</v>
      </c>
      <c r="C249" t="s">
        <v>429</v>
      </c>
      <c r="D249" t="s">
        <v>1181</v>
      </c>
      <c r="E249">
        <f>IFERROR(VLOOKUP(C249,'New Adm Data (Mar to July)'!C:D,2,),"-")</f>
        <v>40</v>
      </c>
      <c r="F249">
        <f>IFERROR(VLOOKUP(D249,'New Adm Data (Aug to Nov)'!C:D,2,),"-")</f>
        <v>0</v>
      </c>
      <c r="G249" t="s">
        <v>1316</v>
      </c>
      <c r="H249" t="str">
        <f t="shared" si="9"/>
        <v>No</v>
      </c>
      <c r="I249" t="str">
        <f t="shared" si="10"/>
        <v>No</v>
      </c>
      <c r="J249" t="str">
        <f t="shared" si="11"/>
        <v>No</v>
      </c>
    </row>
    <row r="250" spans="1:10" x14ac:dyDescent="0.35">
      <c r="A250" t="s">
        <v>413</v>
      </c>
      <c r="B250" t="s">
        <v>183</v>
      </c>
      <c r="C250" t="s">
        <v>184</v>
      </c>
      <c r="D250" t="s">
        <v>1310</v>
      </c>
      <c r="E250">
        <f>IFERROR(VLOOKUP(C250,'New Adm Data (Mar to July)'!C:D,2,),"-")</f>
        <v>0</v>
      </c>
      <c r="F250" t="str">
        <f>IFERROR(VLOOKUP(D250,'New Adm Data (Aug to Nov)'!C:D,2,),"-")</f>
        <v>-</v>
      </c>
      <c r="G250" t="s">
        <v>1324</v>
      </c>
      <c r="H250" t="str">
        <f t="shared" si="9"/>
        <v>No</v>
      </c>
      <c r="I250" t="str">
        <f t="shared" si="10"/>
        <v>No</v>
      </c>
      <c r="J250" t="str">
        <f t="shared" si="11"/>
        <v>No</v>
      </c>
    </row>
    <row r="251" spans="1:10" x14ac:dyDescent="0.35">
      <c r="A251" t="s">
        <v>413</v>
      </c>
      <c r="B251" t="s">
        <v>430</v>
      </c>
      <c r="C251" t="s">
        <v>431</v>
      </c>
      <c r="D251" t="s">
        <v>1310</v>
      </c>
      <c r="E251">
        <f>IFERROR(VLOOKUP(C251,'New Adm Data (Mar to July)'!C:D,2,),"-")</f>
        <v>0</v>
      </c>
      <c r="F251" t="str">
        <f>IFERROR(VLOOKUP(D251,'New Adm Data (Aug to Nov)'!C:D,2,),"-")</f>
        <v>-</v>
      </c>
      <c r="G251" t="s">
        <v>1324</v>
      </c>
      <c r="H251" t="str">
        <f t="shared" si="9"/>
        <v>No</v>
      </c>
      <c r="I251" t="str">
        <f t="shared" si="10"/>
        <v>No</v>
      </c>
      <c r="J251" t="str">
        <f t="shared" si="11"/>
        <v>No</v>
      </c>
    </row>
    <row r="252" spans="1:10" x14ac:dyDescent="0.35">
      <c r="A252" t="s">
        <v>413</v>
      </c>
      <c r="B252" t="s">
        <v>25</v>
      </c>
      <c r="C252" t="s">
        <v>26</v>
      </c>
      <c r="D252" t="s">
        <v>1310</v>
      </c>
      <c r="E252">
        <f>IFERROR(VLOOKUP(C252,'New Adm Data (Mar to July)'!C:D,2,),"-")</f>
        <v>0</v>
      </c>
      <c r="F252" t="str">
        <f>IFERROR(VLOOKUP(D252,'New Adm Data (Aug to Nov)'!C:D,2,),"-")</f>
        <v>-</v>
      </c>
      <c r="G252" t="s">
        <v>1324</v>
      </c>
      <c r="H252" t="str">
        <f t="shared" si="9"/>
        <v>No</v>
      </c>
      <c r="I252" t="str">
        <f t="shared" si="10"/>
        <v>No</v>
      </c>
      <c r="J252" t="str">
        <f t="shared" si="11"/>
        <v>No</v>
      </c>
    </row>
    <row r="253" spans="1:10" x14ac:dyDescent="0.35">
      <c r="A253" t="s">
        <v>413</v>
      </c>
      <c r="B253" t="s">
        <v>432</v>
      </c>
      <c r="C253" t="s">
        <v>433</v>
      </c>
      <c r="D253" t="s">
        <v>1310</v>
      </c>
      <c r="E253">
        <f>IFERROR(VLOOKUP(C253,'New Adm Data (Mar to July)'!C:D,2,),"-")</f>
        <v>0</v>
      </c>
      <c r="F253" t="str">
        <f>IFERROR(VLOOKUP(D253,'New Adm Data (Aug to Nov)'!C:D,2,),"-")</f>
        <v>-</v>
      </c>
      <c r="G253" t="s">
        <v>1324</v>
      </c>
      <c r="H253" t="str">
        <f t="shared" si="9"/>
        <v>No</v>
      </c>
      <c r="I253" t="str">
        <f t="shared" si="10"/>
        <v>No</v>
      </c>
      <c r="J253" t="str">
        <f t="shared" si="11"/>
        <v>No</v>
      </c>
    </row>
    <row r="254" spans="1:10" x14ac:dyDescent="0.35">
      <c r="A254" t="s">
        <v>413</v>
      </c>
      <c r="B254" t="s">
        <v>434</v>
      </c>
      <c r="C254" t="s">
        <v>435</v>
      </c>
      <c r="D254" t="s">
        <v>1310</v>
      </c>
      <c r="E254">
        <f>IFERROR(VLOOKUP(C254,'New Adm Data (Mar to July)'!C:D,2,),"-")</f>
        <v>0</v>
      </c>
      <c r="F254" t="str">
        <f>IFERROR(VLOOKUP(D254,'New Adm Data (Aug to Nov)'!C:D,2,),"-")</f>
        <v>-</v>
      </c>
      <c r="G254" t="s">
        <v>1324</v>
      </c>
      <c r="H254" t="str">
        <f t="shared" si="9"/>
        <v>No</v>
      </c>
      <c r="I254" t="str">
        <f t="shared" si="10"/>
        <v>No</v>
      </c>
      <c r="J254" t="str">
        <f t="shared" si="11"/>
        <v>No</v>
      </c>
    </row>
    <row r="255" spans="1:10" x14ac:dyDescent="0.35">
      <c r="A255" t="s">
        <v>413</v>
      </c>
      <c r="B255" t="s">
        <v>436</v>
      </c>
      <c r="C255" t="s">
        <v>437</v>
      </c>
      <c r="D255" t="s">
        <v>1310</v>
      </c>
      <c r="E255">
        <f>IFERROR(VLOOKUP(C255,'New Adm Data (Mar to July)'!C:D,2,),"-")</f>
        <v>0</v>
      </c>
      <c r="F255" t="str">
        <f>IFERROR(VLOOKUP(D255,'New Adm Data (Aug to Nov)'!C:D,2,),"-")</f>
        <v>-</v>
      </c>
      <c r="G255" t="s">
        <v>1324</v>
      </c>
      <c r="H255" t="str">
        <f t="shared" si="9"/>
        <v>No</v>
      </c>
      <c r="I255" t="str">
        <f t="shared" si="10"/>
        <v>No</v>
      </c>
      <c r="J255" t="str">
        <f t="shared" si="11"/>
        <v>No</v>
      </c>
    </row>
    <row r="256" spans="1:10" x14ac:dyDescent="0.35">
      <c r="A256" t="s">
        <v>413</v>
      </c>
      <c r="B256" t="s">
        <v>438</v>
      </c>
      <c r="C256" t="s">
        <v>439</v>
      </c>
      <c r="D256" t="s">
        <v>1204</v>
      </c>
      <c r="E256">
        <f>IFERROR(VLOOKUP(C256,'New Adm Data (Mar to July)'!C:D,2,),"-")</f>
        <v>21</v>
      </c>
      <c r="F256">
        <f>IFERROR(VLOOKUP(D256,'New Adm Data (Aug to Nov)'!C:D,2,),"-")</f>
        <v>7</v>
      </c>
      <c r="G256" t="s">
        <v>1316</v>
      </c>
      <c r="H256" t="str">
        <f t="shared" si="9"/>
        <v>No</v>
      </c>
      <c r="I256" t="str">
        <f t="shared" si="10"/>
        <v>No</v>
      </c>
      <c r="J256" t="str">
        <f t="shared" si="11"/>
        <v>No</v>
      </c>
    </row>
    <row r="257" spans="1:10" x14ac:dyDescent="0.35">
      <c r="A257" t="s">
        <v>413</v>
      </c>
      <c r="B257" t="s">
        <v>440</v>
      </c>
      <c r="C257" t="s">
        <v>441</v>
      </c>
      <c r="D257" t="s">
        <v>1205</v>
      </c>
      <c r="E257">
        <f>IFERROR(VLOOKUP(C257,'New Adm Data (Mar to July)'!C:D,2,),"-")</f>
        <v>38</v>
      </c>
      <c r="F257">
        <f>IFERROR(VLOOKUP(D257,'New Adm Data (Aug to Nov)'!C:D,2,),"-")</f>
        <v>19</v>
      </c>
      <c r="G257" t="s">
        <v>1317</v>
      </c>
      <c r="H257" t="str">
        <f t="shared" si="9"/>
        <v>No</v>
      </c>
      <c r="I257" t="str">
        <f t="shared" si="10"/>
        <v>No</v>
      </c>
      <c r="J257" t="str">
        <f t="shared" si="11"/>
        <v>No</v>
      </c>
    </row>
    <row r="258" spans="1:10" x14ac:dyDescent="0.35">
      <c r="A258" t="s">
        <v>413</v>
      </c>
      <c r="B258" t="s">
        <v>442</v>
      </c>
      <c r="C258" t="s">
        <v>443</v>
      </c>
      <c r="D258" t="s">
        <v>1206</v>
      </c>
      <c r="E258">
        <f>IFERROR(VLOOKUP(C258,'New Adm Data (Mar to July)'!C:D,2,),"-")</f>
        <v>12</v>
      </c>
      <c r="F258">
        <f>IFERROR(VLOOKUP(D258,'New Adm Data (Aug to Nov)'!C:D,2,),"-")</f>
        <v>88</v>
      </c>
      <c r="G258" t="s">
        <v>1317</v>
      </c>
      <c r="H258" t="str">
        <f t="shared" si="9"/>
        <v>No</v>
      </c>
      <c r="I258" t="str">
        <f t="shared" si="10"/>
        <v>No</v>
      </c>
      <c r="J258" t="str">
        <f t="shared" si="11"/>
        <v>No</v>
      </c>
    </row>
    <row r="259" spans="1:10" x14ac:dyDescent="0.35">
      <c r="A259" t="s">
        <v>413</v>
      </c>
      <c r="B259" t="s">
        <v>444</v>
      </c>
      <c r="C259" t="s">
        <v>445</v>
      </c>
      <c r="D259" t="s">
        <v>1207</v>
      </c>
      <c r="E259">
        <f>IFERROR(VLOOKUP(C259,'New Adm Data (Mar to July)'!C:D,2,),"-")</f>
        <v>101</v>
      </c>
      <c r="F259">
        <f>IFERROR(VLOOKUP(D259,'New Adm Data (Aug to Nov)'!C:D,2,),"-")</f>
        <v>9</v>
      </c>
      <c r="G259" t="s">
        <v>1316</v>
      </c>
      <c r="H259" t="str">
        <f t="shared" ref="H259:H322" si="12">IF(G259&lt;&gt;"Yes",IF(SUM(E259:F259)&gt;228,"Yes","No"),"No")</f>
        <v>No</v>
      </c>
      <c r="I259" t="str">
        <f t="shared" ref="I259:I322" si="13">IF(G259="Yes",IF(SUM(E259:F259)&gt;228,"Yes","No"),"No")</f>
        <v>No</v>
      </c>
      <c r="J259" t="str">
        <f t="shared" ref="J259:J322" si="14">IF(H259="Yes","Yes",IF(I259="Yes","Yes","No"))</f>
        <v>No</v>
      </c>
    </row>
    <row r="260" spans="1:10" x14ac:dyDescent="0.35">
      <c r="A260" t="s">
        <v>413</v>
      </c>
      <c r="B260" t="s">
        <v>446</v>
      </c>
      <c r="C260" t="s">
        <v>447</v>
      </c>
      <c r="D260" t="s">
        <v>1208</v>
      </c>
      <c r="E260">
        <f>IFERROR(VLOOKUP(C260,'New Adm Data (Mar to July)'!C:D,2,),"-")</f>
        <v>112</v>
      </c>
      <c r="F260">
        <f>IFERROR(VLOOKUP(D260,'New Adm Data (Aug to Nov)'!C:D,2,),"-")</f>
        <v>290</v>
      </c>
      <c r="G260" t="s">
        <v>1317</v>
      </c>
      <c r="H260" t="str">
        <f t="shared" si="12"/>
        <v>No</v>
      </c>
      <c r="I260" t="str">
        <f t="shared" si="13"/>
        <v>Yes</v>
      </c>
      <c r="J260" t="str">
        <f t="shared" si="14"/>
        <v>Yes</v>
      </c>
    </row>
    <row r="261" spans="1:10" x14ac:dyDescent="0.35">
      <c r="A261" t="s">
        <v>413</v>
      </c>
      <c r="B261" t="s">
        <v>448</v>
      </c>
      <c r="C261" t="s">
        <v>449</v>
      </c>
      <c r="D261" t="s">
        <v>1209</v>
      </c>
      <c r="E261">
        <f>IFERROR(VLOOKUP(C261,'New Adm Data (Mar to July)'!C:D,2,),"-")</f>
        <v>396</v>
      </c>
      <c r="F261">
        <f>IFERROR(VLOOKUP(D261,'New Adm Data (Aug to Nov)'!C:D,2,),"-")</f>
        <v>169</v>
      </c>
      <c r="G261" t="s">
        <v>1317</v>
      </c>
      <c r="H261" t="str">
        <f t="shared" si="12"/>
        <v>No</v>
      </c>
      <c r="I261" t="str">
        <f t="shared" si="13"/>
        <v>Yes</v>
      </c>
      <c r="J261" t="str">
        <f t="shared" si="14"/>
        <v>Yes</v>
      </c>
    </row>
    <row r="262" spans="1:10" x14ac:dyDescent="0.35">
      <c r="A262" t="s">
        <v>413</v>
      </c>
      <c r="B262" t="s">
        <v>450</v>
      </c>
      <c r="C262" t="s">
        <v>451</v>
      </c>
      <c r="D262" t="s">
        <v>1210</v>
      </c>
      <c r="E262">
        <f>IFERROR(VLOOKUP(C262,'New Adm Data (Mar to July)'!C:D,2,),"-")</f>
        <v>40</v>
      </c>
      <c r="F262">
        <f>IFERROR(VLOOKUP(D262,'New Adm Data (Aug to Nov)'!C:D,2,),"-")</f>
        <v>161</v>
      </c>
      <c r="G262" t="s">
        <v>1317</v>
      </c>
      <c r="H262" t="str">
        <f t="shared" si="12"/>
        <v>No</v>
      </c>
      <c r="I262" t="str">
        <f t="shared" si="13"/>
        <v>No</v>
      </c>
      <c r="J262" t="str">
        <f t="shared" si="14"/>
        <v>No</v>
      </c>
    </row>
    <row r="263" spans="1:10" x14ac:dyDescent="0.35">
      <c r="A263" t="s">
        <v>413</v>
      </c>
      <c r="B263" t="s">
        <v>452</v>
      </c>
      <c r="C263" t="s">
        <v>453</v>
      </c>
      <c r="D263" t="s">
        <v>1211</v>
      </c>
      <c r="E263">
        <f>IFERROR(VLOOKUP(C263,'New Adm Data (Mar to July)'!C:D,2,),"-")</f>
        <v>119</v>
      </c>
      <c r="F263">
        <f>IFERROR(VLOOKUP(D263,'New Adm Data (Aug to Nov)'!C:D,2,),"-")</f>
        <v>154</v>
      </c>
      <c r="G263" t="s">
        <v>1317</v>
      </c>
      <c r="H263" t="str">
        <f t="shared" si="12"/>
        <v>No</v>
      </c>
      <c r="I263" t="str">
        <f t="shared" si="13"/>
        <v>Yes</v>
      </c>
      <c r="J263" t="str">
        <f t="shared" si="14"/>
        <v>Yes</v>
      </c>
    </row>
    <row r="264" spans="1:10" x14ac:dyDescent="0.35">
      <c r="A264" t="s">
        <v>413</v>
      </c>
      <c r="B264" t="s">
        <v>454</v>
      </c>
      <c r="C264" t="s">
        <v>455</v>
      </c>
      <c r="D264" t="s">
        <v>1212</v>
      </c>
      <c r="E264">
        <f>IFERROR(VLOOKUP(C264,'New Adm Data (Mar to July)'!C:D,2,),"-")</f>
        <v>50</v>
      </c>
      <c r="F264">
        <f>IFERROR(VLOOKUP(D264,'New Adm Data (Aug to Nov)'!C:D,2,),"-")</f>
        <v>132</v>
      </c>
      <c r="G264" t="s">
        <v>1317</v>
      </c>
      <c r="H264" t="str">
        <f t="shared" si="12"/>
        <v>No</v>
      </c>
      <c r="I264" t="str">
        <f t="shared" si="13"/>
        <v>No</v>
      </c>
      <c r="J264" t="str">
        <f t="shared" si="14"/>
        <v>No</v>
      </c>
    </row>
    <row r="265" spans="1:10" x14ac:dyDescent="0.35">
      <c r="A265" t="s">
        <v>413</v>
      </c>
      <c r="B265" t="s">
        <v>456</v>
      </c>
      <c r="C265" t="s">
        <v>457</v>
      </c>
      <c r="D265" t="s">
        <v>1213</v>
      </c>
      <c r="E265">
        <f>IFERROR(VLOOKUP(C265,'New Adm Data (Mar to July)'!C:D,2,),"-")</f>
        <v>0</v>
      </c>
      <c r="F265">
        <f>IFERROR(VLOOKUP(D265,'New Adm Data (Aug to Nov)'!C:D,2,),"-")</f>
        <v>96</v>
      </c>
      <c r="G265" t="s">
        <v>1317</v>
      </c>
      <c r="H265" t="str">
        <f t="shared" si="12"/>
        <v>No</v>
      </c>
      <c r="I265" t="str">
        <f t="shared" si="13"/>
        <v>No</v>
      </c>
      <c r="J265" t="str">
        <f t="shared" si="14"/>
        <v>No</v>
      </c>
    </row>
    <row r="266" spans="1:10" x14ac:dyDescent="0.35">
      <c r="A266" t="s">
        <v>413</v>
      </c>
      <c r="B266" t="s">
        <v>458</v>
      </c>
      <c r="C266" t="s">
        <v>459</v>
      </c>
      <c r="D266" t="s">
        <v>1214</v>
      </c>
      <c r="E266">
        <f>IFERROR(VLOOKUP(C266,'New Adm Data (Mar to July)'!C:D,2,),"-")</f>
        <v>3</v>
      </c>
      <c r="F266">
        <f>IFERROR(VLOOKUP(D266,'New Adm Data (Aug to Nov)'!C:D,2,),"-")</f>
        <v>0</v>
      </c>
      <c r="G266" t="s">
        <v>1316</v>
      </c>
      <c r="H266" t="str">
        <f t="shared" si="12"/>
        <v>No</v>
      </c>
      <c r="I266" t="str">
        <f t="shared" si="13"/>
        <v>No</v>
      </c>
      <c r="J266" t="str">
        <f t="shared" si="14"/>
        <v>No</v>
      </c>
    </row>
    <row r="267" spans="1:10" x14ac:dyDescent="0.35">
      <c r="A267" t="s">
        <v>413</v>
      </c>
      <c r="B267" t="s">
        <v>460</v>
      </c>
      <c r="C267" t="s">
        <v>461</v>
      </c>
      <c r="D267" t="s">
        <v>1215</v>
      </c>
      <c r="E267">
        <f>IFERROR(VLOOKUP(C267,'New Adm Data (Mar to July)'!C:D,2,),"-")</f>
        <v>134</v>
      </c>
      <c r="F267">
        <f>IFERROR(VLOOKUP(D267,'New Adm Data (Aug to Nov)'!C:D,2,),"-")</f>
        <v>112</v>
      </c>
      <c r="G267" t="s">
        <v>1317</v>
      </c>
      <c r="H267" t="str">
        <f t="shared" si="12"/>
        <v>No</v>
      </c>
      <c r="I267" t="str">
        <f t="shared" si="13"/>
        <v>Yes</v>
      </c>
      <c r="J267" t="str">
        <f t="shared" si="14"/>
        <v>Yes</v>
      </c>
    </row>
    <row r="268" spans="1:10" x14ac:dyDescent="0.35">
      <c r="A268" t="s">
        <v>413</v>
      </c>
      <c r="B268" t="s">
        <v>462</v>
      </c>
      <c r="C268" t="s">
        <v>463</v>
      </c>
      <c r="D268" t="s">
        <v>1216</v>
      </c>
      <c r="E268">
        <f>IFERROR(VLOOKUP(C268,'New Adm Data (Mar to July)'!C:D,2,),"-")</f>
        <v>0</v>
      </c>
      <c r="F268">
        <f>IFERROR(VLOOKUP(D268,'New Adm Data (Aug to Nov)'!C:D,2,),"-")</f>
        <v>0</v>
      </c>
      <c r="G268" t="s">
        <v>1316</v>
      </c>
      <c r="H268" t="str">
        <f t="shared" si="12"/>
        <v>No</v>
      </c>
      <c r="I268" t="str">
        <f t="shared" si="13"/>
        <v>No</v>
      </c>
      <c r="J268" t="str">
        <f t="shared" si="14"/>
        <v>No</v>
      </c>
    </row>
    <row r="269" spans="1:10" x14ac:dyDescent="0.35">
      <c r="A269" t="s">
        <v>413</v>
      </c>
      <c r="B269" t="s">
        <v>464</v>
      </c>
      <c r="C269" t="s">
        <v>465</v>
      </c>
      <c r="D269" t="s">
        <v>1217</v>
      </c>
      <c r="E269">
        <f>IFERROR(VLOOKUP(C269,'New Adm Data (Mar to July)'!C:D,2,),"-")</f>
        <v>308</v>
      </c>
      <c r="F269">
        <f>IFERROR(VLOOKUP(D269,'New Adm Data (Aug to Nov)'!C:D,2,),"-")</f>
        <v>99</v>
      </c>
      <c r="G269" t="s">
        <v>1317</v>
      </c>
      <c r="H269" t="str">
        <f t="shared" si="12"/>
        <v>No</v>
      </c>
      <c r="I269" t="str">
        <f t="shared" si="13"/>
        <v>Yes</v>
      </c>
      <c r="J269" t="str">
        <f t="shared" si="14"/>
        <v>Yes</v>
      </c>
    </row>
    <row r="270" spans="1:10" x14ac:dyDescent="0.35">
      <c r="A270" t="s">
        <v>413</v>
      </c>
      <c r="B270" t="s">
        <v>466</v>
      </c>
      <c r="C270" t="s">
        <v>467</v>
      </c>
      <c r="D270" t="s">
        <v>1218</v>
      </c>
      <c r="E270">
        <f>IFERROR(VLOOKUP(C270,'New Adm Data (Mar to July)'!C:D,2,),"-")</f>
        <v>90</v>
      </c>
      <c r="F270">
        <f>IFERROR(VLOOKUP(D270,'New Adm Data (Aug to Nov)'!C:D,2,),"-")</f>
        <v>150</v>
      </c>
      <c r="G270" t="s">
        <v>1317</v>
      </c>
      <c r="H270" t="str">
        <f t="shared" si="12"/>
        <v>No</v>
      </c>
      <c r="I270" t="str">
        <f t="shared" si="13"/>
        <v>Yes</v>
      </c>
      <c r="J270" t="str">
        <f t="shared" si="14"/>
        <v>Yes</v>
      </c>
    </row>
    <row r="271" spans="1:10" x14ac:dyDescent="0.35">
      <c r="A271" t="s">
        <v>413</v>
      </c>
      <c r="B271" t="s">
        <v>468</v>
      </c>
      <c r="C271" t="s">
        <v>469</v>
      </c>
      <c r="D271" t="s">
        <v>1219</v>
      </c>
      <c r="E271">
        <f>IFERROR(VLOOKUP(C271,'New Adm Data (Mar to July)'!C:D,2,),"-")</f>
        <v>13</v>
      </c>
      <c r="F271">
        <f>IFERROR(VLOOKUP(D271,'New Adm Data (Aug to Nov)'!C:D,2,),"-")</f>
        <v>88</v>
      </c>
      <c r="G271" t="s">
        <v>1317</v>
      </c>
      <c r="H271" t="str">
        <f t="shared" si="12"/>
        <v>No</v>
      </c>
      <c r="I271" t="str">
        <f t="shared" si="13"/>
        <v>No</v>
      </c>
      <c r="J271" t="str">
        <f t="shared" si="14"/>
        <v>No</v>
      </c>
    </row>
    <row r="272" spans="1:10" x14ac:dyDescent="0.35">
      <c r="A272" t="s">
        <v>413</v>
      </c>
      <c r="B272" t="s">
        <v>470</v>
      </c>
      <c r="C272" t="s">
        <v>471</v>
      </c>
      <c r="D272" t="s">
        <v>1220</v>
      </c>
      <c r="E272">
        <f>IFERROR(VLOOKUP(C272,'New Adm Data (Mar to July)'!C:D,2,),"-")</f>
        <v>128</v>
      </c>
      <c r="F272">
        <f>IFERROR(VLOOKUP(D272,'New Adm Data (Aug to Nov)'!C:D,2,),"-")</f>
        <v>102</v>
      </c>
      <c r="G272" t="s">
        <v>1317</v>
      </c>
      <c r="H272" t="str">
        <f t="shared" si="12"/>
        <v>No</v>
      </c>
      <c r="I272" t="str">
        <f t="shared" si="13"/>
        <v>Yes</v>
      </c>
      <c r="J272" t="str">
        <f t="shared" si="14"/>
        <v>Yes</v>
      </c>
    </row>
    <row r="273" spans="1:10" x14ac:dyDescent="0.35">
      <c r="A273" t="s">
        <v>413</v>
      </c>
      <c r="B273" t="s">
        <v>472</v>
      </c>
      <c r="C273" t="s">
        <v>473</v>
      </c>
      <c r="D273" t="s">
        <v>1221</v>
      </c>
      <c r="E273">
        <f>IFERROR(VLOOKUP(C273,'New Adm Data (Mar to July)'!C:D,2,),"-")</f>
        <v>64</v>
      </c>
      <c r="F273">
        <f>IFERROR(VLOOKUP(D273,'New Adm Data (Aug to Nov)'!C:D,2,),"-")</f>
        <v>20</v>
      </c>
      <c r="G273" t="s">
        <v>1316</v>
      </c>
      <c r="H273" t="str">
        <f t="shared" si="12"/>
        <v>No</v>
      </c>
      <c r="I273" t="str">
        <f t="shared" si="13"/>
        <v>No</v>
      </c>
      <c r="J273" t="str">
        <f t="shared" si="14"/>
        <v>No</v>
      </c>
    </row>
    <row r="274" spans="1:10" x14ac:dyDescent="0.35">
      <c r="A274" t="s">
        <v>413</v>
      </c>
      <c r="B274" t="s">
        <v>474</v>
      </c>
      <c r="C274" t="s">
        <v>475</v>
      </c>
      <c r="D274" t="s">
        <v>1222</v>
      </c>
      <c r="E274">
        <f>IFERROR(VLOOKUP(C274,'New Adm Data (Mar to July)'!C:D,2,),"-")</f>
        <v>106</v>
      </c>
      <c r="F274">
        <f>IFERROR(VLOOKUP(D274,'New Adm Data (Aug to Nov)'!C:D,2,),"-")</f>
        <v>26</v>
      </c>
      <c r="G274" t="s">
        <v>1317</v>
      </c>
      <c r="H274" t="str">
        <f t="shared" si="12"/>
        <v>No</v>
      </c>
      <c r="I274" t="str">
        <f t="shared" si="13"/>
        <v>No</v>
      </c>
      <c r="J274" t="str">
        <f t="shared" si="14"/>
        <v>No</v>
      </c>
    </row>
    <row r="275" spans="1:10" x14ac:dyDescent="0.35">
      <c r="A275" t="s">
        <v>413</v>
      </c>
      <c r="B275" t="s">
        <v>476</v>
      </c>
      <c r="C275" t="s">
        <v>477</v>
      </c>
      <c r="D275" t="s">
        <v>1223</v>
      </c>
      <c r="E275">
        <f>IFERROR(VLOOKUP(C275,'New Adm Data (Mar to July)'!C:D,2,),"-")</f>
        <v>21</v>
      </c>
      <c r="F275">
        <f>IFERROR(VLOOKUP(D275,'New Adm Data (Aug to Nov)'!C:D,2,),"-")</f>
        <v>26</v>
      </c>
      <c r="G275" t="s">
        <v>1316</v>
      </c>
      <c r="H275" t="str">
        <f t="shared" si="12"/>
        <v>No</v>
      </c>
      <c r="I275" t="str">
        <f t="shared" si="13"/>
        <v>No</v>
      </c>
      <c r="J275" t="str">
        <f t="shared" si="14"/>
        <v>No</v>
      </c>
    </row>
    <row r="276" spans="1:10" x14ac:dyDescent="0.35">
      <c r="A276" t="s">
        <v>413</v>
      </c>
      <c r="B276" t="s">
        <v>478</v>
      </c>
      <c r="C276" t="s">
        <v>479</v>
      </c>
      <c r="D276" t="s">
        <v>1224</v>
      </c>
      <c r="E276">
        <f>IFERROR(VLOOKUP(C276,'New Adm Data (Mar to July)'!C:D,2,),"-")</f>
        <v>22</v>
      </c>
      <c r="F276">
        <f>IFERROR(VLOOKUP(D276,'New Adm Data (Aug to Nov)'!C:D,2,),"-")</f>
        <v>12</v>
      </c>
      <c r="G276" t="s">
        <v>1316</v>
      </c>
      <c r="H276" t="str">
        <f t="shared" si="12"/>
        <v>No</v>
      </c>
      <c r="I276" t="str">
        <f t="shared" si="13"/>
        <v>No</v>
      </c>
      <c r="J276" t="str">
        <f t="shared" si="14"/>
        <v>No</v>
      </c>
    </row>
    <row r="277" spans="1:10" x14ac:dyDescent="0.35">
      <c r="A277" t="s">
        <v>413</v>
      </c>
      <c r="B277" t="s">
        <v>480</v>
      </c>
      <c r="C277" t="s">
        <v>481</v>
      </c>
      <c r="D277" t="s">
        <v>1225</v>
      </c>
      <c r="E277">
        <f>IFERROR(VLOOKUP(C277,'New Adm Data (Mar to July)'!C:D,2,),"-")</f>
        <v>32</v>
      </c>
      <c r="F277">
        <f>IFERROR(VLOOKUP(D277,'New Adm Data (Aug to Nov)'!C:D,2,),"-")</f>
        <v>53</v>
      </c>
      <c r="G277" t="s">
        <v>1317</v>
      </c>
      <c r="H277" t="str">
        <f t="shared" si="12"/>
        <v>No</v>
      </c>
      <c r="I277" t="str">
        <f t="shared" si="13"/>
        <v>No</v>
      </c>
      <c r="J277" t="str">
        <f t="shared" si="14"/>
        <v>No</v>
      </c>
    </row>
    <row r="278" spans="1:10" x14ac:dyDescent="0.35">
      <c r="A278" t="s">
        <v>413</v>
      </c>
      <c r="B278" t="s">
        <v>482</v>
      </c>
      <c r="C278" t="s">
        <v>483</v>
      </c>
      <c r="D278" t="s">
        <v>1226</v>
      </c>
      <c r="E278">
        <f>IFERROR(VLOOKUP(C278,'New Adm Data (Mar to July)'!C:D,2,),"-")</f>
        <v>147</v>
      </c>
      <c r="F278">
        <f>IFERROR(VLOOKUP(D278,'New Adm Data (Aug to Nov)'!C:D,2,),"-")</f>
        <v>110</v>
      </c>
      <c r="G278" t="s">
        <v>1317</v>
      </c>
      <c r="H278" t="str">
        <f t="shared" si="12"/>
        <v>No</v>
      </c>
      <c r="I278" t="str">
        <f t="shared" si="13"/>
        <v>Yes</v>
      </c>
      <c r="J278" t="str">
        <f t="shared" si="14"/>
        <v>Yes</v>
      </c>
    </row>
    <row r="279" spans="1:10" x14ac:dyDescent="0.35">
      <c r="A279" t="s">
        <v>413</v>
      </c>
      <c r="B279" t="s">
        <v>484</v>
      </c>
      <c r="C279" t="s">
        <v>485</v>
      </c>
      <c r="D279" t="s">
        <v>1227</v>
      </c>
      <c r="E279">
        <f>IFERROR(VLOOKUP(C279,'New Adm Data (Mar to July)'!C:D,2,),"-")</f>
        <v>116</v>
      </c>
      <c r="F279">
        <f>IFERROR(VLOOKUP(D279,'New Adm Data (Aug to Nov)'!C:D,2,),"-")</f>
        <v>46</v>
      </c>
      <c r="G279" t="s">
        <v>1317</v>
      </c>
      <c r="H279" t="str">
        <f t="shared" si="12"/>
        <v>No</v>
      </c>
      <c r="I279" t="str">
        <f t="shared" si="13"/>
        <v>No</v>
      </c>
      <c r="J279" t="str">
        <f t="shared" si="14"/>
        <v>No</v>
      </c>
    </row>
    <row r="280" spans="1:10" x14ac:dyDescent="0.35">
      <c r="A280" t="s">
        <v>413</v>
      </c>
      <c r="B280" t="s">
        <v>486</v>
      </c>
      <c r="C280" t="s">
        <v>487</v>
      </c>
      <c r="D280" t="s">
        <v>1228</v>
      </c>
      <c r="E280">
        <f>IFERROR(VLOOKUP(C280,'New Adm Data (Mar to July)'!C:D,2,),"-")</f>
        <v>1</v>
      </c>
      <c r="F280">
        <f>IFERROR(VLOOKUP(D280,'New Adm Data (Aug to Nov)'!C:D,2,),"-")</f>
        <v>0</v>
      </c>
      <c r="G280" t="s">
        <v>1316</v>
      </c>
      <c r="H280" t="str">
        <f t="shared" si="12"/>
        <v>No</v>
      </c>
      <c r="I280" t="str">
        <f t="shared" si="13"/>
        <v>No</v>
      </c>
      <c r="J280" t="str">
        <f t="shared" si="14"/>
        <v>No</v>
      </c>
    </row>
    <row r="281" spans="1:10" x14ac:dyDescent="0.35">
      <c r="A281" t="s">
        <v>413</v>
      </c>
      <c r="B281" t="s">
        <v>488</v>
      </c>
      <c r="C281" t="s">
        <v>489</v>
      </c>
      <c r="D281" t="s">
        <v>1229</v>
      </c>
      <c r="E281">
        <f>IFERROR(VLOOKUP(C281,'New Adm Data (Mar to July)'!C:D,2,),"-")</f>
        <v>6</v>
      </c>
      <c r="F281">
        <f>IFERROR(VLOOKUP(D281,'New Adm Data (Aug to Nov)'!C:D,2,),"-")</f>
        <v>1</v>
      </c>
      <c r="G281" t="s">
        <v>1316</v>
      </c>
      <c r="H281" t="str">
        <f t="shared" si="12"/>
        <v>No</v>
      </c>
      <c r="I281" t="str">
        <f t="shared" si="13"/>
        <v>No</v>
      </c>
      <c r="J281" t="str">
        <f t="shared" si="14"/>
        <v>No</v>
      </c>
    </row>
    <row r="282" spans="1:10" x14ac:dyDescent="0.35">
      <c r="A282" t="s">
        <v>413</v>
      </c>
      <c r="B282" t="s">
        <v>490</v>
      </c>
      <c r="C282" t="s">
        <v>491</v>
      </c>
      <c r="D282" t="s">
        <v>1230</v>
      </c>
      <c r="E282">
        <f>IFERROR(VLOOKUP(C282,'New Adm Data (Mar to July)'!C:D,2,),"-")</f>
        <v>52</v>
      </c>
      <c r="F282">
        <f>IFERROR(VLOOKUP(D282,'New Adm Data (Aug to Nov)'!C:D,2,),"-")</f>
        <v>88</v>
      </c>
      <c r="G282" t="s">
        <v>1317</v>
      </c>
      <c r="H282" t="str">
        <f t="shared" si="12"/>
        <v>No</v>
      </c>
      <c r="I282" t="str">
        <f t="shared" si="13"/>
        <v>No</v>
      </c>
      <c r="J282" t="str">
        <f t="shared" si="14"/>
        <v>No</v>
      </c>
    </row>
    <row r="283" spans="1:10" x14ac:dyDescent="0.35">
      <c r="A283" t="s">
        <v>413</v>
      </c>
      <c r="B283" t="s">
        <v>492</v>
      </c>
      <c r="C283" t="s">
        <v>493</v>
      </c>
      <c r="D283" t="s">
        <v>1231</v>
      </c>
      <c r="E283">
        <f>IFERROR(VLOOKUP(C283,'New Adm Data (Mar to July)'!C:D,2,),"-")</f>
        <v>174</v>
      </c>
      <c r="F283">
        <f>IFERROR(VLOOKUP(D283,'New Adm Data (Aug to Nov)'!C:D,2,),"-")</f>
        <v>4</v>
      </c>
      <c r="G283" t="s">
        <v>1316</v>
      </c>
      <c r="H283" t="str">
        <f t="shared" si="12"/>
        <v>No</v>
      </c>
      <c r="I283" t="str">
        <f t="shared" si="13"/>
        <v>No</v>
      </c>
      <c r="J283" t="str">
        <f t="shared" si="14"/>
        <v>No</v>
      </c>
    </row>
    <row r="284" spans="1:10" x14ac:dyDescent="0.35">
      <c r="A284" t="s">
        <v>494</v>
      </c>
      <c r="B284" t="s">
        <v>495</v>
      </c>
      <c r="C284" t="s">
        <v>496</v>
      </c>
      <c r="D284" t="s">
        <v>1232</v>
      </c>
      <c r="E284">
        <f>IFERROR(VLOOKUP(C284,'New Adm Data (Mar to July)'!C:D,2,),"-")</f>
        <v>7</v>
      </c>
      <c r="F284">
        <f>IFERROR(VLOOKUP(D284,'New Adm Data (Aug to Nov)'!C:D,2,),"-")</f>
        <v>2</v>
      </c>
      <c r="G284" t="s">
        <v>1316</v>
      </c>
      <c r="H284" t="str">
        <f t="shared" si="12"/>
        <v>No</v>
      </c>
      <c r="I284" t="str">
        <f t="shared" si="13"/>
        <v>No</v>
      </c>
      <c r="J284" t="str">
        <f t="shared" si="14"/>
        <v>No</v>
      </c>
    </row>
    <row r="285" spans="1:10" x14ac:dyDescent="0.35">
      <c r="A285" t="s">
        <v>494</v>
      </c>
      <c r="B285" t="s">
        <v>7</v>
      </c>
      <c r="C285" t="s">
        <v>8</v>
      </c>
      <c r="D285" t="s">
        <v>1310</v>
      </c>
      <c r="E285">
        <f>IFERROR(VLOOKUP(C285,'New Adm Data (Mar to July)'!C:D,2,),"-")</f>
        <v>0</v>
      </c>
      <c r="F285" t="str">
        <f>IFERROR(VLOOKUP(D285,'New Adm Data (Aug to Nov)'!C:D,2,),"-")</f>
        <v>-</v>
      </c>
      <c r="G285" t="s">
        <v>1324</v>
      </c>
      <c r="H285" t="str">
        <f t="shared" si="12"/>
        <v>No</v>
      </c>
      <c r="I285" t="str">
        <f t="shared" si="13"/>
        <v>No</v>
      </c>
      <c r="J285" t="str">
        <f t="shared" si="14"/>
        <v>No</v>
      </c>
    </row>
    <row r="286" spans="1:10" x14ac:dyDescent="0.35">
      <c r="A286" t="s">
        <v>494</v>
      </c>
      <c r="B286" t="s">
        <v>497</v>
      </c>
      <c r="C286" t="s">
        <v>498</v>
      </c>
      <c r="D286" t="s">
        <v>1310</v>
      </c>
      <c r="E286">
        <f>IFERROR(VLOOKUP(C286,'New Adm Data (Mar to July)'!C:D,2,),"-")</f>
        <v>0</v>
      </c>
      <c r="F286" t="str">
        <f>IFERROR(VLOOKUP(D286,'New Adm Data (Aug to Nov)'!C:D,2,),"-")</f>
        <v>-</v>
      </c>
      <c r="G286" t="s">
        <v>1324</v>
      </c>
      <c r="H286" t="str">
        <f t="shared" si="12"/>
        <v>No</v>
      </c>
      <c r="I286" t="str">
        <f t="shared" si="13"/>
        <v>No</v>
      </c>
      <c r="J286" t="str">
        <f t="shared" si="14"/>
        <v>No</v>
      </c>
    </row>
    <row r="287" spans="1:10" x14ac:dyDescent="0.35">
      <c r="A287" t="s">
        <v>494</v>
      </c>
      <c r="B287" t="s">
        <v>499</v>
      </c>
      <c r="C287" t="s">
        <v>500</v>
      </c>
      <c r="D287" t="s">
        <v>1236</v>
      </c>
      <c r="E287">
        <f>IFERROR(VLOOKUP(C287,'New Adm Data (Mar to July)'!C:D,2,),"-")</f>
        <v>4</v>
      </c>
      <c r="F287">
        <f>IFERROR(VLOOKUP(D287,'New Adm Data (Aug to Nov)'!C:D,2,),"-")</f>
        <v>0</v>
      </c>
      <c r="G287" t="s">
        <v>1316</v>
      </c>
      <c r="H287" t="str">
        <f t="shared" si="12"/>
        <v>No</v>
      </c>
      <c r="I287" t="str">
        <f t="shared" si="13"/>
        <v>No</v>
      </c>
      <c r="J287" t="str">
        <f t="shared" si="14"/>
        <v>No</v>
      </c>
    </row>
    <row r="288" spans="1:10" x14ac:dyDescent="0.35">
      <c r="A288" t="s">
        <v>494</v>
      </c>
      <c r="B288" t="s">
        <v>13</v>
      </c>
      <c r="C288" t="s">
        <v>14</v>
      </c>
      <c r="D288" t="s">
        <v>1310</v>
      </c>
      <c r="E288">
        <f>IFERROR(VLOOKUP(C288,'New Adm Data (Mar to July)'!C:D,2,),"-")</f>
        <v>0</v>
      </c>
      <c r="F288" t="str">
        <f>IFERROR(VLOOKUP(D288,'New Adm Data (Aug to Nov)'!C:D,2,),"-")</f>
        <v>-</v>
      </c>
      <c r="G288" t="s">
        <v>1324</v>
      </c>
      <c r="H288" t="str">
        <f t="shared" si="12"/>
        <v>No</v>
      </c>
      <c r="I288" t="str">
        <f t="shared" si="13"/>
        <v>No</v>
      </c>
      <c r="J288" t="str">
        <f t="shared" si="14"/>
        <v>No</v>
      </c>
    </row>
    <row r="289" spans="1:10" x14ac:dyDescent="0.35">
      <c r="A289" t="s">
        <v>494</v>
      </c>
      <c r="B289" t="s">
        <v>501</v>
      </c>
      <c r="C289" t="s">
        <v>502</v>
      </c>
      <c r="D289" t="s">
        <v>1243</v>
      </c>
      <c r="E289">
        <f>IFERROR(VLOOKUP(C289,'New Adm Data (Mar to July)'!C:D,2,),"-")</f>
        <v>31</v>
      </c>
      <c r="F289">
        <f>IFERROR(VLOOKUP(D289,'New Adm Data (Aug to Nov)'!C:D,2,),"-")</f>
        <v>2</v>
      </c>
      <c r="G289" t="s">
        <v>1316</v>
      </c>
      <c r="H289" t="str">
        <f t="shared" si="12"/>
        <v>No</v>
      </c>
      <c r="I289" t="str">
        <f t="shared" si="13"/>
        <v>No</v>
      </c>
      <c r="J289" t="str">
        <f t="shared" si="14"/>
        <v>No</v>
      </c>
    </row>
    <row r="290" spans="1:10" x14ac:dyDescent="0.35">
      <c r="A290" t="s">
        <v>494</v>
      </c>
      <c r="B290" t="s">
        <v>19</v>
      </c>
      <c r="C290" t="s">
        <v>20</v>
      </c>
      <c r="D290" t="s">
        <v>1310</v>
      </c>
      <c r="E290">
        <f>IFERROR(VLOOKUP(C290,'New Adm Data (Mar to July)'!C:D,2,),"-")</f>
        <v>0</v>
      </c>
      <c r="F290" t="str">
        <f>IFERROR(VLOOKUP(D290,'New Adm Data (Aug to Nov)'!C:D,2,),"-")</f>
        <v>-</v>
      </c>
      <c r="G290" t="s">
        <v>1324</v>
      </c>
      <c r="H290" t="str">
        <f t="shared" si="12"/>
        <v>No</v>
      </c>
      <c r="I290" t="str">
        <f t="shared" si="13"/>
        <v>No</v>
      </c>
      <c r="J290" t="str">
        <f t="shared" si="14"/>
        <v>No</v>
      </c>
    </row>
    <row r="291" spans="1:10" x14ac:dyDescent="0.35">
      <c r="A291" t="s">
        <v>494</v>
      </c>
      <c r="B291" t="s">
        <v>21</v>
      </c>
      <c r="C291" t="s">
        <v>22</v>
      </c>
      <c r="D291" t="s">
        <v>1310</v>
      </c>
      <c r="E291">
        <f>IFERROR(VLOOKUP(C291,'New Adm Data (Mar to July)'!C:D,2,),"-")</f>
        <v>0</v>
      </c>
      <c r="F291" t="str">
        <f>IFERROR(VLOOKUP(D291,'New Adm Data (Aug to Nov)'!C:D,2,),"-")</f>
        <v>-</v>
      </c>
      <c r="G291" t="s">
        <v>1324</v>
      </c>
      <c r="H291" t="str">
        <f t="shared" si="12"/>
        <v>No</v>
      </c>
      <c r="I291" t="str">
        <f t="shared" si="13"/>
        <v>No</v>
      </c>
      <c r="J291" t="str">
        <f t="shared" si="14"/>
        <v>No</v>
      </c>
    </row>
    <row r="292" spans="1:10" x14ac:dyDescent="0.35">
      <c r="A292" t="s">
        <v>494</v>
      </c>
      <c r="B292" t="s">
        <v>23</v>
      </c>
      <c r="C292" t="s">
        <v>24</v>
      </c>
      <c r="D292" t="s">
        <v>1310</v>
      </c>
      <c r="E292">
        <f>IFERROR(VLOOKUP(C292,'New Adm Data (Mar to July)'!C:D,2,),"-")</f>
        <v>0</v>
      </c>
      <c r="F292" t="str">
        <f>IFERROR(VLOOKUP(D292,'New Adm Data (Aug to Nov)'!C:D,2,),"-")</f>
        <v>-</v>
      </c>
      <c r="G292" t="s">
        <v>1324</v>
      </c>
      <c r="H292" t="str">
        <f t="shared" si="12"/>
        <v>No</v>
      </c>
      <c r="I292" t="str">
        <f t="shared" si="13"/>
        <v>No</v>
      </c>
      <c r="J292" t="str">
        <f t="shared" si="14"/>
        <v>No</v>
      </c>
    </row>
    <row r="293" spans="1:10" x14ac:dyDescent="0.35">
      <c r="A293" t="s">
        <v>494</v>
      </c>
      <c r="B293" t="s">
        <v>98</v>
      </c>
      <c r="C293" t="s">
        <v>99</v>
      </c>
      <c r="D293" t="s">
        <v>1310</v>
      </c>
      <c r="E293">
        <f>IFERROR(VLOOKUP(C293,'New Adm Data (Mar to July)'!C:D,2,),"-")</f>
        <v>1</v>
      </c>
      <c r="F293" t="str">
        <f>IFERROR(VLOOKUP(D293,'New Adm Data (Aug to Nov)'!C:D,2,),"-")</f>
        <v>-</v>
      </c>
      <c r="G293" t="s">
        <v>1324</v>
      </c>
      <c r="H293" t="str">
        <f t="shared" si="12"/>
        <v>No</v>
      </c>
      <c r="I293" t="str">
        <f t="shared" si="13"/>
        <v>No</v>
      </c>
      <c r="J293" t="str">
        <f t="shared" si="14"/>
        <v>No</v>
      </c>
    </row>
    <row r="294" spans="1:10" x14ac:dyDescent="0.35">
      <c r="A294" t="s">
        <v>494</v>
      </c>
      <c r="B294" t="s">
        <v>430</v>
      </c>
      <c r="C294" t="s">
        <v>431</v>
      </c>
      <c r="D294" t="s">
        <v>1310</v>
      </c>
      <c r="E294">
        <f>IFERROR(VLOOKUP(C294,'New Adm Data (Mar to July)'!C:D,2,),"-")</f>
        <v>0</v>
      </c>
      <c r="F294" t="str">
        <f>IFERROR(VLOOKUP(D294,'New Adm Data (Aug to Nov)'!C:D,2,),"-")</f>
        <v>-</v>
      </c>
      <c r="G294" t="s">
        <v>1324</v>
      </c>
      <c r="H294" t="str">
        <f t="shared" si="12"/>
        <v>No</v>
      </c>
      <c r="I294" t="str">
        <f t="shared" si="13"/>
        <v>No</v>
      </c>
      <c r="J294" t="str">
        <f t="shared" si="14"/>
        <v>No</v>
      </c>
    </row>
    <row r="295" spans="1:10" x14ac:dyDescent="0.35">
      <c r="A295" t="s">
        <v>494</v>
      </c>
      <c r="B295" t="s">
        <v>25</v>
      </c>
      <c r="C295" t="s">
        <v>26</v>
      </c>
      <c r="D295" t="s">
        <v>1310</v>
      </c>
      <c r="E295">
        <f>IFERROR(VLOOKUP(C295,'New Adm Data (Mar to July)'!C:D,2,),"-")</f>
        <v>0</v>
      </c>
      <c r="F295" t="str">
        <f>IFERROR(VLOOKUP(D295,'New Adm Data (Aug to Nov)'!C:D,2,),"-")</f>
        <v>-</v>
      </c>
      <c r="G295" t="s">
        <v>1324</v>
      </c>
      <c r="H295" t="str">
        <f t="shared" si="12"/>
        <v>No</v>
      </c>
      <c r="I295" t="str">
        <f t="shared" si="13"/>
        <v>No</v>
      </c>
      <c r="J295" t="str">
        <f t="shared" si="14"/>
        <v>No</v>
      </c>
    </row>
    <row r="296" spans="1:10" x14ac:dyDescent="0.35">
      <c r="A296" t="s">
        <v>494</v>
      </c>
      <c r="B296" t="s">
        <v>503</v>
      </c>
      <c r="C296" t="s">
        <v>504</v>
      </c>
      <c r="D296" t="s">
        <v>1287</v>
      </c>
      <c r="E296">
        <f>IFERROR(VLOOKUP(C296,'New Adm Data (Mar to July)'!C:D,2,),"-")</f>
        <v>17</v>
      </c>
      <c r="F296">
        <f>IFERROR(VLOOKUP(D296,'New Adm Data (Aug to Nov)'!C:D,2,),"-")</f>
        <v>21</v>
      </c>
      <c r="G296" t="s">
        <v>1317</v>
      </c>
      <c r="H296" t="str">
        <f t="shared" si="12"/>
        <v>No</v>
      </c>
      <c r="I296" t="str">
        <f t="shared" si="13"/>
        <v>No</v>
      </c>
      <c r="J296" t="str">
        <f t="shared" si="14"/>
        <v>No</v>
      </c>
    </row>
    <row r="297" spans="1:10" x14ac:dyDescent="0.35">
      <c r="A297" t="s">
        <v>494</v>
      </c>
      <c r="B297" t="s">
        <v>505</v>
      </c>
      <c r="C297" t="s">
        <v>506</v>
      </c>
      <c r="D297" t="s">
        <v>1288</v>
      </c>
      <c r="E297">
        <f>IFERROR(VLOOKUP(C297,'New Adm Data (Mar to July)'!C:D,2,),"-")</f>
        <v>106</v>
      </c>
      <c r="F297">
        <f>IFERROR(VLOOKUP(D297,'New Adm Data (Aug to Nov)'!C:D,2,),"-")</f>
        <v>208</v>
      </c>
      <c r="G297" t="s">
        <v>1317</v>
      </c>
      <c r="H297" t="str">
        <f t="shared" si="12"/>
        <v>No</v>
      </c>
      <c r="I297" t="str">
        <f t="shared" si="13"/>
        <v>Yes</v>
      </c>
      <c r="J297" t="str">
        <f t="shared" si="14"/>
        <v>Yes</v>
      </c>
    </row>
    <row r="298" spans="1:10" x14ac:dyDescent="0.35">
      <c r="A298" t="s">
        <v>494</v>
      </c>
      <c r="B298" t="s">
        <v>507</v>
      </c>
      <c r="C298" t="s">
        <v>508</v>
      </c>
      <c r="D298" t="s">
        <v>1289</v>
      </c>
      <c r="E298">
        <f>IFERROR(VLOOKUP(C298,'New Adm Data (Mar to July)'!C:D,2,),"-")</f>
        <v>17</v>
      </c>
      <c r="F298">
        <f>IFERROR(VLOOKUP(D298,'New Adm Data (Aug to Nov)'!C:D,2,),"-")</f>
        <v>99</v>
      </c>
      <c r="G298" t="s">
        <v>1317</v>
      </c>
      <c r="H298" t="str">
        <f t="shared" si="12"/>
        <v>No</v>
      </c>
      <c r="I298" t="str">
        <f t="shared" si="13"/>
        <v>No</v>
      </c>
      <c r="J298" t="str">
        <f t="shared" si="14"/>
        <v>No</v>
      </c>
    </row>
    <row r="299" spans="1:10" x14ac:dyDescent="0.35">
      <c r="A299" t="s">
        <v>494</v>
      </c>
      <c r="B299" t="s">
        <v>509</v>
      </c>
      <c r="C299" t="s">
        <v>510</v>
      </c>
      <c r="D299" t="s">
        <v>1290</v>
      </c>
      <c r="E299">
        <f>IFERROR(VLOOKUP(C299,'New Adm Data (Mar to July)'!C:D,2,),"-")</f>
        <v>17</v>
      </c>
      <c r="F299">
        <f>IFERROR(VLOOKUP(D299,'New Adm Data (Aug to Nov)'!C:D,2,),"-")</f>
        <v>25</v>
      </c>
      <c r="G299" t="s">
        <v>1317</v>
      </c>
      <c r="H299" t="str">
        <f t="shared" si="12"/>
        <v>No</v>
      </c>
      <c r="I299" t="str">
        <f t="shared" si="13"/>
        <v>No</v>
      </c>
      <c r="J299" t="str">
        <f t="shared" si="14"/>
        <v>No</v>
      </c>
    </row>
    <row r="300" spans="1:10" x14ac:dyDescent="0.35">
      <c r="A300" t="s">
        <v>494</v>
      </c>
      <c r="B300" t="s">
        <v>511</v>
      </c>
      <c r="C300" t="s">
        <v>512</v>
      </c>
      <c r="D300" t="s">
        <v>1291</v>
      </c>
      <c r="E300">
        <f>IFERROR(VLOOKUP(C300,'New Adm Data (Mar to July)'!C:D,2,),"-")</f>
        <v>36</v>
      </c>
      <c r="F300">
        <f>IFERROR(VLOOKUP(D300,'New Adm Data (Aug to Nov)'!C:D,2,),"-")</f>
        <v>25</v>
      </c>
      <c r="G300" t="s">
        <v>1317</v>
      </c>
      <c r="H300" t="str">
        <f t="shared" si="12"/>
        <v>No</v>
      </c>
      <c r="I300" t="str">
        <f t="shared" si="13"/>
        <v>No</v>
      </c>
      <c r="J300" t="str">
        <f t="shared" si="14"/>
        <v>No</v>
      </c>
    </row>
    <row r="301" spans="1:10" x14ac:dyDescent="0.35">
      <c r="A301" t="s">
        <v>494</v>
      </c>
      <c r="B301" t="s">
        <v>513</v>
      </c>
      <c r="C301" t="s">
        <v>514</v>
      </c>
      <c r="D301" t="s">
        <v>1292</v>
      </c>
      <c r="E301">
        <f>IFERROR(VLOOKUP(C301,'New Adm Data (Mar to July)'!C:D,2,),"-")</f>
        <v>59</v>
      </c>
      <c r="F301">
        <f>IFERROR(VLOOKUP(D301,'New Adm Data (Aug to Nov)'!C:D,2,),"-")</f>
        <v>59</v>
      </c>
      <c r="G301" t="s">
        <v>1317</v>
      </c>
      <c r="H301" t="str">
        <f t="shared" si="12"/>
        <v>No</v>
      </c>
      <c r="I301" t="str">
        <f t="shared" si="13"/>
        <v>No</v>
      </c>
      <c r="J301" t="str">
        <f t="shared" si="14"/>
        <v>No</v>
      </c>
    </row>
    <row r="302" spans="1:10" x14ac:dyDescent="0.35">
      <c r="A302" t="s">
        <v>494</v>
      </c>
      <c r="B302" t="s">
        <v>531</v>
      </c>
      <c r="C302" t="s">
        <v>532</v>
      </c>
      <c r="D302" t="s">
        <v>1286</v>
      </c>
      <c r="E302">
        <f>IFERROR(VLOOKUP(C302,'New Adm Data (Mar to July)'!C:D,2,),"-")</f>
        <v>91</v>
      </c>
      <c r="F302">
        <f>IFERROR(VLOOKUP(D302,'New Adm Data (Aug to Nov)'!C:D,2,),"-")</f>
        <v>131</v>
      </c>
      <c r="G302" t="s">
        <v>1317</v>
      </c>
      <c r="H302" t="str">
        <f t="shared" si="12"/>
        <v>No</v>
      </c>
      <c r="I302" t="str">
        <f t="shared" si="13"/>
        <v>No</v>
      </c>
      <c r="J302" t="str">
        <f t="shared" si="14"/>
        <v>No</v>
      </c>
    </row>
    <row r="303" spans="1:10" x14ac:dyDescent="0.35">
      <c r="A303" t="s">
        <v>494</v>
      </c>
      <c r="B303" t="s">
        <v>515</v>
      </c>
      <c r="C303" t="s">
        <v>516</v>
      </c>
      <c r="D303" t="s">
        <v>1295</v>
      </c>
      <c r="E303">
        <f>IFERROR(VLOOKUP(C303,'New Adm Data (Mar to July)'!C:D,2,),"-")</f>
        <v>60</v>
      </c>
      <c r="F303">
        <f>IFERROR(VLOOKUP(D303,'New Adm Data (Aug to Nov)'!C:D,2,),"-")</f>
        <v>27</v>
      </c>
      <c r="G303" t="s">
        <v>1316</v>
      </c>
      <c r="H303" t="str">
        <f t="shared" si="12"/>
        <v>No</v>
      </c>
      <c r="I303" t="str">
        <f t="shared" si="13"/>
        <v>No</v>
      </c>
      <c r="J303" t="str">
        <f t="shared" si="14"/>
        <v>No</v>
      </c>
    </row>
    <row r="304" spans="1:10" x14ac:dyDescent="0.35">
      <c r="A304" t="s">
        <v>494</v>
      </c>
      <c r="B304" t="s">
        <v>517</v>
      </c>
      <c r="C304" t="s">
        <v>518</v>
      </c>
      <c r="D304" t="s">
        <v>1298</v>
      </c>
      <c r="E304">
        <f>IFERROR(VLOOKUP(C304,'New Adm Data (Mar to July)'!C:D,2,),"-")</f>
        <v>23</v>
      </c>
      <c r="F304">
        <f>IFERROR(VLOOKUP(D304,'New Adm Data (Aug to Nov)'!C:D,2,),"-")</f>
        <v>21</v>
      </c>
      <c r="G304" t="s">
        <v>1317</v>
      </c>
      <c r="H304" t="str">
        <f t="shared" si="12"/>
        <v>No</v>
      </c>
      <c r="I304" t="str">
        <f t="shared" si="13"/>
        <v>No</v>
      </c>
      <c r="J304" t="str">
        <f t="shared" si="14"/>
        <v>No</v>
      </c>
    </row>
    <row r="305" spans="1:10" x14ac:dyDescent="0.35">
      <c r="A305" t="s">
        <v>494</v>
      </c>
      <c r="B305" t="s">
        <v>519</v>
      </c>
      <c r="C305" t="s">
        <v>520</v>
      </c>
      <c r="D305" t="s">
        <v>1299</v>
      </c>
      <c r="E305">
        <f>IFERROR(VLOOKUP(C305,'New Adm Data (Mar to July)'!C:D,2,),"-")</f>
        <v>84</v>
      </c>
      <c r="F305">
        <f>IFERROR(VLOOKUP(D305,'New Adm Data (Aug to Nov)'!C:D,2,),"-")</f>
        <v>54</v>
      </c>
      <c r="G305" t="s">
        <v>1317</v>
      </c>
      <c r="H305" t="str">
        <f t="shared" si="12"/>
        <v>No</v>
      </c>
      <c r="I305" t="str">
        <f t="shared" si="13"/>
        <v>No</v>
      </c>
      <c r="J305" t="str">
        <f t="shared" si="14"/>
        <v>No</v>
      </c>
    </row>
    <row r="306" spans="1:10" x14ac:dyDescent="0.35">
      <c r="A306" t="s">
        <v>494</v>
      </c>
      <c r="B306" t="s">
        <v>521</v>
      </c>
      <c r="C306" t="s">
        <v>522</v>
      </c>
      <c r="D306" t="s">
        <v>1300</v>
      </c>
      <c r="E306">
        <f>IFERROR(VLOOKUP(C306,'New Adm Data (Mar to July)'!C:D,2,),"-")</f>
        <v>181</v>
      </c>
      <c r="F306">
        <f>IFERROR(VLOOKUP(D306,'New Adm Data (Aug to Nov)'!C:D,2,),"-")</f>
        <v>143</v>
      </c>
      <c r="G306" t="s">
        <v>1317</v>
      </c>
      <c r="H306" t="str">
        <f t="shared" si="12"/>
        <v>No</v>
      </c>
      <c r="I306" t="str">
        <f t="shared" si="13"/>
        <v>Yes</v>
      </c>
      <c r="J306" t="str">
        <f t="shared" si="14"/>
        <v>Yes</v>
      </c>
    </row>
    <row r="307" spans="1:10" x14ac:dyDescent="0.35">
      <c r="A307" t="s">
        <v>494</v>
      </c>
      <c r="B307" t="s">
        <v>523</v>
      </c>
      <c r="C307" t="s">
        <v>524</v>
      </c>
      <c r="D307" t="s">
        <v>1301</v>
      </c>
      <c r="E307">
        <f>IFERROR(VLOOKUP(C307,'New Adm Data (Mar to July)'!C:D,2,),"-")</f>
        <v>51</v>
      </c>
      <c r="F307">
        <f>IFERROR(VLOOKUP(D307,'New Adm Data (Aug to Nov)'!C:D,2,),"-")</f>
        <v>1</v>
      </c>
      <c r="G307" t="s">
        <v>1316</v>
      </c>
      <c r="H307" t="str">
        <f t="shared" si="12"/>
        <v>No</v>
      </c>
      <c r="I307" t="str">
        <f t="shared" si="13"/>
        <v>No</v>
      </c>
      <c r="J307" t="str">
        <f t="shared" si="14"/>
        <v>No</v>
      </c>
    </row>
    <row r="308" spans="1:10" x14ac:dyDescent="0.35">
      <c r="A308" t="s">
        <v>494</v>
      </c>
      <c r="B308" t="s">
        <v>525</v>
      </c>
      <c r="C308" t="s">
        <v>526</v>
      </c>
      <c r="D308" t="s">
        <v>1302</v>
      </c>
      <c r="E308">
        <f>IFERROR(VLOOKUP(C308,'New Adm Data (Mar to July)'!C:D,2,),"-")</f>
        <v>129</v>
      </c>
      <c r="F308">
        <f>IFERROR(VLOOKUP(D308,'New Adm Data (Aug to Nov)'!C:D,2,),"-")</f>
        <v>112</v>
      </c>
      <c r="G308" t="s">
        <v>1317</v>
      </c>
      <c r="H308" t="str">
        <f t="shared" si="12"/>
        <v>No</v>
      </c>
      <c r="I308" t="str">
        <f t="shared" si="13"/>
        <v>Yes</v>
      </c>
      <c r="J308" t="str">
        <f t="shared" si="14"/>
        <v>Yes</v>
      </c>
    </row>
    <row r="309" spans="1:10" x14ac:dyDescent="0.35">
      <c r="A309" t="s">
        <v>494</v>
      </c>
      <c r="B309" t="s">
        <v>527</v>
      </c>
      <c r="C309" t="s">
        <v>528</v>
      </c>
      <c r="D309" t="s">
        <v>1303</v>
      </c>
      <c r="E309">
        <f>IFERROR(VLOOKUP(C309,'New Adm Data (Mar to July)'!C:D,2,),"-")</f>
        <v>108</v>
      </c>
      <c r="F309">
        <f>IFERROR(VLOOKUP(D309,'New Adm Data (Aug to Nov)'!C:D,2,),"-")</f>
        <v>96</v>
      </c>
      <c r="G309" t="s">
        <v>1317</v>
      </c>
      <c r="H309" t="str">
        <f t="shared" si="12"/>
        <v>No</v>
      </c>
      <c r="I309" t="str">
        <f t="shared" si="13"/>
        <v>No</v>
      </c>
      <c r="J309" t="str">
        <f t="shared" si="14"/>
        <v>No</v>
      </c>
    </row>
    <row r="310" spans="1:10" x14ac:dyDescent="0.35">
      <c r="A310" t="s">
        <v>494</v>
      </c>
      <c r="B310" t="s">
        <v>529</v>
      </c>
      <c r="C310" t="s">
        <v>530</v>
      </c>
      <c r="D310" t="s">
        <v>1304</v>
      </c>
      <c r="E310">
        <f>IFERROR(VLOOKUP(C310,'New Adm Data (Mar to July)'!C:D,2,),"-")</f>
        <v>30</v>
      </c>
      <c r="F310">
        <f>IFERROR(VLOOKUP(D310,'New Adm Data (Aug to Nov)'!C:D,2,),"-")</f>
        <v>18</v>
      </c>
      <c r="G310" t="s">
        <v>1317</v>
      </c>
      <c r="H310" t="str">
        <f t="shared" si="12"/>
        <v>No</v>
      </c>
      <c r="I310" t="str">
        <f t="shared" si="13"/>
        <v>No</v>
      </c>
      <c r="J310" t="str">
        <f t="shared" si="14"/>
        <v>No</v>
      </c>
    </row>
    <row r="311" spans="1:10" x14ac:dyDescent="0.35">
      <c r="A311" t="s">
        <v>494</v>
      </c>
      <c r="B311" t="s">
        <v>533</v>
      </c>
      <c r="C311" t="s">
        <v>534</v>
      </c>
      <c r="D311" t="s">
        <v>1305</v>
      </c>
      <c r="E311">
        <f>IFERROR(VLOOKUP(C311,'New Adm Data (Mar to July)'!C:D,2,),"-")</f>
        <v>308</v>
      </c>
      <c r="F311">
        <f>IFERROR(VLOOKUP(D311,'New Adm Data (Aug to Nov)'!C:D,2,),"-")</f>
        <v>131</v>
      </c>
      <c r="G311" t="s">
        <v>1317</v>
      </c>
      <c r="H311" t="str">
        <f t="shared" si="12"/>
        <v>No</v>
      </c>
      <c r="I311" t="str">
        <f t="shared" si="13"/>
        <v>Yes</v>
      </c>
      <c r="J311" t="str">
        <f t="shared" si="14"/>
        <v>Yes</v>
      </c>
    </row>
    <row r="312" spans="1:10" x14ac:dyDescent="0.35">
      <c r="A312" t="s">
        <v>494</v>
      </c>
      <c r="B312" t="s">
        <v>535</v>
      </c>
      <c r="C312" t="s">
        <v>536</v>
      </c>
      <c r="D312" t="s">
        <v>1306</v>
      </c>
      <c r="E312">
        <f>IFERROR(VLOOKUP(C312,'New Adm Data (Mar to July)'!C:D,2,),"-")</f>
        <v>67</v>
      </c>
      <c r="F312">
        <f>IFERROR(VLOOKUP(D312,'New Adm Data (Aug to Nov)'!C:D,2,),"-")</f>
        <v>3</v>
      </c>
      <c r="G312" t="s">
        <v>1316</v>
      </c>
      <c r="H312" t="str">
        <f t="shared" si="12"/>
        <v>No</v>
      </c>
      <c r="I312" t="str">
        <f t="shared" si="13"/>
        <v>No</v>
      </c>
      <c r="J312" t="str">
        <f t="shared" si="14"/>
        <v>No</v>
      </c>
    </row>
    <row r="313" spans="1:10" x14ac:dyDescent="0.35">
      <c r="A313" t="s">
        <v>494</v>
      </c>
      <c r="B313" t="s">
        <v>537</v>
      </c>
      <c r="C313" t="s">
        <v>538</v>
      </c>
      <c r="D313" t="s">
        <v>1307</v>
      </c>
      <c r="E313">
        <f>IFERROR(VLOOKUP(C313,'New Adm Data (Mar to July)'!C:D,2,),"-")</f>
        <v>238</v>
      </c>
      <c r="F313">
        <f>IFERROR(VLOOKUP(D313,'New Adm Data (Aug to Nov)'!C:D,2,),"-")</f>
        <v>192</v>
      </c>
      <c r="G313" t="s">
        <v>1317</v>
      </c>
      <c r="H313" t="str">
        <f t="shared" si="12"/>
        <v>No</v>
      </c>
      <c r="I313" t="str">
        <f t="shared" si="13"/>
        <v>Yes</v>
      </c>
      <c r="J313" t="str">
        <f t="shared" si="14"/>
        <v>Yes</v>
      </c>
    </row>
    <row r="314" spans="1:10" x14ac:dyDescent="0.35">
      <c r="A314" t="s">
        <v>494</v>
      </c>
      <c r="B314" t="s">
        <v>539</v>
      </c>
      <c r="C314" t="s">
        <v>540</v>
      </c>
      <c r="D314" t="s">
        <v>1308</v>
      </c>
      <c r="E314">
        <f>IFERROR(VLOOKUP(C314,'New Adm Data (Mar to July)'!C:D,2,),"-")</f>
        <v>0</v>
      </c>
      <c r="F314">
        <f>IFERROR(VLOOKUP(D314,'New Adm Data (Aug to Nov)'!C:D,2,),"-")</f>
        <v>9</v>
      </c>
      <c r="G314" t="s">
        <v>1316</v>
      </c>
      <c r="H314" t="str">
        <f t="shared" si="12"/>
        <v>No</v>
      </c>
      <c r="I314" t="str">
        <f t="shared" si="13"/>
        <v>No</v>
      </c>
      <c r="J314" t="str">
        <f t="shared" si="14"/>
        <v>No</v>
      </c>
    </row>
    <row r="315" spans="1:10" x14ac:dyDescent="0.35">
      <c r="A315" t="s">
        <v>494</v>
      </c>
      <c r="B315" t="s">
        <v>541</v>
      </c>
      <c r="C315" t="s">
        <v>542</v>
      </c>
      <c r="D315" t="s">
        <v>1309</v>
      </c>
      <c r="E315">
        <f>IFERROR(VLOOKUP(C315,'New Adm Data (Mar to July)'!C:D,2,),"-")</f>
        <v>0</v>
      </c>
      <c r="F315">
        <f>IFERROR(VLOOKUP(D315,'New Adm Data (Aug to Nov)'!C:D,2,),"-")</f>
        <v>0</v>
      </c>
      <c r="G315" t="s">
        <v>1316</v>
      </c>
      <c r="H315" t="str">
        <f t="shared" si="12"/>
        <v>No</v>
      </c>
      <c r="I315" t="str">
        <f t="shared" si="13"/>
        <v>No</v>
      </c>
      <c r="J315" t="str">
        <f t="shared" si="14"/>
        <v>No</v>
      </c>
    </row>
    <row r="316" spans="1:10" x14ac:dyDescent="0.35">
      <c r="A316" t="s">
        <v>0</v>
      </c>
      <c r="B316" t="s">
        <v>549</v>
      </c>
      <c r="D316" t="s">
        <v>550</v>
      </c>
      <c r="E316" t="str">
        <f>IFERROR(VLOOKUP(C316,'New Adm Data (Mar to July)'!C:D,2,),"-")</f>
        <v>-</v>
      </c>
      <c r="F316">
        <f>IFERROR(VLOOKUP(D316,'New Adm Data (Aug to Nov)'!C:D,2,),"-")</f>
        <v>0</v>
      </c>
      <c r="G316" t="s">
        <v>1316</v>
      </c>
      <c r="H316" t="str">
        <f t="shared" si="12"/>
        <v>No</v>
      </c>
      <c r="I316" t="str">
        <f t="shared" si="13"/>
        <v>No</v>
      </c>
      <c r="J316" t="str">
        <f t="shared" si="14"/>
        <v>No</v>
      </c>
    </row>
    <row r="317" spans="1:10" x14ac:dyDescent="0.35">
      <c r="A317" t="s">
        <v>0</v>
      </c>
      <c r="B317" t="s">
        <v>551</v>
      </c>
      <c r="D317" t="s">
        <v>552</v>
      </c>
      <c r="E317" t="str">
        <f>IFERROR(VLOOKUP(C317,'New Adm Data (Mar to July)'!C:D,2,),"-")</f>
        <v>-</v>
      </c>
      <c r="F317">
        <f>IFERROR(VLOOKUP(D317,'New Adm Data (Aug to Nov)'!C:D,2,),"-")</f>
        <v>0</v>
      </c>
      <c r="G317" t="s">
        <v>1316</v>
      </c>
      <c r="H317" t="str">
        <f t="shared" si="12"/>
        <v>No</v>
      </c>
      <c r="I317" t="str">
        <f t="shared" si="13"/>
        <v>No</v>
      </c>
      <c r="J317" t="str">
        <f t="shared" si="14"/>
        <v>No</v>
      </c>
    </row>
    <row r="318" spans="1:10" x14ac:dyDescent="0.35">
      <c r="A318" t="s">
        <v>0</v>
      </c>
      <c r="B318" t="s">
        <v>556</v>
      </c>
      <c r="D318" t="s">
        <v>557</v>
      </c>
      <c r="E318" t="str">
        <f>IFERROR(VLOOKUP(C318,'New Adm Data (Mar to July)'!C:D,2,),"-")</f>
        <v>-</v>
      </c>
      <c r="F318">
        <f>IFERROR(VLOOKUP(D318,'New Adm Data (Aug to Nov)'!C:D,2,),"-")</f>
        <v>0</v>
      </c>
      <c r="G318" t="s">
        <v>1316</v>
      </c>
      <c r="H318" t="str">
        <f t="shared" si="12"/>
        <v>No</v>
      </c>
      <c r="I318" t="str">
        <f t="shared" si="13"/>
        <v>No</v>
      </c>
      <c r="J318" t="str">
        <f t="shared" si="14"/>
        <v>No</v>
      </c>
    </row>
    <row r="319" spans="1:10" x14ac:dyDescent="0.35">
      <c r="A319" t="s">
        <v>0</v>
      </c>
      <c r="B319" t="s">
        <v>558</v>
      </c>
      <c r="D319" t="s">
        <v>559</v>
      </c>
      <c r="E319" t="str">
        <f>IFERROR(VLOOKUP(C319,'New Adm Data (Mar to July)'!C:D,2,),"-")</f>
        <v>-</v>
      </c>
      <c r="F319">
        <f>IFERROR(VLOOKUP(D319,'New Adm Data (Aug to Nov)'!C:D,2,),"-")</f>
        <v>0</v>
      </c>
      <c r="G319" t="s">
        <v>1316</v>
      </c>
      <c r="H319" t="str">
        <f t="shared" si="12"/>
        <v>No</v>
      </c>
      <c r="I319" t="str">
        <f t="shared" si="13"/>
        <v>No</v>
      </c>
      <c r="J319" t="str">
        <f t="shared" si="14"/>
        <v>No</v>
      </c>
    </row>
    <row r="320" spans="1:10" x14ac:dyDescent="0.35">
      <c r="A320" t="s">
        <v>0</v>
      </c>
      <c r="B320" t="s">
        <v>562</v>
      </c>
      <c r="D320" t="s">
        <v>563</v>
      </c>
      <c r="E320" t="str">
        <f>IFERROR(VLOOKUP(C320,'New Adm Data (Mar to July)'!C:D,2,),"-")</f>
        <v>-</v>
      </c>
      <c r="F320">
        <f>IFERROR(VLOOKUP(D320,'New Adm Data (Aug to Nov)'!C:D,2,),"-")</f>
        <v>0</v>
      </c>
      <c r="G320" t="s">
        <v>1316</v>
      </c>
      <c r="H320" t="str">
        <f t="shared" si="12"/>
        <v>No</v>
      </c>
      <c r="I320" t="str">
        <f t="shared" si="13"/>
        <v>No</v>
      </c>
      <c r="J320" t="str">
        <f t="shared" si="14"/>
        <v>No</v>
      </c>
    </row>
    <row r="321" spans="1:10" x14ac:dyDescent="0.35">
      <c r="A321" t="s">
        <v>0</v>
      </c>
      <c r="B321" t="s">
        <v>566</v>
      </c>
      <c r="D321" t="s">
        <v>567</v>
      </c>
      <c r="E321" t="str">
        <f>IFERROR(VLOOKUP(C321,'New Adm Data (Mar to July)'!C:D,2,),"-")</f>
        <v>-</v>
      </c>
      <c r="F321">
        <f>IFERROR(VLOOKUP(D321,'New Adm Data (Aug to Nov)'!C:D,2,),"-")</f>
        <v>0</v>
      </c>
      <c r="G321" t="s">
        <v>1316</v>
      </c>
      <c r="H321" t="str">
        <f t="shared" si="12"/>
        <v>No</v>
      </c>
      <c r="I321" t="str">
        <f t="shared" si="13"/>
        <v>No</v>
      </c>
      <c r="J321" t="str">
        <f t="shared" si="14"/>
        <v>No</v>
      </c>
    </row>
    <row r="322" spans="1:10" x14ac:dyDescent="0.35">
      <c r="A322" t="s">
        <v>0</v>
      </c>
      <c r="B322" t="s">
        <v>568</v>
      </c>
      <c r="D322" t="s">
        <v>569</v>
      </c>
      <c r="E322" t="str">
        <f>IFERROR(VLOOKUP(C322,'New Adm Data (Mar to July)'!C:D,2,),"-")</f>
        <v>-</v>
      </c>
      <c r="F322">
        <f>IFERROR(VLOOKUP(D322,'New Adm Data (Aug to Nov)'!C:D,2,),"-")</f>
        <v>0</v>
      </c>
      <c r="G322" t="s">
        <v>1316</v>
      </c>
      <c r="H322" t="str">
        <f t="shared" si="12"/>
        <v>No</v>
      </c>
      <c r="I322" t="str">
        <f t="shared" si="13"/>
        <v>No</v>
      </c>
      <c r="J322" t="str">
        <f t="shared" si="14"/>
        <v>No</v>
      </c>
    </row>
    <row r="323" spans="1:10" x14ac:dyDescent="0.35">
      <c r="A323" t="s">
        <v>0</v>
      </c>
      <c r="B323" t="s">
        <v>572</v>
      </c>
      <c r="D323" t="s">
        <v>573</v>
      </c>
      <c r="E323" t="str">
        <f>IFERROR(VLOOKUP(C323,'New Adm Data (Mar to July)'!C:D,2,),"-")</f>
        <v>-</v>
      </c>
      <c r="F323">
        <f>IFERROR(VLOOKUP(D323,'New Adm Data (Aug to Nov)'!C:D,2,),"-")</f>
        <v>0</v>
      </c>
      <c r="G323" t="s">
        <v>1316</v>
      </c>
      <c r="H323" t="str">
        <f t="shared" ref="H323:H386" si="15">IF(G323&lt;&gt;"Yes",IF(SUM(E323:F323)&gt;228,"Yes","No"),"No")</f>
        <v>No</v>
      </c>
      <c r="I323" t="str">
        <f t="shared" ref="I323:I386" si="16">IF(G323="Yes",IF(SUM(E323:F323)&gt;228,"Yes","No"),"No")</f>
        <v>No</v>
      </c>
      <c r="J323" t="str">
        <f t="shared" ref="J323:J386" si="17">IF(H323="Yes","Yes",IF(I323="Yes","Yes","No"))</f>
        <v>No</v>
      </c>
    </row>
    <row r="324" spans="1:10" x14ac:dyDescent="0.35">
      <c r="A324" t="s">
        <v>0</v>
      </c>
      <c r="B324" t="s">
        <v>574</v>
      </c>
      <c r="D324" t="s">
        <v>575</v>
      </c>
      <c r="E324" t="str">
        <f>IFERROR(VLOOKUP(C324,'New Adm Data (Mar to July)'!C:D,2,),"-")</f>
        <v>-</v>
      </c>
      <c r="F324">
        <f>IFERROR(VLOOKUP(D324,'New Adm Data (Aug to Nov)'!C:D,2,),"-")</f>
        <v>0</v>
      </c>
      <c r="G324" t="s">
        <v>1316</v>
      </c>
      <c r="H324" t="str">
        <f t="shared" si="15"/>
        <v>No</v>
      </c>
      <c r="I324" t="str">
        <f t="shared" si="16"/>
        <v>No</v>
      </c>
      <c r="J324" t="str">
        <f t="shared" si="17"/>
        <v>No</v>
      </c>
    </row>
    <row r="325" spans="1:10" x14ac:dyDescent="0.35">
      <c r="A325" t="s">
        <v>0</v>
      </c>
      <c r="B325" t="s">
        <v>576</v>
      </c>
      <c r="D325" t="s">
        <v>577</v>
      </c>
      <c r="E325" t="str">
        <f>IFERROR(VLOOKUP(C325,'New Adm Data (Mar to July)'!C:D,2,),"-")</f>
        <v>-</v>
      </c>
      <c r="F325">
        <f>IFERROR(VLOOKUP(D325,'New Adm Data (Aug to Nov)'!C:D,2,),"-")</f>
        <v>0</v>
      </c>
      <c r="G325" t="s">
        <v>1316</v>
      </c>
      <c r="H325" t="str">
        <f t="shared" si="15"/>
        <v>No</v>
      </c>
      <c r="I325" t="str">
        <f t="shared" si="16"/>
        <v>No</v>
      </c>
      <c r="J325" t="str">
        <f t="shared" si="17"/>
        <v>No</v>
      </c>
    </row>
    <row r="326" spans="1:10" x14ac:dyDescent="0.35">
      <c r="A326" t="s">
        <v>0</v>
      </c>
      <c r="B326" t="s">
        <v>578</v>
      </c>
      <c r="D326" t="s">
        <v>579</v>
      </c>
      <c r="E326" t="str">
        <f>IFERROR(VLOOKUP(C326,'New Adm Data (Mar to July)'!C:D,2,),"-")</f>
        <v>-</v>
      </c>
      <c r="F326">
        <f>IFERROR(VLOOKUP(D326,'New Adm Data (Aug to Nov)'!C:D,2,),"-")</f>
        <v>0</v>
      </c>
      <c r="G326" t="s">
        <v>1316</v>
      </c>
      <c r="H326" t="str">
        <f t="shared" si="15"/>
        <v>No</v>
      </c>
      <c r="I326" t="str">
        <f t="shared" si="16"/>
        <v>No</v>
      </c>
      <c r="J326" t="str">
        <f t="shared" si="17"/>
        <v>No</v>
      </c>
    </row>
    <row r="327" spans="1:10" x14ac:dyDescent="0.35">
      <c r="A327" t="s">
        <v>0</v>
      </c>
      <c r="B327" t="s">
        <v>580</v>
      </c>
      <c r="D327" t="s">
        <v>581</v>
      </c>
      <c r="E327" t="str">
        <f>IFERROR(VLOOKUP(C327,'New Adm Data (Mar to July)'!C:D,2,),"-")</f>
        <v>-</v>
      </c>
      <c r="F327">
        <f>IFERROR(VLOOKUP(D327,'New Adm Data (Aug to Nov)'!C:D,2,),"-")</f>
        <v>0</v>
      </c>
      <c r="G327" t="s">
        <v>1316</v>
      </c>
      <c r="H327" t="str">
        <f t="shared" si="15"/>
        <v>No</v>
      </c>
      <c r="I327" t="str">
        <f t="shared" si="16"/>
        <v>No</v>
      </c>
      <c r="J327" t="str">
        <f t="shared" si="17"/>
        <v>No</v>
      </c>
    </row>
    <row r="328" spans="1:10" x14ac:dyDescent="0.35">
      <c r="A328" t="s">
        <v>0</v>
      </c>
      <c r="B328" t="s">
        <v>582</v>
      </c>
      <c r="D328" t="s">
        <v>583</v>
      </c>
      <c r="E328" t="str">
        <f>IFERROR(VLOOKUP(C328,'New Adm Data (Mar to July)'!C:D,2,),"-")</f>
        <v>-</v>
      </c>
      <c r="F328">
        <f>IFERROR(VLOOKUP(D328,'New Adm Data (Aug to Nov)'!C:D,2,),"-")</f>
        <v>0</v>
      </c>
      <c r="G328" t="s">
        <v>1316</v>
      </c>
      <c r="H328" t="str">
        <f t="shared" si="15"/>
        <v>No</v>
      </c>
      <c r="I328" t="str">
        <f t="shared" si="16"/>
        <v>No</v>
      </c>
      <c r="J328" t="str">
        <f t="shared" si="17"/>
        <v>No</v>
      </c>
    </row>
    <row r="329" spans="1:10" x14ac:dyDescent="0.35">
      <c r="A329" t="s">
        <v>0</v>
      </c>
      <c r="B329" t="s">
        <v>584</v>
      </c>
      <c r="D329" t="s">
        <v>585</v>
      </c>
      <c r="E329" t="str">
        <f>IFERROR(VLOOKUP(C329,'New Adm Data (Mar to July)'!C:D,2,),"-")</f>
        <v>-</v>
      </c>
      <c r="F329">
        <f>IFERROR(VLOOKUP(D329,'New Adm Data (Aug to Nov)'!C:D,2,),"-")</f>
        <v>0</v>
      </c>
      <c r="G329" t="s">
        <v>1316</v>
      </c>
      <c r="H329" t="str">
        <f t="shared" si="15"/>
        <v>No</v>
      </c>
      <c r="I329" t="str">
        <f t="shared" si="16"/>
        <v>No</v>
      </c>
      <c r="J329" t="str">
        <f t="shared" si="17"/>
        <v>No</v>
      </c>
    </row>
    <row r="330" spans="1:10" x14ac:dyDescent="0.35">
      <c r="A330" t="s">
        <v>0</v>
      </c>
      <c r="B330" t="s">
        <v>586</v>
      </c>
      <c r="D330" t="s">
        <v>587</v>
      </c>
      <c r="E330" t="str">
        <f>IFERROR(VLOOKUP(C330,'New Adm Data (Mar to July)'!C:D,2,),"-")</f>
        <v>-</v>
      </c>
      <c r="F330">
        <f>IFERROR(VLOOKUP(D330,'New Adm Data (Aug to Nov)'!C:D,2,),"-")</f>
        <v>0</v>
      </c>
      <c r="G330" t="s">
        <v>1316</v>
      </c>
      <c r="H330" t="str">
        <f t="shared" si="15"/>
        <v>No</v>
      </c>
      <c r="I330" t="str">
        <f t="shared" si="16"/>
        <v>No</v>
      </c>
      <c r="J330" t="str">
        <f t="shared" si="17"/>
        <v>No</v>
      </c>
    </row>
    <row r="331" spans="1:10" x14ac:dyDescent="0.35">
      <c r="A331" t="s">
        <v>0</v>
      </c>
      <c r="B331" t="s">
        <v>588</v>
      </c>
      <c r="D331" t="s">
        <v>589</v>
      </c>
      <c r="E331" t="str">
        <f>IFERROR(VLOOKUP(C331,'New Adm Data (Mar to July)'!C:D,2,),"-")</f>
        <v>-</v>
      </c>
      <c r="F331">
        <f>IFERROR(VLOOKUP(D331,'New Adm Data (Aug to Nov)'!C:D,2,),"-")</f>
        <v>0</v>
      </c>
      <c r="G331" t="s">
        <v>1316</v>
      </c>
      <c r="H331" t="str">
        <f t="shared" si="15"/>
        <v>No</v>
      </c>
      <c r="I331" t="str">
        <f t="shared" si="16"/>
        <v>No</v>
      </c>
      <c r="J331" t="str">
        <f t="shared" si="17"/>
        <v>No</v>
      </c>
    </row>
    <row r="332" spans="1:10" x14ac:dyDescent="0.35">
      <c r="A332" t="s">
        <v>0</v>
      </c>
      <c r="B332" t="s">
        <v>590</v>
      </c>
      <c r="D332" t="s">
        <v>591</v>
      </c>
      <c r="E332" t="str">
        <f>IFERROR(VLOOKUP(C332,'New Adm Data (Mar to July)'!C:D,2,),"-")</f>
        <v>-</v>
      </c>
      <c r="F332">
        <f>IFERROR(VLOOKUP(D332,'New Adm Data (Aug to Nov)'!C:D,2,),"-")</f>
        <v>0</v>
      </c>
      <c r="G332" t="s">
        <v>1316</v>
      </c>
      <c r="H332" t="str">
        <f t="shared" si="15"/>
        <v>No</v>
      </c>
      <c r="I332" t="str">
        <f t="shared" si="16"/>
        <v>No</v>
      </c>
      <c r="J332" t="str">
        <f t="shared" si="17"/>
        <v>No</v>
      </c>
    </row>
    <row r="333" spans="1:10" x14ac:dyDescent="0.35">
      <c r="A333" t="s">
        <v>0</v>
      </c>
      <c r="B333" t="s">
        <v>592</v>
      </c>
      <c r="D333" t="s">
        <v>593</v>
      </c>
      <c r="E333" t="str">
        <f>IFERROR(VLOOKUP(C333,'New Adm Data (Mar to July)'!C:D,2,),"-")</f>
        <v>-</v>
      </c>
      <c r="F333">
        <f>IFERROR(VLOOKUP(D333,'New Adm Data (Aug to Nov)'!C:D,2,),"-")</f>
        <v>0</v>
      </c>
      <c r="G333" t="s">
        <v>1316</v>
      </c>
      <c r="H333" t="str">
        <f t="shared" si="15"/>
        <v>No</v>
      </c>
      <c r="I333" t="str">
        <f t="shared" si="16"/>
        <v>No</v>
      </c>
      <c r="J333" t="str">
        <f t="shared" si="17"/>
        <v>No</v>
      </c>
    </row>
    <row r="334" spans="1:10" x14ac:dyDescent="0.35">
      <c r="A334" t="s">
        <v>0</v>
      </c>
      <c r="B334" t="s">
        <v>594</v>
      </c>
      <c r="D334" t="s">
        <v>595</v>
      </c>
      <c r="E334" t="str">
        <f>IFERROR(VLOOKUP(C334,'New Adm Data (Mar to July)'!C:D,2,),"-")</f>
        <v>-</v>
      </c>
      <c r="F334">
        <f>IFERROR(VLOOKUP(D334,'New Adm Data (Aug to Nov)'!C:D,2,),"-")</f>
        <v>0</v>
      </c>
      <c r="G334" t="s">
        <v>1316</v>
      </c>
      <c r="H334" t="str">
        <f t="shared" si="15"/>
        <v>No</v>
      </c>
      <c r="I334" t="str">
        <f t="shared" si="16"/>
        <v>No</v>
      </c>
      <c r="J334" t="str">
        <f t="shared" si="17"/>
        <v>No</v>
      </c>
    </row>
    <row r="335" spans="1:10" x14ac:dyDescent="0.35">
      <c r="A335" t="s">
        <v>0</v>
      </c>
      <c r="B335" t="s">
        <v>596</v>
      </c>
      <c r="D335" t="s">
        <v>597</v>
      </c>
      <c r="E335" t="str">
        <f>IFERROR(VLOOKUP(C335,'New Adm Data (Mar to July)'!C:D,2,),"-")</f>
        <v>-</v>
      </c>
      <c r="F335">
        <f>IFERROR(VLOOKUP(D335,'New Adm Data (Aug to Nov)'!C:D,2,),"-")</f>
        <v>0</v>
      </c>
      <c r="G335" t="s">
        <v>1316</v>
      </c>
      <c r="H335" t="str">
        <f t="shared" si="15"/>
        <v>No</v>
      </c>
      <c r="I335" t="str">
        <f t="shared" si="16"/>
        <v>No</v>
      </c>
      <c r="J335" t="str">
        <f t="shared" si="17"/>
        <v>No</v>
      </c>
    </row>
    <row r="336" spans="1:10" x14ac:dyDescent="0.35">
      <c r="A336" t="s">
        <v>0</v>
      </c>
      <c r="B336" t="s">
        <v>598</v>
      </c>
      <c r="D336" t="s">
        <v>599</v>
      </c>
      <c r="E336" t="str">
        <f>IFERROR(VLOOKUP(C336,'New Adm Data (Mar to July)'!C:D,2,),"-")</f>
        <v>-</v>
      </c>
      <c r="F336">
        <f>IFERROR(VLOOKUP(D336,'New Adm Data (Aug to Nov)'!C:D,2,),"-")</f>
        <v>0</v>
      </c>
      <c r="G336" t="s">
        <v>1316</v>
      </c>
      <c r="H336" t="str">
        <f t="shared" si="15"/>
        <v>No</v>
      </c>
      <c r="I336" t="str">
        <f t="shared" si="16"/>
        <v>No</v>
      </c>
      <c r="J336" t="str">
        <f t="shared" si="17"/>
        <v>No</v>
      </c>
    </row>
    <row r="337" spans="1:10" x14ac:dyDescent="0.35">
      <c r="A337" t="s">
        <v>0</v>
      </c>
      <c r="B337" t="s">
        <v>600</v>
      </c>
      <c r="D337" t="s">
        <v>601</v>
      </c>
      <c r="E337" t="str">
        <f>IFERROR(VLOOKUP(C337,'New Adm Data (Mar to July)'!C:D,2,),"-")</f>
        <v>-</v>
      </c>
      <c r="F337">
        <f>IFERROR(VLOOKUP(D337,'New Adm Data (Aug to Nov)'!C:D,2,),"-")</f>
        <v>0</v>
      </c>
      <c r="G337" t="s">
        <v>1316</v>
      </c>
      <c r="H337" t="str">
        <f t="shared" si="15"/>
        <v>No</v>
      </c>
      <c r="I337" t="str">
        <f t="shared" si="16"/>
        <v>No</v>
      </c>
      <c r="J337" t="str">
        <f t="shared" si="17"/>
        <v>No</v>
      </c>
    </row>
    <row r="338" spans="1:10" x14ac:dyDescent="0.35">
      <c r="A338" t="s">
        <v>0</v>
      </c>
      <c r="B338" t="s">
        <v>602</v>
      </c>
      <c r="D338" t="s">
        <v>603</v>
      </c>
      <c r="E338" t="str">
        <f>IFERROR(VLOOKUP(C338,'New Adm Data (Mar to July)'!C:D,2,),"-")</f>
        <v>-</v>
      </c>
      <c r="F338">
        <f>IFERROR(VLOOKUP(D338,'New Adm Data (Aug to Nov)'!C:D,2,),"-")</f>
        <v>0</v>
      </c>
      <c r="G338" t="s">
        <v>1316</v>
      </c>
      <c r="H338" t="str">
        <f t="shared" si="15"/>
        <v>No</v>
      </c>
      <c r="I338" t="str">
        <f t="shared" si="16"/>
        <v>No</v>
      </c>
      <c r="J338" t="str">
        <f t="shared" si="17"/>
        <v>No</v>
      </c>
    </row>
    <row r="339" spans="1:10" x14ac:dyDescent="0.35">
      <c r="A339" t="s">
        <v>0</v>
      </c>
      <c r="B339" t="s">
        <v>604</v>
      </c>
      <c r="D339" t="s">
        <v>605</v>
      </c>
      <c r="E339" t="str">
        <f>IFERROR(VLOOKUP(C339,'New Adm Data (Mar to July)'!C:D,2,),"-")</f>
        <v>-</v>
      </c>
      <c r="F339">
        <f>IFERROR(VLOOKUP(D339,'New Adm Data (Aug to Nov)'!C:D,2,),"-")</f>
        <v>0</v>
      </c>
      <c r="G339" t="s">
        <v>1316</v>
      </c>
      <c r="H339" t="str">
        <f t="shared" si="15"/>
        <v>No</v>
      </c>
      <c r="I339" t="str">
        <f t="shared" si="16"/>
        <v>No</v>
      </c>
      <c r="J339" t="str">
        <f t="shared" si="17"/>
        <v>No</v>
      </c>
    </row>
    <row r="340" spans="1:10" x14ac:dyDescent="0.35">
      <c r="A340" t="s">
        <v>0</v>
      </c>
      <c r="B340" t="s">
        <v>606</v>
      </c>
      <c r="D340" t="s">
        <v>607</v>
      </c>
      <c r="E340" t="str">
        <f>IFERROR(VLOOKUP(C340,'New Adm Data (Mar to July)'!C:D,2,),"-")</f>
        <v>-</v>
      </c>
      <c r="F340">
        <f>IFERROR(VLOOKUP(D340,'New Adm Data (Aug to Nov)'!C:D,2,),"-")</f>
        <v>0</v>
      </c>
      <c r="G340" t="s">
        <v>1316</v>
      </c>
      <c r="H340" t="str">
        <f t="shared" si="15"/>
        <v>No</v>
      </c>
      <c r="I340" t="str">
        <f t="shared" si="16"/>
        <v>No</v>
      </c>
      <c r="J340" t="str">
        <f t="shared" si="17"/>
        <v>No</v>
      </c>
    </row>
    <row r="341" spans="1:10" x14ac:dyDescent="0.35">
      <c r="A341" t="s">
        <v>0</v>
      </c>
      <c r="B341" t="s">
        <v>608</v>
      </c>
      <c r="D341" t="s">
        <v>609</v>
      </c>
      <c r="E341" t="str">
        <f>IFERROR(VLOOKUP(C341,'New Adm Data (Mar to July)'!C:D,2,),"-")</f>
        <v>-</v>
      </c>
      <c r="F341">
        <f>IFERROR(VLOOKUP(D341,'New Adm Data (Aug to Nov)'!C:D,2,),"-")</f>
        <v>0</v>
      </c>
      <c r="G341" t="s">
        <v>1316</v>
      </c>
      <c r="H341" t="str">
        <f t="shared" si="15"/>
        <v>No</v>
      </c>
      <c r="I341" t="str">
        <f t="shared" si="16"/>
        <v>No</v>
      </c>
      <c r="J341" t="str">
        <f t="shared" si="17"/>
        <v>No</v>
      </c>
    </row>
    <row r="342" spans="1:10" x14ac:dyDescent="0.35">
      <c r="A342" t="s">
        <v>0</v>
      </c>
      <c r="B342" t="s">
        <v>610</v>
      </c>
      <c r="D342" t="s">
        <v>611</v>
      </c>
      <c r="E342" t="str">
        <f>IFERROR(VLOOKUP(C342,'New Adm Data (Mar to July)'!C:D,2,),"-")</f>
        <v>-</v>
      </c>
      <c r="F342">
        <f>IFERROR(VLOOKUP(D342,'New Adm Data (Aug to Nov)'!C:D,2,),"-")</f>
        <v>0</v>
      </c>
      <c r="G342" t="s">
        <v>1316</v>
      </c>
      <c r="H342" t="str">
        <f t="shared" si="15"/>
        <v>No</v>
      </c>
      <c r="I342" t="str">
        <f t="shared" si="16"/>
        <v>No</v>
      </c>
      <c r="J342" t="str">
        <f t="shared" si="17"/>
        <v>No</v>
      </c>
    </row>
    <row r="343" spans="1:10" x14ac:dyDescent="0.35">
      <c r="A343" t="s">
        <v>0</v>
      </c>
      <c r="B343" t="s">
        <v>612</v>
      </c>
      <c r="D343" t="s">
        <v>613</v>
      </c>
      <c r="E343" t="str">
        <f>IFERROR(VLOOKUP(C343,'New Adm Data (Mar to July)'!C:D,2,),"-")</f>
        <v>-</v>
      </c>
      <c r="F343">
        <f>IFERROR(VLOOKUP(D343,'New Adm Data (Aug to Nov)'!C:D,2,),"-")</f>
        <v>0</v>
      </c>
      <c r="G343" t="s">
        <v>1316</v>
      </c>
      <c r="H343" t="str">
        <f t="shared" si="15"/>
        <v>No</v>
      </c>
      <c r="I343" t="str">
        <f t="shared" si="16"/>
        <v>No</v>
      </c>
      <c r="J343" t="str">
        <f t="shared" si="17"/>
        <v>No</v>
      </c>
    </row>
    <row r="344" spans="1:10" x14ac:dyDescent="0.35">
      <c r="A344" t="s">
        <v>0</v>
      </c>
      <c r="B344" t="s">
        <v>614</v>
      </c>
      <c r="D344" t="s">
        <v>615</v>
      </c>
      <c r="E344" t="str">
        <f>IFERROR(VLOOKUP(C344,'New Adm Data (Mar to July)'!C:D,2,),"-")</f>
        <v>-</v>
      </c>
      <c r="F344">
        <f>IFERROR(VLOOKUP(D344,'New Adm Data (Aug to Nov)'!C:D,2,),"-")</f>
        <v>0</v>
      </c>
      <c r="G344" t="s">
        <v>1316</v>
      </c>
      <c r="H344" t="str">
        <f t="shared" si="15"/>
        <v>No</v>
      </c>
      <c r="I344" t="str">
        <f t="shared" si="16"/>
        <v>No</v>
      </c>
      <c r="J344" t="str">
        <f t="shared" si="17"/>
        <v>No</v>
      </c>
    </row>
    <row r="345" spans="1:10" x14ac:dyDescent="0.35">
      <c r="A345" t="s">
        <v>73</v>
      </c>
      <c r="B345" t="s">
        <v>76</v>
      </c>
      <c r="D345" t="s">
        <v>638</v>
      </c>
      <c r="E345" t="str">
        <f>IFERROR(VLOOKUP(C345,'New Adm Data (Mar to July)'!C:D,2,),"-")</f>
        <v>-</v>
      </c>
      <c r="F345">
        <f>IFERROR(VLOOKUP(D345,'New Adm Data (Aug to Nov)'!C:D,2,),"-")</f>
        <v>0</v>
      </c>
      <c r="G345" t="s">
        <v>1316</v>
      </c>
      <c r="H345" t="str">
        <f t="shared" si="15"/>
        <v>No</v>
      </c>
      <c r="I345" t="str">
        <f t="shared" si="16"/>
        <v>No</v>
      </c>
      <c r="J345" t="str">
        <f t="shared" si="17"/>
        <v>No</v>
      </c>
    </row>
    <row r="346" spans="1:10" x14ac:dyDescent="0.35">
      <c r="A346" t="s">
        <v>73</v>
      </c>
      <c r="B346" t="s">
        <v>639</v>
      </c>
      <c r="D346" t="s">
        <v>640</v>
      </c>
      <c r="E346" t="str">
        <f>IFERROR(VLOOKUP(C346,'New Adm Data (Mar to July)'!C:D,2,),"-")</f>
        <v>-</v>
      </c>
      <c r="F346">
        <f>IFERROR(VLOOKUP(D346,'New Adm Data (Aug to Nov)'!C:D,2,),"-")</f>
        <v>1</v>
      </c>
      <c r="G346" t="s">
        <v>1316</v>
      </c>
      <c r="H346" t="str">
        <f t="shared" si="15"/>
        <v>No</v>
      </c>
      <c r="I346" t="str">
        <f t="shared" si="16"/>
        <v>No</v>
      </c>
      <c r="J346" t="str">
        <f t="shared" si="17"/>
        <v>No</v>
      </c>
    </row>
    <row r="347" spans="1:10" x14ac:dyDescent="0.35">
      <c r="A347" t="s">
        <v>73</v>
      </c>
      <c r="B347" t="s">
        <v>642</v>
      </c>
      <c r="D347" t="s">
        <v>643</v>
      </c>
      <c r="E347" t="str">
        <f>IFERROR(VLOOKUP(C347,'New Adm Data (Mar to July)'!C:D,2,),"-")</f>
        <v>-</v>
      </c>
      <c r="F347">
        <f>IFERROR(VLOOKUP(D347,'New Adm Data (Aug to Nov)'!C:D,2,),"-")</f>
        <v>0</v>
      </c>
      <c r="G347" t="s">
        <v>1316</v>
      </c>
      <c r="H347" t="str">
        <f t="shared" si="15"/>
        <v>No</v>
      </c>
      <c r="I347" t="str">
        <f t="shared" si="16"/>
        <v>No</v>
      </c>
      <c r="J347" t="str">
        <f t="shared" si="17"/>
        <v>No</v>
      </c>
    </row>
    <row r="348" spans="1:10" x14ac:dyDescent="0.35">
      <c r="A348" t="s">
        <v>73</v>
      </c>
      <c r="B348" t="s">
        <v>644</v>
      </c>
      <c r="D348" t="s">
        <v>645</v>
      </c>
      <c r="E348" t="str">
        <f>IFERROR(VLOOKUP(C348,'New Adm Data (Mar to July)'!C:D,2,),"-")</f>
        <v>-</v>
      </c>
      <c r="F348">
        <f>IFERROR(VLOOKUP(D348,'New Adm Data (Aug to Nov)'!C:D,2,),"-")</f>
        <v>0</v>
      </c>
      <c r="G348" t="s">
        <v>1316</v>
      </c>
      <c r="H348" t="str">
        <f t="shared" si="15"/>
        <v>No</v>
      </c>
      <c r="I348" t="str">
        <f t="shared" si="16"/>
        <v>No</v>
      </c>
      <c r="J348" t="str">
        <f t="shared" si="17"/>
        <v>No</v>
      </c>
    </row>
    <row r="349" spans="1:10" x14ac:dyDescent="0.35">
      <c r="A349" t="s">
        <v>73</v>
      </c>
      <c r="B349" t="s">
        <v>646</v>
      </c>
      <c r="D349" t="s">
        <v>647</v>
      </c>
      <c r="E349" t="str">
        <f>IFERROR(VLOOKUP(C349,'New Adm Data (Mar to July)'!C:D,2,),"-")</f>
        <v>-</v>
      </c>
      <c r="F349">
        <f>IFERROR(VLOOKUP(D349,'New Adm Data (Aug to Nov)'!C:D,2,),"-")</f>
        <v>0</v>
      </c>
      <c r="G349" t="s">
        <v>1316</v>
      </c>
      <c r="H349" t="str">
        <f t="shared" si="15"/>
        <v>No</v>
      </c>
      <c r="I349" t="str">
        <f t="shared" si="16"/>
        <v>No</v>
      </c>
      <c r="J349" t="str">
        <f t="shared" si="17"/>
        <v>No</v>
      </c>
    </row>
    <row r="350" spans="1:10" x14ac:dyDescent="0.35">
      <c r="A350" t="s">
        <v>73</v>
      </c>
      <c r="B350" t="s">
        <v>648</v>
      </c>
      <c r="D350" t="s">
        <v>649</v>
      </c>
      <c r="E350" t="str">
        <f>IFERROR(VLOOKUP(C350,'New Adm Data (Mar to July)'!C:D,2,),"-")</f>
        <v>-</v>
      </c>
      <c r="F350">
        <f>IFERROR(VLOOKUP(D350,'New Adm Data (Aug to Nov)'!C:D,2,),"-")</f>
        <v>0</v>
      </c>
      <c r="G350" t="s">
        <v>1316</v>
      </c>
      <c r="H350" t="str">
        <f t="shared" si="15"/>
        <v>No</v>
      </c>
      <c r="I350" t="str">
        <f t="shared" si="16"/>
        <v>No</v>
      </c>
      <c r="J350" t="str">
        <f t="shared" si="17"/>
        <v>No</v>
      </c>
    </row>
    <row r="351" spans="1:10" x14ac:dyDescent="0.35">
      <c r="A351" t="s">
        <v>73</v>
      </c>
      <c r="B351" t="s">
        <v>650</v>
      </c>
      <c r="D351" t="s">
        <v>651</v>
      </c>
      <c r="E351" t="str">
        <f>IFERROR(VLOOKUP(C351,'New Adm Data (Mar to July)'!C:D,2,),"-")</f>
        <v>-</v>
      </c>
      <c r="F351">
        <f>IFERROR(VLOOKUP(D351,'New Adm Data (Aug to Nov)'!C:D,2,),"-")</f>
        <v>0</v>
      </c>
      <c r="G351" t="s">
        <v>1316</v>
      </c>
      <c r="H351" t="str">
        <f t="shared" si="15"/>
        <v>No</v>
      </c>
      <c r="I351" t="str">
        <f t="shared" si="16"/>
        <v>No</v>
      </c>
      <c r="J351" t="str">
        <f t="shared" si="17"/>
        <v>No</v>
      </c>
    </row>
    <row r="352" spans="1:10" x14ac:dyDescent="0.35">
      <c r="A352" t="s">
        <v>73</v>
      </c>
      <c r="B352" t="s">
        <v>652</v>
      </c>
      <c r="D352" t="s">
        <v>653</v>
      </c>
      <c r="E352" t="str">
        <f>IFERROR(VLOOKUP(C352,'New Adm Data (Mar to July)'!C:D,2,),"-")</f>
        <v>-</v>
      </c>
      <c r="F352">
        <f>IFERROR(VLOOKUP(D352,'New Adm Data (Aug to Nov)'!C:D,2,),"-")</f>
        <v>0</v>
      </c>
      <c r="G352" t="s">
        <v>1316</v>
      </c>
      <c r="H352" t="str">
        <f t="shared" si="15"/>
        <v>No</v>
      </c>
      <c r="I352" t="str">
        <f t="shared" si="16"/>
        <v>No</v>
      </c>
      <c r="J352" t="str">
        <f t="shared" si="17"/>
        <v>No</v>
      </c>
    </row>
    <row r="353" spans="1:10" x14ac:dyDescent="0.35">
      <c r="A353" t="s">
        <v>73</v>
      </c>
      <c r="B353" t="s">
        <v>656</v>
      </c>
      <c r="D353" t="s">
        <v>657</v>
      </c>
      <c r="E353" t="str">
        <f>IFERROR(VLOOKUP(C353,'New Adm Data (Mar to July)'!C:D,2,),"-")</f>
        <v>-</v>
      </c>
      <c r="F353">
        <f>IFERROR(VLOOKUP(D353,'New Adm Data (Aug to Nov)'!C:D,2,),"-")</f>
        <v>0</v>
      </c>
      <c r="G353" t="s">
        <v>1316</v>
      </c>
      <c r="H353" t="str">
        <f t="shared" si="15"/>
        <v>No</v>
      </c>
      <c r="I353" t="str">
        <f t="shared" si="16"/>
        <v>No</v>
      </c>
      <c r="J353" t="str">
        <f t="shared" si="17"/>
        <v>No</v>
      </c>
    </row>
    <row r="354" spans="1:10" x14ac:dyDescent="0.35">
      <c r="A354" t="s">
        <v>73</v>
      </c>
      <c r="B354" t="s">
        <v>658</v>
      </c>
      <c r="D354" t="s">
        <v>659</v>
      </c>
      <c r="E354" t="str">
        <f>IFERROR(VLOOKUP(C354,'New Adm Data (Mar to July)'!C:D,2,),"-")</f>
        <v>-</v>
      </c>
      <c r="F354">
        <f>IFERROR(VLOOKUP(D354,'New Adm Data (Aug to Nov)'!C:D,2,),"-")</f>
        <v>0</v>
      </c>
      <c r="G354" t="s">
        <v>1316</v>
      </c>
      <c r="H354" t="str">
        <f t="shared" si="15"/>
        <v>No</v>
      </c>
      <c r="I354" t="str">
        <f t="shared" si="16"/>
        <v>No</v>
      </c>
      <c r="J354" t="str">
        <f t="shared" si="17"/>
        <v>No</v>
      </c>
    </row>
    <row r="355" spans="1:10" x14ac:dyDescent="0.35">
      <c r="A355" t="s">
        <v>73</v>
      </c>
      <c r="B355" t="s">
        <v>660</v>
      </c>
      <c r="D355" t="s">
        <v>661</v>
      </c>
      <c r="E355" t="str">
        <f>IFERROR(VLOOKUP(C355,'New Adm Data (Mar to July)'!C:D,2,),"-")</f>
        <v>-</v>
      </c>
      <c r="F355">
        <f>IFERROR(VLOOKUP(D355,'New Adm Data (Aug to Nov)'!C:D,2,),"-")</f>
        <v>0</v>
      </c>
      <c r="G355" t="s">
        <v>1316</v>
      </c>
      <c r="H355" t="str">
        <f t="shared" si="15"/>
        <v>No</v>
      </c>
      <c r="I355" t="str">
        <f t="shared" si="16"/>
        <v>No</v>
      </c>
      <c r="J355" t="str">
        <f t="shared" si="17"/>
        <v>No</v>
      </c>
    </row>
    <row r="356" spans="1:10" x14ac:dyDescent="0.35">
      <c r="A356" t="s">
        <v>73</v>
      </c>
      <c r="B356" t="s">
        <v>662</v>
      </c>
      <c r="D356" t="s">
        <v>663</v>
      </c>
      <c r="E356" t="str">
        <f>IFERROR(VLOOKUP(C356,'New Adm Data (Mar to July)'!C:D,2,),"-")</f>
        <v>-</v>
      </c>
      <c r="F356">
        <f>IFERROR(VLOOKUP(D356,'New Adm Data (Aug to Nov)'!C:D,2,),"-")</f>
        <v>0</v>
      </c>
      <c r="G356" t="s">
        <v>1316</v>
      </c>
      <c r="H356" t="str">
        <f t="shared" si="15"/>
        <v>No</v>
      </c>
      <c r="I356" t="str">
        <f t="shared" si="16"/>
        <v>No</v>
      </c>
      <c r="J356" t="str">
        <f t="shared" si="17"/>
        <v>No</v>
      </c>
    </row>
    <row r="357" spans="1:10" x14ac:dyDescent="0.35">
      <c r="A357" t="s">
        <v>73</v>
      </c>
      <c r="B357" t="s">
        <v>664</v>
      </c>
      <c r="D357" t="s">
        <v>665</v>
      </c>
      <c r="E357" t="str">
        <f>IFERROR(VLOOKUP(C357,'New Adm Data (Mar to July)'!C:D,2,),"-")</f>
        <v>-</v>
      </c>
      <c r="F357">
        <f>IFERROR(VLOOKUP(D357,'New Adm Data (Aug to Nov)'!C:D,2,),"-")</f>
        <v>0</v>
      </c>
      <c r="G357" t="s">
        <v>1316</v>
      </c>
      <c r="H357" t="str">
        <f t="shared" si="15"/>
        <v>No</v>
      </c>
      <c r="I357" t="str">
        <f t="shared" si="16"/>
        <v>No</v>
      </c>
      <c r="J357" t="str">
        <f t="shared" si="17"/>
        <v>No</v>
      </c>
    </row>
    <row r="358" spans="1:10" x14ac:dyDescent="0.35">
      <c r="A358" t="s">
        <v>73</v>
      </c>
      <c r="B358" t="s">
        <v>666</v>
      </c>
      <c r="D358" t="s">
        <v>667</v>
      </c>
      <c r="E358" t="str">
        <f>IFERROR(VLOOKUP(C358,'New Adm Data (Mar to July)'!C:D,2,),"-")</f>
        <v>-</v>
      </c>
      <c r="F358">
        <f>IFERROR(VLOOKUP(D358,'New Adm Data (Aug to Nov)'!C:D,2,),"-")</f>
        <v>0</v>
      </c>
      <c r="G358" t="s">
        <v>1316</v>
      </c>
      <c r="H358" t="str">
        <f t="shared" si="15"/>
        <v>No</v>
      </c>
      <c r="I358" t="str">
        <f t="shared" si="16"/>
        <v>No</v>
      </c>
      <c r="J358" t="str">
        <f t="shared" si="17"/>
        <v>No</v>
      </c>
    </row>
    <row r="359" spans="1:10" x14ac:dyDescent="0.35">
      <c r="A359" t="s">
        <v>73</v>
      </c>
      <c r="B359" t="s">
        <v>668</v>
      </c>
      <c r="D359" t="s">
        <v>669</v>
      </c>
      <c r="E359" t="str">
        <f>IFERROR(VLOOKUP(C359,'New Adm Data (Mar to July)'!C:D,2,),"-")</f>
        <v>-</v>
      </c>
      <c r="F359">
        <f>IFERROR(VLOOKUP(D359,'New Adm Data (Aug to Nov)'!C:D,2,),"-")</f>
        <v>0</v>
      </c>
      <c r="G359" t="s">
        <v>1316</v>
      </c>
      <c r="H359" t="str">
        <f t="shared" si="15"/>
        <v>No</v>
      </c>
      <c r="I359" t="str">
        <f t="shared" si="16"/>
        <v>No</v>
      </c>
      <c r="J359" t="str">
        <f t="shared" si="17"/>
        <v>No</v>
      </c>
    </row>
    <row r="360" spans="1:10" x14ac:dyDescent="0.35">
      <c r="A360" t="s">
        <v>73</v>
      </c>
      <c r="B360" t="s">
        <v>670</v>
      </c>
      <c r="D360" t="s">
        <v>671</v>
      </c>
      <c r="E360" t="str">
        <f>IFERROR(VLOOKUP(C360,'New Adm Data (Mar to July)'!C:D,2,),"-")</f>
        <v>-</v>
      </c>
      <c r="F360">
        <f>IFERROR(VLOOKUP(D360,'New Adm Data (Aug to Nov)'!C:D,2,),"-")</f>
        <v>0</v>
      </c>
      <c r="G360" t="s">
        <v>1316</v>
      </c>
      <c r="H360" t="str">
        <f t="shared" si="15"/>
        <v>No</v>
      </c>
      <c r="I360" t="str">
        <f t="shared" si="16"/>
        <v>No</v>
      </c>
      <c r="J360" t="str">
        <f t="shared" si="17"/>
        <v>No</v>
      </c>
    </row>
    <row r="361" spans="1:10" x14ac:dyDescent="0.35">
      <c r="A361" t="s">
        <v>73</v>
      </c>
      <c r="B361" t="s">
        <v>672</v>
      </c>
      <c r="D361" t="s">
        <v>673</v>
      </c>
      <c r="E361" t="str">
        <f>IFERROR(VLOOKUP(C361,'New Adm Data (Mar to July)'!C:D,2,),"-")</f>
        <v>-</v>
      </c>
      <c r="F361">
        <f>IFERROR(VLOOKUP(D361,'New Adm Data (Aug to Nov)'!C:D,2,),"-")</f>
        <v>0</v>
      </c>
      <c r="G361" t="s">
        <v>1316</v>
      </c>
      <c r="H361" t="str">
        <f t="shared" si="15"/>
        <v>No</v>
      </c>
      <c r="I361" t="str">
        <f t="shared" si="16"/>
        <v>No</v>
      </c>
      <c r="J361" t="str">
        <f t="shared" si="17"/>
        <v>No</v>
      </c>
    </row>
    <row r="362" spans="1:10" x14ac:dyDescent="0.35">
      <c r="A362" t="s">
        <v>73</v>
      </c>
      <c r="B362" t="s">
        <v>678</v>
      </c>
      <c r="D362" t="s">
        <v>679</v>
      </c>
      <c r="E362" t="str">
        <f>IFERROR(VLOOKUP(C362,'New Adm Data (Mar to July)'!C:D,2,),"-")</f>
        <v>-</v>
      </c>
      <c r="F362">
        <f>IFERROR(VLOOKUP(D362,'New Adm Data (Aug to Nov)'!C:D,2,),"-")</f>
        <v>0</v>
      </c>
      <c r="G362" t="s">
        <v>1316</v>
      </c>
      <c r="H362" t="str">
        <f t="shared" si="15"/>
        <v>No</v>
      </c>
      <c r="I362" t="str">
        <f t="shared" si="16"/>
        <v>No</v>
      </c>
      <c r="J362" t="str">
        <f t="shared" si="17"/>
        <v>No</v>
      </c>
    </row>
    <row r="363" spans="1:10" x14ac:dyDescent="0.35">
      <c r="A363" t="s">
        <v>73</v>
      </c>
      <c r="B363" t="s">
        <v>680</v>
      </c>
      <c r="D363" t="s">
        <v>681</v>
      </c>
      <c r="E363" t="str">
        <f>IFERROR(VLOOKUP(C363,'New Adm Data (Mar to July)'!C:D,2,),"-")</f>
        <v>-</v>
      </c>
      <c r="F363">
        <f>IFERROR(VLOOKUP(D363,'New Adm Data (Aug to Nov)'!C:D,2,),"-")</f>
        <v>0</v>
      </c>
      <c r="G363" t="s">
        <v>1316</v>
      </c>
      <c r="H363" t="str">
        <f t="shared" si="15"/>
        <v>No</v>
      </c>
      <c r="I363" t="str">
        <f t="shared" si="16"/>
        <v>No</v>
      </c>
      <c r="J363" t="str">
        <f t="shared" si="17"/>
        <v>No</v>
      </c>
    </row>
    <row r="364" spans="1:10" x14ac:dyDescent="0.35">
      <c r="A364" t="s">
        <v>73</v>
      </c>
      <c r="B364" t="s">
        <v>682</v>
      </c>
      <c r="D364" t="s">
        <v>683</v>
      </c>
      <c r="E364" t="str">
        <f>IFERROR(VLOOKUP(C364,'New Adm Data (Mar to July)'!C:D,2,),"-")</f>
        <v>-</v>
      </c>
      <c r="F364">
        <f>IFERROR(VLOOKUP(D364,'New Adm Data (Aug to Nov)'!C:D,2,),"-")</f>
        <v>0</v>
      </c>
      <c r="G364" t="s">
        <v>1316</v>
      </c>
      <c r="H364" t="str">
        <f t="shared" si="15"/>
        <v>No</v>
      </c>
      <c r="I364" t="str">
        <f t="shared" si="16"/>
        <v>No</v>
      </c>
      <c r="J364" t="str">
        <f t="shared" si="17"/>
        <v>No</v>
      </c>
    </row>
    <row r="365" spans="1:10" x14ac:dyDescent="0.35">
      <c r="A365" t="s">
        <v>73</v>
      </c>
      <c r="B365" t="s">
        <v>684</v>
      </c>
      <c r="D365" t="s">
        <v>685</v>
      </c>
      <c r="E365" t="str">
        <f>IFERROR(VLOOKUP(C365,'New Adm Data (Mar to July)'!C:D,2,),"-")</f>
        <v>-</v>
      </c>
      <c r="F365">
        <f>IFERROR(VLOOKUP(D365,'New Adm Data (Aug to Nov)'!C:D,2,),"-")</f>
        <v>0</v>
      </c>
      <c r="G365" t="s">
        <v>1316</v>
      </c>
      <c r="H365" t="str">
        <f t="shared" si="15"/>
        <v>No</v>
      </c>
      <c r="I365" t="str">
        <f t="shared" si="16"/>
        <v>No</v>
      </c>
      <c r="J365" t="str">
        <f t="shared" si="17"/>
        <v>No</v>
      </c>
    </row>
    <row r="366" spans="1:10" x14ac:dyDescent="0.35">
      <c r="A366" t="s">
        <v>73</v>
      </c>
      <c r="B366" t="s">
        <v>686</v>
      </c>
      <c r="D366" t="s">
        <v>687</v>
      </c>
      <c r="E366" t="str">
        <f>IFERROR(VLOOKUP(C366,'New Adm Data (Mar to July)'!C:D,2,),"-")</f>
        <v>-</v>
      </c>
      <c r="F366">
        <f>IFERROR(VLOOKUP(D366,'New Adm Data (Aug to Nov)'!C:D,2,),"-")</f>
        <v>0</v>
      </c>
      <c r="G366" t="s">
        <v>1316</v>
      </c>
      <c r="H366" t="str">
        <f t="shared" si="15"/>
        <v>No</v>
      </c>
      <c r="I366" t="str">
        <f t="shared" si="16"/>
        <v>No</v>
      </c>
      <c r="J366" t="str">
        <f t="shared" si="17"/>
        <v>No</v>
      </c>
    </row>
    <row r="367" spans="1:10" x14ac:dyDescent="0.35">
      <c r="A367" t="s">
        <v>73</v>
      </c>
      <c r="B367" t="s">
        <v>688</v>
      </c>
      <c r="D367" t="s">
        <v>689</v>
      </c>
      <c r="E367" t="str">
        <f>IFERROR(VLOOKUP(C367,'New Adm Data (Mar to July)'!C:D,2,),"-")</f>
        <v>-</v>
      </c>
      <c r="F367">
        <f>IFERROR(VLOOKUP(D367,'New Adm Data (Aug to Nov)'!C:D,2,),"-")</f>
        <v>0</v>
      </c>
      <c r="G367" t="s">
        <v>1316</v>
      </c>
      <c r="H367" t="str">
        <f t="shared" si="15"/>
        <v>No</v>
      </c>
      <c r="I367" t="str">
        <f t="shared" si="16"/>
        <v>No</v>
      </c>
      <c r="J367" t="str">
        <f t="shared" si="17"/>
        <v>No</v>
      </c>
    </row>
    <row r="368" spans="1:10" x14ac:dyDescent="0.35">
      <c r="A368" t="s">
        <v>73</v>
      </c>
      <c r="B368" t="s">
        <v>690</v>
      </c>
      <c r="D368" t="s">
        <v>691</v>
      </c>
      <c r="E368" t="str">
        <f>IFERROR(VLOOKUP(C368,'New Adm Data (Mar to July)'!C:D,2,),"-")</f>
        <v>-</v>
      </c>
      <c r="F368">
        <f>IFERROR(VLOOKUP(D368,'New Adm Data (Aug to Nov)'!C:D,2,),"-")</f>
        <v>0</v>
      </c>
      <c r="G368" t="s">
        <v>1316</v>
      </c>
      <c r="H368" t="str">
        <f t="shared" si="15"/>
        <v>No</v>
      </c>
      <c r="I368" t="str">
        <f t="shared" si="16"/>
        <v>No</v>
      </c>
      <c r="J368" t="str">
        <f t="shared" si="17"/>
        <v>No</v>
      </c>
    </row>
    <row r="369" spans="1:10" x14ac:dyDescent="0.35">
      <c r="A369" t="s">
        <v>73</v>
      </c>
      <c r="B369" t="s">
        <v>692</v>
      </c>
      <c r="D369" t="s">
        <v>693</v>
      </c>
      <c r="E369" t="str">
        <f>IFERROR(VLOOKUP(C369,'New Adm Data (Mar to July)'!C:D,2,),"-")</f>
        <v>-</v>
      </c>
      <c r="F369">
        <f>IFERROR(VLOOKUP(D369,'New Adm Data (Aug to Nov)'!C:D,2,),"-")</f>
        <v>0</v>
      </c>
      <c r="G369" t="s">
        <v>1316</v>
      </c>
      <c r="H369" t="str">
        <f t="shared" si="15"/>
        <v>No</v>
      </c>
      <c r="I369" t="str">
        <f t="shared" si="16"/>
        <v>No</v>
      </c>
      <c r="J369" t="str">
        <f t="shared" si="17"/>
        <v>No</v>
      </c>
    </row>
    <row r="370" spans="1:10" x14ac:dyDescent="0.35">
      <c r="A370" t="s">
        <v>73</v>
      </c>
      <c r="B370" t="s">
        <v>694</v>
      </c>
      <c r="D370" t="s">
        <v>695</v>
      </c>
      <c r="E370" t="str">
        <f>IFERROR(VLOOKUP(C370,'New Adm Data (Mar to July)'!C:D,2,),"-")</f>
        <v>-</v>
      </c>
      <c r="F370">
        <f>IFERROR(VLOOKUP(D370,'New Adm Data (Aug to Nov)'!C:D,2,),"-")</f>
        <v>0</v>
      </c>
      <c r="G370" t="s">
        <v>1316</v>
      </c>
      <c r="H370" t="str">
        <f t="shared" si="15"/>
        <v>No</v>
      </c>
      <c r="I370" t="str">
        <f t="shared" si="16"/>
        <v>No</v>
      </c>
      <c r="J370" t="str">
        <f t="shared" si="17"/>
        <v>No</v>
      </c>
    </row>
    <row r="371" spans="1:10" x14ac:dyDescent="0.35">
      <c r="A371" t="s">
        <v>73</v>
      </c>
      <c r="B371" t="s">
        <v>696</v>
      </c>
      <c r="D371" t="s">
        <v>697</v>
      </c>
      <c r="E371" t="str">
        <f>IFERROR(VLOOKUP(C371,'New Adm Data (Mar to July)'!C:D,2,),"-")</f>
        <v>-</v>
      </c>
      <c r="F371">
        <f>IFERROR(VLOOKUP(D371,'New Adm Data (Aug to Nov)'!C:D,2,),"-")</f>
        <v>0</v>
      </c>
      <c r="G371" t="s">
        <v>1316</v>
      </c>
      <c r="H371" t="str">
        <f t="shared" si="15"/>
        <v>No</v>
      </c>
      <c r="I371" t="str">
        <f t="shared" si="16"/>
        <v>No</v>
      </c>
      <c r="J371" t="str">
        <f t="shared" si="17"/>
        <v>No</v>
      </c>
    </row>
    <row r="372" spans="1:10" x14ac:dyDescent="0.35">
      <c r="A372" t="s">
        <v>73</v>
      </c>
      <c r="B372" t="s">
        <v>698</v>
      </c>
      <c r="D372" t="s">
        <v>699</v>
      </c>
      <c r="E372" t="str">
        <f>IFERROR(VLOOKUP(C372,'New Adm Data (Mar to July)'!C:D,2,),"-")</f>
        <v>-</v>
      </c>
      <c r="F372">
        <f>IFERROR(VLOOKUP(D372,'New Adm Data (Aug to Nov)'!C:D,2,),"-")</f>
        <v>0</v>
      </c>
      <c r="G372" t="s">
        <v>1316</v>
      </c>
      <c r="H372" t="str">
        <f t="shared" si="15"/>
        <v>No</v>
      </c>
      <c r="I372" t="str">
        <f t="shared" si="16"/>
        <v>No</v>
      </c>
      <c r="J372" t="str">
        <f t="shared" si="17"/>
        <v>No</v>
      </c>
    </row>
    <row r="373" spans="1:10" x14ac:dyDescent="0.35">
      <c r="A373" t="s">
        <v>73</v>
      </c>
      <c r="B373" t="s">
        <v>700</v>
      </c>
      <c r="D373" t="s">
        <v>701</v>
      </c>
      <c r="E373" t="str">
        <f>IFERROR(VLOOKUP(C373,'New Adm Data (Mar to July)'!C:D,2,),"-")</f>
        <v>-</v>
      </c>
      <c r="F373">
        <f>IFERROR(VLOOKUP(D373,'New Adm Data (Aug to Nov)'!C:D,2,),"-")</f>
        <v>0</v>
      </c>
      <c r="G373" t="s">
        <v>1316</v>
      </c>
      <c r="H373" t="str">
        <f t="shared" si="15"/>
        <v>No</v>
      </c>
      <c r="I373" t="str">
        <f t="shared" si="16"/>
        <v>No</v>
      </c>
      <c r="J373" t="str">
        <f t="shared" si="17"/>
        <v>No</v>
      </c>
    </row>
    <row r="374" spans="1:10" x14ac:dyDescent="0.35">
      <c r="A374" t="s">
        <v>73</v>
      </c>
      <c r="B374" t="s">
        <v>702</v>
      </c>
      <c r="D374" t="s">
        <v>703</v>
      </c>
      <c r="E374" t="str">
        <f>IFERROR(VLOOKUP(C374,'New Adm Data (Mar to July)'!C:D,2,),"-")</f>
        <v>-</v>
      </c>
      <c r="F374">
        <f>IFERROR(VLOOKUP(D374,'New Adm Data (Aug to Nov)'!C:D,2,),"-")</f>
        <v>0</v>
      </c>
      <c r="G374" t="s">
        <v>1316</v>
      </c>
      <c r="H374" t="str">
        <f t="shared" si="15"/>
        <v>No</v>
      </c>
      <c r="I374" t="str">
        <f t="shared" si="16"/>
        <v>No</v>
      </c>
      <c r="J374" t="str">
        <f t="shared" si="17"/>
        <v>No</v>
      </c>
    </row>
    <row r="375" spans="1:10" x14ac:dyDescent="0.35">
      <c r="A375" t="s">
        <v>73</v>
      </c>
      <c r="B375" t="s">
        <v>704</v>
      </c>
      <c r="D375" t="s">
        <v>705</v>
      </c>
      <c r="E375" t="str">
        <f>IFERROR(VLOOKUP(C375,'New Adm Data (Mar to July)'!C:D,2,),"-")</f>
        <v>-</v>
      </c>
      <c r="F375">
        <f>IFERROR(VLOOKUP(D375,'New Adm Data (Aug to Nov)'!C:D,2,),"-")</f>
        <v>0</v>
      </c>
      <c r="G375" t="s">
        <v>1316</v>
      </c>
      <c r="H375" t="str">
        <f t="shared" si="15"/>
        <v>No</v>
      </c>
      <c r="I375" t="str">
        <f t="shared" si="16"/>
        <v>No</v>
      </c>
      <c r="J375" t="str">
        <f t="shared" si="17"/>
        <v>No</v>
      </c>
    </row>
    <row r="376" spans="1:10" x14ac:dyDescent="0.35">
      <c r="A376" t="s">
        <v>73</v>
      </c>
      <c r="B376" t="s">
        <v>706</v>
      </c>
      <c r="D376" t="s">
        <v>707</v>
      </c>
      <c r="E376" t="str">
        <f>IFERROR(VLOOKUP(C376,'New Adm Data (Mar to July)'!C:D,2,),"-")</f>
        <v>-</v>
      </c>
      <c r="F376">
        <f>IFERROR(VLOOKUP(D376,'New Adm Data (Aug to Nov)'!C:D,2,),"-")</f>
        <v>0</v>
      </c>
      <c r="G376" t="s">
        <v>1316</v>
      </c>
      <c r="H376" t="str">
        <f t="shared" si="15"/>
        <v>No</v>
      </c>
      <c r="I376" t="str">
        <f t="shared" si="16"/>
        <v>No</v>
      </c>
      <c r="J376" t="str">
        <f t="shared" si="17"/>
        <v>No</v>
      </c>
    </row>
    <row r="377" spans="1:10" x14ac:dyDescent="0.35">
      <c r="A377" t="s">
        <v>73</v>
      </c>
      <c r="B377" t="s">
        <v>708</v>
      </c>
      <c r="D377" t="s">
        <v>709</v>
      </c>
      <c r="E377" t="str">
        <f>IFERROR(VLOOKUP(C377,'New Adm Data (Mar to July)'!C:D,2,),"-")</f>
        <v>-</v>
      </c>
      <c r="F377">
        <f>IFERROR(VLOOKUP(D377,'New Adm Data (Aug to Nov)'!C:D,2,),"-")</f>
        <v>0</v>
      </c>
      <c r="G377" t="s">
        <v>1316</v>
      </c>
      <c r="H377" t="str">
        <f t="shared" si="15"/>
        <v>No</v>
      </c>
      <c r="I377" t="str">
        <f t="shared" si="16"/>
        <v>No</v>
      </c>
      <c r="J377" t="str">
        <f t="shared" si="17"/>
        <v>No</v>
      </c>
    </row>
    <row r="378" spans="1:10" x14ac:dyDescent="0.35">
      <c r="A378" t="s">
        <v>73</v>
      </c>
      <c r="B378" t="s">
        <v>710</v>
      </c>
      <c r="D378" t="s">
        <v>711</v>
      </c>
      <c r="E378" t="str">
        <f>IFERROR(VLOOKUP(C378,'New Adm Data (Mar to July)'!C:D,2,),"-")</f>
        <v>-</v>
      </c>
      <c r="F378">
        <f>IFERROR(VLOOKUP(D378,'New Adm Data (Aug to Nov)'!C:D,2,),"-")</f>
        <v>0</v>
      </c>
      <c r="G378" t="s">
        <v>1316</v>
      </c>
      <c r="H378" t="str">
        <f t="shared" si="15"/>
        <v>No</v>
      </c>
      <c r="I378" t="str">
        <f t="shared" si="16"/>
        <v>No</v>
      </c>
      <c r="J378" t="str">
        <f t="shared" si="17"/>
        <v>No</v>
      </c>
    </row>
    <row r="379" spans="1:10" x14ac:dyDescent="0.35">
      <c r="A379" t="s">
        <v>73</v>
      </c>
      <c r="B379" t="s">
        <v>712</v>
      </c>
      <c r="D379" t="s">
        <v>713</v>
      </c>
      <c r="E379" t="str">
        <f>IFERROR(VLOOKUP(C379,'New Adm Data (Mar to July)'!C:D,2,),"-")</f>
        <v>-</v>
      </c>
      <c r="F379">
        <f>IFERROR(VLOOKUP(D379,'New Adm Data (Aug to Nov)'!C:D,2,),"-")</f>
        <v>0</v>
      </c>
      <c r="G379" t="s">
        <v>1316</v>
      </c>
      <c r="H379" t="str">
        <f t="shared" si="15"/>
        <v>No</v>
      </c>
      <c r="I379" t="str">
        <f t="shared" si="16"/>
        <v>No</v>
      </c>
      <c r="J379" t="str">
        <f t="shared" si="17"/>
        <v>No</v>
      </c>
    </row>
    <row r="380" spans="1:10" x14ac:dyDescent="0.35">
      <c r="A380" t="s">
        <v>73</v>
      </c>
      <c r="B380" t="s">
        <v>714</v>
      </c>
      <c r="D380" t="s">
        <v>715</v>
      </c>
      <c r="E380" t="str">
        <f>IFERROR(VLOOKUP(C380,'New Adm Data (Mar to July)'!C:D,2,),"-")</f>
        <v>-</v>
      </c>
      <c r="F380">
        <f>IFERROR(VLOOKUP(D380,'New Adm Data (Aug to Nov)'!C:D,2,),"-")</f>
        <v>0</v>
      </c>
      <c r="G380" t="s">
        <v>1316</v>
      </c>
      <c r="H380" t="str">
        <f t="shared" si="15"/>
        <v>No</v>
      </c>
      <c r="I380" t="str">
        <f t="shared" si="16"/>
        <v>No</v>
      </c>
      <c r="J380" t="str">
        <f t="shared" si="17"/>
        <v>No</v>
      </c>
    </row>
    <row r="381" spans="1:10" x14ac:dyDescent="0.35">
      <c r="A381" t="s">
        <v>73</v>
      </c>
      <c r="B381" t="s">
        <v>716</v>
      </c>
      <c r="D381" t="s">
        <v>717</v>
      </c>
      <c r="E381" t="str">
        <f>IFERROR(VLOOKUP(C381,'New Adm Data (Mar to July)'!C:D,2,),"-")</f>
        <v>-</v>
      </c>
      <c r="F381">
        <f>IFERROR(VLOOKUP(D381,'New Adm Data (Aug to Nov)'!C:D,2,),"-")</f>
        <v>0</v>
      </c>
      <c r="G381" t="s">
        <v>1316</v>
      </c>
      <c r="H381" t="str">
        <f t="shared" si="15"/>
        <v>No</v>
      </c>
      <c r="I381" t="str">
        <f t="shared" si="16"/>
        <v>No</v>
      </c>
      <c r="J381" t="str">
        <f t="shared" si="17"/>
        <v>No</v>
      </c>
    </row>
    <row r="382" spans="1:10" x14ac:dyDescent="0.35">
      <c r="A382" t="s">
        <v>73</v>
      </c>
      <c r="B382" t="s">
        <v>718</v>
      </c>
      <c r="D382" t="s">
        <v>719</v>
      </c>
      <c r="E382" t="str">
        <f>IFERROR(VLOOKUP(C382,'New Adm Data (Mar to July)'!C:D,2,),"-")</f>
        <v>-</v>
      </c>
      <c r="F382">
        <f>IFERROR(VLOOKUP(D382,'New Adm Data (Aug to Nov)'!C:D,2,),"-")</f>
        <v>0</v>
      </c>
      <c r="G382" t="s">
        <v>1316</v>
      </c>
      <c r="H382" t="str">
        <f t="shared" si="15"/>
        <v>No</v>
      </c>
      <c r="I382" t="str">
        <f t="shared" si="16"/>
        <v>No</v>
      </c>
      <c r="J382" t="str">
        <f t="shared" si="17"/>
        <v>No</v>
      </c>
    </row>
    <row r="383" spans="1:10" x14ac:dyDescent="0.35">
      <c r="A383" t="s">
        <v>73</v>
      </c>
      <c r="B383" t="s">
        <v>720</v>
      </c>
      <c r="D383" t="s">
        <v>721</v>
      </c>
      <c r="E383" t="str">
        <f>IFERROR(VLOOKUP(C383,'New Adm Data (Mar to July)'!C:D,2,),"-")</f>
        <v>-</v>
      </c>
      <c r="F383">
        <f>IFERROR(VLOOKUP(D383,'New Adm Data (Aug to Nov)'!C:D,2,),"-")</f>
        <v>0</v>
      </c>
      <c r="G383" t="s">
        <v>1316</v>
      </c>
      <c r="H383" t="str">
        <f t="shared" si="15"/>
        <v>No</v>
      </c>
      <c r="I383" t="str">
        <f t="shared" si="16"/>
        <v>No</v>
      </c>
      <c r="J383" t="str">
        <f t="shared" si="17"/>
        <v>No</v>
      </c>
    </row>
    <row r="384" spans="1:10" x14ac:dyDescent="0.35">
      <c r="A384" t="s">
        <v>73</v>
      </c>
      <c r="B384" t="s">
        <v>722</v>
      </c>
      <c r="D384" t="s">
        <v>723</v>
      </c>
      <c r="E384" t="str">
        <f>IFERROR(VLOOKUP(C384,'New Adm Data (Mar to July)'!C:D,2,),"-")</f>
        <v>-</v>
      </c>
      <c r="F384">
        <f>IFERROR(VLOOKUP(D384,'New Adm Data (Aug to Nov)'!C:D,2,),"-")</f>
        <v>0</v>
      </c>
      <c r="G384" t="s">
        <v>1316</v>
      </c>
      <c r="H384" t="str">
        <f t="shared" si="15"/>
        <v>No</v>
      </c>
      <c r="I384" t="str">
        <f t="shared" si="16"/>
        <v>No</v>
      </c>
      <c r="J384" t="str">
        <f t="shared" si="17"/>
        <v>No</v>
      </c>
    </row>
    <row r="385" spans="1:10" x14ac:dyDescent="0.35">
      <c r="A385" t="s">
        <v>73</v>
      </c>
      <c r="B385" t="s">
        <v>724</v>
      </c>
      <c r="D385" t="s">
        <v>725</v>
      </c>
      <c r="E385" t="str">
        <f>IFERROR(VLOOKUP(C385,'New Adm Data (Mar to July)'!C:D,2,),"-")</f>
        <v>-</v>
      </c>
      <c r="F385">
        <f>IFERROR(VLOOKUP(D385,'New Adm Data (Aug to Nov)'!C:D,2,),"-")</f>
        <v>0</v>
      </c>
      <c r="G385" t="s">
        <v>1316</v>
      </c>
      <c r="H385" t="str">
        <f t="shared" si="15"/>
        <v>No</v>
      </c>
      <c r="I385" t="str">
        <f t="shared" si="16"/>
        <v>No</v>
      </c>
      <c r="J385" t="str">
        <f t="shared" si="17"/>
        <v>No</v>
      </c>
    </row>
    <row r="386" spans="1:10" x14ac:dyDescent="0.35">
      <c r="A386" t="s">
        <v>73</v>
      </c>
      <c r="B386" t="s">
        <v>726</v>
      </c>
      <c r="D386" t="s">
        <v>727</v>
      </c>
      <c r="E386" t="str">
        <f>IFERROR(VLOOKUP(C386,'New Adm Data (Mar to July)'!C:D,2,),"-")</f>
        <v>-</v>
      </c>
      <c r="F386">
        <f>IFERROR(VLOOKUP(D386,'New Adm Data (Aug to Nov)'!C:D,2,),"-")</f>
        <v>0</v>
      </c>
      <c r="G386" t="s">
        <v>1316</v>
      </c>
      <c r="H386" t="str">
        <f t="shared" si="15"/>
        <v>No</v>
      </c>
      <c r="I386" t="str">
        <f t="shared" si="16"/>
        <v>No</v>
      </c>
      <c r="J386" t="str">
        <f t="shared" si="17"/>
        <v>No</v>
      </c>
    </row>
    <row r="387" spans="1:10" x14ac:dyDescent="0.35">
      <c r="A387" t="s">
        <v>174</v>
      </c>
      <c r="B387" t="s">
        <v>763</v>
      </c>
      <c r="D387" t="s">
        <v>764</v>
      </c>
      <c r="E387" t="str">
        <f>IFERROR(VLOOKUP(C387,'New Adm Data (Mar to July)'!C:D,2,),"-")</f>
        <v>-</v>
      </c>
      <c r="F387">
        <f>IFERROR(VLOOKUP(D387,'New Adm Data (Aug to Nov)'!C:D,2,),"-")</f>
        <v>4</v>
      </c>
      <c r="G387" t="s">
        <v>1316</v>
      </c>
      <c r="H387" t="str">
        <f t="shared" ref="H387:H450" si="18">IF(G387&lt;&gt;"Yes",IF(SUM(E387:F387)&gt;228,"Yes","No"),"No")</f>
        <v>No</v>
      </c>
      <c r="I387" t="str">
        <f t="shared" ref="I387:I450" si="19">IF(G387="Yes",IF(SUM(E387:F387)&gt;228,"Yes","No"),"No")</f>
        <v>No</v>
      </c>
      <c r="J387" t="str">
        <f t="shared" ref="J387:J450" si="20">IF(H387="Yes","Yes",IF(I387="Yes","Yes","No"))</f>
        <v>No</v>
      </c>
    </row>
    <row r="388" spans="1:10" x14ac:dyDescent="0.35">
      <c r="A388" t="s">
        <v>174</v>
      </c>
      <c r="B388" t="s">
        <v>765</v>
      </c>
      <c r="D388" t="s">
        <v>766</v>
      </c>
      <c r="E388" t="str">
        <f>IFERROR(VLOOKUP(C388,'New Adm Data (Mar to July)'!C:D,2,),"-")</f>
        <v>-</v>
      </c>
      <c r="F388">
        <f>IFERROR(VLOOKUP(D388,'New Adm Data (Aug to Nov)'!C:D,2,),"-")</f>
        <v>0</v>
      </c>
      <c r="G388" t="s">
        <v>1316</v>
      </c>
      <c r="H388" t="str">
        <f t="shared" si="18"/>
        <v>No</v>
      </c>
      <c r="I388" t="str">
        <f t="shared" si="19"/>
        <v>No</v>
      </c>
      <c r="J388" t="str">
        <f t="shared" si="20"/>
        <v>No</v>
      </c>
    </row>
    <row r="389" spans="1:10" x14ac:dyDescent="0.35">
      <c r="A389" t="s">
        <v>174</v>
      </c>
      <c r="B389" t="s">
        <v>767</v>
      </c>
      <c r="D389" t="s">
        <v>768</v>
      </c>
      <c r="E389" t="str">
        <f>IFERROR(VLOOKUP(C389,'New Adm Data (Mar to July)'!C:D,2,),"-")</f>
        <v>-</v>
      </c>
      <c r="F389">
        <f>IFERROR(VLOOKUP(D389,'New Adm Data (Aug to Nov)'!C:D,2,),"-")</f>
        <v>0</v>
      </c>
      <c r="G389" t="s">
        <v>1316</v>
      </c>
      <c r="H389" t="str">
        <f t="shared" si="18"/>
        <v>No</v>
      </c>
      <c r="I389" t="str">
        <f t="shared" si="19"/>
        <v>No</v>
      </c>
      <c r="J389" t="str">
        <f t="shared" si="20"/>
        <v>No</v>
      </c>
    </row>
    <row r="390" spans="1:10" x14ac:dyDescent="0.35">
      <c r="A390" t="s">
        <v>174</v>
      </c>
      <c r="B390" t="s">
        <v>769</v>
      </c>
      <c r="D390" t="s">
        <v>770</v>
      </c>
      <c r="E390" t="str">
        <f>IFERROR(VLOOKUP(C390,'New Adm Data (Mar to July)'!C:D,2,),"-")</f>
        <v>-</v>
      </c>
      <c r="F390">
        <f>IFERROR(VLOOKUP(D390,'New Adm Data (Aug to Nov)'!C:D,2,),"-")</f>
        <v>0</v>
      </c>
      <c r="G390" t="s">
        <v>1316</v>
      </c>
      <c r="H390" t="str">
        <f t="shared" si="18"/>
        <v>No</v>
      </c>
      <c r="I390" t="str">
        <f t="shared" si="19"/>
        <v>No</v>
      </c>
      <c r="J390" t="str">
        <f t="shared" si="20"/>
        <v>No</v>
      </c>
    </row>
    <row r="391" spans="1:10" x14ac:dyDescent="0.35">
      <c r="A391" t="s">
        <v>174</v>
      </c>
      <c r="B391" t="s">
        <v>771</v>
      </c>
      <c r="D391" t="s">
        <v>772</v>
      </c>
      <c r="E391" t="str">
        <f>IFERROR(VLOOKUP(C391,'New Adm Data (Mar to July)'!C:D,2,),"-")</f>
        <v>-</v>
      </c>
      <c r="F391">
        <f>IFERROR(VLOOKUP(D391,'New Adm Data (Aug to Nov)'!C:D,2,),"-")</f>
        <v>4</v>
      </c>
      <c r="G391" t="s">
        <v>1316</v>
      </c>
      <c r="H391" t="str">
        <f t="shared" si="18"/>
        <v>No</v>
      </c>
      <c r="I391" t="str">
        <f t="shared" si="19"/>
        <v>No</v>
      </c>
      <c r="J391" t="str">
        <f t="shared" si="20"/>
        <v>No</v>
      </c>
    </row>
    <row r="392" spans="1:10" x14ac:dyDescent="0.35">
      <c r="A392" t="s">
        <v>174</v>
      </c>
      <c r="B392" t="s">
        <v>773</v>
      </c>
      <c r="D392" t="s">
        <v>774</v>
      </c>
      <c r="E392" t="str">
        <f>IFERROR(VLOOKUP(C392,'New Adm Data (Mar to July)'!C:D,2,),"-")</f>
        <v>-</v>
      </c>
      <c r="F392">
        <f>IFERROR(VLOOKUP(D392,'New Adm Data (Aug to Nov)'!C:D,2,),"-")</f>
        <v>0</v>
      </c>
      <c r="G392" t="s">
        <v>1316</v>
      </c>
      <c r="H392" t="str">
        <f t="shared" si="18"/>
        <v>No</v>
      </c>
      <c r="I392" t="str">
        <f t="shared" si="19"/>
        <v>No</v>
      </c>
      <c r="J392" t="str">
        <f t="shared" si="20"/>
        <v>No</v>
      </c>
    </row>
    <row r="393" spans="1:10" x14ac:dyDescent="0.35">
      <c r="A393" t="s">
        <v>174</v>
      </c>
      <c r="B393" t="s">
        <v>775</v>
      </c>
      <c r="D393" t="s">
        <v>776</v>
      </c>
      <c r="E393" t="str">
        <f>IFERROR(VLOOKUP(C393,'New Adm Data (Mar to July)'!C:D,2,),"-")</f>
        <v>-</v>
      </c>
      <c r="F393">
        <f>IFERROR(VLOOKUP(D393,'New Adm Data (Aug to Nov)'!C:D,2,),"-")</f>
        <v>0</v>
      </c>
      <c r="G393" t="s">
        <v>1316</v>
      </c>
      <c r="H393" t="str">
        <f t="shared" si="18"/>
        <v>No</v>
      </c>
      <c r="I393" t="str">
        <f t="shared" si="19"/>
        <v>No</v>
      </c>
      <c r="J393" t="str">
        <f t="shared" si="20"/>
        <v>No</v>
      </c>
    </row>
    <row r="394" spans="1:10" x14ac:dyDescent="0.35">
      <c r="A394" t="s">
        <v>174</v>
      </c>
      <c r="B394" t="s">
        <v>777</v>
      </c>
      <c r="D394" t="s">
        <v>778</v>
      </c>
      <c r="E394" t="str">
        <f>IFERROR(VLOOKUP(C394,'New Adm Data (Mar to July)'!C:D,2,),"-")</f>
        <v>-</v>
      </c>
      <c r="F394">
        <f>IFERROR(VLOOKUP(D394,'New Adm Data (Aug to Nov)'!C:D,2,),"-")</f>
        <v>0</v>
      </c>
      <c r="G394" t="s">
        <v>1316</v>
      </c>
      <c r="H394" t="str">
        <f t="shared" si="18"/>
        <v>No</v>
      </c>
      <c r="I394" t="str">
        <f t="shared" si="19"/>
        <v>No</v>
      </c>
      <c r="J394" t="str">
        <f t="shared" si="20"/>
        <v>No</v>
      </c>
    </row>
    <row r="395" spans="1:10" x14ac:dyDescent="0.35">
      <c r="A395" t="s">
        <v>174</v>
      </c>
      <c r="B395" t="s">
        <v>779</v>
      </c>
      <c r="D395" t="s">
        <v>780</v>
      </c>
      <c r="E395" t="str">
        <f>IFERROR(VLOOKUP(C395,'New Adm Data (Mar to July)'!C:D,2,),"-")</f>
        <v>-</v>
      </c>
      <c r="F395">
        <f>IFERROR(VLOOKUP(D395,'New Adm Data (Aug to Nov)'!C:D,2,),"-")</f>
        <v>0</v>
      </c>
      <c r="G395" t="s">
        <v>1316</v>
      </c>
      <c r="H395" t="str">
        <f t="shared" si="18"/>
        <v>No</v>
      </c>
      <c r="I395" t="str">
        <f t="shared" si="19"/>
        <v>No</v>
      </c>
      <c r="J395" t="str">
        <f t="shared" si="20"/>
        <v>No</v>
      </c>
    </row>
    <row r="396" spans="1:10" x14ac:dyDescent="0.35">
      <c r="A396" t="s">
        <v>174</v>
      </c>
      <c r="B396" t="s">
        <v>783</v>
      </c>
      <c r="D396" t="s">
        <v>784</v>
      </c>
      <c r="E396" t="str">
        <f>IFERROR(VLOOKUP(C396,'New Adm Data (Mar to July)'!C:D,2,),"-")</f>
        <v>-</v>
      </c>
      <c r="F396">
        <f>IFERROR(VLOOKUP(D396,'New Adm Data (Aug to Nov)'!C:D,2,),"-")</f>
        <v>0</v>
      </c>
      <c r="G396" t="s">
        <v>1316</v>
      </c>
      <c r="H396" t="str">
        <f t="shared" si="18"/>
        <v>No</v>
      </c>
      <c r="I396" t="str">
        <f t="shared" si="19"/>
        <v>No</v>
      </c>
      <c r="J396" t="str">
        <f t="shared" si="20"/>
        <v>No</v>
      </c>
    </row>
    <row r="397" spans="1:10" x14ac:dyDescent="0.35">
      <c r="A397" t="s">
        <v>174</v>
      </c>
      <c r="B397" t="s">
        <v>785</v>
      </c>
      <c r="D397" t="s">
        <v>786</v>
      </c>
      <c r="E397" t="str">
        <f>IFERROR(VLOOKUP(C397,'New Adm Data (Mar to July)'!C:D,2,),"-")</f>
        <v>-</v>
      </c>
      <c r="F397">
        <f>IFERROR(VLOOKUP(D397,'New Adm Data (Aug to Nov)'!C:D,2,),"-")</f>
        <v>0</v>
      </c>
      <c r="G397" t="s">
        <v>1316</v>
      </c>
      <c r="H397" t="str">
        <f t="shared" si="18"/>
        <v>No</v>
      </c>
      <c r="I397" t="str">
        <f t="shared" si="19"/>
        <v>No</v>
      </c>
      <c r="J397" t="str">
        <f t="shared" si="20"/>
        <v>No</v>
      </c>
    </row>
    <row r="398" spans="1:10" x14ac:dyDescent="0.35">
      <c r="A398" t="s">
        <v>174</v>
      </c>
      <c r="B398" t="s">
        <v>787</v>
      </c>
      <c r="D398" t="s">
        <v>788</v>
      </c>
      <c r="E398" t="str">
        <f>IFERROR(VLOOKUP(C398,'New Adm Data (Mar to July)'!C:D,2,),"-")</f>
        <v>-</v>
      </c>
      <c r="F398">
        <f>IFERROR(VLOOKUP(D398,'New Adm Data (Aug to Nov)'!C:D,2,),"-")</f>
        <v>0</v>
      </c>
      <c r="G398" t="s">
        <v>1316</v>
      </c>
      <c r="H398" t="str">
        <f t="shared" si="18"/>
        <v>No</v>
      </c>
      <c r="I398" t="str">
        <f t="shared" si="19"/>
        <v>No</v>
      </c>
      <c r="J398" t="str">
        <f t="shared" si="20"/>
        <v>No</v>
      </c>
    </row>
    <row r="399" spans="1:10" x14ac:dyDescent="0.35">
      <c r="A399" t="s">
        <v>174</v>
      </c>
      <c r="B399" t="s">
        <v>789</v>
      </c>
      <c r="D399" t="s">
        <v>790</v>
      </c>
      <c r="E399" t="str">
        <f>IFERROR(VLOOKUP(C399,'New Adm Data (Mar to July)'!C:D,2,),"-")</f>
        <v>-</v>
      </c>
      <c r="F399">
        <f>IFERROR(VLOOKUP(D399,'New Adm Data (Aug to Nov)'!C:D,2,),"-")</f>
        <v>0</v>
      </c>
      <c r="G399" t="s">
        <v>1316</v>
      </c>
      <c r="H399" t="str">
        <f t="shared" si="18"/>
        <v>No</v>
      </c>
      <c r="I399" t="str">
        <f t="shared" si="19"/>
        <v>No</v>
      </c>
      <c r="J399" t="str">
        <f t="shared" si="20"/>
        <v>No</v>
      </c>
    </row>
    <row r="400" spans="1:10" x14ac:dyDescent="0.35">
      <c r="A400" t="s">
        <v>174</v>
      </c>
      <c r="B400" t="s">
        <v>791</v>
      </c>
      <c r="D400" t="s">
        <v>792</v>
      </c>
      <c r="E400" t="str">
        <f>IFERROR(VLOOKUP(C400,'New Adm Data (Mar to July)'!C:D,2,),"-")</f>
        <v>-</v>
      </c>
      <c r="F400">
        <f>IFERROR(VLOOKUP(D400,'New Adm Data (Aug to Nov)'!C:D,2,),"-")</f>
        <v>0</v>
      </c>
      <c r="G400" t="s">
        <v>1316</v>
      </c>
      <c r="H400" t="str">
        <f t="shared" si="18"/>
        <v>No</v>
      </c>
      <c r="I400" t="str">
        <f t="shared" si="19"/>
        <v>No</v>
      </c>
      <c r="J400" t="str">
        <f t="shared" si="20"/>
        <v>No</v>
      </c>
    </row>
    <row r="401" spans="1:10" x14ac:dyDescent="0.35">
      <c r="A401" t="s">
        <v>174</v>
      </c>
      <c r="B401" t="s">
        <v>793</v>
      </c>
      <c r="D401" t="s">
        <v>794</v>
      </c>
      <c r="E401" t="str">
        <f>IFERROR(VLOOKUP(C401,'New Adm Data (Mar to July)'!C:D,2,),"-")</f>
        <v>-</v>
      </c>
      <c r="F401">
        <f>IFERROR(VLOOKUP(D401,'New Adm Data (Aug to Nov)'!C:D,2,),"-")</f>
        <v>0</v>
      </c>
      <c r="G401" t="s">
        <v>1316</v>
      </c>
      <c r="H401" t="str">
        <f t="shared" si="18"/>
        <v>No</v>
      </c>
      <c r="I401" t="str">
        <f t="shared" si="19"/>
        <v>No</v>
      </c>
      <c r="J401" t="str">
        <f t="shared" si="20"/>
        <v>No</v>
      </c>
    </row>
    <row r="402" spans="1:10" x14ac:dyDescent="0.35">
      <c r="A402" t="s">
        <v>174</v>
      </c>
      <c r="B402" t="s">
        <v>795</v>
      </c>
      <c r="D402" t="s">
        <v>796</v>
      </c>
      <c r="E402" t="str">
        <f>IFERROR(VLOOKUP(C402,'New Adm Data (Mar to July)'!C:D,2,),"-")</f>
        <v>-</v>
      </c>
      <c r="F402">
        <f>IFERROR(VLOOKUP(D402,'New Adm Data (Aug to Nov)'!C:D,2,),"-")</f>
        <v>0</v>
      </c>
      <c r="G402" t="s">
        <v>1316</v>
      </c>
      <c r="H402" t="str">
        <f t="shared" si="18"/>
        <v>No</v>
      </c>
      <c r="I402" t="str">
        <f t="shared" si="19"/>
        <v>No</v>
      </c>
      <c r="J402" t="str">
        <f t="shared" si="20"/>
        <v>No</v>
      </c>
    </row>
    <row r="403" spans="1:10" x14ac:dyDescent="0.35">
      <c r="A403" t="s">
        <v>174</v>
      </c>
      <c r="B403" t="s">
        <v>797</v>
      </c>
      <c r="D403" t="s">
        <v>798</v>
      </c>
      <c r="E403" t="str">
        <f>IFERROR(VLOOKUP(C403,'New Adm Data (Mar to July)'!C:D,2,),"-")</f>
        <v>-</v>
      </c>
      <c r="F403">
        <f>IFERROR(VLOOKUP(D403,'New Adm Data (Aug to Nov)'!C:D,2,),"-")</f>
        <v>0</v>
      </c>
      <c r="G403" t="s">
        <v>1316</v>
      </c>
      <c r="H403" t="str">
        <f t="shared" si="18"/>
        <v>No</v>
      </c>
      <c r="I403" t="str">
        <f t="shared" si="19"/>
        <v>No</v>
      </c>
      <c r="J403" t="str">
        <f t="shared" si="20"/>
        <v>No</v>
      </c>
    </row>
    <row r="404" spans="1:10" x14ac:dyDescent="0.35">
      <c r="A404" t="s">
        <v>174</v>
      </c>
      <c r="B404" t="s">
        <v>799</v>
      </c>
      <c r="D404" t="s">
        <v>800</v>
      </c>
      <c r="E404" t="str">
        <f>IFERROR(VLOOKUP(C404,'New Adm Data (Mar to July)'!C:D,2,),"-")</f>
        <v>-</v>
      </c>
      <c r="F404">
        <f>IFERROR(VLOOKUP(D404,'New Adm Data (Aug to Nov)'!C:D,2,),"-")</f>
        <v>0</v>
      </c>
      <c r="G404" t="s">
        <v>1316</v>
      </c>
      <c r="H404" t="str">
        <f t="shared" si="18"/>
        <v>No</v>
      </c>
      <c r="I404" t="str">
        <f t="shared" si="19"/>
        <v>No</v>
      </c>
      <c r="J404" t="str">
        <f t="shared" si="20"/>
        <v>No</v>
      </c>
    </row>
    <row r="405" spans="1:10" x14ac:dyDescent="0.35">
      <c r="A405" t="s">
        <v>174</v>
      </c>
      <c r="B405" t="s">
        <v>801</v>
      </c>
      <c r="D405" t="s">
        <v>802</v>
      </c>
      <c r="E405" t="str">
        <f>IFERROR(VLOOKUP(C405,'New Adm Data (Mar to July)'!C:D,2,),"-")</f>
        <v>-</v>
      </c>
      <c r="F405">
        <f>IFERROR(VLOOKUP(D405,'New Adm Data (Aug to Nov)'!C:D,2,),"-")</f>
        <v>0</v>
      </c>
      <c r="G405" t="s">
        <v>1316</v>
      </c>
      <c r="H405" t="str">
        <f t="shared" si="18"/>
        <v>No</v>
      </c>
      <c r="I405" t="str">
        <f t="shared" si="19"/>
        <v>No</v>
      </c>
      <c r="J405" t="str">
        <f t="shared" si="20"/>
        <v>No</v>
      </c>
    </row>
    <row r="406" spans="1:10" x14ac:dyDescent="0.35">
      <c r="A406" t="s">
        <v>174</v>
      </c>
      <c r="B406" t="s">
        <v>803</v>
      </c>
      <c r="D406" t="s">
        <v>804</v>
      </c>
      <c r="E406" t="str">
        <f>IFERROR(VLOOKUP(C406,'New Adm Data (Mar to July)'!C:D,2,),"-")</f>
        <v>-</v>
      </c>
      <c r="F406">
        <f>IFERROR(VLOOKUP(D406,'New Adm Data (Aug to Nov)'!C:D,2,),"-")</f>
        <v>0</v>
      </c>
      <c r="G406" t="s">
        <v>1316</v>
      </c>
      <c r="H406" t="str">
        <f t="shared" si="18"/>
        <v>No</v>
      </c>
      <c r="I406" t="str">
        <f t="shared" si="19"/>
        <v>No</v>
      </c>
      <c r="J406" t="str">
        <f t="shared" si="20"/>
        <v>No</v>
      </c>
    </row>
    <row r="407" spans="1:10" x14ac:dyDescent="0.35">
      <c r="A407" t="s">
        <v>174</v>
      </c>
      <c r="B407" t="s">
        <v>806</v>
      </c>
      <c r="D407" t="s">
        <v>807</v>
      </c>
      <c r="E407" t="str">
        <f>IFERROR(VLOOKUP(C407,'New Adm Data (Mar to July)'!C:D,2,),"-")</f>
        <v>-</v>
      </c>
      <c r="F407">
        <f>IFERROR(VLOOKUP(D407,'New Adm Data (Aug to Nov)'!C:D,2,),"-")</f>
        <v>11</v>
      </c>
      <c r="G407" t="s">
        <v>1316</v>
      </c>
      <c r="H407" t="str">
        <f t="shared" si="18"/>
        <v>No</v>
      </c>
      <c r="I407" t="str">
        <f t="shared" si="19"/>
        <v>No</v>
      </c>
      <c r="J407" t="str">
        <f t="shared" si="20"/>
        <v>No</v>
      </c>
    </row>
    <row r="408" spans="1:10" x14ac:dyDescent="0.35">
      <c r="A408" t="s">
        <v>174</v>
      </c>
      <c r="B408" t="s">
        <v>808</v>
      </c>
      <c r="D408" t="s">
        <v>809</v>
      </c>
      <c r="E408" t="str">
        <f>IFERROR(VLOOKUP(C408,'New Adm Data (Mar to July)'!C:D,2,),"-")</f>
        <v>-</v>
      </c>
      <c r="F408">
        <f>IFERROR(VLOOKUP(D408,'New Adm Data (Aug to Nov)'!C:D,2,),"-")</f>
        <v>0</v>
      </c>
      <c r="G408" t="s">
        <v>1316</v>
      </c>
      <c r="H408" t="str">
        <f t="shared" si="18"/>
        <v>No</v>
      </c>
      <c r="I408" t="str">
        <f t="shared" si="19"/>
        <v>No</v>
      </c>
      <c r="J408" t="str">
        <f t="shared" si="20"/>
        <v>No</v>
      </c>
    </row>
    <row r="409" spans="1:10" x14ac:dyDescent="0.35">
      <c r="A409" t="s">
        <v>174</v>
      </c>
      <c r="B409" t="s">
        <v>810</v>
      </c>
      <c r="D409" t="s">
        <v>811</v>
      </c>
      <c r="E409" t="str">
        <f>IFERROR(VLOOKUP(C409,'New Adm Data (Mar to July)'!C:D,2,),"-")</f>
        <v>-</v>
      </c>
      <c r="F409">
        <f>IFERROR(VLOOKUP(D409,'New Adm Data (Aug to Nov)'!C:D,2,),"-")</f>
        <v>0</v>
      </c>
      <c r="G409" t="s">
        <v>1316</v>
      </c>
      <c r="H409" t="str">
        <f t="shared" si="18"/>
        <v>No</v>
      </c>
      <c r="I409" t="str">
        <f t="shared" si="19"/>
        <v>No</v>
      </c>
      <c r="J409" t="str">
        <f t="shared" si="20"/>
        <v>No</v>
      </c>
    </row>
    <row r="410" spans="1:10" x14ac:dyDescent="0.35">
      <c r="A410" t="s">
        <v>174</v>
      </c>
      <c r="B410" t="s">
        <v>812</v>
      </c>
      <c r="D410" t="s">
        <v>813</v>
      </c>
      <c r="E410" t="str">
        <f>IFERROR(VLOOKUP(C410,'New Adm Data (Mar to July)'!C:D,2,),"-")</f>
        <v>-</v>
      </c>
      <c r="F410">
        <f>IFERROR(VLOOKUP(D410,'New Adm Data (Aug to Nov)'!C:D,2,),"-")</f>
        <v>0</v>
      </c>
      <c r="G410" t="s">
        <v>1316</v>
      </c>
      <c r="H410" t="str">
        <f t="shared" si="18"/>
        <v>No</v>
      </c>
      <c r="I410" t="str">
        <f t="shared" si="19"/>
        <v>No</v>
      </c>
      <c r="J410" t="str">
        <f t="shared" si="20"/>
        <v>No</v>
      </c>
    </row>
    <row r="411" spans="1:10" x14ac:dyDescent="0.35">
      <c r="A411" t="s">
        <v>174</v>
      </c>
      <c r="B411" t="s">
        <v>814</v>
      </c>
      <c r="D411" t="s">
        <v>815</v>
      </c>
      <c r="E411" t="str">
        <f>IFERROR(VLOOKUP(C411,'New Adm Data (Mar to July)'!C:D,2,),"-")</f>
        <v>-</v>
      </c>
      <c r="F411">
        <f>IFERROR(VLOOKUP(D411,'New Adm Data (Aug to Nov)'!C:D,2,),"-")</f>
        <v>0</v>
      </c>
      <c r="G411" t="s">
        <v>1316</v>
      </c>
      <c r="H411" t="str">
        <f t="shared" si="18"/>
        <v>No</v>
      </c>
      <c r="I411" t="str">
        <f t="shared" si="19"/>
        <v>No</v>
      </c>
      <c r="J411" t="str">
        <f t="shared" si="20"/>
        <v>No</v>
      </c>
    </row>
    <row r="412" spans="1:10" x14ac:dyDescent="0.35">
      <c r="A412" t="s">
        <v>174</v>
      </c>
      <c r="B412" t="s">
        <v>816</v>
      </c>
      <c r="D412" t="s">
        <v>817</v>
      </c>
      <c r="E412" t="str">
        <f>IFERROR(VLOOKUP(C412,'New Adm Data (Mar to July)'!C:D,2,),"-")</f>
        <v>-</v>
      </c>
      <c r="F412">
        <f>IFERROR(VLOOKUP(D412,'New Adm Data (Aug to Nov)'!C:D,2,),"-")</f>
        <v>0</v>
      </c>
      <c r="G412" t="s">
        <v>1316</v>
      </c>
      <c r="H412" t="str">
        <f t="shared" si="18"/>
        <v>No</v>
      </c>
      <c r="I412" t="str">
        <f t="shared" si="19"/>
        <v>No</v>
      </c>
      <c r="J412" t="str">
        <f t="shared" si="20"/>
        <v>No</v>
      </c>
    </row>
    <row r="413" spans="1:10" x14ac:dyDescent="0.35">
      <c r="A413" t="s">
        <v>174</v>
      </c>
      <c r="B413" t="s">
        <v>818</v>
      </c>
      <c r="D413" t="s">
        <v>819</v>
      </c>
      <c r="E413" t="str">
        <f>IFERROR(VLOOKUP(C413,'New Adm Data (Mar to July)'!C:D,2,),"-")</f>
        <v>-</v>
      </c>
      <c r="F413">
        <f>IFERROR(VLOOKUP(D413,'New Adm Data (Aug to Nov)'!C:D,2,),"-")</f>
        <v>0</v>
      </c>
      <c r="G413" t="s">
        <v>1316</v>
      </c>
      <c r="H413" t="str">
        <f t="shared" si="18"/>
        <v>No</v>
      </c>
      <c r="I413" t="str">
        <f t="shared" si="19"/>
        <v>No</v>
      </c>
      <c r="J413" t="str">
        <f t="shared" si="20"/>
        <v>No</v>
      </c>
    </row>
    <row r="414" spans="1:10" x14ac:dyDescent="0.35">
      <c r="A414" t="s">
        <v>174</v>
      </c>
      <c r="B414" t="s">
        <v>820</v>
      </c>
      <c r="D414" t="s">
        <v>821</v>
      </c>
      <c r="E414" t="str">
        <f>IFERROR(VLOOKUP(C414,'New Adm Data (Mar to July)'!C:D,2,),"-")</f>
        <v>-</v>
      </c>
      <c r="F414">
        <f>IFERROR(VLOOKUP(D414,'New Adm Data (Aug to Nov)'!C:D,2,),"-")</f>
        <v>0</v>
      </c>
      <c r="G414" t="s">
        <v>1316</v>
      </c>
      <c r="H414" t="str">
        <f t="shared" si="18"/>
        <v>No</v>
      </c>
      <c r="I414" t="str">
        <f t="shared" si="19"/>
        <v>No</v>
      </c>
      <c r="J414" t="str">
        <f t="shared" si="20"/>
        <v>No</v>
      </c>
    </row>
    <row r="415" spans="1:10" x14ac:dyDescent="0.35">
      <c r="A415" t="s">
        <v>174</v>
      </c>
      <c r="B415" t="s">
        <v>822</v>
      </c>
      <c r="D415" t="s">
        <v>823</v>
      </c>
      <c r="E415" t="str">
        <f>IFERROR(VLOOKUP(C415,'New Adm Data (Mar to July)'!C:D,2,),"-")</f>
        <v>-</v>
      </c>
      <c r="F415">
        <f>IFERROR(VLOOKUP(D415,'New Adm Data (Aug to Nov)'!C:D,2,),"-")</f>
        <v>0</v>
      </c>
      <c r="G415" t="s">
        <v>1316</v>
      </c>
      <c r="H415" t="str">
        <f t="shared" si="18"/>
        <v>No</v>
      </c>
      <c r="I415" t="str">
        <f t="shared" si="19"/>
        <v>No</v>
      </c>
      <c r="J415" t="str">
        <f t="shared" si="20"/>
        <v>No</v>
      </c>
    </row>
    <row r="416" spans="1:10" x14ac:dyDescent="0.35">
      <c r="A416" t="s">
        <v>174</v>
      </c>
      <c r="B416" t="s">
        <v>824</v>
      </c>
      <c r="D416" t="s">
        <v>825</v>
      </c>
      <c r="E416" t="str">
        <f>IFERROR(VLOOKUP(C416,'New Adm Data (Mar to July)'!C:D,2,),"-")</f>
        <v>-</v>
      </c>
      <c r="F416">
        <f>IFERROR(VLOOKUP(D416,'New Adm Data (Aug to Nov)'!C:D,2,),"-")</f>
        <v>0</v>
      </c>
      <c r="G416" t="s">
        <v>1316</v>
      </c>
      <c r="H416" t="str">
        <f t="shared" si="18"/>
        <v>No</v>
      </c>
      <c r="I416" t="str">
        <f t="shared" si="19"/>
        <v>No</v>
      </c>
      <c r="J416" t="str">
        <f t="shared" si="20"/>
        <v>No</v>
      </c>
    </row>
    <row r="417" spans="1:10" x14ac:dyDescent="0.35">
      <c r="A417" t="s">
        <v>174</v>
      </c>
      <c r="B417" t="s">
        <v>826</v>
      </c>
      <c r="D417" t="s">
        <v>827</v>
      </c>
      <c r="E417" t="str">
        <f>IFERROR(VLOOKUP(C417,'New Adm Data (Mar to July)'!C:D,2,),"-")</f>
        <v>-</v>
      </c>
      <c r="F417">
        <f>IFERROR(VLOOKUP(D417,'New Adm Data (Aug to Nov)'!C:D,2,),"-")</f>
        <v>0</v>
      </c>
      <c r="G417" t="s">
        <v>1316</v>
      </c>
      <c r="H417" t="str">
        <f t="shared" si="18"/>
        <v>No</v>
      </c>
      <c r="I417" t="str">
        <f t="shared" si="19"/>
        <v>No</v>
      </c>
      <c r="J417" t="str">
        <f t="shared" si="20"/>
        <v>No</v>
      </c>
    </row>
    <row r="418" spans="1:10" x14ac:dyDescent="0.35">
      <c r="A418" t="s">
        <v>174</v>
      </c>
      <c r="B418" t="s">
        <v>828</v>
      </c>
      <c r="D418" t="s">
        <v>829</v>
      </c>
      <c r="E418" t="str">
        <f>IFERROR(VLOOKUP(C418,'New Adm Data (Mar to July)'!C:D,2,),"-")</f>
        <v>-</v>
      </c>
      <c r="F418">
        <f>IFERROR(VLOOKUP(D418,'New Adm Data (Aug to Nov)'!C:D,2,),"-")</f>
        <v>0</v>
      </c>
      <c r="G418" t="s">
        <v>1316</v>
      </c>
      <c r="H418" t="str">
        <f t="shared" si="18"/>
        <v>No</v>
      </c>
      <c r="I418" t="str">
        <f t="shared" si="19"/>
        <v>No</v>
      </c>
      <c r="J418" t="str">
        <f t="shared" si="20"/>
        <v>No</v>
      </c>
    </row>
    <row r="419" spans="1:10" x14ac:dyDescent="0.35">
      <c r="A419" t="s">
        <v>174</v>
      </c>
      <c r="B419" t="s">
        <v>830</v>
      </c>
      <c r="D419" t="s">
        <v>831</v>
      </c>
      <c r="E419" t="str">
        <f>IFERROR(VLOOKUP(C419,'New Adm Data (Mar to July)'!C:D,2,),"-")</f>
        <v>-</v>
      </c>
      <c r="F419">
        <f>IFERROR(VLOOKUP(D419,'New Adm Data (Aug to Nov)'!C:D,2,),"-")</f>
        <v>0</v>
      </c>
      <c r="G419" t="s">
        <v>1316</v>
      </c>
      <c r="H419" t="str">
        <f t="shared" si="18"/>
        <v>No</v>
      </c>
      <c r="I419" t="str">
        <f t="shared" si="19"/>
        <v>No</v>
      </c>
      <c r="J419" t="str">
        <f t="shared" si="20"/>
        <v>No</v>
      </c>
    </row>
    <row r="420" spans="1:10" x14ac:dyDescent="0.35">
      <c r="A420" t="s">
        <v>174</v>
      </c>
      <c r="B420" t="s">
        <v>832</v>
      </c>
      <c r="D420" t="s">
        <v>833</v>
      </c>
      <c r="E420" t="str">
        <f>IFERROR(VLOOKUP(C420,'New Adm Data (Mar to July)'!C:D,2,),"-")</f>
        <v>-</v>
      </c>
      <c r="F420">
        <f>IFERROR(VLOOKUP(D420,'New Adm Data (Aug to Nov)'!C:D,2,),"-")</f>
        <v>0</v>
      </c>
      <c r="G420" t="s">
        <v>1316</v>
      </c>
      <c r="H420" t="str">
        <f t="shared" si="18"/>
        <v>No</v>
      </c>
      <c r="I420" t="str">
        <f t="shared" si="19"/>
        <v>No</v>
      </c>
      <c r="J420" t="str">
        <f t="shared" si="20"/>
        <v>No</v>
      </c>
    </row>
    <row r="421" spans="1:10" x14ac:dyDescent="0.35">
      <c r="A421" t="s">
        <v>174</v>
      </c>
      <c r="B421" t="s">
        <v>834</v>
      </c>
      <c r="D421" t="s">
        <v>835</v>
      </c>
      <c r="E421" t="str">
        <f>IFERROR(VLOOKUP(C421,'New Adm Data (Mar to July)'!C:D,2,),"-")</f>
        <v>-</v>
      </c>
      <c r="F421">
        <f>IFERROR(VLOOKUP(D421,'New Adm Data (Aug to Nov)'!C:D,2,),"-")</f>
        <v>0</v>
      </c>
      <c r="G421" t="s">
        <v>1316</v>
      </c>
      <c r="H421" t="str">
        <f t="shared" si="18"/>
        <v>No</v>
      </c>
      <c r="I421" t="str">
        <f t="shared" si="19"/>
        <v>No</v>
      </c>
      <c r="J421" t="str">
        <f t="shared" si="20"/>
        <v>No</v>
      </c>
    </row>
    <row r="422" spans="1:10" x14ac:dyDescent="0.35">
      <c r="A422" t="s">
        <v>174</v>
      </c>
      <c r="B422" t="s">
        <v>836</v>
      </c>
      <c r="D422" t="s">
        <v>837</v>
      </c>
      <c r="E422" t="str">
        <f>IFERROR(VLOOKUP(C422,'New Adm Data (Mar to July)'!C:D,2,),"-")</f>
        <v>-</v>
      </c>
      <c r="F422">
        <f>IFERROR(VLOOKUP(D422,'New Adm Data (Aug to Nov)'!C:D,2,),"-")</f>
        <v>0</v>
      </c>
      <c r="G422" t="s">
        <v>1316</v>
      </c>
      <c r="H422" t="str">
        <f t="shared" si="18"/>
        <v>No</v>
      </c>
      <c r="I422" t="str">
        <f t="shared" si="19"/>
        <v>No</v>
      </c>
      <c r="J422" t="str">
        <f t="shared" si="20"/>
        <v>No</v>
      </c>
    </row>
    <row r="423" spans="1:10" x14ac:dyDescent="0.35">
      <c r="A423" t="s">
        <v>174</v>
      </c>
      <c r="B423" t="s">
        <v>838</v>
      </c>
      <c r="D423" t="s">
        <v>839</v>
      </c>
      <c r="E423" t="str">
        <f>IFERROR(VLOOKUP(C423,'New Adm Data (Mar to July)'!C:D,2,),"-")</f>
        <v>-</v>
      </c>
      <c r="F423">
        <f>IFERROR(VLOOKUP(D423,'New Adm Data (Aug to Nov)'!C:D,2,),"-")</f>
        <v>0</v>
      </c>
      <c r="G423" t="s">
        <v>1316</v>
      </c>
      <c r="H423" t="str">
        <f t="shared" si="18"/>
        <v>No</v>
      </c>
      <c r="I423" t="str">
        <f t="shared" si="19"/>
        <v>No</v>
      </c>
      <c r="J423" t="str">
        <f t="shared" si="20"/>
        <v>No</v>
      </c>
    </row>
    <row r="424" spans="1:10" x14ac:dyDescent="0.35">
      <c r="A424" t="s">
        <v>174</v>
      </c>
      <c r="B424" t="s">
        <v>840</v>
      </c>
      <c r="D424" t="s">
        <v>841</v>
      </c>
      <c r="E424" t="str">
        <f>IFERROR(VLOOKUP(C424,'New Adm Data (Mar to July)'!C:D,2,),"-")</f>
        <v>-</v>
      </c>
      <c r="F424">
        <f>IFERROR(VLOOKUP(D424,'New Adm Data (Aug to Nov)'!C:D,2,),"-")</f>
        <v>0</v>
      </c>
      <c r="G424" t="s">
        <v>1316</v>
      </c>
      <c r="H424" t="str">
        <f t="shared" si="18"/>
        <v>No</v>
      </c>
      <c r="I424" t="str">
        <f t="shared" si="19"/>
        <v>No</v>
      </c>
      <c r="J424" t="str">
        <f t="shared" si="20"/>
        <v>No</v>
      </c>
    </row>
    <row r="425" spans="1:10" x14ac:dyDescent="0.35">
      <c r="A425" t="s">
        <v>174</v>
      </c>
      <c r="B425" t="s">
        <v>842</v>
      </c>
      <c r="D425" t="s">
        <v>843</v>
      </c>
      <c r="E425" t="str">
        <f>IFERROR(VLOOKUP(C425,'New Adm Data (Mar to July)'!C:D,2,),"-")</f>
        <v>-</v>
      </c>
      <c r="F425">
        <f>IFERROR(VLOOKUP(D425,'New Adm Data (Aug to Nov)'!C:D,2,),"-")</f>
        <v>0</v>
      </c>
      <c r="G425" t="s">
        <v>1316</v>
      </c>
      <c r="H425" t="str">
        <f t="shared" si="18"/>
        <v>No</v>
      </c>
      <c r="I425" t="str">
        <f t="shared" si="19"/>
        <v>No</v>
      </c>
      <c r="J425" t="str">
        <f t="shared" si="20"/>
        <v>No</v>
      </c>
    </row>
    <row r="426" spans="1:10" x14ac:dyDescent="0.35">
      <c r="A426" t="s">
        <v>174</v>
      </c>
      <c r="B426" t="s">
        <v>844</v>
      </c>
      <c r="D426" t="s">
        <v>845</v>
      </c>
      <c r="E426" t="str">
        <f>IFERROR(VLOOKUP(C426,'New Adm Data (Mar to July)'!C:D,2,),"-")</f>
        <v>-</v>
      </c>
      <c r="F426">
        <f>IFERROR(VLOOKUP(D426,'New Adm Data (Aug to Nov)'!C:D,2,),"-")</f>
        <v>0</v>
      </c>
      <c r="G426" t="s">
        <v>1316</v>
      </c>
      <c r="H426" t="str">
        <f t="shared" si="18"/>
        <v>No</v>
      </c>
      <c r="I426" t="str">
        <f t="shared" si="19"/>
        <v>No</v>
      </c>
      <c r="J426" t="str">
        <f t="shared" si="20"/>
        <v>No</v>
      </c>
    </row>
    <row r="427" spans="1:10" x14ac:dyDescent="0.35">
      <c r="A427" t="s">
        <v>174</v>
      </c>
      <c r="B427" t="s">
        <v>846</v>
      </c>
      <c r="D427" t="s">
        <v>847</v>
      </c>
      <c r="E427" t="str">
        <f>IFERROR(VLOOKUP(C427,'New Adm Data (Mar to July)'!C:D,2,),"-")</f>
        <v>-</v>
      </c>
      <c r="F427">
        <f>IFERROR(VLOOKUP(D427,'New Adm Data (Aug to Nov)'!C:D,2,),"-")</f>
        <v>0</v>
      </c>
      <c r="G427" t="s">
        <v>1316</v>
      </c>
      <c r="H427" t="str">
        <f t="shared" si="18"/>
        <v>No</v>
      </c>
      <c r="I427" t="str">
        <f t="shared" si="19"/>
        <v>No</v>
      </c>
      <c r="J427" t="str">
        <f t="shared" si="20"/>
        <v>No</v>
      </c>
    </row>
    <row r="428" spans="1:10" x14ac:dyDescent="0.35">
      <c r="A428" t="s">
        <v>174</v>
      </c>
      <c r="B428" t="s">
        <v>848</v>
      </c>
      <c r="D428" t="s">
        <v>849</v>
      </c>
      <c r="E428" t="str">
        <f>IFERROR(VLOOKUP(C428,'New Adm Data (Mar to July)'!C:D,2,),"-")</f>
        <v>-</v>
      </c>
      <c r="F428">
        <f>IFERROR(VLOOKUP(D428,'New Adm Data (Aug to Nov)'!C:D,2,),"-")</f>
        <v>0</v>
      </c>
      <c r="G428" t="s">
        <v>1316</v>
      </c>
      <c r="H428" t="str">
        <f t="shared" si="18"/>
        <v>No</v>
      </c>
      <c r="I428" t="str">
        <f t="shared" si="19"/>
        <v>No</v>
      </c>
      <c r="J428" t="str">
        <f t="shared" si="20"/>
        <v>No</v>
      </c>
    </row>
    <row r="429" spans="1:10" x14ac:dyDescent="0.35">
      <c r="A429" t="s">
        <v>174</v>
      </c>
      <c r="B429" t="s">
        <v>850</v>
      </c>
      <c r="D429" t="s">
        <v>851</v>
      </c>
      <c r="E429" t="str">
        <f>IFERROR(VLOOKUP(C429,'New Adm Data (Mar to July)'!C:D,2,),"-")</f>
        <v>-</v>
      </c>
      <c r="F429">
        <f>IFERROR(VLOOKUP(D429,'New Adm Data (Aug to Nov)'!C:D,2,),"-")</f>
        <v>0</v>
      </c>
      <c r="G429" t="s">
        <v>1316</v>
      </c>
      <c r="H429" t="str">
        <f t="shared" si="18"/>
        <v>No</v>
      </c>
      <c r="I429" t="str">
        <f t="shared" si="19"/>
        <v>No</v>
      </c>
      <c r="J429" t="str">
        <f t="shared" si="20"/>
        <v>No</v>
      </c>
    </row>
    <row r="430" spans="1:10" x14ac:dyDescent="0.35">
      <c r="A430" t="s">
        <v>174</v>
      </c>
      <c r="B430" t="s">
        <v>852</v>
      </c>
      <c r="D430" t="s">
        <v>853</v>
      </c>
      <c r="E430" t="str">
        <f>IFERROR(VLOOKUP(C430,'New Adm Data (Mar to July)'!C:D,2,),"-")</f>
        <v>-</v>
      </c>
      <c r="F430">
        <f>IFERROR(VLOOKUP(D430,'New Adm Data (Aug to Nov)'!C:D,2,),"-")</f>
        <v>0</v>
      </c>
      <c r="G430" t="s">
        <v>1316</v>
      </c>
      <c r="H430" t="str">
        <f t="shared" si="18"/>
        <v>No</v>
      </c>
      <c r="I430" t="str">
        <f t="shared" si="19"/>
        <v>No</v>
      </c>
      <c r="J430" t="str">
        <f t="shared" si="20"/>
        <v>No</v>
      </c>
    </row>
    <row r="431" spans="1:10" x14ac:dyDescent="0.35">
      <c r="A431" t="s">
        <v>174</v>
      </c>
      <c r="B431" t="s">
        <v>854</v>
      </c>
      <c r="D431" t="s">
        <v>855</v>
      </c>
      <c r="E431" t="str">
        <f>IFERROR(VLOOKUP(C431,'New Adm Data (Mar to July)'!C:D,2,),"-")</f>
        <v>-</v>
      </c>
      <c r="F431">
        <f>IFERROR(VLOOKUP(D431,'New Adm Data (Aug to Nov)'!C:D,2,),"-")</f>
        <v>0</v>
      </c>
      <c r="G431" t="s">
        <v>1316</v>
      </c>
      <c r="H431" t="str">
        <f t="shared" si="18"/>
        <v>No</v>
      </c>
      <c r="I431" t="str">
        <f t="shared" si="19"/>
        <v>No</v>
      </c>
      <c r="J431" t="str">
        <f t="shared" si="20"/>
        <v>No</v>
      </c>
    </row>
    <row r="432" spans="1:10" x14ac:dyDescent="0.35">
      <c r="A432" t="s">
        <v>174</v>
      </c>
      <c r="B432" t="s">
        <v>856</v>
      </c>
      <c r="D432" t="s">
        <v>857</v>
      </c>
      <c r="E432" t="str">
        <f>IFERROR(VLOOKUP(C432,'New Adm Data (Mar to July)'!C:D,2,),"-")</f>
        <v>-</v>
      </c>
      <c r="F432">
        <f>IFERROR(VLOOKUP(D432,'New Adm Data (Aug to Nov)'!C:D,2,),"-")</f>
        <v>0</v>
      </c>
      <c r="G432" t="s">
        <v>1316</v>
      </c>
      <c r="H432" t="str">
        <f t="shared" si="18"/>
        <v>No</v>
      </c>
      <c r="I432" t="str">
        <f t="shared" si="19"/>
        <v>No</v>
      </c>
      <c r="J432" t="str">
        <f t="shared" si="20"/>
        <v>No</v>
      </c>
    </row>
    <row r="433" spans="1:10" x14ac:dyDescent="0.35">
      <c r="A433" t="s">
        <v>174</v>
      </c>
      <c r="B433" t="s">
        <v>858</v>
      </c>
      <c r="D433" t="s">
        <v>859</v>
      </c>
      <c r="E433" t="str">
        <f>IFERROR(VLOOKUP(C433,'New Adm Data (Mar to July)'!C:D,2,),"-")</f>
        <v>-</v>
      </c>
      <c r="F433">
        <f>IFERROR(VLOOKUP(D433,'New Adm Data (Aug to Nov)'!C:D,2,),"-")</f>
        <v>0</v>
      </c>
      <c r="G433" t="s">
        <v>1316</v>
      </c>
      <c r="H433" t="str">
        <f t="shared" si="18"/>
        <v>No</v>
      </c>
      <c r="I433" t="str">
        <f t="shared" si="19"/>
        <v>No</v>
      </c>
      <c r="J433" t="str">
        <f t="shared" si="20"/>
        <v>No</v>
      </c>
    </row>
    <row r="434" spans="1:10" x14ac:dyDescent="0.35">
      <c r="A434" t="s">
        <v>174</v>
      </c>
      <c r="B434" t="s">
        <v>860</v>
      </c>
      <c r="D434" t="s">
        <v>861</v>
      </c>
      <c r="E434" t="str">
        <f>IFERROR(VLOOKUP(C434,'New Adm Data (Mar to July)'!C:D,2,),"-")</f>
        <v>-</v>
      </c>
      <c r="F434">
        <f>IFERROR(VLOOKUP(D434,'New Adm Data (Aug to Nov)'!C:D,2,),"-")</f>
        <v>0</v>
      </c>
      <c r="G434" t="s">
        <v>1316</v>
      </c>
      <c r="H434" t="str">
        <f t="shared" si="18"/>
        <v>No</v>
      </c>
      <c r="I434" t="str">
        <f t="shared" si="19"/>
        <v>No</v>
      </c>
      <c r="J434" t="str">
        <f t="shared" si="20"/>
        <v>No</v>
      </c>
    </row>
    <row r="435" spans="1:10" x14ac:dyDescent="0.35">
      <c r="A435" t="s">
        <v>174</v>
      </c>
      <c r="B435" t="s">
        <v>862</v>
      </c>
      <c r="D435" t="s">
        <v>863</v>
      </c>
      <c r="E435" t="str">
        <f>IFERROR(VLOOKUP(C435,'New Adm Data (Mar to July)'!C:D,2,),"-")</f>
        <v>-</v>
      </c>
      <c r="F435">
        <f>IFERROR(VLOOKUP(D435,'New Adm Data (Aug to Nov)'!C:D,2,),"-")</f>
        <v>0</v>
      </c>
      <c r="G435" t="s">
        <v>1316</v>
      </c>
      <c r="H435" t="str">
        <f t="shared" si="18"/>
        <v>No</v>
      </c>
      <c r="I435" t="str">
        <f t="shared" si="19"/>
        <v>No</v>
      </c>
      <c r="J435" t="str">
        <f t="shared" si="20"/>
        <v>No</v>
      </c>
    </row>
    <row r="436" spans="1:10" x14ac:dyDescent="0.35">
      <c r="A436" t="s">
        <v>174</v>
      </c>
      <c r="B436" t="s">
        <v>864</v>
      </c>
      <c r="D436" t="s">
        <v>865</v>
      </c>
      <c r="E436" t="str">
        <f>IFERROR(VLOOKUP(C436,'New Adm Data (Mar to July)'!C:D,2,),"-")</f>
        <v>-</v>
      </c>
      <c r="F436">
        <f>IFERROR(VLOOKUP(D436,'New Adm Data (Aug to Nov)'!C:D,2,),"-")</f>
        <v>0</v>
      </c>
      <c r="G436" t="s">
        <v>1316</v>
      </c>
      <c r="H436" t="str">
        <f t="shared" si="18"/>
        <v>No</v>
      </c>
      <c r="I436" t="str">
        <f t="shared" si="19"/>
        <v>No</v>
      </c>
      <c r="J436" t="str">
        <f t="shared" si="20"/>
        <v>No</v>
      </c>
    </row>
    <row r="437" spans="1:10" x14ac:dyDescent="0.35">
      <c r="A437" t="s">
        <v>174</v>
      </c>
      <c r="B437" t="s">
        <v>866</v>
      </c>
      <c r="D437" t="s">
        <v>867</v>
      </c>
      <c r="E437" t="str">
        <f>IFERROR(VLOOKUP(C437,'New Adm Data (Mar to July)'!C:D,2,),"-")</f>
        <v>-</v>
      </c>
      <c r="F437">
        <f>IFERROR(VLOOKUP(D437,'New Adm Data (Aug to Nov)'!C:D,2,),"-")</f>
        <v>0</v>
      </c>
      <c r="G437" t="s">
        <v>1316</v>
      </c>
      <c r="H437" t="str">
        <f t="shared" si="18"/>
        <v>No</v>
      </c>
      <c r="I437" t="str">
        <f t="shared" si="19"/>
        <v>No</v>
      </c>
      <c r="J437" t="str">
        <f t="shared" si="20"/>
        <v>No</v>
      </c>
    </row>
    <row r="438" spans="1:10" x14ac:dyDescent="0.35">
      <c r="A438" t="s">
        <v>174</v>
      </c>
      <c r="B438" t="s">
        <v>868</v>
      </c>
      <c r="D438" t="s">
        <v>869</v>
      </c>
      <c r="E438" t="str">
        <f>IFERROR(VLOOKUP(C438,'New Adm Data (Mar to July)'!C:D,2,),"-")</f>
        <v>-</v>
      </c>
      <c r="F438">
        <f>IFERROR(VLOOKUP(D438,'New Adm Data (Aug to Nov)'!C:D,2,),"-")</f>
        <v>6</v>
      </c>
      <c r="G438" t="s">
        <v>1316</v>
      </c>
      <c r="H438" t="str">
        <f t="shared" si="18"/>
        <v>No</v>
      </c>
      <c r="I438" t="str">
        <f t="shared" si="19"/>
        <v>No</v>
      </c>
      <c r="J438" t="str">
        <f t="shared" si="20"/>
        <v>No</v>
      </c>
    </row>
    <row r="439" spans="1:10" x14ac:dyDescent="0.35">
      <c r="A439" t="s">
        <v>174</v>
      </c>
      <c r="B439" t="s">
        <v>870</v>
      </c>
      <c r="D439" t="s">
        <v>871</v>
      </c>
      <c r="E439" t="str">
        <f>IFERROR(VLOOKUP(C439,'New Adm Data (Mar to July)'!C:D,2,),"-")</f>
        <v>-</v>
      </c>
      <c r="F439">
        <f>IFERROR(VLOOKUP(D439,'New Adm Data (Aug to Nov)'!C:D,2,),"-")</f>
        <v>8</v>
      </c>
      <c r="G439" t="s">
        <v>1316</v>
      </c>
      <c r="H439" t="str">
        <f t="shared" si="18"/>
        <v>No</v>
      </c>
      <c r="I439" t="str">
        <f t="shared" si="19"/>
        <v>No</v>
      </c>
      <c r="J439" t="str">
        <f t="shared" si="20"/>
        <v>No</v>
      </c>
    </row>
    <row r="440" spans="1:10" x14ac:dyDescent="0.35">
      <c r="A440" t="s">
        <v>174</v>
      </c>
      <c r="B440" t="s">
        <v>872</v>
      </c>
      <c r="D440" t="s">
        <v>873</v>
      </c>
      <c r="E440" t="str">
        <f>IFERROR(VLOOKUP(C440,'New Adm Data (Mar to July)'!C:D,2,),"-")</f>
        <v>-</v>
      </c>
      <c r="F440">
        <f>IFERROR(VLOOKUP(D440,'New Adm Data (Aug to Nov)'!C:D,2,),"-")</f>
        <v>0</v>
      </c>
      <c r="G440" t="s">
        <v>1316</v>
      </c>
      <c r="H440" t="str">
        <f t="shared" si="18"/>
        <v>No</v>
      </c>
      <c r="I440" t="str">
        <f t="shared" si="19"/>
        <v>No</v>
      </c>
      <c r="J440" t="str">
        <f t="shared" si="20"/>
        <v>No</v>
      </c>
    </row>
    <row r="441" spans="1:10" x14ac:dyDescent="0.35">
      <c r="A441" t="s">
        <v>261</v>
      </c>
      <c r="B441" t="s">
        <v>912</v>
      </c>
      <c r="D441" t="s">
        <v>913</v>
      </c>
      <c r="E441" t="str">
        <f>IFERROR(VLOOKUP(C441,'New Adm Data (Mar to July)'!C:D,2,),"-")</f>
        <v>-</v>
      </c>
      <c r="F441">
        <f>IFERROR(VLOOKUP(D441,'New Adm Data (Aug to Nov)'!C:D,2,),"-")</f>
        <v>0</v>
      </c>
      <c r="G441" t="s">
        <v>1316</v>
      </c>
      <c r="H441" t="str">
        <f t="shared" si="18"/>
        <v>No</v>
      </c>
      <c r="I441" t="str">
        <f t="shared" si="19"/>
        <v>No</v>
      </c>
      <c r="J441" t="str">
        <f t="shared" si="20"/>
        <v>No</v>
      </c>
    </row>
    <row r="442" spans="1:10" x14ac:dyDescent="0.35">
      <c r="A442" t="s">
        <v>261</v>
      </c>
      <c r="B442" t="s">
        <v>914</v>
      </c>
      <c r="D442" t="s">
        <v>915</v>
      </c>
      <c r="E442" t="str">
        <f>IFERROR(VLOOKUP(C442,'New Adm Data (Mar to July)'!C:D,2,),"-")</f>
        <v>-</v>
      </c>
      <c r="F442">
        <f>IFERROR(VLOOKUP(D442,'New Adm Data (Aug to Nov)'!C:D,2,),"-")</f>
        <v>0</v>
      </c>
      <c r="G442" t="s">
        <v>1316</v>
      </c>
      <c r="H442" t="str">
        <f t="shared" si="18"/>
        <v>No</v>
      </c>
      <c r="I442" t="str">
        <f t="shared" si="19"/>
        <v>No</v>
      </c>
      <c r="J442" t="str">
        <f t="shared" si="20"/>
        <v>No</v>
      </c>
    </row>
    <row r="443" spans="1:10" x14ac:dyDescent="0.35">
      <c r="A443" t="s">
        <v>261</v>
      </c>
      <c r="B443" t="s">
        <v>916</v>
      </c>
      <c r="D443" t="s">
        <v>917</v>
      </c>
      <c r="E443" t="str">
        <f>IFERROR(VLOOKUP(C443,'New Adm Data (Mar to July)'!C:D,2,),"-")</f>
        <v>-</v>
      </c>
      <c r="F443">
        <f>IFERROR(VLOOKUP(D443,'New Adm Data (Aug to Nov)'!C:D,2,),"-")</f>
        <v>0</v>
      </c>
      <c r="G443" t="s">
        <v>1316</v>
      </c>
      <c r="H443" t="str">
        <f t="shared" si="18"/>
        <v>No</v>
      </c>
      <c r="I443" t="str">
        <f t="shared" si="19"/>
        <v>No</v>
      </c>
      <c r="J443" t="str">
        <f t="shared" si="20"/>
        <v>No</v>
      </c>
    </row>
    <row r="444" spans="1:10" x14ac:dyDescent="0.35">
      <c r="A444" t="s">
        <v>261</v>
      </c>
      <c r="B444" t="s">
        <v>921</v>
      </c>
      <c r="D444" t="s">
        <v>922</v>
      </c>
      <c r="E444" t="str">
        <f>IFERROR(VLOOKUP(C444,'New Adm Data (Mar to July)'!C:D,2,),"-")</f>
        <v>-</v>
      </c>
      <c r="F444">
        <f>IFERROR(VLOOKUP(D444,'New Adm Data (Aug to Nov)'!C:D,2,),"-")</f>
        <v>0</v>
      </c>
      <c r="G444" t="s">
        <v>1316</v>
      </c>
      <c r="H444" t="str">
        <f t="shared" si="18"/>
        <v>No</v>
      </c>
      <c r="I444" t="str">
        <f t="shared" si="19"/>
        <v>No</v>
      </c>
      <c r="J444" t="str">
        <f t="shared" si="20"/>
        <v>No</v>
      </c>
    </row>
    <row r="445" spans="1:10" x14ac:dyDescent="0.35">
      <c r="A445" t="s">
        <v>261</v>
      </c>
      <c r="B445" t="s">
        <v>923</v>
      </c>
      <c r="D445" t="s">
        <v>924</v>
      </c>
      <c r="E445" t="str">
        <f>IFERROR(VLOOKUP(C445,'New Adm Data (Mar to July)'!C:D,2,),"-")</f>
        <v>-</v>
      </c>
      <c r="F445">
        <f>IFERROR(VLOOKUP(D445,'New Adm Data (Aug to Nov)'!C:D,2,),"-")</f>
        <v>0</v>
      </c>
      <c r="G445" t="s">
        <v>1316</v>
      </c>
      <c r="H445" t="str">
        <f t="shared" si="18"/>
        <v>No</v>
      </c>
      <c r="I445" t="str">
        <f t="shared" si="19"/>
        <v>No</v>
      </c>
      <c r="J445" t="str">
        <f t="shared" si="20"/>
        <v>No</v>
      </c>
    </row>
    <row r="446" spans="1:10" x14ac:dyDescent="0.35">
      <c r="A446" t="s">
        <v>261</v>
      </c>
      <c r="B446" t="s">
        <v>925</v>
      </c>
      <c r="D446" t="s">
        <v>926</v>
      </c>
      <c r="E446" t="str">
        <f>IFERROR(VLOOKUP(C446,'New Adm Data (Mar to July)'!C:D,2,),"-")</f>
        <v>-</v>
      </c>
      <c r="F446">
        <f>IFERROR(VLOOKUP(D446,'New Adm Data (Aug to Nov)'!C:D,2,),"-")</f>
        <v>0</v>
      </c>
      <c r="G446" t="s">
        <v>1316</v>
      </c>
      <c r="H446" t="str">
        <f t="shared" si="18"/>
        <v>No</v>
      </c>
      <c r="I446" t="str">
        <f t="shared" si="19"/>
        <v>No</v>
      </c>
      <c r="J446" t="str">
        <f t="shared" si="20"/>
        <v>No</v>
      </c>
    </row>
    <row r="447" spans="1:10" x14ac:dyDescent="0.35">
      <c r="A447" t="s">
        <v>261</v>
      </c>
      <c r="B447" t="s">
        <v>927</v>
      </c>
      <c r="D447" t="s">
        <v>928</v>
      </c>
      <c r="E447" t="str">
        <f>IFERROR(VLOOKUP(C447,'New Adm Data (Mar to July)'!C:D,2,),"-")</f>
        <v>-</v>
      </c>
      <c r="F447">
        <f>IFERROR(VLOOKUP(D447,'New Adm Data (Aug to Nov)'!C:D,2,),"-")</f>
        <v>0</v>
      </c>
      <c r="G447" t="s">
        <v>1316</v>
      </c>
      <c r="H447" t="str">
        <f t="shared" si="18"/>
        <v>No</v>
      </c>
      <c r="I447" t="str">
        <f t="shared" si="19"/>
        <v>No</v>
      </c>
      <c r="J447" t="str">
        <f t="shared" si="20"/>
        <v>No</v>
      </c>
    </row>
    <row r="448" spans="1:10" x14ac:dyDescent="0.35">
      <c r="A448" t="s">
        <v>261</v>
      </c>
      <c r="B448" t="s">
        <v>929</v>
      </c>
      <c r="D448" t="s">
        <v>930</v>
      </c>
      <c r="E448" t="str">
        <f>IFERROR(VLOOKUP(C448,'New Adm Data (Mar to July)'!C:D,2,),"-")</f>
        <v>-</v>
      </c>
      <c r="F448">
        <f>IFERROR(VLOOKUP(D448,'New Adm Data (Aug to Nov)'!C:D,2,),"-")</f>
        <v>0</v>
      </c>
      <c r="G448" t="s">
        <v>1316</v>
      </c>
      <c r="H448" t="str">
        <f t="shared" si="18"/>
        <v>No</v>
      </c>
      <c r="I448" t="str">
        <f t="shared" si="19"/>
        <v>No</v>
      </c>
      <c r="J448" t="str">
        <f t="shared" si="20"/>
        <v>No</v>
      </c>
    </row>
    <row r="449" spans="1:10" x14ac:dyDescent="0.35">
      <c r="A449" t="s">
        <v>261</v>
      </c>
      <c r="B449" t="s">
        <v>931</v>
      </c>
      <c r="D449" t="s">
        <v>932</v>
      </c>
      <c r="E449" t="str">
        <f>IFERROR(VLOOKUP(C449,'New Adm Data (Mar to July)'!C:D,2,),"-")</f>
        <v>-</v>
      </c>
      <c r="F449">
        <f>IFERROR(VLOOKUP(D449,'New Adm Data (Aug to Nov)'!C:D,2,),"-")</f>
        <v>0</v>
      </c>
      <c r="G449" t="s">
        <v>1316</v>
      </c>
      <c r="H449" t="str">
        <f t="shared" si="18"/>
        <v>No</v>
      </c>
      <c r="I449" t="str">
        <f t="shared" si="19"/>
        <v>No</v>
      </c>
      <c r="J449" t="str">
        <f t="shared" si="20"/>
        <v>No</v>
      </c>
    </row>
    <row r="450" spans="1:10" x14ac:dyDescent="0.35">
      <c r="A450" t="s">
        <v>261</v>
      </c>
      <c r="B450" t="s">
        <v>933</v>
      </c>
      <c r="D450" t="s">
        <v>934</v>
      </c>
      <c r="E450" t="str">
        <f>IFERROR(VLOOKUP(C450,'New Adm Data (Mar to July)'!C:D,2,),"-")</f>
        <v>-</v>
      </c>
      <c r="F450">
        <f>IFERROR(VLOOKUP(D450,'New Adm Data (Aug to Nov)'!C:D,2,),"-")</f>
        <v>0</v>
      </c>
      <c r="G450" t="s">
        <v>1316</v>
      </c>
      <c r="H450" t="str">
        <f t="shared" si="18"/>
        <v>No</v>
      </c>
      <c r="I450" t="str">
        <f t="shared" si="19"/>
        <v>No</v>
      </c>
      <c r="J450" t="str">
        <f t="shared" si="20"/>
        <v>No</v>
      </c>
    </row>
    <row r="451" spans="1:10" x14ac:dyDescent="0.35">
      <c r="A451" t="s">
        <v>261</v>
      </c>
      <c r="B451" t="s">
        <v>936</v>
      </c>
      <c r="D451" t="s">
        <v>937</v>
      </c>
      <c r="E451" t="str">
        <f>IFERROR(VLOOKUP(C451,'New Adm Data (Mar to July)'!C:D,2,),"-")</f>
        <v>-</v>
      </c>
      <c r="F451">
        <f>IFERROR(VLOOKUP(D451,'New Adm Data (Aug to Nov)'!C:D,2,),"-")</f>
        <v>0</v>
      </c>
      <c r="G451" t="s">
        <v>1316</v>
      </c>
      <c r="H451" t="str">
        <f t="shared" ref="H451:H514" si="21">IF(G451&lt;&gt;"Yes",IF(SUM(E451:F451)&gt;228,"Yes","No"),"No")</f>
        <v>No</v>
      </c>
      <c r="I451" t="str">
        <f t="shared" ref="I451:I514" si="22">IF(G451="Yes",IF(SUM(E451:F451)&gt;228,"Yes","No"),"No")</f>
        <v>No</v>
      </c>
      <c r="J451" t="str">
        <f t="shared" ref="J451:J514" si="23">IF(H451="Yes","Yes",IF(I451="Yes","Yes","No"))</f>
        <v>No</v>
      </c>
    </row>
    <row r="452" spans="1:10" x14ac:dyDescent="0.35">
      <c r="A452" t="s">
        <v>261</v>
      </c>
      <c r="B452" t="s">
        <v>940</v>
      </c>
      <c r="D452" t="s">
        <v>941</v>
      </c>
      <c r="E452" t="str">
        <f>IFERROR(VLOOKUP(C452,'New Adm Data (Mar to July)'!C:D,2,),"-")</f>
        <v>-</v>
      </c>
      <c r="F452">
        <f>IFERROR(VLOOKUP(D452,'New Adm Data (Aug to Nov)'!C:D,2,),"-")</f>
        <v>0</v>
      </c>
      <c r="G452" t="s">
        <v>1316</v>
      </c>
      <c r="H452" t="str">
        <f t="shared" si="21"/>
        <v>No</v>
      </c>
      <c r="I452" t="str">
        <f t="shared" si="22"/>
        <v>No</v>
      </c>
      <c r="J452" t="str">
        <f t="shared" si="23"/>
        <v>No</v>
      </c>
    </row>
    <row r="453" spans="1:10" x14ac:dyDescent="0.35">
      <c r="A453" t="s">
        <v>261</v>
      </c>
      <c r="B453" t="s">
        <v>942</v>
      </c>
      <c r="D453" t="s">
        <v>943</v>
      </c>
      <c r="E453" t="str">
        <f>IFERROR(VLOOKUP(C453,'New Adm Data (Mar to July)'!C:D,2,),"-")</f>
        <v>-</v>
      </c>
      <c r="F453">
        <f>IFERROR(VLOOKUP(D453,'New Adm Data (Aug to Nov)'!C:D,2,),"-")</f>
        <v>0</v>
      </c>
      <c r="G453" t="s">
        <v>1316</v>
      </c>
      <c r="H453" t="str">
        <f t="shared" si="21"/>
        <v>No</v>
      </c>
      <c r="I453" t="str">
        <f t="shared" si="22"/>
        <v>No</v>
      </c>
      <c r="J453" t="str">
        <f t="shared" si="23"/>
        <v>No</v>
      </c>
    </row>
    <row r="454" spans="1:10" x14ac:dyDescent="0.35">
      <c r="A454" t="s">
        <v>261</v>
      </c>
      <c r="B454" t="s">
        <v>944</v>
      </c>
      <c r="D454" t="s">
        <v>945</v>
      </c>
      <c r="E454" t="str">
        <f>IFERROR(VLOOKUP(C454,'New Adm Data (Mar to July)'!C:D,2,),"-")</f>
        <v>-</v>
      </c>
      <c r="F454">
        <f>IFERROR(VLOOKUP(D454,'New Adm Data (Aug to Nov)'!C:D,2,),"-")</f>
        <v>0</v>
      </c>
      <c r="G454" t="s">
        <v>1316</v>
      </c>
      <c r="H454" t="str">
        <f t="shared" si="21"/>
        <v>No</v>
      </c>
      <c r="I454" t="str">
        <f t="shared" si="22"/>
        <v>No</v>
      </c>
      <c r="J454" t="str">
        <f t="shared" si="23"/>
        <v>No</v>
      </c>
    </row>
    <row r="455" spans="1:10" x14ac:dyDescent="0.35">
      <c r="A455" t="s">
        <v>261</v>
      </c>
      <c r="B455" t="s">
        <v>946</v>
      </c>
      <c r="D455" t="s">
        <v>947</v>
      </c>
      <c r="E455" t="str">
        <f>IFERROR(VLOOKUP(C455,'New Adm Data (Mar to July)'!C:D,2,),"-")</f>
        <v>-</v>
      </c>
      <c r="F455">
        <f>IFERROR(VLOOKUP(D455,'New Adm Data (Aug to Nov)'!C:D,2,),"-")</f>
        <v>0</v>
      </c>
      <c r="G455" t="s">
        <v>1316</v>
      </c>
      <c r="H455" t="str">
        <f t="shared" si="21"/>
        <v>No</v>
      </c>
      <c r="I455" t="str">
        <f t="shared" si="22"/>
        <v>No</v>
      </c>
      <c r="J455" t="str">
        <f t="shared" si="23"/>
        <v>No</v>
      </c>
    </row>
    <row r="456" spans="1:10" x14ac:dyDescent="0.35">
      <c r="A456" t="s">
        <v>261</v>
      </c>
      <c r="B456" t="s">
        <v>948</v>
      </c>
      <c r="D456" t="s">
        <v>949</v>
      </c>
      <c r="E456" t="str">
        <f>IFERROR(VLOOKUP(C456,'New Adm Data (Mar to July)'!C:D,2,),"-")</f>
        <v>-</v>
      </c>
      <c r="F456">
        <f>IFERROR(VLOOKUP(D456,'New Adm Data (Aug to Nov)'!C:D,2,),"-")</f>
        <v>0</v>
      </c>
      <c r="G456" t="s">
        <v>1316</v>
      </c>
      <c r="H456" t="str">
        <f t="shared" si="21"/>
        <v>No</v>
      </c>
      <c r="I456" t="str">
        <f t="shared" si="22"/>
        <v>No</v>
      </c>
      <c r="J456" t="str">
        <f t="shared" si="23"/>
        <v>No</v>
      </c>
    </row>
    <row r="457" spans="1:10" x14ac:dyDescent="0.35">
      <c r="A457" t="s">
        <v>261</v>
      </c>
      <c r="B457" t="s">
        <v>950</v>
      </c>
      <c r="D457" t="s">
        <v>951</v>
      </c>
      <c r="E457" t="str">
        <f>IFERROR(VLOOKUP(C457,'New Adm Data (Mar to July)'!C:D,2,),"-")</f>
        <v>-</v>
      </c>
      <c r="F457">
        <f>IFERROR(VLOOKUP(D457,'New Adm Data (Aug to Nov)'!C:D,2,),"-")</f>
        <v>0</v>
      </c>
      <c r="G457" t="s">
        <v>1316</v>
      </c>
      <c r="H457" t="str">
        <f t="shared" si="21"/>
        <v>No</v>
      </c>
      <c r="I457" t="str">
        <f t="shared" si="22"/>
        <v>No</v>
      </c>
      <c r="J457" t="str">
        <f t="shared" si="23"/>
        <v>No</v>
      </c>
    </row>
    <row r="458" spans="1:10" x14ac:dyDescent="0.35">
      <c r="A458" t="s">
        <v>261</v>
      </c>
      <c r="B458" t="s">
        <v>952</v>
      </c>
      <c r="D458" t="s">
        <v>953</v>
      </c>
      <c r="E458" t="str">
        <f>IFERROR(VLOOKUP(C458,'New Adm Data (Mar to July)'!C:D,2,),"-")</f>
        <v>-</v>
      </c>
      <c r="F458">
        <f>IFERROR(VLOOKUP(D458,'New Adm Data (Aug to Nov)'!C:D,2,),"-")</f>
        <v>0</v>
      </c>
      <c r="G458" t="s">
        <v>1316</v>
      </c>
      <c r="H458" t="str">
        <f t="shared" si="21"/>
        <v>No</v>
      </c>
      <c r="I458" t="str">
        <f t="shared" si="22"/>
        <v>No</v>
      </c>
      <c r="J458" t="str">
        <f t="shared" si="23"/>
        <v>No</v>
      </c>
    </row>
    <row r="459" spans="1:10" x14ac:dyDescent="0.35">
      <c r="A459" t="s">
        <v>261</v>
      </c>
      <c r="B459" t="s">
        <v>954</v>
      </c>
      <c r="D459" t="s">
        <v>955</v>
      </c>
      <c r="E459" t="str">
        <f>IFERROR(VLOOKUP(C459,'New Adm Data (Mar to July)'!C:D,2,),"-")</f>
        <v>-</v>
      </c>
      <c r="F459">
        <f>IFERROR(VLOOKUP(D459,'New Adm Data (Aug to Nov)'!C:D,2,),"-")</f>
        <v>0</v>
      </c>
      <c r="G459" t="s">
        <v>1316</v>
      </c>
      <c r="H459" t="str">
        <f t="shared" si="21"/>
        <v>No</v>
      </c>
      <c r="I459" t="str">
        <f t="shared" si="22"/>
        <v>No</v>
      </c>
      <c r="J459" t="str">
        <f t="shared" si="23"/>
        <v>No</v>
      </c>
    </row>
    <row r="460" spans="1:10" x14ac:dyDescent="0.35">
      <c r="A460" t="s">
        <v>261</v>
      </c>
      <c r="B460" t="s">
        <v>956</v>
      </c>
      <c r="D460" t="s">
        <v>957</v>
      </c>
      <c r="E460" t="str">
        <f>IFERROR(VLOOKUP(C460,'New Adm Data (Mar to July)'!C:D,2,),"-")</f>
        <v>-</v>
      </c>
      <c r="F460">
        <f>IFERROR(VLOOKUP(D460,'New Adm Data (Aug to Nov)'!C:D,2,),"-")</f>
        <v>0</v>
      </c>
      <c r="G460" t="s">
        <v>1316</v>
      </c>
      <c r="H460" t="str">
        <f t="shared" si="21"/>
        <v>No</v>
      </c>
      <c r="I460" t="str">
        <f t="shared" si="22"/>
        <v>No</v>
      </c>
      <c r="J460" t="str">
        <f t="shared" si="23"/>
        <v>No</v>
      </c>
    </row>
    <row r="461" spans="1:10" x14ac:dyDescent="0.35">
      <c r="A461" t="s">
        <v>261</v>
      </c>
      <c r="B461" t="s">
        <v>958</v>
      </c>
      <c r="D461" t="s">
        <v>959</v>
      </c>
      <c r="E461" t="str">
        <f>IFERROR(VLOOKUP(C461,'New Adm Data (Mar to July)'!C:D,2,),"-")</f>
        <v>-</v>
      </c>
      <c r="F461">
        <f>IFERROR(VLOOKUP(D461,'New Adm Data (Aug to Nov)'!C:D,2,),"-")</f>
        <v>0</v>
      </c>
      <c r="G461" t="s">
        <v>1316</v>
      </c>
      <c r="H461" t="str">
        <f t="shared" si="21"/>
        <v>No</v>
      </c>
      <c r="I461" t="str">
        <f t="shared" si="22"/>
        <v>No</v>
      </c>
      <c r="J461" t="str">
        <f t="shared" si="23"/>
        <v>No</v>
      </c>
    </row>
    <row r="462" spans="1:10" x14ac:dyDescent="0.35">
      <c r="A462" t="s">
        <v>261</v>
      </c>
      <c r="B462" t="s">
        <v>960</v>
      </c>
      <c r="D462" t="s">
        <v>961</v>
      </c>
      <c r="E462" t="str">
        <f>IFERROR(VLOOKUP(C462,'New Adm Data (Mar to July)'!C:D,2,),"-")</f>
        <v>-</v>
      </c>
      <c r="F462">
        <f>IFERROR(VLOOKUP(D462,'New Adm Data (Aug to Nov)'!C:D,2,),"-")</f>
        <v>0</v>
      </c>
      <c r="G462" t="s">
        <v>1316</v>
      </c>
      <c r="H462" t="str">
        <f t="shared" si="21"/>
        <v>No</v>
      </c>
      <c r="I462" t="str">
        <f t="shared" si="22"/>
        <v>No</v>
      </c>
      <c r="J462" t="str">
        <f t="shared" si="23"/>
        <v>No</v>
      </c>
    </row>
    <row r="463" spans="1:10" x14ac:dyDescent="0.35">
      <c r="A463" t="s">
        <v>261</v>
      </c>
      <c r="B463" t="s">
        <v>962</v>
      </c>
      <c r="D463" t="s">
        <v>963</v>
      </c>
      <c r="E463" t="str">
        <f>IFERROR(VLOOKUP(C463,'New Adm Data (Mar to July)'!C:D,2,),"-")</f>
        <v>-</v>
      </c>
      <c r="F463">
        <f>IFERROR(VLOOKUP(D463,'New Adm Data (Aug to Nov)'!C:D,2,),"-")</f>
        <v>0</v>
      </c>
      <c r="G463" t="s">
        <v>1316</v>
      </c>
      <c r="H463" t="str">
        <f t="shared" si="21"/>
        <v>No</v>
      </c>
      <c r="I463" t="str">
        <f t="shared" si="22"/>
        <v>No</v>
      </c>
      <c r="J463" t="str">
        <f t="shared" si="23"/>
        <v>No</v>
      </c>
    </row>
    <row r="464" spans="1:10" x14ac:dyDescent="0.35">
      <c r="A464" t="s">
        <v>261</v>
      </c>
      <c r="B464" t="s">
        <v>964</v>
      </c>
      <c r="D464" t="s">
        <v>965</v>
      </c>
      <c r="E464" t="str">
        <f>IFERROR(VLOOKUP(C464,'New Adm Data (Mar to July)'!C:D,2,),"-")</f>
        <v>-</v>
      </c>
      <c r="F464">
        <f>IFERROR(VLOOKUP(D464,'New Adm Data (Aug to Nov)'!C:D,2,),"-")</f>
        <v>0</v>
      </c>
      <c r="G464" t="s">
        <v>1316</v>
      </c>
      <c r="H464" t="str">
        <f t="shared" si="21"/>
        <v>No</v>
      </c>
      <c r="I464" t="str">
        <f t="shared" si="22"/>
        <v>No</v>
      </c>
      <c r="J464" t="str">
        <f t="shared" si="23"/>
        <v>No</v>
      </c>
    </row>
    <row r="465" spans="1:10" x14ac:dyDescent="0.35">
      <c r="A465" t="s">
        <v>261</v>
      </c>
      <c r="B465" t="s">
        <v>966</v>
      </c>
      <c r="D465" t="s">
        <v>967</v>
      </c>
      <c r="E465" t="str">
        <f>IFERROR(VLOOKUP(C465,'New Adm Data (Mar to July)'!C:D,2,),"-")</f>
        <v>-</v>
      </c>
      <c r="F465">
        <f>IFERROR(VLOOKUP(D465,'New Adm Data (Aug to Nov)'!C:D,2,),"-")</f>
        <v>0</v>
      </c>
      <c r="G465" t="s">
        <v>1316</v>
      </c>
      <c r="H465" t="str">
        <f t="shared" si="21"/>
        <v>No</v>
      </c>
      <c r="I465" t="str">
        <f t="shared" si="22"/>
        <v>No</v>
      </c>
      <c r="J465" t="str">
        <f t="shared" si="23"/>
        <v>No</v>
      </c>
    </row>
    <row r="466" spans="1:10" x14ac:dyDescent="0.35">
      <c r="A466" t="s">
        <v>261</v>
      </c>
      <c r="B466" t="s">
        <v>968</v>
      </c>
      <c r="D466" t="s">
        <v>969</v>
      </c>
      <c r="E466" t="str">
        <f>IFERROR(VLOOKUP(C466,'New Adm Data (Mar to July)'!C:D,2,),"-")</f>
        <v>-</v>
      </c>
      <c r="F466">
        <f>IFERROR(VLOOKUP(D466,'New Adm Data (Aug to Nov)'!C:D,2,),"-")</f>
        <v>0</v>
      </c>
      <c r="G466" t="s">
        <v>1316</v>
      </c>
      <c r="H466" t="str">
        <f t="shared" si="21"/>
        <v>No</v>
      </c>
      <c r="I466" t="str">
        <f t="shared" si="22"/>
        <v>No</v>
      </c>
      <c r="J466" t="str">
        <f t="shared" si="23"/>
        <v>No</v>
      </c>
    </row>
    <row r="467" spans="1:10" x14ac:dyDescent="0.35">
      <c r="A467" t="s">
        <v>261</v>
      </c>
      <c r="B467" t="s">
        <v>970</v>
      </c>
      <c r="D467" t="s">
        <v>971</v>
      </c>
      <c r="E467" t="str">
        <f>IFERROR(VLOOKUP(C467,'New Adm Data (Mar to July)'!C:D,2,),"-")</f>
        <v>-</v>
      </c>
      <c r="F467">
        <f>IFERROR(VLOOKUP(D467,'New Adm Data (Aug to Nov)'!C:D,2,),"-")</f>
        <v>0</v>
      </c>
      <c r="G467" t="s">
        <v>1316</v>
      </c>
      <c r="H467" t="str">
        <f t="shared" si="21"/>
        <v>No</v>
      </c>
      <c r="I467" t="str">
        <f t="shared" si="22"/>
        <v>No</v>
      </c>
      <c r="J467" t="str">
        <f t="shared" si="23"/>
        <v>No</v>
      </c>
    </row>
    <row r="468" spans="1:10" x14ac:dyDescent="0.35">
      <c r="A468" t="s">
        <v>261</v>
      </c>
      <c r="B468" t="s">
        <v>972</v>
      </c>
      <c r="D468" t="s">
        <v>973</v>
      </c>
      <c r="E468" t="str">
        <f>IFERROR(VLOOKUP(C468,'New Adm Data (Mar to July)'!C:D,2,),"-")</f>
        <v>-</v>
      </c>
      <c r="F468">
        <f>IFERROR(VLOOKUP(D468,'New Adm Data (Aug to Nov)'!C:D,2,),"-")</f>
        <v>0</v>
      </c>
      <c r="G468" t="s">
        <v>1316</v>
      </c>
      <c r="H468" t="str">
        <f t="shared" si="21"/>
        <v>No</v>
      </c>
      <c r="I468" t="str">
        <f t="shared" si="22"/>
        <v>No</v>
      </c>
      <c r="J468" t="str">
        <f t="shared" si="23"/>
        <v>No</v>
      </c>
    </row>
    <row r="469" spans="1:10" x14ac:dyDescent="0.35">
      <c r="A469" t="s">
        <v>261</v>
      </c>
      <c r="B469" t="s">
        <v>974</v>
      </c>
      <c r="D469" t="s">
        <v>975</v>
      </c>
      <c r="E469" t="str">
        <f>IFERROR(VLOOKUP(C469,'New Adm Data (Mar to July)'!C:D,2,),"-")</f>
        <v>-</v>
      </c>
      <c r="F469">
        <f>IFERROR(VLOOKUP(D469,'New Adm Data (Aug to Nov)'!C:D,2,),"-")</f>
        <v>0</v>
      </c>
      <c r="G469" t="s">
        <v>1316</v>
      </c>
      <c r="H469" t="str">
        <f t="shared" si="21"/>
        <v>No</v>
      </c>
      <c r="I469" t="str">
        <f t="shared" si="22"/>
        <v>No</v>
      </c>
      <c r="J469" t="str">
        <f t="shared" si="23"/>
        <v>No</v>
      </c>
    </row>
    <row r="470" spans="1:10" x14ac:dyDescent="0.35">
      <c r="A470" t="s">
        <v>261</v>
      </c>
      <c r="B470" t="s">
        <v>976</v>
      </c>
      <c r="D470" t="s">
        <v>977</v>
      </c>
      <c r="E470" t="str">
        <f>IFERROR(VLOOKUP(C470,'New Adm Data (Mar to July)'!C:D,2,),"-")</f>
        <v>-</v>
      </c>
      <c r="F470">
        <f>IFERROR(VLOOKUP(D470,'New Adm Data (Aug to Nov)'!C:D,2,),"-")</f>
        <v>0</v>
      </c>
      <c r="G470" t="s">
        <v>1316</v>
      </c>
      <c r="H470" t="str">
        <f t="shared" si="21"/>
        <v>No</v>
      </c>
      <c r="I470" t="str">
        <f t="shared" si="22"/>
        <v>No</v>
      </c>
      <c r="J470" t="str">
        <f t="shared" si="23"/>
        <v>No</v>
      </c>
    </row>
    <row r="471" spans="1:10" x14ac:dyDescent="0.35">
      <c r="A471" t="s">
        <v>261</v>
      </c>
      <c r="B471" t="s">
        <v>978</v>
      </c>
      <c r="D471" t="s">
        <v>979</v>
      </c>
      <c r="E471" t="str">
        <f>IFERROR(VLOOKUP(C471,'New Adm Data (Mar to July)'!C:D,2,),"-")</f>
        <v>-</v>
      </c>
      <c r="F471">
        <f>IFERROR(VLOOKUP(D471,'New Adm Data (Aug to Nov)'!C:D,2,),"-")</f>
        <v>0</v>
      </c>
      <c r="G471" t="s">
        <v>1316</v>
      </c>
      <c r="H471" t="str">
        <f t="shared" si="21"/>
        <v>No</v>
      </c>
      <c r="I471" t="str">
        <f t="shared" si="22"/>
        <v>No</v>
      </c>
      <c r="J471" t="str">
        <f t="shared" si="23"/>
        <v>No</v>
      </c>
    </row>
    <row r="472" spans="1:10" x14ac:dyDescent="0.35">
      <c r="A472" t="s">
        <v>261</v>
      </c>
      <c r="B472" t="s">
        <v>980</v>
      </c>
      <c r="D472" t="s">
        <v>981</v>
      </c>
      <c r="E472" t="str">
        <f>IFERROR(VLOOKUP(C472,'New Adm Data (Mar to July)'!C:D,2,),"-")</f>
        <v>-</v>
      </c>
      <c r="F472">
        <f>IFERROR(VLOOKUP(D472,'New Adm Data (Aug to Nov)'!C:D,2,),"-")</f>
        <v>0</v>
      </c>
      <c r="G472" t="s">
        <v>1316</v>
      </c>
      <c r="H472" t="str">
        <f t="shared" si="21"/>
        <v>No</v>
      </c>
      <c r="I472" t="str">
        <f t="shared" si="22"/>
        <v>No</v>
      </c>
      <c r="J472" t="str">
        <f t="shared" si="23"/>
        <v>No</v>
      </c>
    </row>
    <row r="473" spans="1:10" x14ac:dyDescent="0.35">
      <c r="A473" t="s">
        <v>261</v>
      </c>
      <c r="B473" t="s">
        <v>982</v>
      </c>
      <c r="D473" t="s">
        <v>983</v>
      </c>
      <c r="E473" t="str">
        <f>IFERROR(VLOOKUP(C473,'New Adm Data (Mar to July)'!C:D,2,),"-")</f>
        <v>-</v>
      </c>
      <c r="F473">
        <f>IFERROR(VLOOKUP(D473,'New Adm Data (Aug to Nov)'!C:D,2,),"-")</f>
        <v>0</v>
      </c>
      <c r="G473" t="s">
        <v>1316</v>
      </c>
      <c r="H473" t="str">
        <f t="shared" si="21"/>
        <v>No</v>
      </c>
      <c r="I473" t="str">
        <f t="shared" si="22"/>
        <v>No</v>
      </c>
      <c r="J473" t="str">
        <f t="shared" si="23"/>
        <v>No</v>
      </c>
    </row>
    <row r="474" spans="1:10" x14ac:dyDescent="0.35">
      <c r="A474" t="s">
        <v>261</v>
      </c>
      <c r="B474" t="s">
        <v>984</v>
      </c>
      <c r="D474" t="s">
        <v>985</v>
      </c>
      <c r="E474" t="str">
        <f>IFERROR(VLOOKUP(C474,'New Adm Data (Mar to July)'!C:D,2,),"-")</f>
        <v>-</v>
      </c>
      <c r="F474">
        <f>IFERROR(VLOOKUP(D474,'New Adm Data (Aug to Nov)'!C:D,2,),"-")</f>
        <v>0</v>
      </c>
      <c r="G474" t="s">
        <v>1316</v>
      </c>
      <c r="H474" t="str">
        <f t="shared" si="21"/>
        <v>No</v>
      </c>
      <c r="I474" t="str">
        <f t="shared" si="22"/>
        <v>No</v>
      </c>
      <c r="J474" t="str">
        <f t="shared" si="23"/>
        <v>No</v>
      </c>
    </row>
    <row r="475" spans="1:10" x14ac:dyDescent="0.35">
      <c r="A475" t="s">
        <v>342</v>
      </c>
      <c r="B475" t="s">
        <v>1017</v>
      </c>
      <c r="D475" t="s">
        <v>1018</v>
      </c>
      <c r="E475" t="str">
        <f>IFERROR(VLOOKUP(C475,'New Adm Data (Mar to July)'!C:D,2,),"-")</f>
        <v>-</v>
      </c>
      <c r="F475">
        <f>IFERROR(VLOOKUP(D475,'New Adm Data (Aug to Nov)'!C:D,2,),"-")</f>
        <v>0</v>
      </c>
      <c r="G475" t="s">
        <v>1316</v>
      </c>
      <c r="H475" t="str">
        <f t="shared" si="21"/>
        <v>No</v>
      </c>
      <c r="I475" t="str">
        <f t="shared" si="22"/>
        <v>No</v>
      </c>
      <c r="J475" t="str">
        <f t="shared" si="23"/>
        <v>No</v>
      </c>
    </row>
    <row r="476" spans="1:10" x14ac:dyDescent="0.35">
      <c r="A476" t="s">
        <v>342</v>
      </c>
      <c r="B476" t="s">
        <v>1019</v>
      </c>
      <c r="D476" t="s">
        <v>1020</v>
      </c>
      <c r="E476" t="str">
        <f>IFERROR(VLOOKUP(C476,'New Adm Data (Mar to July)'!C:D,2,),"-")</f>
        <v>-</v>
      </c>
      <c r="F476">
        <f>IFERROR(VLOOKUP(D476,'New Adm Data (Aug to Nov)'!C:D,2,),"-")</f>
        <v>0</v>
      </c>
      <c r="G476" t="s">
        <v>1316</v>
      </c>
      <c r="H476" t="str">
        <f t="shared" si="21"/>
        <v>No</v>
      </c>
      <c r="I476" t="str">
        <f t="shared" si="22"/>
        <v>No</v>
      </c>
      <c r="J476" t="str">
        <f t="shared" si="23"/>
        <v>No</v>
      </c>
    </row>
    <row r="477" spans="1:10" x14ac:dyDescent="0.35">
      <c r="A477" t="s">
        <v>342</v>
      </c>
      <c r="B477" t="s">
        <v>1021</v>
      </c>
      <c r="D477" t="s">
        <v>1022</v>
      </c>
      <c r="E477" t="str">
        <f>IFERROR(VLOOKUP(C477,'New Adm Data (Mar to July)'!C:D,2,),"-")</f>
        <v>-</v>
      </c>
      <c r="F477">
        <f>IFERROR(VLOOKUP(D477,'New Adm Data (Aug to Nov)'!C:D,2,),"-")</f>
        <v>0</v>
      </c>
      <c r="G477" t="s">
        <v>1316</v>
      </c>
      <c r="H477" t="str">
        <f t="shared" si="21"/>
        <v>No</v>
      </c>
      <c r="I477" t="str">
        <f t="shared" si="22"/>
        <v>No</v>
      </c>
      <c r="J477" t="str">
        <f t="shared" si="23"/>
        <v>No</v>
      </c>
    </row>
    <row r="478" spans="1:10" x14ac:dyDescent="0.35">
      <c r="A478" t="s">
        <v>342</v>
      </c>
      <c r="B478" t="s">
        <v>1023</v>
      </c>
      <c r="D478" t="s">
        <v>1024</v>
      </c>
      <c r="E478" t="str">
        <f>IFERROR(VLOOKUP(C478,'New Adm Data (Mar to July)'!C:D,2,),"-")</f>
        <v>-</v>
      </c>
      <c r="F478">
        <f>IFERROR(VLOOKUP(D478,'New Adm Data (Aug to Nov)'!C:D,2,),"-")</f>
        <v>0</v>
      </c>
      <c r="G478" t="s">
        <v>1316</v>
      </c>
      <c r="H478" t="str">
        <f t="shared" si="21"/>
        <v>No</v>
      </c>
      <c r="I478" t="str">
        <f t="shared" si="22"/>
        <v>No</v>
      </c>
      <c r="J478" t="str">
        <f t="shared" si="23"/>
        <v>No</v>
      </c>
    </row>
    <row r="479" spans="1:10" x14ac:dyDescent="0.35">
      <c r="A479" t="s">
        <v>342</v>
      </c>
      <c r="B479" t="s">
        <v>1027</v>
      </c>
      <c r="D479" t="s">
        <v>1028</v>
      </c>
      <c r="E479" t="str">
        <f>IFERROR(VLOOKUP(C479,'New Adm Data (Mar to July)'!C:D,2,),"-")</f>
        <v>-</v>
      </c>
      <c r="F479">
        <f>IFERROR(VLOOKUP(D479,'New Adm Data (Aug to Nov)'!C:D,2,),"-")</f>
        <v>0</v>
      </c>
      <c r="G479" t="s">
        <v>1316</v>
      </c>
      <c r="H479" t="str">
        <f t="shared" si="21"/>
        <v>No</v>
      </c>
      <c r="I479" t="str">
        <f t="shared" si="22"/>
        <v>No</v>
      </c>
      <c r="J479" t="str">
        <f t="shared" si="23"/>
        <v>No</v>
      </c>
    </row>
    <row r="480" spans="1:10" x14ac:dyDescent="0.35">
      <c r="A480" t="s">
        <v>342</v>
      </c>
      <c r="B480" t="s">
        <v>1029</v>
      </c>
      <c r="D480" t="s">
        <v>1030</v>
      </c>
      <c r="E480" t="str">
        <f>IFERROR(VLOOKUP(C480,'New Adm Data (Mar to July)'!C:D,2,),"-")</f>
        <v>-</v>
      </c>
      <c r="F480">
        <f>IFERROR(VLOOKUP(D480,'New Adm Data (Aug to Nov)'!C:D,2,),"-")</f>
        <v>0</v>
      </c>
      <c r="G480" t="s">
        <v>1316</v>
      </c>
      <c r="H480" t="str">
        <f t="shared" si="21"/>
        <v>No</v>
      </c>
      <c r="I480" t="str">
        <f t="shared" si="22"/>
        <v>No</v>
      </c>
      <c r="J480" t="str">
        <f t="shared" si="23"/>
        <v>No</v>
      </c>
    </row>
    <row r="481" spans="1:10" x14ac:dyDescent="0.35">
      <c r="A481" t="s">
        <v>342</v>
      </c>
      <c r="B481" t="s">
        <v>1031</v>
      </c>
      <c r="D481" t="s">
        <v>1032</v>
      </c>
      <c r="E481" t="str">
        <f>IFERROR(VLOOKUP(C481,'New Adm Data (Mar to July)'!C:D,2,),"-")</f>
        <v>-</v>
      </c>
      <c r="F481">
        <f>IFERROR(VLOOKUP(D481,'New Adm Data (Aug to Nov)'!C:D,2,),"-")</f>
        <v>0</v>
      </c>
      <c r="G481" t="s">
        <v>1316</v>
      </c>
      <c r="H481" t="str">
        <f t="shared" si="21"/>
        <v>No</v>
      </c>
      <c r="I481" t="str">
        <f t="shared" si="22"/>
        <v>No</v>
      </c>
      <c r="J481" t="str">
        <f t="shared" si="23"/>
        <v>No</v>
      </c>
    </row>
    <row r="482" spans="1:10" x14ac:dyDescent="0.35">
      <c r="A482" t="s">
        <v>342</v>
      </c>
      <c r="B482" t="s">
        <v>1033</v>
      </c>
      <c r="D482" t="s">
        <v>1034</v>
      </c>
      <c r="E482" t="str">
        <f>IFERROR(VLOOKUP(C482,'New Adm Data (Mar to July)'!C:D,2,),"-")</f>
        <v>-</v>
      </c>
      <c r="F482">
        <f>IFERROR(VLOOKUP(D482,'New Adm Data (Aug to Nov)'!C:D,2,),"-")</f>
        <v>0</v>
      </c>
      <c r="G482" t="s">
        <v>1316</v>
      </c>
      <c r="H482" t="str">
        <f t="shared" si="21"/>
        <v>No</v>
      </c>
      <c r="I482" t="str">
        <f t="shared" si="22"/>
        <v>No</v>
      </c>
      <c r="J482" t="str">
        <f t="shared" si="23"/>
        <v>No</v>
      </c>
    </row>
    <row r="483" spans="1:10" x14ac:dyDescent="0.35">
      <c r="A483" t="s">
        <v>342</v>
      </c>
      <c r="B483" t="s">
        <v>1035</v>
      </c>
      <c r="D483" t="s">
        <v>1036</v>
      </c>
      <c r="E483" t="str">
        <f>IFERROR(VLOOKUP(C483,'New Adm Data (Mar to July)'!C:D,2,),"-")</f>
        <v>-</v>
      </c>
      <c r="F483">
        <f>IFERROR(VLOOKUP(D483,'New Adm Data (Aug to Nov)'!C:D,2,),"-")</f>
        <v>0</v>
      </c>
      <c r="G483" t="s">
        <v>1316</v>
      </c>
      <c r="H483" t="str">
        <f t="shared" si="21"/>
        <v>No</v>
      </c>
      <c r="I483" t="str">
        <f t="shared" si="22"/>
        <v>No</v>
      </c>
      <c r="J483" t="str">
        <f t="shared" si="23"/>
        <v>No</v>
      </c>
    </row>
    <row r="484" spans="1:10" x14ac:dyDescent="0.35">
      <c r="A484" t="s">
        <v>342</v>
      </c>
      <c r="B484" t="s">
        <v>1037</v>
      </c>
      <c r="D484" t="s">
        <v>1038</v>
      </c>
      <c r="E484" t="str">
        <f>IFERROR(VLOOKUP(C484,'New Adm Data (Mar to July)'!C:D,2,),"-")</f>
        <v>-</v>
      </c>
      <c r="F484">
        <f>IFERROR(VLOOKUP(D484,'New Adm Data (Aug to Nov)'!C:D,2,),"-")</f>
        <v>0</v>
      </c>
      <c r="G484" t="s">
        <v>1316</v>
      </c>
      <c r="H484" t="str">
        <f t="shared" si="21"/>
        <v>No</v>
      </c>
      <c r="I484" t="str">
        <f t="shared" si="22"/>
        <v>No</v>
      </c>
      <c r="J484" t="str">
        <f t="shared" si="23"/>
        <v>No</v>
      </c>
    </row>
    <row r="485" spans="1:10" x14ac:dyDescent="0.35">
      <c r="A485" t="s">
        <v>342</v>
      </c>
      <c r="B485" t="s">
        <v>1039</v>
      </c>
      <c r="D485" t="s">
        <v>1040</v>
      </c>
      <c r="E485" t="str">
        <f>IFERROR(VLOOKUP(C485,'New Adm Data (Mar to July)'!C:D,2,),"-")</f>
        <v>-</v>
      </c>
      <c r="F485">
        <f>IFERROR(VLOOKUP(D485,'New Adm Data (Aug to Nov)'!C:D,2,),"-")</f>
        <v>0</v>
      </c>
      <c r="G485" t="s">
        <v>1316</v>
      </c>
      <c r="H485" t="str">
        <f t="shared" si="21"/>
        <v>No</v>
      </c>
      <c r="I485" t="str">
        <f t="shared" si="22"/>
        <v>No</v>
      </c>
      <c r="J485" t="str">
        <f t="shared" si="23"/>
        <v>No</v>
      </c>
    </row>
    <row r="486" spans="1:10" x14ac:dyDescent="0.35">
      <c r="A486" t="s">
        <v>342</v>
      </c>
      <c r="B486" t="s">
        <v>1041</v>
      </c>
      <c r="D486" t="s">
        <v>1042</v>
      </c>
      <c r="E486" t="str">
        <f>IFERROR(VLOOKUP(C486,'New Adm Data (Mar to July)'!C:D,2,),"-")</f>
        <v>-</v>
      </c>
      <c r="F486">
        <f>IFERROR(VLOOKUP(D486,'New Adm Data (Aug to Nov)'!C:D,2,),"-")</f>
        <v>0</v>
      </c>
      <c r="G486" t="s">
        <v>1316</v>
      </c>
      <c r="H486" t="str">
        <f t="shared" si="21"/>
        <v>No</v>
      </c>
      <c r="I486" t="str">
        <f t="shared" si="22"/>
        <v>No</v>
      </c>
      <c r="J486" t="str">
        <f t="shared" si="23"/>
        <v>No</v>
      </c>
    </row>
    <row r="487" spans="1:10" x14ac:dyDescent="0.35">
      <c r="A487" t="s">
        <v>342</v>
      </c>
      <c r="B487" t="s">
        <v>1043</v>
      </c>
      <c r="D487" t="s">
        <v>1044</v>
      </c>
      <c r="E487" t="str">
        <f>IFERROR(VLOOKUP(C487,'New Adm Data (Mar to July)'!C:D,2,),"-")</f>
        <v>-</v>
      </c>
      <c r="F487">
        <f>IFERROR(VLOOKUP(D487,'New Adm Data (Aug to Nov)'!C:D,2,),"-")</f>
        <v>0</v>
      </c>
      <c r="G487" t="s">
        <v>1316</v>
      </c>
      <c r="H487" t="str">
        <f t="shared" si="21"/>
        <v>No</v>
      </c>
      <c r="I487" t="str">
        <f t="shared" si="22"/>
        <v>No</v>
      </c>
      <c r="J487" t="str">
        <f t="shared" si="23"/>
        <v>No</v>
      </c>
    </row>
    <row r="488" spans="1:10" x14ac:dyDescent="0.35">
      <c r="A488" t="s">
        <v>342</v>
      </c>
      <c r="B488" t="s">
        <v>1045</v>
      </c>
      <c r="D488" t="s">
        <v>1046</v>
      </c>
      <c r="E488" t="str">
        <f>IFERROR(VLOOKUP(C488,'New Adm Data (Mar to July)'!C:D,2,),"-")</f>
        <v>-</v>
      </c>
      <c r="F488">
        <f>IFERROR(VLOOKUP(D488,'New Adm Data (Aug to Nov)'!C:D,2,),"-")</f>
        <v>0</v>
      </c>
      <c r="G488" t="s">
        <v>1316</v>
      </c>
      <c r="H488" t="str">
        <f t="shared" si="21"/>
        <v>No</v>
      </c>
      <c r="I488" t="str">
        <f t="shared" si="22"/>
        <v>No</v>
      </c>
      <c r="J488" t="str">
        <f t="shared" si="23"/>
        <v>No</v>
      </c>
    </row>
    <row r="489" spans="1:10" x14ac:dyDescent="0.35">
      <c r="A489" t="s">
        <v>342</v>
      </c>
      <c r="B489" t="s">
        <v>1047</v>
      </c>
      <c r="D489" t="s">
        <v>1048</v>
      </c>
      <c r="E489" t="str">
        <f>IFERROR(VLOOKUP(C489,'New Adm Data (Mar to July)'!C:D,2,),"-")</f>
        <v>-</v>
      </c>
      <c r="F489">
        <f>IFERROR(VLOOKUP(D489,'New Adm Data (Aug to Nov)'!C:D,2,),"-")</f>
        <v>0</v>
      </c>
      <c r="G489" t="s">
        <v>1316</v>
      </c>
      <c r="H489" t="str">
        <f t="shared" si="21"/>
        <v>No</v>
      </c>
      <c r="I489" t="str">
        <f t="shared" si="22"/>
        <v>No</v>
      </c>
      <c r="J489" t="str">
        <f t="shared" si="23"/>
        <v>No</v>
      </c>
    </row>
    <row r="490" spans="1:10" x14ac:dyDescent="0.35">
      <c r="A490" t="s">
        <v>342</v>
      </c>
      <c r="B490" t="s">
        <v>1049</v>
      </c>
      <c r="D490" t="s">
        <v>1050</v>
      </c>
      <c r="E490" t="str">
        <f>IFERROR(VLOOKUP(C490,'New Adm Data (Mar to July)'!C:D,2,),"-")</f>
        <v>-</v>
      </c>
      <c r="F490">
        <f>IFERROR(VLOOKUP(D490,'New Adm Data (Aug to Nov)'!C:D,2,),"-")</f>
        <v>0</v>
      </c>
      <c r="G490" t="s">
        <v>1316</v>
      </c>
      <c r="H490" t="str">
        <f t="shared" si="21"/>
        <v>No</v>
      </c>
      <c r="I490" t="str">
        <f t="shared" si="22"/>
        <v>No</v>
      </c>
      <c r="J490" t="str">
        <f t="shared" si="23"/>
        <v>No</v>
      </c>
    </row>
    <row r="491" spans="1:10" x14ac:dyDescent="0.35">
      <c r="A491" t="s">
        <v>342</v>
      </c>
      <c r="B491" t="s">
        <v>1051</v>
      </c>
      <c r="D491" t="s">
        <v>1052</v>
      </c>
      <c r="E491" t="str">
        <f>IFERROR(VLOOKUP(C491,'New Adm Data (Mar to July)'!C:D,2,),"-")</f>
        <v>-</v>
      </c>
      <c r="F491">
        <f>IFERROR(VLOOKUP(D491,'New Adm Data (Aug to Nov)'!C:D,2,),"-")</f>
        <v>0</v>
      </c>
      <c r="G491" t="s">
        <v>1316</v>
      </c>
      <c r="H491" t="str">
        <f t="shared" si="21"/>
        <v>No</v>
      </c>
      <c r="I491" t="str">
        <f t="shared" si="22"/>
        <v>No</v>
      </c>
      <c r="J491" t="str">
        <f t="shared" si="23"/>
        <v>No</v>
      </c>
    </row>
    <row r="492" spans="1:10" x14ac:dyDescent="0.35">
      <c r="A492" t="s">
        <v>342</v>
      </c>
      <c r="B492" t="s">
        <v>1053</v>
      </c>
      <c r="D492" t="s">
        <v>1054</v>
      </c>
      <c r="E492" t="str">
        <f>IFERROR(VLOOKUP(C492,'New Adm Data (Mar to July)'!C:D,2,),"-")</f>
        <v>-</v>
      </c>
      <c r="F492">
        <f>IFERROR(VLOOKUP(D492,'New Adm Data (Aug to Nov)'!C:D,2,),"-")</f>
        <v>0</v>
      </c>
      <c r="G492" t="s">
        <v>1316</v>
      </c>
      <c r="H492" t="str">
        <f t="shared" si="21"/>
        <v>No</v>
      </c>
      <c r="I492" t="str">
        <f t="shared" si="22"/>
        <v>No</v>
      </c>
      <c r="J492" t="str">
        <f t="shared" si="23"/>
        <v>No</v>
      </c>
    </row>
    <row r="493" spans="1:10" x14ac:dyDescent="0.35">
      <c r="A493" t="s">
        <v>342</v>
      </c>
      <c r="B493" t="s">
        <v>1055</v>
      </c>
      <c r="D493" t="s">
        <v>1056</v>
      </c>
      <c r="E493" t="str">
        <f>IFERROR(VLOOKUP(C493,'New Adm Data (Mar to July)'!C:D,2,),"-")</f>
        <v>-</v>
      </c>
      <c r="F493">
        <f>IFERROR(VLOOKUP(D493,'New Adm Data (Aug to Nov)'!C:D,2,),"-")</f>
        <v>0</v>
      </c>
      <c r="G493" t="s">
        <v>1316</v>
      </c>
      <c r="H493" t="str">
        <f t="shared" si="21"/>
        <v>No</v>
      </c>
      <c r="I493" t="str">
        <f t="shared" si="22"/>
        <v>No</v>
      </c>
      <c r="J493" t="str">
        <f t="shared" si="23"/>
        <v>No</v>
      </c>
    </row>
    <row r="494" spans="1:10" x14ac:dyDescent="0.35">
      <c r="A494" t="s">
        <v>342</v>
      </c>
      <c r="B494" t="s">
        <v>1057</v>
      </c>
      <c r="D494" t="s">
        <v>1058</v>
      </c>
      <c r="E494" t="str">
        <f>IFERROR(VLOOKUP(C494,'New Adm Data (Mar to July)'!C:D,2,),"-")</f>
        <v>-</v>
      </c>
      <c r="F494">
        <f>IFERROR(VLOOKUP(D494,'New Adm Data (Aug to Nov)'!C:D,2,),"-")</f>
        <v>0</v>
      </c>
      <c r="G494" t="s">
        <v>1316</v>
      </c>
      <c r="H494" t="str">
        <f t="shared" si="21"/>
        <v>No</v>
      </c>
      <c r="I494" t="str">
        <f t="shared" si="22"/>
        <v>No</v>
      </c>
      <c r="J494" t="str">
        <f t="shared" si="23"/>
        <v>No</v>
      </c>
    </row>
    <row r="495" spans="1:10" x14ac:dyDescent="0.35">
      <c r="A495" t="s">
        <v>342</v>
      </c>
      <c r="B495" t="s">
        <v>1059</v>
      </c>
      <c r="D495" t="s">
        <v>1060</v>
      </c>
      <c r="E495" t="str">
        <f>IFERROR(VLOOKUP(C495,'New Adm Data (Mar to July)'!C:D,2,),"-")</f>
        <v>-</v>
      </c>
      <c r="F495">
        <f>IFERROR(VLOOKUP(D495,'New Adm Data (Aug to Nov)'!C:D,2,),"-")</f>
        <v>0</v>
      </c>
      <c r="G495" t="s">
        <v>1316</v>
      </c>
      <c r="H495" t="str">
        <f t="shared" si="21"/>
        <v>No</v>
      </c>
      <c r="I495" t="str">
        <f t="shared" si="22"/>
        <v>No</v>
      </c>
      <c r="J495" t="str">
        <f t="shared" si="23"/>
        <v>No</v>
      </c>
    </row>
    <row r="496" spans="1:10" x14ac:dyDescent="0.35">
      <c r="A496" t="s">
        <v>342</v>
      </c>
      <c r="B496" t="s">
        <v>1061</v>
      </c>
      <c r="D496" t="s">
        <v>1062</v>
      </c>
      <c r="E496" t="str">
        <f>IFERROR(VLOOKUP(C496,'New Adm Data (Mar to July)'!C:D,2,),"-")</f>
        <v>-</v>
      </c>
      <c r="F496">
        <f>IFERROR(VLOOKUP(D496,'New Adm Data (Aug to Nov)'!C:D,2,),"-")</f>
        <v>0</v>
      </c>
      <c r="G496" t="s">
        <v>1316</v>
      </c>
      <c r="H496" t="str">
        <f t="shared" si="21"/>
        <v>No</v>
      </c>
      <c r="I496" t="str">
        <f t="shared" si="22"/>
        <v>No</v>
      </c>
      <c r="J496" t="str">
        <f t="shared" si="23"/>
        <v>No</v>
      </c>
    </row>
    <row r="497" spans="1:10" x14ac:dyDescent="0.35">
      <c r="A497" t="s">
        <v>342</v>
      </c>
      <c r="B497" t="s">
        <v>1063</v>
      </c>
      <c r="D497" t="s">
        <v>1064</v>
      </c>
      <c r="E497" t="str">
        <f>IFERROR(VLOOKUP(C497,'New Adm Data (Mar to July)'!C:D,2,),"-")</f>
        <v>-</v>
      </c>
      <c r="F497">
        <f>IFERROR(VLOOKUP(D497,'New Adm Data (Aug to Nov)'!C:D,2,),"-")</f>
        <v>0</v>
      </c>
      <c r="G497" t="s">
        <v>1316</v>
      </c>
      <c r="H497" t="str">
        <f t="shared" si="21"/>
        <v>No</v>
      </c>
      <c r="I497" t="str">
        <f t="shared" si="22"/>
        <v>No</v>
      </c>
      <c r="J497" t="str">
        <f t="shared" si="23"/>
        <v>No</v>
      </c>
    </row>
    <row r="498" spans="1:10" x14ac:dyDescent="0.35">
      <c r="A498" t="s">
        <v>342</v>
      </c>
      <c r="B498" t="s">
        <v>1065</v>
      </c>
      <c r="D498" t="s">
        <v>1066</v>
      </c>
      <c r="E498" t="str">
        <f>IFERROR(VLOOKUP(C498,'New Adm Data (Mar to July)'!C:D,2,),"-")</f>
        <v>-</v>
      </c>
      <c r="F498">
        <f>IFERROR(VLOOKUP(D498,'New Adm Data (Aug to Nov)'!C:D,2,),"-")</f>
        <v>0</v>
      </c>
      <c r="G498" t="s">
        <v>1316</v>
      </c>
      <c r="H498" t="str">
        <f t="shared" si="21"/>
        <v>No</v>
      </c>
      <c r="I498" t="str">
        <f t="shared" si="22"/>
        <v>No</v>
      </c>
      <c r="J498" t="str">
        <f t="shared" si="23"/>
        <v>No</v>
      </c>
    </row>
    <row r="499" spans="1:10" x14ac:dyDescent="0.35">
      <c r="A499" t="s">
        <v>413</v>
      </c>
      <c r="B499" t="s">
        <v>1101</v>
      </c>
      <c r="D499" t="s">
        <v>1102</v>
      </c>
      <c r="E499" t="str">
        <f>IFERROR(VLOOKUP(C499,'New Adm Data (Mar to July)'!C:D,2,),"-")</f>
        <v>-</v>
      </c>
      <c r="F499">
        <f>IFERROR(VLOOKUP(D499,'New Adm Data (Aug to Nov)'!C:D,2,),"-")</f>
        <v>0</v>
      </c>
      <c r="G499" t="s">
        <v>1316</v>
      </c>
      <c r="H499" t="str">
        <f t="shared" si="21"/>
        <v>No</v>
      </c>
      <c r="I499" t="str">
        <f t="shared" si="22"/>
        <v>No</v>
      </c>
      <c r="J499" t="str">
        <f t="shared" si="23"/>
        <v>No</v>
      </c>
    </row>
    <row r="500" spans="1:10" x14ac:dyDescent="0.35">
      <c r="A500" t="s">
        <v>413</v>
      </c>
      <c r="B500" t="s">
        <v>1103</v>
      </c>
      <c r="D500" t="s">
        <v>1104</v>
      </c>
      <c r="E500" t="str">
        <f>IFERROR(VLOOKUP(C500,'New Adm Data (Mar to July)'!C:D,2,),"-")</f>
        <v>-</v>
      </c>
      <c r="F500">
        <f>IFERROR(VLOOKUP(D500,'New Adm Data (Aug to Nov)'!C:D,2,),"-")</f>
        <v>0</v>
      </c>
      <c r="G500" t="s">
        <v>1316</v>
      </c>
      <c r="H500" t="str">
        <f t="shared" si="21"/>
        <v>No</v>
      </c>
      <c r="I500" t="str">
        <f t="shared" si="22"/>
        <v>No</v>
      </c>
      <c r="J500" t="str">
        <f t="shared" si="23"/>
        <v>No</v>
      </c>
    </row>
    <row r="501" spans="1:10" x14ac:dyDescent="0.35">
      <c r="A501" t="s">
        <v>413</v>
      </c>
      <c r="B501" t="s">
        <v>1105</v>
      </c>
      <c r="D501" t="s">
        <v>1106</v>
      </c>
      <c r="E501" t="str">
        <f>IFERROR(VLOOKUP(C501,'New Adm Data (Mar to July)'!C:D,2,),"-")</f>
        <v>-</v>
      </c>
      <c r="F501">
        <f>IFERROR(VLOOKUP(D501,'New Adm Data (Aug to Nov)'!C:D,2,),"-")</f>
        <v>0</v>
      </c>
      <c r="G501" t="s">
        <v>1316</v>
      </c>
      <c r="H501" t="str">
        <f t="shared" si="21"/>
        <v>No</v>
      </c>
      <c r="I501" t="str">
        <f t="shared" si="22"/>
        <v>No</v>
      </c>
      <c r="J501" t="str">
        <f t="shared" si="23"/>
        <v>No</v>
      </c>
    </row>
    <row r="502" spans="1:10" x14ac:dyDescent="0.35">
      <c r="A502" t="s">
        <v>413</v>
      </c>
      <c r="B502" t="s">
        <v>1108</v>
      </c>
      <c r="D502" t="s">
        <v>1109</v>
      </c>
      <c r="E502" t="str">
        <f>IFERROR(VLOOKUP(C502,'New Adm Data (Mar to July)'!C:D,2,),"-")</f>
        <v>-</v>
      </c>
      <c r="F502">
        <f>IFERROR(VLOOKUP(D502,'New Adm Data (Aug to Nov)'!C:D,2,),"-")</f>
        <v>0</v>
      </c>
      <c r="G502" t="s">
        <v>1316</v>
      </c>
      <c r="H502" t="str">
        <f t="shared" si="21"/>
        <v>No</v>
      </c>
      <c r="I502" t="str">
        <f t="shared" si="22"/>
        <v>No</v>
      </c>
      <c r="J502" t="str">
        <f t="shared" si="23"/>
        <v>No</v>
      </c>
    </row>
    <row r="503" spans="1:10" x14ac:dyDescent="0.35">
      <c r="A503" t="s">
        <v>413</v>
      </c>
      <c r="B503" t="s">
        <v>1110</v>
      </c>
      <c r="D503" t="s">
        <v>1111</v>
      </c>
      <c r="E503" t="str">
        <f>IFERROR(VLOOKUP(C503,'New Adm Data (Mar to July)'!C:D,2,),"-")</f>
        <v>-</v>
      </c>
      <c r="F503">
        <f>IFERROR(VLOOKUP(D503,'New Adm Data (Aug to Nov)'!C:D,2,),"-")</f>
        <v>0</v>
      </c>
      <c r="G503" t="s">
        <v>1316</v>
      </c>
      <c r="H503" t="str">
        <f t="shared" si="21"/>
        <v>No</v>
      </c>
      <c r="I503" t="str">
        <f t="shared" si="22"/>
        <v>No</v>
      </c>
      <c r="J503" t="str">
        <f t="shared" si="23"/>
        <v>No</v>
      </c>
    </row>
    <row r="504" spans="1:10" x14ac:dyDescent="0.35">
      <c r="A504" t="s">
        <v>413</v>
      </c>
      <c r="B504" t="s">
        <v>1112</v>
      </c>
      <c r="D504" t="s">
        <v>1113</v>
      </c>
      <c r="E504" t="str">
        <f>IFERROR(VLOOKUP(C504,'New Adm Data (Mar to July)'!C:D,2,),"-")</f>
        <v>-</v>
      </c>
      <c r="F504">
        <f>IFERROR(VLOOKUP(D504,'New Adm Data (Aug to Nov)'!C:D,2,),"-")</f>
        <v>0</v>
      </c>
      <c r="G504" t="s">
        <v>1316</v>
      </c>
      <c r="H504" t="str">
        <f t="shared" si="21"/>
        <v>No</v>
      </c>
      <c r="I504" t="str">
        <f t="shared" si="22"/>
        <v>No</v>
      </c>
      <c r="J504" t="str">
        <f t="shared" si="23"/>
        <v>No</v>
      </c>
    </row>
    <row r="505" spans="1:10" x14ac:dyDescent="0.35">
      <c r="A505" t="s">
        <v>413</v>
      </c>
      <c r="B505" t="s">
        <v>1114</v>
      </c>
      <c r="D505" t="s">
        <v>1115</v>
      </c>
      <c r="E505" t="str">
        <f>IFERROR(VLOOKUP(C505,'New Adm Data (Mar to July)'!C:D,2,),"-")</f>
        <v>-</v>
      </c>
      <c r="F505">
        <f>IFERROR(VLOOKUP(D505,'New Adm Data (Aug to Nov)'!C:D,2,),"-")</f>
        <v>0</v>
      </c>
      <c r="G505" t="s">
        <v>1316</v>
      </c>
      <c r="H505" t="str">
        <f t="shared" si="21"/>
        <v>No</v>
      </c>
      <c r="I505" t="str">
        <f t="shared" si="22"/>
        <v>No</v>
      </c>
      <c r="J505" t="str">
        <f t="shared" si="23"/>
        <v>No</v>
      </c>
    </row>
    <row r="506" spans="1:10" x14ac:dyDescent="0.35">
      <c r="A506" t="s">
        <v>413</v>
      </c>
      <c r="B506" t="s">
        <v>1116</v>
      </c>
      <c r="D506" t="s">
        <v>1117</v>
      </c>
      <c r="E506" t="str">
        <f>IFERROR(VLOOKUP(C506,'New Adm Data (Mar to July)'!C:D,2,),"-")</f>
        <v>-</v>
      </c>
      <c r="F506">
        <f>IFERROR(VLOOKUP(D506,'New Adm Data (Aug to Nov)'!C:D,2,),"-")</f>
        <v>0</v>
      </c>
      <c r="G506" t="s">
        <v>1316</v>
      </c>
      <c r="H506" t="str">
        <f t="shared" si="21"/>
        <v>No</v>
      </c>
      <c r="I506" t="str">
        <f t="shared" si="22"/>
        <v>No</v>
      </c>
      <c r="J506" t="str">
        <f t="shared" si="23"/>
        <v>No</v>
      </c>
    </row>
    <row r="507" spans="1:10" x14ac:dyDescent="0.35">
      <c r="A507" t="s">
        <v>413</v>
      </c>
      <c r="B507" t="s">
        <v>1119</v>
      </c>
      <c r="D507" t="s">
        <v>1120</v>
      </c>
      <c r="E507" t="str">
        <f>IFERROR(VLOOKUP(C507,'New Adm Data (Mar to July)'!C:D,2,),"-")</f>
        <v>-</v>
      </c>
      <c r="F507">
        <f>IFERROR(VLOOKUP(D507,'New Adm Data (Aug to Nov)'!C:D,2,),"-")</f>
        <v>0</v>
      </c>
      <c r="G507" t="s">
        <v>1316</v>
      </c>
      <c r="H507" t="str">
        <f t="shared" si="21"/>
        <v>No</v>
      </c>
      <c r="I507" t="str">
        <f t="shared" si="22"/>
        <v>No</v>
      </c>
      <c r="J507" t="str">
        <f t="shared" si="23"/>
        <v>No</v>
      </c>
    </row>
    <row r="508" spans="1:10" x14ac:dyDescent="0.35">
      <c r="A508" t="s">
        <v>413</v>
      </c>
      <c r="B508" t="s">
        <v>1121</v>
      </c>
      <c r="D508" t="s">
        <v>1122</v>
      </c>
      <c r="E508" t="str">
        <f>IFERROR(VLOOKUP(C508,'New Adm Data (Mar to July)'!C:D,2,),"-")</f>
        <v>-</v>
      </c>
      <c r="F508">
        <f>IFERROR(VLOOKUP(D508,'New Adm Data (Aug to Nov)'!C:D,2,),"-")</f>
        <v>0</v>
      </c>
      <c r="G508" t="s">
        <v>1316</v>
      </c>
      <c r="H508" t="str">
        <f t="shared" si="21"/>
        <v>No</v>
      </c>
      <c r="I508" t="str">
        <f t="shared" si="22"/>
        <v>No</v>
      </c>
      <c r="J508" t="str">
        <f t="shared" si="23"/>
        <v>No</v>
      </c>
    </row>
    <row r="509" spans="1:10" x14ac:dyDescent="0.35">
      <c r="A509" t="s">
        <v>413</v>
      </c>
      <c r="B509" t="s">
        <v>1123</v>
      </c>
      <c r="D509" t="s">
        <v>1124</v>
      </c>
      <c r="E509" t="str">
        <f>IFERROR(VLOOKUP(C509,'New Adm Data (Mar to July)'!C:D,2,),"-")</f>
        <v>-</v>
      </c>
      <c r="F509">
        <f>IFERROR(VLOOKUP(D509,'New Adm Data (Aug to Nov)'!C:D,2,),"-")</f>
        <v>0</v>
      </c>
      <c r="G509" t="s">
        <v>1316</v>
      </c>
      <c r="H509" t="str">
        <f t="shared" si="21"/>
        <v>No</v>
      </c>
      <c r="I509" t="str">
        <f t="shared" si="22"/>
        <v>No</v>
      </c>
      <c r="J509" t="str">
        <f t="shared" si="23"/>
        <v>No</v>
      </c>
    </row>
    <row r="510" spans="1:10" x14ac:dyDescent="0.35">
      <c r="A510" t="s">
        <v>413</v>
      </c>
      <c r="B510" t="s">
        <v>1125</v>
      </c>
      <c r="D510" t="s">
        <v>1126</v>
      </c>
      <c r="E510" t="str">
        <f>IFERROR(VLOOKUP(C510,'New Adm Data (Mar to July)'!C:D,2,),"-")</f>
        <v>-</v>
      </c>
      <c r="F510">
        <f>IFERROR(VLOOKUP(D510,'New Adm Data (Aug to Nov)'!C:D,2,),"-")</f>
        <v>0</v>
      </c>
      <c r="G510" t="s">
        <v>1316</v>
      </c>
      <c r="H510" t="str">
        <f t="shared" si="21"/>
        <v>No</v>
      </c>
      <c r="I510" t="str">
        <f t="shared" si="22"/>
        <v>No</v>
      </c>
      <c r="J510" t="str">
        <f t="shared" si="23"/>
        <v>No</v>
      </c>
    </row>
    <row r="511" spans="1:10" x14ac:dyDescent="0.35">
      <c r="A511" t="s">
        <v>413</v>
      </c>
      <c r="B511" t="s">
        <v>1127</v>
      </c>
      <c r="D511" t="s">
        <v>1128</v>
      </c>
      <c r="E511" t="str">
        <f>IFERROR(VLOOKUP(C511,'New Adm Data (Mar to July)'!C:D,2,),"-")</f>
        <v>-</v>
      </c>
      <c r="F511">
        <f>IFERROR(VLOOKUP(D511,'New Adm Data (Aug to Nov)'!C:D,2,),"-")</f>
        <v>0</v>
      </c>
      <c r="G511" t="s">
        <v>1316</v>
      </c>
      <c r="H511" t="str">
        <f t="shared" si="21"/>
        <v>No</v>
      </c>
      <c r="I511" t="str">
        <f t="shared" si="22"/>
        <v>No</v>
      </c>
      <c r="J511" t="str">
        <f t="shared" si="23"/>
        <v>No</v>
      </c>
    </row>
    <row r="512" spans="1:10" x14ac:dyDescent="0.35">
      <c r="A512" t="s">
        <v>413</v>
      </c>
      <c r="B512" t="s">
        <v>1129</v>
      </c>
      <c r="D512" t="s">
        <v>1130</v>
      </c>
      <c r="E512" t="str">
        <f>IFERROR(VLOOKUP(C512,'New Adm Data (Mar to July)'!C:D,2,),"-")</f>
        <v>-</v>
      </c>
      <c r="F512">
        <f>IFERROR(VLOOKUP(D512,'New Adm Data (Aug to Nov)'!C:D,2,),"-")</f>
        <v>0</v>
      </c>
      <c r="G512" t="s">
        <v>1316</v>
      </c>
      <c r="H512" t="str">
        <f t="shared" si="21"/>
        <v>No</v>
      </c>
      <c r="I512" t="str">
        <f t="shared" si="22"/>
        <v>No</v>
      </c>
      <c r="J512" t="str">
        <f t="shared" si="23"/>
        <v>No</v>
      </c>
    </row>
    <row r="513" spans="1:10" x14ac:dyDescent="0.35">
      <c r="A513" t="s">
        <v>413</v>
      </c>
      <c r="B513" t="s">
        <v>1131</v>
      </c>
      <c r="D513" t="s">
        <v>1132</v>
      </c>
      <c r="E513" t="str">
        <f>IFERROR(VLOOKUP(C513,'New Adm Data (Mar to July)'!C:D,2,),"-")</f>
        <v>-</v>
      </c>
      <c r="F513">
        <f>IFERROR(VLOOKUP(D513,'New Adm Data (Aug to Nov)'!C:D,2,),"-")</f>
        <v>0</v>
      </c>
      <c r="G513" t="s">
        <v>1316</v>
      </c>
      <c r="H513" t="str">
        <f t="shared" si="21"/>
        <v>No</v>
      </c>
      <c r="I513" t="str">
        <f t="shared" si="22"/>
        <v>No</v>
      </c>
      <c r="J513" t="str">
        <f t="shared" si="23"/>
        <v>No</v>
      </c>
    </row>
    <row r="514" spans="1:10" x14ac:dyDescent="0.35">
      <c r="A514" t="s">
        <v>413</v>
      </c>
      <c r="B514" t="s">
        <v>1133</v>
      </c>
      <c r="D514" t="s">
        <v>1134</v>
      </c>
      <c r="E514" t="str">
        <f>IFERROR(VLOOKUP(C514,'New Adm Data (Mar to July)'!C:D,2,),"-")</f>
        <v>-</v>
      </c>
      <c r="F514">
        <f>IFERROR(VLOOKUP(D514,'New Adm Data (Aug to Nov)'!C:D,2,),"-")</f>
        <v>0</v>
      </c>
      <c r="G514" t="s">
        <v>1316</v>
      </c>
      <c r="H514" t="str">
        <f t="shared" si="21"/>
        <v>No</v>
      </c>
      <c r="I514" t="str">
        <f t="shared" si="22"/>
        <v>No</v>
      </c>
      <c r="J514" t="str">
        <f t="shared" si="23"/>
        <v>No</v>
      </c>
    </row>
    <row r="515" spans="1:10" x14ac:dyDescent="0.35">
      <c r="A515" t="s">
        <v>413</v>
      </c>
      <c r="B515" t="s">
        <v>1135</v>
      </c>
      <c r="D515" t="s">
        <v>1136</v>
      </c>
      <c r="E515" t="str">
        <f>IFERROR(VLOOKUP(C515,'New Adm Data (Mar to July)'!C:D,2,),"-")</f>
        <v>-</v>
      </c>
      <c r="F515">
        <f>IFERROR(VLOOKUP(D515,'New Adm Data (Aug to Nov)'!C:D,2,),"-")</f>
        <v>0</v>
      </c>
      <c r="G515" t="s">
        <v>1316</v>
      </c>
      <c r="H515" t="str">
        <f t="shared" ref="H515:H572" si="24">IF(G515&lt;&gt;"Yes",IF(SUM(E515:F515)&gt;228,"Yes","No"),"No")</f>
        <v>No</v>
      </c>
      <c r="I515" t="str">
        <f t="shared" ref="I515:I572" si="25">IF(G515="Yes",IF(SUM(E515:F515)&gt;228,"Yes","No"),"No")</f>
        <v>No</v>
      </c>
      <c r="J515" t="str">
        <f t="shared" ref="J515:J572" si="26">IF(H515="Yes","Yes",IF(I515="Yes","Yes","No"))</f>
        <v>No</v>
      </c>
    </row>
    <row r="516" spans="1:10" x14ac:dyDescent="0.35">
      <c r="A516" t="s">
        <v>413</v>
      </c>
      <c r="B516" t="s">
        <v>1137</v>
      </c>
      <c r="D516" t="s">
        <v>1138</v>
      </c>
      <c r="E516" t="str">
        <f>IFERROR(VLOOKUP(C516,'New Adm Data (Mar to July)'!C:D,2,),"-")</f>
        <v>-</v>
      </c>
      <c r="F516">
        <f>IFERROR(VLOOKUP(D516,'New Adm Data (Aug to Nov)'!C:D,2,),"-")</f>
        <v>0</v>
      </c>
      <c r="G516" t="s">
        <v>1316</v>
      </c>
      <c r="H516" t="str">
        <f t="shared" si="24"/>
        <v>No</v>
      </c>
      <c r="I516" t="str">
        <f t="shared" si="25"/>
        <v>No</v>
      </c>
      <c r="J516" t="str">
        <f t="shared" si="26"/>
        <v>No</v>
      </c>
    </row>
    <row r="517" spans="1:10" x14ac:dyDescent="0.35">
      <c r="A517" t="s">
        <v>413</v>
      </c>
      <c r="B517" t="s">
        <v>1139</v>
      </c>
      <c r="D517" t="s">
        <v>1140</v>
      </c>
      <c r="E517" t="str">
        <f>IFERROR(VLOOKUP(C517,'New Adm Data (Mar to July)'!C:D,2,),"-")</f>
        <v>-</v>
      </c>
      <c r="F517">
        <f>IFERROR(VLOOKUP(D517,'New Adm Data (Aug to Nov)'!C:D,2,),"-")</f>
        <v>0</v>
      </c>
      <c r="G517" t="s">
        <v>1316</v>
      </c>
      <c r="H517" t="str">
        <f t="shared" si="24"/>
        <v>No</v>
      </c>
      <c r="I517" t="str">
        <f t="shared" si="25"/>
        <v>No</v>
      </c>
      <c r="J517" t="str">
        <f t="shared" si="26"/>
        <v>No</v>
      </c>
    </row>
    <row r="518" spans="1:10" x14ac:dyDescent="0.35">
      <c r="A518" t="s">
        <v>413</v>
      </c>
      <c r="B518" t="s">
        <v>1141</v>
      </c>
      <c r="D518" t="s">
        <v>1142</v>
      </c>
      <c r="E518" t="str">
        <f>IFERROR(VLOOKUP(C518,'New Adm Data (Mar to July)'!C:D,2,),"-")</f>
        <v>-</v>
      </c>
      <c r="F518">
        <f>IFERROR(VLOOKUP(D518,'New Adm Data (Aug to Nov)'!C:D,2,),"-")</f>
        <v>0</v>
      </c>
      <c r="G518" t="s">
        <v>1316</v>
      </c>
      <c r="H518" t="str">
        <f t="shared" si="24"/>
        <v>No</v>
      </c>
      <c r="I518" t="str">
        <f t="shared" si="25"/>
        <v>No</v>
      </c>
      <c r="J518" t="str">
        <f t="shared" si="26"/>
        <v>No</v>
      </c>
    </row>
    <row r="519" spans="1:10" x14ac:dyDescent="0.35">
      <c r="A519" t="s">
        <v>413</v>
      </c>
      <c r="B519" t="s">
        <v>1143</v>
      </c>
      <c r="D519" t="s">
        <v>1144</v>
      </c>
      <c r="E519" t="str">
        <f>IFERROR(VLOOKUP(C519,'New Adm Data (Mar to July)'!C:D,2,),"-")</f>
        <v>-</v>
      </c>
      <c r="F519">
        <f>IFERROR(VLOOKUP(D519,'New Adm Data (Aug to Nov)'!C:D,2,),"-")</f>
        <v>0</v>
      </c>
      <c r="G519" t="s">
        <v>1316</v>
      </c>
      <c r="H519" t="str">
        <f t="shared" si="24"/>
        <v>No</v>
      </c>
      <c r="I519" t="str">
        <f t="shared" si="25"/>
        <v>No</v>
      </c>
      <c r="J519" t="str">
        <f t="shared" si="26"/>
        <v>No</v>
      </c>
    </row>
    <row r="520" spans="1:10" x14ac:dyDescent="0.35">
      <c r="A520" t="s">
        <v>413</v>
      </c>
      <c r="B520" t="s">
        <v>1145</v>
      </c>
      <c r="D520" t="s">
        <v>1146</v>
      </c>
      <c r="E520" t="str">
        <f>IFERROR(VLOOKUP(C520,'New Adm Data (Mar to July)'!C:D,2,),"-")</f>
        <v>-</v>
      </c>
      <c r="F520">
        <f>IFERROR(VLOOKUP(D520,'New Adm Data (Aug to Nov)'!C:D,2,),"-")</f>
        <v>0</v>
      </c>
      <c r="G520" t="s">
        <v>1316</v>
      </c>
      <c r="H520" t="str">
        <f t="shared" si="24"/>
        <v>No</v>
      </c>
      <c r="I520" t="str">
        <f t="shared" si="25"/>
        <v>No</v>
      </c>
      <c r="J520" t="str">
        <f t="shared" si="26"/>
        <v>No</v>
      </c>
    </row>
    <row r="521" spans="1:10" x14ac:dyDescent="0.35">
      <c r="A521" t="s">
        <v>413</v>
      </c>
      <c r="B521" t="s">
        <v>1147</v>
      </c>
      <c r="D521" t="s">
        <v>1148</v>
      </c>
      <c r="E521" t="str">
        <f>IFERROR(VLOOKUP(C521,'New Adm Data (Mar to July)'!C:D,2,),"-")</f>
        <v>-</v>
      </c>
      <c r="F521">
        <f>IFERROR(VLOOKUP(D521,'New Adm Data (Aug to Nov)'!C:D,2,),"-")</f>
        <v>0</v>
      </c>
      <c r="G521" t="s">
        <v>1316</v>
      </c>
      <c r="H521" t="str">
        <f t="shared" si="24"/>
        <v>No</v>
      </c>
      <c r="I521" t="str">
        <f t="shared" si="25"/>
        <v>No</v>
      </c>
      <c r="J521" t="str">
        <f t="shared" si="26"/>
        <v>No</v>
      </c>
    </row>
    <row r="522" spans="1:10" x14ac:dyDescent="0.35">
      <c r="A522" t="s">
        <v>413</v>
      </c>
      <c r="B522" t="s">
        <v>1149</v>
      </c>
      <c r="D522" t="s">
        <v>1150</v>
      </c>
      <c r="E522" t="str">
        <f>IFERROR(VLOOKUP(C522,'New Adm Data (Mar to July)'!C:D,2,),"-")</f>
        <v>-</v>
      </c>
      <c r="F522">
        <f>IFERROR(VLOOKUP(D522,'New Adm Data (Aug to Nov)'!C:D,2,),"-")</f>
        <v>0</v>
      </c>
      <c r="G522" t="s">
        <v>1316</v>
      </c>
      <c r="H522" t="str">
        <f t="shared" si="24"/>
        <v>No</v>
      </c>
      <c r="I522" t="str">
        <f t="shared" si="25"/>
        <v>No</v>
      </c>
      <c r="J522" t="str">
        <f t="shared" si="26"/>
        <v>No</v>
      </c>
    </row>
    <row r="523" spans="1:10" x14ac:dyDescent="0.35">
      <c r="A523" t="s">
        <v>413</v>
      </c>
      <c r="B523" t="s">
        <v>1151</v>
      </c>
      <c r="D523" t="s">
        <v>1152</v>
      </c>
      <c r="E523" t="str">
        <f>IFERROR(VLOOKUP(C523,'New Adm Data (Mar to July)'!C:D,2,),"-")</f>
        <v>-</v>
      </c>
      <c r="F523">
        <f>IFERROR(VLOOKUP(D523,'New Adm Data (Aug to Nov)'!C:D,2,),"-")</f>
        <v>0</v>
      </c>
      <c r="G523" t="s">
        <v>1316</v>
      </c>
      <c r="H523" t="str">
        <f t="shared" si="24"/>
        <v>No</v>
      </c>
      <c r="I523" t="str">
        <f t="shared" si="25"/>
        <v>No</v>
      </c>
      <c r="J523" t="str">
        <f t="shared" si="26"/>
        <v>No</v>
      </c>
    </row>
    <row r="524" spans="1:10" x14ac:dyDescent="0.35">
      <c r="A524" t="s">
        <v>413</v>
      </c>
      <c r="B524" t="s">
        <v>1153</v>
      </c>
      <c r="D524" t="s">
        <v>1154</v>
      </c>
      <c r="E524" t="str">
        <f>IFERROR(VLOOKUP(C524,'New Adm Data (Mar to July)'!C:D,2,),"-")</f>
        <v>-</v>
      </c>
      <c r="F524">
        <f>IFERROR(VLOOKUP(D524,'New Adm Data (Aug to Nov)'!C:D,2,),"-")</f>
        <v>0</v>
      </c>
      <c r="G524" t="s">
        <v>1316</v>
      </c>
      <c r="H524" t="str">
        <f t="shared" si="24"/>
        <v>No</v>
      </c>
      <c r="I524" t="str">
        <f t="shared" si="25"/>
        <v>No</v>
      </c>
      <c r="J524" t="str">
        <f t="shared" si="26"/>
        <v>No</v>
      </c>
    </row>
    <row r="525" spans="1:10" x14ac:dyDescent="0.35">
      <c r="A525" t="s">
        <v>413</v>
      </c>
      <c r="B525" t="s">
        <v>1155</v>
      </c>
      <c r="D525" t="s">
        <v>1156</v>
      </c>
      <c r="E525" t="str">
        <f>IFERROR(VLOOKUP(C525,'New Adm Data (Mar to July)'!C:D,2,),"-")</f>
        <v>-</v>
      </c>
      <c r="F525">
        <f>IFERROR(VLOOKUP(D525,'New Adm Data (Aug to Nov)'!C:D,2,),"-")</f>
        <v>0</v>
      </c>
      <c r="G525" t="s">
        <v>1316</v>
      </c>
      <c r="H525" t="str">
        <f t="shared" si="24"/>
        <v>No</v>
      </c>
      <c r="I525" t="str">
        <f t="shared" si="25"/>
        <v>No</v>
      </c>
      <c r="J525" t="str">
        <f t="shared" si="26"/>
        <v>No</v>
      </c>
    </row>
    <row r="526" spans="1:10" x14ac:dyDescent="0.35">
      <c r="A526" t="s">
        <v>413</v>
      </c>
      <c r="B526" t="s">
        <v>1157</v>
      </c>
      <c r="D526" t="s">
        <v>1158</v>
      </c>
      <c r="E526" t="str">
        <f>IFERROR(VLOOKUP(C526,'New Adm Data (Mar to July)'!C:D,2,),"-")</f>
        <v>-</v>
      </c>
      <c r="F526">
        <f>IFERROR(VLOOKUP(D526,'New Adm Data (Aug to Nov)'!C:D,2,),"-")</f>
        <v>0</v>
      </c>
      <c r="G526" t="s">
        <v>1316</v>
      </c>
      <c r="H526" t="str">
        <f t="shared" si="24"/>
        <v>No</v>
      </c>
      <c r="I526" t="str">
        <f t="shared" si="25"/>
        <v>No</v>
      </c>
      <c r="J526" t="str">
        <f t="shared" si="26"/>
        <v>No</v>
      </c>
    </row>
    <row r="527" spans="1:10" x14ac:dyDescent="0.35">
      <c r="A527" t="s">
        <v>413</v>
      </c>
      <c r="B527" t="s">
        <v>1159</v>
      </c>
      <c r="D527" t="s">
        <v>1160</v>
      </c>
      <c r="E527" t="str">
        <f>IFERROR(VLOOKUP(C527,'New Adm Data (Mar to July)'!C:D,2,),"-")</f>
        <v>-</v>
      </c>
      <c r="F527">
        <f>IFERROR(VLOOKUP(D527,'New Adm Data (Aug to Nov)'!C:D,2,),"-")</f>
        <v>0</v>
      </c>
      <c r="G527" t="s">
        <v>1316</v>
      </c>
      <c r="H527" t="str">
        <f t="shared" si="24"/>
        <v>No</v>
      </c>
      <c r="I527" t="str">
        <f t="shared" si="25"/>
        <v>No</v>
      </c>
      <c r="J527" t="str">
        <f t="shared" si="26"/>
        <v>No</v>
      </c>
    </row>
    <row r="528" spans="1:10" x14ac:dyDescent="0.35">
      <c r="A528" t="s">
        <v>413</v>
      </c>
      <c r="B528" t="s">
        <v>1161</v>
      </c>
      <c r="D528" t="s">
        <v>1162</v>
      </c>
      <c r="E528" t="str">
        <f>IFERROR(VLOOKUP(C528,'New Adm Data (Mar to July)'!C:D,2,),"-")</f>
        <v>-</v>
      </c>
      <c r="F528">
        <f>IFERROR(VLOOKUP(D528,'New Adm Data (Aug to Nov)'!C:D,2,),"-")</f>
        <v>0</v>
      </c>
      <c r="G528" t="s">
        <v>1316</v>
      </c>
      <c r="H528" t="str">
        <f t="shared" si="24"/>
        <v>No</v>
      </c>
      <c r="I528" t="str">
        <f t="shared" si="25"/>
        <v>No</v>
      </c>
      <c r="J528" t="str">
        <f t="shared" si="26"/>
        <v>No</v>
      </c>
    </row>
    <row r="529" spans="1:10" x14ac:dyDescent="0.35">
      <c r="A529" t="s">
        <v>413</v>
      </c>
      <c r="B529" t="s">
        <v>1163</v>
      </c>
      <c r="D529" t="s">
        <v>1164</v>
      </c>
      <c r="E529" t="str">
        <f>IFERROR(VLOOKUP(C529,'New Adm Data (Mar to July)'!C:D,2,),"-")</f>
        <v>-</v>
      </c>
      <c r="F529">
        <f>IFERROR(VLOOKUP(D529,'New Adm Data (Aug to Nov)'!C:D,2,),"-")</f>
        <v>0</v>
      </c>
      <c r="G529" t="s">
        <v>1316</v>
      </c>
      <c r="H529" t="str">
        <f t="shared" si="24"/>
        <v>No</v>
      </c>
      <c r="I529" t="str">
        <f t="shared" si="25"/>
        <v>No</v>
      </c>
      <c r="J529" t="str">
        <f t="shared" si="26"/>
        <v>No</v>
      </c>
    </row>
    <row r="530" spans="1:10" x14ac:dyDescent="0.35">
      <c r="A530" t="s">
        <v>413</v>
      </c>
      <c r="B530" t="s">
        <v>1165</v>
      </c>
      <c r="D530" t="s">
        <v>1166</v>
      </c>
      <c r="E530" t="str">
        <f>IFERROR(VLOOKUP(C530,'New Adm Data (Mar to July)'!C:D,2,),"-")</f>
        <v>-</v>
      </c>
      <c r="F530">
        <f>IFERROR(VLOOKUP(D530,'New Adm Data (Aug to Nov)'!C:D,2,),"-")</f>
        <v>0</v>
      </c>
      <c r="G530" t="s">
        <v>1316</v>
      </c>
      <c r="H530" t="str">
        <f t="shared" si="24"/>
        <v>No</v>
      </c>
      <c r="I530" t="str">
        <f t="shared" si="25"/>
        <v>No</v>
      </c>
      <c r="J530" t="str">
        <f t="shared" si="26"/>
        <v>No</v>
      </c>
    </row>
    <row r="531" spans="1:10" x14ac:dyDescent="0.35">
      <c r="A531" t="s">
        <v>413</v>
      </c>
      <c r="B531" t="s">
        <v>1167</v>
      </c>
      <c r="D531" t="s">
        <v>1168</v>
      </c>
      <c r="E531" t="str">
        <f>IFERROR(VLOOKUP(C531,'New Adm Data (Mar to July)'!C:D,2,),"-")</f>
        <v>-</v>
      </c>
      <c r="F531">
        <f>IFERROR(VLOOKUP(D531,'New Adm Data (Aug to Nov)'!C:D,2,),"-")</f>
        <v>0</v>
      </c>
      <c r="G531" t="s">
        <v>1316</v>
      </c>
      <c r="H531" t="str">
        <f t="shared" si="24"/>
        <v>No</v>
      </c>
      <c r="I531" t="str">
        <f t="shared" si="25"/>
        <v>No</v>
      </c>
      <c r="J531" t="str">
        <f t="shared" si="26"/>
        <v>No</v>
      </c>
    </row>
    <row r="532" spans="1:10" x14ac:dyDescent="0.35">
      <c r="A532" t="s">
        <v>413</v>
      </c>
      <c r="B532" t="s">
        <v>1169</v>
      </c>
      <c r="D532" t="s">
        <v>1170</v>
      </c>
      <c r="E532" t="str">
        <f>IFERROR(VLOOKUP(C532,'New Adm Data (Mar to July)'!C:D,2,),"-")</f>
        <v>-</v>
      </c>
      <c r="F532">
        <f>IFERROR(VLOOKUP(D532,'New Adm Data (Aug to Nov)'!C:D,2,),"-")</f>
        <v>0</v>
      </c>
      <c r="G532" t="s">
        <v>1316</v>
      </c>
      <c r="H532" t="str">
        <f t="shared" si="24"/>
        <v>No</v>
      </c>
      <c r="I532" t="str">
        <f t="shared" si="25"/>
        <v>No</v>
      </c>
      <c r="J532" t="str">
        <f t="shared" si="26"/>
        <v>No</v>
      </c>
    </row>
    <row r="533" spans="1:10" x14ac:dyDescent="0.35">
      <c r="A533" t="s">
        <v>413</v>
      </c>
      <c r="B533" t="s">
        <v>1171</v>
      </c>
      <c r="D533" t="s">
        <v>1172</v>
      </c>
      <c r="E533" t="str">
        <f>IFERROR(VLOOKUP(C533,'New Adm Data (Mar to July)'!C:D,2,),"-")</f>
        <v>-</v>
      </c>
      <c r="F533">
        <f>IFERROR(VLOOKUP(D533,'New Adm Data (Aug to Nov)'!C:D,2,),"-")</f>
        <v>0</v>
      </c>
      <c r="G533" t="s">
        <v>1316</v>
      </c>
      <c r="H533" t="str">
        <f t="shared" si="24"/>
        <v>No</v>
      </c>
      <c r="I533" t="str">
        <f t="shared" si="25"/>
        <v>No</v>
      </c>
      <c r="J533" t="str">
        <f t="shared" si="26"/>
        <v>No</v>
      </c>
    </row>
    <row r="534" spans="1:10" x14ac:dyDescent="0.35">
      <c r="A534" t="s">
        <v>413</v>
      </c>
      <c r="B534" t="s">
        <v>1175</v>
      </c>
      <c r="D534" t="s">
        <v>1176</v>
      </c>
      <c r="E534" t="str">
        <f>IFERROR(VLOOKUP(C534,'New Adm Data (Mar to July)'!C:D,2,),"-")</f>
        <v>-</v>
      </c>
      <c r="F534">
        <f>IFERROR(VLOOKUP(D534,'New Adm Data (Aug to Nov)'!C:D,2,),"-")</f>
        <v>0</v>
      </c>
      <c r="G534" t="s">
        <v>1316</v>
      </c>
      <c r="H534" t="str">
        <f t="shared" si="24"/>
        <v>No</v>
      </c>
      <c r="I534" t="str">
        <f t="shared" si="25"/>
        <v>No</v>
      </c>
      <c r="J534" t="str">
        <f t="shared" si="26"/>
        <v>No</v>
      </c>
    </row>
    <row r="535" spans="1:10" x14ac:dyDescent="0.35">
      <c r="A535" t="s">
        <v>413</v>
      </c>
      <c r="B535" t="s">
        <v>1177</v>
      </c>
      <c r="D535" t="s">
        <v>1178</v>
      </c>
      <c r="E535" t="str">
        <f>IFERROR(VLOOKUP(C535,'New Adm Data (Mar to July)'!C:D,2,),"-")</f>
        <v>-</v>
      </c>
      <c r="F535">
        <f>IFERROR(VLOOKUP(D535,'New Adm Data (Aug to Nov)'!C:D,2,),"-")</f>
        <v>0</v>
      </c>
      <c r="G535" t="s">
        <v>1316</v>
      </c>
      <c r="H535" t="str">
        <f t="shared" si="24"/>
        <v>No</v>
      </c>
      <c r="I535" t="str">
        <f t="shared" si="25"/>
        <v>No</v>
      </c>
      <c r="J535" t="str">
        <f t="shared" si="26"/>
        <v>No</v>
      </c>
    </row>
    <row r="536" spans="1:10" x14ac:dyDescent="0.35">
      <c r="A536" t="s">
        <v>413</v>
      </c>
      <c r="B536" t="s">
        <v>1179</v>
      </c>
      <c r="D536" t="s">
        <v>1180</v>
      </c>
      <c r="E536" t="str">
        <f>IFERROR(VLOOKUP(C536,'New Adm Data (Mar to July)'!C:D,2,),"-")</f>
        <v>-</v>
      </c>
      <c r="F536">
        <f>IFERROR(VLOOKUP(D536,'New Adm Data (Aug to Nov)'!C:D,2,),"-")</f>
        <v>0</v>
      </c>
      <c r="G536" t="s">
        <v>1316</v>
      </c>
      <c r="H536" t="str">
        <f t="shared" si="24"/>
        <v>No</v>
      </c>
      <c r="I536" t="str">
        <f t="shared" si="25"/>
        <v>No</v>
      </c>
      <c r="J536" t="str">
        <f t="shared" si="26"/>
        <v>No</v>
      </c>
    </row>
    <row r="537" spans="1:10" x14ac:dyDescent="0.35">
      <c r="A537" t="s">
        <v>413</v>
      </c>
      <c r="B537" t="s">
        <v>1182</v>
      </c>
      <c r="D537" t="s">
        <v>1183</v>
      </c>
      <c r="E537" t="str">
        <f>IFERROR(VLOOKUP(C537,'New Adm Data (Mar to July)'!C:D,2,),"-")</f>
        <v>-</v>
      </c>
      <c r="F537">
        <f>IFERROR(VLOOKUP(D537,'New Adm Data (Aug to Nov)'!C:D,2,),"-")</f>
        <v>0</v>
      </c>
      <c r="G537" t="s">
        <v>1316</v>
      </c>
      <c r="H537" t="str">
        <f t="shared" si="24"/>
        <v>No</v>
      </c>
      <c r="I537" t="str">
        <f t="shared" si="25"/>
        <v>No</v>
      </c>
      <c r="J537" t="str">
        <f t="shared" si="26"/>
        <v>No</v>
      </c>
    </row>
    <row r="538" spans="1:10" x14ac:dyDescent="0.35">
      <c r="A538" t="s">
        <v>413</v>
      </c>
      <c r="B538" t="s">
        <v>1184</v>
      </c>
      <c r="D538" t="s">
        <v>1185</v>
      </c>
      <c r="E538" t="str">
        <f>IFERROR(VLOOKUP(C538,'New Adm Data (Mar to July)'!C:D,2,),"-")</f>
        <v>-</v>
      </c>
      <c r="F538">
        <f>IFERROR(VLOOKUP(D538,'New Adm Data (Aug to Nov)'!C:D,2,),"-")</f>
        <v>0</v>
      </c>
      <c r="G538" t="s">
        <v>1316</v>
      </c>
      <c r="H538" t="str">
        <f t="shared" si="24"/>
        <v>No</v>
      </c>
      <c r="I538" t="str">
        <f t="shared" si="25"/>
        <v>No</v>
      </c>
      <c r="J538" t="str">
        <f t="shared" si="26"/>
        <v>No</v>
      </c>
    </row>
    <row r="539" spans="1:10" x14ac:dyDescent="0.35">
      <c r="A539" t="s">
        <v>413</v>
      </c>
      <c r="B539" t="s">
        <v>1186</v>
      </c>
      <c r="D539" t="s">
        <v>1187</v>
      </c>
      <c r="E539" t="str">
        <f>IFERROR(VLOOKUP(C539,'New Adm Data (Mar to July)'!C:D,2,),"-")</f>
        <v>-</v>
      </c>
      <c r="F539">
        <f>IFERROR(VLOOKUP(D539,'New Adm Data (Aug to Nov)'!C:D,2,),"-")</f>
        <v>0</v>
      </c>
      <c r="G539" t="s">
        <v>1316</v>
      </c>
      <c r="H539" t="str">
        <f t="shared" si="24"/>
        <v>No</v>
      </c>
      <c r="I539" t="str">
        <f t="shared" si="25"/>
        <v>No</v>
      </c>
      <c r="J539" t="str">
        <f t="shared" si="26"/>
        <v>No</v>
      </c>
    </row>
    <row r="540" spans="1:10" x14ac:dyDescent="0.35">
      <c r="A540" t="s">
        <v>413</v>
      </c>
      <c r="B540" t="s">
        <v>1188</v>
      </c>
      <c r="D540" t="s">
        <v>1189</v>
      </c>
      <c r="E540" t="str">
        <f>IFERROR(VLOOKUP(C540,'New Adm Data (Mar to July)'!C:D,2,),"-")</f>
        <v>-</v>
      </c>
      <c r="F540">
        <f>IFERROR(VLOOKUP(D540,'New Adm Data (Aug to Nov)'!C:D,2,),"-")</f>
        <v>0</v>
      </c>
      <c r="G540" t="s">
        <v>1316</v>
      </c>
      <c r="H540" t="str">
        <f t="shared" si="24"/>
        <v>No</v>
      </c>
      <c r="I540" t="str">
        <f t="shared" si="25"/>
        <v>No</v>
      </c>
      <c r="J540" t="str">
        <f t="shared" si="26"/>
        <v>No</v>
      </c>
    </row>
    <row r="541" spans="1:10" x14ac:dyDescent="0.35">
      <c r="A541" t="s">
        <v>413</v>
      </c>
      <c r="B541" t="s">
        <v>1190</v>
      </c>
      <c r="D541" t="s">
        <v>1191</v>
      </c>
      <c r="E541" t="str">
        <f>IFERROR(VLOOKUP(C541,'New Adm Data (Mar to July)'!C:D,2,),"-")</f>
        <v>-</v>
      </c>
      <c r="F541">
        <f>IFERROR(VLOOKUP(D541,'New Adm Data (Aug to Nov)'!C:D,2,),"-")</f>
        <v>0</v>
      </c>
      <c r="G541" t="s">
        <v>1316</v>
      </c>
      <c r="H541" t="str">
        <f t="shared" si="24"/>
        <v>No</v>
      </c>
      <c r="I541" t="str">
        <f t="shared" si="25"/>
        <v>No</v>
      </c>
      <c r="J541" t="str">
        <f t="shared" si="26"/>
        <v>No</v>
      </c>
    </row>
    <row r="542" spans="1:10" x14ac:dyDescent="0.35">
      <c r="A542" t="s">
        <v>413</v>
      </c>
      <c r="B542" t="s">
        <v>1192</v>
      </c>
      <c r="D542" t="s">
        <v>1193</v>
      </c>
      <c r="E542" t="str">
        <f>IFERROR(VLOOKUP(C542,'New Adm Data (Mar to July)'!C:D,2,),"-")</f>
        <v>-</v>
      </c>
      <c r="F542">
        <f>IFERROR(VLOOKUP(D542,'New Adm Data (Aug to Nov)'!C:D,2,),"-")</f>
        <v>0</v>
      </c>
      <c r="G542" t="s">
        <v>1316</v>
      </c>
      <c r="H542" t="str">
        <f t="shared" si="24"/>
        <v>No</v>
      </c>
      <c r="I542" t="str">
        <f t="shared" si="25"/>
        <v>No</v>
      </c>
      <c r="J542" t="str">
        <f t="shared" si="26"/>
        <v>No</v>
      </c>
    </row>
    <row r="543" spans="1:10" x14ac:dyDescent="0.35">
      <c r="A543" t="s">
        <v>413</v>
      </c>
      <c r="B543" t="s">
        <v>1198</v>
      </c>
      <c r="D543" t="s">
        <v>1199</v>
      </c>
      <c r="E543" t="str">
        <f>IFERROR(VLOOKUP(C543,'New Adm Data (Mar to July)'!C:D,2,),"-")</f>
        <v>-</v>
      </c>
      <c r="F543">
        <f>IFERROR(VLOOKUP(D543,'New Adm Data (Aug to Nov)'!C:D,2,),"-")</f>
        <v>0</v>
      </c>
      <c r="G543" t="s">
        <v>1316</v>
      </c>
      <c r="H543" t="str">
        <f t="shared" si="24"/>
        <v>No</v>
      </c>
      <c r="I543" t="str">
        <f t="shared" si="25"/>
        <v>No</v>
      </c>
      <c r="J543" t="str">
        <f t="shared" si="26"/>
        <v>No</v>
      </c>
    </row>
    <row r="544" spans="1:10" x14ac:dyDescent="0.35">
      <c r="A544" t="s">
        <v>413</v>
      </c>
      <c r="B544" t="s">
        <v>1200</v>
      </c>
      <c r="D544" t="s">
        <v>1201</v>
      </c>
      <c r="E544" t="str">
        <f>IFERROR(VLOOKUP(C544,'New Adm Data (Mar to July)'!C:D,2,),"-")</f>
        <v>-</v>
      </c>
      <c r="F544">
        <f>IFERROR(VLOOKUP(D544,'New Adm Data (Aug to Nov)'!C:D,2,),"-")</f>
        <v>0</v>
      </c>
      <c r="G544" t="s">
        <v>1316</v>
      </c>
      <c r="H544" t="str">
        <f t="shared" si="24"/>
        <v>No</v>
      </c>
      <c r="I544" t="str">
        <f t="shared" si="25"/>
        <v>No</v>
      </c>
      <c r="J544" t="str">
        <f t="shared" si="26"/>
        <v>No</v>
      </c>
    </row>
    <row r="545" spans="1:10" x14ac:dyDescent="0.35">
      <c r="A545" t="s">
        <v>413</v>
      </c>
      <c r="B545" t="s">
        <v>1202</v>
      </c>
      <c r="D545" t="s">
        <v>1203</v>
      </c>
      <c r="E545" t="str">
        <f>IFERROR(VLOOKUP(C545,'New Adm Data (Mar to July)'!C:D,2,),"-")</f>
        <v>-</v>
      </c>
      <c r="F545">
        <f>IFERROR(VLOOKUP(D545,'New Adm Data (Aug to Nov)'!C:D,2,),"-")</f>
        <v>0</v>
      </c>
      <c r="G545" t="s">
        <v>1316</v>
      </c>
      <c r="H545" t="str">
        <f t="shared" si="24"/>
        <v>No</v>
      </c>
      <c r="I545" t="str">
        <f t="shared" si="25"/>
        <v>No</v>
      </c>
      <c r="J545" t="str">
        <f t="shared" si="26"/>
        <v>No</v>
      </c>
    </row>
    <row r="546" spans="1:10" x14ac:dyDescent="0.35">
      <c r="A546" t="s">
        <v>494</v>
      </c>
      <c r="B546" t="s">
        <v>1233</v>
      </c>
      <c r="D546" t="s">
        <v>1234</v>
      </c>
      <c r="E546" t="str">
        <f>IFERROR(VLOOKUP(C546,'New Adm Data (Mar to July)'!C:D,2,),"-")</f>
        <v>-</v>
      </c>
      <c r="F546">
        <f>IFERROR(VLOOKUP(D546,'New Adm Data (Aug to Nov)'!C:D,2,),"-")</f>
        <v>0</v>
      </c>
      <c r="G546" t="s">
        <v>1316</v>
      </c>
      <c r="H546" t="str">
        <f t="shared" si="24"/>
        <v>No</v>
      </c>
      <c r="I546" t="str">
        <f t="shared" si="25"/>
        <v>No</v>
      </c>
      <c r="J546" t="str">
        <f t="shared" si="26"/>
        <v>No</v>
      </c>
    </row>
    <row r="547" spans="1:10" x14ac:dyDescent="0.35">
      <c r="A547" t="s">
        <v>494</v>
      </c>
      <c r="B547" t="s">
        <v>1237</v>
      </c>
      <c r="D547" t="s">
        <v>1238</v>
      </c>
      <c r="E547" t="str">
        <f>IFERROR(VLOOKUP(C547,'New Adm Data (Mar to July)'!C:D,2,),"-")</f>
        <v>-</v>
      </c>
      <c r="F547">
        <f>IFERROR(VLOOKUP(D547,'New Adm Data (Aug to Nov)'!C:D,2,),"-")</f>
        <v>0</v>
      </c>
      <c r="G547" t="s">
        <v>1316</v>
      </c>
      <c r="H547" t="str">
        <f t="shared" si="24"/>
        <v>No</v>
      </c>
      <c r="I547" t="str">
        <f t="shared" si="25"/>
        <v>No</v>
      </c>
      <c r="J547" t="str">
        <f t="shared" si="26"/>
        <v>No</v>
      </c>
    </row>
    <row r="548" spans="1:10" x14ac:dyDescent="0.35">
      <c r="A548" t="s">
        <v>494</v>
      </c>
      <c r="B548" t="s">
        <v>1239</v>
      </c>
      <c r="D548" t="s">
        <v>1240</v>
      </c>
      <c r="E548" t="str">
        <f>IFERROR(VLOOKUP(C548,'New Adm Data (Mar to July)'!C:D,2,),"-")</f>
        <v>-</v>
      </c>
      <c r="F548">
        <f>IFERROR(VLOOKUP(D548,'New Adm Data (Aug to Nov)'!C:D,2,),"-")</f>
        <v>0</v>
      </c>
      <c r="G548" t="s">
        <v>1316</v>
      </c>
      <c r="H548" t="str">
        <f t="shared" si="24"/>
        <v>No</v>
      </c>
      <c r="I548" t="str">
        <f t="shared" si="25"/>
        <v>No</v>
      </c>
      <c r="J548" t="str">
        <f t="shared" si="26"/>
        <v>No</v>
      </c>
    </row>
    <row r="549" spans="1:10" x14ac:dyDescent="0.35">
      <c r="A549" t="s">
        <v>494</v>
      </c>
      <c r="B549" t="s">
        <v>1241</v>
      </c>
      <c r="D549" t="s">
        <v>1242</v>
      </c>
      <c r="E549" t="str">
        <f>IFERROR(VLOOKUP(C549,'New Adm Data (Mar to July)'!C:D,2,),"-")</f>
        <v>-</v>
      </c>
      <c r="F549">
        <f>IFERROR(VLOOKUP(D549,'New Adm Data (Aug to Nov)'!C:D,2,),"-")</f>
        <v>0</v>
      </c>
      <c r="G549" t="s">
        <v>1316</v>
      </c>
      <c r="H549" t="str">
        <f t="shared" si="24"/>
        <v>No</v>
      </c>
      <c r="I549" t="str">
        <f t="shared" si="25"/>
        <v>No</v>
      </c>
      <c r="J549" t="str">
        <f t="shared" si="26"/>
        <v>No</v>
      </c>
    </row>
    <row r="550" spans="1:10" x14ac:dyDescent="0.35">
      <c r="A550" t="s">
        <v>494</v>
      </c>
      <c r="B550" t="s">
        <v>1244</v>
      </c>
      <c r="D550" t="s">
        <v>1245</v>
      </c>
      <c r="E550" t="str">
        <f>IFERROR(VLOOKUP(C550,'New Adm Data (Mar to July)'!C:D,2,),"-")</f>
        <v>-</v>
      </c>
      <c r="F550">
        <f>IFERROR(VLOOKUP(D550,'New Adm Data (Aug to Nov)'!C:D,2,),"-")</f>
        <v>0</v>
      </c>
      <c r="G550" t="s">
        <v>1316</v>
      </c>
      <c r="H550" t="str">
        <f t="shared" si="24"/>
        <v>No</v>
      </c>
      <c r="I550" t="str">
        <f t="shared" si="25"/>
        <v>No</v>
      </c>
      <c r="J550" t="str">
        <f t="shared" si="26"/>
        <v>No</v>
      </c>
    </row>
    <row r="551" spans="1:10" x14ac:dyDescent="0.35">
      <c r="A551" t="s">
        <v>494</v>
      </c>
      <c r="B551" t="s">
        <v>1246</v>
      </c>
      <c r="D551" t="s">
        <v>1247</v>
      </c>
      <c r="E551" t="str">
        <f>IFERROR(VLOOKUP(C551,'New Adm Data (Mar to July)'!C:D,2,),"-")</f>
        <v>-</v>
      </c>
      <c r="F551">
        <f>IFERROR(VLOOKUP(D551,'New Adm Data (Aug to Nov)'!C:D,2,),"-")</f>
        <v>0</v>
      </c>
      <c r="G551" t="s">
        <v>1316</v>
      </c>
      <c r="H551" t="str">
        <f t="shared" si="24"/>
        <v>No</v>
      </c>
      <c r="I551" t="str">
        <f t="shared" si="25"/>
        <v>No</v>
      </c>
      <c r="J551" t="str">
        <f t="shared" si="26"/>
        <v>No</v>
      </c>
    </row>
    <row r="552" spans="1:10" x14ac:dyDescent="0.35">
      <c r="A552" t="s">
        <v>494</v>
      </c>
      <c r="B552" t="s">
        <v>1248</v>
      </c>
      <c r="D552" t="s">
        <v>1249</v>
      </c>
      <c r="E552" t="str">
        <f>IFERROR(VLOOKUP(C552,'New Adm Data (Mar to July)'!C:D,2,),"-")</f>
        <v>-</v>
      </c>
      <c r="F552">
        <f>IFERROR(VLOOKUP(D552,'New Adm Data (Aug to Nov)'!C:D,2,),"-")</f>
        <v>0</v>
      </c>
      <c r="G552" t="s">
        <v>1316</v>
      </c>
      <c r="H552" t="str">
        <f t="shared" si="24"/>
        <v>No</v>
      </c>
      <c r="I552" t="str">
        <f t="shared" si="25"/>
        <v>No</v>
      </c>
      <c r="J552" t="str">
        <f t="shared" si="26"/>
        <v>No</v>
      </c>
    </row>
    <row r="553" spans="1:10" x14ac:dyDescent="0.35">
      <c r="A553" t="s">
        <v>494</v>
      </c>
      <c r="B553" t="s">
        <v>1250</v>
      </c>
      <c r="D553" t="s">
        <v>1251</v>
      </c>
      <c r="E553" t="str">
        <f>IFERROR(VLOOKUP(C553,'New Adm Data (Mar to July)'!C:D,2,),"-")</f>
        <v>-</v>
      </c>
      <c r="F553">
        <f>IFERROR(VLOOKUP(D553,'New Adm Data (Aug to Nov)'!C:D,2,),"-")</f>
        <v>0</v>
      </c>
      <c r="G553" t="s">
        <v>1316</v>
      </c>
      <c r="H553" t="str">
        <f t="shared" si="24"/>
        <v>No</v>
      </c>
      <c r="I553" t="str">
        <f t="shared" si="25"/>
        <v>No</v>
      </c>
      <c r="J553" t="str">
        <f t="shared" si="26"/>
        <v>No</v>
      </c>
    </row>
    <row r="554" spans="1:10" x14ac:dyDescent="0.35">
      <c r="A554" t="s">
        <v>494</v>
      </c>
      <c r="B554" t="s">
        <v>1252</v>
      </c>
      <c r="D554" t="s">
        <v>1253</v>
      </c>
      <c r="E554" t="str">
        <f>IFERROR(VLOOKUP(C554,'New Adm Data (Mar to July)'!C:D,2,),"-")</f>
        <v>-</v>
      </c>
      <c r="F554">
        <f>IFERROR(VLOOKUP(D554,'New Adm Data (Aug to Nov)'!C:D,2,),"-")</f>
        <v>0</v>
      </c>
      <c r="G554" t="s">
        <v>1316</v>
      </c>
      <c r="H554" t="str">
        <f t="shared" si="24"/>
        <v>No</v>
      </c>
      <c r="I554" t="str">
        <f t="shared" si="25"/>
        <v>No</v>
      </c>
      <c r="J554" t="str">
        <f t="shared" si="26"/>
        <v>No</v>
      </c>
    </row>
    <row r="555" spans="1:10" x14ac:dyDescent="0.35">
      <c r="A555" t="s">
        <v>494</v>
      </c>
      <c r="B555" t="s">
        <v>1254</v>
      </c>
      <c r="D555" t="s">
        <v>1255</v>
      </c>
      <c r="E555" t="str">
        <f>IFERROR(VLOOKUP(C555,'New Adm Data (Mar to July)'!C:D,2,),"-")</f>
        <v>-</v>
      </c>
      <c r="F555">
        <f>IFERROR(VLOOKUP(D555,'New Adm Data (Aug to Nov)'!C:D,2,),"-")</f>
        <v>0</v>
      </c>
      <c r="G555" t="s">
        <v>1316</v>
      </c>
      <c r="H555" t="str">
        <f t="shared" si="24"/>
        <v>No</v>
      </c>
      <c r="I555" t="str">
        <f t="shared" si="25"/>
        <v>No</v>
      </c>
      <c r="J555" t="str">
        <f t="shared" si="26"/>
        <v>No</v>
      </c>
    </row>
    <row r="556" spans="1:10" x14ac:dyDescent="0.35">
      <c r="A556" t="s">
        <v>494</v>
      </c>
      <c r="B556" t="s">
        <v>1256</v>
      </c>
      <c r="D556" t="s">
        <v>1257</v>
      </c>
      <c r="E556" t="str">
        <f>IFERROR(VLOOKUP(C556,'New Adm Data (Mar to July)'!C:D,2,),"-")</f>
        <v>-</v>
      </c>
      <c r="F556">
        <f>IFERROR(VLOOKUP(D556,'New Adm Data (Aug to Nov)'!C:D,2,),"-")</f>
        <v>0</v>
      </c>
      <c r="G556" t="s">
        <v>1316</v>
      </c>
      <c r="H556" t="str">
        <f t="shared" si="24"/>
        <v>No</v>
      </c>
      <c r="I556" t="str">
        <f t="shared" si="25"/>
        <v>No</v>
      </c>
      <c r="J556" t="str">
        <f t="shared" si="26"/>
        <v>No</v>
      </c>
    </row>
    <row r="557" spans="1:10" x14ac:dyDescent="0.35">
      <c r="A557" t="s">
        <v>494</v>
      </c>
      <c r="B557" t="s">
        <v>1258</v>
      </c>
      <c r="D557" t="s">
        <v>1259</v>
      </c>
      <c r="E557" t="str">
        <f>IFERROR(VLOOKUP(C557,'New Adm Data (Mar to July)'!C:D,2,),"-")</f>
        <v>-</v>
      </c>
      <c r="F557">
        <f>IFERROR(VLOOKUP(D557,'New Adm Data (Aug to Nov)'!C:D,2,),"-")</f>
        <v>0</v>
      </c>
      <c r="G557" t="s">
        <v>1316</v>
      </c>
      <c r="H557" t="str">
        <f t="shared" si="24"/>
        <v>No</v>
      </c>
      <c r="I557" t="str">
        <f t="shared" si="25"/>
        <v>No</v>
      </c>
      <c r="J557" t="str">
        <f t="shared" si="26"/>
        <v>No</v>
      </c>
    </row>
    <row r="558" spans="1:10" x14ac:dyDescent="0.35">
      <c r="A558" t="s">
        <v>494</v>
      </c>
      <c r="B558" t="s">
        <v>1260</v>
      </c>
      <c r="D558" t="s">
        <v>1261</v>
      </c>
      <c r="E558" t="str">
        <f>IFERROR(VLOOKUP(C558,'New Adm Data (Mar to July)'!C:D,2,),"-")</f>
        <v>-</v>
      </c>
      <c r="F558">
        <f>IFERROR(VLOOKUP(D558,'New Adm Data (Aug to Nov)'!C:D,2,),"-")</f>
        <v>0</v>
      </c>
      <c r="G558" t="s">
        <v>1316</v>
      </c>
      <c r="H558" t="str">
        <f t="shared" si="24"/>
        <v>No</v>
      </c>
      <c r="I558" t="str">
        <f t="shared" si="25"/>
        <v>No</v>
      </c>
      <c r="J558" t="str">
        <f t="shared" si="26"/>
        <v>No</v>
      </c>
    </row>
    <row r="559" spans="1:10" x14ac:dyDescent="0.35">
      <c r="A559" t="s">
        <v>494</v>
      </c>
      <c r="B559" t="s">
        <v>1262</v>
      </c>
      <c r="D559" t="s">
        <v>1263</v>
      </c>
      <c r="E559" t="str">
        <f>IFERROR(VLOOKUP(C559,'New Adm Data (Mar to July)'!C:D,2,),"-")</f>
        <v>-</v>
      </c>
      <c r="F559">
        <f>IFERROR(VLOOKUP(D559,'New Adm Data (Aug to Nov)'!C:D,2,),"-")</f>
        <v>0</v>
      </c>
      <c r="G559" t="s">
        <v>1316</v>
      </c>
      <c r="H559" t="str">
        <f t="shared" si="24"/>
        <v>No</v>
      </c>
      <c r="I559" t="str">
        <f t="shared" si="25"/>
        <v>No</v>
      </c>
      <c r="J559" t="str">
        <f t="shared" si="26"/>
        <v>No</v>
      </c>
    </row>
    <row r="560" spans="1:10" x14ac:dyDescent="0.35">
      <c r="A560" t="s">
        <v>494</v>
      </c>
      <c r="B560" t="s">
        <v>1264</v>
      </c>
      <c r="D560" t="s">
        <v>1265</v>
      </c>
      <c r="E560" t="str">
        <f>IFERROR(VLOOKUP(C560,'New Adm Data (Mar to July)'!C:D,2,),"-")</f>
        <v>-</v>
      </c>
      <c r="F560">
        <f>IFERROR(VLOOKUP(D560,'New Adm Data (Aug to Nov)'!C:D,2,),"-")</f>
        <v>0</v>
      </c>
      <c r="G560" t="s">
        <v>1316</v>
      </c>
      <c r="H560" t="str">
        <f t="shared" si="24"/>
        <v>No</v>
      </c>
      <c r="I560" t="str">
        <f t="shared" si="25"/>
        <v>No</v>
      </c>
      <c r="J560" t="str">
        <f t="shared" si="26"/>
        <v>No</v>
      </c>
    </row>
    <row r="561" spans="1:10" x14ac:dyDescent="0.35">
      <c r="A561" t="s">
        <v>494</v>
      </c>
      <c r="B561" t="s">
        <v>1266</v>
      </c>
      <c r="D561" t="s">
        <v>1267</v>
      </c>
      <c r="E561" t="str">
        <f>IFERROR(VLOOKUP(C561,'New Adm Data (Mar to July)'!C:D,2,),"-")</f>
        <v>-</v>
      </c>
      <c r="F561">
        <f>IFERROR(VLOOKUP(D561,'New Adm Data (Aug to Nov)'!C:D,2,),"-")</f>
        <v>0</v>
      </c>
      <c r="G561" t="s">
        <v>1316</v>
      </c>
      <c r="H561" t="str">
        <f t="shared" si="24"/>
        <v>No</v>
      </c>
      <c r="I561" t="str">
        <f t="shared" si="25"/>
        <v>No</v>
      </c>
      <c r="J561" t="str">
        <f t="shared" si="26"/>
        <v>No</v>
      </c>
    </row>
    <row r="562" spans="1:10" x14ac:dyDescent="0.35">
      <c r="A562" t="s">
        <v>494</v>
      </c>
      <c r="B562" t="s">
        <v>1268</v>
      </c>
      <c r="D562" t="s">
        <v>1269</v>
      </c>
      <c r="E562" t="str">
        <f>IFERROR(VLOOKUP(C562,'New Adm Data (Mar to July)'!C:D,2,),"-")</f>
        <v>-</v>
      </c>
      <c r="F562">
        <f>IFERROR(VLOOKUP(D562,'New Adm Data (Aug to Nov)'!C:D,2,),"-")</f>
        <v>0</v>
      </c>
      <c r="G562" t="s">
        <v>1316</v>
      </c>
      <c r="H562" t="str">
        <f t="shared" si="24"/>
        <v>No</v>
      </c>
      <c r="I562" t="str">
        <f t="shared" si="25"/>
        <v>No</v>
      </c>
      <c r="J562" t="str">
        <f t="shared" si="26"/>
        <v>No</v>
      </c>
    </row>
    <row r="563" spans="1:10" x14ac:dyDescent="0.35">
      <c r="A563" t="s">
        <v>494</v>
      </c>
      <c r="B563" t="s">
        <v>1270</v>
      </c>
      <c r="D563" t="s">
        <v>1271</v>
      </c>
      <c r="E563" t="str">
        <f>IFERROR(VLOOKUP(C563,'New Adm Data (Mar to July)'!C:D,2,),"-")</f>
        <v>-</v>
      </c>
      <c r="F563">
        <f>IFERROR(VLOOKUP(D563,'New Adm Data (Aug to Nov)'!C:D,2,),"-")</f>
        <v>0</v>
      </c>
      <c r="G563" t="s">
        <v>1316</v>
      </c>
      <c r="H563" t="str">
        <f t="shared" si="24"/>
        <v>No</v>
      </c>
      <c r="I563" t="str">
        <f t="shared" si="25"/>
        <v>No</v>
      </c>
      <c r="J563" t="str">
        <f t="shared" si="26"/>
        <v>No</v>
      </c>
    </row>
    <row r="564" spans="1:10" x14ac:dyDescent="0.35">
      <c r="A564" t="s">
        <v>494</v>
      </c>
      <c r="B564" t="s">
        <v>1272</v>
      </c>
      <c r="D564" t="s">
        <v>1273</v>
      </c>
      <c r="E564" t="str">
        <f>IFERROR(VLOOKUP(C564,'New Adm Data (Mar to July)'!C:D,2,),"-")</f>
        <v>-</v>
      </c>
      <c r="F564">
        <f>IFERROR(VLOOKUP(D564,'New Adm Data (Aug to Nov)'!C:D,2,),"-")</f>
        <v>0</v>
      </c>
      <c r="G564" t="s">
        <v>1316</v>
      </c>
      <c r="H564" t="str">
        <f t="shared" si="24"/>
        <v>No</v>
      </c>
      <c r="I564" t="str">
        <f t="shared" si="25"/>
        <v>No</v>
      </c>
      <c r="J564" t="str">
        <f t="shared" si="26"/>
        <v>No</v>
      </c>
    </row>
    <row r="565" spans="1:10" x14ac:dyDescent="0.35">
      <c r="A565" t="s">
        <v>494</v>
      </c>
      <c r="B565" t="s">
        <v>1274</v>
      </c>
      <c r="D565" t="s">
        <v>1275</v>
      </c>
      <c r="E565" t="str">
        <f>IFERROR(VLOOKUP(C565,'New Adm Data (Mar to July)'!C:D,2,),"-")</f>
        <v>-</v>
      </c>
      <c r="F565">
        <f>IFERROR(VLOOKUP(D565,'New Adm Data (Aug to Nov)'!C:D,2,),"-")</f>
        <v>0</v>
      </c>
      <c r="G565" t="s">
        <v>1316</v>
      </c>
      <c r="H565" t="str">
        <f t="shared" si="24"/>
        <v>No</v>
      </c>
      <c r="I565" t="str">
        <f t="shared" si="25"/>
        <v>No</v>
      </c>
      <c r="J565" t="str">
        <f t="shared" si="26"/>
        <v>No</v>
      </c>
    </row>
    <row r="566" spans="1:10" x14ac:dyDescent="0.35">
      <c r="A566" t="s">
        <v>494</v>
      </c>
      <c r="B566" t="s">
        <v>1276</v>
      </c>
      <c r="D566" t="s">
        <v>1277</v>
      </c>
      <c r="E566" t="str">
        <f>IFERROR(VLOOKUP(C566,'New Adm Data (Mar to July)'!C:D,2,),"-")</f>
        <v>-</v>
      </c>
      <c r="F566">
        <f>IFERROR(VLOOKUP(D566,'New Adm Data (Aug to Nov)'!C:D,2,),"-")</f>
        <v>0</v>
      </c>
      <c r="G566" t="s">
        <v>1316</v>
      </c>
      <c r="H566" t="str">
        <f t="shared" si="24"/>
        <v>No</v>
      </c>
      <c r="I566" t="str">
        <f t="shared" si="25"/>
        <v>No</v>
      </c>
      <c r="J566" t="str">
        <f t="shared" si="26"/>
        <v>No</v>
      </c>
    </row>
    <row r="567" spans="1:10" x14ac:dyDescent="0.35">
      <c r="A567" t="s">
        <v>494</v>
      </c>
      <c r="B567" t="s">
        <v>1278</v>
      </c>
      <c r="D567" t="s">
        <v>1279</v>
      </c>
      <c r="E567" t="str">
        <f>IFERROR(VLOOKUP(C567,'New Adm Data (Mar to July)'!C:D,2,),"-")</f>
        <v>-</v>
      </c>
      <c r="F567">
        <f>IFERROR(VLOOKUP(D567,'New Adm Data (Aug to Nov)'!C:D,2,),"-")</f>
        <v>0</v>
      </c>
      <c r="G567" t="s">
        <v>1316</v>
      </c>
      <c r="H567" t="str">
        <f t="shared" si="24"/>
        <v>No</v>
      </c>
      <c r="I567" t="str">
        <f t="shared" si="25"/>
        <v>No</v>
      </c>
      <c r="J567" t="str">
        <f t="shared" si="26"/>
        <v>No</v>
      </c>
    </row>
    <row r="568" spans="1:10" x14ac:dyDescent="0.35">
      <c r="A568" t="s">
        <v>494</v>
      </c>
      <c r="B568" t="s">
        <v>1280</v>
      </c>
      <c r="D568" t="s">
        <v>1281</v>
      </c>
      <c r="E568" t="str">
        <f>IFERROR(VLOOKUP(C568,'New Adm Data (Mar to July)'!C:D,2,),"-")</f>
        <v>-</v>
      </c>
      <c r="F568">
        <f>IFERROR(VLOOKUP(D568,'New Adm Data (Aug to Nov)'!C:D,2,),"-")</f>
        <v>0</v>
      </c>
      <c r="G568" t="s">
        <v>1316</v>
      </c>
      <c r="H568" t="str">
        <f t="shared" si="24"/>
        <v>No</v>
      </c>
      <c r="I568" t="str">
        <f t="shared" si="25"/>
        <v>No</v>
      </c>
      <c r="J568" t="str">
        <f t="shared" si="26"/>
        <v>No</v>
      </c>
    </row>
    <row r="569" spans="1:10" x14ac:dyDescent="0.35">
      <c r="A569" t="s">
        <v>494</v>
      </c>
      <c r="B569" t="s">
        <v>1282</v>
      </c>
      <c r="D569" t="s">
        <v>1283</v>
      </c>
      <c r="E569" t="str">
        <f>IFERROR(VLOOKUP(C569,'New Adm Data (Mar to July)'!C:D,2,),"-")</f>
        <v>-</v>
      </c>
      <c r="F569">
        <f>IFERROR(VLOOKUP(D569,'New Adm Data (Aug to Nov)'!C:D,2,),"-")</f>
        <v>0</v>
      </c>
      <c r="G569" t="s">
        <v>1316</v>
      </c>
      <c r="H569" t="str">
        <f t="shared" si="24"/>
        <v>No</v>
      </c>
      <c r="I569" t="str">
        <f t="shared" si="25"/>
        <v>No</v>
      </c>
      <c r="J569" t="str">
        <f t="shared" si="26"/>
        <v>No</v>
      </c>
    </row>
    <row r="570" spans="1:10" x14ac:dyDescent="0.35">
      <c r="A570" t="s">
        <v>494</v>
      </c>
      <c r="B570" t="s">
        <v>1284</v>
      </c>
      <c r="D570" t="s">
        <v>1285</v>
      </c>
      <c r="E570" t="str">
        <f>IFERROR(VLOOKUP(C570,'New Adm Data (Mar to July)'!C:D,2,),"-")</f>
        <v>-</v>
      </c>
      <c r="F570">
        <f>IFERROR(VLOOKUP(D570,'New Adm Data (Aug to Nov)'!C:D,2,),"-")</f>
        <v>0</v>
      </c>
      <c r="G570" t="s">
        <v>1316</v>
      </c>
      <c r="H570" t="str">
        <f t="shared" si="24"/>
        <v>No</v>
      </c>
      <c r="I570" t="str">
        <f t="shared" si="25"/>
        <v>No</v>
      </c>
      <c r="J570" t="str">
        <f t="shared" si="26"/>
        <v>No</v>
      </c>
    </row>
    <row r="571" spans="1:10" x14ac:dyDescent="0.35">
      <c r="A571" t="s">
        <v>494</v>
      </c>
      <c r="B571" t="s">
        <v>1293</v>
      </c>
      <c r="D571" t="s">
        <v>1294</v>
      </c>
      <c r="E571" t="str">
        <f>IFERROR(VLOOKUP(C571,'New Adm Data (Mar to July)'!C:D,2,),"-")</f>
        <v>-</v>
      </c>
      <c r="F571">
        <f>IFERROR(VLOOKUP(D571,'New Adm Data (Aug to Nov)'!C:D,2,),"-")</f>
        <v>2</v>
      </c>
      <c r="G571" t="s">
        <v>1316</v>
      </c>
      <c r="H571" t="str">
        <f t="shared" si="24"/>
        <v>No</v>
      </c>
      <c r="I571" t="str">
        <f t="shared" si="25"/>
        <v>No</v>
      </c>
      <c r="J571" t="str">
        <f t="shared" si="26"/>
        <v>No</v>
      </c>
    </row>
    <row r="572" spans="1:10" x14ac:dyDescent="0.35">
      <c r="A572" t="s">
        <v>494</v>
      </c>
      <c r="B572" t="s">
        <v>1296</v>
      </c>
      <c r="D572" t="s">
        <v>1297</v>
      </c>
      <c r="E572" t="str">
        <f>IFERROR(VLOOKUP(C572,'New Adm Data (Mar to July)'!C:D,2,),"-")</f>
        <v>-</v>
      </c>
      <c r="F572">
        <f>IFERROR(VLOOKUP(D572,'New Adm Data (Aug to Nov)'!C:D,2,),"-")</f>
        <v>3</v>
      </c>
      <c r="G572" t="s">
        <v>1316</v>
      </c>
      <c r="H572" t="str">
        <f t="shared" si="24"/>
        <v>No</v>
      </c>
      <c r="I572" t="str">
        <f t="shared" si="25"/>
        <v>No</v>
      </c>
      <c r="J572" t="str">
        <f t="shared" si="26"/>
        <v>No</v>
      </c>
    </row>
  </sheetData>
  <sortState xmlns:xlrd2="http://schemas.microsoft.com/office/spreadsheetml/2017/richdata2" ref="A316:H572">
    <sortCondition ref="E316:E572"/>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FB2B2-7E58-4676-876C-DD52BBC8E418}">
  <sheetPr>
    <tabColor theme="2" tint="-9.9978637043366805E-2"/>
  </sheetPr>
  <dimension ref="A1:E197"/>
  <sheetViews>
    <sheetView workbookViewId="0"/>
  </sheetViews>
  <sheetFormatPr defaultRowHeight="13" x14ac:dyDescent="0.3"/>
  <cols>
    <col min="1" max="2" width="8.7265625" style="40"/>
    <col min="3" max="4" width="42.7265625" style="40" customWidth="1"/>
    <col min="5" max="5" width="26.1796875" style="40" customWidth="1"/>
    <col min="6" max="16384" width="8.7265625" style="40"/>
  </cols>
  <sheetData>
    <row r="1" spans="1:5" ht="27" x14ac:dyDescent="0.3">
      <c r="A1" s="48" t="s">
        <v>1730</v>
      </c>
      <c r="B1" s="49" t="s">
        <v>1731</v>
      </c>
      <c r="C1" s="50" t="s">
        <v>1732</v>
      </c>
      <c r="D1" s="50" t="s">
        <v>1736</v>
      </c>
      <c r="E1" s="50" t="s">
        <v>1733</v>
      </c>
    </row>
    <row r="2" spans="1:5" x14ac:dyDescent="0.3">
      <c r="A2" s="51" t="s">
        <v>1310</v>
      </c>
      <c r="B2" s="52" t="s">
        <v>1310</v>
      </c>
      <c r="C2" s="53" t="s">
        <v>546</v>
      </c>
      <c r="D2" s="53" t="str">
        <f>C2</f>
        <v>Overall</v>
      </c>
      <c r="E2" s="54">
        <f>SUM(E3:E197)</f>
        <v>118448</v>
      </c>
    </row>
    <row r="3" spans="1:5" x14ac:dyDescent="0.3">
      <c r="A3" s="41" t="s">
        <v>1332</v>
      </c>
      <c r="B3" s="42" t="s">
        <v>1333</v>
      </c>
      <c r="C3" s="43" t="s">
        <v>1334</v>
      </c>
      <c r="D3" s="43" t="str">
        <f>TRIM(C3)</f>
        <v>BARTS HEALTH NHS TRUST</v>
      </c>
      <c r="E3" s="44">
        <v>1847</v>
      </c>
    </row>
    <row r="4" spans="1:5" x14ac:dyDescent="0.3">
      <c r="A4" s="41" t="s">
        <v>1332</v>
      </c>
      <c r="B4" s="42" t="s">
        <v>1335</v>
      </c>
      <c r="C4" s="43" t="s">
        <v>1336</v>
      </c>
      <c r="D4" s="43" t="str">
        <f t="shared" ref="D4:D67" si="0">TRIM(C4)</f>
        <v>LONDON NORTH WEST UNIVERSITY HEALTHCARE NHS TRUST</v>
      </c>
      <c r="E4" s="43">
        <v>965</v>
      </c>
    </row>
    <row r="5" spans="1:5" x14ac:dyDescent="0.3">
      <c r="A5" s="41" t="s">
        <v>1332</v>
      </c>
      <c r="B5" s="42" t="s">
        <v>1337</v>
      </c>
      <c r="C5" s="43" t="s">
        <v>1338</v>
      </c>
      <c r="D5" s="43" t="str">
        <f t="shared" si="0"/>
        <v>ROYAL FREE LONDON NHS FOUNDATION TRUST</v>
      </c>
      <c r="E5" s="43">
        <v>970</v>
      </c>
    </row>
    <row r="6" spans="1:5" x14ac:dyDescent="0.3">
      <c r="A6" s="41" t="s">
        <v>1332</v>
      </c>
      <c r="B6" s="42" t="s">
        <v>1339</v>
      </c>
      <c r="C6" s="43" t="s">
        <v>1340</v>
      </c>
      <c r="D6" s="43" t="str">
        <f t="shared" si="0"/>
        <v>ROYAL NATIONAL ORTHOPAEDIC HOSPITAL NHS TRUST</v>
      </c>
      <c r="E6" s="43">
        <v>137</v>
      </c>
    </row>
    <row r="7" spans="1:5" x14ac:dyDescent="0.3">
      <c r="A7" s="41" t="s">
        <v>1332</v>
      </c>
      <c r="B7" s="42" t="s">
        <v>1341</v>
      </c>
      <c r="C7" s="43" t="s">
        <v>1342</v>
      </c>
      <c r="D7" s="43" t="str">
        <f t="shared" si="0"/>
        <v>NORTH MIDDLESEX UNIVERSITY HOSPITAL NHS TRUST</v>
      </c>
      <c r="E7" s="43">
        <v>401</v>
      </c>
    </row>
    <row r="8" spans="1:5" x14ac:dyDescent="0.3">
      <c r="A8" s="41" t="s">
        <v>1332</v>
      </c>
      <c r="B8" s="42" t="s">
        <v>1343</v>
      </c>
      <c r="C8" s="43" t="s">
        <v>1344</v>
      </c>
      <c r="D8" s="43" t="str">
        <f t="shared" si="0"/>
        <v>THE HILLINGDON HOSPITALS NHS FOUNDATION TRUST</v>
      </c>
      <c r="E8" s="43">
        <v>412</v>
      </c>
    </row>
    <row r="9" spans="1:5" x14ac:dyDescent="0.3">
      <c r="A9" s="41" t="s">
        <v>1332</v>
      </c>
      <c r="B9" s="42" t="s">
        <v>1345</v>
      </c>
      <c r="C9" s="43" t="s">
        <v>1346</v>
      </c>
      <c r="D9" s="43" t="str">
        <f t="shared" si="0"/>
        <v>NORTH EAST LONDON NHS FOUNDATION TRUST</v>
      </c>
      <c r="E9" s="43">
        <v>438</v>
      </c>
    </row>
    <row r="10" spans="1:5" x14ac:dyDescent="0.3">
      <c r="A10" s="41" t="s">
        <v>1332</v>
      </c>
      <c r="B10" s="42" t="s">
        <v>1347</v>
      </c>
      <c r="C10" s="43" t="s">
        <v>1348</v>
      </c>
      <c r="D10" s="43" t="str">
        <f t="shared" si="0"/>
        <v>KINGSTON HOSPITAL NHS FOUNDATION TRUST</v>
      </c>
      <c r="E10" s="43">
        <v>437</v>
      </c>
    </row>
    <row r="11" spans="1:5" x14ac:dyDescent="0.3">
      <c r="A11" s="41" t="s">
        <v>1332</v>
      </c>
      <c r="B11" s="42" t="s">
        <v>1349</v>
      </c>
      <c r="C11" s="43" t="s">
        <v>1350</v>
      </c>
      <c r="D11" s="43" t="str">
        <f t="shared" si="0"/>
        <v>BARKING, HAVERING AND REDBRIDGE UNIVERSITY HOSPITALS NHS TRUST</v>
      </c>
      <c r="E11" s="43">
        <v>999</v>
      </c>
    </row>
    <row r="12" spans="1:5" x14ac:dyDescent="0.3">
      <c r="A12" s="41" t="s">
        <v>1332</v>
      </c>
      <c r="B12" s="42" t="s">
        <v>1351</v>
      </c>
      <c r="C12" s="43" t="s">
        <v>1352</v>
      </c>
      <c r="D12" s="43" t="str">
        <f t="shared" si="0"/>
        <v>GUY'S AND ST THOMAS' NHS FOUNDATION TRUST</v>
      </c>
      <c r="E12" s="43">
        <v>955</v>
      </c>
    </row>
    <row r="13" spans="1:5" x14ac:dyDescent="0.3">
      <c r="A13" s="41" t="s">
        <v>1332</v>
      </c>
      <c r="B13" s="42" t="s">
        <v>1353</v>
      </c>
      <c r="C13" s="43" t="s">
        <v>1354</v>
      </c>
      <c r="D13" s="43" t="str">
        <f t="shared" si="0"/>
        <v>LEWISHAM AND GREENWICH NHS TRUST</v>
      </c>
      <c r="E13" s="43">
        <v>856</v>
      </c>
    </row>
    <row r="14" spans="1:5" x14ac:dyDescent="0.3">
      <c r="A14" s="41" t="s">
        <v>1332</v>
      </c>
      <c r="B14" s="42" t="s">
        <v>1355</v>
      </c>
      <c r="C14" s="43" t="s">
        <v>1356</v>
      </c>
      <c r="D14" s="43" t="str">
        <f t="shared" si="0"/>
        <v>CROYDON HEALTH SERVICES NHS TRUST</v>
      </c>
      <c r="E14" s="43">
        <v>449</v>
      </c>
    </row>
    <row r="15" spans="1:5" x14ac:dyDescent="0.3">
      <c r="A15" s="41" t="s">
        <v>1332</v>
      </c>
      <c r="B15" s="42" t="s">
        <v>1357</v>
      </c>
      <c r="C15" s="43" t="s">
        <v>1358</v>
      </c>
      <c r="D15" s="43" t="str">
        <f t="shared" si="0"/>
        <v>ST GEORGE'S UNIVERSITY HOSPITALS NHS FOUNDATION TRUST</v>
      </c>
      <c r="E15" s="43">
        <v>890</v>
      </c>
    </row>
    <row r="16" spans="1:5" x14ac:dyDescent="0.3">
      <c r="A16" s="41" t="s">
        <v>1332</v>
      </c>
      <c r="B16" s="42" t="s">
        <v>1359</v>
      </c>
      <c r="C16" s="43" t="s">
        <v>1360</v>
      </c>
      <c r="D16" s="43" t="str">
        <f t="shared" si="0"/>
        <v>KING'S COLLEGE HOSPITAL NHS FOUNDATION TRUST</v>
      </c>
      <c r="E16" s="44">
        <v>1233</v>
      </c>
    </row>
    <row r="17" spans="1:5" x14ac:dyDescent="0.3">
      <c r="A17" s="41" t="s">
        <v>1332</v>
      </c>
      <c r="B17" s="42" t="s">
        <v>1361</v>
      </c>
      <c r="C17" s="43" t="s">
        <v>1362</v>
      </c>
      <c r="D17" s="43" t="str">
        <f t="shared" si="0"/>
        <v>WHITTINGTON HEALTH NHS TRUST</v>
      </c>
      <c r="E17" s="43">
        <v>250</v>
      </c>
    </row>
    <row r="18" spans="1:5" x14ac:dyDescent="0.3">
      <c r="A18" s="41" t="s">
        <v>1332</v>
      </c>
      <c r="B18" s="42" t="s">
        <v>1363</v>
      </c>
      <c r="C18" s="43" t="s">
        <v>1364</v>
      </c>
      <c r="D18" s="43" t="str">
        <f t="shared" si="0"/>
        <v>WEST LONDON NHS TRUST</v>
      </c>
      <c r="E18" s="43">
        <v>742</v>
      </c>
    </row>
    <row r="19" spans="1:5" x14ac:dyDescent="0.3">
      <c r="A19" s="41" t="s">
        <v>1332</v>
      </c>
      <c r="B19" s="42" t="s">
        <v>1365</v>
      </c>
      <c r="C19" s="43" t="s">
        <v>1366</v>
      </c>
      <c r="D19" s="43" t="str">
        <f t="shared" si="0"/>
        <v>GREAT ORMOND STREET HOSPITAL FOR CHILDREN NHS FOUNDATION TRUST</v>
      </c>
      <c r="E19" s="43">
        <v>343</v>
      </c>
    </row>
    <row r="20" spans="1:5" x14ac:dyDescent="0.3">
      <c r="A20" s="41" t="s">
        <v>1332</v>
      </c>
      <c r="B20" s="42" t="s">
        <v>1367</v>
      </c>
      <c r="C20" s="43" t="s">
        <v>1368</v>
      </c>
      <c r="D20" s="43" t="str">
        <f t="shared" si="0"/>
        <v>MOORFIELDS EYE HOSPITAL NHS FOUNDATION TRUST</v>
      </c>
      <c r="E20" s="43">
        <v>7</v>
      </c>
    </row>
    <row r="21" spans="1:5" x14ac:dyDescent="0.3">
      <c r="A21" s="41" t="s">
        <v>1332</v>
      </c>
      <c r="B21" s="42" t="s">
        <v>1369</v>
      </c>
      <c r="C21" s="43" t="s">
        <v>1370</v>
      </c>
      <c r="D21" s="43" t="str">
        <f t="shared" si="0"/>
        <v>THE ROYAL MARSDEN NHS FOUNDATION TRUST</v>
      </c>
      <c r="E21" s="43">
        <v>188</v>
      </c>
    </row>
    <row r="22" spans="1:5" x14ac:dyDescent="0.3">
      <c r="A22" s="41" t="s">
        <v>1332</v>
      </c>
      <c r="B22" s="42" t="s">
        <v>1371</v>
      </c>
      <c r="C22" s="43" t="s">
        <v>1372</v>
      </c>
      <c r="D22" s="43" t="str">
        <f t="shared" si="0"/>
        <v>CHELSEA AND WESTMINSTER HOSPITAL NHS FOUNDATION TRUST</v>
      </c>
      <c r="E22" s="43">
        <v>882</v>
      </c>
    </row>
    <row r="23" spans="1:5" x14ac:dyDescent="0.3">
      <c r="A23" s="41" t="s">
        <v>1332</v>
      </c>
      <c r="B23" s="42" t="s">
        <v>1373</v>
      </c>
      <c r="C23" s="43" t="s">
        <v>1374</v>
      </c>
      <c r="D23" s="43" t="str">
        <f t="shared" si="0"/>
        <v>HOMERTON UNIVERSITY HOSPITAL NHS FOUNDATION TRUST</v>
      </c>
      <c r="E23" s="43">
        <v>300</v>
      </c>
    </row>
    <row r="24" spans="1:5" x14ac:dyDescent="0.3">
      <c r="A24" s="41" t="s">
        <v>1332</v>
      </c>
      <c r="B24" s="42" t="s">
        <v>1375</v>
      </c>
      <c r="C24" s="43" t="s">
        <v>1376</v>
      </c>
      <c r="D24" s="43" t="str">
        <f t="shared" si="0"/>
        <v>SOUTH WEST LONDON AND ST GEORGE'S MENTAL HEALTH NHS TRUST</v>
      </c>
      <c r="E24" s="43">
        <v>346</v>
      </c>
    </row>
    <row r="25" spans="1:5" x14ac:dyDescent="0.3">
      <c r="A25" s="41" t="s">
        <v>1332</v>
      </c>
      <c r="B25" s="42" t="s">
        <v>1377</v>
      </c>
      <c r="C25" s="43" t="s">
        <v>1378</v>
      </c>
      <c r="D25" s="43" t="str">
        <f t="shared" si="0"/>
        <v>BARNET, ENFIELD AND HARINGEY MENTAL HEALTH NHS TRUST</v>
      </c>
      <c r="E25" s="43">
        <v>519</v>
      </c>
    </row>
    <row r="26" spans="1:5" x14ac:dyDescent="0.3">
      <c r="A26" s="41" t="s">
        <v>1332</v>
      </c>
      <c r="B26" s="42" t="s">
        <v>1379</v>
      </c>
      <c r="C26" s="43" t="s">
        <v>1380</v>
      </c>
      <c r="D26" s="43" t="str">
        <f t="shared" si="0"/>
        <v>UNIVERSITY COLLEGE LONDON HOSPITALS NHS FOUNDATION TRUST</v>
      </c>
      <c r="E26" s="43">
        <v>595</v>
      </c>
    </row>
    <row r="27" spans="1:5" x14ac:dyDescent="0.3">
      <c r="A27" s="41" t="s">
        <v>1332</v>
      </c>
      <c r="B27" s="42" t="s">
        <v>1381</v>
      </c>
      <c r="C27" s="43" t="s">
        <v>1382</v>
      </c>
      <c r="D27" s="43" t="str">
        <f t="shared" si="0"/>
        <v>ROYAL BROMPTON &amp; HAREFIELD NHS FOUNDATION TRUST</v>
      </c>
      <c r="E27" s="43">
        <v>214</v>
      </c>
    </row>
    <row r="28" spans="1:5" x14ac:dyDescent="0.3">
      <c r="A28" s="41" t="s">
        <v>1332</v>
      </c>
      <c r="B28" s="42" t="s">
        <v>1383</v>
      </c>
      <c r="C28" s="43" t="s">
        <v>1384</v>
      </c>
      <c r="D28" s="43" t="str">
        <f t="shared" si="0"/>
        <v>CENTRAL AND NORTH WEST LONDON NHS FOUNDATION TRUST</v>
      </c>
      <c r="E28" s="43">
        <v>753</v>
      </c>
    </row>
    <row r="29" spans="1:5" x14ac:dyDescent="0.3">
      <c r="A29" s="41" t="s">
        <v>1332</v>
      </c>
      <c r="B29" s="42" t="s">
        <v>1385</v>
      </c>
      <c r="C29" s="43" t="s">
        <v>1386</v>
      </c>
      <c r="D29" s="43" t="str">
        <f t="shared" si="0"/>
        <v>EPSOM AND ST HELIER UNIVERSITY HOSPITALS NHS TRUST</v>
      </c>
      <c r="E29" s="43">
        <v>652</v>
      </c>
    </row>
    <row r="30" spans="1:5" x14ac:dyDescent="0.3">
      <c r="A30" s="41" t="s">
        <v>1332</v>
      </c>
      <c r="B30" s="42" t="s">
        <v>1387</v>
      </c>
      <c r="C30" s="43" t="s">
        <v>1388</v>
      </c>
      <c r="D30" s="43" t="str">
        <f t="shared" si="0"/>
        <v>EAST LONDON NHS FOUNDATION TRUST</v>
      </c>
      <c r="E30" s="43">
        <v>895</v>
      </c>
    </row>
    <row r="31" spans="1:5" x14ac:dyDescent="0.3">
      <c r="A31" s="41" t="s">
        <v>1332</v>
      </c>
      <c r="B31" s="42" t="s">
        <v>1389</v>
      </c>
      <c r="C31" s="43" t="s">
        <v>1390</v>
      </c>
      <c r="D31" s="43" t="str">
        <f t="shared" si="0"/>
        <v>IMPERIAL COLLEGE HEALTHCARE NHS TRUST</v>
      </c>
      <c r="E31" s="44">
        <v>1162</v>
      </c>
    </row>
    <row r="32" spans="1:5" x14ac:dyDescent="0.3">
      <c r="A32" s="41" t="s">
        <v>1332</v>
      </c>
      <c r="B32" s="42" t="s">
        <v>1391</v>
      </c>
      <c r="C32" s="43" t="s">
        <v>1392</v>
      </c>
      <c r="D32" s="43" t="str">
        <f t="shared" si="0"/>
        <v>CENTRAL LONDON COMMUNITY HEALTHCARE NHS TRUST</v>
      </c>
      <c r="E32" s="43" t="s">
        <v>1393</v>
      </c>
    </row>
    <row r="33" spans="1:5" x14ac:dyDescent="0.3">
      <c r="A33" s="41" t="s">
        <v>1332</v>
      </c>
      <c r="B33" s="42" t="s">
        <v>1394</v>
      </c>
      <c r="C33" s="43" t="s">
        <v>1395</v>
      </c>
      <c r="D33" s="43" t="str">
        <f t="shared" si="0"/>
        <v>CAMDEN AND ISLINGTON NHS FOUNDATION TRUST</v>
      </c>
      <c r="E33" s="43">
        <v>182</v>
      </c>
    </row>
    <row r="34" spans="1:5" x14ac:dyDescent="0.3">
      <c r="A34" s="41" t="s">
        <v>1396</v>
      </c>
      <c r="B34" s="42" t="s">
        <v>1397</v>
      </c>
      <c r="C34" s="43" t="s">
        <v>1398</v>
      </c>
      <c r="D34" s="43" t="str">
        <f t="shared" si="0"/>
        <v>YEOVIL DISTRICT HOSPITAL NHS FOUNDATION TRUST</v>
      </c>
      <c r="E34" s="43">
        <v>334</v>
      </c>
    </row>
    <row r="35" spans="1:5" x14ac:dyDescent="0.3">
      <c r="A35" s="41" t="s">
        <v>1396</v>
      </c>
      <c r="B35" s="42" t="s">
        <v>1399</v>
      </c>
      <c r="C35" s="43" t="s">
        <v>1400</v>
      </c>
      <c r="D35" s="43" t="str">
        <f t="shared" si="0"/>
        <v>UNIVERSITY HOSPITALS BRISTOL AND WESTON NHS FOUNDATION TRUST</v>
      </c>
      <c r="E35" s="44">
        <v>1022</v>
      </c>
    </row>
    <row r="36" spans="1:5" x14ac:dyDescent="0.3">
      <c r="A36" s="41" t="s">
        <v>1396</v>
      </c>
      <c r="B36" s="42" t="s">
        <v>1401</v>
      </c>
      <c r="C36" s="43" t="s">
        <v>1402</v>
      </c>
      <c r="D36" s="43" t="str">
        <f t="shared" si="0"/>
        <v>TORBAY AND SOUTH DEVON NHS FOUNDATION TRUST</v>
      </c>
      <c r="E36" s="43">
        <v>376</v>
      </c>
    </row>
    <row r="37" spans="1:5" x14ac:dyDescent="0.3">
      <c r="A37" s="41" t="s">
        <v>1396</v>
      </c>
      <c r="B37" s="42" t="s">
        <v>1403</v>
      </c>
      <c r="C37" s="43" t="s">
        <v>1404</v>
      </c>
      <c r="D37" s="43" t="str">
        <f t="shared" si="0"/>
        <v>DORSET COUNTY HOSPITAL NHS FOUNDATION TRUST</v>
      </c>
      <c r="E37" s="43">
        <v>289</v>
      </c>
    </row>
    <row r="38" spans="1:5" x14ac:dyDescent="0.3">
      <c r="A38" s="41" t="s">
        <v>1396</v>
      </c>
      <c r="B38" s="42" t="s">
        <v>1405</v>
      </c>
      <c r="C38" s="43" t="s">
        <v>1406</v>
      </c>
      <c r="D38" s="43" t="str">
        <f t="shared" si="0"/>
        <v>NORTHERN DEVON HEALTHCARE NHS TRUST</v>
      </c>
      <c r="E38" s="43">
        <v>279</v>
      </c>
    </row>
    <row r="39" spans="1:5" x14ac:dyDescent="0.3">
      <c r="A39" s="41" t="s">
        <v>1396</v>
      </c>
      <c r="B39" s="42" t="s">
        <v>1407</v>
      </c>
      <c r="C39" s="43" t="s">
        <v>1408</v>
      </c>
      <c r="D39" s="43" t="str">
        <f t="shared" si="0"/>
        <v>ROYAL UNITED HOSPITALS BATH NHS FOUNDATION TRUST</v>
      </c>
      <c r="E39" s="43">
        <v>540</v>
      </c>
    </row>
    <row r="40" spans="1:5" x14ac:dyDescent="0.3">
      <c r="A40" s="41" t="s">
        <v>1396</v>
      </c>
      <c r="B40" s="42" t="s">
        <v>1409</v>
      </c>
      <c r="C40" s="43" t="s">
        <v>1410</v>
      </c>
      <c r="D40" s="43" t="str">
        <f t="shared" si="0"/>
        <v>POOLE HOSPITAL NHS FOUNDATION TRUST</v>
      </c>
      <c r="E40" s="43">
        <v>551</v>
      </c>
    </row>
    <row r="41" spans="1:5" x14ac:dyDescent="0.3">
      <c r="A41" s="41" t="s">
        <v>1396</v>
      </c>
      <c r="B41" s="42" t="s">
        <v>1411</v>
      </c>
      <c r="C41" s="43" t="s">
        <v>1412</v>
      </c>
      <c r="D41" s="43" t="str">
        <f t="shared" si="0"/>
        <v>DORSET HEALTHCARE UNIVERSITY NHS FOUNDATION TRUST</v>
      </c>
      <c r="E41" s="43">
        <v>235</v>
      </c>
    </row>
    <row r="42" spans="1:5" x14ac:dyDescent="0.3">
      <c r="A42" s="41" t="s">
        <v>1396</v>
      </c>
      <c r="B42" s="42" t="s">
        <v>1413</v>
      </c>
      <c r="C42" s="43" t="s">
        <v>1414</v>
      </c>
      <c r="D42" s="43" t="str">
        <f t="shared" si="0"/>
        <v>THE ROYAL BOURNEMOUTH AND CHRISTCHURCH HOSPITALS NHS FOUNDATION TRUST</v>
      </c>
      <c r="E42" s="43">
        <v>520</v>
      </c>
    </row>
    <row r="43" spans="1:5" x14ac:dyDescent="0.3">
      <c r="A43" s="41" t="s">
        <v>1396</v>
      </c>
      <c r="B43" s="42" t="s">
        <v>1415</v>
      </c>
      <c r="C43" s="43" t="s">
        <v>1416</v>
      </c>
      <c r="D43" s="43" t="str">
        <f t="shared" si="0"/>
        <v>ROYAL CORNWALL HOSPITALS NHS TRUST</v>
      </c>
      <c r="E43" s="43">
        <v>748</v>
      </c>
    </row>
    <row r="44" spans="1:5" x14ac:dyDescent="0.3">
      <c r="A44" s="41" t="s">
        <v>1396</v>
      </c>
      <c r="B44" s="42" t="s">
        <v>1417</v>
      </c>
      <c r="C44" s="43" t="s">
        <v>1418</v>
      </c>
      <c r="D44" s="43" t="str">
        <f t="shared" si="0"/>
        <v>SOMERSET NHS FOUNDATION TRUST</v>
      </c>
      <c r="E44" s="43">
        <v>927</v>
      </c>
    </row>
    <row r="45" spans="1:5" x14ac:dyDescent="0.3">
      <c r="A45" s="41" t="s">
        <v>1396</v>
      </c>
      <c r="B45" s="42" t="s">
        <v>1419</v>
      </c>
      <c r="C45" s="43" t="s">
        <v>1420</v>
      </c>
      <c r="D45" s="43" t="str">
        <f t="shared" si="0"/>
        <v>ROYAL DEVON AND EXETER NHS FOUNDATION TRUST</v>
      </c>
      <c r="E45" s="43">
        <v>834</v>
      </c>
    </row>
    <row r="46" spans="1:5" x14ac:dyDescent="0.3">
      <c r="A46" s="41" t="s">
        <v>1396</v>
      </c>
      <c r="B46" s="42" t="s">
        <v>1421</v>
      </c>
      <c r="C46" s="43" t="s">
        <v>1422</v>
      </c>
      <c r="D46" s="43" t="str">
        <f t="shared" si="0"/>
        <v>CORNWALL PARTNERSHIP NHS FOUNDATION TRUST</v>
      </c>
      <c r="E46" s="43">
        <v>187</v>
      </c>
    </row>
    <row r="47" spans="1:5" x14ac:dyDescent="0.3">
      <c r="A47" s="41" t="s">
        <v>1396</v>
      </c>
      <c r="B47" s="42" t="s">
        <v>1423</v>
      </c>
      <c r="C47" s="43" t="s">
        <v>1424</v>
      </c>
      <c r="D47" s="43" t="str">
        <f t="shared" si="0"/>
        <v>UNIVERSITY HOSPITALS PLYMOUTH NHS TRUST</v>
      </c>
      <c r="E47" s="43">
        <v>903</v>
      </c>
    </row>
    <row r="48" spans="1:5" x14ac:dyDescent="0.3">
      <c r="A48" s="41" t="s">
        <v>1396</v>
      </c>
      <c r="B48" s="42" t="s">
        <v>1425</v>
      </c>
      <c r="C48" s="43" t="s">
        <v>1426</v>
      </c>
      <c r="D48" s="43" t="str">
        <f t="shared" si="0"/>
        <v>GREAT WESTERN HOSPITALS NHS FOUNDATION TRUST</v>
      </c>
      <c r="E48" s="43">
        <v>525</v>
      </c>
    </row>
    <row r="49" spans="1:5" x14ac:dyDescent="0.3">
      <c r="A49" s="41" t="s">
        <v>1396</v>
      </c>
      <c r="B49" s="42" t="s">
        <v>1427</v>
      </c>
      <c r="C49" s="43" t="s">
        <v>1428</v>
      </c>
      <c r="D49" s="43" t="str">
        <f t="shared" si="0"/>
        <v>SALISBURY NHS FOUNDATION TRUST</v>
      </c>
      <c r="E49" s="43">
        <v>447</v>
      </c>
    </row>
    <row r="50" spans="1:5" x14ac:dyDescent="0.3">
      <c r="A50" s="41" t="s">
        <v>1396</v>
      </c>
      <c r="B50" s="42" t="s">
        <v>1429</v>
      </c>
      <c r="C50" s="43" t="s">
        <v>1430</v>
      </c>
      <c r="D50" s="43" t="str">
        <f t="shared" si="0"/>
        <v>GLOUCESTERSHIRE HOSPITALS NHS FOUNDATION TRUST</v>
      </c>
      <c r="E50" s="43">
        <v>826</v>
      </c>
    </row>
    <row r="51" spans="1:5" x14ac:dyDescent="0.3">
      <c r="A51" s="41" t="s">
        <v>1396</v>
      </c>
      <c r="B51" s="42" t="s">
        <v>1431</v>
      </c>
      <c r="C51" s="43" t="s">
        <v>1432</v>
      </c>
      <c r="D51" s="43" t="str">
        <f t="shared" si="0"/>
        <v>GLOUCESTERSHIRE HEALTH AND CARE NHS FOUNDATION TRUST</v>
      </c>
      <c r="E51" s="43">
        <v>160</v>
      </c>
    </row>
    <row r="52" spans="1:5" x14ac:dyDescent="0.3">
      <c r="A52" s="41" t="s">
        <v>1396</v>
      </c>
      <c r="B52" s="42" t="s">
        <v>1433</v>
      </c>
      <c r="C52" s="43" t="s">
        <v>1434</v>
      </c>
      <c r="D52" s="43" t="str">
        <f t="shared" si="0"/>
        <v>NORTH BRISTOL NHS TRUST</v>
      </c>
      <c r="E52" s="43">
        <v>933</v>
      </c>
    </row>
    <row r="53" spans="1:5" x14ac:dyDescent="0.3">
      <c r="A53" s="41" t="s">
        <v>1396</v>
      </c>
      <c r="B53" s="42" t="s">
        <v>1435</v>
      </c>
      <c r="C53" s="43" t="s">
        <v>1436</v>
      </c>
      <c r="D53" s="43" t="str">
        <f t="shared" si="0"/>
        <v>AVON AND WILTSHIRE MENTAL HEALTH PARTNERSHIP NHS TRUST</v>
      </c>
      <c r="E53" s="43">
        <v>511</v>
      </c>
    </row>
    <row r="54" spans="1:5" x14ac:dyDescent="0.3">
      <c r="A54" s="41" t="s">
        <v>1396</v>
      </c>
      <c r="B54" s="42" t="s">
        <v>1437</v>
      </c>
      <c r="C54" s="43" t="s">
        <v>1438</v>
      </c>
      <c r="D54" s="43" t="str">
        <f t="shared" si="0"/>
        <v>DEVON PARTNERSHIP NHS TRUST</v>
      </c>
      <c r="E54" s="43">
        <v>277</v>
      </c>
    </row>
    <row r="55" spans="1:5" x14ac:dyDescent="0.3">
      <c r="A55" s="41" t="s">
        <v>1439</v>
      </c>
      <c r="B55" s="42" t="s">
        <v>1440</v>
      </c>
      <c r="C55" s="43" t="s">
        <v>1441</v>
      </c>
      <c r="D55" s="43" t="str">
        <f t="shared" si="0"/>
        <v>SOLENT NHS TRUST</v>
      </c>
      <c r="E55" s="43">
        <v>134</v>
      </c>
    </row>
    <row r="56" spans="1:5" x14ac:dyDescent="0.3">
      <c r="A56" s="41" t="s">
        <v>1439</v>
      </c>
      <c r="B56" s="42" t="s">
        <v>1442</v>
      </c>
      <c r="C56" s="43" t="s">
        <v>1443</v>
      </c>
      <c r="D56" s="43" t="str">
        <f t="shared" si="0"/>
        <v>ISLE OF WIGHT NHS TRUST</v>
      </c>
      <c r="E56" s="43">
        <v>307</v>
      </c>
    </row>
    <row r="57" spans="1:5" x14ac:dyDescent="0.3">
      <c r="A57" s="41" t="s">
        <v>1439</v>
      </c>
      <c r="B57" s="42" t="s">
        <v>1444</v>
      </c>
      <c r="C57" s="43" t="s">
        <v>1445</v>
      </c>
      <c r="D57" s="43" t="str">
        <f t="shared" si="0"/>
        <v>ROYAL SURREY COUNTY HOSPITAL NHS FOUNDATION TRUST</v>
      </c>
      <c r="E57" s="43">
        <v>413</v>
      </c>
    </row>
    <row r="58" spans="1:5" x14ac:dyDescent="0.3">
      <c r="A58" s="41" t="s">
        <v>1439</v>
      </c>
      <c r="B58" s="42" t="s">
        <v>1446</v>
      </c>
      <c r="C58" s="43" t="s">
        <v>1447</v>
      </c>
      <c r="D58" s="43" t="str">
        <f t="shared" si="0"/>
        <v>FRIMLEY HEALTH NHS FOUNDATION TRUST</v>
      </c>
      <c r="E58" s="44">
        <v>1041</v>
      </c>
    </row>
    <row r="59" spans="1:5" x14ac:dyDescent="0.3">
      <c r="A59" s="41" t="s">
        <v>1439</v>
      </c>
      <c r="B59" s="42" t="s">
        <v>1448</v>
      </c>
      <c r="C59" s="43" t="s">
        <v>1449</v>
      </c>
      <c r="D59" s="43" t="str">
        <f t="shared" si="0"/>
        <v>UNIVERSITY HOSPITAL SOUTHAMPTON NHS FOUNDATION TRUST</v>
      </c>
      <c r="E59" s="44">
        <v>1127</v>
      </c>
    </row>
    <row r="60" spans="1:5" x14ac:dyDescent="0.3">
      <c r="A60" s="41" t="s">
        <v>1439</v>
      </c>
      <c r="B60" s="42" t="s">
        <v>1450</v>
      </c>
      <c r="C60" s="43" t="s">
        <v>1451</v>
      </c>
      <c r="D60" s="43" t="str">
        <f t="shared" si="0"/>
        <v>PORTSMOUTH HOSPITALS NHS TRUST</v>
      </c>
      <c r="E60" s="44">
        <v>1044</v>
      </c>
    </row>
    <row r="61" spans="1:5" x14ac:dyDescent="0.3">
      <c r="A61" s="41" t="s">
        <v>1439</v>
      </c>
      <c r="B61" s="42" t="s">
        <v>1452</v>
      </c>
      <c r="C61" s="43" t="s">
        <v>1453</v>
      </c>
      <c r="D61" s="43" t="str">
        <f t="shared" si="0"/>
        <v>ROYAL BERKSHIRE NHS FOUNDATION TRUST</v>
      </c>
      <c r="E61" s="43">
        <v>489</v>
      </c>
    </row>
    <row r="62" spans="1:5" x14ac:dyDescent="0.3">
      <c r="A62" s="41" t="s">
        <v>1439</v>
      </c>
      <c r="B62" s="42" t="s">
        <v>1454</v>
      </c>
      <c r="C62" s="43" t="s">
        <v>1455</v>
      </c>
      <c r="D62" s="43" t="str">
        <f t="shared" si="0"/>
        <v>HAMPSHIRE HOSPITALS NHS FOUNDATION TRUST</v>
      </c>
      <c r="E62" s="43">
        <v>857</v>
      </c>
    </row>
    <row r="63" spans="1:5" x14ac:dyDescent="0.3">
      <c r="A63" s="41" t="s">
        <v>1439</v>
      </c>
      <c r="B63" s="42" t="s">
        <v>1456</v>
      </c>
      <c r="C63" s="43" t="s">
        <v>1457</v>
      </c>
      <c r="D63" s="43" t="str">
        <f t="shared" si="0"/>
        <v>DARTFORD AND GRAVESHAM NHS TRUST</v>
      </c>
      <c r="E63" s="43">
        <v>499</v>
      </c>
    </row>
    <row r="64" spans="1:5" x14ac:dyDescent="0.3">
      <c r="A64" s="41" t="s">
        <v>1439</v>
      </c>
      <c r="B64" s="42" t="s">
        <v>1458</v>
      </c>
      <c r="C64" s="43" t="s">
        <v>1459</v>
      </c>
      <c r="D64" s="43" t="str">
        <f t="shared" si="0"/>
        <v>OXFORD HEALTH NHS FOUNDATION TRUST</v>
      </c>
      <c r="E64" s="43">
        <v>543</v>
      </c>
    </row>
    <row r="65" spans="1:5" x14ac:dyDescent="0.3">
      <c r="A65" s="41" t="s">
        <v>1439</v>
      </c>
      <c r="B65" s="42" t="s">
        <v>1460</v>
      </c>
      <c r="C65" s="43" t="s">
        <v>1461</v>
      </c>
      <c r="D65" s="43" t="str">
        <f t="shared" si="0"/>
        <v>MEDWAY NHS FOUNDATION TRUST</v>
      </c>
      <c r="E65" s="43">
        <v>497</v>
      </c>
    </row>
    <row r="66" spans="1:5" x14ac:dyDescent="0.3">
      <c r="A66" s="41" t="s">
        <v>1439</v>
      </c>
      <c r="B66" s="42" t="s">
        <v>1462</v>
      </c>
      <c r="C66" s="43" t="s">
        <v>1463</v>
      </c>
      <c r="D66" s="43" t="str">
        <f t="shared" si="0"/>
        <v>QUEEN VICTORIA HOSPITAL NHS FOUNDATION TRUST</v>
      </c>
      <c r="E66" s="43">
        <v>41</v>
      </c>
    </row>
    <row r="67" spans="1:5" x14ac:dyDescent="0.3">
      <c r="A67" s="41" t="s">
        <v>1439</v>
      </c>
      <c r="B67" s="42" t="s">
        <v>1464</v>
      </c>
      <c r="C67" s="43" t="s">
        <v>1465</v>
      </c>
      <c r="D67" s="43" t="str">
        <f t="shared" si="0"/>
        <v>OXLEAS NHS FOUNDATION TRUST</v>
      </c>
      <c r="E67" s="43">
        <v>398</v>
      </c>
    </row>
    <row r="68" spans="1:5" x14ac:dyDescent="0.3">
      <c r="A68" s="41" t="s">
        <v>1439</v>
      </c>
      <c r="B68" s="42" t="s">
        <v>1466</v>
      </c>
      <c r="C68" s="43" t="s">
        <v>1467</v>
      </c>
      <c r="D68" s="43" t="str">
        <f t="shared" ref="D68:D131" si="1">TRIM(C68)</f>
        <v>OXFORD UNIVERSITY HOSPITALS NHS FOUNDATION TRUST</v>
      </c>
      <c r="E68" s="44">
        <v>1031</v>
      </c>
    </row>
    <row r="69" spans="1:5" x14ac:dyDescent="0.3">
      <c r="A69" s="41" t="s">
        <v>1439</v>
      </c>
      <c r="B69" s="42" t="s">
        <v>1468</v>
      </c>
      <c r="C69" s="43" t="s">
        <v>1469</v>
      </c>
      <c r="D69" s="43" t="str">
        <f t="shared" si="1"/>
        <v>ASHFORD AND ST PETER'S HOSPITALS NHS FOUNDATION TRUST</v>
      </c>
      <c r="E69" s="43">
        <v>530</v>
      </c>
    </row>
    <row r="70" spans="1:5" x14ac:dyDescent="0.3">
      <c r="A70" s="41" t="s">
        <v>1439</v>
      </c>
      <c r="B70" s="42" t="s">
        <v>1470</v>
      </c>
      <c r="C70" s="43" t="s">
        <v>1471</v>
      </c>
      <c r="D70" s="43" t="str">
        <f t="shared" si="1"/>
        <v>SURREY AND SUSSEX HEALTHCARE NHS TRUST</v>
      </c>
      <c r="E70" s="43">
        <v>587</v>
      </c>
    </row>
    <row r="71" spans="1:5" x14ac:dyDescent="0.3">
      <c r="A71" s="41" t="s">
        <v>1439</v>
      </c>
      <c r="B71" s="42" t="s">
        <v>1472</v>
      </c>
      <c r="C71" s="43" t="s">
        <v>1473</v>
      </c>
      <c r="D71" s="43" t="str">
        <f t="shared" si="1"/>
        <v>EAST KENT HOSPITALS UNIVERSITY NHS FOUNDATION TRUST</v>
      </c>
      <c r="E71" s="44">
        <v>1031</v>
      </c>
    </row>
    <row r="72" spans="1:5" x14ac:dyDescent="0.3">
      <c r="A72" s="41" t="s">
        <v>1439</v>
      </c>
      <c r="B72" s="42" t="s">
        <v>1474</v>
      </c>
      <c r="C72" s="43" t="s">
        <v>1475</v>
      </c>
      <c r="D72" s="43" t="str">
        <f t="shared" si="1"/>
        <v>SOUTHERN HEALTH NHS FOUNDATION TRUST</v>
      </c>
      <c r="E72" s="43">
        <v>598</v>
      </c>
    </row>
    <row r="73" spans="1:5" x14ac:dyDescent="0.3">
      <c r="A73" s="41" t="s">
        <v>1439</v>
      </c>
      <c r="B73" s="42" t="s">
        <v>1476</v>
      </c>
      <c r="C73" s="43" t="s">
        <v>1477</v>
      </c>
      <c r="D73" s="43" t="str">
        <f t="shared" si="1"/>
        <v>MAIDSTONE AND TUNBRIDGE WELLS NHS TRUST</v>
      </c>
      <c r="E73" s="43">
        <v>719</v>
      </c>
    </row>
    <row r="74" spans="1:5" x14ac:dyDescent="0.3">
      <c r="A74" s="41" t="s">
        <v>1439</v>
      </c>
      <c r="B74" s="42" t="s">
        <v>1478</v>
      </c>
      <c r="C74" s="43" t="s">
        <v>1479</v>
      </c>
      <c r="D74" s="43" t="str">
        <f t="shared" si="1"/>
        <v>BERKSHIRE HEALTHCARE NHS FOUNDATION TRUST</v>
      </c>
      <c r="E74" s="43">
        <v>203</v>
      </c>
    </row>
    <row r="75" spans="1:5" x14ac:dyDescent="0.3">
      <c r="A75" s="41" t="s">
        <v>1439</v>
      </c>
      <c r="B75" s="42" t="s">
        <v>1480</v>
      </c>
      <c r="C75" s="43" t="s">
        <v>1481</v>
      </c>
      <c r="D75" s="43" t="str">
        <f t="shared" si="1"/>
        <v>SUSSEX PARTNERSHIP NHS FOUNDATION TRUST</v>
      </c>
      <c r="E75" s="43">
        <v>578</v>
      </c>
    </row>
    <row r="76" spans="1:5" x14ac:dyDescent="0.3">
      <c r="A76" s="41" t="s">
        <v>1439</v>
      </c>
      <c r="B76" s="42" t="s">
        <v>1482</v>
      </c>
      <c r="C76" s="43" t="s">
        <v>1483</v>
      </c>
      <c r="D76" s="43" t="str">
        <f t="shared" si="1"/>
        <v>EAST SUSSEX HEALTHCARE NHS TRUST</v>
      </c>
      <c r="E76" s="43">
        <v>743</v>
      </c>
    </row>
    <row r="77" spans="1:5" x14ac:dyDescent="0.3">
      <c r="A77" s="41" t="s">
        <v>1439</v>
      </c>
      <c r="B77" s="42" t="s">
        <v>1484</v>
      </c>
      <c r="C77" s="43" t="s">
        <v>1485</v>
      </c>
      <c r="D77" s="43" t="str">
        <f t="shared" si="1"/>
        <v>BRIGHTON AND SUSSEX UNIVERSITY HOSPITALS NHS TRUST</v>
      </c>
      <c r="E77" s="43">
        <v>889</v>
      </c>
    </row>
    <row r="78" spans="1:5" x14ac:dyDescent="0.3">
      <c r="A78" s="41" t="s">
        <v>1439</v>
      </c>
      <c r="B78" s="42" t="s">
        <v>1486</v>
      </c>
      <c r="C78" s="43" t="s">
        <v>1487</v>
      </c>
      <c r="D78" s="43" t="str">
        <f t="shared" si="1"/>
        <v>BUCKINGHAMSHIRE HEALTHCARE NHS TRUST</v>
      </c>
      <c r="E78" s="43">
        <v>510</v>
      </c>
    </row>
    <row r="79" spans="1:5" x14ac:dyDescent="0.3">
      <c r="A79" s="41" t="s">
        <v>1439</v>
      </c>
      <c r="B79" s="42" t="s">
        <v>1488</v>
      </c>
      <c r="C79" s="43" t="s">
        <v>1489</v>
      </c>
      <c r="D79" s="43" t="str">
        <f t="shared" si="1"/>
        <v>SURREY AND BORDERS PARTNERSHIP NHS FOUNDATION TRUST</v>
      </c>
      <c r="E79" s="43">
        <v>184</v>
      </c>
    </row>
    <row r="80" spans="1:5" x14ac:dyDescent="0.3">
      <c r="A80" s="41" t="s">
        <v>1439</v>
      </c>
      <c r="B80" s="42" t="s">
        <v>1490</v>
      </c>
      <c r="C80" s="43" t="s">
        <v>1491</v>
      </c>
      <c r="D80" s="43" t="str">
        <f t="shared" si="1"/>
        <v>KENT AND MEDWAY NHS AND SOCIAL CARE PARTNERSHIP TRUST</v>
      </c>
      <c r="E80" s="43">
        <v>443</v>
      </c>
    </row>
    <row r="81" spans="1:5" x14ac:dyDescent="0.3">
      <c r="A81" s="41" t="s">
        <v>1439</v>
      </c>
      <c r="B81" s="42" t="s">
        <v>1492</v>
      </c>
      <c r="C81" s="43" t="s">
        <v>1493</v>
      </c>
      <c r="D81" s="43" t="str">
        <f t="shared" si="1"/>
        <v>WESTERN SUSSEX HOSPITALS NHS FOUNDATION TRUST</v>
      </c>
      <c r="E81" s="43">
        <v>922</v>
      </c>
    </row>
    <row r="82" spans="1:5" x14ac:dyDescent="0.3">
      <c r="A82" s="41" t="s">
        <v>1494</v>
      </c>
      <c r="B82" s="42" t="s">
        <v>1495</v>
      </c>
      <c r="C82" s="43" t="s">
        <v>1496</v>
      </c>
      <c r="D82" s="43" t="str">
        <f t="shared" si="1"/>
        <v>WORCESTERSHIRE HEALTH AND CARE NHS TRUST</v>
      </c>
      <c r="E82" s="43">
        <v>181</v>
      </c>
    </row>
    <row r="83" spans="1:5" x14ac:dyDescent="0.3">
      <c r="A83" s="41" t="s">
        <v>1494</v>
      </c>
      <c r="B83" s="42" t="s">
        <v>1497</v>
      </c>
      <c r="C83" s="43" t="s">
        <v>1498</v>
      </c>
      <c r="D83" s="43" t="str">
        <f t="shared" si="1"/>
        <v>WALSALL HEALTHCARE NHS TRUST</v>
      </c>
      <c r="E83" s="43">
        <v>451</v>
      </c>
    </row>
    <row r="84" spans="1:5" x14ac:dyDescent="0.3">
      <c r="A84" s="41" t="s">
        <v>1494</v>
      </c>
      <c r="B84" s="42" t="s">
        <v>1499</v>
      </c>
      <c r="C84" s="43" t="s">
        <v>1500</v>
      </c>
      <c r="D84" s="43" t="str">
        <f t="shared" si="1"/>
        <v>CHESTERFIELD ROYAL HOSPITAL NHS FOUNDATION TRUST</v>
      </c>
      <c r="E84" s="43">
        <v>486</v>
      </c>
    </row>
    <row r="85" spans="1:5" x14ac:dyDescent="0.3">
      <c r="A85" s="41" t="s">
        <v>1494</v>
      </c>
      <c r="B85" s="42" t="s">
        <v>1501</v>
      </c>
      <c r="C85" s="43" t="s">
        <v>1502</v>
      </c>
      <c r="D85" s="43" t="str">
        <f t="shared" si="1"/>
        <v>NOTTINGHAMSHIRE HEALTHCARE NHS FOUNDATION TRUST</v>
      </c>
      <c r="E85" s="44">
        <v>1010</v>
      </c>
    </row>
    <row r="86" spans="1:5" x14ac:dyDescent="0.3">
      <c r="A86" s="41" t="s">
        <v>1494</v>
      </c>
      <c r="B86" s="42" t="s">
        <v>1503</v>
      </c>
      <c r="C86" s="43" t="s">
        <v>1504</v>
      </c>
      <c r="D86" s="43" t="str">
        <f t="shared" si="1"/>
        <v>SOUTH WARWICKSHIRE NHS FOUNDATION TRUST</v>
      </c>
      <c r="E86" s="43">
        <v>476</v>
      </c>
    </row>
    <row r="87" spans="1:5" x14ac:dyDescent="0.3">
      <c r="A87" s="41" t="s">
        <v>1494</v>
      </c>
      <c r="B87" s="42" t="s">
        <v>1505</v>
      </c>
      <c r="C87" s="43" t="s">
        <v>1506</v>
      </c>
      <c r="D87" s="43" t="str">
        <f t="shared" si="1"/>
        <v>UNIVERSITY HOSPITALS OF NORTH MIDLANDS NHS TRUST</v>
      </c>
      <c r="E87" s="44">
        <v>1434</v>
      </c>
    </row>
    <row r="88" spans="1:5" x14ac:dyDescent="0.3">
      <c r="A88" s="41" t="s">
        <v>1494</v>
      </c>
      <c r="B88" s="42" t="s">
        <v>1507</v>
      </c>
      <c r="C88" s="43" t="s">
        <v>1508</v>
      </c>
      <c r="D88" s="43" t="str">
        <f t="shared" si="1"/>
        <v>SHERWOOD FOREST HOSPITALS NHS FOUNDATION TRUST</v>
      </c>
      <c r="E88" s="43">
        <v>564</v>
      </c>
    </row>
    <row r="89" spans="1:5" x14ac:dyDescent="0.3">
      <c r="A89" s="41" t="s">
        <v>1494</v>
      </c>
      <c r="B89" s="42" t="s">
        <v>1509</v>
      </c>
      <c r="C89" s="43" t="s">
        <v>1510</v>
      </c>
      <c r="D89" s="43" t="str">
        <f t="shared" si="1"/>
        <v>UNIVERSITY HOSPITALS COVENTRY AND WARWICKSHIRE NHS TRUST</v>
      </c>
      <c r="E89" s="44">
        <v>1100</v>
      </c>
    </row>
    <row r="90" spans="1:5" x14ac:dyDescent="0.3">
      <c r="A90" s="41" t="s">
        <v>1494</v>
      </c>
      <c r="B90" s="42" t="s">
        <v>1511</v>
      </c>
      <c r="C90" s="43" t="s">
        <v>1512</v>
      </c>
      <c r="D90" s="43" t="str">
        <f t="shared" si="1"/>
        <v>THE ROBERT JONES AND AGNES HUNT ORTHOPAEDIC HOSPITAL NHS FOUNDATION TRUST</v>
      </c>
      <c r="E90" s="43">
        <v>112</v>
      </c>
    </row>
    <row r="91" spans="1:5" x14ac:dyDescent="0.3">
      <c r="A91" s="41" t="s">
        <v>1494</v>
      </c>
      <c r="B91" s="42" t="s">
        <v>1513</v>
      </c>
      <c r="C91" s="43" t="s">
        <v>1514</v>
      </c>
      <c r="D91" s="43" t="str">
        <f t="shared" si="1"/>
        <v>THE ROYAL WOLVERHAMPTON NHS TRUST</v>
      </c>
      <c r="E91" s="43">
        <v>643</v>
      </c>
    </row>
    <row r="92" spans="1:5" x14ac:dyDescent="0.3">
      <c r="A92" s="41" t="s">
        <v>1494</v>
      </c>
      <c r="B92" s="42" t="s">
        <v>1515</v>
      </c>
      <c r="C92" s="43" t="s">
        <v>1516</v>
      </c>
      <c r="D92" s="43" t="str">
        <f t="shared" si="1"/>
        <v>WYE VALLEY NHS TRUST</v>
      </c>
      <c r="E92" s="43">
        <v>254</v>
      </c>
    </row>
    <row r="93" spans="1:5" x14ac:dyDescent="0.3">
      <c r="A93" s="41" t="s">
        <v>1494</v>
      </c>
      <c r="B93" s="42" t="s">
        <v>1517</v>
      </c>
      <c r="C93" s="43" t="s">
        <v>1518</v>
      </c>
      <c r="D93" s="43" t="str">
        <f t="shared" si="1"/>
        <v>GEORGE ELIOT HOSPITAL NHS TRUST</v>
      </c>
      <c r="E93" s="43">
        <v>346</v>
      </c>
    </row>
    <row r="94" spans="1:5" x14ac:dyDescent="0.3">
      <c r="A94" s="41" t="s">
        <v>1494</v>
      </c>
      <c r="B94" s="42" t="s">
        <v>1519</v>
      </c>
      <c r="C94" s="43" t="s">
        <v>1520</v>
      </c>
      <c r="D94" s="43" t="str">
        <f t="shared" si="1"/>
        <v>NORTH STAFFORDSHIRE COMBINED HEALTHCARE NHS TRUST</v>
      </c>
      <c r="E94" s="43">
        <v>177</v>
      </c>
    </row>
    <row r="95" spans="1:5" x14ac:dyDescent="0.3">
      <c r="A95" s="41" t="s">
        <v>1494</v>
      </c>
      <c r="B95" s="42" t="s">
        <v>1521</v>
      </c>
      <c r="C95" s="43" t="s">
        <v>1522</v>
      </c>
      <c r="D95" s="43" t="str">
        <f t="shared" si="1"/>
        <v>THE DUDLEY GROUP NHS FOUNDATION TRUST</v>
      </c>
      <c r="E95" s="43">
        <v>685</v>
      </c>
    </row>
    <row r="96" spans="1:5" x14ac:dyDescent="0.3">
      <c r="A96" s="41" t="s">
        <v>1494</v>
      </c>
      <c r="B96" s="42" t="s">
        <v>1523</v>
      </c>
      <c r="C96" s="43" t="s">
        <v>1524</v>
      </c>
      <c r="D96" s="43" t="str">
        <f t="shared" si="1"/>
        <v>KETTERING GENERAL HOSPITAL NHS FOUNDATION TRUST</v>
      </c>
      <c r="E96" s="43">
        <v>585</v>
      </c>
    </row>
    <row r="97" spans="1:5" x14ac:dyDescent="0.3">
      <c r="A97" s="41" t="s">
        <v>1494</v>
      </c>
      <c r="B97" s="42" t="s">
        <v>1525</v>
      </c>
      <c r="C97" s="43" t="s">
        <v>1526</v>
      </c>
      <c r="D97" s="43" t="str">
        <f t="shared" si="1"/>
        <v>NORTHAMPTON GENERAL HOSPITAL NHS TRUST</v>
      </c>
      <c r="E97" s="43">
        <v>757</v>
      </c>
    </row>
    <row r="98" spans="1:5" x14ac:dyDescent="0.3">
      <c r="A98" s="41" t="s">
        <v>1494</v>
      </c>
      <c r="B98" s="42" t="s">
        <v>1527</v>
      </c>
      <c r="C98" s="43" t="s">
        <v>1528</v>
      </c>
      <c r="D98" s="43" t="str">
        <f t="shared" si="1"/>
        <v>NORTHAMPTONSHIRE HEALTHCARE NHS FOUNDATION TRUST</v>
      </c>
      <c r="E98" s="43">
        <v>332</v>
      </c>
    </row>
    <row r="99" spans="1:5" x14ac:dyDescent="0.3">
      <c r="A99" s="41" t="s">
        <v>1494</v>
      </c>
      <c r="B99" s="42" t="s">
        <v>1529</v>
      </c>
      <c r="C99" s="43" t="s">
        <v>1530</v>
      </c>
      <c r="D99" s="43" t="str">
        <f t="shared" si="1"/>
        <v>LINCOLNSHIRE PARTNERSHIP NHS FOUNDATION TRUST</v>
      </c>
      <c r="E99" s="43">
        <v>188</v>
      </c>
    </row>
    <row r="100" spans="1:5" x14ac:dyDescent="0.3">
      <c r="A100" s="41" t="s">
        <v>1494</v>
      </c>
      <c r="B100" s="42" t="s">
        <v>1531</v>
      </c>
      <c r="C100" s="43" t="s">
        <v>1532</v>
      </c>
      <c r="D100" s="43" t="str">
        <f t="shared" si="1"/>
        <v>BIRMINGHAM WOMEN'S AND CHILDREN'S NHS FOUNDATION TRUST</v>
      </c>
      <c r="E100" s="43">
        <v>423</v>
      </c>
    </row>
    <row r="101" spans="1:5" x14ac:dyDescent="0.3">
      <c r="A101" s="41" t="s">
        <v>1494</v>
      </c>
      <c r="B101" s="42" t="s">
        <v>1533</v>
      </c>
      <c r="C101" s="43" t="s">
        <v>1534</v>
      </c>
      <c r="D101" s="43" t="str">
        <f t="shared" si="1"/>
        <v>MIDLANDS PARTNERSHIP NHS FOUNDATION TRUST</v>
      </c>
      <c r="E101" s="43">
        <v>443</v>
      </c>
    </row>
    <row r="102" spans="1:5" x14ac:dyDescent="0.3">
      <c r="A102" s="41" t="s">
        <v>1494</v>
      </c>
      <c r="B102" s="42" t="s">
        <v>1535</v>
      </c>
      <c r="C102" s="43" t="s">
        <v>1536</v>
      </c>
      <c r="D102" s="43" t="str">
        <f t="shared" si="1"/>
        <v>THE ROYAL ORTHOPAEDIC HOSPITAL NHS FOUNDATION TRUST</v>
      </c>
      <c r="E102" s="43">
        <v>90</v>
      </c>
    </row>
    <row r="103" spans="1:5" x14ac:dyDescent="0.3">
      <c r="A103" s="41" t="s">
        <v>1494</v>
      </c>
      <c r="B103" s="42" t="s">
        <v>1537</v>
      </c>
      <c r="C103" s="43" t="s">
        <v>1538</v>
      </c>
      <c r="D103" s="43" t="str">
        <f t="shared" si="1"/>
        <v>UNIVERSITY HOSPITALS BIRMINGHAM NHS FOUNDATION TRUST</v>
      </c>
      <c r="E103" s="44">
        <v>2029</v>
      </c>
    </row>
    <row r="104" spans="1:5" x14ac:dyDescent="0.3">
      <c r="A104" s="41" t="s">
        <v>1494</v>
      </c>
      <c r="B104" s="42" t="s">
        <v>1539</v>
      </c>
      <c r="C104" s="43" t="s">
        <v>1540</v>
      </c>
      <c r="D104" s="43" t="str">
        <f t="shared" si="1"/>
        <v>UNIVERSITY HOSPITALS OF DERBY AND BURTON NHS FOUNDATION TRUST</v>
      </c>
      <c r="E104" s="44">
        <v>1418</v>
      </c>
    </row>
    <row r="105" spans="1:5" x14ac:dyDescent="0.3">
      <c r="A105" s="41" t="s">
        <v>1494</v>
      </c>
      <c r="B105" s="42" t="s">
        <v>1541</v>
      </c>
      <c r="C105" s="43" t="s">
        <v>1542</v>
      </c>
      <c r="D105" s="43" t="str">
        <f t="shared" si="1"/>
        <v>UNITED LINCOLNSHIRE HOSPITALS NHS TRUST</v>
      </c>
      <c r="E105" s="44">
        <v>1084</v>
      </c>
    </row>
    <row r="106" spans="1:5" x14ac:dyDescent="0.3">
      <c r="A106" s="41" t="s">
        <v>1494</v>
      </c>
      <c r="B106" s="42" t="s">
        <v>1543</v>
      </c>
      <c r="C106" s="43" t="s">
        <v>1544</v>
      </c>
      <c r="D106" s="43" t="str">
        <f t="shared" si="1"/>
        <v>UNIVERSITY HOSPITALS OF LEICESTER NHS TRUST</v>
      </c>
      <c r="E106" s="44">
        <v>1578</v>
      </c>
    </row>
    <row r="107" spans="1:5" x14ac:dyDescent="0.3">
      <c r="A107" s="41" t="s">
        <v>1494</v>
      </c>
      <c r="B107" s="42" t="s">
        <v>1545</v>
      </c>
      <c r="C107" s="43" t="s">
        <v>1546</v>
      </c>
      <c r="D107" s="43" t="str">
        <f t="shared" si="1"/>
        <v>WORCESTERSHIRE ACUTE HOSPITALS NHS TRUST</v>
      </c>
      <c r="E107" s="43">
        <v>827</v>
      </c>
    </row>
    <row r="108" spans="1:5" x14ac:dyDescent="0.3">
      <c r="A108" s="41" t="s">
        <v>1494</v>
      </c>
      <c r="B108" s="42" t="s">
        <v>1547</v>
      </c>
      <c r="C108" s="43" t="s">
        <v>1548</v>
      </c>
      <c r="D108" s="43" t="str">
        <f t="shared" si="1"/>
        <v>NOTTINGHAM UNIVERSITY HOSPITALS NHS TRUST</v>
      </c>
      <c r="E108" s="44">
        <v>1512</v>
      </c>
    </row>
    <row r="109" spans="1:5" x14ac:dyDescent="0.3">
      <c r="A109" s="41" t="s">
        <v>1494</v>
      </c>
      <c r="B109" s="42" t="s">
        <v>1549</v>
      </c>
      <c r="C109" s="43" t="s">
        <v>1550</v>
      </c>
      <c r="D109" s="43" t="str">
        <f t="shared" si="1"/>
        <v>SANDWELL AND WEST BIRMINGHAM HOSPITALS NHS TRUST</v>
      </c>
      <c r="E109" s="43">
        <v>659</v>
      </c>
    </row>
    <row r="110" spans="1:5" x14ac:dyDescent="0.3">
      <c r="A110" s="41" t="s">
        <v>1494</v>
      </c>
      <c r="B110" s="42" t="s">
        <v>1551</v>
      </c>
      <c r="C110" s="43" t="s">
        <v>1552</v>
      </c>
      <c r="D110" s="43" t="str">
        <f t="shared" si="1"/>
        <v>DERBYSHIRE HEALTHCARE NHS FOUNDATION TRUST</v>
      </c>
      <c r="E110" s="43">
        <v>156</v>
      </c>
    </row>
    <row r="111" spans="1:5" x14ac:dyDescent="0.3">
      <c r="A111" s="41" t="s">
        <v>1494</v>
      </c>
      <c r="B111" s="42" t="s">
        <v>1553</v>
      </c>
      <c r="C111" s="43" t="s">
        <v>1554</v>
      </c>
      <c r="D111" s="43" t="str">
        <f t="shared" si="1"/>
        <v>BIRMINGHAM AND SOLIHULL MENTAL HEALTH NHS FOUNDATION TRUST</v>
      </c>
      <c r="E111" s="43">
        <v>662</v>
      </c>
    </row>
    <row r="112" spans="1:5" x14ac:dyDescent="0.3">
      <c r="A112" s="41" t="s">
        <v>1494</v>
      </c>
      <c r="B112" s="42" t="s">
        <v>1555</v>
      </c>
      <c r="C112" s="43" t="s">
        <v>1556</v>
      </c>
      <c r="D112" s="43" t="str">
        <f t="shared" si="1"/>
        <v>SHREWSBURY AND TELFORD HOSPITAL NHS TRUST</v>
      </c>
      <c r="E112" s="43">
        <v>736</v>
      </c>
    </row>
    <row r="113" spans="1:5" x14ac:dyDescent="0.3">
      <c r="A113" s="41" t="s">
        <v>1494</v>
      </c>
      <c r="B113" s="42" t="s">
        <v>1557</v>
      </c>
      <c r="C113" s="43" t="s">
        <v>1558</v>
      </c>
      <c r="D113" s="43" t="str">
        <f t="shared" si="1"/>
        <v>LINCOLNSHIRE COMMUNITY HEALTH SERVICES NHS TRUST</v>
      </c>
      <c r="E113" s="43">
        <v>24</v>
      </c>
    </row>
    <row r="114" spans="1:5" x14ac:dyDescent="0.3">
      <c r="A114" s="41" t="s">
        <v>1494</v>
      </c>
      <c r="B114" s="42" t="s">
        <v>1559</v>
      </c>
      <c r="C114" s="43" t="s">
        <v>1560</v>
      </c>
      <c r="D114" s="43" t="str">
        <f t="shared" si="1"/>
        <v>DERBYSHIRE COMMUNITY HEALTH SERVICES NHS FOUNDATION TRUST</v>
      </c>
      <c r="E114" s="43">
        <v>38</v>
      </c>
    </row>
    <row r="115" spans="1:5" x14ac:dyDescent="0.3">
      <c r="A115" s="41" t="s">
        <v>1494</v>
      </c>
      <c r="B115" s="42" t="s">
        <v>1561</v>
      </c>
      <c r="C115" s="43" t="s">
        <v>1562</v>
      </c>
      <c r="D115" s="43" t="str">
        <f t="shared" si="1"/>
        <v>COVENTRY AND WARWICKSHIRE PARTNERSHIP NHS TRUST</v>
      </c>
      <c r="E115" s="43">
        <v>314</v>
      </c>
    </row>
    <row r="116" spans="1:5" x14ac:dyDescent="0.3">
      <c r="A116" s="41" t="s">
        <v>1494</v>
      </c>
      <c r="B116" s="42" t="s">
        <v>1563</v>
      </c>
      <c r="C116" s="43" t="s">
        <v>1564</v>
      </c>
      <c r="D116" s="43" t="str">
        <f t="shared" si="1"/>
        <v>BIRMINGHAM COMMUNITY HEALTHCARE NHS FOUNDATION TRUST</v>
      </c>
      <c r="E116" s="43">
        <v>65</v>
      </c>
    </row>
    <row r="117" spans="1:5" x14ac:dyDescent="0.3">
      <c r="A117" s="41" t="s">
        <v>1494</v>
      </c>
      <c r="B117" s="42" t="s">
        <v>1565</v>
      </c>
      <c r="C117" s="43" t="s">
        <v>1566</v>
      </c>
      <c r="D117" s="43" t="str">
        <f t="shared" si="1"/>
        <v>BLACK COUNTRY HEALTHCARE NHS FOUNDATION TRUST</v>
      </c>
      <c r="E117" s="43">
        <v>259</v>
      </c>
    </row>
    <row r="118" spans="1:5" x14ac:dyDescent="0.3">
      <c r="A118" s="41" t="s">
        <v>1567</v>
      </c>
      <c r="B118" s="42" t="s">
        <v>1568</v>
      </c>
      <c r="C118" s="43" t="s">
        <v>1569</v>
      </c>
      <c r="D118" s="43" t="str">
        <f t="shared" si="1"/>
        <v>ESSEX PARTNERSHIP UNIVERSITY NHS FOUNDATION TRUST</v>
      </c>
      <c r="E118" s="43">
        <v>687</v>
      </c>
    </row>
    <row r="119" spans="1:5" x14ac:dyDescent="0.3">
      <c r="A119" s="41" t="s">
        <v>1567</v>
      </c>
      <c r="B119" s="42" t="s">
        <v>1570</v>
      </c>
      <c r="C119" s="43" t="s">
        <v>1571</v>
      </c>
      <c r="D119" s="43" t="str">
        <f t="shared" si="1"/>
        <v>MID AND SOUTH ESSEX NHS FOUNDATION TRUST</v>
      </c>
      <c r="E119" s="44">
        <v>1880</v>
      </c>
    </row>
    <row r="120" spans="1:5" x14ac:dyDescent="0.3">
      <c r="A120" s="41" t="s">
        <v>1567</v>
      </c>
      <c r="B120" s="42" t="s">
        <v>1572</v>
      </c>
      <c r="C120" s="43" t="s">
        <v>1573</v>
      </c>
      <c r="D120" s="43" t="str">
        <f t="shared" si="1"/>
        <v>BEDFORDSHIRE HOSPITALS NHS FOUNDATION TRUST</v>
      </c>
      <c r="E120" s="44">
        <v>1033</v>
      </c>
    </row>
    <row r="121" spans="1:5" x14ac:dyDescent="0.3">
      <c r="A121" s="41" t="s">
        <v>1567</v>
      </c>
      <c r="B121" s="42" t="s">
        <v>1574</v>
      </c>
      <c r="C121" s="43" t="s">
        <v>1575</v>
      </c>
      <c r="D121" s="43" t="str">
        <f t="shared" si="1"/>
        <v>THE QUEEN ELIZABETH HOSPITAL, KING'S LYNN, NHS FOUNDATION TRUST</v>
      </c>
      <c r="E121" s="43">
        <v>558</v>
      </c>
    </row>
    <row r="122" spans="1:5" x14ac:dyDescent="0.3">
      <c r="A122" s="41" t="s">
        <v>1567</v>
      </c>
      <c r="B122" s="42" t="s">
        <v>1576</v>
      </c>
      <c r="C122" s="43" t="s">
        <v>1577</v>
      </c>
      <c r="D122" s="43" t="str">
        <f t="shared" si="1"/>
        <v>MILTON KEYNES UNIVERSITY HOSPITAL NHS FOUNDATION TRUST</v>
      </c>
      <c r="E122" s="43">
        <v>430</v>
      </c>
    </row>
    <row r="123" spans="1:5" x14ac:dyDescent="0.3">
      <c r="A123" s="41" t="s">
        <v>1567</v>
      </c>
      <c r="B123" s="42" t="s">
        <v>1578</v>
      </c>
      <c r="C123" s="43" t="s">
        <v>1579</v>
      </c>
      <c r="D123" s="43" t="str">
        <f t="shared" si="1"/>
        <v>EAST SUFFOLK AND NORTH ESSEX NHS FOUNDATION TRUST</v>
      </c>
      <c r="E123" s="44">
        <v>1048</v>
      </c>
    </row>
    <row r="124" spans="1:5" x14ac:dyDescent="0.3">
      <c r="A124" s="41" t="s">
        <v>1567</v>
      </c>
      <c r="B124" s="42" t="s">
        <v>1580</v>
      </c>
      <c r="C124" s="43" t="s">
        <v>1581</v>
      </c>
      <c r="D124" s="43" t="str">
        <f t="shared" si="1"/>
        <v>ROYAL PAPWORTH HOSPITAL NHS FOUNDATION TRUST</v>
      </c>
      <c r="E124" s="43">
        <v>253</v>
      </c>
    </row>
    <row r="125" spans="1:5" x14ac:dyDescent="0.3">
      <c r="A125" s="41" t="s">
        <v>1567</v>
      </c>
      <c r="B125" s="42" t="s">
        <v>1582</v>
      </c>
      <c r="C125" s="43" t="s">
        <v>1583</v>
      </c>
      <c r="D125" s="43" t="str">
        <f t="shared" si="1"/>
        <v>NORTH WEST ANGLIA NHS FOUNDATION TRUST</v>
      </c>
      <c r="E125" s="43">
        <v>946</v>
      </c>
    </row>
    <row r="126" spans="1:5" x14ac:dyDescent="0.3">
      <c r="A126" s="41" t="s">
        <v>1567</v>
      </c>
      <c r="B126" s="42" t="s">
        <v>1584</v>
      </c>
      <c r="C126" s="43" t="s">
        <v>1585</v>
      </c>
      <c r="D126" s="43" t="str">
        <f t="shared" si="1"/>
        <v>JAMES PAGET UNIVERSITY HOSPITALS NHS FOUNDATION TRUST</v>
      </c>
      <c r="E126" s="43">
        <v>467</v>
      </c>
    </row>
    <row r="127" spans="1:5" x14ac:dyDescent="0.3">
      <c r="A127" s="41" t="s">
        <v>1567</v>
      </c>
      <c r="B127" s="42" t="s">
        <v>1586</v>
      </c>
      <c r="C127" s="43" t="s">
        <v>1587</v>
      </c>
      <c r="D127" s="43" t="str">
        <f t="shared" si="1"/>
        <v>WEST SUFFOLK NHS FOUNDATION TRUST</v>
      </c>
      <c r="E127" s="43">
        <v>391</v>
      </c>
    </row>
    <row r="128" spans="1:5" x14ac:dyDescent="0.3">
      <c r="A128" s="41" t="s">
        <v>1567</v>
      </c>
      <c r="B128" s="42" t="s">
        <v>1588</v>
      </c>
      <c r="C128" s="43" t="s">
        <v>1589</v>
      </c>
      <c r="D128" s="43" t="str">
        <f t="shared" si="1"/>
        <v>CAMBRIDGE UNIVERSITY HOSPITALS NHS FOUNDATION TRUST</v>
      </c>
      <c r="E128" s="43">
        <v>842</v>
      </c>
    </row>
    <row r="129" spans="1:5" x14ac:dyDescent="0.3">
      <c r="A129" s="41" t="s">
        <v>1567</v>
      </c>
      <c r="B129" s="42" t="s">
        <v>1590</v>
      </c>
      <c r="C129" s="43" t="s">
        <v>1591</v>
      </c>
      <c r="D129" s="43" t="str">
        <f t="shared" si="1"/>
        <v>NORFOLK AND NORWICH UNIVERSITY HOSPITALS NHS FOUNDATION TRUST</v>
      </c>
      <c r="E129" s="43">
        <v>882</v>
      </c>
    </row>
    <row r="130" spans="1:5" x14ac:dyDescent="0.3">
      <c r="A130" s="41" t="s">
        <v>1567</v>
      </c>
      <c r="B130" s="42" t="s">
        <v>1592</v>
      </c>
      <c r="C130" s="43" t="s">
        <v>1593</v>
      </c>
      <c r="D130" s="43" t="str">
        <f t="shared" si="1"/>
        <v>NORFOLK AND SUFFOLK NHS FOUNDATION TRUST</v>
      </c>
      <c r="E130" s="43">
        <v>435</v>
      </c>
    </row>
    <row r="131" spans="1:5" x14ac:dyDescent="0.3">
      <c r="A131" s="41" t="s">
        <v>1567</v>
      </c>
      <c r="B131" s="42" t="s">
        <v>1594</v>
      </c>
      <c r="C131" s="43" t="s">
        <v>1595</v>
      </c>
      <c r="D131" s="43" t="str">
        <f t="shared" si="1"/>
        <v>THE PRINCESS ALEXANDRA HOSPITAL NHS TRUST</v>
      </c>
      <c r="E131" s="43">
        <v>438</v>
      </c>
    </row>
    <row r="132" spans="1:5" x14ac:dyDescent="0.3">
      <c r="A132" s="41" t="s">
        <v>1567</v>
      </c>
      <c r="B132" s="42" t="s">
        <v>1596</v>
      </c>
      <c r="C132" s="43" t="s">
        <v>1597</v>
      </c>
      <c r="D132" s="43" t="str">
        <f t="shared" ref="D132:D195" si="2">TRIM(C132)</f>
        <v>CAMBRIDGESHIRE AND PETERBOROUGH NHS FOUNDATION TRUST</v>
      </c>
      <c r="E132" s="43">
        <v>334</v>
      </c>
    </row>
    <row r="133" spans="1:5" x14ac:dyDescent="0.3">
      <c r="A133" s="41" t="s">
        <v>1567</v>
      </c>
      <c r="B133" s="42" t="s">
        <v>1598</v>
      </c>
      <c r="C133" s="43" t="s">
        <v>1599</v>
      </c>
      <c r="D133" s="43" t="str">
        <f t="shared" si="2"/>
        <v>WEST HERTFORDSHIRE HOSPITALS NHS TRUST</v>
      </c>
      <c r="E133" s="43">
        <v>780</v>
      </c>
    </row>
    <row r="134" spans="1:5" x14ac:dyDescent="0.3">
      <c r="A134" s="41" t="s">
        <v>1567</v>
      </c>
      <c r="B134" s="42" t="s">
        <v>1600</v>
      </c>
      <c r="C134" s="43" t="s">
        <v>1601</v>
      </c>
      <c r="D134" s="43" t="str">
        <f t="shared" si="2"/>
        <v>EAST AND NORTH HERTFORDSHIRE NHS TRUST</v>
      </c>
      <c r="E134" s="43">
        <v>649</v>
      </c>
    </row>
    <row r="135" spans="1:5" x14ac:dyDescent="0.3">
      <c r="A135" s="41" t="s">
        <v>1567</v>
      </c>
      <c r="B135" s="42" t="s">
        <v>1602</v>
      </c>
      <c r="C135" s="43" t="s">
        <v>1603</v>
      </c>
      <c r="D135" s="43" t="str">
        <f t="shared" si="2"/>
        <v>HERTFORDSHIRE PARTNERSHIP UNIVERSITY NHS FOUNDATION TRUST</v>
      </c>
      <c r="E135" s="43">
        <v>406</v>
      </c>
    </row>
    <row r="136" spans="1:5" x14ac:dyDescent="0.3">
      <c r="A136" s="41" t="s">
        <v>1567</v>
      </c>
      <c r="B136" s="42" t="s">
        <v>1604</v>
      </c>
      <c r="C136" s="43" t="s">
        <v>1605</v>
      </c>
      <c r="D136" s="43" t="str">
        <f t="shared" si="2"/>
        <v>NORFOLK COMMUNITY HEALTH AND CARE NHS TRUST</v>
      </c>
      <c r="E136" s="43">
        <v>67</v>
      </c>
    </row>
    <row r="137" spans="1:5" x14ac:dyDescent="0.3">
      <c r="A137" s="41" t="s">
        <v>1606</v>
      </c>
      <c r="B137" s="42" t="s">
        <v>1607</v>
      </c>
      <c r="C137" s="43" t="s">
        <v>1608</v>
      </c>
      <c r="D137" s="43" t="str">
        <f t="shared" si="2"/>
        <v>MANCHESTER UNIVERSITY NHS FOUNDATION TRUST</v>
      </c>
      <c r="E137" s="44">
        <v>1368</v>
      </c>
    </row>
    <row r="138" spans="1:5" x14ac:dyDescent="0.3">
      <c r="A138" s="41" t="s">
        <v>1606</v>
      </c>
      <c r="B138" s="42" t="s">
        <v>1609</v>
      </c>
      <c r="C138" s="43" t="s">
        <v>1610</v>
      </c>
      <c r="D138" s="43" t="str">
        <f t="shared" si="2"/>
        <v>WIRRAL UNIVERSITY TEACHING HOSPITAL NHS FOUNDATION TRUST</v>
      </c>
      <c r="E138" s="43">
        <v>789</v>
      </c>
    </row>
    <row r="139" spans="1:5" x14ac:dyDescent="0.3">
      <c r="A139" s="41" t="s">
        <v>1606</v>
      </c>
      <c r="B139" s="42" t="s">
        <v>1611</v>
      </c>
      <c r="C139" s="43" t="s">
        <v>1612</v>
      </c>
      <c r="D139" s="43" t="str">
        <f t="shared" si="2"/>
        <v>ST HELENS AND KNOWSLEY TEACHING HOSPITALS NHS TRUST</v>
      </c>
      <c r="E139" s="43">
        <v>660</v>
      </c>
    </row>
    <row r="140" spans="1:5" x14ac:dyDescent="0.3">
      <c r="A140" s="41" t="s">
        <v>1606</v>
      </c>
      <c r="B140" s="42" t="s">
        <v>1613</v>
      </c>
      <c r="C140" s="43" t="s">
        <v>1614</v>
      </c>
      <c r="D140" s="43" t="str">
        <f t="shared" si="2"/>
        <v>LIVERPOOL HEART AND CHEST HOSPITAL NHS FOUNDATION TRUST</v>
      </c>
      <c r="E140" s="43">
        <v>121</v>
      </c>
    </row>
    <row r="141" spans="1:5" x14ac:dyDescent="0.3">
      <c r="A141" s="41" t="s">
        <v>1606</v>
      </c>
      <c r="B141" s="42" t="s">
        <v>1615</v>
      </c>
      <c r="C141" s="43" t="s">
        <v>1616</v>
      </c>
      <c r="D141" s="43" t="str">
        <f t="shared" si="2"/>
        <v>ALDER HEY CHILDREN'S NHS FOUNDATION TRUST</v>
      </c>
      <c r="E141" s="43">
        <v>221</v>
      </c>
    </row>
    <row r="142" spans="1:5" x14ac:dyDescent="0.3">
      <c r="A142" s="41" t="s">
        <v>1606</v>
      </c>
      <c r="B142" s="42" t="s">
        <v>1617</v>
      </c>
      <c r="C142" s="43" t="s">
        <v>1618</v>
      </c>
      <c r="D142" s="43" t="str">
        <f t="shared" si="2"/>
        <v>MID CHESHIRE HOSPITALS NHS FOUNDATION TRUST</v>
      </c>
      <c r="E142" s="43">
        <v>558</v>
      </c>
    </row>
    <row r="143" spans="1:5" x14ac:dyDescent="0.3">
      <c r="A143" s="41" t="s">
        <v>1606</v>
      </c>
      <c r="B143" s="42" t="s">
        <v>1619</v>
      </c>
      <c r="C143" s="43" t="s">
        <v>1620</v>
      </c>
      <c r="D143" s="43" t="str">
        <f t="shared" si="2"/>
        <v>THE CHRISTIE NHS FOUNDATION TRUST</v>
      </c>
      <c r="E143" s="43">
        <v>149</v>
      </c>
    </row>
    <row r="144" spans="1:5" x14ac:dyDescent="0.3">
      <c r="A144" s="41" t="s">
        <v>1606</v>
      </c>
      <c r="B144" s="42" t="s">
        <v>1621</v>
      </c>
      <c r="C144" s="43" t="s">
        <v>1622</v>
      </c>
      <c r="D144" s="43" t="str">
        <f t="shared" si="2"/>
        <v>LIVERPOOL UNIVERSITY HOSPITALS NHS FOUNDATION TRUST</v>
      </c>
      <c r="E144" s="44">
        <v>1595</v>
      </c>
    </row>
    <row r="145" spans="1:5" x14ac:dyDescent="0.3">
      <c r="A145" s="41" t="s">
        <v>1606</v>
      </c>
      <c r="B145" s="42" t="s">
        <v>1623</v>
      </c>
      <c r="C145" s="43" t="s">
        <v>1624</v>
      </c>
      <c r="D145" s="43" t="str">
        <f t="shared" si="2"/>
        <v>THE CLATTERBRIDGE CANCER CENTRE NHS FOUNDATION TRUST</v>
      </c>
      <c r="E145" s="43">
        <v>84</v>
      </c>
    </row>
    <row r="146" spans="1:5" x14ac:dyDescent="0.3">
      <c r="A146" s="41" t="s">
        <v>1606</v>
      </c>
      <c r="B146" s="42" t="s">
        <v>1625</v>
      </c>
      <c r="C146" s="43" t="s">
        <v>1626</v>
      </c>
      <c r="D146" s="43" t="str">
        <f t="shared" si="2"/>
        <v>LIVERPOOL WOMEN'S NHS FOUNDATION TRUST</v>
      </c>
      <c r="E146" s="43">
        <v>121</v>
      </c>
    </row>
    <row r="147" spans="1:5" x14ac:dyDescent="0.3">
      <c r="A147" s="41" t="s">
        <v>1606</v>
      </c>
      <c r="B147" s="42" t="s">
        <v>1627</v>
      </c>
      <c r="C147" s="43" t="s">
        <v>1628</v>
      </c>
      <c r="D147" s="43" t="str">
        <f t="shared" si="2"/>
        <v>THE WALTON CENTRE NHS FOUNDATION TRUST</v>
      </c>
      <c r="E147" s="43">
        <v>167</v>
      </c>
    </row>
    <row r="148" spans="1:5" x14ac:dyDescent="0.3">
      <c r="A148" s="41" t="s">
        <v>1606</v>
      </c>
      <c r="B148" s="42" t="s">
        <v>1629</v>
      </c>
      <c r="C148" s="43" t="s">
        <v>1630</v>
      </c>
      <c r="D148" s="43" t="str">
        <f t="shared" si="2"/>
        <v>EAST CHESHIRE NHS TRUST</v>
      </c>
      <c r="E148" s="43">
        <v>339</v>
      </c>
    </row>
    <row r="149" spans="1:5" x14ac:dyDescent="0.3">
      <c r="A149" s="41" t="s">
        <v>1606</v>
      </c>
      <c r="B149" s="42" t="s">
        <v>1631</v>
      </c>
      <c r="C149" s="43" t="s">
        <v>1632</v>
      </c>
      <c r="D149" s="43" t="str">
        <f t="shared" si="2"/>
        <v>COUNTESS OF CHESTER HOSPITAL NHS FOUNDATION TRUST</v>
      </c>
      <c r="E149" s="43">
        <v>519</v>
      </c>
    </row>
    <row r="150" spans="1:5" x14ac:dyDescent="0.3">
      <c r="A150" s="41" t="s">
        <v>1606</v>
      </c>
      <c r="B150" s="42" t="s">
        <v>1633</v>
      </c>
      <c r="C150" s="43" t="s">
        <v>1634</v>
      </c>
      <c r="D150" s="43" t="str">
        <f t="shared" si="2"/>
        <v>SALFORD ROYAL NHS FOUNDATION TRUST</v>
      </c>
      <c r="E150" s="43">
        <v>698</v>
      </c>
    </row>
    <row r="151" spans="1:5" x14ac:dyDescent="0.3">
      <c r="A151" s="41" t="s">
        <v>1606</v>
      </c>
      <c r="B151" s="42" t="s">
        <v>1635</v>
      </c>
      <c r="C151" s="43" t="s">
        <v>1636</v>
      </c>
      <c r="D151" s="43" t="str">
        <f t="shared" si="2"/>
        <v>BOLTON NHS FOUNDATION TRUST</v>
      </c>
      <c r="E151" s="43">
        <v>664</v>
      </c>
    </row>
    <row r="152" spans="1:5" x14ac:dyDescent="0.3">
      <c r="A152" s="41" t="s">
        <v>1606</v>
      </c>
      <c r="B152" s="42" t="s">
        <v>1637</v>
      </c>
      <c r="C152" s="43" t="s">
        <v>1638</v>
      </c>
      <c r="D152" s="43" t="str">
        <f t="shared" si="2"/>
        <v>TAMESIDE AND GLOSSOP INTEGRATED CARE NHS FOUNDATION TRUST</v>
      </c>
      <c r="E152" s="43">
        <v>455</v>
      </c>
    </row>
    <row r="153" spans="1:5" x14ac:dyDescent="0.3">
      <c r="A153" s="41" t="s">
        <v>1606</v>
      </c>
      <c r="B153" s="42" t="s">
        <v>1639</v>
      </c>
      <c r="C153" s="43" t="s">
        <v>1640</v>
      </c>
      <c r="D153" s="43" t="str">
        <f t="shared" si="2"/>
        <v>WRIGHTINGTON, WIGAN AND LEIGH NHS FOUNDATION TRUST</v>
      </c>
      <c r="E153" s="43">
        <v>573</v>
      </c>
    </row>
    <row r="154" spans="1:5" x14ac:dyDescent="0.3">
      <c r="A154" s="41" t="s">
        <v>1606</v>
      </c>
      <c r="B154" s="42" t="s">
        <v>1641</v>
      </c>
      <c r="C154" s="43" t="s">
        <v>1642</v>
      </c>
      <c r="D154" s="43" t="str">
        <f t="shared" si="2"/>
        <v>PENNINE CARE NHS FOUNDATION TRUST</v>
      </c>
      <c r="E154" s="43">
        <v>514</v>
      </c>
    </row>
    <row r="155" spans="1:5" x14ac:dyDescent="0.3">
      <c r="A155" s="41" t="s">
        <v>1606</v>
      </c>
      <c r="B155" s="42" t="s">
        <v>1643</v>
      </c>
      <c r="C155" s="43" t="s">
        <v>1644</v>
      </c>
      <c r="D155" s="43" t="str">
        <f t="shared" si="2"/>
        <v>NORTH WEST BOROUGHS HEALTHCARE NHS FOUNDATION TRUST</v>
      </c>
      <c r="E155" s="43">
        <v>289</v>
      </c>
    </row>
    <row r="156" spans="1:5" x14ac:dyDescent="0.3">
      <c r="A156" s="41" t="s">
        <v>1606</v>
      </c>
      <c r="B156" s="42" t="s">
        <v>1645</v>
      </c>
      <c r="C156" s="43" t="s">
        <v>1646</v>
      </c>
      <c r="D156" s="43" t="str">
        <f t="shared" si="2"/>
        <v>UNIVERSITY HOSPITALS OF MORECAMBE BAY NHS FOUNDATION TRUST</v>
      </c>
      <c r="E156" s="43">
        <v>643</v>
      </c>
    </row>
    <row r="157" spans="1:5" x14ac:dyDescent="0.3">
      <c r="A157" s="41" t="s">
        <v>1606</v>
      </c>
      <c r="B157" s="42" t="s">
        <v>1647</v>
      </c>
      <c r="C157" s="43" t="s">
        <v>1648</v>
      </c>
      <c r="D157" s="43" t="str">
        <f t="shared" si="2"/>
        <v>SOUTHPORT AND ORMSKIRK HOSPITAL NHS TRUST</v>
      </c>
      <c r="E157" s="43">
        <v>465</v>
      </c>
    </row>
    <row r="158" spans="1:5" x14ac:dyDescent="0.3">
      <c r="A158" s="41" t="s">
        <v>1606</v>
      </c>
      <c r="B158" s="42" t="s">
        <v>1649</v>
      </c>
      <c r="C158" s="43" t="s">
        <v>1650</v>
      </c>
      <c r="D158" s="43" t="str">
        <f t="shared" si="2"/>
        <v>MERSEY CARE NHS FOUNDATION TRUST</v>
      </c>
      <c r="E158" s="43">
        <v>711</v>
      </c>
    </row>
    <row r="159" spans="1:5" x14ac:dyDescent="0.3">
      <c r="A159" s="41" t="s">
        <v>1606</v>
      </c>
      <c r="B159" s="42" t="s">
        <v>1651</v>
      </c>
      <c r="C159" s="43" t="s">
        <v>1652</v>
      </c>
      <c r="D159" s="43" t="str">
        <f t="shared" si="2"/>
        <v>LANCASHIRE &amp; SOUTH CUMBRIA NHS FOUNDATION TRUST</v>
      </c>
      <c r="E159" s="43">
        <v>540</v>
      </c>
    </row>
    <row r="160" spans="1:5" x14ac:dyDescent="0.3">
      <c r="A160" s="41" t="s">
        <v>1606</v>
      </c>
      <c r="B160" s="42" t="s">
        <v>1653</v>
      </c>
      <c r="C160" s="43" t="s">
        <v>1654</v>
      </c>
      <c r="D160" s="43" t="str">
        <f t="shared" si="2"/>
        <v>PENNINE ACUTE HOSPITALS NHS TRUST</v>
      </c>
      <c r="E160" s="44">
        <v>1190</v>
      </c>
    </row>
    <row r="161" spans="1:5" x14ac:dyDescent="0.3">
      <c r="A161" s="41" t="s">
        <v>1606</v>
      </c>
      <c r="B161" s="42" t="s">
        <v>1655</v>
      </c>
      <c r="C161" s="43" t="s">
        <v>1656</v>
      </c>
      <c r="D161" s="43" t="str">
        <f t="shared" si="2"/>
        <v>STOCKPORT NHS FOUNDATION TRUST</v>
      </c>
      <c r="E161" s="43">
        <v>517</v>
      </c>
    </row>
    <row r="162" spans="1:5" x14ac:dyDescent="0.3">
      <c r="A162" s="41" t="s">
        <v>1606</v>
      </c>
      <c r="B162" s="42" t="s">
        <v>1657</v>
      </c>
      <c r="C162" s="43" t="s">
        <v>1658</v>
      </c>
      <c r="D162" s="43" t="str">
        <f t="shared" si="2"/>
        <v>WARRINGTON AND HALTON TEACHING HOSPITALS NHS FOUNDATION TRUST</v>
      </c>
      <c r="E162" s="43">
        <v>560</v>
      </c>
    </row>
    <row r="163" spans="1:5" x14ac:dyDescent="0.3">
      <c r="A163" s="41" t="s">
        <v>1606</v>
      </c>
      <c r="B163" s="42" t="s">
        <v>1659</v>
      </c>
      <c r="C163" s="43" t="s">
        <v>1660</v>
      </c>
      <c r="D163" s="43" t="str">
        <f t="shared" si="2"/>
        <v>CHESHIRE AND WIRRAL PARTNERSHIP NHS FOUNDATION TRUST</v>
      </c>
      <c r="E163" s="43">
        <v>280</v>
      </c>
    </row>
    <row r="164" spans="1:5" x14ac:dyDescent="0.3">
      <c r="A164" s="41" t="s">
        <v>1606</v>
      </c>
      <c r="B164" s="42" t="s">
        <v>1661</v>
      </c>
      <c r="C164" s="43" t="s">
        <v>1662</v>
      </c>
      <c r="D164" s="43" t="str">
        <f t="shared" si="2"/>
        <v>BLACKPOOL TEACHING HOSPITALS NHS FOUNDATION TRUST</v>
      </c>
      <c r="E164" s="43">
        <v>695</v>
      </c>
    </row>
    <row r="165" spans="1:5" x14ac:dyDescent="0.3">
      <c r="A165" s="41" t="s">
        <v>1606</v>
      </c>
      <c r="B165" s="42" t="s">
        <v>1663</v>
      </c>
      <c r="C165" s="43" t="s">
        <v>1664</v>
      </c>
      <c r="D165" s="43" t="str">
        <f t="shared" si="2"/>
        <v>LANCASHIRE TEACHING HOSPITALS NHS FOUNDATION TRUST</v>
      </c>
      <c r="E165" s="43">
        <v>664</v>
      </c>
    </row>
    <row r="166" spans="1:5" x14ac:dyDescent="0.3">
      <c r="A166" s="41" t="s">
        <v>1606</v>
      </c>
      <c r="B166" s="42" t="s">
        <v>1665</v>
      </c>
      <c r="C166" s="43" t="s">
        <v>1666</v>
      </c>
      <c r="D166" s="43" t="str">
        <f t="shared" si="2"/>
        <v>EAST LANCASHIRE HOSPITALS NHS TRUST</v>
      </c>
      <c r="E166" s="43">
        <v>921</v>
      </c>
    </row>
    <row r="167" spans="1:5" x14ac:dyDescent="0.3">
      <c r="A167" s="41" t="s">
        <v>1667</v>
      </c>
      <c r="B167" s="42" t="s">
        <v>1668</v>
      </c>
      <c r="C167" s="43" t="s">
        <v>1669</v>
      </c>
      <c r="D167" s="43" t="str">
        <f t="shared" si="2"/>
        <v>SOUTH TYNESIDE AND SUNDERLAND NHS FOUNDATION TRUST</v>
      </c>
      <c r="E167" s="43">
        <v>842</v>
      </c>
    </row>
    <row r="168" spans="1:5" x14ac:dyDescent="0.3">
      <c r="A168" s="41" t="s">
        <v>1667</v>
      </c>
      <c r="B168" s="42" t="s">
        <v>1670</v>
      </c>
      <c r="C168" s="43" t="s">
        <v>1671</v>
      </c>
      <c r="D168" s="43" t="str">
        <f t="shared" si="2"/>
        <v>BRADFORD TEACHING HOSPITALS NHS FOUNDATION TRUST</v>
      </c>
      <c r="E168" s="43">
        <v>641</v>
      </c>
    </row>
    <row r="169" spans="1:5" x14ac:dyDescent="0.3">
      <c r="A169" s="41" t="s">
        <v>1667</v>
      </c>
      <c r="B169" s="42" t="s">
        <v>1672</v>
      </c>
      <c r="C169" s="43" t="s">
        <v>1673</v>
      </c>
      <c r="D169" s="43" t="str">
        <f t="shared" si="2"/>
        <v>YORK TEACHING HOSPITAL NHS FOUNDATION TRUST</v>
      </c>
      <c r="E169" s="44">
        <v>1019</v>
      </c>
    </row>
    <row r="170" spans="1:5" x14ac:dyDescent="0.3">
      <c r="A170" s="41" t="s">
        <v>1667</v>
      </c>
      <c r="B170" s="42" t="s">
        <v>1674</v>
      </c>
      <c r="C170" s="43" t="s">
        <v>1675</v>
      </c>
      <c r="D170" s="43" t="str">
        <f t="shared" si="2"/>
        <v>HARROGATE AND DISTRICT NHS FOUNDATION TRUST</v>
      </c>
      <c r="E170" s="43">
        <v>269</v>
      </c>
    </row>
    <row r="171" spans="1:5" x14ac:dyDescent="0.3">
      <c r="A171" s="41" t="s">
        <v>1667</v>
      </c>
      <c r="B171" s="42" t="s">
        <v>1676</v>
      </c>
      <c r="C171" s="43" t="s">
        <v>1677</v>
      </c>
      <c r="D171" s="43" t="str">
        <f t="shared" si="2"/>
        <v>AIREDALE NHS FOUNDATION TRUST</v>
      </c>
      <c r="E171" s="43">
        <v>362</v>
      </c>
    </row>
    <row r="172" spans="1:5" x14ac:dyDescent="0.3">
      <c r="A172" s="41" t="s">
        <v>1667</v>
      </c>
      <c r="B172" s="42" t="s">
        <v>1678</v>
      </c>
      <c r="C172" s="43" t="s">
        <v>1679</v>
      </c>
      <c r="D172" s="43" t="str">
        <f t="shared" si="2"/>
        <v>SHEFFIELD CHILDREN'S NHS FOUNDATION TRUST</v>
      </c>
      <c r="E172" s="43">
        <v>162</v>
      </c>
    </row>
    <row r="173" spans="1:5" x14ac:dyDescent="0.3">
      <c r="A173" s="41" t="s">
        <v>1667</v>
      </c>
      <c r="B173" s="42" t="s">
        <v>1680</v>
      </c>
      <c r="C173" s="43" t="s">
        <v>1681</v>
      </c>
      <c r="D173" s="43" t="str">
        <f t="shared" si="2"/>
        <v>BARNSLEY HOSPITAL NHS FOUNDATION TRUST</v>
      </c>
      <c r="E173" s="43">
        <v>410</v>
      </c>
    </row>
    <row r="174" spans="1:5" x14ac:dyDescent="0.3">
      <c r="A174" s="41" t="s">
        <v>1667</v>
      </c>
      <c r="B174" s="42" t="s">
        <v>1682</v>
      </c>
      <c r="C174" s="43" t="s">
        <v>1683</v>
      </c>
      <c r="D174" s="43" t="str">
        <f t="shared" si="2"/>
        <v>THE ROTHERHAM NHS FOUNDATION TRUST</v>
      </c>
      <c r="E174" s="43">
        <v>419</v>
      </c>
    </row>
    <row r="175" spans="1:5" x14ac:dyDescent="0.3">
      <c r="A175" s="41" t="s">
        <v>1667</v>
      </c>
      <c r="B175" s="42" t="s">
        <v>1684</v>
      </c>
      <c r="C175" s="43" t="s">
        <v>1685</v>
      </c>
      <c r="D175" s="43" t="str">
        <f t="shared" si="2"/>
        <v>LEEDS AND YORK PARTNERSHIP NHS FOUNDATION TRUST</v>
      </c>
      <c r="E175" s="43">
        <v>403</v>
      </c>
    </row>
    <row r="176" spans="1:5" x14ac:dyDescent="0.3">
      <c r="A176" s="41" t="s">
        <v>1667</v>
      </c>
      <c r="B176" s="42" t="s">
        <v>1686</v>
      </c>
      <c r="C176" s="43" t="s">
        <v>1687</v>
      </c>
      <c r="D176" s="43" t="str">
        <f t="shared" si="2"/>
        <v>SHEFFIELD TEACHING HOSPITALS NHS FOUNDATION TRUST</v>
      </c>
      <c r="E176" s="44">
        <v>1442</v>
      </c>
    </row>
    <row r="177" spans="1:5" x14ac:dyDescent="0.3">
      <c r="A177" s="41" t="s">
        <v>1667</v>
      </c>
      <c r="B177" s="42" t="s">
        <v>1688</v>
      </c>
      <c r="C177" s="43" t="s">
        <v>1689</v>
      </c>
      <c r="D177" s="43" t="str">
        <f t="shared" si="2"/>
        <v>NORTHERN LINCOLNSHIRE AND GOOLE NHS FOUNDATION TRUST</v>
      </c>
      <c r="E177" s="43">
        <v>655</v>
      </c>
    </row>
    <row r="178" spans="1:5" x14ac:dyDescent="0.3">
      <c r="A178" s="41" t="s">
        <v>1667</v>
      </c>
      <c r="B178" s="42" t="s">
        <v>1690</v>
      </c>
      <c r="C178" s="43" t="s">
        <v>1691</v>
      </c>
      <c r="D178" s="43" t="str">
        <f t="shared" si="2"/>
        <v>NORTH CUMBRIA INTEGRATED CARE NHS FOUNDATION TRUST</v>
      </c>
      <c r="E178" s="43">
        <v>575</v>
      </c>
    </row>
    <row r="179" spans="1:5" x14ac:dyDescent="0.3">
      <c r="A179" s="41" t="s">
        <v>1667</v>
      </c>
      <c r="B179" s="42" t="s">
        <v>1692</v>
      </c>
      <c r="C179" s="43" t="s">
        <v>1693</v>
      </c>
      <c r="D179" s="43" t="str">
        <f t="shared" si="2"/>
        <v>DONCASTER AND BASSETLAW TEACHING HOSPITALS NHS FOUNDATION TRUST</v>
      </c>
      <c r="E179" s="43">
        <v>798</v>
      </c>
    </row>
    <row r="180" spans="1:5" x14ac:dyDescent="0.3">
      <c r="A180" s="41" t="s">
        <v>1667</v>
      </c>
      <c r="B180" s="42" t="s">
        <v>1694</v>
      </c>
      <c r="C180" s="43" t="s">
        <v>1695</v>
      </c>
      <c r="D180" s="43" t="str">
        <f t="shared" si="2"/>
        <v>GATESHEAD HEALTH NHS FOUNDATION TRUST</v>
      </c>
      <c r="E180" s="43">
        <v>456</v>
      </c>
    </row>
    <row r="181" spans="1:5" x14ac:dyDescent="0.3">
      <c r="A181" s="41" t="s">
        <v>1667</v>
      </c>
      <c r="B181" s="42" t="s">
        <v>1696</v>
      </c>
      <c r="C181" s="43" t="s">
        <v>1697</v>
      </c>
      <c r="D181" s="43" t="str">
        <f t="shared" si="2"/>
        <v>LEEDS TEACHING HOSPITALS NHS TRUST</v>
      </c>
      <c r="E181" s="44">
        <v>1685</v>
      </c>
    </row>
    <row r="182" spans="1:5" x14ac:dyDescent="0.3">
      <c r="A182" s="41" t="s">
        <v>1667</v>
      </c>
      <c r="B182" s="42" t="s">
        <v>1698</v>
      </c>
      <c r="C182" s="43" t="s">
        <v>1699</v>
      </c>
      <c r="D182" s="43" t="str">
        <f t="shared" si="2"/>
        <v>THE NEWCASTLE UPON TYNE HOSPITALS NHS FOUNDATION TRUST</v>
      </c>
      <c r="E182" s="44">
        <v>1289</v>
      </c>
    </row>
    <row r="183" spans="1:5" x14ac:dyDescent="0.3">
      <c r="A183" s="41" t="s">
        <v>1667</v>
      </c>
      <c r="B183" s="42" t="s">
        <v>1700</v>
      </c>
      <c r="C183" s="43" t="s">
        <v>1701</v>
      </c>
      <c r="D183" s="43" t="str">
        <f t="shared" si="2"/>
        <v>NORTHUMBRIA HEALTHCARE NHS FOUNDATION TRUST</v>
      </c>
      <c r="E183" s="43">
        <v>808</v>
      </c>
    </row>
    <row r="184" spans="1:5" x14ac:dyDescent="0.3">
      <c r="A184" s="41" t="s">
        <v>1667</v>
      </c>
      <c r="B184" s="42" t="s">
        <v>1702</v>
      </c>
      <c r="C184" s="43" t="s">
        <v>1703</v>
      </c>
      <c r="D184" s="43" t="str">
        <f t="shared" si="2"/>
        <v>SOUTH TEES HOSPITALS NHS FOUNDATION TRUST</v>
      </c>
      <c r="E184" s="43">
        <v>752</v>
      </c>
    </row>
    <row r="185" spans="1:5" x14ac:dyDescent="0.3">
      <c r="A185" s="41" t="s">
        <v>1667</v>
      </c>
      <c r="B185" s="42" t="s">
        <v>1704</v>
      </c>
      <c r="C185" s="43" t="s">
        <v>1705</v>
      </c>
      <c r="D185" s="43" t="str">
        <f t="shared" si="2"/>
        <v>HUMBER TEACHING NHS FOUNDATION TRUST</v>
      </c>
      <c r="E185" s="43">
        <v>208</v>
      </c>
    </row>
    <row r="186" spans="1:5" x14ac:dyDescent="0.3">
      <c r="A186" s="41" t="s">
        <v>1667</v>
      </c>
      <c r="B186" s="42" t="s">
        <v>1706</v>
      </c>
      <c r="C186" s="43" t="s">
        <v>1707</v>
      </c>
      <c r="D186" s="43" t="str">
        <f t="shared" si="2"/>
        <v>NORTH TEES AND HARTLEPOOL NHS FOUNDATION TRUST</v>
      </c>
      <c r="E186" s="43">
        <v>457</v>
      </c>
    </row>
    <row r="187" spans="1:5" x14ac:dyDescent="0.3">
      <c r="A187" s="41" t="s">
        <v>1667</v>
      </c>
      <c r="B187" s="42" t="s">
        <v>1708</v>
      </c>
      <c r="C187" s="43" t="s">
        <v>1709</v>
      </c>
      <c r="D187" s="43" t="str">
        <f t="shared" si="2"/>
        <v>HULL UNIVERSITY TEACHING HOSPITALS NHS TRUST</v>
      </c>
      <c r="E187" s="44">
        <v>1020</v>
      </c>
    </row>
    <row r="188" spans="1:5" x14ac:dyDescent="0.3">
      <c r="A188" s="41" t="s">
        <v>1667</v>
      </c>
      <c r="B188" s="42" t="s">
        <v>1710</v>
      </c>
      <c r="C188" s="43" t="s">
        <v>1711</v>
      </c>
      <c r="D188" s="43" t="str">
        <f t="shared" si="2"/>
        <v>CALDERDALE AND HUDDERSFIELD NHS FOUNDATION TRUST</v>
      </c>
      <c r="E188" s="43">
        <v>668</v>
      </c>
    </row>
    <row r="189" spans="1:5" x14ac:dyDescent="0.3">
      <c r="A189" s="41" t="s">
        <v>1667</v>
      </c>
      <c r="B189" s="42" t="s">
        <v>1712</v>
      </c>
      <c r="C189" s="43" t="s">
        <v>1713</v>
      </c>
      <c r="D189" s="43" t="str">
        <f t="shared" si="2"/>
        <v>TEES, ESK AND WEAR VALLEYS NHS FOUNDATION TRUST</v>
      </c>
      <c r="E189" s="43">
        <v>785</v>
      </c>
    </row>
    <row r="190" spans="1:5" x14ac:dyDescent="0.3">
      <c r="A190" s="41" t="s">
        <v>1667</v>
      </c>
      <c r="B190" s="42" t="s">
        <v>1714</v>
      </c>
      <c r="C190" s="43" t="s">
        <v>1715</v>
      </c>
      <c r="D190" s="43" t="str">
        <f t="shared" si="2"/>
        <v>CUMBRIA, NORTHUMBERLAND, TYNE AND WEAR NHS FOUNDATION TRUST</v>
      </c>
      <c r="E190" s="43">
        <v>783</v>
      </c>
    </row>
    <row r="191" spans="1:5" x14ac:dyDescent="0.3">
      <c r="A191" s="41" t="s">
        <v>1667</v>
      </c>
      <c r="B191" s="42" t="s">
        <v>1716</v>
      </c>
      <c r="C191" s="43" t="s">
        <v>1717</v>
      </c>
      <c r="D191" s="43" t="str">
        <f t="shared" si="2"/>
        <v>ROTHERHAM DONCASTER AND SOUTH HUMBER NHS FOUNDATION TRUST</v>
      </c>
      <c r="E191" s="43">
        <v>323</v>
      </c>
    </row>
    <row r="192" spans="1:5" x14ac:dyDescent="0.3">
      <c r="A192" s="41" t="s">
        <v>1667</v>
      </c>
      <c r="B192" s="42" t="s">
        <v>1718</v>
      </c>
      <c r="C192" s="43" t="s">
        <v>1719</v>
      </c>
      <c r="D192" s="43" t="str">
        <f t="shared" si="2"/>
        <v>MID YORKSHIRE HOSPITALS NHS TRUST</v>
      </c>
      <c r="E192" s="43">
        <v>960</v>
      </c>
    </row>
    <row r="193" spans="1:5" x14ac:dyDescent="0.3">
      <c r="A193" s="41" t="s">
        <v>1667</v>
      </c>
      <c r="B193" s="42" t="s">
        <v>1720</v>
      </c>
      <c r="C193" s="43" t="s">
        <v>1721</v>
      </c>
      <c r="D193" s="43" t="str">
        <f t="shared" si="2"/>
        <v>SOUTH WEST YORKSHIRE PARTNERSHIP NHS FOUNDATION TRUST</v>
      </c>
      <c r="E193" s="43">
        <v>471</v>
      </c>
    </row>
    <row r="194" spans="1:5" x14ac:dyDescent="0.3">
      <c r="A194" s="41" t="s">
        <v>1667</v>
      </c>
      <c r="B194" s="42" t="s">
        <v>1722</v>
      </c>
      <c r="C194" s="43" t="s">
        <v>1723</v>
      </c>
      <c r="D194" s="43" t="str">
        <f t="shared" si="2"/>
        <v>COUNTY DURHAM AND DARLINGTON NHS FOUNDATION TRUST</v>
      </c>
      <c r="E194" s="43">
        <v>918</v>
      </c>
    </row>
    <row r="195" spans="1:5" x14ac:dyDescent="0.3">
      <c r="A195" s="41" t="s">
        <v>1667</v>
      </c>
      <c r="B195" s="42" t="s">
        <v>1724</v>
      </c>
      <c r="C195" s="43" t="s">
        <v>1725</v>
      </c>
      <c r="D195" s="43" t="str">
        <f t="shared" si="2"/>
        <v>LEEDS COMMUNITY HEALTHCARE NHS TRUST</v>
      </c>
      <c r="E195" s="43">
        <v>8</v>
      </c>
    </row>
    <row r="196" spans="1:5" x14ac:dyDescent="0.3">
      <c r="A196" s="41" t="s">
        <v>1667</v>
      </c>
      <c r="B196" s="42" t="s">
        <v>1726</v>
      </c>
      <c r="C196" s="43" t="s">
        <v>1727</v>
      </c>
      <c r="D196" s="43" t="str">
        <f t="shared" ref="D196:D197" si="3">TRIM(C196)</f>
        <v>BRADFORD DISTRICT CARE NHS FOUNDATION TRUST</v>
      </c>
      <c r="E196" s="43">
        <v>206</v>
      </c>
    </row>
    <row r="197" spans="1:5" x14ac:dyDescent="0.3">
      <c r="A197" s="45" t="s">
        <v>1667</v>
      </c>
      <c r="B197" s="46" t="s">
        <v>1728</v>
      </c>
      <c r="C197" s="47" t="s">
        <v>1729</v>
      </c>
      <c r="D197" s="47" t="str">
        <f t="shared" si="3"/>
        <v>SHEFFIELD HEALTH &amp; SOCIAL CARE NHS FOUNDATION TRUST</v>
      </c>
      <c r="E197" s="47">
        <v>159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EE8A2-421F-48DA-BD38-D25BBF839146}">
  <sheetPr>
    <tabColor theme="9" tint="0.79998168889431442"/>
  </sheetPr>
  <dimension ref="A1:H82"/>
  <sheetViews>
    <sheetView workbookViewId="0">
      <selection sqref="A1:XFD1048576"/>
    </sheetView>
  </sheetViews>
  <sheetFormatPr defaultRowHeight="14.5" x14ac:dyDescent="0.35"/>
  <cols>
    <col min="1" max="1" width="57.1796875" bestFit="1" customWidth="1"/>
    <col min="2" max="2" width="42.1796875" customWidth="1"/>
    <col min="3" max="3" width="37" customWidth="1"/>
    <col min="4" max="5" width="30" customWidth="1"/>
    <col min="7" max="7" width="41.26953125" customWidth="1"/>
    <col min="8" max="8" width="30.81640625" customWidth="1"/>
  </cols>
  <sheetData>
    <row r="1" spans="1:8" x14ac:dyDescent="0.35">
      <c r="A1" t="s">
        <v>1330</v>
      </c>
      <c r="B1" s="39">
        <v>44140</v>
      </c>
    </row>
    <row r="3" spans="1:8" s="3" customFormat="1" x14ac:dyDescent="0.35">
      <c r="A3" s="32" t="s">
        <v>1315</v>
      </c>
      <c r="B3" s="30" t="s">
        <v>1328</v>
      </c>
      <c r="C3" s="30" t="s">
        <v>1329</v>
      </c>
      <c r="D3" s="32" t="s">
        <v>1331</v>
      </c>
      <c r="E3" s="74" t="s">
        <v>548</v>
      </c>
      <c r="G3" s="29" t="s">
        <v>1734</v>
      </c>
      <c r="H3" s="31" t="s">
        <v>1735</v>
      </c>
    </row>
    <row r="4" spans="1:8" s="3" customFormat="1" x14ac:dyDescent="0.35">
      <c r="A4" s="36" t="s">
        <v>546</v>
      </c>
      <c r="B4" s="37">
        <f>VLOOKUP(A4,'March to Aug Data'!C:D,2,)</f>
        <v>18970</v>
      </c>
      <c r="C4" s="37">
        <f>INDEX('Sep to Nov Data'!$E$4:$CZ$488,MATCH(Analysis!A4,'Sep to Nov Data'!$C$4:$C$488,0),MATCH(Analysis!$B$1,'Sep to Nov Data'!$E$3:$CZ$3,0))</f>
        <v>10994</v>
      </c>
      <c r="D4" s="75">
        <f t="shared" ref="D4:D35" si="0">C4/B4</f>
        <v>0.57954665260938321</v>
      </c>
      <c r="E4" s="75" t="str">
        <f>IFERROR(INDEX('March to Aug Data'!$A:$A,MATCH(Analysis!A4,'March to Aug Data'!$C:$C,0),1),"-")</f>
        <v>-</v>
      </c>
      <c r="G4" s="59">
        <f>B4/VLOOKUP($A4,'Estimated Hospital Beds'!$D:$E,2,)</f>
        <v>0.160154667026881</v>
      </c>
      <c r="H4" s="38">
        <f>C4/VLOOKUP($A4,'Estimated Hospital Beds'!$D:$E,2,)</f>
        <v>9.2817101175199243E-2</v>
      </c>
    </row>
    <row r="5" spans="1:8" x14ac:dyDescent="0.35">
      <c r="A5" s="34" t="s">
        <v>293</v>
      </c>
      <c r="B5" s="9">
        <f>VLOOKUP(A5,'March to Aug Data'!C:D,2,)</f>
        <v>71</v>
      </c>
      <c r="C5" s="9">
        <f>INDEX('Sep to Nov Data'!$E$4:$CZ$488,MATCH(Analysis!A5,'Sep to Nov Data'!$C$4:$C$488,0),MATCH(Analysis!$B$1,'Sep to Nov Data'!$E$3:$CZ$3,0))</f>
        <v>167</v>
      </c>
      <c r="D5" s="76">
        <f t="shared" si="0"/>
        <v>2.352112676056338</v>
      </c>
      <c r="E5" s="27" t="str">
        <f>IFERROR(INDEX('March to Aug Data'!$A:$A,MATCH(Analysis!A5,'March to Aug Data'!$C:$C,0),1),"-")</f>
        <v>North East and Yorkshire</v>
      </c>
      <c r="G5" s="55">
        <f>B5/VLOOKUP($A5,'Estimated Hospital Beds'!$D:$E,2,)</f>
        <v>0.17317073170731706</v>
      </c>
      <c r="H5" s="56">
        <f>C5/VLOOKUP($A5,'Estimated Hospital Beds'!$D:$E,2,)</f>
        <v>0.40731707317073168</v>
      </c>
    </row>
    <row r="6" spans="1:8" x14ac:dyDescent="0.35">
      <c r="A6" s="34" t="s">
        <v>305</v>
      </c>
      <c r="B6" s="9">
        <f>VLOOKUP(A6,'March to Aug Data'!C:D,2,)</f>
        <v>112</v>
      </c>
      <c r="C6" s="9">
        <f>INDEX('Sep to Nov Data'!$E$4:$CZ$488,MATCH(Analysis!A6,'Sep to Nov Data'!$C$4:$C$488,0),MATCH(Analysis!$B$1,'Sep to Nov Data'!$E$3:$CZ$3,0))</f>
        <v>191</v>
      </c>
      <c r="D6" s="76">
        <f t="shared" si="0"/>
        <v>1.7053571428571428</v>
      </c>
      <c r="E6" s="27" t="str">
        <f>IFERROR(INDEX('March to Aug Data'!$A:$A,MATCH(Analysis!A6,'March to Aug Data'!$C:$C,0),1),"-")</f>
        <v>North East and Yorkshire</v>
      </c>
      <c r="G6" s="55">
        <f>B6/VLOOKUP($A6,'Estimated Hospital Beds'!$D:$E,2,)</f>
        <v>0.14035087719298245</v>
      </c>
      <c r="H6" s="56">
        <f>C6/VLOOKUP($A6,'Estimated Hospital Beds'!$D:$E,2,)</f>
        <v>0.23934837092731828</v>
      </c>
    </row>
    <row r="7" spans="1:8" x14ac:dyDescent="0.35">
      <c r="A7" s="34" t="s">
        <v>242</v>
      </c>
      <c r="B7" s="9">
        <f>VLOOKUP(A7,'March to Aug Data'!C:D,2,)</f>
        <v>221</v>
      </c>
      <c r="C7" s="9">
        <f>INDEX('Sep to Nov Data'!$E$4:$CZ$488,MATCH(Analysis!A7,'Sep to Nov Data'!$C$4:$C$488,0),MATCH(Analysis!$B$1,'Sep to Nov Data'!$E$3:$CZ$3,0))</f>
        <v>287</v>
      </c>
      <c r="D7" s="76">
        <f t="shared" si="0"/>
        <v>1.2986425339366516</v>
      </c>
      <c r="E7" s="27" t="str">
        <f>IFERROR(INDEX('March to Aug Data'!$A:$A,MATCH(Analysis!A7,'March to Aug Data'!$C:$C,0),1),"-")</f>
        <v>Midlands</v>
      </c>
      <c r="G7" s="55">
        <f>B7/VLOOKUP($A7,'Estimated Hospital Beds'!$D:$E,2,)</f>
        <v>0.14616402116402116</v>
      </c>
      <c r="H7" s="56">
        <f>C7/VLOOKUP($A7,'Estimated Hospital Beds'!$D:$E,2,)</f>
        <v>0.18981481481481483</v>
      </c>
    </row>
    <row r="8" spans="1:8" x14ac:dyDescent="0.35">
      <c r="A8" s="34" t="s">
        <v>380</v>
      </c>
      <c r="B8" s="9">
        <f>VLOOKUP(A8,'March to Aug Data'!C:D,2,)</f>
        <v>98</v>
      </c>
      <c r="C8" s="9">
        <f>INDEX('Sep to Nov Data'!$E$4:$CZ$488,MATCH(Analysis!A8,'Sep to Nov Data'!$C$4:$C$488,0),MATCH(Analysis!$B$1,'Sep to Nov Data'!$E$3:$CZ$3,0))</f>
        <v>126</v>
      </c>
      <c r="D8" s="76">
        <f t="shared" si="0"/>
        <v>1.2857142857142858</v>
      </c>
      <c r="E8" s="27" t="str">
        <f>IFERROR(INDEX('March to Aug Data'!$A:$A,MATCH(Analysis!A8,'March to Aug Data'!$C:$C,0),1),"-")</f>
        <v>North West</v>
      </c>
      <c r="G8" s="55">
        <f>B8/VLOOKUP($A8,'Estimated Hospital Beds'!$D:$E,2,)</f>
        <v>0.17102966841186737</v>
      </c>
      <c r="H8" s="56">
        <f>C8/VLOOKUP($A8,'Estimated Hospital Beds'!$D:$E,2,)</f>
        <v>0.21989528795811519</v>
      </c>
    </row>
    <row r="9" spans="1:8" x14ac:dyDescent="0.35">
      <c r="A9" s="34" t="s">
        <v>319</v>
      </c>
      <c r="B9" s="9">
        <f>VLOOKUP(A9,'March to Aug Data'!C:D,2,)</f>
        <v>73</v>
      </c>
      <c r="C9" s="9">
        <f>INDEX('Sep to Nov Data'!$E$4:$CZ$488,MATCH(Analysis!A9,'Sep to Nov Data'!$C$4:$C$488,0),MATCH(Analysis!$B$1,'Sep to Nov Data'!$E$3:$CZ$3,0))</f>
        <v>112</v>
      </c>
      <c r="D9" s="76">
        <f t="shared" si="0"/>
        <v>1.5342465753424657</v>
      </c>
      <c r="E9" s="27" t="str">
        <f>IFERROR(INDEX('March to Aug Data'!$A:$A,MATCH(Analysis!A9,'March to Aug Data'!$C:$C,0),1),"-")</f>
        <v>North East and Yorkshire</v>
      </c>
      <c r="G9" s="55">
        <f>B9/VLOOKUP($A9,'Estimated Hospital Beds'!$D:$E,2,)</f>
        <v>0.15973741794310722</v>
      </c>
      <c r="H9" s="56">
        <f>C9/VLOOKUP($A9,'Estimated Hospital Beds'!$D:$E,2,)</f>
        <v>0.24507658643326038</v>
      </c>
    </row>
    <row r="10" spans="1:8" x14ac:dyDescent="0.35">
      <c r="A10" s="34" t="s">
        <v>198</v>
      </c>
      <c r="B10" s="9">
        <f>VLOOKUP(A10,'March to Aug Data'!C:D,2,)</f>
        <v>165</v>
      </c>
      <c r="C10" s="9">
        <f>INDEX('Sep to Nov Data'!$E$4:$CZ$488,MATCH(Analysis!A10,'Sep to Nov Data'!$C$4:$C$488,0),MATCH(Analysis!$B$1,'Sep to Nov Data'!$E$3:$CZ$3,0))</f>
        <v>214</v>
      </c>
      <c r="D10" s="76">
        <f t="shared" si="0"/>
        <v>1.2969696969696969</v>
      </c>
      <c r="E10" s="27" t="str">
        <f>IFERROR(INDEX('March to Aug Data'!$A:$A,MATCH(Analysis!A10,'March to Aug Data'!$C:$C,0),1),"-")</f>
        <v>Midlands</v>
      </c>
      <c r="G10" s="55">
        <f>B10/VLOOKUP($A10,'Estimated Hospital Beds'!$D:$E,2,)</f>
        <v>0.11506276150627615</v>
      </c>
      <c r="H10" s="56">
        <f>C10/VLOOKUP($A10,'Estimated Hospital Beds'!$D:$E,2,)</f>
        <v>0.14923291492329149</v>
      </c>
    </row>
    <row r="11" spans="1:8" x14ac:dyDescent="0.35">
      <c r="A11" s="34" t="s">
        <v>394</v>
      </c>
      <c r="B11" s="9">
        <f>VLOOKUP(A11,'March to Aug Data'!C:D,2,)</f>
        <v>262</v>
      </c>
      <c r="C11" s="9">
        <f>INDEX('Sep to Nov Data'!$E$4:$CZ$488,MATCH(Analysis!A11,'Sep to Nov Data'!$C$4:$C$488,0),MATCH(Analysis!$B$1,'Sep to Nov Data'!$E$3:$CZ$3,0))</f>
        <v>382</v>
      </c>
      <c r="D11" s="76">
        <f t="shared" si="0"/>
        <v>1.4580152671755726</v>
      </c>
      <c r="E11" s="27" t="str">
        <f>IFERROR(INDEX('March to Aug Data'!$A:$A,MATCH(Analysis!A11,'March to Aug Data'!$C:$C,0),1),"-")</f>
        <v>North West</v>
      </c>
      <c r="G11" s="55">
        <f>B11/VLOOKUP($A11,'Estimated Hospital Beds'!$D:$E,2,)</f>
        <v>0.22016806722689075</v>
      </c>
      <c r="H11" s="56">
        <f>C11/VLOOKUP($A11,'Estimated Hospital Beds'!$D:$E,2,)</f>
        <v>0.32100840336134456</v>
      </c>
    </row>
    <row r="12" spans="1:8" x14ac:dyDescent="0.35">
      <c r="A12" s="34" t="s">
        <v>309</v>
      </c>
      <c r="B12" s="9">
        <f>VLOOKUP(A12,'March to Aug Data'!C:D,2,)</f>
        <v>231</v>
      </c>
      <c r="C12" s="9">
        <f>INDEX('Sep to Nov Data'!$E$4:$CZ$488,MATCH(Analysis!A12,'Sep to Nov Data'!$C$4:$C$488,0),MATCH(Analysis!$B$1,'Sep to Nov Data'!$E$3:$CZ$3,0))</f>
        <v>277</v>
      </c>
      <c r="D12" s="76">
        <f t="shared" si="0"/>
        <v>1.1991341991341991</v>
      </c>
      <c r="E12" s="27" t="str">
        <f>IFERROR(INDEX('March to Aug Data'!$A:$A,MATCH(Analysis!A12,'March to Aug Data'!$C:$C,0),1),"-")</f>
        <v>North East and Yorkshire</v>
      </c>
      <c r="G12" s="55">
        <f>B12/VLOOKUP($A12,'Estimated Hospital Beds'!$D:$E,2,)</f>
        <v>0.13709198813056381</v>
      </c>
      <c r="H12" s="56">
        <f>C12/VLOOKUP($A12,'Estimated Hospital Beds'!$D:$E,2,)</f>
        <v>0.16439169139465876</v>
      </c>
    </row>
    <row r="13" spans="1:8" x14ac:dyDescent="0.35">
      <c r="A13" s="34" t="s">
        <v>398</v>
      </c>
      <c r="B13" s="9">
        <f>VLOOKUP(A13,'March to Aug Data'!C:D,2,)</f>
        <v>123</v>
      </c>
      <c r="C13" s="9">
        <f>INDEX('Sep to Nov Data'!$E$4:$CZ$488,MATCH(Analysis!A13,'Sep to Nov Data'!$C$4:$C$488,0),MATCH(Analysis!$B$1,'Sep to Nov Data'!$E$3:$CZ$3,0))</f>
        <v>155</v>
      </c>
      <c r="D13" s="76">
        <f t="shared" si="0"/>
        <v>1.2601626016260163</v>
      </c>
      <c r="E13" s="27" t="str">
        <f>IFERROR(INDEX('March to Aug Data'!$A:$A,MATCH(Analysis!A13,'March to Aug Data'!$C:$C,0),1),"-")</f>
        <v>North West</v>
      </c>
      <c r="G13" s="55">
        <f>B13/VLOOKUP($A13,'Estimated Hospital Beds'!$D:$E,2,)</f>
        <v>0.21964285714285714</v>
      </c>
      <c r="H13" s="56">
        <f>C13/VLOOKUP($A13,'Estimated Hospital Beds'!$D:$E,2,)</f>
        <v>0.2767857142857143</v>
      </c>
    </row>
    <row r="14" spans="1:8" x14ac:dyDescent="0.35">
      <c r="A14" s="34" t="s">
        <v>402</v>
      </c>
      <c r="B14" s="9">
        <f>VLOOKUP(A14,'March to Aug Data'!C:D,2,)</f>
        <v>146</v>
      </c>
      <c r="C14" s="9">
        <f>INDEX('Sep to Nov Data'!$E$4:$CZ$488,MATCH(Analysis!A14,'Sep to Nov Data'!$C$4:$C$488,0),MATCH(Analysis!$B$1,'Sep to Nov Data'!$E$3:$CZ$3,0))</f>
        <v>142</v>
      </c>
      <c r="D14" s="76">
        <f t="shared" si="0"/>
        <v>0.9726027397260274</v>
      </c>
      <c r="E14" s="27" t="str">
        <f>IFERROR(INDEX('March to Aug Data'!$A:$A,MATCH(Analysis!A14,'March to Aug Data'!$C:$C,0),1),"-")</f>
        <v>North West</v>
      </c>
      <c r="G14" s="55">
        <f>B14/VLOOKUP($A14,'Estimated Hospital Beds'!$D:$E,2,)</f>
        <v>0.21007194244604316</v>
      </c>
      <c r="H14" s="56">
        <f>C14/VLOOKUP($A14,'Estimated Hospital Beds'!$D:$E,2,)</f>
        <v>0.20431654676258992</v>
      </c>
    </row>
    <row r="15" spans="1:8" x14ac:dyDescent="0.35">
      <c r="A15" s="34" t="s">
        <v>362</v>
      </c>
      <c r="B15" s="9">
        <f>VLOOKUP(A15,'March to Aug Data'!C:D,2,)</f>
        <v>390</v>
      </c>
      <c r="C15" s="9">
        <f>INDEX('Sep to Nov Data'!$E$4:$CZ$488,MATCH(Analysis!A15,'Sep to Nov Data'!$C$4:$C$488,0),MATCH(Analysis!$B$1,'Sep to Nov Data'!$E$3:$CZ$3,0))</f>
        <v>413</v>
      </c>
      <c r="D15" s="76">
        <f t="shared" si="0"/>
        <v>1.058974358974359</v>
      </c>
      <c r="E15" s="27" t="str">
        <f>IFERROR(INDEX('March to Aug Data'!$A:$A,MATCH(Analysis!A15,'March to Aug Data'!$C:$C,0),1),"-")</f>
        <v>North West</v>
      </c>
      <c r="G15" s="55">
        <f>B15/VLOOKUP($A15,'Estimated Hospital Beds'!$D:$E,2,)</f>
        <v>0.2445141065830721</v>
      </c>
      <c r="H15" s="56">
        <f>C15/VLOOKUP($A15,'Estimated Hospital Beds'!$D:$E,2,)</f>
        <v>0.25893416927899687</v>
      </c>
    </row>
    <row r="16" spans="1:8" x14ac:dyDescent="0.35">
      <c r="A16" s="34" t="s">
        <v>406</v>
      </c>
      <c r="B16" s="9">
        <f>VLOOKUP(A16,'March to Aug Data'!C:D,2,)</f>
        <v>184</v>
      </c>
      <c r="C16" s="9">
        <f>INDEX('Sep to Nov Data'!$E$4:$CZ$488,MATCH(Analysis!A16,'Sep to Nov Data'!$C$4:$C$488,0),MATCH(Analysis!$B$1,'Sep to Nov Data'!$E$3:$CZ$3,0))</f>
        <v>204</v>
      </c>
      <c r="D16" s="76">
        <f t="shared" si="0"/>
        <v>1.1086956521739131</v>
      </c>
      <c r="E16" s="27" t="str">
        <f>IFERROR(INDEX('March to Aug Data'!$A:$A,MATCH(Analysis!A16,'March to Aug Data'!$C:$C,0),1),"-")</f>
        <v>North West</v>
      </c>
      <c r="G16" s="55">
        <f>B16/VLOOKUP($A16,'Estimated Hospital Beds'!$D:$E,2,)</f>
        <v>0.1997828447339848</v>
      </c>
      <c r="H16" s="56">
        <f>C16/VLOOKUP($A16,'Estimated Hospital Beds'!$D:$E,2,)</f>
        <v>0.22149837133550487</v>
      </c>
    </row>
    <row r="17" spans="1:8" x14ac:dyDescent="0.35">
      <c r="A17" s="34" t="s">
        <v>331</v>
      </c>
      <c r="B17" s="9">
        <f>VLOOKUP(A17,'March to Aug Data'!C:D,2,)</f>
        <v>170</v>
      </c>
      <c r="C17" s="9">
        <f>INDEX('Sep to Nov Data'!$E$4:$CZ$488,MATCH(Analysis!A17,'Sep to Nov Data'!$C$4:$C$488,0),MATCH(Analysis!$B$1,'Sep to Nov Data'!$E$3:$CZ$3,0))</f>
        <v>243</v>
      </c>
      <c r="D17" s="76">
        <f t="shared" si="0"/>
        <v>1.4294117647058824</v>
      </c>
      <c r="E17" s="27" t="str">
        <f>IFERROR(INDEX('March to Aug Data'!$A:$A,MATCH(Analysis!A17,'March to Aug Data'!$C:$C,0),1),"-")</f>
        <v>North East and Yorkshire</v>
      </c>
      <c r="G17" s="55">
        <f>B17/VLOOKUP($A17,'Estimated Hospital Beds'!$D:$E,2,)</f>
        <v>0.17708333333333334</v>
      </c>
      <c r="H17" s="56">
        <f>C17/VLOOKUP($A17,'Estimated Hospital Beds'!$D:$E,2,)</f>
        <v>0.25312499999999999</v>
      </c>
    </row>
    <row r="18" spans="1:8" x14ac:dyDescent="0.35">
      <c r="A18" s="34" t="s">
        <v>378</v>
      </c>
      <c r="B18" s="9">
        <f>VLOOKUP(A18,'March to Aug Data'!C:D,2,)</f>
        <v>88</v>
      </c>
      <c r="C18" s="9">
        <f>INDEX('Sep to Nov Data'!$E$4:$CZ$488,MATCH(Analysis!A18,'Sep to Nov Data'!$C$4:$C$488,0),MATCH(Analysis!$B$1,'Sep to Nov Data'!$E$3:$CZ$3,0))</f>
        <v>84</v>
      </c>
      <c r="D18" s="76">
        <f t="shared" si="0"/>
        <v>0.95454545454545459</v>
      </c>
      <c r="E18" s="27" t="str">
        <f>IFERROR(INDEX('March to Aug Data'!$A:$A,MATCH(Analysis!A18,'March to Aug Data'!$C:$C,0),1),"-")</f>
        <v>North West</v>
      </c>
      <c r="G18" s="55">
        <f>B18/VLOOKUP($A18,'Estimated Hospital Beds'!$D:$E,2,)</f>
        <v>0.19340659340659341</v>
      </c>
      <c r="H18" s="56">
        <f>C18/VLOOKUP($A18,'Estimated Hospital Beds'!$D:$E,2,)</f>
        <v>0.18461538461538463</v>
      </c>
    </row>
    <row r="19" spans="1:8" x14ac:dyDescent="0.35">
      <c r="A19" s="34" t="s">
        <v>374</v>
      </c>
      <c r="B19" s="9">
        <f>VLOOKUP(A19,'March to Aug Data'!C:D,2,)</f>
        <v>136</v>
      </c>
      <c r="C19" s="26">
        <f>INDEX('Sep to Nov Data'!$E$4:$CZ$488,MATCH(Analysis!A19,'Sep to Nov Data'!$C$4:$C$488,0),MATCH(Analysis!$B$1,'Sep to Nov Data'!$E$3:$CZ$3,0))</f>
        <v>0</v>
      </c>
      <c r="D19" s="76">
        <f t="shared" si="0"/>
        <v>0</v>
      </c>
      <c r="E19" s="27" t="str">
        <f>IFERROR(INDEX('March to Aug Data'!$A:$A,MATCH(Analysis!A19,'March to Aug Data'!$C:$C,0),1),"-")</f>
        <v>North West</v>
      </c>
      <c r="G19" s="55">
        <f>B19/VLOOKUP($A19,'Estimated Hospital Beds'!$D:$E,2,)</f>
        <v>0.19484240687679083</v>
      </c>
      <c r="H19" s="56">
        <f>C19/VLOOKUP($A19,'Estimated Hospital Beds'!$D:$E,2,)</f>
        <v>0</v>
      </c>
    </row>
    <row r="20" spans="1:8" x14ac:dyDescent="0.35">
      <c r="A20" s="34" t="s">
        <v>301</v>
      </c>
      <c r="B20" s="9">
        <f>VLOOKUP(A20,'March to Aug Data'!C:D,2,)</f>
        <v>75</v>
      </c>
      <c r="C20" s="9">
        <f>INDEX('Sep to Nov Data'!$E$4:$CZ$488,MATCH(Analysis!A20,'Sep to Nov Data'!$C$4:$C$488,0),MATCH(Analysis!$B$1,'Sep to Nov Data'!$E$3:$CZ$3,0))</f>
        <v>98</v>
      </c>
      <c r="D20" s="76">
        <f t="shared" si="0"/>
        <v>1.3066666666666666</v>
      </c>
      <c r="E20" s="27" t="str">
        <f>IFERROR(INDEX('March to Aug Data'!$A:$A,MATCH(Analysis!A20,'March to Aug Data'!$C:$C,0),1),"-")</f>
        <v>North East and Yorkshire</v>
      </c>
      <c r="G20" s="55">
        <f>B20/VLOOKUP($A20,'Estimated Hospital Beds'!$D:$E,2,)</f>
        <v>0.11450381679389313</v>
      </c>
      <c r="H20" s="56">
        <f>C20/VLOOKUP($A20,'Estimated Hospital Beds'!$D:$E,2,)</f>
        <v>0.14961832061068703</v>
      </c>
    </row>
    <row r="21" spans="1:8" x14ac:dyDescent="0.35">
      <c r="A21" s="34" t="s">
        <v>404</v>
      </c>
      <c r="B21" s="9">
        <f>VLOOKUP(A21,'March to Aug Data'!C:D,2,)</f>
        <v>142</v>
      </c>
      <c r="C21" s="9">
        <f>INDEX('Sep to Nov Data'!$E$4:$CZ$488,MATCH(Analysis!A21,'Sep to Nov Data'!$C$4:$C$488,0),MATCH(Analysis!$B$1,'Sep to Nov Data'!$E$3:$CZ$3,0))</f>
        <v>135</v>
      </c>
      <c r="D21" s="76">
        <f t="shared" si="0"/>
        <v>0.95070422535211263</v>
      </c>
      <c r="E21" s="27" t="str">
        <f>IFERROR(INDEX('March to Aug Data'!$A:$A,MATCH(Analysis!A21,'March to Aug Data'!$C:$C,0),1),"-")</f>
        <v>North West</v>
      </c>
      <c r="G21" s="55">
        <f>B21/VLOOKUP($A21,'Estimated Hospital Beds'!$D:$E,2,)</f>
        <v>0.21385542168674698</v>
      </c>
      <c r="H21" s="56">
        <f>C21/VLOOKUP($A21,'Estimated Hospital Beds'!$D:$E,2,)</f>
        <v>0.2033132530120482</v>
      </c>
    </row>
    <row r="22" spans="1:8" x14ac:dyDescent="0.35">
      <c r="A22" s="34" t="s">
        <v>386</v>
      </c>
      <c r="B22" s="9">
        <f>VLOOKUP(A22,'March to Aug Data'!C:D,2,)</f>
        <v>147</v>
      </c>
      <c r="C22" s="9">
        <f>INDEX('Sep to Nov Data'!$E$4:$CZ$488,MATCH(Analysis!A22,'Sep to Nov Data'!$C$4:$C$488,0),MATCH(Analysis!$B$1,'Sep to Nov Data'!$E$3:$CZ$3,0))</f>
        <v>136</v>
      </c>
      <c r="D22" s="76">
        <f t="shared" si="0"/>
        <v>0.92517006802721091</v>
      </c>
      <c r="E22" s="27" t="str">
        <f>IFERROR(INDEX('March to Aug Data'!$A:$A,MATCH(Analysis!A22,'March to Aug Data'!$C:$C,0),1),"-")</f>
        <v>North West</v>
      </c>
      <c r="G22" s="55">
        <f>B22/VLOOKUP($A22,'Estimated Hospital Beds'!$D:$E,2,)</f>
        <v>0.2286158631415241</v>
      </c>
      <c r="H22" s="56">
        <f>C22/VLOOKUP($A22,'Estimated Hospital Beds'!$D:$E,2,)</f>
        <v>0.21150855365474339</v>
      </c>
    </row>
    <row r="23" spans="1:8" x14ac:dyDescent="0.35">
      <c r="A23" s="34" t="s">
        <v>307</v>
      </c>
      <c r="B23" s="9">
        <f>VLOOKUP(A23,'March to Aug Data'!C:D,2,)</f>
        <v>124</v>
      </c>
      <c r="C23" s="9">
        <f>INDEX('Sep to Nov Data'!$E$4:$CZ$488,MATCH(Analysis!A23,'Sep to Nov Data'!$C$4:$C$488,0),MATCH(Analysis!$B$1,'Sep to Nov Data'!$E$3:$CZ$3,0))</f>
        <v>114</v>
      </c>
      <c r="D23" s="76">
        <f t="shared" si="0"/>
        <v>0.91935483870967738</v>
      </c>
      <c r="E23" s="27" t="str">
        <f>IFERROR(INDEX('March to Aug Data'!$A:$A,MATCH(Analysis!A23,'March to Aug Data'!$C:$C,0),1),"-")</f>
        <v>North East and Yorkshire</v>
      </c>
      <c r="G23" s="55">
        <f>B23/VLOOKUP($A23,'Estimated Hospital Beds'!$D:$E,2,)</f>
        <v>0.27192982456140352</v>
      </c>
      <c r="H23" s="56">
        <f>C23/VLOOKUP($A23,'Estimated Hospital Beds'!$D:$E,2,)</f>
        <v>0.25</v>
      </c>
    </row>
    <row r="24" spans="1:8" x14ac:dyDescent="0.35">
      <c r="A24" s="34" t="s">
        <v>396</v>
      </c>
      <c r="B24" s="9">
        <f>VLOOKUP(A24,'March to Aug Data'!C:D,2,)</f>
        <v>137</v>
      </c>
      <c r="C24" s="9">
        <f>INDEX('Sep to Nov Data'!$E$4:$CZ$488,MATCH(Analysis!A24,'Sep to Nov Data'!$C$4:$C$488,0),MATCH(Analysis!$B$1,'Sep to Nov Data'!$E$3:$CZ$3,0))</f>
        <v>138</v>
      </c>
      <c r="D24" s="76">
        <f t="shared" si="0"/>
        <v>1.0072992700729928</v>
      </c>
      <c r="E24" s="27" t="str">
        <f>IFERROR(INDEX('March to Aug Data'!$A:$A,MATCH(Analysis!A24,'March to Aug Data'!$C:$C,0),1),"-")</f>
        <v>North West</v>
      </c>
      <c r="G24" s="55">
        <f>B24/VLOOKUP($A24,'Estimated Hospital Beds'!$D:$E,2,)</f>
        <v>0.26499032882011603</v>
      </c>
      <c r="H24" s="56">
        <f>C24/VLOOKUP($A24,'Estimated Hospital Beds'!$D:$E,2,)</f>
        <v>0.26692456479690524</v>
      </c>
    </row>
    <row r="25" spans="1:8" x14ac:dyDescent="0.35">
      <c r="A25" s="34" t="s">
        <v>323</v>
      </c>
      <c r="B25" s="9">
        <f>VLOOKUP(A25,'March to Aug Data'!C:D,2,)</f>
        <v>125</v>
      </c>
      <c r="C25" s="9">
        <f>INDEX('Sep to Nov Data'!$E$4:$CZ$488,MATCH(Analysis!A25,'Sep to Nov Data'!$C$4:$C$488,0),MATCH(Analysis!$B$1,'Sep to Nov Data'!$E$3:$CZ$3,0))</f>
        <v>107</v>
      </c>
      <c r="D25" s="76">
        <f t="shared" si="0"/>
        <v>0.85599999999999998</v>
      </c>
      <c r="E25" s="27" t="str">
        <f>IFERROR(INDEX('March to Aug Data'!$A:$A,MATCH(Analysis!A25,'March to Aug Data'!$C:$C,0),1),"-")</f>
        <v>North East and Yorkshire</v>
      </c>
      <c r="G25" s="55">
        <f>B25/VLOOKUP($A25,'Estimated Hospital Beds'!$D:$E,2,)</f>
        <v>0.18712574850299402</v>
      </c>
      <c r="H25" s="56">
        <f>C25/VLOOKUP($A25,'Estimated Hospital Beds'!$D:$E,2,)</f>
        <v>0.16017964071856289</v>
      </c>
    </row>
    <row r="26" spans="1:8" x14ac:dyDescent="0.35">
      <c r="A26" s="34" t="s">
        <v>117</v>
      </c>
      <c r="B26" s="9">
        <f>VLOOKUP(A26,'March to Aug Data'!C:D,2,)</f>
        <v>49</v>
      </c>
      <c r="C26" s="9">
        <f>INDEX('Sep to Nov Data'!$E$4:$CZ$488,MATCH(Analysis!A26,'Sep to Nov Data'!$C$4:$C$488,0),MATCH(Analysis!$B$1,'Sep to Nov Data'!$E$3:$CZ$3,0))</f>
        <v>41</v>
      </c>
      <c r="D26" s="76">
        <f t="shared" si="0"/>
        <v>0.83673469387755106</v>
      </c>
      <c r="E26" s="27" t="str">
        <f>IFERROR(INDEX('March to Aug Data'!$A:$A,MATCH(Analysis!A26,'March to Aug Data'!$C:$C,0),1),"-")</f>
        <v>London</v>
      </c>
      <c r="G26" s="55">
        <f>B26/VLOOKUP($A26,'Estimated Hospital Beds'!$D:$E,2,)</f>
        <v>0.11187214611872145</v>
      </c>
      <c r="H26" s="56">
        <f>C26/VLOOKUP($A26,'Estimated Hospital Beds'!$D:$E,2,)</f>
        <v>9.3607305936073054E-2</v>
      </c>
    </row>
    <row r="27" spans="1:8" x14ac:dyDescent="0.35">
      <c r="A27" s="34" t="s">
        <v>321</v>
      </c>
      <c r="B27" s="9">
        <f>VLOOKUP(A27,'March to Aug Data'!C:D,2,)</f>
        <v>112</v>
      </c>
      <c r="C27" s="9">
        <f>INDEX('Sep to Nov Data'!$E$4:$CZ$488,MATCH(Analysis!A27,'Sep to Nov Data'!$C$4:$C$488,0),MATCH(Analysis!$B$1,'Sep to Nov Data'!$E$3:$CZ$3,0))</f>
        <v>119</v>
      </c>
      <c r="D27" s="76">
        <f t="shared" si="0"/>
        <v>1.0625</v>
      </c>
      <c r="E27" s="27" t="str">
        <f>IFERROR(INDEX('March to Aug Data'!$A:$A,MATCH(Analysis!A27,'March to Aug Data'!$C:$C,0),1),"-")</f>
        <v>North East and Yorkshire</v>
      </c>
      <c r="G27" s="55">
        <f>B27/VLOOKUP($A27,'Estimated Hospital Beds'!$D:$E,2,)</f>
        <v>0.10980392156862745</v>
      </c>
      <c r="H27" s="56">
        <f>C27/VLOOKUP($A27,'Estimated Hospital Beds'!$D:$E,2,)</f>
        <v>0.11666666666666667</v>
      </c>
    </row>
    <row r="28" spans="1:8" x14ac:dyDescent="0.35">
      <c r="A28" s="34" t="s">
        <v>335</v>
      </c>
      <c r="B28" s="9">
        <f>VLOOKUP(A28,'March to Aug Data'!C:D,2,)</f>
        <v>135</v>
      </c>
      <c r="C28" s="9">
        <f>INDEX('Sep to Nov Data'!$E$4:$CZ$488,MATCH(Analysis!A28,'Sep to Nov Data'!$C$4:$C$488,0),MATCH(Analysis!$B$1,'Sep to Nov Data'!$E$3:$CZ$3,0))</f>
        <v>119</v>
      </c>
      <c r="D28" s="76">
        <f t="shared" si="0"/>
        <v>0.88148148148148153</v>
      </c>
      <c r="E28" s="27" t="str">
        <f>IFERROR(INDEX('March to Aug Data'!$A:$A,MATCH(Analysis!A28,'March to Aug Data'!$C:$C,0),1),"-")</f>
        <v>North East and Yorkshire</v>
      </c>
      <c r="G28" s="55">
        <f>B28/VLOOKUP($A28,'Estimated Hospital Beds'!$D:$E,2,)</f>
        <v>0.14705882352941177</v>
      </c>
      <c r="H28" s="56">
        <f>C28/VLOOKUP($A28,'Estimated Hospital Beds'!$D:$E,2,)</f>
        <v>0.12962962962962962</v>
      </c>
    </row>
    <row r="29" spans="1:8" x14ac:dyDescent="0.35">
      <c r="A29" s="34" t="s">
        <v>289</v>
      </c>
      <c r="B29" s="9">
        <f>VLOOKUP(A29,'March to Aug Data'!C:D,2,)</f>
        <v>73</v>
      </c>
      <c r="C29" s="9">
        <f>INDEX('Sep to Nov Data'!$E$4:$CZ$488,MATCH(Analysis!A29,'Sep to Nov Data'!$C$4:$C$488,0),MATCH(Analysis!$B$1,'Sep to Nov Data'!$E$3:$CZ$3,0))</f>
        <v>58</v>
      </c>
      <c r="D29" s="76">
        <f t="shared" si="0"/>
        <v>0.79452054794520544</v>
      </c>
      <c r="E29" s="27" t="str">
        <f>IFERROR(INDEX('March to Aug Data'!$A:$A,MATCH(Analysis!A29,'March to Aug Data'!$C:$C,0),1),"-")</f>
        <v>North East and Yorkshire</v>
      </c>
      <c r="G29" s="55">
        <f>B29/VLOOKUP($A29,'Estimated Hospital Beds'!$D:$E,2,)</f>
        <v>0.20165745856353592</v>
      </c>
      <c r="H29" s="56">
        <f>C29/VLOOKUP($A29,'Estimated Hospital Beds'!$D:$E,2,)</f>
        <v>0.16022099447513813</v>
      </c>
    </row>
    <row r="30" spans="1:8" x14ac:dyDescent="0.35">
      <c r="A30" s="34" t="s">
        <v>388</v>
      </c>
      <c r="B30" s="9">
        <f>VLOOKUP(A30,'March to Aug Data'!C:D,2,)</f>
        <v>114</v>
      </c>
      <c r="C30" s="9">
        <f>INDEX('Sep to Nov Data'!$E$4:$CZ$488,MATCH(Analysis!A30,'Sep to Nov Data'!$C$4:$C$488,0),MATCH(Analysis!$B$1,'Sep to Nov Data'!$E$3:$CZ$3,0))</f>
        <v>95</v>
      </c>
      <c r="D30" s="76">
        <f t="shared" si="0"/>
        <v>0.83333333333333337</v>
      </c>
      <c r="E30" s="27" t="str">
        <f>IFERROR(INDEX('March to Aug Data'!$A:$A,MATCH(Analysis!A30,'March to Aug Data'!$C:$C,0),1),"-")</f>
        <v>North West</v>
      </c>
      <c r="G30" s="55">
        <f>B30/VLOOKUP($A30,'Estimated Hospital Beds'!$D:$E,2,)</f>
        <v>0.24516129032258063</v>
      </c>
      <c r="H30" s="56">
        <f>C30/VLOOKUP($A30,'Estimated Hospital Beds'!$D:$E,2,)</f>
        <v>0.20430107526881722</v>
      </c>
    </row>
    <row r="31" spans="1:8" x14ac:dyDescent="0.35">
      <c r="A31" s="34" t="s">
        <v>352</v>
      </c>
      <c r="B31" s="9">
        <f>VLOOKUP(A31,'March to Aug Data'!C:D,2,)</f>
        <v>153</v>
      </c>
      <c r="C31" s="9">
        <f>INDEX('Sep to Nov Data'!$E$4:$CZ$488,MATCH(Analysis!A31,'Sep to Nov Data'!$C$4:$C$488,0),MATCH(Analysis!$B$1,'Sep to Nov Data'!$E$3:$CZ$3,0))</f>
        <v>105</v>
      </c>
      <c r="D31" s="76">
        <f t="shared" si="0"/>
        <v>0.68627450980392157</v>
      </c>
      <c r="E31" s="27" t="str">
        <f>IFERROR(INDEX('March to Aug Data'!$A:$A,MATCH(Analysis!A31,'March to Aug Data'!$C:$C,0),1),"-")</f>
        <v>North West</v>
      </c>
      <c r="G31" s="55">
        <f>B31/VLOOKUP($A31,'Estimated Hospital Beds'!$D:$E,2,)</f>
        <v>0.23181818181818181</v>
      </c>
      <c r="H31" s="56">
        <f>C31/VLOOKUP($A31,'Estimated Hospital Beds'!$D:$E,2,)</f>
        <v>0.15909090909090909</v>
      </c>
    </row>
    <row r="32" spans="1:8" x14ac:dyDescent="0.35">
      <c r="A32" s="34" t="s">
        <v>311</v>
      </c>
      <c r="B32" s="9">
        <f>VLOOKUP(A32,'March to Aug Data'!C:D,2,)</f>
        <v>144</v>
      </c>
      <c r="C32" s="9">
        <f>INDEX('Sep to Nov Data'!$E$4:$CZ$488,MATCH(Analysis!A32,'Sep to Nov Data'!$C$4:$C$488,0),MATCH(Analysis!$B$1,'Sep to Nov Data'!$E$3:$CZ$3,0))</f>
        <v>110</v>
      </c>
      <c r="D32" s="76">
        <f t="shared" si="0"/>
        <v>0.76388888888888884</v>
      </c>
      <c r="E32" s="27" t="str">
        <f>IFERROR(INDEX('March to Aug Data'!$A:$A,MATCH(Analysis!A32,'March to Aug Data'!$C:$C,0),1),"-")</f>
        <v>North East and Yorkshire</v>
      </c>
      <c r="G32" s="55">
        <f>B32/VLOOKUP($A32,'Estimated Hospital Beds'!$D:$E,2,)</f>
        <v>0.11171450737005431</v>
      </c>
      <c r="H32" s="56">
        <f>C32/VLOOKUP($A32,'Estimated Hospital Beds'!$D:$E,2,)</f>
        <v>8.5337470907680374E-2</v>
      </c>
    </row>
    <row r="33" spans="1:8" x14ac:dyDescent="0.35">
      <c r="A33" s="34" t="s">
        <v>538</v>
      </c>
      <c r="B33" s="9">
        <f>VLOOKUP(A33,'March to Aug Data'!C:D,2,)</f>
        <v>109</v>
      </c>
      <c r="C33" s="9">
        <f>INDEX('Sep to Nov Data'!$E$4:$CZ$488,MATCH(Analysis!A33,'Sep to Nov Data'!$C$4:$C$488,0),MATCH(Analysis!$B$1,'Sep to Nov Data'!$E$3:$CZ$3,0))</f>
        <v>82</v>
      </c>
      <c r="D33" s="76">
        <f t="shared" si="0"/>
        <v>0.75229357798165142</v>
      </c>
      <c r="E33" s="27" t="str">
        <f>IFERROR(INDEX('March to Aug Data'!$A:$A,MATCH(Analysis!A33,'March to Aug Data'!$C:$C,0),1),"-")</f>
        <v>South West</v>
      </c>
      <c r="G33" s="55">
        <f>B33/VLOOKUP($A33,'Estimated Hospital Beds'!$D:$E,2,)</f>
        <v>0.11682743837084673</v>
      </c>
      <c r="H33" s="56">
        <f>C33/VLOOKUP($A33,'Estimated Hospital Beds'!$D:$E,2,)</f>
        <v>8.7888531618435156E-2</v>
      </c>
    </row>
    <row r="34" spans="1:8" x14ac:dyDescent="0.35">
      <c r="A34" s="34" t="s">
        <v>234</v>
      </c>
      <c r="B34" s="9">
        <f>VLOOKUP(A34,'March to Aug Data'!C:D,2,)</f>
        <v>252</v>
      </c>
      <c r="C34" s="9">
        <f>INDEX('Sep to Nov Data'!$E$4:$CZ$488,MATCH(Analysis!A34,'Sep to Nov Data'!$C$4:$C$488,0),MATCH(Analysis!$B$1,'Sep to Nov Data'!$E$3:$CZ$3,0))</f>
        <v>217</v>
      </c>
      <c r="D34" s="76">
        <f t="shared" si="0"/>
        <v>0.86111111111111116</v>
      </c>
      <c r="E34" s="27" t="str">
        <f>IFERROR(INDEX('March to Aug Data'!$A:$A,MATCH(Analysis!A34,'March to Aug Data'!$C:$C,0),1),"-")</f>
        <v>Midlands</v>
      </c>
      <c r="G34" s="55">
        <f>B34/VLOOKUP($A34,'Estimated Hospital Beds'!$D:$E,2,)</f>
        <v>0.17771509167842031</v>
      </c>
      <c r="H34" s="56">
        <f>C34/VLOOKUP($A34,'Estimated Hospital Beds'!$D:$E,2,)</f>
        <v>0.1530324400564175</v>
      </c>
    </row>
    <row r="35" spans="1:8" x14ac:dyDescent="0.35">
      <c r="A35" s="34" t="s">
        <v>238</v>
      </c>
      <c r="B35" s="9">
        <f>VLOOKUP(A35,'March to Aug Data'!C:D,2,)</f>
        <v>204</v>
      </c>
      <c r="C35" s="9">
        <f>INDEX('Sep to Nov Data'!$E$4:$CZ$488,MATCH(Analysis!A35,'Sep to Nov Data'!$C$4:$C$488,0),MATCH(Analysis!$B$1,'Sep to Nov Data'!$E$3:$CZ$3,0))</f>
        <v>156</v>
      </c>
      <c r="D35" s="76">
        <f t="shared" si="0"/>
        <v>0.76470588235294112</v>
      </c>
      <c r="E35" s="27" t="str">
        <f>IFERROR(INDEX('March to Aug Data'!$A:$A,MATCH(Analysis!A35,'March to Aug Data'!$C:$C,0),1),"-")</f>
        <v>Midlands</v>
      </c>
      <c r="G35" s="55">
        <f>B35/VLOOKUP($A35,'Estimated Hospital Beds'!$D:$E,2,)</f>
        <v>0.12927756653992395</v>
      </c>
      <c r="H35" s="56">
        <f>C35/VLOOKUP($A35,'Estimated Hospital Beds'!$D:$E,2,)</f>
        <v>9.8859315589353611E-2</v>
      </c>
    </row>
    <row r="36" spans="1:8" x14ac:dyDescent="0.35">
      <c r="A36" s="34" t="s">
        <v>121</v>
      </c>
      <c r="B36" s="9">
        <f>VLOOKUP(A36,'March to Aug Data'!C:D,2,)</f>
        <v>245</v>
      </c>
      <c r="C36" s="9">
        <f>INDEX('Sep to Nov Data'!$E$4:$CZ$488,MATCH(Analysis!A36,'Sep to Nov Data'!$C$4:$C$488,0),MATCH(Analysis!$B$1,'Sep to Nov Data'!$E$3:$CZ$3,0))</f>
        <v>175</v>
      </c>
      <c r="D36" s="76">
        <f t="shared" ref="D36:D67" si="1">C36/B36</f>
        <v>0.7142857142857143</v>
      </c>
      <c r="E36" s="27" t="str">
        <f>IFERROR(INDEX('March to Aug Data'!$A:$A,MATCH(Analysis!A36,'March to Aug Data'!$C:$C,0),1),"-")</f>
        <v>London</v>
      </c>
      <c r="G36" s="55">
        <f>B36/VLOOKUP($A36,'Estimated Hospital Beds'!$D:$E,2,)</f>
        <v>0.24524524524524524</v>
      </c>
      <c r="H36" s="56">
        <f>C36/VLOOKUP($A36,'Estimated Hospital Beds'!$D:$E,2,)</f>
        <v>0.17517517517517517</v>
      </c>
    </row>
    <row r="37" spans="1:8" x14ac:dyDescent="0.35">
      <c r="A37" s="34" t="s">
        <v>299</v>
      </c>
      <c r="B37" s="9">
        <f>VLOOKUP(A37,'March to Aug Data'!C:D,2,)</f>
        <v>407</v>
      </c>
      <c r="C37" s="9">
        <f>INDEX('Sep to Nov Data'!$E$4:$CZ$488,MATCH(Analysis!A37,'Sep to Nov Data'!$C$4:$C$488,0),MATCH(Analysis!$B$1,'Sep to Nov Data'!$E$3:$CZ$3,0))</f>
        <v>291</v>
      </c>
      <c r="D37" s="76">
        <f t="shared" si="1"/>
        <v>0.71498771498771496</v>
      </c>
      <c r="E37" s="27" t="str">
        <f>IFERROR(INDEX('March to Aug Data'!$A:$A,MATCH(Analysis!A37,'March to Aug Data'!$C:$C,0),1),"-")</f>
        <v>North East and Yorkshire</v>
      </c>
      <c r="G37" s="55">
        <f>B37/VLOOKUP($A37,'Estimated Hospital Beds'!$D:$E,2,)</f>
        <v>0.28224687933425796</v>
      </c>
      <c r="H37" s="56">
        <f>C37/VLOOKUP($A37,'Estimated Hospital Beds'!$D:$E,2,)</f>
        <v>0.20180305131761442</v>
      </c>
    </row>
    <row r="38" spans="1:8" x14ac:dyDescent="0.35">
      <c r="A38" s="34" t="s">
        <v>283</v>
      </c>
      <c r="B38" s="9">
        <f>VLOOKUP(A38,'March to Aug Data'!C:D,2,)</f>
        <v>192</v>
      </c>
      <c r="C38" s="9">
        <f>INDEX('Sep to Nov Data'!$E$4:$CZ$488,MATCH(Analysis!A38,'Sep to Nov Data'!$C$4:$C$488,0),MATCH(Analysis!$B$1,'Sep to Nov Data'!$E$3:$CZ$3,0))</f>
        <v>121</v>
      </c>
      <c r="D38" s="76">
        <f t="shared" si="1"/>
        <v>0.63020833333333337</v>
      </c>
      <c r="E38" s="27" t="str">
        <f>IFERROR(INDEX('March to Aug Data'!$A:$A,MATCH(Analysis!A38,'March to Aug Data'!$C:$C,0),1),"-")</f>
        <v>North East and Yorkshire</v>
      </c>
      <c r="G38" s="55">
        <f>B38/VLOOKUP($A38,'Estimated Hospital Beds'!$D:$E,2,)</f>
        <v>0.29953198127925118</v>
      </c>
      <c r="H38" s="56">
        <f>C38/VLOOKUP($A38,'Estimated Hospital Beds'!$D:$E,2,)</f>
        <v>0.18876755070202808</v>
      </c>
    </row>
    <row r="39" spans="1:8" x14ac:dyDescent="0.35">
      <c r="A39" s="34" t="s">
        <v>192</v>
      </c>
      <c r="B39" s="9">
        <f>VLOOKUP(A39,'March to Aug Data'!C:D,2,)</f>
        <v>75</v>
      </c>
      <c r="C39" s="9">
        <f>INDEX('Sep to Nov Data'!$E$4:$CZ$488,MATCH(Analysis!A39,'Sep to Nov Data'!$C$4:$C$488,0),MATCH(Analysis!$B$1,'Sep to Nov Data'!$E$3:$CZ$3,0))</f>
        <v>60</v>
      </c>
      <c r="D39" s="76">
        <f t="shared" si="1"/>
        <v>0.8</v>
      </c>
      <c r="E39" s="27" t="str">
        <f>IFERROR(INDEX('March to Aug Data'!$A:$A,MATCH(Analysis!A39,'March to Aug Data'!$C:$C,0),1),"-")</f>
        <v>Midlands</v>
      </c>
      <c r="G39" s="55">
        <f>B39/VLOOKUP($A39,'Estimated Hospital Beds'!$D:$E,2,)</f>
        <v>0.15432098765432098</v>
      </c>
      <c r="H39" s="56">
        <f>C39/VLOOKUP($A39,'Estimated Hospital Beds'!$D:$E,2,)</f>
        <v>0.12345679012345678</v>
      </c>
    </row>
    <row r="40" spans="1:8" x14ac:dyDescent="0.35">
      <c r="A40" s="34" t="s">
        <v>281</v>
      </c>
      <c r="B40" s="9">
        <f>VLOOKUP(A40,'March to Aug Data'!C:D,2,)</f>
        <v>211</v>
      </c>
      <c r="C40" s="9">
        <f>INDEX('Sep to Nov Data'!$E$4:$CZ$488,MATCH(Analysis!A40,'Sep to Nov Data'!$C$4:$C$488,0),MATCH(Analysis!$B$1,'Sep to Nov Data'!$E$3:$CZ$3,0))</f>
        <v>146</v>
      </c>
      <c r="D40" s="76">
        <f t="shared" si="1"/>
        <v>0.69194312796208535</v>
      </c>
      <c r="E40" s="27" t="str">
        <f>IFERROR(INDEX('March to Aug Data'!$A:$A,MATCH(Analysis!A40,'March to Aug Data'!$C:$C,0),1),"-")</f>
        <v>North East and Yorkshire</v>
      </c>
      <c r="G40" s="55">
        <f>B40/VLOOKUP($A40,'Estimated Hospital Beds'!$D:$E,2,)</f>
        <v>0.25059382422802851</v>
      </c>
      <c r="H40" s="56">
        <f>C40/VLOOKUP($A40,'Estimated Hospital Beds'!$D:$E,2,)</f>
        <v>0.17339667458432304</v>
      </c>
    </row>
    <row r="41" spans="1:8" x14ac:dyDescent="0.35">
      <c r="A41" s="34" t="s">
        <v>526</v>
      </c>
      <c r="B41" s="9">
        <f>VLOOKUP(A41,'March to Aug Data'!C:D,2,)</f>
        <v>95</v>
      </c>
      <c r="C41" s="9">
        <f>INDEX('Sep to Nov Data'!$E$4:$CZ$488,MATCH(Analysis!A41,'Sep to Nov Data'!$C$4:$C$488,0),MATCH(Analysis!$B$1,'Sep to Nov Data'!$E$3:$CZ$3,0))</f>
        <v>58</v>
      </c>
      <c r="D41" s="76">
        <f t="shared" si="1"/>
        <v>0.61052631578947369</v>
      </c>
      <c r="E41" s="27" t="str">
        <f>IFERROR(INDEX('March to Aug Data'!$A:$A,MATCH(Analysis!A41,'March to Aug Data'!$C:$C,0),1),"-")</f>
        <v>South West</v>
      </c>
      <c r="G41" s="55">
        <f>B41/VLOOKUP($A41,'Estimated Hospital Beds'!$D:$E,2,)</f>
        <v>0.10520487264673312</v>
      </c>
      <c r="H41" s="56">
        <f>C41/VLOOKUP($A41,'Estimated Hospital Beds'!$D:$E,2,)</f>
        <v>6.4230343300110737E-2</v>
      </c>
    </row>
    <row r="42" spans="1:8" x14ac:dyDescent="0.35">
      <c r="A42" s="34" t="s">
        <v>315</v>
      </c>
      <c r="B42" s="9">
        <f>VLOOKUP(A42,'March to Aug Data'!C:D,2,)</f>
        <v>151</v>
      </c>
      <c r="C42" s="9">
        <f>INDEX('Sep to Nov Data'!$E$4:$CZ$488,MATCH(Analysis!A42,'Sep to Nov Data'!$C$4:$C$488,0),MATCH(Analysis!$B$1,'Sep to Nov Data'!$E$3:$CZ$3,0))</f>
        <v>99</v>
      </c>
      <c r="D42" s="76">
        <f t="shared" si="1"/>
        <v>0.6556291390728477</v>
      </c>
      <c r="E42" s="27" t="str">
        <f>IFERROR(INDEX('March to Aug Data'!$A:$A,MATCH(Analysis!A42,'March to Aug Data'!$C:$C,0),1),"-")</f>
        <v>North East and Yorkshire</v>
      </c>
      <c r="G42" s="55">
        <f>B42/VLOOKUP($A42,'Estimated Hospital Beds'!$D:$E,2,)</f>
        <v>0.20079787234042554</v>
      </c>
      <c r="H42" s="56">
        <f>C42/VLOOKUP($A42,'Estimated Hospital Beds'!$D:$E,2,)</f>
        <v>0.13164893617021275</v>
      </c>
    </row>
    <row r="43" spans="1:8" x14ac:dyDescent="0.35">
      <c r="A43" s="34" t="s">
        <v>313</v>
      </c>
      <c r="B43" s="9">
        <f>VLOOKUP(A43,'March to Aug Data'!C:D,2,)</f>
        <v>143</v>
      </c>
      <c r="C43" s="9">
        <f>INDEX('Sep to Nov Data'!$E$4:$CZ$488,MATCH(Analysis!A43,'Sep to Nov Data'!$C$4:$C$488,0),MATCH(Analysis!$B$1,'Sep to Nov Data'!$E$3:$CZ$3,0))</f>
        <v>98</v>
      </c>
      <c r="D43" s="76">
        <f t="shared" si="1"/>
        <v>0.68531468531468531</v>
      </c>
      <c r="E43" s="27" t="str">
        <f>IFERROR(INDEX('March to Aug Data'!$A:$A,MATCH(Analysis!A43,'March to Aug Data'!$C:$C,0),1),"-")</f>
        <v>North East and Yorkshire</v>
      </c>
      <c r="G43" s="55">
        <f>B43/VLOOKUP($A43,'Estimated Hospital Beds'!$D:$E,2,)</f>
        <v>0.17698019801980197</v>
      </c>
      <c r="H43" s="56">
        <f>C43/VLOOKUP($A43,'Estimated Hospital Beds'!$D:$E,2,)</f>
        <v>0.12128712871287128</v>
      </c>
    </row>
    <row r="44" spans="1:8" x14ac:dyDescent="0.35">
      <c r="A44" s="34" t="s">
        <v>522</v>
      </c>
      <c r="B44" s="9">
        <f>VLOOKUP(A44,'March to Aug Data'!C:D,2,)</f>
        <v>58</v>
      </c>
      <c r="C44" s="9">
        <f>INDEX('Sep to Nov Data'!$E$4:$CZ$488,MATCH(Analysis!A44,'Sep to Nov Data'!$C$4:$C$488,0),MATCH(Analysis!$B$1,'Sep to Nov Data'!$E$3:$CZ$3,0))</f>
        <v>43</v>
      </c>
      <c r="D44" s="76">
        <f t="shared" si="1"/>
        <v>0.74137931034482762</v>
      </c>
      <c r="E44" s="27" t="str">
        <f>IFERROR(INDEX('March to Aug Data'!$A:$A,MATCH(Analysis!A44,'March to Aug Data'!$C:$C,0),1),"-")</f>
        <v>South West</v>
      </c>
      <c r="G44" s="55">
        <f>B44/VLOOKUP($A44,'Estimated Hospital Beds'!$D:$E,2,)</f>
        <v>6.9544364508393283E-2</v>
      </c>
      <c r="H44" s="56">
        <f>C44/VLOOKUP($A44,'Estimated Hospital Beds'!$D:$E,2,)</f>
        <v>5.1558752997601917E-2</v>
      </c>
    </row>
    <row r="45" spans="1:8" x14ac:dyDescent="0.35">
      <c r="A45" s="34" t="s">
        <v>190</v>
      </c>
      <c r="B45" s="9">
        <f>VLOOKUP(A45,'March to Aug Data'!C:D,2,)</f>
        <v>188</v>
      </c>
      <c r="C45" s="9">
        <f>INDEX('Sep to Nov Data'!$E$4:$CZ$488,MATCH(Analysis!A45,'Sep to Nov Data'!$C$4:$C$488,0),MATCH(Analysis!$B$1,'Sep to Nov Data'!$E$3:$CZ$3,0))</f>
        <v>115</v>
      </c>
      <c r="D45" s="76">
        <f t="shared" si="1"/>
        <v>0.61170212765957444</v>
      </c>
      <c r="E45" s="27" t="str">
        <f>IFERROR(INDEX('March to Aug Data'!$A:$A,MATCH(Analysis!A45,'March to Aug Data'!$C:$C,0),1),"-")</f>
        <v>Midlands</v>
      </c>
      <c r="G45" s="55">
        <f>B45/VLOOKUP($A45,'Estimated Hospital Beds'!$D:$E,2,)</f>
        <v>0.41685144124168516</v>
      </c>
      <c r="H45" s="56">
        <f>C45/VLOOKUP($A45,'Estimated Hospital Beds'!$D:$E,2,)</f>
        <v>0.25498891352549891</v>
      </c>
    </row>
    <row r="46" spans="1:8" x14ac:dyDescent="0.35">
      <c r="A46" s="34" t="s">
        <v>348</v>
      </c>
      <c r="B46" s="9">
        <f>VLOOKUP(A46,'March to Aug Data'!C:D,2,)</f>
        <v>428</v>
      </c>
      <c r="C46" s="9">
        <f>INDEX('Sep to Nov Data'!$E$4:$CZ$488,MATCH(Analysis!A46,'Sep to Nov Data'!$C$4:$C$488,0),MATCH(Analysis!$B$1,'Sep to Nov Data'!$E$3:$CZ$3,0))</f>
        <v>239</v>
      </c>
      <c r="D46" s="76">
        <f t="shared" si="1"/>
        <v>0.55841121495327106</v>
      </c>
      <c r="E46" s="27" t="str">
        <f>IFERROR(INDEX('March to Aug Data'!$A:$A,MATCH(Analysis!A46,'March to Aug Data'!$C:$C,0),1),"-")</f>
        <v>North West</v>
      </c>
      <c r="G46" s="55">
        <f>B46/VLOOKUP($A46,'Estimated Hospital Beds'!$D:$E,2,)</f>
        <v>0.3128654970760234</v>
      </c>
      <c r="H46" s="56">
        <f>C46/VLOOKUP($A46,'Estimated Hospital Beds'!$D:$E,2,)</f>
        <v>0.17470760233918128</v>
      </c>
    </row>
    <row r="47" spans="1:8" x14ac:dyDescent="0.35">
      <c r="A47" s="34" t="s">
        <v>285</v>
      </c>
      <c r="B47" s="9">
        <f>VLOOKUP(A47,'March to Aug Data'!C:D,2,)</f>
        <v>131</v>
      </c>
      <c r="C47" s="9">
        <f>INDEX('Sep to Nov Data'!$E$4:$CZ$488,MATCH(Analysis!A47,'Sep to Nov Data'!$C$4:$C$488,0),MATCH(Analysis!$B$1,'Sep to Nov Data'!$E$3:$CZ$3,0))</f>
        <v>72</v>
      </c>
      <c r="D47" s="76">
        <f t="shared" si="1"/>
        <v>0.54961832061068705</v>
      </c>
      <c r="E47" s="27" t="str">
        <f>IFERROR(INDEX('March to Aug Data'!$A:$A,MATCH(Analysis!A47,'March to Aug Data'!$C:$C,0),1),"-")</f>
        <v>North East and Yorkshire</v>
      </c>
      <c r="G47" s="55">
        <f>B47/VLOOKUP($A47,'Estimated Hospital Beds'!$D:$E,2,)</f>
        <v>0.12855740922473013</v>
      </c>
      <c r="H47" s="56">
        <f>C47/VLOOKUP($A47,'Estimated Hospital Beds'!$D:$E,2,)</f>
        <v>7.0657507360157024E-2</v>
      </c>
    </row>
    <row r="48" spans="1:8" x14ac:dyDescent="0.35">
      <c r="A48" s="34" t="s">
        <v>376</v>
      </c>
      <c r="B48" s="9">
        <f>VLOOKUP(A48,'March to Aug Data'!C:D,2,)</f>
        <v>148</v>
      </c>
      <c r="C48" s="9">
        <f>INDEX('Sep to Nov Data'!$E$4:$CZ$488,MATCH(Analysis!A48,'Sep to Nov Data'!$C$4:$C$488,0),MATCH(Analysis!$B$1,'Sep to Nov Data'!$E$3:$CZ$3,0))</f>
        <v>132</v>
      </c>
      <c r="D48" s="76">
        <f t="shared" si="1"/>
        <v>0.89189189189189189</v>
      </c>
      <c r="E48" s="27" t="str">
        <f>IFERROR(INDEX('March to Aug Data'!$A:$A,MATCH(Analysis!A48,'March to Aug Data'!$C:$C,0),1),"-")</f>
        <v>North West</v>
      </c>
      <c r="G48" s="55">
        <f>B48/VLOOKUP($A48,'Estimated Hospital Beds'!$D:$E,2,)</f>
        <v>0.22289156626506024</v>
      </c>
      <c r="H48" s="56">
        <f>C48/VLOOKUP($A48,'Estimated Hospital Beds'!$D:$E,2,)</f>
        <v>0.19879518072289157</v>
      </c>
    </row>
    <row r="49" spans="1:8" x14ac:dyDescent="0.35">
      <c r="A49" s="34" t="s">
        <v>506</v>
      </c>
      <c r="B49" s="9">
        <f>VLOOKUP(A49,'March to Aug Data'!C:D,2,)</f>
        <v>93</v>
      </c>
      <c r="C49" s="9">
        <f>INDEX('Sep to Nov Data'!$E$4:$CZ$488,MATCH(Analysis!A49,'Sep to Nov Data'!$C$4:$C$488,0),MATCH(Analysis!$B$1,'Sep to Nov Data'!$E$3:$CZ$3,0))</f>
        <v>54</v>
      </c>
      <c r="D49" s="76">
        <f t="shared" si="1"/>
        <v>0.58064516129032262</v>
      </c>
      <c r="E49" s="27" t="str">
        <f>IFERROR(INDEX('March to Aug Data'!$A:$A,MATCH(Analysis!A49,'March to Aug Data'!$C:$C,0),1),"-")</f>
        <v>South West</v>
      </c>
      <c r="G49" s="55">
        <f>B49/VLOOKUP($A49,'Estimated Hospital Beds'!$D:$E,2,)</f>
        <v>9.0998043052837568E-2</v>
      </c>
      <c r="H49" s="56">
        <f>C49/VLOOKUP($A49,'Estimated Hospital Beds'!$D:$E,2,)</f>
        <v>5.2837573385518588E-2</v>
      </c>
    </row>
    <row r="50" spans="1:8" x14ac:dyDescent="0.35">
      <c r="A50" s="34" t="s">
        <v>42</v>
      </c>
      <c r="B50" s="9">
        <f>VLOOKUP(A50,'March to Aug Data'!C:D,2,)</f>
        <v>143</v>
      </c>
      <c r="C50" s="9">
        <f>INDEX('Sep to Nov Data'!$E$4:$CZ$488,MATCH(Analysis!A50,'Sep to Nov Data'!$C$4:$C$488,0),MATCH(Analysis!$B$1,'Sep to Nov Data'!$E$3:$CZ$3,0))</f>
        <v>83</v>
      </c>
      <c r="D50" s="76">
        <f t="shared" si="1"/>
        <v>0.58041958041958042</v>
      </c>
      <c r="E50" s="27" t="str">
        <f>IFERROR(INDEX('March to Aug Data'!$A:$A,MATCH(Analysis!A50,'March to Aug Data'!$C:$C,0),1),"-")</f>
        <v>East of England</v>
      </c>
      <c r="G50" s="55">
        <f>B50/VLOOKUP($A50,'Estimated Hospital Beds'!$D:$E,2,)</f>
        <v>0.1364503816793893</v>
      </c>
      <c r="H50" s="56">
        <f>C50/VLOOKUP($A50,'Estimated Hospital Beds'!$D:$E,2,)</f>
        <v>7.9198473282442741E-2</v>
      </c>
    </row>
    <row r="51" spans="1:8" x14ac:dyDescent="0.35">
      <c r="A51" s="34" t="s">
        <v>254</v>
      </c>
      <c r="B51" s="9">
        <f>VLOOKUP(A51,'March to Aug Data'!C:D,2,)</f>
        <v>20</v>
      </c>
      <c r="C51" s="9">
        <f>INDEX('Sep to Nov Data'!$E$4:$CZ$488,MATCH(Analysis!A51,'Sep to Nov Data'!$C$4:$C$488,0),MATCH(Analysis!$B$1,'Sep to Nov Data'!$E$3:$CZ$3,0))</f>
        <v>11</v>
      </c>
      <c r="D51" s="76">
        <f t="shared" si="1"/>
        <v>0.55000000000000004</v>
      </c>
      <c r="E51" s="27" t="str">
        <f>IFERROR(INDEX('March to Aug Data'!$A:$A,MATCH(Analysis!A51,'March to Aug Data'!$C:$C,0),1),"-")</f>
        <v>Midlands</v>
      </c>
      <c r="G51" s="55">
        <f>B51/VLOOKUP($A51,'Estimated Hospital Beds'!$D:$E,2,)</f>
        <v>0.52631578947368418</v>
      </c>
      <c r="H51" s="56">
        <f>C51/VLOOKUP($A51,'Estimated Hospital Beds'!$D:$E,2,)</f>
        <v>0.28947368421052633</v>
      </c>
    </row>
    <row r="52" spans="1:8" x14ac:dyDescent="0.35">
      <c r="A52" s="34" t="s">
        <v>295</v>
      </c>
      <c r="B52" s="9">
        <f>VLOOKUP(A52,'March to Aug Data'!C:D,2,)</f>
        <v>263</v>
      </c>
      <c r="C52" s="9">
        <f>INDEX('Sep to Nov Data'!$E$4:$CZ$488,MATCH(Analysis!A52,'Sep to Nov Data'!$C$4:$C$488,0),MATCH(Analysis!$B$1,'Sep to Nov Data'!$E$3:$CZ$3,0))</f>
        <v>128</v>
      </c>
      <c r="D52" s="76">
        <f t="shared" si="1"/>
        <v>0.48669201520912547</v>
      </c>
      <c r="E52" s="27" t="str">
        <f>IFERROR(INDEX('March to Aug Data'!$A:$A,MATCH(Analysis!A52,'March to Aug Data'!$C:$C,0),1),"-")</f>
        <v>North East and Yorkshire</v>
      </c>
      <c r="G52" s="55">
        <f>B52/VLOOKUP($A52,'Estimated Hospital Beds'!$D:$E,2,)</f>
        <v>0.62768496420047737</v>
      </c>
      <c r="H52" s="56">
        <f>C52/VLOOKUP($A52,'Estimated Hospital Beds'!$D:$E,2,)</f>
        <v>0.3054892601431981</v>
      </c>
    </row>
    <row r="53" spans="1:8" x14ac:dyDescent="0.35">
      <c r="A53" s="34" t="s">
        <v>350</v>
      </c>
      <c r="B53" s="9">
        <f>VLOOKUP(A53,'March to Aug Data'!C:D,2,)</f>
        <v>131</v>
      </c>
      <c r="C53" s="9">
        <f>INDEX('Sep to Nov Data'!$E$4:$CZ$488,MATCH(Analysis!A53,'Sep to Nov Data'!$C$4:$C$488,0),MATCH(Analysis!$B$1,'Sep to Nov Data'!$E$3:$CZ$3,0))</f>
        <v>69</v>
      </c>
      <c r="D53" s="76">
        <f t="shared" si="1"/>
        <v>0.52671755725190839</v>
      </c>
      <c r="E53" s="27" t="str">
        <f>IFERROR(INDEX('March to Aug Data'!$A:$A,MATCH(Analysis!A53,'March to Aug Data'!$C:$C,0),1),"-")</f>
        <v>North West</v>
      </c>
      <c r="G53" s="55">
        <f>B53/VLOOKUP($A53,'Estimated Hospital Beds'!$D:$E,2,)</f>
        <v>0.16603295310519645</v>
      </c>
      <c r="H53" s="56">
        <f>C53/VLOOKUP($A53,'Estimated Hospital Beds'!$D:$E,2,)</f>
        <v>8.7452471482889732E-2</v>
      </c>
    </row>
    <row r="54" spans="1:8" x14ac:dyDescent="0.35">
      <c r="A54" s="34" t="s">
        <v>453</v>
      </c>
      <c r="B54" s="9">
        <f>VLOOKUP(A54,'March to Aug Data'!C:D,2,)</f>
        <v>153</v>
      </c>
      <c r="C54" s="9">
        <f>INDEX('Sep to Nov Data'!$E$4:$CZ$488,MATCH(Analysis!A54,'Sep to Nov Data'!$C$4:$C$488,0),MATCH(Analysis!$B$1,'Sep to Nov Data'!$E$3:$CZ$3,0))</f>
        <v>65</v>
      </c>
      <c r="D54" s="76">
        <f t="shared" si="1"/>
        <v>0.42483660130718953</v>
      </c>
      <c r="E54" s="27" t="str">
        <f>IFERROR(INDEX('March to Aug Data'!$A:$A,MATCH(Analysis!A54,'March to Aug Data'!$C:$C,0),1),"-")</f>
        <v>South East</v>
      </c>
      <c r="G54" s="55">
        <f>B54/VLOOKUP($A54,'Estimated Hospital Beds'!$D:$E,2,)</f>
        <v>0.31288343558282211</v>
      </c>
      <c r="H54" s="56">
        <f>C54/VLOOKUP($A54,'Estimated Hospital Beds'!$D:$E,2,)</f>
        <v>0.1329243353783231</v>
      </c>
    </row>
    <row r="55" spans="1:8" x14ac:dyDescent="0.35">
      <c r="A55" s="34" t="s">
        <v>230</v>
      </c>
      <c r="B55" s="9">
        <f>VLOOKUP(A55,'March to Aug Data'!C:D,2,)</f>
        <v>791</v>
      </c>
      <c r="C55" s="9">
        <f>INDEX('Sep to Nov Data'!$E$4:$CZ$488,MATCH(Analysis!A55,'Sep to Nov Data'!$C$4:$C$488,0),MATCH(Analysis!$B$1,'Sep to Nov Data'!$E$3:$CZ$3,0))</f>
        <v>368</v>
      </c>
      <c r="D55" s="76">
        <f t="shared" si="1"/>
        <v>0.46523388116308473</v>
      </c>
      <c r="E55" s="27" t="str">
        <f>IFERROR(INDEX('March to Aug Data'!$A:$A,MATCH(Analysis!A55,'March to Aug Data'!$C:$C,0),1),"-")</f>
        <v>Midlands</v>
      </c>
      <c r="G55" s="55">
        <f>B55/VLOOKUP($A55,'Estimated Hospital Beds'!$D:$E,2,)</f>
        <v>0.38984721537703304</v>
      </c>
      <c r="H55" s="56">
        <f>C55/VLOOKUP($A55,'Estimated Hospital Beds'!$D:$E,2,)</f>
        <v>0.18137013307047806</v>
      </c>
    </row>
    <row r="56" spans="1:8" x14ac:dyDescent="0.35">
      <c r="A56" s="34" t="s">
        <v>214</v>
      </c>
      <c r="B56" s="9">
        <f>VLOOKUP(A56,'March to Aug Data'!C:D,2,)</f>
        <v>172</v>
      </c>
      <c r="C56" s="9">
        <f>INDEX('Sep to Nov Data'!$E$4:$CZ$488,MATCH(Analysis!A56,'Sep to Nov Data'!$C$4:$C$488,0),MATCH(Analysis!$B$1,'Sep to Nov Data'!$E$3:$CZ$3,0))</f>
        <v>73</v>
      </c>
      <c r="D56" s="76">
        <f t="shared" si="1"/>
        <v>0.42441860465116277</v>
      </c>
      <c r="E56" s="27" t="str">
        <f>IFERROR(INDEX('March to Aug Data'!$A:$A,MATCH(Analysis!A56,'March to Aug Data'!$C:$C,0),1),"-")</f>
        <v>Midlands</v>
      </c>
      <c r="G56" s="55">
        <f>B56/VLOOKUP($A56,'Estimated Hospital Beds'!$D:$E,2,)</f>
        <v>0.25109489051094891</v>
      </c>
      <c r="H56" s="56">
        <f>C56/VLOOKUP($A56,'Estimated Hospital Beds'!$D:$E,2,)</f>
        <v>0.10656934306569343</v>
      </c>
    </row>
    <row r="57" spans="1:8" x14ac:dyDescent="0.35">
      <c r="A57" s="34" t="s">
        <v>218</v>
      </c>
      <c r="B57" s="9">
        <f>VLOOKUP(A57,'March to Aug Data'!C:D,2,)</f>
        <v>119</v>
      </c>
      <c r="C57" s="9">
        <f>INDEX('Sep to Nov Data'!$E$4:$CZ$488,MATCH(Analysis!A57,'Sep to Nov Data'!$C$4:$C$488,0),MATCH(Analysis!$B$1,'Sep to Nov Data'!$E$3:$CZ$3,0))</f>
        <v>48</v>
      </c>
      <c r="D57" s="76">
        <f t="shared" si="1"/>
        <v>0.40336134453781514</v>
      </c>
      <c r="E57" s="27" t="str">
        <f>IFERROR(INDEX('March to Aug Data'!$A:$A,MATCH(Analysis!A57,'March to Aug Data'!$C:$C,0),1),"-")</f>
        <v>Midlands</v>
      </c>
      <c r="G57" s="55">
        <f>B57/VLOOKUP($A57,'Estimated Hospital Beds'!$D:$E,2,)</f>
        <v>0.1571994715984148</v>
      </c>
      <c r="H57" s="56">
        <f>C57/VLOOKUP($A57,'Estimated Hospital Beds'!$D:$E,2,)</f>
        <v>6.3408190224570671E-2</v>
      </c>
    </row>
    <row r="58" spans="1:8" x14ac:dyDescent="0.35">
      <c r="A58" s="34" t="s">
        <v>46</v>
      </c>
      <c r="B58" s="9">
        <f>VLOOKUP(A58,'March to Aug Data'!C:D,2,)</f>
        <v>117</v>
      </c>
      <c r="C58" s="9">
        <f>INDEX('Sep to Nov Data'!$E$4:$CZ$488,MATCH(Analysis!A58,'Sep to Nov Data'!$C$4:$C$488,0),MATCH(Analysis!$B$1,'Sep to Nov Data'!$E$3:$CZ$3,0))</f>
        <v>60</v>
      </c>
      <c r="D58" s="76">
        <f t="shared" si="1"/>
        <v>0.51282051282051277</v>
      </c>
      <c r="E58" s="27" t="str">
        <f>IFERROR(INDEX('March to Aug Data'!$A:$A,MATCH(Analysis!A58,'March to Aug Data'!$C:$C,0),1),"-")</f>
        <v>East of England</v>
      </c>
      <c r="G58" s="55">
        <f>B58/VLOOKUP($A58,'Estimated Hospital Beds'!$D:$E,2,)</f>
        <v>0.12367864693446089</v>
      </c>
      <c r="H58" s="56">
        <f>C58/VLOOKUP($A58,'Estimated Hospital Beds'!$D:$E,2,)</f>
        <v>6.3424947145877375E-2</v>
      </c>
    </row>
    <row r="59" spans="1:8" x14ac:dyDescent="0.35">
      <c r="A59" s="34" t="s">
        <v>36</v>
      </c>
      <c r="B59" s="9">
        <f>VLOOKUP(A59,'March to Aug Data'!C:D,2,)</f>
        <v>187</v>
      </c>
      <c r="C59" s="9">
        <f>INDEX('Sep to Nov Data'!$E$4:$CZ$488,MATCH(Analysis!A59,'Sep to Nov Data'!$C$4:$C$488,0),MATCH(Analysis!$B$1,'Sep to Nov Data'!$E$3:$CZ$3,0))</f>
        <v>74</v>
      </c>
      <c r="D59" s="76">
        <f t="shared" si="1"/>
        <v>0.39572192513368987</v>
      </c>
      <c r="E59" s="27" t="str">
        <f>IFERROR(INDEX('March to Aug Data'!$A:$A,MATCH(Analysis!A59,'March to Aug Data'!$C:$C,0),1),"-")</f>
        <v>East of England</v>
      </c>
      <c r="G59" s="55">
        <f>B59/VLOOKUP($A59,'Estimated Hospital Beds'!$D:$E,2,)</f>
        <v>0.18102613746369797</v>
      </c>
      <c r="H59" s="56">
        <f>C59/VLOOKUP($A59,'Estimated Hospital Beds'!$D:$E,2,)</f>
        <v>7.1636011616650536E-2</v>
      </c>
    </row>
    <row r="60" spans="1:8" x14ac:dyDescent="0.35">
      <c r="A60" s="34" t="s">
        <v>483</v>
      </c>
      <c r="B60" s="9">
        <f>VLOOKUP(A60,'March to Aug Data'!C:D,2,)</f>
        <v>174</v>
      </c>
      <c r="C60" s="9">
        <f>INDEX('Sep to Nov Data'!$E$4:$CZ$488,MATCH(Analysis!A60,'Sep to Nov Data'!$C$4:$C$488,0),MATCH(Analysis!$B$1,'Sep to Nov Data'!$E$3:$CZ$3,0))</f>
        <v>69</v>
      </c>
      <c r="D60" s="76">
        <f t="shared" si="1"/>
        <v>0.39655172413793105</v>
      </c>
      <c r="E60" s="27" t="str">
        <f>IFERROR(INDEX('March to Aug Data'!$A:$A,MATCH(Analysis!A60,'March to Aug Data'!$C:$C,0),1),"-")</f>
        <v>South East</v>
      </c>
      <c r="G60" s="55">
        <f>B60/VLOOKUP($A60,'Estimated Hospital Beds'!$D:$E,2,)</f>
        <v>0.19572553430821146</v>
      </c>
      <c r="H60" s="56">
        <f>C60/VLOOKUP($A60,'Estimated Hospital Beds'!$D:$E,2,)</f>
        <v>7.7615298087739037E-2</v>
      </c>
    </row>
    <row r="61" spans="1:8" x14ac:dyDescent="0.35">
      <c r="A61" s="34" t="s">
        <v>62</v>
      </c>
      <c r="B61" s="9">
        <f>VLOOKUP(A61,'March to Aug Data'!C:D,2,)</f>
        <v>146</v>
      </c>
      <c r="C61" s="9">
        <f>INDEX('Sep to Nov Data'!$E$4:$CZ$488,MATCH(Analysis!A61,'Sep to Nov Data'!$C$4:$C$488,0),MATCH(Analysis!$B$1,'Sep to Nov Data'!$E$3:$CZ$3,0))</f>
        <v>55</v>
      </c>
      <c r="D61" s="76">
        <f t="shared" si="1"/>
        <v>0.37671232876712329</v>
      </c>
      <c r="E61" s="27" t="str">
        <f>IFERROR(INDEX('March to Aug Data'!$A:$A,MATCH(Analysis!A61,'March to Aug Data'!$C:$C,0),1),"-")</f>
        <v>East of England</v>
      </c>
      <c r="G61" s="55">
        <f>B61/VLOOKUP($A61,'Estimated Hospital Beds'!$D:$E,2,)</f>
        <v>0.18717948717948718</v>
      </c>
      <c r="H61" s="56">
        <f>C61/VLOOKUP($A61,'Estimated Hospital Beds'!$D:$E,2,)</f>
        <v>7.0512820512820512E-2</v>
      </c>
    </row>
    <row r="62" spans="1:8" x14ac:dyDescent="0.35">
      <c r="A62" s="34" t="s">
        <v>461</v>
      </c>
      <c r="B62" s="9">
        <f>VLOOKUP(A62,'March to Aug Data'!C:D,2,)</f>
        <v>136</v>
      </c>
      <c r="C62" s="9">
        <f>INDEX('Sep to Nov Data'!$E$4:$CZ$488,MATCH(Analysis!A62,'Sep to Nov Data'!$C$4:$C$488,0),MATCH(Analysis!$B$1,'Sep to Nov Data'!$E$3:$CZ$3,0))</f>
        <v>53</v>
      </c>
      <c r="D62" s="76">
        <f t="shared" si="1"/>
        <v>0.38970588235294118</v>
      </c>
      <c r="E62" s="27" t="str">
        <f>IFERROR(INDEX('March to Aug Data'!$A:$A,MATCH(Analysis!A62,'March to Aug Data'!$C:$C,0),1),"-")</f>
        <v>South East</v>
      </c>
      <c r="G62" s="55">
        <f>B62/VLOOKUP($A62,'Estimated Hospital Beds'!$D:$E,2,)</f>
        <v>0.27364185110663986</v>
      </c>
      <c r="H62" s="56">
        <f>C62/VLOOKUP($A62,'Estimated Hospital Beds'!$D:$E,2,)</f>
        <v>0.10663983903420524</v>
      </c>
    </row>
    <row r="63" spans="1:8" x14ac:dyDescent="0.35">
      <c r="A63" s="34" t="s">
        <v>34</v>
      </c>
      <c r="B63" s="9">
        <f>VLOOKUP(A63,'March to Aug Data'!C:D,2,)</f>
        <v>374</v>
      </c>
      <c r="C63" s="9">
        <f>INDEX('Sep to Nov Data'!$E$4:$CZ$488,MATCH(Analysis!A63,'Sep to Nov Data'!$C$4:$C$488,0),MATCH(Analysis!$B$1,'Sep to Nov Data'!$E$3:$CZ$3,0))</f>
        <v>110</v>
      </c>
      <c r="D63" s="76">
        <f t="shared" si="1"/>
        <v>0.29411764705882354</v>
      </c>
      <c r="E63" s="27" t="str">
        <f>IFERROR(INDEX('March to Aug Data'!$A:$A,MATCH(Analysis!A63,'March to Aug Data'!$C:$C,0),1),"-")</f>
        <v>East of England</v>
      </c>
      <c r="G63" s="55">
        <f>B63/VLOOKUP($A63,'Estimated Hospital Beds'!$D:$E,2,)</f>
        <v>0.19893617021276597</v>
      </c>
      <c r="H63" s="56">
        <f>C63/VLOOKUP($A63,'Estimated Hospital Beds'!$D:$E,2,)</f>
        <v>5.8510638297872342E-2</v>
      </c>
    </row>
    <row r="64" spans="1:8" x14ac:dyDescent="0.35">
      <c r="A64" s="34" t="s">
        <v>467</v>
      </c>
      <c r="B64" s="9">
        <f>VLOOKUP(A64,'March to Aug Data'!C:D,2,)</f>
        <v>121</v>
      </c>
      <c r="C64" s="9">
        <f>INDEX('Sep to Nov Data'!$E$4:$CZ$488,MATCH(Analysis!A64,'Sep to Nov Data'!$C$4:$C$488,0),MATCH(Analysis!$B$1,'Sep to Nov Data'!$E$3:$CZ$3,0))</f>
        <v>38</v>
      </c>
      <c r="D64" s="76">
        <f t="shared" si="1"/>
        <v>0.31404958677685951</v>
      </c>
      <c r="E64" s="27" t="str">
        <f>IFERROR(INDEX('March to Aug Data'!$A:$A,MATCH(Analysis!A64,'March to Aug Data'!$C:$C,0),1),"-")</f>
        <v>South East</v>
      </c>
      <c r="G64" s="55">
        <f>B64/VLOOKUP($A64,'Estimated Hospital Beds'!$D:$E,2,)</f>
        <v>0.22830188679245284</v>
      </c>
      <c r="H64" s="56">
        <f>C64/VLOOKUP($A64,'Estimated Hospital Beds'!$D:$E,2,)</f>
        <v>7.1698113207547168E-2</v>
      </c>
    </row>
    <row r="65" spans="1:8" x14ac:dyDescent="0.35">
      <c r="A65" s="34" t="s">
        <v>202</v>
      </c>
      <c r="B65" s="9">
        <f>VLOOKUP(A65,'March to Aug Data'!C:D,2,)</f>
        <v>161</v>
      </c>
      <c r="C65" s="9">
        <f>INDEX('Sep to Nov Data'!$E$4:$CZ$488,MATCH(Analysis!A65,'Sep to Nov Data'!$C$4:$C$488,0),MATCH(Analysis!$B$1,'Sep to Nov Data'!$E$3:$CZ$3,0))</f>
        <v>41</v>
      </c>
      <c r="D65" s="76">
        <f t="shared" si="1"/>
        <v>0.25465838509316768</v>
      </c>
      <c r="E65" s="27" t="str">
        <f>IFERROR(INDEX('March to Aug Data'!$A:$A,MATCH(Analysis!A65,'March to Aug Data'!$C:$C,0),1),"-")</f>
        <v>Midlands</v>
      </c>
      <c r="G65" s="55">
        <f>B65/VLOOKUP($A65,'Estimated Hospital Beds'!$D:$E,2,)</f>
        <v>0.14636363636363636</v>
      </c>
      <c r="H65" s="56">
        <f>C65/VLOOKUP($A65,'Estimated Hospital Beds'!$D:$E,2,)</f>
        <v>3.727272727272727E-2</v>
      </c>
    </row>
    <row r="66" spans="1:8" x14ac:dyDescent="0.35">
      <c r="A66" s="34" t="s">
        <v>447</v>
      </c>
      <c r="B66" s="9">
        <f>VLOOKUP(A66,'March to Aug Data'!C:D,2,)</f>
        <v>302</v>
      </c>
      <c r="C66" s="9">
        <f>INDEX('Sep to Nov Data'!$E$4:$CZ$488,MATCH(Analysis!A66,'Sep to Nov Data'!$C$4:$C$488,0),MATCH(Analysis!$B$1,'Sep to Nov Data'!$E$3:$CZ$3,0))</f>
        <v>59</v>
      </c>
      <c r="D66" s="76">
        <f t="shared" si="1"/>
        <v>0.19536423841059603</v>
      </c>
      <c r="E66" s="27" t="str">
        <f>IFERROR(INDEX('March to Aug Data'!$A:$A,MATCH(Analysis!A66,'March to Aug Data'!$C:$C,0),1),"-")</f>
        <v>South East</v>
      </c>
      <c r="G66" s="55">
        <f>B66/VLOOKUP($A66,'Estimated Hospital Beds'!$D:$E,2,)</f>
        <v>0.29010566762728146</v>
      </c>
      <c r="H66" s="56">
        <f>C66/VLOOKUP($A66,'Estimated Hospital Beds'!$D:$E,2,)</f>
        <v>5.6676272814601344E-2</v>
      </c>
    </row>
    <row r="67" spans="1:8" x14ac:dyDescent="0.35">
      <c r="A67" s="34" t="s">
        <v>147</v>
      </c>
      <c r="B67" s="9">
        <f>VLOOKUP(A67,'March to Aug Data'!C:D,2,)</f>
        <v>312</v>
      </c>
      <c r="C67" s="9">
        <f>INDEX('Sep to Nov Data'!$E$4:$CZ$488,MATCH(Analysis!A67,'Sep to Nov Data'!$C$4:$C$488,0),MATCH(Analysis!$B$1,'Sep to Nov Data'!$E$3:$CZ$3,0))</f>
        <v>65</v>
      </c>
      <c r="D67" s="76">
        <f t="shared" si="1"/>
        <v>0.20833333333333334</v>
      </c>
      <c r="E67" s="27" t="str">
        <f>IFERROR(INDEX('March to Aug Data'!$A:$A,MATCH(Analysis!A67,'March to Aug Data'!$C:$C,0),1),"-")</f>
        <v>London</v>
      </c>
      <c r="G67" s="55">
        <f>B67/VLOOKUP($A67,'Estimated Hospital Beds'!$D:$E,2,)</f>
        <v>0.35374149659863946</v>
      </c>
      <c r="H67" s="56">
        <f>C67/VLOOKUP($A67,'Estimated Hospital Beds'!$D:$E,2,)</f>
        <v>7.3696145124716547E-2</v>
      </c>
    </row>
    <row r="68" spans="1:8" x14ac:dyDescent="0.35">
      <c r="A68" s="34" t="s">
        <v>465</v>
      </c>
      <c r="B68" s="9">
        <f>VLOOKUP(A68,'March to Aug Data'!C:D,2,)</f>
        <v>139</v>
      </c>
      <c r="C68" s="9">
        <f>INDEX('Sep to Nov Data'!$E$4:$CZ$488,MATCH(Analysis!A68,'Sep to Nov Data'!$C$4:$C$488,0),MATCH(Analysis!$B$1,'Sep to Nov Data'!$E$3:$CZ$3,0))</f>
        <v>28</v>
      </c>
      <c r="D68" s="76">
        <f t="shared" ref="D68:D99" si="2">C68/B68</f>
        <v>0.20143884892086331</v>
      </c>
      <c r="E68" s="27" t="str">
        <f>IFERROR(INDEX('March to Aug Data'!$A:$A,MATCH(Analysis!A68,'March to Aug Data'!$C:$C,0),1),"-")</f>
        <v>South East</v>
      </c>
      <c r="G68" s="55">
        <f>B68/VLOOKUP($A68,'Estimated Hospital Beds'!$D:$E,2,)</f>
        <v>0.13482056256062075</v>
      </c>
      <c r="H68" s="56">
        <f>C68/VLOOKUP($A68,'Estimated Hospital Beds'!$D:$E,2,)</f>
        <v>2.7158098933074686E-2</v>
      </c>
    </row>
    <row r="69" spans="1:8" x14ac:dyDescent="0.35">
      <c r="A69" s="34" t="s">
        <v>449</v>
      </c>
      <c r="B69" s="9">
        <f>VLOOKUP(A69,'March to Aug Data'!C:D,2,)</f>
        <v>173</v>
      </c>
      <c r="C69" s="9">
        <f>INDEX('Sep to Nov Data'!$E$4:$CZ$488,MATCH(Analysis!A69,'Sep to Nov Data'!$C$4:$C$488,0),MATCH(Analysis!$B$1,'Sep to Nov Data'!$E$3:$CZ$3,0))</f>
        <v>39</v>
      </c>
      <c r="D69" s="76">
        <f t="shared" si="2"/>
        <v>0.22543352601156069</v>
      </c>
      <c r="E69" s="27" t="str">
        <f>IFERROR(INDEX('March to Aug Data'!$A:$A,MATCH(Analysis!A69,'March to Aug Data'!$C:$C,0),1),"-")</f>
        <v>South East</v>
      </c>
      <c r="G69" s="55">
        <f>B69/VLOOKUP($A69,'Estimated Hospital Beds'!$D:$E,2,)</f>
        <v>0.15350488021295475</v>
      </c>
      <c r="H69" s="56">
        <f>C69/VLOOKUP($A69,'Estimated Hospital Beds'!$D:$E,2,)</f>
        <v>3.4605146406388641E-2</v>
      </c>
    </row>
    <row r="70" spans="1:8" x14ac:dyDescent="0.35">
      <c r="A70" s="34" t="s">
        <v>534</v>
      </c>
      <c r="B70" s="9">
        <f>VLOOKUP(A70,'March to Aug Data'!C:D,2,)</f>
        <v>194</v>
      </c>
      <c r="C70" s="9">
        <f>INDEX('Sep to Nov Data'!$E$4:$CZ$488,MATCH(Analysis!A70,'Sep to Nov Data'!$C$4:$C$488,0),MATCH(Analysis!$B$1,'Sep to Nov Data'!$E$3:$CZ$3,0))</f>
        <v>36</v>
      </c>
      <c r="D70" s="76">
        <f t="shared" si="2"/>
        <v>0.18556701030927836</v>
      </c>
      <c r="E70" s="27" t="str">
        <f>IFERROR(INDEX('March to Aug Data'!$A:$A,MATCH(Analysis!A70,'March to Aug Data'!$C:$C,0),1),"-")</f>
        <v>South West</v>
      </c>
      <c r="G70" s="55">
        <f>B70/VLOOKUP($A70,'Estimated Hospital Beds'!$D:$E,2,)</f>
        <v>0.23486682808716708</v>
      </c>
      <c r="H70" s="56">
        <f>C70/VLOOKUP($A70,'Estimated Hospital Beds'!$D:$E,2,)</f>
        <v>4.3583535108958835E-2</v>
      </c>
    </row>
    <row r="71" spans="1:8" x14ac:dyDescent="0.35">
      <c r="A71" s="34" t="s">
        <v>105</v>
      </c>
      <c r="B71" s="9">
        <f>VLOOKUP(A71,'March to Aug Data'!C:D,2,)</f>
        <v>607</v>
      </c>
      <c r="C71" s="9">
        <f>INDEX('Sep to Nov Data'!$E$4:$CZ$488,MATCH(Analysis!A71,'Sep to Nov Data'!$C$4:$C$488,0),MATCH(Analysis!$B$1,'Sep to Nov Data'!$E$3:$CZ$3,0))</f>
        <v>100</v>
      </c>
      <c r="D71" s="76">
        <f t="shared" si="2"/>
        <v>0.16474464579901152</v>
      </c>
      <c r="E71" s="27" t="str">
        <f>IFERROR(INDEX('March to Aug Data'!$A:$A,MATCH(Analysis!A71,'March to Aug Data'!$C:$C,0),1),"-")</f>
        <v>London</v>
      </c>
      <c r="G71" s="55">
        <f>B71/VLOOKUP($A71,'Estimated Hospital Beds'!$D:$E,2,)</f>
        <v>0.32864103952355173</v>
      </c>
      <c r="H71" s="56">
        <f>C71/VLOOKUP($A71,'Estimated Hospital Beds'!$D:$E,2,)</f>
        <v>5.4141851651326477E-2</v>
      </c>
    </row>
    <row r="72" spans="1:8" x14ac:dyDescent="0.35">
      <c r="A72" s="34" t="s">
        <v>303</v>
      </c>
      <c r="B72" s="9">
        <f>VLOOKUP(A72,'March to Aug Data'!C:D,2,)</f>
        <v>222</v>
      </c>
      <c r="C72" s="9">
        <f>INDEX('Sep to Nov Data'!$E$4:$CZ$488,MATCH(Analysis!A72,'Sep to Nov Data'!$C$4:$C$488,0),MATCH(Analysis!$B$1,'Sep to Nov Data'!$E$3:$CZ$3,0))</f>
        <v>47</v>
      </c>
      <c r="D72" s="76">
        <f t="shared" si="2"/>
        <v>0.21171171171171171</v>
      </c>
      <c r="E72" s="27" t="str">
        <f>IFERROR(INDEX('March to Aug Data'!$A:$A,MATCH(Analysis!A72,'March to Aug Data'!$C:$C,0),1),"-")</f>
        <v>North East and Yorkshire</v>
      </c>
      <c r="G72" s="55">
        <f>B72/VLOOKUP($A72,'Estimated Hospital Beds'!$D:$E,2,)</f>
        <v>0.38608695652173913</v>
      </c>
      <c r="H72" s="56">
        <f>C72/VLOOKUP($A72,'Estimated Hospital Beds'!$D:$E,2,)</f>
        <v>8.1739130434782606E-2</v>
      </c>
    </row>
    <row r="73" spans="1:8" x14ac:dyDescent="0.35">
      <c r="A73" s="34" t="s">
        <v>206</v>
      </c>
      <c r="B73" s="9">
        <f>VLOOKUP(A73,'March to Aug Data'!C:D,2,)</f>
        <v>265</v>
      </c>
      <c r="C73" s="9">
        <f>INDEX('Sep to Nov Data'!$E$4:$CZ$488,MATCH(Analysis!A73,'Sep to Nov Data'!$C$4:$C$488,0),MATCH(Analysis!$B$1,'Sep to Nov Data'!$E$3:$CZ$3,0))</f>
        <v>40</v>
      </c>
      <c r="D73" s="76">
        <f t="shared" si="2"/>
        <v>0.15094339622641509</v>
      </c>
      <c r="E73" s="27" t="str">
        <f>IFERROR(INDEX('March to Aug Data'!$A:$A,MATCH(Analysis!A73,'March to Aug Data'!$C:$C,0),1),"-")</f>
        <v>Midlands</v>
      </c>
      <c r="G73" s="55">
        <f>B73/VLOOKUP($A73,'Estimated Hospital Beds'!$D:$E,2,)</f>
        <v>0.41213063763608088</v>
      </c>
      <c r="H73" s="56">
        <f>C73/VLOOKUP($A73,'Estimated Hospital Beds'!$D:$E,2,)</f>
        <v>6.2208398133748059E-2</v>
      </c>
    </row>
    <row r="74" spans="1:8" x14ac:dyDescent="0.35">
      <c r="A74" s="34" t="s">
        <v>113</v>
      </c>
      <c r="B74" s="9">
        <f>VLOOKUP(A74,'March to Aug Data'!C:D,2,)</f>
        <v>267</v>
      </c>
      <c r="C74" s="9">
        <f>INDEX('Sep to Nov Data'!$E$4:$CZ$488,MATCH(Analysis!A74,'Sep to Nov Data'!$C$4:$C$488,0),MATCH(Analysis!$B$1,'Sep to Nov Data'!$E$3:$CZ$3,0))</f>
        <v>28</v>
      </c>
      <c r="D74" s="76">
        <f t="shared" si="2"/>
        <v>0.10486891385767791</v>
      </c>
      <c r="E74" s="27" t="str">
        <f>IFERROR(INDEX('March to Aug Data'!$A:$A,MATCH(Analysis!A74,'March to Aug Data'!$C:$C,0),1),"-")</f>
        <v>London</v>
      </c>
      <c r="G74" s="55">
        <f>B74/VLOOKUP($A74,'Estimated Hospital Beds'!$D:$E,2,)</f>
        <v>0.66583541147132175</v>
      </c>
      <c r="H74" s="56">
        <f>C74/VLOOKUP($A74,'Estimated Hospital Beds'!$D:$E,2,)</f>
        <v>6.9825436408977551E-2</v>
      </c>
    </row>
    <row r="75" spans="1:8" x14ac:dyDescent="0.35">
      <c r="A75" s="34" t="s">
        <v>107</v>
      </c>
      <c r="B75" s="9">
        <f>VLOOKUP(A75,'March to Aug Data'!C:D,2,)</f>
        <v>456</v>
      </c>
      <c r="C75" s="9">
        <f>INDEX('Sep to Nov Data'!$E$4:$CZ$488,MATCH(Analysis!A75,'Sep to Nov Data'!$C$4:$C$488,0),MATCH(Analysis!$B$1,'Sep to Nov Data'!$E$3:$CZ$3,0))</f>
        <v>71</v>
      </c>
      <c r="D75" s="76">
        <f t="shared" si="2"/>
        <v>0.15570175438596492</v>
      </c>
      <c r="E75" s="27" t="str">
        <f>IFERROR(INDEX('March to Aug Data'!$A:$A,MATCH(Analysis!A75,'March to Aug Data'!$C:$C,0),1),"-")</f>
        <v>London</v>
      </c>
      <c r="G75" s="55">
        <f>B75/VLOOKUP($A75,'Estimated Hospital Beds'!$D:$E,2,)</f>
        <v>0.47253886010362695</v>
      </c>
      <c r="H75" s="56">
        <f>C75/VLOOKUP($A75,'Estimated Hospital Beds'!$D:$E,2,)</f>
        <v>7.3575129533678757E-2</v>
      </c>
    </row>
    <row r="76" spans="1:8" x14ac:dyDescent="0.35">
      <c r="A76" s="34" t="s">
        <v>54</v>
      </c>
      <c r="B76" s="9">
        <f>VLOOKUP(A76,'March to Aug Data'!C:D,2,)</f>
        <v>84</v>
      </c>
      <c r="C76" s="9">
        <f>INDEX('Sep to Nov Data'!$E$4:$CZ$488,MATCH(Analysis!A76,'Sep to Nov Data'!$C$4:$C$488,0),MATCH(Analysis!$B$1,'Sep to Nov Data'!$E$3:$CZ$3,0))</f>
        <v>22</v>
      </c>
      <c r="D76" s="76">
        <f t="shared" si="2"/>
        <v>0.26190476190476192</v>
      </c>
      <c r="E76" s="27" t="str">
        <f>IFERROR(INDEX('March to Aug Data'!$A:$A,MATCH(Analysis!A76,'March to Aug Data'!$C:$C,0),1),"-")</f>
        <v>East of England</v>
      </c>
      <c r="G76" s="55">
        <f>B76/VLOOKUP($A76,'Estimated Hospital Beds'!$D:$E,2,)</f>
        <v>9.5238095238095233E-2</v>
      </c>
      <c r="H76" s="56">
        <f>C76/VLOOKUP($A76,'Estimated Hospital Beds'!$D:$E,2,)</f>
        <v>2.4943310657596373E-2</v>
      </c>
    </row>
    <row r="77" spans="1:8" x14ac:dyDescent="0.35">
      <c r="A77" s="34" t="s">
        <v>129</v>
      </c>
      <c r="B77" s="9">
        <f>VLOOKUP(A77,'March to Aug Data'!C:D,2,)</f>
        <v>254</v>
      </c>
      <c r="C77" s="9">
        <f>INDEX('Sep to Nov Data'!$E$4:$CZ$488,MATCH(Analysis!A77,'Sep to Nov Data'!$C$4:$C$488,0),MATCH(Analysis!$B$1,'Sep to Nov Data'!$E$3:$CZ$3,0))</f>
        <v>35</v>
      </c>
      <c r="D77" s="76">
        <f t="shared" si="2"/>
        <v>0.13779527559055119</v>
      </c>
      <c r="E77" s="27" t="str">
        <f>IFERROR(INDEX('March to Aug Data'!$A:$A,MATCH(Analysis!A77,'March to Aug Data'!$C:$C,0),1),"-")</f>
        <v>London</v>
      </c>
      <c r="G77" s="55">
        <f>B77/VLOOKUP($A77,'Estimated Hospital Beds'!$D:$E,2,)</f>
        <v>0.28539325842696628</v>
      </c>
      <c r="H77" s="56">
        <f>C77/VLOOKUP($A77,'Estimated Hospital Beds'!$D:$E,2,)</f>
        <v>3.9325842696629212E-2</v>
      </c>
    </row>
    <row r="78" spans="1:8" x14ac:dyDescent="0.35">
      <c r="A78" s="34" t="s">
        <v>169</v>
      </c>
      <c r="B78" s="9">
        <f>VLOOKUP(A78,'March to Aug Data'!C:D,2,)</f>
        <v>432</v>
      </c>
      <c r="C78" s="9">
        <f>INDEX('Sep to Nov Data'!$E$4:$CZ$488,MATCH(Analysis!A78,'Sep to Nov Data'!$C$4:$C$488,0),MATCH(Analysis!$B$1,'Sep to Nov Data'!$E$3:$CZ$3,0))</f>
        <v>66</v>
      </c>
      <c r="D78" s="76">
        <f t="shared" si="2"/>
        <v>0.15277777777777779</v>
      </c>
      <c r="E78" s="27" t="str">
        <f>IFERROR(INDEX('March to Aug Data'!$A:$A,MATCH(Analysis!A78,'March to Aug Data'!$C:$C,0),1),"-")</f>
        <v>London</v>
      </c>
      <c r="G78" s="55">
        <f>B78/VLOOKUP($A78,'Estimated Hospital Beds'!$D:$E,2,)</f>
        <v>0.37177280550774527</v>
      </c>
      <c r="H78" s="56">
        <f>C78/VLOOKUP($A78,'Estimated Hospital Beds'!$D:$E,2,)</f>
        <v>5.6798623063683308E-2</v>
      </c>
    </row>
    <row r="79" spans="1:8" x14ac:dyDescent="0.35">
      <c r="A79" s="34" t="s">
        <v>131</v>
      </c>
      <c r="B79" s="9">
        <f>VLOOKUP(A79,'March to Aug Data'!C:D,2,)</f>
        <v>561</v>
      </c>
      <c r="C79" s="9">
        <f>INDEX('Sep to Nov Data'!$E$4:$CZ$488,MATCH(Analysis!A79,'Sep to Nov Data'!$C$4:$C$488,0),MATCH(Analysis!$B$1,'Sep to Nov Data'!$E$3:$CZ$3,0))</f>
        <v>78</v>
      </c>
      <c r="D79" s="76">
        <f t="shared" si="2"/>
        <v>0.13903743315508021</v>
      </c>
      <c r="E79" s="27" t="str">
        <f>IFERROR(INDEX('March to Aug Data'!$A:$A,MATCH(Analysis!A79,'March to Aug Data'!$C:$C,0),1),"-")</f>
        <v>London</v>
      </c>
      <c r="G79" s="55">
        <f>B79/VLOOKUP($A79,'Estimated Hospital Beds'!$D:$E,2,)</f>
        <v>0.45498783454987834</v>
      </c>
      <c r="H79" s="56">
        <f>C79/VLOOKUP($A79,'Estimated Hospital Beds'!$D:$E,2,)</f>
        <v>6.3260340632603412E-2</v>
      </c>
    </row>
    <row r="80" spans="1:8" x14ac:dyDescent="0.35">
      <c r="A80" s="34" t="s">
        <v>109</v>
      </c>
      <c r="B80" s="9">
        <f>VLOOKUP(A80,'March to Aug Data'!C:D,2,)</f>
        <v>548</v>
      </c>
      <c r="C80" s="9">
        <f>INDEX('Sep to Nov Data'!$E$4:$CZ$488,MATCH(Analysis!A80,'Sep to Nov Data'!$C$4:$C$488,0),MATCH(Analysis!$B$1,'Sep to Nov Data'!$E$3:$CZ$3,0))</f>
        <v>57</v>
      </c>
      <c r="D80" s="76">
        <f t="shared" si="2"/>
        <v>0.10401459854014598</v>
      </c>
      <c r="E80" s="27" t="str">
        <f>IFERROR(INDEX('March to Aug Data'!$A:$A,MATCH(Analysis!A80,'March to Aug Data'!$C:$C,0),1),"-")</f>
        <v>London</v>
      </c>
      <c r="G80" s="55">
        <f>B80/VLOOKUP($A80,'Estimated Hospital Beds'!$D:$E,2,)</f>
        <v>0.56494845360824741</v>
      </c>
      <c r="H80" s="56">
        <f>C80/VLOOKUP($A80,'Estimated Hospital Beds'!$D:$E,2,)</f>
        <v>5.8762886597938144E-2</v>
      </c>
    </row>
    <row r="81" spans="1:8" x14ac:dyDescent="0.35">
      <c r="A81" s="34" t="s">
        <v>123</v>
      </c>
      <c r="B81" s="9">
        <f>VLOOKUP(A81,'March to Aug Data'!C:D,2,)</f>
        <v>303</v>
      </c>
      <c r="C81" s="9">
        <f>INDEX('Sep to Nov Data'!$E$4:$CZ$488,MATCH(Analysis!A81,'Sep to Nov Data'!$C$4:$C$488,0),MATCH(Analysis!$B$1,'Sep to Nov Data'!$E$3:$CZ$3,0))</f>
        <v>32</v>
      </c>
      <c r="D81" s="76">
        <f t="shared" si="2"/>
        <v>0.10561056105610561</v>
      </c>
      <c r="E81" s="27" t="str">
        <f>IFERROR(INDEX('March to Aug Data'!$A:$A,MATCH(Analysis!A81,'March to Aug Data'!$C:$C,0),1),"-")</f>
        <v>London</v>
      </c>
      <c r="G81" s="55">
        <f>B81/VLOOKUP($A81,'Estimated Hospital Beds'!$D:$E,2,)</f>
        <v>0.31727748691099478</v>
      </c>
      <c r="H81" s="56">
        <f>C81/VLOOKUP($A81,'Estimated Hospital Beds'!$D:$E,2,)</f>
        <v>3.3507853403141365E-2</v>
      </c>
    </row>
    <row r="82" spans="1:8" x14ac:dyDescent="0.35">
      <c r="A82" s="35" t="s">
        <v>471</v>
      </c>
      <c r="B82" s="12">
        <f>VLOOKUP(A82,'March to Aug Data'!C:D,2,)</f>
        <v>187</v>
      </c>
      <c r="C82" s="12">
        <f>INDEX('Sep to Nov Data'!$E$4:$CZ$488,MATCH(Analysis!A82,'Sep to Nov Data'!$C$4:$C$488,0),MATCH(Analysis!$B$1,'Sep to Nov Data'!$E$3:$CZ$3,0))</f>
        <v>27</v>
      </c>
      <c r="D82" s="77">
        <f t="shared" si="2"/>
        <v>0.14438502673796791</v>
      </c>
      <c r="E82" s="28" t="str">
        <f>IFERROR(INDEX('March to Aug Data'!$A:$A,MATCH(Analysis!A82,'March to Aug Data'!$C:$C,0),1),"-")</f>
        <v>South East</v>
      </c>
      <c r="G82" s="57">
        <f>B82/VLOOKUP($A82,'Estimated Hospital Beds'!$D:$E,2,)</f>
        <v>0.18137730358874879</v>
      </c>
      <c r="H82" s="58">
        <f>C82/VLOOKUP($A82,'Estimated Hospital Beds'!$D:$E,2,)</f>
        <v>2.6188166828322017E-2</v>
      </c>
    </row>
  </sheetData>
  <autoFilter ref="A3:A82" xr:uid="{081DC7A8-260F-4F0F-8B65-EEBFD0665D43}"/>
  <sortState xmlns:xlrd2="http://schemas.microsoft.com/office/spreadsheetml/2017/richdata2" ref="A5:D82">
    <sortCondition descending="1" ref="D5:D82"/>
  </sortState>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A594F-1B21-468F-9918-11DA58EEA4F4}">
  <sheetPr>
    <tabColor theme="9" tint="-0.249977111117893"/>
  </sheetPr>
  <dimension ref="A1:H84"/>
  <sheetViews>
    <sheetView tabSelected="1" workbookViewId="0">
      <selection activeCell="A11" sqref="A11"/>
    </sheetView>
  </sheetViews>
  <sheetFormatPr defaultRowHeight="14.5" x14ac:dyDescent="0.35"/>
  <cols>
    <col min="1" max="1" width="57.1796875" bestFit="1" customWidth="1"/>
    <col min="2" max="2" width="42.1796875" customWidth="1"/>
    <col min="3" max="3" width="37" customWidth="1"/>
    <col min="4" max="5" width="30" customWidth="1"/>
    <col min="7" max="7" width="41.26953125" customWidth="1"/>
    <col min="8" max="8" width="30.81640625" customWidth="1"/>
  </cols>
  <sheetData>
    <row r="1" spans="1:8" x14ac:dyDescent="0.35">
      <c r="A1" t="s">
        <v>1330</v>
      </c>
      <c r="B1" s="39">
        <v>44140</v>
      </c>
    </row>
    <row r="2" spans="1:8" x14ac:dyDescent="0.35">
      <c r="B2" s="39"/>
    </row>
    <row r="3" spans="1:8" s="79" customFormat="1" x14ac:dyDescent="0.35">
      <c r="A3" s="79" t="s">
        <v>1756</v>
      </c>
      <c r="B3" s="81"/>
    </row>
    <row r="5" spans="1:8" s="3" customFormat="1" x14ac:dyDescent="0.35">
      <c r="A5" s="32" t="s">
        <v>1315</v>
      </c>
      <c r="B5" s="30" t="s">
        <v>1328</v>
      </c>
      <c r="C5" s="30" t="s">
        <v>1329</v>
      </c>
      <c r="D5" s="32" t="s">
        <v>1331</v>
      </c>
      <c r="E5" s="74" t="s">
        <v>548</v>
      </c>
      <c r="G5" s="29" t="s">
        <v>1734</v>
      </c>
      <c r="H5" s="31" t="s">
        <v>1735</v>
      </c>
    </row>
    <row r="6" spans="1:8" s="3" customFormat="1" x14ac:dyDescent="0.35">
      <c r="A6" s="36" t="s">
        <v>546</v>
      </c>
      <c r="B6" s="37">
        <f>VLOOKUP(A6,'March to Aug Data'!C:D,2,)</f>
        <v>18970</v>
      </c>
      <c r="C6" s="80">
        <f>INDEX('Sep to Nov Data'!$E$4:$CZ$488,MATCH(Analysis!A4,'Sep to Nov Data'!$C$4:$C$488,0),MATCH(Analysis!$B$1,'Sep to Nov Data'!$E$3:$CZ$3,0))+94</f>
        <v>11088</v>
      </c>
      <c r="D6" s="75">
        <f t="shared" ref="D6:D69" si="0">C6/B6</f>
        <v>0.58450184501845015</v>
      </c>
      <c r="E6" s="75" t="str">
        <f>IFERROR(INDEX('March to Aug Data'!$A:$A,MATCH(Analysis!A4,'March to Aug Data'!$C:$C,0),1),"-")</f>
        <v>-</v>
      </c>
      <c r="G6" s="59">
        <f>B6/VLOOKUP($A6,'Estimated Hospital Beds'!$D:$E,2,)</f>
        <v>0.160154667026881</v>
      </c>
      <c r="H6" s="38">
        <f>C6/VLOOKUP($A6,'Estimated Hospital Beds'!$D:$E,2,)</f>
        <v>9.3610698365527489E-2</v>
      </c>
    </row>
    <row r="7" spans="1:8" x14ac:dyDescent="0.35">
      <c r="A7" s="34" t="s">
        <v>293</v>
      </c>
      <c r="B7" s="9">
        <f>VLOOKUP(A7,'March to Aug Data'!C:D,2,)</f>
        <v>71</v>
      </c>
      <c r="C7" s="9">
        <f>INDEX('Sep to Nov Data'!$E$4:$CZ$488,MATCH(Analysis!A5,'Sep to Nov Data'!$C$4:$C$488,0),MATCH(Analysis!$B$1,'Sep to Nov Data'!$E$3:$CZ$3,0))</f>
        <v>167</v>
      </c>
      <c r="D7" s="76">
        <f t="shared" si="0"/>
        <v>2.352112676056338</v>
      </c>
      <c r="E7" s="27" t="str">
        <f>IFERROR(INDEX('March to Aug Data'!$A:$A,MATCH(Analysis!A5,'March to Aug Data'!$C:$C,0),1),"-")</f>
        <v>North East and Yorkshire</v>
      </c>
      <c r="G7" s="55">
        <f>B7/VLOOKUP($A7,'Estimated Hospital Beds'!$D:$E,2,)</f>
        <v>0.17317073170731706</v>
      </c>
      <c r="H7" s="56">
        <f>C7/VLOOKUP($A7,'Estimated Hospital Beds'!$D:$E,2,)</f>
        <v>0.40731707317073168</v>
      </c>
    </row>
    <row r="8" spans="1:8" x14ac:dyDescent="0.35">
      <c r="A8" s="34" t="s">
        <v>305</v>
      </c>
      <c r="B8" s="9">
        <f>VLOOKUP(A8,'March to Aug Data'!C:D,2,)</f>
        <v>112</v>
      </c>
      <c r="C8" s="9">
        <f>INDEX('Sep to Nov Data'!$E$4:$CZ$488,MATCH(Analysis!A6,'Sep to Nov Data'!$C$4:$C$488,0),MATCH(Analysis!$B$1,'Sep to Nov Data'!$E$3:$CZ$3,0))</f>
        <v>191</v>
      </c>
      <c r="D8" s="76">
        <f t="shared" si="0"/>
        <v>1.7053571428571428</v>
      </c>
      <c r="E8" s="27" t="str">
        <f>IFERROR(INDEX('March to Aug Data'!$A:$A,MATCH(Analysis!A6,'March to Aug Data'!$C:$C,0),1),"-")</f>
        <v>North East and Yorkshire</v>
      </c>
      <c r="G8" s="55">
        <f>B8/VLOOKUP($A8,'Estimated Hospital Beds'!$D:$E,2,)</f>
        <v>0.14035087719298245</v>
      </c>
      <c r="H8" s="56">
        <f>C8/VLOOKUP($A8,'Estimated Hospital Beds'!$D:$E,2,)</f>
        <v>0.23934837092731828</v>
      </c>
    </row>
    <row r="9" spans="1:8" x14ac:dyDescent="0.35">
      <c r="A9" s="34" t="s">
        <v>242</v>
      </c>
      <c r="B9" s="9">
        <f>VLOOKUP(A9,'March to Aug Data'!C:D,2,)</f>
        <v>221</v>
      </c>
      <c r="C9" s="9">
        <f>INDEX('Sep to Nov Data'!$E$4:$CZ$488,MATCH(Analysis!A7,'Sep to Nov Data'!$C$4:$C$488,0),MATCH(Analysis!$B$1,'Sep to Nov Data'!$E$3:$CZ$3,0))</f>
        <v>287</v>
      </c>
      <c r="D9" s="76">
        <f t="shared" si="0"/>
        <v>1.2986425339366516</v>
      </c>
      <c r="E9" s="27" t="str">
        <f>IFERROR(INDEX('March to Aug Data'!$A:$A,MATCH(Analysis!A7,'March to Aug Data'!$C:$C,0),1),"-")</f>
        <v>Midlands</v>
      </c>
      <c r="G9" s="55">
        <f>B9/VLOOKUP($A9,'Estimated Hospital Beds'!$D:$E,2,)</f>
        <v>0.14616402116402116</v>
      </c>
      <c r="H9" s="56">
        <f>C9/VLOOKUP($A9,'Estimated Hospital Beds'!$D:$E,2,)</f>
        <v>0.18981481481481483</v>
      </c>
    </row>
    <row r="10" spans="1:8" x14ac:dyDescent="0.35">
      <c r="A10" s="34" t="s">
        <v>380</v>
      </c>
      <c r="B10" s="9">
        <f>VLOOKUP(A10,'March to Aug Data'!C:D,2,)</f>
        <v>98</v>
      </c>
      <c r="C10" s="9">
        <f>INDEX('Sep to Nov Data'!$E$4:$CZ$488,MATCH(Analysis!A8,'Sep to Nov Data'!$C$4:$C$488,0),MATCH(Analysis!$B$1,'Sep to Nov Data'!$E$3:$CZ$3,0))</f>
        <v>126</v>
      </c>
      <c r="D10" s="76">
        <f t="shared" si="0"/>
        <v>1.2857142857142858</v>
      </c>
      <c r="E10" s="27" t="str">
        <f>IFERROR(INDEX('March to Aug Data'!$A:$A,MATCH(Analysis!A8,'March to Aug Data'!$C:$C,0),1),"-")</f>
        <v>North West</v>
      </c>
      <c r="G10" s="55">
        <f>B10/VLOOKUP($A10,'Estimated Hospital Beds'!$D:$E,2,)</f>
        <v>0.17102966841186737</v>
      </c>
      <c r="H10" s="56">
        <f>C10/VLOOKUP($A10,'Estimated Hospital Beds'!$D:$E,2,)</f>
        <v>0.21989528795811519</v>
      </c>
    </row>
    <row r="11" spans="1:8" x14ac:dyDescent="0.35">
      <c r="A11" s="34" t="s">
        <v>319</v>
      </c>
      <c r="B11" s="9">
        <f>VLOOKUP(A11,'March to Aug Data'!C:D,2,)</f>
        <v>73</v>
      </c>
      <c r="C11" s="9">
        <f>INDEX('Sep to Nov Data'!$E$4:$CZ$488,MATCH(Analysis!A9,'Sep to Nov Data'!$C$4:$C$488,0),MATCH(Analysis!$B$1,'Sep to Nov Data'!$E$3:$CZ$3,0))</f>
        <v>112</v>
      </c>
      <c r="D11" s="76">
        <f t="shared" si="0"/>
        <v>1.5342465753424657</v>
      </c>
      <c r="E11" s="27" t="str">
        <f>IFERROR(INDEX('March to Aug Data'!$A:$A,MATCH(Analysis!A9,'March to Aug Data'!$C:$C,0),1),"-")</f>
        <v>North East and Yorkshire</v>
      </c>
      <c r="G11" s="55">
        <f>B11/VLOOKUP($A11,'Estimated Hospital Beds'!$D:$E,2,)</f>
        <v>0.15973741794310722</v>
      </c>
      <c r="H11" s="56">
        <f>C11/VLOOKUP($A11,'Estimated Hospital Beds'!$D:$E,2,)</f>
        <v>0.24507658643326038</v>
      </c>
    </row>
    <row r="12" spans="1:8" x14ac:dyDescent="0.35">
      <c r="A12" s="34" t="s">
        <v>198</v>
      </c>
      <c r="B12" s="9">
        <f>VLOOKUP(A12,'March to Aug Data'!C:D,2,)</f>
        <v>165</v>
      </c>
      <c r="C12" s="9">
        <f>INDEX('Sep to Nov Data'!$E$4:$CZ$488,MATCH(Analysis!A10,'Sep to Nov Data'!$C$4:$C$488,0),MATCH(Analysis!$B$1,'Sep to Nov Data'!$E$3:$CZ$3,0))</f>
        <v>214</v>
      </c>
      <c r="D12" s="76">
        <f t="shared" si="0"/>
        <v>1.2969696969696969</v>
      </c>
      <c r="E12" s="27" t="str">
        <f>IFERROR(INDEX('March to Aug Data'!$A:$A,MATCH(Analysis!A10,'March to Aug Data'!$C:$C,0),1),"-")</f>
        <v>Midlands</v>
      </c>
      <c r="G12" s="55">
        <f>B12/VLOOKUP($A12,'Estimated Hospital Beds'!$D:$E,2,)</f>
        <v>0.11506276150627615</v>
      </c>
      <c r="H12" s="56">
        <f>C12/VLOOKUP($A12,'Estimated Hospital Beds'!$D:$E,2,)</f>
        <v>0.14923291492329149</v>
      </c>
    </row>
    <row r="13" spans="1:8" x14ac:dyDescent="0.35">
      <c r="A13" s="34" t="s">
        <v>394</v>
      </c>
      <c r="B13" s="9">
        <f>VLOOKUP(A13,'March to Aug Data'!C:D,2,)</f>
        <v>262</v>
      </c>
      <c r="C13" s="9">
        <f>INDEX('Sep to Nov Data'!$E$4:$CZ$488,MATCH(Analysis!A11,'Sep to Nov Data'!$C$4:$C$488,0),MATCH(Analysis!$B$1,'Sep to Nov Data'!$E$3:$CZ$3,0))</f>
        <v>382</v>
      </c>
      <c r="D13" s="76">
        <f t="shared" si="0"/>
        <v>1.4580152671755726</v>
      </c>
      <c r="E13" s="27" t="str">
        <f>IFERROR(INDEX('March to Aug Data'!$A:$A,MATCH(Analysis!A11,'March to Aug Data'!$C:$C,0),1),"-")</f>
        <v>North West</v>
      </c>
      <c r="G13" s="55">
        <f>B13/VLOOKUP($A13,'Estimated Hospital Beds'!$D:$E,2,)</f>
        <v>0.22016806722689075</v>
      </c>
      <c r="H13" s="56">
        <f>C13/VLOOKUP($A13,'Estimated Hospital Beds'!$D:$E,2,)</f>
        <v>0.32100840336134456</v>
      </c>
    </row>
    <row r="14" spans="1:8" x14ac:dyDescent="0.35">
      <c r="A14" s="34" t="s">
        <v>309</v>
      </c>
      <c r="B14" s="9">
        <f>VLOOKUP(A14,'March to Aug Data'!C:D,2,)</f>
        <v>231</v>
      </c>
      <c r="C14" s="9">
        <f>INDEX('Sep to Nov Data'!$E$4:$CZ$488,MATCH(Analysis!A12,'Sep to Nov Data'!$C$4:$C$488,0),MATCH(Analysis!$B$1,'Sep to Nov Data'!$E$3:$CZ$3,0))</f>
        <v>277</v>
      </c>
      <c r="D14" s="76">
        <f t="shared" si="0"/>
        <v>1.1991341991341991</v>
      </c>
      <c r="E14" s="27" t="str">
        <f>IFERROR(INDEX('March to Aug Data'!$A:$A,MATCH(Analysis!A12,'March to Aug Data'!$C:$C,0),1),"-")</f>
        <v>North East and Yorkshire</v>
      </c>
      <c r="G14" s="55">
        <f>B14/VLOOKUP($A14,'Estimated Hospital Beds'!$D:$E,2,)</f>
        <v>0.13709198813056381</v>
      </c>
      <c r="H14" s="56">
        <f>C14/VLOOKUP($A14,'Estimated Hospital Beds'!$D:$E,2,)</f>
        <v>0.16439169139465876</v>
      </c>
    </row>
    <row r="15" spans="1:8" x14ac:dyDescent="0.35">
      <c r="A15" s="34" t="s">
        <v>398</v>
      </c>
      <c r="B15" s="9">
        <f>VLOOKUP(A15,'March to Aug Data'!C:D,2,)</f>
        <v>123</v>
      </c>
      <c r="C15" s="9">
        <f>INDEX('Sep to Nov Data'!$E$4:$CZ$488,MATCH(Analysis!A13,'Sep to Nov Data'!$C$4:$C$488,0),MATCH(Analysis!$B$1,'Sep to Nov Data'!$E$3:$CZ$3,0))</f>
        <v>155</v>
      </c>
      <c r="D15" s="76">
        <f t="shared" si="0"/>
        <v>1.2601626016260163</v>
      </c>
      <c r="E15" s="27" t="str">
        <f>IFERROR(INDEX('March to Aug Data'!$A:$A,MATCH(Analysis!A13,'March to Aug Data'!$C:$C,0),1),"-")</f>
        <v>North West</v>
      </c>
      <c r="G15" s="55">
        <f>B15/VLOOKUP($A15,'Estimated Hospital Beds'!$D:$E,2,)</f>
        <v>0.21964285714285714</v>
      </c>
      <c r="H15" s="56">
        <f>C15/VLOOKUP($A15,'Estimated Hospital Beds'!$D:$E,2,)</f>
        <v>0.2767857142857143</v>
      </c>
    </row>
    <row r="16" spans="1:8" x14ac:dyDescent="0.35">
      <c r="A16" s="34" t="s">
        <v>402</v>
      </c>
      <c r="B16" s="9">
        <f>VLOOKUP(A16,'March to Aug Data'!C:D,2,)</f>
        <v>146</v>
      </c>
      <c r="C16" s="9">
        <f>INDEX('Sep to Nov Data'!$E$4:$CZ$488,MATCH(Analysis!A14,'Sep to Nov Data'!$C$4:$C$488,0),MATCH(Analysis!$B$1,'Sep to Nov Data'!$E$3:$CZ$3,0))</f>
        <v>142</v>
      </c>
      <c r="D16" s="76">
        <f t="shared" si="0"/>
        <v>0.9726027397260274</v>
      </c>
      <c r="E16" s="27" t="str">
        <f>IFERROR(INDEX('March to Aug Data'!$A:$A,MATCH(Analysis!A14,'March to Aug Data'!$C:$C,0),1),"-")</f>
        <v>North West</v>
      </c>
      <c r="G16" s="55">
        <f>B16/VLOOKUP($A16,'Estimated Hospital Beds'!$D:$E,2,)</f>
        <v>0.21007194244604316</v>
      </c>
      <c r="H16" s="56">
        <f>C16/VLOOKUP($A16,'Estimated Hospital Beds'!$D:$E,2,)</f>
        <v>0.20431654676258992</v>
      </c>
    </row>
    <row r="17" spans="1:8" x14ac:dyDescent="0.35">
      <c r="A17" s="34" t="s">
        <v>362</v>
      </c>
      <c r="B17" s="9">
        <f>VLOOKUP(A17,'March to Aug Data'!C:D,2,)</f>
        <v>390</v>
      </c>
      <c r="C17" s="9">
        <f>INDEX('Sep to Nov Data'!$E$4:$CZ$488,MATCH(Analysis!A15,'Sep to Nov Data'!$C$4:$C$488,0),MATCH(Analysis!$B$1,'Sep to Nov Data'!$E$3:$CZ$3,0))</f>
        <v>413</v>
      </c>
      <c r="D17" s="76">
        <f t="shared" si="0"/>
        <v>1.058974358974359</v>
      </c>
      <c r="E17" s="27" t="str">
        <f>IFERROR(INDEX('March to Aug Data'!$A:$A,MATCH(Analysis!A15,'March to Aug Data'!$C:$C,0),1),"-")</f>
        <v>North West</v>
      </c>
      <c r="G17" s="55">
        <f>B17/VLOOKUP($A17,'Estimated Hospital Beds'!$D:$E,2,)</f>
        <v>0.2445141065830721</v>
      </c>
      <c r="H17" s="56">
        <f>C17/VLOOKUP($A17,'Estimated Hospital Beds'!$D:$E,2,)</f>
        <v>0.25893416927899687</v>
      </c>
    </row>
    <row r="18" spans="1:8" x14ac:dyDescent="0.35">
      <c r="A18" s="34" t="s">
        <v>406</v>
      </c>
      <c r="B18" s="9">
        <f>VLOOKUP(A18,'March to Aug Data'!C:D,2,)</f>
        <v>184</v>
      </c>
      <c r="C18" s="9">
        <f>INDEX('Sep to Nov Data'!$E$4:$CZ$488,MATCH(Analysis!A16,'Sep to Nov Data'!$C$4:$C$488,0),MATCH(Analysis!$B$1,'Sep to Nov Data'!$E$3:$CZ$3,0))</f>
        <v>204</v>
      </c>
      <c r="D18" s="76">
        <f t="shared" si="0"/>
        <v>1.1086956521739131</v>
      </c>
      <c r="E18" s="27" t="str">
        <f>IFERROR(INDEX('March to Aug Data'!$A:$A,MATCH(Analysis!A16,'March to Aug Data'!$C:$C,0),1),"-")</f>
        <v>North West</v>
      </c>
      <c r="G18" s="55">
        <f>B18/VLOOKUP($A18,'Estimated Hospital Beds'!$D:$E,2,)</f>
        <v>0.1997828447339848</v>
      </c>
      <c r="H18" s="56">
        <f>C18/VLOOKUP($A18,'Estimated Hospital Beds'!$D:$E,2,)</f>
        <v>0.22149837133550487</v>
      </c>
    </row>
    <row r="19" spans="1:8" x14ac:dyDescent="0.35">
      <c r="A19" s="34" t="s">
        <v>331</v>
      </c>
      <c r="B19" s="9">
        <f>VLOOKUP(A19,'March to Aug Data'!C:D,2,)</f>
        <v>170</v>
      </c>
      <c r="C19" s="9">
        <f>INDEX('Sep to Nov Data'!$E$4:$CZ$488,MATCH(Analysis!A17,'Sep to Nov Data'!$C$4:$C$488,0),MATCH(Analysis!$B$1,'Sep to Nov Data'!$E$3:$CZ$3,0))</f>
        <v>243</v>
      </c>
      <c r="D19" s="76">
        <f t="shared" si="0"/>
        <v>1.4294117647058824</v>
      </c>
      <c r="E19" s="27" t="str">
        <f>IFERROR(INDEX('March to Aug Data'!$A:$A,MATCH(Analysis!A17,'March to Aug Data'!$C:$C,0),1),"-")</f>
        <v>North East and Yorkshire</v>
      </c>
      <c r="G19" s="55">
        <f>B19/VLOOKUP($A19,'Estimated Hospital Beds'!$D:$E,2,)</f>
        <v>0.17708333333333334</v>
      </c>
      <c r="H19" s="56">
        <f>C19/VLOOKUP($A19,'Estimated Hospital Beds'!$D:$E,2,)</f>
        <v>0.25312499999999999</v>
      </c>
    </row>
    <row r="20" spans="1:8" x14ac:dyDescent="0.35">
      <c r="A20" s="34" t="s">
        <v>378</v>
      </c>
      <c r="B20" s="9">
        <f>VLOOKUP(A20,'March to Aug Data'!C:D,2,)</f>
        <v>88</v>
      </c>
      <c r="C20" s="9">
        <f>INDEX('Sep to Nov Data'!$E$4:$CZ$488,MATCH(Analysis!A18,'Sep to Nov Data'!$C$4:$C$488,0),MATCH(Analysis!$B$1,'Sep to Nov Data'!$E$3:$CZ$3,0))</f>
        <v>84</v>
      </c>
      <c r="D20" s="76">
        <f t="shared" si="0"/>
        <v>0.95454545454545459</v>
      </c>
      <c r="E20" s="27" t="str">
        <f>IFERROR(INDEX('March to Aug Data'!$A:$A,MATCH(Analysis!A18,'March to Aug Data'!$C:$C,0),1),"-")</f>
        <v>North West</v>
      </c>
      <c r="G20" s="55">
        <f>B20/VLOOKUP($A20,'Estimated Hospital Beds'!$D:$E,2,)</f>
        <v>0.19340659340659341</v>
      </c>
      <c r="H20" s="56">
        <f>C20/VLOOKUP($A20,'Estimated Hospital Beds'!$D:$E,2,)</f>
        <v>0.18461538461538463</v>
      </c>
    </row>
    <row r="21" spans="1:8" x14ac:dyDescent="0.35">
      <c r="A21" s="34" t="s">
        <v>374</v>
      </c>
      <c r="B21" s="9">
        <f>VLOOKUP(A21,'March to Aug Data'!C:D,2,)</f>
        <v>136</v>
      </c>
      <c r="C21" s="78">
        <v>94</v>
      </c>
      <c r="D21" s="76">
        <f t="shared" si="0"/>
        <v>0.69117647058823528</v>
      </c>
      <c r="E21" s="27" t="str">
        <f>IFERROR(INDEX('March to Aug Data'!$A:$A,MATCH(Analysis!A19,'March to Aug Data'!$C:$C,0),1),"-")</f>
        <v>North West</v>
      </c>
      <c r="G21" s="55">
        <f>B21/VLOOKUP($A21,'Estimated Hospital Beds'!$D:$E,2,)</f>
        <v>0.19484240687679083</v>
      </c>
      <c r="H21" s="56">
        <f>C21/VLOOKUP($A21,'Estimated Hospital Beds'!$D:$E,2,)</f>
        <v>0.1346704871060172</v>
      </c>
    </row>
    <row r="22" spans="1:8" x14ac:dyDescent="0.35">
      <c r="A22" s="34" t="s">
        <v>301</v>
      </c>
      <c r="B22" s="9">
        <f>VLOOKUP(A22,'March to Aug Data'!C:D,2,)</f>
        <v>75</v>
      </c>
      <c r="C22" s="9">
        <f>INDEX('Sep to Nov Data'!$E$4:$CZ$488,MATCH(Analysis!A20,'Sep to Nov Data'!$C$4:$C$488,0),MATCH(Analysis!$B$1,'Sep to Nov Data'!$E$3:$CZ$3,0))</f>
        <v>98</v>
      </c>
      <c r="D22" s="76">
        <f t="shared" si="0"/>
        <v>1.3066666666666666</v>
      </c>
      <c r="E22" s="27" t="str">
        <f>IFERROR(INDEX('March to Aug Data'!$A:$A,MATCH(Analysis!A20,'March to Aug Data'!$C:$C,0),1),"-")</f>
        <v>North East and Yorkshire</v>
      </c>
      <c r="G22" s="55">
        <f>B22/VLOOKUP($A22,'Estimated Hospital Beds'!$D:$E,2,)</f>
        <v>0.11450381679389313</v>
      </c>
      <c r="H22" s="56">
        <f>C22/VLOOKUP($A22,'Estimated Hospital Beds'!$D:$E,2,)</f>
        <v>0.14961832061068703</v>
      </c>
    </row>
    <row r="23" spans="1:8" x14ac:dyDescent="0.35">
      <c r="A23" s="34" t="s">
        <v>404</v>
      </c>
      <c r="B23" s="9">
        <f>VLOOKUP(A23,'March to Aug Data'!C:D,2,)</f>
        <v>142</v>
      </c>
      <c r="C23" s="9">
        <f>INDEX('Sep to Nov Data'!$E$4:$CZ$488,MATCH(Analysis!A21,'Sep to Nov Data'!$C$4:$C$488,0),MATCH(Analysis!$B$1,'Sep to Nov Data'!$E$3:$CZ$3,0))</f>
        <v>135</v>
      </c>
      <c r="D23" s="76">
        <f t="shared" si="0"/>
        <v>0.95070422535211263</v>
      </c>
      <c r="E23" s="27" t="str">
        <f>IFERROR(INDEX('March to Aug Data'!$A:$A,MATCH(Analysis!A21,'March to Aug Data'!$C:$C,0),1),"-")</f>
        <v>North West</v>
      </c>
      <c r="G23" s="55">
        <f>B23/VLOOKUP($A23,'Estimated Hospital Beds'!$D:$E,2,)</f>
        <v>0.21385542168674698</v>
      </c>
      <c r="H23" s="56">
        <f>C23/VLOOKUP($A23,'Estimated Hospital Beds'!$D:$E,2,)</f>
        <v>0.2033132530120482</v>
      </c>
    </row>
    <row r="24" spans="1:8" x14ac:dyDescent="0.35">
      <c r="A24" s="34" t="s">
        <v>386</v>
      </c>
      <c r="B24" s="9">
        <f>VLOOKUP(A24,'March to Aug Data'!C:D,2,)</f>
        <v>147</v>
      </c>
      <c r="C24" s="9">
        <f>INDEX('Sep to Nov Data'!$E$4:$CZ$488,MATCH(Analysis!A22,'Sep to Nov Data'!$C$4:$C$488,0),MATCH(Analysis!$B$1,'Sep to Nov Data'!$E$3:$CZ$3,0))</f>
        <v>136</v>
      </c>
      <c r="D24" s="76">
        <f t="shared" si="0"/>
        <v>0.92517006802721091</v>
      </c>
      <c r="E24" s="27" t="str">
        <f>IFERROR(INDEX('March to Aug Data'!$A:$A,MATCH(Analysis!A22,'March to Aug Data'!$C:$C,0),1),"-")</f>
        <v>North West</v>
      </c>
      <c r="G24" s="55">
        <f>B24/VLOOKUP($A24,'Estimated Hospital Beds'!$D:$E,2,)</f>
        <v>0.2286158631415241</v>
      </c>
      <c r="H24" s="56">
        <f>C24/VLOOKUP($A24,'Estimated Hospital Beds'!$D:$E,2,)</f>
        <v>0.21150855365474339</v>
      </c>
    </row>
    <row r="25" spans="1:8" x14ac:dyDescent="0.35">
      <c r="A25" s="34" t="s">
        <v>307</v>
      </c>
      <c r="B25" s="9">
        <f>VLOOKUP(A25,'March to Aug Data'!C:D,2,)</f>
        <v>124</v>
      </c>
      <c r="C25" s="9">
        <f>INDEX('Sep to Nov Data'!$E$4:$CZ$488,MATCH(Analysis!A23,'Sep to Nov Data'!$C$4:$C$488,0),MATCH(Analysis!$B$1,'Sep to Nov Data'!$E$3:$CZ$3,0))</f>
        <v>114</v>
      </c>
      <c r="D25" s="76">
        <f t="shared" si="0"/>
        <v>0.91935483870967738</v>
      </c>
      <c r="E25" s="27" t="str">
        <f>IFERROR(INDEX('March to Aug Data'!$A:$A,MATCH(Analysis!A23,'March to Aug Data'!$C:$C,0),1),"-")</f>
        <v>North East and Yorkshire</v>
      </c>
      <c r="G25" s="55">
        <f>B25/VLOOKUP($A25,'Estimated Hospital Beds'!$D:$E,2,)</f>
        <v>0.27192982456140352</v>
      </c>
      <c r="H25" s="56">
        <f>C25/VLOOKUP($A25,'Estimated Hospital Beds'!$D:$E,2,)</f>
        <v>0.25</v>
      </c>
    </row>
    <row r="26" spans="1:8" x14ac:dyDescent="0.35">
      <c r="A26" s="34" t="s">
        <v>396</v>
      </c>
      <c r="B26" s="9">
        <f>VLOOKUP(A26,'March to Aug Data'!C:D,2,)</f>
        <v>137</v>
      </c>
      <c r="C26" s="9">
        <f>INDEX('Sep to Nov Data'!$E$4:$CZ$488,MATCH(Analysis!A24,'Sep to Nov Data'!$C$4:$C$488,0),MATCH(Analysis!$B$1,'Sep to Nov Data'!$E$3:$CZ$3,0))</f>
        <v>138</v>
      </c>
      <c r="D26" s="76">
        <f t="shared" si="0"/>
        <v>1.0072992700729928</v>
      </c>
      <c r="E26" s="27" t="str">
        <f>IFERROR(INDEX('March to Aug Data'!$A:$A,MATCH(Analysis!A24,'March to Aug Data'!$C:$C,0),1),"-")</f>
        <v>North West</v>
      </c>
      <c r="G26" s="55">
        <f>B26/VLOOKUP($A26,'Estimated Hospital Beds'!$D:$E,2,)</f>
        <v>0.26499032882011603</v>
      </c>
      <c r="H26" s="56">
        <f>C26/VLOOKUP($A26,'Estimated Hospital Beds'!$D:$E,2,)</f>
        <v>0.26692456479690524</v>
      </c>
    </row>
    <row r="27" spans="1:8" x14ac:dyDescent="0.35">
      <c r="A27" s="34" t="s">
        <v>323</v>
      </c>
      <c r="B27" s="9">
        <f>VLOOKUP(A27,'March to Aug Data'!C:D,2,)</f>
        <v>125</v>
      </c>
      <c r="C27" s="9">
        <f>INDEX('Sep to Nov Data'!$E$4:$CZ$488,MATCH(Analysis!A25,'Sep to Nov Data'!$C$4:$C$488,0),MATCH(Analysis!$B$1,'Sep to Nov Data'!$E$3:$CZ$3,0))</f>
        <v>107</v>
      </c>
      <c r="D27" s="76">
        <f t="shared" si="0"/>
        <v>0.85599999999999998</v>
      </c>
      <c r="E27" s="27" t="str">
        <f>IFERROR(INDEX('March to Aug Data'!$A:$A,MATCH(Analysis!A25,'March to Aug Data'!$C:$C,0),1),"-")</f>
        <v>North East and Yorkshire</v>
      </c>
      <c r="G27" s="55">
        <f>B27/VLOOKUP($A27,'Estimated Hospital Beds'!$D:$E,2,)</f>
        <v>0.18712574850299402</v>
      </c>
      <c r="H27" s="56">
        <f>C27/VLOOKUP($A27,'Estimated Hospital Beds'!$D:$E,2,)</f>
        <v>0.16017964071856289</v>
      </c>
    </row>
    <row r="28" spans="1:8" x14ac:dyDescent="0.35">
      <c r="A28" s="34" t="s">
        <v>117</v>
      </c>
      <c r="B28" s="9">
        <f>VLOOKUP(A28,'March to Aug Data'!C:D,2,)</f>
        <v>49</v>
      </c>
      <c r="C28" s="9">
        <f>INDEX('Sep to Nov Data'!$E$4:$CZ$488,MATCH(Analysis!A26,'Sep to Nov Data'!$C$4:$C$488,0),MATCH(Analysis!$B$1,'Sep to Nov Data'!$E$3:$CZ$3,0))</f>
        <v>41</v>
      </c>
      <c r="D28" s="76">
        <f t="shared" si="0"/>
        <v>0.83673469387755106</v>
      </c>
      <c r="E28" s="27" t="str">
        <f>IFERROR(INDEX('March to Aug Data'!$A:$A,MATCH(Analysis!A26,'March to Aug Data'!$C:$C,0),1),"-")</f>
        <v>London</v>
      </c>
      <c r="G28" s="55">
        <f>B28/VLOOKUP($A28,'Estimated Hospital Beds'!$D:$E,2,)</f>
        <v>0.11187214611872145</v>
      </c>
      <c r="H28" s="56">
        <f>C28/VLOOKUP($A28,'Estimated Hospital Beds'!$D:$E,2,)</f>
        <v>9.3607305936073054E-2</v>
      </c>
    </row>
    <row r="29" spans="1:8" x14ac:dyDescent="0.35">
      <c r="A29" s="34" t="s">
        <v>321</v>
      </c>
      <c r="B29" s="9">
        <f>VLOOKUP(A29,'March to Aug Data'!C:D,2,)</f>
        <v>112</v>
      </c>
      <c r="C29" s="9">
        <f>INDEX('Sep to Nov Data'!$E$4:$CZ$488,MATCH(Analysis!A27,'Sep to Nov Data'!$C$4:$C$488,0),MATCH(Analysis!$B$1,'Sep to Nov Data'!$E$3:$CZ$3,0))</f>
        <v>119</v>
      </c>
      <c r="D29" s="76">
        <f t="shared" si="0"/>
        <v>1.0625</v>
      </c>
      <c r="E29" s="27" t="str">
        <f>IFERROR(INDEX('March to Aug Data'!$A:$A,MATCH(Analysis!A27,'March to Aug Data'!$C:$C,0),1),"-")</f>
        <v>North East and Yorkshire</v>
      </c>
      <c r="G29" s="55">
        <f>B29/VLOOKUP($A29,'Estimated Hospital Beds'!$D:$E,2,)</f>
        <v>0.10980392156862745</v>
      </c>
      <c r="H29" s="56">
        <f>C29/VLOOKUP($A29,'Estimated Hospital Beds'!$D:$E,2,)</f>
        <v>0.11666666666666667</v>
      </c>
    </row>
    <row r="30" spans="1:8" x14ac:dyDescent="0.35">
      <c r="A30" s="34" t="s">
        <v>335</v>
      </c>
      <c r="B30" s="9">
        <f>VLOOKUP(A30,'March to Aug Data'!C:D,2,)</f>
        <v>135</v>
      </c>
      <c r="C30" s="9">
        <f>INDEX('Sep to Nov Data'!$E$4:$CZ$488,MATCH(Analysis!A28,'Sep to Nov Data'!$C$4:$C$488,0),MATCH(Analysis!$B$1,'Sep to Nov Data'!$E$3:$CZ$3,0))</f>
        <v>119</v>
      </c>
      <c r="D30" s="76">
        <f t="shared" si="0"/>
        <v>0.88148148148148153</v>
      </c>
      <c r="E30" s="27" t="str">
        <f>IFERROR(INDEX('March to Aug Data'!$A:$A,MATCH(Analysis!A28,'March to Aug Data'!$C:$C,0),1),"-")</f>
        <v>North East and Yorkshire</v>
      </c>
      <c r="G30" s="55">
        <f>B30/VLOOKUP($A30,'Estimated Hospital Beds'!$D:$E,2,)</f>
        <v>0.14705882352941177</v>
      </c>
      <c r="H30" s="56">
        <f>C30/VLOOKUP($A30,'Estimated Hospital Beds'!$D:$E,2,)</f>
        <v>0.12962962962962962</v>
      </c>
    </row>
    <row r="31" spans="1:8" x14ac:dyDescent="0.35">
      <c r="A31" s="34" t="s">
        <v>289</v>
      </c>
      <c r="B31" s="9">
        <f>VLOOKUP(A31,'March to Aug Data'!C:D,2,)</f>
        <v>73</v>
      </c>
      <c r="C31" s="9">
        <f>INDEX('Sep to Nov Data'!$E$4:$CZ$488,MATCH(Analysis!A29,'Sep to Nov Data'!$C$4:$C$488,0),MATCH(Analysis!$B$1,'Sep to Nov Data'!$E$3:$CZ$3,0))</f>
        <v>58</v>
      </c>
      <c r="D31" s="76">
        <f t="shared" si="0"/>
        <v>0.79452054794520544</v>
      </c>
      <c r="E31" s="27" t="str">
        <f>IFERROR(INDEX('March to Aug Data'!$A:$A,MATCH(Analysis!A29,'March to Aug Data'!$C:$C,0),1),"-")</f>
        <v>North East and Yorkshire</v>
      </c>
      <c r="G31" s="55">
        <f>B31/VLOOKUP($A31,'Estimated Hospital Beds'!$D:$E,2,)</f>
        <v>0.20165745856353592</v>
      </c>
      <c r="H31" s="56">
        <f>C31/VLOOKUP($A31,'Estimated Hospital Beds'!$D:$E,2,)</f>
        <v>0.16022099447513813</v>
      </c>
    </row>
    <row r="32" spans="1:8" x14ac:dyDescent="0.35">
      <c r="A32" s="34" t="s">
        <v>388</v>
      </c>
      <c r="B32" s="9">
        <f>VLOOKUP(A32,'March to Aug Data'!C:D,2,)</f>
        <v>114</v>
      </c>
      <c r="C32" s="9">
        <f>INDEX('Sep to Nov Data'!$E$4:$CZ$488,MATCH(Analysis!A30,'Sep to Nov Data'!$C$4:$C$488,0),MATCH(Analysis!$B$1,'Sep to Nov Data'!$E$3:$CZ$3,0))</f>
        <v>95</v>
      </c>
      <c r="D32" s="76">
        <f t="shared" si="0"/>
        <v>0.83333333333333337</v>
      </c>
      <c r="E32" s="27" t="str">
        <f>IFERROR(INDEX('March to Aug Data'!$A:$A,MATCH(Analysis!A30,'March to Aug Data'!$C:$C,0),1),"-")</f>
        <v>North West</v>
      </c>
      <c r="G32" s="55">
        <f>B32/VLOOKUP($A32,'Estimated Hospital Beds'!$D:$E,2,)</f>
        <v>0.24516129032258063</v>
      </c>
      <c r="H32" s="56">
        <f>C32/VLOOKUP($A32,'Estimated Hospital Beds'!$D:$E,2,)</f>
        <v>0.20430107526881722</v>
      </c>
    </row>
    <row r="33" spans="1:8" x14ac:dyDescent="0.35">
      <c r="A33" s="34" t="s">
        <v>352</v>
      </c>
      <c r="B33" s="9">
        <f>VLOOKUP(A33,'March to Aug Data'!C:D,2,)</f>
        <v>153</v>
      </c>
      <c r="C33" s="9">
        <f>INDEX('Sep to Nov Data'!$E$4:$CZ$488,MATCH(Analysis!A31,'Sep to Nov Data'!$C$4:$C$488,0),MATCH(Analysis!$B$1,'Sep to Nov Data'!$E$3:$CZ$3,0))</f>
        <v>105</v>
      </c>
      <c r="D33" s="76">
        <f t="shared" si="0"/>
        <v>0.68627450980392157</v>
      </c>
      <c r="E33" s="27" t="str">
        <f>IFERROR(INDEX('March to Aug Data'!$A:$A,MATCH(Analysis!A31,'March to Aug Data'!$C:$C,0),1),"-")</f>
        <v>North West</v>
      </c>
      <c r="G33" s="55">
        <f>B33/VLOOKUP($A33,'Estimated Hospital Beds'!$D:$E,2,)</f>
        <v>0.23181818181818181</v>
      </c>
      <c r="H33" s="56">
        <f>C33/VLOOKUP($A33,'Estimated Hospital Beds'!$D:$E,2,)</f>
        <v>0.15909090909090909</v>
      </c>
    </row>
    <row r="34" spans="1:8" x14ac:dyDescent="0.35">
      <c r="A34" s="34" t="s">
        <v>311</v>
      </c>
      <c r="B34" s="9">
        <f>VLOOKUP(A34,'March to Aug Data'!C:D,2,)</f>
        <v>144</v>
      </c>
      <c r="C34" s="9">
        <f>INDEX('Sep to Nov Data'!$E$4:$CZ$488,MATCH(Analysis!A32,'Sep to Nov Data'!$C$4:$C$488,0),MATCH(Analysis!$B$1,'Sep to Nov Data'!$E$3:$CZ$3,0))</f>
        <v>110</v>
      </c>
      <c r="D34" s="76">
        <f t="shared" si="0"/>
        <v>0.76388888888888884</v>
      </c>
      <c r="E34" s="27" t="str">
        <f>IFERROR(INDEX('March to Aug Data'!$A:$A,MATCH(Analysis!A32,'March to Aug Data'!$C:$C,0),1),"-")</f>
        <v>North East and Yorkshire</v>
      </c>
      <c r="G34" s="55">
        <f>B34/VLOOKUP($A34,'Estimated Hospital Beds'!$D:$E,2,)</f>
        <v>0.11171450737005431</v>
      </c>
      <c r="H34" s="56">
        <f>C34/VLOOKUP($A34,'Estimated Hospital Beds'!$D:$E,2,)</f>
        <v>8.5337470907680374E-2</v>
      </c>
    </row>
    <row r="35" spans="1:8" x14ac:dyDescent="0.35">
      <c r="A35" s="34" t="s">
        <v>538</v>
      </c>
      <c r="B35" s="9">
        <f>VLOOKUP(A35,'March to Aug Data'!C:D,2,)</f>
        <v>109</v>
      </c>
      <c r="C35" s="9">
        <f>INDEX('Sep to Nov Data'!$E$4:$CZ$488,MATCH(Analysis!A33,'Sep to Nov Data'!$C$4:$C$488,0),MATCH(Analysis!$B$1,'Sep to Nov Data'!$E$3:$CZ$3,0))</f>
        <v>82</v>
      </c>
      <c r="D35" s="76">
        <f t="shared" si="0"/>
        <v>0.75229357798165142</v>
      </c>
      <c r="E35" s="27" t="str">
        <f>IFERROR(INDEX('March to Aug Data'!$A:$A,MATCH(Analysis!A33,'March to Aug Data'!$C:$C,0),1),"-")</f>
        <v>South West</v>
      </c>
      <c r="G35" s="55">
        <f>B35/VLOOKUP($A35,'Estimated Hospital Beds'!$D:$E,2,)</f>
        <v>0.11682743837084673</v>
      </c>
      <c r="H35" s="56">
        <f>C35/VLOOKUP($A35,'Estimated Hospital Beds'!$D:$E,2,)</f>
        <v>8.7888531618435156E-2</v>
      </c>
    </row>
    <row r="36" spans="1:8" x14ac:dyDescent="0.35">
      <c r="A36" s="34" t="s">
        <v>234</v>
      </c>
      <c r="B36" s="9">
        <f>VLOOKUP(A36,'March to Aug Data'!C:D,2,)</f>
        <v>252</v>
      </c>
      <c r="C36" s="9">
        <f>INDEX('Sep to Nov Data'!$E$4:$CZ$488,MATCH(Analysis!A34,'Sep to Nov Data'!$C$4:$C$488,0),MATCH(Analysis!$B$1,'Sep to Nov Data'!$E$3:$CZ$3,0))</f>
        <v>217</v>
      </c>
      <c r="D36" s="76">
        <f t="shared" si="0"/>
        <v>0.86111111111111116</v>
      </c>
      <c r="E36" s="27" t="str">
        <f>IFERROR(INDEX('March to Aug Data'!$A:$A,MATCH(Analysis!A34,'March to Aug Data'!$C:$C,0),1),"-")</f>
        <v>Midlands</v>
      </c>
      <c r="G36" s="55">
        <f>B36/VLOOKUP($A36,'Estimated Hospital Beds'!$D:$E,2,)</f>
        <v>0.17771509167842031</v>
      </c>
      <c r="H36" s="56">
        <f>C36/VLOOKUP($A36,'Estimated Hospital Beds'!$D:$E,2,)</f>
        <v>0.1530324400564175</v>
      </c>
    </row>
    <row r="37" spans="1:8" x14ac:dyDescent="0.35">
      <c r="A37" s="34" t="s">
        <v>238</v>
      </c>
      <c r="B37" s="9">
        <f>VLOOKUP(A37,'March to Aug Data'!C:D,2,)</f>
        <v>204</v>
      </c>
      <c r="C37" s="9">
        <f>INDEX('Sep to Nov Data'!$E$4:$CZ$488,MATCH(Analysis!A35,'Sep to Nov Data'!$C$4:$C$488,0),MATCH(Analysis!$B$1,'Sep to Nov Data'!$E$3:$CZ$3,0))</f>
        <v>156</v>
      </c>
      <c r="D37" s="76">
        <f t="shared" si="0"/>
        <v>0.76470588235294112</v>
      </c>
      <c r="E37" s="27" t="str">
        <f>IFERROR(INDEX('March to Aug Data'!$A:$A,MATCH(Analysis!A35,'March to Aug Data'!$C:$C,0),1),"-")</f>
        <v>Midlands</v>
      </c>
      <c r="G37" s="55">
        <f>B37/VLOOKUP($A37,'Estimated Hospital Beds'!$D:$E,2,)</f>
        <v>0.12927756653992395</v>
      </c>
      <c r="H37" s="56">
        <f>C37/VLOOKUP($A37,'Estimated Hospital Beds'!$D:$E,2,)</f>
        <v>9.8859315589353611E-2</v>
      </c>
    </row>
    <row r="38" spans="1:8" x14ac:dyDescent="0.35">
      <c r="A38" s="34" t="s">
        <v>121</v>
      </c>
      <c r="B38" s="9">
        <f>VLOOKUP(A38,'March to Aug Data'!C:D,2,)</f>
        <v>245</v>
      </c>
      <c r="C38" s="9">
        <f>INDEX('Sep to Nov Data'!$E$4:$CZ$488,MATCH(Analysis!A36,'Sep to Nov Data'!$C$4:$C$488,0),MATCH(Analysis!$B$1,'Sep to Nov Data'!$E$3:$CZ$3,0))</f>
        <v>175</v>
      </c>
      <c r="D38" s="76">
        <f t="shared" si="0"/>
        <v>0.7142857142857143</v>
      </c>
      <c r="E38" s="27" t="str">
        <f>IFERROR(INDEX('March to Aug Data'!$A:$A,MATCH(Analysis!A36,'March to Aug Data'!$C:$C,0),1),"-")</f>
        <v>London</v>
      </c>
      <c r="G38" s="55">
        <f>B38/VLOOKUP($A38,'Estimated Hospital Beds'!$D:$E,2,)</f>
        <v>0.24524524524524524</v>
      </c>
      <c r="H38" s="56">
        <f>C38/VLOOKUP($A38,'Estimated Hospital Beds'!$D:$E,2,)</f>
        <v>0.17517517517517517</v>
      </c>
    </row>
    <row r="39" spans="1:8" x14ac:dyDescent="0.35">
      <c r="A39" s="34" t="s">
        <v>299</v>
      </c>
      <c r="B39" s="9">
        <f>VLOOKUP(A39,'March to Aug Data'!C:D,2,)</f>
        <v>407</v>
      </c>
      <c r="C39" s="9">
        <f>INDEX('Sep to Nov Data'!$E$4:$CZ$488,MATCH(Analysis!A37,'Sep to Nov Data'!$C$4:$C$488,0),MATCH(Analysis!$B$1,'Sep to Nov Data'!$E$3:$CZ$3,0))</f>
        <v>291</v>
      </c>
      <c r="D39" s="76">
        <f t="shared" si="0"/>
        <v>0.71498771498771496</v>
      </c>
      <c r="E39" s="27" t="str">
        <f>IFERROR(INDEX('March to Aug Data'!$A:$A,MATCH(Analysis!A37,'March to Aug Data'!$C:$C,0),1),"-")</f>
        <v>North East and Yorkshire</v>
      </c>
      <c r="G39" s="55">
        <f>B39/VLOOKUP($A39,'Estimated Hospital Beds'!$D:$E,2,)</f>
        <v>0.28224687933425796</v>
      </c>
      <c r="H39" s="56">
        <f>C39/VLOOKUP($A39,'Estimated Hospital Beds'!$D:$E,2,)</f>
        <v>0.20180305131761442</v>
      </c>
    </row>
    <row r="40" spans="1:8" x14ac:dyDescent="0.35">
      <c r="A40" s="34" t="s">
        <v>283</v>
      </c>
      <c r="B40" s="9">
        <f>VLOOKUP(A40,'March to Aug Data'!C:D,2,)</f>
        <v>192</v>
      </c>
      <c r="C40" s="9">
        <f>INDEX('Sep to Nov Data'!$E$4:$CZ$488,MATCH(Analysis!A38,'Sep to Nov Data'!$C$4:$C$488,0),MATCH(Analysis!$B$1,'Sep to Nov Data'!$E$3:$CZ$3,0))</f>
        <v>121</v>
      </c>
      <c r="D40" s="76">
        <f t="shared" si="0"/>
        <v>0.63020833333333337</v>
      </c>
      <c r="E40" s="27" t="str">
        <f>IFERROR(INDEX('March to Aug Data'!$A:$A,MATCH(Analysis!A38,'March to Aug Data'!$C:$C,0),1),"-")</f>
        <v>North East and Yorkshire</v>
      </c>
      <c r="G40" s="55">
        <f>B40/VLOOKUP($A40,'Estimated Hospital Beds'!$D:$E,2,)</f>
        <v>0.29953198127925118</v>
      </c>
      <c r="H40" s="56">
        <f>C40/VLOOKUP($A40,'Estimated Hospital Beds'!$D:$E,2,)</f>
        <v>0.18876755070202808</v>
      </c>
    </row>
    <row r="41" spans="1:8" x14ac:dyDescent="0.35">
      <c r="A41" s="34" t="s">
        <v>192</v>
      </c>
      <c r="B41" s="9">
        <f>VLOOKUP(A41,'March to Aug Data'!C:D,2,)</f>
        <v>75</v>
      </c>
      <c r="C41" s="9">
        <f>INDEX('Sep to Nov Data'!$E$4:$CZ$488,MATCH(Analysis!A39,'Sep to Nov Data'!$C$4:$C$488,0),MATCH(Analysis!$B$1,'Sep to Nov Data'!$E$3:$CZ$3,0))</f>
        <v>60</v>
      </c>
      <c r="D41" s="76">
        <f t="shared" si="0"/>
        <v>0.8</v>
      </c>
      <c r="E41" s="27" t="str">
        <f>IFERROR(INDEX('March to Aug Data'!$A:$A,MATCH(Analysis!A39,'March to Aug Data'!$C:$C,0),1),"-")</f>
        <v>Midlands</v>
      </c>
      <c r="G41" s="55">
        <f>B41/VLOOKUP($A41,'Estimated Hospital Beds'!$D:$E,2,)</f>
        <v>0.15432098765432098</v>
      </c>
      <c r="H41" s="56">
        <f>C41/VLOOKUP($A41,'Estimated Hospital Beds'!$D:$E,2,)</f>
        <v>0.12345679012345678</v>
      </c>
    </row>
    <row r="42" spans="1:8" x14ac:dyDescent="0.35">
      <c r="A42" s="34" t="s">
        <v>281</v>
      </c>
      <c r="B42" s="9">
        <f>VLOOKUP(A42,'March to Aug Data'!C:D,2,)</f>
        <v>211</v>
      </c>
      <c r="C42" s="9">
        <f>INDEX('Sep to Nov Data'!$E$4:$CZ$488,MATCH(Analysis!A40,'Sep to Nov Data'!$C$4:$C$488,0),MATCH(Analysis!$B$1,'Sep to Nov Data'!$E$3:$CZ$3,0))</f>
        <v>146</v>
      </c>
      <c r="D42" s="76">
        <f t="shared" si="0"/>
        <v>0.69194312796208535</v>
      </c>
      <c r="E42" s="27" t="str">
        <f>IFERROR(INDEX('March to Aug Data'!$A:$A,MATCH(Analysis!A40,'March to Aug Data'!$C:$C,0),1),"-")</f>
        <v>North East and Yorkshire</v>
      </c>
      <c r="G42" s="55">
        <f>B42/VLOOKUP($A42,'Estimated Hospital Beds'!$D:$E,2,)</f>
        <v>0.25059382422802851</v>
      </c>
      <c r="H42" s="56">
        <f>C42/VLOOKUP($A42,'Estimated Hospital Beds'!$D:$E,2,)</f>
        <v>0.17339667458432304</v>
      </c>
    </row>
    <row r="43" spans="1:8" x14ac:dyDescent="0.35">
      <c r="A43" s="34" t="s">
        <v>526</v>
      </c>
      <c r="B43" s="9">
        <f>VLOOKUP(A43,'March to Aug Data'!C:D,2,)</f>
        <v>95</v>
      </c>
      <c r="C43" s="9">
        <f>INDEX('Sep to Nov Data'!$E$4:$CZ$488,MATCH(Analysis!A41,'Sep to Nov Data'!$C$4:$C$488,0),MATCH(Analysis!$B$1,'Sep to Nov Data'!$E$3:$CZ$3,0))</f>
        <v>58</v>
      </c>
      <c r="D43" s="76">
        <f t="shared" si="0"/>
        <v>0.61052631578947369</v>
      </c>
      <c r="E43" s="27" t="str">
        <f>IFERROR(INDEX('March to Aug Data'!$A:$A,MATCH(Analysis!A41,'March to Aug Data'!$C:$C,0),1),"-")</f>
        <v>South West</v>
      </c>
      <c r="G43" s="55">
        <f>B43/VLOOKUP($A43,'Estimated Hospital Beds'!$D:$E,2,)</f>
        <v>0.10520487264673312</v>
      </c>
      <c r="H43" s="56">
        <f>C43/VLOOKUP($A43,'Estimated Hospital Beds'!$D:$E,2,)</f>
        <v>6.4230343300110737E-2</v>
      </c>
    </row>
    <row r="44" spans="1:8" x14ac:dyDescent="0.35">
      <c r="A44" s="34" t="s">
        <v>315</v>
      </c>
      <c r="B44" s="9">
        <f>VLOOKUP(A44,'March to Aug Data'!C:D,2,)</f>
        <v>151</v>
      </c>
      <c r="C44" s="9">
        <f>INDEX('Sep to Nov Data'!$E$4:$CZ$488,MATCH(Analysis!A42,'Sep to Nov Data'!$C$4:$C$488,0),MATCH(Analysis!$B$1,'Sep to Nov Data'!$E$3:$CZ$3,0))</f>
        <v>99</v>
      </c>
      <c r="D44" s="76">
        <f t="shared" si="0"/>
        <v>0.6556291390728477</v>
      </c>
      <c r="E44" s="27" t="str">
        <f>IFERROR(INDEX('March to Aug Data'!$A:$A,MATCH(Analysis!A42,'March to Aug Data'!$C:$C,0),1),"-")</f>
        <v>North East and Yorkshire</v>
      </c>
      <c r="G44" s="55">
        <f>B44/VLOOKUP($A44,'Estimated Hospital Beds'!$D:$E,2,)</f>
        <v>0.20079787234042554</v>
      </c>
      <c r="H44" s="56">
        <f>C44/VLOOKUP($A44,'Estimated Hospital Beds'!$D:$E,2,)</f>
        <v>0.13164893617021275</v>
      </c>
    </row>
    <row r="45" spans="1:8" x14ac:dyDescent="0.35">
      <c r="A45" s="34" t="s">
        <v>313</v>
      </c>
      <c r="B45" s="9">
        <f>VLOOKUP(A45,'March to Aug Data'!C:D,2,)</f>
        <v>143</v>
      </c>
      <c r="C45" s="9">
        <f>INDEX('Sep to Nov Data'!$E$4:$CZ$488,MATCH(Analysis!A43,'Sep to Nov Data'!$C$4:$C$488,0),MATCH(Analysis!$B$1,'Sep to Nov Data'!$E$3:$CZ$3,0))</f>
        <v>98</v>
      </c>
      <c r="D45" s="76">
        <f t="shared" si="0"/>
        <v>0.68531468531468531</v>
      </c>
      <c r="E45" s="27" t="str">
        <f>IFERROR(INDEX('March to Aug Data'!$A:$A,MATCH(Analysis!A43,'March to Aug Data'!$C:$C,0),1),"-")</f>
        <v>North East and Yorkshire</v>
      </c>
      <c r="G45" s="55">
        <f>B45/VLOOKUP($A45,'Estimated Hospital Beds'!$D:$E,2,)</f>
        <v>0.17698019801980197</v>
      </c>
      <c r="H45" s="56">
        <f>C45/VLOOKUP($A45,'Estimated Hospital Beds'!$D:$E,2,)</f>
        <v>0.12128712871287128</v>
      </c>
    </row>
    <row r="46" spans="1:8" x14ac:dyDescent="0.35">
      <c r="A46" s="34" t="s">
        <v>522</v>
      </c>
      <c r="B46" s="9">
        <f>VLOOKUP(A46,'March to Aug Data'!C:D,2,)</f>
        <v>58</v>
      </c>
      <c r="C46" s="9">
        <f>INDEX('Sep to Nov Data'!$E$4:$CZ$488,MATCH(Analysis!A44,'Sep to Nov Data'!$C$4:$C$488,0),MATCH(Analysis!$B$1,'Sep to Nov Data'!$E$3:$CZ$3,0))</f>
        <v>43</v>
      </c>
      <c r="D46" s="76">
        <f t="shared" si="0"/>
        <v>0.74137931034482762</v>
      </c>
      <c r="E46" s="27" t="str">
        <f>IFERROR(INDEX('March to Aug Data'!$A:$A,MATCH(Analysis!A44,'March to Aug Data'!$C:$C,0),1),"-")</f>
        <v>South West</v>
      </c>
      <c r="G46" s="55">
        <f>B46/VLOOKUP($A46,'Estimated Hospital Beds'!$D:$E,2,)</f>
        <v>6.9544364508393283E-2</v>
      </c>
      <c r="H46" s="56">
        <f>C46/VLOOKUP($A46,'Estimated Hospital Beds'!$D:$E,2,)</f>
        <v>5.1558752997601917E-2</v>
      </c>
    </row>
    <row r="47" spans="1:8" x14ac:dyDescent="0.35">
      <c r="A47" s="34" t="s">
        <v>190</v>
      </c>
      <c r="B47" s="9">
        <f>VLOOKUP(A47,'March to Aug Data'!C:D,2,)</f>
        <v>188</v>
      </c>
      <c r="C47" s="9">
        <f>INDEX('Sep to Nov Data'!$E$4:$CZ$488,MATCH(Analysis!A45,'Sep to Nov Data'!$C$4:$C$488,0),MATCH(Analysis!$B$1,'Sep to Nov Data'!$E$3:$CZ$3,0))</f>
        <v>115</v>
      </c>
      <c r="D47" s="76">
        <f t="shared" si="0"/>
        <v>0.61170212765957444</v>
      </c>
      <c r="E47" s="27" t="str">
        <f>IFERROR(INDEX('March to Aug Data'!$A:$A,MATCH(Analysis!A45,'March to Aug Data'!$C:$C,0),1),"-")</f>
        <v>Midlands</v>
      </c>
      <c r="G47" s="55">
        <f>B47/VLOOKUP($A47,'Estimated Hospital Beds'!$D:$E,2,)</f>
        <v>0.41685144124168516</v>
      </c>
      <c r="H47" s="56">
        <f>C47/VLOOKUP($A47,'Estimated Hospital Beds'!$D:$E,2,)</f>
        <v>0.25498891352549891</v>
      </c>
    </row>
    <row r="48" spans="1:8" x14ac:dyDescent="0.35">
      <c r="A48" s="34" t="s">
        <v>348</v>
      </c>
      <c r="B48" s="9">
        <f>VLOOKUP(A48,'March to Aug Data'!C:D,2,)</f>
        <v>428</v>
      </c>
      <c r="C48" s="9">
        <f>INDEX('Sep to Nov Data'!$E$4:$CZ$488,MATCH(Analysis!A46,'Sep to Nov Data'!$C$4:$C$488,0),MATCH(Analysis!$B$1,'Sep to Nov Data'!$E$3:$CZ$3,0))</f>
        <v>239</v>
      </c>
      <c r="D48" s="76">
        <f t="shared" si="0"/>
        <v>0.55841121495327106</v>
      </c>
      <c r="E48" s="27" t="str">
        <f>IFERROR(INDEX('March to Aug Data'!$A:$A,MATCH(Analysis!A46,'March to Aug Data'!$C:$C,0),1),"-")</f>
        <v>North West</v>
      </c>
      <c r="G48" s="55">
        <f>B48/VLOOKUP($A48,'Estimated Hospital Beds'!$D:$E,2,)</f>
        <v>0.3128654970760234</v>
      </c>
      <c r="H48" s="56">
        <f>C48/VLOOKUP($A48,'Estimated Hospital Beds'!$D:$E,2,)</f>
        <v>0.17470760233918128</v>
      </c>
    </row>
    <row r="49" spans="1:8" x14ac:dyDescent="0.35">
      <c r="A49" s="34" t="s">
        <v>285</v>
      </c>
      <c r="B49" s="9">
        <f>VLOOKUP(A49,'March to Aug Data'!C:D,2,)</f>
        <v>131</v>
      </c>
      <c r="C49" s="9">
        <f>INDEX('Sep to Nov Data'!$E$4:$CZ$488,MATCH(Analysis!A47,'Sep to Nov Data'!$C$4:$C$488,0),MATCH(Analysis!$B$1,'Sep to Nov Data'!$E$3:$CZ$3,0))</f>
        <v>72</v>
      </c>
      <c r="D49" s="76">
        <f t="shared" si="0"/>
        <v>0.54961832061068705</v>
      </c>
      <c r="E49" s="27" t="str">
        <f>IFERROR(INDEX('March to Aug Data'!$A:$A,MATCH(Analysis!A47,'March to Aug Data'!$C:$C,0),1),"-")</f>
        <v>North East and Yorkshire</v>
      </c>
      <c r="G49" s="55">
        <f>B49/VLOOKUP($A49,'Estimated Hospital Beds'!$D:$E,2,)</f>
        <v>0.12855740922473013</v>
      </c>
      <c r="H49" s="56">
        <f>C49/VLOOKUP($A49,'Estimated Hospital Beds'!$D:$E,2,)</f>
        <v>7.0657507360157024E-2</v>
      </c>
    </row>
    <row r="50" spans="1:8" x14ac:dyDescent="0.35">
      <c r="A50" s="34" t="s">
        <v>376</v>
      </c>
      <c r="B50" s="9">
        <f>VLOOKUP(A50,'March to Aug Data'!C:D,2,)</f>
        <v>148</v>
      </c>
      <c r="C50" s="9">
        <f>INDEX('Sep to Nov Data'!$E$4:$CZ$488,MATCH(Analysis!A48,'Sep to Nov Data'!$C$4:$C$488,0),MATCH(Analysis!$B$1,'Sep to Nov Data'!$E$3:$CZ$3,0))</f>
        <v>132</v>
      </c>
      <c r="D50" s="76">
        <f t="shared" si="0"/>
        <v>0.89189189189189189</v>
      </c>
      <c r="E50" s="27" t="str">
        <f>IFERROR(INDEX('March to Aug Data'!$A:$A,MATCH(Analysis!A48,'March to Aug Data'!$C:$C,0),1),"-")</f>
        <v>North West</v>
      </c>
      <c r="G50" s="55">
        <f>B50/VLOOKUP($A50,'Estimated Hospital Beds'!$D:$E,2,)</f>
        <v>0.22289156626506024</v>
      </c>
      <c r="H50" s="56">
        <f>C50/VLOOKUP($A50,'Estimated Hospital Beds'!$D:$E,2,)</f>
        <v>0.19879518072289157</v>
      </c>
    </row>
    <row r="51" spans="1:8" x14ac:dyDescent="0.35">
      <c r="A51" s="34" t="s">
        <v>506</v>
      </c>
      <c r="B51" s="9">
        <f>VLOOKUP(A51,'March to Aug Data'!C:D,2,)</f>
        <v>93</v>
      </c>
      <c r="C51" s="9">
        <f>INDEX('Sep to Nov Data'!$E$4:$CZ$488,MATCH(Analysis!A49,'Sep to Nov Data'!$C$4:$C$488,0),MATCH(Analysis!$B$1,'Sep to Nov Data'!$E$3:$CZ$3,0))</f>
        <v>54</v>
      </c>
      <c r="D51" s="76">
        <f t="shared" si="0"/>
        <v>0.58064516129032262</v>
      </c>
      <c r="E51" s="27" t="str">
        <f>IFERROR(INDEX('March to Aug Data'!$A:$A,MATCH(Analysis!A49,'March to Aug Data'!$C:$C,0),1),"-")</f>
        <v>South West</v>
      </c>
      <c r="G51" s="55">
        <f>B51/VLOOKUP($A51,'Estimated Hospital Beds'!$D:$E,2,)</f>
        <v>9.0998043052837568E-2</v>
      </c>
      <c r="H51" s="56">
        <f>C51/VLOOKUP($A51,'Estimated Hospital Beds'!$D:$E,2,)</f>
        <v>5.2837573385518588E-2</v>
      </c>
    </row>
    <row r="52" spans="1:8" x14ac:dyDescent="0.35">
      <c r="A52" s="34" t="s">
        <v>42</v>
      </c>
      <c r="B52" s="9">
        <f>VLOOKUP(A52,'March to Aug Data'!C:D,2,)</f>
        <v>143</v>
      </c>
      <c r="C52" s="9">
        <f>INDEX('Sep to Nov Data'!$E$4:$CZ$488,MATCH(Analysis!A50,'Sep to Nov Data'!$C$4:$C$488,0),MATCH(Analysis!$B$1,'Sep to Nov Data'!$E$3:$CZ$3,0))</f>
        <v>83</v>
      </c>
      <c r="D52" s="76">
        <f t="shared" si="0"/>
        <v>0.58041958041958042</v>
      </c>
      <c r="E52" s="27" t="str">
        <f>IFERROR(INDEX('March to Aug Data'!$A:$A,MATCH(Analysis!A50,'March to Aug Data'!$C:$C,0),1),"-")</f>
        <v>East of England</v>
      </c>
      <c r="G52" s="55">
        <f>B52/VLOOKUP($A52,'Estimated Hospital Beds'!$D:$E,2,)</f>
        <v>0.1364503816793893</v>
      </c>
      <c r="H52" s="56">
        <f>C52/VLOOKUP($A52,'Estimated Hospital Beds'!$D:$E,2,)</f>
        <v>7.9198473282442741E-2</v>
      </c>
    </row>
    <row r="53" spans="1:8" x14ac:dyDescent="0.35">
      <c r="A53" s="34" t="s">
        <v>254</v>
      </c>
      <c r="B53" s="9">
        <f>VLOOKUP(A53,'March to Aug Data'!C:D,2,)</f>
        <v>20</v>
      </c>
      <c r="C53" s="9">
        <f>INDEX('Sep to Nov Data'!$E$4:$CZ$488,MATCH(Analysis!A51,'Sep to Nov Data'!$C$4:$C$488,0),MATCH(Analysis!$B$1,'Sep to Nov Data'!$E$3:$CZ$3,0))</f>
        <v>11</v>
      </c>
      <c r="D53" s="76">
        <f t="shared" si="0"/>
        <v>0.55000000000000004</v>
      </c>
      <c r="E53" s="27" t="str">
        <f>IFERROR(INDEX('March to Aug Data'!$A:$A,MATCH(Analysis!A51,'March to Aug Data'!$C:$C,0),1),"-")</f>
        <v>Midlands</v>
      </c>
      <c r="G53" s="55">
        <f>B53/VLOOKUP($A53,'Estimated Hospital Beds'!$D:$E,2,)</f>
        <v>0.52631578947368418</v>
      </c>
      <c r="H53" s="56">
        <f>C53/VLOOKUP($A53,'Estimated Hospital Beds'!$D:$E,2,)</f>
        <v>0.28947368421052633</v>
      </c>
    </row>
    <row r="54" spans="1:8" x14ac:dyDescent="0.35">
      <c r="A54" s="34" t="s">
        <v>295</v>
      </c>
      <c r="B54" s="9">
        <f>VLOOKUP(A54,'March to Aug Data'!C:D,2,)</f>
        <v>263</v>
      </c>
      <c r="C54" s="9">
        <f>INDEX('Sep to Nov Data'!$E$4:$CZ$488,MATCH(Analysis!A52,'Sep to Nov Data'!$C$4:$C$488,0),MATCH(Analysis!$B$1,'Sep to Nov Data'!$E$3:$CZ$3,0))</f>
        <v>128</v>
      </c>
      <c r="D54" s="76">
        <f t="shared" si="0"/>
        <v>0.48669201520912547</v>
      </c>
      <c r="E54" s="27" t="str">
        <f>IFERROR(INDEX('March to Aug Data'!$A:$A,MATCH(Analysis!A52,'March to Aug Data'!$C:$C,0),1),"-")</f>
        <v>North East and Yorkshire</v>
      </c>
      <c r="G54" s="55">
        <f>B54/VLOOKUP($A54,'Estimated Hospital Beds'!$D:$E,2,)</f>
        <v>0.62768496420047737</v>
      </c>
      <c r="H54" s="56">
        <f>C54/VLOOKUP($A54,'Estimated Hospital Beds'!$D:$E,2,)</f>
        <v>0.3054892601431981</v>
      </c>
    </row>
    <row r="55" spans="1:8" x14ac:dyDescent="0.35">
      <c r="A55" s="34" t="s">
        <v>350</v>
      </c>
      <c r="B55" s="9">
        <f>VLOOKUP(A55,'March to Aug Data'!C:D,2,)</f>
        <v>131</v>
      </c>
      <c r="C55" s="9">
        <f>INDEX('Sep to Nov Data'!$E$4:$CZ$488,MATCH(Analysis!A53,'Sep to Nov Data'!$C$4:$C$488,0),MATCH(Analysis!$B$1,'Sep to Nov Data'!$E$3:$CZ$3,0))</f>
        <v>69</v>
      </c>
      <c r="D55" s="76">
        <f t="shared" si="0"/>
        <v>0.52671755725190839</v>
      </c>
      <c r="E55" s="27" t="str">
        <f>IFERROR(INDEX('March to Aug Data'!$A:$A,MATCH(Analysis!A53,'March to Aug Data'!$C:$C,0),1),"-")</f>
        <v>North West</v>
      </c>
      <c r="G55" s="55">
        <f>B55/VLOOKUP($A55,'Estimated Hospital Beds'!$D:$E,2,)</f>
        <v>0.16603295310519645</v>
      </c>
      <c r="H55" s="56">
        <f>C55/VLOOKUP($A55,'Estimated Hospital Beds'!$D:$E,2,)</f>
        <v>8.7452471482889732E-2</v>
      </c>
    </row>
    <row r="56" spans="1:8" x14ac:dyDescent="0.35">
      <c r="A56" s="34" t="s">
        <v>453</v>
      </c>
      <c r="B56" s="9">
        <f>VLOOKUP(A56,'March to Aug Data'!C:D,2,)</f>
        <v>153</v>
      </c>
      <c r="C56" s="9">
        <f>INDEX('Sep to Nov Data'!$E$4:$CZ$488,MATCH(Analysis!A54,'Sep to Nov Data'!$C$4:$C$488,0),MATCH(Analysis!$B$1,'Sep to Nov Data'!$E$3:$CZ$3,0))</f>
        <v>65</v>
      </c>
      <c r="D56" s="76">
        <f t="shared" si="0"/>
        <v>0.42483660130718953</v>
      </c>
      <c r="E56" s="27" t="str">
        <f>IFERROR(INDEX('March to Aug Data'!$A:$A,MATCH(Analysis!A54,'March to Aug Data'!$C:$C,0),1),"-")</f>
        <v>South East</v>
      </c>
      <c r="G56" s="55">
        <f>B56/VLOOKUP($A56,'Estimated Hospital Beds'!$D:$E,2,)</f>
        <v>0.31288343558282211</v>
      </c>
      <c r="H56" s="56">
        <f>C56/VLOOKUP($A56,'Estimated Hospital Beds'!$D:$E,2,)</f>
        <v>0.1329243353783231</v>
      </c>
    </row>
    <row r="57" spans="1:8" x14ac:dyDescent="0.35">
      <c r="A57" s="34" t="s">
        <v>230</v>
      </c>
      <c r="B57" s="9">
        <f>VLOOKUP(A57,'March to Aug Data'!C:D,2,)</f>
        <v>791</v>
      </c>
      <c r="C57" s="9">
        <f>INDEX('Sep to Nov Data'!$E$4:$CZ$488,MATCH(Analysis!A55,'Sep to Nov Data'!$C$4:$C$488,0),MATCH(Analysis!$B$1,'Sep to Nov Data'!$E$3:$CZ$3,0))</f>
        <v>368</v>
      </c>
      <c r="D57" s="76">
        <f t="shared" si="0"/>
        <v>0.46523388116308473</v>
      </c>
      <c r="E57" s="27" t="str">
        <f>IFERROR(INDEX('March to Aug Data'!$A:$A,MATCH(Analysis!A55,'March to Aug Data'!$C:$C,0),1),"-")</f>
        <v>Midlands</v>
      </c>
      <c r="G57" s="55">
        <f>B57/VLOOKUP($A57,'Estimated Hospital Beds'!$D:$E,2,)</f>
        <v>0.38984721537703304</v>
      </c>
      <c r="H57" s="56">
        <f>C57/VLOOKUP($A57,'Estimated Hospital Beds'!$D:$E,2,)</f>
        <v>0.18137013307047806</v>
      </c>
    </row>
    <row r="58" spans="1:8" x14ac:dyDescent="0.35">
      <c r="A58" s="34" t="s">
        <v>214</v>
      </c>
      <c r="B58" s="9">
        <f>VLOOKUP(A58,'March to Aug Data'!C:D,2,)</f>
        <v>172</v>
      </c>
      <c r="C58" s="9">
        <f>INDEX('Sep to Nov Data'!$E$4:$CZ$488,MATCH(Analysis!A56,'Sep to Nov Data'!$C$4:$C$488,0),MATCH(Analysis!$B$1,'Sep to Nov Data'!$E$3:$CZ$3,0))</f>
        <v>73</v>
      </c>
      <c r="D58" s="76">
        <f t="shared" si="0"/>
        <v>0.42441860465116277</v>
      </c>
      <c r="E58" s="27" t="str">
        <f>IFERROR(INDEX('March to Aug Data'!$A:$A,MATCH(Analysis!A56,'March to Aug Data'!$C:$C,0),1),"-")</f>
        <v>Midlands</v>
      </c>
      <c r="G58" s="55">
        <f>B58/VLOOKUP($A58,'Estimated Hospital Beds'!$D:$E,2,)</f>
        <v>0.25109489051094891</v>
      </c>
      <c r="H58" s="56">
        <f>C58/VLOOKUP($A58,'Estimated Hospital Beds'!$D:$E,2,)</f>
        <v>0.10656934306569343</v>
      </c>
    </row>
    <row r="59" spans="1:8" x14ac:dyDescent="0.35">
      <c r="A59" s="34" t="s">
        <v>218</v>
      </c>
      <c r="B59" s="9">
        <f>VLOOKUP(A59,'March to Aug Data'!C:D,2,)</f>
        <v>119</v>
      </c>
      <c r="C59" s="9">
        <f>INDEX('Sep to Nov Data'!$E$4:$CZ$488,MATCH(Analysis!A57,'Sep to Nov Data'!$C$4:$C$488,0),MATCH(Analysis!$B$1,'Sep to Nov Data'!$E$3:$CZ$3,0))</f>
        <v>48</v>
      </c>
      <c r="D59" s="76">
        <f t="shared" si="0"/>
        <v>0.40336134453781514</v>
      </c>
      <c r="E59" s="27" t="str">
        <f>IFERROR(INDEX('March to Aug Data'!$A:$A,MATCH(Analysis!A57,'March to Aug Data'!$C:$C,0),1),"-")</f>
        <v>Midlands</v>
      </c>
      <c r="G59" s="55">
        <f>B59/VLOOKUP($A59,'Estimated Hospital Beds'!$D:$E,2,)</f>
        <v>0.1571994715984148</v>
      </c>
      <c r="H59" s="56">
        <f>C59/VLOOKUP($A59,'Estimated Hospital Beds'!$D:$E,2,)</f>
        <v>6.3408190224570671E-2</v>
      </c>
    </row>
    <row r="60" spans="1:8" x14ac:dyDescent="0.35">
      <c r="A60" s="34" t="s">
        <v>46</v>
      </c>
      <c r="B60" s="9">
        <f>VLOOKUP(A60,'March to Aug Data'!C:D,2,)</f>
        <v>117</v>
      </c>
      <c r="C60" s="9">
        <f>INDEX('Sep to Nov Data'!$E$4:$CZ$488,MATCH(Analysis!A58,'Sep to Nov Data'!$C$4:$C$488,0),MATCH(Analysis!$B$1,'Sep to Nov Data'!$E$3:$CZ$3,0))</f>
        <v>60</v>
      </c>
      <c r="D60" s="76">
        <f t="shared" si="0"/>
        <v>0.51282051282051277</v>
      </c>
      <c r="E60" s="27" t="str">
        <f>IFERROR(INDEX('March to Aug Data'!$A:$A,MATCH(Analysis!A58,'March to Aug Data'!$C:$C,0),1),"-")</f>
        <v>East of England</v>
      </c>
      <c r="G60" s="55">
        <f>B60/VLOOKUP($A60,'Estimated Hospital Beds'!$D:$E,2,)</f>
        <v>0.12367864693446089</v>
      </c>
      <c r="H60" s="56">
        <f>C60/VLOOKUP($A60,'Estimated Hospital Beds'!$D:$E,2,)</f>
        <v>6.3424947145877375E-2</v>
      </c>
    </row>
    <row r="61" spans="1:8" x14ac:dyDescent="0.35">
      <c r="A61" s="34" t="s">
        <v>36</v>
      </c>
      <c r="B61" s="9">
        <f>VLOOKUP(A61,'March to Aug Data'!C:D,2,)</f>
        <v>187</v>
      </c>
      <c r="C61" s="9">
        <f>INDEX('Sep to Nov Data'!$E$4:$CZ$488,MATCH(Analysis!A59,'Sep to Nov Data'!$C$4:$C$488,0),MATCH(Analysis!$B$1,'Sep to Nov Data'!$E$3:$CZ$3,0))</f>
        <v>74</v>
      </c>
      <c r="D61" s="76">
        <f t="shared" si="0"/>
        <v>0.39572192513368987</v>
      </c>
      <c r="E61" s="27" t="str">
        <f>IFERROR(INDEX('March to Aug Data'!$A:$A,MATCH(Analysis!A59,'March to Aug Data'!$C:$C,0),1),"-")</f>
        <v>East of England</v>
      </c>
      <c r="G61" s="55">
        <f>B61/VLOOKUP($A61,'Estimated Hospital Beds'!$D:$E,2,)</f>
        <v>0.18102613746369797</v>
      </c>
      <c r="H61" s="56">
        <f>C61/VLOOKUP($A61,'Estimated Hospital Beds'!$D:$E,2,)</f>
        <v>7.1636011616650536E-2</v>
      </c>
    </row>
    <row r="62" spans="1:8" x14ac:dyDescent="0.35">
      <c r="A62" s="34" t="s">
        <v>483</v>
      </c>
      <c r="B62" s="9">
        <f>VLOOKUP(A62,'March to Aug Data'!C:D,2,)</f>
        <v>174</v>
      </c>
      <c r="C62" s="9">
        <f>INDEX('Sep to Nov Data'!$E$4:$CZ$488,MATCH(Analysis!A60,'Sep to Nov Data'!$C$4:$C$488,0),MATCH(Analysis!$B$1,'Sep to Nov Data'!$E$3:$CZ$3,0))</f>
        <v>69</v>
      </c>
      <c r="D62" s="76">
        <f t="shared" si="0"/>
        <v>0.39655172413793105</v>
      </c>
      <c r="E62" s="27" t="str">
        <f>IFERROR(INDEX('March to Aug Data'!$A:$A,MATCH(Analysis!A60,'March to Aug Data'!$C:$C,0),1),"-")</f>
        <v>South East</v>
      </c>
      <c r="G62" s="55">
        <f>B62/VLOOKUP($A62,'Estimated Hospital Beds'!$D:$E,2,)</f>
        <v>0.19572553430821146</v>
      </c>
      <c r="H62" s="56">
        <f>C62/VLOOKUP($A62,'Estimated Hospital Beds'!$D:$E,2,)</f>
        <v>7.7615298087739037E-2</v>
      </c>
    </row>
    <row r="63" spans="1:8" x14ac:dyDescent="0.35">
      <c r="A63" s="34" t="s">
        <v>62</v>
      </c>
      <c r="B63" s="9">
        <f>VLOOKUP(A63,'March to Aug Data'!C:D,2,)</f>
        <v>146</v>
      </c>
      <c r="C63" s="9">
        <f>INDEX('Sep to Nov Data'!$E$4:$CZ$488,MATCH(Analysis!A61,'Sep to Nov Data'!$C$4:$C$488,0),MATCH(Analysis!$B$1,'Sep to Nov Data'!$E$3:$CZ$3,0))</f>
        <v>55</v>
      </c>
      <c r="D63" s="76">
        <f t="shared" si="0"/>
        <v>0.37671232876712329</v>
      </c>
      <c r="E63" s="27" t="str">
        <f>IFERROR(INDEX('March to Aug Data'!$A:$A,MATCH(Analysis!A61,'March to Aug Data'!$C:$C,0),1),"-")</f>
        <v>East of England</v>
      </c>
      <c r="G63" s="55">
        <f>B63/VLOOKUP($A63,'Estimated Hospital Beds'!$D:$E,2,)</f>
        <v>0.18717948717948718</v>
      </c>
      <c r="H63" s="56">
        <f>C63/VLOOKUP($A63,'Estimated Hospital Beds'!$D:$E,2,)</f>
        <v>7.0512820512820512E-2</v>
      </c>
    </row>
    <row r="64" spans="1:8" x14ac:dyDescent="0.35">
      <c r="A64" s="34" t="s">
        <v>461</v>
      </c>
      <c r="B64" s="9">
        <f>VLOOKUP(A64,'March to Aug Data'!C:D,2,)</f>
        <v>136</v>
      </c>
      <c r="C64" s="9">
        <f>INDEX('Sep to Nov Data'!$E$4:$CZ$488,MATCH(Analysis!A62,'Sep to Nov Data'!$C$4:$C$488,0),MATCH(Analysis!$B$1,'Sep to Nov Data'!$E$3:$CZ$3,0))</f>
        <v>53</v>
      </c>
      <c r="D64" s="76">
        <f t="shared" si="0"/>
        <v>0.38970588235294118</v>
      </c>
      <c r="E64" s="27" t="str">
        <f>IFERROR(INDEX('March to Aug Data'!$A:$A,MATCH(Analysis!A62,'March to Aug Data'!$C:$C,0),1),"-")</f>
        <v>South East</v>
      </c>
      <c r="G64" s="55">
        <f>B64/VLOOKUP($A64,'Estimated Hospital Beds'!$D:$E,2,)</f>
        <v>0.27364185110663986</v>
      </c>
      <c r="H64" s="56">
        <f>C64/VLOOKUP($A64,'Estimated Hospital Beds'!$D:$E,2,)</f>
        <v>0.10663983903420524</v>
      </c>
    </row>
    <row r="65" spans="1:8" x14ac:dyDescent="0.35">
      <c r="A65" s="34" t="s">
        <v>34</v>
      </c>
      <c r="B65" s="9">
        <f>VLOOKUP(A65,'March to Aug Data'!C:D,2,)</f>
        <v>374</v>
      </c>
      <c r="C65" s="9">
        <f>INDEX('Sep to Nov Data'!$E$4:$CZ$488,MATCH(Analysis!A63,'Sep to Nov Data'!$C$4:$C$488,0),MATCH(Analysis!$B$1,'Sep to Nov Data'!$E$3:$CZ$3,0))</f>
        <v>110</v>
      </c>
      <c r="D65" s="76">
        <f t="shared" si="0"/>
        <v>0.29411764705882354</v>
      </c>
      <c r="E65" s="27" t="str">
        <f>IFERROR(INDEX('March to Aug Data'!$A:$A,MATCH(Analysis!A63,'March to Aug Data'!$C:$C,0),1),"-")</f>
        <v>East of England</v>
      </c>
      <c r="G65" s="55">
        <f>B65/VLOOKUP($A65,'Estimated Hospital Beds'!$D:$E,2,)</f>
        <v>0.19893617021276597</v>
      </c>
      <c r="H65" s="56">
        <f>C65/VLOOKUP($A65,'Estimated Hospital Beds'!$D:$E,2,)</f>
        <v>5.8510638297872342E-2</v>
      </c>
    </row>
    <row r="66" spans="1:8" x14ac:dyDescent="0.35">
      <c r="A66" s="34" t="s">
        <v>467</v>
      </c>
      <c r="B66" s="9">
        <f>VLOOKUP(A66,'March to Aug Data'!C:D,2,)</f>
        <v>121</v>
      </c>
      <c r="C66" s="9">
        <f>INDEX('Sep to Nov Data'!$E$4:$CZ$488,MATCH(Analysis!A64,'Sep to Nov Data'!$C$4:$C$488,0),MATCH(Analysis!$B$1,'Sep to Nov Data'!$E$3:$CZ$3,0))</f>
        <v>38</v>
      </c>
      <c r="D66" s="76">
        <f t="shared" si="0"/>
        <v>0.31404958677685951</v>
      </c>
      <c r="E66" s="27" t="str">
        <f>IFERROR(INDEX('March to Aug Data'!$A:$A,MATCH(Analysis!A64,'March to Aug Data'!$C:$C,0),1),"-")</f>
        <v>South East</v>
      </c>
      <c r="G66" s="55">
        <f>B66/VLOOKUP($A66,'Estimated Hospital Beds'!$D:$E,2,)</f>
        <v>0.22830188679245284</v>
      </c>
      <c r="H66" s="56">
        <f>C66/VLOOKUP($A66,'Estimated Hospital Beds'!$D:$E,2,)</f>
        <v>7.1698113207547168E-2</v>
      </c>
    </row>
    <row r="67" spans="1:8" x14ac:dyDescent="0.35">
      <c r="A67" s="34" t="s">
        <v>202</v>
      </c>
      <c r="B67" s="9">
        <f>VLOOKUP(A67,'March to Aug Data'!C:D,2,)</f>
        <v>161</v>
      </c>
      <c r="C67" s="9">
        <f>INDEX('Sep to Nov Data'!$E$4:$CZ$488,MATCH(Analysis!A65,'Sep to Nov Data'!$C$4:$C$488,0),MATCH(Analysis!$B$1,'Sep to Nov Data'!$E$3:$CZ$3,0))</f>
        <v>41</v>
      </c>
      <c r="D67" s="76">
        <f t="shared" si="0"/>
        <v>0.25465838509316768</v>
      </c>
      <c r="E67" s="27" t="str">
        <f>IFERROR(INDEX('March to Aug Data'!$A:$A,MATCH(Analysis!A65,'March to Aug Data'!$C:$C,0),1),"-")</f>
        <v>Midlands</v>
      </c>
      <c r="G67" s="55">
        <f>B67/VLOOKUP($A67,'Estimated Hospital Beds'!$D:$E,2,)</f>
        <v>0.14636363636363636</v>
      </c>
      <c r="H67" s="56">
        <f>C67/VLOOKUP($A67,'Estimated Hospital Beds'!$D:$E,2,)</f>
        <v>3.727272727272727E-2</v>
      </c>
    </row>
    <row r="68" spans="1:8" x14ac:dyDescent="0.35">
      <c r="A68" s="34" t="s">
        <v>447</v>
      </c>
      <c r="B68" s="9">
        <f>VLOOKUP(A68,'March to Aug Data'!C:D,2,)</f>
        <v>302</v>
      </c>
      <c r="C68" s="9">
        <f>INDEX('Sep to Nov Data'!$E$4:$CZ$488,MATCH(Analysis!A66,'Sep to Nov Data'!$C$4:$C$488,0),MATCH(Analysis!$B$1,'Sep to Nov Data'!$E$3:$CZ$3,0))</f>
        <v>59</v>
      </c>
      <c r="D68" s="76">
        <f t="shared" si="0"/>
        <v>0.19536423841059603</v>
      </c>
      <c r="E68" s="27" t="str">
        <f>IFERROR(INDEX('March to Aug Data'!$A:$A,MATCH(Analysis!A66,'March to Aug Data'!$C:$C,0),1),"-")</f>
        <v>South East</v>
      </c>
      <c r="G68" s="55">
        <f>B68/VLOOKUP($A68,'Estimated Hospital Beds'!$D:$E,2,)</f>
        <v>0.29010566762728146</v>
      </c>
      <c r="H68" s="56">
        <f>C68/VLOOKUP($A68,'Estimated Hospital Beds'!$D:$E,2,)</f>
        <v>5.6676272814601344E-2</v>
      </c>
    </row>
    <row r="69" spans="1:8" x14ac:dyDescent="0.35">
      <c r="A69" s="34" t="s">
        <v>147</v>
      </c>
      <c r="B69" s="9">
        <f>VLOOKUP(A69,'March to Aug Data'!C:D,2,)</f>
        <v>312</v>
      </c>
      <c r="C69" s="9">
        <f>INDEX('Sep to Nov Data'!$E$4:$CZ$488,MATCH(Analysis!A67,'Sep to Nov Data'!$C$4:$C$488,0),MATCH(Analysis!$B$1,'Sep to Nov Data'!$E$3:$CZ$3,0))</f>
        <v>65</v>
      </c>
      <c r="D69" s="76">
        <f t="shared" si="0"/>
        <v>0.20833333333333334</v>
      </c>
      <c r="E69" s="27" t="str">
        <f>IFERROR(INDEX('March to Aug Data'!$A:$A,MATCH(Analysis!A67,'March to Aug Data'!$C:$C,0),1),"-")</f>
        <v>London</v>
      </c>
      <c r="G69" s="55">
        <f>B69/VLOOKUP($A69,'Estimated Hospital Beds'!$D:$E,2,)</f>
        <v>0.35374149659863946</v>
      </c>
      <c r="H69" s="56">
        <f>C69/VLOOKUP($A69,'Estimated Hospital Beds'!$D:$E,2,)</f>
        <v>7.3696145124716547E-2</v>
      </c>
    </row>
    <row r="70" spans="1:8" x14ac:dyDescent="0.35">
      <c r="A70" s="34" t="s">
        <v>465</v>
      </c>
      <c r="B70" s="9">
        <f>VLOOKUP(A70,'March to Aug Data'!C:D,2,)</f>
        <v>139</v>
      </c>
      <c r="C70" s="9">
        <f>INDEX('Sep to Nov Data'!$E$4:$CZ$488,MATCH(Analysis!A68,'Sep to Nov Data'!$C$4:$C$488,0),MATCH(Analysis!$B$1,'Sep to Nov Data'!$E$3:$CZ$3,0))</f>
        <v>28</v>
      </c>
      <c r="D70" s="76">
        <f t="shared" ref="D70:D84" si="1">C70/B70</f>
        <v>0.20143884892086331</v>
      </c>
      <c r="E70" s="27" t="str">
        <f>IFERROR(INDEX('March to Aug Data'!$A:$A,MATCH(Analysis!A68,'March to Aug Data'!$C:$C,0),1),"-")</f>
        <v>South East</v>
      </c>
      <c r="G70" s="55">
        <f>B70/VLOOKUP($A70,'Estimated Hospital Beds'!$D:$E,2,)</f>
        <v>0.13482056256062075</v>
      </c>
      <c r="H70" s="56">
        <f>C70/VLOOKUP($A70,'Estimated Hospital Beds'!$D:$E,2,)</f>
        <v>2.7158098933074686E-2</v>
      </c>
    </row>
    <row r="71" spans="1:8" x14ac:dyDescent="0.35">
      <c r="A71" s="34" t="s">
        <v>449</v>
      </c>
      <c r="B71" s="9">
        <f>VLOOKUP(A71,'March to Aug Data'!C:D,2,)</f>
        <v>173</v>
      </c>
      <c r="C71" s="9">
        <f>INDEX('Sep to Nov Data'!$E$4:$CZ$488,MATCH(Analysis!A69,'Sep to Nov Data'!$C$4:$C$488,0),MATCH(Analysis!$B$1,'Sep to Nov Data'!$E$3:$CZ$3,0))</f>
        <v>39</v>
      </c>
      <c r="D71" s="76">
        <f t="shared" si="1"/>
        <v>0.22543352601156069</v>
      </c>
      <c r="E71" s="27" t="str">
        <f>IFERROR(INDEX('March to Aug Data'!$A:$A,MATCH(Analysis!A69,'March to Aug Data'!$C:$C,0),1),"-")</f>
        <v>South East</v>
      </c>
      <c r="G71" s="55">
        <f>B71/VLOOKUP($A71,'Estimated Hospital Beds'!$D:$E,2,)</f>
        <v>0.15350488021295475</v>
      </c>
      <c r="H71" s="56">
        <f>C71/VLOOKUP($A71,'Estimated Hospital Beds'!$D:$E,2,)</f>
        <v>3.4605146406388641E-2</v>
      </c>
    </row>
    <row r="72" spans="1:8" x14ac:dyDescent="0.35">
      <c r="A72" s="34" t="s">
        <v>534</v>
      </c>
      <c r="B72" s="9">
        <f>VLOOKUP(A72,'March to Aug Data'!C:D,2,)</f>
        <v>194</v>
      </c>
      <c r="C72" s="9">
        <f>INDEX('Sep to Nov Data'!$E$4:$CZ$488,MATCH(Analysis!A70,'Sep to Nov Data'!$C$4:$C$488,0),MATCH(Analysis!$B$1,'Sep to Nov Data'!$E$3:$CZ$3,0))</f>
        <v>36</v>
      </c>
      <c r="D72" s="76">
        <f t="shared" si="1"/>
        <v>0.18556701030927836</v>
      </c>
      <c r="E72" s="27" t="str">
        <f>IFERROR(INDEX('March to Aug Data'!$A:$A,MATCH(Analysis!A70,'March to Aug Data'!$C:$C,0),1),"-")</f>
        <v>South West</v>
      </c>
      <c r="G72" s="55">
        <f>B72/VLOOKUP($A72,'Estimated Hospital Beds'!$D:$E,2,)</f>
        <v>0.23486682808716708</v>
      </c>
      <c r="H72" s="56">
        <f>C72/VLOOKUP($A72,'Estimated Hospital Beds'!$D:$E,2,)</f>
        <v>4.3583535108958835E-2</v>
      </c>
    </row>
    <row r="73" spans="1:8" x14ac:dyDescent="0.35">
      <c r="A73" s="34" t="s">
        <v>105</v>
      </c>
      <c r="B73" s="9">
        <f>VLOOKUP(A73,'March to Aug Data'!C:D,2,)</f>
        <v>607</v>
      </c>
      <c r="C73" s="9">
        <f>INDEX('Sep to Nov Data'!$E$4:$CZ$488,MATCH(Analysis!A71,'Sep to Nov Data'!$C$4:$C$488,0),MATCH(Analysis!$B$1,'Sep to Nov Data'!$E$3:$CZ$3,0))</f>
        <v>100</v>
      </c>
      <c r="D73" s="76">
        <f t="shared" si="1"/>
        <v>0.16474464579901152</v>
      </c>
      <c r="E73" s="27" t="str">
        <f>IFERROR(INDEX('March to Aug Data'!$A:$A,MATCH(Analysis!A71,'March to Aug Data'!$C:$C,0),1),"-")</f>
        <v>London</v>
      </c>
      <c r="G73" s="55">
        <f>B73/VLOOKUP($A73,'Estimated Hospital Beds'!$D:$E,2,)</f>
        <v>0.32864103952355173</v>
      </c>
      <c r="H73" s="56">
        <f>C73/VLOOKUP($A73,'Estimated Hospital Beds'!$D:$E,2,)</f>
        <v>5.4141851651326477E-2</v>
      </c>
    </row>
    <row r="74" spans="1:8" x14ac:dyDescent="0.35">
      <c r="A74" s="34" t="s">
        <v>303</v>
      </c>
      <c r="B74" s="9">
        <f>VLOOKUP(A74,'March to Aug Data'!C:D,2,)</f>
        <v>222</v>
      </c>
      <c r="C74" s="9">
        <f>INDEX('Sep to Nov Data'!$E$4:$CZ$488,MATCH(Analysis!A72,'Sep to Nov Data'!$C$4:$C$488,0),MATCH(Analysis!$B$1,'Sep to Nov Data'!$E$3:$CZ$3,0))</f>
        <v>47</v>
      </c>
      <c r="D74" s="76">
        <f t="shared" si="1"/>
        <v>0.21171171171171171</v>
      </c>
      <c r="E74" s="27" t="str">
        <f>IFERROR(INDEX('March to Aug Data'!$A:$A,MATCH(Analysis!A72,'March to Aug Data'!$C:$C,0),1),"-")</f>
        <v>North East and Yorkshire</v>
      </c>
      <c r="G74" s="55">
        <f>B74/VLOOKUP($A74,'Estimated Hospital Beds'!$D:$E,2,)</f>
        <v>0.38608695652173913</v>
      </c>
      <c r="H74" s="56">
        <f>C74/VLOOKUP($A74,'Estimated Hospital Beds'!$D:$E,2,)</f>
        <v>8.1739130434782606E-2</v>
      </c>
    </row>
    <row r="75" spans="1:8" x14ac:dyDescent="0.35">
      <c r="A75" s="34" t="s">
        <v>206</v>
      </c>
      <c r="B75" s="9">
        <f>VLOOKUP(A75,'March to Aug Data'!C:D,2,)</f>
        <v>265</v>
      </c>
      <c r="C75" s="9">
        <f>INDEX('Sep to Nov Data'!$E$4:$CZ$488,MATCH(Analysis!A73,'Sep to Nov Data'!$C$4:$C$488,0),MATCH(Analysis!$B$1,'Sep to Nov Data'!$E$3:$CZ$3,0))</f>
        <v>40</v>
      </c>
      <c r="D75" s="76">
        <f t="shared" si="1"/>
        <v>0.15094339622641509</v>
      </c>
      <c r="E75" s="27" t="str">
        <f>IFERROR(INDEX('March to Aug Data'!$A:$A,MATCH(Analysis!A73,'March to Aug Data'!$C:$C,0),1),"-")</f>
        <v>Midlands</v>
      </c>
      <c r="G75" s="55">
        <f>B75/VLOOKUP($A75,'Estimated Hospital Beds'!$D:$E,2,)</f>
        <v>0.41213063763608088</v>
      </c>
      <c r="H75" s="56">
        <f>C75/VLOOKUP($A75,'Estimated Hospital Beds'!$D:$E,2,)</f>
        <v>6.2208398133748059E-2</v>
      </c>
    </row>
    <row r="76" spans="1:8" x14ac:dyDescent="0.35">
      <c r="A76" s="34" t="s">
        <v>113</v>
      </c>
      <c r="B76" s="9">
        <f>VLOOKUP(A76,'March to Aug Data'!C:D,2,)</f>
        <v>267</v>
      </c>
      <c r="C76" s="9">
        <f>INDEX('Sep to Nov Data'!$E$4:$CZ$488,MATCH(Analysis!A74,'Sep to Nov Data'!$C$4:$C$488,0),MATCH(Analysis!$B$1,'Sep to Nov Data'!$E$3:$CZ$3,0))</f>
        <v>28</v>
      </c>
      <c r="D76" s="76">
        <f t="shared" si="1"/>
        <v>0.10486891385767791</v>
      </c>
      <c r="E76" s="27" t="str">
        <f>IFERROR(INDEX('March to Aug Data'!$A:$A,MATCH(Analysis!A74,'March to Aug Data'!$C:$C,0),1),"-")</f>
        <v>London</v>
      </c>
      <c r="G76" s="55">
        <f>B76/VLOOKUP($A76,'Estimated Hospital Beds'!$D:$E,2,)</f>
        <v>0.66583541147132175</v>
      </c>
      <c r="H76" s="56">
        <f>C76/VLOOKUP($A76,'Estimated Hospital Beds'!$D:$E,2,)</f>
        <v>6.9825436408977551E-2</v>
      </c>
    </row>
    <row r="77" spans="1:8" x14ac:dyDescent="0.35">
      <c r="A77" s="34" t="s">
        <v>107</v>
      </c>
      <c r="B77" s="9">
        <f>VLOOKUP(A77,'March to Aug Data'!C:D,2,)</f>
        <v>456</v>
      </c>
      <c r="C77" s="9">
        <f>INDEX('Sep to Nov Data'!$E$4:$CZ$488,MATCH(Analysis!A75,'Sep to Nov Data'!$C$4:$C$488,0),MATCH(Analysis!$B$1,'Sep to Nov Data'!$E$3:$CZ$3,0))</f>
        <v>71</v>
      </c>
      <c r="D77" s="76">
        <f t="shared" si="1"/>
        <v>0.15570175438596492</v>
      </c>
      <c r="E77" s="27" t="str">
        <f>IFERROR(INDEX('March to Aug Data'!$A:$A,MATCH(Analysis!A75,'March to Aug Data'!$C:$C,0),1),"-")</f>
        <v>London</v>
      </c>
      <c r="G77" s="55">
        <f>B77/VLOOKUP($A77,'Estimated Hospital Beds'!$D:$E,2,)</f>
        <v>0.47253886010362695</v>
      </c>
      <c r="H77" s="56">
        <f>C77/VLOOKUP($A77,'Estimated Hospital Beds'!$D:$E,2,)</f>
        <v>7.3575129533678757E-2</v>
      </c>
    </row>
    <row r="78" spans="1:8" x14ac:dyDescent="0.35">
      <c r="A78" s="34" t="s">
        <v>54</v>
      </c>
      <c r="B78" s="9">
        <f>VLOOKUP(A78,'March to Aug Data'!C:D,2,)</f>
        <v>84</v>
      </c>
      <c r="C78" s="9">
        <f>INDEX('Sep to Nov Data'!$E$4:$CZ$488,MATCH(Analysis!A76,'Sep to Nov Data'!$C$4:$C$488,0),MATCH(Analysis!$B$1,'Sep to Nov Data'!$E$3:$CZ$3,0))</f>
        <v>22</v>
      </c>
      <c r="D78" s="76">
        <f t="shared" si="1"/>
        <v>0.26190476190476192</v>
      </c>
      <c r="E78" s="27" t="str">
        <f>IFERROR(INDEX('March to Aug Data'!$A:$A,MATCH(Analysis!A76,'March to Aug Data'!$C:$C,0),1),"-")</f>
        <v>East of England</v>
      </c>
      <c r="G78" s="55">
        <f>B78/VLOOKUP($A78,'Estimated Hospital Beds'!$D:$E,2,)</f>
        <v>9.5238095238095233E-2</v>
      </c>
      <c r="H78" s="56">
        <f>C78/VLOOKUP($A78,'Estimated Hospital Beds'!$D:$E,2,)</f>
        <v>2.4943310657596373E-2</v>
      </c>
    </row>
    <row r="79" spans="1:8" x14ac:dyDescent="0.35">
      <c r="A79" s="34" t="s">
        <v>129</v>
      </c>
      <c r="B79" s="9">
        <f>VLOOKUP(A79,'March to Aug Data'!C:D,2,)</f>
        <v>254</v>
      </c>
      <c r="C79" s="9">
        <f>INDEX('Sep to Nov Data'!$E$4:$CZ$488,MATCH(Analysis!A77,'Sep to Nov Data'!$C$4:$C$488,0),MATCH(Analysis!$B$1,'Sep to Nov Data'!$E$3:$CZ$3,0))</f>
        <v>35</v>
      </c>
      <c r="D79" s="76">
        <f t="shared" si="1"/>
        <v>0.13779527559055119</v>
      </c>
      <c r="E79" s="27" t="str">
        <f>IFERROR(INDEX('March to Aug Data'!$A:$A,MATCH(Analysis!A77,'March to Aug Data'!$C:$C,0),1),"-")</f>
        <v>London</v>
      </c>
      <c r="G79" s="55">
        <f>B79/VLOOKUP($A79,'Estimated Hospital Beds'!$D:$E,2,)</f>
        <v>0.28539325842696628</v>
      </c>
      <c r="H79" s="56">
        <f>C79/VLOOKUP($A79,'Estimated Hospital Beds'!$D:$E,2,)</f>
        <v>3.9325842696629212E-2</v>
      </c>
    </row>
    <row r="80" spans="1:8" x14ac:dyDescent="0.35">
      <c r="A80" s="34" t="s">
        <v>169</v>
      </c>
      <c r="B80" s="9">
        <f>VLOOKUP(A80,'March to Aug Data'!C:D,2,)</f>
        <v>432</v>
      </c>
      <c r="C80" s="9">
        <f>INDEX('Sep to Nov Data'!$E$4:$CZ$488,MATCH(Analysis!A78,'Sep to Nov Data'!$C$4:$C$488,0),MATCH(Analysis!$B$1,'Sep to Nov Data'!$E$3:$CZ$3,0))</f>
        <v>66</v>
      </c>
      <c r="D80" s="76">
        <f t="shared" si="1"/>
        <v>0.15277777777777779</v>
      </c>
      <c r="E80" s="27" t="str">
        <f>IFERROR(INDEX('March to Aug Data'!$A:$A,MATCH(Analysis!A78,'March to Aug Data'!$C:$C,0),1),"-")</f>
        <v>London</v>
      </c>
      <c r="G80" s="55">
        <f>B80/VLOOKUP($A80,'Estimated Hospital Beds'!$D:$E,2,)</f>
        <v>0.37177280550774527</v>
      </c>
      <c r="H80" s="56">
        <f>C80/VLOOKUP($A80,'Estimated Hospital Beds'!$D:$E,2,)</f>
        <v>5.6798623063683308E-2</v>
      </c>
    </row>
    <row r="81" spans="1:8" x14ac:dyDescent="0.35">
      <c r="A81" s="34" t="s">
        <v>131</v>
      </c>
      <c r="B81" s="9">
        <f>VLOOKUP(A81,'March to Aug Data'!C:D,2,)</f>
        <v>561</v>
      </c>
      <c r="C81" s="9">
        <f>INDEX('Sep to Nov Data'!$E$4:$CZ$488,MATCH(Analysis!A79,'Sep to Nov Data'!$C$4:$C$488,0),MATCH(Analysis!$B$1,'Sep to Nov Data'!$E$3:$CZ$3,0))</f>
        <v>78</v>
      </c>
      <c r="D81" s="76">
        <f t="shared" si="1"/>
        <v>0.13903743315508021</v>
      </c>
      <c r="E81" s="27" t="str">
        <f>IFERROR(INDEX('March to Aug Data'!$A:$A,MATCH(Analysis!A79,'March to Aug Data'!$C:$C,0),1),"-")</f>
        <v>London</v>
      </c>
      <c r="G81" s="55">
        <f>B81/VLOOKUP($A81,'Estimated Hospital Beds'!$D:$E,2,)</f>
        <v>0.45498783454987834</v>
      </c>
      <c r="H81" s="56">
        <f>C81/VLOOKUP($A81,'Estimated Hospital Beds'!$D:$E,2,)</f>
        <v>6.3260340632603412E-2</v>
      </c>
    </row>
    <row r="82" spans="1:8" x14ac:dyDescent="0.35">
      <c r="A82" s="34" t="s">
        <v>109</v>
      </c>
      <c r="B82" s="9">
        <f>VLOOKUP(A82,'March to Aug Data'!C:D,2,)</f>
        <v>548</v>
      </c>
      <c r="C82" s="9">
        <f>INDEX('Sep to Nov Data'!$E$4:$CZ$488,MATCH(Analysis!A80,'Sep to Nov Data'!$C$4:$C$488,0),MATCH(Analysis!$B$1,'Sep to Nov Data'!$E$3:$CZ$3,0))</f>
        <v>57</v>
      </c>
      <c r="D82" s="76">
        <f t="shared" si="1"/>
        <v>0.10401459854014598</v>
      </c>
      <c r="E82" s="27" t="str">
        <f>IFERROR(INDEX('March to Aug Data'!$A:$A,MATCH(Analysis!A80,'March to Aug Data'!$C:$C,0),1),"-")</f>
        <v>London</v>
      </c>
      <c r="G82" s="55">
        <f>B82/VLOOKUP($A82,'Estimated Hospital Beds'!$D:$E,2,)</f>
        <v>0.56494845360824741</v>
      </c>
      <c r="H82" s="56">
        <f>C82/VLOOKUP($A82,'Estimated Hospital Beds'!$D:$E,2,)</f>
        <v>5.8762886597938144E-2</v>
      </c>
    </row>
    <row r="83" spans="1:8" x14ac:dyDescent="0.35">
      <c r="A83" s="34" t="s">
        <v>123</v>
      </c>
      <c r="B83" s="9">
        <f>VLOOKUP(A83,'March to Aug Data'!C:D,2,)</f>
        <v>303</v>
      </c>
      <c r="C83" s="9">
        <f>INDEX('Sep to Nov Data'!$E$4:$CZ$488,MATCH(Analysis!A81,'Sep to Nov Data'!$C$4:$C$488,0),MATCH(Analysis!$B$1,'Sep to Nov Data'!$E$3:$CZ$3,0))</f>
        <v>32</v>
      </c>
      <c r="D83" s="76">
        <f t="shared" si="1"/>
        <v>0.10561056105610561</v>
      </c>
      <c r="E83" s="27" t="str">
        <f>IFERROR(INDEX('March to Aug Data'!$A:$A,MATCH(Analysis!A81,'March to Aug Data'!$C:$C,0),1),"-")</f>
        <v>London</v>
      </c>
      <c r="G83" s="55">
        <f>B83/VLOOKUP($A83,'Estimated Hospital Beds'!$D:$E,2,)</f>
        <v>0.31727748691099478</v>
      </c>
      <c r="H83" s="56">
        <f>C83/VLOOKUP($A83,'Estimated Hospital Beds'!$D:$E,2,)</f>
        <v>3.3507853403141365E-2</v>
      </c>
    </row>
    <row r="84" spans="1:8" x14ac:dyDescent="0.35">
      <c r="A84" s="35" t="s">
        <v>471</v>
      </c>
      <c r="B84" s="12">
        <f>VLOOKUP(A84,'March to Aug Data'!C:D,2,)</f>
        <v>187</v>
      </c>
      <c r="C84" s="12">
        <f>INDEX('Sep to Nov Data'!$E$4:$CZ$488,MATCH(Analysis!A82,'Sep to Nov Data'!$C$4:$C$488,0),MATCH(Analysis!$B$1,'Sep to Nov Data'!$E$3:$CZ$3,0))</f>
        <v>27</v>
      </c>
      <c r="D84" s="77">
        <f t="shared" si="1"/>
        <v>0.14438502673796791</v>
      </c>
      <c r="E84" s="28" t="str">
        <f>IFERROR(INDEX('March to Aug Data'!$A:$A,MATCH(Analysis!A82,'March to Aug Data'!$C:$C,0),1),"-")</f>
        <v>South East</v>
      </c>
      <c r="G84" s="57">
        <f>B84/VLOOKUP($A84,'Estimated Hospital Beds'!$D:$E,2,)</f>
        <v>0.18137730358874879</v>
      </c>
      <c r="H84" s="58">
        <f>C84/VLOOKUP($A84,'Estimated Hospital Beds'!$D:$E,2,)</f>
        <v>2.6188166828322017E-2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Metadata</vt:lpstr>
      <vt:lpstr>March to Aug Data</vt:lpstr>
      <vt:lpstr>Sep to Nov Data</vt:lpstr>
      <vt:lpstr>New Adm Data (Mar to July)</vt:lpstr>
      <vt:lpstr>New Adm Data (Aug to Nov)</vt:lpstr>
      <vt:lpstr>Hospital Lookup</vt:lpstr>
      <vt:lpstr>Estimated Hospital Beds</vt:lpstr>
      <vt:lpstr>Analysis</vt:lpstr>
      <vt:lpstr>Analysis - Vaues Edit For Salfo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Hillman</dc:creator>
  <cp:lastModifiedBy>Andrew Hillman</cp:lastModifiedBy>
  <dcterms:created xsi:type="dcterms:W3CDTF">2020-11-11T19:50:43Z</dcterms:created>
  <dcterms:modified xsi:type="dcterms:W3CDTF">2020-11-12T11:14:35Z</dcterms:modified>
</cp:coreProperties>
</file>